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mc:AlternateContent xmlns:mc="http://schemas.openxmlformats.org/markup-compatibility/2006">
    <mc:Choice Requires="x15">
      <x15ac:absPath xmlns:x15ac="http://schemas.microsoft.com/office/spreadsheetml/2010/11/ac" url="/Users/shinmatsushita/Library/CloudStorage/GoogleDrive-puranabarca.office@gmail.com/マイドライブ/DAD日報/リトローボ/"/>
    </mc:Choice>
  </mc:AlternateContent>
  <xr:revisionPtr revIDLastSave="0" documentId="13_ncr:20001_{A4848D34-241B-DF40-B77C-F6F2B9CF5580}" xr6:coauthVersionLast="47" xr6:coauthVersionMax="47" xr10:uidLastSave="{00000000-0000-0000-0000-000000000000}"/>
  <bookViews>
    <workbookView xWindow="0" yWindow="620" windowWidth="25600" windowHeight="15380" activeTab="1" xr2:uid="{00000000-000D-0000-FFFF-FFFF00000000}"/>
  </bookViews>
  <sheets>
    <sheet name="★リトローボ戦略表" sheetId="1" r:id="rId1"/>
    <sheet name="目標_2025R7" sheetId="2" r:id="rId2"/>
    <sheet name="実績_2024R6" sheetId="3" r:id="rId3"/>
    <sheet name="適正原価＆人件費プリントアウト用" sheetId="4" state="hidden" r:id="rId4"/>
    <sheet name="月次累積原価率表" sheetId="5" state="hidden" r:id="rId5"/>
    <sheet name="2024年間データ" sheetId="6" state="hidden" r:id="rId6"/>
    <sheet name="適正人件費表" sheetId="7" state="hidden" r:id="rId7"/>
    <sheet name="適正原価率表(仕入れお小遣い制度)" sheetId="8" state="hidden" r:id="rId8"/>
    <sheet name="リトローボ18期" sheetId="9" r:id="rId9"/>
  </sheets>
  <externalReferences>
    <externalReference r:id="rId10"/>
    <externalReference r:id="rId11"/>
  </externalReferenc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5" roundtripDataChecksum="yNQm5eUR2J0ranl3mY8/rq/P+47eYHNLTTTfYAmJAXI="/>
    </ext>
  </extLst>
</workbook>
</file>

<file path=xl/calcChain.xml><?xml version="1.0" encoding="utf-8"?>
<calcChain xmlns="http://schemas.openxmlformats.org/spreadsheetml/2006/main">
  <c r="C29" i="1" l="1"/>
  <c r="C28" i="1"/>
  <c r="C24" i="1"/>
  <c r="C23" i="1"/>
  <c r="C19" i="1"/>
  <c r="C17" i="1"/>
  <c r="C16" i="1"/>
  <c r="AA70" i="9"/>
  <c r="Y70" i="9"/>
  <c r="W70" i="9"/>
  <c r="U70" i="9"/>
  <c r="S70" i="9"/>
  <c r="Q70" i="9"/>
  <c r="O70" i="9"/>
  <c r="M70" i="9"/>
  <c r="K70" i="9"/>
  <c r="I70" i="9"/>
  <c r="G70" i="9"/>
  <c r="E70" i="9"/>
  <c r="Z61" i="9"/>
  <c r="X61" i="9"/>
  <c r="V61" i="9"/>
  <c r="T61" i="9"/>
  <c r="R61" i="9"/>
  <c r="P61" i="9"/>
  <c r="N61" i="9"/>
  <c r="L61" i="9"/>
  <c r="J61" i="9"/>
  <c r="H61" i="9"/>
  <c r="F61" i="9"/>
  <c r="D61" i="9"/>
  <c r="AC60" i="9"/>
  <c r="AC59" i="9"/>
  <c r="Z58" i="9"/>
  <c r="X58" i="9"/>
  <c r="V58" i="9"/>
  <c r="T58" i="9"/>
  <c r="R58" i="9"/>
  <c r="P58" i="9"/>
  <c r="N58" i="9"/>
  <c r="L58" i="9"/>
  <c r="J58" i="9"/>
  <c r="H58" i="9"/>
  <c r="F58" i="9"/>
  <c r="D58" i="9"/>
  <c r="Z57" i="9"/>
  <c r="X57" i="9"/>
  <c r="V57" i="9"/>
  <c r="T57" i="9"/>
  <c r="R57" i="9"/>
  <c r="P57" i="9"/>
  <c r="N57" i="9"/>
  <c r="L57" i="9"/>
  <c r="J57" i="9"/>
  <c r="H57" i="9"/>
  <c r="F57" i="9"/>
  <c r="D57" i="9"/>
  <c r="Z56" i="9"/>
  <c r="X56" i="9"/>
  <c r="V56" i="9"/>
  <c r="T56" i="9"/>
  <c r="R56" i="9"/>
  <c r="P56" i="9"/>
  <c r="N56" i="9"/>
  <c r="L56" i="9"/>
  <c r="J56" i="9"/>
  <c r="H56" i="9"/>
  <c r="F56" i="9"/>
  <c r="D56" i="9"/>
  <c r="AC55" i="9"/>
  <c r="Z55" i="9"/>
  <c r="X55" i="9"/>
  <c r="V55" i="9"/>
  <c r="T55" i="9"/>
  <c r="R55" i="9"/>
  <c r="P55" i="9"/>
  <c r="N55" i="9"/>
  <c r="L55" i="9"/>
  <c r="J55" i="9"/>
  <c r="H55" i="9"/>
  <c r="F55" i="9"/>
  <c r="D55" i="9"/>
  <c r="AC54" i="9"/>
  <c r="Q54" i="9"/>
  <c r="Z53" i="9"/>
  <c r="X53" i="9"/>
  <c r="V53" i="9"/>
  <c r="T53" i="9"/>
  <c r="R53" i="9"/>
  <c r="P53" i="9"/>
  <c r="N53" i="9"/>
  <c r="L53" i="9"/>
  <c r="J53" i="9"/>
  <c r="H53" i="9"/>
  <c r="F53" i="9"/>
  <c r="D53" i="9"/>
  <c r="Z52" i="9"/>
  <c r="X52" i="9"/>
  <c r="V52" i="9"/>
  <c r="T52" i="9"/>
  <c r="R52" i="9"/>
  <c r="P52" i="9"/>
  <c r="N52" i="9"/>
  <c r="L52" i="9"/>
  <c r="J52" i="9"/>
  <c r="H52" i="9"/>
  <c r="F52" i="9"/>
  <c r="D52" i="9"/>
  <c r="AC51" i="9"/>
  <c r="AC50" i="9"/>
  <c r="AC49" i="9"/>
  <c r="AC48" i="9"/>
  <c r="AC47" i="9"/>
  <c r="Z47" i="9"/>
  <c r="X47" i="9"/>
  <c r="V47" i="9"/>
  <c r="T47" i="9"/>
  <c r="R47" i="9"/>
  <c r="P47" i="9"/>
  <c r="Q47" i="9" s="1"/>
  <c r="N47" i="9"/>
  <c r="L47" i="9"/>
  <c r="J47" i="9"/>
  <c r="H47" i="9"/>
  <c r="F47" i="9"/>
  <c r="D47" i="9"/>
  <c r="AC46" i="9"/>
  <c r="AC45" i="9"/>
  <c r="Q45" i="9"/>
  <c r="Z44" i="9"/>
  <c r="X44" i="9"/>
  <c r="V44" i="9"/>
  <c r="T44" i="9"/>
  <c r="R44" i="9"/>
  <c r="P44" i="9"/>
  <c r="N44" i="9"/>
  <c r="L44" i="9"/>
  <c r="J44" i="9"/>
  <c r="H44" i="9"/>
  <c r="AC44" i="9" s="1"/>
  <c r="F44" i="9"/>
  <c r="D44" i="9"/>
  <c r="Z43" i="9"/>
  <c r="X43" i="9"/>
  <c r="V43" i="9"/>
  <c r="T43" i="9"/>
  <c r="R43" i="9"/>
  <c r="P43" i="9"/>
  <c r="Q43" i="9" s="1"/>
  <c r="N43" i="9"/>
  <c r="L43" i="9"/>
  <c r="J43" i="9"/>
  <c r="H43" i="9"/>
  <c r="F43" i="9"/>
  <c r="D43" i="9"/>
  <c r="AC42" i="9"/>
  <c r="Y42" i="9"/>
  <c r="G42" i="9"/>
  <c r="AC41" i="9"/>
  <c r="AC40" i="9"/>
  <c r="I40" i="9"/>
  <c r="AC39" i="9"/>
  <c r="W39" i="9"/>
  <c r="Q39" i="9"/>
  <c r="AC38" i="9"/>
  <c r="AC37" i="9"/>
  <c r="Y37" i="9"/>
  <c r="I37" i="9"/>
  <c r="AC36" i="9"/>
  <c r="Q36" i="9"/>
  <c r="AC35" i="9"/>
  <c r="Y35" i="9"/>
  <c r="Q35" i="9"/>
  <c r="AC34" i="9"/>
  <c r="Y34" i="9"/>
  <c r="Q34" i="9"/>
  <c r="AC33" i="9"/>
  <c r="Q33" i="9"/>
  <c r="AC32" i="9"/>
  <c r="Y32" i="9"/>
  <c r="W32" i="9"/>
  <c r="AC31" i="9"/>
  <c r="W31" i="9"/>
  <c r="Q31" i="9"/>
  <c r="AC30" i="9"/>
  <c r="Y30" i="9"/>
  <c r="W30" i="9"/>
  <c r="I30" i="9"/>
  <c r="AC29" i="9"/>
  <c r="Y29" i="9"/>
  <c r="Q29" i="9"/>
  <c r="Z28" i="9"/>
  <c r="Z16" i="9" s="1"/>
  <c r="Z18" i="9" s="1"/>
  <c r="X28" i="9"/>
  <c r="V28" i="9"/>
  <c r="T28" i="9"/>
  <c r="T16" i="9" s="1"/>
  <c r="R28" i="9"/>
  <c r="S28" i="9" s="1"/>
  <c r="Q28" i="9"/>
  <c r="P28" i="9"/>
  <c r="N28" i="9"/>
  <c r="L28" i="9"/>
  <c r="J28" i="9"/>
  <c r="H28" i="9"/>
  <c r="H16" i="9" s="1"/>
  <c r="H18" i="9" s="1"/>
  <c r="F28" i="9"/>
  <c r="D28" i="9"/>
  <c r="D16" i="9" s="1"/>
  <c r="Z27" i="9"/>
  <c r="X27" i="9"/>
  <c r="V27" i="9"/>
  <c r="T27" i="9"/>
  <c r="R27" i="9"/>
  <c r="P27" i="9"/>
  <c r="N27" i="9"/>
  <c r="L27" i="9"/>
  <c r="J27" i="9"/>
  <c r="H27" i="9"/>
  <c r="F27" i="9"/>
  <c r="F62" i="9" s="1"/>
  <c r="G62" i="9" s="1"/>
  <c r="D27" i="9"/>
  <c r="H23" i="9"/>
  <c r="I23" i="9" s="1"/>
  <c r="N22" i="9"/>
  <c r="V21" i="9"/>
  <c r="T21" i="9"/>
  <c r="I21" i="9"/>
  <c r="H21" i="9"/>
  <c r="F21" i="9"/>
  <c r="Z20" i="9"/>
  <c r="X20" i="9"/>
  <c r="X21" i="9" s="1"/>
  <c r="W20" i="9"/>
  <c r="V20" i="9"/>
  <c r="T20" i="9"/>
  <c r="R20" i="9"/>
  <c r="S20" i="9" s="1"/>
  <c r="P20" i="9"/>
  <c r="P21" i="9" s="1"/>
  <c r="P22" i="9" s="1"/>
  <c r="N20" i="9"/>
  <c r="N21" i="9" s="1"/>
  <c r="L20" i="9"/>
  <c r="J20" i="9"/>
  <c r="H20" i="9"/>
  <c r="I20" i="9" s="1"/>
  <c r="G20" i="9"/>
  <c r="F20" i="9"/>
  <c r="D20" i="9"/>
  <c r="Z19" i="9"/>
  <c r="Z21" i="9" s="1"/>
  <c r="Y19" i="9"/>
  <c r="X19" i="9"/>
  <c r="W19" i="9"/>
  <c r="W21" i="9" s="1"/>
  <c r="V19" i="9"/>
  <c r="T19" i="9"/>
  <c r="R19" i="9"/>
  <c r="R21" i="9" s="1"/>
  <c r="Q19" i="9"/>
  <c r="P19" i="9"/>
  <c r="O19" i="9"/>
  <c r="N19" i="9"/>
  <c r="L19" i="9"/>
  <c r="L21" i="9" s="1"/>
  <c r="J19" i="9"/>
  <c r="J21" i="9" s="1"/>
  <c r="I19" i="9"/>
  <c r="H19" i="9"/>
  <c r="G19" i="9"/>
  <c r="G21" i="9" s="1"/>
  <c r="F19" i="9"/>
  <c r="D19" i="9"/>
  <c r="D21" i="9" s="1"/>
  <c r="AC21" i="9" s="1"/>
  <c r="N18" i="9"/>
  <c r="O18" i="9" s="1"/>
  <c r="I18" i="9"/>
  <c r="D18" i="9"/>
  <c r="E18" i="9" s="1"/>
  <c r="Z17" i="9"/>
  <c r="X17" i="9"/>
  <c r="Y17" i="9" s="1"/>
  <c r="W17" i="9"/>
  <c r="V17" i="9"/>
  <c r="U17" i="9"/>
  <c r="T17" i="9"/>
  <c r="T18" i="9" s="1"/>
  <c r="R17" i="9"/>
  <c r="P17" i="9"/>
  <c r="Q17" i="9" s="1"/>
  <c r="O17" i="9"/>
  <c r="N17" i="9"/>
  <c r="L17" i="9"/>
  <c r="M17" i="9" s="1"/>
  <c r="J17" i="9"/>
  <c r="H17" i="9"/>
  <c r="F17" i="9"/>
  <c r="G17" i="9" s="1"/>
  <c r="E17" i="9"/>
  <c r="D17" i="9"/>
  <c r="X16" i="9"/>
  <c r="V16" i="9"/>
  <c r="R16" i="9"/>
  <c r="P16" i="9"/>
  <c r="N16" i="9"/>
  <c r="J16" i="9"/>
  <c r="G16" i="9"/>
  <c r="F16" i="9"/>
  <c r="F18" i="9" s="1"/>
  <c r="G18" i="9" s="1"/>
  <c r="AC15" i="9"/>
  <c r="G15" i="9"/>
  <c r="Z14" i="9"/>
  <c r="V14" i="9"/>
  <c r="W15" i="9" s="1"/>
  <c r="P14" i="9"/>
  <c r="H14" i="9"/>
  <c r="I15" i="9" s="1"/>
  <c r="F14" i="9"/>
  <c r="G14" i="9" s="1"/>
  <c r="AC13" i="9"/>
  <c r="AA13" i="9"/>
  <c r="Y13" i="9"/>
  <c r="W13" i="9"/>
  <c r="U13" i="9"/>
  <c r="S13" i="9"/>
  <c r="Q13" i="9"/>
  <c r="O13" i="9"/>
  <c r="M13" i="9"/>
  <c r="K13" i="9"/>
  <c r="I13" i="9"/>
  <c r="G13" i="9"/>
  <c r="E13" i="9"/>
  <c r="AC12" i="9"/>
  <c r="Q12" i="9"/>
  <c r="E16" i="8" s="1"/>
  <c r="M12" i="9"/>
  <c r="E12" i="8" s="1"/>
  <c r="I12" i="9"/>
  <c r="X10" i="9"/>
  <c r="H10" i="9"/>
  <c r="I10" i="9" s="1"/>
  <c r="F10" i="9"/>
  <c r="AC9" i="9"/>
  <c r="Z9" i="9"/>
  <c r="Y9" i="9"/>
  <c r="X9" i="9"/>
  <c r="V9" i="9"/>
  <c r="W9" i="9" s="1"/>
  <c r="T9" i="9"/>
  <c r="U9" i="9" s="1"/>
  <c r="R9" i="9"/>
  <c r="P9" i="9"/>
  <c r="Q9" i="9" s="1"/>
  <c r="N9" i="9"/>
  <c r="O9" i="9" s="1"/>
  <c r="L9" i="9"/>
  <c r="J9" i="9"/>
  <c r="I9" i="9"/>
  <c r="H9" i="9"/>
  <c r="G9" i="9"/>
  <c r="F9" i="9"/>
  <c r="E9" i="9"/>
  <c r="D9" i="9"/>
  <c r="Z8" i="9"/>
  <c r="Y8" i="9"/>
  <c r="X8" i="9"/>
  <c r="V8" i="9"/>
  <c r="T8" i="9"/>
  <c r="Q8" i="9"/>
  <c r="P8" i="9"/>
  <c r="O8" i="9"/>
  <c r="N8" i="9"/>
  <c r="L8" i="9"/>
  <c r="H8" i="9"/>
  <c r="I8" i="9" s="1"/>
  <c r="F8" i="9"/>
  <c r="G8" i="9" s="1"/>
  <c r="D8" i="9"/>
  <c r="Z7" i="9"/>
  <c r="X7" i="9"/>
  <c r="V7" i="9"/>
  <c r="T7" i="9"/>
  <c r="R7" i="9"/>
  <c r="P7" i="9"/>
  <c r="Q50" i="9" s="1"/>
  <c r="N7" i="9"/>
  <c r="O33" i="9" s="1"/>
  <c r="L7" i="9"/>
  <c r="J7" i="9"/>
  <c r="H7" i="9"/>
  <c r="F7" i="9"/>
  <c r="D7" i="9"/>
  <c r="AA2" i="9"/>
  <c r="Y2" i="9"/>
  <c r="W2" i="9"/>
  <c r="V2" i="9"/>
  <c r="U2" i="9"/>
  <c r="S2" i="9"/>
  <c r="Q2" i="9"/>
  <c r="P2" i="9"/>
  <c r="N2" i="9"/>
  <c r="M2" i="9"/>
  <c r="J2" i="9"/>
  <c r="I2" i="9"/>
  <c r="H2" i="9"/>
  <c r="G2" i="9"/>
  <c r="F2" i="9"/>
  <c r="E2" i="9"/>
  <c r="L27" i="8"/>
  <c r="L26" i="8"/>
  <c r="L25" i="8"/>
  <c r="L24" i="8"/>
  <c r="L23" i="8"/>
  <c r="L22" i="8"/>
  <c r="L21" i="8"/>
  <c r="L20" i="8"/>
  <c r="L19" i="8"/>
  <c r="L18" i="8"/>
  <c r="L17" i="8"/>
  <c r="L16" i="8"/>
  <c r="L15" i="8"/>
  <c r="L14" i="8"/>
  <c r="L13" i="8"/>
  <c r="L12" i="8"/>
  <c r="L11" i="8"/>
  <c r="L10" i="8"/>
  <c r="L9" i="8"/>
  <c r="L8" i="8"/>
  <c r="E8" i="8"/>
  <c r="L7" i="8"/>
  <c r="E7" i="8"/>
  <c r="L6" i="8"/>
  <c r="L5" i="8"/>
  <c r="L4" i="8"/>
  <c r="L28" i="8" s="1"/>
  <c r="B2" i="8"/>
  <c r="G33" i="7"/>
  <c r="B33" i="7"/>
  <c r="G32" i="7"/>
  <c r="G31" i="7"/>
  <c r="G34" i="7" s="1"/>
  <c r="G30" i="7"/>
  <c r="G22" i="7"/>
  <c r="G14" i="7"/>
  <c r="G8" i="7"/>
  <c r="G6" i="7"/>
  <c r="J30" i="6"/>
  <c r="I30" i="6"/>
  <c r="H30" i="6"/>
  <c r="G30" i="6"/>
  <c r="F30" i="6"/>
  <c r="E30" i="6"/>
  <c r="D30" i="6"/>
  <c r="C30" i="6"/>
  <c r="H401" i="5"/>
  <c r="D401" i="5"/>
  <c r="I400" i="5"/>
  <c r="D400" i="5"/>
  <c r="R399" i="5"/>
  <c r="F399" i="5"/>
  <c r="E399" i="5"/>
  <c r="D399" i="5"/>
  <c r="M398" i="5"/>
  <c r="H398" i="5"/>
  <c r="D398" i="5"/>
  <c r="M397" i="5"/>
  <c r="D397" i="5"/>
  <c r="D396" i="5"/>
  <c r="M395" i="5"/>
  <c r="D395" i="5"/>
  <c r="M394" i="5"/>
  <c r="H394" i="5"/>
  <c r="D394" i="5"/>
  <c r="D393" i="5"/>
  <c r="D392" i="5"/>
  <c r="Q391" i="5"/>
  <c r="M391" i="5"/>
  <c r="H391" i="5"/>
  <c r="D391" i="5"/>
  <c r="H390" i="5"/>
  <c r="D390" i="5"/>
  <c r="D389" i="5"/>
  <c r="Q388" i="5"/>
  <c r="M388" i="5"/>
  <c r="H388" i="5"/>
  <c r="D388" i="5"/>
  <c r="D387" i="5"/>
  <c r="D386" i="5"/>
  <c r="D385" i="5"/>
  <c r="D384" i="5"/>
  <c r="M383" i="5"/>
  <c r="H383" i="5"/>
  <c r="D383" i="5"/>
  <c r="D382" i="5"/>
  <c r="Q381" i="5"/>
  <c r="M381" i="5"/>
  <c r="H381" i="5"/>
  <c r="D381" i="5"/>
  <c r="M380" i="5"/>
  <c r="H380" i="5"/>
  <c r="D380" i="5"/>
  <c r="H379" i="5"/>
  <c r="D379" i="5"/>
  <c r="F378" i="5"/>
  <c r="D378" i="5"/>
  <c r="H377" i="5"/>
  <c r="D377" i="5"/>
  <c r="M376" i="5"/>
  <c r="H376" i="5"/>
  <c r="D376" i="5"/>
  <c r="Q375" i="5"/>
  <c r="M375" i="5"/>
  <c r="H375" i="5"/>
  <c r="D375" i="5"/>
  <c r="D374" i="5"/>
  <c r="H373" i="5"/>
  <c r="D373" i="5"/>
  <c r="M372" i="5"/>
  <c r="H372" i="5"/>
  <c r="D372" i="5"/>
  <c r="D371" i="5"/>
  <c r="K370" i="5"/>
  <c r="M367" i="5"/>
  <c r="D367" i="5"/>
  <c r="D366" i="5"/>
  <c r="D365" i="5"/>
  <c r="M364" i="5"/>
  <c r="D364" i="5"/>
  <c r="H363" i="5"/>
  <c r="D363" i="5"/>
  <c r="M362" i="5"/>
  <c r="D362" i="5"/>
  <c r="R361" i="5"/>
  <c r="M361" i="5"/>
  <c r="I361" i="5"/>
  <c r="H361" i="5"/>
  <c r="F361" i="5"/>
  <c r="E361" i="5"/>
  <c r="D361" i="5"/>
  <c r="D360" i="5"/>
  <c r="D359" i="5"/>
  <c r="H359" i="5" s="1"/>
  <c r="M358" i="5"/>
  <c r="H358" i="5"/>
  <c r="D358" i="5"/>
  <c r="H357" i="5"/>
  <c r="D357" i="5"/>
  <c r="M356" i="5"/>
  <c r="D356" i="5"/>
  <c r="D355" i="5"/>
  <c r="M354" i="5"/>
  <c r="I354" i="5"/>
  <c r="H354" i="5"/>
  <c r="F354" i="5"/>
  <c r="D354" i="5"/>
  <c r="E354" i="5" s="1"/>
  <c r="Q353" i="5"/>
  <c r="M353" i="5"/>
  <c r="H353" i="5"/>
  <c r="D353" i="5"/>
  <c r="Q352" i="5"/>
  <c r="H352" i="5"/>
  <c r="D352" i="5"/>
  <c r="M352" i="5" s="1"/>
  <c r="D351" i="5"/>
  <c r="M350" i="5"/>
  <c r="H350" i="5"/>
  <c r="D350" i="5"/>
  <c r="R349" i="5"/>
  <c r="E349" i="5"/>
  <c r="D349" i="5"/>
  <c r="I348" i="5"/>
  <c r="D348" i="5"/>
  <c r="O347" i="5"/>
  <c r="M347" i="5"/>
  <c r="Q347" i="5" s="1"/>
  <c r="D347" i="5"/>
  <c r="H346" i="5"/>
  <c r="D346" i="5"/>
  <c r="M345" i="5"/>
  <c r="H345" i="5"/>
  <c r="D345" i="5"/>
  <c r="H344" i="5"/>
  <c r="D344" i="5"/>
  <c r="M344" i="5" s="1"/>
  <c r="Q344" i="5" s="1"/>
  <c r="Q343" i="5"/>
  <c r="H343" i="5"/>
  <c r="D343" i="5"/>
  <c r="M343" i="5" s="1"/>
  <c r="M342" i="5"/>
  <c r="D342" i="5"/>
  <c r="R341" i="5"/>
  <c r="Q341" i="5"/>
  <c r="M341" i="5"/>
  <c r="O341" i="5" s="1"/>
  <c r="H341" i="5"/>
  <c r="F341" i="5"/>
  <c r="E341" i="5"/>
  <c r="D341" i="5"/>
  <c r="I341" i="5" s="1"/>
  <c r="D340" i="5"/>
  <c r="M339" i="5"/>
  <c r="Q339" i="5" s="1"/>
  <c r="D339" i="5"/>
  <c r="M338" i="5"/>
  <c r="D338" i="5"/>
  <c r="K337" i="5"/>
  <c r="D334" i="5"/>
  <c r="D333" i="5"/>
  <c r="M332" i="5"/>
  <c r="D332" i="5"/>
  <c r="M331" i="5"/>
  <c r="H331" i="5"/>
  <c r="D331" i="5"/>
  <c r="R330" i="5"/>
  <c r="Q330" i="5"/>
  <c r="M330" i="5"/>
  <c r="O330" i="5" s="1"/>
  <c r="I330" i="5"/>
  <c r="H330" i="5"/>
  <c r="F330" i="5"/>
  <c r="D330" i="5"/>
  <c r="E330" i="5" s="1"/>
  <c r="Q329" i="5"/>
  <c r="M329" i="5"/>
  <c r="H329" i="5"/>
  <c r="D329" i="5"/>
  <c r="H328" i="5"/>
  <c r="D328" i="5"/>
  <c r="Q327" i="5"/>
  <c r="M327" i="5"/>
  <c r="H327" i="5"/>
  <c r="D327" i="5"/>
  <c r="D326" i="5"/>
  <c r="M325" i="5"/>
  <c r="Q325" i="5" s="1"/>
  <c r="D325" i="5"/>
  <c r="D324" i="5"/>
  <c r="R323" i="5"/>
  <c r="M323" i="5"/>
  <c r="I323" i="5"/>
  <c r="H323" i="5"/>
  <c r="D323" i="5"/>
  <c r="F323" i="5" s="1"/>
  <c r="H322" i="5"/>
  <c r="D322" i="5"/>
  <c r="Q321" i="5"/>
  <c r="M321" i="5"/>
  <c r="H321" i="5"/>
  <c r="D321" i="5"/>
  <c r="H320" i="5"/>
  <c r="D320" i="5"/>
  <c r="Q319" i="5"/>
  <c r="M319" i="5"/>
  <c r="H319" i="5"/>
  <c r="D319" i="5"/>
  <c r="D318" i="5"/>
  <c r="E317" i="5"/>
  <c r="D317" i="5"/>
  <c r="D316" i="5"/>
  <c r="M315" i="5"/>
  <c r="H315" i="5"/>
  <c r="D315" i="5"/>
  <c r="H314" i="5"/>
  <c r="D314" i="5"/>
  <c r="H313" i="5"/>
  <c r="D313" i="5"/>
  <c r="M313" i="5" s="1"/>
  <c r="D312" i="5"/>
  <c r="M311" i="5"/>
  <c r="H311" i="5"/>
  <c r="D311" i="5"/>
  <c r="D310" i="5"/>
  <c r="D309" i="5"/>
  <c r="D308" i="5"/>
  <c r="M307" i="5"/>
  <c r="H307" i="5"/>
  <c r="D307" i="5"/>
  <c r="Q306" i="5"/>
  <c r="M306" i="5"/>
  <c r="H306" i="5"/>
  <c r="D306" i="5"/>
  <c r="Q305" i="5"/>
  <c r="M305" i="5"/>
  <c r="H305" i="5"/>
  <c r="D305" i="5"/>
  <c r="D304" i="5"/>
  <c r="K303" i="5"/>
  <c r="Q300" i="5"/>
  <c r="M300" i="5"/>
  <c r="H300" i="5"/>
  <c r="D300" i="5"/>
  <c r="R299" i="5"/>
  <c r="Q299" i="5"/>
  <c r="O299" i="5"/>
  <c r="M299" i="5"/>
  <c r="N299" i="5" s="1"/>
  <c r="I299" i="5"/>
  <c r="H299" i="5"/>
  <c r="F299" i="5"/>
  <c r="E299" i="5"/>
  <c r="D299" i="5"/>
  <c r="H298" i="5"/>
  <c r="D298" i="5"/>
  <c r="M297" i="5"/>
  <c r="D297" i="5"/>
  <c r="M296" i="5"/>
  <c r="D296" i="5"/>
  <c r="M295" i="5"/>
  <c r="Q295" i="5" s="1"/>
  <c r="D295" i="5"/>
  <c r="M294" i="5"/>
  <c r="D294" i="5"/>
  <c r="R293" i="5"/>
  <c r="M293" i="5"/>
  <c r="I293" i="5"/>
  <c r="H293" i="5"/>
  <c r="E293" i="5"/>
  <c r="D293" i="5"/>
  <c r="F293" i="5" s="1"/>
  <c r="R292" i="5"/>
  <c r="I292" i="5"/>
  <c r="H292" i="5"/>
  <c r="F292" i="5"/>
  <c r="D292" i="5"/>
  <c r="E292" i="5" s="1"/>
  <c r="Q291" i="5"/>
  <c r="M291" i="5"/>
  <c r="H291" i="5"/>
  <c r="D291" i="5"/>
  <c r="H290" i="5"/>
  <c r="D290" i="5"/>
  <c r="M289" i="5"/>
  <c r="H289" i="5"/>
  <c r="D289" i="5"/>
  <c r="M288" i="5"/>
  <c r="D288" i="5"/>
  <c r="M287" i="5"/>
  <c r="Q287" i="5" s="1"/>
  <c r="D287" i="5"/>
  <c r="M286" i="5"/>
  <c r="D286" i="5"/>
  <c r="R285" i="5"/>
  <c r="M285" i="5"/>
  <c r="I285" i="5"/>
  <c r="H285" i="5"/>
  <c r="E285" i="5"/>
  <c r="D285" i="5"/>
  <c r="F285" i="5" s="1"/>
  <c r="I284" i="5"/>
  <c r="H284" i="5"/>
  <c r="D284" i="5"/>
  <c r="Q283" i="5"/>
  <c r="M283" i="5"/>
  <c r="H283" i="5"/>
  <c r="D283" i="5"/>
  <c r="D282" i="5"/>
  <c r="M281" i="5"/>
  <c r="H281" i="5"/>
  <c r="D281" i="5"/>
  <c r="D280" i="5"/>
  <c r="D279" i="5"/>
  <c r="Q278" i="5"/>
  <c r="M278" i="5"/>
  <c r="O278" i="5" s="1"/>
  <c r="I278" i="5"/>
  <c r="F278" i="5"/>
  <c r="E278" i="5"/>
  <c r="D278" i="5"/>
  <c r="M277" i="5"/>
  <c r="H277" i="5"/>
  <c r="D277" i="5"/>
  <c r="M276" i="5"/>
  <c r="D276" i="5"/>
  <c r="Q275" i="5"/>
  <c r="M275" i="5"/>
  <c r="H275" i="5"/>
  <c r="D275" i="5"/>
  <c r="D274" i="5"/>
  <c r="D273" i="5"/>
  <c r="M272" i="5"/>
  <c r="D272" i="5"/>
  <c r="I271" i="5"/>
  <c r="D271" i="5"/>
  <c r="K270" i="5"/>
  <c r="Q267" i="5"/>
  <c r="D267" i="5"/>
  <c r="M267" i="5" s="1"/>
  <c r="D266" i="5"/>
  <c r="D265" i="5"/>
  <c r="M264" i="5"/>
  <c r="H264" i="5"/>
  <c r="D264" i="5"/>
  <c r="Q263" i="5"/>
  <c r="M263" i="5"/>
  <c r="H263" i="5"/>
  <c r="D263" i="5"/>
  <c r="Q262" i="5"/>
  <c r="M262" i="5"/>
  <c r="H262" i="5"/>
  <c r="D262" i="5"/>
  <c r="Q261" i="5"/>
  <c r="O261" i="5"/>
  <c r="N261" i="5"/>
  <c r="I261" i="5"/>
  <c r="H261" i="5"/>
  <c r="F261" i="5"/>
  <c r="D261" i="5"/>
  <c r="M261" i="5" s="1"/>
  <c r="D260" i="5"/>
  <c r="D259" i="5"/>
  <c r="M259" i="5" s="1"/>
  <c r="D258" i="5"/>
  <c r="D257" i="5"/>
  <c r="M256" i="5"/>
  <c r="H256" i="5"/>
  <c r="D256" i="5"/>
  <c r="R255" i="5"/>
  <c r="Q255" i="5"/>
  <c r="M255" i="5"/>
  <c r="O255" i="5" s="1"/>
  <c r="I255" i="5"/>
  <c r="H255" i="5"/>
  <c r="F255" i="5"/>
  <c r="D255" i="5"/>
  <c r="E255" i="5" s="1"/>
  <c r="R254" i="5"/>
  <c r="Q254" i="5"/>
  <c r="O254" i="5"/>
  <c r="M254" i="5"/>
  <c r="N254" i="5" s="1"/>
  <c r="I254" i="5"/>
  <c r="H254" i="5"/>
  <c r="F254" i="5"/>
  <c r="E254" i="5"/>
  <c r="D254" i="5"/>
  <c r="Q253" i="5"/>
  <c r="O253" i="5"/>
  <c r="N253" i="5"/>
  <c r="I253" i="5"/>
  <c r="H253" i="5"/>
  <c r="F253" i="5"/>
  <c r="D253" i="5"/>
  <c r="M253" i="5" s="1"/>
  <c r="D252" i="5"/>
  <c r="M251" i="5"/>
  <c r="H251" i="5"/>
  <c r="D251" i="5"/>
  <c r="D250" i="5"/>
  <c r="D249" i="5"/>
  <c r="R248" i="5"/>
  <c r="N248" i="5"/>
  <c r="M248" i="5"/>
  <c r="I248" i="5"/>
  <c r="H248" i="5"/>
  <c r="D248" i="5"/>
  <c r="R247" i="5"/>
  <c r="M247" i="5"/>
  <c r="I247" i="5"/>
  <c r="H247" i="5"/>
  <c r="F247" i="5"/>
  <c r="D247" i="5"/>
  <c r="E247" i="5" s="1"/>
  <c r="Q246" i="5"/>
  <c r="M246" i="5"/>
  <c r="H246" i="5"/>
  <c r="D246" i="5"/>
  <c r="D245" i="5"/>
  <c r="M244" i="5"/>
  <c r="H244" i="5"/>
  <c r="D244" i="5"/>
  <c r="M243" i="5"/>
  <c r="D243" i="5"/>
  <c r="D242" i="5"/>
  <c r="M241" i="5"/>
  <c r="D241" i="5"/>
  <c r="D240" i="5"/>
  <c r="R239" i="5"/>
  <c r="Q239" i="5"/>
  <c r="M239" i="5"/>
  <c r="I239" i="5"/>
  <c r="H239" i="5"/>
  <c r="F239" i="5"/>
  <c r="D239" i="5"/>
  <c r="E239" i="5" s="1"/>
  <c r="Q238" i="5"/>
  <c r="M238" i="5"/>
  <c r="H238" i="5"/>
  <c r="D238" i="5"/>
  <c r="D237" i="5"/>
  <c r="K236" i="5"/>
  <c r="M233" i="5"/>
  <c r="H233" i="5"/>
  <c r="D233" i="5"/>
  <c r="Q232" i="5"/>
  <c r="M232" i="5"/>
  <c r="H232" i="5"/>
  <c r="D232" i="5"/>
  <c r="D231" i="5"/>
  <c r="R230" i="5"/>
  <c r="H230" i="5"/>
  <c r="D230" i="5"/>
  <c r="M229" i="5"/>
  <c r="H229" i="5"/>
  <c r="D229" i="5"/>
  <c r="D228" i="5"/>
  <c r="D227" i="5"/>
  <c r="M226" i="5"/>
  <c r="D226" i="5"/>
  <c r="R225" i="5"/>
  <c r="M225" i="5"/>
  <c r="I225" i="5"/>
  <c r="H225" i="5"/>
  <c r="F225" i="5"/>
  <c r="D225" i="5"/>
  <c r="E225" i="5" s="1"/>
  <c r="R224" i="5"/>
  <c r="Q224" i="5"/>
  <c r="O224" i="5"/>
  <c r="M224" i="5"/>
  <c r="N224" i="5" s="1"/>
  <c r="I224" i="5"/>
  <c r="H224" i="5"/>
  <c r="F224" i="5"/>
  <c r="E224" i="5"/>
  <c r="D224" i="5"/>
  <c r="F223" i="5"/>
  <c r="D223" i="5"/>
  <c r="H222" i="5"/>
  <c r="D222" i="5"/>
  <c r="Q221" i="5"/>
  <c r="H221" i="5"/>
  <c r="D221" i="5"/>
  <c r="M221" i="5" s="1"/>
  <c r="D220" i="5"/>
  <c r="M219" i="5"/>
  <c r="D219" i="5"/>
  <c r="D218" i="5"/>
  <c r="D217" i="5"/>
  <c r="O216" i="5"/>
  <c r="N216" i="5"/>
  <c r="M216" i="5"/>
  <c r="Q216" i="5" s="1"/>
  <c r="D216" i="5"/>
  <c r="H215" i="5"/>
  <c r="D215" i="5"/>
  <c r="M214" i="5"/>
  <c r="H214" i="5"/>
  <c r="D214" i="5"/>
  <c r="Q213" i="5"/>
  <c r="M213" i="5"/>
  <c r="H213" i="5"/>
  <c r="D213" i="5"/>
  <c r="D212" i="5"/>
  <c r="H211" i="5"/>
  <c r="D211" i="5"/>
  <c r="M211" i="5" s="1"/>
  <c r="M210" i="5"/>
  <c r="H210" i="5"/>
  <c r="D210" i="5"/>
  <c r="D209" i="5"/>
  <c r="M208" i="5"/>
  <c r="D208" i="5"/>
  <c r="Q207" i="5"/>
  <c r="M207" i="5"/>
  <c r="H207" i="5"/>
  <c r="D207" i="5"/>
  <c r="D206" i="5"/>
  <c r="Q205" i="5"/>
  <c r="M205" i="5"/>
  <c r="H205" i="5"/>
  <c r="D205" i="5"/>
  <c r="D204" i="5"/>
  <c r="D203" i="5"/>
  <c r="K202" i="5"/>
  <c r="R199" i="5"/>
  <c r="Q199" i="5"/>
  <c r="O199" i="5"/>
  <c r="M199" i="5"/>
  <c r="N199" i="5" s="1"/>
  <c r="H199" i="5"/>
  <c r="F199" i="5"/>
  <c r="E199" i="5"/>
  <c r="D199" i="5"/>
  <c r="I199" i="5" s="1"/>
  <c r="D198" i="5"/>
  <c r="D197" i="5"/>
  <c r="D196" i="5"/>
  <c r="M195" i="5"/>
  <c r="H195" i="5"/>
  <c r="D195" i="5"/>
  <c r="Q194" i="5"/>
  <c r="M194" i="5"/>
  <c r="H194" i="5"/>
  <c r="D194" i="5"/>
  <c r="Q193" i="5"/>
  <c r="M193" i="5"/>
  <c r="H193" i="5"/>
  <c r="D193" i="5"/>
  <c r="R192" i="5"/>
  <c r="I192" i="5"/>
  <c r="H192" i="5"/>
  <c r="F192" i="5"/>
  <c r="D192" i="5"/>
  <c r="Q191" i="5"/>
  <c r="M191" i="5"/>
  <c r="H191" i="5"/>
  <c r="D191" i="5"/>
  <c r="D190" i="5"/>
  <c r="M189" i="5"/>
  <c r="Q189" i="5" s="1"/>
  <c r="D189" i="5"/>
  <c r="M188" i="5"/>
  <c r="D188" i="5"/>
  <c r="M187" i="5"/>
  <c r="H187" i="5"/>
  <c r="D187" i="5"/>
  <c r="Q186" i="5"/>
  <c r="M186" i="5"/>
  <c r="D186" i="5"/>
  <c r="R185" i="5"/>
  <c r="O185" i="5"/>
  <c r="M185" i="5"/>
  <c r="N185" i="5" s="1"/>
  <c r="I185" i="5"/>
  <c r="H185" i="5"/>
  <c r="F185" i="5"/>
  <c r="E185" i="5"/>
  <c r="D185" i="5"/>
  <c r="D184" i="5"/>
  <c r="Q183" i="5"/>
  <c r="M183" i="5"/>
  <c r="H183" i="5"/>
  <c r="D183" i="5"/>
  <c r="D182" i="5"/>
  <c r="D181" i="5"/>
  <c r="M180" i="5"/>
  <c r="D180" i="5"/>
  <c r="M179" i="5"/>
  <c r="H179" i="5"/>
  <c r="D179" i="5"/>
  <c r="M178" i="5"/>
  <c r="I178" i="5"/>
  <c r="F178" i="5"/>
  <c r="D178" i="5"/>
  <c r="E178" i="5" s="1"/>
  <c r="M177" i="5"/>
  <c r="H177" i="5"/>
  <c r="D177" i="5"/>
  <c r="D176" i="5"/>
  <c r="M175" i="5"/>
  <c r="H175" i="5"/>
  <c r="D175" i="5"/>
  <c r="D174" i="5"/>
  <c r="D173" i="5"/>
  <c r="M172" i="5"/>
  <c r="D172" i="5"/>
  <c r="R171" i="5"/>
  <c r="N171" i="5"/>
  <c r="M171" i="5"/>
  <c r="H171" i="5"/>
  <c r="D171" i="5"/>
  <c r="M170" i="5"/>
  <c r="D170" i="5"/>
  <c r="K169" i="5"/>
  <c r="D166" i="5"/>
  <c r="M165" i="5"/>
  <c r="H165" i="5"/>
  <c r="D165" i="5"/>
  <c r="Q164" i="5"/>
  <c r="M164" i="5"/>
  <c r="H164" i="5"/>
  <c r="D164" i="5"/>
  <c r="Q163" i="5"/>
  <c r="M163" i="5"/>
  <c r="H163" i="5"/>
  <c r="D163" i="5"/>
  <c r="D162" i="5"/>
  <c r="R161" i="5"/>
  <c r="M161" i="5"/>
  <c r="I161" i="5"/>
  <c r="H161" i="5"/>
  <c r="F161" i="5"/>
  <c r="E161" i="5"/>
  <c r="D161" i="5"/>
  <c r="H160" i="5"/>
  <c r="D160" i="5"/>
  <c r="M159" i="5"/>
  <c r="D159" i="5"/>
  <c r="M158" i="5"/>
  <c r="D158" i="5"/>
  <c r="M157" i="5"/>
  <c r="H157" i="5"/>
  <c r="D157" i="5"/>
  <c r="M156" i="5"/>
  <c r="H156" i="5"/>
  <c r="D156" i="5"/>
  <c r="Q155" i="5"/>
  <c r="M155" i="5"/>
  <c r="H155" i="5"/>
  <c r="D155" i="5"/>
  <c r="R154" i="5"/>
  <c r="D154" i="5"/>
  <c r="Q153" i="5"/>
  <c r="M153" i="5"/>
  <c r="H153" i="5"/>
  <c r="D153" i="5"/>
  <c r="H152" i="5"/>
  <c r="D152" i="5"/>
  <c r="M151" i="5"/>
  <c r="D151" i="5"/>
  <c r="M150" i="5"/>
  <c r="Q150" i="5" s="1"/>
  <c r="D150" i="5"/>
  <c r="M149" i="5"/>
  <c r="D149" i="5"/>
  <c r="M148" i="5"/>
  <c r="H148" i="5"/>
  <c r="D148" i="5"/>
  <c r="R147" i="5"/>
  <c r="Q147" i="5"/>
  <c r="O147" i="5"/>
  <c r="M147" i="5"/>
  <c r="N147" i="5" s="1"/>
  <c r="I147" i="5"/>
  <c r="H147" i="5"/>
  <c r="F147" i="5"/>
  <c r="E147" i="5"/>
  <c r="D147" i="5"/>
  <c r="H146" i="5"/>
  <c r="D146" i="5"/>
  <c r="M145" i="5"/>
  <c r="H145" i="5"/>
  <c r="D145" i="5"/>
  <c r="H144" i="5"/>
  <c r="D144" i="5"/>
  <c r="D143" i="5"/>
  <c r="D142" i="5"/>
  <c r="D141" i="5"/>
  <c r="R140" i="5"/>
  <c r="M140" i="5"/>
  <c r="I140" i="5"/>
  <c r="H140" i="5"/>
  <c r="F140" i="5"/>
  <c r="D140" i="5"/>
  <c r="E140" i="5" s="1"/>
  <c r="Q139" i="5"/>
  <c r="M139" i="5"/>
  <c r="H139" i="5"/>
  <c r="D139" i="5"/>
  <c r="D138" i="5"/>
  <c r="Q137" i="5"/>
  <c r="M137" i="5"/>
  <c r="H137" i="5"/>
  <c r="D137" i="5"/>
  <c r="D136" i="5"/>
  <c r="K135" i="5"/>
  <c r="D132" i="5"/>
  <c r="N131" i="5"/>
  <c r="M131" i="5"/>
  <c r="I131" i="5"/>
  <c r="H131" i="5"/>
  <c r="F131" i="5"/>
  <c r="D131" i="5"/>
  <c r="Q130" i="5"/>
  <c r="O130" i="5"/>
  <c r="N130" i="5"/>
  <c r="M130" i="5"/>
  <c r="H130" i="5"/>
  <c r="D130" i="5"/>
  <c r="I130" i="5" s="1"/>
  <c r="D129" i="5"/>
  <c r="D128" i="5"/>
  <c r="D127" i="5"/>
  <c r="M126" i="5"/>
  <c r="H126" i="5"/>
  <c r="D126" i="5"/>
  <c r="Q125" i="5"/>
  <c r="M125" i="5"/>
  <c r="H125" i="5"/>
  <c r="D125" i="5"/>
  <c r="D124" i="5"/>
  <c r="R123" i="5"/>
  <c r="D123" i="5"/>
  <c r="D122" i="5"/>
  <c r="D121" i="5"/>
  <c r="M120" i="5"/>
  <c r="D120" i="5"/>
  <c r="M119" i="5"/>
  <c r="D119" i="5"/>
  <c r="Q118" i="5"/>
  <c r="M118" i="5"/>
  <c r="H118" i="5"/>
  <c r="D118" i="5"/>
  <c r="M117" i="5"/>
  <c r="H117" i="5"/>
  <c r="D117" i="5"/>
  <c r="D116" i="5"/>
  <c r="M115" i="5"/>
  <c r="H115" i="5"/>
  <c r="D115" i="5"/>
  <c r="D114" i="5"/>
  <c r="H113" i="5"/>
  <c r="D113" i="5"/>
  <c r="D112" i="5"/>
  <c r="H111" i="5"/>
  <c r="D111" i="5"/>
  <c r="M110" i="5"/>
  <c r="H110" i="5"/>
  <c r="D110" i="5"/>
  <c r="R109" i="5"/>
  <c r="Q109" i="5"/>
  <c r="M109" i="5"/>
  <c r="N109" i="5" s="1"/>
  <c r="I109" i="5"/>
  <c r="H109" i="5"/>
  <c r="F109" i="5"/>
  <c r="E109" i="5"/>
  <c r="D109" i="5"/>
  <c r="D108" i="5"/>
  <c r="H107" i="5"/>
  <c r="D107" i="5"/>
  <c r="H106" i="5"/>
  <c r="D106" i="5"/>
  <c r="M106" i="5" s="1"/>
  <c r="Q106" i="5" s="1"/>
  <c r="D105" i="5"/>
  <c r="M104" i="5"/>
  <c r="D104" i="5"/>
  <c r="D103" i="5"/>
  <c r="K102" i="5"/>
  <c r="D99" i="5"/>
  <c r="Q98" i="5"/>
  <c r="M98" i="5"/>
  <c r="D98" i="5"/>
  <c r="D97" i="5"/>
  <c r="M96" i="5"/>
  <c r="D96" i="5"/>
  <c r="Q95" i="5"/>
  <c r="M95" i="5"/>
  <c r="H95" i="5"/>
  <c r="D95" i="5"/>
  <c r="Q94" i="5"/>
  <c r="H94" i="5"/>
  <c r="D94" i="5"/>
  <c r="M94" i="5" s="1"/>
  <c r="M93" i="5"/>
  <c r="Q93" i="5" s="1"/>
  <c r="D93" i="5"/>
  <c r="R92" i="5"/>
  <c r="Q92" i="5"/>
  <c r="M92" i="5"/>
  <c r="O92" i="5" s="1"/>
  <c r="I92" i="5"/>
  <c r="H92" i="5"/>
  <c r="F92" i="5"/>
  <c r="E92" i="5"/>
  <c r="D92" i="5"/>
  <c r="D91" i="5"/>
  <c r="M90" i="5"/>
  <c r="D90" i="5"/>
  <c r="M89" i="5"/>
  <c r="H89" i="5"/>
  <c r="D89" i="5"/>
  <c r="Q88" i="5"/>
  <c r="M88" i="5"/>
  <c r="H88" i="5"/>
  <c r="D88" i="5"/>
  <c r="Q87" i="5"/>
  <c r="M87" i="5"/>
  <c r="H87" i="5"/>
  <c r="D87" i="5"/>
  <c r="H86" i="5"/>
  <c r="D86" i="5"/>
  <c r="R85" i="5"/>
  <c r="M85" i="5"/>
  <c r="H85" i="5"/>
  <c r="F85" i="5"/>
  <c r="E85" i="5"/>
  <c r="D85" i="5"/>
  <c r="I85" i="5" s="1"/>
  <c r="D84" i="5"/>
  <c r="M83" i="5"/>
  <c r="D83" i="5"/>
  <c r="D82" i="5"/>
  <c r="M81" i="5"/>
  <c r="H81" i="5"/>
  <c r="D81" i="5"/>
  <c r="Q80" i="5"/>
  <c r="M80" i="5"/>
  <c r="H80" i="5"/>
  <c r="D80" i="5"/>
  <c r="Q79" i="5"/>
  <c r="M79" i="5"/>
  <c r="H79" i="5"/>
  <c r="D79" i="5"/>
  <c r="D78" i="5"/>
  <c r="Q77" i="5"/>
  <c r="M77" i="5"/>
  <c r="H77" i="5"/>
  <c r="D77" i="5"/>
  <c r="D76" i="5"/>
  <c r="M75" i="5"/>
  <c r="Q75" i="5" s="1"/>
  <c r="D75" i="5"/>
  <c r="M74" i="5"/>
  <c r="D74" i="5"/>
  <c r="M73" i="5"/>
  <c r="H73" i="5"/>
  <c r="D73" i="5"/>
  <c r="Q72" i="5"/>
  <c r="M72" i="5"/>
  <c r="H72" i="5"/>
  <c r="D72" i="5"/>
  <c r="R71" i="5"/>
  <c r="Q71" i="5"/>
  <c r="O71" i="5"/>
  <c r="M71" i="5"/>
  <c r="N71" i="5" s="1"/>
  <c r="I71" i="5"/>
  <c r="H71" i="5"/>
  <c r="F71" i="5"/>
  <c r="E71" i="5"/>
  <c r="D71" i="5"/>
  <c r="H70" i="5"/>
  <c r="D70" i="5"/>
  <c r="M69" i="5"/>
  <c r="H69" i="5"/>
  <c r="D69" i="5"/>
  <c r="K68" i="5"/>
  <c r="Q65" i="5"/>
  <c r="M65" i="5"/>
  <c r="H65" i="5"/>
  <c r="D65" i="5"/>
  <c r="H64" i="5"/>
  <c r="D64" i="5"/>
  <c r="Q63" i="5"/>
  <c r="M63" i="5"/>
  <c r="H63" i="5"/>
  <c r="D63" i="5"/>
  <c r="D62" i="5"/>
  <c r="D61" i="5"/>
  <c r="D60" i="5"/>
  <c r="M59" i="5"/>
  <c r="H59" i="5"/>
  <c r="D59" i="5"/>
  <c r="H58" i="5"/>
  <c r="D58" i="5"/>
  <c r="Q57" i="5"/>
  <c r="M57" i="5"/>
  <c r="H57" i="5"/>
  <c r="D57" i="5"/>
  <c r="H56" i="5"/>
  <c r="D56" i="5"/>
  <c r="M55" i="5"/>
  <c r="Q55" i="5" s="1"/>
  <c r="H55" i="5"/>
  <c r="D55" i="5"/>
  <c r="Q54" i="5"/>
  <c r="O54" i="5"/>
  <c r="N54" i="5"/>
  <c r="M54" i="5"/>
  <c r="E54" i="5"/>
  <c r="D54" i="5"/>
  <c r="D53" i="5"/>
  <c r="D52" i="5"/>
  <c r="M51" i="5"/>
  <c r="H51" i="5"/>
  <c r="D51" i="5"/>
  <c r="H50" i="5"/>
  <c r="D50" i="5"/>
  <c r="Q49" i="5"/>
  <c r="M49" i="5"/>
  <c r="H49" i="5"/>
  <c r="D49" i="5"/>
  <c r="I48" i="5"/>
  <c r="H48" i="5"/>
  <c r="F48" i="5"/>
  <c r="D48" i="5"/>
  <c r="M48" i="5" s="1"/>
  <c r="Q48" i="5" s="1"/>
  <c r="M47" i="5"/>
  <c r="H47" i="5"/>
  <c r="F47" i="5"/>
  <c r="E47" i="5"/>
  <c r="D47" i="5"/>
  <c r="I47" i="5" s="1"/>
  <c r="D46" i="5"/>
  <c r="M45" i="5"/>
  <c r="H45" i="5"/>
  <c r="D45" i="5"/>
  <c r="D44" i="5"/>
  <c r="M43" i="5"/>
  <c r="Q43" i="5" s="1"/>
  <c r="D43" i="5"/>
  <c r="M42" i="5"/>
  <c r="H42" i="5"/>
  <c r="D42" i="5"/>
  <c r="Q41" i="5"/>
  <c r="M41" i="5"/>
  <c r="H41" i="5"/>
  <c r="D41" i="5"/>
  <c r="D40" i="5"/>
  <c r="M39" i="5"/>
  <c r="D39" i="5"/>
  <c r="Q38" i="5"/>
  <c r="H38" i="5"/>
  <c r="D38" i="5"/>
  <c r="M38" i="5" s="1"/>
  <c r="K37" i="5"/>
  <c r="H34" i="5"/>
  <c r="D34" i="5"/>
  <c r="M34" i="5" s="1"/>
  <c r="M33" i="5"/>
  <c r="Q33" i="5" s="1"/>
  <c r="H33" i="5"/>
  <c r="D33" i="5"/>
  <c r="M32" i="5"/>
  <c r="H32" i="5"/>
  <c r="D32" i="5"/>
  <c r="Q31" i="5"/>
  <c r="M31" i="5"/>
  <c r="H31" i="5"/>
  <c r="D31" i="5"/>
  <c r="R30" i="5"/>
  <c r="O30" i="5"/>
  <c r="N30" i="5"/>
  <c r="I30" i="5"/>
  <c r="H30" i="5"/>
  <c r="F30" i="5"/>
  <c r="E30" i="5"/>
  <c r="D30" i="5"/>
  <c r="M30" i="5" s="1"/>
  <c r="Q30" i="5" s="1"/>
  <c r="D29" i="5"/>
  <c r="M28" i="5"/>
  <c r="H28" i="5"/>
  <c r="D28" i="5"/>
  <c r="Q27" i="5"/>
  <c r="M27" i="5"/>
  <c r="H27" i="5"/>
  <c r="D27" i="5"/>
  <c r="H26" i="5"/>
  <c r="D26" i="5"/>
  <c r="M26" i="5" s="1"/>
  <c r="Q26" i="5" s="1"/>
  <c r="H25" i="5"/>
  <c r="D25" i="5"/>
  <c r="M24" i="5"/>
  <c r="Q24" i="5" s="1"/>
  <c r="D24" i="5"/>
  <c r="Q23" i="5"/>
  <c r="M23" i="5"/>
  <c r="H23" i="5"/>
  <c r="D23" i="5"/>
  <c r="D22" i="5"/>
  <c r="M21" i="5"/>
  <c r="H21" i="5"/>
  <c r="D21" i="5"/>
  <c r="D20" i="5"/>
  <c r="M19" i="5"/>
  <c r="H19" i="5"/>
  <c r="D19" i="5"/>
  <c r="H18" i="5"/>
  <c r="D18" i="5"/>
  <c r="M18" i="5" s="1"/>
  <c r="M17" i="5"/>
  <c r="Q17" i="5" s="1"/>
  <c r="H17" i="5"/>
  <c r="D17" i="5"/>
  <c r="I16" i="5"/>
  <c r="H16" i="5"/>
  <c r="E16" i="5"/>
  <c r="D16" i="5"/>
  <c r="R15" i="5"/>
  <c r="M15" i="5"/>
  <c r="O15" i="5" s="1"/>
  <c r="I15" i="5"/>
  <c r="H15" i="5"/>
  <c r="F15" i="5"/>
  <c r="E15" i="5"/>
  <c r="D15" i="5"/>
  <c r="H14" i="5"/>
  <c r="D14" i="5"/>
  <c r="M14" i="5" s="1"/>
  <c r="Q14" i="5" s="1"/>
  <c r="D13" i="5"/>
  <c r="M12" i="5"/>
  <c r="H12" i="5"/>
  <c r="D12" i="5"/>
  <c r="Q11" i="5"/>
  <c r="M11" i="5"/>
  <c r="H11" i="5"/>
  <c r="D11" i="5"/>
  <c r="H10" i="5"/>
  <c r="D10" i="5"/>
  <c r="M10" i="5" s="1"/>
  <c r="Q10" i="5" s="1"/>
  <c r="R9" i="5"/>
  <c r="H9" i="5"/>
  <c r="F9" i="5"/>
  <c r="E9" i="5"/>
  <c r="D9" i="5"/>
  <c r="I9" i="5" s="1"/>
  <c r="O8" i="5"/>
  <c r="M8" i="5"/>
  <c r="Q8" i="5" s="1"/>
  <c r="I8" i="5"/>
  <c r="E8" i="5"/>
  <c r="D8" i="5"/>
  <c r="R7" i="5"/>
  <c r="Q7" i="5"/>
  <c r="M7" i="5"/>
  <c r="O7" i="5" s="1"/>
  <c r="I7" i="5"/>
  <c r="H7" i="5"/>
  <c r="F7" i="5"/>
  <c r="E7" i="5"/>
  <c r="D7" i="5"/>
  <c r="E6" i="5"/>
  <c r="D6" i="5"/>
  <c r="R5" i="5"/>
  <c r="M5" i="5"/>
  <c r="H5" i="5"/>
  <c r="F5" i="5"/>
  <c r="E5" i="5"/>
  <c r="D5" i="5"/>
  <c r="I5" i="5" s="1"/>
  <c r="T4" i="5"/>
  <c r="T5" i="5" s="1"/>
  <c r="T6" i="5" s="1"/>
  <c r="T7" i="5" s="1"/>
  <c r="T8" i="5" s="1"/>
  <c r="T9" i="5" s="1"/>
  <c r="T10" i="5" s="1"/>
  <c r="T11" i="5" s="1"/>
  <c r="T12" i="5" s="1"/>
  <c r="T13" i="5" s="1"/>
  <c r="T14" i="5" s="1"/>
  <c r="T15" i="5" s="1"/>
  <c r="T16" i="5" s="1"/>
  <c r="T17" i="5" s="1"/>
  <c r="T18" i="5" s="1"/>
  <c r="T19" i="5" s="1"/>
  <c r="T20" i="5" s="1"/>
  <c r="T21" i="5" s="1"/>
  <c r="T22" i="5" s="1"/>
  <c r="T23" i="5" s="1"/>
  <c r="T24" i="5" s="1"/>
  <c r="T25" i="5" s="1"/>
  <c r="T26" i="5" s="1"/>
  <c r="T27" i="5" s="1"/>
  <c r="T28" i="5" s="1"/>
  <c r="T29" i="5" s="1"/>
  <c r="T30" i="5" s="1"/>
  <c r="T31" i="5" s="1"/>
  <c r="T32" i="5" s="1"/>
  <c r="T33" i="5" s="1"/>
  <c r="T34" i="5" s="1"/>
  <c r="T38" i="5" s="1"/>
  <c r="T39" i="5" s="1"/>
  <c r="T40" i="5" s="1"/>
  <c r="T41" i="5" s="1"/>
  <c r="T42" i="5" s="1"/>
  <c r="T43" i="5" s="1"/>
  <c r="T44" i="5" s="1"/>
  <c r="T45" i="5" s="1"/>
  <c r="T46" i="5" s="1"/>
  <c r="T47" i="5" s="1"/>
  <c r="T48" i="5" s="1"/>
  <c r="T49" i="5" s="1"/>
  <c r="T50" i="5" s="1"/>
  <c r="T51" i="5" s="1"/>
  <c r="T52" i="5" s="1"/>
  <c r="T53" i="5" s="1"/>
  <c r="T54" i="5" s="1"/>
  <c r="T55" i="5" s="1"/>
  <c r="T56" i="5" s="1"/>
  <c r="T57" i="5" s="1"/>
  <c r="T58" i="5" s="1"/>
  <c r="T59" i="5" s="1"/>
  <c r="T60" i="5" s="1"/>
  <c r="T61" i="5" s="1"/>
  <c r="T62" i="5" s="1"/>
  <c r="T63" i="5" s="1"/>
  <c r="T64" i="5" s="1"/>
  <c r="T65" i="5" s="1"/>
  <c r="T69" i="5" s="1"/>
  <c r="T70" i="5" s="1"/>
  <c r="T71" i="5" s="1"/>
  <c r="T72" i="5" s="1"/>
  <c r="T73" i="5" s="1"/>
  <c r="T74" i="5" s="1"/>
  <c r="T75" i="5" s="1"/>
  <c r="T76" i="5" s="1"/>
  <c r="T77" i="5" s="1"/>
  <c r="T78" i="5" s="1"/>
  <c r="T79" i="5" s="1"/>
  <c r="T80" i="5" s="1"/>
  <c r="T81" i="5" s="1"/>
  <c r="T82" i="5" s="1"/>
  <c r="T83" i="5" s="1"/>
  <c r="T84" i="5" s="1"/>
  <c r="T85" i="5" s="1"/>
  <c r="T86" i="5" s="1"/>
  <c r="T87" i="5" s="1"/>
  <c r="T88" i="5" s="1"/>
  <c r="T89" i="5" s="1"/>
  <c r="T90" i="5" s="1"/>
  <c r="T91" i="5" s="1"/>
  <c r="T92" i="5" s="1"/>
  <c r="T93" i="5" s="1"/>
  <c r="T94" i="5" s="1"/>
  <c r="T95" i="5" s="1"/>
  <c r="T96" i="5" s="1"/>
  <c r="T97" i="5" s="1"/>
  <c r="T98" i="5" s="1"/>
  <c r="T99" i="5" s="1"/>
  <c r="T103" i="5" s="1"/>
  <c r="T104" i="5" s="1"/>
  <c r="T105" i="5" s="1"/>
  <c r="T106" i="5" s="1"/>
  <c r="T107" i="5" s="1"/>
  <c r="T108" i="5" s="1"/>
  <c r="T109" i="5" s="1"/>
  <c r="T110" i="5" s="1"/>
  <c r="T111" i="5" s="1"/>
  <c r="T112" i="5" s="1"/>
  <c r="T113" i="5" s="1"/>
  <c r="T114" i="5" s="1"/>
  <c r="T115" i="5" s="1"/>
  <c r="T116" i="5" s="1"/>
  <c r="T117" i="5" s="1"/>
  <c r="T118" i="5" s="1"/>
  <c r="T119" i="5" s="1"/>
  <c r="T120" i="5" s="1"/>
  <c r="T121" i="5" s="1"/>
  <c r="T122" i="5" s="1"/>
  <c r="T123" i="5" s="1"/>
  <c r="T124" i="5" s="1"/>
  <c r="T125" i="5" s="1"/>
  <c r="T126" i="5" s="1"/>
  <c r="T127" i="5" s="1"/>
  <c r="T128" i="5" s="1"/>
  <c r="T129" i="5" s="1"/>
  <c r="T130" i="5" s="1"/>
  <c r="T131" i="5" s="1"/>
  <c r="T132" i="5" s="1"/>
  <c r="T136" i="5" s="1"/>
  <c r="T137" i="5" s="1"/>
  <c r="T138" i="5" s="1"/>
  <c r="T139" i="5" s="1"/>
  <c r="T140" i="5" s="1"/>
  <c r="T141" i="5" s="1"/>
  <c r="T142" i="5" s="1"/>
  <c r="T143" i="5" s="1"/>
  <c r="T144" i="5" s="1"/>
  <c r="T145" i="5" s="1"/>
  <c r="T146" i="5" s="1"/>
  <c r="T147" i="5" s="1"/>
  <c r="T148" i="5" s="1"/>
  <c r="T149" i="5" s="1"/>
  <c r="T150" i="5" s="1"/>
  <c r="T151" i="5" s="1"/>
  <c r="T152" i="5" s="1"/>
  <c r="T153" i="5" s="1"/>
  <c r="T154" i="5" s="1"/>
  <c r="T155" i="5" s="1"/>
  <c r="T156" i="5" s="1"/>
  <c r="T157" i="5" s="1"/>
  <c r="T158" i="5" s="1"/>
  <c r="T159" i="5" s="1"/>
  <c r="T160" i="5" s="1"/>
  <c r="T161" i="5" s="1"/>
  <c r="T162" i="5" s="1"/>
  <c r="T163" i="5" s="1"/>
  <c r="T164" i="5" s="1"/>
  <c r="T165" i="5" s="1"/>
  <c r="T166" i="5" s="1"/>
  <c r="T170" i="5" s="1"/>
  <c r="T171" i="5" s="1"/>
  <c r="T172" i="5" s="1"/>
  <c r="T173" i="5" s="1"/>
  <c r="T174" i="5" s="1"/>
  <c r="T175" i="5" s="1"/>
  <c r="T176" i="5" s="1"/>
  <c r="T177" i="5" s="1"/>
  <c r="T178" i="5" s="1"/>
  <c r="T179" i="5" s="1"/>
  <c r="T180" i="5" s="1"/>
  <c r="T181" i="5" s="1"/>
  <c r="T182" i="5" s="1"/>
  <c r="T183" i="5" s="1"/>
  <c r="T184" i="5" s="1"/>
  <c r="T185" i="5" s="1"/>
  <c r="T186" i="5" s="1"/>
  <c r="T187" i="5" s="1"/>
  <c r="T188" i="5" s="1"/>
  <c r="T189" i="5" s="1"/>
  <c r="T190" i="5" s="1"/>
  <c r="T191" i="5" s="1"/>
  <c r="T192" i="5" s="1"/>
  <c r="T193" i="5" s="1"/>
  <c r="T194" i="5" s="1"/>
  <c r="T195" i="5" s="1"/>
  <c r="T196" i="5" s="1"/>
  <c r="T197" i="5" s="1"/>
  <c r="T198" i="5" s="1"/>
  <c r="T199" i="5" s="1"/>
  <c r="T203" i="5" s="1"/>
  <c r="T204" i="5" s="1"/>
  <c r="T205" i="5" s="1"/>
  <c r="T206" i="5" s="1"/>
  <c r="T207" i="5" s="1"/>
  <c r="T208" i="5" s="1"/>
  <c r="T209" i="5" s="1"/>
  <c r="T210" i="5" s="1"/>
  <c r="T211" i="5" s="1"/>
  <c r="T212" i="5" s="1"/>
  <c r="T213" i="5" s="1"/>
  <c r="T214" i="5" s="1"/>
  <c r="T215" i="5" s="1"/>
  <c r="T216" i="5" s="1"/>
  <c r="T217" i="5" s="1"/>
  <c r="T218" i="5" s="1"/>
  <c r="T219" i="5" s="1"/>
  <c r="T220" i="5" s="1"/>
  <c r="T221" i="5" s="1"/>
  <c r="T222" i="5" s="1"/>
  <c r="T223" i="5" s="1"/>
  <c r="T224" i="5" s="1"/>
  <c r="T225" i="5" s="1"/>
  <c r="T226" i="5" s="1"/>
  <c r="T227" i="5" s="1"/>
  <c r="T228" i="5" s="1"/>
  <c r="T229" i="5" s="1"/>
  <c r="T230" i="5" s="1"/>
  <c r="T231" i="5" s="1"/>
  <c r="T232" i="5" s="1"/>
  <c r="T233" i="5" s="1"/>
  <c r="T237" i="5" s="1"/>
  <c r="T238" i="5" s="1"/>
  <c r="T239" i="5" s="1"/>
  <c r="T240" i="5" s="1"/>
  <c r="T241" i="5" s="1"/>
  <c r="T242" i="5" s="1"/>
  <c r="T243" i="5" s="1"/>
  <c r="T244" i="5" s="1"/>
  <c r="T245" i="5" s="1"/>
  <c r="T246" i="5" s="1"/>
  <c r="T247" i="5" s="1"/>
  <c r="T248" i="5" s="1"/>
  <c r="T249" i="5" s="1"/>
  <c r="T250" i="5" s="1"/>
  <c r="T251" i="5" s="1"/>
  <c r="T252" i="5" s="1"/>
  <c r="T253" i="5" s="1"/>
  <c r="T254" i="5" s="1"/>
  <c r="T255" i="5" s="1"/>
  <c r="T256" i="5" s="1"/>
  <c r="T257" i="5" s="1"/>
  <c r="T258" i="5" s="1"/>
  <c r="T259" i="5" s="1"/>
  <c r="T260" i="5" s="1"/>
  <c r="T261" i="5" s="1"/>
  <c r="T262" i="5" s="1"/>
  <c r="T263" i="5" s="1"/>
  <c r="T264" i="5" s="1"/>
  <c r="T265" i="5" s="1"/>
  <c r="T266" i="5" s="1"/>
  <c r="T267" i="5" s="1"/>
  <c r="T271" i="5" s="1"/>
  <c r="T272" i="5" s="1"/>
  <c r="T273" i="5" s="1"/>
  <c r="T274" i="5" s="1"/>
  <c r="T275" i="5" s="1"/>
  <c r="T276" i="5" s="1"/>
  <c r="T277" i="5" s="1"/>
  <c r="T278" i="5" s="1"/>
  <c r="T279" i="5" s="1"/>
  <c r="T280" i="5" s="1"/>
  <c r="T281" i="5" s="1"/>
  <c r="T282" i="5" s="1"/>
  <c r="T283" i="5" s="1"/>
  <c r="T284" i="5" s="1"/>
  <c r="T285" i="5" s="1"/>
  <c r="T286" i="5" s="1"/>
  <c r="T287" i="5" s="1"/>
  <c r="T288" i="5" s="1"/>
  <c r="T289" i="5" s="1"/>
  <c r="T290" i="5" s="1"/>
  <c r="T291" i="5" s="1"/>
  <c r="T292" i="5" s="1"/>
  <c r="T293" i="5" s="1"/>
  <c r="T294" i="5" s="1"/>
  <c r="T295" i="5" s="1"/>
  <c r="T296" i="5" s="1"/>
  <c r="T297" i="5" s="1"/>
  <c r="T298" i="5" s="1"/>
  <c r="T299" i="5" s="1"/>
  <c r="T300" i="5" s="1"/>
  <c r="T304" i="5" s="1"/>
  <c r="T305" i="5" s="1"/>
  <c r="T306" i="5" s="1"/>
  <c r="T307" i="5" s="1"/>
  <c r="T308" i="5" s="1"/>
  <c r="T309" i="5" s="1"/>
  <c r="T310" i="5" s="1"/>
  <c r="T311" i="5" s="1"/>
  <c r="T312" i="5" s="1"/>
  <c r="T313" i="5" s="1"/>
  <c r="T314" i="5" s="1"/>
  <c r="T315" i="5" s="1"/>
  <c r="T316" i="5" s="1"/>
  <c r="T317" i="5" s="1"/>
  <c r="T318" i="5" s="1"/>
  <c r="T319" i="5" s="1"/>
  <c r="T320" i="5" s="1"/>
  <c r="T321" i="5" s="1"/>
  <c r="T322" i="5" s="1"/>
  <c r="T323" i="5" s="1"/>
  <c r="T324" i="5" s="1"/>
  <c r="T325" i="5" s="1"/>
  <c r="T326" i="5" s="1"/>
  <c r="T327" i="5" s="1"/>
  <c r="T328" i="5" s="1"/>
  <c r="T329" i="5" s="1"/>
  <c r="T330" i="5" s="1"/>
  <c r="T331" i="5" s="1"/>
  <c r="T332" i="5" s="1"/>
  <c r="T333" i="5" s="1"/>
  <c r="T334" i="5" s="1"/>
  <c r="T338" i="5" s="1"/>
  <c r="T339" i="5" s="1"/>
  <c r="T340" i="5" s="1"/>
  <c r="T341" i="5" s="1"/>
  <c r="T342" i="5" s="1"/>
  <c r="T343" i="5" s="1"/>
  <c r="T344" i="5" s="1"/>
  <c r="T345" i="5" s="1"/>
  <c r="T346" i="5" s="1"/>
  <c r="T347" i="5" s="1"/>
  <c r="T348" i="5" s="1"/>
  <c r="T349" i="5" s="1"/>
  <c r="T350" i="5" s="1"/>
  <c r="T351" i="5" s="1"/>
  <c r="T352" i="5" s="1"/>
  <c r="T353" i="5" s="1"/>
  <c r="T354" i="5" s="1"/>
  <c r="T355" i="5" s="1"/>
  <c r="T356" i="5" s="1"/>
  <c r="T357" i="5" s="1"/>
  <c r="T358" i="5" s="1"/>
  <c r="T359" i="5" s="1"/>
  <c r="T360" i="5" s="1"/>
  <c r="T361" i="5" s="1"/>
  <c r="T362" i="5" s="1"/>
  <c r="T363" i="5" s="1"/>
  <c r="T364" i="5" s="1"/>
  <c r="T365" i="5" s="1"/>
  <c r="T366" i="5" s="1"/>
  <c r="T367" i="5" s="1"/>
  <c r="T371" i="5" s="1"/>
  <c r="T372" i="5" s="1"/>
  <c r="T373" i="5" s="1"/>
  <c r="T374" i="5" s="1"/>
  <c r="T375" i="5" s="1"/>
  <c r="T376" i="5" s="1"/>
  <c r="T377" i="5" s="1"/>
  <c r="T378" i="5" s="1"/>
  <c r="T379" i="5" s="1"/>
  <c r="T380" i="5" s="1"/>
  <c r="T381" i="5" s="1"/>
  <c r="T382" i="5" s="1"/>
  <c r="T383" i="5" s="1"/>
  <c r="T384" i="5" s="1"/>
  <c r="T385" i="5" s="1"/>
  <c r="T386" i="5" s="1"/>
  <c r="T387" i="5" s="1"/>
  <c r="T388" i="5" s="1"/>
  <c r="T389" i="5" s="1"/>
  <c r="T390" i="5" s="1"/>
  <c r="T391" i="5" s="1"/>
  <c r="T392" i="5" s="1"/>
  <c r="T393" i="5" s="1"/>
  <c r="T394" i="5" s="1"/>
  <c r="T395" i="5" s="1"/>
  <c r="T396" i="5" s="1"/>
  <c r="T397" i="5" s="1"/>
  <c r="T398" i="5" s="1"/>
  <c r="T399" i="5" s="1"/>
  <c r="T400" i="5" s="1"/>
  <c r="T401" i="5" s="1"/>
  <c r="E4" i="5"/>
  <c r="D4" i="5"/>
  <c r="B4" i="5"/>
  <c r="K4" i="5" s="1"/>
  <c r="K3" i="5"/>
  <c r="A1" i="4"/>
  <c r="X385" i="3"/>
  <c r="W385" i="3"/>
  <c r="V385" i="3"/>
  <c r="U385" i="3"/>
  <c r="S385" i="3"/>
  <c r="R385" i="3"/>
  <c r="Q385" i="3"/>
  <c r="P385" i="3"/>
  <c r="N385" i="3"/>
  <c r="M385" i="3"/>
  <c r="L385" i="3"/>
  <c r="X384" i="3"/>
  <c r="W384" i="3"/>
  <c r="V384" i="3"/>
  <c r="U384" i="3"/>
  <c r="S384" i="3"/>
  <c r="R384" i="3"/>
  <c r="Q384" i="3"/>
  <c r="P384" i="3"/>
  <c r="N384" i="3"/>
  <c r="M384" i="3"/>
  <c r="L384" i="3"/>
  <c r="V383" i="3"/>
  <c r="Q383" i="3"/>
  <c r="V382" i="3"/>
  <c r="Q382" i="3"/>
  <c r="V381" i="3"/>
  <c r="Q381" i="3"/>
  <c r="V380" i="3"/>
  <c r="Q380" i="3"/>
  <c r="V379" i="3"/>
  <c r="Q379" i="3"/>
  <c r="V378" i="3"/>
  <c r="Q378" i="3"/>
  <c r="V377" i="3"/>
  <c r="Q377" i="3"/>
  <c r="V376" i="3"/>
  <c r="Q376" i="3"/>
  <c r="V375" i="3"/>
  <c r="Q375" i="3"/>
  <c r="V374" i="3"/>
  <c r="Q374" i="3"/>
  <c r="V373" i="3"/>
  <c r="Q373" i="3"/>
  <c r="W372" i="3"/>
  <c r="V372" i="3"/>
  <c r="U372" i="3"/>
  <c r="X372" i="3" s="1"/>
  <c r="S372" i="3"/>
  <c r="R372" i="3"/>
  <c r="Q372" i="3"/>
  <c r="P372" i="3"/>
  <c r="N372" i="3"/>
  <c r="M372" i="3"/>
  <c r="L372" i="3"/>
  <c r="W371" i="3"/>
  <c r="V371" i="3"/>
  <c r="U371" i="3"/>
  <c r="R371" i="3"/>
  <c r="Q371" i="3"/>
  <c r="P371" i="3"/>
  <c r="S371" i="3" s="1"/>
  <c r="M371" i="3"/>
  <c r="L371" i="3"/>
  <c r="N371" i="3" s="1"/>
  <c r="W370" i="3"/>
  <c r="V370" i="3"/>
  <c r="U370" i="3"/>
  <c r="R370" i="3"/>
  <c r="Q370" i="3"/>
  <c r="S370" i="3" s="1"/>
  <c r="P370" i="3"/>
  <c r="M370" i="3"/>
  <c r="L370" i="3"/>
  <c r="N370" i="3" s="1"/>
  <c r="V369" i="3"/>
  <c r="Q369" i="3"/>
  <c r="V368" i="3"/>
  <c r="Q368" i="3"/>
  <c r="V367" i="3"/>
  <c r="Q367" i="3"/>
  <c r="V366" i="3"/>
  <c r="Q366" i="3"/>
  <c r="V365" i="3"/>
  <c r="Q365" i="3"/>
  <c r="V364" i="3"/>
  <c r="Q364" i="3"/>
  <c r="W363" i="3"/>
  <c r="V363" i="3"/>
  <c r="X363" i="3" s="1"/>
  <c r="U363" i="3"/>
  <c r="S363" i="3"/>
  <c r="R363" i="3"/>
  <c r="Q363" i="3"/>
  <c r="P363" i="3"/>
  <c r="M363" i="3"/>
  <c r="L363" i="3"/>
  <c r="N363" i="3" s="1"/>
  <c r="V362" i="3"/>
  <c r="Q362" i="3"/>
  <c r="V361" i="3"/>
  <c r="Q361" i="3"/>
  <c r="V360" i="3"/>
  <c r="Q360" i="3"/>
  <c r="V359" i="3"/>
  <c r="Q359" i="3"/>
  <c r="V358" i="3"/>
  <c r="Q358" i="3"/>
  <c r="V357" i="3"/>
  <c r="Q357" i="3"/>
  <c r="X356" i="3"/>
  <c r="W356" i="3"/>
  <c r="V356" i="3"/>
  <c r="U356" i="3"/>
  <c r="S356" i="3"/>
  <c r="R356" i="3"/>
  <c r="Q356" i="3"/>
  <c r="P356" i="3"/>
  <c r="N356" i="3"/>
  <c r="M356" i="3"/>
  <c r="L356" i="3"/>
  <c r="V355" i="3"/>
  <c r="Q355" i="3"/>
  <c r="V354" i="3"/>
  <c r="Q354" i="3"/>
  <c r="V353" i="3"/>
  <c r="Q353" i="3"/>
  <c r="V352" i="3"/>
  <c r="Q352" i="3"/>
  <c r="V351" i="3"/>
  <c r="Q351" i="3"/>
  <c r="W350" i="3"/>
  <c r="V350" i="3"/>
  <c r="X350" i="3" s="1"/>
  <c r="U350" i="3"/>
  <c r="R350" i="3"/>
  <c r="Q350" i="3"/>
  <c r="S350" i="3" s="1"/>
  <c r="P350" i="3"/>
  <c r="M350" i="3"/>
  <c r="L350" i="3"/>
  <c r="N350" i="3" s="1"/>
  <c r="X349" i="3"/>
  <c r="W349" i="3"/>
  <c r="V349" i="3"/>
  <c r="U349" i="3"/>
  <c r="R349" i="3"/>
  <c r="Q349" i="3"/>
  <c r="S349" i="3" s="1"/>
  <c r="P349" i="3"/>
  <c r="N349" i="3"/>
  <c r="M349" i="3"/>
  <c r="L349" i="3"/>
  <c r="V348" i="3"/>
  <c r="Q348" i="3"/>
  <c r="V347" i="3"/>
  <c r="Q347" i="3"/>
  <c r="V346" i="3"/>
  <c r="Q346" i="3"/>
  <c r="V345" i="3"/>
  <c r="Q345" i="3"/>
  <c r="V344" i="3"/>
  <c r="Q344" i="3"/>
  <c r="W343" i="3"/>
  <c r="V343" i="3"/>
  <c r="X343" i="3" s="1"/>
  <c r="U343" i="3"/>
  <c r="R343" i="3"/>
  <c r="Q343" i="3"/>
  <c r="P343" i="3"/>
  <c r="N343" i="3"/>
  <c r="M343" i="3"/>
  <c r="L343" i="3"/>
  <c r="W342" i="3"/>
  <c r="V342" i="3"/>
  <c r="X342" i="3" s="1"/>
  <c r="U342" i="3"/>
  <c r="R342" i="3"/>
  <c r="Q342" i="3"/>
  <c r="S342" i="3" s="1"/>
  <c r="P342" i="3"/>
  <c r="M342" i="3"/>
  <c r="L342" i="3"/>
  <c r="N342" i="3" s="1"/>
  <c r="V341" i="3"/>
  <c r="Q341" i="3"/>
  <c r="V340" i="3"/>
  <c r="Q340" i="3"/>
  <c r="V339" i="3"/>
  <c r="Q339" i="3"/>
  <c r="V338" i="3"/>
  <c r="Q338" i="3"/>
  <c r="V337" i="3"/>
  <c r="Q337" i="3"/>
  <c r="V336" i="3"/>
  <c r="Q336" i="3"/>
  <c r="W335" i="3"/>
  <c r="V335" i="3"/>
  <c r="U335" i="3"/>
  <c r="X335" i="3" s="1"/>
  <c r="R335" i="3"/>
  <c r="Q335" i="3"/>
  <c r="S335" i="3" s="1"/>
  <c r="P335" i="3"/>
  <c r="N335" i="3"/>
  <c r="M335" i="3"/>
  <c r="L335" i="3"/>
  <c r="V334" i="3"/>
  <c r="Q334" i="3"/>
  <c r="V333" i="3"/>
  <c r="Q333" i="3"/>
  <c r="V332" i="3"/>
  <c r="Q332" i="3"/>
  <c r="V331" i="3"/>
  <c r="Q331" i="3"/>
  <c r="V330" i="3"/>
  <c r="Q330" i="3"/>
  <c r="V329" i="3"/>
  <c r="Q329" i="3"/>
  <c r="X328" i="3"/>
  <c r="W328" i="3"/>
  <c r="V328" i="3"/>
  <c r="U328" i="3"/>
  <c r="S328" i="3"/>
  <c r="R328" i="3"/>
  <c r="Q328" i="3"/>
  <c r="P328" i="3"/>
  <c r="N328" i="3"/>
  <c r="M328" i="3"/>
  <c r="L328" i="3"/>
  <c r="V327" i="3"/>
  <c r="Q327" i="3"/>
  <c r="V326" i="3"/>
  <c r="Q326" i="3"/>
  <c r="V325" i="3"/>
  <c r="Q325" i="3"/>
  <c r="V324" i="3"/>
  <c r="Q324" i="3"/>
  <c r="V323" i="3"/>
  <c r="Q323" i="3"/>
  <c r="V322" i="3"/>
  <c r="Q322" i="3"/>
  <c r="W321" i="3"/>
  <c r="V321" i="3"/>
  <c r="U321" i="3"/>
  <c r="S321" i="3"/>
  <c r="R321" i="3"/>
  <c r="Q321" i="3"/>
  <c r="P321" i="3"/>
  <c r="M321" i="3"/>
  <c r="L321" i="3"/>
  <c r="N321" i="3" s="1"/>
  <c r="V320" i="3"/>
  <c r="Q320" i="3"/>
  <c r="V319" i="3"/>
  <c r="Q319" i="3"/>
  <c r="V318" i="3"/>
  <c r="Q318" i="3"/>
  <c r="V317" i="3"/>
  <c r="Q317" i="3"/>
  <c r="V316" i="3"/>
  <c r="Q316" i="3"/>
  <c r="V315" i="3"/>
  <c r="Q315" i="3"/>
  <c r="W314" i="3"/>
  <c r="V314" i="3"/>
  <c r="U314" i="3"/>
  <c r="X314" i="3" s="1"/>
  <c r="S314" i="3"/>
  <c r="R314" i="3"/>
  <c r="Q314" i="3"/>
  <c r="P314" i="3"/>
  <c r="N314" i="3"/>
  <c r="M314" i="3"/>
  <c r="L314" i="3"/>
  <c r="V313" i="3"/>
  <c r="Q313" i="3"/>
  <c r="V312" i="3"/>
  <c r="Q312" i="3"/>
  <c r="V311" i="3"/>
  <c r="Q311" i="3"/>
  <c r="V310" i="3"/>
  <c r="Q310" i="3"/>
  <c r="V309" i="3"/>
  <c r="Q309" i="3"/>
  <c r="W308" i="3"/>
  <c r="V308" i="3"/>
  <c r="X308" i="3" s="1"/>
  <c r="U308" i="3"/>
  <c r="R308" i="3"/>
  <c r="Q308" i="3"/>
  <c r="S308" i="3" s="1"/>
  <c r="P308" i="3"/>
  <c r="M308" i="3"/>
  <c r="L308" i="3"/>
  <c r="N308" i="3" s="1"/>
  <c r="W307" i="3"/>
  <c r="V307" i="3"/>
  <c r="X307" i="3" s="1"/>
  <c r="U307" i="3"/>
  <c r="S307" i="3"/>
  <c r="R307" i="3"/>
  <c r="Q307" i="3"/>
  <c r="P307" i="3"/>
  <c r="M307" i="3"/>
  <c r="L307" i="3"/>
  <c r="N307" i="3" s="1"/>
  <c r="V306" i="3"/>
  <c r="Q306" i="3"/>
  <c r="V305" i="3"/>
  <c r="Q305" i="3"/>
  <c r="V304" i="3"/>
  <c r="Q304" i="3"/>
  <c r="V303" i="3"/>
  <c r="Q303" i="3"/>
  <c r="V302" i="3"/>
  <c r="Q302" i="3"/>
  <c r="V301" i="3"/>
  <c r="Q301" i="3"/>
  <c r="W300" i="3"/>
  <c r="V300" i="3"/>
  <c r="X300" i="3" s="1"/>
  <c r="U300" i="3"/>
  <c r="R300" i="3"/>
  <c r="Q300" i="3"/>
  <c r="S300" i="3" s="1"/>
  <c r="P300" i="3"/>
  <c r="M300" i="3"/>
  <c r="L300" i="3"/>
  <c r="N300" i="3" s="1"/>
  <c r="V299" i="3"/>
  <c r="Q299" i="3"/>
  <c r="V298" i="3"/>
  <c r="Q298" i="3"/>
  <c r="V297" i="3"/>
  <c r="Q297" i="3"/>
  <c r="V296" i="3"/>
  <c r="Q296" i="3"/>
  <c r="V295" i="3"/>
  <c r="Q295" i="3"/>
  <c r="V294" i="3"/>
  <c r="Q294" i="3"/>
  <c r="W293" i="3"/>
  <c r="V293" i="3"/>
  <c r="U293" i="3"/>
  <c r="X293" i="3" s="1"/>
  <c r="R293" i="3"/>
  <c r="Q293" i="3"/>
  <c r="P293" i="3"/>
  <c r="N293" i="3"/>
  <c r="M293" i="3"/>
  <c r="L293" i="3"/>
  <c r="V292" i="3"/>
  <c r="Q292" i="3"/>
  <c r="V291" i="3"/>
  <c r="Q291" i="3"/>
  <c r="V290" i="3"/>
  <c r="Q290" i="3"/>
  <c r="V289" i="3"/>
  <c r="Q289" i="3"/>
  <c r="V288" i="3"/>
  <c r="Q288" i="3"/>
  <c r="V287" i="3"/>
  <c r="Q287" i="3"/>
  <c r="X286" i="3"/>
  <c r="W286" i="3"/>
  <c r="V286" i="3"/>
  <c r="U286" i="3"/>
  <c r="R286" i="3"/>
  <c r="Q286" i="3"/>
  <c r="P286" i="3"/>
  <c r="N286" i="3"/>
  <c r="M286" i="3"/>
  <c r="L286" i="3"/>
  <c r="W285" i="3"/>
  <c r="V285" i="3"/>
  <c r="U285" i="3"/>
  <c r="X285" i="3" s="1"/>
  <c r="R285" i="3"/>
  <c r="Q285" i="3"/>
  <c r="S285" i="3" s="1"/>
  <c r="P285" i="3"/>
  <c r="N285" i="3"/>
  <c r="M285" i="3"/>
  <c r="L285" i="3"/>
  <c r="V284" i="3"/>
  <c r="Q284" i="3"/>
  <c r="V283" i="3"/>
  <c r="Q283" i="3"/>
  <c r="V282" i="3"/>
  <c r="Q282" i="3"/>
  <c r="V281" i="3"/>
  <c r="Q281" i="3"/>
  <c r="V280" i="3"/>
  <c r="Q280" i="3"/>
  <c r="X279" i="3"/>
  <c r="W279" i="3"/>
  <c r="V279" i="3"/>
  <c r="U279" i="3"/>
  <c r="R279" i="3"/>
  <c r="Q279" i="3"/>
  <c r="P279" i="3"/>
  <c r="N279" i="3"/>
  <c r="M279" i="3"/>
  <c r="L279" i="3"/>
  <c r="X278" i="3"/>
  <c r="W278" i="3"/>
  <c r="V278" i="3"/>
  <c r="U278" i="3"/>
  <c r="R278" i="3"/>
  <c r="Q278" i="3"/>
  <c r="P278" i="3"/>
  <c r="S278" i="3" s="1"/>
  <c r="N278" i="3"/>
  <c r="M278" i="3"/>
  <c r="L278" i="3"/>
  <c r="V277" i="3"/>
  <c r="Q277" i="3"/>
  <c r="V276" i="3"/>
  <c r="Q276" i="3"/>
  <c r="V275" i="3"/>
  <c r="Q275" i="3"/>
  <c r="V274" i="3"/>
  <c r="Q274" i="3"/>
  <c r="V273" i="3"/>
  <c r="Q273" i="3"/>
  <c r="W272" i="3"/>
  <c r="V272" i="3"/>
  <c r="X272" i="3" s="1"/>
  <c r="U272" i="3"/>
  <c r="S272" i="3"/>
  <c r="R272" i="3"/>
  <c r="Q272" i="3"/>
  <c r="P272" i="3"/>
  <c r="M272" i="3"/>
  <c r="L272" i="3"/>
  <c r="N272" i="3" s="1"/>
  <c r="V271" i="3"/>
  <c r="Q271" i="3"/>
  <c r="V270" i="3"/>
  <c r="Q270" i="3"/>
  <c r="V269" i="3"/>
  <c r="Q269" i="3"/>
  <c r="V268" i="3"/>
  <c r="Q268" i="3"/>
  <c r="V267" i="3"/>
  <c r="Q267" i="3"/>
  <c r="V266" i="3"/>
  <c r="Q266" i="3"/>
  <c r="W265" i="3"/>
  <c r="V265" i="3"/>
  <c r="X265" i="3" s="1"/>
  <c r="U265" i="3"/>
  <c r="R265" i="3"/>
  <c r="Q265" i="3"/>
  <c r="P265" i="3"/>
  <c r="S265" i="3" s="1"/>
  <c r="N265" i="3"/>
  <c r="M265" i="3"/>
  <c r="L265" i="3"/>
  <c r="V264" i="3"/>
  <c r="Q264" i="3"/>
  <c r="V263" i="3"/>
  <c r="Q263" i="3"/>
  <c r="V262" i="3"/>
  <c r="Q262" i="3"/>
  <c r="V261" i="3"/>
  <c r="Q261" i="3"/>
  <c r="V260" i="3"/>
  <c r="Q260" i="3"/>
  <c r="V259" i="3"/>
  <c r="Q259" i="3"/>
  <c r="X258" i="3"/>
  <c r="W258" i="3"/>
  <c r="V258" i="3"/>
  <c r="U258" i="3"/>
  <c r="R258" i="3"/>
  <c r="Q258" i="3"/>
  <c r="S258" i="3" s="1"/>
  <c r="P258" i="3"/>
  <c r="N258" i="3"/>
  <c r="M258" i="3"/>
  <c r="L258" i="3"/>
  <c r="V257" i="3"/>
  <c r="Q257" i="3"/>
  <c r="V256" i="3"/>
  <c r="Q256" i="3"/>
  <c r="V255" i="3"/>
  <c r="Q255" i="3"/>
  <c r="V254" i="3"/>
  <c r="Q254" i="3"/>
  <c r="V253" i="3"/>
  <c r="Q253" i="3"/>
  <c r="V252" i="3"/>
  <c r="Q252" i="3"/>
  <c r="W251" i="3"/>
  <c r="V251" i="3"/>
  <c r="X251" i="3" s="1"/>
  <c r="U251" i="3"/>
  <c r="R251" i="3"/>
  <c r="Q251" i="3"/>
  <c r="P251" i="3"/>
  <c r="S251" i="3" s="1"/>
  <c r="M251" i="3"/>
  <c r="L251" i="3"/>
  <c r="N251" i="3" s="1"/>
  <c r="V250" i="3"/>
  <c r="Q250" i="3"/>
  <c r="X249" i="3"/>
  <c r="W249" i="3"/>
  <c r="V249" i="3"/>
  <c r="U249" i="3"/>
  <c r="R249" i="3"/>
  <c r="Q249" i="3"/>
  <c r="P249" i="3"/>
  <c r="S249" i="3" s="1"/>
  <c r="N249" i="3"/>
  <c r="M249" i="3"/>
  <c r="L249" i="3"/>
  <c r="X248" i="3"/>
  <c r="W248" i="3"/>
  <c r="V248" i="3"/>
  <c r="U248" i="3"/>
  <c r="R248" i="3"/>
  <c r="Q248" i="3"/>
  <c r="S248" i="3" s="1"/>
  <c r="P248" i="3"/>
  <c r="N248" i="3"/>
  <c r="M248" i="3"/>
  <c r="L248" i="3"/>
  <c r="X247" i="3"/>
  <c r="W247" i="3"/>
  <c r="V247" i="3"/>
  <c r="U247" i="3"/>
  <c r="R247" i="3"/>
  <c r="Q247" i="3"/>
  <c r="S247" i="3" s="1"/>
  <c r="P247" i="3"/>
  <c r="N247" i="3"/>
  <c r="M247" i="3"/>
  <c r="L247" i="3"/>
  <c r="W246" i="3"/>
  <c r="V246" i="3"/>
  <c r="X246" i="3" s="1"/>
  <c r="U246" i="3"/>
  <c r="S246" i="3"/>
  <c r="R246" i="3"/>
  <c r="Q246" i="3"/>
  <c r="P246" i="3"/>
  <c r="M246" i="3"/>
  <c r="L246" i="3"/>
  <c r="N246" i="3" s="1"/>
  <c r="W245" i="3"/>
  <c r="V245" i="3"/>
  <c r="U245" i="3"/>
  <c r="X245" i="3" s="1"/>
  <c r="S245" i="3"/>
  <c r="R245" i="3"/>
  <c r="Q245" i="3"/>
  <c r="P245" i="3"/>
  <c r="N245" i="3"/>
  <c r="M245" i="3"/>
  <c r="L245" i="3"/>
  <c r="X244" i="3"/>
  <c r="W244" i="3"/>
  <c r="V244" i="3"/>
  <c r="U244" i="3"/>
  <c r="R244" i="3"/>
  <c r="Q244" i="3"/>
  <c r="P244" i="3"/>
  <c r="S244" i="3" s="1"/>
  <c r="M244" i="3"/>
  <c r="L244" i="3"/>
  <c r="N244" i="3" s="1"/>
  <c r="V243" i="3"/>
  <c r="Q243" i="3"/>
  <c r="V242" i="3"/>
  <c r="Q242" i="3"/>
  <c r="V241" i="3"/>
  <c r="Q241" i="3"/>
  <c r="V240" i="3"/>
  <c r="Q240" i="3"/>
  <c r="V239" i="3"/>
  <c r="Q239" i="3"/>
  <c r="V238" i="3"/>
  <c r="Q238" i="3"/>
  <c r="X237" i="3"/>
  <c r="W237" i="3"/>
  <c r="V237" i="3"/>
  <c r="U237" i="3"/>
  <c r="R237" i="3"/>
  <c r="Q237" i="3"/>
  <c r="S237" i="3" s="1"/>
  <c r="P237" i="3"/>
  <c r="N237" i="3"/>
  <c r="M237" i="3"/>
  <c r="L237" i="3"/>
  <c r="V236" i="3"/>
  <c r="Q236" i="3"/>
  <c r="V235" i="3"/>
  <c r="Q235" i="3"/>
  <c r="V234" i="3"/>
  <c r="Q234" i="3"/>
  <c r="V233" i="3"/>
  <c r="Q233" i="3"/>
  <c r="V232" i="3"/>
  <c r="Q232" i="3"/>
  <c r="V231" i="3"/>
  <c r="Q231" i="3"/>
  <c r="W230" i="3"/>
  <c r="V230" i="3"/>
  <c r="X230" i="3" s="1"/>
  <c r="U230" i="3"/>
  <c r="S230" i="3"/>
  <c r="R230" i="3"/>
  <c r="Q230" i="3"/>
  <c r="P230" i="3"/>
  <c r="M230" i="3"/>
  <c r="L230" i="3"/>
  <c r="N230" i="3" s="1"/>
  <c r="V229" i="3"/>
  <c r="Q229" i="3"/>
  <c r="V228" i="3"/>
  <c r="Q228" i="3"/>
  <c r="V227" i="3"/>
  <c r="Q227" i="3"/>
  <c r="V226" i="3"/>
  <c r="Q226" i="3"/>
  <c r="V225" i="3"/>
  <c r="Q225" i="3"/>
  <c r="V224" i="3"/>
  <c r="Q224" i="3"/>
  <c r="X223" i="3"/>
  <c r="W223" i="3"/>
  <c r="V223" i="3"/>
  <c r="U223" i="3"/>
  <c r="R223" i="3"/>
  <c r="Q223" i="3"/>
  <c r="P223" i="3"/>
  <c r="N223" i="3"/>
  <c r="M223" i="3"/>
  <c r="L223" i="3"/>
  <c r="W222" i="3"/>
  <c r="V222" i="3"/>
  <c r="X222" i="3" s="1"/>
  <c r="U222" i="3"/>
  <c r="R222" i="3"/>
  <c r="Q222" i="3"/>
  <c r="P222" i="3"/>
  <c r="S222" i="3" s="1"/>
  <c r="N222" i="3"/>
  <c r="M222" i="3"/>
  <c r="L222" i="3"/>
  <c r="V221" i="3"/>
  <c r="Q221" i="3"/>
  <c r="V220" i="3"/>
  <c r="Q220" i="3"/>
  <c r="V219" i="3"/>
  <c r="Q219" i="3"/>
  <c r="V218" i="3"/>
  <c r="Q218" i="3"/>
  <c r="V217" i="3"/>
  <c r="Q217" i="3"/>
  <c r="W216" i="3"/>
  <c r="V216" i="3"/>
  <c r="U216" i="3"/>
  <c r="X216" i="3" s="1"/>
  <c r="R216" i="3"/>
  <c r="Q216" i="3"/>
  <c r="S216" i="3" s="1"/>
  <c r="P216" i="3"/>
  <c r="N216" i="3"/>
  <c r="M216" i="3"/>
  <c r="L216" i="3"/>
  <c r="V215" i="3"/>
  <c r="Q215" i="3"/>
  <c r="V214" i="3"/>
  <c r="Q214" i="3"/>
  <c r="V213" i="3"/>
  <c r="Q213" i="3"/>
  <c r="V212" i="3"/>
  <c r="Q212" i="3"/>
  <c r="V211" i="3"/>
  <c r="Q211" i="3"/>
  <c r="V210" i="3"/>
  <c r="Q210" i="3"/>
  <c r="W209" i="3"/>
  <c r="V209" i="3"/>
  <c r="U209" i="3"/>
  <c r="S209" i="3"/>
  <c r="R209" i="3"/>
  <c r="Q209" i="3"/>
  <c r="P209" i="3"/>
  <c r="M209" i="3"/>
  <c r="L209" i="3"/>
  <c r="N209" i="3" s="1"/>
  <c r="V208" i="3"/>
  <c r="Q208" i="3"/>
  <c r="V207" i="3"/>
  <c r="Q207" i="3"/>
  <c r="V206" i="3"/>
  <c r="Q206" i="3"/>
  <c r="V205" i="3"/>
  <c r="Q205" i="3"/>
  <c r="V204" i="3"/>
  <c r="Q204" i="3"/>
  <c r="V203" i="3"/>
  <c r="Q203" i="3"/>
  <c r="W202" i="3"/>
  <c r="V202" i="3"/>
  <c r="X202" i="3" s="1"/>
  <c r="U202" i="3"/>
  <c r="S202" i="3"/>
  <c r="R202" i="3"/>
  <c r="Q202" i="3"/>
  <c r="P202" i="3"/>
  <c r="M202" i="3"/>
  <c r="L202" i="3"/>
  <c r="V201" i="3"/>
  <c r="Q201" i="3"/>
  <c r="V200" i="3"/>
  <c r="Q200" i="3"/>
  <c r="V199" i="3"/>
  <c r="Q199" i="3"/>
  <c r="V198" i="3"/>
  <c r="Q198" i="3"/>
  <c r="V197" i="3"/>
  <c r="Q197" i="3"/>
  <c r="V196" i="3"/>
  <c r="Q196" i="3"/>
  <c r="W195" i="3"/>
  <c r="V195" i="3"/>
  <c r="X195" i="3" s="1"/>
  <c r="U195" i="3"/>
  <c r="R195" i="3"/>
  <c r="Q195" i="3"/>
  <c r="P195" i="3"/>
  <c r="S195" i="3" s="1"/>
  <c r="M195" i="3"/>
  <c r="L195" i="3"/>
  <c r="N195" i="3" s="1"/>
  <c r="V194" i="3"/>
  <c r="Q194" i="3"/>
  <c r="V193" i="3"/>
  <c r="Q193" i="3"/>
  <c r="V192" i="3"/>
  <c r="Q192" i="3"/>
  <c r="V191" i="3"/>
  <c r="Q191" i="3"/>
  <c r="V190" i="3"/>
  <c r="Q190" i="3"/>
  <c r="V189" i="3"/>
  <c r="Q189" i="3"/>
  <c r="W188" i="3"/>
  <c r="V188" i="3"/>
  <c r="X188" i="3" s="1"/>
  <c r="U188" i="3"/>
  <c r="S188" i="3"/>
  <c r="R188" i="3"/>
  <c r="Q188" i="3"/>
  <c r="P188" i="3"/>
  <c r="M188" i="3"/>
  <c r="L188" i="3"/>
  <c r="N188" i="3" s="1"/>
  <c r="V187" i="3"/>
  <c r="Q187" i="3"/>
  <c r="V186" i="3"/>
  <c r="Q186" i="3"/>
  <c r="V185" i="3"/>
  <c r="Q185" i="3"/>
  <c r="V184" i="3"/>
  <c r="Q184" i="3"/>
  <c r="V183" i="3"/>
  <c r="Q183" i="3"/>
  <c r="V182" i="3"/>
  <c r="Q182" i="3"/>
  <c r="X181" i="3"/>
  <c r="W181" i="3"/>
  <c r="V181" i="3"/>
  <c r="U181" i="3"/>
  <c r="S181" i="3"/>
  <c r="R181" i="3"/>
  <c r="Q181" i="3"/>
  <c r="P181" i="3"/>
  <c r="N181" i="3"/>
  <c r="M181" i="3"/>
  <c r="L181" i="3"/>
  <c r="V180" i="3"/>
  <c r="Q180" i="3"/>
  <c r="V179" i="3"/>
  <c r="Q179" i="3"/>
  <c r="V178" i="3"/>
  <c r="Q178" i="3"/>
  <c r="V177" i="3"/>
  <c r="Q177" i="3"/>
  <c r="V176" i="3"/>
  <c r="Q176" i="3"/>
  <c r="V175" i="3"/>
  <c r="Q175" i="3"/>
  <c r="W174" i="3"/>
  <c r="V174" i="3"/>
  <c r="U174" i="3"/>
  <c r="S174" i="3"/>
  <c r="R174" i="3"/>
  <c r="Q174" i="3"/>
  <c r="P174" i="3"/>
  <c r="M174" i="3"/>
  <c r="L174" i="3"/>
  <c r="N174" i="3" s="1"/>
  <c r="V173" i="3"/>
  <c r="Q173" i="3"/>
  <c r="V172" i="3"/>
  <c r="Q172" i="3"/>
  <c r="V171" i="3"/>
  <c r="Q171" i="3"/>
  <c r="V170" i="3"/>
  <c r="Q170" i="3"/>
  <c r="V169" i="3"/>
  <c r="Q169" i="3"/>
  <c r="V168" i="3"/>
  <c r="Q168" i="3"/>
  <c r="W167" i="3"/>
  <c r="V167" i="3"/>
  <c r="X167" i="3" s="1"/>
  <c r="U167" i="3"/>
  <c r="S167" i="3"/>
  <c r="R167" i="3"/>
  <c r="Q167" i="3"/>
  <c r="P167" i="3"/>
  <c r="M167" i="3"/>
  <c r="L167" i="3"/>
  <c r="N167" i="3" s="1"/>
  <c r="V166" i="3"/>
  <c r="Q166" i="3"/>
  <c r="V165" i="3"/>
  <c r="Q165" i="3"/>
  <c r="V164" i="3"/>
  <c r="Q164" i="3"/>
  <c r="V163" i="3"/>
  <c r="Q163" i="3"/>
  <c r="V162" i="3"/>
  <c r="Q162" i="3"/>
  <c r="V161" i="3"/>
  <c r="Q161" i="3"/>
  <c r="W160" i="3"/>
  <c r="V160" i="3"/>
  <c r="U160" i="3"/>
  <c r="X160" i="3" s="1"/>
  <c r="R160" i="3"/>
  <c r="Q160" i="3"/>
  <c r="S160" i="3" s="1"/>
  <c r="P160" i="3"/>
  <c r="N160" i="3"/>
  <c r="M160" i="3"/>
  <c r="L160" i="3"/>
  <c r="V159" i="3"/>
  <c r="Q159" i="3"/>
  <c r="V158" i="3"/>
  <c r="Q158" i="3"/>
  <c r="V157" i="3"/>
  <c r="Q157" i="3"/>
  <c r="V156" i="3"/>
  <c r="Q156" i="3"/>
  <c r="V155" i="3"/>
  <c r="Q155" i="3"/>
  <c r="V154" i="3"/>
  <c r="Q154" i="3"/>
  <c r="X153" i="3"/>
  <c r="W153" i="3"/>
  <c r="V153" i="3"/>
  <c r="U153" i="3"/>
  <c r="R153" i="3"/>
  <c r="Q153" i="3"/>
  <c r="S153" i="3" s="1"/>
  <c r="P153" i="3"/>
  <c r="N153" i="3"/>
  <c r="M153" i="3"/>
  <c r="L153" i="3"/>
  <c r="V152" i="3"/>
  <c r="Q152" i="3"/>
  <c r="V151" i="3"/>
  <c r="Q151" i="3"/>
  <c r="V150" i="3"/>
  <c r="Q150" i="3"/>
  <c r="V149" i="3"/>
  <c r="Q149" i="3"/>
  <c r="W148" i="3"/>
  <c r="V148" i="3"/>
  <c r="X148" i="3" s="1"/>
  <c r="U148" i="3"/>
  <c r="R148" i="3"/>
  <c r="Q148" i="3"/>
  <c r="P148" i="3"/>
  <c r="S148" i="3" s="1"/>
  <c r="N148" i="3"/>
  <c r="M148" i="3"/>
  <c r="L148" i="3"/>
  <c r="W147" i="3"/>
  <c r="V147" i="3"/>
  <c r="X147" i="3" s="1"/>
  <c r="U147" i="3"/>
  <c r="R147" i="3"/>
  <c r="Q147" i="3"/>
  <c r="S147" i="3" s="1"/>
  <c r="P147" i="3"/>
  <c r="M147" i="3"/>
  <c r="L147" i="3"/>
  <c r="N147" i="3" s="1"/>
  <c r="X146" i="3"/>
  <c r="W146" i="3"/>
  <c r="V146" i="3"/>
  <c r="U146" i="3"/>
  <c r="R146" i="3"/>
  <c r="Q146" i="3"/>
  <c r="S146" i="3" s="1"/>
  <c r="P146" i="3"/>
  <c r="N146" i="3"/>
  <c r="M146" i="3"/>
  <c r="L146" i="3"/>
  <c r="V145" i="3"/>
  <c r="Q145" i="3"/>
  <c r="V144" i="3"/>
  <c r="Q144" i="3"/>
  <c r="V143" i="3"/>
  <c r="Q143" i="3"/>
  <c r="V142" i="3"/>
  <c r="Q142" i="3"/>
  <c r="V141" i="3"/>
  <c r="Q141" i="3"/>
  <c r="V140" i="3"/>
  <c r="Q140" i="3"/>
  <c r="W139" i="3"/>
  <c r="V139" i="3"/>
  <c r="X139" i="3" s="1"/>
  <c r="U139" i="3"/>
  <c r="R139" i="3"/>
  <c r="Q139" i="3"/>
  <c r="P139" i="3"/>
  <c r="M139" i="3"/>
  <c r="L139" i="3"/>
  <c r="N139" i="3" s="1"/>
  <c r="V138" i="3"/>
  <c r="Q138" i="3"/>
  <c r="V137" i="3"/>
  <c r="Q137" i="3"/>
  <c r="V136" i="3"/>
  <c r="Q136" i="3"/>
  <c r="V135" i="3"/>
  <c r="Q135" i="3"/>
  <c r="V134" i="3"/>
  <c r="Q134" i="3"/>
  <c r="V133" i="3"/>
  <c r="Q133" i="3"/>
  <c r="W132" i="3"/>
  <c r="V132" i="3"/>
  <c r="X132" i="3" s="1"/>
  <c r="U132" i="3"/>
  <c r="R132" i="3"/>
  <c r="Q132" i="3"/>
  <c r="P132" i="3"/>
  <c r="S132" i="3" s="1"/>
  <c r="M132" i="3"/>
  <c r="L132" i="3"/>
  <c r="N132" i="3" s="1"/>
  <c r="V131" i="3"/>
  <c r="Q131" i="3"/>
  <c r="V130" i="3"/>
  <c r="Q130" i="3"/>
  <c r="V129" i="3"/>
  <c r="Q129" i="3"/>
  <c r="V128" i="3"/>
  <c r="Q128" i="3"/>
  <c r="V127" i="3"/>
  <c r="Q127" i="3"/>
  <c r="V126" i="3"/>
  <c r="Q126" i="3"/>
  <c r="X125" i="3"/>
  <c r="W125" i="3"/>
  <c r="V125" i="3"/>
  <c r="U125" i="3"/>
  <c r="S125" i="3"/>
  <c r="R125" i="3"/>
  <c r="Q125" i="3"/>
  <c r="P125" i="3"/>
  <c r="N125" i="3"/>
  <c r="M125" i="3"/>
  <c r="L125" i="3"/>
  <c r="V124" i="3"/>
  <c r="Q124" i="3"/>
  <c r="V123" i="3"/>
  <c r="Q123" i="3"/>
  <c r="V122" i="3"/>
  <c r="Q122" i="3"/>
  <c r="V121" i="3"/>
  <c r="Q121" i="3"/>
  <c r="V120" i="3"/>
  <c r="Q120" i="3"/>
  <c r="V119" i="3"/>
  <c r="Q119" i="3"/>
  <c r="W118" i="3"/>
  <c r="V118" i="3"/>
  <c r="U118" i="3"/>
  <c r="R118" i="3"/>
  <c r="Q118" i="3"/>
  <c r="S118" i="3" s="1"/>
  <c r="P118" i="3"/>
  <c r="M118" i="3"/>
  <c r="L118" i="3"/>
  <c r="N118" i="3" s="1"/>
  <c r="V117" i="3"/>
  <c r="Q117" i="3"/>
  <c r="V116" i="3"/>
  <c r="Q116" i="3"/>
  <c r="V115" i="3"/>
  <c r="Q115" i="3"/>
  <c r="V114" i="3"/>
  <c r="Q114" i="3"/>
  <c r="V113" i="3"/>
  <c r="Q113" i="3"/>
  <c r="V112" i="3"/>
  <c r="Q112" i="3"/>
  <c r="W111" i="3"/>
  <c r="V111" i="3"/>
  <c r="U111" i="3"/>
  <c r="R111" i="3"/>
  <c r="Q111" i="3"/>
  <c r="S111" i="3" s="1"/>
  <c r="P111" i="3"/>
  <c r="M111" i="3"/>
  <c r="L111" i="3"/>
  <c r="V110" i="3"/>
  <c r="Q110" i="3"/>
  <c r="V109" i="3"/>
  <c r="Q109" i="3"/>
  <c r="V108" i="3"/>
  <c r="Q108" i="3"/>
  <c r="V107" i="3"/>
  <c r="Q107" i="3"/>
  <c r="V106" i="3"/>
  <c r="Q106" i="3"/>
  <c r="V105" i="3"/>
  <c r="Q105" i="3"/>
  <c r="W104" i="3"/>
  <c r="V104" i="3"/>
  <c r="X104" i="3" s="1"/>
  <c r="U104" i="3"/>
  <c r="S104" i="3"/>
  <c r="R104" i="3"/>
  <c r="Q104" i="3"/>
  <c r="P104" i="3"/>
  <c r="M104" i="3"/>
  <c r="L104" i="3"/>
  <c r="N104" i="3" s="1"/>
  <c r="V103" i="3"/>
  <c r="Q103" i="3"/>
  <c r="V102" i="3"/>
  <c r="Q102" i="3"/>
  <c r="V101" i="3"/>
  <c r="Q101" i="3"/>
  <c r="V100" i="3"/>
  <c r="Q100" i="3"/>
  <c r="W99" i="3"/>
  <c r="V99" i="3"/>
  <c r="U99" i="3"/>
  <c r="X99" i="3" s="1"/>
  <c r="R99" i="3"/>
  <c r="Q99" i="3"/>
  <c r="S99" i="3" s="1"/>
  <c r="P99" i="3"/>
  <c r="N99" i="3"/>
  <c r="M99" i="3"/>
  <c r="L99" i="3"/>
  <c r="X98" i="3"/>
  <c r="W98" i="3"/>
  <c r="V98" i="3"/>
  <c r="U98" i="3"/>
  <c r="R98" i="3"/>
  <c r="Q98" i="3"/>
  <c r="S98" i="3" s="1"/>
  <c r="P98" i="3"/>
  <c r="N98" i="3"/>
  <c r="M98" i="3"/>
  <c r="L98" i="3"/>
  <c r="W97" i="3"/>
  <c r="V97" i="3"/>
  <c r="X97" i="3" s="1"/>
  <c r="U97" i="3"/>
  <c r="S97" i="3"/>
  <c r="R97" i="3"/>
  <c r="Q97" i="3"/>
  <c r="P97" i="3"/>
  <c r="M97" i="3"/>
  <c r="L97" i="3"/>
  <c r="N97" i="3" s="1"/>
  <c r="V96" i="3"/>
  <c r="Q96" i="3"/>
  <c r="V95" i="3"/>
  <c r="Q95" i="3"/>
  <c r="V94" i="3"/>
  <c r="Q94" i="3"/>
  <c r="V93" i="3"/>
  <c r="Q93" i="3"/>
  <c r="V92" i="3"/>
  <c r="Q92" i="3"/>
  <c r="V91" i="3"/>
  <c r="Q91" i="3"/>
  <c r="W90" i="3"/>
  <c r="V90" i="3"/>
  <c r="U90" i="3"/>
  <c r="X90" i="3" s="1"/>
  <c r="S90" i="3"/>
  <c r="R90" i="3"/>
  <c r="Q90" i="3"/>
  <c r="P90" i="3"/>
  <c r="N90" i="3"/>
  <c r="M90" i="3"/>
  <c r="L90" i="3"/>
  <c r="V89" i="3"/>
  <c r="Q89" i="3"/>
  <c r="V88" i="3"/>
  <c r="Q88" i="3"/>
  <c r="V87" i="3"/>
  <c r="Q87" i="3"/>
  <c r="V86" i="3"/>
  <c r="Q86" i="3"/>
  <c r="V85" i="3"/>
  <c r="Q85" i="3"/>
  <c r="V84" i="3"/>
  <c r="Q84" i="3"/>
  <c r="X83" i="3"/>
  <c r="W83" i="3"/>
  <c r="V83" i="3"/>
  <c r="U83" i="3"/>
  <c r="R83" i="3"/>
  <c r="Q83" i="3"/>
  <c r="P83" i="3"/>
  <c r="S83" i="3" s="1"/>
  <c r="N83" i="3"/>
  <c r="M83" i="3"/>
  <c r="L83" i="3"/>
  <c r="V82" i="3"/>
  <c r="Q82" i="3"/>
  <c r="V81" i="3"/>
  <c r="Q81" i="3"/>
  <c r="V80" i="3"/>
  <c r="Q80" i="3"/>
  <c r="V79" i="3"/>
  <c r="Q79" i="3"/>
  <c r="V78" i="3"/>
  <c r="Q78" i="3"/>
  <c r="V77" i="3"/>
  <c r="Q77" i="3"/>
  <c r="W76" i="3"/>
  <c r="V76" i="3"/>
  <c r="X76" i="3" s="1"/>
  <c r="U76" i="3"/>
  <c r="R76" i="3"/>
  <c r="Q76" i="3"/>
  <c r="S76" i="3" s="1"/>
  <c r="P76" i="3"/>
  <c r="M76" i="3"/>
  <c r="L76" i="3"/>
  <c r="N76" i="3" s="1"/>
  <c r="V75" i="3"/>
  <c r="Q75" i="3"/>
  <c r="V74" i="3"/>
  <c r="Q74" i="3"/>
  <c r="V73" i="3"/>
  <c r="Q73" i="3"/>
  <c r="V72" i="3"/>
  <c r="Q72" i="3"/>
  <c r="V71" i="3"/>
  <c r="Q71" i="3"/>
  <c r="V70" i="3"/>
  <c r="Q70" i="3"/>
  <c r="W69" i="3"/>
  <c r="V69" i="3"/>
  <c r="X69" i="3" s="1"/>
  <c r="U69" i="3"/>
  <c r="R69" i="3"/>
  <c r="Q69" i="3"/>
  <c r="S69" i="3" s="1"/>
  <c r="P69" i="3"/>
  <c r="N69" i="3"/>
  <c r="M69" i="3"/>
  <c r="L69" i="3"/>
  <c r="V68" i="3"/>
  <c r="Q68" i="3"/>
  <c r="V67" i="3"/>
  <c r="Q67" i="3"/>
  <c r="V66" i="3"/>
  <c r="Q66" i="3"/>
  <c r="V65" i="3"/>
  <c r="Q65" i="3"/>
  <c r="V64" i="3"/>
  <c r="Q64" i="3"/>
  <c r="V63" i="3"/>
  <c r="Q63" i="3"/>
  <c r="W62" i="3"/>
  <c r="V62" i="3"/>
  <c r="X62" i="3" s="1"/>
  <c r="U62" i="3"/>
  <c r="R62" i="3"/>
  <c r="Q62" i="3"/>
  <c r="S62" i="3" s="1"/>
  <c r="P62" i="3"/>
  <c r="M62" i="3"/>
  <c r="L62" i="3"/>
  <c r="N62" i="3" s="1"/>
  <c r="V61" i="3"/>
  <c r="Q61" i="3"/>
  <c r="V60" i="3"/>
  <c r="Q60" i="3"/>
  <c r="V59" i="3"/>
  <c r="Q59" i="3"/>
  <c r="V58" i="3"/>
  <c r="Q58" i="3"/>
  <c r="V57" i="3"/>
  <c r="Q57" i="3"/>
  <c r="V56" i="3"/>
  <c r="Q56" i="3"/>
  <c r="X55" i="3"/>
  <c r="W55" i="3"/>
  <c r="V55" i="3"/>
  <c r="U55" i="3"/>
  <c r="R55" i="3"/>
  <c r="Q55" i="3"/>
  <c r="S55" i="3" s="1"/>
  <c r="P55" i="3"/>
  <c r="M55" i="3"/>
  <c r="L55" i="3"/>
  <c r="N55" i="3" s="1"/>
  <c r="V54" i="3"/>
  <c r="Q54" i="3"/>
  <c r="V53" i="3"/>
  <c r="Q53" i="3"/>
  <c r="V52" i="3"/>
  <c r="Q52" i="3"/>
  <c r="V51" i="3"/>
  <c r="Q51" i="3"/>
  <c r="V50" i="3"/>
  <c r="Q50" i="3"/>
  <c r="V49" i="3"/>
  <c r="Q49" i="3"/>
  <c r="W48" i="3"/>
  <c r="V48" i="3"/>
  <c r="X48" i="3" s="1"/>
  <c r="U48" i="3"/>
  <c r="R48" i="3"/>
  <c r="Q48" i="3"/>
  <c r="S48" i="3" s="1"/>
  <c r="P48" i="3"/>
  <c r="M48" i="3"/>
  <c r="L48" i="3"/>
  <c r="N48" i="3" s="1"/>
  <c r="V47" i="3"/>
  <c r="Q47" i="3"/>
  <c r="V46" i="3"/>
  <c r="Q46" i="3"/>
  <c r="V45" i="3"/>
  <c r="Q45" i="3"/>
  <c r="V44" i="3"/>
  <c r="Q44" i="3"/>
  <c r="X43" i="3"/>
  <c r="W43" i="3"/>
  <c r="V43" i="3"/>
  <c r="U43" i="3"/>
  <c r="S43" i="3"/>
  <c r="R43" i="3"/>
  <c r="Q43" i="3"/>
  <c r="P43" i="3"/>
  <c r="N43" i="3"/>
  <c r="M43" i="3"/>
  <c r="L43" i="3"/>
  <c r="V42" i="3"/>
  <c r="Q42" i="3"/>
  <c r="W41" i="3"/>
  <c r="V41" i="3"/>
  <c r="X41" i="3" s="1"/>
  <c r="U41" i="3"/>
  <c r="S41" i="3"/>
  <c r="R41" i="3"/>
  <c r="Q41" i="3"/>
  <c r="P41" i="3"/>
  <c r="M41" i="3"/>
  <c r="L41" i="3"/>
  <c r="N41" i="3" s="1"/>
  <c r="AE40" i="3"/>
  <c r="V40" i="3"/>
  <c r="Q40" i="3"/>
  <c r="V39" i="3"/>
  <c r="Q39" i="3"/>
  <c r="V38" i="3"/>
  <c r="Q38" i="3"/>
  <c r="V37" i="3"/>
  <c r="Q37" i="3"/>
  <c r="V36" i="3"/>
  <c r="Q36" i="3"/>
  <c r="V35" i="3"/>
  <c r="Q35" i="3"/>
  <c r="W34" i="3"/>
  <c r="V34" i="3"/>
  <c r="X34" i="3" s="1"/>
  <c r="U34" i="3"/>
  <c r="R34" i="3"/>
  <c r="Q34" i="3"/>
  <c r="S34" i="3" s="1"/>
  <c r="P34" i="3"/>
  <c r="M34" i="3"/>
  <c r="L34" i="3"/>
  <c r="N34" i="3" s="1"/>
  <c r="V33" i="3"/>
  <c r="Q33" i="3"/>
  <c r="V32" i="3"/>
  <c r="Q32" i="3"/>
  <c r="V31" i="3"/>
  <c r="Q31" i="3"/>
  <c r="V30" i="3"/>
  <c r="Q30" i="3"/>
  <c r="V29" i="3"/>
  <c r="Q29" i="3"/>
  <c r="V28" i="3"/>
  <c r="Q28" i="3"/>
  <c r="W27" i="3"/>
  <c r="V27" i="3"/>
  <c r="X27" i="3" s="1"/>
  <c r="U27" i="3"/>
  <c r="R27" i="3"/>
  <c r="Q27" i="3"/>
  <c r="P27" i="3"/>
  <c r="S27" i="3" s="1"/>
  <c r="M27" i="3"/>
  <c r="L27" i="3"/>
  <c r="N27" i="3" s="1"/>
  <c r="V26" i="3"/>
  <c r="Q26" i="3"/>
  <c r="W25" i="3"/>
  <c r="V25" i="3"/>
  <c r="U25" i="3"/>
  <c r="X25" i="3" s="1"/>
  <c r="R25" i="3"/>
  <c r="Q25" i="3"/>
  <c r="S25" i="3" s="1"/>
  <c r="P25" i="3"/>
  <c r="N25" i="3"/>
  <c r="M25" i="3"/>
  <c r="L25" i="3"/>
  <c r="V24" i="3"/>
  <c r="Q24" i="3"/>
  <c r="W23" i="3"/>
  <c r="V23" i="3"/>
  <c r="X23" i="3" s="1"/>
  <c r="U23" i="3"/>
  <c r="S23" i="3"/>
  <c r="R23" i="3"/>
  <c r="Q23" i="3"/>
  <c r="P23" i="3"/>
  <c r="M23" i="3"/>
  <c r="L23" i="3"/>
  <c r="N23" i="3" s="1"/>
  <c r="X22" i="3"/>
  <c r="W22" i="3"/>
  <c r="V22" i="3"/>
  <c r="U22" i="3"/>
  <c r="R22" i="3"/>
  <c r="Q22" i="3"/>
  <c r="S22" i="3" s="1"/>
  <c r="P22" i="3"/>
  <c r="N22" i="3"/>
  <c r="M22" i="3"/>
  <c r="L22" i="3"/>
  <c r="AA21" i="3"/>
  <c r="E21" i="3" s="1"/>
  <c r="Z21" i="3"/>
  <c r="Z22" i="3" s="1"/>
  <c r="W21" i="3"/>
  <c r="V21" i="3"/>
  <c r="U21" i="3"/>
  <c r="X21" i="3" s="1"/>
  <c r="R21" i="3"/>
  <c r="Q21" i="3"/>
  <c r="S21" i="3" s="1"/>
  <c r="P21" i="3"/>
  <c r="N21" i="3"/>
  <c r="M21" i="3"/>
  <c r="L21" i="3"/>
  <c r="G21" i="3"/>
  <c r="C21" i="3"/>
  <c r="C22" i="3" s="1"/>
  <c r="C23" i="3" s="1"/>
  <c r="C24" i="3" s="1"/>
  <c r="C25" i="3" s="1"/>
  <c r="C26" i="3" s="1"/>
  <c r="C27" i="3" s="1"/>
  <c r="C28" i="3" s="1"/>
  <c r="C29" i="3" s="1"/>
  <c r="C30" i="3" s="1"/>
  <c r="C31" i="3" s="1"/>
  <c r="C32" i="3" s="1"/>
  <c r="C33" i="3" s="1"/>
  <c r="C34" i="3" s="1"/>
  <c r="C35" i="3" s="1"/>
  <c r="C36" i="3" s="1"/>
  <c r="C37" i="3" s="1"/>
  <c r="C38" i="3" s="1"/>
  <c r="C39" i="3" s="1"/>
  <c r="C40" i="3" s="1"/>
  <c r="C41" i="3" s="1"/>
  <c r="C42" i="3" s="1"/>
  <c r="C43" i="3" s="1"/>
  <c r="C44" i="3" s="1"/>
  <c r="C45" i="3" s="1"/>
  <c r="C46" i="3" s="1"/>
  <c r="C47" i="3" s="1"/>
  <c r="C48" i="3" s="1"/>
  <c r="C49" i="3" s="1"/>
  <c r="C50" i="3" s="1"/>
  <c r="C51" i="3" s="1"/>
  <c r="C52" i="3" s="1"/>
  <c r="C53" i="3" s="1"/>
  <c r="C54" i="3" s="1"/>
  <c r="C55" i="3" s="1"/>
  <c r="C56" i="3" s="1"/>
  <c r="C57" i="3" s="1"/>
  <c r="C58" i="3" s="1"/>
  <c r="C59" i="3" s="1"/>
  <c r="C60" i="3" s="1"/>
  <c r="C61" i="3" s="1"/>
  <c r="C62" i="3" s="1"/>
  <c r="C63" i="3" s="1"/>
  <c r="C64" i="3" s="1"/>
  <c r="C65" i="3" s="1"/>
  <c r="C66" i="3" s="1"/>
  <c r="C67" i="3" s="1"/>
  <c r="C68" i="3" s="1"/>
  <c r="C69" i="3" s="1"/>
  <c r="C70" i="3" s="1"/>
  <c r="C71" i="3" s="1"/>
  <c r="C72" i="3" s="1"/>
  <c r="C73" i="3" s="1"/>
  <c r="C74" i="3" s="1"/>
  <c r="C75" i="3" s="1"/>
  <c r="C76" i="3" s="1"/>
  <c r="C77" i="3" s="1"/>
  <c r="C78" i="3" s="1"/>
  <c r="C79" i="3" s="1"/>
  <c r="C80" i="3" s="1"/>
  <c r="C81" i="3" s="1"/>
  <c r="C82" i="3" s="1"/>
  <c r="C83" i="3" s="1"/>
  <c r="C84" i="3" s="1"/>
  <c r="C85" i="3" s="1"/>
  <c r="C86" i="3" s="1"/>
  <c r="C87" i="3" s="1"/>
  <c r="C88" i="3" s="1"/>
  <c r="C89" i="3" s="1"/>
  <c r="C90" i="3" s="1"/>
  <c r="C91" i="3" s="1"/>
  <c r="C92" i="3" s="1"/>
  <c r="C93" i="3" s="1"/>
  <c r="C94" i="3" s="1"/>
  <c r="C95" i="3" s="1"/>
  <c r="C96" i="3" s="1"/>
  <c r="C97" i="3" s="1"/>
  <c r="C98" i="3" s="1"/>
  <c r="C99" i="3" s="1"/>
  <c r="C100" i="3" s="1"/>
  <c r="C101" i="3" s="1"/>
  <c r="C102" i="3" s="1"/>
  <c r="C103" i="3" s="1"/>
  <c r="C104" i="3" s="1"/>
  <c r="C105" i="3" s="1"/>
  <c r="C106" i="3" s="1"/>
  <c r="C107" i="3" s="1"/>
  <c r="C108" i="3" s="1"/>
  <c r="C109" i="3" s="1"/>
  <c r="C110" i="3" s="1"/>
  <c r="C111" i="3" s="1"/>
  <c r="C112" i="3" s="1"/>
  <c r="C113" i="3" s="1"/>
  <c r="C114" i="3" s="1"/>
  <c r="C115" i="3" s="1"/>
  <c r="C116" i="3" s="1"/>
  <c r="C117" i="3" s="1"/>
  <c r="C118" i="3" s="1"/>
  <c r="C119" i="3" s="1"/>
  <c r="C120" i="3" s="1"/>
  <c r="C121" i="3" s="1"/>
  <c r="C122" i="3" s="1"/>
  <c r="C123" i="3" s="1"/>
  <c r="C124" i="3" s="1"/>
  <c r="C125" i="3" s="1"/>
  <c r="C126" i="3" s="1"/>
  <c r="C127" i="3" s="1"/>
  <c r="C128" i="3" s="1"/>
  <c r="C129" i="3" s="1"/>
  <c r="C130" i="3" s="1"/>
  <c r="C131" i="3" s="1"/>
  <c r="C132" i="3" s="1"/>
  <c r="C133" i="3" s="1"/>
  <c r="C134" i="3" s="1"/>
  <c r="C135" i="3" s="1"/>
  <c r="C136" i="3" s="1"/>
  <c r="C137" i="3" s="1"/>
  <c r="C138" i="3" s="1"/>
  <c r="C139" i="3" s="1"/>
  <c r="C140" i="3" s="1"/>
  <c r="C141" i="3" s="1"/>
  <c r="C142" i="3" s="1"/>
  <c r="C143" i="3" s="1"/>
  <c r="C144" i="3" s="1"/>
  <c r="C145" i="3" s="1"/>
  <c r="C146" i="3" s="1"/>
  <c r="C147" i="3" s="1"/>
  <c r="C148" i="3" s="1"/>
  <c r="C149" i="3" s="1"/>
  <c r="C150" i="3" s="1"/>
  <c r="C151" i="3" s="1"/>
  <c r="C152" i="3" s="1"/>
  <c r="C153" i="3" s="1"/>
  <c r="C154" i="3" s="1"/>
  <c r="C155" i="3" s="1"/>
  <c r="C156" i="3" s="1"/>
  <c r="C157" i="3" s="1"/>
  <c r="C158" i="3" s="1"/>
  <c r="C159" i="3" s="1"/>
  <c r="C160" i="3" s="1"/>
  <c r="C161" i="3" s="1"/>
  <c r="C162" i="3" s="1"/>
  <c r="C163" i="3" s="1"/>
  <c r="C164" i="3" s="1"/>
  <c r="C165" i="3" s="1"/>
  <c r="C166" i="3" s="1"/>
  <c r="C167" i="3" s="1"/>
  <c r="C168" i="3" s="1"/>
  <c r="C169" i="3" s="1"/>
  <c r="C170" i="3" s="1"/>
  <c r="C171" i="3" s="1"/>
  <c r="C172" i="3" s="1"/>
  <c r="C173" i="3" s="1"/>
  <c r="C174" i="3" s="1"/>
  <c r="C175" i="3" s="1"/>
  <c r="C176" i="3" s="1"/>
  <c r="C177" i="3" s="1"/>
  <c r="C178" i="3" s="1"/>
  <c r="C179" i="3" s="1"/>
  <c r="C180" i="3" s="1"/>
  <c r="C181" i="3" s="1"/>
  <c r="C182" i="3" s="1"/>
  <c r="C183" i="3" s="1"/>
  <c r="C184" i="3" s="1"/>
  <c r="C185" i="3" s="1"/>
  <c r="C186" i="3" s="1"/>
  <c r="C187" i="3" s="1"/>
  <c r="C188" i="3" s="1"/>
  <c r="C189" i="3" s="1"/>
  <c r="C190" i="3" s="1"/>
  <c r="C191" i="3" s="1"/>
  <c r="C192" i="3" s="1"/>
  <c r="C193" i="3" s="1"/>
  <c r="C194" i="3" s="1"/>
  <c r="C195" i="3" s="1"/>
  <c r="C196" i="3" s="1"/>
  <c r="C197" i="3" s="1"/>
  <c r="C198" i="3" s="1"/>
  <c r="C199" i="3" s="1"/>
  <c r="C200" i="3" s="1"/>
  <c r="C201" i="3" s="1"/>
  <c r="C202" i="3" s="1"/>
  <c r="C203" i="3" s="1"/>
  <c r="C204" i="3" s="1"/>
  <c r="C205" i="3" s="1"/>
  <c r="C206" i="3" s="1"/>
  <c r="C207" i="3" s="1"/>
  <c r="C208" i="3" s="1"/>
  <c r="C209" i="3" s="1"/>
  <c r="C210" i="3" s="1"/>
  <c r="C211" i="3" s="1"/>
  <c r="C212" i="3" s="1"/>
  <c r="C213" i="3" s="1"/>
  <c r="C214" i="3" s="1"/>
  <c r="C215" i="3" s="1"/>
  <c r="C216" i="3" s="1"/>
  <c r="C217" i="3" s="1"/>
  <c r="C218" i="3" s="1"/>
  <c r="C219" i="3" s="1"/>
  <c r="C220" i="3" s="1"/>
  <c r="C221" i="3" s="1"/>
  <c r="C222" i="3" s="1"/>
  <c r="C223" i="3" s="1"/>
  <c r="C224" i="3" s="1"/>
  <c r="C225" i="3" s="1"/>
  <c r="C226" i="3" s="1"/>
  <c r="C227" i="3" s="1"/>
  <c r="C228" i="3" s="1"/>
  <c r="C229" i="3" s="1"/>
  <c r="C230" i="3" s="1"/>
  <c r="C231" i="3" s="1"/>
  <c r="C232" i="3" s="1"/>
  <c r="C233" i="3" s="1"/>
  <c r="C234" i="3" s="1"/>
  <c r="C235" i="3" s="1"/>
  <c r="C236" i="3" s="1"/>
  <c r="C237" i="3" s="1"/>
  <c r="C238" i="3" s="1"/>
  <c r="C239" i="3" s="1"/>
  <c r="C240" i="3" s="1"/>
  <c r="C241" i="3" s="1"/>
  <c r="C242" i="3" s="1"/>
  <c r="C243" i="3" s="1"/>
  <c r="C244" i="3" s="1"/>
  <c r="C245" i="3" s="1"/>
  <c r="C246" i="3" s="1"/>
  <c r="C247" i="3" s="1"/>
  <c r="C248" i="3" s="1"/>
  <c r="C249" i="3" s="1"/>
  <c r="C250" i="3" s="1"/>
  <c r="C251" i="3" s="1"/>
  <c r="C252" i="3" s="1"/>
  <c r="C253" i="3" s="1"/>
  <c r="C254" i="3" s="1"/>
  <c r="C255" i="3" s="1"/>
  <c r="C256" i="3" s="1"/>
  <c r="C257" i="3" s="1"/>
  <c r="C258" i="3" s="1"/>
  <c r="C259" i="3" s="1"/>
  <c r="C260" i="3" s="1"/>
  <c r="C261" i="3" s="1"/>
  <c r="C262" i="3" s="1"/>
  <c r="C263" i="3" s="1"/>
  <c r="C264" i="3" s="1"/>
  <c r="C265" i="3" s="1"/>
  <c r="C266" i="3" s="1"/>
  <c r="C267" i="3" s="1"/>
  <c r="C268" i="3" s="1"/>
  <c r="C269" i="3" s="1"/>
  <c r="C270" i="3" s="1"/>
  <c r="C271" i="3" s="1"/>
  <c r="C272" i="3" s="1"/>
  <c r="C273" i="3" s="1"/>
  <c r="C274" i="3" s="1"/>
  <c r="C275" i="3" s="1"/>
  <c r="C276" i="3" s="1"/>
  <c r="C277" i="3" s="1"/>
  <c r="C278" i="3" s="1"/>
  <c r="C279" i="3" s="1"/>
  <c r="C280" i="3" s="1"/>
  <c r="C281" i="3" s="1"/>
  <c r="C282" i="3" s="1"/>
  <c r="C283" i="3" s="1"/>
  <c r="C284" i="3" s="1"/>
  <c r="C285" i="3" s="1"/>
  <c r="C286" i="3" s="1"/>
  <c r="C287" i="3" s="1"/>
  <c r="C288" i="3" s="1"/>
  <c r="C289" i="3" s="1"/>
  <c r="C290" i="3" s="1"/>
  <c r="C291" i="3" s="1"/>
  <c r="C292" i="3" s="1"/>
  <c r="C293" i="3" s="1"/>
  <c r="C294" i="3" s="1"/>
  <c r="C295" i="3" s="1"/>
  <c r="C296" i="3" s="1"/>
  <c r="C297" i="3" s="1"/>
  <c r="C298" i="3" s="1"/>
  <c r="C299" i="3" s="1"/>
  <c r="C300" i="3" s="1"/>
  <c r="C301" i="3" s="1"/>
  <c r="C302" i="3" s="1"/>
  <c r="C303" i="3" s="1"/>
  <c r="C304" i="3" s="1"/>
  <c r="C305" i="3" s="1"/>
  <c r="C306" i="3" s="1"/>
  <c r="C307" i="3" s="1"/>
  <c r="C308" i="3" s="1"/>
  <c r="C309" i="3" s="1"/>
  <c r="C310" i="3" s="1"/>
  <c r="C311" i="3" s="1"/>
  <c r="C312" i="3" s="1"/>
  <c r="C313" i="3" s="1"/>
  <c r="C314" i="3" s="1"/>
  <c r="C315" i="3" s="1"/>
  <c r="C316" i="3" s="1"/>
  <c r="C317" i="3" s="1"/>
  <c r="C318" i="3" s="1"/>
  <c r="C319" i="3" s="1"/>
  <c r="C320" i="3" s="1"/>
  <c r="C321" i="3" s="1"/>
  <c r="C322" i="3" s="1"/>
  <c r="C323" i="3" s="1"/>
  <c r="C324" i="3" s="1"/>
  <c r="C325" i="3" s="1"/>
  <c r="C326" i="3" s="1"/>
  <c r="C327" i="3" s="1"/>
  <c r="C328" i="3" s="1"/>
  <c r="C329" i="3" s="1"/>
  <c r="C330" i="3" s="1"/>
  <c r="C331" i="3" s="1"/>
  <c r="C332" i="3" s="1"/>
  <c r="C333" i="3" s="1"/>
  <c r="C334" i="3" s="1"/>
  <c r="C335" i="3" s="1"/>
  <c r="C336" i="3" s="1"/>
  <c r="C337" i="3" s="1"/>
  <c r="C338" i="3" s="1"/>
  <c r="C339" i="3" s="1"/>
  <c r="C340" i="3" s="1"/>
  <c r="C341" i="3" s="1"/>
  <c r="C342" i="3" s="1"/>
  <c r="C343" i="3" s="1"/>
  <c r="C344" i="3" s="1"/>
  <c r="C345" i="3" s="1"/>
  <c r="C346" i="3" s="1"/>
  <c r="C347" i="3" s="1"/>
  <c r="C348" i="3" s="1"/>
  <c r="C349" i="3" s="1"/>
  <c r="C350" i="3" s="1"/>
  <c r="C351" i="3" s="1"/>
  <c r="C352" i="3" s="1"/>
  <c r="C353" i="3" s="1"/>
  <c r="C354" i="3" s="1"/>
  <c r="C355" i="3" s="1"/>
  <c r="C356" i="3" s="1"/>
  <c r="C357" i="3" s="1"/>
  <c r="C358" i="3" s="1"/>
  <c r="C359" i="3" s="1"/>
  <c r="C360" i="3" s="1"/>
  <c r="C361" i="3" s="1"/>
  <c r="C362" i="3" s="1"/>
  <c r="C363" i="3" s="1"/>
  <c r="C364" i="3" s="1"/>
  <c r="C365" i="3" s="1"/>
  <c r="C366" i="3" s="1"/>
  <c r="C367" i="3" s="1"/>
  <c r="C368" i="3" s="1"/>
  <c r="C369" i="3" s="1"/>
  <c r="C370" i="3" s="1"/>
  <c r="C371" i="3" s="1"/>
  <c r="C372" i="3" s="1"/>
  <c r="C373" i="3" s="1"/>
  <c r="C374" i="3" s="1"/>
  <c r="C375" i="3" s="1"/>
  <c r="C376" i="3" s="1"/>
  <c r="C377" i="3" s="1"/>
  <c r="C378" i="3" s="1"/>
  <c r="C379" i="3" s="1"/>
  <c r="C380" i="3" s="1"/>
  <c r="C381" i="3" s="1"/>
  <c r="C382" i="3" s="1"/>
  <c r="C383" i="3" s="1"/>
  <c r="C384" i="3" s="1"/>
  <c r="C385" i="3" s="1"/>
  <c r="AA20" i="3"/>
  <c r="Z20" i="3"/>
  <c r="G20" i="3" s="1"/>
  <c r="X20" i="3"/>
  <c r="W20" i="3"/>
  <c r="V20" i="3"/>
  <c r="U20" i="3"/>
  <c r="S20" i="3"/>
  <c r="R20" i="3"/>
  <c r="Q20" i="3"/>
  <c r="P20" i="3"/>
  <c r="N20" i="3"/>
  <c r="M20" i="3"/>
  <c r="L20" i="3"/>
  <c r="F20" i="3"/>
  <c r="F21" i="3" s="1"/>
  <c r="F22" i="3" s="1"/>
  <c r="F23" i="3" s="1"/>
  <c r="F24" i="3" s="1"/>
  <c r="F25" i="3" s="1"/>
  <c r="F26" i="3" s="1"/>
  <c r="F27" i="3" s="1"/>
  <c r="F28" i="3" s="1"/>
  <c r="F29" i="3" s="1"/>
  <c r="F30" i="3" s="1"/>
  <c r="F31" i="3" s="1"/>
  <c r="F32" i="3" s="1"/>
  <c r="F33" i="3" s="1"/>
  <c r="F34" i="3" s="1"/>
  <c r="F35" i="3" s="1"/>
  <c r="F36" i="3" s="1"/>
  <c r="F37" i="3" s="1"/>
  <c r="F38" i="3" s="1"/>
  <c r="F39" i="3" s="1"/>
  <c r="F40" i="3" s="1"/>
  <c r="F41" i="3" s="1"/>
  <c r="F42" i="3" s="1"/>
  <c r="F43" i="3" s="1"/>
  <c r="F44" i="3" s="1"/>
  <c r="F45" i="3" s="1"/>
  <c r="F46" i="3" s="1"/>
  <c r="F47" i="3" s="1"/>
  <c r="F48" i="3" s="1"/>
  <c r="F49" i="3" s="1"/>
  <c r="F50" i="3" s="1"/>
  <c r="F51" i="3" s="1"/>
  <c r="F52" i="3" s="1"/>
  <c r="F53" i="3" s="1"/>
  <c r="F54" i="3" s="1"/>
  <c r="F55" i="3" s="1"/>
  <c r="F56" i="3" s="1"/>
  <c r="F57" i="3" s="1"/>
  <c r="F58" i="3" s="1"/>
  <c r="F59" i="3" s="1"/>
  <c r="F60" i="3" s="1"/>
  <c r="F61" i="3" s="1"/>
  <c r="F62" i="3" s="1"/>
  <c r="F63" i="3" s="1"/>
  <c r="F64" i="3" s="1"/>
  <c r="F65" i="3" s="1"/>
  <c r="F66" i="3" s="1"/>
  <c r="F67" i="3" s="1"/>
  <c r="F68" i="3" s="1"/>
  <c r="F69" i="3" s="1"/>
  <c r="F70" i="3" s="1"/>
  <c r="F71" i="3" s="1"/>
  <c r="F72" i="3" s="1"/>
  <c r="F73" i="3" s="1"/>
  <c r="F74" i="3" s="1"/>
  <c r="F75" i="3" s="1"/>
  <c r="F76" i="3" s="1"/>
  <c r="F77" i="3" s="1"/>
  <c r="F78" i="3" s="1"/>
  <c r="F79" i="3" s="1"/>
  <c r="F80" i="3" s="1"/>
  <c r="F81" i="3" s="1"/>
  <c r="F82" i="3" s="1"/>
  <c r="F83" i="3" s="1"/>
  <c r="F84" i="3" s="1"/>
  <c r="F85" i="3" s="1"/>
  <c r="F86" i="3" s="1"/>
  <c r="F87" i="3" s="1"/>
  <c r="F88" i="3" s="1"/>
  <c r="F89" i="3" s="1"/>
  <c r="F90" i="3" s="1"/>
  <c r="F91" i="3" s="1"/>
  <c r="F92" i="3" s="1"/>
  <c r="F93" i="3" s="1"/>
  <c r="F94" i="3" s="1"/>
  <c r="F95" i="3" s="1"/>
  <c r="F96" i="3" s="1"/>
  <c r="F97" i="3" s="1"/>
  <c r="F98" i="3" s="1"/>
  <c r="F99" i="3" s="1"/>
  <c r="F100" i="3" s="1"/>
  <c r="F101" i="3" s="1"/>
  <c r="F102" i="3" s="1"/>
  <c r="F103" i="3" s="1"/>
  <c r="F104" i="3" s="1"/>
  <c r="F105" i="3" s="1"/>
  <c r="F106" i="3" s="1"/>
  <c r="F107" i="3" s="1"/>
  <c r="F108" i="3" s="1"/>
  <c r="F109" i="3" s="1"/>
  <c r="F110" i="3" s="1"/>
  <c r="F111" i="3" s="1"/>
  <c r="F112" i="3" s="1"/>
  <c r="F113" i="3" s="1"/>
  <c r="F114" i="3" s="1"/>
  <c r="F115" i="3" s="1"/>
  <c r="F116" i="3" s="1"/>
  <c r="F117" i="3" s="1"/>
  <c r="F118" i="3" s="1"/>
  <c r="F119" i="3" s="1"/>
  <c r="F120" i="3" s="1"/>
  <c r="F121" i="3" s="1"/>
  <c r="F122" i="3" s="1"/>
  <c r="F123" i="3" s="1"/>
  <c r="F124" i="3" s="1"/>
  <c r="F125" i="3" s="1"/>
  <c r="F126" i="3" s="1"/>
  <c r="F127" i="3" s="1"/>
  <c r="F128" i="3" s="1"/>
  <c r="F129" i="3" s="1"/>
  <c r="F130" i="3" s="1"/>
  <c r="F131" i="3" s="1"/>
  <c r="F132" i="3" s="1"/>
  <c r="F133" i="3" s="1"/>
  <c r="F134" i="3" s="1"/>
  <c r="F135" i="3" s="1"/>
  <c r="F136" i="3" s="1"/>
  <c r="F137" i="3" s="1"/>
  <c r="F138" i="3" s="1"/>
  <c r="F139" i="3" s="1"/>
  <c r="F140" i="3" s="1"/>
  <c r="F141" i="3" s="1"/>
  <c r="F142" i="3" s="1"/>
  <c r="F143" i="3" s="1"/>
  <c r="F144" i="3" s="1"/>
  <c r="F145" i="3" s="1"/>
  <c r="F146" i="3" s="1"/>
  <c r="F147" i="3" s="1"/>
  <c r="F148" i="3" s="1"/>
  <c r="F149" i="3" s="1"/>
  <c r="F150" i="3" s="1"/>
  <c r="F151" i="3" s="1"/>
  <c r="F152" i="3" s="1"/>
  <c r="F153" i="3" s="1"/>
  <c r="F154" i="3" s="1"/>
  <c r="F155" i="3" s="1"/>
  <c r="F156" i="3" s="1"/>
  <c r="F157" i="3" s="1"/>
  <c r="F158" i="3" s="1"/>
  <c r="F159" i="3" s="1"/>
  <c r="F160" i="3" s="1"/>
  <c r="F161" i="3" s="1"/>
  <c r="F162" i="3" s="1"/>
  <c r="F163" i="3" s="1"/>
  <c r="F164" i="3" s="1"/>
  <c r="F165" i="3" s="1"/>
  <c r="F166" i="3" s="1"/>
  <c r="F167" i="3" s="1"/>
  <c r="F168" i="3" s="1"/>
  <c r="F169" i="3" s="1"/>
  <c r="F170" i="3" s="1"/>
  <c r="F171" i="3" s="1"/>
  <c r="F172" i="3" s="1"/>
  <c r="F173" i="3" s="1"/>
  <c r="F174" i="3" s="1"/>
  <c r="F175" i="3" s="1"/>
  <c r="F176" i="3" s="1"/>
  <c r="F177" i="3" s="1"/>
  <c r="F178" i="3" s="1"/>
  <c r="F179" i="3" s="1"/>
  <c r="F180" i="3" s="1"/>
  <c r="F181" i="3" s="1"/>
  <c r="F182" i="3" s="1"/>
  <c r="F183" i="3" s="1"/>
  <c r="F184" i="3" s="1"/>
  <c r="F185" i="3" s="1"/>
  <c r="F186" i="3" s="1"/>
  <c r="F187" i="3" s="1"/>
  <c r="F188" i="3" s="1"/>
  <c r="F189" i="3" s="1"/>
  <c r="F190" i="3" s="1"/>
  <c r="F191" i="3" s="1"/>
  <c r="F192" i="3" s="1"/>
  <c r="F193" i="3" s="1"/>
  <c r="F194" i="3" s="1"/>
  <c r="F195" i="3" s="1"/>
  <c r="F196" i="3" s="1"/>
  <c r="F197" i="3" s="1"/>
  <c r="F198" i="3" s="1"/>
  <c r="F199" i="3" s="1"/>
  <c r="F200" i="3" s="1"/>
  <c r="F201" i="3" s="1"/>
  <c r="F202" i="3" s="1"/>
  <c r="F203" i="3" s="1"/>
  <c r="F204" i="3" s="1"/>
  <c r="F205" i="3" s="1"/>
  <c r="F206" i="3" s="1"/>
  <c r="F207" i="3" s="1"/>
  <c r="F208" i="3" s="1"/>
  <c r="F209" i="3" s="1"/>
  <c r="F210" i="3" s="1"/>
  <c r="F211" i="3" s="1"/>
  <c r="F212" i="3" s="1"/>
  <c r="F213" i="3" s="1"/>
  <c r="F214" i="3" s="1"/>
  <c r="F215" i="3" s="1"/>
  <c r="F216" i="3" s="1"/>
  <c r="F217" i="3" s="1"/>
  <c r="F218" i="3" s="1"/>
  <c r="F219" i="3" s="1"/>
  <c r="F220" i="3" s="1"/>
  <c r="F221" i="3" s="1"/>
  <c r="F222" i="3" s="1"/>
  <c r="F223" i="3" s="1"/>
  <c r="F224" i="3" s="1"/>
  <c r="F225" i="3" s="1"/>
  <c r="F226" i="3" s="1"/>
  <c r="F227" i="3" s="1"/>
  <c r="F228" i="3" s="1"/>
  <c r="F229" i="3" s="1"/>
  <c r="F230" i="3" s="1"/>
  <c r="F231" i="3" s="1"/>
  <c r="F232" i="3" s="1"/>
  <c r="F233" i="3" s="1"/>
  <c r="F234" i="3" s="1"/>
  <c r="F235" i="3" s="1"/>
  <c r="F236" i="3" s="1"/>
  <c r="F237" i="3" s="1"/>
  <c r="F238" i="3" s="1"/>
  <c r="F239" i="3" s="1"/>
  <c r="F240" i="3" s="1"/>
  <c r="F241" i="3" s="1"/>
  <c r="F242" i="3" s="1"/>
  <c r="F243" i="3" s="1"/>
  <c r="F244" i="3" s="1"/>
  <c r="F245" i="3" s="1"/>
  <c r="F246" i="3" s="1"/>
  <c r="F247" i="3" s="1"/>
  <c r="F248" i="3" s="1"/>
  <c r="F249" i="3" s="1"/>
  <c r="F250" i="3" s="1"/>
  <c r="F251" i="3" s="1"/>
  <c r="F252" i="3" s="1"/>
  <c r="F253" i="3" s="1"/>
  <c r="F254" i="3" s="1"/>
  <c r="F255" i="3" s="1"/>
  <c r="F256" i="3" s="1"/>
  <c r="F257" i="3" s="1"/>
  <c r="F258" i="3" s="1"/>
  <c r="F259" i="3" s="1"/>
  <c r="F260" i="3" s="1"/>
  <c r="F261" i="3" s="1"/>
  <c r="F262" i="3" s="1"/>
  <c r="F263" i="3" s="1"/>
  <c r="F264" i="3" s="1"/>
  <c r="F265" i="3" s="1"/>
  <c r="F266" i="3" s="1"/>
  <c r="F267" i="3" s="1"/>
  <c r="F268" i="3" s="1"/>
  <c r="F269" i="3" s="1"/>
  <c r="F270" i="3" s="1"/>
  <c r="F271" i="3" s="1"/>
  <c r="F272" i="3" s="1"/>
  <c r="F273" i="3" s="1"/>
  <c r="F274" i="3" s="1"/>
  <c r="F275" i="3" s="1"/>
  <c r="F276" i="3" s="1"/>
  <c r="F277" i="3" s="1"/>
  <c r="F278" i="3" s="1"/>
  <c r="F279" i="3" s="1"/>
  <c r="F280" i="3" s="1"/>
  <c r="F281" i="3" s="1"/>
  <c r="F282" i="3" s="1"/>
  <c r="F283" i="3" s="1"/>
  <c r="F284" i="3" s="1"/>
  <c r="F285" i="3" s="1"/>
  <c r="F286" i="3" s="1"/>
  <c r="F287" i="3" s="1"/>
  <c r="F288" i="3" s="1"/>
  <c r="F289" i="3" s="1"/>
  <c r="F290" i="3" s="1"/>
  <c r="F291" i="3" s="1"/>
  <c r="F292" i="3" s="1"/>
  <c r="F293" i="3" s="1"/>
  <c r="F294" i="3" s="1"/>
  <c r="F295" i="3" s="1"/>
  <c r="F296" i="3" s="1"/>
  <c r="F297" i="3" s="1"/>
  <c r="F298" i="3" s="1"/>
  <c r="F299" i="3" s="1"/>
  <c r="F300" i="3" s="1"/>
  <c r="F301" i="3" s="1"/>
  <c r="F302" i="3" s="1"/>
  <c r="F303" i="3" s="1"/>
  <c r="F304" i="3" s="1"/>
  <c r="F305" i="3" s="1"/>
  <c r="F306" i="3" s="1"/>
  <c r="F307" i="3" s="1"/>
  <c r="F308" i="3" s="1"/>
  <c r="F309" i="3" s="1"/>
  <c r="F310" i="3" s="1"/>
  <c r="F311" i="3" s="1"/>
  <c r="F312" i="3" s="1"/>
  <c r="F313" i="3" s="1"/>
  <c r="F314" i="3" s="1"/>
  <c r="F315" i="3" s="1"/>
  <c r="F316" i="3" s="1"/>
  <c r="F317" i="3" s="1"/>
  <c r="F318" i="3" s="1"/>
  <c r="F319" i="3" s="1"/>
  <c r="F320" i="3" s="1"/>
  <c r="F321" i="3" s="1"/>
  <c r="F322" i="3" s="1"/>
  <c r="F323" i="3" s="1"/>
  <c r="F324" i="3" s="1"/>
  <c r="F325" i="3" s="1"/>
  <c r="F326" i="3" s="1"/>
  <c r="F327" i="3" s="1"/>
  <c r="F328" i="3" s="1"/>
  <c r="F329" i="3" s="1"/>
  <c r="F330" i="3" s="1"/>
  <c r="F331" i="3" s="1"/>
  <c r="F332" i="3" s="1"/>
  <c r="F333" i="3" s="1"/>
  <c r="F334" i="3" s="1"/>
  <c r="F335" i="3" s="1"/>
  <c r="F336" i="3" s="1"/>
  <c r="F337" i="3" s="1"/>
  <c r="F338" i="3" s="1"/>
  <c r="F339" i="3" s="1"/>
  <c r="F340" i="3" s="1"/>
  <c r="F341" i="3" s="1"/>
  <c r="F342" i="3" s="1"/>
  <c r="F343" i="3" s="1"/>
  <c r="F344" i="3" s="1"/>
  <c r="F345" i="3" s="1"/>
  <c r="F346" i="3" s="1"/>
  <c r="F347" i="3" s="1"/>
  <c r="F348" i="3" s="1"/>
  <c r="F349" i="3" s="1"/>
  <c r="F350" i="3" s="1"/>
  <c r="F351" i="3" s="1"/>
  <c r="F352" i="3" s="1"/>
  <c r="F353" i="3" s="1"/>
  <c r="F354" i="3" s="1"/>
  <c r="F355" i="3" s="1"/>
  <c r="F356" i="3" s="1"/>
  <c r="F357" i="3" s="1"/>
  <c r="F358" i="3" s="1"/>
  <c r="F359" i="3" s="1"/>
  <c r="F360" i="3" s="1"/>
  <c r="F361" i="3" s="1"/>
  <c r="F362" i="3" s="1"/>
  <c r="F363" i="3" s="1"/>
  <c r="F364" i="3" s="1"/>
  <c r="F365" i="3" s="1"/>
  <c r="F366" i="3" s="1"/>
  <c r="F367" i="3" s="1"/>
  <c r="F368" i="3" s="1"/>
  <c r="F369" i="3" s="1"/>
  <c r="F370" i="3" s="1"/>
  <c r="F371" i="3" s="1"/>
  <c r="F372" i="3" s="1"/>
  <c r="F373" i="3" s="1"/>
  <c r="F374" i="3" s="1"/>
  <c r="F375" i="3" s="1"/>
  <c r="F376" i="3" s="1"/>
  <c r="F377" i="3" s="1"/>
  <c r="F378" i="3" s="1"/>
  <c r="F379" i="3" s="1"/>
  <c r="F380" i="3" s="1"/>
  <c r="F381" i="3" s="1"/>
  <c r="F382" i="3" s="1"/>
  <c r="F383" i="3" s="1"/>
  <c r="F384" i="3" s="1"/>
  <c r="F385" i="3" s="1"/>
  <c r="E20" i="3"/>
  <c r="AD17" i="3"/>
  <c r="M17" i="3"/>
  <c r="F17" i="3"/>
  <c r="AD16" i="3"/>
  <c r="I3" i="3" s="1"/>
  <c r="V16" i="3"/>
  <c r="M16" i="3"/>
  <c r="F16" i="3"/>
  <c r="AD15" i="3"/>
  <c r="V15" i="3"/>
  <c r="M15" i="3"/>
  <c r="F15" i="3"/>
  <c r="AD14" i="3"/>
  <c r="V14" i="3"/>
  <c r="M14" i="3"/>
  <c r="F14" i="3"/>
  <c r="AD13" i="3"/>
  <c r="V13" i="3"/>
  <c r="M13" i="3"/>
  <c r="F13" i="3"/>
  <c r="AD12" i="3"/>
  <c r="V12" i="3"/>
  <c r="M12" i="3"/>
  <c r="F12" i="3"/>
  <c r="AD11" i="3"/>
  <c r="V11" i="3"/>
  <c r="M11" i="3"/>
  <c r="F11" i="3"/>
  <c r="AD10" i="3"/>
  <c r="M10" i="3"/>
  <c r="F10" i="3"/>
  <c r="AD9" i="3"/>
  <c r="T9" i="3"/>
  <c r="T8" i="3" s="1"/>
  <c r="M9" i="3"/>
  <c r="F9" i="3"/>
  <c r="AD8" i="3"/>
  <c r="M8" i="3"/>
  <c r="F8" i="3"/>
  <c r="AD7" i="3"/>
  <c r="T7" i="3"/>
  <c r="M7" i="3"/>
  <c r="F7" i="3"/>
  <c r="AD6" i="3"/>
  <c r="M6" i="3"/>
  <c r="F6" i="3"/>
  <c r="R3" i="3"/>
  <c r="M3" i="3"/>
  <c r="L2" i="8" s="1"/>
  <c r="X385" i="2"/>
  <c r="W385" i="2"/>
  <c r="V385" i="2"/>
  <c r="U385" i="2"/>
  <c r="S385" i="2"/>
  <c r="R385" i="2"/>
  <c r="Q385" i="2"/>
  <c r="P385" i="2"/>
  <c r="N385" i="2"/>
  <c r="M385" i="2"/>
  <c r="L385" i="2"/>
  <c r="X384" i="2"/>
  <c r="W384" i="2"/>
  <c r="V384" i="2"/>
  <c r="U384" i="2"/>
  <c r="S384" i="2"/>
  <c r="R384" i="2"/>
  <c r="Q384" i="2"/>
  <c r="P384" i="2"/>
  <c r="N384" i="2"/>
  <c r="M384" i="2"/>
  <c r="L384" i="2"/>
  <c r="X383" i="2"/>
  <c r="W383" i="2"/>
  <c r="V383" i="2"/>
  <c r="U383" i="2"/>
  <c r="S383" i="2"/>
  <c r="R383" i="2"/>
  <c r="Q383" i="2"/>
  <c r="P383" i="2"/>
  <c r="M383" i="2"/>
  <c r="L383" i="2"/>
  <c r="N383" i="2" s="1"/>
  <c r="V382" i="2"/>
  <c r="Q382" i="2"/>
  <c r="V381" i="2"/>
  <c r="Q381" i="2"/>
  <c r="V380" i="2"/>
  <c r="Q380" i="2"/>
  <c r="V379" i="2"/>
  <c r="Q379" i="2"/>
  <c r="V378" i="2"/>
  <c r="Q378" i="2"/>
  <c r="V377" i="2"/>
  <c r="Q377" i="2"/>
  <c r="X376" i="2"/>
  <c r="W376" i="2"/>
  <c r="V376" i="2"/>
  <c r="U376" i="2"/>
  <c r="S376" i="2"/>
  <c r="R376" i="2"/>
  <c r="Q376" i="2"/>
  <c r="P376" i="2"/>
  <c r="M376" i="2"/>
  <c r="L376" i="2"/>
  <c r="N376" i="2" s="1"/>
  <c r="V375" i="2"/>
  <c r="Q375" i="2"/>
  <c r="V374" i="2"/>
  <c r="Q374" i="2"/>
  <c r="V373" i="2"/>
  <c r="Q373" i="2"/>
  <c r="V372" i="2"/>
  <c r="Q372" i="2"/>
  <c r="V371" i="2"/>
  <c r="Q371" i="2"/>
  <c r="V370" i="2"/>
  <c r="Q370" i="2"/>
  <c r="X369" i="2"/>
  <c r="W369" i="2"/>
  <c r="V369" i="2"/>
  <c r="U369" i="2"/>
  <c r="S369" i="2"/>
  <c r="R369" i="2"/>
  <c r="Q369" i="2"/>
  <c r="P369" i="2"/>
  <c r="M369" i="2"/>
  <c r="L369" i="2"/>
  <c r="N369" i="2" s="1"/>
  <c r="V368" i="2"/>
  <c r="Q368" i="2"/>
  <c r="V367" i="2"/>
  <c r="Q367" i="2"/>
  <c r="V366" i="2"/>
  <c r="Q366" i="2"/>
  <c r="V365" i="2"/>
  <c r="Q365" i="2"/>
  <c r="V364" i="2"/>
  <c r="Q364" i="2"/>
  <c r="V363" i="2"/>
  <c r="Q363" i="2"/>
  <c r="X362" i="2"/>
  <c r="W362" i="2"/>
  <c r="V362" i="2"/>
  <c r="U362" i="2"/>
  <c r="S362" i="2"/>
  <c r="R362" i="2"/>
  <c r="Q362" i="2"/>
  <c r="P362" i="2"/>
  <c r="M362" i="2"/>
  <c r="L362" i="2"/>
  <c r="N362" i="2" s="1"/>
  <c r="V361" i="2"/>
  <c r="Q361" i="2"/>
  <c r="V360" i="2"/>
  <c r="Q360" i="2"/>
  <c r="V359" i="2"/>
  <c r="Q359" i="2"/>
  <c r="V358" i="2"/>
  <c r="Q358" i="2"/>
  <c r="V357" i="2"/>
  <c r="Q357" i="2"/>
  <c r="V356" i="2"/>
  <c r="Q356" i="2"/>
  <c r="X355" i="2"/>
  <c r="W355" i="2"/>
  <c r="V355" i="2"/>
  <c r="U355" i="2"/>
  <c r="S355" i="2"/>
  <c r="R355" i="2"/>
  <c r="Q355" i="2"/>
  <c r="P355" i="2"/>
  <c r="M355" i="2"/>
  <c r="L355" i="2"/>
  <c r="V354" i="2"/>
  <c r="Q354" i="2"/>
  <c r="V353" i="2"/>
  <c r="Q353" i="2"/>
  <c r="V352" i="2"/>
  <c r="Q352" i="2"/>
  <c r="V351" i="2"/>
  <c r="Q351" i="2"/>
  <c r="V350" i="2"/>
  <c r="Q350" i="2"/>
  <c r="V349" i="2"/>
  <c r="Q349" i="2"/>
  <c r="X348" i="2"/>
  <c r="W348" i="2"/>
  <c r="V348" i="2"/>
  <c r="U348" i="2"/>
  <c r="S348" i="2"/>
  <c r="R348" i="2"/>
  <c r="Q348" i="2"/>
  <c r="P348" i="2"/>
  <c r="M348" i="2"/>
  <c r="L348" i="2"/>
  <c r="N348" i="2" s="1"/>
  <c r="X347" i="2"/>
  <c r="W347" i="2"/>
  <c r="V347" i="2"/>
  <c r="U347" i="2"/>
  <c r="S347" i="2"/>
  <c r="R347" i="2"/>
  <c r="Q347" i="2"/>
  <c r="P347" i="2"/>
  <c r="N347" i="2"/>
  <c r="M347" i="2"/>
  <c r="L347" i="2"/>
  <c r="V346" i="2"/>
  <c r="Q346" i="2"/>
  <c r="V345" i="2"/>
  <c r="Q345" i="2"/>
  <c r="V344" i="2"/>
  <c r="Q344" i="2"/>
  <c r="V343" i="2"/>
  <c r="Q343" i="2"/>
  <c r="V342" i="2"/>
  <c r="Q342" i="2"/>
  <c r="X341" i="2"/>
  <c r="W341" i="2"/>
  <c r="V341" i="2"/>
  <c r="U341" i="2"/>
  <c r="S341" i="2"/>
  <c r="R341" i="2"/>
  <c r="Q341" i="2"/>
  <c r="P341" i="2"/>
  <c r="M341" i="2"/>
  <c r="L341" i="2"/>
  <c r="N341" i="2" s="1"/>
  <c r="V340" i="2"/>
  <c r="Q340" i="2"/>
  <c r="V339" i="2"/>
  <c r="Q339" i="2"/>
  <c r="V338" i="2"/>
  <c r="Q338" i="2"/>
  <c r="V337" i="2"/>
  <c r="Q337" i="2"/>
  <c r="X336" i="2"/>
  <c r="W336" i="2"/>
  <c r="V336" i="2"/>
  <c r="U336" i="2"/>
  <c r="S336" i="2"/>
  <c r="R336" i="2"/>
  <c r="Q336" i="2"/>
  <c r="P336" i="2"/>
  <c r="N336" i="2"/>
  <c r="M336" i="2"/>
  <c r="L336" i="2"/>
  <c r="X335" i="2"/>
  <c r="W335" i="2"/>
  <c r="V335" i="2"/>
  <c r="U335" i="2"/>
  <c r="S335" i="2"/>
  <c r="R335" i="2"/>
  <c r="Q335" i="2"/>
  <c r="P335" i="2"/>
  <c r="M335" i="2"/>
  <c r="L335" i="2"/>
  <c r="N335" i="2" s="1"/>
  <c r="X334" i="2"/>
  <c r="W334" i="2"/>
  <c r="V334" i="2"/>
  <c r="U334" i="2"/>
  <c r="S334" i="2"/>
  <c r="R334" i="2"/>
  <c r="Q334" i="2"/>
  <c r="P334" i="2"/>
  <c r="M334" i="2"/>
  <c r="L334" i="2"/>
  <c r="N334" i="2" s="1"/>
  <c r="V333" i="2"/>
  <c r="Q333" i="2"/>
  <c r="V332" i="2"/>
  <c r="Q332" i="2"/>
  <c r="V331" i="2"/>
  <c r="Q331" i="2"/>
  <c r="V330" i="2"/>
  <c r="Q330" i="2"/>
  <c r="V329" i="2"/>
  <c r="Q329" i="2"/>
  <c r="X328" i="2"/>
  <c r="W328" i="2"/>
  <c r="V328" i="2"/>
  <c r="U328" i="2"/>
  <c r="S328" i="2"/>
  <c r="R328" i="2"/>
  <c r="Q328" i="2"/>
  <c r="P328" i="2"/>
  <c r="N328" i="2"/>
  <c r="M328" i="2"/>
  <c r="L328" i="2"/>
  <c r="X327" i="2"/>
  <c r="W327" i="2"/>
  <c r="V327" i="2"/>
  <c r="U327" i="2"/>
  <c r="S327" i="2"/>
  <c r="R327" i="2"/>
  <c r="Q327" i="2"/>
  <c r="P327" i="2"/>
  <c r="M327" i="2"/>
  <c r="L327" i="2"/>
  <c r="N327" i="2" s="1"/>
  <c r="V326" i="2"/>
  <c r="Q326" i="2"/>
  <c r="V325" i="2"/>
  <c r="Q325" i="2"/>
  <c r="V324" i="2"/>
  <c r="Q324" i="2"/>
  <c r="V323" i="2"/>
  <c r="Q323" i="2"/>
  <c r="V322" i="2"/>
  <c r="Q322" i="2"/>
  <c r="V321" i="2"/>
  <c r="Q321" i="2"/>
  <c r="X320" i="2"/>
  <c r="W320" i="2"/>
  <c r="V320" i="2"/>
  <c r="U320" i="2"/>
  <c r="S320" i="2"/>
  <c r="R320" i="2"/>
  <c r="Q320" i="2"/>
  <c r="P320" i="2"/>
  <c r="M320" i="2"/>
  <c r="L320" i="2"/>
  <c r="N320" i="2" s="1"/>
  <c r="V319" i="2"/>
  <c r="Q319" i="2"/>
  <c r="V318" i="2"/>
  <c r="Q318" i="2"/>
  <c r="V317" i="2"/>
  <c r="Q317" i="2"/>
  <c r="V316" i="2"/>
  <c r="Q316" i="2"/>
  <c r="V315" i="2"/>
  <c r="Q315" i="2"/>
  <c r="V314" i="2"/>
  <c r="Q314" i="2"/>
  <c r="X313" i="2"/>
  <c r="W313" i="2"/>
  <c r="V313" i="2"/>
  <c r="U313" i="2"/>
  <c r="S313" i="2"/>
  <c r="R313" i="2"/>
  <c r="Q313" i="2"/>
  <c r="P313" i="2"/>
  <c r="N313" i="2"/>
  <c r="M313" i="2"/>
  <c r="L313" i="2"/>
  <c r="V312" i="2"/>
  <c r="Q312" i="2"/>
  <c r="V311" i="2"/>
  <c r="Q311" i="2"/>
  <c r="V310" i="2"/>
  <c r="Q310" i="2"/>
  <c r="V309" i="2"/>
  <c r="Q309" i="2"/>
  <c r="V308" i="2"/>
  <c r="Q308" i="2"/>
  <c r="X307" i="2"/>
  <c r="W307" i="2"/>
  <c r="V307" i="2"/>
  <c r="U307" i="2"/>
  <c r="S307" i="2"/>
  <c r="R307" i="2"/>
  <c r="Q307" i="2"/>
  <c r="P307" i="2"/>
  <c r="M307" i="2"/>
  <c r="L307" i="2"/>
  <c r="N307" i="2" s="1"/>
  <c r="X306" i="2"/>
  <c r="W306" i="2"/>
  <c r="V306" i="2"/>
  <c r="U306" i="2"/>
  <c r="S306" i="2"/>
  <c r="R306" i="2"/>
  <c r="Q306" i="2"/>
  <c r="P306" i="2"/>
  <c r="M306" i="2"/>
  <c r="L306" i="2"/>
  <c r="N306" i="2" s="1"/>
  <c r="V305" i="2"/>
  <c r="Q305" i="2"/>
  <c r="V304" i="2"/>
  <c r="Q304" i="2"/>
  <c r="V303" i="2"/>
  <c r="Q303" i="2"/>
  <c r="V302" i="2"/>
  <c r="Q302" i="2"/>
  <c r="V301" i="2"/>
  <c r="Q301" i="2"/>
  <c r="V300" i="2"/>
  <c r="Q300" i="2"/>
  <c r="X299" i="2"/>
  <c r="W299" i="2"/>
  <c r="V299" i="2"/>
  <c r="U299" i="2"/>
  <c r="S299" i="2"/>
  <c r="R299" i="2"/>
  <c r="Q299" i="2"/>
  <c r="P299" i="2"/>
  <c r="M299" i="2"/>
  <c r="L299" i="2"/>
  <c r="N299" i="2" s="1"/>
  <c r="V298" i="2"/>
  <c r="Q298" i="2"/>
  <c r="V297" i="2"/>
  <c r="Q297" i="2"/>
  <c r="V296" i="2"/>
  <c r="Q296" i="2"/>
  <c r="V295" i="2"/>
  <c r="Q295" i="2"/>
  <c r="V294" i="2"/>
  <c r="Q294" i="2"/>
  <c r="V293" i="2"/>
  <c r="Q293" i="2"/>
  <c r="X292" i="2"/>
  <c r="W292" i="2"/>
  <c r="V292" i="2"/>
  <c r="U292" i="2"/>
  <c r="S292" i="2"/>
  <c r="R292" i="2"/>
  <c r="Q292" i="2"/>
  <c r="P292" i="2"/>
  <c r="M292" i="2"/>
  <c r="L292" i="2"/>
  <c r="N292" i="2" s="1"/>
  <c r="V291" i="2"/>
  <c r="Q291" i="2"/>
  <c r="V290" i="2"/>
  <c r="Q290" i="2"/>
  <c r="V289" i="2"/>
  <c r="Q289" i="2"/>
  <c r="V288" i="2"/>
  <c r="Q288" i="2"/>
  <c r="V287" i="2"/>
  <c r="Q287" i="2"/>
  <c r="X286" i="2"/>
  <c r="W286" i="2"/>
  <c r="V286" i="2"/>
  <c r="U286" i="2"/>
  <c r="S286" i="2"/>
  <c r="R286" i="2"/>
  <c r="Q286" i="2"/>
  <c r="P286" i="2"/>
  <c r="M286" i="2"/>
  <c r="L286" i="2"/>
  <c r="N286" i="2" s="1"/>
  <c r="X285" i="2"/>
  <c r="W285" i="2"/>
  <c r="V285" i="2"/>
  <c r="U285" i="2"/>
  <c r="S285" i="2"/>
  <c r="R285" i="2"/>
  <c r="Q285" i="2"/>
  <c r="P285" i="2"/>
  <c r="M285" i="2"/>
  <c r="L285" i="2"/>
  <c r="N285" i="2" s="1"/>
  <c r="V284" i="2"/>
  <c r="Q284" i="2"/>
  <c r="V283" i="2"/>
  <c r="Q283" i="2"/>
  <c r="V282" i="2"/>
  <c r="Q282" i="2"/>
  <c r="V281" i="2"/>
  <c r="Q281" i="2"/>
  <c r="V280" i="2"/>
  <c r="Q280" i="2"/>
  <c r="V279" i="2"/>
  <c r="Q279" i="2"/>
  <c r="X278" i="2"/>
  <c r="W278" i="2"/>
  <c r="V278" i="2"/>
  <c r="U278" i="2"/>
  <c r="S278" i="2"/>
  <c r="R278" i="2"/>
  <c r="Q278" i="2"/>
  <c r="P278" i="2"/>
  <c r="M278" i="2"/>
  <c r="L278" i="2"/>
  <c r="N278" i="2" s="1"/>
  <c r="X277" i="2"/>
  <c r="W277" i="2"/>
  <c r="V277" i="2"/>
  <c r="U277" i="2"/>
  <c r="S277" i="2"/>
  <c r="R277" i="2"/>
  <c r="Q277" i="2"/>
  <c r="P277" i="2"/>
  <c r="N277" i="2"/>
  <c r="M277" i="2"/>
  <c r="L277" i="2"/>
  <c r="V276" i="2"/>
  <c r="Q276" i="2"/>
  <c r="V275" i="2"/>
  <c r="Q275" i="2"/>
  <c r="V274" i="2"/>
  <c r="Q274" i="2"/>
  <c r="V273" i="2"/>
  <c r="Q273" i="2"/>
  <c r="V272" i="2"/>
  <c r="Q272" i="2"/>
  <c r="X271" i="2"/>
  <c r="W271" i="2"/>
  <c r="V271" i="2"/>
  <c r="U271" i="2"/>
  <c r="S271" i="2"/>
  <c r="R271" i="2"/>
  <c r="Q271" i="2"/>
  <c r="P271" i="2"/>
  <c r="M271" i="2"/>
  <c r="L271" i="2"/>
  <c r="N271" i="2" s="1"/>
  <c r="V270" i="2"/>
  <c r="Q270" i="2"/>
  <c r="V269" i="2"/>
  <c r="Q269" i="2"/>
  <c r="V268" i="2"/>
  <c r="Q268" i="2"/>
  <c r="V267" i="2"/>
  <c r="Q267" i="2"/>
  <c r="V266" i="2"/>
  <c r="Q266" i="2"/>
  <c r="V265" i="2"/>
  <c r="Q265" i="2"/>
  <c r="X264" i="2"/>
  <c r="W264" i="2"/>
  <c r="V264" i="2"/>
  <c r="U264" i="2"/>
  <c r="S264" i="2"/>
  <c r="R264" i="2"/>
  <c r="Q264" i="2"/>
  <c r="P264" i="2"/>
  <c r="M264" i="2"/>
  <c r="L264" i="2"/>
  <c r="N264" i="2" s="1"/>
  <c r="V263" i="2"/>
  <c r="Q263" i="2"/>
  <c r="V262" i="2"/>
  <c r="Q262" i="2"/>
  <c r="V261" i="2"/>
  <c r="Q261" i="2"/>
  <c r="V260" i="2"/>
  <c r="Q260" i="2"/>
  <c r="V259" i="2"/>
  <c r="Q259" i="2"/>
  <c r="V258" i="2"/>
  <c r="Q258" i="2"/>
  <c r="X257" i="2"/>
  <c r="W257" i="2"/>
  <c r="V257" i="2"/>
  <c r="U257" i="2"/>
  <c r="S257" i="2"/>
  <c r="R257" i="2"/>
  <c r="Q257" i="2"/>
  <c r="P257" i="2"/>
  <c r="M257" i="2"/>
  <c r="L257" i="2"/>
  <c r="N257" i="2" s="1"/>
  <c r="V256" i="2"/>
  <c r="Q256" i="2"/>
  <c r="V255" i="2"/>
  <c r="Q255" i="2"/>
  <c r="V254" i="2"/>
  <c r="Q254" i="2"/>
  <c r="V253" i="2"/>
  <c r="Q253" i="2"/>
  <c r="V252" i="2"/>
  <c r="Q252" i="2"/>
  <c r="X251" i="2"/>
  <c r="W251" i="2"/>
  <c r="V251" i="2"/>
  <c r="U251" i="2"/>
  <c r="S251" i="2"/>
  <c r="R251" i="2"/>
  <c r="Q251" i="2"/>
  <c r="P251" i="2"/>
  <c r="M251" i="2"/>
  <c r="L251" i="2"/>
  <c r="N251" i="2" s="1"/>
  <c r="X250" i="2"/>
  <c r="W250" i="2"/>
  <c r="V250" i="2"/>
  <c r="U250" i="2"/>
  <c r="S250" i="2"/>
  <c r="R250" i="2"/>
  <c r="Q250" i="2"/>
  <c r="P250" i="2"/>
  <c r="M250" i="2"/>
  <c r="L250" i="2"/>
  <c r="N250" i="2" s="1"/>
  <c r="X249" i="2"/>
  <c r="W249" i="2"/>
  <c r="V249" i="2"/>
  <c r="U249" i="2"/>
  <c r="S249" i="2"/>
  <c r="R249" i="2"/>
  <c r="Q249" i="2"/>
  <c r="P249" i="2"/>
  <c r="M249" i="2"/>
  <c r="L249" i="2"/>
  <c r="N249" i="2" s="1"/>
  <c r="V248" i="2"/>
  <c r="Q248" i="2"/>
  <c r="V247" i="2"/>
  <c r="Q247" i="2"/>
  <c r="V246" i="2"/>
  <c r="Q246" i="2"/>
  <c r="V245" i="2"/>
  <c r="Q245" i="2"/>
  <c r="X244" i="2"/>
  <c r="W244" i="2"/>
  <c r="V244" i="2"/>
  <c r="U244" i="2"/>
  <c r="S244" i="2"/>
  <c r="R244" i="2"/>
  <c r="Q244" i="2"/>
  <c r="P244" i="2"/>
  <c r="M244" i="2"/>
  <c r="L244" i="2"/>
  <c r="N244" i="2" s="1"/>
  <c r="X243" i="2"/>
  <c r="W243" i="2"/>
  <c r="V243" i="2"/>
  <c r="U243" i="2"/>
  <c r="S243" i="2"/>
  <c r="R243" i="2"/>
  <c r="Q243" i="2"/>
  <c r="P243" i="2"/>
  <c r="M243" i="2"/>
  <c r="L243" i="2"/>
  <c r="N243" i="2" s="1"/>
  <c r="V242" i="2"/>
  <c r="Q242" i="2"/>
  <c r="V241" i="2"/>
  <c r="Q241" i="2"/>
  <c r="V240" i="2"/>
  <c r="Q240" i="2"/>
  <c r="V239" i="2"/>
  <c r="Q239" i="2"/>
  <c r="V238" i="2"/>
  <c r="Q238" i="2"/>
  <c r="V237" i="2"/>
  <c r="Q237" i="2"/>
  <c r="V236" i="2"/>
  <c r="Q236" i="2"/>
  <c r="X235" i="2"/>
  <c r="W235" i="2"/>
  <c r="V235" i="2"/>
  <c r="U235" i="2"/>
  <c r="S235" i="2"/>
  <c r="R235" i="2"/>
  <c r="Q235" i="2"/>
  <c r="P235" i="2"/>
  <c r="M235" i="2"/>
  <c r="L235" i="2"/>
  <c r="N235" i="2" s="1"/>
  <c r="V234" i="2"/>
  <c r="Q234" i="2"/>
  <c r="V233" i="2"/>
  <c r="Q233" i="2"/>
  <c r="V232" i="2"/>
  <c r="Q232" i="2"/>
  <c r="V231" i="2"/>
  <c r="Q231" i="2"/>
  <c r="V230" i="2"/>
  <c r="Q230" i="2"/>
  <c r="X229" i="2"/>
  <c r="W229" i="2"/>
  <c r="V229" i="2"/>
  <c r="U229" i="2"/>
  <c r="S229" i="2"/>
  <c r="R229" i="2"/>
  <c r="Q229" i="2"/>
  <c r="P229" i="2"/>
  <c r="M229" i="2"/>
  <c r="L229" i="2"/>
  <c r="N229" i="2" s="1"/>
  <c r="V228" i="2"/>
  <c r="Q228" i="2"/>
  <c r="V227" i="2"/>
  <c r="Q227" i="2"/>
  <c r="V226" i="2"/>
  <c r="Q226" i="2"/>
  <c r="V225" i="2"/>
  <c r="Q225" i="2"/>
  <c r="X224" i="2"/>
  <c r="W224" i="2"/>
  <c r="V224" i="2"/>
  <c r="U224" i="2"/>
  <c r="S224" i="2"/>
  <c r="R224" i="2"/>
  <c r="Q224" i="2"/>
  <c r="P224" i="2"/>
  <c r="M224" i="2"/>
  <c r="L224" i="2"/>
  <c r="N224" i="2" s="1"/>
  <c r="X223" i="2"/>
  <c r="W223" i="2"/>
  <c r="V223" i="2"/>
  <c r="U223" i="2"/>
  <c r="S223" i="2"/>
  <c r="R223" i="2"/>
  <c r="Q223" i="2"/>
  <c r="P223" i="2"/>
  <c r="M223" i="2"/>
  <c r="L223" i="2"/>
  <c r="N223" i="2" s="1"/>
  <c r="X222" i="2"/>
  <c r="W222" i="2"/>
  <c r="V222" i="2"/>
  <c r="U222" i="2"/>
  <c r="S222" i="2"/>
  <c r="R222" i="2"/>
  <c r="Q222" i="2"/>
  <c r="P222" i="2"/>
  <c r="M222" i="2"/>
  <c r="L222" i="2"/>
  <c r="N222" i="2" s="1"/>
  <c r="V221" i="2"/>
  <c r="Q221" i="2"/>
  <c r="V220" i="2"/>
  <c r="Q220" i="2"/>
  <c r="V219" i="2"/>
  <c r="Q219" i="2"/>
  <c r="V218" i="2"/>
  <c r="Q218" i="2"/>
  <c r="V217" i="2"/>
  <c r="Q217" i="2"/>
  <c r="V216" i="2"/>
  <c r="Q216" i="2"/>
  <c r="X215" i="2"/>
  <c r="W215" i="2"/>
  <c r="V215" i="2"/>
  <c r="U215" i="2"/>
  <c r="S215" i="2"/>
  <c r="R215" i="2"/>
  <c r="Q215" i="2"/>
  <c r="P215" i="2"/>
  <c r="M215" i="2"/>
  <c r="L215" i="2"/>
  <c r="N215" i="2" s="1"/>
  <c r="V214" i="2"/>
  <c r="Q214" i="2"/>
  <c r="V213" i="2"/>
  <c r="Q213" i="2"/>
  <c r="V212" i="2"/>
  <c r="Q212" i="2"/>
  <c r="V211" i="2"/>
  <c r="Q211" i="2"/>
  <c r="V210" i="2"/>
  <c r="Q210" i="2"/>
  <c r="V209" i="2"/>
  <c r="Q209" i="2"/>
  <c r="X208" i="2"/>
  <c r="W208" i="2"/>
  <c r="V208" i="2"/>
  <c r="U208" i="2"/>
  <c r="S208" i="2"/>
  <c r="R208" i="2"/>
  <c r="Q208" i="2"/>
  <c r="P208" i="2"/>
  <c r="M208" i="2"/>
  <c r="L208" i="2"/>
  <c r="N208" i="2" s="1"/>
  <c r="V207" i="2"/>
  <c r="Q207" i="2"/>
  <c r="V206" i="2"/>
  <c r="Q206" i="2"/>
  <c r="V205" i="2"/>
  <c r="Q205" i="2"/>
  <c r="V204" i="2"/>
  <c r="Q204" i="2"/>
  <c r="V203" i="2"/>
  <c r="Q203" i="2"/>
  <c r="V202" i="2"/>
  <c r="Q202" i="2"/>
  <c r="X201" i="2"/>
  <c r="W201" i="2"/>
  <c r="V201" i="2"/>
  <c r="U201" i="2"/>
  <c r="S201" i="2"/>
  <c r="R201" i="2"/>
  <c r="Q201" i="2"/>
  <c r="P201" i="2"/>
  <c r="M201" i="2"/>
  <c r="L201" i="2"/>
  <c r="N201" i="2" s="1"/>
  <c r="V200" i="2"/>
  <c r="Q200" i="2"/>
  <c r="V199" i="2"/>
  <c r="Q199" i="2"/>
  <c r="V198" i="2"/>
  <c r="Q198" i="2"/>
  <c r="V197" i="2"/>
  <c r="Q197" i="2"/>
  <c r="V196" i="2"/>
  <c r="Q196" i="2"/>
  <c r="V195" i="2"/>
  <c r="Q195" i="2"/>
  <c r="X194" i="2"/>
  <c r="W194" i="2"/>
  <c r="V194" i="2"/>
  <c r="U194" i="2"/>
  <c r="S194" i="2"/>
  <c r="R194" i="2"/>
  <c r="Q194" i="2"/>
  <c r="P194" i="2"/>
  <c r="M194" i="2"/>
  <c r="L194" i="2"/>
  <c r="N194" i="2" s="1"/>
  <c r="V193" i="2"/>
  <c r="Q193" i="2"/>
  <c r="V192" i="2"/>
  <c r="Q192" i="2"/>
  <c r="V191" i="2"/>
  <c r="Q191" i="2"/>
  <c r="V190" i="2"/>
  <c r="Q190" i="2"/>
  <c r="V189" i="2"/>
  <c r="Q189" i="2"/>
  <c r="V188" i="2"/>
  <c r="Q188" i="2"/>
  <c r="X187" i="2"/>
  <c r="W187" i="2"/>
  <c r="V187" i="2"/>
  <c r="U187" i="2"/>
  <c r="S187" i="2"/>
  <c r="R187" i="2"/>
  <c r="Q187" i="2"/>
  <c r="P187" i="2"/>
  <c r="M187" i="2"/>
  <c r="L187" i="2"/>
  <c r="N187" i="2" s="1"/>
  <c r="V186" i="2"/>
  <c r="Q186" i="2"/>
  <c r="V185" i="2"/>
  <c r="Q185" i="2"/>
  <c r="V184" i="2"/>
  <c r="Q184" i="2"/>
  <c r="V183" i="2"/>
  <c r="Q183" i="2"/>
  <c r="V182" i="2"/>
  <c r="Q182" i="2"/>
  <c r="V181" i="2"/>
  <c r="Q181" i="2"/>
  <c r="X180" i="2"/>
  <c r="W180" i="2"/>
  <c r="V180" i="2"/>
  <c r="U180" i="2"/>
  <c r="S180" i="2"/>
  <c r="R180" i="2"/>
  <c r="Q180" i="2"/>
  <c r="P180" i="2"/>
  <c r="M180" i="2"/>
  <c r="L180" i="2"/>
  <c r="N180" i="2" s="1"/>
  <c r="V179" i="2"/>
  <c r="Q179" i="2"/>
  <c r="V178" i="2"/>
  <c r="Q178" i="2"/>
  <c r="V177" i="2"/>
  <c r="Q177" i="2"/>
  <c r="V176" i="2"/>
  <c r="Q176" i="2"/>
  <c r="V175" i="2"/>
  <c r="Q175" i="2"/>
  <c r="V174" i="2"/>
  <c r="Q174" i="2"/>
  <c r="X173" i="2"/>
  <c r="W173" i="2"/>
  <c r="V173" i="2"/>
  <c r="U173" i="2"/>
  <c r="S173" i="2"/>
  <c r="R173" i="2"/>
  <c r="Q173" i="2"/>
  <c r="P173" i="2"/>
  <c r="M173" i="2"/>
  <c r="L173" i="2"/>
  <c r="N173" i="2" s="1"/>
  <c r="V172" i="2"/>
  <c r="Q172" i="2"/>
  <c r="V171" i="2"/>
  <c r="Q171" i="2"/>
  <c r="V170" i="2"/>
  <c r="Q170" i="2"/>
  <c r="V169" i="2"/>
  <c r="Q169" i="2"/>
  <c r="V168" i="2"/>
  <c r="Q168" i="2"/>
  <c r="V167" i="2"/>
  <c r="Q167" i="2"/>
  <c r="X166" i="2"/>
  <c r="W166" i="2"/>
  <c r="V166" i="2"/>
  <c r="U166" i="2"/>
  <c r="S166" i="2"/>
  <c r="R166" i="2"/>
  <c r="Q166" i="2"/>
  <c r="M166" i="2"/>
  <c r="L166" i="2"/>
  <c r="N166" i="2" s="1"/>
  <c r="V165" i="2"/>
  <c r="Q165" i="2"/>
  <c r="V164" i="2"/>
  <c r="S164" i="2"/>
  <c r="R164" i="2"/>
  <c r="Q164" i="2"/>
  <c r="V163" i="2"/>
  <c r="Q163" i="2"/>
  <c r="R163" i="2" s="1"/>
  <c r="V162" i="2"/>
  <c r="Q162" i="2"/>
  <c r="V161" i="2"/>
  <c r="Q161" i="2"/>
  <c r="V160" i="2"/>
  <c r="S160" i="2"/>
  <c r="R160" i="2"/>
  <c r="Q160" i="2"/>
  <c r="X159" i="2"/>
  <c r="W159" i="2"/>
  <c r="V159" i="2"/>
  <c r="U159" i="2"/>
  <c r="S159" i="2"/>
  <c r="R159" i="2"/>
  <c r="Q159" i="2"/>
  <c r="M159" i="2"/>
  <c r="L159" i="2"/>
  <c r="N159" i="2" s="1"/>
  <c r="V158" i="2"/>
  <c r="S158" i="2"/>
  <c r="R158" i="2"/>
  <c r="Q158" i="2"/>
  <c r="V157" i="2"/>
  <c r="S157" i="2"/>
  <c r="Q157" i="2"/>
  <c r="R157" i="2" s="1"/>
  <c r="V156" i="2"/>
  <c r="Q156" i="2"/>
  <c r="V155" i="2"/>
  <c r="S155" i="2"/>
  <c r="R155" i="2"/>
  <c r="Q155" i="2"/>
  <c r="V154" i="2"/>
  <c r="Q154" i="2"/>
  <c r="V153" i="2"/>
  <c r="Q153" i="2"/>
  <c r="X152" i="2"/>
  <c r="W152" i="2"/>
  <c r="V152" i="2"/>
  <c r="U152" i="2"/>
  <c r="S152" i="2"/>
  <c r="R152" i="2"/>
  <c r="Q152" i="2"/>
  <c r="M152" i="2"/>
  <c r="L152" i="2"/>
  <c r="N152" i="2" s="1"/>
  <c r="V151" i="2"/>
  <c r="R151" i="2"/>
  <c r="Q151" i="2"/>
  <c r="S151" i="2" s="1"/>
  <c r="V150" i="2"/>
  <c r="R150" i="2"/>
  <c r="Q150" i="2"/>
  <c r="S150" i="2" s="1"/>
  <c r="V149" i="2"/>
  <c r="S149" i="2"/>
  <c r="R149" i="2"/>
  <c r="Q149" i="2"/>
  <c r="V148" i="2"/>
  <c r="Q148" i="2"/>
  <c r="V147" i="2"/>
  <c r="R147" i="2"/>
  <c r="Q147" i="2"/>
  <c r="S147" i="2" s="1"/>
  <c r="X146" i="2"/>
  <c r="W146" i="2"/>
  <c r="V146" i="2"/>
  <c r="U146" i="2"/>
  <c r="S146" i="2"/>
  <c r="R146" i="2"/>
  <c r="Q146" i="2"/>
  <c r="M146" i="2"/>
  <c r="L146" i="2"/>
  <c r="N146" i="2" s="1"/>
  <c r="X145" i="2"/>
  <c r="W145" i="2"/>
  <c r="V145" i="2"/>
  <c r="U145" i="2"/>
  <c r="S145" i="2"/>
  <c r="R145" i="2"/>
  <c r="Q145" i="2"/>
  <c r="M145" i="2"/>
  <c r="L145" i="2"/>
  <c r="N145" i="2" s="1"/>
  <c r="V144" i="2"/>
  <c r="S144" i="2"/>
  <c r="R144" i="2"/>
  <c r="Q144" i="2"/>
  <c r="V143" i="2"/>
  <c r="R143" i="2"/>
  <c r="Q143" i="2"/>
  <c r="S143" i="2" s="1"/>
  <c r="V142" i="2"/>
  <c r="S142" i="2"/>
  <c r="R142" i="2"/>
  <c r="Q142" i="2"/>
  <c r="V141" i="2"/>
  <c r="Q141" i="2"/>
  <c r="V140" i="2"/>
  <c r="R140" i="2"/>
  <c r="Q140" i="2"/>
  <c r="S140" i="2" s="1"/>
  <c r="X139" i="2"/>
  <c r="W139" i="2"/>
  <c r="V139" i="2"/>
  <c r="U139" i="2"/>
  <c r="S139" i="2"/>
  <c r="R139" i="2"/>
  <c r="Q139" i="2"/>
  <c r="N139" i="2"/>
  <c r="M139" i="2"/>
  <c r="L139" i="2"/>
  <c r="X138" i="2"/>
  <c r="W138" i="2"/>
  <c r="V138" i="2"/>
  <c r="U138" i="2"/>
  <c r="S138" i="2"/>
  <c r="R138" i="2"/>
  <c r="Q138" i="2"/>
  <c r="M138" i="2"/>
  <c r="L138" i="2"/>
  <c r="N138" i="2" s="1"/>
  <c r="V137" i="2"/>
  <c r="S137" i="2"/>
  <c r="Q137" i="2"/>
  <c r="R137" i="2" s="1"/>
  <c r="V136" i="2"/>
  <c r="S136" i="2"/>
  <c r="R136" i="2"/>
  <c r="Q136" i="2"/>
  <c r="V135" i="2"/>
  <c r="Q135" i="2"/>
  <c r="V134" i="2"/>
  <c r="Q134" i="2"/>
  <c r="V133" i="2"/>
  <c r="Q133" i="2"/>
  <c r="V132" i="2"/>
  <c r="Q132" i="2"/>
  <c r="X131" i="2"/>
  <c r="W131" i="2"/>
  <c r="V131" i="2"/>
  <c r="U131" i="2"/>
  <c r="S131" i="2"/>
  <c r="R131" i="2"/>
  <c r="Q131" i="2"/>
  <c r="P131" i="2"/>
  <c r="N131" i="2"/>
  <c r="M131" i="2"/>
  <c r="L131" i="2"/>
  <c r="V130" i="2"/>
  <c r="Q130" i="2"/>
  <c r="V129" i="2"/>
  <c r="Q129" i="2"/>
  <c r="V128" i="2"/>
  <c r="Q128" i="2"/>
  <c r="V127" i="2"/>
  <c r="Q127" i="2"/>
  <c r="V126" i="2"/>
  <c r="Q126" i="2"/>
  <c r="V125" i="2"/>
  <c r="Q125" i="2"/>
  <c r="X124" i="2"/>
  <c r="W124" i="2"/>
  <c r="V124" i="2"/>
  <c r="U124" i="2"/>
  <c r="S124" i="2"/>
  <c r="R124" i="2"/>
  <c r="Q124" i="2"/>
  <c r="P124" i="2"/>
  <c r="M124" i="2"/>
  <c r="L124" i="2"/>
  <c r="N124" i="2" s="1"/>
  <c r="V123" i="2"/>
  <c r="Q123" i="2"/>
  <c r="V122" i="2"/>
  <c r="Q122" i="2"/>
  <c r="V121" i="2"/>
  <c r="Q121" i="2"/>
  <c r="V120" i="2"/>
  <c r="Q120" i="2"/>
  <c r="V119" i="2"/>
  <c r="Q119" i="2"/>
  <c r="V118" i="2"/>
  <c r="Q118" i="2"/>
  <c r="X117" i="2"/>
  <c r="W117" i="2"/>
  <c r="V117" i="2"/>
  <c r="U117" i="2"/>
  <c r="S117" i="2"/>
  <c r="R117" i="2"/>
  <c r="Q117" i="2"/>
  <c r="P117" i="2"/>
  <c r="M117" i="2"/>
  <c r="L117" i="2"/>
  <c r="N117" i="2" s="1"/>
  <c r="V116" i="2"/>
  <c r="Q116" i="2"/>
  <c r="V115" i="2"/>
  <c r="Q115" i="2"/>
  <c r="V114" i="2"/>
  <c r="Q114" i="2"/>
  <c r="V113" i="2"/>
  <c r="Q113" i="2"/>
  <c r="V112" i="2"/>
  <c r="Q112" i="2"/>
  <c r="V111" i="2"/>
  <c r="Q111" i="2"/>
  <c r="X110" i="2"/>
  <c r="W110" i="2"/>
  <c r="V110" i="2"/>
  <c r="U110" i="2"/>
  <c r="S110" i="2"/>
  <c r="R110" i="2"/>
  <c r="Q110" i="2"/>
  <c r="P110" i="2"/>
  <c r="M110" i="2"/>
  <c r="L110" i="2"/>
  <c r="N110" i="2" s="1"/>
  <c r="V109" i="2"/>
  <c r="Q109" i="2"/>
  <c r="V108" i="2"/>
  <c r="Q108" i="2"/>
  <c r="V107" i="2"/>
  <c r="Q107" i="2"/>
  <c r="V106" i="2"/>
  <c r="Q106" i="2"/>
  <c r="V105" i="2"/>
  <c r="Q105" i="2"/>
  <c r="V104" i="2"/>
  <c r="Q104" i="2"/>
  <c r="X103" i="2"/>
  <c r="W103" i="2"/>
  <c r="V103" i="2"/>
  <c r="U103" i="2"/>
  <c r="S103" i="2"/>
  <c r="R103" i="2"/>
  <c r="Q103" i="2"/>
  <c r="P103" i="2"/>
  <c r="M103" i="2"/>
  <c r="L103" i="2"/>
  <c r="N103" i="2" s="1"/>
  <c r="V102" i="2"/>
  <c r="Q102" i="2"/>
  <c r="V101" i="2"/>
  <c r="Q101" i="2"/>
  <c r="V100" i="2"/>
  <c r="Q100" i="2"/>
  <c r="V99" i="2"/>
  <c r="Q99" i="2"/>
  <c r="V98" i="2"/>
  <c r="Q98" i="2"/>
  <c r="V97" i="2"/>
  <c r="Q97" i="2"/>
  <c r="X96" i="2"/>
  <c r="W96" i="2"/>
  <c r="V96" i="2"/>
  <c r="U96" i="2"/>
  <c r="S96" i="2"/>
  <c r="R96" i="2"/>
  <c r="Q96" i="2"/>
  <c r="P96" i="2"/>
  <c r="M96" i="2"/>
  <c r="L96" i="2"/>
  <c r="N96" i="2" s="1"/>
  <c r="V95" i="2"/>
  <c r="Q95" i="2"/>
  <c r="V94" i="2"/>
  <c r="Q94" i="2"/>
  <c r="V93" i="2"/>
  <c r="Q93" i="2"/>
  <c r="V92" i="2"/>
  <c r="Q92" i="2"/>
  <c r="V91" i="2"/>
  <c r="Q91" i="2"/>
  <c r="V90" i="2"/>
  <c r="Q90" i="2"/>
  <c r="X89" i="2"/>
  <c r="W89" i="2"/>
  <c r="V89" i="2"/>
  <c r="U89" i="2"/>
  <c r="S89" i="2"/>
  <c r="R89" i="2"/>
  <c r="Q89" i="2"/>
  <c r="P89" i="2"/>
  <c r="M89" i="2"/>
  <c r="L89" i="2"/>
  <c r="N89" i="2" s="1"/>
  <c r="V88" i="2"/>
  <c r="Q88" i="2"/>
  <c r="V87" i="2"/>
  <c r="Q87" i="2"/>
  <c r="V86" i="2"/>
  <c r="Q86" i="2"/>
  <c r="V85" i="2"/>
  <c r="Q85" i="2"/>
  <c r="V84" i="2"/>
  <c r="Q84" i="2"/>
  <c r="V83" i="2"/>
  <c r="Q83" i="2"/>
  <c r="X82" i="2"/>
  <c r="W82" i="2"/>
  <c r="V82" i="2"/>
  <c r="U82" i="2"/>
  <c r="S82" i="2"/>
  <c r="R82" i="2"/>
  <c r="Q82" i="2"/>
  <c r="P82" i="2"/>
  <c r="N82" i="2"/>
  <c r="M82" i="2"/>
  <c r="L82" i="2"/>
  <c r="V81" i="2"/>
  <c r="Q81" i="2"/>
  <c r="V80" i="2"/>
  <c r="Q80" i="2"/>
  <c r="V79" i="2"/>
  <c r="Q79" i="2"/>
  <c r="V78" i="2"/>
  <c r="Q78" i="2"/>
  <c r="V77" i="2"/>
  <c r="Q77" i="2"/>
  <c r="V76" i="2"/>
  <c r="Q76" i="2"/>
  <c r="X75" i="2"/>
  <c r="W75" i="2"/>
  <c r="V75" i="2"/>
  <c r="U75" i="2"/>
  <c r="S75" i="2"/>
  <c r="R75" i="2"/>
  <c r="Q75" i="2"/>
  <c r="P75" i="2"/>
  <c r="N75" i="2"/>
  <c r="M75" i="2"/>
  <c r="L75" i="2"/>
  <c r="V74" i="2"/>
  <c r="Q74" i="2"/>
  <c r="V73" i="2"/>
  <c r="Q73" i="2"/>
  <c r="V72" i="2"/>
  <c r="Q72" i="2"/>
  <c r="V71" i="2"/>
  <c r="Q71" i="2"/>
  <c r="V70" i="2"/>
  <c r="Q70" i="2"/>
  <c r="V69" i="2"/>
  <c r="Q69" i="2"/>
  <c r="X68" i="2"/>
  <c r="W68" i="2"/>
  <c r="V68" i="2"/>
  <c r="U68" i="2"/>
  <c r="S68" i="2"/>
  <c r="R68" i="2"/>
  <c r="Q68" i="2"/>
  <c r="P68" i="2"/>
  <c r="M68" i="2"/>
  <c r="L68" i="2"/>
  <c r="N68" i="2" s="1"/>
  <c r="V67" i="2"/>
  <c r="Q67" i="2"/>
  <c r="V66" i="2"/>
  <c r="Q66" i="2"/>
  <c r="V65" i="2"/>
  <c r="Q65" i="2"/>
  <c r="V64" i="2"/>
  <c r="Q64" i="2"/>
  <c r="V63" i="2"/>
  <c r="Q63" i="2"/>
  <c r="X62" i="2"/>
  <c r="W62" i="2"/>
  <c r="V62" i="2"/>
  <c r="U62" i="2"/>
  <c r="S62" i="2"/>
  <c r="R62" i="2"/>
  <c r="Q62" i="2"/>
  <c r="P62" i="2"/>
  <c r="M62" i="2"/>
  <c r="L62" i="2"/>
  <c r="N62" i="2" s="1"/>
  <c r="X61" i="2"/>
  <c r="W61" i="2"/>
  <c r="V61" i="2"/>
  <c r="U61" i="2"/>
  <c r="S61" i="2"/>
  <c r="R61" i="2"/>
  <c r="Q61" i="2"/>
  <c r="P61" i="2"/>
  <c r="M61" i="2"/>
  <c r="L61" i="2"/>
  <c r="N61" i="2" s="1"/>
  <c r="V60" i="2"/>
  <c r="Q60" i="2"/>
  <c r="V59" i="2"/>
  <c r="Q59" i="2"/>
  <c r="V58" i="2"/>
  <c r="Q58" i="2"/>
  <c r="V57" i="2"/>
  <c r="Q57" i="2"/>
  <c r="V56" i="2"/>
  <c r="Q56" i="2"/>
  <c r="V55" i="2"/>
  <c r="Q55" i="2"/>
  <c r="X54" i="2"/>
  <c r="W54" i="2"/>
  <c r="V54" i="2"/>
  <c r="U54" i="2"/>
  <c r="S54" i="2"/>
  <c r="R54" i="2"/>
  <c r="Q54" i="2"/>
  <c r="P54" i="2"/>
  <c r="M54" i="2"/>
  <c r="L54" i="2"/>
  <c r="N54" i="2" s="1"/>
  <c r="V53" i="2"/>
  <c r="Q53" i="2"/>
  <c r="V52" i="2"/>
  <c r="Q52" i="2"/>
  <c r="V51" i="2"/>
  <c r="Q51" i="2"/>
  <c r="V50" i="2"/>
  <c r="Q50" i="2"/>
  <c r="V49" i="2"/>
  <c r="Q49" i="2"/>
  <c r="V48" i="2"/>
  <c r="Q48" i="2"/>
  <c r="X47" i="2"/>
  <c r="W47" i="2"/>
  <c r="V47" i="2"/>
  <c r="U47" i="2"/>
  <c r="S47" i="2"/>
  <c r="R47" i="2"/>
  <c r="Q47" i="2"/>
  <c r="P47" i="2"/>
  <c r="N47" i="2"/>
  <c r="M47" i="2"/>
  <c r="L47" i="2"/>
  <c r="V46" i="2"/>
  <c r="Q46" i="2"/>
  <c r="V45" i="2"/>
  <c r="Q45" i="2"/>
  <c r="V44" i="2"/>
  <c r="Q44" i="2"/>
  <c r="V43" i="2"/>
  <c r="Q43" i="2"/>
  <c r="V42" i="2"/>
  <c r="Q42" i="2"/>
  <c r="V41" i="2"/>
  <c r="Q41" i="2"/>
  <c r="V40" i="2"/>
  <c r="Q40" i="2"/>
  <c r="V39" i="2"/>
  <c r="Q39" i="2"/>
  <c r="V38" i="2"/>
  <c r="Q38" i="2"/>
  <c r="V37" i="2"/>
  <c r="Q37" i="2"/>
  <c r="V36" i="2"/>
  <c r="Q36" i="2"/>
  <c r="V35" i="2"/>
  <c r="Q35" i="2"/>
  <c r="V34" i="2"/>
  <c r="Q34" i="2"/>
  <c r="X33" i="2"/>
  <c r="W33" i="2"/>
  <c r="V33" i="2"/>
  <c r="U33" i="2"/>
  <c r="S33" i="2"/>
  <c r="R33" i="2"/>
  <c r="Q33" i="2"/>
  <c r="P33" i="2"/>
  <c r="M33" i="2"/>
  <c r="L33" i="2"/>
  <c r="N33" i="2" s="1"/>
  <c r="X32" i="2"/>
  <c r="W32" i="2"/>
  <c r="V32" i="2"/>
  <c r="U32" i="2"/>
  <c r="S32" i="2"/>
  <c r="R32" i="2"/>
  <c r="Q32" i="2"/>
  <c r="P32" i="2"/>
  <c r="M32" i="2"/>
  <c r="L32" i="2"/>
  <c r="N32" i="2" s="1"/>
  <c r="V31" i="2"/>
  <c r="Q31" i="2"/>
  <c r="V30" i="2"/>
  <c r="Q30" i="2"/>
  <c r="V29" i="2"/>
  <c r="Q29" i="2"/>
  <c r="V28" i="2"/>
  <c r="Q28" i="2"/>
  <c r="V27" i="2"/>
  <c r="Q27" i="2"/>
  <c r="X26" i="2"/>
  <c r="W26" i="2"/>
  <c r="V26" i="2"/>
  <c r="U26" i="2"/>
  <c r="S26" i="2"/>
  <c r="R26" i="2"/>
  <c r="Q26" i="2"/>
  <c r="P26" i="2"/>
  <c r="M26" i="2"/>
  <c r="L26" i="2"/>
  <c r="N26" i="2" s="1"/>
  <c r="X25" i="2"/>
  <c r="W25" i="2"/>
  <c r="V25" i="2"/>
  <c r="U25" i="2"/>
  <c r="S25" i="2"/>
  <c r="R25" i="2"/>
  <c r="Q25" i="2"/>
  <c r="P25" i="2"/>
  <c r="M25" i="2"/>
  <c r="L25" i="2"/>
  <c r="N25" i="2" s="1"/>
  <c r="X24" i="2"/>
  <c r="W24" i="2"/>
  <c r="V24" i="2"/>
  <c r="U24" i="2"/>
  <c r="S24" i="2"/>
  <c r="R24" i="2"/>
  <c r="Q24" i="2"/>
  <c r="P24" i="2"/>
  <c r="M24" i="2"/>
  <c r="L24" i="2"/>
  <c r="N24" i="2" s="1"/>
  <c r="X23" i="2"/>
  <c r="W23" i="2"/>
  <c r="V23" i="2"/>
  <c r="U23" i="2"/>
  <c r="S23" i="2"/>
  <c r="R23" i="2"/>
  <c r="Q23" i="2"/>
  <c r="P23" i="2"/>
  <c r="M23" i="2"/>
  <c r="L23" i="2"/>
  <c r="N23" i="2" s="1"/>
  <c r="X22" i="2"/>
  <c r="W22" i="2"/>
  <c r="V22" i="2"/>
  <c r="U22" i="2"/>
  <c r="S22" i="2"/>
  <c r="R22" i="2"/>
  <c r="Q22" i="2"/>
  <c r="P22" i="2"/>
  <c r="M22" i="2"/>
  <c r="L22" i="2"/>
  <c r="N22" i="2" s="1"/>
  <c r="F22" i="2"/>
  <c r="Z21" i="2"/>
  <c r="G21" i="2" s="1"/>
  <c r="Y21" i="2"/>
  <c r="Y22" i="2" s="1"/>
  <c r="Y23" i="2" s="1"/>
  <c r="X21" i="2"/>
  <c r="W21" i="2"/>
  <c r="V21" i="2"/>
  <c r="U21" i="2"/>
  <c r="S21" i="2"/>
  <c r="R21" i="2"/>
  <c r="Q21" i="2"/>
  <c r="P21" i="2"/>
  <c r="N21" i="2"/>
  <c r="M21" i="2"/>
  <c r="L21" i="2"/>
  <c r="F21" i="2"/>
  <c r="E21" i="2"/>
  <c r="AD18" i="2"/>
  <c r="M18" i="2"/>
  <c r="F18" i="2"/>
  <c r="AD17" i="2"/>
  <c r="M17" i="2"/>
  <c r="F17" i="2"/>
  <c r="AD16" i="2"/>
  <c r="M16" i="2"/>
  <c r="F16" i="2"/>
  <c r="AD15" i="2"/>
  <c r="M15" i="2"/>
  <c r="F15" i="2"/>
  <c r="AD14" i="2"/>
  <c r="M14" i="2"/>
  <c r="F14" i="2"/>
  <c r="AD13" i="2"/>
  <c r="M13" i="2"/>
  <c r="F13" i="2"/>
  <c r="AD12" i="2"/>
  <c r="M12" i="2"/>
  <c r="F12" i="2"/>
  <c r="AD11" i="2"/>
  <c r="M11" i="2"/>
  <c r="F11" i="2"/>
  <c r="AD10" i="2"/>
  <c r="M10" i="2"/>
  <c r="F10" i="2"/>
  <c r="AD9" i="2"/>
  <c r="M9" i="2"/>
  <c r="F9" i="2"/>
  <c r="AD8" i="2"/>
  <c r="H3" i="2" s="1"/>
  <c r="I3" i="2" s="1"/>
  <c r="M8" i="2"/>
  <c r="F8" i="2"/>
  <c r="AD7" i="2"/>
  <c r="M7" i="2"/>
  <c r="F7" i="2"/>
  <c r="K3" i="2"/>
  <c r="M3" i="2" s="1"/>
  <c r="C72" i="1"/>
  <c r="I71" i="1"/>
  <c r="K71" i="1" s="1"/>
  <c r="H71" i="1"/>
  <c r="I70" i="1"/>
  <c r="K70" i="1" s="1"/>
  <c r="H70" i="1"/>
  <c r="I69" i="1"/>
  <c r="H69" i="1"/>
  <c r="I68" i="1"/>
  <c r="H68" i="1"/>
  <c r="I67" i="1"/>
  <c r="H67" i="1"/>
  <c r="J66" i="1"/>
  <c r="I66" i="1"/>
  <c r="H66" i="1"/>
  <c r="K66" i="1" s="1"/>
  <c r="I65" i="1"/>
  <c r="H65" i="1"/>
  <c r="J65" i="1" s="1"/>
  <c r="I64" i="1"/>
  <c r="H64" i="1"/>
  <c r="K64" i="1" s="1"/>
  <c r="J63" i="1"/>
  <c r="I63" i="1"/>
  <c r="K63" i="1" s="1"/>
  <c r="H63" i="1"/>
  <c r="I62" i="1"/>
  <c r="K62" i="1" s="1"/>
  <c r="H62" i="1"/>
  <c r="I61" i="1"/>
  <c r="K61" i="1" s="1"/>
  <c r="H61" i="1"/>
  <c r="G61" i="1"/>
  <c r="F61" i="1"/>
  <c r="I60" i="1"/>
  <c r="J60" i="1" s="1"/>
  <c r="H60" i="1"/>
  <c r="I59" i="1"/>
  <c r="K59" i="1" s="1"/>
  <c r="H59" i="1"/>
  <c r="I58" i="1"/>
  <c r="K58" i="1" s="1"/>
  <c r="H58" i="1"/>
  <c r="J58" i="1" s="1"/>
  <c r="I57" i="1"/>
  <c r="H57" i="1"/>
  <c r="I56" i="1"/>
  <c r="H56" i="1"/>
  <c r="I55" i="1"/>
  <c r="J55" i="1" s="1"/>
  <c r="H55" i="1"/>
  <c r="K55" i="1" s="1"/>
  <c r="I54" i="1"/>
  <c r="H54" i="1"/>
  <c r="J53" i="1"/>
  <c r="I53" i="1"/>
  <c r="H53" i="1"/>
  <c r="K53" i="1" s="1"/>
  <c r="I52" i="1"/>
  <c r="H52" i="1"/>
  <c r="K52" i="1" s="1"/>
  <c r="I51" i="1"/>
  <c r="J51" i="1" s="1"/>
  <c r="H51" i="1"/>
  <c r="I50" i="1"/>
  <c r="K50" i="1" s="1"/>
  <c r="H50" i="1"/>
  <c r="I49" i="1"/>
  <c r="K49" i="1" s="1"/>
  <c r="H49" i="1"/>
  <c r="J49" i="1" s="1"/>
  <c r="I48" i="1"/>
  <c r="H48" i="1"/>
  <c r="I47" i="1"/>
  <c r="H47" i="1"/>
  <c r="I46" i="1"/>
  <c r="J46" i="1" s="1"/>
  <c r="H46" i="1"/>
  <c r="K46" i="1" s="1"/>
  <c r="I45" i="1"/>
  <c r="H45" i="1"/>
  <c r="K44" i="1"/>
  <c r="I44" i="1"/>
  <c r="H44" i="1"/>
  <c r="J44" i="1" s="1"/>
  <c r="I43" i="1"/>
  <c r="J43" i="1" s="1"/>
  <c r="H43" i="1"/>
  <c r="I42" i="1"/>
  <c r="K42" i="1" s="1"/>
  <c r="H42" i="1"/>
  <c r="B42" i="1"/>
  <c r="B43" i="1" s="1"/>
  <c r="B44" i="1" s="1"/>
  <c r="B45" i="1" s="1"/>
  <c r="B46" i="1" s="1"/>
  <c r="B47" i="1" s="1"/>
  <c r="B48" i="1" s="1"/>
  <c r="B49" i="1" s="1"/>
  <c r="B50" i="1" s="1"/>
  <c r="B51" i="1" s="1"/>
  <c r="B52" i="1" s="1"/>
  <c r="B53" i="1" s="1"/>
  <c r="B54" i="1" s="1"/>
  <c r="B55" i="1" s="1"/>
  <c r="B56" i="1" s="1"/>
  <c r="B57" i="1" s="1"/>
  <c r="B58" i="1" s="1"/>
  <c r="B59" i="1" s="1"/>
  <c r="B60" i="1" s="1"/>
  <c r="B61" i="1" s="1"/>
  <c r="B62" i="1" s="1"/>
  <c r="B63" i="1" s="1"/>
  <c r="B64" i="1" s="1"/>
  <c r="B65" i="1" s="1"/>
  <c r="B66" i="1" s="1"/>
  <c r="B67" i="1" s="1"/>
  <c r="B68" i="1" s="1"/>
  <c r="B69" i="1" s="1"/>
  <c r="B70" i="1" s="1"/>
  <c r="B71" i="1" s="1"/>
  <c r="I41" i="1"/>
  <c r="K41" i="1" s="1"/>
  <c r="H41" i="1"/>
  <c r="B41" i="1"/>
  <c r="C33" i="1"/>
  <c r="C34" i="1"/>
  <c r="C4" i="1" a="1"/>
  <c r="C4" i="1" s="1"/>
  <c r="B3" i="1"/>
  <c r="D3" i="1" s="1"/>
  <c r="D2" i="1"/>
  <c r="C2" i="1"/>
  <c r="K60" i="1" l="1"/>
  <c r="J71" i="1"/>
  <c r="J62" i="1"/>
  <c r="J41" i="1"/>
  <c r="J50" i="1"/>
  <c r="J59" i="1"/>
  <c r="J61" i="1"/>
  <c r="J70" i="1"/>
  <c r="K51" i="1"/>
  <c r="K45" i="1"/>
  <c r="J54" i="1"/>
  <c r="K67" i="1"/>
  <c r="C26" i="1"/>
  <c r="C31" i="1"/>
  <c r="C37" i="1"/>
  <c r="C21" i="1"/>
  <c r="F18" i="1"/>
  <c r="C25" i="1"/>
  <c r="K43" i="1"/>
  <c r="C8" i="8"/>
  <c r="C8" i="7"/>
  <c r="Z22" i="2"/>
  <c r="Y24" i="2"/>
  <c r="E23" i="2"/>
  <c r="C20" i="1"/>
  <c r="C30" i="1"/>
  <c r="J42" i="1"/>
  <c r="J67" i="1"/>
  <c r="F23" i="2"/>
  <c r="F24" i="2" s="1"/>
  <c r="F25" i="2" s="1"/>
  <c r="F26" i="2" s="1"/>
  <c r="F27" i="2" s="1"/>
  <c r="F28" i="2" s="1"/>
  <c r="F29" i="2" s="1"/>
  <c r="F30" i="2" s="1"/>
  <c r="F31" i="2" s="1"/>
  <c r="F32" i="2" s="1"/>
  <c r="F33" i="2" s="1"/>
  <c r="F34" i="2" s="1"/>
  <c r="F35" i="2" s="1"/>
  <c r="F36" i="2" s="1"/>
  <c r="F37" i="2" s="1"/>
  <c r="F38" i="2" s="1"/>
  <c r="F39" i="2" s="1"/>
  <c r="F40" i="2" s="1"/>
  <c r="F41" i="2" s="1"/>
  <c r="F42" i="2" s="1"/>
  <c r="F43" i="2" s="1"/>
  <c r="F44" i="2" s="1"/>
  <c r="F45" i="2" s="1"/>
  <c r="F46" i="2" s="1"/>
  <c r="F47" i="2" s="1"/>
  <c r="F48" i="2" s="1"/>
  <c r="F49" i="2" s="1"/>
  <c r="F50" i="2" s="1"/>
  <c r="F51" i="2" s="1"/>
  <c r="F52" i="2" s="1"/>
  <c r="F53" i="2" s="1"/>
  <c r="F54" i="2" s="1"/>
  <c r="F55" i="2" s="1"/>
  <c r="F56" i="2" s="1"/>
  <c r="F57" i="2" s="1"/>
  <c r="F58" i="2" s="1"/>
  <c r="F59" i="2" s="1"/>
  <c r="F60" i="2" s="1"/>
  <c r="F61" i="2" s="1"/>
  <c r="F62" i="2" s="1"/>
  <c r="F63" i="2" s="1"/>
  <c r="F64" i="2" s="1"/>
  <c r="F65" i="2" s="1"/>
  <c r="F66" i="2" s="1"/>
  <c r="F67" i="2" s="1"/>
  <c r="F68" i="2" s="1"/>
  <c r="F69" i="2" s="1"/>
  <c r="F70" i="2" s="1"/>
  <c r="F71" i="2" s="1"/>
  <c r="F72" i="2" s="1"/>
  <c r="F73" i="2" s="1"/>
  <c r="F74" i="2" s="1"/>
  <c r="F75" i="2" s="1"/>
  <c r="F76" i="2" s="1"/>
  <c r="F77" i="2" s="1"/>
  <c r="F78" i="2" s="1"/>
  <c r="F79" i="2" s="1"/>
  <c r="F80" i="2" s="1"/>
  <c r="F81" i="2" s="1"/>
  <c r="F82" i="2" s="1"/>
  <c r="F83" i="2" s="1"/>
  <c r="F84" i="2" s="1"/>
  <c r="F85" i="2" s="1"/>
  <c r="F86" i="2" s="1"/>
  <c r="F87" i="2" s="1"/>
  <c r="F88" i="2" s="1"/>
  <c r="F89" i="2" s="1"/>
  <c r="F90" i="2" s="1"/>
  <c r="F91" i="2" s="1"/>
  <c r="F92" i="2" s="1"/>
  <c r="F93" i="2" s="1"/>
  <c r="F94" i="2" s="1"/>
  <c r="F95" i="2" s="1"/>
  <c r="F96" i="2" s="1"/>
  <c r="F97" i="2" s="1"/>
  <c r="F98" i="2" s="1"/>
  <c r="F99" i="2" s="1"/>
  <c r="F100" i="2" s="1"/>
  <c r="F101" i="2" s="1"/>
  <c r="F102" i="2" s="1"/>
  <c r="F103" i="2" s="1"/>
  <c r="F104" i="2" s="1"/>
  <c r="F105" i="2" s="1"/>
  <c r="F106" i="2" s="1"/>
  <c r="F107" i="2" s="1"/>
  <c r="F108" i="2" s="1"/>
  <c r="F109" i="2" s="1"/>
  <c r="F110" i="2" s="1"/>
  <c r="F111" i="2" s="1"/>
  <c r="F112" i="2" s="1"/>
  <c r="F113" i="2" s="1"/>
  <c r="F114" i="2" s="1"/>
  <c r="F115" i="2" s="1"/>
  <c r="F116" i="2" s="1"/>
  <c r="F117" i="2" s="1"/>
  <c r="F118" i="2" s="1"/>
  <c r="F119" i="2" s="1"/>
  <c r="F120" i="2" s="1"/>
  <c r="F121" i="2" s="1"/>
  <c r="F122" i="2" s="1"/>
  <c r="F123" i="2" s="1"/>
  <c r="F124" i="2" s="1"/>
  <c r="F125" i="2" s="1"/>
  <c r="F126" i="2" s="1"/>
  <c r="F127" i="2" s="1"/>
  <c r="F128" i="2" s="1"/>
  <c r="F129" i="2" s="1"/>
  <c r="F130" i="2" s="1"/>
  <c r="F131" i="2" s="1"/>
  <c r="F132" i="2" s="1"/>
  <c r="F133" i="2" s="1"/>
  <c r="F134" i="2" s="1"/>
  <c r="F135" i="2" s="1"/>
  <c r="F136" i="2" s="1"/>
  <c r="F137" i="2" s="1"/>
  <c r="F138" i="2" s="1"/>
  <c r="F139" i="2" s="1"/>
  <c r="F140" i="2" s="1"/>
  <c r="F141" i="2" s="1"/>
  <c r="F142" i="2" s="1"/>
  <c r="F143" i="2" s="1"/>
  <c r="F144" i="2" s="1"/>
  <c r="F145" i="2" s="1"/>
  <c r="F146" i="2" s="1"/>
  <c r="F147" i="2" s="1"/>
  <c r="F148" i="2" s="1"/>
  <c r="F149" i="2" s="1"/>
  <c r="F150" i="2" s="1"/>
  <c r="F151" i="2" s="1"/>
  <c r="F152" i="2" s="1"/>
  <c r="F153" i="2" s="1"/>
  <c r="F154" i="2" s="1"/>
  <c r="F155" i="2" s="1"/>
  <c r="F156" i="2" s="1"/>
  <c r="F157" i="2" s="1"/>
  <c r="F158" i="2" s="1"/>
  <c r="F159" i="2" s="1"/>
  <c r="F160" i="2" s="1"/>
  <c r="F161" i="2" s="1"/>
  <c r="F162" i="2" s="1"/>
  <c r="F163" i="2" s="1"/>
  <c r="F164" i="2" s="1"/>
  <c r="F165" i="2" s="1"/>
  <c r="F166" i="2" s="1"/>
  <c r="F167" i="2" s="1"/>
  <c r="F168" i="2" s="1"/>
  <c r="F169" i="2" s="1"/>
  <c r="F170" i="2" s="1"/>
  <c r="F171" i="2" s="1"/>
  <c r="F172" i="2" s="1"/>
  <c r="F173" i="2" s="1"/>
  <c r="F174" i="2" s="1"/>
  <c r="F175" i="2" s="1"/>
  <c r="F176" i="2" s="1"/>
  <c r="F177" i="2" s="1"/>
  <c r="F178" i="2" s="1"/>
  <c r="F179" i="2" s="1"/>
  <c r="F180" i="2" s="1"/>
  <c r="F181" i="2" s="1"/>
  <c r="F182" i="2" s="1"/>
  <c r="F183" i="2" s="1"/>
  <c r="F184" i="2" s="1"/>
  <c r="F185" i="2" s="1"/>
  <c r="F186" i="2" s="1"/>
  <c r="F187" i="2" s="1"/>
  <c r="F188" i="2" s="1"/>
  <c r="F189" i="2" s="1"/>
  <c r="F190" i="2" s="1"/>
  <c r="F191" i="2" s="1"/>
  <c r="F192" i="2" s="1"/>
  <c r="F193" i="2" s="1"/>
  <c r="F194" i="2" s="1"/>
  <c r="F195" i="2" s="1"/>
  <c r="F196" i="2" s="1"/>
  <c r="F197" i="2" s="1"/>
  <c r="F198" i="2" s="1"/>
  <c r="F199" i="2" s="1"/>
  <c r="F200" i="2" s="1"/>
  <c r="F201" i="2" s="1"/>
  <c r="F202" i="2" s="1"/>
  <c r="F203" i="2" s="1"/>
  <c r="F204" i="2" s="1"/>
  <c r="F205" i="2" s="1"/>
  <c r="F206" i="2" s="1"/>
  <c r="F207" i="2" s="1"/>
  <c r="F208" i="2" s="1"/>
  <c r="F209" i="2" s="1"/>
  <c r="F210" i="2" s="1"/>
  <c r="F211" i="2" s="1"/>
  <c r="F212" i="2" s="1"/>
  <c r="F213" i="2" s="1"/>
  <c r="F214" i="2" s="1"/>
  <c r="F215" i="2" s="1"/>
  <c r="F216" i="2" s="1"/>
  <c r="F217" i="2" s="1"/>
  <c r="F218" i="2" s="1"/>
  <c r="F219" i="2" s="1"/>
  <c r="F220" i="2" s="1"/>
  <c r="F221" i="2" s="1"/>
  <c r="F222" i="2" s="1"/>
  <c r="F223" i="2" s="1"/>
  <c r="F224" i="2" s="1"/>
  <c r="F225" i="2" s="1"/>
  <c r="F226" i="2" s="1"/>
  <c r="F227" i="2" s="1"/>
  <c r="F228" i="2" s="1"/>
  <c r="F229" i="2" s="1"/>
  <c r="F230" i="2" s="1"/>
  <c r="F231" i="2" s="1"/>
  <c r="F232" i="2" s="1"/>
  <c r="F233" i="2" s="1"/>
  <c r="F234" i="2" s="1"/>
  <c r="F235" i="2" s="1"/>
  <c r="F236" i="2" s="1"/>
  <c r="F237" i="2" s="1"/>
  <c r="F238" i="2" s="1"/>
  <c r="F239" i="2" s="1"/>
  <c r="F240" i="2" s="1"/>
  <c r="F241" i="2" s="1"/>
  <c r="F242" i="2" s="1"/>
  <c r="F243" i="2" s="1"/>
  <c r="F244" i="2" s="1"/>
  <c r="F245" i="2" s="1"/>
  <c r="F246" i="2" s="1"/>
  <c r="F247" i="2" s="1"/>
  <c r="F248" i="2" s="1"/>
  <c r="F249" i="2" s="1"/>
  <c r="F250" i="2" s="1"/>
  <c r="F251" i="2" s="1"/>
  <c r="F252" i="2" s="1"/>
  <c r="F253" i="2" s="1"/>
  <c r="F254" i="2" s="1"/>
  <c r="F255" i="2" s="1"/>
  <c r="F256" i="2" s="1"/>
  <c r="F257" i="2" s="1"/>
  <c r="F258" i="2" s="1"/>
  <c r="F259" i="2" s="1"/>
  <c r="F260" i="2" s="1"/>
  <c r="F261" i="2" s="1"/>
  <c r="F262" i="2" s="1"/>
  <c r="F263" i="2" s="1"/>
  <c r="F264" i="2" s="1"/>
  <c r="F265" i="2" s="1"/>
  <c r="F266" i="2" s="1"/>
  <c r="F267" i="2" s="1"/>
  <c r="F268" i="2" s="1"/>
  <c r="F269" i="2" s="1"/>
  <c r="F270" i="2" s="1"/>
  <c r="F271" i="2" s="1"/>
  <c r="F272" i="2" s="1"/>
  <c r="F273" i="2" s="1"/>
  <c r="F274" i="2" s="1"/>
  <c r="F275" i="2" s="1"/>
  <c r="F276" i="2" s="1"/>
  <c r="F277" i="2" s="1"/>
  <c r="F278" i="2" s="1"/>
  <c r="F279" i="2" s="1"/>
  <c r="F280" i="2" s="1"/>
  <c r="F281" i="2" s="1"/>
  <c r="F282" i="2" s="1"/>
  <c r="F283" i="2" s="1"/>
  <c r="F284" i="2" s="1"/>
  <c r="F285" i="2" s="1"/>
  <c r="F286" i="2" s="1"/>
  <c r="F287" i="2" s="1"/>
  <c r="F288" i="2" s="1"/>
  <c r="F289" i="2" s="1"/>
  <c r="F290" i="2" s="1"/>
  <c r="F291" i="2" s="1"/>
  <c r="F292" i="2" s="1"/>
  <c r="F293" i="2" s="1"/>
  <c r="F294" i="2" s="1"/>
  <c r="F295" i="2" s="1"/>
  <c r="F296" i="2" s="1"/>
  <c r="F297" i="2" s="1"/>
  <c r="F298" i="2" s="1"/>
  <c r="F299" i="2" s="1"/>
  <c r="F300" i="2" s="1"/>
  <c r="F301" i="2" s="1"/>
  <c r="F302" i="2" s="1"/>
  <c r="F303" i="2" s="1"/>
  <c r="F304" i="2" s="1"/>
  <c r="F305" i="2" s="1"/>
  <c r="F306" i="2" s="1"/>
  <c r="F307" i="2" s="1"/>
  <c r="F308" i="2" s="1"/>
  <c r="F309" i="2" s="1"/>
  <c r="F310" i="2" s="1"/>
  <c r="F311" i="2" s="1"/>
  <c r="F312" i="2" s="1"/>
  <c r="F313" i="2" s="1"/>
  <c r="F314" i="2" s="1"/>
  <c r="F315" i="2" s="1"/>
  <c r="F316" i="2" s="1"/>
  <c r="F317" i="2" s="1"/>
  <c r="F318" i="2" s="1"/>
  <c r="F319" i="2" s="1"/>
  <c r="F320" i="2" s="1"/>
  <c r="F321" i="2" s="1"/>
  <c r="F322" i="2" s="1"/>
  <c r="F323" i="2" s="1"/>
  <c r="F324" i="2" s="1"/>
  <c r="F325" i="2" s="1"/>
  <c r="F326" i="2" s="1"/>
  <c r="F327" i="2" s="1"/>
  <c r="F328" i="2" s="1"/>
  <c r="F329" i="2" s="1"/>
  <c r="F330" i="2" s="1"/>
  <c r="F331" i="2" s="1"/>
  <c r="F332" i="2" s="1"/>
  <c r="F333" i="2" s="1"/>
  <c r="F334" i="2" s="1"/>
  <c r="F335" i="2" s="1"/>
  <c r="F336" i="2" s="1"/>
  <c r="F337" i="2" s="1"/>
  <c r="F338" i="2" s="1"/>
  <c r="F339" i="2" s="1"/>
  <c r="F340" i="2" s="1"/>
  <c r="F341" i="2" s="1"/>
  <c r="F342" i="2" s="1"/>
  <c r="F343" i="2" s="1"/>
  <c r="F344" i="2" s="1"/>
  <c r="F345" i="2" s="1"/>
  <c r="F346" i="2" s="1"/>
  <c r="F347" i="2" s="1"/>
  <c r="F348" i="2" s="1"/>
  <c r="F349" i="2" s="1"/>
  <c r="F350" i="2" s="1"/>
  <c r="F351" i="2" s="1"/>
  <c r="F352" i="2" s="1"/>
  <c r="F353" i="2" s="1"/>
  <c r="F354" i="2" s="1"/>
  <c r="F355" i="2" s="1"/>
  <c r="F356" i="2" s="1"/>
  <c r="F357" i="2" s="1"/>
  <c r="F358" i="2" s="1"/>
  <c r="F359" i="2" s="1"/>
  <c r="F360" i="2" s="1"/>
  <c r="F361" i="2" s="1"/>
  <c r="F362" i="2" s="1"/>
  <c r="F363" i="2" s="1"/>
  <c r="F364" i="2" s="1"/>
  <c r="F365" i="2" s="1"/>
  <c r="F366" i="2" s="1"/>
  <c r="F367" i="2" s="1"/>
  <c r="F368" i="2" s="1"/>
  <c r="F369" i="2" s="1"/>
  <c r="F370" i="2" s="1"/>
  <c r="F371" i="2" s="1"/>
  <c r="F372" i="2" s="1"/>
  <c r="F373" i="2" s="1"/>
  <c r="F374" i="2" s="1"/>
  <c r="F375" i="2" s="1"/>
  <c r="F376" i="2" s="1"/>
  <c r="F377" i="2" s="1"/>
  <c r="F378" i="2" s="1"/>
  <c r="F379" i="2" s="1"/>
  <c r="F380" i="2" s="1"/>
  <c r="F381" i="2" s="1"/>
  <c r="F382" i="2" s="1"/>
  <c r="F383" i="2" s="1"/>
  <c r="F384" i="2" s="1"/>
  <c r="F385" i="2" s="1"/>
  <c r="K48" i="1"/>
  <c r="J48" i="1"/>
  <c r="K57" i="1"/>
  <c r="J57" i="1"/>
  <c r="K68" i="1"/>
  <c r="J68" i="1"/>
  <c r="J52" i="1"/>
  <c r="K65" i="1"/>
  <c r="C4" i="8"/>
  <c r="C4" i="7"/>
  <c r="E3" i="2"/>
  <c r="B8" i="2" s="1"/>
  <c r="C16" i="7"/>
  <c r="C16" i="8"/>
  <c r="J45" i="1"/>
  <c r="K54" i="1"/>
  <c r="E22" i="2"/>
  <c r="K47" i="1"/>
  <c r="J47" i="1"/>
  <c r="K56" i="1"/>
  <c r="J56" i="1"/>
  <c r="J64" i="1"/>
  <c r="K69" i="1"/>
  <c r="J69" i="1"/>
  <c r="C24" i="8"/>
  <c r="C24" i="7"/>
  <c r="S163" i="2"/>
  <c r="C10" i="7"/>
  <c r="C10" i="8"/>
  <c r="C18" i="8"/>
  <c r="C18" i="7"/>
  <c r="C26" i="8"/>
  <c r="C26" i="7"/>
  <c r="R141" i="2"/>
  <c r="S141" i="2"/>
  <c r="S162" i="2"/>
  <c r="R162" i="2"/>
  <c r="C12" i="7"/>
  <c r="C12" i="8"/>
  <c r="C20" i="8"/>
  <c r="C20" i="7"/>
  <c r="S148" i="2"/>
  <c r="R148" i="2"/>
  <c r="R161" i="2"/>
  <c r="S161" i="2"/>
  <c r="C6" i="7"/>
  <c r="C6" i="8"/>
  <c r="C14" i="7"/>
  <c r="C14" i="8"/>
  <c r="C22" i="7"/>
  <c r="C22" i="8"/>
  <c r="S156" i="2"/>
  <c r="R156" i="2"/>
  <c r="R153" i="2"/>
  <c r="S153" i="2"/>
  <c r="S154" i="2"/>
  <c r="R154" i="2"/>
  <c r="S165" i="2"/>
  <c r="R165" i="2"/>
  <c r="Z23" i="3"/>
  <c r="G22" i="3"/>
  <c r="AA22" i="3"/>
  <c r="G3" i="3"/>
  <c r="O3" i="3" s="1"/>
  <c r="E3" i="3"/>
  <c r="N355" i="2"/>
  <c r="X118" i="3"/>
  <c r="X111" i="3"/>
  <c r="N111" i="3"/>
  <c r="S139" i="3"/>
  <c r="S286" i="3"/>
  <c r="N202" i="3"/>
  <c r="X174" i="3"/>
  <c r="S279" i="3"/>
  <c r="S293" i="3"/>
  <c r="X209" i="3"/>
  <c r="M6" i="5"/>
  <c r="I6" i="5"/>
  <c r="H6" i="5"/>
  <c r="F6" i="5"/>
  <c r="R6" i="5"/>
  <c r="S223" i="3"/>
  <c r="X321" i="3"/>
  <c r="S343" i="3"/>
  <c r="Q5" i="5"/>
  <c r="O5" i="5"/>
  <c r="N5" i="5"/>
  <c r="H20" i="5"/>
  <c r="M20" i="5"/>
  <c r="Q21" i="5"/>
  <c r="Q45" i="5"/>
  <c r="H53" i="5"/>
  <c r="M53" i="5"/>
  <c r="H62" i="5"/>
  <c r="M62" i="5"/>
  <c r="Q83" i="5"/>
  <c r="X371" i="3"/>
  <c r="Q12" i="5"/>
  <c r="H43" i="5"/>
  <c r="M64" i="5"/>
  <c r="N85" i="5"/>
  <c r="Q85" i="5"/>
  <c r="O85" i="5"/>
  <c r="M22" i="5"/>
  <c r="H22" i="5"/>
  <c r="Q39" i="5"/>
  <c r="H46" i="5"/>
  <c r="M46" i="5"/>
  <c r="Q73" i="5"/>
  <c r="H82" i="5"/>
  <c r="M82" i="5"/>
  <c r="M108" i="5"/>
  <c r="H108" i="5"/>
  <c r="M116" i="5"/>
  <c r="R116" i="5"/>
  <c r="F116" i="5"/>
  <c r="I116" i="5"/>
  <c r="H13" i="5"/>
  <c r="M13" i="5"/>
  <c r="Q47" i="5"/>
  <c r="O47" i="5"/>
  <c r="I99" i="5"/>
  <c r="H99" i="5"/>
  <c r="F99" i="5"/>
  <c r="M99" i="5"/>
  <c r="R99" i="5"/>
  <c r="E116" i="5"/>
  <c r="M136" i="5"/>
  <c r="H136" i="5"/>
  <c r="N15" i="5"/>
  <c r="Q28" i="5"/>
  <c r="M40" i="5"/>
  <c r="I40" i="5"/>
  <c r="H40" i="5"/>
  <c r="R40" i="5"/>
  <c r="F40" i="5"/>
  <c r="N47" i="5"/>
  <c r="H52" i="5"/>
  <c r="M52" i="5"/>
  <c r="H60" i="5"/>
  <c r="M60" i="5"/>
  <c r="M97" i="5"/>
  <c r="H97" i="5"/>
  <c r="E99" i="5"/>
  <c r="H112" i="5"/>
  <c r="M112" i="5"/>
  <c r="H116" i="5"/>
  <c r="F141" i="5"/>
  <c r="E141" i="5"/>
  <c r="I141" i="5"/>
  <c r="M141" i="5"/>
  <c r="H141" i="5"/>
  <c r="R141" i="5"/>
  <c r="X370" i="3"/>
  <c r="R4" i="5"/>
  <c r="H4" i="5"/>
  <c r="I4" i="5"/>
  <c r="M4" i="5"/>
  <c r="Q15" i="5"/>
  <c r="E40" i="5"/>
  <c r="Q19" i="5"/>
  <c r="H29" i="5"/>
  <c r="M29" i="5"/>
  <c r="I61" i="5"/>
  <c r="R61" i="5"/>
  <c r="H61" i="5"/>
  <c r="F61" i="5"/>
  <c r="M61" i="5"/>
  <c r="H76" i="5"/>
  <c r="M76" i="5"/>
  <c r="M78" i="5"/>
  <c r="E78" i="5"/>
  <c r="I78" i="5"/>
  <c r="H78" i="5"/>
  <c r="F78" i="5"/>
  <c r="H91" i="5"/>
  <c r="M91" i="5"/>
  <c r="H143" i="5"/>
  <c r="M143" i="5"/>
  <c r="F4" i="5"/>
  <c r="N8" i="5"/>
  <c r="E61" i="5"/>
  <c r="Q69" i="5"/>
  <c r="R78" i="5"/>
  <c r="Q89" i="5"/>
  <c r="M103" i="5"/>
  <c r="H103" i="5"/>
  <c r="Q119" i="5"/>
  <c r="R48" i="5"/>
  <c r="Q59" i="5"/>
  <c r="H84" i="5"/>
  <c r="M84" i="5"/>
  <c r="M86" i="5"/>
  <c r="H105" i="5"/>
  <c r="M105" i="5"/>
  <c r="Q110" i="5"/>
  <c r="Q115" i="5"/>
  <c r="M127" i="5"/>
  <c r="H127" i="5"/>
  <c r="C4" i="5"/>
  <c r="L4" i="5" s="1"/>
  <c r="R16" i="5"/>
  <c r="F16" i="5"/>
  <c r="Q18" i="5"/>
  <c r="Q32" i="5"/>
  <c r="Q34" i="5"/>
  <c r="H39" i="5"/>
  <c r="H44" i="5"/>
  <c r="E48" i="5"/>
  <c r="Q74" i="5"/>
  <c r="H83" i="5"/>
  <c r="Q90" i="5"/>
  <c r="Q96" i="5"/>
  <c r="Q120" i="5"/>
  <c r="M122" i="5"/>
  <c r="H122" i="5"/>
  <c r="Q148" i="5"/>
  <c r="Q170" i="5"/>
  <c r="M237" i="5"/>
  <c r="H237" i="5"/>
  <c r="H129" i="5"/>
  <c r="Q131" i="5"/>
  <c r="O131" i="5"/>
  <c r="Q158" i="5"/>
  <c r="O178" i="5"/>
  <c r="N178" i="5"/>
  <c r="Q178" i="5"/>
  <c r="Q188" i="5"/>
  <c r="H203" i="5"/>
  <c r="M203" i="5"/>
  <c r="Q241" i="5"/>
  <c r="H266" i="5"/>
  <c r="M266" i="5"/>
  <c r="Q272" i="5"/>
  <c r="Q358" i="5"/>
  <c r="H181" i="5"/>
  <c r="M181" i="5"/>
  <c r="H196" i="5"/>
  <c r="M196" i="5"/>
  <c r="M129" i="5"/>
  <c r="M132" i="5"/>
  <c r="H166" i="5"/>
  <c r="M166" i="5"/>
  <c r="H173" i="5"/>
  <c r="M173" i="5"/>
  <c r="Q175" i="5"/>
  <c r="B5" i="5"/>
  <c r="R8" i="5"/>
  <c r="F8" i="5"/>
  <c r="N48" i="5"/>
  <c r="I54" i="5"/>
  <c r="R54" i="5"/>
  <c r="H54" i="5"/>
  <c r="H75" i="5"/>
  <c r="H114" i="5"/>
  <c r="H128" i="5"/>
  <c r="M128" i="5"/>
  <c r="H132" i="5"/>
  <c r="Q159" i="5"/>
  <c r="M9" i="5"/>
  <c r="M16" i="5"/>
  <c r="M25" i="5"/>
  <c r="O48" i="5"/>
  <c r="Q51" i="5"/>
  <c r="H74" i="5"/>
  <c r="Q81" i="5"/>
  <c r="H90" i="5"/>
  <c r="H93" i="5"/>
  <c r="Q104" i="5"/>
  <c r="Q117" i="5"/>
  <c r="H123" i="5"/>
  <c r="F123" i="5"/>
  <c r="E123" i="5"/>
  <c r="M123" i="5"/>
  <c r="M160" i="5"/>
  <c r="N161" i="5"/>
  <c r="Q161" i="5"/>
  <c r="O161" i="5"/>
  <c r="M174" i="5"/>
  <c r="Q179" i="5"/>
  <c r="Q214" i="5"/>
  <c r="H220" i="5"/>
  <c r="M220" i="5"/>
  <c r="Q243" i="5"/>
  <c r="H279" i="5"/>
  <c r="M279" i="5"/>
  <c r="H310" i="5"/>
  <c r="M310" i="5"/>
  <c r="N7" i="5"/>
  <c r="H8" i="5"/>
  <c r="H24" i="5"/>
  <c r="Q42" i="5"/>
  <c r="M44" i="5"/>
  <c r="R47" i="5"/>
  <c r="F54" i="5"/>
  <c r="M56" i="5"/>
  <c r="M70" i="5"/>
  <c r="M113" i="5"/>
  <c r="M114" i="5"/>
  <c r="I123" i="5"/>
  <c r="Q126" i="5"/>
  <c r="H142" i="5"/>
  <c r="M142" i="5"/>
  <c r="H174" i="5"/>
  <c r="H121" i="5"/>
  <c r="M146" i="5"/>
  <c r="Q165" i="5"/>
  <c r="Q172" i="5"/>
  <c r="Q195" i="5"/>
  <c r="M218" i="5"/>
  <c r="H218" i="5"/>
  <c r="M223" i="5"/>
  <c r="I223" i="5"/>
  <c r="H223" i="5"/>
  <c r="R223" i="5"/>
  <c r="E223" i="5"/>
  <c r="O247" i="5"/>
  <c r="N247" i="5"/>
  <c r="Q247" i="5"/>
  <c r="AD21" i="9"/>
  <c r="M274" i="5"/>
  <c r="H274" i="5"/>
  <c r="M50" i="5"/>
  <c r="M58" i="5"/>
  <c r="M121" i="5"/>
  <c r="R130" i="5"/>
  <c r="M138" i="5"/>
  <c r="Q151" i="5"/>
  <c r="M154" i="5"/>
  <c r="E154" i="5"/>
  <c r="I154" i="5"/>
  <c r="H154" i="5"/>
  <c r="F154" i="5"/>
  <c r="H159" i="5"/>
  <c r="H182" i="5"/>
  <c r="M182" i="5"/>
  <c r="Q187" i="5"/>
  <c r="H204" i="5"/>
  <c r="M204" i="5"/>
  <c r="Q259" i="5"/>
  <c r="N92" i="5"/>
  <c r="M107" i="5"/>
  <c r="M111" i="5"/>
  <c r="M124" i="5"/>
  <c r="H124" i="5"/>
  <c r="E130" i="5"/>
  <c r="Q156" i="5"/>
  <c r="H188" i="5"/>
  <c r="H228" i="5"/>
  <c r="M228" i="5"/>
  <c r="H96" i="5"/>
  <c r="H98" i="5"/>
  <c r="O109" i="5"/>
  <c r="H119" i="5"/>
  <c r="H120" i="5"/>
  <c r="F130" i="5"/>
  <c r="R131" i="5"/>
  <c r="E131" i="5"/>
  <c r="H138" i="5"/>
  <c r="O140" i="5"/>
  <c r="N140" i="5"/>
  <c r="Q140" i="5"/>
  <c r="Q149" i="5"/>
  <c r="M152" i="5"/>
  <c r="Q180" i="5"/>
  <c r="M184" i="5"/>
  <c r="H184" i="5"/>
  <c r="H197" i="5"/>
  <c r="M197" i="5"/>
  <c r="M206" i="5"/>
  <c r="H206" i="5"/>
  <c r="M212" i="5"/>
  <c r="H212" i="5"/>
  <c r="Q219" i="5"/>
  <c r="Q297" i="5"/>
  <c r="Q372" i="5"/>
  <c r="Q157" i="5"/>
  <c r="Q171" i="5"/>
  <c r="O171" i="5"/>
  <c r="H198" i="5"/>
  <c r="M198" i="5"/>
  <c r="Q208" i="5"/>
  <c r="Q211" i="5"/>
  <c r="H217" i="5"/>
  <c r="M217" i="5"/>
  <c r="Q244" i="5"/>
  <c r="H265" i="5"/>
  <c r="M265" i="5"/>
  <c r="Q293" i="5"/>
  <c r="O293" i="5"/>
  <c r="N293" i="5"/>
  <c r="F385" i="5"/>
  <c r="E385" i="5"/>
  <c r="M385" i="5"/>
  <c r="R385" i="5"/>
  <c r="I385" i="5"/>
  <c r="M162" i="5"/>
  <c r="M176" i="5"/>
  <c r="H180" i="5"/>
  <c r="I209" i="5"/>
  <c r="R209" i="5"/>
  <c r="H209" i="5"/>
  <c r="F209" i="5"/>
  <c r="M240" i="5"/>
  <c r="H240" i="5"/>
  <c r="H308" i="5"/>
  <c r="M308" i="5"/>
  <c r="Q332" i="5"/>
  <c r="Q342" i="5"/>
  <c r="H385" i="5"/>
  <c r="H104" i="5"/>
  <c r="M144" i="5"/>
  <c r="H149" i="5"/>
  <c r="H150" i="5"/>
  <c r="F171" i="5"/>
  <c r="E171" i="5"/>
  <c r="I171" i="5"/>
  <c r="H190" i="5"/>
  <c r="M190" i="5"/>
  <c r="M192" i="5"/>
  <c r="E192" i="5"/>
  <c r="E209" i="5"/>
  <c r="M215" i="5"/>
  <c r="M222" i="5"/>
  <c r="H242" i="5"/>
  <c r="M242" i="5"/>
  <c r="H260" i="5"/>
  <c r="M260" i="5"/>
  <c r="H272" i="5"/>
  <c r="H297" i="5"/>
  <c r="R348" i="5"/>
  <c r="H348" i="5"/>
  <c r="M348" i="5"/>
  <c r="E348" i="5"/>
  <c r="F348" i="5"/>
  <c r="Q350" i="5"/>
  <c r="Q145" i="5"/>
  <c r="H151" i="5"/>
  <c r="H158" i="5"/>
  <c r="H162" i="5"/>
  <c r="H172" i="5"/>
  <c r="H176" i="5"/>
  <c r="H189" i="5"/>
  <c r="M209" i="5"/>
  <c r="Q210" i="5"/>
  <c r="H227" i="5"/>
  <c r="M227" i="5"/>
  <c r="I309" i="5"/>
  <c r="R309" i="5"/>
  <c r="H309" i="5"/>
  <c r="F309" i="5"/>
  <c r="M309" i="5"/>
  <c r="E309" i="5"/>
  <c r="Q397" i="5"/>
  <c r="H170" i="5"/>
  <c r="Q177" i="5"/>
  <c r="H178" i="5"/>
  <c r="R178" i="5"/>
  <c r="Q185" i="5"/>
  <c r="H186" i="5"/>
  <c r="Q229" i="5"/>
  <c r="H252" i="5"/>
  <c r="M252" i="5"/>
  <c r="H257" i="5"/>
  <c r="M257" i="5"/>
  <c r="Q264" i="5"/>
  <c r="R340" i="5"/>
  <c r="H340" i="5"/>
  <c r="I340" i="5"/>
  <c r="M340" i="5"/>
  <c r="F340" i="5"/>
  <c r="E340" i="5"/>
  <c r="M355" i="5"/>
  <c r="H355" i="5"/>
  <c r="J18" i="9"/>
  <c r="K18" i="9" s="1"/>
  <c r="K16" i="9"/>
  <c r="R216" i="5"/>
  <c r="H216" i="5"/>
  <c r="F216" i="5"/>
  <c r="O225" i="5"/>
  <c r="N225" i="5"/>
  <c r="M230" i="5"/>
  <c r="I230" i="5"/>
  <c r="H241" i="5"/>
  <c r="H243" i="5"/>
  <c r="M245" i="5"/>
  <c r="H245" i="5"/>
  <c r="H250" i="5"/>
  <c r="H273" i="5"/>
  <c r="M273" i="5"/>
  <c r="M280" i="5"/>
  <c r="H334" i="5"/>
  <c r="M334" i="5"/>
  <c r="I371" i="5"/>
  <c r="M371" i="5"/>
  <c r="H371" i="5"/>
  <c r="R371" i="5"/>
  <c r="E371" i="5"/>
  <c r="H208" i="5"/>
  <c r="E216" i="5"/>
  <c r="Q225" i="5"/>
  <c r="E230" i="5"/>
  <c r="M231" i="5"/>
  <c r="Q251" i="5"/>
  <c r="H258" i="5"/>
  <c r="M258" i="5"/>
  <c r="Q285" i="5"/>
  <c r="O285" i="5"/>
  <c r="N285" i="5"/>
  <c r="Q294" i="5"/>
  <c r="Q313" i="5"/>
  <c r="M351" i="5"/>
  <c r="H351" i="5"/>
  <c r="F371" i="5"/>
  <c r="I216" i="5"/>
  <c r="Q226" i="5"/>
  <c r="F230" i="5"/>
  <c r="H231" i="5"/>
  <c r="Q233" i="5"/>
  <c r="O239" i="5"/>
  <c r="N239" i="5"/>
  <c r="H249" i="5"/>
  <c r="M249" i="5"/>
  <c r="M250" i="5"/>
  <c r="Q256" i="5"/>
  <c r="Q277" i="5"/>
  <c r="H280" i="5"/>
  <c r="Q323" i="5"/>
  <c r="O323" i="5"/>
  <c r="N323" i="5"/>
  <c r="O354" i="5"/>
  <c r="Q354" i="5"/>
  <c r="N354" i="5"/>
  <c r="R271" i="5"/>
  <c r="H271" i="5"/>
  <c r="F271" i="5"/>
  <c r="E271" i="5"/>
  <c r="Q281" i="5"/>
  <c r="Q286" i="5"/>
  <c r="Q315" i="5"/>
  <c r="I317" i="5"/>
  <c r="R317" i="5"/>
  <c r="H317" i="5"/>
  <c r="F317" i="5"/>
  <c r="M317" i="5"/>
  <c r="M320" i="5"/>
  <c r="Q248" i="5"/>
  <c r="O248" i="5"/>
  <c r="H259" i="5"/>
  <c r="H267" i="5"/>
  <c r="M271" i="5"/>
  <c r="Q276" i="5"/>
  <c r="M282" i="5"/>
  <c r="H282" i="5"/>
  <c r="Q289" i="5"/>
  <c r="M304" i="5"/>
  <c r="H304" i="5"/>
  <c r="M312" i="5"/>
  <c r="R316" i="5"/>
  <c r="H316" i="5"/>
  <c r="F316" i="5"/>
  <c r="E316" i="5"/>
  <c r="M316" i="5"/>
  <c r="I316" i="5"/>
  <c r="H318" i="5"/>
  <c r="M318" i="5"/>
  <c r="H324" i="5"/>
  <c r="Q338" i="5"/>
  <c r="N361" i="5"/>
  <c r="O361" i="5"/>
  <c r="Q361" i="5"/>
  <c r="F23" i="9"/>
  <c r="G23" i="9" s="1"/>
  <c r="G10" i="9"/>
  <c r="P18" i="9"/>
  <c r="Q18" i="9" s="1"/>
  <c r="Q16" i="9"/>
  <c r="Z2" i="9"/>
  <c r="AA14" i="9"/>
  <c r="E27" i="8" s="1"/>
  <c r="AA15" i="9"/>
  <c r="R253" i="5"/>
  <c r="R261" i="5"/>
  <c r="Q288" i="5"/>
  <c r="M290" i="5"/>
  <c r="H312" i="5"/>
  <c r="Q331" i="5"/>
  <c r="H219" i="5"/>
  <c r="H226" i="5"/>
  <c r="F248" i="5"/>
  <c r="E248" i="5"/>
  <c r="E253" i="5"/>
  <c r="E261" i="5"/>
  <c r="Q296" i="5"/>
  <c r="M298" i="5"/>
  <c r="M324" i="5"/>
  <c r="H333" i="5"/>
  <c r="M333" i="5"/>
  <c r="Q345" i="5"/>
  <c r="M377" i="5"/>
  <c r="M387" i="5"/>
  <c r="H387" i="5"/>
  <c r="M382" i="5"/>
  <c r="H382" i="5"/>
  <c r="M393" i="5"/>
  <c r="H393" i="5"/>
  <c r="H286" i="5"/>
  <c r="H294" i="5"/>
  <c r="H332" i="5"/>
  <c r="H339" i="5"/>
  <c r="Q356" i="5"/>
  <c r="M360" i="5"/>
  <c r="H360" i="5"/>
  <c r="F360" i="5"/>
  <c r="R360" i="5"/>
  <c r="E360" i="5"/>
  <c r="Q364" i="5"/>
  <c r="H384" i="5"/>
  <c r="M384" i="5"/>
  <c r="H386" i="5"/>
  <c r="M386" i="5"/>
  <c r="E392" i="5"/>
  <c r="I392" i="5"/>
  <c r="M392" i="5"/>
  <c r="H392" i="5"/>
  <c r="F392" i="5"/>
  <c r="R392" i="5"/>
  <c r="N255" i="5"/>
  <c r="N278" i="5"/>
  <c r="E284" i="5"/>
  <c r="M284" i="5"/>
  <c r="R284" i="5"/>
  <c r="H287" i="5"/>
  <c r="H295" i="5"/>
  <c r="H326" i="5"/>
  <c r="M326" i="5"/>
  <c r="M328" i="5"/>
  <c r="H338" i="5"/>
  <c r="H342" i="5"/>
  <c r="I360" i="5"/>
  <c r="R378" i="5"/>
  <c r="H378" i="5"/>
  <c r="I378" i="5"/>
  <c r="M378" i="5"/>
  <c r="Q380" i="5"/>
  <c r="Q398" i="5"/>
  <c r="H276" i="5"/>
  <c r="R278" i="5"/>
  <c r="H278" i="5"/>
  <c r="F284" i="5"/>
  <c r="H288" i="5"/>
  <c r="H296" i="5"/>
  <c r="Q307" i="5"/>
  <c r="Q311" i="5"/>
  <c r="H325" i="5"/>
  <c r="N347" i="5"/>
  <c r="I349" i="5"/>
  <c r="H349" i="5"/>
  <c r="F349" i="5"/>
  <c r="M349" i="5"/>
  <c r="Q362" i="5"/>
  <c r="M366" i="5"/>
  <c r="H366" i="5"/>
  <c r="Q367" i="5"/>
  <c r="Q376" i="5"/>
  <c r="E378" i="5"/>
  <c r="M346" i="5"/>
  <c r="H365" i="5"/>
  <c r="M374" i="5"/>
  <c r="H374" i="5"/>
  <c r="K54" i="9"/>
  <c r="K59" i="9"/>
  <c r="K51" i="9"/>
  <c r="K45" i="9"/>
  <c r="K41" i="9"/>
  <c r="K37" i="9"/>
  <c r="J67" i="9"/>
  <c r="K55" i="9"/>
  <c r="K40" i="9"/>
  <c r="K38" i="9"/>
  <c r="K30" i="9"/>
  <c r="K60" i="9"/>
  <c r="K39" i="9"/>
  <c r="K33" i="9"/>
  <c r="K31" i="9"/>
  <c r="J22" i="9"/>
  <c r="K53" i="9"/>
  <c r="K46" i="9"/>
  <c r="K29" i="9"/>
  <c r="K12" i="9"/>
  <c r="E10" i="8" s="1"/>
  <c r="K35" i="9"/>
  <c r="K50" i="9"/>
  <c r="K42" i="9"/>
  <c r="K49" i="9"/>
  <c r="K28" i="9"/>
  <c r="K48" i="9"/>
  <c r="J14" i="9"/>
  <c r="K36" i="9"/>
  <c r="K34" i="9"/>
  <c r="K32" i="9"/>
  <c r="AC7" i="9"/>
  <c r="K17" i="9"/>
  <c r="AA54" i="9"/>
  <c r="AA59" i="9"/>
  <c r="AA51" i="9"/>
  <c r="AA45" i="9"/>
  <c r="AA41" i="9"/>
  <c r="AA37" i="9"/>
  <c r="AA33" i="9"/>
  <c r="Z67" i="9"/>
  <c r="AA50" i="9"/>
  <c r="AA48" i="9"/>
  <c r="AA56" i="9"/>
  <c r="AA42" i="9"/>
  <c r="AA30" i="9"/>
  <c r="AA60" i="9"/>
  <c r="AA39" i="9"/>
  <c r="AA40" i="9"/>
  <c r="AA36" i="9"/>
  <c r="AA31" i="9"/>
  <c r="Z22" i="9"/>
  <c r="AA12" i="9"/>
  <c r="E26" i="8" s="1"/>
  <c r="AA29" i="9"/>
  <c r="AA44" i="9"/>
  <c r="AA49" i="9"/>
  <c r="AA46" i="9"/>
  <c r="AA27" i="9"/>
  <c r="AA38" i="9"/>
  <c r="Z23" i="9"/>
  <c r="AA23" i="9" s="1"/>
  <c r="AA17" i="9"/>
  <c r="AA32" i="9"/>
  <c r="AA34" i="9"/>
  <c r="AA35" i="9"/>
  <c r="AA16" i="9"/>
  <c r="M292" i="5"/>
  <c r="M314" i="5"/>
  <c r="M322" i="5"/>
  <c r="F347" i="5"/>
  <c r="R347" i="5"/>
  <c r="E347" i="5"/>
  <c r="H389" i="5"/>
  <c r="E323" i="5"/>
  <c r="N330" i="5"/>
  <c r="N341" i="5"/>
  <c r="H347" i="5"/>
  <c r="H356" i="5"/>
  <c r="M357" i="5"/>
  <c r="M359" i="5"/>
  <c r="H362" i="5"/>
  <c r="M363" i="5"/>
  <c r="M365" i="5"/>
  <c r="Q395" i="5"/>
  <c r="AA9" i="9"/>
  <c r="I347" i="5"/>
  <c r="R354" i="5"/>
  <c r="H367" i="5"/>
  <c r="M373" i="5"/>
  <c r="M389" i="5"/>
  <c r="Q394" i="5"/>
  <c r="M401" i="5"/>
  <c r="R401" i="5"/>
  <c r="F401" i="5"/>
  <c r="E401" i="5"/>
  <c r="I401" i="5"/>
  <c r="I14" i="9"/>
  <c r="E9" i="8" s="1"/>
  <c r="V18" i="9"/>
  <c r="W18" i="9" s="1"/>
  <c r="W16" i="9"/>
  <c r="H395" i="5"/>
  <c r="H396" i="5"/>
  <c r="M396" i="5"/>
  <c r="M400" i="5"/>
  <c r="R400" i="5"/>
  <c r="F400" i="5"/>
  <c r="E400" i="5"/>
  <c r="G20" i="7"/>
  <c r="G4" i="7"/>
  <c r="G26" i="7"/>
  <c r="G10" i="7"/>
  <c r="G16" i="7"/>
  <c r="G18" i="7"/>
  <c r="G24" i="7"/>
  <c r="G12" i="7"/>
  <c r="M8" i="9"/>
  <c r="L10" i="9"/>
  <c r="Y10" i="9"/>
  <c r="X23" i="9"/>
  <c r="Y23" i="9" s="1"/>
  <c r="H364" i="5"/>
  <c r="M379" i="5"/>
  <c r="Q383" i="5"/>
  <c r="M390" i="5"/>
  <c r="I399" i="5"/>
  <c r="H399" i="5"/>
  <c r="M399" i="5"/>
  <c r="H400" i="5"/>
  <c r="AA8" i="9"/>
  <c r="Z10" i="9"/>
  <c r="AA10" i="9" s="1"/>
  <c r="H397" i="5"/>
  <c r="S60" i="9"/>
  <c r="R67" i="9"/>
  <c r="S49" i="9"/>
  <c r="S39" i="9"/>
  <c r="S35" i="9"/>
  <c r="S53" i="9"/>
  <c r="S41" i="9"/>
  <c r="S32" i="9"/>
  <c r="S59" i="9"/>
  <c r="S54" i="9"/>
  <c r="S42" i="9"/>
  <c r="S38" i="9"/>
  <c r="S46" i="9"/>
  <c r="S50" i="9"/>
  <c r="S37" i="9"/>
  <c r="S30" i="9"/>
  <c r="S34" i="9"/>
  <c r="S48" i="9"/>
  <c r="S56" i="9"/>
  <c r="S51" i="9"/>
  <c r="S45" i="9"/>
  <c r="S17" i="9"/>
  <c r="S40" i="9"/>
  <c r="S36" i="9"/>
  <c r="R22" i="9"/>
  <c r="S31" i="9"/>
  <c r="S29" i="9"/>
  <c r="U8" i="9"/>
  <c r="T10" i="9"/>
  <c r="U10" i="9" s="1"/>
  <c r="AD9" i="9"/>
  <c r="S12" i="9"/>
  <c r="E18" i="8" s="1"/>
  <c r="S16" i="9"/>
  <c r="S19" i="9"/>
  <c r="S21" i="9" s="1"/>
  <c r="AA20" i="9"/>
  <c r="J62" i="9"/>
  <c r="J8" i="9"/>
  <c r="K27" i="9"/>
  <c r="S33" i="9"/>
  <c r="M28" i="8"/>
  <c r="D67" i="9"/>
  <c r="E59" i="9"/>
  <c r="E54" i="9"/>
  <c r="E50" i="9"/>
  <c r="E45" i="9"/>
  <c r="E35" i="9"/>
  <c r="E48" i="9"/>
  <c r="E51" i="9"/>
  <c r="E46" i="9"/>
  <c r="E60" i="9"/>
  <c r="E49" i="9"/>
  <c r="E40" i="9"/>
  <c r="E27" i="9"/>
  <c r="E36" i="9"/>
  <c r="E44" i="9"/>
  <c r="E39" i="9"/>
  <c r="E33" i="9"/>
  <c r="E42" i="9"/>
  <c r="E41" i="9"/>
  <c r="E37" i="9"/>
  <c r="E20" i="9"/>
  <c r="E31" i="9"/>
  <c r="E29" i="9"/>
  <c r="E16" i="9"/>
  <c r="D14" i="9"/>
  <c r="E34" i="9"/>
  <c r="E32" i="9"/>
  <c r="E30" i="9"/>
  <c r="E12" i="9"/>
  <c r="E4" i="8" s="1"/>
  <c r="E38" i="9"/>
  <c r="T67" i="9"/>
  <c r="U60" i="9"/>
  <c r="U55" i="9"/>
  <c r="U39" i="9"/>
  <c r="U37" i="9"/>
  <c r="T14" i="9"/>
  <c r="U59" i="9"/>
  <c r="U54" i="9"/>
  <c r="U50" i="9"/>
  <c r="U51" i="9"/>
  <c r="U46" i="9"/>
  <c r="U58" i="9"/>
  <c r="U32" i="9"/>
  <c r="U30" i="9"/>
  <c r="U42" i="9"/>
  <c r="U41" i="9"/>
  <c r="U34" i="9"/>
  <c r="U48" i="9"/>
  <c r="T23" i="9"/>
  <c r="U23" i="9" s="1"/>
  <c r="U53" i="9"/>
  <c r="U40" i="9"/>
  <c r="U36" i="9"/>
  <c r="U45" i="9"/>
  <c r="U49" i="9"/>
  <c r="U35" i="9"/>
  <c r="U28" i="9"/>
  <c r="U20" i="9"/>
  <c r="T22" i="9"/>
  <c r="U38" i="9"/>
  <c r="U12" i="9"/>
  <c r="E20" i="8" s="1"/>
  <c r="U33" i="9"/>
  <c r="V10" i="9"/>
  <c r="W10" i="9" s="1"/>
  <c r="W8" i="9"/>
  <c r="S9" i="9"/>
  <c r="AD15" i="9"/>
  <c r="U16" i="9"/>
  <c r="U18" i="9"/>
  <c r="K19" i="9"/>
  <c r="K21" i="9" s="1"/>
  <c r="U19" i="9"/>
  <c r="Q20" i="9"/>
  <c r="U29" i="9"/>
  <c r="U31" i="9"/>
  <c r="L67" i="9"/>
  <c r="M52" i="9"/>
  <c r="M47" i="9"/>
  <c r="M46" i="9"/>
  <c r="M36" i="9"/>
  <c r="M34" i="9"/>
  <c r="L22" i="9"/>
  <c r="L14" i="9"/>
  <c r="M60" i="9"/>
  <c r="M51" i="9"/>
  <c r="M49" i="9"/>
  <c r="M59" i="9"/>
  <c r="M54" i="9"/>
  <c r="M50" i="9"/>
  <c r="M48" i="9"/>
  <c r="M45" i="9"/>
  <c r="M29" i="9"/>
  <c r="M38" i="9"/>
  <c r="M35" i="9"/>
  <c r="M42" i="9"/>
  <c r="M55" i="9"/>
  <c r="M43" i="9"/>
  <c r="M40" i="9"/>
  <c r="M33" i="9"/>
  <c r="M31" i="9"/>
  <c r="M20" i="9"/>
  <c r="M37" i="9"/>
  <c r="M32" i="9"/>
  <c r="M41" i="9"/>
  <c r="M39" i="9"/>
  <c r="M30" i="9"/>
  <c r="M9" i="9"/>
  <c r="N10" i="9"/>
  <c r="O10" i="9" s="1"/>
  <c r="Q15" i="9"/>
  <c r="Q14" i="9"/>
  <c r="E17" i="8" s="1"/>
  <c r="R18" i="9"/>
  <c r="S18" i="9" s="1"/>
  <c r="K20" i="9"/>
  <c r="S27" i="9"/>
  <c r="P10" i="9"/>
  <c r="R14" i="9"/>
  <c r="AC17" i="9"/>
  <c r="AD17" i="9" s="1"/>
  <c r="Q21" i="9"/>
  <c r="T62" i="9"/>
  <c r="U27" i="9"/>
  <c r="AA18" i="9"/>
  <c r="AD32" i="9"/>
  <c r="AA19" i="9"/>
  <c r="AA21" i="9" s="1"/>
  <c r="Y20" i="9"/>
  <c r="Y21" i="9" s="1"/>
  <c r="D22" i="9"/>
  <c r="I27" i="9"/>
  <c r="H62" i="9"/>
  <c r="I62" i="9" s="1"/>
  <c r="AA28" i="9"/>
  <c r="AD30" i="9"/>
  <c r="AD35" i="9"/>
  <c r="Q27" i="9"/>
  <c r="P62" i="9"/>
  <c r="Q62" i="9" s="1"/>
  <c r="AC27" i="9"/>
  <c r="L16" i="9"/>
  <c r="M28" i="9"/>
  <c r="AD49" i="9"/>
  <c r="O59" i="9"/>
  <c r="O60" i="9"/>
  <c r="O48" i="9"/>
  <c r="O46" i="9"/>
  <c r="O42" i="9"/>
  <c r="O38" i="9"/>
  <c r="O34" i="9"/>
  <c r="N67" i="9"/>
  <c r="N63" i="9"/>
  <c r="O63" i="9" s="1"/>
  <c r="O51" i="9"/>
  <c r="O49" i="9"/>
  <c r="O31" i="9"/>
  <c r="O54" i="9"/>
  <c r="O50" i="9"/>
  <c r="O45" i="9"/>
  <c r="O35" i="9"/>
  <c r="O57" i="9"/>
  <c r="O32" i="9"/>
  <c r="O41" i="9"/>
  <c r="O37" i="9"/>
  <c r="O52" i="9"/>
  <c r="O47" i="9"/>
  <c r="O40" i="9"/>
  <c r="O39" i="9"/>
  <c r="O36" i="9"/>
  <c r="E8" i="9"/>
  <c r="O12" i="9"/>
  <c r="E14" i="8" s="1"/>
  <c r="I16" i="9"/>
  <c r="O20" i="9"/>
  <c r="O21" i="9" s="1"/>
  <c r="G27" i="9"/>
  <c r="R62" i="9"/>
  <c r="S62" i="9" s="1"/>
  <c r="O30" i="9"/>
  <c r="AC43" i="9"/>
  <c r="AD43" i="9" s="1"/>
  <c r="S44" i="9"/>
  <c r="E47" i="9"/>
  <c r="AD39" i="9"/>
  <c r="AC19" i="9"/>
  <c r="AD19" i="9" s="1"/>
  <c r="AC28" i="9"/>
  <c r="AD28" i="9" s="1"/>
  <c r="AD34" i="9"/>
  <c r="AD44" i="9"/>
  <c r="F67" i="9"/>
  <c r="G54" i="9"/>
  <c r="G50" i="9"/>
  <c r="G40" i="9"/>
  <c r="G36" i="9"/>
  <c r="F63" i="9"/>
  <c r="G45" i="9"/>
  <c r="G58" i="9"/>
  <c r="G48" i="9"/>
  <c r="G33" i="9"/>
  <c r="G29" i="9"/>
  <c r="G60" i="9"/>
  <c r="G49" i="9"/>
  <c r="G41" i="9"/>
  <c r="G39" i="9"/>
  <c r="G31" i="9"/>
  <c r="F22" i="9"/>
  <c r="G46" i="9"/>
  <c r="G43" i="9"/>
  <c r="G38" i="9"/>
  <c r="G59" i="9"/>
  <c r="G37" i="9"/>
  <c r="G51" i="9"/>
  <c r="V67" i="9"/>
  <c r="W54" i="9"/>
  <c r="W50" i="9"/>
  <c r="W40" i="9"/>
  <c r="W36" i="9"/>
  <c r="V63" i="9"/>
  <c r="W63" i="9" s="1"/>
  <c r="W60" i="9"/>
  <c r="W59" i="9"/>
  <c r="W57" i="9"/>
  <c r="W52" i="9"/>
  <c r="W45" i="9"/>
  <c r="W35" i="9"/>
  <c r="W33" i="9"/>
  <c r="W29" i="9"/>
  <c r="W48" i="9"/>
  <c r="W51" i="9"/>
  <c r="W46" i="9"/>
  <c r="W49" i="9"/>
  <c r="W42" i="9"/>
  <c r="W41" i="9"/>
  <c r="W37" i="9"/>
  <c r="W34" i="9"/>
  <c r="W27" i="9"/>
  <c r="V23" i="9"/>
  <c r="W23" i="9" s="1"/>
  <c r="W44" i="9"/>
  <c r="W38" i="9"/>
  <c r="R8" i="9"/>
  <c r="K9" i="9"/>
  <c r="W12" i="9"/>
  <c r="E22" i="8" s="1"/>
  <c r="AD13" i="9"/>
  <c r="W14" i="9"/>
  <c r="E23" i="8" s="1"/>
  <c r="X18" i="9"/>
  <c r="Y18" i="9" s="1"/>
  <c r="I17" i="9"/>
  <c r="E19" i="9"/>
  <c r="M19" i="9"/>
  <c r="X62" i="9"/>
  <c r="Y62" i="9" s="1"/>
  <c r="Y27" i="9"/>
  <c r="I28" i="9"/>
  <c r="G35" i="9"/>
  <c r="K44" i="9"/>
  <c r="AD47" i="9"/>
  <c r="H67" i="9"/>
  <c r="I50" i="9"/>
  <c r="I48" i="9"/>
  <c r="I42" i="9"/>
  <c r="I59" i="9"/>
  <c r="I39" i="9"/>
  <c r="I49" i="9"/>
  <c r="I45" i="9"/>
  <c r="I36" i="9"/>
  <c r="I60" i="9"/>
  <c r="I47" i="9"/>
  <c r="I33" i="9"/>
  <c r="I31" i="9"/>
  <c r="H22" i="9"/>
  <c r="I56" i="9"/>
  <c r="I46" i="9"/>
  <c r="I38" i="9"/>
  <c r="I29" i="9"/>
  <c r="I41" i="9"/>
  <c r="I51" i="9"/>
  <c r="I54" i="9"/>
  <c r="Y59" i="9"/>
  <c r="Y45" i="9"/>
  <c r="Y54" i="9"/>
  <c r="Y50" i="9"/>
  <c r="Y48" i="9"/>
  <c r="Y49" i="9"/>
  <c r="X67" i="9"/>
  <c r="Y60" i="9"/>
  <c r="Y41" i="9"/>
  <c r="Y28" i="9"/>
  <c r="Y40" i="9"/>
  <c r="Y36" i="9"/>
  <c r="Y33" i="9"/>
  <c r="Y31" i="9"/>
  <c r="X22" i="9"/>
  <c r="Y57" i="9"/>
  <c r="Y39" i="9"/>
  <c r="Y51" i="9"/>
  <c r="Y38" i="9"/>
  <c r="Y43" i="9"/>
  <c r="Y46" i="9"/>
  <c r="D10" i="9"/>
  <c r="E10" i="9" s="1"/>
  <c r="G12" i="9"/>
  <c r="E6" i="8" s="1"/>
  <c r="Y12" i="9"/>
  <c r="E24" i="8" s="1"/>
  <c r="N14" i="9"/>
  <c r="X14" i="9"/>
  <c r="O16" i="9"/>
  <c r="Y16" i="9"/>
  <c r="AC20" i="9"/>
  <c r="AD20" i="9" s="1"/>
  <c r="Z62" i="9"/>
  <c r="AA62" i="9" s="1"/>
  <c r="G30" i="9"/>
  <c r="G32" i="9"/>
  <c r="G34" i="9"/>
  <c r="I35" i="9"/>
  <c r="V22" i="9"/>
  <c r="O27" i="9"/>
  <c r="O29" i="9"/>
  <c r="I32" i="9"/>
  <c r="I34" i="9"/>
  <c r="I43" i="9"/>
  <c r="O44" i="9"/>
  <c r="AD45" i="9"/>
  <c r="K52" i="9"/>
  <c r="O53" i="9"/>
  <c r="AA55" i="9"/>
  <c r="E57" i="9"/>
  <c r="AC57" i="9"/>
  <c r="AD57" i="9" s="1"/>
  <c r="S57" i="9"/>
  <c r="W58" i="9"/>
  <c r="AD42" i="9"/>
  <c r="AA52" i="9"/>
  <c r="AD55" i="9"/>
  <c r="G57" i="9"/>
  <c r="K58" i="9"/>
  <c r="Y58" i="9"/>
  <c r="G61" i="9"/>
  <c r="W61" i="9"/>
  <c r="E43" i="9"/>
  <c r="O43" i="9"/>
  <c r="AA43" i="9"/>
  <c r="M44" i="9"/>
  <c r="AD46" i="9"/>
  <c r="AC53" i="9"/>
  <c r="AD53" i="9" s="1"/>
  <c r="E53" i="9"/>
  <c r="I57" i="9"/>
  <c r="M58" i="9"/>
  <c r="I61" i="9"/>
  <c r="Y61" i="9"/>
  <c r="O58" i="9"/>
  <c r="G47" i="9"/>
  <c r="S47" i="9"/>
  <c r="AD51" i="9"/>
  <c r="E55" i="9"/>
  <c r="S55" i="9"/>
  <c r="Q59" i="9"/>
  <c r="L62" i="9"/>
  <c r="M62" i="9" s="1"/>
  <c r="AC16" i="9"/>
  <c r="AD16" i="9" s="1"/>
  <c r="W28" i="9"/>
  <c r="Q30" i="9"/>
  <c r="Q37" i="9"/>
  <c r="Q41" i="9"/>
  <c r="S43" i="9"/>
  <c r="U47" i="9"/>
  <c r="E52" i="9"/>
  <c r="G55" i="9"/>
  <c r="AD59" i="9"/>
  <c r="O61" i="9"/>
  <c r="P67" i="9"/>
  <c r="Q51" i="9"/>
  <c r="Q49" i="9"/>
  <c r="Q46" i="9"/>
  <c r="Q60" i="9"/>
  <c r="Q56" i="9"/>
  <c r="Q48" i="9"/>
  <c r="Q42" i="9"/>
  <c r="Q40" i="9"/>
  <c r="D62" i="9"/>
  <c r="M27" i="9"/>
  <c r="V62" i="9"/>
  <c r="W62" i="9" s="1"/>
  <c r="E28" i="9"/>
  <c r="O28" i="9"/>
  <c r="Q32" i="9"/>
  <c r="U43" i="9"/>
  <c r="G44" i="9"/>
  <c r="W47" i="9"/>
  <c r="AD48" i="9"/>
  <c r="G52" i="9"/>
  <c r="U52" i="9"/>
  <c r="K56" i="9"/>
  <c r="Y56" i="9"/>
  <c r="AC58" i="9"/>
  <c r="AD58" i="9" s="1"/>
  <c r="E58" i="9"/>
  <c r="Q61" i="9"/>
  <c r="N62" i="9"/>
  <c r="O62" i="9" s="1"/>
  <c r="G28" i="9"/>
  <c r="AD31" i="9"/>
  <c r="AD36" i="9"/>
  <c r="Q38" i="9"/>
  <c r="W43" i="9"/>
  <c r="I44" i="9"/>
  <c r="U44" i="9"/>
  <c r="K47" i="9"/>
  <c r="Y47" i="9"/>
  <c r="AD50" i="9"/>
  <c r="M53" i="9"/>
  <c r="AA53" i="9"/>
  <c r="Y55" i="9"/>
  <c r="M56" i="9"/>
  <c r="Q57" i="9"/>
  <c r="AD60" i="9"/>
  <c r="Y44" i="9"/>
  <c r="Q52" i="9"/>
  <c r="AC52" i="9"/>
  <c r="AD52" i="9" s="1"/>
  <c r="W53" i="9"/>
  <c r="O55" i="9"/>
  <c r="U56" i="9"/>
  <c r="AA57" i="9"/>
  <c r="K61" i="9"/>
  <c r="Q44" i="9"/>
  <c r="AA47" i="9"/>
  <c r="I52" i="9"/>
  <c r="S52" i="9"/>
  <c r="Y53" i="9"/>
  <c r="Q55" i="9"/>
  <c r="W56" i="9"/>
  <c r="M61" i="9"/>
  <c r="Q53" i="9"/>
  <c r="I55" i="9"/>
  <c r="O56" i="9"/>
  <c r="U57" i="9"/>
  <c r="AA58" i="9"/>
  <c r="E61" i="9"/>
  <c r="G53" i="9"/>
  <c r="E56" i="9"/>
  <c r="K57" i="9"/>
  <c r="Q58" i="9"/>
  <c r="AA61" i="9"/>
  <c r="AD38" i="9"/>
  <c r="K43" i="9"/>
  <c r="I53" i="9"/>
  <c r="G56" i="9"/>
  <c r="M57" i="9"/>
  <c r="S58" i="9"/>
  <c r="AC61" i="9"/>
  <c r="AD61" i="9" s="1"/>
  <c r="Y52" i="9"/>
  <c r="W55" i="9"/>
  <c r="AC56" i="9"/>
  <c r="AD56" i="9" s="1"/>
  <c r="I58" i="9"/>
  <c r="S61" i="9"/>
  <c r="U61" i="9"/>
  <c r="I1" i="4" a="1"/>
  <c r="I1" i="4" l="1"/>
  <c r="E21" i="9"/>
  <c r="Q389" i="5"/>
  <c r="Q363" i="5"/>
  <c r="P63" i="9"/>
  <c r="Q63" i="9" s="1"/>
  <c r="X63" i="9"/>
  <c r="Y63" i="9" s="1"/>
  <c r="V72" i="9"/>
  <c r="V73" i="9"/>
  <c r="V74" i="9"/>
  <c r="V68" i="9"/>
  <c r="V70" i="9" s="1"/>
  <c r="V71" i="9"/>
  <c r="V69" i="9"/>
  <c r="N74" i="9"/>
  <c r="N71" i="9"/>
  <c r="N69" i="9"/>
  <c r="N70" i="9" s="1"/>
  <c r="N72" i="9"/>
  <c r="N73" i="9"/>
  <c r="N68" i="9"/>
  <c r="M10" i="9"/>
  <c r="L23" i="9"/>
  <c r="M23" i="9" s="1"/>
  <c r="Q322" i="5"/>
  <c r="Q328" i="5"/>
  <c r="Q384" i="5"/>
  <c r="Q304" i="5"/>
  <c r="N230" i="5"/>
  <c r="Q230" i="5"/>
  <c r="O230" i="5"/>
  <c r="Q260" i="5"/>
  <c r="Q265" i="5"/>
  <c r="Q204" i="5"/>
  <c r="O154" i="5"/>
  <c r="Q154" i="5"/>
  <c r="N154" i="5"/>
  <c r="Q218" i="5"/>
  <c r="Q132" i="5"/>
  <c r="Q181" i="5"/>
  <c r="Q237" i="5"/>
  <c r="O116" i="5"/>
  <c r="Q116" i="5"/>
  <c r="N116" i="5"/>
  <c r="Q46" i="5"/>
  <c r="U62" i="9"/>
  <c r="T63" i="9"/>
  <c r="U63" i="9" s="1"/>
  <c r="Q314" i="5"/>
  <c r="K14" i="9"/>
  <c r="E11" i="8" s="1"/>
  <c r="K15" i="9"/>
  <c r="K2" i="9"/>
  <c r="Q374" i="5"/>
  <c r="Q271" i="5"/>
  <c r="O271" i="5"/>
  <c r="N271" i="5"/>
  <c r="Q152" i="5"/>
  <c r="Q173" i="5"/>
  <c r="Q103" i="5"/>
  <c r="G63" i="9"/>
  <c r="F64" i="9"/>
  <c r="L18" i="9"/>
  <c r="M16" i="9"/>
  <c r="U21" i="9"/>
  <c r="R63" i="9"/>
  <c r="S63" i="9" s="1"/>
  <c r="Q359" i="5"/>
  <c r="O292" i="5"/>
  <c r="N292" i="5"/>
  <c r="Q292" i="5"/>
  <c r="N378" i="5"/>
  <c r="Q378" i="5"/>
  <c r="O378" i="5"/>
  <c r="Q387" i="5"/>
  <c r="Q333" i="5"/>
  <c r="Q318" i="5"/>
  <c r="Q385" i="5"/>
  <c r="O385" i="5"/>
  <c r="N385" i="5"/>
  <c r="Q70" i="5"/>
  <c r="Q44" i="5"/>
  <c r="N16" i="5"/>
  <c r="Q16" i="5"/>
  <c r="O16" i="5"/>
  <c r="Q91" i="5"/>
  <c r="Q29" i="5"/>
  <c r="Q97" i="5"/>
  <c r="Q379" i="5"/>
  <c r="Q357" i="5"/>
  <c r="Z73" i="9"/>
  <c r="Z74" i="9"/>
  <c r="Z68" i="9"/>
  <c r="Z70" i="9"/>
  <c r="Z71" i="9"/>
  <c r="Z69" i="9"/>
  <c r="Z72" i="9"/>
  <c r="Z63" i="9"/>
  <c r="AA63" i="9" s="1"/>
  <c r="N349" i="5"/>
  <c r="O349" i="5"/>
  <c r="Q349" i="5"/>
  <c r="Q393" i="5"/>
  <c r="Q320" i="5"/>
  <c r="Q258" i="5"/>
  <c r="Q334" i="5"/>
  <c r="N209" i="5"/>
  <c r="Q209" i="5"/>
  <c r="O209" i="5"/>
  <c r="Q138" i="5"/>
  <c r="P71" i="9"/>
  <c r="P69" i="9"/>
  <c r="P72" i="9"/>
  <c r="P73" i="9"/>
  <c r="P74" i="9"/>
  <c r="P68" i="9"/>
  <c r="P70" i="9" s="1"/>
  <c r="X73" i="9"/>
  <c r="X74" i="9"/>
  <c r="X68" i="9"/>
  <c r="X71" i="9"/>
  <c r="X69" i="9"/>
  <c r="X70" i="9" s="1"/>
  <c r="X72" i="9"/>
  <c r="R2" i="9"/>
  <c r="S15" i="9"/>
  <c r="S14" i="9"/>
  <c r="E19" i="8" s="1"/>
  <c r="L74" i="9"/>
  <c r="L68" i="9"/>
  <c r="L70" i="9" s="1"/>
  <c r="L71" i="9"/>
  <c r="L69" i="9"/>
  <c r="L72" i="9"/>
  <c r="L73" i="9"/>
  <c r="Q401" i="5"/>
  <c r="O401" i="5"/>
  <c r="N401" i="5"/>
  <c r="Q317" i="5"/>
  <c r="N317" i="5"/>
  <c r="O317" i="5"/>
  <c r="Q176" i="5"/>
  <c r="Q166" i="5"/>
  <c r="Q196" i="5"/>
  <c r="Q61" i="5"/>
  <c r="N61" i="5"/>
  <c r="O61" i="5"/>
  <c r="AC8" i="9"/>
  <c r="AD27" i="9"/>
  <c r="U14" i="9"/>
  <c r="E21" i="8" s="1"/>
  <c r="T2" i="9"/>
  <c r="U15" i="9"/>
  <c r="H73" i="9"/>
  <c r="H74" i="9"/>
  <c r="H68" i="9"/>
  <c r="H71" i="9"/>
  <c r="H69" i="9"/>
  <c r="H70" i="9" s="1"/>
  <c r="H72" i="9"/>
  <c r="N23" i="9"/>
  <c r="O23" i="9" s="1"/>
  <c r="Q10" i="9"/>
  <c r="P23" i="9"/>
  <c r="Q23" i="9" s="1"/>
  <c r="M15" i="9"/>
  <c r="L2" i="9"/>
  <c r="M14" i="9"/>
  <c r="E13" i="8" s="1"/>
  <c r="L63" i="9"/>
  <c r="M63" i="9" s="1"/>
  <c r="K8" i="9"/>
  <c r="J10" i="9"/>
  <c r="Q386" i="5"/>
  <c r="Q324" i="5"/>
  <c r="Q257" i="5"/>
  <c r="Q198" i="5"/>
  <c r="Q212" i="5"/>
  <c r="Q111" i="5"/>
  <c r="Q121" i="5"/>
  <c r="O223" i="5"/>
  <c r="N223" i="5"/>
  <c r="Q223" i="5"/>
  <c r="Q114" i="5"/>
  <c r="Q160" i="5"/>
  <c r="Q105" i="5"/>
  <c r="D23" i="9"/>
  <c r="E23" i="9" s="1"/>
  <c r="AC62" i="9"/>
  <c r="AD62" i="9" s="1"/>
  <c r="E62" i="9"/>
  <c r="D63" i="9"/>
  <c r="E63" i="9" s="1"/>
  <c r="X2" i="9"/>
  <c r="Y14" i="9"/>
  <c r="E25" i="8" s="1"/>
  <c r="Y15" i="9"/>
  <c r="H63" i="9"/>
  <c r="I63" i="9" s="1"/>
  <c r="M21" i="9"/>
  <c r="S8" i="9"/>
  <c r="R10" i="9"/>
  <c r="K62" i="9"/>
  <c r="J63" i="9"/>
  <c r="K63" i="9" s="1"/>
  <c r="Q365" i="5"/>
  <c r="J73" i="9"/>
  <c r="J74" i="9"/>
  <c r="J68" i="9"/>
  <c r="J70" i="9" s="1"/>
  <c r="J71" i="9"/>
  <c r="J69" i="9"/>
  <c r="J72" i="9"/>
  <c r="Q346" i="5"/>
  <c r="Q282" i="5"/>
  <c r="Q162" i="5"/>
  <c r="Q184" i="5"/>
  <c r="Q107" i="5"/>
  <c r="Q182" i="5"/>
  <c r="Q113" i="5"/>
  <c r="Q220" i="5"/>
  <c r="Q122" i="5"/>
  <c r="Q143" i="5"/>
  <c r="N6" i="5"/>
  <c r="Q6" i="5"/>
  <c r="O6" i="5"/>
  <c r="O2" i="9"/>
  <c r="O15" i="9"/>
  <c r="O14" i="9"/>
  <c r="E15" i="8" s="1"/>
  <c r="F72" i="9"/>
  <c r="F73" i="9"/>
  <c r="F74" i="9"/>
  <c r="F68" i="9"/>
  <c r="F71" i="9"/>
  <c r="F69" i="9"/>
  <c r="F70" i="9"/>
  <c r="AC14" i="9"/>
  <c r="AD14" i="9" s="1"/>
  <c r="E15" i="9"/>
  <c r="D2" i="9"/>
  <c r="E14" i="9"/>
  <c r="E5" i="8" s="1"/>
  <c r="O284" i="5"/>
  <c r="Q284" i="5"/>
  <c r="N284" i="5"/>
  <c r="Q250" i="5"/>
  <c r="O348" i="5"/>
  <c r="N348" i="5"/>
  <c r="Q348" i="5"/>
  <c r="Q222" i="5"/>
  <c r="O192" i="5"/>
  <c r="N192" i="5"/>
  <c r="Q192" i="5"/>
  <c r="Q206" i="5"/>
  <c r="Q50" i="5"/>
  <c r="Q146" i="5"/>
  <c r="Q142" i="5"/>
  <c r="Q279" i="5"/>
  <c r="Q127" i="5"/>
  <c r="Q86" i="5"/>
  <c r="T72" i="9"/>
  <c r="T73" i="9"/>
  <c r="T74" i="9"/>
  <c r="T68" i="9"/>
  <c r="T70" i="9" s="1"/>
  <c r="T71" i="9"/>
  <c r="T69" i="9"/>
  <c r="D72" i="9"/>
  <c r="D73" i="9"/>
  <c r="D74" i="9"/>
  <c r="D68" i="9"/>
  <c r="AC67" i="9"/>
  <c r="D71" i="9"/>
  <c r="D69" i="9"/>
  <c r="AC69" i="9" s="1"/>
  <c r="AD69" i="9" s="1"/>
  <c r="R71" i="9"/>
  <c r="R72" i="9"/>
  <c r="R73" i="9"/>
  <c r="R74" i="9"/>
  <c r="R68" i="9"/>
  <c r="R70" i="9" s="1"/>
  <c r="R69" i="9"/>
  <c r="N399" i="5"/>
  <c r="Q399" i="5"/>
  <c r="O399" i="5"/>
  <c r="Q396" i="5"/>
  <c r="Q373" i="5"/>
  <c r="AC22" i="9"/>
  <c r="AD33" i="9"/>
  <c r="AD29" i="9"/>
  <c r="AD54" i="9"/>
  <c r="AD37" i="9"/>
  <c r="AD41" i="9"/>
  <c r="AD40" i="9"/>
  <c r="AD12" i="9"/>
  <c r="Q366" i="5"/>
  <c r="Q326" i="5"/>
  <c r="N360" i="5"/>
  <c r="O360" i="5"/>
  <c r="Q360" i="5"/>
  <c r="Q382" i="5"/>
  <c r="Q290" i="5"/>
  <c r="Q316" i="5"/>
  <c r="O316" i="5"/>
  <c r="N316" i="5"/>
  <c r="Q351" i="5"/>
  <c r="Q231" i="5"/>
  <c r="Q274" i="5"/>
  <c r="Q310" i="5"/>
  <c r="Q25" i="5"/>
  <c r="B6" i="5"/>
  <c r="C5" i="5"/>
  <c r="L5" i="5" s="1"/>
  <c r="Q108" i="5"/>
  <c r="Q53" i="5"/>
  <c r="Q20" i="5"/>
  <c r="N371" i="5"/>
  <c r="Q371" i="5"/>
  <c r="O371" i="5"/>
  <c r="Q273" i="5"/>
  <c r="Q355" i="5"/>
  <c r="Q309" i="5"/>
  <c r="O309" i="5"/>
  <c r="N309" i="5"/>
  <c r="Q124" i="5"/>
  <c r="Q58" i="5"/>
  <c r="Q56" i="5"/>
  <c r="N123" i="5"/>
  <c r="Q123" i="5"/>
  <c r="O123" i="5"/>
  <c r="Q266" i="5"/>
  <c r="Q203" i="5"/>
  <c r="Q76" i="5"/>
  <c r="Q60" i="5"/>
  <c r="O40" i="5"/>
  <c r="N40" i="5"/>
  <c r="Q40" i="5"/>
  <c r="Q82" i="5"/>
  <c r="G22" i="2"/>
  <c r="Z23" i="2"/>
  <c r="Q245" i="5"/>
  <c r="Q252" i="5"/>
  <c r="Q242" i="5"/>
  <c r="Q144" i="5"/>
  <c r="Q308" i="5"/>
  <c r="Q240" i="5"/>
  <c r="Q217" i="5"/>
  <c r="Q197" i="5"/>
  <c r="Q228" i="5"/>
  <c r="Q174" i="5"/>
  <c r="N9" i="5"/>
  <c r="Q9" i="5"/>
  <c r="O9" i="5"/>
  <c r="Q128" i="5"/>
  <c r="Q129" i="5"/>
  <c r="Q84" i="5"/>
  <c r="Q136" i="5"/>
  <c r="Q13" i="5"/>
  <c r="Q62" i="5"/>
  <c r="E22" i="3"/>
  <c r="AA23" i="3"/>
  <c r="C35" i="1" a="1"/>
  <c r="C35" i="1" s="1"/>
  <c r="C36" i="1" s="1"/>
  <c r="Q22" i="5"/>
  <c r="Z24" i="3"/>
  <c r="G23" i="3"/>
  <c r="G15" i="2"/>
  <c r="G11" i="2"/>
  <c r="G7" i="2"/>
  <c r="G18" i="2"/>
  <c r="G13" i="2"/>
  <c r="G14" i="2"/>
  <c r="G8" i="2"/>
  <c r="G12" i="2"/>
  <c r="G9" i="2"/>
  <c r="G16" i="2"/>
  <c r="G10" i="2"/>
  <c r="G17" i="2"/>
  <c r="Y25" i="2"/>
  <c r="E24" i="2"/>
  <c r="O78" i="5"/>
  <c r="Q78" i="5"/>
  <c r="N78" i="5"/>
  <c r="N4" i="5"/>
  <c r="Q4" i="5"/>
  <c r="O4" i="5"/>
  <c r="Q141" i="5"/>
  <c r="O141" i="5"/>
  <c r="N141" i="5"/>
  <c r="Q112" i="5"/>
  <c r="Q52" i="5"/>
  <c r="Q64" i="5"/>
  <c r="B7" i="3"/>
  <c r="K3" i="3"/>
  <c r="Q390" i="5"/>
  <c r="N400" i="5"/>
  <c r="Q400" i="5"/>
  <c r="O400" i="5"/>
  <c r="O392" i="5"/>
  <c r="Q392" i="5"/>
  <c r="N392" i="5"/>
  <c r="Q377" i="5"/>
  <c r="Q298" i="5"/>
  <c r="Q312" i="5"/>
  <c r="Q249" i="5"/>
  <c r="Q280" i="5"/>
  <c r="N340" i="5"/>
  <c r="Q340" i="5"/>
  <c r="O340" i="5"/>
  <c r="Q227" i="5"/>
  <c r="Q215" i="5"/>
  <c r="Q190" i="5"/>
  <c r="N99" i="5"/>
  <c r="Q99" i="5"/>
  <c r="O99" i="5"/>
  <c r="I10" i="2" l="1"/>
  <c r="P10" i="2"/>
  <c r="E23" i="3"/>
  <c r="AA24" i="3"/>
  <c r="AC71" i="9"/>
  <c r="AD71" i="9" s="1"/>
  <c r="P12" i="2"/>
  <c r="I12" i="2"/>
  <c r="AC68" i="9"/>
  <c r="AD68" i="9" s="1"/>
  <c r="AD8" i="9"/>
  <c r="AC10" i="9"/>
  <c r="S10" i="9"/>
  <c r="R23" i="9"/>
  <c r="S23" i="9" s="1"/>
  <c r="P16" i="2"/>
  <c r="I16" i="2"/>
  <c r="I15" i="2"/>
  <c r="P15" i="2"/>
  <c r="I7" i="2"/>
  <c r="P7" i="2"/>
  <c r="G14" i="3"/>
  <c r="G17" i="3"/>
  <c r="G11" i="3"/>
  <c r="G15" i="3"/>
  <c r="G8" i="3"/>
  <c r="G12" i="3"/>
  <c r="G6" i="3"/>
  <c r="G16" i="3"/>
  <c r="G9" i="3"/>
  <c r="G7" i="3"/>
  <c r="G10" i="3"/>
  <c r="G13" i="3"/>
  <c r="AC74" i="9"/>
  <c r="AD74" i="9" s="1"/>
  <c r="I14" i="2"/>
  <c r="P14" i="2"/>
  <c r="AC73" i="9"/>
  <c r="AD73" i="9" s="1"/>
  <c r="M18" i="9"/>
  <c r="AC18" i="9"/>
  <c r="AD18" i="9" s="1"/>
  <c r="P8" i="2"/>
  <c r="I8" i="2"/>
  <c r="Y26" i="2"/>
  <c r="E25" i="2"/>
  <c r="I13" i="2"/>
  <c r="P13" i="2"/>
  <c r="G23" i="2"/>
  <c r="Z24" i="2"/>
  <c r="D70" i="9"/>
  <c r="AC70" i="9" s="1"/>
  <c r="AD70" i="9" s="1"/>
  <c r="H64" i="9"/>
  <c r="J64" i="9" s="1"/>
  <c r="L64" i="9" s="1"/>
  <c r="N64" i="9" s="1"/>
  <c r="P64" i="9" s="1"/>
  <c r="R64" i="9" s="1"/>
  <c r="T64" i="9" s="1"/>
  <c r="V64" i="9" s="1"/>
  <c r="X64" i="9" s="1"/>
  <c r="Z64" i="9" s="1"/>
  <c r="I11" i="2"/>
  <c r="P11" i="2"/>
  <c r="I9" i="2"/>
  <c r="P9" i="2"/>
  <c r="Z25" i="3"/>
  <c r="G24" i="3"/>
  <c r="B7" i="5"/>
  <c r="C6" i="5"/>
  <c r="L6" i="5" s="1"/>
  <c r="I17" i="2"/>
  <c r="P17" i="2"/>
  <c r="I18" i="2"/>
  <c r="P18" i="2"/>
  <c r="AC63" i="9"/>
  <c r="AD63" i="9" s="1"/>
  <c r="AC72" i="9"/>
  <c r="AD72" i="9" s="1"/>
  <c r="K10" i="9"/>
  <c r="J23" i="9"/>
  <c r="K23" i="9" s="1"/>
  <c r="J7" i="3" l="1"/>
  <c r="P7" i="3"/>
  <c r="B24" i="8"/>
  <c r="B24" i="7"/>
  <c r="AG97" i="2"/>
  <c r="N17" i="2"/>
  <c r="F17" i="1" a="1"/>
  <c r="F17" i="1" s="1"/>
  <c r="F19" i="1" s="1"/>
  <c r="Q17" i="2"/>
  <c r="K17" i="2"/>
  <c r="B8" i="8"/>
  <c r="B8" i="7"/>
  <c r="N9" i="2"/>
  <c r="AG41" i="2"/>
  <c r="Q9" i="2"/>
  <c r="K9" i="2"/>
  <c r="J13" i="3"/>
  <c r="P13" i="3"/>
  <c r="P15" i="3"/>
  <c r="J15" i="3"/>
  <c r="C7" i="5"/>
  <c r="L7" i="5" s="1"/>
  <c r="B8" i="5"/>
  <c r="J17" i="3"/>
  <c r="P17" i="3"/>
  <c r="B6" i="8"/>
  <c r="B6" i="7"/>
  <c r="AG34" i="2"/>
  <c r="Q8" i="2"/>
  <c r="N8" i="2"/>
  <c r="K8" i="2"/>
  <c r="B12" i="7"/>
  <c r="B12" i="8"/>
  <c r="AG55" i="2"/>
  <c r="Q11" i="2"/>
  <c r="N11" i="2"/>
  <c r="K11" i="2"/>
  <c r="G24" i="2"/>
  <c r="Z25" i="2"/>
  <c r="J10" i="3"/>
  <c r="P10" i="3"/>
  <c r="J11" i="3"/>
  <c r="P11" i="3"/>
  <c r="B20" i="8"/>
  <c r="B20" i="7"/>
  <c r="AG83" i="2"/>
  <c r="K15" i="2"/>
  <c r="Q15" i="2"/>
  <c r="N15" i="2"/>
  <c r="B14" i="8"/>
  <c r="B14" i="7"/>
  <c r="Q12" i="2"/>
  <c r="AG62" i="2"/>
  <c r="N12" i="2"/>
  <c r="K12" i="2"/>
  <c r="B22" i="7"/>
  <c r="B22" i="8"/>
  <c r="AG90" i="2"/>
  <c r="Q16" i="2"/>
  <c r="N16" i="2"/>
  <c r="K16" i="2"/>
  <c r="E24" i="3"/>
  <c r="AA25" i="3"/>
  <c r="J9" i="3"/>
  <c r="P9" i="3"/>
  <c r="J14" i="3"/>
  <c r="P14" i="3"/>
  <c r="Z26" i="3"/>
  <c r="G25" i="3"/>
  <c r="B18" i="7"/>
  <c r="B18" i="8"/>
  <c r="K14" i="2"/>
  <c r="AG76" i="2"/>
  <c r="N14" i="2"/>
  <c r="Q14" i="2"/>
  <c r="J16" i="3"/>
  <c r="P16" i="3"/>
  <c r="B26" i="8"/>
  <c r="B26" i="7"/>
  <c r="AG104" i="2"/>
  <c r="K18" i="2"/>
  <c r="Q18" i="2"/>
  <c r="N18" i="2"/>
  <c r="B16" i="8"/>
  <c r="B16" i="7"/>
  <c r="AG69" i="2"/>
  <c r="N13" i="2"/>
  <c r="K13" i="2"/>
  <c r="Q13" i="2"/>
  <c r="J6" i="3"/>
  <c r="P6" i="3"/>
  <c r="B4" i="8"/>
  <c r="B4" i="7"/>
  <c r="K7" i="2"/>
  <c r="AG27" i="2"/>
  <c r="Q7" i="2"/>
  <c r="N7" i="2"/>
  <c r="J12" i="3"/>
  <c r="P12" i="3"/>
  <c r="AD10" i="9"/>
  <c r="AC23" i="9"/>
  <c r="AD23" i="9" s="1"/>
  <c r="Y27" i="2"/>
  <c r="E26" i="2"/>
  <c r="J8" i="3"/>
  <c r="P8" i="3"/>
  <c r="B10" i="8"/>
  <c r="B10" i="7"/>
  <c r="K10" i="2"/>
  <c r="Q10" i="2"/>
  <c r="N10" i="2"/>
  <c r="AG48" i="2"/>
  <c r="D26" i="7" l="1"/>
  <c r="E26" i="7"/>
  <c r="G27" i="7" s="1"/>
  <c r="I26" i="7" s="1"/>
  <c r="J26" i="7" s="1"/>
  <c r="L27" i="7" s="1"/>
  <c r="L129" i="2"/>
  <c r="L125" i="2"/>
  <c r="L116" i="2"/>
  <c r="L112" i="2"/>
  <c r="L134" i="2"/>
  <c r="L121" i="2"/>
  <c r="L127" i="2"/>
  <c r="L114" i="2"/>
  <c r="L130" i="2"/>
  <c r="L113" i="2"/>
  <c r="L133" i="2"/>
  <c r="L132" i="2"/>
  <c r="L123" i="2"/>
  <c r="L136" i="2"/>
  <c r="L120" i="2"/>
  <c r="L111" i="2"/>
  <c r="L137" i="2"/>
  <c r="L135" i="2"/>
  <c r="L126" i="2"/>
  <c r="L122" i="2"/>
  <c r="L115" i="2"/>
  <c r="AA10" i="2"/>
  <c r="L140" i="2"/>
  <c r="L128" i="2"/>
  <c r="L119" i="2"/>
  <c r="L118" i="2"/>
  <c r="E27" i="2"/>
  <c r="Y28" i="2"/>
  <c r="F5" i="8"/>
  <c r="I5" i="8" s="1"/>
  <c r="F4" i="8"/>
  <c r="I4" i="8" s="1"/>
  <c r="C2" i="8"/>
  <c r="E22" i="7"/>
  <c r="G23" i="7" s="1"/>
  <c r="I22" i="7" s="1"/>
  <c r="J22" i="7" s="1"/>
  <c r="L23" i="7" s="1"/>
  <c r="D22" i="7"/>
  <c r="L289" i="2"/>
  <c r="L284" i="2"/>
  <c r="L280" i="2"/>
  <c r="L275" i="2"/>
  <c r="L293" i="2"/>
  <c r="L270" i="2"/>
  <c r="L266" i="2"/>
  <c r="L267" i="2"/>
  <c r="L287" i="2"/>
  <c r="L274" i="2"/>
  <c r="L273" i="2"/>
  <c r="L291" i="2"/>
  <c r="L282" i="2"/>
  <c r="L281" i="2"/>
  <c r="L288" i="2"/>
  <c r="L276" i="2"/>
  <c r="L290" i="2"/>
  <c r="L272" i="2"/>
  <c r="L268" i="2"/>
  <c r="L265" i="2"/>
  <c r="AA15" i="2"/>
  <c r="L269" i="2"/>
  <c r="L279" i="2"/>
  <c r="L283" i="2"/>
  <c r="L352" i="2"/>
  <c r="L343" i="2"/>
  <c r="L333" i="2"/>
  <c r="L329" i="2"/>
  <c r="L354" i="2"/>
  <c r="L350" i="2"/>
  <c r="L345" i="2"/>
  <c r="L331" i="2"/>
  <c r="L326" i="2"/>
  <c r="L351" i="2"/>
  <c r="L338" i="2"/>
  <c r="L353" i="2"/>
  <c r="L337" i="2"/>
  <c r="L346" i="2"/>
  <c r="L344" i="2"/>
  <c r="L330" i="2"/>
  <c r="L339" i="2"/>
  <c r="L349" i="2"/>
  <c r="L342" i="2"/>
  <c r="L325" i="2"/>
  <c r="L340" i="2"/>
  <c r="L332" i="2"/>
  <c r="AA17" i="2"/>
  <c r="C18" i="1" a="1"/>
  <c r="C18" i="1" s="1"/>
  <c r="N8" i="3"/>
  <c r="K8" i="3"/>
  <c r="L262" i="2"/>
  <c r="L258" i="2"/>
  <c r="L253" i="2"/>
  <c r="L260" i="2"/>
  <c r="L255" i="2"/>
  <c r="L247" i="2"/>
  <c r="L245" i="2"/>
  <c r="L242" i="2"/>
  <c r="L240" i="2"/>
  <c r="L238" i="2"/>
  <c r="L236" i="2"/>
  <c r="L261" i="2"/>
  <c r="L248" i="2"/>
  <c r="L246" i="2"/>
  <c r="L241" i="2"/>
  <c r="L239" i="2"/>
  <c r="L237" i="2"/>
  <c r="L259" i="2"/>
  <c r="L256" i="2"/>
  <c r="L263" i="2"/>
  <c r="L233" i="2"/>
  <c r="AA14" i="2"/>
  <c r="L254" i="2"/>
  <c r="L234" i="2"/>
  <c r="L252" i="2"/>
  <c r="N9" i="3"/>
  <c r="K9" i="3"/>
  <c r="L184" i="2"/>
  <c r="L200" i="2"/>
  <c r="L198" i="2"/>
  <c r="L196" i="2"/>
  <c r="L189" i="2"/>
  <c r="L176" i="2"/>
  <c r="L186" i="2"/>
  <c r="L182" i="2"/>
  <c r="L199" i="2"/>
  <c r="L197" i="2"/>
  <c r="L195" i="2"/>
  <c r="L178" i="2"/>
  <c r="L174" i="2"/>
  <c r="L172" i="2"/>
  <c r="L191" i="2"/>
  <c r="AA12" i="2"/>
  <c r="L177" i="2"/>
  <c r="L192" i="2"/>
  <c r="L185" i="2"/>
  <c r="L183" i="2"/>
  <c r="L190" i="2"/>
  <c r="L181" i="2"/>
  <c r="L175" i="2"/>
  <c r="L193" i="2"/>
  <c r="L188" i="2"/>
  <c r="L179" i="2"/>
  <c r="D20" i="7"/>
  <c r="E20" i="7" s="1"/>
  <c r="G21" i="7" s="1"/>
  <c r="I20" i="7" s="1"/>
  <c r="J20" i="7" s="1"/>
  <c r="L21" i="7" s="1"/>
  <c r="L165" i="2"/>
  <c r="L157" i="2"/>
  <c r="L149" i="2"/>
  <c r="L141" i="2"/>
  <c r="L171" i="2"/>
  <c r="L167" i="2"/>
  <c r="L163" i="2"/>
  <c r="L160" i="2"/>
  <c r="L154" i="2"/>
  <c r="L151" i="2"/>
  <c r="L144" i="2"/>
  <c r="L148" i="2"/>
  <c r="L169" i="2"/>
  <c r="L161" i="2"/>
  <c r="L158" i="2"/>
  <c r="L156" i="2"/>
  <c r="L155" i="2"/>
  <c r="AA11" i="2"/>
  <c r="L164" i="2"/>
  <c r="L147" i="2"/>
  <c r="L168" i="2"/>
  <c r="L150" i="2"/>
  <c r="L162" i="2"/>
  <c r="L153" i="2"/>
  <c r="L143" i="2"/>
  <c r="L142" i="2"/>
  <c r="L170" i="2"/>
  <c r="L73" i="2"/>
  <c r="L71" i="2"/>
  <c r="AA8" i="2"/>
  <c r="L69" i="2"/>
  <c r="L67" i="2"/>
  <c r="L65" i="2"/>
  <c r="L63" i="2"/>
  <c r="L59" i="2"/>
  <c r="L57" i="2"/>
  <c r="L55" i="2"/>
  <c r="L53" i="2"/>
  <c r="L78" i="2"/>
  <c r="L76" i="2"/>
  <c r="L74" i="2"/>
  <c r="L72" i="2"/>
  <c r="L70" i="2"/>
  <c r="L66" i="2"/>
  <c r="L64" i="2"/>
  <c r="L60" i="2"/>
  <c r="L58" i="2"/>
  <c r="L56" i="2"/>
  <c r="L79" i="2"/>
  <c r="L77" i="2"/>
  <c r="L52" i="2"/>
  <c r="D6" i="7"/>
  <c r="E6" i="7" s="1"/>
  <c r="G7" i="7" s="1"/>
  <c r="I6" i="7" s="1"/>
  <c r="J6" i="7" s="1"/>
  <c r="L7" i="7" s="1"/>
  <c r="F11" i="8"/>
  <c r="I11" i="8" s="1"/>
  <c r="F10" i="8"/>
  <c r="I10" i="8" s="1"/>
  <c r="D10" i="7"/>
  <c r="E10" i="7" s="1"/>
  <c r="G11" i="7" s="1"/>
  <c r="I10" i="7" s="1"/>
  <c r="J10" i="7" s="1"/>
  <c r="L11" i="7" s="1"/>
  <c r="K12" i="3"/>
  <c r="N12" i="3"/>
  <c r="L48" i="2"/>
  <c r="L46" i="2"/>
  <c r="L44" i="2"/>
  <c r="L42" i="2"/>
  <c r="L40" i="2"/>
  <c r="L38" i="2"/>
  <c r="L36" i="2"/>
  <c r="L34" i="2"/>
  <c r="L30" i="2"/>
  <c r="L28" i="2"/>
  <c r="L51" i="2"/>
  <c r="L49" i="2"/>
  <c r="L45" i="2"/>
  <c r="L43" i="2"/>
  <c r="L41" i="2"/>
  <c r="L39" i="2"/>
  <c r="L37" i="2"/>
  <c r="L35" i="2"/>
  <c r="L50" i="2"/>
  <c r="L27" i="2"/>
  <c r="L29" i="2"/>
  <c r="L31" i="2"/>
  <c r="AA7" i="2"/>
  <c r="K6" i="3"/>
  <c r="N6" i="3"/>
  <c r="F18" i="8"/>
  <c r="I18" i="8" s="1"/>
  <c r="F19" i="8"/>
  <c r="I19" i="8" s="1"/>
  <c r="AA26" i="3"/>
  <c r="E25" i="3"/>
  <c r="F21" i="8"/>
  <c r="I21" i="8" s="1"/>
  <c r="F20" i="8"/>
  <c r="I20" i="8" s="1"/>
  <c r="F6" i="8"/>
  <c r="I6" i="8" s="1"/>
  <c r="F7" i="8"/>
  <c r="I7" i="8" s="1"/>
  <c r="K13" i="3"/>
  <c r="N13" i="3"/>
  <c r="D18" i="7"/>
  <c r="E18" i="7" s="1"/>
  <c r="G19" i="7" s="1"/>
  <c r="I18" i="7" s="1"/>
  <c r="J18" i="7" s="1"/>
  <c r="L19" i="7" s="1"/>
  <c r="L227" i="2"/>
  <c r="L225" i="2"/>
  <c r="L213" i="2"/>
  <c r="L211" i="2"/>
  <c r="L209" i="2"/>
  <c r="L228" i="2"/>
  <c r="L226" i="2"/>
  <c r="L214" i="2"/>
  <c r="L212" i="2"/>
  <c r="L210" i="2"/>
  <c r="L219" i="2"/>
  <c r="L205" i="2"/>
  <c r="L230" i="2"/>
  <c r="L217" i="2"/>
  <c r="L203" i="2"/>
  <c r="L220" i="2"/>
  <c r="L206" i="2"/>
  <c r="L231" i="2"/>
  <c r="L218" i="2"/>
  <c r="L204" i="2"/>
  <c r="L221" i="2"/>
  <c r="L207" i="2"/>
  <c r="L232" i="2"/>
  <c r="L216" i="2"/>
  <c r="L202" i="2"/>
  <c r="AA13" i="2"/>
  <c r="F27" i="8"/>
  <c r="I27" i="8" s="1"/>
  <c r="F26" i="8"/>
  <c r="I26" i="8" s="1"/>
  <c r="L324" i="2"/>
  <c r="L311" i="2"/>
  <c r="L302" i="2"/>
  <c r="L322" i="2"/>
  <c r="L309" i="2"/>
  <c r="L304" i="2"/>
  <c r="L300" i="2"/>
  <c r="L319" i="2"/>
  <c r="L315" i="2"/>
  <c r="L297" i="2"/>
  <c r="L294" i="2"/>
  <c r="L321" i="2"/>
  <c r="L318" i="2"/>
  <c r="L310" i="2"/>
  <c r="L305" i="2"/>
  <c r="L317" i="2"/>
  <c r="L316" i="2"/>
  <c r="L312" i="2"/>
  <c r="L298" i="2"/>
  <c r="L314" i="2"/>
  <c r="L308" i="2"/>
  <c r="L296" i="2"/>
  <c r="AA16" i="2"/>
  <c r="L295" i="2"/>
  <c r="L303" i="2"/>
  <c r="L301" i="2"/>
  <c r="L323" i="2"/>
  <c r="D14" i="7"/>
  <c r="E14" i="7"/>
  <c r="G15" i="7" s="1"/>
  <c r="I14" i="7" s="1"/>
  <c r="J14" i="7" s="1"/>
  <c r="L15" i="7" s="1"/>
  <c r="K11" i="3"/>
  <c r="N11" i="3"/>
  <c r="F12" i="8"/>
  <c r="I12" i="8" s="1"/>
  <c r="F13" i="8"/>
  <c r="I13" i="8" s="1"/>
  <c r="K17" i="3"/>
  <c r="N17" i="3"/>
  <c r="L104" i="2"/>
  <c r="L102" i="2"/>
  <c r="L100" i="2"/>
  <c r="L98" i="2"/>
  <c r="L97" i="2"/>
  <c r="L93" i="2"/>
  <c r="L108" i="2"/>
  <c r="L91" i="2"/>
  <c r="L105" i="2"/>
  <c r="L101" i="2"/>
  <c r="L99" i="2"/>
  <c r="L95" i="2"/>
  <c r="L92" i="2"/>
  <c r="L88" i="2"/>
  <c r="L86" i="2"/>
  <c r="L84" i="2"/>
  <c r="L90" i="2"/>
  <c r="L80" i="2"/>
  <c r="L106" i="2"/>
  <c r="L109" i="2"/>
  <c r="L87" i="2"/>
  <c r="L85" i="2"/>
  <c r="L107" i="2"/>
  <c r="L94" i="2"/>
  <c r="L83" i="2"/>
  <c r="L81" i="2"/>
  <c r="AA9" i="2"/>
  <c r="D24" i="7"/>
  <c r="E24" i="7" s="1"/>
  <c r="G25" i="7" s="1"/>
  <c r="I24" i="7" s="1"/>
  <c r="J24" i="7" s="1"/>
  <c r="G26" i="3"/>
  <c r="Z27" i="3"/>
  <c r="F14" i="8"/>
  <c r="I14" i="8" s="1"/>
  <c r="F15" i="8"/>
  <c r="I15" i="8" s="1"/>
  <c r="D12" i="7"/>
  <c r="E12" i="7" s="1"/>
  <c r="G13" i="7" s="1"/>
  <c r="I12" i="7" s="1"/>
  <c r="J12" i="7" s="1"/>
  <c r="L13" i="7" s="1"/>
  <c r="B9" i="5"/>
  <c r="C8" i="5"/>
  <c r="L8" i="5" s="1"/>
  <c r="F25" i="8"/>
  <c r="I25" i="8" s="1"/>
  <c r="F24" i="8"/>
  <c r="I24" i="8" s="1"/>
  <c r="D16" i="7"/>
  <c r="E16" i="7" s="1"/>
  <c r="G17" i="7" s="1"/>
  <c r="I16" i="7" s="1"/>
  <c r="J16" i="7" s="1"/>
  <c r="L17" i="7" s="1"/>
  <c r="K16" i="3"/>
  <c r="N16" i="3"/>
  <c r="K10" i="3"/>
  <c r="N10" i="3"/>
  <c r="D8" i="7"/>
  <c r="E8" i="7" s="1"/>
  <c r="G9" i="7" s="1"/>
  <c r="I8" i="7" s="1"/>
  <c r="J8" i="7" s="1"/>
  <c r="L9" i="7" s="1"/>
  <c r="C2" i="7"/>
  <c r="E4" i="7"/>
  <c r="G5" i="7" s="1"/>
  <c r="I4" i="7" s="1"/>
  <c r="J4" i="7" s="1"/>
  <c r="L5" i="7" s="1"/>
  <c r="D4" i="7"/>
  <c r="F17" i="8"/>
  <c r="I17" i="8" s="1"/>
  <c r="F16" i="8"/>
  <c r="I16" i="8" s="1"/>
  <c r="L382" i="2"/>
  <c r="L378" i="2"/>
  <c r="L365" i="2"/>
  <c r="L375" i="2"/>
  <c r="L371" i="2"/>
  <c r="L358" i="2"/>
  <c r="L380" i="2"/>
  <c r="L367" i="2"/>
  <c r="L363" i="2"/>
  <c r="L381" i="2"/>
  <c r="L377" i="2"/>
  <c r="L368" i="2"/>
  <c r="L364" i="2"/>
  <c r="L373" i="2"/>
  <c r="L360" i="2"/>
  <c r="L356" i="2"/>
  <c r="L357" i="2"/>
  <c r="L370" i="2"/>
  <c r="L359" i="2"/>
  <c r="L372" i="2"/>
  <c r="L379" i="2"/>
  <c r="L361" i="2"/>
  <c r="L374" i="2"/>
  <c r="L366" i="2"/>
  <c r="AA18" i="2"/>
  <c r="K14" i="3"/>
  <c r="N14" i="3"/>
  <c r="F22" i="8"/>
  <c r="I22" i="8" s="1"/>
  <c r="F23" i="8"/>
  <c r="I23" i="8" s="1"/>
  <c r="G25" i="2"/>
  <c r="Z26" i="2"/>
  <c r="N15" i="3"/>
  <c r="K15" i="3"/>
  <c r="F9" i="8"/>
  <c r="I9" i="8" s="1"/>
  <c r="F8" i="8"/>
  <c r="I8" i="8" s="1"/>
  <c r="K7" i="3"/>
  <c r="N7" i="3"/>
  <c r="B9" i="4" a="1"/>
  <c r="B9" i="4" l="1"/>
  <c r="L25" i="7"/>
  <c r="M12" i="8"/>
  <c r="J12" i="8"/>
  <c r="O12" i="8"/>
  <c r="N295" i="2"/>
  <c r="M295" i="2"/>
  <c r="N317" i="2"/>
  <c r="M317" i="2"/>
  <c r="M319" i="2"/>
  <c r="N319" i="2"/>
  <c r="O26" i="8"/>
  <c r="J26" i="8"/>
  <c r="M26" i="8"/>
  <c r="N204" i="2"/>
  <c r="M204" i="2"/>
  <c r="N205" i="2"/>
  <c r="M205" i="2"/>
  <c r="N211" i="2"/>
  <c r="M211" i="2"/>
  <c r="J7" i="8"/>
  <c r="M7" i="8"/>
  <c r="N37" i="2"/>
  <c r="M37" i="2"/>
  <c r="N30" i="2"/>
  <c r="M30" i="2"/>
  <c r="N48" i="2"/>
  <c r="M48" i="2"/>
  <c r="N66" i="2"/>
  <c r="M66" i="2"/>
  <c r="N57" i="2"/>
  <c r="M57" i="2"/>
  <c r="N73" i="2"/>
  <c r="M73" i="2"/>
  <c r="N147" i="2"/>
  <c r="M147" i="2"/>
  <c r="M148" i="2"/>
  <c r="N148" i="2"/>
  <c r="P168" i="2"/>
  <c r="P170" i="2"/>
  <c r="P167" i="2"/>
  <c r="N141" i="2"/>
  <c r="P171" i="2"/>
  <c r="P169" i="2"/>
  <c r="M141" i="2"/>
  <c r="N193" i="2"/>
  <c r="M193" i="2"/>
  <c r="N182" i="2"/>
  <c r="M182" i="2"/>
  <c r="L137" i="3"/>
  <c r="L129" i="3"/>
  <c r="L121" i="3"/>
  <c r="L136" i="3"/>
  <c r="L128" i="3"/>
  <c r="L120" i="3"/>
  <c r="L138" i="3"/>
  <c r="L130" i="3"/>
  <c r="L123" i="3"/>
  <c r="L117" i="3"/>
  <c r="L114" i="3"/>
  <c r="L113" i="3"/>
  <c r="L134" i="3"/>
  <c r="L127" i="3"/>
  <c r="L112" i="3"/>
  <c r="L140" i="3"/>
  <c r="L122" i="3"/>
  <c r="L135" i="3"/>
  <c r="L133" i="3"/>
  <c r="L131" i="3"/>
  <c r="L126" i="3"/>
  <c r="L116" i="3"/>
  <c r="L115" i="3"/>
  <c r="L119" i="3"/>
  <c r="L124" i="3"/>
  <c r="AC8" i="3"/>
  <c r="N256" i="2"/>
  <c r="M256" i="2"/>
  <c r="N236" i="2"/>
  <c r="M236" i="2"/>
  <c r="N253" i="2"/>
  <c r="M253" i="2"/>
  <c r="N340" i="2"/>
  <c r="M340" i="2"/>
  <c r="M337" i="2"/>
  <c r="N337" i="2"/>
  <c r="M354" i="2"/>
  <c r="N354" i="2"/>
  <c r="M282" i="2"/>
  <c r="N282" i="2"/>
  <c r="M293" i="2"/>
  <c r="N293" i="2"/>
  <c r="M4" i="8"/>
  <c r="J4" i="8"/>
  <c r="O4" i="8"/>
  <c r="I28" i="8"/>
  <c r="J28" i="8" s="1"/>
  <c r="M136" i="2"/>
  <c r="N136" i="2"/>
  <c r="M121" i="2"/>
  <c r="N121" i="2"/>
  <c r="M360" i="2"/>
  <c r="N360" i="2"/>
  <c r="J17" i="8"/>
  <c r="M17" i="8"/>
  <c r="N109" i="2"/>
  <c r="M109" i="2"/>
  <c r="N186" i="2"/>
  <c r="M186" i="2"/>
  <c r="N259" i="2"/>
  <c r="M259" i="2"/>
  <c r="N238" i="2"/>
  <c r="M238" i="2"/>
  <c r="M258" i="2"/>
  <c r="N258" i="2"/>
  <c r="P340" i="2"/>
  <c r="N325" i="2"/>
  <c r="P351" i="2"/>
  <c r="P346" i="2"/>
  <c r="P338" i="2"/>
  <c r="P353" i="2"/>
  <c r="P349" i="2"/>
  <c r="P344" i="2"/>
  <c r="P330" i="2"/>
  <c r="P325" i="2"/>
  <c r="P354" i="2"/>
  <c r="P326" i="2"/>
  <c r="P332" i="2"/>
  <c r="P342" i="2"/>
  <c r="P339" i="2"/>
  <c r="P329" i="2"/>
  <c r="P333" i="2"/>
  <c r="P345" i="2"/>
  <c r="P337" i="2"/>
  <c r="P350" i="2"/>
  <c r="M325" i="2"/>
  <c r="P343" i="2"/>
  <c r="P331" i="2"/>
  <c r="P352" i="2"/>
  <c r="N353" i="2"/>
  <c r="M353" i="2"/>
  <c r="M329" i="2"/>
  <c r="N329" i="2"/>
  <c r="P289" i="2"/>
  <c r="P280" i="2"/>
  <c r="P269" i="2"/>
  <c r="N265" i="2"/>
  <c r="P288" i="2"/>
  <c r="P282" i="2"/>
  <c r="P267" i="2"/>
  <c r="P293" i="2"/>
  <c r="P283" i="2"/>
  <c r="P291" i="2"/>
  <c r="P279" i="2"/>
  <c r="M265" i="2"/>
  <c r="P287" i="2"/>
  <c r="P275" i="2"/>
  <c r="P266" i="2"/>
  <c r="P274" i="2"/>
  <c r="P270" i="2"/>
  <c r="P268" i="2"/>
  <c r="P273" i="2"/>
  <c r="P290" i="2"/>
  <c r="P281" i="2"/>
  <c r="P276" i="2"/>
  <c r="P272" i="2"/>
  <c r="P284" i="2"/>
  <c r="P265" i="2"/>
  <c r="M291" i="2"/>
  <c r="N291" i="2"/>
  <c r="M275" i="2"/>
  <c r="N275" i="2"/>
  <c r="M5" i="8"/>
  <c r="J5" i="8"/>
  <c r="N115" i="2"/>
  <c r="M115" i="2"/>
  <c r="M123" i="2"/>
  <c r="N123" i="2"/>
  <c r="M134" i="2"/>
  <c r="N134" i="2"/>
  <c r="B10" i="5"/>
  <c r="C9" i="5"/>
  <c r="L9" i="5" s="1"/>
  <c r="M92" i="2"/>
  <c r="N92" i="2"/>
  <c r="M380" i="2"/>
  <c r="N380" i="2"/>
  <c r="M300" i="2"/>
  <c r="N300" i="2"/>
  <c r="M27" i="8"/>
  <c r="J27" i="8"/>
  <c r="N218" i="2"/>
  <c r="M218" i="2"/>
  <c r="N219" i="2"/>
  <c r="M219" i="2"/>
  <c r="N213" i="2"/>
  <c r="M213" i="2"/>
  <c r="N59" i="2"/>
  <c r="M59" i="2"/>
  <c r="N164" i="2"/>
  <c r="M164" i="2"/>
  <c r="N144" i="2"/>
  <c r="M144" i="2"/>
  <c r="N149" i="2"/>
  <c r="M149" i="2"/>
  <c r="M361" i="2"/>
  <c r="N361" i="2"/>
  <c r="M373" i="2"/>
  <c r="N373" i="2"/>
  <c r="M358" i="2"/>
  <c r="N358" i="2"/>
  <c r="L341" i="3"/>
  <c r="L333" i="3"/>
  <c r="L325" i="3"/>
  <c r="L348" i="3"/>
  <c r="L340" i="3"/>
  <c r="L332" i="3"/>
  <c r="L352" i="3"/>
  <c r="L344" i="3"/>
  <c r="L336" i="3"/>
  <c r="L346" i="3"/>
  <c r="L334" i="3"/>
  <c r="L351" i="3"/>
  <c r="L345" i="3"/>
  <c r="L339" i="3"/>
  <c r="L353" i="3"/>
  <c r="L347" i="3"/>
  <c r="L330" i="3"/>
  <c r="L326" i="3"/>
  <c r="L337" i="3"/>
  <c r="L329" i="3"/>
  <c r="L354" i="3"/>
  <c r="L331" i="3"/>
  <c r="L338" i="3"/>
  <c r="L327" i="3"/>
  <c r="AC15" i="3"/>
  <c r="M106" i="2"/>
  <c r="N106" i="2"/>
  <c r="N99" i="2"/>
  <c r="M99" i="2"/>
  <c r="M100" i="2"/>
  <c r="N100" i="2"/>
  <c r="L197" i="3"/>
  <c r="L189" i="3"/>
  <c r="L196" i="3"/>
  <c r="L177" i="3"/>
  <c r="L186" i="3"/>
  <c r="L185" i="3"/>
  <c r="L184" i="3"/>
  <c r="L176" i="3"/>
  <c r="L178" i="3"/>
  <c r="L192" i="3"/>
  <c r="L179" i="3"/>
  <c r="L172" i="3"/>
  <c r="L201" i="3"/>
  <c r="L191" i="3"/>
  <c r="L182" i="3"/>
  <c r="L200" i="3"/>
  <c r="L194" i="3"/>
  <c r="L190" i="3"/>
  <c r="L175" i="3"/>
  <c r="L187" i="3"/>
  <c r="L180" i="3"/>
  <c r="L173" i="3"/>
  <c r="L199" i="3"/>
  <c r="L193" i="3"/>
  <c r="L198" i="3"/>
  <c r="L183" i="3"/>
  <c r="AC10" i="3"/>
  <c r="N296" i="2"/>
  <c r="M296" i="2"/>
  <c r="N310" i="2"/>
  <c r="M310" i="2"/>
  <c r="N304" i="2"/>
  <c r="M304" i="2"/>
  <c r="N231" i="2"/>
  <c r="M231" i="2"/>
  <c r="N210" i="2"/>
  <c r="M210" i="2"/>
  <c r="N225" i="2"/>
  <c r="M225" i="2"/>
  <c r="O20" i="8"/>
  <c r="J20" i="8"/>
  <c r="M20" i="8"/>
  <c r="N41" i="2"/>
  <c r="M41" i="2"/>
  <c r="M36" i="2"/>
  <c r="N36" i="2"/>
  <c r="L229" i="3"/>
  <c r="L221" i="3"/>
  <c r="L213" i="3"/>
  <c r="L205" i="3"/>
  <c r="L227" i="3"/>
  <c r="L215" i="3"/>
  <c r="L206" i="3"/>
  <c r="L228" i="3"/>
  <c r="L218" i="3"/>
  <c r="L217" i="3"/>
  <c r="L207" i="3"/>
  <c r="L224" i="3"/>
  <c r="L204" i="3"/>
  <c r="L226" i="3"/>
  <c r="L225" i="3"/>
  <c r="L214" i="3"/>
  <c r="L220" i="3"/>
  <c r="L219" i="3"/>
  <c r="L203" i="3"/>
  <c r="L232" i="3"/>
  <c r="L231" i="3"/>
  <c r="L212" i="3"/>
  <c r="L211" i="3"/>
  <c r="L210" i="3"/>
  <c r="L208" i="3"/>
  <c r="AC11" i="3"/>
  <c r="N77" i="2"/>
  <c r="M77" i="2"/>
  <c r="N72" i="2"/>
  <c r="M72" i="2"/>
  <c r="M63" i="2"/>
  <c r="N63" i="2"/>
  <c r="M142" i="2"/>
  <c r="N142" i="2"/>
  <c r="N151" i="2"/>
  <c r="M151" i="2"/>
  <c r="M157" i="2"/>
  <c r="N157" i="2"/>
  <c r="N181" i="2"/>
  <c r="M181" i="2"/>
  <c r="N172" i="2"/>
  <c r="P200" i="2"/>
  <c r="P199" i="2"/>
  <c r="P198" i="2"/>
  <c r="P197" i="2"/>
  <c r="P196" i="2"/>
  <c r="P195" i="2"/>
  <c r="P193" i="2"/>
  <c r="P192" i="2"/>
  <c r="P191" i="2"/>
  <c r="P190" i="2"/>
  <c r="P185" i="2"/>
  <c r="P181" i="2"/>
  <c r="P172" i="2"/>
  <c r="P177" i="2"/>
  <c r="M172" i="2"/>
  <c r="P183" i="2"/>
  <c r="P188" i="2"/>
  <c r="P179" i="2"/>
  <c r="P175" i="2"/>
  <c r="P189" i="2"/>
  <c r="P178" i="2"/>
  <c r="P176" i="2"/>
  <c r="P174" i="2"/>
  <c r="P182" i="2"/>
  <c r="P186" i="2"/>
  <c r="P184" i="2"/>
  <c r="N176" i="2"/>
  <c r="M176" i="2"/>
  <c r="N252" i="2"/>
  <c r="M252" i="2"/>
  <c r="N237" i="2"/>
  <c r="M237" i="2"/>
  <c r="N240" i="2"/>
  <c r="M240" i="2"/>
  <c r="M262" i="2"/>
  <c r="N262" i="2"/>
  <c r="N342" i="2"/>
  <c r="M342" i="2"/>
  <c r="M338" i="2"/>
  <c r="N338" i="2"/>
  <c r="M333" i="2"/>
  <c r="N333" i="2"/>
  <c r="N268" i="2"/>
  <c r="M268" i="2"/>
  <c r="N273" i="2"/>
  <c r="M273" i="2"/>
  <c r="M280" i="2"/>
  <c r="N280" i="2"/>
  <c r="E28" i="2"/>
  <c r="Y29" i="2"/>
  <c r="N122" i="2"/>
  <c r="M122" i="2"/>
  <c r="M132" i="2"/>
  <c r="N132" i="2"/>
  <c r="M112" i="2"/>
  <c r="N112" i="2"/>
  <c r="N97" i="2"/>
  <c r="M97" i="2"/>
  <c r="M374" i="2"/>
  <c r="N374" i="2"/>
  <c r="L50" i="3"/>
  <c r="L47" i="3"/>
  <c r="L36" i="3"/>
  <c r="L33" i="3"/>
  <c r="L42" i="3"/>
  <c r="L45" i="3"/>
  <c r="L37" i="3"/>
  <c r="L32" i="3"/>
  <c r="L29" i="3"/>
  <c r="L46" i="3"/>
  <c r="L39" i="3"/>
  <c r="L49" i="3"/>
  <c r="L30" i="3"/>
  <c r="L44" i="3"/>
  <c r="L26" i="3"/>
  <c r="L24" i="3"/>
  <c r="L35" i="3"/>
  <c r="L40" i="3"/>
  <c r="L38" i="3"/>
  <c r="L31" i="3"/>
  <c r="L28" i="3"/>
  <c r="AC5" i="3"/>
  <c r="N34" i="2"/>
  <c r="M34" i="2"/>
  <c r="P78" i="2"/>
  <c r="P55" i="2"/>
  <c r="P53" i="2"/>
  <c r="P76" i="2"/>
  <c r="P74" i="2"/>
  <c r="P72" i="2"/>
  <c r="P70" i="2"/>
  <c r="P66" i="2"/>
  <c r="P64" i="2"/>
  <c r="P60" i="2"/>
  <c r="P58" i="2"/>
  <c r="P56" i="2"/>
  <c r="P79" i="2"/>
  <c r="P77" i="2"/>
  <c r="P52" i="2"/>
  <c r="P73" i="2"/>
  <c r="P71" i="2"/>
  <c r="N52" i="2"/>
  <c r="P69" i="2"/>
  <c r="P67" i="2"/>
  <c r="P65" i="2"/>
  <c r="P63" i="2"/>
  <c r="M52" i="2"/>
  <c r="P59" i="2"/>
  <c r="P57" i="2"/>
  <c r="N170" i="2"/>
  <c r="M170" i="2"/>
  <c r="N175" i="2"/>
  <c r="M175" i="2"/>
  <c r="J23" i="8"/>
  <c r="M23" i="8"/>
  <c r="N379" i="2"/>
  <c r="M379" i="2"/>
  <c r="N364" i="2"/>
  <c r="M364" i="2"/>
  <c r="M371" i="2"/>
  <c r="N371" i="2"/>
  <c r="J15" i="8"/>
  <c r="M15" i="8"/>
  <c r="N81" i="2"/>
  <c r="M81" i="2"/>
  <c r="P109" i="2"/>
  <c r="P108" i="2"/>
  <c r="P107" i="2"/>
  <c r="P106" i="2"/>
  <c r="P105" i="2"/>
  <c r="P99" i="2"/>
  <c r="P104" i="2"/>
  <c r="P94" i="2"/>
  <c r="P95" i="2"/>
  <c r="P91" i="2"/>
  <c r="P80" i="2"/>
  <c r="P100" i="2"/>
  <c r="P92" i="2"/>
  <c r="P90" i="2"/>
  <c r="N80" i="2"/>
  <c r="P97" i="2"/>
  <c r="M80" i="2"/>
  <c r="P102" i="2"/>
  <c r="P93" i="2"/>
  <c r="P87" i="2"/>
  <c r="P85" i="2"/>
  <c r="P98" i="2"/>
  <c r="P83" i="2"/>
  <c r="P81" i="2"/>
  <c r="P101" i="2"/>
  <c r="P88" i="2"/>
  <c r="P86" i="2"/>
  <c r="P84" i="2"/>
  <c r="N101" i="2"/>
  <c r="M101" i="2"/>
  <c r="M102" i="2"/>
  <c r="N102" i="2"/>
  <c r="N308" i="2"/>
  <c r="M308" i="2"/>
  <c r="M318" i="2"/>
  <c r="N318" i="2"/>
  <c r="N309" i="2"/>
  <c r="M309" i="2"/>
  <c r="N202" i="2"/>
  <c r="P232" i="2"/>
  <c r="P231" i="2"/>
  <c r="P230" i="2"/>
  <c r="P228" i="2"/>
  <c r="P227" i="2"/>
  <c r="P226" i="2"/>
  <c r="P225" i="2"/>
  <c r="P221" i="2"/>
  <c r="P220" i="2"/>
  <c r="P219" i="2"/>
  <c r="P218" i="2"/>
  <c r="P217" i="2"/>
  <c r="P216" i="2"/>
  <c r="P214" i="2"/>
  <c r="P213" i="2"/>
  <c r="P212" i="2"/>
  <c r="P211" i="2"/>
  <c r="P210" i="2"/>
  <c r="P209" i="2"/>
  <c r="P207" i="2"/>
  <c r="P206" i="2"/>
  <c r="P205" i="2"/>
  <c r="P204" i="2"/>
  <c r="P203" i="2"/>
  <c r="P202" i="2"/>
  <c r="M202" i="2"/>
  <c r="N206" i="2"/>
  <c r="M206" i="2"/>
  <c r="N212" i="2"/>
  <c r="M212" i="2"/>
  <c r="N227" i="2"/>
  <c r="M227" i="2"/>
  <c r="M21" i="8"/>
  <c r="J21" i="8"/>
  <c r="N31" i="2"/>
  <c r="M31" i="2"/>
  <c r="N43" i="2"/>
  <c r="M43" i="2"/>
  <c r="M38" i="2"/>
  <c r="N38" i="2"/>
  <c r="N79" i="2"/>
  <c r="M79" i="2"/>
  <c r="N74" i="2"/>
  <c r="M74" i="2"/>
  <c r="M65" i="2"/>
  <c r="N65" i="2"/>
  <c r="N143" i="2"/>
  <c r="M143" i="2"/>
  <c r="N155" i="2"/>
  <c r="M155" i="2"/>
  <c r="M154" i="2"/>
  <c r="N154" i="2"/>
  <c r="M165" i="2"/>
  <c r="N165" i="2"/>
  <c r="N190" i="2"/>
  <c r="M190" i="2"/>
  <c r="N174" i="2"/>
  <c r="M174" i="2"/>
  <c r="N189" i="2"/>
  <c r="M189" i="2"/>
  <c r="N234" i="2"/>
  <c r="M234" i="2"/>
  <c r="N239" i="2"/>
  <c r="M239" i="2"/>
  <c r="N242" i="2"/>
  <c r="M242" i="2"/>
  <c r="L106" i="3"/>
  <c r="L105" i="3"/>
  <c r="L108" i="3"/>
  <c r="L101" i="3"/>
  <c r="L93" i="3"/>
  <c r="L96" i="3"/>
  <c r="L85" i="3"/>
  <c r="L82" i="3"/>
  <c r="L110" i="3"/>
  <c r="L91" i="3"/>
  <c r="L88" i="3"/>
  <c r="L94" i="3"/>
  <c r="L80" i="3"/>
  <c r="L109" i="3"/>
  <c r="L103" i="3"/>
  <c r="L100" i="3"/>
  <c r="L86" i="3"/>
  <c r="L92" i="3"/>
  <c r="L89" i="3"/>
  <c r="L102" i="3"/>
  <c r="L95" i="3"/>
  <c r="L84" i="3"/>
  <c r="L81" i="3"/>
  <c r="L107" i="3"/>
  <c r="L87" i="3"/>
  <c r="AC7" i="3"/>
  <c r="N349" i="2"/>
  <c r="M349" i="2"/>
  <c r="N351" i="2"/>
  <c r="M351" i="2"/>
  <c r="M343" i="2"/>
  <c r="N343" i="2"/>
  <c r="N272" i="2"/>
  <c r="M272" i="2"/>
  <c r="M274" i="2"/>
  <c r="N274" i="2"/>
  <c r="M284" i="2"/>
  <c r="N284" i="2"/>
  <c r="N126" i="2"/>
  <c r="M126" i="2"/>
  <c r="N133" i="2"/>
  <c r="M133" i="2"/>
  <c r="N116" i="2"/>
  <c r="M116" i="2"/>
  <c r="N366" i="2"/>
  <c r="M366" i="2"/>
  <c r="M356" i="2"/>
  <c r="P378" i="2"/>
  <c r="P365" i="2"/>
  <c r="P372" i="2"/>
  <c r="P363" i="2"/>
  <c r="P367" i="2"/>
  <c r="P382" i="2"/>
  <c r="P359" i="2"/>
  <c r="N356" i="2"/>
  <c r="P380" i="2"/>
  <c r="P379" i="2"/>
  <c r="P360" i="2"/>
  <c r="P364" i="2"/>
  <c r="P371" i="2"/>
  <c r="P375" i="2"/>
  <c r="P368" i="2"/>
  <c r="P373" i="2"/>
  <c r="P357" i="2"/>
  <c r="P377" i="2"/>
  <c r="P361" i="2"/>
  <c r="P381" i="2"/>
  <c r="P366" i="2"/>
  <c r="P358" i="2"/>
  <c r="P370" i="2"/>
  <c r="P374" i="2"/>
  <c r="P356" i="2"/>
  <c r="M367" i="2"/>
  <c r="N367" i="2"/>
  <c r="J16" i="8"/>
  <c r="O16" i="8"/>
  <c r="M16" i="8"/>
  <c r="L169" i="3"/>
  <c r="L161" i="3"/>
  <c r="L145" i="3"/>
  <c r="L168" i="3"/>
  <c r="L152" i="3"/>
  <c r="L144" i="3"/>
  <c r="L170" i="3"/>
  <c r="L162" i="3"/>
  <c r="L154" i="3"/>
  <c r="L155" i="3"/>
  <c r="L151" i="3"/>
  <c r="L149" i="3"/>
  <c r="L143" i="3"/>
  <c r="L141" i="3"/>
  <c r="L163" i="3"/>
  <c r="L159" i="3"/>
  <c r="L157" i="3"/>
  <c r="L171" i="3"/>
  <c r="L150" i="3"/>
  <c r="L142" i="3"/>
  <c r="L158" i="3"/>
  <c r="L156" i="3"/>
  <c r="L166" i="3"/>
  <c r="L165" i="3"/>
  <c r="L164" i="3"/>
  <c r="AC9" i="3"/>
  <c r="N87" i="2"/>
  <c r="M87" i="2"/>
  <c r="G26" i="2"/>
  <c r="Z27" i="2"/>
  <c r="M95" i="2"/>
  <c r="N95" i="2"/>
  <c r="N98" i="2"/>
  <c r="M98" i="2"/>
  <c r="N305" i="2"/>
  <c r="M305" i="2"/>
  <c r="O6" i="8"/>
  <c r="M6" i="8"/>
  <c r="J6" i="8"/>
  <c r="N39" i="2"/>
  <c r="M39" i="2"/>
  <c r="N70" i="2"/>
  <c r="M70" i="2"/>
  <c r="N191" i="2"/>
  <c r="M191" i="2"/>
  <c r="L79" i="3"/>
  <c r="L71" i="3"/>
  <c r="L68" i="3"/>
  <c r="L57" i="3"/>
  <c r="L54" i="3"/>
  <c r="L66" i="3"/>
  <c r="L52" i="3"/>
  <c r="L78" i="3"/>
  <c r="L75" i="3"/>
  <c r="L64" i="3"/>
  <c r="L61" i="3"/>
  <c r="L70" i="3"/>
  <c r="L67" i="3"/>
  <c r="L56" i="3"/>
  <c r="L53" i="3"/>
  <c r="L73" i="3"/>
  <c r="L58" i="3"/>
  <c r="L60" i="3"/>
  <c r="L63" i="3"/>
  <c r="L77" i="3"/>
  <c r="L72" i="3"/>
  <c r="L65" i="3"/>
  <c r="L59" i="3"/>
  <c r="L51" i="3"/>
  <c r="L74" i="3"/>
  <c r="AC6" i="3"/>
  <c r="M22" i="8"/>
  <c r="J22" i="8"/>
  <c r="O22" i="8"/>
  <c r="N372" i="2"/>
  <c r="M372" i="2"/>
  <c r="N368" i="2"/>
  <c r="M368" i="2"/>
  <c r="N375" i="2"/>
  <c r="M375" i="2"/>
  <c r="M14" i="8"/>
  <c r="J14" i="8"/>
  <c r="O14" i="8"/>
  <c r="N83" i="2"/>
  <c r="M83" i="2"/>
  <c r="M90" i="2"/>
  <c r="N90" i="2"/>
  <c r="N105" i="2"/>
  <c r="M105" i="2"/>
  <c r="N104" i="2"/>
  <c r="M104" i="2"/>
  <c r="M314" i="2"/>
  <c r="N314" i="2"/>
  <c r="N321" i="2"/>
  <c r="M321" i="2"/>
  <c r="M322" i="2"/>
  <c r="N322" i="2"/>
  <c r="N216" i="2"/>
  <c r="M216" i="2"/>
  <c r="N220" i="2"/>
  <c r="M220" i="2"/>
  <c r="N214" i="2"/>
  <c r="M214" i="2"/>
  <c r="N29" i="2"/>
  <c r="M29" i="2"/>
  <c r="N45" i="2"/>
  <c r="M45" i="2"/>
  <c r="M40" i="2"/>
  <c r="N40" i="2"/>
  <c r="N56" i="2"/>
  <c r="M56" i="2"/>
  <c r="N76" i="2"/>
  <c r="M76" i="2"/>
  <c r="M67" i="2"/>
  <c r="N67" i="2"/>
  <c r="M153" i="2"/>
  <c r="N153" i="2"/>
  <c r="N156" i="2"/>
  <c r="M156" i="2"/>
  <c r="N160" i="2"/>
  <c r="M160" i="2"/>
  <c r="N183" i="2"/>
  <c r="M183" i="2"/>
  <c r="N178" i="2"/>
  <c r="M178" i="2"/>
  <c r="N196" i="2"/>
  <c r="M196" i="2"/>
  <c r="M254" i="2"/>
  <c r="N254" i="2"/>
  <c r="N241" i="2"/>
  <c r="M241" i="2"/>
  <c r="N245" i="2"/>
  <c r="M245" i="2"/>
  <c r="M339" i="2"/>
  <c r="N339" i="2"/>
  <c r="N326" i="2"/>
  <c r="M326" i="2"/>
  <c r="N352" i="2"/>
  <c r="M352" i="2"/>
  <c r="N290" i="2"/>
  <c r="M290" i="2"/>
  <c r="M287" i="2"/>
  <c r="N287" i="2"/>
  <c r="M289" i="2"/>
  <c r="N289" i="2"/>
  <c r="N118" i="2"/>
  <c r="M118" i="2"/>
  <c r="N135" i="2"/>
  <c r="M135" i="2"/>
  <c r="N113" i="2"/>
  <c r="M113" i="2"/>
  <c r="N125" i="2"/>
  <c r="M125" i="2"/>
  <c r="O8" i="8"/>
  <c r="M8" i="8"/>
  <c r="J8" i="8"/>
  <c r="N359" i="2"/>
  <c r="M359" i="2"/>
  <c r="N377" i="2"/>
  <c r="M377" i="2"/>
  <c r="N365" i="2"/>
  <c r="M365" i="2"/>
  <c r="O24" i="8"/>
  <c r="J24" i="8"/>
  <c r="M24" i="8"/>
  <c r="B4" i="4" a="1"/>
  <c r="B4" i="4" s="1"/>
  <c r="G27" i="3"/>
  <c r="Z28" i="3"/>
  <c r="M94" i="2"/>
  <c r="N94" i="2"/>
  <c r="N84" i="2"/>
  <c r="M84" i="2"/>
  <c r="N91" i="2"/>
  <c r="M91" i="2"/>
  <c r="N323" i="2"/>
  <c r="M323" i="2"/>
  <c r="M298" i="2"/>
  <c r="N298" i="2"/>
  <c r="P317" i="2"/>
  <c r="P295" i="2"/>
  <c r="M294" i="2"/>
  <c r="P319" i="2"/>
  <c r="P315" i="2"/>
  <c r="P321" i="2"/>
  <c r="P312" i="2"/>
  <c r="P308" i="2"/>
  <c r="P303" i="2"/>
  <c r="N294" i="2"/>
  <c r="P309" i="2"/>
  <c r="P304" i="2"/>
  <c r="P296" i="2"/>
  <c r="P298" i="2"/>
  <c r="P323" i="2"/>
  <c r="P314" i="2"/>
  <c r="P311" i="2"/>
  <c r="P301" i="2"/>
  <c r="P324" i="2"/>
  <c r="P300" i="2"/>
  <c r="P297" i="2"/>
  <c r="P294" i="2"/>
  <c r="P310" i="2"/>
  <c r="P318" i="2"/>
  <c r="P322" i="2"/>
  <c r="P316" i="2"/>
  <c r="P305" i="2"/>
  <c r="P302" i="2"/>
  <c r="M302" i="2"/>
  <c r="N302" i="2"/>
  <c r="N232" i="2"/>
  <c r="M232" i="2"/>
  <c r="N203" i="2"/>
  <c r="M203" i="2"/>
  <c r="N226" i="2"/>
  <c r="M226" i="2"/>
  <c r="AA27" i="3"/>
  <c r="E26" i="3"/>
  <c r="N27" i="2"/>
  <c r="M27" i="2"/>
  <c r="U37" i="2"/>
  <c r="P34" i="2"/>
  <c r="U39" i="2"/>
  <c r="U377" i="2"/>
  <c r="U310" i="2"/>
  <c r="U163" i="2"/>
  <c r="U366" i="2"/>
  <c r="U308" i="2"/>
  <c r="U359" i="2"/>
  <c r="U252" i="2"/>
  <c r="U282" i="2"/>
  <c r="U228" i="2"/>
  <c r="U183" i="2"/>
  <c r="U128" i="2"/>
  <c r="U295" i="2"/>
  <c r="U107" i="2"/>
  <c r="U300" i="2"/>
  <c r="U242" i="2"/>
  <c r="U209" i="2"/>
  <c r="U130" i="2"/>
  <c r="U297" i="2"/>
  <c r="U309" i="2"/>
  <c r="U174" i="2"/>
  <c r="U266" i="2"/>
  <c r="U121" i="2"/>
  <c r="U149" i="2"/>
  <c r="P51" i="2"/>
  <c r="P43" i="2"/>
  <c r="U116" i="2"/>
  <c r="U123" i="2"/>
  <c r="P39" i="2"/>
  <c r="P31" i="2"/>
  <c r="U118" i="2"/>
  <c r="U221" i="2"/>
  <c r="U78" i="2"/>
  <c r="U315" i="2"/>
  <c r="U136" i="2"/>
  <c r="U45" i="2"/>
  <c r="U95" i="2"/>
  <c r="U125" i="2"/>
  <c r="U30" i="2"/>
  <c r="U368" i="2"/>
  <c r="U305" i="2"/>
  <c r="U155" i="2"/>
  <c r="U353" i="2"/>
  <c r="U303" i="2"/>
  <c r="U337" i="2"/>
  <c r="U358" i="2"/>
  <c r="U275" i="2"/>
  <c r="U226" i="2"/>
  <c r="U170" i="2"/>
  <c r="U115" i="2"/>
  <c r="U284" i="2"/>
  <c r="U382" i="2"/>
  <c r="U294" i="2"/>
  <c r="U240" i="2"/>
  <c r="U200" i="2"/>
  <c r="U126" i="2"/>
  <c r="U293" i="2"/>
  <c r="U290" i="2"/>
  <c r="U169" i="2"/>
  <c r="U263" i="2"/>
  <c r="U329" i="2"/>
  <c r="U114" i="2"/>
  <c r="U50" i="2"/>
  <c r="U42" i="2"/>
  <c r="U105" i="2"/>
  <c r="U106" i="2"/>
  <c r="U38" i="2"/>
  <c r="U317" i="2"/>
  <c r="U109" i="2"/>
  <c r="U202" i="2"/>
  <c r="U55" i="2"/>
  <c r="U304" i="2"/>
  <c r="U90" i="2"/>
  <c r="P44" i="2"/>
  <c r="U92" i="2"/>
  <c r="U112" i="2"/>
  <c r="U31" i="2"/>
  <c r="U364" i="2"/>
  <c r="U301" i="2"/>
  <c r="U147" i="2"/>
  <c r="U349" i="2"/>
  <c r="U380" i="2"/>
  <c r="U318" i="2"/>
  <c r="U345" i="2"/>
  <c r="U258" i="2"/>
  <c r="U214" i="2"/>
  <c r="U162" i="2"/>
  <c r="U111" i="2"/>
  <c r="U268" i="2"/>
  <c r="U356" i="2"/>
  <c r="U287" i="2"/>
  <c r="U238" i="2"/>
  <c r="U198" i="2"/>
  <c r="U113" i="2"/>
  <c r="U171" i="2"/>
  <c r="U272" i="2"/>
  <c r="U122" i="2"/>
  <c r="U186" i="2"/>
  <c r="U259" i="2"/>
  <c r="U93" i="2"/>
  <c r="P49" i="2"/>
  <c r="U220" i="2"/>
  <c r="U98" i="2"/>
  <c r="U69" i="2"/>
  <c r="P37" i="2"/>
  <c r="U234" i="2"/>
  <c r="U88" i="2"/>
  <c r="U193" i="2"/>
  <c r="U53" i="2"/>
  <c r="U298" i="2"/>
  <c r="U76" i="2"/>
  <c r="U43" i="2"/>
  <c r="U66" i="2"/>
  <c r="U100" i="2"/>
  <c r="U56" i="2"/>
  <c r="U351" i="2"/>
  <c r="U288" i="2"/>
  <c r="U374" i="2"/>
  <c r="U344" i="2"/>
  <c r="U367" i="2"/>
  <c r="U314" i="2"/>
  <c r="U343" i="2"/>
  <c r="U248" i="2"/>
  <c r="U212" i="2"/>
  <c r="U156" i="2"/>
  <c r="U104" i="2"/>
  <c r="U188" i="2"/>
  <c r="U352" i="2"/>
  <c r="U267" i="2"/>
  <c r="U236" i="2"/>
  <c r="U196" i="2"/>
  <c r="U99" i="2"/>
  <c r="U160" i="2"/>
  <c r="U253" i="2"/>
  <c r="U102" i="2"/>
  <c r="U184" i="2"/>
  <c r="U233" i="2"/>
  <c r="U83" i="2"/>
  <c r="U27" i="2"/>
  <c r="U192" i="2"/>
  <c r="U73" i="2"/>
  <c r="U67" i="2"/>
  <c r="U36" i="2"/>
  <c r="U218" i="2"/>
  <c r="U86" i="2"/>
  <c r="U132" i="2"/>
  <c r="U51" i="2"/>
  <c r="U281" i="2"/>
  <c r="U74" i="2"/>
  <c r="P42" i="2"/>
  <c r="U64" i="2"/>
  <c r="U97" i="2"/>
  <c r="U35" i="2"/>
  <c r="U346" i="2"/>
  <c r="U283" i="2"/>
  <c r="U370" i="2"/>
  <c r="U330" i="2"/>
  <c r="U363" i="2"/>
  <c r="U296" i="2"/>
  <c r="U331" i="2"/>
  <c r="U246" i="2"/>
  <c r="U210" i="2"/>
  <c r="U153" i="2"/>
  <c r="U94" i="2"/>
  <c r="U179" i="2"/>
  <c r="U338" i="2"/>
  <c r="U262" i="2"/>
  <c r="U227" i="2"/>
  <c r="U185" i="2"/>
  <c r="U289" i="2"/>
  <c r="U157" i="2"/>
  <c r="U273" i="2"/>
  <c r="U360" i="2"/>
  <c r="U182" i="2"/>
  <c r="U217" i="2"/>
  <c r="U81" i="2"/>
  <c r="U48" i="2"/>
  <c r="U165" i="2"/>
  <c r="U71" i="2"/>
  <c r="U65" i="2"/>
  <c r="P35" i="2"/>
  <c r="U207" i="2"/>
  <c r="U84" i="2"/>
  <c r="U129" i="2"/>
  <c r="P50" i="2"/>
  <c r="U232" i="2"/>
  <c r="U72" i="2"/>
  <c r="U219" i="2"/>
  <c r="U339" i="2"/>
  <c r="U87" i="2"/>
  <c r="U60" i="2"/>
  <c r="U58" i="2"/>
  <c r="U28" i="2"/>
  <c r="U342" i="2"/>
  <c r="U279" i="2"/>
  <c r="U361" i="2"/>
  <c r="U325" i="2"/>
  <c r="U354" i="2"/>
  <c r="U269" i="2"/>
  <c r="U324" i="2"/>
  <c r="U241" i="2"/>
  <c r="U199" i="2"/>
  <c r="U150" i="2"/>
  <c r="U371" i="2"/>
  <c r="U175" i="2"/>
  <c r="U333" i="2"/>
  <c r="U255" i="2"/>
  <c r="U225" i="2"/>
  <c r="U181" i="2"/>
  <c r="U280" i="2"/>
  <c r="U127" i="2"/>
  <c r="U254" i="2"/>
  <c r="U326" i="2"/>
  <c r="U164" i="2"/>
  <c r="U206" i="2"/>
  <c r="U79" i="2"/>
  <c r="U46" i="2"/>
  <c r="U161" i="2"/>
  <c r="U231" i="2"/>
  <c r="U63" i="2"/>
  <c r="U59" i="2"/>
  <c r="U190" i="2"/>
  <c r="U378" i="2"/>
  <c r="U101" i="2"/>
  <c r="U49" i="2"/>
  <c r="U216" i="2"/>
  <c r="U70" i="2"/>
  <c r="U191" i="2"/>
  <c r="U276" i="2"/>
  <c r="U85" i="2"/>
  <c r="U29" i="2"/>
  <c r="P40" i="2"/>
  <c r="U332" i="2"/>
  <c r="U274" i="2"/>
  <c r="U357" i="2"/>
  <c r="U321" i="2"/>
  <c r="U350" i="2"/>
  <c r="U265" i="2"/>
  <c r="U302" i="2"/>
  <c r="U239" i="2"/>
  <c r="U197" i="2"/>
  <c r="U143" i="2"/>
  <c r="U340" i="2"/>
  <c r="U133" i="2"/>
  <c r="U322" i="2"/>
  <c r="U247" i="2"/>
  <c r="U213" i="2"/>
  <c r="U172" i="2"/>
  <c r="U177" i="2"/>
  <c r="U119" i="2"/>
  <c r="U178" i="2"/>
  <c r="U311" i="2"/>
  <c r="U144" i="2"/>
  <c r="U189" i="2"/>
  <c r="U77" i="2"/>
  <c r="P45" i="2"/>
  <c r="U158" i="2"/>
  <c r="U204" i="2"/>
  <c r="P41" i="2"/>
  <c r="U57" i="2"/>
  <c r="U151" i="2"/>
  <c r="U373" i="2"/>
  <c r="U91" i="2"/>
  <c r="P27" i="2"/>
  <c r="U205" i="2"/>
  <c r="P48" i="2"/>
  <c r="U135" i="2"/>
  <c r="U230" i="2"/>
  <c r="P29" i="2"/>
  <c r="P30" i="2"/>
  <c r="U41" i="2"/>
  <c r="P28" i="2"/>
  <c r="P38" i="2"/>
  <c r="U381" i="2"/>
  <c r="U323" i="2"/>
  <c r="U261" i="2"/>
  <c r="U379" i="2"/>
  <c r="U312" i="2"/>
  <c r="U372" i="2"/>
  <c r="U256" i="2"/>
  <c r="U291" i="2"/>
  <c r="U237" i="2"/>
  <c r="U195" i="2"/>
  <c r="U140" i="2"/>
  <c r="U316" i="2"/>
  <c r="U120" i="2"/>
  <c r="U319" i="2"/>
  <c r="U245" i="2"/>
  <c r="U211" i="2"/>
  <c r="U168" i="2"/>
  <c r="U365" i="2"/>
  <c r="U108" i="2"/>
  <c r="U176" i="2"/>
  <c r="U270" i="2"/>
  <c r="U137" i="2"/>
  <c r="U167" i="2"/>
  <c r="U52" i="2"/>
  <c r="U44" i="2"/>
  <c r="U148" i="2"/>
  <c r="U142" i="2"/>
  <c r="U40" i="2"/>
  <c r="U34" i="2"/>
  <c r="U141" i="2"/>
  <c r="U260" i="2"/>
  <c r="U80" i="2"/>
  <c r="U375" i="2"/>
  <c r="U154" i="2"/>
  <c r="P46" i="2"/>
  <c r="U134" i="2"/>
  <c r="U203" i="2"/>
  <c r="P36" i="2"/>
  <c r="N49" i="2"/>
  <c r="M49" i="2"/>
  <c r="N42" i="2"/>
  <c r="M42" i="2"/>
  <c r="J10" i="8"/>
  <c r="M10" i="8"/>
  <c r="O10" i="8"/>
  <c r="N58" i="2"/>
  <c r="M58" i="2"/>
  <c r="N78" i="2"/>
  <c r="M78" i="2"/>
  <c r="M69" i="2"/>
  <c r="N69" i="2"/>
  <c r="M162" i="2"/>
  <c r="N162" i="2"/>
  <c r="M158" i="2"/>
  <c r="N158" i="2"/>
  <c r="N163" i="2"/>
  <c r="M163" i="2"/>
  <c r="N185" i="2"/>
  <c r="M185" i="2"/>
  <c r="N195" i="2"/>
  <c r="M195" i="2"/>
  <c r="N198" i="2"/>
  <c r="M198" i="2"/>
  <c r="N246" i="2"/>
  <c r="M246" i="2"/>
  <c r="N247" i="2"/>
  <c r="M247" i="2"/>
  <c r="D68" i="1"/>
  <c r="D56" i="1"/>
  <c r="D47" i="1"/>
  <c r="D66" i="1"/>
  <c r="D55" i="1"/>
  <c r="D45" i="1"/>
  <c r="D65" i="1"/>
  <c r="D54" i="1"/>
  <c r="D44" i="1"/>
  <c r="D63" i="1"/>
  <c r="D51" i="1"/>
  <c r="D42" i="1"/>
  <c r="D59" i="1"/>
  <c r="D50" i="1"/>
  <c r="D69" i="1"/>
  <c r="D64" i="1"/>
  <c r="D41" i="1"/>
  <c r="D58" i="1"/>
  <c r="D49" i="1"/>
  <c r="D70" i="1"/>
  <c r="D71" i="1"/>
  <c r="D52" i="1"/>
  <c r="D62" i="1"/>
  <c r="D57" i="1"/>
  <c r="D48" i="1"/>
  <c r="D43" i="1"/>
  <c r="N330" i="2"/>
  <c r="M330" i="2"/>
  <c r="M331" i="2"/>
  <c r="N331" i="2"/>
  <c r="N283" i="2"/>
  <c r="M283" i="2"/>
  <c r="N276" i="2"/>
  <c r="M276" i="2"/>
  <c r="M267" i="2"/>
  <c r="N267" i="2"/>
  <c r="M119" i="2"/>
  <c r="N119" i="2"/>
  <c r="M137" i="2"/>
  <c r="N137" i="2"/>
  <c r="N130" i="2"/>
  <c r="M130" i="2"/>
  <c r="M129" i="2"/>
  <c r="N129" i="2"/>
  <c r="J9" i="8"/>
  <c r="M9" i="8"/>
  <c r="L277" i="3"/>
  <c r="L269" i="3"/>
  <c r="L291" i="3"/>
  <c r="L283" i="3"/>
  <c r="L275" i="3"/>
  <c r="L287" i="3"/>
  <c r="L271" i="3"/>
  <c r="L282" i="3"/>
  <c r="L268" i="3"/>
  <c r="L274" i="3"/>
  <c r="L288" i="3"/>
  <c r="L270" i="3"/>
  <c r="L267" i="3"/>
  <c r="L264" i="3"/>
  <c r="L292" i="3"/>
  <c r="L273" i="3"/>
  <c r="L266" i="3"/>
  <c r="L284" i="3"/>
  <c r="L280" i="3"/>
  <c r="L281" i="3"/>
  <c r="L276" i="3"/>
  <c r="L289" i="3"/>
  <c r="L290" i="3"/>
  <c r="AC13" i="3"/>
  <c r="M370" i="2"/>
  <c r="N370" i="2"/>
  <c r="N381" i="2"/>
  <c r="M381" i="2"/>
  <c r="N378" i="2"/>
  <c r="M378" i="2"/>
  <c r="M25" i="8"/>
  <c r="J25" i="8"/>
  <c r="B5" i="4" a="1"/>
  <c r="B5" i="4" s="1"/>
  <c r="N107" i="2"/>
  <c r="M107" i="2"/>
  <c r="M108" i="2"/>
  <c r="N108" i="2"/>
  <c r="L381" i="3"/>
  <c r="L373" i="3"/>
  <c r="L365" i="3"/>
  <c r="L357" i="3"/>
  <c r="L380" i="3"/>
  <c r="L364" i="3"/>
  <c r="L376" i="3"/>
  <c r="L368" i="3"/>
  <c r="L360" i="3"/>
  <c r="L383" i="3"/>
  <c r="L375" i="3"/>
  <c r="L367" i="3"/>
  <c r="L359" i="3"/>
  <c r="L355" i="3"/>
  <c r="L379" i="3"/>
  <c r="L369" i="3"/>
  <c r="L366" i="3"/>
  <c r="L362" i="3"/>
  <c r="L361" i="3"/>
  <c r="L378" i="3"/>
  <c r="L377" i="3"/>
  <c r="L374" i="3"/>
  <c r="L382" i="3"/>
  <c r="L358" i="3"/>
  <c r="AC16" i="3"/>
  <c r="N301" i="2"/>
  <c r="M301" i="2"/>
  <c r="N312" i="2"/>
  <c r="M312" i="2"/>
  <c r="M297" i="2"/>
  <c r="N297" i="2"/>
  <c r="M311" i="2"/>
  <c r="N311" i="2"/>
  <c r="N207" i="2"/>
  <c r="M207" i="2"/>
  <c r="N217" i="2"/>
  <c r="M217" i="2"/>
  <c r="N228" i="2"/>
  <c r="M228" i="2"/>
  <c r="J19" i="8"/>
  <c r="M19" i="8"/>
  <c r="N50" i="2"/>
  <c r="M50" i="2"/>
  <c r="N51" i="2"/>
  <c r="M51" i="2"/>
  <c r="N44" i="2"/>
  <c r="M44" i="2"/>
  <c r="J11" i="8"/>
  <c r="M11" i="8"/>
  <c r="N60" i="2"/>
  <c r="M60" i="2"/>
  <c r="N53" i="2"/>
  <c r="M53" i="2"/>
  <c r="M150" i="2"/>
  <c r="N150" i="2"/>
  <c r="N161" i="2"/>
  <c r="M161" i="2"/>
  <c r="N167" i="2"/>
  <c r="M167" i="2"/>
  <c r="N179" i="2"/>
  <c r="M179" i="2"/>
  <c r="N192" i="2"/>
  <c r="M192" i="2"/>
  <c r="N197" i="2"/>
  <c r="M197" i="2"/>
  <c r="N200" i="2"/>
  <c r="M200" i="2"/>
  <c r="P255" i="2"/>
  <c r="N233" i="2"/>
  <c r="P263" i="2"/>
  <c r="P259" i="2"/>
  <c r="P248" i="2"/>
  <c r="P247" i="2"/>
  <c r="P246" i="2"/>
  <c r="P245" i="2"/>
  <c r="P242" i="2"/>
  <c r="P241" i="2"/>
  <c r="P240" i="2"/>
  <c r="P239" i="2"/>
  <c r="P238" i="2"/>
  <c r="P237" i="2"/>
  <c r="P236" i="2"/>
  <c r="P234" i="2"/>
  <c r="P233" i="2"/>
  <c r="P260" i="2"/>
  <c r="P253" i="2"/>
  <c r="P256" i="2"/>
  <c r="P261" i="2"/>
  <c r="P252" i="2"/>
  <c r="M233" i="2"/>
  <c r="P262" i="2"/>
  <c r="P254" i="2"/>
  <c r="P258" i="2"/>
  <c r="N248" i="2"/>
  <c r="M248" i="2"/>
  <c r="M255" i="2"/>
  <c r="N255" i="2"/>
  <c r="N344" i="2"/>
  <c r="M344" i="2"/>
  <c r="M345" i="2"/>
  <c r="N345" i="2"/>
  <c r="N279" i="2"/>
  <c r="M279" i="2"/>
  <c r="N288" i="2"/>
  <c r="M288" i="2"/>
  <c r="M266" i="2"/>
  <c r="N266" i="2"/>
  <c r="N128" i="2"/>
  <c r="M128" i="2"/>
  <c r="P135" i="2"/>
  <c r="P134" i="2"/>
  <c r="P133" i="2"/>
  <c r="P132" i="2"/>
  <c r="P130" i="2"/>
  <c r="P129" i="2"/>
  <c r="P128" i="2"/>
  <c r="P127" i="2"/>
  <c r="P126" i="2"/>
  <c r="P125" i="2"/>
  <c r="P123" i="2"/>
  <c r="P122" i="2"/>
  <c r="P121" i="2"/>
  <c r="P120" i="2"/>
  <c r="P119" i="2"/>
  <c r="P118" i="2"/>
  <c r="P116" i="2"/>
  <c r="P115" i="2"/>
  <c r="P114" i="2"/>
  <c r="P113" i="2"/>
  <c r="P112" i="2"/>
  <c r="P111" i="2"/>
  <c r="N111" i="2"/>
  <c r="M111" i="2"/>
  <c r="N114" i="2"/>
  <c r="M114" i="2"/>
  <c r="N86" i="2"/>
  <c r="M86" i="2"/>
  <c r="L324" i="3"/>
  <c r="L309" i="3"/>
  <c r="L301" i="3"/>
  <c r="L318" i="3"/>
  <c r="L315" i="3"/>
  <c r="L299" i="3"/>
  <c r="L311" i="3"/>
  <c r="L303" i="3"/>
  <c r="L295" i="3"/>
  <c r="L310" i="3"/>
  <c r="L302" i="3"/>
  <c r="L294" i="3"/>
  <c r="L320" i="3"/>
  <c r="L319" i="3"/>
  <c r="L317" i="3"/>
  <c r="L316" i="3"/>
  <c r="L313" i="3"/>
  <c r="L306" i="3"/>
  <c r="L322" i="3"/>
  <c r="L323" i="3"/>
  <c r="L305" i="3"/>
  <c r="L304" i="3"/>
  <c r="L296" i="3"/>
  <c r="L312" i="3"/>
  <c r="L297" i="3"/>
  <c r="L298" i="3"/>
  <c r="AC14" i="3"/>
  <c r="M357" i="2"/>
  <c r="N357" i="2"/>
  <c r="M363" i="2"/>
  <c r="N363" i="2"/>
  <c r="N382" i="2"/>
  <c r="M382" i="2"/>
  <c r="N85" i="2"/>
  <c r="M85" i="2"/>
  <c r="N88" i="2"/>
  <c r="M88" i="2"/>
  <c r="N93" i="2"/>
  <c r="M93" i="2"/>
  <c r="M13" i="8"/>
  <c r="J13" i="8"/>
  <c r="N303" i="2"/>
  <c r="M303" i="2"/>
  <c r="M316" i="2"/>
  <c r="N316" i="2"/>
  <c r="N315" i="2"/>
  <c r="M315" i="2"/>
  <c r="M324" i="2"/>
  <c r="N324" i="2"/>
  <c r="N221" i="2"/>
  <c r="M221" i="2"/>
  <c r="N230" i="2"/>
  <c r="M230" i="2"/>
  <c r="N209" i="2"/>
  <c r="M209" i="2"/>
  <c r="L261" i="3"/>
  <c r="L253" i="3"/>
  <c r="L263" i="3"/>
  <c r="L255" i="3"/>
  <c r="L262" i="3"/>
  <c r="L259" i="3"/>
  <c r="L238" i="3"/>
  <c r="L250" i="3"/>
  <c r="L239" i="3"/>
  <c r="L252" i="3"/>
  <c r="L235" i="3"/>
  <c r="L236" i="3"/>
  <c r="L257" i="3"/>
  <c r="L241" i="3"/>
  <c r="L240" i="3"/>
  <c r="L260" i="3"/>
  <c r="L234" i="3"/>
  <c r="L233" i="3"/>
  <c r="L256" i="3"/>
  <c r="L254" i="3"/>
  <c r="L243" i="3"/>
  <c r="L242" i="3"/>
  <c r="AC12" i="3"/>
  <c r="J18" i="8"/>
  <c r="O18" i="8"/>
  <c r="M18" i="8"/>
  <c r="N35" i="2"/>
  <c r="M35" i="2"/>
  <c r="N28" i="2"/>
  <c r="M28" i="2"/>
  <c r="N46" i="2"/>
  <c r="M46" i="2"/>
  <c r="N64" i="2"/>
  <c r="M64" i="2"/>
  <c r="N55" i="2"/>
  <c r="M55" i="2"/>
  <c r="N71" i="2"/>
  <c r="M71" i="2"/>
  <c r="N168" i="2"/>
  <c r="M168" i="2"/>
  <c r="N169" i="2"/>
  <c r="M169" i="2"/>
  <c r="N171" i="2"/>
  <c r="M171" i="2"/>
  <c r="N188" i="2"/>
  <c r="M188" i="2"/>
  <c r="N177" i="2"/>
  <c r="M177" i="2"/>
  <c r="N199" i="2"/>
  <c r="M199" i="2"/>
  <c r="N184" i="2"/>
  <c r="M184" i="2"/>
  <c r="N263" i="2"/>
  <c r="M263" i="2"/>
  <c r="M261" i="2"/>
  <c r="N261" i="2"/>
  <c r="N260" i="2"/>
  <c r="M260" i="2"/>
  <c r="N332" i="2"/>
  <c r="M332" i="2"/>
  <c r="N346" i="2"/>
  <c r="M346" i="2"/>
  <c r="M350" i="2"/>
  <c r="N350" i="2"/>
  <c r="N269" i="2"/>
  <c r="M269" i="2"/>
  <c r="N281" i="2"/>
  <c r="M281" i="2"/>
  <c r="M270" i="2"/>
  <c r="N270" i="2"/>
  <c r="N140" i="2"/>
  <c r="M140" i="2"/>
  <c r="M120" i="2"/>
  <c r="N120" i="2"/>
  <c r="M127" i="2"/>
  <c r="N127" i="2"/>
  <c r="W365" i="2" l="1"/>
  <c r="X365" i="2"/>
  <c r="X340" i="2"/>
  <c r="W340" i="2"/>
  <c r="X127" i="2"/>
  <c r="W127" i="2"/>
  <c r="X153" i="2"/>
  <c r="W153" i="2"/>
  <c r="X259" i="2"/>
  <c r="W259" i="2"/>
  <c r="X318" i="2"/>
  <c r="W318" i="2"/>
  <c r="W92" i="2"/>
  <c r="X92" i="2"/>
  <c r="X38" i="2"/>
  <c r="W38" i="2"/>
  <c r="W353" i="2"/>
  <c r="X353" i="2"/>
  <c r="X136" i="2"/>
  <c r="W136" i="2"/>
  <c r="X116" i="2"/>
  <c r="W116" i="2"/>
  <c r="W297" i="2"/>
  <c r="X297" i="2"/>
  <c r="W183" i="2"/>
  <c r="X183" i="2"/>
  <c r="X310" i="2"/>
  <c r="W310" i="2"/>
  <c r="AA28" i="3"/>
  <c r="E27" i="3"/>
  <c r="S297" i="2"/>
  <c r="R297" i="2"/>
  <c r="R296" i="2"/>
  <c r="S296" i="2"/>
  <c r="S315" i="2"/>
  <c r="R315" i="2"/>
  <c r="M60" i="3"/>
  <c r="N60" i="3"/>
  <c r="N64" i="3"/>
  <c r="M64" i="3"/>
  <c r="M71" i="3"/>
  <c r="N71" i="3"/>
  <c r="E57" i="5"/>
  <c r="E44" i="5"/>
  <c r="E65" i="5"/>
  <c r="E63" i="5"/>
  <c r="E49" i="5"/>
  <c r="E41" i="5"/>
  <c r="E38" i="5"/>
  <c r="E62" i="5"/>
  <c r="E46" i="5"/>
  <c r="E52" i="5"/>
  <c r="E64" i="5"/>
  <c r="E53" i="5"/>
  <c r="E58" i="5"/>
  <c r="E43" i="5"/>
  <c r="E39" i="5"/>
  <c r="E42" i="5"/>
  <c r="E56" i="5"/>
  <c r="E50" i="5"/>
  <c r="E55" i="5"/>
  <c r="E51" i="5"/>
  <c r="E60" i="5"/>
  <c r="E59" i="5"/>
  <c r="E45" i="5"/>
  <c r="N166" i="3"/>
  <c r="M166" i="3"/>
  <c r="N163" i="3"/>
  <c r="M163" i="3"/>
  <c r="N170" i="3"/>
  <c r="M170" i="3"/>
  <c r="S366" i="2"/>
  <c r="R366" i="2"/>
  <c r="S371" i="2"/>
  <c r="R371" i="2"/>
  <c r="S367" i="2"/>
  <c r="R367" i="2"/>
  <c r="N102" i="3"/>
  <c r="M102" i="3"/>
  <c r="N94" i="3"/>
  <c r="M94" i="3"/>
  <c r="M101" i="3"/>
  <c r="N101" i="3"/>
  <c r="R205" i="2"/>
  <c r="S205" i="2"/>
  <c r="S214" i="2"/>
  <c r="R214" i="2"/>
  <c r="R226" i="2"/>
  <c r="S226" i="2"/>
  <c r="S85" i="2"/>
  <c r="R85" i="2"/>
  <c r="R92" i="2"/>
  <c r="S92" i="2"/>
  <c r="S105" i="2"/>
  <c r="R105" i="2"/>
  <c r="N189" i="5"/>
  <c r="N172" i="5"/>
  <c r="N180" i="5"/>
  <c r="N188" i="5"/>
  <c r="N195" i="5"/>
  <c r="N191" i="5"/>
  <c r="N177" i="5"/>
  <c r="N183" i="5"/>
  <c r="N179" i="5"/>
  <c r="N193" i="5"/>
  <c r="N187" i="5"/>
  <c r="N186" i="5"/>
  <c r="N170" i="5"/>
  <c r="N194" i="5"/>
  <c r="N175" i="5"/>
  <c r="N196" i="5"/>
  <c r="N197" i="5"/>
  <c r="N190" i="5"/>
  <c r="N176" i="5"/>
  <c r="N173" i="5"/>
  <c r="N182" i="5"/>
  <c r="N184" i="5"/>
  <c r="N174" i="5"/>
  <c r="N198" i="5"/>
  <c r="N181" i="5"/>
  <c r="N325" i="5"/>
  <c r="N332" i="5"/>
  <c r="N331" i="5"/>
  <c r="N306" i="5"/>
  <c r="N313" i="5"/>
  <c r="N327" i="5"/>
  <c r="N321" i="5"/>
  <c r="N307" i="5"/>
  <c r="N329" i="5"/>
  <c r="N319" i="5"/>
  <c r="N305" i="5"/>
  <c r="N311" i="5"/>
  <c r="N315" i="5"/>
  <c r="N328" i="5"/>
  <c r="N334" i="5"/>
  <c r="N308" i="5"/>
  <c r="N312" i="5"/>
  <c r="N314" i="5"/>
  <c r="N333" i="5"/>
  <c r="N320" i="5"/>
  <c r="N322" i="5"/>
  <c r="N324" i="5"/>
  <c r="N304" i="5"/>
  <c r="N318" i="5"/>
  <c r="N326" i="5"/>
  <c r="N310" i="5"/>
  <c r="S63" i="2"/>
  <c r="R63" i="2"/>
  <c r="S77" i="2"/>
  <c r="R77" i="2"/>
  <c r="S72" i="2"/>
  <c r="R72" i="2"/>
  <c r="M44" i="3"/>
  <c r="N44" i="3"/>
  <c r="N45" i="3"/>
  <c r="M45" i="3"/>
  <c r="E29" i="2"/>
  <c r="Y30" i="2"/>
  <c r="S184" i="2"/>
  <c r="R184" i="2"/>
  <c r="S179" i="2"/>
  <c r="R179" i="2"/>
  <c r="R190" i="2"/>
  <c r="S190" i="2"/>
  <c r="S199" i="2"/>
  <c r="R199" i="2"/>
  <c r="N203" i="3"/>
  <c r="M203" i="3"/>
  <c r="P218" i="3"/>
  <c r="P217" i="3"/>
  <c r="P221" i="3"/>
  <c r="P214" i="3"/>
  <c r="P203" i="3"/>
  <c r="P224" i="3"/>
  <c r="P210" i="3"/>
  <c r="P207" i="3"/>
  <c r="P215" i="3"/>
  <c r="P204" i="3"/>
  <c r="P225" i="3"/>
  <c r="P231" i="3"/>
  <c r="P228" i="3"/>
  <c r="P205" i="3"/>
  <c r="P229" i="3"/>
  <c r="P208" i="3"/>
  <c r="P219" i="3"/>
  <c r="P232" i="3"/>
  <c r="P211" i="3"/>
  <c r="P220" i="3"/>
  <c r="P212" i="3"/>
  <c r="P226" i="3"/>
  <c r="P227" i="3"/>
  <c r="P206" i="3"/>
  <c r="P213" i="3"/>
  <c r="M207" i="3"/>
  <c r="N207" i="3"/>
  <c r="M213" i="3"/>
  <c r="N213" i="3"/>
  <c r="E291" i="5"/>
  <c r="E296" i="5"/>
  <c r="E298" i="5"/>
  <c r="E283" i="5"/>
  <c r="E277" i="5"/>
  <c r="E282" i="5"/>
  <c r="E289" i="5"/>
  <c r="E275" i="5"/>
  <c r="E288" i="5"/>
  <c r="E276" i="5"/>
  <c r="E294" i="5"/>
  <c r="E272" i="5"/>
  <c r="E280" i="5"/>
  <c r="E287" i="5"/>
  <c r="E286" i="5"/>
  <c r="E281" i="5"/>
  <c r="E290" i="5"/>
  <c r="E295" i="5"/>
  <c r="E297" i="5"/>
  <c r="E273" i="5"/>
  <c r="E274" i="5"/>
  <c r="E300" i="5"/>
  <c r="E279" i="5"/>
  <c r="N198" i="3"/>
  <c r="M198" i="3"/>
  <c r="N194" i="3"/>
  <c r="M194" i="3"/>
  <c r="N178" i="3"/>
  <c r="M178" i="3"/>
  <c r="N197" i="3"/>
  <c r="M197" i="3"/>
  <c r="M327" i="3"/>
  <c r="N327" i="3"/>
  <c r="N347" i="3"/>
  <c r="M347" i="3"/>
  <c r="M344" i="3"/>
  <c r="N344" i="3"/>
  <c r="S273" i="2"/>
  <c r="R273" i="2"/>
  <c r="S279" i="2"/>
  <c r="R279" i="2"/>
  <c r="R269" i="2"/>
  <c r="S269" i="2"/>
  <c r="S331" i="2"/>
  <c r="R331" i="2"/>
  <c r="R339" i="2"/>
  <c r="S339" i="2"/>
  <c r="S349" i="2"/>
  <c r="R349" i="2"/>
  <c r="N115" i="3"/>
  <c r="M115" i="3"/>
  <c r="N112" i="3"/>
  <c r="M112" i="3"/>
  <c r="P131" i="3"/>
  <c r="P119" i="3"/>
  <c r="P137" i="3"/>
  <c r="P129" i="3"/>
  <c r="P112" i="3"/>
  <c r="P138" i="3"/>
  <c r="P130" i="3"/>
  <c r="P136" i="3"/>
  <c r="P128" i="3"/>
  <c r="P114" i="3"/>
  <c r="P135" i="3"/>
  <c r="P123" i="3"/>
  <c r="P127" i="3"/>
  <c r="P120" i="3"/>
  <c r="P124" i="3"/>
  <c r="P113" i="3"/>
  <c r="P121" i="3"/>
  <c r="P116" i="3"/>
  <c r="P134" i="3"/>
  <c r="P115" i="3"/>
  <c r="P126" i="3"/>
  <c r="P133" i="3"/>
  <c r="P140" i="3"/>
  <c r="P117" i="3"/>
  <c r="P122" i="3"/>
  <c r="N138" i="3"/>
  <c r="M138" i="3"/>
  <c r="S170" i="2"/>
  <c r="R170" i="2"/>
  <c r="M312" i="3"/>
  <c r="N312" i="3"/>
  <c r="M380" i="3"/>
  <c r="N380" i="3"/>
  <c r="N266" i="3"/>
  <c r="M266" i="3"/>
  <c r="M268" i="3"/>
  <c r="N268" i="3"/>
  <c r="X154" i="2"/>
  <c r="W154" i="2"/>
  <c r="X323" i="2"/>
  <c r="W323" i="2"/>
  <c r="X357" i="2"/>
  <c r="W357" i="2"/>
  <c r="X70" i="2"/>
  <c r="W70" i="2"/>
  <c r="X279" i="2"/>
  <c r="W279" i="2"/>
  <c r="X71" i="2"/>
  <c r="W71" i="2"/>
  <c r="X157" i="2"/>
  <c r="W157" i="2"/>
  <c r="X51" i="2"/>
  <c r="W51" i="2"/>
  <c r="W248" i="2"/>
  <c r="X248" i="2"/>
  <c r="W287" i="2"/>
  <c r="X287" i="2"/>
  <c r="X169" i="2"/>
  <c r="W169" i="2"/>
  <c r="M254" i="3"/>
  <c r="N254" i="3"/>
  <c r="M236" i="3"/>
  <c r="N236" i="3"/>
  <c r="N255" i="3"/>
  <c r="M255" i="3"/>
  <c r="N301" i="3"/>
  <c r="M301" i="3"/>
  <c r="S119" i="2"/>
  <c r="R119" i="2"/>
  <c r="S233" i="2"/>
  <c r="R233" i="2"/>
  <c r="M282" i="3"/>
  <c r="N282" i="3"/>
  <c r="W375" i="2"/>
  <c r="X375" i="2"/>
  <c r="X44" i="2"/>
  <c r="W44" i="2"/>
  <c r="W381" i="2"/>
  <c r="X381" i="2"/>
  <c r="S48" i="2"/>
  <c r="R48" i="2"/>
  <c r="W119" i="2"/>
  <c r="X119" i="2"/>
  <c r="X274" i="2"/>
  <c r="W274" i="2"/>
  <c r="W280" i="2"/>
  <c r="X280" i="2"/>
  <c r="X199" i="2"/>
  <c r="W199" i="2"/>
  <c r="W232" i="2"/>
  <c r="X232" i="2"/>
  <c r="X165" i="2"/>
  <c r="W165" i="2"/>
  <c r="W210" i="2"/>
  <c r="X210" i="2"/>
  <c r="X132" i="2"/>
  <c r="W132" i="2"/>
  <c r="W343" i="2"/>
  <c r="X343" i="2"/>
  <c r="W234" i="2"/>
  <c r="X234" i="2"/>
  <c r="X356" i="2"/>
  <c r="W356" i="2"/>
  <c r="S44" i="2"/>
  <c r="R44" i="2"/>
  <c r="W106" i="2"/>
  <c r="X106" i="2"/>
  <c r="W115" i="2"/>
  <c r="X115" i="2"/>
  <c r="W315" i="2"/>
  <c r="X315" i="2"/>
  <c r="S43" i="2"/>
  <c r="R43" i="2"/>
  <c r="W130" i="2"/>
  <c r="X130" i="2"/>
  <c r="W377" i="2"/>
  <c r="X377" i="2"/>
  <c r="S302" i="2"/>
  <c r="R302" i="2"/>
  <c r="S300" i="2"/>
  <c r="R300" i="2"/>
  <c r="S304" i="2"/>
  <c r="R304" i="2"/>
  <c r="R319" i="2"/>
  <c r="S319" i="2"/>
  <c r="N74" i="3"/>
  <c r="M74" i="3"/>
  <c r="M58" i="3"/>
  <c r="N58" i="3"/>
  <c r="N75" i="3"/>
  <c r="M75" i="3"/>
  <c r="N79" i="3"/>
  <c r="M79" i="3"/>
  <c r="E232" i="5"/>
  <c r="E219" i="5"/>
  <c r="E229" i="5"/>
  <c r="E213" i="5"/>
  <c r="E227" i="5"/>
  <c r="E218" i="5"/>
  <c r="E211" i="5"/>
  <c r="E221" i="5"/>
  <c r="E207" i="5"/>
  <c r="E205" i="5"/>
  <c r="E222" i="5"/>
  <c r="E204" i="5"/>
  <c r="E206" i="5"/>
  <c r="E210" i="5"/>
  <c r="E226" i="5"/>
  <c r="E203" i="5"/>
  <c r="E215" i="5"/>
  <c r="E220" i="5"/>
  <c r="E214" i="5"/>
  <c r="E208" i="5"/>
  <c r="E217" i="5"/>
  <c r="E228" i="5"/>
  <c r="E212" i="5"/>
  <c r="E231" i="5"/>
  <c r="E233" i="5"/>
  <c r="S381" i="2"/>
  <c r="R381" i="2"/>
  <c r="R364" i="2"/>
  <c r="S364" i="2"/>
  <c r="S363" i="2"/>
  <c r="R363" i="2"/>
  <c r="N89" i="3"/>
  <c r="M89" i="3"/>
  <c r="N88" i="3"/>
  <c r="M88" i="3"/>
  <c r="N108" i="3"/>
  <c r="M108" i="3"/>
  <c r="S206" i="2"/>
  <c r="R206" i="2"/>
  <c r="R216" i="2"/>
  <c r="S216" i="2"/>
  <c r="S227" i="2"/>
  <c r="R227" i="2"/>
  <c r="R84" i="2"/>
  <c r="S84" i="2"/>
  <c r="S87" i="2"/>
  <c r="R87" i="2"/>
  <c r="R100" i="2"/>
  <c r="S100" i="2"/>
  <c r="S106" i="2"/>
  <c r="R106" i="2"/>
  <c r="S65" i="2"/>
  <c r="R65" i="2"/>
  <c r="S79" i="2"/>
  <c r="R79" i="2"/>
  <c r="S74" i="2"/>
  <c r="R74" i="2"/>
  <c r="M28" i="3"/>
  <c r="N28" i="3"/>
  <c r="N30" i="3"/>
  <c r="M30" i="3"/>
  <c r="M42" i="3"/>
  <c r="N42" i="3"/>
  <c r="R186" i="2"/>
  <c r="S186" i="2"/>
  <c r="R188" i="2"/>
  <c r="S188" i="2"/>
  <c r="S191" i="2"/>
  <c r="R191" i="2"/>
  <c r="R200" i="2"/>
  <c r="S200" i="2"/>
  <c r="N219" i="3"/>
  <c r="M219" i="3"/>
  <c r="M217" i="3"/>
  <c r="N217" i="3"/>
  <c r="N221" i="3"/>
  <c r="M221" i="3"/>
  <c r="N193" i="3"/>
  <c r="M193" i="3"/>
  <c r="N200" i="3"/>
  <c r="M200" i="3"/>
  <c r="M176" i="3"/>
  <c r="N176" i="3"/>
  <c r="N338" i="3"/>
  <c r="M338" i="3"/>
  <c r="M353" i="3"/>
  <c r="N353" i="3"/>
  <c r="N352" i="3"/>
  <c r="M352" i="3"/>
  <c r="S268" i="2"/>
  <c r="R268" i="2"/>
  <c r="S291" i="2"/>
  <c r="R291" i="2"/>
  <c r="R280" i="2"/>
  <c r="S280" i="2"/>
  <c r="S343" i="2"/>
  <c r="R343" i="2"/>
  <c r="S342" i="2"/>
  <c r="R342" i="2"/>
  <c r="S353" i="2"/>
  <c r="R353" i="2"/>
  <c r="N116" i="3"/>
  <c r="M116" i="3"/>
  <c r="N127" i="3"/>
  <c r="M127" i="3"/>
  <c r="M120" i="3"/>
  <c r="N120" i="3"/>
  <c r="S168" i="2"/>
  <c r="R168" i="2"/>
  <c r="M252" i="3"/>
  <c r="N252" i="3"/>
  <c r="N297" i="3"/>
  <c r="M297" i="3"/>
  <c r="N313" i="3"/>
  <c r="M313" i="3"/>
  <c r="M324" i="3"/>
  <c r="N324" i="3"/>
  <c r="S112" i="2"/>
  <c r="R112" i="2"/>
  <c r="R121" i="2"/>
  <c r="S121" i="2"/>
  <c r="S130" i="2"/>
  <c r="R130" i="2"/>
  <c r="R236" i="2"/>
  <c r="S236" i="2"/>
  <c r="R246" i="2"/>
  <c r="S246" i="2"/>
  <c r="N362" i="3"/>
  <c r="M362" i="3"/>
  <c r="M383" i="3"/>
  <c r="N383" i="3"/>
  <c r="N373" i="3"/>
  <c r="M373" i="3"/>
  <c r="M303" i="3"/>
  <c r="N303" i="3"/>
  <c r="N243" i="3"/>
  <c r="M243" i="3"/>
  <c r="N257" i="3"/>
  <c r="M257" i="3"/>
  <c r="M262" i="3"/>
  <c r="N262" i="3"/>
  <c r="N323" i="3"/>
  <c r="M323" i="3"/>
  <c r="P319" i="3"/>
  <c r="P306" i="3"/>
  <c r="P298" i="3"/>
  <c r="P322" i="3"/>
  <c r="P312" i="3"/>
  <c r="P304" i="3"/>
  <c r="P296" i="3"/>
  <c r="P317" i="3"/>
  <c r="P316" i="3"/>
  <c r="M294" i="3"/>
  <c r="P324" i="3"/>
  <c r="P318" i="3"/>
  <c r="P315" i="3"/>
  <c r="P299" i="3"/>
  <c r="P309" i="3"/>
  <c r="P302" i="3"/>
  <c r="P294" i="3"/>
  <c r="P313" i="3"/>
  <c r="N294" i="3"/>
  <c r="P305" i="3"/>
  <c r="P323" i="3"/>
  <c r="P320" i="3"/>
  <c r="P310" i="3"/>
  <c r="P303" i="3"/>
  <c r="P295" i="3"/>
  <c r="P297" i="3"/>
  <c r="P301" i="3"/>
  <c r="P311" i="3"/>
  <c r="N318" i="3"/>
  <c r="M318" i="3"/>
  <c r="S118" i="2"/>
  <c r="R118" i="2"/>
  <c r="S127" i="2"/>
  <c r="R127" i="2"/>
  <c r="R258" i="2"/>
  <c r="S258" i="2"/>
  <c r="S260" i="2"/>
  <c r="R260" i="2"/>
  <c r="R241" i="2"/>
  <c r="S241" i="2"/>
  <c r="M377" i="3"/>
  <c r="N377" i="3"/>
  <c r="M359" i="3"/>
  <c r="N359" i="3"/>
  <c r="N277" i="3"/>
  <c r="M277" i="3"/>
  <c r="X148" i="2"/>
  <c r="W148" i="2"/>
  <c r="X195" i="2"/>
  <c r="W195" i="2"/>
  <c r="X135" i="2"/>
  <c r="W135" i="2"/>
  <c r="S41" i="2"/>
  <c r="R41" i="2"/>
  <c r="X178" i="2"/>
  <c r="W178" i="2"/>
  <c r="W231" i="2"/>
  <c r="X231" i="2"/>
  <c r="W150" i="2"/>
  <c r="X150" i="2"/>
  <c r="X72" i="2"/>
  <c r="W72" i="2"/>
  <c r="X283" i="2"/>
  <c r="W283" i="2"/>
  <c r="X27" i="2"/>
  <c r="W27" i="2"/>
  <c r="W196" i="2"/>
  <c r="X196" i="2"/>
  <c r="W56" i="2"/>
  <c r="X56" i="2"/>
  <c r="X88" i="2"/>
  <c r="W88" i="2"/>
  <c r="X284" i="2"/>
  <c r="W284" i="2"/>
  <c r="N322" i="3"/>
  <c r="M322" i="3"/>
  <c r="M302" i="3"/>
  <c r="N302" i="3"/>
  <c r="S128" i="2"/>
  <c r="R128" i="2"/>
  <c r="S254" i="2"/>
  <c r="R254" i="2"/>
  <c r="R242" i="2"/>
  <c r="S242" i="2"/>
  <c r="S255" i="2"/>
  <c r="R255" i="2"/>
  <c r="N378" i="3"/>
  <c r="M378" i="3"/>
  <c r="M367" i="3"/>
  <c r="N367" i="3"/>
  <c r="M357" i="3"/>
  <c r="N357" i="3"/>
  <c r="N352" i="5"/>
  <c r="N344" i="5"/>
  <c r="N362" i="5"/>
  <c r="N338" i="5"/>
  <c r="N343" i="5"/>
  <c r="N367" i="5"/>
  <c r="N339" i="5"/>
  <c r="F5" i="4" a="1"/>
  <c r="F5" i="4" s="1"/>
  <c r="N364" i="5"/>
  <c r="N342" i="5"/>
  <c r="N345" i="5"/>
  <c r="N356" i="5"/>
  <c r="N353" i="5"/>
  <c r="N358" i="5"/>
  <c r="N350" i="5"/>
  <c r="N357" i="5"/>
  <c r="N355" i="5"/>
  <c r="N365" i="5"/>
  <c r="N366" i="5"/>
  <c r="N351" i="5"/>
  <c r="N346" i="5"/>
  <c r="N359" i="5"/>
  <c r="N363" i="5"/>
  <c r="N273" i="3"/>
  <c r="M273" i="3"/>
  <c r="X168" i="2"/>
  <c r="W168" i="2"/>
  <c r="X237" i="2"/>
  <c r="W237" i="2"/>
  <c r="W204" i="2"/>
  <c r="X204" i="2"/>
  <c r="X143" i="2"/>
  <c r="W143" i="2"/>
  <c r="W216" i="2"/>
  <c r="X216" i="2"/>
  <c r="X161" i="2"/>
  <c r="W161" i="2"/>
  <c r="W342" i="2"/>
  <c r="X342" i="2"/>
  <c r="W289" i="2"/>
  <c r="X289" i="2"/>
  <c r="X346" i="2"/>
  <c r="W346" i="2"/>
  <c r="W83" i="2"/>
  <c r="X83" i="2"/>
  <c r="X236" i="2"/>
  <c r="W236" i="2"/>
  <c r="W100" i="2"/>
  <c r="X100" i="2"/>
  <c r="W186" i="2"/>
  <c r="X186" i="2"/>
  <c r="X380" i="2"/>
  <c r="W380" i="2"/>
  <c r="X290" i="2"/>
  <c r="W290" i="2"/>
  <c r="X155" i="2"/>
  <c r="W155" i="2"/>
  <c r="W228" i="2"/>
  <c r="X228" i="2"/>
  <c r="G27" i="2"/>
  <c r="Z28" i="2"/>
  <c r="N156" i="3"/>
  <c r="M156" i="3"/>
  <c r="P166" i="3"/>
  <c r="P158" i="3"/>
  <c r="P150" i="3"/>
  <c r="P142" i="3"/>
  <c r="P165" i="3"/>
  <c r="P157" i="3"/>
  <c r="P149" i="3"/>
  <c r="P141" i="3"/>
  <c r="P159" i="3"/>
  <c r="P151" i="3"/>
  <c r="P143" i="3"/>
  <c r="M141" i="3"/>
  <c r="P171" i="3"/>
  <c r="P169" i="3"/>
  <c r="P154" i="3"/>
  <c r="P145" i="3"/>
  <c r="P164" i="3"/>
  <c r="P170" i="3"/>
  <c r="P168" i="3"/>
  <c r="P155" i="3"/>
  <c r="P152" i="3"/>
  <c r="P144" i="3"/>
  <c r="P163" i="3"/>
  <c r="P161" i="3"/>
  <c r="N141" i="3"/>
  <c r="P162" i="3"/>
  <c r="P156" i="3"/>
  <c r="M144" i="3"/>
  <c r="N144" i="3"/>
  <c r="N256" i="3"/>
  <c r="M256" i="3"/>
  <c r="N235" i="3"/>
  <c r="M235" i="3"/>
  <c r="N263" i="3"/>
  <c r="M263" i="3"/>
  <c r="M298" i="3"/>
  <c r="N298" i="3"/>
  <c r="M306" i="3"/>
  <c r="N306" i="3"/>
  <c r="M310" i="3"/>
  <c r="N310" i="3"/>
  <c r="N309" i="3"/>
  <c r="M309" i="3"/>
  <c r="S111" i="2"/>
  <c r="R111" i="2"/>
  <c r="S120" i="2"/>
  <c r="R120" i="2"/>
  <c r="S129" i="2"/>
  <c r="R129" i="2"/>
  <c r="R262" i="2"/>
  <c r="S262" i="2"/>
  <c r="R234" i="2"/>
  <c r="S234" i="2"/>
  <c r="S245" i="2"/>
  <c r="R245" i="2"/>
  <c r="M361" i="3"/>
  <c r="N361" i="3"/>
  <c r="M375" i="3"/>
  <c r="N375" i="3"/>
  <c r="N365" i="3"/>
  <c r="M365" i="3"/>
  <c r="M290" i="3"/>
  <c r="N290" i="3"/>
  <c r="M292" i="3"/>
  <c r="N292" i="3"/>
  <c r="N271" i="3"/>
  <c r="M271" i="3"/>
  <c r="N94" i="5"/>
  <c r="N74" i="5"/>
  <c r="N90" i="5"/>
  <c r="N96" i="5"/>
  <c r="N77" i="5"/>
  <c r="N93" i="5"/>
  <c r="N88" i="5"/>
  <c r="N73" i="5"/>
  <c r="N75" i="5"/>
  <c r="N72" i="5"/>
  <c r="N79" i="5"/>
  <c r="N80" i="5"/>
  <c r="N98" i="5"/>
  <c r="N83" i="5"/>
  <c r="N89" i="5"/>
  <c r="N87" i="5"/>
  <c r="N81" i="5"/>
  <c r="N69" i="5"/>
  <c r="N95" i="5"/>
  <c r="N86" i="5"/>
  <c r="N84" i="5"/>
  <c r="N97" i="5"/>
  <c r="N76" i="5"/>
  <c r="N91" i="5"/>
  <c r="N70" i="5"/>
  <c r="N82" i="5"/>
  <c r="X80" i="2"/>
  <c r="W80" i="2"/>
  <c r="X52" i="2"/>
  <c r="W52" i="2"/>
  <c r="X211" i="2"/>
  <c r="W211" i="2"/>
  <c r="W291" i="2"/>
  <c r="X291" i="2"/>
  <c r="S38" i="2"/>
  <c r="R38" i="2"/>
  <c r="W205" i="2"/>
  <c r="X205" i="2"/>
  <c r="W158" i="2"/>
  <c r="X158" i="2"/>
  <c r="W177" i="2"/>
  <c r="X177" i="2"/>
  <c r="X197" i="2"/>
  <c r="W197" i="2"/>
  <c r="X332" i="2"/>
  <c r="W332" i="2"/>
  <c r="X49" i="2"/>
  <c r="W49" i="2"/>
  <c r="X46" i="2"/>
  <c r="W46" i="2"/>
  <c r="W181" i="2"/>
  <c r="X181" i="2"/>
  <c r="W241" i="2"/>
  <c r="X241" i="2"/>
  <c r="X28" i="2"/>
  <c r="W28" i="2"/>
  <c r="S50" i="2"/>
  <c r="R50" i="2"/>
  <c r="X48" i="2"/>
  <c r="W48" i="2"/>
  <c r="W185" i="2"/>
  <c r="X185" i="2"/>
  <c r="X246" i="2"/>
  <c r="W246" i="2"/>
  <c r="X35" i="2"/>
  <c r="W35" i="2"/>
  <c r="X86" i="2"/>
  <c r="W86" i="2"/>
  <c r="W233" i="2"/>
  <c r="X233" i="2"/>
  <c r="W267" i="2"/>
  <c r="X267" i="2"/>
  <c r="X314" i="2"/>
  <c r="W314" i="2"/>
  <c r="X66" i="2"/>
  <c r="W66" i="2"/>
  <c r="S37" i="2"/>
  <c r="R37" i="2"/>
  <c r="W122" i="2"/>
  <c r="X122" i="2"/>
  <c r="X268" i="2"/>
  <c r="W268" i="2"/>
  <c r="X349" i="2"/>
  <c r="W349" i="2"/>
  <c r="X90" i="2"/>
  <c r="W90" i="2"/>
  <c r="X105" i="2"/>
  <c r="W105" i="2"/>
  <c r="W293" i="2"/>
  <c r="X293" i="2"/>
  <c r="W170" i="2"/>
  <c r="X170" i="2"/>
  <c r="W305" i="2"/>
  <c r="X305" i="2"/>
  <c r="X78" i="2"/>
  <c r="W78" i="2"/>
  <c r="R51" i="2"/>
  <c r="S51" i="2"/>
  <c r="X209" i="2"/>
  <c r="W209" i="2"/>
  <c r="W282" i="2"/>
  <c r="X282" i="2"/>
  <c r="X39" i="2"/>
  <c r="W39" i="2"/>
  <c r="R305" i="2"/>
  <c r="S305" i="2"/>
  <c r="S324" i="2"/>
  <c r="R324" i="2"/>
  <c r="S309" i="2"/>
  <c r="R309" i="2"/>
  <c r="P72" i="3"/>
  <c r="P58" i="3"/>
  <c r="P70" i="3"/>
  <c r="P67" i="3"/>
  <c r="P56" i="3"/>
  <c r="P53" i="3"/>
  <c r="P79" i="3"/>
  <c r="P65" i="3"/>
  <c r="P51" i="3"/>
  <c r="P71" i="3"/>
  <c r="P68" i="3"/>
  <c r="P57" i="3"/>
  <c r="P54" i="3"/>
  <c r="N51" i="3"/>
  <c r="P77" i="3"/>
  <c r="P74" i="3"/>
  <c r="P75" i="3"/>
  <c r="P60" i="3"/>
  <c r="P52" i="3"/>
  <c r="P63" i="3"/>
  <c r="P66" i="3"/>
  <c r="P59" i="3"/>
  <c r="M51" i="3"/>
  <c r="P61" i="3"/>
  <c r="P78" i="3"/>
  <c r="P73" i="3"/>
  <c r="P64" i="3"/>
  <c r="N73" i="3"/>
  <c r="M73" i="3"/>
  <c r="N78" i="3"/>
  <c r="M78" i="3"/>
  <c r="N158" i="3"/>
  <c r="M158" i="3"/>
  <c r="N143" i="3"/>
  <c r="M143" i="3"/>
  <c r="M152" i="3"/>
  <c r="N152" i="3"/>
  <c r="R361" i="2"/>
  <c r="S361" i="2"/>
  <c r="S360" i="2"/>
  <c r="R360" i="2"/>
  <c r="R372" i="2"/>
  <c r="S372" i="2"/>
  <c r="N92" i="3"/>
  <c r="M92" i="3"/>
  <c r="N91" i="3"/>
  <c r="M91" i="3"/>
  <c r="M105" i="3"/>
  <c r="N105" i="3"/>
  <c r="R207" i="2"/>
  <c r="S207" i="2"/>
  <c r="S217" i="2"/>
  <c r="R217" i="2"/>
  <c r="S228" i="2"/>
  <c r="R228" i="2"/>
  <c r="S86" i="2"/>
  <c r="R86" i="2"/>
  <c r="S93" i="2"/>
  <c r="R93" i="2"/>
  <c r="S80" i="2"/>
  <c r="R80" i="2"/>
  <c r="S107" i="2"/>
  <c r="R107" i="2"/>
  <c r="S67" i="2"/>
  <c r="R67" i="2"/>
  <c r="S56" i="2"/>
  <c r="R56" i="2"/>
  <c r="S76" i="2"/>
  <c r="R76" i="2"/>
  <c r="N31" i="3"/>
  <c r="M31" i="3"/>
  <c r="M49" i="3"/>
  <c r="N49" i="3"/>
  <c r="N33" i="3"/>
  <c r="M33" i="3"/>
  <c r="S182" i="2"/>
  <c r="R182" i="2"/>
  <c r="R183" i="2"/>
  <c r="S183" i="2"/>
  <c r="R192" i="2"/>
  <c r="S192" i="2"/>
  <c r="N208" i="3"/>
  <c r="M208" i="3"/>
  <c r="M220" i="3"/>
  <c r="N220" i="3"/>
  <c r="M218" i="3"/>
  <c r="N218" i="3"/>
  <c r="N229" i="3"/>
  <c r="M229" i="3"/>
  <c r="N199" i="3"/>
  <c r="M199" i="3"/>
  <c r="N182" i="3"/>
  <c r="M182" i="3"/>
  <c r="M184" i="3"/>
  <c r="N184" i="3"/>
  <c r="N331" i="3"/>
  <c r="M331" i="3"/>
  <c r="N339" i="3"/>
  <c r="M339" i="3"/>
  <c r="M332" i="3"/>
  <c r="N332" i="3"/>
  <c r="R265" i="2"/>
  <c r="S265" i="2"/>
  <c r="S270" i="2"/>
  <c r="R270" i="2"/>
  <c r="R283" i="2"/>
  <c r="S283" i="2"/>
  <c r="R289" i="2"/>
  <c r="S289" i="2"/>
  <c r="S332" i="2"/>
  <c r="R332" i="2"/>
  <c r="R338" i="2"/>
  <c r="S338" i="2"/>
  <c r="N226" i="5"/>
  <c r="N210" i="5"/>
  <c r="N229" i="5"/>
  <c r="N219" i="5"/>
  <c r="N213" i="5"/>
  <c r="N221" i="5"/>
  <c r="N208" i="5"/>
  <c r="N207" i="5"/>
  <c r="N211" i="5"/>
  <c r="N233" i="5"/>
  <c r="N232" i="5"/>
  <c r="N205" i="5"/>
  <c r="N214" i="5"/>
  <c r="N204" i="5"/>
  <c r="N218" i="5"/>
  <c r="N231" i="5"/>
  <c r="N203" i="5"/>
  <c r="N227" i="5"/>
  <c r="N228" i="5"/>
  <c r="N206" i="5"/>
  <c r="N215" i="5"/>
  <c r="N212" i="5"/>
  <c r="N220" i="5"/>
  <c r="N217" i="5"/>
  <c r="N222" i="5"/>
  <c r="N126" i="3"/>
  <c r="M126" i="3"/>
  <c r="N134" i="3"/>
  <c r="M134" i="3"/>
  <c r="M128" i="3"/>
  <c r="N128" i="3"/>
  <c r="N289" i="3"/>
  <c r="M289" i="3"/>
  <c r="P290" i="3"/>
  <c r="P282" i="3"/>
  <c r="P274" i="3"/>
  <c r="P266" i="3"/>
  <c r="P288" i="3"/>
  <c r="P280" i="3"/>
  <c r="P292" i="3"/>
  <c r="P284" i="3"/>
  <c r="P276" i="3"/>
  <c r="P268" i="3"/>
  <c r="P291" i="3"/>
  <c r="P283" i="3"/>
  <c r="P281" i="3"/>
  <c r="P287" i="3"/>
  <c r="P277" i="3"/>
  <c r="P271" i="3"/>
  <c r="P269" i="3"/>
  <c r="P267" i="3"/>
  <c r="P270" i="3"/>
  <c r="P275" i="3"/>
  <c r="P264" i="3"/>
  <c r="P289" i="3"/>
  <c r="N264" i="3"/>
  <c r="M264" i="3"/>
  <c r="P273" i="3"/>
  <c r="M287" i="3"/>
  <c r="N287" i="3"/>
  <c r="X260" i="2"/>
  <c r="W260" i="2"/>
  <c r="X167" i="2"/>
  <c r="W167" i="2"/>
  <c r="X245" i="2"/>
  <c r="W245" i="2"/>
  <c r="W256" i="2"/>
  <c r="X256" i="2"/>
  <c r="S28" i="2"/>
  <c r="R28" i="2"/>
  <c r="S27" i="2"/>
  <c r="R27" i="2"/>
  <c r="S45" i="2"/>
  <c r="R45" i="2"/>
  <c r="W172" i="2"/>
  <c r="X172" i="2"/>
  <c r="X239" i="2"/>
  <c r="W239" i="2"/>
  <c r="S40" i="2"/>
  <c r="R40" i="2"/>
  <c r="W101" i="2"/>
  <c r="X101" i="2"/>
  <c r="W79" i="2"/>
  <c r="X79" i="2"/>
  <c r="X225" i="2"/>
  <c r="W225" i="2"/>
  <c r="W324" i="2"/>
  <c r="X324" i="2"/>
  <c r="W58" i="2"/>
  <c r="X58" i="2"/>
  <c r="X129" i="2"/>
  <c r="W129" i="2"/>
  <c r="X81" i="2"/>
  <c r="W81" i="2"/>
  <c r="W227" i="2"/>
  <c r="X227" i="2"/>
  <c r="W331" i="2"/>
  <c r="X331" i="2"/>
  <c r="X97" i="2"/>
  <c r="W97" i="2"/>
  <c r="W218" i="2"/>
  <c r="X218" i="2"/>
  <c r="X184" i="2"/>
  <c r="W184" i="2"/>
  <c r="W352" i="2"/>
  <c r="X352" i="2"/>
  <c r="X367" i="2"/>
  <c r="W367" i="2"/>
  <c r="X43" i="2"/>
  <c r="W43" i="2"/>
  <c r="X69" i="2"/>
  <c r="W69" i="2"/>
  <c r="W272" i="2"/>
  <c r="X272" i="2"/>
  <c r="X111" i="2"/>
  <c r="W111" i="2"/>
  <c r="X147" i="2"/>
  <c r="W147" i="2"/>
  <c r="X304" i="2"/>
  <c r="W304" i="2"/>
  <c r="X42" i="2"/>
  <c r="W42" i="2"/>
  <c r="X126" i="2"/>
  <c r="W126" i="2"/>
  <c r="X226" i="2"/>
  <c r="W226" i="2"/>
  <c r="W368" i="2"/>
  <c r="X368" i="2"/>
  <c r="W221" i="2"/>
  <c r="X221" i="2"/>
  <c r="X149" i="2"/>
  <c r="W149" i="2"/>
  <c r="W242" i="2"/>
  <c r="X242" i="2"/>
  <c r="X252" i="2"/>
  <c r="W252" i="2"/>
  <c r="S34" i="2"/>
  <c r="R34" i="2"/>
  <c r="R316" i="2"/>
  <c r="S316" i="2"/>
  <c r="S301" i="2"/>
  <c r="R301" i="2"/>
  <c r="S295" i="2"/>
  <c r="R295" i="2"/>
  <c r="E352" i="5"/>
  <c r="E364" i="5"/>
  <c r="E358" i="5"/>
  <c r="E345" i="5"/>
  <c r="E359" i="5"/>
  <c r="E350" i="5"/>
  <c r="E353" i="5"/>
  <c r="E343" i="5"/>
  <c r="E365" i="5"/>
  <c r="E357" i="5"/>
  <c r="E363" i="5"/>
  <c r="E355" i="5"/>
  <c r="E339" i="5"/>
  <c r="F4" i="4" a="1"/>
  <c r="F4" i="4" s="1"/>
  <c r="E338" i="5"/>
  <c r="E346" i="5"/>
  <c r="E367" i="5"/>
  <c r="E366" i="5"/>
  <c r="E344" i="5"/>
  <c r="E362" i="5"/>
  <c r="E351" i="5"/>
  <c r="E342" i="5"/>
  <c r="E356" i="5"/>
  <c r="E95" i="5"/>
  <c r="E94" i="5"/>
  <c r="E79" i="5"/>
  <c r="E77" i="5"/>
  <c r="E87" i="5"/>
  <c r="E69" i="5"/>
  <c r="E98" i="5"/>
  <c r="E83" i="5"/>
  <c r="E76" i="5"/>
  <c r="E96" i="5"/>
  <c r="E97" i="5"/>
  <c r="E91" i="5"/>
  <c r="E70" i="5"/>
  <c r="E86" i="5"/>
  <c r="E75" i="5"/>
  <c r="E80" i="5"/>
  <c r="E88" i="5"/>
  <c r="E90" i="5"/>
  <c r="E81" i="5"/>
  <c r="E82" i="5"/>
  <c r="E84" i="5"/>
  <c r="E72" i="5"/>
  <c r="E73" i="5"/>
  <c r="E89" i="5"/>
  <c r="E74" i="5"/>
  <c r="E93" i="5"/>
  <c r="N59" i="3"/>
  <c r="M59" i="3"/>
  <c r="M53" i="3"/>
  <c r="N53" i="3"/>
  <c r="N52" i="3"/>
  <c r="M52" i="3"/>
  <c r="N142" i="3"/>
  <c r="M142" i="3"/>
  <c r="M149" i="3"/>
  <c r="N149" i="3"/>
  <c r="M168" i="3"/>
  <c r="N168" i="3"/>
  <c r="R377" i="2"/>
  <c r="S377" i="2"/>
  <c r="S379" i="2"/>
  <c r="R379" i="2"/>
  <c r="S365" i="2"/>
  <c r="R365" i="2"/>
  <c r="N87" i="3"/>
  <c r="M87" i="3"/>
  <c r="M86" i="3"/>
  <c r="N86" i="3"/>
  <c r="N110" i="3"/>
  <c r="M110" i="3"/>
  <c r="N106" i="3"/>
  <c r="M106" i="3"/>
  <c r="S209" i="2"/>
  <c r="R209" i="2"/>
  <c r="R218" i="2"/>
  <c r="S218" i="2"/>
  <c r="R230" i="2"/>
  <c r="S230" i="2"/>
  <c r="R88" i="2"/>
  <c r="S88" i="2"/>
  <c r="S102" i="2"/>
  <c r="R102" i="2"/>
  <c r="S91" i="2"/>
  <c r="R91" i="2"/>
  <c r="R108" i="2"/>
  <c r="S108" i="2"/>
  <c r="S69" i="2"/>
  <c r="R69" i="2"/>
  <c r="S58" i="2"/>
  <c r="R58" i="2"/>
  <c r="S53" i="2"/>
  <c r="R53" i="2"/>
  <c r="N38" i="3"/>
  <c r="M38" i="3"/>
  <c r="M39" i="3"/>
  <c r="N39" i="3"/>
  <c r="M36" i="3"/>
  <c r="N36" i="3"/>
  <c r="S174" i="2"/>
  <c r="R174" i="2"/>
  <c r="S193" i="2"/>
  <c r="R193" i="2"/>
  <c r="N210" i="3"/>
  <c r="M210" i="3"/>
  <c r="M214" i="3"/>
  <c r="N214" i="3"/>
  <c r="M228" i="3"/>
  <c r="N228" i="3"/>
  <c r="M173" i="3"/>
  <c r="N173" i="3"/>
  <c r="N191" i="3"/>
  <c r="M191" i="3"/>
  <c r="M185" i="3"/>
  <c r="N185" i="3"/>
  <c r="N354" i="3"/>
  <c r="M354" i="3"/>
  <c r="N345" i="3"/>
  <c r="M345" i="3"/>
  <c r="M340" i="3"/>
  <c r="N340" i="3"/>
  <c r="R284" i="2"/>
  <c r="S284" i="2"/>
  <c r="R274" i="2"/>
  <c r="S274" i="2"/>
  <c r="S293" i="2"/>
  <c r="R293" i="2"/>
  <c r="S350" i="2"/>
  <c r="R350" i="2"/>
  <c r="S326" i="2"/>
  <c r="R326" i="2"/>
  <c r="S346" i="2"/>
  <c r="R346" i="2"/>
  <c r="E19" i="5"/>
  <c r="E33" i="5"/>
  <c r="E26" i="5"/>
  <c r="E24" i="5"/>
  <c r="E17" i="5"/>
  <c r="E10" i="5"/>
  <c r="E31" i="5"/>
  <c r="E23" i="5"/>
  <c r="E28" i="5"/>
  <c r="E21" i="5"/>
  <c r="E14" i="5"/>
  <c r="E12" i="5"/>
  <c r="E11" i="5"/>
  <c r="E25" i="5"/>
  <c r="E32" i="5"/>
  <c r="E18" i="5"/>
  <c r="E34" i="5"/>
  <c r="E27" i="5"/>
  <c r="E20" i="5"/>
  <c r="E13" i="5"/>
  <c r="E29" i="5"/>
  <c r="E22" i="5"/>
  <c r="N131" i="3"/>
  <c r="M131" i="3"/>
  <c r="M113" i="3"/>
  <c r="N113" i="3"/>
  <c r="M136" i="3"/>
  <c r="N136" i="3"/>
  <c r="N42" i="5"/>
  <c r="N57" i="5"/>
  <c r="N39" i="5"/>
  <c r="N63" i="5"/>
  <c r="N45" i="5"/>
  <c r="N49" i="5"/>
  <c r="N38" i="5"/>
  <c r="N43" i="5"/>
  <c r="N59" i="5"/>
  <c r="N41" i="5"/>
  <c r="N51" i="5"/>
  <c r="N65" i="5"/>
  <c r="N55" i="5"/>
  <c r="N50" i="5"/>
  <c r="N44" i="5"/>
  <c r="N53" i="5"/>
  <c r="N60" i="5"/>
  <c r="N52" i="5"/>
  <c r="N62" i="5"/>
  <c r="N56" i="5"/>
  <c r="N64" i="5"/>
  <c r="N58" i="5"/>
  <c r="N46" i="5"/>
  <c r="E398" i="5"/>
  <c r="E394" i="5"/>
  <c r="E383" i="5"/>
  <c r="E372" i="5"/>
  <c r="E391" i="5"/>
  <c r="E379" i="5"/>
  <c r="E388" i="5"/>
  <c r="E374" i="5"/>
  <c r="E375" i="5"/>
  <c r="E380" i="5"/>
  <c r="E390" i="5"/>
  <c r="E393" i="5"/>
  <c r="E386" i="5"/>
  <c r="E376" i="5"/>
  <c r="E387" i="5"/>
  <c r="E384" i="5"/>
  <c r="E377" i="5"/>
  <c r="E382" i="5"/>
  <c r="E373" i="5"/>
  <c r="E389" i="5"/>
  <c r="E395" i="5"/>
  <c r="E396" i="5"/>
  <c r="E381" i="5"/>
  <c r="E397" i="5"/>
  <c r="N234" i="3"/>
  <c r="M234" i="3"/>
  <c r="M239" i="3"/>
  <c r="N239" i="3"/>
  <c r="N261" i="3"/>
  <c r="M261" i="3"/>
  <c r="N366" i="3"/>
  <c r="M366" i="3"/>
  <c r="N360" i="3"/>
  <c r="M360" i="3"/>
  <c r="N381" i="3"/>
  <c r="M381" i="3"/>
  <c r="N267" i="3"/>
  <c r="M267" i="3"/>
  <c r="S36" i="2"/>
  <c r="R36" i="2"/>
  <c r="X141" i="2"/>
  <c r="W141" i="2"/>
  <c r="X137" i="2"/>
  <c r="W137" i="2"/>
  <c r="W372" i="2"/>
  <c r="X372" i="2"/>
  <c r="X41" i="2"/>
  <c r="W41" i="2"/>
  <c r="X91" i="2"/>
  <c r="W91" i="2"/>
  <c r="W77" i="2"/>
  <c r="X77" i="2"/>
  <c r="X213" i="2"/>
  <c r="W213" i="2"/>
  <c r="X302" i="2"/>
  <c r="W302" i="2"/>
  <c r="X29" i="2"/>
  <c r="W29" i="2"/>
  <c r="W378" i="2"/>
  <c r="X378" i="2"/>
  <c r="W206" i="2"/>
  <c r="X206" i="2"/>
  <c r="W255" i="2"/>
  <c r="X255" i="2"/>
  <c r="X269" i="2"/>
  <c r="W269" i="2"/>
  <c r="X60" i="2"/>
  <c r="W60" i="2"/>
  <c r="X84" i="2"/>
  <c r="W84" i="2"/>
  <c r="W217" i="2"/>
  <c r="X217" i="2"/>
  <c r="W262" i="2"/>
  <c r="X262" i="2"/>
  <c r="X296" i="2"/>
  <c r="W296" i="2"/>
  <c r="X64" i="2"/>
  <c r="W64" i="2"/>
  <c r="X36" i="2"/>
  <c r="W36" i="2"/>
  <c r="W102" i="2"/>
  <c r="X102" i="2"/>
  <c r="W188" i="2"/>
  <c r="X188" i="2"/>
  <c r="W344" i="2"/>
  <c r="X344" i="2"/>
  <c r="X76" i="2"/>
  <c r="W76" i="2"/>
  <c r="X98" i="2"/>
  <c r="W98" i="2"/>
  <c r="W171" i="2"/>
  <c r="X171" i="2"/>
  <c r="X162" i="2"/>
  <c r="W162" i="2"/>
  <c r="X301" i="2"/>
  <c r="W301" i="2"/>
  <c r="W55" i="2"/>
  <c r="X55" i="2"/>
  <c r="X50" i="2"/>
  <c r="W50" i="2"/>
  <c r="W200" i="2"/>
  <c r="X200" i="2"/>
  <c r="X275" i="2"/>
  <c r="W275" i="2"/>
  <c r="W30" i="2"/>
  <c r="X30" i="2"/>
  <c r="X118" i="2"/>
  <c r="W118" i="2"/>
  <c r="X121" i="2"/>
  <c r="W121" i="2"/>
  <c r="X300" i="2"/>
  <c r="W300" i="2"/>
  <c r="W359" i="2"/>
  <c r="X359" i="2"/>
  <c r="X37" i="2"/>
  <c r="W37" i="2"/>
  <c r="S322" i="2"/>
  <c r="R322" i="2"/>
  <c r="S311" i="2"/>
  <c r="R311" i="2"/>
  <c r="S303" i="2"/>
  <c r="R303" i="2"/>
  <c r="S317" i="2"/>
  <c r="R317" i="2"/>
  <c r="N65" i="3"/>
  <c r="M65" i="3"/>
  <c r="M56" i="3"/>
  <c r="N56" i="3"/>
  <c r="N66" i="3"/>
  <c r="M66" i="3"/>
  <c r="N150" i="3"/>
  <c r="M150" i="3"/>
  <c r="N151" i="3"/>
  <c r="M151" i="3"/>
  <c r="M145" i="3"/>
  <c r="N145" i="3"/>
  <c r="S356" i="2"/>
  <c r="R356" i="2"/>
  <c r="S357" i="2"/>
  <c r="R357" i="2"/>
  <c r="S380" i="2"/>
  <c r="R380" i="2"/>
  <c r="S378" i="2"/>
  <c r="R378" i="2"/>
  <c r="M107" i="3"/>
  <c r="N107" i="3"/>
  <c r="N100" i="3"/>
  <c r="M100" i="3"/>
  <c r="M82" i="3"/>
  <c r="N82" i="3"/>
  <c r="N296" i="5"/>
  <c r="N287" i="5"/>
  <c r="N295" i="5"/>
  <c r="N286" i="5"/>
  <c r="N276" i="5"/>
  <c r="N275" i="5"/>
  <c r="N281" i="5"/>
  <c r="N277" i="5"/>
  <c r="N283" i="5"/>
  <c r="N300" i="5"/>
  <c r="N272" i="5"/>
  <c r="N297" i="5"/>
  <c r="N288" i="5"/>
  <c r="N294" i="5"/>
  <c r="N289" i="5"/>
  <c r="N291" i="5"/>
  <c r="N279" i="5"/>
  <c r="N273" i="5"/>
  <c r="N282" i="5"/>
  <c r="N274" i="5"/>
  <c r="N280" i="5"/>
  <c r="N298" i="5"/>
  <c r="N290" i="5"/>
  <c r="S210" i="2"/>
  <c r="R210" i="2"/>
  <c r="S219" i="2"/>
  <c r="R219" i="2"/>
  <c r="S231" i="2"/>
  <c r="R231" i="2"/>
  <c r="S101" i="2"/>
  <c r="R101" i="2"/>
  <c r="R95" i="2"/>
  <c r="S95" i="2"/>
  <c r="R109" i="2"/>
  <c r="S109" i="2"/>
  <c r="S60" i="2"/>
  <c r="R60" i="2"/>
  <c r="R55" i="2"/>
  <c r="S55" i="2"/>
  <c r="M40" i="3"/>
  <c r="N40" i="3"/>
  <c r="M46" i="3"/>
  <c r="N46" i="3"/>
  <c r="N47" i="3"/>
  <c r="M47" i="3"/>
  <c r="S176" i="2"/>
  <c r="R176" i="2"/>
  <c r="S177" i="2"/>
  <c r="R177" i="2"/>
  <c r="R195" i="2"/>
  <c r="S195" i="2"/>
  <c r="N211" i="3"/>
  <c r="M211" i="3"/>
  <c r="M225" i="3"/>
  <c r="N225" i="3"/>
  <c r="N206" i="3"/>
  <c r="M206" i="3"/>
  <c r="M180" i="3"/>
  <c r="N180" i="3"/>
  <c r="N201" i="3"/>
  <c r="M201" i="3"/>
  <c r="M186" i="3"/>
  <c r="N186" i="3"/>
  <c r="M329" i="3"/>
  <c r="N329" i="3"/>
  <c r="M351" i="3"/>
  <c r="N351" i="3"/>
  <c r="M348" i="3"/>
  <c r="N348" i="3"/>
  <c r="N376" i="5"/>
  <c r="N397" i="5"/>
  <c r="N381" i="5"/>
  <c r="N383" i="5"/>
  <c r="N372" i="5"/>
  <c r="N375" i="5"/>
  <c r="N395" i="5"/>
  <c r="N394" i="5"/>
  <c r="N398" i="5"/>
  <c r="N391" i="5"/>
  <c r="N388" i="5"/>
  <c r="N380" i="5"/>
  <c r="N382" i="5"/>
  <c r="N386" i="5"/>
  <c r="N390" i="5"/>
  <c r="N377" i="5"/>
  <c r="N374" i="5"/>
  <c r="N384" i="5"/>
  <c r="N396" i="5"/>
  <c r="N389" i="5"/>
  <c r="N379" i="5"/>
  <c r="N393" i="5"/>
  <c r="N387" i="5"/>
  <c r="N373" i="5"/>
  <c r="N14" i="5"/>
  <c r="N33" i="5"/>
  <c r="N26" i="5"/>
  <c r="N24" i="5"/>
  <c r="N10" i="5"/>
  <c r="N17" i="5"/>
  <c r="N11" i="5"/>
  <c r="N21" i="5"/>
  <c r="N31" i="5"/>
  <c r="N34" i="5"/>
  <c r="N27" i="5"/>
  <c r="N12" i="5"/>
  <c r="N32" i="5"/>
  <c r="N23" i="5"/>
  <c r="N19" i="5"/>
  <c r="N18" i="5"/>
  <c r="N28" i="5"/>
  <c r="N25" i="5"/>
  <c r="N22" i="5"/>
  <c r="N20" i="5"/>
  <c r="N29" i="5"/>
  <c r="N13" i="5"/>
  <c r="S272" i="2"/>
  <c r="R272" i="2"/>
  <c r="S266" i="2"/>
  <c r="R266" i="2"/>
  <c r="R267" i="2"/>
  <c r="S267" i="2"/>
  <c r="R337" i="2"/>
  <c r="S337" i="2"/>
  <c r="S354" i="2"/>
  <c r="R354" i="2"/>
  <c r="S351" i="2"/>
  <c r="R351" i="2"/>
  <c r="N133" i="3"/>
  <c r="M133" i="3"/>
  <c r="N114" i="3"/>
  <c r="M114" i="3"/>
  <c r="N121" i="3"/>
  <c r="M121" i="3"/>
  <c r="S169" i="2"/>
  <c r="R169" i="2"/>
  <c r="E155" i="5"/>
  <c r="E150" i="5"/>
  <c r="E144" i="5"/>
  <c r="E139" i="5"/>
  <c r="E163" i="5"/>
  <c r="E159" i="5"/>
  <c r="E153" i="5"/>
  <c r="E137" i="5"/>
  <c r="E158" i="5"/>
  <c r="E151" i="5"/>
  <c r="E152" i="5"/>
  <c r="E145" i="5"/>
  <c r="E136" i="5"/>
  <c r="E149" i="5"/>
  <c r="E143" i="5"/>
  <c r="E138" i="5"/>
  <c r="E157" i="5"/>
  <c r="E160" i="5"/>
  <c r="E142" i="5"/>
  <c r="E146" i="5"/>
  <c r="E148" i="5"/>
  <c r="E164" i="5"/>
  <c r="E166" i="5"/>
  <c r="E156" i="5"/>
  <c r="E162" i="5"/>
  <c r="E165" i="5"/>
  <c r="P250" i="3"/>
  <c r="P242" i="3"/>
  <c r="P234" i="3"/>
  <c r="P260" i="3"/>
  <c r="P252" i="3"/>
  <c r="P253" i="3"/>
  <c r="P241" i="3"/>
  <c r="P263" i="3"/>
  <c r="P262" i="3"/>
  <c r="P259" i="3"/>
  <c r="P239" i="3"/>
  <c r="P256" i="3"/>
  <c r="P240" i="3"/>
  <c r="P238" i="3"/>
  <c r="P236" i="3"/>
  <c r="P235" i="3"/>
  <c r="P233" i="3"/>
  <c r="N233" i="3"/>
  <c r="P261" i="3"/>
  <c r="M233" i="3"/>
  <c r="P257" i="3"/>
  <c r="P254" i="3"/>
  <c r="P243" i="3"/>
  <c r="P255" i="3"/>
  <c r="N253" i="3"/>
  <c r="M253" i="3"/>
  <c r="N157" i="5"/>
  <c r="N149" i="5"/>
  <c r="N165" i="5"/>
  <c r="N158" i="5"/>
  <c r="N159" i="5"/>
  <c r="N139" i="5"/>
  <c r="N137" i="5"/>
  <c r="N151" i="5"/>
  <c r="N164" i="5"/>
  <c r="N163" i="5"/>
  <c r="N145" i="5"/>
  <c r="N148" i="5"/>
  <c r="N156" i="5"/>
  <c r="N153" i="5"/>
  <c r="N155" i="5"/>
  <c r="N150" i="5"/>
  <c r="N152" i="5"/>
  <c r="N138" i="5"/>
  <c r="N160" i="5"/>
  <c r="N144" i="5"/>
  <c r="N136" i="5"/>
  <c r="N142" i="5"/>
  <c r="N143" i="5"/>
  <c r="N146" i="5"/>
  <c r="N162" i="5"/>
  <c r="N166" i="5"/>
  <c r="M295" i="3"/>
  <c r="N295" i="3"/>
  <c r="M276" i="3"/>
  <c r="N276" i="3"/>
  <c r="N281" i="3"/>
  <c r="M281" i="3"/>
  <c r="M270" i="3"/>
  <c r="N270" i="3"/>
  <c r="N283" i="3"/>
  <c r="M283" i="3"/>
  <c r="W203" i="2"/>
  <c r="X203" i="2"/>
  <c r="W34" i="2"/>
  <c r="X34" i="2"/>
  <c r="W270" i="2"/>
  <c r="X270" i="2"/>
  <c r="W120" i="2"/>
  <c r="X120" i="2"/>
  <c r="W312" i="2"/>
  <c r="X312" i="2"/>
  <c r="S30" i="2"/>
  <c r="R30" i="2"/>
  <c r="X373" i="2"/>
  <c r="W373" i="2"/>
  <c r="X189" i="2"/>
  <c r="W189" i="2"/>
  <c r="W247" i="2"/>
  <c r="X247" i="2"/>
  <c r="W265" i="2"/>
  <c r="X265" i="2"/>
  <c r="W85" i="2"/>
  <c r="X85" i="2"/>
  <c r="W190" i="2"/>
  <c r="X190" i="2"/>
  <c r="W164" i="2"/>
  <c r="X164" i="2"/>
  <c r="W333" i="2"/>
  <c r="X333" i="2"/>
  <c r="W354" i="2"/>
  <c r="X354" i="2"/>
  <c r="X87" i="2"/>
  <c r="W87" i="2"/>
  <c r="X207" i="2"/>
  <c r="W207" i="2"/>
  <c r="W182" i="2"/>
  <c r="X182" i="2"/>
  <c r="W338" i="2"/>
  <c r="X338" i="2"/>
  <c r="X363" i="2"/>
  <c r="W363" i="2"/>
  <c r="S42" i="2"/>
  <c r="R42" i="2"/>
  <c r="X67" i="2"/>
  <c r="W67" i="2"/>
  <c r="W253" i="2"/>
  <c r="X253" i="2"/>
  <c r="X104" i="2"/>
  <c r="W104" i="2"/>
  <c r="W374" i="2"/>
  <c r="X374" i="2"/>
  <c r="W298" i="2"/>
  <c r="X298" i="2"/>
  <c r="W220" i="2"/>
  <c r="X220" i="2"/>
  <c r="X113" i="2"/>
  <c r="W113" i="2"/>
  <c r="X214" i="2"/>
  <c r="W214" i="2"/>
  <c r="W364" i="2"/>
  <c r="X364" i="2"/>
  <c r="W202" i="2"/>
  <c r="X202" i="2"/>
  <c r="X114" i="2"/>
  <c r="W114" i="2"/>
  <c r="W240" i="2"/>
  <c r="X240" i="2"/>
  <c r="W358" i="2"/>
  <c r="X358" i="2"/>
  <c r="X125" i="2"/>
  <c r="W125" i="2"/>
  <c r="R31" i="2"/>
  <c r="S31" i="2"/>
  <c r="W266" i="2"/>
  <c r="X266" i="2"/>
  <c r="W107" i="2"/>
  <c r="X107" i="2"/>
  <c r="X308" i="2"/>
  <c r="W308" i="2"/>
  <c r="R318" i="2"/>
  <c r="S318" i="2"/>
  <c r="R314" i="2"/>
  <c r="S314" i="2"/>
  <c r="S308" i="2"/>
  <c r="R308" i="2"/>
  <c r="E193" i="5"/>
  <c r="E191" i="5"/>
  <c r="E190" i="5"/>
  <c r="E172" i="5"/>
  <c r="E175" i="5"/>
  <c r="E197" i="5"/>
  <c r="E189" i="5"/>
  <c r="E177" i="5"/>
  <c r="E183" i="5"/>
  <c r="E198" i="5"/>
  <c r="E196" i="5"/>
  <c r="E170" i="5"/>
  <c r="E194" i="5"/>
  <c r="E180" i="5"/>
  <c r="E186" i="5"/>
  <c r="E187" i="5"/>
  <c r="E176" i="5"/>
  <c r="E195" i="5"/>
  <c r="E181" i="5"/>
  <c r="E174" i="5"/>
  <c r="E173" i="5"/>
  <c r="E184" i="5"/>
  <c r="E179" i="5"/>
  <c r="E182" i="5"/>
  <c r="E188" i="5"/>
  <c r="M72" i="3"/>
  <c r="N72" i="3"/>
  <c r="M67" i="3"/>
  <c r="N67" i="3"/>
  <c r="N54" i="3"/>
  <c r="M54" i="3"/>
  <c r="N171" i="3"/>
  <c r="M171" i="3"/>
  <c r="M155" i="3"/>
  <c r="N155" i="3"/>
  <c r="M161" i="3"/>
  <c r="N161" i="3"/>
  <c r="R374" i="2"/>
  <c r="S374" i="2"/>
  <c r="S373" i="2"/>
  <c r="R373" i="2"/>
  <c r="M81" i="3"/>
  <c r="N81" i="3"/>
  <c r="M103" i="3"/>
  <c r="N103" i="3"/>
  <c r="M85" i="3"/>
  <c r="N85" i="3"/>
  <c r="S202" i="2"/>
  <c r="R202" i="2"/>
  <c r="R211" i="2"/>
  <c r="S211" i="2"/>
  <c r="R220" i="2"/>
  <c r="S220" i="2"/>
  <c r="R232" i="2"/>
  <c r="S232" i="2"/>
  <c r="S81" i="2"/>
  <c r="R81" i="2"/>
  <c r="S97" i="2"/>
  <c r="R97" i="2"/>
  <c r="S94" i="2"/>
  <c r="R94" i="2"/>
  <c r="R57" i="2"/>
  <c r="S57" i="2"/>
  <c r="S71" i="2"/>
  <c r="R71" i="2"/>
  <c r="S64" i="2"/>
  <c r="R64" i="2"/>
  <c r="R78" i="2"/>
  <c r="S78" i="2"/>
  <c r="N35" i="3"/>
  <c r="M35" i="3"/>
  <c r="N29" i="3"/>
  <c r="M29" i="3"/>
  <c r="N50" i="3"/>
  <c r="M50" i="3"/>
  <c r="S178" i="2"/>
  <c r="R178" i="2"/>
  <c r="S172" i="2"/>
  <c r="R172" i="2"/>
  <c r="S196" i="2"/>
  <c r="R196" i="2"/>
  <c r="M212" i="3"/>
  <c r="N212" i="3"/>
  <c r="M226" i="3"/>
  <c r="N226" i="3"/>
  <c r="N215" i="3"/>
  <c r="M215" i="3"/>
  <c r="N187" i="3"/>
  <c r="M187" i="3"/>
  <c r="P194" i="3"/>
  <c r="P186" i="3"/>
  <c r="P199" i="3"/>
  <c r="P190" i="3"/>
  <c r="P189" i="3"/>
  <c r="P187" i="3"/>
  <c r="P182" i="3"/>
  <c r="P200" i="3"/>
  <c r="P191" i="3"/>
  <c r="P173" i="3"/>
  <c r="P198" i="3"/>
  <c r="P197" i="3"/>
  <c r="P183" i="3"/>
  <c r="P175" i="3"/>
  <c r="M172" i="3"/>
  <c r="P185" i="3"/>
  <c r="P178" i="3"/>
  <c r="P176" i="3"/>
  <c r="P180" i="3"/>
  <c r="P196" i="3"/>
  <c r="P193" i="3"/>
  <c r="P184" i="3"/>
  <c r="P192" i="3"/>
  <c r="P179" i="3"/>
  <c r="P177" i="3"/>
  <c r="P172" i="3"/>
  <c r="P201" i="3"/>
  <c r="N172" i="3"/>
  <c r="M177" i="3"/>
  <c r="N177" i="3"/>
  <c r="N337" i="3"/>
  <c r="M337" i="3"/>
  <c r="N334" i="3"/>
  <c r="M334" i="3"/>
  <c r="P354" i="3"/>
  <c r="P346" i="3"/>
  <c r="P338" i="3"/>
  <c r="P330" i="3"/>
  <c r="P353" i="3"/>
  <c r="P345" i="3"/>
  <c r="P337" i="3"/>
  <c r="P329" i="3"/>
  <c r="P341" i="3"/>
  <c r="P333" i="3"/>
  <c r="P344" i="3"/>
  <c r="P334" i="3"/>
  <c r="P332" i="3"/>
  <c r="P340" i="3"/>
  <c r="P327" i="3"/>
  <c r="N325" i="3"/>
  <c r="P347" i="3"/>
  <c r="P336" i="3"/>
  <c r="P352" i="3"/>
  <c r="P339" i="3"/>
  <c r="P325" i="3"/>
  <c r="M325" i="3"/>
  <c r="P348" i="3"/>
  <c r="P331" i="3"/>
  <c r="P326" i="3"/>
  <c r="P351" i="3"/>
  <c r="B11" i="5"/>
  <c r="C10" i="5"/>
  <c r="L10" i="5" s="1"/>
  <c r="S276" i="2"/>
  <c r="R276" i="2"/>
  <c r="S275" i="2"/>
  <c r="R275" i="2"/>
  <c r="S282" i="2"/>
  <c r="R282" i="2"/>
  <c r="S345" i="2"/>
  <c r="R345" i="2"/>
  <c r="S325" i="2"/>
  <c r="R325" i="2"/>
  <c r="N135" i="3"/>
  <c r="M135" i="3"/>
  <c r="N117" i="3"/>
  <c r="M117" i="3"/>
  <c r="M129" i="3"/>
  <c r="N129" i="3"/>
  <c r="S171" i="2"/>
  <c r="R171" i="2"/>
  <c r="M316" i="3"/>
  <c r="N316" i="3"/>
  <c r="R113" i="2"/>
  <c r="S113" i="2"/>
  <c r="R122" i="2"/>
  <c r="S122" i="2"/>
  <c r="S132" i="2"/>
  <c r="R132" i="2"/>
  <c r="R252" i="2"/>
  <c r="S252" i="2"/>
  <c r="S237" i="2"/>
  <c r="R237" i="2"/>
  <c r="R247" i="2"/>
  <c r="S247" i="2"/>
  <c r="N275" i="3"/>
  <c r="M275" i="3"/>
  <c r="W319" i="2"/>
  <c r="X319" i="2"/>
  <c r="E246" i="5"/>
  <c r="E267" i="5"/>
  <c r="E245" i="5"/>
  <c r="E243" i="5"/>
  <c r="E262" i="5"/>
  <c r="E238" i="5"/>
  <c r="E249" i="5"/>
  <c r="E251" i="5"/>
  <c r="E259" i="5"/>
  <c r="E257" i="5"/>
  <c r="E237" i="5"/>
  <c r="E265" i="5"/>
  <c r="E258" i="5"/>
  <c r="E266" i="5"/>
  <c r="E260" i="5"/>
  <c r="E244" i="5"/>
  <c r="E264" i="5"/>
  <c r="E250" i="5"/>
  <c r="E242" i="5"/>
  <c r="E241" i="5"/>
  <c r="E256" i="5"/>
  <c r="E263" i="5"/>
  <c r="E240" i="5"/>
  <c r="E252" i="5"/>
  <c r="M260" i="3"/>
  <c r="N260" i="3"/>
  <c r="M250" i="3"/>
  <c r="N250" i="3"/>
  <c r="N296" i="3"/>
  <c r="M296" i="3"/>
  <c r="M317" i="3"/>
  <c r="N317" i="3"/>
  <c r="N311" i="3"/>
  <c r="M311" i="3"/>
  <c r="S114" i="2"/>
  <c r="R114" i="2"/>
  <c r="S123" i="2"/>
  <c r="R123" i="2"/>
  <c r="S133" i="2"/>
  <c r="R133" i="2"/>
  <c r="S261" i="2"/>
  <c r="R261" i="2"/>
  <c r="S238" i="2"/>
  <c r="R238" i="2"/>
  <c r="R248" i="2"/>
  <c r="S248" i="2"/>
  <c r="N106" i="5"/>
  <c r="N119" i="5"/>
  <c r="N117" i="5"/>
  <c r="N126" i="5"/>
  <c r="N110" i="5"/>
  <c r="N104" i="5"/>
  <c r="N120" i="5"/>
  <c r="N115" i="5"/>
  <c r="N118" i="5"/>
  <c r="N125" i="5"/>
  <c r="N113" i="5"/>
  <c r="N124" i="5"/>
  <c r="N127" i="5"/>
  <c r="N107" i="5"/>
  <c r="N132" i="5"/>
  <c r="N105" i="5"/>
  <c r="N122" i="5"/>
  <c r="N108" i="5"/>
  <c r="N111" i="5"/>
  <c r="N114" i="5"/>
  <c r="N128" i="5"/>
  <c r="N112" i="5"/>
  <c r="N129" i="5"/>
  <c r="N103" i="5"/>
  <c r="N121" i="5"/>
  <c r="N241" i="5"/>
  <c r="N264" i="5"/>
  <c r="N238" i="5"/>
  <c r="N263" i="5"/>
  <c r="N244" i="5"/>
  <c r="N246" i="5"/>
  <c r="N251" i="5"/>
  <c r="N259" i="5"/>
  <c r="N243" i="5"/>
  <c r="N267" i="5"/>
  <c r="N256" i="5"/>
  <c r="N262" i="5"/>
  <c r="N237" i="5"/>
  <c r="N250" i="5"/>
  <c r="N242" i="5"/>
  <c r="N240" i="5"/>
  <c r="N245" i="5"/>
  <c r="N249" i="5"/>
  <c r="N260" i="5"/>
  <c r="N257" i="5"/>
  <c r="N258" i="5"/>
  <c r="N266" i="5"/>
  <c r="N265" i="5"/>
  <c r="N252" i="5"/>
  <c r="N358" i="3"/>
  <c r="M358" i="3"/>
  <c r="N369" i="3"/>
  <c r="M369" i="3"/>
  <c r="N368" i="3"/>
  <c r="M368" i="3"/>
  <c r="N240" i="3"/>
  <c r="M240" i="3"/>
  <c r="N238" i="3"/>
  <c r="M238" i="3"/>
  <c r="M304" i="3"/>
  <c r="N304" i="3"/>
  <c r="M319" i="3"/>
  <c r="N319" i="3"/>
  <c r="N299" i="3"/>
  <c r="M299" i="3"/>
  <c r="R115" i="2"/>
  <c r="S115" i="2"/>
  <c r="R125" i="2"/>
  <c r="S125" i="2"/>
  <c r="R134" i="2"/>
  <c r="S134" i="2"/>
  <c r="R256" i="2"/>
  <c r="S256" i="2"/>
  <c r="S239" i="2"/>
  <c r="R239" i="2"/>
  <c r="S259" i="2"/>
  <c r="R259" i="2"/>
  <c r="N382" i="3"/>
  <c r="M382" i="3"/>
  <c r="N379" i="3"/>
  <c r="M379" i="3"/>
  <c r="N376" i="3"/>
  <c r="M376" i="3"/>
  <c r="N280" i="3"/>
  <c r="M280" i="3"/>
  <c r="N288" i="3"/>
  <c r="M288" i="3"/>
  <c r="N291" i="3"/>
  <c r="M291" i="3"/>
  <c r="D72" i="1"/>
  <c r="C73" i="1" s="1"/>
  <c r="W134" i="2"/>
  <c r="X134" i="2"/>
  <c r="X40" i="2"/>
  <c r="W40" i="2"/>
  <c r="W176" i="2"/>
  <c r="X176" i="2"/>
  <c r="W316" i="2"/>
  <c r="X316" i="2"/>
  <c r="X379" i="2"/>
  <c r="W379" i="2"/>
  <c r="S29" i="2"/>
  <c r="R29" i="2"/>
  <c r="X151" i="2"/>
  <c r="W151" i="2"/>
  <c r="X144" i="2"/>
  <c r="W144" i="2"/>
  <c r="W322" i="2"/>
  <c r="X322" i="2"/>
  <c r="X350" i="2"/>
  <c r="W350" i="2"/>
  <c r="X276" i="2"/>
  <c r="W276" i="2"/>
  <c r="X59" i="2"/>
  <c r="W59" i="2"/>
  <c r="X326" i="2"/>
  <c r="W326" i="2"/>
  <c r="W175" i="2"/>
  <c r="X175" i="2"/>
  <c r="X325" i="2"/>
  <c r="W325" i="2"/>
  <c r="X339" i="2"/>
  <c r="W339" i="2"/>
  <c r="S35" i="2"/>
  <c r="R35" i="2"/>
  <c r="X360" i="2"/>
  <c r="W360" i="2"/>
  <c r="W179" i="2"/>
  <c r="X179" i="2"/>
  <c r="W330" i="2"/>
  <c r="X330" i="2"/>
  <c r="X74" i="2"/>
  <c r="W74" i="2"/>
  <c r="X73" i="2"/>
  <c r="W73" i="2"/>
  <c r="X160" i="2"/>
  <c r="W160" i="2"/>
  <c r="W156" i="2"/>
  <c r="X156" i="2"/>
  <c r="X288" i="2"/>
  <c r="W288" i="2"/>
  <c r="X53" i="2"/>
  <c r="W53" i="2"/>
  <c r="S49" i="2"/>
  <c r="R49" i="2"/>
  <c r="X198" i="2"/>
  <c r="W198" i="2"/>
  <c r="W258" i="2"/>
  <c r="X258" i="2"/>
  <c r="X31" i="2"/>
  <c r="W31" i="2"/>
  <c r="X109" i="2"/>
  <c r="W109" i="2"/>
  <c r="W329" i="2"/>
  <c r="X329" i="2"/>
  <c r="W294" i="2"/>
  <c r="X294" i="2"/>
  <c r="X337" i="2"/>
  <c r="W337" i="2"/>
  <c r="X95" i="2"/>
  <c r="W95" i="2"/>
  <c r="S39" i="2"/>
  <c r="R39" i="2"/>
  <c r="X174" i="2"/>
  <c r="W174" i="2"/>
  <c r="X295" i="2"/>
  <c r="W295" i="2"/>
  <c r="X366" i="2"/>
  <c r="W366" i="2"/>
  <c r="R310" i="2"/>
  <c r="S310" i="2"/>
  <c r="S323" i="2"/>
  <c r="R323" i="2"/>
  <c r="S312" i="2"/>
  <c r="R312" i="2"/>
  <c r="E315" i="5"/>
  <c r="E329" i="5"/>
  <c r="E327" i="5"/>
  <c r="E305" i="5"/>
  <c r="E311" i="5"/>
  <c r="E321" i="5"/>
  <c r="E313" i="5"/>
  <c r="E319" i="5"/>
  <c r="E318" i="5"/>
  <c r="E325" i="5"/>
  <c r="E324" i="5"/>
  <c r="E332" i="5"/>
  <c r="E306" i="5"/>
  <c r="E334" i="5"/>
  <c r="E304" i="5"/>
  <c r="E328" i="5"/>
  <c r="E314" i="5"/>
  <c r="E312" i="5"/>
  <c r="E307" i="5"/>
  <c r="E308" i="5"/>
  <c r="E310" i="5"/>
  <c r="E320" i="5"/>
  <c r="E331" i="5"/>
  <c r="E333" i="5"/>
  <c r="E322" i="5"/>
  <c r="E326" i="5"/>
  <c r="N77" i="3"/>
  <c r="M77" i="3"/>
  <c r="M70" i="3"/>
  <c r="N70" i="3"/>
  <c r="N57" i="3"/>
  <c r="M57" i="3"/>
  <c r="N164" i="3"/>
  <c r="M164" i="3"/>
  <c r="N157" i="3"/>
  <c r="M157" i="3"/>
  <c r="M154" i="3"/>
  <c r="N154" i="3"/>
  <c r="M169" i="3"/>
  <c r="N169" i="3"/>
  <c r="S370" i="2"/>
  <c r="R370" i="2"/>
  <c r="S368" i="2"/>
  <c r="R368" i="2"/>
  <c r="R359" i="2"/>
  <c r="S359" i="2"/>
  <c r="N84" i="3"/>
  <c r="M84" i="3"/>
  <c r="N109" i="3"/>
  <c r="M109" i="3"/>
  <c r="M96" i="3"/>
  <c r="N96" i="3"/>
  <c r="R203" i="2"/>
  <c r="S203" i="2"/>
  <c r="S212" i="2"/>
  <c r="R212" i="2"/>
  <c r="S221" i="2"/>
  <c r="R221" i="2"/>
  <c r="S83" i="2"/>
  <c r="R83" i="2"/>
  <c r="S104" i="2"/>
  <c r="R104" i="2"/>
  <c r="R59" i="2"/>
  <c r="S59" i="2"/>
  <c r="S73" i="2"/>
  <c r="R73" i="2"/>
  <c r="S66" i="2"/>
  <c r="R66" i="2"/>
  <c r="M24" i="3"/>
  <c r="N24" i="3"/>
  <c r="U28" i="3"/>
  <c r="P44" i="3"/>
  <c r="U37" i="3"/>
  <c r="P32" i="3"/>
  <c r="U80" i="3"/>
  <c r="U85" i="3"/>
  <c r="U334" i="3"/>
  <c r="U325" i="3"/>
  <c r="U329" i="3"/>
  <c r="U310" i="3"/>
  <c r="U206" i="3"/>
  <c r="U284" i="3"/>
  <c r="U304" i="3"/>
  <c r="U311" i="3"/>
  <c r="U225" i="3"/>
  <c r="U154" i="3"/>
  <c r="U297" i="3"/>
  <c r="U169" i="3"/>
  <c r="U332" i="3"/>
  <c r="U383" i="3"/>
  <c r="U233" i="3"/>
  <c r="U298" i="3"/>
  <c r="U179" i="3"/>
  <c r="U184" i="3"/>
  <c r="U107" i="3"/>
  <c r="U133" i="3"/>
  <c r="U144" i="3"/>
  <c r="U282" i="3"/>
  <c r="U250" i="3"/>
  <c r="U141" i="3"/>
  <c r="U157" i="3"/>
  <c r="U259" i="3"/>
  <c r="U159" i="3"/>
  <c r="U87" i="3"/>
  <c r="U96" i="3"/>
  <c r="U46" i="3"/>
  <c r="U44" i="3"/>
  <c r="U64" i="3"/>
  <c r="U95" i="3"/>
  <c r="U53" i="3"/>
  <c r="U71" i="3"/>
  <c r="U29" i="3"/>
  <c r="P29" i="3"/>
  <c r="U39" i="3"/>
  <c r="U326" i="3"/>
  <c r="U317" i="3"/>
  <c r="U376" i="3"/>
  <c r="U302" i="3"/>
  <c r="U198" i="3"/>
  <c r="U276" i="3"/>
  <c r="U296" i="3"/>
  <c r="U303" i="3"/>
  <c r="U224" i="3"/>
  <c r="U138" i="3"/>
  <c r="U289" i="3"/>
  <c r="U161" i="3"/>
  <c r="U320" i="3"/>
  <c r="U380" i="3"/>
  <c r="U232" i="3"/>
  <c r="U290" i="3"/>
  <c r="U171" i="3"/>
  <c r="U180" i="3"/>
  <c r="U103" i="3"/>
  <c r="U126" i="3"/>
  <c r="U135" i="3"/>
  <c r="U277" i="3"/>
  <c r="U242" i="3"/>
  <c r="U283" i="3"/>
  <c r="U151" i="3"/>
  <c r="U220" i="3"/>
  <c r="U127" i="3"/>
  <c r="U73" i="3"/>
  <c r="U91" i="3"/>
  <c r="U94" i="3"/>
  <c r="P37" i="3"/>
  <c r="U61" i="3"/>
  <c r="U84" i="3"/>
  <c r="U52" i="3"/>
  <c r="U56" i="3"/>
  <c r="P30" i="3"/>
  <c r="U54" i="3"/>
  <c r="U38" i="3"/>
  <c r="P47" i="3"/>
  <c r="U42" i="3"/>
  <c r="U381" i="3"/>
  <c r="U377" i="3"/>
  <c r="U368" i="3"/>
  <c r="U294" i="3"/>
  <c r="U190" i="3"/>
  <c r="U379" i="3"/>
  <c r="U288" i="3"/>
  <c r="U295" i="3"/>
  <c r="U213" i="3"/>
  <c r="U130" i="3"/>
  <c r="U275" i="3"/>
  <c r="U145" i="3"/>
  <c r="U375" i="3"/>
  <c r="U344" i="3"/>
  <c r="U221" i="3"/>
  <c r="U257" i="3"/>
  <c r="U163" i="3"/>
  <c r="U175" i="3"/>
  <c r="U362" i="3"/>
  <c r="U106" i="3"/>
  <c r="U120" i="3"/>
  <c r="U255" i="3"/>
  <c r="U241" i="3"/>
  <c r="U240" i="3"/>
  <c r="U143" i="3"/>
  <c r="U219" i="3"/>
  <c r="U115" i="3"/>
  <c r="U93" i="3"/>
  <c r="U88" i="3"/>
  <c r="U136" i="3"/>
  <c r="U30" i="3"/>
  <c r="U50" i="3"/>
  <c r="U81" i="3"/>
  <c r="P33" i="3"/>
  <c r="P50" i="3"/>
  <c r="P26" i="3"/>
  <c r="P24" i="3"/>
  <c r="U35" i="3"/>
  <c r="P36" i="3"/>
  <c r="U373" i="3"/>
  <c r="U369" i="3"/>
  <c r="U378" i="3"/>
  <c r="U270" i="3"/>
  <c r="U367" i="3"/>
  <c r="U352" i="3"/>
  <c r="U280" i="3"/>
  <c r="U287" i="3"/>
  <c r="U204" i="3"/>
  <c r="U122" i="3"/>
  <c r="U252" i="3"/>
  <c r="U137" i="3"/>
  <c r="U359" i="3"/>
  <c r="U281" i="3"/>
  <c r="U211" i="3"/>
  <c r="U234" i="3"/>
  <c r="U155" i="3"/>
  <c r="U173" i="3"/>
  <c r="U210" i="3"/>
  <c r="U199" i="3"/>
  <c r="U117" i="3"/>
  <c r="U253" i="3"/>
  <c r="U227" i="3"/>
  <c r="U239" i="3"/>
  <c r="U134" i="3"/>
  <c r="U218" i="3"/>
  <c r="U109" i="3"/>
  <c r="U79" i="3"/>
  <c r="U77" i="3"/>
  <c r="U128" i="3"/>
  <c r="U110" i="3"/>
  <c r="U47" i="3"/>
  <c r="U70" i="3"/>
  <c r="P35" i="3"/>
  <c r="U82" i="3"/>
  <c r="U32" i="3"/>
  <c r="U33" i="3"/>
  <c r="P31" i="3"/>
  <c r="U382" i="3"/>
  <c r="U365" i="3"/>
  <c r="U361" i="3"/>
  <c r="U360" i="3"/>
  <c r="U262" i="3"/>
  <c r="U351" i="3"/>
  <c r="U346" i="3"/>
  <c r="U264" i="3"/>
  <c r="U273" i="3"/>
  <c r="U194" i="3"/>
  <c r="U114" i="3"/>
  <c r="U236" i="3"/>
  <c r="U129" i="3"/>
  <c r="U338" i="3"/>
  <c r="U269" i="3"/>
  <c r="U315" i="3"/>
  <c r="U212" i="3"/>
  <c r="U131" i="3"/>
  <c r="U150" i="3"/>
  <c r="U187" i="3"/>
  <c r="U189" i="3"/>
  <c r="U113" i="3"/>
  <c r="U229" i="3"/>
  <c r="U208" i="3"/>
  <c r="U201" i="3"/>
  <c r="U124" i="3"/>
  <c r="U215" i="3"/>
  <c r="U274" i="3"/>
  <c r="U65" i="3"/>
  <c r="U74" i="3"/>
  <c r="U100" i="3"/>
  <c r="U92" i="3"/>
  <c r="U123" i="3"/>
  <c r="U67" i="3"/>
  <c r="P38" i="3"/>
  <c r="U66" i="3"/>
  <c r="P42" i="3"/>
  <c r="P39" i="3"/>
  <c r="P28" i="3"/>
  <c r="U374" i="3"/>
  <c r="U357" i="3"/>
  <c r="U353" i="3"/>
  <c r="U331" i="3"/>
  <c r="U254" i="3"/>
  <c r="U339" i="3"/>
  <c r="U340" i="3"/>
  <c r="U256" i="3"/>
  <c r="U267" i="3"/>
  <c r="U178" i="3"/>
  <c r="U364" i="3"/>
  <c r="U226" i="3"/>
  <c r="U121" i="3"/>
  <c r="U319" i="3"/>
  <c r="U266" i="3"/>
  <c r="U313" i="3"/>
  <c r="U203" i="3"/>
  <c r="U271" i="3"/>
  <c r="U142" i="3"/>
  <c r="U168" i="3"/>
  <c r="U166" i="3"/>
  <c r="U105" i="3"/>
  <c r="U228" i="3"/>
  <c r="U207" i="3"/>
  <c r="U197" i="3"/>
  <c r="U347" i="3"/>
  <c r="U191" i="3"/>
  <c r="U260" i="3"/>
  <c r="U51" i="3"/>
  <c r="U63" i="3"/>
  <c r="U86" i="3"/>
  <c r="U89" i="3"/>
  <c r="U119" i="3"/>
  <c r="U24" i="3"/>
  <c r="U45" i="3"/>
  <c r="U40" i="3"/>
  <c r="U68" i="3"/>
  <c r="P46" i="3"/>
  <c r="U31" i="3"/>
  <c r="P40" i="3"/>
  <c r="P45" i="3"/>
  <c r="U366" i="3"/>
  <c r="U341" i="3"/>
  <c r="U345" i="3"/>
  <c r="U327" i="3"/>
  <c r="U238" i="3"/>
  <c r="U316" i="3"/>
  <c r="U322" i="3"/>
  <c r="U354" i="3"/>
  <c r="U261" i="3"/>
  <c r="U170" i="3"/>
  <c r="U324" i="3"/>
  <c r="U205" i="3"/>
  <c r="U355" i="3"/>
  <c r="U318" i="3"/>
  <c r="U263" i="3"/>
  <c r="U306" i="3"/>
  <c r="U193" i="3"/>
  <c r="U231" i="3"/>
  <c r="U140" i="3"/>
  <c r="U158" i="3"/>
  <c r="U164" i="3"/>
  <c r="U330" i="3"/>
  <c r="U186" i="3"/>
  <c r="U172" i="3"/>
  <c r="U185" i="3"/>
  <c r="U291" i="3"/>
  <c r="U182" i="3"/>
  <c r="U217" i="3"/>
  <c r="U108" i="3"/>
  <c r="U60" i="3"/>
  <c r="U72" i="3"/>
  <c r="U78" i="3"/>
  <c r="U112" i="3"/>
  <c r="U26" i="3"/>
  <c r="P49" i="3"/>
  <c r="U59" i="3"/>
  <c r="U57" i="3"/>
  <c r="U36" i="3"/>
  <c r="U358" i="3"/>
  <c r="U333" i="3"/>
  <c r="U337" i="3"/>
  <c r="U323" i="3"/>
  <c r="U214" i="3"/>
  <c r="U292" i="3"/>
  <c r="U312" i="3"/>
  <c r="U348" i="3"/>
  <c r="U235" i="3"/>
  <c r="U162" i="3"/>
  <c r="U305" i="3"/>
  <c r="U177" i="3"/>
  <c r="U336" i="3"/>
  <c r="U309" i="3"/>
  <c r="U243" i="3"/>
  <c r="U301" i="3"/>
  <c r="U192" i="3"/>
  <c r="U200" i="3"/>
  <c r="U116" i="3"/>
  <c r="U156" i="3"/>
  <c r="U152" i="3"/>
  <c r="U299" i="3"/>
  <c r="U183" i="3"/>
  <c r="U149" i="3"/>
  <c r="U176" i="3"/>
  <c r="U268" i="3"/>
  <c r="U165" i="3"/>
  <c r="U196" i="3"/>
  <c r="U101" i="3"/>
  <c r="U49" i="3"/>
  <c r="U58" i="3"/>
  <c r="U75" i="3"/>
  <c r="U102" i="3"/>
  <c r="N32" i="3"/>
  <c r="M32" i="3"/>
  <c r="S189" i="2"/>
  <c r="R189" i="2"/>
  <c r="R181" i="2"/>
  <c r="S181" i="2"/>
  <c r="R197" i="2"/>
  <c r="S197" i="2"/>
  <c r="N231" i="3"/>
  <c r="M231" i="3"/>
  <c r="M204" i="3"/>
  <c r="N204" i="3"/>
  <c r="N227" i="3"/>
  <c r="M227" i="3"/>
  <c r="N175" i="3"/>
  <c r="M175" i="3"/>
  <c r="N179" i="3"/>
  <c r="M179" i="3"/>
  <c r="M196" i="3"/>
  <c r="N196" i="3"/>
  <c r="N326" i="3"/>
  <c r="M326" i="3"/>
  <c r="N346" i="3"/>
  <c r="M346" i="3"/>
  <c r="M333" i="3"/>
  <c r="N333" i="3"/>
  <c r="R281" i="2"/>
  <c r="S281" i="2"/>
  <c r="S287" i="2"/>
  <c r="R287" i="2"/>
  <c r="R288" i="2"/>
  <c r="S288" i="2"/>
  <c r="S333" i="2"/>
  <c r="R333" i="2"/>
  <c r="R330" i="2"/>
  <c r="S330" i="2"/>
  <c r="S340" i="2"/>
  <c r="R340" i="2"/>
  <c r="N124" i="3"/>
  <c r="M124" i="3"/>
  <c r="N122" i="3"/>
  <c r="M122" i="3"/>
  <c r="N123" i="3"/>
  <c r="M123" i="3"/>
  <c r="M137" i="3"/>
  <c r="N137" i="3"/>
  <c r="N242" i="3"/>
  <c r="M242" i="3"/>
  <c r="N241" i="3"/>
  <c r="M241" i="3"/>
  <c r="N259" i="3"/>
  <c r="M259" i="3"/>
  <c r="N305" i="3"/>
  <c r="M305" i="3"/>
  <c r="N320" i="3"/>
  <c r="M320" i="3"/>
  <c r="N315" i="3"/>
  <c r="M315" i="3"/>
  <c r="R116" i="2"/>
  <c r="S116" i="2"/>
  <c r="R126" i="2"/>
  <c r="S126" i="2"/>
  <c r="S135" i="2"/>
  <c r="R135" i="2"/>
  <c r="S253" i="2"/>
  <c r="R253" i="2"/>
  <c r="R240" i="2"/>
  <c r="S240" i="2"/>
  <c r="S263" i="2"/>
  <c r="R263" i="2"/>
  <c r="N374" i="3"/>
  <c r="M374" i="3"/>
  <c r="P378" i="3"/>
  <c r="P362" i="3"/>
  <c r="N355" i="3"/>
  <c r="P377" i="3"/>
  <c r="P369" i="3"/>
  <c r="P361" i="3"/>
  <c r="M355" i="3"/>
  <c r="P381" i="3"/>
  <c r="P373" i="3"/>
  <c r="P365" i="3"/>
  <c r="P357" i="3"/>
  <c r="P380" i="3"/>
  <c r="P364" i="3"/>
  <c r="P374" i="3"/>
  <c r="P368" i="3"/>
  <c r="P359" i="3"/>
  <c r="P375" i="3"/>
  <c r="P355" i="3"/>
  <c r="P383" i="3"/>
  <c r="P366" i="3"/>
  <c r="P360" i="3"/>
  <c r="P376" i="3"/>
  <c r="P382" i="3"/>
  <c r="P358" i="3"/>
  <c r="P379" i="3"/>
  <c r="P367" i="3"/>
  <c r="M364" i="3"/>
  <c r="N364" i="3"/>
  <c r="M284" i="3"/>
  <c r="N284" i="3"/>
  <c r="M274" i="3"/>
  <c r="N274" i="3"/>
  <c r="N269" i="3"/>
  <c r="M269" i="3"/>
  <c r="E117" i="5"/>
  <c r="E104" i="5"/>
  <c r="E125" i="5"/>
  <c r="E120" i="5"/>
  <c r="E121" i="5"/>
  <c r="E129" i="5"/>
  <c r="E111" i="5"/>
  <c r="E103" i="5"/>
  <c r="E118" i="5"/>
  <c r="E108" i="5"/>
  <c r="E112" i="5"/>
  <c r="E107" i="5"/>
  <c r="E119" i="5"/>
  <c r="E115" i="5"/>
  <c r="E132" i="5"/>
  <c r="E114" i="5"/>
  <c r="E106" i="5"/>
  <c r="E110" i="5"/>
  <c r="E122" i="5"/>
  <c r="E113" i="5"/>
  <c r="E124" i="5"/>
  <c r="E105" i="5"/>
  <c r="E127" i="5"/>
  <c r="E128" i="5"/>
  <c r="E126" i="5"/>
  <c r="S46" i="2"/>
  <c r="R46" i="2"/>
  <c r="W142" i="2"/>
  <c r="X142" i="2"/>
  <c r="X108" i="2"/>
  <c r="W108" i="2"/>
  <c r="X140" i="2"/>
  <c r="W140" i="2"/>
  <c r="X261" i="2"/>
  <c r="W261" i="2"/>
  <c r="W230" i="2"/>
  <c r="X230" i="2"/>
  <c r="X57" i="2"/>
  <c r="W57" i="2"/>
  <c r="W311" i="2"/>
  <c r="X311" i="2"/>
  <c r="X133" i="2"/>
  <c r="W133" i="2"/>
  <c r="X321" i="2"/>
  <c r="W321" i="2"/>
  <c r="W191" i="2"/>
  <c r="X191" i="2"/>
  <c r="X63" i="2"/>
  <c r="W63" i="2"/>
  <c r="X254" i="2"/>
  <c r="W254" i="2"/>
  <c r="W371" i="2"/>
  <c r="X371" i="2"/>
  <c r="W361" i="2"/>
  <c r="X361" i="2"/>
  <c r="W219" i="2"/>
  <c r="X219" i="2"/>
  <c r="X65" i="2"/>
  <c r="W65" i="2"/>
  <c r="X273" i="2"/>
  <c r="W273" i="2"/>
  <c r="X94" i="2"/>
  <c r="W94" i="2"/>
  <c r="W370" i="2"/>
  <c r="X370" i="2"/>
  <c r="X281" i="2"/>
  <c r="W281" i="2"/>
  <c r="W192" i="2"/>
  <c r="X192" i="2"/>
  <c r="W99" i="2"/>
  <c r="X99" i="2"/>
  <c r="X212" i="2"/>
  <c r="W212" i="2"/>
  <c r="W351" i="2"/>
  <c r="X351" i="2"/>
  <c r="W193" i="2"/>
  <c r="X193" i="2"/>
  <c r="W93" i="2"/>
  <c r="X93" i="2"/>
  <c r="X238" i="2"/>
  <c r="W238" i="2"/>
  <c r="W345" i="2"/>
  <c r="X345" i="2"/>
  <c r="X112" i="2"/>
  <c r="W112" i="2"/>
  <c r="X317" i="2"/>
  <c r="W317" i="2"/>
  <c r="W263" i="2"/>
  <c r="X263" i="2"/>
  <c r="W382" i="2"/>
  <c r="X382" i="2"/>
  <c r="W303" i="2"/>
  <c r="X303" i="2"/>
  <c r="X45" i="2"/>
  <c r="W45" i="2"/>
  <c r="W123" i="2"/>
  <c r="X123" i="2"/>
  <c r="X309" i="2"/>
  <c r="W309" i="2"/>
  <c r="X128" i="2"/>
  <c r="W128" i="2"/>
  <c r="X163" i="2"/>
  <c r="W163" i="2"/>
  <c r="R294" i="2"/>
  <c r="S294" i="2"/>
  <c r="R298" i="2"/>
  <c r="S298" i="2"/>
  <c r="R321" i="2"/>
  <c r="S321" i="2"/>
  <c r="G28" i="3"/>
  <c r="Z29" i="3"/>
  <c r="M63" i="3"/>
  <c r="N63" i="3"/>
  <c r="N61" i="3"/>
  <c r="M61" i="3"/>
  <c r="N68" i="3"/>
  <c r="M68" i="3"/>
  <c r="N165" i="3"/>
  <c r="M165" i="3"/>
  <c r="N159" i="3"/>
  <c r="M159" i="3"/>
  <c r="N162" i="3"/>
  <c r="M162" i="3"/>
  <c r="S358" i="2"/>
  <c r="R358" i="2"/>
  <c r="S375" i="2"/>
  <c r="R375" i="2"/>
  <c r="R382" i="2"/>
  <c r="S382" i="2"/>
  <c r="N95" i="3"/>
  <c r="M95" i="3"/>
  <c r="P110" i="3"/>
  <c r="P109" i="3"/>
  <c r="P105" i="3"/>
  <c r="P94" i="3"/>
  <c r="P80" i="3"/>
  <c r="P100" i="3"/>
  <c r="P86" i="3"/>
  <c r="N80" i="3"/>
  <c r="P103" i="3"/>
  <c r="P92" i="3"/>
  <c r="P89" i="3"/>
  <c r="P102" i="3"/>
  <c r="P95" i="3"/>
  <c r="P84" i="3"/>
  <c r="P81" i="3"/>
  <c r="P108" i="3"/>
  <c r="P87" i="3"/>
  <c r="P107" i="3"/>
  <c r="P93" i="3"/>
  <c r="P101" i="3"/>
  <c r="P96" i="3"/>
  <c r="P85" i="3"/>
  <c r="P82" i="3"/>
  <c r="P106" i="3"/>
  <c r="P91" i="3"/>
  <c r="P88" i="3"/>
  <c r="M80" i="3"/>
  <c r="N93" i="3"/>
  <c r="M93" i="3"/>
  <c r="S204" i="2"/>
  <c r="R204" i="2"/>
  <c r="S213" i="2"/>
  <c r="R213" i="2"/>
  <c r="R225" i="2"/>
  <c r="S225" i="2"/>
  <c r="R98" i="2"/>
  <c r="S98" i="2"/>
  <c r="S90" i="2"/>
  <c r="R90" i="2"/>
  <c r="S99" i="2"/>
  <c r="R99" i="2"/>
  <c r="R52" i="2"/>
  <c r="S52" i="2"/>
  <c r="S70" i="2"/>
  <c r="R70" i="2"/>
  <c r="N26" i="3"/>
  <c r="M26" i="3"/>
  <c r="N37" i="3"/>
  <c r="M37" i="3"/>
  <c r="S175" i="2"/>
  <c r="R175" i="2"/>
  <c r="R185" i="2"/>
  <c r="S185" i="2"/>
  <c r="R198" i="2"/>
  <c r="S198" i="2"/>
  <c r="N232" i="3"/>
  <c r="M232" i="3"/>
  <c r="N224" i="3"/>
  <c r="M224" i="3"/>
  <c r="N205" i="3"/>
  <c r="M205" i="3"/>
  <c r="N183" i="3"/>
  <c r="M183" i="3"/>
  <c r="N190" i="3"/>
  <c r="M190" i="3"/>
  <c r="N192" i="3"/>
  <c r="M192" i="3"/>
  <c r="N189" i="3"/>
  <c r="M189" i="3"/>
  <c r="N330" i="3"/>
  <c r="M330" i="3"/>
  <c r="N336" i="3"/>
  <c r="M336" i="3"/>
  <c r="N341" i="3"/>
  <c r="M341" i="3"/>
  <c r="R290" i="2"/>
  <c r="S290" i="2"/>
  <c r="S352" i="2"/>
  <c r="R352" i="2"/>
  <c r="S329" i="2"/>
  <c r="R329" i="2"/>
  <c r="R344" i="2"/>
  <c r="S344" i="2"/>
  <c r="N119" i="3"/>
  <c r="M119" i="3"/>
  <c r="M140" i="3"/>
  <c r="N140" i="3"/>
  <c r="N130" i="3"/>
  <c r="M130" i="3"/>
  <c r="S167" i="2"/>
  <c r="R167" i="2"/>
  <c r="D10" i="4"/>
  <c r="G10" i="4"/>
  <c r="G9" i="4"/>
  <c r="D9" i="4"/>
  <c r="W182" i="3" l="1"/>
  <c r="X182" i="3"/>
  <c r="W40" i="3"/>
  <c r="X40" i="3"/>
  <c r="X257" i="3"/>
  <c r="W257" i="3"/>
  <c r="W291" i="3"/>
  <c r="X291" i="3"/>
  <c r="X142" i="3"/>
  <c r="W142" i="3"/>
  <c r="X131" i="3"/>
  <c r="W131" i="3"/>
  <c r="X241" i="3"/>
  <c r="W241" i="3"/>
  <c r="X232" i="3"/>
  <c r="W232" i="3"/>
  <c r="W268" i="3"/>
  <c r="X268" i="3"/>
  <c r="W354" i="3"/>
  <c r="X354" i="3"/>
  <c r="W267" i="3"/>
  <c r="X267" i="3"/>
  <c r="W128" i="3"/>
  <c r="X128" i="3"/>
  <c r="S105" i="3"/>
  <c r="R105" i="3"/>
  <c r="S107" i="3"/>
  <c r="R107" i="3"/>
  <c r="R92" i="3"/>
  <c r="S92" i="3"/>
  <c r="X75" i="3"/>
  <c r="W75" i="3"/>
  <c r="X149" i="3"/>
  <c r="W149" i="3"/>
  <c r="W348" i="3"/>
  <c r="X348" i="3"/>
  <c r="W36" i="3"/>
  <c r="X36" i="3"/>
  <c r="X318" i="3"/>
  <c r="W318" i="3"/>
  <c r="W316" i="3"/>
  <c r="X316" i="3"/>
  <c r="W31" i="3"/>
  <c r="X31" i="3"/>
  <c r="X86" i="3"/>
  <c r="W86" i="3"/>
  <c r="W228" i="3"/>
  <c r="X228" i="3"/>
  <c r="W340" i="3"/>
  <c r="X340" i="3"/>
  <c r="S39" i="3"/>
  <c r="R39" i="3"/>
  <c r="X74" i="3"/>
  <c r="W74" i="3"/>
  <c r="X113" i="3"/>
  <c r="W113" i="3"/>
  <c r="X351" i="3"/>
  <c r="W351" i="3"/>
  <c r="X32" i="3"/>
  <c r="W32" i="3"/>
  <c r="W79" i="3"/>
  <c r="X79" i="3"/>
  <c r="X199" i="3"/>
  <c r="W199" i="3"/>
  <c r="W137" i="3"/>
  <c r="X137" i="3"/>
  <c r="S50" i="3"/>
  <c r="R50" i="3"/>
  <c r="W115" i="3"/>
  <c r="X115" i="3"/>
  <c r="X362" i="3"/>
  <c r="W362" i="3"/>
  <c r="W368" i="3"/>
  <c r="X368" i="3"/>
  <c r="X56" i="3"/>
  <c r="W56" i="3"/>
  <c r="W289" i="3"/>
  <c r="X289" i="3"/>
  <c r="S198" i="3"/>
  <c r="R198" i="3"/>
  <c r="S106" i="3"/>
  <c r="R106" i="3"/>
  <c r="R108" i="3"/>
  <c r="S108" i="3"/>
  <c r="R360" i="3"/>
  <c r="S360" i="3"/>
  <c r="S364" i="3"/>
  <c r="R364" i="3"/>
  <c r="S369" i="3"/>
  <c r="R369" i="3"/>
  <c r="X49" i="3"/>
  <c r="W49" i="3"/>
  <c r="W299" i="3"/>
  <c r="X299" i="3"/>
  <c r="X309" i="3"/>
  <c r="W309" i="3"/>
  <c r="W292" i="3"/>
  <c r="X292" i="3"/>
  <c r="W59" i="3"/>
  <c r="X59" i="3"/>
  <c r="W217" i="3"/>
  <c r="X217" i="3"/>
  <c r="W158" i="3"/>
  <c r="X158" i="3"/>
  <c r="X205" i="3"/>
  <c r="W205" i="3"/>
  <c r="W327" i="3"/>
  <c r="X327" i="3"/>
  <c r="W68" i="3"/>
  <c r="X68" i="3"/>
  <c r="W51" i="3"/>
  <c r="X51" i="3"/>
  <c r="W166" i="3"/>
  <c r="X166" i="3"/>
  <c r="X121" i="3"/>
  <c r="W121" i="3"/>
  <c r="X254" i="3"/>
  <c r="W254" i="3"/>
  <c r="X66" i="3"/>
  <c r="W66" i="3"/>
  <c r="X274" i="3"/>
  <c r="W274" i="3"/>
  <c r="W187" i="3"/>
  <c r="X187" i="3"/>
  <c r="X236" i="3"/>
  <c r="W236" i="3"/>
  <c r="W360" i="3"/>
  <c r="X360" i="3"/>
  <c r="S35" i="3"/>
  <c r="R35" i="3"/>
  <c r="X218" i="3"/>
  <c r="W218" i="3"/>
  <c r="X173" i="3"/>
  <c r="W173" i="3"/>
  <c r="X122" i="3"/>
  <c r="W122" i="3"/>
  <c r="X369" i="3"/>
  <c r="W369" i="3"/>
  <c r="X81" i="3"/>
  <c r="W81" i="3"/>
  <c r="X143" i="3"/>
  <c r="W143" i="3"/>
  <c r="W163" i="3"/>
  <c r="X163" i="3"/>
  <c r="W213" i="3"/>
  <c r="X213" i="3"/>
  <c r="X381" i="3"/>
  <c r="W381" i="3"/>
  <c r="X84" i="3"/>
  <c r="W84" i="3"/>
  <c r="W151" i="3"/>
  <c r="X151" i="3"/>
  <c r="X171" i="3"/>
  <c r="W171" i="3"/>
  <c r="W224" i="3"/>
  <c r="X224" i="3"/>
  <c r="W326" i="3"/>
  <c r="X326" i="3"/>
  <c r="X44" i="3"/>
  <c r="W44" i="3"/>
  <c r="X250" i="3"/>
  <c r="W250" i="3"/>
  <c r="X233" i="3"/>
  <c r="W233" i="3"/>
  <c r="X304" i="3"/>
  <c r="W304" i="3"/>
  <c r="X80" i="3"/>
  <c r="W80" i="3"/>
  <c r="S348" i="3"/>
  <c r="R348" i="3"/>
  <c r="S327" i="3"/>
  <c r="R327" i="3"/>
  <c r="S337" i="3"/>
  <c r="R337" i="3"/>
  <c r="R177" i="3"/>
  <c r="S177" i="3"/>
  <c r="R178" i="3"/>
  <c r="S178" i="3"/>
  <c r="R191" i="3"/>
  <c r="S191" i="3"/>
  <c r="S194" i="3"/>
  <c r="R194" i="3"/>
  <c r="S256" i="3"/>
  <c r="R256" i="3"/>
  <c r="S260" i="3"/>
  <c r="R260" i="3"/>
  <c r="F21" i="5"/>
  <c r="I21" i="5" s="1"/>
  <c r="F32" i="5"/>
  <c r="I32" i="5" s="1"/>
  <c r="F14" i="5"/>
  <c r="I14" i="5" s="1"/>
  <c r="F34" i="5"/>
  <c r="I34" i="5" s="1"/>
  <c r="F23" i="5"/>
  <c r="I23" i="5" s="1"/>
  <c r="F20" i="5"/>
  <c r="I20" i="5" s="1"/>
  <c r="E35" i="5"/>
  <c r="F10" i="5"/>
  <c r="I10" i="5" s="1"/>
  <c r="F12" i="5"/>
  <c r="I12" i="5" s="1"/>
  <c r="F33" i="5"/>
  <c r="I33" i="5" s="1"/>
  <c r="F18" i="5"/>
  <c r="I18" i="5" s="1"/>
  <c r="F31" i="5"/>
  <c r="I31" i="5" s="1"/>
  <c r="F25" i="5"/>
  <c r="I25" i="5" s="1"/>
  <c r="F17" i="5"/>
  <c r="I17" i="5" s="1"/>
  <c r="F27" i="5"/>
  <c r="I27" i="5" s="1"/>
  <c r="F26" i="5"/>
  <c r="I26" i="5" s="1"/>
  <c r="F22" i="5"/>
  <c r="I22" i="5" s="1"/>
  <c r="F28" i="5"/>
  <c r="I28" i="5" s="1"/>
  <c r="F13" i="5"/>
  <c r="I13" i="5" s="1"/>
  <c r="F29" i="5"/>
  <c r="I29" i="5" s="1"/>
  <c r="F11" i="5"/>
  <c r="I11" i="5" s="1"/>
  <c r="F19" i="5"/>
  <c r="I19" i="5" s="1"/>
  <c r="F24" i="5"/>
  <c r="I24" i="5" s="1"/>
  <c r="E100" i="5"/>
  <c r="F98" i="5"/>
  <c r="I98" i="5" s="1"/>
  <c r="F95" i="5"/>
  <c r="I95" i="5" s="1"/>
  <c r="F87" i="5"/>
  <c r="I87" i="5" s="1"/>
  <c r="F79" i="5"/>
  <c r="I79" i="5" s="1"/>
  <c r="F94" i="5"/>
  <c r="I94" i="5" s="1"/>
  <c r="F77" i="5"/>
  <c r="I77" i="5" s="1"/>
  <c r="F69" i="5"/>
  <c r="I69" i="5" s="1"/>
  <c r="F80" i="5"/>
  <c r="I80" i="5" s="1"/>
  <c r="F70" i="5"/>
  <c r="I70" i="5" s="1"/>
  <c r="F88" i="5"/>
  <c r="I88" i="5" s="1"/>
  <c r="F84" i="5"/>
  <c r="I84" i="5" s="1"/>
  <c r="F72" i="5"/>
  <c r="I72" i="5" s="1"/>
  <c r="F97" i="5"/>
  <c r="I97" i="5" s="1"/>
  <c r="F82" i="5"/>
  <c r="I82" i="5" s="1"/>
  <c r="F86" i="5"/>
  <c r="I86" i="5" s="1"/>
  <c r="F74" i="5"/>
  <c r="I74" i="5" s="1"/>
  <c r="F96" i="5"/>
  <c r="I96" i="5" s="1"/>
  <c r="F81" i="5"/>
  <c r="I81" i="5" s="1"/>
  <c r="F90" i="5"/>
  <c r="I90" i="5" s="1"/>
  <c r="F76" i="5"/>
  <c r="I76" i="5" s="1"/>
  <c r="F83" i="5"/>
  <c r="I83" i="5" s="1"/>
  <c r="F89" i="5"/>
  <c r="I89" i="5" s="1"/>
  <c r="F73" i="5"/>
  <c r="I73" i="5" s="1"/>
  <c r="F91" i="5"/>
  <c r="I91" i="5" s="1"/>
  <c r="F75" i="5"/>
  <c r="I75" i="5" s="1"/>
  <c r="F93" i="5"/>
  <c r="I93" i="5" s="1"/>
  <c r="S275" i="3"/>
  <c r="R275" i="3"/>
  <c r="S283" i="3"/>
  <c r="R283" i="3"/>
  <c r="S266" i="3"/>
  <c r="R266" i="3"/>
  <c r="S59" i="3"/>
  <c r="R59" i="3"/>
  <c r="S53" i="3"/>
  <c r="R53" i="3"/>
  <c r="S163" i="3"/>
  <c r="R163" i="3"/>
  <c r="R154" i="3"/>
  <c r="S154" i="3"/>
  <c r="R149" i="3"/>
  <c r="S149" i="3"/>
  <c r="S297" i="3"/>
  <c r="R297" i="3"/>
  <c r="S313" i="3"/>
  <c r="R313" i="3"/>
  <c r="S306" i="3"/>
  <c r="R306" i="3"/>
  <c r="R133" i="3"/>
  <c r="S133" i="3"/>
  <c r="S120" i="3"/>
  <c r="R120" i="3"/>
  <c r="R138" i="3"/>
  <c r="S138" i="3"/>
  <c r="S206" i="3"/>
  <c r="R206" i="3"/>
  <c r="S208" i="3"/>
  <c r="R208" i="3"/>
  <c r="R207" i="3"/>
  <c r="S207" i="3"/>
  <c r="W324" i="3"/>
  <c r="X324" i="3"/>
  <c r="X226" i="3"/>
  <c r="W226" i="3"/>
  <c r="S38" i="3"/>
  <c r="R38" i="3"/>
  <c r="W361" i="3"/>
  <c r="X361" i="3"/>
  <c r="X70" i="3"/>
  <c r="W70" i="3"/>
  <c r="X204" i="3"/>
  <c r="W204" i="3"/>
  <c r="W240" i="3"/>
  <c r="X240" i="3"/>
  <c r="X295" i="3"/>
  <c r="W295" i="3"/>
  <c r="X42" i="3"/>
  <c r="W42" i="3"/>
  <c r="X61" i="3"/>
  <c r="W61" i="3"/>
  <c r="W283" i="3"/>
  <c r="X283" i="3"/>
  <c r="X290" i="3"/>
  <c r="W290" i="3"/>
  <c r="X303" i="3"/>
  <c r="W303" i="3"/>
  <c r="X39" i="3"/>
  <c r="W39" i="3"/>
  <c r="W46" i="3"/>
  <c r="X46" i="3"/>
  <c r="W282" i="3"/>
  <c r="X282" i="3"/>
  <c r="X383" i="3"/>
  <c r="W383" i="3"/>
  <c r="W284" i="3"/>
  <c r="X284" i="3"/>
  <c r="S32" i="3"/>
  <c r="R32" i="3"/>
  <c r="N133" i="5"/>
  <c r="O125" i="5"/>
  <c r="R125" i="5" s="1"/>
  <c r="O106" i="5"/>
  <c r="R106" i="5" s="1"/>
  <c r="O118" i="5"/>
  <c r="R118" i="5" s="1"/>
  <c r="O104" i="5"/>
  <c r="R104" i="5" s="1"/>
  <c r="O120" i="5"/>
  <c r="R120" i="5" s="1"/>
  <c r="O119" i="5"/>
  <c r="R119" i="5" s="1"/>
  <c r="O115" i="5"/>
  <c r="R115" i="5" s="1"/>
  <c r="O126" i="5"/>
  <c r="R126" i="5" s="1"/>
  <c r="O117" i="5"/>
  <c r="R117" i="5" s="1"/>
  <c r="O110" i="5"/>
  <c r="R110" i="5" s="1"/>
  <c r="O124" i="5"/>
  <c r="R124" i="5" s="1"/>
  <c r="O129" i="5"/>
  <c r="R129" i="5" s="1"/>
  <c r="O113" i="5"/>
  <c r="R113" i="5" s="1"/>
  <c r="O132" i="5"/>
  <c r="R132" i="5" s="1"/>
  <c r="O108" i="5"/>
  <c r="R108" i="5" s="1"/>
  <c r="O105" i="5"/>
  <c r="R105" i="5" s="1"/>
  <c r="O107" i="5"/>
  <c r="R107" i="5" s="1"/>
  <c r="O112" i="5"/>
  <c r="R112" i="5" s="1"/>
  <c r="O121" i="5"/>
  <c r="R121" i="5" s="1"/>
  <c r="O128" i="5"/>
  <c r="R128" i="5" s="1"/>
  <c r="O122" i="5"/>
  <c r="R122" i="5" s="1"/>
  <c r="O127" i="5"/>
  <c r="R127" i="5" s="1"/>
  <c r="O114" i="5"/>
  <c r="R114" i="5" s="1"/>
  <c r="O103" i="5"/>
  <c r="R103" i="5" s="1"/>
  <c r="O111" i="5"/>
  <c r="R111" i="5" s="1"/>
  <c r="R340" i="3"/>
  <c r="S340" i="3"/>
  <c r="R345" i="3"/>
  <c r="S345" i="3"/>
  <c r="S179" i="3"/>
  <c r="R179" i="3"/>
  <c r="S185" i="3"/>
  <c r="R185" i="3"/>
  <c r="S200" i="3"/>
  <c r="R200" i="3"/>
  <c r="S261" i="3"/>
  <c r="R261" i="3"/>
  <c r="R239" i="3"/>
  <c r="S239" i="3"/>
  <c r="S234" i="3"/>
  <c r="R234" i="3"/>
  <c r="E167" i="5"/>
  <c r="F163" i="5"/>
  <c r="I163" i="5" s="1"/>
  <c r="F155" i="5"/>
  <c r="I155" i="5" s="1"/>
  <c r="F139" i="5"/>
  <c r="I139" i="5" s="1"/>
  <c r="F164" i="5"/>
  <c r="I164" i="5" s="1"/>
  <c r="F153" i="5"/>
  <c r="I153" i="5" s="1"/>
  <c r="F148" i="5"/>
  <c r="I148" i="5" s="1"/>
  <c r="F137" i="5"/>
  <c r="I137" i="5" s="1"/>
  <c r="F156" i="5"/>
  <c r="I156" i="5" s="1"/>
  <c r="F151" i="5"/>
  <c r="I151" i="5" s="1"/>
  <c r="F144" i="5"/>
  <c r="I144" i="5" s="1"/>
  <c r="F145" i="5"/>
  <c r="I145" i="5" s="1"/>
  <c r="F146" i="5"/>
  <c r="I146" i="5" s="1"/>
  <c r="F165" i="5"/>
  <c r="I165" i="5" s="1"/>
  <c r="F152" i="5"/>
  <c r="I152" i="5" s="1"/>
  <c r="F162" i="5"/>
  <c r="I162" i="5" s="1"/>
  <c r="F160" i="5"/>
  <c r="I160" i="5" s="1"/>
  <c r="F149" i="5"/>
  <c r="I149" i="5" s="1"/>
  <c r="F138" i="5"/>
  <c r="I138" i="5" s="1"/>
  <c r="F136" i="5"/>
  <c r="I136" i="5" s="1"/>
  <c r="F143" i="5"/>
  <c r="I143" i="5" s="1"/>
  <c r="F166" i="5"/>
  <c r="I166" i="5" s="1"/>
  <c r="F158" i="5"/>
  <c r="I158" i="5" s="1"/>
  <c r="F150" i="5"/>
  <c r="I150" i="5" s="1"/>
  <c r="F159" i="5"/>
  <c r="I159" i="5" s="1"/>
  <c r="F157" i="5"/>
  <c r="I157" i="5" s="1"/>
  <c r="F142" i="5"/>
  <c r="I142" i="5" s="1"/>
  <c r="R270" i="3"/>
  <c r="S270" i="3"/>
  <c r="S291" i="3"/>
  <c r="R291" i="3"/>
  <c r="S274" i="3"/>
  <c r="R274" i="3"/>
  <c r="R66" i="3"/>
  <c r="S66" i="3"/>
  <c r="S54" i="3"/>
  <c r="R54" i="3"/>
  <c r="R56" i="3"/>
  <c r="S56" i="3"/>
  <c r="R144" i="3"/>
  <c r="S144" i="3"/>
  <c r="S169" i="3"/>
  <c r="R169" i="3"/>
  <c r="R157" i="3"/>
  <c r="S157" i="3"/>
  <c r="Z29" i="2"/>
  <c r="G28" i="2"/>
  <c r="R295" i="3"/>
  <c r="S295" i="3"/>
  <c r="S294" i="3"/>
  <c r="R294" i="3"/>
  <c r="S316" i="3"/>
  <c r="R316" i="3"/>
  <c r="S319" i="3"/>
  <c r="R319" i="3"/>
  <c r="F219" i="5"/>
  <c r="I219" i="5" s="1"/>
  <c r="F214" i="5"/>
  <c r="I214" i="5" s="1"/>
  <c r="F229" i="5"/>
  <c r="I229" i="5" s="1"/>
  <c r="E234" i="5"/>
  <c r="F207" i="5"/>
  <c r="I207" i="5" s="1"/>
  <c r="F213" i="5"/>
  <c r="I213" i="5" s="1"/>
  <c r="F208" i="5"/>
  <c r="I208" i="5" s="1"/>
  <c r="F205" i="5"/>
  <c r="I205" i="5" s="1"/>
  <c r="F233" i="5"/>
  <c r="I233" i="5" s="1"/>
  <c r="F232" i="5"/>
  <c r="I232" i="5" s="1"/>
  <c r="F221" i="5"/>
  <c r="I221" i="5" s="1"/>
  <c r="F217" i="5"/>
  <c r="I217" i="5" s="1"/>
  <c r="F210" i="5"/>
  <c r="I210" i="5" s="1"/>
  <c r="F206" i="5"/>
  <c r="I206" i="5" s="1"/>
  <c r="F211" i="5"/>
  <c r="I211" i="5" s="1"/>
  <c r="F220" i="5"/>
  <c r="I220" i="5" s="1"/>
  <c r="F231" i="5"/>
  <c r="I231" i="5" s="1"/>
  <c r="F204" i="5"/>
  <c r="I204" i="5" s="1"/>
  <c r="F215" i="5"/>
  <c r="I215" i="5" s="1"/>
  <c r="F227" i="5"/>
  <c r="I227" i="5" s="1"/>
  <c r="F203" i="5"/>
  <c r="I203" i="5" s="1"/>
  <c r="F228" i="5"/>
  <c r="I228" i="5" s="1"/>
  <c r="F212" i="5"/>
  <c r="I212" i="5" s="1"/>
  <c r="F226" i="5"/>
  <c r="I226" i="5" s="1"/>
  <c r="F218" i="5"/>
  <c r="I218" i="5" s="1"/>
  <c r="F222" i="5"/>
  <c r="I222" i="5" s="1"/>
  <c r="S126" i="3"/>
  <c r="R126" i="3"/>
  <c r="S127" i="3"/>
  <c r="R127" i="3"/>
  <c r="S112" i="3"/>
  <c r="R112" i="3"/>
  <c r="R227" i="3"/>
  <c r="S227" i="3"/>
  <c r="R229" i="3"/>
  <c r="S229" i="3"/>
  <c r="S210" i="3"/>
  <c r="R210" i="3"/>
  <c r="N335" i="5"/>
  <c r="O305" i="5"/>
  <c r="R305" i="5" s="1"/>
  <c r="O329" i="5"/>
  <c r="R329" i="5" s="1"/>
  <c r="O327" i="5"/>
  <c r="R327" i="5" s="1"/>
  <c r="O321" i="5"/>
  <c r="R321" i="5" s="1"/>
  <c r="O313" i="5"/>
  <c r="R313" i="5" s="1"/>
  <c r="O319" i="5"/>
  <c r="R319" i="5" s="1"/>
  <c r="O332" i="5"/>
  <c r="R332" i="5" s="1"/>
  <c r="O331" i="5"/>
  <c r="R331" i="5" s="1"/>
  <c r="O325" i="5"/>
  <c r="R325" i="5" s="1"/>
  <c r="O306" i="5"/>
  <c r="R306" i="5" s="1"/>
  <c r="O307" i="5"/>
  <c r="R307" i="5" s="1"/>
  <c r="O311" i="5"/>
  <c r="R311" i="5" s="1"/>
  <c r="O315" i="5"/>
  <c r="R315" i="5" s="1"/>
  <c r="O312" i="5"/>
  <c r="R312" i="5" s="1"/>
  <c r="O320" i="5"/>
  <c r="R320" i="5" s="1"/>
  <c r="O314" i="5"/>
  <c r="R314" i="5" s="1"/>
  <c r="O334" i="5"/>
  <c r="R334" i="5" s="1"/>
  <c r="O322" i="5"/>
  <c r="R322" i="5" s="1"/>
  <c r="O304" i="5"/>
  <c r="R304" i="5" s="1"/>
  <c r="O333" i="5"/>
  <c r="R333" i="5" s="1"/>
  <c r="O318" i="5"/>
  <c r="R318" i="5" s="1"/>
  <c r="O324" i="5"/>
  <c r="R324" i="5" s="1"/>
  <c r="O328" i="5"/>
  <c r="R328" i="5" s="1"/>
  <c r="O310" i="5"/>
  <c r="R310" i="5" s="1"/>
  <c r="O326" i="5"/>
  <c r="R326" i="5" s="1"/>
  <c r="O308" i="5"/>
  <c r="R308" i="5" s="1"/>
  <c r="R366" i="3"/>
  <c r="S366" i="3"/>
  <c r="R380" i="3"/>
  <c r="S380" i="3"/>
  <c r="S377" i="3"/>
  <c r="R377" i="3"/>
  <c r="W101" i="3"/>
  <c r="X101" i="3"/>
  <c r="S325" i="3"/>
  <c r="R325" i="3"/>
  <c r="R332" i="3"/>
  <c r="S332" i="3"/>
  <c r="S353" i="3"/>
  <c r="R353" i="3"/>
  <c r="S192" i="3"/>
  <c r="R192" i="3"/>
  <c r="R182" i="3"/>
  <c r="S182" i="3"/>
  <c r="R259" i="3"/>
  <c r="S259" i="3"/>
  <c r="S242" i="3"/>
  <c r="R242" i="3"/>
  <c r="O274" i="5"/>
  <c r="R274" i="5" s="1"/>
  <c r="O298" i="5"/>
  <c r="R298" i="5" s="1"/>
  <c r="O280" i="5"/>
  <c r="R280" i="5" s="1"/>
  <c r="O290" i="5"/>
  <c r="R290" i="5" s="1"/>
  <c r="N301" i="5"/>
  <c r="O286" i="5"/>
  <c r="R286" i="5" s="1"/>
  <c r="O282" i="5"/>
  <c r="R282" i="5" s="1"/>
  <c r="O283" i="5"/>
  <c r="R283" i="5" s="1"/>
  <c r="O295" i="5"/>
  <c r="R295" i="5" s="1"/>
  <c r="O275" i="5"/>
  <c r="R275" i="5" s="1"/>
  <c r="O279" i="5"/>
  <c r="R279" i="5" s="1"/>
  <c r="O272" i="5"/>
  <c r="R272" i="5" s="1"/>
  <c r="O300" i="5"/>
  <c r="R300" i="5" s="1"/>
  <c r="O297" i="5"/>
  <c r="R297" i="5" s="1"/>
  <c r="O289" i="5"/>
  <c r="R289" i="5" s="1"/>
  <c r="O288" i="5"/>
  <c r="R288" i="5" s="1"/>
  <c r="O276" i="5"/>
  <c r="R276" i="5" s="1"/>
  <c r="O296" i="5"/>
  <c r="R296" i="5" s="1"/>
  <c r="O291" i="5"/>
  <c r="R291" i="5" s="1"/>
  <c r="O281" i="5"/>
  <c r="R281" i="5" s="1"/>
  <c r="O273" i="5"/>
  <c r="R273" i="5" s="1"/>
  <c r="O287" i="5"/>
  <c r="R287" i="5" s="1"/>
  <c r="O277" i="5"/>
  <c r="R277" i="5" s="1"/>
  <c r="O294" i="5"/>
  <c r="R294" i="5" s="1"/>
  <c r="S267" i="3"/>
  <c r="R267" i="3"/>
  <c r="R268" i="3"/>
  <c r="S268" i="3"/>
  <c r="S282" i="3"/>
  <c r="R282" i="3"/>
  <c r="S63" i="3"/>
  <c r="R63" i="3"/>
  <c r="S57" i="3"/>
  <c r="R57" i="3"/>
  <c r="S67" i="3"/>
  <c r="R67" i="3"/>
  <c r="N100" i="5"/>
  <c r="O87" i="5"/>
  <c r="R87" i="5" s="1"/>
  <c r="O79" i="5"/>
  <c r="R79" i="5" s="1"/>
  <c r="O75" i="5"/>
  <c r="R75" i="5" s="1"/>
  <c r="O93" i="5"/>
  <c r="R93" i="5" s="1"/>
  <c r="O69" i="5"/>
  <c r="R69" i="5" s="1"/>
  <c r="O73" i="5"/>
  <c r="R73" i="5" s="1"/>
  <c r="O81" i="5"/>
  <c r="R81" i="5" s="1"/>
  <c r="O72" i="5"/>
  <c r="R72" i="5" s="1"/>
  <c r="O96" i="5"/>
  <c r="R96" i="5" s="1"/>
  <c r="O83" i="5"/>
  <c r="R83" i="5" s="1"/>
  <c r="O94" i="5"/>
  <c r="R94" i="5" s="1"/>
  <c r="O89" i="5"/>
  <c r="R89" i="5" s="1"/>
  <c r="O95" i="5"/>
  <c r="R95" i="5" s="1"/>
  <c r="O98" i="5"/>
  <c r="R98" i="5" s="1"/>
  <c r="O90" i="5"/>
  <c r="R90" i="5" s="1"/>
  <c r="O88" i="5"/>
  <c r="R88" i="5" s="1"/>
  <c r="O74" i="5"/>
  <c r="R74" i="5" s="1"/>
  <c r="O77" i="5"/>
  <c r="R77" i="5" s="1"/>
  <c r="O80" i="5"/>
  <c r="R80" i="5" s="1"/>
  <c r="O76" i="5"/>
  <c r="R76" i="5" s="1"/>
  <c r="O84" i="5"/>
  <c r="R84" i="5" s="1"/>
  <c r="O70" i="5"/>
  <c r="R70" i="5" s="1"/>
  <c r="O82" i="5"/>
  <c r="R82" i="5" s="1"/>
  <c r="O97" i="5"/>
  <c r="R97" i="5" s="1"/>
  <c r="O86" i="5"/>
  <c r="R86" i="5" s="1"/>
  <c r="O91" i="5"/>
  <c r="R91" i="5" s="1"/>
  <c r="R152" i="3"/>
  <c r="S152" i="3"/>
  <c r="R171" i="3"/>
  <c r="S171" i="3"/>
  <c r="R165" i="3"/>
  <c r="S165" i="3"/>
  <c r="N368" i="5"/>
  <c r="O345" i="5"/>
  <c r="R345" i="5" s="1"/>
  <c r="O339" i="5"/>
  <c r="R339" i="5" s="1"/>
  <c r="O353" i="5"/>
  <c r="R353" i="5" s="1"/>
  <c r="O352" i="5"/>
  <c r="R352" i="5" s="1"/>
  <c r="O356" i="5"/>
  <c r="R356" i="5" s="1"/>
  <c r="O342" i="5"/>
  <c r="R342" i="5" s="1"/>
  <c r="O338" i="5"/>
  <c r="R338" i="5" s="1"/>
  <c r="O358" i="5"/>
  <c r="R358" i="5" s="1"/>
  <c r="O367" i="5"/>
  <c r="R367" i="5" s="1"/>
  <c r="O350" i="5"/>
  <c r="R350" i="5" s="1"/>
  <c r="O364" i="5"/>
  <c r="R364" i="5" s="1"/>
  <c r="O362" i="5"/>
  <c r="R362" i="5" s="1"/>
  <c r="O343" i="5"/>
  <c r="R343" i="5" s="1"/>
  <c r="O344" i="5"/>
  <c r="R344" i="5" s="1"/>
  <c r="O363" i="5"/>
  <c r="R363" i="5" s="1"/>
  <c r="O359" i="5"/>
  <c r="R359" i="5" s="1"/>
  <c r="O351" i="5"/>
  <c r="R351" i="5" s="1"/>
  <c r="O357" i="5"/>
  <c r="R357" i="5" s="1"/>
  <c r="O366" i="5"/>
  <c r="R366" i="5" s="1"/>
  <c r="O355" i="5"/>
  <c r="R355" i="5" s="1"/>
  <c r="O365" i="5"/>
  <c r="R365" i="5" s="1"/>
  <c r="O346" i="5"/>
  <c r="R346" i="5" s="1"/>
  <c r="R303" i="3"/>
  <c r="S303" i="3"/>
  <c r="S302" i="3"/>
  <c r="R302" i="3"/>
  <c r="S317" i="3"/>
  <c r="R317" i="3"/>
  <c r="R115" i="3"/>
  <c r="S115" i="3"/>
  <c r="S123" i="3"/>
  <c r="R123" i="3"/>
  <c r="R129" i="3"/>
  <c r="S129" i="3"/>
  <c r="R226" i="3"/>
  <c r="S226" i="3"/>
  <c r="R205" i="3"/>
  <c r="S205" i="3"/>
  <c r="R224" i="3"/>
  <c r="S224" i="3"/>
  <c r="Y31" i="2"/>
  <c r="E30" i="2"/>
  <c r="X260" i="3"/>
  <c r="W260" i="3"/>
  <c r="W155" i="3"/>
  <c r="X155" i="3"/>
  <c r="S383" i="3"/>
  <c r="R383" i="3"/>
  <c r="W231" i="3"/>
  <c r="X231" i="3"/>
  <c r="X45" i="3"/>
  <c r="W45" i="3"/>
  <c r="X194" i="3"/>
  <c r="W194" i="3"/>
  <c r="X288" i="3"/>
  <c r="W288" i="3"/>
  <c r="W37" i="3"/>
  <c r="X37" i="3"/>
  <c r="S96" i="3"/>
  <c r="R96" i="3"/>
  <c r="R95" i="3"/>
  <c r="S95" i="3"/>
  <c r="S80" i="3"/>
  <c r="R80" i="3"/>
  <c r="F126" i="5"/>
  <c r="I126" i="5" s="1"/>
  <c r="F110" i="5"/>
  <c r="I110" i="5" s="1"/>
  <c r="F107" i="5"/>
  <c r="I107" i="5" s="1"/>
  <c r="F121" i="5"/>
  <c r="I121" i="5" s="1"/>
  <c r="F125" i="5"/>
  <c r="I125" i="5" s="1"/>
  <c r="F118" i="5"/>
  <c r="I118" i="5" s="1"/>
  <c r="E133" i="5"/>
  <c r="F115" i="5"/>
  <c r="I115" i="5" s="1"/>
  <c r="F124" i="5"/>
  <c r="I124" i="5" s="1"/>
  <c r="F117" i="5"/>
  <c r="I117" i="5" s="1"/>
  <c r="F105" i="5"/>
  <c r="I105" i="5" s="1"/>
  <c r="F104" i="5"/>
  <c r="I104" i="5" s="1"/>
  <c r="F122" i="5"/>
  <c r="I122" i="5" s="1"/>
  <c r="F132" i="5"/>
  <c r="I132" i="5" s="1"/>
  <c r="F120" i="5"/>
  <c r="I120" i="5" s="1"/>
  <c r="F103" i="5"/>
  <c r="I103" i="5" s="1"/>
  <c r="F127" i="5"/>
  <c r="I127" i="5" s="1"/>
  <c r="F108" i="5"/>
  <c r="I108" i="5" s="1"/>
  <c r="F113" i="5"/>
  <c r="I113" i="5" s="1"/>
  <c r="F111" i="5"/>
  <c r="I111" i="5" s="1"/>
  <c r="F129" i="5"/>
  <c r="I129" i="5" s="1"/>
  <c r="F114" i="5"/>
  <c r="I114" i="5" s="1"/>
  <c r="F119" i="5"/>
  <c r="I119" i="5" s="1"/>
  <c r="F112" i="5"/>
  <c r="I112" i="5" s="1"/>
  <c r="F128" i="5"/>
  <c r="I128" i="5" s="1"/>
  <c r="F106" i="5"/>
  <c r="I106" i="5" s="1"/>
  <c r="S367" i="3"/>
  <c r="R367" i="3"/>
  <c r="S355" i="3"/>
  <c r="R355" i="3"/>
  <c r="S365" i="3"/>
  <c r="R365" i="3"/>
  <c r="R362" i="3"/>
  <c r="S362" i="3"/>
  <c r="W165" i="3"/>
  <c r="X165" i="3"/>
  <c r="X116" i="3"/>
  <c r="W116" i="3"/>
  <c r="W305" i="3"/>
  <c r="X305" i="3"/>
  <c r="X337" i="3"/>
  <c r="W337" i="3"/>
  <c r="W112" i="3"/>
  <c r="X112" i="3"/>
  <c r="W185" i="3"/>
  <c r="X185" i="3"/>
  <c r="X193" i="3"/>
  <c r="W193" i="3"/>
  <c r="X261" i="3"/>
  <c r="W261" i="3"/>
  <c r="X366" i="3"/>
  <c r="W366" i="3"/>
  <c r="W24" i="3"/>
  <c r="X24" i="3"/>
  <c r="W347" i="3"/>
  <c r="X347" i="3"/>
  <c r="X271" i="3"/>
  <c r="W271" i="3"/>
  <c r="X178" i="3"/>
  <c r="W178" i="3"/>
  <c r="W357" i="3"/>
  <c r="X357" i="3"/>
  <c r="W123" i="3"/>
  <c r="X123" i="3"/>
  <c r="W201" i="3"/>
  <c r="X201" i="3"/>
  <c r="X212" i="3"/>
  <c r="W212" i="3"/>
  <c r="W273" i="3"/>
  <c r="X273" i="3"/>
  <c r="X382" i="3"/>
  <c r="W382" i="3"/>
  <c r="W110" i="3"/>
  <c r="X110" i="3"/>
  <c r="W227" i="3"/>
  <c r="X227" i="3"/>
  <c r="W211" i="3"/>
  <c r="X211" i="3"/>
  <c r="W280" i="3"/>
  <c r="X280" i="3"/>
  <c r="X35" i="3"/>
  <c r="W35" i="3"/>
  <c r="W136" i="3"/>
  <c r="X136" i="3"/>
  <c r="W255" i="3"/>
  <c r="X255" i="3"/>
  <c r="X344" i="3"/>
  <c r="W344" i="3"/>
  <c r="X379" i="3"/>
  <c r="W379" i="3"/>
  <c r="W38" i="3"/>
  <c r="X38" i="3"/>
  <c r="X94" i="3"/>
  <c r="W94" i="3"/>
  <c r="X277" i="3"/>
  <c r="W277" i="3"/>
  <c r="W380" i="3"/>
  <c r="X380" i="3"/>
  <c r="W276" i="3"/>
  <c r="X276" i="3"/>
  <c r="W29" i="3"/>
  <c r="X29" i="3"/>
  <c r="W87" i="3"/>
  <c r="X87" i="3"/>
  <c r="X133" i="3"/>
  <c r="W133" i="3"/>
  <c r="W169" i="3"/>
  <c r="X169" i="3"/>
  <c r="X310" i="3"/>
  <c r="W310" i="3"/>
  <c r="R44" i="3"/>
  <c r="S44" i="3"/>
  <c r="O262" i="5"/>
  <c r="R262" i="5" s="1"/>
  <c r="N268" i="5"/>
  <c r="O246" i="5"/>
  <c r="R246" i="5" s="1"/>
  <c r="O244" i="5"/>
  <c r="R244" i="5" s="1"/>
  <c r="O238" i="5"/>
  <c r="R238" i="5" s="1"/>
  <c r="O267" i="5"/>
  <c r="R267" i="5" s="1"/>
  <c r="O259" i="5"/>
  <c r="R259" i="5" s="1"/>
  <c r="O263" i="5"/>
  <c r="R263" i="5" s="1"/>
  <c r="O251" i="5"/>
  <c r="R251" i="5" s="1"/>
  <c r="O256" i="5"/>
  <c r="R256" i="5" s="1"/>
  <c r="O243" i="5"/>
  <c r="R243" i="5" s="1"/>
  <c r="O264" i="5"/>
  <c r="R264" i="5" s="1"/>
  <c r="O241" i="5"/>
  <c r="R241" i="5" s="1"/>
  <c r="O266" i="5"/>
  <c r="R266" i="5" s="1"/>
  <c r="O242" i="5"/>
  <c r="R242" i="5" s="1"/>
  <c r="O250" i="5"/>
  <c r="R250" i="5" s="1"/>
  <c r="O245" i="5"/>
  <c r="R245" i="5" s="1"/>
  <c r="O249" i="5"/>
  <c r="R249" i="5" s="1"/>
  <c r="O240" i="5"/>
  <c r="R240" i="5" s="1"/>
  <c r="O257" i="5"/>
  <c r="R257" i="5" s="1"/>
  <c r="O252" i="5"/>
  <c r="R252" i="5" s="1"/>
  <c r="O260" i="5"/>
  <c r="R260" i="5" s="1"/>
  <c r="O258" i="5"/>
  <c r="R258" i="5" s="1"/>
  <c r="O265" i="5"/>
  <c r="R265" i="5" s="1"/>
  <c r="O237" i="5"/>
  <c r="R237" i="5" s="1"/>
  <c r="S339" i="3"/>
  <c r="R339" i="3"/>
  <c r="S334" i="3"/>
  <c r="R334" i="3"/>
  <c r="S330" i="3"/>
  <c r="R330" i="3"/>
  <c r="S184" i="3"/>
  <c r="R184" i="3"/>
  <c r="S175" i="3"/>
  <c r="R175" i="3"/>
  <c r="S187" i="3"/>
  <c r="R187" i="3"/>
  <c r="R233" i="3"/>
  <c r="S233" i="3"/>
  <c r="R262" i="3"/>
  <c r="S262" i="3"/>
  <c r="S250" i="3"/>
  <c r="R250" i="3"/>
  <c r="O10" i="5"/>
  <c r="R10" i="5" s="1"/>
  <c r="O33" i="5"/>
  <c r="R33" i="5" s="1"/>
  <c r="O20" i="5"/>
  <c r="R20" i="5" s="1"/>
  <c r="O24" i="5"/>
  <c r="R24" i="5" s="1"/>
  <c r="O23" i="5"/>
  <c r="R23" i="5" s="1"/>
  <c r="O14" i="5"/>
  <c r="R14" i="5" s="1"/>
  <c r="O17" i="5"/>
  <c r="R17" i="5" s="1"/>
  <c r="O19" i="5"/>
  <c r="R19" i="5" s="1"/>
  <c r="N35" i="5"/>
  <c r="O11" i="5"/>
  <c r="R11" i="5" s="1"/>
  <c r="O31" i="5"/>
  <c r="R31" i="5" s="1"/>
  <c r="O34" i="5"/>
  <c r="R34" i="5" s="1"/>
  <c r="O21" i="5"/>
  <c r="R21" i="5" s="1"/>
  <c r="O13" i="5"/>
  <c r="R13" i="5" s="1"/>
  <c r="O32" i="5"/>
  <c r="R32" i="5" s="1"/>
  <c r="O27" i="5"/>
  <c r="R27" i="5" s="1"/>
  <c r="O18" i="5"/>
  <c r="R18" i="5" s="1"/>
  <c r="O28" i="5"/>
  <c r="R28" i="5" s="1"/>
  <c r="O26" i="5"/>
  <c r="R26" i="5" s="1"/>
  <c r="O12" i="5"/>
  <c r="R12" i="5" s="1"/>
  <c r="O25" i="5"/>
  <c r="R25" i="5" s="1"/>
  <c r="O29" i="5"/>
  <c r="R29" i="5" s="1"/>
  <c r="O22" i="5"/>
  <c r="R22" i="5" s="1"/>
  <c r="O379" i="5"/>
  <c r="R379" i="5" s="1"/>
  <c r="O375" i="5"/>
  <c r="R375" i="5" s="1"/>
  <c r="O376" i="5"/>
  <c r="R376" i="5" s="1"/>
  <c r="O396" i="5"/>
  <c r="R396" i="5" s="1"/>
  <c r="O391" i="5"/>
  <c r="R391" i="5" s="1"/>
  <c r="O381" i="5"/>
  <c r="R381" i="5" s="1"/>
  <c r="O389" i="5"/>
  <c r="R389" i="5" s="1"/>
  <c r="O372" i="5"/>
  <c r="R372" i="5" s="1"/>
  <c r="O395" i="5"/>
  <c r="R395" i="5" s="1"/>
  <c r="O377" i="5"/>
  <c r="R377" i="5" s="1"/>
  <c r="O386" i="5"/>
  <c r="R386" i="5" s="1"/>
  <c r="O387" i="5"/>
  <c r="R387" i="5" s="1"/>
  <c r="O373" i="5"/>
  <c r="R373" i="5" s="1"/>
  <c r="O388" i="5"/>
  <c r="R388" i="5" s="1"/>
  <c r="O380" i="5"/>
  <c r="R380" i="5" s="1"/>
  <c r="O374" i="5"/>
  <c r="R374" i="5" s="1"/>
  <c r="O384" i="5"/>
  <c r="R384" i="5" s="1"/>
  <c r="N402" i="5"/>
  <c r="O397" i="5"/>
  <c r="R397" i="5" s="1"/>
  <c r="O390" i="5"/>
  <c r="R390" i="5" s="1"/>
  <c r="O383" i="5"/>
  <c r="R383" i="5" s="1"/>
  <c r="O398" i="5"/>
  <c r="R398" i="5" s="1"/>
  <c r="O393" i="5"/>
  <c r="R393" i="5" s="1"/>
  <c r="O394" i="5"/>
  <c r="R394" i="5" s="1"/>
  <c r="O382" i="5"/>
  <c r="R382" i="5" s="1"/>
  <c r="N66" i="5"/>
  <c r="O57" i="5"/>
  <c r="R57" i="5" s="1"/>
  <c r="O49" i="5"/>
  <c r="R49" i="5" s="1"/>
  <c r="O65" i="5"/>
  <c r="R65" i="5" s="1"/>
  <c r="O45" i="5"/>
  <c r="R45" i="5" s="1"/>
  <c r="O63" i="5"/>
  <c r="R63" i="5" s="1"/>
  <c r="O41" i="5"/>
  <c r="R41" i="5" s="1"/>
  <c r="O51" i="5"/>
  <c r="R51" i="5" s="1"/>
  <c r="O59" i="5"/>
  <c r="R59" i="5" s="1"/>
  <c r="O39" i="5"/>
  <c r="R39" i="5" s="1"/>
  <c r="O42" i="5"/>
  <c r="R42" i="5" s="1"/>
  <c r="O38" i="5"/>
  <c r="R38" i="5" s="1"/>
  <c r="O43" i="5"/>
  <c r="R43" i="5" s="1"/>
  <c r="O55" i="5"/>
  <c r="R55" i="5" s="1"/>
  <c r="O56" i="5"/>
  <c r="R56" i="5" s="1"/>
  <c r="O60" i="5"/>
  <c r="R60" i="5" s="1"/>
  <c r="O52" i="5"/>
  <c r="R52" i="5" s="1"/>
  <c r="O50" i="5"/>
  <c r="R50" i="5" s="1"/>
  <c r="O53" i="5"/>
  <c r="R53" i="5" s="1"/>
  <c r="O62" i="5"/>
  <c r="R62" i="5" s="1"/>
  <c r="O64" i="5"/>
  <c r="R64" i="5" s="1"/>
  <c r="O58" i="5"/>
  <c r="R58" i="5" s="1"/>
  <c r="O46" i="5"/>
  <c r="R46" i="5" s="1"/>
  <c r="O44" i="5"/>
  <c r="R44" i="5" s="1"/>
  <c r="S273" i="3"/>
  <c r="R273" i="3"/>
  <c r="S269" i="3"/>
  <c r="R269" i="3"/>
  <c r="S276" i="3"/>
  <c r="R276" i="3"/>
  <c r="S290" i="3"/>
  <c r="R290" i="3"/>
  <c r="S64" i="3"/>
  <c r="R64" i="3"/>
  <c r="S52" i="3"/>
  <c r="R52" i="3"/>
  <c r="S68" i="3"/>
  <c r="R68" i="3"/>
  <c r="S70" i="3"/>
  <c r="R70" i="3"/>
  <c r="S155" i="3"/>
  <c r="R155" i="3"/>
  <c r="S142" i="3"/>
  <c r="R142" i="3"/>
  <c r="S310" i="3"/>
  <c r="R310" i="3"/>
  <c r="R309" i="3"/>
  <c r="S309" i="3"/>
  <c r="R296" i="3"/>
  <c r="S296" i="3"/>
  <c r="S134" i="3"/>
  <c r="R134" i="3"/>
  <c r="R135" i="3"/>
  <c r="S135" i="3"/>
  <c r="S137" i="3"/>
  <c r="R137" i="3"/>
  <c r="R212" i="3"/>
  <c r="S212" i="3"/>
  <c r="S228" i="3"/>
  <c r="R228" i="3"/>
  <c r="S203" i="3"/>
  <c r="R203" i="3"/>
  <c r="AA29" i="3"/>
  <c r="E28" i="3"/>
  <c r="X214" i="3"/>
  <c r="W214" i="3"/>
  <c r="X373" i="3"/>
  <c r="W373" i="3"/>
  <c r="W323" i="3"/>
  <c r="X323" i="3"/>
  <c r="X191" i="3"/>
  <c r="W191" i="3"/>
  <c r="X67" i="3"/>
  <c r="W67" i="3"/>
  <c r="X234" i="3"/>
  <c r="W234" i="3"/>
  <c r="R37" i="3"/>
  <c r="S37" i="3"/>
  <c r="R94" i="3"/>
  <c r="S94" i="3"/>
  <c r="S379" i="3"/>
  <c r="R379" i="3"/>
  <c r="R378" i="3"/>
  <c r="S378" i="3"/>
  <c r="X162" i="3"/>
  <c r="W162" i="3"/>
  <c r="X78" i="3"/>
  <c r="W78" i="3"/>
  <c r="X197" i="3"/>
  <c r="W197" i="3"/>
  <c r="W374" i="3"/>
  <c r="X374" i="3"/>
  <c r="W208" i="3"/>
  <c r="X208" i="3"/>
  <c r="X264" i="3"/>
  <c r="W264" i="3"/>
  <c r="X253" i="3"/>
  <c r="W253" i="3"/>
  <c r="W281" i="3"/>
  <c r="X281" i="3"/>
  <c r="X352" i="3"/>
  <c r="W352" i="3"/>
  <c r="S24" i="3"/>
  <c r="R24" i="3"/>
  <c r="W88" i="3"/>
  <c r="X88" i="3"/>
  <c r="W120" i="3"/>
  <c r="X120" i="3"/>
  <c r="X375" i="3"/>
  <c r="W375" i="3"/>
  <c r="X190" i="3"/>
  <c r="W190" i="3"/>
  <c r="X54" i="3"/>
  <c r="W54" i="3"/>
  <c r="W91" i="3"/>
  <c r="X91" i="3"/>
  <c r="W135" i="3"/>
  <c r="X135" i="3"/>
  <c r="W320" i="3"/>
  <c r="X320" i="3"/>
  <c r="W198" i="3"/>
  <c r="X198" i="3"/>
  <c r="W71" i="3"/>
  <c r="X71" i="3"/>
  <c r="X159" i="3"/>
  <c r="W159" i="3"/>
  <c r="X107" i="3"/>
  <c r="W107" i="3"/>
  <c r="W297" i="3"/>
  <c r="X297" i="3"/>
  <c r="X329" i="3"/>
  <c r="W329" i="3"/>
  <c r="X28" i="3"/>
  <c r="W28" i="3"/>
  <c r="E335" i="5"/>
  <c r="F315" i="5"/>
  <c r="I315" i="5" s="1"/>
  <c r="F329" i="5"/>
  <c r="I329" i="5" s="1"/>
  <c r="F321" i="5"/>
  <c r="I321" i="5" s="1"/>
  <c r="F313" i="5"/>
  <c r="I313" i="5" s="1"/>
  <c r="F305" i="5"/>
  <c r="I305" i="5" s="1"/>
  <c r="F322" i="5"/>
  <c r="I322" i="5" s="1"/>
  <c r="F327" i="5"/>
  <c r="I327" i="5" s="1"/>
  <c r="F326" i="5"/>
  <c r="I326" i="5" s="1"/>
  <c r="F314" i="5"/>
  <c r="I314" i="5" s="1"/>
  <c r="F311" i="5"/>
  <c r="I311" i="5" s="1"/>
  <c r="F319" i="5"/>
  <c r="I319" i="5" s="1"/>
  <c r="F306" i="5"/>
  <c r="I306" i="5" s="1"/>
  <c r="F312" i="5"/>
  <c r="I312" i="5" s="1"/>
  <c r="F320" i="5"/>
  <c r="I320" i="5" s="1"/>
  <c r="F310" i="5"/>
  <c r="I310" i="5" s="1"/>
  <c r="F333" i="5"/>
  <c r="I333" i="5" s="1"/>
  <c r="F304" i="5"/>
  <c r="I304" i="5" s="1"/>
  <c r="F324" i="5"/>
  <c r="I324" i="5" s="1"/>
  <c r="F332" i="5"/>
  <c r="I332" i="5" s="1"/>
  <c r="F308" i="5"/>
  <c r="I308" i="5" s="1"/>
  <c r="F307" i="5"/>
  <c r="I307" i="5" s="1"/>
  <c r="F334" i="5"/>
  <c r="I334" i="5" s="1"/>
  <c r="F325" i="5"/>
  <c r="I325" i="5" s="1"/>
  <c r="F318" i="5"/>
  <c r="I318" i="5" s="1"/>
  <c r="F331" i="5"/>
  <c r="I331" i="5" s="1"/>
  <c r="F328" i="5"/>
  <c r="I328" i="5" s="1"/>
  <c r="E268" i="5"/>
  <c r="F246" i="5"/>
  <c r="I246" i="5" s="1"/>
  <c r="F263" i="5"/>
  <c r="I263" i="5" s="1"/>
  <c r="F244" i="5"/>
  <c r="I244" i="5" s="1"/>
  <c r="F262" i="5"/>
  <c r="I262" i="5" s="1"/>
  <c r="F238" i="5"/>
  <c r="I238" i="5" s="1"/>
  <c r="F251" i="5"/>
  <c r="I251" i="5" s="1"/>
  <c r="F252" i="5"/>
  <c r="I252" i="5" s="1"/>
  <c r="F259" i="5"/>
  <c r="I259" i="5" s="1"/>
  <c r="F260" i="5"/>
  <c r="I260" i="5" s="1"/>
  <c r="F237" i="5"/>
  <c r="I237" i="5" s="1"/>
  <c r="F257" i="5"/>
  <c r="I257" i="5" s="1"/>
  <c r="F241" i="5"/>
  <c r="I241" i="5" s="1"/>
  <c r="F249" i="5"/>
  <c r="I249" i="5" s="1"/>
  <c r="F264" i="5"/>
  <c r="I264" i="5" s="1"/>
  <c r="F267" i="5"/>
  <c r="I267" i="5" s="1"/>
  <c r="F250" i="5"/>
  <c r="I250" i="5" s="1"/>
  <c r="F242" i="5"/>
  <c r="I242" i="5" s="1"/>
  <c r="F243" i="5"/>
  <c r="I243" i="5" s="1"/>
  <c r="F258" i="5"/>
  <c r="I258" i="5" s="1"/>
  <c r="F245" i="5"/>
  <c r="I245" i="5" s="1"/>
  <c r="F240" i="5"/>
  <c r="I240" i="5" s="1"/>
  <c r="F266" i="5"/>
  <c r="I266" i="5" s="1"/>
  <c r="F265" i="5"/>
  <c r="I265" i="5" s="1"/>
  <c r="F256" i="5"/>
  <c r="I256" i="5" s="1"/>
  <c r="B12" i="5"/>
  <c r="C11" i="5"/>
  <c r="L11" i="5" s="1"/>
  <c r="R352" i="3"/>
  <c r="S352" i="3"/>
  <c r="R344" i="3"/>
  <c r="S344" i="3"/>
  <c r="R338" i="3"/>
  <c r="S338" i="3"/>
  <c r="S193" i="3"/>
  <c r="R193" i="3"/>
  <c r="S183" i="3"/>
  <c r="R183" i="3"/>
  <c r="S189" i="3"/>
  <c r="R189" i="3"/>
  <c r="R255" i="3"/>
  <c r="S255" i="3"/>
  <c r="R235" i="3"/>
  <c r="S235" i="3"/>
  <c r="R263" i="3"/>
  <c r="S263" i="3"/>
  <c r="R271" i="3"/>
  <c r="S271" i="3"/>
  <c r="S284" i="3"/>
  <c r="R284" i="3"/>
  <c r="N234" i="5"/>
  <c r="O232" i="5"/>
  <c r="R232" i="5" s="1"/>
  <c r="O207" i="5"/>
  <c r="R207" i="5" s="1"/>
  <c r="O213" i="5"/>
  <c r="R213" i="5" s="1"/>
  <c r="O205" i="5"/>
  <c r="R205" i="5" s="1"/>
  <c r="O210" i="5"/>
  <c r="R210" i="5" s="1"/>
  <c r="O233" i="5"/>
  <c r="R233" i="5" s="1"/>
  <c r="O219" i="5"/>
  <c r="R219" i="5" s="1"/>
  <c r="O229" i="5"/>
  <c r="R229" i="5" s="1"/>
  <c r="O214" i="5"/>
  <c r="R214" i="5" s="1"/>
  <c r="O221" i="5"/>
  <c r="R221" i="5" s="1"/>
  <c r="O211" i="5"/>
  <c r="R211" i="5" s="1"/>
  <c r="O208" i="5"/>
  <c r="R208" i="5" s="1"/>
  <c r="O226" i="5"/>
  <c r="R226" i="5" s="1"/>
  <c r="O222" i="5"/>
  <c r="R222" i="5" s="1"/>
  <c r="O217" i="5"/>
  <c r="R217" i="5" s="1"/>
  <c r="O215" i="5"/>
  <c r="R215" i="5" s="1"/>
  <c r="O204" i="5"/>
  <c r="R204" i="5" s="1"/>
  <c r="O212" i="5"/>
  <c r="R212" i="5" s="1"/>
  <c r="O220" i="5"/>
  <c r="R220" i="5" s="1"/>
  <c r="O203" i="5"/>
  <c r="R203" i="5" s="1"/>
  <c r="O228" i="5"/>
  <c r="R228" i="5" s="1"/>
  <c r="O206" i="5"/>
  <c r="R206" i="5" s="1"/>
  <c r="O227" i="5"/>
  <c r="R227" i="5" s="1"/>
  <c r="O218" i="5"/>
  <c r="R218" i="5" s="1"/>
  <c r="O231" i="5"/>
  <c r="R231" i="5" s="1"/>
  <c r="S73" i="3"/>
  <c r="R73" i="3"/>
  <c r="S60" i="3"/>
  <c r="R60" i="3"/>
  <c r="S71" i="3"/>
  <c r="R71" i="3"/>
  <c r="R58" i="3"/>
  <c r="S58" i="3"/>
  <c r="R156" i="3"/>
  <c r="S156" i="3"/>
  <c r="R168" i="3"/>
  <c r="S168" i="3"/>
  <c r="S143" i="3"/>
  <c r="R143" i="3"/>
  <c r="S150" i="3"/>
  <c r="R150" i="3"/>
  <c r="S320" i="3"/>
  <c r="R320" i="3"/>
  <c r="S299" i="3"/>
  <c r="R299" i="3"/>
  <c r="S304" i="3"/>
  <c r="R304" i="3"/>
  <c r="S116" i="3"/>
  <c r="R116" i="3"/>
  <c r="S114" i="3"/>
  <c r="R114" i="3"/>
  <c r="R119" i="3"/>
  <c r="S119" i="3"/>
  <c r="S220" i="3"/>
  <c r="R220" i="3"/>
  <c r="R231" i="3"/>
  <c r="S231" i="3"/>
  <c r="R214" i="3"/>
  <c r="S214" i="3"/>
  <c r="N200" i="5"/>
  <c r="O177" i="5"/>
  <c r="R177" i="5" s="1"/>
  <c r="O189" i="5"/>
  <c r="R189" i="5" s="1"/>
  <c r="O193" i="5"/>
  <c r="R193" i="5" s="1"/>
  <c r="O183" i="5"/>
  <c r="R183" i="5" s="1"/>
  <c r="O191" i="5"/>
  <c r="R191" i="5" s="1"/>
  <c r="O188" i="5"/>
  <c r="R188" i="5" s="1"/>
  <c r="O179" i="5"/>
  <c r="R179" i="5" s="1"/>
  <c r="O187" i="5"/>
  <c r="R187" i="5" s="1"/>
  <c r="O194" i="5"/>
  <c r="R194" i="5" s="1"/>
  <c r="O170" i="5"/>
  <c r="R170" i="5" s="1"/>
  <c r="O186" i="5"/>
  <c r="R186" i="5" s="1"/>
  <c r="O195" i="5"/>
  <c r="R195" i="5" s="1"/>
  <c r="O180" i="5"/>
  <c r="R180" i="5" s="1"/>
  <c r="O175" i="5"/>
  <c r="R175" i="5" s="1"/>
  <c r="O172" i="5"/>
  <c r="R172" i="5" s="1"/>
  <c r="O176" i="5"/>
  <c r="R176" i="5" s="1"/>
  <c r="O184" i="5"/>
  <c r="R184" i="5" s="1"/>
  <c r="O197" i="5"/>
  <c r="R197" i="5" s="1"/>
  <c r="O174" i="5"/>
  <c r="R174" i="5" s="1"/>
  <c r="O173" i="5"/>
  <c r="R173" i="5" s="1"/>
  <c r="O190" i="5"/>
  <c r="R190" i="5" s="1"/>
  <c r="O182" i="5"/>
  <c r="R182" i="5" s="1"/>
  <c r="O181" i="5"/>
  <c r="R181" i="5" s="1"/>
  <c r="O198" i="5"/>
  <c r="R198" i="5" s="1"/>
  <c r="O196" i="5"/>
  <c r="R196" i="5" s="1"/>
  <c r="X152" i="3"/>
  <c r="W152" i="3"/>
  <c r="X345" i="3"/>
  <c r="W345" i="3"/>
  <c r="W168" i="3"/>
  <c r="X168" i="3"/>
  <c r="X150" i="3"/>
  <c r="W150" i="3"/>
  <c r="R357" i="3"/>
  <c r="S357" i="3"/>
  <c r="X156" i="3"/>
  <c r="W156" i="3"/>
  <c r="W26" i="3"/>
  <c r="X26" i="3"/>
  <c r="W364" i="3"/>
  <c r="X364" i="3"/>
  <c r="X365" i="3"/>
  <c r="W365" i="3"/>
  <c r="X287" i="3"/>
  <c r="W287" i="3"/>
  <c r="X30" i="3"/>
  <c r="W30" i="3"/>
  <c r="X221" i="3"/>
  <c r="W221" i="3"/>
  <c r="S47" i="3"/>
  <c r="R47" i="3"/>
  <c r="X242" i="3"/>
  <c r="W242" i="3"/>
  <c r="X296" i="3"/>
  <c r="W296" i="3"/>
  <c r="R29" i="3"/>
  <c r="S29" i="3"/>
  <c r="W96" i="3"/>
  <c r="X96" i="3"/>
  <c r="X144" i="3"/>
  <c r="W144" i="3"/>
  <c r="W332" i="3"/>
  <c r="X332" i="3"/>
  <c r="W206" i="3"/>
  <c r="X206" i="3"/>
  <c r="R373" i="3"/>
  <c r="S373" i="3"/>
  <c r="W200" i="3"/>
  <c r="X200" i="3"/>
  <c r="X306" i="3"/>
  <c r="W306" i="3"/>
  <c r="S45" i="3"/>
  <c r="R45" i="3"/>
  <c r="W203" i="3"/>
  <c r="X203" i="3"/>
  <c r="W315" i="3"/>
  <c r="X315" i="3"/>
  <c r="R381" i="3"/>
  <c r="S381" i="3"/>
  <c r="W102" i="3"/>
  <c r="X102" i="3"/>
  <c r="W176" i="3"/>
  <c r="X176" i="3"/>
  <c r="W192" i="3"/>
  <c r="X192" i="3"/>
  <c r="W235" i="3"/>
  <c r="X235" i="3"/>
  <c r="W358" i="3"/>
  <c r="X358" i="3"/>
  <c r="X72" i="3"/>
  <c r="W72" i="3"/>
  <c r="X186" i="3"/>
  <c r="W186" i="3"/>
  <c r="W263" i="3"/>
  <c r="X263" i="3"/>
  <c r="W322" i="3"/>
  <c r="X322" i="3"/>
  <c r="S40" i="3"/>
  <c r="R40" i="3"/>
  <c r="X89" i="3"/>
  <c r="W89" i="3"/>
  <c r="X207" i="3"/>
  <c r="W207" i="3"/>
  <c r="W313" i="3"/>
  <c r="X313" i="3"/>
  <c r="X256" i="3"/>
  <c r="W256" i="3"/>
  <c r="R28" i="3"/>
  <c r="S28" i="3"/>
  <c r="X100" i="3"/>
  <c r="W100" i="3"/>
  <c r="X229" i="3"/>
  <c r="W229" i="3"/>
  <c r="X269" i="3"/>
  <c r="W269" i="3"/>
  <c r="W346" i="3"/>
  <c r="X346" i="3"/>
  <c r="X33" i="3"/>
  <c r="W33" i="3"/>
  <c r="X77" i="3"/>
  <c r="W77" i="3"/>
  <c r="X117" i="3"/>
  <c r="W117" i="3"/>
  <c r="X359" i="3"/>
  <c r="W359" i="3"/>
  <c r="X367" i="3"/>
  <c r="W367" i="3"/>
  <c r="R26" i="3"/>
  <c r="S26" i="3"/>
  <c r="X93" i="3"/>
  <c r="W93" i="3"/>
  <c r="X106" i="3"/>
  <c r="W106" i="3"/>
  <c r="W145" i="3"/>
  <c r="X145" i="3"/>
  <c r="X294" i="3"/>
  <c r="W294" i="3"/>
  <c r="S30" i="3"/>
  <c r="R30" i="3"/>
  <c r="X73" i="3"/>
  <c r="W73" i="3"/>
  <c r="W126" i="3"/>
  <c r="X126" i="3"/>
  <c r="W161" i="3"/>
  <c r="X161" i="3"/>
  <c r="X302" i="3"/>
  <c r="W302" i="3"/>
  <c r="X53" i="3"/>
  <c r="W53" i="3"/>
  <c r="X259" i="3"/>
  <c r="W259" i="3"/>
  <c r="W184" i="3"/>
  <c r="X184" i="3"/>
  <c r="X154" i="3"/>
  <c r="W154" i="3"/>
  <c r="W325" i="3"/>
  <c r="X325" i="3"/>
  <c r="S351" i="3"/>
  <c r="R351" i="3"/>
  <c r="R336" i="3"/>
  <c r="S336" i="3"/>
  <c r="S333" i="3"/>
  <c r="R333" i="3"/>
  <c r="R346" i="3"/>
  <c r="S346" i="3"/>
  <c r="R196" i="3"/>
  <c r="S196" i="3"/>
  <c r="S197" i="3"/>
  <c r="R197" i="3"/>
  <c r="S190" i="3"/>
  <c r="R190" i="3"/>
  <c r="O163" i="5"/>
  <c r="R163" i="5" s="1"/>
  <c r="O155" i="5"/>
  <c r="R155" i="5" s="1"/>
  <c r="N167" i="5"/>
  <c r="O150" i="5"/>
  <c r="R150" i="5" s="1"/>
  <c r="O137" i="5"/>
  <c r="R137" i="5" s="1"/>
  <c r="O153" i="5"/>
  <c r="R153" i="5" s="1"/>
  <c r="O139" i="5"/>
  <c r="R139" i="5" s="1"/>
  <c r="O151" i="5"/>
  <c r="R151" i="5" s="1"/>
  <c r="O148" i="5"/>
  <c r="R148" i="5" s="1"/>
  <c r="O156" i="5"/>
  <c r="R156" i="5" s="1"/>
  <c r="O145" i="5"/>
  <c r="R145" i="5" s="1"/>
  <c r="O159" i="5"/>
  <c r="R159" i="5" s="1"/>
  <c r="O158" i="5"/>
  <c r="R158" i="5" s="1"/>
  <c r="O165" i="5"/>
  <c r="R165" i="5" s="1"/>
  <c r="O149" i="5"/>
  <c r="R149" i="5" s="1"/>
  <c r="O157" i="5"/>
  <c r="R157" i="5" s="1"/>
  <c r="O164" i="5"/>
  <c r="R164" i="5" s="1"/>
  <c r="O142" i="5"/>
  <c r="R142" i="5" s="1"/>
  <c r="O160" i="5"/>
  <c r="R160" i="5" s="1"/>
  <c r="O144" i="5"/>
  <c r="R144" i="5" s="1"/>
  <c r="O162" i="5"/>
  <c r="R162" i="5" s="1"/>
  <c r="O146" i="5"/>
  <c r="R146" i="5" s="1"/>
  <c r="O136" i="5"/>
  <c r="R136" i="5" s="1"/>
  <c r="O166" i="5"/>
  <c r="R166" i="5" s="1"/>
  <c r="O143" i="5"/>
  <c r="R143" i="5" s="1"/>
  <c r="O138" i="5"/>
  <c r="R138" i="5" s="1"/>
  <c r="O152" i="5"/>
  <c r="R152" i="5" s="1"/>
  <c r="R243" i="3"/>
  <c r="S243" i="3"/>
  <c r="S236" i="3"/>
  <c r="R236" i="3"/>
  <c r="R241" i="3"/>
  <c r="S241" i="3"/>
  <c r="R277" i="3"/>
  <c r="S277" i="3"/>
  <c r="S292" i="3"/>
  <c r="R292" i="3"/>
  <c r="R78" i="3"/>
  <c r="S78" i="3"/>
  <c r="R75" i="3"/>
  <c r="S75" i="3"/>
  <c r="S51" i="3"/>
  <c r="R51" i="3"/>
  <c r="R72" i="3"/>
  <c r="S72" i="3"/>
  <c r="R162" i="3"/>
  <c r="S162" i="3"/>
  <c r="R170" i="3"/>
  <c r="S170" i="3"/>
  <c r="S151" i="3"/>
  <c r="R151" i="3"/>
  <c r="S158" i="3"/>
  <c r="R158" i="3"/>
  <c r="S323" i="3"/>
  <c r="R323" i="3"/>
  <c r="S315" i="3"/>
  <c r="R315" i="3"/>
  <c r="S312" i="3"/>
  <c r="R312" i="3"/>
  <c r="S122" i="3"/>
  <c r="R122" i="3"/>
  <c r="S121" i="3"/>
  <c r="R121" i="3"/>
  <c r="S128" i="3"/>
  <c r="R128" i="3"/>
  <c r="S131" i="3"/>
  <c r="R131" i="3"/>
  <c r="R211" i="3"/>
  <c r="S211" i="3"/>
  <c r="S225" i="3"/>
  <c r="R225" i="3"/>
  <c r="R221" i="3"/>
  <c r="S221" i="3"/>
  <c r="W336" i="3"/>
  <c r="X336" i="3"/>
  <c r="S49" i="3"/>
  <c r="R49" i="3"/>
  <c r="X140" i="3"/>
  <c r="W140" i="3"/>
  <c r="X331" i="3"/>
  <c r="W331" i="3"/>
  <c r="W215" i="3"/>
  <c r="X215" i="3"/>
  <c r="W114" i="3"/>
  <c r="X114" i="3"/>
  <c r="W134" i="3"/>
  <c r="X134" i="3"/>
  <c r="X50" i="3"/>
  <c r="W50" i="3"/>
  <c r="S85" i="3"/>
  <c r="R85" i="3"/>
  <c r="R84" i="3"/>
  <c r="S84" i="3"/>
  <c r="S100" i="3"/>
  <c r="R100" i="3"/>
  <c r="W177" i="3"/>
  <c r="X177" i="3"/>
  <c r="X170" i="3"/>
  <c r="W170" i="3"/>
  <c r="W353" i="3"/>
  <c r="X353" i="3"/>
  <c r="X124" i="3"/>
  <c r="W124" i="3"/>
  <c r="X239" i="3"/>
  <c r="W239" i="3"/>
  <c r="S36" i="3"/>
  <c r="R36" i="3"/>
  <c r="S102" i="3"/>
  <c r="R102" i="3"/>
  <c r="X333" i="3"/>
  <c r="W333" i="3"/>
  <c r="X119" i="3"/>
  <c r="W119" i="3"/>
  <c r="R31" i="3"/>
  <c r="S31" i="3"/>
  <c r="R93" i="3"/>
  <c r="S93" i="3"/>
  <c r="S89" i="3"/>
  <c r="R89" i="3"/>
  <c r="S109" i="3"/>
  <c r="R109" i="3"/>
  <c r="S382" i="3"/>
  <c r="R382" i="3"/>
  <c r="R368" i="3"/>
  <c r="S368" i="3"/>
  <c r="X301" i="3"/>
  <c r="W301" i="3"/>
  <c r="X60" i="3"/>
  <c r="W60" i="3"/>
  <c r="W334" i="3"/>
  <c r="X334" i="3"/>
  <c r="S326" i="3"/>
  <c r="R326" i="3"/>
  <c r="R341" i="3"/>
  <c r="S341" i="3"/>
  <c r="S354" i="3"/>
  <c r="R354" i="3"/>
  <c r="R180" i="3"/>
  <c r="S180" i="3"/>
  <c r="R199" i="3"/>
  <c r="S199" i="3"/>
  <c r="E200" i="5"/>
  <c r="F193" i="5"/>
  <c r="I193" i="5" s="1"/>
  <c r="F177" i="5"/>
  <c r="I177" i="5" s="1"/>
  <c r="F186" i="5"/>
  <c r="I186" i="5" s="1"/>
  <c r="F183" i="5"/>
  <c r="I183" i="5" s="1"/>
  <c r="F175" i="5"/>
  <c r="I175" i="5" s="1"/>
  <c r="F170" i="5"/>
  <c r="I170" i="5" s="1"/>
  <c r="F194" i="5"/>
  <c r="I194" i="5" s="1"/>
  <c r="F191" i="5"/>
  <c r="I191" i="5" s="1"/>
  <c r="F198" i="5"/>
  <c r="I198" i="5" s="1"/>
  <c r="F190" i="5"/>
  <c r="I190" i="5" s="1"/>
  <c r="F184" i="5"/>
  <c r="I184" i="5" s="1"/>
  <c r="F179" i="5"/>
  <c r="I179" i="5" s="1"/>
  <c r="F188" i="5"/>
  <c r="I188" i="5" s="1"/>
  <c r="F174" i="5"/>
  <c r="I174" i="5" s="1"/>
  <c r="F182" i="5"/>
  <c r="I182" i="5" s="1"/>
  <c r="F196" i="5"/>
  <c r="I196" i="5" s="1"/>
  <c r="F195" i="5"/>
  <c r="I195" i="5" s="1"/>
  <c r="F189" i="5"/>
  <c r="I189" i="5" s="1"/>
  <c r="F176" i="5"/>
  <c r="I176" i="5" s="1"/>
  <c r="F187" i="5"/>
  <c r="I187" i="5" s="1"/>
  <c r="F173" i="5"/>
  <c r="I173" i="5" s="1"/>
  <c r="F181" i="5"/>
  <c r="I181" i="5" s="1"/>
  <c r="F197" i="5"/>
  <c r="I197" i="5" s="1"/>
  <c r="F180" i="5"/>
  <c r="I180" i="5" s="1"/>
  <c r="F172" i="5"/>
  <c r="I172" i="5" s="1"/>
  <c r="S254" i="3"/>
  <c r="R254" i="3"/>
  <c r="S238" i="3"/>
  <c r="R238" i="3"/>
  <c r="R253" i="3"/>
  <c r="S253" i="3"/>
  <c r="E368" i="5"/>
  <c r="F353" i="5"/>
  <c r="I353" i="5" s="1"/>
  <c r="F364" i="5"/>
  <c r="I364" i="5" s="1"/>
  <c r="F358" i="5"/>
  <c r="I358" i="5" s="1"/>
  <c r="F345" i="5"/>
  <c r="I345" i="5" s="1"/>
  <c r="F343" i="5"/>
  <c r="I343" i="5" s="1"/>
  <c r="F367" i="5"/>
  <c r="I367" i="5" s="1"/>
  <c r="F346" i="5"/>
  <c r="I346" i="5" s="1"/>
  <c r="F344" i="5"/>
  <c r="I344" i="5" s="1"/>
  <c r="F365" i="5"/>
  <c r="I365" i="5" s="1"/>
  <c r="F359" i="5"/>
  <c r="I359" i="5" s="1"/>
  <c r="F352" i="5"/>
  <c r="I352" i="5" s="1"/>
  <c r="F357" i="5"/>
  <c r="I357" i="5" s="1"/>
  <c r="F350" i="5"/>
  <c r="I350" i="5" s="1"/>
  <c r="F338" i="5"/>
  <c r="I338" i="5" s="1"/>
  <c r="F363" i="5"/>
  <c r="I363" i="5" s="1"/>
  <c r="F366" i="5"/>
  <c r="I366" i="5" s="1"/>
  <c r="F355" i="5"/>
  <c r="I355" i="5" s="1"/>
  <c r="F356" i="5"/>
  <c r="I356" i="5" s="1"/>
  <c r="F339" i="5"/>
  <c r="I339" i="5" s="1"/>
  <c r="F351" i="5"/>
  <c r="I351" i="5" s="1"/>
  <c r="F342" i="5"/>
  <c r="I342" i="5" s="1"/>
  <c r="F362" i="5"/>
  <c r="I362" i="5" s="1"/>
  <c r="S289" i="3"/>
  <c r="R289" i="3"/>
  <c r="R287" i="3"/>
  <c r="S287" i="3"/>
  <c r="R280" i="3"/>
  <c r="S280" i="3"/>
  <c r="S61" i="3"/>
  <c r="R61" i="3"/>
  <c r="S74" i="3"/>
  <c r="R74" i="3"/>
  <c r="S65" i="3"/>
  <c r="R65" i="3"/>
  <c r="S164" i="3"/>
  <c r="R164" i="3"/>
  <c r="S159" i="3"/>
  <c r="R159" i="3"/>
  <c r="R166" i="3"/>
  <c r="S166" i="3"/>
  <c r="R311" i="3"/>
  <c r="S311" i="3"/>
  <c r="S305" i="3"/>
  <c r="R305" i="3"/>
  <c r="R318" i="3"/>
  <c r="S318" i="3"/>
  <c r="R322" i="3"/>
  <c r="S322" i="3"/>
  <c r="S117" i="3"/>
  <c r="R117" i="3"/>
  <c r="S113" i="3"/>
  <c r="R113" i="3"/>
  <c r="R136" i="3"/>
  <c r="S136" i="3"/>
  <c r="S232" i="3"/>
  <c r="R232" i="3"/>
  <c r="R204" i="3"/>
  <c r="S204" i="3"/>
  <c r="S217" i="3"/>
  <c r="R217" i="3"/>
  <c r="S82" i="3"/>
  <c r="R82" i="3"/>
  <c r="S81" i="3"/>
  <c r="R81" i="3"/>
  <c r="S86" i="3"/>
  <c r="R86" i="3"/>
  <c r="X196" i="3"/>
  <c r="W196" i="3"/>
  <c r="X341" i="3"/>
  <c r="W341" i="3"/>
  <c r="X47" i="3"/>
  <c r="W47" i="3"/>
  <c r="R101" i="3"/>
  <c r="S101" i="3"/>
  <c r="Z30" i="3"/>
  <c r="G29" i="3"/>
  <c r="S375" i="3"/>
  <c r="R375" i="3"/>
  <c r="X172" i="3"/>
  <c r="W172" i="3"/>
  <c r="X92" i="3"/>
  <c r="W92" i="3"/>
  <c r="R358" i="3"/>
  <c r="S358" i="3"/>
  <c r="S359" i="3"/>
  <c r="R359" i="3"/>
  <c r="S88" i="3"/>
  <c r="R88" i="3"/>
  <c r="W330" i="3"/>
  <c r="X330" i="3"/>
  <c r="X266" i="3"/>
  <c r="W266" i="3"/>
  <c r="W338" i="3"/>
  <c r="X338" i="3"/>
  <c r="X270" i="3"/>
  <c r="W270" i="3"/>
  <c r="W275" i="3"/>
  <c r="X275" i="3"/>
  <c r="X127" i="3"/>
  <c r="W127" i="3"/>
  <c r="W103" i="3"/>
  <c r="X103" i="3"/>
  <c r="X376" i="3"/>
  <c r="W376" i="3"/>
  <c r="X95" i="3"/>
  <c r="W95" i="3"/>
  <c r="W157" i="3"/>
  <c r="X157" i="3"/>
  <c r="X179" i="3"/>
  <c r="W179" i="3"/>
  <c r="W225" i="3"/>
  <c r="X225" i="3"/>
  <c r="S347" i="3"/>
  <c r="R347" i="3"/>
  <c r="R201" i="3"/>
  <c r="S201" i="3"/>
  <c r="S91" i="3"/>
  <c r="R91" i="3"/>
  <c r="S87" i="3"/>
  <c r="R87" i="3"/>
  <c r="S103" i="3"/>
  <c r="R103" i="3"/>
  <c r="S110" i="3"/>
  <c r="R110" i="3"/>
  <c r="R376" i="3"/>
  <c r="S376" i="3"/>
  <c r="R374" i="3"/>
  <c r="S374" i="3"/>
  <c r="S361" i="3"/>
  <c r="R361" i="3"/>
  <c r="X58" i="3"/>
  <c r="W58" i="3"/>
  <c r="X183" i="3"/>
  <c r="W183" i="3"/>
  <c r="X243" i="3"/>
  <c r="W243" i="3"/>
  <c r="X312" i="3"/>
  <c r="W312" i="3"/>
  <c r="X57" i="3"/>
  <c r="W57" i="3"/>
  <c r="W108" i="3"/>
  <c r="X108" i="3"/>
  <c r="X164" i="3"/>
  <c r="W164" i="3"/>
  <c r="X355" i="3"/>
  <c r="W355" i="3"/>
  <c r="W238" i="3"/>
  <c r="X238" i="3"/>
  <c r="S46" i="3"/>
  <c r="R46" i="3"/>
  <c r="W63" i="3"/>
  <c r="X63" i="3"/>
  <c r="X105" i="3"/>
  <c r="W105" i="3"/>
  <c r="W319" i="3"/>
  <c r="X319" i="3"/>
  <c r="X339" i="3"/>
  <c r="W339" i="3"/>
  <c r="S42" i="3"/>
  <c r="R42" i="3"/>
  <c r="X65" i="3"/>
  <c r="W65" i="3"/>
  <c r="X189" i="3"/>
  <c r="W189" i="3"/>
  <c r="W129" i="3"/>
  <c r="X129" i="3"/>
  <c r="X262" i="3"/>
  <c r="W262" i="3"/>
  <c r="X82" i="3"/>
  <c r="W82" i="3"/>
  <c r="W109" i="3"/>
  <c r="X109" i="3"/>
  <c r="X210" i="3"/>
  <c r="W210" i="3"/>
  <c r="X252" i="3"/>
  <c r="W252" i="3"/>
  <c r="W378" i="3"/>
  <c r="X378" i="3"/>
  <c r="S33" i="3"/>
  <c r="R33" i="3"/>
  <c r="W219" i="3"/>
  <c r="X219" i="3"/>
  <c r="X175" i="3"/>
  <c r="W175" i="3"/>
  <c r="X130" i="3"/>
  <c r="W130" i="3"/>
  <c r="X377" i="3"/>
  <c r="W377" i="3"/>
  <c r="X52" i="3"/>
  <c r="W52" i="3"/>
  <c r="X220" i="3"/>
  <c r="W220" i="3"/>
  <c r="X180" i="3"/>
  <c r="W180" i="3"/>
  <c r="X138" i="3"/>
  <c r="W138" i="3"/>
  <c r="W317" i="3"/>
  <c r="X317" i="3"/>
  <c r="X64" i="3"/>
  <c r="W64" i="3"/>
  <c r="X141" i="3"/>
  <c r="W141" i="3"/>
  <c r="X298" i="3"/>
  <c r="W298" i="3"/>
  <c r="W311" i="3"/>
  <c r="X311" i="3"/>
  <c r="X85" i="3"/>
  <c r="W85" i="3"/>
  <c r="S331" i="3"/>
  <c r="R331" i="3"/>
  <c r="S329" i="3"/>
  <c r="R329" i="3"/>
  <c r="S172" i="3"/>
  <c r="R172" i="3"/>
  <c r="S176" i="3"/>
  <c r="R176" i="3"/>
  <c r="R173" i="3"/>
  <c r="S173" i="3"/>
  <c r="S186" i="3"/>
  <c r="R186" i="3"/>
  <c r="S257" i="3"/>
  <c r="R257" i="3"/>
  <c r="S240" i="3"/>
  <c r="R240" i="3"/>
  <c r="S252" i="3"/>
  <c r="R252" i="3"/>
  <c r="F390" i="5"/>
  <c r="I390" i="5" s="1"/>
  <c r="F395" i="5"/>
  <c r="I395" i="5" s="1"/>
  <c r="F376" i="5"/>
  <c r="I376" i="5" s="1"/>
  <c r="F374" i="5"/>
  <c r="I374" i="5" s="1"/>
  <c r="F389" i="5"/>
  <c r="I389" i="5" s="1"/>
  <c r="F396" i="5"/>
  <c r="I396" i="5" s="1"/>
  <c r="F394" i="5"/>
  <c r="I394" i="5" s="1"/>
  <c r="F380" i="5"/>
  <c r="I380" i="5" s="1"/>
  <c r="F393" i="5"/>
  <c r="I393" i="5" s="1"/>
  <c r="F391" i="5"/>
  <c r="I391" i="5" s="1"/>
  <c r="F383" i="5"/>
  <c r="I383" i="5" s="1"/>
  <c r="F384" i="5"/>
  <c r="I384" i="5" s="1"/>
  <c r="E402" i="5"/>
  <c r="F397" i="5"/>
  <c r="I397" i="5" s="1"/>
  <c r="F373" i="5"/>
  <c r="I373" i="5" s="1"/>
  <c r="F388" i="5"/>
  <c r="I388" i="5" s="1"/>
  <c r="F379" i="5"/>
  <c r="I379" i="5" s="1"/>
  <c r="F387" i="5"/>
  <c r="I387" i="5" s="1"/>
  <c r="F386" i="5"/>
  <c r="I386" i="5" s="1"/>
  <c r="F377" i="5"/>
  <c r="I377" i="5" s="1"/>
  <c r="F372" i="5"/>
  <c r="I372" i="5" s="1"/>
  <c r="F381" i="5"/>
  <c r="I381" i="5" s="1"/>
  <c r="F398" i="5"/>
  <c r="I398" i="5" s="1"/>
  <c r="F382" i="5"/>
  <c r="I382" i="5" s="1"/>
  <c r="F375" i="5"/>
  <c r="I375" i="5" s="1"/>
  <c r="S264" i="3"/>
  <c r="R264" i="3"/>
  <c r="S281" i="3"/>
  <c r="R281" i="3"/>
  <c r="R288" i="3"/>
  <c r="S288" i="3"/>
  <c r="S77" i="3"/>
  <c r="R77" i="3"/>
  <c r="S79" i="3"/>
  <c r="R79" i="3"/>
  <c r="S161" i="3"/>
  <c r="R161" i="3"/>
  <c r="S145" i="3"/>
  <c r="R145" i="3"/>
  <c r="R141" i="3"/>
  <c r="S141" i="3"/>
  <c r="R301" i="3"/>
  <c r="S301" i="3"/>
  <c r="R324" i="3"/>
  <c r="S324" i="3"/>
  <c r="S298" i="3"/>
  <c r="R298" i="3"/>
  <c r="S140" i="3"/>
  <c r="R140" i="3"/>
  <c r="S124" i="3"/>
  <c r="R124" i="3"/>
  <c r="R130" i="3"/>
  <c r="S130" i="3"/>
  <c r="F276" i="5"/>
  <c r="I276" i="5" s="1"/>
  <c r="F287" i="5"/>
  <c r="I287" i="5" s="1"/>
  <c r="F279" i="5"/>
  <c r="I279" i="5" s="1"/>
  <c r="F281" i="5"/>
  <c r="I281" i="5" s="1"/>
  <c r="F282" i="5"/>
  <c r="I282" i="5" s="1"/>
  <c r="F272" i="5"/>
  <c r="I272" i="5" s="1"/>
  <c r="F277" i="5"/>
  <c r="I277" i="5" s="1"/>
  <c r="F290" i="5"/>
  <c r="I290" i="5" s="1"/>
  <c r="F295" i="5"/>
  <c r="I295" i="5" s="1"/>
  <c r="F288" i="5"/>
  <c r="I288" i="5" s="1"/>
  <c r="F296" i="5"/>
  <c r="I296" i="5" s="1"/>
  <c r="F274" i="5"/>
  <c r="I274" i="5" s="1"/>
  <c r="F280" i="5"/>
  <c r="I280" i="5" s="1"/>
  <c r="F298" i="5"/>
  <c r="I298" i="5" s="1"/>
  <c r="F273" i="5"/>
  <c r="I273" i="5" s="1"/>
  <c r="E301" i="5"/>
  <c r="F291" i="5"/>
  <c r="I291" i="5" s="1"/>
  <c r="F289" i="5"/>
  <c r="I289" i="5" s="1"/>
  <c r="F294" i="5"/>
  <c r="I294" i="5" s="1"/>
  <c r="F283" i="5"/>
  <c r="I283" i="5" s="1"/>
  <c r="F297" i="5"/>
  <c r="I297" i="5" s="1"/>
  <c r="F286" i="5"/>
  <c r="I286" i="5" s="1"/>
  <c r="F275" i="5"/>
  <c r="I275" i="5" s="1"/>
  <c r="F300" i="5"/>
  <c r="I300" i="5" s="1"/>
  <c r="S213" i="3"/>
  <c r="R213" i="3"/>
  <c r="R219" i="3"/>
  <c r="S219" i="3"/>
  <c r="R215" i="3"/>
  <c r="S215" i="3"/>
  <c r="R218" i="3"/>
  <c r="S218" i="3"/>
  <c r="F65" i="5"/>
  <c r="I65" i="5" s="1"/>
  <c r="F57" i="5"/>
  <c r="I57" i="5" s="1"/>
  <c r="F50" i="5"/>
  <c r="I50" i="5" s="1"/>
  <c r="F56" i="5"/>
  <c r="I56" i="5" s="1"/>
  <c r="F55" i="5"/>
  <c r="I55" i="5" s="1"/>
  <c r="F45" i="5"/>
  <c r="I45" i="5" s="1"/>
  <c r="F42" i="5"/>
  <c r="I42" i="5" s="1"/>
  <c r="F39" i="5"/>
  <c r="I39" i="5" s="1"/>
  <c r="F44" i="5"/>
  <c r="I44" i="5" s="1"/>
  <c r="F63" i="5"/>
  <c r="I63" i="5" s="1"/>
  <c r="E66" i="5"/>
  <c r="F58" i="5"/>
  <c r="I58" i="5" s="1"/>
  <c r="F49" i="5"/>
  <c r="I49" i="5" s="1"/>
  <c r="F41" i="5"/>
  <c r="I41" i="5" s="1"/>
  <c r="F64" i="5"/>
  <c r="I64" i="5" s="1"/>
  <c r="F62" i="5"/>
  <c r="I62" i="5" s="1"/>
  <c r="F38" i="5"/>
  <c r="I38" i="5" s="1"/>
  <c r="F59" i="5"/>
  <c r="I59" i="5" s="1"/>
  <c r="F51" i="5"/>
  <c r="I51" i="5" s="1"/>
  <c r="F46" i="5"/>
  <c r="I46" i="5" s="1"/>
  <c r="F60" i="5"/>
  <c r="I60" i="5" s="1"/>
  <c r="F52" i="5"/>
  <c r="I52" i="5" s="1"/>
  <c r="F43" i="5"/>
  <c r="I43" i="5" s="1"/>
  <c r="F53" i="5"/>
  <c r="I53" i="5" s="1"/>
  <c r="C12" i="5" l="1"/>
  <c r="L12" i="5" s="1"/>
  <c r="B13" i="5"/>
  <c r="G30" i="3"/>
  <c r="Z31" i="3"/>
  <c r="Z30" i="2"/>
  <c r="G29" i="2"/>
  <c r="E29" i="3"/>
  <c r="AA30" i="3"/>
  <c r="E31" i="2"/>
  <c r="Y32" i="2"/>
  <c r="B14" i="5" l="1"/>
  <c r="C13" i="5"/>
  <c r="L13" i="5" s="1"/>
  <c r="Y33" i="2"/>
  <c r="E32" i="2"/>
  <c r="Z31" i="2"/>
  <c r="G30" i="2"/>
  <c r="G31" i="3"/>
  <c r="Z32" i="3"/>
  <c r="AA31" i="3"/>
  <c r="E30" i="3"/>
  <c r="AA32" i="3" l="1"/>
  <c r="E31" i="3"/>
  <c r="C14" i="5"/>
  <c r="L14" i="5" s="1"/>
  <c r="B15" i="5"/>
  <c r="Z33" i="3"/>
  <c r="G32" i="3"/>
  <c r="Z32" i="2"/>
  <c r="G31" i="2"/>
  <c r="E33" i="2"/>
  <c r="Y34" i="2"/>
  <c r="Z34" i="3" l="1"/>
  <c r="G33" i="3"/>
  <c r="B16" i="5"/>
  <c r="C15" i="5"/>
  <c r="L15" i="5" s="1"/>
  <c r="Z33" i="2"/>
  <c r="G32" i="2"/>
  <c r="Y35" i="2"/>
  <c r="E34" i="2"/>
  <c r="E32" i="3"/>
  <c r="AA33" i="3"/>
  <c r="E33" i="3" l="1"/>
  <c r="AA34" i="3"/>
  <c r="C16" i="5"/>
  <c r="L16" i="5" s="1"/>
  <c r="B17" i="5"/>
  <c r="G34" i="3"/>
  <c r="Z35" i="3"/>
  <c r="E35" i="2"/>
  <c r="Y36" i="2"/>
  <c r="Z34" i="2"/>
  <c r="G33" i="2"/>
  <c r="Y37" i="2" l="1"/>
  <c r="E36" i="2"/>
  <c r="Z36" i="3"/>
  <c r="G35" i="3"/>
  <c r="B18" i="5"/>
  <c r="C17" i="5"/>
  <c r="L17" i="5" s="1"/>
  <c r="AA35" i="3"/>
  <c r="E34" i="3"/>
  <c r="Z35" i="2"/>
  <c r="G34" i="2"/>
  <c r="E35" i="3" l="1"/>
  <c r="AA36" i="3"/>
  <c r="C18" i="5"/>
  <c r="L18" i="5" s="1"/>
  <c r="B19" i="5"/>
  <c r="Z37" i="3"/>
  <c r="G36" i="3"/>
  <c r="Z36" i="2"/>
  <c r="G35" i="2"/>
  <c r="E37" i="2"/>
  <c r="Y38" i="2"/>
  <c r="Z38" i="3" l="1"/>
  <c r="G37" i="3"/>
  <c r="Y39" i="2"/>
  <c r="E38" i="2"/>
  <c r="C19" i="5"/>
  <c r="L19" i="5" s="1"/>
  <c r="B20" i="5"/>
  <c r="Z37" i="2"/>
  <c r="G36" i="2"/>
  <c r="E36" i="3"/>
  <c r="AA37" i="3"/>
  <c r="B21" i="5" l="1"/>
  <c r="C20" i="5"/>
  <c r="L20" i="5" s="1"/>
  <c r="AA38" i="3"/>
  <c r="E37" i="3"/>
  <c r="E39" i="2"/>
  <c r="Y40" i="2"/>
  <c r="Z39" i="3"/>
  <c r="G38" i="3"/>
  <c r="Z38" i="2"/>
  <c r="G37" i="2"/>
  <c r="Z39" i="2" l="1"/>
  <c r="G38" i="2"/>
  <c r="Y41" i="2"/>
  <c r="E40" i="2"/>
  <c r="G39" i="3"/>
  <c r="Z40" i="3"/>
  <c r="E38" i="3"/>
  <c r="AA39" i="3"/>
  <c r="B22" i="5"/>
  <c r="C21" i="5"/>
  <c r="L21" i="5" s="1"/>
  <c r="AA40" i="3" l="1"/>
  <c r="E39" i="3"/>
  <c r="E41" i="2"/>
  <c r="Y42" i="2"/>
  <c r="G40" i="3"/>
  <c r="Z41" i="3"/>
  <c r="B23" i="5"/>
  <c r="C22" i="5"/>
  <c r="L22" i="5" s="1"/>
  <c r="Z40" i="2"/>
  <c r="G39" i="2"/>
  <c r="C23" i="5" l="1"/>
  <c r="L23" i="5" s="1"/>
  <c r="B24" i="5"/>
  <c r="Y43" i="2"/>
  <c r="E42" i="2"/>
  <c r="G41" i="3"/>
  <c r="Z42" i="3"/>
  <c r="Z41" i="2"/>
  <c r="G40" i="2"/>
  <c r="AA41" i="3"/>
  <c r="E40" i="3"/>
  <c r="Z42" i="2" l="1"/>
  <c r="G41" i="2"/>
  <c r="Y44" i="2"/>
  <c r="E43" i="2"/>
  <c r="B25" i="5"/>
  <c r="C24" i="5"/>
  <c r="L24" i="5" s="1"/>
  <c r="Z43" i="3"/>
  <c r="G42" i="3"/>
  <c r="E41" i="3"/>
  <c r="AA42" i="3"/>
  <c r="B26" i="5" l="1"/>
  <c r="C25" i="5"/>
  <c r="L25" i="5" s="1"/>
  <c r="Y45" i="2"/>
  <c r="E44" i="2"/>
  <c r="Z44" i="3"/>
  <c r="G43" i="3"/>
  <c r="AA43" i="3"/>
  <c r="E42" i="3"/>
  <c r="Z43" i="2"/>
  <c r="G42" i="2"/>
  <c r="E43" i="3" l="1"/>
  <c r="AA44" i="3"/>
  <c r="G44" i="3"/>
  <c r="Z45" i="3"/>
  <c r="Y46" i="2"/>
  <c r="E45" i="2"/>
  <c r="Z44" i="2"/>
  <c r="G43" i="2"/>
  <c r="B27" i="5"/>
  <c r="C26" i="5"/>
  <c r="L26" i="5" s="1"/>
  <c r="Y47" i="2" l="1"/>
  <c r="E46" i="2"/>
  <c r="AA45" i="3"/>
  <c r="E44" i="3"/>
  <c r="Z45" i="2"/>
  <c r="G44" i="2"/>
  <c r="Z46" i="3"/>
  <c r="G45" i="3"/>
  <c r="B28" i="5"/>
  <c r="C27" i="5"/>
  <c r="L27" i="5" s="1"/>
  <c r="G46" i="3" l="1"/>
  <c r="Z47" i="3"/>
  <c r="Z46" i="2"/>
  <c r="G45" i="2"/>
  <c r="AA46" i="3"/>
  <c r="E45" i="3"/>
  <c r="C28" i="5"/>
  <c r="L28" i="5" s="1"/>
  <c r="B29" i="5"/>
  <c r="Y48" i="2"/>
  <c r="E47" i="2"/>
  <c r="AA47" i="3" l="1"/>
  <c r="E46" i="3"/>
  <c r="Z47" i="2"/>
  <c r="G46" i="2"/>
  <c r="Z48" i="3"/>
  <c r="G47" i="3"/>
  <c r="B30" i="5"/>
  <c r="C29" i="5"/>
  <c r="L29" i="5" s="1"/>
  <c r="Y49" i="2"/>
  <c r="E48" i="2"/>
  <c r="G48" i="3" l="1"/>
  <c r="Z49" i="3"/>
  <c r="C30" i="5"/>
  <c r="L30" i="5" s="1"/>
  <c r="B31" i="5"/>
  <c r="Z48" i="2"/>
  <c r="G47" i="2"/>
  <c r="Y50" i="2"/>
  <c r="E49" i="2"/>
  <c r="AA48" i="3"/>
  <c r="E47" i="3"/>
  <c r="Y51" i="2" l="1"/>
  <c r="E50" i="2"/>
  <c r="G48" i="2"/>
  <c r="Z49" i="2"/>
  <c r="B32" i="5"/>
  <c r="C31" i="5"/>
  <c r="L31" i="5" s="1"/>
  <c r="G49" i="3"/>
  <c r="Z50" i="3"/>
  <c r="E48" i="3"/>
  <c r="AA49" i="3"/>
  <c r="Z51" i="3" l="1"/>
  <c r="G50" i="3"/>
  <c r="Z50" i="2"/>
  <c r="G49" i="2"/>
  <c r="AA50" i="3"/>
  <c r="E49" i="3"/>
  <c r="C32" i="5"/>
  <c r="L32" i="5" s="1"/>
  <c r="B33" i="5"/>
  <c r="Y52" i="2"/>
  <c r="E51" i="2"/>
  <c r="B34" i="5" l="1"/>
  <c r="C33" i="5"/>
  <c r="L33" i="5" s="1"/>
  <c r="E50" i="3"/>
  <c r="AA51" i="3"/>
  <c r="G50" i="2"/>
  <c r="Z51" i="2"/>
  <c r="AF26" i="3"/>
  <c r="AG20" i="3"/>
  <c r="AE23" i="3"/>
  <c r="AE21" i="3"/>
  <c r="AH21" i="3" s="1"/>
  <c r="AI21" i="3" s="1"/>
  <c r="AF21" i="3"/>
  <c r="AF25" i="3"/>
  <c r="AE26" i="3"/>
  <c r="AH26" i="3" s="1"/>
  <c r="AI26" i="3" s="1"/>
  <c r="AF24" i="3"/>
  <c r="AF23" i="3"/>
  <c r="AE20" i="3"/>
  <c r="AE22" i="3"/>
  <c r="AF22" i="3"/>
  <c r="AE24" i="3"/>
  <c r="AH24" i="3" s="1"/>
  <c r="AI24" i="3" s="1"/>
  <c r="AE25" i="3"/>
  <c r="AH25" i="3" s="1"/>
  <c r="AI25" i="3" s="1"/>
  <c r="AF20" i="3"/>
  <c r="Y53" i="2"/>
  <c r="E52" i="2"/>
  <c r="G51" i="3"/>
  <c r="Z52" i="3"/>
  <c r="AH20" i="3" l="1"/>
  <c r="AI20" i="3" s="1"/>
  <c r="Z53" i="3"/>
  <c r="G52" i="3"/>
  <c r="Z52" i="2"/>
  <c r="G51" i="2"/>
  <c r="Y54" i="2"/>
  <c r="E53" i="2"/>
  <c r="E51" i="3"/>
  <c r="AA52" i="3"/>
  <c r="AH22" i="3"/>
  <c r="AI22" i="3" s="1"/>
  <c r="AH23" i="3"/>
  <c r="AI23" i="3" s="1"/>
  <c r="B38" i="5"/>
  <c r="C34" i="5"/>
  <c r="L34" i="5" s="1"/>
  <c r="Y55" i="2" l="1"/>
  <c r="E54" i="2"/>
  <c r="AC21" i="2"/>
  <c r="AC25" i="2"/>
  <c r="AD23" i="2"/>
  <c r="AD24" i="2"/>
  <c r="AC23" i="2"/>
  <c r="AC24" i="2"/>
  <c r="AD26" i="2"/>
  <c r="AC27" i="2"/>
  <c r="AD22" i="2"/>
  <c r="AC26" i="2"/>
  <c r="AD21" i="2"/>
  <c r="AC22" i="2"/>
  <c r="AD27" i="2"/>
  <c r="AE27" i="2" s="1"/>
  <c r="AD25" i="2"/>
  <c r="B39" i="5"/>
  <c r="K38" i="5"/>
  <c r="C38" i="5"/>
  <c r="L38" i="5" s="1"/>
  <c r="G52" i="2"/>
  <c r="Z53" i="2"/>
  <c r="Z54" i="3"/>
  <c r="G53" i="3"/>
  <c r="E52" i="3"/>
  <c r="AA53" i="3"/>
  <c r="AJ20" i="3"/>
  <c r="AE25" i="2" l="1"/>
  <c r="AF25" i="2" s="1"/>
  <c r="Z55" i="3"/>
  <c r="G54" i="3"/>
  <c r="AE21" i="2"/>
  <c r="AF21" i="2" s="1"/>
  <c r="AE23" i="2"/>
  <c r="AF23" i="2" s="1"/>
  <c r="AF24" i="2"/>
  <c r="AE24" i="2"/>
  <c r="Z54" i="2"/>
  <c r="G53" i="2"/>
  <c r="AE22" i="2"/>
  <c r="AF22" i="2" s="1"/>
  <c r="E53" i="3"/>
  <c r="AA54" i="3"/>
  <c r="C39" i="5"/>
  <c r="L39" i="5" s="1"/>
  <c r="B40" i="5"/>
  <c r="K39" i="5"/>
  <c r="AE26" i="2"/>
  <c r="AF26" i="2" s="1"/>
  <c r="Y56" i="2"/>
  <c r="E55" i="2"/>
  <c r="AA55" i="3" l="1"/>
  <c r="E54" i="3"/>
  <c r="C40" i="5"/>
  <c r="L40" i="5" s="1"/>
  <c r="B41" i="5"/>
  <c r="K40" i="5"/>
  <c r="AF27" i="2"/>
  <c r="E56" i="2"/>
  <c r="Y57" i="2"/>
  <c r="G54" i="2"/>
  <c r="Z55" i="2"/>
  <c r="Z56" i="3"/>
  <c r="G55" i="3"/>
  <c r="Z57" i="3" l="1"/>
  <c r="G56" i="3"/>
  <c r="Z56" i="2"/>
  <c r="G55" i="2"/>
  <c r="E55" i="3"/>
  <c r="AA56" i="3"/>
  <c r="K41" i="5"/>
  <c r="B42" i="5"/>
  <c r="C41" i="5"/>
  <c r="L41" i="5" s="1"/>
  <c r="Y58" i="2"/>
  <c r="E57" i="2"/>
  <c r="Z57" i="2" l="1"/>
  <c r="G56" i="2"/>
  <c r="E58" i="2"/>
  <c r="Y59" i="2"/>
  <c r="C42" i="5"/>
  <c r="L42" i="5" s="1"/>
  <c r="B43" i="5"/>
  <c r="K42" i="5"/>
  <c r="E56" i="3"/>
  <c r="AA57" i="3"/>
  <c r="Z58" i="3"/>
  <c r="G57" i="3"/>
  <c r="B44" i="5" l="1"/>
  <c r="K43" i="5"/>
  <c r="C43" i="5"/>
  <c r="L43" i="5" s="1"/>
  <c r="Y60" i="2"/>
  <c r="E59" i="2"/>
  <c r="AA58" i="3"/>
  <c r="E57" i="3"/>
  <c r="Z58" i="2"/>
  <c r="G57" i="2"/>
  <c r="G58" i="3"/>
  <c r="Z59" i="3"/>
  <c r="Z59" i="2" l="1"/>
  <c r="G58" i="2"/>
  <c r="AA59" i="3"/>
  <c r="E58" i="3"/>
  <c r="K44" i="5"/>
  <c r="C44" i="5"/>
  <c r="L44" i="5" s="1"/>
  <c r="B45" i="5"/>
  <c r="E60" i="2"/>
  <c r="Y61" i="2"/>
  <c r="Z60" i="3"/>
  <c r="G59" i="3"/>
  <c r="G60" i="3" l="1"/>
  <c r="Z61" i="3"/>
  <c r="Y62" i="2"/>
  <c r="E61" i="2"/>
  <c r="Z60" i="2"/>
  <c r="G59" i="2"/>
  <c r="C45" i="5"/>
  <c r="L45" i="5" s="1"/>
  <c r="B46" i="5"/>
  <c r="K45" i="5"/>
  <c r="AA60" i="3"/>
  <c r="E59" i="3"/>
  <c r="E62" i="2" l="1"/>
  <c r="Y63" i="2"/>
  <c r="B47" i="5"/>
  <c r="K46" i="5"/>
  <c r="C46" i="5"/>
  <c r="L46" i="5" s="1"/>
  <c r="AA61" i="3"/>
  <c r="E60" i="3"/>
  <c r="Z62" i="3"/>
  <c r="G61" i="3"/>
  <c r="Z61" i="2"/>
  <c r="G60" i="2"/>
  <c r="E61" i="3" l="1"/>
  <c r="AA62" i="3"/>
  <c r="B48" i="5"/>
  <c r="K47" i="5"/>
  <c r="C47" i="5"/>
  <c r="L47" i="5" s="1"/>
  <c r="Y64" i="2"/>
  <c r="E63" i="2"/>
  <c r="G62" i="3"/>
  <c r="Z63" i="3"/>
  <c r="Z62" i="2"/>
  <c r="G61" i="2"/>
  <c r="E62" i="3" l="1"/>
  <c r="AA63" i="3"/>
  <c r="E64" i="2"/>
  <c r="Y65" i="2"/>
  <c r="C48" i="5"/>
  <c r="L48" i="5" s="1"/>
  <c r="B49" i="5"/>
  <c r="K48" i="5"/>
  <c r="G63" i="3"/>
  <c r="Z64" i="3"/>
  <c r="Z63" i="2"/>
  <c r="G62" i="2"/>
  <c r="C49" i="5" l="1"/>
  <c r="L49" i="5" s="1"/>
  <c r="K49" i="5"/>
  <c r="B50" i="5"/>
  <c r="Y66" i="2"/>
  <c r="E65" i="2"/>
  <c r="Z64" i="2"/>
  <c r="G63" i="2"/>
  <c r="AA64" i="3"/>
  <c r="E63" i="3"/>
  <c r="Z65" i="3"/>
  <c r="G64" i="3"/>
  <c r="AA65" i="3" l="1"/>
  <c r="E64" i="3"/>
  <c r="Z65" i="2"/>
  <c r="G64" i="2"/>
  <c r="E66" i="2"/>
  <c r="Y67" i="2"/>
  <c r="C50" i="5"/>
  <c r="L50" i="5" s="1"/>
  <c r="B51" i="5"/>
  <c r="K50" i="5"/>
  <c r="G65" i="3"/>
  <c r="Z66" i="3"/>
  <c r="B52" i="5" l="1"/>
  <c r="C51" i="5"/>
  <c r="L51" i="5" s="1"/>
  <c r="K51" i="5"/>
  <c r="Z67" i="3"/>
  <c r="G66" i="3"/>
  <c r="Z66" i="2"/>
  <c r="G65" i="2"/>
  <c r="Y68" i="2"/>
  <c r="E67" i="2"/>
  <c r="E65" i="3"/>
  <c r="AA66" i="3"/>
  <c r="E68" i="2" l="1"/>
  <c r="Y69" i="2"/>
  <c r="E66" i="3"/>
  <c r="AA67" i="3"/>
  <c r="Z67" i="2"/>
  <c r="G66" i="2"/>
  <c r="Z68" i="3"/>
  <c r="G67" i="3"/>
  <c r="K52" i="5"/>
  <c r="B53" i="5"/>
  <c r="C52" i="5"/>
  <c r="L52" i="5" s="1"/>
  <c r="Z69" i="3" l="1"/>
  <c r="G68" i="3"/>
  <c r="Z68" i="2"/>
  <c r="G67" i="2"/>
  <c r="E67" i="3"/>
  <c r="AA68" i="3"/>
  <c r="K53" i="5"/>
  <c r="C53" i="5"/>
  <c r="L53" i="5" s="1"/>
  <c r="B54" i="5"/>
  <c r="Y70" i="2"/>
  <c r="E69" i="2"/>
  <c r="Z69" i="2" l="1"/>
  <c r="G68" i="2"/>
  <c r="E68" i="3"/>
  <c r="AA69" i="3"/>
  <c r="Y71" i="2"/>
  <c r="E70" i="2"/>
  <c r="B55" i="5"/>
  <c r="K54" i="5"/>
  <c r="C54" i="5"/>
  <c r="L54" i="5" s="1"/>
  <c r="Z70" i="3"/>
  <c r="G69" i="3"/>
  <c r="E69" i="3" l="1"/>
  <c r="AA70" i="3"/>
  <c r="B56" i="5"/>
  <c r="K55" i="5"/>
  <c r="C55" i="5"/>
  <c r="L55" i="5" s="1"/>
  <c r="Y72" i="2"/>
  <c r="E71" i="2"/>
  <c r="Z71" i="3"/>
  <c r="G70" i="3"/>
  <c r="Z70" i="2"/>
  <c r="G69" i="2"/>
  <c r="Y73" i="2" l="1"/>
  <c r="E72" i="2"/>
  <c r="C56" i="5"/>
  <c r="L56" i="5" s="1"/>
  <c r="B57" i="5"/>
  <c r="K56" i="5"/>
  <c r="Z71" i="2"/>
  <c r="G70" i="2"/>
  <c r="E70" i="3"/>
  <c r="AA71" i="3"/>
  <c r="Z72" i="3"/>
  <c r="G71" i="3"/>
  <c r="Z72" i="2" l="1"/>
  <c r="G71" i="2"/>
  <c r="C57" i="5"/>
  <c r="L57" i="5" s="1"/>
  <c r="B58" i="5"/>
  <c r="K57" i="5"/>
  <c r="G72" i="3"/>
  <c r="Z73" i="3"/>
  <c r="AA72" i="3"/>
  <c r="E71" i="3"/>
  <c r="Y74" i="2"/>
  <c r="E73" i="2"/>
  <c r="C58" i="5" l="1"/>
  <c r="L58" i="5" s="1"/>
  <c r="K58" i="5"/>
  <c r="B59" i="5"/>
  <c r="AA73" i="3"/>
  <c r="E72" i="3"/>
  <c r="G73" i="3"/>
  <c r="Z74" i="3"/>
  <c r="Y75" i="2"/>
  <c r="E74" i="2"/>
  <c r="Z73" i="2"/>
  <c r="G72" i="2"/>
  <c r="Y76" i="2" l="1"/>
  <c r="E75" i="2"/>
  <c r="G74" i="3"/>
  <c r="Z75" i="3"/>
  <c r="AA74" i="3"/>
  <c r="E73" i="3"/>
  <c r="K59" i="5"/>
  <c r="C59" i="5"/>
  <c r="L59" i="5" s="1"/>
  <c r="B60" i="5"/>
  <c r="Z74" i="2"/>
  <c r="G73" i="2"/>
  <c r="AA75" i="3" l="1"/>
  <c r="E74" i="3"/>
  <c r="Z76" i="3"/>
  <c r="G75" i="3"/>
  <c r="Z75" i="2"/>
  <c r="G74" i="2"/>
  <c r="B61" i="5"/>
  <c r="K60" i="5"/>
  <c r="C60" i="5"/>
  <c r="L60" i="5" s="1"/>
  <c r="Y77" i="2"/>
  <c r="E76" i="2"/>
  <c r="Z76" i="2" l="1"/>
  <c r="G75" i="2"/>
  <c r="G76" i="3"/>
  <c r="Z77" i="3"/>
  <c r="Y78" i="2"/>
  <c r="E77" i="2"/>
  <c r="K61" i="5"/>
  <c r="B62" i="5"/>
  <c r="C61" i="5"/>
  <c r="L61" i="5" s="1"/>
  <c r="E75" i="3"/>
  <c r="AA76" i="3"/>
  <c r="B63" i="5" l="1"/>
  <c r="K62" i="5"/>
  <c r="C62" i="5"/>
  <c r="L62" i="5" s="1"/>
  <c r="Y79" i="2"/>
  <c r="E78" i="2"/>
  <c r="G77" i="3"/>
  <c r="Z78" i="3"/>
  <c r="E76" i="3"/>
  <c r="AA77" i="3"/>
  <c r="Z77" i="2"/>
  <c r="G76" i="2"/>
  <c r="Z79" i="3" l="1"/>
  <c r="G78" i="3"/>
  <c r="Y80" i="2"/>
  <c r="E79" i="2"/>
  <c r="G77" i="2"/>
  <c r="Z78" i="2"/>
  <c r="AA78" i="3"/>
  <c r="E77" i="3"/>
  <c r="B64" i="5"/>
  <c r="K63" i="5"/>
  <c r="C63" i="5"/>
  <c r="L63" i="5" s="1"/>
  <c r="Z79" i="2" l="1"/>
  <c r="G78" i="2"/>
  <c r="Y81" i="2"/>
  <c r="E80" i="2"/>
  <c r="E78" i="3"/>
  <c r="AA79" i="3"/>
  <c r="C64" i="5"/>
  <c r="L64" i="5" s="1"/>
  <c r="B65" i="5"/>
  <c r="K64" i="5"/>
  <c r="Z80" i="3"/>
  <c r="G79" i="3"/>
  <c r="B69" i="5" l="1"/>
  <c r="C65" i="5"/>
  <c r="L65" i="5" s="1"/>
  <c r="K65" i="5"/>
  <c r="E79" i="3"/>
  <c r="AA80" i="3"/>
  <c r="AE33" i="3"/>
  <c r="AF33" i="3"/>
  <c r="AF32" i="3"/>
  <c r="AE29" i="3"/>
  <c r="AF27" i="3"/>
  <c r="AF29" i="3"/>
  <c r="AE27" i="3"/>
  <c r="AH27" i="3" s="1"/>
  <c r="AI27" i="3" s="1"/>
  <c r="AE28" i="3"/>
  <c r="AE31" i="3"/>
  <c r="AF31" i="3"/>
  <c r="AE32" i="3"/>
  <c r="AH32" i="3" s="1"/>
  <c r="AI32" i="3" s="1"/>
  <c r="AF30" i="3"/>
  <c r="AE30" i="3"/>
  <c r="AF28" i="3"/>
  <c r="Y82" i="2"/>
  <c r="E81" i="2"/>
  <c r="Z81" i="3"/>
  <c r="G80" i="3"/>
  <c r="G79" i="2"/>
  <c r="Z80" i="2"/>
  <c r="AH30" i="3" l="1"/>
  <c r="AI30" i="3" s="1"/>
  <c r="Z81" i="2"/>
  <c r="G80" i="2"/>
  <c r="AD28" i="2"/>
  <c r="AD32" i="2"/>
  <c r="AC33" i="2"/>
  <c r="AC31" i="2"/>
  <c r="AD31" i="2"/>
  <c r="AC30" i="2"/>
  <c r="AD29" i="2"/>
  <c r="AD30" i="2"/>
  <c r="AC28" i="2"/>
  <c r="AC34" i="2"/>
  <c r="AD33" i="2"/>
  <c r="AD34" i="2"/>
  <c r="AE34" i="2" s="1"/>
  <c r="AC32" i="2"/>
  <c r="AH31" i="3"/>
  <c r="AI31" i="3" s="1"/>
  <c r="AH33" i="3"/>
  <c r="AI33" i="3" s="1"/>
  <c r="Z82" i="3"/>
  <c r="G81" i="3"/>
  <c r="AH28" i="3"/>
  <c r="AI28" i="3" s="1"/>
  <c r="E80" i="3"/>
  <c r="AA81" i="3"/>
  <c r="Y83" i="2"/>
  <c r="E82" i="2"/>
  <c r="AH29" i="3"/>
  <c r="AI29" i="3" s="1"/>
  <c r="AJ27" i="3" s="1"/>
  <c r="B70" i="5"/>
  <c r="K69" i="5"/>
  <c r="C69" i="5"/>
  <c r="L69" i="5" s="1"/>
  <c r="AE31" i="2" l="1"/>
  <c r="AF31" i="2" s="1"/>
  <c r="AE33" i="2"/>
  <c r="AF33" i="2" s="1"/>
  <c r="AE32" i="2"/>
  <c r="AF32" i="2" s="1"/>
  <c r="E83" i="2"/>
  <c r="Y84" i="2"/>
  <c r="AE28" i="2"/>
  <c r="AF28" i="2" s="1"/>
  <c r="C70" i="5"/>
  <c r="L70" i="5" s="1"/>
  <c r="B71" i="5"/>
  <c r="K70" i="5"/>
  <c r="Z83" i="3"/>
  <c r="G82" i="3"/>
  <c r="E81" i="3"/>
  <c r="AA82" i="3"/>
  <c r="AE30" i="2"/>
  <c r="AF30" i="2" s="1"/>
  <c r="AC29" i="2"/>
  <c r="AE29" i="2"/>
  <c r="AF29" i="2" s="1"/>
  <c r="G81" i="2"/>
  <c r="Z82" i="2"/>
  <c r="Z83" i="2" l="1"/>
  <c r="G82" i="2"/>
  <c r="AF34" i="2"/>
  <c r="Z84" i="3"/>
  <c r="G83" i="3"/>
  <c r="Y85" i="2"/>
  <c r="E84" i="2"/>
  <c r="AA83" i="3"/>
  <c r="E82" i="3"/>
  <c r="C71" i="5"/>
  <c r="L71" i="5" s="1"/>
  <c r="K71" i="5"/>
  <c r="B72" i="5"/>
  <c r="C72" i="5" l="1"/>
  <c r="L72" i="5" s="1"/>
  <c r="K72" i="5"/>
  <c r="B73" i="5"/>
  <c r="G83" i="2"/>
  <c r="Z84" i="2"/>
  <c r="E85" i="2"/>
  <c r="Y86" i="2"/>
  <c r="E83" i="3"/>
  <c r="AA84" i="3"/>
  <c r="Z85" i="3"/>
  <c r="G84" i="3"/>
  <c r="Y87" i="2" l="1"/>
  <c r="E86" i="2"/>
  <c r="Z85" i="2"/>
  <c r="G84" i="2"/>
  <c r="C73" i="5"/>
  <c r="L73" i="5" s="1"/>
  <c r="K73" i="5"/>
  <c r="B74" i="5"/>
  <c r="Z86" i="3"/>
  <c r="G85" i="3"/>
  <c r="E84" i="3"/>
  <c r="AA85" i="3"/>
  <c r="AA86" i="3" l="1"/>
  <c r="E85" i="3"/>
  <c r="Z86" i="2"/>
  <c r="G85" i="2"/>
  <c r="E87" i="2"/>
  <c r="Y88" i="2"/>
  <c r="Z87" i="3"/>
  <c r="G86" i="3"/>
  <c r="B75" i="5"/>
  <c r="K74" i="5"/>
  <c r="C74" i="5"/>
  <c r="L74" i="5" s="1"/>
  <c r="G87" i="3" l="1"/>
  <c r="Z88" i="3"/>
  <c r="AA87" i="3"/>
  <c r="E86" i="3"/>
  <c r="Y89" i="2"/>
  <c r="E88" i="2"/>
  <c r="K75" i="5"/>
  <c r="B76" i="5"/>
  <c r="C75" i="5"/>
  <c r="L75" i="5" s="1"/>
  <c r="Z87" i="2"/>
  <c r="G86" i="2"/>
  <c r="B77" i="5" l="1"/>
  <c r="K76" i="5"/>
  <c r="C76" i="5"/>
  <c r="L76" i="5" s="1"/>
  <c r="AA88" i="3"/>
  <c r="E87" i="3"/>
  <c r="Z89" i="3"/>
  <c r="G88" i="3"/>
  <c r="Z88" i="2"/>
  <c r="G87" i="2"/>
  <c r="E89" i="2"/>
  <c r="Y90" i="2"/>
  <c r="Z89" i="2" l="1"/>
  <c r="G88" i="2"/>
  <c r="AA89" i="3"/>
  <c r="E88" i="3"/>
  <c r="Z90" i="3"/>
  <c r="G89" i="3"/>
  <c r="Y91" i="2"/>
  <c r="E90" i="2"/>
  <c r="B78" i="5"/>
  <c r="K77" i="5"/>
  <c r="C77" i="5"/>
  <c r="L77" i="5" s="1"/>
  <c r="E89" i="3" l="1"/>
  <c r="AA90" i="3"/>
  <c r="C78" i="5"/>
  <c r="L78" i="5" s="1"/>
  <c r="B79" i="5"/>
  <c r="K78" i="5"/>
  <c r="G90" i="3"/>
  <c r="Z91" i="3"/>
  <c r="Y92" i="2"/>
  <c r="E91" i="2"/>
  <c r="Z90" i="2"/>
  <c r="G89" i="2"/>
  <c r="Z92" i="3" l="1"/>
  <c r="G91" i="3"/>
  <c r="E92" i="2"/>
  <c r="Y93" i="2"/>
  <c r="E90" i="3"/>
  <c r="AA91" i="3"/>
  <c r="Z91" i="2"/>
  <c r="G90" i="2"/>
  <c r="C79" i="5"/>
  <c r="L79" i="5" s="1"/>
  <c r="B80" i="5"/>
  <c r="K79" i="5"/>
  <c r="Z92" i="2" l="1"/>
  <c r="G91" i="2"/>
  <c r="AA92" i="3"/>
  <c r="E91" i="3"/>
  <c r="E93" i="2"/>
  <c r="Y94" i="2"/>
  <c r="C80" i="5"/>
  <c r="L80" i="5" s="1"/>
  <c r="B81" i="5"/>
  <c r="K80" i="5"/>
  <c r="Z93" i="3"/>
  <c r="G92" i="3"/>
  <c r="C81" i="5" l="1"/>
  <c r="L81" i="5" s="1"/>
  <c r="B82" i="5"/>
  <c r="K81" i="5"/>
  <c r="E94" i="2"/>
  <c r="Y95" i="2"/>
  <c r="E92" i="3"/>
  <c r="AA93" i="3"/>
  <c r="Z94" i="3"/>
  <c r="G93" i="3"/>
  <c r="G92" i="2"/>
  <c r="Z93" i="2"/>
  <c r="E95" i="2" l="1"/>
  <c r="Y96" i="2"/>
  <c r="Z94" i="2"/>
  <c r="G93" i="2"/>
  <c r="B83" i="5"/>
  <c r="K82" i="5"/>
  <c r="C82" i="5"/>
  <c r="L82" i="5" s="1"/>
  <c r="Z95" i="3"/>
  <c r="G94" i="3"/>
  <c r="E93" i="3"/>
  <c r="AA94" i="3"/>
  <c r="AA95" i="3" l="1"/>
  <c r="E94" i="3"/>
  <c r="G94" i="2"/>
  <c r="Z95" i="2"/>
  <c r="Z96" i="3"/>
  <c r="G95" i="3"/>
  <c r="B84" i="5"/>
  <c r="C83" i="5"/>
  <c r="L83" i="5" s="1"/>
  <c r="K83" i="5"/>
  <c r="Y97" i="2"/>
  <c r="E96" i="2"/>
  <c r="Z97" i="3" l="1"/>
  <c r="G96" i="3"/>
  <c r="Z96" i="2"/>
  <c r="G95" i="2"/>
  <c r="E97" i="2"/>
  <c r="Y98" i="2"/>
  <c r="B85" i="5"/>
  <c r="K84" i="5"/>
  <c r="C84" i="5"/>
  <c r="L84" i="5" s="1"/>
  <c r="E95" i="3"/>
  <c r="AA96" i="3"/>
  <c r="AA97" i="3" l="1"/>
  <c r="E96" i="3"/>
  <c r="G96" i="2"/>
  <c r="Z97" i="2"/>
  <c r="Y99" i="2"/>
  <c r="E98" i="2"/>
  <c r="B86" i="5"/>
  <c r="K85" i="5"/>
  <c r="C85" i="5"/>
  <c r="L85" i="5" s="1"/>
  <c r="Z98" i="3"/>
  <c r="G97" i="3"/>
  <c r="C86" i="5" l="1"/>
  <c r="L86" i="5" s="1"/>
  <c r="B87" i="5"/>
  <c r="K86" i="5"/>
  <c r="E99" i="2"/>
  <c r="Y100" i="2"/>
  <c r="Z98" i="2"/>
  <c r="G97" i="2"/>
  <c r="Z99" i="3"/>
  <c r="G98" i="3"/>
  <c r="AA98" i="3"/>
  <c r="E97" i="3"/>
  <c r="Z100" i="3" l="1"/>
  <c r="G99" i="3"/>
  <c r="Z99" i="2"/>
  <c r="G98" i="2"/>
  <c r="Y101" i="2"/>
  <c r="E100" i="2"/>
  <c r="E98" i="3"/>
  <c r="AA99" i="3"/>
  <c r="C87" i="5"/>
  <c r="L87" i="5" s="1"/>
  <c r="B88" i="5"/>
  <c r="K87" i="5"/>
  <c r="AA100" i="3" l="1"/>
  <c r="E99" i="3"/>
  <c r="E101" i="2"/>
  <c r="Y102" i="2"/>
  <c r="G99" i="2"/>
  <c r="Z100" i="2"/>
  <c r="C88" i="5"/>
  <c r="L88" i="5" s="1"/>
  <c r="K88" i="5"/>
  <c r="B89" i="5"/>
  <c r="G100" i="3"/>
  <c r="Z101" i="3"/>
  <c r="G101" i="3" l="1"/>
  <c r="Z102" i="3"/>
  <c r="Z101" i="2"/>
  <c r="G100" i="2"/>
  <c r="E102" i="2"/>
  <c r="Y103" i="2"/>
  <c r="C89" i="5"/>
  <c r="L89" i="5" s="1"/>
  <c r="K89" i="5"/>
  <c r="B90" i="5"/>
  <c r="AA101" i="3"/>
  <c r="E100" i="3"/>
  <c r="Z102" i="2" l="1"/>
  <c r="G101" i="2"/>
  <c r="AA102" i="3"/>
  <c r="E101" i="3"/>
  <c r="Z103" i="3"/>
  <c r="G102" i="3"/>
  <c r="Y104" i="2"/>
  <c r="E103" i="2"/>
  <c r="K90" i="5"/>
  <c r="C90" i="5"/>
  <c r="L90" i="5" s="1"/>
  <c r="B91" i="5"/>
  <c r="G103" i="3" l="1"/>
  <c r="Z104" i="3"/>
  <c r="Y105" i="2"/>
  <c r="E104" i="2"/>
  <c r="K91" i="5"/>
  <c r="B92" i="5"/>
  <c r="C91" i="5"/>
  <c r="L91" i="5" s="1"/>
  <c r="E102" i="3"/>
  <c r="AA103" i="3"/>
  <c r="Z103" i="2"/>
  <c r="G102" i="2"/>
  <c r="B93" i="5" l="1"/>
  <c r="K92" i="5"/>
  <c r="C92" i="5"/>
  <c r="L92" i="5" s="1"/>
  <c r="Y106" i="2"/>
  <c r="E105" i="2"/>
  <c r="G103" i="2"/>
  <c r="Z104" i="2"/>
  <c r="Z105" i="3"/>
  <c r="G104" i="3"/>
  <c r="AA104" i="3"/>
  <c r="E103" i="3"/>
  <c r="G105" i="3" l="1"/>
  <c r="Z106" i="3"/>
  <c r="Y107" i="2"/>
  <c r="E106" i="2"/>
  <c r="E104" i="3"/>
  <c r="AA105" i="3"/>
  <c r="Z105" i="2"/>
  <c r="G104" i="2"/>
  <c r="K93" i="5"/>
  <c r="C93" i="5"/>
  <c r="L93" i="5" s="1"/>
  <c r="B94" i="5"/>
  <c r="AA106" i="3" l="1"/>
  <c r="E105" i="3"/>
  <c r="Y108" i="2"/>
  <c r="E107" i="2"/>
  <c r="C94" i="5"/>
  <c r="L94" i="5" s="1"/>
  <c r="K94" i="5"/>
  <c r="B95" i="5"/>
  <c r="G106" i="3"/>
  <c r="Z107" i="3"/>
  <c r="G105" i="2"/>
  <c r="Z106" i="2"/>
  <c r="G106" i="2" l="1"/>
  <c r="Z107" i="2"/>
  <c r="Y109" i="2"/>
  <c r="E108" i="2"/>
  <c r="C95" i="5"/>
  <c r="L95" i="5" s="1"/>
  <c r="K95" i="5"/>
  <c r="B96" i="5"/>
  <c r="G107" i="3"/>
  <c r="Z108" i="3"/>
  <c r="AA107" i="3"/>
  <c r="E106" i="3"/>
  <c r="Y110" i="2" l="1"/>
  <c r="E109" i="2"/>
  <c r="K96" i="5"/>
  <c r="C96" i="5"/>
  <c r="L96" i="5" s="1"/>
  <c r="B97" i="5"/>
  <c r="AA108" i="3"/>
  <c r="E107" i="3"/>
  <c r="G107" i="2"/>
  <c r="Z108" i="2"/>
  <c r="Z109" i="3"/>
  <c r="G108" i="3"/>
  <c r="AA109" i="3" l="1"/>
  <c r="E108" i="3"/>
  <c r="K97" i="5"/>
  <c r="B98" i="5"/>
  <c r="C97" i="5"/>
  <c r="L97" i="5" s="1"/>
  <c r="Z110" i="3"/>
  <c r="G109" i="3"/>
  <c r="Z109" i="2"/>
  <c r="G108" i="2"/>
  <c r="Y111" i="2"/>
  <c r="E110" i="2"/>
  <c r="Z111" i="3" l="1"/>
  <c r="G110" i="3"/>
  <c r="C98" i="5"/>
  <c r="L98" i="5" s="1"/>
  <c r="B99" i="5"/>
  <c r="K98" i="5"/>
  <c r="G109" i="2"/>
  <c r="Z110" i="2"/>
  <c r="Y112" i="2"/>
  <c r="E111" i="2"/>
  <c r="AA110" i="3"/>
  <c r="E109" i="3"/>
  <c r="Z111" i="2" l="1"/>
  <c r="G110" i="2"/>
  <c r="Y113" i="2"/>
  <c r="E112" i="2"/>
  <c r="AF35" i="3"/>
  <c r="AF34" i="3"/>
  <c r="AF39" i="3"/>
  <c r="AF40" i="3"/>
  <c r="AH40" i="3" s="1"/>
  <c r="AI40" i="3" s="1"/>
  <c r="AE36" i="3"/>
  <c r="AF38" i="3"/>
  <c r="AE38" i="3"/>
  <c r="AF37" i="3"/>
  <c r="AF36" i="3"/>
  <c r="AE35" i="3"/>
  <c r="AH35" i="3" s="1"/>
  <c r="AI35" i="3" s="1"/>
  <c r="AE34" i="3"/>
  <c r="AE39" i="3"/>
  <c r="AH39" i="3" s="1"/>
  <c r="AI39" i="3" s="1"/>
  <c r="AE37" i="3"/>
  <c r="AH37" i="3" s="1"/>
  <c r="AI37" i="3" s="1"/>
  <c r="K99" i="5"/>
  <c r="B103" i="5"/>
  <c r="C99" i="5"/>
  <c r="L99" i="5" s="1"/>
  <c r="E110" i="3"/>
  <c r="AA111" i="3"/>
  <c r="G111" i="3"/>
  <c r="Z112" i="3"/>
  <c r="AH34" i="3" l="1"/>
  <c r="AI34" i="3" s="1"/>
  <c r="K103" i="5"/>
  <c r="C103" i="5"/>
  <c r="L103" i="5" s="1"/>
  <c r="B104" i="5"/>
  <c r="AH38" i="3"/>
  <c r="AI38" i="3" s="1"/>
  <c r="Y114" i="2"/>
  <c r="E113" i="2"/>
  <c r="Z113" i="3"/>
  <c r="G112" i="3"/>
  <c r="AA112" i="3"/>
  <c r="E111" i="3"/>
  <c r="AD40" i="2"/>
  <c r="AC38" i="2"/>
  <c r="AD37" i="2"/>
  <c r="AD41" i="2"/>
  <c r="AE41" i="2" s="1"/>
  <c r="AC41" i="2"/>
  <c r="AD36" i="2"/>
  <c r="AD39" i="2"/>
  <c r="AD35" i="2"/>
  <c r="AD38" i="2"/>
  <c r="AC37" i="2"/>
  <c r="AC39" i="2"/>
  <c r="AC36" i="2"/>
  <c r="AC35" i="2"/>
  <c r="AC40" i="2"/>
  <c r="AH36" i="3"/>
  <c r="AI36" i="3" s="1"/>
  <c r="G111" i="2"/>
  <c r="Z112" i="2"/>
  <c r="G113" i="3" l="1"/>
  <c r="Z114" i="3"/>
  <c r="AE37" i="2"/>
  <c r="AF37" i="2" s="1"/>
  <c r="Y115" i="2"/>
  <c r="E114" i="2"/>
  <c r="Z113" i="2"/>
  <c r="G112" i="2"/>
  <c r="AF40" i="2"/>
  <c r="AE40" i="2"/>
  <c r="C104" i="5"/>
  <c r="L104" i="5" s="1"/>
  <c r="B105" i="5"/>
  <c r="K104" i="5"/>
  <c r="AE35" i="2"/>
  <c r="AF35" i="2" s="1"/>
  <c r="AF38" i="2"/>
  <c r="AE38" i="2"/>
  <c r="AF39" i="2"/>
  <c r="AE39" i="2"/>
  <c r="AA113" i="3"/>
  <c r="E112" i="3"/>
  <c r="AE36" i="2"/>
  <c r="AF36" i="2" s="1"/>
  <c r="AJ34" i="3"/>
  <c r="AF41" i="2" l="1"/>
  <c r="Z114" i="2"/>
  <c r="G113" i="2"/>
  <c r="Y116" i="2"/>
  <c r="E115" i="2"/>
  <c r="B106" i="5"/>
  <c r="K105" i="5"/>
  <c r="C105" i="5"/>
  <c r="L105" i="5" s="1"/>
  <c r="AA114" i="3"/>
  <c r="E113" i="3"/>
  <c r="G114" i="3"/>
  <c r="Z115" i="3"/>
  <c r="Y117" i="2" l="1"/>
  <c r="E116" i="2"/>
  <c r="AA115" i="3"/>
  <c r="E114" i="3"/>
  <c r="G115" i="3"/>
  <c r="Z116" i="3"/>
  <c r="B107" i="5"/>
  <c r="K106" i="5"/>
  <c r="C106" i="5"/>
  <c r="L106" i="5" s="1"/>
  <c r="Z115" i="2"/>
  <c r="G114" i="2"/>
  <c r="G115" i="2" l="1"/>
  <c r="Z116" i="2"/>
  <c r="K107" i="5"/>
  <c r="C107" i="5"/>
  <c r="L107" i="5" s="1"/>
  <c r="B108" i="5"/>
  <c r="Z117" i="3"/>
  <c r="G116" i="3"/>
  <c r="AA116" i="3"/>
  <c r="E115" i="3"/>
  <c r="Y118" i="2"/>
  <c r="E117" i="2"/>
  <c r="AA117" i="3" l="1"/>
  <c r="E116" i="3"/>
  <c r="Z118" i="3"/>
  <c r="G117" i="3"/>
  <c r="G116" i="2"/>
  <c r="Z117" i="2"/>
  <c r="C108" i="5"/>
  <c r="L108" i="5" s="1"/>
  <c r="B109" i="5"/>
  <c r="K108" i="5"/>
  <c r="Y119" i="2"/>
  <c r="E118" i="2"/>
  <c r="Y120" i="2" l="1"/>
  <c r="E119" i="2"/>
  <c r="Z118" i="2"/>
  <c r="G117" i="2"/>
  <c r="C109" i="5"/>
  <c r="L109" i="5" s="1"/>
  <c r="K109" i="5"/>
  <c r="B110" i="5"/>
  <c r="Z119" i="3"/>
  <c r="G118" i="3"/>
  <c r="AA118" i="3"/>
  <c r="E117" i="3"/>
  <c r="G118" i="2" l="1"/>
  <c r="Z119" i="2"/>
  <c r="G119" i="3"/>
  <c r="Z120" i="3"/>
  <c r="B111" i="5"/>
  <c r="K110" i="5"/>
  <c r="C110" i="5"/>
  <c r="L110" i="5" s="1"/>
  <c r="Y121" i="2"/>
  <c r="E120" i="2"/>
  <c r="E118" i="3"/>
  <c r="AA119" i="3"/>
  <c r="Y122" i="2" l="1"/>
  <c r="E121" i="2"/>
  <c r="B112" i="5"/>
  <c r="K111" i="5"/>
  <c r="C111" i="5"/>
  <c r="L111" i="5" s="1"/>
  <c r="G120" i="3"/>
  <c r="Z121" i="3"/>
  <c r="AA120" i="3"/>
  <c r="E119" i="3"/>
  <c r="Z120" i="2"/>
  <c r="G119" i="2"/>
  <c r="B113" i="5" l="1"/>
  <c r="C112" i="5"/>
  <c r="L112" i="5" s="1"/>
  <c r="K112" i="5"/>
  <c r="G120" i="2"/>
  <c r="Z121" i="2"/>
  <c r="Y123" i="2"/>
  <c r="E122" i="2"/>
  <c r="AA121" i="3"/>
  <c r="E120" i="3"/>
  <c r="G121" i="3"/>
  <c r="Z122" i="3"/>
  <c r="Y124" i="2" l="1"/>
  <c r="E123" i="2"/>
  <c r="AA122" i="3"/>
  <c r="E121" i="3"/>
  <c r="G122" i="3"/>
  <c r="Z123" i="3"/>
  <c r="Z122" i="2"/>
  <c r="G121" i="2"/>
  <c r="C113" i="5"/>
  <c r="L113" i="5" s="1"/>
  <c r="B114" i="5"/>
  <c r="K113" i="5"/>
  <c r="AA123" i="3" l="1"/>
  <c r="E122" i="3"/>
  <c r="G122" i="2"/>
  <c r="Z123" i="2"/>
  <c r="B115" i="5"/>
  <c r="K114" i="5"/>
  <c r="C114" i="5"/>
  <c r="L114" i="5" s="1"/>
  <c r="Z124" i="3"/>
  <c r="G123" i="3"/>
  <c r="Y125" i="2"/>
  <c r="E124" i="2"/>
  <c r="C115" i="5" l="1"/>
  <c r="L115" i="5" s="1"/>
  <c r="B116" i="5"/>
  <c r="K115" i="5"/>
  <c r="Z124" i="2"/>
  <c r="G123" i="2"/>
  <c r="Y126" i="2"/>
  <c r="E125" i="2"/>
  <c r="Z125" i="3"/>
  <c r="G124" i="3"/>
  <c r="AA124" i="3"/>
  <c r="E123" i="3"/>
  <c r="G124" i="2" l="1"/>
  <c r="Z125" i="2"/>
  <c r="AA125" i="3"/>
  <c r="E124" i="3"/>
  <c r="C116" i="5"/>
  <c r="L116" i="5" s="1"/>
  <c r="K116" i="5"/>
  <c r="B117" i="5"/>
  <c r="Z126" i="3"/>
  <c r="G125" i="3"/>
  <c r="Y127" i="2"/>
  <c r="E126" i="2"/>
  <c r="B118" i="5" l="1"/>
  <c r="C117" i="5"/>
  <c r="L117" i="5" s="1"/>
  <c r="K117" i="5"/>
  <c r="Z127" i="3"/>
  <c r="G126" i="3"/>
  <c r="AA126" i="3"/>
  <c r="E125" i="3"/>
  <c r="Y128" i="2"/>
  <c r="E127" i="2"/>
  <c r="Z126" i="2"/>
  <c r="G125" i="2"/>
  <c r="Y129" i="2" l="1"/>
  <c r="E128" i="2"/>
  <c r="E126" i="3"/>
  <c r="AA127" i="3"/>
  <c r="Z128" i="3"/>
  <c r="G127" i="3"/>
  <c r="G126" i="2"/>
  <c r="Z127" i="2"/>
  <c r="K118" i="5"/>
  <c r="C118" i="5"/>
  <c r="L118" i="5" s="1"/>
  <c r="B119" i="5"/>
  <c r="G128" i="3" l="1"/>
  <c r="Z129" i="3"/>
  <c r="B120" i="5"/>
  <c r="C119" i="5"/>
  <c r="L119" i="5" s="1"/>
  <c r="K119" i="5"/>
  <c r="AA128" i="3"/>
  <c r="E127" i="3"/>
  <c r="Z128" i="2"/>
  <c r="G127" i="2"/>
  <c r="Y130" i="2"/>
  <c r="E129" i="2"/>
  <c r="C120" i="5" l="1"/>
  <c r="L120" i="5" s="1"/>
  <c r="B121" i="5"/>
  <c r="K120" i="5"/>
  <c r="G128" i="2"/>
  <c r="Z129" i="2"/>
  <c r="E128" i="3"/>
  <c r="AA129" i="3"/>
  <c r="Y131" i="2"/>
  <c r="E130" i="2"/>
  <c r="G129" i="3"/>
  <c r="Z130" i="3"/>
  <c r="Y132" i="2" l="1"/>
  <c r="E131" i="2"/>
  <c r="G130" i="3"/>
  <c r="Z131" i="3"/>
  <c r="B122" i="5"/>
  <c r="K121" i="5"/>
  <c r="C121" i="5"/>
  <c r="L121" i="5" s="1"/>
  <c r="AA130" i="3"/>
  <c r="E129" i="3"/>
  <c r="Z130" i="2"/>
  <c r="G129" i="2"/>
  <c r="Z131" i="2" l="1"/>
  <c r="G130" i="2"/>
  <c r="E130" i="3"/>
  <c r="AA131" i="3"/>
  <c r="B123" i="5"/>
  <c r="K122" i="5"/>
  <c r="C122" i="5"/>
  <c r="L122" i="5" s="1"/>
  <c r="G131" i="3"/>
  <c r="Z132" i="3"/>
  <c r="Y133" i="2"/>
  <c r="E132" i="2"/>
  <c r="B124" i="5" l="1"/>
  <c r="K123" i="5"/>
  <c r="C123" i="5"/>
  <c r="L123" i="5" s="1"/>
  <c r="AA132" i="3"/>
  <c r="E131" i="3"/>
  <c r="Y134" i="2"/>
  <c r="E133" i="2"/>
  <c r="Z133" i="3"/>
  <c r="G132" i="3"/>
  <c r="G131" i="2"/>
  <c r="Z132" i="2"/>
  <c r="AA133" i="3" l="1"/>
  <c r="E132" i="3"/>
  <c r="Z133" i="2"/>
  <c r="G132" i="2"/>
  <c r="Z134" i="3"/>
  <c r="G133" i="3"/>
  <c r="Y135" i="2"/>
  <c r="E134" i="2"/>
  <c r="C124" i="5"/>
  <c r="L124" i="5" s="1"/>
  <c r="B125" i="5"/>
  <c r="K124" i="5"/>
  <c r="E135" i="2" l="1"/>
  <c r="Y136" i="2"/>
  <c r="Z135" i="3"/>
  <c r="G134" i="3"/>
  <c r="G133" i="2"/>
  <c r="Z134" i="2"/>
  <c r="C125" i="5"/>
  <c r="L125" i="5" s="1"/>
  <c r="K125" i="5"/>
  <c r="B126" i="5"/>
  <c r="AA134" i="3"/>
  <c r="E133" i="3"/>
  <c r="Z135" i="2" l="1"/>
  <c r="G134" i="2"/>
  <c r="Z136" i="3"/>
  <c r="G135" i="3"/>
  <c r="E136" i="2"/>
  <c r="Y137" i="2"/>
  <c r="AA135" i="3"/>
  <c r="E134" i="3"/>
  <c r="B127" i="5"/>
  <c r="C126" i="5"/>
  <c r="L126" i="5" s="1"/>
  <c r="K126" i="5"/>
  <c r="E135" i="3" l="1"/>
  <c r="AA136" i="3"/>
  <c r="Y138" i="2"/>
  <c r="E137" i="2"/>
  <c r="Z137" i="3"/>
  <c r="G136" i="3"/>
  <c r="C127" i="5"/>
  <c r="L127" i="5" s="1"/>
  <c r="B128" i="5"/>
  <c r="K127" i="5"/>
  <c r="Z136" i="2"/>
  <c r="G135" i="2"/>
  <c r="C128" i="5" l="1"/>
  <c r="L128" i="5" s="1"/>
  <c r="K128" i="5"/>
  <c r="B129" i="5"/>
  <c r="G137" i="3"/>
  <c r="Z138" i="3"/>
  <c r="E138" i="2"/>
  <c r="Y139" i="2"/>
  <c r="Z137" i="2"/>
  <c r="G136" i="2"/>
  <c r="AA137" i="3"/>
  <c r="E136" i="3"/>
  <c r="G138" i="3" l="1"/>
  <c r="Z139" i="3"/>
  <c r="C129" i="5"/>
  <c r="L129" i="5" s="1"/>
  <c r="K129" i="5"/>
  <c r="B130" i="5"/>
  <c r="E137" i="3"/>
  <c r="AA138" i="3"/>
  <c r="G137" i="2"/>
  <c r="Z138" i="2"/>
  <c r="Y140" i="2"/>
  <c r="E139" i="2"/>
  <c r="E138" i="3" l="1"/>
  <c r="AA139" i="3"/>
  <c r="B131" i="5"/>
  <c r="K130" i="5"/>
  <c r="C130" i="5"/>
  <c r="L130" i="5" s="1"/>
  <c r="E140" i="2"/>
  <c r="Y141" i="2"/>
  <c r="G139" i="3"/>
  <c r="Z140" i="3"/>
  <c r="Z139" i="2"/>
  <c r="G138" i="2"/>
  <c r="B132" i="5" l="1"/>
  <c r="K131" i="5"/>
  <c r="C131" i="5"/>
  <c r="L131" i="5" s="1"/>
  <c r="G139" i="2"/>
  <c r="Z140" i="2"/>
  <c r="AA140" i="3"/>
  <c r="E139" i="3"/>
  <c r="Y142" i="2"/>
  <c r="E141" i="2"/>
  <c r="Z141" i="3"/>
  <c r="G140" i="3"/>
  <c r="Y143" i="2" l="1"/>
  <c r="E142" i="2"/>
  <c r="AA141" i="3"/>
  <c r="E140" i="3"/>
  <c r="G140" i="2"/>
  <c r="Z141" i="2"/>
  <c r="AE44" i="3"/>
  <c r="AH44" i="3" s="1"/>
  <c r="AI44" i="3" s="1"/>
  <c r="AE43" i="3"/>
  <c r="AE45" i="3"/>
  <c r="AF45" i="3"/>
  <c r="AF47" i="3"/>
  <c r="AF43" i="3"/>
  <c r="AF44" i="3"/>
  <c r="AF46" i="3"/>
  <c r="AE46" i="3"/>
  <c r="AH46" i="3" s="1"/>
  <c r="AI46" i="3" s="1"/>
  <c r="AF41" i="3"/>
  <c r="AE47" i="3"/>
  <c r="AH47" i="3" s="1"/>
  <c r="AI47" i="3" s="1"/>
  <c r="AE42" i="3"/>
  <c r="AF42" i="3"/>
  <c r="AE41" i="3"/>
  <c r="AH41" i="3" s="1"/>
  <c r="AI41" i="3" s="1"/>
  <c r="Z142" i="3"/>
  <c r="G141" i="3"/>
  <c r="C132" i="5"/>
  <c r="L132" i="5" s="1"/>
  <c r="K132" i="5"/>
  <c r="B136" i="5"/>
  <c r="Z143" i="3" l="1"/>
  <c r="G142" i="3"/>
  <c r="AH43" i="3"/>
  <c r="AI43" i="3" s="1"/>
  <c r="G141" i="2"/>
  <c r="Z142" i="2"/>
  <c r="AC44" i="2"/>
  <c r="AD47" i="2"/>
  <c r="AC42" i="2"/>
  <c r="AC48" i="2"/>
  <c r="AD48" i="2"/>
  <c r="AE48" i="2" s="1"/>
  <c r="AD44" i="2"/>
  <c r="AD45" i="2"/>
  <c r="AC45" i="2"/>
  <c r="AD43" i="2"/>
  <c r="AD42" i="2"/>
  <c r="AD46" i="2"/>
  <c r="AC43" i="2"/>
  <c r="AC46" i="2"/>
  <c r="AC47" i="2"/>
  <c r="AJ41" i="3"/>
  <c r="AA142" i="3"/>
  <c r="E141" i="3"/>
  <c r="AH42" i="3"/>
  <c r="AI42" i="3" s="1"/>
  <c r="B137" i="5"/>
  <c r="K136" i="5"/>
  <c r="C136" i="5"/>
  <c r="L136" i="5" s="1"/>
  <c r="AH45" i="3"/>
  <c r="AI45" i="3" s="1"/>
  <c r="E143" i="2"/>
  <c r="Y144" i="2"/>
  <c r="AE46" i="2" l="1"/>
  <c r="AF46" i="2" s="1"/>
  <c r="AE42" i="2"/>
  <c r="AF42" i="2" s="1"/>
  <c r="AE47" i="2"/>
  <c r="AF47" i="2" s="1"/>
  <c r="Z143" i="2"/>
  <c r="G142" i="2"/>
  <c r="B138" i="5"/>
  <c r="K137" i="5"/>
  <c r="C137" i="5"/>
  <c r="L137" i="5" s="1"/>
  <c r="AE45" i="2"/>
  <c r="AF45" i="2" s="1"/>
  <c r="AE43" i="2"/>
  <c r="AF43" i="2" s="1"/>
  <c r="Y145" i="2"/>
  <c r="E144" i="2"/>
  <c r="E142" i="3"/>
  <c r="AA143" i="3"/>
  <c r="AF44" i="2"/>
  <c r="AE44" i="2"/>
  <c r="Z144" i="3"/>
  <c r="G143" i="3"/>
  <c r="AF48" i="2" l="1"/>
  <c r="E143" i="3"/>
  <c r="AA144" i="3"/>
  <c r="Z144" i="2"/>
  <c r="G143" i="2"/>
  <c r="Y146" i="2"/>
  <c r="E145" i="2"/>
  <c r="Z145" i="3"/>
  <c r="G144" i="3"/>
  <c r="C138" i="5"/>
  <c r="L138" i="5" s="1"/>
  <c r="B139" i="5"/>
  <c r="K138" i="5"/>
  <c r="E146" i="2" l="1"/>
  <c r="Y147" i="2"/>
  <c r="G144" i="2"/>
  <c r="Z145" i="2"/>
  <c r="E144" i="3"/>
  <c r="AA145" i="3"/>
  <c r="C139" i="5"/>
  <c r="L139" i="5" s="1"/>
  <c r="K139" i="5"/>
  <c r="B140" i="5"/>
  <c r="G145" i="3"/>
  <c r="Z146" i="3"/>
  <c r="G146" i="3" l="1"/>
  <c r="Z147" i="3"/>
  <c r="AA146" i="3"/>
  <c r="E145" i="3"/>
  <c r="C140" i="5"/>
  <c r="L140" i="5" s="1"/>
  <c r="K140" i="5"/>
  <c r="B141" i="5"/>
  <c r="Z146" i="2"/>
  <c r="G145" i="2"/>
  <c r="E147" i="2"/>
  <c r="Y148" i="2"/>
  <c r="Y149" i="2" l="1"/>
  <c r="E148" i="2"/>
  <c r="Z147" i="2"/>
  <c r="G146" i="2"/>
  <c r="K141" i="5"/>
  <c r="B142" i="5"/>
  <c r="C141" i="5"/>
  <c r="L141" i="5" s="1"/>
  <c r="AA147" i="3"/>
  <c r="E146" i="3"/>
  <c r="G147" i="3"/>
  <c r="Z148" i="3"/>
  <c r="Z149" i="3" l="1"/>
  <c r="G148" i="3"/>
  <c r="G147" i="2"/>
  <c r="Z148" i="2"/>
  <c r="AA148" i="3"/>
  <c r="E147" i="3"/>
  <c r="B143" i="5"/>
  <c r="K142" i="5"/>
  <c r="C142" i="5"/>
  <c r="L142" i="5" s="1"/>
  <c r="Y150" i="2"/>
  <c r="E149" i="2"/>
  <c r="B144" i="5" l="1"/>
  <c r="K143" i="5"/>
  <c r="C143" i="5"/>
  <c r="L143" i="5" s="1"/>
  <c r="AA149" i="3"/>
  <c r="E148" i="3"/>
  <c r="G148" i="2"/>
  <c r="Z149" i="2"/>
  <c r="Y151" i="2"/>
  <c r="E150" i="2"/>
  <c r="Z150" i="3"/>
  <c r="G149" i="3"/>
  <c r="Z150" i="2" l="1"/>
  <c r="G149" i="2"/>
  <c r="Z151" i="3"/>
  <c r="G150" i="3"/>
  <c r="AA150" i="3"/>
  <c r="E149" i="3"/>
  <c r="B145" i="5"/>
  <c r="K144" i="5"/>
  <c r="C144" i="5"/>
  <c r="L144" i="5" s="1"/>
  <c r="Y152" i="2"/>
  <c r="E151" i="2"/>
  <c r="E150" i="3" l="1"/>
  <c r="AA151" i="3"/>
  <c r="Y153" i="2"/>
  <c r="E152" i="2"/>
  <c r="Z152" i="3"/>
  <c r="G151" i="3"/>
  <c r="G150" i="2"/>
  <c r="Z151" i="2"/>
  <c r="B146" i="5"/>
  <c r="K145" i="5"/>
  <c r="C145" i="5"/>
  <c r="L145" i="5" s="1"/>
  <c r="C146" i="5" l="1"/>
  <c r="L146" i="5" s="1"/>
  <c r="K146" i="5"/>
  <c r="B147" i="5"/>
  <c r="Z152" i="2"/>
  <c r="G151" i="2"/>
  <c r="Z153" i="3"/>
  <c r="G152" i="3"/>
  <c r="E153" i="2"/>
  <c r="Y154" i="2"/>
  <c r="E151" i="3"/>
  <c r="AA152" i="3"/>
  <c r="E154" i="2" l="1"/>
  <c r="Y155" i="2"/>
  <c r="G153" i="3"/>
  <c r="Z154" i="3"/>
  <c r="G152" i="2"/>
  <c r="Z153" i="2"/>
  <c r="C147" i="5"/>
  <c r="L147" i="5" s="1"/>
  <c r="K147" i="5"/>
  <c r="B148" i="5"/>
  <c r="E152" i="3"/>
  <c r="AA153" i="3"/>
  <c r="Z154" i="2" l="1"/>
  <c r="G153" i="2"/>
  <c r="G154" i="3"/>
  <c r="Z155" i="3"/>
  <c r="E153" i="3"/>
  <c r="AA154" i="3"/>
  <c r="Y156" i="2"/>
  <c r="E155" i="2"/>
  <c r="K148" i="5"/>
  <c r="C148" i="5"/>
  <c r="L148" i="5" s="1"/>
  <c r="B149" i="5"/>
  <c r="G155" i="3" l="1"/>
  <c r="Z156" i="3"/>
  <c r="K149" i="5"/>
  <c r="C149" i="5"/>
  <c r="L149" i="5" s="1"/>
  <c r="B150" i="5"/>
  <c r="E156" i="2"/>
  <c r="Y157" i="2"/>
  <c r="AA155" i="3"/>
  <c r="E154" i="3"/>
  <c r="Z155" i="2"/>
  <c r="G154" i="2"/>
  <c r="AA156" i="3" l="1"/>
  <c r="E155" i="3"/>
  <c r="E157" i="2"/>
  <c r="Y158" i="2"/>
  <c r="B151" i="5"/>
  <c r="K150" i="5"/>
  <c r="C150" i="5"/>
  <c r="L150" i="5" s="1"/>
  <c r="G155" i="2"/>
  <c r="Z156" i="2"/>
  <c r="Z157" i="3"/>
  <c r="G156" i="3"/>
  <c r="B152" i="5" l="1"/>
  <c r="C151" i="5"/>
  <c r="L151" i="5" s="1"/>
  <c r="K151" i="5"/>
  <c r="Y159" i="2"/>
  <c r="E158" i="2"/>
  <c r="Z158" i="3"/>
  <c r="G157" i="3"/>
  <c r="G156" i="2"/>
  <c r="Z157" i="2"/>
  <c r="AA157" i="3"/>
  <c r="E156" i="3"/>
  <c r="Z159" i="3" l="1"/>
  <c r="G158" i="3"/>
  <c r="E159" i="2"/>
  <c r="Y160" i="2"/>
  <c r="AA158" i="3"/>
  <c r="E157" i="3"/>
  <c r="G157" i="2"/>
  <c r="Z158" i="2"/>
  <c r="B153" i="5"/>
  <c r="K152" i="5"/>
  <c r="C152" i="5"/>
  <c r="L152" i="5" s="1"/>
  <c r="E158" i="3" l="1"/>
  <c r="AA159" i="3"/>
  <c r="Y161" i="2"/>
  <c r="E160" i="2"/>
  <c r="Z159" i="2"/>
  <c r="G158" i="2"/>
  <c r="B154" i="5"/>
  <c r="K153" i="5"/>
  <c r="C153" i="5"/>
  <c r="L153" i="5" s="1"/>
  <c r="Z160" i="3"/>
  <c r="G159" i="3"/>
  <c r="Z160" i="2" l="1"/>
  <c r="G159" i="2"/>
  <c r="Y162" i="2"/>
  <c r="E161" i="2"/>
  <c r="G160" i="3"/>
  <c r="Z161" i="3"/>
  <c r="AA160" i="3"/>
  <c r="E159" i="3"/>
  <c r="C154" i="5"/>
  <c r="L154" i="5" s="1"/>
  <c r="B155" i="5"/>
  <c r="K154" i="5"/>
  <c r="AA161" i="3" l="1"/>
  <c r="E160" i="3"/>
  <c r="G161" i="3"/>
  <c r="Z162" i="3"/>
  <c r="E162" i="2"/>
  <c r="Y163" i="2"/>
  <c r="C155" i="5"/>
  <c r="L155" i="5" s="1"/>
  <c r="K155" i="5"/>
  <c r="B156" i="5"/>
  <c r="Z161" i="2"/>
  <c r="G160" i="2"/>
  <c r="Y164" i="2" l="1"/>
  <c r="E163" i="2"/>
  <c r="G162" i="3"/>
  <c r="Z163" i="3"/>
  <c r="Z162" i="2"/>
  <c r="G161" i="2"/>
  <c r="K156" i="5"/>
  <c r="C156" i="5"/>
  <c r="L156" i="5" s="1"/>
  <c r="B157" i="5"/>
  <c r="E161" i="3"/>
  <c r="AA162" i="3"/>
  <c r="G162" i="2" l="1"/>
  <c r="Z163" i="2"/>
  <c r="G163" i="3"/>
  <c r="Z164" i="3"/>
  <c r="AA163" i="3"/>
  <c r="E162" i="3"/>
  <c r="B158" i="5"/>
  <c r="C157" i="5"/>
  <c r="L157" i="5" s="1"/>
  <c r="K157" i="5"/>
  <c r="Y165" i="2"/>
  <c r="E164" i="2"/>
  <c r="Z165" i="3" l="1"/>
  <c r="G164" i="3"/>
  <c r="E165" i="2"/>
  <c r="Y166" i="2"/>
  <c r="Z164" i="2"/>
  <c r="G163" i="2"/>
  <c r="B159" i="5"/>
  <c r="K158" i="5"/>
  <c r="C158" i="5"/>
  <c r="L158" i="5" s="1"/>
  <c r="AA164" i="3"/>
  <c r="E163" i="3"/>
  <c r="G164" i="2" l="1"/>
  <c r="Z165" i="2"/>
  <c r="Y167" i="2"/>
  <c r="E166" i="2"/>
  <c r="C159" i="5"/>
  <c r="L159" i="5" s="1"/>
  <c r="K159" i="5"/>
  <c r="B160" i="5"/>
  <c r="AA165" i="3"/>
  <c r="E164" i="3"/>
  <c r="Z166" i="3"/>
  <c r="G165" i="3"/>
  <c r="Y168" i="2" l="1"/>
  <c r="E167" i="2"/>
  <c r="Z167" i="3"/>
  <c r="G166" i="3"/>
  <c r="Z166" i="2"/>
  <c r="G165" i="2"/>
  <c r="AA166" i="3"/>
  <c r="E165" i="3"/>
  <c r="B161" i="5"/>
  <c r="K160" i="5"/>
  <c r="C160" i="5"/>
  <c r="L160" i="5" s="1"/>
  <c r="AA167" i="3" l="1"/>
  <c r="E166" i="3"/>
  <c r="G166" i="2"/>
  <c r="Z167" i="2"/>
  <c r="G167" i="3"/>
  <c r="Z168" i="3"/>
  <c r="B162" i="5"/>
  <c r="K161" i="5"/>
  <c r="C161" i="5"/>
  <c r="L161" i="5" s="1"/>
  <c r="Y169" i="2"/>
  <c r="E168" i="2"/>
  <c r="Z168" i="2" l="1"/>
  <c r="G167" i="2"/>
  <c r="C162" i="5"/>
  <c r="L162" i="5" s="1"/>
  <c r="B163" i="5"/>
  <c r="K162" i="5"/>
  <c r="G168" i="3"/>
  <c r="Z169" i="3"/>
  <c r="E169" i="2"/>
  <c r="Y170" i="2"/>
  <c r="AA168" i="3"/>
  <c r="E167" i="3"/>
  <c r="C163" i="5" l="1"/>
  <c r="L163" i="5" s="1"/>
  <c r="B164" i="5"/>
  <c r="K163" i="5"/>
  <c r="G169" i="3"/>
  <c r="Z170" i="3"/>
  <c r="E168" i="3"/>
  <c r="AA169" i="3"/>
  <c r="E170" i="2"/>
  <c r="Y171" i="2"/>
  <c r="G168" i="2"/>
  <c r="Z169" i="2"/>
  <c r="E169" i="3" l="1"/>
  <c r="AA170" i="3"/>
  <c r="G170" i="3"/>
  <c r="Z171" i="3"/>
  <c r="Z170" i="2"/>
  <c r="G169" i="2"/>
  <c r="B165" i="5"/>
  <c r="C164" i="5"/>
  <c r="L164" i="5" s="1"/>
  <c r="K164" i="5"/>
  <c r="Y172" i="2"/>
  <c r="E171" i="2"/>
  <c r="B166" i="5" l="1"/>
  <c r="C165" i="5"/>
  <c r="L165" i="5" s="1"/>
  <c r="K165" i="5"/>
  <c r="G170" i="2"/>
  <c r="Z171" i="2"/>
  <c r="G171" i="3"/>
  <c r="Z172" i="3"/>
  <c r="E172" i="2"/>
  <c r="Y173" i="2"/>
  <c r="E170" i="3"/>
  <c r="AA171" i="3"/>
  <c r="AE49" i="3" l="1"/>
  <c r="AF54" i="3"/>
  <c r="AF48" i="3"/>
  <c r="AE52" i="3"/>
  <c r="AH52" i="3" s="1"/>
  <c r="AI52" i="3" s="1"/>
  <c r="AF53" i="3"/>
  <c r="AF52" i="3"/>
  <c r="AE53" i="3"/>
  <c r="AH53" i="3" s="1"/>
  <c r="AI53" i="3" s="1"/>
  <c r="AE50" i="3"/>
  <c r="AE54" i="3"/>
  <c r="AF50" i="3"/>
  <c r="AF49" i="3"/>
  <c r="AE48" i="3"/>
  <c r="AE51" i="3"/>
  <c r="AF51" i="3"/>
  <c r="Z172" i="2"/>
  <c r="G171" i="2"/>
  <c r="AA172" i="3"/>
  <c r="E171" i="3"/>
  <c r="Z173" i="3"/>
  <c r="G172" i="3"/>
  <c r="Y174" i="2"/>
  <c r="E173" i="2"/>
  <c r="K166" i="5"/>
  <c r="C166" i="5"/>
  <c r="L166" i="5" s="1"/>
  <c r="B170" i="5"/>
  <c r="K170" i="5" l="1"/>
  <c r="B171" i="5"/>
  <c r="C170" i="5"/>
  <c r="L170" i="5" s="1"/>
  <c r="AA173" i="3"/>
  <c r="E172" i="3"/>
  <c r="AC54" i="2"/>
  <c r="AC55" i="2"/>
  <c r="AC50" i="2"/>
  <c r="AD54" i="2"/>
  <c r="AC49" i="2"/>
  <c r="AD53" i="2"/>
  <c r="AC52" i="2"/>
  <c r="AC51" i="2"/>
  <c r="AC53" i="2"/>
  <c r="AD55" i="2"/>
  <c r="AE55" i="2" s="1"/>
  <c r="AD49" i="2"/>
  <c r="AD50" i="2"/>
  <c r="AD52" i="2"/>
  <c r="AD51" i="2"/>
  <c r="AH50" i="3"/>
  <c r="AI50" i="3" s="1"/>
  <c r="Z173" i="2"/>
  <c r="G172" i="2"/>
  <c r="E174" i="2"/>
  <c r="Y175" i="2"/>
  <c r="AH51" i="3"/>
  <c r="AI51" i="3" s="1"/>
  <c r="AH48" i="3"/>
  <c r="AI48" i="3" s="1"/>
  <c r="AJ48" i="3" s="1"/>
  <c r="Z174" i="3"/>
  <c r="G173" i="3"/>
  <c r="AH54" i="3"/>
  <c r="AI54" i="3" s="1"/>
  <c r="AH49" i="3"/>
  <c r="AI49" i="3" s="1"/>
  <c r="AE49" i="2" l="1"/>
  <c r="AF49" i="2" s="1"/>
  <c r="Y176" i="2"/>
  <c r="E175" i="2"/>
  <c r="AA174" i="3"/>
  <c r="E173" i="3"/>
  <c r="AE51" i="2"/>
  <c r="AF51" i="2" s="1"/>
  <c r="AE53" i="2"/>
  <c r="AF53" i="2" s="1"/>
  <c r="B172" i="5"/>
  <c r="C171" i="5"/>
  <c r="L171" i="5" s="1"/>
  <c r="K171" i="5"/>
  <c r="Z174" i="2"/>
  <c r="G173" i="2"/>
  <c r="AE52" i="2"/>
  <c r="AF52" i="2" s="1"/>
  <c r="Z175" i="3"/>
  <c r="G174" i="3"/>
  <c r="AE50" i="2"/>
  <c r="AF50" i="2" s="1"/>
  <c r="AE54" i="2"/>
  <c r="AF54" i="2" s="1"/>
  <c r="AF55" i="2" l="1"/>
  <c r="B173" i="5"/>
  <c r="K172" i="5"/>
  <c r="C172" i="5"/>
  <c r="L172" i="5" s="1"/>
  <c r="G175" i="3"/>
  <c r="Z176" i="3"/>
  <c r="E176" i="2"/>
  <c r="Y177" i="2"/>
  <c r="Z175" i="2"/>
  <c r="G174" i="2"/>
  <c r="E174" i="3"/>
  <c r="AA175" i="3"/>
  <c r="AA176" i="3" l="1"/>
  <c r="E175" i="3"/>
  <c r="Y178" i="2"/>
  <c r="E177" i="2"/>
  <c r="G176" i="3"/>
  <c r="Z177" i="3"/>
  <c r="C173" i="5"/>
  <c r="L173" i="5" s="1"/>
  <c r="B174" i="5"/>
  <c r="K173" i="5"/>
  <c r="G175" i="2"/>
  <c r="Z176" i="2"/>
  <c r="Z177" i="2" l="1"/>
  <c r="G176" i="2"/>
  <c r="B175" i="5"/>
  <c r="K174" i="5"/>
  <c r="C174" i="5"/>
  <c r="L174" i="5" s="1"/>
  <c r="G177" i="3"/>
  <c r="Z178" i="3"/>
  <c r="E178" i="2"/>
  <c r="Y179" i="2"/>
  <c r="E176" i="3"/>
  <c r="AA177" i="3"/>
  <c r="Y180" i="2" l="1"/>
  <c r="E179" i="2"/>
  <c r="B176" i="5"/>
  <c r="K175" i="5"/>
  <c r="C175" i="5"/>
  <c r="L175" i="5" s="1"/>
  <c r="E177" i="3"/>
  <c r="AA178" i="3"/>
  <c r="G177" i="2"/>
  <c r="Z178" i="2"/>
  <c r="G178" i="3"/>
  <c r="Z179" i="3"/>
  <c r="G179" i="3" l="1"/>
  <c r="Z180" i="3"/>
  <c r="E178" i="3"/>
  <c r="AA179" i="3"/>
  <c r="Z179" i="2"/>
  <c r="G178" i="2"/>
  <c r="C176" i="5"/>
  <c r="L176" i="5" s="1"/>
  <c r="B177" i="5"/>
  <c r="K176" i="5"/>
  <c r="Y181" i="2"/>
  <c r="E180" i="2"/>
  <c r="C177" i="5" l="1"/>
  <c r="L177" i="5" s="1"/>
  <c r="B178" i="5"/>
  <c r="K177" i="5"/>
  <c r="E181" i="2"/>
  <c r="Y182" i="2"/>
  <c r="G179" i="2"/>
  <c r="Z180" i="2"/>
  <c r="AA180" i="3"/>
  <c r="E179" i="3"/>
  <c r="Z181" i="3"/>
  <c r="G180" i="3"/>
  <c r="AA181" i="3" l="1"/>
  <c r="E180" i="3"/>
  <c r="K178" i="5"/>
  <c r="C178" i="5"/>
  <c r="L178" i="5" s="1"/>
  <c r="B179" i="5"/>
  <c r="Y183" i="2"/>
  <c r="E182" i="2"/>
  <c r="Z181" i="2"/>
  <c r="G180" i="2"/>
  <c r="Z182" i="3"/>
  <c r="G181" i="3"/>
  <c r="G181" i="2" l="1"/>
  <c r="Z182" i="2"/>
  <c r="K179" i="5"/>
  <c r="C179" i="5"/>
  <c r="L179" i="5" s="1"/>
  <c r="B180" i="5"/>
  <c r="Z183" i="3"/>
  <c r="G182" i="3"/>
  <c r="E183" i="2"/>
  <c r="Y184" i="2"/>
  <c r="AA182" i="3"/>
  <c r="E181" i="3"/>
  <c r="G183" i="3" l="1"/>
  <c r="Z184" i="3"/>
  <c r="B181" i="5"/>
  <c r="K180" i="5"/>
  <c r="C180" i="5"/>
  <c r="L180" i="5" s="1"/>
  <c r="AA183" i="3"/>
  <c r="E182" i="3"/>
  <c r="Z183" i="2"/>
  <c r="G182" i="2"/>
  <c r="Y185" i="2"/>
  <c r="E184" i="2"/>
  <c r="E183" i="3" l="1"/>
  <c r="AA184" i="3"/>
  <c r="K181" i="5"/>
  <c r="B182" i="5"/>
  <c r="C181" i="5"/>
  <c r="L181" i="5" s="1"/>
  <c r="E185" i="2"/>
  <c r="Y186" i="2"/>
  <c r="Z185" i="3"/>
  <c r="G184" i="3"/>
  <c r="G183" i="2"/>
  <c r="Z184" i="2"/>
  <c r="Z186" i="3" l="1"/>
  <c r="G185" i="3"/>
  <c r="Y187" i="2"/>
  <c r="E186" i="2"/>
  <c r="B183" i="5"/>
  <c r="K182" i="5"/>
  <c r="C182" i="5"/>
  <c r="L182" i="5" s="1"/>
  <c r="Z185" i="2"/>
  <c r="G184" i="2"/>
  <c r="AA185" i="3"/>
  <c r="E184" i="3"/>
  <c r="G185" i="2" l="1"/>
  <c r="Z186" i="2"/>
  <c r="E187" i="2"/>
  <c r="Y188" i="2"/>
  <c r="B184" i="5"/>
  <c r="K183" i="5"/>
  <c r="C183" i="5"/>
  <c r="L183" i="5" s="1"/>
  <c r="AA186" i="3"/>
  <c r="E185" i="3"/>
  <c r="Z187" i="3"/>
  <c r="G186" i="3"/>
  <c r="AA187" i="3" l="1"/>
  <c r="E186" i="3"/>
  <c r="C184" i="5"/>
  <c r="L184" i="5" s="1"/>
  <c r="B185" i="5"/>
  <c r="K184" i="5"/>
  <c r="Y189" i="2"/>
  <c r="E188" i="2"/>
  <c r="Z188" i="3"/>
  <c r="G187" i="3"/>
  <c r="G186" i="2"/>
  <c r="Z187" i="2"/>
  <c r="Z189" i="3" l="1"/>
  <c r="G188" i="3"/>
  <c r="Y190" i="2"/>
  <c r="E189" i="2"/>
  <c r="C185" i="5"/>
  <c r="L185" i="5" s="1"/>
  <c r="B186" i="5"/>
  <c r="K185" i="5"/>
  <c r="Z188" i="2"/>
  <c r="G187" i="2"/>
  <c r="AA188" i="3"/>
  <c r="E187" i="3"/>
  <c r="G188" i="2" l="1"/>
  <c r="Z189" i="2"/>
  <c r="C186" i="5"/>
  <c r="L186" i="5" s="1"/>
  <c r="B187" i="5"/>
  <c r="K186" i="5"/>
  <c r="Y191" i="2"/>
  <c r="E190" i="2"/>
  <c r="AA189" i="3"/>
  <c r="E188" i="3"/>
  <c r="Z190" i="3"/>
  <c r="G189" i="3"/>
  <c r="Y192" i="2" l="1"/>
  <c r="E191" i="2"/>
  <c r="C187" i="5"/>
  <c r="L187" i="5" s="1"/>
  <c r="B188" i="5"/>
  <c r="K187" i="5"/>
  <c r="G190" i="3"/>
  <c r="Z191" i="3"/>
  <c r="G189" i="2"/>
  <c r="Z190" i="2"/>
  <c r="AA190" i="3"/>
  <c r="E189" i="3"/>
  <c r="AA191" i="3" l="1"/>
  <c r="E190" i="3"/>
  <c r="Z192" i="3"/>
  <c r="G191" i="3"/>
  <c r="B189" i="5"/>
  <c r="K188" i="5"/>
  <c r="C188" i="5"/>
  <c r="L188" i="5" s="1"/>
  <c r="G190" i="2"/>
  <c r="Z191" i="2"/>
  <c r="Y193" i="2"/>
  <c r="E192" i="2"/>
  <c r="C189" i="5" l="1"/>
  <c r="L189" i="5" s="1"/>
  <c r="B190" i="5"/>
  <c r="K189" i="5"/>
  <c r="G192" i="3"/>
  <c r="Z193" i="3"/>
  <c r="Y194" i="2"/>
  <c r="E193" i="2"/>
  <c r="G191" i="2"/>
  <c r="Z192" i="2"/>
  <c r="E191" i="3"/>
  <c r="AA192" i="3"/>
  <c r="Z194" i="3" l="1"/>
  <c r="G193" i="3"/>
  <c r="AA193" i="3"/>
  <c r="E192" i="3"/>
  <c r="B191" i="5"/>
  <c r="K190" i="5"/>
  <c r="C190" i="5"/>
  <c r="L190" i="5" s="1"/>
  <c r="Y195" i="2"/>
  <c r="E194" i="2"/>
  <c r="G192" i="2"/>
  <c r="Z193" i="2"/>
  <c r="G193" i="2" l="1"/>
  <c r="Z194" i="2"/>
  <c r="E193" i="3"/>
  <c r="AA194" i="3"/>
  <c r="Y196" i="2"/>
  <c r="E195" i="2"/>
  <c r="B192" i="5"/>
  <c r="K191" i="5"/>
  <c r="C191" i="5"/>
  <c r="L191" i="5" s="1"/>
  <c r="G194" i="3"/>
  <c r="Z195" i="3"/>
  <c r="Y197" i="2" l="1"/>
  <c r="E196" i="2"/>
  <c r="G195" i="3"/>
  <c r="Z196" i="3"/>
  <c r="C192" i="5"/>
  <c r="L192" i="5" s="1"/>
  <c r="B193" i="5"/>
  <c r="K192" i="5"/>
  <c r="E194" i="3"/>
  <c r="AA195" i="3"/>
  <c r="G194" i="2"/>
  <c r="Z195" i="2"/>
  <c r="C193" i="5" l="1"/>
  <c r="L193" i="5" s="1"/>
  <c r="K193" i="5"/>
  <c r="B194" i="5"/>
  <c r="G196" i="3"/>
  <c r="Z197" i="3"/>
  <c r="Z196" i="2"/>
  <c r="G195" i="2"/>
  <c r="E195" i="3"/>
  <c r="AA196" i="3"/>
  <c r="Y198" i="2"/>
  <c r="E197" i="2"/>
  <c r="C194" i="5" l="1"/>
  <c r="L194" i="5" s="1"/>
  <c r="K194" i="5"/>
  <c r="B195" i="5"/>
  <c r="Z197" i="2"/>
  <c r="G196" i="2"/>
  <c r="Z198" i="3"/>
  <c r="G197" i="3"/>
  <c r="Y199" i="2"/>
  <c r="E198" i="2"/>
  <c r="AA197" i="3"/>
  <c r="E196" i="3"/>
  <c r="G198" i="3" l="1"/>
  <c r="Z199" i="3"/>
  <c r="Z198" i="2"/>
  <c r="G197" i="2"/>
  <c r="AA198" i="3"/>
  <c r="E197" i="3"/>
  <c r="Y200" i="2"/>
  <c r="E199" i="2"/>
  <c r="K195" i="5"/>
  <c r="B196" i="5"/>
  <c r="C195" i="5"/>
  <c r="L195" i="5" s="1"/>
  <c r="Z199" i="2" l="1"/>
  <c r="G198" i="2"/>
  <c r="B197" i="5"/>
  <c r="K196" i="5"/>
  <c r="C196" i="5"/>
  <c r="L196" i="5" s="1"/>
  <c r="Z200" i="3"/>
  <c r="G199" i="3"/>
  <c r="Y201" i="2"/>
  <c r="E200" i="2"/>
  <c r="AA199" i="3"/>
  <c r="E198" i="3"/>
  <c r="Z201" i="3" l="1"/>
  <c r="G200" i="3"/>
  <c r="K197" i="5"/>
  <c r="C197" i="5"/>
  <c r="L197" i="5" s="1"/>
  <c r="B198" i="5"/>
  <c r="AA200" i="3"/>
  <c r="E199" i="3"/>
  <c r="Y202" i="2"/>
  <c r="E201" i="2"/>
  <c r="Z200" i="2"/>
  <c r="G199" i="2"/>
  <c r="AA201" i="3" l="1"/>
  <c r="E200" i="3"/>
  <c r="B199" i="5"/>
  <c r="K198" i="5"/>
  <c r="C198" i="5"/>
  <c r="L198" i="5" s="1"/>
  <c r="Y203" i="2"/>
  <c r="E202" i="2"/>
  <c r="Z201" i="2"/>
  <c r="G200" i="2"/>
  <c r="Z202" i="3"/>
  <c r="G201" i="3"/>
  <c r="AF58" i="3" l="1"/>
  <c r="AF61" i="3"/>
  <c r="AE56" i="3"/>
  <c r="AE59" i="3"/>
  <c r="AH59" i="3" s="1"/>
  <c r="AI59" i="3" s="1"/>
  <c r="AF55" i="3"/>
  <c r="AF60" i="3"/>
  <c r="AE61" i="3"/>
  <c r="AH61" i="3" s="1"/>
  <c r="AI61" i="3" s="1"/>
  <c r="AF59" i="3"/>
  <c r="AE55" i="3"/>
  <c r="AE57" i="3"/>
  <c r="AE58" i="3"/>
  <c r="AH58" i="3" s="1"/>
  <c r="AI58" i="3" s="1"/>
  <c r="AF56" i="3"/>
  <c r="AE60" i="3"/>
  <c r="AH60" i="3" s="1"/>
  <c r="AI60" i="3" s="1"/>
  <c r="AF57" i="3"/>
  <c r="K199" i="5"/>
  <c r="B203" i="5"/>
  <c r="C199" i="5"/>
  <c r="L199" i="5" s="1"/>
  <c r="Y204" i="2"/>
  <c r="E203" i="2"/>
  <c r="G202" i="3"/>
  <c r="Z203" i="3"/>
  <c r="Z202" i="2"/>
  <c r="G201" i="2"/>
  <c r="E201" i="3"/>
  <c r="AA202" i="3"/>
  <c r="AH57" i="3" l="1"/>
  <c r="AI57" i="3" s="1"/>
  <c r="E202" i="3"/>
  <c r="AA203" i="3"/>
  <c r="K203" i="5"/>
  <c r="B204" i="5"/>
  <c r="C203" i="5"/>
  <c r="L203" i="5" s="1"/>
  <c r="AH56" i="3"/>
  <c r="AI56" i="3" s="1"/>
  <c r="AC58" i="2"/>
  <c r="AD61" i="2"/>
  <c r="AC62" i="2"/>
  <c r="AC57" i="2"/>
  <c r="AC56" i="2"/>
  <c r="AD57" i="2"/>
  <c r="AC59" i="2"/>
  <c r="AC61" i="2"/>
  <c r="AD62" i="2"/>
  <c r="AE62" i="2" s="1"/>
  <c r="AD60" i="2"/>
  <c r="AD58" i="2"/>
  <c r="AC60" i="2"/>
  <c r="AD59" i="2"/>
  <c r="AD56" i="2"/>
  <c r="G202" i="2"/>
  <c r="Z203" i="2"/>
  <c r="G203" i="3"/>
  <c r="Z204" i="3"/>
  <c r="Y205" i="2"/>
  <c r="E204" i="2"/>
  <c r="AH55" i="3"/>
  <c r="AI55" i="3" s="1"/>
  <c r="AJ55" i="3" s="1"/>
  <c r="AE56" i="2" l="1"/>
  <c r="AF56" i="2" s="1"/>
  <c r="AE57" i="2"/>
  <c r="AF57" i="2" s="1"/>
  <c r="B205" i="5"/>
  <c r="K204" i="5"/>
  <c r="C204" i="5"/>
  <c r="L204" i="5" s="1"/>
  <c r="G203" i="2"/>
  <c r="Z204" i="2"/>
  <c r="AF59" i="2"/>
  <c r="AE59" i="2"/>
  <c r="E203" i="3"/>
  <c r="AA204" i="3"/>
  <c r="G204" i="3"/>
  <c r="Z205" i="3"/>
  <c r="Y206" i="2"/>
  <c r="E205" i="2"/>
  <c r="AF58" i="2"/>
  <c r="AE58" i="2"/>
  <c r="AE60" i="2"/>
  <c r="AF60" i="2" s="1"/>
  <c r="AE61" i="2"/>
  <c r="AF61" i="2" s="1"/>
  <c r="AF62" i="2" l="1"/>
  <c r="G204" i="2"/>
  <c r="Z205" i="2"/>
  <c r="B206" i="5"/>
  <c r="K205" i="5"/>
  <c r="C205" i="5"/>
  <c r="L205" i="5" s="1"/>
  <c r="E204" i="3"/>
  <c r="AA205" i="3"/>
  <c r="G205" i="3"/>
  <c r="Z206" i="3"/>
  <c r="Y207" i="2"/>
  <c r="E206" i="2"/>
  <c r="E205" i="3" l="1"/>
  <c r="AA206" i="3"/>
  <c r="Y208" i="2"/>
  <c r="E207" i="2"/>
  <c r="G205" i="2"/>
  <c r="Z206" i="2"/>
  <c r="G206" i="3"/>
  <c r="Z207" i="3"/>
  <c r="C206" i="5"/>
  <c r="L206" i="5" s="1"/>
  <c r="B207" i="5"/>
  <c r="K206" i="5"/>
  <c r="C207" i="5" l="1"/>
  <c r="L207" i="5" s="1"/>
  <c r="K207" i="5"/>
  <c r="B208" i="5"/>
  <c r="Y209" i="2"/>
  <c r="E208" i="2"/>
  <c r="G206" i="2"/>
  <c r="Z207" i="2"/>
  <c r="AA207" i="3"/>
  <c r="E206" i="3"/>
  <c r="Z208" i="3"/>
  <c r="G207" i="3"/>
  <c r="Y210" i="2" l="1"/>
  <c r="E209" i="2"/>
  <c r="AA208" i="3"/>
  <c r="E207" i="3"/>
  <c r="G207" i="2"/>
  <c r="Z208" i="2"/>
  <c r="C208" i="5"/>
  <c r="L208" i="5" s="1"/>
  <c r="B209" i="5"/>
  <c r="K208" i="5"/>
  <c r="Z209" i="3"/>
  <c r="G208" i="3"/>
  <c r="AA209" i="3" l="1"/>
  <c r="E208" i="3"/>
  <c r="Z210" i="3"/>
  <c r="G209" i="3"/>
  <c r="K209" i="5"/>
  <c r="B210" i="5"/>
  <c r="C209" i="5"/>
  <c r="L209" i="5" s="1"/>
  <c r="Y211" i="2"/>
  <c r="E210" i="2"/>
  <c r="G208" i="2"/>
  <c r="Z209" i="2"/>
  <c r="G210" i="3" l="1"/>
  <c r="Z211" i="3"/>
  <c r="AA210" i="3"/>
  <c r="E209" i="3"/>
  <c r="Y212" i="2"/>
  <c r="E211" i="2"/>
  <c r="Z210" i="2"/>
  <c r="G209" i="2"/>
  <c r="B211" i="5"/>
  <c r="K210" i="5"/>
  <c r="C210" i="5"/>
  <c r="L210" i="5" s="1"/>
  <c r="Z211" i="2" l="1"/>
  <c r="G210" i="2"/>
  <c r="Y213" i="2"/>
  <c r="E212" i="2"/>
  <c r="E210" i="3"/>
  <c r="AA211" i="3"/>
  <c r="G211" i="3"/>
  <c r="Z212" i="3"/>
  <c r="B212" i="5"/>
  <c r="K211" i="5"/>
  <c r="C211" i="5"/>
  <c r="L211" i="5" s="1"/>
  <c r="C212" i="5" l="1"/>
  <c r="L212" i="5" s="1"/>
  <c r="B213" i="5"/>
  <c r="K212" i="5"/>
  <c r="Z212" i="2"/>
  <c r="G211" i="2"/>
  <c r="E211" i="3"/>
  <c r="AA212" i="3"/>
  <c r="Y214" i="2"/>
  <c r="E213" i="2"/>
  <c r="G212" i="3"/>
  <c r="Z213" i="3"/>
  <c r="G213" i="3" l="1"/>
  <c r="Z214" i="3"/>
  <c r="E212" i="3"/>
  <c r="AA213" i="3"/>
  <c r="Z213" i="2"/>
  <c r="G212" i="2"/>
  <c r="C213" i="5"/>
  <c r="L213" i="5" s="1"/>
  <c r="K213" i="5"/>
  <c r="B214" i="5"/>
  <c r="Y215" i="2"/>
  <c r="E214" i="2"/>
  <c r="Z214" i="2" l="1"/>
  <c r="G213" i="2"/>
  <c r="Y216" i="2"/>
  <c r="E215" i="2"/>
  <c r="E213" i="3"/>
  <c r="AA214" i="3"/>
  <c r="C214" i="5"/>
  <c r="L214" i="5" s="1"/>
  <c r="B215" i="5"/>
  <c r="K214" i="5"/>
  <c r="G214" i="3"/>
  <c r="Z215" i="3"/>
  <c r="G215" i="3" l="1"/>
  <c r="Z216" i="3"/>
  <c r="Y217" i="2"/>
  <c r="E216" i="2"/>
  <c r="E214" i="3"/>
  <c r="AA215" i="3"/>
  <c r="K215" i="5"/>
  <c r="C215" i="5"/>
  <c r="L215" i="5" s="1"/>
  <c r="B216" i="5"/>
  <c r="Z215" i="2"/>
  <c r="G214" i="2"/>
  <c r="E215" i="3" l="1"/>
  <c r="AA216" i="3"/>
  <c r="Y218" i="2"/>
  <c r="E217" i="2"/>
  <c r="G215" i="2"/>
  <c r="Z216" i="2"/>
  <c r="Z217" i="3"/>
  <c r="G216" i="3"/>
  <c r="B217" i="5"/>
  <c r="K216" i="5"/>
  <c r="C216" i="5"/>
  <c r="L216" i="5" s="1"/>
  <c r="Y219" i="2" l="1"/>
  <c r="E218" i="2"/>
  <c r="Z218" i="3"/>
  <c r="G217" i="3"/>
  <c r="G216" i="2"/>
  <c r="Z217" i="2"/>
  <c r="AA217" i="3"/>
  <c r="E216" i="3"/>
  <c r="C217" i="5"/>
  <c r="L217" i="5" s="1"/>
  <c r="B218" i="5"/>
  <c r="K217" i="5"/>
  <c r="AA218" i="3" l="1"/>
  <c r="E217" i="3"/>
  <c r="G217" i="2"/>
  <c r="Z218" i="2"/>
  <c r="Z219" i="3"/>
  <c r="G218" i="3"/>
  <c r="K218" i="5"/>
  <c r="C218" i="5"/>
  <c r="L218" i="5" s="1"/>
  <c r="B219" i="5"/>
  <c r="Y220" i="2"/>
  <c r="E219" i="2"/>
  <c r="G218" i="2" l="1"/>
  <c r="Z219" i="2"/>
  <c r="Y221" i="2"/>
  <c r="E220" i="2"/>
  <c r="G219" i="3"/>
  <c r="Z220" i="3"/>
  <c r="C219" i="5"/>
  <c r="L219" i="5" s="1"/>
  <c r="B220" i="5"/>
  <c r="K219" i="5"/>
  <c r="AA219" i="3"/>
  <c r="E218" i="3"/>
  <c r="B221" i="5" l="1"/>
  <c r="C220" i="5"/>
  <c r="L220" i="5" s="1"/>
  <c r="K220" i="5"/>
  <c r="Z221" i="3"/>
  <c r="G220" i="3"/>
  <c r="Y222" i="2"/>
  <c r="E221" i="2"/>
  <c r="AA220" i="3"/>
  <c r="E219" i="3"/>
  <c r="G219" i="2"/>
  <c r="Z220" i="2"/>
  <c r="Y223" i="2" l="1"/>
  <c r="E222" i="2"/>
  <c r="G221" i="3"/>
  <c r="Z222" i="3"/>
  <c r="G220" i="2"/>
  <c r="Z221" i="2"/>
  <c r="AA221" i="3"/>
  <c r="E220" i="3"/>
  <c r="B222" i="5"/>
  <c r="K221" i="5"/>
  <c r="C221" i="5"/>
  <c r="L221" i="5" s="1"/>
  <c r="AA222" i="3" l="1"/>
  <c r="E221" i="3"/>
  <c r="G221" i="2"/>
  <c r="Z222" i="2"/>
  <c r="G222" i="3"/>
  <c r="Z223" i="3"/>
  <c r="B223" i="5"/>
  <c r="K222" i="5"/>
  <c r="C222" i="5"/>
  <c r="L222" i="5" s="1"/>
  <c r="Y224" i="2"/>
  <c r="E223" i="2"/>
  <c r="G222" i="2" l="1"/>
  <c r="Z223" i="2"/>
  <c r="Y225" i="2"/>
  <c r="E224" i="2"/>
  <c r="C223" i="5"/>
  <c r="L223" i="5" s="1"/>
  <c r="K223" i="5"/>
  <c r="B224" i="5"/>
  <c r="G223" i="3"/>
  <c r="Z224" i="3"/>
  <c r="E222" i="3"/>
  <c r="AA223" i="3"/>
  <c r="E223" i="3" l="1"/>
  <c r="AA224" i="3"/>
  <c r="Y226" i="2"/>
  <c r="E225" i="2"/>
  <c r="Z224" i="2"/>
  <c r="G223" i="2"/>
  <c r="C224" i="5"/>
  <c r="L224" i="5" s="1"/>
  <c r="B225" i="5"/>
  <c r="K224" i="5"/>
  <c r="G224" i="3"/>
  <c r="Z225" i="3"/>
  <c r="G224" i="2" l="1"/>
  <c r="Z225" i="2"/>
  <c r="Z226" i="3"/>
  <c r="G225" i="3"/>
  <c r="Y227" i="2"/>
  <c r="E226" i="2"/>
  <c r="AA225" i="3"/>
  <c r="E224" i="3"/>
  <c r="K225" i="5"/>
  <c r="B226" i="5"/>
  <c r="C225" i="5"/>
  <c r="L225" i="5" s="1"/>
  <c r="E225" i="3" l="1"/>
  <c r="AA226" i="3"/>
  <c r="Y228" i="2"/>
  <c r="E227" i="2"/>
  <c r="G226" i="3"/>
  <c r="Z227" i="3"/>
  <c r="B227" i="5"/>
  <c r="K226" i="5"/>
  <c r="C226" i="5"/>
  <c r="L226" i="5" s="1"/>
  <c r="Z226" i="2"/>
  <c r="G225" i="2"/>
  <c r="K227" i="5" l="1"/>
  <c r="C227" i="5"/>
  <c r="L227" i="5" s="1"/>
  <c r="B228" i="5"/>
  <c r="Z228" i="3"/>
  <c r="G227" i="3"/>
  <c r="Y229" i="2"/>
  <c r="E228" i="2"/>
  <c r="Z227" i="2"/>
  <c r="G226" i="2"/>
  <c r="AA227" i="3"/>
  <c r="E226" i="3"/>
  <c r="Z229" i="3" l="1"/>
  <c r="G228" i="3"/>
  <c r="K228" i="5"/>
  <c r="B229" i="5"/>
  <c r="C228" i="5"/>
  <c r="L228" i="5" s="1"/>
  <c r="AA228" i="3"/>
  <c r="E227" i="3"/>
  <c r="Z228" i="2"/>
  <c r="G227" i="2"/>
  <c r="Y230" i="2"/>
  <c r="E229" i="2"/>
  <c r="AA229" i="3" l="1"/>
  <c r="E228" i="3"/>
  <c r="B230" i="5"/>
  <c r="K229" i="5"/>
  <c r="C229" i="5"/>
  <c r="L229" i="5" s="1"/>
  <c r="Y231" i="2"/>
  <c r="E230" i="2"/>
  <c r="Z229" i="2"/>
  <c r="G228" i="2"/>
  <c r="Z230" i="3"/>
  <c r="G229" i="3"/>
  <c r="B231" i="5" l="1"/>
  <c r="K230" i="5"/>
  <c r="C230" i="5"/>
  <c r="L230" i="5" s="1"/>
  <c r="G229" i="2"/>
  <c r="Z230" i="2"/>
  <c r="Y232" i="2"/>
  <c r="E231" i="2"/>
  <c r="G230" i="3"/>
  <c r="Z231" i="3"/>
  <c r="AA230" i="3"/>
  <c r="E229" i="3"/>
  <c r="Y233" i="2" l="1"/>
  <c r="E232" i="2"/>
  <c r="G230" i="2"/>
  <c r="Z231" i="2"/>
  <c r="AA231" i="3"/>
  <c r="E230" i="3"/>
  <c r="Z232" i="3"/>
  <c r="G231" i="3"/>
  <c r="C231" i="5"/>
  <c r="L231" i="5" s="1"/>
  <c r="B232" i="5"/>
  <c r="K231" i="5"/>
  <c r="Z233" i="3" l="1"/>
  <c r="G232" i="3"/>
  <c r="AA232" i="3"/>
  <c r="E231" i="3"/>
  <c r="G231" i="2"/>
  <c r="Z232" i="2"/>
  <c r="C232" i="5"/>
  <c r="L232" i="5" s="1"/>
  <c r="K232" i="5"/>
  <c r="B233" i="5"/>
  <c r="Y234" i="2"/>
  <c r="E233" i="2"/>
  <c r="G232" i="2" l="1"/>
  <c r="Z233" i="2"/>
  <c r="AF64" i="3"/>
  <c r="AE65" i="3"/>
  <c r="AF63" i="3"/>
  <c r="AE62" i="3"/>
  <c r="AF68" i="3"/>
  <c r="AE66" i="3"/>
  <c r="AE64" i="3"/>
  <c r="AE63" i="3"/>
  <c r="AF67" i="3"/>
  <c r="AE67" i="3"/>
  <c r="AH67" i="3" s="1"/>
  <c r="AI67" i="3" s="1"/>
  <c r="AF62" i="3"/>
  <c r="AF66" i="3"/>
  <c r="AE68" i="3"/>
  <c r="AF65" i="3"/>
  <c r="AA233" i="3"/>
  <c r="E232" i="3"/>
  <c r="Y235" i="2"/>
  <c r="E234" i="2"/>
  <c r="B237" i="5"/>
  <c r="C233" i="5"/>
  <c r="L233" i="5" s="1"/>
  <c r="K233" i="5"/>
  <c r="Z234" i="3"/>
  <c r="G233" i="3"/>
  <c r="AH66" i="3" l="1"/>
  <c r="AI66" i="3" s="1"/>
  <c r="AH68" i="3"/>
  <c r="AI68" i="3" s="1"/>
  <c r="AH62" i="3"/>
  <c r="AI62" i="3" s="1"/>
  <c r="G234" i="3"/>
  <c r="Z235" i="3"/>
  <c r="C237" i="5"/>
  <c r="L237" i="5" s="1"/>
  <c r="B238" i="5"/>
  <c r="K237" i="5"/>
  <c r="AH63" i="3"/>
  <c r="AI63" i="3" s="1"/>
  <c r="G233" i="2"/>
  <c r="Z234" i="2"/>
  <c r="AH65" i="3"/>
  <c r="AI65" i="3" s="1"/>
  <c r="Y236" i="2"/>
  <c r="E235" i="2"/>
  <c r="E233" i="3"/>
  <c r="AA234" i="3"/>
  <c r="AH64" i="3"/>
  <c r="AI64" i="3" s="1"/>
  <c r="AD69" i="2"/>
  <c r="AE69" i="2" s="1"/>
  <c r="AC65" i="2"/>
  <c r="AC67" i="2"/>
  <c r="AD63" i="2"/>
  <c r="AD64" i="2"/>
  <c r="AD65" i="2"/>
  <c r="AC63" i="2"/>
  <c r="AD66" i="2"/>
  <c r="AC66" i="2"/>
  <c r="AD68" i="2"/>
  <c r="AC68" i="2"/>
  <c r="AC69" i="2"/>
  <c r="AC64" i="2"/>
  <c r="AD67" i="2"/>
  <c r="E234" i="3" l="1"/>
  <c r="AA235" i="3"/>
  <c r="AE66" i="2"/>
  <c r="AF66" i="2" s="1"/>
  <c r="C238" i="5"/>
  <c r="L238" i="5" s="1"/>
  <c r="B239" i="5"/>
  <c r="K238" i="5"/>
  <c r="Y237" i="2"/>
  <c r="E236" i="2"/>
  <c r="Z236" i="3"/>
  <c r="G235" i="3"/>
  <c r="AE64" i="2"/>
  <c r="AF64" i="2" s="1"/>
  <c r="AE63" i="2"/>
  <c r="AF63" i="2" s="1"/>
  <c r="G234" i="2"/>
  <c r="Z235" i="2"/>
  <c r="AJ62" i="3"/>
  <c r="AE65" i="2"/>
  <c r="AF65" i="2" s="1"/>
  <c r="AE67" i="2"/>
  <c r="AF67" i="2" s="1"/>
  <c r="AE68" i="2"/>
  <c r="AF68" i="2" s="1"/>
  <c r="G235" i="2" l="1"/>
  <c r="Z236" i="2"/>
  <c r="G236" i="3"/>
  <c r="Z237" i="3"/>
  <c r="Y238" i="2"/>
  <c r="E237" i="2"/>
  <c r="E235" i="3"/>
  <c r="AA236" i="3"/>
  <c r="AF69" i="2"/>
  <c r="K239" i="5"/>
  <c r="B240" i="5"/>
  <c r="C239" i="5"/>
  <c r="L239" i="5" s="1"/>
  <c r="E236" i="3" l="1"/>
  <c r="AA237" i="3"/>
  <c r="K240" i="5"/>
  <c r="B241" i="5"/>
  <c r="C240" i="5"/>
  <c r="L240" i="5" s="1"/>
  <c r="G237" i="3"/>
  <c r="Z238" i="3"/>
  <c r="Y239" i="2"/>
  <c r="E238" i="2"/>
  <c r="Z237" i="2"/>
  <c r="G236" i="2"/>
  <c r="G238" i="3" l="1"/>
  <c r="Z239" i="3"/>
  <c r="E237" i="3"/>
  <c r="AA238" i="3"/>
  <c r="Z238" i="2"/>
  <c r="G237" i="2"/>
  <c r="B242" i="5"/>
  <c r="K241" i="5"/>
  <c r="C241" i="5"/>
  <c r="L241" i="5" s="1"/>
  <c r="Y240" i="2"/>
  <c r="E239" i="2"/>
  <c r="C242" i="5" l="1"/>
  <c r="L242" i="5" s="1"/>
  <c r="K242" i="5"/>
  <c r="B243" i="5"/>
  <c r="Y241" i="2"/>
  <c r="E240" i="2"/>
  <c r="Z240" i="3"/>
  <c r="G239" i="3"/>
  <c r="Z239" i="2"/>
  <c r="G238" i="2"/>
  <c r="AA239" i="3"/>
  <c r="E238" i="3"/>
  <c r="Z241" i="3" l="1"/>
  <c r="G240" i="3"/>
  <c r="Y242" i="2"/>
  <c r="E241" i="2"/>
  <c r="B244" i="5"/>
  <c r="K243" i="5"/>
  <c r="C243" i="5"/>
  <c r="L243" i="5" s="1"/>
  <c r="AA240" i="3"/>
  <c r="E239" i="3"/>
  <c r="Z240" i="2"/>
  <c r="G239" i="2"/>
  <c r="AA241" i="3" l="1"/>
  <c r="E240" i="3"/>
  <c r="B245" i="5"/>
  <c r="K244" i="5"/>
  <c r="C244" i="5"/>
  <c r="L244" i="5" s="1"/>
  <c r="Y243" i="2"/>
  <c r="E242" i="2"/>
  <c r="Z241" i="2"/>
  <c r="G240" i="2"/>
  <c r="Z242" i="3"/>
  <c r="G241" i="3"/>
  <c r="Y244" i="2" l="1"/>
  <c r="E243" i="2"/>
  <c r="Z242" i="2"/>
  <c r="G241" i="2"/>
  <c r="G242" i="3"/>
  <c r="Z243" i="3"/>
  <c r="C245" i="5"/>
  <c r="L245" i="5" s="1"/>
  <c r="K245" i="5"/>
  <c r="B246" i="5"/>
  <c r="AA242" i="3"/>
  <c r="E241" i="3"/>
  <c r="C246" i="5" l="1"/>
  <c r="L246" i="5" s="1"/>
  <c r="K246" i="5"/>
  <c r="B247" i="5"/>
  <c r="G243" i="3"/>
  <c r="Z244" i="3"/>
  <c r="E242" i="3"/>
  <c r="AA243" i="3"/>
  <c r="G242" i="2"/>
  <c r="Z243" i="2"/>
  <c r="Y245" i="2"/>
  <c r="E244" i="2"/>
  <c r="Y246" i="2" l="1"/>
  <c r="E245" i="2"/>
  <c r="Z244" i="2"/>
  <c r="G243" i="2"/>
  <c r="K247" i="5"/>
  <c r="B248" i="5"/>
  <c r="C247" i="5"/>
  <c r="L247" i="5" s="1"/>
  <c r="Z245" i="3"/>
  <c r="G244" i="3"/>
  <c r="AA244" i="3"/>
  <c r="E243" i="3"/>
  <c r="Z246" i="3" l="1"/>
  <c r="G245" i="3"/>
  <c r="G244" i="2"/>
  <c r="Z245" i="2"/>
  <c r="AA245" i="3"/>
  <c r="E244" i="3"/>
  <c r="C248" i="5"/>
  <c r="L248" i="5" s="1"/>
  <c r="B249" i="5"/>
  <c r="K248" i="5"/>
  <c r="Y247" i="2"/>
  <c r="E246" i="2"/>
  <c r="AA246" i="3" l="1"/>
  <c r="E245" i="3"/>
  <c r="Z246" i="2"/>
  <c r="G245" i="2"/>
  <c r="C249" i="5"/>
  <c r="L249" i="5" s="1"/>
  <c r="K249" i="5"/>
  <c r="B250" i="5"/>
  <c r="Y248" i="2"/>
  <c r="E247" i="2"/>
  <c r="G246" i="3"/>
  <c r="Z247" i="3"/>
  <c r="G247" i="3" l="1"/>
  <c r="Z248" i="3"/>
  <c r="Z247" i="2"/>
  <c r="G246" i="2"/>
  <c r="B251" i="5"/>
  <c r="C250" i="5"/>
  <c r="L250" i="5" s="1"/>
  <c r="K250" i="5"/>
  <c r="Y249" i="2"/>
  <c r="E248" i="2"/>
  <c r="AA247" i="3"/>
  <c r="E246" i="3"/>
  <c r="Z248" i="2" l="1"/>
  <c r="G247" i="2"/>
  <c r="E247" i="3"/>
  <c r="AA248" i="3"/>
  <c r="G248" i="3"/>
  <c r="Z249" i="3"/>
  <c r="Y250" i="2"/>
  <c r="E249" i="2"/>
  <c r="B252" i="5"/>
  <c r="K251" i="5"/>
  <c r="C251" i="5"/>
  <c r="L251" i="5" s="1"/>
  <c r="AA249" i="3" l="1"/>
  <c r="E248" i="3"/>
  <c r="E250" i="2"/>
  <c r="Y251" i="2"/>
  <c r="Z250" i="3"/>
  <c r="G249" i="3"/>
  <c r="B253" i="5"/>
  <c r="K252" i="5"/>
  <c r="C252" i="5"/>
  <c r="L252" i="5" s="1"/>
  <c r="G248" i="2"/>
  <c r="Z249" i="2"/>
  <c r="Z251" i="3" l="1"/>
  <c r="G250" i="3"/>
  <c r="E251" i="2"/>
  <c r="Y252" i="2"/>
  <c r="Z250" i="2"/>
  <c r="G249" i="2"/>
  <c r="C253" i="5"/>
  <c r="L253" i="5" s="1"/>
  <c r="B254" i="5"/>
  <c r="K253" i="5"/>
  <c r="AA250" i="3"/>
  <c r="E249" i="3"/>
  <c r="C254" i="5" l="1"/>
  <c r="L254" i="5" s="1"/>
  <c r="B255" i="5"/>
  <c r="K254" i="5"/>
  <c r="Z251" i="2"/>
  <c r="G250" i="2"/>
  <c r="E252" i="2"/>
  <c r="Y253" i="2"/>
  <c r="AA251" i="3"/>
  <c r="E250" i="3"/>
  <c r="Z252" i="3"/>
  <c r="G251" i="3"/>
  <c r="AA252" i="3" l="1"/>
  <c r="E251" i="3"/>
  <c r="E253" i="2"/>
  <c r="Y254" i="2"/>
  <c r="G251" i="2"/>
  <c r="Z252" i="2"/>
  <c r="Z253" i="3"/>
  <c r="G252" i="3"/>
  <c r="C255" i="5"/>
  <c r="L255" i="5" s="1"/>
  <c r="B256" i="5"/>
  <c r="K255" i="5"/>
  <c r="Z254" i="3" l="1"/>
  <c r="G253" i="3"/>
  <c r="G252" i="2"/>
  <c r="Z253" i="2"/>
  <c r="E254" i="2"/>
  <c r="Y255" i="2"/>
  <c r="C256" i="5"/>
  <c r="L256" i="5" s="1"/>
  <c r="B257" i="5"/>
  <c r="K256" i="5"/>
  <c r="AA253" i="3"/>
  <c r="E252" i="3"/>
  <c r="K257" i="5" l="1"/>
  <c r="C257" i="5"/>
  <c r="L257" i="5" s="1"/>
  <c r="B258" i="5"/>
  <c r="E255" i="2"/>
  <c r="Y256" i="2"/>
  <c r="G253" i="2"/>
  <c r="Z254" i="2"/>
  <c r="AA254" i="3"/>
  <c r="E253" i="3"/>
  <c r="G254" i="3"/>
  <c r="Z255" i="3"/>
  <c r="E254" i="3" l="1"/>
  <c r="AA255" i="3"/>
  <c r="Z255" i="2"/>
  <c r="G254" i="2"/>
  <c r="E256" i="2"/>
  <c r="Y257" i="2"/>
  <c r="G255" i="3"/>
  <c r="Z256" i="3"/>
  <c r="K258" i="5"/>
  <c r="C258" i="5"/>
  <c r="L258" i="5" s="1"/>
  <c r="B259" i="5"/>
  <c r="Z256" i="2" l="1"/>
  <c r="G255" i="2"/>
  <c r="B260" i="5"/>
  <c r="K259" i="5"/>
  <c r="C259" i="5"/>
  <c r="L259" i="5" s="1"/>
  <c r="AA256" i="3"/>
  <c r="E255" i="3"/>
  <c r="G256" i="3"/>
  <c r="Z257" i="3"/>
  <c r="E257" i="2"/>
  <c r="Y258" i="2"/>
  <c r="AA257" i="3" l="1"/>
  <c r="E256" i="3"/>
  <c r="E258" i="2"/>
  <c r="Y259" i="2"/>
  <c r="B261" i="5"/>
  <c r="K260" i="5"/>
  <c r="C260" i="5"/>
  <c r="L260" i="5" s="1"/>
  <c r="Z258" i="3"/>
  <c r="G257" i="3"/>
  <c r="Z257" i="2"/>
  <c r="G256" i="2"/>
  <c r="C261" i="5" l="1"/>
  <c r="L261" i="5" s="1"/>
  <c r="B262" i="5"/>
  <c r="K261" i="5"/>
  <c r="E259" i="2"/>
  <c r="Y260" i="2"/>
  <c r="G257" i="2"/>
  <c r="Z258" i="2"/>
  <c r="G258" i="3"/>
  <c r="Z259" i="3"/>
  <c r="E257" i="3"/>
  <c r="AA258" i="3"/>
  <c r="E260" i="2" l="1"/>
  <c r="Y261" i="2"/>
  <c r="Z259" i="2"/>
  <c r="G258" i="2"/>
  <c r="AA259" i="3"/>
  <c r="E258" i="3"/>
  <c r="C262" i="5"/>
  <c r="L262" i="5" s="1"/>
  <c r="B263" i="5"/>
  <c r="K262" i="5"/>
  <c r="Z260" i="3"/>
  <c r="G259" i="3"/>
  <c r="E259" i="3" l="1"/>
  <c r="AA260" i="3"/>
  <c r="C263" i="5"/>
  <c r="L263" i="5" s="1"/>
  <c r="B264" i="5"/>
  <c r="K263" i="5"/>
  <c r="G259" i="2"/>
  <c r="Z260" i="2"/>
  <c r="E261" i="2"/>
  <c r="Y262" i="2"/>
  <c r="G260" i="3"/>
  <c r="Z261" i="3"/>
  <c r="G260" i="2" l="1"/>
  <c r="Z261" i="2"/>
  <c r="Z262" i="3"/>
  <c r="G261" i="3"/>
  <c r="E260" i="3"/>
  <c r="AA261" i="3"/>
  <c r="C264" i="5"/>
  <c r="L264" i="5" s="1"/>
  <c r="B265" i="5"/>
  <c r="K264" i="5"/>
  <c r="E262" i="2"/>
  <c r="Y263" i="2"/>
  <c r="G262" i="3" l="1"/>
  <c r="Z263" i="3"/>
  <c r="E263" i="2"/>
  <c r="Y264" i="2"/>
  <c r="G261" i="2"/>
  <c r="Z262" i="2"/>
  <c r="K265" i="5"/>
  <c r="B266" i="5"/>
  <c r="C265" i="5"/>
  <c r="L265" i="5" s="1"/>
  <c r="E261" i="3"/>
  <c r="AA262" i="3"/>
  <c r="AA263" i="3" l="1"/>
  <c r="E262" i="3"/>
  <c r="E264" i="2"/>
  <c r="Y265" i="2"/>
  <c r="Z264" i="3"/>
  <c r="G263" i="3"/>
  <c r="C266" i="5"/>
  <c r="L266" i="5" s="1"/>
  <c r="K266" i="5"/>
  <c r="B267" i="5"/>
  <c r="Z263" i="2"/>
  <c r="G262" i="2"/>
  <c r="AE74" i="3" l="1"/>
  <c r="AF71" i="3"/>
  <c r="AF73" i="3"/>
  <c r="AE69" i="3"/>
  <c r="AE70" i="3"/>
  <c r="AH70" i="3" s="1"/>
  <c r="AI70" i="3" s="1"/>
  <c r="AF74" i="3"/>
  <c r="AF70" i="3"/>
  <c r="AE73" i="3"/>
  <c r="AH73" i="3" s="1"/>
  <c r="AI73" i="3" s="1"/>
  <c r="AE75" i="3"/>
  <c r="AH75" i="3" s="1"/>
  <c r="AI75" i="3" s="1"/>
  <c r="AF75" i="3"/>
  <c r="AE71" i="3"/>
  <c r="AF72" i="3"/>
  <c r="AF69" i="3"/>
  <c r="AE72" i="3"/>
  <c r="AH72" i="3" s="1"/>
  <c r="AI72" i="3" s="1"/>
  <c r="G264" i="3"/>
  <c r="Z265" i="3"/>
  <c r="E265" i="2"/>
  <c r="Y266" i="2"/>
  <c r="Z264" i="2"/>
  <c r="G263" i="2"/>
  <c r="K267" i="5"/>
  <c r="B271" i="5"/>
  <c r="C267" i="5"/>
  <c r="L267" i="5" s="1"/>
  <c r="E263" i="3"/>
  <c r="AA264" i="3"/>
  <c r="B272" i="5" l="1"/>
  <c r="C271" i="5"/>
  <c r="L271" i="5" s="1"/>
  <c r="K271" i="5"/>
  <c r="AA265" i="3"/>
  <c r="E264" i="3"/>
  <c r="Z266" i="3"/>
  <c r="G265" i="3"/>
  <c r="AC73" i="2"/>
  <c r="AD74" i="2"/>
  <c r="AC72" i="2"/>
  <c r="AD70" i="2"/>
  <c r="AD76" i="2"/>
  <c r="AE76" i="2" s="1"/>
  <c r="AC71" i="2"/>
  <c r="AC70" i="2"/>
  <c r="AC75" i="2"/>
  <c r="AD73" i="2"/>
  <c r="AD71" i="2"/>
  <c r="AC74" i="2"/>
  <c r="AD72" i="2"/>
  <c r="AC76" i="2"/>
  <c r="AD75" i="2"/>
  <c r="E266" i="2"/>
  <c r="Y267" i="2"/>
  <c r="AH69" i="3"/>
  <c r="AI69" i="3" s="1"/>
  <c r="AJ69" i="3" s="1"/>
  <c r="G264" i="2"/>
  <c r="Z265" i="2"/>
  <c r="AH71" i="3"/>
  <c r="AI71" i="3" s="1"/>
  <c r="AH74" i="3"/>
  <c r="AI74" i="3" s="1"/>
  <c r="G265" i="2" l="1"/>
  <c r="Z266" i="2"/>
  <c r="AE73" i="2"/>
  <c r="AF73" i="2" s="1"/>
  <c r="G266" i="3"/>
  <c r="Z267" i="3"/>
  <c r="AA266" i="3"/>
  <c r="E265" i="3"/>
  <c r="AE72" i="2"/>
  <c r="AF72" i="2" s="1"/>
  <c r="AE70" i="2"/>
  <c r="AF70" i="2" s="1"/>
  <c r="E267" i="2"/>
  <c r="Y268" i="2"/>
  <c r="AE75" i="2"/>
  <c r="AF75" i="2" s="1"/>
  <c r="AE71" i="2"/>
  <c r="AF71" i="2" s="1"/>
  <c r="AE74" i="2"/>
  <c r="AF74" i="2" s="1"/>
  <c r="B273" i="5"/>
  <c r="C272" i="5"/>
  <c r="L272" i="5" s="1"/>
  <c r="K272" i="5"/>
  <c r="AF76" i="2" l="1"/>
  <c r="B274" i="5"/>
  <c r="K273" i="5"/>
  <c r="C273" i="5"/>
  <c r="L273" i="5" s="1"/>
  <c r="AA267" i="3"/>
  <c r="E266" i="3"/>
  <c r="E268" i="2"/>
  <c r="Y269" i="2"/>
  <c r="Z268" i="3"/>
  <c r="G267" i="3"/>
  <c r="G266" i="2"/>
  <c r="Z267" i="2"/>
  <c r="E269" i="2" l="1"/>
  <c r="Y270" i="2"/>
  <c r="AA268" i="3"/>
  <c r="E267" i="3"/>
  <c r="Z268" i="2"/>
  <c r="G267" i="2"/>
  <c r="K274" i="5"/>
  <c r="B275" i="5"/>
  <c r="C274" i="5"/>
  <c r="L274" i="5" s="1"/>
  <c r="G268" i="3"/>
  <c r="Z269" i="3"/>
  <c r="C275" i="5" l="1"/>
  <c r="L275" i="5" s="1"/>
  <c r="B276" i="5"/>
  <c r="K275" i="5"/>
  <c r="Z269" i="2"/>
  <c r="G268" i="2"/>
  <c r="E268" i="3"/>
  <c r="AA269" i="3"/>
  <c r="Z270" i="3"/>
  <c r="G269" i="3"/>
  <c r="E270" i="2"/>
  <c r="Y271" i="2"/>
  <c r="G270" i="3" l="1"/>
  <c r="Z271" i="3"/>
  <c r="E269" i="3"/>
  <c r="AA270" i="3"/>
  <c r="G269" i="2"/>
  <c r="Z270" i="2"/>
  <c r="C276" i="5"/>
  <c r="L276" i="5" s="1"/>
  <c r="B277" i="5"/>
  <c r="K276" i="5"/>
  <c r="E271" i="2"/>
  <c r="Y272" i="2"/>
  <c r="Z272" i="3" l="1"/>
  <c r="G271" i="3"/>
  <c r="E272" i="2"/>
  <c r="Y273" i="2"/>
  <c r="E270" i="3"/>
  <c r="AA271" i="3"/>
  <c r="G270" i="2"/>
  <c r="Z271" i="2"/>
  <c r="K277" i="5"/>
  <c r="B278" i="5"/>
  <c r="C277" i="5"/>
  <c r="L277" i="5" s="1"/>
  <c r="AA272" i="3" l="1"/>
  <c r="E271" i="3"/>
  <c r="C278" i="5"/>
  <c r="L278" i="5" s="1"/>
  <c r="K278" i="5"/>
  <c r="B279" i="5"/>
  <c r="E273" i="2"/>
  <c r="Y274" i="2"/>
  <c r="Z272" i="2"/>
  <c r="G271" i="2"/>
  <c r="G272" i="3"/>
  <c r="Z273" i="3"/>
  <c r="Z273" i="2" l="1"/>
  <c r="G272" i="2"/>
  <c r="AA273" i="3"/>
  <c r="E272" i="3"/>
  <c r="E274" i="2"/>
  <c r="Y275" i="2"/>
  <c r="Z274" i="3"/>
  <c r="G273" i="3"/>
  <c r="B280" i="5"/>
  <c r="K279" i="5"/>
  <c r="C279" i="5"/>
  <c r="L279" i="5" s="1"/>
  <c r="E273" i="3" l="1"/>
  <c r="AA274" i="3"/>
  <c r="Z275" i="3"/>
  <c r="G274" i="3"/>
  <c r="E275" i="2"/>
  <c r="Y276" i="2"/>
  <c r="B281" i="5"/>
  <c r="K280" i="5"/>
  <c r="C280" i="5"/>
  <c r="L280" i="5" s="1"/>
  <c r="G273" i="2"/>
  <c r="Z274" i="2"/>
  <c r="AA275" i="3" l="1"/>
  <c r="E274" i="3"/>
  <c r="C281" i="5"/>
  <c r="L281" i="5" s="1"/>
  <c r="K281" i="5"/>
  <c r="B282" i="5"/>
  <c r="E276" i="2"/>
  <c r="Y277" i="2"/>
  <c r="G274" i="2"/>
  <c r="Z275" i="2"/>
  <c r="Z276" i="3"/>
  <c r="G275" i="3"/>
  <c r="E277" i="2" l="1"/>
  <c r="Y278" i="2"/>
  <c r="G276" i="3"/>
  <c r="Z277" i="3"/>
  <c r="Z276" i="2"/>
  <c r="G275" i="2"/>
  <c r="E275" i="3"/>
  <c r="AA276" i="3"/>
  <c r="C282" i="5"/>
  <c r="L282" i="5" s="1"/>
  <c r="B283" i="5"/>
  <c r="K282" i="5"/>
  <c r="AA277" i="3" l="1"/>
  <c r="E276" i="3"/>
  <c r="Z277" i="2"/>
  <c r="G276" i="2"/>
  <c r="G277" i="3"/>
  <c r="Z278" i="3"/>
  <c r="K283" i="5"/>
  <c r="B284" i="5"/>
  <c r="C283" i="5"/>
  <c r="L283" i="5" s="1"/>
  <c r="E278" i="2"/>
  <c r="Y279" i="2"/>
  <c r="C284" i="5" l="1"/>
  <c r="L284" i="5" s="1"/>
  <c r="K284" i="5"/>
  <c r="B285" i="5"/>
  <c r="G278" i="3"/>
  <c r="Z279" i="3"/>
  <c r="G277" i="2"/>
  <c r="Z278" i="2"/>
  <c r="E279" i="2"/>
  <c r="Y280" i="2"/>
  <c r="AA278" i="3"/>
  <c r="E277" i="3"/>
  <c r="Z279" i="2" l="1"/>
  <c r="G278" i="2"/>
  <c r="K285" i="5"/>
  <c r="B286" i="5"/>
  <c r="C285" i="5"/>
  <c r="L285" i="5" s="1"/>
  <c r="Z280" i="3"/>
  <c r="G279" i="3"/>
  <c r="AA279" i="3"/>
  <c r="E278" i="3"/>
  <c r="E280" i="2"/>
  <c r="Y281" i="2"/>
  <c r="E279" i="3" l="1"/>
  <c r="AA280" i="3"/>
  <c r="G280" i="3"/>
  <c r="Z281" i="3"/>
  <c r="K286" i="5"/>
  <c r="B287" i="5"/>
  <c r="C286" i="5"/>
  <c r="L286" i="5" s="1"/>
  <c r="E281" i="2"/>
  <c r="Y282" i="2"/>
  <c r="G279" i="2"/>
  <c r="Z280" i="2"/>
  <c r="AA281" i="3" l="1"/>
  <c r="E280" i="3"/>
  <c r="B288" i="5"/>
  <c r="C287" i="5"/>
  <c r="L287" i="5" s="1"/>
  <c r="K287" i="5"/>
  <c r="Z282" i="3"/>
  <c r="G281" i="3"/>
  <c r="Z281" i="2"/>
  <c r="G280" i="2"/>
  <c r="E282" i="2"/>
  <c r="Y283" i="2"/>
  <c r="Z283" i="3" l="1"/>
  <c r="G282" i="3"/>
  <c r="E283" i="2"/>
  <c r="Y284" i="2"/>
  <c r="G281" i="2"/>
  <c r="Z282" i="2"/>
  <c r="B289" i="5"/>
  <c r="K288" i="5"/>
  <c r="C288" i="5"/>
  <c r="L288" i="5" s="1"/>
  <c r="AA282" i="3"/>
  <c r="E281" i="3"/>
  <c r="B290" i="5" l="1"/>
  <c r="K289" i="5"/>
  <c r="C289" i="5"/>
  <c r="L289" i="5" s="1"/>
  <c r="Z283" i="2"/>
  <c r="G282" i="2"/>
  <c r="E284" i="2"/>
  <c r="Y285" i="2"/>
  <c r="AA283" i="3"/>
  <c r="E282" i="3"/>
  <c r="Z284" i="3"/>
  <c r="G283" i="3"/>
  <c r="G283" i="2" l="1"/>
  <c r="Z284" i="2"/>
  <c r="G284" i="3"/>
  <c r="Z285" i="3"/>
  <c r="E283" i="3"/>
  <c r="AA284" i="3"/>
  <c r="E285" i="2"/>
  <c r="Y286" i="2"/>
  <c r="C290" i="5"/>
  <c r="L290" i="5" s="1"/>
  <c r="B291" i="5"/>
  <c r="K290" i="5"/>
  <c r="AA285" i="3" l="1"/>
  <c r="E284" i="3"/>
  <c r="E286" i="2"/>
  <c r="Y287" i="2"/>
  <c r="Z286" i="3"/>
  <c r="G285" i="3"/>
  <c r="C291" i="5"/>
  <c r="L291" i="5" s="1"/>
  <c r="B292" i="5"/>
  <c r="K291" i="5"/>
  <c r="Z285" i="2"/>
  <c r="G284" i="2"/>
  <c r="G286" i="3" l="1"/>
  <c r="Z287" i="3"/>
  <c r="E287" i="2"/>
  <c r="Y288" i="2"/>
  <c r="C292" i="5"/>
  <c r="L292" i="5" s="1"/>
  <c r="B293" i="5"/>
  <c r="K292" i="5"/>
  <c r="Z286" i="2"/>
  <c r="G285" i="2"/>
  <c r="E285" i="3"/>
  <c r="AA286" i="3"/>
  <c r="E288" i="2" l="1"/>
  <c r="Y289" i="2"/>
  <c r="Z287" i="2"/>
  <c r="G286" i="2"/>
  <c r="K293" i="5"/>
  <c r="C293" i="5"/>
  <c r="L293" i="5" s="1"/>
  <c r="B294" i="5"/>
  <c r="AA287" i="3"/>
  <c r="E286" i="3"/>
  <c r="Z288" i="3"/>
  <c r="G287" i="3"/>
  <c r="Z288" i="2" l="1"/>
  <c r="G287" i="2"/>
  <c r="G288" i="3"/>
  <c r="Z289" i="3"/>
  <c r="E289" i="2"/>
  <c r="Y290" i="2"/>
  <c r="E287" i="3"/>
  <c r="AA288" i="3"/>
  <c r="K294" i="5"/>
  <c r="C294" i="5"/>
  <c r="L294" i="5" s="1"/>
  <c r="B295" i="5"/>
  <c r="AA289" i="3" l="1"/>
  <c r="E288" i="3"/>
  <c r="B296" i="5"/>
  <c r="C295" i="5"/>
  <c r="L295" i="5" s="1"/>
  <c r="K295" i="5"/>
  <c r="E290" i="2"/>
  <c r="Y291" i="2"/>
  <c r="Z290" i="3"/>
  <c r="G289" i="3"/>
  <c r="G288" i="2"/>
  <c r="Z289" i="2"/>
  <c r="E291" i="2" l="1"/>
  <c r="Y292" i="2"/>
  <c r="Z290" i="2"/>
  <c r="G289" i="2"/>
  <c r="Z291" i="3"/>
  <c r="G290" i="3"/>
  <c r="B297" i="5"/>
  <c r="K296" i="5"/>
  <c r="C296" i="5"/>
  <c r="L296" i="5" s="1"/>
  <c r="AA290" i="3"/>
  <c r="E289" i="3"/>
  <c r="B298" i="5" l="1"/>
  <c r="K297" i="5"/>
  <c r="C297" i="5"/>
  <c r="L297" i="5" s="1"/>
  <c r="Z292" i="3"/>
  <c r="G291" i="3"/>
  <c r="E292" i="2"/>
  <c r="Y293" i="2"/>
  <c r="G290" i="2"/>
  <c r="Z291" i="2"/>
  <c r="AA291" i="3"/>
  <c r="E290" i="3"/>
  <c r="E293" i="2" l="1"/>
  <c r="Y294" i="2"/>
  <c r="G292" i="3"/>
  <c r="Z293" i="3"/>
  <c r="E291" i="3"/>
  <c r="AA292" i="3"/>
  <c r="Z292" i="2"/>
  <c r="G291" i="2"/>
  <c r="C298" i="5"/>
  <c r="L298" i="5" s="1"/>
  <c r="B299" i="5"/>
  <c r="K298" i="5"/>
  <c r="G292" i="2" l="1"/>
  <c r="Z293" i="2"/>
  <c r="E292" i="3"/>
  <c r="AA293" i="3"/>
  <c r="G293" i="3"/>
  <c r="Z294" i="3"/>
  <c r="C299" i="5"/>
  <c r="L299" i="5" s="1"/>
  <c r="B300" i="5"/>
  <c r="K299" i="5"/>
  <c r="E294" i="2"/>
  <c r="Y295" i="2"/>
  <c r="G294" i="3" l="1"/>
  <c r="Z295" i="3"/>
  <c r="B304" i="5"/>
  <c r="C300" i="5"/>
  <c r="L300" i="5" s="1"/>
  <c r="K300" i="5"/>
  <c r="E293" i="3"/>
  <c r="AA294" i="3"/>
  <c r="E295" i="2"/>
  <c r="Y296" i="2"/>
  <c r="G293" i="2"/>
  <c r="Z294" i="2"/>
  <c r="AF77" i="3"/>
  <c r="AE77" i="3"/>
  <c r="AH77" i="3" s="1"/>
  <c r="AI77" i="3" s="1"/>
  <c r="AE82" i="3"/>
  <c r="AE80" i="3"/>
  <c r="AF81" i="3"/>
  <c r="AF79" i="3"/>
  <c r="AE78" i="3"/>
  <c r="AF76" i="3"/>
  <c r="AE79" i="3"/>
  <c r="AE76" i="3"/>
  <c r="AH76" i="3" s="1"/>
  <c r="AI76" i="3" s="1"/>
  <c r="AF78" i="3"/>
  <c r="AF80" i="3"/>
  <c r="AE81" i="3"/>
  <c r="AF82" i="3"/>
  <c r="AH80" i="3" l="1"/>
  <c r="AI80" i="3" s="1"/>
  <c r="AA295" i="3"/>
  <c r="E294" i="3"/>
  <c r="AH81" i="3"/>
  <c r="AI81" i="3" s="1"/>
  <c r="AH82" i="3"/>
  <c r="AI82" i="3" s="1"/>
  <c r="AH79" i="3"/>
  <c r="AI79" i="3" s="1"/>
  <c r="Z295" i="2"/>
  <c r="G294" i="2"/>
  <c r="C304" i="5"/>
  <c r="L304" i="5" s="1"/>
  <c r="B305" i="5"/>
  <c r="K304" i="5"/>
  <c r="AH78" i="3"/>
  <c r="AI78" i="3" s="1"/>
  <c r="AJ76" i="3" s="1"/>
  <c r="AC77" i="2"/>
  <c r="AC83" i="2"/>
  <c r="AD82" i="2"/>
  <c r="AC79" i="2"/>
  <c r="AD83" i="2"/>
  <c r="AE83" i="2" s="1"/>
  <c r="AC81" i="2"/>
  <c r="AD78" i="2"/>
  <c r="AD81" i="2"/>
  <c r="AD77" i="2"/>
  <c r="AC80" i="2"/>
  <c r="AC78" i="2"/>
  <c r="AD80" i="2"/>
  <c r="AD79" i="2"/>
  <c r="AC82" i="2"/>
  <c r="Z296" i="3"/>
  <c r="G295" i="3"/>
  <c r="E296" i="2"/>
  <c r="Y297" i="2"/>
  <c r="AE82" i="2" l="1"/>
  <c r="AF82" i="2" s="1"/>
  <c r="G295" i="2"/>
  <c r="Z296" i="2"/>
  <c r="AE81" i="2"/>
  <c r="AF81" i="2" s="1"/>
  <c r="G296" i="3"/>
  <c r="Z297" i="3"/>
  <c r="AF78" i="2"/>
  <c r="AE78" i="2"/>
  <c r="E297" i="2"/>
  <c r="Y298" i="2"/>
  <c r="AE79" i="2"/>
  <c r="AF79" i="2" s="1"/>
  <c r="C305" i="5"/>
  <c r="L305" i="5" s="1"/>
  <c r="B306" i="5"/>
  <c r="K305" i="5"/>
  <c r="E295" i="3"/>
  <c r="AA296" i="3"/>
  <c r="AE77" i="2"/>
  <c r="AF77" i="2" s="1"/>
  <c r="AE80" i="2"/>
  <c r="AF80" i="2" s="1"/>
  <c r="AF83" i="2" l="1"/>
  <c r="E298" i="2"/>
  <c r="Y299" i="2"/>
  <c r="Z297" i="2"/>
  <c r="G296" i="2"/>
  <c r="C306" i="5"/>
  <c r="L306" i="5" s="1"/>
  <c r="K306" i="5"/>
  <c r="B307" i="5"/>
  <c r="AA297" i="3"/>
  <c r="E296" i="3"/>
  <c r="Z298" i="3"/>
  <c r="G297" i="3"/>
  <c r="Z299" i="3" l="1"/>
  <c r="G298" i="3"/>
  <c r="G297" i="2"/>
  <c r="Z298" i="2"/>
  <c r="K307" i="5"/>
  <c r="B308" i="5"/>
  <c r="C307" i="5"/>
  <c r="L307" i="5" s="1"/>
  <c r="E299" i="2"/>
  <c r="Y300" i="2"/>
  <c r="AA298" i="3"/>
  <c r="E297" i="3"/>
  <c r="E300" i="2" l="1"/>
  <c r="Y301" i="2"/>
  <c r="B309" i="5"/>
  <c r="K308" i="5"/>
  <c r="C308" i="5"/>
  <c r="L308" i="5" s="1"/>
  <c r="Z299" i="2"/>
  <c r="G298" i="2"/>
  <c r="Z300" i="3"/>
  <c r="G299" i="3"/>
  <c r="AA299" i="3"/>
  <c r="E298" i="3"/>
  <c r="G299" i="2" l="1"/>
  <c r="Z300" i="2"/>
  <c r="AA300" i="3"/>
  <c r="E299" i="3"/>
  <c r="K309" i="5"/>
  <c r="C309" i="5"/>
  <c r="L309" i="5" s="1"/>
  <c r="B310" i="5"/>
  <c r="E301" i="2"/>
  <c r="Y302" i="2"/>
  <c r="G300" i="3"/>
  <c r="Z301" i="3"/>
  <c r="E302" i="2" l="1"/>
  <c r="Y303" i="2"/>
  <c r="Z302" i="3"/>
  <c r="G301" i="3"/>
  <c r="E300" i="3"/>
  <c r="AA301" i="3"/>
  <c r="G300" i="2"/>
  <c r="Z301" i="2"/>
  <c r="B311" i="5"/>
  <c r="K310" i="5"/>
  <c r="C310" i="5"/>
  <c r="L310" i="5" s="1"/>
  <c r="AA302" i="3" l="1"/>
  <c r="E301" i="3"/>
  <c r="G301" i="2"/>
  <c r="Z302" i="2"/>
  <c r="E303" i="2"/>
  <c r="Y304" i="2"/>
  <c r="G302" i="3"/>
  <c r="Z303" i="3"/>
  <c r="B312" i="5"/>
  <c r="K311" i="5"/>
  <c r="C311" i="5"/>
  <c r="L311" i="5" s="1"/>
  <c r="C312" i="5" l="1"/>
  <c r="L312" i="5" s="1"/>
  <c r="B313" i="5"/>
  <c r="K312" i="5"/>
  <c r="Z304" i="3"/>
  <c r="G303" i="3"/>
  <c r="Z303" i="2"/>
  <c r="G302" i="2"/>
  <c r="E304" i="2"/>
  <c r="Y305" i="2"/>
  <c r="AA303" i="3"/>
  <c r="E302" i="3"/>
  <c r="G303" i="2" l="1"/>
  <c r="Z304" i="2"/>
  <c r="G304" i="3"/>
  <c r="Z305" i="3"/>
  <c r="E303" i="3"/>
  <c r="AA304" i="3"/>
  <c r="C313" i="5"/>
  <c r="L313" i="5" s="1"/>
  <c r="K313" i="5"/>
  <c r="B314" i="5"/>
  <c r="E305" i="2"/>
  <c r="Y306" i="2"/>
  <c r="AA305" i="3" l="1"/>
  <c r="E304" i="3"/>
  <c r="E306" i="2"/>
  <c r="Y307" i="2"/>
  <c r="Z306" i="3"/>
  <c r="G305" i="3"/>
  <c r="C314" i="5"/>
  <c r="L314" i="5" s="1"/>
  <c r="K314" i="5"/>
  <c r="B315" i="5"/>
  <c r="Z305" i="2"/>
  <c r="G304" i="2"/>
  <c r="Z307" i="3" l="1"/>
  <c r="G306" i="3"/>
  <c r="E307" i="2"/>
  <c r="Y308" i="2"/>
  <c r="Z306" i="2"/>
  <c r="G305" i="2"/>
  <c r="K315" i="5"/>
  <c r="C315" i="5"/>
  <c r="L315" i="5" s="1"/>
  <c r="B316" i="5"/>
  <c r="AA306" i="3"/>
  <c r="E305" i="3"/>
  <c r="E308" i="2" l="1"/>
  <c r="Y309" i="2"/>
  <c r="AA307" i="3"/>
  <c r="E306" i="3"/>
  <c r="Z307" i="2"/>
  <c r="G306" i="2"/>
  <c r="B317" i="5"/>
  <c r="K316" i="5"/>
  <c r="C316" i="5"/>
  <c r="L316" i="5" s="1"/>
  <c r="Z308" i="3"/>
  <c r="G307" i="3"/>
  <c r="Z308" i="2" l="1"/>
  <c r="G307" i="2"/>
  <c r="AA308" i="3"/>
  <c r="E307" i="3"/>
  <c r="K317" i="5"/>
  <c r="C317" i="5"/>
  <c r="L317" i="5" s="1"/>
  <c r="B318" i="5"/>
  <c r="G308" i="3"/>
  <c r="Z309" i="3"/>
  <c r="E309" i="2"/>
  <c r="Y310" i="2"/>
  <c r="E310" i="2" l="1"/>
  <c r="Y311" i="2"/>
  <c r="E308" i="3"/>
  <c r="AA309" i="3"/>
  <c r="B319" i="5"/>
  <c r="K318" i="5"/>
  <c r="C318" i="5"/>
  <c r="L318" i="5" s="1"/>
  <c r="Z310" i="3"/>
  <c r="G309" i="3"/>
  <c r="G308" i="2"/>
  <c r="Z309" i="2"/>
  <c r="B320" i="5" l="1"/>
  <c r="K319" i="5"/>
  <c r="C319" i="5"/>
  <c r="L319" i="5" s="1"/>
  <c r="AA310" i="3"/>
  <c r="E309" i="3"/>
  <c r="Z310" i="2"/>
  <c r="G309" i="2"/>
  <c r="G310" i="3"/>
  <c r="Z311" i="3"/>
  <c r="E311" i="2"/>
  <c r="Y312" i="2"/>
  <c r="G310" i="2" l="1"/>
  <c r="Z311" i="2"/>
  <c r="AA311" i="3"/>
  <c r="E310" i="3"/>
  <c r="E312" i="2"/>
  <c r="Y313" i="2"/>
  <c r="Z312" i="3"/>
  <c r="G311" i="3"/>
  <c r="C320" i="5"/>
  <c r="L320" i="5" s="1"/>
  <c r="B321" i="5"/>
  <c r="K320" i="5"/>
  <c r="G312" i="3" l="1"/>
  <c r="Z313" i="3"/>
  <c r="AA312" i="3"/>
  <c r="E311" i="3"/>
  <c r="C321" i="5"/>
  <c r="L321" i="5" s="1"/>
  <c r="K321" i="5"/>
  <c r="B322" i="5"/>
  <c r="Z312" i="2"/>
  <c r="G311" i="2"/>
  <c r="E313" i="2"/>
  <c r="Y314" i="2"/>
  <c r="Z313" i="2" l="1"/>
  <c r="G312" i="2"/>
  <c r="E314" i="2"/>
  <c r="Y315" i="2"/>
  <c r="AA313" i="3"/>
  <c r="E312" i="3"/>
  <c r="Z314" i="3"/>
  <c r="G313" i="3"/>
  <c r="C322" i="5"/>
  <c r="L322" i="5" s="1"/>
  <c r="B323" i="5"/>
  <c r="K322" i="5"/>
  <c r="Z315" i="3" l="1"/>
  <c r="G314" i="3"/>
  <c r="AA314" i="3"/>
  <c r="E313" i="3"/>
  <c r="E315" i="2"/>
  <c r="Y316" i="2"/>
  <c r="B324" i="5"/>
  <c r="C323" i="5"/>
  <c r="L323" i="5" s="1"/>
  <c r="K323" i="5"/>
  <c r="Z314" i="2"/>
  <c r="G313" i="2"/>
  <c r="B325" i="5" l="1"/>
  <c r="K324" i="5"/>
  <c r="C324" i="5"/>
  <c r="L324" i="5" s="1"/>
  <c r="E316" i="2"/>
  <c r="Y317" i="2"/>
  <c r="AA315" i="3"/>
  <c r="E314" i="3"/>
  <c r="Z315" i="2"/>
  <c r="G314" i="2"/>
  <c r="Z316" i="3"/>
  <c r="G315" i="3"/>
  <c r="G315" i="2" l="1"/>
  <c r="Z316" i="2"/>
  <c r="E315" i="3"/>
  <c r="AA316" i="3"/>
  <c r="E317" i="2"/>
  <c r="Y318" i="2"/>
  <c r="G316" i="3"/>
  <c r="Z317" i="3"/>
  <c r="C325" i="5"/>
  <c r="L325" i="5" s="1"/>
  <c r="B326" i="5"/>
  <c r="K325" i="5"/>
  <c r="E318" i="2" l="1"/>
  <c r="Y319" i="2"/>
  <c r="G317" i="3"/>
  <c r="Z318" i="3"/>
  <c r="AA317" i="3"/>
  <c r="E316" i="3"/>
  <c r="B327" i="5"/>
  <c r="K326" i="5"/>
  <c r="C326" i="5"/>
  <c r="L326" i="5" s="1"/>
  <c r="Z317" i="2"/>
  <c r="G316" i="2"/>
  <c r="B328" i="5" l="1"/>
  <c r="K327" i="5"/>
  <c r="C327" i="5"/>
  <c r="L327" i="5" s="1"/>
  <c r="G318" i="3"/>
  <c r="Z319" i="3"/>
  <c r="G317" i="2"/>
  <c r="Z318" i="2"/>
  <c r="E319" i="2"/>
  <c r="Y320" i="2"/>
  <c r="AA318" i="3"/>
  <c r="E317" i="3"/>
  <c r="Z319" i="2" l="1"/>
  <c r="G318" i="2"/>
  <c r="Z320" i="3"/>
  <c r="G319" i="3"/>
  <c r="AA319" i="3"/>
  <c r="E318" i="3"/>
  <c r="E320" i="2"/>
  <c r="Y321" i="2"/>
  <c r="C328" i="5"/>
  <c r="L328" i="5" s="1"/>
  <c r="B329" i="5"/>
  <c r="K328" i="5"/>
  <c r="E321" i="2" l="1"/>
  <c r="Y322" i="2"/>
  <c r="AA320" i="3"/>
  <c r="E319" i="3"/>
  <c r="Z321" i="3"/>
  <c r="G320" i="3"/>
  <c r="C329" i="5"/>
  <c r="L329" i="5" s="1"/>
  <c r="K329" i="5"/>
  <c r="B330" i="5"/>
  <c r="G319" i="2"/>
  <c r="Z320" i="2"/>
  <c r="G321" i="3" l="1"/>
  <c r="Z322" i="3"/>
  <c r="E320" i="3"/>
  <c r="AA321" i="3"/>
  <c r="Z321" i="2"/>
  <c r="G320" i="2"/>
  <c r="E322" i="2"/>
  <c r="Y323" i="2"/>
  <c r="C330" i="5"/>
  <c r="L330" i="5" s="1"/>
  <c r="K330" i="5"/>
  <c r="B331" i="5"/>
  <c r="E323" i="2" l="1"/>
  <c r="Y324" i="2"/>
  <c r="Z322" i="2"/>
  <c r="G321" i="2"/>
  <c r="K331" i="5"/>
  <c r="B332" i="5"/>
  <c r="C331" i="5"/>
  <c r="L331" i="5" s="1"/>
  <c r="Z323" i="3"/>
  <c r="G322" i="3"/>
  <c r="AA322" i="3"/>
  <c r="E321" i="3"/>
  <c r="Z324" i="3" l="1"/>
  <c r="G323" i="3"/>
  <c r="B333" i="5"/>
  <c r="K332" i="5"/>
  <c r="C332" i="5"/>
  <c r="L332" i="5" s="1"/>
  <c r="G322" i="2"/>
  <c r="Z323" i="2"/>
  <c r="E322" i="3"/>
  <c r="AA323" i="3"/>
  <c r="E324" i="2"/>
  <c r="Y325" i="2"/>
  <c r="G323" i="2" l="1"/>
  <c r="Z324" i="2"/>
  <c r="K333" i="5"/>
  <c r="C333" i="5"/>
  <c r="L333" i="5" s="1"/>
  <c r="B334" i="5"/>
  <c r="E325" i="2"/>
  <c r="Y326" i="2"/>
  <c r="E323" i="3"/>
  <c r="AA324" i="3"/>
  <c r="Z325" i="3"/>
  <c r="G324" i="3"/>
  <c r="AF84" i="3" l="1"/>
  <c r="AE89" i="3"/>
  <c r="AE87" i="3"/>
  <c r="AE85" i="3"/>
  <c r="AF88" i="3"/>
  <c r="AF85" i="3"/>
  <c r="AF83" i="3"/>
  <c r="AE86" i="3"/>
  <c r="AE84" i="3"/>
  <c r="AH84" i="3" s="1"/>
  <c r="AI84" i="3" s="1"/>
  <c r="AF87" i="3"/>
  <c r="AE88" i="3"/>
  <c r="AF89" i="3"/>
  <c r="AF86" i="3"/>
  <c r="AE83" i="3"/>
  <c r="AH83" i="3" s="1"/>
  <c r="AI83" i="3" s="1"/>
  <c r="E326" i="2"/>
  <c r="Y327" i="2"/>
  <c r="K334" i="5"/>
  <c r="C334" i="5"/>
  <c r="L334" i="5" s="1"/>
  <c r="B338" i="5"/>
  <c r="G325" i="3"/>
  <c r="Z326" i="3"/>
  <c r="Z325" i="2"/>
  <c r="G324" i="2"/>
  <c r="AA325" i="3"/>
  <c r="E324" i="3"/>
  <c r="E327" i="2" l="1"/>
  <c r="Y328" i="2"/>
  <c r="AH86" i="3"/>
  <c r="AI86" i="3" s="1"/>
  <c r="G325" i="2"/>
  <c r="Z326" i="2"/>
  <c r="AA326" i="3"/>
  <c r="E325" i="3"/>
  <c r="AC87" i="2"/>
  <c r="AC90" i="2"/>
  <c r="AC86" i="2"/>
  <c r="AD89" i="2"/>
  <c r="AC85" i="2"/>
  <c r="AC89" i="2"/>
  <c r="AD88" i="2"/>
  <c r="AD86" i="2"/>
  <c r="AD85" i="2"/>
  <c r="AC84" i="2"/>
  <c r="AD84" i="2"/>
  <c r="AD90" i="2"/>
  <c r="AE90" i="2" s="1"/>
  <c r="AC88" i="2"/>
  <c r="AD87" i="2"/>
  <c r="AH85" i="3"/>
  <c r="AI85" i="3" s="1"/>
  <c r="AH88" i="3"/>
  <c r="AI88" i="3" s="1"/>
  <c r="AH87" i="3"/>
  <c r="AI87" i="3" s="1"/>
  <c r="AJ83" i="3" s="1"/>
  <c r="AH89" i="3"/>
  <c r="AI89" i="3" s="1"/>
  <c r="G326" i="3"/>
  <c r="Z327" i="3"/>
  <c r="B339" i="5"/>
  <c r="K338" i="5"/>
  <c r="C338" i="5"/>
  <c r="L338" i="5" s="1"/>
  <c r="AE85" i="2" l="1"/>
  <c r="AF85" i="2" s="1"/>
  <c r="AE86" i="2"/>
  <c r="AF86" i="2" s="1"/>
  <c r="AE88" i="2"/>
  <c r="AF88" i="2" s="1"/>
  <c r="E326" i="3"/>
  <c r="AA327" i="3"/>
  <c r="G326" i="2"/>
  <c r="Z327" i="2"/>
  <c r="K339" i="5"/>
  <c r="C339" i="5"/>
  <c r="L339" i="5" s="1"/>
  <c r="B340" i="5"/>
  <c r="AE87" i="2"/>
  <c r="AF87" i="2" s="1"/>
  <c r="Z328" i="3"/>
  <c r="G327" i="3"/>
  <c r="AE89" i="2"/>
  <c r="AF89" i="2" s="1"/>
  <c r="AE84" i="2"/>
  <c r="AF84" i="2" s="1"/>
  <c r="E328" i="2"/>
  <c r="Y329" i="2"/>
  <c r="AF90" i="2" l="1"/>
  <c r="K340" i="5"/>
  <c r="B341" i="5"/>
  <c r="C340" i="5"/>
  <c r="L340" i="5" s="1"/>
  <c r="AA328" i="3"/>
  <c r="E327" i="3"/>
  <c r="E329" i="2"/>
  <c r="Y330" i="2"/>
  <c r="Z329" i="3"/>
  <c r="G328" i="3"/>
  <c r="G327" i="2"/>
  <c r="Z328" i="2"/>
  <c r="Z330" i="3" l="1"/>
  <c r="G329" i="3"/>
  <c r="E330" i="2"/>
  <c r="Y331" i="2"/>
  <c r="AA329" i="3"/>
  <c r="E328" i="3"/>
  <c r="C341" i="5"/>
  <c r="L341" i="5" s="1"/>
  <c r="K341" i="5"/>
  <c r="B342" i="5"/>
  <c r="G328" i="2"/>
  <c r="Z329" i="2"/>
  <c r="AA330" i="3" l="1"/>
  <c r="E329" i="3"/>
  <c r="E331" i="2"/>
  <c r="Y332" i="2"/>
  <c r="Z330" i="2"/>
  <c r="G329" i="2"/>
  <c r="B343" i="5"/>
  <c r="K342" i="5"/>
  <c r="C342" i="5"/>
  <c r="L342" i="5" s="1"/>
  <c r="G330" i="3"/>
  <c r="Z331" i="3"/>
  <c r="Z331" i="2" l="1"/>
  <c r="G330" i="2"/>
  <c r="E332" i="2"/>
  <c r="Y333" i="2"/>
  <c r="K343" i="5"/>
  <c r="B344" i="5"/>
  <c r="C343" i="5"/>
  <c r="L343" i="5" s="1"/>
  <c r="Z332" i="3"/>
  <c r="G331" i="3"/>
  <c r="AA331" i="3"/>
  <c r="E330" i="3"/>
  <c r="Z333" i="3" l="1"/>
  <c r="G332" i="3"/>
  <c r="E333" i="2"/>
  <c r="Y334" i="2"/>
  <c r="C344" i="5"/>
  <c r="L344" i="5" s="1"/>
  <c r="K344" i="5"/>
  <c r="B345" i="5"/>
  <c r="G331" i="2"/>
  <c r="Z332" i="2"/>
  <c r="AA332" i="3"/>
  <c r="E331" i="3"/>
  <c r="E334" i="2" l="1"/>
  <c r="Y335" i="2"/>
  <c r="G333" i="3"/>
  <c r="Z334" i="3"/>
  <c r="B346" i="5"/>
  <c r="K345" i="5"/>
  <c r="C345" i="5"/>
  <c r="L345" i="5" s="1"/>
  <c r="E332" i="3"/>
  <c r="AA333" i="3"/>
  <c r="G332" i="2"/>
  <c r="Z333" i="2"/>
  <c r="AA334" i="3" l="1"/>
  <c r="E333" i="3"/>
  <c r="K346" i="5"/>
  <c r="B347" i="5"/>
  <c r="C346" i="5"/>
  <c r="L346" i="5" s="1"/>
  <c r="E335" i="2"/>
  <c r="Y336" i="2"/>
  <c r="G334" i="3"/>
  <c r="Z335" i="3"/>
  <c r="G333" i="2"/>
  <c r="Z334" i="2"/>
  <c r="Z336" i="3" l="1"/>
  <c r="G335" i="3"/>
  <c r="B348" i="5"/>
  <c r="K347" i="5"/>
  <c r="C347" i="5"/>
  <c r="L347" i="5" s="1"/>
  <c r="Z335" i="2"/>
  <c r="G334" i="2"/>
  <c r="AA335" i="3"/>
  <c r="E334" i="3"/>
  <c r="E336" i="2"/>
  <c r="Y337" i="2"/>
  <c r="E337" i="2" l="1"/>
  <c r="Y338" i="2"/>
  <c r="K348" i="5"/>
  <c r="C348" i="5"/>
  <c r="L348" i="5" s="1"/>
  <c r="B349" i="5"/>
  <c r="Z337" i="3"/>
  <c r="G336" i="3"/>
  <c r="Z336" i="2"/>
  <c r="G335" i="2"/>
  <c r="AA336" i="3"/>
  <c r="E335" i="3"/>
  <c r="Z338" i="3" l="1"/>
  <c r="G337" i="3"/>
  <c r="G336" i="2"/>
  <c r="Z337" i="2"/>
  <c r="C349" i="5"/>
  <c r="L349" i="5" s="1"/>
  <c r="K349" i="5"/>
  <c r="B350" i="5"/>
  <c r="AA337" i="3"/>
  <c r="E336" i="3"/>
  <c r="E338" i="2"/>
  <c r="Y339" i="2"/>
  <c r="AA338" i="3" l="1"/>
  <c r="E337" i="3"/>
  <c r="B351" i="5"/>
  <c r="K350" i="5"/>
  <c r="C350" i="5"/>
  <c r="L350" i="5" s="1"/>
  <c r="Z338" i="2"/>
  <c r="G337" i="2"/>
  <c r="E339" i="2"/>
  <c r="Y340" i="2"/>
  <c r="Z339" i="3"/>
  <c r="G338" i="3"/>
  <c r="G338" i="2" l="1"/>
  <c r="Z339" i="2"/>
  <c r="K351" i="5"/>
  <c r="B352" i="5"/>
  <c r="C351" i="5"/>
  <c r="L351" i="5" s="1"/>
  <c r="G339" i="3"/>
  <c r="Z340" i="3"/>
  <c r="E340" i="2"/>
  <c r="Y341" i="2"/>
  <c r="AA339" i="3"/>
  <c r="E338" i="3"/>
  <c r="E341" i="2" l="1"/>
  <c r="Y342" i="2"/>
  <c r="C352" i="5"/>
  <c r="L352" i="5" s="1"/>
  <c r="B353" i="5"/>
  <c r="K352" i="5"/>
  <c r="Z341" i="3"/>
  <c r="G340" i="3"/>
  <c r="Z340" i="2"/>
  <c r="G339" i="2"/>
  <c r="AA340" i="3"/>
  <c r="E339" i="3"/>
  <c r="G341" i="3" l="1"/>
  <c r="Z342" i="3"/>
  <c r="K353" i="5"/>
  <c r="B354" i="5"/>
  <c r="C353" i="5"/>
  <c r="L353" i="5" s="1"/>
  <c r="E340" i="3"/>
  <c r="AA341" i="3"/>
  <c r="E342" i="2"/>
  <c r="Y343" i="2"/>
  <c r="G340" i="2"/>
  <c r="Z341" i="2"/>
  <c r="AA342" i="3" l="1"/>
  <c r="E341" i="3"/>
  <c r="G342" i="3"/>
  <c r="Z343" i="3"/>
  <c r="K354" i="5"/>
  <c r="C354" i="5"/>
  <c r="L354" i="5" s="1"/>
  <c r="B355" i="5"/>
  <c r="G341" i="2"/>
  <c r="Z342" i="2"/>
  <c r="E343" i="2"/>
  <c r="Y344" i="2"/>
  <c r="C355" i="5" l="1"/>
  <c r="L355" i="5" s="1"/>
  <c r="K355" i="5"/>
  <c r="B356" i="5"/>
  <c r="Z344" i="3"/>
  <c r="G343" i="3"/>
  <c r="E344" i="2"/>
  <c r="Y345" i="2"/>
  <c r="G342" i="2"/>
  <c r="Z343" i="2"/>
  <c r="E342" i="3"/>
  <c r="AA343" i="3"/>
  <c r="B357" i="5" l="1"/>
  <c r="C356" i="5"/>
  <c r="L356" i="5" s="1"/>
  <c r="K356" i="5"/>
  <c r="E345" i="2"/>
  <c r="Y346" i="2"/>
  <c r="AA344" i="3"/>
  <c r="E343" i="3"/>
  <c r="Z345" i="3"/>
  <c r="G344" i="3"/>
  <c r="Z344" i="2"/>
  <c r="G343" i="2"/>
  <c r="Z346" i="3" l="1"/>
  <c r="G345" i="3"/>
  <c r="AA345" i="3"/>
  <c r="E344" i="3"/>
  <c r="E346" i="2"/>
  <c r="Y347" i="2"/>
  <c r="G344" i="2"/>
  <c r="Z345" i="2"/>
  <c r="K357" i="5"/>
  <c r="C357" i="5"/>
  <c r="L357" i="5" s="1"/>
  <c r="B358" i="5"/>
  <c r="Z346" i="2" l="1"/>
  <c r="G345" i="2"/>
  <c r="E347" i="2"/>
  <c r="Y348" i="2"/>
  <c r="B359" i="5"/>
  <c r="K358" i="5"/>
  <c r="C358" i="5"/>
  <c r="L358" i="5" s="1"/>
  <c r="E345" i="3"/>
  <c r="AA346" i="3"/>
  <c r="Z347" i="3"/>
  <c r="G346" i="3"/>
  <c r="K359" i="5" l="1"/>
  <c r="C359" i="5"/>
  <c r="L359" i="5" s="1"/>
  <c r="B360" i="5"/>
  <c r="E348" i="2"/>
  <c r="Y349" i="2"/>
  <c r="G347" i="3"/>
  <c r="Z348" i="3"/>
  <c r="AA347" i="3"/>
  <c r="E346" i="3"/>
  <c r="Z347" i="2"/>
  <c r="G346" i="2"/>
  <c r="C360" i="5" l="1"/>
  <c r="L360" i="5" s="1"/>
  <c r="B361" i="5"/>
  <c r="K360" i="5"/>
  <c r="Z348" i="2"/>
  <c r="G347" i="2"/>
  <c r="AA348" i="3"/>
  <c r="E347" i="3"/>
  <c r="Z349" i="3"/>
  <c r="G348" i="3"/>
  <c r="E349" i="2"/>
  <c r="Y350" i="2"/>
  <c r="G349" i="3" l="1"/>
  <c r="Z350" i="3"/>
  <c r="Z349" i="2"/>
  <c r="G348" i="2"/>
  <c r="E350" i="2"/>
  <c r="Y351" i="2"/>
  <c r="K361" i="5"/>
  <c r="B362" i="5"/>
  <c r="C361" i="5"/>
  <c r="L361" i="5" s="1"/>
  <c r="E348" i="3"/>
  <c r="AA349" i="3"/>
  <c r="E351" i="2" l="1"/>
  <c r="Y352" i="2"/>
  <c r="B363" i="5"/>
  <c r="C362" i="5"/>
  <c r="L362" i="5" s="1"/>
  <c r="K362" i="5"/>
  <c r="G349" i="2"/>
  <c r="Z350" i="2"/>
  <c r="G350" i="3"/>
  <c r="Z351" i="3"/>
  <c r="E349" i="3"/>
  <c r="AA350" i="3"/>
  <c r="AA351" i="3" l="1"/>
  <c r="E350" i="3"/>
  <c r="Z351" i="2"/>
  <c r="G350" i="2"/>
  <c r="K363" i="5"/>
  <c r="B364" i="5"/>
  <c r="C363" i="5"/>
  <c r="L363" i="5" s="1"/>
  <c r="E352" i="2"/>
  <c r="Y353" i="2"/>
  <c r="Z352" i="3"/>
  <c r="G351" i="3"/>
  <c r="B365" i="5" l="1"/>
  <c r="K364" i="5"/>
  <c r="C364" i="5"/>
  <c r="L364" i="5" s="1"/>
  <c r="G351" i="2"/>
  <c r="Z352" i="2"/>
  <c r="Z353" i="3"/>
  <c r="G352" i="3"/>
  <c r="E353" i="2"/>
  <c r="Y354" i="2"/>
  <c r="AA352" i="3"/>
  <c r="E351" i="3"/>
  <c r="Z354" i="3" l="1"/>
  <c r="G353" i="3"/>
  <c r="Z353" i="2"/>
  <c r="G352" i="2"/>
  <c r="AA353" i="3"/>
  <c r="E352" i="3"/>
  <c r="E354" i="2"/>
  <c r="Y355" i="2"/>
  <c r="B366" i="5"/>
  <c r="C365" i="5"/>
  <c r="L365" i="5" s="1"/>
  <c r="K365" i="5"/>
  <c r="E355" i="2" l="1"/>
  <c r="Y356" i="2"/>
  <c r="G353" i="2"/>
  <c r="Z354" i="2"/>
  <c r="AA354" i="3"/>
  <c r="E353" i="3"/>
  <c r="B367" i="5"/>
  <c r="K366" i="5"/>
  <c r="C366" i="5"/>
  <c r="L366" i="5" s="1"/>
  <c r="Z355" i="3"/>
  <c r="G354" i="3"/>
  <c r="C367" i="5" l="1"/>
  <c r="L367" i="5" s="1"/>
  <c r="B371" i="5"/>
  <c r="K367" i="5"/>
  <c r="AA355" i="3"/>
  <c r="E354" i="3"/>
  <c r="Z355" i="2"/>
  <c r="G354" i="2"/>
  <c r="Z356" i="3"/>
  <c r="G355" i="3"/>
  <c r="E356" i="2"/>
  <c r="Y357" i="2"/>
  <c r="AF96" i="3"/>
  <c r="AF90" i="3"/>
  <c r="AE93" i="3"/>
  <c r="AH93" i="3" s="1"/>
  <c r="AI93" i="3" s="1"/>
  <c r="AF95" i="3"/>
  <c r="AF92" i="3"/>
  <c r="AE96" i="3"/>
  <c r="AF93" i="3"/>
  <c r="AE94" i="3"/>
  <c r="AH94" i="3" s="1"/>
  <c r="AI94" i="3" s="1"/>
  <c r="AF94" i="3"/>
  <c r="AE90" i="3"/>
  <c r="AF91" i="3"/>
  <c r="AE92" i="3"/>
  <c r="AH92" i="3" s="1"/>
  <c r="AI92" i="3" s="1"/>
  <c r="AE95" i="3"/>
  <c r="AH95" i="3" s="1"/>
  <c r="AI95" i="3" s="1"/>
  <c r="AE91" i="3"/>
  <c r="Z357" i="3" l="1"/>
  <c r="G356" i="3"/>
  <c r="AC93" i="2"/>
  <c r="AC94" i="2"/>
  <c r="AD96" i="2"/>
  <c r="AD91" i="2"/>
  <c r="AC92" i="2"/>
  <c r="AD95" i="2"/>
  <c r="AC97" i="2"/>
  <c r="AC96" i="2"/>
  <c r="AC91" i="2"/>
  <c r="AC95" i="2"/>
  <c r="AD94" i="2"/>
  <c r="AD93" i="2"/>
  <c r="AD92" i="2"/>
  <c r="AD97" i="2"/>
  <c r="AE97" i="2" s="1"/>
  <c r="C13" i="1" s="1"/>
  <c r="Z356" i="2"/>
  <c r="G355" i="2"/>
  <c r="AA356" i="3"/>
  <c r="E355" i="3"/>
  <c r="E357" i="2"/>
  <c r="Y358" i="2"/>
  <c r="C371" i="5"/>
  <c r="L371" i="5" s="1"/>
  <c r="K371" i="5"/>
  <c r="B372" i="5"/>
  <c r="AH90" i="3"/>
  <c r="AI90" i="3" s="1"/>
  <c r="AH91" i="3"/>
  <c r="AI91" i="3" s="1"/>
  <c r="AH96" i="3"/>
  <c r="AI96" i="3" s="1"/>
  <c r="E67" i="1" l="1"/>
  <c r="E46" i="1"/>
  <c r="E53" i="1"/>
  <c r="E60" i="1"/>
  <c r="AF95" i="2"/>
  <c r="AE95" i="2"/>
  <c r="C11" i="1" s="1"/>
  <c r="AE92" i="2"/>
  <c r="C8" i="1" s="1"/>
  <c r="AE93" i="2"/>
  <c r="C9" i="1" s="1"/>
  <c r="AE94" i="2"/>
  <c r="C10" i="1" s="1"/>
  <c r="AE96" i="2"/>
  <c r="C12" i="1" s="1"/>
  <c r="AE91" i="2"/>
  <c r="C7" i="1" s="1"/>
  <c r="E356" i="3"/>
  <c r="AA357" i="3"/>
  <c r="AJ90" i="3"/>
  <c r="E358" i="2"/>
  <c r="Y359" i="2"/>
  <c r="B373" i="5"/>
  <c r="K372" i="5"/>
  <c r="C372" i="5"/>
  <c r="L372" i="5" s="1"/>
  <c r="G356" i="2"/>
  <c r="Z357" i="2"/>
  <c r="G357" i="3"/>
  <c r="Z358" i="3"/>
  <c r="E55" i="1" l="1"/>
  <c r="E62" i="1"/>
  <c r="E41" i="1"/>
  <c r="E69" i="1"/>
  <c r="E48" i="1"/>
  <c r="E54" i="1"/>
  <c r="E68" i="1"/>
  <c r="E47" i="1"/>
  <c r="AF91" i="2"/>
  <c r="AF92" i="2"/>
  <c r="E65" i="1"/>
  <c r="E44" i="1"/>
  <c r="E58" i="1"/>
  <c r="E51" i="1"/>
  <c r="C373" i="5"/>
  <c r="L373" i="5" s="1"/>
  <c r="B374" i="5"/>
  <c r="K373" i="5"/>
  <c r="E66" i="1"/>
  <c r="E45" i="1"/>
  <c r="E52" i="1"/>
  <c r="E59" i="1"/>
  <c r="E359" i="2"/>
  <c r="Y360" i="2"/>
  <c r="AF96" i="2"/>
  <c r="G358" i="3"/>
  <c r="Z359" i="3"/>
  <c r="AF94" i="2"/>
  <c r="G53" i="1"/>
  <c r="F53" i="1"/>
  <c r="E63" i="1"/>
  <c r="E49" i="1"/>
  <c r="E70" i="1"/>
  <c r="E56" i="1"/>
  <c r="E42" i="1"/>
  <c r="G46" i="1"/>
  <c r="F46" i="1"/>
  <c r="E64" i="1"/>
  <c r="E43" i="1"/>
  <c r="E71" i="1"/>
  <c r="E50" i="1"/>
  <c r="E57" i="1"/>
  <c r="G60" i="1"/>
  <c r="F60" i="1"/>
  <c r="Z358" i="2"/>
  <c r="G357" i="2"/>
  <c r="E357" i="3"/>
  <c r="AA358" i="3"/>
  <c r="AF93" i="2"/>
  <c r="G67" i="1"/>
  <c r="F67" i="1"/>
  <c r="C374" i="5" l="1"/>
  <c r="L374" i="5" s="1"/>
  <c r="B375" i="5"/>
  <c r="K374" i="5"/>
  <c r="G47" i="1"/>
  <c r="F47" i="1"/>
  <c r="G50" i="1"/>
  <c r="F50" i="1"/>
  <c r="G42" i="1"/>
  <c r="F42" i="1"/>
  <c r="G57" i="1"/>
  <c r="F57" i="1"/>
  <c r="G56" i="1"/>
  <c r="F56" i="1"/>
  <c r="E360" i="2"/>
  <c r="Y361" i="2"/>
  <c r="G68" i="1"/>
  <c r="F68" i="1"/>
  <c r="F70" i="1"/>
  <c r="G70" i="1"/>
  <c r="G51" i="1"/>
  <c r="F51" i="1"/>
  <c r="F54" i="1"/>
  <c r="G54" i="1"/>
  <c r="F49" i="1"/>
  <c r="G49" i="1"/>
  <c r="G43" i="1"/>
  <c r="F43" i="1"/>
  <c r="G63" i="1"/>
  <c r="F63" i="1"/>
  <c r="G52" i="1"/>
  <c r="F52" i="1"/>
  <c r="F44" i="1"/>
  <c r="G44" i="1"/>
  <c r="G69" i="1"/>
  <c r="F69" i="1"/>
  <c r="AA359" i="3"/>
  <c r="E358" i="3"/>
  <c r="G71" i="1"/>
  <c r="F71" i="1"/>
  <c r="G59" i="1"/>
  <c r="F59" i="1"/>
  <c r="F58" i="1"/>
  <c r="G58" i="1"/>
  <c r="G48" i="1"/>
  <c r="F48" i="1"/>
  <c r="G64" i="1"/>
  <c r="F64" i="1"/>
  <c r="G45" i="1"/>
  <c r="F45" i="1"/>
  <c r="F65" i="1"/>
  <c r="G65" i="1"/>
  <c r="G41" i="1"/>
  <c r="F41" i="1"/>
  <c r="E72" i="1"/>
  <c r="E73" i="1" s="1"/>
  <c r="Z360" i="3"/>
  <c r="G359" i="3"/>
  <c r="F66" i="1"/>
  <c r="G66" i="1"/>
  <c r="G62" i="1"/>
  <c r="F62" i="1"/>
  <c r="G358" i="2"/>
  <c r="Z359" i="2"/>
  <c r="AF97" i="2"/>
  <c r="G55" i="1"/>
  <c r="F55" i="1"/>
  <c r="Z360" i="2" l="1"/>
  <c r="G359" i="2"/>
  <c r="Z361" i="3"/>
  <c r="G360" i="3"/>
  <c r="E361" i="2"/>
  <c r="Y362" i="2"/>
  <c r="AA360" i="3"/>
  <c r="E359" i="3"/>
  <c r="B376" i="5"/>
  <c r="K375" i="5"/>
  <c r="C375" i="5"/>
  <c r="L375" i="5" s="1"/>
  <c r="E362" i="2" l="1"/>
  <c r="Y363" i="2"/>
  <c r="B377" i="5"/>
  <c r="C376" i="5"/>
  <c r="L376" i="5" s="1"/>
  <c r="K376" i="5"/>
  <c r="Z362" i="3"/>
  <c r="G361" i="3"/>
  <c r="AA361" i="3"/>
  <c r="E360" i="3"/>
  <c r="G360" i="2"/>
  <c r="Z361" i="2"/>
  <c r="E363" i="2" l="1"/>
  <c r="Y364" i="2"/>
  <c r="Z362" i="2"/>
  <c r="G361" i="2"/>
  <c r="AA362" i="3"/>
  <c r="E361" i="3"/>
  <c r="B378" i="5"/>
  <c r="K377" i="5"/>
  <c r="C377" i="5"/>
  <c r="L377" i="5" s="1"/>
  <c r="G362" i="3"/>
  <c r="Z363" i="3"/>
  <c r="E364" i="2" l="1"/>
  <c r="Y365" i="2"/>
  <c r="K378" i="5"/>
  <c r="C378" i="5"/>
  <c r="L378" i="5" s="1"/>
  <c r="B379" i="5"/>
  <c r="AA363" i="3"/>
  <c r="E362" i="3"/>
  <c r="Z364" i="3"/>
  <c r="G363" i="3"/>
  <c r="G362" i="2"/>
  <c r="Z363" i="2"/>
  <c r="Z364" i="2" l="1"/>
  <c r="G363" i="2"/>
  <c r="Z365" i="3"/>
  <c r="G364" i="3"/>
  <c r="AA364" i="3"/>
  <c r="E363" i="3"/>
  <c r="E365" i="2"/>
  <c r="Y366" i="2"/>
  <c r="C379" i="5"/>
  <c r="L379" i="5" s="1"/>
  <c r="B380" i="5"/>
  <c r="K379" i="5"/>
  <c r="E366" i="2" l="1"/>
  <c r="Y367" i="2"/>
  <c r="AA365" i="3"/>
  <c r="E364" i="3"/>
  <c r="G365" i="3"/>
  <c r="Z366" i="3"/>
  <c r="B381" i="5"/>
  <c r="K380" i="5"/>
  <c r="C380" i="5"/>
  <c r="L380" i="5" s="1"/>
  <c r="G364" i="2"/>
  <c r="Z365" i="2"/>
  <c r="Z366" i="2" l="1"/>
  <c r="G365" i="2"/>
  <c r="G366" i="3"/>
  <c r="Z367" i="3"/>
  <c r="AA366" i="3"/>
  <c r="E365" i="3"/>
  <c r="K381" i="5"/>
  <c r="C381" i="5"/>
  <c r="L381" i="5" s="1"/>
  <c r="B382" i="5"/>
  <c r="E367" i="2"/>
  <c r="Y368" i="2"/>
  <c r="AA367" i="3" l="1"/>
  <c r="E366" i="3"/>
  <c r="G367" i="3"/>
  <c r="Z368" i="3"/>
  <c r="E368" i="2"/>
  <c r="Y369" i="2"/>
  <c r="C382" i="5"/>
  <c r="L382" i="5" s="1"/>
  <c r="B383" i="5"/>
  <c r="K382" i="5"/>
  <c r="G366" i="2"/>
  <c r="Z367" i="2"/>
  <c r="C383" i="5" l="1"/>
  <c r="L383" i="5" s="1"/>
  <c r="B384" i="5"/>
  <c r="K383" i="5"/>
  <c r="E369" i="2"/>
  <c r="Y370" i="2"/>
  <c r="Z369" i="3"/>
  <c r="G368" i="3"/>
  <c r="Z368" i="2"/>
  <c r="G367" i="2"/>
  <c r="AA368" i="3"/>
  <c r="E367" i="3"/>
  <c r="Z369" i="2" l="1"/>
  <c r="G368" i="2"/>
  <c r="Z370" i="3"/>
  <c r="G369" i="3"/>
  <c r="AA369" i="3"/>
  <c r="E368" i="3"/>
  <c r="B385" i="5"/>
  <c r="C384" i="5"/>
  <c r="L384" i="5" s="1"/>
  <c r="K384" i="5"/>
  <c r="E370" i="2"/>
  <c r="Y371" i="2"/>
  <c r="AA370" i="3" l="1"/>
  <c r="E369" i="3"/>
  <c r="B386" i="5"/>
  <c r="K385" i="5"/>
  <c r="C385" i="5"/>
  <c r="L385" i="5" s="1"/>
  <c r="E371" i="2"/>
  <c r="Y372" i="2"/>
  <c r="Z371" i="3"/>
  <c r="G370" i="3"/>
  <c r="Z370" i="2"/>
  <c r="G369" i="2"/>
  <c r="Z371" i="2" l="1"/>
  <c r="G370" i="2"/>
  <c r="Z372" i="3"/>
  <c r="G371" i="3"/>
  <c r="E372" i="2"/>
  <c r="Y373" i="2"/>
  <c r="K386" i="5"/>
  <c r="C386" i="5"/>
  <c r="L386" i="5" s="1"/>
  <c r="B387" i="5"/>
  <c r="AA371" i="3"/>
  <c r="E370" i="3"/>
  <c r="E373" i="2" l="1"/>
  <c r="Y374" i="2"/>
  <c r="Z373" i="3"/>
  <c r="G372" i="3"/>
  <c r="AA372" i="3"/>
  <c r="E371" i="3"/>
  <c r="C387" i="5"/>
  <c r="L387" i="5" s="1"/>
  <c r="K387" i="5"/>
  <c r="B388" i="5"/>
  <c r="G371" i="2"/>
  <c r="Z372" i="2"/>
  <c r="E372" i="3" l="1"/>
  <c r="AA373" i="3"/>
  <c r="Z373" i="2"/>
  <c r="G372" i="2"/>
  <c r="G373" i="3"/>
  <c r="Z374" i="3"/>
  <c r="E374" i="2"/>
  <c r="Y375" i="2"/>
  <c r="B389" i="5"/>
  <c r="K388" i="5"/>
  <c r="C388" i="5"/>
  <c r="L388" i="5" s="1"/>
  <c r="G373" i="2" l="1"/>
  <c r="Z374" i="2"/>
  <c r="AA374" i="3"/>
  <c r="E373" i="3"/>
  <c r="E375" i="2"/>
  <c r="Y376" i="2"/>
  <c r="G374" i="3"/>
  <c r="Z375" i="3"/>
  <c r="B390" i="5"/>
  <c r="K389" i="5"/>
  <c r="C389" i="5"/>
  <c r="L389" i="5" s="1"/>
  <c r="Z376" i="3" l="1"/>
  <c r="G375" i="3"/>
  <c r="E374" i="3"/>
  <c r="AA375" i="3"/>
  <c r="E376" i="2"/>
  <c r="Y377" i="2"/>
  <c r="Z375" i="2"/>
  <c r="G374" i="2"/>
  <c r="C390" i="5"/>
  <c r="L390" i="5" s="1"/>
  <c r="K390" i="5"/>
  <c r="B391" i="5"/>
  <c r="AA376" i="3" l="1"/>
  <c r="E375" i="3"/>
  <c r="B392" i="5"/>
  <c r="K391" i="5"/>
  <c r="C391" i="5"/>
  <c r="L391" i="5" s="1"/>
  <c r="G375" i="2"/>
  <c r="Z376" i="2"/>
  <c r="E377" i="2"/>
  <c r="Y378" i="2"/>
  <c r="Z377" i="3"/>
  <c r="G376" i="3"/>
  <c r="Z377" i="2" l="1"/>
  <c r="G376" i="2"/>
  <c r="C392" i="5"/>
  <c r="L392" i="5" s="1"/>
  <c r="K392" i="5"/>
  <c r="B393" i="5"/>
  <c r="Z378" i="3"/>
  <c r="G377" i="3"/>
  <c r="E378" i="2"/>
  <c r="Y379" i="2"/>
  <c r="AA377" i="3"/>
  <c r="E376" i="3"/>
  <c r="Z379" i="3" l="1"/>
  <c r="G378" i="3"/>
  <c r="C393" i="5"/>
  <c r="L393" i="5" s="1"/>
  <c r="K393" i="5"/>
  <c r="B394" i="5"/>
  <c r="E377" i="3"/>
  <c r="AA378" i="3"/>
  <c r="E379" i="2"/>
  <c r="Y380" i="2"/>
  <c r="G377" i="2"/>
  <c r="Z378" i="2"/>
  <c r="K394" i="5" l="1"/>
  <c r="B395" i="5"/>
  <c r="C394" i="5"/>
  <c r="L394" i="5" s="1"/>
  <c r="AA379" i="3"/>
  <c r="E378" i="3"/>
  <c r="Z379" i="2"/>
  <c r="G378" i="2"/>
  <c r="E380" i="2"/>
  <c r="Y381" i="2"/>
  <c r="Z380" i="3"/>
  <c r="G379" i="3"/>
  <c r="G379" i="2" l="1"/>
  <c r="Z380" i="2"/>
  <c r="AA380" i="3"/>
  <c r="E379" i="3"/>
  <c r="C395" i="5"/>
  <c r="L395" i="5" s="1"/>
  <c r="B396" i="5"/>
  <c r="K395" i="5"/>
  <c r="Z381" i="3"/>
  <c r="G380" i="3"/>
  <c r="E381" i="2"/>
  <c r="Y382" i="2"/>
  <c r="G381" i="3" l="1"/>
  <c r="Z382" i="3"/>
  <c r="B397" i="5"/>
  <c r="C396" i="5"/>
  <c r="L396" i="5" s="1"/>
  <c r="K396" i="5"/>
  <c r="AA381" i="3"/>
  <c r="E380" i="3"/>
  <c r="E382" i="2"/>
  <c r="Y383" i="2"/>
  <c r="Z381" i="2"/>
  <c r="G380" i="2"/>
  <c r="E381" i="3" l="1"/>
  <c r="AA382" i="3"/>
  <c r="B398" i="5"/>
  <c r="C397" i="5"/>
  <c r="L397" i="5" s="1"/>
  <c r="K397" i="5"/>
  <c r="E383" i="2"/>
  <c r="Y384" i="2"/>
  <c r="G381" i="2"/>
  <c r="Z382" i="2"/>
  <c r="G382" i="3"/>
  <c r="Z383" i="3"/>
  <c r="K398" i="5" l="1"/>
  <c r="B399" i="5"/>
  <c r="C398" i="5"/>
  <c r="L398" i="5" s="1"/>
  <c r="E384" i="2"/>
  <c r="Y385" i="2"/>
  <c r="E385" i="2" s="1"/>
  <c r="F20" i="1" s="1" a="1"/>
  <c r="F20" i="1" s="1"/>
  <c r="F21" i="1" s="1"/>
  <c r="Z384" i="3"/>
  <c r="G383" i="3"/>
  <c r="E382" i="3"/>
  <c r="AA383" i="3"/>
  <c r="Z383" i="2"/>
  <c r="G382" i="2"/>
  <c r="Z385" i="3" l="1"/>
  <c r="G385" i="3" s="1"/>
  <c r="G384" i="3"/>
  <c r="G383" i="2"/>
  <c r="Z384" i="2"/>
  <c r="B400" i="5"/>
  <c r="K399" i="5"/>
  <c r="C399" i="5"/>
  <c r="L399" i="5" s="1"/>
  <c r="AA384" i="3"/>
  <c r="E383" i="3"/>
  <c r="AA385" i="3" l="1"/>
  <c r="E385" i="3" s="1"/>
  <c r="E384" i="3"/>
  <c r="C400" i="5"/>
  <c r="L400" i="5" s="1"/>
  <c r="B401" i="5"/>
  <c r="K400" i="5"/>
  <c r="Z385" i="2"/>
  <c r="G385" i="2" s="1"/>
  <c r="G384" i="2"/>
  <c r="AF98" i="3"/>
  <c r="AF102" i="3"/>
  <c r="AE98" i="3"/>
  <c r="AH98" i="3" s="1"/>
  <c r="AI98" i="3" s="1"/>
  <c r="AF97" i="3"/>
  <c r="AF101" i="3"/>
  <c r="AE102" i="3"/>
  <c r="AH102" i="3" s="1"/>
  <c r="AI102" i="3" s="1"/>
  <c r="AF100" i="3"/>
  <c r="AE103" i="3"/>
  <c r="AE100" i="3"/>
  <c r="AH100" i="3" s="1"/>
  <c r="AI100" i="3" s="1"/>
  <c r="AE101" i="3"/>
  <c r="AE99" i="3"/>
  <c r="AF103" i="3"/>
  <c r="AE97" i="3"/>
  <c r="AH97" i="3" s="1"/>
  <c r="AI97" i="3" s="1"/>
  <c r="AF99" i="3"/>
  <c r="AH103" i="3" l="1"/>
  <c r="AI103" i="3" s="1"/>
  <c r="AC100" i="2"/>
  <c r="AD101" i="2"/>
  <c r="AD104" i="2"/>
  <c r="AE104" i="2" s="1"/>
  <c r="AD100" i="2"/>
  <c r="AD99" i="2"/>
  <c r="AD102" i="2"/>
  <c r="AD98" i="2"/>
  <c r="AC98" i="2"/>
  <c r="AD103" i="2"/>
  <c r="AC99" i="2"/>
  <c r="AC103" i="2"/>
  <c r="AC101" i="2"/>
  <c r="AC104" i="2"/>
  <c r="AC102" i="2"/>
  <c r="C401" i="5"/>
  <c r="L401" i="5" s="1"/>
  <c r="K401" i="5"/>
  <c r="AH99" i="3"/>
  <c r="AI99" i="3" s="1"/>
  <c r="AJ97" i="3" s="1"/>
  <c r="AH101" i="3"/>
  <c r="AI101" i="3" s="1"/>
  <c r="AE98" i="2" l="1"/>
  <c r="AF98" i="2" s="1"/>
  <c r="AE102" i="2"/>
  <c r="AF102" i="2" s="1"/>
  <c r="AE99" i="2"/>
  <c r="AF99" i="2" s="1"/>
  <c r="AE100" i="2"/>
  <c r="AF100" i="2" s="1"/>
  <c r="AE101" i="2"/>
  <c r="AF101" i="2" s="1"/>
  <c r="AE103" i="2"/>
  <c r="AF103" i="2" s="1"/>
  <c r="AF104"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G6" authorId="0" shapeId="0" xr:uid="{00000000-0006-0000-0100-000006000000}">
      <text>
        <r>
          <rPr>
            <sz val="12"/>
            <color theme="1"/>
            <rFont val="Aptos Narrow"/>
            <scheme val="minor"/>
          </rPr>
          <t>======
ID#AAABl0hclag
    (2025-06-19 09:19:12)
年間目標売上を年間営業日数で割った額に月次の営業日数を掛けた額</t>
        </r>
      </text>
    </comment>
    <comment ref="M6" authorId="0" shapeId="0" xr:uid="{00000000-0006-0000-0100-000001000000}">
      <text>
        <r>
          <rPr>
            <sz val="12"/>
            <color theme="1"/>
            <rFont val="Aptos Narrow"/>
            <scheme val="minor"/>
          </rPr>
          <t>======
ID#AAABl0hcleI
    (2025-06-19 09:19:12)
実質の月間売上額</t>
        </r>
      </text>
    </comment>
    <comment ref="N6" authorId="0" shapeId="0" xr:uid="{00000000-0006-0000-0100-000002000000}">
      <text>
        <r>
          <rPr>
            <sz val="12"/>
            <color theme="1"/>
            <rFont val="Aptos Narrow"/>
            <scheme val="minor"/>
          </rPr>
          <t>======
ID#AAABl0hcleQ
    (2025-06-19 09:19:12)
実質の月間の売上合計額から、月次の目標金額を差し引いた額</t>
        </r>
      </text>
    </comment>
    <comment ref="P6" authorId="0" shapeId="0" xr:uid="{00000000-0006-0000-0100-000004000000}">
      <text>
        <r>
          <rPr>
            <sz val="12"/>
            <color theme="1"/>
            <rFont val="Aptos Narrow"/>
            <scheme val="minor"/>
          </rPr>
          <t>======
ID#AAABl0hclcI
    (2025-06-19 09:19:12)
平均月間売上目標額からのパーセンテージ</t>
        </r>
      </text>
    </comment>
    <comment ref="Q6" authorId="0" shapeId="0" xr:uid="{00000000-0006-0000-0100-000005000000}">
      <text>
        <r>
          <rPr>
            <sz val="12"/>
            <color theme="1"/>
            <rFont val="Aptos Narrow"/>
            <scheme val="minor"/>
          </rPr>
          <t>======
ID#AAABl0hclbM
    (2025-06-19 09:19:12)
目標月間売上目標額からのパーセンテージ</t>
        </r>
      </text>
    </comment>
    <comment ref="B8" authorId="0" shapeId="0" xr:uid="{00000000-0006-0000-0100-000003000000}">
      <text>
        <r>
          <rPr>
            <sz val="12"/>
            <color theme="1"/>
            <rFont val="Aptos Narrow"/>
            <scheme val="minor"/>
          </rPr>
          <t>======
ID#AAABl0hclco
    (2025-06-19 09:19:12)
年間目標売上額を年間営業日数で割った額</t>
        </r>
      </text>
    </comment>
  </commentList>
  <extLst>
    <ext xmlns:r="http://schemas.openxmlformats.org/officeDocument/2006/relationships" uri="GoogleSheetsCustomDataVersion2">
      <go:sheetsCustomData xmlns:go="http://customooxmlschemas.google.com/" r:id="rId1" roundtripDataSignature="AMtx7mjnOQOqTyZOuXAoTk/nZB0sdIz8zQ=="/>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7" authorId="0" shapeId="0" xr:uid="{00000000-0006-0000-0800-000007000000}">
      <text>
        <r>
          <rPr>
            <sz val="12"/>
            <color theme="1"/>
            <rFont val="Aptos Narrow"/>
            <scheme val="minor"/>
          </rPr>
          <t>======
ID#AAABl0hcle8
FJ-USER    (2025-06-19 09:19:12)
1/15  3,224円
1/31　1,468円</t>
        </r>
      </text>
    </comment>
    <comment ref="F7" authorId="0" shapeId="0" xr:uid="{00000000-0006-0000-0800-000013000000}">
      <text>
        <r>
          <rPr>
            <sz val="12"/>
            <color theme="1"/>
            <rFont val="Aptos Narrow"/>
            <scheme val="minor"/>
          </rPr>
          <t>======
ID#AAABl0hcld0
FJ-USER    (2025-06-19 09:19:12)
2/14　1,280円
2/28　2,417円</t>
        </r>
      </text>
    </comment>
    <comment ref="H7" authorId="0" shapeId="0" xr:uid="{00000000-0006-0000-0800-00004E000000}">
      <text>
        <r>
          <rPr>
            <sz val="12"/>
            <color theme="1"/>
            <rFont val="Aptos Narrow"/>
            <scheme val="minor"/>
          </rPr>
          <t>======
ID#AAABl0hclaE
Owner    (2025-06-19 09:19:12)
三友新聞：取材飲食代</t>
        </r>
      </text>
    </comment>
    <comment ref="L7" authorId="0" shapeId="0" xr:uid="{00000000-0006-0000-0800-000016000000}">
      <text>
        <r>
          <rPr>
            <sz val="12"/>
            <color theme="1"/>
            <rFont val="Aptos Narrow"/>
            <scheme val="minor"/>
          </rPr>
          <t>======
ID#AAABl0hcldw
Owner    (2025-06-19 09:19:12)
5/10　ぐるなびより</t>
        </r>
      </text>
    </comment>
    <comment ref="P7" authorId="0" shapeId="0" xr:uid="{00000000-0006-0000-0800-000041000000}">
      <text>
        <r>
          <rPr>
            <sz val="12"/>
            <color theme="1"/>
            <rFont val="Aptos Narrow"/>
            <scheme val="minor"/>
          </rPr>
          <t>======
ID#AAABl0hcla4
FJ-USER    (2025-06-19 09:19:12)
ぐるなび</t>
        </r>
      </text>
    </comment>
    <comment ref="R7" authorId="0" shapeId="0" xr:uid="{00000000-0006-0000-0800-000014000000}">
      <text>
        <r>
          <rPr>
            <sz val="12"/>
            <color theme="1"/>
            <rFont val="Aptos Narrow"/>
            <scheme val="minor"/>
          </rPr>
          <t>======
ID#AAABl0hcld8
Owner    (2025-06-19 09:19:12)
ぐるなび</t>
        </r>
      </text>
    </comment>
    <comment ref="T7" authorId="0" shapeId="0" xr:uid="{00000000-0006-0000-0800-00002A000000}">
      <text>
        <r>
          <rPr>
            <sz val="12"/>
            <color theme="1"/>
            <rFont val="Aptos Narrow"/>
            <scheme val="minor"/>
          </rPr>
          <t>======
ID#AAABl0hclcU
FJ-USER    (2025-06-19 09:19:12)
ぐるなび</t>
        </r>
      </text>
    </comment>
    <comment ref="V7" authorId="0" shapeId="0" xr:uid="{00000000-0006-0000-0800-000012000000}">
      <text>
        <r>
          <rPr>
            <sz val="12"/>
            <color theme="1"/>
            <rFont val="Aptos Narrow"/>
            <scheme val="minor"/>
          </rPr>
          <t>======
ID#AAABl0hcld4
FJ-USER    (2025-06-19 09:19:12)
ぐるなび</t>
        </r>
      </text>
    </comment>
    <comment ref="X7" authorId="0" shapeId="0" xr:uid="{00000000-0006-0000-0800-00002B000000}">
      <text>
        <r>
          <rPr>
            <sz val="12"/>
            <color theme="1"/>
            <rFont val="Aptos Narrow"/>
            <scheme val="minor"/>
          </rPr>
          <t>======
ID#AAABl0hclcQ
FJ-USER    (2025-06-19 09:19:12)
ぐるなび</t>
        </r>
      </text>
    </comment>
    <comment ref="Z7" authorId="0" shapeId="0" xr:uid="{00000000-0006-0000-0800-000045000000}">
      <text>
        <r>
          <rPr>
            <sz val="12"/>
            <color theme="1"/>
            <rFont val="Aptos Narrow"/>
            <scheme val="minor"/>
          </rPr>
          <t>======
ID#AAABl0hclas
FJ-USER    (2025-06-19 09:19:12)
ぐるなび</t>
        </r>
      </text>
    </comment>
    <comment ref="C27" authorId="0" shapeId="0" xr:uid="{00000000-0006-0000-0800-00000A000000}">
      <text>
        <r>
          <rPr>
            <sz val="12"/>
            <color theme="1"/>
            <rFont val="Aptos Narrow"/>
            <scheme val="minor"/>
          </rPr>
          <t>======
ID#AAABl0hcles
Owner    (2025-06-19 09:19:12)
更新料650,000円を3年で案分して月々賃料650,000に計上
H26.4月より消費税増税により家賃改定
650,000円（税込）→668,572円（税込）
よって、4月より668,572円に更新料の分割分を加算して686,627円とする</t>
        </r>
      </text>
    </comment>
    <comment ref="C31" authorId="0" shapeId="0" xr:uid="{00000000-0006-0000-0800-00004A000000}">
      <text>
        <r>
          <rPr>
            <sz val="12"/>
            <color theme="1"/>
            <rFont val="Aptos Narrow"/>
            <scheme val="minor"/>
          </rPr>
          <t>======
ID#AAABl0hclaQ
Owner    (2025-06-19 09:19:12)
Ｈ24.5.29　三井②より振込み
6,000円／年間
2年分12,000円</t>
        </r>
      </text>
    </comment>
    <comment ref="C32" authorId="0" shapeId="0" xr:uid="{00000000-0006-0000-0800-000039000000}">
      <text>
        <r>
          <rPr>
            <sz val="12"/>
            <color theme="1"/>
            <rFont val="Aptos Narrow"/>
            <scheme val="minor"/>
          </rPr>
          <t>======
ID#AAABl0hclbY
Owner    (2025-06-19 09:19:12)
三共消毒：ゴキブリ駆除50,400円　4,200円／月
　　　　　　　（Ｈ24.4月～Ｈ25.4月）
三共消毒：ゴキブリ駆除47,250円　3 937円／月
　　　　　　　（Ｈ25.4月～Ｈ26.4月）
三共消毒：ねずみ駆除130,000円　10,834円／月
　　　　　　　（Ｈ26.1月～Ｈ27.1月）
三共消毒：補虫器レンタル　15,120円　1,260円／月
　　　　　　　(H26.1月～H27.1月)</t>
        </r>
      </text>
    </comment>
    <comment ref="D32" authorId="0" shapeId="0" xr:uid="{00000000-0006-0000-0800-000006000000}">
      <text>
        <r>
          <rPr>
            <sz val="12"/>
            <color theme="1"/>
            <rFont val="Aptos Narrow"/>
            <scheme val="minor"/>
          </rPr>
          <t>======
ID#AAABl0hcle0
Owner    (2025-06-19 09:19:12)
三共消毒年1活払い145152円</t>
        </r>
      </text>
    </comment>
    <comment ref="F32" authorId="0" shapeId="0" xr:uid="{00000000-0006-0000-0800-00002C000000}">
      <text>
        <r>
          <rPr>
            <sz val="12"/>
            <color theme="1"/>
            <rFont val="Aptos Narrow"/>
            <scheme val="minor"/>
          </rPr>
          <t>======
ID#AAABl0hclcg
Owner    (2025-06-19 09:19:12)
三共消毒年1活払い145152円</t>
        </r>
      </text>
    </comment>
    <comment ref="H32" authorId="0" shapeId="0" xr:uid="{00000000-0006-0000-0800-000018000000}">
      <text>
        <r>
          <rPr>
            <sz val="12"/>
            <color theme="1"/>
            <rFont val="Aptos Narrow"/>
            <scheme val="minor"/>
          </rPr>
          <t>======
ID#AAABl0hcleA
Owner    (2025-06-19 09:19:12)
三共消毒年1活払い145152円</t>
        </r>
      </text>
    </comment>
    <comment ref="J32" authorId="0" shapeId="0" xr:uid="{00000000-0006-0000-0800-000029000000}">
      <text>
        <r>
          <rPr>
            <sz val="12"/>
            <color theme="1"/>
            <rFont val="Aptos Narrow"/>
            <scheme val="minor"/>
          </rPr>
          <t>======
ID#AAABl0hclcM
Owner    (2025-06-19 09:19:12)
三共消毒年1活払い145152円</t>
        </r>
      </text>
    </comment>
    <comment ref="L32" authorId="0" shapeId="0" xr:uid="{00000000-0006-0000-0800-000021000000}">
      <text>
        <r>
          <rPr>
            <sz val="12"/>
            <color theme="1"/>
            <rFont val="Aptos Narrow"/>
            <scheme val="minor"/>
          </rPr>
          <t>======
ID#AAABl0hcldM
Owner    (2025-06-19 09:19:12)
三共消毒年1活払い145152円</t>
        </r>
      </text>
    </comment>
    <comment ref="N32" authorId="0" shapeId="0" xr:uid="{00000000-0006-0000-0800-000002000000}">
      <text>
        <r>
          <rPr>
            <sz val="12"/>
            <color theme="1"/>
            <rFont val="Aptos Narrow"/>
            <scheme val="minor"/>
          </rPr>
          <t>======
ID#AAABl0hclfI
Owner    (2025-06-19 09:19:12)
三共消毒年1活払い145152円</t>
        </r>
      </text>
    </comment>
    <comment ref="P32" authorId="0" shapeId="0" xr:uid="{00000000-0006-0000-0800-00004B000000}">
      <text>
        <r>
          <rPr>
            <sz val="12"/>
            <color theme="1"/>
            <rFont val="Aptos Narrow"/>
            <scheme val="minor"/>
          </rPr>
          <t>======
ID#AAABmL-n2CQ
Owner    (2025-06-19 09:19:12)
三共消毒年1活払い145152円</t>
        </r>
      </text>
    </comment>
    <comment ref="R32" authorId="0" shapeId="0" xr:uid="{00000000-0006-0000-0800-000046000000}">
      <text>
        <r>
          <rPr>
            <sz val="12"/>
            <color theme="1"/>
            <rFont val="Aptos Narrow"/>
            <scheme val="minor"/>
          </rPr>
          <t>======
ID#AAABl0hclao
Owner    (2025-06-19 09:19:12)
三共消毒年1活払い145152円</t>
        </r>
      </text>
    </comment>
    <comment ref="T32" authorId="0" shapeId="0" xr:uid="{00000000-0006-0000-0800-00001F000000}">
      <text>
        <r>
          <rPr>
            <sz val="12"/>
            <color theme="1"/>
            <rFont val="Aptos Narrow"/>
            <scheme val="minor"/>
          </rPr>
          <t>======
ID#AAABl0hclc4
Owner    (2025-06-19 09:19:12)
三共消毒年1活払い145152円</t>
        </r>
      </text>
    </comment>
    <comment ref="V32" authorId="0" shapeId="0" xr:uid="{00000000-0006-0000-0800-000025000000}">
      <text>
        <r>
          <rPr>
            <sz val="12"/>
            <color theme="1"/>
            <rFont val="Aptos Narrow"/>
            <scheme val="minor"/>
          </rPr>
          <t>======
ID#AAABl0hclc0
Owner    (2025-06-19 09:19:12)
三共消毒年1活払い145152円</t>
        </r>
      </text>
    </comment>
    <comment ref="X32" authorId="0" shapeId="0" xr:uid="{00000000-0006-0000-0800-00001D000000}">
      <text>
        <r>
          <rPr>
            <sz val="12"/>
            <color theme="1"/>
            <rFont val="Aptos Narrow"/>
            <scheme val="minor"/>
          </rPr>
          <t>======
ID#AAABl0hcldg
Owner    (2025-06-19 09:19:12)
三共消毒年1活払い145152円</t>
        </r>
      </text>
    </comment>
    <comment ref="Z32" authorId="0" shapeId="0" xr:uid="{00000000-0006-0000-0800-000023000000}">
      <text>
        <r>
          <rPr>
            <sz val="12"/>
            <color theme="1"/>
            <rFont val="Aptos Narrow"/>
            <scheme val="minor"/>
          </rPr>
          <t>======
ID#AAABl0hcldE
Owner    (2025-06-19 09:19:12)
三共消毒年1活払い145152円</t>
        </r>
      </text>
    </comment>
    <comment ref="D33" authorId="0" shapeId="0" xr:uid="{00000000-0006-0000-0800-000003000000}">
      <text>
        <r>
          <rPr>
            <sz val="12"/>
            <color theme="1"/>
            <rFont val="Aptos Narrow"/>
            <scheme val="minor"/>
          </rPr>
          <t>======
ID#AAABl0hclfE
FJ-USER    (2025-06-19 09:19:12)
マルゼン</t>
        </r>
      </text>
    </comment>
    <comment ref="F33" authorId="0" shapeId="0" xr:uid="{00000000-0006-0000-0800-00003F000000}">
      <text>
        <r>
          <rPr>
            <sz val="12"/>
            <color theme="1"/>
            <rFont val="Aptos Narrow"/>
            <scheme val="minor"/>
          </rPr>
          <t>======
ID#AAABl0hclbA
FJ-USER    (2025-06-19 09:19:12)
マルゼン</t>
        </r>
      </text>
    </comment>
    <comment ref="H33" authorId="0" shapeId="0" xr:uid="{00000000-0006-0000-0800-000037000000}">
      <text>
        <r>
          <rPr>
            <sz val="12"/>
            <color theme="1"/>
            <rFont val="Aptos Narrow"/>
            <scheme val="minor"/>
          </rPr>
          <t>======
ID#AAABl0hclbk
FJ-USER    (2025-06-19 09:19:12)
マルゼン</t>
        </r>
      </text>
    </comment>
    <comment ref="J33" authorId="0" shapeId="0" xr:uid="{00000000-0006-0000-0800-000024000000}">
      <text>
        <r>
          <rPr>
            <sz val="12"/>
            <color theme="1"/>
            <rFont val="Aptos Narrow"/>
            <scheme val="minor"/>
          </rPr>
          <t>======
ID#AAABl0hcldA
FJ-USER    (2025-06-19 09:19:12)
マルゼン</t>
        </r>
      </text>
    </comment>
    <comment ref="L33" authorId="0" shapeId="0" xr:uid="{00000000-0006-0000-0800-000033000000}">
      <text>
        <r>
          <rPr>
            <sz val="12"/>
            <color theme="1"/>
            <rFont val="Aptos Narrow"/>
            <scheme val="minor"/>
          </rPr>
          <t>======
ID#AAABl0hclbs
FJ-USER    (2025-06-19 09:19:12)
マルゼン</t>
        </r>
      </text>
    </comment>
    <comment ref="N33" authorId="0" shapeId="0" xr:uid="{00000000-0006-0000-0800-000020000000}">
      <text>
        <r>
          <rPr>
            <sz val="12"/>
            <color theme="1"/>
            <rFont val="Aptos Narrow"/>
            <scheme val="minor"/>
          </rPr>
          <t>======
ID#AAABl0hclc8
FJ-USER    (2025-06-19 09:19:12)
マルゼン</t>
        </r>
      </text>
    </comment>
    <comment ref="P33" authorId="0" shapeId="0" xr:uid="{00000000-0006-0000-0800-000048000000}">
      <text>
        <r>
          <rPr>
            <sz val="12"/>
            <color theme="1"/>
            <rFont val="Aptos Narrow"/>
            <scheme val="minor"/>
          </rPr>
          <t>======
ID#AAABl0hclaU
FJ-USER    (2025-06-19 09:19:12)
マルゼン</t>
        </r>
      </text>
    </comment>
    <comment ref="R33" authorId="0" shapeId="0" xr:uid="{00000000-0006-0000-0800-000001000000}">
      <text>
        <r>
          <rPr>
            <sz val="12"/>
            <color theme="1"/>
            <rFont val="Aptos Narrow"/>
            <scheme val="minor"/>
          </rPr>
          <t>======
ID#AAABl0hclfM
FJ-USER    (2025-06-19 09:19:12)
マルゼン</t>
        </r>
      </text>
    </comment>
    <comment ref="T33" authorId="0" shapeId="0" xr:uid="{00000000-0006-0000-0800-000050000000}">
      <text>
        <r>
          <rPr>
            <sz val="12"/>
            <color theme="1"/>
            <rFont val="Aptos Narrow"/>
            <scheme val="minor"/>
          </rPr>
          <t>======
ID#AAABl0hclaA
FJ-USER    (2025-06-19 09:19:12)
マルゼン</t>
        </r>
      </text>
    </comment>
    <comment ref="V33" authorId="0" shapeId="0" xr:uid="{00000000-0006-0000-0800-00001A000000}">
      <text>
        <r>
          <rPr>
            <sz val="12"/>
            <color theme="1"/>
            <rFont val="Aptos Narrow"/>
            <scheme val="minor"/>
          </rPr>
          <t>======
ID#AAABl0hcldQ
FJ-USER    (2025-06-19 09:19:12)
マルゼン</t>
        </r>
      </text>
    </comment>
    <comment ref="X33" authorId="0" shapeId="0" xr:uid="{00000000-0006-0000-0800-00000B000000}">
      <text>
        <r>
          <rPr>
            <sz val="12"/>
            <color theme="1"/>
            <rFont val="Aptos Narrow"/>
            <scheme val="minor"/>
          </rPr>
          <t>======
ID#AAABl0hclek
FJ-USER    (2025-06-19 09:19:12)
マルゼン</t>
        </r>
      </text>
    </comment>
    <comment ref="Z33" authorId="0" shapeId="0" xr:uid="{00000000-0006-0000-0800-000026000000}">
      <text>
        <r>
          <rPr>
            <sz val="12"/>
            <color theme="1"/>
            <rFont val="Aptos Narrow"/>
            <scheme val="minor"/>
          </rPr>
          <t>======
ID#AAABl0hclck
FJ-USER    (2025-06-19 09:19:12)
マルゼン</t>
        </r>
      </text>
    </comment>
    <comment ref="C34" authorId="0" shapeId="0" xr:uid="{00000000-0006-0000-0800-00000D000000}">
      <text>
        <r>
          <rPr>
            <sz val="12"/>
            <color theme="1"/>
            <rFont val="Aptos Narrow"/>
            <scheme val="minor"/>
          </rPr>
          <t>======
ID#AAABl0hcleg
D587    (2025-06-19 09:19:12)
ポスタス
2017年1月～</t>
        </r>
      </text>
    </comment>
    <comment ref="C35" authorId="0" shapeId="0" xr:uid="{00000000-0006-0000-0800-000052000000}">
      <text>
        <r>
          <rPr>
            <sz val="12"/>
            <color theme="1"/>
            <rFont val="Aptos Narrow"/>
            <scheme val="minor"/>
          </rPr>
          <t>======
ID#AAABmL-n2CE
D587    (2025-06-19 09:19:12)
ジャックスリース
2021.2月～</t>
        </r>
      </text>
    </comment>
    <comment ref="C36" authorId="0" shapeId="0" xr:uid="{00000000-0006-0000-0800-00000C000000}">
      <text>
        <r>
          <rPr>
            <sz val="12"/>
            <color theme="1"/>
            <rFont val="Aptos Narrow"/>
            <scheme val="minor"/>
          </rPr>
          <t>======
ID#AAABl0hcleY
D587    (2025-06-19 09:19:12)
三井住友FL
2021.4月～</t>
        </r>
      </text>
    </comment>
    <comment ref="C37" authorId="0" shapeId="0" xr:uid="{00000000-0006-0000-0800-000032000000}">
      <text>
        <r>
          <rPr>
            <sz val="12"/>
            <color theme="1"/>
            <rFont val="Aptos Narrow"/>
            <scheme val="minor"/>
          </rPr>
          <t>======
ID#AAABl0hclb4
D587    (2025-06-19 09:19:12)
SFIリーシング
2023.10.1～2024.9.30
年額34,320円（税込）</t>
        </r>
      </text>
    </comment>
    <comment ref="C38" authorId="0" shapeId="0" xr:uid="{00000000-0006-0000-0800-000009000000}">
      <text>
        <r>
          <rPr>
            <sz val="12"/>
            <color theme="1"/>
            <rFont val="Aptos Narrow"/>
            <scheme val="minor"/>
          </rPr>
          <t>======
ID#AAABl0hcleo
Owner    (2025-06-19 09:19:12)
ｷｬﾝｼｽﾃﾑ：年間25,000円÷12＝2,083円
　　　　　　　（Ｈ25.1月～Ｈ25.12月）
　　　　　　　（Ｈ26.1月～Ｈ26.12月）</t>
        </r>
      </text>
    </comment>
    <comment ref="C41" authorId="0" shapeId="0" xr:uid="{00000000-0006-0000-0800-000004000000}">
      <text>
        <r>
          <rPr>
            <sz val="12"/>
            <color theme="1"/>
            <rFont val="Aptos Narrow"/>
            <scheme val="minor"/>
          </rPr>
          <t>======
ID#AAABl0hclew
Owner    (2025-06-19 09:19:12)
（想定）40,416,398円×1.4％＝565,703円÷12ヶ月
　　　　　　　　　　　　　　　　　＝47,1427円/月
　　　　　</t>
        </r>
      </text>
    </comment>
    <comment ref="C42" authorId="0" shapeId="0" xr:uid="{00000000-0006-0000-0800-000036000000}">
      <text>
        <r>
          <rPr>
            <sz val="12"/>
            <color theme="1"/>
            <rFont val="Aptos Narrow"/>
            <scheme val="minor"/>
          </rPr>
          <t>======
ID#AAABl0hclb0
Owner    (2025-06-19 09:19:12)
4,191,441円÷12ヶ月＝349,286円／月
　</t>
        </r>
      </text>
    </comment>
    <comment ref="D42" authorId="0" shapeId="0" xr:uid="{00000000-0006-0000-0800-00003C000000}">
      <text>
        <r>
          <rPr>
            <sz val="12"/>
            <color theme="1"/>
            <rFont val="Aptos Narrow"/>
            <scheme val="minor"/>
          </rPr>
          <t>======
ID#AAABl0hclbU
DAD Design Office    (2025-06-19 09:19:12)
3849599円を12分割</t>
        </r>
      </text>
    </comment>
    <comment ref="F42" authorId="0" shapeId="0" xr:uid="{00000000-0006-0000-0800-000017000000}">
      <text>
        <r>
          <rPr>
            <sz val="12"/>
            <color theme="1"/>
            <rFont val="Aptos Narrow"/>
            <scheme val="minor"/>
          </rPr>
          <t>======
ID#AAABl0hclds
DAD Design Office    (2025-06-19 09:19:12)
3849599円を12分割</t>
        </r>
      </text>
    </comment>
    <comment ref="H42" authorId="0" shapeId="0" xr:uid="{00000000-0006-0000-0800-00000E000000}">
      <text>
        <r>
          <rPr>
            <sz val="12"/>
            <color theme="1"/>
            <rFont val="Aptos Narrow"/>
            <scheme val="minor"/>
          </rPr>
          <t>======
ID#AAABl0hclec
DAD Design Office    (2025-06-19 09:19:12)
3849599円を12分割</t>
        </r>
      </text>
    </comment>
    <comment ref="J42" authorId="0" shapeId="0" xr:uid="{00000000-0006-0000-0800-00003E000000}">
      <text>
        <r>
          <rPr>
            <sz val="12"/>
            <color theme="1"/>
            <rFont val="Aptos Narrow"/>
            <scheme val="minor"/>
          </rPr>
          <t>======
ID#AAABl0hclbE
DAD Design Office    (2025-06-19 09:19:12)
3849599円を12分割</t>
        </r>
      </text>
    </comment>
    <comment ref="L42" authorId="0" shapeId="0" xr:uid="{00000000-0006-0000-0800-000028000000}">
      <text>
        <r>
          <rPr>
            <sz val="12"/>
            <color theme="1"/>
            <rFont val="Aptos Narrow"/>
            <scheme val="minor"/>
          </rPr>
          <t>======
ID#AAABl0hclcw
DAD Design Office    (2025-06-19 09:19:12)
3849599円を12分割</t>
        </r>
      </text>
    </comment>
    <comment ref="N42" authorId="0" shapeId="0" xr:uid="{00000000-0006-0000-0800-00001C000000}">
      <text>
        <r>
          <rPr>
            <sz val="12"/>
            <color theme="1"/>
            <rFont val="Aptos Narrow"/>
            <scheme val="minor"/>
          </rPr>
          <t>======
ID#AAABl0hcldY
DAD Design Office    (2025-06-19 09:19:12)
3849599円を12分割</t>
        </r>
      </text>
    </comment>
    <comment ref="P42" authorId="0" shapeId="0" xr:uid="{00000000-0006-0000-0800-000049000000}">
      <text>
        <r>
          <rPr>
            <sz val="12"/>
            <color theme="1"/>
            <rFont val="Aptos Narrow"/>
            <scheme val="minor"/>
          </rPr>
          <t>======
ID#AAABl0hclac
DAD Design Office    (2025-06-19 09:19:12)
3849599円を12分割</t>
        </r>
      </text>
    </comment>
    <comment ref="R42" authorId="0" shapeId="0" xr:uid="{00000000-0006-0000-0800-000044000000}">
      <text>
        <r>
          <rPr>
            <sz val="12"/>
            <color theme="1"/>
            <rFont val="Aptos Narrow"/>
            <scheme val="minor"/>
          </rPr>
          <t>======
ID#AAABl0hclak
DAD Design Office    (2025-06-19 09:19:12)
3849599円を12分割</t>
        </r>
      </text>
    </comment>
    <comment ref="T42" authorId="0" shapeId="0" xr:uid="{00000000-0006-0000-0800-00003A000000}">
      <text>
        <r>
          <rPr>
            <sz val="12"/>
            <color theme="1"/>
            <rFont val="Aptos Narrow"/>
            <scheme val="minor"/>
          </rPr>
          <t>======
ID#AAABl0hclbc
DAD Design Office    (2025-06-19 09:19:12)
3849599円を12分割</t>
        </r>
      </text>
    </comment>
    <comment ref="V42" authorId="0" shapeId="0" xr:uid="{00000000-0006-0000-0800-000031000000}">
      <text>
        <r>
          <rPr>
            <sz val="12"/>
            <color theme="1"/>
            <rFont val="Aptos Narrow"/>
            <scheme val="minor"/>
          </rPr>
          <t>======
ID#AAABl0hclcA
DAD Design Office    (2025-06-19 09:19:12)
3849599円を12分割</t>
        </r>
      </text>
    </comment>
    <comment ref="X42" authorId="0" shapeId="0" xr:uid="{00000000-0006-0000-0800-000043000000}">
      <text>
        <r>
          <rPr>
            <sz val="12"/>
            <color theme="1"/>
            <rFont val="Aptos Narrow"/>
            <scheme val="minor"/>
          </rPr>
          <t>======
ID#AAABl0hcla8
DAD Design Office    (2025-06-19 09:19:12)
3849599円を12分割</t>
        </r>
      </text>
    </comment>
    <comment ref="Z42" authorId="0" shapeId="0" xr:uid="{00000000-0006-0000-0800-000035000000}">
      <text>
        <r>
          <rPr>
            <sz val="12"/>
            <color theme="1"/>
            <rFont val="Aptos Narrow"/>
            <scheme val="minor"/>
          </rPr>
          <t>======
ID#AAABl0hclbw
DAD Design Office    (2025-06-19 09:19:12)
3849599円を12分割</t>
        </r>
      </text>
    </comment>
    <comment ref="C43" authorId="0" shapeId="0" xr:uid="{00000000-0006-0000-0800-000053000000}">
      <text>
        <r>
          <rPr>
            <sz val="12"/>
            <color theme="1"/>
            <rFont val="Aptos Narrow"/>
            <scheme val="minor"/>
          </rPr>
          <t>======
ID#AAABmL-n2CI
D587    (2025-06-19 09:19:12)
あいおい損保
R6.10.2～R7.10.2
233,040円÷12か月＝19,420円</t>
        </r>
      </text>
    </comment>
    <comment ref="C48" authorId="0" shapeId="0" xr:uid="{00000000-0006-0000-0800-000034000000}">
      <text>
        <r>
          <rPr>
            <sz val="12"/>
            <color theme="1"/>
            <rFont val="Aptos Narrow"/>
            <scheme val="minor"/>
          </rPr>
          <t>======
ID#AAABl0hclbo
Owner    (2025-06-19 09:19:12)
テックエンジニアリング：ハンディ保守契約Ｈ24.3.12～Ｈ25.3.11　
　　　　　　　　　　　　　　　239,400円／年
　　　　　　　　　　　　　　　19,950円／月
テックエンジニアリング：ハンディ保守契約Ｈ25.3.12～Ｈ26.3.11　
　　　　　　　　　　　　　　　211,050円／年
　　　　　　　　　　　　　　　17,587円／月
テックエンジニアリング：ハンディ保守契約Ｈ26.3.12～Ｈ27.3.11　
　　　　　　　　　　　　　　　216,578円／年
　　　　　　　　　　　　　　　18,048円／月
ラッキーアイクレマス：コーヒーマシン保守契約　H25.1月～1年間
　　　　　　　　　　　　　　100,800円（税込）/年
　　　　　　　　　　　　　　　8,400円/月</t>
        </r>
      </text>
    </comment>
    <comment ref="D49" authorId="0" shapeId="0" xr:uid="{00000000-0006-0000-0800-00001E000000}">
      <text>
        <r>
          <rPr>
            <sz val="12"/>
            <color theme="1"/>
            <rFont val="Aptos Narrow"/>
            <scheme val="minor"/>
          </rPr>
          <t>======
ID#AAABl0hcldc
Owner    (2025-06-19 09:19:12)
1/10～2/6</t>
        </r>
      </text>
    </comment>
    <comment ref="F49" authorId="0" shapeId="0" xr:uid="{00000000-0006-0000-0800-00003D000000}">
      <text>
        <r>
          <rPr>
            <sz val="12"/>
            <color theme="1"/>
            <rFont val="Aptos Narrow"/>
            <scheme val="minor"/>
          </rPr>
          <t>======
ID#AAABl0hclbQ
Owner    (2025-06-19 09:19:12)
1/10～2/6</t>
        </r>
      </text>
    </comment>
    <comment ref="H49" authorId="0" shapeId="0" xr:uid="{00000000-0006-0000-0800-000022000000}">
      <text>
        <r>
          <rPr>
            <sz val="12"/>
            <color theme="1"/>
            <rFont val="Aptos Narrow"/>
            <scheme val="minor"/>
          </rPr>
          <t>======
ID#AAABl0hcldI
Owner    (2025-06-19 09:19:12)
1/10～2/6</t>
        </r>
      </text>
    </comment>
    <comment ref="J49" authorId="0" shapeId="0" xr:uid="{00000000-0006-0000-0800-00002E000000}">
      <text>
        <r>
          <rPr>
            <sz val="12"/>
            <color theme="1"/>
            <rFont val="Aptos Narrow"/>
            <scheme val="minor"/>
          </rPr>
          <t>======
ID#AAABl0hclcc
Owner    (2025-06-19 09:19:12)
1/10～2/6</t>
        </r>
      </text>
    </comment>
    <comment ref="L49" authorId="0" shapeId="0" xr:uid="{00000000-0006-0000-0800-00001B000000}">
      <text>
        <r>
          <rPr>
            <sz val="12"/>
            <color theme="1"/>
            <rFont val="Aptos Narrow"/>
            <scheme val="minor"/>
          </rPr>
          <t>======
ID#AAABl0hcldk
Owner    (2025-06-19 09:19:12)
1/10～2/6</t>
        </r>
      </text>
    </comment>
    <comment ref="N49" authorId="0" shapeId="0" xr:uid="{00000000-0006-0000-0800-000015000000}">
      <text>
        <r>
          <rPr>
            <sz val="12"/>
            <color theme="1"/>
            <rFont val="Aptos Narrow"/>
            <scheme val="minor"/>
          </rPr>
          <t>======
ID#AAABl0hcldo
Owner    (2025-06-19 09:19:12)
1/10～2/6</t>
        </r>
      </text>
    </comment>
    <comment ref="P49" authorId="0" shapeId="0" xr:uid="{00000000-0006-0000-0800-000047000000}">
      <text>
        <r>
          <rPr>
            <sz val="12"/>
            <color theme="1"/>
            <rFont val="Aptos Narrow"/>
            <scheme val="minor"/>
          </rPr>
          <t>======
ID#AAABl0hclaY
Owner    (2025-06-19 09:19:12)
1/10～2/6</t>
        </r>
      </text>
    </comment>
    <comment ref="R49" authorId="0" shapeId="0" xr:uid="{00000000-0006-0000-0800-000040000000}">
      <text>
        <r>
          <rPr>
            <sz val="12"/>
            <color theme="1"/>
            <rFont val="Aptos Narrow"/>
            <scheme val="minor"/>
          </rPr>
          <t>======
ID#AAABl0hclaw
Owner    (2025-06-19 09:19:12)
1/10～2/6</t>
        </r>
      </text>
    </comment>
    <comment ref="T49" authorId="0" shapeId="0" xr:uid="{00000000-0006-0000-0800-000042000000}">
      <text>
        <r>
          <rPr>
            <sz val="12"/>
            <color theme="1"/>
            <rFont val="Aptos Narrow"/>
            <scheme val="minor"/>
          </rPr>
          <t>======
ID#AAABl0hcla0
Owner    (2025-06-19 09:19:12)
1/10～2/6</t>
        </r>
      </text>
    </comment>
    <comment ref="V49" authorId="0" shapeId="0" xr:uid="{00000000-0006-0000-0800-000030000000}">
      <text>
        <r>
          <rPr>
            <sz val="12"/>
            <color theme="1"/>
            <rFont val="Aptos Narrow"/>
            <scheme val="minor"/>
          </rPr>
          <t>======
ID#AAABl0hclcE
Owner    (2025-06-19 09:19:12)
1/10～2/6</t>
        </r>
      </text>
    </comment>
    <comment ref="X49" authorId="0" shapeId="0" xr:uid="{00000000-0006-0000-0800-00002D000000}">
      <text>
        <r>
          <rPr>
            <sz val="12"/>
            <color theme="1"/>
            <rFont val="Aptos Narrow"/>
            <scheme val="minor"/>
          </rPr>
          <t>======
ID#AAABl0hclcY
Owner    (2025-06-19 09:19:12)
1/10～2/6</t>
        </r>
      </text>
    </comment>
    <comment ref="Z49" authorId="0" shapeId="0" xr:uid="{00000000-0006-0000-0800-00004D000000}">
      <text>
        <r>
          <rPr>
            <sz val="12"/>
            <color theme="1"/>
            <rFont val="Aptos Narrow"/>
            <scheme val="minor"/>
          </rPr>
          <t>======
ID#AAABl0hclaI
Owner    (2025-06-19 09:19:12)
1/10～2/6</t>
        </r>
      </text>
    </comment>
    <comment ref="D50" authorId="0" shapeId="0" xr:uid="{00000000-0006-0000-0800-000010000000}">
      <text>
        <r>
          <rPr>
            <sz val="12"/>
            <color theme="1"/>
            <rFont val="Aptos Narrow"/>
            <scheme val="minor"/>
          </rPr>
          <t>======
ID#AAABl0hcleU
FJ-USER    (2025-06-19 09:19:12)
1/8～2/1</t>
        </r>
      </text>
    </comment>
    <comment ref="F50" authorId="0" shapeId="0" xr:uid="{00000000-0006-0000-0800-000051000000}">
      <text>
        <r>
          <rPr>
            <sz val="12"/>
            <color theme="1"/>
            <rFont val="Aptos Narrow"/>
            <scheme val="minor"/>
          </rPr>
          <t>======
ID#AAABmL-n2CM
FJ-USER    (2025-06-19 09:19:12)
1/8～2/1</t>
        </r>
      </text>
    </comment>
    <comment ref="H50" authorId="0" shapeId="0" xr:uid="{00000000-0006-0000-0800-000038000000}">
      <text>
        <r>
          <rPr>
            <sz val="12"/>
            <color theme="1"/>
            <rFont val="Aptos Narrow"/>
            <scheme val="minor"/>
          </rPr>
          <t>======
ID#AAABl0hclbg
FJ-USER    (2025-06-19 09:19:12)
1/8～2/1</t>
        </r>
      </text>
    </comment>
    <comment ref="J50" authorId="0" shapeId="0" xr:uid="{00000000-0006-0000-0800-000008000000}">
      <text>
        <r>
          <rPr>
            <sz val="12"/>
            <color theme="1"/>
            <rFont val="Aptos Narrow"/>
            <scheme val="minor"/>
          </rPr>
          <t>======
ID#AAABl0hcle4
FJ-USER    (2025-06-19 09:19:12)
1/8～2/1</t>
        </r>
      </text>
    </comment>
    <comment ref="L50" authorId="0" shapeId="0" xr:uid="{00000000-0006-0000-0800-00003B000000}">
      <text>
        <r>
          <rPr>
            <sz val="12"/>
            <color theme="1"/>
            <rFont val="Aptos Narrow"/>
            <scheme val="minor"/>
          </rPr>
          <t>======
ID#AAABl0hclbI
FJ-USER    (2025-06-19 09:19:12)
1/8～2/1</t>
        </r>
      </text>
    </comment>
    <comment ref="N50" authorId="0" shapeId="0" xr:uid="{00000000-0006-0000-0800-00002F000000}">
      <text>
        <r>
          <rPr>
            <sz val="12"/>
            <color theme="1"/>
            <rFont val="Aptos Narrow"/>
            <scheme val="minor"/>
          </rPr>
          <t>======
ID#AAABl0hclb8
FJ-USER    (2025-06-19 09:19:12)
1/8～2/1</t>
        </r>
      </text>
    </comment>
    <comment ref="P50" authorId="0" shapeId="0" xr:uid="{00000000-0006-0000-0800-000011000000}">
      <text>
        <r>
          <rPr>
            <sz val="12"/>
            <color theme="1"/>
            <rFont val="Aptos Narrow"/>
            <scheme val="minor"/>
          </rPr>
          <t>======
ID#AAABl0hcleE
FJ-USER    (2025-06-19 09:19:12)
1/8～2/1</t>
        </r>
      </text>
    </comment>
    <comment ref="R50" authorId="0" shapeId="0" xr:uid="{00000000-0006-0000-0800-000019000000}">
      <text>
        <r>
          <rPr>
            <sz val="12"/>
            <color theme="1"/>
            <rFont val="Aptos Narrow"/>
            <scheme val="minor"/>
          </rPr>
          <t>======
ID#AAABl0hcldU
FJ-USER    (2025-06-19 09:19:12)
1/8～2/1</t>
        </r>
      </text>
    </comment>
    <comment ref="T50" authorId="0" shapeId="0" xr:uid="{00000000-0006-0000-0800-000027000000}">
      <text>
        <r>
          <rPr>
            <sz val="12"/>
            <color theme="1"/>
            <rFont val="Aptos Narrow"/>
            <scheme val="minor"/>
          </rPr>
          <t>======
ID#AAABl0hclcs
FJ-USER    (2025-06-19 09:19:12)
1/8～2/1</t>
        </r>
      </text>
    </comment>
    <comment ref="V50" authorId="0" shapeId="0" xr:uid="{00000000-0006-0000-0800-000005000000}">
      <text>
        <r>
          <rPr>
            <sz val="12"/>
            <color theme="1"/>
            <rFont val="Aptos Narrow"/>
            <scheme val="minor"/>
          </rPr>
          <t>======
ID#AAABl0hclfA
FJ-USER    (2025-06-19 09:19:12)
1/8～2/1</t>
        </r>
      </text>
    </comment>
    <comment ref="X50" authorId="0" shapeId="0" xr:uid="{00000000-0006-0000-0800-00004C000000}">
      <text>
        <r>
          <rPr>
            <sz val="12"/>
            <color theme="1"/>
            <rFont val="Aptos Narrow"/>
            <scheme val="minor"/>
          </rPr>
          <t>======
ID#AAABmL-n2CU
FJ-USER    (2025-06-19 09:19:12)
1/8～2/1</t>
        </r>
      </text>
    </comment>
    <comment ref="Z50" authorId="0" shapeId="0" xr:uid="{00000000-0006-0000-0800-00000F000000}">
      <text>
        <r>
          <rPr>
            <sz val="12"/>
            <color theme="1"/>
            <rFont val="Aptos Narrow"/>
            <scheme val="minor"/>
          </rPr>
          <t>======
ID#AAABl0hcleM
FJ-USER    (2025-06-19 09:19:12)
1/8～2/1</t>
        </r>
      </text>
    </comment>
    <comment ref="C58" authorId="0" shapeId="0" xr:uid="{00000000-0006-0000-0800-00004F000000}">
      <text>
        <r>
          <rPr>
            <sz val="12"/>
            <color theme="1"/>
            <rFont val="Aptos Narrow"/>
            <scheme val="minor"/>
          </rPr>
          <t>======
ID#AAABl0hclaM
Owner    (2025-06-19 09:19:12)
売上比率で案分</t>
        </r>
      </text>
    </comment>
  </commentList>
  <extLst>
    <ext xmlns:r="http://schemas.openxmlformats.org/officeDocument/2006/relationships" uri="GoogleSheetsCustomDataVersion2">
      <go:sheetsCustomData xmlns:go="http://customooxmlschemas.google.com/" r:id="rId1" roundtripDataSignature="AMtx7miQVSvT/mpC7Qvtvk7liHLqkV/nQA=="/>
    </ext>
  </extLst>
</comments>
</file>

<file path=xl/sharedStrings.xml><?xml version="1.0" encoding="utf-8"?>
<sst xmlns="http://schemas.openxmlformats.org/spreadsheetml/2006/main" count="1332" uniqueCount="305">
  <si>
    <t>リトローボ</t>
  </si>
  <si>
    <t>目標売上</t>
  </si>
  <si>
    <t>9月 曜日毎の目標売上</t>
  </si>
  <si>
    <t>傾向</t>
  </si>
  <si>
    <t>対策考察</t>
  </si>
  <si>
    <t>mon</t>
  </si>
  <si>
    <t>tue</t>
  </si>
  <si>
    <t>wed</t>
  </si>
  <si>
    <t>thu</t>
  </si>
  <si>
    <t>fri</t>
  </si>
  <si>
    <t>sat</t>
  </si>
  <si>
    <t>sun</t>
  </si>
  <si>
    <t>日次</t>
  </si>
  <si>
    <t>売上</t>
  </si>
  <si>
    <t>月次目標売上</t>
  </si>
  <si>
    <t>月</t>
  </si>
  <si>
    <t>傾向分析</t>
  </si>
  <si>
    <t>平均目標売上</t>
  </si>
  <si>
    <t>月次累計実績売上</t>
  </si>
  <si>
    <t>差額</t>
  </si>
  <si>
    <t>1月</t>
  </si>
  <si>
    <t>A: 月初・末が強い（中旬落ち）</t>
  </si>
  <si>
    <t>当月残営業日</t>
  </si>
  <si>
    <t>2月</t>
  </si>
  <si>
    <t>B: 月末にかけて上がる</t>
  </si>
  <si>
    <t>達成率</t>
  </si>
  <si>
    <t>1日あたりの目標売上</t>
  </si>
  <si>
    <t>3月</t>
  </si>
  <si>
    <t>B: 同様に右肩上がり傾向</t>
  </si>
  <si>
    <t>4月</t>
  </si>
  <si>
    <t>A: 月初も末も強く安定感あり</t>
  </si>
  <si>
    <t>月次</t>
  </si>
  <si>
    <t>累積売上</t>
  </si>
  <si>
    <t>5月</t>
  </si>
  <si>
    <t>B: 徐々に上がる</t>
  </si>
  <si>
    <t>累積目標売上</t>
  </si>
  <si>
    <t>分類</t>
  </si>
  <si>
    <t>説明</t>
  </si>
  <si>
    <t>A: 初・末が強い</t>
  </si>
  <si>
    <t>月初・月末の売上が高く、中旬が落ちるパターン</t>
  </si>
  <si>
    <t>月初が弱く、末に向かって売上が上がる</t>
  </si>
  <si>
    <t>C: 平均的 or 中旬強い</t>
  </si>
  <si>
    <t>大きな偏りがない or 中旬が強いパターン</t>
  </si>
  <si>
    <t>年次</t>
  </si>
  <si>
    <t>年次目標売上</t>
  </si>
  <si>
    <t>目標達成までの残額</t>
  </si>
  <si>
    <t>今年の残営業日数</t>
  </si>
  <si>
    <t>1日あたりの売上額</t>
  </si>
  <si>
    <t>年間達成率</t>
  </si>
  <si>
    <t>曜日</t>
  </si>
  <si>
    <t>曜日繁閑期目標売上</t>
  </si>
  <si>
    <r>
      <rPr>
        <b/>
        <sz val="13"/>
        <color rgb="FF0000FF"/>
        <rFont val="メイリオ"/>
        <family val="2"/>
        <charset val="128"/>
      </rPr>
      <t>①</t>
    </r>
    <r>
      <rPr>
        <b/>
        <sz val="13"/>
        <color rgb="FF000000"/>
        <rFont val="メイリオ"/>
        <family val="2"/>
        <charset val="128"/>
      </rPr>
      <t>年間営業日</t>
    </r>
  </si>
  <si>
    <r>
      <rPr>
        <b/>
        <sz val="13"/>
        <color rgb="FF0000FF"/>
        <rFont val="メイリオ"/>
        <family val="2"/>
        <charset val="128"/>
      </rPr>
      <t>②</t>
    </r>
    <r>
      <rPr>
        <b/>
        <sz val="13"/>
        <color rgb="FF000000"/>
        <rFont val="メイリオ"/>
        <family val="2"/>
        <charset val="128"/>
      </rPr>
      <t>年間目標売上</t>
    </r>
  </si>
  <si>
    <t>年間総売上％</t>
  </si>
  <si>
    <t>年間売上合計</t>
  </si>
  <si>
    <t>実質売上</t>
  </si>
  <si>
    <t>←目標の月へジャンプ</t>
  </si>
  <si>
    <t>6月</t>
  </si>
  <si>
    <t>7月</t>
  </si>
  <si>
    <t>8月</t>
  </si>
  <si>
    <t>9月</t>
  </si>
  <si>
    <t>10月</t>
  </si>
  <si>
    <t>11月</t>
  </si>
  <si>
    <t>12月</t>
  </si>
  <si>
    <t>平均日次売上目標額</t>
  </si>
  <si>
    <t>月次営業日数</t>
  </si>
  <si>
    <t>平均月間売上目標額</t>
  </si>
  <si>
    <t>月次繁閑期%設定</t>
  </si>
  <si>
    <t>日次目標売上</t>
  </si>
  <si>
    <t>月次売上実績</t>
  </si>
  <si>
    <t>月間KGI</t>
  </si>
  <si>
    <t>月次平均%(繁閑期)</t>
  </si>
  <si>
    <t>月次実質%</t>
  </si>
  <si>
    <t>② ÷ ①</t>
  </si>
  <si>
    <t>9 月</t>
  </si>
  <si>
    <t>日程</t>
  </si>
  <si>
    <t>日祝日</t>
  </si>
  <si>
    <t>Daily売上入力</t>
  </si>
  <si>
    <t>実質%</t>
  </si>
  <si>
    <t>月次実質売上</t>
  </si>
  <si>
    <t>月次差額</t>
  </si>
  <si>
    <t>月次達成率</t>
  </si>
  <si>
    <t>年次実質売上</t>
  </si>
  <si>
    <t>年次差額</t>
  </si>
  <si>
    <t>年次達成率</t>
  </si>
  <si>
    <t>実質曜日平均売上</t>
  </si>
  <si>
    <t>曜日回数</t>
  </si>
  <si>
    <t>曜日毎目標売上額</t>
  </si>
  <si>
    <t>曜日毎トータル額</t>
  </si>
  <si>
    <t>元旦</t>
  </si>
  <si>
    <t>21〜51</t>
  </si>
  <si>
    <t>休み</t>
  </si>
  <si>
    <t>1月目標売り上げ</t>
  </si>
  <si>
    <t>Mon</t>
  </si>
  <si>
    <t>52〜79</t>
  </si>
  <si>
    <t>Tue</t>
  </si>
  <si>
    <t>Wed</t>
  </si>
  <si>
    <t>Thu</t>
  </si>
  <si>
    <t>成人の日</t>
  </si>
  <si>
    <t>Fri</t>
  </si>
  <si>
    <t>Sat</t>
  </si>
  <si>
    <t>2月目標売り上げ</t>
  </si>
  <si>
    <t>Sun</t>
  </si>
  <si>
    <t>80〜110</t>
  </si>
  <si>
    <t>3月目標売り上げ</t>
  </si>
  <si>
    <t>111〜140</t>
  </si>
  <si>
    <t>4月目標売り上げ</t>
  </si>
  <si>
    <t>141〜171</t>
  </si>
  <si>
    <t>5月目標売り上げ</t>
  </si>
  <si>
    <t>172〜201</t>
  </si>
  <si>
    <t>6月目標売り上げ</t>
  </si>
  <si>
    <t>202〜232</t>
  </si>
  <si>
    <t>7月目標売り上げ</t>
  </si>
  <si>
    <t>233〜263</t>
  </si>
  <si>
    <t>8月目標売り上げ</t>
  </si>
  <si>
    <t>264〜293</t>
  </si>
  <si>
    <t>9月目標売り上げ</t>
  </si>
  <si>
    <t>294〜324</t>
  </si>
  <si>
    <t>10月目標売り上げ</t>
  </si>
  <si>
    <t>325〜354</t>
  </si>
  <si>
    <t>11月目標売り上げ</t>
  </si>
  <si>
    <t>355〜385</t>
  </si>
  <si>
    <t>12月目標売り上げ</t>
  </si>
  <si>
    <t>大晦日</t>
  </si>
  <si>
    <r>
      <rPr>
        <b/>
        <sz val="13"/>
        <color rgb="FF0000FF"/>
        <rFont val="メイリオ"/>
        <family val="2"/>
        <charset val="128"/>
      </rPr>
      <t>①</t>
    </r>
    <r>
      <rPr>
        <b/>
        <sz val="13"/>
        <color rgb="FF000000"/>
        <rFont val="メイリオ"/>
        <family val="2"/>
        <charset val="128"/>
      </rPr>
      <t>年間営業日</t>
    </r>
  </si>
  <si>
    <r>
      <rPr>
        <b/>
        <sz val="13"/>
        <color rgb="FF0000FF"/>
        <rFont val="メイリオ"/>
        <family val="2"/>
        <charset val="128"/>
      </rPr>
      <t>②</t>
    </r>
    <r>
      <rPr>
        <b/>
        <sz val="13"/>
        <color rgb="FF000000"/>
        <rFont val="メイリオ"/>
        <family val="2"/>
        <charset val="128"/>
      </rPr>
      <t>年間目標売上</t>
    </r>
  </si>
  <si>
    <t>年間売上％設定</t>
  </si>
  <si>
    <t>年間実質売上</t>
  </si>
  <si>
    <t>年間利益率</t>
  </si>
  <si>
    <t>年間予想利益額</t>
  </si>
  <si>
    <t>月次売上</t>
  </si>
  <si>
    <t>月間差額</t>
  </si>
  <si>
    <t>1日の売上目標値
 参考例</t>
  </si>
  <si>
    <t>¥233564</t>
  </si>
  <si>
    <t>仮1日売上総合計</t>
  </si>
  <si>
    <t>項目</t>
  </si>
  <si>
    <t>仮客単価</t>
  </si>
  <si>
    <t>集客数</t>
  </si>
  <si>
    <t>仮1日の売上小計</t>
  </si>
  <si>
    <t>ランチ</t>
  </si>
  <si>
    <t>ディナー</t>
  </si>
  <si>
    <t>Party 5500</t>
  </si>
  <si>
    <t>休店日理由</t>
  </si>
  <si>
    <t>目標売上 KPI</t>
  </si>
  <si>
    <t>日次実質売上</t>
  </si>
  <si>
    <t>月次差額(勝率)</t>
  </si>
  <si>
    <t>年次差額(勝率)</t>
  </si>
  <si>
    <t>年次実質%</t>
  </si>
  <si>
    <t>平均売上</t>
  </si>
  <si>
    <t>曜日合計額</t>
  </si>
  <si>
    <t>加重比率</t>
  </si>
  <si>
    <t>火</t>
  </si>
  <si>
    <t>水</t>
  </si>
  <si>
    <t>祝日</t>
  </si>
  <si>
    <t>木</t>
  </si>
  <si>
    <t>金</t>
  </si>
  <si>
    <t>土</t>
  </si>
  <si>
    <t>日曜日</t>
  </si>
  <si>
    <t>日</t>
  </si>
  <si>
    <t>51〜79</t>
  </si>
  <si>
    <t>営業日数</t>
  </si>
  <si>
    <t>月次適正原価率表</t>
  </si>
  <si>
    <t>フード</t>
  </si>
  <si>
    <t>ドリンク</t>
  </si>
  <si>
    <t>月次適正人件費表</t>
  </si>
  <si>
    <t>1日</t>
  </si>
  <si>
    <t>【食材費】フード適正早見表</t>
  </si>
  <si>
    <t>【食材費】ドリンク適正早見表</t>
  </si>
  <si>
    <t>フード目標日次</t>
  </si>
  <si>
    <t>フード目標累計</t>
  </si>
  <si>
    <t>フード実績</t>
  </si>
  <si>
    <t>フード累積</t>
  </si>
  <si>
    <t>ドリンク目標日次</t>
  </si>
  <si>
    <t>ドリンク目標累計</t>
  </si>
  <si>
    <t>ドリンク実績</t>
  </si>
  <si>
    <t>ドリンク累積</t>
  </si>
  <si>
    <t>合計</t>
  </si>
  <si>
    <t>年間の平均曜日毎売上</t>
  </si>
  <si>
    <t>日次目標額</t>
  </si>
  <si>
    <t>月曜日</t>
  </si>
  <si>
    <t>火曜日</t>
  </si>
  <si>
    <t>水曜日</t>
  </si>
  <si>
    <t>木曜日</t>
  </si>
  <si>
    <t>金曜日</t>
  </si>
  <si>
    <t>土曜日</t>
  </si>
  <si>
    <t>平均</t>
  </si>
  <si>
    <t>平均パーセンテージ</t>
  </si>
  <si>
    <t>ランチ平均売上</t>
  </si>
  <si>
    <t>ディナー平均売上</t>
  </si>
  <si>
    <t>ランチ平均客単価</t>
  </si>
  <si>
    <t>ディナー平均客単価</t>
  </si>
  <si>
    <t>ランチ平均客数</t>
  </si>
  <si>
    <t>ディナー平均客数</t>
  </si>
  <si>
    <t>年間平均</t>
  </si>
  <si>
    <r>
      <rPr>
        <sz val="14"/>
        <color rgb="FF000000"/>
        <rFont val="Meiryo"/>
        <family val="2"/>
        <charset val="128"/>
      </rPr>
      <t>1</t>
    </r>
    <r>
      <rPr>
        <sz val="14"/>
        <color rgb="FF000000"/>
        <rFont val="メイリオ"/>
        <family val="2"/>
        <charset val="128"/>
      </rPr>
      <t>月</t>
    </r>
  </si>
  <si>
    <t>1月平均</t>
  </si>
  <si>
    <t>2月平均</t>
  </si>
  <si>
    <t>3月平均</t>
  </si>
  <si>
    <t>4月平均</t>
  </si>
  <si>
    <t>5月平均</t>
  </si>
  <si>
    <t>6月平均</t>
  </si>
  <si>
    <t>7月平均</t>
  </si>
  <si>
    <t>8月平均</t>
  </si>
  <si>
    <t>9月平均</t>
  </si>
  <si>
    <t>10月平均</t>
  </si>
  <si>
    <t>11月平均</t>
  </si>
  <si>
    <t>12月平均</t>
  </si>
  <si>
    <t>2025年次売上目標額</t>
  </si>
  <si>
    <t>目標売上額</t>
  </si>
  <si>
    <t>適正人件費率</t>
  </si>
  <si>
    <t>人件費上限額</t>
  </si>
  <si>
    <t>適正人件費</t>
  </si>
  <si>
    <t>月次アルバイト人数</t>
  </si>
  <si>
    <t>日次アルバイト人数(ホール&amp;キッチン)</t>
  </si>
  <si>
    <t>社員</t>
  </si>
  <si>
    <t>アルバイト</t>
  </si>
  <si>
    <t>アルバイト人件費計算表</t>
  </si>
  <si>
    <t>社員人件費計算表</t>
  </si>
  <si>
    <t>時給</t>
  </si>
  <si>
    <t>額面として</t>
  </si>
  <si>
    <t>時間</t>
  </si>
  <si>
    <t>交通費</t>
  </si>
  <si>
    <t>2025年売上実績</t>
  </si>
  <si>
    <t>カテゴリ</t>
  </si>
  <si>
    <t>売上率(2024年)</t>
  </si>
  <si>
    <t>想定売上額</t>
  </si>
  <si>
    <t>目標原価率</t>
  </si>
  <si>
    <t>月次目標原価額</t>
  </si>
  <si>
    <t>1日あたりの仕入額</t>
  </si>
  <si>
    <t>2024年仕入れ額</t>
  </si>
  <si>
    <t>差額=削減目標額</t>
  </si>
  <si>
    <t>食材原価率</t>
  </si>
  <si>
    <t>月次総売上</t>
  </si>
  <si>
    <t>月次食材費</t>
  </si>
  <si>
    <t>リトローボ  R6年（2024）損益表</t>
  </si>
  <si>
    <t>総収入</t>
  </si>
  <si>
    <t>店舗売上</t>
  </si>
  <si>
    <t>売上A</t>
  </si>
  <si>
    <t>売上B</t>
  </si>
  <si>
    <t>売上合計</t>
  </si>
  <si>
    <t>総支出</t>
  </si>
  <si>
    <t>固定費</t>
  </si>
  <si>
    <t>変動費</t>
  </si>
  <si>
    <t>売上/仕入額</t>
  </si>
  <si>
    <t>売上比率/原価率</t>
  </si>
  <si>
    <t>フード売上</t>
  </si>
  <si>
    <t>フード仕入れ額</t>
  </si>
  <si>
    <t>ドリンク売上</t>
  </si>
  <si>
    <t>ドリンク仕入れ額</t>
  </si>
  <si>
    <t>労働分配率
(人件費)</t>
  </si>
  <si>
    <t>社員人件費(固定費)</t>
  </si>
  <si>
    <t>アルバイト人件費(変動費)</t>
  </si>
  <si>
    <t>FL率</t>
  </si>
  <si>
    <t>月次人件費(アルバイト)</t>
  </si>
  <si>
    <t>　粗利益率(総売上 - FLコスト) ÷ 総売上</t>
  </si>
  <si>
    <t>利益</t>
  </si>
  <si>
    <t>支出額</t>
  </si>
  <si>
    <t>原価率</t>
  </si>
  <si>
    <t>支出</t>
  </si>
  <si>
    <t>家賃</t>
  </si>
  <si>
    <t>人件費(社員)</t>
  </si>
  <si>
    <t>音楽費（バンド）</t>
  </si>
  <si>
    <t>植木</t>
  </si>
  <si>
    <t>町会費</t>
  </si>
  <si>
    <t>害虫駆除費用</t>
  </si>
  <si>
    <t>修繕費</t>
  </si>
  <si>
    <t>リース料（レジ）</t>
  </si>
  <si>
    <t>リース料（冷蔵庫）</t>
  </si>
  <si>
    <t>リース料（食洗器）</t>
  </si>
  <si>
    <t>リース料（製氷機）</t>
  </si>
  <si>
    <t>有線放送（ＢＧＭ）</t>
  </si>
  <si>
    <t>Table Check</t>
  </si>
  <si>
    <t>アルソック</t>
  </si>
  <si>
    <t>償却資産税</t>
  </si>
  <si>
    <t>減価償却費（想定）</t>
  </si>
  <si>
    <t>店舗用損害賠償保険</t>
  </si>
  <si>
    <t>社会保険料</t>
  </si>
  <si>
    <t>仕入（食材）</t>
  </si>
  <si>
    <t>仕入（備品・消耗品）</t>
  </si>
  <si>
    <t>雑費（小口精算等）</t>
  </si>
  <si>
    <t>メンテナンス料（ﾊﾝﾃﾞｨ・ｺｰﾋｰﾒｰｶｰ）</t>
  </si>
  <si>
    <t>電気</t>
  </si>
  <si>
    <t>ガス</t>
  </si>
  <si>
    <t>水道</t>
  </si>
  <si>
    <t>産廃処理費</t>
  </si>
  <si>
    <t>クレジットカード手数料</t>
  </si>
  <si>
    <t>人件費(アルバイト)</t>
  </si>
  <si>
    <t>広告宣伝費</t>
  </si>
  <si>
    <t>通信費（電話・振込手数料）</t>
  </si>
  <si>
    <t>被服費</t>
  </si>
  <si>
    <t>本部費用</t>
  </si>
  <si>
    <t>雇用保険料</t>
  </si>
  <si>
    <t>労災保険料</t>
  </si>
  <si>
    <t>消費税（想定）</t>
  </si>
  <si>
    <t>小計</t>
  </si>
  <si>
    <t>利益①</t>
  </si>
  <si>
    <t>累計利益</t>
  </si>
  <si>
    <t>固定資産計上費用</t>
  </si>
  <si>
    <t>適正原価率＆人件費シュミレーション</t>
  </si>
  <si>
    <t>利益率</t>
  </si>
  <si>
    <t>社員人件費</t>
  </si>
  <si>
    <t>アルバイト人件費</t>
  </si>
  <si>
    <t>労働分配率</t>
  </si>
  <si>
    <t>食材仕入費</t>
  </si>
  <si>
    <t>#REF!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</si>
</sst>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176" formatCode="yyyy/m/d\(aaa\)"/>
    <numFmt numFmtId="177" formatCode="&quot;¥&quot;#,##0_);[Red]\(&quot;¥&quot;#,##0\)"/>
    <numFmt numFmtId="178" formatCode="m&quot;月&quot;d&quot;日&quot;\(ddd\)"/>
    <numFmt numFmtId="179" formatCode="yyyy&quot;年&quot;"/>
    <numFmt numFmtId="180" formatCode="&quot;¥&quot;#,##0"/>
    <numFmt numFmtId="181" formatCode="&quot;¥&quot;#,##0_);\(&quot;¥&quot;#,##0\)"/>
    <numFmt numFmtId="182" formatCode="[$¥-411]#,##0"/>
    <numFmt numFmtId="183" formatCode="0_);[Red]\(0\)"/>
    <numFmt numFmtId="184" formatCode="[$¥-411]#,##0.00;[$¥-411]#,##0.00"/>
    <numFmt numFmtId="185" formatCode="m/d"/>
    <numFmt numFmtId="186" formatCode="\(ddd\)"/>
    <numFmt numFmtId="187" formatCode="[$¥-411]#,##0.00"/>
    <numFmt numFmtId="188" formatCode="m"/>
    <numFmt numFmtId="189" formatCode="ddd"/>
    <numFmt numFmtId="190" formatCode="[$¥-411]#,##0;\-[$¥-411]#,##0"/>
    <numFmt numFmtId="191" formatCode="yyyy/m"/>
    <numFmt numFmtId="192" formatCode="#,##0_ ;[Red]\-#,##0\ "/>
    <numFmt numFmtId="193" formatCode="yyyy"/>
    <numFmt numFmtId="194" formatCode="General&quot;月&quot;"/>
    <numFmt numFmtId="195" formatCode="\(aaa\)"/>
    <numFmt numFmtId="196" formatCode="#,##0.00_ ;[Red]\-#,##0.00\ "/>
    <numFmt numFmtId="197" formatCode="0.00_);[Red]\(0.00\)"/>
    <numFmt numFmtId="198" formatCode="[$¥-411]#,##0;[$¥-411]#,##0"/>
    <numFmt numFmtId="199" formatCode="[$¥-411]#,##0;[Red]\-[$¥-411]#,##0"/>
  </numFmts>
  <fonts count="83">
    <font>
      <sz val="12"/>
      <color theme="1"/>
      <name val="Aptos Narrow"/>
      <scheme val="minor"/>
    </font>
    <font>
      <sz val="12"/>
      <color theme="1"/>
      <name val="Meiryo"/>
      <family val="2"/>
      <charset val="128"/>
    </font>
    <font>
      <b/>
      <sz val="12"/>
      <color theme="1"/>
      <name val="Meiryo"/>
      <family val="2"/>
      <charset val="128"/>
    </font>
    <font>
      <b/>
      <sz val="12"/>
      <color rgb="FFBFBFBF"/>
      <name val="Meiryo"/>
      <family val="2"/>
      <charset val="128"/>
    </font>
    <font>
      <b/>
      <sz val="12"/>
      <color rgb="FFF2F2F2"/>
      <name val="Meiryo"/>
      <family val="2"/>
      <charset val="128"/>
    </font>
    <font>
      <sz val="12"/>
      <color rgb="FFF2F2F2"/>
      <name val="Meiryo"/>
      <family val="2"/>
      <charset val="128"/>
    </font>
    <font>
      <b/>
      <sz val="14"/>
      <color theme="1"/>
      <name val="Meiryo"/>
      <family val="2"/>
      <charset val="128"/>
    </font>
    <font>
      <sz val="12"/>
      <name val="Aptos Narrow"/>
    </font>
    <font>
      <sz val="14"/>
      <color theme="1"/>
      <name val="Meiryo"/>
      <family val="2"/>
      <charset val="128"/>
    </font>
    <font>
      <b/>
      <sz val="16"/>
      <color theme="1"/>
      <name val="Meiryo"/>
      <family val="2"/>
      <charset val="128"/>
    </font>
    <font>
      <b/>
      <i/>
      <sz val="12"/>
      <color theme="1"/>
      <name val="Meiryo"/>
      <family val="2"/>
      <charset val="128"/>
    </font>
    <font>
      <b/>
      <i/>
      <u/>
      <sz val="12"/>
      <color theme="1"/>
      <name val="Meiryo"/>
      <family val="2"/>
      <charset val="128"/>
    </font>
    <font>
      <b/>
      <i/>
      <u/>
      <sz val="12"/>
      <color theme="1"/>
      <name val="Meiryo"/>
      <family val="2"/>
      <charset val="128"/>
    </font>
    <font>
      <sz val="12"/>
      <color rgb="FFBFBFBF"/>
      <name val="Meiryo"/>
      <family val="2"/>
      <charset val="128"/>
    </font>
    <font>
      <sz val="10"/>
      <color theme="1"/>
      <name val="Meiryo"/>
      <family val="2"/>
      <charset val="128"/>
    </font>
    <font>
      <b/>
      <sz val="26"/>
      <color rgb="FF000000"/>
      <name val="Meiryo"/>
      <family val="2"/>
      <charset val="128"/>
    </font>
    <font>
      <b/>
      <sz val="13"/>
      <color rgb="FF000000"/>
      <name val="Meiryo"/>
      <family val="2"/>
      <charset val="128"/>
    </font>
    <font>
      <b/>
      <sz val="13"/>
      <color theme="1"/>
      <name val="Meiryo"/>
      <family val="2"/>
      <charset val="128"/>
    </font>
    <font>
      <sz val="10"/>
      <color rgb="FF000000"/>
      <name val="Meiryo"/>
      <family val="2"/>
      <charset val="128"/>
    </font>
    <font>
      <u/>
      <sz val="12"/>
      <color theme="10"/>
      <name val="游ゴシック"/>
      <family val="3"/>
      <charset val="128"/>
    </font>
    <font>
      <b/>
      <sz val="12"/>
      <color rgb="FF000000"/>
      <name val="Meiryo"/>
      <family val="2"/>
      <charset val="128"/>
    </font>
    <font>
      <b/>
      <sz val="14"/>
      <color rgb="FF000000"/>
      <name val="Meiryo"/>
      <family val="2"/>
      <charset val="128"/>
    </font>
    <font>
      <sz val="13"/>
      <color rgb="FFFF0000"/>
      <name val="Meiryo"/>
      <family val="2"/>
      <charset val="128"/>
    </font>
    <font>
      <sz val="12"/>
      <color rgb="FF000000"/>
      <name val="Meiryo"/>
      <family val="2"/>
      <charset val="128"/>
    </font>
    <font>
      <u/>
      <sz val="12"/>
      <color theme="10"/>
      <name val="游ゴシック"/>
      <family val="3"/>
      <charset val="128"/>
    </font>
    <font>
      <u/>
      <sz val="11"/>
      <color theme="10"/>
      <name val="MS PGothic"/>
      <family val="2"/>
      <charset val="128"/>
    </font>
    <font>
      <u/>
      <sz val="11"/>
      <color theme="10"/>
      <name val="MS PGothic"/>
      <family val="2"/>
      <charset val="128"/>
    </font>
    <font>
      <b/>
      <sz val="10"/>
      <color rgb="FF0000FF"/>
      <name val="Meiryo"/>
      <family val="2"/>
      <charset val="128"/>
    </font>
    <font>
      <b/>
      <sz val="11"/>
      <color theme="1"/>
      <name val="Meiryo"/>
      <family val="2"/>
      <charset val="128"/>
    </font>
    <font>
      <b/>
      <i/>
      <sz val="11"/>
      <color rgb="FF0000FF"/>
      <name val="Meiryo"/>
      <family val="2"/>
      <charset val="128"/>
    </font>
    <font>
      <b/>
      <sz val="11"/>
      <color rgb="FF000000"/>
      <name val="Meiryo"/>
      <family val="2"/>
      <charset val="128"/>
    </font>
    <font>
      <b/>
      <sz val="11"/>
      <color rgb="FF0000FF"/>
      <name val="Meiryo"/>
      <family val="2"/>
      <charset val="128"/>
    </font>
    <font>
      <sz val="12"/>
      <color rgb="FF0000FF"/>
      <name val="Meiryo"/>
      <family val="2"/>
      <charset val="128"/>
    </font>
    <font>
      <sz val="10"/>
      <color theme="0"/>
      <name val="Meiryo"/>
      <family val="2"/>
      <charset val="128"/>
    </font>
    <font>
      <b/>
      <sz val="14"/>
      <color rgb="FF0000FF"/>
      <name val="Meiryo"/>
      <family val="2"/>
      <charset val="128"/>
    </font>
    <font>
      <b/>
      <sz val="10"/>
      <color theme="1"/>
      <name val="Meiryo"/>
      <family val="2"/>
      <charset val="128"/>
    </font>
    <font>
      <sz val="11"/>
      <color rgb="FF000000"/>
      <name val="Meiryo"/>
      <family val="2"/>
      <charset val="128"/>
    </font>
    <font>
      <b/>
      <sz val="10"/>
      <color rgb="FFFF0000"/>
      <name val="Meiryo"/>
      <family val="2"/>
      <charset val="128"/>
    </font>
    <font>
      <sz val="13"/>
      <color rgb="FF000000"/>
      <name val="Meiryo"/>
      <family val="2"/>
      <charset val="128"/>
    </font>
    <font>
      <sz val="13"/>
      <color theme="1"/>
      <name val="Meiryo"/>
      <family val="2"/>
      <charset val="128"/>
    </font>
    <font>
      <b/>
      <i/>
      <sz val="10"/>
      <color rgb="FF0000FF"/>
      <name val="Meiryo"/>
      <family val="2"/>
      <charset val="128"/>
    </font>
    <font>
      <b/>
      <sz val="10"/>
      <color rgb="FF000000"/>
      <name val="Meiryo"/>
      <family val="2"/>
      <charset val="128"/>
    </font>
    <font>
      <b/>
      <i/>
      <u/>
      <sz val="12"/>
      <color theme="1"/>
      <name val="Meiryo"/>
      <family val="2"/>
      <charset val="128"/>
    </font>
    <font>
      <b/>
      <i/>
      <u/>
      <sz val="12"/>
      <color theme="1"/>
      <name val="Meiryo"/>
      <family val="2"/>
      <charset val="128"/>
    </font>
    <font>
      <b/>
      <sz val="28"/>
      <color rgb="FF000000"/>
      <name val="Meiryo"/>
      <family val="2"/>
      <charset val="128"/>
    </font>
    <font>
      <b/>
      <sz val="20"/>
      <color rgb="FF000000"/>
      <name val="Meiryo"/>
      <family val="2"/>
      <charset val="128"/>
    </font>
    <font>
      <sz val="11"/>
      <color rgb="FF000000"/>
      <name val="MS PGothic"/>
      <family val="2"/>
      <charset val="128"/>
    </font>
    <font>
      <b/>
      <sz val="36"/>
      <color rgb="FF000000"/>
      <name val="Meiryo"/>
      <family val="2"/>
      <charset val="128"/>
    </font>
    <font>
      <b/>
      <sz val="20"/>
      <color theme="0"/>
      <name val="Meiryo"/>
      <family val="2"/>
      <charset val="128"/>
    </font>
    <font>
      <b/>
      <sz val="28"/>
      <color theme="0"/>
      <name val="Meiryo"/>
      <family val="2"/>
      <charset val="128"/>
    </font>
    <font>
      <b/>
      <sz val="16"/>
      <color rgb="FF000000"/>
      <name val="Meiryo"/>
      <family val="2"/>
      <charset val="128"/>
    </font>
    <font>
      <b/>
      <sz val="18"/>
      <color rgb="FF000000"/>
      <name val="Meiryo"/>
      <family val="2"/>
      <charset val="128"/>
    </font>
    <font>
      <b/>
      <i/>
      <sz val="16"/>
      <color rgb="FF000000"/>
      <name val="Meiryo"/>
      <family val="2"/>
      <charset val="128"/>
    </font>
    <font>
      <sz val="14"/>
      <color rgb="FF000000"/>
      <name val="Meiryo"/>
      <family val="2"/>
      <charset val="128"/>
    </font>
    <font>
      <sz val="11"/>
      <color theme="1"/>
      <name val="Meiryo"/>
      <family val="2"/>
      <charset val="128"/>
    </font>
    <font>
      <sz val="12"/>
      <color theme="1"/>
      <name val="Arial"/>
      <family val="2"/>
    </font>
    <font>
      <sz val="16"/>
      <color theme="1"/>
      <name val="Meiryo"/>
      <family val="2"/>
      <charset val="128"/>
    </font>
    <font>
      <b/>
      <i/>
      <sz val="14"/>
      <color theme="1"/>
      <name val="Meiryo"/>
      <family val="2"/>
      <charset val="128"/>
    </font>
    <font>
      <sz val="11"/>
      <color theme="1"/>
      <name val="游ゴシック"/>
      <family val="3"/>
      <charset val="128"/>
    </font>
    <font>
      <b/>
      <sz val="11"/>
      <color theme="1"/>
      <name val="MS PGothic"/>
      <family val="2"/>
      <charset val="128"/>
    </font>
    <font>
      <sz val="12"/>
      <color theme="1"/>
      <name val="游ゴシック"/>
      <family val="3"/>
      <charset val="128"/>
    </font>
    <font>
      <sz val="16"/>
      <color theme="1"/>
      <name val="ＭＳ Ｐゴシック (本文)"/>
      <family val="3"/>
      <charset val="128"/>
    </font>
    <font>
      <sz val="20"/>
      <color theme="1"/>
      <name val="游ゴシック"/>
      <family val="3"/>
      <charset val="128"/>
    </font>
    <font>
      <b/>
      <sz val="16"/>
      <color theme="1"/>
      <name val="游ゴシック"/>
      <family val="3"/>
      <charset val="128"/>
    </font>
    <font>
      <b/>
      <sz val="12"/>
      <color rgb="FF0000FF"/>
      <name val="MS PGothic"/>
      <family val="2"/>
      <charset val="128"/>
    </font>
    <font>
      <b/>
      <sz val="11"/>
      <color rgb="FF0000FF"/>
      <name val="MS PGothic"/>
      <family val="2"/>
      <charset val="128"/>
    </font>
    <font>
      <b/>
      <sz val="14"/>
      <color rgb="FF002ADA"/>
      <name val="游ゴシック"/>
      <family val="3"/>
      <charset val="128"/>
    </font>
    <font>
      <b/>
      <sz val="16"/>
      <color rgb="FF002ADA"/>
      <name val="游ゴシック"/>
      <family val="3"/>
      <charset val="128"/>
    </font>
    <font>
      <b/>
      <sz val="11"/>
      <color rgb="FF002ADA"/>
      <name val="游ゴシック"/>
      <family val="3"/>
      <charset val="128"/>
    </font>
    <font>
      <b/>
      <sz val="14"/>
      <color theme="1"/>
      <name val="ＭＳ Ｐゴシック (本文)"/>
      <family val="3"/>
      <charset val="128"/>
    </font>
    <font>
      <b/>
      <sz val="14"/>
      <color rgb="FF002ADA"/>
      <name val="ＭＳ Ｐゴシック (本文)"/>
      <family val="3"/>
      <charset val="128"/>
    </font>
    <font>
      <sz val="14"/>
      <color theme="1"/>
      <name val="ＭＳ Ｐゴシック (本文)"/>
      <family val="3"/>
      <charset val="128"/>
    </font>
    <font>
      <sz val="14"/>
      <color theme="1"/>
      <name val="游ゴシック"/>
      <family val="3"/>
      <charset val="128"/>
    </font>
    <font>
      <sz val="11"/>
      <color theme="1"/>
      <name val="MS PGothic"/>
      <family val="2"/>
      <charset val="128"/>
    </font>
    <font>
      <b/>
      <sz val="14"/>
      <color theme="1"/>
      <name val="游ゴシック"/>
      <family val="3"/>
      <charset val="128"/>
    </font>
    <font>
      <b/>
      <sz val="11"/>
      <color rgb="FF008000"/>
      <name val="MS PGothic"/>
      <family val="2"/>
      <charset val="128"/>
    </font>
    <font>
      <b/>
      <sz val="11"/>
      <color rgb="FF000000"/>
      <name val="MS PGothic"/>
      <family val="2"/>
      <charset val="128"/>
    </font>
    <font>
      <b/>
      <sz val="11"/>
      <color theme="1"/>
      <name val="游ゴシック"/>
      <family val="3"/>
      <charset val="128"/>
    </font>
    <font>
      <b/>
      <i/>
      <sz val="11"/>
      <color theme="1"/>
      <name val="游ゴシック"/>
      <family val="3"/>
      <charset val="128"/>
    </font>
    <font>
      <b/>
      <sz val="13"/>
      <color rgb="FF0000FF"/>
      <name val="メイリオ"/>
      <family val="2"/>
      <charset val="128"/>
    </font>
    <font>
      <b/>
      <sz val="13"/>
      <color rgb="FF000000"/>
      <name val="メイリオ"/>
      <family val="2"/>
      <charset val="128"/>
    </font>
    <font>
      <sz val="14"/>
      <color rgb="FF000000"/>
      <name val="メイリオ"/>
      <family val="2"/>
      <charset val="128"/>
    </font>
    <font>
      <sz val="6"/>
      <name val="Aptos Narrow"/>
      <family val="3"/>
      <charset val="128"/>
      <scheme val="minor"/>
    </font>
  </fonts>
  <fills count="28">
    <fill>
      <patternFill patternType="none"/>
    </fill>
    <fill>
      <patternFill patternType="gray125"/>
    </fill>
    <fill>
      <patternFill patternType="solid">
        <fgColor theme="0"/>
        <bgColor theme="0"/>
      </patternFill>
    </fill>
    <fill>
      <patternFill patternType="solid">
        <fgColor rgb="FFF2F2F2"/>
        <bgColor rgb="FFF2F2F2"/>
      </patternFill>
    </fill>
    <fill>
      <patternFill patternType="solid">
        <fgColor rgb="FFFFC000"/>
        <bgColor rgb="FFFFC000"/>
      </patternFill>
    </fill>
    <fill>
      <patternFill patternType="solid">
        <fgColor rgb="FFFFFFFF"/>
        <bgColor rgb="FFFFFFFF"/>
      </patternFill>
    </fill>
    <fill>
      <patternFill patternType="solid">
        <fgColor rgb="FF95DCF7"/>
        <bgColor rgb="FF95DCF7"/>
      </patternFill>
    </fill>
    <fill>
      <patternFill patternType="solid">
        <fgColor rgb="FFD9D9D9"/>
        <bgColor rgb="FFD9D9D9"/>
      </patternFill>
    </fill>
    <fill>
      <patternFill patternType="solid">
        <fgColor rgb="FFEFEFEF"/>
        <bgColor rgb="FFEFEFEF"/>
      </patternFill>
    </fill>
    <fill>
      <patternFill patternType="solid">
        <fgColor rgb="FFB6D7A8"/>
        <bgColor rgb="FFB6D7A8"/>
      </patternFill>
    </fill>
    <fill>
      <patternFill patternType="solid">
        <fgColor rgb="FFD8D8D8"/>
        <bgColor rgb="FFD8D8D8"/>
      </patternFill>
    </fill>
    <fill>
      <patternFill patternType="solid">
        <fgColor rgb="FFF3F3F3"/>
        <bgColor rgb="FFF3F3F3"/>
      </patternFill>
    </fill>
    <fill>
      <patternFill patternType="solid">
        <fgColor rgb="FFFFFF00"/>
        <bgColor rgb="FFFFFF00"/>
      </patternFill>
    </fill>
    <fill>
      <patternFill patternType="solid">
        <fgColor rgb="FFFF9900"/>
        <bgColor rgb="FFFF9900"/>
      </patternFill>
    </fill>
    <fill>
      <patternFill patternType="solid">
        <fgColor rgb="FFCCCCCC"/>
        <bgColor rgb="FFCCCCCC"/>
      </patternFill>
    </fill>
    <fill>
      <patternFill patternType="solid">
        <fgColor rgb="FF45B0E1"/>
        <bgColor rgb="FF45B0E1"/>
      </patternFill>
    </fill>
    <fill>
      <patternFill patternType="solid">
        <fgColor rgb="FFBFBFBF"/>
        <bgColor rgb="FFBFBFBF"/>
      </patternFill>
    </fill>
    <fill>
      <patternFill patternType="solid">
        <fgColor rgb="FFFFF2CC"/>
        <bgColor rgb="FFFFF2CC"/>
      </patternFill>
    </fill>
    <fill>
      <patternFill patternType="solid">
        <fgColor theme="6"/>
        <bgColor theme="6"/>
      </patternFill>
    </fill>
    <fill>
      <patternFill patternType="solid">
        <fgColor rgb="FF7F7F7F"/>
        <bgColor rgb="FF7F7F7F"/>
      </patternFill>
    </fill>
    <fill>
      <patternFill patternType="solid">
        <fgColor theme="7"/>
        <bgColor theme="7"/>
      </patternFill>
    </fill>
    <fill>
      <patternFill patternType="solid">
        <fgColor rgb="FFD9F2D0"/>
        <bgColor rgb="FFD9F2D0"/>
      </patternFill>
    </fill>
    <fill>
      <patternFill patternType="solid">
        <fgColor rgb="FFC1F0C8"/>
        <bgColor rgb="FFC1F0C8"/>
      </patternFill>
    </fill>
    <fill>
      <patternFill patternType="solid">
        <fgColor rgb="FF84E291"/>
        <bgColor rgb="FF84E291"/>
      </patternFill>
    </fill>
    <fill>
      <patternFill patternType="solid">
        <fgColor rgb="FFC1E4F5"/>
        <bgColor rgb="FFC1E4F5"/>
      </patternFill>
    </fill>
    <fill>
      <patternFill patternType="solid">
        <fgColor rgb="FFF1CEEE"/>
        <bgColor rgb="FFF1CEEE"/>
      </patternFill>
    </fill>
    <fill>
      <patternFill patternType="solid">
        <fgColor rgb="FFAEAEAE"/>
        <bgColor rgb="FFAEAEAE"/>
      </patternFill>
    </fill>
    <fill>
      <patternFill patternType="solid">
        <fgColor rgb="FFCCFFFF"/>
        <bgColor rgb="FFCCFFFF"/>
      </patternFill>
    </fill>
  </fills>
  <borders count="127">
    <border>
      <left/>
      <right/>
      <top/>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double">
        <color rgb="FF000000"/>
      </bottom>
      <diagonal/>
    </border>
    <border>
      <left style="thin">
        <color rgb="FF000000"/>
      </left>
      <right/>
      <top style="thin">
        <color rgb="FF000000"/>
      </top>
      <bottom style="double">
        <color rgb="FF000000"/>
      </bottom>
      <diagonal/>
    </border>
    <border>
      <left/>
      <right/>
      <top style="thin">
        <color rgb="FF000000"/>
      </top>
      <bottom style="double">
        <color rgb="FF000000"/>
      </bottom>
      <diagonal/>
    </border>
    <border>
      <left/>
      <right style="thin">
        <color rgb="FF000000"/>
      </right>
      <top style="thin">
        <color rgb="FF000000"/>
      </top>
      <bottom style="double">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right style="thin">
        <color rgb="FF000000"/>
      </right>
      <top/>
      <bottom/>
      <diagonal/>
    </border>
    <border>
      <left/>
      <right style="thin">
        <color rgb="FF000000"/>
      </right>
      <top/>
      <bottom style="double">
        <color rgb="FF000000"/>
      </bottom>
      <diagonal/>
    </border>
    <border>
      <left/>
      <right style="thin">
        <color rgb="FF000000"/>
      </right>
      <top style="thin">
        <color rgb="FF000000"/>
      </top>
      <bottom style="double">
        <color rgb="FF000000"/>
      </bottom>
      <diagonal/>
    </border>
    <border>
      <left/>
      <right/>
      <top style="thin">
        <color rgb="FF000000"/>
      </top>
      <bottom style="double">
        <color rgb="FF000000"/>
      </bottom>
      <diagonal/>
    </border>
    <border>
      <left style="thin">
        <color rgb="FF000000"/>
      </left>
      <right style="thin">
        <color rgb="FF000000"/>
      </right>
      <top/>
      <bottom style="double">
        <color rgb="FF000000"/>
      </bottom>
      <diagonal/>
    </border>
    <border>
      <left style="thin">
        <color rgb="FF000000"/>
      </left>
      <right/>
      <top style="thin">
        <color rgb="FF000000"/>
      </top>
      <bottom style="double">
        <color rgb="FF000000"/>
      </bottom>
      <diagonal/>
    </border>
    <border>
      <left/>
      <right/>
      <top/>
      <bottom style="double">
        <color rgb="FF000000"/>
      </bottom>
      <diagonal/>
    </border>
    <border>
      <left/>
      <right/>
      <top style="thin">
        <color rgb="FF000000"/>
      </top>
      <bottom style="thin">
        <color rgb="FF000000"/>
      </bottom>
      <diagonal/>
    </border>
    <border>
      <left/>
      <right/>
      <top/>
      <bottom style="thin">
        <color rgb="FF000000"/>
      </bottom>
      <diagonal/>
    </border>
    <border>
      <left/>
      <right/>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top/>
      <bottom/>
      <diagonal/>
    </border>
    <border>
      <left/>
      <right/>
      <top/>
      <bottom/>
      <diagonal/>
    </border>
    <border>
      <left/>
      <right/>
      <top/>
      <bottom style="thin">
        <color rgb="FF000000"/>
      </bottom>
      <diagonal/>
    </border>
    <border>
      <left style="thin">
        <color rgb="FF000000"/>
      </left>
      <right/>
      <top/>
      <bottom style="thin">
        <color rgb="FF000000"/>
      </bottom>
      <diagonal/>
    </border>
    <border>
      <left style="thin">
        <color rgb="FF000000"/>
      </left>
      <right/>
      <top/>
      <bottom/>
      <diagonal/>
    </border>
    <border>
      <left style="thin">
        <color rgb="FF000000"/>
      </left>
      <right/>
      <top style="thin">
        <color rgb="FF000000"/>
      </top>
      <bottom/>
      <diagonal/>
    </border>
    <border>
      <left/>
      <right/>
      <top style="thin">
        <color rgb="FF000000"/>
      </top>
      <bottom style="double">
        <color rgb="FF000000"/>
      </bottom>
      <diagonal/>
    </border>
    <border>
      <left style="thin">
        <color rgb="FF000000"/>
      </left>
      <right/>
      <top style="double">
        <color rgb="FF000000"/>
      </top>
      <bottom/>
      <diagonal/>
    </border>
    <border>
      <left/>
      <right style="thin">
        <color rgb="FF000000"/>
      </right>
      <top style="double">
        <color rgb="FF000000"/>
      </top>
      <bottom/>
      <diagonal/>
    </border>
    <border>
      <left style="thin">
        <color rgb="FF000000"/>
      </left>
      <right/>
      <top style="double">
        <color rgb="FF000000"/>
      </top>
      <bottom style="thin">
        <color rgb="FF000000"/>
      </bottom>
      <diagonal/>
    </border>
    <border>
      <left/>
      <right style="thin">
        <color rgb="FF000000"/>
      </right>
      <top style="double">
        <color rgb="FF000000"/>
      </top>
      <bottom style="thin">
        <color rgb="FF000000"/>
      </bottom>
      <diagonal/>
    </border>
    <border>
      <left style="thin">
        <color rgb="FF000000"/>
      </left>
      <right/>
      <top/>
      <bottom/>
      <diagonal/>
    </border>
    <border>
      <left style="thin">
        <color rgb="FF000000"/>
      </left>
      <right/>
      <top/>
      <bottom style="double">
        <color rgb="FF000000"/>
      </bottom>
      <diagonal/>
    </border>
    <border>
      <left/>
      <right style="thin">
        <color rgb="FF000000"/>
      </right>
      <top/>
      <bottom style="double">
        <color rgb="FF000000"/>
      </bottom>
      <diagonal/>
    </border>
    <border>
      <left style="thin">
        <color rgb="FF000000"/>
      </left>
      <right style="thin">
        <color rgb="FF000000"/>
      </right>
      <top style="double">
        <color rgb="FF000000"/>
      </top>
      <bottom style="thin">
        <color rgb="FF000000"/>
      </bottom>
      <diagonal/>
    </border>
    <border>
      <left style="thin">
        <color rgb="FF000000"/>
      </left>
      <right style="thin">
        <color rgb="FF000000"/>
      </right>
      <top style="double">
        <color rgb="FF000000"/>
      </top>
      <bottom/>
      <diagonal/>
    </border>
    <border>
      <left style="thin">
        <color rgb="FF000000"/>
      </left>
      <right/>
      <top style="double">
        <color rgb="FF000000"/>
      </top>
      <bottom/>
      <diagonal/>
    </border>
    <border>
      <left/>
      <right style="thin">
        <color rgb="FF000000"/>
      </right>
      <top style="double">
        <color rgb="FF000000"/>
      </top>
      <bottom/>
      <diagonal/>
    </border>
    <border>
      <left style="thin">
        <color rgb="FF000000"/>
      </left>
      <right/>
      <top/>
      <bottom style="double">
        <color rgb="FF000000"/>
      </bottom>
      <diagonal/>
    </border>
    <border>
      <left style="thin">
        <color rgb="FF000000"/>
      </left>
      <right/>
      <top style="double">
        <color rgb="FF000000"/>
      </top>
      <bottom style="thin">
        <color rgb="FF000000"/>
      </bottom>
      <diagonal/>
    </border>
    <border>
      <left style="thin">
        <color rgb="FF000000"/>
      </left>
      <right/>
      <top style="double">
        <color rgb="FF000000"/>
      </top>
      <bottom style="double">
        <color rgb="FF000000"/>
      </bottom>
      <diagonal/>
    </border>
    <border>
      <left/>
      <right/>
      <top style="double">
        <color rgb="FF000000"/>
      </top>
      <bottom style="double">
        <color rgb="FF000000"/>
      </bottom>
      <diagonal/>
    </border>
    <border>
      <left/>
      <right style="thin">
        <color rgb="FF000000"/>
      </right>
      <top style="double">
        <color rgb="FF000000"/>
      </top>
      <bottom style="double">
        <color rgb="FF000000"/>
      </bottom>
      <diagonal/>
    </border>
    <border>
      <left style="thin">
        <color rgb="FF000000"/>
      </left>
      <right style="thin">
        <color rgb="FF000000"/>
      </right>
      <top style="double">
        <color rgb="FF000000"/>
      </top>
      <bottom style="double">
        <color rgb="FF000000"/>
      </bottom>
      <diagonal/>
    </border>
    <border>
      <left/>
      <right/>
      <top style="double">
        <color rgb="FF000000"/>
      </top>
      <bottom/>
      <diagonal/>
    </border>
    <border>
      <left/>
      <right/>
      <top style="double">
        <color rgb="FF000000"/>
      </top>
      <bottom style="thin">
        <color rgb="FF000000"/>
      </bottom>
      <diagonal/>
    </border>
    <border>
      <left/>
      <right/>
      <top style="double">
        <color rgb="FF000000"/>
      </top>
      <bottom style="thin">
        <color rgb="FF000000"/>
      </bottom>
      <diagonal/>
    </border>
    <border>
      <left/>
      <right/>
      <top style="double">
        <color rgb="FF000000"/>
      </top>
      <bottom/>
      <diagonal/>
    </border>
    <border>
      <left/>
      <right/>
      <top/>
      <bottom style="medium">
        <color rgb="FF000000"/>
      </bottom>
      <diagonal/>
    </border>
    <border>
      <left/>
      <right style="thin">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style="medium">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diagonal/>
    </border>
    <border>
      <left style="thin">
        <color rgb="FF000000"/>
      </left>
      <right style="medium">
        <color rgb="FF000000"/>
      </right>
      <top/>
      <bottom/>
      <diagonal/>
    </border>
    <border>
      <left style="medium">
        <color rgb="FF000000"/>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bottom/>
      <diagonal/>
    </border>
    <border>
      <left style="thin">
        <color rgb="FF000000"/>
      </left>
      <right style="medium">
        <color rgb="FF000000"/>
      </right>
      <top/>
      <bottom style="double">
        <color rgb="FF000000"/>
      </bottom>
      <diagonal/>
    </border>
    <border>
      <left style="medium">
        <color rgb="FF000000"/>
      </left>
      <right style="medium">
        <color rgb="FF000000"/>
      </right>
      <top style="thin">
        <color rgb="FF000000"/>
      </top>
      <bottom style="double">
        <color rgb="FF000000"/>
      </bottom>
      <diagonal/>
    </border>
    <border>
      <left style="thin">
        <color rgb="FF000000"/>
      </left>
      <right style="medium">
        <color rgb="FF000000"/>
      </right>
      <top style="thin">
        <color rgb="FF000000"/>
      </top>
      <bottom style="double">
        <color rgb="FF000000"/>
      </bottom>
      <diagonal/>
    </border>
    <border>
      <left style="medium">
        <color rgb="FF000000"/>
      </left>
      <right style="thin">
        <color rgb="FF000000"/>
      </right>
      <top style="thin">
        <color rgb="FF000000"/>
      </top>
      <bottom style="double">
        <color rgb="FF000000"/>
      </bottom>
      <diagonal/>
    </border>
    <border>
      <left style="thin">
        <color rgb="FF000000"/>
      </left>
      <right style="medium">
        <color rgb="FF000000"/>
      </right>
      <top style="double">
        <color rgb="FF000000"/>
      </top>
      <bottom/>
      <diagonal/>
    </border>
    <border>
      <left style="medium">
        <color rgb="FF000000"/>
      </left>
      <right style="thin">
        <color rgb="FF000000"/>
      </right>
      <top/>
      <bottom style="double">
        <color rgb="FF000000"/>
      </bottom>
      <diagonal/>
    </border>
    <border>
      <left style="thin">
        <color rgb="FF000000"/>
      </left>
      <right style="medium">
        <color rgb="FF000000"/>
      </right>
      <top/>
      <bottom style="double">
        <color rgb="FF000000"/>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style="medium">
        <color rgb="FF000000"/>
      </left>
      <right style="medium">
        <color rgb="FF000000"/>
      </right>
      <top/>
      <bottom style="medium">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style="medium">
        <color rgb="FF000000"/>
      </right>
      <top/>
      <bottom/>
      <diagonal/>
    </border>
    <border>
      <left style="medium">
        <color rgb="FF000000"/>
      </left>
      <right/>
      <top style="medium">
        <color rgb="FF000000"/>
      </top>
      <bottom style="thin">
        <color rgb="FF000000"/>
      </bottom>
      <diagonal/>
    </border>
    <border>
      <left style="thin">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thin">
        <color rgb="FF000000"/>
      </left>
      <right style="medium">
        <color rgb="FF000000"/>
      </right>
      <top/>
      <bottom style="thin">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1">
    <xf numFmtId="0" fontId="0" fillId="0" borderId="0"/>
  </cellStyleXfs>
  <cellXfs count="622">
    <xf numFmtId="0" fontId="0" fillId="0" borderId="0" xfId="0" applyAlignment="1">
      <alignment vertical="center"/>
    </xf>
    <xf numFmtId="0" fontId="1" fillId="2" borderId="1" xfId="0" applyFont="1" applyFill="1" applyBorder="1" applyAlignment="1">
      <alignment vertical="center"/>
    </xf>
    <xf numFmtId="0" fontId="1" fillId="2" borderId="1" xfId="0" applyFont="1" applyFill="1" applyBorder="1" applyAlignment="1">
      <alignment horizontal="right" vertical="center"/>
    </xf>
    <xf numFmtId="176" fontId="2" fillId="2" borderId="1" xfId="0" applyNumberFormat="1" applyFont="1" applyFill="1" applyBorder="1" applyAlignment="1">
      <alignment horizontal="right" vertical="center"/>
    </xf>
    <xf numFmtId="56" fontId="3" fillId="3" borderId="1" xfId="0" applyNumberFormat="1" applyFont="1" applyFill="1" applyBorder="1" applyAlignment="1">
      <alignment horizontal="right" vertical="center"/>
    </xf>
    <xf numFmtId="0" fontId="4" fillId="2" borderId="1" xfId="0" applyFont="1" applyFill="1" applyBorder="1" applyAlignment="1">
      <alignment horizontal="center" vertical="center"/>
    </xf>
    <xf numFmtId="0" fontId="5" fillId="2" borderId="1" xfId="0" applyFont="1" applyFill="1" applyBorder="1" applyAlignment="1">
      <alignment horizontal="center" vertical="center"/>
    </xf>
    <xf numFmtId="0" fontId="8" fillId="3" borderId="4" xfId="0" applyFont="1" applyFill="1" applyBorder="1" applyAlignment="1">
      <alignment horizontal="right" vertical="center"/>
    </xf>
    <xf numFmtId="177" fontId="6" fillId="3" borderId="4" xfId="0" applyNumberFormat="1" applyFont="1" applyFill="1" applyBorder="1" applyAlignment="1">
      <alignment vertical="center"/>
    </xf>
    <xf numFmtId="177" fontId="1" fillId="2" borderId="1" xfId="0" applyNumberFormat="1" applyFont="1" applyFill="1" applyBorder="1" applyAlignment="1">
      <alignment vertical="center"/>
    </xf>
    <xf numFmtId="0" fontId="1" fillId="3" borderId="4" xfId="0" applyFont="1" applyFill="1" applyBorder="1" applyAlignment="1">
      <alignment horizontal="center" vertical="center"/>
    </xf>
    <xf numFmtId="177" fontId="1" fillId="3" borderId="4" xfId="0" applyNumberFormat="1" applyFont="1" applyFill="1" applyBorder="1" applyAlignment="1">
      <alignment vertical="center"/>
    </xf>
    <xf numFmtId="0" fontId="1" fillId="3" borderId="6" xfId="0" applyFont="1" applyFill="1" applyBorder="1" applyAlignment="1">
      <alignment horizontal="center" vertical="center"/>
    </xf>
    <xf numFmtId="0" fontId="1" fillId="3" borderId="10" xfId="0" applyFont="1" applyFill="1" applyBorder="1" applyAlignment="1">
      <alignment horizontal="center" vertical="center"/>
    </xf>
    <xf numFmtId="0" fontId="1" fillId="2" borderId="14" xfId="0" applyFont="1" applyFill="1" applyBorder="1" applyAlignment="1">
      <alignment vertical="center"/>
    </xf>
    <xf numFmtId="0" fontId="1" fillId="2" borderId="14" xfId="0" applyFont="1" applyFill="1" applyBorder="1" applyAlignment="1">
      <alignment horizontal="right" vertical="center"/>
    </xf>
    <xf numFmtId="176" fontId="9" fillId="2" borderId="10" xfId="0" applyNumberFormat="1" applyFont="1" applyFill="1" applyBorder="1" applyAlignment="1">
      <alignment horizontal="right" vertical="center"/>
    </xf>
    <xf numFmtId="0" fontId="2" fillId="2" borderId="1" xfId="0" applyFont="1" applyFill="1" applyBorder="1" applyAlignment="1">
      <alignment vertical="center"/>
    </xf>
    <xf numFmtId="0" fontId="2" fillId="3" borderId="15" xfId="0" applyFont="1" applyFill="1" applyBorder="1" applyAlignment="1">
      <alignment horizontal="right" vertical="center"/>
    </xf>
    <xf numFmtId="177" fontId="10" fillId="4" borderId="4" xfId="0" applyNumberFormat="1" applyFont="1" applyFill="1" applyBorder="1" applyAlignment="1">
      <alignment vertical="center"/>
    </xf>
    <xf numFmtId="0" fontId="2" fillId="3" borderId="4" xfId="0" applyFont="1" applyFill="1" applyBorder="1" applyAlignment="1">
      <alignment horizontal="right" vertical="center"/>
    </xf>
    <xf numFmtId="177" fontId="10" fillId="3" borderId="4" xfId="0" applyNumberFormat="1" applyFont="1" applyFill="1" applyBorder="1" applyAlignment="1">
      <alignment vertical="center"/>
    </xf>
    <xf numFmtId="0" fontId="2" fillId="0" borderId="4" xfId="0" applyFont="1" applyBorder="1" applyAlignment="1">
      <alignment horizontal="right" vertical="center"/>
    </xf>
    <xf numFmtId="0" fontId="2" fillId="0" borderId="4" xfId="0" applyFont="1" applyBorder="1" applyAlignment="1">
      <alignment horizontal="left" vertical="center"/>
    </xf>
    <xf numFmtId="0" fontId="10" fillId="3" borderId="4" xfId="0" applyFont="1" applyFill="1" applyBorder="1" applyAlignment="1">
      <alignment horizontal="right" vertical="center"/>
    </xf>
    <xf numFmtId="0" fontId="1" fillId="0" borderId="4" xfId="0" applyFont="1" applyBorder="1" applyAlignment="1">
      <alignment horizontal="right" vertical="center"/>
    </xf>
    <xf numFmtId="0" fontId="1" fillId="3" borderId="4" xfId="0" applyFont="1" applyFill="1" applyBorder="1" applyAlignment="1">
      <alignment horizontal="right" vertical="center"/>
    </xf>
    <xf numFmtId="0" fontId="1" fillId="3" borderId="4" xfId="0" applyFont="1" applyFill="1" applyBorder="1" applyAlignment="1">
      <alignment vertical="center"/>
    </xf>
    <xf numFmtId="10" fontId="1" fillId="3" borderId="4" xfId="0" applyNumberFormat="1" applyFont="1" applyFill="1" applyBorder="1" applyAlignment="1">
      <alignment vertical="center"/>
    </xf>
    <xf numFmtId="0" fontId="2" fillId="2" borderId="1" xfId="0" applyFont="1" applyFill="1" applyBorder="1" applyAlignment="1">
      <alignment horizontal="right" vertical="center"/>
    </xf>
    <xf numFmtId="0" fontId="1" fillId="0" borderId="16" xfId="0" applyFont="1" applyBorder="1" applyAlignment="1">
      <alignment horizontal="right" vertical="center"/>
    </xf>
    <xf numFmtId="0" fontId="2" fillId="0" borderId="20" xfId="0" applyFont="1" applyBorder="1" applyAlignment="1">
      <alignment horizontal="right" vertical="center"/>
    </xf>
    <xf numFmtId="0" fontId="11" fillId="3" borderId="4" xfId="0" applyFont="1" applyFill="1" applyBorder="1" applyAlignment="1">
      <alignment horizontal="right" vertical="center"/>
    </xf>
    <xf numFmtId="177" fontId="12" fillId="3" borderId="4" xfId="0" applyNumberFormat="1" applyFont="1" applyFill="1" applyBorder="1" applyAlignment="1">
      <alignment vertical="center"/>
    </xf>
    <xf numFmtId="178" fontId="1" fillId="3" borderId="4" xfId="0" applyNumberFormat="1" applyFont="1" applyFill="1" applyBorder="1" applyAlignment="1">
      <alignment horizontal="right" vertical="center"/>
    </xf>
    <xf numFmtId="177" fontId="1" fillId="2" borderId="4" xfId="0" applyNumberFormat="1" applyFont="1" applyFill="1" applyBorder="1" applyAlignment="1">
      <alignment vertical="center"/>
    </xf>
    <xf numFmtId="177" fontId="13" fillId="3" borderId="4" xfId="0" applyNumberFormat="1" applyFont="1" applyFill="1" applyBorder="1" applyAlignment="1">
      <alignment horizontal="right" vertical="center"/>
    </xf>
    <xf numFmtId="177" fontId="1" fillId="3" borderId="4" xfId="0" applyNumberFormat="1" applyFont="1" applyFill="1" applyBorder="1" applyAlignment="1">
      <alignment horizontal="right" vertical="center"/>
    </xf>
    <xf numFmtId="9" fontId="1" fillId="3" borderId="4" xfId="0" applyNumberFormat="1" applyFont="1" applyFill="1" applyBorder="1" applyAlignment="1">
      <alignment vertical="center"/>
    </xf>
    <xf numFmtId="0" fontId="14" fillId="5" borderId="1" xfId="0" applyFont="1" applyFill="1" applyBorder="1"/>
    <xf numFmtId="0" fontId="14" fillId="5" borderId="1" xfId="0" applyFont="1" applyFill="1" applyBorder="1" applyAlignment="1">
      <alignment horizontal="center"/>
    </xf>
    <xf numFmtId="0" fontId="14" fillId="2" borderId="1" xfId="0" applyFont="1" applyFill="1" applyBorder="1"/>
    <xf numFmtId="0" fontId="16" fillId="7" borderId="28" xfId="0" applyFont="1" applyFill="1" applyBorder="1" applyAlignment="1">
      <alignment horizontal="center"/>
    </xf>
    <xf numFmtId="0" fontId="16" fillId="7" borderId="4" xfId="0" applyFont="1" applyFill="1" applyBorder="1"/>
    <xf numFmtId="0" fontId="18" fillId="0" borderId="0" xfId="0" applyFont="1"/>
    <xf numFmtId="0" fontId="19" fillId="0" borderId="4" xfId="0" applyFont="1" applyBorder="1" applyAlignment="1">
      <alignment horizontal="center"/>
    </xf>
    <xf numFmtId="180" fontId="16" fillId="9" borderId="1" xfId="0" applyNumberFormat="1" applyFont="1" applyFill="1" applyBorder="1" applyAlignment="1">
      <alignment horizontal="right"/>
    </xf>
    <xf numFmtId="10" fontId="2" fillId="10" borderId="4" xfId="0" applyNumberFormat="1" applyFont="1" applyFill="1" applyBorder="1"/>
    <xf numFmtId="180" fontId="22" fillId="8" borderId="4" xfId="0" applyNumberFormat="1" applyFont="1" applyFill="1" applyBorder="1"/>
    <xf numFmtId="182" fontId="14" fillId="5" borderId="1" xfId="0" applyNumberFormat="1" applyFont="1" applyFill="1" applyBorder="1"/>
    <xf numFmtId="0" fontId="23" fillId="5" borderId="1" xfId="0" applyFont="1" applyFill="1" applyBorder="1"/>
    <xf numFmtId="0" fontId="23" fillId="5" borderId="1" xfId="0" applyFont="1" applyFill="1" applyBorder="1" applyAlignment="1">
      <alignment horizontal="center"/>
    </xf>
    <xf numFmtId="0" fontId="23" fillId="5" borderId="29" xfId="0" applyFont="1" applyFill="1" applyBorder="1"/>
    <xf numFmtId="0" fontId="18" fillId="2" borderId="1" xfId="0" applyFont="1" applyFill="1" applyBorder="1"/>
    <xf numFmtId="0" fontId="24" fillId="5" borderId="4" xfId="0" applyFont="1" applyFill="1" applyBorder="1" applyAlignment="1">
      <alignment horizontal="center"/>
    </xf>
    <xf numFmtId="0" fontId="25" fillId="5" borderId="1" xfId="0" applyFont="1" applyFill="1" applyBorder="1"/>
    <xf numFmtId="0" fontId="26" fillId="0" borderId="0" xfId="0" applyFont="1"/>
    <xf numFmtId="0" fontId="28" fillId="7" borderId="4" xfId="0" applyFont="1" applyFill="1" applyBorder="1" applyAlignment="1">
      <alignment horizontal="center"/>
    </xf>
    <xf numFmtId="0" fontId="29" fillId="7" borderId="4" xfId="0" applyFont="1" applyFill="1" applyBorder="1" applyAlignment="1">
      <alignment horizontal="center"/>
    </xf>
    <xf numFmtId="0" fontId="30" fillId="7" borderId="28" xfId="0" applyFont="1" applyFill="1" applyBorder="1" applyAlignment="1">
      <alignment horizontal="center"/>
    </xf>
    <xf numFmtId="0" fontId="31" fillId="7" borderId="4" xfId="0" applyFont="1" applyFill="1" applyBorder="1" applyAlignment="1">
      <alignment horizontal="center"/>
    </xf>
    <xf numFmtId="0" fontId="28" fillId="7" borderId="6" xfId="0" applyFont="1" applyFill="1" applyBorder="1" applyAlignment="1">
      <alignment horizontal="center"/>
    </xf>
    <xf numFmtId="0" fontId="23" fillId="8" borderId="15" xfId="0" applyFont="1" applyFill="1" applyBorder="1" applyAlignment="1">
      <alignment horizontal="center"/>
    </xf>
    <xf numFmtId="0" fontId="23" fillId="8" borderId="32" xfId="0" applyFont="1" applyFill="1" applyBorder="1" applyAlignment="1">
      <alignment horizontal="center"/>
    </xf>
    <xf numFmtId="180" fontId="32" fillId="8" borderId="32" xfId="0" applyNumberFormat="1" applyFont="1" applyFill="1" applyBorder="1" applyAlignment="1">
      <alignment horizontal="right"/>
    </xf>
    <xf numFmtId="9" fontId="10" fillId="9" borderId="4" xfId="0" applyNumberFormat="1" applyFont="1" applyFill="1" applyBorder="1" applyAlignment="1">
      <alignment horizontal="center"/>
    </xf>
    <xf numFmtId="182" fontId="17" fillId="13" borderId="28" xfId="0" applyNumberFormat="1" applyFont="1" applyFill="1" applyBorder="1"/>
    <xf numFmtId="10" fontId="32" fillId="8" borderId="28" xfId="0" applyNumberFormat="1" applyFont="1" applyFill="1" applyBorder="1"/>
    <xf numFmtId="10" fontId="23" fillId="3" borderId="4" xfId="0" applyNumberFormat="1" applyFont="1" applyFill="1" applyBorder="1"/>
    <xf numFmtId="183" fontId="33" fillId="0" borderId="0" xfId="0" applyNumberFormat="1" applyFont="1"/>
    <xf numFmtId="184" fontId="18" fillId="0" borderId="0" xfId="0" applyNumberFormat="1" applyFont="1"/>
    <xf numFmtId="10" fontId="18" fillId="5" borderId="1" xfId="0" applyNumberFormat="1" applyFont="1" applyFill="1" applyBorder="1"/>
    <xf numFmtId="10" fontId="18" fillId="0" borderId="0" xfId="0" applyNumberFormat="1" applyFont="1"/>
    <xf numFmtId="0" fontId="14" fillId="0" borderId="0" xfId="0" applyFont="1"/>
    <xf numFmtId="180" fontId="17" fillId="13" borderId="28" xfId="0" applyNumberFormat="1" applyFont="1" applyFill="1" applyBorder="1"/>
    <xf numFmtId="10" fontId="14" fillId="0" borderId="0" xfId="0" applyNumberFormat="1" applyFont="1"/>
    <xf numFmtId="14" fontId="23" fillId="5" borderId="1" xfId="0" applyNumberFormat="1" applyFont="1" applyFill="1" applyBorder="1"/>
    <xf numFmtId="0" fontId="23" fillId="5" borderId="1" xfId="0" applyFont="1" applyFill="1" applyBorder="1" applyAlignment="1">
      <alignment horizontal="left"/>
    </xf>
    <xf numFmtId="0" fontId="23" fillId="2" borderId="1" xfId="0" applyFont="1" applyFill="1" applyBorder="1"/>
    <xf numFmtId="0" fontId="20" fillId="14" borderId="4" xfId="0" applyFont="1" applyFill="1" applyBorder="1"/>
    <xf numFmtId="0" fontId="14" fillId="14" borderId="4" xfId="0" applyFont="1" applyFill="1" applyBorder="1" applyAlignment="1">
      <alignment horizontal="center"/>
    </xf>
    <xf numFmtId="0" fontId="20" fillId="14" borderId="33" xfId="0" applyFont="1" applyFill="1" applyBorder="1"/>
    <xf numFmtId="0" fontId="20" fillId="14" borderId="33" xfId="0" applyFont="1" applyFill="1" applyBorder="1" applyAlignment="1">
      <alignment horizontal="left"/>
    </xf>
    <xf numFmtId="0" fontId="20" fillId="14" borderId="34" xfId="0" applyFont="1" applyFill="1" applyBorder="1"/>
    <xf numFmtId="0" fontId="20" fillId="2" borderId="35" xfId="0" applyFont="1" applyFill="1" applyBorder="1"/>
    <xf numFmtId="0" fontId="20" fillId="12" borderId="33" xfId="0" applyFont="1" applyFill="1" applyBorder="1"/>
    <xf numFmtId="0" fontId="20" fillId="14" borderId="29" xfId="0" applyFont="1" applyFill="1" applyBorder="1"/>
    <xf numFmtId="0" fontId="20" fillId="5" borderId="35" xfId="0" applyFont="1" applyFill="1" applyBorder="1"/>
    <xf numFmtId="0" fontId="20" fillId="15" borderId="33" xfId="0" applyFont="1" applyFill="1" applyBorder="1"/>
    <xf numFmtId="0" fontId="20" fillId="5" borderId="36" xfId="0" applyFont="1" applyFill="1" applyBorder="1"/>
    <xf numFmtId="0" fontId="20" fillId="16" borderId="4" xfId="0" applyFont="1" applyFill="1" applyBorder="1"/>
    <xf numFmtId="0" fontId="35" fillId="16" borderId="4" xfId="0" applyFont="1" applyFill="1" applyBorder="1"/>
    <xf numFmtId="0" fontId="35" fillId="3" borderId="4" xfId="0" applyFont="1" applyFill="1" applyBorder="1" applyAlignment="1">
      <alignment horizontal="center"/>
    </xf>
    <xf numFmtId="183" fontId="35" fillId="3" borderId="4" xfId="0" applyNumberFormat="1" applyFont="1" applyFill="1" applyBorder="1" applyAlignment="1">
      <alignment horizontal="center"/>
    </xf>
    <xf numFmtId="0" fontId="35" fillId="3" borderId="4" xfId="0" applyFont="1" applyFill="1" applyBorder="1"/>
    <xf numFmtId="0" fontId="23" fillId="11" borderId="15" xfId="0" applyFont="1" applyFill="1" applyBorder="1" applyAlignment="1">
      <alignment horizontal="right"/>
    </xf>
    <xf numFmtId="0" fontId="14" fillId="9" borderId="4" xfId="0" applyFont="1" applyFill="1" applyBorder="1" applyAlignment="1">
      <alignment horizontal="center"/>
    </xf>
    <xf numFmtId="183" fontId="23" fillId="8" borderId="32" xfId="0" applyNumberFormat="1" applyFont="1" applyFill="1" applyBorder="1" applyAlignment="1">
      <alignment horizontal="center"/>
    </xf>
    <xf numFmtId="185" fontId="23" fillId="8" borderId="32" xfId="0" applyNumberFormat="1" applyFont="1" applyFill="1" applyBorder="1" applyAlignment="1">
      <alignment horizontal="right"/>
    </xf>
    <xf numFmtId="186" fontId="23" fillId="8" borderId="32" xfId="0" applyNumberFormat="1" applyFont="1" applyFill="1" applyBorder="1" applyAlignment="1">
      <alignment horizontal="left"/>
    </xf>
    <xf numFmtId="0" fontId="23" fillId="6" borderId="14" xfId="0" applyFont="1" applyFill="1" applyBorder="1"/>
    <xf numFmtId="0" fontId="23" fillId="2" borderId="35" xfId="0" applyFont="1" applyFill="1" applyBorder="1"/>
    <xf numFmtId="182" fontId="20" fillId="6" borderId="32" xfId="0" applyNumberFormat="1" applyFont="1" applyFill="1" applyBorder="1" applyAlignment="1">
      <alignment horizontal="right"/>
    </xf>
    <xf numFmtId="182" fontId="20" fillId="2" borderId="35" xfId="0" applyNumberFormat="1" applyFont="1" applyFill="1" applyBorder="1" applyAlignment="1">
      <alignment horizontal="right"/>
    </xf>
    <xf numFmtId="182" fontId="23" fillId="8" borderId="32" xfId="0" applyNumberFormat="1" applyFont="1" applyFill="1" applyBorder="1"/>
    <xf numFmtId="182" fontId="23" fillId="8" borderId="34" xfId="0" applyNumberFormat="1" applyFont="1" applyFill="1" applyBorder="1"/>
    <xf numFmtId="10" fontId="23" fillId="8" borderId="4" xfId="0" applyNumberFormat="1" applyFont="1" applyFill="1" applyBorder="1" applyAlignment="1">
      <alignment horizontal="right"/>
    </xf>
    <xf numFmtId="182" fontId="23" fillId="8" borderId="35" xfId="0" applyNumberFormat="1" applyFont="1" applyFill="1" applyBorder="1"/>
    <xf numFmtId="182" fontId="23" fillId="8" borderId="14" xfId="0" applyNumberFormat="1" applyFont="1" applyFill="1" applyBorder="1"/>
    <xf numFmtId="10" fontId="23" fillId="8" borderId="4" xfId="0" applyNumberFormat="1" applyFont="1" applyFill="1" applyBorder="1" applyAlignment="1">
      <alignment vertical="center"/>
    </xf>
    <xf numFmtId="187" fontId="23" fillId="8" borderId="36" xfId="0" applyNumberFormat="1" applyFont="1" applyFill="1" applyBorder="1"/>
    <xf numFmtId="182" fontId="23" fillId="8" borderId="15" xfId="0" applyNumberFormat="1" applyFont="1" applyFill="1" applyBorder="1"/>
    <xf numFmtId="10" fontId="36" fillId="3" borderId="4" xfId="0" applyNumberFormat="1" applyFont="1" applyFill="1" applyBorder="1" applyAlignment="1">
      <alignment vertical="center"/>
    </xf>
    <xf numFmtId="188" fontId="14" fillId="5" borderId="1" xfId="0" applyNumberFormat="1" applyFont="1" applyFill="1" applyBorder="1"/>
    <xf numFmtId="189" fontId="14" fillId="5" borderId="1" xfId="0" applyNumberFormat="1" applyFont="1" applyFill="1" applyBorder="1"/>
    <xf numFmtId="0" fontId="14" fillId="5" borderId="4" xfId="0" applyFont="1" applyFill="1" applyBorder="1"/>
    <xf numFmtId="188" fontId="14" fillId="5" borderId="4" xfId="0" applyNumberFormat="1" applyFont="1" applyFill="1" applyBorder="1" applyAlignment="1">
      <alignment horizontal="center"/>
    </xf>
    <xf numFmtId="177" fontId="14" fillId="5" borderId="4" xfId="0" applyNumberFormat="1" applyFont="1" applyFill="1" applyBorder="1"/>
    <xf numFmtId="0" fontId="14" fillId="5" borderId="4" xfId="0" applyFont="1" applyFill="1" applyBorder="1" applyAlignment="1">
      <alignment horizontal="center"/>
    </xf>
    <xf numFmtId="14" fontId="14" fillId="5" borderId="1" xfId="0" applyNumberFormat="1" applyFont="1" applyFill="1" applyBorder="1"/>
    <xf numFmtId="189" fontId="14" fillId="5" borderId="4" xfId="0" applyNumberFormat="1" applyFont="1" applyFill="1" applyBorder="1" applyAlignment="1">
      <alignment horizontal="center"/>
    </xf>
    <xf numFmtId="180" fontId="14" fillId="5" borderId="1" xfId="0" applyNumberFormat="1" applyFont="1" applyFill="1" applyBorder="1"/>
    <xf numFmtId="187" fontId="23" fillId="8" borderId="36" xfId="0" applyNumberFormat="1" applyFont="1" applyFill="1" applyBorder="1" applyAlignment="1">
      <alignment horizontal="right"/>
    </xf>
    <xf numFmtId="180" fontId="2" fillId="6" borderId="32" xfId="0" applyNumberFormat="1" applyFont="1" applyFill="1" applyBorder="1" applyAlignment="1">
      <alignment horizontal="right"/>
    </xf>
    <xf numFmtId="180" fontId="2" fillId="2" borderId="35" xfId="0" applyNumberFormat="1" applyFont="1" applyFill="1" applyBorder="1" applyAlignment="1">
      <alignment horizontal="right"/>
    </xf>
    <xf numFmtId="180" fontId="23" fillId="8" borderId="36" xfId="0" applyNumberFormat="1" applyFont="1" applyFill="1" applyBorder="1" applyAlignment="1">
      <alignment horizontal="right"/>
    </xf>
    <xf numFmtId="14" fontId="37" fillId="12" borderId="1" xfId="0" applyNumberFormat="1" applyFont="1" applyFill="1" applyBorder="1"/>
    <xf numFmtId="177" fontId="37" fillId="12" borderId="4" xfId="0" applyNumberFormat="1" applyFont="1" applyFill="1" applyBorder="1"/>
    <xf numFmtId="180" fontId="37" fillId="12" borderId="1" xfId="0" applyNumberFormat="1" applyFont="1" applyFill="1" applyBorder="1"/>
    <xf numFmtId="180" fontId="14" fillId="6" borderId="32" xfId="0" applyNumberFormat="1" applyFont="1" applyFill="1" applyBorder="1"/>
    <xf numFmtId="180" fontId="14" fillId="2" borderId="35" xfId="0" applyNumberFormat="1" applyFont="1" applyFill="1" applyBorder="1"/>
    <xf numFmtId="0" fontId="23" fillId="8" borderId="36" xfId="0" applyFont="1" applyFill="1" applyBorder="1"/>
    <xf numFmtId="180" fontId="2" fillId="6" borderId="32" xfId="0" applyNumberFormat="1" applyFont="1" applyFill="1" applyBorder="1"/>
    <xf numFmtId="180" fontId="23" fillId="8" borderId="35" xfId="0" applyNumberFormat="1" applyFont="1" applyFill="1" applyBorder="1" applyAlignment="1">
      <alignment horizontal="right"/>
    </xf>
    <xf numFmtId="0" fontId="23" fillId="8" borderId="35" xfId="0" applyFont="1" applyFill="1" applyBorder="1"/>
    <xf numFmtId="180" fontId="20" fillId="6" borderId="32" xfId="0" applyNumberFormat="1" applyFont="1" applyFill="1" applyBorder="1" applyAlignment="1">
      <alignment horizontal="right"/>
    </xf>
    <xf numFmtId="180" fontId="20" fillId="2" borderId="35" xfId="0" applyNumberFormat="1" applyFont="1" applyFill="1" applyBorder="1" applyAlignment="1">
      <alignment horizontal="right"/>
    </xf>
    <xf numFmtId="0" fontId="23" fillId="11" borderId="16" xfId="0" applyFont="1" applyFill="1" applyBorder="1" applyAlignment="1">
      <alignment horizontal="right"/>
    </xf>
    <xf numFmtId="0" fontId="14" fillId="9" borderId="16" xfId="0" applyFont="1" applyFill="1" applyBorder="1" applyAlignment="1">
      <alignment horizontal="center"/>
    </xf>
    <xf numFmtId="183" fontId="23" fillId="8" borderId="37" xfId="0" applyNumberFormat="1" applyFont="1" applyFill="1" applyBorder="1" applyAlignment="1">
      <alignment horizontal="center"/>
    </xf>
    <xf numFmtId="185" fontId="23" fillId="8" borderId="38" xfId="0" applyNumberFormat="1" applyFont="1" applyFill="1" applyBorder="1" applyAlignment="1">
      <alignment horizontal="right"/>
    </xf>
    <xf numFmtId="186" fontId="23" fillId="8" borderId="16" xfId="0" applyNumberFormat="1" applyFont="1" applyFill="1" applyBorder="1" applyAlignment="1">
      <alignment horizontal="left"/>
    </xf>
    <xf numFmtId="0" fontId="23" fillId="6" borderId="39" xfId="0" applyFont="1" applyFill="1" applyBorder="1"/>
    <xf numFmtId="0" fontId="23" fillId="2" borderId="40" xfId="0" applyFont="1" applyFill="1" applyBorder="1"/>
    <xf numFmtId="180" fontId="20" fillId="6" borderId="38" xfId="0" applyNumberFormat="1" applyFont="1" applyFill="1" applyBorder="1" applyAlignment="1">
      <alignment horizontal="right"/>
    </xf>
    <xf numFmtId="180" fontId="20" fillId="2" borderId="40" xfId="0" applyNumberFormat="1" applyFont="1" applyFill="1" applyBorder="1" applyAlignment="1">
      <alignment horizontal="right"/>
    </xf>
    <xf numFmtId="182" fontId="23" fillId="8" borderId="38" xfId="0" applyNumberFormat="1" applyFont="1" applyFill="1" applyBorder="1"/>
    <xf numFmtId="182" fontId="23" fillId="8" borderId="39" xfId="0" applyNumberFormat="1" applyFont="1" applyFill="1" applyBorder="1"/>
    <xf numFmtId="10" fontId="23" fillId="8" borderId="41" xfId="0" applyNumberFormat="1" applyFont="1" applyFill="1" applyBorder="1" applyAlignment="1">
      <alignment horizontal="right"/>
    </xf>
    <xf numFmtId="180" fontId="23" fillId="8" borderId="40" xfId="0" applyNumberFormat="1" applyFont="1" applyFill="1" applyBorder="1" applyAlignment="1">
      <alignment horizontal="right"/>
    </xf>
    <xf numFmtId="182" fontId="20" fillId="8" borderId="16" xfId="0" applyNumberFormat="1" applyFont="1" applyFill="1" applyBorder="1"/>
    <xf numFmtId="10" fontId="23" fillId="8" borderId="16" xfId="0" applyNumberFormat="1" applyFont="1" applyFill="1" applyBorder="1" applyAlignment="1">
      <alignment vertical="center"/>
    </xf>
    <xf numFmtId="180" fontId="23" fillId="8" borderId="37" xfId="0" applyNumberFormat="1" applyFont="1" applyFill="1" applyBorder="1" applyAlignment="1">
      <alignment horizontal="right"/>
    </xf>
    <xf numFmtId="182" fontId="23" fillId="8" borderId="16" xfId="0" applyNumberFormat="1" applyFont="1" applyFill="1" applyBorder="1"/>
    <xf numFmtId="10" fontId="36" fillId="3" borderId="16" xfId="0" applyNumberFormat="1" applyFont="1" applyFill="1" applyBorder="1" applyAlignment="1">
      <alignment vertical="center"/>
    </xf>
    <xf numFmtId="0" fontId="14" fillId="9" borderId="15" xfId="0" applyFont="1" applyFill="1" applyBorder="1" applyAlignment="1">
      <alignment horizontal="center"/>
    </xf>
    <xf numFmtId="10" fontId="23" fillId="8" borderId="15" xfId="0" applyNumberFormat="1" applyFont="1" applyFill="1" applyBorder="1" applyAlignment="1">
      <alignment horizontal="right"/>
    </xf>
    <xf numFmtId="10" fontId="23" fillId="8" borderId="15" xfId="0" applyNumberFormat="1" applyFont="1" applyFill="1" applyBorder="1" applyAlignment="1">
      <alignment vertical="center"/>
    </xf>
    <xf numFmtId="10" fontId="36" fillId="3" borderId="15" xfId="0" applyNumberFormat="1" applyFont="1" applyFill="1" applyBorder="1" applyAlignment="1">
      <alignment vertical="center"/>
    </xf>
    <xf numFmtId="0" fontId="23" fillId="6" borderId="42" xfId="0" applyFont="1" applyFill="1" applyBorder="1"/>
    <xf numFmtId="0" fontId="23" fillId="11" borderId="40" xfId="0" applyFont="1" applyFill="1" applyBorder="1" applyAlignment="1">
      <alignment horizontal="right"/>
    </xf>
    <xf numFmtId="10" fontId="23" fillId="8" borderId="16" xfId="0" applyNumberFormat="1" applyFont="1" applyFill="1" applyBorder="1" applyAlignment="1">
      <alignment horizontal="right"/>
    </xf>
    <xf numFmtId="182" fontId="20" fillId="8" borderId="38" xfId="0" applyNumberFormat="1" applyFont="1" applyFill="1" applyBorder="1"/>
    <xf numFmtId="185" fontId="23" fillId="8" borderId="37" xfId="0" applyNumberFormat="1" applyFont="1" applyFill="1" applyBorder="1" applyAlignment="1">
      <alignment horizontal="right"/>
    </xf>
    <xf numFmtId="180" fontId="20" fillId="6" borderId="37" xfId="0" applyNumberFormat="1" applyFont="1" applyFill="1" applyBorder="1" applyAlignment="1">
      <alignment horizontal="right"/>
    </xf>
    <xf numFmtId="182" fontId="23" fillId="8" borderId="37" xfId="0" applyNumberFormat="1" applyFont="1" applyFill="1" applyBorder="1"/>
    <xf numFmtId="182" fontId="20" fillId="8" borderId="37" xfId="0" applyNumberFormat="1" applyFont="1" applyFill="1" applyBorder="1"/>
    <xf numFmtId="182" fontId="23" fillId="8" borderId="42" xfId="0" applyNumberFormat="1" applyFont="1" applyFill="1" applyBorder="1"/>
    <xf numFmtId="0" fontId="23" fillId="8" borderId="40" xfId="0" applyFont="1" applyFill="1" applyBorder="1"/>
    <xf numFmtId="0" fontId="23" fillId="8" borderId="37" xfId="0" applyFont="1" applyFill="1" applyBorder="1"/>
    <xf numFmtId="182" fontId="23" fillId="8" borderId="4" xfId="0" applyNumberFormat="1" applyFont="1" applyFill="1" applyBorder="1"/>
    <xf numFmtId="182" fontId="20" fillId="8" borderId="40" xfId="0" applyNumberFormat="1" applyFont="1" applyFill="1" applyBorder="1"/>
    <xf numFmtId="0" fontId="18" fillId="0" borderId="0" xfId="0" applyFont="1" applyAlignment="1">
      <alignment horizontal="center"/>
    </xf>
    <xf numFmtId="0" fontId="17" fillId="7" borderId="4" xfId="0" applyFont="1" applyFill="1" applyBorder="1"/>
    <xf numFmtId="9" fontId="17" fillId="9" borderId="4" xfId="0" applyNumberFormat="1" applyFont="1" applyFill="1" applyBorder="1"/>
    <xf numFmtId="180" fontId="39" fillId="11" borderId="4" xfId="0" applyNumberFormat="1" applyFont="1" applyFill="1" applyBorder="1"/>
    <xf numFmtId="0" fontId="35" fillId="7" borderId="4" xfId="0" applyFont="1" applyFill="1" applyBorder="1" applyAlignment="1">
      <alignment horizontal="center"/>
    </xf>
    <xf numFmtId="0" fontId="40" fillId="7" borderId="4" xfId="0" applyFont="1" applyFill="1" applyBorder="1" applyAlignment="1">
      <alignment horizontal="center"/>
    </xf>
    <xf numFmtId="0" fontId="41" fillId="7" borderId="28" xfId="0" applyFont="1" applyFill="1" applyBorder="1" applyAlignment="1">
      <alignment horizontal="center"/>
    </xf>
    <xf numFmtId="9" fontId="14" fillId="0" borderId="0" xfId="0" applyNumberFormat="1" applyFont="1"/>
    <xf numFmtId="180" fontId="2" fillId="3" borderId="4" xfId="0" applyNumberFormat="1" applyFont="1" applyFill="1" applyBorder="1"/>
    <xf numFmtId="182" fontId="42" fillId="13" borderId="28" xfId="0" applyNumberFormat="1" applyFont="1" applyFill="1" applyBorder="1"/>
    <xf numFmtId="10" fontId="1" fillId="8" borderId="4" xfId="0" applyNumberFormat="1" applyFont="1" applyFill="1" applyBorder="1"/>
    <xf numFmtId="9" fontId="21" fillId="6" borderId="4" xfId="0" applyNumberFormat="1" applyFont="1" applyFill="1" applyBorder="1"/>
    <xf numFmtId="184" fontId="21" fillId="17" borderId="4" xfId="0" applyNumberFormat="1" applyFont="1" applyFill="1" applyBorder="1"/>
    <xf numFmtId="10" fontId="14" fillId="5" borderId="1" xfId="0" applyNumberFormat="1" applyFont="1" applyFill="1" applyBorder="1"/>
    <xf numFmtId="180" fontId="43" fillId="13" borderId="28" xfId="0" applyNumberFormat="1" applyFont="1" applyFill="1" applyBorder="1"/>
    <xf numFmtId="0" fontId="30" fillId="14" borderId="4" xfId="0" applyFont="1" applyFill="1" applyBorder="1"/>
    <xf numFmtId="0" fontId="20" fillId="9" borderId="4" xfId="0" applyFont="1" applyFill="1" applyBorder="1"/>
    <xf numFmtId="180" fontId="23" fillId="9" borderId="4" xfId="0" applyNumberFormat="1" applyFont="1" applyFill="1" applyBorder="1" applyAlignment="1">
      <alignment horizontal="right"/>
    </xf>
    <xf numFmtId="180" fontId="23" fillId="8" borderId="4" xfId="0" applyNumberFormat="1" applyFont="1" applyFill="1" applyBorder="1" applyAlignment="1">
      <alignment horizontal="right"/>
    </xf>
    <xf numFmtId="0" fontId="14" fillId="0" borderId="46" xfId="0" applyFont="1" applyBorder="1"/>
    <xf numFmtId="0" fontId="20" fillId="14" borderId="28" xfId="0" applyFont="1" applyFill="1" applyBorder="1"/>
    <xf numFmtId="177" fontId="35" fillId="3" borderId="4" xfId="0" applyNumberFormat="1" applyFont="1" applyFill="1" applyBorder="1" applyAlignment="1">
      <alignment horizontal="center"/>
    </xf>
    <xf numFmtId="188" fontId="23" fillId="11" borderId="32" xfId="0" applyNumberFormat="1" applyFont="1" applyFill="1" applyBorder="1" applyAlignment="1">
      <alignment horizontal="center"/>
    </xf>
    <xf numFmtId="185" fontId="23" fillId="11" borderId="32" xfId="0" applyNumberFormat="1" applyFont="1" applyFill="1" applyBorder="1" applyAlignment="1">
      <alignment horizontal="right"/>
    </xf>
    <xf numFmtId="189" fontId="23" fillId="11" borderId="32" xfId="0" applyNumberFormat="1" applyFont="1" applyFill="1" applyBorder="1" applyAlignment="1">
      <alignment horizontal="left"/>
    </xf>
    <xf numFmtId="0" fontId="23" fillId="9" borderId="14" xfId="0" applyFont="1" applyFill="1" applyBorder="1"/>
    <xf numFmtId="182" fontId="20" fillId="5" borderId="35" xfId="0" applyNumberFormat="1" applyFont="1" applyFill="1" applyBorder="1" applyAlignment="1">
      <alignment horizontal="right"/>
    </xf>
    <xf numFmtId="182" fontId="20" fillId="9" borderId="14" xfId="0" applyNumberFormat="1" applyFont="1" applyFill="1" applyBorder="1" applyAlignment="1">
      <alignment horizontal="right"/>
    </xf>
    <xf numFmtId="0" fontId="14" fillId="8" borderId="1" xfId="0" applyFont="1" applyFill="1" applyBorder="1"/>
    <xf numFmtId="187" fontId="23" fillId="8" borderId="35" xfId="0" applyNumberFormat="1" applyFont="1" applyFill="1" applyBorder="1"/>
    <xf numFmtId="189" fontId="14" fillId="5" borderId="4" xfId="0" applyNumberFormat="1" applyFont="1" applyFill="1" applyBorder="1"/>
    <xf numFmtId="188" fontId="14" fillId="5" borderId="4" xfId="0" applyNumberFormat="1" applyFont="1" applyFill="1" applyBorder="1"/>
    <xf numFmtId="185" fontId="14" fillId="5" borderId="1" xfId="0" applyNumberFormat="1" applyFont="1" applyFill="1" applyBorder="1"/>
    <xf numFmtId="183" fontId="14" fillId="5" borderId="4" xfId="0" applyNumberFormat="1" applyFont="1" applyFill="1" applyBorder="1"/>
    <xf numFmtId="10" fontId="14" fillId="5" borderId="4" xfId="0" applyNumberFormat="1" applyFont="1" applyFill="1" applyBorder="1"/>
    <xf numFmtId="187" fontId="23" fillId="8" borderId="35" xfId="0" applyNumberFormat="1" applyFont="1" applyFill="1" applyBorder="1" applyAlignment="1">
      <alignment horizontal="right"/>
    </xf>
    <xf numFmtId="180" fontId="20" fillId="5" borderId="35" xfId="0" applyNumberFormat="1" applyFont="1" applyFill="1" applyBorder="1" applyAlignment="1">
      <alignment horizontal="right"/>
    </xf>
    <xf numFmtId="180" fontId="20" fillId="9" borderId="14" xfId="0" applyNumberFormat="1" applyFont="1" applyFill="1" applyBorder="1" applyAlignment="1">
      <alignment horizontal="right"/>
    </xf>
    <xf numFmtId="188" fontId="23" fillId="11" borderId="37" xfId="0" applyNumberFormat="1" applyFont="1" applyFill="1" applyBorder="1" applyAlignment="1">
      <alignment horizontal="center"/>
    </xf>
    <xf numFmtId="185" fontId="23" fillId="11" borderId="37" xfId="0" applyNumberFormat="1" applyFont="1" applyFill="1" applyBorder="1" applyAlignment="1">
      <alignment horizontal="right"/>
    </xf>
    <xf numFmtId="189" fontId="23" fillId="11" borderId="16" xfId="0" applyNumberFormat="1" applyFont="1" applyFill="1" applyBorder="1" applyAlignment="1">
      <alignment horizontal="left"/>
    </xf>
    <xf numFmtId="0" fontId="23" fillId="9" borderId="42" xfId="0" applyFont="1" applyFill="1" applyBorder="1"/>
    <xf numFmtId="180" fontId="20" fillId="5" borderId="40" xfId="0" applyNumberFormat="1" applyFont="1" applyFill="1" applyBorder="1" applyAlignment="1">
      <alignment horizontal="right"/>
    </xf>
    <xf numFmtId="180" fontId="20" fillId="9" borderId="42" xfId="0" applyNumberFormat="1" applyFont="1" applyFill="1" applyBorder="1" applyAlignment="1">
      <alignment horizontal="right"/>
    </xf>
    <xf numFmtId="0" fontId="14" fillId="8" borderId="42" xfId="0" applyFont="1" applyFill="1" applyBorder="1"/>
    <xf numFmtId="0" fontId="14" fillId="9" borderId="6" xfId="0" applyFont="1" applyFill="1" applyBorder="1" applyAlignment="1">
      <alignment horizontal="center"/>
    </xf>
    <xf numFmtId="180" fontId="2" fillId="5" borderId="35" xfId="0" applyNumberFormat="1" applyFont="1" applyFill="1" applyBorder="1" applyAlignment="1">
      <alignment horizontal="right"/>
    </xf>
    <xf numFmtId="180" fontId="2" fillId="9" borderId="14" xfId="0" applyNumberFormat="1" applyFont="1" applyFill="1" applyBorder="1" applyAlignment="1">
      <alignment horizontal="right"/>
    </xf>
    <xf numFmtId="0" fontId="15" fillId="2" borderId="1" xfId="0" applyFont="1" applyFill="1" applyBorder="1" applyAlignment="1">
      <alignment vertical="center"/>
    </xf>
    <xf numFmtId="0" fontId="36" fillId="2" borderId="1" xfId="0" applyFont="1" applyFill="1" applyBorder="1" applyAlignment="1">
      <alignment vertical="center"/>
    </xf>
    <xf numFmtId="0" fontId="15" fillId="2" borderId="1" xfId="0" applyFont="1" applyFill="1" applyBorder="1" applyAlignment="1">
      <alignment horizontal="right" vertical="center"/>
    </xf>
    <xf numFmtId="192" fontId="15" fillId="2" borderId="1" xfId="0" applyNumberFormat="1" applyFont="1" applyFill="1" applyBorder="1" applyAlignment="1">
      <alignment horizontal="center" vertical="center"/>
    </xf>
    <xf numFmtId="0" fontId="44" fillId="2" borderId="1" xfId="0" applyFont="1" applyFill="1" applyBorder="1"/>
    <xf numFmtId="0" fontId="36" fillId="2" borderId="4" xfId="0" applyFont="1" applyFill="1" applyBorder="1" applyAlignment="1">
      <alignment vertical="center"/>
    </xf>
    <xf numFmtId="0" fontId="45" fillId="2" borderId="4" xfId="0" applyFont="1" applyFill="1" applyBorder="1" applyAlignment="1">
      <alignment horizontal="right" vertical="center"/>
    </xf>
    <xf numFmtId="9" fontId="46" fillId="2" borderId="1" xfId="0" applyNumberFormat="1" applyFont="1" applyFill="1" applyBorder="1" applyAlignment="1">
      <alignment vertical="center"/>
    </xf>
    <xf numFmtId="0" fontId="48" fillId="19" borderId="4" xfId="0" applyFont="1" applyFill="1" applyBorder="1" applyAlignment="1">
      <alignment horizontal="right" vertical="center"/>
    </xf>
    <xf numFmtId="193" fontId="50" fillId="2" borderId="1" xfId="0" applyNumberFormat="1" applyFont="1" applyFill="1" applyBorder="1" applyAlignment="1">
      <alignment vertical="center"/>
    </xf>
    <xf numFmtId="0" fontId="51" fillId="2" borderId="1" xfId="0" applyFont="1" applyFill="1" applyBorder="1" applyAlignment="1">
      <alignment horizontal="center" vertical="center"/>
    </xf>
    <xf numFmtId="0" fontId="51" fillId="2" borderId="14" xfId="0" applyFont="1" applyFill="1" applyBorder="1" applyAlignment="1">
      <alignment horizontal="center" vertical="center"/>
    </xf>
    <xf numFmtId="0" fontId="30" fillId="2" borderId="1" xfId="0" applyFont="1" applyFill="1" applyBorder="1" applyAlignment="1">
      <alignment vertical="center"/>
    </xf>
    <xf numFmtId="177" fontId="30" fillId="2" borderId="15" xfId="0" applyNumberFormat="1" applyFont="1" applyFill="1" applyBorder="1" applyAlignment="1">
      <alignment vertical="center"/>
    </xf>
    <xf numFmtId="0" fontId="30" fillId="2" borderId="15" xfId="0" applyFont="1" applyFill="1" applyBorder="1" applyAlignment="1">
      <alignment vertical="center"/>
    </xf>
    <xf numFmtId="0" fontId="30" fillId="2" borderId="52" xfId="0" applyFont="1" applyFill="1" applyBorder="1" applyAlignment="1">
      <alignment vertical="center"/>
    </xf>
    <xf numFmtId="0" fontId="30" fillId="2" borderId="53" xfId="0" applyFont="1" applyFill="1" applyBorder="1" applyAlignment="1">
      <alignment vertical="center"/>
    </xf>
    <xf numFmtId="56" fontId="36" fillId="2" borderId="4" xfId="0" applyNumberFormat="1" applyFont="1" applyFill="1" applyBorder="1" applyAlignment="1">
      <alignment horizontal="right" vertical="center"/>
    </xf>
    <xf numFmtId="195" fontId="36" fillId="2" borderId="4" xfId="0" applyNumberFormat="1" applyFont="1" applyFill="1" applyBorder="1" applyAlignment="1">
      <alignment horizontal="center" vertical="center"/>
    </xf>
    <xf numFmtId="0" fontId="36" fillId="2" borderId="4" xfId="0" applyFont="1" applyFill="1" applyBorder="1" applyAlignment="1">
      <alignment horizontal="center" vertical="center"/>
    </xf>
    <xf numFmtId="177" fontId="36" fillId="2" borderId="15" xfId="0" applyNumberFormat="1" applyFont="1" applyFill="1" applyBorder="1" applyAlignment="1">
      <alignment horizontal="right" vertical="center"/>
    </xf>
    <xf numFmtId="0" fontId="36" fillId="2" borderId="4" xfId="0" applyFont="1" applyFill="1" applyBorder="1" applyAlignment="1">
      <alignment horizontal="right" vertical="center"/>
    </xf>
    <xf numFmtId="177" fontId="36" fillId="2" borderId="4" xfId="0" applyNumberFormat="1" applyFont="1" applyFill="1" applyBorder="1" applyAlignment="1">
      <alignment vertical="center"/>
    </xf>
    <xf numFmtId="195" fontId="36" fillId="2" borderId="15" xfId="0" applyNumberFormat="1" applyFont="1" applyFill="1" applyBorder="1" applyAlignment="1">
      <alignment horizontal="center" vertical="center"/>
    </xf>
    <xf numFmtId="0" fontId="36" fillId="2" borderId="15" xfId="0" applyFont="1" applyFill="1" applyBorder="1" applyAlignment="1">
      <alignment horizontal="center" vertical="center"/>
    </xf>
    <xf numFmtId="56" fontId="36" fillId="2" borderId="1" xfId="0" applyNumberFormat="1" applyFont="1" applyFill="1" applyBorder="1" applyAlignment="1">
      <alignment vertical="center"/>
    </xf>
    <xf numFmtId="0" fontId="36" fillId="2" borderId="15" xfId="0" applyFont="1" applyFill="1" applyBorder="1" applyAlignment="1">
      <alignment horizontal="right" vertical="center"/>
    </xf>
    <xf numFmtId="177" fontId="36" fillId="2" borderId="4" xfId="0" applyNumberFormat="1" applyFont="1" applyFill="1" applyBorder="1" applyAlignment="1">
      <alignment horizontal="right" vertical="center"/>
    </xf>
    <xf numFmtId="0" fontId="51" fillId="2" borderId="54" xfId="0" applyFont="1" applyFill="1" applyBorder="1" applyAlignment="1">
      <alignment horizontal="center" vertical="center"/>
    </xf>
    <xf numFmtId="0" fontId="51" fillId="2" borderId="29" xfId="0" applyFont="1" applyFill="1" applyBorder="1" applyAlignment="1">
      <alignment horizontal="center" vertical="center"/>
    </xf>
    <xf numFmtId="56" fontId="36" fillId="2" borderId="1" xfId="0" applyNumberFormat="1" applyFont="1" applyFill="1" applyBorder="1" applyAlignment="1">
      <alignment horizontal="right" vertical="center"/>
    </xf>
    <xf numFmtId="195" fontId="36" fillId="2" borderId="1" xfId="0" applyNumberFormat="1" applyFont="1" applyFill="1" applyBorder="1" applyAlignment="1">
      <alignment horizontal="center" vertical="center"/>
    </xf>
    <xf numFmtId="177" fontId="30" fillId="2" borderId="4" xfId="0" applyNumberFormat="1" applyFont="1" applyFill="1" applyBorder="1" applyAlignment="1">
      <alignment vertical="center"/>
    </xf>
    <xf numFmtId="0" fontId="30" fillId="2" borderId="4" xfId="0" applyFont="1" applyFill="1" applyBorder="1" applyAlignment="1">
      <alignment vertical="center"/>
    </xf>
    <xf numFmtId="56" fontId="36" fillId="2" borderId="4" xfId="0" applyNumberFormat="1" applyFont="1" applyFill="1" applyBorder="1" applyAlignment="1">
      <alignment vertical="center"/>
    </xf>
    <xf numFmtId="0" fontId="36" fillId="2" borderId="1" xfId="0" applyFont="1" applyFill="1" applyBorder="1" applyAlignment="1">
      <alignment horizontal="center" vertical="center"/>
    </xf>
    <xf numFmtId="0" fontId="50" fillId="0" borderId="0" xfId="0" applyFont="1" applyAlignment="1">
      <alignment vertical="center"/>
    </xf>
    <xf numFmtId="0" fontId="36" fillId="0" borderId="0" xfId="0" applyFont="1" applyAlignment="1">
      <alignment vertical="center"/>
    </xf>
    <xf numFmtId="0" fontId="18" fillId="0" borderId="4" xfId="0" applyFont="1" applyBorder="1" applyAlignment="1">
      <alignment vertical="center"/>
    </xf>
    <xf numFmtId="0" fontId="38" fillId="0" borderId="4" xfId="0" applyFont="1" applyBorder="1" applyAlignment="1">
      <alignment vertical="center"/>
    </xf>
    <xf numFmtId="177" fontId="38" fillId="6" borderId="4" xfId="0" applyNumberFormat="1" applyFont="1" applyFill="1" applyBorder="1" applyAlignment="1">
      <alignment vertical="center"/>
    </xf>
    <xf numFmtId="10" fontId="38" fillId="0" borderId="4" xfId="0" applyNumberFormat="1" applyFont="1" applyBorder="1" applyAlignment="1">
      <alignment vertical="center"/>
    </xf>
    <xf numFmtId="177" fontId="52" fillId="20" borderId="4" xfId="0" applyNumberFormat="1" applyFont="1" applyFill="1" applyBorder="1" applyAlignment="1">
      <alignment vertical="center"/>
    </xf>
    <xf numFmtId="0" fontId="36" fillId="0" borderId="4" xfId="0" applyFont="1" applyBorder="1" applyAlignment="1">
      <alignment vertical="center"/>
    </xf>
    <xf numFmtId="0" fontId="41" fillId="0" borderId="4" xfId="0" applyFont="1" applyBorder="1" applyAlignment="1">
      <alignment vertical="center"/>
    </xf>
    <xf numFmtId="0" fontId="41" fillId="12" borderId="4" xfId="0" applyFont="1" applyFill="1" applyBorder="1" applyAlignment="1">
      <alignment vertical="center"/>
    </xf>
    <xf numFmtId="0" fontId="21" fillId="0" borderId="4" xfId="0" applyFont="1" applyBorder="1" applyAlignment="1">
      <alignment vertical="center"/>
    </xf>
    <xf numFmtId="177" fontId="21" fillId="0" borderId="4" xfId="0" applyNumberFormat="1" applyFont="1" applyBorder="1" applyAlignment="1">
      <alignment vertical="center"/>
    </xf>
    <xf numFmtId="10" fontId="21" fillId="0" borderId="4" xfId="0" applyNumberFormat="1" applyFont="1" applyBorder="1" applyAlignment="1">
      <alignment vertical="center"/>
    </xf>
    <xf numFmtId="177" fontId="21" fillId="12" borderId="4" xfId="0" applyNumberFormat="1" applyFont="1" applyFill="1" applyBorder="1" applyAlignment="1">
      <alignment vertical="center"/>
    </xf>
    <xf numFmtId="196" fontId="21" fillId="0" borderId="4" xfId="0" applyNumberFormat="1" applyFont="1" applyBorder="1" applyAlignment="1">
      <alignment vertical="center"/>
    </xf>
    <xf numFmtId="0" fontId="53" fillId="0" borderId="4" xfId="0" applyFont="1" applyBorder="1" applyAlignment="1">
      <alignment vertical="center"/>
    </xf>
    <xf numFmtId="177" fontId="38" fillId="0" borderId="4" xfId="0" applyNumberFormat="1" applyFont="1" applyBorder="1" applyAlignment="1">
      <alignment vertical="center"/>
    </xf>
    <xf numFmtId="177" fontId="23" fillId="0" borderId="4" xfId="0" applyNumberFormat="1" applyFont="1" applyBorder="1" applyAlignment="1">
      <alignment vertical="center"/>
    </xf>
    <xf numFmtId="10" fontId="23" fillId="0" borderId="4" xfId="0" applyNumberFormat="1" applyFont="1" applyBorder="1" applyAlignment="1">
      <alignment vertical="center"/>
    </xf>
    <xf numFmtId="0" fontId="23" fillId="0" borderId="4" xfId="0" applyFont="1" applyBorder="1" applyAlignment="1">
      <alignment vertical="center"/>
    </xf>
    <xf numFmtId="0" fontId="54" fillId="0" borderId="0" xfId="0" applyFont="1" applyAlignment="1">
      <alignment vertical="center"/>
    </xf>
    <xf numFmtId="0" fontId="6" fillId="0" borderId="0" xfId="0" applyFont="1" applyAlignment="1">
      <alignment horizontal="right" vertical="center"/>
    </xf>
    <xf numFmtId="177" fontId="54" fillId="0" borderId="0" xfId="0" applyNumberFormat="1" applyFont="1" applyAlignment="1">
      <alignment vertical="center"/>
    </xf>
    <xf numFmtId="10" fontId="54" fillId="0" borderId="0" xfId="0" applyNumberFormat="1" applyFont="1" applyAlignment="1">
      <alignment vertical="center"/>
    </xf>
    <xf numFmtId="177" fontId="6" fillId="0" borderId="0" xfId="0" applyNumberFormat="1" applyFont="1" applyAlignment="1">
      <alignment vertical="center"/>
    </xf>
    <xf numFmtId="0" fontId="28" fillId="0" borderId="4" xfId="0" applyFont="1" applyBorder="1" applyAlignment="1">
      <alignment vertical="center"/>
    </xf>
    <xf numFmtId="0" fontId="28" fillId="0" borderId="48" xfId="0" applyFont="1" applyBorder="1" applyAlignment="1">
      <alignment vertical="center"/>
    </xf>
    <xf numFmtId="0" fontId="28" fillId="0" borderId="3" xfId="0" applyFont="1" applyBorder="1" applyAlignment="1">
      <alignment vertical="center"/>
    </xf>
    <xf numFmtId="0" fontId="55" fillId="0" borderId="0" xfId="0" applyFont="1" applyAlignment="1">
      <alignment vertical="center"/>
    </xf>
    <xf numFmtId="177" fontId="8" fillId="21" borderId="4" xfId="0" applyNumberFormat="1" applyFont="1" applyFill="1" applyBorder="1" applyAlignment="1">
      <alignment horizontal="center" vertical="center"/>
    </xf>
    <xf numFmtId="177" fontId="8" fillId="21" borderId="4" xfId="0" applyNumberFormat="1" applyFont="1" applyFill="1" applyBorder="1" applyAlignment="1">
      <alignment vertical="center"/>
    </xf>
    <xf numFmtId="177" fontId="54" fillId="0" borderId="48" xfId="0" applyNumberFormat="1" applyFont="1" applyBorder="1" applyAlignment="1">
      <alignment vertical="center"/>
    </xf>
    <xf numFmtId="183" fontId="8" fillId="0" borderId="4" xfId="0" applyNumberFormat="1" applyFont="1" applyBorder="1" applyAlignment="1">
      <alignment horizontal="center" vertical="center"/>
    </xf>
    <xf numFmtId="183" fontId="8" fillId="22" borderId="4" xfId="0" applyNumberFormat="1" applyFont="1" applyFill="1" applyBorder="1" applyAlignment="1">
      <alignment horizontal="center" vertical="center"/>
    </xf>
    <xf numFmtId="177" fontId="8" fillId="0" borderId="4" xfId="0" applyNumberFormat="1" applyFont="1" applyBorder="1" applyAlignment="1">
      <alignment horizontal="center" vertical="center"/>
    </xf>
    <xf numFmtId="177" fontId="8" fillId="0" borderId="4" xfId="0" applyNumberFormat="1" applyFont="1" applyBorder="1" applyAlignment="1">
      <alignment vertical="center"/>
    </xf>
    <xf numFmtId="183" fontId="54" fillId="0" borderId="0" xfId="0" applyNumberFormat="1" applyFont="1" applyAlignment="1">
      <alignment vertical="center"/>
    </xf>
    <xf numFmtId="177" fontId="56" fillId="0" borderId="0" xfId="0" applyNumberFormat="1" applyFont="1" applyAlignment="1">
      <alignment vertical="center"/>
    </xf>
    <xf numFmtId="0" fontId="54" fillId="0" borderId="4" xfId="0" applyFont="1" applyBorder="1" applyAlignment="1">
      <alignment vertical="center"/>
    </xf>
    <xf numFmtId="177" fontId="54" fillId="0" borderId="4" xfId="0" applyNumberFormat="1" applyFont="1" applyBorder="1" applyAlignment="1">
      <alignment vertical="center"/>
    </xf>
    <xf numFmtId="177" fontId="54" fillId="10" borderId="4" xfId="0" applyNumberFormat="1" applyFont="1" applyFill="1" applyBorder="1" applyAlignment="1">
      <alignment vertical="center"/>
    </xf>
    <xf numFmtId="0" fontId="54" fillId="10" borderId="4" xfId="0" applyFont="1" applyFill="1" applyBorder="1" applyAlignment="1">
      <alignment vertical="center"/>
    </xf>
    <xf numFmtId="177" fontId="28" fillId="0" borderId="4" xfId="0" applyNumberFormat="1" applyFont="1" applyBorder="1" applyAlignment="1">
      <alignment vertical="center"/>
    </xf>
    <xf numFmtId="0" fontId="6" fillId="0" borderId="0" xfId="0" applyFont="1" applyAlignment="1">
      <alignment horizontal="left" vertical="center"/>
    </xf>
    <xf numFmtId="0" fontId="28" fillId="0" borderId="2" xfId="0" applyFont="1" applyBorder="1" applyAlignment="1">
      <alignment vertical="center"/>
    </xf>
    <xf numFmtId="0" fontId="6" fillId="0" borderId="2" xfId="0" applyFont="1" applyBorder="1" applyAlignment="1">
      <alignment vertical="center"/>
    </xf>
    <xf numFmtId="177" fontId="1" fillId="21" borderId="4" xfId="0" applyNumberFormat="1" applyFont="1" applyFill="1" applyBorder="1" applyAlignment="1">
      <alignment horizontal="center" vertical="center"/>
    </xf>
    <xf numFmtId="10" fontId="54" fillId="21" borderId="4" xfId="0" applyNumberFormat="1" applyFont="1" applyFill="1" applyBorder="1" applyAlignment="1">
      <alignment vertical="center"/>
    </xf>
    <xf numFmtId="177" fontId="54" fillId="21" borderId="28" xfId="0" applyNumberFormat="1" applyFont="1" applyFill="1" applyBorder="1" applyAlignment="1">
      <alignment vertical="center"/>
    </xf>
    <xf numFmtId="10" fontId="54" fillId="21" borderId="33" xfId="0" applyNumberFormat="1" applyFont="1" applyFill="1" applyBorder="1" applyAlignment="1">
      <alignment vertical="center"/>
    </xf>
    <xf numFmtId="177" fontId="57" fillId="21" borderId="28" xfId="0" applyNumberFormat="1" applyFont="1" applyFill="1" applyBorder="1" applyAlignment="1">
      <alignment vertical="center"/>
    </xf>
    <xf numFmtId="177" fontId="57" fillId="21" borderId="4" xfId="0" applyNumberFormat="1" applyFont="1" applyFill="1" applyBorder="1" applyAlignment="1">
      <alignment vertical="center"/>
    </xf>
    <xf numFmtId="177" fontId="2" fillId="0" borderId="48" xfId="0" applyNumberFormat="1" applyFont="1" applyBorder="1" applyAlignment="1">
      <alignment vertical="center"/>
    </xf>
    <xf numFmtId="177" fontId="54" fillId="21" borderId="33" xfId="0" applyNumberFormat="1" applyFont="1" applyFill="1" applyBorder="1" applyAlignment="1">
      <alignment vertical="center"/>
    </xf>
    <xf numFmtId="177" fontId="1" fillId="0" borderId="4" xfId="0" applyNumberFormat="1" applyFont="1" applyBorder="1" applyAlignment="1">
      <alignment horizontal="center" vertical="center"/>
    </xf>
    <xf numFmtId="10" fontId="54" fillId="0" borderId="4" xfId="0" applyNumberFormat="1" applyFont="1" applyBorder="1" applyAlignment="1">
      <alignment vertical="center"/>
    </xf>
    <xf numFmtId="177" fontId="54" fillId="0" borderId="2" xfId="0" applyNumberFormat="1" applyFont="1" applyBorder="1" applyAlignment="1">
      <alignment vertical="center"/>
    </xf>
    <xf numFmtId="10" fontId="54" fillId="0" borderId="3" xfId="0" applyNumberFormat="1" applyFont="1" applyBorder="1" applyAlignment="1">
      <alignment vertical="center"/>
    </xf>
    <xf numFmtId="177" fontId="57" fillId="0" borderId="2" xfId="0" applyNumberFormat="1" applyFont="1" applyBorder="1" applyAlignment="1">
      <alignment vertical="center"/>
    </xf>
    <xf numFmtId="177" fontId="57" fillId="0" borderId="4" xfId="0" applyNumberFormat="1" applyFont="1" applyBorder="1" applyAlignment="1">
      <alignment vertical="center"/>
    </xf>
    <xf numFmtId="177" fontId="54" fillId="0" borderId="3" xfId="0" applyNumberFormat="1" applyFont="1" applyBorder="1" applyAlignment="1">
      <alignment vertical="center"/>
    </xf>
    <xf numFmtId="177" fontId="6" fillId="23" borderId="4" xfId="0" applyNumberFormat="1" applyFont="1" applyFill="1" applyBorder="1" applyAlignment="1">
      <alignment vertical="center"/>
    </xf>
    <xf numFmtId="10" fontId="6" fillId="23" borderId="4" xfId="0" applyNumberFormat="1" applyFont="1" applyFill="1" applyBorder="1" applyAlignment="1">
      <alignment vertical="center"/>
    </xf>
    <xf numFmtId="0" fontId="58" fillId="10" borderId="1" xfId="0" applyFont="1" applyFill="1" applyBorder="1" applyAlignment="1">
      <alignment vertical="center"/>
    </xf>
    <xf numFmtId="0" fontId="58" fillId="10" borderId="1" xfId="0" applyFont="1" applyFill="1" applyBorder="1" applyAlignment="1">
      <alignment horizontal="right" vertical="center"/>
    </xf>
    <xf numFmtId="0" fontId="58" fillId="3" borderId="4" xfId="0" applyFont="1" applyFill="1" applyBorder="1" applyAlignment="1">
      <alignment vertical="center"/>
    </xf>
    <xf numFmtId="0" fontId="58" fillId="0" borderId="0" xfId="0" applyFont="1" applyAlignment="1">
      <alignment vertical="center"/>
    </xf>
    <xf numFmtId="0" fontId="59" fillId="0" borderId="4" xfId="0" applyFont="1" applyBorder="1" applyAlignment="1">
      <alignment horizontal="right" vertical="center"/>
    </xf>
    <xf numFmtId="177" fontId="60" fillId="3" borderId="4" xfId="0" applyNumberFormat="1" applyFont="1" applyFill="1" applyBorder="1" applyAlignment="1">
      <alignment vertical="center"/>
    </xf>
    <xf numFmtId="0" fontId="62" fillId="0" borderId="16" xfId="0" applyFont="1" applyBorder="1" applyAlignment="1">
      <alignment horizontal="right" vertical="center"/>
    </xf>
    <xf numFmtId="0" fontId="61" fillId="0" borderId="0" xfId="0" applyFont="1" applyAlignment="1">
      <alignment horizontal="center" vertical="center"/>
    </xf>
    <xf numFmtId="0" fontId="61" fillId="0" borderId="0" xfId="0" applyFont="1" applyAlignment="1">
      <alignment vertical="center"/>
    </xf>
    <xf numFmtId="0" fontId="59" fillId="3" borderId="14" xfId="0" applyFont="1" applyFill="1" applyBorder="1" applyAlignment="1">
      <alignment horizontal="right" vertical="center"/>
    </xf>
    <xf numFmtId="177" fontId="65" fillId="0" borderId="0" xfId="0" applyNumberFormat="1" applyFont="1" applyAlignment="1">
      <alignment horizontal="center" vertical="center"/>
    </xf>
    <xf numFmtId="0" fontId="59" fillId="3" borderId="28" xfId="0" applyFont="1" applyFill="1" applyBorder="1" applyAlignment="1">
      <alignment horizontal="right" vertical="center"/>
    </xf>
    <xf numFmtId="0" fontId="59" fillId="3" borderId="1" xfId="0" applyFont="1" applyFill="1" applyBorder="1" applyAlignment="1">
      <alignment horizontal="right" vertical="center"/>
    </xf>
    <xf numFmtId="0" fontId="59" fillId="3" borderId="39" xfId="0" applyFont="1" applyFill="1" applyBorder="1" applyAlignment="1">
      <alignment horizontal="right" vertical="center"/>
    </xf>
    <xf numFmtId="177" fontId="66" fillId="0" borderId="0" xfId="0" applyNumberFormat="1" applyFont="1" applyAlignment="1">
      <alignment horizontal="center" vertical="center"/>
    </xf>
    <xf numFmtId="0" fontId="59" fillId="3" borderId="63" xfId="0" applyFont="1" applyFill="1" applyBorder="1" applyAlignment="1">
      <alignment horizontal="right" vertical="center"/>
    </xf>
    <xf numFmtId="177" fontId="68" fillId="3" borderId="64" xfId="0" applyNumberFormat="1" applyFont="1" applyFill="1" applyBorder="1" applyAlignment="1">
      <alignment horizontal="center" vertical="center"/>
    </xf>
    <xf numFmtId="10" fontId="68" fillId="24" borderId="64" xfId="0" applyNumberFormat="1" applyFont="1" applyFill="1" applyBorder="1" applyAlignment="1">
      <alignment horizontal="center" vertical="center"/>
    </xf>
    <xf numFmtId="10" fontId="68" fillId="25" borderId="64" xfId="0" applyNumberFormat="1" applyFont="1" applyFill="1" applyBorder="1" applyAlignment="1">
      <alignment horizontal="center" vertical="center"/>
    </xf>
    <xf numFmtId="0" fontId="59" fillId="3" borderId="4" xfId="0" applyFont="1" applyFill="1" applyBorder="1" applyAlignment="1">
      <alignment horizontal="right" vertical="center"/>
    </xf>
    <xf numFmtId="177" fontId="68" fillId="3" borderId="4" xfId="0" applyNumberFormat="1" applyFont="1" applyFill="1" applyBorder="1" applyAlignment="1">
      <alignment horizontal="center" vertical="center"/>
    </xf>
    <xf numFmtId="10" fontId="68" fillId="24" borderId="4" xfId="0" applyNumberFormat="1" applyFont="1" applyFill="1" applyBorder="1" applyAlignment="1">
      <alignment horizontal="center" vertical="center"/>
    </xf>
    <xf numFmtId="10" fontId="68" fillId="25" borderId="4" xfId="0" applyNumberFormat="1" applyFont="1" applyFill="1" applyBorder="1" applyAlignment="1">
      <alignment horizontal="center" vertical="center"/>
    </xf>
    <xf numFmtId="10" fontId="60" fillId="0" borderId="0" xfId="0" applyNumberFormat="1" applyFont="1" applyAlignment="1">
      <alignment vertical="center"/>
    </xf>
    <xf numFmtId="0" fontId="69" fillId="3" borderId="16" xfId="0" applyFont="1" applyFill="1" applyBorder="1" applyAlignment="1">
      <alignment horizontal="right" vertical="center"/>
    </xf>
    <xf numFmtId="177" fontId="70" fillId="3" borderId="16" xfId="0" applyNumberFormat="1" applyFont="1" applyFill="1" applyBorder="1" applyAlignment="1">
      <alignment horizontal="center" vertical="center"/>
    </xf>
    <xf numFmtId="10" fontId="70" fillId="24" borderId="16" xfId="0" applyNumberFormat="1" applyFont="1" applyFill="1" applyBorder="1" applyAlignment="1">
      <alignment horizontal="center" vertical="center"/>
    </xf>
    <xf numFmtId="177" fontId="70" fillId="0" borderId="0" xfId="0" applyNumberFormat="1" applyFont="1" applyAlignment="1">
      <alignment horizontal="center" vertical="center"/>
    </xf>
    <xf numFmtId="10" fontId="70" fillId="25" borderId="16" xfId="0" applyNumberFormat="1" applyFont="1" applyFill="1" applyBorder="1" applyAlignment="1">
      <alignment horizontal="center" vertical="center"/>
    </xf>
    <xf numFmtId="0" fontId="71" fillId="0" borderId="0" xfId="0" applyFont="1" applyAlignment="1">
      <alignment vertical="center"/>
    </xf>
    <xf numFmtId="0" fontId="72" fillId="3" borderId="65" xfId="0" applyFont="1" applyFill="1" applyBorder="1" applyAlignment="1">
      <alignment horizontal="right" vertical="center"/>
    </xf>
    <xf numFmtId="0" fontId="72" fillId="3" borderId="66" xfId="0" applyFont="1" applyFill="1" applyBorder="1" applyAlignment="1">
      <alignment horizontal="center" vertical="center"/>
    </xf>
    <xf numFmtId="0" fontId="72" fillId="24" borderId="64" xfId="0" applyFont="1" applyFill="1" applyBorder="1" applyAlignment="1">
      <alignment horizontal="center" vertical="center" shrinkToFit="1"/>
    </xf>
    <xf numFmtId="0" fontId="73" fillId="0" borderId="0" xfId="0" applyFont="1" applyAlignment="1">
      <alignment horizontal="center" vertical="center"/>
    </xf>
    <xf numFmtId="0" fontId="72" fillId="3" borderId="64" xfId="0" applyFont="1" applyFill="1" applyBorder="1" applyAlignment="1">
      <alignment horizontal="center" vertical="center" shrinkToFit="1"/>
    </xf>
    <xf numFmtId="0" fontId="72" fillId="3" borderId="4" xfId="0" applyFont="1" applyFill="1" applyBorder="1" applyAlignment="1">
      <alignment horizontal="right" vertical="center"/>
    </xf>
    <xf numFmtId="177" fontId="72" fillId="0" borderId="4" xfId="0" applyNumberFormat="1" applyFont="1" applyBorder="1" applyAlignment="1">
      <alignment horizontal="center" vertical="center"/>
    </xf>
    <xf numFmtId="10" fontId="72" fillId="24" borderId="4" xfId="0" applyNumberFormat="1" applyFont="1" applyFill="1" applyBorder="1" applyAlignment="1">
      <alignment vertical="center"/>
    </xf>
    <xf numFmtId="177" fontId="60" fillId="3" borderId="4" xfId="0" applyNumberFormat="1" applyFont="1" applyFill="1" applyBorder="1" applyAlignment="1">
      <alignment horizontal="center" vertical="center"/>
    </xf>
    <xf numFmtId="10" fontId="60" fillId="25" borderId="4" xfId="0" applyNumberFormat="1" applyFont="1" applyFill="1" applyBorder="1" applyAlignment="1">
      <alignment vertical="center"/>
    </xf>
    <xf numFmtId="0" fontId="72" fillId="3" borderId="15" xfId="0" applyFont="1" applyFill="1" applyBorder="1" applyAlignment="1">
      <alignment horizontal="right" vertical="center"/>
    </xf>
    <xf numFmtId="177" fontId="72" fillId="3" borderId="32" xfId="0" applyNumberFormat="1" applyFont="1" applyFill="1" applyBorder="1" applyAlignment="1">
      <alignment horizontal="center" vertical="center"/>
    </xf>
    <xf numFmtId="10" fontId="72" fillId="24" borderId="15" xfId="0" applyNumberFormat="1" applyFont="1" applyFill="1" applyBorder="1" applyAlignment="1">
      <alignment vertical="center"/>
    </xf>
    <xf numFmtId="0" fontId="72" fillId="3" borderId="16" xfId="0" applyFont="1" applyFill="1" applyBorder="1" applyAlignment="1">
      <alignment horizontal="right" vertical="center"/>
    </xf>
    <xf numFmtId="177" fontId="72" fillId="0" borderId="16" xfId="0" applyNumberFormat="1" applyFont="1" applyBorder="1" applyAlignment="1">
      <alignment horizontal="center" vertical="center"/>
    </xf>
    <xf numFmtId="10" fontId="72" fillId="24" borderId="16" xfId="0" applyNumberFormat="1" applyFont="1" applyFill="1" applyBorder="1" applyAlignment="1">
      <alignment vertical="center"/>
    </xf>
    <xf numFmtId="177" fontId="60" fillId="3" borderId="16" xfId="0" applyNumberFormat="1" applyFont="1" applyFill="1" applyBorder="1" applyAlignment="1">
      <alignment horizontal="center" vertical="center"/>
    </xf>
    <xf numFmtId="10" fontId="60" fillId="25" borderId="16" xfId="0" applyNumberFormat="1" applyFont="1" applyFill="1" applyBorder="1" applyAlignment="1">
      <alignment vertical="center"/>
    </xf>
    <xf numFmtId="177" fontId="72" fillId="26" borderId="15" xfId="0" applyNumberFormat="1" applyFont="1" applyFill="1" applyBorder="1" applyAlignment="1">
      <alignment horizontal="center" vertical="center"/>
    </xf>
    <xf numFmtId="177" fontId="60" fillId="3" borderId="15" xfId="0" applyNumberFormat="1" applyFont="1" applyFill="1" applyBorder="1" applyAlignment="1">
      <alignment horizontal="center" vertical="center"/>
    </xf>
    <xf numFmtId="10" fontId="60" fillId="25" borderId="15" xfId="0" applyNumberFormat="1" applyFont="1" applyFill="1" applyBorder="1" applyAlignment="1">
      <alignment vertical="center"/>
    </xf>
    <xf numFmtId="0" fontId="72" fillId="3" borderId="53" xfId="0" applyFont="1" applyFill="1" applyBorder="1" applyAlignment="1">
      <alignment horizontal="right" vertical="center"/>
    </xf>
    <xf numFmtId="177" fontId="72" fillId="26" borderId="4" xfId="0" applyNumberFormat="1" applyFont="1" applyFill="1" applyBorder="1" applyAlignment="1">
      <alignment horizontal="center" vertical="center"/>
    </xf>
    <xf numFmtId="0" fontId="72" fillId="3" borderId="67" xfId="0" applyFont="1" applyFill="1" applyBorder="1" applyAlignment="1">
      <alignment horizontal="right" vertical="center"/>
    </xf>
    <xf numFmtId="177" fontId="72" fillId="26" borderId="16" xfId="0" applyNumberFormat="1" applyFont="1" applyFill="1" applyBorder="1" applyAlignment="1">
      <alignment horizontal="center" vertical="center"/>
    </xf>
    <xf numFmtId="0" fontId="72" fillId="3" borderId="68" xfId="0" applyFont="1" applyFill="1" applyBorder="1" applyAlignment="1">
      <alignment horizontal="right" vertical="center"/>
    </xf>
    <xf numFmtId="177" fontId="72" fillId="3" borderId="63" xfId="0" applyNumberFormat="1" applyFont="1" applyFill="1" applyBorder="1" applyAlignment="1">
      <alignment vertical="center"/>
    </xf>
    <xf numFmtId="10" fontId="72" fillId="24" borderId="63" xfId="0" applyNumberFormat="1" applyFont="1" applyFill="1" applyBorder="1" applyAlignment="1">
      <alignment vertical="center"/>
    </xf>
    <xf numFmtId="198" fontId="72" fillId="26" borderId="4" xfId="0" applyNumberFormat="1" applyFont="1" applyFill="1" applyBorder="1" applyAlignment="1">
      <alignment vertical="center"/>
    </xf>
    <xf numFmtId="177" fontId="72" fillId="3" borderId="16" xfId="0" applyNumberFormat="1" applyFont="1" applyFill="1" applyBorder="1" applyAlignment="1">
      <alignment vertical="center"/>
    </xf>
    <xf numFmtId="177" fontId="68" fillId="3" borderId="72" xfId="0" applyNumberFormat="1" applyFont="1" applyFill="1" applyBorder="1" applyAlignment="1">
      <alignment horizontal="center" vertical="center"/>
    </xf>
    <xf numFmtId="10" fontId="68" fillId="24" borderId="72" xfId="0" applyNumberFormat="1" applyFont="1" applyFill="1" applyBorder="1" applyAlignment="1">
      <alignment horizontal="center" vertical="center"/>
    </xf>
    <xf numFmtId="177" fontId="68" fillId="3" borderId="40" xfId="0" applyNumberFormat="1" applyFont="1" applyFill="1" applyBorder="1" applyAlignment="1">
      <alignment horizontal="center" vertical="center"/>
    </xf>
    <xf numFmtId="10" fontId="68" fillId="25" borderId="40" xfId="0" applyNumberFormat="1" applyFont="1" applyFill="1" applyBorder="1" applyAlignment="1">
      <alignment horizontal="center" vertical="center"/>
    </xf>
    <xf numFmtId="0" fontId="58" fillId="3" borderId="73" xfId="0" applyFont="1" applyFill="1" applyBorder="1" applyAlignment="1">
      <alignment horizontal="center" vertical="center"/>
    </xf>
    <xf numFmtId="0" fontId="59" fillId="3" borderId="73" xfId="0" applyFont="1" applyFill="1" applyBorder="1" applyAlignment="1">
      <alignment horizontal="right" vertical="center"/>
    </xf>
    <xf numFmtId="177" fontId="67" fillId="0" borderId="76" xfId="0" applyNumberFormat="1" applyFont="1" applyBorder="1" applyAlignment="1">
      <alignment horizontal="center" vertical="center"/>
    </xf>
    <xf numFmtId="0" fontId="58" fillId="3" borderId="1" xfId="0" applyFont="1" applyFill="1" applyBorder="1" applyAlignment="1">
      <alignment horizontal="center" vertical="center"/>
    </xf>
    <xf numFmtId="177" fontId="67" fillId="0" borderId="0" xfId="0" applyNumberFormat="1" applyFont="1" applyAlignment="1">
      <alignment horizontal="center" vertical="center"/>
    </xf>
    <xf numFmtId="0" fontId="58" fillId="3" borderId="79" xfId="0" applyFont="1" applyFill="1" applyBorder="1" applyAlignment="1">
      <alignment horizontal="center" vertical="center"/>
    </xf>
    <xf numFmtId="0" fontId="58" fillId="3" borderId="80" xfId="0" applyFont="1" applyFill="1" applyBorder="1" applyAlignment="1">
      <alignment horizontal="center" vertical="center"/>
    </xf>
    <xf numFmtId="0" fontId="73" fillId="3" borderId="81" xfId="0" applyFont="1" applyFill="1" applyBorder="1" applyAlignment="1">
      <alignment horizontal="right" vertical="center"/>
    </xf>
    <xf numFmtId="38" fontId="58" fillId="3" borderId="82" xfId="0" applyNumberFormat="1" applyFont="1" applyFill="1" applyBorder="1" applyAlignment="1">
      <alignment vertical="center"/>
    </xf>
    <xf numFmtId="10" fontId="73" fillId="27" borderId="82" xfId="0" applyNumberFormat="1" applyFont="1" applyFill="1" applyBorder="1" applyAlignment="1">
      <alignment vertical="center"/>
    </xf>
    <xf numFmtId="10" fontId="73" fillId="27" borderId="83" xfId="0" applyNumberFormat="1" applyFont="1" applyFill="1" applyBorder="1" applyAlignment="1">
      <alignment vertical="center"/>
    </xf>
    <xf numFmtId="10" fontId="73" fillId="0" borderId="0" xfId="0" applyNumberFormat="1" applyFont="1" applyAlignment="1">
      <alignment vertical="center"/>
    </xf>
    <xf numFmtId="38" fontId="58" fillId="3" borderId="84" xfId="0" applyNumberFormat="1" applyFont="1" applyFill="1" applyBorder="1" applyAlignment="1">
      <alignment vertical="center"/>
    </xf>
    <xf numFmtId="10" fontId="73" fillId="25" borderId="83" xfId="0" applyNumberFormat="1" applyFont="1" applyFill="1" applyBorder="1" applyAlignment="1">
      <alignment vertical="center"/>
    </xf>
    <xf numFmtId="0" fontId="73" fillId="3" borderId="87" xfId="0" applyFont="1" applyFill="1" applyBorder="1" applyAlignment="1">
      <alignment horizontal="right" vertical="center"/>
    </xf>
    <xf numFmtId="198" fontId="58" fillId="0" borderId="88" xfId="0" applyNumberFormat="1" applyFont="1" applyBorder="1" applyAlignment="1">
      <alignment vertical="center"/>
    </xf>
    <xf numFmtId="10" fontId="73" fillId="27" borderId="89" xfId="0" applyNumberFormat="1" applyFont="1" applyFill="1" applyBorder="1" applyAlignment="1">
      <alignment vertical="center"/>
    </xf>
    <xf numFmtId="10" fontId="73" fillId="27" borderId="90" xfId="0" applyNumberFormat="1" applyFont="1" applyFill="1" applyBorder="1" applyAlignment="1">
      <alignment vertical="center"/>
    </xf>
    <xf numFmtId="198" fontId="58" fillId="3" borderId="91" xfId="0" applyNumberFormat="1" applyFont="1" applyFill="1" applyBorder="1" applyAlignment="1">
      <alignment vertical="center"/>
    </xf>
    <xf numFmtId="10" fontId="60" fillId="25" borderId="92" xfId="0" applyNumberFormat="1" applyFont="1" applyFill="1" applyBorder="1" applyAlignment="1">
      <alignment vertical="center"/>
    </xf>
    <xf numFmtId="0" fontId="73" fillId="26" borderId="95" xfId="0" applyFont="1" applyFill="1" applyBorder="1" applyAlignment="1">
      <alignment horizontal="right" vertical="center"/>
    </xf>
    <xf numFmtId="198" fontId="58" fillId="0" borderId="23" xfId="0" applyNumberFormat="1" applyFont="1" applyBorder="1" applyAlignment="1">
      <alignment vertical="center"/>
    </xf>
    <xf numFmtId="10" fontId="73" fillId="27" borderId="15" xfId="0" applyNumberFormat="1" applyFont="1" applyFill="1" applyBorder="1" applyAlignment="1">
      <alignment vertical="center"/>
    </xf>
    <xf numFmtId="10" fontId="73" fillId="27" borderId="92" xfId="0" applyNumberFormat="1" applyFont="1" applyFill="1" applyBorder="1" applyAlignment="1">
      <alignment vertical="center"/>
    </xf>
    <xf numFmtId="198" fontId="58" fillId="3" borderId="96" xfId="0" applyNumberFormat="1" applyFont="1" applyFill="1" applyBorder="1" applyAlignment="1">
      <alignment vertical="center"/>
    </xf>
    <xf numFmtId="10" fontId="60" fillId="25" borderId="97" xfId="0" applyNumberFormat="1" applyFont="1" applyFill="1" applyBorder="1" applyAlignment="1">
      <alignment vertical="center"/>
    </xf>
    <xf numFmtId="0" fontId="73" fillId="3" borderId="98" xfId="0" applyFont="1" applyFill="1" applyBorder="1" applyAlignment="1">
      <alignment horizontal="right" vertical="center"/>
    </xf>
    <xf numFmtId="198" fontId="58" fillId="0" borderId="3" xfId="0" applyNumberFormat="1" applyFont="1" applyBorder="1" applyAlignment="1">
      <alignment vertical="center"/>
    </xf>
    <xf numFmtId="10" fontId="73" fillId="27" borderId="4" xfId="0" applyNumberFormat="1" applyFont="1" applyFill="1" applyBorder="1" applyAlignment="1">
      <alignment vertical="center"/>
    </xf>
    <xf numFmtId="10" fontId="73" fillId="27" borderId="97" xfId="0" applyNumberFormat="1" applyFont="1" applyFill="1" applyBorder="1" applyAlignment="1">
      <alignment vertical="center"/>
    </xf>
    <xf numFmtId="0" fontId="58" fillId="3" borderId="99" xfId="0" applyFont="1" applyFill="1" applyBorder="1" applyAlignment="1">
      <alignment horizontal="right" vertical="center"/>
    </xf>
    <xf numFmtId="198" fontId="73" fillId="0" borderId="46" xfId="0" applyNumberFormat="1" applyFont="1" applyBorder="1" applyAlignment="1">
      <alignment vertical="center"/>
    </xf>
    <xf numFmtId="0" fontId="73" fillId="3" borderId="101" xfId="0" applyFont="1" applyFill="1" applyBorder="1" applyAlignment="1">
      <alignment horizontal="right" vertical="center"/>
    </xf>
    <xf numFmtId="198" fontId="58" fillId="0" borderId="19" xfId="0" applyNumberFormat="1" applyFont="1" applyBorder="1" applyAlignment="1">
      <alignment vertical="center"/>
    </xf>
    <xf numFmtId="10" fontId="73" fillId="27" borderId="16" xfId="0" applyNumberFormat="1" applyFont="1" applyFill="1" applyBorder="1" applyAlignment="1">
      <alignment vertical="center"/>
    </xf>
    <xf numFmtId="10" fontId="73" fillId="27" borderId="102" xfId="0" applyNumberFormat="1" applyFont="1" applyFill="1" applyBorder="1" applyAlignment="1">
      <alignment vertical="center"/>
    </xf>
    <xf numFmtId="198" fontId="58" fillId="3" borderId="103" xfId="0" applyNumberFormat="1" applyFont="1" applyFill="1" applyBorder="1" applyAlignment="1">
      <alignment vertical="center"/>
    </xf>
    <xf numFmtId="10" fontId="60" fillId="25" borderId="102" xfId="0" applyNumberFormat="1" applyFont="1" applyFill="1" applyBorder="1" applyAlignment="1">
      <alignment vertical="center"/>
    </xf>
    <xf numFmtId="0" fontId="73" fillId="21" borderId="95" xfId="0" applyFont="1" applyFill="1" applyBorder="1" applyAlignment="1">
      <alignment horizontal="right" vertical="center"/>
    </xf>
    <xf numFmtId="0" fontId="73" fillId="21" borderId="98" xfId="0" applyFont="1" applyFill="1" applyBorder="1" applyAlignment="1">
      <alignment horizontal="right" vertical="center"/>
    </xf>
    <xf numFmtId="0" fontId="73" fillId="26" borderId="98" xfId="0" applyFont="1" applyFill="1" applyBorder="1" applyAlignment="1">
      <alignment horizontal="right" vertical="center"/>
    </xf>
    <xf numFmtId="198" fontId="73" fillId="0" borderId="3" xfId="0" applyNumberFormat="1" applyFont="1" applyBorder="1" applyAlignment="1">
      <alignment vertical="center"/>
    </xf>
    <xf numFmtId="0" fontId="46" fillId="3" borderId="98" xfId="0" applyFont="1" applyFill="1" applyBorder="1" applyAlignment="1">
      <alignment horizontal="right" vertical="center"/>
    </xf>
    <xf numFmtId="38" fontId="58" fillId="0" borderId="3" xfId="0" applyNumberFormat="1" applyFont="1" applyBorder="1" applyAlignment="1">
      <alignment vertical="center"/>
    </xf>
    <xf numFmtId="10" fontId="73" fillId="27" borderId="40" xfId="0" applyNumberFormat="1" applyFont="1" applyFill="1" applyBorder="1" applyAlignment="1">
      <alignment vertical="center"/>
    </xf>
    <xf numFmtId="10" fontId="73" fillId="27" borderId="106" xfId="0" applyNumberFormat="1" applyFont="1" applyFill="1" applyBorder="1" applyAlignment="1">
      <alignment vertical="center"/>
    </xf>
    <xf numFmtId="0" fontId="58" fillId="3" borderId="107" xfId="0" applyFont="1" applyFill="1" applyBorder="1" applyAlignment="1">
      <alignment vertical="center"/>
    </xf>
    <xf numFmtId="0" fontId="58" fillId="3" borderId="1" xfId="0" applyFont="1" applyFill="1" applyBorder="1" applyAlignment="1">
      <alignment vertical="center"/>
    </xf>
    <xf numFmtId="0" fontId="75" fillId="3" borderId="95" xfId="0" applyFont="1" applyFill="1" applyBorder="1" applyAlignment="1">
      <alignment horizontal="right" vertical="center"/>
    </xf>
    <xf numFmtId="177" fontId="75" fillId="3" borderId="32" xfId="0" applyNumberFormat="1" applyFont="1" applyFill="1" applyBorder="1" applyAlignment="1">
      <alignment vertical="center"/>
    </xf>
    <xf numFmtId="177" fontId="75" fillId="3" borderId="15" xfId="0" applyNumberFormat="1" applyFont="1" applyFill="1" applyBorder="1" applyAlignment="1">
      <alignment vertical="center"/>
    </xf>
    <xf numFmtId="0" fontId="65" fillId="3" borderId="98" xfId="0" applyFont="1" applyFill="1" applyBorder="1" applyAlignment="1">
      <alignment horizontal="right" vertical="center"/>
    </xf>
    <xf numFmtId="177" fontId="76" fillId="3" borderId="33" xfId="0" applyNumberFormat="1" applyFont="1" applyFill="1" applyBorder="1" applyAlignment="1">
      <alignment vertical="center"/>
    </xf>
    <xf numFmtId="10" fontId="73" fillId="0" borderId="22" xfId="0" applyNumberFormat="1" applyFont="1" applyBorder="1" applyAlignment="1">
      <alignment vertical="center"/>
    </xf>
    <xf numFmtId="199" fontId="58" fillId="3" borderId="96" xfId="0" applyNumberFormat="1" applyFont="1" applyFill="1" applyBorder="1" applyAlignment="1">
      <alignment vertical="center"/>
    </xf>
    <xf numFmtId="0" fontId="58" fillId="3" borderId="107" xfId="0" applyFont="1" applyFill="1" applyBorder="1" applyAlignment="1">
      <alignment horizontal="center" vertical="center"/>
    </xf>
    <xf numFmtId="0" fontId="65" fillId="3" borderId="101" xfId="0" applyFont="1" applyFill="1" applyBorder="1" applyAlignment="1">
      <alignment horizontal="right" vertical="center"/>
    </xf>
    <xf numFmtId="199" fontId="77" fillId="3" borderId="103" xfId="0" applyNumberFormat="1" applyFont="1" applyFill="1" applyBorder="1" applyAlignment="1">
      <alignment vertical="center"/>
    </xf>
    <xf numFmtId="199" fontId="77" fillId="3" borderId="16" xfId="0" applyNumberFormat="1" applyFont="1" applyFill="1" applyBorder="1" applyAlignment="1">
      <alignment vertical="center"/>
    </xf>
    <xf numFmtId="10" fontId="73" fillId="0" borderId="18" xfId="0" applyNumberFormat="1" applyFont="1" applyBorder="1" applyAlignment="1">
      <alignment vertical="center"/>
    </xf>
    <xf numFmtId="0" fontId="58" fillId="3" borderId="108" xfId="0" applyFont="1" applyFill="1" applyBorder="1" applyAlignment="1">
      <alignment vertical="center"/>
    </xf>
    <xf numFmtId="0" fontId="58" fillId="3" borderId="109" xfId="0" applyFont="1" applyFill="1" applyBorder="1" applyAlignment="1">
      <alignment vertical="center"/>
    </xf>
    <xf numFmtId="0" fontId="58" fillId="3" borderId="110" xfId="0" applyFont="1" applyFill="1" applyBorder="1" applyAlignment="1">
      <alignment horizontal="right" vertical="center"/>
    </xf>
    <xf numFmtId="0" fontId="58" fillId="0" borderId="111" xfId="0" applyFont="1" applyBorder="1" applyAlignment="1">
      <alignment vertical="center"/>
    </xf>
    <xf numFmtId="0" fontId="58" fillId="0" borderId="112" xfId="0" applyFont="1" applyBorder="1" applyAlignment="1">
      <alignment vertical="center"/>
    </xf>
    <xf numFmtId="0" fontId="58" fillId="0" borderId="113" xfId="0" applyFont="1" applyBorder="1" applyAlignment="1">
      <alignment vertical="center"/>
    </xf>
    <xf numFmtId="0" fontId="58" fillId="3" borderId="114" xfId="0" applyFont="1" applyFill="1" applyBorder="1" applyAlignment="1">
      <alignment vertical="center"/>
    </xf>
    <xf numFmtId="0" fontId="58" fillId="3" borderId="115" xfId="0" applyFont="1" applyFill="1" applyBorder="1" applyAlignment="1">
      <alignment vertical="center"/>
    </xf>
    <xf numFmtId="0" fontId="58" fillId="0" borderId="116" xfId="0" applyFont="1" applyBorder="1" applyAlignment="1">
      <alignment horizontal="right" vertical="center"/>
    </xf>
    <xf numFmtId="0" fontId="77" fillId="3" borderId="87" xfId="0" applyFont="1" applyFill="1" applyBorder="1" applyAlignment="1">
      <alignment horizontal="right" vertical="center"/>
    </xf>
    <xf numFmtId="0" fontId="77" fillId="3" borderId="98" xfId="0" applyFont="1" applyFill="1" applyBorder="1" applyAlignment="1">
      <alignment horizontal="right" vertical="center"/>
    </xf>
    <xf numFmtId="177" fontId="58" fillId="3" borderId="96" xfId="0" applyNumberFormat="1" applyFont="1" applyFill="1" applyBorder="1" applyAlignment="1">
      <alignment vertical="center"/>
    </xf>
    <xf numFmtId="9" fontId="60" fillId="0" borderId="4" xfId="0" applyNumberFormat="1" applyFont="1" applyBorder="1" applyAlignment="1">
      <alignment vertical="center"/>
    </xf>
    <xf numFmtId="177" fontId="58" fillId="3" borderId="4" xfId="0" applyNumberFormat="1" applyFont="1" applyFill="1" applyBorder="1" applyAlignment="1">
      <alignment vertical="center"/>
    </xf>
    <xf numFmtId="9" fontId="60" fillId="0" borderId="97" xfId="0" applyNumberFormat="1" applyFont="1" applyBorder="1" applyAlignment="1">
      <alignment vertical="center"/>
    </xf>
    <xf numFmtId="9" fontId="60" fillId="24" borderId="97" xfId="0" applyNumberFormat="1" applyFont="1" applyFill="1" applyBorder="1" applyAlignment="1">
      <alignment vertical="center"/>
    </xf>
    <xf numFmtId="0" fontId="77" fillId="3" borderId="101" xfId="0" applyFont="1" applyFill="1" applyBorder="1" applyAlignment="1">
      <alignment horizontal="right" vertical="center"/>
    </xf>
    <xf numFmtId="177" fontId="58" fillId="3" borderId="103" xfId="0" applyNumberFormat="1" applyFont="1" applyFill="1" applyBorder="1" applyAlignment="1">
      <alignment vertical="center"/>
    </xf>
    <xf numFmtId="9" fontId="60" fillId="0" borderId="16" xfId="0" applyNumberFormat="1" applyFont="1" applyBorder="1" applyAlignment="1">
      <alignment vertical="center"/>
    </xf>
    <xf numFmtId="177" fontId="60" fillId="3" borderId="16" xfId="0" applyNumberFormat="1" applyFont="1" applyFill="1" applyBorder="1" applyAlignment="1">
      <alignment vertical="center"/>
    </xf>
    <xf numFmtId="9" fontId="60" fillId="0" borderId="102" xfId="0" applyNumberFormat="1" applyFont="1" applyBorder="1" applyAlignment="1">
      <alignment vertical="center"/>
    </xf>
    <xf numFmtId="9" fontId="60" fillId="24" borderId="102" xfId="0" applyNumberFormat="1" applyFont="1" applyFill="1" applyBorder="1" applyAlignment="1">
      <alignment vertical="center"/>
    </xf>
    <xf numFmtId="0" fontId="77" fillId="3" borderId="95" xfId="0" applyFont="1" applyFill="1" applyBorder="1" applyAlignment="1">
      <alignment horizontal="right" vertical="center"/>
    </xf>
    <xf numFmtId="177" fontId="58" fillId="3" borderId="91" xfId="0" applyNumberFormat="1" applyFont="1" applyFill="1" applyBorder="1" applyAlignment="1">
      <alignment vertical="center"/>
    </xf>
    <xf numFmtId="9" fontId="60" fillId="0" borderId="20" xfId="0" applyNumberFormat="1" applyFont="1" applyBorder="1" applyAlignment="1">
      <alignment vertical="center"/>
    </xf>
    <xf numFmtId="177" fontId="58" fillId="3" borderId="15" xfId="0" applyNumberFormat="1" applyFont="1" applyFill="1" applyBorder="1" applyAlignment="1">
      <alignment vertical="center"/>
    </xf>
    <xf numFmtId="9" fontId="60" fillId="0" borderId="122" xfId="0" applyNumberFormat="1" applyFont="1" applyBorder="1" applyAlignment="1">
      <alignment vertical="center"/>
    </xf>
    <xf numFmtId="9" fontId="60" fillId="24" borderId="92" xfId="0" applyNumberFormat="1" applyFont="1" applyFill="1" applyBorder="1" applyAlignment="1">
      <alignment vertical="center"/>
    </xf>
    <xf numFmtId="0" fontId="77" fillId="3" borderId="123" xfId="0" applyFont="1" applyFill="1" applyBorder="1" applyAlignment="1">
      <alignment horizontal="right" vertical="center"/>
    </xf>
    <xf numFmtId="177" fontId="58" fillId="3" borderId="124" xfId="0" applyNumberFormat="1" applyFont="1" applyFill="1" applyBorder="1" applyAlignment="1">
      <alignment vertical="center"/>
    </xf>
    <xf numFmtId="9" fontId="60" fillId="0" borderId="125" xfId="0" applyNumberFormat="1" applyFont="1" applyBorder="1" applyAlignment="1">
      <alignment vertical="center"/>
    </xf>
    <xf numFmtId="177" fontId="58" fillId="3" borderId="125" xfId="0" applyNumberFormat="1" applyFont="1" applyFill="1" applyBorder="1" applyAlignment="1">
      <alignment vertical="center"/>
    </xf>
    <xf numFmtId="9" fontId="60" fillId="0" borderId="126" xfId="0" applyNumberFormat="1" applyFont="1" applyBorder="1" applyAlignment="1">
      <alignment vertical="center"/>
    </xf>
    <xf numFmtId="198" fontId="58" fillId="3" borderId="124" xfId="0" applyNumberFormat="1" applyFont="1" applyFill="1" applyBorder="1" applyAlignment="1">
      <alignment vertical="center"/>
    </xf>
    <xf numFmtId="9" fontId="60" fillId="24" borderId="126" xfId="0" applyNumberFormat="1" applyFont="1" applyFill="1" applyBorder="1" applyAlignment="1">
      <alignment vertical="center"/>
    </xf>
    <xf numFmtId="0" fontId="58" fillId="0" borderId="0" xfId="0" applyFont="1" applyAlignment="1">
      <alignment horizontal="right" vertical="center"/>
    </xf>
    <xf numFmtId="177" fontId="78" fillId="0" borderId="0" xfId="0" applyNumberFormat="1" applyFont="1" applyAlignment="1">
      <alignment vertical="center"/>
    </xf>
    <xf numFmtId="177" fontId="60" fillId="0" borderId="0" xfId="0" applyNumberFormat="1" applyFont="1" applyAlignment="1">
      <alignment vertical="center"/>
    </xf>
    <xf numFmtId="0" fontId="73" fillId="0" borderId="0" xfId="0" applyFont="1" applyAlignment="1">
      <alignment horizontal="right" vertical="center"/>
    </xf>
    <xf numFmtId="176" fontId="6" fillId="2" borderId="2" xfId="0" applyNumberFormat="1" applyFont="1" applyFill="1" applyBorder="1" applyAlignment="1">
      <alignment horizontal="center" vertical="center"/>
    </xf>
    <xf numFmtId="0" fontId="7" fillId="0" borderId="3" xfId="0" applyFont="1" applyBorder="1" applyAlignment="1">
      <alignment vertical="center"/>
    </xf>
    <xf numFmtId="0" fontId="2" fillId="2" borderId="2" xfId="0" applyFont="1" applyFill="1" applyBorder="1" applyAlignment="1">
      <alignment horizontal="center" vertical="center"/>
    </xf>
    <xf numFmtId="0" fontId="1" fillId="3" borderId="2" xfId="0" applyFont="1" applyFill="1" applyBorder="1" applyAlignment="1">
      <alignment horizontal="left" vertical="center"/>
    </xf>
    <xf numFmtId="0" fontId="7" fillId="0" borderId="5" xfId="0" applyFont="1" applyBorder="1" applyAlignment="1">
      <alignment vertical="center"/>
    </xf>
    <xf numFmtId="0" fontId="1" fillId="2" borderId="2" xfId="0" applyFont="1" applyFill="1" applyBorder="1" applyAlignment="1">
      <alignment horizontal="left" vertical="center"/>
    </xf>
    <xf numFmtId="0" fontId="1" fillId="0" borderId="2" xfId="0" applyFont="1" applyBorder="1" applyAlignment="1">
      <alignment horizontal="left" vertical="center"/>
    </xf>
    <xf numFmtId="0" fontId="1" fillId="0" borderId="17" xfId="0" applyFont="1" applyBorder="1" applyAlignment="1">
      <alignment horizontal="left" vertical="center"/>
    </xf>
    <xf numFmtId="0" fontId="7" fillId="0" borderId="18" xfId="0" applyFont="1" applyBorder="1" applyAlignment="1">
      <alignment vertical="center"/>
    </xf>
    <xf numFmtId="0" fontId="7" fillId="0" borderId="19" xfId="0" applyFont="1" applyBorder="1" applyAlignment="1">
      <alignment vertical="center"/>
    </xf>
    <xf numFmtId="0" fontId="2" fillId="0" borderId="21" xfId="0" applyFont="1" applyBorder="1" applyAlignment="1">
      <alignment horizontal="left" vertical="center"/>
    </xf>
    <xf numFmtId="0" fontId="7" fillId="0" borderId="22" xfId="0" applyFont="1" applyBorder="1" applyAlignment="1">
      <alignment vertical="center"/>
    </xf>
    <xf numFmtId="0" fontId="7" fillId="0" borderId="23" xfId="0" applyFont="1" applyBorder="1" applyAlignment="1">
      <alignment vertical="center"/>
    </xf>
    <xf numFmtId="0" fontId="1" fillId="2" borderId="7" xfId="0" applyFont="1" applyFill="1" applyBorder="1" applyAlignment="1">
      <alignment horizontal="left" vertical="center"/>
    </xf>
    <xf numFmtId="0" fontId="7" fillId="0" borderId="8" xfId="0" applyFont="1" applyBorder="1" applyAlignment="1">
      <alignment vertical="center"/>
    </xf>
    <xf numFmtId="0" fontId="7" fillId="0" borderId="9" xfId="0" applyFont="1" applyBorder="1" applyAlignment="1">
      <alignment vertical="center"/>
    </xf>
    <xf numFmtId="0" fontId="1" fillId="2" borderId="11" xfId="0" applyFont="1" applyFill="1" applyBorder="1" applyAlignment="1">
      <alignment horizontal="left" vertical="center"/>
    </xf>
    <xf numFmtId="0" fontId="7" fillId="0" borderId="12" xfId="0" applyFont="1" applyBorder="1" applyAlignment="1">
      <alignment vertical="center"/>
    </xf>
    <xf numFmtId="0" fontId="7" fillId="0" borderId="13" xfId="0" applyFont="1" applyBorder="1" applyAlignment="1">
      <alignment vertical="center"/>
    </xf>
    <xf numFmtId="0" fontId="2" fillId="0" borderId="2" xfId="0" applyFont="1" applyBorder="1" applyAlignment="1">
      <alignment horizontal="left" vertical="center"/>
    </xf>
    <xf numFmtId="180" fontId="20" fillId="12" borderId="2" xfId="0" applyNumberFormat="1" applyFont="1" applyFill="1" applyBorder="1" applyAlignment="1">
      <alignment horizontal="right"/>
    </xf>
    <xf numFmtId="180" fontId="23" fillId="8" borderId="30" xfId="0" applyNumberFormat="1" applyFont="1" applyFill="1" applyBorder="1" applyAlignment="1">
      <alignment horizontal="right"/>
    </xf>
    <xf numFmtId="0" fontId="7" fillId="0" borderId="31" xfId="0" applyFont="1" applyBorder="1" applyAlignment="1">
      <alignment vertical="center"/>
    </xf>
    <xf numFmtId="180" fontId="2" fillId="8" borderId="2" xfId="0" applyNumberFormat="1" applyFont="1" applyFill="1" applyBorder="1" applyAlignment="1">
      <alignment horizontal="right"/>
    </xf>
    <xf numFmtId="0" fontId="30" fillId="7" borderId="2" xfId="0" applyFont="1" applyFill="1" applyBorder="1" applyAlignment="1">
      <alignment horizontal="center"/>
    </xf>
    <xf numFmtId="179" fontId="15" fillId="6" borderId="24" xfId="0" applyNumberFormat="1" applyFont="1" applyFill="1" applyBorder="1" applyAlignment="1">
      <alignment horizontal="center"/>
    </xf>
    <xf numFmtId="0" fontId="7" fillId="0" borderId="25" xfId="0" applyFont="1" applyBorder="1" applyAlignment="1">
      <alignment vertical="center"/>
    </xf>
    <xf numFmtId="0" fontId="7" fillId="0" borderId="26" xfId="0" applyFont="1" applyBorder="1" applyAlignment="1">
      <alignment vertical="center"/>
    </xf>
    <xf numFmtId="0" fontId="7" fillId="0" borderId="21" xfId="0" applyFont="1" applyBorder="1" applyAlignment="1">
      <alignment vertical="center"/>
    </xf>
    <xf numFmtId="0" fontId="16" fillId="7" borderId="27" xfId="0" applyFont="1" applyFill="1" applyBorder="1" applyAlignment="1">
      <alignment horizontal="center"/>
    </xf>
    <xf numFmtId="0" fontId="17" fillId="7" borderId="2" xfId="0" applyFont="1" applyFill="1" applyBorder="1" applyAlignment="1">
      <alignment horizontal="center"/>
    </xf>
    <xf numFmtId="0" fontId="16" fillId="7" borderId="2" xfId="0" applyFont="1" applyFill="1" applyBorder="1" applyAlignment="1">
      <alignment horizontal="center"/>
    </xf>
    <xf numFmtId="0" fontId="16" fillId="8" borderId="27" xfId="0" applyFont="1" applyFill="1" applyBorder="1" applyAlignment="1">
      <alignment horizontal="center"/>
    </xf>
    <xf numFmtId="180" fontId="21" fillId="4" borderId="2" xfId="0" applyNumberFormat="1" applyFont="1" applyFill="1" applyBorder="1" applyAlignment="1">
      <alignment horizontal="center"/>
    </xf>
    <xf numFmtId="0" fontId="27" fillId="11" borderId="7" xfId="0" applyFont="1" applyFill="1" applyBorder="1" applyAlignment="1">
      <alignment horizontal="center"/>
    </xf>
    <xf numFmtId="0" fontId="32" fillId="11" borderId="30" xfId="0" applyFont="1" applyFill="1" applyBorder="1" applyAlignment="1">
      <alignment horizontal="center"/>
    </xf>
    <xf numFmtId="180" fontId="34" fillId="11" borderId="30" xfId="0" applyNumberFormat="1" applyFont="1" applyFill="1" applyBorder="1" applyAlignment="1">
      <alignment horizontal="center"/>
    </xf>
    <xf numFmtId="181" fontId="20" fillId="10" borderId="2" xfId="0" applyNumberFormat="1" applyFont="1" applyFill="1" applyBorder="1" applyAlignment="1">
      <alignment horizontal="center"/>
    </xf>
    <xf numFmtId="0" fontId="28" fillId="7" borderId="2" xfId="0" applyFont="1" applyFill="1" applyBorder="1" applyAlignment="1">
      <alignment horizontal="center"/>
    </xf>
    <xf numFmtId="9" fontId="10" fillId="9" borderId="2" xfId="0" applyNumberFormat="1" applyFont="1" applyFill="1" applyBorder="1" applyAlignment="1">
      <alignment horizontal="center"/>
    </xf>
    <xf numFmtId="0" fontId="35" fillId="7" borderId="2" xfId="0" applyFont="1" applyFill="1" applyBorder="1" applyAlignment="1">
      <alignment horizontal="center"/>
    </xf>
    <xf numFmtId="180" fontId="34" fillId="8" borderId="30" xfId="0" applyNumberFormat="1" applyFont="1" applyFill="1" applyBorder="1" applyAlignment="1">
      <alignment horizontal="center"/>
    </xf>
    <xf numFmtId="10" fontId="14" fillId="5" borderId="47" xfId="0" applyNumberFormat="1" applyFont="1" applyFill="1" applyBorder="1" applyAlignment="1">
      <alignment horizontal="center" vertical="center"/>
    </xf>
    <xf numFmtId="0" fontId="7" fillId="0" borderId="48" xfId="0" applyFont="1" applyBorder="1" applyAlignment="1">
      <alignment vertical="center"/>
    </xf>
    <xf numFmtId="0" fontId="7" fillId="0" borderId="20" xfId="0" applyFont="1" applyBorder="1" applyAlignment="1">
      <alignment vertical="center"/>
    </xf>
    <xf numFmtId="177" fontId="35" fillId="3" borderId="2" xfId="0" applyNumberFormat="1" applyFont="1" applyFill="1" applyBorder="1" applyAlignment="1">
      <alignment horizontal="center"/>
    </xf>
    <xf numFmtId="181" fontId="30" fillId="10" borderId="30" xfId="0" applyNumberFormat="1" applyFont="1" applyFill="1" applyBorder="1" applyAlignment="1">
      <alignment horizontal="right"/>
    </xf>
    <xf numFmtId="180" fontId="38" fillId="8" borderId="2" xfId="0" applyNumberFormat="1" applyFont="1" applyFill="1" applyBorder="1" applyAlignment="1">
      <alignment horizontal="center"/>
    </xf>
    <xf numFmtId="179" fontId="15" fillId="6" borderId="24" xfId="0" applyNumberFormat="1" applyFont="1" applyFill="1" applyBorder="1" applyAlignment="1">
      <alignment horizontal="center" vertical="center"/>
    </xf>
    <xf numFmtId="0" fontId="16" fillId="7" borderId="2" xfId="0" applyFont="1" applyFill="1" applyBorder="1"/>
    <xf numFmtId="0" fontId="7" fillId="0" borderId="43" xfId="0" applyFont="1" applyBorder="1" applyAlignment="1">
      <alignment vertical="center"/>
    </xf>
    <xf numFmtId="0" fontId="6" fillId="7" borderId="2" xfId="0" applyFont="1" applyFill="1" applyBorder="1" applyAlignment="1">
      <alignment horizontal="center"/>
    </xf>
    <xf numFmtId="0" fontId="16" fillId="11" borderId="27" xfId="0" applyFont="1" applyFill="1" applyBorder="1" applyAlignment="1">
      <alignment horizontal="center"/>
    </xf>
    <xf numFmtId="180" fontId="22" fillId="8" borderId="2" xfId="0" applyNumberFormat="1" applyFont="1" applyFill="1" applyBorder="1" applyAlignment="1">
      <alignment horizontal="center"/>
    </xf>
    <xf numFmtId="180" fontId="30" fillId="9" borderId="44" xfId="0" applyNumberFormat="1" applyFont="1" applyFill="1" applyBorder="1" applyAlignment="1">
      <alignment horizontal="right"/>
    </xf>
    <xf numFmtId="10" fontId="2" fillId="10" borderId="30" xfId="0" applyNumberFormat="1" applyFont="1" applyFill="1" applyBorder="1"/>
    <xf numFmtId="0" fontId="7" fillId="0" borderId="45" xfId="0" applyFont="1" applyBorder="1" applyAlignment="1">
      <alignment vertical="center"/>
    </xf>
    <xf numFmtId="0" fontId="31" fillId="8" borderId="7" xfId="0" applyFont="1" applyFill="1" applyBorder="1" applyAlignment="1">
      <alignment horizontal="center"/>
    </xf>
    <xf numFmtId="0" fontId="41" fillId="7" borderId="2" xfId="0" applyFont="1" applyFill="1" applyBorder="1" applyAlignment="1">
      <alignment horizontal="center"/>
    </xf>
    <xf numFmtId="0" fontId="16" fillId="8" borderId="2" xfId="0" applyFont="1" applyFill="1" applyBorder="1" applyAlignment="1">
      <alignment horizontal="center" vertical="center"/>
    </xf>
    <xf numFmtId="0" fontId="32" fillId="8" borderId="30" xfId="0" applyFont="1" applyFill="1" applyBorder="1" applyAlignment="1">
      <alignment horizontal="center"/>
    </xf>
    <xf numFmtId="177" fontId="21" fillId="17" borderId="2" xfId="0" applyNumberFormat="1" applyFont="1" applyFill="1" applyBorder="1" applyAlignment="1">
      <alignment horizontal="center"/>
    </xf>
    <xf numFmtId="0" fontId="21" fillId="8" borderId="24" xfId="0" applyFont="1" applyFill="1" applyBorder="1" applyAlignment="1">
      <alignment horizontal="center" vertical="center"/>
    </xf>
    <xf numFmtId="0" fontId="21" fillId="8" borderId="2" xfId="0" applyFont="1" applyFill="1" applyBorder="1" applyAlignment="1">
      <alignment horizontal="center" vertical="center"/>
    </xf>
    <xf numFmtId="0" fontId="21" fillId="18" borderId="2" xfId="0" applyFont="1" applyFill="1" applyBorder="1" applyAlignment="1">
      <alignment horizontal="center"/>
    </xf>
    <xf numFmtId="180" fontId="21" fillId="18" borderId="2" xfId="0" applyNumberFormat="1" applyFont="1" applyFill="1" applyBorder="1" applyAlignment="1">
      <alignment horizontal="center"/>
    </xf>
    <xf numFmtId="0" fontId="30" fillId="14" borderId="2" xfId="0" applyFont="1" applyFill="1" applyBorder="1" applyAlignment="1">
      <alignment horizontal="center"/>
    </xf>
    <xf numFmtId="0" fontId="23" fillId="9" borderId="2" xfId="0" applyFont="1" applyFill="1" applyBorder="1" applyAlignment="1">
      <alignment horizontal="center"/>
    </xf>
    <xf numFmtId="0" fontId="38" fillId="9" borderId="2" xfId="0" applyFont="1" applyFill="1" applyBorder="1" applyAlignment="1">
      <alignment horizontal="center"/>
    </xf>
    <xf numFmtId="190" fontId="21" fillId="3" borderId="2" xfId="0" applyNumberFormat="1" applyFont="1" applyFill="1" applyBorder="1" applyAlignment="1">
      <alignment horizontal="center"/>
    </xf>
    <xf numFmtId="180" fontId="21" fillId="8" borderId="2" xfId="0" applyNumberFormat="1" applyFont="1" applyFill="1" applyBorder="1" applyAlignment="1">
      <alignment horizontal="center"/>
    </xf>
    <xf numFmtId="0" fontId="45" fillId="10" borderId="2" xfId="0" applyFont="1" applyFill="1" applyBorder="1" applyAlignment="1">
      <alignment horizontal="center" vertical="center"/>
    </xf>
    <xf numFmtId="0" fontId="45" fillId="2" borderId="2" xfId="0" applyFont="1" applyFill="1" applyBorder="1" applyAlignment="1">
      <alignment horizontal="center" vertical="center"/>
    </xf>
    <xf numFmtId="192" fontId="47" fillId="10" borderId="24" xfId="0" applyNumberFormat="1" applyFont="1" applyFill="1" applyBorder="1" applyAlignment="1">
      <alignment horizontal="center" vertical="center"/>
    </xf>
    <xf numFmtId="192" fontId="44" fillId="2" borderId="2" xfId="0" applyNumberFormat="1" applyFont="1" applyFill="1" applyBorder="1" applyAlignment="1">
      <alignment horizontal="center" vertical="center"/>
    </xf>
    <xf numFmtId="192" fontId="49" fillId="19" borderId="2" xfId="0" applyNumberFormat="1" applyFont="1" applyFill="1" applyBorder="1" applyAlignment="1">
      <alignment horizontal="center" vertical="center"/>
    </xf>
    <xf numFmtId="191" fontId="15" fillId="2" borderId="49" xfId="0" applyNumberFormat="1" applyFont="1" applyFill="1" applyBorder="1" applyAlignment="1">
      <alignment horizontal="right" vertical="center"/>
    </xf>
    <xf numFmtId="0" fontId="7" fillId="0" borderId="50" xfId="0" applyFont="1" applyBorder="1" applyAlignment="1">
      <alignment vertical="center"/>
    </xf>
    <xf numFmtId="177" fontId="44" fillId="2" borderId="2" xfId="0" applyNumberFormat="1" applyFont="1" applyFill="1" applyBorder="1" applyAlignment="1">
      <alignment horizontal="center" vertical="center"/>
    </xf>
    <xf numFmtId="0" fontId="36" fillId="2" borderId="2" xfId="0" applyFont="1" applyFill="1" applyBorder="1" applyAlignment="1">
      <alignment horizontal="right" vertical="center"/>
    </xf>
    <xf numFmtId="194" fontId="30" fillId="2" borderId="2" xfId="0" applyNumberFormat="1" applyFont="1" applyFill="1" applyBorder="1" applyAlignment="1">
      <alignment horizontal="left" vertical="center"/>
    </xf>
    <xf numFmtId="0" fontId="51" fillId="2" borderId="7" xfId="0" applyFont="1" applyFill="1" applyBorder="1" applyAlignment="1">
      <alignment horizontal="center" vertical="center"/>
    </xf>
    <xf numFmtId="194" fontId="30" fillId="2" borderId="30" xfId="0" applyNumberFormat="1" applyFont="1" applyFill="1" applyBorder="1" applyAlignment="1">
      <alignment horizontal="left" vertical="center"/>
    </xf>
    <xf numFmtId="0" fontId="7" fillId="0" borderId="51" xfId="0" applyFont="1" applyBorder="1" applyAlignment="1">
      <alignment vertical="center"/>
    </xf>
    <xf numFmtId="177" fontId="38" fillId="0" borderId="47" xfId="0" applyNumberFormat="1" applyFont="1" applyBorder="1" applyAlignment="1">
      <alignment horizontal="center" vertical="center"/>
    </xf>
    <xf numFmtId="0" fontId="38" fillId="0" borderId="47" xfId="0" applyFont="1" applyBorder="1" applyAlignment="1">
      <alignment horizontal="center" vertical="center"/>
    </xf>
    <xf numFmtId="0" fontId="52" fillId="20" borderId="2" xfId="0" applyFont="1" applyFill="1" applyBorder="1" applyAlignment="1">
      <alignment horizontal="right" vertical="center"/>
    </xf>
    <xf numFmtId="197" fontId="8" fillId="0" borderId="47" xfId="0" applyNumberFormat="1" applyFont="1" applyBorder="1" applyAlignment="1">
      <alignment horizontal="center" vertical="center"/>
    </xf>
    <xf numFmtId="183" fontId="8" fillId="0" borderId="47" xfId="0" applyNumberFormat="1" applyFont="1" applyBorder="1" applyAlignment="1">
      <alignment horizontal="center" vertical="center"/>
    </xf>
    <xf numFmtId="9" fontId="1" fillId="0" borderId="47" xfId="0" applyNumberFormat="1" applyFont="1" applyBorder="1" applyAlignment="1">
      <alignment horizontal="center" vertical="center"/>
    </xf>
    <xf numFmtId="177" fontId="54" fillId="0" borderId="47" xfId="0" applyNumberFormat="1" applyFont="1" applyBorder="1" applyAlignment="1">
      <alignment horizontal="center" vertical="center"/>
    </xf>
    <xf numFmtId="0" fontId="54" fillId="0" borderId="47" xfId="0" applyFont="1" applyBorder="1" applyAlignment="1">
      <alignment horizontal="right" vertical="center"/>
    </xf>
    <xf numFmtId="0" fontId="54" fillId="0" borderId="2" xfId="0" applyFont="1" applyBorder="1" applyAlignment="1">
      <alignment horizontal="right" vertical="center"/>
    </xf>
    <xf numFmtId="0" fontId="54" fillId="0" borderId="47" xfId="0" applyFont="1" applyBorder="1" applyAlignment="1">
      <alignment horizontal="center" vertical="center"/>
    </xf>
    <xf numFmtId="177" fontId="2" fillId="0" borderId="47" xfId="0" applyNumberFormat="1" applyFont="1" applyBorder="1" applyAlignment="1">
      <alignment horizontal="center" vertical="center"/>
    </xf>
    <xf numFmtId="192" fontId="1" fillId="0" borderId="47" xfId="0" applyNumberFormat="1" applyFont="1" applyBorder="1" applyAlignment="1">
      <alignment horizontal="center" vertical="center"/>
    </xf>
    <xf numFmtId="0" fontId="54" fillId="0" borderId="2" xfId="0" applyFont="1" applyBorder="1" applyAlignment="1">
      <alignment horizontal="left" vertical="center"/>
    </xf>
    <xf numFmtId="0" fontId="28" fillId="0" borderId="2" xfId="0" applyFont="1" applyBorder="1" applyAlignment="1">
      <alignment horizontal="center" vertical="center"/>
    </xf>
    <xf numFmtId="10" fontId="54" fillId="0" borderId="26" xfId="0" applyNumberFormat="1" applyFont="1" applyBorder="1" applyAlignment="1">
      <alignment horizontal="center" vertical="center"/>
    </xf>
    <xf numFmtId="188" fontId="54" fillId="0" borderId="47" xfId="0" applyNumberFormat="1" applyFont="1" applyBorder="1" applyAlignment="1">
      <alignment horizontal="center" vertical="center"/>
    </xf>
    <xf numFmtId="192" fontId="2" fillId="0" borderId="47" xfId="0" applyNumberFormat="1" applyFont="1" applyBorder="1" applyAlignment="1">
      <alignment horizontal="center" vertical="center"/>
    </xf>
    <xf numFmtId="177" fontId="65" fillId="0" borderId="2" xfId="0" applyNumberFormat="1" applyFont="1" applyBorder="1" applyAlignment="1">
      <alignment horizontal="center" vertical="center"/>
    </xf>
    <xf numFmtId="0" fontId="61" fillId="3" borderId="17" xfId="0" applyFont="1" applyFill="1" applyBorder="1" applyAlignment="1">
      <alignment horizontal="center" vertical="center"/>
    </xf>
    <xf numFmtId="177" fontId="63" fillId="3" borderId="24" xfId="0" applyNumberFormat="1" applyFont="1" applyFill="1" applyBorder="1" applyAlignment="1">
      <alignment horizontal="center" vertical="center"/>
    </xf>
    <xf numFmtId="0" fontId="7" fillId="0" borderId="60" xfId="0" applyFont="1" applyBorder="1" applyAlignment="1">
      <alignment vertical="center"/>
    </xf>
    <xf numFmtId="0" fontId="7" fillId="0" borderId="46" xfId="0" applyFont="1" applyBorder="1" applyAlignment="1">
      <alignment vertical="center"/>
    </xf>
    <xf numFmtId="0" fontId="61" fillId="3" borderId="55" xfId="0" applyFont="1" applyFill="1" applyBorder="1" applyAlignment="1">
      <alignment horizontal="center" vertical="center"/>
    </xf>
    <xf numFmtId="177" fontId="64" fillId="0" borderId="21" xfId="0" applyNumberFormat="1" applyFont="1" applyBorder="1" applyAlignment="1">
      <alignment horizontal="center" vertical="center"/>
    </xf>
    <xf numFmtId="177" fontId="64" fillId="0" borderId="58" xfId="0" applyNumberFormat="1" applyFont="1" applyBorder="1" applyAlignment="1">
      <alignment horizontal="center" vertical="center"/>
    </xf>
    <xf numFmtId="0" fontId="7" fillId="0" borderId="59" xfId="0" applyFont="1" applyBorder="1" applyAlignment="1">
      <alignment vertical="center"/>
    </xf>
    <xf numFmtId="177" fontId="66" fillId="3" borderId="17" xfId="0" applyNumberFormat="1" applyFont="1" applyFill="1" applyBorder="1" applyAlignment="1">
      <alignment horizontal="center" vertical="center"/>
    </xf>
    <xf numFmtId="177" fontId="67" fillId="3" borderId="17" xfId="0" applyNumberFormat="1" applyFont="1" applyFill="1" applyBorder="1" applyAlignment="1">
      <alignment horizontal="center" vertical="center"/>
    </xf>
    <xf numFmtId="192" fontId="66" fillId="0" borderId="77" xfId="0" applyNumberFormat="1" applyFont="1" applyBorder="1" applyAlignment="1">
      <alignment horizontal="center" vertical="center"/>
    </xf>
    <xf numFmtId="0" fontId="7" fillId="0" borderId="77" xfId="0" applyFont="1" applyBorder="1" applyAlignment="1">
      <alignment vertical="center"/>
    </xf>
    <xf numFmtId="0" fontId="7" fillId="0" borderId="78" xfId="0" applyFont="1" applyBorder="1" applyAlignment="1">
      <alignment vertical="center"/>
    </xf>
    <xf numFmtId="0" fontId="58" fillId="3" borderId="85" xfId="0" applyFont="1" applyFill="1" applyBorder="1" applyAlignment="1">
      <alignment horizontal="center" vertical="center"/>
    </xf>
    <xf numFmtId="0" fontId="7" fillId="0" borderId="93" xfId="0" applyFont="1" applyBorder="1" applyAlignment="1">
      <alignment vertical="center"/>
    </xf>
    <xf numFmtId="0" fontId="7" fillId="0" borderId="105" xfId="0" applyFont="1" applyBorder="1" applyAlignment="1">
      <alignment vertical="center"/>
    </xf>
    <xf numFmtId="0" fontId="58" fillId="3" borderId="86" xfId="0" applyFont="1" applyFill="1" applyBorder="1" applyAlignment="1">
      <alignment horizontal="center" vertical="center"/>
    </xf>
    <xf numFmtId="0" fontId="7" fillId="0" borderId="94" xfId="0" applyFont="1" applyBorder="1" applyAlignment="1">
      <alignment vertical="center"/>
    </xf>
    <xf numFmtId="0" fontId="7" fillId="0" borderId="100" xfId="0" applyFont="1" applyBorder="1" applyAlignment="1">
      <alignment vertical="center"/>
    </xf>
    <xf numFmtId="0" fontId="58" fillId="3" borderId="104" xfId="0" applyFont="1" applyFill="1" applyBorder="1" applyAlignment="1">
      <alignment horizontal="center" vertical="center"/>
    </xf>
    <xf numFmtId="177" fontId="66" fillId="3" borderId="117" xfId="0" applyNumberFormat="1" applyFont="1" applyFill="1" applyBorder="1" applyAlignment="1">
      <alignment horizontal="center" vertical="center"/>
    </xf>
    <xf numFmtId="0" fontId="7" fillId="0" borderId="88" xfId="0" applyFont="1" applyBorder="1" applyAlignment="1">
      <alignment vertical="center"/>
    </xf>
    <xf numFmtId="177" fontId="66" fillId="3" borderId="118" xfId="0" applyNumberFormat="1" applyFont="1" applyFill="1" applyBorder="1" applyAlignment="1">
      <alignment horizontal="center" vertical="center"/>
    </xf>
    <xf numFmtId="0" fontId="7" fillId="0" borderId="119" xfId="0" applyFont="1" applyBorder="1" applyAlignment="1">
      <alignment vertical="center"/>
    </xf>
    <xf numFmtId="177" fontId="67" fillId="3" borderId="120" xfId="0" applyNumberFormat="1" applyFont="1" applyFill="1" applyBorder="1" applyAlignment="1">
      <alignment horizontal="center" vertical="center"/>
    </xf>
    <xf numFmtId="0" fontId="7" fillId="0" borderId="121" xfId="0" applyFont="1" applyBorder="1" applyAlignment="1">
      <alignment vertical="center"/>
    </xf>
    <xf numFmtId="0" fontId="63" fillId="3" borderId="56" xfId="0" applyFont="1" applyFill="1" applyBorder="1" applyAlignment="1">
      <alignment horizontal="center" vertical="center"/>
    </xf>
    <xf numFmtId="0" fontId="7" fillId="0" borderId="57" xfId="0" applyFont="1" applyBorder="1" applyAlignment="1">
      <alignment vertical="center"/>
    </xf>
    <xf numFmtId="0" fontId="7" fillId="0" borderId="61" xfId="0" applyFont="1" applyBorder="1" applyAlignment="1">
      <alignment vertical="center"/>
    </xf>
    <xf numFmtId="0" fontId="7" fillId="0" borderId="62" xfId="0" applyFont="1" applyBorder="1" applyAlignment="1">
      <alignment vertical="center"/>
    </xf>
    <xf numFmtId="9" fontId="72" fillId="3" borderId="69" xfId="0" applyNumberFormat="1" applyFont="1" applyFill="1" applyBorder="1" applyAlignment="1">
      <alignment horizontal="center" vertical="center"/>
    </xf>
    <xf numFmtId="0" fontId="7" fillId="0" borderId="71" xfId="0" applyFont="1" applyBorder="1" applyAlignment="1">
      <alignment vertical="center"/>
    </xf>
    <xf numFmtId="0" fontId="74" fillId="3" borderId="69" xfId="0" applyFont="1" applyFill="1" applyBorder="1" applyAlignment="1">
      <alignment horizontal="center" vertical="center"/>
    </xf>
    <xf numFmtId="0" fontId="7" fillId="0" borderId="70" xfId="0" applyFont="1" applyBorder="1" applyAlignment="1">
      <alignment vertical="center"/>
    </xf>
    <xf numFmtId="0" fontId="63" fillId="3" borderId="56" xfId="0" applyFont="1" applyFill="1" applyBorder="1" applyAlignment="1">
      <alignment horizontal="center" vertical="center" wrapText="1"/>
    </xf>
    <xf numFmtId="177" fontId="66" fillId="3" borderId="74" xfId="0" applyNumberFormat="1" applyFont="1" applyFill="1" applyBorder="1" applyAlignment="1">
      <alignment horizontal="center" vertical="center"/>
    </xf>
    <xf numFmtId="0" fontId="7" fillId="0" borderId="75" xfId="0" applyFont="1" applyBorder="1" applyAlignment="1">
      <alignment vertical="center"/>
    </xf>
    <xf numFmtId="0" fontId="63" fillId="3" borderId="69" xfId="0" applyFont="1" applyFill="1" applyBorder="1" applyAlignment="1">
      <alignment horizontal="center" vertical="center"/>
    </xf>
  </cellXfs>
  <cellStyles count="1">
    <cellStyle name="標準" xfId="0" builtinId="0"/>
  </cellStyles>
  <dxfs count="12">
    <dxf>
      <font>
        <color rgb="FF9C0006"/>
      </font>
      <fill>
        <patternFill patternType="solid">
          <fgColor rgb="FFFFC7CE"/>
          <bgColor rgb="FFFFC7CE"/>
        </patternFill>
      </fill>
    </dxf>
    <dxf>
      <font>
        <b/>
        <i/>
        <color rgb="FF000000"/>
      </font>
      <fill>
        <patternFill patternType="solid">
          <fgColor rgb="FFF3F3F3"/>
          <bgColor rgb="FFF3F3F3"/>
        </patternFill>
      </fill>
    </dxf>
    <dxf>
      <font>
        <color rgb="FFFF0000"/>
      </font>
      <fill>
        <patternFill patternType="solid">
          <fgColor rgb="FFF3F3F3"/>
          <bgColor rgb="FFF3F3F3"/>
        </patternFill>
      </fill>
    </dxf>
    <dxf>
      <fill>
        <patternFill patternType="solid">
          <fgColor rgb="FFCFE2F3"/>
          <bgColor rgb="FFCFE2F3"/>
        </patternFill>
      </fill>
    </dxf>
    <dxf>
      <fill>
        <patternFill patternType="solid">
          <fgColor rgb="FFF4CCCC"/>
          <bgColor rgb="FFF4CCCC"/>
        </patternFill>
      </fill>
    </dxf>
    <dxf>
      <font>
        <color rgb="FF000000"/>
      </font>
      <fill>
        <patternFill patternType="solid">
          <fgColor rgb="FF999999"/>
          <bgColor rgb="FF999999"/>
        </patternFill>
      </fill>
    </dxf>
    <dxf>
      <font>
        <b/>
        <i/>
        <color rgb="FF000000"/>
      </font>
      <fill>
        <patternFill patternType="solid">
          <fgColor rgb="FFF3F3F3"/>
          <bgColor rgb="FFF3F3F3"/>
        </patternFill>
      </fill>
    </dxf>
    <dxf>
      <font>
        <color rgb="FFFF0000"/>
      </font>
      <fill>
        <patternFill patternType="solid">
          <fgColor rgb="FFF3F3F3"/>
          <bgColor rgb="FFF3F3F3"/>
        </patternFill>
      </fill>
    </dxf>
    <dxf>
      <font>
        <b/>
        <i/>
      </font>
      <fill>
        <patternFill patternType="solid">
          <fgColor theme="7"/>
          <bgColor theme="7"/>
        </patternFill>
      </fill>
    </dxf>
    <dxf>
      <fill>
        <patternFill patternType="solid">
          <fgColor rgb="FFCFE2F3"/>
          <bgColor rgb="FFCFE2F3"/>
        </patternFill>
      </fill>
    </dxf>
    <dxf>
      <fill>
        <patternFill patternType="solid">
          <fgColor rgb="FFF4CCCC"/>
          <bgColor rgb="FFF4CCCC"/>
        </patternFill>
      </fill>
    </dxf>
    <dxf>
      <font>
        <color rgb="FF000000"/>
      </font>
      <fill>
        <patternFill patternType="solid">
          <fgColor rgb="FF999999"/>
          <bgColor rgb="FF99999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externalLink" Target="externalLinks/externalLink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shinmatsushita/Library/CloudStorage/GoogleDrive-puranabarca.office@gmail.com/&#12510;&#12452;&#12488;&#12441;&#12521;&#12452;&#12501;&#12441;/DAD&#26085;&#22577;/DAD&#25126;&#30053;&#34920;/&#12522;&#12488;&#12525;&#12540;&#12507;&#12441;&#25126;&#30053;&#349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shinmatsushita/Dropbox/&#26085;&#22577;/PL&#34920;/&#31532;18&#2639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リトローボ戦略表"/>
      <sheetName val="リトローボ_実績_2024R6"/>
      <sheetName val="リトローボ_目標_2025R7"/>
    </sheetNames>
    <sheetDataSet>
      <sheetData sheetId="0"/>
      <sheetData sheetId="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参考用】各経費適正表"/>
      <sheetName val="リース費表"/>
      <sheetName val="DADグループ"/>
      <sheetName val="バルカ"/>
      <sheetName val="バルカ (実験版)(a)"/>
      <sheetName val="バルカ (2)非表示予定"/>
      <sheetName val="バルカ 適正原価率計算表(仕入れお小遣い制度)"/>
      <sheetName val="バルカ 適正人件費計算表"/>
      <sheetName val="バルカ 人件費計算表"/>
      <sheetName val="Ｂ広告宣伝費"/>
      <sheetName val="Ｂ通信費"/>
      <sheetName val="ぼんぼり"/>
      <sheetName val="ぼんぼり(非表示予定)"/>
      <sheetName val="ぼんぼり 適正原価率計算表(仕入れお小遣い制度)"/>
      <sheetName val="ぼんぼり 適正人件費計算表"/>
      <sheetName val="ぼんぼり 人件費計算表"/>
      <sheetName val="ぼ　通信費"/>
      <sheetName val="ぼ　リース"/>
      <sheetName val="リトローボ"/>
      <sheetName val="リトローボ(非表示予定)"/>
      <sheetName val="リトローボ 適正原価率計算表(仕入れお小遣い制度)"/>
      <sheetName val="リトローボ 適正人件費計算表"/>
      <sheetName val="リトローボ 人件費計算表"/>
      <sheetName val="リ　広告宣伝費"/>
      <sheetName val="リ　通信費"/>
      <sheetName val="本部"/>
      <sheetName val="本　広告宣伝費"/>
      <sheetName val="本　通信費"/>
      <sheetName val="本部費用案分表"/>
      <sheetName val="振込手数料"/>
      <sheetName val="バルカ (2)"/>
    </sheetNames>
    <sheetDataSet>
      <sheetData sheetId="0"/>
      <sheetData sheetId="1"/>
      <sheetData sheetId="2"/>
      <sheetData sheetId="3"/>
      <sheetData sheetId="4"/>
      <sheetData sheetId="5"/>
      <sheetData sheetId="6"/>
      <sheetData sheetId="7"/>
      <sheetData sheetId="8"/>
      <sheetData sheetId="9">
        <row r="9">
          <cell r="C9">
            <v>27500</v>
          </cell>
        </row>
      </sheetData>
      <sheetData sheetId="10">
        <row r="8">
          <cell r="C8">
            <v>13346</v>
          </cell>
        </row>
      </sheetData>
      <sheetData sheetId="11"/>
      <sheetData sheetId="12">
        <row r="6">
          <cell r="B6">
            <v>1629783</v>
          </cell>
        </row>
      </sheetData>
      <sheetData sheetId="13"/>
      <sheetData sheetId="14"/>
      <sheetData sheetId="15"/>
      <sheetData sheetId="16"/>
      <sheetData sheetId="17"/>
      <sheetData sheetId="18"/>
      <sheetData sheetId="19">
        <row r="6">
          <cell r="B6">
            <v>869571</v>
          </cell>
        </row>
      </sheetData>
      <sheetData sheetId="20"/>
      <sheetData sheetId="21"/>
      <sheetData sheetId="22"/>
      <sheetData sheetId="23"/>
      <sheetData sheetId="24"/>
      <sheetData sheetId="25"/>
      <sheetData sheetId="26"/>
      <sheetData sheetId="27"/>
      <sheetData sheetId="28">
        <row r="3">
          <cell r="C3">
            <v>189240.47361648001</v>
          </cell>
        </row>
      </sheetData>
      <sheetData sheetId="29"/>
      <sheetData sheetId="30"/>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9.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0"/>
  <sheetViews>
    <sheetView workbookViewId="0">
      <selection activeCell="C30" sqref="C30"/>
    </sheetView>
  </sheetViews>
  <sheetFormatPr baseColWidth="10" defaultColWidth="11.1640625" defaultRowHeight="15" customHeight="1" outlineLevelRow="1" outlineLevelCol="1"/>
  <cols>
    <col min="1" max="1" width="8.33203125" customWidth="1"/>
    <col min="2" max="2" width="25.83203125" customWidth="1"/>
    <col min="3" max="3" width="17.33203125" customWidth="1"/>
    <col min="4" max="4" width="10.1640625" customWidth="1"/>
    <col min="5" max="5" width="17.33203125" customWidth="1"/>
    <col min="6" max="6" width="16.1640625" customWidth="1"/>
    <col min="7" max="7" width="8.33203125" customWidth="1"/>
    <col min="8" max="8" width="10.6640625" customWidth="1"/>
    <col min="9" max="9" width="10" customWidth="1"/>
    <col min="10" max="10" width="11.83203125" customWidth="1"/>
    <col min="11" max="11" width="11.5" customWidth="1"/>
    <col min="12" max="12" width="8.5" customWidth="1"/>
    <col min="13" max="13" width="11.5" customWidth="1"/>
    <col min="14" max="14" width="16.1640625" hidden="1" customWidth="1" outlineLevel="1"/>
    <col min="15" max="15" width="15" hidden="1" customWidth="1" outlineLevel="1"/>
    <col min="16" max="17" width="8.33203125" hidden="1" customWidth="1" outlineLevel="1"/>
    <col min="18" max="18" width="8.33203125" customWidth="1" collapsed="1"/>
    <col min="19" max="26" width="8.33203125" customWidth="1"/>
  </cols>
  <sheetData>
    <row r="1" spans="1:26" ht="19.5" customHeight="1">
      <c r="A1" s="1"/>
      <c r="B1" s="2"/>
      <c r="C1" s="1"/>
      <c r="D1" s="1"/>
      <c r="E1" s="2"/>
      <c r="F1" s="1"/>
      <c r="G1" s="1"/>
      <c r="H1" s="1"/>
      <c r="I1" s="1"/>
      <c r="J1" s="1"/>
      <c r="K1" s="1"/>
      <c r="L1" s="1"/>
      <c r="M1" s="1"/>
      <c r="N1" s="1"/>
      <c r="O1" s="1"/>
      <c r="P1" s="1"/>
      <c r="Q1" s="1"/>
      <c r="R1" s="1"/>
      <c r="S1" s="1"/>
      <c r="T1" s="1"/>
      <c r="U1" s="1"/>
      <c r="V1" s="1"/>
      <c r="W1" s="1"/>
      <c r="X1" s="1"/>
      <c r="Y1" s="1"/>
      <c r="Z1" s="1"/>
    </row>
    <row r="2" spans="1:26" ht="19.5" customHeight="1">
      <c r="A2" s="3" t="s">
        <v>0</v>
      </c>
      <c r="B2" s="4">
        <v>45962</v>
      </c>
      <c r="C2" s="5">
        <f>MONTH(B2)</f>
        <v>11</v>
      </c>
      <c r="D2" s="6" t="str">
        <f>TEXT(B2, "ddd")</f>
        <v>Sat</v>
      </c>
      <c r="E2" s="2"/>
      <c r="F2" s="1"/>
      <c r="G2" s="1"/>
      <c r="H2" s="1"/>
      <c r="I2" s="1"/>
      <c r="J2" s="1"/>
      <c r="K2" s="1"/>
      <c r="L2" s="1"/>
      <c r="M2" s="1"/>
      <c r="N2" s="1"/>
      <c r="O2" s="1"/>
      <c r="P2" s="1"/>
      <c r="Q2" s="1"/>
      <c r="R2" s="1"/>
      <c r="S2" s="1"/>
      <c r="T2" s="1"/>
      <c r="U2" s="1"/>
      <c r="V2" s="1"/>
      <c r="W2" s="1"/>
      <c r="X2" s="1"/>
      <c r="Y2" s="1"/>
      <c r="Z2" s="1"/>
    </row>
    <row r="3" spans="1:26" ht="24.75" hidden="1" customHeight="1" outlineLevel="1">
      <c r="A3" s="1"/>
      <c r="B3" s="482">
        <f>B16</f>
        <v>45970</v>
      </c>
      <c r="C3" s="483"/>
      <c r="D3" s="6" t="str">
        <f>TEXT(B3, "aaa")</f>
        <v>日</v>
      </c>
      <c r="E3" s="2"/>
      <c r="F3" s="1"/>
      <c r="G3" s="1"/>
      <c r="H3" s="1"/>
      <c r="I3" s="1"/>
      <c r="J3" s="1"/>
      <c r="K3" s="1"/>
      <c r="L3" s="1"/>
      <c r="M3" s="1"/>
      <c r="N3" s="1"/>
      <c r="O3" s="1"/>
      <c r="P3" s="1"/>
      <c r="Q3" s="1"/>
      <c r="R3" s="1"/>
      <c r="S3" s="1"/>
      <c r="T3" s="1"/>
      <c r="U3" s="1"/>
      <c r="V3" s="1"/>
      <c r="W3" s="1"/>
      <c r="X3" s="1"/>
      <c r="Y3" s="1"/>
      <c r="Z3" s="1"/>
    </row>
    <row r="4" spans="1:26" ht="27" hidden="1" customHeight="1" outlineLevel="1">
      <c r="A4" s="1"/>
      <c r="B4" s="7" t="s">
        <v>1</v>
      </c>
      <c r="C4" s="8" t="e">
        <f t="array" aca="1" ref="C4" ca="1">_xludf.XLOOKUP(D3, B7:B13, C7:C13, "該当なし")</f>
        <v>#NAME?</v>
      </c>
      <c r="D4" s="1"/>
      <c r="E4" s="1"/>
      <c r="F4" s="1"/>
      <c r="G4" s="1"/>
      <c r="H4" s="1"/>
      <c r="I4" s="1"/>
      <c r="J4" s="3"/>
      <c r="K4" s="1"/>
      <c r="L4" s="2"/>
      <c r="M4" s="1"/>
      <c r="N4" s="1"/>
      <c r="O4" s="1"/>
      <c r="P4" s="1"/>
      <c r="Q4" s="1"/>
      <c r="R4" s="1"/>
      <c r="S4" s="1"/>
      <c r="T4" s="1"/>
      <c r="U4" s="1"/>
      <c r="V4" s="1"/>
      <c r="W4" s="1"/>
      <c r="X4" s="1"/>
      <c r="Y4" s="1"/>
      <c r="Z4" s="1"/>
    </row>
    <row r="5" spans="1:26" ht="19.5" hidden="1" customHeight="1" outlineLevel="1">
      <c r="A5" s="1"/>
      <c r="B5" s="2"/>
      <c r="C5" s="9"/>
      <c r="D5" s="1"/>
      <c r="E5" s="1"/>
      <c r="F5" s="1"/>
      <c r="G5" s="1"/>
      <c r="H5" s="1"/>
      <c r="I5" s="1"/>
      <c r="J5" s="3"/>
      <c r="K5" s="1"/>
      <c r="L5" s="1"/>
      <c r="M5" s="1"/>
      <c r="N5" s="1"/>
      <c r="O5" s="1"/>
      <c r="P5" s="1"/>
      <c r="Q5" s="1"/>
      <c r="R5" s="1"/>
      <c r="S5" s="1"/>
      <c r="T5" s="1"/>
      <c r="U5" s="1"/>
      <c r="V5" s="1"/>
      <c r="W5" s="1"/>
      <c r="X5" s="1"/>
      <c r="Y5" s="1"/>
      <c r="Z5" s="1"/>
    </row>
    <row r="6" spans="1:26" ht="19.5" hidden="1" customHeight="1" outlineLevel="1">
      <c r="A6" s="1"/>
      <c r="B6" s="484" t="s">
        <v>2</v>
      </c>
      <c r="C6" s="483"/>
      <c r="D6" s="485" t="s">
        <v>3</v>
      </c>
      <c r="E6" s="486"/>
      <c r="F6" s="483"/>
      <c r="G6" s="485" t="s">
        <v>4</v>
      </c>
      <c r="H6" s="486"/>
      <c r="I6" s="486"/>
      <c r="J6" s="483"/>
      <c r="K6" s="1"/>
      <c r="L6" s="1"/>
      <c r="M6" s="1"/>
      <c r="N6" s="1"/>
      <c r="O6" s="1"/>
      <c r="P6" s="1"/>
      <c r="Q6" s="1"/>
      <c r="R6" s="1"/>
      <c r="S6" s="1"/>
      <c r="T6" s="1"/>
      <c r="U6" s="1"/>
      <c r="V6" s="1"/>
      <c r="W6" s="1"/>
      <c r="X6" s="1"/>
      <c r="Y6" s="1"/>
      <c r="Z6" s="1"/>
    </row>
    <row r="7" spans="1:26" ht="19.5" hidden="1" customHeight="1" outlineLevel="1">
      <c r="A7" s="1"/>
      <c r="B7" s="10" t="s">
        <v>5</v>
      </c>
      <c r="C7" s="11">
        <f>SUMIFS(目標_2025R7!$AE$22:$AE$104, 目標_2025R7!$AA$22:$AA$104, MONTH($B$2), 目標_2025R7!$AB$22:$AB$104, B7)</f>
        <v>0</v>
      </c>
      <c r="D7" s="487"/>
      <c r="E7" s="486"/>
      <c r="F7" s="483"/>
      <c r="G7" s="487"/>
      <c r="H7" s="486"/>
      <c r="I7" s="486"/>
      <c r="J7" s="483"/>
      <c r="K7" s="1"/>
      <c r="L7" s="1"/>
      <c r="M7" s="1"/>
      <c r="N7" s="1"/>
      <c r="O7" s="1"/>
      <c r="P7" s="1"/>
      <c r="Q7" s="1"/>
      <c r="R7" s="1"/>
      <c r="S7" s="1"/>
      <c r="T7" s="1"/>
      <c r="U7" s="1"/>
      <c r="V7" s="1"/>
      <c r="W7" s="1"/>
      <c r="X7" s="1"/>
      <c r="Y7" s="1"/>
      <c r="Z7" s="1"/>
    </row>
    <row r="8" spans="1:26" ht="19.5" hidden="1" customHeight="1" outlineLevel="1">
      <c r="A8" s="1"/>
      <c r="B8" s="10" t="s">
        <v>6</v>
      </c>
      <c r="C8" s="11">
        <f>SUMIFS(目標_2025R7!$AE$22:$AE$104, 目標_2025R7!$AA$22:$AA$104, MONTH($B$2), 目標_2025R7!$AB$22:$AB$104, B8)</f>
        <v>0</v>
      </c>
      <c r="D8" s="487"/>
      <c r="E8" s="486"/>
      <c r="F8" s="483"/>
      <c r="G8" s="487"/>
      <c r="H8" s="486"/>
      <c r="I8" s="486"/>
      <c r="J8" s="483"/>
      <c r="K8" s="1"/>
      <c r="L8" s="1"/>
      <c r="M8" s="1"/>
      <c r="N8" s="1"/>
      <c r="O8" s="1"/>
      <c r="P8" s="1"/>
      <c r="Q8" s="1"/>
      <c r="R8" s="1"/>
      <c r="S8" s="1"/>
      <c r="T8" s="1"/>
      <c r="U8" s="1"/>
      <c r="V8" s="1"/>
      <c r="W8" s="1"/>
      <c r="X8" s="1"/>
      <c r="Y8" s="1"/>
      <c r="Z8" s="1"/>
    </row>
    <row r="9" spans="1:26" ht="19.5" hidden="1" customHeight="1" outlineLevel="1">
      <c r="A9" s="1"/>
      <c r="B9" s="10" t="s">
        <v>7</v>
      </c>
      <c r="C9" s="11">
        <f>SUMIFS(目標_2025R7!$AE$22:$AE$104, 目標_2025R7!$AA$22:$AA$104, MONTH($B$2), 目標_2025R7!$AB$22:$AB$104, B9)</f>
        <v>0</v>
      </c>
      <c r="D9" s="487"/>
      <c r="E9" s="486"/>
      <c r="F9" s="483"/>
      <c r="G9" s="487"/>
      <c r="H9" s="486"/>
      <c r="I9" s="486"/>
      <c r="J9" s="483"/>
      <c r="K9" s="1"/>
      <c r="L9" s="1"/>
      <c r="M9" s="1"/>
      <c r="N9" s="1"/>
      <c r="O9" s="1"/>
      <c r="P9" s="1"/>
      <c r="Q9" s="1"/>
      <c r="R9" s="1"/>
      <c r="S9" s="1"/>
      <c r="T9" s="1"/>
      <c r="U9" s="1"/>
      <c r="V9" s="1"/>
      <c r="W9" s="1"/>
      <c r="X9" s="1"/>
      <c r="Y9" s="1"/>
      <c r="Z9" s="1"/>
    </row>
    <row r="10" spans="1:26" ht="19.5" hidden="1" customHeight="1" outlineLevel="1">
      <c r="A10" s="1"/>
      <c r="B10" s="10" t="s">
        <v>8</v>
      </c>
      <c r="C10" s="11">
        <f>SUMIFS(目標_2025R7!$AE$22:$AE$104, 目標_2025R7!$AA$22:$AA$104, MONTH($B$2), 目標_2025R7!$AB$22:$AB$104, B10)</f>
        <v>0</v>
      </c>
      <c r="D10" s="487"/>
      <c r="E10" s="486"/>
      <c r="F10" s="483"/>
      <c r="G10" s="487"/>
      <c r="H10" s="486"/>
      <c r="I10" s="486"/>
      <c r="J10" s="483"/>
      <c r="K10" s="1"/>
      <c r="L10" s="1"/>
      <c r="M10" s="1"/>
      <c r="N10" s="1"/>
      <c r="O10" s="1"/>
      <c r="P10" s="1"/>
      <c r="Q10" s="1"/>
      <c r="R10" s="1"/>
      <c r="S10" s="1"/>
      <c r="T10" s="1"/>
      <c r="U10" s="1"/>
      <c r="V10" s="1"/>
      <c r="W10" s="1"/>
      <c r="X10" s="1"/>
      <c r="Y10" s="1"/>
      <c r="Z10" s="1"/>
    </row>
    <row r="11" spans="1:26" ht="19.5" hidden="1" customHeight="1" outlineLevel="1">
      <c r="A11" s="1"/>
      <c r="B11" s="10" t="s">
        <v>9</v>
      </c>
      <c r="C11" s="11">
        <f>SUMIFS(目標_2025R7!$AE$22:$AE$104, 目標_2025R7!$AA$22:$AA$104, MONTH($B$2), 目標_2025R7!$AB$22:$AB$104, B11)</f>
        <v>0</v>
      </c>
      <c r="D11" s="487"/>
      <c r="E11" s="486"/>
      <c r="F11" s="483"/>
      <c r="G11" s="487"/>
      <c r="H11" s="486"/>
      <c r="I11" s="486"/>
      <c r="J11" s="483"/>
      <c r="K11" s="1"/>
      <c r="L11" s="1"/>
      <c r="M11" s="1"/>
      <c r="N11" s="1"/>
      <c r="O11" s="1"/>
      <c r="P11" s="1"/>
      <c r="Q11" s="1"/>
      <c r="R11" s="1"/>
      <c r="S11" s="1"/>
      <c r="T11" s="1"/>
      <c r="U11" s="1"/>
      <c r="V11" s="1"/>
      <c r="W11" s="1"/>
      <c r="X11" s="1"/>
      <c r="Y11" s="1"/>
      <c r="Z11" s="1"/>
    </row>
    <row r="12" spans="1:26" ht="19.5" hidden="1" customHeight="1" outlineLevel="1">
      <c r="A12" s="1"/>
      <c r="B12" s="12" t="s">
        <v>10</v>
      </c>
      <c r="C12" s="11">
        <f>SUMIFS(目標_2025R7!$AE$22:$AE$104, 目標_2025R7!$AA$22:$AA$104, MONTH($B$2), 目標_2025R7!$AB$22:$AB$104, B12)</f>
        <v>0</v>
      </c>
      <c r="D12" s="495"/>
      <c r="E12" s="496"/>
      <c r="F12" s="497"/>
      <c r="G12" s="495"/>
      <c r="H12" s="496"/>
      <c r="I12" s="496"/>
      <c r="J12" s="497"/>
      <c r="K12" s="1"/>
      <c r="L12" s="1"/>
      <c r="M12" s="1"/>
      <c r="N12" s="1"/>
      <c r="O12" s="1"/>
      <c r="P12" s="1"/>
      <c r="Q12" s="1"/>
      <c r="R12" s="1"/>
      <c r="S12" s="1"/>
      <c r="T12" s="1"/>
      <c r="U12" s="1"/>
      <c r="V12" s="1"/>
      <c r="W12" s="1"/>
      <c r="X12" s="1"/>
      <c r="Y12" s="1"/>
      <c r="Z12" s="1"/>
    </row>
    <row r="13" spans="1:26" ht="19.5" hidden="1" customHeight="1" outlineLevel="1">
      <c r="A13" s="1"/>
      <c r="B13" s="13" t="s">
        <v>11</v>
      </c>
      <c r="C13" s="11">
        <f>SUMIFS(目標_2025R7!$AE$22:$AE$104, 目標_2025R7!$AA$22:$AA$104, MONTH($B$2), 目標_2025R7!$AB$22:$AB$104, B13)</f>
        <v>0</v>
      </c>
      <c r="D13" s="498"/>
      <c r="E13" s="499"/>
      <c r="F13" s="500"/>
      <c r="G13" s="498"/>
      <c r="H13" s="499"/>
      <c r="I13" s="499"/>
      <c r="J13" s="500"/>
      <c r="K13" s="1"/>
      <c r="L13" s="1"/>
      <c r="M13" s="1"/>
      <c r="N13" s="1"/>
      <c r="O13" s="1"/>
      <c r="P13" s="1"/>
      <c r="Q13" s="1"/>
      <c r="R13" s="1"/>
      <c r="S13" s="1"/>
      <c r="T13" s="1"/>
      <c r="U13" s="1"/>
      <c r="V13" s="1"/>
      <c r="W13" s="1"/>
      <c r="X13" s="1"/>
      <c r="Y13" s="1"/>
      <c r="Z13" s="1"/>
    </row>
    <row r="14" spans="1:26" ht="19.5" hidden="1" customHeight="1" outlineLevel="1">
      <c r="A14" s="1"/>
      <c r="B14" s="14"/>
      <c r="C14" s="14"/>
      <c r="D14" s="14"/>
      <c r="E14" s="15"/>
      <c r="F14" s="14"/>
      <c r="G14" s="1"/>
      <c r="H14" s="1"/>
      <c r="I14" s="1"/>
      <c r="J14" s="3"/>
      <c r="K14" s="1"/>
      <c r="L14" s="1"/>
      <c r="M14" s="1"/>
      <c r="N14" s="1"/>
      <c r="O14" s="1"/>
      <c r="P14" s="1"/>
      <c r="Q14" s="1"/>
      <c r="R14" s="1"/>
      <c r="S14" s="1"/>
      <c r="T14" s="1"/>
      <c r="U14" s="1"/>
      <c r="V14" s="1"/>
      <c r="W14" s="1"/>
      <c r="X14" s="1"/>
      <c r="Y14" s="1"/>
      <c r="Z14" s="1"/>
    </row>
    <row r="15" spans="1:26" ht="19.5" customHeight="1" collapsed="1">
      <c r="A15" s="1"/>
      <c r="B15" s="1"/>
      <c r="C15" s="1"/>
      <c r="D15" s="1"/>
      <c r="E15" s="2"/>
      <c r="F15" s="1"/>
      <c r="G15" s="1"/>
      <c r="H15" s="1"/>
      <c r="I15" s="1"/>
      <c r="J15" s="3"/>
      <c r="K15" s="1"/>
      <c r="L15" s="1"/>
      <c r="M15" s="1"/>
      <c r="N15" s="1"/>
      <c r="O15" s="1"/>
      <c r="P15" s="1"/>
      <c r="Q15" s="1"/>
      <c r="R15" s="1"/>
      <c r="S15" s="1"/>
      <c r="T15" s="1"/>
      <c r="U15" s="1"/>
      <c r="V15" s="1"/>
      <c r="W15" s="1"/>
      <c r="X15" s="1"/>
      <c r="Y15" s="1"/>
      <c r="Z15" s="1"/>
    </row>
    <row r="16" spans="1:26" ht="19.5" customHeight="1">
      <c r="A16" s="3" t="s">
        <v>0</v>
      </c>
      <c r="B16" s="16">
        <v>45970</v>
      </c>
      <c r="C16" s="5" t="str">
        <f>TEXT(B16, "ddd")</f>
        <v>Sun</v>
      </c>
      <c r="D16" s="17"/>
      <c r="E16" s="2"/>
      <c r="F16" s="1"/>
      <c r="G16" s="1"/>
      <c r="H16" s="1"/>
      <c r="I16" s="1"/>
      <c r="J16" s="3"/>
      <c r="K16" s="1"/>
      <c r="L16" s="1"/>
      <c r="M16" s="1"/>
      <c r="N16" s="1"/>
      <c r="O16" s="1"/>
      <c r="P16" s="1"/>
      <c r="Q16" s="1"/>
      <c r="R16" s="1"/>
      <c r="S16" s="1"/>
      <c r="T16" s="1"/>
      <c r="U16" s="1"/>
      <c r="V16" s="1"/>
      <c r="W16" s="1"/>
      <c r="X16" s="1"/>
      <c r="Y16" s="1"/>
      <c r="Z16" s="1"/>
    </row>
    <row r="17" spans="1:26" ht="19.5" customHeight="1">
      <c r="A17" s="3" t="s">
        <v>12</v>
      </c>
      <c r="B17" s="18" t="s">
        <v>13</v>
      </c>
      <c r="C17" s="19">
        <f>_xlfn.XLOOKUP(B16, 目標_2025R7!F21:F385,目標_2025R7!J21:J385,"該当なし")</f>
        <v>33600</v>
      </c>
      <c r="D17" s="1"/>
      <c r="E17" s="20" t="s">
        <v>14</v>
      </c>
      <c r="F17" s="21">
        <f t="array" ref="F17">INDEX(目標_2025R7!I7:I18, MATCH(MONTH(B2), 目標_2025R7!R7:R18, 0))</f>
        <v>2268041.2371134022</v>
      </c>
      <c r="G17" s="1"/>
      <c r="H17" s="9"/>
      <c r="I17" s="1"/>
      <c r="J17" s="1"/>
      <c r="K17" s="1"/>
      <c r="L17" s="1"/>
      <c r="M17" s="1"/>
      <c r="N17" s="22" t="s">
        <v>15</v>
      </c>
      <c r="O17" s="501" t="s">
        <v>16</v>
      </c>
      <c r="P17" s="486"/>
      <c r="Q17" s="483"/>
      <c r="R17" s="1"/>
      <c r="S17" s="1"/>
      <c r="T17" s="1"/>
      <c r="U17" s="1"/>
      <c r="V17" s="1"/>
      <c r="W17" s="1"/>
      <c r="X17" s="1"/>
      <c r="Y17" s="1"/>
      <c r="Z17" s="1"/>
    </row>
    <row r="18" spans="1:26" ht="19.5" customHeight="1">
      <c r="A18" s="3"/>
      <c r="B18" s="20" t="s">
        <v>17</v>
      </c>
      <c r="C18" s="21">
        <f t="array" ref="C18">INDEX(目標_2025R7!K7:K18, MATCH(C2, 目標_2025R7!R7:R18, 0))</f>
        <v>103092.78350515464</v>
      </c>
      <c r="D18" s="1"/>
      <c r="E18" s="20" t="s">
        <v>18</v>
      </c>
      <c r="F18" s="11">
        <f>C23</f>
        <v>606850</v>
      </c>
      <c r="G18" s="1"/>
      <c r="H18" s="1"/>
      <c r="I18" s="1"/>
      <c r="J18" s="1"/>
      <c r="K18" s="1"/>
      <c r="L18" s="1"/>
      <c r="M18" s="1"/>
      <c r="N18" s="22"/>
      <c r="O18" s="23"/>
      <c r="P18" s="23"/>
      <c r="Q18" s="23"/>
      <c r="R18" s="1"/>
      <c r="S18" s="1"/>
      <c r="T18" s="1"/>
      <c r="U18" s="1"/>
      <c r="V18" s="1"/>
      <c r="W18" s="1"/>
      <c r="X18" s="1"/>
      <c r="Y18" s="1"/>
      <c r="Z18" s="1"/>
    </row>
    <row r="19" spans="1:26" ht="19.5" customHeight="1">
      <c r="A19" s="1"/>
      <c r="B19" s="24" t="s">
        <v>1</v>
      </c>
      <c r="C19" s="21">
        <f>_xlfn.XLOOKUP(C16, B7:B13, C7:C13, "該当なし")</f>
        <v>0</v>
      </c>
      <c r="D19" s="1"/>
      <c r="E19" s="20" t="s">
        <v>19</v>
      </c>
      <c r="F19" s="11">
        <f>F17-F18</f>
        <v>1661191.2371134022</v>
      </c>
      <c r="G19" s="1"/>
      <c r="H19" s="1"/>
      <c r="I19" s="1"/>
      <c r="J19" s="1"/>
      <c r="K19" s="1"/>
      <c r="L19" s="1"/>
      <c r="M19" s="1"/>
      <c r="N19" s="25" t="s">
        <v>20</v>
      </c>
      <c r="O19" s="488" t="s">
        <v>21</v>
      </c>
      <c r="P19" s="486"/>
      <c r="Q19" s="483"/>
      <c r="R19" s="1"/>
      <c r="S19" s="1"/>
      <c r="T19" s="1"/>
      <c r="U19" s="1"/>
      <c r="V19" s="1"/>
      <c r="W19" s="1"/>
      <c r="X19" s="1"/>
      <c r="Y19" s="1"/>
      <c r="Z19" s="1"/>
    </row>
    <row r="20" spans="1:26" ht="19.5" customHeight="1">
      <c r="A20" s="1"/>
      <c r="B20" s="26" t="s">
        <v>19</v>
      </c>
      <c r="C20" s="11">
        <f>IFERROR(C17-C19,0)</f>
        <v>33600</v>
      </c>
      <c r="D20" s="1"/>
      <c r="E20" s="20" t="s">
        <v>22</v>
      </c>
      <c r="F20" s="27">
        <f t="array" ref="F20">(SUMPRODUCT((目標_2025R7!F21:F385&gt;=B16)*(目標_2025R7!E21:E385=C2)*(目標_2025R7!D21:D385=1)))-1</f>
        <v>15</v>
      </c>
      <c r="G20" s="1"/>
      <c r="H20" s="1"/>
      <c r="I20" s="1"/>
      <c r="J20" s="1"/>
      <c r="K20" s="1"/>
      <c r="L20" s="1"/>
      <c r="M20" s="1"/>
      <c r="N20" s="25" t="s">
        <v>23</v>
      </c>
      <c r="O20" s="488" t="s">
        <v>24</v>
      </c>
      <c r="P20" s="486"/>
      <c r="Q20" s="483"/>
      <c r="R20" s="1"/>
      <c r="S20" s="1"/>
      <c r="T20" s="1"/>
      <c r="U20" s="1"/>
      <c r="V20" s="1"/>
      <c r="W20" s="1"/>
      <c r="X20" s="1"/>
      <c r="Y20" s="1"/>
      <c r="Z20" s="1"/>
    </row>
    <row r="21" spans="1:26" ht="19.5" customHeight="1">
      <c r="A21" s="1"/>
      <c r="B21" s="26" t="s">
        <v>25</v>
      </c>
      <c r="C21" s="28">
        <f>IFERROR(C17/C19,0)</f>
        <v>0</v>
      </c>
      <c r="D21" s="1"/>
      <c r="E21" s="20" t="s">
        <v>26</v>
      </c>
      <c r="F21" s="11">
        <f>IFERROR(F19/F20,0)</f>
        <v>110746.08247422682</v>
      </c>
      <c r="G21" s="1"/>
      <c r="H21" s="1"/>
      <c r="I21" s="1"/>
      <c r="J21" s="1"/>
      <c r="K21" s="1"/>
      <c r="L21" s="1"/>
      <c r="M21" s="1"/>
      <c r="N21" s="25" t="s">
        <v>27</v>
      </c>
      <c r="O21" s="488" t="s">
        <v>28</v>
      </c>
      <c r="P21" s="486"/>
      <c r="Q21" s="483"/>
      <c r="R21" s="1"/>
      <c r="S21" s="1"/>
      <c r="T21" s="1"/>
      <c r="U21" s="1"/>
      <c r="V21" s="1"/>
      <c r="W21" s="1"/>
      <c r="X21" s="1"/>
      <c r="Y21" s="1"/>
      <c r="Z21" s="1"/>
    </row>
    <row r="22" spans="1:26" ht="6" customHeight="1">
      <c r="A22" s="1"/>
      <c r="B22" s="2"/>
      <c r="C22" s="1"/>
      <c r="D22" s="1"/>
      <c r="E22" s="1"/>
      <c r="F22" s="1"/>
      <c r="G22" s="1"/>
      <c r="H22" s="1"/>
      <c r="I22" s="1"/>
      <c r="J22" s="1"/>
      <c r="K22" s="1"/>
      <c r="L22" s="1"/>
      <c r="M22" s="1"/>
      <c r="N22" s="25" t="s">
        <v>29</v>
      </c>
      <c r="O22" s="488" t="s">
        <v>30</v>
      </c>
      <c r="P22" s="486"/>
      <c r="Q22" s="483"/>
      <c r="R22" s="1"/>
      <c r="S22" s="1"/>
      <c r="T22" s="1"/>
      <c r="U22" s="1"/>
      <c r="V22" s="1"/>
      <c r="W22" s="1"/>
      <c r="X22" s="1"/>
      <c r="Y22" s="1"/>
      <c r="Z22" s="1"/>
    </row>
    <row r="23" spans="1:26" ht="19.5" customHeight="1">
      <c r="A23" s="29" t="s">
        <v>31</v>
      </c>
      <c r="B23" s="26" t="s">
        <v>32</v>
      </c>
      <c r="C23" s="11">
        <f>_xlfn.XLOOKUP(B16, 目標_2025R7!F21:F385,目標_2025R7!Q21:Q385,"該当なし")</f>
        <v>606850</v>
      </c>
      <c r="D23" s="1"/>
      <c r="E23" s="2"/>
      <c r="F23" s="1"/>
      <c r="G23" s="1"/>
      <c r="H23" s="1"/>
      <c r="I23" s="1"/>
      <c r="J23" s="1"/>
      <c r="K23" s="1"/>
      <c r="L23" s="1"/>
      <c r="M23" s="1"/>
      <c r="N23" s="30" t="s">
        <v>33</v>
      </c>
      <c r="O23" s="489" t="s">
        <v>34</v>
      </c>
      <c r="P23" s="490"/>
      <c r="Q23" s="491"/>
      <c r="R23" s="1"/>
      <c r="S23" s="1"/>
      <c r="T23" s="1"/>
      <c r="U23" s="1"/>
      <c r="V23" s="1"/>
      <c r="W23" s="1"/>
      <c r="X23" s="1"/>
      <c r="Y23" s="1"/>
      <c r="Z23" s="1"/>
    </row>
    <row r="24" spans="1:26" ht="19.5" customHeight="1">
      <c r="A24" s="1"/>
      <c r="B24" s="26" t="s">
        <v>35</v>
      </c>
      <c r="C24" s="11">
        <f>_xlfn.XLOOKUP(B16, 目標_2025R7!F21:F385,目標_2025R7!P21:P385,"該当なし")</f>
        <v>721649.48453608248</v>
      </c>
      <c r="D24" s="1"/>
      <c r="E24" s="2"/>
      <c r="F24" s="1"/>
      <c r="G24" s="1"/>
      <c r="H24" s="1"/>
      <c r="I24" s="1"/>
      <c r="J24" s="1"/>
      <c r="K24" s="1"/>
      <c r="L24" s="1"/>
      <c r="M24" s="1"/>
      <c r="N24" s="31" t="s">
        <v>36</v>
      </c>
      <c r="O24" s="492" t="s">
        <v>37</v>
      </c>
      <c r="P24" s="493"/>
      <c r="Q24" s="494"/>
      <c r="R24" s="1"/>
      <c r="S24" s="1"/>
      <c r="T24" s="1"/>
      <c r="U24" s="1"/>
      <c r="V24" s="1"/>
      <c r="W24" s="1"/>
      <c r="X24" s="1"/>
      <c r="Y24" s="1"/>
      <c r="Z24" s="1"/>
    </row>
    <row r="25" spans="1:26" ht="19.5" customHeight="1">
      <c r="A25" s="1"/>
      <c r="B25" s="26" t="s">
        <v>19</v>
      </c>
      <c r="C25" s="11">
        <f>C23-C24</f>
        <v>-114799.48453608248</v>
      </c>
      <c r="D25" s="1"/>
      <c r="E25" s="2"/>
      <c r="F25" s="1"/>
      <c r="G25" s="1"/>
      <c r="H25" s="1"/>
      <c r="I25" s="1"/>
      <c r="J25" s="1"/>
      <c r="K25" s="1"/>
      <c r="L25" s="1"/>
      <c r="M25" s="1"/>
      <c r="N25" s="22" t="s">
        <v>38</v>
      </c>
      <c r="O25" s="488" t="s">
        <v>39</v>
      </c>
      <c r="P25" s="486"/>
      <c r="Q25" s="483"/>
      <c r="R25" s="1"/>
      <c r="S25" s="1"/>
      <c r="T25" s="1"/>
      <c r="U25" s="1"/>
      <c r="V25" s="1"/>
      <c r="W25" s="1"/>
      <c r="X25" s="1"/>
      <c r="Y25" s="1"/>
      <c r="Z25" s="1"/>
    </row>
    <row r="26" spans="1:26" ht="19.5" customHeight="1">
      <c r="A26" s="1"/>
      <c r="B26" s="26" t="s">
        <v>25</v>
      </c>
      <c r="C26" s="28">
        <f>IFERROR(C23/C24,0)</f>
        <v>0.84092071428571424</v>
      </c>
      <c r="D26" s="1"/>
      <c r="E26" s="2"/>
      <c r="F26" s="1"/>
      <c r="G26" s="1"/>
      <c r="H26" s="1"/>
      <c r="I26" s="1"/>
      <c r="J26" s="1"/>
      <c r="K26" s="1"/>
      <c r="L26" s="1"/>
      <c r="M26" s="1"/>
      <c r="N26" s="22" t="s">
        <v>34</v>
      </c>
      <c r="O26" s="488" t="s">
        <v>40</v>
      </c>
      <c r="P26" s="486"/>
      <c r="Q26" s="483"/>
      <c r="R26" s="1"/>
      <c r="S26" s="1"/>
      <c r="T26" s="1"/>
      <c r="U26" s="1"/>
      <c r="V26" s="1"/>
      <c r="W26" s="1"/>
      <c r="X26" s="1"/>
      <c r="Y26" s="1"/>
      <c r="Z26" s="1"/>
    </row>
    <row r="27" spans="1:26" ht="6" customHeight="1">
      <c r="A27" s="1"/>
      <c r="B27" s="2"/>
      <c r="C27" s="1"/>
      <c r="D27" s="1"/>
      <c r="E27" s="2"/>
      <c r="F27" s="1"/>
      <c r="G27" s="1"/>
      <c r="H27" s="1"/>
      <c r="I27" s="1"/>
      <c r="J27" s="1"/>
      <c r="K27" s="1"/>
      <c r="L27" s="1"/>
      <c r="M27" s="1"/>
      <c r="N27" s="22" t="s">
        <v>41</v>
      </c>
      <c r="O27" s="488" t="s">
        <v>42</v>
      </c>
      <c r="P27" s="486"/>
      <c r="Q27" s="483"/>
      <c r="R27" s="1"/>
      <c r="S27" s="1"/>
      <c r="T27" s="1"/>
      <c r="U27" s="1"/>
      <c r="V27" s="1"/>
      <c r="W27" s="1"/>
      <c r="X27" s="1"/>
      <c r="Y27" s="1"/>
      <c r="Z27" s="1"/>
    </row>
    <row r="28" spans="1:26" ht="19.5" customHeight="1">
      <c r="A28" s="29" t="s">
        <v>43</v>
      </c>
      <c r="B28" s="26" t="s">
        <v>32</v>
      </c>
      <c r="C28" s="11">
        <f>_xlfn.XLOOKUP(B16, 目標_2025R7!F21:F385,目標_2025R7!V21:V385,"該当なし")</f>
        <v>21736375</v>
      </c>
      <c r="D28" s="1"/>
      <c r="E28" s="2"/>
      <c r="F28" s="1"/>
      <c r="G28" s="1"/>
      <c r="H28" s="1"/>
      <c r="I28" s="1"/>
      <c r="J28" s="1"/>
      <c r="K28" s="1"/>
      <c r="L28" s="1"/>
      <c r="M28" s="1"/>
      <c r="N28" s="1"/>
      <c r="O28" s="1"/>
      <c r="P28" s="1"/>
      <c r="Q28" s="1"/>
      <c r="R28" s="1"/>
      <c r="S28" s="1"/>
      <c r="T28" s="1"/>
      <c r="U28" s="1"/>
      <c r="V28" s="1"/>
      <c r="W28" s="1"/>
      <c r="X28" s="1"/>
      <c r="Y28" s="1"/>
      <c r="Z28" s="1"/>
    </row>
    <row r="29" spans="1:26" ht="19.5" customHeight="1">
      <c r="A29" s="1"/>
      <c r="B29" s="26" t="s">
        <v>35</v>
      </c>
      <c r="C29" s="11">
        <f>_xlfn.XLOOKUP(B16, 目標_2025R7!F21:F385,目標_2025R7!U21:U385,"該当なし")</f>
        <v>25680412.371133916</v>
      </c>
      <c r="D29" s="1"/>
      <c r="E29" s="2"/>
      <c r="F29" s="1"/>
      <c r="G29" s="1"/>
      <c r="H29" s="1"/>
      <c r="I29" s="1"/>
      <c r="J29" s="1"/>
      <c r="K29" s="1"/>
      <c r="L29" s="1"/>
      <c r="M29" s="1"/>
      <c r="N29" s="1"/>
      <c r="O29" s="1"/>
      <c r="P29" s="1"/>
      <c r="Q29" s="1"/>
      <c r="R29" s="1"/>
      <c r="S29" s="1"/>
      <c r="T29" s="1"/>
      <c r="U29" s="1"/>
      <c r="V29" s="1"/>
      <c r="W29" s="1"/>
      <c r="X29" s="1"/>
      <c r="Y29" s="1"/>
      <c r="Z29" s="1"/>
    </row>
    <row r="30" spans="1:26" ht="19.5" customHeight="1">
      <c r="A30" s="1"/>
      <c r="B30" s="26" t="s">
        <v>19</v>
      </c>
      <c r="C30" s="11">
        <f>C28-C29</f>
        <v>-3944037.3711339161</v>
      </c>
      <c r="D30" s="1"/>
      <c r="E30" s="2"/>
      <c r="F30" s="1"/>
      <c r="G30" s="1"/>
      <c r="H30" s="1"/>
      <c r="I30" s="1"/>
      <c r="J30" s="1"/>
      <c r="K30" s="1"/>
      <c r="L30" s="1"/>
      <c r="M30" s="1"/>
      <c r="N30" s="1"/>
      <c r="O30" s="1"/>
      <c r="P30" s="1"/>
      <c r="Q30" s="1"/>
      <c r="R30" s="1"/>
      <c r="S30" s="1"/>
      <c r="T30" s="1"/>
      <c r="U30" s="1"/>
      <c r="V30" s="1"/>
      <c r="W30" s="1"/>
      <c r="X30" s="1"/>
      <c r="Y30" s="1"/>
      <c r="Z30" s="1"/>
    </row>
    <row r="31" spans="1:26" ht="19.5" customHeight="1">
      <c r="A31" s="1"/>
      <c r="B31" s="26" t="s">
        <v>25</v>
      </c>
      <c r="C31" s="28">
        <f>IFERROR(C28/C29,0)</f>
        <v>0.84641845644319891</v>
      </c>
      <c r="D31" s="1"/>
      <c r="E31" s="2"/>
      <c r="F31" s="1"/>
      <c r="G31" s="1"/>
      <c r="H31" s="1"/>
      <c r="I31" s="1"/>
      <c r="J31" s="1"/>
      <c r="K31" s="1"/>
      <c r="L31" s="1"/>
      <c r="M31" s="1"/>
      <c r="N31" s="1"/>
      <c r="O31" s="1"/>
      <c r="P31" s="1"/>
      <c r="Q31" s="1"/>
      <c r="R31" s="1"/>
      <c r="S31" s="1"/>
      <c r="T31" s="1"/>
      <c r="U31" s="1"/>
      <c r="V31" s="1"/>
      <c r="W31" s="1"/>
      <c r="X31" s="1"/>
      <c r="Y31" s="1"/>
      <c r="Z31" s="1"/>
    </row>
    <row r="32" spans="1:26" ht="6" customHeight="1">
      <c r="A32" s="1"/>
      <c r="B32" s="2"/>
      <c r="C32" s="1"/>
      <c r="D32" s="1"/>
      <c r="E32" s="2"/>
      <c r="F32" s="1"/>
      <c r="G32" s="1"/>
      <c r="H32" s="1"/>
      <c r="I32" s="1"/>
      <c r="J32" s="1"/>
      <c r="K32" s="1"/>
      <c r="L32" s="1"/>
      <c r="M32" s="1"/>
      <c r="N32" s="1"/>
      <c r="O32" s="1"/>
      <c r="P32" s="1"/>
      <c r="Q32" s="1"/>
      <c r="R32" s="1"/>
      <c r="S32" s="1"/>
      <c r="T32" s="1"/>
      <c r="U32" s="1"/>
      <c r="V32" s="1"/>
      <c r="W32" s="1"/>
      <c r="X32" s="1"/>
      <c r="Y32" s="1"/>
      <c r="Z32" s="1"/>
    </row>
    <row r="33" spans="1:26" ht="19.5" customHeight="1">
      <c r="A33" s="1"/>
      <c r="B33" s="26" t="s">
        <v>44</v>
      </c>
      <c r="C33" s="11">
        <f>目標_2025R7!G3</f>
        <v>30000000</v>
      </c>
      <c r="D33" s="1"/>
      <c r="E33" s="2"/>
      <c r="F33" s="1"/>
      <c r="G33" s="1"/>
      <c r="H33" s="1"/>
      <c r="I33" s="1"/>
      <c r="J33" s="1"/>
      <c r="K33" s="1"/>
      <c r="L33" s="1"/>
      <c r="M33" s="1"/>
      <c r="N33" s="1"/>
      <c r="O33" s="1"/>
      <c r="P33" s="1"/>
      <c r="Q33" s="1"/>
      <c r="R33" s="1"/>
      <c r="S33" s="1"/>
      <c r="T33" s="1"/>
      <c r="U33" s="1"/>
      <c r="V33" s="1"/>
      <c r="W33" s="1"/>
      <c r="X33" s="1"/>
      <c r="Y33" s="1"/>
      <c r="Z33" s="1"/>
    </row>
    <row r="34" spans="1:26" ht="19.5" customHeight="1">
      <c r="A34" s="1"/>
      <c r="B34" s="26" t="s">
        <v>45</v>
      </c>
      <c r="C34" s="11">
        <f>C33-C29</f>
        <v>4319587.6288660839</v>
      </c>
      <c r="D34" s="1"/>
      <c r="E34" s="2"/>
      <c r="F34" s="1"/>
      <c r="G34" s="1"/>
      <c r="H34" s="1"/>
      <c r="I34" s="1"/>
      <c r="J34" s="1"/>
      <c r="K34" s="1"/>
      <c r="L34" s="1"/>
      <c r="M34" s="1"/>
      <c r="N34" s="1"/>
      <c r="O34" s="1"/>
      <c r="P34" s="1"/>
      <c r="Q34" s="1"/>
      <c r="R34" s="1"/>
      <c r="S34" s="1"/>
      <c r="T34" s="1"/>
      <c r="U34" s="1"/>
      <c r="V34" s="1"/>
      <c r="W34" s="1"/>
      <c r="X34" s="1"/>
      <c r="Y34" s="1"/>
      <c r="Z34" s="1"/>
    </row>
    <row r="35" spans="1:26" ht="19.5" customHeight="1">
      <c r="A35" s="1"/>
      <c r="B35" s="26" t="s">
        <v>46</v>
      </c>
      <c r="C35" s="27">
        <f t="array" ref="C35">(SUMPRODUCT((目標_2025R7!F21:F385&gt;=B16)*(目標_2025R7!D21:D385=1)))-1</f>
        <v>39</v>
      </c>
      <c r="D35" s="1"/>
      <c r="E35" s="2"/>
      <c r="F35" s="1"/>
      <c r="G35" s="1"/>
      <c r="H35" s="1"/>
      <c r="I35" s="1"/>
      <c r="J35" s="1"/>
      <c r="K35" s="1"/>
      <c r="L35" s="1"/>
      <c r="M35" s="1"/>
      <c r="N35" s="1"/>
      <c r="O35" s="1"/>
      <c r="P35" s="1"/>
      <c r="Q35" s="1"/>
      <c r="R35" s="1"/>
      <c r="S35" s="1"/>
      <c r="T35" s="1"/>
      <c r="U35" s="1"/>
      <c r="V35" s="1"/>
      <c r="W35" s="1"/>
      <c r="X35" s="1"/>
      <c r="Y35" s="1"/>
      <c r="Z35" s="1"/>
    </row>
    <row r="36" spans="1:26" ht="19.5" customHeight="1">
      <c r="A36" s="1"/>
      <c r="B36" s="32" t="s">
        <v>47</v>
      </c>
      <c r="C36" s="33">
        <f>C34/C35</f>
        <v>110758.65715041241</v>
      </c>
      <c r="D36" s="1"/>
      <c r="E36" s="2"/>
      <c r="F36" s="1"/>
      <c r="G36" s="1"/>
      <c r="H36" s="1"/>
      <c r="I36" s="1"/>
      <c r="J36" s="1"/>
      <c r="K36" s="1"/>
      <c r="L36" s="1"/>
      <c r="M36" s="1"/>
      <c r="N36" s="1"/>
      <c r="O36" s="1"/>
      <c r="P36" s="1"/>
      <c r="Q36" s="1"/>
      <c r="R36" s="1"/>
      <c r="S36" s="1"/>
      <c r="T36" s="1"/>
      <c r="U36" s="1"/>
      <c r="V36" s="1"/>
      <c r="W36" s="1"/>
      <c r="X36" s="1"/>
      <c r="Y36" s="1"/>
      <c r="Z36" s="1"/>
    </row>
    <row r="37" spans="1:26" ht="19.5" customHeight="1">
      <c r="A37" s="1"/>
      <c r="B37" s="26" t="s">
        <v>48</v>
      </c>
      <c r="C37" s="28">
        <f>1-(C34/C33)</f>
        <v>0.85601374570446387</v>
      </c>
      <c r="D37" s="1"/>
      <c r="E37" s="2"/>
      <c r="F37" s="1"/>
      <c r="G37" s="1"/>
      <c r="H37" s="1"/>
      <c r="I37" s="1"/>
      <c r="J37" s="1"/>
      <c r="K37" s="1"/>
      <c r="L37" s="1"/>
      <c r="M37" s="1"/>
      <c r="N37" s="1"/>
      <c r="O37" s="1"/>
      <c r="P37" s="1"/>
      <c r="Q37" s="1"/>
      <c r="R37" s="1"/>
      <c r="S37" s="1"/>
      <c r="T37" s="1"/>
      <c r="U37" s="1"/>
      <c r="V37" s="1"/>
      <c r="W37" s="1"/>
      <c r="X37" s="1"/>
      <c r="Y37" s="1"/>
      <c r="Z37" s="1"/>
    </row>
    <row r="38" spans="1:26" ht="19.5" customHeight="1">
      <c r="A38" s="1"/>
      <c r="B38" s="2"/>
      <c r="C38" s="1"/>
      <c r="D38" s="1"/>
      <c r="E38" s="2"/>
      <c r="F38" s="1"/>
      <c r="G38" s="1"/>
      <c r="H38" s="1"/>
      <c r="I38" s="1"/>
      <c r="J38" s="1"/>
      <c r="K38" s="1"/>
      <c r="L38" s="1"/>
      <c r="M38" s="1"/>
      <c r="N38" s="1"/>
      <c r="O38" s="1"/>
      <c r="P38" s="1"/>
      <c r="Q38" s="1"/>
      <c r="R38" s="1"/>
      <c r="S38" s="1"/>
      <c r="T38" s="1"/>
      <c r="U38" s="1"/>
      <c r="V38" s="1"/>
      <c r="W38" s="1"/>
      <c r="X38" s="1"/>
      <c r="Y38" s="1"/>
      <c r="Z38" s="1"/>
    </row>
    <row r="39" spans="1:26" ht="19.5" customHeight="1">
      <c r="A39" s="1"/>
      <c r="B39" s="2"/>
      <c r="C39" s="1"/>
      <c r="D39" s="1"/>
      <c r="E39" s="2"/>
      <c r="F39" s="1"/>
      <c r="G39" s="1"/>
      <c r="H39" s="1"/>
      <c r="I39" s="1"/>
      <c r="J39" s="1"/>
      <c r="K39" s="1"/>
      <c r="L39" s="1"/>
      <c r="M39" s="1"/>
      <c r="N39" s="1"/>
      <c r="O39" s="1"/>
      <c r="P39" s="1"/>
      <c r="Q39" s="1"/>
      <c r="R39" s="1"/>
      <c r="S39" s="1"/>
      <c r="T39" s="1"/>
      <c r="U39" s="1"/>
      <c r="V39" s="1"/>
      <c r="W39" s="1"/>
      <c r="X39" s="1"/>
      <c r="Y39" s="1"/>
      <c r="Z39" s="1"/>
    </row>
    <row r="40" spans="1:26" ht="19.5" hidden="1" customHeight="1" outlineLevel="1">
      <c r="A40" s="3" t="s">
        <v>0</v>
      </c>
      <c r="B40" s="26" t="s">
        <v>49</v>
      </c>
      <c r="C40" s="27" t="s">
        <v>13</v>
      </c>
      <c r="D40" s="27" t="s">
        <v>17</v>
      </c>
      <c r="E40" s="26" t="s">
        <v>50</v>
      </c>
      <c r="F40" s="27" t="s">
        <v>19</v>
      </c>
      <c r="G40" s="27" t="s">
        <v>25</v>
      </c>
      <c r="H40" s="27" t="s">
        <v>32</v>
      </c>
      <c r="I40" s="27" t="s">
        <v>35</v>
      </c>
      <c r="J40" s="27" t="s">
        <v>19</v>
      </c>
      <c r="K40" s="27" t="s">
        <v>25</v>
      </c>
      <c r="L40" s="1"/>
      <c r="M40" s="1"/>
      <c r="N40" s="1"/>
      <c r="O40" s="1"/>
      <c r="P40" s="1"/>
      <c r="Q40" s="1"/>
      <c r="R40" s="1"/>
      <c r="S40" s="1"/>
      <c r="T40" s="1"/>
      <c r="U40" s="1"/>
      <c r="V40" s="1"/>
      <c r="W40" s="1"/>
      <c r="X40" s="1"/>
      <c r="Y40" s="1"/>
      <c r="Z40" s="1"/>
    </row>
    <row r="41" spans="1:26" ht="19.5" hidden="1" customHeight="1" outlineLevel="1">
      <c r="A41" s="1"/>
      <c r="B41" s="34">
        <f>B2</f>
        <v>45962</v>
      </c>
      <c r="C41" s="35"/>
      <c r="D41" s="36">
        <f t="shared" ref="D41:D45" si="0">$C$18</f>
        <v>103092.78350515464</v>
      </c>
      <c r="E41" s="37">
        <f>$C$8</f>
        <v>0</v>
      </c>
      <c r="F41" s="11">
        <f t="shared" ref="F41:F71" si="1">C41-E41</f>
        <v>0</v>
      </c>
      <c r="G41" s="38">
        <f t="shared" ref="G41:G71" si="2">IFERROR(C41/E41,0)</f>
        <v>0</v>
      </c>
      <c r="H41" s="11">
        <f>IF(C41=0,0,C41)</f>
        <v>0</v>
      </c>
      <c r="I41" s="11">
        <f>IF(C41=0,0,E41)</f>
        <v>0</v>
      </c>
      <c r="J41" s="11">
        <f t="shared" ref="J41:J71" si="3">H41-I41</f>
        <v>0</v>
      </c>
      <c r="K41" s="28">
        <f t="shared" ref="K41:K71" si="4">IFERROR(H41/I41,0)</f>
        <v>0</v>
      </c>
      <c r="L41" s="1"/>
      <c r="M41" s="1"/>
      <c r="N41" s="1"/>
      <c r="O41" s="1"/>
      <c r="P41" s="1"/>
      <c r="Q41" s="1"/>
      <c r="R41" s="1"/>
      <c r="S41" s="1"/>
      <c r="T41" s="1"/>
      <c r="U41" s="1"/>
      <c r="V41" s="1"/>
      <c r="W41" s="1"/>
      <c r="X41" s="1"/>
      <c r="Y41" s="1"/>
      <c r="Z41" s="1"/>
    </row>
    <row r="42" spans="1:26" ht="19.5" hidden="1" customHeight="1" outlineLevel="1">
      <c r="A42" s="1"/>
      <c r="B42" s="34">
        <f t="shared" ref="B42:B71" si="5">B41+1</f>
        <v>45963</v>
      </c>
      <c r="C42" s="35"/>
      <c r="D42" s="36">
        <f t="shared" si="0"/>
        <v>103092.78350515464</v>
      </c>
      <c r="E42" s="37">
        <f>$C$9</f>
        <v>0</v>
      </c>
      <c r="F42" s="11">
        <f t="shared" si="1"/>
        <v>0</v>
      </c>
      <c r="G42" s="38">
        <f t="shared" si="2"/>
        <v>0</v>
      </c>
      <c r="H42" s="11">
        <f t="shared" ref="H42:H71" si="6">IF(C42=0,0,(H41+C42))</f>
        <v>0</v>
      </c>
      <c r="I42" s="11">
        <f t="shared" ref="I42:I71" si="7">IF(C42=0,0,(I41+E42))</f>
        <v>0</v>
      </c>
      <c r="J42" s="11">
        <f t="shared" si="3"/>
        <v>0</v>
      </c>
      <c r="K42" s="28">
        <f t="shared" si="4"/>
        <v>0</v>
      </c>
      <c r="L42" s="1"/>
      <c r="M42" s="1"/>
      <c r="N42" s="1"/>
      <c r="O42" s="1"/>
      <c r="P42" s="1"/>
      <c r="Q42" s="1"/>
      <c r="R42" s="1"/>
      <c r="S42" s="1"/>
      <c r="T42" s="1"/>
      <c r="U42" s="1"/>
      <c r="V42" s="1"/>
      <c r="W42" s="1"/>
      <c r="X42" s="1"/>
      <c r="Y42" s="1"/>
      <c r="Z42" s="1"/>
    </row>
    <row r="43" spans="1:26" ht="19.5" hidden="1" customHeight="1" outlineLevel="1">
      <c r="A43" s="1"/>
      <c r="B43" s="34">
        <f t="shared" si="5"/>
        <v>45964</v>
      </c>
      <c r="C43" s="35"/>
      <c r="D43" s="36">
        <f t="shared" si="0"/>
        <v>103092.78350515464</v>
      </c>
      <c r="E43" s="37">
        <f>$C$10</f>
        <v>0</v>
      </c>
      <c r="F43" s="11">
        <f t="shared" si="1"/>
        <v>0</v>
      </c>
      <c r="G43" s="38">
        <f t="shared" si="2"/>
        <v>0</v>
      </c>
      <c r="H43" s="11">
        <f t="shared" si="6"/>
        <v>0</v>
      </c>
      <c r="I43" s="11">
        <f t="shared" si="7"/>
        <v>0</v>
      </c>
      <c r="J43" s="11">
        <f t="shared" si="3"/>
        <v>0</v>
      </c>
      <c r="K43" s="28">
        <f t="shared" si="4"/>
        <v>0</v>
      </c>
      <c r="L43" s="1"/>
      <c r="M43" s="1"/>
      <c r="N43" s="1"/>
      <c r="O43" s="1"/>
      <c r="P43" s="1"/>
      <c r="Q43" s="1"/>
      <c r="R43" s="1"/>
      <c r="S43" s="1"/>
      <c r="T43" s="1"/>
      <c r="U43" s="1"/>
      <c r="V43" s="1"/>
      <c r="W43" s="1"/>
      <c r="X43" s="1"/>
      <c r="Y43" s="1"/>
      <c r="Z43" s="1"/>
    </row>
    <row r="44" spans="1:26" ht="19.5" hidden="1" customHeight="1" outlineLevel="1">
      <c r="A44" s="1"/>
      <c r="B44" s="34">
        <f t="shared" si="5"/>
        <v>45965</v>
      </c>
      <c r="C44" s="35"/>
      <c r="D44" s="36">
        <f t="shared" si="0"/>
        <v>103092.78350515464</v>
      </c>
      <c r="E44" s="37">
        <f>$C$11</f>
        <v>0</v>
      </c>
      <c r="F44" s="11">
        <f t="shared" si="1"/>
        <v>0</v>
      </c>
      <c r="G44" s="38">
        <f t="shared" si="2"/>
        <v>0</v>
      </c>
      <c r="H44" s="11">
        <f t="shared" si="6"/>
        <v>0</v>
      </c>
      <c r="I44" s="11">
        <f t="shared" si="7"/>
        <v>0</v>
      </c>
      <c r="J44" s="11">
        <f t="shared" si="3"/>
        <v>0</v>
      </c>
      <c r="K44" s="28">
        <f t="shared" si="4"/>
        <v>0</v>
      </c>
      <c r="L44" s="1"/>
      <c r="M44" s="1"/>
      <c r="N44" s="1"/>
      <c r="O44" s="1"/>
      <c r="P44" s="1"/>
      <c r="Q44" s="1"/>
      <c r="R44" s="1"/>
      <c r="S44" s="1"/>
      <c r="T44" s="1"/>
      <c r="U44" s="1"/>
      <c r="V44" s="1"/>
      <c r="W44" s="1"/>
      <c r="X44" s="1"/>
      <c r="Y44" s="1"/>
      <c r="Z44" s="1"/>
    </row>
    <row r="45" spans="1:26" ht="19.5" hidden="1" customHeight="1" outlineLevel="1">
      <c r="A45" s="1"/>
      <c r="B45" s="34">
        <f t="shared" si="5"/>
        <v>45966</v>
      </c>
      <c r="C45" s="35"/>
      <c r="D45" s="36">
        <f t="shared" si="0"/>
        <v>103092.78350515464</v>
      </c>
      <c r="E45" s="37">
        <f>$C$12</f>
        <v>0</v>
      </c>
      <c r="F45" s="11">
        <f t="shared" si="1"/>
        <v>0</v>
      </c>
      <c r="G45" s="38">
        <f t="shared" si="2"/>
        <v>0</v>
      </c>
      <c r="H45" s="11">
        <f t="shared" si="6"/>
        <v>0</v>
      </c>
      <c r="I45" s="11">
        <f t="shared" si="7"/>
        <v>0</v>
      </c>
      <c r="J45" s="11">
        <f t="shared" si="3"/>
        <v>0</v>
      </c>
      <c r="K45" s="28">
        <f t="shared" si="4"/>
        <v>0</v>
      </c>
      <c r="L45" s="1"/>
      <c r="M45" s="1"/>
      <c r="N45" s="1"/>
      <c r="O45" s="1"/>
      <c r="P45" s="1"/>
      <c r="Q45" s="1"/>
      <c r="R45" s="1"/>
      <c r="S45" s="1"/>
      <c r="T45" s="1"/>
      <c r="U45" s="1"/>
      <c r="V45" s="1"/>
      <c r="W45" s="1"/>
      <c r="X45" s="1"/>
      <c r="Y45" s="1"/>
      <c r="Z45" s="1"/>
    </row>
    <row r="46" spans="1:26" ht="19.5" hidden="1" customHeight="1" outlineLevel="1">
      <c r="A46" s="1"/>
      <c r="B46" s="34">
        <f t="shared" si="5"/>
        <v>45967</v>
      </c>
      <c r="C46" s="35"/>
      <c r="D46" s="36">
        <v>0</v>
      </c>
      <c r="E46" s="37">
        <f>$C$13</f>
        <v>0</v>
      </c>
      <c r="F46" s="11">
        <f t="shared" si="1"/>
        <v>0</v>
      </c>
      <c r="G46" s="38">
        <f t="shared" si="2"/>
        <v>0</v>
      </c>
      <c r="H46" s="11">
        <f t="shared" si="6"/>
        <v>0</v>
      </c>
      <c r="I46" s="11">
        <f t="shared" si="7"/>
        <v>0</v>
      </c>
      <c r="J46" s="11">
        <f t="shared" si="3"/>
        <v>0</v>
      </c>
      <c r="K46" s="28">
        <f t="shared" si="4"/>
        <v>0</v>
      </c>
      <c r="L46" s="1"/>
      <c r="M46" s="1"/>
      <c r="N46" s="1"/>
      <c r="O46" s="1"/>
      <c r="P46" s="1"/>
      <c r="Q46" s="1"/>
      <c r="R46" s="1"/>
      <c r="S46" s="1"/>
      <c r="T46" s="1"/>
      <c r="U46" s="1"/>
      <c r="V46" s="1"/>
      <c r="W46" s="1"/>
      <c r="X46" s="1"/>
      <c r="Y46" s="1"/>
      <c r="Z46" s="1"/>
    </row>
    <row r="47" spans="1:26" ht="19.5" hidden="1" customHeight="1" outlineLevel="1">
      <c r="A47" s="1"/>
      <c r="B47" s="34">
        <f t="shared" si="5"/>
        <v>45968</v>
      </c>
      <c r="C47" s="35"/>
      <c r="D47" s="36">
        <f t="shared" ref="D47:D52" si="8">$C$18</f>
        <v>103092.78350515464</v>
      </c>
      <c r="E47" s="37">
        <f>$C$7</f>
        <v>0</v>
      </c>
      <c r="F47" s="11">
        <f t="shared" si="1"/>
        <v>0</v>
      </c>
      <c r="G47" s="38">
        <f t="shared" si="2"/>
        <v>0</v>
      </c>
      <c r="H47" s="11">
        <f t="shared" si="6"/>
        <v>0</v>
      </c>
      <c r="I47" s="11">
        <f t="shared" si="7"/>
        <v>0</v>
      </c>
      <c r="J47" s="11">
        <f t="shared" si="3"/>
        <v>0</v>
      </c>
      <c r="K47" s="28">
        <f t="shared" si="4"/>
        <v>0</v>
      </c>
      <c r="L47" s="1"/>
      <c r="M47" s="1"/>
      <c r="N47" s="1"/>
      <c r="O47" s="1"/>
      <c r="P47" s="1"/>
      <c r="Q47" s="1"/>
      <c r="R47" s="1"/>
      <c r="S47" s="1"/>
      <c r="T47" s="1"/>
      <c r="U47" s="1"/>
      <c r="V47" s="1"/>
      <c r="W47" s="1"/>
      <c r="X47" s="1"/>
      <c r="Y47" s="1"/>
      <c r="Z47" s="1"/>
    </row>
    <row r="48" spans="1:26" ht="19.5" hidden="1" customHeight="1" outlineLevel="1">
      <c r="A48" s="1"/>
      <c r="B48" s="34">
        <f t="shared" si="5"/>
        <v>45969</v>
      </c>
      <c r="C48" s="35"/>
      <c r="D48" s="36">
        <f t="shared" si="8"/>
        <v>103092.78350515464</v>
      </c>
      <c r="E48" s="37">
        <f>$C$8</f>
        <v>0</v>
      </c>
      <c r="F48" s="11">
        <f t="shared" si="1"/>
        <v>0</v>
      </c>
      <c r="G48" s="38">
        <f t="shared" si="2"/>
        <v>0</v>
      </c>
      <c r="H48" s="11">
        <f t="shared" si="6"/>
        <v>0</v>
      </c>
      <c r="I48" s="11">
        <f t="shared" si="7"/>
        <v>0</v>
      </c>
      <c r="J48" s="11">
        <f t="shared" si="3"/>
        <v>0</v>
      </c>
      <c r="K48" s="28">
        <f t="shared" si="4"/>
        <v>0</v>
      </c>
      <c r="L48" s="1"/>
      <c r="M48" s="1"/>
      <c r="N48" s="1"/>
      <c r="O48" s="1"/>
      <c r="P48" s="1"/>
      <c r="Q48" s="1"/>
      <c r="R48" s="1"/>
      <c r="S48" s="1"/>
      <c r="T48" s="1"/>
      <c r="U48" s="1"/>
      <c r="V48" s="1"/>
      <c r="W48" s="1"/>
      <c r="X48" s="1"/>
      <c r="Y48" s="1"/>
      <c r="Z48" s="1"/>
    </row>
    <row r="49" spans="1:26" ht="19.5" hidden="1" customHeight="1" outlineLevel="1">
      <c r="A49" s="1"/>
      <c r="B49" s="34">
        <f t="shared" si="5"/>
        <v>45970</v>
      </c>
      <c r="C49" s="35"/>
      <c r="D49" s="36">
        <f t="shared" si="8"/>
        <v>103092.78350515464</v>
      </c>
      <c r="E49" s="37">
        <f>$C$9</f>
        <v>0</v>
      </c>
      <c r="F49" s="11">
        <f t="shared" si="1"/>
        <v>0</v>
      </c>
      <c r="G49" s="38">
        <f t="shared" si="2"/>
        <v>0</v>
      </c>
      <c r="H49" s="11">
        <f t="shared" si="6"/>
        <v>0</v>
      </c>
      <c r="I49" s="11">
        <f t="shared" si="7"/>
        <v>0</v>
      </c>
      <c r="J49" s="11">
        <f t="shared" si="3"/>
        <v>0</v>
      </c>
      <c r="K49" s="28">
        <f t="shared" si="4"/>
        <v>0</v>
      </c>
      <c r="L49" s="1"/>
      <c r="M49" s="1"/>
      <c r="N49" s="1"/>
      <c r="O49" s="1"/>
      <c r="P49" s="1"/>
      <c r="Q49" s="1"/>
      <c r="R49" s="1"/>
      <c r="S49" s="1"/>
      <c r="T49" s="1"/>
      <c r="U49" s="1"/>
      <c r="V49" s="1"/>
      <c r="W49" s="1"/>
      <c r="X49" s="1"/>
      <c r="Y49" s="1"/>
      <c r="Z49" s="1"/>
    </row>
    <row r="50" spans="1:26" ht="19.5" hidden="1" customHeight="1" outlineLevel="1">
      <c r="A50" s="1"/>
      <c r="B50" s="34">
        <f t="shared" si="5"/>
        <v>45971</v>
      </c>
      <c r="C50" s="35"/>
      <c r="D50" s="36">
        <f t="shared" si="8"/>
        <v>103092.78350515464</v>
      </c>
      <c r="E50" s="37">
        <f>$C$10</f>
        <v>0</v>
      </c>
      <c r="F50" s="11">
        <f t="shared" si="1"/>
        <v>0</v>
      </c>
      <c r="G50" s="38">
        <f t="shared" si="2"/>
        <v>0</v>
      </c>
      <c r="H50" s="11">
        <f t="shared" si="6"/>
        <v>0</v>
      </c>
      <c r="I50" s="11">
        <f t="shared" si="7"/>
        <v>0</v>
      </c>
      <c r="J50" s="11">
        <f t="shared" si="3"/>
        <v>0</v>
      </c>
      <c r="K50" s="28">
        <f t="shared" si="4"/>
        <v>0</v>
      </c>
      <c r="L50" s="1"/>
      <c r="M50" s="1"/>
      <c r="N50" s="1"/>
      <c r="O50" s="1"/>
      <c r="P50" s="1"/>
      <c r="Q50" s="1"/>
      <c r="R50" s="1"/>
      <c r="S50" s="1"/>
      <c r="T50" s="1"/>
      <c r="U50" s="1"/>
      <c r="V50" s="1"/>
      <c r="W50" s="1"/>
      <c r="X50" s="1"/>
      <c r="Y50" s="1"/>
      <c r="Z50" s="1"/>
    </row>
    <row r="51" spans="1:26" ht="19.5" hidden="1" customHeight="1" outlineLevel="1">
      <c r="A51" s="1"/>
      <c r="B51" s="34">
        <f t="shared" si="5"/>
        <v>45972</v>
      </c>
      <c r="C51" s="35"/>
      <c r="D51" s="36">
        <f t="shared" si="8"/>
        <v>103092.78350515464</v>
      </c>
      <c r="E51" s="37">
        <f>$C$11</f>
        <v>0</v>
      </c>
      <c r="F51" s="11">
        <f t="shared" si="1"/>
        <v>0</v>
      </c>
      <c r="G51" s="38">
        <f t="shared" si="2"/>
        <v>0</v>
      </c>
      <c r="H51" s="11">
        <f t="shared" si="6"/>
        <v>0</v>
      </c>
      <c r="I51" s="11">
        <f t="shared" si="7"/>
        <v>0</v>
      </c>
      <c r="J51" s="11">
        <f t="shared" si="3"/>
        <v>0</v>
      </c>
      <c r="K51" s="28">
        <f t="shared" si="4"/>
        <v>0</v>
      </c>
      <c r="L51" s="1"/>
      <c r="M51" s="1"/>
      <c r="N51" s="1"/>
      <c r="O51" s="1"/>
      <c r="P51" s="1"/>
      <c r="Q51" s="1"/>
      <c r="R51" s="1"/>
      <c r="S51" s="1"/>
      <c r="T51" s="1"/>
      <c r="U51" s="1"/>
      <c r="V51" s="1"/>
      <c r="W51" s="1"/>
      <c r="X51" s="1"/>
      <c r="Y51" s="1"/>
      <c r="Z51" s="1"/>
    </row>
    <row r="52" spans="1:26" ht="19.5" hidden="1" customHeight="1" outlineLevel="1">
      <c r="A52" s="1"/>
      <c r="B52" s="34">
        <f t="shared" si="5"/>
        <v>45973</v>
      </c>
      <c r="C52" s="35"/>
      <c r="D52" s="36">
        <f t="shared" si="8"/>
        <v>103092.78350515464</v>
      </c>
      <c r="E52" s="37">
        <f>$C$12</f>
        <v>0</v>
      </c>
      <c r="F52" s="11">
        <f t="shared" si="1"/>
        <v>0</v>
      </c>
      <c r="G52" s="38">
        <f t="shared" si="2"/>
        <v>0</v>
      </c>
      <c r="H52" s="11">
        <f t="shared" si="6"/>
        <v>0</v>
      </c>
      <c r="I52" s="11">
        <f t="shared" si="7"/>
        <v>0</v>
      </c>
      <c r="J52" s="11">
        <f t="shared" si="3"/>
        <v>0</v>
      </c>
      <c r="K52" s="28">
        <f t="shared" si="4"/>
        <v>0</v>
      </c>
      <c r="L52" s="1"/>
      <c r="M52" s="1"/>
      <c r="N52" s="1"/>
      <c r="O52" s="1"/>
      <c r="P52" s="1"/>
      <c r="Q52" s="1"/>
      <c r="R52" s="1"/>
      <c r="S52" s="1"/>
      <c r="T52" s="1"/>
      <c r="U52" s="1"/>
      <c r="V52" s="1"/>
      <c r="W52" s="1"/>
      <c r="X52" s="1"/>
      <c r="Y52" s="1"/>
      <c r="Z52" s="1"/>
    </row>
    <row r="53" spans="1:26" ht="19.5" hidden="1" customHeight="1" outlineLevel="1">
      <c r="A53" s="1"/>
      <c r="B53" s="34">
        <f t="shared" si="5"/>
        <v>45974</v>
      </c>
      <c r="C53" s="35"/>
      <c r="D53" s="36">
        <v>0</v>
      </c>
      <c r="E53" s="37">
        <f>$C$13</f>
        <v>0</v>
      </c>
      <c r="F53" s="11">
        <f t="shared" si="1"/>
        <v>0</v>
      </c>
      <c r="G53" s="38">
        <f t="shared" si="2"/>
        <v>0</v>
      </c>
      <c r="H53" s="11">
        <f t="shared" si="6"/>
        <v>0</v>
      </c>
      <c r="I53" s="11">
        <f t="shared" si="7"/>
        <v>0</v>
      </c>
      <c r="J53" s="11">
        <f t="shared" si="3"/>
        <v>0</v>
      </c>
      <c r="K53" s="28">
        <f t="shared" si="4"/>
        <v>0</v>
      </c>
      <c r="L53" s="1"/>
      <c r="M53" s="1"/>
      <c r="N53" s="1"/>
      <c r="O53" s="1"/>
      <c r="P53" s="1"/>
      <c r="Q53" s="1"/>
      <c r="R53" s="1"/>
      <c r="S53" s="1"/>
      <c r="T53" s="1"/>
      <c r="U53" s="1"/>
      <c r="V53" s="1"/>
      <c r="W53" s="1"/>
      <c r="X53" s="1"/>
      <c r="Y53" s="1"/>
      <c r="Z53" s="1"/>
    </row>
    <row r="54" spans="1:26" ht="19.5" hidden="1" customHeight="1" outlineLevel="1">
      <c r="A54" s="1"/>
      <c r="B54" s="34">
        <f t="shared" si="5"/>
        <v>45975</v>
      </c>
      <c r="C54" s="35"/>
      <c r="D54" s="36">
        <f t="shared" ref="D54:D59" si="9">$C$18</f>
        <v>103092.78350515464</v>
      </c>
      <c r="E54" s="37">
        <f>$C$7</f>
        <v>0</v>
      </c>
      <c r="F54" s="11">
        <f t="shared" si="1"/>
        <v>0</v>
      </c>
      <c r="G54" s="38">
        <f t="shared" si="2"/>
        <v>0</v>
      </c>
      <c r="H54" s="11">
        <f t="shared" si="6"/>
        <v>0</v>
      </c>
      <c r="I54" s="11">
        <f t="shared" si="7"/>
        <v>0</v>
      </c>
      <c r="J54" s="11">
        <f t="shared" si="3"/>
        <v>0</v>
      </c>
      <c r="K54" s="28">
        <f t="shared" si="4"/>
        <v>0</v>
      </c>
      <c r="L54" s="1"/>
      <c r="M54" s="1"/>
      <c r="N54" s="1"/>
      <c r="O54" s="1"/>
      <c r="P54" s="1"/>
      <c r="Q54" s="1"/>
      <c r="R54" s="1"/>
      <c r="S54" s="1"/>
      <c r="T54" s="1"/>
      <c r="U54" s="1"/>
      <c r="V54" s="1"/>
      <c r="W54" s="1"/>
      <c r="X54" s="1"/>
      <c r="Y54" s="1"/>
      <c r="Z54" s="1"/>
    </row>
    <row r="55" spans="1:26" ht="19.5" hidden="1" customHeight="1" outlineLevel="1">
      <c r="A55" s="1"/>
      <c r="B55" s="34">
        <f t="shared" si="5"/>
        <v>45976</v>
      </c>
      <c r="C55" s="35"/>
      <c r="D55" s="36">
        <f t="shared" si="9"/>
        <v>103092.78350515464</v>
      </c>
      <c r="E55" s="37">
        <f>$C$8</f>
        <v>0</v>
      </c>
      <c r="F55" s="11">
        <f t="shared" si="1"/>
        <v>0</v>
      </c>
      <c r="G55" s="38">
        <f t="shared" si="2"/>
        <v>0</v>
      </c>
      <c r="H55" s="11">
        <f t="shared" si="6"/>
        <v>0</v>
      </c>
      <c r="I55" s="11">
        <f t="shared" si="7"/>
        <v>0</v>
      </c>
      <c r="J55" s="11">
        <f t="shared" si="3"/>
        <v>0</v>
      </c>
      <c r="K55" s="28">
        <f t="shared" si="4"/>
        <v>0</v>
      </c>
      <c r="L55" s="1"/>
      <c r="M55" s="1"/>
      <c r="N55" s="1"/>
      <c r="O55" s="1"/>
      <c r="P55" s="1"/>
      <c r="Q55" s="1"/>
      <c r="R55" s="1"/>
      <c r="S55" s="1"/>
      <c r="T55" s="1"/>
      <c r="U55" s="1"/>
      <c r="V55" s="1"/>
      <c r="W55" s="1"/>
      <c r="X55" s="1"/>
      <c r="Y55" s="1"/>
      <c r="Z55" s="1"/>
    </row>
    <row r="56" spans="1:26" ht="19.5" hidden="1" customHeight="1" outlineLevel="1">
      <c r="A56" s="1"/>
      <c r="B56" s="34">
        <f t="shared" si="5"/>
        <v>45977</v>
      </c>
      <c r="C56" s="35"/>
      <c r="D56" s="36">
        <f t="shared" si="9"/>
        <v>103092.78350515464</v>
      </c>
      <c r="E56" s="37">
        <f>$C$9</f>
        <v>0</v>
      </c>
      <c r="F56" s="11">
        <f t="shared" si="1"/>
        <v>0</v>
      </c>
      <c r="G56" s="38">
        <f t="shared" si="2"/>
        <v>0</v>
      </c>
      <c r="H56" s="11">
        <f t="shared" si="6"/>
        <v>0</v>
      </c>
      <c r="I56" s="11">
        <f t="shared" si="7"/>
        <v>0</v>
      </c>
      <c r="J56" s="11">
        <f t="shared" si="3"/>
        <v>0</v>
      </c>
      <c r="K56" s="28">
        <f t="shared" si="4"/>
        <v>0</v>
      </c>
      <c r="L56" s="1"/>
      <c r="M56" s="1"/>
      <c r="N56" s="1"/>
      <c r="O56" s="1"/>
      <c r="P56" s="1"/>
      <c r="Q56" s="1"/>
      <c r="R56" s="1"/>
      <c r="S56" s="1"/>
      <c r="T56" s="1"/>
      <c r="U56" s="1"/>
      <c r="V56" s="1"/>
      <c r="W56" s="1"/>
      <c r="X56" s="1"/>
      <c r="Y56" s="1"/>
      <c r="Z56" s="1"/>
    </row>
    <row r="57" spans="1:26" ht="19.5" hidden="1" customHeight="1" outlineLevel="1">
      <c r="A57" s="1"/>
      <c r="B57" s="34">
        <f t="shared" si="5"/>
        <v>45978</v>
      </c>
      <c r="C57" s="35"/>
      <c r="D57" s="36">
        <f t="shared" si="9"/>
        <v>103092.78350515464</v>
      </c>
      <c r="E57" s="37">
        <f>$C$10</f>
        <v>0</v>
      </c>
      <c r="F57" s="11">
        <f t="shared" si="1"/>
        <v>0</v>
      </c>
      <c r="G57" s="38">
        <f t="shared" si="2"/>
        <v>0</v>
      </c>
      <c r="H57" s="11">
        <f t="shared" si="6"/>
        <v>0</v>
      </c>
      <c r="I57" s="11">
        <f t="shared" si="7"/>
        <v>0</v>
      </c>
      <c r="J57" s="11">
        <f t="shared" si="3"/>
        <v>0</v>
      </c>
      <c r="K57" s="28">
        <f t="shared" si="4"/>
        <v>0</v>
      </c>
      <c r="L57" s="1"/>
      <c r="M57" s="1"/>
      <c r="N57" s="1"/>
      <c r="O57" s="1"/>
      <c r="P57" s="1"/>
      <c r="Q57" s="1"/>
      <c r="R57" s="1"/>
      <c r="S57" s="1"/>
      <c r="T57" s="1"/>
      <c r="U57" s="1"/>
      <c r="V57" s="1"/>
      <c r="W57" s="1"/>
      <c r="X57" s="1"/>
      <c r="Y57" s="1"/>
      <c r="Z57" s="1"/>
    </row>
    <row r="58" spans="1:26" ht="19.5" hidden="1" customHeight="1" outlineLevel="1">
      <c r="A58" s="1"/>
      <c r="B58" s="34">
        <f t="shared" si="5"/>
        <v>45979</v>
      </c>
      <c r="C58" s="35"/>
      <c r="D58" s="36">
        <f t="shared" si="9"/>
        <v>103092.78350515464</v>
      </c>
      <c r="E58" s="37">
        <f>$C$11</f>
        <v>0</v>
      </c>
      <c r="F58" s="11">
        <f t="shared" si="1"/>
        <v>0</v>
      </c>
      <c r="G58" s="38">
        <f t="shared" si="2"/>
        <v>0</v>
      </c>
      <c r="H58" s="11">
        <f t="shared" si="6"/>
        <v>0</v>
      </c>
      <c r="I58" s="11">
        <f t="shared" si="7"/>
        <v>0</v>
      </c>
      <c r="J58" s="11">
        <f t="shared" si="3"/>
        <v>0</v>
      </c>
      <c r="K58" s="28">
        <f t="shared" si="4"/>
        <v>0</v>
      </c>
      <c r="L58" s="1"/>
      <c r="M58" s="1"/>
      <c r="N58" s="1"/>
      <c r="O58" s="1"/>
      <c r="P58" s="1"/>
      <c r="Q58" s="1"/>
      <c r="R58" s="1"/>
      <c r="S58" s="1"/>
      <c r="T58" s="1"/>
      <c r="U58" s="1"/>
      <c r="V58" s="1"/>
      <c r="W58" s="1"/>
      <c r="X58" s="1"/>
      <c r="Y58" s="1"/>
      <c r="Z58" s="1"/>
    </row>
    <row r="59" spans="1:26" ht="19.5" hidden="1" customHeight="1" outlineLevel="1">
      <c r="A59" s="1"/>
      <c r="B59" s="34">
        <f t="shared" si="5"/>
        <v>45980</v>
      </c>
      <c r="C59" s="35"/>
      <c r="D59" s="36">
        <f t="shared" si="9"/>
        <v>103092.78350515464</v>
      </c>
      <c r="E59" s="37">
        <f>$C$12</f>
        <v>0</v>
      </c>
      <c r="F59" s="11">
        <f t="shared" si="1"/>
        <v>0</v>
      </c>
      <c r="G59" s="38">
        <f t="shared" si="2"/>
        <v>0</v>
      </c>
      <c r="H59" s="11">
        <f t="shared" si="6"/>
        <v>0</v>
      </c>
      <c r="I59" s="11">
        <f t="shared" si="7"/>
        <v>0</v>
      </c>
      <c r="J59" s="11">
        <f t="shared" si="3"/>
        <v>0</v>
      </c>
      <c r="K59" s="28">
        <f t="shared" si="4"/>
        <v>0</v>
      </c>
      <c r="L59" s="1"/>
      <c r="M59" s="1"/>
      <c r="N59" s="1"/>
      <c r="O59" s="1"/>
      <c r="P59" s="1"/>
      <c r="Q59" s="1"/>
      <c r="R59" s="1"/>
      <c r="S59" s="1"/>
      <c r="T59" s="1"/>
      <c r="U59" s="1"/>
      <c r="V59" s="1"/>
      <c r="W59" s="1"/>
      <c r="X59" s="1"/>
      <c r="Y59" s="1"/>
      <c r="Z59" s="1"/>
    </row>
    <row r="60" spans="1:26" ht="19.5" hidden="1" customHeight="1" outlineLevel="1">
      <c r="A60" s="1"/>
      <c r="B60" s="34">
        <f t="shared" si="5"/>
        <v>45981</v>
      </c>
      <c r="C60" s="35"/>
      <c r="D60" s="36">
        <v>0</v>
      </c>
      <c r="E60" s="37">
        <f>$C$13</f>
        <v>0</v>
      </c>
      <c r="F60" s="11">
        <f t="shared" si="1"/>
        <v>0</v>
      </c>
      <c r="G60" s="38">
        <f t="shared" si="2"/>
        <v>0</v>
      </c>
      <c r="H60" s="11">
        <f t="shared" si="6"/>
        <v>0</v>
      </c>
      <c r="I60" s="11">
        <f t="shared" si="7"/>
        <v>0</v>
      </c>
      <c r="J60" s="11">
        <f t="shared" si="3"/>
        <v>0</v>
      </c>
      <c r="K60" s="28">
        <f t="shared" si="4"/>
        <v>0</v>
      </c>
      <c r="L60" s="1"/>
      <c r="M60" s="1"/>
      <c r="N60" s="1"/>
      <c r="O60" s="1"/>
      <c r="P60" s="1"/>
      <c r="Q60" s="1"/>
      <c r="R60" s="1"/>
      <c r="S60" s="1"/>
      <c r="T60" s="1"/>
      <c r="U60" s="1"/>
      <c r="V60" s="1"/>
      <c r="W60" s="1"/>
      <c r="X60" s="1"/>
      <c r="Y60" s="1"/>
      <c r="Z60" s="1"/>
    </row>
    <row r="61" spans="1:26" ht="19.5" hidden="1" customHeight="1" outlineLevel="1">
      <c r="A61" s="1"/>
      <c r="B61" s="34">
        <f t="shared" si="5"/>
        <v>45982</v>
      </c>
      <c r="C61" s="35"/>
      <c r="D61" s="36">
        <v>0</v>
      </c>
      <c r="E61" s="37"/>
      <c r="F61" s="11">
        <f t="shared" si="1"/>
        <v>0</v>
      </c>
      <c r="G61" s="38">
        <f t="shared" si="2"/>
        <v>0</v>
      </c>
      <c r="H61" s="11">
        <f t="shared" si="6"/>
        <v>0</v>
      </c>
      <c r="I61" s="11">
        <f t="shared" si="7"/>
        <v>0</v>
      </c>
      <c r="J61" s="11">
        <f t="shared" si="3"/>
        <v>0</v>
      </c>
      <c r="K61" s="28">
        <f t="shared" si="4"/>
        <v>0</v>
      </c>
      <c r="L61" s="1"/>
      <c r="M61" s="1"/>
      <c r="N61" s="1"/>
      <c r="O61" s="1"/>
      <c r="P61" s="1"/>
      <c r="Q61" s="1"/>
      <c r="R61" s="1"/>
      <c r="S61" s="1"/>
      <c r="T61" s="1"/>
      <c r="U61" s="1"/>
      <c r="V61" s="1"/>
      <c r="W61" s="1"/>
      <c r="X61" s="1"/>
      <c r="Y61" s="1"/>
      <c r="Z61" s="1"/>
    </row>
    <row r="62" spans="1:26" ht="19.5" hidden="1" customHeight="1" outlineLevel="1">
      <c r="A62" s="1"/>
      <c r="B62" s="34">
        <f t="shared" si="5"/>
        <v>45983</v>
      </c>
      <c r="C62" s="35"/>
      <c r="D62" s="36">
        <f t="shared" ref="D62:D66" si="10">$C$18</f>
        <v>103092.78350515464</v>
      </c>
      <c r="E62" s="37">
        <f>$C$8</f>
        <v>0</v>
      </c>
      <c r="F62" s="11">
        <f t="shared" si="1"/>
        <v>0</v>
      </c>
      <c r="G62" s="38">
        <f t="shared" si="2"/>
        <v>0</v>
      </c>
      <c r="H62" s="11">
        <f t="shared" si="6"/>
        <v>0</v>
      </c>
      <c r="I62" s="11">
        <f t="shared" si="7"/>
        <v>0</v>
      </c>
      <c r="J62" s="11">
        <f t="shared" si="3"/>
        <v>0</v>
      </c>
      <c r="K62" s="28">
        <f t="shared" si="4"/>
        <v>0</v>
      </c>
      <c r="L62" s="1"/>
      <c r="M62" s="1"/>
      <c r="N62" s="1"/>
      <c r="O62" s="1"/>
      <c r="P62" s="1"/>
      <c r="Q62" s="1"/>
      <c r="R62" s="1"/>
      <c r="S62" s="1"/>
      <c r="T62" s="1"/>
      <c r="U62" s="1"/>
      <c r="V62" s="1"/>
      <c r="W62" s="1"/>
      <c r="X62" s="1"/>
      <c r="Y62" s="1"/>
      <c r="Z62" s="1"/>
    </row>
    <row r="63" spans="1:26" ht="19.5" hidden="1" customHeight="1" outlineLevel="1">
      <c r="A63" s="1"/>
      <c r="B63" s="34">
        <f t="shared" si="5"/>
        <v>45984</v>
      </c>
      <c r="C63" s="35"/>
      <c r="D63" s="36">
        <f t="shared" si="10"/>
        <v>103092.78350515464</v>
      </c>
      <c r="E63" s="37">
        <f>$C$9</f>
        <v>0</v>
      </c>
      <c r="F63" s="11">
        <f t="shared" si="1"/>
        <v>0</v>
      </c>
      <c r="G63" s="38">
        <f t="shared" si="2"/>
        <v>0</v>
      </c>
      <c r="H63" s="11">
        <f t="shared" si="6"/>
        <v>0</v>
      </c>
      <c r="I63" s="11">
        <f t="shared" si="7"/>
        <v>0</v>
      </c>
      <c r="J63" s="11">
        <f t="shared" si="3"/>
        <v>0</v>
      </c>
      <c r="K63" s="28">
        <f t="shared" si="4"/>
        <v>0</v>
      </c>
      <c r="L63" s="1"/>
      <c r="M63" s="1"/>
      <c r="N63" s="1"/>
      <c r="O63" s="1"/>
      <c r="P63" s="1"/>
      <c r="Q63" s="1"/>
      <c r="R63" s="1"/>
      <c r="S63" s="1"/>
      <c r="T63" s="1"/>
      <c r="U63" s="1"/>
      <c r="V63" s="1"/>
      <c r="W63" s="1"/>
      <c r="X63" s="1"/>
      <c r="Y63" s="1"/>
      <c r="Z63" s="1"/>
    </row>
    <row r="64" spans="1:26" ht="19.5" hidden="1" customHeight="1" outlineLevel="1">
      <c r="A64" s="1"/>
      <c r="B64" s="34">
        <f t="shared" si="5"/>
        <v>45985</v>
      </c>
      <c r="C64" s="35"/>
      <c r="D64" s="36">
        <f t="shared" si="10"/>
        <v>103092.78350515464</v>
      </c>
      <c r="E64" s="37">
        <f>$C$10</f>
        <v>0</v>
      </c>
      <c r="F64" s="11">
        <f t="shared" si="1"/>
        <v>0</v>
      </c>
      <c r="G64" s="38">
        <f t="shared" si="2"/>
        <v>0</v>
      </c>
      <c r="H64" s="11">
        <f t="shared" si="6"/>
        <v>0</v>
      </c>
      <c r="I64" s="11">
        <f t="shared" si="7"/>
        <v>0</v>
      </c>
      <c r="J64" s="11">
        <f t="shared" si="3"/>
        <v>0</v>
      </c>
      <c r="K64" s="28">
        <f t="shared" si="4"/>
        <v>0</v>
      </c>
      <c r="L64" s="1"/>
      <c r="M64" s="1"/>
      <c r="N64" s="1"/>
      <c r="O64" s="1"/>
      <c r="P64" s="1"/>
      <c r="Q64" s="1"/>
      <c r="R64" s="1"/>
      <c r="S64" s="1"/>
      <c r="T64" s="1"/>
      <c r="U64" s="1"/>
      <c r="V64" s="1"/>
      <c r="W64" s="1"/>
      <c r="X64" s="1"/>
      <c r="Y64" s="1"/>
      <c r="Z64" s="1"/>
    </row>
    <row r="65" spans="1:26" ht="19.5" hidden="1" customHeight="1" outlineLevel="1">
      <c r="A65" s="1"/>
      <c r="B65" s="34">
        <f t="shared" si="5"/>
        <v>45986</v>
      </c>
      <c r="C65" s="35"/>
      <c r="D65" s="36">
        <f t="shared" si="10"/>
        <v>103092.78350515464</v>
      </c>
      <c r="E65" s="37">
        <f>$C$11</f>
        <v>0</v>
      </c>
      <c r="F65" s="11">
        <f t="shared" si="1"/>
        <v>0</v>
      </c>
      <c r="G65" s="38">
        <f t="shared" si="2"/>
        <v>0</v>
      </c>
      <c r="H65" s="11">
        <f t="shared" si="6"/>
        <v>0</v>
      </c>
      <c r="I65" s="11">
        <f t="shared" si="7"/>
        <v>0</v>
      </c>
      <c r="J65" s="11">
        <f t="shared" si="3"/>
        <v>0</v>
      </c>
      <c r="K65" s="28">
        <f t="shared" si="4"/>
        <v>0</v>
      </c>
      <c r="L65" s="1"/>
      <c r="M65" s="1"/>
      <c r="N65" s="1"/>
      <c r="O65" s="1"/>
      <c r="P65" s="1"/>
      <c r="Q65" s="1"/>
      <c r="R65" s="1"/>
      <c r="S65" s="1"/>
      <c r="T65" s="1"/>
      <c r="U65" s="1"/>
      <c r="V65" s="1"/>
      <c r="W65" s="1"/>
      <c r="X65" s="1"/>
      <c r="Y65" s="1"/>
      <c r="Z65" s="1"/>
    </row>
    <row r="66" spans="1:26" ht="19.5" hidden="1" customHeight="1" outlineLevel="1">
      <c r="A66" s="1"/>
      <c r="B66" s="34">
        <f t="shared" si="5"/>
        <v>45987</v>
      </c>
      <c r="C66" s="35"/>
      <c r="D66" s="36">
        <f t="shared" si="10"/>
        <v>103092.78350515464</v>
      </c>
      <c r="E66" s="37">
        <f>$C$12</f>
        <v>0</v>
      </c>
      <c r="F66" s="11">
        <f t="shared" si="1"/>
        <v>0</v>
      </c>
      <c r="G66" s="38">
        <f t="shared" si="2"/>
        <v>0</v>
      </c>
      <c r="H66" s="11">
        <f t="shared" si="6"/>
        <v>0</v>
      </c>
      <c r="I66" s="11">
        <f t="shared" si="7"/>
        <v>0</v>
      </c>
      <c r="J66" s="11">
        <f t="shared" si="3"/>
        <v>0</v>
      </c>
      <c r="K66" s="28">
        <f t="shared" si="4"/>
        <v>0</v>
      </c>
      <c r="L66" s="1"/>
      <c r="M66" s="1"/>
      <c r="N66" s="1"/>
      <c r="O66" s="1"/>
      <c r="P66" s="1"/>
      <c r="Q66" s="1"/>
      <c r="R66" s="1"/>
      <c r="S66" s="1"/>
      <c r="T66" s="1"/>
      <c r="U66" s="1"/>
      <c r="V66" s="1"/>
      <c r="W66" s="1"/>
      <c r="X66" s="1"/>
      <c r="Y66" s="1"/>
      <c r="Z66" s="1"/>
    </row>
    <row r="67" spans="1:26" ht="19.5" hidden="1" customHeight="1" outlineLevel="1">
      <c r="A67" s="1"/>
      <c r="B67" s="34">
        <f t="shared" si="5"/>
        <v>45988</v>
      </c>
      <c r="C67" s="35"/>
      <c r="D67" s="36">
        <v>0</v>
      </c>
      <c r="E67" s="37">
        <f>$C$13</f>
        <v>0</v>
      </c>
      <c r="F67" s="11">
        <f t="shared" si="1"/>
        <v>0</v>
      </c>
      <c r="G67" s="38">
        <f t="shared" si="2"/>
        <v>0</v>
      </c>
      <c r="H67" s="11">
        <f t="shared" si="6"/>
        <v>0</v>
      </c>
      <c r="I67" s="11">
        <f t="shared" si="7"/>
        <v>0</v>
      </c>
      <c r="J67" s="11">
        <f t="shared" si="3"/>
        <v>0</v>
      </c>
      <c r="K67" s="28">
        <f t="shared" si="4"/>
        <v>0</v>
      </c>
      <c r="L67" s="1"/>
      <c r="M67" s="1"/>
      <c r="N67" s="1"/>
      <c r="O67" s="1"/>
      <c r="P67" s="1"/>
      <c r="Q67" s="1"/>
      <c r="R67" s="1"/>
      <c r="S67" s="1"/>
      <c r="T67" s="1"/>
      <c r="U67" s="1"/>
      <c r="V67" s="1"/>
      <c r="W67" s="1"/>
      <c r="X67" s="1"/>
      <c r="Y67" s="1"/>
      <c r="Z67" s="1"/>
    </row>
    <row r="68" spans="1:26" ht="19.5" hidden="1" customHeight="1" outlineLevel="1">
      <c r="A68" s="1"/>
      <c r="B68" s="34">
        <f t="shared" si="5"/>
        <v>45989</v>
      </c>
      <c r="C68" s="35"/>
      <c r="D68" s="36">
        <f t="shared" ref="D68:D71" si="11">$C$18</f>
        <v>103092.78350515464</v>
      </c>
      <c r="E68" s="37">
        <f>$C$7</f>
        <v>0</v>
      </c>
      <c r="F68" s="11">
        <f t="shared" si="1"/>
        <v>0</v>
      </c>
      <c r="G68" s="38">
        <f t="shared" si="2"/>
        <v>0</v>
      </c>
      <c r="H68" s="11">
        <f t="shared" si="6"/>
        <v>0</v>
      </c>
      <c r="I68" s="11">
        <f t="shared" si="7"/>
        <v>0</v>
      </c>
      <c r="J68" s="11">
        <f t="shared" si="3"/>
        <v>0</v>
      </c>
      <c r="K68" s="28">
        <f t="shared" si="4"/>
        <v>0</v>
      </c>
      <c r="L68" s="1"/>
      <c r="M68" s="1"/>
      <c r="N68" s="1"/>
      <c r="O68" s="1"/>
      <c r="P68" s="1"/>
      <c r="Q68" s="1"/>
      <c r="R68" s="1"/>
      <c r="S68" s="1"/>
      <c r="T68" s="1"/>
      <c r="U68" s="1"/>
      <c r="V68" s="1"/>
      <c r="W68" s="1"/>
      <c r="X68" s="1"/>
      <c r="Y68" s="1"/>
      <c r="Z68" s="1"/>
    </row>
    <row r="69" spans="1:26" ht="19.5" hidden="1" customHeight="1" outlineLevel="1">
      <c r="A69" s="1"/>
      <c r="B69" s="34">
        <f t="shared" si="5"/>
        <v>45990</v>
      </c>
      <c r="C69" s="35"/>
      <c r="D69" s="36">
        <f t="shared" si="11"/>
        <v>103092.78350515464</v>
      </c>
      <c r="E69" s="37">
        <f>$C$8</f>
        <v>0</v>
      </c>
      <c r="F69" s="11">
        <f t="shared" si="1"/>
        <v>0</v>
      </c>
      <c r="G69" s="38">
        <f t="shared" si="2"/>
        <v>0</v>
      </c>
      <c r="H69" s="11">
        <f t="shared" si="6"/>
        <v>0</v>
      </c>
      <c r="I69" s="11">
        <f t="shared" si="7"/>
        <v>0</v>
      </c>
      <c r="J69" s="11">
        <f t="shared" si="3"/>
        <v>0</v>
      </c>
      <c r="K69" s="28">
        <f t="shared" si="4"/>
        <v>0</v>
      </c>
      <c r="L69" s="1"/>
      <c r="M69" s="1"/>
      <c r="N69" s="1"/>
      <c r="O69" s="1"/>
      <c r="P69" s="1"/>
      <c r="Q69" s="1"/>
      <c r="R69" s="1"/>
      <c r="S69" s="1"/>
      <c r="T69" s="1"/>
      <c r="U69" s="1"/>
      <c r="V69" s="1"/>
      <c r="W69" s="1"/>
      <c r="X69" s="1"/>
      <c r="Y69" s="1"/>
      <c r="Z69" s="1"/>
    </row>
    <row r="70" spans="1:26" ht="19.5" hidden="1" customHeight="1" outlineLevel="1">
      <c r="A70" s="1"/>
      <c r="B70" s="34">
        <f t="shared" si="5"/>
        <v>45991</v>
      </c>
      <c r="C70" s="35"/>
      <c r="D70" s="36">
        <f t="shared" si="11"/>
        <v>103092.78350515464</v>
      </c>
      <c r="E70" s="37">
        <f>$C$9</f>
        <v>0</v>
      </c>
      <c r="F70" s="11">
        <f t="shared" si="1"/>
        <v>0</v>
      </c>
      <c r="G70" s="38">
        <f t="shared" si="2"/>
        <v>0</v>
      </c>
      <c r="H70" s="11">
        <f t="shared" si="6"/>
        <v>0</v>
      </c>
      <c r="I70" s="11">
        <f t="shared" si="7"/>
        <v>0</v>
      </c>
      <c r="J70" s="11">
        <f t="shared" si="3"/>
        <v>0</v>
      </c>
      <c r="K70" s="28">
        <f t="shared" si="4"/>
        <v>0</v>
      </c>
      <c r="L70" s="1"/>
      <c r="M70" s="1"/>
      <c r="N70" s="1"/>
      <c r="O70" s="1"/>
      <c r="P70" s="1"/>
      <c r="Q70" s="1"/>
      <c r="R70" s="1"/>
      <c r="S70" s="1"/>
      <c r="T70" s="1"/>
      <c r="U70" s="1"/>
      <c r="V70" s="1"/>
      <c r="W70" s="1"/>
      <c r="X70" s="1"/>
      <c r="Y70" s="1"/>
      <c r="Z70" s="1"/>
    </row>
    <row r="71" spans="1:26" ht="19.5" hidden="1" customHeight="1" outlineLevel="1">
      <c r="A71" s="1"/>
      <c r="B71" s="34">
        <f t="shared" si="5"/>
        <v>45992</v>
      </c>
      <c r="C71" s="35"/>
      <c r="D71" s="36">
        <f t="shared" si="11"/>
        <v>103092.78350515464</v>
      </c>
      <c r="E71" s="37">
        <f>$C$10</f>
        <v>0</v>
      </c>
      <c r="F71" s="11">
        <f t="shared" si="1"/>
        <v>0</v>
      </c>
      <c r="G71" s="38">
        <f t="shared" si="2"/>
        <v>0</v>
      </c>
      <c r="H71" s="11">
        <f t="shared" si="6"/>
        <v>0</v>
      </c>
      <c r="I71" s="11">
        <f t="shared" si="7"/>
        <v>0</v>
      </c>
      <c r="J71" s="11">
        <f t="shared" si="3"/>
        <v>0</v>
      </c>
      <c r="K71" s="28">
        <f t="shared" si="4"/>
        <v>0</v>
      </c>
      <c r="L71" s="1"/>
      <c r="M71" s="1"/>
      <c r="N71" s="1"/>
      <c r="O71" s="1"/>
      <c r="P71" s="1"/>
      <c r="Q71" s="1"/>
      <c r="R71" s="1"/>
      <c r="S71" s="1"/>
      <c r="T71" s="1"/>
      <c r="U71" s="1"/>
      <c r="V71" s="1"/>
      <c r="W71" s="1"/>
      <c r="X71" s="1"/>
      <c r="Y71" s="1"/>
      <c r="Z71" s="1"/>
    </row>
    <row r="72" spans="1:26" ht="19.5" hidden="1" customHeight="1" outlineLevel="1">
      <c r="A72" s="1"/>
      <c r="B72" s="2"/>
      <c r="C72" s="37">
        <f t="shared" ref="C72:E72" si="12">SUM(C41:C71)</f>
        <v>0</v>
      </c>
      <c r="D72" s="36">
        <f t="shared" si="12"/>
        <v>2680412.3711340204</v>
      </c>
      <c r="E72" s="37">
        <f t="shared" si="12"/>
        <v>0</v>
      </c>
      <c r="F72" s="1"/>
      <c r="G72" s="1"/>
      <c r="H72" s="1"/>
      <c r="I72" s="1"/>
      <c r="J72" s="1"/>
      <c r="K72" s="1"/>
      <c r="L72" s="1"/>
      <c r="M72" s="1"/>
      <c r="N72" s="1"/>
      <c r="O72" s="1"/>
      <c r="P72" s="1"/>
      <c r="Q72" s="1"/>
      <c r="R72" s="1"/>
      <c r="S72" s="1"/>
      <c r="T72" s="1"/>
      <c r="U72" s="1"/>
      <c r="V72" s="1"/>
      <c r="W72" s="1"/>
      <c r="X72" s="1"/>
      <c r="Y72" s="1"/>
      <c r="Z72" s="1"/>
    </row>
    <row r="73" spans="1:26" ht="19.5" hidden="1" customHeight="1" outlineLevel="1">
      <c r="A73" s="1"/>
      <c r="B73" s="2"/>
      <c r="C73" s="28">
        <f>IFERROR(C72/D72,0)</f>
        <v>0</v>
      </c>
      <c r="D73" s="1"/>
      <c r="E73" s="37">
        <f>E72-F17</f>
        <v>-2268041.2371134022</v>
      </c>
      <c r="F73" s="1"/>
      <c r="G73" s="1"/>
      <c r="H73" s="1"/>
      <c r="I73" s="1"/>
      <c r="J73" s="1"/>
      <c r="K73" s="1"/>
      <c r="L73" s="1"/>
      <c r="M73" s="1"/>
      <c r="N73" s="1"/>
      <c r="O73" s="1"/>
      <c r="P73" s="1"/>
      <c r="Q73" s="1"/>
      <c r="R73" s="1"/>
      <c r="S73" s="1"/>
      <c r="T73" s="1"/>
      <c r="U73" s="1"/>
      <c r="V73" s="1"/>
      <c r="W73" s="1"/>
      <c r="X73" s="1"/>
      <c r="Y73" s="1"/>
      <c r="Z73" s="1"/>
    </row>
    <row r="74" spans="1:26" ht="19.5" customHeight="1" collapsed="1">
      <c r="A74" s="1"/>
      <c r="B74" s="2"/>
      <c r="C74" s="1"/>
      <c r="D74" s="1"/>
      <c r="E74" s="2"/>
      <c r="F74" s="1"/>
      <c r="G74" s="1"/>
      <c r="H74" s="1"/>
      <c r="I74" s="1"/>
      <c r="J74" s="1"/>
      <c r="K74" s="1"/>
      <c r="L74" s="1"/>
      <c r="M74" s="1"/>
      <c r="N74" s="1"/>
      <c r="O74" s="1"/>
      <c r="P74" s="1"/>
      <c r="Q74" s="1"/>
      <c r="R74" s="1"/>
      <c r="S74" s="1"/>
      <c r="T74" s="1"/>
      <c r="U74" s="1"/>
      <c r="V74" s="1"/>
      <c r="W74" s="1"/>
      <c r="X74" s="1"/>
      <c r="Y74" s="1"/>
      <c r="Z74" s="1"/>
    </row>
    <row r="75" spans="1:26" ht="19.5" customHeight="1">
      <c r="A75" s="1"/>
      <c r="B75" s="2"/>
      <c r="C75" s="1"/>
      <c r="D75" s="1"/>
      <c r="E75" s="2"/>
      <c r="F75" s="1"/>
      <c r="G75" s="1"/>
      <c r="H75" s="1"/>
      <c r="I75" s="1"/>
      <c r="J75" s="1"/>
      <c r="K75" s="1"/>
      <c r="L75" s="1"/>
      <c r="M75" s="1"/>
      <c r="N75" s="1"/>
      <c r="O75" s="1"/>
      <c r="P75" s="1"/>
      <c r="Q75" s="1"/>
      <c r="R75" s="1"/>
      <c r="S75" s="1"/>
      <c r="T75" s="1"/>
      <c r="U75" s="1"/>
      <c r="V75" s="1"/>
      <c r="W75" s="1"/>
      <c r="X75" s="1"/>
      <c r="Y75" s="1"/>
      <c r="Z75" s="1"/>
    </row>
    <row r="76" spans="1:26" ht="19.5" customHeight="1">
      <c r="A76" s="1"/>
      <c r="B76" s="2"/>
      <c r="C76" s="1"/>
      <c r="D76" s="1"/>
      <c r="E76" s="2"/>
      <c r="F76" s="1"/>
      <c r="G76" s="1"/>
      <c r="H76" s="1"/>
      <c r="I76" s="1"/>
      <c r="J76" s="1"/>
      <c r="K76" s="1"/>
      <c r="L76" s="1"/>
      <c r="M76" s="1"/>
      <c r="N76" s="1"/>
      <c r="O76" s="1"/>
      <c r="P76" s="1"/>
      <c r="Q76" s="1"/>
      <c r="R76" s="1"/>
      <c r="S76" s="1"/>
      <c r="T76" s="1"/>
      <c r="U76" s="1"/>
      <c r="V76" s="1"/>
      <c r="W76" s="1"/>
      <c r="X76" s="1"/>
      <c r="Y76" s="1"/>
      <c r="Z76" s="1"/>
    </row>
    <row r="77" spans="1:26" ht="19.5" customHeight="1">
      <c r="A77" s="1"/>
      <c r="B77" s="2"/>
      <c r="C77" s="1"/>
      <c r="D77" s="1"/>
      <c r="E77" s="2"/>
      <c r="F77" s="1"/>
      <c r="G77" s="1"/>
      <c r="H77" s="1"/>
      <c r="I77" s="1"/>
      <c r="J77" s="1"/>
      <c r="K77" s="1"/>
      <c r="L77" s="1"/>
      <c r="M77" s="1"/>
      <c r="N77" s="1"/>
      <c r="O77" s="1"/>
      <c r="P77" s="1"/>
      <c r="Q77" s="1"/>
      <c r="R77" s="1"/>
      <c r="S77" s="1"/>
      <c r="T77" s="1"/>
      <c r="U77" s="1"/>
      <c r="V77" s="1"/>
      <c r="W77" s="1"/>
      <c r="X77" s="1"/>
      <c r="Y77" s="1"/>
      <c r="Z77" s="1"/>
    </row>
    <row r="78" spans="1:26" ht="19.5" customHeight="1">
      <c r="A78" s="1"/>
      <c r="B78" s="2"/>
      <c r="C78" s="1"/>
      <c r="D78" s="1"/>
      <c r="E78" s="2"/>
      <c r="F78" s="1"/>
      <c r="G78" s="1"/>
      <c r="H78" s="1"/>
      <c r="I78" s="1"/>
      <c r="J78" s="1"/>
      <c r="K78" s="1"/>
      <c r="L78" s="1"/>
      <c r="M78" s="1"/>
      <c r="N78" s="1"/>
      <c r="O78" s="1"/>
      <c r="P78" s="1"/>
      <c r="Q78" s="1"/>
      <c r="R78" s="1"/>
      <c r="S78" s="1"/>
      <c r="T78" s="1"/>
      <c r="U78" s="1"/>
      <c r="V78" s="1"/>
      <c r="W78" s="1"/>
      <c r="X78" s="1"/>
      <c r="Y78" s="1"/>
      <c r="Z78" s="1"/>
    </row>
    <row r="79" spans="1:26" ht="19.5" customHeight="1">
      <c r="A79" s="1"/>
      <c r="B79" s="2"/>
      <c r="C79" s="1"/>
      <c r="D79" s="1"/>
      <c r="E79" s="2"/>
      <c r="F79" s="1"/>
      <c r="G79" s="1"/>
      <c r="H79" s="1"/>
      <c r="I79" s="1"/>
      <c r="J79" s="1"/>
      <c r="K79" s="1"/>
      <c r="L79" s="1"/>
      <c r="M79" s="1"/>
      <c r="N79" s="1"/>
      <c r="O79" s="1"/>
      <c r="P79" s="1"/>
      <c r="Q79" s="1"/>
      <c r="R79" s="1"/>
      <c r="S79" s="1"/>
      <c r="T79" s="1"/>
      <c r="U79" s="1"/>
      <c r="V79" s="1"/>
      <c r="W79" s="1"/>
      <c r="X79" s="1"/>
      <c r="Y79" s="1"/>
      <c r="Z79" s="1"/>
    </row>
    <row r="80" spans="1:26" ht="19.5" customHeight="1">
      <c r="A80" s="1"/>
      <c r="B80" s="2"/>
      <c r="C80" s="1"/>
      <c r="D80" s="1"/>
      <c r="E80" s="2"/>
      <c r="F80" s="1"/>
      <c r="G80" s="1"/>
      <c r="H80" s="1"/>
      <c r="I80" s="1"/>
      <c r="J80" s="1"/>
      <c r="K80" s="1"/>
      <c r="L80" s="1"/>
      <c r="M80" s="1"/>
      <c r="N80" s="1"/>
      <c r="O80" s="1"/>
      <c r="P80" s="1"/>
      <c r="Q80" s="1"/>
      <c r="R80" s="1"/>
      <c r="S80" s="1"/>
      <c r="T80" s="1"/>
      <c r="U80" s="1"/>
      <c r="V80" s="1"/>
      <c r="W80" s="1"/>
      <c r="X80" s="1"/>
      <c r="Y80" s="1"/>
      <c r="Z80" s="1"/>
    </row>
    <row r="81" spans="1:26" ht="19.5" customHeight="1">
      <c r="A81" s="1"/>
      <c r="B81" s="2"/>
      <c r="C81" s="1"/>
      <c r="D81" s="1"/>
      <c r="E81" s="2"/>
      <c r="F81" s="1"/>
      <c r="G81" s="1"/>
      <c r="H81" s="1"/>
      <c r="I81" s="1"/>
      <c r="J81" s="1"/>
      <c r="K81" s="1"/>
      <c r="L81" s="1"/>
      <c r="M81" s="1"/>
      <c r="N81" s="1"/>
      <c r="O81" s="1"/>
      <c r="P81" s="1"/>
      <c r="Q81" s="1"/>
      <c r="R81" s="1"/>
      <c r="S81" s="1"/>
      <c r="T81" s="1"/>
      <c r="U81" s="1"/>
      <c r="V81" s="1"/>
      <c r="W81" s="1"/>
      <c r="X81" s="1"/>
      <c r="Y81" s="1"/>
      <c r="Z81" s="1"/>
    </row>
    <row r="82" spans="1:26" ht="19.5" customHeight="1">
      <c r="A82" s="1"/>
      <c r="B82" s="2"/>
      <c r="C82" s="1"/>
      <c r="D82" s="1"/>
      <c r="E82" s="2"/>
      <c r="F82" s="1"/>
      <c r="G82" s="1"/>
      <c r="H82" s="1"/>
      <c r="I82" s="1"/>
      <c r="J82" s="1"/>
      <c r="K82" s="1"/>
      <c r="L82" s="1"/>
      <c r="M82" s="1"/>
      <c r="N82" s="1"/>
      <c r="O82" s="1"/>
      <c r="P82" s="1"/>
      <c r="Q82" s="1"/>
      <c r="R82" s="1"/>
      <c r="S82" s="1"/>
      <c r="T82" s="1"/>
      <c r="U82" s="1"/>
      <c r="V82" s="1"/>
      <c r="W82" s="1"/>
      <c r="X82" s="1"/>
      <c r="Y82" s="1"/>
      <c r="Z82" s="1"/>
    </row>
    <row r="83" spans="1:26" ht="19.5" customHeight="1">
      <c r="A83" s="1"/>
      <c r="B83" s="2"/>
      <c r="C83" s="1"/>
      <c r="D83" s="1"/>
      <c r="E83" s="2"/>
      <c r="F83" s="1"/>
      <c r="G83" s="1"/>
      <c r="H83" s="1"/>
      <c r="I83" s="1"/>
      <c r="J83" s="1"/>
      <c r="K83" s="1"/>
      <c r="L83" s="1"/>
      <c r="M83" s="1"/>
      <c r="N83" s="1"/>
      <c r="O83" s="1"/>
      <c r="P83" s="1"/>
      <c r="Q83" s="1"/>
      <c r="R83" s="1"/>
      <c r="S83" s="1"/>
      <c r="T83" s="1"/>
      <c r="U83" s="1"/>
      <c r="V83" s="1"/>
      <c r="W83" s="1"/>
      <c r="X83" s="1"/>
      <c r="Y83" s="1"/>
      <c r="Z83" s="1"/>
    </row>
    <row r="84" spans="1:26" ht="19.5" customHeight="1">
      <c r="A84" s="1"/>
      <c r="B84" s="2"/>
      <c r="C84" s="1"/>
      <c r="D84" s="1"/>
      <c r="E84" s="2"/>
      <c r="F84" s="1"/>
      <c r="G84" s="1"/>
      <c r="H84" s="1"/>
      <c r="I84" s="1"/>
      <c r="J84" s="1"/>
      <c r="K84" s="1"/>
      <c r="L84" s="1"/>
      <c r="M84" s="1"/>
      <c r="N84" s="1"/>
      <c r="O84" s="1"/>
      <c r="P84" s="1"/>
      <c r="Q84" s="1"/>
      <c r="R84" s="1"/>
      <c r="S84" s="1"/>
      <c r="T84" s="1"/>
      <c r="U84" s="1"/>
      <c r="V84" s="1"/>
      <c r="W84" s="1"/>
      <c r="X84" s="1"/>
      <c r="Y84" s="1"/>
      <c r="Z84" s="1"/>
    </row>
    <row r="85" spans="1:26" ht="19.5" customHeight="1">
      <c r="A85" s="1"/>
      <c r="B85" s="2"/>
      <c r="C85" s="1"/>
      <c r="D85" s="1"/>
      <c r="E85" s="2"/>
      <c r="F85" s="1"/>
      <c r="G85" s="1"/>
      <c r="H85" s="1"/>
      <c r="I85" s="1"/>
      <c r="J85" s="1"/>
      <c r="K85" s="1"/>
      <c r="L85" s="1"/>
      <c r="M85" s="1"/>
      <c r="N85" s="1"/>
      <c r="O85" s="1"/>
      <c r="P85" s="1"/>
      <c r="Q85" s="1"/>
      <c r="R85" s="1"/>
      <c r="S85" s="1"/>
      <c r="T85" s="1"/>
      <c r="U85" s="1"/>
      <c r="V85" s="1"/>
      <c r="W85" s="1"/>
      <c r="X85" s="1"/>
      <c r="Y85" s="1"/>
      <c r="Z85" s="1"/>
    </row>
    <row r="86" spans="1:26" ht="19.5" customHeight="1">
      <c r="A86" s="1"/>
      <c r="B86" s="2"/>
      <c r="C86" s="1"/>
      <c r="D86" s="1"/>
      <c r="E86" s="2"/>
      <c r="F86" s="1"/>
      <c r="G86" s="1"/>
      <c r="H86" s="1"/>
      <c r="I86" s="1"/>
      <c r="J86" s="1"/>
      <c r="K86" s="1"/>
      <c r="L86" s="1"/>
      <c r="M86" s="1"/>
      <c r="N86" s="1"/>
      <c r="O86" s="1"/>
      <c r="P86" s="1"/>
      <c r="Q86" s="1"/>
      <c r="R86" s="1"/>
      <c r="S86" s="1"/>
      <c r="T86" s="1"/>
      <c r="U86" s="1"/>
      <c r="V86" s="1"/>
      <c r="W86" s="1"/>
      <c r="X86" s="1"/>
      <c r="Y86" s="1"/>
      <c r="Z86" s="1"/>
    </row>
    <row r="87" spans="1:26" ht="19.5" customHeight="1">
      <c r="A87" s="1"/>
      <c r="B87" s="2"/>
      <c r="C87" s="1"/>
      <c r="D87" s="1"/>
      <c r="E87" s="2"/>
      <c r="F87" s="1"/>
      <c r="G87" s="1"/>
      <c r="H87" s="1"/>
      <c r="I87" s="1"/>
      <c r="J87" s="1"/>
      <c r="K87" s="1"/>
      <c r="L87" s="1"/>
      <c r="M87" s="1"/>
      <c r="N87" s="1"/>
      <c r="O87" s="1"/>
      <c r="P87" s="1"/>
      <c r="Q87" s="1"/>
      <c r="R87" s="1"/>
      <c r="S87" s="1"/>
      <c r="T87" s="1"/>
      <c r="U87" s="1"/>
      <c r="V87" s="1"/>
      <c r="W87" s="1"/>
      <c r="X87" s="1"/>
      <c r="Y87" s="1"/>
      <c r="Z87" s="1"/>
    </row>
    <row r="88" spans="1:26" ht="19.5" customHeight="1">
      <c r="A88" s="1"/>
      <c r="B88" s="2"/>
      <c r="C88" s="1"/>
      <c r="D88" s="1"/>
      <c r="E88" s="2"/>
      <c r="F88" s="1"/>
      <c r="G88" s="1"/>
      <c r="H88" s="1"/>
      <c r="I88" s="1"/>
      <c r="J88" s="1"/>
      <c r="K88" s="1"/>
      <c r="L88" s="1"/>
      <c r="M88" s="1"/>
      <c r="N88" s="1"/>
      <c r="O88" s="1"/>
      <c r="P88" s="1"/>
      <c r="Q88" s="1"/>
      <c r="R88" s="1"/>
      <c r="S88" s="1"/>
      <c r="T88" s="1"/>
      <c r="U88" s="1"/>
      <c r="V88" s="1"/>
      <c r="W88" s="1"/>
      <c r="X88" s="1"/>
      <c r="Y88" s="1"/>
      <c r="Z88" s="1"/>
    </row>
    <row r="89" spans="1:26" ht="19.5" customHeight="1">
      <c r="A89" s="1"/>
      <c r="B89" s="2"/>
      <c r="C89" s="1"/>
      <c r="D89" s="1"/>
      <c r="E89" s="2"/>
      <c r="F89" s="1"/>
      <c r="G89" s="1"/>
      <c r="H89" s="1"/>
      <c r="I89" s="1"/>
      <c r="J89" s="1"/>
      <c r="K89" s="1"/>
      <c r="L89" s="1"/>
      <c r="M89" s="1"/>
      <c r="N89" s="1"/>
      <c r="O89" s="1"/>
      <c r="P89" s="1"/>
      <c r="Q89" s="1"/>
      <c r="R89" s="1"/>
      <c r="S89" s="1"/>
      <c r="T89" s="1"/>
      <c r="U89" s="1"/>
      <c r="V89" s="1"/>
      <c r="W89" s="1"/>
      <c r="X89" s="1"/>
      <c r="Y89" s="1"/>
      <c r="Z89" s="1"/>
    </row>
    <row r="90" spans="1:26" ht="19.5" customHeight="1">
      <c r="A90" s="1"/>
      <c r="B90" s="2"/>
      <c r="C90" s="1"/>
      <c r="D90" s="1"/>
      <c r="E90" s="2"/>
      <c r="F90" s="1"/>
      <c r="G90" s="1"/>
      <c r="H90" s="1"/>
      <c r="I90" s="1"/>
      <c r="J90" s="1"/>
      <c r="K90" s="1"/>
      <c r="L90" s="1"/>
      <c r="M90" s="1"/>
      <c r="N90" s="1"/>
      <c r="O90" s="1"/>
      <c r="P90" s="1"/>
      <c r="Q90" s="1"/>
      <c r="R90" s="1"/>
      <c r="S90" s="1"/>
      <c r="T90" s="1"/>
      <c r="U90" s="1"/>
      <c r="V90" s="1"/>
      <c r="W90" s="1"/>
      <c r="X90" s="1"/>
      <c r="Y90" s="1"/>
      <c r="Z90" s="1"/>
    </row>
    <row r="91" spans="1:26" ht="19.5" customHeight="1">
      <c r="A91" s="1"/>
      <c r="B91" s="2"/>
      <c r="C91" s="1"/>
      <c r="D91" s="1"/>
      <c r="E91" s="2"/>
      <c r="F91" s="1"/>
      <c r="G91" s="1"/>
      <c r="H91" s="1"/>
      <c r="I91" s="1"/>
      <c r="J91" s="1"/>
      <c r="K91" s="1"/>
      <c r="L91" s="1"/>
      <c r="M91" s="1"/>
      <c r="N91" s="1"/>
      <c r="O91" s="1"/>
      <c r="P91" s="1"/>
      <c r="Q91" s="1"/>
      <c r="R91" s="1"/>
      <c r="S91" s="1"/>
      <c r="T91" s="1"/>
      <c r="U91" s="1"/>
      <c r="V91" s="1"/>
      <c r="W91" s="1"/>
      <c r="X91" s="1"/>
      <c r="Y91" s="1"/>
      <c r="Z91" s="1"/>
    </row>
    <row r="92" spans="1:26" ht="19.5" customHeight="1">
      <c r="A92" s="1"/>
      <c r="B92" s="2"/>
      <c r="C92" s="1"/>
      <c r="D92" s="1"/>
      <c r="E92" s="2"/>
      <c r="F92" s="1"/>
      <c r="G92" s="1"/>
      <c r="H92" s="1"/>
      <c r="I92" s="1"/>
      <c r="J92" s="1"/>
      <c r="K92" s="1"/>
      <c r="L92" s="1"/>
      <c r="M92" s="1"/>
      <c r="N92" s="1"/>
      <c r="O92" s="1"/>
      <c r="P92" s="1"/>
      <c r="Q92" s="1"/>
      <c r="R92" s="1"/>
      <c r="S92" s="1"/>
      <c r="T92" s="1"/>
      <c r="U92" s="1"/>
      <c r="V92" s="1"/>
      <c r="W92" s="1"/>
      <c r="X92" s="1"/>
      <c r="Y92" s="1"/>
      <c r="Z92" s="1"/>
    </row>
    <row r="93" spans="1:26" ht="19.5" customHeight="1">
      <c r="A93" s="1"/>
      <c r="B93" s="2"/>
      <c r="C93" s="1"/>
      <c r="D93" s="1"/>
      <c r="E93" s="2"/>
      <c r="F93" s="1"/>
      <c r="G93" s="1"/>
      <c r="H93" s="1"/>
      <c r="I93" s="1"/>
      <c r="J93" s="1"/>
      <c r="K93" s="1"/>
      <c r="L93" s="1"/>
      <c r="M93" s="1"/>
      <c r="N93" s="1"/>
      <c r="O93" s="1"/>
      <c r="P93" s="1"/>
      <c r="Q93" s="1"/>
      <c r="R93" s="1"/>
      <c r="S93" s="1"/>
      <c r="T93" s="1"/>
      <c r="U93" s="1"/>
      <c r="V93" s="1"/>
      <c r="W93" s="1"/>
      <c r="X93" s="1"/>
      <c r="Y93" s="1"/>
      <c r="Z93" s="1"/>
    </row>
    <row r="94" spans="1:26" ht="19.5" customHeight="1">
      <c r="A94" s="1"/>
      <c r="B94" s="2"/>
      <c r="C94" s="1"/>
      <c r="D94" s="1"/>
      <c r="E94" s="2"/>
      <c r="F94" s="1"/>
      <c r="G94" s="1"/>
      <c r="H94" s="1"/>
      <c r="I94" s="1"/>
      <c r="J94" s="1"/>
      <c r="K94" s="1"/>
      <c r="L94" s="1"/>
      <c r="M94" s="1"/>
      <c r="N94" s="1"/>
      <c r="O94" s="1"/>
      <c r="P94" s="1"/>
      <c r="Q94" s="1"/>
      <c r="R94" s="1"/>
      <c r="S94" s="1"/>
      <c r="T94" s="1"/>
      <c r="U94" s="1"/>
      <c r="V94" s="1"/>
      <c r="W94" s="1"/>
      <c r="X94" s="1"/>
      <c r="Y94" s="1"/>
      <c r="Z94" s="1"/>
    </row>
    <row r="95" spans="1:26" ht="19.5" customHeight="1">
      <c r="A95" s="1"/>
      <c r="B95" s="2"/>
      <c r="C95" s="1"/>
      <c r="D95" s="1"/>
      <c r="E95" s="2"/>
      <c r="F95" s="1"/>
      <c r="G95" s="1"/>
      <c r="H95" s="1"/>
      <c r="I95" s="1"/>
      <c r="J95" s="1"/>
      <c r="K95" s="1"/>
      <c r="L95" s="1"/>
      <c r="M95" s="1"/>
      <c r="N95" s="1"/>
      <c r="O95" s="1"/>
      <c r="P95" s="1"/>
      <c r="Q95" s="1"/>
      <c r="R95" s="1"/>
      <c r="S95" s="1"/>
      <c r="T95" s="1"/>
      <c r="U95" s="1"/>
      <c r="V95" s="1"/>
      <c r="W95" s="1"/>
      <c r="X95" s="1"/>
      <c r="Y95" s="1"/>
      <c r="Z95" s="1"/>
    </row>
    <row r="96" spans="1:26" ht="19.5" customHeight="1">
      <c r="A96" s="1"/>
      <c r="B96" s="2"/>
      <c r="C96" s="1"/>
      <c r="D96" s="1"/>
      <c r="E96" s="2"/>
      <c r="F96" s="1"/>
      <c r="G96" s="1"/>
      <c r="H96" s="1"/>
      <c r="I96" s="1"/>
      <c r="J96" s="1"/>
      <c r="K96" s="1"/>
      <c r="L96" s="1"/>
      <c r="M96" s="1"/>
      <c r="N96" s="1"/>
      <c r="O96" s="1"/>
      <c r="P96" s="1"/>
      <c r="Q96" s="1"/>
      <c r="R96" s="1"/>
      <c r="S96" s="1"/>
      <c r="T96" s="1"/>
      <c r="U96" s="1"/>
      <c r="V96" s="1"/>
      <c r="W96" s="1"/>
      <c r="X96" s="1"/>
      <c r="Y96" s="1"/>
      <c r="Z96" s="1"/>
    </row>
    <row r="97" spans="1:26" ht="19.5" customHeight="1">
      <c r="A97" s="1"/>
      <c r="B97" s="2"/>
      <c r="C97" s="1"/>
      <c r="D97" s="1"/>
      <c r="E97" s="2"/>
      <c r="F97" s="1"/>
      <c r="G97" s="1"/>
      <c r="H97" s="1"/>
      <c r="I97" s="1"/>
      <c r="J97" s="1"/>
      <c r="K97" s="1"/>
      <c r="L97" s="1"/>
      <c r="M97" s="1"/>
      <c r="N97" s="1"/>
      <c r="O97" s="1"/>
      <c r="P97" s="1"/>
      <c r="Q97" s="1"/>
      <c r="R97" s="1"/>
      <c r="S97" s="1"/>
      <c r="T97" s="1"/>
      <c r="U97" s="1"/>
      <c r="V97" s="1"/>
      <c r="W97" s="1"/>
      <c r="X97" s="1"/>
      <c r="Y97" s="1"/>
      <c r="Z97" s="1"/>
    </row>
    <row r="98" spans="1:26" ht="19.5" customHeight="1">
      <c r="A98" s="1"/>
      <c r="B98" s="2"/>
      <c r="C98" s="1"/>
      <c r="D98" s="1"/>
      <c r="E98" s="2"/>
      <c r="F98" s="1"/>
      <c r="G98" s="1"/>
      <c r="H98" s="1"/>
      <c r="I98" s="1"/>
      <c r="J98" s="1"/>
      <c r="K98" s="1"/>
      <c r="L98" s="1"/>
      <c r="M98" s="1"/>
      <c r="N98" s="1"/>
      <c r="O98" s="1"/>
      <c r="P98" s="1"/>
      <c r="Q98" s="1"/>
      <c r="R98" s="1"/>
      <c r="S98" s="1"/>
      <c r="T98" s="1"/>
      <c r="U98" s="1"/>
      <c r="V98" s="1"/>
      <c r="W98" s="1"/>
      <c r="X98" s="1"/>
      <c r="Y98" s="1"/>
      <c r="Z98" s="1"/>
    </row>
    <row r="99" spans="1:26" ht="19.5" customHeight="1">
      <c r="A99" s="1"/>
      <c r="B99" s="2"/>
      <c r="C99" s="1"/>
      <c r="D99" s="1"/>
      <c r="E99" s="2"/>
      <c r="F99" s="1"/>
      <c r="G99" s="1"/>
      <c r="H99" s="1"/>
      <c r="I99" s="1"/>
      <c r="J99" s="1"/>
      <c r="K99" s="1"/>
      <c r="L99" s="1"/>
      <c r="M99" s="1"/>
      <c r="N99" s="1"/>
      <c r="O99" s="1"/>
      <c r="P99" s="1"/>
      <c r="Q99" s="1"/>
      <c r="R99" s="1"/>
      <c r="S99" s="1"/>
      <c r="T99" s="1"/>
      <c r="U99" s="1"/>
      <c r="V99" s="1"/>
      <c r="W99" s="1"/>
      <c r="X99" s="1"/>
      <c r="Y99" s="1"/>
      <c r="Z99" s="1"/>
    </row>
    <row r="100" spans="1:26" ht="19.5" customHeight="1">
      <c r="A100" s="1"/>
      <c r="B100" s="2"/>
      <c r="C100" s="1"/>
      <c r="D100" s="1"/>
      <c r="E100" s="2"/>
      <c r="F100" s="1"/>
      <c r="G100" s="1"/>
      <c r="H100" s="1"/>
      <c r="I100" s="1"/>
      <c r="J100" s="1"/>
      <c r="K100" s="1"/>
      <c r="L100" s="1"/>
      <c r="M100" s="1"/>
      <c r="N100" s="1"/>
      <c r="O100" s="1"/>
      <c r="P100" s="1"/>
      <c r="Q100" s="1"/>
      <c r="R100" s="1"/>
      <c r="S100" s="1"/>
      <c r="T100" s="1"/>
      <c r="U100" s="1"/>
      <c r="V100" s="1"/>
      <c r="W100" s="1"/>
      <c r="X100" s="1"/>
      <c r="Y100" s="1"/>
      <c r="Z100" s="1"/>
    </row>
    <row r="101" spans="1:26" ht="19.5" customHeight="1">
      <c r="A101" s="1"/>
      <c r="B101" s="2"/>
      <c r="C101" s="1"/>
      <c r="D101" s="1"/>
      <c r="E101" s="2"/>
      <c r="F101" s="1"/>
      <c r="G101" s="1"/>
      <c r="H101" s="1"/>
      <c r="I101" s="1"/>
      <c r="J101" s="1"/>
      <c r="K101" s="1"/>
      <c r="L101" s="1"/>
      <c r="M101" s="1"/>
      <c r="N101" s="1"/>
      <c r="O101" s="1"/>
      <c r="P101" s="1"/>
      <c r="Q101" s="1"/>
      <c r="R101" s="1"/>
      <c r="S101" s="1"/>
      <c r="T101" s="1"/>
      <c r="U101" s="1"/>
      <c r="V101" s="1"/>
      <c r="W101" s="1"/>
      <c r="X101" s="1"/>
      <c r="Y101" s="1"/>
      <c r="Z101" s="1"/>
    </row>
    <row r="102" spans="1:26" ht="19.5" customHeight="1">
      <c r="A102" s="1"/>
      <c r="B102" s="2"/>
      <c r="C102" s="1"/>
      <c r="D102" s="1"/>
      <c r="E102" s="2"/>
      <c r="F102" s="1"/>
      <c r="G102" s="1"/>
      <c r="H102" s="1"/>
      <c r="I102" s="1"/>
      <c r="J102" s="1"/>
      <c r="K102" s="1"/>
      <c r="L102" s="1"/>
      <c r="M102" s="1"/>
      <c r="N102" s="1"/>
      <c r="O102" s="1"/>
      <c r="P102" s="1"/>
      <c r="Q102" s="1"/>
      <c r="R102" s="1"/>
      <c r="S102" s="1"/>
      <c r="T102" s="1"/>
      <c r="U102" s="1"/>
      <c r="V102" s="1"/>
      <c r="W102" s="1"/>
      <c r="X102" s="1"/>
      <c r="Y102" s="1"/>
      <c r="Z102" s="1"/>
    </row>
    <row r="103" spans="1:26" ht="19.5" customHeight="1">
      <c r="A103" s="1"/>
      <c r="B103" s="2"/>
      <c r="C103" s="1"/>
      <c r="D103" s="1"/>
      <c r="E103" s="2"/>
      <c r="F103" s="1"/>
      <c r="G103" s="1"/>
      <c r="H103" s="1"/>
      <c r="I103" s="1"/>
      <c r="J103" s="1"/>
      <c r="K103" s="1"/>
      <c r="L103" s="1"/>
      <c r="M103" s="1"/>
      <c r="N103" s="1"/>
      <c r="O103" s="1"/>
      <c r="P103" s="1"/>
      <c r="Q103" s="1"/>
      <c r="R103" s="1"/>
      <c r="S103" s="1"/>
      <c r="T103" s="1"/>
      <c r="U103" s="1"/>
      <c r="V103" s="1"/>
      <c r="W103" s="1"/>
      <c r="X103" s="1"/>
      <c r="Y103" s="1"/>
      <c r="Z103" s="1"/>
    </row>
    <row r="104" spans="1:26" ht="19.5" customHeight="1">
      <c r="A104" s="1"/>
      <c r="B104" s="2"/>
      <c r="C104" s="1"/>
      <c r="D104" s="1"/>
      <c r="E104" s="2"/>
      <c r="F104" s="1"/>
      <c r="G104" s="1"/>
      <c r="H104" s="1"/>
      <c r="I104" s="1"/>
      <c r="J104" s="1"/>
      <c r="K104" s="1"/>
      <c r="L104" s="1"/>
      <c r="M104" s="1"/>
      <c r="N104" s="1"/>
      <c r="O104" s="1"/>
      <c r="P104" s="1"/>
      <c r="Q104" s="1"/>
      <c r="R104" s="1"/>
      <c r="S104" s="1"/>
      <c r="T104" s="1"/>
      <c r="U104" s="1"/>
      <c r="V104" s="1"/>
      <c r="W104" s="1"/>
      <c r="X104" s="1"/>
      <c r="Y104" s="1"/>
      <c r="Z104" s="1"/>
    </row>
    <row r="105" spans="1:26" ht="19.5" customHeight="1">
      <c r="A105" s="1"/>
      <c r="B105" s="2"/>
      <c r="C105" s="1"/>
      <c r="D105" s="1"/>
      <c r="E105" s="2"/>
      <c r="F105" s="1"/>
      <c r="G105" s="1"/>
      <c r="H105" s="1"/>
      <c r="I105" s="1"/>
      <c r="J105" s="1"/>
      <c r="K105" s="1"/>
      <c r="L105" s="1"/>
      <c r="M105" s="1"/>
      <c r="N105" s="1"/>
      <c r="O105" s="1"/>
      <c r="P105" s="1"/>
      <c r="Q105" s="1"/>
      <c r="R105" s="1"/>
      <c r="S105" s="1"/>
      <c r="T105" s="1"/>
      <c r="U105" s="1"/>
      <c r="V105" s="1"/>
      <c r="W105" s="1"/>
      <c r="X105" s="1"/>
      <c r="Y105" s="1"/>
      <c r="Z105" s="1"/>
    </row>
    <row r="106" spans="1:26" ht="19.5" customHeight="1">
      <c r="A106" s="1"/>
      <c r="B106" s="2"/>
      <c r="C106" s="1"/>
      <c r="D106" s="1"/>
      <c r="E106" s="2"/>
      <c r="F106" s="1"/>
      <c r="G106" s="1"/>
      <c r="H106" s="1"/>
      <c r="I106" s="1"/>
      <c r="J106" s="1"/>
      <c r="K106" s="1"/>
      <c r="L106" s="1"/>
      <c r="M106" s="1"/>
      <c r="N106" s="1"/>
      <c r="O106" s="1"/>
      <c r="P106" s="1"/>
      <c r="Q106" s="1"/>
      <c r="R106" s="1"/>
      <c r="S106" s="1"/>
      <c r="T106" s="1"/>
      <c r="U106" s="1"/>
      <c r="V106" s="1"/>
      <c r="W106" s="1"/>
      <c r="X106" s="1"/>
      <c r="Y106" s="1"/>
      <c r="Z106" s="1"/>
    </row>
    <row r="107" spans="1:26" ht="19.5" customHeight="1">
      <c r="A107" s="1"/>
      <c r="B107" s="2"/>
      <c r="C107" s="1"/>
      <c r="D107" s="1"/>
      <c r="E107" s="2"/>
      <c r="F107" s="1"/>
      <c r="G107" s="1"/>
      <c r="H107" s="1"/>
      <c r="I107" s="1"/>
      <c r="J107" s="1"/>
      <c r="K107" s="1"/>
      <c r="L107" s="1"/>
      <c r="M107" s="1"/>
      <c r="N107" s="1"/>
      <c r="O107" s="1"/>
      <c r="P107" s="1"/>
      <c r="Q107" s="1"/>
      <c r="R107" s="1"/>
      <c r="S107" s="1"/>
      <c r="T107" s="1"/>
      <c r="U107" s="1"/>
      <c r="V107" s="1"/>
      <c r="W107" s="1"/>
      <c r="X107" s="1"/>
      <c r="Y107" s="1"/>
      <c r="Z107" s="1"/>
    </row>
    <row r="108" spans="1:26" ht="19.5" customHeight="1">
      <c r="A108" s="1"/>
      <c r="B108" s="2"/>
      <c r="C108" s="1"/>
      <c r="D108" s="1"/>
      <c r="E108" s="2"/>
      <c r="F108" s="1"/>
      <c r="G108" s="1"/>
      <c r="H108" s="1"/>
      <c r="I108" s="1"/>
      <c r="J108" s="1"/>
      <c r="K108" s="1"/>
      <c r="L108" s="1"/>
      <c r="M108" s="1"/>
      <c r="N108" s="1"/>
      <c r="O108" s="1"/>
      <c r="P108" s="1"/>
      <c r="Q108" s="1"/>
      <c r="R108" s="1"/>
      <c r="S108" s="1"/>
      <c r="T108" s="1"/>
      <c r="U108" s="1"/>
      <c r="V108" s="1"/>
      <c r="W108" s="1"/>
      <c r="X108" s="1"/>
      <c r="Y108" s="1"/>
      <c r="Z108" s="1"/>
    </row>
    <row r="109" spans="1:26" ht="19.5" customHeight="1">
      <c r="A109" s="1"/>
      <c r="B109" s="2"/>
      <c r="C109" s="1"/>
      <c r="D109" s="1"/>
      <c r="E109" s="2"/>
      <c r="F109" s="1"/>
      <c r="G109" s="1"/>
      <c r="H109" s="1"/>
      <c r="I109" s="1"/>
      <c r="J109" s="1"/>
      <c r="K109" s="1"/>
      <c r="L109" s="1"/>
      <c r="M109" s="1"/>
      <c r="N109" s="1"/>
      <c r="O109" s="1"/>
      <c r="P109" s="1"/>
      <c r="Q109" s="1"/>
      <c r="R109" s="1"/>
      <c r="S109" s="1"/>
      <c r="T109" s="1"/>
      <c r="U109" s="1"/>
      <c r="V109" s="1"/>
      <c r="W109" s="1"/>
      <c r="X109" s="1"/>
      <c r="Y109" s="1"/>
      <c r="Z109" s="1"/>
    </row>
    <row r="110" spans="1:26" ht="19.5" customHeight="1">
      <c r="A110" s="1"/>
      <c r="B110" s="2"/>
      <c r="C110" s="1"/>
      <c r="D110" s="1"/>
      <c r="E110" s="2"/>
      <c r="F110" s="1"/>
      <c r="G110" s="1"/>
      <c r="H110" s="1"/>
      <c r="I110" s="1"/>
      <c r="J110" s="1"/>
      <c r="K110" s="1"/>
      <c r="L110" s="1"/>
      <c r="M110" s="1"/>
      <c r="N110" s="1"/>
      <c r="O110" s="1"/>
      <c r="P110" s="1"/>
      <c r="Q110" s="1"/>
      <c r="R110" s="1"/>
      <c r="S110" s="1"/>
      <c r="T110" s="1"/>
      <c r="U110" s="1"/>
      <c r="V110" s="1"/>
      <c r="W110" s="1"/>
      <c r="X110" s="1"/>
      <c r="Y110" s="1"/>
      <c r="Z110" s="1"/>
    </row>
    <row r="111" spans="1:26" ht="19.5" customHeight="1">
      <c r="A111" s="1"/>
      <c r="B111" s="2"/>
      <c r="C111" s="1"/>
      <c r="D111" s="1"/>
      <c r="E111" s="2"/>
      <c r="F111" s="1"/>
      <c r="G111" s="1"/>
      <c r="H111" s="1"/>
      <c r="I111" s="1"/>
      <c r="J111" s="1"/>
      <c r="K111" s="1"/>
      <c r="L111" s="1"/>
      <c r="M111" s="1"/>
      <c r="N111" s="1"/>
      <c r="O111" s="1"/>
      <c r="P111" s="1"/>
      <c r="Q111" s="1"/>
      <c r="R111" s="1"/>
      <c r="S111" s="1"/>
      <c r="T111" s="1"/>
      <c r="U111" s="1"/>
      <c r="V111" s="1"/>
      <c r="W111" s="1"/>
      <c r="X111" s="1"/>
      <c r="Y111" s="1"/>
      <c r="Z111" s="1"/>
    </row>
    <row r="112" spans="1:26" ht="19.5" customHeight="1">
      <c r="A112" s="1"/>
      <c r="B112" s="2"/>
      <c r="C112" s="1"/>
      <c r="D112" s="1"/>
      <c r="E112" s="2"/>
      <c r="F112" s="1"/>
      <c r="G112" s="1"/>
      <c r="H112" s="1"/>
      <c r="I112" s="1"/>
      <c r="J112" s="1"/>
      <c r="K112" s="1"/>
      <c r="L112" s="1"/>
      <c r="M112" s="1"/>
      <c r="N112" s="1"/>
      <c r="O112" s="1"/>
      <c r="P112" s="1"/>
      <c r="Q112" s="1"/>
      <c r="R112" s="1"/>
      <c r="S112" s="1"/>
      <c r="T112" s="1"/>
      <c r="U112" s="1"/>
      <c r="V112" s="1"/>
      <c r="W112" s="1"/>
      <c r="X112" s="1"/>
      <c r="Y112" s="1"/>
      <c r="Z112" s="1"/>
    </row>
    <row r="113" spans="1:26" ht="19.5" customHeight="1">
      <c r="A113" s="1"/>
      <c r="B113" s="2"/>
      <c r="C113" s="1"/>
      <c r="D113" s="1"/>
      <c r="E113" s="2"/>
      <c r="F113" s="1"/>
      <c r="G113" s="1"/>
      <c r="H113" s="1"/>
      <c r="I113" s="1"/>
      <c r="J113" s="1"/>
      <c r="K113" s="1"/>
      <c r="L113" s="1"/>
      <c r="M113" s="1"/>
      <c r="N113" s="1"/>
      <c r="O113" s="1"/>
      <c r="P113" s="1"/>
      <c r="Q113" s="1"/>
      <c r="R113" s="1"/>
      <c r="S113" s="1"/>
      <c r="T113" s="1"/>
      <c r="U113" s="1"/>
      <c r="V113" s="1"/>
      <c r="W113" s="1"/>
      <c r="X113" s="1"/>
      <c r="Y113" s="1"/>
      <c r="Z113" s="1"/>
    </row>
    <row r="114" spans="1:26" ht="19.5" customHeight="1">
      <c r="A114" s="1"/>
      <c r="B114" s="2"/>
      <c r="C114" s="1"/>
      <c r="D114" s="1"/>
      <c r="E114" s="2"/>
      <c r="F114" s="1"/>
      <c r="G114" s="1"/>
      <c r="H114" s="1"/>
      <c r="I114" s="1"/>
      <c r="J114" s="1"/>
      <c r="K114" s="1"/>
      <c r="L114" s="1"/>
      <c r="M114" s="1"/>
      <c r="N114" s="1"/>
      <c r="O114" s="1"/>
      <c r="P114" s="1"/>
      <c r="Q114" s="1"/>
      <c r="R114" s="1"/>
      <c r="S114" s="1"/>
      <c r="T114" s="1"/>
      <c r="U114" s="1"/>
      <c r="V114" s="1"/>
      <c r="W114" s="1"/>
      <c r="X114" s="1"/>
      <c r="Y114" s="1"/>
      <c r="Z114" s="1"/>
    </row>
    <row r="115" spans="1:26" ht="19.5" customHeight="1">
      <c r="A115" s="1"/>
      <c r="B115" s="2"/>
      <c r="C115" s="1"/>
      <c r="D115" s="1"/>
      <c r="E115" s="2"/>
      <c r="F115" s="1"/>
      <c r="G115" s="1"/>
      <c r="H115" s="1"/>
      <c r="I115" s="1"/>
      <c r="J115" s="1"/>
      <c r="K115" s="1"/>
      <c r="L115" s="1"/>
      <c r="M115" s="1"/>
      <c r="N115" s="1"/>
      <c r="O115" s="1"/>
      <c r="P115" s="1"/>
      <c r="Q115" s="1"/>
      <c r="R115" s="1"/>
      <c r="S115" s="1"/>
      <c r="T115" s="1"/>
      <c r="U115" s="1"/>
      <c r="V115" s="1"/>
      <c r="W115" s="1"/>
      <c r="X115" s="1"/>
      <c r="Y115" s="1"/>
      <c r="Z115" s="1"/>
    </row>
    <row r="116" spans="1:26" ht="19.5" customHeight="1">
      <c r="A116" s="1"/>
      <c r="B116" s="2"/>
      <c r="C116" s="1"/>
      <c r="D116" s="1"/>
      <c r="E116" s="2"/>
      <c r="F116" s="1"/>
      <c r="G116" s="1"/>
      <c r="H116" s="1"/>
      <c r="I116" s="1"/>
      <c r="J116" s="1"/>
      <c r="K116" s="1"/>
      <c r="L116" s="1"/>
      <c r="M116" s="1"/>
      <c r="N116" s="1"/>
      <c r="O116" s="1"/>
      <c r="P116" s="1"/>
      <c r="Q116" s="1"/>
      <c r="R116" s="1"/>
      <c r="S116" s="1"/>
      <c r="T116" s="1"/>
      <c r="U116" s="1"/>
      <c r="V116" s="1"/>
      <c r="W116" s="1"/>
      <c r="X116" s="1"/>
      <c r="Y116" s="1"/>
      <c r="Z116" s="1"/>
    </row>
    <row r="117" spans="1:26" ht="19.5" customHeight="1">
      <c r="A117" s="1"/>
      <c r="B117" s="2"/>
      <c r="C117" s="1"/>
      <c r="D117" s="1"/>
      <c r="E117" s="2"/>
      <c r="F117" s="1"/>
      <c r="G117" s="1"/>
      <c r="H117" s="1"/>
      <c r="I117" s="1"/>
      <c r="J117" s="1"/>
      <c r="K117" s="1"/>
      <c r="L117" s="1"/>
      <c r="M117" s="1"/>
      <c r="N117" s="1"/>
      <c r="O117" s="1"/>
      <c r="P117" s="1"/>
      <c r="Q117" s="1"/>
      <c r="R117" s="1"/>
      <c r="S117" s="1"/>
      <c r="T117" s="1"/>
      <c r="U117" s="1"/>
      <c r="V117" s="1"/>
      <c r="W117" s="1"/>
      <c r="X117" s="1"/>
      <c r="Y117" s="1"/>
      <c r="Z117" s="1"/>
    </row>
    <row r="118" spans="1:26" ht="19.5" customHeight="1">
      <c r="A118" s="1"/>
      <c r="B118" s="2"/>
      <c r="C118" s="1"/>
      <c r="D118" s="1"/>
      <c r="E118" s="2"/>
      <c r="F118" s="1"/>
      <c r="G118" s="1"/>
      <c r="H118" s="1"/>
      <c r="I118" s="1"/>
      <c r="J118" s="1"/>
      <c r="K118" s="1"/>
      <c r="L118" s="1"/>
      <c r="M118" s="1"/>
      <c r="N118" s="1"/>
      <c r="O118" s="1"/>
      <c r="P118" s="1"/>
      <c r="Q118" s="1"/>
      <c r="R118" s="1"/>
      <c r="S118" s="1"/>
      <c r="T118" s="1"/>
      <c r="U118" s="1"/>
      <c r="V118" s="1"/>
      <c r="W118" s="1"/>
      <c r="X118" s="1"/>
      <c r="Y118" s="1"/>
      <c r="Z118" s="1"/>
    </row>
    <row r="119" spans="1:26" ht="19.5" customHeight="1">
      <c r="A119" s="1"/>
      <c r="B119" s="2"/>
      <c r="C119" s="1"/>
      <c r="D119" s="1"/>
      <c r="E119" s="2"/>
      <c r="F119" s="1"/>
      <c r="G119" s="1"/>
      <c r="H119" s="1"/>
      <c r="I119" s="1"/>
      <c r="J119" s="1"/>
      <c r="K119" s="1"/>
      <c r="L119" s="1"/>
      <c r="M119" s="1"/>
      <c r="N119" s="1"/>
      <c r="O119" s="1"/>
      <c r="P119" s="1"/>
      <c r="Q119" s="1"/>
      <c r="R119" s="1"/>
      <c r="S119" s="1"/>
      <c r="T119" s="1"/>
      <c r="U119" s="1"/>
      <c r="V119" s="1"/>
      <c r="W119" s="1"/>
      <c r="X119" s="1"/>
      <c r="Y119" s="1"/>
      <c r="Z119" s="1"/>
    </row>
    <row r="120" spans="1:26" ht="19.5" customHeight="1">
      <c r="A120" s="1"/>
      <c r="B120" s="2"/>
      <c r="C120" s="1"/>
      <c r="D120" s="1"/>
      <c r="E120" s="2"/>
      <c r="F120" s="1"/>
      <c r="G120" s="1"/>
      <c r="H120" s="1"/>
      <c r="I120" s="1"/>
      <c r="J120" s="1"/>
      <c r="K120" s="1"/>
      <c r="L120" s="1"/>
      <c r="M120" s="1"/>
      <c r="N120" s="1"/>
      <c r="O120" s="1"/>
      <c r="P120" s="1"/>
      <c r="Q120" s="1"/>
      <c r="R120" s="1"/>
      <c r="S120" s="1"/>
      <c r="T120" s="1"/>
      <c r="U120" s="1"/>
      <c r="V120" s="1"/>
      <c r="W120" s="1"/>
      <c r="X120" s="1"/>
      <c r="Y120" s="1"/>
      <c r="Z120" s="1"/>
    </row>
    <row r="121" spans="1:26" ht="19.5" customHeight="1">
      <c r="A121" s="1"/>
      <c r="B121" s="2"/>
      <c r="C121" s="1"/>
      <c r="D121" s="1"/>
      <c r="E121" s="2"/>
      <c r="F121" s="1"/>
      <c r="G121" s="1"/>
      <c r="H121" s="1"/>
      <c r="I121" s="1"/>
      <c r="J121" s="1"/>
      <c r="K121" s="1"/>
      <c r="L121" s="1"/>
      <c r="M121" s="1"/>
      <c r="N121" s="1"/>
      <c r="O121" s="1"/>
      <c r="P121" s="1"/>
      <c r="Q121" s="1"/>
      <c r="R121" s="1"/>
      <c r="S121" s="1"/>
      <c r="T121" s="1"/>
      <c r="U121" s="1"/>
      <c r="V121" s="1"/>
      <c r="W121" s="1"/>
      <c r="X121" s="1"/>
      <c r="Y121" s="1"/>
      <c r="Z121" s="1"/>
    </row>
    <row r="122" spans="1:26" ht="19.5" customHeight="1">
      <c r="A122" s="1"/>
      <c r="B122" s="2"/>
      <c r="C122" s="1"/>
      <c r="D122" s="1"/>
      <c r="E122" s="2"/>
      <c r="F122" s="1"/>
      <c r="G122" s="1"/>
      <c r="H122" s="1"/>
      <c r="I122" s="1"/>
      <c r="J122" s="1"/>
      <c r="K122" s="1"/>
      <c r="L122" s="1"/>
      <c r="M122" s="1"/>
      <c r="N122" s="1"/>
      <c r="O122" s="1"/>
      <c r="P122" s="1"/>
      <c r="Q122" s="1"/>
      <c r="R122" s="1"/>
      <c r="S122" s="1"/>
      <c r="T122" s="1"/>
      <c r="U122" s="1"/>
      <c r="V122" s="1"/>
      <c r="W122" s="1"/>
      <c r="X122" s="1"/>
      <c r="Y122" s="1"/>
      <c r="Z122" s="1"/>
    </row>
    <row r="123" spans="1:26" ht="19.5" customHeight="1">
      <c r="A123" s="1"/>
      <c r="B123" s="2"/>
      <c r="C123" s="1"/>
      <c r="D123" s="1"/>
      <c r="E123" s="2"/>
      <c r="F123" s="1"/>
      <c r="G123" s="1"/>
      <c r="H123" s="1"/>
      <c r="I123" s="1"/>
      <c r="J123" s="1"/>
      <c r="K123" s="1"/>
      <c r="L123" s="1"/>
      <c r="M123" s="1"/>
      <c r="N123" s="1"/>
      <c r="O123" s="1"/>
      <c r="P123" s="1"/>
      <c r="Q123" s="1"/>
      <c r="R123" s="1"/>
      <c r="S123" s="1"/>
      <c r="T123" s="1"/>
      <c r="U123" s="1"/>
      <c r="V123" s="1"/>
      <c r="W123" s="1"/>
      <c r="X123" s="1"/>
      <c r="Y123" s="1"/>
      <c r="Z123" s="1"/>
    </row>
    <row r="124" spans="1:26" ht="19.5" customHeight="1">
      <c r="A124" s="1"/>
      <c r="B124" s="2"/>
      <c r="C124" s="1"/>
      <c r="D124" s="1"/>
      <c r="E124" s="2"/>
      <c r="F124" s="1"/>
      <c r="G124" s="1"/>
      <c r="H124" s="1"/>
      <c r="I124" s="1"/>
      <c r="J124" s="1"/>
      <c r="K124" s="1"/>
      <c r="L124" s="1"/>
      <c r="M124" s="1"/>
      <c r="N124" s="1"/>
      <c r="O124" s="1"/>
      <c r="P124" s="1"/>
      <c r="Q124" s="1"/>
      <c r="R124" s="1"/>
      <c r="S124" s="1"/>
      <c r="T124" s="1"/>
      <c r="U124" s="1"/>
      <c r="V124" s="1"/>
      <c r="W124" s="1"/>
      <c r="X124" s="1"/>
      <c r="Y124" s="1"/>
      <c r="Z124" s="1"/>
    </row>
    <row r="125" spans="1:26" ht="19.5" customHeight="1">
      <c r="A125" s="1"/>
      <c r="B125" s="2"/>
      <c r="C125" s="1"/>
      <c r="D125" s="1"/>
      <c r="E125" s="2"/>
      <c r="F125" s="1"/>
      <c r="G125" s="1"/>
      <c r="H125" s="1"/>
      <c r="I125" s="1"/>
      <c r="J125" s="1"/>
      <c r="K125" s="1"/>
      <c r="L125" s="1"/>
      <c r="M125" s="1"/>
      <c r="N125" s="1"/>
      <c r="O125" s="1"/>
      <c r="P125" s="1"/>
      <c r="Q125" s="1"/>
      <c r="R125" s="1"/>
      <c r="S125" s="1"/>
      <c r="T125" s="1"/>
      <c r="U125" s="1"/>
      <c r="V125" s="1"/>
      <c r="W125" s="1"/>
      <c r="X125" s="1"/>
      <c r="Y125" s="1"/>
      <c r="Z125" s="1"/>
    </row>
    <row r="126" spans="1:26" ht="19.5" customHeight="1">
      <c r="A126" s="1"/>
      <c r="B126" s="2"/>
      <c r="C126" s="1"/>
      <c r="D126" s="1"/>
      <c r="E126" s="2"/>
      <c r="F126" s="1"/>
      <c r="G126" s="1"/>
      <c r="H126" s="1"/>
      <c r="I126" s="1"/>
      <c r="J126" s="1"/>
      <c r="K126" s="1"/>
      <c r="L126" s="1"/>
      <c r="M126" s="1"/>
      <c r="N126" s="1"/>
      <c r="O126" s="1"/>
      <c r="P126" s="1"/>
      <c r="Q126" s="1"/>
      <c r="R126" s="1"/>
      <c r="S126" s="1"/>
      <c r="T126" s="1"/>
      <c r="U126" s="1"/>
      <c r="V126" s="1"/>
      <c r="W126" s="1"/>
      <c r="X126" s="1"/>
      <c r="Y126" s="1"/>
      <c r="Z126" s="1"/>
    </row>
    <row r="127" spans="1:26" ht="19.5" customHeight="1">
      <c r="A127" s="1"/>
      <c r="B127" s="2"/>
      <c r="C127" s="1"/>
      <c r="D127" s="1"/>
      <c r="E127" s="2"/>
      <c r="F127" s="1"/>
      <c r="G127" s="1"/>
      <c r="H127" s="1"/>
      <c r="I127" s="1"/>
      <c r="J127" s="1"/>
      <c r="K127" s="1"/>
      <c r="L127" s="1"/>
      <c r="M127" s="1"/>
      <c r="N127" s="1"/>
      <c r="O127" s="1"/>
      <c r="P127" s="1"/>
      <c r="Q127" s="1"/>
      <c r="R127" s="1"/>
      <c r="S127" s="1"/>
      <c r="T127" s="1"/>
      <c r="U127" s="1"/>
      <c r="V127" s="1"/>
      <c r="W127" s="1"/>
      <c r="X127" s="1"/>
      <c r="Y127" s="1"/>
      <c r="Z127" s="1"/>
    </row>
    <row r="128" spans="1:26" ht="19.5" customHeight="1">
      <c r="A128" s="1"/>
      <c r="B128" s="2"/>
      <c r="C128" s="1"/>
      <c r="D128" s="1"/>
      <c r="E128" s="2"/>
      <c r="F128" s="1"/>
      <c r="G128" s="1"/>
      <c r="H128" s="1"/>
      <c r="I128" s="1"/>
      <c r="J128" s="1"/>
      <c r="K128" s="1"/>
      <c r="L128" s="1"/>
      <c r="M128" s="1"/>
      <c r="N128" s="1"/>
      <c r="O128" s="1"/>
      <c r="P128" s="1"/>
      <c r="Q128" s="1"/>
      <c r="R128" s="1"/>
      <c r="S128" s="1"/>
      <c r="T128" s="1"/>
      <c r="U128" s="1"/>
      <c r="V128" s="1"/>
      <c r="W128" s="1"/>
      <c r="X128" s="1"/>
      <c r="Y128" s="1"/>
      <c r="Z128" s="1"/>
    </row>
    <row r="129" spans="1:26" ht="19.5" customHeight="1">
      <c r="A129" s="1"/>
      <c r="B129" s="2"/>
      <c r="C129" s="1"/>
      <c r="D129" s="1"/>
      <c r="E129" s="2"/>
      <c r="F129" s="1"/>
      <c r="G129" s="1"/>
      <c r="H129" s="1"/>
      <c r="I129" s="1"/>
      <c r="J129" s="1"/>
      <c r="K129" s="1"/>
      <c r="L129" s="1"/>
      <c r="M129" s="1"/>
      <c r="N129" s="1"/>
      <c r="O129" s="1"/>
      <c r="P129" s="1"/>
      <c r="Q129" s="1"/>
      <c r="R129" s="1"/>
      <c r="S129" s="1"/>
      <c r="T129" s="1"/>
      <c r="U129" s="1"/>
      <c r="V129" s="1"/>
      <c r="W129" s="1"/>
      <c r="X129" s="1"/>
      <c r="Y129" s="1"/>
      <c r="Z129" s="1"/>
    </row>
    <row r="130" spans="1:26" ht="19.5" customHeight="1">
      <c r="A130" s="1"/>
      <c r="B130" s="2"/>
      <c r="C130" s="1"/>
      <c r="D130" s="1"/>
      <c r="E130" s="2"/>
      <c r="F130" s="1"/>
      <c r="G130" s="1"/>
      <c r="H130" s="1"/>
      <c r="I130" s="1"/>
      <c r="J130" s="1"/>
      <c r="K130" s="1"/>
      <c r="L130" s="1"/>
      <c r="M130" s="1"/>
      <c r="N130" s="1"/>
      <c r="O130" s="1"/>
      <c r="P130" s="1"/>
      <c r="Q130" s="1"/>
      <c r="R130" s="1"/>
      <c r="S130" s="1"/>
      <c r="T130" s="1"/>
      <c r="U130" s="1"/>
      <c r="V130" s="1"/>
      <c r="W130" s="1"/>
      <c r="X130" s="1"/>
      <c r="Y130" s="1"/>
      <c r="Z130" s="1"/>
    </row>
    <row r="131" spans="1:26" ht="19.5" customHeight="1">
      <c r="A131" s="1"/>
      <c r="B131" s="2"/>
      <c r="C131" s="1"/>
      <c r="D131" s="1"/>
      <c r="E131" s="2"/>
      <c r="F131" s="1"/>
      <c r="G131" s="1"/>
      <c r="H131" s="1"/>
      <c r="I131" s="1"/>
      <c r="J131" s="1"/>
      <c r="K131" s="1"/>
      <c r="L131" s="1"/>
      <c r="M131" s="1"/>
      <c r="N131" s="1"/>
      <c r="O131" s="1"/>
      <c r="P131" s="1"/>
      <c r="Q131" s="1"/>
      <c r="R131" s="1"/>
      <c r="S131" s="1"/>
      <c r="T131" s="1"/>
      <c r="U131" s="1"/>
      <c r="V131" s="1"/>
      <c r="W131" s="1"/>
      <c r="X131" s="1"/>
      <c r="Y131" s="1"/>
      <c r="Z131" s="1"/>
    </row>
    <row r="132" spans="1:26" ht="19.5" customHeight="1">
      <c r="A132" s="1"/>
      <c r="B132" s="2"/>
      <c r="C132" s="1"/>
      <c r="D132" s="1"/>
      <c r="E132" s="2"/>
      <c r="F132" s="1"/>
      <c r="G132" s="1"/>
      <c r="H132" s="1"/>
      <c r="I132" s="1"/>
      <c r="J132" s="1"/>
      <c r="K132" s="1"/>
      <c r="L132" s="1"/>
      <c r="M132" s="1"/>
      <c r="N132" s="1"/>
      <c r="O132" s="1"/>
      <c r="P132" s="1"/>
      <c r="Q132" s="1"/>
      <c r="R132" s="1"/>
      <c r="S132" s="1"/>
      <c r="T132" s="1"/>
      <c r="U132" s="1"/>
      <c r="V132" s="1"/>
      <c r="W132" s="1"/>
      <c r="X132" s="1"/>
      <c r="Y132" s="1"/>
      <c r="Z132" s="1"/>
    </row>
    <row r="133" spans="1:26" ht="19.5" customHeight="1">
      <c r="A133" s="1"/>
      <c r="B133" s="2"/>
      <c r="C133" s="1"/>
      <c r="D133" s="1"/>
      <c r="E133" s="2"/>
      <c r="F133" s="1"/>
      <c r="G133" s="1"/>
      <c r="H133" s="1"/>
      <c r="I133" s="1"/>
      <c r="J133" s="1"/>
      <c r="K133" s="1"/>
      <c r="L133" s="1"/>
      <c r="M133" s="1"/>
      <c r="N133" s="1"/>
      <c r="O133" s="1"/>
      <c r="P133" s="1"/>
      <c r="Q133" s="1"/>
      <c r="R133" s="1"/>
      <c r="S133" s="1"/>
      <c r="T133" s="1"/>
      <c r="U133" s="1"/>
      <c r="V133" s="1"/>
      <c r="W133" s="1"/>
      <c r="X133" s="1"/>
      <c r="Y133" s="1"/>
      <c r="Z133" s="1"/>
    </row>
    <row r="134" spans="1:26" ht="19.5" customHeight="1">
      <c r="A134" s="1"/>
      <c r="B134" s="2"/>
      <c r="C134" s="1"/>
      <c r="D134" s="1"/>
      <c r="E134" s="2"/>
      <c r="F134" s="1"/>
      <c r="G134" s="1"/>
      <c r="H134" s="1"/>
      <c r="I134" s="1"/>
      <c r="J134" s="1"/>
      <c r="K134" s="1"/>
      <c r="L134" s="1"/>
      <c r="M134" s="1"/>
      <c r="N134" s="1"/>
      <c r="O134" s="1"/>
      <c r="P134" s="1"/>
      <c r="Q134" s="1"/>
      <c r="R134" s="1"/>
      <c r="S134" s="1"/>
      <c r="T134" s="1"/>
      <c r="U134" s="1"/>
      <c r="V134" s="1"/>
      <c r="W134" s="1"/>
      <c r="X134" s="1"/>
      <c r="Y134" s="1"/>
      <c r="Z134" s="1"/>
    </row>
    <row r="135" spans="1:26" ht="19.5" customHeight="1">
      <c r="A135" s="1"/>
      <c r="B135" s="2"/>
      <c r="C135" s="1"/>
      <c r="D135" s="1"/>
      <c r="E135" s="2"/>
      <c r="F135" s="1"/>
      <c r="G135" s="1"/>
      <c r="H135" s="1"/>
      <c r="I135" s="1"/>
      <c r="J135" s="1"/>
      <c r="K135" s="1"/>
      <c r="L135" s="1"/>
      <c r="M135" s="1"/>
      <c r="N135" s="1"/>
      <c r="O135" s="1"/>
      <c r="P135" s="1"/>
      <c r="Q135" s="1"/>
      <c r="R135" s="1"/>
      <c r="S135" s="1"/>
      <c r="T135" s="1"/>
      <c r="U135" s="1"/>
      <c r="V135" s="1"/>
      <c r="W135" s="1"/>
      <c r="X135" s="1"/>
      <c r="Y135" s="1"/>
      <c r="Z135" s="1"/>
    </row>
    <row r="136" spans="1:26" ht="19.5" customHeight="1">
      <c r="A136" s="1"/>
      <c r="B136" s="2"/>
      <c r="C136" s="1"/>
      <c r="D136" s="1"/>
      <c r="E136" s="2"/>
      <c r="F136" s="1"/>
      <c r="G136" s="1"/>
      <c r="H136" s="1"/>
      <c r="I136" s="1"/>
      <c r="J136" s="1"/>
      <c r="K136" s="1"/>
      <c r="L136" s="1"/>
      <c r="M136" s="1"/>
      <c r="N136" s="1"/>
      <c r="O136" s="1"/>
      <c r="P136" s="1"/>
      <c r="Q136" s="1"/>
      <c r="R136" s="1"/>
      <c r="S136" s="1"/>
      <c r="T136" s="1"/>
      <c r="U136" s="1"/>
      <c r="V136" s="1"/>
      <c r="W136" s="1"/>
      <c r="X136" s="1"/>
      <c r="Y136" s="1"/>
      <c r="Z136" s="1"/>
    </row>
    <row r="137" spans="1:26" ht="19.5" customHeight="1">
      <c r="A137" s="1"/>
      <c r="B137" s="2"/>
      <c r="C137" s="1"/>
      <c r="D137" s="1"/>
      <c r="E137" s="2"/>
      <c r="F137" s="1"/>
      <c r="G137" s="1"/>
      <c r="H137" s="1"/>
      <c r="I137" s="1"/>
      <c r="J137" s="1"/>
      <c r="K137" s="1"/>
      <c r="L137" s="1"/>
      <c r="M137" s="1"/>
      <c r="N137" s="1"/>
      <c r="O137" s="1"/>
      <c r="P137" s="1"/>
      <c r="Q137" s="1"/>
      <c r="R137" s="1"/>
      <c r="S137" s="1"/>
      <c r="T137" s="1"/>
      <c r="U137" s="1"/>
      <c r="V137" s="1"/>
      <c r="W137" s="1"/>
      <c r="X137" s="1"/>
      <c r="Y137" s="1"/>
      <c r="Z137" s="1"/>
    </row>
    <row r="138" spans="1:26" ht="19.5" customHeight="1">
      <c r="A138" s="1"/>
      <c r="B138" s="2"/>
      <c r="C138" s="1"/>
      <c r="D138" s="1"/>
      <c r="E138" s="2"/>
      <c r="F138" s="1"/>
      <c r="G138" s="1"/>
      <c r="H138" s="1"/>
      <c r="I138" s="1"/>
      <c r="J138" s="1"/>
      <c r="K138" s="1"/>
      <c r="L138" s="1"/>
      <c r="M138" s="1"/>
      <c r="N138" s="1"/>
      <c r="O138" s="1"/>
      <c r="P138" s="1"/>
      <c r="Q138" s="1"/>
      <c r="R138" s="1"/>
      <c r="S138" s="1"/>
      <c r="T138" s="1"/>
      <c r="U138" s="1"/>
      <c r="V138" s="1"/>
      <c r="W138" s="1"/>
      <c r="X138" s="1"/>
      <c r="Y138" s="1"/>
      <c r="Z138" s="1"/>
    </row>
    <row r="139" spans="1:26" ht="19.5" customHeight="1">
      <c r="A139" s="1"/>
      <c r="B139" s="2"/>
      <c r="C139" s="1"/>
      <c r="D139" s="1"/>
      <c r="E139" s="2"/>
      <c r="F139" s="1"/>
      <c r="G139" s="1"/>
      <c r="H139" s="1"/>
      <c r="I139" s="1"/>
      <c r="J139" s="1"/>
      <c r="K139" s="1"/>
      <c r="L139" s="1"/>
      <c r="M139" s="1"/>
      <c r="N139" s="1"/>
      <c r="O139" s="1"/>
      <c r="P139" s="1"/>
      <c r="Q139" s="1"/>
      <c r="R139" s="1"/>
      <c r="S139" s="1"/>
      <c r="T139" s="1"/>
      <c r="U139" s="1"/>
      <c r="V139" s="1"/>
      <c r="W139" s="1"/>
      <c r="X139" s="1"/>
      <c r="Y139" s="1"/>
      <c r="Z139" s="1"/>
    </row>
    <row r="140" spans="1:26" ht="19.5" customHeight="1">
      <c r="A140" s="1"/>
      <c r="B140" s="2"/>
      <c r="C140" s="1"/>
      <c r="D140" s="1"/>
      <c r="E140" s="2"/>
      <c r="F140" s="1"/>
      <c r="G140" s="1"/>
      <c r="H140" s="1"/>
      <c r="I140" s="1"/>
      <c r="J140" s="1"/>
      <c r="K140" s="1"/>
      <c r="L140" s="1"/>
      <c r="M140" s="1"/>
      <c r="N140" s="1"/>
      <c r="O140" s="1"/>
      <c r="P140" s="1"/>
      <c r="Q140" s="1"/>
      <c r="R140" s="1"/>
      <c r="S140" s="1"/>
      <c r="T140" s="1"/>
      <c r="U140" s="1"/>
      <c r="V140" s="1"/>
      <c r="W140" s="1"/>
      <c r="X140" s="1"/>
      <c r="Y140" s="1"/>
      <c r="Z140" s="1"/>
    </row>
    <row r="141" spans="1:26" ht="19.5" customHeight="1">
      <c r="A141" s="1"/>
      <c r="B141" s="2"/>
      <c r="C141" s="1"/>
      <c r="D141" s="1"/>
      <c r="E141" s="2"/>
      <c r="F141" s="1"/>
      <c r="G141" s="1"/>
      <c r="H141" s="1"/>
      <c r="I141" s="1"/>
      <c r="J141" s="1"/>
      <c r="K141" s="1"/>
      <c r="L141" s="1"/>
      <c r="M141" s="1"/>
      <c r="N141" s="1"/>
      <c r="O141" s="1"/>
      <c r="P141" s="1"/>
      <c r="Q141" s="1"/>
      <c r="R141" s="1"/>
      <c r="S141" s="1"/>
      <c r="T141" s="1"/>
      <c r="U141" s="1"/>
      <c r="V141" s="1"/>
      <c r="W141" s="1"/>
      <c r="X141" s="1"/>
      <c r="Y141" s="1"/>
      <c r="Z141" s="1"/>
    </row>
    <row r="142" spans="1:26" ht="19.5" customHeight="1">
      <c r="A142" s="1"/>
      <c r="B142" s="2"/>
      <c r="C142" s="1"/>
      <c r="D142" s="1"/>
      <c r="E142" s="2"/>
      <c r="F142" s="1"/>
      <c r="G142" s="1"/>
      <c r="H142" s="1"/>
      <c r="I142" s="1"/>
      <c r="J142" s="1"/>
      <c r="K142" s="1"/>
      <c r="L142" s="1"/>
      <c r="M142" s="1"/>
      <c r="N142" s="1"/>
      <c r="O142" s="1"/>
      <c r="P142" s="1"/>
      <c r="Q142" s="1"/>
      <c r="R142" s="1"/>
      <c r="S142" s="1"/>
      <c r="T142" s="1"/>
      <c r="U142" s="1"/>
      <c r="V142" s="1"/>
      <c r="W142" s="1"/>
      <c r="X142" s="1"/>
      <c r="Y142" s="1"/>
      <c r="Z142" s="1"/>
    </row>
    <row r="143" spans="1:26" ht="19.5" customHeight="1">
      <c r="A143" s="1"/>
      <c r="B143" s="2"/>
      <c r="C143" s="1"/>
      <c r="D143" s="1"/>
      <c r="E143" s="2"/>
      <c r="F143" s="1"/>
      <c r="G143" s="1"/>
      <c r="H143" s="1"/>
      <c r="I143" s="1"/>
      <c r="J143" s="1"/>
      <c r="K143" s="1"/>
      <c r="L143" s="1"/>
      <c r="M143" s="1"/>
      <c r="N143" s="1"/>
      <c r="O143" s="1"/>
      <c r="P143" s="1"/>
      <c r="Q143" s="1"/>
      <c r="R143" s="1"/>
      <c r="S143" s="1"/>
      <c r="T143" s="1"/>
      <c r="U143" s="1"/>
      <c r="V143" s="1"/>
      <c r="W143" s="1"/>
      <c r="X143" s="1"/>
      <c r="Y143" s="1"/>
      <c r="Z143" s="1"/>
    </row>
    <row r="144" spans="1:26" ht="19.5" customHeight="1">
      <c r="A144" s="1"/>
      <c r="B144" s="2"/>
      <c r="C144" s="1"/>
      <c r="D144" s="1"/>
      <c r="E144" s="2"/>
      <c r="F144" s="1"/>
      <c r="G144" s="1"/>
      <c r="H144" s="1"/>
      <c r="I144" s="1"/>
      <c r="J144" s="1"/>
      <c r="K144" s="1"/>
      <c r="L144" s="1"/>
      <c r="M144" s="1"/>
      <c r="N144" s="1"/>
      <c r="O144" s="1"/>
      <c r="P144" s="1"/>
      <c r="Q144" s="1"/>
      <c r="R144" s="1"/>
      <c r="S144" s="1"/>
      <c r="T144" s="1"/>
      <c r="U144" s="1"/>
      <c r="V144" s="1"/>
      <c r="W144" s="1"/>
      <c r="X144" s="1"/>
      <c r="Y144" s="1"/>
      <c r="Z144" s="1"/>
    </row>
    <row r="145" spans="1:26" ht="19.5" customHeight="1">
      <c r="A145" s="1"/>
      <c r="B145" s="2"/>
      <c r="C145" s="1"/>
      <c r="D145" s="1"/>
      <c r="E145" s="2"/>
      <c r="F145" s="1"/>
      <c r="G145" s="1"/>
      <c r="H145" s="1"/>
      <c r="I145" s="1"/>
      <c r="J145" s="1"/>
      <c r="K145" s="1"/>
      <c r="L145" s="1"/>
      <c r="M145" s="1"/>
      <c r="N145" s="1"/>
      <c r="O145" s="1"/>
      <c r="P145" s="1"/>
      <c r="Q145" s="1"/>
      <c r="R145" s="1"/>
      <c r="S145" s="1"/>
      <c r="T145" s="1"/>
      <c r="U145" s="1"/>
      <c r="V145" s="1"/>
      <c r="W145" s="1"/>
      <c r="X145" s="1"/>
      <c r="Y145" s="1"/>
      <c r="Z145" s="1"/>
    </row>
    <row r="146" spans="1:26" ht="19.5" customHeight="1">
      <c r="A146" s="1"/>
      <c r="B146" s="2"/>
      <c r="C146" s="1"/>
      <c r="D146" s="1"/>
      <c r="E146" s="2"/>
      <c r="F146" s="1"/>
      <c r="G146" s="1"/>
      <c r="H146" s="1"/>
      <c r="I146" s="1"/>
      <c r="J146" s="1"/>
      <c r="K146" s="1"/>
      <c r="L146" s="1"/>
      <c r="M146" s="1"/>
      <c r="N146" s="1"/>
      <c r="O146" s="1"/>
      <c r="P146" s="1"/>
      <c r="Q146" s="1"/>
      <c r="R146" s="1"/>
      <c r="S146" s="1"/>
      <c r="T146" s="1"/>
      <c r="U146" s="1"/>
      <c r="V146" s="1"/>
      <c r="W146" s="1"/>
      <c r="X146" s="1"/>
      <c r="Y146" s="1"/>
      <c r="Z146" s="1"/>
    </row>
    <row r="147" spans="1:26" ht="19.5" customHeight="1">
      <c r="A147" s="1"/>
      <c r="B147" s="2"/>
      <c r="C147" s="1"/>
      <c r="D147" s="1"/>
      <c r="E147" s="2"/>
      <c r="F147" s="1"/>
      <c r="G147" s="1"/>
      <c r="H147" s="1"/>
      <c r="I147" s="1"/>
      <c r="J147" s="1"/>
      <c r="K147" s="1"/>
      <c r="L147" s="1"/>
      <c r="M147" s="1"/>
      <c r="N147" s="1"/>
      <c r="O147" s="1"/>
      <c r="P147" s="1"/>
      <c r="Q147" s="1"/>
      <c r="R147" s="1"/>
      <c r="S147" s="1"/>
      <c r="T147" s="1"/>
      <c r="U147" s="1"/>
      <c r="V147" s="1"/>
      <c r="W147" s="1"/>
      <c r="X147" s="1"/>
      <c r="Y147" s="1"/>
      <c r="Z147" s="1"/>
    </row>
    <row r="148" spans="1:26" ht="19.5" customHeight="1">
      <c r="A148" s="1"/>
      <c r="B148" s="2"/>
      <c r="C148" s="1"/>
      <c r="D148" s="1"/>
      <c r="E148" s="2"/>
      <c r="F148" s="1"/>
      <c r="G148" s="1"/>
      <c r="H148" s="1"/>
      <c r="I148" s="1"/>
      <c r="J148" s="1"/>
      <c r="K148" s="1"/>
      <c r="L148" s="1"/>
      <c r="M148" s="1"/>
      <c r="N148" s="1"/>
      <c r="O148" s="1"/>
      <c r="P148" s="1"/>
      <c r="Q148" s="1"/>
      <c r="R148" s="1"/>
      <c r="S148" s="1"/>
      <c r="T148" s="1"/>
      <c r="U148" s="1"/>
      <c r="V148" s="1"/>
      <c r="W148" s="1"/>
      <c r="X148" s="1"/>
      <c r="Y148" s="1"/>
      <c r="Z148" s="1"/>
    </row>
    <row r="149" spans="1:26" ht="19.5" customHeight="1">
      <c r="A149" s="1"/>
      <c r="B149" s="2"/>
      <c r="C149" s="1"/>
      <c r="D149" s="1"/>
      <c r="E149" s="2"/>
      <c r="F149" s="1"/>
      <c r="G149" s="1"/>
      <c r="H149" s="1"/>
      <c r="I149" s="1"/>
      <c r="J149" s="1"/>
      <c r="K149" s="1"/>
      <c r="L149" s="1"/>
      <c r="M149" s="1"/>
      <c r="N149" s="1"/>
      <c r="O149" s="1"/>
      <c r="P149" s="1"/>
      <c r="Q149" s="1"/>
      <c r="R149" s="1"/>
      <c r="S149" s="1"/>
      <c r="T149" s="1"/>
      <c r="U149" s="1"/>
      <c r="V149" s="1"/>
      <c r="W149" s="1"/>
      <c r="X149" s="1"/>
      <c r="Y149" s="1"/>
      <c r="Z149" s="1"/>
    </row>
    <row r="150" spans="1:26" ht="19.5" customHeight="1">
      <c r="A150" s="1"/>
      <c r="B150" s="2"/>
      <c r="C150" s="1"/>
      <c r="D150" s="1"/>
      <c r="E150" s="2"/>
      <c r="F150" s="1"/>
      <c r="G150" s="1"/>
      <c r="H150" s="1"/>
      <c r="I150" s="1"/>
      <c r="J150" s="1"/>
      <c r="K150" s="1"/>
      <c r="L150" s="1"/>
      <c r="M150" s="1"/>
      <c r="N150" s="1"/>
      <c r="O150" s="1"/>
      <c r="P150" s="1"/>
      <c r="Q150" s="1"/>
      <c r="R150" s="1"/>
      <c r="S150" s="1"/>
      <c r="T150" s="1"/>
      <c r="U150" s="1"/>
      <c r="V150" s="1"/>
      <c r="W150" s="1"/>
      <c r="X150" s="1"/>
      <c r="Y150" s="1"/>
      <c r="Z150" s="1"/>
    </row>
    <row r="151" spans="1:26" ht="19.5" customHeight="1">
      <c r="A151" s="1"/>
      <c r="B151" s="2"/>
      <c r="C151" s="1"/>
      <c r="D151" s="1"/>
      <c r="E151" s="2"/>
      <c r="F151" s="1"/>
      <c r="G151" s="1"/>
      <c r="H151" s="1"/>
      <c r="I151" s="1"/>
      <c r="J151" s="1"/>
      <c r="K151" s="1"/>
      <c r="L151" s="1"/>
      <c r="M151" s="1"/>
      <c r="N151" s="1"/>
      <c r="O151" s="1"/>
      <c r="P151" s="1"/>
      <c r="Q151" s="1"/>
      <c r="R151" s="1"/>
      <c r="S151" s="1"/>
      <c r="T151" s="1"/>
      <c r="U151" s="1"/>
      <c r="V151" s="1"/>
      <c r="W151" s="1"/>
      <c r="X151" s="1"/>
      <c r="Y151" s="1"/>
      <c r="Z151" s="1"/>
    </row>
    <row r="152" spans="1:26" ht="19.5" customHeight="1">
      <c r="A152" s="1"/>
      <c r="B152" s="2"/>
      <c r="C152" s="1"/>
      <c r="D152" s="1"/>
      <c r="E152" s="2"/>
      <c r="F152" s="1"/>
      <c r="G152" s="1"/>
      <c r="H152" s="1"/>
      <c r="I152" s="1"/>
      <c r="J152" s="1"/>
      <c r="K152" s="1"/>
      <c r="L152" s="1"/>
      <c r="M152" s="1"/>
      <c r="N152" s="1"/>
      <c r="O152" s="1"/>
      <c r="P152" s="1"/>
      <c r="Q152" s="1"/>
      <c r="R152" s="1"/>
      <c r="S152" s="1"/>
      <c r="T152" s="1"/>
      <c r="U152" s="1"/>
      <c r="V152" s="1"/>
      <c r="W152" s="1"/>
      <c r="X152" s="1"/>
      <c r="Y152" s="1"/>
      <c r="Z152" s="1"/>
    </row>
    <row r="153" spans="1:26" ht="19.5" customHeight="1">
      <c r="A153" s="1"/>
      <c r="B153" s="2"/>
      <c r="C153" s="1"/>
      <c r="D153" s="1"/>
      <c r="E153" s="2"/>
      <c r="F153" s="1"/>
      <c r="G153" s="1"/>
      <c r="H153" s="1"/>
      <c r="I153" s="1"/>
      <c r="J153" s="1"/>
      <c r="K153" s="1"/>
      <c r="L153" s="1"/>
      <c r="M153" s="1"/>
      <c r="N153" s="1"/>
      <c r="O153" s="1"/>
      <c r="P153" s="1"/>
      <c r="Q153" s="1"/>
      <c r="R153" s="1"/>
      <c r="S153" s="1"/>
      <c r="T153" s="1"/>
      <c r="U153" s="1"/>
      <c r="V153" s="1"/>
      <c r="W153" s="1"/>
      <c r="X153" s="1"/>
      <c r="Y153" s="1"/>
      <c r="Z153" s="1"/>
    </row>
    <row r="154" spans="1:26" ht="19.5" customHeight="1">
      <c r="A154" s="1"/>
      <c r="B154" s="2"/>
      <c r="C154" s="1"/>
      <c r="D154" s="1"/>
      <c r="E154" s="2"/>
      <c r="F154" s="1"/>
      <c r="G154" s="1"/>
      <c r="H154" s="1"/>
      <c r="I154" s="1"/>
      <c r="J154" s="1"/>
      <c r="K154" s="1"/>
      <c r="L154" s="1"/>
      <c r="M154" s="1"/>
      <c r="N154" s="1"/>
      <c r="O154" s="1"/>
      <c r="P154" s="1"/>
      <c r="Q154" s="1"/>
      <c r="R154" s="1"/>
      <c r="S154" s="1"/>
      <c r="T154" s="1"/>
      <c r="U154" s="1"/>
      <c r="V154" s="1"/>
      <c r="W154" s="1"/>
      <c r="X154" s="1"/>
      <c r="Y154" s="1"/>
      <c r="Z154" s="1"/>
    </row>
    <row r="155" spans="1:26" ht="19.5" customHeight="1">
      <c r="A155" s="1"/>
      <c r="B155" s="2"/>
      <c r="C155" s="1"/>
      <c r="D155" s="1"/>
      <c r="E155" s="2"/>
      <c r="F155" s="1"/>
      <c r="G155" s="1"/>
      <c r="H155" s="1"/>
      <c r="I155" s="1"/>
      <c r="J155" s="1"/>
      <c r="K155" s="1"/>
      <c r="L155" s="1"/>
      <c r="M155" s="1"/>
      <c r="N155" s="1"/>
      <c r="O155" s="1"/>
      <c r="P155" s="1"/>
      <c r="Q155" s="1"/>
      <c r="R155" s="1"/>
      <c r="S155" s="1"/>
      <c r="T155" s="1"/>
      <c r="U155" s="1"/>
      <c r="V155" s="1"/>
      <c r="W155" s="1"/>
      <c r="X155" s="1"/>
      <c r="Y155" s="1"/>
      <c r="Z155" s="1"/>
    </row>
    <row r="156" spans="1:26" ht="19.5" customHeight="1">
      <c r="A156" s="1"/>
      <c r="B156" s="2"/>
      <c r="C156" s="1"/>
      <c r="D156" s="1"/>
      <c r="E156" s="2"/>
      <c r="F156" s="1"/>
      <c r="G156" s="1"/>
      <c r="H156" s="1"/>
      <c r="I156" s="1"/>
      <c r="J156" s="1"/>
      <c r="K156" s="1"/>
      <c r="L156" s="1"/>
      <c r="M156" s="1"/>
      <c r="N156" s="1"/>
      <c r="O156" s="1"/>
      <c r="P156" s="1"/>
      <c r="Q156" s="1"/>
      <c r="R156" s="1"/>
      <c r="S156" s="1"/>
      <c r="T156" s="1"/>
      <c r="U156" s="1"/>
      <c r="V156" s="1"/>
      <c r="W156" s="1"/>
      <c r="X156" s="1"/>
      <c r="Y156" s="1"/>
      <c r="Z156" s="1"/>
    </row>
    <row r="157" spans="1:26" ht="19.5" customHeight="1">
      <c r="A157" s="1"/>
      <c r="B157" s="2"/>
      <c r="C157" s="1"/>
      <c r="D157" s="1"/>
      <c r="E157" s="2"/>
      <c r="F157" s="1"/>
      <c r="G157" s="1"/>
      <c r="H157" s="1"/>
      <c r="I157" s="1"/>
      <c r="J157" s="1"/>
      <c r="K157" s="1"/>
      <c r="L157" s="1"/>
      <c r="M157" s="1"/>
      <c r="N157" s="1"/>
      <c r="O157" s="1"/>
      <c r="P157" s="1"/>
      <c r="Q157" s="1"/>
      <c r="R157" s="1"/>
      <c r="S157" s="1"/>
      <c r="T157" s="1"/>
      <c r="U157" s="1"/>
      <c r="V157" s="1"/>
      <c r="W157" s="1"/>
      <c r="X157" s="1"/>
      <c r="Y157" s="1"/>
      <c r="Z157" s="1"/>
    </row>
    <row r="158" spans="1:26" ht="19.5" customHeight="1">
      <c r="A158" s="1"/>
      <c r="B158" s="2"/>
      <c r="C158" s="1"/>
      <c r="D158" s="1"/>
      <c r="E158" s="2"/>
      <c r="F158" s="1"/>
      <c r="G158" s="1"/>
      <c r="H158" s="1"/>
      <c r="I158" s="1"/>
      <c r="J158" s="1"/>
      <c r="K158" s="1"/>
      <c r="L158" s="1"/>
      <c r="M158" s="1"/>
      <c r="N158" s="1"/>
      <c r="O158" s="1"/>
      <c r="P158" s="1"/>
      <c r="Q158" s="1"/>
      <c r="R158" s="1"/>
      <c r="S158" s="1"/>
      <c r="T158" s="1"/>
      <c r="U158" s="1"/>
      <c r="V158" s="1"/>
      <c r="W158" s="1"/>
      <c r="X158" s="1"/>
      <c r="Y158" s="1"/>
      <c r="Z158" s="1"/>
    </row>
    <row r="159" spans="1:26" ht="19.5" customHeight="1">
      <c r="A159" s="1"/>
      <c r="B159" s="2"/>
      <c r="C159" s="1"/>
      <c r="D159" s="1"/>
      <c r="E159" s="2"/>
      <c r="F159" s="1"/>
      <c r="G159" s="1"/>
      <c r="H159" s="1"/>
      <c r="I159" s="1"/>
      <c r="J159" s="1"/>
      <c r="K159" s="1"/>
      <c r="L159" s="1"/>
      <c r="M159" s="1"/>
      <c r="N159" s="1"/>
      <c r="O159" s="1"/>
      <c r="P159" s="1"/>
      <c r="Q159" s="1"/>
      <c r="R159" s="1"/>
      <c r="S159" s="1"/>
      <c r="T159" s="1"/>
      <c r="U159" s="1"/>
      <c r="V159" s="1"/>
      <c r="W159" s="1"/>
      <c r="X159" s="1"/>
      <c r="Y159" s="1"/>
      <c r="Z159" s="1"/>
    </row>
    <row r="160" spans="1:26" ht="19.5" customHeight="1">
      <c r="A160" s="1"/>
      <c r="B160" s="2"/>
      <c r="C160" s="1"/>
      <c r="D160" s="1"/>
      <c r="E160" s="2"/>
      <c r="F160" s="1"/>
      <c r="G160" s="1"/>
      <c r="H160" s="1"/>
      <c r="I160" s="1"/>
      <c r="J160" s="1"/>
      <c r="K160" s="1"/>
      <c r="L160" s="1"/>
      <c r="M160" s="1"/>
      <c r="N160" s="1"/>
      <c r="O160" s="1"/>
      <c r="P160" s="1"/>
      <c r="Q160" s="1"/>
      <c r="R160" s="1"/>
      <c r="S160" s="1"/>
      <c r="T160" s="1"/>
      <c r="U160" s="1"/>
      <c r="V160" s="1"/>
      <c r="W160" s="1"/>
      <c r="X160" s="1"/>
      <c r="Y160" s="1"/>
      <c r="Z160" s="1"/>
    </row>
    <row r="161" spans="1:26" ht="19.5" customHeight="1">
      <c r="A161" s="1"/>
      <c r="B161" s="2"/>
      <c r="C161" s="1"/>
      <c r="D161" s="1"/>
      <c r="E161" s="2"/>
      <c r="F161" s="1"/>
      <c r="G161" s="1"/>
      <c r="H161" s="1"/>
      <c r="I161" s="1"/>
      <c r="J161" s="1"/>
      <c r="K161" s="1"/>
      <c r="L161" s="1"/>
      <c r="M161" s="1"/>
      <c r="N161" s="1"/>
      <c r="O161" s="1"/>
      <c r="P161" s="1"/>
      <c r="Q161" s="1"/>
      <c r="R161" s="1"/>
      <c r="S161" s="1"/>
      <c r="T161" s="1"/>
      <c r="U161" s="1"/>
      <c r="V161" s="1"/>
      <c r="W161" s="1"/>
      <c r="X161" s="1"/>
      <c r="Y161" s="1"/>
      <c r="Z161" s="1"/>
    </row>
    <row r="162" spans="1:26" ht="19.5" customHeight="1">
      <c r="A162" s="1"/>
      <c r="B162" s="2"/>
      <c r="C162" s="1"/>
      <c r="D162" s="1"/>
      <c r="E162" s="2"/>
      <c r="F162" s="1"/>
      <c r="G162" s="1"/>
      <c r="H162" s="1"/>
      <c r="I162" s="1"/>
      <c r="J162" s="1"/>
      <c r="K162" s="1"/>
      <c r="L162" s="1"/>
      <c r="M162" s="1"/>
      <c r="N162" s="1"/>
      <c r="O162" s="1"/>
      <c r="P162" s="1"/>
      <c r="Q162" s="1"/>
      <c r="R162" s="1"/>
      <c r="S162" s="1"/>
      <c r="T162" s="1"/>
      <c r="U162" s="1"/>
      <c r="V162" s="1"/>
      <c r="W162" s="1"/>
      <c r="X162" s="1"/>
      <c r="Y162" s="1"/>
      <c r="Z162" s="1"/>
    </row>
    <row r="163" spans="1:26" ht="19.5" customHeight="1">
      <c r="A163" s="1"/>
      <c r="B163" s="2"/>
      <c r="C163" s="1"/>
      <c r="D163" s="1"/>
      <c r="E163" s="2"/>
      <c r="F163" s="1"/>
      <c r="G163" s="1"/>
      <c r="H163" s="1"/>
      <c r="I163" s="1"/>
      <c r="J163" s="1"/>
      <c r="K163" s="1"/>
      <c r="L163" s="1"/>
      <c r="M163" s="1"/>
      <c r="N163" s="1"/>
      <c r="O163" s="1"/>
      <c r="P163" s="1"/>
      <c r="Q163" s="1"/>
      <c r="R163" s="1"/>
      <c r="S163" s="1"/>
      <c r="T163" s="1"/>
      <c r="U163" s="1"/>
      <c r="V163" s="1"/>
      <c r="W163" s="1"/>
      <c r="X163" s="1"/>
      <c r="Y163" s="1"/>
      <c r="Z163" s="1"/>
    </row>
    <row r="164" spans="1:26" ht="19.5" customHeight="1">
      <c r="A164" s="1"/>
      <c r="B164" s="2"/>
      <c r="C164" s="1"/>
      <c r="D164" s="1"/>
      <c r="E164" s="2"/>
      <c r="F164" s="1"/>
      <c r="G164" s="1"/>
      <c r="H164" s="1"/>
      <c r="I164" s="1"/>
      <c r="J164" s="1"/>
      <c r="K164" s="1"/>
      <c r="L164" s="1"/>
      <c r="M164" s="1"/>
      <c r="N164" s="1"/>
      <c r="O164" s="1"/>
      <c r="P164" s="1"/>
      <c r="Q164" s="1"/>
      <c r="R164" s="1"/>
      <c r="S164" s="1"/>
      <c r="T164" s="1"/>
      <c r="U164" s="1"/>
      <c r="V164" s="1"/>
      <c r="W164" s="1"/>
      <c r="X164" s="1"/>
      <c r="Y164" s="1"/>
      <c r="Z164" s="1"/>
    </row>
    <row r="165" spans="1:26" ht="19.5" customHeight="1">
      <c r="A165" s="1"/>
      <c r="B165" s="2"/>
      <c r="C165" s="1"/>
      <c r="D165" s="1"/>
      <c r="E165" s="2"/>
      <c r="F165" s="1"/>
      <c r="G165" s="1"/>
      <c r="H165" s="1"/>
      <c r="I165" s="1"/>
      <c r="J165" s="1"/>
      <c r="K165" s="1"/>
      <c r="L165" s="1"/>
      <c r="M165" s="1"/>
      <c r="N165" s="1"/>
      <c r="O165" s="1"/>
      <c r="P165" s="1"/>
      <c r="Q165" s="1"/>
      <c r="R165" s="1"/>
      <c r="S165" s="1"/>
      <c r="T165" s="1"/>
      <c r="U165" s="1"/>
      <c r="V165" s="1"/>
      <c r="W165" s="1"/>
      <c r="X165" s="1"/>
      <c r="Y165" s="1"/>
      <c r="Z165" s="1"/>
    </row>
    <row r="166" spans="1:26" ht="19.5" customHeight="1">
      <c r="A166" s="1"/>
      <c r="B166" s="2"/>
      <c r="C166" s="1"/>
      <c r="D166" s="1"/>
      <c r="E166" s="2"/>
      <c r="F166" s="1"/>
      <c r="G166" s="1"/>
      <c r="H166" s="1"/>
      <c r="I166" s="1"/>
      <c r="J166" s="1"/>
      <c r="K166" s="1"/>
      <c r="L166" s="1"/>
      <c r="M166" s="1"/>
      <c r="N166" s="1"/>
      <c r="O166" s="1"/>
      <c r="P166" s="1"/>
      <c r="Q166" s="1"/>
      <c r="R166" s="1"/>
      <c r="S166" s="1"/>
      <c r="T166" s="1"/>
      <c r="U166" s="1"/>
      <c r="V166" s="1"/>
      <c r="W166" s="1"/>
      <c r="X166" s="1"/>
      <c r="Y166" s="1"/>
      <c r="Z166" s="1"/>
    </row>
    <row r="167" spans="1:26" ht="19.5" customHeight="1">
      <c r="A167" s="1"/>
      <c r="B167" s="2"/>
      <c r="C167" s="1"/>
      <c r="D167" s="1"/>
      <c r="E167" s="2"/>
      <c r="F167" s="1"/>
      <c r="G167" s="1"/>
      <c r="H167" s="1"/>
      <c r="I167" s="1"/>
      <c r="J167" s="1"/>
      <c r="K167" s="1"/>
      <c r="L167" s="1"/>
      <c r="M167" s="1"/>
      <c r="N167" s="1"/>
      <c r="O167" s="1"/>
      <c r="P167" s="1"/>
      <c r="Q167" s="1"/>
      <c r="R167" s="1"/>
      <c r="S167" s="1"/>
      <c r="T167" s="1"/>
      <c r="U167" s="1"/>
      <c r="V167" s="1"/>
      <c r="W167" s="1"/>
      <c r="X167" s="1"/>
      <c r="Y167" s="1"/>
      <c r="Z167" s="1"/>
    </row>
    <row r="168" spans="1:26" ht="19.5" customHeight="1">
      <c r="A168" s="1"/>
      <c r="B168" s="2"/>
      <c r="C168" s="1"/>
      <c r="D168" s="1"/>
      <c r="E168" s="2"/>
      <c r="F168" s="1"/>
      <c r="G168" s="1"/>
      <c r="H168" s="1"/>
      <c r="I168" s="1"/>
      <c r="J168" s="1"/>
      <c r="K168" s="1"/>
      <c r="L168" s="1"/>
      <c r="M168" s="1"/>
      <c r="N168" s="1"/>
      <c r="O168" s="1"/>
      <c r="P168" s="1"/>
      <c r="Q168" s="1"/>
      <c r="R168" s="1"/>
      <c r="S168" s="1"/>
      <c r="T168" s="1"/>
      <c r="U168" s="1"/>
      <c r="V168" s="1"/>
      <c r="W168" s="1"/>
      <c r="X168" s="1"/>
      <c r="Y168" s="1"/>
      <c r="Z168" s="1"/>
    </row>
    <row r="169" spans="1:26" ht="19.5" customHeight="1">
      <c r="A169" s="1"/>
      <c r="B169" s="2"/>
      <c r="C169" s="1"/>
      <c r="D169" s="1"/>
      <c r="E169" s="2"/>
      <c r="F169" s="1"/>
      <c r="G169" s="1"/>
      <c r="H169" s="1"/>
      <c r="I169" s="1"/>
      <c r="J169" s="1"/>
      <c r="K169" s="1"/>
      <c r="L169" s="1"/>
      <c r="M169" s="1"/>
      <c r="N169" s="1"/>
      <c r="O169" s="1"/>
      <c r="P169" s="1"/>
      <c r="Q169" s="1"/>
      <c r="R169" s="1"/>
      <c r="S169" s="1"/>
      <c r="T169" s="1"/>
      <c r="U169" s="1"/>
      <c r="V169" s="1"/>
      <c r="W169" s="1"/>
      <c r="X169" s="1"/>
      <c r="Y169" s="1"/>
      <c r="Z169" s="1"/>
    </row>
    <row r="170" spans="1:26" ht="19.5" customHeight="1">
      <c r="A170" s="1"/>
      <c r="B170" s="2"/>
      <c r="C170" s="1"/>
      <c r="D170" s="1"/>
      <c r="E170" s="2"/>
      <c r="F170" s="1"/>
      <c r="G170" s="1"/>
      <c r="H170" s="1"/>
      <c r="I170" s="1"/>
      <c r="J170" s="1"/>
      <c r="K170" s="1"/>
      <c r="L170" s="1"/>
      <c r="M170" s="1"/>
      <c r="N170" s="1"/>
      <c r="O170" s="1"/>
      <c r="P170" s="1"/>
      <c r="Q170" s="1"/>
      <c r="R170" s="1"/>
      <c r="S170" s="1"/>
      <c r="T170" s="1"/>
      <c r="U170" s="1"/>
      <c r="V170" s="1"/>
      <c r="W170" s="1"/>
      <c r="X170" s="1"/>
      <c r="Y170" s="1"/>
      <c r="Z170" s="1"/>
    </row>
    <row r="171" spans="1:26" ht="19.5" customHeight="1">
      <c r="A171" s="1"/>
      <c r="B171" s="2"/>
      <c r="C171" s="1"/>
      <c r="D171" s="1"/>
      <c r="E171" s="2"/>
      <c r="F171" s="1"/>
      <c r="G171" s="1"/>
      <c r="H171" s="1"/>
      <c r="I171" s="1"/>
      <c r="J171" s="1"/>
      <c r="K171" s="1"/>
      <c r="L171" s="1"/>
      <c r="M171" s="1"/>
      <c r="N171" s="1"/>
      <c r="O171" s="1"/>
      <c r="P171" s="1"/>
      <c r="Q171" s="1"/>
      <c r="R171" s="1"/>
      <c r="S171" s="1"/>
      <c r="T171" s="1"/>
      <c r="U171" s="1"/>
      <c r="V171" s="1"/>
      <c r="W171" s="1"/>
      <c r="X171" s="1"/>
      <c r="Y171" s="1"/>
      <c r="Z171" s="1"/>
    </row>
    <row r="172" spans="1:26" ht="19.5" customHeight="1">
      <c r="A172" s="1"/>
      <c r="B172" s="2"/>
      <c r="C172" s="1"/>
      <c r="D172" s="1"/>
      <c r="E172" s="2"/>
      <c r="F172" s="1"/>
      <c r="G172" s="1"/>
      <c r="H172" s="1"/>
      <c r="I172" s="1"/>
      <c r="J172" s="1"/>
      <c r="K172" s="1"/>
      <c r="L172" s="1"/>
      <c r="M172" s="1"/>
      <c r="N172" s="1"/>
      <c r="O172" s="1"/>
      <c r="P172" s="1"/>
      <c r="Q172" s="1"/>
      <c r="R172" s="1"/>
      <c r="S172" s="1"/>
      <c r="T172" s="1"/>
      <c r="U172" s="1"/>
      <c r="V172" s="1"/>
      <c r="W172" s="1"/>
      <c r="X172" s="1"/>
      <c r="Y172" s="1"/>
      <c r="Z172" s="1"/>
    </row>
    <row r="173" spans="1:26" ht="19.5" customHeight="1">
      <c r="A173" s="1"/>
      <c r="B173" s="2"/>
      <c r="C173" s="1"/>
      <c r="D173" s="1"/>
      <c r="E173" s="2"/>
      <c r="F173" s="1"/>
      <c r="G173" s="1"/>
      <c r="H173" s="1"/>
      <c r="I173" s="1"/>
      <c r="J173" s="1"/>
      <c r="K173" s="1"/>
      <c r="L173" s="1"/>
      <c r="M173" s="1"/>
      <c r="N173" s="1"/>
      <c r="O173" s="1"/>
      <c r="P173" s="1"/>
      <c r="Q173" s="1"/>
      <c r="R173" s="1"/>
      <c r="S173" s="1"/>
      <c r="T173" s="1"/>
      <c r="U173" s="1"/>
      <c r="V173" s="1"/>
      <c r="W173" s="1"/>
      <c r="X173" s="1"/>
      <c r="Y173" s="1"/>
      <c r="Z173" s="1"/>
    </row>
    <row r="174" spans="1:26" ht="19.5" customHeight="1">
      <c r="A174" s="1"/>
      <c r="B174" s="2"/>
      <c r="C174" s="1"/>
      <c r="D174" s="1"/>
      <c r="E174" s="2"/>
      <c r="F174" s="1"/>
      <c r="G174" s="1"/>
      <c r="H174" s="1"/>
      <c r="I174" s="1"/>
      <c r="J174" s="1"/>
      <c r="K174" s="1"/>
      <c r="L174" s="1"/>
      <c r="M174" s="1"/>
      <c r="N174" s="1"/>
      <c r="O174" s="1"/>
      <c r="P174" s="1"/>
      <c r="Q174" s="1"/>
      <c r="R174" s="1"/>
      <c r="S174" s="1"/>
      <c r="T174" s="1"/>
      <c r="U174" s="1"/>
      <c r="V174" s="1"/>
      <c r="W174" s="1"/>
      <c r="X174" s="1"/>
      <c r="Y174" s="1"/>
      <c r="Z174" s="1"/>
    </row>
    <row r="175" spans="1:26" ht="19.5" customHeight="1">
      <c r="A175" s="1"/>
      <c r="B175" s="2"/>
      <c r="C175" s="1"/>
      <c r="D175" s="1"/>
      <c r="E175" s="2"/>
      <c r="F175" s="1"/>
      <c r="G175" s="1"/>
      <c r="H175" s="1"/>
      <c r="I175" s="1"/>
      <c r="J175" s="1"/>
      <c r="K175" s="1"/>
      <c r="L175" s="1"/>
      <c r="M175" s="1"/>
      <c r="N175" s="1"/>
      <c r="O175" s="1"/>
      <c r="P175" s="1"/>
      <c r="Q175" s="1"/>
      <c r="R175" s="1"/>
      <c r="S175" s="1"/>
      <c r="T175" s="1"/>
      <c r="U175" s="1"/>
      <c r="V175" s="1"/>
      <c r="W175" s="1"/>
      <c r="X175" s="1"/>
      <c r="Y175" s="1"/>
      <c r="Z175" s="1"/>
    </row>
    <row r="176" spans="1:26" ht="19.5" customHeight="1">
      <c r="A176" s="1"/>
      <c r="B176" s="2"/>
      <c r="C176" s="1"/>
      <c r="D176" s="1"/>
      <c r="E176" s="2"/>
      <c r="F176" s="1"/>
      <c r="G176" s="1"/>
      <c r="H176" s="1"/>
      <c r="I176" s="1"/>
      <c r="J176" s="1"/>
      <c r="K176" s="1"/>
      <c r="L176" s="1"/>
      <c r="M176" s="1"/>
      <c r="N176" s="1"/>
      <c r="O176" s="1"/>
      <c r="P176" s="1"/>
      <c r="Q176" s="1"/>
      <c r="R176" s="1"/>
      <c r="S176" s="1"/>
      <c r="T176" s="1"/>
      <c r="U176" s="1"/>
      <c r="V176" s="1"/>
      <c r="W176" s="1"/>
      <c r="X176" s="1"/>
      <c r="Y176" s="1"/>
      <c r="Z176" s="1"/>
    </row>
    <row r="177" spans="1:26" ht="19.5" customHeight="1">
      <c r="A177" s="1"/>
      <c r="B177" s="2"/>
      <c r="C177" s="1"/>
      <c r="D177" s="1"/>
      <c r="E177" s="2"/>
      <c r="F177" s="1"/>
      <c r="G177" s="1"/>
      <c r="H177" s="1"/>
      <c r="I177" s="1"/>
      <c r="J177" s="1"/>
      <c r="K177" s="1"/>
      <c r="L177" s="1"/>
      <c r="M177" s="1"/>
      <c r="N177" s="1"/>
      <c r="O177" s="1"/>
      <c r="P177" s="1"/>
      <c r="Q177" s="1"/>
      <c r="R177" s="1"/>
      <c r="S177" s="1"/>
      <c r="T177" s="1"/>
      <c r="U177" s="1"/>
      <c r="V177" s="1"/>
      <c r="W177" s="1"/>
      <c r="X177" s="1"/>
      <c r="Y177" s="1"/>
      <c r="Z177" s="1"/>
    </row>
    <row r="178" spans="1:26" ht="19.5" customHeight="1">
      <c r="A178" s="1"/>
      <c r="B178" s="2"/>
      <c r="C178" s="1"/>
      <c r="D178" s="1"/>
      <c r="E178" s="2"/>
      <c r="F178" s="1"/>
      <c r="G178" s="1"/>
      <c r="H178" s="1"/>
      <c r="I178" s="1"/>
      <c r="J178" s="1"/>
      <c r="K178" s="1"/>
      <c r="L178" s="1"/>
      <c r="M178" s="1"/>
      <c r="N178" s="1"/>
      <c r="O178" s="1"/>
      <c r="P178" s="1"/>
      <c r="Q178" s="1"/>
      <c r="R178" s="1"/>
      <c r="S178" s="1"/>
      <c r="T178" s="1"/>
      <c r="U178" s="1"/>
      <c r="V178" s="1"/>
      <c r="W178" s="1"/>
      <c r="X178" s="1"/>
      <c r="Y178" s="1"/>
      <c r="Z178" s="1"/>
    </row>
    <row r="179" spans="1:26" ht="19.5" customHeight="1">
      <c r="A179" s="1"/>
      <c r="B179" s="2"/>
      <c r="C179" s="1"/>
      <c r="D179" s="1"/>
      <c r="E179" s="2"/>
      <c r="F179" s="1"/>
      <c r="G179" s="1"/>
      <c r="H179" s="1"/>
      <c r="I179" s="1"/>
      <c r="J179" s="1"/>
      <c r="K179" s="1"/>
      <c r="L179" s="1"/>
      <c r="M179" s="1"/>
      <c r="N179" s="1"/>
      <c r="O179" s="1"/>
      <c r="P179" s="1"/>
      <c r="Q179" s="1"/>
      <c r="R179" s="1"/>
      <c r="S179" s="1"/>
      <c r="T179" s="1"/>
      <c r="U179" s="1"/>
      <c r="V179" s="1"/>
      <c r="W179" s="1"/>
      <c r="X179" s="1"/>
      <c r="Y179" s="1"/>
      <c r="Z179" s="1"/>
    </row>
    <row r="180" spans="1:26" ht="19.5" customHeight="1">
      <c r="A180" s="1"/>
      <c r="B180" s="2"/>
      <c r="C180" s="1"/>
      <c r="D180" s="1"/>
      <c r="E180" s="2"/>
      <c r="F180" s="1"/>
      <c r="G180" s="1"/>
      <c r="H180" s="1"/>
      <c r="I180" s="1"/>
      <c r="J180" s="1"/>
      <c r="K180" s="1"/>
      <c r="L180" s="1"/>
      <c r="M180" s="1"/>
      <c r="N180" s="1"/>
      <c r="O180" s="1"/>
      <c r="P180" s="1"/>
      <c r="Q180" s="1"/>
      <c r="R180" s="1"/>
      <c r="S180" s="1"/>
      <c r="T180" s="1"/>
      <c r="U180" s="1"/>
      <c r="V180" s="1"/>
      <c r="W180" s="1"/>
      <c r="X180" s="1"/>
      <c r="Y180" s="1"/>
      <c r="Z180" s="1"/>
    </row>
    <row r="181" spans="1:26" ht="19.5" customHeight="1">
      <c r="A181" s="1"/>
      <c r="B181" s="2"/>
      <c r="C181" s="1"/>
      <c r="D181" s="1"/>
      <c r="E181" s="2"/>
      <c r="F181" s="1"/>
      <c r="G181" s="1"/>
      <c r="H181" s="1"/>
      <c r="I181" s="1"/>
      <c r="J181" s="1"/>
      <c r="K181" s="1"/>
      <c r="L181" s="1"/>
      <c r="M181" s="1"/>
      <c r="N181" s="1"/>
      <c r="O181" s="1"/>
      <c r="P181" s="1"/>
      <c r="Q181" s="1"/>
      <c r="R181" s="1"/>
      <c r="S181" s="1"/>
      <c r="T181" s="1"/>
      <c r="U181" s="1"/>
      <c r="V181" s="1"/>
      <c r="W181" s="1"/>
      <c r="X181" s="1"/>
      <c r="Y181" s="1"/>
      <c r="Z181" s="1"/>
    </row>
    <row r="182" spans="1:26" ht="19.5" customHeight="1">
      <c r="A182" s="1"/>
      <c r="B182" s="2"/>
      <c r="C182" s="1"/>
      <c r="D182" s="1"/>
      <c r="E182" s="2"/>
      <c r="F182" s="1"/>
      <c r="G182" s="1"/>
      <c r="H182" s="1"/>
      <c r="I182" s="1"/>
      <c r="J182" s="1"/>
      <c r="K182" s="1"/>
      <c r="L182" s="1"/>
      <c r="M182" s="1"/>
      <c r="N182" s="1"/>
      <c r="O182" s="1"/>
      <c r="P182" s="1"/>
      <c r="Q182" s="1"/>
      <c r="R182" s="1"/>
      <c r="S182" s="1"/>
      <c r="T182" s="1"/>
      <c r="U182" s="1"/>
      <c r="V182" s="1"/>
      <c r="W182" s="1"/>
      <c r="X182" s="1"/>
      <c r="Y182" s="1"/>
      <c r="Z182" s="1"/>
    </row>
    <row r="183" spans="1:26" ht="19.5" customHeight="1">
      <c r="A183" s="1"/>
      <c r="B183" s="2"/>
      <c r="C183" s="1"/>
      <c r="D183" s="1"/>
      <c r="E183" s="2"/>
      <c r="F183" s="1"/>
      <c r="G183" s="1"/>
      <c r="H183" s="1"/>
      <c r="I183" s="1"/>
      <c r="J183" s="1"/>
      <c r="K183" s="1"/>
      <c r="L183" s="1"/>
      <c r="M183" s="1"/>
      <c r="N183" s="1"/>
      <c r="O183" s="1"/>
      <c r="P183" s="1"/>
      <c r="Q183" s="1"/>
      <c r="R183" s="1"/>
      <c r="S183" s="1"/>
      <c r="T183" s="1"/>
      <c r="U183" s="1"/>
      <c r="V183" s="1"/>
      <c r="W183" s="1"/>
      <c r="X183" s="1"/>
      <c r="Y183" s="1"/>
      <c r="Z183" s="1"/>
    </row>
    <row r="184" spans="1:26" ht="19.5" customHeight="1">
      <c r="A184" s="1"/>
      <c r="B184" s="2"/>
      <c r="C184" s="1"/>
      <c r="D184" s="1"/>
      <c r="E184" s="2"/>
      <c r="F184" s="1"/>
      <c r="G184" s="1"/>
      <c r="H184" s="1"/>
      <c r="I184" s="1"/>
      <c r="J184" s="1"/>
      <c r="K184" s="1"/>
      <c r="L184" s="1"/>
      <c r="M184" s="1"/>
      <c r="N184" s="1"/>
      <c r="O184" s="1"/>
      <c r="P184" s="1"/>
      <c r="Q184" s="1"/>
      <c r="R184" s="1"/>
      <c r="S184" s="1"/>
      <c r="T184" s="1"/>
      <c r="U184" s="1"/>
      <c r="V184" s="1"/>
      <c r="W184" s="1"/>
      <c r="X184" s="1"/>
      <c r="Y184" s="1"/>
      <c r="Z184" s="1"/>
    </row>
    <row r="185" spans="1:26" ht="19.5" customHeight="1">
      <c r="A185" s="1"/>
      <c r="B185" s="2"/>
      <c r="C185" s="1"/>
      <c r="D185" s="1"/>
      <c r="E185" s="2"/>
      <c r="F185" s="1"/>
      <c r="G185" s="1"/>
      <c r="H185" s="1"/>
      <c r="I185" s="1"/>
      <c r="J185" s="1"/>
      <c r="K185" s="1"/>
      <c r="L185" s="1"/>
      <c r="M185" s="1"/>
      <c r="N185" s="1"/>
      <c r="O185" s="1"/>
      <c r="P185" s="1"/>
      <c r="Q185" s="1"/>
      <c r="R185" s="1"/>
      <c r="S185" s="1"/>
      <c r="T185" s="1"/>
      <c r="U185" s="1"/>
      <c r="V185" s="1"/>
      <c r="W185" s="1"/>
      <c r="X185" s="1"/>
      <c r="Y185" s="1"/>
      <c r="Z185" s="1"/>
    </row>
    <row r="186" spans="1:26" ht="19.5" customHeight="1">
      <c r="A186" s="1"/>
      <c r="B186" s="2"/>
      <c r="C186" s="1"/>
      <c r="D186" s="1"/>
      <c r="E186" s="2"/>
      <c r="F186" s="1"/>
      <c r="G186" s="1"/>
      <c r="H186" s="1"/>
      <c r="I186" s="1"/>
      <c r="J186" s="1"/>
      <c r="K186" s="1"/>
      <c r="L186" s="1"/>
      <c r="M186" s="1"/>
      <c r="N186" s="1"/>
      <c r="O186" s="1"/>
      <c r="P186" s="1"/>
      <c r="Q186" s="1"/>
      <c r="R186" s="1"/>
      <c r="S186" s="1"/>
      <c r="T186" s="1"/>
      <c r="U186" s="1"/>
      <c r="V186" s="1"/>
      <c r="W186" s="1"/>
      <c r="X186" s="1"/>
      <c r="Y186" s="1"/>
      <c r="Z186" s="1"/>
    </row>
    <row r="187" spans="1:26" ht="19.5" customHeight="1">
      <c r="A187" s="1"/>
      <c r="B187" s="2"/>
      <c r="C187" s="1"/>
      <c r="D187" s="1"/>
      <c r="E187" s="2"/>
      <c r="F187" s="1"/>
      <c r="G187" s="1"/>
      <c r="H187" s="1"/>
      <c r="I187" s="1"/>
      <c r="J187" s="1"/>
      <c r="K187" s="1"/>
      <c r="L187" s="1"/>
      <c r="M187" s="1"/>
      <c r="N187" s="1"/>
      <c r="O187" s="1"/>
      <c r="P187" s="1"/>
      <c r="Q187" s="1"/>
      <c r="R187" s="1"/>
      <c r="S187" s="1"/>
      <c r="T187" s="1"/>
      <c r="U187" s="1"/>
      <c r="V187" s="1"/>
      <c r="W187" s="1"/>
      <c r="X187" s="1"/>
      <c r="Y187" s="1"/>
      <c r="Z187" s="1"/>
    </row>
    <row r="188" spans="1:26" ht="19.5" customHeight="1">
      <c r="A188" s="1"/>
      <c r="B188" s="2"/>
      <c r="C188" s="1"/>
      <c r="D188" s="1"/>
      <c r="E188" s="2"/>
      <c r="F188" s="1"/>
      <c r="G188" s="1"/>
      <c r="H188" s="1"/>
      <c r="I188" s="1"/>
      <c r="J188" s="1"/>
      <c r="K188" s="1"/>
      <c r="L188" s="1"/>
      <c r="M188" s="1"/>
      <c r="N188" s="1"/>
      <c r="O188" s="1"/>
      <c r="P188" s="1"/>
      <c r="Q188" s="1"/>
      <c r="R188" s="1"/>
      <c r="S188" s="1"/>
      <c r="T188" s="1"/>
      <c r="U188" s="1"/>
      <c r="V188" s="1"/>
      <c r="W188" s="1"/>
      <c r="X188" s="1"/>
      <c r="Y188" s="1"/>
      <c r="Z188" s="1"/>
    </row>
    <row r="189" spans="1:26" ht="19.5" customHeight="1">
      <c r="A189" s="1"/>
      <c r="B189" s="2"/>
      <c r="C189" s="1"/>
      <c r="D189" s="1"/>
      <c r="E189" s="2"/>
      <c r="F189" s="1"/>
      <c r="G189" s="1"/>
      <c r="H189" s="1"/>
      <c r="I189" s="1"/>
      <c r="J189" s="1"/>
      <c r="K189" s="1"/>
      <c r="L189" s="1"/>
      <c r="M189" s="1"/>
      <c r="N189" s="1"/>
      <c r="O189" s="1"/>
      <c r="P189" s="1"/>
      <c r="Q189" s="1"/>
      <c r="R189" s="1"/>
      <c r="S189" s="1"/>
      <c r="T189" s="1"/>
      <c r="U189" s="1"/>
      <c r="V189" s="1"/>
      <c r="W189" s="1"/>
      <c r="X189" s="1"/>
      <c r="Y189" s="1"/>
      <c r="Z189" s="1"/>
    </row>
    <row r="190" spans="1:26" ht="19.5" customHeight="1">
      <c r="A190" s="1"/>
      <c r="B190" s="2"/>
      <c r="C190" s="1"/>
      <c r="D190" s="1"/>
      <c r="E190" s="2"/>
      <c r="F190" s="1"/>
      <c r="G190" s="1"/>
      <c r="H190" s="1"/>
      <c r="I190" s="1"/>
      <c r="J190" s="1"/>
      <c r="K190" s="1"/>
      <c r="L190" s="1"/>
      <c r="M190" s="1"/>
      <c r="N190" s="1"/>
      <c r="O190" s="1"/>
      <c r="P190" s="1"/>
      <c r="Q190" s="1"/>
      <c r="R190" s="1"/>
      <c r="S190" s="1"/>
      <c r="T190" s="1"/>
      <c r="U190" s="1"/>
      <c r="V190" s="1"/>
      <c r="W190" s="1"/>
      <c r="X190" s="1"/>
      <c r="Y190" s="1"/>
      <c r="Z190" s="1"/>
    </row>
    <row r="191" spans="1:26" ht="19.5" customHeight="1">
      <c r="A191" s="1"/>
      <c r="B191" s="2"/>
      <c r="C191" s="1"/>
      <c r="D191" s="1"/>
      <c r="E191" s="2"/>
      <c r="F191" s="1"/>
      <c r="G191" s="1"/>
      <c r="H191" s="1"/>
      <c r="I191" s="1"/>
      <c r="J191" s="1"/>
      <c r="K191" s="1"/>
      <c r="L191" s="1"/>
      <c r="M191" s="1"/>
      <c r="N191" s="1"/>
      <c r="O191" s="1"/>
      <c r="P191" s="1"/>
      <c r="Q191" s="1"/>
      <c r="R191" s="1"/>
      <c r="S191" s="1"/>
      <c r="T191" s="1"/>
      <c r="U191" s="1"/>
      <c r="V191" s="1"/>
      <c r="W191" s="1"/>
      <c r="X191" s="1"/>
      <c r="Y191" s="1"/>
      <c r="Z191" s="1"/>
    </row>
    <row r="192" spans="1:26" ht="19.5" customHeight="1">
      <c r="A192" s="1"/>
      <c r="B192" s="2"/>
      <c r="C192" s="1"/>
      <c r="D192" s="1"/>
      <c r="E192" s="2"/>
      <c r="F192" s="1"/>
      <c r="G192" s="1"/>
      <c r="H192" s="1"/>
      <c r="I192" s="1"/>
      <c r="J192" s="1"/>
      <c r="K192" s="1"/>
      <c r="L192" s="1"/>
      <c r="M192" s="1"/>
      <c r="N192" s="1"/>
      <c r="O192" s="1"/>
      <c r="P192" s="1"/>
      <c r="Q192" s="1"/>
      <c r="R192" s="1"/>
      <c r="S192" s="1"/>
      <c r="T192" s="1"/>
      <c r="U192" s="1"/>
      <c r="V192" s="1"/>
      <c r="W192" s="1"/>
      <c r="X192" s="1"/>
      <c r="Y192" s="1"/>
      <c r="Z192" s="1"/>
    </row>
    <row r="193" spans="1:26" ht="19.5" customHeight="1">
      <c r="A193" s="1"/>
      <c r="B193" s="2"/>
      <c r="C193" s="1"/>
      <c r="D193" s="1"/>
      <c r="E193" s="2"/>
      <c r="F193" s="1"/>
      <c r="G193" s="1"/>
      <c r="H193" s="1"/>
      <c r="I193" s="1"/>
      <c r="J193" s="1"/>
      <c r="K193" s="1"/>
      <c r="L193" s="1"/>
      <c r="M193" s="1"/>
      <c r="N193" s="1"/>
      <c r="O193" s="1"/>
      <c r="P193" s="1"/>
      <c r="Q193" s="1"/>
      <c r="R193" s="1"/>
      <c r="S193" s="1"/>
      <c r="T193" s="1"/>
      <c r="U193" s="1"/>
      <c r="V193" s="1"/>
      <c r="W193" s="1"/>
      <c r="X193" s="1"/>
      <c r="Y193" s="1"/>
      <c r="Z193" s="1"/>
    </row>
    <row r="194" spans="1:26" ht="19.5" customHeight="1">
      <c r="A194" s="1"/>
      <c r="B194" s="2"/>
      <c r="C194" s="1"/>
      <c r="D194" s="1"/>
      <c r="E194" s="2"/>
      <c r="F194" s="1"/>
      <c r="G194" s="1"/>
      <c r="H194" s="1"/>
      <c r="I194" s="1"/>
      <c r="J194" s="1"/>
      <c r="K194" s="1"/>
      <c r="L194" s="1"/>
      <c r="M194" s="1"/>
      <c r="N194" s="1"/>
      <c r="O194" s="1"/>
      <c r="P194" s="1"/>
      <c r="Q194" s="1"/>
      <c r="R194" s="1"/>
      <c r="S194" s="1"/>
      <c r="T194" s="1"/>
      <c r="U194" s="1"/>
      <c r="V194" s="1"/>
      <c r="W194" s="1"/>
      <c r="X194" s="1"/>
      <c r="Y194" s="1"/>
      <c r="Z194" s="1"/>
    </row>
    <row r="195" spans="1:26" ht="19.5" customHeight="1">
      <c r="A195" s="1"/>
      <c r="B195" s="2"/>
      <c r="C195" s="1"/>
      <c r="D195" s="1"/>
      <c r="E195" s="2"/>
      <c r="F195" s="1"/>
      <c r="G195" s="1"/>
      <c r="H195" s="1"/>
      <c r="I195" s="1"/>
      <c r="J195" s="1"/>
      <c r="K195" s="1"/>
      <c r="L195" s="1"/>
      <c r="M195" s="1"/>
      <c r="N195" s="1"/>
      <c r="O195" s="1"/>
      <c r="P195" s="1"/>
      <c r="Q195" s="1"/>
      <c r="R195" s="1"/>
      <c r="S195" s="1"/>
      <c r="T195" s="1"/>
      <c r="U195" s="1"/>
      <c r="V195" s="1"/>
      <c r="W195" s="1"/>
      <c r="X195" s="1"/>
      <c r="Y195" s="1"/>
      <c r="Z195" s="1"/>
    </row>
    <row r="196" spans="1:26" ht="19.5" customHeight="1">
      <c r="A196" s="1"/>
      <c r="B196" s="2"/>
      <c r="C196" s="1"/>
      <c r="D196" s="1"/>
      <c r="E196" s="2"/>
      <c r="F196" s="1"/>
      <c r="G196" s="1"/>
      <c r="H196" s="1"/>
      <c r="I196" s="1"/>
      <c r="J196" s="1"/>
      <c r="K196" s="1"/>
      <c r="L196" s="1"/>
      <c r="M196" s="1"/>
      <c r="N196" s="1"/>
      <c r="O196" s="1"/>
      <c r="P196" s="1"/>
      <c r="Q196" s="1"/>
      <c r="R196" s="1"/>
      <c r="S196" s="1"/>
      <c r="T196" s="1"/>
      <c r="U196" s="1"/>
      <c r="V196" s="1"/>
      <c r="W196" s="1"/>
      <c r="X196" s="1"/>
      <c r="Y196" s="1"/>
      <c r="Z196" s="1"/>
    </row>
    <row r="197" spans="1:26" ht="19.5" customHeight="1">
      <c r="A197" s="1"/>
      <c r="B197" s="2"/>
      <c r="C197" s="1"/>
      <c r="D197" s="1"/>
      <c r="E197" s="2"/>
      <c r="F197" s="1"/>
      <c r="G197" s="1"/>
      <c r="H197" s="1"/>
      <c r="I197" s="1"/>
      <c r="J197" s="1"/>
      <c r="K197" s="1"/>
      <c r="L197" s="1"/>
      <c r="M197" s="1"/>
      <c r="N197" s="1"/>
      <c r="O197" s="1"/>
      <c r="P197" s="1"/>
      <c r="Q197" s="1"/>
      <c r="R197" s="1"/>
      <c r="S197" s="1"/>
      <c r="T197" s="1"/>
      <c r="U197" s="1"/>
      <c r="V197" s="1"/>
      <c r="W197" s="1"/>
      <c r="X197" s="1"/>
      <c r="Y197" s="1"/>
      <c r="Z197" s="1"/>
    </row>
    <row r="198" spans="1:26" ht="19.5" customHeight="1">
      <c r="A198" s="1"/>
      <c r="B198" s="2"/>
      <c r="C198" s="1"/>
      <c r="D198" s="1"/>
      <c r="E198" s="2"/>
      <c r="F198" s="1"/>
      <c r="G198" s="1"/>
      <c r="H198" s="1"/>
      <c r="I198" s="1"/>
      <c r="J198" s="1"/>
      <c r="K198" s="1"/>
      <c r="L198" s="1"/>
      <c r="M198" s="1"/>
      <c r="N198" s="1"/>
      <c r="O198" s="1"/>
      <c r="P198" s="1"/>
      <c r="Q198" s="1"/>
      <c r="R198" s="1"/>
      <c r="S198" s="1"/>
      <c r="T198" s="1"/>
      <c r="U198" s="1"/>
      <c r="V198" s="1"/>
      <c r="W198" s="1"/>
      <c r="X198" s="1"/>
      <c r="Y198" s="1"/>
      <c r="Z198" s="1"/>
    </row>
    <row r="199" spans="1:26" ht="19.5" customHeight="1">
      <c r="A199" s="1"/>
      <c r="B199" s="2"/>
      <c r="C199" s="1"/>
      <c r="D199" s="1"/>
      <c r="E199" s="2"/>
      <c r="F199" s="1"/>
      <c r="G199" s="1"/>
      <c r="H199" s="1"/>
      <c r="I199" s="1"/>
      <c r="J199" s="1"/>
      <c r="K199" s="1"/>
      <c r="L199" s="1"/>
      <c r="M199" s="1"/>
      <c r="N199" s="1"/>
      <c r="O199" s="1"/>
      <c r="P199" s="1"/>
      <c r="Q199" s="1"/>
      <c r="R199" s="1"/>
      <c r="S199" s="1"/>
      <c r="T199" s="1"/>
      <c r="U199" s="1"/>
      <c r="V199" s="1"/>
      <c r="W199" s="1"/>
      <c r="X199" s="1"/>
      <c r="Y199" s="1"/>
      <c r="Z199" s="1"/>
    </row>
    <row r="200" spans="1:26" ht="19.5" customHeight="1">
      <c r="A200" s="1"/>
      <c r="B200" s="2"/>
      <c r="C200" s="1"/>
      <c r="D200" s="1"/>
      <c r="E200" s="2"/>
      <c r="F200" s="1"/>
      <c r="G200" s="1"/>
      <c r="H200" s="1"/>
      <c r="I200" s="1"/>
      <c r="J200" s="1"/>
      <c r="K200" s="1"/>
      <c r="L200" s="1"/>
      <c r="M200" s="1"/>
      <c r="N200" s="1"/>
      <c r="O200" s="1"/>
      <c r="P200" s="1"/>
      <c r="Q200" s="1"/>
      <c r="R200" s="1"/>
      <c r="S200" s="1"/>
      <c r="T200" s="1"/>
      <c r="U200" s="1"/>
      <c r="V200" s="1"/>
      <c r="W200" s="1"/>
      <c r="X200" s="1"/>
      <c r="Y200" s="1"/>
      <c r="Z200" s="1"/>
    </row>
    <row r="201" spans="1:26" ht="19.5" customHeight="1">
      <c r="A201" s="1"/>
      <c r="B201" s="2"/>
      <c r="C201" s="1"/>
      <c r="D201" s="1"/>
      <c r="E201" s="2"/>
      <c r="F201" s="1"/>
      <c r="G201" s="1"/>
      <c r="H201" s="1"/>
      <c r="I201" s="1"/>
      <c r="J201" s="1"/>
      <c r="K201" s="1"/>
      <c r="L201" s="1"/>
      <c r="M201" s="1"/>
      <c r="N201" s="1"/>
      <c r="O201" s="1"/>
      <c r="P201" s="1"/>
      <c r="Q201" s="1"/>
      <c r="R201" s="1"/>
      <c r="S201" s="1"/>
      <c r="T201" s="1"/>
      <c r="U201" s="1"/>
      <c r="V201" s="1"/>
      <c r="W201" s="1"/>
      <c r="X201" s="1"/>
      <c r="Y201" s="1"/>
      <c r="Z201" s="1"/>
    </row>
    <row r="202" spans="1:26" ht="19.5" customHeight="1">
      <c r="A202" s="1"/>
      <c r="B202" s="2"/>
      <c r="C202" s="1"/>
      <c r="D202" s="1"/>
      <c r="E202" s="2"/>
      <c r="F202" s="1"/>
      <c r="G202" s="1"/>
      <c r="H202" s="1"/>
      <c r="I202" s="1"/>
      <c r="J202" s="1"/>
      <c r="K202" s="1"/>
      <c r="L202" s="1"/>
      <c r="M202" s="1"/>
      <c r="N202" s="1"/>
      <c r="O202" s="1"/>
      <c r="P202" s="1"/>
      <c r="Q202" s="1"/>
      <c r="R202" s="1"/>
      <c r="S202" s="1"/>
      <c r="T202" s="1"/>
      <c r="U202" s="1"/>
      <c r="V202" s="1"/>
      <c r="W202" s="1"/>
      <c r="X202" s="1"/>
      <c r="Y202" s="1"/>
      <c r="Z202" s="1"/>
    </row>
    <row r="203" spans="1:26" ht="19.5" customHeight="1">
      <c r="A203" s="1"/>
      <c r="B203" s="2"/>
      <c r="C203" s="1"/>
      <c r="D203" s="1"/>
      <c r="E203" s="2"/>
      <c r="F203" s="1"/>
      <c r="G203" s="1"/>
      <c r="H203" s="1"/>
      <c r="I203" s="1"/>
      <c r="J203" s="1"/>
      <c r="K203" s="1"/>
      <c r="L203" s="1"/>
      <c r="M203" s="1"/>
      <c r="N203" s="1"/>
      <c r="O203" s="1"/>
      <c r="P203" s="1"/>
      <c r="Q203" s="1"/>
      <c r="R203" s="1"/>
      <c r="S203" s="1"/>
      <c r="T203" s="1"/>
      <c r="U203" s="1"/>
      <c r="V203" s="1"/>
      <c r="W203" s="1"/>
      <c r="X203" s="1"/>
      <c r="Y203" s="1"/>
      <c r="Z203" s="1"/>
    </row>
    <row r="204" spans="1:26" ht="19.5" customHeight="1">
      <c r="A204" s="1"/>
      <c r="B204" s="2"/>
      <c r="C204" s="1"/>
      <c r="D204" s="1"/>
      <c r="E204" s="2"/>
      <c r="F204" s="1"/>
      <c r="G204" s="1"/>
      <c r="H204" s="1"/>
      <c r="I204" s="1"/>
      <c r="J204" s="1"/>
      <c r="K204" s="1"/>
      <c r="L204" s="1"/>
      <c r="M204" s="1"/>
      <c r="N204" s="1"/>
      <c r="O204" s="1"/>
      <c r="P204" s="1"/>
      <c r="Q204" s="1"/>
      <c r="R204" s="1"/>
      <c r="S204" s="1"/>
      <c r="T204" s="1"/>
      <c r="U204" s="1"/>
      <c r="V204" s="1"/>
      <c r="W204" s="1"/>
      <c r="X204" s="1"/>
      <c r="Y204" s="1"/>
      <c r="Z204" s="1"/>
    </row>
    <row r="205" spans="1:26" ht="19.5" customHeight="1">
      <c r="A205" s="1"/>
      <c r="B205" s="2"/>
      <c r="C205" s="1"/>
      <c r="D205" s="1"/>
      <c r="E205" s="2"/>
      <c r="F205" s="1"/>
      <c r="G205" s="1"/>
      <c r="H205" s="1"/>
      <c r="I205" s="1"/>
      <c r="J205" s="1"/>
      <c r="K205" s="1"/>
      <c r="L205" s="1"/>
      <c r="M205" s="1"/>
      <c r="N205" s="1"/>
      <c r="O205" s="1"/>
      <c r="P205" s="1"/>
      <c r="Q205" s="1"/>
      <c r="R205" s="1"/>
      <c r="S205" s="1"/>
      <c r="T205" s="1"/>
      <c r="U205" s="1"/>
      <c r="V205" s="1"/>
      <c r="W205" s="1"/>
      <c r="X205" s="1"/>
      <c r="Y205" s="1"/>
      <c r="Z205" s="1"/>
    </row>
    <row r="206" spans="1:26" ht="19.5" customHeight="1">
      <c r="A206" s="1"/>
      <c r="B206" s="2"/>
      <c r="C206" s="1"/>
      <c r="D206" s="1"/>
      <c r="E206" s="2"/>
      <c r="F206" s="1"/>
      <c r="G206" s="1"/>
      <c r="H206" s="1"/>
      <c r="I206" s="1"/>
      <c r="J206" s="1"/>
      <c r="K206" s="1"/>
      <c r="L206" s="1"/>
      <c r="M206" s="1"/>
      <c r="N206" s="1"/>
      <c r="O206" s="1"/>
      <c r="P206" s="1"/>
      <c r="Q206" s="1"/>
      <c r="R206" s="1"/>
      <c r="S206" s="1"/>
      <c r="T206" s="1"/>
      <c r="U206" s="1"/>
      <c r="V206" s="1"/>
      <c r="W206" s="1"/>
      <c r="X206" s="1"/>
      <c r="Y206" s="1"/>
      <c r="Z206" s="1"/>
    </row>
    <row r="207" spans="1:26" ht="19.5" customHeight="1">
      <c r="A207" s="1"/>
      <c r="B207" s="2"/>
      <c r="C207" s="1"/>
      <c r="D207" s="1"/>
      <c r="E207" s="2"/>
      <c r="F207" s="1"/>
      <c r="G207" s="1"/>
      <c r="H207" s="1"/>
      <c r="I207" s="1"/>
      <c r="J207" s="1"/>
      <c r="K207" s="1"/>
      <c r="L207" s="1"/>
      <c r="M207" s="1"/>
      <c r="N207" s="1"/>
      <c r="O207" s="1"/>
      <c r="P207" s="1"/>
      <c r="Q207" s="1"/>
      <c r="R207" s="1"/>
      <c r="S207" s="1"/>
      <c r="T207" s="1"/>
      <c r="U207" s="1"/>
      <c r="V207" s="1"/>
      <c r="W207" s="1"/>
      <c r="X207" s="1"/>
      <c r="Y207" s="1"/>
      <c r="Z207" s="1"/>
    </row>
    <row r="208" spans="1:26" ht="19.5" customHeight="1">
      <c r="A208" s="1"/>
      <c r="B208" s="2"/>
      <c r="C208" s="1"/>
      <c r="D208" s="1"/>
      <c r="E208" s="2"/>
      <c r="F208" s="1"/>
      <c r="G208" s="1"/>
      <c r="H208" s="1"/>
      <c r="I208" s="1"/>
      <c r="J208" s="1"/>
      <c r="K208" s="1"/>
      <c r="L208" s="1"/>
      <c r="M208" s="1"/>
      <c r="N208" s="1"/>
      <c r="O208" s="1"/>
      <c r="P208" s="1"/>
      <c r="Q208" s="1"/>
      <c r="R208" s="1"/>
      <c r="S208" s="1"/>
      <c r="T208" s="1"/>
      <c r="U208" s="1"/>
      <c r="V208" s="1"/>
      <c r="W208" s="1"/>
      <c r="X208" s="1"/>
      <c r="Y208" s="1"/>
      <c r="Z208" s="1"/>
    </row>
    <row r="209" spans="1:26" ht="19.5" customHeight="1">
      <c r="A209" s="1"/>
      <c r="B209" s="2"/>
      <c r="C209" s="1"/>
      <c r="D209" s="1"/>
      <c r="E209" s="2"/>
      <c r="F209" s="1"/>
      <c r="G209" s="1"/>
      <c r="H209" s="1"/>
      <c r="I209" s="1"/>
      <c r="J209" s="1"/>
      <c r="K209" s="1"/>
      <c r="L209" s="1"/>
      <c r="M209" s="1"/>
      <c r="N209" s="1"/>
      <c r="O209" s="1"/>
      <c r="P209" s="1"/>
      <c r="Q209" s="1"/>
      <c r="R209" s="1"/>
      <c r="S209" s="1"/>
      <c r="T209" s="1"/>
      <c r="U209" s="1"/>
      <c r="V209" s="1"/>
      <c r="W209" s="1"/>
      <c r="X209" s="1"/>
      <c r="Y209" s="1"/>
      <c r="Z209" s="1"/>
    </row>
    <row r="210" spans="1:26" ht="19.5" customHeight="1">
      <c r="A210" s="1"/>
      <c r="B210" s="2"/>
      <c r="C210" s="1"/>
      <c r="D210" s="1"/>
      <c r="E210" s="2"/>
      <c r="F210" s="1"/>
      <c r="G210" s="1"/>
      <c r="H210" s="1"/>
      <c r="I210" s="1"/>
      <c r="J210" s="1"/>
      <c r="K210" s="1"/>
      <c r="L210" s="1"/>
      <c r="M210" s="1"/>
      <c r="N210" s="1"/>
      <c r="O210" s="1"/>
      <c r="P210" s="1"/>
      <c r="Q210" s="1"/>
      <c r="R210" s="1"/>
      <c r="S210" s="1"/>
      <c r="T210" s="1"/>
      <c r="U210" s="1"/>
      <c r="V210" s="1"/>
      <c r="W210" s="1"/>
      <c r="X210" s="1"/>
      <c r="Y210" s="1"/>
      <c r="Z210" s="1"/>
    </row>
    <row r="211" spans="1:26" ht="19.5" customHeight="1">
      <c r="A211" s="1"/>
      <c r="B211" s="2"/>
      <c r="C211" s="1"/>
      <c r="D211" s="1"/>
      <c r="E211" s="2"/>
      <c r="F211" s="1"/>
      <c r="G211" s="1"/>
      <c r="H211" s="1"/>
      <c r="I211" s="1"/>
      <c r="J211" s="1"/>
      <c r="K211" s="1"/>
      <c r="L211" s="1"/>
      <c r="M211" s="1"/>
      <c r="N211" s="1"/>
      <c r="O211" s="1"/>
      <c r="P211" s="1"/>
      <c r="Q211" s="1"/>
      <c r="R211" s="1"/>
      <c r="S211" s="1"/>
      <c r="T211" s="1"/>
      <c r="U211" s="1"/>
      <c r="V211" s="1"/>
      <c r="W211" s="1"/>
      <c r="X211" s="1"/>
      <c r="Y211" s="1"/>
      <c r="Z211" s="1"/>
    </row>
    <row r="212" spans="1:26" ht="19.5" customHeight="1">
      <c r="A212" s="1"/>
      <c r="B212" s="2"/>
      <c r="C212" s="1"/>
      <c r="D212" s="1"/>
      <c r="E212" s="2"/>
      <c r="F212" s="1"/>
      <c r="G212" s="1"/>
      <c r="H212" s="1"/>
      <c r="I212" s="1"/>
      <c r="J212" s="1"/>
      <c r="K212" s="1"/>
      <c r="L212" s="1"/>
      <c r="M212" s="1"/>
      <c r="N212" s="1"/>
      <c r="O212" s="1"/>
      <c r="P212" s="1"/>
      <c r="Q212" s="1"/>
      <c r="R212" s="1"/>
      <c r="S212" s="1"/>
      <c r="T212" s="1"/>
      <c r="U212" s="1"/>
      <c r="V212" s="1"/>
      <c r="W212" s="1"/>
      <c r="X212" s="1"/>
      <c r="Y212" s="1"/>
      <c r="Z212" s="1"/>
    </row>
    <row r="213" spans="1:26" ht="19.5" customHeight="1">
      <c r="A213" s="1"/>
      <c r="B213" s="2"/>
      <c r="C213" s="1"/>
      <c r="D213" s="1"/>
      <c r="E213" s="2"/>
      <c r="F213" s="1"/>
      <c r="G213" s="1"/>
      <c r="H213" s="1"/>
      <c r="I213" s="1"/>
      <c r="J213" s="1"/>
      <c r="K213" s="1"/>
      <c r="L213" s="1"/>
      <c r="M213" s="1"/>
      <c r="N213" s="1"/>
      <c r="O213" s="1"/>
      <c r="P213" s="1"/>
      <c r="Q213" s="1"/>
      <c r="R213" s="1"/>
      <c r="S213" s="1"/>
      <c r="T213" s="1"/>
      <c r="U213" s="1"/>
      <c r="V213" s="1"/>
      <c r="W213" s="1"/>
      <c r="X213" s="1"/>
      <c r="Y213" s="1"/>
      <c r="Z213" s="1"/>
    </row>
    <row r="214" spans="1:26" ht="19.5" customHeight="1">
      <c r="A214" s="1"/>
      <c r="B214" s="2"/>
      <c r="C214" s="1"/>
      <c r="D214" s="1"/>
      <c r="E214" s="2"/>
      <c r="F214" s="1"/>
      <c r="G214" s="1"/>
      <c r="H214" s="1"/>
      <c r="I214" s="1"/>
      <c r="J214" s="1"/>
      <c r="K214" s="1"/>
      <c r="L214" s="1"/>
      <c r="M214" s="1"/>
      <c r="N214" s="1"/>
      <c r="O214" s="1"/>
      <c r="P214" s="1"/>
      <c r="Q214" s="1"/>
      <c r="R214" s="1"/>
      <c r="S214" s="1"/>
      <c r="T214" s="1"/>
      <c r="U214" s="1"/>
      <c r="V214" s="1"/>
      <c r="W214" s="1"/>
      <c r="X214" s="1"/>
      <c r="Y214" s="1"/>
      <c r="Z214" s="1"/>
    </row>
    <row r="215" spans="1:26" ht="19.5" customHeight="1">
      <c r="A215" s="1"/>
      <c r="B215" s="2"/>
      <c r="C215" s="1"/>
      <c r="D215" s="1"/>
      <c r="E215" s="2"/>
      <c r="F215" s="1"/>
      <c r="G215" s="1"/>
      <c r="H215" s="1"/>
      <c r="I215" s="1"/>
      <c r="J215" s="1"/>
      <c r="K215" s="1"/>
      <c r="L215" s="1"/>
      <c r="M215" s="1"/>
      <c r="N215" s="1"/>
      <c r="O215" s="1"/>
      <c r="P215" s="1"/>
      <c r="Q215" s="1"/>
      <c r="R215" s="1"/>
      <c r="S215" s="1"/>
      <c r="T215" s="1"/>
      <c r="U215" s="1"/>
      <c r="V215" s="1"/>
      <c r="W215" s="1"/>
      <c r="X215" s="1"/>
      <c r="Y215" s="1"/>
      <c r="Z215" s="1"/>
    </row>
    <row r="216" spans="1:26" ht="19.5" customHeight="1">
      <c r="A216" s="1"/>
      <c r="B216" s="2"/>
      <c r="C216" s="1"/>
      <c r="D216" s="1"/>
      <c r="E216" s="2"/>
      <c r="F216" s="1"/>
      <c r="G216" s="1"/>
      <c r="H216" s="1"/>
      <c r="I216" s="1"/>
      <c r="J216" s="1"/>
      <c r="K216" s="1"/>
      <c r="L216" s="1"/>
      <c r="M216" s="1"/>
      <c r="N216" s="1"/>
      <c r="O216" s="1"/>
      <c r="P216" s="1"/>
      <c r="Q216" s="1"/>
      <c r="R216" s="1"/>
      <c r="S216" s="1"/>
      <c r="T216" s="1"/>
      <c r="U216" s="1"/>
      <c r="V216" s="1"/>
      <c r="W216" s="1"/>
      <c r="X216" s="1"/>
      <c r="Y216" s="1"/>
      <c r="Z216" s="1"/>
    </row>
    <row r="217" spans="1:26" ht="19.5" customHeight="1">
      <c r="A217" s="1"/>
      <c r="B217" s="2"/>
      <c r="C217" s="1"/>
      <c r="D217" s="1"/>
      <c r="E217" s="2"/>
      <c r="F217" s="1"/>
      <c r="G217" s="1"/>
      <c r="H217" s="1"/>
      <c r="I217" s="1"/>
      <c r="J217" s="1"/>
      <c r="K217" s="1"/>
      <c r="L217" s="1"/>
      <c r="M217" s="1"/>
      <c r="N217" s="1"/>
      <c r="O217" s="1"/>
      <c r="P217" s="1"/>
      <c r="Q217" s="1"/>
      <c r="R217" s="1"/>
      <c r="S217" s="1"/>
      <c r="T217" s="1"/>
      <c r="U217" s="1"/>
      <c r="V217" s="1"/>
      <c r="W217" s="1"/>
      <c r="X217" s="1"/>
      <c r="Y217" s="1"/>
      <c r="Z217" s="1"/>
    </row>
    <row r="218" spans="1:26" ht="19.5" customHeight="1">
      <c r="A218" s="1"/>
      <c r="B218" s="2"/>
      <c r="C218" s="1"/>
      <c r="D218" s="1"/>
      <c r="E218" s="2"/>
      <c r="F218" s="1"/>
      <c r="G218" s="1"/>
      <c r="H218" s="1"/>
      <c r="I218" s="1"/>
      <c r="J218" s="1"/>
      <c r="K218" s="1"/>
      <c r="L218" s="1"/>
      <c r="M218" s="1"/>
      <c r="N218" s="1"/>
      <c r="O218" s="1"/>
      <c r="P218" s="1"/>
      <c r="Q218" s="1"/>
      <c r="R218" s="1"/>
      <c r="S218" s="1"/>
      <c r="T218" s="1"/>
      <c r="U218" s="1"/>
      <c r="V218" s="1"/>
      <c r="W218" s="1"/>
      <c r="X218" s="1"/>
      <c r="Y218" s="1"/>
      <c r="Z218" s="1"/>
    </row>
    <row r="219" spans="1:26" ht="19.5" customHeight="1">
      <c r="A219" s="1"/>
      <c r="B219" s="2"/>
      <c r="C219" s="1"/>
      <c r="D219" s="1"/>
      <c r="E219" s="2"/>
      <c r="F219" s="1"/>
      <c r="G219" s="1"/>
      <c r="H219" s="1"/>
      <c r="I219" s="1"/>
      <c r="J219" s="1"/>
      <c r="K219" s="1"/>
      <c r="L219" s="1"/>
      <c r="M219" s="1"/>
      <c r="N219" s="1"/>
      <c r="O219" s="1"/>
      <c r="P219" s="1"/>
      <c r="Q219" s="1"/>
      <c r="R219" s="1"/>
      <c r="S219" s="1"/>
      <c r="T219" s="1"/>
      <c r="U219" s="1"/>
      <c r="V219" s="1"/>
      <c r="W219" s="1"/>
      <c r="X219" s="1"/>
      <c r="Y219" s="1"/>
      <c r="Z219" s="1"/>
    </row>
    <row r="220" spans="1:26" ht="19.5" customHeight="1">
      <c r="A220" s="1"/>
      <c r="B220" s="2"/>
      <c r="C220" s="1"/>
      <c r="D220" s="1"/>
      <c r="E220" s="2"/>
      <c r="F220" s="1"/>
      <c r="G220" s="1"/>
      <c r="H220" s="1"/>
      <c r="I220" s="1"/>
      <c r="J220" s="1"/>
      <c r="K220" s="1"/>
      <c r="L220" s="1"/>
      <c r="M220" s="1"/>
      <c r="N220" s="1"/>
      <c r="O220" s="1"/>
      <c r="P220" s="1"/>
      <c r="Q220" s="1"/>
      <c r="R220" s="1"/>
      <c r="S220" s="1"/>
      <c r="T220" s="1"/>
      <c r="U220" s="1"/>
      <c r="V220" s="1"/>
      <c r="W220" s="1"/>
      <c r="X220" s="1"/>
      <c r="Y220" s="1"/>
      <c r="Z220" s="1"/>
    </row>
    <row r="221" spans="1:26" ht="19.5" customHeight="1">
      <c r="A221" s="1"/>
      <c r="B221" s="2"/>
      <c r="C221" s="1"/>
      <c r="D221" s="1"/>
      <c r="E221" s="2"/>
      <c r="F221" s="1"/>
      <c r="G221" s="1"/>
      <c r="H221" s="1"/>
      <c r="I221" s="1"/>
      <c r="J221" s="1"/>
      <c r="K221" s="1"/>
      <c r="L221" s="1"/>
      <c r="M221" s="1"/>
      <c r="N221" s="1"/>
      <c r="O221" s="1"/>
      <c r="P221" s="1"/>
      <c r="Q221" s="1"/>
      <c r="R221" s="1"/>
      <c r="S221" s="1"/>
      <c r="T221" s="1"/>
      <c r="U221" s="1"/>
      <c r="V221" s="1"/>
      <c r="W221" s="1"/>
      <c r="X221" s="1"/>
      <c r="Y221" s="1"/>
      <c r="Z221" s="1"/>
    </row>
    <row r="222" spans="1:26" ht="19.5" customHeight="1">
      <c r="A222" s="1"/>
      <c r="B222" s="2"/>
      <c r="C222" s="1"/>
      <c r="D222" s="1"/>
      <c r="E222" s="2"/>
      <c r="F222" s="1"/>
      <c r="G222" s="1"/>
      <c r="H222" s="1"/>
      <c r="I222" s="1"/>
      <c r="J222" s="1"/>
      <c r="K222" s="1"/>
      <c r="L222" s="1"/>
      <c r="M222" s="1"/>
      <c r="N222" s="1"/>
      <c r="O222" s="1"/>
      <c r="P222" s="1"/>
      <c r="Q222" s="1"/>
      <c r="R222" s="1"/>
      <c r="S222" s="1"/>
      <c r="T222" s="1"/>
      <c r="U222" s="1"/>
      <c r="V222" s="1"/>
      <c r="W222" s="1"/>
      <c r="X222" s="1"/>
      <c r="Y222" s="1"/>
      <c r="Z222" s="1"/>
    </row>
    <row r="223" spans="1:26" ht="19.5" customHeight="1">
      <c r="A223" s="1"/>
      <c r="B223" s="2"/>
      <c r="C223" s="1"/>
      <c r="D223" s="1"/>
      <c r="E223" s="2"/>
      <c r="F223" s="1"/>
      <c r="G223" s="1"/>
      <c r="H223" s="1"/>
      <c r="I223" s="1"/>
      <c r="J223" s="1"/>
      <c r="K223" s="1"/>
      <c r="L223" s="1"/>
      <c r="M223" s="1"/>
      <c r="N223" s="1"/>
      <c r="O223" s="1"/>
      <c r="P223" s="1"/>
      <c r="Q223" s="1"/>
      <c r="R223" s="1"/>
      <c r="S223" s="1"/>
      <c r="T223" s="1"/>
      <c r="U223" s="1"/>
      <c r="V223" s="1"/>
      <c r="W223" s="1"/>
      <c r="X223" s="1"/>
      <c r="Y223" s="1"/>
      <c r="Z223" s="1"/>
    </row>
    <row r="224" spans="1:26" ht="19.5" customHeight="1">
      <c r="A224" s="1"/>
      <c r="B224" s="2"/>
      <c r="C224" s="1"/>
      <c r="D224" s="1"/>
      <c r="E224" s="2"/>
      <c r="F224" s="1"/>
      <c r="G224" s="1"/>
      <c r="H224" s="1"/>
      <c r="I224" s="1"/>
      <c r="J224" s="1"/>
      <c r="K224" s="1"/>
      <c r="L224" s="1"/>
      <c r="M224" s="1"/>
      <c r="N224" s="1"/>
      <c r="O224" s="1"/>
      <c r="P224" s="1"/>
      <c r="Q224" s="1"/>
      <c r="R224" s="1"/>
      <c r="S224" s="1"/>
      <c r="T224" s="1"/>
      <c r="U224" s="1"/>
      <c r="V224" s="1"/>
      <c r="W224" s="1"/>
      <c r="X224" s="1"/>
      <c r="Y224" s="1"/>
      <c r="Z224" s="1"/>
    </row>
    <row r="225" spans="1:26" ht="19.5" customHeight="1">
      <c r="A225" s="1"/>
      <c r="B225" s="2"/>
      <c r="C225" s="1"/>
      <c r="D225" s="1"/>
      <c r="E225" s="2"/>
      <c r="F225" s="1"/>
      <c r="G225" s="1"/>
      <c r="H225" s="1"/>
      <c r="I225" s="1"/>
      <c r="J225" s="1"/>
      <c r="K225" s="1"/>
      <c r="L225" s="1"/>
      <c r="M225" s="1"/>
      <c r="N225" s="1"/>
      <c r="O225" s="1"/>
      <c r="P225" s="1"/>
      <c r="Q225" s="1"/>
      <c r="R225" s="1"/>
      <c r="S225" s="1"/>
      <c r="T225" s="1"/>
      <c r="U225" s="1"/>
      <c r="V225" s="1"/>
      <c r="W225" s="1"/>
      <c r="X225" s="1"/>
      <c r="Y225" s="1"/>
      <c r="Z225" s="1"/>
    </row>
    <row r="226" spans="1:26" ht="19.5" customHeight="1">
      <c r="A226" s="1"/>
      <c r="B226" s="2"/>
      <c r="C226" s="1"/>
      <c r="D226" s="1"/>
      <c r="E226" s="2"/>
      <c r="F226" s="1"/>
      <c r="G226" s="1"/>
      <c r="H226" s="1"/>
      <c r="I226" s="1"/>
      <c r="J226" s="1"/>
      <c r="K226" s="1"/>
      <c r="L226" s="1"/>
      <c r="M226" s="1"/>
      <c r="N226" s="1"/>
      <c r="O226" s="1"/>
      <c r="P226" s="1"/>
      <c r="Q226" s="1"/>
      <c r="R226" s="1"/>
      <c r="S226" s="1"/>
      <c r="T226" s="1"/>
      <c r="U226" s="1"/>
      <c r="V226" s="1"/>
      <c r="W226" s="1"/>
      <c r="X226" s="1"/>
      <c r="Y226" s="1"/>
      <c r="Z226" s="1"/>
    </row>
    <row r="227" spans="1:26" ht="19.5" customHeight="1">
      <c r="A227" s="1"/>
      <c r="B227" s="2"/>
      <c r="C227" s="1"/>
      <c r="D227" s="1"/>
      <c r="E227" s="2"/>
      <c r="F227" s="1"/>
      <c r="G227" s="1"/>
      <c r="H227" s="1"/>
      <c r="I227" s="1"/>
      <c r="J227" s="1"/>
      <c r="K227" s="1"/>
      <c r="L227" s="1"/>
      <c r="M227" s="1"/>
      <c r="N227" s="1"/>
      <c r="O227" s="1"/>
      <c r="P227" s="1"/>
      <c r="Q227" s="1"/>
      <c r="R227" s="1"/>
      <c r="S227" s="1"/>
      <c r="T227" s="1"/>
      <c r="U227" s="1"/>
      <c r="V227" s="1"/>
      <c r="W227" s="1"/>
      <c r="X227" s="1"/>
      <c r="Y227" s="1"/>
      <c r="Z227" s="1"/>
    </row>
    <row r="228" spans="1:26" ht="19.5" customHeight="1">
      <c r="A228" s="1"/>
      <c r="B228" s="2"/>
      <c r="C228" s="1"/>
      <c r="D228" s="1"/>
      <c r="E228" s="2"/>
      <c r="F228" s="1"/>
      <c r="G228" s="1"/>
      <c r="H228" s="1"/>
      <c r="I228" s="1"/>
      <c r="J228" s="1"/>
      <c r="K228" s="1"/>
      <c r="L228" s="1"/>
      <c r="M228" s="1"/>
      <c r="N228" s="1"/>
      <c r="O228" s="1"/>
      <c r="P228" s="1"/>
      <c r="Q228" s="1"/>
      <c r="R228" s="1"/>
      <c r="S228" s="1"/>
      <c r="T228" s="1"/>
      <c r="U228" s="1"/>
      <c r="V228" s="1"/>
      <c r="W228" s="1"/>
      <c r="X228" s="1"/>
      <c r="Y228" s="1"/>
      <c r="Z228" s="1"/>
    </row>
    <row r="229" spans="1:26" ht="19.5" customHeight="1">
      <c r="A229" s="1"/>
      <c r="B229" s="2"/>
      <c r="C229" s="1"/>
      <c r="D229" s="1"/>
      <c r="E229" s="2"/>
      <c r="F229" s="1"/>
      <c r="G229" s="1"/>
      <c r="H229" s="1"/>
      <c r="I229" s="1"/>
      <c r="J229" s="1"/>
      <c r="K229" s="1"/>
      <c r="L229" s="1"/>
      <c r="M229" s="1"/>
      <c r="N229" s="1"/>
      <c r="O229" s="1"/>
      <c r="P229" s="1"/>
      <c r="Q229" s="1"/>
      <c r="R229" s="1"/>
      <c r="S229" s="1"/>
      <c r="T229" s="1"/>
      <c r="U229" s="1"/>
      <c r="V229" s="1"/>
      <c r="W229" s="1"/>
      <c r="X229" s="1"/>
      <c r="Y229" s="1"/>
      <c r="Z229" s="1"/>
    </row>
    <row r="230" spans="1:26" ht="19.5" customHeight="1">
      <c r="A230" s="1"/>
      <c r="B230" s="2"/>
      <c r="C230" s="1"/>
      <c r="D230" s="1"/>
      <c r="E230" s="2"/>
      <c r="F230" s="1"/>
      <c r="G230" s="1"/>
      <c r="H230" s="1"/>
      <c r="I230" s="1"/>
      <c r="J230" s="1"/>
      <c r="K230" s="1"/>
      <c r="L230" s="1"/>
      <c r="M230" s="1"/>
      <c r="N230" s="1"/>
      <c r="O230" s="1"/>
      <c r="P230" s="1"/>
      <c r="Q230" s="1"/>
      <c r="R230" s="1"/>
      <c r="S230" s="1"/>
      <c r="T230" s="1"/>
      <c r="U230" s="1"/>
      <c r="V230" s="1"/>
      <c r="W230" s="1"/>
      <c r="X230" s="1"/>
      <c r="Y230" s="1"/>
      <c r="Z230" s="1"/>
    </row>
    <row r="231" spans="1:26" ht="19.5" customHeight="1">
      <c r="A231" s="1"/>
      <c r="B231" s="2"/>
      <c r="C231" s="1"/>
      <c r="D231" s="1"/>
      <c r="E231" s="2"/>
      <c r="F231" s="1"/>
      <c r="G231" s="1"/>
      <c r="H231" s="1"/>
      <c r="I231" s="1"/>
      <c r="J231" s="1"/>
      <c r="K231" s="1"/>
      <c r="L231" s="1"/>
      <c r="M231" s="1"/>
      <c r="N231" s="1"/>
      <c r="O231" s="1"/>
      <c r="P231" s="1"/>
      <c r="Q231" s="1"/>
      <c r="R231" s="1"/>
      <c r="S231" s="1"/>
      <c r="T231" s="1"/>
      <c r="U231" s="1"/>
      <c r="V231" s="1"/>
      <c r="W231" s="1"/>
      <c r="X231" s="1"/>
      <c r="Y231" s="1"/>
      <c r="Z231" s="1"/>
    </row>
    <row r="232" spans="1:26" ht="19.5" customHeight="1">
      <c r="A232" s="1"/>
      <c r="B232" s="2"/>
      <c r="C232" s="1"/>
      <c r="D232" s="1"/>
      <c r="E232" s="2"/>
      <c r="F232" s="1"/>
      <c r="G232" s="1"/>
      <c r="H232" s="1"/>
      <c r="I232" s="1"/>
      <c r="J232" s="1"/>
      <c r="K232" s="1"/>
      <c r="L232" s="1"/>
      <c r="M232" s="1"/>
      <c r="N232" s="1"/>
      <c r="O232" s="1"/>
      <c r="P232" s="1"/>
      <c r="Q232" s="1"/>
      <c r="R232" s="1"/>
      <c r="S232" s="1"/>
      <c r="T232" s="1"/>
      <c r="U232" s="1"/>
      <c r="V232" s="1"/>
      <c r="W232" s="1"/>
      <c r="X232" s="1"/>
      <c r="Y232" s="1"/>
      <c r="Z232" s="1"/>
    </row>
    <row r="233" spans="1:26" ht="19.5" customHeight="1">
      <c r="A233" s="1"/>
      <c r="B233" s="2"/>
      <c r="C233" s="1"/>
      <c r="D233" s="1"/>
      <c r="E233" s="2"/>
      <c r="F233" s="1"/>
      <c r="G233" s="1"/>
      <c r="H233" s="1"/>
      <c r="I233" s="1"/>
      <c r="J233" s="1"/>
      <c r="K233" s="1"/>
      <c r="L233" s="1"/>
      <c r="M233" s="1"/>
      <c r="N233" s="1"/>
      <c r="O233" s="1"/>
      <c r="P233" s="1"/>
      <c r="Q233" s="1"/>
      <c r="R233" s="1"/>
      <c r="S233" s="1"/>
      <c r="T233" s="1"/>
      <c r="U233" s="1"/>
      <c r="V233" s="1"/>
      <c r="W233" s="1"/>
      <c r="X233" s="1"/>
      <c r="Y233" s="1"/>
      <c r="Z233" s="1"/>
    </row>
    <row r="234" spans="1:26" ht="19.5" customHeight="1">
      <c r="A234" s="1"/>
      <c r="B234" s="2"/>
      <c r="C234" s="1"/>
      <c r="D234" s="1"/>
      <c r="E234" s="2"/>
      <c r="F234" s="1"/>
      <c r="G234" s="1"/>
      <c r="H234" s="1"/>
      <c r="I234" s="1"/>
      <c r="J234" s="1"/>
      <c r="K234" s="1"/>
      <c r="L234" s="1"/>
      <c r="M234" s="1"/>
      <c r="N234" s="1"/>
      <c r="O234" s="1"/>
      <c r="P234" s="1"/>
      <c r="Q234" s="1"/>
      <c r="R234" s="1"/>
      <c r="S234" s="1"/>
      <c r="T234" s="1"/>
      <c r="U234" s="1"/>
      <c r="V234" s="1"/>
      <c r="W234" s="1"/>
      <c r="X234" s="1"/>
      <c r="Y234" s="1"/>
      <c r="Z234" s="1"/>
    </row>
    <row r="235" spans="1:26" ht="19.5" customHeight="1">
      <c r="A235" s="1"/>
      <c r="B235" s="2"/>
      <c r="C235" s="1"/>
      <c r="D235" s="1"/>
      <c r="E235" s="2"/>
      <c r="F235" s="1"/>
      <c r="G235" s="1"/>
      <c r="H235" s="1"/>
      <c r="I235" s="1"/>
      <c r="J235" s="1"/>
      <c r="K235" s="1"/>
      <c r="L235" s="1"/>
      <c r="M235" s="1"/>
      <c r="N235" s="1"/>
      <c r="O235" s="1"/>
      <c r="P235" s="1"/>
      <c r="Q235" s="1"/>
      <c r="R235" s="1"/>
      <c r="S235" s="1"/>
      <c r="T235" s="1"/>
      <c r="U235" s="1"/>
      <c r="V235" s="1"/>
      <c r="W235" s="1"/>
      <c r="X235" s="1"/>
      <c r="Y235" s="1"/>
      <c r="Z235" s="1"/>
    </row>
    <row r="236" spans="1:26" ht="19.5" customHeight="1">
      <c r="A236" s="1"/>
      <c r="B236" s="2"/>
      <c r="C236" s="1"/>
      <c r="D236" s="1"/>
      <c r="E236" s="2"/>
      <c r="F236" s="1"/>
      <c r="G236" s="1"/>
      <c r="H236" s="1"/>
      <c r="I236" s="1"/>
      <c r="J236" s="1"/>
      <c r="K236" s="1"/>
      <c r="L236" s="1"/>
      <c r="M236" s="1"/>
      <c r="N236" s="1"/>
      <c r="O236" s="1"/>
      <c r="P236" s="1"/>
      <c r="Q236" s="1"/>
      <c r="R236" s="1"/>
      <c r="S236" s="1"/>
      <c r="T236" s="1"/>
      <c r="U236" s="1"/>
      <c r="V236" s="1"/>
      <c r="W236" s="1"/>
      <c r="X236" s="1"/>
      <c r="Y236" s="1"/>
      <c r="Z236" s="1"/>
    </row>
    <row r="237" spans="1:26" ht="19.5" customHeight="1">
      <c r="A237" s="1"/>
      <c r="B237" s="2"/>
      <c r="C237" s="1"/>
      <c r="D237" s="1"/>
      <c r="E237" s="2"/>
      <c r="F237" s="1"/>
      <c r="G237" s="1"/>
      <c r="H237" s="1"/>
      <c r="I237" s="1"/>
      <c r="J237" s="1"/>
      <c r="K237" s="1"/>
      <c r="L237" s="1"/>
      <c r="M237" s="1"/>
      <c r="N237" s="1"/>
      <c r="O237" s="1"/>
      <c r="P237" s="1"/>
      <c r="Q237" s="1"/>
      <c r="R237" s="1"/>
      <c r="S237" s="1"/>
      <c r="T237" s="1"/>
      <c r="U237" s="1"/>
      <c r="V237" s="1"/>
      <c r="W237" s="1"/>
      <c r="X237" s="1"/>
      <c r="Y237" s="1"/>
      <c r="Z237" s="1"/>
    </row>
    <row r="238" spans="1:26" ht="19.5" customHeight="1">
      <c r="A238" s="1"/>
      <c r="B238" s="2"/>
      <c r="C238" s="1"/>
      <c r="D238" s="1"/>
      <c r="E238" s="2"/>
      <c r="F238" s="1"/>
      <c r="G238" s="1"/>
      <c r="H238" s="1"/>
      <c r="I238" s="1"/>
      <c r="J238" s="1"/>
      <c r="K238" s="1"/>
      <c r="L238" s="1"/>
      <c r="M238" s="1"/>
      <c r="N238" s="1"/>
      <c r="O238" s="1"/>
      <c r="P238" s="1"/>
      <c r="Q238" s="1"/>
      <c r="R238" s="1"/>
      <c r="S238" s="1"/>
      <c r="T238" s="1"/>
      <c r="U238" s="1"/>
      <c r="V238" s="1"/>
      <c r="W238" s="1"/>
      <c r="X238" s="1"/>
      <c r="Y238" s="1"/>
      <c r="Z238" s="1"/>
    </row>
    <row r="239" spans="1:26" ht="19.5" customHeight="1">
      <c r="A239" s="1"/>
      <c r="B239" s="2"/>
      <c r="C239" s="1"/>
      <c r="D239" s="1"/>
      <c r="E239" s="2"/>
      <c r="F239" s="1"/>
      <c r="G239" s="1"/>
      <c r="H239" s="1"/>
      <c r="I239" s="1"/>
      <c r="J239" s="1"/>
      <c r="K239" s="1"/>
      <c r="L239" s="1"/>
      <c r="M239" s="1"/>
      <c r="N239" s="1"/>
      <c r="O239" s="1"/>
      <c r="P239" s="1"/>
      <c r="Q239" s="1"/>
      <c r="R239" s="1"/>
      <c r="S239" s="1"/>
      <c r="T239" s="1"/>
      <c r="U239" s="1"/>
      <c r="V239" s="1"/>
      <c r="W239" s="1"/>
      <c r="X239" s="1"/>
      <c r="Y239" s="1"/>
      <c r="Z239" s="1"/>
    </row>
    <row r="240" spans="1:26" ht="19.5" customHeight="1">
      <c r="A240" s="1"/>
      <c r="B240" s="2"/>
      <c r="C240" s="1"/>
      <c r="D240" s="1"/>
      <c r="E240" s="2"/>
      <c r="F240" s="1"/>
      <c r="G240" s="1"/>
      <c r="H240" s="1"/>
      <c r="I240" s="1"/>
      <c r="J240" s="1"/>
      <c r="K240" s="1"/>
      <c r="L240" s="1"/>
      <c r="M240" s="1"/>
      <c r="N240" s="1"/>
      <c r="O240" s="1"/>
      <c r="P240" s="1"/>
      <c r="Q240" s="1"/>
      <c r="R240" s="1"/>
      <c r="S240" s="1"/>
      <c r="T240" s="1"/>
      <c r="U240" s="1"/>
      <c r="V240" s="1"/>
      <c r="W240" s="1"/>
      <c r="X240" s="1"/>
      <c r="Y240" s="1"/>
      <c r="Z240" s="1"/>
    </row>
    <row r="241" spans="1:26" ht="19.5" customHeight="1">
      <c r="A241" s="1"/>
      <c r="B241" s="2"/>
      <c r="C241" s="1"/>
      <c r="D241" s="1"/>
      <c r="E241" s="2"/>
      <c r="F241" s="1"/>
      <c r="G241" s="1"/>
      <c r="H241" s="1"/>
      <c r="I241" s="1"/>
      <c r="J241" s="1"/>
      <c r="K241" s="1"/>
      <c r="L241" s="1"/>
      <c r="M241" s="1"/>
      <c r="N241" s="1"/>
      <c r="O241" s="1"/>
      <c r="P241" s="1"/>
      <c r="Q241" s="1"/>
      <c r="R241" s="1"/>
      <c r="S241" s="1"/>
      <c r="T241" s="1"/>
      <c r="U241" s="1"/>
      <c r="V241" s="1"/>
      <c r="W241" s="1"/>
      <c r="X241" s="1"/>
      <c r="Y241" s="1"/>
      <c r="Z241" s="1"/>
    </row>
    <row r="242" spans="1:26" ht="19.5" customHeight="1">
      <c r="A242" s="1"/>
      <c r="B242" s="2"/>
      <c r="C242" s="1"/>
      <c r="D242" s="1"/>
      <c r="E242" s="2"/>
      <c r="F242" s="1"/>
      <c r="G242" s="1"/>
      <c r="H242" s="1"/>
      <c r="I242" s="1"/>
      <c r="J242" s="1"/>
      <c r="K242" s="1"/>
      <c r="L242" s="1"/>
      <c r="M242" s="1"/>
      <c r="N242" s="1"/>
      <c r="O242" s="1"/>
      <c r="P242" s="1"/>
      <c r="Q242" s="1"/>
      <c r="R242" s="1"/>
      <c r="S242" s="1"/>
      <c r="T242" s="1"/>
      <c r="U242" s="1"/>
      <c r="V242" s="1"/>
      <c r="W242" s="1"/>
      <c r="X242" s="1"/>
      <c r="Y242" s="1"/>
      <c r="Z242" s="1"/>
    </row>
    <row r="243" spans="1:26" ht="19.5" customHeight="1">
      <c r="A243" s="1"/>
      <c r="B243" s="2"/>
      <c r="C243" s="1"/>
      <c r="D243" s="1"/>
      <c r="E243" s="2"/>
      <c r="F243" s="1"/>
      <c r="G243" s="1"/>
      <c r="H243" s="1"/>
      <c r="I243" s="1"/>
      <c r="J243" s="1"/>
      <c r="K243" s="1"/>
      <c r="L243" s="1"/>
      <c r="M243" s="1"/>
      <c r="N243" s="1"/>
      <c r="O243" s="1"/>
      <c r="P243" s="1"/>
      <c r="Q243" s="1"/>
      <c r="R243" s="1"/>
      <c r="S243" s="1"/>
      <c r="T243" s="1"/>
      <c r="U243" s="1"/>
      <c r="V243" s="1"/>
      <c r="W243" s="1"/>
      <c r="X243" s="1"/>
      <c r="Y243" s="1"/>
      <c r="Z243" s="1"/>
    </row>
    <row r="244" spans="1:26" ht="19.5" customHeight="1">
      <c r="A244" s="1"/>
      <c r="B244" s="2"/>
      <c r="C244" s="1"/>
      <c r="D244" s="1"/>
      <c r="E244" s="2"/>
      <c r="F244" s="1"/>
      <c r="G244" s="1"/>
      <c r="H244" s="1"/>
      <c r="I244" s="1"/>
      <c r="J244" s="1"/>
      <c r="K244" s="1"/>
      <c r="L244" s="1"/>
      <c r="M244" s="1"/>
      <c r="N244" s="1"/>
      <c r="O244" s="1"/>
      <c r="P244" s="1"/>
      <c r="Q244" s="1"/>
      <c r="R244" s="1"/>
      <c r="S244" s="1"/>
      <c r="T244" s="1"/>
      <c r="U244" s="1"/>
      <c r="V244" s="1"/>
      <c r="W244" s="1"/>
      <c r="X244" s="1"/>
      <c r="Y244" s="1"/>
      <c r="Z244" s="1"/>
    </row>
    <row r="245" spans="1:26" ht="19.5" customHeight="1">
      <c r="A245" s="1"/>
      <c r="B245" s="2"/>
      <c r="C245" s="1"/>
      <c r="D245" s="1"/>
      <c r="E245" s="2"/>
      <c r="F245" s="1"/>
      <c r="G245" s="1"/>
      <c r="H245" s="1"/>
      <c r="I245" s="1"/>
      <c r="J245" s="1"/>
      <c r="K245" s="1"/>
      <c r="L245" s="1"/>
      <c r="M245" s="1"/>
      <c r="N245" s="1"/>
      <c r="O245" s="1"/>
      <c r="P245" s="1"/>
      <c r="Q245" s="1"/>
      <c r="R245" s="1"/>
      <c r="S245" s="1"/>
      <c r="T245" s="1"/>
      <c r="U245" s="1"/>
      <c r="V245" s="1"/>
      <c r="W245" s="1"/>
      <c r="X245" s="1"/>
      <c r="Y245" s="1"/>
      <c r="Z245" s="1"/>
    </row>
    <row r="246" spans="1:26" ht="19.5" customHeight="1">
      <c r="A246" s="1"/>
      <c r="B246" s="2"/>
      <c r="C246" s="1"/>
      <c r="D246" s="1"/>
      <c r="E246" s="2"/>
      <c r="F246" s="1"/>
      <c r="G246" s="1"/>
      <c r="H246" s="1"/>
      <c r="I246" s="1"/>
      <c r="J246" s="1"/>
      <c r="K246" s="1"/>
      <c r="L246" s="1"/>
      <c r="M246" s="1"/>
      <c r="N246" s="1"/>
      <c r="O246" s="1"/>
      <c r="P246" s="1"/>
      <c r="Q246" s="1"/>
      <c r="R246" s="1"/>
      <c r="S246" s="1"/>
      <c r="T246" s="1"/>
      <c r="U246" s="1"/>
      <c r="V246" s="1"/>
      <c r="W246" s="1"/>
      <c r="X246" s="1"/>
      <c r="Y246" s="1"/>
      <c r="Z246" s="1"/>
    </row>
    <row r="247" spans="1:26" ht="19.5" customHeight="1">
      <c r="A247" s="1"/>
      <c r="B247" s="2"/>
      <c r="C247" s="1"/>
      <c r="D247" s="1"/>
      <c r="E247" s="2"/>
      <c r="F247" s="1"/>
      <c r="G247" s="1"/>
      <c r="H247" s="1"/>
      <c r="I247" s="1"/>
      <c r="J247" s="1"/>
      <c r="K247" s="1"/>
      <c r="L247" s="1"/>
      <c r="M247" s="1"/>
      <c r="N247" s="1"/>
      <c r="O247" s="1"/>
      <c r="P247" s="1"/>
      <c r="Q247" s="1"/>
      <c r="R247" s="1"/>
      <c r="S247" s="1"/>
      <c r="T247" s="1"/>
      <c r="U247" s="1"/>
      <c r="V247" s="1"/>
      <c r="W247" s="1"/>
      <c r="X247" s="1"/>
      <c r="Y247" s="1"/>
      <c r="Z247" s="1"/>
    </row>
    <row r="248" spans="1:26" ht="19.5" customHeight="1">
      <c r="A248" s="1"/>
      <c r="B248" s="2"/>
      <c r="C248" s="1"/>
      <c r="D248" s="1"/>
      <c r="E248" s="2"/>
      <c r="F248" s="1"/>
      <c r="G248" s="1"/>
      <c r="H248" s="1"/>
      <c r="I248" s="1"/>
      <c r="J248" s="1"/>
      <c r="K248" s="1"/>
      <c r="L248" s="1"/>
      <c r="M248" s="1"/>
      <c r="N248" s="1"/>
      <c r="O248" s="1"/>
      <c r="P248" s="1"/>
      <c r="Q248" s="1"/>
      <c r="R248" s="1"/>
      <c r="S248" s="1"/>
      <c r="T248" s="1"/>
      <c r="U248" s="1"/>
      <c r="V248" s="1"/>
      <c r="W248" s="1"/>
      <c r="X248" s="1"/>
      <c r="Y248" s="1"/>
      <c r="Z248" s="1"/>
    </row>
    <row r="249" spans="1:26" ht="19.5" customHeight="1">
      <c r="A249" s="1"/>
      <c r="B249" s="2"/>
      <c r="C249" s="1"/>
      <c r="D249" s="1"/>
      <c r="E249" s="2"/>
      <c r="F249" s="1"/>
      <c r="G249" s="1"/>
      <c r="H249" s="1"/>
      <c r="I249" s="1"/>
      <c r="J249" s="1"/>
      <c r="K249" s="1"/>
      <c r="L249" s="1"/>
      <c r="M249" s="1"/>
      <c r="N249" s="1"/>
      <c r="O249" s="1"/>
      <c r="P249" s="1"/>
      <c r="Q249" s="1"/>
      <c r="R249" s="1"/>
      <c r="S249" s="1"/>
      <c r="T249" s="1"/>
      <c r="U249" s="1"/>
      <c r="V249" s="1"/>
      <c r="W249" s="1"/>
      <c r="X249" s="1"/>
      <c r="Y249" s="1"/>
      <c r="Z249" s="1"/>
    </row>
    <row r="250" spans="1:26" ht="19.5" customHeight="1">
      <c r="A250" s="1"/>
      <c r="B250" s="2"/>
      <c r="C250" s="1"/>
      <c r="D250" s="1"/>
      <c r="E250" s="2"/>
      <c r="F250" s="1"/>
      <c r="G250" s="1"/>
      <c r="H250" s="1"/>
      <c r="I250" s="1"/>
      <c r="J250" s="1"/>
      <c r="K250" s="1"/>
      <c r="L250" s="1"/>
      <c r="M250" s="1"/>
      <c r="N250" s="1"/>
      <c r="O250" s="1"/>
      <c r="P250" s="1"/>
      <c r="Q250" s="1"/>
      <c r="R250" s="1"/>
      <c r="S250" s="1"/>
      <c r="T250" s="1"/>
      <c r="U250" s="1"/>
      <c r="V250" s="1"/>
      <c r="W250" s="1"/>
      <c r="X250" s="1"/>
      <c r="Y250" s="1"/>
      <c r="Z250" s="1"/>
    </row>
    <row r="251" spans="1:26" ht="19.5" customHeight="1">
      <c r="A251" s="1"/>
      <c r="B251" s="2"/>
      <c r="C251" s="1"/>
      <c r="D251" s="1"/>
      <c r="E251" s="2"/>
      <c r="F251" s="1"/>
      <c r="G251" s="1"/>
      <c r="H251" s="1"/>
      <c r="I251" s="1"/>
      <c r="J251" s="1"/>
      <c r="K251" s="1"/>
      <c r="L251" s="1"/>
      <c r="M251" s="1"/>
      <c r="N251" s="1"/>
      <c r="O251" s="1"/>
      <c r="P251" s="1"/>
      <c r="Q251" s="1"/>
      <c r="R251" s="1"/>
      <c r="S251" s="1"/>
      <c r="T251" s="1"/>
      <c r="U251" s="1"/>
      <c r="V251" s="1"/>
      <c r="W251" s="1"/>
      <c r="X251" s="1"/>
      <c r="Y251" s="1"/>
      <c r="Z251" s="1"/>
    </row>
    <row r="252" spans="1:26" ht="19.5" customHeight="1">
      <c r="A252" s="1"/>
      <c r="B252" s="2"/>
      <c r="C252" s="1"/>
      <c r="D252" s="1"/>
      <c r="E252" s="2"/>
      <c r="F252" s="1"/>
      <c r="G252" s="1"/>
      <c r="H252" s="1"/>
      <c r="I252" s="1"/>
      <c r="J252" s="1"/>
      <c r="K252" s="1"/>
      <c r="L252" s="1"/>
      <c r="M252" s="1"/>
      <c r="N252" s="1"/>
      <c r="O252" s="1"/>
      <c r="P252" s="1"/>
      <c r="Q252" s="1"/>
      <c r="R252" s="1"/>
      <c r="S252" s="1"/>
      <c r="T252" s="1"/>
      <c r="U252" s="1"/>
      <c r="V252" s="1"/>
      <c r="W252" s="1"/>
      <c r="X252" s="1"/>
      <c r="Y252" s="1"/>
      <c r="Z252" s="1"/>
    </row>
    <row r="253" spans="1:26" ht="19.5" customHeight="1">
      <c r="A253" s="1"/>
      <c r="B253" s="2"/>
      <c r="C253" s="1"/>
      <c r="D253" s="1"/>
      <c r="E253" s="2"/>
      <c r="F253" s="1"/>
      <c r="G253" s="1"/>
      <c r="H253" s="1"/>
      <c r="I253" s="1"/>
      <c r="J253" s="1"/>
      <c r="K253" s="1"/>
      <c r="L253" s="1"/>
      <c r="M253" s="1"/>
      <c r="N253" s="1"/>
      <c r="O253" s="1"/>
      <c r="P253" s="1"/>
      <c r="Q253" s="1"/>
      <c r="R253" s="1"/>
      <c r="S253" s="1"/>
      <c r="T253" s="1"/>
      <c r="U253" s="1"/>
      <c r="V253" s="1"/>
      <c r="W253" s="1"/>
      <c r="X253" s="1"/>
      <c r="Y253" s="1"/>
      <c r="Z253" s="1"/>
    </row>
    <row r="254" spans="1:26" ht="19.5" customHeight="1">
      <c r="A254" s="1"/>
      <c r="B254" s="2"/>
      <c r="C254" s="1"/>
      <c r="D254" s="1"/>
      <c r="E254" s="2"/>
      <c r="F254" s="1"/>
      <c r="G254" s="1"/>
      <c r="H254" s="1"/>
      <c r="I254" s="1"/>
      <c r="J254" s="1"/>
      <c r="K254" s="1"/>
      <c r="L254" s="1"/>
      <c r="M254" s="1"/>
      <c r="N254" s="1"/>
      <c r="O254" s="1"/>
      <c r="P254" s="1"/>
      <c r="Q254" s="1"/>
      <c r="R254" s="1"/>
      <c r="S254" s="1"/>
      <c r="T254" s="1"/>
      <c r="U254" s="1"/>
      <c r="V254" s="1"/>
      <c r="W254" s="1"/>
      <c r="X254" s="1"/>
      <c r="Y254" s="1"/>
      <c r="Z254" s="1"/>
    </row>
    <row r="255" spans="1:26" ht="19.5" customHeight="1">
      <c r="A255" s="1"/>
      <c r="B255" s="2"/>
      <c r="C255" s="1"/>
      <c r="D255" s="1"/>
      <c r="E255" s="2"/>
      <c r="F255" s="1"/>
      <c r="G255" s="1"/>
      <c r="H255" s="1"/>
      <c r="I255" s="1"/>
      <c r="J255" s="1"/>
      <c r="K255" s="1"/>
      <c r="L255" s="1"/>
      <c r="M255" s="1"/>
      <c r="N255" s="1"/>
      <c r="O255" s="1"/>
      <c r="P255" s="1"/>
      <c r="Q255" s="1"/>
      <c r="R255" s="1"/>
      <c r="S255" s="1"/>
      <c r="T255" s="1"/>
      <c r="U255" s="1"/>
      <c r="V255" s="1"/>
      <c r="W255" s="1"/>
      <c r="X255" s="1"/>
      <c r="Y255" s="1"/>
      <c r="Z255" s="1"/>
    </row>
    <row r="256" spans="1:26" ht="19.5" customHeight="1">
      <c r="A256" s="1"/>
      <c r="B256" s="2"/>
      <c r="C256" s="1"/>
      <c r="D256" s="1"/>
      <c r="E256" s="2"/>
      <c r="F256" s="1"/>
      <c r="G256" s="1"/>
      <c r="H256" s="1"/>
      <c r="I256" s="1"/>
      <c r="J256" s="1"/>
      <c r="K256" s="1"/>
      <c r="L256" s="1"/>
      <c r="M256" s="1"/>
      <c r="N256" s="1"/>
      <c r="O256" s="1"/>
      <c r="P256" s="1"/>
      <c r="Q256" s="1"/>
      <c r="R256" s="1"/>
      <c r="S256" s="1"/>
      <c r="T256" s="1"/>
      <c r="U256" s="1"/>
      <c r="V256" s="1"/>
      <c r="W256" s="1"/>
      <c r="X256" s="1"/>
      <c r="Y256" s="1"/>
      <c r="Z256" s="1"/>
    </row>
    <row r="257" spans="1:26" ht="19.5" customHeight="1">
      <c r="A257" s="1"/>
      <c r="B257" s="2"/>
      <c r="C257" s="1"/>
      <c r="D257" s="1"/>
      <c r="E257" s="2"/>
      <c r="F257" s="1"/>
      <c r="G257" s="1"/>
      <c r="H257" s="1"/>
      <c r="I257" s="1"/>
      <c r="J257" s="1"/>
      <c r="K257" s="1"/>
      <c r="L257" s="1"/>
      <c r="M257" s="1"/>
      <c r="N257" s="1"/>
      <c r="O257" s="1"/>
      <c r="P257" s="1"/>
      <c r="Q257" s="1"/>
      <c r="R257" s="1"/>
      <c r="S257" s="1"/>
      <c r="T257" s="1"/>
      <c r="U257" s="1"/>
      <c r="V257" s="1"/>
      <c r="W257" s="1"/>
      <c r="X257" s="1"/>
      <c r="Y257" s="1"/>
      <c r="Z257" s="1"/>
    </row>
    <row r="258" spans="1:26" ht="19.5" customHeight="1">
      <c r="A258" s="1"/>
      <c r="B258" s="2"/>
      <c r="C258" s="1"/>
      <c r="D258" s="1"/>
      <c r="E258" s="2"/>
      <c r="F258" s="1"/>
      <c r="G258" s="1"/>
      <c r="H258" s="1"/>
      <c r="I258" s="1"/>
      <c r="J258" s="1"/>
      <c r="K258" s="1"/>
      <c r="L258" s="1"/>
      <c r="M258" s="1"/>
      <c r="N258" s="1"/>
      <c r="O258" s="1"/>
      <c r="P258" s="1"/>
      <c r="Q258" s="1"/>
      <c r="R258" s="1"/>
      <c r="S258" s="1"/>
      <c r="T258" s="1"/>
      <c r="U258" s="1"/>
      <c r="V258" s="1"/>
      <c r="W258" s="1"/>
      <c r="X258" s="1"/>
      <c r="Y258" s="1"/>
      <c r="Z258" s="1"/>
    </row>
    <row r="259" spans="1:26" ht="19.5" customHeight="1">
      <c r="A259" s="1"/>
      <c r="B259" s="2"/>
      <c r="C259" s="1"/>
      <c r="D259" s="1"/>
      <c r="E259" s="2"/>
      <c r="F259" s="1"/>
      <c r="G259" s="1"/>
      <c r="H259" s="1"/>
      <c r="I259" s="1"/>
      <c r="J259" s="1"/>
      <c r="K259" s="1"/>
      <c r="L259" s="1"/>
      <c r="M259" s="1"/>
      <c r="N259" s="1"/>
      <c r="O259" s="1"/>
      <c r="P259" s="1"/>
      <c r="Q259" s="1"/>
      <c r="R259" s="1"/>
      <c r="S259" s="1"/>
      <c r="T259" s="1"/>
      <c r="U259" s="1"/>
      <c r="V259" s="1"/>
      <c r="W259" s="1"/>
      <c r="X259" s="1"/>
      <c r="Y259" s="1"/>
      <c r="Z259" s="1"/>
    </row>
    <row r="260" spans="1:26" ht="19.5" customHeight="1">
      <c r="A260" s="1"/>
      <c r="B260" s="2"/>
      <c r="C260" s="1"/>
      <c r="D260" s="1"/>
      <c r="E260" s="2"/>
      <c r="F260" s="1"/>
      <c r="G260" s="1"/>
      <c r="H260" s="1"/>
      <c r="I260" s="1"/>
      <c r="J260" s="1"/>
      <c r="K260" s="1"/>
      <c r="L260" s="1"/>
      <c r="M260" s="1"/>
      <c r="N260" s="1"/>
      <c r="O260" s="1"/>
      <c r="P260" s="1"/>
      <c r="Q260" s="1"/>
      <c r="R260" s="1"/>
      <c r="S260" s="1"/>
      <c r="T260" s="1"/>
      <c r="U260" s="1"/>
      <c r="V260" s="1"/>
      <c r="W260" s="1"/>
      <c r="X260" s="1"/>
      <c r="Y260" s="1"/>
      <c r="Z260" s="1"/>
    </row>
    <row r="261" spans="1:26" ht="19.5" customHeight="1">
      <c r="A261" s="1"/>
      <c r="B261" s="2"/>
      <c r="C261" s="1"/>
      <c r="D261" s="1"/>
      <c r="E261" s="2"/>
      <c r="F261" s="1"/>
      <c r="G261" s="1"/>
      <c r="H261" s="1"/>
      <c r="I261" s="1"/>
      <c r="J261" s="1"/>
      <c r="K261" s="1"/>
      <c r="L261" s="1"/>
      <c r="M261" s="1"/>
      <c r="N261" s="1"/>
      <c r="O261" s="1"/>
      <c r="P261" s="1"/>
      <c r="Q261" s="1"/>
      <c r="R261" s="1"/>
      <c r="S261" s="1"/>
      <c r="T261" s="1"/>
      <c r="U261" s="1"/>
      <c r="V261" s="1"/>
      <c r="W261" s="1"/>
      <c r="X261" s="1"/>
      <c r="Y261" s="1"/>
      <c r="Z261" s="1"/>
    </row>
    <row r="262" spans="1:26" ht="19.5" customHeight="1">
      <c r="A262" s="1"/>
      <c r="B262" s="2"/>
      <c r="C262" s="1"/>
      <c r="D262" s="1"/>
      <c r="E262" s="2"/>
      <c r="F262" s="1"/>
      <c r="G262" s="1"/>
      <c r="H262" s="1"/>
      <c r="I262" s="1"/>
      <c r="J262" s="1"/>
      <c r="K262" s="1"/>
      <c r="L262" s="1"/>
      <c r="M262" s="1"/>
      <c r="N262" s="1"/>
      <c r="O262" s="1"/>
      <c r="P262" s="1"/>
      <c r="Q262" s="1"/>
      <c r="R262" s="1"/>
      <c r="S262" s="1"/>
      <c r="T262" s="1"/>
      <c r="U262" s="1"/>
      <c r="V262" s="1"/>
      <c r="W262" s="1"/>
      <c r="X262" s="1"/>
      <c r="Y262" s="1"/>
      <c r="Z262" s="1"/>
    </row>
    <row r="263" spans="1:26" ht="19.5" customHeight="1">
      <c r="A263" s="1"/>
      <c r="B263" s="2"/>
      <c r="C263" s="1"/>
      <c r="D263" s="1"/>
      <c r="E263" s="2"/>
      <c r="F263" s="1"/>
      <c r="G263" s="1"/>
      <c r="H263" s="1"/>
      <c r="I263" s="1"/>
      <c r="J263" s="1"/>
      <c r="K263" s="1"/>
      <c r="L263" s="1"/>
      <c r="M263" s="1"/>
      <c r="N263" s="1"/>
      <c r="O263" s="1"/>
      <c r="P263" s="1"/>
      <c r="Q263" s="1"/>
      <c r="R263" s="1"/>
      <c r="S263" s="1"/>
      <c r="T263" s="1"/>
      <c r="U263" s="1"/>
      <c r="V263" s="1"/>
      <c r="W263" s="1"/>
      <c r="X263" s="1"/>
      <c r="Y263" s="1"/>
      <c r="Z263" s="1"/>
    </row>
    <row r="264" spans="1:26" ht="19.5" customHeight="1">
      <c r="A264" s="1"/>
      <c r="B264" s="2"/>
      <c r="C264" s="1"/>
      <c r="D264" s="1"/>
      <c r="E264" s="2"/>
      <c r="F264" s="1"/>
      <c r="G264" s="1"/>
      <c r="H264" s="1"/>
      <c r="I264" s="1"/>
      <c r="J264" s="1"/>
      <c r="K264" s="1"/>
      <c r="L264" s="1"/>
      <c r="M264" s="1"/>
      <c r="N264" s="1"/>
      <c r="O264" s="1"/>
      <c r="P264" s="1"/>
      <c r="Q264" s="1"/>
      <c r="R264" s="1"/>
      <c r="S264" s="1"/>
      <c r="T264" s="1"/>
      <c r="U264" s="1"/>
      <c r="V264" s="1"/>
      <c r="W264" s="1"/>
      <c r="X264" s="1"/>
      <c r="Y264" s="1"/>
      <c r="Z264" s="1"/>
    </row>
    <row r="265" spans="1:26" ht="19.5" customHeight="1">
      <c r="A265" s="1"/>
      <c r="B265" s="2"/>
      <c r="C265" s="1"/>
      <c r="D265" s="1"/>
      <c r="E265" s="2"/>
      <c r="F265" s="1"/>
      <c r="G265" s="1"/>
      <c r="H265" s="1"/>
      <c r="I265" s="1"/>
      <c r="J265" s="1"/>
      <c r="K265" s="1"/>
      <c r="L265" s="1"/>
      <c r="M265" s="1"/>
      <c r="N265" s="1"/>
      <c r="O265" s="1"/>
      <c r="P265" s="1"/>
      <c r="Q265" s="1"/>
      <c r="R265" s="1"/>
      <c r="S265" s="1"/>
      <c r="T265" s="1"/>
      <c r="U265" s="1"/>
      <c r="V265" s="1"/>
      <c r="W265" s="1"/>
      <c r="X265" s="1"/>
      <c r="Y265" s="1"/>
      <c r="Z265" s="1"/>
    </row>
    <row r="266" spans="1:26" ht="19.5" customHeight="1">
      <c r="A266" s="1"/>
      <c r="B266" s="2"/>
      <c r="C266" s="1"/>
      <c r="D266" s="1"/>
      <c r="E266" s="2"/>
      <c r="F266" s="1"/>
      <c r="G266" s="1"/>
      <c r="H266" s="1"/>
      <c r="I266" s="1"/>
      <c r="J266" s="1"/>
      <c r="K266" s="1"/>
      <c r="L266" s="1"/>
      <c r="M266" s="1"/>
      <c r="N266" s="1"/>
      <c r="O266" s="1"/>
      <c r="P266" s="1"/>
      <c r="Q266" s="1"/>
      <c r="R266" s="1"/>
      <c r="S266" s="1"/>
      <c r="T266" s="1"/>
      <c r="U266" s="1"/>
      <c r="V266" s="1"/>
      <c r="W266" s="1"/>
      <c r="X266" s="1"/>
      <c r="Y266" s="1"/>
      <c r="Z266" s="1"/>
    </row>
    <row r="267" spans="1:26" ht="19.5" customHeight="1">
      <c r="A267" s="1"/>
      <c r="B267" s="2"/>
      <c r="C267" s="1"/>
      <c r="D267" s="1"/>
      <c r="E267" s="2"/>
      <c r="F267" s="1"/>
      <c r="G267" s="1"/>
      <c r="H267" s="1"/>
      <c r="I267" s="1"/>
      <c r="J267" s="1"/>
      <c r="K267" s="1"/>
      <c r="L267" s="1"/>
      <c r="M267" s="1"/>
      <c r="N267" s="1"/>
      <c r="O267" s="1"/>
      <c r="P267" s="1"/>
      <c r="Q267" s="1"/>
      <c r="R267" s="1"/>
      <c r="S267" s="1"/>
      <c r="T267" s="1"/>
      <c r="U267" s="1"/>
      <c r="V267" s="1"/>
      <c r="W267" s="1"/>
      <c r="X267" s="1"/>
      <c r="Y267" s="1"/>
      <c r="Z267" s="1"/>
    </row>
    <row r="268" spans="1:26" ht="19.5" customHeight="1">
      <c r="A268" s="1"/>
      <c r="B268" s="2"/>
      <c r="C268" s="1"/>
      <c r="D268" s="1"/>
      <c r="E268" s="2"/>
      <c r="F268" s="1"/>
      <c r="G268" s="1"/>
      <c r="H268" s="1"/>
      <c r="I268" s="1"/>
      <c r="J268" s="1"/>
      <c r="K268" s="1"/>
      <c r="L268" s="1"/>
      <c r="M268" s="1"/>
      <c r="N268" s="1"/>
      <c r="O268" s="1"/>
      <c r="P268" s="1"/>
      <c r="Q268" s="1"/>
      <c r="R268" s="1"/>
      <c r="S268" s="1"/>
      <c r="T268" s="1"/>
      <c r="U268" s="1"/>
      <c r="V268" s="1"/>
      <c r="W268" s="1"/>
      <c r="X268" s="1"/>
      <c r="Y268" s="1"/>
      <c r="Z268" s="1"/>
    </row>
    <row r="269" spans="1:26" ht="19.5" customHeight="1">
      <c r="A269" s="1"/>
      <c r="B269" s="2"/>
      <c r="C269" s="1"/>
      <c r="D269" s="1"/>
      <c r="E269" s="2"/>
      <c r="F269" s="1"/>
      <c r="G269" s="1"/>
      <c r="H269" s="1"/>
      <c r="I269" s="1"/>
      <c r="J269" s="1"/>
      <c r="K269" s="1"/>
      <c r="L269" s="1"/>
      <c r="M269" s="1"/>
      <c r="N269" s="1"/>
      <c r="O269" s="1"/>
      <c r="P269" s="1"/>
      <c r="Q269" s="1"/>
      <c r="R269" s="1"/>
      <c r="S269" s="1"/>
      <c r="T269" s="1"/>
      <c r="U269" s="1"/>
      <c r="V269" s="1"/>
      <c r="W269" s="1"/>
      <c r="X269" s="1"/>
      <c r="Y269" s="1"/>
      <c r="Z269" s="1"/>
    </row>
    <row r="270" spans="1:26" ht="19.5" customHeight="1">
      <c r="A270" s="1"/>
      <c r="B270" s="2"/>
      <c r="C270" s="1"/>
      <c r="D270" s="1"/>
      <c r="E270" s="2"/>
      <c r="F270" s="1"/>
      <c r="G270" s="1"/>
      <c r="H270" s="1"/>
      <c r="I270" s="1"/>
      <c r="J270" s="1"/>
      <c r="K270" s="1"/>
      <c r="L270" s="1"/>
      <c r="M270" s="1"/>
      <c r="N270" s="1"/>
      <c r="O270" s="1"/>
      <c r="P270" s="1"/>
      <c r="Q270" s="1"/>
      <c r="R270" s="1"/>
      <c r="S270" s="1"/>
      <c r="T270" s="1"/>
      <c r="U270" s="1"/>
      <c r="V270" s="1"/>
      <c r="W270" s="1"/>
      <c r="X270" s="1"/>
      <c r="Y270" s="1"/>
      <c r="Z270" s="1"/>
    </row>
    <row r="271" spans="1:26" ht="19.5" customHeight="1">
      <c r="A271" s="1"/>
      <c r="B271" s="2"/>
      <c r="C271" s="1"/>
      <c r="D271" s="1"/>
      <c r="E271" s="2"/>
      <c r="F271" s="1"/>
      <c r="G271" s="1"/>
      <c r="H271" s="1"/>
      <c r="I271" s="1"/>
      <c r="J271" s="1"/>
      <c r="K271" s="1"/>
      <c r="L271" s="1"/>
      <c r="M271" s="1"/>
      <c r="N271" s="1"/>
      <c r="O271" s="1"/>
      <c r="P271" s="1"/>
      <c r="Q271" s="1"/>
      <c r="R271" s="1"/>
      <c r="S271" s="1"/>
      <c r="T271" s="1"/>
      <c r="U271" s="1"/>
      <c r="V271" s="1"/>
      <c r="W271" s="1"/>
      <c r="X271" s="1"/>
      <c r="Y271" s="1"/>
      <c r="Z271" s="1"/>
    </row>
    <row r="272" spans="1:26" ht="19.5" customHeight="1">
      <c r="A272" s="1"/>
      <c r="B272" s="2"/>
      <c r="C272" s="1"/>
      <c r="D272" s="1"/>
      <c r="E272" s="2"/>
      <c r="F272" s="1"/>
      <c r="G272" s="1"/>
      <c r="H272" s="1"/>
      <c r="I272" s="1"/>
      <c r="J272" s="1"/>
      <c r="K272" s="1"/>
      <c r="L272" s="1"/>
      <c r="M272" s="1"/>
      <c r="N272" s="1"/>
      <c r="O272" s="1"/>
      <c r="P272" s="1"/>
      <c r="Q272" s="1"/>
      <c r="R272" s="1"/>
      <c r="S272" s="1"/>
      <c r="T272" s="1"/>
      <c r="U272" s="1"/>
      <c r="V272" s="1"/>
      <c r="W272" s="1"/>
      <c r="X272" s="1"/>
      <c r="Y272" s="1"/>
      <c r="Z272" s="1"/>
    </row>
    <row r="273" spans="1:26" ht="19.5" customHeight="1">
      <c r="A273" s="1"/>
      <c r="B273" s="2"/>
      <c r="C273" s="1"/>
      <c r="D273" s="1"/>
      <c r="E273" s="2"/>
      <c r="F273" s="1"/>
      <c r="G273" s="1"/>
      <c r="H273" s="1"/>
      <c r="I273" s="1"/>
      <c r="J273" s="1"/>
      <c r="K273" s="1"/>
      <c r="L273" s="1"/>
      <c r="M273" s="1"/>
      <c r="N273" s="1"/>
      <c r="O273" s="1"/>
      <c r="P273" s="1"/>
      <c r="Q273" s="1"/>
      <c r="R273" s="1"/>
      <c r="S273" s="1"/>
      <c r="T273" s="1"/>
      <c r="U273" s="1"/>
      <c r="V273" s="1"/>
      <c r="W273" s="1"/>
      <c r="X273" s="1"/>
      <c r="Y273" s="1"/>
      <c r="Z273" s="1"/>
    </row>
    <row r="274" spans="1:26" ht="19.5" customHeight="1">
      <c r="A274" s="1"/>
      <c r="B274" s="2"/>
      <c r="C274" s="1"/>
      <c r="D274" s="1"/>
      <c r="E274" s="2"/>
      <c r="F274" s="1"/>
      <c r="G274" s="1"/>
      <c r="H274" s="1"/>
      <c r="I274" s="1"/>
      <c r="J274" s="1"/>
      <c r="K274" s="1"/>
      <c r="L274" s="1"/>
      <c r="M274" s="1"/>
      <c r="N274" s="1"/>
      <c r="O274" s="1"/>
      <c r="P274" s="1"/>
      <c r="Q274" s="1"/>
      <c r="R274" s="1"/>
      <c r="S274" s="1"/>
      <c r="T274" s="1"/>
      <c r="U274" s="1"/>
      <c r="V274" s="1"/>
      <c r="W274" s="1"/>
      <c r="X274" s="1"/>
      <c r="Y274" s="1"/>
      <c r="Z274" s="1"/>
    </row>
    <row r="275" spans="1:26" ht="19.5" customHeight="1">
      <c r="A275" s="1"/>
      <c r="B275" s="2"/>
      <c r="C275" s="1"/>
      <c r="D275" s="1"/>
      <c r="E275" s="2"/>
      <c r="F275" s="1"/>
      <c r="G275" s="1"/>
      <c r="H275" s="1"/>
      <c r="I275" s="1"/>
      <c r="J275" s="1"/>
      <c r="K275" s="1"/>
      <c r="L275" s="1"/>
      <c r="M275" s="1"/>
      <c r="N275" s="1"/>
      <c r="O275" s="1"/>
      <c r="P275" s="1"/>
      <c r="Q275" s="1"/>
      <c r="R275" s="1"/>
      <c r="S275" s="1"/>
      <c r="T275" s="1"/>
      <c r="U275" s="1"/>
      <c r="V275" s="1"/>
      <c r="W275" s="1"/>
      <c r="X275" s="1"/>
      <c r="Y275" s="1"/>
      <c r="Z275" s="1"/>
    </row>
    <row r="276" spans="1:26" ht="19.5" customHeight="1">
      <c r="A276" s="1"/>
      <c r="B276" s="2"/>
      <c r="C276" s="1"/>
      <c r="D276" s="1"/>
      <c r="E276" s="2"/>
      <c r="F276" s="1"/>
      <c r="G276" s="1"/>
      <c r="H276" s="1"/>
      <c r="I276" s="1"/>
      <c r="J276" s="1"/>
      <c r="K276" s="1"/>
      <c r="L276" s="1"/>
      <c r="M276" s="1"/>
      <c r="N276" s="1"/>
      <c r="O276" s="1"/>
      <c r="P276" s="1"/>
      <c r="Q276" s="1"/>
      <c r="R276" s="1"/>
      <c r="S276" s="1"/>
      <c r="T276" s="1"/>
      <c r="U276" s="1"/>
      <c r="V276" s="1"/>
      <c r="W276" s="1"/>
      <c r="X276" s="1"/>
      <c r="Y276" s="1"/>
      <c r="Z276" s="1"/>
    </row>
    <row r="277" spans="1:26" ht="19.5" customHeight="1">
      <c r="A277" s="1"/>
      <c r="B277" s="2"/>
      <c r="C277" s="1"/>
      <c r="D277" s="1"/>
      <c r="E277" s="2"/>
      <c r="F277" s="1"/>
      <c r="G277" s="1"/>
      <c r="H277" s="1"/>
      <c r="I277" s="1"/>
      <c r="J277" s="1"/>
      <c r="K277" s="1"/>
      <c r="L277" s="1"/>
      <c r="M277" s="1"/>
      <c r="N277" s="1"/>
      <c r="O277" s="1"/>
      <c r="P277" s="1"/>
      <c r="Q277" s="1"/>
      <c r="R277" s="1"/>
      <c r="S277" s="1"/>
      <c r="T277" s="1"/>
      <c r="U277" s="1"/>
      <c r="V277" s="1"/>
      <c r="W277" s="1"/>
      <c r="X277" s="1"/>
      <c r="Y277" s="1"/>
      <c r="Z277" s="1"/>
    </row>
    <row r="278" spans="1:26" ht="19.5" customHeight="1">
      <c r="A278" s="1"/>
      <c r="B278" s="2"/>
      <c r="C278" s="1"/>
      <c r="D278" s="1"/>
      <c r="E278" s="2"/>
      <c r="F278" s="1"/>
      <c r="G278" s="1"/>
      <c r="H278" s="1"/>
      <c r="I278" s="1"/>
      <c r="J278" s="1"/>
      <c r="K278" s="1"/>
      <c r="L278" s="1"/>
      <c r="M278" s="1"/>
      <c r="N278" s="1"/>
      <c r="O278" s="1"/>
      <c r="P278" s="1"/>
      <c r="Q278" s="1"/>
      <c r="R278" s="1"/>
      <c r="S278" s="1"/>
      <c r="T278" s="1"/>
      <c r="U278" s="1"/>
      <c r="V278" s="1"/>
      <c r="W278" s="1"/>
      <c r="X278" s="1"/>
      <c r="Y278" s="1"/>
      <c r="Z278" s="1"/>
    </row>
    <row r="279" spans="1:26" ht="19.5" customHeight="1">
      <c r="A279" s="1"/>
      <c r="B279" s="2"/>
      <c r="C279" s="1"/>
      <c r="D279" s="1"/>
      <c r="E279" s="2"/>
      <c r="F279" s="1"/>
      <c r="G279" s="1"/>
      <c r="H279" s="1"/>
      <c r="I279" s="1"/>
      <c r="J279" s="1"/>
      <c r="K279" s="1"/>
      <c r="L279" s="1"/>
      <c r="M279" s="1"/>
      <c r="N279" s="1"/>
      <c r="O279" s="1"/>
      <c r="P279" s="1"/>
      <c r="Q279" s="1"/>
      <c r="R279" s="1"/>
      <c r="S279" s="1"/>
      <c r="T279" s="1"/>
      <c r="U279" s="1"/>
      <c r="V279" s="1"/>
      <c r="W279" s="1"/>
      <c r="X279" s="1"/>
      <c r="Y279" s="1"/>
      <c r="Z279" s="1"/>
    </row>
    <row r="280" spans="1:26" ht="19.5" customHeight="1">
      <c r="A280" s="1"/>
      <c r="B280" s="2"/>
      <c r="C280" s="1"/>
      <c r="D280" s="1"/>
      <c r="E280" s="2"/>
      <c r="F280" s="1"/>
      <c r="G280" s="1"/>
      <c r="H280" s="1"/>
      <c r="I280" s="1"/>
      <c r="J280" s="1"/>
      <c r="K280" s="1"/>
      <c r="L280" s="1"/>
      <c r="M280" s="1"/>
      <c r="N280" s="1"/>
      <c r="O280" s="1"/>
      <c r="P280" s="1"/>
      <c r="Q280" s="1"/>
      <c r="R280" s="1"/>
      <c r="S280" s="1"/>
      <c r="T280" s="1"/>
      <c r="U280" s="1"/>
      <c r="V280" s="1"/>
      <c r="W280" s="1"/>
      <c r="X280" s="1"/>
      <c r="Y280" s="1"/>
      <c r="Z280" s="1"/>
    </row>
    <row r="281" spans="1:26" ht="19.5" customHeight="1">
      <c r="A281" s="1"/>
      <c r="B281" s="2"/>
      <c r="C281" s="1"/>
      <c r="D281" s="1"/>
      <c r="E281" s="2"/>
      <c r="F281" s="1"/>
      <c r="G281" s="1"/>
      <c r="H281" s="1"/>
      <c r="I281" s="1"/>
      <c r="J281" s="1"/>
      <c r="K281" s="1"/>
      <c r="L281" s="1"/>
      <c r="M281" s="1"/>
      <c r="N281" s="1"/>
      <c r="O281" s="1"/>
      <c r="P281" s="1"/>
      <c r="Q281" s="1"/>
      <c r="R281" s="1"/>
      <c r="S281" s="1"/>
      <c r="T281" s="1"/>
      <c r="U281" s="1"/>
      <c r="V281" s="1"/>
      <c r="W281" s="1"/>
      <c r="X281" s="1"/>
      <c r="Y281" s="1"/>
      <c r="Z281" s="1"/>
    </row>
    <row r="282" spans="1:26" ht="19.5" customHeight="1">
      <c r="A282" s="1"/>
      <c r="B282" s="2"/>
      <c r="C282" s="1"/>
      <c r="D282" s="1"/>
      <c r="E282" s="2"/>
      <c r="F282" s="1"/>
      <c r="G282" s="1"/>
      <c r="H282" s="1"/>
      <c r="I282" s="1"/>
      <c r="J282" s="1"/>
      <c r="K282" s="1"/>
      <c r="L282" s="1"/>
      <c r="M282" s="1"/>
      <c r="N282" s="1"/>
      <c r="O282" s="1"/>
      <c r="P282" s="1"/>
      <c r="Q282" s="1"/>
      <c r="R282" s="1"/>
      <c r="S282" s="1"/>
      <c r="T282" s="1"/>
      <c r="U282" s="1"/>
      <c r="V282" s="1"/>
      <c r="W282" s="1"/>
      <c r="X282" s="1"/>
      <c r="Y282" s="1"/>
      <c r="Z282" s="1"/>
    </row>
    <row r="283" spans="1:26" ht="19.5" customHeight="1">
      <c r="A283" s="1"/>
      <c r="B283" s="2"/>
      <c r="C283" s="1"/>
      <c r="D283" s="1"/>
      <c r="E283" s="2"/>
      <c r="F283" s="1"/>
      <c r="G283" s="1"/>
      <c r="H283" s="1"/>
      <c r="I283" s="1"/>
      <c r="J283" s="1"/>
      <c r="K283" s="1"/>
      <c r="L283" s="1"/>
      <c r="M283" s="1"/>
      <c r="N283" s="1"/>
      <c r="O283" s="1"/>
      <c r="P283" s="1"/>
      <c r="Q283" s="1"/>
      <c r="R283" s="1"/>
      <c r="S283" s="1"/>
      <c r="T283" s="1"/>
      <c r="U283" s="1"/>
      <c r="V283" s="1"/>
      <c r="W283" s="1"/>
      <c r="X283" s="1"/>
      <c r="Y283" s="1"/>
      <c r="Z283" s="1"/>
    </row>
    <row r="284" spans="1:26" ht="19.5" customHeight="1">
      <c r="A284" s="1"/>
      <c r="B284" s="2"/>
      <c r="C284" s="1"/>
      <c r="D284" s="1"/>
      <c r="E284" s="2"/>
      <c r="F284" s="1"/>
      <c r="G284" s="1"/>
      <c r="H284" s="1"/>
      <c r="I284" s="1"/>
      <c r="J284" s="1"/>
      <c r="K284" s="1"/>
      <c r="L284" s="1"/>
      <c r="M284" s="1"/>
      <c r="N284" s="1"/>
      <c r="O284" s="1"/>
      <c r="P284" s="1"/>
      <c r="Q284" s="1"/>
      <c r="R284" s="1"/>
      <c r="S284" s="1"/>
      <c r="T284" s="1"/>
      <c r="U284" s="1"/>
      <c r="V284" s="1"/>
      <c r="W284" s="1"/>
      <c r="X284" s="1"/>
      <c r="Y284" s="1"/>
      <c r="Z284" s="1"/>
    </row>
    <row r="285" spans="1:26" ht="19.5" customHeight="1">
      <c r="A285" s="1"/>
      <c r="B285" s="2"/>
      <c r="C285" s="1"/>
      <c r="D285" s="1"/>
      <c r="E285" s="2"/>
      <c r="F285" s="1"/>
      <c r="G285" s="1"/>
      <c r="H285" s="1"/>
      <c r="I285" s="1"/>
      <c r="J285" s="1"/>
      <c r="K285" s="1"/>
      <c r="L285" s="1"/>
      <c r="M285" s="1"/>
      <c r="N285" s="1"/>
      <c r="O285" s="1"/>
      <c r="P285" s="1"/>
      <c r="Q285" s="1"/>
      <c r="R285" s="1"/>
      <c r="S285" s="1"/>
      <c r="T285" s="1"/>
      <c r="U285" s="1"/>
      <c r="V285" s="1"/>
      <c r="W285" s="1"/>
      <c r="X285" s="1"/>
      <c r="Y285" s="1"/>
      <c r="Z285" s="1"/>
    </row>
    <row r="286" spans="1:26" ht="19.5" customHeight="1">
      <c r="A286" s="1"/>
      <c r="B286" s="2"/>
      <c r="C286" s="1"/>
      <c r="D286" s="1"/>
      <c r="E286" s="2"/>
      <c r="F286" s="1"/>
      <c r="G286" s="1"/>
      <c r="H286" s="1"/>
      <c r="I286" s="1"/>
      <c r="J286" s="1"/>
      <c r="K286" s="1"/>
      <c r="L286" s="1"/>
      <c r="M286" s="1"/>
      <c r="N286" s="1"/>
      <c r="O286" s="1"/>
      <c r="P286" s="1"/>
      <c r="Q286" s="1"/>
      <c r="R286" s="1"/>
      <c r="S286" s="1"/>
      <c r="T286" s="1"/>
      <c r="U286" s="1"/>
      <c r="V286" s="1"/>
      <c r="W286" s="1"/>
      <c r="X286" s="1"/>
      <c r="Y286" s="1"/>
      <c r="Z286" s="1"/>
    </row>
    <row r="287" spans="1:26" ht="19.5" customHeight="1">
      <c r="A287" s="1"/>
      <c r="B287" s="2"/>
      <c r="C287" s="1"/>
      <c r="D287" s="1"/>
      <c r="E287" s="2"/>
      <c r="F287" s="1"/>
      <c r="G287" s="1"/>
      <c r="H287" s="1"/>
      <c r="I287" s="1"/>
      <c r="J287" s="1"/>
      <c r="K287" s="1"/>
      <c r="L287" s="1"/>
      <c r="M287" s="1"/>
      <c r="N287" s="1"/>
      <c r="O287" s="1"/>
      <c r="P287" s="1"/>
      <c r="Q287" s="1"/>
      <c r="R287" s="1"/>
      <c r="S287" s="1"/>
      <c r="T287" s="1"/>
      <c r="U287" s="1"/>
      <c r="V287" s="1"/>
      <c r="W287" s="1"/>
      <c r="X287" s="1"/>
      <c r="Y287" s="1"/>
      <c r="Z287" s="1"/>
    </row>
    <row r="288" spans="1:26" ht="19.5" customHeight="1">
      <c r="A288" s="1"/>
      <c r="B288" s="2"/>
      <c r="C288" s="1"/>
      <c r="D288" s="1"/>
      <c r="E288" s="2"/>
      <c r="F288" s="1"/>
      <c r="G288" s="1"/>
      <c r="H288" s="1"/>
      <c r="I288" s="1"/>
      <c r="J288" s="1"/>
      <c r="K288" s="1"/>
      <c r="L288" s="1"/>
      <c r="M288" s="1"/>
      <c r="N288" s="1"/>
      <c r="O288" s="1"/>
      <c r="P288" s="1"/>
      <c r="Q288" s="1"/>
      <c r="R288" s="1"/>
      <c r="S288" s="1"/>
      <c r="T288" s="1"/>
      <c r="U288" s="1"/>
      <c r="V288" s="1"/>
      <c r="W288" s="1"/>
      <c r="X288" s="1"/>
      <c r="Y288" s="1"/>
      <c r="Z288" s="1"/>
    </row>
    <row r="289" spans="1:26" ht="19.5" customHeight="1">
      <c r="A289" s="1"/>
      <c r="B289" s="2"/>
      <c r="C289" s="1"/>
      <c r="D289" s="1"/>
      <c r="E289" s="2"/>
      <c r="F289" s="1"/>
      <c r="G289" s="1"/>
      <c r="H289" s="1"/>
      <c r="I289" s="1"/>
      <c r="J289" s="1"/>
      <c r="K289" s="1"/>
      <c r="L289" s="1"/>
      <c r="M289" s="1"/>
      <c r="N289" s="1"/>
      <c r="O289" s="1"/>
      <c r="P289" s="1"/>
      <c r="Q289" s="1"/>
      <c r="R289" s="1"/>
      <c r="S289" s="1"/>
      <c r="T289" s="1"/>
      <c r="U289" s="1"/>
      <c r="V289" s="1"/>
      <c r="W289" s="1"/>
      <c r="X289" s="1"/>
      <c r="Y289" s="1"/>
      <c r="Z289" s="1"/>
    </row>
    <row r="290" spans="1:26" ht="19.5" customHeight="1">
      <c r="A290" s="1"/>
      <c r="B290" s="2"/>
      <c r="C290" s="1"/>
      <c r="D290" s="1"/>
      <c r="E290" s="2"/>
      <c r="F290" s="1"/>
      <c r="G290" s="1"/>
      <c r="H290" s="1"/>
      <c r="I290" s="1"/>
      <c r="J290" s="1"/>
      <c r="K290" s="1"/>
      <c r="L290" s="1"/>
      <c r="M290" s="1"/>
      <c r="N290" s="1"/>
      <c r="O290" s="1"/>
      <c r="P290" s="1"/>
      <c r="Q290" s="1"/>
      <c r="R290" s="1"/>
      <c r="S290" s="1"/>
      <c r="T290" s="1"/>
      <c r="U290" s="1"/>
      <c r="V290" s="1"/>
      <c r="W290" s="1"/>
      <c r="X290" s="1"/>
      <c r="Y290" s="1"/>
      <c r="Z290" s="1"/>
    </row>
    <row r="291" spans="1:26" ht="19.5" customHeight="1">
      <c r="A291" s="1"/>
      <c r="B291" s="2"/>
      <c r="C291" s="1"/>
      <c r="D291" s="1"/>
      <c r="E291" s="2"/>
      <c r="F291" s="1"/>
      <c r="G291" s="1"/>
      <c r="H291" s="1"/>
      <c r="I291" s="1"/>
      <c r="J291" s="1"/>
      <c r="K291" s="1"/>
      <c r="L291" s="1"/>
      <c r="M291" s="1"/>
      <c r="N291" s="1"/>
      <c r="O291" s="1"/>
      <c r="P291" s="1"/>
      <c r="Q291" s="1"/>
      <c r="R291" s="1"/>
      <c r="S291" s="1"/>
      <c r="T291" s="1"/>
      <c r="U291" s="1"/>
      <c r="V291" s="1"/>
      <c r="W291" s="1"/>
      <c r="X291" s="1"/>
      <c r="Y291" s="1"/>
      <c r="Z291" s="1"/>
    </row>
    <row r="292" spans="1:26" ht="19.5" customHeight="1">
      <c r="A292" s="1"/>
      <c r="B292" s="2"/>
      <c r="C292" s="1"/>
      <c r="D292" s="1"/>
      <c r="E292" s="2"/>
      <c r="F292" s="1"/>
      <c r="G292" s="1"/>
      <c r="H292" s="1"/>
      <c r="I292" s="1"/>
      <c r="J292" s="1"/>
      <c r="K292" s="1"/>
      <c r="L292" s="1"/>
      <c r="M292" s="1"/>
      <c r="N292" s="1"/>
      <c r="O292" s="1"/>
      <c r="P292" s="1"/>
      <c r="Q292" s="1"/>
      <c r="R292" s="1"/>
      <c r="S292" s="1"/>
      <c r="T292" s="1"/>
      <c r="U292" s="1"/>
      <c r="V292" s="1"/>
      <c r="W292" s="1"/>
      <c r="X292" s="1"/>
      <c r="Y292" s="1"/>
      <c r="Z292" s="1"/>
    </row>
    <row r="293" spans="1:26" ht="19.5" customHeight="1">
      <c r="A293" s="1"/>
      <c r="B293" s="2"/>
      <c r="C293" s="1"/>
      <c r="D293" s="1"/>
      <c r="E293" s="2"/>
      <c r="F293" s="1"/>
      <c r="G293" s="1"/>
      <c r="H293" s="1"/>
      <c r="I293" s="1"/>
      <c r="J293" s="1"/>
      <c r="K293" s="1"/>
      <c r="L293" s="1"/>
      <c r="M293" s="1"/>
      <c r="N293" s="1"/>
      <c r="O293" s="1"/>
      <c r="P293" s="1"/>
      <c r="Q293" s="1"/>
      <c r="R293" s="1"/>
      <c r="S293" s="1"/>
      <c r="T293" s="1"/>
      <c r="U293" s="1"/>
      <c r="V293" s="1"/>
      <c r="W293" s="1"/>
      <c r="X293" s="1"/>
      <c r="Y293" s="1"/>
      <c r="Z293" s="1"/>
    </row>
    <row r="294" spans="1:26" ht="19.5" customHeight="1">
      <c r="A294" s="1"/>
      <c r="B294" s="2"/>
      <c r="C294" s="1"/>
      <c r="D294" s="1"/>
      <c r="E294" s="2"/>
      <c r="F294" s="1"/>
      <c r="G294" s="1"/>
      <c r="H294" s="1"/>
      <c r="I294" s="1"/>
      <c r="J294" s="1"/>
      <c r="K294" s="1"/>
      <c r="L294" s="1"/>
      <c r="M294" s="1"/>
      <c r="N294" s="1"/>
      <c r="O294" s="1"/>
      <c r="P294" s="1"/>
      <c r="Q294" s="1"/>
      <c r="R294" s="1"/>
      <c r="S294" s="1"/>
      <c r="T294" s="1"/>
      <c r="U294" s="1"/>
      <c r="V294" s="1"/>
      <c r="W294" s="1"/>
      <c r="X294" s="1"/>
      <c r="Y294" s="1"/>
      <c r="Z294" s="1"/>
    </row>
    <row r="295" spans="1:26" ht="19.5" customHeight="1">
      <c r="A295" s="1"/>
      <c r="B295" s="2"/>
      <c r="C295" s="1"/>
      <c r="D295" s="1"/>
      <c r="E295" s="2"/>
      <c r="F295" s="1"/>
      <c r="G295" s="1"/>
      <c r="H295" s="1"/>
      <c r="I295" s="1"/>
      <c r="J295" s="1"/>
      <c r="K295" s="1"/>
      <c r="L295" s="1"/>
      <c r="M295" s="1"/>
      <c r="N295" s="1"/>
      <c r="O295" s="1"/>
      <c r="P295" s="1"/>
      <c r="Q295" s="1"/>
      <c r="R295" s="1"/>
      <c r="S295" s="1"/>
      <c r="T295" s="1"/>
      <c r="U295" s="1"/>
      <c r="V295" s="1"/>
      <c r="W295" s="1"/>
      <c r="X295" s="1"/>
      <c r="Y295" s="1"/>
      <c r="Z295" s="1"/>
    </row>
    <row r="296" spans="1:26" ht="19.5" customHeight="1">
      <c r="A296" s="1"/>
      <c r="B296" s="2"/>
      <c r="C296" s="1"/>
      <c r="D296" s="1"/>
      <c r="E296" s="2"/>
      <c r="F296" s="1"/>
      <c r="G296" s="1"/>
      <c r="H296" s="1"/>
      <c r="I296" s="1"/>
      <c r="J296" s="1"/>
      <c r="K296" s="1"/>
      <c r="L296" s="1"/>
      <c r="M296" s="1"/>
      <c r="N296" s="1"/>
      <c r="O296" s="1"/>
      <c r="P296" s="1"/>
      <c r="Q296" s="1"/>
      <c r="R296" s="1"/>
      <c r="S296" s="1"/>
      <c r="T296" s="1"/>
      <c r="U296" s="1"/>
      <c r="V296" s="1"/>
      <c r="W296" s="1"/>
      <c r="X296" s="1"/>
      <c r="Y296" s="1"/>
      <c r="Z296" s="1"/>
    </row>
    <row r="297" spans="1:26" ht="19.5" customHeight="1">
      <c r="A297" s="1"/>
      <c r="B297" s="2"/>
      <c r="C297" s="1"/>
      <c r="D297" s="1"/>
      <c r="E297" s="2"/>
      <c r="F297" s="1"/>
      <c r="G297" s="1"/>
      <c r="H297" s="1"/>
      <c r="I297" s="1"/>
      <c r="J297" s="1"/>
      <c r="K297" s="1"/>
      <c r="L297" s="1"/>
      <c r="M297" s="1"/>
      <c r="N297" s="1"/>
      <c r="O297" s="1"/>
      <c r="P297" s="1"/>
      <c r="Q297" s="1"/>
      <c r="R297" s="1"/>
      <c r="S297" s="1"/>
      <c r="T297" s="1"/>
      <c r="U297" s="1"/>
      <c r="V297" s="1"/>
      <c r="W297" s="1"/>
      <c r="X297" s="1"/>
      <c r="Y297" s="1"/>
      <c r="Z297" s="1"/>
    </row>
    <row r="298" spans="1:26" ht="19.5" customHeight="1">
      <c r="A298" s="1"/>
      <c r="B298" s="2"/>
      <c r="C298" s="1"/>
      <c r="D298" s="1"/>
      <c r="E298" s="2"/>
      <c r="F298" s="1"/>
      <c r="G298" s="1"/>
      <c r="H298" s="1"/>
      <c r="I298" s="1"/>
      <c r="J298" s="1"/>
      <c r="K298" s="1"/>
      <c r="L298" s="1"/>
      <c r="M298" s="1"/>
      <c r="N298" s="1"/>
      <c r="O298" s="1"/>
      <c r="P298" s="1"/>
      <c r="Q298" s="1"/>
      <c r="R298" s="1"/>
      <c r="S298" s="1"/>
      <c r="T298" s="1"/>
      <c r="U298" s="1"/>
      <c r="V298" s="1"/>
      <c r="W298" s="1"/>
      <c r="X298" s="1"/>
      <c r="Y298" s="1"/>
      <c r="Z298" s="1"/>
    </row>
    <row r="299" spans="1:26" ht="19.5" customHeight="1">
      <c r="A299" s="1"/>
      <c r="B299" s="2"/>
      <c r="C299" s="1"/>
      <c r="D299" s="1"/>
      <c r="E299" s="2"/>
      <c r="F299" s="1"/>
      <c r="G299" s="1"/>
      <c r="H299" s="1"/>
      <c r="I299" s="1"/>
      <c r="J299" s="1"/>
      <c r="K299" s="1"/>
      <c r="L299" s="1"/>
      <c r="M299" s="1"/>
      <c r="N299" s="1"/>
      <c r="O299" s="1"/>
      <c r="P299" s="1"/>
      <c r="Q299" s="1"/>
      <c r="R299" s="1"/>
      <c r="S299" s="1"/>
      <c r="T299" s="1"/>
      <c r="U299" s="1"/>
      <c r="V299" s="1"/>
      <c r="W299" s="1"/>
      <c r="X299" s="1"/>
      <c r="Y299" s="1"/>
      <c r="Z299" s="1"/>
    </row>
    <row r="300" spans="1:26" ht="19.5" customHeight="1">
      <c r="A300" s="1"/>
      <c r="B300" s="2"/>
      <c r="C300" s="1"/>
      <c r="D300" s="1"/>
      <c r="E300" s="2"/>
      <c r="F300" s="1"/>
      <c r="G300" s="1"/>
      <c r="H300" s="1"/>
      <c r="I300" s="1"/>
      <c r="J300" s="1"/>
      <c r="K300" s="1"/>
      <c r="L300" s="1"/>
      <c r="M300" s="1"/>
      <c r="N300" s="1"/>
      <c r="O300" s="1"/>
      <c r="P300" s="1"/>
      <c r="Q300" s="1"/>
      <c r="R300" s="1"/>
      <c r="S300" s="1"/>
      <c r="T300" s="1"/>
      <c r="U300" s="1"/>
      <c r="V300" s="1"/>
      <c r="W300" s="1"/>
      <c r="X300" s="1"/>
      <c r="Y300" s="1"/>
      <c r="Z300" s="1"/>
    </row>
    <row r="301" spans="1:26" ht="19.5" customHeight="1">
      <c r="A301" s="1"/>
      <c r="B301" s="2"/>
      <c r="C301" s="1"/>
      <c r="D301" s="1"/>
      <c r="E301" s="2"/>
      <c r="F301" s="1"/>
      <c r="G301" s="1"/>
      <c r="H301" s="1"/>
      <c r="I301" s="1"/>
      <c r="J301" s="1"/>
      <c r="K301" s="1"/>
      <c r="L301" s="1"/>
      <c r="M301" s="1"/>
      <c r="N301" s="1"/>
      <c r="O301" s="1"/>
      <c r="P301" s="1"/>
      <c r="Q301" s="1"/>
      <c r="R301" s="1"/>
      <c r="S301" s="1"/>
      <c r="T301" s="1"/>
      <c r="U301" s="1"/>
      <c r="V301" s="1"/>
      <c r="W301" s="1"/>
      <c r="X301" s="1"/>
      <c r="Y301" s="1"/>
      <c r="Z301" s="1"/>
    </row>
    <row r="302" spans="1:26" ht="19.5" customHeight="1">
      <c r="A302" s="1"/>
      <c r="B302" s="2"/>
      <c r="C302" s="1"/>
      <c r="D302" s="1"/>
      <c r="E302" s="2"/>
      <c r="F302" s="1"/>
      <c r="G302" s="1"/>
      <c r="H302" s="1"/>
      <c r="I302" s="1"/>
      <c r="J302" s="1"/>
      <c r="K302" s="1"/>
      <c r="L302" s="1"/>
      <c r="M302" s="1"/>
      <c r="N302" s="1"/>
      <c r="O302" s="1"/>
      <c r="P302" s="1"/>
      <c r="Q302" s="1"/>
      <c r="R302" s="1"/>
      <c r="S302" s="1"/>
      <c r="T302" s="1"/>
      <c r="U302" s="1"/>
      <c r="V302" s="1"/>
      <c r="W302" s="1"/>
      <c r="X302" s="1"/>
      <c r="Y302" s="1"/>
      <c r="Z302" s="1"/>
    </row>
    <row r="303" spans="1:26" ht="19.5" customHeight="1">
      <c r="A303" s="1"/>
      <c r="B303" s="2"/>
      <c r="C303" s="1"/>
      <c r="D303" s="1"/>
      <c r="E303" s="2"/>
      <c r="F303" s="1"/>
      <c r="G303" s="1"/>
      <c r="H303" s="1"/>
      <c r="I303" s="1"/>
      <c r="J303" s="1"/>
      <c r="K303" s="1"/>
      <c r="L303" s="1"/>
      <c r="M303" s="1"/>
      <c r="N303" s="1"/>
      <c r="O303" s="1"/>
      <c r="P303" s="1"/>
      <c r="Q303" s="1"/>
      <c r="R303" s="1"/>
      <c r="S303" s="1"/>
      <c r="T303" s="1"/>
      <c r="U303" s="1"/>
      <c r="V303" s="1"/>
      <c r="W303" s="1"/>
      <c r="X303" s="1"/>
      <c r="Y303" s="1"/>
      <c r="Z303" s="1"/>
    </row>
    <row r="304" spans="1:26" ht="19.5" customHeight="1">
      <c r="A304" s="1"/>
      <c r="B304" s="2"/>
      <c r="C304" s="1"/>
      <c r="D304" s="1"/>
      <c r="E304" s="2"/>
      <c r="F304" s="1"/>
      <c r="G304" s="1"/>
      <c r="H304" s="1"/>
      <c r="I304" s="1"/>
      <c r="J304" s="1"/>
      <c r="K304" s="1"/>
      <c r="L304" s="1"/>
      <c r="M304" s="1"/>
      <c r="N304" s="1"/>
      <c r="O304" s="1"/>
      <c r="P304" s="1"/>
      <c r="Q304" s="1"/>
      <c r="R304" s="1"/>
      <c r="S304" s="1"/>
      <c r="T304" s="1"/>
      <c r="U304" s="1"/>
      <c r="V304" s="1"/>
      <c r="W304" s="1"/>
      <c r="X304" s="1"/>
      <c r="Y304" s="1"/>
      <c r="Z304" s="1"/>
    </row>
    <row r="305" spans="1:26" ht="19.5" customHeight="1">
      <c r="A305" s="1"/>
      <c r="B305" s="2"/>
      <c r="C305" s="1"/>
      <c r="D305" s="1"/>
      <c r="E305" s="2"/>
      <c r="F305" s="1"/>
      <c r="G305" s="1"/>
      <c r="H305" s="1"/>
      <c r="I305" s="1"/>
      <c r="J305" s="1"/>
      <c r="K305" s="1"/>
      <c r="L305" s="1"/>
      <c r="M305" s="1"/>
      <c r="N305" s="1"/>
      <c r="O305" s="1"/>
      <c r="P305" s="1"/>
      <c r="Q305" s="1"/>
      <c r="R305" s="1"/>
      <c r="S305" s="1"/>
      <c r="T305" s="1"/>
      <c r="U305" s="1"/>
      <c r="V305" s="1"/>
      <c r="W305" s="1"/>
      <c r="X305" s="1"/>
      <c r="Y305" s="1"/>
      <c r="Z305" s="1"/>
    </row>
    <row r="306" spans="1:26" ht="19.5" customHeight="1">
      <c r="A306" s="1"/>
      <c r="B306" s="2"/>
      <c r="C306" s="1"/>
      <c r="D306" s="1"/>
      <c r="E306" s="2"/>
      <c r="F306" s="1"/>
      <c r="G306" s="1"/>
      <c r="H306" s="1"/>
      <c r="I306" s="1"/>
      <c r="J306" s="1"/>
      <c r="K306" s="1"/>
      <c r="L306" s="1"/>
      <c r="M306" s="1"/>
      <c r="N306" s="1"/>
      <c r="O306" s="1"/>
      <c r="P306" s="1"/>
      <c r="Q306" s="1"/>
      <c r="R306" s="1"/>
      <c r="S306" s="1"/>
      <c r="T306" s="1"/>
      <c r="U306" s="1"/>
      <c r="V306" s="1"/>
      <c r="W306" s="1"/>
      <c r="X306" s="1"/>
      <c r="Y306" s="1"/>
      <c r="Z306" s="1"/>
    </row>
    <row r="307" spans="1:26" ht="19.5" customHeight="1">
      <c r="A307" s="1"/>
      <c r="B307" s="2"/>
      <c r="C307" s="1"/>
      <c r="D307" s="1"/>
      <c r="E307" s="2"/>
      <c r="F307" s="1"/>
      <c r="G307" s="1"/>
      <c r="H307" s="1"/>
      <c r="I307" s="1"/>
      <c r="J307" s="1"/>
      <c r="K307" s="1"/>
      <c r="L307" s="1"/>
      <c r="M307" s="1"/>
      <c r="N307" s="1"/>
      <c r="O307" s="1"/>
      <c r="P307" s="1"/>
      <c r="Q307" s="1"/>
      <c r="R307" s="1"/>
      <c r="S307" s="1"/>
      <c r="T307" s="1"/>
      <c r="U307" s="1"/>
      <c r="V307" s="1"/>
      <c r="W307" s="1"/>
      <c r="X307" s="1"/>
      <c r="Y307" s="1"/>
      <c r="Z307" s="1"/>
    </row>
    <row r="308" spans="1:26" ht="19.5" customHeight="1">
      <c r="A308" s="1"/>
      <c r="B308" s="2"/>
      <c r="C308" s="1"/>
      <c r="D308" s="1"/>
      <c r="E308" s="2"/>
      <c r="F308" s="1"/>
      <c r="G308" s="1"/>
      <c r="H308" s="1"/>
      <c r="I308" s="1"/>
      <c r="J308" s="1"/>
      <c r="K308" s="1"/>
      <c r="L308" s="1"/>
      <c r="M308" s="1"/>
      <c r="N308" s="1"/>
      <c r="O308" s="1"/>
      <c r="P308" s="1"/>
      <c r="Q308" s="1"/>
      <c r="R308" s="1"/>
      <c r="S308" s="1"/>
      <c r="T308" s="1"/>
      <c r="U308" s="1"/>
      <c r="V308" s="1"/>
      <c r="W308" s="1"/>
      <c r="X308" s="1"/>
      <c r="Y308" s="1"/>
      <c r="Z308" s="1"/>
    </row>
    <row r="309" spans="1:26" ht="19.5" customHeight="1">
      <c r="A309" s="1"/>
      <c r="B309" s="2"/>
      <c r="C309" s="1"/>
      <c r="D309" s="1"/>
      <c r="E309" s="2"/>
      <c r="F309" s="1"/>
      <c r="G309" s="1"/>
      <c r="H309" s="1"/>
      <c r="I309" s="1"/>
      <c r="J309" s="1"/>
      <c r="K309" s="1"/>
      <c r="L309" s="1"/>
      <c r="M309" s="1"/>
      <c r="N309" s="1"/>
      <c r="O309" s="1"/>
      <c r="P309" s="1"/>
      <c r="Q309" s="1"/>
      <c r="R309" s="1"/>
      <c r="S309" s="1"/>
      <c r="T309" s="1"/>
      <c r="U309" s="1"/>
      <c r="V309" s="1"/>
      <c r="W309" s="1"/>
      <c r="X309" s="1"/>
      <c r="Y309" s="1"/>
      <c r="Z309" s="1"/>
    </row>
    <row r="310" spans="1:26" ht="19.5" customHeight="1">
      <c r="A310" s="1"/>
      <c r="B310" s="2"/>
      <c r="C310" s="1"/>
      <c r="D310" s="1"/>
      <c r="E310" s="2"/>
      <c r="F310" s="1"/>
      <c r="G310" s="1"/>
      <c r="H310" s="1"/>
      <c r="I310" s="1"/>
      <c r="J310" s="1"/>
      <c r="K310" s="1"/>
      <c r="L310" s="1"/>
      <c r="M310" s="1"/>
      <c r="N310" s="1"/>
      <c r="O310" s="1"/>
      <c r="P310" s="1"/>
      <c r="Q310" s="1"/>
      <c r="R310" s="1"/>
      <c r="S310" s="1"/>
      <c r="T310" s="1"/>
      <c r="U310" s="1"/>
      <c r="V310" s="1"/>
      <c r="W310" s="1"/>
      <c r="X310" s="1"/>
      <c r="Y310" s="1"/>
      <c r="Z310" s="1"/>
    </row>
    <row r="311" spans="1:26" ht="19.5" customHeight="1">
      <c r="A311" s="1"/>
      <c r="B311" s="2"/>
      <c r="C311" s="1"/>
      <c r="D311" s="1"/>
      <c r="E311" s="2"/>
      <c r="F311" s="1"/>
      <c r="G311" s="1"/>
      <c r="H311" s="1"/>
      <c r="I311" s="1"/>
      <c r="J311" s="1"/>
      <c r="K311" s="1"/>
      <c r="L311" s="1"/>
      <c r="M311" s="1"/>
      <c r="N311" s="1"/>
      <c r="O311" s="1"/>
      <c r="P311" s="1"/>
      <c r="Q311" s="1"/>
      <c r="R311" s="1"/>
      <c r="S311" s="1"/>
      <c r="T311" s="1"/>
      <c r="U311" s="1"/>
      <c r="V311" s="1"/>
      <c r="W311" s="1"/>
      <c r="X311" s="1"/>
      <c r="Y311" s="1"/>
      <c r="Z311" s="1"/>
    </row>
    <row r="312" spans="1:26" ht="19.5" customHeight="1">
      <c r="A312" s="1"/>
      <c r="B312" s="2"/>
      <c r="C312" s="1"/>
      <c r="D312" s="1"/>
      <c r="E312" s="2"/>
      <c r="F312" s="1"/>
      <c r="G312" s="1"/>
      <c r="H312" s="1"/>
      <c r="I312" s="1"/>
      <c r="J312" s="1"/>
      <c r="K312" s="1"/>
      <c r="L312" s="1"/>
      <c r="M312" s="1"/>
      <c r="N312" s="1"/>
      <c r="O312" s="1"/>
      <c r="P312" s="1"/>
      <c r="Q312" s="1"/>
      <c r="R312" s="1"/>
      <c r="S312" s="1"/>
      <c r="T312" s="1"/>
      <c r="U312" s="1"/>
      <c r="V312" s="1"/>
      <c r="W312" s="1"/>
      <c r="X312" s="1"/>
      <c r="Y312" s="1"/>
      <c r="Z312" s="1"/>
    </row>
    <row r="313" spans="1:26" ht="19.5" customHeight="1">
      <c r="A313" s="1"/>
      <c r="B313" s="2"/>
      <c r="C313" s="1"/>
      <c r="D313" s="1"/>
      <c r="E313" s="2"/>
      <c r="F313" s="1"/>
      <c r="G313" s="1"/>
      <c r="H313" s="1"/>
      <c r="I313" s="1"/>
      <c r="J313" s="1"/>
      <c r="K313" s="1"/>
      <c r="L313" s="1"/>
      <c r="M313" s="1"/>
      <c r="N313" s="1"/>
      <c r="O313" s="1"/>
      <c r="P313" s="1"/>
      <c r="Q313" s="1"/>
      <c r="R313" s="1"/>
      <c r="S313" s="1"/>
      <c r="T313" s="1"/>
      <c r="U313" s="1"/>
      <c r="V313" s="1"/>
      <c r="W313" s="1"/>
      <c r="X313" s="1"/>
      <c r="Y313" s="1"/>
      <c r="Z313" s="1"/>
    </row>
    <row r="314" spans="1:26" ht="19.5" customHeight="1">
      <c r="A314" s="1"/>
      <c r="B314" s="2"/>
      <c r="C314" s="1"/>
      <c r="D314" s="1"/>
      <c r="E314" s="2"/>
      <c r="F314" s="1"/>
      <c r="G314" s="1"/>
      <c r="H314" s="1"/>
      <c r="I314" s="1"/>
      <c r="J314" s="1"/>
      <c r="K314" s="1"/>
      <c r="L314" s="1"/>
      <c r="M314" s="1"/>
      <c r="N314" s="1"/>
      <c r="O314" s="1"/>
      <c r="P314" s="1"/>
      <c r="Q314" s="1"/>
      <c r="R314" s="1"/>
      <c r="S314" s="1"/>
      <c r="T314" s="1"/>
      <c r="U314" s="1"/>
      <c r="V314" s="1"/>
      <c r="W314" s="1"/>
      <c r="X314" s="1"/>
      <c r="Y314" s="1"/>
      <c r="Z314" s="1"/>
    </row>
    <row r="315" spans="1:26" ht="19.5" customHeight="1">
      <c r="A315" s="1"/>
      <c r="B315" s="2"/>
      <c r="C315" s="1"/>
      <c r="D315" s="1"/>
      <c r="E315" s="2"/>
      <c r="F315" s="1"/>
      <c r="G315" s="1"/>
      <c r="H315" s="1"/>
      <c r="I315" s="1"/>
      <c r="J315" s="1"/>
      <c r="K315" s="1"/>
      <c r="L315" s="1"/>
      <c r="M315" s="1"/>
      <c r="N315" s="1"/>
      <c r="O315" s="1"/>
      <c r="P315" s="1"/>
      <c r="Q315" s="1"/>
      <c r="R315" s="1"/>
      <c r="S315" s="1"/>
      <c r="T315" s="1"/>
      <c r="U315" s="1"/>
      <c r="V315" s="1"/>
      <c r="W315" s="1"/>
      <c r="X315" s="1"/>
      <c r="Y315" s="1"/>
      <c r="Z315" s="1"/>
    </row>
    <row r="316" spans="1:26" ht="19.5" customHeight="1">
      <c r="A316" s="1"/>
      <c r="B316" s="2"/>
      <c r="C316" s="1"/>
      <c r="D316" s="1"/>
      <c r="E316" s="2"/>
      <c r="F316" s="1"/>
      <c r="G316" s="1"/>
      <c r="H316" s="1"/>
      <c r="I316" s="1"/>
      <c r="J316" s="1"/>
      <c r="K316" s="1"/>
      <c r="L316" s="1"/>
      <c r="M316" s="1"/>
      <c r="N316" s="1"/>
      <c r="O316" s="1"/>
      <c r="P316" s="1"/>
      <c r="Q316" s="1"/>
      <c r="R316" s="1"/>
      <c r="S316" s="1"/>
      <c r="T316" s="1"/>
      <c r="U316" s="1"/>
      <c r="V316" s="1"/>
      <c r="W316" s="1"/>
      <c r="X316" s="1"/>
      <c r="Y316" s="1"/>
      <c r="Z316" s="1"/>
    </row>
    <row r="317" spans="1:26" ht="19.5" customHeight="1">
      <c r="A317" s="1"/>
      <c r="B317" s="2"/>
      <c r="C317" s="1"/>
      <c r="D317" s="1"/>
      <c r="E317" s="2"/>
      <c r="F317" s="1"/>
      <c r="G317" s="1"/>
      <c r="H317" s="1"/>
      <c r="I317" s="1"/>
      <c r="J317" s="1"/>
      <c r="K317" s="1"/>
      <c r="L317" s="1"/>
      <c r="M317" s="1"/>
      <c r="N317" s="1"/>
      <c r="O317" s="1"/>
      <c r="P317" s="1"/>
      <c r="Q317" s="1"/>
      <c r="R317" s="1"/>
      <c r="S317" s="1"/>
      <c r="T317" s="1"/>
      <c r="U317" s="1"/>
      <c r="V317" s="1"/>
      <c r="W317" s="1"/>
      <c r="X317" s="1"/>
      <c r="Y317" s="1"/>
      <c r="Z317" s="1"/>
    </row>
    <row r="318" spans="1:26" ht="19.5" customHeight="1">
      <c r="A318" s="1"/>
      <c r="B318" s="2"/>
      <c r="C318" s="1"/>
      <c r="D318" s="1"/>
      <c r="E318" s="2"/>
      <c r="F318" s="1"/>
      <c r="G318" s="1"/>
      <c r="H318" s="1"/>
      <c r="I318" s="1"/>
      <c r="J318" s="1"/>
      <c r="K318" s="1"/>
      <c r="L318" s="1"/>
      <c r="M318" s="1"/>
      <c r="N318" s="1"/>
      <c r="O318" s="1"/>
      <c r="P318" s="1"/>
      <c r="Q318" s="1"/>
      <c r="R318" s="1"/>
      <c r="S318" s="1"/>
      <c r="T318" s="1"/>
      <c r="U318" s="1"/>
      <c r="V318" s="1"/>
      <c r="W318" s="1"/>
      <c r="X318" s="1"/>
      <c r="Y318" s="1"/>
      <c r="Z318" s="1"/>
    </row>
    <row r="319" spans="1:26" ht="19.5" customHeight="1">
      <c r="A319" s="1"/>
      <c r="B319" s="2"/>
      <c r="C319" s="1"/>
      <c r="D319" s="1"/>
      <c r="E319" s="2"/>
      <c r="F319" s="1"/>
      <c r="G319" s="1"/>
      <c r="H319" s="1"/>
      <c r="I319" s="1"/>
      <c r="J319" s="1"/>
      <c r="K319" s="1"/>
      <c r="L319" s="1"/>
      <c r="M319" s="1"/>
      <c r="N319" s="1"/>
      <c r="O319" s="1"/>
      <c r="P319" s="1"/>
      <c r="Q319" s="1"/>
      <c r="R319" s="1"/>
      <c r="S319" s="1"/>
      <c r="T319" s="1"/>
      <c r="U319" s="1"/>
      <c r="V319" s="1"/>
      <c r="W319" s="1"/>
      <c r="X319" s="1"/>
      <c r="Y319" s="1"/>
      <c r="Z319" s="1"/>
    </row>
    <row r="320" spans="1:26" ht="19.5" customHeight="1">
      <c r="A320" s="1"/>
      <c r="B320" s="2"/>
      <c r="C320" s="1"/>
      <c r="D320" s="1"/>
      <c r="E320" s="2"/>
      <c r="F320" s="1"/>
      <c r="G320" s="1"/>
      <c r="H320" s="1"/>
      <c r="I320" s="1"/>
      <c r="J320" s="1"/>
      <c r="K320" s="1"/>
      <c r="L320" s="1"/>
      <c r="M320" s="1"/>
      <c r="N320" s="1"/>
      <c r="O320" s="1"/>
      <c r="P320" s="1"/>
      <c r="Q320" s="1"/>
      <c r="R320" s="1"/>
      <c r="S320" s="1"/>
      <c r="T320" s="1"/>
      <c r="U320" s="1"/>
      <c r="V320" s="1"/>
      <c r="W320" s="1"/>
      <c r="X320" s="1"/>
      <c r="Y320" s="1"/>
      <c r="Z320" s="1"/>
    </row>
    <row r="321" spans="1:26" ht="19.5" customHeight="1">
      <c r="A321" s="1"/>
      <c r="B321" s="2"/>
      <c r="C321" s="1"/>
      <c r="D321" s="1"/>
      <c r="E321" s="2"/>
      <c r="F321" s="1"/>
      <c r="G321" s="1"/>
      <c r="H321" s="1"/>
      <c r="I321" s="1"/>
      <c r="J321" s="1"/>
      <c r="K321" s="1"/>
      <c r="L321" s="1"/>
      <c r="M321" s="1"/>
      <c r="N321" s="1"/>
      <c r="O321" s="1"/>
      <c r="P321" s="1"/>
      <c r="Q321" s="1"/>
      <c r="R321" s="1"/>
      <c r="S321" s="1"/>
      <c r="T321" s="1"/>
      <c r="U321" s="1"/>
      <c r="V321" s="1"/>
      <c r="W321" s="1"/>
      <c r="X321" s="1"/>
      <c r="Y321" s="1"/>
      <c r="Z321" s="1"/>
    </row>
    <row r="322" spans="1:26" ht="19.5" customHeight="1">
      <c r="A322" s="1"/>
      <c r="B322" s="2"/>
      <c r="C322" s="1"/>
      <c r="D322" s="1"/>
      <c r="E322" s="2"/>
      <c r="F322" s="1"/>
      <c r="G322" s="1"/>
      <c r="H322" s="1"/>
      <c r="I322" s="1"/>
      <c r="J322" s="1"/>
      <c r="K322" s="1"/>
      <c r="L322" s="1"/>
      <c r="M322" s="1"/>
      <c r="N322" s="1"/>
      <c r="O322" s="1"/>
      <c r="P322" s="1"/>
      <c r="Q322" s="1"/>
      <c r="R322" s="1"/>
      <c r="S322" s="1"/>
      <c r="T322" s="1"/>
      <c r="U322" s="1"/>
      <c r="V322" s="1"/>
      <c r="W322" s="1"/>
      <c r="X322" s="1"/>
      <c r="Y322" s="1"/>
      <c r="Z322" s="1"/>
    </row>
    <row r="323" spans="1:26" ht="19.5" customHeight="1">
      <c r="A323" s="1"/>
      <c r="B323" s="2"/>
      <c r="C323" s="1"/>
      <c r="D323" s="1"/>
      <c r="E323" s="2"/>
      <c r="F323" s="1"/>
      <c r="G323" s="1"/>
      <c r="H323" s="1"/>
      <c r="I323" s="1"/>
      <c r="J323" s="1"/>
      <c r="K323" s="1"/>
      <c r="L323" s="1"/>
      <c r="M323" s="1"/>
      <c r="N323" s="1"/>
      <c r="O323" s="1"/>
      <c r="P323" s="1"/>
      <c r="Q323" s="1"/>
      <c r="R323" s="1"/>
      <c r="S323" s="1"/>
      <c r="T323" s="1"/>
      <c r="U323" s="1"/>
      <c r="V323" s="1"/>
      <c r="W323" s="1"/>
      <c r="X323" s="1"/>
      <c r="Y323" s="1"/>
      <c r="Z323" s="1"/>
    </row>
    <row r="324" spans="1:26" ht="19.5" customHeight="1">
      <c r="A324" s="1"/>
      <c r="B324" s="2"/>
      <c r="C324" s="1"/>
      <c r="D324" s="1"/>
      <c r="E324" s="2"/>
      <c r="F324" s="1"/>
      <c r="G324" s="1"/>
      <c r="H324" s="1"/>
      <c r="I324" s="1"/>
      <c r="J324" s="1"/>
      <c r="K324" s="1"/>
      <c r="L324" s="1"/>
      <c r="M324" s="1"/>
      <c r="N324" s="1"/>
      <c r="O324" s="1"/>
      <c r="P324" s="1"/>
      <c r="Q324" s="1"/>
      <c r="R324" s="1"/>
      <c r="S324" s="1"/>
      <c r="T324" s="1"/>
      <c r="U324" s="1"/>
      <c r="V324" s="1"/>
      <c r="W324" s="1"/>
      <c r="X324" s="1"/>
      <c r="Y324" s="1"/>
      <c r="Z324" s="1"/>
    </row>
    <row r="325" spans="1:26" ht="19.5" customHeight="1">
      <c r="A325" s="1"/>
      <c r="B325" s="2"/>
      <c r="C325" s="1"/>
      <c r="D325" s="1"/>
      <c r="E325" s="2"/>
      <c r="F325" s="1"/>
      <c r="G325" s="1"/>
      <c r="H325" s="1"/>
      <c r="I325" s="1"/>
      <c r="J325" s="1"/>
      <c r="K325" s="1"/>
      <c r="L325" s="1"/>
      <c r="M325" s="1"/>
      <c r="N325" s="1"/>
      <c r="O325" s="1"/>
      <c r="P325" s="1"/>
      <c r="Q325" s="1"/>
      <c r="R325" s="1"/>
      <c r="S325" s="1"/>
      <c r="T325" s="1"/>
      <c r="U325" s="1"/>
      <c r="V325" s="1"/>
      <c r="W325" s="1"/>
      <c r="X325" s="1"/>
      <c r="Y325" s="1"/>
      <c r="Z325" s="1"/>
    </row>
    <row r="326" spans="1:26" ht="19.5" customHeight="1">
      <c r="A326" s="1"/>
      <c r="B326" s="2"/>
      <c r="C326" s="1"/>
      <c r="D326" s="1"/>
      <c r="E326" s="2"/>
      <c r="F326" s="1"/>
      <c r="G326" s="1"/>
      <c r="H326" s="1"/>
      <c r="I326" s="1"/>
      <c r="J326" s="1"/>
      <c r="K326" s="1"/>
      <c r="L326" s="1"/>
      <c r="M326" s="1"/>
      <c r="N326" s="1"/>
      <c r="O326" s="1"/>
      <c r="P326" s="1"/>
      <c r="Q326" s="1"/>
      <c r="R326" s="1"/>
      <c r="S326" s="1"/>
      <c r="T326" s="1"/>
      <c r="U326" s="1"/>
      <c r="V326" s="1"/>
      <c r="W326" s="1"/>
      <c r="X326" s="1"/>
      <c r="Y326" s="1"/>
      <c r="Z326" s="1"/>
    </row>
    <row r="327" spans="1:26" ht="19.5" customHeight="1">
      <c r="A327" s="1"/>
      <c r="B327" s="2"/>
      <c r="C327" s="1"/>
      <c r="D327" s="1"/>
      <c r="E327" s="2"/>
      <c r="F327" s="1"/>
      <c r="G327" s="1"/>
      <c r="H327" s="1"/>
      <c r="I327" s="1"/>
      <c r="J327" s="1"/>
      <c r="K327" s="1"/>
      <c r="L327" s="1"/>
      <c r="M327" s="1"/>
      <c r="N327" s="1"/>
      <c r="O327" s="1"/>
      <c r="P327" s="1"/>
      <c r="Q327" s="1"/>
      <c r="R327" s="1"/>
      <c r="S327" s="1"/>
      <c r="T327" s="1"/>
      <c r="U327" s="1"/>
      <c r="V327" s="1"/>
      <c r="W327" s="1"/>
      <c r="X327" s="1"/>
      <c r="Y327" s="1"/>
      <c r="Z327" s="1"/>
    </row>
    <row r="328" spans="1:26" ht="19.5" customHeight="1">
      <c r="A328" s="1"/>
      <c r="B328" s="2"/>
      <c r="C328" s="1"/>
      <c r="D328" s="1"/>
      <c r="E328" s="2"/>
      <c r="F328" s="1"/>
      <c r="G328" s="1"/>
      <c r="H328" s="1"/>
      <c r="I328" s="1"/>
      <c r="J328" s="1"/>
      <c r="K328" s="1"/>
      <c r="L328" s="1"/>
      <c r="M328" s="1"/>
      <c r="N328" s="1"/>
      <c r="O328" s="1"/>
      <c r="P328" s="1"/>
      <c r="Q328" s="1"/>
      <c r="R328" s="1"/>
      <c r="S328" s="1"/>
      <c r="T328" s="1"/>
      <c r="U328" s="1"/>
      <c r="V328" s="1"/>
      <c r="W328" s="1"/>
      <c r="X328" s="1"/>
      <c r="Y328" s="1"/>
      <c r="Z328" s="1"/>
    </row>
    <row r="329" spans="1:26" ht="19.5" customHeight="1">
      <c r="A329" s="1"/>
      <c r="B329" s="2"/>
      <c r="C329" s="1"/>
      <c r="D329" s="1"/>
      <c r="E329" s="2"/>
      <c r="F329" s="1"/>
      <c r="G329" s="1"/>
      <c r="H329" s="1"/>
      <c r="I329" s="1"/>
      <c r="J329" s="1"/>
      <c r="K329" s="1"/>
      <c r="L329" s="1"/>
      <c r="M329" s="1"/>
      <c r="N329" s="1"/>
      <c r="O329" s="1"/>
      <c r="P329" s="1"/>
      <c r="Q329" s="1"/>
      <c r="R329" s="1"/>
      <c r="S329" s="1"/>
      <c r="T329" s="1"/>
      <c r="U329" s="1"/>
      <c r="V329" s="1"/>
      <c r="W329" s="1"/>
      <c r="X329" s="1"/>
      <c r="Y329" s="1"/>
      <c r="Z329" s="1"/>
    </row>
    <row r="330" spans="1:26" ht="19.5" customHeight="1">
      <c r="A330" s="1"/>
      <c r="B330" s="2"/>
      <c r="C330" s="1"/>
      <c r="D330" s="1"/>
      <c r="E330" s="2"/>
      <c r="F330" s="1"/>
      <c r="G330" s="1"/>
      <c r="H330" s="1"/>
      <c r="I330" s="1"/>
      <c r="J330" s="1"/>
      <c r="K330" s="1"/>
      <c r="L330" s="1"/>
      <c r="M330" s="1"/>
      <c r="N330" s="1"/>
      <c r="O330" s="1"/>
      <c r="P330" s="1"/>
      <c r="Q330" s="1"/>
      <c r="R330" s="1"/>
      <c r="S330" s="1"/>
      <c r="T330" s="1"/>
      <c r="U330" s="1"/>
      <c r="V330" s="1"/>
      <c r="W330" s="1"/>
      <c r="X330" s="1"/>
      <c r="Y330" s="1"/>
      <c r="Z330" s="1"/>
    </row>
    <row r="331" spans="1:26" ht="19.5" customHeight="1">
      <c r="A331" s="1"/>
      <c r="B331" s="2"/>
      <c r="C331" s="1"/>
      <c r="D331" s="1"/>
      <c r="E331" s="2"/>
      <c r="F331" s="1"/>
      <c r="G331" s="1"/>
      <c r="H331" s="1"/>
      <c r="I331" s="1"/>
      <c r="J331" s="1"/>
      <c r="K331" s="1"/>
      <c r="L331" s="1"/>
      <c r="M331" s="1"/>
      <c r="N331" s="1"/>
      <c r="O331" s="1"/>
      <c r="P331" s="1"/>
      <c r="Q331" s="1"/>
      <c r="R331" s="1"/>
      <c r="S331" s="1"/>
      <c r="T331" s="1"/>
      <c r="U331" s="1"/>
      <c r="V331" s="1"/>
      <c r="W331" s="1"/>
      <c r="X331" s="1"/>
      <c r="Y331" s="1"/>
      <c r="Z331" s="1"/>
    </row>
    <row r="332" spans="1:26" ht="19.5" customHeight="1">
      <c r="A332" s="1"/>
      <c r="B332" s="2"/>
      <c r="C332" s="1"/>
      <c r="D332" s="1"/>
      <c r="E332" s="2"/>
      <c r="F332" s="1"/>
      <c r="G332" s="1"/>
      <c r="H332" s="1"/>
      <c r="I332" s="1"/>
      <c r="J332" s="1"/>
      <c r="K332" s="1"/>
      <c r="L332" s="1"/>
      <c r="M332" s="1"/>
      <c r="N332" s="1"/>
      <c r="O332" s="1"/>
      <c r="P332" s="1"/>
      <c r="Q332" s="1"/>
      <c r="R332" s="1"/>
      <c r="S332" s="1"/>
      <c r="T332" s="1"/>
      <c r="U332" s="1"/>
      <c r="V332" s="1"/>
      <c r="W332" s="1"/>
      <c r="X332" s="1"/>
      <c r="Y332" s="1"/>
      <c r="Z332" s="1"/>
    </row>
    <row r="333" spans="1:26" ht="19.5" customHeight="1">
      <c r="A333" s="1"/>
      <c r="B333" s="2"/>
      <c r="C333" s="1"/>
      <c r="D333" s="1"/>
      <c r="E333" s="2"/>
      <c r="F333" s="1"/>
      <c r="G333" s="1"/>
      <c r="H333" s="1"/>
      <c r="I333" s="1"/>
      <c r="J333" s="1"/>
      <c r="K333" s="1"/>
      <c r="L333" s="1"/>
      <c r="M333" s="1"/>
      <c r="N333" s="1"/>
      <c r="O333" s="1"/>
      <c r="P333" s="1"/>
      <c r="Q333" s="1"/>
      <c r="R333" s="1"/>
      <c r="S333" s="1"/>
      <c r="T333" s="1"/>
      <c r="U333" s="1"/>
      <c r="V333" s="1"/>
      <c r="W333" s="1"/>
      <c r="X333" s="1"/>
      <c r="Y333" s="1"/>
      <c r="Z333" s="1"/>
    </row>
    <row r="334" spans="1:26" ht="19.5" customHeight="1">
      <c r="A334" s="1"/>
      <c r="B334" s="2"/>
      <c r="C334" s="1"/>
      <c r="D334" s="1"/>
      <c r="E334" s="2"/>
      <c r="F334" s="1"/>
      <c r="G334" s="1"/>
      <c r="H334" s="1"/>
      <c r="I334" s="1"/>
      <c r="J334" s="1"/>
      <c r="K334" s="1"/>
      <c r="L334" s="1"/>
      <c r="M334" s="1"/>
      <c r="N334" s="1"/>
      <c r="O334" s="1"/>
      <c r="P334" s="1"/>
      <c r="Q334" s="1"/>
      <c r="R334" s="1"/>
      <c r="S334" s="1"/>
      <c r="T334" s="1"/>
      <c r="U334" s="1"/>
      <c r="V334" s="1"/>
      <c r="W334" s="1"/>
      <c r="X334" s="1"/>
      <c r="Y334" s="1"/>
      <c r="Z334" s="1"/>
    </row>
    <row r="335" spans="1:26" ht="19.5" customHeight="1">
      <c r="A335" s="1"/>
      <c r="B335" s="2"/>
      <c r="C335" s="1"/>
      <c r="D335" s="1"/>
      <c r="E335" s="2"/>
      <c r="F335" s="1"/>
      <c r="G335" s="1"/>
      <c r="H335" s="1"/>
      <c r="I335" s="1"/>
      <c r="J335" s="1"/>
      <c r="K335" s="1"/>
      <c r="L335" s="1"/>
      <c r="M335" s="1"/>
      <c r="N335" s="1"/>
      <c r="O335" s="1"/>
      <c r="P335" s="1"/>
      <c r="Q335" s="1"/>
      <c r="R335" s="1"/>
      <c r="S335" s="1"/>
      <c r="T335" s="1"/>
      <c r="U335" s="1"/>
      <c r="V335" s="1"/>
      <c r="W335" s="1"/>
      <c r="X335" s="1"/>
      <c r="Y335" s="1"/>
      <c r="Z335" s="1"/>
    </row>
    <row r="336" spans="1:26" ht="19.5" customHeight="1">
      <c r="A336" s="1"/>
      <c r="B336" s="2"/>
      <c r="C336" s="1"/>
      <c r="D336" s="1"/>
      <c r="E336" s="2"/>
      <c r="F336" s="1"/>
      <c r="G336" s="1"/>
      <c r="H336" s="1"/>
      <c r="I336" s="1"/>
      <c r="J336" s="1"/>
      <c r="K336" s="1"/>
      <c r="L336" s="1"/>
      <c r="M336" s="1"/>
      <c r="N336" s="1"/>
      <c r="O336" s="1"/>
      <c r="P336" s="1"/>
      <c r="Q336" s="1"/>
      <c r="R336" s="1"/>
      <c r="S336" s="1"/>
      <c r="T336" s="1"/>
      <c r="U336" s="1"/>
      <c r="V336" s="1"/>
      <c r="W336" s="1"/>
      <c r="X336" s="1"/>
      <c r="Y336" s="1"/>
      <c r="Z336" s="1"/>
    </row>
    <row r="337" spans="1:26" ht="19.5" customHeight="1">
      <c r="A337" s="1"/>
      <c r="B337" s="2"/>
      <c r="C337" s="1"/>
      <c r="D337" s="1"/>
      <c r="E337" s="2"/>
      <c r="F337" s="1"/>
      <c r="G337" s="1"/>
      <c r="H337" s="1"/>
      <c r="I337" s="1"/>
      <c r="J337" s="1"/>
      <c r="K337" s="1"/>
      <c r="L337" s="1"/>
      <c r="M337" s="1"/>
      <c r="N337" s="1"/>
      <c r="O337" s="1"/>
      <c r="P337" s="1"/>
      <c r="Q337" s="1"/>
      <c r="R337" s="1"/>
      <c r="S337" s="1"/>
      <c r="T337" s="1"/>
      <c r="U337" s="1"/>
      <c r="V337" s="1"/>
      <c r="W337" s="1"/>
      <c r="X337" s="1"/>
      <c r="Y337" s="1"/>
      <c r="Z337" s="1"/>
    </row>
    <row r="338" spans="1:26" ht="19.5" customHeight="1">
      <c r="A338" s="1"/>
      <c r="B338" s="2"/>
      <c r="C338" s="1"/>
      <c r="D338" s="1"/>
      <c r="E338" s="2"/>
      <c r="F338" s="1"/>
      <c r="G338" s="1"/>
      <c r="H338" s="1"/>
      <c r="I338" s="1"/>
      <c r="J338" s="1"/>
      <c r="K338" s="1"/>
      <c r="L338" s="1"/>
      <c r="M338" s="1"/>
      <c r="N338" s="1"/>
      <c r="O338" s="1"/>
      <c r="P338" s="1"/>
      <c r="Q338" s="1"/>
      <c r="R338" s="1"/>
      <c r="S338" s="1"/>
      <c r="T338" s="1"/>
      <c r="U338" s="1"/>
      <c r="V338" s="1"/>
      <c r="W338" s="1"/>
      <c r="X338" s="1"/>
      <c r="Y338" s="1"/>
      <c r="Z338" s="1"/>
    </row>
    <row r="339" spans="1:26" ht="19.5" customHeight="1">
      <c r="A339" s="1"/>
      <c r="B339" s="2"/>
      <c r="C339" s="1"/>
      <c r="D339" s="1"/>
      <c r="E339" s="2"/>
      <c r="F339" s="1"/>
      <c r="G339" s="1"/>
      <c r="H339" s="1"/>
      <c r="I339" s="1"/>
      <c r="J339" s="1"/>
      <c r="K339" s="1"/>
      <c r="L339" s="1"/>
      <c r="M339" s="1"/>
      <c r="N339" s="1"/>
      <c r="O339" s="1"/>
      <c r="P339" s="1"/>
      <c r="Q339" s="1"/>
      <c r="R339" s="1"/>
      <c r="S339" s="1"/>
      <c r="T339" s="1"/>
      <c r="U339" s="1"/>
      <c r="V339" s="1"/>
      <c r="W339" s="1"/>
      <c r="X339" s="1"/>
      <c r="Y339" s="1"/>
      <c r="Z339" s="1"/>
    </row>
    <row r="340" spans="1:26" ht="19.5" customHeight="1">
      <c r="A340" s="1"/>
      <c r="B340" s="2"/>
      <c r="C340" s="1"/>
      <c r="D340" s="1"/>
      <c r="E340" s="2"/>
      <c r="F340" s="1"/>
      <c r="G340" s="1"/>
      <c r="H340" s="1"/>
      <c r="I340" s="1"/>
      <c r="J340" s="1"/>
      <c r="K340" s="1"/>
      <c r="L340" s="1"/>
      <c r="M340" s="1"/>
      <c r="N340" s="1"/>
      <c r="O340" s="1"/>
      <c r="P340" s="1"/>
      <c r="Q340" s="1"/>
      <c r="R340" s="1"/>
      <c r="S340" s="1"/>
      <c r="T340" s="1"/>
      <c r="U340" s="1"/>
      <c r="V340" s="1"/>
      <c r="W340" s="1"/>
      <c r="X340" s="1"/>
      <c r="Y340" s="1"/>
      <c r="Z340" s="1"/>
    </row>
    <row r="341" spans="1:26" ht="19.5" customHeight="1">
      <c r="A341" s="1"/>
      <c r="B341" s="2"/>
      <c r="C341" s="1"/>
      <c r="D341" s="1"/>
      <c r="E341" s="2"/>
      <c r="F341" s="1"/>
      <c r="G341" s="1"/>
      <c r="H341" s="1"/>
      <c r="I341" s="1"/>
      <c r="J341" s="1"/>
      <c r="K341" s="1"/>
      <c r="L341" s="1"/>
      <c r="M341" s="1"/>
      <c r="N341" s="1"/>
      <c r="O341" s="1"/>
      <c r="P341" s="1"/>
      <c r="Q341" s="1"/>
      <c r="R341" s="1"/>
      <c r="S341" s="1"/>
      <c r="T341" s="1"/>
      <c r="U341" s="1"/>
      <c r="V341" s="1"/>
      <c r="W341" s="1"/>
      <c r="X341" s="1"/>
      <c r="Y341" s="1"/>
      <c r="Z341" s="1"/>
    </row>
    <row r="342" spans="1:26" ht="19.5" customHeight="1">
      <c r="A342" s="1"/>
      <c r="B342" s="2"/>
      <c r="C342" s="1"/>
      <c r="D342" s="1"/>
      <c r="E342" s="2"/>
      <c r="F342" s="1"/>
      <c r="G342" s="1"/>
      <c r="H342" s="1"/>
      <c r="I342" s="1"/>
      <c r="J342" s="1"/>
      <c r="K342" s="1"/>
      <c r="L342" s="1"/>
      <c r="M342" s="1"/>
      <c r="N342" s="1"/>
      <c r="O342" s="1"/>
      <c r="P342" s="1"/>
      <c r="Q342" s="1"/>
      <c r="R342" s="1"/>
      <c r="S342" s="1"/>
      <c r="T342" s="1"/>
      <c r="U342" s="1"/>
      <c r="V342" s="1"/>
      <c r="W342" s="1"/>
      <c r="X342" s="1"/>
      <c r="Y342" s="1"/>
      <c r="Z342" s="1"/>
    </row>
    <row r="343" spans="1:26" ht="19.5" customHeight="1">
      <c r="A343" s="1"/>
      <c r="B343" s="2"/>
      <c r="C343" s="1"/>
      <c r="D343" s="1"/>
      <c r="E343" s="2"/>
      <c r="F343" s="1"/>
      <c r="G343" s="1"/>
      <c r="H343" s="1"/>
      <c r="I343" s="1"/>
      <c r="J343" s="1"/>
      <c r="K343" s="1"/>
      <c r="L343" s="1"/>
      <c r="M343" s="1"/>
      <c r="N343" s="1"/>
      <c r="O343" s="1"/>
      <c r="P343" s="1"/>
      <c r="Q343" s="1"/>
      <c r="R343" s="1"/>
      <c r="S343" s="1"/>
      <c r="T343" s="1"/>
      <c r="U343" s="1"/>
      <c r="V343" s="1"/>
      <c r="W343" s="1"/>
      <c r="X343" s="1"/>
      <c r="Y343" s="1"/>
      <c r="Z343" s="1"/>
    </row>
    <row r="344" spans="1:26" ht="19.5" customHeight="1">
      <c r="A344" s="1"/>
      <c r="B344" s="2"/>
      <c r="C344" s="1"/>
      <c r="D344" s="1"/>
      <c r="E344" s="2"/>
      <c r="F344" s="1"/>
      <c r="G344" s="1"/>
      <c r="H344" s="1"/>
      <c r="I344" s="1"/>
      <c r="J344" s="1"/>
      <c r="K344" s="1"/>
      <c r="L344" s="1"/>
      <c r="M344" s="1"/>
      <c r="N344" s="1"/>
      <c r="O344" s="1"/>
      <c r="P344" s="1"/>
      <c r="Q344" s="1"/>
      <c r="R344" s="1"/>
      <c r="S344" s="1"/>
      <c r="T344" s="1"/>
      <c r="U344" s="1"/>
      <c r="V344" s="1"/>
      <c r="W344" s="1"/>
      <c r="X344" s="1"/>
      <c r="Y344" s="1"/>
      <c r="Z344" s="1"/>
    </row>
    <row r="345" spans="1:26" ht="19.5" customHeight="1">
      <c r="A345" s="1"/>
      <c r="B345" s="2"/>
      <c r="C345" s="1"/>
      <c r="D345" s="1"/>
      <c r="E345" s="2"/>
      <c r="F345" s="1"/>
      <c r="G345" s="1"/>
      <c r="H345" s="1"/>
      <c r="I345" s="1"/>
      <c r="J345" s="1"/>
      <c r="K345" s="1"/>
      <c r="L345" s="1"/>
      <c r="M345" s="1"/>
      <c r="N345" s="1"/>
      <c r="O345" s="1"/>
      <c r="P345" s="1"/>
      <c r="Q345" s="1"/>
      <c r="R345" s="1"/>
      <c r="S345" s="1"/>
      <c r="T345" s="1"/>
      <c r="U345" s="1"/>
      <c r="V345" s="1"/>
      <c r="W345" s="1"/>
      <c r="X345" s="1"/>
      <c r="Y345" s="1"/>
      <c r="Z345" s="1"/>
    </row>
    <row r="346" spans="1:26" ht="19.5" customHeight="1">
      <c r="A346" s="1"/>
      <c r="B346" s="2"/>
      <c r="C346" s="1"/>
      <c r="D346" s="1"/>
      <c r="E346" s="2"/>
      <c r="F346" s="1"/>
      <c r="G346" s="1"/>
      <c r="H346" s="1"/>
      <c r="I346" s="1"/>
      <c r="J346" s="1"/>
      <c r="K346" s="1"/>
      <c r="L346" s="1"/>
      <c r="M346" s="1"/>
      <c r="N346" s="1"/>
      <c r="O346" s="1"/>
      <c r="P346" s="1"/>
      <c r="Q346" s="1"/>
      <c r="R346" s="1"/>
      <c r="S346" s="1"/>
      <c r="T346" s="1"/>
      <c r="U346" s="1"/>
      <c r="V346" s="1"/>
      <c r="W346" s="1"/>
      <c r="X346" s="1"/>
      <c r="Y346" s="1"/>
      <c r="Z346" s="1"/>
    </row>
    <row r="347" spans="1:26" ht="19.5" customHeight="1">
      <c r="A347" s="1"/>
      <c r="B347" s="2"/>
      <c r="C347" s="1"/>
      <c r="D347" s="1"/>
      <c r="E347" s="2"/>
      <c r="F347" s="1"/>
      <c r="G347" s="1"/>
      <c r="H347" s="1"/>
      <c r="I347" s="1"/>
      <c r="J347" s="1"/>
      <c r="K347" s="1"/>
      <c r="L347" s="1"/>
      <c r="M347" s="1"/>
      <c r="N347" s="1"/>
      <c r="O347" s="1"/>
      <c r="P347" s="1"/>
      <c r="Q347" s="1"/>
      <c r="R347" s="1"/>
      <c r="S347" s="1"/>
      <c r="T347" s="1"/>
      <c r="U347" s="1"/>
      <c r="V347" s="1"/>
      <c r="W347" s="1"/>
      <c r="X347" s="1"/>
      <c r="Y347" s="1"/>
      <c r="Z347" s="1"/>
    </row>
    <row r="348" spans="1:26" ht="19.5" customHeight="1">
      <c r="A348" s="1"/>
      <c r="B348" s="2"/>
      <c r="C348" s="1"/>
      <c r="D348" s="1"/>
      <c r="E348" s="2"/>
      <c r="F348" s="1"/>
      <c r="G348" s="1"/>
      <c r="H348" s="1"/>
      <c r="I348" s="1"/>
      <c r="J348" s="1"/>
      <c r="K348" s="1"/>
      <c r="L348" s="1"/>
      <c r="M348" s="1"/>
      <c r="N348" s="1"/>
      <c r="O348" s="1"/>
      <c r="P348" s="1"/>
      <c r="Q348" s="1"/>
      <c r="R348" s="1"/>
      <c r="S348" s="1"/>
      <c r="T348" s="1"/>
      <c r="U348" s="1"/>
      <c r="V348" s="1"/>
      <c r="W348" s="1"/>
      <c r="X348" s="1"/>
      <c r="Y348" s="1"/>
      <c r="Z348" s="1"/>
    </row>
    <row r="349" spans="1:26" ht="19.5" customHeight="1">
      <c r="A349" s="1"/>
      <c r="B349" s="2"/>
      <c r="C349" s="1"/>
      <c r="D349" s="1"/>
      <c r="E349" s="2"/>
      <c r="F349" s="1"/>
      <c r="G349" s="1"/>
      <c r="H349" s="1"/>
      <c r="I349" s="1"/>
      <c r="J349" s="1"/>
      <c r="K349" s="1"/>
      <c r="L349" s="1"/>
      <c r="M349" s="1"/>
      <c r="N349" s="1"/>
      <c r="O349" s="1"/>
      <c r="P349" s="1"/>
      <c r="Q349" s="1"/>
      <c r="R349" s="1"/>
      <c r="S349" s="1"/>
      <c r="T349" s="1"/>
      <c r="U349" s="1"/>
      <c r="V349" s="1"/>
      <c r="W349" s="1"/>
      <c r="X349" s="1"/>
      <c r="Y349" s="1"/>
      <c r="Z349" s="1"/>
    </row>
    <row r="350" spans="1:26" ht="19.5" customHeight="1">
      <c r="A350" s="1"/>
      <c r="B350" s="2"/>
      <c r="C350" s="1"/>
      <c r="D350" s="1"/>
      <c r="E350" s="2"/>
      <c r="F350" s="1"/>
      <c r="G350" s="1"/>
      <c r="H350" s="1"/>
      <c r="I350" s="1"/>
      <c r="J350" s="1"/>
      <c r="K350" s="1"/>
      <c r="L350" s="1"/>
      <c r="M350" s="1"/>
      <c r="N350" s="1"/>
      <c r="O350" s="1"/>
      <c r="P350" s="1"/>
      <c r="Q350" s="1"/>
      <c r="R350" s="1"/>
      <c r="S350" s="1"/>
      <c r="T350" s="1"/>
      <c r="U350" s="1"/>
      <c r="V350" s="1"/>
      <c r="W350" s="1"/>
      <c r="X350" s="1"/>
      <c r="Y350" s="1"/>
      <c r="Z350" s="1"/>
    </row>
    <row r="351" spans="1:26" ht="19.5" customHeight="1">
      <c r="A351" s="1"/>
      <c r="B351" s="2"/>
      <c r="C351" s="1"/>
      <c r="D351" s="1"/>
      <c r="E351" s="2"/>
      <c r="F351" s="1"/>
      <c r="G351" s="1"/>
      <c r="H351" s="1"/>
      <c r="I351" s="1"/>
      <c r="J351" s="1"/>
      <c r="K351" s="1"/>
      <c r="L351" s="1"/>
      <c r="M351" s="1"/>
      <c r="N351" s="1"/>
      <c r="O351" s="1"/>
      <c r="P351" s="1"/>
      <c r="Q351" s="1"/>
      <c r="R351" s="1"/>
      <c r="S351" s="1"/>
      <c r="T351" s="1"/>
      <c r="U351" s="1"/>
      <c r="V351" s="1"/>
      <c r="W351" s="1"/>
      <c r="X351" s="1"/>
      <c r="Y351" s="1"/>
      <c r="Z351" s="1"/>
    </row>
    <row r="352" spans="1:26" ht="19.5" customHeight="1">
      <c r="A352" s="1"/>
      <c r="B352" s="2"/>
      <c r="C352" s="1"/>
      <c r="D352" s="1"/>
      <c r="E352" s="2"/>
      <c r="F352" s="1"/>
      <c r="G352" s="1"/>
      <c r="H352" s="1"/>
      <c r="I352" s="1"/>
      <c r="J352" s="1"/>
      <c r="K352" s="1"/>
      <c r="L352" s="1"/>
      <c r="M352" s="1"/>
      <c r="N352" s="1"/>
      <c r="O352" s="1"/>
      <c r="P352" s="1"/>
      <c r="Q352" s="1"/>
      <c r="R352" s="1"/>
      <c r="S352" s="1"/>
      <c r="T352" s="1"/>
      <c r="U352" s="1"/>
      <c r="V352" s="1"/>
      <c r="W352" s="1"/>
      <c r="X352" s="1"/>
      <c r="Y352" s="1"/>
      <c r="Z352" s="1"/>
    </row>
    <row r="353" spans="1:26" ht="19.5" customHeight="1">
      <c r="A353" s="1"/>
      <c r="B353" s="2"/>
      <c r="C353" s="1"/>
      <c r="D353" s="1"/>
      <c r="E353" s="2"/>
      <c r="F353" s="1"/>
      <c r="G353" s="1"/>
      <c r="H353" s="1"/>
      <c r="I353" s="1"/>
      <c r="J353" s="1"/>
      <c r="K353" s="1"/>
      <c r="L353" s="1"/>
      <c r="M353" s="1"/>
      <c r="N353" s="1"/>
      <c r="O353" s="1"/>
      <c r="P353" s="1"/>
      <c r="Q353" s="1"/>
      <c r="R353" s="1"/>
      <c r="S353" s="1"/>
      <c r="T353" s="1"/>
      <c r="U353" s="1"/>
      <c r="V353" s="1"/>
      <c r="W353" s="1"/>
      <c r="X353" s="1"/>
      <c r="Y353" s="1"/>
      <c r="Z353" s="1"/>
    </row>
    <row r="354" spans="1:26" ht="19.5" customHeight="1">
      <c r="A354" s="1"/>
      <c r="B354" s="2"/>
      <c r="C354" s="1"/>
      <c r="D354" s="1"/>
      <c r="E354" s="2"/>
      <c r="F354" s="1"/>
      <c r="G354" s="1"/>
      <c r="H354" s="1"/>
      <c r="I354" s="1"/>
      <c r="J354" s="1"/>
      <c r="K354" s="1"/>
      <c r="L354" s="1"/>
      <c r="M354" s="1"/>
      <c r="N354" s="1"/>
      <c r="O354" s="1"/>
      <c r="P354" s="1"/>
      <c r="Q354" s="1"/>
      <c r="R354" s="1"/>
      <c r="S354" s="1"/>
      <c r="T354" s="1"/>
      <c r="U354" s="1"/>
      <c r="V354" s="1"/>
      <c r="W354" s="1"/>
      <c r="X354" s="1"/>
      <c r="Y354" s="1"/>
      <c r="Z354" s="1"/>
    </row>
    <row r="355" spans="1:26" ht="19.5" customHeight="1">
      <c r="A355" s="1"/>
      <c r="B355" s="2"/>
      <c r="C355" s="1"/>
      <c r="D355" s="1"/>
      <c r="E355" s="2"/>
      <c r="F355" s="1"/>
      <c r="G355" s="1"/>
      <c r="H355" s="1"/>
      <c r="I355" s="1"/>
      <c r="J355" s="1"/>
      <c r="K355" s="1"/>
      <c r="L355" s="1"/>
      <c r="M355" s="1"/>
      <c r="N355" s="1"/>
      <c r="O355" s="1"/>
      <c r="P355" s="1"/>
      <c r="Q355" s="1"/>
      <c r="R355" s="1"/>
      <c r="S355" s="1"/>
      <c r="T355" s="1"/>
      <c r="U355" s="1"/>
      <c r="V355" s="1"/>
      <c r="W355" s="1"/>
      <c r="X355" s="1"/>
      <c r="Y355" s="1"/>
      <c r="Z355" s="1"/>
    </row>
    <row r="356" spans="1:26" ht="19.5" customHeight="1">
      <c r="A356" s="1"/>
      <c r="B356" s="2"/>
      <c r="C356" s="1"/>
      <c r="D356" s="1"/>
      <c r="E356" s="2"/>
      <c r="F356" s="1"/>
      <c r="G356" s="1"/>
      <c r="H356" s="1"/>
      <c r="I356" s="1"/>
      <c r="J356" s="1"/>
      <c r="K356" s="1"/>
      <c r="L356" s="1"/>
      <c r="M356" s="1"/>
      <c r="N356" s="1"/>
      <c r="O356" s="1"/>
      <c r="P356" s="1"/>
      <c r="Q356" s="1"/>
      <c r="R356" s="1"/>
      <c r="S356" s="1"/>
      <c r="T356" s="1"/>
      <c r="U356" s="1"/>
      <c r="V356" s="1"/>
      <c r="W356" s="1"/>
      <c r="X356" s="1"/>
      <c r="Y356" s="1"/>
      <c r="Z356" s="1"/>
    </row>
    <row r="357" spans="1:26" ht="19.5" customHeight="1">
      <c r="A357" s="1"/>
      <c r="B357" s="2"/>
      <c r="C357" s="1"/>
      <c r="D357" s="1"/>
      <c r="E357" s="2"/>
      <c r="F357" s="1"/>
      <c r="G357" s="1"/>
      <c r="H357" s="1"/>
      <c r="I357" s="1"/>
      <c r="J357" s="1"/>
      <c r="K357" s="1"/>
      <c r="L357" s="1"/>
      <c r="M357" s="1"/>
      <c r="N357" s="1"/>
      <c r="O357" s="1"/>
      <c r="P357" s="1"/>
      <c r="Q357" s="1"/>
      <c r="R357" s="1"/>
      <c r="S357" s="1"/>
      <c r="T357" s="1"/>
      <c r="U357" s="1"/>
      <c r="V357" s="1"/>
      <c r="W357" s="1"/>
      <c r="X357" s="1"/>
      <c r="Y357" s="1"/>
      <c r="Z357" s="1"/>
    </row>
    <row r="358" spans="1:26" ht="19.5" customHeight="1">
      <c r="A358" s="1"/>
      <c r="B358" s="2"/>
      <c r="C358" s="1"/>
      <c r="D358" s="1"/>
      <c r="E358" s="2"/>
      <c r="F358" s="1"/>
      <c r="G358" s="1"/>
      <c r="H358" s="1"/>
      <c r="I358" s="1"/>
      <c r="J358" s="1"/>
      <c r="K358" s="1"/>
      <c r="L358" s="1"/>
      <c r="M358" s="1"/>
      <c r="N358" s="1"/>
      <c r="O358" s="1"/>
      <c r="P358" s="1"/>
      <c r="Q358" s="1"/>
      <c r="R358" s="1"/>
      <c r="S358" s="1"/>
      <c r="T358" s="1"/>
      <c r="U358" s="1"/>
      <c r="V358" s="1"/>
      <c r="W358" s="1"/>
      <c r="X358" s="1"/>
      <c r="Y358" s="1"/>
      <c r="Z358" s="1"/>
    </row>
    <row r="359" spans="1:26" ht="19.5" customHeight="1">
      <c r="A359" s="1"/>
      <c r="B359" s="2"/>
      <c r="C359" s="1"/>
      <c r="D359" s="1"/>
      <c r="E359" s="2"/>
      <c r="F359" s="1"/>
      <c r="G359" s="1"/>
      <c r="H359" s="1"/>
      <c r="I359" s="1"/>
      <c r="J359" s="1"/>
      <c r="K359" s="1"/>
      <c r="L359" s="1"/>
      <c r="M359" s="1"/>
      <c r="N359" s="1"/>
      <c r="O359" s="1"/>
      <c r="P359" s="1"/>
      <c r="Q359" s="1"/>
      <c r="R359" s="1"/>
      <c r="S359" s="1"/>
      <c r="T359" s="1"/>
      <c r="U359" s="1"/>
      <c r="V359" s="1"/>
      <c r="W359" s="1"/>
      <c r="X359" s="1"/>
      <c r="Y359" s="1"/>
      <c r="Z359" s="1"/>
    </row>
    <row r="360" spans="1:26" ht="19.5" customHeight="1">
      <c r="A360" s="1"/>
      <c r="B360" s="2"/>
      <c r="C360" s="1"/>
      <c r="D360" s="1"/>
      <c r="E360" s="2"/>
      <c r="F360" s="1"/>
      <c r="G360" s="1"/>
      <c r="H360" s="1"/>
      <c r="I360" s="1"/>
      <c r="J360" s="1"/>
      <c r="K360" s="1"/>
      <c r="L360" s="1"/>
      <c r="M360" s="1"/>
      <c r="N360" s="1"/>
      <c r="O360" s="1"/>
      <c r="P360" s="1"/>
      <c r="Q360" s="1"/>
      <c r="R360" s="1"/>
      <c r="S360" s="1"/>
      <c r="T360" s="1"/>
      <c r="U360" s="1"/>
      <c r="V360" s="1"/>
      <c r="W360" s="1"/>
      <c r="X360" s="1"/>
      <c r="Y360" s="1"/>
      <c r="Z360" s="1"/>
    </row>
    <row r="361" spans="1:26" ht="19.5" customHeight="1">
      <c r="A361" s="1"/>
      <c r="B361" s="2"/>
      <c r="C361" s="1"/>
      <c r="D361" s="1"/>
      <c r="E361" s="2"/>
      <c r="F361" s="1"/>
      <c r="G361" s="1"/>
      <c r="H361" s="1"/>
      <c r="I361" s="1"/>
      <c r="J361" s="1"/>
      <c r="K361" s="1"/>
      <c r="L361" s="1"/>
      <c r="M361" s="1"/>
      <c r="N361" s="1"/>
      <c r="O361" s="1"/>
      <c r="P361" s="1"/>
      <c r="Q361" s="1"/>
      <c r="R361" s="1"/>
      <c r="S361" s="1"/>
      <c r="T361" s="1"/>
      <c r="U361" s="1"/>
      <c r="V361" s="1"/>
      <c r="W361" s="1"/>
      <c r="X361" s="1"/>
      <c r="Y361" s="1"/>
      <c r="Z361" s="1"/>
    </row>
    <row r="362" spans="1:26" ht="19.5" customHeight="1">
      <c r="A362" s="1"/>
      <c r="B362" s="2"/>
      <c r="C362" s="1"/>
      <c r="D362" s="1"/>
      <c r="E362" s="2"/>
      <c r="F362" s="1"/>
      <c r="G362" s="1"/>
      <c r="H362" s="1"/>
      <c r="I362" s="1"/>
      <c r="J362" s="1"/>
      <c r="K362" s="1"/>
      <c r="L362" s="1"/>
      <c r="M362" s="1"/>
      <c r="N362" s="1"/>
      <c r="O362" s="1"/>
      <c r="P362" s="1"/>
      <c r="Q362" s="1"/>
      <c r="R362" s="1"/>
      <c r="S362" s="1"/>
      <c r="T362" s="1"/>
      <c r="U362" s="1"/>
      <c r="V362" s="1"/>
      <c r="W362" s="1"/>
      <c r="X362" s="1"/>
      <c r="Y362" s="1"/>
      <c r="Z362" s="1"/>
    </row>
    <row r="363" spans="1:26" ht="19.5" customHeight="1">
      <c r="A363" s="1"/>
      <c r="B363" s="2"/>
      <c r="C363" s="1"/>
      <c r="D363" s="1"/>
      <c r="E363" s="2"/>
      <c r="F363" s="1"/>
      <c r="G363" s="1"/>
      <c r="H363" s="1"/>
      <c r="I363" s="1"/>
      <c r="J363" s="1"/>
      <c r="K363" s="1"/>
      <c r="L363" s="1"/>
      <c r="M363" s="1"/>
      <c r="N363" s="1"/>
      <c r="O363" s="1"/>
      <c r="P363" s="1"/>
      <c r="Q363" s="1"/>
      <c r="R363" s="1"/>
      <c r="S363" s="1"/>
      <c r="T363" s="1"/>
      <c r="U363" s="1"/>
      <c r="V363" s="1"/>
      <c r="W363" s="1"/>
      <c r="X363" s="1"/>
      <c r="Y363" s="1"/>
      <c r="Z363" s="1"/>
    </row>
    <row r="364" spans="1:26" ht="19.5" customHeight="1">
      <c r="A364" s="1"/>
      <c r="B364" s="2"/>
      <c r="C364" s="1"/>
      <c r="D364" s="1"/>
      <c r="E364" s="2"/>
      <c r="F364" s="1"/>
      <c r="G364" s="1"/>
      <c r="H364" s="1"/>
      <c r="I364" s="1"/>
      <c r="J364" s="1"/>
      <c r="K364" s="1"/>
      <c r="L364" s="1"/>
      <c r="M364" s="1"/>
      <c r="N364" s="1"/>
      <c r="O364" s="1"/>
      <c r="P364" s="1"/>
      <c r="Q364" s="1"/>
      <c r="R364" s="1"/>
      <c r="S364" s="1"/>
      <c r="T364" s="1"/>
      <c r="U364" s="1"/>
      <c r="V364" s="1"/>
      <c r="W364" s="1"/>
      <c r="X364" s="1"/>
      <c r="Y364" s="1"/>
      <c r="Z364" s="1"/>
    </row>
    <row r="365" spans="1:26" ht="19.5" customHeight="1">
      <c r="A365" s="1"/>
      <c r="B365" s="2"/>
      <c r="C365" s="1"/>
      <c r="D365" s="1"/>
      <c r="E365" s="2"/>
      <c r="F365" s="1"/>
      <c r="G365" s="1"/>
      <c r="H365" s="1"/>
      <c r="I365" s="1"/>
      <c r="J365" s="1"/>
      <c r="K365" s="1"/>
      <c r="L365" s="1"/>
      <c r="M365" s="1"/>
      <c r="N365" s="1"/>
      <c r="O365" s="1"/>
      <c r="P365" s="1"/>
      <c r="Q365" s="1"/>
      <c r="R365" s="1"/>
      <c r="S365" s="1"/>
      <c r="T365" s="1"/>
      <c r="U365" s="1"/>
      <c r="V365" s="1"/>
      <c r="W365" s="1"/>
      <c r="X365" s="1"/>
      <c r="Y365" s="1"/>
      <c r="Z365" s="1"/>
    </row>
    <row r="366" spans="1:26" ht="19.5" customHeight="1">
      <c r="A366" s="1"/>
      <c r="B366" s="2"/>
      <c r="C366" s="1"/>
      <c r="D366" s="1"/>
      <c r="E366" s="2"/>
      <c r="F366" s="1"/>
      <c r="G366" s="1"/>
      <c r="H366" s="1"/>
      <c r="I366" s="1"/>
      <c r="J366" s="1"/>
      <c r="K366" s="1"/>
      <c r="L366" s="1"/>
      <c r="M366" s="1"/>
      <c r="N366" s="1"/>
      <c r="O366" s="1"/>
      <c r="P366" s="1"/>
      <c r="Q366" s="1"/>
      <c r="R366" s="1"/>
      <c r="S366" s="1"/>
      <c r="T366" s="1"/>
      <c r="U366" s="1"/>
      <c r="V366" s="1"/>
      <c r="W366" s="1"/>
      <c r="X366" s="1"/>
      <c r="Y366" s="1"/>
      <c r="Z366" s="1"/>
    </row>
    <row r="367" spans="1:26" ht="19.5" customHeight="1">
      <c r="A367" s="1"/>
      <c r="B367" s="2"/>
      <c r="C367" s="1"/>
      <c r="D367" s="1"/>
      <c r="E367" s="2"/>
      <c r="F367" s="1"/>
      <c r="G367" s="1"/>
      <c r="H367" s="1"/>
      <c r="I367" s="1"/>
      <c r="J367" s="1"/>
      <c r="K367" s="1"/>
      <c r="L367" s="1"/>
      <c r="M367" s="1"/>
      <c r="N367" s="1"/>
      <c r="O367" s="1"/>
      <c r="P367" s="1"/>
      <c r="Q367" s="1"/>
      <c r="R367" s="1"/>
      <c r="S367" s="1"/>
      <c r="T367" s="1"/>
      <c r="U367" s="1"/>
      <c r="V367" s="1"/>
      <c r="W367" s="1"/>
      <c r="X367" s="1"/>
      <c r="Y367" s="1"/>
      <c r="Z367" s="1"/>
    </row>
    <row r="368" spans="1:26" ht="19.5" customHeight="1">
      <c r="A368" s="1"/>
      <c r="B368" s="2"/>
      <c r="C368" s="1"/>
      <c r="D368" s="1"/>
      <c r="E368" s="2"/>
      <c r="F368" s="1"/>
      <c r="G368" s="1"/>
      <c r="H368" s="1"/>
      <c r="I368" s="1"/>
      <c r="J368" s="1"/>
      <c r="K368" s="1"/>
      <c r="L368" s="1"/>
      <c r="M368" s="1"/>
      <c r="N368" s="1"/>
      <c r="O368" s="1"/>
      <c r="P368" s="1"/>
      <c r="Q368" s="1"/>
      <c r="R368" s="1"/>
      <c r="S368" s="1"/>
      <c r="T368" s="1"/>
      <c r="U368" s="1"/>
      <c r="V368" s="1"/>
      <c r="W368" s="1"/>
      <c r="X368" s="1"/>
      <c r="Y368" s="1"/>
      <c r="Z368" s="1"/>
    </row>
    <row r="369" spans="1:26" ht="19.5" customHeight="1">
      <c r="A369" s="1"/>
      <c r="B369" s="2"/>
      <c r="C369" s="1"/>
      <c r="D369" s="1"/>
      <c r="E369" s="2"/>
      <c r="F369" s="1"/>
      <c r="G369" s="1"/>
      <c r="H369" s="1"/>
      <c r="I369" s="1"/>
      <c r="J369" s="1"/>
      <c r="K369" s="1"/>
      <c r="L369" s="1"/>
      <c r="M369" s="1"/>
      <c r="N369" s="1"/>
      <c r="O369" s="1"/>
      <c r="P369" s="1"/>
      <c r="Q369" s="1"/>
      <c r="R369" s="1"/>
      <c r="S369" s="1"/>
      <c r="T369" s="1"/>
      <c r="U369" s="1"/>
      <c r="V369" s="1"/>
      <c r="W369" s="1"/>
      <c r="X369" s="1"/>
      <c r="Y369" s="1"/>
      <c r="Z369" s="1"/>
    </row>
    <row r="370" spans="1:26" ht="19.5" customHeight="1">
      <c r="A370" s="1"/>
      <c r="B370" s="2"/>
      <c r="C370" s="1"/>
      <c r="D370" s="1"/>
      <c r="E370" s="2"/>
      <c r="F370" s="1"/>
      <c r="G370" s="1"/>
      <c r="H370" s="1"/>
      <c r="I370" s="1"/>
      <c r="J370" s="1"/>
      <c r="K370" s="1"/>
      <c r="L370" s="1"/>
      <c r="M370" s="1"/>
      <c r="N370" s="1"/>
      <c r="O370" s="1"/>
      <c r="P370" s="1"/>
      <c r="Q370" s="1"/>
      <c r="R370" s="1"/>
      <c r="S370" s="1"/>
      <c r="T370" s="1"/>
      <c r="U370" s="1"/>
      <c r="V370" s="1"/>
      <c r="W370" s="1"/>
      <c r="X370" s="1"/>
      <c r="Y370" s="1"/>
      <c r="Z370" s="1"/>
    </row>
    <row r="371" spans="1:26" ht="19.5" customHeight="1">
      <c r="A371" s="1"/>
      <c r="B371" s="2"/>
      <c r="C371" s="1"/>
      <c r="D371" s="1"/>
      <c r="E371" s="2"/>
      <c r="F371" s="1"/>
      <c r="G371" s="1"/>
      <c r="H371" s="1"/>
      <c r="I371" s="1"/>
      <c r="J371" s="1"/>
      <c r="K371" s="1"/>
      <c r="L371" s="1"/>
      <c r="M371" s="1"/>
      <c r="N371" s="1"/>
      <c r="O371" s="1"/>
      <c r="P371" s="1"/>
      <c r="Q371" s="1"/>
      <c r="R371" s="1"/>
      <c r="S371" s="1"/>
      <c r="T371" s="1"/>
      <c r="U371" s="1"/>
      <c r="V371" s="1"/>
      <c r="W371" s="1"/>
      <c r="X371" s="1"/>
      <c r="Y371" s="1"/>
      <c r="Z371" s="1"/>
    </row>
    <row r="372" spans="1:26" ht="19.5" customHeight="1">
      <c r="A372" s="1"/>
      <c r="B372" s="2"/>
      <c r="C372" s="1"/>
      <c r="D372" s="1"/>
      <c r="E372" s="2"/>
      <c r="F372" s="1"/>
      <c r="G372" s="1"/>
      <c r="H372" s="1"/>
      <c r="I372" s="1"/>
      <c r="J372" s="1"/>
      <c r="K372" s="1"/>
      <c r="L372" s="1"/>
      <c r="M372" s="1"/>
      <c r="N372" s="1"/>
      <c r="O372" s="1"/>
      <c r="P372" s="1"/>
      <c r="Q372" s="1"/>
      <c r="R372" s="1"/>
      <c r="S372" s="1"/>
      <c r="T372" s="1"/>
      <c r="U372" s="1"/>
      <c r="V372" s="1"/>
      <c r="W372" s="1"/>
      <c r="X372" s="1"/>
      <c r="Y372" s="1"/>
      <c r="Z372" s="1"/>
    </row>
    <row r="373" spans="1:26" ht="19.5" customHeight="1">
      <c r="A373" s="1"/>
      <c r="B373" s="2"/>
      <c r="C373" s="1"/>
      <c r="D373" s="1"/>
      <c r="E373" s="2"/>
      <c r="F373" s="1"/>
      <c r="G373" s="1"/>
      <c r="H373" s="1"/>
      <c r="I373" s="1"/>
      <c r="J373" s="1"/>
      <c r="K373" s="1"/>
      <c r="L373" s="1"/>
      <c r="M373" s="1"/>
      <c r="N373" s="1"/>
      <c r="O373" s="1"/>
      <c r="P373" s="1"/>
      <c r="Q373" s="1"/>
      <c r="R373" s="1"/>
      <c r="S373" s="1"/>
      <c r="T373" s="1"/>
      <c r="U373" s="1"/>
      <c r="V373" s="1"/>
      <c r="W373" s="1"/>
      <c r="X373" s="1"/>
      <c r="Y373" s="1"/>
      <c r="Z373" s="1"/>
    </row>
    <row r="374" spans="1:26" ht="19.5" customHeight="1">
      <c r="A374" s="1"/>
      <c r="B374" s="2"/>
      <c r="C374" s="1"/>
      <c r="D374" s="1"/>
      <c r="E374" s="2"/>
      <c r="F374" s="1"/>
      <c r="G374" s="1"/>
      <c r="H374" s="1"/>
      <c r="I374" s="1"/>
      <c r="J374" s="1"/>
      <c r="K374" s="1"/>
      <c r="L374" s="1"/>
      <c r="M374" s="1"/>
      <c r="N374" s="1"/>
      <c r="O374" s="1"/>
      <c r="P374" s="1"/>
      <c r="Q374" s="1"/>
      <c r="R374" s="1"/>
      <c r="S374" s="1"/>
      <c r="T374" s="1"/>
      <c r="U374" s="1"/>
      <c r="V374" s="1"/>
      <c r="W374" s="1"/>
      <c r="X374" s="1"/>
      <c r="Y374" s="1"/>
      <c r="Z374" s="1"/>
    </row>
    <row r="375" spans="1:26" ht="19.5" customHeight="1">
      <c r="A375" s="1"/>
      <c r="B375" s="2"/>
      <c r="C375" s="1"/>
      <c r="D375" s="1"/>
      <c r="E375" s="2"/>
      <c r="F375" s="1"/>
      <c r="G375" s="1"/>
      <c r="H375" s="1"/>
      <c r="I375" s="1"/>
      <c r="J375" s="1"/>
      <c r="K375" s="1"/>
      <c r="L375" s="1"/>
      <c r="M375" s="1"/>
      <c r="N375" s="1"/>
      <c r="O375" s="1"/>
      <c r="P375" s="1"/>
      <c r="Q375" s="1"/>
      <c r="R375" s="1"/>
      <c r="S375" s="1"/>
      <c r="T375" s="1"/>
      <c r="U375" s="1"/>
      <c r="V375" s="1"/>
      <c r="W375" s="1"/>
      <c r="X375" s="1"/>
      <c r="Y375" s="1"/>
      <c r="Z375" s="1"/>
    </row>
    <row r="376" spans="1:26" ht="19.5" customHeight="1">
      <c r="A376" s="1"/>
      <c r="B376" s="2"/>
      <c r="C376" s="1"/>
      <c r="D376" s="1"/>
      <c r="E376" s="2"/>
      <c r="F376" s="1"/>
      <c r="G376" s="1"/>
      <c r="H376" s="1"/>
      <c r="I376" s="1"/>
      <c r="J376" s="1"/>
      <c r="K376" s="1"/>
      <c r="L376" s="1"/>
      <c r="M376" s="1"/>
      <c r="N376" s="1"/>
      <c r="O376" s="1"/>
      <c r="P376" s="1"/>
      <c r="Q376" s="1"/>
      <c r="R376" s="1"/>
      <c r="S376" s="1"/>
      <c r="T376" s="1"/>
      <c r="U376" s="1"/>
      <c r="V376" s="1"/>
      <c r="W376" s="1"/>
      <c r="X376" s="1"/>
      <c r="Y376" s="1"/>
      <c r="Z376" s="1"/>
    </row>
    <row r="377" spans="1:26" ht="19.5" customHeight="1">
      <c r="A377" s="1"/>
      <c r="B377" s="2"/>
      <c r="C377" s="1"/>
      <c r="D377" s="1"/>
      <c r="E377" s="2"/>
      <c r="F377" s="1"/>
      <c r="G377" s="1"/>
      <c r="H377" s="1"/>
      <c r="I377" s="1"/>
      <c r="J377" s="1"/>
      <c r="K377" s="1"/>
      <c r="L377" s="1"/>
      <c r="M377" s="1"/>
      <c r="N377" s="1"/>
      <c r="O377" s="1"/>
      <c r="P377" s="1"/>
      <c r="Q377" s="1"/>
      <c r="R377" s="1"/>
      <c r="S377" s="1"/>
      <c r="T377" s="1"/>
      <c r="U377" s="1"/>
      <c r="V377" s="1"/>
      <c r="W377" s="1"/>
      <c r="X377" s="1"/>
      <c r="Y377" s="1"/>
      <c r="Z377" s="1"/>
    </row>
    <row r="378" spans="1:26" ht="19.5" customHeight="1">
      <c r="A378" s="1"/>
      <c r="B378" s="2"/>
      <c r="C378" s="1"/>
      <c r="D378" s="1"/>
      <c r="E378" s="2"/>
      <c r="F378" s="1"/>
      <c r="G378" s="1"/>
      <c r="H378" s="1"/>
      <c r="I378" s="1"/>
      <c r="J378" s="1"/>
      <c r="K378" s="1"/>
      <c r="L378" s="1"/>
      <c r="M378" s="1"/>
      <c r="N378" s="1"/>
      <c r="O378" s="1"/>
      <c r="P378" s="1"/>
      <c r="Q378" s="1"/>
      <c r="R378" s="1"/>
      <c r="S378" s="1"/>
      <c r="T378" s="1"/>
      <c r="U378" s="1"/>
      <c r="V378" s="1"/>
      <c r="W378" s="1"/>
      <c r="X378" s="1"/>
      <c r="Y378" s="1"/>
      <c r="Z378" s="1"/>
    </row>
    <row r="379" spans="1:26" ht="19.5" customHeight="1">
      <c r="A379" s="1"/>
      <c r="B379" s="2"/>
      <c r="C379" s="1"/>
      <c r="D379" s="1"/>
      <c r="E379" s="2"/>
      <c r="F379" s="1"/>
      <c r="G379" s="1"/>
      <c r="H379" s="1"/>
      <c r="I379" s="1"/>
      <c r="J379" s="1"/>
      <c r="K379" s="1"/>
      <c r="L379" s="1"/>
      <c r="M379" s="1"/>
      <c r="N379" s="1"/>
      <c r="O379" s="1"/>
      <c r="P379" s="1"/>
      <c r="Q379" s="1"/>
      <c r="R379" s="1"/>
      <c r="S379" s="1"/>
      <c r="T379" s="1"/>
      <c r="U379" s="1"/>
      <c r="V379" s="1"/>
      <c r="W379" s="1"/>
      <c r="X379" s="1"/>
      <c r="Y379" s="1"/>
      <c r="Z379" s="1"/>
    </row>
    <row r="380" spans="1:26" ht="19.5" customHeight="1">
      <c r="A380" s="1"/>
      <c r="B380" s="2"/>
      <c r="C380" s="1"/>
      <c r="D380" s="1"/>
      <c r="E380" s="2"/>
      <c r="F380" s="1"/>
      <c r="G380" s="1"/>
      <c r="H380" s="1"/>
      <c r="I380" s="1"/>
      <c r="J380" s="1"/>
      <c r="K380" s="1"/>
      <c r="L380" s="1"/>
      <c r="M380" s="1"/>
      <c r="N380" s="1"/>
      <c r="O380" s="1"/>
      <c r="P380" s="1"/>
      <c r="Q380" s="1"/>
      <c r="R380" s="1"/>
      <c r="S380" s="1"/>
      <c r="T380" s="1"/>
      <c r="U380" s="1"/>
      <c r="V380" s="1"/>
      <c r="W380" s="1"/>
      <c r="X380" s="1"/>
      <c r="Y380" s="1"/>
      <c r="Z380" s="1"/>
    </row>
    <row r="381" spans="1:26" ht="19.5" customHeight="1">
      <c r="A381" s="1"/>
      <c r="B381" s="2"/>
      <c r="C381" s="1"/>
      <c r="D381" s="1"/>
      <c r="E381" s="2"/>
      <c r="F381" s="1"/>
      <c r="G381" s="1"/>
      <c r="H381" s="1"/>
      <c r="I381" s="1"/>
      <c r="J381" s="1"/>
      <c r="K381" s="1"/>
      <c r="L381" s="1"/>
      <c r="M381" s="1"/>
      <c r="N381" s="1"/>
      <c r="O381" s="1"/>
      <c r="P381" s="1"/>
      <c r="Q381" s="1"/>
      <c r="R381" s="1"/>
      <c r="S381" s="1"/>
      <c r="T381" s="1"/>
      <c r="U381" s="1"/>
      <c r="V381" s="1"/>
      <c r="W381" s="1"/>
      <c r="X381" s="1"/>
      <c r="Y381" s="1"/>
      <c r="Z381" s="1"/>
    </row>
    <row r="382" spans="1:26" ht="19.5" customHeight="1">
      <c r="A382" s="1"/>
      <c r="B382" s="2"/>
      <c r="C382" s="1"/>
      <c r="D382" s="1"/>
      <c r="E382" s="2"/>
      <c r="F382" s="1"/>
      <c r="G382" s="1"/>
      <c r="H382" s="1"/>
      <c r="I382" s="1"/>
      <c r="J382" s="1"/>
      <c r="K382" s="1"/>
      <c r="L382" s="1"/>
      <c r="M382" s="1"/>
      <c r="N382" s="1"/>
      <c r="O382" s="1"/>
      <c r="P382" s="1"/>
      <c r="Q382" s="1"/>
      <c r="R382" s="1"/>
      <c r="S382" s="1"/>
      <c r="T382" s="1"/>
      <c r="U382" s="1"/>
      <c r="V382" s="1"/>
      <c r="W382" s="1"/>
      <c r="X382" s="1"/>
      <c r="Y382" s="1"/>
      <c r="Z382" s="1"/>
    </row>
    <row r="383" spans="1:26" ht="19.5" customHeight="1">
      <c r="A383" s="1"/>
      <c r="B383" s="2"/>
      <c r="C383" s="1"/>
      <c r="D383" s="1"/>
      <c r="E383" s="2"/>
      <c r="F383" s="1"/>
      <c r="G383" s="1"/>
      <c r="H383" s="1"/>
      <c r="I383" s="1"/>
      <c r="J383" s="1"/>
      <c r="K383" s="1"/>
      <c r="L383" s="1"/>
      <c r="M383" s="1"/>
      <c r="N383" s="1"/>
      <c r="O383" s="1"/>
      <c r="P383" s="1"/>
      <c r="Q383" s="1"/>
      <c r="R383" s="1"/>
      <c r="S383" s="1"/>
      <c r="T383" s="1"/>
      <c r="U383" s="1"/>
      <c r="V383" s="1"/>
      <c r="W383" s="1"/>
      <c r="X383" s="1"/>
      <c r="Y383" s="1"/>
      <c r="Z383" s="1"/>
    </row>
    <row r="384" spans="1:26" ht="19.5" customHeight="1">
      <c r="A384" s="1"/>
      <c r="B384" s="2"/>
      <c r="C384" s="1"/>
      <c r="D384" s="1"/>
      <c r="E384" s="2"/>
      <c r="F384" s="1"/>
      <c r="G384" s="1"/>
      <c r="H384" s="1"/>
      <c r="I384" s="1"/>
      <c r="J384" s="1"/>
      <c r="K384" s="1"/>
      <c r="L384" s="1"/>
      <c r="M384" s="1"/>
      <c r="N384" s="1"/>
      <c r="O384" s="1"/>
      <c r="P384" s="1"/>
      <c r="Q384" s="1"/>
      <c r="R384" s="1"/>
      <c r="S384" s="1"/>
      <c r="T384" s="1"/>
      <c r="U384" s="1"/>
      <c r="V384" s="1"/>
      <c r="W384" s="1"/>
      <c r="X384" s="1"/>
      <c r="Y384" s="1"/>
      <c r="Z384" s="1"/>
    </row>
    <row r="385" spans="1:26" ht="19.5" customHeight="1">
      <c r="A385" s="1"/>
      <c r="B385" s="2"/>
      <c r="C385" s="1"/>
      <c r="D385" s="1"/>
      <c r="E385" s="2"/>
      <c r="F385" s="1"/>
      <c r="G385" s="1"/>
      <c r="H385" s="1"/>
      <c r="I385" s="1"/>
      <c r="J385" s="1"/>
      <c r="K385" s="1"/>
      <c r="L385" s="1"/>
      <c r="M385" s="1"/>
      <c r="N385" s="1"/>
      <c r="O385" s="1"/>
      <c r="P385" s="1"/>
      <c r="Q385" s="1"/>
      <c r="R385" s="1"/>
      <c r="S385" s="1"/>
      <c r="T385" s="1"/>
      <c r="U385" s="1"/>
      <c r="V385" s="1"/>
      <c r="W385" s="1"/>
      <c r="X385" s="1"/>
      <c r="Y385" s="1"/>
      <c r="Z385" s="1"/>
    </row>
    <row r="386" spans="1:26" ht="19.5" customHeight="1">
      <c r="A386" s="1"/>
      <c r="B386" s="2"/>
      <c r="C386" s="1"/>
      <c r="D386" s="1"/>
      <c r="E386" s="2"/>
      <c r="F386" s="1"/>
      <c r="G386" s="1"/>
      <c r="H386" s="1"/>
      <c r="I386" s="1"/>
      <c r="J386" s="1"/>
      <c r="K386" s="1"/>
      <c r="L386" s="1"/>
      <c r="M386" s="1"/>
      <c r="N386" s="1"/>
      <c r="O386" s="1"/>
      <c r="P386" s="1"/>
      <c r="Q386" s="1"/>
      <c r="R386" s="1"/>
      <c r="S386" s="1"/>
      <c r="T386" s="1"/>
      <c r="U386" s="1"/>
      <c r="V386" s="1"/>
      <c r="W386" s="1"/>
      <c r="X386" s="1"/>
      <c r="Y386" s="1"/>
      <c r="Z386" s="1"/>
    </row>
    <row r="387" spans="1:26" ht="19.5" customHeight="1">
      <c r="A387" s="1"/>
      <c r="B387" s="2"/>
      <c r="C387" s="1"/>
      <c r="D387" s="1"/>
      <c r="E387" s="2"/>
      <c r="F387" s="1"/>
      <c r="G387" s="1"/>
      <c r="H387" s="1"/>
      <c r="I387" s="1"/>
      <c r="J387" s="1"/>
      <c r="K387" s="1"/>
      <c r="L387" s="1"/>
      <c r="M387" s="1"/>
      <c r="N387" s="1"/>
      <c r="O387" s="1"/>
      <c r="P387" s="1"/>
      <c r="Q387" s="1"/>
      <c r="R387" s="1"/>
      <c r="S387" s="1"/>
      <c r="T387" s="1"/>
      <c r="U387" s="1"/>
      <c r="V387" s="1"/>
      <c r="W387" s="1"/>
      <c r="X387" s="1"/>
      <c r="Y387" s="1"/>
      <c r="Z387" s="1"/>
    </row>
    <row r="388" spans="1:26" ht="19.5" customHeight="1">
      <c r="A388" s="1"/>
      <c r="B388" s="2"/>
      <c r="C388" s="1"/>
      <c r="D388" s="1"/>
      <c r="E388" s="2"/>
      <c r="F388" s="1"/>
      <c r="G388" s="1"/>
      <c r="H388" s="1"/>
      <c r="I388" s="1"/>
      <c r="J388" s="1"/>
      <c r="K388" s="1"/>
      <c r="L388" s="1"/>
      <c r="M388" s="1"/>
      <c r="N388" s="1"/>
      <c r="O388" s="1"/>
      <c r="P388" s="1"/>
      <c r="Q388" s="1"/>
      <c r="R388" s="1"/>
      <c r="S388" s="1"/>
      <c r="T388" s="1"/>
      <c r="U388" s="1"/>
      <c r="V388" s="1"/>
      <c r="W388" s="1"/>
      <c r="X388" s="1"/>
      <c r="Y388" s="1"/>
      <c r="Z388" s="1"/>
    </row>
    <row r="389" spans="1:26" ht="19.5" customHeight="1">
      <c r="A389" s="1"/>
      <c r="B389" s="2"/>
      <c r="C389" s="1"/>
      <c r="D389" s="1"/>
      <c r="E389" s="2"/>
      <c r="F389" s="1"/>
      <c r="G389" s="1"/>
      <c r="H389" s="1"/>
      <c r="I389" s="1"/>
      <c r="J389" s="1"/>
      <c r="K389" s="1"/>
      <c r="L389" s="1"/>
      <c r="M389" s="1"/>
      <c r="N389" s="1"/>
      <c r="O389" s="1"/>
      <c r="P389" s="1"/>
      <c r="Q389" s="1"/>
      <c r="R389" s="1"/>
      <c r="S389" s="1"/>
      <c r="T389" s="1"/>
      <c r="U389" s="1"/>
      <c r="V389" s="1"/>
      <c r="W389" s="1"/>
      <c r="X389" s="1"/>
      <c r="Y389" s="1"/>
      <c r="Z389" s="1"/>
    </row>
    <row r="390" spans="1:26" ht="19.5" customHeight="1">
      <c r="A390" s="1"/>
      <c r="B390" s="2"/>
      <c r="C390" s="1"/>
      <c r="D390" s="1"/>
      <c r="E390" s="2"/>
      <c r="F390" s="1"/>
      <c r="G390" s="1"/>
      <c r="H390" s="1"/>
      <c r="I390" s="1"/>
      <c r="J390" s="1"/>
      <c r="K390" s="1"/>
      <c r="L390" s="1"/>
      <c r="M390" s="1"/>
      <c r="N390" s="1"/>
      <c r="O390" s="1"/>
      <c r="P390" s="1"/>
      <c r="Q390" s="1"/>
      <c r="R390" s="1"/>
      <c r="S390" s="1"/>
      <c r="T390" s="1"/>
      <c r="U390" s="1"/>
      <c r="V390" s="1"/>
      <c r="W390" s="1"/>
      <c r="X390" s="1"/>
      <c r="Y390" s="1"/>
      <c r="Z390" s="1"/>
    </row>
    <row r="391" spans="1:26" ht="19.5" customHeight="1">
      <c r="A391" s="1"/>
      <c r="B391" s="2"/>
      <c r="C391" s="1"/>
      <c r="D391" s="1"/>
      <c r="E391" s="2"/>
      <c r="F391" s="1"/>
      <c r="G391" s="1"/>
      <c r="H391" s="1"/>
      <c r="I391" s="1"/>
      <c r="J391" s="1"/>
      <c r="K391" s="1"/>
      <c r="L391" s="1"/>
      <c r="M391" s="1"/>
      <c r="N391" s="1"/>
      <c r="O391" s="1"/>
      <c r="P391" s="1"/>
      <c r="Q391" s="1"/>
      <c r="R391" s="1"/>
      <c r="S391" s="1"/>
      <c r="T391" s="1"/>
      <c r="U391" s="1"/>
      <c r="V391" s="1"/>
      <c r="W391" s="1"/>
      <c r="X391" s="1"/>
      <c r="Y391" s="1"/>
      <c r="Z391" s="1"/>
    </row>
    <row r="392" spans="1:26" ht="19.5" customHeight="1">
      <c r="A392" s="1"/>
      <c r="B392" s="2"/>
      <c r="C392" s="1"/>
      <c r="D392" s="1"/>
      <c r="E392" s="2"/>
      <c r="F392" s="1"/>
      <c r="G392" s="1"/>
      <c r="H392" s="1"/>
      <c r="I392" s="1"/>
      <c r="J392" s="1"/>
      <c r="K392" s="1"/>
      <c r="L392" s="1"/>
      <c r="M392" s="1"/>
      <c r="N392" s="1"/>
      <c r="O392" s="1"/>
      <c r="P392" s="1"/>
      <c r="Q392" s="1"/>
      <c r="R392" s="1"/>
      <c r="S392" s="1"/>
      <c r="T392" s="1"/>
      <c r="U392" s="1"/>
      <c r="V392" s="1"/>
      <c r="W392" s="1"/>
      <c r="X392" s="1"/>
      <c r="Y392" s="1"/>
      <c r="Z392" s="1"/>
    </row>
    <row r="393" spans="1:26" ht="19.5" customHeight="1">
      <c r="A393" s="1"/>
      <c r="B393" s="2"/>
      <c r="C393" s="1"/>
      <c r="D393" s="1"/>
      <c r="E393" s="2"/>
      <c r="F393" s="1"/>
      <c r="G393" s="1"/>
      <c r="H393" s="1"/>
      <c r="I393" s="1"/>
      <c r="J393" s="1"/>
      <c r="K393" s="1"/>
      <c r="L393" s="1"/>
      <c r="M393" s="1"/>
      <c r="N393" s="1"/>
      <c r="O393" s="1"/>
      <c r="P393" s="1"/>
      <c r="Q393" s="1"/>
      <c r="R393" s="1"/>
      <c r="S393" s="1"/>
      <c r="T393" s="1"/>
      <c r="U393" s="1"/>
      <c r="V393" s="1"/>
      <c r="W393" s="1"/>
      <c r="X393" s="1"/>
      <c r="Y393" s="1"/>
      <c r="Z393" s="1"/>
    </row>
    <row r="394" spans="1:26" ht="19.5" customHeight="1">
      <c r="A394" s="1"/>
      <c r="B394" s="2"/>
      <c r="C394" s="1"/>
      <c r="D394" s="1"/>
      <c r="E394" s="2"/>
      <c r="F394" s="1"/>
      <c r="G394" s="1"/>
      <c r="H394" s="1"/>
      <c r="I394" s="1"/>
      <c r="J394" s="1"/>
      <c r="K394" s="1"/>
      <c r="L394" s="1"/>
      <c r="M394" s="1"/>
      <c r="N394" s="1"/>
      <c r="O394" s="1"/>
      <c r="P394" s="1"/>
      <c r="Q394" s="1"/>
      <c r="R394" s="1"/>
      <c r="S394" s="1"/>
      <c r="T394" s="1"/>
      <c r="U394" s="1"/>
      <c r="V394" s="1"/>
      <c r="W394" s="1"/>
      <c r="X394" s="1"/>
      <c r="Y394" s="1"/>
      <c r="Z394" s="1"/>
    </row>
    <row r="395" spans="1:26" ht="19.5" customHeight="1">
      <c r="A395" s="1"/>
      <c r="B395" s="2"/>
      <c r="C395" s="1"/>
      <c r="D395" s="1"/>
      <c r="E395" s="2"/>
      <c r="F395" s="1"/>
      <c r="G395" s="1"/>
      <c r="H395" s="1"/>
      <c r="I395" s="1"/>
      <c r="J395" s="1"/>
      <c r="K395" s="1"/>
      <c r="L395" s="1"/>
      <c r="M395" s="1"/>
      <c r="N395" s="1"/>
      <c r="O395" s="1"/>
      <c r="P395" s="1"/>
      <c r="Q395" s="1"/>
      <c r="R395" s="1"/>
      <c r="S395" s="1"/>
      <c r="T395" s="1"/>
      <c r="U395" s="1"/>
      <c r="V395" s="1"/>
      <c r="W395" s="1"/>
      <c r="X395" s="1"/>
      <c r="Y395" s="1"/>
      <c r="Z395" s="1"/>
    </row>
    <row r="396" spans="1:26" ht="19.5" customHeight="1">
      <c r="A396" s="1"/>
      <c r="B396" s="2"/>
      <c r="C396" s="1"/>
      <c r="D396" s="1"/>
      <c r="E396" s="2"/>
      <c r="F396" s="1"/>
      <c r="G396" s="1"/>
      <c r="H396" s="1"/>
      <c r="I396" s="1"/>
      <c r="J396" s="1"/>
      <c r="K396" s="1"/>
      <c r="L396" s="1"/>
      <c r="M396" s="1"/>
      <c r="N396" s="1"/>
      <c r="O396" s="1"/>
      <c r="P396" s="1"/>
      <c r="Q396" s="1"/>
      <c r="R396" s="1"/>
      <c r="S396" s="1"/>
      <c r="T396" s="1"/>
      <c r="U396" s="1"/>
      <c r="V396" s="1"/>
      <c r="W396" s="1"/>
      <c r="X396" s="1"/>
      <c r="Y396" s="1"/>
      <c r="Z396" s="1"/>
    </row>
    <row r="397" spans="1:26" ht="19.5" customHeight="1">
      <c r="A397" s="1"/>
      <c r="B397" s="2"/>
      <c r="C397" s="1"/>
      <c r="D397" s="1"/>
      <c r="E397" s="2"/>
      <c r="F397" s="1"/>
      <c r="G397" s="1"/>
      <c r="H397" s="1"/>
      <c r="I397" s="1"/>
      <c r="J397" s="1"/>
      <c r="K397" s="1"/>
      <c r="L397" s="1"/>
      <c r="M397" s="1"/>
      <c r="N397" s="1"/>
      <c r="O397" s="1"/>
      <c r="P397" s="1"/>
      <c r="Q397" s="1"/>
      <c r="R397" s="1"/>
      <c r="S397" s="1"/>
      <c r="T397" s="1"/>
      <c r="U397" s="1"/>
      <c r="V397" s="1"/>
      <c r="W397" s="1"/>
      <c r="X397" s="1"/>
      <c r="Y397" s="1"/>
      <c r="Z397" s="1"/>
    </row>
    <row r="398" spans="1:26" ht="19.5" customHeight="1">
      <c r="A398" s="1"/>
      <c r="B398" s="2"/>
      <c r="C398" s="1"/>
      <c r="D398" s="1"/>
      <c r="E398" s="2"/>
      <c r="F398" s="1"/>
      <c r="G398" s="1"/>
      <c r="H398" s="1"/>
      <c r="I398" s="1"/>
      <c r="J398" s="1"/>
      <c r="K398" s="1"/>
      <c r="L398" s="1"/>
      <c r="M398" s="1"/>
      <c r="N398" s="1"/>
      <c r="O398" s="1"/>
      <c r="P398" s="1"/>
      <c r="Q398" s="1"/>
      <c r="R398" s="1"/>
      <c r="S398" s="1"/>
      <c r="T398" s="1"/>
      <c r="U398" s="1"/>
      <c r="V398" s="1"/>
      <c r="W398" s="1"/>
      <c r="X398" s="1"/>
      <c r="Y398" s="1"/>
      <c r="Z398" s="1"/>
    </row>
    <row r="399" spans="1:26" ht="19.5" customHeight="1">
      <c r="A399" s="1"/>
      <c r="B399" s="2"/>
      <c r="C399" s="1"/>
      <c r="D399" s="1"/>
      <c r="E399" s="2"/>
      <c r="F399" s="1"/>
      <c r="G399" s="1"/>
      <c r="H399" s="1"/>
      <c r="I399" s="1"/>
      <c r="J399" s="1"/>
      <c r="K399" s="1"/>
      <c r="L399" s="1"/>
      <c r="M399" s="1"/>
      <c r="N399" s="1"/>
      <c r="O399" s="1"/>
      <c r="P399" s="1"/>
      <c r="Q399" s="1"/>
      <c r="R399" s="1"/>
      <c r="S399" s="1"/>
      <c r="T399" s="1"/>
      <c r="U399" s="1"/>
      <c r="V399" s="1"/>
      <c r="W399" s="1"/>
      <c r="X399" s="1"/>
      <c r="Y399" s="1"/>
      <c r="Z399" s="1"/>
    </row>
    <row r="400" spans="1:26" ht="19.5" customHeight="1">
      <c r="A400" s="1"/>
      <c r="B400" s="2"/>
      <c r="C400" s="1"/>
      <c r="D400" s="1"/>
      <c r="E400" s="2"/>
      <c r="F400" s="1"/>
      <c r="G400" s="1"/>
      <c r="H400" s="1"/>
      <c r="I400" s="1"/>
      <c r="J400" s="1"/>
      <c r="K400" s="1"/>
      <c r="L400" s="1"/>
      <c r="M400" s="1"/>
      <c r="N400" s="1"/>
      <c r="O400" s="1"/>
      <c r="P400" s="1"/>
      <c r="Q400" s="1"/>
      <c r="R400" s="1"/>
      <c r="S400" s="1"/>
      <c r="T400" s="1"/>
      <c r="U400" s="1"/>
      <c r="V400" s="1"/>
      <c r="W400" s="1"/>
      <c r="X400" s="1"/>
      <c r="Y400" s="1"/>
      <c r="Z400" s="1"/>
    </row>
    <row r="401" spans="1:26" ht="19.5" customHeight="1">
      <c r="A401" s="1"/>
      <c r="B401" s="2"/>
      <c r="C401" s="1"/>
      <c r="D401" s="1"/>
      <c r="E401" s="2"/>
      <c r="F401" s="1"/>
      <c r="G401" s="1"/>
      <c r="H401" s="1"/>
      <c r="I401" s="1"/>
      <c r="J401" s="1"/>
      <c r="K401" s="1"/>
      <c r="L401" s="1"/>
      <c r="M401" s="1"/>
      <c r="N401" s="1"/>
      <c r="O401" s="1"/>
      <c r="P401" s="1"/>
      <c r="Q401" s="1"/>
      <c r="R401" s="1"/>
      <c r="S401" s="1"/>
      <c r="T401" s="1"/>
      <c r="U401" s="1"/>
      <c r="V401" s="1"/>
      <c r="W401" s="1"/>
      <c r="X401" s="1"/>
      <c r="Y401" s="1"/>
      <c r="Z401" s="1"/>
    </row>
    <row r="402" spans="1:26" ht="19.5" customHeight="1">
      <c r="A402" s="1"/>
      <c r="B402" s="2"/>
      <c r="C402" s="1"/>
      <c r="D402" s="1"/>
      <c r="E402" s="2"/>
      <c r="F402" s="1"/>
      <c r="G402" s="1"/>
      <c r="H402" s="1"/>
      <c r="I402" s="1"/>
      <c r="J402" s="1"/>
      <c r="K402" s="1"/>
      <c r="L402" s="1"/>
      <c r="M402" s="1"/>
      <c r="N402" s="1"/>
      <c r="O402" s="1"/>
      <c r="P402" s="1"/>
      <c r="Q402" s="1"/>
      <c r="R402" s="1"/>
      <c r="S402" s="1"/>
      <c r="T402" s="1"/>
      <c r="U402" s="1"/>
      <c r="V402" s="1"/>
      <c r="W402" s="1"/>
      <c r="X402" s="1"/>
      <c r="Y402" s="1"/>
      <c r="Z402" s="1"/>
    </row>
    <row r="403" spans="1:26" ht="19.5" customHeight="1">
      <c r="A403" s="1"/>
      <c r="B403" s="2"/>
      <c r="C403" s="1"/>
      <c r="D403" s="1"/>
      <c r="E403" s="2"/>
      <c r="F403" s="1"/>
      <c r="G403" s="1"/>
      <c r="H403" s="1"/>
      <c r="I403" s="1"/>
      <c r="J403" s="1"/>
      <c r="K403" s="1"/>
      <c r="L403" s="1"/>
      <c r="M403" s="1"/>
      <c r="N403" s="1"/>
      <c r="O403" s="1"/>
      <c r="P403" s="1"/>
      <c r="Q403" s="1"/>
      <c r="R403" s="1"/>
      <c r="S403" s="1"/>
      <c r="T403" s="1"/>
      <c r="U403" s="1"/>
      <c r="V403" s="1"/>
      <c r="W403" s="1"/>
      <c r="X403" s="1"/>
      <c r="Y403" s="1"/>
      <c r="Z403" s="1"/>
    </row>
    <row r="404" spans="1:26" ht="19.5" customHeight="1">
      <c r="A404" s="1"/>
      <c r="B404" s="2"/>
      <c r="C404" s="1"/>
      <c r="D404" s="1"/>
      <c r="E404" s="2"/>
      <c r="F404" s="1"/>
      <c r="G404" s="1"/>
      <c r="H404" s="1"/>
      <c r="I404" s="1"/>
      <c r="J404" s="1"/>
      <c r="K404" s="1"/>
      <c r="L404" s="1"/>
      <c r="M404" s="1"/>
      <c r="N404" s="1"/>
      <c r="O404" s="1"/>
      <c r="P404" s="1"/>
      <c r="Q404" s="1"/>
      <c r="R404" s="1"/>
      <c r="S404" s="1"/>
      <c r="T404" s="1"/>
      <c r="U404" s="1"/>
      <c r="V404" s="1"/>
      <c r="W404" s="1"/>
      <c r="X404" s="1"/>
      <c r="Y404" s="1"/>
      <c r="Z404" s="1"/>
    </row>
    <row r="405" spans="1:26" ht="19.5" customHeight="1">
      <c r="A405" s="1"/>
      <c r="B405" s="2"/>
      <c r="C405" s="1"/>
      <c r="D405" s="1"/>
      <c r="E405" s="2"/>
      <c r="F405" s="1"/>
      <c r="G405" s="1"/>
      <c r="H405" s="1"/>
      <c r="I405" s="1"/>
      <c r="J405" s="1"/>
      <c r="K405" s="1"/>
      <c r="L405" s="1"/>
      <c r="M405" s="1"/>
      <c r="N405" s="1"/>
      <c r="O405" s="1"/>
      <c r="P405" s="1"/>
      <c r="Q405" s="1"/>
      <c r="R405" s="1"/>
      <c r="S405" s="1"/>
      <c r="T405" s="1"/>
      <c r="U405" s="1"/>
      <c r="V405" s="1"/>
      <c r="W405" s="1"/>
      <c r="X405" s="1"/>
      <c r="Y405" s="1"/>
      <c r="Z405" s="1"/>
    </row>
    <row r="406" spans="1:26" ht="19.5" customHeight="1">
      <c r="A406" s="1"/>
      <c r="B406" s="2"/>
      <c r="C406" s="1"/>
      <c r="D406" s="1"/>
      <c r="E406" s="2"/>
      <c r="F406" s="1"/>
      <c r="G406" s="1"/>
      <c r="H406" s="1"/>
      <c r="I406" s="1"/>
      <c r="J406" s="1"/>
      <c r="K406" s="1"/>
      <c r="L406" s="1"/>
      <c r="M406" s="1"/>
      <c r="N406" s="1"/>
      <c r="O406" s="1"/>
      <c r="P406" s="1"/>
      <c r="Q406" s="1"/>
      <c r="R406" s="1"/>
      <c r="S406" s="1"/>
      <c r="T406" s="1"/>
      <c r="U406" s="1"/>
      <c r="V406" s="1"/>
      <c r="W406" s="1"/>
      <c r="X406" s="1"/>
      <c r="Y406" s="1"/>
      <c r="Z406" s="1"/>
    </row>
    <row r="407" spans="1:26" ht="19.5" customHeight="1">
      <c r="A407" s="1"/>
      <c r="B407" s="2"/>
      <c r="C407" s="1"/>
      <c r="D407" s="1"/>
      <c r="E407" s="2"/>
      <c r="F407" s="1"/>
      <c r="G407" s="1"/>
      <c r="H407" s="1"/>
      <c r="I407" s="1"/>
      <c r="J407" s="1"/>
      <c r="K407" s="1"/>
      <c r="L407" s="1"/>
      <c r="M407" s="1"/>
      <c r="N407" s="1"/>
      <c r="O407" s="1"/>
      <c r="P407" s="1"/>
      <c r="Q407" s="1"/>
      <c r="R407" s="1"/>
      <c r="S407" s="1"/>
      <c r="T407" s="1"/>
      <c r="U407" s="1"/>
      <c r="V407" s="1"/>
      <c r="W407" s="1"/>
      <c r="X407" s="1"/>
      <c r="Y407" s="1"/>
      <c r="Z407" s="1"/>
    </row>
    <row r="408" spans="1:26" ht="19.5" customHeight="1">
      <c r="A408" s="1"/>
      <c r="B408" s="2"/>
      <c r="C408" s="1"/>
      <c r="D408" s="1"/>
      <c r="E408" s="2"/>
      <c r="F408" s="1"/>
      <c r="G408" s="1"/>
      <c r="H408" s="1"/>
      <c r="I408" s="1"/>
      <c r="J408" s="1"/>
      <c r="K408" s="1"/>
      <c r="L408" s="1"/>
      <c r="M408" s="1"/>
      <c r="N408" s="1"/>
      <c r="O408" s="1"/>
      <c r="P408" s="1"/>
      <c r="Q408" s="1"/>
      <c r="R408" s="1"/>
      <c r="S408" s="1"/>
      <c r="T408" s="1"/>
      <c r="U408" s="1"/>
      <c r="V408" s="1"/>
      <c r="W408" s="1"/>
      <c r="X408" s="1"/>
      <c r="Y408" s="1"/>
      <c r="Z408" s="1"/>
    </row>
    <row r="409" spans="1:26" ht="19.5" customHeight="1">
      <c r="A409" s="1"/>
      <c r="B409" s="2"/>
      <c r="C409" s="1"/>
      <c r="D409" s="1"/>
      <c r="E409" s="2"/>
      <c r="F409" s="1"/>
      <c r="G409" s="1"/>
      <c r="H409" s="1"/>
      <c r="I409" s="1"/>
      <c r="J409" s="1"/>
      <c r="K409" s="1"/>
      <c r="L409" s="1"/>
      <c r="M409" s="1"/>
      <c r="N409" s="1"/>
      <c r="O409" s="1"/>
      <c r="P409" s="1"/>
      <c r="Q409" s="1"/>
      <c r="R409" s="1"/>
      <c r="S409" s="1"/>
      <c r="T409" s="1"/>
      <c r="U409" s="1"/>
      <c r="V409" s="1"/>
      <c r="W409" s="1"/>
      <c r="X409" s="1"/>
      <c r="Y409" s="1"/>
      <c r="Z409" s="1"/>
    </row>
    <row r="410" spans="1:26" ht="19.5" customHeight="1">
      <c r="A410" s="1"/>
      <c r="B410" s="2"/>
      <c r="C410" s="1"/>
      <c r="D410" s="1"/>
      <c r="E410" s="2"/>
      <c r="F410" s="1"/>
      <c r="G410" s="1"/>
      <c r="H410" s="1"/>
      <c r="I410" s="1"/>
      <c r="J410" s="1"/>
      <c r="K410" s="1"/>
      <c r="L410" s="1"/>
      <c r="M410" s="1"/>
      <c r="N410" s="1"/>
      <c r="O410" s="1"/>
      <c r="P410" s="1"/>
      <c r="Q410" s="1"/>
      <c r="R410" s="1"/>
      <c r="S410" s="1"/>
      <c r="T410" s="1"/>
      <c r="U410" s="1"/>
      <c r="V410" s="1"/>
      <c r="W410" s="1"/>
      <c r="X410" s="1"/>
      <c r="Y410" s="1"/>
      <c r="Z410" s="1"/>
    </row>
    <row r="411" spans="1:26" ht="19.5" customHeight="1">
      <c r="A411" s="1"/>
      <c r="B411" s="2"/>
      <c r="C411" s="1"/>
      <c r="D411" s="1"/>
      <c r="E411" s="2"/>
      <c r="F411" s="1"/>
      <c r="G411" s="1"/>
      <c r="H411" s="1"/>
      <c r="I411" s="1"/>
      <c r="J411" s="1"/>
      <c r="K411" s="1"/>
      <c r="L411" s="1"/>
      <c r="M411" s="1"/>
      <c r="N411" s="1"/>
      <c r="O411" s="1"/>
      <c r="P411" s="1"/>
      <c r="Q411" s="1"/>
      <c r="R411" s="1"/>
      <c r="S411" s="1"/>
      <c r="T411" s="1"/>
      <c r="U411" s="1"/>
      <c r="V411" s="1"/>
      <c r="W411" s="1"/>
      <c r="X411" s="1"/>
      <c r="Y411" s="1"/>
      <c r="Z411" s="1"/>
    </row>
    <row r="412" spans="1:26" ht="19.5" customHeight="1">
      <c r="A412" s="1"/>
      <c r="B412" s="2"/>
      <c r="C412" s="1"/>
      <c r="D412" s="1"/>
      <c r="E412" s="2"/>
      <c r="F412" s="1"/>
      <c r="G412" s="1"/>
      <c r="H412" s="1"/>
      <c r="I412" s="1"/>
      <c r="J412" s="1"/>
      <c r="K412" s="1"/>
      <c r="L412" s="1"/>
      <c r="M412" s="1"/>
      <c r="N412" s="1"/>
      <c r="O412" s="1"/>
      <c r="P412" s="1"/>
      <c r="Q412" s="1"/>
      <c r="R412" s="1"/>
      <c r="S412" s="1"/>
      <c r="T412" s="1"/>
      <c r="U412" s="1"/>
      <c r="V412" s="1"/>
      <c r="W412" s="1"/>
      <c r="X412" s="1"/>
      <c r="Y412" s="1"/>
      <c r="Z412" s="1"/>
    </row>
    <row r="413" spans="1:26" ht="19.5" customHeight="1">
      <c r="A413" s="1"/>
      <c r="B413" s="2"/>
      <c r="C413" s="1"/>
      <c r="D413" s="1"/>
      <c r="E413" s="2"/>
      <c r="F413" s="1"/>
      <c r="G413" s="1"/>
      <c r="H413" s="1"/>
      <c r="I413" s="1"/>
      <c r="J413" s="1"/>
      <c r="K413" s="1"/>
      <c r="L413" s="1"/>
      <c r="M413" s="1"/>
      <c r="N413" s="1"/>
      <c r="O413" s="1"/>
      <c r="P413" s="1"/>
      <c r="Q413" s="1"/>
      <c r="R413" s="1"/>
      <c r="S413" s="1"/>
      <c r="T413" s="1"/>
      <c r="U413" s="1"/>
      <c r="V413" s="1"/>
      <c r="W413" s="1"/>
      <c r="X413" s="1"/>
      <c r="Y413" s="1"/>
      <c r="Z413" s="1"/>
    </row>
    <row r="414" spans="1:26" ht="19.5" customHeight="1">
      <c r="A414" s="1"/>
      <c r="B414" s="2"/>
      <c r="C414" s="1"/>
      <c r="D414" s="1"/>
      <c r="E414" s="2"/>
      <c r="F414" s="1"/>
      <c r="G414" s="1"/>
      <c r="H414" s="1"/>
      <c r="I414" s="1"/>
      <c r="J414" s="1"/>
      <c r="K414" s="1"/>
      <c r="L414" s="1"/>
      <c r="M414" s="1"/>
      <c r="N414" s="1"/>
      <c r="O414" s="1"/>
      <c r="P414" s="1"/>
      <c r="Q414" s="1"/>
      <c r="R414" s="1"/>
      <c r="S414" s="1"/>
      <c r="T414" s="1"/>
      <c r="U414" s="1"/>
      <c r="V414" s="1"/>
      <c r="W414" s="1"/>
      <c r="X414" s="1"/>
      <c r="Y414" s="1"/>
      <c r="Z414" s="1"/>
    </row>
    <row r="415" spans="1:26" ht="19.5" customHeight="1">
      <c r="A415" s="1"/>
      <c r="B415" s="2"/>
      <c r="C415" s="1"/>
      <c r="D415" s="1"/>
      <c r="E415" s="2"/>
      <c r="F415" s="1"/>
      <c r="G415" s="1"/>
      <c r="H415" s="1"/>
      <c r="I415" s="1"/>
      <c r="J415" s="1"/>
      <c r="K415" s="1"/>
      <c r="L415" s="1"/>
      <c r="M415" s="1"/>
      <c r="N415" s="1"/>
      <c r="O415" s="1"/>
      <c r="P415" s="1"/>
      <c r="Q415" s="1"/>
      <c r="R415" s="1"/>
      <c r="S415" s="1"/>
      <c r="T415" s="1"/>
      <c r="U415" s="1"/>
      <c r="V415" s="1"/>
      <c r="W415" s="1"/>
      <c r="X415" s="1"/>
      <c r="Y415" s="1"/>
      <c r="Z415" s="1"/>
    </row>
    <row r="416" spans="1:26" ht="19.5" customHeight="1">
      <c r="A416" s="1"/>
      <c r="B416" s="2"/>
      <c r="C416" s="1"/>
      <c r="D416" s="1"/>
      <c r="E416" s="2"/>
      <c r="F416" s="1"/>
      <c r="G416" s="1"/>
      <c r="H416" s="1"/>
      <c r="I416" s="1"/>
      <c r="J416" s="1"/>
      <c r="K416" s="1"/>
      <c r="L416" s="1"/>
      <c r="M416" s="1"/>
      <c r="N416" s="1"/>
      <c r="O416" s="1"/>
      <c r="P416" s="1"/>
      <c r="Q416" s="1"/>
      <c r="R416" s="1"/>
      <c r="S416" s="1"/>
      <c r="T416" s="1"/>
      <c r="U416" s="1"/>
      <c r="V416" s="1"/>
      <c r="W416" s="1"/>
      <c r="X416" s="1"/>
      <c r="Y416" s="1"/>
      <c r="Z416" s="1"/>
    </row>
    <row r="417" spans="1:26" ht="19.5" customHeight="1">
      <c r="A417" s="1"/>
      <c r="B417" s="2"/>
      <c r="C417" s="1"/>
      <c r="D417" s="1"/>
      <c r="E417" s="2"/>
      <c r="F417" s="1"/>
      <c r="G417" s="1"/>
      <c r="H417" s="1"/>
      <c r="I417" s="1"/>
      <c r="J417" s="1"/>
      <c r="K417" s="1"/>
      <c r="L417" s="1"/>
      <c r="M417" s="1"/>
      <c r="N417" s="1"/>
      <c r="O417" s="1"/>
      <c r="P417" s="1"/>
      <c r="Q417" s="1"/>
      <c r="R417" s="1"/>
      <c r="S417" s="1"/>
      <c r="T417" s="1"/>
      <c r="U417" s="1"/>
      <c r="V417" s="1"/>
      <c r="W417" s="1"/>
      <c r="X417" s="1"/>
      <c r="Y417" s="1"/>
      <c r="Z417" s="1"/>
    </row>
    <row r="418" spans="1:26" ht="19.5" customHeight="1">
      <c r="A418" s="1"/>
      <c r="B418" s="2"/>
      <c r="C418" s="1"/>
      <c r="D418" s="1"/>
      <c r="E418" s="2"/>
      <c r="F418" s="1"/>
      <c r="G418" s="1"/>
      <c r="H418" s="1"/>
      <c r="I418" s="1"/>
      <c r="J418" s="1"/>
      <c r="K418" s="1"/>
      <c r="L418" s="1"/>
      <c r="M418" s="1"/>
      <c r="N418" s="1"/>
      <c r="O418" s="1"/>
      <c r="P418" s="1"/>
      <c r="Q418" s="1"/>
      <c r="R418" s="1"/>
      <c r="S418" s="1"/>
      <c r="T418" s="1"/>
      <c r="U418" s="1"/>
      <c r="V418" s="1"/>
      <c r="W418" s="1"/>
      <c r="X418" s="1"/>
      <c r="Y418" s="1"/>
      <c r="Z418" s="1"/>
    </row>
    <row r="419" spans="1:26" ht="19.5" customHeight="1">
      <c r="A419" s="1"/>
      <c r="B419" s="2"/>
      <c r="C419" s="1"/>
      <c r="D419" s="1"/>
      <c r="E419" s="2"/>
      <c r="F419" s="1"/>
      <c r="G419" s="1"/>
      <c r="H419" s="1"/>
      <c r="I419" s="1"/>
      <c r="J419" s="1"/>
      <c r="K419" s="1"/>
      <c r="L419" s="1"/>
      <c r="M419" s="1"/>
      <c r="N419" s="1"/>
      <c r="O419" s="1"/>
      <c r="P419" s="1"/>
      <c r="Q419" s="1"/>
      <c r="R419" s="1"/>
      <c r="S419" s="1"/>
      <c r="T419" s="1"/>
      <c r="U419" s="1"/>
      <c r="V419" s="1"/>
      <c r="W419" s="1"/>
      <c r="X419" s="1"/>
      <c r="Y419" s="1"/>
      <c r="Z419" s="1"/>
    </row>
    <row r="420" spans="1:26" ht="19.5" customHeight="1">
      <c r="A420" s="1"/>
      <c r="B420" s="2"/>
      <c r="C420" s="1"/>
      <c r="D420" s="1"/>
      <c r="E420" s="2"/>
      <c r="F420" s="1"/>
      <c r="G420" s="1"/>
      <c r="H420" s="1"/>
      <c r="I420" s="1"/>
      <c r="J420" s="1"/>
      <c r="K420" s="1"/>
      <c r="L420" s="1"/>
      <c r="M420" s="1"/>
      <c r="N420" s="1"/>
      <c r="O420" s="1"/>
      <c r="P420" s="1"/>
      <c r="Q420" s="1"/>
      <c r="R420" s="1"/>
      <c r="S420" s="1"/>
      <c r="T420" s="1"/>
      <c r="U420" s="1"/>
      <c r="V420" s="1"/>
      <c r="W420" s="1"/>
      <c r="X420" s="1"/>
      <c r="Y420" s="1"/>
      <c r="Z420" s="1"/>
    </row>
    <row r="421" spans="1:26" ht="19.5" customHeight="1">
      <c r="A421" s="1"/>
      <c r="B421" s="2"/>
      <c r="C421" s="1"/>
      <c r="D421" s="1"/>
      <c r="E421" s="2"/>
      <c r="F421" s="1"/>
      <c r="G421" s="1"/>
      <c r="H421" s="1"/>
      <c r="I421" s="1"/>
      <c r="J421" s="1"/>
      <c r="K421" s="1"/>
      <c r="L421" s="1"/>
      <c r="M421" s="1"/>
      <c r="N421" s="1"/>
      <c r="O421" s="1"/>
      <c r="P421" s="1"/>
      <c r="Q421" s="1"/>
      <c r="R421" s="1"/>
      <c r="S421" s="1"/>
      <c r="T421" s="1"/>
      <c r="U421" s="1"/>
      <c r="V421" s="1"/>
      <c r="W421" s="1"/>
      <c r="X421" s="1"/>
      <c r="Y421" s="1"/>
      <c r="Z421" s="1"/>
    </row>
    <row r="422" spans="1:26" ht="19.5" customHeight="1">
      <c r="A422" s="1"/>
      <c r="B422" s="2"/>
      <c r="C422" s="1"/>
      <c r="D422" s="1"/>
      <c r="E422" s="2"/>
      <c r="F422" s="1"/>
      <c r="G422" s="1"/>
      <c r="H422" s="1"/>
      <c r="I422" s="1"/>
      <c r="J422" s="1"/>
      <c r="K422" s="1"/>
      <c r="L422" s="1"/>
      <c r="M422" s="1"/>
      <c r="N422" s="1"/>
      <c r="O422" s="1"/>
      <c r="P422" s="1"/>
      <c r="Q422" s="1"/>
      <c r="R422" s="1"/>
      <c r="S422" s="1"/>
      <c r="T422" s="1"/>
      <c r="U422" s="1"/>
      <c r="V422" s="1"/>
      <c r="W422" s="1"/>
      <c r="X422" s="1"/>
      <c r="Y422" s="1"/>
      <c r="Z422" s="1"/>
    </row>
    <row r="423" spans="1:26" ht="19.5" customHeight="1">
      <c r="A423" s="1"/>
      <c r="B423" s="2"/>
      <c r="C423" s="1"/>
      <c r="D423" s="1"/>
      <c r="E423" s="2"/>
      <c r="F423" s="1"/>
      <c r="G423" s="1"/>
      <c r="H423" s="1"/>
      <c r="I423" s="1"/>
      <c r="J423" s="1"/>
      <c r="K423" s="1"/>
      <c r="L423" s="1"/>
      <c r="M423" s="1"/>
      <c r="N423" s="1"/>
      <c r="O423" s="1"/>
      <c r="P423" s="1"/>
      <c r="Q423" s="1"/>
      <c r="R423" s="1"/>
      <c r="S423" s="1"/>
      <c r="T423" s="1"/>
      <c r="U423" s="1"/>
      <c r="V423" s="1"/>
      <c r="W423" s="1"/>
      <c r="X423" s="1"/>
      <c r="Y423" s="1"/>
      <c r="Z423" s="1"/>
    </row>
    <row r="424" spans="1:26" ht="19.5" customHeight="1">
      <c r="A424" s="1"/>
      <c r="B424" s="2"/>
      <c r="C424" s="1"/>
      <c r="D424" s="1"/>
      <c r="E424" s="2"/>
      <c r="F424" s="1"/>
      <c r="G424" s="1"/>
      <c r="H424" s="1"/>
      <c r="I424" s="1"/>
      <c r="J424" s="1"/>
      <c r="K424" s="1"/>
      <c r="L424" s="1"/>
      <c r="M424" s="1"/>
      <c r="N424" s="1"/>
      <c r="O424" s="1"/>
      <c r="P424" s="1"/>
      <c r="Q424" s="1"/>
      <c r="R424" s="1"/>
      <c r="S424" s="1"/>
      <c r="T424" s="1"/>
      <c r="U424" s="1"/>
      <c r="V424" s="1"/>
      <c r="W424" s="1"/>
      <c r="X424" s="1"/>
      <c r="Y424" s="1"/>
      <c r="Z424" s="1"/>
    </row>
    <row r="425" spans="1:26" ht="19.5" customHeight="1">
      <c r="A425" s="1"/>
      <c r="B425" s="2"/>
      <c r="C425" s="1"/>
      <c r="D425" s="1"/>
      <c r="E425" s="2"/>
      <c r="F425" s="1"/>
      <c r="G425" s="1"/>
      <c r="H425" s="1"/>
      <c r="I425" s="1"/>
      <c r="J425" s="1"/>
      <c r="K425" s="1"/>
      <c r="L425" s="1"/>
      <c r="M425" s="1"/>
      <c r="N425" s="1"/>
      <c r="O425" s="1"/>
      <c r="P425" s="1"/>
      <c r="Q425" s="1"/>
      <c r="R425" s="1"/>
      <c r="S425" s="1"/>
      <c r="T425" s="1"/>
      <c r="U425" s="1"/>
      <c r="V425" s="1"/>
      <c r="W425" s="1"/>
      <c r="X425" s="1"/>
      <c r="Y425" s="1"/>
      <c r="Z425" s="1"/>
    </row>
    <row r="426" spans="1:26" ht="19.5" customHeight="1">
      <c r="A426" s="1"/>
      <c r="B426" s="2"/>
      <c r="C426" s="1"/>
      <c r="D426" s="1"/>
      <c r="E426" s="2"/>
      <c r="F426" s="1"/>
      <c r="G426" s="1"/>
      <c r="H426" s="1"/>
      <c r="I426" s="1"/>
      <c r="J426" s="1"/>
      <c r="K426" s="1"/>
      <c r="L426" s="1"/>
      <c r="M426" s="1"/>
      <c r="N426" s="1"/>
      <c r="O426" s="1"/>
      <c r="P426" s="1"/>
      <c r="Q426" s="1"/>
      <c r="R426" s="1"/>
      <c r="S426" s="1"/>
      <c r="T426" s="1"/>
      <c r="U426" s="1"/>
      <c r="V426" s="1"/>
      <c r="W426" s="1"/>
      <c r="X426" s="1"/>
      <c r="Y426" s="1"/>
      <c r="Z426" s="1"/>
    </row>
    <row r="427" spans="1:26" ht="19.5" customHeight="1">
      <c r="A427" s="1"/>
      <c r="B427" s="2"/>
      <c r="C427" s="1"/>
      <c r="D427" s="1"/>
      <c r="E427" s="2"/>
      <c r="F427" s="1"/>
      <c r="G427" s="1"/>
      <c r="H427" s="1"/>
      <c r="I427" s="1"/>
      <c r="J427" s="1"/>
      <c r="K427" s="1"/>
      <c r="L427" s="1"/>
      <c r="M427" s="1"/>
      <c r="N427" s="1"/>
      <c r="O427" s="1"/>
      <c r="P427" s="1"/>
      <c r="Q427" s="1"/>
      <c r="R427" s="1"/>
      <c r="S427" s="1"/>
      <c r="T427" s="1"/>
      <c r="U427" s="1"/>
      <c r="V427" s="1"/>
      <c r="W427" s="1"/>
      <c r="X427" s="1"/>
      <c r="Y427" s="1"/>
      <c r="Z427" s="1"/>
    </row>
    <row r="428" spans="1:26" ht="19.5" customHeight="1">
      <c r="A428" s="1"/>
      <c r="B428" s="2"/>
      <c r="C428" s="1"/>
      <c r="D428" s="1"/>
      <c r="E428" s="2"/>
      <c r="F428" s="1"/>
      <c r="G428" s="1"/>
      <c r="H428" s="1"/>
      <c r="I428" s="1"/>
      <c r="J428" s="1"/>
      <c r="K428" s="1"/>
      <c r="L428" s="1"/>
      <c r="M428" s="1"/>
      <c r="N428" s="1"/>
      <c r="O428" s="1"/>
      <c r="P428" s="1"/>
      <c r="Q428" s="1"/>
      <c r="R428" s="1"/>
      <c r="S428" s="1"/>
      <c r="T428" s="1"/>
      <c r="U428" s="1"/>
      <c r="V428" s="1"/>
      <c r="W428" s="1"/>
      <c r="X428" s="1"/>
      <c r="Y428" s="1"/>
      <c r="Z428" s="1"/>
    </row>
    <row r="429" spans="1:26" ht="19.5" customHeight="1">
      <c r="A429" s="1"/>
      <c r="B429" s="2"/>
      <c r="C429" s="1"/>
      <c r="D429" s="1"/>
      <c r="E429" s="2"/>
      <c r="F429" s="1"/>
      <c r="G429" s="1"/>
      <c r="H429" s="1"/>
      <c r="I429" s="1"/>
      <c r="J429" s="1"/>
      <c r="K429" s="1"/>
      <c r="L429" s="1"/>
      <c r="M429" s="1"/>
      <c r="N429" s="1"/>
      <c r="O429" s="1"/>
      <c r="P429" s="1"/>
      <c r="Q429" s="1"/>
      <c r="R429" s="1"/>
      <c r="S429" s="1"/>
      <c r="T429" s="1"/>
      <c r="U429" s="1"/>
      <c r="V429" s="1"/>
      <c r="W429" s="1"/>
      <c r="X429" s="1"/>
      <c r="Y429" s="1"/>
      <c r="Z429" s="1"/>
    </row>
    <row r="430" spans="1:26" ht="19.5" customHeight="1">
      <c r="A430" s="1"/>
      <c r="B430" s="2"/>
      <c r="C430" s="1"/>
      <c r="D430" s="1"/>
      <c r="E430" s="2"/>
      <c r="F430" s="1"/>
      <c r="G430" s="1"/>
      <c r="H430" s="1"/>
      <c r="I430" s="1"/>
      <c r="J430" s="1"/>
      <c r="K430" s="1"/>
      <c r="L430" s="1"/>
      <c r="M430" s="1"/>
      <c r="N430" s="1"/>
      <c r="O430" s="1"/>
      <c r="P430" s="1"/>
      <c r="Q430" s="1"/>
      <c r="R430" s="1"/>
      <c r="S430" s="1"/>
      <c r="T430" s="1"/>
      <c r="U430" s="1"/>
      <c r="V430" s="1"/>
      <c r="W430" s="1"/>
      <c r="X430" s="1"/>
      <c r="Y430" s="1"/>
      <c r="Z430" s="1"/>
    </row>
    <row r="431" spans="1:26" ht="19.5" customHeight="1">
      <c r="A431" s="1"/>
      <c r="B431" s="2"/>
      <c r="C431" s="1"/>
      <c r="D431" s="1"/>
      <c r="E431" s="2"/>
      <c r="F431" s="1"/>
      <c r="G431" s="1"/>
      <c r="H431" s="1"/>
      <c r="I431" s="1"/>
      <c r="J431" s="1"/>
      <c r="K431" s="1"/>
      <c r="L431" s="1"/>
      <c r="M431" s="1"/>
      <c r="N431" s="1"/>
      <c r="O431" s="1"/>
      <c r="P431" s="1"/>
      <c r="Q431" s="1"/>
      <c r="R431" s="1"/>
      <c r="S431" s="1"/>
      <c r="T431" s="1"/>
      <c r="U431" s="1"/>
      <c r="V431" s="1"/>
      <c r="W431" s="1"/>
      <c r="X431" s="1"/>
      <c r="Y431" s="1"/>
      <c r="Z431" s="1"/>
    </row>
    <row r="432" spans="1:26" ht="19.5" customHeight="1">
      <c r="A432" s="1"/>
      <c r="B432" s="2"/>
      <c r="C432" s="1"/>
      <c r="D432" s="1"/>
      <c r="E432" s="2"/>
      <c r="F432" s="1"/>
      <c r="G432" s="1"/>
      <c r="H432" s="1"/>
      <c r="I432" s="1"/>
      <c r="J432" s="1"/>
      <c r="K432" s="1"/>
      <c r="L432" s="1"/>
      <c r="M432" s="1"/>
      <c r="N432" s="1"/>
      <c r="O432" s="1"/>
      <c r="P432" s="1"/>
      <c r="Q432" s="1"/>
      <c r="R432" s="1"/>
      <c r="S432" s="1"/>
      <c r="T432" s="1"/>
      <c r="U432" s="1"/>
      <c r="V432" s="1"/>
      <c r="W432" s="1"/>
      <c r="X432" s="1"/>
      <c r="Y432" s="1"/>
      <c r="Z432" s="1"/>
    </row>
    <row r="433" spans="1:26" ht="19.5" customHeight="1">
      <c r="A433" s="1"/>
      <c r="B433" s="2"/>
      <c r="C433" s="1"/>
      <c r="D433" s="1"/>
      <c r="E433" s="2"/>
      <c r="F433" s="1"/>
      <c r="G433" s="1"/>
      <c r="H433" s="1"/>
      <c r="I433" s="1"/>
      <c r="J433" s="1"/>
      <c r="K433" s="1"/>
      <c r="L433" s="1"/>
      <c r="M433" s="1"/>
      <c r="N433" s="1"/>
      <c r="O433" s="1"/>
      <c r="P433" s="1"/>
      <c r="Q433" s="1"/>
      <c r="R433" s="1"/>
      <c r="S433" s="1"/>
      <c r="T433" s="1"/>
      <c r="U433" s="1"/>
      <c r="V433" s="1"/>
      <c r="W433" s="1"/>
      <c r="X433" s="1"/>
      <c r="Y433" s="1"/>
      <c r="Z433" s="1"/>
    </row>
    <row r="434" spans="1:26" ht="19.5" customHeight="1">
      <c r="A434" s="1"/>
      <c r="B434" s="2"/>
      <c r="C434" s="1"/>
      <c r="D434" s="1"/>
      <c r="E434" s="2"/>
      <c r="F434" s="1"/>
      <c r="G434" s="1"/>
      <c r="H434" s="1"/>
      <c r="I434" s="1"/>
      <c r="J434" s="1"/>
      <c r="K434" s="1"/>
      <c r="L434" s="1"/>
      <c r="M434" s="1"/>
      <c r="N434" s="1"/>
      <c r="O434" s="1"/>
      <c r="P434" s="1"/>
      <c r="Q434" s="1"/>
      <c r="R434" s="1"/>
      <c r="S434" s="1"/>
      <c r="T434" s="1"/>
      <c r="U434" s="1"/>
      <c r="V434" s="1"/>
      <c r="W434" s="1"/>
      <c r="X434" s="1"/>
      <c r="Y434" s="1"/>
      <c r="Z434" s="1"/>
    </row>
    <row r="435" spans="1:26" ht="19.5" customHeight="1">
      <c r="A435" s="1"/>
      <c r="B435" s="2"/>
      <c r="C435" s="1"/>
      <c r="D435" s="1"/>
      <c r="E435" s="2"/>
      <c r="F435" s="1"/>
      <c r="G435" s="1"/>
      <c r="H435" s="1"/>
      <c r="I435" s="1"/>
      <c r="J435" s="1"/>
      <c r="K435" s="1"/>
      <c r="L435" s="1"/>
      <c r="M435" s="1"/>
      <c r="N435" s="1"/>
      <c r="O435" s="1"/>
      <c r="P435" s="1"/>
      <c r="Q435" s="1"/>
      <c r="R435" s="1"/>
      <c r="S435" s="1"/>
      <c r="T435" s="1"/>
      <c r="U435" s="1"/>
      <c r="V435" s="1"/>
      <c r="W435" s="1"/>
      <c r="X435" s="1"/>
      <c r="Y435" s="1"/>
      <c r="Z435" s="1"/>
    </row>
    <row r="436" spans="1:26" ht="19.5" customHeight="1">
      <c r="A436" s="1"/>
      <c r="B436" s="2"/>
      <c r="C436" s="1"/>
      <c r="D436" s="1"/>
      <c r="E436" s="2"/>
      <c r="F436" s="1"/>
      <c r="G436" s="1"/>
      <c r="H436" s="1"/>
      <c r="I436" s="1"/>
      <c r="J436" s="1"/>
      <c r="K436" s="1"/>
      <c r="L436" s="1"/>
      <c r="M436" s="1"/>
      <c r="N436" s="1"/>
      <c r="O436" s="1"/>
      <c r="P436" s="1"/>
      <c r="Q436" s="1"/>
      <c r="R436" s="1"/>
      <c r="S436" s="1"/>
      <c r="T436" s="1"/>
      <c r="U436" s="1"/>
      <c r="V436" s="1"/>
      <c r="W436" s="1"/>
      <c r="X436" s="1"/>
      <c r="Y436" s="1"/>
      <c r="Z436" s="1"/>
    </row>
    <row r="437" spans="1:26" ht="19.5" customHeight="1">
      <c r="A437" s="1"/>
      <c r="B437" s="2"/>
      <c r="C437" s="1"/>
      <c r="D437" s="1"/>
      <c r="E437" s="2"/>
      <c r="F437" s="1"/>
      <c r="G437" s="1"/>
      <c r="H437" s="1"/>
      <c r="I437" s="1"/>
      <c r="J437" s="1"/>
      <c r="K437" s="1"/>
      <c r="L437" s="1"/>
      <c r="M437" s="1"/>
      <c r="N437" s="1"/>
      <c r="O437" s="1"/>
      <c r="P437" s="1"/>
      <c r="Q437" s="1"/>
      <c r="R437" s="1"/>
      <c r="S437" s="1"/>
      <c r="T437" s="1"/>
      <c r="U437" s="1"/>
      <c r="V437" s="1"/>
      <c r="W437" s="1"/>
      <c r="X437" s="1"/>
      <c r="Y437" s="1"/>
      <c r="Z437" s="1"/>
    </row>
    <row r="438" spans="1:26" ht="19.5" customHeight="1">
      <c r="A438" s="1"/>
      <c r="B438" s="2"/>
      <c r="C438" s="1"/>
      <c r="D438" s="1"/>
      <c r="E438" s="2"/>
      <c r="F438" s="1"/>
      <c r="G438" s="1"/>
      <c r="H438" s="1"/>
      <c r="I438" s="1"/>
      <c r="J438" s="1"/>
      <c r="K438" s="1"/>
      <c r="L438" s="1"/>
      <c r="M438" s="1"/>
      <c r="N438" s="1"/>
      <c r="O438" s="1"/>
      <c r="P438" s="1"/>
      <c r="Q438" s="1"/>
      <c r="R438" s="1"/>
      <c r="S438" s="1"/>
      <c r="T438" s="1"/>
      <c r="U438" s="1"/>
      <c r="V438" s="1"/>
      <c r="W438" s="1"/>
      <c r="X438" s="1"/>
      <c r="Y438" s="1"/>
      <c r="Z438" s="1"/>
    </row>
    <row r="439" spans="1:26" ht="19.5" customHeight="1">
      <c r="A439" s="1"/>
      <c r="B439" s="2"/>
      <c r="C439" s="1"/>
      <c r="D439" s="1"/>
      <c r="E439" s="2"/>
      <c r="F439" s="1"/>
      <c r="G439" s="1"/>
      <c r="H439" s="1"/>
      <c r="I439" s="1"/>
      <c r="J439" s="1"/>
      <c r="K439" s="1"/>
      <c r="L439" s="1"/>
      <c r="M439" s="1"/>
      <c r="N439" s="1"/>
      <c r="O439" s="1"/>
      <c r="P439" s="1"/>
      <c r="Q439" s="1"/>
      <c r="R439" s="1"/>
      <c r="S439" s="1"/>
      <c r="T439" s="1"/>
      <c r="U439" s="1"/>
      <c r="V439" s="1"/>
      <c r="W439" s="1"/>
      <c r="X439" s="1"/>
      <c r="Y439" s="1"/>
      <c r="Z439" s="1"/>
    </row>
    <row r="440" spans="1:26" ht="19.5" customHeight="1">
      <c r="A440" s="1"/>
      <c r="B440" s="2"/>
      <c r="C440" s="1"/>
      <c r="D440" s="1"/>
      <c r="E440" s="2"/>
      <c r="F440" s="1"/>
      <c r="G440" s="1"/>
      <c r="H440" s="1"/>
      <c r="I440" s="1"/>
      <c r="J440" s="1"/>
      <c r="K440" s="1"/>
      <c r="L440" s="1"/>
      <c r="M440" s="1"/>
      <c r="N440" s="1"/>
      <c r="O440" s="1"/>
      <c r="P440" s="1"/>
      <c r="Q440" s="1"/>
      <c r="R440" s="1"/>
      <c r="S440" s="1"/>
      <c r="T440" s="1"/>
      <c r="U440" s="1"/>
      <c r="V440" s="1"/>
      <c r="W440" s="1"/>
      <c r="X440" s="1"/>
      <c r="Y440" s="1"/>
      <c r="Z440" s="1"/>
    </row>
    <row r="441" spans="1:26" ht="19.5" customHeight="1">
      <c r="A441" s="1"/>
      <c r="B441" s="2"/>
      <c r="C441" s="1"/>
      <c r="D441" s="1"/>
      <c r="E441" s="2"/>
      <c r="F441" s="1"/>
      <c r="G441" s="1"/>
      <c r="H441" s="1"/>
      <c r="I441" s="1"/>
      <c r="J441" s="1"/>
      <c r="K441" s="1"/>
      <c r="L441" s="1"/>
      <c r="M441" s="1"/>
      <c r="N441" s="1"/>
      <c r="O441" s="1"/>
      <c r="P441" s="1"/>
      <c r="Q441" s="1"/>
      <c r="R441" s="1"/>
      <c r="S441" s="1"/>
      <c r="T441" s="1"/>
      <c r="U441" s="1"/>
      <c r="V441" s="1"/>
      <c r="W441" s="1"/>
      <c r="X441" s="1"/>
      <c r="Y441" s="1"/>
      <c r="Z441" s="1"/>
    </row>
    <row r="442" spans="1:26" ht="19.5" customHeight="1">
      <c r="A442" s="1"/>
      <c r="B442" s="2"/>
      <c r="C442" s="1"/>
      <c r="D442" s="1"/>
      <c r="E442" s="2"/>
      <c r="F442" s="1"/>
      <c r="G442" s="1"/>
      <c r="H442" s="1"/>
      <c r="I442" s="1"/>
      <c r="J442" s="1"/>
      <c r="K442" s="1"/>
      <c r="L442" s="1"/>
      <c r="M442" s="1"/>
      <c r="N442" s="1"/>
      <c r="O442" s="1"/>
      <c r="P442" s="1"/>
      <c r="Q442" s="1"/>
      <c r="R442" s="1"/>
      <c r="S442" s="1"/>
      <c r="T442" s="1"/>
      <c r="U442" s="1"/>
      <c r="V442" s="1"/>
      <c r="W442" s="1"/>
      <c r="X442" s="1"/>
      <c r="Y442" s="1"/>
      <c r="Z442" s="1"/>
    </row>
    <row r="443" spans="1:26" ht="19.5" customHeight="1">
      <c r="A443" s="1"/>
      <c r="B443" s="2"/>
      <c r="C443" s="1"/>
      <c r="D443" s="1"/>
      <c r="E443" s="2"/>
      <c r="F443" s="1"/>
      <c r="G443" s="1"/>
      <c r="H443" s="1"/>
      <c r="I443" s="1"/>
      <c r="J443" s="1"/>
      <c r="K443" s="1"/>
      <c r="L443" s="1"/>
      <c r="M443" s="1"/>
      <c r="N443" s="1"/>
      <c r="O443" s="1"/>
      <c r="P443" s="1"/>
      <c r="Q443" s="1"/>
      <c r="R443" s="1"/>
      <c r="S443" s="1"/>
      <c r="T443" s="1"/>
      <c r="U443" s="1"/>
      <c r="V443" s="1"/>
      <c r="W443" s="1"/>
      <c r="X443" s="1"/>
      <c r="Y443" s="1"/>
      <c r="Z443" s="1"/>
    </row>
    <row r="444" spans="1:26" ht="19.5" customHeight="1">
      <c r="A444" s="1"/>
      <c r="B444" s="2"/>
      <c r="C444" s="1"/>
      <c r="D444" s="1"/>
      <c r="E444" s="2"/>
      <c r="F444" s="1"/>
      <c r="G444" s="1"/>
      <c r="H444" s="1"/>
      <c r="I444" s="1"/>
      <c r="J444" s="1"/>
      <c r="K444" s="1"/>
      <c r="L444" s="1"/>
      <c r="M444" s="1"/>
      <c r="N444" s="1"/>
      <c r="O444" s="1"/>
      <c r="P444" s="1"/>
      <c r="Q444" s="1"/>
      <c r="R444" s="1"/>
      <c r="S444" s="1"/>
      <c r="T444" s="1"/>
      <c r="U444" s="1"/>
      <c r="V444" s="1"/>
      <c r="W444" s="1"/>
      <c r="X444" s="1"/>
      <c r="Y444" s="1"/>
      <c r="Z444" s="1"/>
    </row>
    <row r="445" spans="1:26" ht="19.5" customHeight="1">
      <c r="A445" s="1"/>
      <c r="B445" s="2"/>
      <c r="C445" s="1"/>
      <c r="D445" s="1"/>
      <c r="E445" s="2"/>
      <c r="F445" s="1"/>
      <c r="G445" s="1"/>
      <c r="H445" s="1"/>
      <c r="I445" s="1"/>
      <c r="J445" s="1"/>
      <c r="K445" s="1"/>
      <c r="L445" s="1"/>
      <c r="M445" s="1"/>
      <c r="N445" s="1"/>
      <c r="O445" s="1"/>
      <c r="P445" s="1"/>
      <c r="Q445" s="1"/>
      <c r="R445" s="1"/>
      <c r="S445" s="1"/>
      <c r="T445" s="1"/>
      <c r="U445" s="1"/>
      <c r="V445" s="1"/>
      <c r="W445" s="1"/>
      <c r="X445" s="1"/>
      <c r="Y445" s="1"/>
      <c r="Z445" s="1"/>
    </row>
    <row r="446" spans="1:26" ht="19.5" customHeight="1">
      <c r="A446" s="1"/>
      <c r="B446" s="2"/>
      <c r="C446" s="1"/>
      <c r="D446" s="1"/>
      <c r="E446" s="2"/>
      <c r="F446" s="1"/>
      <c r="G446" s="1"/>
      <c r="H446" s="1"/>
      <c r="I446" s="1"/>
      <c r="J446" s="1"/>
      <c r="K446" s="1"/>
      <c r="L446" s="1"/>
      <c r="M446" s="1"/>
      <c r="N446" s="1"/>
      <c r="O446" s="1"/>
      <c r="P446" s="1"/>
      <c r="Q446" s="1"/>
      <c r="R446" s="1"/>
      <c r="S446" s="1"/>
      <c r="T446" s="1"/>
      <c r="U446" s="1"/>
      <c r="V446" s="1"/>
      <c r="W446" s="1"/>
      <c r="X446" s="1"/>
      <c r="Y446" s="1"/>
      <c r="Z446" s="1"/>
    </row>
    <row r="447" spans="1:26" ht="19.5" customHeight="1">
      <c r="A447" s="1"/>
      <c r="B447" s="2"/>
      <c r="C447" s="1"/>
      <c r="D447" s="1"/>
      <c r="E447" s="2"/>
      <c r="F447" s="1"/>
      <c r="G447" s="1"/>
      <c r="H447" s="1"/>
      <c r="I447" s="1"/>
      <c r="J447" s="1"/>
      <c r="K447" s="1"/>
      <c r="L447" s="1"/>
      <c r="M447" s="1"/>
      <c r="N447" s="1"/>
      <c r="O447" s="1"/>
      <c r="P447" s="1"/>
      <c r="Q447" s="1"/>
      <c r="R447" s="1"/>
      <c r="S447" s="1"/>
      <c r="T447" s="1"/>
      <c r="U447" s="1"/>
      <c r="V447" s="1"/>
      <c r="W447" s="1"/>
      <c r="X447" s="1"/>
      <c r="Y447" s="1"/>
      <c r="Z447" s="1"/>
    </row>
    <row r="448" spans="1:26" ht="19.5" customHeight="1">
      <c r="A448" s="1"/>
      <c r="B448" s="2"/>
      <c r="C448" s="1"/>
      <c r="D448" s="1"/>
      <c r="E448" s="2"/>
      <c r="F448" s="1"/>
      <c r="G448" s="1"/>
      <c r="H448" s="1"/>
      <c r="I448" s="1"/>
      <c r="J448" s="1"/>
      <c r="K448" s="1"/>
      <c r="L448" s="1"/>
      <c r="M448" s="1"/>
      <c r="N448" s="1"/>
      <c r="O448" s="1"/>
      <c r="P448" s="1"/>
      <c r="Q448" s="1"/>
      <c r="R448" s="1"/>
      <c r="S448" s="1"/>
      <c r="T448" s="1"/>
      <c r="U448" s="1"/>
      <c r="V448" s="1"/>
      <c r="W448" s="1"/>
      <c r="X448" s="1"/>
      <c r="Y448" s="1"/>
      <c r="Z448" s="1"/>
    </row>
    <row r="449" spans="1:26" ht="19.5" customHeight="1">
      <c r="A449" s="1"/>
      <c r="B449" s="2"/>
      <c r="C449" s="1"/>
      <c r="D449" s="1"/>
      <c r="E449" s="2"/>
      <c r="F449" s="1"/>
      <c r="G449" s="1"/>
      <c r="H449" s="1"/>
      <c r="I449" s="1"/>
      <c r="J449" s="1"/>
      <c r="K449" s="1"/>
      <c r="L449" s="1"/>
      <c r="M449" s="1"/>
      <c r="N449" s="1"/>
      <c r="O449" s="1"/>
      <c r="P449" s="1"/>
      <c r="Q449" s="1"/>
      <c r="R449" s="1"/>
      <c r="S449" s="1"/>
      <c r="T449" s="1"/>
      <c r="U449" s="1"/>
      <c r="V449" s="1"/>
      <c r="W449" s="1"/>
      <c r="X449" s="1"/>
      <c r="Y449" s="1"/>
      <c r="Z449" s="1"/>
    </row>
    <row r="450" spans="1:26" ht="19.5" customHeight="1">
      <c r="A450" s="1"/>
      <c r="B450" s="2"/>
      <c r="C450" s="1"/>
      <c r="D450" s="1"/>
      <c r="E450" s="2"/>
      <c r="F450" s="1"/>
      <c r="G450" s="1"/>
      <c r="H450" s="1"/>
      <c r="I450" s="1"/>
      <c r="J450" s="1"/>
      <c r="K450" s="1"/>
      <c r="L450" s="1"/>
      <c r="M450" s="1"/>
      <c r="N450" s="1"/>
      <c r="O450" s="1"/>
      <c r="P450" s="1"/>
      <c r="Q450" s="1"/>
      <c r="R450" s="1"/>
      <c r="S450" s="1"/>
      <c r="T450" s="1"/>
      <c r="U450" s="1"/>
      <c r="V450" s="1"/>
      <c r="W450" s="1"/>
      <c r="X450" s="1"/>
      <c r="Y450" s="1"/>
      <c r="Z450" s="1"/>
    </row>
    <row r="451" spans="1:26" ht="19.5" customHeight="1">
      <c r="A451" s="1"/>
      <c r="B451" s="2"/>
      <c r="C451" s="1"/>
      <c r="D451" s="1"/>
      <c r="E451" s="2"/>
      <c r="F451" s="1"/>
      <c r="G451" s="1"/>
      <c r="H451" s="1"/>
      <c r="I451" s="1"/>
      <c r="J451" s="1"/>
      <c r="K451" s="1"/>
      <c r="L451" s="1"/>
      <c r="M451" s="1"/>
      <c r="N451" s="1"/>
      <c r="O451" s="1"/>
      <c r="P451" s="1"/>
      <c r="Q451" s="1"/>
      <c r="R451" s="1"/>
      <c r="S451" s="1"/>
      <c r="T451" s="1"/>
      <c r="U451" s="1"/>
      <c r="V451" s="1"/>
      <c r="W451" s="1"/>
      <c r="X451" s="1"/>
      <c r="Y451" s="1"/>
      <c r="Z451" s="1"/>
    </row>
    <row r="452" spans="1:26" ht="19.5" customHeight="1">
      <c r="A452" s="1"/>
      <c r="B452" s="2"/>
      <c r="C452" s="1"/>
      <c r="D452" s="1"/>
      <c r="E452" s="2"/>
      <c r="F452" s="1"/>
      <c r="G452" s="1"/>
      <c r="H452" s="1"/>
      <c r="I452" s="1"/>
      <c r="J452" s="1"/>
      <c r="K452" s="1"/>
      <c r="L452" s="1"/>
      <c r="M452" s="1"/>
      <c r="N452" s="1"/>
      <c r="O452" s="1"/>
      <c r="P452" s="1"/>
      <c r="Q452" s="1"/>
      <c r="R452" s="1"/>
      <c r="S452" s="1"/>
      <c r="T452" s="1"/>
      <c r="U452" s="1"/>
      <c r="V452" s="1"/>
      <c r="W452" s="1"/>
      <c r="X452" s="1"/>
      <c r="Y452" s="1"/>
      <c r="Z452" s="1"/>
    </row>
    <row r="453" spans="1:26" ht="19.5" customHeight="1">
      <c r="A453" s="1"/>
      <c r="B453" s="2"/>
      <c r="C453" s="1"/>
      <c r="D453" s="1"/>
      <c r="E453" s="2"/>
      <c r="F453" s="1"/>
      <c r="G453" s="1"/>
      <c r="H453" s="1"/>
      <c r="I453" s="1"/>
      <c r="J453" s="1"/>
      <c r="K453" s="1"/>
      <c r="L453" s="1"/>
      <c r="M453" s="1"/>
      <c r="N453" s="1"/>
      <c r="O453" s="1"/>
      <c r="P453" s="1"/>
      <c r="Q453" s="1"/>
      <c r="R453" s="1"/>
      <c r="S453" s="1"/>
      <c r="T453" s="1"/>
      <c r="U453" s="1"/>
      <c r="V453" s="1"/>
      <c r="W453" s="1"/>
      <c r="X453" s="1"/>
      <c r="Y453" s="1"/>
      <c r="Z453" s="1"/>
    </row>
    <row r="454" spans="1:26" ht="19.5" customHeight="1">
      <c r="A454" s="1"/>
      <c r="B454" s="2"/>
      <c r="C454" s="1"/>
      <c r="D454" s="1"/>
      <c r="E454" s="2"/>
      <c r="F454" s="1"/>
      <c r="G454" s="1"/>
      <c r="H454" s="1"/>
      <c r="I454" s="1"/>
      <c r="J454" s="1"/>
      <c r="K454" s="1"/>
      <c r="L454" s="1"/>
      <c r="M454" s="1"/>
      <c r="N454" s="1"/>
      <c r="O454" s="1"/>
      <c r="P454" s="1"/>
      <c r="Q454" s="1"/>
      <c r="R454" s="1"/>
      <c r="S454" s="1"/>
      <c r="T454" s="1"/>
      <c r="U454" s="1"/>
      <c r="V454" s="1"/>
      <c r="W454" s="1"/>
      <c r="X454" s="1"/>
      <c r="Y454" s="1"/>
      <c r="Z454" s="1"/>
    </row>
    <row r="455" spans="1:26" ht="19.5" customHeight="1">
      <c r="A455" s="1"/>
      <c r="B455" s="2"/>
      <c r="C455" s="1"/>
      <c r="D455" s="1"/>
      <c r="E455" s="2"/>
      <c r="F455" s="1"/>
      <c r="G455" s="1"/>
      <c r="H455" s="1"/>
      <c r="I455" s="1"/>
      <c r="J455" s="1"/>
      <c r="K455" s="1"/>
      <c r="L455" s="1"/>
      <c r="M455" s="1"/>
      <c r="N455" s="1"/>
      <c r="O455" s="1"/>
      <c r="P455" s="1"/>
      <c r="Q455" s="1"/>
      <c r="R455" s="1"/>
      <c r="S455" s="1"/>
      <c r="T455" s="1"/>
      <c r="U455" s="1"/>
      <c r="V455" s="1"/>
      <c r="W455" s="1"/>
      <c r="X455" s="1"/>
      <c r="Y455" s="1"/>
      <c r="Z455" s="1"/>
    </row>
    <row r="456" spans="1:26" ht="19.5" customHeight="1">
      <c r="A456" s="1"/>
      <c r="B456" s="2"/>
      <c r="C456" s="1"/>
      <c r="D456" s="1"/>
      <c r="E456" s="2"/>
      <c r="F456" s="1"/>
      <c r="G456" s="1"/>
      <c r="H456" s="1"/>
      <c r="I456" s="1"/>
      <c r="J456" s="1"/>
      <c r="K456" s="1"/>
      <c r="L456" s="1"/>
      <c r="M456" s="1"/>
      <c r="N456" s="1"/>
      <c r="O456" s="1"/>
      <c r="P456" s="1"/>
      <c r="Q456" s="1"/>
      <c r="R456" s="1"/>
      <c r="S456" s="1"/>
      <c r="T456" s="1"/>
      <c r="U456" s="1"/>
      <c r="V456" s="1"/>
      <c r="W456" s="1"/>
      <c r="X456" s="1"/>
      <c r="Y456" s="1"/>
      <c r="Z456" s="1"/>
    </row>
    <row r="457" spans="1:26" ht="19.5" customHeight="1">
      <c r="A457" s="1"/>
      <c r="B457" s="2"/>
      <c r="C457" s="1"/>
      <c r="D457" s="1"/>
      <c r="E457" s="2"/>
      <c r="F457" s="1"/>
      <c r="G457" s="1"/>
      <c r="H457" s="1"/>
      <c r="I457" s="1"/>
      <c r="J457" s="1"/>
      <c r="K457" s="1"/>
      <c r="L457" s="1"/>
      <c r="M457" s="1"/>
      <c r="N457" s="1"/>
      <c r="O457" s="1"/>
      <c r="P457" s="1"/>
      <c r="Q457" s="1"/>
      <c r="R457" s="1"/>
      <c r="S457" s="1"/>
      <c r="T457" s="1"/>
      <c r="U457" s="1"/>
      <c r="V457" s="1"/>
      <c r="W457" s="1"/>
      <c r="X457" s="1"/>
      <c r="Y457" s="1"/>
      <c r="Z457" s="1"/>
    </row>
    <row r="458" spans="1:26" ht="19.5" customHeight="1">
      <c r="A458" s="1"/>
      <c r="B458" s="2"/>
      <c r="C458" s="1"/>
      <c r="D458" s="1"/>
      <c r="E458" s="2"/>
      <c r="F458" s="1"/>
      <c r="G458" s="1"/>
      <c r="H458" s="1"/>
      <c r="I458" s="1"/>
      <c r="J458" s="1"/>
      <c r="K458" s="1"/>
      <c r="L458" s="1"/>
      <c r="M458" s="1"/>
      <c r="N458" s="1"/>
      <c r="O458" s="1"/>
      <c r="P458" s="1"/>
      <c r="Q458" s="1"/>
      <c r="R458" s="1"/>
      <c r="S458" s="1"/>
      <c r="T458" s="1"/>
      <c r="U458" s="1"/>
      <c r="V458" s="1"/>
      <c r="W458" s="1"/>
      <c r="X458" s="1"/>
      <c r="Y458" s="1"/>
      <c r="Z458" s="1"/>
    </row>
    <row r="459" spans="1:26" ht="19.5" customHeight="1">
      <c r="A459" s="1"/>
      <c r="B459" s="2"/>
      <c r="C459" s="1"/>
      <c r="D459" s="1"/>
      <c r="E459" s="2"/>
      <c r="F459" s="1"/>
      <c r="G459" s="1"/>
      <c r="H459" s="1"/>
      <c r="I459" s="1"/>
      <c r="J459" s="1"/>
      <c r="K459" s="1"/>
      <c r="L459" s="1"/>
      <c r="M459" s="1"/>
      <c r="N459" s="1"/>
      <c r="O459" s="1"/>
      <c r="P459" s="1"/>
      <c r="Q459" s="1"/>
      <c r="R459" s="1"/>
      <c r="S459" s="1"/>
      <c r="T459" s="1"/>
      <c r="U459" s="1"/>
      <c r="V459" s="1"/>
      <c r="W459" s="1"/>
      <c r="X459" s="1"/>
      <c r="Y459" s="1"/>
      <c r="Z459" s="1"/>
    </row>
    <row r="460" spans="1:26" ht="19.5" customHeight="1">
      <c r="A460" s="1"/>
      <c r="B460" s="2"/>
      <c r="C460" s="1"/>
      <c r="D460" s="1"/>
      <c r="E460" s="2"/>
      <c r="F460" s="1"/>
      <c r="G460" s="1"/>
      <c r="H460" s="1"/>
      <c r="I460" s="1"/>
      <c r="J460" s="1"/>
      <c r="K460" s="1"/>
      <c r="L460" s="1"/>
      <c r="M460" s="1"/>
      <c r="N460" s="1"/>
      <c r="O460" s="1"/>
      <c r="P460" s="1"/>
      <c r="Q460" s="1"/>
      <c r="R460" s="1"/>
      <c r="S460" s="1"/>
      <c r="T460" s="1"/>
      <c r="U460" s="1"/>
      <c r="V460" s="1"/>
      <c r="W460" s="1"/>
      <c r="X460" s="1"/>
      <c r="Y460" s="1"/>
      <c r="Z460" s="1"/>
    </row>
    <row r="461" spans="1:26" ht="19.5" customHeight="1">
      <c r="A461" s="1"/>
      <c r="B461" s="2"/>
      <c r="C461" s="1"/>
      <c r="D461" s="1"/>
      <c r="E461" s="2"/>
      <c r="F461" s="1"/>
      <c r="G461" s="1"/>
      <c r="H461" s="1"/>
      <c r="I461" s="1"/>
      <c r="J461" s="1"/>
      <c r="K461" s="1"/>
      <c r="L461" s="1"/>
      <c r="M461" s="1"/>
      <c r="N461" s="1"/>
      <c r="O461" s="1"/>
      <c r="P461" s="1"/>
      <c r="Q461" s="1"/>
      <c r="R461" s="1"/>
      <c r="S461" s="1"/>
      <c r="T461" s="1"/>
      <c r="U461" s="1"/>
      <c r="V461" s="1"/>
      <c r="W461" s="1"/>
      <c r="X461" s="1"/>
      <c r="Y461" s="1"/>
      <c r="Z461" s="1"/>
    </row>
    <row r="462" spans="1:26" ht="19.5" customHeight="1">
      <c r="A462" s="1"/>
      <c r="B462" s="2"/>
      <c r="C462" s="1"/>
      <c r="D462" s="1"/>
      <c r="E462" s="2"/>
      <c r="F462" s="1"/>
      <c r="G462" s="1"/>
      <c r="H462" s="1"/>
      <c r="I462" s="1"/>
      <c r="J462" s="1"/>
      <c r="K462" s="1"/>
      <c r="L462" s="1"/>
      <c r="M462" s="1"/>
      <c r="N462" s="1"/>
      <c r="O462" s="1"/>
      <c r="P462" s="1"/>
      <c r="Q462" s="1"/>
      <c r="R462" s="1"/>
      <c r="S462" s="1"/>
      <c r="T462" s="1"/>
      <c r="U462" s="1"/>
      <c r="V462" s="1"/>
      <c r="W462" s="1"/>
      <c r="X462" s="1"/>
      <c r="Y462" s="1"/>
      <c r="Z462" s="1"/>
    </row>
    <row r="463" spans="1:26" ht="19.5" customHeight="1">
      <c r="A463" s="1"/>
      <c r="B463" s="2"/>
      <c r="C463" s="1"/>
      <c r="D463" s="1"/>
      <c r="E463" s="2"/>
      <c r="F463" s="1"/>
      <c r="G463" s="1"/>
      <c r="H463" s="1"/>
      <c r="I463" s="1"/>
      <c r="J463" s="1"/>
      <c r="K463" s="1"/>
      <c r="L463" s="1"/>
      <c r="M463" s="1"/>
      <c r="N463" s="1"/>
      <c r="O463" s="1"/>
      <c r="P463" s="1"/>
      <c r="Q463" s="1"/>
      <c r="R463" s="1"/>
      <c r="S463" s="1"/>
      <c r="T463" s="1"/>
      <c r="U463" s="1"/>
      <c r="V463" s="1"/>
      <c r="W463" s="1"/>
      <c r="X463" s="1"/>
      <c r="Y463" s="1"/>
      <c r="Z463" s="1"/>
    </row>
    <row r="464" spans="1:26" ht="19.5" customHeight="1">
      <c r="A464" s="1"/>
      <c r="B464" s="2"/>
      <c r="C464" s="1"/>
      <c r="D464" s="1"/>
      <c r="E464" s="2"/>
      <c r="F464" s="1"/>
      <c r="G464" s="1"/>
      <c r="H464" s="1"/>
      <c r="I464" s="1"/>
      <c r="J464" s="1"/>
      <c r="K464" s="1"/>
      <c r="L464" s="1"/>
      <c r="M464" s="1"/>
      <c r="N464" s="1"/>
      <c r="O464" s="1"/>
      <c r="P464" s="1"/>
      <c r="Q464" s="1"/>
      <c r="R464" s="1"/>
      <c r="S464" s="1"/>
      <c r="T464" s="1"/>
      <c r="U464" s="1"/>
      <c r="V464" s="1"/>
      <c r="W464" s="1"/>
      <c r="X464" s="1"/>
      <c r="Y464" s="1"/>
      <c r="Z464" s="1"/>
    </row>
    <row r="465" spans="1:26" ht="19.5" customHeight="1">
      <c r="A465" s="1"/>
      <c r="B465" s="2"/>
      <c r="C465" s="1"/>
      <c r="D465" s="1"/>
      <c r="E465" s="2"/>
      <c r="F465" s="1"/>
      <c r="G465" s="1"/>
      <c r="H465" s="1"/>
      <c r="I465" s="1"/>
      <c r="J465" s="1"/>
      <c r="K465" s="1"/>
      <c r="L465" s="1"/>
      <c r="M465" s="1"/>
      <c r="N465" s="1"/>
      <c r="O465" s="1"/>
      <c r="P465" s="1"/>
      <c r="Q465" s="1"/>
      <c r="R465" s="1"/>
      <c r="S465" s="1"/>
      <c r="T465" s="1"/>
      <c r="U465" s="1"/>
      <c r="V465" s="1"/>
      <c r="W465" s="1"/>
      <c r="X465" s="1"/>
      <c r="Y465" s="1"/>
      <c r="Z465" s="1"/>
    </row>
    <row r="466" spans="1:26" ht="19.5" customHeight="1">
      <c r="A466" s="1"/>
      <c r="B466" s="2"/>
      <c r="C466" s="1"/>
      <c r="D466" s="1"/>
      <c r="E466" s="2"/>
      <c r="F466" s="1"/>
      <c r="G466" s="1"/>
      <c r="H466" s="1"/>
      <c r="I466" s="1"/>
      <c r="J466" s="1"/>
      <c r="K466" s="1"/>
      <c r="L466" s="1"/>
      <c r="M466" s="1"/>
      <c r="N466" s="1"/>
      <c r="O466" s="1"/>
      <c r="P466" s="1"/>
      <c r="Q466" s="1"/>
      <c r="R466" s="1"/>
      <c r="S466" s="1"/>
      <c r="T466" s="1"/>
      <c r="U466" s="1"/>
      <c r="V466" s="1"/>
      <c r="W466" s="1"/>
      <c r="X466" s="1"/>
      <c r="Y466" s="1"/>
      <c r="Z466" s="1"/>
    </row>
    <row r="467" spans="1:26" ht="19.5" customHeight="1">
      <c r="A467" s="1"/>
      <c r="B467" s="2"/>
      <c r="C467" s="1"/>
      <c r="D467" s="1"/>
      <c r="E467" s="2"/>
      <c r="F467" s="1"/>
      <c r="G467" s="1"/>
      <c r="H467" s="1"/>
      <c r="I467" s="1"/>
      <c r="J467" s="1"/>
      <c r="K467" s="1"/>
      <c r="L467" s="1"/>
      <c r="M467" s="1"/>
      <c r="N467" s="1"/>
      <c r="O467" s="1"/>
      <c r="P467" s="1"/>
      <c r="Q467" s="1"/>
      <c r="R467" s="1"/>
      <c r="S467" s="1"/>
      <c r="T467" s="1"/>
      <c r="U467" s="1"/>
      <c r="V467" s="1"/>
      <c r="W467" s="1"/>
      <c r="X467" s="1"/>
      <c r="Y467" s="1"/>
      <c r="Z467" s="1"/>
    </row>
    <row r="468" spans="1:26" ht="19.5" customHeight="1">
      <c r="A468" s="1"/>
      <c r="B468" s="2"/>
      <c r="C468" s="1"/>
      <c r="D468" s="1"/>
      <c r="E468" s="2"/>
      <c r="F468" s="1"/>
      <c r="G468" s="1"/>
      <c r="H468" s="1"/>
      <c r="I468" s="1"/>
      <c r="J468" s="1"/>
      <c r="K468" s="1"/>
      <c r="L468" s="1"/>
      <c r="M468" s="1"/>
      <c r="N468" s="1"/>
      <c r="O468" s="1"/>
      <c r="P468" s="1"/>
      <c r="Q468" s="1"/>
      <c r="R468" s="1"/>
      <c r="S468" s="1"/>
      <c r="T468" s="1"/>
      <c r="U468" s="1"/>
      <c r="V468" s="1"/>
      <c r="W468" s="1"/>
      <c r="X468" s="1"/>
      <c r="Y468" s="1"/>
      <c r="Z468" s="1"/>
    </row>
    <row r="469" spans="1:26" ht="19.5" customHeight="1">
      <c r="A469" s="1"/>
      <c r="B469" s="2"/>
      <c r="C469" s="1"/>
      <c r="D469" s="1"/>
      <c r="E469" s="2"/>
      <c r="F469" s="1"/>
      <c r="G469" s="1"/>
      <c r="H469" s="1"/>
      <c r="I469" s="1"/>
      <c r="J469" s="1"/>
      <c r="K469" s="1"/>
      <c r="L469" s="1"/>
      <c r="M469" s="1"/>
      <c r="N469" s="1"/>
      <c r="O469" s="1"/>
      <c r="P469" s="1"/>
      <c r="Q469" s="1"/>
      <c r="R469" s="1"/>
      <c r="S469" s="1"/>
      <c r="T469" s="1"/>
      <c r="U469" s="1"/>
      <c r="V469" s="1"/>
      <c r="W469" s="1"/>
      <c r="X469" s="1"/>
      <c r="Y469" s="1"/>
      <c r="Z469" s="1"/>
    </row>
    <row r="470" spans="1:26" ht="19.5" customHeight="1">
      <c r="A470" s="1"/>
      <c r="B470" s="2"/>
      <c r="C470" s="1"/>
      <c r="D470" s="1"/>
      <c r="E470" s="2"/>
      <c r="F470" s="1"/>
      <c r="G470" s="1"/>
      <c r="H470" s="1"/>
      <c r="I470" s="1"/>
      <c r="J470" s="1"/>
      <c r="K470" s="1"/>
      <c r="L470" s="1"/>
      <c r="M470" s="1"/>
      <c r="N470" s="1"/>
      <c r="O470" s="1"/>
      <c r="P470" s="1"/>
      <c r="Q470" s="1"/>
      <c r="R470" s="1"/>
      <c r="S470" s="1"/>
      <c r="T470" s="1"/>
      <c r="U470" s="1"/>
      <c r="V470" s="1"/>
      <c r="W470" s="1"/>
      <c r="X470" s="1"/>
      <c r="Y470" s="1"/>
      <c r="Z470" s="1"/>
    </row>
    <row r="471" spans="1:26" ht="19.5" customHeight="1">
      <c r="A471" s="1"/>
      <c r="B471" s="2"/>
      <c r="C471" s="1"/>
      <c r="D471" s="1"/>
      <c r="E471" s="2"/>
      <c r="F471" s="1"/>
      <c r="G471" s="1"/>
      <c r="H471" s="1"/>
      <c r="I471" s="1"/>
      <c r="J471" s="1"/>
      <c r="K471" s="1"/>
      <c r="L471" s="1"/>
      <c r="M471" s="1"/>
      <c r="N471" s="1"/>
      <c r="O471" s="1"/>
      <c r="P471" s="1"/>
      <c r="Q471" s="1"/>
      <c r="R471" s="1"/>
      <c r="S471" s="1"/>
      <c r="T471" s="1"/>
      <c r="U471" s="1"/>
      <c r="V471" s="1"/>
      <c r="W471" s="1"/>
      <c r="X471" s="1"/>
      <c r="Y471" s="1"/>
      <c r="Z471" s="1"/>
    </row>
    <row r="472" spans="1:26" ht="19.5" customHeight="1">
      <c r="A472" s="1"/>
      <c r="B472" s="2"/>
      <c r="C472" s="1"/>
      <c r="D472" s="1"/>
      <c r="E472" s="2"/>
      <c r="F472" s="1"/>
      <c r="G472" s="1"/>
      <c r="H472" s="1"/>
      <c r="I472" s="1"/>
      <c r="J472" s="1"/>
      <c r="K472" s="1"/>
      <c r="L472" s="1"/>
      <c r="M472" s="1"/>
      <c r="N472" s="1"/>
      <c r="O472" s="1"/>
      <c r="P472" s="1"/>
      <c r="Q472" s="1"/>
      <c r="R472" s="1"/>
      <c r="S472" s="1"/>
      <c r="T472" s="1"/>
      <c r="U472" s="1"/>
      <c r="V472" s="1"/>
      <c r="W472" s="1"/>
      <c r="X472" s="1"/>
      <c r="Y472" s="1"/>
      <c r="Z472" s="1"/>
    </row>
    <row r="473" spans="1:26" ht="19.5" customHeight="1">
      <c r="A473" s="1"/>
      <c r="B473" s="2"/>
      <c r="C473" s="1"/>
      <c r="D473" s="1"/>
      <c r="E473" s="2"/>
      <c r="F473" s="1"/>
      <c r="G473" s="1"/>
      <c r="H473" s="1"/>
      <c r="I473" s="1"/>
      <c r="J473" s="1"/>
      <c r="K473" s="1"/>
      <c r="L473" s="1"/>
      <c r="M473" s="1"/>
      <c r="N473" s="1"/>
      <c r="O473" s="1"/>
      <c r="P473" s="1"/>
      <c r="Q473" s="1"/>
      <c r="R473" s="1"/>
      <c r="S473" s="1"/>
      <c r="T473" s="1"/>
      <c r="U473" s="1"/>
      <c r="V473" s="1"/>
      <c r="W473" s="1"/>
      <c r="X473" s="1"/>
      <c r="Y473" s="1"/>
      <c r="Z473" s="1"/>
    </row>
    <row r="474" spans="1:26" ht="19.5" customHeight="1">
      <c r="A474" s="1"/>
      <c r="B474" s="2"/>
      <c r="C474" s="1"/>
      <c r="D474" s="1"/>
      <c r="E474" s="2"/>
      <c r="F474" s="1"/>
      <c r="G474" s="1"/>
      <c r="H474" s="1"/>
      <c r="I474" s="1"/>
      <c r="J474" s="1"/>
      <c r="K474" s="1"/>
      <c r="L474" s="1"/>
      <c r="M474" s="1"/>
      <c r="N474" s="1"/>
      <c r="O474" s="1"/>
      <c r="P474" s="1"/>
      <c r="Q474" s="1"/>
      <c r="R474" s="1"/>
      <c r="S474" s="1"/>
      <c r="T474" s="1"/>
      <c r="U474" s="1"/>
      <c r="V474" s="1"/>
      <c r="W474" s="1"/>
      <c r="X474" s="1"/>
      <c r="Y474" s="1"/>
      <c r="Z474" s="1"/>
    </row>
    <row r="475" spans="1:26" ht="19.5" customHeight="1">
      <c r="A475" s="1"/>
      <c r="B475" s="2"/>
      <c r="C475" s="1"/>
      <c r="D475" s="1"/>
      <c r="E475" s="2"/>
      <c r="F475" s="1"/>
      <c r="G475" s="1"/>
      <c r="H475" s="1"/>
      <c r="I475" s="1"/>
      <c r="J475" s="1"/>
      <c r="K475" s="1"/>
      <c r="L475" s="1"/>
      <c r="M475" s="1"/>
      <c r="N475" s="1"/>
      <c r="O475" s="1"/>
      <c r="P475" s="1"/>
      <c r="Q475" s="1"/>
      <c r="R475" s="1"/>
      <c r="S475" s="1"/>
      <c r="T475" s="1"/>
      <c r="U475" s="1"/>
      <c r="V475" s="1"/>
      <c r="W475" s="1"/>
      <c r="X475" s="1"/>
      <c r="Y475" s="1"/>
      <c r="Z475" s="1"/>
    </row>
    <row r="476" spans="1:26" ht="19.5" customHeight="1">
      <c r="A476" s="1"/>
      <c r="B476" s="2"/>
      <c r="C476" s="1"/>
      <c r="D476" s="1"/>
      <c r="E476" s="2"/>
      <c r="F476" s="1"/>
      <c r="G476" s="1"/>
      <c r="H476" s="1"/>
      <c r="I476" s="1"/>
      <c r="J476" s="1"/>
      <c r="K476" s="1"/>
      <c r="L476" s="1"/>
      <c r="M476" s="1"/>
      <c r="N476" s="1"/>
      <c r="O476" s="1"/>
      <c r="P476" s="1"/>
      <c r="Q476" s="1"/>
      <c r="R476" s="1"/>
      <c r="S476" s="1"/>
      <c r="T476" s="1"/>
      <c r="U476" s="1"/>
      <c r="V476" s="1"/>
      <c r="W476" s="1"/>
      <c r="X476" s="1"/>
      <c r="Y476" s="1"/>
      <c r="Z476" s="1"/>
    </row>
    <row r="477" spans="1:26" ht="19.5" customHeight="1">
      <c r="A477" s="1"/>
      <c r="B477" s="2"/>
      <c r="C477" s="1"/>
      <c r="D477" s="1"/>
      <c r="E477" s="2"/>
      <c r="F477" s="1"/>
      <c r="G477" s="1"/>
      <c r="H477" s="1"/>
      <c r="I477" s="1"/>
      <c r="J477" s="1"/>
      <c r="K477" s="1"/>
      <c r="L477" s="1"/>
      <c r="M477" s="1"/>
      <c r="N477" s="1"/>
      <c r="O477" s="1"/>
      <c r="P477" s="1"/>
      <c r="Q477" s="1"/>
      <c r="R477" s="1"/>
      <c r="S477" s="1"/>
      <c r="T477" s="1"/>
      <c r="U477" s="1"/>
      <c r="V477" s="1"/>
      <c r="W477" s="1"/>
      <c r="X477" s="1"/>
      <c r="Y477" s="1"/>
      <c r="Z477" s="1"/>
    </row>
    <row r="478" spans="1:26" ht="19.5" customHeight="1">
      <c r="A478" s="1"/>
      <c r="B478" s="2"/>
      <c r="C478" s="1"/>
      <c r="D478" s="1"/>
      <c r="E478" s="2"/>
      <c r="F478" s="1"/>
      <c r="G478" s="1"/>
      <c r="H478" s="1"/>
      <c r="I478" s="1"/>
      <c r="J478" s="1"/>
      <c r="K478" s="1"/>
      <c r="L478" s="1"/>
      <c r="M478" s="1"/>
      <c r="N478" s="1"/>
      <c r="O478" s="1"/>
      <c r="P478" s="1"/>
      <c r="Q478" s="1"/>
      <c r="R478" s="1"/>
      <c r="S478" s="1"/>
      <c r="T478" s="1"/>
      <c r="U478" s="1"/>
      <c r="V478" s="1"/>
      <c r="W478" s="1"/>
      <c r="X478" s="1"/>
      <c r="Y478" s="1"/>
      <c r="Z478" s="1"/>
    </row>
    <row r="479" spans="1:26" ht="19.5" customHeight="1">
      <c r="A479" s="1"/>
      <c r="B479" s="2"/>
      <c r="C479" s="1"/>
      <c r="D479" s="1"/>
      <c r="E479" s="2"/>
      <c r="F479" s="1"/>
      <c r="G479" s="1"/>
      <c r="H479" s="1"/>
      <c r="I479" s="1"/>
      <c r="J479" s="1"/>
      <c r="K479" s="1"/>
      <c r="L479" s="1"/>
      <c r="M479" s="1"/>
      <c r="N479" s="1"/>
      <c r="O479" s="1"/>
      <c r="P479" s="1"/>
      <c r="Q479" s="1"/>
      <c r="R479" s="1"/>
      <c r="S479" s="1"/>
      <c r="T479" s="1"/>
      <c r="U479" s="1"/>
      <c r="V479" s="1"/>
      <c r="W479" s="1"/>
      <c r="X479" s="1"/>
      <c r="Y479" s="1"/>
      <c r="Z479" s="1"/>
    </row>
    <row r="480" spans="1:26" ht="19.5" customHeight="1">
      <c r="A480" s="1"/>
      <c r="B480" s="2"/>
      <c r="C480" s="1"/>
      <c r="D480" s="1"/>
      <c r="E480" s="2"/>
      <c r="F480" s="1"/>
      <c r="G480" s="1"/>
      <c r="H480" s="1"/>
      <c r="I480" s="1"/>
      <c r="J480" s="1"/>
      <c r="K480" s="1"/>
      <c r="L480" s="1"/>
      <c r="M480" s="1"/>
      <c r="N480" s="1"/>
      <c r="O480" s="1"/>
      <c r="P480" s="1"/>
      <c r="Q480" s="1"/>
      <c r="R480" s="1"/>
      <c r="S480" s="1"/>
      <c r="T480" s="1"/>
      <c r="U480" s="1"/>
      <c r="V480" s="1"/>
      <c r="W480" s="1"/>
      <c r="X480" s="1"/>
      <c r="Y480" s="1"/>
      <c r="Z480" s="1"/>
    </row>
    <row r="481" spans="1:26" ht="19.5" customHeight="1">
      <c r="A481" s="1"/>
      <c r="B481" s="2"/>
      <c r="C481" s="1"/>
      <c r="D481" s="1"/>
      <c r="E481" s="2"/>
      <c r="F481" s="1"/>
      <c r="G481" s="1"/>
      <c r="H481" s="1"/>
      <c r="I481" s="1"/>
      <c r="J481" s="1"/>
      <c r="K481" s="1"/>
      <c r="L481" s="1"/>
      <c r="M481" s="1"/>
      <c r="N481" s="1"/>
      <c r="O481" s="1"/>
      <c r="P481" s="1"/>
      <c r="Q481" s="1"/>
      <c r="R481" s="1"/>
      <c r="S481" s="1"/>
      <c r="T481" s="1"/>
      <c r="U481" s="1"/>
      <c r="V481" s="1"/>
      <c r="W481" s="1"/>
      <c r="X481" s="1"/>
      <c r="Y481" s="1"/>
      <c r="Z481" s="1"/>
    </row>
    <row r="482" spans="1:26" ht="19.5" customHeight="1">
      <c r="A482" s="1"/>
      <c r="B482" s="2"/>
      <c r="C482" s="1"/>
      <c r="D482" s="1"/>
      <c r="E482" s="2"/>
      <c r="F482" s="1"/>
      <c r="G482" s="1"/>
      <c r="H482" s="1"/>
      <c r="I482" s="1"/>
      <c r="J482" s="1"/>
      <c r="K482" s="1"/>
      <c r="L482" s="1"/>
      <c r="M482" s="1"/>
      <c r="N482" s="1"/>
      <c r="O482" s="1"/>
      <c r="P482" s="1"/>
      <c r="Q482" s="1"/>
      <c r="R482" s="1"/>
      <c r="S482" s="1"/>
      <c r="T482" s="1"/>
      <c r="U482" s="1"/>
      <c r="V482" s="1"/>
      <c r="W482" s="1"/>
      <c r="X482" s="1"/>
      <c r="Y482" s="1"/>
      <c r="Z482" s="1"/>
    </row>
    <row r="483" spans="1:26" ht="19.5" customHeight="1">
      <c r="A483" s="1"/>
      <c r="B483" s="2"/>
      <c r="C483" s="1"/>
      <c r="D483" s="1"/>
      <c r="E483" s="2"/>
      <c r="F483" s="1"/>
      <c r="G483" s="1"/>
      <c r="H483" s="1"/>
      <c r="I483" s="1"/>
      <c r="J483" s="1"/>
      <c r="K483" s="1"/>
      <c r="L483" s="1"/>
      <c r="M483" s="1"/>
      <c r="N483" s="1"/>
      <c r="O483" s="1"/>
      <c r="P483" s="1"/>
      <c r="Q483" s="1"/>
      <c r="R483" s="1"/>
      <c r="S483" s="1"/>
      <c r="T483" s="1"/>
      <c r="U483" s="1"/>
      <c r="V483" s="1"/>
      <c r="W483" s="1"/>
      <c r="X483" s="1"/>
      <c r="Y483" s="1"/>
      <c r="Z483" s="1"/>
    </row>
    <row r="484" spans="1:26" ht="19.5" customHeight="1">
      <c r="A484" s="1"/>
      <c r="B484" s="2"/>
      <c r="C484" s="1"/>
      <c r="D484" s="1"/>
      <c r="E484" s="2"/>
      <c r="F484" s="1"/>
      <c r="G484" s="1"/>
      <c r="H484" s="1"/>
      <c r="I484" s="1"/>
      <c r="J484" s="1"/>
      <c r="K484" s="1"/>
      <c r="L484" s="1"/>
      <c r="M484" s="1"/>
      <c r="N484" s="1"/>
      <c r="O484" s="1"/>
      <c r="P484" s="1"/>
      <c r="Q484" s="1"/>
      <c r="R484" s="1"/>
      <c r="S484" s="1"/>
      <c r="T484" s="1"/>
      <c r="U484" s="1"/>
      <c r="V484" s="1"/>
      <c r="W484" s="1"/>
      <c r="X484" s="1"/>
      <c r="Y484" s="1"/>
      <c r="Z484" s="1"/>
    </row>
    <row r="485" spans="1:26" ht="19.5" customHeight="1">
      <c r="A485" s="1"/>
      <c r="B485" s="2"/>
      <c r="C485" s="1"/>
      <c r="D485" s="1"/>
      <c r="E485" s="2"/>
      <c r="F485" s="1"/>
      <c r="G485" s="1"/>
      <c r="H485" s="1"/>
      <c r="I485" s="1"/>
      <c r="J485" s="1"/>
      <c r="K485" s="1"/>
      <c r="L485" s="1"/>
      <c r="M485" s="1"/>
      <c r="N485" s="1"/>
      <c r="O485" s="1"/>
      <c r="P485" s="1"/>
      <c r="Q485" s="1"/>
      <c r="R485" s="1"/>
      <c r="S485" s="1"/>
      <c r="T485" s="1"/>
      <c r="U485" s="1"/>
      <c r="V485" s="1"/>
      <c r="W485" s="1"/>
      <c r="X485" s="1"/>
      <c r="Y485" s="1"/>
      <c r="Z485" s="1"/>
    </row>
    <row r="486" spans="1:26" ht="19.5" customHeight="1">
      <c r="A486" s="1"/>
      <c r="B486" s="2"/>
      <c r="C486" s="1"/>
      <c r="D486" s="1"/>
      <c r="E486" s="2"/>
      <c r="F486" s="1"/>
      <c r="G486" s="1"/>
      <c r="H486" s="1"/>
      <c r="I486" s="1"/>
      <c r="J486" s="1"/>
      <c r="K486" s="1"/>
      <c r="L486" s="1"/>
      <c r="M486" s="1"/>
      <c r="N486" s="1"/>
      <c r="O486" s="1"/>
      <c r="P486" s="1"/>
      <c r="Q486" s="1"/>
      <c r="R486" s="1"/>
      <c r="S486" s="1"/>
      <c r="T486" s="1"/>
      <c r="U486" s="1"/>
      <c r="V486" s="1"/>
      <c r="W486" s="1"/>
      <c r="X486" s="1"/>
      <c r="Y486" s="1"/>
      <c r="Z486" s="1"/>
    </row>
    <row r="487" spans="1:26" ht="19.5" customHeight="1">
      <c r="A487" s="1"/>
      <c r="B487" s="2"/>
      <c r="C487" s="1"/>
      <c r="D487" s="1"/>
      <c r="E487" s="2"/>
      <c r="F487" s="1"/>
      <c r="G487" s="1"/>
      <c r="H487" s="1"/>
      <c r="I487" s="1"/>
      <c r="J487" s="1"/>
      <c r="K487" s="1"/>
      <c r="L487" s="1"/>
      <c r="M487" s="1"/>
      <c r="N487" s="1"/>
      <c r="O487" s="1"/>
      <c r="P487" s="1"/>
      <c r="Q487" s="1"/>
      <c r="R487" s="1"/>
      <c r="S487" s="1"/>
      <c r="T487" s="1"/>
      <c r="U487" s="1"/>
      <c r="V487" s="1"/>
      <c r="W487" s="1"/>
      <c r="X487" s="1"/>
      <c r="Y487" s="1"/>
      <c r="Z487" s="1"/>
    </row>
    <row r="488" spans="1:26" ht="19.5" customHeight="1">
      <c r="A488" s="1"/>
      <c r="B488" s="2"/>
      <c r="C488" s="1"/>
      <c r="D488" s="1"/>
      <c r="E488" s="2"/>
      <c r="F488" s="1"/>
      <c r="G488" s="1"/>
      <c r="H488" s="1"/>
      <c r="I488" s="1"/>
      <c r="J488" s="1"/>
      <c r="K488" s="1"/>
      <c r="L488" s="1"/>
      <c r="M488" s="1"/>
      <c r="N488" s="1"/>
      <c r="O488" s="1"/>
      <c r="P488" s="1"/>
      <c r="Q488" s="1"/>
      <c r="R488" s="1"/>
      <c r="S488" s="1"/>
      <c r="T488" s="1"/>
      <c r="U488" s="1"/>
      <c r="V488" s="1"/>
      <c r="W488" s="1"/>
      <c r="X488" s="1"/>
      <c r="Y488" s="1"/>
      <c r="Z488" s="1"/>
    </row>
    <row r="489" spans="1:26" ht="19.5" customHeight="1">
      <c r="A489" s="1"/>
      <c r="B489" s="2"/>
      <c r="C489" s="1"/>
      <c r="D489" s="1"/>
      <c r="E489" s="2"/>
      <c r="F489" s="1"/>
      <c r="G489" s="1"/>
      <c r="H489" s="1"/>
      <c r="I489" s="1"/>
      <c r="J489" s="1"/>
      <c r="K489" s="1"/>
      <c r="L489" s="1"/>
      <c r="M489" s="1"/>
      <c r="N489" s="1"/>
      <c r="O489" s="1"/>
      <c r="P489" s="1"/>
      <c r="Q489" s="1"/>
      <c r="R489" s="1"/>
      <c r="S489" s="1"/>
      <c r="T489" s="1"/>
      <c r="U489" s="1"/>
      <c r="V489" s="1"/>
      <c r="W489" s="1"/>
      <c r="X489" s="1"/>
      <c r="Y489" s="1"/>
      <c r="Z489" s="1"/>
    </row>
    <row r="490" spans="1:26" ht="19.5" customHeight="1">
      <c r="A490" s="1"/>
      <c r="B490" s="2"/>
      <c r="C490" s="1"/>
      <c r="D490" s="1"/>
      <c r="E490" s="2"/>
      <c r="F490" s="1"/>
      <c r="G490" s="1"/>
      <c r="H490" s="1"/>
      <c r="I490" s="1"/>
      <c r="J490" s="1"/>
      <c r="K490" s="1"/>
      <c r="L490" s="1"/>
      <c r="M490" s="1"/>
      <c r="N490" s="1"/>
      <c r="O490" s="1"/>
      <c r="P490" s="1"/>
      <c r="Q490" s="1"/>
      <c r="R490" s="1"/>
      <c r="S490" s="1"/>
      <c r="T490" s="1"/>
      <c r="U490" s="1"/>
      <c r="V490" s="1"/>
      <c r="W490" s="1"/>
      <c r="X490" s="1"/>
      <c r="Y490" s="1"/>
      <c r="Z490" s="1"/>
    </row>
    <row r="491" spans="1:26" ht="19.5" customHeight="1">
      <c r="A491" s="1"/>
      <c r="B491" s="2"/>
      <c r="C491" s="1"/>
      <c r="D491" s="1"/>
      <c r="E491" s="2"/>
      <c r="F491" s="1"/>
      <c r="G491" s="1"/>
      <c r="H491" s="1"/>
      <c r="I491" s="1"/>
      <c r="J491" s="1"/>
      <c r="K491" s="1"/>
      <c r="L491" s="1"/>
      <c r="M491" s="1"/>
      <c r="N491" s="1"/>
      <c r="O491" s="1"/>
      <c r="P491" s="1"/>
      <c r="Q491" s="1"/>
      <c r="R491" s="1"/>
      <c r="S491" s="1"/>
      <c r="T491" s="1"/>
      <c r="U491" s="1"/>
      <c r="V491" s="1"/>
      <c r="W491" s="1"/>
      <c r="X491" s="1"/>
      <c r="Y491" s="1"/>
      <c r="Z491" s="1"/>
    </row>
    <row r="492" spans="1:26" ht="19.5" customHeight="1">
      <c r="A492" s="1"/>
      <c r="B492" s="2"/>
      <c r="C492" s="1"/>
      <c r="D492" s="1"/>
      <c r="E492" s="2"/>
      <c r="F492" s="1"/>
      <c r="G492" s="1"/>
      <c r="H492" s="1"/>
      <c r="I492" s="1"/>
      <c r="J492" s="1"/>
      <c r="K492" s="1"/>
      <c r="L492" s="1"/>
      <c r="M492" s="1"/>
      <c r="N492" s="1"/>
      <c r="O492" s="1"/>
      <c r="P492" s="1"/>
      <c r="Q492" s="1"/>
      <c r="R492" s="1"/>
      <c r="S492" s="1"/>
      <c r="T492" s="1"/>
      <c r="U492" s="1"/>
      <c r="V492" s="1"/>
      <c r="W492" s="1"/>
      <c r="X492" s="1"/>
      <c r="Y492" s="1"/>
      <c r="Z492" s="1"/>
    </row>
    <row r="493" spans="1:26" ht="19.5" customHeight="1">
      <c r="A493" s="1"/>
      <c r="B493" s="2"/>
      <c r="C493" s="1"/>
      <c r="D493" s="1"/>
      <c r="E493" s="2"/>
      <c r="F493" s="1"/>
      <c r="G493" s="1"/>
      <c r="H493" s="1"/>
      <c r="I493" s="1"/>
      <c r="J493" s="1"/>
      <c r="K493" s="1"/>
      <c r="L493" s="1"/>
      <c r="M493" s="1"/>
      <c r="N493" s="1"/>
      <c r="O493" s="1"/>
      <c r="P493" s="1"/>
      <c r="Q493" s="1"/>
      <c r="R493" s="1"/>
      <c r="S493" s="1"/>
      <c r="T493" s="1"/>
      <c r="U493" s="1"/>
      <c r="V493" s="1"/>
      <c r="W493" s="1"/>
      <c r="X493" s="1"/>
      <c r="Y493" s="1"/>
      <c r="Z493" s="1"/>
    </row>
    <row r="494" spans="1:26" ht="19.5" customHeight="1">
      <c r="A494" s="1"/>
      <c r="B494" s="2"/>
      <c r="C494" s="1"/>
      <c r="D494" s="1"/>
      <c r="E494" s="2"/>
      <c r="F494" s="1"/>
      <c r="G494" s="1"/>
      <c r="H494" s="1"/>
      <c r="I494" s="1"/>
      <c r="J494" s="1"/>
      <c r="K494" s="1"/>
      <c r="L494" s="1"/>
      <c r="M494" s="1"/>
      <c r="N494" s="1"/>
      <c r="O494" s="1"/>
      <c r="P494" s="1"/>
      <c r="Q494" s="1"/>
      <c r="R494" s="1"/>
      <c r="S494" s="1"/>
      <c r="T494" s="1"/>
      <c r="U494" s="1"/>
      <c r="V494" s="1"/>
      <c r="W494" s="1"/>
      <c r="X494" s="1"/>
      <c r="Y494" s="1"/>
      <c r="Z494" s="1"/>
    </row>
    <row r="495" spans="1:26" ht="19.5" customHeight="1">
      <c r="A495" s="1"/>
      <c r="B495" s="2"/>
      <c r="C495" s="1"/>
      <c r="D495" s="1"/>
      <c r="E495" s="2"/>
      <c r="F495" s="1"/>
      <c r="G495" s="1"/>
      <c r="H495" s="1"/>
      <c r="I495" s="1"/>
      <c r="J495" s="1"/>
      <c r="K495" s="1"/>
      <c r="L495" s="1"/>
      <c r="M495" s="1"/>
      <c r="N495" s="1"/>
      <c r="O495" s="1"/>
      <c r="P495" s="1"/>
      <c r="Q495" s="1"/>
      <c r="R495" s="1"/>
      <c r="S495" s="1"/>
      <c r="T495" s="1"/>
      <c r="U495" s="1"/>
      <c r="V495" s="1"/>
      <c r="W495" s="1"/>
      <c r="X495" s="1"/>
      <c r="Y495" s="1"/>
      <c r="Z495" s="1"/>
    </row>
    <row r="496" spans="1:26" ht="19.5" customHeight="1">
      <c r="A496" s="1"/>
      <c r="B496" s="2"/>
      <c r="C496" s="1"/>
      <c r="D496" s="1"/>
      <c r="E496" s="2"/>
      <c r="F496" s="1"/>
      <c r="G496" s="1"/>
      <c r="H496" s="1"/>
      <c r="I496" s="1"/>
      <c r="J496" s="1"/>
      <c r="K496" s="1"/>
      <c r="L496" s="1"/>
      <c r="M496" s="1"/>
      <c r="N496" s="1"/>
      <c r="O496" s="1"/>
      <c r="P496" s="1"/>
      <c r="Q496" s="1"/>
      <c r="R496" s="1"/>
      <c r="S496" s="1"/>
      <c r="T496" s="1"/>
      <c r="U496" s="1"/>
      <c r="V496" s="1"/>
      <c r="W496" s="1"/>
      <c r="X496" s="1"/>
      <c r="Y496" s="1"/>
      <c r="Z496" s="1"/>
    </row>
    <row r="497" spans="1:26" ht="19.5" customHeight="1">
      <c r="A497" s="1"/>
      <c r="B497" s="2"/>
      <c r="C497" s="1"/>
      <c r="D497" s="1"/>
      <c r="E497" s="2"/>
      <c r="F497" s="1"/>
      <c r="G497" s="1"/>
      <c r="H497" s="1"/>
      <c r="I497" s="1"/>
      <c r="J497" s="1"/>
      <c r="K497" s="1"/>
      <c r="L497" s="1"/>
      <c r="M497" s="1"/>
      <c r="N497" s="1"/>
      <c r="O497" s="1"/>
      <c r="P497" s="1"/>
      <c r="Q497" s="1"/>
      <c r="R497" s="1"/>
      <c r="S497" s="1"/>
      <c r="T497" s="1"/>
      <c r="U497" s="1"/>
      <c r="V497" s="1"/>
      <c r="W497" s="1"/>
      <c r="X497" s="1"/>
      <c r="Y497" s="1"/>
      <c r="Z497" s="1"/>
    </row>
    <row r="498" spans="1:26" ht="19.5" customHeight="1">
      <c r="A498" s="1"/>
      <c r="B498" s="2"/>
      <c r="C498" s="1"/>
      <c r="D498" s="1"/>
      <c r="E498" s="2"/>
      <c r="F498" s="1"/>
      <c r="G498" s="1"/>
      <c r="H498" s="1"/>
      <c r="I498" s="1"/>
      <c r="J498" s="1"/>
      <c r="K498" s="1"/>
      <c r="L498" s="1"/>
      <c r="M498" s="1"/>
      <c r="N498" s="1"/>
      <c r="O498" s="1"/>
      <c r="P498" s="1"/>
      <c r="Q498" s="1"/>
      <c r="R498" s="1"/>
      <c r="S498" s="1"/>
      <c r="T498" s="1"/>
      <c r="U498" s="1"/>
      <c r="V498" s="1"/>
      <c r="W498" s="1"/>
      <c r="X498" s="1"/>
      <c r="Y498" s="1"/>
      <c r="Z498" s="1"/>
    </row>
    <row r="499" spans="1:26" ht="19.5" customHeight="1">
      <c r="A499" s="1"/>
      <c r="B499" s="2"/>
      <c r="C499" s="1"/>
      <c r="D499" s="1"/>
      <c r="E499" s="2"/>
      <c r="F499" s="1"/>
      <c r="G499" s="1"/>
      <c r="H499" s="1"/>
      <c r="I499" s="1"/>
      <c r="J499" s="1"/>
      <c r="K499" s="1"/>
      <c r="L499" s="1"/>
      <c r="M499" s="1"/>
      <c r="N499" s="1"/>
      <c r="O499" s="1"/>
      <c r="P499" s="1"/>
      <c r="Q499" s="1"/>
      <c r="R499" s="1"/>
      <c r="S499" s="1"/>
      <c r="T499" s="1"/>
      <c r="U499" s="1"/>
      <c r="V499" s="1"/>
      <c r="W499" s="1"/>
      <c r="X499" s="1"/>
      <c r="Y499" s="1"/>
      <c r="Z499" s="1"/>
    </row>
    <row r="500" spans="1:26" ht="19.5" customHeight="1">
      <c r="A500" s="1"/>
      <c r="B500" s="2"/>
      <c r="C500" s="1"/>
      <c r="D500" s="1"/>
      <c r="E500" s="2"/>
      <c r="F500" s="1"/>
      <c r="G500" s="1"/>
      <c r="H500" s="1"/>
      <c r="I500" s="1"/>
      <c r="J500" s="1"/>
      <c r="K500" s="1"/>
      <c r="L500" s="1"/>
      <c r="M500" s="1"/>
      <c r="N500" s="1"/>
      <c r="O500" s="1"/>
      <c r="P500" s="1"/>
      <c r="Q500" s="1"/>
      <c r="R500" s="1"/>
      <c r="S500" s="1"/>
      <c r="T500" s="1"/>
      <c r="U500" s="1"/>
      <c r="V500" s="1"/>
      <c r="W500" s="1"/>
      <c r="X500" s="1"/>
      <c r="Y500" s="1"/>
      <c r="Z500" s="1"/>
    </row>
    <row r="501" spans="1:26" ht="19.5" customHeight="1">
      <c r="A501" s="1"/>
      <c r="B501" s="2"/>
      <c r="C501" s="1"/>
      <c r="D501" s="1"/>
      <c r="E501" s="2"/>
      <c r="F501" s="1"/>
      <c r="G501" s="1"/>
      <c r="H501" s="1"/>
      <c r="I501" s="1"/>
      <c r="J501" s="1"/>
      <c r="K501" s="1"/>
      <c r="L501" s="1"/>
      <c r="M501" s="1"/>
      <c r="N501" s="1"/>
      <c r="O501" s="1"/>
      <c r="P501" s="1"/>
      <c r="Q501" s="1"/>
      <c r="R501" s="1"/>
      <c r="S501" s="1"/>
      <c r="T501" s="1"/>
      <c r="U501" s="1"/>
      <c r="V501" s="1"/>
      <c r="W501" s="1"/>
      <c r="X501" s="1"/>
      <c r="Y501" s="1"/>
      <c r="Z501" s="1"/>
    </row>
    <row r="502" spans="1:26" ht="19.5" customHeight="1">
      <c r="A502" s="1"/>
      <c r="B502" s="2"/>
      <c r="C502" s="1"/>
      <c r="D502" s="1"/>
      <c r="E502" s="2"/>
      <c r="F502" s="1"/>
      <c r="G502" s="1"/>
      <c r="H502" s="1"/>
      <c r="I502" s="1"/>
      <c r="J502" s="1"/>
      <c r="K502" s="1"/>
      <c r="L502" s="1"/>
      <c r="M502" s="1"/>
      <c r="N502" s="1"/>
      <c r="O502" s="1"/>
      <c r="P502" s="1"/>
      <c r="Q502" s="1"/>
      <c r="R502" s="1"/>
      <c r="S502" s="1"/>
      <c r="T502" s="1"/>
      <c r="U502" s="1"/>
      <c r="V502" s="1"/>
      <c r="W502" s="1"/>
      <c r="X502" s="1"/>
      <c r="Y502" s="1"/>
      <c r="Z502" s="1"/>
    </row>
    <row r="503" spans="1:26" ht="19.5" customHeight="1">
      <c r="A503" s="1"/>
      <c r="B503" s="2"/>
      <c r="C503" s="1"/>
      <c r="D503" s="1"/>
      <c r="E503" s="2"/>
      <c r="F503" s="1"/>
      <c r="G503" s="1"/>
      <c r="H503" s="1"/>
      <c r="I503" s="1"/>
      <c r="J503" s="1"/>
      <c r="K503" s="1"/>
      <c r="L503" s="1"/>
      <c r="M503" s="1"/>
      <c r="N503" s="1"/>
      <c r="O503" s="1"/>
      <c r="P503" s="1"/>
      <c r="Q503" s="1"/>
      <c r="R503" s="1"/>
      <c r="S503" s="1"/>
      <c r="T503" s="1"/>
      <c r="U503" s="1"/>
      <c r="V503" s="1"/>
      <c r="W503" s="1"/>
      <c r="X503" s="1"/>
      <c r="Y503" s="1"/>
      <c r="Z503" s="1"/>
    </row>
    <row r="504" spans="1:26" ht="19.5" customHeight="1">
      <c r="A504" s="1"/>
      <c r="B504" s="2"/>
      <c r="C504" s="1"/>
      <c r="D504" s="1"/>
      <c r="E504" s="2"/>
      <c r="F504" s="1"/>
      <c r="G504" s="1"/>
      <c r="H504" s="1"/>
      <c r="I504" s="1"/>
      <c r="J504" s="1"/>
      <c r="K504" s="1"/>
      <c r="L504" s="1"/>
      <c r="M504" s="1"/>
      <c r="N504" s="1"/>
      <c r="O504" s="1"/>
      <c r="P504" s="1"/>
      <c r="Q504" s="1"/>
      <c r="R504" s="1"/>
      <c r="S504" s="1"/>
      <c r="T504" s="1"/>
      <c r="U504" s="1"/>
      <c r="V504" s="1"/>
      <c r="W504" s="1"/>
      <c r="X504" s="1"/>
      <c r="Y504" s="1"/>
      <c r="Z504" s="1"/>
    </row>
    <row r="505" spans="1:26" ht="19.5" customHeight="1">
      <c r="A505" s="1"/>
      <c r="B505" s="2"/>
      <c r="C505" s="1"/>
      <c r="D505" s="1"/>
      <c r="E505" s="2"/>
      <c r="F505" s="1"/>
      <c r="G505" s="1"/>
      <c r="H505" s="1"/>
      <c r="I505" s="1"/>
      <c r="J505" s="1"/>
      <c r="K505" s="1"/>
      <c r="L505" s="1"/>
      <c r="M505" s="1"/>
      <c r="N505" s="1"/>
      <c r="O505" s="1"/>
      <c r="P505" s="1"/>
      <c r="Q505" s="1"/>
      <c r="R505" s="1"/>
      <c r="S505" s="1"/>
      <c r="T505" s="1"/>
      <c r="U505" s="1"/>
      <c r="V505" s="1"/>
      <c r="W505" s="1"/>
      <c r="X505" s="1"/>
      <c r="Y505" s="1"/>
      <c r="Z505" s="1"/>
    </row>
    <row r="506" spans="1:26" ht="19.5" customHeight="1">
      <c r="A506" s="1"/>
      <c r="B506" s="2"/>
      <c r="C506" s="1"/>
      <c r="D506" s="1"/>
      <c r="E506" s="2"/>
      <c r="F506" s="1"/>
      <c r="G506" s="1"/>
      <c r="H506" s="1"/>
      <c r="I506" s="1"/>
      <c r="J506" s="1"/>
      <c r="K506" s="1"/>
      <c r="L506" s="1"/>
      <c r="M506" s="1"/>
      <c r="N506" s="1"/>
      <c r="O506" s="1"/>
      <c r="P506" s="1"/>
      <c r="Q506" s="1"/>
      <c r="R506" s="1"/>
      <c r="S506" s="1"/>
      <c r="T506" s="1"/>
      <c r="U506" s="1"/>
      <c r="V506" s="1"/>
      <c r="W506" s="1"/>
      <c r="X506" s="1"/>
      <c r="Y506" s="1"/>
      <c r="Z506" s="1"/>
    </row>
    <row r="507" spans="1:26" ht="19.5" customHeight="1">
      <c r="A507" s="1"/>
      <c r="B507" s="2"/>
      <c r="C507" s="1"/>
      <c r="D507" s="1"/>
      <c r="E507" s="2"/>
      <c r="F507" s="1"/>
      <c r="G507" s="1"/>
      <c r="H507" s="1"/>
      <c r="I507" s="1"/>
      <c r="J507" s="1"/>
      <c r="K507" s="1"/>
      <c r="L507" s="1"/>
      <c r="M507" s="1"/>
      <c r="N507" s="1"/>
      <c r="O507" s="1"/>
      <c r="P507" s="1"/>
      <c r="Q507" s="1"/>
      <c r="R507" s="1"/>
      <c r="S507" s="1"/>
      <c r="T507" s="1"/>
      <c r="U507" s="1"/>
      <c r="V507" s="1"/>
      <c r="W507" s="1"/>
      <c r="X507" s="1"/>
      <c r="Y507" s="1"/>
      <c r="Z507" s="1"/>
    </row>
    <row r="508" spans="1:26" ht="19.5" customHeight="1">
      <c r="A508" s="1"/>
      <c r="B508" s="2"/>
      <c r="C508" s="1"/>
      <c r="D508" s="1"/>
      <c r="E508" s="2"/>
      <c r="F508" s="1"/>
      <c r="G508" s="1"/>
      <c r="H508" s="1"/>
      <c r="I508" s="1"/>
      <c r="J508" s="1"/>
      <c r="K508" s="1"/>
      <c r="L508" s="1"/>
      <c r="M508" s="1"/>
      <c r="N508" s="1"/>
      <c r="O508" s="1"/>
      <c r="P508" s="1"/>
      <c r="Q508" s="1"/>
      <c r="R508" s="1"/>
      <c r="S508" s="1"/>
      <c r="T508" s="1"/>
      <c r="U508" s="1"/>
      <c r="V508" s="1"/>
      <c r="W508" s="1"/>
      <c r="X508" s="1"/>
      <c r="Y508" s="1"/>
      <c r="Z508" s="1"/>
    </row>
    <row r="509" spans="1:26" ht="19.5" customHeight="1">
      <c r="A509" s="1"/>
      <c r="B509" s="2"/>
      <c r="C509" s="1"/>
      <c r="D509" s="1"/>
      <c r="E509" s="2"/>
      <c r="F509" s="1"/>
      <c r="G509" s="1"/>
      <c r="H509" s="1"/>
      <c r="I509" s="1"/>
      <c r="J509" s="1"/>
      <c r="K509" s="1"/>
      <c r="L509" s="1"/>
      <c r="M509" s="1"/>
      <c r="N509" s="1"/>
      <c r="O509" s="1"/>
      <c r="P509" s="1"/>
      <c r="Q509" s="1"/>
      <c r="R509" s="1"/>
      <c r="S509" s="1"/>
      <c r="T509" s="1"/>
      <c r="U509" s="1"/>
      <c r="V509" s="1"/>
      <c r="W509" s="1"/>
      <c r="X509" s="1"/>
      <c r="Y509" s="1"/>
      <c r="Z509" s="1"/>
    </row>
    <row r="510" spans="1:26" ht="19.5" customHeight="1">
      <c r="A510" s="1"/>
      <c r="B510" s="2"/>
      <c r="C510" s="1"/>
      <c r="D510" s="1"/>
      <c r="E510" s="2"/>
      <c r="F510" s="1"/>
      <c r="G510" s="1"/>
      <c r="H510" s="1"/>
      <c r="I510" s="1"/>
      <c r="J510" s="1"/>
      <c r="K510" s="1"/>
      <c r="L510" s="1"/>
      <c r="M510" s="1"/>
      <c r="N510" s="1"/>
      <c r="O510" s="1"/>
      <c r="P510" s="1"/>
      <c r="Q510" s="1"/>
      <c r="R510" s="1"/>
      <c r="S510" s="1"/>
      <c r="T510" s="1"/>
      <c r="U510" s="1"/>
      <c r="V510" s="1"/>
      <c r="W510" s="1"/>
      <c r="X510" s="1"/>
      <c r="Y510" s="1"/>
      <c r="Z510" s="1"/>
    </row>
    <row r="511" spans="1:26" ht="19.5" customHeight="1">
      <c r="A511" s="1"/>
      <c r="B511" s="2"/>
      <c r="C511" s="1"/>
      <c r="D511" s="1"/>
      <c r="E511" s="2"/>
      <c r="F511" s="1"/>
      <c r="G511" s="1"/>
      <c r="H511" s="1"/>
      <c r="I511" s="1"/>
      <c r="J511" s="1"/>
      <c r="K511" s="1"/>
      <c r="L511" s="1"/>
      <c r="M511" s="1"/>
      <c r="N511" s="1"/>
      <c r="O511" s="1"/>
      <c r="P511" s="1"/>
      <c r="Q511" s="1"/>
      <c r="R511" s="1"/>
      <c r="S511" s="1"/>
      <c r="T511" s="1"/>
      <c r="U511" s="1"/>
      <c r="V511" s="1"/>
      <c r="W511" s="1"/>
      <c r="X511" s="1"/>
      <c r="Y511" s="1"/>
      <c r="Z511" s="1"/>
    </row>
    <row r="512" spans="1:26" ht="19.5" customHeight="1">
      <c r="A512" s="1"/>
      <c r="B512" s="2"/>
      <c r="C512" s="1"/>
      <c r="D512" s="1"/>
      <c r="E512" s="2"/>
      <c r="F512" s="1"/>
      <c r="G512" s="1"/>
      <c r="H512" s="1"/>
      <c r="I512" s="1"/>
      <c r="J512" s="1"/>
      <c r="K512" s="1"/>
      <c r="L512" s="1"/>
      <c r="M512" s="1"/>
      <c r="N512" s="1"/>
      <c r="O512" s="1"/>
      <c r="P512" s="1"/>
      <c r="Q512" s="1"/>
      <c r="R512" s="1"/>
      <c r="S512" s="1"/>
      <c r="T512" s="1"/>
      <c r="U512" s="1"/>
      <c r="V512" s="1"/>
      <c r="W512" s="1"/>
      <c r="X512" s="1"/>
      <c r="Y512" s="1"/>
      <c r="Z512" s="1"/>
    </row>
    <row r="513" spans="1:26" ht="19.5" customHeight="1">
      <c r="A513" s="1"/>
      <c r="B513" s="2"/>
      <c r="C513" s="1"/>
      <c r="D513" s="1"/>
      <c r="E513" s="2"/>
      <c r="F513" s="1"/>
      <c r="G513" s="1"/>
      <c r="H513" s="1"/>
      <c r="I513" s="1"/>
      <c r="J513" s="1"/>
      <c r="K513" s="1"/>
      <c r="L513" s="1"/>
      <c r="M513" s="1"/>
      <c r="N513" s="1"/>
      <c r="O513" s="1"/>
      <c r="P513" s="1"/>
      <c r="Q513" s="1"/>
      <c r="R513" s="1"/>
      <c r="S513" s="1"/>
      <c r="T513" s="1"/>
      <c r="U513" s="1"/>
      <c r="V513" s="1"/>
      <c r="W513" s="1"/>
      <c r="X513" s="1"/>
      <c r="Y513" s="1"/>
      <c r="Z513" s="1"/>
    </row>
    <row r="514" spans="1:26" ht="19.5" customHeight="1">
      <c r="A514" s="1"/>
      <c r="B514" s="2"/>
      <c r="C514" s="1"/>
      <c r="D514" s="1"/>
      <c r="E514" s="2"/>
      <c r="F514" s="1"/>
      <c r="G514" s="1"/>
      <c r="H514" s="1"/>
      <c r="I514" s="1"/>
      <c r="J514" s="1"/>
      <c r="K514" s="1"/>
      <c r="L514" s="1"/>
      <c r="M514" s="1"/>
      <c r="N514" s="1"/>
      <c r="O514" s="1"/>
      <c r="P514" s="1"/>
      <c r="Q514" s="1"/>
      <c r="R514" s="1"/>
      <c r="S514" s="1"/>
      <c r="T514" s="1"/>
      <c r="U514" s="1"/>
      <c r="V514" s="1"/>
      <c r="W514" s="1"/>
      <c r="X514" s="1"/>
      <c r="Y514" s="1"/>
      <c r="Z514" s="1"/>
    </row>
    <row r="515" spans="1:26" ht="19.5" customHeight="1">
      <c r="A515" s="1"/>
      <c r="B515" s="2"/>
      <c r="C515" s="1"/>
      <c r="D515" s="1"/>
      <c r="E515" s="2"/>
      <c r="F515" s="1"/>
      <c r="G515" s="1"/>
      <c r="H515" s="1"/>
      <c r="I515" s="1"/>
      <c r="J515" s="1"/>
      <c r="K515" s="1"/>
      <c r="L515" s="1"/>
      <c r="M515" s="1"/>
      <c r="N515" s="1"/>
      <c r="O515" s="1"/>
      <c r="P515" s="1"/>
      <c r="Q515" s="1"/>
      <c r="R515" s="1"/>
      <c r="S515" s="1"/>
      <c r="T515" s="1"/>
      <c r="U515" s="1"/>
      <c r="V515" s="1"/>
      <c r="W515" s="1"/>
      <c r="X515" s="1"/>
      <c r="Y515" s="1"/>
      <c r="Z515" s="1"/>
    </row>
    <row r="516" spans="1:26" ht="19.5" customHeight="1">
      <c r="A516" s="1"/>
      <c r="B516" s="2"/>
      <c r="C516" s="1"/>
      <c r="D516" s="1"/>
      <c r="E516" s="2"/>
      <c r="F516" s="1"/>
      <c r="G516" s="1"/>
      <c r="H516" s="1"/>
      <c r="I516" s="1"/>
      <c r="J516" s="1"/>
      <c r="K516" s="1"/>
      <c r="L516" s="1"/>
      <c r="M516" s="1"/>
      <c r="N516" s="1"/>
      <c r="O516" s="1"/>
      <c r="P516" s="1"/>
      <c r="Q516" s="1"/>
      <c r="R516" s="1"/>
      <c r="S516" s="1"/>
      <c r="T516" s="1"/>
      <c r="U516" s="1"/>
      <c r="V516" s="1"/>
      <c r="W516" s="1"/>
      <c r="X516" s="1"/>
      <c r="Y516" s="1"/>
      <c r="Z516" s="1"/>
    </row>
    <row r="517" spans="1:26" ht="19.5" customHeight="1">
      <c r="A517" s="1"/>
      <c r="B517" s="2"/>
      <c r="C517" s="1"/>
      <c r="D517" s="1"/>
      <c r="E517" s="2"/>
      <c r="F517" s="1"/>
      <c r="G517" s="1"/>
      <c r="H517" s="1"/>
      <c r="I517" s="1"/>
      <c r="J517" s="1"/>
      <c r="K517" s="1"/>
      <c r="L517" s="1"/>
      <c r="M517" s="1"/>
      <c r="N517" s="1"/>
      <c r="O517" s="1"/>
      <c r="P517" s="1"/>
      <c r="Q517" s="1"/>
      <c r="R517" s="1"/>
      <c r="S517" s="1"/>
      <c r="T517" s="1"/>
      <c r="U517" s="1"/>
      <c r="V517" s="1"/>
      <c r="W517" s="1"/>
      <c r="X517" s="1"/>
      <c r="Y517" s="1"/>
      <c r="Z517" s="1"/>
    </row>
    <row r="518" spans="1:26" ht="19.5" customHeight="1">
      <c r="A518" s="1"/>
      <c r="B518" s="2"/>
      <c r="C518" s="1"/>
      <c r="D518" s="1"/>
      <c r="E518" s="2"/>
      <c r="F518" s="1"/>
      <c r="G518" s="1"/>
      <c r="H518" s="1"/>
      <c r="I518" s="1"/>
      <c r="J518" s="1"/>
      <c r="K518" s="1"/>
      <c r="L518" s="1"/>
      <c r="M518" s="1"/>
      <c r="N518" s="1"/>
      <c r="O518" s="1"/>
      <c r="P518" s="1"/>
      <c r="Q518" s="1"/>
      <c r="R518" s="1"/>
      <c r="S518" s="1"/>
      <c r="T518" s="1"/>
      <c r="U518" s="1"/>
      <c r="V518" s="1"/>
      <c r="W518" s="1"/>
      <c r="X518" s="1"/>
      <c r="Y518" s="1"/>
      <c r="Z518" s="1"/>
    </row>
    <row r="519" spans="1:26" ht="19.5" customHeight="1">
      <c r="A519" s="1"/>
      <c r="B519" s="2"/>
      <c r="C519" s="1"/>
      <c r="D519" s="1"/>
      <c r="E519" s="2"/>
      <c r="F519" s="1"/>
      <c r="G519" s="1"/>
      <c r="H519" s="1"/>
      <c r="I519" s="1"/>
      <c r="J519" s="1"/>
      <c r="K519" s="1"/>
      <c r="L519" s="1"/>
      <c r="M519" s="1"/>
      <c r="N519" s="1"/>
      <c r="O519" s="1"/>
      <c r="P519" s="1"/>
      <c r="Q519" s="1"/>
      <c r="R519" s="1"/>
      <c r="S519" s="1"/>
      <c r="T519" s="1"/>
      <c r="U519" s="1"/>
      <c r="V519" s="1"/>
      <c r="W519" s="1"/>
      <c r="X519" s="1"/>
      <c r="Y519" s="1"/>
      <c r="Z519" s="1"/>
    </row>
    <row r="520" spans="1:26" ht="19.5" customHeight="1">
      <c r="A520" s="1"/>
      <c r="B520" s="2"/>
      <c r="C520" s="1"/>
      <c r="D520" s="1"/>
      <c r="E520" s="2"/>
      <c r="F520" s="1"/>
      <c r="G520" s="1"/>
      <c r="H520" s="1"/>
      <c r="I520" s="1"/>
      <c r="J520" s="1"/>
      <c r="K520" s="1"/>
      <c r="L520" s="1"/>
      <c r="M520" s="1"/>
      <c r="N520" s="1"/>
      <c r="O520" s="1"/>
      <c r="P520" s="1"/>
      <c r="Q520" s="1"/>
      <c r="R520" s="1"/>
      <c r="S520" s="1"/>
      <c r="T520" s="1"/>
      <c r="U520" s="1"/>
      <c r="V520" s="1"/>
      <c r="W520" s="1"/>
      <c r="X520" s="1"/>
      <c r="Y520" s="1"/>
      <c r="Z520" s="1"/>
    </row>
    <row r="521" spans="1:26" ht="19.5" customHeight="1">
      <c r="A521" s="1"/>
      <c r="B521" s="2"/>
      <c r="C521" s="1"/>
      <c r="D521" s="1"/>
      <c r="E521" s="2"/>
      <c r="F521" s="1"/>
      <c r="G521" s="1"/>
      <c r="H521" s="1"/>
      <c r="I521" s="1"/>
      <c r="J521" s="1"/>
      <c r="K521" s="1"/>
      <c r="L521" s="1"/>
      <c r="M521" s="1"/>
      <c r="N521" s="1"/>
      <c r="O521" s="1"/>
      <c r="P521" s="1"/>
      <c r="Q521" s="1"/>
      <c r="R521" s="1"/>
      <c r="S521" s="1"/>
      <c r="T521" s="1"/>
      <c r="U521" s="1"/>
      <c r="V521" s="1"/>
      <c r="W521" s="1"/>
      <c r="X521" s="1"/>
      <c r="Y521" s="1"/>
      <c r="Z521" s="1"/>
    </row>
    <row r="522" spans="1:26" ht="19.5" customHeight="1">
      <c r="A522" s="1"/>
      <c r="B522" s="2"/>
      <c r="C522" s="1"/>
      <c r="D522" s="1"/>
      <c r="E522" s="2"/>
      <c r="F522" s="1"/>
      <c r="G522" s="1"/>
      <c r="H522" s="1"/>
      <c r="I522" s="1"/>
      <c r="J522" s="1"/>
      <c r="K522" s="1"/>
      <c r="L522" s="1"/>
      <c r="M522" s="1"/>
      <c r="N522" s="1"/>
      <c r="O522" s="1"/>
      <c r="P522" s="1"/>
      <c r="Q522" s="1"/>
      <c r="R522" s="1"/>
      <c r="S522" s="1"/>
      <c r="T522" s="1"/>
      <c r="U522" s="1"/>
      <c r="V522" s="1"/>
      <c r="W522" s="1"/>
      <c r="X522" s="1"/>
      <c r="Y522" s="1"/>
      <c r="Z522" s="1"/>
    </row>
    <row r="523" spans="1:26" ht="19.5" customHeight="1">
      <c r="A523" s="1"/>
      <c r="B523" s="2"/>
      <c r="C523" s="1"/>
      <c r="D523" s="1"/>
      <c r="E523" s="2"/>
      <c r="F523" s="1"/>
      <c r="G523" s="1"/>
      <c r="H523" s="1"/>
      <c r="I523" s="1"/>
      <c r="J523" s="1"/>
      <c r="K523" s="1"/>
      <c r="L523" s="1"/>
      <c r="M523" s="1"/>
      <c r="N523" s="1"/>
      <c r="O523" s="1"/>
      <c r="P523" s="1"/>
      <c r="Q523" s="1"/>
      <c r="R523" s="1"/>
      <c r="S523" s="1"/>
      <c r="T523" s="1"/>
      <c r="U523" s="1"/>
      <c r="V523" s="1"/>
      <c r="W523" s="1"/>
      <c r="X523" s="1"/>
      <c r="Y523" s="1"/>
      <c r="Z523" s="1"/>
    </row>
    <row r="524" spans="1:26" ht="19.5" customHeight="1">
      <c r="A524" s="1"/>
      <c r="B524" s="2"/>
      <c r="C524" s="1"/>
      <c r="D524" s="1"/>
      <c r="E524" s="2"/>
      <c r="F524" s="1"/>
      <c r="G524" s="1"/>
      <c r="H524" s="1"/>
      <c r="I524" s="1"/>
      <c r="J524" s="1"/>
      <c r="K524" s="1"/>
      <c r="L524" s="1"/>
      <c r="M524" s="1"/>
      <c r="N524" s="1"/>
      <c r="O524" s="1"/>
      <c r="P524" s="1"/>
      <c r="Q524" s="1"/>
      <c r="R524" s="1"/>
      <c r="S524" s="1"/>
      <c r="T524" s="1"/>
      <c r="U524" s="1"/>
      <c r="V524" s="1"/>
      <c r="W524" s="1"/>
      <c r="X524" s="1"/>
      <c r="Y524" s="1"/>
      <c r="Z524" s="1"/>
    </row>
    <row r="525" spans="1:26" ht="19.5" customHeight="1">
      <c r="A525" s="1"/>
      <c r="B525" s="2"/>
      <c r="C525" s="1"/>
      <c r="D525" s="1"/>
      <c r="E525" s="2"/>
      <c r="F525" s="1"/>
      <c r="G525" s="1"/>
      <c r="H525" s="1"/>
      <c r="I525" s="1"/>
      <c r="J525" s="1"/>
      <c r="K525" s="1"/>
      <c r="L525" s="1"/>
      <c r="M525" s="1"/>
      <c r="N525" s="1"/>
      <c r="O525" s="1"/>
      <c r="P525" s="1"/>
      <c r="Q525" s="1"/>
      <c r="R525" s="1"/>
      <c r="S525" s="1"/>
      <c r="T525" s="1"/>
      <c r="U525" s="1"/>
      <c r="V525" s="1"/>
      <c r="W525" s="1"/>
      <c r="X525" s="1"/>
      <c r="Y525" s="1"/>
      <c r="Z525" s="1"/>
    </row>
    <row r="526" spans="1:26" ht="19.5" customHeight="1">
      <c r="A526" s="1"/>
      <c r="B526" s="2"/>
      <c r="C526" s="1"/>
      <c r="D526" s="1"/>
      <c r="E526" s="2"/>
      <c r="F526" s="1"/>
      <c r="G526" s="1"/>
      <c r="H526" s="1"/>
      <c r="I526" s="1"/>
      <c r="J526" s="1"/>
      <c r="K526" s="1"/>
      <c r="L526" s="1"/>
      <c r="M526" s="1"/>
      <c r="N526" s="1"/>
      <c r="O526" s="1"/>
      <c r="P526" s="1"/>
      <c r="Q526" s="1"/>
      <c r="R526" s="1"/>
      <c r="S526" s="1"/>
      <c r="T526" s="1"/>
      <c r="U526" s="1"/>
      <c r="V526" s="1"/>
      <c r="W526" s="1"/>
      <c r="X526" s="1"/>
      <c r="Y526" s="1"/>
      <c r="Z526" s="1"/>
    </row>
    <row r="527" spans="1:26" ht="19.5" customHeight="1">
      <c r="A527" s="1"/>
      <c r="B527" s="2"/>
      <c r="C527" s="1"/>
      <c r="D527" s="1"/>
      <c r="E527" s="2"/>
      <c r="F527" s="1"/>
      <c r="G527" s="1"/>
      <c r="H527" s="1"/>
      <c r="I527" s="1"/>
      <c r="J527" s="1"/>
      <c r="K527" s="1"/>
      <c r="L527" s="1"/>
      <c r="M527" s="1"/>
      <c r="N527" s="1"/>
      <c r="O527" s="1"/>
      <c r="P527" s="1"/>
      <c r="Q527" s="1"/>
      <c r="R527" s="1"/>
      <c r="S527" s="1"/>
      <c r="T527" s="1"/>
      <c r="U527" s="1"/>
      <c r="V527" s="1"/>
      <c r="W527" s="1"/>
      <c r="X527" s="1"/>
      <c r="Y527" s="1"/>
      <c r="Z527" s="1"/>
    </row>
    <row r="528" spans="1:26" ht="19.5" customHeight="1">
      <c r="A528" s="1"/>
      <c r="B528" s="2"/>
      <c r="C528" s="1"/>
      <c r="D528" s="1"/>
      <c r="E528" s="2"/>
      <c r="F528" s="1"/>
      <c r="G528" s="1"/>
      <c r="H528" s="1"/>
      <c r="I528" s="1"/>
      <c r="J528" s="1"/>
      <c r="K528" s="1"/>
      <c r="L528" s="1"/>
      <c r="M528" s="1"/>
      <c r="N528" s="1"/>
      <c r="O528" s="1"/>
      <c r="P528" s="1"/>
      <c r="Q528" s="1"/>
      <c r="R528" s="1"/>
      <c r="S528" s="1"/>
      <c r="T528" s="1"/>
      <c r="U528" s="1"/>
      <c r="V528" s="1"/>
      <c r="W528" s="1"/>
      <c r="X528" s="1"/>
      <c r="Y528" s="1"/>
      <c r="Z528" s="1"/>
    </row>
    <row r="529" spans="1:26" ht="19.5" customHeight="1">
      <c r="A529" s="1"/>
      <c r="B529" s="2"/>
      <c r="C529" s="1"/>
      <c r="D529" s="1"/>
      <c r="E529" s="2"/>
      <c r="F529" s="1"/>
      <c r="G529" s="1"/>
      <c r="H529" s="1"/>
      <c r="I529" s="1"/>
      <c r="J529" s="1"/>
      <c r="K529" s="1"/>
      <c r="L529" s="1"/>
      <c r="M529" s="1"/>
      <c r="N529" s="1"/>
      <c r="O529" s="1"/>
      <c r="P529" s="1"/>
      <c r="Q529" s="1"/>
      <c r="R529" s="1"/>
      <c r="S529" s="1"/>
      <c r="T529" s="1"/>
      <c r="U529" s="1"/>
      <c r="V529" s="1"/>
      <c r="W529" s="1"/>
      <c r="X529" s="1"/>
      <c r="Y529" s="1"/>
      <c r="Z529" s="1"/>
    </row>
    <row r="530" spans="1:26" ht="19.5" customHeight="1">
      <c r="A530" s="1"/>
      <c r="B530" s="2"/>
      <c r="C530" s="1"/>
      <c r="D530" s="1"/>
      <c r="E530" s="2"/>
      <c r="F530" s="1"/>
      <c r="G530" s="1"/>
      <c r="H530" s="1"/>
      <c r="I530" s="1"/>
      <c r="J530" s="1"/>
      <c r="K530" s="1"/>
      <c r="L530" s="1"/>
      <c r="M530" s="1"/>
      <c r="N530" s="1"/>
      <c r="O530" s="1"/>
      <c r="P530" s="1"/>
      <c r="Q530" s="1"/>
      <c r="R530" s="1"/>
      <c r="S530" s="1"/>
      <c r="T530" s="1"/>
      <c r="U530" s="1"/>
      <c r="V530" s="1"/>
      <c r="W530" s="1"/>
      <c r="X530" s="1"/>
      <c r="Y530" s="1"/>
      <c r="Z530" s="1"/>
    </row>
    <row r="531" spans="1:26" ht="19.5" customHeight="1">
      <c r="A531" s="1"/>
      <c r="B531" s="2"/>
      <c r="C531" s="1"/>
      <c r="D531" s="1"/>
      <c r="E531" s="2"/>
      <c r="F531" s="1"/>
      <c r="G531" s="1"/>
      <c r="H531" s="1"/>
      <c r="I531" s="1"/>
      <c r="J531" s="1"/>
      <c r="K531" s="1"/>
      <c r="L531" s="1"/>
      <c r="M531" s="1"/>
      <c r="N531" s="1"/>
      <c r="O531" s="1"/>
      <c r="P531" s="1"/>
      <c r="Q531" s="1"/>
      <c r="R531" s="1"/>
      <c r="S531" s="1"/>
      <c r="T531" s="1"/>
      <c r="U531" s="1"/>
      <c r="V531" s="1"/>
      <c r="W531" s="1"/>
      <c r="X531" s="1"/>
      <c r="Y531" s="1"/>
      <c r="Z531" s="1"/>
    </row>
    <row r="532" spans="1:26" ht="19.5" customHeight="1">
      <c r="A532" s="1"/>
      <c r="B532" s="2"/>
      <c r="C532" s="1"/>
      <c r="D532" s="1"/>
      <c r="E532" s="2"/>
      <c r="F532" s="1"/>
      <c r="G532" s="1"/>
      <c r="H532" s="1"/>
      <c r="I532" s="1"/>
      <c r="J532" s="1"/>
      <c r="K532" s="1"/>
      <c r="L532" s="1"/>
      <c r="M532" s="1"/>
      <c r="N532" s="1"/>
      <c r="O532" s="1"/>
      <c r="P532" s="1"/>
      <c r="Q532" s="1"/>
      <c r="R532" s="1"/>
      <c r="S532" s="1"/>
      <c r="T532" s="1"/>
      <c r="U532" s="1"/>
      <c r="V532" s="1"/>
      <c r="W532" s="1"/>
      <c r="X532" s="1"/>
      <c r="Y532" s="1"/>
      <c r="Z532" s="1"/>
    </row>
    <row r="533" spans="1:26" ht="19.5" customHeight="1">
      <c r="A533" s="1"/>
      <c r="B533" s="2"/>
      <c r="C533" s="1"/>
      <c r="D533" s="1"/>
      <c r="E533" s="2"/>
      <c r="F533" s="1"/>
      <c r="G533" s="1"/>
      <c r="H533" s="1"/>
      <c r="I533" s="1"/>
      <c r="J533" s="1"/>
      <c r="K533" s="1"/>
      <c r="L533" s="1"/>
      <c r="M533" s="1"/>
      <c r="N533" s="1"/>
      <c r="O533" s="1"/>
      <c r="P533" s="1"/>
      <c r="Q533" s="1"/>
      <c r="R533" s="1"/>
      <c r="S533" s="1"/>
      <c r="T533" s="1"/>
      <c r="U533" s="1"/>
      <c r="V533" s="1"/>
      <c r="W533" s="1"/>
      <c r="X533" s="1"/>
      <c r="Y533" s="1"/>
      <c r="Z533" s="1"/>
    </row>
    <row r="534" spans="1:26" ht="19.5" customHeight="1">
      <c r="A534" s="1"/>
      <c r="B534" s="2"/>
      <c r="C534" s="1"/>
      <c r="D534" s="1"/>
      <c r="E534" s="2"/>
      <c r="F534" s="1"/>
      <c r="G534" s="1"/>
      <c r="H534" s="1"/>
      <c r="I534" s="1"/>
      <c r="J534" s="1"/>
      <c r="K534" s="1"/>
      <c r="L534" s="1"/>
      <c r="M534" s="1"/>
      <c r="N534" s="1"/>
      <c r="O534" s="1"/>
      <c r="P534" s="1"/>
      <c r="Q534" s="1"/>
      <c r="R534" s="1"/>
      <c r="S534" s="1"/>
      <c r="T534" s="1"/>
      <c r="U534" s="1"/>
      <c r="V534" s="1"/>
      <c r="W534" s="1"/>
      <c r="X534" s="1"/>
      <c r="Y534" s="1"/>
      <c r="Z534" s="1"/>
    </row>
    <row r="535" spans="1:26" ht="19.5" customHeight="1">
      <c r="A535" s="1"/>
      <c r="B535" s="2"/>
      <c r="C535" s="1"/>
      <c r="D535" s="1"/>
      <c r="E535" s="2"/>
      <c r="F535" s="1"/>
      <c r="G535" s="1"/>
      <c r="H535" s="1"/>
      <c r="I535" s="1"/>
      <c r="J535" s="1"/>
      <c r="K535" s="1"/>
      <c r="L535" s="1"/>
      <c r="M535" s="1"/>
      <c r="N535" s="1"/>
      <c r="O535" s="1"/>
      <c r="P535" s="1"/>
      <c r="Q535" s="1"/>
      <c r="R535" s="1"/>
      <c r="S535" s="1"/>
      <c r="T535" s="1"/>
      <c r="U535" s="1"/>
      <c r="V535" s="1"/>
      <c r="W535" s="1"/>
      <c r="X535" s="1"/>
      <c r="Y535" s="1"/>
      <c r="Z535" s="1"/>
    </row>
    <row r="536" spans="1:26" ht="19.5" customHeight="1">
      <c r="A536" s="1"/>
      <c r="B536" s="2"/>
      <c r="C536" s="1"/>
      <c r="D536" s="1"/>
      <c r="E536" s="2"/>
      <c r="F536" s="1"/>
      <c r="G536" s="1"/>
      <c r="H536" s="1"/>
      <c r="I536" s="1"/>
      <c r="J536" s="1"/>
      <c r="K536" s="1"/>
      <c r="L536" s="1"/>
      <c r="M536" s="1"/>
      <c r="N536" s="1"/>
      <c r="O536" s="1"/>
      <c r="P536" s="1"/>
      <c r="Q536" s="1"/>
      <c r="R536" s="1"/>
      <c r="S536" s="1"/>
      <c r="T536" s="1"/>
      <c r="U536" s="1"/>
      <c r="V536" s="1"/>
      <c r="W536" s="1"/>
      <c r="X536" s="1"/>
      <c r="Y536" s="1"/>
      <c r="Z536" s="1"/>
    </row>
    <row r="537" spans="1:26" ht="19.5" customHeight="1">
      <c r="A537" s="1"/>
      <c r="B537" s="2"/>
      <c r="C537" s="1"/>
      <c r="D537" s="1"/>
      <c r="E537" s="2"/>
      <c r="F537" s="1"/>
      <c r="G537" s="1"/>
      <c r="H537" s="1"/>
      <c r="I537" s="1"/>
      <c r="J537" s="1"/>
      <c r="K537" s="1"/>
      <c r="L537" s="1"/>
      <c r="M537" s="1"/>
      <c r="N537" s="1"/>
      <c r="O537" s="1"/>
      <c r="P537" s="1"/>
      <c r="Q537" s="1"/>
      <c r="R537" s="1"/>
      <c r="S537" s="1"/>
      <c r="T537" s="1"/>
      <c r="U537" s="1"/>
      <c r="V537" s="1"/>
      <c r="W537" s="1"/>
      <c r="X537" s="1"/>
      <c r="Y537" s="1"/>
      <c r="Z537" s="1"/>
    </row>
    <row r="538" spans="1:26" ht="19.5" customHeight="1">
      <c r="A538" s="1"/>
      <c r="B538" s="2"/>
      <c r="C538" s="1"/>
      <c r="D538" s="1"/>
      <c r="E538" s="2"/>
      <c r="F538" s="1"/>
      <c r="G538" s="1"/>
      <c r="H538" s="1"/>
      <c r="I538" s="1"/>
      <c r="J538" s="1"/>
      <c r="K538" s="1"/>
      <c r="L538" s="1"/>
      <c r="M538" s="1"/>
      <c r="N538" s="1"/>
      <c r="O538" s="1"/>
      <c r="P538" s="1"/>
      <c r="Q538" s="1"/>
      <c r="R538" s="1"/>
      <c r="S538" s="1"/>
      <c r="T538" s="1"/>
      <c r="U538" s="1"/>
      <c r="V538" s="1"/>
      <c r="W538" s="1"/>
      <c r="X538" s="1"/>
      <c r="Y538" s="1"/>
      <c r="Z538" s="1"/>
    </row>
    <row r="539" spans="1:26" ht="19.5" customHeight="1">
      <c r="A539" s="1"/>
      <c r="B539" s="2"/>
      <c r="C539" s="1"/>
      <c r="D539" s="1"/>
      <c r="E539" s="2"/>
      <c r="F539" s="1"/>
      <c r="G539" s="1"/>
      <c r="H539" s="1"/>
      <c r="I539" s="1"/>
      <c r="J539" s="1"/>
      <c r="K539" s="1"/>
      <c r="L539" s="1"/>
      <c r="M539" s="1"/>
      <c r="N539" s="1"/>
      <c r="O539" s="1"/>
      <c r="P539" s="1"/>
      <c r="Q539" s="1"/>
      <c r="R539" s="1"/>
      <c r="S539" s="1"/>
      <c r="T539" s="1"/>
      <c r="U539" s="1"/>
      <c r="V539" s="1"/>
      <c r="W539" s="1"/>
      <c r="X539" s="1"/>
      <c r="Y539" s="1"/>
      <c r="Z539" s="1"/>
    </row>
    <row r="540" spans="1:26" ht="19.5" customHeight="1">
      <c r="A540" s="1"/>
      <c r="B540" s="2"/>
      <c r="C540" s="1"/>
      <c r="D540" s="1"/>
      <c r="E540" s="2"/>
      <c r="F540" s="1"/>
      <c r="G540" s="1"/>
      <c r="H540" s="1"/>
      <c r="I540" s="1"/>
      <c r="J540" s="1"/>
      <c r="K540" s="1"/>
      <c r="L540" s="1"/>
      <c r="M540" s="1"/>
      <c r="N540" s="1"/>
      <c r="O540" s="1"/>
      <c r="P540" s="1"/>
      <c r="Q540" s="1"/>
      <c r="R540" s="1"/>
      <c r="S540" s="1"/>
      <c r="T540" s="1"/>
      <c r="U540" s="1"/>
      <c r="V540" s="1"/>
      <c r="W540" s="1"/>
      <c r="X540" s="1"/>
      <c r="Y540" s="1"/>
      <c r="Z540" s="1"/>
    </row>
    <row r="541" spans="1:26" ht="19.5" customHeight="1">
      <c r="A541" s="1"/>
      <c r="B541" s="2"/>
      <c r="C541" s="1"/>
      <c r="D541" s="1"/>
      <c r="E541" s="2"/>
      <c r="F541" s="1"/>
      <c r="G541" s="1"/>
      <c r="H541" s="1"/>
      <c r="I541" s="1"/>
      <c r="J541" s="1"/>
      <c r="K541" s="1"/>
      <c r="L541" s="1"/>
      <c r="M541" s="1"/>
      <c r="N541" s="1"/>
      <c r="O541" s="1"/>
      <c r="P541" s="1"/>
      <c r="Q541" s="1"/>
      <c r="R541" s="1"/>
      <c r="S541" s="1"/>
      <c r="T541" s="1"/>
      <c r="U541" s="1"/>
      <c r="V541" s="1"/>
      <c r="W541" s="1"/>
      <c r="X541" s="1"/>
      <c r="Y541" s="1"/>
      <c r="Z541" s="1"/>
    </row>
    <row r="542" spans="1:26" ht="19.5" customHeight="1">
      <c r="A542" s="1"/>
      <c r="B542" s="2"/>
      <c r="C542" s="1"/>
      <c r="D542" s="1"/>
      <c r="E542" s="2"/>
      <c r="F542" s="1"/>
      <c r="G542" s="1"/>
      <c r="H542" s="1"/>
      <c r="I542" s="1"/>
      <c r="J542" s="1"/>
      <c r="K542" s="1"/>
      <c r="L542" s="1"/>
      <c r="M542" s="1"/>
      <c r="N542" s="1"/>
      <c r="O542" s="1"/>
      <c r="P542" s="1"/>
      <c r="Q542" s="1"/>
      <c r="R542" s="1"/>
      <c r="S542" s="1"/>
      <c r="T542" s="1"/>
      <c r="U542" s="1"/>
      <c r="V542" s="1"/>
      <c r="W542" s="1"/>
      <c r="X542" s="1"/>
      <c r="Y542" s="1"/>
      <c r="Z542" s="1"/>
    </row>
    <row r="543" spans="1:26" ht="19.5" customHeight="1">
      <c r="A543" s="1"/>
      <c r="B543" s="2"/>
      <c r="C543" s="1"/>
      <c r="D543" s="1"/>
      <c r="E543" s="2"/>
      <c r="F543" s="1"/>
      <c r="G543" s="1"/>
      <c r="H543" s="1"/>
      <c r="I543" s="1"/>
      <c r="J543" s="1"/>
      <c r="K543" s="1"/>
      <c r="L543" s="1"/>
      <c r="M543" s="1"/>
      <c r="N543" s="1"/>
      <c r="O543" s="1"/>
      <c r="P543" s="1"/>
      <c r="Q543" s="1"/>
      <c r="R543" s="1"/>
      <c r="S543" s="1"/>
      <c r="T543" s="1"/>
      <c r="U543" s="1"/>
      <c r="V543" s="1"/>
      <c r="W543" s="1"/>
      <c r="X543" s="1"/>
      <c r="Y543" s="1"/>
      <c r="Z543" s="1"/>
    </row>
    <row r="544" spans="1:26" ht="19.5" customHeight="1">
      <c r="A544" s="1"/>
      <c r="B544" s="2"/>
      <c r="C544" s="1"/>
      <c r="D544" s="1"/>
      <c r="E544" s="2"/>
      <c r="F544" s="1"/>
      <c r="G544" s="1"/>
      <c r="H544" s="1"/>
      <c r="I544" s="1"/>
      <c r="J544" s="1"/>
      <c r="K544" s="1"/>
      <c r="L544" s="1"/>
      <c r="M544" s="1"/>
      <c r="N544" s="1"/>
      <c r="O544" s="1"/>
      <c r="P544" s="1"/>
      <c r="Q544" s="1"/>
      <c r="R544" s="1"/>
      <c r="S544" s="1"/>
      <c r="T544" s="1"/>
      <c r="U544" s="1"/>
      <c r="V544" s="1"/>
      <c r="W544" s="1"/>
      <c r="X544" s="1"/>
      <c r="Y544" s="1"/>
      <c r="Z544" s="1"/>
    </row>
    <row r="545" spans="1:26" ht="19.5" customHeight="1">
      <c r="A545" s="1"/>
      <c r="B545" s="2"/>
      <c r="C545" s="1"/>
      <c r="D545" s="1"/>
      <c r="E545" s="2"/>
      <c r="F545" s="1"/>
      <c r="G545" s="1"/>
      <c r="H545" s="1"/>
      <c r="I545" s="1"/>
      <c r="J545" s="1"/>
      <c r="K545" s="1"/>
      <c r="L545" s="1"/>
      <c r="M545" s="1"/>
      <c r="N545" s="1"/>
      <c r="O545" s="1"/>
      <c r="P545" s="1"/>
      <c r="Q545" s="1"/>
      <c r="R545" s="1"/>
      <c r="S545" s="1"/>
      <c r="T545" s="1"/>
      <c r="U545" s="1"/>
      <c r="V545" s="1"/>
      <c r="W545" s="1"/>
      <c r="X545" s="1"/>
      <c r="Y545" s="1"/>
      <c r="Z545" s="1"/>
    </row>
    <row r="546" spans="1:26" ht="19.5" customHeight="1">
      <c r="A546" s="1"/>
      <c r="B546" s="2"/>
      <c r="C546" s="1"/>
      <c r="D546" s="1"/>
      <c r="E546" s="2"/>
      <c r="F546" s="1"/>
      <c r="G546" s="1"/>
      <c r="H546" s="1"/>
      <c r="I546" s="1"/>
      <c r="J546" s="1"/>
      <c r="K546" s="1"/>
      <c r="L546" s="1"/>
      <c r="M546" s="1"/>
      <c r="N546" s="1"/>
      <c r="O546" s="1"/>
      <c r="P546" s="1"/>
      <c r="Q546" s="1"/>
      <c r="R546" s="1"/>
      <c r="S546" s="1"/>
      <c r="T546" s="1"/>
      <c r="U546" s="1"/>
      <c r="V546" s="1"/>
      <c r="W546" s="1"/>
      <c r="X546" s="1"/>
      <c r="Y546" s="1"/>
      <c r="Z546" s="1"/>
    </row>
    <row r="547" spans="1:26" ht="19.5" customHeight="1">
      <c r="A547" s="1"/>
      <c r="B547" s="2"/>
      <c r="C547" s="1"/>
      <c r="D547" s="1"/>
      <c r="E547" s="2"/>
      <c r="F547" s="1"/>
      <c r="G547" s="1"/>
      <c r="H547" s="1"/>
      <c r="I547" s="1"/>
      <c r="J547" s="1"/>
      <c r="K547" s="1"/>
      <c r="L547" s="1"/>
      <c r="M547" s="1"/>
      <c r="N547" s="1"/>
      <c r="O547" s="1"/>
      <c r="P547" s="1"/>
      <c r="Q547" s="1"/>
      <c r="R547" s="1"/>
      <c r="S547" s="1"/>
      <c r="T547" s="1"/>
      <c r="U547" s="1"/>
      <c r="V547" s="1"/>
      <c r="W547" s="1"/>
      <c r="X547" s="1"/>
      <c r="Y547" s="1"/>
      <c r="Z547" s="1"/>
    </row>
    <row r="548" spans="1:26" ht="19.5" customHeight="1">
      <c r="A548" s="1"/>
      <c r="B548" s="2"/>
      <c r="C548" s="1"/>
      <c r="D548" s="1"/>
      <c r="E548" s="2"/>
      <c r="F548" s="1"/>
      <c r="G548" s="1"/>
      <c r="H548" s="1"/>
      <c r="I548" s="1"/>
      <c r="J548" s="1"/>
      <c r="K548" s="1"/>
      <c r="L548" s="1"/>
      <c r="M548" s="1"/>
      <c r="N548" s="1"/>
      <c r="O548" s="1"/>
      <c r="P548" s="1"/>
      <c r="Q548" s="1"/>
      <c r="R548" s="1"/>
      <c r="S548" s="1"/>
      <c r="T548" s="1"/>
      <c r="U548" s="1"/>
      <c r="V548" s="1"/>
      <c r="W548" s="1"/>
      <c r="X548" s="1"/>
      <c r="Y548" s="1"/>
      <c r="Z548" s="1"/>
    </row>
    <row r="549" spans="1:26" ht="19.5" customHeight="1">
      <c r="A549" s="1"/>
      <c r="B549" s="2"/>
      <c r="C549" s="1"/>
      <c r="D549" s="1"/>
      <c r="E549" s="2"/>
      <c r="F549" s="1"/>
      <c r="G549" s="1"/>
      <c r="H549" s="1"/>
      <c r="I549" s="1"/>
      <c r="J549" s="1"/>
      <c r="K549" s="1"/>
      <c r="L549" s="1"/>
      <c r="M549" s="1"/>
      <c r="N549" s="1"/>
      <c r="O549" s="1"/>
      <c r="P549" s="1"/>
      <c r="Q549" s="1"/>
      <c r="R549" s="1"/>
      <c r="S549" s="1"/>
      <c r="T549" s="1"/>
      <c r="U549" s="1"/>
      <c r="V549" s="1"/>
      <c r="W549" s="1"/>
      <c r="X549" s="1"/>
      <c r="Y549" s="1"/>
      <c r="Z549" s="1"/>
    </row>
    <row r="550" spans="1:26" ht="19.5" customHeight="1">
      <c r="A550" s="1"/>
      <c r="B550" s="2"/>
      <c r="C550" s="1"/>
      <c r="D550" s="1"/>
      <c r="E550" s="2"/>
      <c r="F550" s="1"/>
      <c r="G550" s="1"/>
      <c r="H550" s="1"/>
      <c r="I550" s="1"/>
      <c r="J550" s="1"/>
      <c r="K550" s="1"/>
      <c r="L550" s="1"/>
      <c r="M550" s="1"/>
      <c r="N550" s="1"/>
      <c r="O550" s="1"/>
      <c r="P550" s="1"/>
      <c r="Q550" s="1"/>
      <c r="R550" s="1"/>
      <c r="S550" s="1"/>
      <c r="T550" s="1"/>
      <c r="U550" s="1"/>
      <c r="V550" s="1"/>
      <c r="W550" s="1"/>
      <c r="X550" s="1"/>
      <c r="Y550" s="1"/>
      <c r="Z550" s="1"/>
    </row>
    <row r="551" spans="1:26" ht="19.5" customHeight="1">
      <c r="A551" s="1"/>
      <c r="B551" s="2"/>
      <c r="C551" s="1"/>
      <c r="D551" s="1"/>
      <c r="E551" s="2"/>
      <c r="F551" s="1"/>
      <c r="G551" s="1"/>
      <c r="H551" s="1"/>
      <c r="I551" s="1"/>
      <c r="J551" s="1"/>
      <c r="K551" s="1"/>
      <c r="L551" s="1"/>
      <c r="M551" s="1"/>
      <c r="N551" s="1"/>
      <c r="O551" s="1"/>
      <c r="P551" s="1"/>
      <c r="Q551" s="1"/>
      <c r="R551" s="1"/>
      <c r="S551" s="1"/>
      <c r="T551" s="1"/>
      <c r="U551" s="1"/>
      <c r="V551" s="1"/>
      <c r="W551" s="1"/>
      <c r="X551" s="1"/>
      <c r="Y551" s="1"/>
      <c r="Z551" s="1"/>
    </row>
    <row r="552" spans="1:26" ht="19.5" customHeight="1">
      <c r="A552" s="1"/>
      <c r="B552" s="2"/>
      <c r="C552" s="1"/>
      <c r="D552" s="1"/>
      <c r="E552" s="2"/>
      <c r="F552" s="1"/>
      <c r="G552" s="1"/>
      <c r="H552" s="1"/>
      <c r="I552" s="1"/>
      <c r="J552" s="1"/>
      <c r="K552" s="1"/>
      <c r="L552" s="1"/>
      <c r="M552" s="1"/>
      <c r="N552" s="1"/>
      <c r="O552" s="1"/>
      <c r="P552" s="1"/>
      <c r="Q552" s="1"/>
      <c r="R552" s="1"/>
      <c r="S552" s="1"/>
      <c r="T552" s="1"/>
      <c r="U552" s="1"/>
      <c r="V552" s="1"/>
      <c r="W552" s="1"/>
      <c r="X552" s="1"/>
      <c r="Y552" s="1"/>
      <c r="Z552" s="1"/>
    </row>
    <row r="553" spans="1:26" ht="19.5" customHeight="1">
      <c r="A553" s="1"/>
      <c r="B553" s="2"/>
      <c r="C553" s="1"/>
      <c r="D553" s="1"/>
      <c r="E553" s="2"/>
      <c r="F553" s="1"/>
      <c r="G553" s="1"/>
      <c r="H553" s="1"/>
      <c r="I553" s="1"/>
      <c r="J553" s="1"/>
      <c r="K553" s="1"/>
      <c r="L553" s="1"/>
      <c r="M553" s="1"/>
      <c r="N553" s="1"/>
      <c r="O553" s="1"/>
      <c r="P553" s="1"/>
      <c r="Q553" s="1"/>
      <c r="R553" s="1"/>
      <c r="S553" s="1"/>
      <c r="T553" s="1"/>
      <c r="U553" s="1"/>
      <c r="V553" s="1"/>
      <c r="W553" s="1"/>
      <c r="X553" s="1"/>
      <c r="Y553" s="1"/>
      <c r="Z553" s="1"/>
    </row>
    <row r="554" spans="1:26" ht="19.5" customHeight="1">
      <c r="A554" s="1"/>
      <c r="B554" s="2"/>
      <c r="C554" s="1"/>
      <c r="D554" s="1"/>
      <c r="E554" s="2"/>
      <c r="F554" s="1"/>
      <c r="G554" s="1"/>
      <c r="H554" s="1"/>
      <c r="I554" s="1"/>
      <c r="J554" s="1"/>
      <c r="K554" s="1"/>
      <c r="L554" s="1"/>
      <c r="M554" s="1"/>
      <c r="N554" s="1"/>
      <c r="O554" s="1"/>
      <c r="P554" s="1"/>
      <c r="Q554" s="1"/>
      <c r="R554" s="1"/>
      <c r="S554" s="1"/>
      <c r="T554" s="1"/>
      <c r="U554" s="1"/>
      <c r="V554" s="1"/>
      <c r="W554" s="1"/>
      <c r="X554" s="1"/>
      <c r="Y554" s="1"/>
      <c r="Z554" s="1"/>
    </row>
    <row r="555" spans="1:26" ht="19.5" customHeight="1">
      <c r="A555" s="1"/>
      <c r="B555" s="2"/>
      <c r="C555" s="1"/>
      <c r="D555" s="1"/>
      <c r="E555" s="2"/>
      <c r="F555" s="1"/>
      <c r="G555" s="1"/>
      <c r="H555" s="1"/>
      <c r="I555" s="1"/>
      <c r="J555" s="1"/>
      <c r="K555" s="1"/>
      <c r="L555" s="1"/>
      <c r="M555" s="1"/>
      <c r="N555" s="1"/>
      <c r="O555" s="1"/>
      <c r="P555" s="1"/>
      <c r="Q555" s="1"/>
      <c r="R555" s="1"/>
      <c r="S555" s="1"/>
      <c r="T555" s="1"/>
      <c r="U555" s="1"/>
      <c r="V555" s="1"/>
      <c r="W555" s="1"/>
      <c r="X555" s="1"/>
      <c r="Y555" s="1"/>
      <c r="Z555" s="1"/>
    </row>
    <row r="556" spans="1:26" ht="19.5" customHeight="1">
      <c r="A556" s="1"/>
      <c r="B556" s="2"/>
      <c r="C556" s="1"/>
      <c r="D556" s="1"/>
      <c r="E556" s="2"/>
      <c r="F556" s="1"/>
      <c r="G556" s="1"/>
      <c r="H556" s="1"/>
      <c r="I556" s="1"/>
      <c r="J556" s="1"/>
      <c r="K556" s="1"/>
      <c r="L556" s="1"/>
      <c r="M556" s="1"/>
      <c r="N556" s="1"/>
      <c r="O556" s="1"/>
      <c r="P556" s="1"/>
      <c r="Q556" s="1"/>
      <c r="R556" s="1"/>
      <c r="S556" s="1"/>
      <c r="T556" s="1"/>
      <c r="U556" s="1"/>
      <c r="V556" s="1"/>
      <c r="W556" s="1"/>
      <c r="X556" s="1"/>
      <c r="Y556" s="1"/>
      <c r="Z556" s="1"/>
    </row>
    <row r="557" spans="1:26" ht="19.5" customHeight="1">
      <c r="A557" s="1"/>
      <c r="B557" s="2"/>
      <c r="C557" s="1"/>
      <c r="D557" s="1"/>
      <c r="E557" s="2"/>
      <c r="F557" s="1"/>
      <c r="G557" s="1"/>
      <c r="H557" s="1"/>
      <c r="I557" s="1"/>
      <c r="J557" s="1"/>
      <c r="K557" s="1"/>
      <c r="L557" s="1"/>
      <c r="M557" s="1"/>
      <c r="N557" s="1"/>
      <c r="O557" s="1"/>
      <c r="P557" s="1"/>
      <c r="Q557" s="1"/>
      <c r="R557" s="1"/>
      <c r="S557" s="1"/>
      <c r="T557" s="1"/>
      <c r="U557" s="1"/>
      <c r="V557" s="1"/>
      <c r="W557" s="1"/>
      <c r="X557" s="1"/>
      <c r="Y557" s="1"/>
      <c r="Z557" s="1"/>
    </row>
    <row r="558" spans="1:26" ht="19.5" customHeight="1">
      <c r="A558" s="1"/>
      <c r="B558" s="2"/>
      <c r="C558" s="1"/>
      <c r="D558" s="1"/>
      <c r="E558" s="2"/>
      <c r="F558" s="1"/>
      <c r="G558" s="1"/>
      <c r="H558" s="1"/>
      <c r="I558" s="1"/>
      <c r="J558" s="1"/>
      <c r="K558" s="1"/>
      <c r="L558" s="1"/>
      <c r="M558" s="1"/>
      <c r="N558" s="1"/>
      <c r="O558" s="1"/>
      <c r="P558" s="1"/>
      <c r="Q558" s="1"/>
      <c r="R558" s="1"/>
      <c r="S558" s="1"/>
      <c r="T558" s="1"/>
      <c r="U558" s="1"/>
      <c r="V558" s="1"/>
      <c r="W558" s="1"/>
      <c r="X558" s="1"/>
      <c r="Y558" s="1"/>
      <c r="Z558" s="1"/>
    </row>
    <row r="559" spans="1:26" ht="19.5" customHeight="1">
      <c r="A559" s="1"/>
      <c r="B559" s="2"/>
      <c r="C559" s="1"/>
      <c r="D559" s="1"/>
      <c r="E559" s="2"/>
      <c r="F559" s="1"/>
      <c r="G559" s="1"/>
      <c r="H559" s="1"/>
      <c r="I559" s="1"/>
      <c r="J559" s="1"/>
      <c r="K559" s="1"/>
      <c r="L559" s="1"/>
      <c r="M559" s="1"/>
      <c r="N559" s="1"/>
      <c r="O559" s="1"/>
      <c r="P559" s="1"/>
      <c r="Q559" s="1"/>
      <c r="R559" s="1"/>
      <c r="S559" s="1"/>
      <c r="T559" s="1"/>
      <c r="U559" s="1"/>
      <c r="V559" s="1"/>
      <c r="W559" s="1"/>
      <c r="X559" s="1"/>
      <c r="Y559" s="1"/>
      <c r="Z559" s="1"/>
    </row>
    <row r="560" spans="1:26" ht="19.5" customHeight="1">
      <c r="A560" s="1"/>
      <c r="B560" s="2"/>
      <c r="C560" s="1"/>
      <c r="D560" s="1"/>
      <c r="E560" s="2"/>
      <c r="F560" s="1"/>
      <c r="G560" s="1"/>
      <c r="H560" s="1"/>
      <c r="I560" s="1"/>
      <c r="J560" s="1"/>
      <c r="K560" s="1"/>
      <c r="L560" s="1"/>
      <c r="M560" s="1"/>
      <c r="N560" s="1"/>
      <c r="O560" s="1"/>
      <c r="P560" s="1"/>
      <c r="Q560" s="1"/>
      <c r="R560" s="1"/>
      <c r="S560" s="1"/>
      <c r="T560" s="1"/>
      <c r="U560" s="1"/>
      <c r="V560" s="1"/>
      <c r="W560" s="1"/>
      <c r="X560" s="1"/>
      <c r="Y560" s="1"/>
      <c r="Z560" s="1"/>
    </row>
    <row r="561" spans="1:26" ht="19.5" customHeight="1">
      <c r="A561" s="1"/>
      <c r="B561" s="2"/>
      <c r="C561" s="1"/>
      <c r="D561" s="1"/>
      <c r="E561" s="2"/>
      <c r="F561" s="1"/>
      <c r="G561" s="1"/>
      <c r="H561" s="1"/>
      <c r="I561" s="1"/>
      <c r="J561" s="1"/>
      <c r="K561" s="1"/>
      <c r="L561" s="1"/>
      <c r="M561" s="1"/>
      <c r="N561" s="1"/>
      <c r="O561" s="1"/>
      <c r="P561" s="1"/>
      <c r="Q561" s="1"/>
      <c r="R561" s="1"/>
      <c r="S561" s="1"/>
      <c r="T561" s="1"/>
      <c r="U561" s="1"/>
      <c r="V561" s="1"/>
      <c r="W561" s="1"/>
      <c r="X561" s="1"/>
      <c r="Y561" s="1"/>
      <c r="Z561" s="1"/>
    </row>
    <row r="562" spans="1:26" ht="19.5" customHeight="1">
      <c r="A562" s="1"/>
      <c r="B562" s="2"/>
      <c r="C562" s="1"/>
      <c r="D562" s="1"/>
      <c r="E562" s="2"/>
      <c r="F562" s="1"/>
      <c r="G562" s="1"/>
      <c r="H562" s="1"/>
      <c r="I562" s="1"/>
      <c r="J562" s="1"/>
      <c r="K562" s="1"/>
      <c r="L562" s="1"/>
      <c r="M562" s="1"/>
      <c r="N562" s="1"/>
      <c r="O562" s="1"/>
      <c r="P562" s="1"/>
      <c r="Q562" s="1"/>
      <c r="R562" s="1"/>
      <c r="S562" s="1"/>
      <c r="T562" s="1"/>
      <c r="U562" s="1"/>
      <c r="V562" s="1"/>
      <c r="W562" s="1"/>
      <c r="X562" s="1"/>
      <c r="Y562" s="1"/>
      <c r="Z562" s="1"/>
    </row>
    <row r="563" spans="1:26" ht="19.5" customHeight="1">
      <c r="A563" s="1"/>
      <c r="B563" s="2"/>
      <c r="C563" s="1"/>
      <c r="D563" s="1"/>
      <c r="E563" s="2"/>
      <c r="F563" s="1"/>
      <c r="G563" s="1"/>
      <c r="H563" s="1"/>
      <c r="I563" s="1"/>
      <c r="J563" s="1"/>
      <c r="K563" s="1"/>
      <c r="L563" s="1"/>
      <c r="M563" s="1"/>
      <c r="N563" s="1"/>
      <c r="O563" s="1"/>
      <c r="P563" s="1"/>
      <c r="Q563" s="1"/>
      <c r="R563" s="1"/>
      <c r="S563" s="1"/>
      <c r="T563" s="1"/>
      <c r="U563" s="1"/>
      <c r="V563" s="1"/>
      <c r="W563" s="1"/>
      <c r="X563" s="1"/>
      <c r="Y563" s="1"/>
      <c r="Z563" s="1"/>
    </row>
    <row r="564" spans="1:26" ht="19.5" customHeight="1">
      <c r="A564" s="1"/>
      <c r="B564" s="2"/>
      <c r="C564" s="1"/>
      <c r="D564" s="1"/>
      <c r="E564" s="2"/>
      <c r="F564" s="1"/>
      <c r="G564" s="1"/>
      <c r="H564" s="1"/>
      <c r="I564" s="1"/>
      <c r="J564" s="1"/>
      <c r="K564" s="1"/>
      <c r="L564" s="1"/>
      <c r="M564" s="1"/>
      <c r="N564" s="1"/>
      <c r="O564" s="1"/>
      <c r="P564" s="1"/>
      <c r="Q564" s="1"/>
      <c r="R564" s="1"/>
      <c r="S564" s="1"/>
      <c r="T564" s="1"/>
      <c r="U564" s="1"/>
      <c r="V564" s="1"/>
      <c r="W564" s="1"/>
      <c r="X564" s="1"/>
      <c r="Y564" s="1"/>
      <c r="Z564" s="1"/>
    </row>
    <row r="565" spans="1:26" ht="19.5" customHeight="1">
      <c r="A565" s="1"/>
      <c r="B565" s="2"/>
      <c r="C565" s="1"/>
      <c r="D565" s="1"/>
      <c r="E565" s="2"/>
      <c r="F565" s="1"/>
      <c r="G565" s="1"/>
      <c r="H565" s="1"/>
      <c r="I565" s="1"/>
      <c r="J565" s="1"/>
      <c r="K565" s="1"/>
      <c r="L565" s="1"/>
      <c r="M565" s="1"/>
      <c r="N565" s="1"/>
      <c r="O565" s="1"/>
      <c r="P565" s="1"/>
      <c r="Q565" s="1"/>
      <c r="R565" s="1"/>
      <c r="S565" s="1"/>
      <c r="T565" s="1"/>
      <c r="U565" s="1"/>
      <c r="V565" s="1"/>
      <c r="W565" s="1"/>
      <c r="X565" s="1"/>
      <c r="Y565" s="1"/>
      <c r="Z565" s="1"/>
    </row>
    <row r="566" spans="1:26" ht="19.5" customHeight="1">
      <c r="A566" s="1"/>
      <c r="B566" s="2"/>
      <c r="C566" s="1"/>
      <c r="D566" s="1"/>
      <c r="E566" s="2"/>
      <c r="F566" s="1"/>
      <c r="G566" s="1"/>
      <c r="H566" s="1"/>
      <c r="I566" s="1"/>
      <c r="J566" s="1"/>
      <c r="K566" s="1"/>
      <c r="L566" s="1"/>
      <c r="M566" s="1"/>
      <c r="N566" s="1"/>
      <c r="O566" s="1"/>
      <c r="P566" s="1"/>
      <c r="Q566" s="1"/>
      <c r="R566" s="1"/>
      <c r="S566" s="1"/>
      <c r="T566" s="1"/>
      <c r="U566" s="1"/>
      <c r="V566" s="1"/>
      <c r="W566" s="1"/>
      <c r="X566" s="1"/>
      <c r="Y566" s="1"/>
      <c r="Z566" s="1"/>
    </row>
    <row r="567" spans="1:26" ht="19.5" customHeight="1">
      <c r="A567" s="1"/>
      <c r="B567" s="2"/>
      <c r="C567" s="1"/>
      <c r="D567" s="1"/>
      <c r="E567" s="2"/>
      <c r="F567" s="1"/>
      <c r="G567" s="1"/>
      <c r="H567" s="1"/>
      <c r="I567" s="1"/>
      <c r="J567" s="1"/>
      <c r="K567" s="1"/>
      <c r="L567" s="1"/>
      <c r="M567" s="1"/>
      <c r="N567" s="1"/>
      <c r="O567" s="1"/>
      <c r="P567" s="1"/>
      <c r="Q567" s="1"/>
      <c r="R567" s="1"/>
      <c r="S567" s="1"/>
      <c r="T567" s="1"/>
      <c r="U567" s="1"/>
      <c r="V567" s="1"/>
      <c r="W567" s="1"/>
      <c r="X567" s="1"/>
      <c r="Y567" s="1"/>
      <c r="Z567" s="1"/>
    </row>
    <row r="568" spans="1:26" ht="19.5" customHeight="1">
      <c r="A568" s="1"/>
      <c r="B568" s="2"/>
      <c r="C568" s="1"/>
      <c r="D568" s="1"/>
      <c r="E568" s="2"/>
      <c r="F568" s="1"/>
      <c r="G568" s="1"/>
      <c r="H568" s="1"/>
      <c r="I568" s="1"/>
      <c r="J568" s="1"/>
      <c r="K568" s="1"/>
      <c r="L568" s="1"/>
      <c r="M568" s="1"/>
      <c r="N568" s="1"/>
      <c r="O568" s="1"/>
      <c r="P568" s="1"/>
      <c r="Q568" s="1"/>
      <c r="R568" s="1"/>
      <c r="S568" s="1"/>
      <c r="T568" s="1"/>
      <c r="U568" s="1"/>
      <c r="V568" s="1"/>
      <c r="W568" s="1"/>
      <c r="X568" s="1"/>
      <c r="Y568" s="1"/>
      <c r="Z568" s="1"/>
    </row>
    <row r="569" spans="1:26" ht="19.5" customHeight="1">
      <c r="A569" s="1"/>
      <c r="B569" s="2"/>
      <c r="C569" s="1"/>
      <c r="D569" s="1"/>
      <c r="E569" s="2"/>
      <c r="F569" s="1"/>
      <c r="G569" s="1"/>
      <c r="H569" s="1"/>
      <c r="I569" s="1"/>
      <c r="J569" s="1"/>
      <c r="K569" s="1"/>
      <c r="L569" s="1"/>
      <c r="M569" s="1"/>
      <c r="N569" s="1"/>
      <c r="O569" s="1"/>
      <c r="P569" s="1"/>
      <c r="Q569" s="1"/>
      <c r="R569" s="1"/>
      <c r="S569" s="1"/>
      <c r="T569" s="1"/>
      <c r="U569" s="1"/>
      <c r="V569" s="1"/>
      <c r="W569" s="1"/>
      <c r="X569" s="1"/>
      <c r="Y569" s="1"/>
      <c r="Z569" s="1"/>
    </row>
    <row r="570" spans="1:26" ht="19.5" customHeight="1">
      <c r="A570" s="1"/>
      <c r="B570" s="2"/>
      <c r="C570" s="1"/>
      <c r="D570" s="1"/>
      <c r="E570" s="2"/>
      <c r="F570" s="1"/>
      <c r="G570" s="1"/>
      <c r="H570" s="1"/>
      <c r="I570" s="1"/>
      <c r="J570" s="1"/>
      <c r="K570" s="1"/>
      <c r="L570" s="1"/>
      <c r="M570" s="1"/>
      <c r="N570" s="1"/>
      <c r="O570" s="1"/>
      <c r="P570" s="1"/>
      <c r="Q570" s="1"/>
      <c r="R570" s="1"/>
      <c r="S570" s="1"/>
      <c r="T570" s="1"/>
      <c r="U570" s="1"/>
      <c r="V570" s="1"/>
      <c r="W570" s="1"/>
      <c r="X570" s="1"/>
      <c r="Y570" s="1"/>
      <c r="Z570" s="1"/>
    </row>
    <row r="571" spans="1:26" ht="19.5" customHeight="1">
      <c r="A571" s="1"/>
      <c r="B571" s="2"/>
      <c r="C571" s="1"/>
      <c r="D571" s="1"/>
      <c r="E571" s="2"/>
      <c r="F571" s="1"/>
      <c r="G571" s="1"/>
      <c r="H571" s="1"/>
      <c r="I571" s="1"/>
      <c r="J571" s="1"/>
      <c r="K571" s="1"/>
      <c r="L571" s="1"/>
      <c r="M571" s="1"/>
      <c r="N571" s="1"/>
      <c r="O571" s="1"/>
      <c r="P571" s="1"/>
      <c r="Q571" s="1"/>
      <c r="R571" s="1"/>
      <c r="S571" s="1"/>
      <c r="T571" s="1"/>
      <c r="U571" s="1"/>
      <c r="V571" s="1"/>
      <c r="W571" s="1"/>
      <c r="X571" s="1"/>
      <c r="Y571" s="1"/>
      <c r="Z571" s="1"/>
    </row>
    <row r="572" spans="1:26" ht="19.5" customHeight="1">
      <c r="A572" s="1"/>
      <c r="B572" s="2"/>
      <c r="C572" s="1"/>
      <c r="D572" s="1"/>
      <c r="E572" s="2"/>
      <c r="F572" s="1"/>
      <c r="G572" s="1"/>
      <c r="H572" s="1"/>
      <c r="I572" s="1"/>
      <c r="J572" s="1"/>
      <c r="K572" s="1"/>
      <c r="L572" s="1"/>
      <c r="M572" s="1"/>
      <c r="N572" s="1"/>
      <c r="O572" s="1"/>
      <c r="P572" s="1"/>
      <c r="Q572" s="1"/>
      <c r="R572" s="1"/>
      <c r="S572" s="1"/>
      <c r="T572" s="1"/>
      <c r="U572" s="1"/>
      <c r="V572" s="1"/>
      <c r="W572" s="1"/>
      <c r="X572" s="1"/>
      <c r="Y572" s="1"/>
      <c r="Z572" s="1"/>
    </row>
    <row r="573" spans="1:26" ht="19.5" customHeight="1">
      <c r="A573" s="1"/>
      <c r="B573" s="2"/>
      <c r="C573" s="1"/>
      <c r="D573" s="1"/>
      <c r="E573" s="2"/>
      <c r="F573" s="1"/>
      <c r="G573" s="1"/>
      <c r="H573" s="1"/>
      <c r="I573" s="1"/>
      <c r="J573" s="1"/>
      <c r="K573" s="1"/>
      <c r="L573" s="1"/>
      <c r="M573" s="1"/>
      <c r="N573" s="1"/>
      <c r="O573" s="1"/>
      <c r="P573" s="1"/>
      <c r="Q573" s="1"/>
      <c r="R573" s="1"/>
      <c r="S573" s="1"/>
      <c r="T573" s="1"/>
      <c r="U573" s="1"/>
      <c r="V573" s="1"/>
      <c r="W573" s="1"/>
      <c r="X573" s="1"/>
      <c r="Y573" s="1"/>
      <c r="Z573" s="1"/>
    </row>
    <row r="574" spans="1:26" ht="19.5" customHeight="1">
      <c r="A574" s="1"/>
      <c r="B574" s="2"/>
      <c r="C574" s="1"/>
      <c r="D574" s="1"/>
      <c r="E574" s="2"/>
      <c r="F574" s="1"/>
      <c r="G574" s="1"/>
      <c r="H574" s="1"/>
      <c r="I574" s="1"/>
      <c r="J574" s="1"/>
      <c r="K574" s="1"/>
      <c r="L574" s="1"/>
      <c r="M574" s="1"/>
      <c r="N574" s="1"/>
      <c r="O574" s="1"/>
      <c r="P574" s="1"/>
      <c r="Q574" s="1"/>
      <c r="R574" s="1"/>
      <c r="S574" s="1"/>
      <c r="T574" s="1"/>
      <c r="U574" s="1"/>
      <c r="V574" s="1"/>
      <c r="W574" s="1"/>
      <c r="X574" s="1"/>
      <c r="Y574" s="1"/>
      <c r="Z574" s="1"/>
    </row>
    <row r="575" spans="1:26" ht="19.5" customHeight="1">
      <c r="A575" s="1"/>
      <c r="B575" s="2"/>
      <c r="C575" s="1"/>
      <c r="D575" s="1"/>
      <c r="E575" s="2"/>
      <c r="F575" s="1"/>
      <c r="G575" s="1"/>
      <c r="H575" s="1"/>
      <c r="I575" s="1"/>
      <c r="J575" s="1"/>
      <c r="K575" s="1"/>
      <c r="L575" s="1"/>
      <c r="M575" s="1"/>
      <c r="N575" s="1"/>
      <c r="O575" s="1"/>
      <c r="P575" s="1"/>
      <c r="Q575" s="1"/>
      <c r="R575" s="1"/>
      <c r="S575" s="1"/>
      <c r="T575" s="1"/>
      <c r="U575" s="1"/>
      <c r="V575" s="1"/>
      <c r="W575" s="1"/>
      <c r="X575" s="1"/>
      <c r="Y575" s="1"/>
      <c r="Z575" s="1"/>
    </row>
    <row r="576" spans="1:26" ht="19.5" customHeight="1">
      <c r="A576" s="1"/>
      <c r="B576" s="2"/>
      <c r="C576" s="1"/>
      <c r="D576" s="1"/>
      <c r="E576" s="2"/>
      <c r="F576" s="1"/>
      <c r="G576" s="1"/>
      <c r="H576" s="1"/>
      <c r="I576" s="1"/>
      <c r="J576" s="1"/>
      <c r="K576" s="1"/>
      <c r="L576" s="1"/>
      <c r="M576" s="1"/>
      <c r="N576" s="1"/>
      <c r="O576" s="1"/>
      <c r="P576" s="1"/>
      <c r="Q576" s="1"/>
      <c r="R576" s="1"/>
      <c r="S576" s="1"/>
      <c r="T576" s="1"/>
      <c r="U576" s="1"/>
      <c r="V576" s="1"/>
      <c r="W576" s="1"/>
      <c r="X576" s="1"/>
      <c r="Y576" s="1"/>
      <c r="Z576" s="1"/>
    </row>
    <row r="577" spans="1:26" ht="19.5" customHeight="1">
      <c r="A577" s="1"/>
      <c r="B577" s="2"/>
      <c r="C577" s="1"/>
      <c r="D577" s="1"/>
      <c r="E577" s="2"/>
      <c r="F577" s="1"/>
      <c r="G577" s="1"/>
      <c r="H577" s="1"/>
      <c r="I577" s="1"/>
      <c r="J577" s="1"/>
      <c r="K577" s="1"/>
      <c r="L577" s="1"/>
      <c r="M577" s="1"/>
      <c r="N577" s="1"/>
      <c r="O577" s="1"/>
      <c r="P577" s="1"/>
      <c r="Q577" s="1"/>
      <c r="R577" s="1"/>
      <c r="S577" s="1"/>
      <c r="T577" s="1"/>
      <c r="U577" s="1"/>
      <c r="V577" s="1"/>
      <c r="W577" s="1"/>
      <c r="X577" s="1"/>
      <c r="Y577" s="1"/>
      <c r="Z577" s="1"/>
    </row>
    <row r="578" spans="1:26" ht="19.5" customHeight="1">
      <c r="A578" s="1"/>
      <c r="B578" s="2"/>
      <c r="C578" s="1"/>
      <c r="D578" s="1"/>
      <c r="E578" s="2"/>
      <c r="F578" s="1"/>
      <c r="G578" s="1"/>
      <c r="H578" s="1"/>
      <c r="I578" s="1"/>
      <c r="J578" s="1"/>
      <c r="K578" s="1"/>
      <c r="L578" s="1"/>
      <c r="M578" s="1"/>
      <c r="N578" s="1"/>
      <c r="O578" s="1"/>
      <c r="P578" s="1"/>
      <c r="Q578" s="1"/>
      <c r="R578" s="1"/>
      <c r="S578" s="1"/>
      <c r="T578" s="1"/>
      <c r="U578" s="1"/>
      <c r="V578" s="1"/>
      <c r="W578" s="1"/>
      <c r="X578" s="1"/>
      <c r="Y578" s="1"/>
      <c r="Z578" s="1"/>
    </row>
    <row r="579" spans="1:26" ht="19.5" customHeight="1">
      <c r="A579" s="1"/>
      <c r="B579" s="2"/>
      <c r="C579" s="1"/>
      <c r="D579" s="1"/>
      <c r="E579" s="2"/>
      <c r="F579" s="1"/>
      <c r="G579" s="1"/>
      <c r="H579" s="1"/>
      <c r="I579" s="1"/>
      <c r="J579" s="1"/>
      <c r="K579" s="1"/>
      <c r="L579" s="1"/>
      <c r="M579" s="1"/>
      <c r="N579" s="1"/>
      <c r="O579" s="1"/>
      <c r="P579" s="1"/>
      <c r="Q579" s="1"/>
      <c r="R579" s="1"/>
      <c r="S579" s="1"/>
      <c r="T579" s="1"/>
      <c r="U579" s="1"/>
      <c r="V579" s="1"/>
      <c r="W579" s="1"/>
      <c r="X579" s="1"/>
      <c r="Y579" s="1"/>
      <c r="Z579" s="1"/>
    </row>
    <row r="580" spans="1:26" ht="19.5" customHeight="1">
      <c r="A580" s="1"/>
      <c r="B580" s="2"/>
      <c r="C580" s="1"/>
      <c r="D580" s="1"/>
      <c r="E580" s="2"/>
      <c r="F580" s="1"/>
      <c r="G580" s="1"/>
      <c r="H580" s="1"/>
      <c r="I580" s="1"/>
      <c r="J580" s="1"/>
      <c r="K580" s="1"/>
      <c r="L580" s="1"/>
      <c r="M580" s="1"/>
      <c r="N580" s="1"/>
      <c r="O580" s="1"/>
      <c r="P580" s="1"/>
      <c r="Q580" s="1"/>
      <c r="R580" s="1"/>
      <c r="S580" s="1"/>
      <c r="T580" s="1"/>
      <c r="U580" s="1"/>
      <c r="V580" s="1"/>
      <c r="W580" s="1"/>
      <c r="X580" s="1"/>
      <c r="Y580" s="1"/>
      <c r="Z580" s="1"/>
    </row>
    <row r="581" spans="1:26" ht="19.5" customHeight="1">
      <c r="A581" s="1"/>
      <c r="B581" s="2"/>
      <c r="C581" s="1"/>
      <c r="D581" s="1"/>
      <c r="E581" s="2"/>
      <c r="F581" s="1"/>
      <c r="G581" s="1"/>
      <c r="H581" s="1"/>
      <c r="I581" s="1"/>
      <c r="J581" s="1"/>
      <c r="K581" s="1"/>
      <c r="L581" s="1"/>
      <c r="M581" s="1"/>
      <c r="N581" s="1"/>
      <c r="O581" s="1"/>
      <c r="P581" s="1"/>
      <c r="Q581" s="1"/>
      <c r="R581" s="1"/>
      <c r="S581" s="1"/>
      <c r="T581" s="1"/>
      <c r="U581" s="1"/>
      <c r="V581" s="1"/>
      <c r="W581" s="1"/>
      <c r="X581" s="1"/>
      <c r="Y581" s="1"/>
      <c r="Z581" s="1"/>
    </row>
    <row r="582" spans="1:26" ht="19.5" customHeight="1">
      <c r="A582" s="1"/>
      <c r="B582" s="2"/>
      <c r="C582" s="1"/>
      <c r="D582" s="1"/>
      <c r="E582" s="2"/>
      <c r="F582" s="1"/>
      <c r="G582" s="1"/>
      <c r="H582" s="1"/>
      <c r="I582" s="1"/>
      <c r="J582" s="1"/>
      <c r="K582" s="1"/>
      <c r="L582" s="1"/>
      <c r="M582" s="1"/>
      <c r="N582" s="1"/>
      <c r="O582" s="1"/>
      <c r="P582" s="1"/>
      <c r="Q582" s="1"/>
      <c r="R582" s="1"/>
      <c r="S582" s="1"/>
      <c r="T582" s="1"/>
      <c r="U582" s="1"/>
      <c r="V582" s="1"/>
      <c r="W582" s="1"/>
      <c r="X582" s="1"/>
      <c r="Y582" s="1"/>
      <c r="Z582" s="1"/>
    </row>
    <row r="583" spans="1:26" ht="19.5" customHeight="1">
      <c r="A583" s="1"/>
      <c r="B583" s="2"/>
      <c r="C583" s="1"/>
      <c r="D583" s="1"/>
      <c r="E583" s="2"/>
      <c r="F583" s="1"/>
      <c r="G583" s="1"/>
      <c r="H583" s="1"/>
      <c r="I583" s="1"/>
      <c r="J583" s="1"/>
      <c r="K583" s="1"/>
      <c r="L583" s="1"/>
      <c r="M583" s="1"/>
      <c r="N583" s="1"/>
      <c r="O583" s="1"/>
      <c r="P583" s="1"/>
      <c r="Q583" s="1"/>
      <c r="R583" s="1"/>
      <c r="S583" s="1"/>
      <c r="T583" s="1"/>
      <c r="U583" s="1"/>
      <c r="V583" s="1"/>
      <c r="W583" s="1"/>
      <c r="X583" s="1"/>
      <c r="Y583" s="1"/>
      <c r="Z583" s="1"/>
    </row>
    <row r="584" spans="1:26" ht="19.5" customHeight="1">
      <c r="A584" s="1"/>
      <c r="B584" s="2"/>
      <c r="C584" s="1"/>
      <c r="D584" s="1"/>
      <c r="E584" s="2"/>
      <c r="F584" s="1"/>
      <c r="G584" s="1"/>
      <c r="H584" s="1"/>
      <c r="I584" s="1"/>
      <c r="J584" s="1"/>
      <c r="K584" s="1"/>
      <c r="L584" s="1"/>
      <c r="M584" s="1"/>
      <c r="N584" s="1"/>
      <c r="O584" s="1"/>
      <c r="P584" s="1"/>
      <c r="Q584" s="1"/>
      <c r="R584" s="1"/>
      <c r="S584" s="1"/>
      <c r="T584" s="1"/>
      <c r="U584" s="1"/>
      <c r="V584" s="1"/>
      <c r="W584" s="1"/>
      <c r="X584" s="1"/>
      <c r="Y584" s="1"/>
      <c r="Z584" s="1"/>
    </row>
    <row r="585" spans="1:26" ht="19.5" customHeight="1">
      <c r="A585" s="1"/>
      <c r="B585" s="2"/>
      <c r="C585" s="1"/>
      <c r="D585" s="1"/>
      <c r="E585" s="2"/>
      <c r="F585" s="1"/>
      <c r="G585" s="1"/>
      <c r="H585" s="1"/>
      <c r="I585" s="1"/>
      <c r="J585" s="1"/>
      <c r="K585" s="1"/>
      <c r="L585" s="1"/>
      <c r="M585" s="1"/>
      <c r="N585" s="1"/>
      <c r="O585" s="1"/>
      <c r="P585" s="1"/>
      <c r="Q585" s="1"/>
      <c r="R585" s="1"/>
      <c r="S585" s="1"/>
      <c r="T585" s="1"/>
      <c r="U585" s="1"/>
      <c r="V585" s="1"/>
      <c r="W585" s="1"/>
      <c r="X585" s="1"/>
      <c r="Y585" s="1"/>
      <c r="Z585" s="1"/>
    </row>
    <row r="586" spans="1:26" ht="19.5" customHeight="1">
      <c r="A586" s="1"/>
      <c r="B586" s="2"/>
      <c r="C586" s="1"/>
      <c r="D586" s="1"/>
      <c r="E586" s="2"/>
      <c r="F586" s="1"/>
      <c r="G586" s="1"/>
      <c r="H586" s="1"/>
      <c r="I586" s="1"/>
      <c r="J586" s="1"/>
      <c r="K586" s="1"/>
      <c r="L586" s="1"/>
      <c r="M586" s="1"/>
      <c r="N586" s="1"/>
      <c r="O586" s="1"/>
      <c r="P586" s="1"/>
      <c r="Q586" s="1"/>
      <c r="R586" s="1"/>
      <c r="S586" s="1"/>
      <c r="T586" s="1"/>
      <c r="U586" s="1"/>
      <c r="V586" s="1"/>
      <c r="W586" s="1"/>
      <c r="X586" s="1"/>
      <c r="Y586" s="1"/>
      <c r="Z586" s="1"/>
    </row>
    <row r="587" spans="1:26" ht="19.5" customHeight="1">
      <c r="A587" s="1"/>
      <c r="B587" s="2"/>
      <c r="C587" s="1"/>
      <c r="D587" s="1"/>
      <c r="E587" s="2"/>
      <c r="F587" s="1"/>
      <c r="G587" s="1"/>
      <c r="H587" s="1"/>
      <c r="I587" s="1"/>
      <c r="J587" s="1"/>
      <c r="K587" s="1"/>
      <c r="L587" s="1"/>
      <c r="M587" s="1"/>
      <c r="N587" s="1"/>
      <c r="O587" s="1"/>
      <c r="P587" s="1"/>
      <c r="Q587" s="1"/>
      <c r="R587" s="1"/>
      <c r="S587" s="1"/>
      <c r="T587" s="1"/>
      <c r="U587" s="1"/>
      <c r="V587" s="1"/>
      <c r="W587" s="1"/>
      <c r="X587" s="1"/>
      <c r="Y587" s="1"/>
      <c r="Z587" s="1"/>
    </row>
    <row r="588" spans="1:26" ht="19.5" customHeight="1">
      <c r="A588" s="1"/>
      <c r="B588" s="2"/>
      <c r="C588" s="1"/>
      <c r="D588" s="1"/>
      <c r="E588" s="2"/>
      <c r="F588" s="1"/>
      <c r="G588" s="1"/>
      <c r="H588" s="1"/>
      <c r="I588" s="1"/>
      <c r="J588" s="1"/>
      <c r="K588" s="1"/>
      <c r="L588" s="1"/>
      <c r="M588" s="1"/>
      <c r="N588" s="1"/>
      <c r="O588" s="1"/>
      <c r="P588" s="1"/>
      <c r="Q588" s="1"/>
      <c r="R588" s="1"/>
      <c r="S588" s="1"/>
      <c r="T588" s="1"/>
      <c r="U588" s="1"/>
      <c r="V588" s="1"/>
      <c r="W588" s="1"/>
      <c r="X588" s="1"/>
      <c r="Y588" s="1"/>
      <c r="Z588" s="1"/>
    </row>
    <row r="589" spans="1:26" ht="19.5" customHeight="1">
      <c r="A589" s="1"/>
      <c r="B589" s="2"/>
      <c r="C589" s="1"/>
      <c r="D589" s="1"/>
      <c r="E589" s="2"/>
      <c r="F589" s="1"/>
      <c r="G589" s="1"/>
      <c r="H589" s="1"/>
      <c r="I589" s="1"/>
      <c r="J589" s="1"/>
      <c r="K589" s="1"/>
      <c r="L589" s="1"/>
      <c r="M589" s="1"/>
      <c r="N589" s="1"/>
      <c r="O589" s="1"/>
      <c r="P589" s="1"/>
      <c r="Q589" s="1"/>
      <c r="R589" s="1"/>
      <c r="S589" s="1"/>
      <c r="T589" s="1"/>
      <c r="U589" s="1"/>
      <c r="V589" s="1"/>
      <c r="W589" s="1"/>
      <c r="X589" s="1"/>
      <c r="Y589" s="1"/>
      <c r="Z589" s="1"/>
    </row>
    <row r="590" spans="1:26" ht="19.5" customHeight="1">
      <c r="A590" s="1"/>
      <c r="B590" s="2"/>
      <c r="C590" s="1"/>
      <c r="D590" s="1"/>
      <c r="E590" s="2"/>
      <c r="F590" s="1"/>
      <c r="G590" s="1"/>
      <c r="H590" s="1"/>
      <c r="I590" s="1"/>
      <c r="J590" s="1"/>
      <c r="K590" s="1"/>
      <c r="L590" s="1"/>
      <c r="M590" s="1"/>
      <c r="N590" s="1"/>
      <c r="O590" s="1"/>
      <c r="P590" s="1"/>
      <c r="Q590" s="1"/>
      <c r="R590" s="1"/>
      <c r="S590" s="1"/>
      <c r="T590" s="1"/>
      <c r="U590" s="1"/>
      <c r="V590" s="1"/>
      <c r="W590" s="1"/>
      <c r="X590" s="1"/>
      <c r="Y590" s="1"/>
      <c r="Z590" s="1"/>
    </row>
    <row r="591" spans="1:26" ht="19.5" customHeight="1">
      <c r="A591" s="1"/>
      <c r="B591" s="2"/>
      <c r="C591" s="1"/>
      <c r="D591" s="1"/>
      <c r="E591" s="2"/>
      <c r="F591" s="1"/>
      <c r="G591" s="1"/>
      <c r="H591" s="1"/>
      <c r="I591" s="1"/>
      <c r="J591" s="1"/>
      <c r="K591" s="1"/>
      <c r="L591" s="1"/>
      <c r="M591" s="1"/>
      <c r="N591" s="1"/>
      <c r="O591" s="1"/>
      <c r="P591" s="1"/>
      <c r="Q591" s="1"/>
      <c r="R591" s="1"/>
      <c r="S591" s="1"/>
      <c r="T591" s="1"/>
      <c r="U591" s="1"/>
      <c r="V591" s="1"/>
      <c r="W591" s="1"/>
      <c r="X591" s="1"/>
      <c r="Y591" s="1"/>
      <c r="Z591" s="1"/>
    </row>
    <row r="592" spans="1:26" ht="19.5" customHeight="1">
      <c r="A592" s="1"/>
      <c r="B592" s="2"/>
      <c r="C592" s="1"/>
      <c r="D592" s="1"/>
      <c r="E592" s="2"/>
      <c r="F592" s="1"/>
      <c r="G592" s="1"/>
      <c r="H592" s="1"/>
      <c r="I592" s="1"/>
      <c r="J592" s="1"/>
      <c r="K592" s="1"/>
      <c r="L592" s="1"/>
      <c r="M592" s="1"/>
      <c r="N592" s="1"/>
      <c r="O592" s="1"/>
      <c r="P592" s="1"/>
      <c r="Q592" s="1"/>
      <c r="R592" s="1"/>
      <c r="S592" s="1"/>
      <c r="T592" s="1"/>
      <c r="U592" s="1"/>
      <c r="V592" s="1"/>
      <c r="W592" s="1"/>
      <c r="X592" s="1"/>
      <c r="Y592" s="1"/>
      <c r="Z592" s="1"/>
    </row>
    <row r="593" spans="1:26" ht="19.5" customHeight="1">
      <c r="A593" s="1"/>
      <c r="B593" s="2"/>
      <c r="C593" s="1"/>
      <c r="D593" s="1"/>
      <c r="E593" s="2"/>
      <c r="F593" s="1"/>
      <c r="G593" s="1"/>
      <c r="H593" s="1"/>
      <c r="I593" s="1"/>
      <c r="J593" s="1"/>
      <c r="K593" s="1"/>
      <c r="L593" s="1"/>
      <c r="M593" s="1"/>
      <c r="N593" s="1"/>
      <c r="O593" s="1"/>
      <c r="P593" s="1"/>
      <c r="Q593" s="1"/>
      <c r="R593" s="1"/>
      <c r="S593" s="1"/>
      <c r="T593" s="1"/>
      <c r="U593" s="1"/>
      <c r="V593" s="1"/>
      <c r="W593" s="1"/>
      <c r="X593" s="1"/>
      <c r="Y593" s="1"/>
      <c r="Z593" s="1"/>
    </row>
    <row r="594" spans="1:26" ht="19.5" customHeight="1">
      <c r="A594" s="1"/>
      <c r="B594" s="2"/>
      <c r="C594" s="1"/>
      <c r="D594" s="1"/>
      <c r="E594" s="2"/>
      <c r="F594" s="1"/>
      <c r="G594" s="1"/>
      <c r="H594" s="1"/>
      <c r="I594" s="1"/>
      <c r="J594" s="1"/>
      <c r="K594" s="1"/>
      <c r="L594" s="1"/>
      <c r="M594" s="1"/>
      <c r="N594" s="1"/>
      <c r="O594" s="1"/>
      <c r="P594" s="1"/>
      <c r="Q594" s="1"/>
      <c r="R594" s="1"/>
      <c r="S594" s="1"/>
      <c r="T594" s="1"/>
      <c r="U594" s="1"/>
      <c r="V594" s="1"/>
      <c r="W594" s="1"/>
      <c r="X594" s="1"/>
      <c r="Y594" s="1"/>
      <c r="Z594" s="1"/>
    </row>
    <row r="595" spans="1:26" ht="19.5" customHeight="1">
      <c r="A595" s="1"/>
      <c r="B595" s="2"/>
      <c r="C595" s="1"/>
      <c r="D595" s="1"/>
      <c r="E595" s="2"/>
      <c r="F595" s="1"/>
      <c r="G595" s="1"/>
      <c r="H595" s="1"/>
      <c r="I595" s="1"/>
      <c r="J595" s="1"/>
      <c r="K595" s="1"/>
      <c r="L595" s="1"/>
      <c r="M595" s="1"/>
      <c r="N595" s="1"/>
      <c r="O595" s="1"/>
      <c r="P595" s="1"/>
      <c r="Q595" s="1"/>
      <c r="R595" s="1"/>
      <c r="S595" s="1"/>
      <c r="T595" s="1"/>
      <c r="U595" s="1"/>
      <c r="V595" s="1"/>
      <c r="W595" s="1"/>
      <c r="X595" s="1"/>
      <c r="Y595" s="1"/>
      <c r="Z595" s="1"/>
    </row>
    <row r="596" spans="1:26" ht="19.5" customHeight="1">
      <c r="A596" s="1"/>
      <c r="B596" s="2"/>
      <c r="C596" s="1"/>
      <c r="D596" s="1"/>
      <c r="E596" s="2"/>
      <c r="F596" s="1"/>
      <c r="G596" s="1"/>
      <c r="H596" s="1"/>
      <c r="I596" s="1"/>
      <c r="J596" s="1"/>
      <c r="K596" s="1"/>
      <c r="L596" s="1"/>
      <c r="M596" s="1"/>
      <c r="N596" s="1"/>
      <c r="O596" s="1"/>
      <c r="P596" s="1"/>
      <c r="Q596" s="1"/>
      <c r="R596" s="1"/>
      <c r="S596" s="1"/>
      <c r="T596" s="1"/>
      <c r="U596" s="1"/>
      <c r="V596" s="1"/>
      <c r="W596" s="1"/>
      <c r="X596" s="1"/>
      <c r="Y596" s="1"/>
      <c r="Z596" s="1"/>
    </row>
    <row r="597" spans="1:26" ht="19.5" customHeight="1">
      <c r="A597" s="1"/>
      <c r="B597" s="2"/>
      <c r="C597" s="1"/>
      <c r="D597" s="1"/>
      <c r="E597" s="2"/>
      <c r="F597" s="1"/>
      <c r="G597" s="1"/>
      <c r="H597" s="1"/>
      <c r="I597" s="1"/>
      <c r="J597" s="1"/>
      <c r="K597" s="1"/>
      <c r="L597" s="1"/>
      <c r="M597" s="1"/>
      <c r="N597" s="1"/>
      <c r="O597" s="1"/>
      <c r="P597" s="1"/>
      <c r="Q597" s="1"/>
      <c r="R597" s="1"/>
      <c r="S597" s="1"/>
      <c r="T597" s="1"/>
      <c r="U597" s="1"/>
      <c r="V597" s="1"/>
      <c r="W597" s="1"/>
      <c r="X597" s="1"/>
      <c r="Y597" s="1"/>
      <c r="Z597" s="1"/>
    </row>
    <row r="598" spans="1:26" ht="19.5" customHeight="1">
      <c r="A598" s="1"/>
      <c r="B598" s="2"/>
      <c r="C598" s="1"/>
      <c r="D598" s="1"/>
      <c r="E598" s="2"/>
      <c r="F598" s="1"/>
      <c r="G598" s="1"/>
      <c r="H598" s="1"/>
      <c r="I598" s="1"/>
      <c r="J598" s="1"/>
      <c r="K598" s="1"/>
      <c r="L598" s="1"/>
      <c r="M598" s="1"/>
      <c r="N598" s="1"/>
      <c r="O598" s="1"/>
      <c r="P598" s="1"/>
      <c r="Q598" s="1"/>
      <c r="R598" s="1"/>
      <c r="S598" s="1"/>
      <c r="T598" s="1"/>
      <c r="U598" s="1"/>
      <c r="V598" s="1"/>
      <c r="W598" s="1"/>
      <c r="X598" s="1"/>
      <c r="Y598" s="1"/>
      <c r="Z598" s="1"/>
    </row>
    <row r="599" spans="1:26" ht="19.5" customHeight="1">
      <c r="A599" s="1"/>
      <c r="B599" s="2"/>
      <c r="C599" s="1"/>
      <c r="D599" s="1"/>
      <c r="E599" s="2"/>
      <c r="F599" s="1"/>
      <c r="G599" s="1"/>
      <c r="H599" s="1"/>
      <c r="I599" s="1"/>
      <c r="J599" s="1"/>
      <c r="K599" s="1"/>
      <c r="L599" s="1"/>
      <c r="M599" s="1"/>
      <c r="N599" s="1"/>
      <c r="O599" s="1"/>
      <c r="P599" s="1"/>
      <c r="Q599" s="1"/>
      <c r="R599" s="1"/>
      <c r="S599" s="1"/>
      <c r="T599" s="1"/>
      <c r="U599" s="1"/>
      <c r="V599" s="1"/>
      <c r="W599" s="1"/>
      <c r="X599" s="1"/>
      <c r="Y599" s="1"/>
      <c r="Z599" s="1"/>
    </row>
    <row r="600" spans="1:26" ht="19.5" customHeight="1">
      <c r="A600" s="1"/>
      <c r="B600" s="2"/>
      <c r="C600" s="1"/>
      <c r="D600" s="1"/>
      <c r="E600" s="2"/>
      <c r="F600" s="1"/>
      <c r="G600" s="1"/>
      <c r="H600" s="1"/>
      <c r="I600" s="1"/>
      <c r="J600" s="1"/>
      <c r="K600" s="1"/>
      <c r="L600" s="1"/>
      <c r="M600" s="1"/>
      <c r="N600" s="1"/>
      <c r="O600" s="1"/>
      <c r="P600" s="1"/>
      <c r="Q600" s="1"/>
      <c r="R600" s="1"/>
      <c r="S600" s="1"/>
      <c r="T600" s="1"/>
      <c r="U600" s="1"/>
      <c r="V600" s="1"/>
      <c r="W600" s="1"/>
      <c r="X600" s="1"/>
      <c r="Y600" s="1"/>
      <c r="Z600" s="1"/>
    </row>
    <row r="601" spans="1:26" ht="19.5" customHeight="1">
      <c r="A601" s="1"/>
      <c r="B601" s="2"/>
      <c r="C601" s="1"/>
      <c r="D601" s="1"/>
      <c r="E601" s="2"/>
      <c r="F601" s="1"/>
      <c r="G601" s="1"/>
      <c r="H601" s="1"/>
      <c r="I601" s="1"/>
      <c r="J601" s="1"/>
      <c r="K601" s="1"/>
      <c r="L601" s="1"/>
      <c r="M601" s="1"/>
      <c r="N601" s="1"/>
      <c r="O601" s="1"/>
      <c r="P601" s="1"/>
      <c r="Q601" s="1"/>
      <c r="R601" s="1"/>
      <c r="S601" s="1"/>
      <c r="T601" s="1"/>
      <c r="U601" s="1"/>
      <c r="V601" s="1"/>
      <c r="W601" s="1"/>
      <c r="X601" s="1"/>
      <c r="Y601" s="1"/>
      <c r="Z601" s="1"/>
    </row>
    <row r="602" spans="1:26" ht="19.5" customHeight="1">
      <c r="A602" s="1"/>
      <c r="B602" s="2"/>
      <c r="C602" s="1"/>
      <c r="D602" s="1"/>
      <c r="E602" s="2"/>
      <c r="F602" s="1"/>
      <c r="G602" s="1"/>
      <c r="H602" s="1"/>
      <c r="I602" s="1"/>
      <c r="J602" s="1"/>
      <c r="K602" s="1"/>
      <c r="L602" s="1"/>
      <c r="M602" s="1"/>
      <c r="N602" s="1"/>
      <c r="O602" s="1"/>
      <c r="P602" s="1"/>
      <c r="Q602" s="1"/>
      <c r="R602" s="1"/>
      <c r="S602" s="1"/>
      <c r="T602" s="1"/>
      <c r="U602" s="1"/>
      <c r="V602" s="1"/>
      <c r="W602" s="1"/>
      <c r="X602" s="1"/>
      <c r="Y602" s="1"/>
      <c r="Z602" s="1"/>
    </row>
    <row r="603" spans="1:26" ht="19.5" customHeight="1">
      <c r="A603" s="1"/>
      <c r="B603" s="2"/>
      <c r="C603" s="1"/>
      <c r="D603" s="1"/>
      <c r="E603" s="2"/>
      <c r="F603" s="1"/>
      <c r="G603" s="1"/>
      <c r="H603" s="1"/>
      <c r="I603" s="1"/>
      <c r="J603" s="1"/>
      <c r="K603" s="1"/>
      <c r="L603" s="1"/>
      <c r="M603" s="1"/>
      <c r="N603" s="1"/>
      <c r="O603" s="1"/>
      <c r="P603" s="1"/>
      <c r="Q603" s="1"/>
      <c r="R603" s="1"/>
      <c r="S603" s="1"/>
      <c r="T603" s="1"/>
      <c r="U603" s="1"/>
      <c r="V603" s="1"/>
      <c r="W603" s="1"/>
      <c r="X603" s="1"/>
      <c r="Y603" s="1"/>
      <c r="Z603" s="1"/>
    </row>
    <row r="604" spans="1:26" ht="19.5" customHeight="1">
      <c r="A604" s="1"/>
      <c r="B604" s="2"/>
      <c r="C604" s="1"/>
      <c r="D604" s="1"/>
      <c r="E604" s="2"/>
      <c r="F604" s="1"/>
      <c r="G604" s="1"/>
      <c r="H604" s="1"/>
      <c r="I604" s="1"/>
      <c r="J604" s="1"/>
      <c r="K604" s="1"/>
      <c r="L604" s="1"/>
      <c r="M604" s="1"/>
      <c r="N604" s="1"/>
      <c r="O604" s="1"/>
      <c r="P604" s="1"/>
      <c r="Q604" s="1"/>
      <c r="R604" s="1"/>
      <c r="S604" s="1"/>
      <c r="T604" s="1"/>
      <c r="U604" s="1"/>
      <c r="V604" s="1"/>
      <c r="W604" s="1"/>
      <c r="X604" s="1"/>
      <c r="Y604" s="1"/>
      <c r="Z604" s="1"/>
    </row>
    <row r="605" spans="1:26" ht="19.5" customHeight="1">
      <c r="A605" s="1"/>
      <c r="B605" s="2"/>
      <c r="C605" s="1"/>
      <c r="D605" s="1"/>
      <c r="E605" s="2"/>
      <c r="F605" s="1"/>
      <c r="G605" s="1"/>
      <c r="H605" s="1"/>
      <c r="I605" s="1"/>
      <c r="J605" s="1"/>
      <c r="K605" s="1"/>
      <c r="L605" s="1"/>
      <c r="M605" s="1"/>
      <c r="N605" s="1"/>
      <c r="O605" s="1"/>
      <c r="P605" s="1"/>
      <c r="Q605" s="1"/>
      <c r="R605" s="1"/>
      <c r="S605" s="1"/>
      <c r="T605" s="1"/>
      <c r="U605" s="1"/>
      <c r="V605" s="1"/>
      <c r="W605" s="1"/>
      <c r="X605" s="1"/>
      <c r="Y605" s="1"/>
      <c r="Z605" s="1"/>
    </row>
    <row r="606" spans="1:26" ht="19.5" customHeight="1">
      <c r="A606" s="1"/>
      <c r="B606" s="2"/>
      <c r="C606" s="1"/>
      <c r="D606" s="1"/>
      <c r="E606" s="2"/>
      <c r="F606" s="1"/>
      <c r="G606" s="1"/>
      <c r="H606" s="1"/>
      <c r="I606" s="1"/>
      <c r="J606" s="1"/>
      <c r="K606" s="1"/>
      <c r="L606" s="1"/>
      <c r="M606" s="1"/>
      <c r="N606" s="1"/>
      <c r="O606" s="1"/>
      <c r="P606" s="1"/>
      <c r="Q606" s="1"/>
      <c r="R606" s="1"/>
      <c r="S606" s="1"/>
      <c r="T606" s="1"/>
      <c r="U606" s="1"/>
      <c r="V606" s="1"/>
      <c r="W606" s="1"/>
      <c r="X606" s="1"/>
      <c r="Y606" s="1"/>
      <c r="Z606" s="1"/>
    </row>
    <row r="607" spans="1:26" ht="19.5" customHeight="1">
      <c r="A607" s="1"/>
      <c r="B607" s="2"/>
      <c r="C607" s="1"/>
      <c r="D607" s="1"/>
      <c r="E607" s="2"/>
      <c r="F607" s="1"/>
      <c r="G607" s="1"/>
      <c r="H607" s="1"/>
      <c r="I607" s="1"/>
      <c r="J607" s="1"/>
      <c r="K607" s="1"/>
      <c r="L607" s="1"/>
      <c r="M607" s="1"/>
      <c r="N607" s="1"/>
      <c r="O607" s="1"/>
      <c r="P607" s="1"/>
      <c r="Q607" s="1"/>
      <c r="R607" s="1"/>
      <c r="S607" s="1"/>
      <c r="T607" s="1"/>
      <c r="U607" s="1"/>
      <c r="V607" s="1"/>
      <c r="W607" s="1"/>
      <c r="X607" s="1"/>
      <c r="Y607" s="1"/>
      <c r="Z607" s="1"/>
    </row>
    <row r="608" spans="1:26" ht="19.5" customHeight="1">
      <c r="A608" s="1"/>
      <c r="B608" s="2"/>
      <c r="C608" s="1"/>
      <c r="D608" s="1"/>
      <c r="E608" s="2"/>
      <c r="F608" s="1"/>
      <c r="G608" s="1"/>
      <c r="H608" s="1"/>
      <c r="I608" s="1"/>
      <c r="J608" s="1"/>
      <c r="K608" s="1"/>
      <c r="L608" s="1"/>
      <c r="M608" s="1"/>
      <c r="N608" s="1"/>
      <c r="O608" s="1"/>
      <c r="P608" s="1"/>
      <c r="Q608" s="1"/>
      <c r="R608" s="1"/>
      <c r="S608" s="1"/>
      <c r="T608" s="1"/>
      <c r="U608" s="1"/>
      <c r="V608" s="1"/>
      <c r="W608" s="1"/>
      <c r="X608" s="1"/>
      <c r="Y608" s="1"/>
      <c r="Z608" s="1"/>
    </row>
    <row r="609" spans="1:26" ht="19.5" customHeight="1">
      <c r="A609" s="1"/>
      <c r="B609" s="2"/>
      <c r="C609" s="1"/>
      <c r="D609" s="1"/>
      <c r="E609" s="2"/>
      <c r="F609" s="1"/>
      <c r="G609" s="1"/>
      <c r="H609" s="1"/>
      <c r="I609" s="1"/>
      <c r="J609" s="1"/>
      <c r="K609" s="1"/>
      <c r="L609" s="1"/>
      <c r="M609" s="1"/>
      <c r="N609" s="1"/>
      <c r="O609" s="1"/>
      <c r="P609" s="1"/>
      <c r="Q609" s="1"/>
      <c r="R609" s="1"/>
      <c r="S609" s="1"/>
      <c r="T609" s="1"/>
      <c r="U609" s="1"/>
      <c r="V609" s="1"/>
      <c r="W609" s="1"/>
      <c r="X609" s="1"/>
      <c r="Y609" s="1"/>
      <c r="Z609" s="1"/>
    </row>
    <row r="610" spans="1:26" ht="19.5" customHeight="1">
      <c r="A610" s="1"/>
      <c r="B610" s="2"/>
      <c r="C610" s="1"/>
      <c r="D610" s="1"/>
      <c r="E610" s="2"/>
      <c r="F610" s="1"/>
      <c r="G610" s="1"/>
      <c r="H610" s="1"/>
      <c r="I610" s="1"/>
      <c r="J610" s="1"/>
      <c r="K610" s="1"/>
      <c r="L610" s="1"/>
      <c r="M610" s="1"/>
      <c r="N610" s="1"/>
      <c r="O610" s="1"/>
      <c r="P610" s="1"/>
      <c r="Q610" s="1"/>
      <c r="R610" s="1"/>
      <c r="S610" s="1"/>
      <c r="T610" s="1"/>
      <c r="U610" s="1"/>
      <c r="V610" s="1"/>
      <c r="W610" s="1"/>
      <c r="X610" s="1"/>
      <c r="Y610" s="1"/>
      <c r="Z610" s="1"/>
    </row>
    <row r="611" spans="1:26" ht="19.5" customHeight="1">
      <c r="A611" s="1"/>
      <c r="B611" s="2"/>
      <c r="C611" s="1"/>
      <c r="D611" s="1"/>
      <c r="E611" s="2"/>
      <c r="F611" s="1"/>
      <c r="G611" s="1"/>
      <c r="H611" s="1"/>
      <c r="I611" s="1"/>
      <c r="J611" s="1"/>
      <c r="K611" s="1"/>
      <c r="L611" s="1"/>
      <c r="M611" s="1"/>
      <c r="N611" s="1"/>
      <c r="O611" s="1"/>
      <c r="P611" s="1"/>
      <c r="Q611" s="1"/>
      <c r="R611" s="1"/>
      <c r="S611" s="1"/>
      <c r="T611" s="1"/>
      <c r="U611" s="1"/>
      <c r="V611" s="1"/>
      <c r="W611" s="1"/>
      <c r="X611" s="1"/>
      <c r="Y611" s="1"/>
      <c r="Z611" s="1"/>
    </row>
    <row r="612" spans="1:26" ht="19.5" customHeight="1">
      <c r="A612" s="1"/>
      <c r="B612" s="2"/>
      <c r="C612" s="1"/>
      <c r="D612" s="1"/>
      <c r="E612" s="2"/>
      <c r="F612" s="1"/>
      <c r="G612" s="1"/>
      <c r="H612" s="1"/>
      <c r="I612" s="1"/>
      <c r="J612" s="1"/>
      <c r="K612" s="1"/>
      <c r="L612" s="1"/>
      <c r="M612" s="1"/>
      <c r="N612" s="1"/>
      <c r="O612" s="1"/>
      <c r="P612" s="1"/>
      <c r="Q612" s="1"/>
      <c r="R612" s="1"/>
      <c r="S612" s="1"/>
      <c r="T612" s="1"/>
      <c r="U612" s="1"/>
      <c r="V612" s="1"/>
      <c r="W612" s="1"/>
      <c r="X612" s="1"/>
      <c r="Y612" s="1"/>
      <c r="Z612" s="1"/>
    </row>
    <row r="613" spans="1:26" ht="19.5" customHeight="1">
      <c r="A613" s="1"/>
      <c r="B613" s="2"/>
      <c r="C613" s="1"/>
      <c r="D613" s="1"/>
      <c r="E613" s="2"/>
      <c r="F613" s="1"/>
      <c r="G613" s="1"/>
      <c r="H613" s="1"/>
      <c r="I613" s="1"/>
      <c r="J613" s="1"/>
      <c r="K613" s="1"/>
      <c r="L613" s="1"/>
      <c r="M613" s="1"/>
      <c r="N613" s="1"/>
      <c r="O613" s="1"/>
      <c r="P613" s="1"/>
      <c r="Q613" s="1"/>
      <c r="R613" s="1"/>
      <c r="S613" s="1"/>
      <c r="T613" s="1"/>
      <c r="U613" s="1"/>
      <c r="V613" s="1"/>
      <c r="W613" s="1"/>
      <c r="X613" s="1"/>
      <c r="Y613" s="1"/>
      <c r="Z613" s="1"/>
    </row>
    <row r="614" spans="1:26" ht="19.5" customHeight="1">
      <c r="A614" s="1"/>
      <c r="B614" s="2"/>
      <c r="C614" s="1"/>
      <c r="D614" s="1"/>
      <c r="E614" s="2"/>
      <c r="F614" s="1"/>
      <c r="G614" s="1"/>
      <c r="H614" s="1"/>
      <c r="I614" s="1"/>
      <c r="J614" s="1"/>
      <c r="K614" s="1"/>
      <c r="L614" s="1"/>
      <c r="M614" s="1"/>
      <c r="N614" s="1"/>
      <c r="O614" s="1"/>
      <c r="P614" s="1"/>
      <c r="Q614" s="1"/>
      <c r="R614" s="1"/>
      <c r="S614" s="1"/>
      <c r="T614" s="1"/>
      <c r="U614" s="1"/>
      <c r="V614" s="1"/>
      <c r="W614" s="1"/>
      <c r="X614" s="1"/>
      <c r="Y614" s="1"/>
      <c r="Z614" s="1"/>
    </row>
    <row r="615" spans="1:26" ht="19.5" customHeight="1">
      <c r="A615" s="1"/>
      <c r="B615" s="2"/>
      <c r="C615" s="1"/>
      <c r="D615" s="1"/>
      <c r="E615" s="2"/>
      <c r="F615" s="1"/>
      <c r="G615" s="1"/>
      <c r="H615" s="1"/>
      <c r="I615" s="1"/>
      <c r="J615" s="1"/>
      <c r="K615" s="1"/>
      <c r="L615" s="1"/>
      <c r="M615" s="1"/>
      <c r="N615" s="1"/>
      <c r="O615" s="1"/>
      <c r="P615" s="1"/>
      <c r="Q615" s="1"/>
      <c r="R615" s="1"/>
      <c r="S615" s="1"/>
      <c r="T615" s="1"/>
      <c r="U615" s="1"/>
      <c r="V615" s="1"/>
      <c r="W615" s="1"/>
      <c r="X615" s="1"/>
      <c r="Y615" s="1"/>
      <c r="Z615" s="1"/>
    </row>
    <row r="616" spans="1:26" ht="19.5" customHeight="1">
      <c r="A616" s="1"/>
      <c r="B616" s="2"/>
      <c r="C616" s="1"/>
      <c r="D616" s="1"/>
      <c r="E616" s="2"/>
      <c r="F616" s="1"/>
      <c r="G616" s="1"/>
      <c r="H616" s="1"/>
      <c r="I616" s="1"/>
      <c r="J616" s="1"/>
      <c r="K616" s="1"/>
      <c r="L616" s="1"/>
      <c r="M616" s="1"/>
      <c r="N616" s="1"/>
      <c r="O616" s="1"/>
      <c r="P616" s="1"/>
      <c r="Q616" s="1"/>
      <c r="R616" s="1"/>
      <c r="S616" s="1"/>
      <c r="T616" s="1"/>
      <c r="U616" s="1"/>
      <c r="V616" s="1"/>
      <c r="W616" s="1"/>
      <c r="X616" s="1"/>
      <c r="Y616" s="1"/>
      <c r="Z616" s="1"/>
    </row>
    <row r="617" spans="1:26" ht="19.5" customHeight="1">
      <c r="A617" s="1"/>
      <c r="B617" s="2"/>
      <c r="C617" s="1"/>
      <c r="D617" s="1"/>
      <c r="E617" s="2"/>
      <c r="F617" s="1"/>
      <c r="G617" s="1"/>
      <c r="H617" s="1"/>
      <c r="I617" s="1"/>
      <c r="J617" s="1"/>
      <c r="K617" s="1"/>
      <c r="L617" s="1"/>
      <c r="M617" s="1"/>
      <c r="N617" s="1"/>
      <c r="O617" s="1"/>
      <c r="P617" s="1"/>
      <c r="Q617" s="1"/>
      <c r="R617" s="1"/>
      <c r="S617" s="1"/>
      <c r="T617" s="1"/>
      <c r="U617" s="1"/>
      <c r="V617" s="1"/>
      <c r="W617" s="1"/>
      <c r="X617" s="1"/>
      <c r="Y617" s="1"/>
      <c r="Z617" s="1"/>
    </row>
    <row r="618" spans="1:26" ht="19.5" customHeight="1">
      <c r="A618" s="1"/>
      <c r="B618" s="2"/>
      <c r="C618" s="1"/>
      <c r="D618" s="1"/>
      <c r="E618" s="2"/>
      <c r="F618" s="1"/>
      <c r="G618" s="1"/>
      <c r="H618" s="1"/>
      <c r="I618" s="1"/>
      <c r="J618" s="1"/>
      <c r="K618" s="1"/>
      <c r="L618" s="1"/>
      <c r="M618" s="1"/>
      <c r="N618" s="1"/>
      <c r="O618" s="1"/>
      <c r="P618" s="1"/>
      <c r="Q618" s="1"/>
      <c r="R618" s="1"/>
      <c r="S618" s="1"/>
      <c r="T618" s="1"/>
      <c r="U618" s="1"/>
      <c r="V618" s="1"/>
      <c r="W618" s="1"/>
      <c r="X618" s="1"/>
      <c r="Y618" s="1"/>
      <c r="Z618" s="1"/>
    </row>
    <row r="619" spans="1:26" ht="19.5" customHeight="1">
      <c r="A619" s="1"/>
      <c r="B619" s="2"/>
      <c r="C619" s="1"/>
      <c r="D619" s="1"/>
      <c r="E619" s="2"/>
      <c r="F619" s="1"/>
      <c r="G619" s="1"/>
      <c r="H619" s="1"/>
      <c r="I619" s="1"/>
      <c r="J619" s="1"/>
      <c r="K619" s="1"/>
      <c r="L619" s="1"/>
      <c r="M619" s="1"/>
      <c r="N619" s="1"/>
      <c r="O619" s="1"/>
      <c r="P619" s="1"/>
      <c r="Q619" s="1"/>
      <c r="R619" s="1"/>
      <c r="S619" s="1"/>
      <c r="T619" s="1"/>
      <c r="U619" s="1"/>
      <c r="V619" s="1"/>
      <c r="W619" s="1"/>
      <c r="X619" s="1"/>
      <c r="Y619" s="1"/>
      <c r="Z619" s="1"/>
    </row>
    <row r="620" spans="1:26" ht="19.5" customHeight="1">
      <c r="A620" s="1"/>
      <c r="B620" s="2"/>
      <c r="C620" s="1"/>
      <c r="D620" s="1"/>
      <c r="E620" s="2"/>
      <c r="F620" s="1"/>
      <c r="G620" s="1"/>
      <c r="H620" s="1"/>
      <c r="I620" s="1"/>
      <c r="J620" s="1"/>
      <c r="K620" s="1"/>
      <c r="L620" s="1"/>
      <c r="M620" s="1"/>
      <c r="N620" s="1"/>
      <c r="O620" s="1"/>
      <c r="P620" s="1"/>
      <c r="Q620" s="1"/>
      <c r="R620" s="1"/>
      <c r="S620" s="1"/>
      <c r="T620" s="1"/>
      <c r="U620" s="1"/>
      <c r="V620" s="1"/>
      <c r="W620" s="1"/>
      <c r="X620" s="1"/>
      <c r="Y620" s="1"/>
      <c r="Z620" s="1"/>
    </row>
    <row r="621" spans="1:26" ht="19.5" customHeight="1">
      <c r="A621" s="1"/>
      <c r="B621" s="2"/>
      <c r="C621" s="1"/>
      <c r="D621" s="1"/>
      <c r="E621" s="2"/>
      <c r="F621" s="1"/>
      <c r="G621" s="1"/>
      <c r="H621" s="1"/>
      <c r="I621" s="1"/>
      <c r="J621" s="1"/>
      <c r="K621" s="1"/>
      <c r="L621" s="1"/>
      <c r="M621" s="1"/>
      <c r="N621" s="1"/>
      <c r="O621" s="1"/>
      <c r="P621" s="1"/>
      <c r="Q621" s="1"/>
      <c r="R621" s="1"/>
      <c r="S621" s="1"/>
      <c r="T621" s="1"/>
      <c r="U621" s="1"/>
      <c r="V621" s="1"/>
      <c r="W621" s="1"/>
      <c r="X621" s="1"/>
      <c r="Y621" s="1"/>
      <c r="Z621" s="1"/>
    </row>
    <row r="622" spans="1:26" ht="19.5" customHeight="1">
      <c r="A622" s="1"/>
      <c r="B622" s="2"/>
      <c r="C622" s="1"/>
      <c r="D622" s="1"/>
      <c r="E622" s="2"/>
      <c r="F622" s="1"/>
      <c r="G622" s="1"/>
      <c r="H622" s="1"/>
      <c r="I622" s="1"/>
      <c r="J622" s="1"/>
      <c r="K622" s="1"/>
      <c r="L622" s="1"/>
      <c r="M622" s="1"/>
      <c r="N622" s="1"/>
      <c r="O622" s="1"/>
      <c r="P622" s="1"/>
      <c r="Q622" s="1"/>
      <c r="R622" s="1"/>
      <c r="S622" s="1"/>
      <c r="T622" s="1"/>
      <c r="U622" s="1"/>
      <c r="V622" s="1"/>
      <c r="W622" s="1"/>
      <c r="X622" s="1"/>
      <c r="Y622" s="1"/>
      <c r="Z622" s="1"/>
    </row>
    <row r="623" spans="1:26" ht="19.5" customHeight="1">
      <c r="A623" s="1"/>
      <c r="B623" s="2"/>
      <c r="C623" s="1"/>
      <c r="D623" s="1"/>
      <c r="E623" s="2"/>
      <c r="F623" s="1"/>
      <c r="G623" s="1"/>
      <c r="H623" s="1"/>
      <c r="I623" s="1"/>
      <c r="J623" s="1"/>
      <c r="K623" s="1"/>
      <c r="L623" s="1"/>
      <c r="M623" s="1"/>
      <c r="N623" s="1"/>
      <c r="O623" s="1"/>
      <c r="P623" s="1"/>
      <c r="Q623" s="1"/>
      <c r="R623" s="1"/>
      <c r="S623" s="1"/>
      <c r="T623" s="1"/>
      <c r="U623" s="1"/>
      <c r="V623" s="1"/>
      <c r="W623" s="1"/>
      <c r="X623" s="1"/>
      <c r="Y623" s="1"/>
      <c r="Z623" s="1"/>
    </row>
    <row r="624" spans="1:26" ht="19.5" customHeight="1">
      <c r="A624" s="1"/>
      <c r="B624" s="2"/>
      <c r="C624" s="1"/>
      <c r="D624" s="1"/>
      <c r="E624" s="2"/>
      <c r="F624" s="1"/>
      <c r="G624" s="1"/>
      <c r="H624" s="1"/>
      <c r="I624" s="1"/>
      <c r="J624" s="1"/>
      <c r="K624" s="1"/>
      <c r="L624" s="1"/>
      <c r="M624" s="1"/>
      <c r="N624" s="1"/>
      <c r="O624" s="1"/>
      <c r="P624" s="1"/>
      <c r="Q624" s="1"/>
      <c r="R624" s="1"/>
      <c r="S624" s="1"/>
      <c r="T624" s="1"/>
      <c r="U624" s="1"/>
      <c r="V624" s="1"/>
      <c r="W624" s="1"/>
      <c r="X624" s="1"/>
      <c r="Y624" s="1"/>
      <c r="Z624" s="1"/>
    </row>
    <row r="625" spans="1:26" ht="19.5" customHeight="1">
      <c r="A625" s="1"/>
      <c r="B625" s="2"/>
      <c r="C625" s="1"/>
      <c r="D625" s="1"/>
      <c r="E625" s="2"/>
      <c r="F625" s="1"/>
      <c r="G625" s="1"/>
      <c r="H625" s="1"/>
      <c r="I625" s="1"/>
      <c r="J625" s="1"/>
      <c r="K625" s="1"/>
      <c r="L625" s="1"/>
      <c r="M625" s="1"/>
      <c r="N625" s="1"/>
      <c r="O625" s="1"/>
      <c r="P625" s="1"/>
      <c r="Q625" s="1"/>
      <c r="R625" s="1"/>
      <c r="S625" s="1"/>
      <c r="T625" s="1"/>
      <c r="U625" s="1"/>
      <c r="V625" s="1"/>
      <c r="W625" s="1"/>
      <c r="X625" s="1"/>
      <c r="Y625" s="1"/>
      <c r="Z625" s="1"/>
    </row>
    <row r="626" spans="1:26" ht="19.5" customHeight="1">
      <c r="A626" s="1"/>
      <c r="B626" s="2"/>
      <c r="C626" s="1"/>
      <c r="D626" s="1"/>
      <c r="E626" s="2"/>
      <c r="F626" s="1"/>
      <c r="G626" s="1"/>
      <c r="H626" s="1"/>
      <c r="I626" s="1"/>
      <c r="J626" s="1"/>
      <c r="K626" s="1"/>
      <c r="L626" s="1"/>
      <c r="M626" s="1"/>
      <c r="N626" s="1"/>
      <c r="O626" s="1"/>
      <c r="P626" s="1"/>
      <c r="Q626" s="1"/>
      <c r="R626" s="1"/>
      <c r="S626" s="1"/>
      <c r="T626" s="1"/>
      <c r="U626" s="1"/>
      <c r="V626" s="1"/>
      <c r="W626" s="1"/>
      <c r="X626" s="1"/>
      <c r="Y626" s="1"/>
      <c r="Z626" s="1"/>
    </row>
    <row r="627" spans="1:26" ht="19.5" customHeight="1">
      <c r="A627" s="1"/>
      <c r="B627" s="2"/>
      <c r="C627" s="1"/>
      <c r="D627" s="1"/>
      <c r="E627" s="2"/>
      <c r="F627" s="1"/>
      <c r="G627" s="1"/>
      <c r="H627" s="1"/>
      <c r="I627" s="1"/>
      <c r="J627" s="1"/>
      <c r="K627" s="1"/>
      <c r="L627" s="1"/>
      <c r="M627" s="1"/>
      <c r="N627" s="1"/>
      <c r="O627" s="1"/>
      <c r="P627" s="1"/>
      <c r="Q627" s="1"/>
      <c r="R627" s="1"/>
      <c r="S627" s="1"/>
      <c r="T627" s="1"/>
      <c r="U627" s="1"/>
      <c r="V627" s="1"/>
      <c r="W627" s="1"/>
      <c r="X627" s="1"/>
      <c r="Y627" s="1"/>
      <c r="Z627" s="1"/>
    </row>
    <row r="628" spans="1:26" ht="19.5" customHeight="1">
      <c r="A628" s="1"/>
      <c r="B628" s="2"/>
      <c r="C628" s="1"/>
      <c r="D628" s="1"/>
      <c r="E628" s="2"/>
      <c r="F628" s="1"/>
      <c r="G628" s="1"/>
      <c r="H628" s="1"/>
      <c r="I628" s="1"/>
      <c r="J628" s="1"/>
      <c r="K628" s="1"/>
      <c r="L628" s="1"/>
      <c r="M628" s="1"/>
      <c r="N628" s="1"/>
      <c r="O628" s="1"/>
      <c r="P628" s="1"/>
      <c r="Q628" s="1"/>
      <c r="R628" s="1"/>
      <c r="S628" s="1"/>
      <c r="T628" s="1"/>
      <c r="U628" s="1"/>
      <c r="V628" s="1"/>
      <c r="W628" s="1"/>
      <c r="X628" s="1"/>
      <c r="Y628" s="1"/>
      <c r="Z628" s="1"/>
    </row>
    <row r="629" spans="1:26" ht="19.5" customHeight="1">
      <c r="A629" s="1"/>
      <c r="B629" s="2"/>
      <c r="C629" s="1"/>
      <c r="D629" s="1"/>
      <c r="E629" s="2"/>
      <c r="F629" s="1"/>
      <c r="G629" s="1"/>
      <c r="H629" s="1"/>
      <c r="I629" s="1"/>
      <c r="J629" s="1"/>
      <c r="K629" s="1"/>
      <c r="L629" s="1"/>
      <c r="M629" s="1"/>
      <c r="N629" s="1"/>
      <c r="O629" s="1"/>
      <c r="P629" s="1"/>
      <c r="Q629" s="1"/>
      <c r="R629" s="1"/>
      <c r="S629" s="1"/>
      <c r="T629" s="1"/>
      <c r="U629" s="1"/>
      <c r="V629" s="1"/>
      <c r="W629" s="1"/>
      <c r="X629" s="1"/>
      <c r="Y629" s="1"/>
      <c r="Z629" s="1"/>
    </row>
    <row r="630" spans="1:26" ht="19.5" customHeight="1">
      <c r="A630" s="1"/>
      <c r="B630" s="2"/>
      <c r="C630" s="1"/>
      <c r="D630" s="1"/>
      <c r="E630" s="2"/>
      <c r="F630" s="1"/>
      <c r="G630" s="1"/>
      <c r="H630" s="1"/>
      <c r="I630" s="1"/>
      <c r="J630" s="1"/>
      <c r="K630" s="1"/>
      <c r="L630" s="1"/>
      <c r="M630" s="1"/>
      <c r="N630" s="1"/>
      <c r="O630" s="1"/>
      <c r="P630" s="1"/>
      <c r="Q630" s="1"/>
      <c r="R630" s="1"/>
      <c r="S630" s="1"/>
      <c r="T630" s="1"/>
      <c r="U630" s="1"/>
      <c r="V630" s="1"/>
      <c r="W630" s="1"/>
      <c r="X630" s="1"/>
      <c r="Y630" s="1"/>
      <c r="Z630" s="1"/>
    </row>
    <row r="631" spans="1:26" ht="19.5" customHeight="1">
      <c r="A631" s="1"/>
      <c r="B631" s="2"/>
      <c r="C631" s="1"/>
      <c r="D631" s="1"/>
      <c r="E631" s="2"/>
      <c r="F631" s="1"/>
      <c r="G631" s="1"/>
      <c r="H631" s="1"/>
      <c r="I631" s="1"/>
      <c r="J631" s="1"/>
      <c r="K631" s="1"/>
      <c r="L631" s="1"/>
      <c r="M631" s="1"/>
      <c r="N631" s="1"/>
      <c r="O631" s="1"/>
      <c r="P631" s="1"/>
      <c r="Q631" s="1"/>
      <c r="R631" s="1"/>
      <c r="S631" s="1"/>
      <c r="T631" s="1"/>
      <c r="U631" s="1"/>
      <c r="V631" s="1"/>
      <c r="W631" s="1"/>
      <c r="X631" s="1"/>
      <c r="Y631" s="1"/>
      <c r="Z631" s="1"/>
    </row>
    <row r="632" spans="1:26" ht="19.5" customHeight="1">
      <c r="A632" s="1"/>
      <c r="B632" s="2"/>
      <c r="C632" s="1"/>
      <c r="D632" s="1"/>
      <c r="E632" s="2"/>
      <c r="F632" s="1"/>
      <c r="G632" s="1"/>
      <c r="H632" s="1"/>
      <c r="I632" s="1"/>
      <c r="J632" s="1"/>
      <c r="K632" s="1"/>
      <c r="L632" s="1"/>
      <c r="M632" s="1"/>
      <c r="N632" s="1"/>
      <c r="O632" s="1"/>
      <c r="P632" s="1"/>
      <c r="Q632" s="1"/>
      <c r="R632" s="1"/>
      <c r="S632" s="1"/>
      <c r="T632" s="1"/>
      <c r="U632" s="1"/>
      <c r="V632" s="1"/>
      <c r="W632" s="1"/>
      <c r="X632" s="1"/>
      <c r="Y632" s="1"/>
      <c r="Z632" s="1"/>
    </row>
    <row r="633" spans="1:26" ht="19.5" customHeight="1">
      <c r="A633" s="1"/>
      <c r="B633" s="2"/>
      <c r="C633" s="1"/>
      <c r="D633" s="1"/>
      <c r="E633" s="2"/>
      <c r="F633" s="1"/>
      <c r="G633" s="1"/>
      <c r="H633" s="1"/>
      <c r="I633" s="1"/>
      <c r="J633" s="1"/>
      <c r="K633" s="1"/>
      <c r="L633" s="1"/>
      <c r="M633" s="1"/>
      <c r="N633" s="1"/>
      <c r="O633" s="1"/>
      <c r="P633" s="1"/>
      <c r="Q633" s="1"/>
      <c r="R633" s="1"/>
      <c r="S633" s="1"/>
      <c r="T633" s="1"/>
      <c r="U633" s="1"/>
      <c r="V633" s="1"/>
      <c r="W633" s="1"/>
      <c r="X633" s="1"/>
      <c r="Y633" s="1"/>
      <c r="Z633" s="1"/>
    </row>
    <row r="634" spans="1:26" ht="19.5" customHeight="1">
      <c r="A634" s="1"/>
      <c r="B634" s="2"/>
      <c r="C634" s="1"/>
      <c r="D634" s="1"/>
      <c r="E634" s="2"/>
      <c r="F634" s="1"/>
      <c r="G634" s="1"/>
      <c r="H634" s="1"/>
      <c r="I634" s="1"/>
      <c r="J634" s="1"/>
      <c r="K634" s="1"/>
      <c r="L634" s="1"/>
      <c r="M634" s="1"/>
      <c r="N634" s="1"/>
      <c r="O634" s="1"/>
      <c r="P634" s="1"/>
      <c r="Q634" s="1"/>
      <c r="R634" s="1"/>
      <c r="S634" s="1"/>
      <c r="T634" s="1"/>
      <c r="U634" s="1"/>
      <c r="V634" s="1"/>
      <c r="W634" s="1"/>
      <c r="X634" s="1"/>
      <c r="Y634" s="1"/>
      <c r="Z634" s="1"/>
    </row>
    <row r="635" spans="1:26" ht="19.5" customHeight="1">
      <c r="A635" s="1"/>
      <c r="B635" s="2"/>
      <c r="C635" s="1"/>
      <c r="D635" s="1"/>
      <c r="E635" s="2"/>
      <c r="F635" s="1"/>
      <c r="G635" s="1"/>
      <c r="H635" s="1"/>
      <c r="I635" s="1"/>
      <c r="J635" s="1"/>
      <c r="K635" s="1"/>
      <c r="L635" s="1"/>
      <c r="M635" s="1"/>
      <c r="N635" s="1"/>
      <c r="O635" s="1"/>
      <c r="P635" s="1"/>
      <c r="Q635" s="1"/>
      <c r="R635" s="1"/>
      <c r="S635" s="1"/>
      <c r="T635" s="1"/>
      <c r="U635" s="1"/>
      <c r="V635" s="1"/>
      <c r="W635" s="1"/>
      <c r="X635" s="1"/>
      <c r="Y635" s="1"/>
      <c r="Z635" s="1"/>
    </row>
    <row r="636" spans="1:26" ht="19.5" customHeight="1">
      <c r="A636" s="1"/>
      <c r="B636" s="2"/>
      <c r="C636" s="1"/>
      <c r="D636" s="1"/>
      <c r="E636" s="2"/>
      <c r="F636" s="1"/>
      <c r="G636" s="1"/>
      <c r="H636" s="1"/>
      <c r="I636" s="1"/>
      <c r="J636" s="1"/>
      <c r="K636" s="1"/>
      <c r="L636" s="1"/>
      <c r="M636" s="1"/>
      <c r="N636" s="1"/>
      <c r="O636" s="1"/>
      <c r="P636" s="1"/>
      <c r="Q636" s="1"/>
      <c r="R636" s="1"/>
      <c r="S636" s="1"/>
      <c r="T636" s="1"/>
      <c r="U636" s="1"/>
      <c r="V636" s="1"/>
      <c r="W636" s="1"/>
      <c r="X636" s="1"/>
      <c r="Y636" s="1"/>
      <c r="Z636" s="1"/>
    </row>
    <row r="637" spans="1:26" ht="19.5" customHeight="1">
      <c r="A637" s="1"/>
      <c r="B637" s="2"/>
      <c r="C637" s="1"/>
      <c r="D637" s="1"/>
      <c r="E637" s="2"/>
      <c r="F637" s="1"/>
      <c r="G637" s="1"/>
      <c r="H637" s="1"/>
      <c r="I637" s="1"/>
      <c r="J637" s="1"/>
      <c r="K637" s="1"/>
      <c r="L637" s="1"/>
      <c r="M637" s="1"/>
      <c r="N637" s="1"/>
      <c r="O637" s="1"/>
      <c r="P637" s="1"/>
      <c r="Q637" s="1"/>
      <c r="R637" s="1"/>
      <c r="S637" s="1"/>
      <c r="T637" s="1"/>
      <c r="U637" s="1"/>
      <c r="V637" s="1"/>
      <c r="W637" s="1"/>
      <c r="X637" s="1"/>
      <c r="Y637" s="1"/>
      <c r="Z637" s="1"/>
    </row>
    <row r="638" spans="1:26" ht="19.5" customHeight="1">
      <c r="A638" s="1"/>
      <c r="B638" s="2"/>
      <c r="C638" s="1"/>
      <c r="D638" s="1"/>
      <c r="E638" s="2"/>
      <c r="F638" s="1"/>
      <c r="G638" s="1"/>
      <c r="H638" s="1"/>
      <c r="I638" s="1"/>
      <c r="J638" s="1"/>
      <c r="K638" s="1"/>
      <c r="L638" s="1"/>
      <c r="M638" s="1"/>
      <c r="N638" s="1"/>
      <c r="O638" s="1"/>
      <c r="P638" s="1"/>
      <c r="Q638" s="1"/>
      <c r="R638" s="1"/>
      <c r="S638" s="1"/>
      <c r="T638" s="1"/>
      <c r="U638" s="1"/>
      <c r="V638" s="1"/>
      <c r="W638" s="1"/>
      <c r="X638" s="1"/>
      <c r="Y638" s="1"/>
      <c r="Z638" s="1"/>
    </row>
    <row r="639" spans="1:26" ht="19.5" customHeight="1">
      <c r="A639" s="1"/>
      <c r="B639" s="2"/>
      <c r="C639" s="1"/>
      <c r="D639" s="1"/>
      <c r="E639" s="2"/>
      <c r="F639" s="1"/>
      <c r="G639" s="1"/>
      <c r="H639" s="1"/>
      <c r="I639" s="1"/>
      <c r="J639" s="1"/>
      <c r="K639" s="1"/>
      <c r="L639" s="1"/>
      <c r="M639" s="1"/>
      <c r="N639" s="1"/>
      <c r="O639" s="1"/>
      <c r="P639" s="1"/>
      <c r="Q639" s="1"/>
      <c r="R639" s="1"/>
      <c r="S639" s="1"/>
      <c r="T639" s="1"/>
      <c r="U639" s="1"/>
      <c r="V639" s="1"/>
      <c r="W639" s="1"/>
      <c r="X639" s="1"/>
      <c r="Y639" s="1"/>
      <c r="Z639" s="1"/>
    </row>
    <row r="640" spans="1:26" ht="19.5" customHeight="1">
      <c r="A640" s="1"/>
      <c r="B640" s="2"/>
      <c r="C640" s="1"/>
      <c r="D640" s="1"/>
      <c r="E640" s="2"/>
      <c r="F640" s="1"/>
      <c r="G640" s="1"/>
      <c r="H640" s="1"/>
      <c r="I640" s="1"/>
      <c r="J640" s="1"/>
      <c r="K640" s="1"/>
      <c r="L640" s="1"/>
      <c r="M640" s="1"/>
      <c r="N640" s="1"/>
      <c r="O640" s="1"/>
      <c r="P640" s="1"/>
      <c r="Q640" s="1"/>
      <c r="R640" s="1"/>
      <c r="S640" s="1"/>
      <c r="T640" s="1"/>
      <c r="U640" s="1"/>
      <c r="V640" s="1"/>
      <c r="W640" s="1"/>
      <c r="X640" s="1"/>
      <c r="Y640" s="1"/>
      <c r="Z640" s="1"/>
    </row>
    <row r="641" spans="1:26" ht="19.5" customHeight="1">
      <c r="A641" s="1"/>
      <c r="B641" s="2"/>
      <c r="C641" s="1"/>
      <c r="D641" s="1"/>
      <c r="E641" s="2"/>
      <c r="F641" s="1"/>
      <c r="G641" s="1"/>
      <c r="H641" s="1"/>
      <c r="I641" s="1"/>
      <c r="J641" s="1"/>
      <c r="K641" s="1"/>
      <c r="L641" s="1"/>
      <c r="M641" s="1"/>
      <c r="N641" s="1"/>
      <c r="O641" s="1"/>
      <c r="P641" s="1"/>
      <c r="Q641" s="1"/>
      <c r="R641" s="1"/>
      <c r="S641" s="1"/>
      <c r="T641" s="1"/>
      <c r="U641" s="1"/>
      <c r="V641" s="1"/>
      <c r="W641" s="1"/>
      <c r="X641" s="1"/>
      <c r="Y641" s="1"/>
      <c r="Z641" s="1"/>
    </row>
    <row r="642" spans="1:26" ht="19.5" customHeight="1">
      <c r="A642" s="1"/>
      <c r="B642" s="2"/>
      <c r="C642" s="1"/>
      <c r="D642" s="1"/>
      <c r="E642" s="2"/>
      <c r="F642" s="1"/>
      <c r="G642" s="1"/>
      <c r="H642" s="1"/>
      <c r="I642" s="1"/>
      <c r="J642" s="1"/>
      <c r="K642" s="1"/>
      <c r="L642" s="1"/>
      <c r="M642" s="1"/>
      <c r="N642" s="1"/>
      <c r="O642" s="1"/>
      <c r="P642" s="1"/>
      <c r="Q642" s="1"/>
      <c r="R642" s="1"/>
      <c r="S642" s="1"/>
      <c r="T642" s="1"/>
      <c r="U642" s="1"/>
      <c r="V642" s="1"/>
      <c r="W642" s="1"/>
      <c r="X642" s="1"/>
      <c r="Y642" s="1"/>
      <c r="Z642" s="1"/>
    </row>
    <row r="643" spans="1:26" ht="19.5" customHeight="1">
      <c r="A643" s="1"/>
      <c r="B643" s="2"/>
      <c r="C643" s="1"/>
      <c r="D643" s="1"/>
      <c r="E643" s="2"/>
      <c r="F643" s="1"/>
      <c r="G643" s="1"/>
      <c r="H643" s="1"/>
      <c r="I643" s="1"/>
      <c r="J643" s="1"/>
      <c r="K643" s="1"/>
      <c r="L643" s="1"/>
      <c r="M643" s="1"/>
      <c r="N643" s="1"/>
      <c r="O643" s="1"/>
      <c r="P643" s="1"/>
      <c r="Q643" s="1"/>
      <c r="R643" s="1"/>
      <c r="S643" s="1"/>
      <c r="T643" s="1"/>
      <c r="U643" s="1"/>
      <c r="V643" s="1"/>
      <c r="W643" s="1"/>
      <c r="X643" s="1"/>
      <c r="Y643" s="1"/>
      <c r="Z643" s="1"/>
    </row>
    <row r="644" spans="1:26" ht="19.5" customHeight="1">
      <c r="A644" s="1"/>
      <c r="B644" s="2"/>
      <c r="C644" s="1"/>
      <c r="D644" s="1"/>
      <c r="E644" s="2"/>
      <c r="F644" s="1"/>
      <c r="G644" s="1"/>
      <c r="H644" s="1"/>
      <c r="I644" s="1"/>
      <c r="J644" s="1"/>
      <c r="K644" s="1"/>
      <c r="L644" s="1"/>
      <c r="M644" s="1"/>
      <c r="N644" s="1"/>
      <c r="O644" s="1"/>
      <c r="P644" s="1"/>
      <c r="Q644" s="1"/>
      <c r="R644" s="1"/>
      <c r="S644" s="1"/>
      <c r="T644" s="1"/>
      <c r="U644" s="1"/>
      <c r="V644" s="1"/>
      <c r="W644" s="1"/>
      <c r="X644" s="1"/>
      <c r="Y644" s="1"/>
      <c r="Z644" s="1"/>
    </row>
    <row r="645" spans="1:26" ht="19.5" customHeight="1">
      <c r="A645" s="1"/>
      <c r="B645" s="2"/>
      <c r="C645" s="1"/>
      <c r="D645" s="1"/>
      <c r="E645" s="2"/>
      <c r="F645" s="1"/>
      <c r="G645" s="1"/>
      <c r="H645" s="1"/>
      <c r="I645" s="1"/>
      <c r="J645" s="1"/>
      <c r="K645" s="1"/>
      <c r="L645" s="1"/>
      <c r="M645" s="1"/>
      <c r="N645" s="1"/>
      <c r="O645" s="1"/>
      <c r="P645" s="1"/>
      <c r="Q645" s="1"/>
      <c r="R645" s="1"/>
      <c r="S645" s="1"/>
      <c r="T645" s="1"/>
      <c r="U645" s="1"/>
      <c r="V645" s="1"/>
      <c r="W645" s="1"/>
      <c r="X645" s="1"/>
      <c r="Y645" s="1"/>
      <c r="Z645" s="1"/>
    </row>
    <row r="646" spans="1:26" ht="19.5" customHeight="1">
      <c r="A646" s="1"/>
      <c r="B646" s="2"/>
      <c r="C646" s="1"/>
      <c r="D646" s="1"/>
      <c r="E646" s="2"/>
      <c r="F646" s="1"/>
      <c r="G646" s="1"/>
      <c r="H646" s="1"/>
      <c r="I646" s="1"/>
      <c r="J646" s="1"/>
      <c r="K646" s="1"/>
      <c r="L646" s="1"/>
      <c r="M646" s="1"/>
      <c r="N646" s="1"/>
      <c r="O646" s="1"/>
      <c r="P646" s="1"/>
      <c r="Q646" s="1"/>
      <c r="R646" s="1"/>
      <c r="S646" s="1"/>
      <c r="T646" s="1"/>
      <c r="U646" s="1"/>
      <c r="V646" s="1"/>
      <c r="W646" s="1"/>
      <c r="X646" s="1"/>
      <c r="Y646" s="1"/>
      <c r="Z646" s="1"/>
    </row>
    <row r="647" spans="1:26" ht="19.5" customHeight="1">
      <c r="A647" s="1"/>
      <c r="B647" s="2"/>
      <c r="C647" s="1"/>
      <c r="D647" s="1"/>
      <c r="E647" s="2"/>
      <c r="F647" s="1"/>
      <c r="G647" s="1"/>
      <c r="H647" s="1"/>
      <c r="I647" s="1"/>
      <c r="J647" s="1"/>
      <c r="K647" s="1"/>
      <c r="L647" s="1"/>
      <c r="M647" s="1"/>
      <c r="N647" s="1"/>
      <c r="O647" s="1"/>
      <c r="P647" s="1"/>
      <c r="Q647" s="1"/>
      <c r="R647" s="1"/>
      <c r="S647" s="1"/>
      <c r="T647" s="1"/>
      <c r="U647" s="1"/>
      <c r="V647" s="1"/>
      <c r="W647" s="1"/>
      <c r="X647" s="1"/>
      <c r="Y647" s="1"/>
      <c r="Z647" s="1"/>
    </row>
    <row r="648" spans="1:26" ht="19.5" customHeight="1">
      <c r="A648" s="1"/>
      <c r="B648" s="2"/>
      <c r="C648" s="1"/>
      <c r="D648" s="1"/>
      <c r="E648" s="2"/>
      <c r="F648" s="1"/>
      <c r="G648" s="1"/>
      <c r="H648" s="1"/>
      <c r="I648" s="1"/>
      <c r="J648" s="1"/>
      <c r="K648" s="1"/>
      <c r="L648" s="1"/>
      <c r="M648" s="1"/>
      <c r="N648" s="1"/>
      <c r="O648" s="1"/>
      <c r="P648" s="1"/>
      <c r="Q648" s="1"/>
      <c r="R648" s="1"/>
      <c r="S648" s="1"/>
      <c r="T648" s="1"/>
      <c r="U648" s="1"/>
      <c r="V648" s="1"/>
      <c r="W648" s="1"/>
      <c r="X648" s="1"/>
      <c r="Y648" s="1"/>
      <c r="Z648" s="1"/>
    </row>
    <row r="649" spans="1:26" ht="19.5" customHeight="1">
      <c r="A649" s="1"/>
      <c r="B649" s="2"/>
      <c r="C649" s="1"/>
      <c r="D649" s="1"/>
      <c r="E649" s="2"/>
      <c r="F649" s="1"/>
      <c r="G649" s="1"/>
      <c r="H649" s="1"/>
      <c r="I649" s="1"/>
      <c r="J649" s="1"/>
      <c r="K649" s="1"/>
      <c r="L649" s="1"/>
      <c r="M649" s="1"/>
      <c r="N649" s="1"/>
      <c r="O649" s="1"/>
      <c r="P649" s="1"/>
      <c r="Q649" s="1"/>
      <c r="R649" s="1"/>
      <c r="S649" s="1"/>
      <c r="T649" s="1"/>
      <c r="U649" s="1"/>
      <c r="V649" s="1"/>
      <c r="W649" s="1"/>
      <c r="X649" s="1"/>
      <c r="Y649" s="1"/>
      <c r="Z649" s="1"/>
    </row>
    <row r="650" spans="1:26" ht="19.5" customHeight="1">
      <c r="A650" s="1"/>
      <c r="B650" s="2"/>
      <c r="C650" s="1"/>
      <c r="D650" s="1"/>
      <c r="E650" s="2"/>
      <c r="F650" s="1"/>
      <c r="G650" s="1"/>
      <c r="H650" s="1"/>
      <c r="I650" s="1"/>
      <c r="J650" s="1"/>
      <c r="K650" s="1"/>
      <c r="L650" s="1"/>
      <c r="M650" s="1"/>
      <c r="N650" s="1"/>
      <c r="O650" s="1"/>
      <c r="P650" s="1"/>
      <c r="Q650" s="1"/>
      <c r="R650" s="1"/>
      <c r="S650" s="1"/>
      <c r="T650" s="1"/>
      <c r="U650" s="1"/>
      <c r="V650" s="1"/>
      <c r="W650" s="1"/>
      <c r="X650" s="1"/>
      <c r="Y650" s="1"/>
      <c r="Z650" s="1"/>
    </row>
    <row r="651" spans="1:26" ht="19.5" customHeight="1">
      <c r="A651" s="1"/>
      <c r="B651" s="2"/>
      <c r="C651" s="1"/>
      <c r="D651" s="1"/>
      <c r="E651" s="2"/>
      <c r="F651" s="1"/>
      <c r="G651" s="1"/>
      <c r="H651" s="1"/>
      <c r="I651" s="1"/>
      <c r="J651" s="1"/>
      <c r="K651" s="1"/>
      <c r="L651" s="1"/>
      <c r="M651" s="1"/>
      <c r="N651" s="1"/>
      <c r="O651" s="1"/>
      <c r="P651" s="1"/>
      <c r="Q651" s="1"/>
      <c r="R651" s="1"/>
      <c r="S651" s="1"/>
      <c r="T651" s="1"/>
      <c r="U651" s="1"/>
      <c r="V651" s="1"/>
      <c r="W651" s="1"/>
      <c r="X651" s="1"/>
      <c r="Y651" s="1"/>
      <c r="Z651" s="1"/>
    </row>
    <row r="652" spans="1:26" ht="19.5" customHeight="1">
      <c r="A652" s="1"/>
      <c r="B652" s="2"/>
      <c r="C652" s="1"/>
      <c r="D652" s="1"/>
      <c r="E652" s="2"/>
      <c r="F652" s="1"/>
      <c r="G652" s="1"/>
      <c r="H652" s="1"/>
      <c r="I652" s="1"/>
      <c r="J652" s="1"/>
      <c r="K652" s="1"/>
      <c r="L652" s="1"/>
      <c r="M652" s="1"/>
      <c r="N652" s="1"/>
      <c r="O652" s="1"/>
      <c r="P652" s="1"/>
      <c r="Q652" s="1"/>
      <c r="R652" s="1"/>
      <c r="S652" s="1"/>
      <c r="T652" s="1"/>
      <c r="U652" s="1"/>
      <c r="V652" s="1"/>
      <c r="W652" s="1"/>
      <c r="X652" s="1"/>
      <c r="Y652" s="1"/>
      <c r="Z652" s="1"/>
    </row>
    <row r="653" spans="1:26" ht="19.5" customHeight="1">
      <c r="A653" s="1"/>
      <c r="B653" s="2"/>
      <c r="C653" s="1"/>
      <c r="D653" s="1"/>
      <c r="E653" s="2"/>
      <c r="F653" s="1"/>
      <c r="G653" s="1"/>
      <c r="H653" s="1"/>
      <c r="I653" s="1"/>
      <c r="J653" s="1"/>
      <c r="K653" s="1"/>
      <c r="L653" s="1"/>
      <c r="M653" s="1"/>
      <c r="N653" s="1"/>
      <c r="O653" s="1"/>
      <c r="P653" s="1"/>
      <c r="Q653" s="1"/>
      <c r="R653" s="1"/>
      <c r="S653" s="1"/>
      <c r="T653" s="1"/>
      <c r="U653" s="1"/>
      <c r="V653" s="1"/>
      <c r="W653" s="1"/>
      <c r="X653" s="1"/>
      <c r="Y653" s="1"/>
      <c r="Z653" s="1"/>
    </row>
    <row r="654" spans="1:26" ht="19.5" customHeight="1">
      <c r="A654" s="1"/>
      <c r="B654" s="2"/>
      <c r="C654" s="1"/>
      <c r="D654" s="1"/>
      <c r="E654" s="2"/>
      <c r="F654" s="1"/>
      <c r="G654" s="1"/>
      <c r="H654" s="1"/>
      <c r="I654" s="1"/>
      <c r="J654" s="1"/>
      <c r="K654" s="1"/>
      <c r="L654" s="1"/>
      <c r="M654" s="1"/>
      <c r="N654" s="1"/>
      <c r="O654" s="1"/>
      <c r="P654" s="1"/>
      <c r="Q654" s="1"/>
      <c r="R654" s="1"/>
      <c r="S654" s="1"/>
      <c r="T654" s="1"/>
      <c r="U654" s="1"/>
      <c r="V654" s="1"/>
      <c r="W654" s="1"/>
      <c r="X654" s="1"/>
      <c r="Y654" s="1"/>
      <c r="Z654" s="1"/>
    </row>
    <row r="655" spans="1:26" ht="19.5" customHeight="1">
      <c r="A655" s="1"/>
      <c r="B655" s="2"/>
      <c r="C655" s="1"/>
      <c r="D655" s="1"/>
      <c r="E655" s="2"/>
      <c r="F655" s="1"/>
      <c r="G655" s="1"/>
      <c r="H655" s="1"/>
      <c r="I655" s="1"/>
      <c r="J655" s="1"/>
      <c r="K655" s="1"/>
      <c r="L655" s="1"/>
      <c r="M655" s="1"/>
      <c r="N655" s="1"/>
      <c r="O655" s="1"/>
      <c r="P655" s="1"/>
      <c r="Q655" s="1"/>
      <c r="R655" s="1"/>
      <c r="S655" s="1"/>
      <c r="T655" s="1"/>
      <c r="U655" s="1"/>
      <c r="V655" s="1"/>
      <c r="W655" s="1"/>
      <c r="X655" s="1"/>
      <c r="Y655" s="1"/>
      <c r="Z655" s="1"/>
    </row>
    <row r="656" spans="1:26" ht="19.5" customHeight="1">
      <c r="A656" s="1"/>
      <c r="B656" s="2"/>
      <c r="C656" s="1"/>
      <c r="D656" s="1"/>
      <c r="E656" s="2"/>
      <c r="F656" s="1"/>
      <c r="G656" s="1"/>
      <c r="H656" s="1"/>
      <c r="I656" s="1"/>
      <c r="J656" s="1"/>
      <c r="K656" s="1"/>
      <c r="L656" s="1"/>
      <c r="M656" s="1"/>
      <c r="N656" s="1"/>
      <c r="O656" s="1"/>
      <c r="P656" s="1"/>
      <c r="Q656" s="1"/>
      <c r="R656" s="1"/>
      <c r="S656" s="1"/>
      <c r="T656" s="1"/>
      <c r="U656" s="1"/>
      <c r="V656" s="1"/>
      <c r="W656" s="1"/>
      <c r="X656" s="1"/>
      <c r="Y656" s="1"/>
      <c r="Z656" s="1"/>
    </row>
    <row r="657" spans="1:26" ht="19.5" customHeight="1">
      <c r="A657" s="1"/>
      <c r="B657" s="2"/>
      <c r="C657" s="1"/>
      <c r="D657" s="1"/>
      <c r="E657" s="2"/>
      <c r="F657" s="1"/>
      <c r="G657" s="1"/>
      <c r="H657" s="1"/>
      <c r="I657" s="1"/>
      <c r="J657" s="1"/>
      <c r="K657" s="1"/>
      <c r="L657" s="1"/>
      <c r="M657" s="1"/>
      <c r="N657" s="1"/>
      <c r="O657" s="1"/>
      <c r="P657" s="1"/>
      <c r="Q657" s="1"/>
      <c r="R657" s="1"/>
      <c r="S657" s="1"/>
      <c r="T657" s="1"/>
      <c r="U657" s="1"/>
      <c r="V657" s="1"/>
      <c r="W657" s="1"/>
      <c r="X657" s="1"/>
      <c r="Y657" s="1"/>
      <c r="Z657" s="1"/>
    </row>
    <row r="658" spans="1:26" ht="19.5" customHeight="1">
      <c r="A658" s="1"/>
      <c r="B658" s="2"/>
      <c r="C658" s="1"/>
      <c r="D658" s="1"/>
      <c r="E658" s="2"/>
      <c r="F658" s="1"/>
      <c r="G658" s="1"/>
      <c r="H658" s="1"/>
      <c r="I658" s="1"/>
      <c r="J658" s="1"/>
      <c r="K658" s="1"/>
      <c r="L658" s="1"/>
      <c r="M658" s="1"/>
      <c r="N658" s="1"/>
      <c r="O658" s="1"/>
      <c r="P658" s="1"/>
      <c r="Q658" s="1"/>
      <c r="R658" s="1"/>
      <c r="S658" s="1"/>
      <c r="T658" s="1"/>
      <c r="U658" s="1"/>
      <c r="V658" s="1"/>
      <c r="W658" s="1"/>
      <c r="X658" s="1"/>
      <c r="Y658" s="1"/>
      <c r="Z658" s="1"/>
    </row>
    <row r="659" spans="1:26" ht="19.5" customHeight="1">
      <c r="A659" s="1"/>
      <c r="B659" s="2"/>
      <c r="C659" s="1"/>
      <c r="D659" s="1"/>
      <c r="E659" s="2"/>
      <c r="F659" s="1"/>
      <c r="G659" s="1"/>
      <c r="H659" s="1"/>
      <c r="I659" s="1"/>
      <c r="J659" s="1"/>
      <c r="K659" s="1"/>
      <c r="L659" s="1"/>
      <c r="M659" s="1"/>
      <c r="N659" s="1"/>
      <c r="O659" s="1"/>
      <c r="P659" s="1"/>
      <c r="Q659" s="1"/>
      <c r="R659" s="1"/>
      <c r="S659" s="1"/>
      <c r="T659" s="1"/>
      <c r="U659" s="1"/>
      <c r="V659" s="1"/>
      <c r="W659" s="1"/>
      <c r="X659" s="1"/>
      <c r="Y659" s="1"/>
      <c r="Z659" s="1"/>
    </row>
    <row r="660" spans="1:26" ht="19.5" customHeight="1">
      <c r="A660" s="1"/>
      <c r="B660" s="2"/>
      <c r="C660" s="1"/>
      <c r="D660" s="1"/>
      <c r="E660" s="2"/>
      <c r="F660" s="1"/>
      <c r="G660" s="1"/>
      <c r="H660" s="1"/>
      <c r="I660" s="1"/>
      <c r="J660" s="1"/>
      <c r="K660" s="1"/>
      <c r="L660" s="1"/>
      <c r="M660" s="1"/>
      <c r="N660" s="1"/>
      <c r="O660" s="1"/>
      <c r="P660" s="1"/>
      <c r="Q660" s="1"/>
      <c r="R660" s="1"/>
      <c r="S660" s="1"/>
      <c r="T660" s="1"/>
      <c r="U660" s="1"/>
      <c r="V660" s="1"/>
      <c r="W660" s="1"/>
      <c r="X660" s="1"/>
      <c r="Y660" s="1"/>
      <c r="Z660" s="1"/>
    </row>
    <row r="661" spans="1:26" ht="19.5" customHeight="1">
      <c r="A661" s="1"/>
      <c r="B661" s="2"/>
      <c r="C661" s="1"/>
      <c r="D661" s="1"/>
      <c r="E661" s="2"/>
      <c r="F661" s="1"/>
      <c r="G661" s="1"/>
      <c r="H661" s="1"/>
      <c r="I661" s="1"/>
      <c r="J661" s="1"/>
      <c r="K661" s="1"/>
      <c r="L661" s="1"/>
      <c r="M661" s="1"/>
      <c r="N661" s="1"/>
      <c r="O661" s="1"/>
      <c r="P661" s="1"/>
      <c r="Q661" s="1"/>
      <c r="R661" s="1"/>
      <c r="S661" s="1"/>
      <c r="T661" s="1"/>
      <c r="U661" s="1"/>
      <c r="V661" s="1"/>
      <c r="W661" s="1"/>
      <c r="X661" s="1"/>
      <c r="Y661" s="1"/>
      <c r="Z661" s="1"/>
    </row>
    <row r="662" spans="1:26" ht="19.5" customHeight="1">
      <c r="A662" s="1"/>
      <c r="B662" s="2"/>
      <c r="C662" s="1"/>
      <c r="D662" s="1"/>
      <c r="E662" s="2"/>
      <c r="F662" s="1"/>
      <c r="G662" s="1"/>
      <c r="H662" s="1"/>
      <c r="I662" s="1"/>
      <c r="J662" s="1"/>
      <c r="K662" s="1"/>
      <c r="L662" s="1"/>
      <c r="M662" s="1"/>
      <c r="N662" s="1"/>
      <c r="O662" s="1"/>
      <c r="P662" s="1"/>
      <c r="Q662" s="1"/>
      <c r="R662" s="1"/>
      <c r="S662" s="1"/>
      <c r="T662" s="1"/>
      <c r="U662" s="1"/>
      <c r="V662" s="1"/>
      <c r="W662" s="1"/>
      <c r="X662" s="1"/>
      <c r="Y662" s="1"/>
      <c r="Z662" s="1"/>
    </row>
    <row r="663" spans="1:26" ht="19.5" customHeight="1">
      <c r="A663" s="1"/>
      <c r="B663" s="2"/>
      <c r="C663" s="1"/>
      <c r="D663" s="1"/>
      <c r="E663" s="2"/>
      <c r="F663" s="1"/>
      <c r="G663" s="1"/>
      <c r="H663" s="1"/>
      <c r="I663" s="1"/>
      <c r="J663" s="1"/>
      <c r="K663" s="1"/>
      <c r="L663" s="1"/>
      <c r="M663" s="1"/>
      <c r="N663" s="1"/>
      <c r="O663" s="1"/>
      <c r="P663" s="1"/>
      <c r="Q663" s="1"/>
      <c r="R663" s="1"/>
      <c r="S663" s="1"/>
      <c r="T663" s="1"/>
      <c r="U663" s="1"/>
      <c r="V663" s="1"/>
      <c r="W663" s="1"/>
      <c r="X663" s="1"/>
      <c r="Y663" s="1"/>
      <c r="Z663" s="1"/>
    </row>
    <row r="664" spans="1:26" ht="19.5" customHeight="1">
      <c r="A664" s="1"/>
      <c r="B664" s="2"/>
      <c r="C664" s="1"/>
      <c r="D664" s="1"/>
      <c r="E664" s="2"/>
      <c r="F664" s="1"/>
      <c r="G664" s="1"/>
      <c r="H664" s="1"/>
      <c r="I664" s="1"/>
      <c r="J664" s="1"/>
      <c r="K664" s="1"/>
      <c r="L664" s="1"/>
      <c r="M664" s="1"/>
      <c r="N664" s="1"/>
      <c r="O664" s="1"/>
      <c r="P664" s="1"/>
      <c r="Q664" s="1"/>
      <c r="R664" s="1"/>
      <c r="S664" s="1"/>
      <c r="T664" s="1"/>
      <c r="U664" s="1"/>
      <c r="V664" s="1"/>
      <c r="W664" s="1"/>
      <c r="X664" s="1"/>
      <c r="Y664" s="1"/>
      <c r="Z664" s="1"/>
    </row>
    <row r="665" spans="1:26" ht="19.5" customHeight="1">
      <c r="A665" s="1"/>
      <c r="B665" s="2"/>
      <c r="C665" s="1"/>
      <c r="D665" s="1"/>
      <c r="E665" s="2"/>
      <c r="F665" s="1"/>
      <c r="G665" s="1"/>
      <c r="H665" s="1"/>
      <c r="I665" s="1"/>
      <c r="J665" s="1"/>
      <c r="K665" s="1"/>
      <c r="L665" s="1"/>
      <c r="M665" s="1"/>
      <c r="N665" s="1"/>
      <c r="O665" s="1"/>
      <c r="P665" s="1"/>
      <c r="Q665" s="1"/>
      <c r="R665" s="1"/>
      <c r="S665" s="1"/>
      <c r="T665" s="1"/>
      <c r="U665" s="1"/>
      <c r="V665" s="1"/>
      <c r="W665" s="1"/>
      <c r="X665" s="1"/>
      <c r="Y665" s="1"/>
      <c r="Z665" s="1"/>
    </row>
    <row r="666" spans="1:26" ht="19.5" customHeight="1">
      <c r="A666" s="1"/>
      <c r="B666" s="2"/>
      <c r="C666" s="1"/>
      <c r="D666" s="1"/>
      <c r="E666" s="2"/>
      <c r="F666" s="1"/>
      <c r="G666" s="1"/>
      <c r="H666" s="1"/>
      <c r="I666" s="1"/>
      <c r="J666" s="1"/>
      <c r="K666" s="1"/>
      <c r="L666" s="1"/>
      <c r="M666" s="1"/>
      <c r="N666" s="1"/>
      <c r="O666" s="1"/>
      <c r="P666" s="1"/>
      <c r="Q666" s="1"/>
      <c r="R666" s="1"/>
      <c r="S666" s="1"/>
      <c r="T666" s="1"/>
      <c r="U666" s="1"/>
      <c r="V666" s="1"/>
      <c r="W666" s="1"/>
      <c r="X666" s="1"/>
      <c r="Y666" s="1"/>
      <c r="Z666" s="1"/>
    </row>
    <row r="667" spans="1:26" ht="19.5" customHeight="1">
      <c r="A667" s="1"/>
      <c r="B667" s="2"/>
      <c r="C667" s="1"/>
      <c r="D667" s="1"/>
      <c r="E667" s="2"/>
      <c r="F667" s="1"/>
      <c r="G667" s="1"/>
      <c r="H667" s="1"/>
      <c r="I667" s="1"/>
      <c r="J667" s="1"/>
      <c r="K667" s="1"/>
      <c r="L667" s="1"/>
      <c r="M667" s="1"/>
      <c r="N667" s="1"/>
      <c r="O667" s="1"/>
      <c r="P667" s="1"/>
      <c r="Q667" s="1"/>
      <c r="R667" s="1"/>
      <c r="S667" s="1"/>
      <c r="T667" s="1"/>
      <c r="U667" s="1"/>
      <c r="V667" s="1"/>
      <c r="W667" s="1"/>
      <c r="X667" s="1"/>
      <c r="Y667" s="1"/>
      <c r="Z667" s="1"/>
    </row>
    <row r="668" spans="1:26" ht="19.5" customHeight="1">
      <c r="A668" s="1"/>
      <c r="B668" s="2"/>
      <c r="C668" s="1"/>
      <c r="D668" s="1"/>
      <c r="E668" s="2"/>
      <c r="F668" s="1"/>
      <c r="G668" s="1"/>
      <c r="H668" s="1"/>
      <c r="I668" s="1"/>
      <c r="J668" s="1"/>
      <c r="K668" s="1"/>
      <c r="L668" s="1"/>
      <c r="M668" s="1"/>
      <c r="N668" s="1"/>
      <c r="O668" s="1"/>
      <c r="P668" s="1"/>
      <c r="Q668" s="1"/>
      <c r="R668" s="1"/>
      <c r="S668" s="1"/>
      <c r="T668" s="1"/>
      <c r="U668" s="1"/>
      <c r="V668" s="1"/>
      <c r="W668" s="1"/>
      <c r="X668" s="1"/>
      <c r="Y668" s="1"/>
      <c r="Z668" s="1"/>
    </row>
    <row r="669" spans="1:26" ht="19.5" customHeight="1">
      <c r="A669" s="1"/>
      <c r="B669" s="2"/>
      <c r="C669" s="1"/>
      <c r="D669" s="1"/>
      <c r="E669" s="2"/>
      <c r="F669" s="1"/>
      <c r="G669" s="1"/>
      <c r="H669" s="1"/>
      <c r="I669" s="1"/>
      <c r="J669" s="1"/>
      <c r="K669" s="1"/>
      <c r="L669" s="1"/>
      <c r="M669" s="1"/>
      <c r="N669" s="1"/>
      <c r="O669" s="1"/>
      <c r="P669" s="1"/>
      <c r="Q669" s="1"/>
      <c r="R669" s="1"/>
      <c r="S669" s="1"/>
      <c r="T669" s="1"/>
      <c r="U669" s="1"/>
      <c r="V669" s="1"/>
      <c r="W669" s="1"/>
      <c r="X669" s="1"/>
      <c r="Y669" s="1"/>
      <c r="Z669" s="1"/>
    </row>
    <row r="670" spans="1:26" ht="19.5" customHeight="1">
      <c r="A670" s="1"/>
      <c r="B670" s="2"/>
      <c r="C670" s="1"/>
      <c r="D670" s="1"/>
      <c r="E670" s="2"/>
      <c r="F670" s="1"/>
      <c r="G670" s="1"/>
      <c r="H670" s="1"/>
      <c r="I670" s="1"/>
      <c r="J670" s="1"/>
      <c r="K670" s="1"/>
      <c r="L670" s="1"/>
      <c r="M670" s="1"/>
      <c r="N670" s="1"/>
      <c r="O670" s="1"/>
      <c r="P670" s="1"/>
      <c r="Q670" s="1"/>
      <c r="R670" s="1"/>
      <c r="S670" s="1"/>
      <c r="T670" s="1"/>
      <c r="U670" s="1"/>
      <c r="V670" s="1"/>
      <c r="W670" s="1"/>
      <c r="X670" s="1"/>
      <c r="Y670" s="1"/>
      <c r="Z670" s="1"/>
    </row>
    <row r="671" spans="1:26" ht="19.5" customHeight="1">
      <c r="A671" s="1"/>
      <c r="B671" s="2"/>
      <c r="C671" s="1"/>
      <c r="D671" s="1"/>
      <c r="E671" s="2"/>
      <c r="F671" s="1"/>
      <c r="G671" s="1"/>
      <c r="H671" s="1"/>
      <c r="I671" s="1"/>
      <c r="J671" s="1"/>
      <c r="K671" s="1"/>
      <c r="L671" s="1"/>
      <c r="M671" s="1"/>
      <c r="N671" s="1"/>
      <c r="O671" s="1"/>
      <c r="P671" s="1"/>
      <c r="Q671" s="1"/>
      <c r="R671" s="1"/>
      <c r="S671" s="1"/>
      <c r="T671" s="1"/>
      <c r="U671" s="1"/>
      <c r="V671" s="1"/>
      <c r="W671" s="1"/>
      <c r="X671" s="1"/>
      <c r="Y671" s="1"/>
      <c r="Z671" s="1"/>
    </row>
    <row r="672" spans="1:26" ht="19.5" customHeight="1">
      <c r="A672" s="1"/>
      <c r="B672" s="2"/>
      <c r="C672" s="1"/>
      <c r="D672" s="1"/>
      <c r="E672" s="2"/>
      <c r="F672" s="1"/>
      <c r="G672" s="1"/>
      <c r="H672" s="1"/>
      <c r="I672" s="1"/>
      <c r="J672" s="1"/>
      <c r="K672" s="1"/>
      <c r="L672" s="1"/>
      <c r="M672" s="1"/>
      <c r="N672" s="1"/>
      <c r="O672" s="1"/>
      <c r="P672" s="1"/>
      <c r="Q672" s="1"/>
      <c r="R672" s="1"/>
      <c r="S672" s="1"/>
      <c r="T672" s="1"/>
      <c r="U672" s="1"/>
      <c r="V672" s="1"/>
      <c r="W672" s="1"/>
      <c r="X672" s="1"/>
      <c r="Y672" s="1"/>
      <c r="Z672" s="1"/>
    </row>
    <row r="673" spans="1:26" ht="19.5" customHeight="1">
      <c r="A673" s="1"/>
      <c r="B673" s="2"/>
      <c r="C673" s="1"/>
      <c r="D673" s="1"/>
      <c r="E673" s="2"/>
      <c r="F673" s="1"/>
      <c r="G673" s="1"/>
      <c r="H673" s="1"/>
      <c r="I673" s="1"/>
      <c r="J673" s="1"/>
      <c r="K673" s="1"/>
      <c r="L673" s="1"/>
      <c r="M673" s="1"/>
      <c r="N673" s="1"/>
      <c r="O673" s="1"/>
      <c r="P673" s="1"/>
      <c r="Q673" s="1"/>
      <c r="R673" s="1"/>
      <c r="S673" s="1"/>
      <c r="T673" s="1"/>
      <c r="U673" s="1"/>
      <c r="V673" s="1"/>
      <c r="W673" s="1"/>
      <c r="X673" s="1"/>
      <c r="Y673" s="1"/>
      <c r="Z673" s="1"/>
    </row>
    <row r="674" spans="1:26" ht="19.5" customHeight="1">
      <c r="A674" s="1"/>
      <c r="B674" s="2"/>
      <c r="C674" s="1"/>
      <c r="D674" s="1"/>
      <c r="E674" s="2"/>
      <c r="F674" s="1"/>
      <c r="G674" s="1"/>
      <c r="H674" s="1"/>
      <c r="I674" s="1"/>
      <c r="J674" s="1"/>
      <c r="K674" s="1"/>
      <c r="L674" s="1"/>
      <c r="M674" s="1"/>
      <c r="N674" s="1"/>
      <c r="O674" s="1"/>
      <c r="P674" s="1"/>
      <c r="Q674" s="1"/>
      <c r="R674" s="1"/>
      <c r="S674" s="1"/>
      <c r="T674" s="1"/>
      <c r="U674" s="1"/>
      <c r="V674" s="1"/>
      <c r="W674" s="1"/>
      <c r="X674" s="1"/>
      <c r="Y674" s="1"/>
      <c r="Z674" s="1"/>
    </row>
    <row r="675" spans="1:26" ht="19.5" customHeight="1">
      <c r="A675" s="1"/>
      <c r="B675" s="2"/>
      <c r="C675" s="1"/>
      <c r="D675" s="1"/>
      <c r="E675" s="2"/>
      <c r="F675" s="1"/>
      <c r="G675" s="1"/>
      <c r="H675" s="1"/>
      <c r="I675" s="1"/>
      <c r="J675" s="1"/>
      <c r="K675" s="1"/>
      <c r="L675" s="1"/>
      <c r="M675" s="1"/>
      <c r="N675" s="1"/>
      <c r="O675" s="1"/>
      <c r="P675" s="1"/>
      <c r="Q675" s="1"/>
      <c r="R675" s="1"/>
      <c r="S675" s="1"/>
      <c r="T675" s="1"/>
      <c r="U675" s="1"/>
      <c r="V675" s="1"/>
      <c r="W675" s="1"/>
      <c r="X675" s="1"/>
      <c r="Y675" s="1"/>
      <c r="Z675" s="1"/>
    </row>
    <row r="676" spans="1:26" ht="19.5" customHeight="1">
      <c r="A676" s="1"/>
      <c r="B676" s="2"/>
      <c r="C676" s="1"/>
      <c r="D676" s="1"/>
      <c r="E676" s="2"/>
      <c r="F676" s="1"/>
      <c r="G676" s="1"/>
      <c r="H676" s="1"/>
      <c r="I676" s="1"/>
      <c r="J676" s="1"/>
      <c r="K676" s="1"/>
      <c r="L676" s="1"/>
      <c r="M676" s="1"/>
      <c r="N676" s="1"/>
      <c r="O676" s="1"/>
      <c r="P676" s="1"/>
      <c r="Q676" s="1"/>
      <c r="R676" s="1"/>
      <c r="S676" s="1"/>
      <c r="T676" s="1"/>
      <c r="U676" s="1"/>
      <c r="V676" s="1"/>
      <c r="W676" s="1"/>
      <c r="X676" s="1"/>
      <c r="Y676" s="1"/>
      <c r="Z676" s="1"/>
    </row>
    <row r="677" spans="1:26" ht="19.5" customHeight="1">
      <c r="A677" s="1"/>
      <c r="B677" s="2"/>
      <c r="C677" s="1"/>
      <c r="D677" s="1"/>
      <c r="E677" s="2"/>
      <c r="F677" s="1"/>
      <c r="G677" s="1"/>
      <c r="H677" s="1"/>
      <c r="I677" s="1"/>
      <c r="J677" s="1"/>
      <c r="K677" s="1"/>
      <c r="L677" s="1"/>
      <c r="M677" s="1"/>
      <c r="N677" s="1"/>
      <c r="O677" s="1"/>
      <c r="P677" s="1"/>
      <c r="Q677" s="1"/>
      <c r="R677" s="1"/>
      <c r="S677" s="1"/>
      <c r="T677" s="1"/>
      <c r="U677" s="1"/>
      <c r="V677" s="1"/>
      <c r="W677" s="1"/>
      <c r="X677" s="1"/>
      <c r="Y677" s="1"/>
      <c r="Z677" s="1"/>
    </row>
    <row r="678" spans="1:26" ht="19.5" customHeight="1">
      <c r="A678" s="1"/>
      <c r="B678" s="2"/>
      <c r="C678" s="1"/>
      <c r="D678" s="1"/>
      <c r="E678" s="2"/>
      <c r="F678" s="1"/>
      <c r="G678" s="1"/>
      <c r="H678" s="1"/>
      <c r="I678" s="1"/>
      <c r="J678" s="1"/>
      <c r="K678" s="1"/>
      <c r="L678" s="1"/>
      <c r="M678" s="1"/>
      <c r="N678" s="1"/>
      <c r="O678" s="1"/>
      <c r="P678" s="1"/>
      <c r="Q678" s="1"/>
      <c r="R678" s="1"/>
      <c r="S678" s="1"/>
      <c r="T678" s="1"/>
      <c r="U678" s="1"/>
      <c r="V678" s="1"/>
      <c r="W678" s="1"/>
      <c r="X678" s="1"/>
      <c r="Y678" s="1"/>
      <c r="Z678" s="1"/>
    </row>
    <row r="679" spans="1:26" ht="19.5" customHeight="1">
      <c r="A679" s="1"/>
      <c r="B679" s="2"/>
      <c r="C679" s="1"/>
      <c r="D679" s="1"/>
      <c r="E679" s="2"/>
      <c r="F679" s="1"/>
      <c r="G679" s="1"/>
      <c r="H679" s="1"/>
      <c r="I679" s="1"/>
      <c r="J679" s="1"/>
      <c r="K679" s="1"/>
      <c r="L679" s="1"/>
      <c r="M679" s="1"/>
      <c r="N679" s="1"/>
      <c r="O679" s="1"/>
      <c r="P679" s="1"/>
      <c r="Q679" s="1"/>
      <c r="R679" s="1"/>
      <c r="S679" s="1"/>
      <c r="T679" s="1"/>
      <c r="U679" s="1"/>
      <c r="V679" s="1"/>
      <c r="W679" s="1"/>
      <c r="X679" s="1"/>
      <c r="Y679" s="1"/>
      <c r="Z679" s="1"/>
    </row>
    <row r="680" spans="1:26" ht="19.5" customHeight="1">
      <c r="A680" s="1"/>
      <c r="B680" s="2"/>
      <c r="C680" s="1"/>
      <c r="D680" s="1"/>
      <c r="E680" s="2"/>
      <c r="F680" s="1"/>
      <c r="G680" s="1"/>
      <c r="H680" s="1"/>
      <c r="I680" s="1"/>
      <c r="J680" s="1"/>
      <c r="K680" s="1"/>
      <c r="L680" s="1"/>
      <c r="M680" s="1"/>
      <c r="N680" s="1"/>
      <c r="O680" s="1"/>
      <c r="P680" s="1"/>
      <c r="Q680" s="1"/>
      <c r="R680" s="1"/>
      <c r="S680" s="1"/>
      <c r="T680" s="1"/>
      <c r="U680" s="1"/>
      <c r="V680" s="1"/>
      <c r="W680" s="1"/>
      <c r="X680" s="1"/>
      <c r="Y680" s="1"/>
      <c r="Z680" s="1"/>
    </row>
    <row r="681" spans="1:26" ht="19.5" customHeight="1">
      <c r="A681" s="1"/>
      <c r="B681" s="2"/>
      <c r="C681" s="1"/>
      <c r="D681" s="1"/>
      <c r="E681" s="2"/>
      <c r="F681" s="1"/>
      <c r="G681" s="1"/>
      <c r="H681" s="1"/>
      <c r="I681" s="1"/>
      <c r="J681" s="1"/>
      <c r="K681" s="1"/>
      <c r="L681" s="1"/>
      <c r="M681" s="1"/>
      <c r="N681" s="1"/>
      <c r="O681" s="1"/>
      <c r="P681" s="1"/>
      <c r="Q681" s="1"/>
      <c r="R681" s="1"/>
      <c r="S681" s="1"/>
      <c r="T681" s="1"/>
      <c r="U681" s="1"/>
      <c r="V681" s="1"/>
      <c r="W681" s="1"/>
      <c r="X681" s="1"/>
      <c r="Y681" s="1"/>
      <c r="Z681" s="1"/>
    </row>
    <row r="682" spans="1:26" ht="19.5" customHeight="1">
      <c r="A682" s="1"/>
      <c r="B682" s="2"/>
      <c r="C682" s="1"/>
      <c r="D682" s="1"/>
      <c r="E682" s="2"/>
      <c r="F682" s="1"/>
      <c r="G682" s="1"/>
      <c r="H682" s="1"/>
      <c r="I682" s="1"/>
      <c r="J682" s="1"/>
      <c r="K682" s="1"/>
      <c r="L682" s="1"/>
      <c r="M682" s="1"/>
      <c r="N682" s="1"/>
      <c r="O682" s="1"/>
      <c r="P682" s="1"/>
      <c r="Q682" s="1"/>
      <c r="R682" s="1"/>
      <c r="S682" s="1"/>
      <c r="T682" s="1"/>
      <c r="U682" s="1"/>
      <c r="V682" s="1"/>
      <c r="W682" s="1"/>
      <c r="X682" s="1"/>
      <c r="Y682" s="1"/>
      <c r="Z682" s="1"/>
    </row>
    <row r="683" spans="1:26" ht="19.5" customHeight="1">
      <c r="A683" s="1"/>
      <c r="B683" s="2"/>
      <c r="C683" s="1"/>
      <c r="D683" s="1"/>
      <c r="E683" s="2"/>
      <c r="F683" s="1"/>
      <c r="G683" s="1"/>
      <c r="H683" s="1"/>
      <c r="I683" s="1"/>
      <c r="J683" s="1"/>
      <c r="K683" s="1"/>
      <c r="L683" s="1"/>
      <c r="M683" s="1"/>
      <c r="N683" s="1"/>
      <c r="O683" s="1"/>
      <c r="P683" s="1"/>
      <c r="Q683" s="1"/>
      <c r="R683" s="1"/>
      <c r="S683" s="1"/>
      <c r="T683" s="1"/>
      <c r="U683" s="1"/>
      <c r="V683" s="1"/>
      <c r="W683" s="1"/>
      <c r="X683" s="1"/>
      <c r="Y683" s="1"/>
      <c r="Z683" s="1"/>
    </row>
    <row r="684" spans="1:26" ht="19.5" customHeight="1">
      <c r="A684" s="1"/>
      <c r="B684" s="2"/>
      <c r="C684" s="1"/>
      <c r="D684" s="1"/>
      <c r="E684" s="2"/>
      <c r="F684" s="1"/>
      <c r="G684" s="1"/>
      <c r="H684" s="1"/>
      <c r="I684" s="1"/>
      <c r="J684" s="1"/>
      <c r="K684" s="1"/>
      <c r="L684" s="1"/>
      <c r="M684" s="1"/>
      <c r="N684" s="1"/>
      <c r="O684" s="1"/>
      <c r="P684" s="1"/>
      <c r="Q684" s="1"/>
      <c r="R684" s="1"/>
      <c r="S684" s="1"/>
      <c r="T684" s="1"/>
      <c r="U684" s="1"/>
      <c r="V684" s="1"/>
      <c r="W684" s="1"/>
      <c r="X684" s="1"/>
      <c r="Y684" s="1"/>
      <c r="Z684" s="1"/>
    </row>
    <row r="685" spans="1:26" ht="19.5" customHeight="1">
      <c r="A685" s="1"/>
      <c r="B685" s="2"/>
      <c r="C685" s="1"/>
      <c r="D685" s="1"/>
      <c r="E685" s="2"/>
      <c r="F685" s="1"/>
      <c r="G685" s="1"/>
      <c r="H685" s="1"/>
      <c r="I685" s="1"/>
      <c r="J685" s="1"/>
      <c r="K685" s="1"/>
      <c r="L685" s="1"/>
      <c r="M685" s="1"/>
      <c r="N685" s="1"/>
      <c r="O685" s="1"/>
      <c r="P685" s="1"/>
      <c r="Q685" s="1"/>
      <c r="R685" s="1"/>
      <c r="S685" s="1"/>
      <c r="T685" s="1"/>
      <c r="U685" s="1"/>
      <c r="V685" s="1"/>
      <c r="W685" s="1"/>
      <c r="X685" s="1"/>
      <c r="Y685" s="1"/>
      <c r="Z685" s="1"/>
    </row>
    <row r="686" spans="1:26" ht="19.5" customHeight="1">
      <c r="A686" s="1"/>
      <c r="B686" s="2"/>
      <c r="C686" s="1"/>
      <c r="D686" s="1"/>
      <c r="E686" s="2"/>
      <c r="F686" s="1"/>
      <c r="G686" s="1"/>
      <c r="H686" s="1"/>
      <c r="I686" s="1"/>
      <c r="J686" s="1"/>
      <c r="K686" s="1"/>
      <c r="L686" s="1"/>
      <c r="M686" s="1"/>
      <c r="N686" s="1"/>
      <c r="O686" s="1"/>
      <c r="P686" s="1"/>
      <c r="Q686" s="1"/>
      <c r="R686" s="1"/>
      <c r="S686" s="1"/>
      <c r="T686" s="1"/>
      <c r="U686" s="1"/>
      <c r="V686" s="1"/>
      <c r="W686" s="1"/>
      <c r="X686" s="1"/>
      <c r="Y686" s="1"/>
      <c r="Z686" s="1"/>
    </row>
    <row r="687" spans="1:26" ht="19.5" customHeight="1">
      <c r="A687" s="1"/>
      <c r="B687" s="2"/>
      <c r="C687" s="1"/>
      <c r="D687" s="1"/>
      <c r="E687" s="2"/>
      <c r="F687" s="1"/>
      <c r="G687" s="1"/>
      <c r="H687" s="1"/>
      <c r="I687" s="1"/>
      <c r="J687" s="1"/>
      <c r="K687" s="1"/>
      <c r="L687" s="1"/>
      <c r="M687" s="1"/>
      <c r="N687" s="1"/>
      <c r="O687" s="1"/>
      <c r="P687" s="1"/>
      <c r="Q687" s="1"/>
      <c r="R687" s="1"/>
      <c r="S687" s="1"/>
      <c r="T687" s="1"/>
      <c r="U687" s="1"/>
      <c r="V687" s="1"/>
      <c r="W687" s="1"/>
      <c r="X687" s="1"/>
      <c r="Y687" s="1"/>
      <c r="Z687" s="1"/>
    </row>
    <row r="688" spans="1:26" ht="19.5" customHeight="1">
      <c r="A688" s="1"/>
      <c r="B688" s="2"/>
      <c r="C688" s="1"/>
      <c r="D688" s="1"/>
      <c r="E688" s="2"/>
      <c r="F688" s="1"/>
      <c r="G688" s="1"/>
      <c r="H688" s="1"/>
      <c r="I688" s="1"/>
      <c r="J688" s="1"/>
      <c r="K688" s="1"/>
      <c r="L688" s="1"/>
      <c r="M688" s="1"/>
      <c r="N688" s="1"/>
      <c r="O688" s="1"/>
      <c r="P688" s="1"/>
      <c r="Q688" s="1"/>
      <c r="R688" s="1"/>
      <c r="S688" s="1"/>
      <c r="T688" s="1"/>
      <c r="U688" s="1"/>
      <c r="V688" s="1"/>
      <c r="W688" s="1"/>
      <c r="X688" s="1"/>
      <c r="Y688" s="1"/>
      <c r="Z688" s="1"/>
    </row>
    <row r="689" spans="1:26" ht="19.5" customHeight="1">
      <c r="A689" s="1"/>
      <c r="B689" s="2"/>
      <c r="C689" s="1"/>
      <c r="D689" s="1"/>
      <c r="E689" s="2"/>
      <c r="F689" s="1"/>
      <c r="G689" s="1"/>
      <c r="H689" s="1"/>
      <c r="I689" s="1"/>
      <c r="J689" s="1"/>
      <c r="K689" s="1"/>
      <c r="L689" s="1"/>
      <c r="M689" s="1"/>
      <c r="N689" s="1"/>
      <c r="O689" s="1"/>
      <c r="P689" s="1"/>
      <c r="Q689" s="1"/>
      <c r="R689" s="1"/>
      <c r="S689" s="1"/>
      <c r="T689" s="1"/>
      <c r="U689" s="1"/>
      <c r="V689" s="1"/>
      <c r="W689" s="1"/>
      <c r="X689" s="1"/>
      <c r="Y689" s="1"/>
      <c r="Z689" s="1"/>
    </row>
    <row r="690" spans="1:26" ht="19.5" customHeight="1">
      <c r="A690" s="1"/>
      <c r="B690" s="2"/>
      <c r="C690" s="1"/>
      <c r="D690" s="1"/>
      <c r="E690" s="2"/>
      <c r="F690" s="1"/>
      <c r="G690" s="1"/>
      <c r="H690" s="1"/>
      <c r="I690" s="1"/>
      <c r="J690" s="1"/>
      <c r="K690" s="1"/>
      <c r="L690" s="1"/>
      <c r="M690" s="1"/>
      <c r="N690" s="1"/>
      <c r="O690" s="1"/>
      <c r="P690" s="1"/>
      <c r="Q690" s="1"/>
      <c r="R690" s="1"/>
      <c r="S690" s="1"/>
      <c r="T690" s="1"/>
      <c r="U690" s="1"/>
      <c r="V690" s="1"/>
      <c r="W690" s="1"/>
      <c r="X690" s="1"/>
      <c r="Y690" s="1"/>
      <c r="Z690" s="1"/>
    </row>
    <row r="691" spans="1:26" ht="19.5" customHeight="1">
      <c r="A691" s="1"/>
      <c r="B691" s="2"/>
      <c r="C691" s="1"/>
      <c r="D691" s="1"/>
      <c r="E691" s="2"/>
      <c r="F691" s="1"/>
      <c r="G691" s="1"/>
      <c r="H691" s="1"/>
      <c r="I691" s="1"/>
      <c r="J691" s="1"/>
      <c r="K691" s="1"/>
      <c r="L691" s="1"/>
      <c r="M691" s="1"/>
      <c r="N691" s="1"/>
      <c r="O691" s="1"/>
      <c r="P691" s="1"/>
      <c r="Q691" s="1"/>
      <c r="R691" s="1"/>
      <c r="S691" s="1"/>
      <c r="T691" s="1"/>
      <c r="U691" s="1"/>
      <c r="V691" s="1"/>
      <c r="W691" s="1"/>
      <c r="X691" s="1"/>
      <c r="Y691" s="1"/>
      <c r="Z691" s="1"/>
    </row>
    <row r="692" spans="1:26" ht="19.5" customHeight="1">
      <c r="A692" s="1"/>
      <c r="B692" s="2"/>
      <c r="C692" s="1"/>
      <c r="D692" s="1"/>
      <c r="E692" s="2"/>
      <c r="F692" s="1"/>
      <c r="G692" s="1"/>
      <c r="H692" s="1"/>
      <c r="I692" s="1"/>
      <c r="J692" s="1"/>
      <c r="K692" s="1"/>
      <c r="L692" s="1"/>
      <c r="M692" s="1"/>
      <c r="N692" s="1"/>
      <c r="O692" s="1"/>
      <c r="P692" s="1"/>
      <c r="Q692" s="1"/>
      <c r="R692" s="1"/>
      <c r="S692" s="1"/>
      <c r="T692" s="1"/>
      <c r="U692" s="1"/>
      <c r="V692" s="1"/>
      <c r="W692" s="1"/>
      <c r="X692" s="1"/>
      <c r="Y692" s="1"/>
      <c r="Z692" s="1"/>
    </row>
    <row r="693" spans="1:26" ht="19.5" customHeight="1">
      <c r="A693" s="1"/>
      <c r="B693" s="2"/>
      <c r="C693" s="1"/>
      <c r="D693" s="1"/>
      <c r="E693" s="2"/>
      <c r="F693" s="1"/>
      <c r="G693" s="1"/>
      <c r="H693" s="1"/>
      <c r="I693" s="1"/>
      <c r="J693" s="1"/>
      <c r="K693" s="1"/>
      <c r="L693" s="1"/>
      <c r="M693" s="1"/>
      <c r="N693" s="1"/>
      <c r="O693" s="1"/>
      <c r="P693" s="1"/>
      <c r="Q693" s="1"/>
      <c r="R693" s="1"/>
      <c r="S693" s="1"/>
      <c r="T693" s="1"/>
      <c r="U693" s="1"/>
      <c r="V693" s="1"/>
      <c r="W693" s="1"/>
      <c r="X693" s="1"/>
      <c r="Y693" s="1"/>
      <c r="Z693" s="1"/>
    </row>
    <row r="694" spans="1:26" ht="19.5" customHeight="1">
      <c r="A694" s="1"/>
      <c r="B694" s="2"/>
      <c r="C694" s="1"/>
      <c r="D694" s="1"/>
      <c r="E694" s="2"/>
      <c r="F694" s="1"/>
      <c r="G694" s="1"/>
      <c r="H694" s="1"/>
      <c r="I694" s="1"/>
      <c r="J694" s="1"/>
      <c r="K694" s="1"/>
      <c r="L694" s="1"/>
      <c r="M694" s="1"/>
      <c r="N694" s="1"/>
      <c r="O694" s="1"/>
      <c r="P694" s="1"/>
      <c r="Q694" s="1"/>
      <c r="R694" s="1"/>
      <c r="S694" s="1"/>
      <c r="T694" s="1"/>
      <c r="U694" s="1"/>
      <c r="V694" s="1"/>
      <c r="W694" s="1"/>
      <c r="X694" s="1"/>
      <c r="Y694" s="1"/>
      <c r="Z694" s="1"/>
    </row>
    <row r="695" spans="1:26" ht="19.5" customHeight="1">
      <c r="A695" s="1"/>
      <c r="B695" s="2"/>
      <c r="C695" s="1"/>
      <c r="D695" s="1"/>
      <c r="E695" s="2"/>
      <c r="F695" s="1"/>
      <c r="G695" s="1"/>
      <c r="H695" s="1"/>
      <c r="I695" s="1"/>
      <c r="J695" s="1"/>
      <c r="K695" s="1"/>
      <c r="L695" s="1"/>
      <c r="M695" s="1"/>
      <c r="N695" s="1"/>
      <c r="O695" s="1"/>
      <c r="P695" s="1"/>
      <c r="Q695" s="1"/>
      <c r="R695" s="1"/>
      <c r="S695" s="1"/>
      <c r="T695" s="1"/>
      <c r="U695" s="1"/>
      <c r="V695" s="1"/>
      <c r="W695" s="1"/>
      <c r="X695" s="1"/>
      <c r="Y695" s="1"/>
      <c r="Z695" s="1"/>
    </row>
    <row r="696" spans="1:26" ht="19.5" customHeight="1">
      <c r="A696" s="1"/>
      <c r="B696" s="2"/>
      <c r="C696" s="1"/>
      <c r="D696" s="1"/>
      <c r="E696" s="2"/>
      <c r="F696" s="1"/>
      <c r="G696" s="1"/>
      <c r="H696" s="1"/>
      <c r="I696" s="1"/>
      <c r="J696" s="1"/>
      <c r="K696" s="1"/>
      <c r="L696" s="1"/>
      <c r="M696" s="1"/>
      <c r="N696" s="1"/>
      <c r="O696" s="1"/>
      <c r="P696" s="1"/>
      <c r="Q696" s="1"/>
      <c r="R696" s="1"/>
      <c r="S696" s="1"/>
      <c r="T696" s="1"/>
      <c r="U696" s="1"/>
      <c r="V696" s="1"/>
      <c r="W696" s="1"/>
      <c r="X696" s="1"/>
      <c r="Y696" s="1"/>
      <c r="Z696" s="1"/>
    </row>
    <row r="697" spans="1:26" ht="19.5" customHeight="1">
      <c r="A697" s="1"/>
      <c r="B697" s="2"/>
      <c r="C697" s="1"/>
      <c r="D697" s="1"/>
      <c r="E697" s="2"/>
      <c r="F697" s="1"/>
      <c r="G697" s="1"/>
      <c r="H697" s="1"/>
      <c r="I697" s="1"/>
      <c r="J697" s="1"/>
      <c r="K697" s="1"/>
      <c r="L697" s="1"/>
      <c r="M697" s="1"/>
      <c r="N697" s="1"/>
      <c r="O697" s="1"/>
      <c r="P697" s="1"/>
      <c r="Q697" s="1"/>
      <c r="R697" s="1"/>
      <c r="S697" s="1"/>
      <c r="T697" s="1"/>
      <c r="U697" s="1"/>
      <c r="V697" s="1"/>
      <c r="W697" s="1"/>
      <c r="X697" s="1"/>
      <c r="Y697" s="1"/>
      <c r="Z697" s="1"/>
    </row>
    <row r="698" spans="1:26" ht="19.5" customHeight="1">
      <c r="A698" s="1"/>
      <c r="B698" s="2"/>
      <c r="C698" s="1"/>
      <c r="D698" s="1"/>
      <c r="E698" s="2"/>
      <c r="F698" s="1"/>
      <c r="G698" s="1"/>
      <c r="H698" s="1"/>
      <c r="I698" s="1"/>
      <c r="J698" s="1"/>
      <c r="K698" s="1"/>
      <c r="L698" s="1"/>
      <c r="M698" s="1"/>
      <c r="N698" s="1"/>
      <c r="O698" s="1"/>
      <c r="P698" s="1"/>
      <c r="Q698" s="1"/>
      <c r="R698" s="1"/>
      <c r="S698" s="1"/>
      <c r="T698" s="1"/>
      <c r="U698" s="1"/>
      <c r="V698" s="1"/>
      <c r="W698" s="1"/>
      <c r="X698" s="1"/>
      <c r="Y698" s="1"/>
      <c r="Z698" s="1"/>
    </row>
    <row r="699" spans="1:26" ht="19.5" customHeight="1">
      <c r="A699" s="1"/>
      <c r="B699" s="2"/>
      <c r="C699" s="1"/>
      <c r="D699" s="1"/>
      <c r="E699" s="2"/>
      <c r="F699" s="1"/>
      <c r="G699" s="1"/>
      <c r="H699" s="1"/>
      <c r="I699" s="1"/>
      <c r="J699" s="1"/>
      <c r="K699" s="1"/>
      <c r="L699" s="1"/>
      <c r="M699" s="1"/>
      <c r="N699" s="1"/>
      <c r="O699" s="1"/>
      <c r="P699" s="1"/>
      <c r="Q699" s="1"/>
      <c r="R699" s="1"/>
      <c r="S699" s="1"/>
      <c r="T699" s="1"/>
      <c r="U699" s="1"/>
      <c r="V699" s="1"/>
      <c r="W699" s="1"/>
      <c r="X699" s="1"/>
      <c r="Y699" s="1"/>
      <c r="Z699" s="1"/>
    </row>
    <row r="700" spans="1:26" ht="19.5" customHeight="1">
      <c r="A700" s="1"/>
      <c r="B700" s="2"/>
      <c r="C700" s="1"/>
      <c r="D700" s="1"/>
      <c r="E700" s="2"/>
      <c r="F700" s="1"/>
      <c r="G700" s="1"/>
      <c r="H700" s="1"/>
      <c r="I700" s="1"/>
      <c r="J700" s="1"/>
      <c r="K700" s="1"/>
      <c r="L700" s="1"/>
      <c r="M700" s="1"/>
      <c r="N700" s="1"/>
      <c r="O700" s="1"/>
      <c r="P700" s="1"/>
      <c r="Q700" s="1"/>
      <c r="R700" s="1"/>
      <c r="S700" s="1"/>
      <c r="T700" s="1"/>
      <c r="U700" s="1"/>
      <c r="V700" s="1"/>
      <c r="W700" s="1"/>
      <c r="X700" s="1"/>
      <c r="Y700" s="1"/>
      <c r="Z700" s="1"/>
    </row>
    <row r="701" spans="1:26" ht="19.5" customHeight="1">
      <c r="A701" s="1"/>
      <c r="B701" s="2"/>
      <c r="C701" s="1"/>
      <c r="D701" s="1"/>
      <c r="E701" s="2"/>
      <c r="F701" s="1"/>
      <c r="G701" s="1"/>
      <c r="H701" s="1"/>
      <c r="I701" s="1"/>
      <c r="J701" s="1"/>
      <c r="K701" s="1"/>
      <c r="L701" s="1"/>
      <c r="M701" s="1"/>
      <c r="N701" s="1"/>
      <c r="O701" s="1"/>
      <c r="P701" s="1"/>
      <c r="Q701" s="1"/>
      <c r="R701" s="1"/>
      <c r="S701" s="1"/>
      <c r="T701" s="1"/>
      <c r="U701" s="1"/>
      <c r="V701" s="1"/>
      <c r="W701" s="1"/>
      <c r="X701" s="1"/>
      <c r="Y701" s="1"/>
      <c r="Z701" s="1"/>
    </row>
    <row r="702" spans="1:26" ht="19.5" customHeight="1">
      <c r="A702" s="1"/>
      <c r="B702" s="2"/>
      <c r="C702" s="1"/>
      <c r="D702" s="1"/>
      <c r="E702" s="2"/>
      <c r="F702" s="1"/>
      <c r="G702" s="1"/>
      <c r="H702" s="1"/>
      <c r="I702" s="1"/>
      <c r="J702" s="1"/>
      <c r="K702" s="1"/>
      <c r="L702" s="1"/>
      <c r="M702" s="1"/>
      <c r="N702" s="1"/>
      <c r="O702" s="1"/>
      <c r="P702" s="1"/>
      <c r="Q702" s="1"/>
      <c r="R702" s="1"/>
      <c r="S702" s="1"/>
      <c r="T702" s="1"/>
      <c r="U702" s="1"/>
      <c r="V702" s="1"/>
      <c r="W702" s="1"/>
      <c r="X702" s="1"/>
      <c r="Y702" s="1"/>
      <c r="Z702" s="1"/>
    </row>
    <row r="703" spans="1:26" ht="19.5" customHeight="1">
      <c r="A703" s="1"/>
      <c r="B703" s="2"/>
      <c r="C703" s="1"/>
      <c r="D703" s="1"/>
      <c r="E703" s="2"/>
      <c r="F703" s="1"/>
      <c r="G703" s="1"/>
      <c r="H703" s="1"/>
      <c r="I703" s="1"/>
      <c r="J703" s="1"/>
      <c r="K703" s="1"/>
      <c r="L703" s="1"/>
      <c r="M703" s="1"/>
      <c r="N703" s="1"/>
      <c r="O703" s="1"/>
      <c r="P703" s="1"/>
      <c r="Q703" s="1"/>
      <c r="R703" s="1"/>
      <c r="S703" s="1"/>
      <c r="T703" s="1"/>
      <c r="U703" s="1"/>
      <c r="V703" s="1"/>
      <c r="W703" s="1"/>
      <c r="X703" s="1"/>
      <c r="Y703" s="1"/>
      <c r="Z703" s="1"/>
    </row>
    <row r="704" spans="1:26" ht="19.5" customHeight="1">
      <c r="A704" s="1"/>
      <c r="B704" s="2"/>
      <c r="C704" s="1"/>
      <c r="D704" s="1"/>
      <c r="E704" s="2"/>
      <c r="F704" s="1"/>
      <c r="G704" s="1"/>
      <c r="H704" s="1"/>
      <c r="I704" s="1"/>
      <c r="J704" s="1"/>
      <c r="K704" s="1"/>
      <c r="L704" s="1"/>
      <c r="M704" s="1"/>
      <c r="N704" s="1"/>
      <c r="O704" s="1"/>
      <c r="P704" s="1"/>
      <c r="Q704" s="1"/>
      <c r="R704" s="1"/>
      <c r="S704" s="1"/>
      <c r="T704" s="1"/>
      <c r="U704" s="1"/>
      <c r="V704" s="1"/>
      <c r="W704" s="1"/>
      <c r="X704" s="1"/>
      <c r="Y704" s="1"/>
      <c r="Z704" s="1"/>
    </row>
    <row r="705" spans="1:26" ht="19.5" customHeight="1">
      <c r="A705" s="1"/>
      <c r="B705" s="2"/>
      <c r="C705" s="1"/>
      <c r="D705" s="1"/>
      <c r="E705" s="2"/>
      <c r="F705" s="1"/>
      <c r="G705" s="1"/>
      <c r="H705" s="1"/>
      <c r="I705" s="1"/>
      <c r="J705" s="1"/>
      <c r="K705" s="1"/>
      <c r="L705" s="1"/>
      <c r="M705" s="1"/>
      <c r="N705" s="1"/>
      <c r="O705" s="1"/>
      <c r="P705" s="1"/>
      <c r="Q705" s="1"/>
      <c r="R705" s="1"/>
      <c r="S705" s="1"/>
      <c r="T705" s="1"/>
      <c r="U705" s="1"/>
      <c r="V705" s="1"/>
      <c r="W705" s="1"/>
      <c r="X705" s="1"/>
      <c r="Y705" s="1"/>
      <c r="Z705" s="1"/>
    </row>
    <row r="706" spans="1:26" ht="19.5" customHeight="1">
      <c r="A706" s="1"/>
      <c r="B706" s="2"/>
      <c r="C706" s="1"/>
      <c r="D706" s="1"/>
      <c r="E706" s="2"/>
      <c r="F706" s="1"/>
      <c r="G706" s="1"/>
      <c r="H706" s="1"/>
      <c r="I706" s="1"/>
      <c r="J706" s="1"/>
      <c r="K706" s="1"/>
      <c r="L706" s="1"/>
      <c r="M706" s="1"/>
      <c r="N706" s="1"/>
      <c r="O706" s="1"/>
      <c r="P706" s="1"/>
      <c r="Q706" s="1"/>
      <c r="R706" s="1"/>
      <c r="S706" s="1"/>
      <c r="T706" s="1"/>
      <c r="U706" s="1"/>
      <c r="V706" s="1"/>
      <c r="W706" s="1"/>
      <c r="X706" s="1"/>
      <c r="Y706" s="1"/>
      <c r="Z706" s="1"/>
    </row>
    <row r="707" spans="1:26" ht="19.5" customHeight="1">
      <c r="A707" s="1"/>
      <c r="B707" s="2"/>
      <c r="C707" s="1"/>
      <c r="D707" s="1"/>
      <c r="E707" s="2"/>
      <c r="F707" s="1"/>
      <c r="G707" s="1"/>
      <c r="H707" s="1"/>
      <c r="I707" s="1"/>
      <c r="J707" s="1"/>
      <c r="K707" s="1"/>
      <c r="L707" s="1"/>
      <c r="M707" s="1"/>
      <c r="N707" s="1"/>
      <c r="O707" s="1"/>
      <c r="P707" s="1"/>
      <c r="Q707" s="1"/>
      <c r="R707" s="1"/>
      <c r="S707" s="1"/>
      <c r="T707" s="1"/>
      <c r="U707" s="1"/>
      <c r="V707" s="1"/>
      <c r="W707" s="1"/>
      <c r="X707" s="1"/>
      <c r="Y707" s="1"/>
      <c r="Z707" s="1"/>
    </row>
    <row r="708" spans="1:26" ht="19.5" customHeight="1">
      <c r="A708" s="1"/>
      <c r="B708" s="2"/>
      <c r="C708" s="1"/>
      <c r="D708" s="1"/>
      <c r="E708" s="2"/>
      <c r="F708" s="1"/>
      <c r="G708" s="1"/>
      <c r="H708" s="1"/>
      <c r="I708" s="1"/>
      <c r="J708" s="1"/>
      <c r="K708" s="1"/>
      <c r="L708" s="1"/>
      <c r="M708" s="1"/>
      <c r="N708" s="1"/>
      <c r="O708" s="1"/>
      <c r="P708" s="1"/>
      <c r="Q708" s="1"/>
      <c r="R708" s="1"/>
      <c r="S708" s="1"/>
      <c r="T708" s="1"/>
      <c r="U708" s="1"/>
      <c r="V708" s="1"/>
      <c r="W708" s="1"/>
      <c r="X708" s="1"/>
      <c r="Y708" s="1"/>
      <c r="Z708" s="1"/>
    </row>
    <row r="709" spans="1:26" ht="19.5" customHeight="1">
      <c r="A709" s="1"/>
      <c r="B709" s="2"/>
      <c r="C709" s="1"/>
      <c r="D709" s="1"/>
      <c r="E709" s="2"/>
      <c r="F709" s="1"/>
      <c r="G709" s="1"/>
      <c r="H709" s="1"/>
      <c r="I709" s="1"/>
      <c r="J709" s="1"/>
      <c r="K709" s="1"/>
      <c r="L709" s="1"/>
      <c r="M709" s="1"/>
      <c r="N709" s="1"/>
      <c r="O709" s="1"/>
      <c r="P709" s="1"/>
      <c r="Q709" s="1"/>
      <c r="R709" s="1"/>
      <c r="S709" s="1"/>
      <c r="T709" s="1"/>
      <c r="U709" s="1"/>
      <c r="V709" s="1"/>
      <c r="W709" s="1"/>
      <c r="X709" s="1"/>
      <c r="Y709" s="1"/>
      <c r="Z709" s="1"/>
    </row>
    <row r="710" spans="1:26" ht="19.5" customHeight="1">
      <c r="A710" s="1"/>
      <c r="B710" s="2"/>
      <c r="C710" s="1"/>
      <c r="D710" s="1"/>
      <c r="E710" s="2"/>
      <c r="F710" s="1"/>
      <c r="G710" s="1"/>
      <c r="H710" s="1"/>
      <c r="I710" s="1"/>
      <c r="J710" s="1"/>
      <c r="K710" s="1"/>
      <c r="L710" s="1"/>
      <c r="M710" s="1"/>
      <c r="N710" s="1"/>
      <c r="O710" s="1"/>
      <c r="P710" s="1"/>
      <c r="Q710" s="1"/>
      <c r="R710" s="1"/>
      <c r="S710" s="1"/>
      <c r="T710" s="1"/>
      <c r="U710" s="1"/>
      <c r="V710" s="1"/>
      <c r="W710" s="1"/>
      <c r="X710" s="1"/>
      <c r="Y710" s="1"/>
      <c r="Z710" s="1"/>
    </row>
    <row r="711" spans="1:26" ht="19.5" customHeight="1">
      <c r="A711" s="1"/>
      <c r="B711" s="2"/>
      <c r="C711" s="1"/>
      <c r="D711" s="1"/>
      <c r="E711" s="2"/>
      <c r="F711" s="1"/>
      <c r="G711" s="1"/>
      <c r="H711" s="1"/>
      <c r="I711" s="1"/>
      <c r="J711" s="1"/>
      <c r="K711" s="1"/>
      <c r="L711" s="1"/>
      <c r="M711" s="1"/>
      <c r="N711" s="1"/>
      <c r="O711" s="1"/>
      <c r="P711" s="1"/>
      <c r="Q711" s="1"/>
      <c r="R711" s="1"/>
      <c r="S711" s="1"/>
      <c r="T711" s="1"/>
      <c r="U711" s="1"/>
      <c r="V711" s="1"/>
      <c r="W711" s="1"/>
      <c r="X711" s="1"/>
      <c r="Y711" s="1"/>
      <c r="Z711" s="1"/>
    </row>
    <row r="712" spans="1:26" ht="19.5" customHeight="1">
      <c r="A712" s="1"/>
      <c r="B712" s="2"/>
      <c r="C712" s="1"/>
      <c r="D712" s="1"/>
      <c r="E712" s="2"/>
      <c r="F712" s="1"/>
      <c r="G712" s="1"/>
      <c r="H712" s="1"/>
      <c r="I712" s="1"/>
      <c r="J712" s="1"/>
      <c r="K712" s="1"/>
      <c r="L712" s="1"/>
      <c r="M712" s="1"/>
      <c r="N712" s="1"/>
      <c r="O712" s="1"/>
      <c r="P712" s="1"/>
      <c r="Q712" s="1"/>
      <c r="R712" s="1"/>
      <c r="S712" s="1"/>
      <c r="T712" s="1"/>
      <c r="U712" s="1"/>
      <c r="V712" s="1"/>
      <c r="W712" s="1"/>
      <c r="X712" s="1"/>
      <c r="Y712" s="1"/>
      <c r="Z712" s="1"/>
    </row>
    <row r="713" spans="1:26" ht="19.5" customHeight="1">
      <c r="A713" s="1"/>
      <c r="B713" s="2"/>
      <c r="C713" s="1"/>
      <c r="D713" s="1"/>
      <c r="E713" s="2"/>
      <c r="F713" s="1"/>
      <c r="G713" s="1"/>
      <c r="H713" s="1"/>
      <c r="I713" s="1"/>
      <c r="J713" s="1"/>
      <c r="K713" s="1"/>
      <c r="L713" s="1"/>
      <c r="M713" s="1"/>
      <c r="N713" s="1"/>
      <c r="O713" s="1"/>
      <c r="P713" s="1"/>
      <c r="Q713" s="1"/>
      <c r="R713" s="1"/>
      <c r="S713" s="1"/>
      <c r="T713" s="1"/>
      <c r="U713" s="1"/>
      <c r="V713" s="1"/>
      <c r="W713" s="1"/>
      <c r="X713" s="1"/>
      <c r="Y713" s="1"/>
      <c r="Z713" s="1"/>
    </row>
    <row r="714" spans="1:26" ht="19.5" customHeight="1">
      <c r="A714" s="1"/>
      <c r="B714" s="2"/>
      <c r="C714" s="1"/>
      <c r="D714" s="1"/>
      <c r="E714" s="2"/>
      <c r="F714" s="1"/>
      <c r="G714" s="1"/>
      <c r="H714" s="1"/>
      <c r="I714" s="1"/>
      <c r="J714" s="1"/>
      <c r="K714" s="1"/>
      <c r="L714" s="1"/>
      <c r="M714" s="1"/>
      <c r="N714" s="1"/>
      <c r="O714" s="1"/>
      <c r="P714" s="1"/>
      <c r="Q714" s="1"/>
      <c r="R714" s="1"/>
      <c r="S714" s="1"/>
      <c r="T714" s="1"/>
      <c r="U714" s="1"/>
      <c r="V714" s="1"/>
      <c r="W714" s="1"/>
      <c r="X714" s="1"/>
      <c r="Y714" s="1"/>
      <c r="Z714" s="1"/>
    </row>
    <row r="715" spans="1:26" ht="19.5" customHeight="1">
      <c r="A715" s="1"/>
      <c r="B715" s="2"/>
      <c r="C715" s="1"/>
      <c r="D715" s="1"/>
      <c r="E715" s="2"/>
      <c r="F715" s="1"/>
      <c r="G715" s="1"/>
      <c r="H715" s="1"/>
      <c r="I715" s="1"/>
      <c r="J715" s="1"/>
      <c r="K715" s="1"/>
      <c r="L715" s="1"/>
      <c r="M715" s="1"/>
      <c r="N715" s="1"/>
      <c r="O715" s="1"/>
      <c r="P715" s="1"/>
      <c r="Q715" s="1"/>
      <c r="R715" s="1"/>
      <c r="S715" s="1"/>
      <c r="T715" s="1"/>
      <c r="U715" s="1"/>
      <c r="V715" s="1"/>
      <c r="W715" s="1"/>
      <c r="X715" s="1"/>
      <c r="Y715" s="1"/>
      <c r="Z715" s="1"/>
    </row>
    <row r="716" spans="1:26" ht="19.5" customHeight="1">
      <c r="A716" s="1"/>
      <c r="B716" s="2"/>
      <c r="C716" s="1"/>
      <c r="D716" s="1"/>
      <c r="E716" s="2"/>
      <c r="F716" s="1"/>
      <c r="G716" s="1"/>
      <c r="H716" s="1"/>
      <c r="I716" s="1"/>
      <c r="J716" s="1"/>
      <c r="K716" s="1"/>
      <c r="L716" s="1"/>
      <c r="M716" s="1"/>
      <c r="N716" s="1"/>
      <c r="O716" s="1"/>
      <c r="P716" s="1"/>
      <c r="Q716" s="1"/>
      <c r="R716" s="1"/>
      <c r="S716" s="1"/>
      <c r="T716" s="1"/>
      <c r="U716" s="1"/>
      <c r="V716" s="1"/>
      <c r="W716" s="1"/>
      <c r="X716" s="1"/>
      <c r="Y716" s="1"/>
      <c r="Z716" s="1"/>
    </row>
    <row r="717" spans="1:26" ht="19.5" customHeight="1">
      <c r="A717" s="1"/>
      <c r="B717" s="2"/>
      <c r="C717" s="1"/>
      <c r="D717" s="1"/>
      <c r="E717" s="2"/>
      <c r="F717" s="1"/>
      <c r="G717" s="1"/>
      <c r="H717" s="1"/>
      <c r="I717" s="1"/>
      <c r="J717" s="1"/>
      <c r="K717" s="1"/>
      <c r="L717" s="1"/>
      <c r="M717" s="1"/>
      <c r="N717" s="1"/>
      <c r="O717" s="1"/>
      <c r="P717" s="1"/>
      <c r="Q717" s="1"/>
      <c r="R717" s="1"/>
      <c r="S717" s="1"/>
      <c r="T717" s="1"/>
      <c r="U717" s="1"/>
      <c r="V717" s="1"/>
      <c r="W717" s="1"/>
      <c r="X717" s="1"/>
      <c r="Y717" s="1"/>
      <c r="Z717" s="1"/>
    </row>
    <row r="718" spans="1:26" ht="19.5" customHeight="1">
      <c r="A718" s="1"/>
      <c r="B718" s="2"/>
      <c r="C718" s="1"/>
      <c r="D718" s="1"/>
      <c r="E718" s="2"/>
      <c r="F718" s="1"/>
      <c r="G718" s="1"/>
      <c r="H718" s="1"/>
      <c r="I718" s="1"/>
      <c r="J718" s="1"/>
      <c r="K718" s="1"/>
      <c r="L718" s="1"/>
      <c r="M718" s="1"/>
      <c r="N718" s="1"/>
      <c r="O718" s="1"/>
      <c r="P718" s="1"/>
      <c r="Q718" s="1"/>
      <c r="R718" s="1"/>
      <c r="S718" s="1"/>
      <c r="T718" s="1"/>
      <c r="U718" s="1"/>
      <c r="V718" s="1"/>
      <c r="W718" s="1"/>
      <c r="X718" s="1"/>
      <c r="Y718" s="1"/>
      <c r="Z718" s="1"/>
    </row>
    <row r="719" spans="1:26" ht="19.5" customHeight="1">
      <c r="A719" s="1"/>
      <c r="B719" s="2"/>
      <c r="C719" s="1"/>
      <c r="D719" s="1"/>
      <c r="E719" s="2"/>
      <c r="F719" s="1"/>
      <c r="G719" s="1"/>
      <c r="H719" s="1"/>
      <c r="I719" s="1"/>
      <c r="J719" s="1"/>
      <c r="K719" s="1"/>
      <c r="L719" s="1"/>
      <c r="M719" s="1"/>
      <c r="N719" s="1"/>
      <c r="O719" s="1"/>
      <c r="P719" s="1"/>
      <c r="Q719" s="1"/>
      <c r="R719" s="1"/>
      <c r="S719" s="1"/>
      <c r="T719" s="1"/>
      <c r="U719" s="1"/>
      <c r="V719" s="1"/>
      <c r="W719" s="1"/>
      <c r="X719" s="1"/>
      <c r="Y719" s="1"/>
      <c r="Z719" s="1"/>
    </row>
    <row r="720" spans="1:26" ht="19.5" customHeight="1">
      <c r="A720" s="1"/>
      <c r="B720" s="2"/>
      <c r="C720" s="1"/>
      <c r="D720" s="1"/>
      <c r="E720" s="2"/>
      <c r="F720" s="1"/>
      <c r="G720" s="1"/>
      <c r="H720" s="1"/>
      <c r="I720" s="1"/>
      <c r="J720" s="1"/>
      <c r="K720" s="1"/>
      <c r="L720" s="1"/>
      <c r="M720" s="1"/>
      <c r="N720" s="1"/>
      <c r="O720" s="1"/>
      <c r="P720" s="1"/>
      <c r="Q720" s="1"/>
      <c r="R720" s="1"/>
      <c r="S720" s="1"/>
      <c r="T720" s="1"/>
      <c r="U720" s="1"/>
      <c r="V720" s="1"/>
      <c r="W720" s="1"/>
      <c r="X720" s="1"/>
      <c r="Y720" s="1"/>
      <c r="Z720" s="1"/>
    </row>
    <row r="721" spans="1:26" ht="19.5" customHeight="1">
      <c r="A721" s="1"/>
      <c r="B721" s="2"/>
      <c r="C721" s="1"/>
      <c r="D721" s="1"/>
      <c r="E721" s="2"/>
      <c r="F721" s="1"/>
      <c r="G721" s="1"/>
      <c r="H721" s="1"/>
      <c r="I721" s="1"/>
      <c r="J721" s="1"/>
      <c r="K721" s="1"/>
      <c r="L721" s="1"/>
      <c r="M721" s="1"/>
      <c r="N721" s="1"/>
      <c r="O721" s="1"/>
      <c r="P721" s="1"/>
      <c r="Q721" s="1"/>
      <c r="R721" s="1"/>
      <c r="S721" s="1"/>
      <c r="T721" s="1"/>
      <c r="U721" s="1"/>
      <c r="V721" s="1"/>
      <c r="W721" s="1"/>
      <c r="X721" s="1"/>
      <c r="Y721" s="1"/>
      <c r="Z721" s="1"/>
    </row>
    <row r="722" spans="1:26" ht="19.5" customHeight="1">
      <c r="A722" s="1"/>
      <c r="B722" s="2"/>
      <c r="C722" s="1"/>
      <c r="D722" s="1"/>
      <c r="E722" s="2"/>
      <c r="F722" s="1"/>
      <c r="G722" s="1"/>
      <c r="H722" s="1"/>
      <c r="I722" s="1"/>
      <c r="J722" s="1"/>
      <c r="K722" s="1"/>
      <c r="L722" s="1"/>
      <c r="M722" s="1"/>
      <c r="N722" s="1"/>
      <c r="O722" s="1"/>
      <c r="P722" s="1"/>
      <c r="Q722" s="1"/>
      <c r="R722" s="1"/>
      <c r="S722" s="1"/>
      <c r="T722" s="1"/>
      <c r="U722" s="1"/>
      <c r="V722" s="1"/>
      <c r="W722" s="1"/>
      <c r="X722" s="1"/>
      <c r="Y722" s="1"/>
      <c r="Z722" s="1"/>
    </row>
    <row r="723" spans="1:26" ht="19.5" customHeight="1">
      <c r="A723" s="1"/>
      <c r="B723" s="2"/>
      <c r="C723" s="1"/>
      <c r="D723" s="1"/>
      <c r="E723" s="2"/>
      <c r="F723" s="1"/>
      <c r="G723" s="1"/>
      <c r="H723" s="1"/>
      <c r="I723" s="1"/>
      <c r="J723" s="1"/>
      <c r="K723" s="1"/>
      <c r="L723" s="1"/>
      <c r="M723" s="1"/>
      <c r="N723" s="1"/>
      <c r="O723" s="1"/>
      <c r="P723" s="1"/>
      <c r="Q723" s="1"/>
      <c r="R723" s="1"/>
      <c r="S723" s="1"/>
      <c r="T723" s="1"/>
      <c r="U723" s="1"/>
      <c r="V723" s="1"/>
      <c r="W723" s="1"/>
      <c r="X723" s="1"/>
      <c r="Y723" s="1"/>
      <c r="Z723" s="1"/>
    </row>
    <row r="724" spans="1:26" ht="19.5" customHeight="1">
      <c r="A724" s="1"/>
      <c r="B724" s="2"/>
      <c r="C724" s="1"/>
      <c r="D724" s="1"/>
      <c r="E724" s="2"/>
      <c r="F724" s="1"/>
      <c r="G724" s="1"/>
      <c r="H724" s="1"/>
      <c r="I724" s="1"/>
      <c r="J724" s="1"/>
      <c r="K724" s="1"/>
      <c r="L724" s="1"/>
      <c r="M724" s="1"/>
      <c r="N724" s="1"/>
      <c r="O724" s="1"/>
      <c r="P724" s="1"/>
      <c r="Q724" s="1"/>
      <c r="R724" s="1"/>
      <c r="S724" s="1"/>
      <c r="T724" s="1"/>
      <c r="U724" s="1"/>
      <c r="V724" s="1"/>
      <c r="W724" s="1"/>
      <c r="X724" s="1"/>
      <c r="Y724" s="1"/>
      <c r="Z724" s="1"/>
    </row>
    <row r="725" spans="1:26" ht="19.5" customHeight="1">
      <c r="A725" s="1"/>
      <c r="B725" s="2"/>
      <c r="C725" s="1"/>
      <c r="D725" s="1"/>
      <c r="E725" s="2"/>
      <c r="F725" s="1"/>
      <c r="G725" s="1"/>
      <c r="H725" s="1"/>
      <c r="I725" s="1"/>
      <c r="J725" s="1"/>
      <c r="K725" s="1"/>
      <c r="L725" s="1"/>
      <c r="M725" s="1"/>
      <c r="N725" s="1"/>
      <c r="O725" s="1"/>
      <c r="P725" s="1"/>
      <c r="Q725" s="1"/>
      <c r="R725" s="1"/>
      <c r="S725" s="1"/>
      <c r="T725" s="1"/>
      <c r="U725" s="1"/>
      <c r="V725" s="1"/>
      <c r="W725" s="1"/>
      <c r="X725" s="1"/>
      <c r="Y725" s="1"/>
      <c r="Z725" s="1"/>
    </row>
    <row r="726" spans="1:26" ht="19.5" customHeight="1">
      <c r="A726" s="1"/>
      <c r="B726" s="2"/>
      <c r="C726" s="1"/>
      <c r="D726" s="1"/>
      <c r="E726" s="2"/>
      <c r="F726" s="1"/>
      <c r="G726" s="1"/>
      <c r="H726" s="1"/>
      <c r="I726" s="1"/>
      <c r="J726" s="1"/>
      <c r="K726" s="1"/>
      <c r="L726" s="1"/>
      <c r="M726" s="1"/>
      <c r="N726" s="1"/>
      <c r="O726" s="1"/>
      <c r="P726" s="1"/>
      <c r="Q726" s="1"/>
      <c r="R726" s="1"/>
      <c r="S726" s="1"/>
      <c r="T726" s="1"/>
      <c r="U726" s="1"/>
      <c r="V726" s="1"/>
      <c r="W726" s="1"/>
      <c r="X726" s="1"/>
      <c r="Y726" s="1"/>
      <c r="Z726" s="1"/>
    </row>
    <row r="727" spans="1:26" ht="19.5" customHeight="1">
      <c r="A727" s="1"/>
      <c r="B727" s="2"/>
      <c r="C727" s="1"/>
      <c r="D727" s="1"/>
      <c r="E727" s="2"/>
      <c r="F727" s="1"/>
      <c r="G727" s="1"/>
      <c r="H727" s="1"/>
      <c r="I727" s="1"/>
      <c r="J727" s="1"/>
      <c r="K727" s="1"/>
      <c r="L727" s="1"/>
      <c r="M727" s="1"/>
      <c r="N727" s="1"/>
      <c r="O727" s="1"/>
      <c r="P727" s="1"/>
      <c r="Q727" s="1"/>
      <c r="R727" s="1"/>
      <c r="S727" s="1"/>
      <c r="T727" s="1"/>
      <c r="U727" s="1"/>
      <c r="V727" s="1"/>
      <c r="W727" s="1"/>
      <c r="X727" s="1"/>
      <c r="Y727" s="1"/>
      <c r="Z727" s="1"/>
    </row>
    <row r="728" spans="1:26" ht="19.5" customHeight="1">
      <c r="A728" s="1"/>
      <c r="B728" s="2"/>
      <c r="C728" s="1"/>
      <c r="D728" s="1"/>
      <c r="E728" s="2"/>
      <c r="F728" s="1"/>
      <c r="G728" s="1"/>
      <c r="H728" s="1"/>
      <c r="I728" s="1"/>
      <c r="J728" s="1"/>
      <c r="K728" s="1"/>
      <c r="L728" s="1"/>
      <c r="M728" s="1"/>
      <c r="N728" s="1"/>
      <c r="O728" s="1"/>
      <c r="P728" s="1"/>
      <c r="Q728" s="1"/>
      <c r="R728" s="1"/>
      <c r="S728" s="1"/>
      <c r="T728" s="1"/>
      <c r="U728" s="1"/>
      <c r="V728" s="1"/>
      <c r="W728" s="1"/>
      <c r="X728" s="1"/>
      <c r="Y728" s="1"/>
      <c r="Z728" s="1"/>
    </row>
    <row r="729" spans="1:26" ht="19.5" customHeight="1">
      <c r="A729" s="1"/>
      <c r="B729" s="2"/>
      <c r="C729" s="1"/>
      <c r="D729" s="1"/>
      <c r="E729" s="2"/>
      <c r="F729" s="1"/>
      <c r="G729" s="1"/>
      <c r="H729" s="1"/>
      <c r="I729" s="1"/>
      <c r="J729" s="1"/>
      <c r="K729" s="1"/>
      <c r="L729" s="1"/>
      <c r="M729" s="1"/>
      <c r="N729" s="1"/>
      <c r="O729" s="1"/>
      <c r="P729" s="1"/>
      <c r="Q729" s="1"/>
      <c r="R729" s="1"/>
      <c r="S729" s="1"/>
      <c r="T729" s="1"/>
      <c r="U729" s="1"/>
      <c r="V729" s="1"/>
      <c r="W729" s="1"/>
      <c r="X729" s="1"/>
      <c r="Y729" s="1"/>
      <c r="Z729" s="1"/>
    </row>
    <row r="730" spans="1:26" ht="19.5" customHeight="1">
      <c r="A730" s="1"/>
      <c r="B730" s="2"/>
      <c r="C730" s="1"/>
      <c r="D730" s="1"/>
      <c r="E730" s="2"/>
      <c r="F730" s="1"/>
      <c r="G730" s="1"/>
      <c r="H730" s="1"/>
      <c r="I730" s="1"/>
      <c r="J730" s="1"/>
      <c r="K730" s="1"/>
      <c r="L730" s="1"/>
      <c r="M730" s="1"/>
      <c r="N730" s="1"/>
      <c r="O730" s="1"/>
      <c r="P730" s="1"/>
      <c r="Q730" s="1"/>
      <c r="R730" s="1"/>
      <c r="S730" s="1"/>
      <c r="T730" s="1"/>
      <c r="U730" s="1"/>
      <c r="V730" s="1"/>
      <c r="W730" s="1"/>
      <c r="X730" s="1"/>
      <c r="Y730" s="1"/>
      <c r="Z730" s="1"/>
    </row>
    <row r="731" spans="1:26" ht="19.5" customHeight="1">
      <c r="A731" s="1"/>
      <c r="B731" s="2"/>
      <c r="C731" s="1"/>
      <c r="D731" s="1"/>
      <c r="E731" s="2"/>
      <c r="F731" s="1"/>
      <c r="G731" s="1"/>
      <c r="H731" s="1"/>
      <c r="I731" s="1"/>
      <c r="J731" s="1"/>
      <c r="K731" s="1"/>
      <c r="L731" s="1"/>
      <c r="M731" s="1"/>
      <c r="N731" s="1"/>
      <c r="O731" s="1"/>
      <c r="P731" s="1"/>
      <c r="Q731" s="1"/>
      <c r="R731" s="1"/>
      <c r="S731" s="1"/>
      <c r="T731" s="1"/>
      <c r="U731" s="1"/>
      <c r="V731" s="1"/>
      <c r="W731" s="1"/>
      <c r="X731" s="1"/>
      <c r="Y731" s="1"/>
      <c r="Z731" s="1"/>
    </row>
    <row r="732" spans="1:26" ht="19.5" customHeight="1">
      <c r="A732" s="1"/>
      <c r="B732" s="2"/>
      <c r="C732" s="1"/>
      <c r="D732" s="1"/>
      <c r="E732" s="2"/>
      <c r="F732" s="1"/>
      <c r="G732" s="1"/>
      <c r="H732" s="1"/>
      <c r="I732" s="1"/>
      <c r="J732" s="1"/>
      <c r="K732" s="1"/>
      <c r="L732" s="1"/>
      <c r="M732" s="1"/>
      <c r="N732" s="1"/>
      <c r="O732" s="1"/>
      <c r="P732" s="1"/>
      <c r="Q732" s="1"/>
      <c r="R732" s="1"/>
      <c r="S732" s="1"/>
      <c r="T732" s="1"/>
      <c r="U732" s="1"/>
      <c r="V732" s="1"/>
      <c r="W732" s="1"/>
      <c r="X732" s="1"/>
      <c r="Y732" s="1"/>
      <c r="Z732" s="1"/>
    </row>
    <row r="733" spans="1:26" ht="19.5" customHeight="1">
      <c r="A733" s="1"/>
      <c r="B733" s="2"/>
      <c r="C733" s="1"/>
      <c r="D733" s="1"/>
      <c r="E733" s="2"/>
      <c r="F733" s="1"/>
      <c r="G733" s="1"/>
      <c r="H733" s="1"/>
      <c r="I733" s="1"/>
      <c r="J733" s="1"/>
      <c r="K733" s="1"/>
      <c r="L733" s="1"/>
      <c r="M733" s="1"/>
      <c r="N733" s="1"/>
      <c r="O733" s="1"/>
      <c r="P733" s="1"/>
      <c r="Q733" s="1"/>
      <c r="R733" s="1"/>
      <c r="S733" s="1"/>
      <c r="T733" s="1"/>
      <c r="U733" s="1"/>
      <c r="V733" s="1"/>
      <c r="W733" s="1"/>
      <c r="X733" s="1"/>
      <c r="Y733" s="1"/>
      <c r="Z733" s="1"/>
    </row>
    <row r="734" spans="1:26" ht="19.5" customHeight="1">
      <c r="A734" s="1"/>
      <c r="B734" s="2"/>
      <c r="C734" s="1"/>
      <c r="D734" s="1"/>
      <c r="E734" s="2"/>
      <c r="F734" s="1"/>
      <c r="G734" s="1"/>
      <c r="H734" s="1"/>
      <c r="I734" s="1"/>
      <c r="J734" s="1"/>
      <c r="K734" s="1"/>
      <c r="L734" s="1"/>
      <c r="M734" s="1"/>
      <c r="N734" s="1"/>
      <c r="O734" s="1"/>
      <c r="P734" s="1"/>
      <c r="Q734" s="1"/>
      <c r="R734" s="1"/>
      <c r="S734" s="1"/>
      <c r="T734" s="1"/>
      <c r="U734" s="1"/>
      <c r="V734" s="1"/>
      <c r="W734" s="1"/>
      <c r="X734" s="1"/>
      <c r="Y734" s="1"/>
      <c r="Z734" s="1"/>
    </row>
    <row r="735" spans="1:26" ht="19.5" customHeight="1">
      <c r="A735" s="1"/>
      <c r="B735" s="2"/>
      <c r="C735" s="1"/>
      <c r="D735" s="1"/>
      <c r="E735" s="2"/>
      <c r="F735" s="1"/>
      <c r="G735" s="1"/>
      <c r="H735" s="1"/>
      <c r="I735" s="1"/>
      <c r="J735" s="1"/>
      <c r="K735" s="1"/>
      <c r="L735" s="1"/>
      <c r="M735" s="1"/>
      <c r="N735" s="1"/>
      <c r="O735" s="1"/>
      <c r="P735" s="1"/>
      <c r="Q735" s="1"/>
      <c r="R735" s="1"/>
      <c r="S735" s="1"/>
      <c r="T735" s="1"/>
      <c r="U735" s="1"/>
      <c r="V735" s="1"/>
      <c r="W735" s="1"/>
      <c r="X735" s="1"/>
      <c r="Y735" s="1"/>
      <c r="Z735" s="1"/>
    </row>
    <row r="736" spans="1:26" ht="19.5" customHeight="1">
      <c r="A736" s="1"/>
      <c r="B736" s="2"/>
      <c r="C736" s="1"/>
      <c r="D736" s="1"/>
      <c r="E736" s="2"/>
      <c r="F736" s="1"/>
      <c r="G736" s="1"/>
      <c r="H736" s="1"/>
      <c r="I736" s="1"/>
      <c r="J736" s="1"/>
      <c r="K736" s="1"/>
      <c r="L736" s="1"/>
      <c r="M736" s="1"/>
      <c r="N736" s="1"/>
      <c r="O736" s="1"/>
      <c r="P736" s="1"/>
      <c r="Q736" s="1"/>
      <c r="R736" s="1"/>
      <c r="S736" s="1"/>
      <c r="T736" s="1"/>
      <c r="U736" s="1"/>
      <c r="V736" s="1"/>
      <c r="W736" s="1"/>
      <c r="X736" s="1"/>
      <c r="Y736" s="1"/>
      <c r="Z736" s="1"/>
    </row>
    <row r="737" spans="1:26" ht="19.5" customHeight="1">
      <c r="A737" s="1"/>
      <c r="B737" s="2"/>
      <c r="C737" s="1"/>
      <c r="D737" s="1"/>
      <c r="E737" s="2"/>
      <c r="F737" s="1"/>
      <c r="G737" s="1"/>
      <c r="H737" s="1"/>
      <c r="I737" s="1"/>
      <c r="J737" s="1"/>
      <c r="K737" s="1"/>
      <c r="L737" s="1"/>
      <c r="M737" s="1"/>
      <c r="N737" s="1"/>
      <c r="O737" s="1"/>
      <c r="P737" s="1"/>
      <c r="Q737" s="1"/>
      <c r="R737" s="1"/>
      <c r="S737" s="1"/>
      <c r="T737" s="1"/>
      <c r="U737" s="1"/>
      <c r="V737" s="1"/>
      <c r="W737" s="1"/>
      <c r="X737" s="1"/>
      <c r="Y737" s="1"/>
      <c r="Z737" s="1"/>
    </row>
    <row r="738" spans="1:26" ht="19.5" customHeight="1">
      <c r="A738" s="1"/>
      <c r="B738" s="2"/>
      <c r="C738" s="1"/>
      <c r="D738" s="1"/>
      <c r="E738" s="2"/>
      <c r="F738" s="1"/>
      <c r="G738" s="1"/>
      <c r="H738" s="1"/>
      <c r="I738" s="1"/>
      <c r="J738" s="1"/>
      <c r="K738" s="1"/>
      <c r="L738" s="1"/>
      <c r="M738" s="1"/>
      <c r="N738" s="1"/>
      <c r="O738" s="1"/>
      <c r="P738" s="1"/>
      <c r="Q738" s="1"/>
      <c r="R738" s="1"/>
      <c r="S738" s="1"/>
      <c r="T738" s="1"/>
      <c r="U738" s="1"/>
      <c r="V738" s="1"/>
      <c r="W738" s="1"/>
      <c r="X738" s="1"/>
      <c r="Y738" s="1"/>
      <c r="Z738" s="1"/>
    </row>
    <row r="739" spans="1:26" ht="19.5" customHeight="1">
      <c r="A739" s="1"/>
      <c r="B739" s="2"/>
      <c r="C739" s="1"/>
      <c r="D739" s="1"/>
      <c r="E739" s="2"/>
      <c r="F739" s="1"/>
      <c r="G739" s="1"/>
      <c r="H739" s="1"/>
      <c r="I739" s="1"/>
      <c r="J739" s="1"/>
      <c r="K739" s="1"/>
      <c r="L739" s="1"/>
      <c r="M739" s="1"/>
      <c r="N739" s="1"/>
      <c r="O739" s="1"/>
      <c r="P739" s="1"/>
      <c r="Q739" s="1"/>
      <c r="R739" s="1"/>
      <c r="S739" s="1"/>
      <c r="T739" s="1"/>
      <c r="U739" s="1"/>
      <c r="V739" s="1"/>
      <c r="W739" s="1"/>
      <c r="X739" s="1"/>
      <c r="Y739" s="1"/>
      <c r="Z739" s="1"/>
    </row>
    <row r="740" spans="1:26" ht="19.5" customHeight="1">
      <c r="A740" s="1"/>
      <c r="B740" s="2"/>
      <c r="C740" s="1"/>
      <c r="D740" s="1"/>
      <c r="E740" s="2"/>
      <c r="F740" s="1"/>
      <c r="G740" s="1"/>
      <c r="H740" s="1"/>
      <c r="I740" s="1"/>
      <c r="J740" s="1"/>
      <c r="K740" s="1"/>
      <c r="L740" s="1"/>
      <c r="M740" s="1"/>
      <c r="N740" s="1"/>
      <c r="O740" s="1"/>
      <c r="P740" s="1"/>
      <c r="Q740" s="1"/>
      <c r="R740" s="1"/>
      <c r="S740" s="1"/>
      <c r="T740" s="1"/>
      <c r="U740" s="1"/>
      <c r="V740" s="1"/>
      <c r="W740" s="1"/>
      <c r="X740" s="1"/>
      <c r="Y740" s="1"/>
      <c r="Z740" s="1"/>
    </row>
    <row r="741" spans="1:26" ht="19.5" customHeight="1">
      <c r="A741" s="1"/>
      <c r="B741" s="2"/>
      <c r="C741" s="1"/>
      <c r="D741" s="1"/>
      <c r="E741" s="2"/>
      <c r="F741" s="1"/>
      <c r="G741" s="1"/>
      <c r="H741" s="1"/>
      <c r="I741" s="1"/>
      <c r="J741" s="1"/>
      <c r="K741" s="1"/>
      <c r="L741" s="1"/>
      <c r="M741" s="1"/>
      <c r="N741" s="1"/>
      <c r="O741" s="1"/>
      <c r="P741" s="1"/>
      <c r="Q741" s="1"/>
      <c r="R741" s="1"/>
      <c r="S741" s="1"/>
      <c r="T741" s="1"/>
      <c r="U741" s="1"/>
      <c r="V741" s="1"/>
      <c r="W741" s="1"/>
      <c r="X741" s="1"/>
      <c r="Y741" s="1"/>
      <c r="Z741" s="1"/>
    </row>
    <row r="742" spans="1:26" ht="19.5" customHeight="1">
      <c r="A742" s="1"/>
      <c r="B742" s="2"/>
      <c r="C742" s="1"/>
      <c r="D742" s="1"/>
      <c r="E742" s="2"/>
      <c r="F742" s="1"/>
      <c r="G742" s="1"/>
      <c r="H742" s="1"/>
      <c r="I742" s="1"/>
      <c r="J742" s="1"/>
      <c r="K742" s="1"/>
      <c r="L742" s="1"/>
      <c r="M742" s="1"/>
      <c r="N742" s="1"/>
      <c r="O742" s="1"/>
      <c r="P742" s="1"/>
      <c r="Q742" s="1"/>
      <c r="R742" s="1"/>
      <c r="S742" s="1"/>
      <c r="T742" s="1"/>
      <c r="U742" s="1"/>
      <c r="V742" s="1"/>
      <c r="W742" s="1"/>
      <c r="X742" s="1"/>
      <c r="Y742" s="1"/>
      <c r="Z742" s="1"/>
    </row>
    <row r="743" spans="1:26" ht="19.5" customHeight="1">
      <c r="A743" s="1"/>
      <c r="B743" s="2"/>
      <c r="C743" s="1"/>
      <c r="D743" s="1"/>
      <c r="E743" s="2"/>
      <c r="F743" s="1"/>
      <c r="G743" s="1"/>
      <c r="H743" s="1"/>
      <c r="I743" s="1"/>
      <c r="J743" s="1"/>
      <c r="K743" s="1"/>
      <c r="L743" s="1"/>
      <c r="M743" s="1"/>
      <c r="N743" s="1"/>
      <c r="O743" s="1"/>
      <c r="P743" s="1"/>
      <c r="Q743" s="1"/>
      <c r="R743" s="1"/>
      <c r="S743" s="1"/>
      <c r="T743" s="1"/>
      <c r="U743" s="1"/>
      <c r="V743" s="1"/>
      <c r="W743" s="1"/>
      <c r="X743" s="1"/>
      <c r="Y743" s="1"/>
      <c r="Z743" s="1"/>
    </row>
    <row r="744" spans="1:26" ht="19.5" customHeight="1">
      <c r="A744" s="1"/>
      <c r="B744" s="2"/>
      <c r="C744" s="1"/>
      <c r="D744" s="1"/>
      <c r="E744" s="2"/>
      <c r="F744" s="1"/>
      <c r="G744" s="1"/>
      <c r="H744" s="1"/>
      <c r="I744" s="1"/>
      <c r="J744" s="1"/>
      <c r="K744" s="1"/>
      <c r="L744" s="1"/>
      <c r="M744" s="1"/>
      <c r="N744" s="1"/>
      <c r="O744" s="1"/>
      <c r="P744" s="1"/>
      <c r="Q744" s="1"/>
      <c r="R744" s="1"/>
      <c r="S744" s="1"/>
      <c r="T744" s="1"/>
      <c r="U744" s="1"/>
      <c r="V744" s="1"/>
      <c r="W744" s="1"/>
      <c r="X744" s="1"/>
      <c r="Y744" s="1"/>
      <c r="Z744" s="1"/>
    </row>
    <row r="745" spans="1:26" ht="19.5" customHeight="1">
      <c r="A745" s="1"/>
      <c r="B745" s="2"/>
      <c r="C745" s="1"/>
      <c r="D745" s="1"/>
      <c r="E745" s="2"/>
      <c r="F745" s="1"/>
      <c r="G745" s="1"/>
      <c r="H745" s="1"/>
      <c r="I745" s="1"/>
      <c r="J745" s="1"/>
      <c r="K745" s="1"/>
      <c r="L745" s="1"/>
      <c r="M745" s="1"/>
      <c r="N745" s="1"/>
      <c r="O745" s="1"/>
      <c r="P745" s="1"/>
      <c r="Q745" s="1"/>
      <c r="R745" s="1"/>
      <c r="S745" s="1"/>
      <c r="T745" s="1"/>
      <c r="U745" s="1"/>
      <c r="V745" s="1"/>
      <c r="W745" s="1"/>
      <c r="X745" s="1"/>
      <c r="Y745" s="1"/>
      <c r="Z745" s="1"/>
    </row>
    <row r="746" spans="1:26" ht="19.5" customHeight="1">
      <c r="A746" s="1"/>
      <c r="B746" s="2"/>
      <c r="C746" s="1"/>
      <c r="D746" s="1"/>
      <c r="E746" s="2"/>
      <c r="F746" s="1"/>
      <c r="G746" s="1"/>
      <c r="H746" s="1"/>
      <c r="I746" s="1"/>
      <c r="J746" s="1"/>
      <c r="K746" s="1"/>
      <c r="L746" s="1"/>
      <c r="M746" s="1"/>
      <c r="N746" s="1"/>
      <c r="O746" s="1"/>
      <c r="P746" s="1"/>
      <c r="Q746" s="1"/>
      <c r="R746" s="1"/>
      <c r="S746" s="1"/>
      <c r="T746" s="1"/>
      <c r="U746" s="1"/>
      <c r="V746" s="1"/>
      <c r="W746" s="1"/>
      <c r="X746" s="1"/>
      <c r="Y746" s="1"/>
      <c r="Z746" s="1"/>
    </row>
    <row r="747" spans="1:26" ht="19.5" customHeight="1">
      <c r="A747" s="1"/>
      <c r="B747" s="2"/>
      <c r="C747" s="1"/>
      <c r="D747" s="1"/>
      <c r="E747" s="2"/>
      <c r="F747" s="1"/>
      <c r="G747" s="1"/>
      <c r="H747" s="1"/>
      <c r="I747" s="1"/>
      <c r="J747" s="1"/>
      <c r="K747" s="1"/>
      <c r="L747" s="1"/>
      <c r="M747" s="1"/>
      <c r="N747" s="1"/>
      <c r="O747" s="1"/>
      <c r="P747" s="1"/>
      <c r="Q747" s="1"/>
      <c r="R747" s="1"/>
      <c r="S747" s="1"/>
      <c r="T747" s="1"/>
      <c r="U747" s="1"/>
      <c r="V747" s="1"/>
      <c r="W747" s="1"/>
      <c r="X747" s="1"/>
      <c r="Y747" s="1"/>
      <c r="Z747" s="1"/>
    </row>
    <row r="748" spans="1:26" ht="19.5" customHeight="1">
      <c r="A748" s="1"/>
      <c r="B748" s="2"/>
      <c r="C748" s="1"/>
      <c r="D748" s="1"/>
      <c r="E748" s="2"/>
      <c r="F748" s="1"/>
      <c r="G748" s="1"/>
      <c r="H748" s="1"/>
      <c r="I748" s="1"/>
      <c r="J748" s="1"/>
      <c r="K748" s="1"/>
      <c r="L748" s="1"/>
      <c r="M748" s="1"/>
      <c r="N748" s="1"/>
      <c r="O748" s="1"/>
      <c r="P748" s="1"/>
      <c r="Q748" s="1"/>
      <c r="R748" s="1"/>
      <c r="S748" s="1"/>
      <c r="T748" s="1"/>
      <c r="U748" s="1"/>
      <c r="V748" s="1"/>
      <c r="W748" s="1"/>
      <c r="X748" s="1"/>
      <c r="Y748" s="1"/>
      <c r="Z748" s="1"/>
    </row>
    <row r="749" spans="1:26" ht="19.5" customHeight="1">
      <c r="A749" s="1"/>
      <c r="B749" s="2"/>
      <c r="C749" s="1"/>
      <c r="D749" s="1"/>
      <c r="E749" s="2"/>
      <c r="F749" s="1"/>
      <c r="G749" s="1"/>
      <c r="H749" s="1"/>
      <c r="I749" s="1"/>
      <c r="J749" s="1"/>
      <c r="K749" s="1"/>
      <c r="L749" s="1"/>
      <c r="M749" s="1"/>
      <c r="N749" s="1"/>
      <c r="O749" s="1"/>
      <c r="P749" s="1"/>
      <c r="Q749" s="1"/>
      <c r="R749" s="1"/>
      <c r="S749" s="1"/>
      <c r="T749" s="1"/>
      <c r="U749" s="1"/>
      <c r="V749" s="1"/>
      <c r="W749" s="1"/>
      <c r="X749" s="1"/>
      <c r="Y749" s="1"/>
      <c r="Z749" s="1"/>
    </row>
    <row r="750" spans="1:26" ht="19.5" customHeight="1">
      <c r="A750" s="1"/>
      <c r="B750" s="2"/>
      <c r="C750" s="1"/>
      <c r="D750" s="1"/>
      <c r="E750" s="2"/>
      <c r="F750" s="1"/>
      <c r="G750" s="1"/>
      <c r="H750" s="1"/>
      <c r="I750" s="1"/>
      <c r="J750" s="1"/>
      <c r="K750" s="1"/>
      <c r="L750" s="1"/>
      <c r="M750" s="1"/>
      <c r="N750" s="1"/>
      <c r="O750" s="1"/>
      <c r="P750" s="1"/>
      <c r="Q750" s="1"/>
      <c r="R750" s="1"/>
      <c r="S750" s="1"/>
      <c r="T750" s="1"/>
      <c r="U750" s="1"/>
      <c r="V750" s="1"/>
      <c r="W750" s="1"/>
      <c r="X750" s="1"/>
      <c r="Y750" s="1"/>
      <c r="Z750" s="1"/>
    </row>
    <row r="751" spans="1:26" ht="19.5" customHeight="1">
      <c r="A751" s="1"/>
      <c r="B751" s="2"/>
      <c r="C751" s="1"/>
      <c r="D751" s="1"/>
      <c r="E751" s="2"/>
      <c r="F751" s="1"/>
      <c r="G751" s="1"/>
      <c r="H751" s="1"/>
      <c r="I751" s="1"/>
      <c r="J751" s="1"/>
      <c r="K751" s="1"/>
      <c r="L751" s="1"/>
      <c r="M751" s="1"/>
      <c r="N751" s="1"/>
      <c r="O751" s="1"/>
      <c r="P751" s="1"/>
      <c r="Q751" s="1"/>
      <c r="R751" s="1"/>
      <c r="S751" s="1"/>
      <c r="T751" s="1"/>
      <c r="U751" s="1"/>
      <c r="V751" s="1"/>
      <c r="W751" s="1"/>
      <c r="X751" s="1"/>
      <c r="Y751" s="1"/>
      <c r="Z751" s="1"/>
    </row>
    <row r="752" spans="1:26" ht="19.5" customHeight="1">
      <c r="A752" s="1"/>
      <c r="B752" s="2"/>
      <c r="C752" s="1"/>
      <c r="D752" s="1"/>
      <c r="E752" s="2"/>
      <c r="F752" s="1"/>
      <c r="G752" s="1"/>
      <c r="H752" s="1"/>
      <c r="I752" s="1"/>
      <c r="J752" s="1"/>
      <c r="K752" s="1"/>
      <c r="L752" s="1"/>
      <c r="M752" s="1"/>
      <c r="N752" s="1"/>
      <c r="O752" s="1"/>
      <c r="P752" s="1"/>
      <c r="Q752" s="1"/>
      <c r="R752" s="1"/>
      <c r="S752" s="1"/>
      <c r="T752" s="1"/>
      <c r="U752" s="1"/>
      <c r="V752" s="1"/>
      <c r="W752" s="1"/>
      <c r="X752" s="1"/>
      <c r="Y752" s="1"/>
      <c r="Z752" s="1"/>
    </row>
    <row r="753" spans="1:26" ht="19.5" customHeight="1">
      <c r="A753" s="1"/>
      <c r="B753" s="2"/>
      <c r="C753" s="1"/>
      <c r="D753" s="1"/>
      <c r="E753" s="2"/>
      <c r="F753" s="1"/>
      <c r="G753" s="1"/>
      <c r="H753" s="1"/>
      <c r="I753" s="1"/>
      <c r="J753" s="1"/>
      <c r="K753" s="1"/>
      <c r="L753" s="1"/>
      <c r="M753" s="1"/>
      <c r="N753" s="1"/>
      <c r="O753" s="1"/>
      <c r="P753" s="1"/>
      <c r="Q753" s="1"/>
      <c r="R753" s="1"/>
      <c r="S753" s="1"/>
      <c r="T753" s="1"/>
      <c r="U753" s="1"/>
      <c r="V753" s="1"/>
      <c r="W753" s="1"/>
      <c r="X753" s="1"/>
      <c r="Y753" s="1"/>
      <c r="Z753" s="1"/>
    </row>
    <row r="754" spans="1:26" ht="19.5" customHeight="1">
      <c r="A754" s="1"/>
      <c r="B754" s="2"/>
      <c r="C754" s="1"/>
      <c r="D754" s="1"/>
      <c r="E754" s="2"/>
      <c r="F754" s="1"/>
      <c r="G754" s="1"/>
      <c r="H754" s="1"/>
      <c r="I754" s="1"/>
      <c r="J754" s="1"/>
      <c r="K754" s="1"/>
      <c r="L754" s="1"/>
      <c r="M754" s="1"/>
      <c r="N754" s="1"/>
      <c r="O754" s="1"/>
      <c r="P754" s="1"/>
      <c r="Q754" s="1"/>
      <c r="R754" s="1"/>
      <c r="S754" s="1"/>
      <c r="T754" s="1"/>
      <c r="U754" s="1"/>
      <c r="V754" s="1"/>
      <c r="W754" s="1"/>
      <c r="X754" s="1"/>
      <c r="Y754" s="1"/>
      <c r="Z754" s="1"/>
    </row>
    <row r="755" spans="1:26" ht="19.5" customHeight="1">
      <c r="A755" s="1"/>
      <c r="B755" s="2"/>
      <c r="C755" s="1"/>
      <c r="D755" s="1"/>
      <c r="E755" s="2"/>
      <c r="F755" s="1"/>
      <c r="G755" s="1"/>
      <c r="H755" s="1"/>
      <c r="I755" s="1"/>
      <c r="J755" s="1"/>
      <c r="K755" s="1"/>
      <c r="L755" s="1"/>
      <c r="M755" s="1"/>
      <c r="N755" s="1"/>
      <c r="O755" s="1"/>
      <c r="P755" s="1"/>
      <c r="Q755" s="1"/>
      <c r="R755" s="1"/>
      <c r="S755" s="1"/>
      <c r="T755" s="1"/>
      <c r="U755" s="1"/>
      <c r="V755" s="1"/>
      <c r="W755" s="1"/>
      <c r="X755" s="1"/>
      <c r="Y755" s="1"/>
      <c r="Z755" s="1"/>
    </row>
    <row r="756" spans="1:26" ht="19.5" customHeight="1">
      <c r="A756" s="1"/>
      <c r="B756" s="2"/>
      <c r="C756" s="1"/>
      <c r="D756" s="1"/>
      <c r="E756" s="2"/>
      <c r="F756" s="1"/>
      <c r="G756" s="1"/>
      <c r="H756" s="1"/>
      <c r="I756" s="1"/>
      <c r="J756" s="1"/>
      <c r="K756" s="1"/>
      <c r="L756" s="1"/>
      <c r="M756" s="1"/>
      <c r="N756" s="1"/>
      <c r="O756" s="1"/>
      <c r="P756" s="1"/>
      <c r="Q756" s="1"/>
      <c r="R756" s="1"/>
      <c r="S756" s="1"/>
      <c r="T756" s="1"/>
      <c r="U756" s="1"/>
      <c r="V756" s="1"/>
      <c r="W756" s="1"/>
      <c r="X756" s="1"/>
      <c r="Y756" s="1"/>
      <c r="Z756" s="1"/>
    </row>
    <row r="757" spans="1:26" ht="19.5" customHeight="1">
      <c r="A757" s="1"/>
      <c r="B757" s="2"/>
      <c r="C757" s="1"/>
      <c r="D757" s="1"/>
      <c r="E757" s="2"/>
      <c r="F757" s="1"/>
      <c r="G757" s="1"/>
      <c r="H757" s="1"/>
      <c r="I757" s="1"/>
      <c r="J757" s="1"/>
      <c r="K757" s="1"/>
      <c r="L757" s="1"/>
      <c r="M757" s="1"/>
      <c r="N757" s="1"/>
      <c r="O757" s="1"/>
      <c r="P757" s="1"/>
      <c r="Q757" s="1"/>
      <c r="R757" s="1"/>
      <c r="S757" s="1"/>
      <c r="T757" s="1"/>
      <c r="U757" s="1"/>
      <c r="V757" s="1"/>
      <c r="W757" s="1"/>
      <c r="X757" s="1"/>
      <c r="Y757" s="1"/>
      <c r="Z757" s="1"/>
    </row>
    <row r="758" spans="1:26" ht="19.5" customHeight="1">
      <c r="A758" s="1"/>
      <c r="B758" s="2"/>
      <c r="C758" s="1"/>
      <c r="D758" s="1"/>
      <c r="E758" s="2"/>
      <c r="F758" s="1"/>
      <c r="G758" s="1"/>
      <c r="H758" s="1"/>
      <c r="I758" s="1"/>
      <c r="J758" s="1"/>
      <c r="K758" s="1"/>
      <c r="L758" s="1"/>
      <c r="M758" s="1"/>
      <c r="N758" s="1"/>
      <c r="O758" s="1"/>
      <c r="P758" s="1"/>
      <c r="Q758" s="1"/>
      <c r="R758" s="1"/>
      <c r="S758" s="1"/>
      <c r="T758" s="1"/>
      <c r="U758" s="1"/>
      <c r="V758" s="1"/>
      <c r="W758" s="1"/>
      <c r="X758" s="1"/>
      <c r="Y758" s="1"/>
      <c r="Z758" s="1"/>
    </row>
    <row r="759" spans="1:26" ht="19.5" customHeight="1">
      <c r="A759" s="1"/>
      <c r="B759" s="2"/>
      <c r="C759" s="1"/>
      <c r="D759" s="1"/>
      <c r="E759" s="2"/>
      <c r="F759" s="1"/>
      <c r="G759" s="1"/>
      <c r="H759" s="1"/>
      <c r="I759" s="1"/>
      <c r="J759" s="1"/>
      <c r="K759" s="1"/>
      <c r="L759" s="1"/>
      <c r="M759" s="1"/>
      <c r="N759" s="1"/>
      <c r="O759" s="1"/>
      <c r="P759" s="1"/>
      <c r="Q759" s="1"/>
      <c r="R759" s="1"/>
      <c r="S759" s="1"/>
      <c r="T759" s="1"/>
      <c r="U759" s="1"/>
      <c r="V759" s="1"/>
      <c r="W759" s="1"/>
      <c r="X759" s="1"/>
      <c r="Y759" s="1"/>
      <c r="Z759" s="1"/>
    </row>
    <row r="760" spans="1:26" ht="19.5" customHeight="1">
      <c r="A760" s="1"/>
      <c r="B760" s="2"/>
      <c r="C760" s="1"/>
      <c r="D760" s="1"/>
      <c r="E760" s="2"/>
      <c r="F760" s="1"/>
      <c r="G760" s="1"/>
      <c r="H760" s="1"/>
      <c r="I760" s="1"/>
      <c r="J760" s="1"/>
      <c r="K760" s="1"/>
      <c r="L760" s="1"/>
      <c r="M760" s="1"/>
      <c r="N760" s="1"/>
      <c r="O760" s="1"/>
      <c r="P760" s="1"/>
      <c r="Q760" s="1"/>
      <c r="R760" s="1"/>
      <c r="S760" s="1"/>
      <c r="T760" s="1"/>
      <c r="U760" s="1"/>
      <c r="V760" s="1"/>
      <c r="W760" s="1"/>
      <c r="X760" s="1"/>
      <c r="Y760" s="1"/>
      <c r="Z760" s="1"/>
    </row>
    <row r="761" spans="1:26" ht="19.5" customHeight="1">
      <c r="A761" s="1"/>
      <c r="B761" s="2"/>
      <c r="C761" s="1"/>
      <c r="D761" s="1"/>
      <c r="E761" s="2"/>
      <c r="F761" s="1"/>
      <c r="G761" s="1"/>
      <c r="H761" s="1"/>
      <c r="I761" s="1"/>
      <c r="J761" s="1"/>
      <c r="K761" s="1"/>
      <c r="L761" s="1"/>
      <c r="M761" s="1"/>
      <c r="N761" s="1"/>
      <c r="O761" s="1"/>
      <c r="P761" s="1"/>
      <c r="Q761" s="1"/>
      <c r="R761" s="1"/>
      <c r="S761" s="1"/>
      <c r="T761" s="1"/>
      <c r="U761" s="1"/>
      <c r="V761" s="1"/>
      <c r="W761" s="1"/>
      <c r="X761" s="1"/>
      <c r="Y761" s="1"/>
      <c r="Z761" s="1"/>
    </row>
    <row r="762" spans="1:26" ht="19.5" customHeight="1">
      <c r="A762" s="1"/>
      <c r="B762" s="2"/>
      <c r="C762" s="1"/>
      <c r="D762" s="1"/>
      <c r="E762" s="2"/>
      <c r="F762" s="1"/>
      <c r="G762" s="1"/>
      <c r="H762" s="1"/>
      <c r="I762" s="1"/>
      <c r="J762" s="1"/>
      <c r="K762" s="1"/>
      <c r="L762" s="1"/>
      <c r="M762" s="1"/>
      <c r="N762" s="1"/>
      <c r="O762" s="1"/>
      <c r="P762" s="1"/>
      <c r="Q762" s="1"/>
      <c r="R762" s="1"/>
      <c r="S762" s="1"/>
      <c r="T762" s="1"/>
      <c r="U762" s="1"/>
      <c r="V762" s="1"/>
      <c r="W762" s="1"/>
      <c r="X762" s="1"/>
      <c r="Y762" s="1"/>
      <c r="Z762" s="1"/>
    </row>
    <row r="763" spans="1:26" ht="19.5" customHeight="1">
      <c r="A763" s="1"/>
      <c r="B763" s="2"/>
      <c r="C763" s="1"/>
      <c r="D763" s="1"/>
      <c r="E763" s="2"/>
      <c r="F763" s="1"/>
      <c r="G763" s="1"/>
      <c r="H763" s="1"/>
      <c r="I763" s="1"/>
      <c r="J763" s="1"/>
      <c r="K763" s="1"/>
      <c r="L763" s="1"/>
      <c r="M763" s="1"/>
      <c r="N763" s="1"/>
      <c r="O763" s="1"/>
      <c r="P763" s="1"/>
      <c r="Q763" s="1"/>
      <c r="R763" s="1"/>
      <c r="S763" s="1"/>
      <c r="T763" s="1"/>
      <c r="U763" s="1"/>
      <c r="V763" s="1"/>
      <c r="W763" s="1"/>
      <c r="X763" s="1"/>
      <c r="Y763" s="1"/>
      <c r="Z763" s="1"/>
    </row>
    <row r="764" spans="1:26" ht="19.5" customHeight="1">
      <c r="A764" s="1"/>
      <c r="B764" s="2"/>
      <c r="C764" s="1"/>
      <c r="D764" s="1"/>
      <c r="E764" s="2"/>
      <c r="F764" s="1"/>
      <c r="G764" s="1"/>
      <c r="H764" s="1"/>
      <c r="I764" s="1"/>
      <c r="J764" s="1"/>
      <c r="K764" s="1"/>
      <c r="L764" s="1"/>
      <c r="M764" s="1"/>
      <c r="N764" s="1"/>
      <c r="O764" s="1"/>
      <c r="P764" s="1"/>
      <c r="Q764" s="1"/>
      <c r="R764" s="1"/>
      <c r="S764" s="1"/>
      <c r="T764" s="1"/>
      <c r="U764" s="1"/>
      <c r="V764" s="1"/>
      <c r="W764" s="1"/>
      <c r="X764" s="1"/>
      <c r="Y764" s="1"/>
      <c r="Z764" s="1"/>
    </row>
    <row r="765" spans="1:26" ht="19.5" customHeight="1">
      <c r="A765" s="1"/>
      <c r="B765" s="2"/>
      <c r="C765" s="1"/>
      <c r="D765" s="1"/>
      <c r="E765" s="2"/>
      <c r="F765" s="1"/>
      <c r="G765" s="1"/>
      <c r="H765" s="1"/>
      <c r="I765" s="1"/>
      <c r="J765" s="1"/>
      <c r="K765" s="1"/>
      <c r="L765" s="1"/>
      <c r="M765" s="1"/>
      <c r="N765" s="1"/>
      <c r="O765" s="1"/>
      <c r="P765" s="1"/>
      <c r="Q765" s="1"/>
      <c r="R765" s="1"/>
      <c r="S765" s="1"/>
      <c r="T765" s="1"/>
      <c r="U765" s="1"/>
      <c r="V765" s="1"/>
      <c r="W765" s="1"/>
      <c r="X765" s="1"/>
      <c r="Y765" s="1"/>
      <c r="Z765" s="1"/>
    </row>
    <row r="766" spans="1:26" ht="19.5" customHeight="1">
      <c r="A766" s="1"/>
      <c r="B766" s="2"/>
      <c r="C766" s="1"/>
      <c r="D766" s="1"/>
      <c r="E766" s="2"/>
      <c r="F766" s="1"/>
      <c r="G766" s="1"/>
      <c r="H766" s="1"/>
      <c r="I766" s="1"/>
      <c r="J766" s="1"/>
      <c r="K766" s="1"/>
      <c r="L766" s="1"/>
      <c r="M766" s="1"/>
      <c r="N766" s="1"/>
      <c r="O766" s="1"/>
      <c r="P766" s="1"/>
      <c r="Q766" s="1"/>
      <c r="R766" s="1"/>
      <c r="S766" s="1"/>
      <c r="T766" s="1"/>
      <c r="U766" s="1"/>
      <c r="V766" s="1"/>
      <c r="W766" s="1"/>
      <c r="X766" s="1"/>
      <c r="Y766" s="1"/>
      <c r="Z766" s="1"/>
    </row>
    <row r="767" spans="1:26" ht="19.5" customHeight="1">
      <c r="A767" s="1"/>
      <c r="B767" s="2"/>
      <c r="C767" s="1"/>
      <c r="D767" s="1"/>
      <c r="E767" s="2"/>
      <c r="F767" s="1"/>
      <c r="G767" s="1"/>
      <c r="H767" s="1"/>
      <c r="I767" s="1"/>
      <c r="J767" s="1"/>
      <c r="K767" s="1"/>
      <c r="L767" s="1"/>
      <c r="M767" s="1"/>
      <c r="N767" s="1"/>
      <c r="O767" s="1"/>
      <c r="P767" s="1"/>
      <c r="Q767" s="1"/>
      <c r="R767" s="1"/>
      <c r="S767" s="1"/>
      <c r="T767" s="1"/>
      <c r="U767" s="1"/>
      <c r="V767" s="1"/>
      <c r="W767" s="1"/>
      <c r="X767" s="1"/>
      <c r="Y767" s="1"/>
      <c r="Z767" s="1"/>
    </row>
    <row r="768" spans="1:26" ht="19.5" customHeight="1">
      <c r="A768" s="1"/>
      <c r="B768" s="2"/>
      <c r="C768" s="1"/>
      <c r="D768" s="1"/>
      <c r="E768" s="2"/>
      <c r="F768" s="1"/>
      <c r="G768" s="1"/>
      <c r="H768" s="1"/>
      <c r="I768" s="1"/>
      <c r="J768" s="1"/>
      <c r="K768" s="1"/>
      <c r="L768" s="1"/>
      <c r="M768" s="1"/>
      <c r="N768" s="1"/>
      <c r="O768" s="1"/>
      <c r="P768" s="1"/>
      <c r="Q768" s="1"/>
      <c r="R768" s="1"/>
      <c r="S768" s="1"/>
      <c r="T768" s="1"/>
      <c r="U768" s="1"/>
      <c r="V768" s="1"/>
      <c r="W768" s="1"/>
      <c r="X768" s="1"/>
      <c r="Y768" s="1"/>
      <c r="Z768" s="1"/>
    </row>
    <row r="769" spans="1:26" ht="19.5" customHeight="1">
      <c r="A769" s="1"/>
      <c r="B769" s="2"/>
      <c r="C769" s="1"/>
      <c r="D769" s="1"/>
      <c r="E769" s="2"/>
      <c r="F769" s="1"/>
      <c r="G769" s="1"/>
      <c r="H769" s="1"/>
      <c r="I769" s="1"/>
      <c r="J769" s="1"/>
      <c r="K769" s="1"/>
      <c r="L769" s="1"/>
      <c r="M769" s="1"/>
      <c r="N769" s="1"/>
      <c r="O769" s="1"/>
      <c r="P769" s="1"/>
      <c r="Q769" s="1"/>
      <c r="R769" s="1"/>
      <c r="S769" s="1"/>
      <c r="T769" s="1"/>
      <c r="U769" s="1"/>
      <c r="V769" s="1"/>
      <c r="W769" s="1"/>
      <c r="X769" s="1"/>
      <c r="Y769" s="1"/>
      <c r="Z769" s="1"/>
    </row>
    <row r="770" spans="1:26" ht="19.5" customHeight="1">
      <c r="A770" s="1"/>
      <c r="B770" s="2"/>
      <c r="C770" s="1"/>
      <c r="D770" s="1"/>
      <c r="E770" s="2"/>
      <c r="F770" s="1"/>
      <c r="G770" s="1"/>
      <c r="H770" s="1"/>
      <c r="I770" s="1"/>
      <c r="J770" s="1"/>
      <c r="K770" s="1"/>
      <c r="L770" s="1"/>
      <c r="M770" s="1"/>
      <c r="N770" s="1"/>
      <c r="O770" s="1"/>
      <c r="P770" s="1"/>
      <c r="Q770" s="1"/>
      <c r="R770" s="1"/>
      <c r="S770" s="1"/>
      <c r="T770" s="1"/>
      <c r="U770" s="1"/>
      <c r="V770" s="1"/>
      <c r="W770" s="1"/>
      <c r="X770" s="1"/>
      <c r="Y770" s="1"/>
      <c r="Z770" s="1"/>
    </row>
    <row r="771" spans="1:26" ht="19.5" customHeight="1">
      <c r="A771" s="1"/>
      <c r="B771" s="2"/>
      <c r="C771" s="1"/>
      <c r="D771" s="1"/>
      <c r="E771" s="2"/>
      <c r="F771" s="1"/>
      <c r="G771" s="1"/>
      <c r="H771" s="1"/>
      <c r="I771" s="1"/>
      <c r="J771" s="1"/>
      <c r="K771" s="1"/>
      <c r="L771" s="1"/>
      <c r="M771" s="1"/>
      <c r="N771" s="1"/>
      <c r="O771" s="1"/>
      <c r="P771" s="1"/>
      <c r="Q771" s="1"/>
      <c r="R771" s="1"/>
      <c r="S771" s="1"/>
      <c r="T771" s="1"/>
      <c r="U771" s="1"/>
      <c r="V771" s="1"/>
      <c r="W771" s="1"/>
      <c r="X771" s="1"/>
      <c r="Y771" s="1"/>
      <c r="Z771" s="1"/>
    </row>
    <row r="772" spans="1:26" ht="19.5" customHeight="1">
      <c r="A772" s="1"/>
      <c r="B772" s="2"/>
      <c r="C772" s="1"/>
      <c r="D772" s="1"/>
      <c r="E772" s="2"/>
      <c r="F772" s="1"/>
      <c r="G772" s="1"/>
      <c r="H772" s="1"/>
      <c r="I772" s="1"/>
      <c r="J772" s="1"/>
      <c r="K772" s="1"/>
      <c r="L772" s="1"/>
      <c r="M772" s="1"/>
      <c r="N772" s="1"/>
      <c r="O772" s="1"/>
      <c r="P772" s="1"/>
      <c r="Q772" s="1"/>
      <c r="R772" s="1"/>
      <c r="S772" s="1"/>
      <c r="T772" s="1"/>
      <c r="U772" s="1"/>
      <c r="V772" s="1"/>
      <c r="W772" s="1"/>
      <c r="X772" s="1"/>
      <c r="Y772" s="1"/>
      <c r="Z772" s="1"/>
    </row>
    <row r="773" spans="1:26" ht="19.5" customHeight="1">
      <c r="A773" s="1"/>
      <c r="B773" s="2"/>
      <c r="C773" s="1"/>
      <c r="D773" s="1"/>
      <c r="E773" s="2"/>
      <c r="F773" s="1"/>
      <c r="G773" s="1"/>
      <c r="H773" s="1"/>
      <c r="I773" s="1"/>
      <c r="J773" s="1"/>
      <c r="K773" s="1"/>
      <c r="L773" s="1"/>
      <c r="M773" s="1"/>
      <c r="N773" s="1"/>
      <c r="O773" s="1"/>
      <c r="P773" s="1"/>
      <c r="Q773" s="1"/>
      <c r="R773" s="1"/>
      <c r="S773" s="1"/>
      <c r="T773" s="1"/>
      <c r="U773" s="1"/>
      <c r="V773" s="1"/>
      <c r="W773" s="1"/>
      <c r="X773" s="1"/>
      <c r="Y773" s="1"/>
      <c r="Z773" s="1"/>
    </row>
    <row r="774" spans="1:26" ht="19.5" customHeight="1">
      <c r="A774" s="1"/>
      <c r="B774" s="2"/>
      <c r="C774" s="1"/>
      <c r="D774" s="1"/>
      <c r="E774" s="2"/>
      <c r="F774" s="1"/>
      <c r="G774" s="1"/>
      <c r="H774" s="1"/>
      <c r="I774" s="1"/>
      <c r="J774" s="1"/>
      <c r="K774" s="1"/>
      <c r="L774" s="1"/>
      <c r="M774" s="1"/>
      <c r="N774" s="1"/>
      <c r="O774" s="1"/>
      <c r="P774" s="1"/>
      <c r="Q774" s="1"/>
      <c r="R774" s="1"/>
      <c r="S774" s="1"/>
      <c r="T774" s="1"/>
      <c r="U774" s="1"/>
      <c r="V774" s="1"/>
      <c r="W774" s="1"/>
      <c r="X774" s="1"/>
      <c r="Y774" s="1"/>
      <c r="Z774" s="1"/>
    </row>
    <row r="775" spans="1:26" ht="19.5" customHeight="1">
      <c r="A775" s="1"/>
      <c r="B775" s="2"/>
      <c r="C775" s="1"/>
      <c r="D775" s="1"/>
      <c r="E775" s="2"/>
      <c r="F775" s="1"/>
      <c r="G775" s="1"/>
      <c r="H775" s="1"/>
      <c r="I775" s="1"/>
      <c r="J775" s="1"/>
      <c r="K775" s="1"/>
      <c r="L775" s="1"/>
      <c r="M775" s="1"/>
      <c r="N775" s="1"/>
      <c r="O775" s="1"/>
      <c r="P775" s="1"/>
      <c r="Q775" s="1"/>
      <c r="R775" s="1"/>
      <c r="S775" s="1"/>
      <c r="T775" s="1"/>
      <c r="U775" s="1"/>
      <c r="V775" s="1"/>
      <c r="W775" s="1"/>
      <c r="X775" s="1"/>
      <c r="Y775" s="1"/>
      <c r="Z775" s="1"/>
    </row>
    <row r="776" spans="1:26" ht="19.5" customHeight="1">
      <c r="A776" s="1"/>
      <c r="B776" s="2"/>
      <c r="C776" s="1"/>
      <c r="D776" s="1"/>
      <c r="E776" s="2"/>
      <c r="F776" s="1"/>
      <c r="G776" s="1"/>
      <c r="H776" s="1"/>
      <c r="I776" s="1"/>
      <c r="J776" s="1"/>
      <c r="K776" s="1"/>
      <c r="L776" s="1"/>
      <c r="M776" s="1"/>
      <c r="N776" s="1"/>
      <c r="O776" s="1"/>
      <c r="P776" s="1"/>
      <c r="Q776" s="1"/>
      <c r="R776" s="1"/>
      <c r="S776" s="1"/>
      <c r="T776" s="1"/>
      <c r="U776" s="1"/>
      <c r="V776" s="1"/>
      <c r="W776" s="1"/>
      <c r="X776" s="1"/>
      <c r="Y776" s="1"/>
      <c r="Z776" s="1"/>
    </row>
    <row r="777" spans="1:26" ht="19.5" customHeight="1">
      <c r="A777" s="1"/>
      <c r="B777" s="2"/>
      <c r="C777" s="1"/>
      <c r="D777" s="1"/>
      <c r="E777" s="2"/>
      <c r="F777" s="1"/>
      <c r="G777" s="1"/>
      <c r="H777" s="1"/>
      <c r="I777" s="1"/>
      <c r="J777" s="1"/>
      <c r="K777" s="1"/>
      <c r="L777" s="1"/>
      <c r="M777" s="1"/>
      <c r="N777" s="1"/>
      <c r="O777" s="1"/>
      <c r="P777" s="1"/>
      <c r="Q777" s="1"/>
      <c r="R777" s="1"/>
      <c r="S777" s="1"/>
      <c r="T777" s="1"/>
      <c r="U777" s="1"/>
      <c r="V777" s="1"/>
      <c r="W777" s="1"/>
      <c r="X777" s="1"/>
      <c r="Y777" s="1"/>
      <c r="Z777" s="1"/>
    </row>
    <row r="778" spans="1:26" ht="19.5" customHeight="1">
      <c r="A778" s="1"/>
      <c r="B778" s="2"/>
      <c r="C778" s="1"/>
      <c r="D778" s="1"/>
      <c r="E778" s="2"/>
      <c r="F778" s="1"/>
      <c r="G778" s="1"/>
      <c r="H778" s="1"/>
      <c r="I778" s="1"/>
      <c r="J778" s="1"/>
      <c r="K778" s="1"/>
      <c r="L778" s="1"/>
      <c r="M778" s="1"/>
      <c r="N778" s="1"/>
      <c r="O778" s="1"/>
      <c r="P778" s="1"/>
      <c r="Q778" s="1"/>
      <c r="R778" s="1"/>
      <c r="S778" s="1"/>
      <c r="T778" s="1"/>
      <c r="U778" s="1"/>
      <c r="V778" s="1"/>
      <c r="W778" s="1"/>
      <c r="X778" s="1"/>
      <c r="Y778" s="1"/>
      <c r="Z778" s="1"/>
    </row>
    <row r="779" spans="1:26" ht="19.5" customHeight="1">
      <c r="A779" s="1"/>
      <c r="B779" s="2"/>
      <c r="C779" s="1"/>
      <c r="D779" s="1"/>
      <c r="E779" s="2"/>
      <c r="F779" s="1"/>
      <c r="G779" s="1"/>
      <c r="H779" s="1"/>
      <c r="I779" s="1"/>
      <c r="J779" s="1"/>
      <c r="K779" s="1"/>
      <c r="L779" s="1"/>
      <c r="M779" s="1"/>
      <c r="N779" s="1"/>
      <c r="O779" s="1"/>
      <c r="P779" s="1"/>
      <c r="Q779" s="1"/>
      <c r="R779" s="1"/>
      <c r="S779" s="1"/>
      <c r="T779" s="1"/>
      <c r="U779" s="1"/>
      <c r="V779" s="1"/>
      <c r="W779" s="1"/>
      <c r="X779" s="1"/>
      <c r="Y779" s="1"/>
      <c r="Z779" s="1"/>
    </row>
    <row r="780" spans="1:26" ht="19.5" customHeight="1">
      <c r="A780" s="1"/>
      <c r="B780" s="2"/>
      <c r="C780" s="1"/>
      <c r="D780" s="1"/>
      <c r="E780" s="2"/>
      <c r="F780" s="1"/>
      <c r="G780" s="1"/>
      <c r="H780" s="1"/>
      <c r="I780" s="1"/>
      <c r="J780" s="1"/>
      <c r="K780" s="1"/>
      <c r="L780" s="1"/>
      <c r="M780" s="1"/>
      <c r="N780" s="1"/>
      <c r="O780" s="1"/>
      <c r="P780" s="1"/>
      <c r="Q780" s="1"/>
      <c r="R780" s="1"/>
      <c r="S780" s="1"/>
      <c r="T780" s="1"/>
      <c r="U780" s="1"/>
      <c r="V780" s="1"/>
      <c r="W780" s="1"/>
      <c r="X780" s="1"/>
      <c r="Y780" s="1"/>
      <c r="Z780" s="1"/>
    </row>
    <row r="781" spans="1:26" ht="19.5" customHeight="1">
      <c r="A781" s="1"/>
      <c r="B781" s="2"/>
      <c r="C781" s="1"/>
      <c r="D781" s="1"/>
      <c r="E781" s="2"/>
      <c r="F781" s="1"/>
      <c r="G781" s="1"/>
      <c r="H781" s="1"/>
      <c r="I781" s="1"/>
      <c r="J781" s="1"/>
      <c r="K781" s="1"/>
      <c r="L781" s="1"/>
      <c r="M781" s="1"/>
      <c r="N781" s="1"/>
      <c r="O781" s="1"/>
      <c r="P781" s="1"/>
      <c r="Q781" s="1"/>
      <c r="R781" s="1"/>
      <c r="S781" s="1"/>
      <c r="T781" s="1"/>
      <c r="U781" s="1"/>
      <c r="V781" s="1"/>
      <c r="W781" s="1"/>
      <c r="X781" s="1"/>
      <c r="Y781" s="1"/>
      <c r="Z781" s="1"/>
    </row>
    <row r="782" spans="1:26" ht="19.5" customHeight="1">
      <c r="A782" s="1"/>
      <c r="B782" s="2"/>
      <c r="C782" s="1"/>
      <c r="D782" s="1"/>
      <c r="E782" s="2"/>
      <c r="F782" s="1"/>
      <c r="G782" s="1"/>
      <c r="H782" s="1"/>
      <c r="I782" s="1"/>
      <c r="J782" s="1"/>
      <c r="K782" s="1"/>
      <c r="L782" s="1"/>
      <c r="M782" s="1"/>
      <c r="N782" s="1"/>
      <c r="O782" s="1"/>
      <c r="P782" s="1"/>
      <c r="Q782" s="1"/>
      <c r="R782" s="1"/>
      <c r="S782" s="1"/>
      <c r="T782" s="1"/>
      <c r="U782" s="1"/>
      <c r="V782" s="1"/>
      <c r="W782" s="1"/>
      <c r="X782" s="1"/>
      <c r="Y782" s="1"/>
      <c r="Z782" s="1"/>
    </row>
    <row r="783" spans="1:26" ht="19.5" customHeight="1">
      <c r="A783" s="1"/>
      <c r="B783" s="2"/>
      <c r="C783" s="1"/>
      <c r="D783" s="1"/>
      <c r="E783" s="2"/>
      <c r="F783" s="1"/>
      <c r="G783" s="1"/>
      <c r="H783" s="1"/>
      <c r="I783" s="1"/>
      <c r="J783" s="1"/>
      <c r="K783" s="1"/>
      <c r="L783" s="1"/>
      <c r="M783" s="1"/>
      <c r="N783" s="1"/>
      <c r="O783" s="1"/>
      <c r="P783" s="1"/>
      <c r="Q783" s="1"/>
      <c r="R783" s="1"/>
      <c r="S783" s="1"/>
      <c r="T783" s="1"/>
      <c r="U783" s="1"/>
      <c r="V783" s="1"/>
      <c r="W783" s="1"/>
      <c r="X783" s="1"/>
      <c r="Y783" s="1"/>
      <c r="Z783" s="1"/>
    </row>
    <row r="784" spans="1:26" ht="19.5" customHeight="1">
      <c r="A784" s="1"/>
      <c r="B784" s="2"/>
      <c r="C784" s="1"/>
      <c r="D784" s="1"/>
      <c r="E784" s="2"/>
      <c r="F784" s="1"/>
      <c r="G784" s="1"/>
      <c r="H784" s="1"/>
      <c r="I784" s="1"/>
      <c r="J784" s="1"/>
      <c r="K784" s="1"/>
      <c r="L784" s="1"/>
      <c r="M784" s="1"/>
      <c r="N784" s="1"/>
      <c r="O784" s="1"/>
      <c r="P784" s="1"/>
      <c r="Q784" s="1"/>
      <c r="R784" s="1"/>
      <c r="S784" s="1"/>
      <c r="T784" s="1"/>
      <c r="U784" s="1"/>
      <c r="V784" s="1"/>
      <c r="W784" s="1"/>
      <c r="X784" s="1"/>
      <c r="Y784" s="1"/>
      <c r="Z784" s="1"/>
    </row>
    <row r="785" spans="1:26" ht="19.5" customHeight="1">
      <c r="A785" s="1"/>
      <c r="B785" s="2"/>
      <c r="C785" s="1"/>
      <c r="D785" s="1"/>
      <c r="E785" s="2"/>
      <c r="F785" s="1"/>
      <c r="G785" s="1"/>
      <c r="H785" s="1"/>
      <c r="I785" s="1"/>
      <c r="J785" s="1"/>
      <c r="K785" s="1"/>
      <c r="L785" s="1"/>
      <c r="M785" s="1"/>
      <c r="N785" s="1"/>
      <c r="O785" s="1"/>
      <c r="P785" s="1"/>
      <c r="Q785" s="1"/>
      <c r="R785" s="1"/>
      <c r="S785" s="1"/>
      <c r="T785" s="1"/>
      <c r="U785" s="1"/>
      <c r="V785" s="1"/>
      <c r="W785" s="1"/>
      <c r="X785" s="1"/>
      <c r="Y785" s="1"/>
      <c r="Z785" s="1"/>
    </row>
    <row r="786" spans="1:26" ht="19.5" customHeight="1">
      <c r="A786" s="1"/>
      <c r="B786" s="2"/>
      <c r="C786" s="1"/>
      <c r="D786" s="1"/>
      <c r="E786" s="2"/>
      <c r="F786" s="1"/>
      <c r="G786" s="1"/>
      <c r="H786" s="1"/>
      <c r="I786" s="1"/>
      <c r="J786" s="1"/>
      <c r="K786" s="1"/>
      <c r="L786" s="1"/>
      <c r="M786" s="1"/>
      <c r="N786" s="1"/>
      <c r="O786" s="1"/>
      <c r="P786" s="1"/>
      <c r="Q786" s="1"/>
      <c r="R786" s="1"/>
      <c r="S786" s="1"/>
      <c r="T786" s="1"/>
      <c r="U786" s="1"/>
      <c r="V786" s="1"/>
      <c r="W786" s="1"/>
      <c r="X786" s="1"/>
      <c r="Y786" s="1"/>
      <c r="Z786" s="1"/>
    </row>
    <row r="787" spans="1:26" ht="19.5" customHeight="1">
      <c r="A787" s="1"/>
      <c r="B787" s="2"/>
      <c r="C787" s="1"/>
      <c r="D787" s="1"/>
      <c r="E787" s="2"/>
      <c r="F787" s="1"/>
      <c r="G787" s="1"/>
      <c r="H787" s="1"/>
      <c r="I787" s="1"/>
      <c r="J787" s="1"/>
      <c r="K787" s="1"/>
      <c r="L787" s="1"/>
      <c r="M787" s="1"/>
      <c r="N787" s="1"/>
      <c r="O787" s="1"/>
      <c r="P787" s="1"/>
      <c r="Q787" s="1"/>
      <c r="R787" s="1"/>
      <c r="S787" s="1"/>
      <c r="T787" s="1"/>
      <c r="U787" s="1"/>
      <c r="V787" s="1"/>
      <c r="W787" s="1"/>
      <c r="X787" s="1"/>
      <c r="Y787" s="1"/>
      <c r="Z787" s="1"/>
    </row>
    <row r="788" spans="1:26" ht="19.5" customHeight="1">
      <c r="A788" s="1"/>
      <c r="B788" s="2"/>
      <c r="C788" s="1"/>
      <c r="D788" s="1"/>
      <c r="E788" s="2"/>
      <c r="F788" s="1"/>
      <c r="G788" s="1"/>
      <c r="H788" s="1"/>
      <c r="I788" s="1"/>
      <c r="J788" s="1"/>
      <c r="K788" s="1"/>
      <c r="L788" s="1"/>
      <c r="M788" s="1"/>
      <c r="N788" s="1"/>
      <c r="O788" s="1"/>
      <c r="P788" s="1"/>
      <c r="Q788" s="1"/>
      <c r="R788" s="1"/>
      <c r="S788" s="1"/>
      <c r="T788" s="1"/>
      <c r="U788" s="1"/>
      <c r="V788" s="1"/>
      <c r="W788" s="1"/>
      <c r="X788" s="1"/>
      <c r="Y788" s="1"/>
      <c r="Z788" s="1"/>
    </row>
    <row r="789" spans="1:26" ht="19.5" customHeight="1">
      <c r="A789" s="1"/>
      <c r="B789" s="2"/>
      <c r="C789" s="1"/>
      <c r="D789" s="1"/>
      <c r="E789" s="2"/>
      <c r="F789" s="1"/>
      <c r="G789" s="1"/>
      <c r="H789" s="1"/>
      <c r="I789" s="1"/>
      <c r="J789" s="1"/>
      <c r="K789" s="1"/>
      <c r="L789" s="1"/>
      <c r="M789" s="1"/>
      <c r="N789" s="1"/>
      <c r="O789" s="1"/>
      <c r="P789" s="1"/>
      <c r="Q789" s="1"/>
      <c r="R789" s="1"/>
      <c r="S789" s="1"/>
      <c r="T789" s="1"/>
      <c r="U789" s="1"/>
      <c r="V789" s="1"/>
      <c r="W789" s="1"/>
      <c r="X789" s="1"/>
      <c r="Y789" s="1"/>
      <c r="Z789" s="1"/>
    </row>
    <row r="790" spans="1:26" ht="19.5" customHeight="1">
      <c r="A790" s="1"/>
      <c r="B790" s="2"/>
      <c r="C790" s="1"/>
      <c r="D790" s="1"/>
      <c r="E790" s="2"/>
      <c r="F790" s="1"/>
      <c r="G790" s="1"/>
      <c r="H790" s="1"/>
      <c r="I790" s="1"/>
      <c r="J790" s="1"/>
      <c r="K790" s="1"/>
      <c r="L790" s="1"/>
      <c r="M790" s="1"/>
      <c r="N790" s="1"/>
      <c r="O790" s="1"/>
      <c r="P790" s="1"/>
      <c r="Q790" s="1"/>
      <c r="R790" s="1"/>
      <c r="S790" s="1"/>
      <c r="T790" s="1"/>
      <c r="U790" s="1"/>
      <c r="V790" s="1"/>
      <c r="W790" s="1"/>
      <c r="X790" s="1"/>
      <c r="Y790" s="1"/>
      <c r="Z790" s="1"/>
    </row>
    <row r="791" spans="1:26" ht="19.5" customHeight="1">
      <c r="A791" s="1"/>
      <c r="B791" s="2"/>
      <c r="C791" s="1"/>
      <c r="D791" s="1"/>
      <c r="E791" s="2"/>
      <c r="F791" s="1"/>
      <c r="G791" s="1"/>
      <c r="H791" s="1"/>
      <c r="I791" s="1"/>
      <c r="J791" s="1"/>
      <c r="K791" s="1"/>
      <c r="L791" s="1"/>
      <c r="M791" s="1"/>
      <c r="N791" s="1"/>
      <c r="O791" s="1"/>
      <c r="P791" s="1"/>
      <c r="Q791" s="1"/>
      <c r="R791" s="1"/>
      <c r="S791" s="1"/>
      <c r="T791" s="1"/>
      <c r="U791" s="1"/>
      <c r="V791" s="1"/>
      <c r="W791" s="1"/>
      <c r="X791" s="1"/>
      <c r="Y791" s="1"/>
      <c r="Z791" s="1"/>
    </row>
    <row r="792" spans="1:26" ht="19.5" customHeight="1">
      <c r="A792" s="1"/>
      <c r="B792" s="2"/>
      <c r="C792" s="1"/>
      <c r="D792" s="1"/>
      <c r="E792" s="2"/>
      <c r="F792" s="1"/>
      <c r="G792" s="1"/>
      <c r="H792" s="1"/>
      <c r="I792" s="1"/>
      <c r="J792" s="1"/>
      <c r="K792" s="1"/>
      <c r="L792" s="1"/>
      <c r="M792" s="1"/>
      <c r="N792" s="1"/>
      <c r="O792" s="1"/>
      <c r="P792" s="1"/>
      <c r="Q792" s="1"/>
      <c r="R792" s="1"/>
      <c r="S792" s="1"/>
      <c r="T792" s="1"/>
      <c r="U792" s="1"/>
      <c r="V792" s="1"/>
      <c r="W792" s="1"/>
      <c r="X792" s="1"/>
      <c r="Y792" s="1"/>
      <c r="Z792" s="1"/>
    </row>
    <row r="793" spans="1:26" ht="19.5" customHeight="1">
      <c r="A793" s="1"/>
      <c r="B793" s="2"/>
      <c r="C793" s="1"/>
      <c r="D793" s="1"/>
      <c r="E793" s="2"/>
      <c r="F793" s="1"/>
      <c r="G793" s="1"/>
      <c r="H793" s="1"/>
      <c r="I793" s="1"/>
      <c r="J793" s="1"/>
      <c r="K793" s="1"/>
      <c r="L793" s="1"/>
      <c r="M793" s="1"/>
      <c r="N793" s="1"/>
      <c r="O793" s="1"/>
      <c r="P793" s="1"/>
      <c r="Q793" s="1"/>
      <c r="R793" s="1"/>
      <c r="S793" s="1"/>
      <c r="T793" s="1"/>
      <c r="U793" s="1"/>
      <c r="V793" s="1"/>
      <c r="W793" s="1"/>
      <c r="X793" s="1"/>
      <c r="Y793" s="1"/>
      <c r="Z793" s="1"/>
    </row>
    <row r="794" spans="1:26" ht="19.5" customHeight="1">
      <c r="A794" s="1"/>
      <c r="B794" s="2"/>
      <c r="C794" s="1"/>
      <c r="D794" s="1"/>
      <c r="E794" s="2"/>
      <c r="F794" s="1"/>
      <c r="G794" s="1"/>
      <c r="H794" s="1"/>
      <c r="I794" s="1"/>
      <c r="J794" s="1"/>
      <c r="K794" s="1"/>
      <c r="L794" s="1"/>
      <c r="M794" s="1"/>
      <c r="N794" s="1"/>
      <c r="O794" s="1"/>
      <c r="P794" s="1"/>
      <c r="Q794" s="1"/>
      <c r="R794" s="1"/>
      <c r="S794" s="1"/>
      <c r="T794" s="1"/>
      <c r="U794" s="1"/>
      <c r="V794" s="1"/>
      <c r="W794" s="1"/>
      <c r="X794" s="1"/>
      <c r="Y794" s="1"/>
      <c r="Z794" s="1"/>
    </row>
    <row r="795" spans="1:26" ht="19.5" customHeight="1">
      <c r="A795" s="1"/>
      <c r="B795" s="2"/>
      <c r="C795" s="1"/>
      <c r="D795" s="1"/>
      <c r="E795" s="2"/>
      <c r="F795" s="1"/>
      <c r="G795" s="1"/>
      <c r="H795" s="1"/>
      <c r="I795" s="1"/>
      <c r="J795" s="1"/>
      <c r="K795" s="1"/>
      <c r="L795" s="1"/>
      <c r="M795" s="1"/>
      <c r="N795" s="1"/>
      <c r="O795" s="1"/>
      <c r="P795" s="1"/>
      <c r="Q795" s="1"/>
      <c r="R795" s="1"/>
      <c r="S795" s="1"/>
      <c r="T795" s="1"/>
      <c r="U795" s="1"/>
      <c r="V795" s="1"/>
      <c r="W795" s="1"/>
      <c r="X795" s="1"/>
      <c r="Y795" s="1"/>
      <c r="Z795" s="1"/>
    </row>
    <row r="796" spans="1:26" ht="19.5" customHeight="1">
      <c r="A796" s="1"/>
      <c r="B796" s="2"/>
      <c r="C796" s="1"/>
      <c r="D796" s="1"/>
      <c r="E796" s="2"/>
      <c r="F796" s="1"/>
      <c r="G796" s="1"/>
      <c r="H796" s="1"/>
      <c r="I796" s="1"/>
      <c r="J796" s="1"/>
      <c r="K796" s="1"/>
      <c r="L796" s="1"/>
      <c r="M796" s="1"/>
      <c r="N796" s="1"/>
      <c r="O796" s="1"/>
      <c r="P796" s="1"/>
      <c r="Q796" s="1"/>
      <c r="R796" s="1"/>
      <c r="S796" s="1"/>
      <c r="T796" s="1"/>
      <c r="U796" s="1"/>
      <c r="V796" s="1"/>
      <c r="W796" s="1"/>
      <c r="X796" s="1"/>
      <c r="Y796" s="1"/>
      <c r="Z796" s="1"/>
    </row>
    <row r="797" spans="1:26" ht="19.5" customHeight="1">
      <c r="A797" s="1"/>
      <c r="B797" s="2"/>
      <c r="C797" s="1"/>
      <c r="D797" s="1"/>
      <c r="E797" s="2"/>
      <c r="F797" s="1"/>
      <c r="G797" s="1"/>
      <c r="H797" s="1"/>
      <c r="I797" s="1"/>
      <c r="J797" s="1"/>
      <c r="K797" s="1"/>
      <c r="L797" s="1"/>
      <c r="M797" s="1"/>
      <c r="N797" s="1"/>
      <c r="O797" s="1"/>
      <c r="P797" s="1"/>
      <c r="Q797" s="1"/>
      <c r="R797" s="1"/>
      <c r="S797" s="1"/>
      <c r="T797" s="1"/>
      <c r="U797" s="1"/>
      <c r="V797" s="1"/>
      <c r="W797" s="1"/>
      <c r="X797" s="1"/>
      <c r="Y797" s="1"/>
      <c r="Z797" s="1"/>
    </row>
    <row r="798" spans="1:26" ht="19.5" customHeight="1">
      <c r="A798" s="1"/>
      <c r="B798" s="2"/>
      <c r="C798" s="1"/>
      <c r="D798" s="1"/>
      <c r="E798" s="2"/>
      <c r="F798" s="1"/>
      <c r="G798" s="1"/>
      <c r="H798" s="1"/>
      <c r="I798" s="1"/>
      <c r="J798" s="1"/>
      <c r="K798" s="1"/>
      <c r="L798" s="1"/>
      <c r="M798" s="1"/>
      <c r="N798" s="1"/>
      <c r="O798" s="1"/>
      <c r="P798" s="1"/>
      <c r="Q798" s="1"/>
      <c r="R798" s="1"/>
      <c r="S798" s="1"/>
      <c r="T798" s="1"/>
      <c r="U798" s="1"/>
      <c r="V798" s="1"/>
      <c r="W798" s="1"/>
      <c r="X798" s="1"/>
      <c r="Y798" s="1"/>
      <c r="Z798" s="1"/>
    </row>
    <row r="799" spans="1:26" ht="19.5" customHeight="1">
      <c r="A799" s="1"/>
      <c r="B799" s="2"/>
      <c r="C799" s="1"/>
      <c r="D799" s="1"/>
      <c r="E799" s="2"/>
      <c r="F799" s="1"/>
      <c r="G799" s="1"/>
      <c r="H799" s="1"/>
      <c r="I799" s="1"/>
      <c r="J799" s="1"/>
      <c r="K799" s="1"/>
      <c r="L799" s="1"/>
      <c r="M799" s="1"/>
      <c r="N799" s="1"/>
      <c r="O799" s="1"/>
      <c r="P799" s="1"/>
      <c r="Q799" s="1"/>
      <c r="R799" s="1"/>
      <c r="S799" s="1"/>
      <c r="T799" s="1"/>
      <c r="U799" s="1"/>
      <c r="V799" s="1"/>
      <c r="W799" s="1"/>
      <c r="X799" s="1"/>
      <c r="Y799" s="1"/>
      <c r="Z799" s="1"/>
    </row>
    <row r="800" spans="1:26" ht="19.5" customHeight="1">
      <c r="A800" s="1"/>
      <c r="B800" s="2"/>
      <c r="C800" s="1"/>
      <c r="D800" s="1"/>
      <c r="E800" s="2"/>
      <c r="F800" s="1"/>
      <c r="G800" s="1"/>
      <c r="H800" s="1"/>
      <c r="I800" s="1"/>
      <c r="J800" s="1"/>
      <c r="K800" s="1"/>
      <c r="L800" s="1"/>
      <c r="M800" s="1"/>
      <c r="N800" s="1"/>
      <c r="O800" s="1"/>
      <c r="P800" s="1"/>
      <c r="Q800" s="1"/>
      <c r="R800" s="1"/>
      <c r="S800" s="1"/>
      <c r="T800" s="1"/>
      <c r="U800" s="1"/>
      <c r="V800" s="1"/>
      <c r="W800" s="1"/>
      <c r="X800" s="1"/>
      <c r="Y800" s="1"/>
      <c r="Z800" s="1"/>
    </row>
    <row r="801" spans="1:26" ht="19.5" customHeight="1">
      <c r="A801" s="1"/>
      <c r="B801" s="2"/>
      <c r="C801" s="1"/>
      <c r="D801" s="1"/>
      <c r="E801" s="2"/>
      <c r="F801" s="1"/>
      <c r="G801" s="1"/>
      <c r="H801" s="1"/>
      <c r="I801" s="1"/>
      <c r="J801" s="1"/>
      <c r="K801" s="1"/>
      <c r="L801" s="1"/>
      <c r="M801" s="1"/>
      <c r="N801" s="1"/>
      <c r="O801" s="1"/>
      <c r="P801" s="1"/>
      <c r="Q801" s="1"/>
      <c r="R801" s="1"/>
      <c r="S801" s="1"/>
      <c r="T801" s="1"/>
      <c r="U801" s="1"/>
      <c r="V801" s="1"/>
      <c r="W801" s="1"/>
      <c r="X801" s="1"/>
      <c r="Y801" s="1"/>
      <c r="Z801" s="1"/>
    </row>
    <row r="802" spans="1:26" ht="19.5" customHeight="1">
      <c r="A802" s="1"/>
      <c r="B802" s="2"/>
      <c r="C802" s="1"/>
      <c r="D802" s="1"/>
      <c r="E802" s="2"/>
      <c r="F802" s="1"/>
      <c r="G802" s="1"/>
      <c r="H802" s="1"/>
      <c r="I802" s="1"/>
      <c r="J802" s="1"/>
      <c r="K802" s="1"/>
      <c r="L802" s="1"/>
      <c r="M802" s="1"/>
      <c r="N802" s="1"/>
      <c r="O802" s="1"/>
      <c r="P802" s="1"/>
      <c r="Q802" s="1"/>
      <c r="R802" s="1"/>
      <c r="S802" s="1"/>
      <c r="T802" s="1"/>
      <c r="U802" s="1"/>
      <c r="V802" s="1"/>
      <c r="W802" s="1"/>
      <c r="X802" s="1"/>
      <c r="Y802" s="1"/>
      <c r="Z802" s="1"/>
    </row>
    <row r="803" spans="1:26" ht="19.5" customHeight="1">
      <c r="A803" s="1"/>
      <c r="B803" s="2"/>
      <c r="C803" s="1"/>
      <c r="D803" s="1"/>
      <c r="E803" s="2"/>
      <c r="F803" s="1"/>
      <c r="G803" s="1"/>
      <c r="H803" s="1"/>
      <c r="I803" s="1"/>
      <c r="J803" s="1"/>
      <c r="K803" s="1"/>
      <c r="L803" s="1"/>
      <c r="M803" s="1"/>
      <c r="N803" s="1"/>
      <c r="O803" s="1"/>
      <c r="P803" s="1"/>
      <c r="Q803" s="1"/>
      <c r="R803" s="1"/>
      <c r="S803" s="1"/>
      <c r="T803" s="1"/>
      <c r="U803" s="1"/>
      <c r="V803" s="1"/>
      <c r="W803" s="1"/>
      <c r="X803" s="1"/>
      <c r="Y803" s="1"/>
      <c r="Z803" s="1"/>
    </row>
    <row r="804" spans="1:26" ht="19.5" customHeight="1">
      <c r="A804" s="1"/>
      <c r="B804" s="2"/>
      <c r="C804" s="1"/>
      <c r="D804" s="1"/>
      <c r="E804" s="2"/>
      <c r="F804" s="1"/>
      <c r="G804" s="1"/>
      <c r="H804" s="1"/>
      <c r="I804" s="1"/>
      <c r="J804" s="1"/>
      <c r="K804" s="1"/>
      <c r="L804" s="1"/>
      <c r="M804" s="1"/>
      <c r="N804" s="1"/>
      <c r="O804" s="1"/>
      <c r="P804" s="1"/>
      <c r="Q804" s="1"/>
      <c r="R804" s="1"/>
      <c r="S804" s="1"/>
      <c r="T804" s="1"/>
      <c r="U804" s="1"/>
      <c r="V804" s="1"/>
      <c r="W804" s="1"/>
      <c r="X804" s="1"/>
      <c r="Y804" s="1"/>
      <c r="Z804" s="1"/>
    </row>
    <row r="805" spans="1:26" ht="19.5" customHeight="1">
      <c r="A805" s="1"/>
      <c r="B805" s="2"/>
      <c r="C805" s="1"/>
      <c r="D805" s="1"/>
      <c r="E805" s="2"/>
      <c r="F805" s="1"/>
      <c r="G805" s="1"/>
      <c r="H805" s="1"/>
      <c r="I805" s="1"/>
      <c r="J805" s="1"/>
      <c r="K805" s="1"/>
      <c r="L805" s="1"/>
      <c r="M805" s="1"/>
      <c r="N805" s="1"/>
      <c r="O805" s="1"/>
      <c r="P805" s="1"/>
      <c r="Q805" s="1"/>
      <c r="R805" s="1"/>
      <c r="S805" s="1"/>
      <c r="T805" s="1"/>
      <c r="U805" s="1"/>
      <c r="V805" s="1"/>
      <c r="W805" s="1"/>
      <c r="X805" s="1"/>
      <c r="Y805" s="1"/>
      <c r="Z805" s="1"/>
    </row>
    <row r="806" spans="1:26" ht="19.5" customHeight="1">
      <c r="A806" s="1"/>
      <c r="B806" s="2"/>
      <c r="C806" s="1"/>
      <c r="D806" s="1"/>
      <c r="E806" s="2"/>
      <c r="F806" s="1"/>
      <c r="G806" s="1"/>
      <c r="H806" s="1"/>
      <c r="I806" s="1"/>
      <c r="J806" s="1"/>
      <c r="K806" s="1"/>
      <c r="L806" s="1"/>
      <c r="M806" s="1"/>
      <c r="N806" s="1"/>
      <c r="O806" s="1"/>
      <c r="P806" s="1"/>
      <c r="Q806" s="1"/>
      <c r="R806" s="1"/>
      <c r="S806" s="1"/>
      <c r="T806" s="1"/>
      <c r="U806" s="1"/>
      <c r="V806" s="1"/>
      <c r="W806" s="1"/>
      <c r="X806" s="1"/>
      <c r="Y806" s="1"/>
      <c r="Z806" s="1"/>
    </row>
    <row r="807" spans="1:26" ht="19.5" customHeight="1">
      <c r="A807" s="1"/>
      <c r="B807" s="2"/>
      <c r="C807" s="1"/>
      <c r="D807" s="1"/>
      <c r="E807" s="2"/>
      <c r="F807" s="1"/>
      <c r="G807" s="1"/>
      <c r="H807" s="1"/>
      <c r="I807" s="1"/>
      <c r="J807" s="1"/>
      <c r="K807" s="1"/>
      <c r="L807" s="1"/>
      <c r="M807" s="1"/>
      <c r="N807" s="1"/>
      <c r="O807" s="1"/>
      <c r="P807" s="1"/>
      <c r="Q807" s="1"/>
      <c r="R807" s="1"/>
      <c r="S807" s="1"/>
      <c r="T807" s="1"/>
      <c r="U807" s="1"/>
      <c r="V807" s="1"/>
      <c r="W807" s="1"/>
      <c r="X807" s="1"/>
      <c r="Y807" s="1"/>
      <c r="Z807" s="1"/>
    </row>
    <row r="808" spans="1:26" ht="19.5" customHeight="1">
      <c r="A808" s="1"/>
      <c r="B808" s="2"/>
      <c r="C808" s="1"/>
      <c r="D808" s="1"/>
      <c r="E808" s="2"/>
      <c r="F808" s="1"/>
      <c r="G808" s="1"/>
      <c r="H808" s="1"/>
      <c r="I808" s="1"/>
      <c r="J808" s="1"/>
      <c r="K808" s="1"/>
      <c r="L808" s="1"/>
      <c r="M808" s="1"/>
      <c r="N808" s="1"/>
      <c r="O808" s="1"/>
      <c r="P808" s="1"/>
      <c r="Q808" s="1"/>
      <c r="R808" s="1"/>
      <c r="S808" s="1"/>
      <c r="T808" s="1"/>
      <c r="U808" s="1"/>
      <c r="V808" s="1"/>
      <c r="W808" s="1"/>
      <c r="X808" s="1"/>
      <c r="Y808" s="1"/>
      <c r="Z808" s="1"/>
    </row>
    <row r="809" spans="1:26" ht="19.5" customHeight="1">
      <c r="A809" s="1"/>
      <c r="B809" s="2"/>
      <c r="C809" s="1"/>
      <c r="D809" s="1"/>
      <c r="E809" s="2"/>
      <c r="F809" s="1"/>
      <c r="G809" s="1"/>
      <c r="H809" s="1"/>
      <c r="I809" s="1"/>
      <c r="J809" s="1"/>
      <c r="K809" s="1"/>
      <c r="L809" s="1"/>
      <c r="M809" s="1"/>
      <c r="N809" s="1"/>
      <c r="O809" s="1"/>
      <c r="P809" s="1"/>
      <c r="Q809" s="1"/>
      <c r="R809" s="1"/>
      <c r="S809" s="1"/>
      <c r="T809" s="1"/>
      <c r="U809" s="1"/>
      <c r="V809" s="1"/>
      <c r="W809" s="1"/>
      <c r="X809" s="1"/>
      <c r="Y809" s="1"/>
      <c r="Z809" s="1"/>
    </row>
    <row r="810" spans="1:26" ht="19.5" customHeight="1">
      <c r="A810" s="1"/>
      <c r="B810" s="2"/>
      <c r="C810" s="1"/>
      <c r="D810" s="1"/>
      <c r="E810" s="2"/>
      <c r="F810" s="1"/>
      <c r="G810" s="1"/>
      <c r="H810" s="1"/>
      <c r="I810" s="1"/>
      <c r="J810" s="1"/>
      <c r="K810" s="1"/>
      <c r="L810" s="1"/>
      <c r="M810" s="1"/>
      <c r="N810" s="1"/>
      <c r="O810" s="1"/>
      <c r="P810" s="1"/>
      <c r="Q810" s="1"/>
      <c r="R810" s="1"/>
      <c r="S810" s="1"/>
      <c r="T810" s="1"/>
      <c r="U810" s="1"/>
      <c r="V810" s="1"/>
      <c r="W810" s="1"/>
      <c r="X810" s="1"/>
      <c r="Y810" s="1"/>
      <c r="Z810" s="1"/>
    </row>
    <row r="811" spans="1:26" ht="19.5" customHeight="1">
      <c r="A811" s="1"/>
      <c r="B811" s="2"/>
      <c r="C811" s="1"/>
      <c r="D811" s="1"/>
      <c r="E811" s="2"/>
      <c r="F811" s="1"/>
      <c r="G811" s="1"/>
      <c r="H811" s="1"/>
      <c r="I811" s="1"/>
      <c r="J811" s="1"/>
      <c r="K811" s="1"/>
      <c r="L811" s="1"/>
      <c r="M811" s="1"/>
      <c r="N811" s="1"/>
      <c r="O811" s="1"/>
      <c r="P811" s="1"/>
      <c r="Q811" s="1"/>
      <c r="R811" s="1"/>
      <c r="S811" s="1"/>
      <c r="T811" s="1"/>
      <c r="U811" s="1"/>
      <c r="V811" s="1"/>
      <c r="W811" s="1"/>
      <c r="X811" s="1"/>
      <c r="Y811" s="1"/>
      <c r="Z811" s="1"/>
    </row>
    <row r="812" spans="1:26" ht="19.5" customHeight="1">
      <c r="A812" s="1"/>
      <c r="B812" s="2"/>
      <c r="C812" s="1"/>
      <c r="D812" s="1"/>
      <c r="E812" s="2"/>
      <c r="F812" s="1"/>
      <c r="G812" s="1"/>
      <c r="H812" s="1"/>
      <c r="I812" s="1"/>
      <c r="J812" s="1"/>
      <c r="K812" s="1"/>
      <c r="L812" s="1"/>
      <c r="M812" s="1"/>
      <c r="N812" s="1"/>
      <c r="O812" s="1"/>
      <c r="P812" s="1"/>
      <c r="Q812" s="1"/>
      <c r="R812" s="1"/>
      <c r="S812" s="1"/>
      <c r="T812" s="1"/>
      <c r="U812" s="1"/>
      <c r="V812" s="1"/>
      <c r="W812" s="1"/>
      <c r="X812" s="1"/>
      <c r="Y812" s="1"/>
      <c r="Z812" s="1"/>
    </row>
    <row r="813" spans="1:26" ht="19.5" customHeight="1">
      <c r="A813" s="1"/>
      <c r="B813" s="2"/>
      <c r="C813" s="1"/>
      <c r="D813" s="1"/>
      <c r="E813" s="2"/>
      <c r="F813" s="1"/>
      <c r="G813" s="1"/>
      <c r="H813" s="1"/>
      <c r="I813" s="1"/>
      <c r="J813" s="1"/>
      <c r="K813" s="1"/>
      <c r="L813" s="1"/>
      <c r="M813" s="1"/>
      <c r="N813" s="1"/>
      <c r="O813" s="1"/>
      <c r="P813" s="1"/>
      <c r="Q813" s="1"/>
      <c r="R813" s="1"/>
      <c r="S813" s="1"/>
      <c r="T813" s="1"/>
      <c r="U813" s="1"/>
      <c r="V813" s="1"/>
      <c r="W813" s="1"/>
      <c r="X813" s="1"/>
      <c r="Y813" s="1"/>
      <c r="Z813" s="1"/>
    </row>
    <row r="814" spans="1:26" ht="19.5" customHeight="1">
      <c r="A814" s="1"/>
      <c r="B814" s="2"/>
      <c r="C814" s="1"/>
      <c r="D814" s="1"/>
      <c r="E814" s="2"/>
      <c r="F814" s="1"/>
      <c r="G814" s="1"/>
      <c r="H814" s="1"/>
      <c r="I814" s="1"/>
      <c r="J814" s="1"/>
      <c r="K814" s="1"/>
      <c r="L814" s="1"/>
      <c r="M814" s="1"/>
      <c r="N814" s="1"/>
      <c r="O814" s="1"/>
      <c r="P814" s="1"/>
      <c r="Q814" s="1"/>
      <c r="R814" s="1"/>
      <c r="S814" s="1"/>
      <c r="T814" s="1"/>
      <c r="U814" s="1"/>
      <c r="V814" s="1"/>
      <c r="W814" s="1"/>
      <c r="X814" s="1"/>
      <c r="Y814" s="1"/>
      <c r="Z814" s="1"/>
    </row>
    <row r="815" spans="1:26" ht="19.5" customHeight="1">
      <c r="A815" s="1"/>
      <c r="B815" s="2"/>
      <c r="C815" s="1"/>
      <c r="D815" s="1"/>
      <c r="E815" s="2"/>
      <c r="F815" s="1"/>
      <c r="G815" s="1"/>
      <c r="H815" s="1"/>
      <c r="I815" s="1"/>
      <c r="J815" s="1"/>
      <c r="K815" s="1"/>
      <c r="L815" s="1"/>
      <c r="M815" s="1"/>
      <c r="N815" s="1"/>
      <c r="O815" s="1"/>
      <c r="P815" s="1"/>
      <c r="Q815" s="1"/>
      <c r="R815" s="1"/>
      <c r="S815" s="1"/>
      <c r="T815" s="1"/>
      <c r="U815" s="1"/>
      <c r="V815" s="1"/>
      <c r="W815" s="1"/>
      <c r="X815" s="1"/>
      <c r="Y815" s="1"/>
      <c r="Z815" s="1"/>
    </row>
    <row r="816" spans="1:26" ht="19.5" customHeight="1">
      <c r="A816" s="1"/>
      <c r="B816" s="2"/>
      <c r="C816" s="1"/>
      <c r="D816" s="1"/>
      <c r="E816" s="2"/>
      <c r="F816" s="1"/>
      <c r="G816" s="1"/>
      <c r="H816" s="1"/>
      <c r="I816" s="1"/>
      <c r="J816" s="1"/>
      <c r="K816" s="1"/>
      <c r="L816" s="1"/>
      <c r="M816" s="1"/>
      <c r="N816" s="1"/>
      <c r="O816" s="1"/>
      <c r="P816" s="1"/>
      <c r="Q816" s="1"/>
      <c r="R816" s="1"/>
      <c r="S816" s="1"/>
      <c r="T816" s="1"/>
      <c r="U816" s="1"/>
      <c r="V816" s="1"/>
      <c r="W816" s="1"/>
      <c r="X816" s="1"/>
      <c r="Y816" s="1"/>
      <c r="Z816" s="1"/>
    </row>
    <row r="817" spans="1:26" ht="19.5" customHeight="1">
      <c r="A817" s="1"/>
      <c r="B817" s="2"/>
      <c r="C817" s="1"/>
      <c r="D817" s="1"/>
      <c r="E817" s="2"/>
      <c r="F817" s="1"/>
      <c r="G817" s="1"/>
      <c r="H817" s="1"/>
      <c r="I817" s="1"/>
      <c r="J817" s="1"/>
      <c r="K817" s="1"/>
      <c r="L817" s="1"/>
      <c r="M817" s="1"/>
      <c r="N817" s="1"/>
      <c r="O817" s="1"/>
      <c r="P817" s="1"/>
      <c r="Q817" s="1"/>
      <c r="R817" s="1"/>
      <c r="S817" s="1"/>
      <c r="T817" s="1"/>
      <c r="U817" s="1"/>
      <c r="V817" s="1"/>
      <c r="W817" s="1"/>
      <c r="X817" s="1"/>
      <c r="Y817" s="1"/>
      <c r="Z817" s="1"/>
    </row>
    <row r="818" spans="1:26" ht="19.5" customHeight="1">
      <c r="A818" s="1"/>
      <c r="B818" s="2"/>
      <c r="C818" s="1"/>
      <c r="D818" s="1"/>
      <c r="E818" s="2"/>
      <c r="F818" s="1"/>
      <c r="G818" s="1"/>
      <c r="H818" s="1"/>
      <c r="I818" s="1"/>
      <c r="J818" s="1"/>
      <c r="K818" s="1"/>
      <c r="L818" s="1"/>
      <c r="M818" s="1"/>
      <c r="N818" s="1"/>
      <c r="O818" s="1"/>
      <c r="P818" s="1"/>
      <c r="Q818" s="1"/>
      <c r="R818" s="1"/>
      <c r="S818" s="1"/>
      <c r="T818" s="1"/>
      <c r="U818" s="1"/>
      <c r="V818" s="1"/>
      <c r="W818" s="1"/>
      <c r="X818" s="1"/>
      <c r="Y818" s="1"/>
      <c r="Z818" s="1"/>
    </row>
    <row r="819" spans="1:26" ht="19.5" customHeight="1">
      <c r="A819" s="1"/>
      <c r="B819" s="2"/>
      <c r="C819" s="1"/>
      <c r="D819" s="1"/>
      <c r="E819" s="2"/>
      <c r="F819" s="1"/>
      <c r="G819" s="1"/>
      <c r="H819" s="1"/>
      <c r="I819" s="1"/>
      <c r="J819" s="1"/>
      <c r="K819" s="1"/>
      <c r="L819" s="1"/>
      <c r="M819" s="1"/>
      <c r="N819" s="1"/>
      <c r="O819" s="1"/>
      <c r="P819" s="1"/>
      <c r="Q819" s="1"/>
      <c r="R819" s="1"/>
      <c r="S819" s="1"/>
      <c r="T819" s="1"/>
      <c r="U819" s="1"/>
      <c r="V819" s="1"/>
      <c r="W819" s="1"/>
      <c r="X819" s="1"/>
      <c r="Y819" s="1"/>
      <c r="Z819" s="1"/>
    </row>
    <row r="820" spans="1:26" ht="19.5" customHeight="1">
      <c r="A820" s="1"/>
      <c r="B820" s="2"/>
      <c r="C820" s="1"/>
      <c r="D820" s="1"/>
      <c r="E820" s="2"/>
      <c r="F820" s="1"/>
      <c r="G820" s="1"/>
      <c r="H820" s="1"/>
      <c r="I820" s="1"/>
      <c r="J820" s="1"/>
      <c r="K820" s="1"/>
      <c r="L820" s="1"/>
      <c r="M820" s="1"/>
      <c r="N820" s="1"/>
      <c r="O820" s="1"/>
      <c r="P820" s="1"/>
      <c r="Q820" s="1"/>
      <c r="R820" s="1"/>
      <c r="S820" s="1"/>
      <c r="T820" s="1"/>
      <c r="U820" s="1"/>
      <c r="V820" s="1"/>
      <c r="W820" s="1"/>
      <c r="X820" s="1"/>
      <c r="Y820" s="1"/>
      <c r="Z820" s="1"/>
    </row>
    <row r="821" spans="1:26" ht="19.5" customHeight="1">
      <c r="A821" s="1"/>
      <c r="B821" s="2"/>
      <c r="C821" s="1"/>
      <c r="D821" s="1"/>
      <c r="E821" s="2"/>
      <c r="F821" s="1"/>
      <c r="G821" s="1"/>
      <c r="H821" s="1"/>
      <c r="I821" s="1"/>
      <c r="J821" s="1"/>
      <c r="K821" s="1"/>
      <c r="L821" s="1"/>
      <c r="M821" s="1"/>
      <c r="N821" s="1"/>
      <c r="O821" s="1"/>
      <c r="P821" s="1"/>
      <c r="Q821" s="1"/>
      <c r="R821" s="1"/>
      <c r="S821" s="1"/>
      <c r="T821" s="1"/>
      <c r="U821" s="1"/>
      <c r="V821" s="1"/>
      <c r="W821" s="1"/>
      <c r="X821" s="1"/>
      <c r="Y821" s="1"/>
      <c r="Z821" s="1"/>
    </row>
    <row r="822" spans="1:26" ht="19.5" customHeight="1">
      <c r="A822" s="1"/>
      <c r="B822" s="2"/>
      <c r="C822" s="1"/>
      <c r="D822" s="1"/>
      <c r="E822" s="2"/>
      <c r="F822" s="1"/>
      <c r="G822" s="1"/>
      <c r="H822" s="1"/>
      <c r="I822" s="1"/>
      <c r="J822" s="1"/>
      <c r="K822" s="1"/>
      <c r="L822" s="1"/>
      <c r="M822" s="1"/>
      <c r="N822" s="1"/>
      <c r="O822" s="1"/>
      <c r="P822" s="1"/>
      <c r="Q822" s="1"/>
      <c r="R822" s="1"/>
      <c r="S822" s="1"/>
      <c r="T822" s="1"/>
      <c r="U822" s="1"/>
      <c r="V822" s="1"/>
      <c r="W822" s="1"/>
      <c r="X822" s="1"/>
      <c r="Y822" s="1"/>
      <c r="Z822" s="1"/>
    </row>
    <row r="823" spans="1:26" ht="19.5" customHeight="1">
      <c r="A823" s="1"/>
      <c r="B823" s="2"/>
      <c r="C823" s="1"/>
      <c r="D823" s="1"/>
      <c r="E823" s="2"/>
      <c r="F823" s="1"/>
      <c r="G823" s="1"/>
      <c r="H823" s="1"/>
      <c r="I823" s="1"/>
      <c r="J823" s="1"/>
      <c r="K823" s="1"/>
      <c r="L823" s="1"/>
      <c r="M823" s="1"/>
      <c r="N823" s="1"/>
      <c r="O823" s="1"/>
      <c r="P823" s="1"/>
      <c r="Q823" s="1"/>
      <c r="R823" s="1"/>
      <c r="S823" s="1"/>
      <c r="T823" s="1"/>
      <c r="U823" s="1"/>
      <c r="V823" s="1"/>
      <c r="W823" s="1"/>
      <c r="X823" s="1"/>
      <c r="Y823" s="1"/>
      <c r="Z823" s="1"/>
    </row>
    <row r="824" spans="1:26" ht="19.5" customHeight="1">
      <c r="A824" s="1"/>
      <c r="B824" s="2"/>
      <c r="C824" s="1"/>
      <c r="D824" s="1"/>
      <c r="E824" s="2"/>
      <c r="F824" s="1"/>
      <c r="G824" s="1"/>
      <c r="H824" s="1"/>
      <c r="I824" s="1"/>
      <c r="J824" s="1"/>
      <c r="K824" s="1"/>
      <c r="L824" s="1"/>
      <c r="M824" s="1"/>
      <c r="N824" s="1"/>
      <c r="O824" s="1"/>
      <c r="P824" s="1"/>
      <c r="Q824" s="1"/>
      <c r="R824" s="1"/>
      <c r="S824" s="1"/>
      <c r="T824" s="1"/>
      <c r="U824" s="1"/>
      <c r="V824" s="1"/>
      <c r="W824" s="1"/>
      <c r="X824" s="1"/>
      <c r="Y824" s="1"/>
      <c r="Z824" s="1"/>
    </row>
    <row r="825" spans="1:26" ht="19.5" customHeight="1">
      <c r="A825" s="1"/>
      <c r="B825" s="2"/>
      <c r="C825" s="1"/>
      <c r="D825" s="1"/>
      <c r="E825" s="2"/>
      <c r="F825" s="1"/>
      <c r="G825" s="1"/>
      <c r="H825" s="1"/>
      <c r="I825" s="1"/>
      <c r="J825" s="1"/>
      <c r="K825" s="1"/>
      <c r="L825" s="1"/>
      <c r="M825" s="1"/>
      <c r="N825" s="1"/>
      <c r="O825" s="1"/>
      <c r="P825" s="1"/>
      <c r="Q825" s="1"/>
      <c r="R825" s="1"/>
      <c r="S825" s="1"/>
      <c r="T825" s="1"/>
      <c r="U825" s="1"/>
      <c r="V825" s="1"/>
      <c r="W825" s="1"/>
      <c r="X825" s="1"/>
      <c r="Y825" s="1"/>
      <c r="Z825" s="1"/>
    </row>
    <row r="826" spans="1:26" ht="19.5" customHeight="1">
      <c r="A826" s="1"/>
      <c r="B826" s="2"/>
      <c r="C826" s="1"/>
      <c r="D826" s="1"/>
      <c r="E826" s="2"/>
      <c r="F826" s="1"/>
      <c r="G826" s="1"/>
      <c r="H826" s="1"/>
      <c r="I826" s="1"/>
      <c r="J826" s="1"/>
      <c r="K826" s="1"/>
      <c r="L826" s="1"/>
      <c r="M826" s="1"/>
      <c r="N826" s="1"/>
      <c r="O826" s="1"/>
      <c r="P826" s="1"/>
      <c r="Q826" s="1"/>
      <c r="R826" s="1"/>
      <c r="S826" s="1"/>
      <c r="T826" s="1"/>
      <c r="U826" s="1"/>
      <c r="V826" s="1"/>
      <c r="W826" s="1"/>
      <c r="X826" s="1"/>
      <c r="Y826" s="1"/>
      <c r="Z826" s="1"/>
    </row>
    <row r="827" spans="1:26" ht="19.5" customHeight="1">
      <c r="A827" s="1"/>
      <c r="B827" s="2"/>
      <c r="C827" s="1"/>
      <c r="D827" s="1"/>
      <c r="E827" s="2"/>
      <c r="F827" s="1"/>
      <c r="G827" s="1"/>
      <c r="H827" s="1"/>
      <c r="I827" s="1"/>
      <c r="J827" s="1"/>
      <c r="K827" s="1"/>
      <c r="L827" s="1"/>
      <c r="M827" s="1"/>
      <c r="N827" s="1"/>
      <c r="O827" s="1"/>
      <c r="P827" s="1"/>
      <c r="Q827" s="1"/>
      <c r="R827" s="1"/>
      <c r="S827" s="1"/>
      <c r="T827" s="1"/>
      <c r="U827" s="1"/>
      <c r="V827" s="1"/>
      <c r="W827" s="1"/>
      <c r="X827" s="1"/>
      <c r="Y827" s="1"/>
      <c r="Z827" s="1"/>
    </row>
    <row r="828" spans="1:26" ht="19.5" customHeight="1">
      <c r="A828" s="1"/>
      <c r="B828" s="2"/>
      <c r="C828" s="1"/>
      <c r="D828" s="1"/>
      <c r="E828" s="2"/>
      <c r="F828" s="1"/>
      <c r="G828" s="1"/>
      <c r="H828" s="1"/>
      <c r="I828" s="1"/>
      <c r="J828" s="1"/>
      <c r="K828" s="1"/>
      <c r="L828" s="1"/>
      <c r="M828" s="1"/>
      <c r="N828" s="1"/>
      <c r="O828" s="1"/>
      <c r="P828" s="1"/>
      <c r="Q828" s="1"/>
      <c r="R828" s="1"/>
      <c r="S828" s="1"/>
      <c r="T828" s="1"/>
      <c r="U828" s="1"/>
      <c r="V828" s="1"/>
      <c r="W828" s="1"/>
      <c r="X828" s="1"/>
      <c r="Y828" s="1"/>
      <c r="Z828" s="1"/>
    </row>
    <row r="829" spans="1:26" ht="19.5" customHeight="1">
      <c r="A829" s="1"/>
      <c r="B829" s="2"/>
      <c r="C829" s="1"/>
      <c r="D829" s="1"/>
      <c r="E829" s="2"/>
      <c r="F829" s="1"/>
      <c r="G829" s="1"/>
      <c r="H829" s="1"/>
      <c r="I829" s="1"/>
      <c r="J829" s="1"/>
      <c r="K829" s="1"/>
      <c r="L829" s="1"/>
      <c r="M829" s="1"/>
      <c r="N829" s="1"/>
      <c r="O829" s="1"/>
      <c r="P829" s="1"/>
      <c r="Q829" s="1"/>
      <c r="R829" s="1"/>
      <c r="S829" s="1"/>
      <c r="T829" s="1"/>
      <c r="U829" s="1"/>
      <c r="V829" s="1"/>
      <c r="W829" s="1"/>
      <c r="X829" s="1"/>
      <c r="Y829" s="1"/>
      <c r="Z829" s="1"/>
    </row>
    <row r="830" spans="1:26" ht="19.5" customHeight="1">
      <c r="A830" s="1"/>
      <c r="B830" s="2"/>
      <c r="C830" s="1"/>
      <c r="D830" s="1"/>
      <c r="E830" s="2"/>
      <c r="F830" s="1"/>
      <c r="G830" s="1"/>
      <c r="H830" s="1"/>
      <c r="I830" s="1"/>
      <c r="J830" s="1"/>
      <c r="K830" s="1"/>
      <c r="L830" s="1"/>
      <c r="M830" s="1"/>
      <c r="N830" s="1"/>
      <c r="O830" s="1"/>
      <c r="P830" s="1"/>
      <c r="Q830" s="1"/>
      <c r="R830" s="1"/>
      <c r="S830" s="1"/>
      <c r="T830" s="1"/>
      <c r="U830" s="1"/>
      <c r="V830" s="1"/>
      <c r="W830" s="1"/>
      <c r="X830" s="1"/>
      <c r="Y830" s="1"/>
      <c r="Z830" s="1"/>
    </row>
    <row r="831" spans="1:26" ht="19.5" customHeight="1">
      <c r="A831" s="1"/>
      <c r="B831" s="2"/>
      <c r="C831" s="1"/>
      <c r="D831" s="1"/>
      <c r="E831" s="2"/>
      <c r="F831" s="1"/>
      <c r="G831" s="1"/>
      <c r="H831" s="1"/>
      <c r="I831" s="1"/>
      <c r="J831" s="1"/>
      <c r="K831" s="1"/>
      <c r="L831" s="1"/>
      <c r="M831" s="1"/>
      <c r="N831" s="1"/>
      <c r="O831" s="1"/>
      <c r="P831" s="1"/>
      <c r="Q831" s="1"/>
      <c r="R831" s="1"/>
      <c r="S831" s="1"/>
      <c r="T831" s="1"/>
      <c r="U831" s="1"/>
      <c r="V831" s="1"/>
      <c r="W831" s="1"/>
      <c r="X831" s="1"/>
      <c r="Y831" s="1"/>
      <c r="Z831" s="1"/>
    </row>
    <row r="832" spans="1:26" ht="19.5" customHeight="1">
      <c r="A832" s="1"/>
      <c r="B832" s="2"/>
      <c r="C832" s="1"/>
      <c r="D832" s="1"/>
      <c r="E832" s="2"/>
      <c r="F832" s="1"/>
      <c r="G832" s="1"/>
      <c r="H832" s="1"/>
      <c r="I832" s="1"/>
      <c r="J832" s="1"/>
      <c r="K832" s="1"/>
      <c r="L832" s="1"/>
      <c r="M832" s="1"/>
      <c r="N832" s="1"/>
      <c r="O832" s="1"/>
      <c r="P832" s="1"/>
      <c r="Q832" s="1"/>
      <c r="R832" s="1"/>
      <c r="S832" s="1"/>
      <c r="T832" s="1"/>
      <c r="U832" s="1"/>
      <c r="V832" s="1"/>
      <c r="W832" s="1"/>
      <c r="X832" s="1"/>
      <c r="Y832" s="1"/>
      <c r="Z832" s="1"/>
    </row>
    <row r="833" spans="1:26" ht="19.5" customHeight="1">
      <c r="A833" s="1"/>
      <c r="B833" s="2"/>
      <c r="C833" s="1"/>
      <c r="D833" s="1"/>
      <c r="E833" s="2"/>
      <c r="F833" s="1"/>
      <c r="G833" s="1"/>
      <c r="H833" s="1"/>
      <c r="I833" s="1"/>
      <c r="J833" s="1"/>
      <c r="K833" s="1"/>
      <c r="L833" s="1"/>
      <c r="M833" s="1"/>
      <c r="N833" s="1"/>
      <c r="O833" s="1"/>
      <c r="P833" s="1"/>
      <c r="Q833" s="1"/>
      <c r="R833" s="1"/>
      <c r="S833" s="1"/>
      <c r="T833" s="1"/>
      <c r="U833" s="1"/>
      <c r="V833" s="1"/>
      <c r="W833" s="1"/>
      <c r="X833" s="1"/>
      <c r="Y833" s="1"/>
      <c r="Z833" s="1"/>
    </row>
    <row r="834" spans="1:26" ht="19.5" customHeight="1">
      <c r="A834" s="1"/>
      <c r="B834" s="2"/>
      <c r="C834" s="1"/>
      <c r="D834" s="1"/>
      <c r="E834" s="2"/>
      <c r="F834" s="1"/>
      <c r="G834" s="1"/>
      <c r="H834" s="1"/>
      <c r="I834" s="1"/>
      <c r="J834" s="1"/>
      <c r="K834" s="1"/>
      <c r="L834" s="1"/>
      <c r="M834" s="1"/>
      <c r="N834" s="1"/>
      <c r="O834" s="1"/>
      <c r="P834" s="1"/>
      <c r="Q834" s="1"/>
      <c r="R834" s="1"/>
      <c r="S834" s="1"/>
      <c r="T834" s="1"/>
      <c r="U834" s="1"/>
      <c r="V834" s="1"/>
      <c r="W834" s="1"/>
      <c r="X834" s="1"/>
      <c r="Y834" s="1"/>
      <c r="Z834" s="1"/>
    </row>
    <row r="835" spans="1:26" ht="19.5" customHeight="1">
      <c r="A835" s="1"/>
      <c r="B835" s="2"/>
      <c r="C835" s="1"/>
      <c r="D835" s="1"/>
      <c r="E835" s="2"/>
      <c r="F835" s="1"/>
      <c r="G835" s="1"/>
      <c r="H835" s="1"/>
      <c r="I835" s="1"/>
      <c r="J835" s="1"/>
      <c r="K835" s="1"/>
      <c r="L835" s="1"/>
      <c r="M835" s="1"/>
      <c r="N835" s="1"/>
      <c r="O835" s="1"/>
      <c r="P835" s="1"/>
      <c r="Q835" s="1"/>
      <c r="R835" s="1"/>
      <c r="S835" s="1"/>
      <c r="T835" s="1"/>
      <c r="U835" s="1"/>
      <c r="V835" s="1"/>
      <c r="W835" s="1"/>
      <c r="X835" s="1"/>
      <c r="Y835" s="1"/>
      <c r="Z835" s="1"/>
    </row>
    <row r="836" spans="1:26" ht="19.5" customHeight="1">
      <c r="A836" s="1"/>
      <c r="B836" s="2"/>
      <c r="C836" s="1"/>
      <c r="D836" s="1"/>
      <c r="E836" s="2"/>
      <c r="F836" s="1"/>
      <c r="G836" s="1"/>
      <c r="H836" s="1"/>
      <c r="I836" s="1"/>
      <c r="J836" s="1"/>
      <c r="K836" s="1"/>
      <c r="L836" s="1"/>
      <c r="M836" s="1"/>
      <c r="N836" s="1"/>
      <c r="O836" s="1"/>
      <c r="P836" s="1"/>
      <c r="Q836" s="1"/>
      <c r="R836" s="1"/>
      <c r="S836" s="1"/>
      <c r="T836" s="1"/>
      <c r="U836" s="1"/>
      <c r="V836" s="1"/>
      <c r="W836" s="1"/>
      <c r="X836" s="1"/>
      <c r="Y836" s="1"/>
      <c r="Z836" s="1"/>
    </row>
    <row r="837" spans="1:26" ht="19.5" customHeight="1">
      <c r="A837" s="1"/>
      <c r="B837" s="2"/>
      <c r="C837" s="1"/>
      <c r="D837" s="1"/>
      <c r="E837" s="2"/>
      <c r="F837" s="1"/>
      <c r="G837" s="1"/>
      <c r="H837" s="1"/>
      <c r="I837" s="1"/>
      <c r="J837" s="1"/>
      <c r="K837" s="1"/>
      <c r="L837" s="1"/>
      <c r="M837" s="1"/>
      <c r="N837" s="1"/>
      <c r="O837" s="1"/>
      <c r="P837" s="1"/>
      <c r="Q837" s="1"/>
      <c r="R837" s="1"/>
      <c r="S837" s="1"/>
      <c r="T837" s="1"/>
      <c r="U837" s="1"/>
      <c r="V837" s="1"/>
      <c r="W837" s="1"/>
      <c r="X837" s="1"/>
      <c r="Y837" s="1"/>
      <c r="Z837" s="1"/>
    </row>
    <row r="838" spans="1:26" ht="19.5" customHeight="1">
      <c r="A838" s="1"/>
      <c r="B838" s="2"/>
      <c r="C838" s="1"/>
      <c r="D838" s="1"/>
      <c r="E838" s="2"/>
      <c r="F838" s="1"/>
      <c r="G838" s="1"/>
      <c r="H838" s="1"/>
      <c r="I838" s="1"/>
      <c r="J838" s="1"/>
      <c r="K838" s="1"/>
      <c r="L838" s="1"/>
      <c r="M838" s="1"/>
      <c r="N838" s="1"/>
      <c r="O838" s="1"/>
      <c r="P838" s="1"/>
      <c r="Q838" s="1"/>
      <c r="R838" s="1"/>
      <c r="S838" s="1"/>
      <c r="T838" s="1"/>
      <c r="U838" s="1"/>
      <c r="V838" s="1"/>
      <c r="W838" s="1"/>
      <c r="X838" s="1"/>
      <c r="Y838" s="1"/>
      <c r="Z838" s="1"/>
    </row>
    <row r="839" spans="1:26" ht="19.5" customHeight="1">
      <c r="A839" s="1"/>
      <c r="B839" s="2"/>
      <c r="C839" s="1"/>
      <c r="D839" s="1"/>
      <c r="E839" s="2"/>
      <c r="F839" s="1"/>
      <c r="G839" s="1"/>
      <c r="H839" s="1"/>
      <c r="I839" s="1"/>
      <c r="J839" s="1"/>
      <c r="K839" s="1"/>
      <c r="L839" s="1"/>
      <c r="M839" s="1"/>
      <c r="N839" s="1"/>
      <c r="O839" s="1"/>
      <c r="P839" s="1"/>
      <c r="Q839" s="1"/>
      <c r="R839" s="1"/>
      <c r="S839" s="1"/>
      <c r="T839" s="1"/>
      <c r="U839" s="1"/>
      <c r="V839" s="1"/>
      <c r="W839" s="1"/>
      <c r="X839" s="1"/>
      <c r="Y839" s="1"/>
      <c r="Z839" s="1"/>
    </row>
    <row r="840" spans="1:26" ht="19.5" customHeight="1">
      <c r="A840" s="1"/>
      <c r="B840" s="2"/>
      <c r="C840" s="1"/>
      <c r="D840" s="1"/>
      <c r="E840" s="2"/>
      <c r="F840" s="1"/>
      <c r="G840" s="1"/>
      <c r="H840" s="1"/>
      <c r="I840" s="1"/>
      <c r="J840" s="1"/>
      <c r="K840" s="1"/>
      <c r="L840" s="1"/>
      <c r="M840" s="1"/>
      <c r="N840" s="1"/>
      <c r="O840" s="1"/>
      <c r="P840" s="1"/>
      <c r="Q840" s="1"/>
      <c r="R840" s="1"/>
      <c r="S840" s="1"/>
      <c r="T840" s="1"/>
      <c r="U840" s="1"/>
      <c r="V840" s="1"/>
      <c r="W840" s="1"/>
      <c r="X840" s="1"/>
      <c r="Y840" s="1"/>
      <c r="Z840" s="1"/>
    </row>
    <row r="841" spans="1:26" ht="19.5" customHeight="1">
      <c r="A841" s="1"/>
      <c r="B841" s="2"/>
      <c r="C841" s="1"/>
      <c r="D841" s="1"/>
      <c r="E841" s="2"/>
      <c r="F841" s="1"/>
      <c r="G841" s="1"/>
      <c r="H841" s="1"/>
      <c r="I841" s="1"/>
      <c r="J841" s="1"/>
      <c r="K841" s="1"/>
      <c r="L841" s="1"/>
      <c r="M841" s="1"/>
      <c r="N841" s="1"/>
      <c r="O841" s="1"/>
      <c r="P841" s="1"/>
      <c r="Q841" s="1"/>
      <c r="R841" s="1"/>
      <c r="S841" s="1"/>
      <c r="T841" s="1"/>
      <c r="U841" s="1"/>
      <c r="V841" s="1"/>
      <c r="W841" s="1"/>
      <c r="X841" s="1"/>
      <c r="Y841" s="1"/>
      <c r="Z841" s="1"/>
    </row>
    <row r="842" spans="1:26" ht="19.5" customHeight="1">
      <c r="A842" s="1"/>
      <c r="B842" s="2"/>
      <c r="C842" s="1"/>
      <c r="D842" s="1"/>
      <c r="E842" s="2"/>
      <c r="F842" s="1"/>
      <c r="G842" s="1"/>
      <c r="H842" s="1"/>
      <c r="I842" s="1"/>
      <c r="J842" s="1"/>
      <c r="K842" s="1"/>
      <c r="L842" s="1"/>
      <c r="M842" s="1"/>
      <c r="N842" s="1"/>
      <c r="O842" s="1"/>
      <c r="P842" s="1"/>
      <c r="Q842" s="1"/>
      <c r="R842" s="1"/>
      <c r="S842" s="1"/>
      <c r="T842" s="1"/>
      <c r="U842" s="1"/>
      <c r="V842" s="1"/>
      <c r="W842" s="1"/>
      <c r="X842" s="1"/>
      <c r="Y842" s="1"/>
      <c r="Z842" s="1"/>
    </row>
    <row r="843" spans="1:26" ht="19.5" customHeight="1">
      <c r="A843" s="1"/>
      <c r="B843" s="2"/>
      <c r="C843" s="1"/>
      <c r="D843" s="1"/>
      <c r="E843" s="2"/>
      <c r="F843" s="1"/>
      <c r="G843" s="1"/>
      <c r="H843" s="1"/>
      <c r="I843" s="1"/>
      <c r="J843" s="1"/>
      <c r="K843" s="1"/>
      <c r="L843" s="1"/>
      <c r="M843" s="1"/>
      <c r="N843" s="1"/>
      <c r="O843" s="1"/>
      <c r="P843" s="1"/>
      <c r="Q843" s="1"/>
      <c r="R843" s="1"/>
      <c r="S843" s="1"/>
      <c r="T843" s="1"/>
      <c r="U843" s="1"/>
      <c r="V843" s="1"/>
      <c r="W843" s="1"/>
      <c r="X843" s="1"/>
      <c r="Y843" s="1"/>
      <c r="Z843" s="1"/>
    </row>
    <row r="844" spans="1:26" ht="19.5" customHeight="1">
      <c r="A844" s="1"/>
      <c r="B844" s="2"/>
      <c r="C844" s="1"/>
      <c r="D844" s="1"/>
      <c r="E844" s="2"/>
      <c r="F844" s="1"/>
      <c r="G844" s="1"/>
      <c r="H844" s="1"/>
      <c r="I844" s="1"/>
      <c r="J844" s="1"/>
      <c r="K844" s="1"/>
      <c r="L844" s="1"/>
      <c r="M844" s="1"/>
      <c r="N844" s="1"/>
      <c r="O844" s="1"/>
      <c r="P844" s="1"/>
      <c r="Q844" s="1"/>
      <c r="R844" s="1"/>
      <c r="S844" s="1"/>
      <c r="T844" s="1"/>
      <c r="U844" s="1"/>
      <c r="V844" s="1"/>
      <c r="W844" s="1"/>
      <c r="X844" s="1"/>
      <c r="Y844" s="1"/>
      <c r="Z844" s="1"/>
    </row>
    <row r="845" spans="1:26" ht="19.5" customHeight="1">
      <c r="A845" s="1"/>
      <c r="B845" s="2"/>
      <c r="C845" s="1"/>
      <c r="D845" s="1"/>
      <c r="E845" s="2"/>
      <c r="F845" s="1"/>
      <c r="G845" s="1"/>
      <c r="H845" s="1"/>
      <c r="I845" s="1"/>
      <c r="J845" s="1"/>
      <c r="K845" s="1"/>
      <c r="L845" s="1"/>
      <c r="M845" s="1"/>
      <c r="N845" s="1"/>
      <c r="O845" s="1"/>
      <c r="P845" s="1"/>
      <c r="Q845" s="1"/>
      <c r="R845" s="1"/>
      <c r="S845" s="1"/>
      <c r="T845" s="1"/>
      <c r="U845" s="1"/>
      <c r="V845" s="1"/>
      <c r="W845" s="1"/>
      <c r="X845" s="1"/>
      <c r="Y845" s="1"/>
      <c r="Z845" s="1"/>
    </row>
    <row r="846" spans="1:26" ht="19.5" customHeight="1">
      <c r="A846" s="1"/>
      <c r="B846" s="2"/>
      <c r="C846" s="1"/>
      <c r="D846" s="1"/>
      <c r="E846" s="2"/>
      <c r="F846" s="1"/>
      <c r="G846" s="1"/>
      <c r="H846" s="1"/>
      <c r="I846" s="1"/>
      <c r="J846" s="1"/>
      <c r="K846" s="1"/>
      <c r="L846" s="1"/>
      <c r="M846" s="1"/>
      <c r="N846" s="1"/>
      <c r="O846" s="1"/>
      <c r="P846" s="1"/>
      <c r="Q846" s="1"/>
      <c r="R846" s="1"/>
      <c r="S846" s="1"/>
      <c r="T846" s="1"/>
      <c r="U846" s="1"/>
      <c r="V846" s="1"/>
      <c r="W846" s="1"/>
      <c r="X846" s="1"/>
      <c r="Y846" s="1"/>
      <c r="Z846" s="1"/>
    </row>
    <row r="847" spans="1:26" ht="19.5" customHeight="1">
      <c r="A847" s="1"/>
      <c r="B847" s="2"/>
      <c r="C847" s="1"/>
      <c r="D847" s="1"/>
      <c r="E847" s="2"/>
      <c r="F847" s="1"/>
      <c r="G847" s="1"/>
      <c r="H847" s="1"/>
      <c r="I847" s="1"/>
      <c r="J847" s="1"/>
      <c r="K847" s="1"/>
      <c r="L847" s="1"/>
      <c r="M847" s="1"/>
      <c r="N847" s="1"/>
      <c r="O847" s="1"/>
      <c r="P847" s="1"/>
      <c r="Q847" s="1"/>
      <c r="R847" s="1"/>
      <c r="S847" s="1"/>
      <c r="T847" s="1"/>
      <c r="U847" s="1"/>
      <c r="V847" s="1"/>
      <c r="W847" s="1"/>
      <c r="X847" s="1"/>
      <c r="Y847" s="1"/>
      <c r="Z847" s="1"/>
    </row>
    <row r="848" spans="1:26" ht="19.5" customHeight="1">
      <c r="A848" s="1"/>
      <c r="B848" s="2"/>
      <c r="C848" s="1"/>
      <c r="D848" s="1"/>
      <c r="E848" s="2"/>
      <c r="F848" s="1"/>
      <c r="G848" s="1"/>
      <c r="H848" s="1"/>
      <c r="I848" s="1"/>
      <c r="J848" s="1"/>
      <c r="K848" s="1"/>
      <c r="L848" s="1"/>
      <c r="M848" s="1"/>
      <c r="N848" s="1"/>
      <c r="O848" s="1"/>
      <c r="P848" s="1"/>
      <c r="Q848" s="1"/>
      <c r="R848" s="1"/>
      <c r="S848" s="1"/>
      <c r="T848" s="1"/>
      <c r="U848" s="1"/>
      <c r="V848" s="1"/>
      <c r="W848" s="1"/>
      <c r="X848" s="1"/>
      <c r="Y848" s="1"/>
      <c r="Z848" s="1"/>
    </row>
    <row r="849" spans="1:26" ht="19.5" customHeight="1">
      <c r="A849" s="1"/>
      <c r="B849" s="2"/>
      <c r="C849" s="1"/>
      <c r="D849" s="1"/>
      <c r="E849" s="2"/>
      <c r="F849" s="1"/>
      <c r="G849" s="1"/>
      <c r="H849" s="1"/>
      <c r="I849" s="1"/>
      <c r="J849" s="1"/>
      <c r="K849" s="1"/>
      <c r="L849" s="1"/>
      <c r="M849" s="1"/>
      <c r="N849" s="1"/>
      <c r="O849" s="1"/>
      <c r="P849" s="1"/>
      <c r="Q849" s="1"/>
      <c r="R849" s="1"/>
      <c r="S849" s="1"/>
      <c r="T849" s="1"/>
      <c r="U849" s="1"/>
      <c r="V849" s="1"/>
      <c r="W849" s="1"/>
      <c r="X849" s="1"/>
      <c r="Y849" s="1"/>
      <c r="Z849" s="1"/>
    </row>
    <row r="850" spans="1:26" ht="19.5" customHeight="1">
      <c r="A850" s="1"/>
      <c r="B850" s="2"/>
      <c r="C850" s="1"/>
      <c r="D850" s="1"/>
      <c r="E850" s="2"/>
      <c r="F850" s="1"/>
      <c r="G850" s="1"/>
      <c r="H850" s="1"/>
      <c r="I850" s="1"/>
      <c r="J850" s="1"/>
      <c r="K850" s="1"/>
      <c r="L850" s="1"/>
      <c r="M850" s="1"/>
      <c r="N850" s="1"/>
      <c r="O850" s="1"/>
      <c r="P850" s="1"/>
      <c r="Q850" s="1"/>
      <c r="R850" s="1"/>
      <c r="S850" s="1"/>
      <c r="T850" s="1"/>
      <c r="U850" s="1"/>
      <c r="V850" s="1"/>
      <c r="W850" s="1"/>
      <c r="X850" s="1"/>
      <c r="Y850" s="1"/>
      <c r="Z850" s="1"/>
    </row>
    <row r="851" spans="1:26" ht="19.5" customHeight="1">
      <c r="A851" s="1"/>
      <c r="B851" s="2"/>
      <c r="C851" s="1"/>
      <c r="D851" s="1"/>
      <c r="E851" s="2"/>
      <c r="F851" s="1"/>
      <c r="G851" s="1"/>
      <c r="H851" s="1"/>
      <c r="I851" s="1"/>
      <c r="J851" s="1"/>
      <c r="K851" s="1"/>
      <c r="L851" s="1"/>
      <c r="M851" s="1"/>
      <c r="N851" s="1"/>
      <c r="O851" s="1"/>
      <c r="P851" s="1"/>
      <c r="Q851" s="1"/>
      <c r="R851" s="1"/>
      <c r="S851" s="1"/>
      <c r="T851" s="1"/>
      <c r="U851" s="1"/>
      <c r="V851" s="1"/>
      <c r="W851" s="1"/>
      <c r="X851" s="1"/>
      <c r="Y851" s="1"/>
      <c r="Z851" s="1"/>
    </row>
    <row r="852" spans="1:26" ht="19.5" customHeight="1">
      <c r="A852" s="1"/>
      <c r="B852" s="2"/>
      <c r="C852" s="1"/>
      <c r="D852" s="1"/>
      <c r="E852" s="2"/>
      <c r="F852" s="1"/>
      <c r="G852" s="1"/>
      <c r="H852" s="1"/>
      <c r="I852" s="1"/>
      <c r="J852" s="1"/>
      <c r="K852" s="1"/>
      <c r="L852" s="1"/>
      <c r="M852" s="1"/>
      <c r="N852" s="1"/>
      <c r="O852" s="1"/>
      <c r="P852" s="1"/>
      <c r="Q852" s="1"/>
      <c r="R852" s="1"/>
      <c r="S852" s="1"/>
      <c r="T852" s="1"/>
      <c r="U852" s="1"/>
      <c r="V852" s="1"/>
      <c r="W852" s="1"/>
      <c r="X852" s="1"/>
      <c r="Y852" s="1"/>
      <c r="Z852" s="1"/>
    </row>
    <row r="853" spans="1:26" ht="19.5" customHeight="1">
      <c r="A853" s="1"/>
      <c r="B853" s="2"/>
      <c r="C853" s="1"/>
      <c r="D853" s="1"/>
      <c r="E853" s="2"/>
      <c r="F853" s="1"/>
      <c r="G853" s="1"/>
      <c r="H853" s="1"/>
      <c r="I853" s="1"/>
      <c r="J853" s="1"/>
      <c r="K853" s="1"/>
      <c r="L853" s="1"/>
      <c r="M853" s="1"/>
      <c r="N853" s="1"/>
      <c r="O853" s="1"/>
      <c r="P853" s="1"/>
      <c r="Q853" s="1"/>
      <c r="R853" s="1"/>
      <c r="S853" s="1"/>
      <c r="T853" s="1"/>
      <c r="U853" s="1"/>
      <c r="V853" s="1"/>
      <c r="W853" s="1"/>
      <c r="X853" s="1"/>
      <c r="Y853" s="1"/>
      <c r="Z853" s="1"/>
    </row>
    <row r="854" spans="1:26" ht="19.5" customHeight="1">
      <c r="A854" s="1"/>
      <c r="B854" s="2"/>
      <c r="C854" s="1"/>
      <c r="D854" s="1"/>
      <c r="E854" s="2"/>
      <c r="F854" s="1"/>
      <c r="G854" s="1"/>
      <c r="H854" s="1"/>
      <c r="I854" s="1"/>
      <c r="J854" s="1"/>
      <c r="K854" s="1"/>
      <c r="L854" s="1"/>
      <c r="M854" s="1"/>
      <c r="N854" s="1"/>
      <c r="O854" s="1"/>
      <c r="P854" s="1"/>
      <c r="Q854" s="1"/>
      <c r="R854" s="1"/>
      <c r="S854" s="1"/>
      <c r="T854" s="1"/>
      <c r="U854" s="1"/>
      <c r="V854" s="1"/>
      <c r="W854" s="1"/>
      <c r="X854" s="1"/>
      <c r="Y854" s="1"/>
      <c r="Z854" s="1"/>
    </row>
    <row r="855" spans="1:26" ht="19.5" customHeight="1">
      <c r="A855" s="1"/>
      <c r="B855" s="2"/>
      <c r="C855" s="1"/>
      <c r="D855" s="1"/>
      <c r="E855" s="2"/>
      <c r="F855" s="1"/>
      <c r="G855" s="1"/>
      <c r="H855" s="1"/>
      <c r="I855" s="1"/>
      <c r="J855" s="1"/>
      <c r="K855" s="1"/>
      <c r="L855" s="1"/>
      <c r="M855" s="1"/>
      <c r="N855" s="1"/>
      <c r="O855" s="1"/>
      <c r="P855" s="1"/>
      <c r="Q855" s="1"/>
      <c r="R855" s="1"/>
      <c r="S855" s="1"/>
      <c r="T855" s="1"/>
      <c r="U855" s="1"/>
      <c r="V855" s="1"/>
      <c r="W855" s="1"/>
      <c r="X855" s="1"/>
      <c r="Y855" s="1"/>
      <c r="Z855" s="1"/>
    </row>
    <row r="856" spans="1:26" ht="19.5" customHeight="1">
      <c r="A856" s="1"/>
      <c r="B856" s="2"/>
      <c r="C856" s="1"/>
      <c r="D856" s="1"/>
      <c r="E856" s="2"/>
      <c r="F856" s="1"/>
      <c r="G856" s="1"/>
      <c r="H856" s="1"/>
      <c r="I856" s="1"/>
      <c r="J856" s="1"/>
      <c r="K856" s="1"/>
      <c r="L856" s="1"/>
      <c r="M856" s="1"/>
      <c r="N856" s="1"/>
      <c r="O856" s="1"/>
      <c r="P856" s="1"/>
      <c r="Q856" s="1"/>
      <c r="R856" s="1"/>
      <c r="S856" s="1"/>
      <c r="T856" s="1"/>
      <c r="U856" s="1"/>
      <c r="V856" s="1"/>
      <c r="W856" s="1"/>
      <c r="X856" s="1"/>
      <c r="Y856" s="1"/>
      <c r="Z856" s="1"/>
    </row>
    <row r="857" spans="1:26" ht="19.5" customHeight="1">
      <c r="A857" s="1"/>
      <c r="B857" s="2"/>
      <c r="C857" s="1"/>
      <c r="D857" s="1"/>
      <c r="E857" s="2"/>
      <c r="F857" s="1"/>
      <c r="G857" s="1"/>
      <c r="H857" s="1"/>
      <c r="I857" s="1"/>
      <c r="J857" s="1"/>
      <c r="K857" s="1"/>
      <c r="L857" s="1"/>
      <c r="M857" s="1"/>
      <c r="N857" s="1"/>
      <c r="O857" s="1"/>
      <c r="P857" s="1"/>
      <c r="Q857" s="1"/>
      <c r="R857" s="1"/>
      <c r="S857" s="1"/>
      <c r="T857" s="1"/>
      <c r="U857" s="1"/>
      <c r="V857" s="1"/>
      <c r="W857" s="1"/>
      <c r="X857" s="1"/>
      <c r="Y857" s="1"/>
      <c r="Z857" s="1"/>
    </row>
    <row r="858" spans="1:26" ht="19.5" customHeight="1">
      <c r="A858" s="1"/>
      <c r="B858" s="2"/>
      <c r="C858" s="1"/>
      <c r="D858" s="1"/>
      <c r="E858" s="2"/>
      <c r="F858" s="1"/>
      <c r="G858" s="1"/>
      <c r="H858" s="1"/>
      <c r="I858" s="1"/>
      <c r="J858" s="1"/>
      <c r="K858" s="1"/>
      <c r="L858" s="1"/>
      <c r="M858" s="1"/>
      <c r="N858" s="1"/>
      <c r="O858" s="1"/>
      <c r="P858" s="1"/>
      <c r="Q858" s="1"/>
      <c r="R858" s="1"/>
      <c r="S858" s="1"/>
      <c r="T858" s="1"/>
      <c r="U858" s="1"/>
      <c r="V858" s="1"/>
      <c r="W858" s="1"/>
      <c r="X858" s="1"/>
      <c r="Y858" s="1"/>
      <c r="Z858" s="1"/>
    </row>
    <row r="859" spans="1:26" ht="19.5" customHeight="1">
      <c r="A859" s="1"/>
      <c r="B859" s="2"/>
      <c r="C859" s="1"/>
      <c r="D859" s="1"/>
      <c r="E859" s="2"/>
      <c r="F859" s="1"/>
      <c r="G859" s="1"/>
      <c r="H859" s="1"/>
      <c r="I859" s="1"/>
      <c r="J859" s="1"/>
      <c r="K859" s="1"/>
      <c r="L859" s="1"/>
      <c r="M859" s="1"/>
      <c r="N859" s="1"/>
      <c r="O859" s="1"/>
      <c r="P859" s="1"/>
      <c r="Q859" s="1"/>
      <c r="R859" s="1"/>
      <c r="S859" s="1"/>
      <c r="T859" s="1"/>
      <c r="U859" s="1"/>
      <c r="V859" s="1"/>
      <c r="W859" s="1"/>
      <c r="X859" s="1"/>
      <c r="Y859" s="1"/>
      <c r="Z859" s="1"/>
    </row>
    <row r="860" spans="1:26" ht="19.5" customHeight="1">
      <c r="A860" s="1"/>
      <c r="B860" s="2"/>
      <c r="C860" s="1"/>
      <c r="D860" s="1"/>
      <c r="E860" s="2"/>
      <c r="F860" s="1"/>
      <c r="G860" s="1"/>
      <c r="H860" s="1"/>
      <c r="I860" s="1"/>
      <c r="J860" s="1"/>
      <c r="K860" s="1"/>
      <c r="L860" s="1"/>
      <c r="M860" s="1"/>
      <c r="N860" s="1"/>
      <c r="O860" s="1"/>
      <c r="P860" s="1"/>
      <c r="Q860" s="1"/>
      <c r="R860" s="1"/>
      <c r="S860" s="1"/>
      <c r="T860" s="1"/>
      <c r="U860" s="1"/>
      <c r="V860" s="1"/>
      <c r="W860" s="1"/>
      <c r="X860" s="1"/>
      <c r="Y860" s="1"/>
      <c r="Z860" s="1"/>
    </row>
    <row r="861" spans="1:26" ht="19.5" customHeight="1">
      <c r="A861" s="1"/>
      <c r="B861" s="2"/>
      <c r="C861" s="1"/>
      <c r="D861" s="1"/>
      <c r="E861" s="2"/>
      <c r="F861" s="1"/>
      <c r="G861" s="1"/>
      <c r="H861" s="1"/>
      <c r="I861" s="1"/>
      <c r="J861" s="1"/>
      <c r="K861" s="1"/>
      <c r="L861" s="1"/>
      <c r="M861" s="1"/>
      <c r="N861" s="1"/>
      <c r="O861" s="1"/>
      <c r="P861" s="1"/>
      <c r="Q861" s="1"/>
      <c r="R861" s="1"/>
      <c r="S861" s="1"/>
      <c r="T861" s="1"/>
      <c r="U861" s="1"/>
      <c r="V861" s="1"/>
      <c r="W861" s="1"/>
      <c r="X861" s="1"/>
      <c r="Y861" s="1"/>
      <c r="Z861" s="1"/>
    </row>
    <row r="862" spans="1:26" ht="19.5" customHeight="1">
      <c r="A862" s="1"/>
      <c r="B862" s="2"/>
      <c r="C862" s="1"/>
      <c r="D862" s="1"/>
      <c r="E862" s="2"/>
      <c r="F862" s="1"/>
      <c r="G862" s="1"/>
      <c r="H862" s="1"/>
      <c r="I862" s="1"/>
      <c r="J862" s="1"/>
      <c r="K862" s="1"/>
      <c r="L862" s="1"/>
      <c r="M862" s="1"/>
      <c r="N862" s="1"/>
      <c r="O862" s="1"/>
      <c r="P862" s="1"/>
      <c r="Q862" s="1"/>
      <c r="R862" s="1"/>
      <c r="S862" s="1"/>
      <c r="T862" s="1"/>
      <c r="U862" s="1"/>
      <c r="V862" s="1"/>
      <c r="W862" s="1"/>
      <c r="X862" s="1"/>
      <c r="Y862" s="1"/>
      <c r="Z862" s="1"/>
    </row>
    <row r="863" spans="1:26" ht="19.5" customHeight="1">
      <c r="A863" s="1"/>
      <c r="B863" s="2"/>
      <c r="C863" s="1"/>
      <c r="D863" s="1"/>
      <c r="E863" s="2"/>
      <c r="F863" s="1"/>
      <c r="G863" s="1"/>
      <c r="H863" s="1"/>
      <c r="I863" s="1"/>
      <c r="J863" s="1"/>
      <c r="K863" s="1"/>
      <c r="L863" s="1"/>
      <c r="M863" s="1"/>
      <c r="N863" s="1"/>
      <c r="O863" s="1"/>
      <c r="P863" s="1"/>
      <c r="Q863" s="1"/>
      <c r="R863" s="1"/>
      <c r="S863" s="1"/>
      <c r="T863" s="1"/>
      <c r="U863" s="1"/>
      <c r="V863" s="1"/>
      <c r="W863" s="1"/>
      <c r="X863" s="1"/>
      <c r="Y863" s="1"/>
      <c r="Z863" s="1"/>
    </row>
    <row r="864" spans="1:26" ht="19.5" customHeight="1">
      <c r="A864" s="1"/>
      <c r="B864" s="2"/>
      <c r="C864" s="1"/>
      <c r="D864" s="1"/>
      <c r="E864" s="2"/>
      <c r="F864" s="1"/>
      <c r="G864" s="1"/>
      <c r="H864" s="1"/>
      <c r="I864" s="1"/>
      <c r="J864" s="1"/>
      <c r="K864" s="1"/>
      <c r="L864" s="1"/>
      <c r="M864" s="1"/>
      <c r="N864" s="1"/>
      <c r="O864" s="1"/>
      <c r="P864" s="1"/>
      <c r="Q864" s="1"/>
      <c r="R864" s="1"/>
      <c r="S864" s="1"/>
      <c r="T864" s="1"/>
      <c r="U864" s="1"/>
      <c r="V864" s="1"/>
      <c r="W864" s="1"/>
      <c r="X864" s="1"/>
      <c r="Y864" s="1"/>
      <c r="Z864" s="1"/>
    </row>
    <row r="865" spans="1:26" ht="19.5" customHeight="1">
      <c r="A865" s="1"/>
      <c r="B865" s="2"/>
      <c r="C865" s="1"/>
      <c r="D865" s="1"/>
      <c r="E865" s="2"/>
      <c r="F865" s="1"/>
      <c r="G865" s="1"/>
      <c r="H865" s="1"/>
      <c r="I865" s="1"/>
      <c r="J865" s="1"/>
      <c r="K865" s="1"/>
      <c r="L865" s="1"/>
      <c r="M865" s="1"/>
      <c r="N865" s="1"/>
      <c r="O865" s="1"/>
      <c r="P865" s="1"/>
      <c r="Q865" s="1"/>
      <c r="R865" s="1"/>
      <c r="S865" s="1"/>
      <c r="T865" s="1"/>
      <c r="U865" s="1"/>
      <c r="V865" s="1"/>
      <c r="W865" s="1"/>
      <c r="X865" s="1"/>
      <c r="Y865" s="1"/>
      <c r="Z865" s="1"/>
    </row>
    <row r="866" spans="1:26" ht="19.5" customHeight="1">
      <c r="A866" s="1"/>
      <c r="B866" s="2"/>
      <c r="C866" s="1"/>
      <c r="D866" s="1"/>
      <c r="E866" s="2"/>
      <c r="F866" s="1"/>
      <c r="G866" s="1"/>
      <c r="H866" s="1"/>
      <c r="I866" s="1"/>
      <c r="J866" s="1"/>
      <c r="K866" s="1"/>
      <c r="L866" s="1"/>
      <c r="M866" s="1"/>
      <c r="N866" s="1"/>
      <c r="O866" s="1"/>
      <c r="P866" s="1"/>
      <c r="Q866" s="1"/>
      <c r="R866" s="1"/>
      <c r="S866" s="1"/>
      <c r="T866" s="1"/>
      <c r="U866" s="1"/>
      <c r="V866" s="1"/>
      <c r="W866" s="1"/>
      <c r="X866" s="1"/>
      <c r="Y866" s="1"/>
      <c r="Z866" s="1"/>
    </row>
    <row r="867" spans="1:26" ht="19.5" customHeight="1">
      <c r="A867" s="1"/>
      <c r="B867" s="2"/>
      <c r="C867" s="1"/>
      <c r="D867" s="1"/>
      <c r="E867" s="2"/>
      <c r="F867" s="1"/>
      <c r="G867" s="1"/>
      <c r="H867" s="1"/>
      <c r="I867" s="1"/>
      <c r="J867" s="1"/>
      <c r="K867" s="1"/>
      <c r="L867" s="1"/>
      <c r="M867" s="1"/>
      <c r="N867" s="1"/>
      <c r="O867" s="1"/>
      <c r="P867" s="1"/>
      <c r="Q867" s="1"/>
      <c r="R867" s="1"/>
      <c r="S867" s="1"/>
      <c r="T867" s="1"/>
      <c r="U867" s="1"/>
      <c r="V867" s="1"/>
      <c r="W867" s="1"/>
      <c r="X867" s="1"/>
      <c r="Y867" s="1"/>
      <c r="Z867" s="1"/>
    </row>
    <row r="868" spans="1:26" ht="19.5" customHeight="1">
      <c r="A868" s="1"/>
      <c r="B868" s="2"/>
      <c r="C868" s="1"/>
      <c r="D868" s="1"/>
      <c r="E868" s="2"/>
      <c r="F868" s="1"/>
      <c r="G868" s="1"/>
      <c r="H868" s="1"/>
      <c r="I868" s="1"/>
      <c r="J868" s="1"/>
      <c r="K868" s="1"/>
      <c r="L868" s="1"/>
      <c r="M868" s="1"/>
      <c r="N868" s="1"/>
      <c r="O868" s="1"/>
      <c r="P868" s="1"/>
      <c r="Q868" s="1"/>
      <c r="R868" s="1"/>
      <c r="S868" s="1"/>
      <c r="T868" s="1"/>
      <c r="U868" s="1"/>
      <c r="V868" s="1"/>
      <c r="W868" s="1"/>
      <c r="X868" s="1"/>
      <c r="Y868" s="1"/>
      <c r="Z868" s="1"/>
    </row>
    <row r="869" spans="1:26" ht="19.5" customHeight="1">
      <c r="A869" s="1"/>
      <c r="B869" s="2"/>
      <c r="C869" s="1"/>
      <c r="D869" s="1"/>
      <c r="E869" s="2"/>
      <c r="F869" s="1"/>
      <c r="G869" s="1"/>
      <c r="H869" s="1"/>
      <c r="I869" s="1"/>
      <c r="J869" s="1"/>
      <c r="K869" s="1"/>
      <c r="L869" s="1"/>
      <c r="M869" s="1"/>
      <c r="N869" s="1"/>
      <c r="O869" s="1"/>
      <c r="P869" s="1"/>
      <c r="Q869" s="1"/>
      <c r="R869" s="1"/>
      <c r="S869" s="1"/>
      <c r="T869" s="1"/>
      <c r="U869" s="1"/>
      <c r="V869" s="1"/>
      <c r="W869" s="1"/>
      <c r="X869" s="1"/>
      <c r="Y869" s="1"/>
      <c r="Z869" s="1"/>
    </row>
    <row r="870" spans="1:26" ht="19.5" customHeight="1">
      <c r="A870" s="1"/>
      <c r="B870" s="2"/>
      <c r="C870" s="1"/>
      <c r="D870" s="1"/>
      <c r="E870" s="2"/>
      <c r="F870" s="1"/>
      <c r="G870" s="1"/>
      <c r="H870" s="1"/>
      <c r="I870" s="1"/>
      <c r="J870" s="1"/>
      <c r="K870" s="1"/>
      <c r="L870" s="1"/>
      <c r="M870" s="1"/>
      <c r="N870" s="1"/>
      <c r="O870" s="1"/>
      <c r="P870" s="1"/>
      <c r="Q870" s="1"/>
      <c r="R870" s="1"/>
      <c r="S870" s="1"/>
      <c r="T870" s="1"/>
      <c r="U870" s="1"/>
      <c r="V870" s="1"/>
      <c r="W870" s="1"/>
      <c r="X870" s="1"/>
      <c r="Y870" s="1"/>
      <c r="Z870" s="1"/>
    </row>
    <row r="871" spans="1:26" ht="19.5" customHeight="1">
      <c r="A871" s="1"/>
      <c r="B871" s="2"/>
      <c r="C871" s="1"/>
      <c r="D871" s="1"/>
      <c r="E871" s="2"/>
      <c r="F871" s="1"/>
      <c r="G871" s="1"/>
      <c r="H871" s="1"/>
      <c r="I871" s="1"/>
      <c r="J871" s="1"/>
      <c r="K871" s="1"/>
      <c r="L871" s="1"/>
      <c r="M871" s="1"/>
      <c r="N871" s="1"/>
      <c r="O871" s="1"/>
      <c r="P871" s="1"/>
      <c r="Q871" s="1"/>
      <c r="R871" s="1"/>
      <c r="S871" s="1"/>
      <c r="T871" s="1"/>
      <c r="U871" s="1"/>
      <c r="V871" s="1"/>
      <c r="W871" s="1"/>
      <c r="X871" s="1"/>
      <c r="Y871" s="1"/>
      <c r="Z871" s="1"/>
    </row>
    <row r="872" spans="1:26" ht="19.5" customHeight="1">
      <c r="A872" s="1"/>
      <c r="B872" s="2"/>
      <c r="C872" s="1"/>
      <c r="D872" s="1"/>
      <c r="E872" s="2"/>
      <c r="F872" s="1"/>
      <c r="G872" s="1"/>
      <c r="H872" s="1"/>
      <c r="I872" s="1"/>
      <c r="J872" s="1"/>
      <c r="K872" s="1"/>
      <c r="L872" s="1"/>
      <c r="M872" s="1"/>
      <c r="N872" s="1"/>
      <c r="O872" s="1"/>
      <c r="P872" s="1"/>
      <c r="Q872" s="1"/>
      <c r="R872" s="1"/>
      <c r="S872" s="1"/>
      <c r="T872" s="1"/>
      <c r="U872" s="1"/>
      <c r="V872" s="1"/>
      <c r="W872" s="1"/>
      <c r="X872" s="1"/>
      <c r="Y872" s="1"/>
      <c r="Z872" s="1"/>
    </row>
    <row r="873" spans="1:26" ht="19.5" customHeight="1">
      <c r="A873" s="1"/>
      <c r="B873" s="2"/>
      <c r="C873" s="1"/>
      <c r="D873" s="1"/>
      <c r="E873" s="2"/>
      <c r="F873" s="1"/>
      <c r="G873" s="1"/>
      <c r="H873" s="1"/>
      <c r="I873" s="1"/>
      <c r="J873" s="1"/>
      <c r="K873" s="1"/>
      <c r="L873" s="1"/>
      <c r="M873" s="1"/>
      <c r="N873" s="1"/>
      <c r="O873" s="1"/>
      <c r="P873" s="1"/>
      <c r="Q873" s="1"/>
      <c r="R873" s="1"/>
      <c r="S873" s="1"/>
      <c r="T873" s="1"/>
      <c r="U873" s="1"/>
      <c r="V873" s="1"/>
      <c r="W873" s="1"/>
      <c r="X873" s="1"/>
      <c r="Y873" s="1"/>
      <c r="Z873" s="1"/>
    </row>
    <row r="874" spans="1:26" ht="19.5" customHeight="1">
      <c r="A874" s="1"/>
      <c r="B874" s="2"/>
      <c r="C874" s="1"/>
      <c r="D874" s="1"/>
      <c r="E874" s="2"/>
      <c r="F874" s="1"/>
      <c r="G874" s="1"/>
      <c r="H874" s="1"/>
      <c r="I874" s="1"/>
      <c r="J874" s="1"/>
      <c r="K874" s="1"/>
      <c r="L874" s="1"/>
      <c r="M874" s="1"/>
      <c r="N874" s="1"/>
      <c r="O874" s="1"/>
      <c r="P874" s="1"/>
      <c r="Q874" s="1"/>
      <c r="R874" s="1"/>
      <c r="S874" s="1"/>
      <c r="T874" s="1"/>
      <c r="U874" s="1"/>
      <c r="V874" s="1"/>
      <c r="W874" s="1"/>
      <c r="X874" s="1"/>
      <c r="Y874" s="1"/>
      <c r="Z874" s="1"/>
    </row>
    <row r="875" spans="1:26" ht="19.5" customHeight="1">
      <c r="A875" s="1"/>
      <c r="B875" s="2"/>
      <c r="C875" s="1"/>
      <c r="D875" s="1"/>
      <c r="E875" s="2"/>
      <c r="F875" s="1"/>
      <c r="G875" s="1"/>
      <c r="H875" s="1"/>
      <c r="I875" s="1"/>
      <c r="J875" s="1"/>
      <c r="K875" s="1"/>
      <c r="L875" s="1"/>
      <c r="M875" s="1"/>
      <c r="N875" s="1"/>
      <c r="O875" s="1"/>
      <c r="P875" s="1"/>
      <c r="Q875" s="1"/>
      <c r="R875" s="1"/>
      <c r="S875" s="1"/>
      <c r="T875" s="1"/>
      <c r="U875" s="1"/>
      <c r="V875" s="1"/>
      <c r="W875" s="1"/>
      <c r="X875" s="1"/>
      <c r="Y875" s="1"/>
      <c r="Z875" s="1"/>
    </row>
    <row r="876" spans="1:26" ht="19.5" customHeight="1">
      <c r="A876" s="1"/>
      <c r="B876" s="2"/>
      <c r="C876" s="1"/>
      <c r="D876" s="1"/>
      <c r="E876" s="2"/>
      <c r="F876" s="1"/>
      <c r="G876" s="1"/>
      <c r="H876" s="1"/>
      <c r="I876" s="1"/>
      <c r="J876" s="1"/>
      <c r="K876" s="1"/>
      <c r="L876" s="1"/>
      <c r="M876" s="1"/>
      <c r="N876" s="1"/>
      <c r="O876" s="1"/>
      <c r="P876" s="1"/>
      <c r="Q876" s="1"/>
      <c r="R876" s="1"/>
      <c r="S876" s="1"/>
      <c r="T876" s="1"/>
      <c r="U876" s="1"/>
      <c r="V876" s="1"/>
      <c r="W876" s="1"/>
      <c r="X876" s="1"/>
      <c r="Y876" s="1"/>
      <c r="Z876" s="1"/>
    </row>
    <row r="877" spans="1:26" ht="19.5" customHeight="1">
      <c r="A877" s="1"/>
      <c r="B877" s="2"/>
      <c r="C877" s="1"/>
      <c r="D877" s="1"/>
      <c r="E877" s="2"/>
      <c r="F877" s="1"/>
      <c r="G877" s="1"/>
      <c r="H877" s="1"/>
      <c r="I877" s="1"/>
      <c r="J877" s="1"/>
      <c r="K877" s="1"/>
      <c r="L877" s="1"/>
      <c r="M877" s="1"/>
      <c r="N877" s="1"/>
      <c r="O877" s="1"/>
      <c r="P877" s="1"/>
      <c r="Q877" s="1"/>
      <c r="R877" s="1"/>
      <c r="S877" s="1"/>
      <c r="T877" s="1"/>
      <c r="U877" s="1"/>
      <c r="V877" s="1"/>
      <c r="W877" s="1"/>
      <c r="X877" s="1"/>
      <c r="Y877" s="1"/>
      <c r="Z877" s="1"/>
    </row>
    <row r="878" spans="1:26" ht="19.5" customHeight="1">
      <c r="A878" s="1"/>
      <c r="B878" s="2"/>
      <c r="C878" s="1"/>
      <c r="D878" s="1"/>
      <c r="E878" s="2"/>
      <c r="F878" s="1"/>
      <c r="G878" s="1"/>
      <c r="H878" s="1"/>
      <c r="I878" s="1"/>
      <c r="J878" s="1"/>
      <c r="K878" s="1"/>
      <c r="L878" s="1"/>
      <c r="M878" s="1"/>
      <c r="N878" s="1"/>
      <c r="O878" s="1"/>
      <c r="P878" s="1"/>
      <c r="Q878" s="1"/>
      <c r="R878" s="1"/>
      <c r="S878" s="1"/>
      <c r="T878" s="1"/>
      <c r="U878" s="1"/>
      <c r="V878" s="1"/>
      <c r="W878" s="1"/>
      <c r="X878" s="1"/>
      <c r="Y878" s="1"/>
      <c r="Z878" s="1"/>
    </row>
    <row r="879" spans="1:26" ht="19.5" customHeight="1">
      <c r="A879" s="1"/>
      <c r="B879" s="2"/>
      <c r="C879" s="1"/>
      <c r="D879" s="1"/>
      <c r="E879" s="2"/>
      <c r="F879" s="1"/>
      <c r="G879" s="1"/>
      <c r="H879" s="1"/>
      <c r="I879" s="1"/>
      <c r="J879" s="1"/>
      <c r="K879" s="1"/>
      <c r="L879" s="1"/>
      <c r="M879" s="1"/>
      <c r="N879" s="1"/>
      <c r="O879" s="1"/>
      <c r="P879" s="1"/>
      <c r="Q879" s="1"/>
      <c r="R879" s="1"/>
      <c r="S879" s="1"/>
      <c r="T879" s="1"/>
      <c r="U879" s="1"/>
      <c r="V879" s="1"/>
      <c r="W879" s="1"/>
      <c r="X879" s="1"/>
      <c r="Y879" s="1"/>
      <c r="Z879" s="1"/>
    </row>
    <row r="880" spans="1:26" ht="19.5" customHeight="1">
      <c r="A880" s="1"/>
      <c r="B880" s="2"/>
      <c r="C880" s="1"/>
      <c r="D880" s="1"/>
      <c r="E880" s="2"/>
      <c r="F880" s="1"/>
      <c r="G880" s="1"/>
      <c r="H880" s="1"/>
      <c r="I880" s="1"/>
      <c r="J880" s="1"/>
      <c r="K880" s="1"/>
      <c r="L880" s="1"/>
      <c r="M880" s="1"/>
      <c r="N880" s="1"/>
      <c r="O880" s="1"/>
      <c r="P880" s="1"/>
      <c r="Q880" s="1"/>
      <c r="R880" s="1"/>
      <c r="S880" s="1"/>
      <c r="T880" s="1"/>
      <c r="U880" s="1"/>
      <c r="V880" s="1"/>
      <c r="W880" s="1"/>
      <c r="X880" s="1"/>
      <c r="Y880" s="1"/>
      <c r="Z880" s="1"/>
    </row>
    <row r="881" spans="1:26" ht="19.5" customHeight="1">
      <c r="A881" s="1"/>
      <c r="B881" s="2"/>
      <c r="C881" s="1"/>
      <c r="D881" s="1"/>
      <c r="E881" s="2"/>
      <c r="F881" s="1"/>
      <c r="G881" s="1"/>
      <c r="H881" s="1"/>
      <c r="I881" s="1"/>
      <c r="J881" s="1"/>
      <c r="K881" s="1"/>
      <c r="L881" s="1"/>
      <c r="M881" s="1"/>
      <c r="N881" s="1"/>
      <c r="O881" s="1"/>
      <c r="P881" s="1"/>
      <c r="Q881" s="1"/>
      <c r="R881" s="1"/>
      <c r="S881" s="1"/>
      <c r="T881" s="1"/>
      <c r="U881" s="1"/>
      <c r="V881" s="1"/>
      <c r="W881" s="1"/>
      <c r="X881" s="1"/>
      <c r="Y881" s="1"/>
      <c r="Z881" s="1"/>
    </row>
    <row r="882" spans="1:26" ht="19.5" customHeight="1">
      <c r="A882" s="1"/>
      <c r="B882" s="2"/>
      <c r="C882" s="1"/>
      <c r="D882" s="1"/>
      <c r="E882" s="2"/>
      <c r="F882" s="1"/>
      <c r="G882" s="1"/>
      <c r="H882" s="1"/>
      <c r="I882" s="1"/>
      <c r="J882" s="1"/>
      <c r="K882" s="1"/>
      <c r="L882" s="1"/>
      <c r="M882" s="1"/>
      <c r="N882" s="1"/>
      <c r="O882" s="1"/>
      <c r="P882" s="1"/>
      <c r="Q882" s="1"/>
      <c r="R882" s="1"/>
      <c r="S882" s="1"/>
      <c r="T882" s="1"/>
      <c r="U882" s="1"/>
      <c r="V882" s="1"/>
      <c r="W882" s="1"/>
      <c r="X882" s="1"/>
      <c r="Y882" s="1"/>
      <c r="Z882" s="1"/>
    </row>
    <row r="883" spans="1:26" ht="19.5" customHeight="1">
      <c r="A883" s="1"/>
      <c r="B883" s="2"/>
      <c r="C883" s="1"/>
      <c r="D883" s="1"/>
      <c r="E883" s="2"/>
      <c r="F883" s="1"/>
      <c r="G883" s="1"/>
      <c r="H883" s="1"/>
      <c r="I883" s="1"/>
      <c r="J883" s="1"/>
      <c r="K883" s="1"/>
      <c r="L883" s="1"/>
      <c r="M883" s="1"/>
      <c r="N883" s="1"/>
      <c r="O883" s="1"/>
      <c r="P883" s="1"/>
      <c r="Q883" s="1"/>
      <c r="R883" s="1"/>
      <c r="S883" s="1"/>
      <c r="T883" s="1"/>
      <c r="U883" s="1"/>
      <c r="V883" s="1"/>
      <c r="W883" s="1"/>
      <c r="X883" s="1"/>
      <c r="Y883" s="1"/>
      <c r="Z883" s="1"/>
    </row>
    <row r="884" spans="1:26" ht="19.5" customHeight="1">
      <c r="A884" s="1"/>
      <c r="B884" s="2"/>
      <c r="C884" s="1"/>
      <c r="D884" s="1"/>
      <c r="E884" s="2"/>
      <c r="F884" s="1"/>
      <c r="G884" s="1"/>
      <c r="H884" s="1"/>
      <c r="I884" s="1"/>
      <c r="J884" s="1"/>
      <c r="K884" s="1"/>
      <c r="L884" s="1"/>
      <c r="M884" s="1"/>
      <c r="N884" s="1"/>
      <c r="O884" s="1"/>
      <c r="P884" s="1"/>
      <c r="Q884" s="1"/>
      <c r="R884" s="1"/>
      <c r="S884" s="1"/>
      <c r="T884" s="1"/>
      <c r="U884" s="1"/>
      <c r="V884" s="1"/>
      <c r="W884" s="1"/>
      <c r="X884" s="1"/>
      <c r="Y884" s="1"/>
      <c r="Z884" s="1"/>
    </row>
    <row r="885" spans="1:26" ht="19.5" customHeight="1">
      <c r="A885" s="1"/>
      <c r="B885" s="2"/>
      <c r="C885" s="1"/>
      <c r="D885" s="1"/>
      <c r="E885" s="2"/>
      <c r="F885" s="1"/>
      <c r="G885" s="1"/>
      <c r="H885" s="1"/>
      <c r="I885" s="1"/>
      <c r="J885" s="1"/>
      <c r="K885" s="1"/>
      <c r="L885" s="1"/>
      <c r="M885" s="1"/>
      <c r="N885" s="1"/>
      <c r="O885" s="1"/>
      <c r="P885" s="1"/>
      <c r="Q885" s="1"/>
      <c r="R885" s="1"/>
      <c r="S885" s="1"/>
      <c r="T885" s="1"/>
      <c r="U885" s="1"/>
      <c r="V885" s="1"/>
      <c r="W885" s="1"/>
      <c r="X885" s="1"/>
      <c r="Y885" s="1"/>
      <c r="Z885" s="1"/>
    </row>
    <row r="886" spans="1:26" ht="19.5" customHeight="1">
      <c r="A886" s="1"/>
      <c r="B886" s="2"/>
      <c r="C886" s="1"/>
      <c r="D886" s="1"/>
      <c r="E886" s="2"/>
      <c r="F886" s="1"/>
      <c r="G886" s="1"/>
      <c r="H886" s="1"/>
      <c r="I886" s="1"/>
      <c r="J886" s="1"/>
      <c r="K886" s="1"/>
      <c r="L886" s="1"/>
      <c r="M886" s="1"/>
      <c r="N886" s="1"/>
      <c r="O886" s="1"/>
      <c r="P886" s="1"/>
      <c r="Q886" s="1"/>
      <c r="R886" s="1"/>
      <c r="S886" s="1"/>
      <c r="T886" s="1"/>
      <c r="U886" s="1"/>
      <c r="V886" s="1"/>
      <c r="W886" s="1"/>
      <c r="X886" s="1"/>
      <c r="Y886" s="1"/>
      <c r="Z886" s="1"/>
    </row>
    <row r="887" spans="1:26" ht="19.5" customHeight="1">
      <c r="A887" s="1"/>
      <c r="B887" s="2"/>
      <c r="C887" s="1"/>
      <c r="D887" s="1"/>
      <c r="E887" s="2"/>
      <c r="F887" s="1"/>
      <c r="G887" s="1"/>
      <c r="H887" s="1"/>
      <c r="I887" s="1"/>
      <c r="J887" s="1"/>
      <c r="K887" s="1"/>
      <c r="L887" s="1"/>
      <c r="M887" s="1"/>
      <c r="N887" s="1"/>
      <c r="O887" s="1"/>
      <c r="P887" s="1"/>
      <c r="Q887" s="1"/>
      <c r="R887" s="1"/>
      <c r="S887" s="1"/>
      <c r="T887" s="1"/>
      <c r="U887" s="1"/>
      <c r="V887" s="1"/>
      <c r="W887" s="1"/>
      <c r="X887" s="1"/>
      <c r="Y887" s="1"/>
      <c r="Z887" s="1"/>
    </row>
    <row r="888" spans="1:26" ht="19.5" customHeight="1">
      <c r="A888" s="1"/>
      <c r="B888" s="2"/>
      <c r="C888" s="1"/>
      <c r="D888" s="1"/>
      <c r="E888" s="2"/>
      <c r="F888" s="1"/>
      <c r="G888" s="1"/>
      <c r="H888" s="1"/>
      <c r="I888" s="1"/>
      <c r="J888" s="1"/>
      <c r="K888" s="1"/>
      <c r="L888" s="1"/>
      <c r="M888" s="1"/>
      <c r="N888" s="1"/>
      <c r="O888" s="1"/>
      <c r="P888" s="1"/>
      <c r="Q888" s="1"/>
      <c r="R888" s="1"/>
      <c r="S888" s="1"/>
      <c r="T888" s="1"/>
      <c r="U888" s="1"/>
      <c r="V888" s="1"/>
      <c r="W888" s="1"/>
      <c r="X888" s="1"/>
      <c r="Y888" s="1"/>
      <c r="Z888" s="1"/>
    </row>
    <row r="889" spans="1:26" ht="19.5" customHeight="1">
      <c r="A889" s="1"/>
      <c r="B889" s="2"/>
      <c r="C889" s="1"/>
      <c r="D889" s="1"/>
      <c r="E889" s="2"/>
      <c r="F889" s="1"/>
      <c r="G889" s="1"/>
      <c r="H889" s="1"/>
      <c r="I889" s="1"/>
      <c r="J889" s="1"/>
      <c r="K889" s="1"/>
      <c r="L889" s="1"/>
      <c r="M889" s="1"/>
      <c r="N889" s="1"/>
      <c r="O889" s="1"/>
      <c r="P889" s="1"/>
      <c r="Q889" s="1"/>
      <c r="R889" s="1"/>
      <c r="S889" s="1"/>
      <c r="T889" s="1"/>
      <c r="U889" s="1"/>
      <c r="V889" s="1"/>
      <c r="W889" s="1"/>
      <c r="X889" s="1"/>
      <c r="Y889" s="1"/>
      <c r="Z889" s="1"/>
    </row>
    <row r="890" spans="1:26" ht="19.5" customHeight="1">
      <c r="A890" s="1"/>
      <c r="B890" s="2"/>
      <c r="C890" s="1"/>
      <c r="D890" s="1"/>
      <c r="E890" s="2"/>
      <c r="F890" s="1"/>
      <c r="G890" s="1"/>
      <c r="H890" s="1"/>
      <c r="I890" s="1"/>
      <c r="J890" s="1"/>
      <c r="K890" s="1"/>
      <c r="L890" s="1"/>
      <c r="M890" s="1"/>
      <c r="N890" s="1"/>
      <c r="O890" s="1"/>
      <c r="P890" s="1"/>
      <c r="Q890" s="1"/>
      <c r="R890" s="1"/>
      <c r="S890" s="1"/>
      <c r="T890" s="1"/>
      <c r="U890" s="1"/>
      <c r="V890" s="1"/>
      <c r="W890" s="1"/>
      <c r="X890" s="1"/>
      <c r="Y890" s="1"/>
      <c r="Z890" s="1"/>
    </row>
    <row r="891" spans="1:26" ht="19.5" customHeight="1">
      <c r="A891" s="1"/>
      <c r="B891" s="2"/>
      <c r="C891" s="1"/>
      <c r="D891" s="1"/>
      <c r="E891" s="2"/>
      <c r="F891" s="1"/>
      <c r="G891" s="1"/>
      <c r="H891" s="1"/>
      <c r="I891" s="1"/>
      <c r="J891" s="1"/>
      <c r="K891" s="1"/>
      <c r="L891" s="1"/>
      <c r="M891" s="1"/>
      <c r="N891" s="1"/>
      <c r="O891" s="1"/>
      <c r="P891" s="1"/>
      <c r="Q891" s="1"/>
      <c r="R891" s="1"/>
      <c r="S891" s="1"/>
      <c r="T891" s="1"/>
      <c r="U891" s="1"/>
      <c r="V891" s="1"/>
      <c r="W891" s="1"/>
      <c r="X891" s="1"/>
      <c r="Y891" s="1"/>
      <c r="Z891" s="1"/>
    </row>
    <row r="892" spans="1:26" ht="19.5" customHeight="1">
      <c r="A892" s="1"/>
      <c r="B892" s="2"/>
      <c r="C892" s="1"/>
      <c r="D892" s="1"/>
      <c r="E892" s="2"/>
      <c r="F892" s="1"/>
      <c r="G892" s="1"/>
      <c r="H892" s="1"/>
      <c r="I892" s="1"/>
      <c r="J892" s="1"/>
      <c r="K892" s="1"/>
      <c r="L892" s="1"/>
      <c r="M892" s="1"/>
      <c r="N892" s="1"/>
      <c r="O892" s="1"/>
      <c r="P892" s="1"/>
      <c r="Q892" s="1"/>
      <c r="R892" s="1"/>
      <c r="S892" s="1"/>
      <c r="T892" s="1"/>
      <c r="U892" s="1"/>
      <c r="V892" s="1"/>
      <c r="W892" s="1"/>
      <c r="X892" s="1"/>
      <c r="Y892" s="1"/>
      <c r="Z892" s="1"/>
    </row>
    <row r="893" spans="1:26" ht="19.5" customHeight="1">
      <c r="A893" s="1"/>
      <c r="B893" s="2"/>
      <c r="C893" s="1"/>
      <c r="D893" s="1"/>
      <c r="E893" s="2"/>
      <c r="F893" s="1"/>
      <c r="G893" s="1"/>
      <c r="H893" s="1"/>
      <c r="I893" s="1"/>
      <c r="J893" s="1"/>
      <c r="K893" s="1"/>
      <c r="L893" s="1"/>
      <c r="M893" s="1"/>
      <c r="N893" s="1"/>
      <c r="O893" s="1"/>
      <c r="P893" s="1"/>
      <c r="Q893" s="1"/>
      <c r="R893" s="1"/>
      <c r="S893" s="1"/>
      <c r="T893" s="1"/>
      <c r="U893" s="1"/>
      <c r="V893" s="1"/>
      <c r="W893" s="1"/>
      <c r="X893" s="1"/>
      <c r="Y893" s="1"/>
      <c r="Z893" s="1"/>
    </row>
    <row r="894" spans="1:26" ht="19.5" customHeight="1">
      <c r="A894" s="1"/>
      <c r="B894" s="2"/>
      <c r="C894" s="1"/>
      <c r="D894" s="1"/>
      <c r="E894" s="2"/>
      <c r="F894" s="1"/>
      <c r="G894" s="1"/>
      <c r="H894" s="1"/>
      <c r="I894" s="1"/>
      <c r="J894" s="1"/>
      <c r="K894" s="1"/>
      <c r="L894" s="1"/>
      <c r="M894" s="1"/>
      <c r="N894" s="1"/>
      <c r="O894" s="1"/>
      <c r="P894" s="1"/>
      <c r="Q894" s="1"/>
      <c r="R894" s="1"/>
      <c r="S894" s="1"/>
      <c r="T894" s="1"/>
      <c r="U894" s="1"/>
      <c r="V894" s="1"/>
      <c r="W894" s="1"/>
      <c r="X894" s="1"/>
      <c r="Y894" s="1"/>
      <c r="Z894" s="1"/>
    </row>
    <row r="895" spans="1:26" ht="19.5" customHeight="1">
      <c r="A895" s="1"/>
      <c r="B895" s="2"/>
      <c r="C895" s="1"/>
      <c r="D895" s="1"/>
      <c r="E895" s="2"/>
      <c r="F895" s="1"/>
      <c r="G895" s="1"/>
      <c r="H895" s="1"/>
      <c r="I895" s="1"/>
      <c r="J895" s="1"/>
      <c r="K895" s="1"/>
      <c r="L895" s="1"/>
      <c r="M895" s="1"/>
      <c r="N895" s="1"/>
      <c r="O895" s="1"/>
      <c r="P895" s="1"/>
      <c r="Q895" s="1"/>
      <c r="R895" s="1"/>
      <c r="S895" s="1"/>
      <c r="T895" s="1"/>
      <c r="U895" s="1"/>
      <c r="V895" s="1"/>
      <c r="W895" s="1"/>
      <c r="X895" s="1"/>
      <c r="Y895" s="1"/>
      <c r="Z895" s="1"/>
    </row>
    <row r="896" spans="1:26" ht="19.5" customHeight="1">
      <c r="A896" s="1"/>
      <c r="B896" s="2"/>
      <c r="C896" s="1"/>
      <c r="D896" s="1"/>
      <c r="E896" s="2"/>
      <c r="F896" s="1"/>
      <c r="G896" s="1"/>
      <c r="H896" s="1"/>
      <c r="I896" s="1"/>
      <c r="J896" s="1"/>
      <c r="K896" s="1"/>
      <c r="L896" s="1"/>
      <c r="M896" s="1"/>
      <c r="N896" s="1"/>
      <c r="O896" s="1"/>
      <c r="P896" s="1"/>
      <c r="Q896" s="1"/>
      <c r="R896" s="1"/>
      <c r="S896" s="1"/>
      <c r="T896" s="1"/>
      <c r="U896" s="1"/>
      <c r="V896" s="1"/>
      <c r="W896" s="1"/>
      <c r="X896" s="1"/>
      <c r="Y896" s="1"/>
      <c r="Z896" s="1"/>
    </row>
    <row r="897" spans="1:26" ht="19.5" customHeight="1">
      <c r="A897" s="1"/>
      <c r="B897" s="2"/>
      <c r="C897" s="1"/>
      <c r="D897" s="1"/>
      <c r="E897" s="2"/>
      <c r="F897" s="1"/>
      <c r="G897" s="1"/>
      <c r="H897" s="1"/>
      <c r="I897" s="1"/>
      <c r="J897" s="1"/>
      <c r="K897" s="1"/>
      <c r="L897" s="1"/>
      <c r="M897" s="1"/>
      <c r="N897" s="1"/>
      <c r="O897" s="1"/>
      <c r="P897" s="1"/>
      <c r="Q897" s="1"/>
      <c r="R897" s="1"/>
      <c r="S897" s="1"/>
      <c r="T897" s="1"/>
      <c r="U897" s="1"/>
      <c r="V897" s="1"/>
      <c r="W897" s="1"/>
      <c r="X897" s="1"/>
      <c r="Y897" s="1"/>
      <c r="Z897" s="1"/>
    </row>
    <row r="898" spans="1:26" ht="19.5" customHeight="1">
      <c r="A898" s="1"/>
      <c r="B898" s="2"/>
      <c r="C898" s="1"/>
      <c r="D898" s="1"/>
      <c r="E898" s="2"/>
      <c r="F898" s="1"/>
      <c r="G898" s="1"/>
      <c r="H898" s="1"/>
      <c r="I898" s="1"/>
      <c r="J898" s="1"/>
      <c r="K898" s="1"/>
      <c r="L898" s="1"/>
      <c r="M898" s="1"/>
      <c r="N898" s="1"/>
      <c r="O898" s="1"/>
      <c r="P898" s="1"/>
      <c r="Q898" s="1"/>
      <c r="R898" s="1"/>
      <c r="S898" s="1"/>
      <c r="T898" s="1"/>
      <c r="U898" s="1"/>
      <c r="V898" s="1"/>
      <c r="W898" s="1"/>
      <c r="X898" s="1"/>
      <c r="Y898" s="1"/>
      <c r="Z898" s="1"/>
    </row>
    <row r="899" spans="1:26" ht="19.5" customHeight="1">
      <c r="A899" s="1"/>
      <c r="B899" s="2"/>
      <c r="C899" s="1"/>
      <c r="D899" s="1"/>
      <c r="E899" s="2"/>
      <c r="F899" s="1"/>
      <c r="G899" s="1"/>
      <c r="H899" s="1"/>
      <c r="I899" s="1"/>
      <c r="J899" s="1"/>
      <c r="K899" s="1"/>
      <c r="L899" s="1"/>
      <c r="M899" s="1"/>
      <c r="N899" s="1"/>
      <c r="O899" s="1"/>
      <c r="P899" s="1"/>
      <c r="Q899" s="1"/>
      <c r="R899" s="1"/>
      <c r="S899" s="1"/>
      <c r="T899" s="1"/>
      <c r="U899" s="1"/>
      <c r="V899" s="1"/>
      <c r="W899" s="1"/>
      <c r="X899" s="1"/>
      <c r="Y899" s="1"/>
      <c r="Z899" s="1"/>
    </row>
    <row r="900" spans="1:26" ht="19.5" customHeight="1">
      <c r="A900" s="1"/>
      <c r="B900" s="2"/>
      <c r="C900" s="1"/>
      <c r="D900" s="1"/>
      <c r="E900" s="2"/>
      <c r="F900" s="1"/>
      <c r="G900" s="1"/>
      <c r="H900" s="1"/>
      <c r="I900" s="1"/>
      <c r="J900" s="1"/>
      <c r="K900" s="1"/>
      <c r="L900" s="1"/>
      <c r="M900" s="1"/>
      <c r="N900" s="1"/>
      <c r="O900" s="1"/>
      <c r="P900" s="1"/>
      <c r="Q900" s="1"/>
      <c r="R900" s="1"/>
      <c r="S900" s="1"/>
      <c r="T900" s="1"/>
      <c r="U900" s="1"/>
      <c r="V900" s="1"/>
      <c r="W900" s="1"/>
      <c r="X900" s="1"/>
      <c r="Y900" s="1"/>
      <c r="Z900" s="1"/>
    </row>
    <row r="901" spans="1:26" ht="19.5" customHeight="1">
      <c r="A901" s="1"/>
      <c r="B901" s="2"/>
      <c r="C901" s="1"/>
      <c r="D901" s="1"/>
      <c r="E901" s="2"/>
      <c r="F901" s="1"/>
      <c r="G901" s="1"/>
      <c r="H901" s="1"/>
      <c r="I901" s="1"/>
      <c r="J901" s="1"/>
      <c r="K901" s="1"/>
      <c r="L901" s="1"/>
      <c r="M901" s="1"/>
      <c r="N901" s="1"/>
      <c r="O901" s="1"/>
      <c r="P901" s="1"/>
      <c r="Q901" s="1"/>
      <c r="R901" s="1"/>
      <c r="S901" s="1"/>
      <c r="T901" s="1"/>
      <c r="U901" s="1"/>
      <c r="V901" s="1"/>
      <c r="W901" s="1"/>
      <c r="X901" s="1"/>
      <c r="Y901" s="1"/>
      <c r="Z901" s="1"/>
    </row>
    <row r="902" spans="1:26" ht="19.5" customHeight="1">
      <c r="A902" s="1"/>
      <c r="B902" s="2"/>
      <c r="C902" s="1"/>
      <c r="D902" s="1"/>
      <c r="E902" s="2"/>
      <c r="F902" s="1"/>
      <c r="G902" s="1"/>
      <c r="H902" s="1"/>
      <c r="I902" s="1"/>
      <c r="J902" s="1"/>
      <c r="K902" s="1"/>
      <c r="L902" s="1"/>
      <c r="M902" s="1"/>
      <c r="N902" s="1"/>
      <c r="O902" s="1"/>
      <c r="P902" s="1"/>
      <c r="Q902" s="1"/>
      <c r="R902" s="1"/>
      <c r="S902" s="1"/>
      <c r="T902" s="1"/>
      <c r="U902" s="1"/>
      <c r="V902" s="1"/>
      <c r="W902" s="1"/>
      <c r="X902" s="1"/>
      <c r="Y902" s="1"/>
      <c r="Z902" s="1"/>
    </row>
    <row r="903" spans="1:26" ht="19.5" customHeight="1">
      <c r="A903" s="1"/>
      <c r="B903" s="2"/>
      <c r="C903" s="1"/>
      <c r="D903" s="1"/>
      <c r="E903" s="2"/>
      <c r="F903" s="1"/>
      <c r="G903" s="1"/>
      <c r="H903" s="1"/>
      <c r="I903" s="1"/>
      <c r="J903" s="1"/>
      <c r="K903" s="1"/>
      <c r="L903" s="1"/>
      <c r="M903" s="1"/>
      <c r="N903" s="1"/>
      <c r="O903" s="1"/>
      <c r="P903" s="1"/>
      <c r="Q903" s="1"/>
      <c r="R903" s="1"/>
      <c r="S903" s="1"/>
      <c r="T903" s="1"/>
      <c r="U903" s="1"/>
      <c r="V903" s="1"/>
      <c r="W903" s="1"/>
      <c r="X903" s="1"/>
      <c r="Y903" s="1"/>
      <c r="Z903" s="1"/>
    </row>
    <row r="904" spans="1:26" ht="19.5" customHeight="1">
      <c r="A904" s="1"/>
      <c r="B904" s="2"/>
      <c r="C904" s="1"/>
      <c r="D904" s="1"/>
      <c r="E904" s="2"/>
      <c r="F904" s="1"/>
      <c r="G904" s="1"/>
      <c r="H904" s="1"/>
      <c r="I904" s="1"/>
      <c r="J904" s="1"/>
      <c r="K904" s="1"/>
      <c r="L904" s="1"/>
      <c r="M904" s="1"/>
      <c r="N904" s="1"/>
      <c r="O904" s="1"/>
      <c r="P904" s="1"/>
      <c r="Q904" s="1"/>
      <c r="R904" s="1"/>
      <c r="S904" s="1"/>
      <c r="T904" s="1"/>
      <c r="U904" s="1"/>
      <c r="V904" s="1"/>
      <c r="W904" s="1"/>
      <c r="X904" s="1"/>
      <c r="Y904" s="1"/>
      <c r="Z904" s="1"/>
    </row>
    <row r="905" spans="1:26" ht="19.5" customHeight="1">
      <c r="A905" s="1"/>
      <c r="B905" s="2"/>
      <c r="C905" s="1"/>
      <c r="D905" s="1"/>
      <c r="E905" s="2"/>
      <c r="F905" s="1"/>
      <c r="G905" s="1"/>
      <c r="H905" s="1"/>
      <c r="I905" s="1"/>
      <c r="J905" s="1"/>
      <c r="K905" s="1"/>
      <c r="L905" s="1"/>
      <c r="M905" s="1"/>
      <c r="N905" s="1"/>
      <c r="O905" s="1"/>
      <c r="P905" s="1"/>
      <c r="Q905" s="1"/>
      <c r="R905" s="1"/>
      <c r="S905" s="1"/>
      <c r="T905" s="1"/>
      <c r="U905" s="1"/>
      <c r="V905" s="1"/>
      <c r="W905" s="1"/>
      <c r="X905" s="1"/>
      <c r="Y905" s="1"/>
      <c r="Z905" s="1"/>
    </row>
    <row r="906" spans="1:26" ht="19.5" customHeight="1">
      <c r="A906" s="1"/>
      <c r="B906" s="2"/>
      <c r="C906" s="1"/>
      <c r="D906" s="1"/>
      <c r="E906" s="2"/>
      <c r="F906" s="1"/>
      <c r="G906" s="1"/>
      <c r="H906" s="1"/>
      <c r="I906" s="1"/>
      <c r="J906" s="1"/>
      <c r="K906" s="1"/>
      <c r="L906" s="1"/>
      <c r="M906" s="1"/>
      <c r="N906" s="1"/>
      <c r="O906" s="1"/>
      <c r="P906" s="1"/>
      <c r="Q906" s="1"/>
      <c r="R906" s="1"/>
      <c r="S906" s="1"/>
      <c r="T906" s="1"/>
      <c r="U906" s="1"/>
      <c r="V906" s="1"/>
      <c r="W906" s="1"/>
      <c r="X906" s="1"/>
      <c r="Y906" s="1"/>
      <c r="Z906" s="1"/>
    </row>
    <row r="907" spans="1:26" ht="19.5" customHeight="1">
      <c r="A907" s="1"/>
      <c r="B907" s="2"/>
      <c r="C907" s="1"/>
      <c r="D907" s="1"/>
      <c r="E907" s="2"/>
      <c r="F907" s="1"/>
      <c r="G907" s="1"/>
      <c r="H907" s="1"/>
      <c r="I907" s="1"/>
      <c r="J907" s="1"/>
      <c r="K907" s="1"/>
      <c r="L907" s="1"/>
      <c r="M907" s="1"/>
      <c r="N907" s="1"/>
      <c r="O907" s="1"/>
      <c r="P907" s="1"/>
      <c r="Q907" s="1"/>
      <c r="R907" s="1"/>
      <c r="S907" s="1"/>
      <c r="T907" s="1"/>
      <c r="U907" s="1"/>
      <c r="V907" s="1"/>
      <c r="W907" s="1"/>
      <c r="X907" s="1"/>
      <c r="Y907" s="1"/>
      <c r="Z907" s="1"/>
    </row>
    <row r="908" spans="1:26" ht="19.5" customHeight="1">
      <c r="A908" s="1"/>
      <c r="B908" s="2"/>
      <c r="C908" s="1"/>
      <c r="D908" s="1"/>
      <c r="E908" s="2"/>
      <c r="F908" s="1"/>
      <c r="G908" s="1"/>
      <c r="H908" s="1"/>
      <c r="I908" s="1"/>
      <c r="J908" s="1"/>
      <c r="K908" s="1"/>
      <c r="L908" s="1"/>
      <c r="M908" s="1"/>
      <c r="N908" s="1"/>
      <c r="O908" s="1"/>
      <c r="P908" s="1"/>
      <c r="Q908" s="1"/>
      <c r="R908" s="1"/>
      <c r="S908" s="1"/>
      <c r="T908" s="1"/>
      <c r="U908" s="1"/>
      <c r="V908" s="1"/>
      <c r="W908" s="1"/>
      <c r="X908" s="1"/>
      <c r="Y908" s="1"/>
      <c r="Z908" s="1"/>
    </row>
    <row r="909" spans="1:26" ht="19.5" customHeight="1">
      <c r="A909" s="1"/>
      <c r="B909" s="2"/>
      <c r="C909" s="1"/>
      <c r="D909" s="1"/>
      <c r="E909" s="2"/>
      <c r="F909" s="1"/>
      <c r="G909" s="1"/>
      <c r="H909" s="1"/>
      <c r="I909" s="1"/>
      <c r="J909" s="1"/>
      <c r="K909" s="1"/>
      <c r="L909" s="1"/>
      <c r="M909" s="1"/>
      <c r="N909" s="1"/>
      <c r="O909" s="1"/>
      <c r="P909" s="1"/>
      <c r="Q909" s="1"/>
      <c r="R909" s="1"/>
      <c r="S909" s="1"/>
      <c r="T909" s="1"/>
      <c r="U909" s="1"/>
      <c r="V909" s="1"/>
      <c r="W909" s="1"/>
      <c r="X909" s="1"/>
      <c r="Y909" s="1"/>
      <c r="Z909" s="1"/>
    </row>
    <row r="910" spans="1:26" ht="19.5" customHeight="1">
      <c r="A910" s="1"/>
      <c r="B910" s="2"/>
      <c r="C910" s="1"/>
      <c r="D910" s="1"/>
      <c r="E910" s="2"/>
      <c r="F910" s="1"/>
      <c r="G910" s="1"/>
      <c r="H910" s="1"/>
      <c r="I910" s="1"/>
      <c r="J910" s="1"/>
      <c r="K910" s="1"/>
      <c r="L910" s="1"/>
      <c r="M910" s="1"/>
      <c r="N910" s="1"/>
      <c r="O910" s="1"/>
      <c r="P910" s="1"/>
      <c r="Q910" s="1"/>
      <c r="R910" s="1"/>
      <c r="S910" s="1"/>
      <c r="T910" s="1"/>
      <c r="U910" s="1"/>
      <c r="V910" s="1"/>
      <c r="W910" s="1"/>
      <c r="X910" s="1"/>
      <c r="Y910" s="1"/>
      <c r="Z910" s="1"/>
    </row>
    <row r="911" spans="1:26" ht="19.5" customHeight="1">
      <c r="A911" s="1"/>
      <c r="B911" s="2"/>
      <c r="C911" s="1"/>
      <c r="D911" s="1"/>
      <c r="E911" s="2"/>
      <c r="F911" s="1"/>
      <c r="G911" s="1"/>
      <c r="H911" s="1"/>
      <c r="I911" s="1"/>
      <c r="J911" s="1"/>
      <c r="K911" s="1"/>
      <c r="L911" s="1"/>
      <c r="M911" s="1"/>
      <c r="N911" s="1"/>
      <c r="O911" s="1"/>
      <c r="P911" s="1"/>
      <c r="Q911" s="1"/>
      <c r="R911" s="1"/>
      <c r="S911" s="1"/>
      <c r="T911" s="1"/>
      <c r="U911" s="1"/>
      <c r="V911" s="1"/>
      <c r="W911" s="1"/>
      <c r="X911" s="1"/>
      <c r="Y911" s="1"/>
      <c r="Z911" s="1"/>
    </row>
    <row r="912" spans="1:26" ht="19.5" customHeight="1">
      <c r="A912" s="1"/>
      <c r="B912" s="2"/>
      <c r="C912" s="1"/>
      <c r="D912" s="1"/>
      <c r="E912" s="2"/>
      <c r="F912" s="1"/>
      <c r="G912" s="1"/>
      <c r="H912" s="1"/>
      <c r="I912" s="1"/>
      <c r="J912" s="1"/>
      <c r="K912" s="1"/>
      <c r="L912" s="1"/>
      <c r="M912" s="1"/>
      <c r="N912" s="1"/>
      <c r="O912" s="1"/>
      <c r="P912" s="1"/>
      <c r="Q912" s="1"/>
      <c r="R912" s="1"/>
      <c r="S912" s="1"/>
      <c r="T912" s="1"/>
      <c r="U912" s="1"/>
      <c r="V912" s="1"/>
      <c r="W912" s="1"/>
      <c r="X912" s="1"/>
      <c r="Y912" s="1"/>
      <c r="Z912" s="1"/>
    </row>
    <row r="913" spans="1:26" ht="19.5" customHeight="1">
      <c r="A913" s="1"/>
      <c r="B913" s="2"/>
      <c r="C913" s="1"/>
      <c r="D913" s="1"/>
      <c r="E913" s="2"/>
      <c r="F913" s="1"/>
      <c r="G913" s="1"/>
      <c r="H913" s="1"/>
      <c r="I913" s="1"/>
      <c r="J913" s="1"/>
      <c r="K913" s="1"/>
      <c r="L913" s="1"/>
      <c r="M913" s="1"/>
      <c r="N913" s="1"/>
      <c r="O913" s="1"/>
      <c r="P913" s="1"/>
      <c r="Q913" s="1"/>
      <c r="R913" s="1"/>
      <c r="S913" s="1"/>
      <c r="T913" s="1"/>
      <c r="U913" s="1"/>
      <c r="V913" s="1"/>
      <c r="W913" s="1"/>
      <c r="X913" s="1"/>
      <c r="Y913" s="1"/>
      <c r="Z913" s="1"/>
    </row>
    <row r="914" spans="1:26" ht="19.5" customHeight="1">
      <c r="A914" s="1"/>
      <c r="B914" s="2"/>
      <c r="C914" s="1"/>
      <c r="D914" s="1"/>
      <c r="E914" s="2"/>
      <c r="F914" s="1"/>
      <c r="G914" s="1"/>
      <c r="H914" s="1"/>
      <c r="I914" s="1"/>
      <c r="J914" s="1"/>
      <c r="K914" s="1"/>
      <c r="L914" s="1"/>
      <c r="M914" s="1"/>
      <c r="N914" s="1"/>
      <c r="O914" s="1"/>
      <c r="P914" s="1"/>
      <c r="Q914" s="1"/>
      <c r="R914" s="1"/>
      <c r="S914" s="1"/>
      <c r="T914" s="1"/>
      <c r="U914" s="1"/>
      <c r="V914" s="1"/>
      <c r="W914" s="1"/>
      <c r="X914" s="1"/>
      <c r="Y914" s="1"/>
      <c r="Z914" s="1"/>
    </row>
    <row r="915" spans="1:26" ht="19.5" customHeight="1">
      <c r="A915" s="1"/>
      <c r="B915" s="2"/>
      <c r="C915" s="1"/>
      <c r="D915" s="1"/>
      <c r="E915" s="2"/>
      <c r="F915" s="1"/>
      <c r="G915" s="1"/>
      <c r="H915" s="1"/>
      <c r="I915" s="1"/>
      <c r="J915" s="1"/>
      <c r="K915" s="1"/>
      <c r="L915" s="1"/>
      <c r="M915" s="1"/>
      <c r="N915" s="1"/>
      <c r="O915" s="1"/>
      <c r="P915" s="1"/>
      <c r="Q915" s="1"/>
      <c r="R915" s="1"/>
      <c r="S915" s="1"/>
      <c r="T915" s="1"/>
      <c r="U915" s="1"/>
      <c r="V915" s="1"/>
      <c r="W915" s="1"/>
      <c r="X915" s="1"/>
      <c r="Y915" s="1"/>
      <c r="Z915" s="1"/>
    </row>
    <row r="916" spans="1:26" ht="19.5" customHeight="1">
      <c r="A916" s="1"/>
      <c r="B916" s="2"/>
      <c r="C916" s="1"/>
      <c r="D916" s="1"/>
      <c r="E916" s="2"/>
      <c r="F916" s="1"/>
      <c r="G916" s="1"/>
      <c r="H916" s="1"/>
      <c r="I916" s="1"/>
      <c r="J916" s="1"/>
      <c r="K916" s="1"/>
      <c r="L916" s="1"/>
      <c r="M916" s="1"/>
      <c r="N916" s="1"/>
      <c r="O916" s="1"/>
      <c r="P916" s="1"/>
      <c r="Q916" s="1"/>
      <c r="R916" s="1"/>
      <c r="S916" s="1"/>
      <c r="T916" s="1"/>
      <c r="U916" s="1"/>
      <c r="V916" s="1"/>
      <c r="W916" s="1"/>
      <c r="X916" s="1"/>
      <c r="Y916" s="1"/>
      <c r="Z916" s="1"/>
    </row>
    <row r="917" spans="1:26" ht="19.5" customHeight="1">
      <c r="A917" s="1"/>
      <c r="B917" s="2"/>
      <c r="C917" s="1"/>
      <c r="D917" s="1"/>
      <c r="E917" s="2"/>
      <c r="F917" s="1"/>
      <c r="G917" s="1"/>
      <c r="H917" s="1"/>
      <c r="I917" s="1"/>
      <c r="J917" s="1"/>
      <c r="K917" s="1"/>
      <c r="L917" s="1"/>
      <c r="M917" s="1"/>
      <c r="N917" s="1"/>
      <c r="O917" s="1"/>
      <c r="P917" s="1"/>
      <c r="Q917" s="1"/>
      <c r="R917" s="1"/>
      <c r="S917" s="1"/>
      <c r="T917" s="1"/>
      <c r="U917" s="1"/>
      <c r="V917" s="1"/>
      <c r="W917" s="1"/>
      <c r="X917" s="1"/>
      <c r="Y917" s="1"/>
      <c r="Z917" s="1"/>
    </row>
    <row r="918" spans="1:26" ht="19.5" customHeight="1">
      <c r="A918" s="1"/>
      <c r="B918" s="2"/>
      <c r="C918" s="1"/>
      <c r="D918" s="1"/>
      <c r="E918" s="2"/>
      <c r="F918" s="1"/>
      <c r="G918" s="1"/>
      <c r="H918" s="1"/>
      <c r="I918" s="1"/>
      <c r="J918" s="1"/>
      <c r="K918" s="1"/>
      <c r="L918" s="1"/>
      <c r="M918" s="1"/>
      <c r="N918" s="1"/>
      <c r="O918" s="1"/>
      <c r="P918" s="1"/>
      <c r="Q918" s="1"/>
      <c r="R918" s="1"/>
      <c r="S918" s="1"/>
      <c r="T918" s="1"/>
      <c r="U918" s="1"/>
      <c r="V918" s="1"/>
      <c r="W918" s="1"/>
      <c r="X918" s="1"/>
      <c r="Y918" s="1"/>
      <c r="Z918" s="1"/>
    </row>
    <row r="919" spans="1:26" ht="19.5" customHeight="1">
      <c r="A919" s="1"/>
      <c r="B919" s="2"/>
      <c r="C919" s="1"/>
      <c r="D919" s="1"/>
      <c r="E919" s="2"/>
      <c r="F919" s="1"/>
      <c r="G919" s="1"/>
      <c r="H919" s="1"/>
      <c r="I919" s="1"/>
      <c r="J919" s="1"/>
      <c r="K919" s="1"/>
      <c r="L919" s="1"/>
      <c r="M919" s="1"/>
      <c r="N919" s="1"/>
      <c r="O919" s="1"/>
      <c r="P919" s="1"/>
      <c r="Q919" s="1"/>
      <c r="R919" s="1"/>
      <c r="S919" s="1"/>
      <c r="T919" s="1"/>
      <c r="U919" s="1"/>
      <c r="V919" s="1"/>
      <c r="W919" s="1"/>
      <c r="X919" s="1"/>
      <c r="Y919" s="1"/>
      <c r="Z919" s="1"/>
    </row>
    <row r="920" spans="1:26" ht="19.5" customHeight="1">
      <c r="A920" s="1"/>
      <c r="B920" s="2"/>
      <c r="C920" s="1"/>
      <c r="D920" s="1"/>
      <c r="E920" s="2"/>
      <c r="F920" s="1"/>
      <c r="G920" s="1"/>
      <c r="H920" s="1"/>
      <c r="I920" s="1"/>
      <c r="J920" s="1"/>
      <c r="K920" s="1"/>
      <c r="L920" s="1"/>
      <c r="M920" s="1"/>
      <c r="N920" s="1"/>
      <c r="O920" s="1"/>
      <c r="P920" s="1"/>
      <c r="Q920" s="1"/>
      <c r="R920" s="1"/>
      <c r="S920" s="1"/>
      <c r="T920" s="1"/>
      <c r="U920" s="1"/>
      <c r="V920" s="1"/>
      <c r="W920" s="1"/>
      <c r="X920" s="1"/>
      <c r="Y920" s="1"/>
      <c r="Z920" s="1"/>
    </row>
    <row r="921" spans="1:26" ht="19.5" customHeight="1">
      <c r="A921" s="1"/>
      <c r="B921" s="2"/>
      <c r="C921" s="1"/>
      <c r="D921" s="1"/>
      <c r="E921" s="2"/>
      <c r="F921" s="1"/>
      <c r="G921" s="1"/>
      <c r="H921" s="1"/>
      <c r="I921" s="1"/>
      <c r="J921" s="1"/>
      <c r="K921" s="1"/>
      <c r="L921" s="1"/>
      <c r="M921" s="1"/>
      <c r="N921" s="1"/>
      <c r="O921" s="1"/>
      <c r="P921" s="1"/>
      <c r="Q921" s="1"/>
      <c r="R921" s="1"/>
      <c r="S921" s="1"/>
      <c r="T921" s="1"/>
      <c r="U921" s="1"/>
      <c r="V921" s="1"/>
      <c r="W921" s="1"/>
      <c r="X921" s="1"/>
      <c r="Y921" s="1"/>
      <c r="Z921" s="1"/>
    </row>
    <row r="922" spans="1:26" ht="19.5" customHeight="1">
      <c r="A922" s="1"/>
      <c r="B922" s="2"/>
      <c r="C922" s="1"/>
      <c r="D922" s="1"/>
      <c r="E922" s="2"/>
      <c r="F922" s="1"/>
      <c r="G922" s="1"/>
      <c r="H922" s="1"/>
      <c r="I922" s="1"/>
      <c r="J922" s="1"/>
      <c r="K922" s="1"/>
      <c r="L922" s="1"/>
      <c r="M922" s="1"/>
      <c r="N922" s="1"/>
      <c r="O922" s="1"/>
      <c r="P922" s="1"/>
      <c r="Q922" s="1"/>
      <c r="R922" s="1"/>
      <c r="S922" s="1"/>
      <c r="T922" s="1"/>
      <c r="U922" s="1"/>
      <c r="V922" s="1"/>
      <c r="W922" s="1"/>
      <c r="X922" s="1"/>
      <c r="Y922" s="1"/>
      <c r="Z922" s="1"/>
    </row>
    <row r="923" spans="1:26" ht="19.5" customHeight="1">
      <c r="A923" s="1"/>
      <c r="B923" s="2"/>
      <c r="C923" s="1"/>
      <c r="D923" s="1"/>
      <c r="E923" s="2"/>
      <c r="F923" s="1"/>
      <c r="G923" s="1"/>
      <c r="H923" s="1"/>
      <c r="I923" s="1"/>
      <c r="J923" s="1"/>
      <c r="K923" s="1"/>
      <c r="L923" s="1"/>
      <c r="M923" s="1"/>
      <c r="N923" s="1"/>
      <c r="O923" s="1"/>
      <c r="P923" s="1"/>
      <c r="Q923" s="1"/>
      <c r="R923" s="1"/>
      <c r="S923" s="1"/>
      <c r="T923" s="1"/>
      <c r="U923" s="1"/>
      <c r="V923" s="1"/>
      <c r="W923" s="1"/>
      <c r="X923" s="1"/>
      <c r="Y923" s="1"/>
      <c r="Z923" s="1"/>
    </row>
    <row r="924" spans="1:26" ht="19.5" customHeight="1">
      <c r="A924" s="1"/>
      <c r="B924" s="2"/>
      <c r="C924" s="1"/>
      <c r="D924" s="1"/>
      <c r="E924" s="2"/>
      <c r="F924" s="1"/>
      <c r="G924" s="1"/>
      <c r="H924" s="1"/>
      <c r="I924" s="1"/>
      <c r="J924" s="1"/>
      <c r="K924" s="1"/>
      <c r="L924" s="1"/>
      <c r="M924" s="1"/>
      <c r="N924" s="1"/>
      <c r="O924" s="1"/>
      <c r="P924" s="1"/>
      <c r="Q924" s="1"/>
      <c r="R924" s="1"/>
      <c r="S924" s="1"/>
      <c r="T924" s="1"/>
      <c r="U924" s="1"/>
      <c r="V924" s="1"/>
      <c r="W924" s="1"/>
      <c r="X924" s="1"/>
      <c r="Y924" s="1"/>
      <c r="Z924" s="1"/>
    </row>
    <row r="925" spans="1:26" ht="19.5" customHeight="1">
      <c r="A925" s="1"/>
      <c r="B925" s="2"/>
      <c r="C925" s="1"/>
      <c r="D925" s="1"/>
      <c r="E925" s="2"/>
      <c r="F925" s="1"/>
      <c r="G925" s="1"/>
      <c r="H925" s="1"/>
      <c r="I925" s="1"/>
      <c r="J925" s="1"/>
      <c r="K925" s="1"/>
      <c r="L925" s="1"/>
      <c r="M925" s="1"/>
      <c r="N925" s="1"/>
      <c r="O925" s="1"/>
      <c r="P925" s="1"/>
      <c r="Q925" s="1"/>
      <c r="R925" s="1"/>
      <c r="S925" s="1"/>
      <c r="T925" s="1"/>
      <c r="U925" s="1"/>
      <c r="V925" s="1"/>
      <c r="W925" s="1"/>
      <c r="X925" s="1"/>
      <c r="Y925" s="1"/>
      <c r="Z925" s="1"/>
    </row>
    <row r="926" spans="1:26" ht="19.5" customHeight="1">
      <c r="A926" s="1"/>
      <c r="B926" s="2"/>
      <c r="C926" s="1"/>
      <c r="D926" s="1"/>
      <c r="E926" s="2"/>
      <c r="F926" s="1"/>
      <c r="G926" s="1"/>
      <c r="H926" s="1"/>
      <c r="I926" s="1"/>
      <c r="J926" s="1"/>
      <c r="K926" s="1"/>
      <c r="L926" s="1"/>
      <c r="M926" s="1"/>
      <c r="N926" s="1"/>
      <c r="O926" s="1"/>
      <c r="P926" s="1"/>
      <c r="Q926" s="1"/>
      <c r="R926" s="1"/>
      <c r="S926" s="1"/>
      <c r="T926" s="1"/>
      <c r="U926" s="1"/>
      <c r="V926" s="1"/>
      <c r="W926" s="1"/>
      <c r="X926" s="1"/>
      <c r="Y926" s="1"/>
      <c r="Z926" s="1"/>
    </row>
    <row r="927" spans="1:26" ht="19.5" customHeight="1">
      <c r="A927" s="1"/>
      <c r="B927" s="2"/>
      <c r="C927" s="1"/>
      <c r="D927" s="1"/>
      <c r="E927" s="2"/>
      <c r="F927" s="1"/>
      <c r="G927" s="1"/>
      <c r="H927" s="1"/>
      <c r="I927" s="1"/>
      <c r="J927" s="1"/>
      <c r="K927" s="1"/>
      <c r="L927" s="1"/>
      <c r="M927" s="1"/>
      <c r="N927" s="1"/>
      <c r="O927" s="1"/>
      <c r="P927" s="1"/>
      <c r="Q927" s="1"/>
      <c r="R927" s="1"/>
      <c r="S927" s="1"/>
      <c r="T927" s="1"/>
      <c r="U927" s="1"/>
      <c r="V927" s="1"/>
      <c r="W927" s="1"/>
      <c r="X927" s="1"/>
      <c r="Y927" s="1"/>
      <c r="Z927" s="1"/>
    </row>
    <row r="928" spans="1:26" ht="19.5" customHeight="1">
      <c r="A928" s="1"/>
      <c r="B928" s="2"/>
      <c r="C928" s="1"/>
      <c r="D928" s="1"/>
      <c r="E928" s="2"/>
      <c r="F928" s="1"/>
      <c r="G928" s="1"/>
      <c r="H928" s="1"/>
      <c r="I928" s="1"/>
      <c r="J928" s="1"/>
      <c r="K928" s="1"/>
      <c r="L928" s="1"/>
      <c r="M928" s="1"/>
      <c r="N928" s="1"/>
      <c r="O928" s="1"/>
      <c r="P928" s="1"/>
      <c r="Q928" s="1"/>
      <c r="R928" s="1"/>
      <c r="S928" s="1"/>
      <c r="T928" s="1"/>
      <c r="U928" s="1"/>
      <c r="V928" s="1"/>
      <c r="W928" s="1"/>
      <c r="X928" s="1"/>
      <c r="Y928" s="1"/>
      <c r="Z928" s="1"/>
    </row>
    <row r="929" spans="1:26" ht="19.5" customHeight="1">
      <c r="A929" s="1"/>
      <c r="B929" s="2"/>
      <c r="C929" s="1"/>
      <c r="D929" s="1"/>
      <c r="E929" s="2"/>
      <c r="F929" s="1"/>
      <c r="G929" s="1"/>
      <c r="H929" s="1"/>
      <c r="I929" s="1"/>
      <c r="J929" s="1"/>
      <c r="K929" s="1"/>
      <c r="L929" s="1"/>
      <c r="M929" s="1"/>
      <c r="N929" s="1"/>
      <c r="O929" s="1"/>
      <c r="P929" s="1"/>
      <c r="Q929" s="1"/>
      <c r="R929" s="1"/>
      <c r="S929" s="1"/>
      <c r="T929" s="1"/>
      <c r="U929" s="1"/>
      <c r="V929" s="1"/>
      <c r="W929" s="1"/>
      <c r="X929" s="1"/>
      <c r="Y929" s="1"/>
      <c r="Z929" s="1"/>
    </row>
    <row r="930" spans="1:26" ht="19.5" customHeight="1">
      <c r="A930" s="1"/>
      <c r="B930" s="2"/>
      <c r="C930" s="1"/>
      <c r="D930" s="1"/>
      <c r="E930" s="2"/>
      <c r="F930" s="1"/>
      <c r="G930" s="1"/>
      <c r="H930" s="1"/>
      <c r="I930" s="1"/>
      <c r="J930" s="1"/>
      <c r="K930" s="1"/>
      <c r="L930" s="1"/>
      <c r="M930" s="1"/>
      <c r="N930" s="1"/>
      <c r="O930" s="1"/>
      <c r="P930" s="1"/>
      <c r="Q930" s="1"/>
      <c r="R930" s="1"/>
      <c r="S930" s="1"/>
      <c r="T930" s="1"/>
      <c r="U930" s="1"/>
      <c r="V930" s="1"/>
      <c r="W930" s="1"/>
      <c r="X930" s="1"/>
      <c r="Y930" s="1"/>
      <c r="Z930" s="1"/>
    </row>
    <row r="931" spans="1:26" ht="19.5" customHeight="1">
      <c r="A931" s="1"/>
      <c r="B931" s="2"/>
      <c r="C931" s="1"/>
      <c r="D931" s="1"/>
      <c r="E931" s="2"/>
      <c r="F931" s="1"/>
      <c r="G931" s="1"/>
      <c r="H931" s="1"/>
      <c r="I931" s="1"/>
      <c r="J931" s="1"/>
      <c r="K931" s="1"/>
      <c r="L931" s="1"/>
      <c r="M931" s="1"/>
      <c r="N931" s="1"/>
      <c r="O931" s="1"/>
      <c r="P931" s="1"/>
      <c r="Q931" s="1"/>
      <c r="R931" s="1"/>
      <c r="S931" s="1"/>
      <c r="T931" s="1"/>
      <c r="U931" s="1"/>
      <c r="V931" s="1"/>
      <c r="W931" s="1"/>
      <c r="X931" s="1"/>
      <c r="Y931" s="1"/>
      <c r="Z931" s="1"/>
    </row>
    <row r="932" spans="1:26" ht="19.5" customHeight="1">
      <c r="A932" s="1"/>
      <c r="B932" s="2"/>
      <c r="C932" s="1"/>
      <c r="D932" s="1"/>
      <c r="E932" s="2"/>
      <c r="F932" s="1"/>
      <c r="G932" s="1"/>
      <c r="H932" s="1"/>
      <c r="I932" s="1"/>
      <c r="J932" s="1"/>
      <c r="K932" s="1"/>
      <c r="L932" s="1"/>
      <c r="M932" s="1"/>
      <c r="N932" s="1"/>
      <c r="O932" s="1"/>
      <c r="P932" s="1"/>
      <c r="Q932" s="1"/>
      <c r="R932" s="1"/>
      <c r="S932" s="1"/>
      <c r="T932" s="1"/>
      <c r="U932" s="1"/>
      <c r="V932" s="1"/>
      <c r="W932" s="1"/>
      <c r="X932" s="1"/>
      <c r="Y932" s="1"/>
      <c r="Z932" s="1"/>
    </row>
    <row r="933" spans="1:26" ht="19.5" customHeight="1">
      <c r="A933" s="1"/>
      <c r="B933" s="2"/>
      <c r="C933" s="1"/>
      <c r="D933" s="1"/>
      <c r="E933" s="2"/>
      <c r="F933" s="1"/>
      <c r="G933" s="1"/>
      <c r="H933" s="1"/>
      <c r="I933" s="1"/>
      <c r="J933" s="1"/>
      <c r="K933" s="1"/>
      <c r="L933" s="1"/>
      <c r="M933" s="1"/>
      <c r="N933" s="1"/>
      <c r="O933" s="1"/>
      <c r="P933" s="1"/>
      <c r="Q933" s="1"/>
      <c r="R933" s="1"/>
      <c r="S933" s="1"/>
      <c r="T933" s="1"/>
      <c r="U933" s="1"/>
      <c r="V933" s="1"/>
      <c r="W933" s="1"/>
      <c r="X933" s="1"/>
      <c r="Y933" s="1"/>
      <c r="Z933" s="1"/>
    </row>
    <row r="934" spans="1:26" ht="19.5" customHeight="1">
      <c r="A934" s="1"/>
      <c r="B934" s="2"/>
      <c r="C934" s="1"/>
      <c r="D934" s="1"/>
      <c r="E934" s="2"/>
      <c r="F934" s="1"/>
      <c r="G934" s="1"/>
      <c r="H934" s="1"/>
      <c r="I934" s="1"/>
      <c r="J934" s="1"/>
      <c r="K934" s="1"/>
      <c r="L934" s="1"/>
      <c r="M934" s="1"/>
      <c r="N934" s="1"/>
      <c r="O934" s="1"/>
      <c r="P934" s="1"/>
      <c r="Q934" s="1"/>
      <c r="R934" s="1"/>
      <c r="S934" s="1"/>
      <c r="T934" s="1"/>
      <c r="U934" s="1"/>
      <c r="V934" s="1"/>
      <c r="W934" s="1"/>
      <c r="X934" s="1"/>
      <c r="Y934" s="1"/>
      <c r="Z934" s="1"/>
    </row>
    <row r="935" spans="1:26" ht="19.5" customHeight="1">
      <c r="A935" s="1"/>
      <c r="B935" s="2"/>
      <c r="C935" s="1"/>
      <c r="D935" s="1"/>
      <c r="E935" s="2"/>
      <c r="F935" s="1"/>
      <c r="G935" s="1"/>
      <c r="H935" s="1"/>
      <c r="I935" s="1"/>
      <c r="J935" s="1"/>
      <c r="K935" s="1"/>
      <c r="L935" s="1"/>
      <c r="M935" s="1"/>
      <c r="N935" s="1"/>
      <c r="O935" s="1"/>
      <c r="P935" s="1"/>
      <c r="Q935" s="1"/>
      <c r="R935" s="1"/>
      <c r="S935" s="1"/>
      <c r="T935" s="1"/>
      <c r="U935" s="1"/>
      <c r="V935" s="1"/>
      <c r="W935" s="1"/>
      <c r="X935" s="1"/>
      <c r="Y935" s="1"/>
      <c r="Z935" s="1"/>
    </row>
    <row r="936" spans="1:26" ht="19.5" customHeight="1">
      <c r="A936" s="1"/>
      <c r="B936" s="2"/>
      <c r="C936" s="1"/>
      <c r="D936" s="1"/>
      <c r="E936" s="2"/>
      <c r="F936" s="1"/>
      <c r="G936" s="1"/>
      <c r="H936" s="1"/>
      <c r="I936" s="1"/>
      <c r="J936" s="1"/>
      <c r="K936" s="1"/>
      <c r="L936" s="1"/>
      <c r="M936" s="1"/>
      <c r="N936" s="1"/>
      <c r="O936" s="1"/>
      <c r="P936" s="1"/>
      <c r="Q936" s="1"/>
      <c r="R936" s="1"/>
      <c r="S936" s="1"/>
      <c r="T936" s="1"/>
      <c r="U936" s="1"/>
      <c r="V936" s="1"/>
      <c r="W936" s="1"/>
      <c r="X936" s="1"/>
      <c r="Y936" s="1"/>
      <c r="Z936" s="1"/>
    </row>
    <row r="937" spans="1:26" ht="19.5" customHeight="1">
      <c r="A937" s="1"/>
      <c r="B937" s="2"/>
      <c r="C937" s="1"/>
      <c r="D937" s="1"/>
      <c r="E937" s="2"/>
      <c r="F937" s="1"/>
      <c r="G937" s="1"/>
      <c r="H937" s="1"/>
      <c r="I937" s="1"/>
      <c r="J937" s="1"/>
      <c r="K937" s="1"/>
      <c r="L937" s="1"/>
      <c r="M937" s="1"/>
      <c r="N937" s="1"/>
      <c r="O937" s="1"/>
      <c r="P937" s="1"/>
      <c r="Q937" s="1"/>
      <c r="R937" s="1"/>
      <c r="S937" s="1"/>
      <c r="T937" s="1"/>
      <c r="U937" s="1"/>
      <c r="V937" s="1"/>
      <c r="W937" s="1"/>
      <c r="X937" s="1"/>
      <c r="Y937" s="1"/>
      <c r="Z937" s="1"/>
    </row>
    <row r="938" spans="1:26" ht="19.5" customHeight="1">
      <c r="A938" s="1"/>
      <c r="B938" s="2"/>
      <c r="C938" s="1"/>
      <c r="D938" s="1"/>
      <c r="E938" s="2"/>
      <c r="F938" s="1"/>
      <c r="G938" s="1"/>
      <c r="H938" s="1"/>
      <c r="I938" s="1"/>
      <c r="J938" s="1"/>
      <c r="K938" s="1"/>
      <c r="L938" s="1"/>
      <c r="M938" s="1"/>
      <c r="N938" s="1"/>
      <c r="O938" s="1"/>
      <c r="P938" s="1"/>
      <c r="Q938" s="1"/>
      <c r="R938" s="1"/>
      <c r="S938" s="1"/>
      <c r="T938" s="1"/>
      <c r="U938" s="1"/>
      <c r="V938" s="1"/>
      <c r="W938" s="1"/>
      <c r="X938" s="1"/>
      <c r="Y938" s="1"/>
      <c r="Z938" s="1"/>
    </row>
    <row r="939" spans="1:26" ht="19.5" customHeight="1">
      <c r="A939" s="1"/>
      <c r="B939" s="2"/>
      <c r="C939" s="1"/>
      <c r="D939" s="1"/>
      <c r="E939" s="2"/>
      <c r="F939" s="1"/>
      <c r="G939" s="1"/>
      <c r="H939" s="1"/>
      <c r="I939" s="1"/>
      <c r="J939" s="1"/>
      <c r="K939" s="1"/>
      <c r="L939" s="1"/>
      <c r="M939" s="1"/>
      <c r="N939" s="1"/>
      <c r="O939" s="1"/>
      <c r="P939" s="1"/>
      <c r="Q939" s="1"/>
      <c r="R939" s="1"/>
      <c r="S939" s="1"/>
      <c r="T939" s="1"/>
      <c r="U939" s="1"/>
      <c r="V939" s="1"/>
      <c r="W939" s="1"/>
      <c r="X939" s="1"/>
      <c r="Y939" s="1"/>
      <c r="Z939" s="1"/>
    </row>
    <row r="940" spans="1:26" ht="19.5" customHeight="1">
      <c r="A940" s="1"/>
      <c r="B940" s="2"/>
      <c r="C940" s="1"/>
      <c r="D940" s="1"/>
      <c r="E940" s="2"/>
      <c r="F940" s="1"/>
      <c r="G940" s="1"/>
      <c r="H940" s="1"/>
      <c r="I940" s="1"/>
      <c r="J940" s="1"/>
      <c r="K940" s="1"/>
      <c r="L940" s="1"/>
      <c r="M940" s="1"/>
      <c r="N940" s="1"/>
      <c r="O940" s="1"/>
      <c r="P940" s="1"/>
      <c r="Q940" s="1"/>
      <c r="R940" s="1"/>
      <c r="S940" s="1"/>
      <c r="T940" s="1"/>
      <c r="U940" s="1"/>
      <c r="V940" s="1"/>
      <c r="W940" s="1"/>
      <c r="X940" s="1"/>
      <c r="Y940" s="1"/>
      <c r="Z940" s="1"/>
    </row>
    <row r="941" spans="1:26" ht="19.5" customHeight="1">
      <c r="A941" s="1"/>
      <c r="B941" s="2"/>
      <c r="C941" s="1"/>
      <c r="D941" s="1"/>
      <c r="E941" s="2"/>
      <c r="F941" s="1"/>
      <c r="G941" s="1"/>
      <c r="H941" s="1"/>
      <c r="I941" s="1"/>
      <c r="J941" s="1"/>
      <c r="K941" s="1"/>
      <c r="L941" s="1"/>
      <c r="M941" s="1"/>
      <c r="N941" s="1"/>
      <c r="O941" s="1"/>
      <c r="P941" s="1"/>
      <c r="Q941" s="1"/>
      <c r="R941" s="1"/>
      <c r="S941" s="1"/>
      <c r="T941" s="1"/>
      <c r="U941" s="1"/>
      <c r="V941" s="1"/>
      <c r="W941" s="1"/>
      <c r="X941" s="1"/>
      <c r="Y941" s="1"/>
      <c r="Z941" s="1"/>
    </row>
    <row r="942" spans="1:26" ht="19.5" customHeight="1">
      <c r="A942" s="1"/>
      <c r="B942" s="2"/>
      <c r="C942" s="1"/>
      <c r="D942" s="1"/>
      <c r="E942" s="2"/>
      <c r="F942" s="1"/>
      <c r="G942" s="1"/>
      <c r="H942" s="1"/>
      <c r="I942" s="1"/>
      <c r="J942" s="1"/>
      <c r="K942" s="1"/>
      <c r="L942" s="1"/>
      <c r="M942" s="1"/>
      <c r="N942" s="1"/>
      <c r="O942" s="1"/>
      <c r="P942" s="1"/>
      <c r="Q942" s="1"/>
      <c r="R942" s="1"/>
      <c r="S942" s="1"/>
      <c r="T942" s="1"/>
      <c r="U942" s="1"/>
      <c r="V942" s="1"/>
      <c r="W942" s="1"/>
      <c r="X942" s="1"/>
      <c r="Y942" s="1"/>
      <c r="Z942" s="1"/>
    </row>
    <row r="943" spans="1:26" ht="19.5" customHeight="1">
      <c r="A943" s="1"/>
      <c r="B943" s="2"/>
      <c r="C943" s="1"/>
      <c r="D943" s="1"/>
      <c r="E943" s="2"/>
      <c r="F943" s="1"/>
      <c r="G943" s="1"/>
      <c r="H943" s="1"/>
      <c r="I943" s="1"/>
      <c r="J943" s="1"/>
      <c r="K943" s="1"/>
      <c r="L943" s="1"/>
      <c r="M943" s="1"/>
      <c r="N943" s="1"/>
      <c r="O943" s="1"/>
      <c r="P943" s="1"/>
      <c r="Q943" s="1"/>
      <c r="R943" s="1"/>
      <c r="S943" s="1"/>
      <c r="T943" s="1"/>
      <c r="U943" s="1"/>
      <c r="V943" s="1"/>
      <c r="W943" s="1"/>
      <c r="X943" s="1"/>
      <c r="Y943" s="1"/>
      <c r="Z943" s="1"/>
    </row>
    <row r="944" spans="1:26" ht="19.5" customHeight="1">
      <c r="A944" s="1"/>
      <c r="B944" s="2"/>
      <c r="C944" s="1"/>
      <c r="D944" s="1"/>
      <c r="E944" s="2"/>
      <c r="F944" s="1"/>
      <c r="G944" s="1"/>
      <c r="H944" s="1"/>
      <c r="I944" s="1"/>
      <c r="J944" s="1"/>
      <c r="K944" s="1"/>
      <c r="L944" s="1"/>
      <c r="M944" s="1"/>
      <c r="N944" s="1"/>
      <c r="O944" s="1"/>
      <c r="P944" s="1"/>
      <c r="Q944" s="1"/>
      <c r="R944" s="1"/>
      <c r="S944" s="1"/>
      <c r="T944" s="1"/>
      <c r="U944" s="1"/>
      <c r="V944" s="1"/>
      <c r="W944" s="1"/>
      <c r="X944" s="1"/>
      <c r="Y944" s="1"/>
      <c r="Z944" s="1"/>
    </row>
    <row r="945" spans="1:26" ht="19.5" customHeight="1">
      <c r="A945" s="1"/>
      <c r="B945" s="2"/>
      <c r="C945" s="1"/>
      <c r="D945" s="1"/>
      <c r="E945" s="2"/>
      <c r="F945" s="1"/>
      <c r="G945" s="1"/>
      <c r="H945" s="1"/>
      <c r="I945" s="1"/>
      <c r="J945" s="1"/>
      <c r="K945" s="1"/>
      <c r="L945" s="1"/>
      <c r="M945" s="1"/>
      <c r="N945" s="1"/>
      <c r="O945" s="1"/>
      <c r="P945" s="1"/>
      <c r="Q945" s="1"/>
      <c r="R945" s="1"/>
      <c r="S945" s="1"/>
      <c r="T945" s="1"/>
      <c r="U945" s="1"/>
      <c r="V945" s="1"/>
      <c r="W945" s="1"/>
      <c r="X945" s="1"/>
      <c r="Y945" s="1"/>
      <c r="Z945" s="1"/>
    </row>
    <row r="946" spans="1:26" ht="19.5" customHeight="1">
      <c r="A946" s="1"/>
      <c r="B946" s="2"/>
      <c r="C946" s="1"/>
      <c r="D946" s="1"/>
      <c r="E946" s="2"/>
      <c r="F946" s="1"/>
      <c r="G946" s="1"/>
      <c r="H946" s="1"/>
      <c r="I946" s="1"/>
      <c r="J946" s="1"/>
      <c r="K946" s="1"/>
      <c r="L946" s="1"/>
      <c r="M946" s="1"/>
      <c r="N946" s="1"/>
      <c r="O946" s="1"/>
      <c r="P946" s="1"/>
      <c r="Q946" s="1"/>
      <c r="R946" s="1"/>
      <c r="S946" s="1"/>
      <c r="T946" s="1"/>
      <c r="U946" s="1"/>
      <c r="V946" s="1"/>
      <c r="W946" s="1"/>
      <c r="X946" s="1"/>
      <c r="Y946" s="1"/>
      <c r="Z946" s="1"/>
    </row>
    <row r="947" spans="1:26" ht="19.5" customHeight="1">
      <c r="A947" s="1"/>
      <c r="B947" s="2"/>
      <c r="C947" s="1"/>
      <c r="D947" s="1"/>
      <c r="E947" s="2"/>
      <c r="F947" s="1"/>
      <c r="G947" s="1"/>
      <c r="H947" s="1"/>
      <c r="I947" s="1"/>
      <c r="J947" s="1"/>
      <c r="K947" s="1"/>
      <c r="L947" s="1"/>
      <c r="M947" s="1"/>
      <c r="N947" s="1"/>
      <c r="O947" s="1"/>
      <c r="P947" s="1"/>
      <c r="Q947" s="1"/>
      <c r="R947" s="1"/>
      <c r="S947" s="1"/>
      <c r="T947" s="1"/>
      <c r="U947" s="1"/>
      <c r="V947" s="1"/>
      <c r="W947" s="1"/>
      <c r="X947" s="1"/>
      <c r="Y947" s="1"/>
      <c r="Z947" s="1"/>
    </row>
    <row r="948" spans="1:26" ht="19.5" customHeight="1">
      <c r="A948" s="1"/>
      <c r="B948" s="2"/>
      <c r="C948" s="1"/>
      <c r="D948" s="1"/>
      <c r="E948" s="2"/>
      <c r="F948" s="1"/>
      <c r="G948" s="1"/>
      <c r="H948" s="1"/>
      <c r="I948" s="1"/>
      <c r="J948" s="1"/>
      <c r="K948" s="1"/>
      <c r="L948" s="1"/>
      <c r="M948" s="1"/>
      <c r="N948" s="1"/>
      <c r="O948" s="1"/>
      <c r="P948" s="1"/>
      <c r="Q948" s="1"/>
      <c r="R948" s="1"/>
      <c r="S948" s="1"/>
      <c r="T948" s="1"/>
      <c r="U948" s="1"/>
      <c r="V948" s="1"/>
      <c r="W948" s="1"/>
      <c r="X948" s="1"/>
      <c r="Y948" s="1"/>
      <c r="Z948" s="1"/>
    </row>
    <row r="949" spans="1:26" ht="19.5" customHeight="1">
      <c r="A949" s="1"/>
      <c r="B949" s="2"/>
      <c r="C949" s="1"/>
      <c r="D949" s="1"/>
      <c r="E949" s="2"/>
      <c r="F949" s="1"/>
      <c r="G949" s="1"/>
      <c r="H949" s="1"/>
      <c r="I949" s="1"/>
      <c r="J949" s="1"/>
      <c r="K949" s="1"/>
      <c r="L949" s="1"/>
      <c r="M949" s="1"/>
      <c r="N949" s="1"/>
      <c r="O949" s="1"/>
      <c r="P949" s="1"/>
      <c r="Q949" s="1"/>
      <c r="R949" s="1"/>
      <c r="S949" s="1"/>
      <c r="T949" s="1"/>
      <c r="U949" s="1"/>
      <c r="V949" s="1"/>
      <c r="W949" s="1"/>
      <c r="X949" s="1"/>
      <c r="Y949" s="1"/>
      <c r="Z949" s="1"/>
    </row>
    <row r="950" spans="1:26" ht="19.5" customHeight="1">
      <c r="A950" s="1"/>
      <c r="B950" s="2"/>
      <c r="C950" s="1"/>
      <c r="D950" s="1"/>
      <c r="E950" s="2"/>
      <c r="F950" s="1"/>
      <c r="G950" s="1"/>
      <c r="H950" s="1"/>
      <c r="I950" s="1"/>
      <c r="J950" s="1"/>
      <c r="K950" s="1"/>
      <c r="L950" s="1"/>
      <c r="M950" s="1"/>
      <c r="N950" s="1"/>
      <c r="O950" s="1"/>
      <c r="P950" s="1"/>
      <c r="Q950" s="1"/>
      <c r="R950" s="1"/>
      <c r="S950" s="1"/>
      <c r="T950" s="1"/>
      <c r="U950" s="1"/>
      <c r="V950" s="1"/>
      <c r="W950" s="1"/>
      <c r="X950" s="1"/>
      <c r="Y950" s="1"/>
      <c r="Z950" s="1"/>
    </row>
    <row r="951" spans="1:26" ht="19.5" customHeight="1">
      <c r="A951" s="1"/>
      <c r="B951" s="2"/>
      <c r="C951" s="1"/>
      <c r="D951" s="1"/>
      <c r="E951" s="2"/>
      <c r="F951" s="1"/>
      <c r="G951" s="1"/>
      <c r="H951" s="1"/>
      <c r="I951" s="1"/>
      <c r="J951" s="1"/>
      <c r="K951" s="1"/>
      <c r="L951" s="1"/>
      <c r="M951" s="1"/>
      <c r="N951" s="1"/>
      <c r="O951" s="1"/>
      <c r="P951" s="1"/>
      <c r="Q951" s="1"/>
      <c r="R951" s="1"/>
      <c r="S951" s="1"/>
      <c r="T951" s="1"/>
      <c r="U951" s="1"/>
      <c r="V951" s="1"/>
      <c r="W951" s="1"/>
      <c r="X951" s="1"/>
      <c r="Y951" s="1"/>
      <c r="Z951" s="1"/>
    </row>
    <row r="952" spans="1:26" ht="19.5" customHeight="1">
      <c r="A952" s="1"/>
      <c r="B952" s="2"/>
      <c r="C952" s="1"/>
      <c r="D952" s="1"/>
      <c r="E952" s="2"/>
      <c r="F952" s="1"/>
      <c r="G952" s="1"/>
      <c r="H952" s="1"/>
      <c r="I952" s="1"/>
      <c r="J952" s="1"/>
      <c r="K952" s="1"/>
      <c r="L952" s="1"/>
      <c r="M952" s="1"/>
      <c r="N952" s="1"/>
      <c r="O952" s="1"/>
      <c r="P952" s="1"/>
      <c r="Q952" s="1"/>
      <c r="R952" s="1"/>
      <c r="S952" s="1"/>
      <c r="T952" s="1"/>
      <c r="U952" s="1"/>
      <c r="V952" s="1"/>
      <c r="W952" s="1"/>
      <c r="X952" s="1"/>
      <c r="Y952" s="1"/>
      <c r="Z952" s="1"/>
    </row>
    <row r="953" spans="1:26" ht="19.5" customHeight="1">
      <c r="A953" s="1"/>
      <c r="B953" s="2"/>
      <c r="C953" s="1"/>
      <c r="D953" s="1"/>
      <c r="E953" s="2"/>
      <c r="F953" s="1"/>
      <c r="G953" s="1"/>
      <c r="H953" s="1"/>
      <c r="I953" s="1"/>
      <c r="J953" s="1"/>
      <c r="K953" s="1"/>
      <c r="L953" s="1"/>
      <c r="M953" s="1"/>
      <c r="N953" s="1"/>
      <c r="O953" s="1"/>
      <c r="P953" s="1"/>
      <c r="Q953" s="1"/>
      <c r="R953" s="1"/>
      <c r="S953" s="1"/>
      <c r="T953" s="1"/>
      <c r="U953" s="1"/>
      <c r="V953" s="1"/>
      <c r="W953" s="1"/>
      <c r="X953" s="1"/>
      <c r="Y953" s="1"/>
      <c r="Z953" s="1"/>
    </row>
    <row r="954" spans="1:26" ht="19.5" customHeight="1">
      <c r="A954" s="1"/>
      <c r="B954" s="2"/>
      <c r="C954" s="1"/>
      <c r="D954" s="1"/>
      <c r="E954" s="2"/>
      <c r="F954" s="1"/>
      <c r="G954" s="1"/>
      <c r="H954" s="1"/>
      <c r="I954" s="1"/>
      <c r="J954" s="1"/>
      <c r="K954" s="1"/>
      <c r="L954" s="1"/>
      <c r="M954" s="1"/>
      <c r="N954" s="1"/>
      <c r="O954" s="1"/>
      <c r="P954" s="1"/>
      <c r="Q954" s="1"/>
      <c r="R954" s="1"/>
      <c r="S954" s="1"/>
      <c r="T954" s="1"/>
      <c r="U954" s="1"/>
      <c r="V954" s="1"/>
      <c r="W954" s="1"/>
      <c r="X954" s="1"/>
      <c r="Y954" s="1"/>
      <c r="Z954" s="1"/>
    </row>
    <row r="955" spans="1:26" ht="19.5" customHeight="1">
      <c r="A955" s="1"/>
      <c r="B955" s="2"/>
      <c r="C955" s="1"/>
      <c r="D955" s="1"/>
      <c r="E955" s="2"/>
      <c r="F955" s="1"/>
      <c r="G955" s="1"/>
      <c r="H955" s="1"/>
      <c r="I955" s="1"/>
      <c r="J955" s="1"/>
      <c r="K955" s="1"/>
      <c r="L955" s="1"/>
      <c r="M955" s="1"/>
      <c r="N955" s="1"/>
      <c r="O955" s="1"/>
      <c r="P955" s="1"/>
      <c r="Q955" s="1"/>
      <c r="R955" s="1"/>
      <c r="S955" s="1"/>
      <c r="T955" s="1"/>
      <c r="U955" s="1"/>
      <c r="V955" s="1"/>
      <c r="W955" s="1"/>
      <c r="X955" s="1"/>
      <c r="Y955" s="1"/>
      <c r="Z955" s="1"/>
    </row>
    <row r="956" spans="1:26" ht="19.5" customHeight="1">
      <c r="A956" s="1"/>
      <c r="B956" s="2"/>
      <c r="C956" s="1"/>
      <c r="D956" s="1"/>
      <c r="E956" s="2"/>
      <c r="F956" s="1"/>
      <c r="G956" s="1"/>
      <c r="H956" s="1"/>
      <c r="I956" s="1"/>
      <c r="J956" s="1"/>
      <c r="K956" s="1"/>
      <c r="L956" s="1"/>
      <c r="M956" s="1"/>
      <c r="N956" s="1"/>
      <c r="O956" s="1"/>
      <c r="P956" s="1"/>
      <c r="Q956" s="1"/>
      <c r="R956" s="1"/>
      <c r="S956" s="1"/>
      <c r="T956" s="1"/>
      <c r="U956" s="1"/>
      <c r="V956" s="1"/>
      <c r="W956" s="1"/>
      <c r="X956" s="1"/>
      <c r="Y956" s="1"/>
      <c r="Z956" s="1"/>
    </row>
    <row r="957" spans="1:26" ht="19.5" customHeight="1">
      <c r="A957" s="1"/>
      <c r="B957" s="2"/>
      <c r="C957" s="1"/>
      <c r="D957" s="1"/>
      <c r="E957" s="2"/>
      <c r="F957" s="1"/>
      <c r="G957" s="1"/>
      <c r="H957" s="1"/>
      <c r="I957" s="1"/>
      <c r="J957" s="1"/>
      <c r="K957" s="1"/>
      <c r="L957" s="1"/>
      <c r="M957" s="1"/>
      <c r="N957" s="1"/>
      <c r="O957" s="1"/>
      <c r="P957" s="1"/>
      <c r="Q957" s="1"/>
      <c r="R957" s="1"/>
      <c r="S957" s="1"/>
      <c r="T957" s="1"/>
      <c r="U957" s="1"/>
      <c r="V957" s="1"/>
      <c r="W957" s="1"/>
      <c r="X957" s="1"/>
      <c r="Y957" s="1"/>
      <c r="Z957" s="1"/>
    </row>
    <row r="958" spans="1:26" ht="19.5" customHeight="1">
      <c r="A958" s="1"/>
      <c r="B958" s="2"/>
      <c r="C958" s="1"/>
      <c r="D958" s="1"/>
      <c r="E958" s="2"/>
      <c r="F958" s="1"/>
      <c r="G958" s="1"/>
      <c r="H958" s="1"/>
      <c r="I958" s="1"/>
      <c r="J958" s="1"/>
      <c r="K958" s="1"/>
      <c r="L958" s="1"/>
      <c r="M958" s="1"/>
      <c r="N958" s="1"/>
      <c r="O958" s="1"/>
      <c r="P958" s="1"/>
      <c r="Q958" s="1"/>
      <c r="R958" s="1"/>
      <c r="S958" s="1"/>
      <c r="T958" s="1"/>
      <c r="U958" s="1"/>
      <c r="V958" s="1"/>
      <c r="W958" s="1"/>
      <c r="X958" s="1"/>
      <c r="Y958" s="1"/>
      <c r="Z958" s="1"/>
    </row>
    <row r="959" spans="1:26" ht="19.5" customHeight="1">
      <c r="A959" s="1"/>
      <c r="B959" s="2"/>
      <c r="C959" s="1"/>
      <c r="D959" s="1"/>
      <c r="E959" s="2"/>
      <c r="F959" s="1"/>
      <c r="G959" s="1"/>
      <c r="H959" s="1"/>
      <c r="I959" s="1"/>
      <c r="J959" s="1"/>
      <c r="K959" s="1"/>
      <c r="L959" s="1"/>
      <c r="M959" s="1"/>
      <c r="N959" s="1"/>
      <c r="O959" s="1"/>
      <c r="P959" s="1"/>
      <c r="Q959" s="1"/>
      <c r="R959" s="1"/>
      <c r="S959" s="1"/>
      <c r="T959" s="1"/>
      <c r="U959" s="1"/>
      <c r="V959" s="1"/>
      <c r="W959" s="1"/>
      <c r="X959" s="1"/>
      <c r="Y959" s="1"/>
      <c r="Z959" s="1"/>
    </row>
    <row r="960" spans="1:26" ht="19.5" customHeight="1">
      <c r="A960" s="1"/>
      <c r="B960" s="2"/>
      <c r="C960" s="1"/>
      <c r="D960" s="1"/>
      <c r="E960" s="2"/>
      <c r="F960" s="1"/>
      <c r="G960" s="1"/>
      <c r="H960" s="1"/>
      <c r="I960" s="1"/>
      <c r="J960" s="1"/>
      <c r="K960" s="1"/>
      <c r="L960" s="1"/>
      <c r="M960" s="1"/>
      <c r="N960" s="1"/>
      <c r="O960" s="1"/>
      <c r="P960" s="1"/>
      <c r="Q960" s="1"/>
      <c r="R960" s="1"/>
      <c r="S960" s="1"/>
      <c r="T960" s="1"/>
      <c r="U960" s="1"/>
      <c r="V960" s="1"/>
      <c r="W960" s="1"/>
      <c r="X960" s="1"/>
      <c r="Y960" s="1"/>
      <c r="Z960" s="1"/>
    </row>
    <row r="961" spans="1:26" ht="19.5" customHeight="1">
      <c r="A961" s="1"/>
      <c r="B961" s="2"/>
      <c r="C961" s="1"/>
      <c r="D961" s="1"/>
      <c r="E961" s="2"/>
      <c r="F961" s="1"/>
      <c r="G961" s="1"/>
      <c r="H961" s="1"/>
      <c r="I961" s="1"/>
      <c r="J961" s="1"/>
      <c r="K961" s="1"/>
      <c r="L961" s="1"/>
      <c r="M961" s="1"/>
      <c r="N961" s="1"/>
      <c r="O961" s="1"/>
      <c r="P961" s="1"/>
      <c r="Q961" s="1"/>
      <c r="R961" s="1"/>
      <c r="S961" s="1"/>
      <c r="T961" s="1"/>
      <c r="U961" s="1"/>
      <c r="V961" s="1"/>
      <c r="W961" s="1"/>
      <c r="X961" s="1"/>
      <c r="Y961" s="1"/>
      <c r="Z961" s="1"/>
    </row>
    <row r="962" spans="1:26" ht="19.5" customHeight="1">
      <c r="A962" s="1"/>
      <c r="B962" s="2"/>
      <c r="C962" s="1"/>
      <c r="D962" s="1"/>
      <c r="E962" s="2"/>
      <c r="F962" s="1"/>
      <c r="G962" s="1"/>
      <c r="H962" s="1"/>
      <c r="I962" s="1"/>
      <c r="J962" s="1"/>
      <c r="K962" s="1"/>
      <c r="L962" s="1"/>
      <c r="M962" s="1"/>
      <c r="N962" s="1"/>
      <c r="O962" s="1"/>
      <c r="P962" s="1"/>
      <c r="Q962" s="1"/>
      <c r="R962" s="1"/>
      <c r="S962" s="1"/>
      <c r="T962" s="1"/>
      <c r="U962" s="1"/>
      <c r="V962" s="1"/>
      <c r="W962" s="1"/>
      <c r="X962" s="1"/>
      <c r="Y962" s="1"/>
      <c r="Z962" s="1"/>
    </row>
    <row r="963" spans="1:26" ht="19.5" customHeight="1">
      <c r="A963" s="1"/>
      <c r="B963" s="2"/>
      <c r="C963" s="1"/>
      <c r="D963" s="1"/>
      <c r="E963" s="2"/>
      <c r="F963" s="1"/>
      <c r="G963" s="1"/>
      <c r="H963" s="1"/>
      <c r="I963" s="1"/>
      <c r="J963" s="1"/>
      <c r="K963" s="1"/>
      <c r="L963" s="1"/>
      <c r="M963" s="1"/>
      <c r="N963" s="1"/>
      <c r="O963" s="1"/>
      <c r="P963" s="1"/>
      <c r="Q963" s="1"/>
      <c r="R963" s="1"/>
      <c r="S963" s="1"/>
      <c r="T963" s="1"/>
      <c r="U963" s="1"/>
      <c r="V963" s="1"/>
      <c r="W963" s="1"/>
      <c r="X963" s="1"/>
      <c r="Y963" s="1"/>
      <c r="Z963" s="1"/>
    </row>
    <row r="964" spans="1:26" ht="19.5" customHeight="1">
      <c r="A964" s="1"/>
      <c r="B964" s="2"/>
      <c r="C964" s="1"/>
      <c r="D964" s="1"/>
      <c r="E964" s="2"/>
      <c r="F964" s="1"/>
      <c r="G964" s="1"/>
      <c r="H964" s="1"/>
      <c r="I964" s="1"/>
      <c r="J964" s="1"/>
      <c r="K964" s="1"/>
      <c r="L964" s="1"/>
      <c r="M964" s="1"/>
      <c r="N964" s="1"/>
      <c r="O964" s="1"/>
      <c r="P964" s="1"/>
      <c r="Q964" s="1"/>
      <c r="R964" s="1"/>
      <c r="S964" s="1"/>
      <c r="T964" s="1"/>
      <c r="U964" s="1"/>
      <c r="V964" s="1"/>
      <c r="W964" s="1"/>
      <c r="X964" s="1"/>
      <c r="Y964" s="1"/>
      <c r="Z964" s="1"/>
    </row>
    <row r="965" spans="1:26" ht="19.5" customHeight="1">
      <c r="A965" s="1"/>
      <c r="B965" s="2"/>
      <c r="C965" s="1"/>
      <c r="D965" s="1"/>
      <c r="E965" s="2"/>
      <c r="F965" s="1"/>
      <c r="G965" s="1"/>
      <c r="H965" s="1"/>
      <c r="I965" s="1"/>
      <c r="J965" s="1"/>
      <c r="K965" s="1"/>
      <c r="L965" s="1"/>
      <c r="M965" s="1"/>
      <c r="N965" s="1"/>
      <c r="O965" s="1"/>
      <c r="P965" s="1"/>
      <c r="Q965" s="1"/>
      <c r="R965" s="1"/>
      <c r="S965" s="1"/>
      <c r="T965" s="1"/>
      <c r="U965" s="1"/>
      <c r="V965" s="1"/>
      <c r="W965" s="1"/>
      <c r="X965" s="1"/>
      <c r="Y965" s="1"/>
      <c r="Z965" s="1"/>
    </row>
    <row r="966" spans="1:26" ht="19.5" customHeight="1">
      <c r="A966" s="1"/>
      <c r="B966" s="2"/>
      <c r="C966" s="1"/>
      <c r="D966" s="1"/>
      <c r="E966" s="2"/>
      <c r="F966" s="1"/>
      <c r="G966" s="1"/>
      <c r="H966" s="1"/>
      <c r="I966" s="1"/>
      <c r="J966" s="1"/>
      <c r="K966" s="1"/>
      <c r="L966" s="1"/>
      <c r="M966" s="1"/>
      <c r="N966" s="1"/>
      <c r="O966" s="1"/>
      <c r="P966" s="1"/>
      <c r="Q966" s="1"/>
      <c r="R966" s="1"/>
      <c r="S966" s="1"/>
      <c r="T966" s="1"/>
      <c r="U966" s="1"/>
      <c r="V966" s="1"/>
      <c r="W966" s="1"/>
      <c r="X966" s="1"/>
      <c r="Y966" s="1"/>
      <c r="Z966" s="1"/>
    </row>
    <row r="967" spans="1:26" ht="19.5" customHeight="1">
      <c r="A967" s="1"/>
      <c r="B967" s="2"/>
      <c r="C967" s="1"/>
      <c r="D967" s="1"/>
      <c r="E967" s="2"/>
      <c r="F967" s="1"/>
      <c r="G967" s="1"/>
      <c r="H967" s="1"/>
      <c r="I967" s="1"/>
      <c r="J967" s="1"/>
      <c r="K967" s="1"/>
      <c r="L967" s="1"/>
      <c r="M967" s="1"/>
      <c r="N967" s="1"/>
      <c r="O967" s="1"/>
      <c r="P967" s="1"/>
      <c r="Q967" s="1"/>
      <c r="R967" s="1"/>
      <c r="S967" s="1"/>
      <c r="T967" s="1"/>
      <c r="U967" s="1"/>
      <c r="V967" s="1"/>
      <c r="W967" s="1"/>
      <c r="X967" s="1"/>
      <c r="Y967" s="1"/>
      <c r="Z967" s="1"/>
    </row>
    <row r="968" spans="1:26" ht="19.5" customHeight="1">
      <c r="A968" s="1"/>
      <c r="B968" s="2"/>
      <c r="C968" s="1"/>
      <c r="D968" s="1"/>
      <c r="E968" s="2"/>
      <c r="F968" s="1"/>
      <c r="G968" s="1"/>
      <c r="H968" s="1"/>
      <c r="I968" s="1"/>
      <c r="J968" s="1"/>
      <c r="K968" s="1"/>
      <c r="L968" s="1"/>
      <c r="M968" s="1"/>
      <c r="N968" s="1"/>
      <c r="O968" s="1"/>
      <c r="P968" s="1"/>
      <c r="Q968" s="1"/>
      <c r="R968" s="1"/>
      <c r="S968" s="1"/>
      <c r="T968" s="1"/>
      <c r="U968" s="1"/>
      <c r="V968" s="1"/>
      <c r="W968" s="1"/>
      <c r="X968" s="1"/>
      <c r="Y968" s="1"/>
      <c r="Z968" s="1"/>
    </row>
    <row r="969" spans="1:26" ht="19.5" customHeight="1">
      <c r="A969" s="1"/>
      <c r="B969" s="2"/>
      <c r="C969" s="1"/>
      <c r="D969" s="1"/>
      <c r="E969" s="2"/>
      <c r="F969" s="1"/>
      <c r="G969" s="1"/>
      <c r="H969" s="1"/>
      <c r="I969" s="1"/>
      <c r="J969" s="1"/>
      <c r="K969" s="1"/>
      <c r="L969" s="1"/>
      <c r="M969" s="1"/>
      <c r="N969" s="1"/>
      <c r="O969" s="1"/>
      <c r="P969" s="1"/>
      <c r="Q969" s="1"/>
      <c r="R969" s="1"/>
      <c r="S969" s="1"/>
      <c r="T969" s="1"/>
      <c r="U969" s="1"/>
      <c r="V969" s="1"/>
      <c r="W969" s="1"/>
      <c r="X969" s="1"/>
      <c r="Y969" s="1"/>
      <c r="Z969" s="1"/>
    </row>
    <row r="970" spans="1:26" ht="19.5" customHeight="1">
      <c r="A970" s="1"/>
      <c r="B970" s="2"/>
      <c r="C970" s="1"/>
      <c r="D970" s="1"/>
      <c r="E970" s="2"/>
      <c r="F970" s="1"/>
      <c r="G970" s="1"/>
      <c r="H970" s="1"/>
      <c r="I970" s="1"/>
      <c r="J970" s="1"/>
      <c r="K970" s="1"/>
      <c r="L970" s="1"/>
      <c r="M970" s="1"/>
      <c r="N970" s="1"/>
      <c r="O970" s="1"/>
      <c r="P970" s="1"/>
      <c r="Q970" s="1"/>
      <c r="R970" s="1"/>
      <c r="S970" s="1"/>
      <c r="T970" s="1"/>
      <c r="U970" s="1"/>
      <c r="V970" s="1"/>
      <c r="W970" s="1"/>
      <c r="X970" s="1"/>
      <c r="Y970" s="1"/>
      <c r="Z970" s="1"/>
    </row>
    <row r="971" spans="1:26" ht="19.5" customHeight="1">
      <c r="A971" s="1"/>
      <c r="B971" s="2"/>
      <c r="C971" s="1"/>
      <c r="D971" s="1"/>
      <c r="E971" s="2"/>
      <c r="F971" s="1"/>
      <c r="G971" s="1"/>
      <c r="H971" s="1"/>
      <c r="I971" s="1"/>
      <c r="J971" s="1"/>
      <c r="K971" s="1"/>
      <c r="L971" s="1"/>
      <c r="M971" s="1"/>
      <c r="N971" s="1"/>
      <c r="O971" s="1"/>
      <c r="P971" s="1"/>
      <c r="Q971" s="1"/>
      <c r="R971" s="1"/>
      <c r="S971" s="1"/>
      <c r="T971" s="1"/>
      <c r="U971" s="1"/>
      <c r="V971" s="1"/>
      <c r="W971" s="1"/>
      <c r="X971" s="1"/>
      <c r="Y971" s="1"/>
      <c r="Z971" s="1"/>
    </row>
    <row r="972" spans="1:26" ht="19.5" customHeight="1">
      <c r="A972" s="1"/>
      <c r="B972" s="2"/>
      <c r="C972" s="1"/>
      <c r="D972" s="1"/>
      <c r="E972" s="2"/>
      <c r="F972" s="1"/>
      <c r="G972" s="1"/>
      <c r="H972" s="1"/>
      <c r="I972" s="1"/>
      <c r="J972" s="1"/>
      <c r="K972" s="1"/>
      <c r="L972" s="1"/>
      <c r="M972" s="1"/>
      <c r="N972" s="1"/>
      <c r="O972" s="1"/>
      <c r="P972" s="1"/>
      <c r="Q972" s="1"/>
      <c r="R972" s="1"/>
      <c r="S972" s="1"/>
      <c r="T972" s="1"/>
      <c r="U972" s="1"/>
      <c r="V972" s="1"/>
      <c r="W972" s="1"/>
      <c r="X972" s="1"/>
      <c r="Y972" s="1"/>
      <c r="Z972" s="1"/>
    </row>
    <row r="973" spans="1:26" ht="19.5" customHeight="1">
      <c r="A973" s="1"/>
      <c r="B973" s="2"/>
      <c r="C973" s="1"/>
      <c r="D973" s="1"/>
      <c r="E973" s="2"/>
      <c r="F973" s="1"/>
      <c r="G973" s="1"/>
      <c r="H973" s="1"/>
      <c r="I973" s="1"/>
      <c r="J973" s="1"/>
      <c r="K973" s="1"/>
      <c r="L973" s="1"/>
      <c r="M973" s="1"/>
      <c r="N973" s="1"/>
      <c r="O973" s="1"/>
      <c r="P973" s="1"/>
      <c r="Q973" s="1"/>
      <c r="R973" s="1"/>
      <c r="S973" s="1"/>
      <c r="T973" s="1"/>
      <c r="U973" s="1"/>
      <c r="V973" s="1"/>
      <c r="W973" s="1"/>
      <c r="X973" s="1"/>
      <c r="Y973" s="1"/>
      <c r="Z973" s="1"/>
    </row>
    <row r="974" spans="1:26" ht="19.5" customHeight="1">
      <c r="A974" s="1"/>
      <c r="B974" s="2"/>
      <c r="C974" s="1"/>
      <c r="D974" s="1"/>
      <c r="E974" s="2"/>
      <c r="F974" s="1"/>
      <c r="G974" s="1"/>
      <c r="H974" s="1"/>
      <c r="I974" s="1"/>
      <c r="J974" s="1"/>
      <c r="K974" s="1"/>
      <c r="L974" s="1"/>
      <c r="M974" s="1"/>
      <c r="N974" s="1"/>
      <c r="O974" s="1"/>
      <c r="P974" s="1"/>
      <c r="Q974" s="1"/>
      <c r="R974" s="1"/>
      <c r="S974" s="1"/>
      <c r="T974" s="1"/>
      <c r="U974" s="1"/>
      <c r="V974" s="1"/>
      <c r="W974" s="1"/>
      <c r="X974" s="1"/>
      <c r="Y974" s="1"/>
      <c r="Z974" s="1"/>
    </row>
    <row r="975" spans="1:26" ht="19.5" customHeight="1">
      <c r="A975" s="1"/>
      <c r="B975" s="2"/>
      <c r="C975" s="1"/>
      <c r="D975" s="1"/>
      <c r="E975" s="2"/>
      <c r="F975" s="1"/>
      <c r="G975" s="1"/>
      <c r="H975" s="1"/>
      <c r="I975" s="1"/>
      <c r="J975" s="1"/>
      <c r="K975" s="1"/>
      <c r="L975" s="1"/>
      <c r="M975" s="1"/>
      <c r="N975" s="1"/>
      <c r="O975" s="1"/>
      <c r="P975" s="1"/>
      <c r="Q975" s="1"/>
      <c r="R975" s="1"/>
      <c r="S975" s="1"/>
      <c r="T975" s="1"/>
      <c r="U975" s="1"/>
      <c r="V975" s="1"/>
      <c r="W975" s="1"/>
      <c r="X975" s="1"/>
      <c r="Y975" s="1"/>
      <c r="Z975" s="1"/>
    </row>
    <row r="976" spans="1:26" ht="19.5" customHeight="1">
      <c r="A976" s="1"/>
      <c r="B976" s="2"/>
      <c r="C976" s="1"/>
      <c r="D976" s="1"/>
      <c r="E976" s="2"/>
      <c r="F976" s="1"/>
      <c r="G976" s="1"/>
      <c r="H976" s="1"/>
      <c r="I976" s="1"/>
      <c r="J976" s="1"/>
      <c r="K976" s="1"/>
      <c r="L976" s="1"/>
      <c r="M976" s="1"/>
      <c r="N976" s="1"/>
      <c r="O976" s="1"/>
      <c r="P976" s="1"/>
      <c r="Q976" s="1"/>
      <c r="R976" s="1"/>
      <c r="S976" s="1"/>
      <c r="T976" s="1"/>
      <c r="U976" s="1"/>
      <c r="V976" s="1"/>
      <c r="W976" s="1"/>
      <c r="X976" s="1"/>
      <c r="Y976" s="1"/>
      <c r="Z976" s="1"/>
    </row>
    <row r="977" spans="1:26" ht="19.5" customHeight="1">
      <c r="A977" s="1"/>
      <c r="B977" s="2"/>
      <c r="C977" s="1"/>
      <c r="D977" s="1"/>
      <c r="E977" s="2"/>
      <c r="F977" s="1"/>
      <c r="G977" s="1"/>
      <c r="H977" s="1"/>
      <c r="I977" s="1"/>
      <c r="J977" s="1"/>
      <c r="K977" s="1"/>
      <c r="L977" s="1"/>
      <c r="M977" s="1"/>
      <c r="N977" s="1"/>
      <c r="O977" s="1"/>
      <c r="P977" s="1"/>
      <c r="Q977" s="1"/>
      <c r="R977" s="1"/>
      <c r="S977" s="1"/>
      <c r="T977" s="1"/>
      <c r="U977" s="1"/>
      <c r="V977" s="1"/>
      <c r="W977" s="1"/>
      <c r="X977" s="1"/>
      <c r="Y977" s="1"/>
      <c r="Z977" s="1"/>
    </row>
    <row r="978" spans="1:26" ht="19.5" customHeight="1">
      <c r="A978" s="1"/>
      <c r="B978" s="2"/>
      <c r="C978" s="1"/>
      <c r="D978" s="1"/>
      <c r="E978" s="2"/>
      <c r="F978" s="1"/>
      <c r="G978" s="1"/>
      <c r="H978" s="1"/>
      <c r="I978" s="1"/>
      <c r="J978" s="1"/>
      <c r="K978" s="1"/>
      <c r="L978" s="1"/>
      <c r="M978" s="1"/>
      <c r="N978" s="1"/>
      <c r="O978" s="1"/>
      <c r="P978" s="1"/>
      <c r="Q978" s="1"/>
      <c r="R978" s="1"/>
      <c r="S978" s="1"/>
      <c r="T978" s="1"/>
      <c r="U978" s="1"/>
      <c r="V978" s="1"/>
      <c r="W978" s="1"/>
      <c r="X978" s="1"/>
      <c r="Y978" s="1"/>
      <c r="Z978" s="1"/>
    </row>
    <row r="979" spans="1:26" ht="19.5" customHeight="1">
      <c r="A979" s="1"/>
      <c r="B979" s="2"/>
      <c r="C979" s="1"/>
      <c r="D979" s="1"/>
      <c r="E979" s="2"/>
      <c r="F979" s="1"/>
      <c r="G979" s="1"/>
      <c r="H979" s="1"/>
      <c r="I979" s="1"/>
      <c r="J979" s="1"/>
      <c r="K979" s="1"/>
      <c r="L979" s="1"/>
      <c r="M979" s="1"/>
      <c r="N979" s="1"/>
      <c r="O979" s="1"/>
      <c r="P979" s="1"/>
      <c r="Q979" s="1"/>
      <c r="R979" s="1"/>
      <c r="S979" s="1"/>
      <c r="T979" s="1"/>
      <c r="U979" s="1"/>
      <c r="V979" s="1"/>
      <c r="W979" s="1"/>
      <c r="X979" s="1"/>
      <c r="Y979" s="1"/>
      <c r="Z979" s="1"/>
    </row>
    <row r="980" spans="1:26" ht="19.5" customHeight="1">
      <c r="A980" s="1"/>
      <c r="B980" s="2"/>
      <c r="C980" s="1"/>
      <c r="D980" s="1"/>
      <c r="E980" s="2"/>
      <c r="F980" s="1"/>
      <c r="G980" s="1"/>
      <c r="H980" s="1"/>
      <c r="I980" s="1"/>
      <c r="J980" s="1"/>
      <c r="K980" s="1"/>
      <c r="L980" s="1"/>
      <c r="M980" s="1"/>
      <c r="N980" s="1"/>
      <c r="O980" s="1"/>
      <c r="P980" s="1"/>
      <c r="Q980" s="1"/>
      <c r="R980" s="1"/>
      <c r="S980" s="1"/>
      <c r="T980" s="1"/>
      <c r="U980" s="1"/>
      <c r="V980" s="1"/>
      <c r="W980" s="1"/>
      <c r="X980" s="1"/>
      <c r="Y980" s="1"/>
      <c r="Z980" s="1"/>
    </row>
    <row r="981" spans="1:26" ht="19.5" customHeight="1">
      <c r="A981" s="1"/>
      <c r="B981" s="2"/>
      <c r="C981" s="1"/>
      <c r="D981" s="1"/>
      <c r="E981" s="2"/>
      <c r="F981" s="1"/>
      <c r="G981" s="1"/>
      <c r="H981" s="1"/>
      <c r="I981" s="1"/>
      <c r="J981" s="1"/>
      <c r="K981" s="1"/>
      <c r="L981" s="1"/>
      <c r="M981" s="1"/>
      <c r="N981" s="1"/>
      <c r="O981" s="1"/>
      <c r="P981" s="1"/>
      <c r="Q981" s="1"/>
      <c r="R981" s="1"/>
      <c r="S981" s="1"/>
      <c r="T981" s="1"/>
      <c r="U981" s="1"/>
      <c r="V981" s="1"/>
      <c r="W981" s="1"/>
      <c r="X981" s="1"/>
      <c r="Y981" s="1"/>
      <c r="Z981" s="1"/>
    </row>
    <row r="982" spans="1:26" ht="19.5" customHeight="1">
      <c r="A982" s="1"/>
      <c r="B982" s="2"/>
      <c r="C982" s="1"/>
      <c r="D982" s="1"/>
      <c r="E982" s="2"/>
      <c r="F982" s="1"/>
      <c r="G982" s="1"/>
      <c r="H982" s="1"/>
      <c r="I982" s="1"/>
      <c r="J982" s="1"/>
      <c r="K982" s="1"/>
      <c r="L982" s="1"/>
      <c r="M982" s="1"/>
      <c r="N982" s="1"/>
      <c r="O982" s="1"/>
      <c r="P982" s="1"/>
      <c r="Q982" s="1"/>
      <c r="R982" s="1"/>
      <c r="S982" s="1"/>
      <c r="T982" s="1"/>
      <c r="U982" s="1"/>
      <c r="V982" s="1"/>
      <c r="W982" s="1"/>
      <c r="X982" s="1"/>
      <c r="Y982" s="1"/>
      <c r="Z982" s="1"/>
    </row>
    <row r="983" spans="1:26" ht="19.5" customHeight="1">
      <c r="A983" s="1"/>
      <c r="B983" s="2"/>
      <c r="C983" s="1"/>
      <c r="D983" s="1"/>
      <c r="E983" s="2"/>
      <c r="F983" s="1"/>
      <c r="G983" s="1"/>
      <c r="H983" s="1"/>
      <c r="I983" s="1"/>
      <c r="J983" s="1"/>
      <c r="K983" s="1"/>
      <c r="L983" s="1"/>
      <c r="M983" s="1"/>
      <c r="N983" s="1"/>
      <c r="O983" s="1"/>
      <c r="P983" s="1"/>
      <c r="Q983" s="1"/>
      <c r="R983" s="1"/>
      <c r="S983" s="1"/>
      <c r="T983" s="1"/>
      <c r="U983" s="1"/>
      <c r="V983" s="1"/>
      <c r="W983" s="1"/>
      <c r="X983" s="1"/>
      <c r="Y983" s="1"/>
      <c r="Z983" s="1"/>
    </row>
    <row r="984" spans="1:26" ht="19.5" customHeight="1">
      <c r="A984" s="1"/>
      <c r="B984" s="2"/>
      <c r="C984" s="1"/>
      <c r="D984" s="1"/>
      <c r="E984" s="2"/>
      <c r="F984" s="1"/>
      <c r="G984" s="1"/>
      <c r="H984" s="1"/>
      <c r="I984" s="1"/>
      <c r="J984" s="1"/>
      <c r="K984" s="1"/>
      <c r="L984" s="1"/>
      <c r="M984" s="1"/>
      <c r="N984" s="1"/>
      <c r="O984" s="1"/>
      <c r="P984" s="1"/>
      <c r="Q984" s="1"/>
      <c r="R984" s="1"/>
      <c r="S984" s="1"/>
      <c r="T984" s="1"/>
      <c r="U984" s="1"/>
      <c r="V984" s="1"/>
      <c r="W984" s="1"/>
      <c r="X984" s="1"/>
      <c r="Y984" s="1"/>
      <c r="Z984" s="1"/>
    </row>
    <row r="985" spans="1:26" ht="19.5" customHeight="1">
      <c r="A985" s="1"/>
      <c r="B985" s="2"/>
      <c r="C985" s="1"/>
      <c r="D985" s="1"/>
      <c r="E985" s="2"/>
      <c r="F985" s="1"/>
      <c r="G985" s="1"/>
      <c r="H985" s="1"/>
      <c r="I985" s="1"/>
      <c r="J985" s="1"/>
      <c r="K985" s="1"/>
      <c r="L985" s="1"/>
      <c r="M985" s="1"/>
      <c r="N985" s="1"/>
      <c r="O985" s="1"/>
      <c r="P985" s="1"/>
      <c r="Q985" s="1"/>
      <c r="R985" s="1"/>
      <c r="S985" s="1"/>
      <c r="T985" s="1"/>
      <c r="U985" s="1"/>
      <c r="V985" s="1"/>
      <c r="W985" s="1"/>
      <c r="X985" s="1"/>
      <c r="Y985" s="1"/>
      <c r="Z985" s="1"/>
    </row>
    <row r="986" spans="1:26" ht="19.5" customHeight="1">
      <c r="A986" s="1"/>
      <c r="B986" s="2"/>
      <c r="C986" s="1"/>
      <c r="D986" s="1"/>
      <c r="E986" s="2"/>
      <c r="F986" s="1"/>
      <c r="G986" s="1"/>
      <c r="H986" s="1"/>
      <c r="I986" s="1"/>
      <c r="J986" s="1"/>
      <c r="K986" s="1"/>
      <c r="L986" s="1"/>
      <c r="M986" s="1"/>
      <c r="N986" s="1"/>
      <c r="O986" s="1"/>
      <c r="P986" s="1"/>
      <c r="Q986" s="1"/>
      <c r="R986" s="1"/>
      <c r="S986" s="1"/>
      <c r="T986" s="1"/>
      <c r="U986" s="1"/>
      <c r="V986" s="1"/>
      <c r="W986" s="1"/>
      <c r="X986" s="1"/>
      <c r="Y986" s="1"/>
      <c r="Z986" s="1"/>
    </row>
    <row r="987" spans="1:26" ht="19.5" customHeight="1">
      <c r="A987" s="1"/>
      <c r="B987" s="2"/>
      <c r="C987" s="1"/>
      <c r="D987" s="1"/>
      <c r="E987" s="2"/>
      <c r="F987" s="1"/>
      <c r="G987" s="1"/>
      <c r="H987" s="1"/>
      <c r="I987" s="1"/>
      <c r="J987" s="1"/>
      <c r="K987" s="1"/>
      <c r="L987" s="1"/>
      <c r="M987" s="1"/>
      <c r="N987" s="1"/>
      <c r="O987" s="1"/>
      <c r="P987" s="1"/>
      <c r="Q987" s="1"/>
      <c r="R987" s="1"/>
      <c r="S987" s="1"/>
      <c r="T987" s="1"/>
      <c r="U987" s="1"/>
      <c r="V987" s="1"/>
      <c r="W987" s="1"/>
      <c r="X987" s="1"/>
      <c r="Y987" s="1"/>
      <c r="Z987" s="1"/>
    </row>
    <row r="988" spans="1:26" ht="19.5" customHeight="1">
      <c r="A988" s="1"/>
      <c r="B988" s="2"/>
      <c r="C988" s="1"/>
      <c r="D988" s="1"/>
      <c r="E988" s="2"/>
      <c r="F988" s="1"/>
      <c r="G988" s="1"/>
      <c r="H988" s="1"/>
      <c r="I988" s="1"/>
      <c r="J988" s="1"/>
      <c r="K988" s="1"/>
      <c r="L988" s="1"/>
      <c r="M988" s="1"/>
      <c r="N988" s="1"/>
      <c r="O988" s="1"/>
      <c r="P988" s="1"/>
      <c r="Q988" s="1"/>
      <c r="R988" s="1"/>
      <c r="S988" s="1"/>
      <c r="T988" s="1"/>
      <c r="U988" s="1"/>
      <c r="V988" s="1"/>
      <c r="W988" s="1"/>
      <c r="X988" s="1"/>
      <c r="Y988" s="1"/>
      <c r="Z988" s="1"/>
    </row>
    <row r="989" spans="1:26" ht="19.5" customHeight="1">
      <c r="A989" s="1"/>
      <c r="B989" s="2"/>
      <c r="C989" s="1"/>
      <c r="D989" s="1"/>
      <c r="E989" s="2"/>
      <c r="F989" s="1"/>
      <c r="G989" s="1"/>
      <c r="H989" s="1"/>
      <c r="I989" s="1"/>
      <c r="J989" s="1"/>
      <c r="K989" s="1"/>
      <c r="L989" s="1"/>
      <c r="M989" s="1"/>
      <c r="N989" s="1"/>
      <c r="O989" s="1"/>
      <c r="P989" s="1"/>
      <c r="Q989" s="1"/>
      <c r="R989" s="1"/>
      <c r="S989" s="1"/>
      <c r="T989" s="1"/>
      <c r="U989" s="1"/>
      <c r="V989" s="1"/>
      <c r="W989" s="1"/>
      <c r="X989" s="1"/>
      <c r="Y989" s="1"/>
      <c r="Z989" s="1"/>
    </row>
    <row r="990" spans="1:26" ht="19.5" customHeight="1">
      <c r="A990" s="1"/>
      <c r="B990" s="2"/>
      <c r="C990" s="1"/>
      <c r="D990" s="1"/>
      <c r="E990" s="2"/>
      <c r="F990" s="1"/>
      <c r="G990" s="1"/>
      <c r="H990" s="1"/>
      <c r="I990" s="1"/>
      <c r="J990" s="1"/>
      <c r="K990" s="1"/>
      <c r="L990" s="1"/>
      <c r="M990" s="1"/>
      <c r="N990" s="1"/>
      <c r="O990" s="1"/>
      <c r="P990" s="1"/>
      <c r="Q990" s="1"/>
      <c r="R990" s="1"/>
      <c r="S990" s="1"/>
      <c r="T990" s="1"/>
      <c r="U990" s="1"/>
      <c r="V990" s="1"/>
      <c r="W990" s="1"/>
      <c r="X990" s="1"/>
      <c r="Y990" s="1"/>
      <c r="Z990" s="1"/>
    </row>
    <row r="991" spans="1:26" ht="19.5" customHeight="1">
      <c r="A991" s="1"/>
      <c r="B991" s="2"/>
      <c r="C991" s="1"/>
      <c r="D991" s="1"/>
      <c r="E991" s="2"/>
      <c r="F991" s="1"/>
      <c r="G991" s="1"/>
      <c r="H991" s="1"/>
      <c r="I991" s="1"/>
      <c r="J991" s="1"/>
      <c r="K991" s="1"/>
      <c r="L991" s="1"/>
      <c r="M991" s="1"/>
      <c r="N991" s="1"/>
      <c r="O991" s="1"/>
      <c r="P991" s="1"/>
      <c r="Q991" s="1"/>
      <c r="R991" s="1"/>
      <c r="S991" s="1"/>
      <c r="T991" s="1"/>
      <c r="U991" s="1"/>
      <c r="V991" s="1"/>
      <c r="W991" s="1"/>
      <c r="X991" s="1"/>
      <c r="Y991" s="1"/>
      <c r="Z991" s="1"/>
    </row>
    <row r="992" spans="1:26" ht="19.5" customHeight="1">
      <c r="A992" s="1"/>
      <c r="B992" s="2"/>
      <c r="C992" s="1"/>
      <c r="D992" s="1"/>
      <c r="E992" s="2"/>
      <c r="F992" s="1"/>
      <c r="G992" s="1"/>
      <c r="H992" s="1"/>
      <c r="I992" s="1"/>
      <c r="J992" s="1"/>
      <c r="K992" s="1"/>
      <c r="L992" s="1"/>
      <c r="M992" s="1"/>
      <c r="N992" s="1"/>
      <c r="O992" s="1"/>
      <c r="P992" s="1"/>
      <c r="Q992" s="1"/>
      <c r="R992" s="1"/>
      <c r="S992" s="1"/>
      <c r="T992" s="1"/>
      <c r="U992" s="1"/>
      <c r="V992" s="1"/>
      <c r="W992" s="1"/>
      <c r="X992" s="1"/>
      <c r="Y992" s="1"/>
      <c r="Z992" s="1"/>
    </row>
    <row r="993" spans="1:26" ht="19.5" customHeight="1">
      <c r="A993" s="1"/>
      <c r="B993" s="2"/>
      <c r="C993" s="1"/>
      <c r="D993" s="1"/>
      <c r="E993" s="2"/>
      <c r="F993" s="1"/>
      <c r="G993" s="1"/>
      <c r="H993" s="1"/>
      <c r="I993" s="1"/>
      <c r="J993" s="1"/>
      <c r="K993" s="1"/>
      <c r="L993" s="1"/>
      <c r="M993" s="1"/>
      <c r="N993" s="1"/>
      <c r="O993" s="1"/>
      <c r="P993" s="1"/>
      <c r="Q993" s="1"/>
      <c r="R993" s="1"/>
      <c r="S993" s="1"/>
      <c r="T993" s="1"/>
      <c r="U993" s="1"/>
      <c r="V993" s="1"/>
      <c r="W993" s="1"/>
      <c r="X993" s="1"/>
      <c r="Y993" s="1"/>
      <c r="Z993" s="1"/>
    </row>
    <row r="994" spans="1:26" ht="19.5" customHeight="1">
      <c r="A994" s="1"/>
      <c r="B994" s="2"/>
      <c r="C994" s="1"/>
      <c r="D994" s="1"/>
      <c r="E994" s="2"/>
      <c r="F994" s="1"/>
      <c r="G994" s="1"/>
      <c r="H994" s="1"/>
      <c r="I994" s="1"/>
      <c r="J994" s="1"/>
      <c r="K994" s="1"/>
      <c r="L994" s="1"/>
      <c r="M994" s="1"/>
      <c r="N994" s="1"/>
      <c r="O994" s="1"/>
      <c r="P994" s="1"/>
      <c r="Q994" s="1"/>
      <c r="R994" s="1"/>
      <c r="S994" s="1"/>
      <c r="T994" s="1"/>
      <c r="U994" s="1"/>
      <c r="V994" s="1"/>
      <c r="W994" s="1"/>
      <c r="X994" s="1"/>
      <c r="Y994" s="1"/>
      <c r="Z994" s="1"/>
    </row>
    <row r="995" spans="1:26" ht="19.5" customHeight="1">
      <c r="A995" s="1"/>
      <c r="B995" s="2"/>
      <c r="C995" s="1"/>
      <c r="D995" s="1"/>
      <c r="E995" s="2"/>
      <c r="F995" s="1"/>
      <c r="G995" s="1"/>
      <c r="H995" s="1"/>
      <c r="I995" s="1"/>
      <c r="J995" s="1"/>
      <c r="K995" s="1"/>
      <c r="L995" s="1"/>
      <c r="M995" s="1"/>
      <c r="N995" s="1"/>
      <c r="O995" s="1"/>
      <c r="P995" s="1"/>
      <c r="Q995" s="1"/>
      <c r="R995" s="1"/>
      <c r="S995" s="1"/>
      <c r="T995" s="1"/>
      <c r="U995" s="1"/>
      <c r="V995" s="1"/>
      <c r="W995" s="1"/>
      <c r="X995" s="1"/>
      <c r="Y995" s="1"/>
      <c r="Z995" s="1"/>
    </row>
    <row r="996" spans="1:26" ht="19.5" customHeight="1">
      <c r="A996" s="1"/>
      <c r="B996" s="2"/>
      <c r="C996" s="1"/>
      <c r="D996" s="1"/>
      <c r="E996" s="2"/>
      <c r="F996" s="1"/>
      <c r="G996" s="1"/>
      <c r="H996" s="1"/>
      <c r="I996" s="1"/>
      <c r="J996" s="1"/>
      <c r="K996" s="1"/>
      <c r="L996" s="1"/>
      <c r="M996" s="1"/>
      <c r="N996" s="1"/>
      <c r="O996" s="1"/>
      <c r="P996" s="1"/>
      <c r="Q996" s="1"/>
      <c r="R996" s="1"/>
      <c r="S996" s="1"/>
      <c r="T996" s="1"/>
      <c r="U996" s="1"/>
      <c r="V996" s="1"/>
      <c r="W996" s="1"/>
      <c r="X996" s="1"/>
      <c r="Y996" s="1"/>
      <c r="Z996" s="1"/>
    </row>
    <row r="997" spans="1:26" ht="19.5" customHeight="1">
      <c r="A997" s="1"/>
      <c r="B997" s="2"/>
      <c r="C997" s="1"/>
      <c r="D997" s="1"/>
      <c r="E997" s="2"/>
      <c r="F997" s="1"/>
      <c r="G997" s="1"/>
      <c r="H997" s="1"/>
      <c r="I997" s="1"/>
      <c r="J997" s="1"/>
      <c r="K997" s="1"/>
      <c r="L997" s="1"/>
      <c r="M997" s="1"/>
      <c r="N997" s="1"/>
      <c r="O997" s="1"/>
      <c r="P997" s="1"/>
      <c r="Q997" s="1"/>
      <c r="R997" s="1"/>
      <c r="S997" s="1"/>
      <c r="T997" s="1"/>
      <c r="U997" s="1"/>
      <c r="V997" s="1"/>
      <c r="W997" s="1"/>
      <c r="X997" s="1"/>
      <c r="Y997" s="1"/>
      <c r="Z997" s="1"/>
    </row>
    <row r="998" spans="1:26" ht="19.5" customHeight="1">
      <c r="A998" s="1"/>
      <c r="B998" s="2"/>
      <c r="C998" s="1"/>
      <c r="D998" s="1"/>
      <c r="E998" s="2"/>
      <c r="F998" s="1"/>
      <c r="G998" s="1"/>
      <c r="H998" s="1"/>
      <c r="I998" s="1"/>
      <c r="J998" s="1"/>
      <c r="K998" s="1"/>
      <c r="L998" s="1"/>
      <c r="M998" s="1"/>
      <c r="N998" s="1"/>
      <c r="O998" s="1"/>
      <c r="P998" s="1"/>
      <c r="Q998" s="1"/>
      <c r="R998" s="1"/>
      <c r="S998" s="1"/>
      <c r="T998" s="1"/>
      <c r="U998" s="1"/>
      <c r="V998" s="1"/>
      <c r="W998" s="1"/>
      <c r="X998" s="1"/>
      <c r="Y998" s="1"/>
      <c r="Z998" s="1"/>
    </row>
    <row r="999" spans="1:26" ht="19.5" customHeight="1">
      <c r="A999" s="1"/>
      <c r="B999" s="2"/>
      <c r="C999" s="1"/>
      <c r="D999" s="1"/>
      <c r="E999" s="2"/>
      <c r="F999" s="1"/>
      <c r="G999" s="1"/>
      <c r="H999" s="1"/>
      <c r="I999" s="1"/>
      <c r="J999" s="1"/>
      <c r="K999" s="1"/>
      <c r="L999" s="1"/>
      <c r="M999" s="1"/>
      <c r="N999" s="1"/>
      <c r="O999" s="1"/>
      <c r="P999" s="1"/>
      <c r="Q999" s="1"/>
      <c r="R999" s="1"/>
      <c r="S999" s="1"/>
      <c r="T999" s="1"/>
      <c r="U999" s="1"/>
      <c r="V999" s="1"/>
      <c r="W999" s="1"/>
      <c r="X999" s="1"/>
      <c r="Y999" s="1"/>
      <c r="Z999" s="1"/>
    </row>
    <row r="1000" spans="1:26" ht="19.5" customHeight="1">
      <c r="A1000" s="1"/>
      <c r="B1000" s="2"/>
      <c r="C1000" s="1"/>
      <c r="D1000" s="1"/>
      <c r="E1000" s="2"/>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8">
    <mergeCell ref="O24:Q24"/>
    <mergeCell ref="O25:Q25"/>
    <mergeCell ref="O26:Q26"/>
    <mergeCell ref="O27:Q27"/>
    <mergeCell ref="D12:F12"/>
    <mergeCell ref="G12:J12"/>
    <mergeCell ref="D13:F13"/>
    <mergeCell ref="G13:J13"/>
    <mergeCell ref="O17:Q17"/>
    <mergeCell ref="O19:Q19"/>
    <mergeCell ref="O20:Q20"/>
    <mergeCell ref="D11:F11"/>
    <mergeCell ref="G11:J11"/>
    <mergeCell ref="O21:Q21"/>
    <mergeCell ref="O22:Q22"/>
    <mergeCell ref="O23:Q23"/>
    <mergeCell ref="G8:J8"/>
    <mergeCell ref="D8:F8"/>
    <mergeCell ref="D9:F9"/>
    <mergeCell ref="G9:J9"/>
    <mergeCell ref="D10:F10"/>
    <mergeCell ref="G10:J10"/>
    <mergeCell ref="B3:C3"/>
    <mergeCell ref="B6:C6"/>
    <mergeCell ref="D6:F6"/>
    <mergeCell ref="G6:J6"/>
    <mergeCell ref="D7:F7"/>
    <mergeCell ref="G7:J7"/>
  </mergeCells>
  <phoneticPr fontId="82"/>
  <printOptions horizontalCentered="1" verticalCentered="1"/>
  <pageMargins left="0" right="0" top="0" bottom="0" header="0" footer="0"/>
  <pageSetup paperSize="9" orientation="landscape"/>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1000"/>
  <sheetViews>
    <sheetView tabSelected="1" zoomScale="111" workbookViewId="0">
      <pane xSplit="6" ySplit="20" topLeftCell="G330" activePane="bottomRight" state="frozen"/>
      <selection pane="topRight" activeCell="G1" sqref="G1"/>
      <selection pane="bottomLeft" activeCell="A21" sqref="A21"/>
      <selection pane="bottomRight" activeCell="R18" sqref="R18"/>
    </sheetView>
  </sheetViews>
  <sheetFormatPr baseColWidth="10" defaultColWidth="11.1640625" defaultRowHeight="15" customHeight="1" outlineLevelRow="1" outlineLevelCol="1"/>
  <cols>
    <col min="1" max="1" width="1.83203125" customWidth="1"/>
    <col min="2" max="2" width="7.83203125" customWidth="1"/>
    <col min="3" max="3" width="6" customWidth="1"/>
    <col min="4" max="4" width="4.33203125" customWidth="1"/>
    <col min="5" max="5" width="4.83203125" customWidth="1"/>
    <col min="6" max="6" width="10.6640625" customWidth="1"/>
    <col min="7" max="7" width="19.83203125" customWidth="1"/>
    <col min="8" max="8" width="10.5" customWidth="1"/>
    <col min="9" max="9" width="0.83203125" customWidth="1"/>
    <col min="10" max="10" width="15.6640625" customWidth="1"/>
    <col min="11" max="11" width="0.83203125" customWidth="1"/>
    <col min="12" max="12" width="19.33203125" customWidth="1"/>
    <col min="13" max="13" width="14.83203125" customWidth="1"/>
    <col min="14" max="14" width="15" customWidth="1"/>
    <col min="15" max="15" width="1" customWidth="1"/>
    <col min="16" max="16" width="11.6640625" customWidth="1"/>
    <col min="17" max="17" width="15" customWidth="1"/>
    <col min="18" max="18" width="16" customWidth="1"/>
    <col min="19" max="19" width="9.5" customWidth="1"/>
    <col min="20" max="20" width="1" customWidth="1"/>
    <col min="21" max="21" width="14.83203125" customWidth="1"/>
    <col min="22" max="22" width="16.1640625" customWidth="1"/>
    <col min="23" max="23" width="16.33203125" customWidth="1"/>
    <col min="24" max="24" width="8" customWidth="1"/>
    <col min="25" max="25" width="2.6640625" hidden="1" customWidth="1" outlineLevel="1"/>
    <col min="26" max="26" width="3.83203125" hidden="1" customWidth="1" outlineLevel="1"/>
    <col min="27" max="27" width="5.1640625" hidden="1" customWidth="1" outlineLevel="1"/>
    <col min="28" max="28" width="4" hidden="1" customWidth="1" outlineLevel="1"/>
    <col min="29" max="31" width="7.5" hidden="1" customWidth="1" outlineLevel="1"/>
    <col min="32" max="32" width="10.33203125" hidden="1" customWidth="1" outlineLevel="1"/>
    <col min="33" max="33" width="11.6640625" hidden="1" customWidth="1" outlineLevel="1"/>
    <col min="34" max="34" width="11.1640625" collapsed="1"/>
  </cols>
  <sheetData>
    <row r="1" spans="1:33" ht="10.5" customHeight="1">
      <c r="A1" s="39"/>
      <c r="B1" s="39"/>
      <c r="C1" s="39"/>
      <c r="D1" s="40"/>
      <c r="E1" s="39"/>
      <c r="F1" s="39"/>
      <c r="G1" s="39"/>
      <c r="H1" s="39"/>
      <c r="I1" s="41"/>
      <c r="J1" s="39"/>
      <c r="K1" s="39"/>
      <c r="L1" s="39"/>
      <c r="M1" s="39"/>
      <c r="N1" s="39"/>
      <c r="O1" s="39"/>
      <c r="P1" s="39"/>
      <c r="Q1" s="39"/>
      <c r="R1" s="39"/>
      <c r="S1" s="39"/>
      <c r="T1" s="39"/>
      <c r="U1" s="39"/>
      <c r="V1" s="39"/>
      <c r="W1" s="39"/>
      <c r="X1" s="39"/>
      <c r="Y1" s="39"/>
      <c r="Z1" s="39"/>
      <c r="AA1" s="39"/>
      <c r="AB1" s="39"/>
      <c r="AC1" s="39"/>
      <c r="AD1" s="39"/>
      <c r="AE1" s="39"/>
      <c r="AF1" s="39"/>
      <c r="AG1" s="39"/>
    </row>
    <row r="2" spans="1:33" ht="16.5" customHeight="1">
      <c r="A2" s="39"/>
      <c r="B2" s="507">
        <v>45658</v>
      </c>
      <c r="C2" s="508"/>
      <c r="D2" s="509"/>
      <c r="E2" s="511" t="s">
        <v>51</v>
      </c>
      <c r="F2" s="483"/>
      <c r="G2" s="42" t="s">
        <v>52</v>
      </c>
      <c r="H2" s="512" t="s">
        <v>53</v>
      </c>
      <c r="I2" s="486"/>
      <c r="J2" s="483"/>
      <c r="K2" s="513" t="s">
        <v>54</v>
      </c>
      <c r="L2" s="483"/>
      <c r="M2" s="43" t="s">
        <v>55</v>
      </c>
      <c r="N2" s="44"/>
      <c r="O2" s="44"/>
      <c r="P2" s="45" t="s">
        <v>20</v>
      </c>
      <c r="Q2" s="45" t="s">
        <v>23</v>
      </c>
      <c r="R2" s="45" t="s">
        <v>27</v>
      </c>
      <c r="S2" s="45" t="s">
        <v>29</v>
      </c>
      <c r="T2" s="44" t="s">
        <v>56</v>
      </c>
      <c r="U2" s="44"/>
      <c r="V2" s="44"/>
      <c r="W2" s="44"/>
      <c r="X2" s="44"/>
      <c r="Y2" s="44"/>
      <c r="Z2" s="44"/>
      <c r="AA2" s="44"/>
      <c r="AB2" s="44"/>
      <c r="AC2" s="39"/>
      <c r="AD2" s="39"/>
      <c r="AE2" s="39"/>
      <c r="AF2" s="39"/>
      <c r="AG2" s="39"/>
    </row>
    <row r="3" spans="1:33" ht="16.5" customHeight="1">
      <c r="A3" s="39"/>
      <c r="B3" s="510"/>
      <c r="C3" s="493"/>
      <c r="D3" s="494"/>
      <c r="E3" s="514">
        <f>SUM(F7:F18)</f>
        <v>291</v>
      </c>
      <c r="F3" s="483"/>
      <c r="G3" s="46">
        <v>30000000</v>
      </c>
      <c r="H3" s="47">
        <f>SUM(AD7:AD18)*100</f>
        <v>0.99999600000000022</v>
      </c>
      <c r="I3" s="519">
        <f>G3*H3</f>
        <v>29999880.000000007</v>
      </c>
      <c r="J3" s="483"/>
      <c r="K3" s="515">
        <f>SUM(J21:J385)</f>
        <v>21736375</v>
      </c>
      <c r="L3" s="483"/>
      <c r="M3" s="48">
        <f>K3-G3</f>
        <v>-8263625</v>
      </c>
      <c r="N3" s="44"/>
      <c r="O3" s="44"/>
      <c r="P3" s="45" t="s">
        <v>33</v>
      </c>
      <c r="Q3" s="45" t="s">
        <v>57</v>
      </c>
      <c r="R3" s="45" t="s">
        <v>58</v>
      </c>
      <c r="S3" s="45" t="s">
        <v>59</v>
      </c>
      <c r="T3" s="44"/>
      <c r="U3" s="44"/>
      <c r="V3" s="44"/>
      <c r="W3" s="44"/>
      <c r="X3" s="44"/>
      <c r="Y3" s="44"/>
      <c r="Z3" s="44"/>
      <c r="AA3" s="44"/>
      <c r="AB3" s="44"/>
      <c r="AC3" s="49"/>
      <c r="AD3" s="39"/>
      <c r="AE3" s="39"/>
      <c r="AF3" s="39"/>
      <c r="AG3" s="39"/>
    </row>
    <row r="4" spans="1:33" ht="16.5" customHeight="1">
      <c r="A4" s="39"/>
      <c r="B4" s="50"/>
      <c r="C4" s="50"/>
      <c r="D4" s="51"/>
      <c r="E4" s="50"/>
      <c r="F4" s="50"/>
      <c r="G4" s="52"/>
      <c r="H4" s="44"/>
      <c r="I4" s="53"/>
      <c r="J4" s="44"/>
      <c r="K4" s="44"/>
      <c r="L4" s="50"/>
      <c r="M4" s="44"/>
      <c r="N4" s="39"/>
      <c r="O4" s="44"/>
      <c r="P4" s="54" t="s">
        <v>60</v>
      </c>
      <c r="Q4" s="45" t="s">
        <v>61</v>
      </c>
      <c r="R4" s="45" t="s">
        <v>62</v>
      </c>
      <c r="S4" s="45" t="s">
        <v>63</v>
      </c>
      <c r="T4" s="44"/>
      <c r="U4" s="44"/>
      <c r="V4" s="44"/>
      <c r="W4" s="44"/>
      <c r="X4" s="44"/>
      <c r="Y4" s="44"/>
      <c r="Z4" s="44"/>
      <c r="AA4" s="44"/>
      <c r="AB4" s="44"/>
      <c r="AC4" s="39"/>
      <c r="AD4" s="39"/>
      <c r="AE4" s="39"/>
      <c r="AF4" s="39"/>
      <c r="AG4" s="44"/>
    </row>
    <row r="5" spans="1:33" ht="7.5" customHeight="1">
      <c r="A5" s="39"/>
      <c r="B5" s="50"/>
      <c r="C5" s="50"/>
      <c r="D5" s="51"/>
      <c r="E5" s="50"/>
      <c r="F5" s="50"/>
      <c r="G5" s="52"/>
      <c r="H5" s="44"/>
      <c r="I5" s="53"/>
      <c r="J5" s="44"/>
      <c r="K5" s="44"/>
      <c r="L5" s="50"/>
      <c r="M5" s="44"/>
      <c r="N5" s="39"/>
      <c r="O5" s="44"/>
      <c r="P5" s="55"/>
      <c r="Q5" s="56"/>
      <c r="R5" s="56"/>
      <c r="S5" s="56"/>
      <c r="T5" s="44"/>
      <c r="U5" s="44"/>
      <c r="V5" s="44"/>
      <c r="W5" s="44"/>
      <c r="X5" s="44"/>
      <c r="Y5" s="44"/>
      <c r="Z5" s="44"/>
      <c r="AA5" s="44"/>
      <c r="AB5" s="44"/>
      <c r="AC5" s="39"/>
      <c r="AD5" s="39"/>
      <c r="AE5" s="39"/>
      <c r="AF5" s="39"/>
      <c r="AG5" s="44"/>
    </row>
    <row r="6" spans="1:33" ht="19.5" customHeight="1" outlineLevel="1">
      <c r="A6" s="39"/>
      <c r="B6" s="516" t="s">
        <v>64</v>
      </c>
      <c r="C6" s="497"/>
      <c r="D6" s="51"/>
      <c r="E6" s="57" t="s">
        <v>15</v>
      </c>
      <c r="F6" s="57" t="s">
        <v>65</v>
      </c>
      <c r="G6" s="58" t="s">
        <v>66</v>
      </c>
      <c r="H6" s="57" t="s">
        <v>67</v>
      </c>
      <c r="I6" s="520" t="s">
        <v>14</v>
      </c>
      <c r="J6" s="483"/>
      <c r="K6" s="506" t="s">
        <v>68</v>
      </c>
      <c r="L6" s="483"/>
      <c r="M6" s="59" t="s">
        <v>69</v>
      </c>
      <c r="N6" s="506" t="s">
        <v>70</v>
      </c>
      <c r="O6" s="483"/>
      <c r="P6" s="60" t="s">
        <v>71</v>
      </c>
      <c r="Q6" s="61" t="s">
        <v>72</v>
      </c>
      <c r="R6" s="44"/>
      <c r="S6" s="44"/>
      <c r="T6" s="44"/>
      <c r="U6" s="44"/>
      <c r="V6" s="44"/>
      <c r="W6" s="44"/>
      <c r="X6" s="44"/>
      <c r="Y6" s="44"/>
      <c r="Z6" s="44"/>
      <c r="AA6" s="44"/>
      <c r="AB6" s="44"/>
      <c r="AC6" s="39"/>
      <c r="AD6" s="39"/>
      <c r="AE6" s="39"/>
      <c r="AF6" s="39"/>
      <c r="AG6" s="44"/>
    </row>
    <row r="7" spans="1:33" ht="16.5" customHeight="1" outlineLevel="1">
      <c r="A7" s="39"/>
      <c r="B7" s="517" t="s">
        <v>73</v>
      </c>
      <c r="C7" s="504"/>
      <c r="D7" s="51"/>
      <c r="E7" s="62" t="s">
        <v>20</v>
      </c>
      <c r="F7" s="63">
        <f>COUNTIF(D21:D51,1)</f>
        <v>22</v>
      </c>
      <c r="G7" s="64">
        <f t="shared" ref="G7:G18" si="0">$B$8*F7</f>
        <v>2268041.2371134022</v>
      </c>
      <c r="H7" s="65">
        <v>0.85</v>
      </c>
      <c r="I7" s="505">
        <f t="shared" ref="I7:I18" si="1">G7*H7</f>
        <v>1927835.0515463918</v>
      </c>
      <c r="J7" s="483"/>
      <c r="K7" s="502">
        <f t="shared" ref="K7:K18" si="2">I7/F7</f>
        <v>87628.865979381444</v>
      </c>
      <c r="L7" s="483"/>
      <c r="M7" s="66">
        <f>SUM(J21:J51)</f>
        <v>1783850</v>
      </c>
      <c r="N7" s="503">
        <f t="shared" ref="N7:N18" si="3">M7-I7</f>
        <v>-143985.0515463918</v>
      </c>
      <c r="O7" s="504"/>
      <c r="P7" s="67">
        <f t="shared" ref="P7:P18" si="4">M7/G7</f>
        <v>0.78651568181818177</v>
      </c>
      <c r="Q7" s="68">
        <f t="shared" ref="Q7:Q18" si="5">M7/I7</f>
        <v>0.9253125668449198</v>
      </c>
      <c r="R7" s="69">
        <v>1</v>
      </c>
      <c r="S7" s="44"/>
      <c r="T7" s="44"/>
      <c r="U7" s="44"/>
      <c r="V7" s="44"/>
      <c r="W7" s="44"/>
      <c r="X7" s="44"/>
      <c r="Y7" s="44"/>
      <c r="Z7" s="44"/>
      <c r="AA7" s="70" t="str">
        <f t="shared" ref="AA7:AA18" si="6">TEXT(K7,"¥0")</f>
        <v>¥87629</v>
      </c>
      <c r="AB7" s="44"/>
      <c r="AC7" s="44"/>
      <c r="AD7" s="71">
        <f t="shared" ref="AD7:AD18" si="7">(H7/100)*AE7</f>
        <v>7.0833050000000013E-4</v>
      </c>
      <c r="AE7" s="72">
        <v>8.3333000000000004E-2</v>
      </c>
      <c r="AF7" s="73"/>
      <c r="AG7" s="44"/>
    </row>
    <row r="8" spans="1:33" ht="16.5" customHeight="1" outlineLevel="1">
      <c r="A8" s="39"/>
      <c r="B8" s="518">
        <f>G3/E3</f>
        <v>103092.78350515464</v>
      </c>
      <c r="C8" s="504"/>
      <c r="D8" s="51"/>
      <c r="E8" s="62" t="s">
        <v>23</v>
      </c>
      <c r="F8" s="63">
        <f>COUNTIF(D52:D79,1)</f>
        <v>23</v>
      </c>
      <c r="G8" s="64">
        <f t="shared" si="0"/>
        <v>2371134.020618557</v>
      </c>
      <c r="H8" s="65">
        <v>0.85</v>
      </c>
      <c r="I8" s="505">
        <f t="shared" si="1"/>
        <v>2015463.9175257734</v>
      </c>
      <c r="J8" s="483"/>
      <c r="K8" s="502">
        <f t="shared" si="2"/>
        <v>87628.865979381459</v>
      </c>
      <c r="L8" s="483"/>
      <c r="M8" s="74">
        <f>SUM(J52:J79)</f>
        <v>1822300</v>
      </c>
      <c r="N8" s="503">
        <f t="shared" si="3"/>
        <v>-193163.9175257734</v>
      </c>
      <c r="O8" s="504"/>
      <c r="P8" s="67">
        <f t="shared" si="4"/>
        <v>0.76853521739130426</v>
      </c>
      <c r="Q8" s="68">
        <f t="shared" si="5"/>
        <v>0.90415907928388739</v>
      </c>
      <c r="R8" s="69">
        <v>2</v>
      </c>
      <c r="S8" s="44"/>
      <c r="T8" s="44"/>
      <c r="U8" s="44"/>
      <c r="V8" s="44"/>
      <c r="W8" s="44"/>
      <c r="X8" s="44"/>
      <c r="Y8" s="44"/>
      <c r="Z8" s="44"/>
      <c r="AA8" s="70" t="str">
        <f t="shared" si="6"/>
        <v>¥87629</v>
      </c>
      <c r="AB8" s="44"/>
      <c r="AC8" s="39"/>
      <c r="AD8" s="71">
        <f t="shared" si="7"/>
        <v>7.0833050000000013E-4</v>
      </c>
      <c r="AE8" s="72">
        <v>8.3333000000000004E-2</v>
      </c>
      <c r="AF8" s="44"/>
      <c r="AG8" s="44"/>
    </row>
    <row r="9" spans="1:33" ht="16.5" customHeight="1" outlineLevel="1">
      <c r="A9" s="39"/>
      <c r="B9" s="44"/>
      <c r="C9" s="44"/>
      <c r="D9" s="51"/>
      <c r="E9" s="62" t="s">
        <v>27</v>
      </c>
      <c r="F9" s="63">
        <f>COUNTIF(D80:D110,1)</f>
        <v>26</v>
      </c>
      <c r="G9" s="64">
        <f t="shared" si="0"/>
        <v>2680412.3711340209</v>
      </c>
      <c r="H9" s="65">
        <v>1</v>
      </c>
      <c r="I9" s="505">
        <f t="shared" si="1"/>
        <v>2680412.3711340209</v>
      </c>
      <c r="J9" s="483"/>
      <c r="K9" s="502">
        <f t="shared" si="2"/>
        <v>103092.78350515464</v>
      </c>
      <c r="L9" s="483"/>
      <c r="M9" s="74">
        <f>SUM(J80:J110)</f>
        <v>2158500</v>
      </c>
      <c r="N9" s="503">
        <f t="shared" si="3"/>
        <v>-521912.37113402085</v>
      </c>
      <c r="O9" s="504"/>
      <c r="P9" s="67">
        <f t="shared" si="4"/>
        <v>0.80528653846153841</v>
      </c>
      <c r="Q9" s="68">
        <f t="shared" si="5"/>
        <v>0.80528653846153841</v>
      </c>
      <c r="R9" s="69">
        <v>3</v>
      </c>
      <c r="S9" s="44"/>
      <c r="T9" s="44"/>
      <c r="U9" s="44"/>
      <c r="V9" s="44"/>
      <c r="W9" s="44"/>
      <c r="X9" s="44"/>
      <c r="Y9" s="44"/>
      <c r="Z9" s="44"/>
      <c r="AA9" s="70" t="str">
        <f t="shared" si="6"/>
        <v>¥103093</v>
      </c>
      <c r="AB9" s="44"/>
      <c r="AC9" s="39"/>
      <c r="AD9" s="71">
        <f t="shared" si="7"/>
        <v>8.3333000000000007E-4</v>
      </c>
      <c r="AE9" s="72">
        <v>8.3333000000000004E-2</v>
      </c>
      <c r="AF9" s="75"/>
      <c r="AG9" s="44"/>
    </row>
    <row r="10" spans="1:33" ht="16.5" customHeight="1" outlineLevel="1">
      <c r="A10" s="39"/>
      <c r="B10" s="76"/>
      <c r="C10" s="50"/>
      <c r="D10" s="51"/>
      <c r="E10" s="62" t="s">
        <v>29</v>
      </c>
      <c r="F10" s="63">
        <f>COUNTIF(D111:D140,1)</f>
        <v>25</v>
      </c>
      <c r="G10" s="64">
        <f t="shared" si="0"/>
        <v>2577319.5876288661</v>
      </c>
      <c r="H10" s="65">
        <v>1.1000000000000001</v>
      </c>
      <c r="I10" s="505">
        <f t="shared" si="1"/>
        <v>2835051.546391753</v>
      </c>
      <c r="J10" s="483"/>
      <c r="K10" s="502">
        <f t="shared" si="2"/>
        <v>113402.06185567012</v>
      </c>
      <c r="L10" s="483"/>
      <c r="M10" s="74">
        <f>SUM(J111:J140)</f>
        <v>2262450</v>
      </c>
      <c r="N10" s="503">
        <f t="shared" si="3"/>
        <v>-572601.54639175301</v>
      </c>
      <c r="O10" s="504"/>
      <c r="P10" s="67">
        <f t="shared" si="4"/>
        <v>0.87783060000000002</v>
      </c>
      <c r="Q10" s="68">
        <f t="shared" si="5"/>
        <v>0.798027818181818</v>
      </c>
      <c r="R10" s="69">
        <v>4</v>
      </c>
      <c r="S10" s="44"/>
      <c r="T10" s="44"/>
      <c r="U10" s="44"/>
      <c r="V10" s="44"/>
      <c r="W10" s="44"/>
      <c r="X10" s="44"/>
      <c r="Y10" s="44"/>
      <c r="Z10" s="44"/>
      <c r="AA10" s="70" t="str">
        <f t="shared" si="6"/>
        <v>¥113402</v>
      </c>
      <c r="AB10" s="44"/>
      <c r="AC10" s="39"/>
      <c r="AD10" s="71">
        <f t="shared" si="7"/>
        <v>9.1666300000000018E-4</v>
      </c>
      <c r="AE10" s="72">
        <v>8.3333000000000004E-2</v>
      </c>
      <c r="AF10" s="75"/>
      <c r="AG10" s="44"/>
    </row>
    <row r="11" spans="1:33" ht="16.5" customHeight="1" outlineLevel="1">
      <c r="A11" s="39"/>
      <c r="B11" s="76"/>
      <c r="C11" s="50"/>
      <c r="D11" s="51"/>
      <c r="E11" s="62" t="s">
        <v>33</v>
      </c>
      <c r="F11" s="63">
        <f>COUNTIF(D141:D171,1)</f>
        <v>26</v>
      </c>
      <c r="G11" s="64">
        <f t="shared" si="0"/>
        <v>2680412.3711340209</v>
      </c>
      <c r="H11" s="65">
        <v>1</v>
      </c>
      <c r="I11" s="505">
        <f t="shared" si="1"/>
        <v>2680412.3711340209</v>
      </c>
      <c r="J11" s="483"/>
      <c r="K11" s="502">
        <f t="shared" si="2"/>
        <v>103092.78350515464</v>
      </c>
      <c r="L11" s="483"/>
      <c r="M11" s="74">
        <f>SUM(J141:J171)</f>
        <v>2494050</v>
      </c>
      <c r="N11" s="503">
        <f t="shared" si="3"/>
        <v>-186362.37113402085</v>
      </c>
      <c r="O11" s="504"/>
      <c r="P11" s="67">
        <f t="shared" si="4"/>
        <v>0.93047249999999992</v>
      </c>
      <c r="Q11" s="68">
        <f t="shared" si="5"/>
        <v>0.93047249999999992</v>
      </c>
      <c r="R11" s="69">
        <v>5</v>
      </c>
      <c r="S11" s="44"/>
      <c r="T11" s="44"/>
      <c r="U11" s="44"/>
      <c r="V11" s="44"/>
      <c r="W11" s="44"/>
      <c r="X11" s="44"/>
      <c r="Y11" s="44"/>
      <c r="Z11" s="44"/>
      <c r="AA11" s="70" t="str">
        <f t="shared" si="6"/>
        <v>¥103093</v>
      </c>
      <c r="AB11" s="44"/>
      <c r="AC11" s="39"/>
      <c r="AD11" s="71">
        <f t="shared" si="7"/>
        <v>8.3333000000000007E-4</v>
      </c>
      <c r="AE11" s="72">
        <v>8.3333000000000004E-2</v>
      </c>
      <c r="AF11" s="44"/>
      <c r="AG11" s="44"/>
    </row>
    <row r="12" spans="1:33" ht="16.5" customHeight="1" outlineLevel="1">
      <c r="A12" s="39"/>
      <c r="B12" s="76"/>
      <c r="C12" s="50"/>
      <c r="D12" s="51"/>
      <c r="E12" s="62" t="s">
        <v>57</v>
      </c>
      <c r="F12" s="63">
        <f>COUNTIF(D172:D201,1)</f>
        <v>25</v>
      </c>
      <c r="G12" s="64">
        <f t="shared" si="0"/>
        <v>2577319.5876288661</v>
      </c>
      <c r="H12" s="65">
        <v>0.85</v>
      </c>
      <c r="I12" s="505">
        <f t="shared" si="1"/>
        <v>2190721.6494845361</v>
      </c>
      <c r="J12" s="483"/>
      <c r="K12" s="502">
        <f t="shared" si="2"/>
        <v>87628.865979381444</v>
      </c>
      <c r="L12" s="483"/>
      <c r="M12" s="74">
        <f>SUM(J172:J201)</f>
        <v>2396250</v>
      </c>
      <c r="N12" s="503">
        <f t="shared" si="3"/>
        <v>205528.35051546386</v>
      </c>
      <c r="O12" s="504"/>
      <c r="P12" s="67">
        <f t="shared" si="4"/>
        <v>0.92974499999999993</v>
      </c>
      <c r="Q12" s="68">
        <f t="shared" si="5"/>
        <v>1.0938176470588235</v>
      </c>
      <c r="R12" s="69">
        <v>6</v>
      </c>
      <c r="S12" s="44"/>
      <c r="T12" s="44"/>
      <c r="U12" s="44"/>
      <c r="V12" s="44"/>
      <c r="W12" s="44"/>
      <c r="X12" s="44"/>
      <c r="Y12" s="44"/>
      <c r="Z12" s="44"/>
      <c r="AA12" s="70" t="str">
        <f t="shared" si="6"/>
        <v>¥87629</v>
      </c>
      <c r="AB12" s="44"/>
      <c r="AC12" s="39"/>
      <c r="AD12" s="71">
        <f t="shared" si="7"/>
        <v>7.0833050000000013E-4</v>
      </c>
      <c r="AE12" s="72">
        <v>8.3333000000000004E-2</v>
      </c>
      <c r="AF12" s="44"/>
      <c r="AG12" s="44"/>
    </row>
    <row r="13" spans="1:33" ht="16.5" customHeight="1" outlineLevel="1">
      <c r="A13" s="39"/>
      <c r="B13" s="50"/>
      <c r="C13" s="50"/>
      <c r="D13" s="51"/>
      <c r="E13" s="62" t="s">
        <v>58</v>
      </c>
      <c r="F13" s="63">
        <f>COUNTIF(D202:D232,1)</f>
        <v>25</v>
      </c>
      <c r="G13" s="64">
        <f t="shared" si="0"/>
        <v>2577319.5876288661</v>
      </c>
      <c r="H13" s="65">
        <v>1.1000000000000001</v>
      </c>
      <c r="I13" s="505">
        <f t="shared" si="1"/>
        <v>2835051.546391753</v>
      </c>
      <c r="J13" s="483"/>
      <c r="K13" s="502">
        <f t="shared" si="2"/>
        <v>113402.06185567012</v>
      </c>
      <c r="L13" s="483"/>
      <c r="M13" s="74">
        <f>SUM(J202:J232)</f>
        <v>2307750</v>
      </c>
      <c r="N13" s="503">
        <f t="shared" si="3"/>
        <v>-527301.54639175301</v>
      </c>
      <c r="O13" s="504"/>
      <c r="P13" s="67">
        <f t="shared" si="4"/>
        <v>0.89540699999999995</v>
      </c>
      <c r="Q13" s="68">
        <f t="shared" si="5"/>
        <v>0.81400636363636347</v>
      </c>
      <c r="R13" s="69">
        <v>7</v>
      </c>
      <c r="S13" s="44"/>
      <c r="T13" s="44"/>
      <c r="U13" s="44"/>
      <c r="V13" s="44"/>
      <c r="W13" s="44"/>
      <c r="X13" s="44"/>
      <c r="Y13" s="44"/>
      <c r="Z13" s="44"/>
      <c r="AA13" s="70" t="str">
        <f t="shared" si="6"/>
        <v>¥113402</v>
      </c>
      <c r="AB13" s="44"/>
      <c r="AC13" s="39"/>
      <c r="AD13" s="71">
        <f t="shared" si="7"/>
        <v>9.1666300000000018E-4</v>
      </c>
      <c r="AE13" s="72">
        <v>8.3333000000000004E-2</v>
      </c>
      <c r="AF13" s="39"/>
      <c r="AG13" s="44"/>
    </row>
    <row r="14" spans="1:33" ht="16.5" customHeight="1" outlineLevel="1">
      <c r="A14" s="39"/>
      <c r="B14" s="50"/>
      <c r="C14" s="50"/>
      <c r="D14" s="51"/>
      <c r="E14" s="62" t="s">
        <v>59</v>
      </c>
      <c r="F14" s="63">
        <f>COUNTIF(D233:D263,1)</f>
        <v>24</v>
      </c>
      <c r="G14" s="64">
        <f t="shared" si="0"/>
        <v>2474226.8041237113</v>
      </c>
      <c r="H14" s="65">
        <v>1</v>
      </c>
      <c r="I14" s="505">
        <f t="shared" si="1"/>
        <v>2474226.8041237113</v>
      </c>
      <c r="J14" s="483"/>
      <c r="K14" s="502">
        <f t="shared" si="2"/>
        <v>103092.78350515464</v>
      </c>
      <c r="L14" s="483"/>
      <c r="M14" s="74">
        <f>SUM(J233:J263)</f>
        <v>1980325</v>
      </c>
      <c r="N14" s="503">
        <f t="shared" si="3"/>
        <v>-493901.80412371131</v>
      </c>
      <c r="O14" s="504"/>
      <c r="P14" s="67">
        <f t="shared" si="4"/>
        <v>0.80038135416666667</v>
      </c>
      <c r="Q14" s="68">
        <f t="shared" si="5"/>
        <v>0.80038135416666667</v>
      </c>
      <c r="R14" s="69">
        <v>8</v>
      </c>
      <c r="S14" s="44"/>
      <c r="T14" s="44"/>
      <c r="U14" s="44"/>
      <c r="V14" s="44"/>
      <c r="W14" s="44"/>
      <c r="X14" s="44"/>
      <c r="Y14" s="39"/>
      <c r="Z14" s="39"/>
      <c r="AA14" s="70" t="str">
        <f t="shared" si="6"/>
        <v>¥103093</v>
      </c>
      <c r="AB14" s="39"/>
      <c r="AC14" s="39"/>
      <c r="AD14" s="71">
        <f t="shared" si="7"/>
        <v>8.3333000000000007E-4</v>
      </c>
      <c r="AE14" s="72">
        <v>8.3333000000000004E-2</v>
      </c>
      <c r="AF14" s="39"/>
      <c r="AG14" s="44"/>
    </row>
    <row r="15" spans="1:33" ht="16.5" customHeight="1" outlineLevel="1">
      <c r="A15" s="39"/>
      <c r="B15" s="50"/>
      <c r="C15" s="50"/>
      <c r="D15" s="51"/>
      <c r="E15" s="62" t="s">
        <v>74</v>
      </c>
      <c r="F15" s="63">
        <f>COUNTIF(D264:D293,1)</f>
        <v>23</v>
      </c>
      <c r="G15" s="64">
        <f t="shared" si="0"/>
        <v>2371134.020618557</v>
      </c>
      <c r="H15" s="65">
        <v>1</v>
      </c>
      <c r="I15" s="505">
        <f t="shared" si="1"/>
        <v>2371134.020618557</v>
      </c>
      <c r="J15" s="483"/>
      <c r="K15" s="502">
        <f t="shared" si="2"/>
        <v>103092.78350515466</v>
      </c>
      <c r="L15" s="483"/>
      <c r="M15" s="74">
        <f>SUM(J264:J293)</f>
        <v>1800300</v>
      </c>
      <c r="N15" s="503">
        <f t="shared" si="3"/>
        <v>-570834.020618557</v>
      </c>
      <c r="O15" s="504"/>
      <c r="P15" s="67">
        <f t="shared" si="4"/>
        <v>0.75925695652173908</v>
      </c>
      <c r="Q15" s="68">
        <f t="shared" si="5"/>
        <v>0.75925695652173908</v>
      </c>
      <c r="R15" s="69">
        <v>9</v>
      </c>
      <c r="S15" s="44"/>
      <c r="T15" s="44"/>
      <c r="U15" s="44"/>
      <c r="V15" s="44"/>
      <c r="W15" s="44"/>
      <c r="X15" s="44"/>
      <c r="Y15" s="39"/>
      <c r="Z15" s="39"/>
      <c r="AA15" s="70" t="str">
        <f t="shared" si="6"/>
        <v>¥103093</v>
      </c>
      <c r="AB15" s="39"/>
      <c r="AC15" s="39"/>
      <c r="AD15" s="71">
        <f t="shared" si="7"/>
        <v>8.3333000000000007E-4</v>
      </c>
      <c r="AE15" s="72">
        <v>8.3333000000000004E-2</v>
      </c>
      <c r="AF15" s="39"/>
      <c r="AG15" s="44"/>
    </row>
    <row r="16" spans="1:33" ht="16.5" customHeight="1" outlineLevel="1">
      <c r="A16" s="39"/>
      <c r="B16" s="50"/>
      <c r="C16" s="50"/>
      <c r="D16" s="51"/>
      <c r="E16" s="62" t="s">
        <v>61</v>
      </c>
      <c r="F16" s="63">
        <f>COUNTIF(D294:D324,1)</f>
        <v>26</v>
      </c>
      <c r="G16" s="64">
        <f t="shared" si="0"/>
        <v>2680412.3711340209</v>
      </c>
      <c r="H16" s="65">
        <v>1.1000000000000001</v>
      </c>
      <c r="I16" s="505">
        <f t="shared" si="1"/>
        <v>2948453.6082474231</v>
      </c>
      <c r="J16" s="483"/>
      <c r="K16" s="502">
        <f t="shared" si="2"/>
        <v>113402.06185567012</v>
      </c>
      <c r="L16" s="483"/>
      <c r="M16" s="74">
        <f>SUM(J294:J324)</f>
        <v>2123750</v>
      </c>
      <c r="N16" s="503">
        <f t="shared" si="3"/>
        <v>-824703.60824742308</v>
      </c>
      <c r="O16" s="504"/>
      <c r="P16" s="67">
        <f t="shared" si="4"/>
        <v>0.79232211538461528</v>
      </c>
      <c r="Q16" s="68">
        <f t="shared" si="5"/>
        <v>0.72029283216783202</v>
      </c>
      <c r="R16" s="69">
        <v>10</v>
      </c>
      <c r="S16" s="44"/>
      <c r="T16" s="44"/>
      <c r="U16" s="44"/>
      <c r="V16" s="44"/>
      <c r="W16" s="44"/>
      <c r="X16" s="44"/>
      <c r="Y16" s="39"/>
      <c r="Z16" s="39"/>
      <c r="AA16" s="70" t="str">
        <f t="shared" si="6"/>
        <v>¥113402</v>
      </c>
      <c r="AB16" s="39"/>
      <c r="AC16" s="39"/>
      <c r="AD16" s="71">
        <f t="shared" si="7"/>
        <v>9.1666300000000018E-4</v>
      </c>
      <c r="AE16" s="72">
        <v>8.3333000000000004E-2</v>
      </c>
      <c r="AF16" s="39"/>
      <c r="AG16" s="75"/>
    </row>
    <row r="17" spans="1:33" ht="16.5" customHeight="1" outlineLevel="1">
      <c r="A17" s="39"/>
      <c r="B17" s="50"/>
      <c r="C17" s="50"/>
      <c r="D17" s="51"/>
      <c r="E17" s="62" t="s">
        <v>62</v>
      </c>
      <c r="F17" s="63">
        <f>COUNTIF(D325:D354,1)</f>
        <v>22</v>
      </c>
      <c r="G17" s="64">
        <f t="shared" si="0"/>
        <v>2268041.2371134022</v>
      </c>
      <c r="H17" s="65">
        <v>1</v>
      </c>
      <c r="I17" s="505">
        <f t="shared" si="1"/>
        <v>2268041.2371134022</v>
      </c>
      <c r="J17" s="483"/>
      <c r="K17" s="502">
        <f t="shared" si="2"/>
        <v>103092.78350515464</v>
      </c>
      <c r="L17" s="483"/>
      <c r="M17" s="74">
        <f>SUM(J325:J354)</f>
        <v>606850</v>
      </c>
      <c r="N17" s="503">
        <f t="shared" si="3"/>
        <v>-1661191.2371134022</v>
      </c>
      <c r="O17" s="504"/>
      <c r="P17" s="67">
        <f t="shared" si="4"/>
        <v>0.2675656818181818</v>
      </c>
      <c r="Q17" s="68">
        <f t="shared" si="5"/>
        <v>0.2675656818181818</v>
      </c>
      <c r="R17" s="69">
        <v>11</v>
      </c>
      <c r="S17" s="44"/>
      <c r="T17" s="44"/>
      <c r="U17" s="44"/>
      <c r="V17" s="44"/>
      <c r="W17" s="44"/>
      <c r="X17" s="39"/>
      <c r="Y17" s="39"/>
      <c r="Z17" s="39"/>
      <c r="AA17" s="70" t="str">
        <f t="shared" si="6"/>
        <v>¥103093</v>
      </c>
      <c r="AB17" s="39"/>
      <c r="AC17" s="39"/>
      <c r="AD17" s="71">
        <f t="shared" si="7"/>
        <v>8.3333000000000007E-4</v>
      </c>
      <c r="AE17" s="72">
        <v>8.3333000000000004E-2</v>
      </c>
      <c r="AF17" s="39"/>
      <c r="AG17" s="75"/>
    </row>
    <row r="18" spans="1:33" ht="16.5" customHeight="1" outlineLevel="1">
      <c r="A18" s="39"/>
      <c r="B18" s="50"/>
      <c r="C18" s="50"/>
      <c r="D18" s="51"/>
      <c r="E18" s="62" t="s">
        <v>63</v>
      </c>
      <c r="F18" s="63">
        <f>COUNTIF(D355:D385,1)</f>
        <v>24</v>
      </c>
      <c r="G18" s="64">
        <f t="shared" si="0"/>
        <v>2474226.8041237113</v>
      </c>
      <c r="H18" s="65">
        <v>1.1499999999999999</v>
      </c>
      <c r="I18" s="505">
        <f t="shared" si="1"/>
        <v>2845360.8247422678</v>
      </c>
      <c r="J18" s="483"/>
      <c r="K18" s="502">
        <f t="shared" si="2"/>
        <v>118556.70103092783</v>
      </c>
      <c r="L18" s="483"/>
      <c r="M18" s="74">
        <f>SUM(J355:J385)</f>
        <v>0</v>
      </c>
      <c r="N18" s="503">
        <f t="shared" si="3"/>
        <v>-2845360.8247422678</v>
      </c>
      <c r="O18" s="504"/>
      <c r="P18" s="67">
        <f t="shared" si="4"/>
        <v>0</v>
      </c>
      <c r="Q18" s="68">
        <f t="shared" si="5"/>
        <v>0</v>
      </c>
      <c r="R18" s="69">
        <v>12</v>
      </c>
      <c r="S18" s="44"/>
      <c r="T18" s="39"/>
      <c r="U18" s="44"/>
      <c r="V18" s="50"/>
      <c r="W18" s="50"/>
      <c r="X18" s="39"/>
      <c r="Y18" s="39"/>
      <c r="Z18" s="39"/>
      <c r="AA18" s="70" t="str">
        <f t="shared" si="6"/>
        <v>¥118557</v>
      </c>
      <c r="AB18" s="39"/>
      <c r="AC18" s="39"/>
      <c r="AD18" s="71">
        <f t="shared" si="7"/>
        <v>9.5832950000000001E-4</v>
      </c>
      <c r="AE18" s="72">
        <v>8.3333000000000004E-2</v>
      </c>
      <c r="AF18" s="39"/>
      <c r="AG18" s="75"/>
    </row>
    <row r="19" spans="1:33" ht="9.75" customHeight="1">
      <c r="A19" s="39"/>
      <c r="B19" s="50"/>
      <c r="C19" s="50"/>
      <c r="D19" s="51"/>
      <c r="E19" s="50"/>
      <c r="F19" s="77"/>
      <c r="G19" s="50"/>
      <c r="H19" s="50"/>
      <c r="I19" s="78"/>
      <c r="J19" s="50"/>
      <c r="K19" s="50"/>
      <c r="L19" s="50"/>
      <c r="M19" s="50"/>
      <c r="N19" s="50"/>
      <c r="O19" s="50"/>
      <c r="P19" s="50"/>
      <c r="Q19" s="50"/>
      <c r="R19" s="50"/>
      <c r="S19" s="50"/>
      <c r="T19" s="50"/>
      <c r="U19" s="50"/>
      <c r="V19" s="50"/>
      <c r="W19" s="50"/>
      <c r="X19" s="39"/>
      <c r="Y19" s="39"/>
      <c r="Z19" s="39"/>
      <c r="AA19" s="44"/>
      <c r="AB19" s="39"/>
      <c r="AC19" s="39"/>
      <c r="AD19" s="39"/>
      <c r="AE19" s="39"/>
      <c r="AF19" s="39"/>
      <c r="AG19" s="39"/>
    </row>
    <row r="20" spans="1:33" ht="16.5" customHeight="1">
      <c r="A20" s="39"/>
      <c r="B20" s="50"/>
      <c r="C20" s="79"/>
      <c r="D20" s="80"/>
      <c r="E20" s="81" t="s">
        <v>15</v>
      </c>
      <c r="F20" s="81" t="s">
        <v>75</v>
      </c>
      <c r="G20" s="82" t="s">
        <v>49</v>
      </c>
      <c r="H20" s="83" t="s">
        <v>76</v>
      </c>
      <c r="I20" s="84"/>
      <c r="J20" s="81" t="s">
        <v>77</v>
      </c>
      <c r="K20" s="84"/>
      <c r="L20" s="85" t="s">
        <v>1</v>
      </c>
      <c r="M20" s="86" t="s">
        <v>55</v>
      </c>
      <c r="N20" s="79" t="s">
        <v>78</v>
      </c>
      <c r="O20" s="87"/>
      <c r="P20" s="88" t="s">
        <v>14</v>
      </c>
      <c r="Q20" s="81" t="s">
        <v>79</v>
      </c>
      <c r="R20" s="83" t="s">
        <v>80</v>
      </c>
      <c r="S20" s="79" t="s">
        <v>81</v>
      </c>
      <c r="T20" s="89"/>
      <c r="U20" s="88" t="s">
        <v>44</v>
      </c>
      <c r="V20" s="81" t="s">
        <v>82</v>
      </c>
      <c r="W20" s="90" t="s">
        <v>83</v>
      </c>
      <c r="X20" s="91" t="s">
        <v>84</v>
      </c>
      <c r="Y20" s="39"/>
      <c r="Z20" s="39"/>
      <c r="AA20" s="92" t="s">
        <v>15</v>
      </c>
      <c r="AB20" s="92" t="s">
        <v>49</v>
      </c>
      <c r="AC20" s="92" t="s">
        <v>85</v>
      </c>
      <c r="AD20" s="93" t="s">
        <v>86</v>
      </c>
      <c r="AE20" s="94" t="s">
        <v>87</v>
      </c>
      <c r="AF20" s="94" t="s">
        <v>88</v>
      </c>
      <c r="AG20" s="39"/>
    </row>
    <row r="21" spans="1:33" ht="16.5" customHeight="1">
      <c r="A21" s="39"/>
      <c r="B21" s="51"/>
      <c r="C21" s="95">
        <v>1</v>
      </c>
      <c r="D21" s="96">
        <v>0</v>
      </c>
      <c r="E21" s="97">
        <f t="shared" ref="E21:E275" si="8">MONTH(Y21)</f>
        <v>1</v>
      </c>
      <c r="F21" s="98">
        <f>B2</f>
        <v>45658</v>
      </c>
      <c r="G21" s="99" t="str">
        <f t="shared" ref="G21:G275" si="9">TEXT(Z21,"ddd")</f>
        <v>Wed</v>
      </c>
      <c r="H21" s="100" t="s">
        <v>89</v>
      </c>
      <c r="I21" s="101"/>
      <c r="J21" s="102"/>
      <c r="K21" s="103"/>
      <c r="L21" s="104">
        <f t="shared" ref="L21:L51" si="10">IF(D21=0,0,$K$7)</f>
        <v>0</v>
      </c>
      <c r="M21" s="105">
        <f t="shared" ref="M21:M275" si="11">IF(D21=0,0,J21-L21)</f>
        <v>0</v>
      </c>
      <c r="N21" s="106" t="str">
        <f t="shared" ref="N21:N275" si="12">IFERROR(J21/L21,"¥0")</f>
        <v>¥0</v>
      </c>
      <c r="O21" s="107"/>
      <c r="P21" s="104">
        <f>IF(D21=0,0,$K$7)</f>
        <v>0</v>
      </c>
      <c r="Q21" s="104">
        <f>IF(D21=0,0,$J$21)</f>
        <v>0</v>
      </c>
      <c r="R21" s="108">
        <f t="shared" ref="R21:R275" si="13">IF(D21=0,0,Q21-P21)</f>
        <v>0</v>
      </c>
      <c r="S21" s="109">
        <f t="shared" ref="S21:S275" si="14">IF(D21=0,0,Q21/P21)</f>
        <v>0</v>
      </c>
      <c r="T21" s="110"/>
      <c r="U21" s="104">
        <f>IF(D21=0,0,$L$21)</f>
        <v>0</v>
      </c>
      <c r="V21" s="104">
        <f>IF(D21=0,0,$J$21)</f>
        <v>0</v>
      </c>
      <c r="W21" s="111">
        <f t="shared" ref="W21:W275" si="15">IF(D21=0,0,V21-U21)</f>
        <v>0</v>
      </c>
      <c r="X21" s="112">
        <f t="shared" ref="X21:X275" si="16">IF(D21=0,0,V21/U21)</f>
        <v>0</v>
      </c>
      <c r="Y21" s="113">
        <f>B2</f>
        <v>45658</v>
      </c>
      <c r="Z21" s="114">
        <f>B2</f>
        <v>45658</v>
      </c>
      <c r="AA21" s="115">
        <v>1</v>
      </c>
      <c r="AB21" s="116" t="s">
        <v>5</v>
      </c>
      <c r="AC21" s="117">
        <f>IFERROR(AVERAGEIFS(J21:J51,D21:D51,1,G21:G51,"mon"),0)</f>
        <v>90400</v>
      </c>
      <c r="AD21" s="118">
        <f>COUNTIFS(D21:D51,1,G21:G51,"Mon")</f>
        <v>1</v>
      </c>
      <c r="AE21" s="117">
        <f>($I$7*[1]リトローボ_実績_2024R6!AI20)/AD21</f>
        <v>0</v>
      </c>
      <c r="AF21" s="117">
        <f t="shared" ref="AF21:AF26" si="17">AD21*AE21</f>
        <v>0</v>
      </c>
      <c r="AG21" s="119" t="s">
        <v>90</v>
      </c>
    </row>
    <row r="22" spans="1:33" ht="16.5" customHeight="1">
      <c r="A22" s="39"/>
      <c r="B22" s="51"/>
      <c r="C22" s="95">
        <v>2</v>
      </c>
      <c r="D22" s="96">
        <v>0</v>
      </c>
      <c r="E22" s="97">
        <f t="shared" si="8"/>
        <v>1</v>
      </c>
      <c r="F22" s="98">
        <f t="shared" ref="F22:F276" si="18">F21+1</f>
        <v>45659</v>
      </c>
      <c r="G22" s="99" t="str">
        <f t="shared" si="9"/>
        <v>Thu</v>
      </c>
      <c r="H22" s="100" t="s">
        <v>91</v>
      </c>
      <c r="I22" s="101"/>
      <c r="J22" s="102"/>
      <c r="K22" s="103"/>
      <c r="L22" s="104">
        <f t="shared" si="10"/>
        <v>0</v>
      </c>
      <c r="M22" s="105">
        <f t="shared" si="11"/>
        <v>0</v>
      </c>
      <c r="N22" s="106" t="str">
        <f t="shared" si="12"/>
        <v>¥0</v>
      </c>
      <c r="O22" s="107"/>
      <c r="P22" s="104">
        <f t="shared" ref="P22:P51" si="19">IF(D22=0,0,SUM($L$21:L22))</f>
        <v>0</v>
      </c>
      <c r="Q22" s="104">
        <f t="shared" ref="Q22:Q51" si="20">IF(D22=0,0,SUM($J$21:J22))</f>
        <v>0</v>
      </c>
      <c r="R22" s="108">
        <f t="shared" si="13"/>
        <v>0</v>
      </c>
      <c r="S22" s="109">
        <f t="shared" si="14"/>
        <v>0</v>
      </c>
      <c r="T22" s="110"/>
      <c r="U22" s="104">
        <f t="shared" ref="U22:U276" si="21">IF(D22=0,0,SUM($L$21:L22))</f>
        <v>0</v>
      </c>
      <c r="V22" s="104">
        <f t="shared" ref="V22:V276" si="22">IF(D22=0,0,SUM($J$21:J22))</f>
        <v>0</v>
      </c>
      <c r="W22" s="111">
        <f t="shared" si="15"/>
        <v>0</v>
      </c>
      <c r="X22" s="112">
        <f t="shared" si="16"/>
        <v>0</v>
      </c>
      <c r="Y22" s="113">
        <f t="shared" ref="Y22:Z22" si="23">Y21+1</f>
        <v>45659</v>
      </c>
      <c r="Z22" s="114">
        <f t="shared" si="23"/>
        <v>45659</v>
      </c>
      <c r="AA22" s="115">
        <v>1</v>
      </c>
      <c r="AB22" s="120" t="s">
        <v>6</v>
      </c>
      <c r="AC22" s="117">
        <f>IFERROR(AVERAGEIFS(J21:J51,D21:D51,1,G21:G51,"tue"),0)</f>
        <v>67750</v>
      </c>
      <c r="AD22" s="118">
        <f>COUNTIFS(D21:D51,1,G21:G51,"tue")</f>
        <v>4</v>
      </c>
      <c r="AE22" s="117">
        <f>($I$7*[1]リトローボ_実績_2024R6!AI21)/AD22</f>
        <v>0</v>
      </c>
      <c r="AF22" s="117">
        <f t="shared" si="17"/>
        <v>0</v>
      </c>
      <c r="AG22" s="121"/>
    </row>
    <row r="23" spans="1:33" ht="16.5" customHeight="1">
      <c r="A23" s="39"/>
      <c r="B23" s="51"/>
      <c r="C23" s="95">
        <v>3</v>
      </c>
      <c r="D23" s="96">
        <v>0</v>
      </c>
      <c r="E23" s="97">
        <f t="shared" si="8"/>
        <v>1</v>
      </c>
      <c r="F23" s="98">
        <f t="shared" si="18"/>
        <v>45660</v>
      </c>
      <c r="G23" s="99" t="str">
        <f t="shared" si="9"/>
        <v>Fri</v>
      </c>
      <c r="H23" s="100" t="s">
        <v>91</v>
      </c>
      <c r="I23" s="101"/>
      <c r="J23" s="102"/>
      <c r="K23" s="103"/>
      <c r="L23" s="104">
        <f t="shared" si="10"/>
        <v>0</v>
      </c>
      <c r="M23" s="105">
        <f t="shared" si="11"/>
        <v>0</v>
      </c>
      <c r="N23" s="106" t="str">
        <f t="shared" si="12"/>
        <v>¥0</v>
      </c>
      <c r="O23" s="107"/>
      <c r="P23" s="104">
        <f t="shared" si="19"/>
        <v>0</v>
      </c>
      <c r="Q23" s="104">
        <f t="shared" si="20"/>
        <v>0</v>
      </c>
      <c r="R23" s="108">
        <f t="shared" si="13"/>
        <v>0</v>
      </c>
      <c r="S23" s="109">
        <f t="shared" si="14"/>
        <v>0</v>
      </c>
      <c r="T23" s="110"/>
      <c r="U23" s="104">
        <f t="shared" si="21"/>
        <v>0</v>
      </c>
      <c r="V23" s="104">
        <f t="shared" si="22"/>
        <v>0</v>
      </c>
      <c r="W23" s="111">
        <f t="shared" si="15"/>
        <v>0</v>
      </c>
      <c r="X23" s="112">
        <f t="shared" si="16"/>
        <v>0</v>
      </c>
      <c r="Y23" s="113">
        <f t="shared" ref="Y23:Z23" si="24">Y22+1</f>
        <v>45660</v>
      </c>
      <c r="Z23" s="114">
        <f t="shared" si="24"/>
        <v>45660</v>
      </c>
      <c r="AA23" s="115">
        <v>1</v>
      </c>
      <c r="AB23" s="120" t="s">
        <v>7</v>
      </c>
      <c r="AC23" s="117">
        <f>IFERROR(AVERAGEIFS(J21:J51,D21:D51,1,G21:G51,"wed"),0)</f>
        <v>83862.5</v>
      </c>
      <c r="AD23" s="118">
        <f>COUNTIFS(D21:D51,1,G21:G51,"wed")</f>
        <v>4</v>
      </c>
      <c r="AE23" s="117">
        <f>IFERROR(($I$7*[1]リトローボ_実績_2024R6!AI22)/AD23,0)</f>
        <v>0</v>
      </c>
      <c r="AF23" s="117">
        <f t="shared" si="17"/>
        <v>0</v>
      </c>
      <c r="AG23" s="119"/>
    </row>
    <row r="24" spans="1:33" ht="16.5" customHeight="1">
      <c r="A24" s="39"/>
      <c r="B24" s="51"/>
      <c r="C24" s="95">
        <v>4</v>
      </c>
      <c r="D24" s="96">
        <v>0</v>
      </c>
      <c r="E24" s="97">
        <f t="shared" si="8"/>
        <v>1</v>
      </c>
      <c r="F24" s="98">
        <f t="shared" si="18"/>
        <v>45661</v>
      </c>
      <c r="G24" s="99" t="str">
        <f t="shared" si="9"/>
        <v>Sat</v>
      </c>
      <c r="H24" s="100"/>
      <c r="I24" s="101"/>
      <c r="J24" s="102"/>
      <c r="K24" s="103"/>
      <c r="L24" s="104">
        <f t="shared" si="10"/>
        <v>0</v>
      </c>
      <c r="M24" s="105">
        <f t="shared" si="11"/>
        <v>0</v>
      </c>
      <c r="N24" s="106" t="str">
        <f t="shared" si="12"/>
        <v>¥0</v>
      </c>
      <c r="O24" s="107"/>
      <c r="P24" s="104">
        <f t="shared" si="19"/>
        <v>0</v>
      </c>
      <c r="Q24" s="104">
        <f t="shared" si="20"/>
        <v>0</v>
      </c>
      <c r="R24" s="108">
        <f t="shared" si="13"/>
        <v>0</v>
      </c>
      <c r="S24" s="109">
        <f t="shared" si="14"/>
        <v>0</v>
      </c>
      <c r="T24" s="122"/>
      <c r="U24" s="104">
        <f t="shared" si="21"/>
        <v>0</v>
      </c>
      <c r="V24" s="104">
        <f t="shared" si="22"/>
        <v>0</v>
      </c>
      <c r="W24" s="111">
        <f t="shared" si="15"/>
        <v>0</v>
      </c>
      <c r="X24" s="112">
        <f t="shared" si="16"/>
        <v>0</v>
      </c>
      <c r="Y24" s="113">
        <f t="shared" ref="Y24:Z24" si="25">Y23+1</f>
        <v>45661</v>
      </c>
      <c r="Z24" s="114">
        <f t="shared" si="25"/>
        <v>45661</v>
      </c>
      <c r="AA24" s="115">
        <v>1</v>
      </c>
      <c r="AB24" s="120" t="s">
        <v>8</v>
      </c>
      <c r="AC24" s="117">
        <f>IFERROR(AVERAGEIFS(J21:J51,D21:D51,1,G21:G51,"thu"),0)</f>
        <v>78475</v>
      </c>
      <c r="AD24" s="118">
        <f>COUNTIFS(D21:D51,1,G21:G51,"thu")</f>
        <v>4</v>
      </c>
      <c r="AE24" s="117">
        <f>($I$7*[1]リトローボ_実績_2024R6!AI23)/AD24</f>
        <v>0</v>
      </c>
      <c r="AF24" s="117">
        <f t="shared" si="17"/>
        <v>0</v>
      </c>
      <c r="AG24" s="119"/>
    </row>
    <row r="25" spans="1:33" ht="16.5" customHeight="1">
      <c r="A25" s="39"/>
      <c r="B25" s="51"/>
      <c r="C25" s="95">
        <v>5</v>
      </c>
      <c r="D25" s="96">
        <v>0</v>
      </c>
      <c r="E25" s="97">
        <f t="shared" si="8"/>
        <v>1</v>
      </c>
      <c r="F25" s="98">
        <f t="shared" si="18"/>
        <v>45662</v>
      </c>
      <c r="G25" s="99" t="str">
        <f t="shared" si="9"/>
        <v>Sun</v>
      </c>
      <c r="H25" s="100"/>
      <c r="I25" s="101"/>
      <c r="J25" s="102"/>
      <c r="K25" s="103"/>
      <c r="L25" s="104">
        <f t="shared" si="10"/>
        <v>0</v>
      </c>
      <c r="M25" s="105">
        <f t="shared" si="11"/>
        <v>0</v>
      </c>
      <c r="N25" s="106" t="str">
        <f t="shared" si="12"/>
        <v>¥0</v>
      </c>
      <c r="O25" s="107"/>
      <c r="P25" s="104">
        <f t="shared" si="19"/>
        <v>0</v>
      </c>
      <c r="Q25" s="104">
        <f t="shared" si="20"/>
        <v>0</v>
      </c>
      <c r="R25" s="108">
        <f t="shared" si="13"/>
        <v>0</v>
      </c>
      <c r="S25" s="109">
        <f t="shared" si="14"/>
        <v>0</v>
      </c>
      <c r="T25" s="110"/>
      <c r="U25" s="104">
        <f t="shared" si="21"/>
        <v>0</v>
      </c>
      <c r="V25" s="104">
        <f t="shared" si="22"/>
        <v>0</v>
      </c>
      <c r="W25" s="111">
        <f t="shared" si="15"/>
        <v>0</v>
      </c>
      <c r="X25" s="112">
        <f t="shared" si="16"/>
        <v>0</v>
      </c>
      <c r="Y25" s="113">
        <f t="shared" ref="Y25:Z25" si="26">Y24+1</f>
        <v>45662</v>
      </c>
      <c r="Z25" s="114">
        <f t="shared" si="26"/>
        <v>45662</v>
      </c>
      <c r="AA25" s="115">
        <v>1</v>
      </c>
      <c r="AB25" s="120" t="s">
        <v>9</v>
      </c>
      <c r="AC25" s="117">
        <f>IFERROR(AVERAGEIFS(J21:J51,D21:D51,1,G21:G51,"fri"),0)</f>
        <v>108412.5</v>
      </c>
      <c r="AD25" s="118">
        <f>COUNTIFS(D21:D51,1,G21:G51,"fri")</f>
        <v>4</v>
      </c>
      <c r="AE25" s="117">
        <f>($I$7*[1]リトローボ_実績_2024R6!AI24)/AD25</f>
        <v>0</v>
      </c>
      <c r="AF25" s="117">
        <f t="shared" si="17"/>
        <v>0</v>
      </c>
      <c r="AG25" s="119"/>
    </row>
    <row r="26" spans="1:33" ht="16.5" customHeight="1">
      <c r="A26" s="39"/>
      <c r="B26" s="51"/>
      <c r="C26" s="95">
        <v>6</v>
      </c>
      <c r="D26" s="96">
        <v>0</v>
      </c>
      <c r="E26" s="97">
        <f t="shared" si="8"/>
        <v>1</v>
      </c>
      <c r="F26" s="98">
        <f t="shared" si="18"/>
        <v>45663</v>
      </c>
      <c r="G26" s="99" t="str">
        <f t="shared" si="9"/>
        <v>Mon</v>
      </c>
      <c r="H26" s="100"/>
      <c r="I26" s="101"/>
      <c r="J26" s="123"/>
      <c r="K26" s="124"/>
      <c r="L26" s="104">
        <f t="shared" si="10"/>
        <v>0</v>
      </c>
      <c r="M26" s="105">
        <f t="shared" si="11"/>
        <v>0</v>
      </c>
      <c r="N26" s="106" t="str">
        <f t="shared" si="12"/>
        <v>¥0</v>
      </c>
      <c r="O26" s="107"/>
      <c r="P26" s="104">
        <f t="shared" si="19"/>
        <v>0</v>
      </c>
      <c r="Q26" s="104">
        <f t="shared" si="20"/>
        <v>0</v>
      </c>
      <c r="R26" s="108">
        <f t="shared" si="13"/>
        <v>0</v>
      </c>
      <c r="S26" s="109">
        <f t="shared" si="14"/>
        <v>0</v>
      </c>
      <c r="T26" s="125"/>
      <c r="U26" s="104">
        <f t="shared" si="21"/>
        <v>0</v>
      </c>
      <c r="V26" s="104">
        <f t="shared" si="22"/>
        <v>0</v>
      </c>
      <c r="W26" s="111">
        <f t="shared" si="15"/>
        <v>0</v>
      </c>
      <c r="X26" s="112">
        <f t="shared" si="16"/>
        <v>0</v>
      </c>
      <c r="Y26" s="113">
        <f t="shared" ref="Y26:Z26" si="27">Y25+1</f>
        <v>45663</v>
      </c>
      <c r="Z26" s="114">
        <f t="shared" si="27"/>
        <v>45663</v>
      </c>
      <c r="AA26" s="115">
        <v>1</v>
      </c>
      <c r="AB26" s="120" t="s">
        <v>10</v>
      </c>
      <c r="AC26" s="117">
        <f>IFERROR(AVERAGEIFS(J21:J51,D21:D51,1,G21:G51,"sat"),0)</f>
        <v>62316.666666666664</v>
      </c>
      <c r="AD26" s="118">
        <f>COUNTIFS(D21:D51,1,G21:G51,"sat")</f>
        <v>3</v>
      </c>
      <c r="AE26" s="117">
        <f>($I$7*[1]リトローボ_実績_2024R6!AI25)/AD26</f>
        <v>0</v>
      </c>
      <c r="AF26" s="117">
        <f t="shared" si="17"/>
        <v>0</v>
      </c>
      <c r="AG26" s="126" t="s">
        <v>92</v>
      </c>
    </row>
    <row r="27" spans="1:33" ht="16.5" customHeight="1">
      <c r="A27" s="39"/>
      <c r="B27" s="51"/>
      <c r="C27" s="95">
        <v>7</v>
      </c>
      <c r="D27" s="96">
        <v>1</v>
      </c>
      <c r="E27" s="97">
        <f t="shared" si="8"/>
        <v>1</v>
      </c>
      <c r="F27" s="98">
        <f t="shared" si="18"/>
        <v>45664</v>
      </c>
      <c r="G27" s="99" t="str">
        <f t="shared" si="9"/>
        <v>Tue</v>
      </c>
      <c r="H27" s="100"/>
      <c r="I27" s="101"/>
      <c r="J27" s="123">
        <v>47550</v>
      </c>
      <c r="K27" s="124"/>
      <c r="L27" s="104">
        <f t="shared" si="10"/>
        <v>87628.865979381444</v>
      </c>
      <c r="M27" s="105">
        <f t="shared" si="11"/>
        <v>-40078.865979381444</v>
      </c>
      <c r="N27" s="106">
        <f t="shared" si="12"/>
        <v>0.54262941176470592</v>
      </c>
      <c r="O27" s="107"/>
      <c r="P27" s="104">
        <f t="shared" si="19"/>
        <v>87628.865979381444</v>
      </c>
      <c r="Q27" s="104">
        <f t="shared" si="20"/>
        <v>47550</v>
      </c>
      <c r="R27" s="108">
        <f t="shared" si="13"/>
        <v>-40078.865979381444</v>
      </c>
      <c r="S27" s="109">
        <f t="shared" si="14"/>
        <v>0.54262941176470592</v>
      </c>
      <c r="T27" s="125"/>
      <c r="U27" s="104">
        <f t="shared" si="21"/>
        <v>87628.865979381444</v>
      </c>
      <c r="V27" s="104">
        <f t="shared" si="22"/>
        <v>47550</v>
      </c>
      <c r="W27" s="111">
        <f t="shared" si="15"/>
        <v>-40078.865979381444</v>
      </c>
      <c r="X27" s="112">
        <f t="shared" si="16"/>
        <v>0.54262941176470592</v>
      </c>
      <c r="Y27" s="113">
        <f t="shared" ref="Y27:Z27" si="28">Y26+1</f>
        <v>45664</v>
      </c>
      <c r="Z27" s="114">
        <f t="shared" si="28"/>
        <v>45664</v>
      </c>
      <c r="AA27" s="115">
        <v>1</v>
      </c>
      <c r="AB27" s="120" t="s">
        <v>11</v>
      </c>
      <c r="AC27" s="117">
        <f>IFERROR(AVERAGEIFS(J21:J51,D21:D51,1,G21:G51,"sun"),0)</f>
        <v>76250</v>
      </c>
      <c r="AD27" s="118">
        <f>IFERROR(COUNTIFS(D21:D51,1,G21:G51,"sun"),0)</f>
        <v>2</v>
      </c>
      <c r="AE27" s="117">
        <f>IFERROR(($I$7*[1]リトローボ_実績_2024R6!AI26)/AD27,0)</f>
        <v>0</v>
      </c>
      <c r="AF27" s="127">
        <f>SUM(AF21:AF26)</f>
        <v>0</v>
      </c>
      <c r="AG27" s="128">
        <f>I7</f>
        <v>1927835.0515463918</v>
      </c>
    </row>
    <row r="28" spans="1:33" ht="16.5" customHeight="1">
      <c r="A28" s="39"/>
      <c r="B28" s="51"/>
      <c r="C28" s="95">
        <v>8</v>
      </c>
      <c r="D28" s="96">
        <v>1</v>
      </c>
      <c r="E28" s="97">
        <f t="shared" si="8"/>
        <v>1</v>
      </c>
      <c r="F28" s="98">
        <f t="shared" si="18"/>
        <v>45665</v>
      </c>
      <c r="G28" s="99" t="str">
        <f t="shared" si="9"/>
        <v>Wed</v>
      </c>
      <c r="H28" s="100"/>
      <c r="I28" s="101"/>
      <c r="J28" s="123">
        <v>36950</v>
      </c>
      <c r="K28" s="124"/>
      <c r="L28" s="104">
        <f t="shared" si="10"/>
        <v>87628.865979381444</v>
      </c>
      <c r="M28" s="105">
        <f t="shared" si="11"/>
        <v>-50678.865979381444</v>
      </c>
      <c r="N28" s="106">
        <f t="shared" si="12"/>
        <v>0.42166470588235294</v>
      </c>
      <c r="O28" s="107"/>
      <c r="P28" s="104">
        <f t="shared" si="19"/>
        <v>175257.73195876289</v>
      </c>
      <c r="Q28" s="104">
        <f t="shared" si="20"/>
        <v>84500</v>
      </c>
      <c r="R28" s="108">
        <f t="shared" si="13"/>
        <v>-90757.731958762888</v>
      </c>
      <c r="S28" s="109">
        <f t="shared" si="14"/>
        <v>0.48214705882352943</v>
      </c>
      <c r="T28" s="125"/>
      <c r="U28" s="104">
        <f t="shared" si="21"/>
        <v>175257.73195876289</v>
      </c>
      <c r="V28" s="104">
        <f t="shared" si="22"/>
        <v>84500</v>
      </c>
      <c r="W28" s="111">
        <f t="shared" si="15"/>
        <v>-90757.731958762888</v>
      </c>
      <c r="X28" s="112">
        <f t="shared" si="16"/>
        <v>0.48214705882352943</v>
      </c>
      <c r="Y28" s="113">
        <f t="shared" ref="Y28:Z28" si="29">Y27+1</f>
        <v>45665</v>
      </c>
      <c r="Z28" s="114">
        <f t="shared" si="29"/>
        <v>45665</v>
      </c>
      <c r="AA28" s="115">
        <v>2</v>
      </c>
      <c r="AB28" s="116" t="s">
        <v>93</v>
      </c>
      <c r="AC28" s="117">
        <f>IFERROR(AVERAGEIFS(J52:J79,D52:D79,1,G52:G79,"mon"),0)</f>
        <v>0</v>
      </c>
      <c r="AD28" s="118">
        <f>COUNTIFS(D52:D79,1,G52:G79,"Mon")</f>
        <v>0</v>
      </c>
      <c r="AE28" s="117">
        <f>IFERROR(($I$8*[1]リトローボ_実績_2024R6!AI27)/AD28,0)</f>
        <v>0</v>
      </c>
      <c r="AF28" s="117">
        <f t="shared" ref="AF28:AF33" si="30">AD28*AE28</f>
        <v>0</v>
      </c>
      <c r="AG28" s="119" t="s">
        <v>94</v>
      </c>
    </row>
    <row r="29" spans="1:33" ht="16.5" customHeight="1">
      <c r="A29" s="39"/>
      <c r="B29" s="51"/>
      <c r="C29" s="95">
        <v>9</v>
      </c>
      <c r="D29" s="96">
        <v>1</v>
      </c>
      <c r="E29" s="97">
        <f t="shared" si="8"/>
        <v>1</v>
      </c>
      <c r="F29" s="98">
        <f t="shared" si="18"/>
        <v>45666</v>
      </c>
      <c r="G29" s="99" t="str">
        <f t="shared" si="9"/>
        <v>Thu</v>
      </c>
      <c r="H29" s="100"/>
      <c r="I29" s="101"/>
      <c r="J29" s="123">
        <v>71250</v>
      </c>
      <c r="K29" s="124"/>
      <c r="L29" s="104">
        <f t="shared" si="10"/>
        <v>87628.865979381444</v>
      </c>
      <c r="M29" s="105">
        <f t="shared" si="11"/>
        <v>-16378.865979381444</v>
      </c>
      <c r="N29" s="106">
        <f t="shared" si="12"/>
        <v>0.81308823529411767</v>
      </c>
      <c r="O29" s="107"/>
      <c r="P29" s="104">
        <f t="shared" si="19"/>
        <v>262886.59793814435</v>
      </c>
      <c r="Q29" s="104">
        <f t="shared" si="20"/>
        <v>155750</v>
      </c>
      <c r="R29" s="108">
        <f t="shared" si="13"/>
        <v>-107136.59793814435</v>
      </c>
      <c r="S29" s="109">
        <f t="shared" si="14"/>
        <v>0.5924607843137254</v>
      </c>
      <c r="T29" s="125"/>
      <c r="U29" s="104">
        <f t="shared" si="21"/>
        <v>262886.59793814435</v>
      </c>
      <c r="V29" s="104">
        <f t="shared" si="22"/>
        <v>155750</v>
      </c>
      <c r="W29" s="111">
        <f t="shared" si="15"/>
        <v>-107136.59793814435</v>
      </c>
      <c r="X29" s="112">
        <f t="shared" si="16"/>
        <v>0.5924607843137254</v>
      </c>
      <c r="Y29" s="113">
        <f t="shared" ref="Y29:Z29" si="31">Y28+1</f>
        <v>45666</v>
      </c>
      <c r="Z29" s="114">
        <f t="shared" si="31"/>
        <v>45666</v>
      </c>
      <c r="AA29" s="115">
        <v>2</v>
      </c>
      <c r="AB29" s="120" t="s">
        <v>95</v>
      </c>
      <c r="AC29" s="117">
        <f>IFERROR(AVERAGEIFS(J53:J80,D53:D80,1,G53:G80,"tue"),0)</f>
        <v>56766.666666666664</v>
      </c>
      <c r="AD29" s="118">
        <f>COUNTIFS(D52:D79,1,G52:G79,"tue")</f>
        <v>3</v>
      </c>
      <c r="AE29" s="117">
        <f>($I$8*[1]リトローボ_実績_2024R6!AI28)/AD29</f>
        <v>0</v>
      </c>
      <c r="AF29" s="117">
        <f t="shared" si="30"/>
        <v>0</v>
      </c>
      <c r="AG29" s="119"/>
    </row>
    <row r="30" spans="1:33" ht="16.5" customHeight="1">
      <c r="A30" s="39"/>
      <c r="B30" s="51"/>
      <c r="C30" s="95">
        <v>10</v>
      </c>
      <c r="D30" s="96">
        <v>1</v>
      </c>
      <c r="E30" s="97">
        <f t="shared" si="8"/>
        <v>1</v>
      </c>
      <c r="F30" s="98">
        <f t="shared" si="18"/>
        <v>45667</v>
      </c>
      <c r="G30" s="99" t="str">
        <f t="shared" si="9"/>
        <v>Fri</v>
      </c>
      <c r="H30" s="100"/>
      <c r="I30" s="101"/>
      <c r="J30" s="123">
        <v>127150</v>
      </c>
      <c r="K30" s="124"/>
      <c r="L30" s="104">
        <f t="shared" si="10"/>
        <v>87628.865979381444</v>
      </c>
      <c r="M30" s="105">
        <f t="shared" si="11"/>
        <v>39521.134020618556</v>
      </c>
      <c r="N30" s="106">
        <f t="shared" si="12"/>
        <v>1.4510058823529413</v>
      </c>
      <c r="O30" s="107"/>
      <c r="P30" s="104">
        <f t="shared" si="19"/>
        <v>350515.46391752578</v>
      </c>
      <c r="Q30" s="104">
        <f t="shared" si="20"/>
        <v>282900</v>
      </c>
      <c r="R30" s="108">
        <f t="shared" si="13"/>
        <v>-67615.463917525776</v>
      </c>
      <c r="S30" s="109">
        <f t="shared" si="14"/>
        <v>0.80709705882352945</v>
      </c>
      <c r="T30" s="125"/>
      <c r="U30" s="104">
        <f t="shared" si="21"/>
        <v>350515.46391752578</v>
      </c>
      <c r="V30" s="104">
        <f t="shared" si="22"/>
        <v>282900</v>
      </c>
      <c r="W30" s="111">
        <f t="shared" si="15"/>
        <v>-67615.463917525776</v>
      </c>
      <c r="X30" s="112">
        <f t="shared" si="16"/>
        <v>0.80709705882352945</v>
      </c>
      <c r="Y30" s="113">
        <f t="shared" ref="Y30:Z30" si="32">Y29+1</f>
        <v>45667</v>
      </c>
      <c r="Z30" s="114">
        <f t="shared" si="32"/>
        <v>45667</v>
      </c>
      <c r="AA30" s="115">
        <v>2</v>
      </c>
      <c r="AB30" s="120" t="s">
        <v>96</v>
      </c>
      <c r="AC30" s="117">
        <f>IFERROR(AVERAGEIFS(J52:J79,D52:D79,1,G52:G79,"wed"),0)</f>
        <v>68750</v>
      </c>
      <c r="AD30" s="118">
        <f>COUNTIFS(D52:D79,1,G52:G79,"wed")</f>
        <v>4</v>
      </c>
      <c r="AE30" s="117">
        <f>($I$8*[1]リトローボ_実績_2024R6!AI29)/AD30</f>
        <v>0</v>
      </c>
      <c r="AF30" s="117">
        <f t="shared" si="30"/>
        <v>0</v>
      </c>
      <c r="AG30" s="119"/>
    </row>
    <row r="31" spans="1:33" ht="16.5" customHeight="1">
      <c r="A31" s="39"/>
      <c r="B31" s="51"/>
      <c r="C31" s="95">
        <v>11</v>
      </c>
      <c r="D31" s="96">
        <v>1</v>
      </c>
      <c r="E31" s="97">
        <f t="shared" si="8"/>
        <v>1</v>
      </c>
      <c r="F31" s="98">
        <f t="shared" si="18"/>
        <v>45668</v>
      </c>
      <c r="G31" s="99" t="str">
        <f t="shared" si="9"/>
        <v>Sat</v>
      </c>
      <c r="H31" s="100"/>
      <c r="I31" s="101"/>
      <c r="J31" s="123">
        <v>96850</v>
      </c>
      <c r="K31" s="124"/>
      <c r="L31" s="104">
        <f t="shared" si="10"/>
        <v>87628.865979381444</v>
      </c>
      <c r="M31" s="105">
        <f t="shared" si="11"/>
        <v>9221.134020618556</v>
      </c>
      <c r="N31" s="106">
        <f t="shared" si="12"/>
        <v>1.1052294117647059</v>
      </c>
      <c r="O31" s="107"/>
      <c r="P31" s="104">
        <f t="shared" si="19"/>
        <v>438144.32989690721</v>
      </c>
      <c r="Q31" s="104">
        <f t="shared" si="20"/>
        <v>379750</v>
      </c>
      <c r="R31" s="108">
        <f t="shared" si="13"/>
        <v>-58394.329896907206</v>
      </c>
      <c r="S31" s="109">
        <f t="shared" si="14"/>
        <v>0.86672352941176478</v>
      </c>
      <c r="T31" s="125"/>
      <c r="U31" s="104">
        <f t="shared" si="21"/>
        <v>438144.32989690721</v>
      </c>
      <c r="V31" s="104">
        <f t="shared" si="22"/>
        <v>379750</v>
      </c>
      <c r="W31" s="111">
        <f t="shared" si="15"/>
        <v>-58394.329896907206</v>
      </c>
      <c r="X31" s="112">
        <f t="shared" si="16"/>
        <v>0.86672352941176478</v>
      </c>
      <c r="Y31" s="113">
        <f t="shared" ref="Y31:Z31" si="33">Y30+1</f>
        <v>45668</v>
      </c>
      <c r="Z31" s="114">
        <f t="shared" si="33"/>
        <v>45668</v>
      </c>
      <c r="AA31" s="115">
        <v>2</v>
      </c>
      <c r="AB31" s="120" t="s">
        <v>97</v>
      </c>
      <c r="AC31" s="117">
        <f>IFERROR(AVERAGEIFS(J52:J79,D52:D79,1,G52:G79,"thu"),0)</f>
        <v>89987.5</v>
      </c>
      <c r="AD31" s="118">
        <f>COUNTIFS(D52:D79,1,G52:G79,"thu")</f>
        <v>4</v>
      </c>
      <c r="AE31" s="117">
        <f>($I$8*[1]リトローボ_実績_2024R6!AI30)/AD31</f>
        <v>0</v>
      </c>
      <c r="AF31" s="117">
        <f t="shared" si="30"/>
        <v>0</v>
      </c>
      <c r="AG31" s="119"/>
    </row>
    <row r="32" spans="1:33" ht="16.5" customHeight="1">
      <c r="A32" s="39"/>
      <c r="B32" s="51"/>
      <c r="C32" s="95">
        <v>12</v>
      </c>
      <c r="D32" s="96">
        <v>0</v>
      </c>
      <c r="E32" s="97">
        <f t="shared" si="8"/>
        <v>1</v>
      </c>
      <c r="F32" s="98">
        <f t="shared" si="18"/>
        <v>45669</v>
      </c>
      <c r="G32" s="99" t="str">
        <f t="shared" si="9"/>
        <v>Sun</v>
      </c>
      <c r="H32" s="100" t="s">
        <v>98</v>
      </c>
      <c r="I32" s="101"/>
      <c r="J32" s="129"/>
      <c r="K32" s="130"/>
      <c r="L32" s="104">
        <f t="shared" si="10"/>
        <v>0</v>
      </c>
      <c r="M32" s="105">
        <f t="shared" si="11"/>
        <v>0</v>
      </c>
      <c r="N32" s="106" t="str">
        <f t="shared" si="12"/>
        <v>¥0</v>
      </c>
      <c r="O32" s="107"/>
      <c r="P32" s="104">
        <f t="shared" si="19"/>
        <v>0</v>
      </c>
      <c r="Q32" s="104">
        <f t="shared" si="20"/>
        <v>0</v>
      </c>
      <c r="R32" s="108">
        <f t="shared" si="13"/>
        <v>0</v>
      </c>
      <c r="S32" s="109">
        <f t="shared" si="14"/>
        <v>0</v>
      </c>
      <c r="T32" s="131"/>
      <c r="U32" s="104">
        <f t="shared" si="21"/>
        <v>0</v>
      </c>
      <c r="V32" s="104">
        <f t="shared" si="22"/>
        <v>0</v>
      </c>
      <c r="W32" s="111">
        <f t="shared" si="15"/>
        <v>0</v>
      </c>
      <c r="X32" s="112">
        <f t="shared" si="16"/>
        <v>0</v>
      </c>
      <c r="Y32" s="113">
        <f t="shared" ref="Y32:Z32" si="34">Y31+1</f>
        <v>45669</v>
      </c>
      <c r="Z32" s="114">
        <f t="shared" si="34"/>
        <v>45669</v>
      </c>
      <c r="AA32" s="115">
        <v>2</v>
      </c>
      <c r="AB32" s="120" t="s">
        <v>99</v>
      </c>
      <c r="AC32" s="117">
        <f>IFERROR(AVERAGEIFS(J52:J79,D52:D79,1,G52:G79,"fri"),0)</f>
        <v>97600</v>
      </c>
      <c r="AD32" s="118">
        <f>COUNTIFS(D52:D79,1,G52:G79,"fri")</f>
        <v>4</v>
      </c>
      <c r="AE32" s="117">
        <f>($I$8*[1]リトローボ_実績_2024R6!AI31)/AD32</f>
        <v>0</v>
      </c>
      <c r="AF32" s="117">
        <f t="shared" si="30"/>
        <v>0</v>
      </c>
      <c r="AG32" s="119"/>
    </row>
    <row r="33" spans="1:33" ht="16.5" customHeight="1">
      <c r="A33" s="39"/>
      <c r="B33" s="50"/>
      <c r="C33" s="95">
        <v>13</v>
      </c>
      <c r="D33" s="96">
        <v>0</v>
      </c>
      <c r="E33" s="97">
        <f t="shared" si="8"/>
        <v>1</v>
      </c>
      <c r="F33" s="98">
        <f t="shared" si="18"/>
        <v>45670</v>
      </c>
      <c r="G33" s="99" t="str">
        <f t="shared" si="9"/>
        <v>Mon</v>
      </c>
      <c r="H33" s="100"/>
      <c r="I33" s="101"/>
      <c r="J33" s="129"/>
      <c r="K33" s="130"/>
      <c r="L33" s="104">
        <f t="shared" si="10"/>
        <v>0</v>
      </c>
      <c r="M33" s="105">
        <f t="shared" si="11"/>
        <v>0</v>
      </c>
      <c r="N33" s="106" t="str">
        <f t="shared" si="12"/>
        <v>¥0</v>
      </c>
      <c r="O33" s="107"/>
      <c r="P33" s="104">
        <f t="shared" si="19"/>
        <v>0</v>
      </c>
      <c r="Q33" s="104">
        <f t="shared" si="20"/>
        <v>0</v>
      </c>
      <c r="R33" s="108">
        <f t="shared" si="13"/>
        <v>0</v>
      </c>
      <c r="S33" s="109">
        <f t="shared" si="14"/>
        <v>0</v>
      </c>
      <c r="T33" s="131"/>
      <c r="U33" s="104">
        <f t="shared" si="21"/>
        <v>0</v>
      </c>
      <c r="V33" s="104">
        <f t="shared" si="22"/>
        <v>0</v>
      </c>
      <c r="W33" s="111">
        <f t="shared" si="15"/>
        <v>0</v>
      </c>
      <c r="X33" s="112">
        <f t="shared" si="16"/>
        <v>0</v>
      </c>
      <c r="Y33" s="113">
        <f t="shared" ref="Y33:Z33" si="35">Y32+1</f>
        <v>45670</v>
      </c>
      <c r="Z33" s="114">
        <f t="shared" si="35"/>
        <v>45670</v>
      </c>
      <c r="AA33" s="115">
        <v>2</v>
      </c>
      <c r="AB33" s="120" t="s">
        <v>100</v>
      </c>
      <c r="AC33" s="117">
        <f>IFERROR(AVERAGEIFS(J52:J79,D52:D79,1,G52:G79,"sat"),0)</f>
        <v>76175</v>
      </c>
      <c r="AD33" s="118">
        <f>COUNTIFS(D52:D79,1,G52:G79,"sat")</f>
        <v>4</v>
      </c>
      <c r="AE33" s="117">
        <f>($I$8*[1]リトローボ_実績_2024R6!AI32)/AD33</f>
        <v>0</v>
      </c>
      <c r="AF33" s="117">
        <f t="shared" si="30"/>
        <v>0</v>
      </c>
      <c r="AG33" s="126" t="s">
        <v>101</v>
      </c>
    </row>
    <row r="34" spans="1:33" ht="16.5" customHeight="1">
      <c r="A34" s="39"/>
      <c r="B34" s="50"/>
      <c r="C34" s="95">
        <v>14</v>
      </c>
      <c r="D34" s="96">
        <v>1</v>
      </c>
      <c r="E34" s="97">
        <f t="shared" si="8"/>
        <v>1</v>
      </c>
      <c r="F34" s="98">
        <f t="shared" si="18"/>
        <v>45671</v>
      </c>
      <c r="G34" s="99" t="str">
        <f t="shared" si="9"/>
        <v>Tue</v>
      </c>
      <c r="H34" s="100"/>
      <c r="I34" s="101"/>
      <c r="J34" s="123">
        <v>48100</v>
      </c>
      <c r="K34" s="124"/>
      <c r="L34" s="104">
        <f t="shared" si="10"/>
        <v>87628.865979381444</v>
      </c>
      <c r="M34" s="105">
        <f t="shared" si="11"/>
        <v>-39528.865979381444</v>
      </c>
      <c r="N34" s="106">
        <f t="shared" si="12"/>
        <v>0.54890588235294113</v>
      </c>
      <c r="O34" s="107"/>
      <c r="P34" s="104">
        <f t="shared" si="19"/>
        <v>525773.19587628869</v>
      </c>
      <c r="Q34" s="104">
        <f t="shared" si="20"/>
        <v>427850</v>
      </c>
      <c r="R34" s="108">
        <f t="shared" si="13"/>
        <v>-97923.195876288693</v>
      </c>
      <c r="S34" s="109">
        <f t="shared" si="14"/>
        <v>0.81375392156862736</v>
      </c>
      <c r="T34" s="125"/>
      <c r="U34" s="104">
        <f t="shared" si="21"/>
        <v>525773.19587628869</v>
      </c>
      <c r="V34" s="104">
        <f t="shared" si="22"/>
        <v>427850</v>
      </c>
      <c r="W34" s="111">
        <f t="shared" si="15"/>
        <v>-97923.195876288693</v>
      </c>
      <c r="X34" s="112">
        <f t="shared" si="16"/>
        <v>0.81375392156862736</v>
      </c>
      <c r="Y34" s="113">
        <f t="shared" ref="Y34:Z34" si="36">Y33+1</f>
        <v>45671</v>
      </c>
      <c r="Z34" s="114">
        <f t="shared" si="36"/>
        <v>45671</v>
      </c>
      <c r="AA34" s="115">
        <v>2</v>
      </c>
      <c r="AB34" s="120" t="s">
        <v>102</v>
      </c>
      <c r="AC34" s="117">
        <f>IFERROR(AVERAGEIFS(J52:J79,D52:D79,1,G52:G79,"sun"),0)</f>
        <v>80487.5</v>
      </c>
      <c r="AD34" s="118">
        <f>IFERROR(COUNTIFS(D52:D79,1,G52:G79,"sun"),0)</f>
        <v>4</v>
      </c>
      <c r="AE34" s="117">
        <f>IFERROR(($I$8*[1]リトローボ_実績_2024R6!AI33)/AD34,0)</f>
        <v>0</v>
      </c>
      <c r="AF34" s="127">
        <f>SUM(AF28:AF33)</f>
        <v>0</v>
      </c>
      <c r="AG34" s="128">
        <f>I8</f>
        <v>2015463.9175257734</v>
      </c>
    </row>
    <row r="35" spans="1:33" ht="16.5" customHeight="1">
      <c r="A35" s="39"/>
      <c r="B35" s="50"/>
      <c r="C35" s="95">
        <v>15</v>
      </c>
      <c r="D35" s="96">
        <v>1</v>
      </c>
      <c r="E35" s="97">
        <f t="shared" si="8"/>
        <v>1</v>
      </c>
      <c r="F35" s="98">
        <f t="shared" si="18"/>
        <v>45672</v>
      </c>
      <c r="G35" s="99" t="str">
        <f t="shared" si="9"/>
        <v>Wed</v>
      </c>
      <c r="H35" s="100"/>
      <c r="I35" s="101"/>
      <c r="J35" s="123">
        <v>86400</v>
      </c>
      <c r="K35" s="124"/>
      <c r="L35" s="104">
        <f t="shared" si="10"/>
        <v>87628.865979381444</v>
      </c>
      <c r="M35" s="105">
        <f t="shared" si="11"/>
        <v>-1228.865979381444</v>
      </c>
      <c r="N35" s="106">
        <f t="shared" si="12"/>
        <v>0.98597647058823523</v>
      </c>
      <c r="O35" s="107"/>
      <c r="P35" s="104">
        <f t="shared" si="19"/>
        <v>613402.06185567018</v>
      </c>
      <c r="Q35" s="104">
        <f t="shared" si="20"/>
        <v>514250</v>
      </c>
      <c r="R35" s="108">
        <f t="shared" si="13"/>
        <v>-99152.061855670181</v>
      </c>
      <c r="S35" s="109">
        <f t="shared" si="14"/>
        <v>0.8383571428571428</v>
      </c>
      <c r="T35" s="125"/>
      <c r="U35" s="104">
        <f t="shared" si="21"/>
        <v>613402.06185567018</v>
      </c>
      <c r="V35" s="104">
        <f t="shared" si="22"/>
        <v>514250</v>
      </c>
      <c r="W35" s="111">
        <f t="shared" si="15"/>
        <v>-99152.061855670181</v>
      </c>
      <c r="X35" s="112">
        <f t="shared" si="16"/>
        <v>0.8383571428571428</v>
      </c>
      <c r="Y35" s="113">
        <f t="shared" ref="Y35:Z35" si="37">Y34+1</f>
        <v>45672</v>
      </c>
      <c r="Z35" s="114">
        <f t="shared" si="37"/>
        <v>45672</v>
      </c>
      <c r="AA35" s="115">
        <v>3</v>
      </c>
      <c r="AB35" s="116" t="s">
        <v>93</v>
      </c>
      <c r="AC35" s="117">
        <f>IFERROR(AVERAGEIFS(J80:J110,D80:D110,1,G80:G110,"mon"),0)</f>
        <v>0</v>
      </c>
      <c r="AD35" s="118">
        <f>COUNTIFS(D80:D110,1,G80:G110,"Mon")</f>
        <v>0</v>
      </c>
      <c r="AE35" s="117">
        <f>IFERROR(($I$9*[1]リトローボ_実績_2024R6!AI34)/AD35,0)</f>
        <v>0</v>
      </c>
      <c r="AF35" s="117">
        <f t="shared" ref="AF35:AF40" si="38">AD35*AE35</f>
        <v>0</v>
      </c>
      <c r="AG35" s="119" t="s">
        <v>103</v>
      </c>
    </row>
    <row r="36" spans="1:33" ht="16.5" customHeight="1">
      <c r="A36" s="39"/>
      <c r="B36" s="50"/>
      <c r="C36" s="95">
        <v>16</v>
      </c>
      <c r="D36" s="96">
        <v>1</v>
      </c>
      <c r="E36" s="97">
        <f t="shared" si="8"/>
        <v>1</v>
      </c>
      <c r="F36" s="98">
        <f t="shared" si="18"/>
        <v>45673</v>
      </c>
      <c r="G36" s="99" t="str">
        <f t="shared" si="9"/>
        <v>Thu</v>
      </c>
      <c r="H36" s="100"/>
      <c r="I36" s="101"/>
      <c r="J36" s="123">
        <v>48200</v>
      </c>
      <c r="K36" s="124"/>
      <c r="L36" s="104">
        <f t="shared" si="10"/>
        <v>87628.865979381444</v>
      </c>
      <c r="M36" s="105">
        <f t="shared" si="11"/>
        <v>-39428.865979381444</v>
      </c>
      <c r="N36" s="106">
        <f t="shared" si="12"/>
        <v>0.55004705882352944</v>
      </c>
      <c r="O36" s="107"/>
      <c r="P36" s="104">
        <f t="shared" si="19"/>
        <v>701030.92783505167</v>
      </c>
      <c r="Q36" s="104">
        <f t="shared" si="20"/>
        <v>562450</v>
      </c>
      <c r="R36" s="108">
        <f t="shared" si="13"/>
        <v>-138580.92783505167</v>
      </c>
      <c r="S36" s="109">
        <f t="shared" si="14"/>
        <v>0.80231838235294106</v>
      </c>
      <c r="T36" s="125"/>
      <c r="U36" s="104">
        <f t="shared" si="21"/>
        <v>701030.92783505167</v>
      </c>
      <c r="V36" s="104">
        <f t="shared" si="22"/>
        <v>562450</v>
      </c>
      <c r="W36" s="111">
        <f t="shared" si="15"/>
        <v>-138580.92783505167</v>
      </c>
      <c r="X36" s="112">
        <f t="shared" si="16"/>
        <v>0.80231838235294106</v>
      </c>
      <c r="Y36" s="113">
        <f t="shared" ref="Y36:Z36" si="39">Y35+1</f>
        <v>45673</v>
      </c>
      <c r="Z36" s="114">
        <f t="shared" si="39"/>
        <v>45673</v>
      </c>
      <c r="AA36" s="115">
        <v>3</v>
      </c>
      <c r="AB36" s="120" t="s">
        <v>95</v>
      </c>
      <c r="AC36" s="117">
        <f>IFERROR(AVERAGEIFS(J80:J110,D80:D110,1,G80:G110,"tue"),0)</f>
        <v>70550</v>
      </c>
      <c r="AD36" s="118">
        <f>COUNTIFS(D80:D110,1,G80:G110,"tue")</f>
        <v>4</v>
      </c>
      <c r="AE36" s="117">
        <f>($I$9*[1]リトローボ_実績_2024R6!AI35)/AD36</f>
        <v>0</v>
      </c>
      <c r="AF36" s="117">
        <f t="shared" si="38"/>
        <v>0</v>
      </c>
      <c r="AG36" s="119"/>
    </row>
    <row r="37" spans="1:33" ht="16.5" customHeight="1">
      <c r="A37" s="39"/>
      <c r="B37" s="50"/>
      <c r="C37" s="95">
        <v>17</v>
      </c>
      <c r="D37" s="96">
        <v>1</v>
      </c>
      <c r="E37" s="97">
        <f t="shared" si="8"/>
        <v>1</v>
      </c>
      <c r="F37" s="98">
        <f t="shared" si="18"/>
        <v>45674</v>
      </c>
      <c r="G37" s="99" t="str">
        <f t="shared" si="9"/>
        <v>Fri</v>
      </c>
      <c r="H37" s="100"/>
      <c r="I37" s="101"/>
      <c r="J37" s="123">
        <v>68350</v>
      </c>
      <c r="K37" s="124"/>
      <c r="L37" s="104">
        <f t="shared" si="10"/>
        <v>87628.865979381444</v>
      </c>
      <c r="M37" s="105">
        <f t="shared" si="11"/>
        <v>-19278.865979381444</v>
      </c>
      <c r="N37" s="106">
        <f t="shared" si="12"/>
        <v>0.77999411764705884</v>
      </c>
      <c r="O37" s="107"/>
      <c r="P37" s="104">
        <f t="shared" si="19"/>
        <v>788659.79381443316</v>
      </c>
      <c r="Q37" s="104">
        <f t="shared" si="20"/>
        <v>630800</v>
      </c>
      <c r="R37" s="108">
        <f t="shared" si="13"/>
        <v>-157859.79381443316</v>
      </c>
      <c r="S37" s="109">
        <f t="shared" si="14"/>
        <v>0.79983790849673186</v>
      </c>
      <c r="T37" s="125"/>
      <c r="U37" s="104">
        <f t="shared" si="21"/>
        <v>788659.79381443316</v>
      </c>
      <c r="V37" s="104">
        <f t="shared" si="22"/>
        <v>630800</v>
      </c>
      <c r="W37" s="111">
        <f t="shared" si="15"/>
        <v>-157859.79381443316</v>
      </c>
      <c r="X37" s="112">
        <f t="shared" si="16"/>
        <v>0.79983790849673186</v>
      </c>
      <c r="Y37" s="113">
        <f t="shared" ref="Y37:Z37" si="40">Y36+1</f>
        <v>45674</v>
      </c>
      <c r="Z37" s="114">
        <f t="shared" si="40"/>
        <v>45674</v>
      </c>
      <c r="AA37" s="115">
        <v>3</v>
      </c>
      <c r="AB37" s="120" t="s">
        <v>96</v>
      </c>
      <c r="AC37" s="117">
        <f>IFERROR(AVERAGEIFS(J80:J110,D80:D110,1,G80:G110,"wed"),0)</f>
        <v>59562.5</v>
      </c>
      <c r="AD37" s="118">
        <f>COUNTIFS(D80:D110,1,G80:G110,"wed")</f>
        <v>4</v>
      </c>
      <c r="AE37" s="117">
        <f>($I$9*[1]リトローボ_実績_2024R6!AI36)/AD37</f>
        <v>0</v>
      </c>
      <c r="AF37" s="117">
        <f t="shared" si="38"/>
        <v>0</v>
      </c>
      <c r="AG37" s="119"/>
    </row>
    <row r="38" spans="1:33" ht="16.5" customHeight="1">
      <c r="A38" s="39"/>
      <c r="B38" s="50"/>
      <c r="C38" s="95">
        <v>18</v>
      </c>
      <c r="D38" s="96">
        <v>1</v>
      </c>
      <c r="E38" s="97">
        <f t="shared" si="8"/>
        <v>1</v>
      </c>
      <c r="F38" s="98">
        <f t="shared" si="18"/>
        <v>45675</v>
      </c>
      <c r="G38" s="99" t="str">
        <f t="shared" si="9"/>
        <v>Sat</v>
      </c>
      <c r="H38" s="100"/>
      <c r="I38" s="101"/>
      <c r="J38" s="123">
        <v>45750</v>
      </c>
      <c r="K38" s="124"/>
      <c r="L38" s="104">
        <f t="shared" si="10"/>
        <v>87628.865979381444</v>
      </c>
      <c r="M38" s="105">
        <f t="shared" si="11"/>
        <v>-41878.865979381444</v>
      </c>
      <c r="N38" s="106">
        <f t="shared" si="12"/>
        <v>0.52208823529411763</v>
      </c>
      <c r="O38" s="107"/>
      <c r="P38" s="104">
        <f t="shared" si="19"/>
        <v>876288.65979381464</v>
      </c>
      <c r="Q38" s="104">
        <f t="shared" si="20"/>
        <v>676550</v>
      </c>
      <c r="R38" s="108">
        <f t="shared" si="13"/>
        <v>-199738.65979381464</v>
      </c>
      <c r="S38" s="109">
        <f t="shared" si="14"/>
        <v>0.77206294117647045</v>
      </c>
      <c r="T38" s="125"/>
      <c r="U38" s="104">
        <f t="shared" si="21"/>
        <v>876288.65979381464</v>
      </c>
      <c r="V38" s="104">
        <f t="shared" si="22"/>
        <v>676550</v>
      </c>
      <c r="W38" s="111">
        <f t="shared" si="15"/>
        <v>-199738.65979381464</v>
      </c>
      <c r="X38" s="112">
        <f t="shared" si="16"/>
        <v>0.77206294117647045</v>
      </c>
      <c r="Y38" s="113">
        <f t="shared" ref="Y38:Z38" si="41">Y37+1</f>
        <v>45675</v>
      </c>
      <c r="Z38" s="114">
        <f t="shared" si="41"/>
        <v>45675</v>
      </c>
      <c r="AA38" s="115">
        <v>3</v>
      </c>
      <c r="AB38" s="120" t="s">
        <v>97</v>
      </c>
      <c r="AC38" s="117">
        <f>IFERROR(AVERAGEIFS(J80:J110,D80:D110,1,G80:G110,"thu"),0)</f>
        <v>79837.5</v>
      </c>
      <c r="AD38" s="118">
        <f>COUNTIFS(D80:D110,1,G80:G110,"thu")</f>
        <v>4</v>
      </c>
      <c r="AE38" s="117">
        <f>($I$9*[1]リトローボ_実績_2024R6!AI37)/AD38</f>
        <v>0</v>
      </c>
      <c r="AF38" s="117">
        <f t="shared" si="38"/>
        <v>0</v>
      </c>
      <c r="AG38" s="119"/>
    </row>
    <row r="39" spans="1:33" ht="16.5" customHeight="1">
      <c r="A39" s="39"/>
      <c r="B39" s="50"/>
      <c r="C39" s="95">
        <v>19</v>
      </c>
      <c r="D39" s="96">
        <v>1</v>
      </c>
      <c r="E39" s="97">
        <f t="shared" si="8"/>
        <v>1</v>
      </c>
      <c r="F39" s="98">
        <f t="shared" si="18"/>
        <v>45676</v>
      </c>
      <c r="G39" s="99" t="str">
        <f t="shared" si="9"/>
        <v>Sun</v>
      </c>
      <c r="H39" s="100"/>
      <c r="I39" s="101"/>
      <c r="J39" s="132">
        <v>50250</v>
      </c>
      <c r="K39" s="130"/>
      <c r="L39" s="104">
        <f t="shared" si="10"/>
        <v>87628.865979381444</v>
      </c>
      <c r="M39" s="105">
        <f t="shared" si="11"/>
        <v>-37378.865979381444</v>
      </c>
      <c r="N39" s="106">
        <f t="shared" si="12"/>
        <v>0.57344117647058823</v>
      </c>
      <c r="O39" s="107"/>
      <c r="P39" s="104">
        <f t="shared" si="19"/>
        <v>963917.52577319613</v>
      </c>
      <c r="Q39" s="104">
        <f t="shared" si="20"/>
        <v>726800</v>
      </c>
      <c r="R39" s="108">
        <f t="shared" si="13"/>
        <v>-237117.52577319613</v>
      </c>
      <c r="S39" s="109">
        <f t="shared" si="14"/>
        <v>0.75400641711229921</v>
      </c>
      <c r="T39" s="131"/>
      <c r="U39" s="104">
        <f t="shared" si="21"/>
        <v>963917.52577319613</v>
      </c>
      <c r="V39" s="104">
        <f t="shared" si="22"/>
        <v>726800</v>
      </c>
      <c r="W39" s="111">
        <f t="shared" si="15"/>
        <v>-237117.52577319613</v>
      </c>
      <c r="X39" s="112">
        <f t="shared" si="16"/>
        <v>0.75400641711229921</v>
      </c>
      <c r="Y39" s="113">
        <f t="shared" ref="Y39:Z39" si="42">Y38+1</f>
        <v>45676</v>
      </c>
      <c r="Z39" s="114">
        <f t="shared" si="42"/>
        <v>45676</v>
      </c>
      <c r="AA39" s="115">
        <v>3</v>
      </c>
      <c r="AB39" s="120" t="s">
        <v>99</v>
      </c>
      <c r="AC39" s="117">
        <f>IFERROR(AVERAGEIFS(J80:J110,D80:D110,1,G80:G110,"fri"),0)</f>
        <v>123225</v>
      </c>
      <c r="AD39" s="118">
        <f>COUNTIFS(D80:D110,1,G80:G110,"fri")</f>
        <v>4</v>
      </c>
      <c r="AE39" s="117">
        <f>($I$9*[1]リトローボ_実績_2024R6!AI38)/AD39</f>
        <v>0</v>
      </c>
      <c r="AF39" s="117">
        <f t="shared" si="38"/>
        <v>0</v>
      </c>
      <c r="AG39" s="119"/>
    </row>
    <row r="40" spans="1:33" ht="16.5" customHeight="1">
      <c r="A40" s="39"/>
      <c r="B40" s="50"/>
      <c r="C40" s="95">
        <v>20</v>
      </c>
      <c r="D40" s="96">
        <v>1</v>
      </c>
      <c r="E40" s="97">
        <f t="shared" si="8"/>
        <v>1</v>
      </c>
      <c r="F40" s="98">
        <f t="shared" si="18"/>
        <v>45677</v>
      </c>
      <c r="G40" s="99" t="str">
        <f t="shared" si="9"/>
        <v>Mon</v>
      </c>
      <c r="H40" s="100"/>
      <c r="I40" s="101"/>
      <c r="J40" s="123">
        <v>90400</v>
      </c>
      <c r="K40" s="124"/>
      <c r="L40" s="104">
        <f t="shared" si="10"/>
        <v>87628.865979381444</v>
      </c>
      <c r="M40" s="105">
        <f t="shared" si="11"/>
        <v>2771.134020618556</v>
      </c>
      <c r="N40" s="106">
        <f t="shared" si="12"/>
        <v>1.0316235294117646</v>
      </c>
      <c r="O40" s="107"/>
      <c r="P40" s="104">
        <f t="shared" si="19"/>
        <v>1051546.3917525776</v>
      </c>
      <c r="Q40" s="104">
        <f t="shared" si="20"/>
        <v>817200</v>
      </c>
      <c r="R40" s="108">
        <f t="shared" si="13"/>
        <v>-234346.39175257762</v>
      </c>
      <c r="S40" s="109">
        <f t="shared" si="14"/>
        <v>0.777141176470588</v>
      </c>
      <c r="T40" s="125"/>
      <c r="U40" s="104">
        <f t="shared" si="21"/>
        <v>1051546.3917525776</v>
      </c>
      <c r="V40" s="104">
        <f t="shared" si="22"/>
        <v>817200</v>
      </c>
      <c r="W40" s="111">
        <f t="shared" si="15"/>
        <v>-234346.39175257762</v>
      </c>
      <c r="X40" s="112">
        <f t="shared" si="16"/>
        <v>0.777141176470588</v>
      </c>
      <c r="Y40" s="113">
        <f t="shared" ref="Y40:Z40" si="43">Y39+1</f>
        <v>45677</v>
      </c>
      <c r="Z40" s="114">
        <f t="shared" si="43"/>
        <v>45677</v>
      </c>
      <c r="AA40" s="115">
        <v>3</v>
      </c>
      <c r="AB40" s="120" t="s">
        <v>100</v>
      </c>
      <c r="AC40" s="117">
        <f>IFERROR(AVERAGEIFS(J80:J110,D80:D110,1,G80:G110,"sat"),0)</f>
        <v>65640</v>
      </c>
      <c r="AD40" s="118">
        <f>COUNTIFS(D80:D110,1,G80:G110,"sat")</f>
        <v>5</v>
      </c>
      <c r="AE40" s="117">
        <f>($I$9*[1]リトローボ_実績_2024R6!AI39)/AD40</f>
        <v>0</v>
      </c>
      <c r="AF40" s="117">
        <f t="shared" si="38"/>
        <v>0</v>
      </c>
      <c r="AG40" s="126" t="s">
        <v>104</v>
      </c>
    </row>
    <row r="41" spans="1:33" ht="16.5" customHeight="1">
      <c r="A41" s="39"/>
      <c r="B41" s="50"/>
      <c r="C41" s="95">
        <v>21</v>
      </c>
      <c r="D41" s="96">
        <v>1</v>
      </c>
      <c r="E41" s="97">
        <f t="shared" si="8"/>
        <v>1</v>
      </c>
      <c r="F41" s="98">
        <f t="shared" si="18"/>
        <v>45678</v>
      </c>
      <c r="G41" s="99" t="str">
        <f t="shared" si="9"/>
        <v>Tue</v>
      </c>
      <c r="H41" s="100"/>
      <c r="I41" s="101"/>
      <c r="J41" s="123">
        <v>89450</v>
      </c>
      <c r="K41" s="124"/>
      <c r="L41" s="104">
        <f t="shared" si="10"/>
        <v>87628.865979381444</v>
      </c>
      <c r="M41" s="105">
        <f t="shared" si="11"/>
        <v>1821.134020618556</v>
      </c>
      <c r="N41" s="106">
        <f t="shared" si="12"/>
        <v>1.0207823529411764</v>
      </c>
      <c r="O41" s="107"/>
      <c r="P41" s="104">
        <f t="shared" si="19"/>
        <v>1139175.257731959</v>
      </c>
      <c r="Q41" s="104">
        <f t="shared" si="20"/>
        <v>906650</v>
      </c>
      <c r="R41" s="108">
        <f t="shared" si="13"/>
        <v>-232525.25773195899</v>
      </c>
      <c r="S41" s="109">
        <f t="shared" si="14"/>
        <v>0.79588280542986412</v>
      </c>
      <c r="T41" s="125"/>
      <c r="U41" s="104">
        <f t="shared" si="21"/>
        <v>1139175.257731959</v>
      </c>
      <c r="V41" s="104">
        <f t="shared" si="22"/>
        <v>906650</v>
      </c>
      <c r="W41" s="111">
        <f t="shared" si="15"/>
        <v>-232525.25773195899</v>
      </c>
      <c r="X41" s="112">
        <f t="shared" si="16"/>
        <v>0.79588280542986412</v>
      </c>
      <c r="Y41" s="113">
        <f t="shared" ref="Y41:Z41" si="44">Y40+1</f>
        <v>45678</v>
      </c>
      <c r="Z41" s="114">
        <f t="shared" si="44"/>
        <v>45678</v>
      </c>
      <c r="AA41" s="115">
        <v>3</v>
      </c>
      <c r="AB41" s="120" t="s">
        <v>102</v>
      </c>
      <c r="AC41" s="117">
        <f>IFERROR(AVERAGEIFS(J80:J110,D80:D110,1,G80:G110,"sun"),0)</f>
        <v>99520</v>
      </c>
      <c r="AD41" s="118">
        <f>IFERROR(COUNTIFS(D80:D110,1,G80:G110,"sun"),0)</f>
        <v>5</v>
      </c>
      <c r="AE41" s="117">
        <f>IFERROR(($I$9*[1]リトローボ_実績_2024R6!AI40)/AD41,0)</f>
        <v>0</v>
      </c>
      <c r="AF41" s="127">
        <f>SUM(AF35:AF40)</f>
        <v>0</v>
      </c>
      <c r="AG41" s="128">
        <f>I9</f>
        <v>2680412.3711340209</v>
      </c>
    </row>
    <row r="42" spans="1:33" ht="16.5" customHeight="1">
      <c r="A42" s="39"/>
      <c r="B42" s="50"/>
      <c r="C42" s="95">
        <v>22</v>
      </c>
      <c r="D42" s="96">
        <v>1</v>
      </c>
      <c r="E42" s="97">
        <f t="shared" si="8"/>
        <v>1</v>
      </c>
      <c r="F42" s="98">
        <f t="shared" si="18"/>
        <v>45679</v>
      </c>
      <c r="G42" s="99" t="str">
        <f t="shared" si="9"/>
        <v>Wed</v>
      </c>
      <c r="H42" s="100"/>
      <c r="I42" s="101"/>
      <c r="J42" s="123">
        <v>134500</v>
      </c>
      <c r="K42" s="124"/>
      <c r="L42" s="104">
        <f t="shared" si="10"/>
        <v>87628.865979381444</v>
      </c>
      <c r="M42" s="105">
        <f t="shared" si="11"/>
        <v>46871.134020618556</v>
      </c>
      <c r="N42" s="106">
        <f t="shared" si="12"/>
        <v>1.5348823529411764</v>
      </c>
      <c r="O42" s="133"/>
      <c r="P42" s="104">
        <f t="shared" si="19"/>
        <v>1226804.1237113404</v>
      </c>
      <c r="Q42" s="104">
        <f t="shared" si="20"/>
        <v>1041150</v>
      </c>
      <c r="R42" s="108">
        <f t="shared" si="13"/>
        <v>-185654.12371134036</v>
      </c>
      <c r="S42" s="109">
        <f t="shared" si="14"/>
        <v>0.84866848739495793</v>
      </c>
      <c r="T42" s="125"/>
      <c r="U42" s="104">
        <f t="shared" si="21"/>
        <v>1226804.1237113404</v>
      </c>
      <c r="V42" s="104">
        <f t="shared" si="22"/>
        <v>1041150</v>
      </c>
      <c r="W42" s="111">
        <f t="shared" si="15"/>
        <v>-185654.12371134036</v>
      </c>
      <c r="X42" s="112">
        <f t="shared" si="16"/>
        <v>0.84866848739495793</v>
      </c>
      <c r="Y42" s="113">
        <f t="shared" ref="Y42:Z42" si="45">Y41+1</f>
        <v>45679</v>
      </c>
      <c r="Z42" s="114">
        <f t="shared" si="45"/>
        <v>45679</v>
      </c>
      <c r="AA42" s="115">
        <v>4</v>
      </c>
      <c r="AB42" s="116" t="s">
        <v>93</v>
      </c>
      <c r="AC42" s="117">
        <f>IFERROR(AVERAGEIFS(J111:J140,D111:D140,1,G111:G140,"mon"),0)</f>
        <v>0</v>
      </c>
      <c r="AD42" s="118">
        <f>COUNTIFS(D111:D140,1,G111:G140,"Mon")</f>
        <v>0</v>
      </c>
      <c r="AE42" s="117">
        <f>IFERROR(($I$10*[1]リトローボ_実績_2024R6!AI41)/AD42,0)</f>
        <v>0</v>
      </c>
      <c r="AF42" s="117">
        <f t="shared" ref="AF42:AF47" si="46">AD42*AE42</f>
        <v>0</v>
      </c>
      <c r="AG42" s="119" t="s">
        <v>105</v>
      </c>
    </row>
    <row r="43" spans="1:33" ht="16.5" customHeight="1">
      <c r="A43" s="39"/>
      <c r="B43" s="50"/>
      <c r="C43" s="95">
        <v>23</v>
      </c>
      <c r="D43" s="96">
        <v>1</v>
      </c>
      <c r="E43" s="97">
        <f t="shared" si="8"/>
        <v>1</v>
      </c>
      <c r="F43" s="98">
        <f t="shared" si="18"/>
        <v>45680</v>
      </c>
      <c r="G43" s="99" t="str">
        <f t="shared" si="9"/>
        <v>Thu</v>
      </c>
      <c r="H43" s="100"/>
      <c r="I43" s="101"/>
      <c r="J43" s="123">
        <v>85000</v>
      </c>
      <c r="K43" s="124"/>
      <c r="L43" s="104">
        <f t="shared" si="10"/>
        <v>87628.865979381444</v>
      </c>
      <c r="M43" s="105">
        <f t="shared" si="11"/>
        <v>-2628.865979381444</v>
      </c>
      <c r="N43" s="106">
        <f t="shared" si="12"/>
        <v>0.97</v>
      </c>
      <c r="O43" s="133"/>
      <c r="P43" s="104">
        <f t="shared" si="19"/>
        <v>1314432.9896907217</v>
      </c>
      <c r="Q43" s="104">
        <f t="shared" si="20"/>
        <v>1126150</v>
      </c>
      <c r="R43" s="108">
        <f t="shared" si="13"/>
        <v>-188282.98969072173</v>
      </c>
      <c r="S43" s="109">
        <f t="shared" si="14"/>
        <v>0.85675725490196075</v>
      </c>
      <c r="T43" s="125"/>
      <c r="U43" s="104">
        <f t="shared" si="21"/>
        <v>1314432.9896907217</v>
      </c>
      <c r="V43" s="104">
        <f t="shared" si="22"/>
        <v>1126150</v>
      </c>
      <c r="W43" s="111">
        <f t="shared" si="15"/>
        <v>-188282.98969072173</v>
      </c>
      <c r="X43" s="112">
        <f t="shared" si="16"/>
        <v>0.85675725490196075</v>
      </c>
      <c r="Y43" s="113">
        <f t="shared" ref="Y43:Z43" si="47">Y42+1</f>
        <v>45680</v>
      </c>
      <c r="Z43" s="114">
        <f t="shared" si="47"/>
        <v>45680</v>
      </c>
      <c r="AA43" s="115">
        <v>4</v>
      </c>
      <c r="AB43" s="120" t="s">
        <v>95</v>
      </c>
      <c r="AC43" s="117">
        <f>IFERROR(AVERAGEIFS(J111:J140,D111:D140,1,G111:G140,"tue"),0)</f>
        <v>77012.5</v>
      </c>
      <c r="AD43" s="118">
        <f>COUNTIFS(D111:D140,1,G111:G140,"tue")</f>
        <v>4</v>
      </c>
      <c r="AE43" s="117">
        <f>($I$10*[1]リトローボ_実績_2024R6!AI42)/AD43</f>
        <v>0</v>
      </c>
      <c r="AF43" s="117">
        <f t="shared" si="46"/>
        <v>0</v>
      </c>
      <c r="AG43" s="119"/>
    </row>
    <row r="44" spans="1:33" ht="16.5" customHeight="1">
      <c r="A44" s="39"/>
      <c r="B44" s="50"/>
      <c r="C44" s="95">
        <v>24</v>
      </c>
      <c r="D44" s="96">
        <v>1</v>
      </c>
      <c r="E44" s="97">
        <f t="shared" si="8"/>
        <v>1</v>
      </c>
      <c r="F44" s="98">
        <f t="shared" si="18"/>
        <v>45681</v>
      </c>
      <c r="G44" s="99" t="str">
        <f t="shared" si="9"/>
        <v>Fri</v>
      </c>
      <c r="H44" s="100"/>
      <c r="I44" s="101"/>
      <c r="J44" s="123">
        <v>132300</v>
      </c>
      <c r="K44" s="124"/>
      <c r="L44" s="104">
        <f t="shared" si="10"/>
        <v>87628.865979381444</v>
      </c>
      <c r="M44" s="105">
        <f t="shared" si="11"/>
        <v>44671.134020618556</v>
      </c>
      <c r="N44" s="106">
        <f t="shared" si="12"/>
        <v>1.5097764705882353</v>
      </c>
      <c r="O44" s="133"/>
      <c r="P44" s="104">
        <f t="shared" si="19"/>
        <v>1402061.8556701031</v>
      </c>
      <c r="Q44" s="104">
        <f t="shared" si="20"/>
        <v>1258450</v>
      </c>
      <c r="R44" s="108">
        <f t="shared" si="13"/>
        <v>-143611.8556701031</v>
      </c>
      <c r="S44" s="109">
        <f t="shared" si="14"/>
        <v>0.89757095588235292</v>
      </c>
      <c r="T44" s="125"/>
      <c r="U44" s="104">
        <f t="shared" si="21"/>
        <v>1402061.8556701031</v>
      </c>
      <c r="V44" s="104">
        <f t="shared" si="22"/>
        <v>1258450</v>
      </c>
      <c r="W44" s="111">
        <f t="shared" si="15"/>
        <v>-143611.8556701031</v>
      </c>
      <c r="X44" s="112">
        <f t="shared" si="16"/>
        <v>0.89757095588235292</v>
      </c>
      <c r="Y44" s="113">
        <f t="shared" ref="Y44:Z44" si="48">Y43+1</f>
        <v>45681</v>
      </c>
      <c r="Z44" s="114">
        <f t="shared" si="48"/>
        <v>45681</v>
      </c>
      <c r="AA44" s="115">
        <v>4</v>
      </c>
      <c r="AB44" s="120" t="s">
        <v>96</v>
      </c>
      <c r="AC44" s="117">
        <f>IFERROR(AVERAGEIFS(J111:J140,D111:D140,1,G111:G140,"wed"),0)</f>
        <v>81170</v>
      </c>
      <c r="AD44" s="118">
        <f>COUNTIFS(D111:D140,1,G111:G140,"wed")</f>
        <v>5</v>
      </c>
      <c r="AE44" s="117">
        <f>($I$10*[1]リトローボ_実績_2024R6!AI43)/AD44</f>
        <v>0</v>
      </c>
      <c r="AF44" s="117">
        <f t="shared" si="46"/>
        <v>0</v>
      </c>
      <c r="AG44" s="119"/>
    </row>
    <row r="45" spans="1:33" ht="16.5" customHeight="1">
      <c r="A45" s="39"/>
      <c r="B45" s="50"/>
      <c r="C45" s="95">
        <v>25</v>
      </c>
      <c r="D45" s="96">
        <v>1</v>
      </c>
      <c r="E45" s="97">
        <f t="shared" si="8"/>
        <v>1</v>
      </c>
      <c r="F45" s="98">
        <f t="shared" si="18"/>
        <v>45682</v>
      </c>
      <c r="G45" s="99" t="str">
        <f t="shared" si="9"/>
        <v>Sat</v>
      </c>
      <c r="H45" s="100"/>
      <c r="I45" s="101"/>
      <c r="J45" s="123">
        <v>44350</v>
      </c>
      <c r="K45" s="124"/>
      <c r="L45" s="104">
        <f t="shared" si="10"/>
        <v>87628.865979381444</v>
      </c>
      <c r="M45" s="105">
        <f t="shared" si="11"/>
        <v>-43278.865979381444</v>
      </c>
      <c r="N45" s="106">
        <f t="shared" si="12"/>
        <v>0.50611176470588237</v>
      </c>
      <c r="O45" s="133"/>
      <c r="P45" s="104">
        <f t="shared" si="19"/>
        <v>1489690.7216494845</v>
      </c>
      <c r="Q45" s="104">
        <f t="shared" si="20"/>
        <v>1302800</v>
      </c>
      <c r="R45" s="108">
        <f t="shared" si="13"/>
        <v>-186890.72164948448</v>
      </c>
      <c r="S45" s="109">
        <f t="shared" si="14"/>
        <v>0.87454394463667828</v>
      </c>
      <c r="T45" s="125"/>
      <c r="U45" s="104">
        <f t="shared" si="21"/>
        <v>1489690.7216494845</v>
      </c>
      <c r="V45" s="104">
        <f t="shared" si="22"/>
        <v>1302800</v>
      </c>
      <c r="W45" s="111">
        <f t="shared" si="15"/>
        <v>-186890.72164948448</v>
      </c>
      <c r="X45" s="112">
        <f t="shared" si="16"/>
        <v>0.87454394463667828</v>
      </c>
      <c r="Y45" s="113">
        <f t="shared" ref="Y45:Z45" si="49">Y44+1</f>
        <v>45682</v>
      </c>
      <c r="Z45" s="114">
        <f t="shared" si="49"/>
        <v>45682</v>
      </c>
      <c r="AA45" s="115">
        <v>4</v>
      </c>
      <c r="AB45" s="120" t="s">
        <v>97</v>
      </c>
      <c r="AC45" s="117">
        <f>IFERROR(AVERAGEIFS(J111:J140,D111:D140,1,G111:G140,"thu"),0)</f>
        <v>81112.5</v>
      </c>
      <c r="AD45" s="118">
        <f>COUNTIFS(D111:D140,1,G111:G140,"thu")</f>
        <v>4</v>
      </c>
      <c r="AE45" s="117">
        <f>($I$10*[1]リトローボ_実績_2024R6!AI44)/AD45</f>
        <v>0</v>
      </c>
      <c r="AF45" s="117">
        <f t="shared" si="46"/>
        <v>0</v>
      </c>
      <c r="AG45" s="119"/>
    </row>
    <row r="46" spans="1:33" ht="16.5" customHeight="1">
      <c r="A46" s="39"/>
      <c r="B46" s="50"/>
      <c r="C46" s="95">
        <v>26</v>
      </c>
      <c r="D46" s="96">
        <v>1</v>
      </c>
      <c r="E46" s="97">
        <f t="shared" si="8"/>
        <v>1</v>
      </c>
      <c r="F46" s="98">
        <f t="shared" si="18"/>
        <v>45683</v>
      </c>
      <c r="G46" s="99" t="str">
        <f t="shared" si="9"/>
        <v>Sun</v>
      </c>
      <c r="H46" s="100"/>
      <c r="I46" s="101"/>
      <c r="J46" s="132">
        <v>102250</v>
      </c>
      <c r="K46" s="130"/>
      <c r="L46" s="104">
        <f t="shared" si="10"/>
        <v>87628.865979381444</v>
      </c>
      <c r="M46" s="105">
        <f t="shared" si="11"/>
        <v>14621.134020618556</v>
      </c>
      <c r="N46" s="106">
        <f t="shared" si="12"/>
        <v>1.1668529411764705</v>
      </c>
      <c r="O46" s="134"/>
      <c r="P46" s="104">
        <f t="shared" si="19"/>
        <v>1577319.5876288658</v>
      </c>
      <c r="Q46" s="104">
        <f t="shared" si="20"/>
        <v>1405050</v>
      </c>
      <c r="R46" s="108">
        <f t="shared" si="13"/>
        <v>-172269.58762886585</v>
      </c>
      <c r="S46" s="109">
        <f t="shared" si="14"/>
        <v>0.89078333333333337</v>
      </c>
      <c r="T46" s="131"/>
      <c r="U46" s="104">
        <f t="shared" si="21"/>
        <v>1577319.5876288658</v>
      </c>
      <c r="V46" s="104">
        <f t="shared" si="22"/>
        <v>1405050</v>
      </c>
      <c r="W46" s="111">
        <f t="shared" si="15"/>
        <v>-172269.58762886585</v>
      </c>
      <c r="X46" s="112">
        <f t="shared" si="16"/>
        <v>0.89078333333333337</v>
      </c>
      <c r="Y46" s="113">
        <f t="shared" ref="Y46:Z46" si="50">Y45+1</f>
        <v>45683</v>
      </c>
      <c r="Z46" s="114">
        <f t="shared" si="50"/>
        <v>45683</v>
      </c>
      <c r="AA46" s="115">
        <v>4</v>
      </c>
      <c r="AB46" s="120" t="s">
        <v>99</v>
      </c>
      <c r="AC46" s="117">
        <f>IFERROR(AVERAGEIFS(J111:J140,D111:D140,1,G111:G140,"fri"),0)</f>
        <v>153125</v>
      </c>
      <c r="AD46" s="118">
        <f>COUNTIFS(D111:D140,1,G111:G140,"fri")</f>
        <v>4</v>
      </c>
      <c r="AE46" s="117">
        <f>($I$10*[1]リトローボ_実績_2024R6!AI45)/AD46</f>
        <v>0</v>
      </c>
      <c r="AF46" s="117">
        <f t="shared" si="46"/>
        <v>0</v>
      </c>
      <c r="AG46" s="119"/>
    </row>
    <row r="47" spans="1:33" ht="16.5" customHeight="1">
      <c r="A47" s="39"/>
      <c r="B47" s="50"/>
      <c r="C47" s="95">
        <v>27</v>
      </c>
      <c r="D47" s="96">
        <v>0</v>
      </c>
      <c r="E47" s="97">
        <f t="shared" si="8"/>
        <v>1</v>
      </c>
      <c r="F47" s="98">
        <f t="shared" si="18"/>
        <v>45684</v>
      </c>
      <c r="G47" s="99" t="str">
        <f t="shared" si="9"/>
        <v>Mon</v>
      </c>
      <c r="H47" s="100"/>
      <c r="I47" s="101"/>
      <c r="J47" s="123"/>
      <c r="K47" s="124"/>
      <c r="L47" s="104">
        <f t="shared" si="10"/>
        <v>0</v>
      </c>
      <c r="M47" s="105">
        <f t="shared" si="11"/>
        <v>0</v>
      </c>
      <c r="N47" s="106" t="str">
        <f t="shared" si="12"/>
        <v>¥0</v>
      </c>
      <c r="O47" s="133"/>
      <c r="P47" s="104">
        <f t="shared" si="19"/>
        <v>0</v>
      </c>
      <c r="Q47" s="104">
        <f t="shared" si="20"/>
        <v>0</v>
      </c>
      <c r="R47" s="108">
        <f t="shared" si="13"/>
        <v>0</v>
      </c>
      <c r="S47" s="109">
        <f t="shared" si="14"/>
        <v>0</v>
      </c>
      <c r="T47" s="125"/>
      <c r="U47" s="104">
        <f t="shared" si="21"/>
        <v>0</v>
      </c>
      <c r="V47" s="104">
        <f t="shared" si="22"/>
        <v>0</v>
      </c>
      <c r="W47" s="111">
        <f t="shared" si="15"/>
        <v>0</v>
      </c>
      <c r="X47" s="112">
        <f t="shared" si="16"/>
        <v>0</v>
      </c>
      <c r="Y47" s="113">
        <f t="shared" ref="Y47:Z47" si="51">Y46+1</f>
        <v>45684</v>
      </c>
      <c r="Z47" s="114">
        <f t="shared" si="51"/>
        <v>45684</v>
      </c>
      <c r="AA47" s="115">
        <v>4</v>
      </c>
      <c r="AB47" s="120" t="s">
        <v>100</v>
      </c>
      <c r="AC47" s="117">
        <f>IFERROR(AVERAGEIFS(J111:J140,D111:D140,1,G111:G140,"sat"),0)</f>
        <v>81612.5</v>
      </c>
      <c r="AD47" s="118">
        <f>COUNTIFS(D111:D140,1,G111:G140,"sat")</f>
        <v>4</v>
      </c>
      <c r="AE47" s="117">
        <f>($I$10*[1]リトローボ_実績_2024R6!AI46)/AD47</f>
        <v>0</v>
      </c>
      <c r="AF47" s="117">
        <f t="shared" si="46"/>
        <v>0</v>
      </c>
      <c r="AG47" s="126" t="s">
        <v>106</v>
      </c>
    </row>
    <row r="48" spans="1:33" ht="16.5" customHeight="1">
      <c r="A48" s="39"/>
      <c r="B48" s="50"/>
      <c r="C48" s="95">
        <v>28</v>
      </c>
      <c r="D48" s="96">
        <v>1</v>
      </c>
      <c r="E48" s="97">
        <f t="shared" si="8"/>
        <v>1</v>
      </c>
      <c r="F48" s="98">
        <f t="shared" si="18"/>
        <v>45685</v>
      </c>
      <c r="G48" s="99" t="str">
        <f t="shared" si="9"/>
        <v>Tue</v>
      </c>
      <c r="H48" s="100"/>
      <c r="I48" s="101"/>
      <c r="J48" s="123">
        <v>85900</v>
      </c>
      <c r="K48" s="124"/>
      <c r="L48" s="104">
        <f t="shared" si="10"/>
        <v>87628.865979381444</v>
      </c>
      <c r="M48" s="105">
        <f t="shared" si="11"/>
        <v>-1728.865979381444</v>
      </c>
      <c r="N48" s="106">
        <f t="shared" si="12"/>
        <v>0.98027058823529412</v>
      </c>
      <c r="O48" s="133"/>
      <c r="P48" s="104">
        <f t="shared" si="19"/>
        <v>1664948.4536082472</v>
      </c>
      <c r="Q48" s="104">
        <f t="shared" si="20"/>
        <v>1490950</v>
      </c>
      <c r="R48" s="108">
        <f t="shared" si="13"/>
        <v>-173998.45360824722</v>
      </c>
      <c r="S48" s="109">
        <f t="shared" si="14"/>
        <v>0.89549318885448925</v>
      </c>
      <c r="T48" s="125"/>
      <c r="U48" s="104">
        <f t="shared" si="21"/>
        <v>1664948.4536082472</v>
      </c>
      <c r="V48" s="104">
        <f t="shared" si="22"/>
        <v>1490950</v>
      </c>
      <c r="W48" s="111">
        <f t="shared" si="15"/>
        <v>-173998.45360824722</v>
      </c>
      <c r="X48" s="112">
        <f t="shared" si="16"/>
        <v>0.89549318885448925</v>
      </c>
      <c r="Y48" s="113">
        <f t="shared" ref="Y48:Z48" si="52">Y47+1</f>
        <v>45685</v>
      </c>
      <c r="Z48" s="114">
        <f t="shared" si="52"/>
        <v>45685</v>
      </c>
      <c r="AA48" s="115">
        <v>4</v>
      </c>
      <c r="AB48" s="120" t="s">
        <v>102</v>
      </c>
      <c r="AC48" s="117">
        <f>IFERROR(AVERAGEIFS(J111:J140,D111:D140,1,G111:G140,"sun"),0)</f>
        <v>71287.5</v>
      </c>
      <c r="AD48" s="118">
        <f>IFERROR(COUNTIFS(D111:D140,1,G111:G140,"sun"),0)</f>
        <v>4</v>
      </c>
      <c r="AE48" s="117">
        <f>IFERROR(($I$10*[1]リトローボ_実績_2024R6!AI47)/AD48,0)</f>
        <v>0</v>
      </c>
      <c r="AF48" s="127">
        <f>SUM(AF42:AF47)</f>
        <v>0</v>
      </c>
      <c r="AG48" s="128">
        <f>I10</f>
        <v>2835051.546391753</v>
      </c>
    </row>
    <row r="49" spans="1:33" ht="16.5" customHeight="1">
      <c r="A49" s="39"/>
      <c r="B49" s="50"/>
      <c r="C49" s="95">
        <v>29</v>
      </c>
      <c r="D49" s="96">
        <v>1</v>
      </c>
      <c r="E49" s="97">
        <f t="shared" si="8"/>
        <v>1</v>
      </c>
      <c r="F49" s="98">
        <f t="shared" si="18"/>
        <v>45686</v>
      </c>
      <c r="G49" s="99" t="str">
        <f t="shared" si="9"/>
        <v>Wed</v>
      </c>
      <c r="H49" s="100"/>
      <c r="I49" s="101"/>
      <c r="J49" s="123">
        <v>77600</v>
      </c>
      <c r="K49" s="124"/>
      <c r="L49" s="104">
        <f t="shared" si="10"/>
        <v>87628.865979381444</v>
      </c>
      <c r="M49" s="105">
        <f t="shared" si="11"/>
        <v>-10028.865979381444</v>
      </c>
      <c r="N49" s="106">
        <f t="shared" si="12"/>
        <v>0.88555294117647054</v>
      </c>
      <c r="O49" s="133"/>
      <c r="P49" s="104">
        <f t="shared" si="19"/>
        <v>1752577.3195876286</v>
      </c>
      <c r="Q49" s="104">
        <f t="shared" si="20"/>
        <v>1568550</v>
      </c>
      <c r="R49" s="108">
        <f t="shared" si="13"/>
        <v>-184027.31958762859</v>
      </c>
      <c r="S49" s="109">
        <f t="shared" si="14"/>
        <v>0.89499617647058838</v>
      </c>
      <c r="T49" s="125"/>
      <c r="U49" s="104">
        <f t="shared" si="21"/>
        <v>1752577.3195876286</v>
      </c>
      <c r="V49" s="104">
        <f t="shared" si="22"/>
        <v>1568550</v>
      </c>
      <c r="W49" s="111">
        <f t="shared" si="15"/>
        <v>-184027.31958762859</v>
      </c>
      <c r="X49" s="112">
        <f t="shared" si="16"/>
        <v>0.89499617647058838</v>
      </c>
      <c r="Y49" s="113">
        <f t="shared" ref="Y49:Z49" si="53">Y48+1</f>
        <v>45686</v>
      </c>
      <c r="Z49" s="114">
        <f t="shared" si="53"/>
        <v>45686</v>
      </c>
      <c r="AA49" s="115">
        <v>5</v>
      </c>
      <c r="AB49" s="116" t="s">
        <v>93</v>
      </c>
      <c r="AC49" s="117">
        <f>IFERROR(AVERAGEIFS(J141:J171,D141:D171,1,G141:G171,"mon"),0)</f>
        <v>0</v>
      </c>
      <c r="AD49" s="118">
        <f>COUNTIFS(D141:D171,1,G141:G171,"Mon")</f>
        <v>0</v>
      </c>
      <c r="AE49" s="117">
        <f>IFERROR(($I$11*[1]リトローボ_実績_2024R6!AI48)/AD49,0)</f>
        <v>0</v>
      </c>
      <c r="AF49" s="117">
        <f t="shared" ref="AF49:AF54" si="54">AD49*AE49</f>
        <v>0</v>
      </c>
      <c r="AG49" s="119" t="s">
        <v>107</v>
      </c>
    </row>
    <row r="50" spans="1:33" ht="16.5" customHeight="1">
      <c r="A50" s="39"/>
      <c r="B50" s="50"/>
      <c r="C50" s="95">
        <v>30</v>
      </c>
      <c r="D50" s="96">
        <v>1</v>
      </c>
      <c r="E50" s="97">
        <f t="shared" si="8"/>
        <v>1</v>
      </c>
      <c r="F50" s="98">
        <f t="shared" si="18"/>
        <v>45687</v>
      </c>
      <c r="G50" s="99" t="str">
        <f t="shared" si="9"/>
        <v>Thu</v>
      </c>
      <c r="H50" s="100"/>
      <c r="I50" s="101"/>
      <c r="J50" s="135">
        <v>109450</v>
      </c>
      <c r="K50" s="136"/>
      <c r="L50" s="104">
        <f t="shared" si="10"/>
        <v>87628.865979381444</v>
      </c>
      <c r="M50" s="105">
        <f t="shared" si="11"/>
        <v>21821.134020618556</v>
      </c>
      <c r="N50" s="106">
        <f t="shared" si="12"/>
        <v>1.2490176470588235</v>
      </c>
      <c r="O50" s="133"/>
      <c r="P50" s="104">
        <f t="shared" si="19"/>
        <v>1840206.18556701</v>
      </c>
      <c r="Q50" s="104">
        <f t="shared" si="20"/>
        <v>1678000</v>
      </c>
      <c r="R50" s="108">
        <f t="shared" si="13"/>
        <v>-162206.18556700996</v>
      </c>
      <c r="S50" s="109">
        <f t="shared" si="14"/>
        <v>0.91185434173669488</v>
      </c>
      <c r="T50" s="125"/>
      <c r="U50" s="104">
        <f t="shared" si="21"/>
        <v>1840206.18556701</v>
      </c>
      <c r="V50" s="104">
        <f t="shared" si="22"/>
        <v>1678000</v>
      </c>
      <c r="W50" s="111">
        <f t="shared" si="15"/>
        <v>-162206.18556700996</v>
      </c>
      <c r="X50" s="112">
        <f t="shared" si="16"/>
        <v>0.91185434173669488</v>
      </c>
      <c r="Y50" s="113">
        <f t="shared" ref="Y50:Z50" si="55">Y49+1</f>
        <v>45687</v>
      </c>
      <c r="Z50" s="114">
        <f t="shared" si="55"/>
        <v>45687</v>
      </c>
      <c r="AA50" s="115">
        <v>5</v>
      </c>
      <c r="AB50" s="120" t="s">
        <v>95</v>
      </c>
      <c r="AC50" s="117">
        <f>IFERROR(AVERAGEIFS(J141:J171,D141:D171,1,G141:G171,"tue"),0)</f>
        <v>104633.33333333333</v>
      </c>
      <c r="AD50" s="118">
        <f>COUNTIFS(D141:D171,1,G141:G171,"tue")</f>
        <v>3</v>
      </c>
      <c r="AE50" s="117">
        <f>($I$11*[1]リトローボ_実績_2024R6!AI49)/AD50</f>
        <v>0</v>
      </c>
      <c r="AF50" s="117">
        <f t="shared" si="54"/>
        <v>0</v>
      </c>
      <c r="AG50" s="119"/>
    </row>
    <row r="51" spans="1:33" ht="16.5" customHeight="1">
      <c r="A51" s="39"/>
      <c r="B51" s="50"/>
      <c r="C51" s="137">
        <v>31</v>
      </c>
      <c r="D51" s="138">
        <v>1</v>
      </c>
      <c r="E51" s="139">
        <f t="shared" si="8"/>
        <v>1</v>
      </c>
      <c r="F51" s="140">
        <f t="shared" si="18"/>
        <v>45688</v>
      </c>
      <c r="G51" s="141" t="str">
        <f t="shared" si="9"/>
        <v>Fri</v>
      </c>
      <c r="H51" s="142"/>
      <c r="I51" s="143"/>
      <c r="J51" s="144">
        <v>105850</v>
      </c>
      <c r="K51" s="145"/>
      <c r="L51" s="146">
        <f t="shared" si="10"/>
        <v>87628.865979381444</v>
      </c>
      <c r="M51" s="147">
        <f t="shared" si="11"/>
        <v>18221.134020618556</v>
      </c>
      <c r="N51" s="148">
        <f t="shared" si="12"/>
        <v>1.2079352941176471</v>
      </c>
      <c r="O51" s="149"/>
      <c r="P51" s="150">
        <f t="shared" si="19"/>
        <v>1927835.0515463913</v>
      </c>
      <c r="Q51" s="146">
        <f t="shared" si="20"/>
        <v>1783850</v>
      </c>
      <c r="R51" s="147">
        <f t="shared" si="13"/>
        <v>-143985.05154639133</v>
      </c>
      <c r="S51" s="151">
        <f t="shared" si="14"/>
        <v>0.92531256684492003</v>
      </c>
      <c r="T51" s="152"/>
      <c r="U51" s="153">
        <f t="shared" si="21"/>
        <v>1927835.0515463913</v>
      </c>
      <c r="V51" s="146">
        <f t="shared" si="22"/>
        <v>1783850</v>
      </c>
      <c r="W51" s="153">
        <f t="shared" si="15"/>
        <v>-143985.05154639133</v>
      </c>
      <c r="X51" s="154">
        <f t="shared" si="16"/>
        <v>0.92531256684492003</v>
      </c>
      <c r="Y51" s="113">
        <f t="shared" ref="Y51:Z51" si="56">Y50+1</f>
        <v>45688</v>
      </c>
      <c r="Z51" s="114">
        <f t="shared" si="56"/>
        <v>45688</v>
      </c>
      <c r="AA51" s="115">
        <v>5</v>
      </c>
      <c r="AB51" s="120" t="s">
        <v>96</v>
      </c>
      <c r="AC51" s="117">
        <f>IFERROR(AVERAGEIFS(J141:J171,D141:D171,1,G141:G171,"wed"),0)</f>
        <v>95525</v>
      </c>
      <c r="AD51" s="118">
        <f>COUNTIFS(D141:D171,1,G141:G171,"wed")</f>
        <v>4</v>
      </c>
      <c r="AE51" s="117">
        <f>($I$11*[1]リトローボ_実績_2024R6!AI50)/AD51</f>
        <v>0</v>
      </c>
      <c r="AF51" s="117">
        <f t="shared" si="54"/>
        <v>0</v>
      </c>
      <c r="AG51" s="119"/>
    </row>
    <row r="52" spans="1:33" ht="16.5" customHeight="1">
      <c r="A52" s="39"/>
      <c r="B52" s="50"/>
      <c r="C52" s="95">
        <v>32</v>
      </c>
      <c r="D52" s="155">
        <v>1</v>
      </c>
      <c r="E52" s="97">
        <f t="shared" si="8"/>
        <v>2</v>
      </c>
      <c r="F52" s="98">
        <f t="shared" si="18"/>
        <v>45689</v>
      </c>
      <c r="G52" s="99" t="str">
        <f t="shared" si="9"/>
        <v>Sat</v>
      </c>
      <c r="H52" s="100"/>
      <c r="I52" s="101"/>
      <c r="J52" s="135">
        <v>91350</v>
      </c>
      <c r="K52" s="136"/>
      <c r="L52" s="104">
        <f t="shared" ref="L52:L79" si="57">IF(D52=0,0,$K$8)</f>
        <v>87628.865979381459</v>
      </c>
      <c r="M52" s="108">
        <f t="shared" si="11"/>
        <v>3721.1340206185414</v>
      </c>
      <c r="N52" s="156">
        <f t="shared" si="12"/>
        <v>1.0424647058823528</v>
      </c>
      <c r="O52" s="133"/>
      <c r="P52" s="104">
        <f>IF(D52=0,0,$L$52)</f>
        <v>87628.865979381459</v>
      </c>
      <c r="Q52" s="104">
        <f>IF(D52=0,0,$J$52)</f>
        <v>91350</v>
      </c>
      <c r="R52" s="108">
        <f t="shared" si="13"/>
        <v>3721.1340206185414</v>
      </c>
      <c r="S52" s="157">
        <f t="shared" si="14"/>
        <v>1.0424647058823528</v>
      </c>
      <c r="T52" s="125"/>
      <c r="U52" s="104">
        <f t="shared" si="21"/>
        <v>2015463.9175257727</v>
      </c>
      <c r="V52" s="104">
        <f t="shared" si="22"/>
        <v>1875200</v>
      </c>
      <c r="W52" s="111">
        <f t="shared" si="15"/>
        <v>-140263.9175257727</v>
      </c>
      <c r="X52" s="158">
        <f t="shared" si="16"/>
        <v>0.93040613810741712</v>
      </c>
      <c r="Y52" s="113">
        <f t="shared" ref="Y52:Z52" si="58">Y51+1</f>
        <v>45689</v>
      </c>
      <c r="Z52" s="114">
        <f t="shared" si="58"/>
        <v>45689</v>
      </c>
      <c r="AA52" s="115">
        <v>5</v>
      </c>
      <c r="AB52" s="120" t="s">
        <v>97</v>
      </c>
      <c r="AC52" s="117">
        <f>IFERROR(AVERAGEIFS(J141:J171,D141:D171,1,G141:G171,"thu"),0)</f>
        <v>97580</v>
      </c>
      <c r="AD52" s="118">
        <f>COUNTIFS(D141:D171,1,G141:G171,"thu")</f>
        <v>5</v>
      </c>
      <c r="AE52" s="117">
        <f>($I$11*[1]リトローボ_実績_2024R6!AI51)/AD52</f>
        <v>0</v>
      </c>
      <c r="AF52" s="117">
        <f t="shared" si="54"/>
        <v>0</v>
      </c>
      <c r="AG52" s="119"/>
    </row>
    <row r="53" spans="1:33" ht="16.5" customHeight="1">
      <c r="A53" s="39"/>
      <c r="B53" s="50"/>
      <c r="C53" s="95">
        <v>33</v>
      </c>
      <c r="D53" s="96">
        <v>1</v>
      </c>
      <c r="E53" s="97">
        <f t="shared" si="8"/>
        <v>2</v>
      </c>
      <c r="F53" s="98">
        <f t="shared" si="18"/>
        <v>45690</v>
      </c>
      <c r="G53" s="99" t="str">
        <f t="shared" si="9"/>
        <v>Sun</v>
      </c>
      <c r="H53" s="100"/>
      <c r="I53" s="101"/>
      <c r="J53" s="135">
        <v>68200</v>
      </c>
      <c r="K53" s="136"/>
      <c r="L53" s="104">
        <f t="shared" si="57"/>
        <v>87628.865979381459</v>
      </c>
      <c r="M53" s="105">
        <f t="shared" si="11"/>
        <v>-19428.865979381459</v>
      </c>
      <c r="N53" s="106">
        <f t="shared" si="12"/>
        <v>0.77828235294117631</v>
      </c>
      <c r="O53" s="134"/>
      <c r="P53" s="104">
        <f t="shared" ref="P53:P79" si="59">IF(D53=0,0,SUM($L$52:L53))</f>
        <v>175257.73195876292</v>
      </c>
      <c r="Q53" s="104">
        <f t="shared" ref="Q53:Q79" si="60">IF(D53=0,0,SUM($J$52:J53))</f>
        <v>159550</v>
      </c>
      <c r="R53" s="108">
        <f t="shared" si="13"/>
        <v>-15707.731958762917</v>
      </c>
      <c r="S53" s="109">
        <f t="shared" si="14"/>
        <v>0.91037352941176453</v>
      </c>
      <c r="T53" s="131"/>
      <c r="U53" s="104">
        <f t="shared" si="21"/>
        <v>2103092.7835051543</v>
      </c>
      <c r="V53" s="104">
        <f t="shared" si="22"/>
        <v>1943400</v>
      </c>
      <c r="W53" s="111">
        <f t="shared" si="15"/>
        <v>-159692.78350515431</v>
      </c>
      <c r="X53" s="112">
        <f t="shared" si="16"/>
        <v>0.92406764705882372</v>
      </c>
      <c r="Y53" s="113">
        <f t="shared" ref="Y53:Z53" si="61">Y52+1</f>
        <v>45690</v>
      </c>
      <c r="Z53" s="114">
        <f t="shared" si="61"/>
        <v>45690</v>
      </c>
      <c r="AA53" s="115">
        <v>5</v>
      </c>
      <c r="AB53" s="120" t="s">
        <v>99</v>
      </c>
      <c r="AC53" s="117">
        <f>IFERROR(AVERAGEIFS(J141:J171,D141:D171,1,G141:G171,"fri"),0)</f>
        <v>119400</v>
      </c>
      <c r="AD53" s="118">
        <f>COUNTIFS(D141:D171,1,G141:G171,"fri")</f>
        <v>5</v>
      </c>
      <c r="AE53" s="117">
        <f>($I$11*[1]リトローボ_実績_2024R6!AI52)/AD53</f>
        <v>0</v>
      </c>
      <c r="AF53" s="117">
        <f t="shared" si="54"/>
        <v>0</v>
      </c>
      <c r="AG53" s="119"/>
    </row>
    <row r="54" spans="1:33" ht="16.5" customHeight="1">
      <c r="A54" s="39"/>
      <c r="B54" s="50"/>
      <c r="C54" s="95">
        <v>34</v>
      </c>
      <c r="D54" s="96">
        <v>0</v>
      </c>
      <c r="E54" s="97">
        <f t="shared" si="8"/>
        <v>2</v>
      </c>
      <c r="F54" s="98">
        <f t="shared" si="18"/>
        <v>45691</v>
      </c>
      <c r="G54" s="99" t="str">
        <f t="shared" si="9"/>
        <v>Mon</v>
      </c>
      <c r="H54" s="100"/>
      <c r="I54" s="101"/>
      <c r="J54" s="135"/>
      <c r="K54" s="136"/>
      <c r="L54" s="104">
        <f t="shared" si="57"/>
        <v>0</v>
      </c>
      <c r="M54" s="105">
        <f t="shared" si="11"/>
        <v>0</v>
      </c>
      <c r="N54" s="106" t="str">
        <f t="shared" si="12"/>
        <v>¥0</v>
      </c>
      <c r="O54" s="133"/>
      <c r="P54" s="104">
        <f t="shared" si="59"/>
        <v>0</v>
      </c>
      <c r="Q54" s="104">
        <f t="shared" si="60"/>
        <v>0</v>
      </c>
      <c r="R54" s="108">
        <f t="shared" si="13"/>
        <v>0</v>
      </c>
      <c r="S54" s="109">
        <f t="shared" si="14"/>
        <v>0</v>
      </c>
      <c r="T54" s="125"/>
      <c r="U54" s="104">
        <f t="shared" si="21"/>
        <v>0</v>
      </c>
      <c r="V54" s="104">
        <f t="shared" si="22"/>
        <v>0</v>
      </c>
      <c r="W54" s="111">
        <f t="shared" si="15"/>
        <v>0</v>
      </c>
      <c r="X54" s="112">
        <f t="shared" si="16"/>
        <v>0</v>
      </c>
      <c r="Y54" s="113">
        <f t="shared" ref="Y54:Z54" si="62">Y53+1</f>
        <v>45691</v>
      </c>
      <c r="Z54" s="114">
        <f t="shared" si="62"/>
        <v>45691</v>
      </c>
      <c r="AA54" s="115">
        <v>5</v>
      </c>
      <c r="AB54" s="120" t="s">
        <v>100</v>
      </c>
      <c r="AC54" s="117">
        <f>IFERROR(AVERAGEIFS(J141:J171,D141:D171,1,G141:G171,"sat"),0)</f>
        <v>62300</v>
      </c>
      <c r="AD54" s="118">
        <f>COUNTIFS(D141:D171,1,G141:G171,"sat")</f>
        <v>5</v>
      </c>
      <c r="AE54" s="117">
        <f>($I$11*[1]リトローボ_実績_2024R6!AI53)/AD54</f>
        <v>0</v>
      </c>
      <c r="AF54" s="117">
        <f t="shared" si="54"/>
        <v>0</v>
      </c>
      <c r="AG54" s="126" t="s">
        <v>108</v>
      </c>
    </row>
    <row r="55" spans="1:33" ht="16.5" customHeight="1">
      <c r="A55" s="39"/>
      <c r="B55" s="50"/>
      <c r="C55" s="95">
        <v>35</v>
      </c>
      <c r="D55" s="96">
        <v>1</v>
      </c>
      <c r="E55" s="97">
        <f t="shared" si="8"/>
        <v>2</v>
      </c>
      <c r="F55" s="98">
        <f t="shared" si="18"/>
        <v>45692</v>
      </c>
      <c r="G55" s="99" t="str">
        <f t="shared" si="9"/>
        <v>Tue</v>
      </c>
      <c r="H55" s="100"/>
      <c r="I55" s="101"/>
      <c r="J55" s="135">
        <v>53050</v>
      </c>
      <c r="K55" s="136"/>
      <c r="L55" s="104">
        <f t="shared" si="57"/>
        <v>87628.865979381459</v>
      </c>
      <c r="M55" s="105">
        <f t="shared" si="11"/>
        <v>-34578.865979381459</v>
      </c>
      <c r="N55" s="106">
        <f t="shared" si="12"/>
        <v>0.60539411764705875</v>
      </c>
      <c r="O55" s="133"/>
      <c r="P55" s="104">
        <f t="shared" si="59"/>
        <v>262886.59793814435</v>
      </c>
      <c r="Q55" s="104">
        <f t="shared" si="60"/>
        <v>212600</v>
      </c>
      <c r="R55" s="108">
        <f t="shared" si="13"/>
        <v>-50286.597938144347</v>
      </c>
      <c r="S55" s="109">
        <f t="shared" si="14"/>
        <v>0.80871372549019604</v>
      </c>
      <c r="T55" s="125"/>
      <c r="U55" s="104">
        <f t="shared" si="21"/>
        <v>2190721.6494845357</v>
      </c>
      <c r="V55" s="104">
        <f t="shared" si="22"/>
        <v>1996450</v>
      </c>
      <c r="W55" s="111">
        <f t="shared" si="15"/>
        <v>-194271.64948453568</v>
      </c>
      <c r="X55" s="112">
        <f t="shared" si="16"/>
        <v>0.91132070588235314</v>
      </c>
      <c r="Y55" s="113">
        <f t="shared" ref="Y55:Z55" si="63">Y54+1</f>
        <v>45692</v>
      </c>
      <c r="Z55" s="114">
        <f t="shared" si="63"/>
        <v>45692</v>
      </c>
      <c r="AA55" s="115">
        <v>5</v>
      </c>
      <c r="AB55" s="120" t="s">
        <v>102</v>
      </c>
      <c r="AC55" s="117">
        <f>IFERROR(AVERAGEIFS(J141:J171,D141:D171,1,G141:G171,"sun"),0)</f>
        <v>100412.5</v>
      </c>
      <c r="AD55" s="118">
        <f>IFERROR(COUNTIFS(D141:D171,1,G141:G171,"sun"),0)</f>
        <v>4</v>
      </c>
      <c r="AE55" s="117">
        <f>IFERROR(($I$11*[1]リトローボ_実績_2024R6!AI54)/AD55,0)</f>
        <v>0</v>
      </c>
      <c r="AF55" s="127">
        <f>SUM(AF49:AF54)</f>
        <v>0</v>
      </c>
      <c r="AG55" s="128">
        <f>I11</f>
        <v>2680412.3711340209</v>
      </c>
    </row>
    <row r="56" spans="1:33" ht="16.5" customHeight="1">
      <c r="A56" s="39"/>
      <c r="B56" s="50"/>
      <c r="C56" s="95">
        <v>36</v>
      </c>
      <c r="D56" s="96">
        <v>1</v>
      </c>
      <c r="E56" s="97">
        <f t="shared" si="8"/>
        <v>2</v>
      </c>
      <c r="F56" s="98">
        <f t="shared" si="18"/>
        <v>45693</v>
      </c>
      <c r="G56" s="99" t="str">
        <f t="shared" si="9"/>
        <v>Wed</v>
      </c>
      <c r="H56" s="100"/>
      <c r="I56" s="101"/>
      <c r="J56" s="135">
        <v>70350</v>
      </c>
      <c r="K56" s="136"/>
      <c r="L56" s="104">
        <f t="shared" si="57"/>
        <v>87628.865979381459</v>
      </c>
      <c r="M56" s="105">
        <f t="shared" si="11"/>
        <v>-17278.865979381459</v>
      </c>
      <c r="N56" s="106">
        <f t="shared" si="12"/>
        <v>0.80281764705882341</v>
      </c>
      <c r="O56" s="133"/>
      <c r="P56" s="104">
        <f t="shared" si="59"/>
        <v>350515.46391752583</v>
      </c>
      <c r="Q56" s="104">
        <f t="shared" si="60"/>
        <v>282950</v>
      </c>
      <c r="R56" s="108">
        <f t="shared" si="13"/>
        <v>-67565.463917525834</v>
      </c>
      <c r="S56" s="109">
        <f t="shared" si="14"/>
        <v>0.80723970588235283</v>
      </c>
      <c r="T56" s="125"/>
      <c r="U56" s="104">
        <f t="shared" si="21"/>
        <v>2278350.5154639171</v>
      </c>
      <c r="V56" s="104">
        <f t="shared" si="22"/>
        <v>2066800</v>
      </c>
      <c r="W56" s="111">
        <f t="shared" si="15"/>
        <v>-211550.51546391705</v>
      </c>
      <c r="X56" s="112">
        <f t="shared" si="16"/>
        <v>0.90714751131221738</v>
      </c>
      <c r="Y56" s="113">
        <f t="shared" ref="Y56:Z56" si="64">Y55+1</f>
        <v>45693</v>
      </c>
      <c r="Z56" s="114">
        <f t="shared" si="64"/>
        <v>45693</v>
      </c>
      <c r="AA56" s="115">
        <v>6</v>
      </c>
      <c r="AB56" s="116" t="s">
        <v>93</v>
      </c>
      <c r="AC56" s="117">
        <f>IFERROR(AVERAGEIFS(J172:J201,D172:D201,1,G172:G201,"mon"),0)</f>
        <v>0</v>
      </c>
      <c r="AD56" s="118">
        <f>COUNTIFS(D172:D201,1,G172:G201,"Mon")</f>
        <v>0</v>
      </c>
      <c r="AE56" s="117">
        <f>IFERROR(($I$12*[1]リトローボ_実績_2024R6!AI55)/AD56,0)</f>
        <v>0</v>
      </c>
      <c r="AF56" s="117">
        <f t="shared" ref="AF56:AF61" si="65">AD56*AE56</f>
        <v>0</v>
      </c>
      <c r="AG56" s="119" t="s">
        <v>109</v>
      </c>
    </row>
    <row r="57" spans="1:33" ht="16.5" customHeight="1">
      <c r="A57" s="39"/>
      <c r="B57" s="50"/>
      <c r="C57" s="95">
        <v>37</v>
      </c>
      <c r="D57" s="96">
        <v>1</v>
      </c>
      <c r="E57" s="97">
        <f t="shared" si="8"/>
        <v>2</v>
      </c>
      <c r="F57" s="98">
        <f t="shared" si="18"/>
        <v>45694</v>
      </c>
      <c r="G57" s="99" t="str">
        <f t="shared" si="9"/>
        <v>Thu</v>
      </c>
      <c r="H57" s="100"/>
      <c r="I57" s="101"/>
      <c r="J57" s="135">
        <v>46900</v>
      </c>
      <c r="K57" s="136"/>
      <c r="L57" s="104">
        <f t="shared" si="57"/>
        <v>87628.865979381459</v>
      </c>
      <c r="M57" s="105">
        <f t="shared" si="11"/>
        <v>-40728.865979381459</v>
      </c>
      <c r="N57" s="106">
        <f t="shared" si="12"/>
        <v>0.53521176470588228</v>
      </c>
      <c r="O57" s="133"/>
      <c r="P57" s="104">
        <f t="shared" si="59"/>
        <v>438144.32989690732</v>
      </c>
      <c r="Q57" s="104">
        <f t="shared" si="60"/>
        <v>329850</v>
      </c>
      <c r="R57" s="108">
        <f t="shared" si="13"/>
        <v>-108294.32989690732</v>
      </c>
      <c r="S57" s="109">
        <f t="shared" si="14"/>
        <v>0.75283411764705865</v>
      </c>
      <c r="T57" s="125"/>
      <c r="U57" s="104">
        <f t="shared" si="21"/>
        <v>2365979.3814432984</v>
      </c>
      <c r="V57" s="104">
        <f t="shared" si="22"/>
        <v>2113700</v>
      </c>
      <c r="W57" s="111">
        <f t="shared" si="15"/>
        <v>-252279.38144329842</v>
      </c>
      <c r="X57" s="112">
        <f t="shared" si="16"/>
        <v>0.89337211328976052</v>
      </c>
      <c r="Y57" s="113">
        <f t="shared" ref="Y57:Z57" si="66">Y56+1</f>
        <v>45694</v>
      </c>
      <c r="Z57" s="114">
        <f t="shared" si="66"/>
        <v>45694</v>
      </c>
      <c r="AA57" s="115">
        <v>6</v>
      </c>
      <c r="AB57" s="120" t="s">
        <v>95</v>
      </c>
      <c r="AC57" s="117">
        <f>IFERROR(AVERAGEIFS(J172:J201,D172:D201,1,G172:G201,"tue"),0)</f>
        <v>68600</v>
      </c>
      <c r="AD57" s="118">
        <f>COUNTIFS(D172:D201,1,G172:G201,"tue")</f>
        <v>4</v>
      </c>
      <c r="AE57" s="117">
        <f>($I$12*[1]リトローボ_実績_2024R6!AI56)/AD57</f>
        <v>0</v>
      </c>
      <c r="AF57" s="117">
        <f t="shared" si="65"/>
        <v>0</v>
      </c>
      <c r="AG57" s="119"/>
    </row>
    <row r="58" spans="1:33" ht="16.5" customHeight="1">
      <c r="A58" s="39"/>
      <c r="B58" s="50"/>
      <c r="C58" s="95">
        <v>38</v>
      </c>
      <c r="D58" s="96">
        <v>1</v>
      </c>
      <c r="E58" s="97">
        <f t="shared" si="8"/>
        <v>2</v>
      </c>
      <c r="F58" s="98">
        <f t="shared" si="18"/>
        <v>45695</v>
      </c>
      <c r="G58" s="99" t="str">
        <f t="shared" si="9"/>
        <v>Fri</v>
      </c>
      <c r="H58" s="100"/>
      <c r="I58" s="101"/>
      <c r="J58" s="135">
        <v>96350</v>
      </c>
      <c r="K58" s="136"/>
      <c r="L58" s="104">
        <f t="shared" si="57"/>
        <v>87628.865979381459</v>
      </c>
      <c r="M58" s="105">
        <f t="shared" si="11"/>
        <v>8721.1340206185414</v>
      </c>
      <c r="N58" s="106">
        <f t="shared" si="12"/>
        <v>1.0995235294117645</v>
      </c>
      <c r="O58" s="133"/>
      <c r="P58" s="104">
        <f t="shared" si="59"/>
        <v>525773.19587628881</v>
      </c>
      <c r="Q58" s="104">
        <f t="shared" si="60"/>
        <v>426200</v>
      </c>
      <c r="R58" s="108">
        <f t="shared" si="13"/>
        <v>-99573.19587628881</v>
      </c>
      <c r="S58" s="109">
        <f t="shared" si="14"/>
        <v>0.81061568627450953</v>
      </c>
      <c r="T58" s="125"/>
      <c r="U58" s="104">
        <f t="shared" si="21"/>
        <v>2453608.2474226798</v>
      </c>
      <c r="V58" s="104">
        <f t="shared" si="22"/>
        <v>2210050</v>
      </c>
      <c r="W58" s="111">
        <f t="shared" si="15"/>
        <v>-243558.24742267979</v>
      </c>
      <c r="X58" s="112">
        <f t="shared" si="16"/>
        <v>0.90073466386554646</v>
      </c>
      <c r="Y58" s="113">
        <f t="shared" ref="Y58:Z58" si="67">Y57+1</f>
        <v>45695</v>
      </c>
      <c r="Z58" s="114">
        <f t="shared" si="67"/>
        <v>45695</v>
      </c>
      <c r="AA58" s="115">
        <v>6</v>
      </c>
      <c r="AB58" s="120" t="s">
        <v>96</v>
      </c>
      <c r="AC58" s="117">
        <f>IFERROR(AVERAGEIFS(J172:J201,D172:D201,1,G172:G201,"wed"),0)</f>
        <v>84250</v>
      </c>
      <c r="AD58" s="118">
        <f>COUNTIFS(D172:D201,1,G172:G201,"wed")</f>
        <v>4</v>
      </c>
      <c r="AE58" s="117">
        <f>($I$12*[1]リトローボ_実績_2024R6!AI57)/AD58</f>
        <v>0</v>
      </c>
      <c r="AF58" s="117">
        <f t="shared" si="65"/>
        <v>0</v>
      </c>
      <c r="AG58" s="119"/>
    </row>
    <row r="59" spans="1:33" ht="16.5" customHeight="1">
      <c r="A59" s="39"/>
      <c r="B59" s="50"/>
      <c r="C59" s="95">
        <v>39</v>
      </c>
      <c r="D59" s="96">
        <v>1</v>
      </c>
      <c r="E59" s="97">
        <f t="shared" si="8"/>
        <v>2</v>
      </c>
      <c r="F59" s="98">
        <f t="shared" si="18"/>
        <v>45696</v>
      </c>
      <c r="G59" s="99" t="str">
        <f t="shared" si="9"/>
        <v>Sat</v>
      </c>
      <c r="H59" s="100"/>
      <c r="I59" s="101"/>
      <c r="J59" s="135">
        <v>72500</v>
      </c>
      <c r="K59" s="136"/>
      <c r="L59" s="104">
        <f t="shared" si="57"/>
        <v>87628.865979381459</v>
      </c>
      <c r="M59" s="105">
        <f t="shared" si="11"/>
        <v>-15128.865979381459</v>
      </c>
      <c r="N59" s="106">
        <f t="shared" si="12"/>
        <v>0.8273529411764704</v>
      </c>
      <c r="O59" s="133"/>
      <c r="P59" s="104">
        <f t="shared" si="59"/>
        <v>613402.0618556703</v>
      </c>
      <c r="Q59" s="104">
        <f t="shared" si="60"/>
        <v>498700</v>
      </c>
      <c r="R59" s="108">
        <f t="shared" si="13"/>
        <v>-114702.0618556703</v>
      </c>
      <c r="S59" s="109">
        <f t="shared" si="14"/>
        <v>0.81300672268907537</v>
      </c>
      <c r="T59" s="125"/>
      <c r="U59" s="104">
        <f t="shared" si="21"/>
        <v>2541237.1134020612</v>
      </c>
      <c r="V59" s="104">
        <f t="shared" si="22"/>
        <v>2282550</v>
      </c>
      <c r="W59" s="111">
        <f t="shared" si="15"/>
        <v>-258687.11340206116</v>
      </c>
      <c r="X59" s="112">
        <f t="shared" si="16"/>
        <v>0.8982042596348887</v>
      </c>
      <c r="Y59" s="113">
        <f t="shared" ref="Y59:Z59" si="68">Y58+1</f>
        <v>45696</v>
      </c>
      <c r="Z59" s="114">
        <f t="shared" si="68"/>
        <v>45696</v>
      </c>
      <c r="AA59" s="115">
        <v>6</v>
      </c>
      <c r="AB59" s="120" t="s">
        <v>97</v>
      </c>
      <c r="AC59" s="117">
        <f>IFERROR(AVERAGEIFS(J172:J201,D172:D201,1,G172:G201,"thu"),0)</f>
        <v>104375</v>
      </c>
      <c r="AD59" s="118">
        <f>COUNTIFS(D172:D201,1,G172:G201,"thu")</f>
        <v>4</v>
      </c>
      <c r="AE59" s="117">
        <f>($I$12*[1]リトローボ_実績_2024R6!AI58)/AD59</f>
        <v>0</v>
      </c>
      <c r="AF59" s="117">
        <f t="shared" si="65"/>
        <v>0</v>
      </c>
      <c r="AG59" s="119"/>
    </row>
    <row r="60" spans="1:33" ht="16.5" customHeight="1">
      <c r="A60" s="39"/>
      <c r="B60" s="50"/>
      <c r="C60" s="95">
        <v>40</v>
      </c>
      <c r="D60" s="96">
        <v>1</v>
      </c>
      <c r="E60" s="97">
        <f t="shared" si="8"/>
        <v>2</v>
      </c>
      <c r="F60" s="98">
        <f t="shared" si="18"/>
        <v>45697</v>
      </c>
      <c r="G60" s="99" t="str">
        <f t="shared" si="9"/>
        <v>Sun</v>
      </c>
      <c r="H60" s="100"/>
      <c r="I60" s="101"/>
      <c r="J60" s="135">
        <v>75650</v>
      </c>
      <c r="K60" s="136"/>
      <c r="L60" s="104">
        <f t="shared" si="57"/>
        <v>87628.865979381459</v>
      </c>
      <c r="M60" s="105">
        <f t="shared" si="11"/>
        <v>-11978.865979381459</v>
      </c>
      <c r="N60" s="106">
        <f t="shared" si="12"/>
        <v>0.86329999999999985</v>
      </c>
      <c r="O60" s="134"/>
      <c r="P60" s="104">
        <f t="shared" si="59"/>
        <v>701030.92783505179</v>
      </c>
      <c r="Q60" s="104">
        <f t="shared" si="60"/>
        <v>574350</v>
      </c>
      <c r="R60" s="108">
        <f t="shared" si="13"/>
        <v>-126680.92783505179</v>
      </c>
      <c r="S60" s="109">
        <f t="shared" si="14"/>
        <v>0.81929338235294091</v>
      </c>
      <c r="T60" s="131"/>
      <c r="U60" s="104">
        <f t="shared" si="21"/>
        <v>2628865.9793814425</v>
      </c>
      <c r="V60" s="104">
        <f t="shared" si="22"/>
        <v>2358200</v>
      </c>
      <c r="W60" s="111">
        <f t="shared" si="15"/>
        <v>-270665.97938144254</v>
      </c>
      <c r="X60" s="112">
        <f t="shared" si="16"/>
        <v>0.8970407843137258</v>
      </c>
      <c r="Y60" s="113">
        <f t="shared" ref="Y60:Z60" si="69">Y59+1</f>
        <v>45697</v>
      </c>
      <c r="Z60" s="114">
        <f t="shared" si="69"/>
        <v>45697</v>
      </c>
      <c r="AA60" s="115">
        <v>6</v>
      </c>
      <c r="AB60" s="120" t="s">
        <v>99</v>
      </c>
      <c r="AC60" s="117">
        <f>IFERROR(AVERAGEIFS(J172:J201,D172:D201,1,G172:G201,"fri"),0)</f>
        <v>142137.5</v>
      </c>
      <c r="AD60" s="118">
        <f>COUNTIFS(D172:D201,1,G172:G201,"fri")</f>
        <v>4</v>
      </c>
      <c r="AE60" s="117">
        <f>($I$12*[1]リトローボ_実績_2024R6!AI59)/AD60</f>
        <v>0</v>
      </c>
      <c r="AF60" s="117">
        <f t="shared" si="65"/>
        <v>0</v>
      </c>
      <c r="AG60" s="119"/>
    </row>
    <row r="61" spans="1:33" ht="16.5" customHeight="1">
      <c r="A61" s="39"/>
      <c r="B61" s="50"/>
      <c r="C61" s="95">
        <v>41</v>
      </c>
      <c r="D61" s="96">
        <v>0</v>
      </c>
      <c r="E61" s="97">
        <f t="shared" si="8"/>
        <v>2</v>
      </c>
      <c r="F61" s="98">
        <f t="shared" si="18"/>
        <v>45698</v>
      </c>
      <c r="G61" s="99" t="str">
        <f t="shared" si="9"/>
        <v>Mon</v>
      </c>
      <c r="H61" s="100"/>
      <c r="I61" s="101"/>
      <c r="J61" s="135"/>
      <c r="K61" s="136"/>
      <c r="L61" s="104">
        <f t="shared" si="57"/>
        <v>0</v>
      </c>
      <c r="M61" s="105">
        <f t="shared" si="11"/>
        <v>0</v>
      </c>
      <c r="N61" s="106" t="str">
        <f t="shared" si="12"/>
        <v>¥0</v>
      </c>
      <c r="O61" s="133"/>
      <c r="P61" s="104">
        <f t="shared" si="59"/>
        <v>0</v>
      </c>
      <c r="Q61" s="104">
        <f t="shared" si="60"/>
        <v>0</v>
      </c>
      <c r="R61" s="108">
        <f t="shared" si="13"/>
        <v>0</v>
      </c>
      <c r="S61" s="109">
        <f t="shared" si="14"/>
        <v>0</v>
      </c>
      <c r="T61" s="125"/>
      <c r="U61" s="104">
        <f t="shared" si="21"/>
        <v>0</v>
      </c>
      <c r="V61" s="104">
        <f t="shared" si="22"/>
        <v>0</v>
      </c>
      <c r="W61" s="111">
        <f t="shared" si="15"/>
        <v>0</v>
      </c>
      <c r="X61" s="112">
        <f t="shared" si="16"/>
        <v>0</v>
      </c>
      <c r="Y61" s="113">
        <f t="shared" ref="Y61:Z61" si="70">Y60+1</f>
        <v>45698</v>
      </c>
      <c r="Z61" s="114">
        <f t="shared" si="70"/>
        <v>45698</v>
      </c>
      <c r="AA61" s="115">
        <v>6</v>
      </c>
      <c r="AB61" s="120" t="s">
        <v>100</v>
      </c>
      <c r="AC61" s="117">
        <f>IFERROR(AVERAGEIFS(J172:J201,D172:D201,1,G172:G201,"sat"),0)</f>
        <v>100487.5</v>
      </c>
      <c r="AD61" s="118">
        <f>COUNTIFS(D172:D201,1,G172:G201,"sat")</f>
        <v>4</v>
      </c>
      <c r="AE61" s="117">
        <f>($I$12*[1]リトローボ_実績_2024R6!AI60)/AD61</f>
        <v>0</v>
      </c>
      <c r="AF61" s="117">
        <f t="shared" si="65"/>
        <v>0</v>
      </c>
      <c r="AG61" s="126" t="s">
        <v>110</v>
      </c>
    </row>
    <row r="62" spans="1:33" ht="16.5" customHeight="1">
      <c r="A62" s="39"/>
      <c r="B62" s="50"/>
      <c r="C62" s="95">
        <v>42</v>
      </c>
      <c r="D62" s="96">
        <v>0</v>
      </c>
      <c r="E62" s="97">
        <f t="shared" si="8"/>
        <v>2</v>
      </c>
      <c r="F62" s="98">
        <f t="shared" si="18"/>
        <v>45699</v>
      </c>
      <c r="G62" s="99" t="str">
        <f t="shared" si="9"/>
        <v>Tue</v>
      </c>
      <c r="H62" s="100"/>
      <c r="I62" s="101"/>
      <c r="J62" s="135"/>
      <c r="K62" s="136"/>
      <c r="L62" s="104">
        <f t="shared" si="57"/>
        <v>0</v>
      </c>
      <c r="M62" s="105">
        <f t="shared" si="11"/>
        <v>0</v>
      </c>
      <c r="N62" s="106" t="str">
        <f t="shared" si="12"/>
        <v>¥0</v>
      </c>
      <c r="O62" s="134"/>
      <c r="P62" s="104">
        <f t="shared" si="59"/>
        <v>0</v>
      </c>
      <c r="Q62" s="104">
        <f t="shared" si="60"/>
        <v>0</v>
      </c>
      <c r="R62" s="108">
        <f t="shared" si="13"/>
        <v>0</v>
      </c>
      <c r="S62" s="109">
        <f t="shared" si="14"/>
        <v>0</v>
      </c>
      <c r="T62" s="131"/>
      <c r="U62" s="104">
        <f t="shared" si="21"/>
        <v>0</v>
      </c>
      <c r="V62" s="104">
        <f t="shared" si="22"/>
        <v>0</v>
      </c>
      <c r="W62" s="111">
        <f t="shared" si="15"/>
        <v>0</v>
      </c>
      <c r="X62" s="112">
        <f t="shared" si="16"/>
        <v>0</v>
      </c>
      <c r="Y62" s="113">
        <f t="shared" ref="Y62:Z62" si="71">Y61+1</f>
        <v>45699</v>
      </c>
      <c r="Z62" s="114">
        <f t="shared" si="71"/>
        <v>45699</v>
      </c>
      <c r="AA62" s="115">
        <v>6</v>
      </c>
      <c r="AB62" s="120" t="s">
        <v>102</v>
      </c>
      <c r="AC62" s="117">
        <f>IFERROR(AVERAGEIFS(J172:J201,D172:D201,1,G172:G201,"sun"),0)</f>
        <v>79370</v>
      </c>
      <c r="AD62" s="118">
        <f>IFERROR(COUNTIFS(D172:D201,1,G172:G201,"sun"),0)</f>
        <v>5</v>
      </c>
      <c r="AE62" s="117">
        <f>IFERROR(($I$12*[1]リトローボ_実績_2024R6!AI61)/AD62,0)</f>
        <v>0</v>
      </c>
      <c r="AF62" s="127">
        <f>SUM(AF56:AF61)</f>
        <v>0</v>
      </c>
      <c r="AG62" s="128">
        <f>I12</f>
        <v>2190721.6494845361</v>
      </c>
    </row>
    <row r="63" spans="1:33" ht="16.5" customHeight="1">
      <c r="A63" s="39"/>
      <c r="B63" s="50"/>
      <c r="C63" s="95">
        <v>43</v>
      </c>
      <c r="D63" s="96">
        <v>1</v>
      </c>
      <c r="E63" s="97">
        <f t="shared" si="8"/>
        <v>2</v>
      </c>
      <c r="F63" s="98">
        <f t="shared" si="18"/>
        <v>45700</v>
      </c>
      <c r="G63" s="99" t="str">
        <f t="shared" si="9"/>
        <v>Wed</v>
      </c>
      <c r="H63" s="100"/>
      <c r="I63" s="101"/>
      <c r="J63" s="135">
        <v>72400</v>
      </c>
      <c r="K63" s="136"/>
      <c r="L63" s="104">
        <f t="shared" si="57"/>
        <v>87628.865979381459</v>
      </c>
      <c r="M63" s="105">
        <f t="shared" si="11"/>
        <v>-15228.865979381459</v>
      </c>
      <c r="N63" s="106">
        <f t="shared" si="12"/>
        <v>0.8262117647058822</v>
      </c>
      <c r="O63" s="133"/>
      <c r="P63" s="104">
        <f t="shared" si="59"/>
        <v>788659.79381443327</v>
      </c>
      <c r="Q63" s="104">
        <f t="shared" si="60"/>
        <v>646750</v>
      </c>
      <c r="R63" s="108">
        <f t="shared" si="13"/>
        <v>-141909.79381443327</v>
      </c>
      <c r="S63" s="109">
        <f t="shared" si="14"/>
        <v>0.8200620915032677</v>
      </c>
      <c r="T63" s="125"/>
      <c r="U63" s="104">
        <f t="shared" si="21"/>
        <v>2716494.8453608239</v>
      </c>
      <c r="V63" s="104">
        <f t="shared" si="22"/>
        <v>2430600</v>
      </c>
      <c r="W63" s="111">
        <f t="shared" si="15"/>
        <v>-285894.84536082391</v>
      </c>
      <c r="X63" s="112">
        <f t="shared" si="16"/>
        <v>0.89475597722960176</v>
      </c>
      <c r="Y63" s="113">
        <f t="shared" ref="Y63:Z63" si="72">Y62+1</f>
        <v>45700</v>
      </c>
      <c r="Z63" s="114">
        <f t="shared" si="72"/>
        <v>45700</v>
      </c>
      <c r="AA63" s="115">
        <v>7</v>
      </c>
      <c r="AB63" s="116" t="s">
        <v>93</v>
      </c>
      <c r="AC63" s="117">
        <f>IFERROR(AVERAGEIFS(J202:J232,D202:D232,1,G202:G232,"mon"),0)</f>
        <v>0</v>
      </c>
      <c r="AD63" s="118">
        <f>COUNTIFS(D202:D232,1,G202:G232,"Mon")</f>
        <v>0</v>
      </c>
      <c r="AE63" s="117">
        <f>IFERROR(($I$13*[1]リトローボ_実績_2024R6!AI62)/AD63,0)</f>
        <v>0</v>
      </c>
      <c r="AF63" s="117">
        <f t="shared" ref="AF63:AF68" si="73">AD63*AE63</f>
        <v>0</v>
      </c>
      <c r="AG63" s="119" t="s">
        <v>111</v>
      </c>
    </row>
    <row r="64" spans="1:33" ht="16.5" customHeight="1">
      <c r="A64" s="39"/>
      <c r="B64" s="50"/>
      <c r="C64" s="95">
        <v>44</v>
      </c>
      <c r="D64" s="96">
        <v>1</v>
      </c>
      <c r="E64" s="97">
        <f t="shared" si="8"/>
        <v>2</v>
      </c>
      <c r="F64" s="98">
        <f t="shared" si="18"/>
        <v>45701</v>
      </c>
      <c r="G64" s="99" t="str">
        <f t="shared" si="9"/>
        <v>Thu</v>
      </c>
      <c r="H64" s="100"/>
      <c r="I64" s="101"/>
      <c r="J64" s="135">
        <v>106950</v>
      </c>
      <c r="K64" s="136"/>
      <c r="L64" s="104">
        <f t="shared" si="57"/>
        <v>87628.865979381459</v>
      </c>
      <c r="M64" s="105">
        <f t="shared" si="11"/>
        <v>19321.134020618541</v>
      </c>
      <c r="N64" s="106">
        <f t="shared" si="12"/>
        <v>1.2204882352941175</v>
      </c>
      <c r="O64" s="133"/>
      <c r="P64" s="104">
        <f t="shared" si="59"/>
        <v>876288.65979381476</v>
      </c>
      <c r="Q64" s="104">
        <f t="shared" si="60"/>
        <v>753700</v>
      </c>
      <c r="R64" s="108">
        <f t="shared" si="13"/>
        <v>-122588.65979381476</v>
      </c>
      <c r="S64" s="109">
        <f t="shared" si="14"/>
        <v>0.86010470588235266</v>
      </c>
      <c r="T64" s="125"/>
      <c r="U64" s="104">
        <f t="shared" si="21"/>
        <v>2804123.7113402053</v>
      </c>
      <c r="V64" s="104">
        <f t="shared" si="22"/>
        <v>2537550</v>
      </c>
      <c r="W64" s="111">
        <f t="shared" si="15"/>
        <v>-266573.71134020528</v>
      </c>
      <c r="X64" s="112">
        <f t="shared" si="16"/>
        <v>0.90493511029411799</v>
      </c>
      <c r="Y64" s="113">
        <f t="shared" ref="Y64:Z64" si="74">Y63+1</f>
        <v>45701</v>
      </c>
      <c r="Z64" s="114">
        <f t="shared" si="74"/>
        <v>45701</v>
      </c>
      <c r="AA64" s="115">
        <v>7</v>
      </c>
      <c r="AB64" s="120" t="s">
        <v>95</v>
      </c>
      <c r="AC64" s="117">
        <f>IFERROR(AVERAGEIFS(J202:J232,D202:D232,1,G202:G232,"tue"),0)</f>
        <v>91712.5</v>
      </c>
      <c r="AD64" s="118">
        <f>COUNTIFS(D202:D232,1,G202:G232,"tue")</f>
        <v>4</v>
      </c>
      <c r="AE64" s="117">
        <f>($I$13*[1]リトローボ_実績_2024R6!AI63)/AD64</f>
        <v>0</v>
      </c>
      <c r="AF64" s="117">
        <f t="shared" si="73"/>
        <v>0</v>
      </c>
      <c r="AG64" s="119"/>
    </row>
    <row r="65" spans="1:33" ht="16.5" customHeight="1">
      <c r="A65" s="39"/>
      <c r="B65" s="50"/>
      <c r="C65" s="95">
        <v>45</v>
      </c>
      <c r="D65" s="96">
        <v>1</v>
      </c>
      <c r="E65" s="97">
        <f t="shared" si="8"/>
        <v>2</v>
      </c>
      <c r="F65" s="98">
        <f t="shared" si="18"/>
        <v>45702</v>
      </c>
      <c r="G65" s="99" t="str">
        <f t="shared" si="9"/>
        <v>Fri</v>
      </c>
      <c r="H65" s="100"/>
      <c r="I65" s="101"/>
      <c r="J65" s="135">
        <v>103350</v>
      </c>
      <c r="K65" s="136"/>
      <c r="L65" s="104">
        <f t="shared" si="57"/>
        <v>87628.865979381459</v>
      </c>
      <c r="M65" s="105">
        <f t="shared" si="11"/>
        <v>15721.134020618541</v>
      </c>
      <c r="N65" s="106">
        <f t="shared" si="12"/>
        <v>1.179405882352941</v>
      </c>
      <c r="O65" s="133"/>
      <c r="P65" s="104">
        <f t="shared" si="59"/>
        <v>963917.52577319625</v>
      </c>
      <c r="Q65" s="104">
        <f t="shared" si="60"/>
        <v>857050</v>
      </c>
      <c r="R65" s="108">
        <f t="shared" si="13"/>
        <v>-106867.52577319625</v>
      </c>
      <c r="S65" s="109">
        <f t="shared" si="14"/>
        <v>0.88913208556149703</v>
      </c>
      <c r="T65" s="125"/>
      <c r="U65" s="104">
        <f t="shared" si="21"/>
        <v>2891752.5773195866</v>
      </c>
      <c r="V65" s="104">
        <f t="shared" si="22"/>
        <v>2640900</v>
      </c>
      <c r="W65" s="111">
        <f t="shared" si="15"/>
        <v>-250852.57731958665</v>
      </c>
      <c r="X65" s="112">
        <f t="shared" si="16"/>
        <v>0.91325240641711258</v>
      </c>
      <c r="Y65" s="113">
        <f t="shared" ref="Y65:Z65" si="75">Y64+1</f>
        <v>45702</v>
      </c>
      <c r="Z65" s="114">
        <f t="shared" si="75"/>
        <v>45702</v>
      </c>
      <c r="AA65" s="115">
        <v>7</v>
      </c>
      <c r="AB65" s="120" t="s">
        <v>96</v>
      </c>
      <c r="AC65" s="117">
        <f>IFERROR(AVERAGEIFS(J202:J232,D202:D232,1,G202:G232,"wed"),0)</f>
        <v>94700</v>
      </c>
      <c r="AD65" s="118">
        <f>COUNTIFS(D202:D232,1,G202:G232,"wed")</f>
        <v>4</v>
      </c>
      <c r="AE65" s="117">
        <f>($I$13*[1]リトローボ_実績_2024R6!AI64)/AD65</f>
        <v>0</v>
      </c>
      <c r="AF65" s="117">
        <f t="shared" si="73"/>
        <v>0</v>
      </c>
      <c r="AG65" s="119"/>
    </row>
    <row r="66" spans="1:33" ht="16.5" customHeight="1">
      <c r="A66" s="39"/>
      <c r="B66" s="50"/>
      <c r="C66" s="95">
        <v>46</v>
      </c>
      <c r="D66" s="96">
        <v>1</v>
      </c>
      <c r="E66" s="97">
        <f t="shared" si="8"/>
        <v>2</v>
      </c>
      <c r="F66" s="98">
        <f t="shared" si="18"/>
        <v>45703</v>
      </c>
      <c r="G66" s="99" t="str">
        <f t="shared" si="9"/>
        <v>Sat</v>
      </c>
      <c r="H66" s="100"/>
      <c r="I66" s="101"/>
      <c r="J66" s="135">
        <v>68600</v>
      </c>
      <c r="K66" s="136"/>
      <c r="L66" s="104">
        <f t="shared" si="57"/>
        <v>87628.865979381459</v>
      </c>
      <c r="M66" s="105">
        <f t="shared" si="11"/>
        <v>-19028.865979381459</v>
      </c>
      <c r="N66" s="106">
        <f t="shared" si="12"/>
        <v>0.78284705882352923</v>
      </c>
      <c r="O66" s="133"/>
      <c r="P66" s="104">
        <f t="shared" si="59"/>
        <v>1051546.3917525776</v>
      </c>
      <c r="Q66" s="104">
        <f t="shared" si="60"/>
        <v>925650</v>
      </c>
      <c r="R66" s="108">
        <f t="shared" si="13"/>
        <v>-125896.39175257762</v>
      </c>
      <c r="S66" s="109">
        <f t="shared" si="14"/>
        <v>0.8802749999999997</v>
      </c>
      <c r="T66" s="125"/>
      <c r="U66" s="104">
        <f t="shared" si="21"/>
        <v>2979381.443298968</v>
      </c>
      <c r="V66" s="104">
        <f t="shared" si="22"/>
        <v>2709500</v>
      </c>
      <c r="W66" s="111">
        <f t="shared" si="15"/>
        <v>-269881.44329896802</v>
      </c>
      <c r="X66" s="112">
        <f t="shared" si="16"/>
        <v>0.90941695501730135</v>
      </c>
      <c r="Y66" s="113">
        <f t="shared" ref="Y66:Z66" si="76">Y65+1</f>
        <v>45703</v>
      </c>
      <c r="Z66" s="114">
        <f t="shared" si="76"/>
        <v>45703</v>
      </c>
      <c r="AA66" s="115">
        <v>7</v>
      </c>
      <c r="AB66" s="120" t="s">
        <v>97</v>
      </c>
      <c r="AC66" s="117">
        <f>IFERROR(AVERAGEIFS(J202:J232,D202:D232,1,G202:G232,"thu"),0)</f>
        <v>96660</v>
      </c>
      <c r="AD66" s="118">
        <f>COUNTIFS(D202:D232,1,G202:G232,"thu")</f>
        <v>5</v>
      </c>
      <c r="AE66" s="117">
        <f>($I$13*[1]リトローボ_実績_2024R6!AI65)/AD66</f>
        <v>0</v>
      </c>
      <c r="AF66" s="117">
        <f t="shared" si="73"/>
        <v>0</v>
      </c>
      <c r="AG66" s="119"/>
    </row>
    <row r="67" spans="1:33" ht="16.5" customHeight="1">
      <c r="A67" s="39"/>
      <c r="B67" s="50"/>
      <c r="C67" s="95">
        <v>47</v>
      </c>
      <c r="D67" s="96">
        <v>1</v>
      </c>
      <c r="E67" s="97">
        <f t="shared" si="8"/>
        <v>2</v>
      </c>
      <c r="F67" s="98">
        <f t="shared" si="18"/>
        <v>45704</v>
      </c>
      <c r="G67" s="99" t="str">
        <f t="shared" si="9"/>
        <v>Sun</v>
      </c>
      <c r="H67" s="100"/>
      <c r="I67" s="101"/>
      <c r="J67" s="135">
        <v>74850</v>
      </c>
      <c r="K67" s="136"/>
      <c r="L67" s="104">
        <f t="shared" si="57"/>
        <v>87628.865979381459</v>
      </c>
      <c r="M67" s="105">
        <f t="shared" si="11"/>
        <v>-12778.865979381459</v>
      </c>
      <c r="N67" s="106">
        <f t="shared" si="12"/>
        <v>0.85417058823529401</v>
      </c>
      <c r="O67" s="134"/>
      <c r="P67" s="104">
        <f t="shared" si="59"/>
        <v>1139175.257731959</v>
      </c>
      <c r="Q67" s="104">
        <f t="shared" si="60"/>
        <v>1000500</v>
      </c>
      <c r="R67" s="108">
        <f t="shared" si="13"/>
        <v>-138675.25773195899</v>
      </c>
      <c r="S67" s="109">
        <f t="shared" si="14"/>
        <v>0.87826696832579165</v>
      </c>
      <c r="T67" s="131"/>
      <c r="U67" s="104">
        <f t="shared" si="21"/>
        <v>3067010.3092783494</v>
      </c>
      <c r="V67" s="104">
        <f t="shared" si="22"/>
        <v>2784350</v>
      </c>
      <c r="W67" s="111">
        <f t="shared" si="15"/>
        <v>-282660.30927834939</v>
      </c>
      <c r="X67" s="112">
        <f t="shared" si="16"/>
        <v>0.90783848739495832</v>
      </c>
      <c r="Y67" s="113">
        <f t="shared" ref="Y67:Z67" si="77">Y66+1</f>
        <v>45704</v>
      </c>
      <c r="Z67" s="114">
        <f t="shared" si="77"/>
        <v>45704</v>
      </c>
      <c r="AA67" s="115">
        <v>7</v>
      </c>
      <c r="AB67" s="120" t="s">
        <v>99</v>
      </c>
      <c r="AC67" s="117">
        <f>IFERROR(AVERAGEIFS(J202:J232,D202:D232,1,G202:G232,"fri"),0)</f>
        <v>124962.5</v>
      </c>
      <c r="AD67" s="118">
        <f>COUNTIFS(D202:D232,1,G202:G232,"fri")</f>
        <v>4</v>
      </c>
      <c r="AE67" s="117">
        <f>($I$13*[1]リトローボ_実績_2024R6!AI66)/AD67</f>
        <v>0</v>
      </c>
      <c r="AF67" s="117">
        <f t="shared" si="73"/>
        <v>0</v>
      </c>
      <c r="AG67" s="119"/>
    </row>
    <row r="68" spans="1:33" ht="16.5" customHeight="1">
      <c r="A68" s="39"/>
      <c r="B68" s="50"/>
      <c r="C68" s="95">
        <v>48</v>
      </c>
      <c r="D68" s="96">
        <v>0</v>
      </c>
      <c r="E68" s="97">
        <f t="shared" si="8"/>
        <v>2</v>
      </c>
      <c r="F68" s="98">
        <f t="shared" si="18"/>
        <v>45705</v>
      </c>
      <c r="G68" s="99" t="str">
        <f t="shared" si="9"/>
        <v>Mon</v>
      </c>
      <c r="H68" s="100"/>
      <c r="I68" s="101"/>
      <c r="J68" s="135"/>
      <c r="K68" s="136"/>
      <c r="L68" s="104">
        <f t="shared" si="57"/>
        <v>0</v>
      </c>
      <c r="M68" s="105">
        <f t="shared" si="11"/>
        <v>0</v>
      </c>
      <c r="N68" s="106" t="str">
        <f t="shared" si="12"/>
        <v>¥0</v>
      </c>
      <c r="O68" s="133"/>
      <c r="P68" s="104">
        <f t="shared" si="59"/>
        <v>0</v>
      </c>
      <c r="Q68" s="104">
        <f t="shared" si="60"/>
        <v>0</v>
      </c>
      <c r="R68" s="108">
        <f t="shared" si="13"/>
        <v>0</v>
      </c>
      <c r="S68" s="109">
        <f t="shared" si="14"/>
        <v>0</v>
      </c>
      <c r="T68" s="125"/>
      <c r="U68" s="104">
        <f t="shared" si="21"/>
        <v>0</v>
      </c>
      <c r="V68" s="104">
        <f t="shared" si="22"/>
        <v>0</v>
      </c>
      <c r="W68" s="111">
        <f t="shared" si="15"/>
        <v>0</v>
      </c>
      <c r="X68" s="112">
        <f t="shared" si="16"/>
        <v>0</v>
      </c>
      <c r="Y68" s="113">
        <f t="shared" ref="Y68:Z68" si="78">Y67+1</f>
        <v>45705</v>
      </c>
      <c r="Z68" s="114">
        <f t="shared" si="78"/>
        <v>45705</v>
      </c>
      <c r="AA68" s="115">
        <v>7</v>
      </c>
      <c r="AB68" s="120" t="s">
        <v>100</v>
      </c>
      <c r="AC68" s="117">
        <f>IFERROR(AVERAGEIFS(J202:J232,D202:D232,1,G202:G232,"sat"),0)</f>
        <v>55787.5</v>
      </c>
      <c r="AD68" s="118">
        <f>COUNTIFS(D202:D232,1,G202:G232,"sat")</f>
        <v>4</v>
      </c>
      <c r="AE68" s="117">
        <f>($I$13*[1]リトローボ_実績_2024R6!AI67)/AD68</f>
        <v>0</v>
      </c>
      <c r="AF68" s="117">
        <f t="shared" si="73"/>
        <v>0</v>
      </c>
      <c r="AG68" s="126" t="s">
        <v>112</v>
      </c>
    </row>
    <row r="69" spans="1:33" ht="16.5" customHeight="1">
      <c r="A69" s="39"/>
      <c r="B69" s="50"/>
      <c r="C69" s="95">
        <v>49</v>
      </c>
      <c r="D69" s="96">
        <v>1</v>
      </c>
      <c r="E69" s="97">
        <f t="shared" si="8"/>
        <v>2</v>
      </c>
      <c r="F69" s="98">
        <f t="shared" si="18"/>
        <v>45706</v>
      </c>
      <c r="G69" s="99" t="str">
        <f t="shared" si="9"/>
        <v>Tue</v>
      </c>
      <c r="H69" s="100"/>
      <c r="I69" s="101"/>
      <c r="J69" s="135">
        <v>34300</v>
      </c>
      <c r="K69" s="136"/>
      <c r="L69" s="104">
        <f t="shared" si="57"/>
        <v>87628.865979381459</v>
      </c>
      <c r="M69" s="105">
        <f t="shared" si="11"/>
        <v>-53328.865979381459</v>
      </c>
      <c r="N69" s="106">
        <f t="shared" si="12"/>
        <v>0.39142352941176461</v>
      </c>
      <c r="O69" s="133"/>
      <c r="P69" s="104">
        <f t="shared" si="59"/>
        <v>1226804.1237113404</v>
      </c>
      <c r="Q69" s="104">
        <f t="shared" si="60"/>
        <v>1034800</v>
      </c>
      <c r="R69" s="108">
        <f t="shared" si="13"/>
        <v>-192004.12371134036</v>
      </c>
      <c r="S69" s="109">
        <f t="shared" si="14"/>
        <v>0.84349243697478982</v>
      </c>
      <c r="T69" s="125"/>
      <c r="U69" s="104">
        <f t="shared" si="21"/>
        <v>3154639.1752577308</v>
      </c>
      <c r="V69" s="104">
        <f t="shared" si="22"/>
        <v>2818650</v>
      </c>
      <c r="W69" s="111">
        <f t="shared" si="15"/>
        <v>-335989.17525773076</v>
      </c>
      <c r="X69" s="112">
        <f t="shared" si="16"/>
        <v>0.89349362745098071</v>
      </c>
      <c r="Y69" s="113">
        <f t="shared" ref="Y69:Z69" si="79">Y68+1</f>
        <v>45706</v>
      </c>
      <c r="Z69" s="114">
        <f t="shared" si="79"/>
        <v>45706</v>
      </c>
      <c r="AA69" s="115">
        <v>7</v>
      </c>
      <c r="AB69" s="120" t="s">
        <v>102</v>
      </c>
      <c r="AC69" s="117">
        <f>IFERROR(AVERAGEIFS(J202:J232,D202:D232,1,G202:G232,"sun"),0)</f>
        <v>88950</v>
      </c>
      <c r="AD69" s="118">
        <f>IFERROR(COUNTIFS(D202:D232,1,G202:G232,"sun"),0)</f>
        <v>4</v>
      </c>
      <c r="AE69" s="117">
        <f>IFERROR(($I$13*[1]リトローボ_実績_2024R6!AI68)/AD69,0)</f>
        <v>0</v>
      </c>
      <c r="AF69" s="127">
        <f>SUM(AF63:AF68)</f>
        <v>0</v>
      </c>
      <c r="AG69" s="128">
        <f>I13</f>
        <v>2835051.546391753</v>
      </c>
    </row>
    <row r="70" spans="1:33" ht="16.5" customHeight="1">
      <c r="A70" s="39"/>
      <c r="B70" s="50"/>
      <c r="C70" s="95">
        <v>50</v>
      </c>
      <c r="D70" s="96">
        <v>1</v>
      </c>
      <c r="E70" s="97">
        <f t="shared" si="8"/>
        <v>2</v>
      </c>
      <c r="F70" s="98">
        <f t="shared" si="18"/>
        <v>45707</v>
      </c>
      <c r="G70" s="99" t="str">
        <f t="shared" si="9"/>
        <v>Wed</v>
      </c>
      <c r="H70" s="100"/>
      <c r="I70" s="101"/>
      <c r="J70" s="135">
        <v>50550</v>
      </c>
      <c r="K70" s="136"/>
      <c r="L70" s="104">
        <f t="shared" si="57"/>
        <v>87628.865979381459</v>
      </c>
      <c r="M70" s="105">
        <f t="shared" si="11"/>
        <v>-37078.865979381459</v>
      </c>
      <c r="N70" s="106">
        <f t="shared" si="12"/>
        <v>0.57686470588235284</v>
      </c>
      <c r="O70" s="133"/>
      <c r="P70" s="104">
        <f t="shared" si="59"/>
        <v>1314432.9896907217</v>
      </c>
      <c r="Q70" s="104">
        <f t="shared" si="60"/>
        <v>1085350</v>
      </c>
      <c r="R70" s="108">
        <f t="shared" si="13"/>
        <v>-229082.98969072173</v>
      </c>
      <c r="S70" s="109">
        <f t="shared" si="14"/>
        <v>0.82571725490196068</v>
      </c>
      <c r="T70" s="125"/>
      <c r="U70" s="104">
        <f t="shared" si="21"/>
        <v>3242268.0412371121</v>
      </c>
      <c r="V70" s="104">
        <f t="shared" si="22"/>
        <v>2869200</v>
      </c>
      <c r="W70" s="111">
        <f t="shared" si="15"/>
        <v>-373068.04123711213</v>
      </c>
      <c r="X70" s="112">
        <f t="shared" si="16"/>
        <v>0.88493608903020704</v>
      </c>
      <c r="Y70" s="113">
        <f t="shared" ref="Y70:Z70" si="80">Y69+1</f>
        <v>45707</v>
      </c>
      <c r="Z70" s="114">
        <f t="shared" si="80"/>
        <v>45707</v>
      </c>
      <c r="AA70" s="115">
        <v>8</v>
      </c>
      <c r="AB70" s="116" t="s">
        <v>93</v>
      </c>
      <c r="AC70" s="117">
        <f>IFERROR(AVERAGEIFS(J233:J263,D233:D263,1,G233:G263,"mon"),0)</f>
        <v>50400</v>
      </c>
      <c r="AD70" s="118">
        <f>COUNTIFS(D233:D263,1,G233:G263,"Mon")</f>
        <v>1</v>
      </c>
      <c r="AE70" s="117">
        <f>IFERROR(($I$14*[1]リトローボ_実績_2024R6!AI69)/AD70,0)</f>
        <v>0</v>
      </c>
      <c r="AF70" s="117">
        <f t="shared" ref="AF70:AF75" si="81">AD70*AE70</f>
        <v>0</v>
      </c>
      <c r="AG70" s="119" t="s">
        <v>113</v>
      </c>
    </row>
    <row r="71" spans="1:33" ht="16.5" customHeight="1">
      <c r="A71" s="39"/>
      <c r="B71" s="50"/>
      <c r="C71" s="95">
        <v>51</v>
      </c>
      <c r="D71" s="96">
        <v>1</v>
      </c>
      <c r="E71" s="97">
        <f t="shared" si="8"/>
        <v>2</v>
      </c>
      <c r="F71" s="98">
        <f t="shared" si="18"/>
        <v>45708</v>
      </c>
      <c r="G71" s="99" t="str">
        <f t="shared" si="9"/>
        <v>Thu</v>
      </c>
      <c r="H71" s="100"/>
      <c r="I71" s="101"/>
      <c r="J71" s="135">
        <v>98050</v>
      </c>
      <c r="K71" s="136"/>
      <c r="L71" s="104">
        <f t="shared" si="57"/>
        <v>87628.865979381459</v>
      </c>
      <c r="M71" s="105">
        <f t="shared" si="11"/>
        <v>10421.134020618541</v>
      </c>
      <c r="N71" s="106">
        <f t="shared" si="12"/>
        <v>1.1189235294117645</v>
      </c>
      <c r="O71" s="133"/>
      <c r="P71" s="104">
        <f t="shared" si="59"/>
        <v>1402061.8556701031</v>
      </c>
      <c r="Q71" s="104">
        <f t="shared" si="60"/>
        <v>1183400</v>
      </c>
      <c r="R71" s="108">
        <f t="shared" si="13"/>
        <v>-218661.8556701031</v>
      </c>
      <c r="S71" s="109">
        <f t="shared" si="14"/>
        <v>0.84404264705882348</v>
      </c>
      <c r="T71" s="125"/>
      <c r="U71" s="104">
        <f t="shared" si="21"/>
        <v>3329896.9072164935</v>
      </c>
      <c r="V71" s="104">
        <f t="shared" si="22"/>
        <v>2967250</v>
      </c>
      <c r="W71" s="111">
        <f t="shared" si="15"/>
        <v>-362646.90721649351</v>
      </c>
      <c r="X71" s="112">
        <f t="shared" si="16"/>
        <v>0.89109365325077439</v>
      </c>
      <c r="Y71" s="113">
        <f t="shared" ref="Y71:Z71" si="82">Y70+1</f>
        <v>45708</v>
      </c>
      <c r="Z71" s="114">
        <f t="shared" si="82"/>
        <v>45708</v>
      </c>
      <c r="AA71" s="115">
        <v>8</v>
      </c>
      <c r="AB71" s="120" t="s">
        <v>95</v>
      </c>
      <c r="AC71" s="117">
        <f>IFERROR(AVERAGEIFS(J233:J263,D233:D263,1,G233:G263,"tue"),0)</f>
        <v>67400</v>
      </c>
      <c r="AD71" s="118">
        <f>COUNTIFS(D233:D263,1,G233:G263,"tue")</f>
        <v>2</v>
      </c>
      <c r="AE71" s="117">
        <f>($I$14*[1]リトローボ_実績_2024R6!AI70)/AD71</f>
        <v>0</v>
      </c>
      <c r="AF71" s="117">
        <f t="shared" si="81"/>
        <v>0</v>
      </c>
      <c r="AG71" s="119"/>
    </row>
    <row r="72" spans="1:33" ht="16.5" customHeight="1">
      <c r="A72" s="39"/>
      <c r="B72" s="50"/>
      <c r="C72" s="95">
        <v>52</v>
      </c>
      <c r="D72" s="96">
        <v>1</v>
      </c>
      <c r="E72" s="97">
        <f t="shared" si="8"/>
        <v>2</v>
      </c>
      <c r="F72" s="98">
        <f t="shared" si="18"/>
        <v>45709</v>
      </c>
      <c r="G72" s="99" t="str">
        <f t="shared" si="9"/>
        <v>Fri</v>
      </c>
      <c r="H72" s="100"/>
      <c r="I72" s="101"/>
      <c r="J72" s="135">
        <v>90500</v>
      </c>
      <c r="K72" s="136"/>
      <c r="L72" s="104">
        <f t="shared" si="57"/>
        <v>87628.865979381459</v>
      </c>
      <c r="M72" s="105">
        <f t="shared" si="11"/>
        <v>2871.1340206185414</v>
      </c>
      <c r="N72" s="106">
        <f t="shared" si="12"/>
        <v>1.0327647058823528</v>
      </c>
      <c r="O72" s="133"/>
      <c r="P72" s="104">
        <f t="shared" si="59"/>
        <v>1489690.7216494845</v>
      </c>
      <c r="Q72" s="104">
        <f t="shared" si="60"/>
        <v>1273900</v>
      </c>
      <c r="R72" s="108">
        <f t="shared" si="13"/>
        <v>-215790.72164948448</v>
      </c>
      <c r="S72" s="109">
        <f t="shared" si="14"/>
        <v>0.8551439446366782</v>
      </c>
      <c r="T72" s="125"/>
      <c r="U72" s="104">
        <f t="shared" si="21"/>
        <v>3417525.7731958749</v>
      </c>
      <c r="V72" s="104">
        <f t="shared" si="22"/>
        <v>3057750</v>
      </c>
      <c r="W72" s="111">
        <f t="shared" si="15"/>
        <v>-359775.77319587488</v>
      </c>
      <c r="X72" s="112">
        <f t="shared" si="16"/>
        <v>0.89472624434389181</v>
      </c>
      <c r="Y72" s="113">
        <f t="shared" ref="Y72:Z72" si="83">Y71+1</f>
        <v>45709</v>
      </c>
      <c r="Z72" s="114">
        <f t="shared" si="83"/>
        <v>45709</v>
      </c>
      <c r="AA72" s="115">
        <v>8</v>
      </c>
      <c r="AB72" s="120" t="s">
        <v>96</v>
      </c>
      <c r="AC72" s="117">
        <f>IFERROR(AVERAGEIFS(J233:J263,D233:D263,1,G233:G263,"wed"),0)</f>
        <v>78250</v>
      </c>
      <c r="AD72" s="118">
        <f>COUNTIFS(D233:D263,1,G233:G263,"wed")</f>
        <v>4</v>
      </c>
      <c r="AE72" s="117">
        <f>($I$14*[1]リトローボ_実績_2024R6!AI71)/AD72</f>
        <v>0</v>
      </c>
      <c r="AF72" s="117">
        <f t="shared" si="81"/>
        <v>0</v>
      </c>
      <c r="AG72" s="119"/>
    </row>
    <row r="73" spans="1:33" ht="16.5" customHeight="1">
      <c r="A73" s="39"/>
      <c r="B73" s="50"/>
      <c r="C73" s="95">
        <v>53</v>
      </c>
      <c r="D73" s="96">
        <v>1</v>
      </c>
      <c r="E73" s="97">
        <f t="shared" si="8"/>
        <v>2</v>
      </c>
      <c r="F73" s="98">
        <f t="shared" si="18"/>
        <v>45710</v>
      </c>
      <c r="G73" s="99" t="str">
        <f t="shared" si="9"/>
        <v>Sat</v>
      </c>
      <c r="H73" s="100"/>
      <c r="I73" s="101"/>
      <c r="J73" s="135">
        <v>72250</v>
      </c>
      <c r="K73" s="136"/>
      <c r="L73" s="104">
        <f t="shared" si="57"/>
        <v>87628.865979381459</v>
      </c>
      <c r="M73" s="105">
        <f t="shared" si="11"/>
        <v>-15378.865979381459</v>
      </c>
      <c r="N73" s="106">
        <f t="shared" si="12"/>
        <v>0.8244999999999999</v>
      </c>
      <c r="O73" s="133"/>
      <c r="P73" s="104">
        <f t="shared" si="59"/>
        <v>1577319.5876288658</v>
      </c>
      <c r="Q73" s="104">
        <f t="shared" si="60"/>
        <v>1346150</v>
      </c>
      <c r="R73" s="108">
        <f t="shared" si="13"/>
        <v>-231169.58762886585</v>
      </c>
      <c r="S73" s="109">
        <f t="shared" si="14"/>
        <v>0.85344150326797397</v>
      </c>
      <c r="T73" s="125"/>
      <c r="U73" s="104">
        <f t="shared" si="21"/>
        <v>3505154.6391752562</v>
      </c>
      <c r="V73" s="104">
        <f t="shared" si="22"/>
        <v>3130000</v>
      </c>
      <c r="W73" s="111">
        <f t="shared" si="15"/>
        <v>-375154.63917525625</v>
      </c>
      <c r="X73" s="112">
        <f t="shared" si="16"/>
        <v>0.89297058823529452</v>
      </c>
      <c r="Y73" s="113">
        <f t="shared" ref="Y73:Z73" si="84">Y72+1</f>
        <v>45710</v>
      </c>
      <c r="Z73" s="114">
        <f t="shared" si="84"/>
        <v>45710</v>
      </c>
      <c r="AA73" s="115">
        <v>8</v>
      </c>
      <c r="AB73" s="120" t="s">
        <v>97</v>
      </c>
      <c r="AC73" s="117">
        <f>IFERROR(AVERAGEIFS(J233:J263,D233:D263,1,G233:G263,"thu"),0)</f>
        <v>114475</v>
      </c>
      <c r="AD73" s="118">
        <f>COUNTIFS(D233:D263,1,G233:G263,"thu")</f>
        <v>4</v>
      </c>
      <c r="AE73" s="117">
        <f>($I$14*[1]リトローボ_実績_2024R6!AI72)/AD73</f>
        <v>0</v>
      </c>
      <c r="AF73" s="117">
        <f t="shared" si="81"/>
        <v>0</v>
      </c>
      <c r="AG73" s="119"/>
    </row>
    <row r="74" spans="1:33" ht="16.5" customHeight="1">
      <c r="A74" s="39"/>
      <c r="B74" s="50"/>
      <c r="C74" s="95">
        <v>54</v>
      </c>
      <c r="D74" s="96">
        <v>1</v>
      </c>
      <c r="E74" s="97">
        <f t="shared" si="8"/>
        <v>2</v>
      </c>
      <c r="F74" s="98">
        <f t="shared" si="18"/>
        <v>45711</v>
      </c>
      <c r="G74" s="99" t="str">
        <f t="shared" si="9"/>
        <v>Sun</v>
      </c>
      <c r="H74" s="100"/>
      <c r="I74" s="101"/>
      <c r="J74" s="135">
        <v>103250</v>
      </c>
      <c r="K74" s="136"/>
      <c r="L74" s="104">
        <f t="shared" si="57"/>
        <v>87628.865979381459</v>
      </c>
      <c r="M74" s="105">
        <f t="shared" si="11"/>
        <v>15621.134020618541</v>
      </c>
      <c r="N74" s="106">
        <f t="shared" si="12"/>
        <v>1.1782647058823528</v>
      </c>
      <c r="O74" s="134"/>
      <c r="P74" s="104">
        <f t="shared" si="59"/>
        <v>1664948.4536082472</v>
      </c>
      <c r="Q74" s="104">
        <f t="shared" si="60"/>
        <v>1449400</v>
      </c>
      <c r="R74" s="108">
        <f t="shared" si="13"/>
        <v>-215548.45360824722</v>
      </c>
      <c r="S74" s="109">
        <f t="shared" si="14"/>
        <v>0.87053746130030973</v>
      </c>
      <c r="T74" s="131"/>
      <c r="U74" s="104">
        <f t="shared" si="21"/>
        <v>3592783.5051546376</v>
      </c>
      <c r="V74" s="104">
        <f t="shared" si="22"/>
        <v>3233250</v>
      </c>
      <c r="W74" s="111">
        <f t="shared" si="15"/>
        <v>-359533.50515463762</v>
      </c>
      <c r="X74" s="112">
        <f t="shared" si="16"/>
        <v>0.89992898134863741</v>
      </c>
      <c r="Y74" s="113">
        <f t="shared" ref="Y74:Z74" si="85">Y73+1</f>
        <v>45711</v>
      </c>
      <c r="Z74" s="114">
        <f t="shared" si="85"/>
        <v>45711</v>
      </c>
      <c r="AA74" s="115">
        <v>8</v>
      </c>
      <c r="AB74" s="120" t="s">
        <v>99</v>
      </c>
      <c r="AC74" s="117">
        <f>IFERROR(AVERAGEIFS(J233:J263,D233:D263,1,G233:G263,"fri"),0)</f>
        <v>107355</v>
      </c>
      <c r="AD74" s="118">
        <f>COUNTIFS(D233:D263,1,G233:G263,"fri")</f>
        <v>5</v>
      </c>
      <c r="AE74" s="117">
        <f>($I$14*[1]リトローボ_実績_2024R6!AI73)/AD74</f>
        <v>0</v>
      </c>
      <c r="AF74" s="117">
        <f t="shared" si="81"/>
        <v>0</v>
      </c>
      <c r="AG74" s="119"/>
    </row>
    <row r="75" spans="1:33" ht="16.5" customHeight="1">
      <c r="A75" s="39"/>
      <c r="B75" s="50"/>
      <c r="C75" s="95">
        <v>55</v>
      </c>
      <c r="D75" s="96">
        <v>0</v>
      </c>
      <c r="E75" s="97">
        <f t="shared" si="8"/>
        <v>2</v>
      </c>
      <c r="F75" s="98">
        <f t="shared" si="18"/>
        <v>45712</v>
      </c>
      <c r="G75" s="99" t="str">
        <f t="shared" si="9"/>
        <v>Mon</v>
      </c>
      <c r="H75" s="100"/>
      <c r="I75" s="101"/>
      <c r="J75" s="135"/>
      <c r="K75" s="136"/>
      <c r="L75" s="104">
        <f t="shared" si="57"/>
        <v>0</v>
      </c>
      <c r="M75" s="105">
        <f t="shared" si="11"/>
        <v>0</v>
      </c>
      <c r="N75" s="106" t="str">
        <f t="shared" si="12"/>
        <v>¥0</v>
      </c>
      <c r="O75" s="134"/>
      <c r="P75" s="104">
        <f t="shared" si="59"/>
        <v>0</v>
      </c>
      <c r="Q75" s="104">
        <f t="shared" si="60"/>
        <v>0</v>
      </c>
      <c r="R75" s="108">
        <f t="shared" si="13"/>
        <v>0</v>
      </c>
      <c r="S75" s="109">
        <f t="shared" si="14"/>
        <v>0</v>
      </c>
      <c r="T75" s="131"/>
      <c r="U75" s="104">
        <f t="shared" si="21"/>
        <v>0</v>
      </c>
      <c r="V75" s="104">
        <f t="shared" si="22"/>
        <v>0</v>
      </c>
      <c r="W75" s="111">
        <f t="shared" si="15"/>
        <v>0</v>
      </c>
      <c r="X75" s="112">
        <f t="shared" si="16"/>
        <v>0</v>
      </c>
      <c r="Y75" s="113">
        <f t="shared" ref="Y75:Z75" si="86">Y74+1</f>
        <v>45712</v>
      </c>
      <c r="Z75" s="114">
        <f t="shared" si="86"/>
        <v>45712</v>
      </c>
      <c r="AA75" s="115">
        <v>8</v>
      </c>
      <c r="AB75" s="120" t="s">
        <v>100</v>
      </c>
      <c r="AC75" s="117">
        <f>IFERROR(AVERAGEIFS(J233:J263,D233:D263,1,G233:G263,"sat"),0)</f>
        <v>46630</v>
      </c>
      <c r="AD75" s="118">
        <f>COUNTIFS(D233:D263,1,G233:G263,"sat")</f>
        <v>5</v>
      </c>
      <c r="AE75" s="117">
        <f>($I$14*[1]リトローボ_実績_2024R6!AI74)/AD75</f>
        <v>0</v>
      </c>
      <c r="AF75" s="117">
        <f t="shared" si="81"/>
        <v>0</v>
      </c>
      <c r="AG75" s="126" t="s">
        <v>114</v>
      </c>
    </row>
    <row r="76" spans="1:33" ht="16.5" customHeight="1">
      <c r="A76" s="39"/>
      <c r="B76" s="50"/>
      <c r="C76" s="95">
        <v>56</v>
      </c>
      <c r="D76" s="96">
        <v>1</v>
      </c>
      <c r="E76" s="97">
        <f t="shared" si="8"/>
        <v>2</v>
      </c>
      <c r="F76" s="98">
        <f t="shared" si="18"/>
        <v>45713</v>
      </c>
      <c r="G76" s="99" t="str">
        <f t="shared" si="9"/>
        <v>Tue</v>
      </c>
      <c r="H76" s="100"/>
      <c r="I76" s="101"/>
      <c r="J76" s="135">
        <v>82950</v>
      </c>
      <c r="K76" s="136"/>
      <c r="L76" s="104">
        <f t="shared" si="57"/>
        <v>87628.865979381459</v>
      </c>
      <c r="M76" s="105">
        <f t="shared" si="11"/>
        <v>-4678.8659793814586</v>
      </c>
      <c r="N76" s="106">
        <f t="shared" si="12"/>
        <v>0.94660588235294096</v>
      </c>
      <c r="O76" s="133"/>
      <c r="P76" s="104">
        <f t="shared" si="59"/>
        <v>1752577.3195876286</v>
      </c>
      <c r="Q76" s="104">
        <f t="shared" si="60"/>
        <v>1532350</v>
      </c>
      <c r="R76" s="108">
        <f t="shared" si="13"/>
        <v>-220227.31958762859</v>
      </c>
      <c r="S76" s="109">
        <f t="shared" si="14"/>
        <v>0.87434088235294127</v>
      </c>
      <c r="T76" s="125"/>
      <c r="U76" s="104">
        <f t="shared" si="21"/>
        <v>3680412.371134019</v>
      </c>
      <c r="V76" s="104">
        <f t="shared" si="22"/>
        <v>3316200</v>
      </c>
      <c r="W76" s="111">
        <f t="shared" si="15"/>
        <v>-364212.37113401899</v>
      </c>
      <c r="X76" s="112">
        <f t="shared" si="16"/>
        <v>0.90104033613445422</v>
      </c>
      <c r="Y76" s="113">
        <f t="shared" ref="Y76:Z76" si="87">Y75+1</f>
        <v>45713</v>
      </c>
      <c r="Z76" s="114">
        <f t="shared" si="87"/>
        <v>45713</v>
      </c>
      <c r="AA76" s="115">
        <v>8</v>
      </c>
      <c r="AB76" s="120" t="s">
        <v>102</v>
      </c>
      <c r="AC76" s="117">
        <f>IFERROR(AVERAGEIFS(J233:J263,D233:D263,1,G233:G263,"sun"),0)</f>
        <v>84766.666666666672</v>
      </c>
      <c r="AD76" s="118">
        <f>IFERROR(COUNTIFS(D233:D263,1,G233:G263,"sun"),0)</f>
        <v>3</v>
      </c>
      <c r="AE76" s="117">
        <f>IFERROR(($I$14*[1]リトローボ_実績_2024R6!AI75)/AD76,0)</f>
        <v>0</v>
      </c>
      <c r="AF76" s="127">
        <f>SUM(AF70:AF75)</f>
        <v>0</v>
      </c>
      <c r="AG76" s="128">
        <f>I14</f>
        <v>2474226.8041237113</v>
      </c>
    </row>
    <row r="77" spans="1:33" ht="16.5" customHeight="1">
      <c r="A77" s="39"/>
      <c r="B77" s="50"/>
      <c r="C77" s="95">
        <v>57</v>
      </c>
      <c r="D77" s="96">
        <v>1</v>
      </c>
      <c r="E77" s="97">
        <f t="shared" si="8"/>
        <v>2</v>
      </c>
      <c r="F77" s="98">
        <f t="shared" si="18"/>
        <v>45714</v>
      </c>
      <c r="G77" s="99" t="str">
        <f t="shared" si="9"/>
        <v>Wed</v>
      </c>
      <c r="H77" s="100"/>
      <c r="I77" s="101"/>
      <c r="J77" s="135">
        <v>81700</v>
      </c>
      <c r="K77" s="136"/>
      <c r="L77" s="104">
        <f t="shared" si="57"/>
        <v>87628.865979381459</v>
      </c>
      <c r="M77" s="105">
        <f t="shared" si="11"/>
        <v>-5928.8659793814586</v>
      </c>
      <c r="N77" s="106">
        <f t="shared" si="12"/>
        <v>0.93234117647058812</v>
      </c>
      <c r="O77" s="133"/>
      <c r="P77" s="104">
        <f t="shared" si="59"/>
        <v>1840206.18556701</v>
      </c>
      <c r="Q77" s="104">
        <f t="shared" si="60"/>
        <v>1614050</v>
      </c>
      <c r="R77" s="108">
        <f t="shared" si="13"/>
        <v>-226156.18556700996</v>
      </c>
      <c r="S77" s="109">
        <f t="shared" si="14"/>
        <v>0.87710280112044836</v>
      </c>
      <c r="T77" s="125"/>
      <c r="U77" s="104">
        <f t="shared" si="21"/>
        <v>3768041.2371134004</v>
      </c>
      <c r="V77" s="104">
        <f t="shared" si="22"/>
        <v>3397900</v>
      </c>
      <c r="W77" s="111">
        <f t="shared" si="15"/>
        <v>-370141.23711340036</v>
      </c>
      <c r="X77" s="112">
        <f t="shared" si="16"/>
        <v>0.9017682626538992</v>
      </c>
      <c r="Y77" s="113">
        <f t="shared" ref="Y77:Z77" si="88">Y76+1</f>
        <v>45714</v>
      </c>
      <c r="Z77" s="114">
        <f t="shared" si="88"/>
        <v>45714</v>
      </c>
      <c r="AA77" s="115">
        <v>9</v>
      </c>
      <c r="AB77" s="116" t="s">
        <v>93</v>
      </c>
      <c r="AC77" s="117">
        <f>IFERROR(AVERAGEIFS(J264:J293,D264:D293,1,G264:G293,"mon"),0)</f>
        <v>0</v>
      </c>
      <c r="AD77" s="118">
        <f>COUNTIFS(D264:D293,1,G264:G293,"Mon")</f>
        <v>0</v>
      </c>
      <c r="AE77" s="117">
        <f>IFERROR(($I$15*[1]リトローボ_実績_2024R6!AI76)/AD77,0)</f>
        <v>0</v>
      </c>
      <c r="AF77" s="117">
        <f t="shared" ref="AF77:AF82" si="89">AD77*AE77</f>
        <v>0</v>
      </c>
      <c r="AG77" s="119" t="s">
        <v>115</v>
      </c>
    </row>
    <row r="78" spans="1:33" ht="16.5" customHeight="1">
      <c r="A78" s="39"/>
      <c r="B78" s="50"/>
      <c r="C78" s="95">
        <v>58</v>
      </c>
      <c r="D78" s="96">
        <v>1</v>
      </c>
      <c r="E78" s="97">
        <f t="shared" si="8"/>
        <v>2</v>
      </c>
      <c r="F78" s="98">
        <f t="shared" si="18"/>
        <v>45715</v>
      </c>
      <c r="G78" s="99" t="str">
        <f t="shared" si="9"/>
        <v>Thu</v>
      </c>
      <c r="H78" s="100"/>
      <c r="I78" s="101"/>
      <c r="J78" s="135">
        <v>108050</v>
      </c>
      <c r="K78" s="136"/>
      <c r="L78" s="104">
        <f t="shared" si="57"/>
        <v>87628.865979381459</v>
      </c>
      <c r="M78" s="105">
        <f t="shared" si="11"/>
        <v>20421.134020618541</v>
      </c>
      <c r="N78" s="106">
        <f t="shared" si="12"/>
        <v>1.233041176470588</v>
      </c>
      <c r="O78" s="133"/>
      <c r="P78" s="104">
        <f t="shared" si="59"/>
        <v>1927835.0515463913</v>
      </c>
      <c r="Q78" s="104">
        <f t="shared" si="60"/>
        <v>1722100</v>
      </c>
      <c r="R78" s="108">
        <f t="shared" si="13"/>
        <v>-205735.05154639133</v>
      </c>
      <c r="S78" s="109">
        <f t="shared" si="14"/>
        <v>0.8932818181818184</v>
      </c>
      <c r="T78" s="125"/>
      <c r="U78" s="104">
        <f t="shared" si="21"/>
        <v>3855670.1030927817</v>
      </c>
      <c r="V78" s="104">
        <f t="shared" si="22"/>
        <v>3505950</v>
      </c>
      <c r="W78" s="111">
        <f t="shared" si="15"/>
        <v>-349720.10309278173</v>
      </c>
      <c r="X78" s="112">
        <f t="shared" si="16"/>
        <v>0.90929719251336938</v>
      </c>
      <c r="Y78" s="113">
        <f t="shared" ref="Y78:Z78" si="90">Y77+1</f>
        <v>45715</v>
      </c>
      <c r="Z78" s="114">
        <f t="shared" si="90"/>
        <v>45715</v>
      </c>
      <c r="AA78" s="115">
        <v>9</v>
      </c>
      <c r="AB78" s="120" t="s">
        <v>95</v>
      </c>
      <c r="AC78" s="117">
        <f>IFERROR(AVERAGEIFS(J264:J293,D264:D293,1,G264:G293,"tue"),0)</f>
        <v>69187.5</v>
      </c>
      <c r="AD78" s="118">
        <f>COUNTIFS(D264:D293,1,G264:G293,"tue")</f>
        <v>4</v>
      </c>
      <c r="AE78" s="117">
        <f>($I$15*[1]リトローボ_実績_2024R6!AI77)/AD78</f>
        <v>0</v>
      </c>
      <c r="AF78" s="117">
        <f t="shared" si="89"/>
        <v>0</v>
      </c>
      <c r="AG78" s="119"/>
    </row>
    <row r="79" spans="1:33" ht="16.5" customHeight="1">
      <c r="A79" s="39"/>
      <c r="B79" s="50"/>
      <c r="C79" s="137">
        <v>59</v>
      </c>
      <c r="D79" s="138">
        <v>1</v>
      </c>
      <c r="E79" s="139">
        <f t="shared" si="8"/>
        <v>2</v>
      </c>
      <c r="F79" s="140">
        <f t="shared" si="18"/>
        <v>45716</v>
      </c>
      <c r="G79" s="141" t="str">
        <f t="shared" si="9"/>
        <v>Fri</v>
      </c>
      <c r="H79" s="159"/>
      <c r="I79" s="143"/>
      <c r="J79" s="144">
        <v>100200</v>
      </c>
      <c r="K79" s="145"/>
      <c r="L79" s="146">
        <f t="shared" si="57"/>
        <v>87628.865979381459</v>
      </c>
      <c r="M79" s="147">
        <f t="shared" si="11"/>
        <v>12571.134020618541</v>
      </c>
      <c r="N79" s="148">
        <f t="shared" si="12"/>
        <v>1.1434588235294116</v>
      </c>
      <c r="O79" s="149"/>
      <c r="P79" s="150">
        <f t="shared" si="59"/>
        <v>2015463.9175257727</v>
      </c>
      <c r="Q79" s="146">
        <f t="shared" si="60"/>
        <v>1822300</v>
      </c>
      <c r="R79" s="147">
        <f t="shared" si="13"/>
        <v>-193163.9175257727</v>
      </c>
      <c r="S79" s="151">
        <f t="shared" si="14"/>
        <v>0.90415907928388772</v>
      </c>
      <c r="T79" s="152"/>
      <c r="U79" s="153">
        <f t="shared" si="21"/>
        <v>3943298.9690721631</v>
      </c>
      <c r="V79" s="146">
        <f t="shared" si="22"/>
        <v>3606150</v>
      </c>
      <c r="W79" s="153">
        <f t="shared" si="15"/>
        <v>-337148.96907216311</v>
      </c>
      <c r="X79" s="154">
        <f t="shared" si="16"/>
        <v>0.91450078431372595</v>
      </c>
      <c r="Y79" s="113">
        <f t="shared" ref="Y79:Z79" si="91">Y78+1</f>
        <v>45716</v>
      </c>
      <c r="Z79" s="114">
        <f t="shared" si="91"/>
        <v>45716</v>
      </c>
      <c r="AA79" s="115">
        <v>9</v>
      </c>
      <c r="AB79" s="120" t="s">
        <v>96</v>
      </c>
      <c r="AC79" s="117">
        <f>IFERROR(AVERAGEIFS(J264:J293,D264:D293,1,G264:G293,"wed"),0)</f>
        <v>44000</v>
      </c>
      <c r="AD79" s="118">
        <f>COUNTIFS(D264:D293,1,G264:G293,"wed")</f>
        <v>4</v>
      </c>
      <c r="AE79" s="117">
        <f>($I$15*[1]リトローボ_実績_2024R6!AI78)/AD79</f>
        <v>0</v>
      </c>
      <c r="AF79" s="117">
        <f t="shared" si="89"/>
        <v>0</v>
      </c>
      <c r="AG79" s="119"/>
    </row>
    <row r="80" spans="1:33" ht="16.5" customHeight="1">
      <c r="A80" s="39"/>
      <c r="B80" s="50"/>
      <c r="C80" s="95">
        <v>60</v>
      </c>
      <c r="D80" s="155">
        <v>1</v>
      </c>
      <c r="E80" s="97">
        <f t="shared" si="8"/>
        <v>3</v>
      </c>
      <c r="F80" s="98">
        <f t="shared" si="18"/>
        <v>45717</v>
      </c>
      <c r="G80" s="99" t="str">
        <f t="shared" si="9"/>
        <v>Sat</v>
      </c>
      <c r="H80" s="100"/>
      <c r="I80" s="101"/>
      <c r="J80" s="135">
        <v>78850</v>
      </c>
      <c r="K80" s="136"/>
      <c r="L80" s="104">
        <f t="shared" ref="L80:L110" si="92">IF(D80=0,0,$K$9)</f>
        <v>103092.78350515464</v>
      </c>
      <c r="M80" s="108">
        <f t="shared" si="11"/>
        <v>-24242.783505154643</v>
      </c>
      <c r="N80" s="156">
        <f t="shared" si="12"/>
        <v>0.764845</v>
      </c>
      <c r="O80" s="133"/>
      <c r="P80" s="104">
        <f>IF(D80=0,0,$L$80)</f>
        <v>103092.78350515464</v>
      </c>
      <c r="Q80" s="104">
        <f>IF(D80=0,0,$J$80)</f>
        <v>78850</v>
      </c>
      <c r="R80" s="108">
        <f t="shared" si="13"/>
        <v>-24242.783505154643</v>
      </c>
      <c r="S80" s="157">
        <f t="shared" si="14"/>
        <v>0.764845</v>
      </c>
      <c r="T80" s="125"/>
      <c r="U80" s="104">
        <f t="shared" si="21"/>
        <v>4046391.7525773179</v>
      </c>
      <c r="V80" s="104">
        <f t="shared" si="22"/>
        <v>3685000</v>
      </c>
      <c r="W80" s="111">
        <f t="shared" si="15"/>
        <v>-361391.75257731788</v>
      </c>
      <c r="X80" s="158">
        <f t="shared" si="16"/>
        <v>0.91068789808917239</v>
      </c>
      <c r="Y80" s="113">
        <f t="shared" ref="Y80:Z80" si="93">Y79+1</f>
        <v>45717</v>
      </c>
      <c r="Z80" s="114">
        <f t="shared" si="93"/>
        <v>45717</v>
      </c>
      <c r="AA80" s="115">
        <v>9</v>
      </c>
      <c r="AB80" s="120" t="s">
        <v>97</v>
      </c>
      <c r="AC80" s="117">
        <f>IFERROR(AVERAGEIFS(J264:J293,D264:D293,1,G264:G293,"thu"),0)</f>
        <v>107550</v>
      </c>
      <c r="AD80" s="118">
        <f>COUNTIFS(D264:D293,1,G264:G293,"thu")</f>
        <v>4</v>
      </c>
      <c r="AE80" s="117">
        <f>($I$15*[1]リトローボ_実績_2024R6!AI79)/AD80</f>
        <v>0</v>
      </c>
      <c r="AF80" s="117">
        <f t="shared" si="89"/>
        <v>0</v>
      </c>
      <c r="AG80" s="119"/>
    </row>
    <row r="81" spans="1:33" ht="16.5" customHeight="1">
      <c r="A81" s="39"/>
      <c r="B81" s="50"/>
      <c r="C81" s="95">
        <v>61</v>
      </c>
      <c r="D81" s="96">
        <v>1</v>
      </c>
      <c r="E81" s="97">
        <f t="shared" si="8"/>
        <v>3</v>
      </c>
      <c r="F81" s="98">
        <f t="shared" si="18"/>
        <v>45718</v>
      </c>
      <c r="G81" s="99" t="str">
        <f t="shared" si="9"/>
        <v>Sun</v>
      </c>
      <c r="H81" s="100"/>
      <c r="I81" s="101"/>
      <c r="J81" s="135">
        <v>79400</v>
      </c>
      <c r="K81" s="136"/>
      <c r="L81" s="104">
        <f t="shared" si="92"/>
        <v>103092.78350515464</v>
      </c>
      <c r="M81" s="105">
        <f t="shared" si="11"/>
        <v>-23692.783505154643</v>
      </c>
      <c r="N81" s="106">
        <f t="shared" si="12"/>
        <v>0.77017999999999998</v>
      </c>
      <c r="O81" s="134"/>
      <c r="P81" s="104">
        <f t="shared" ref="P81:P110" si="94">IF(D81=0,0,SUM($L$80:L81))</f>
        <v>206185.56701030929</v>
      </c>
      <c r="Q81" s="104">
        <f t="shared" ref="Q81:Q110" si="95">IF(D81=0,0,SUM($J$80:J81))</f>
        <v>158250</v>
      </c>
      <c r="R81" s="108">
        <f t="shared" si="13"/>
        <v>-47935.567010309285</v>
      </c>
      <c r="S81" s="109">
        <f t="shared" si="14"/>
        <v>0.76751249999999993</v>
      </c>
      <c r="T81" s="131"/>
      <c r="U81" s="104">
        <f t="shared" si="21"/>
        <v>4149484.5360824727</v>
      </c>
      <c r="V81" s="104">
        <f t="shared" si="22"/>
        <v>3764400</v>
      </c>
      <c r="W81" s="111">
        <f t="shared" si="15"/>
        <v>-385084.53608247265</v>
      </c>
      <c r="X81" s="112">
        <f t="shared" si="16"/>
        <v>0.90719701863354074</v>
      </c>
      <c r="Y81" s="113">
        <f t="shared" ref="Y81:Z81" si="96">Y80+1</f>
        <v>45718</v>
      </c>
      <c r="Z81" s="114">
        <f t="shared" si="96"/>
        <v>45718</v>
      </c>
      <c r="AA81" s="115">
        <v>9</v>
      </c>
      <c r="AB81" s="120" t="s">
        <v>99</v>
      </c>
      <c r="AC81" s="117">
        <f>IFERROR(AVERAGEIFS(J264:J293,D264:D293,1,G264:G293,"fri"),0)</f>
        <v>81487.5</v>
      </c>
      <c r="AD81" s="118">
        <f>COUNTIFS(D264:D293,1,G264:G293,"fri")</f>
        <v>4</v>
      </c>
      <c r="AE81" s="117">
        <f>($I$15*[1]リトローボ_実績_2024R6!AI80)/AD81</f>
        <v>0</v>
      </c>
      <c r="AF81" s="117">
        <f t="shared" si="89"/>
        <v>0</v>
      </c>
      <c r="AG81" s="119"/>
    </row>
    <row r="82" spans="1:33" ht="16.5" customHeight="1">
      <c r="A82" s="39"/>
      <c r="B82" s="50"/>
      <c r="C82" s="95">
        <v>62</v>
      </c>
      <c r="D82" s="96">
        <v>0</v>
      </c>
      <c r="E82" s="97">
        <f t="shared" si="8"/>
        <v>3</v>
      </c>
      <c r="F82" s="98">
        <f t="shared" si="18"/>
        <v>45719</v>
      </c>
      <c r="G82" s="99" t="str">
        <f t="shared" si="9"/>
        <v>Mon</v>
      </c>
      <c r="H82" s="100"/>
      <c r="I82" s="101"/>
      <c r="J82" s="135"/>
      <c r="K82" s="136"/>
      <c r="L82" s="104">
        <f t="shared" si="92"/>
        <v>0</v>
      </c>
      <c r="M82" s="105">
        <f t="shared" si="11"/>
        <v>0</v>
      </c>
      <c r="N82" s="106" t="str">
        <f t="shared" si="12"/>
        <v>¥0</v>
      </c>
      <c r="O82" s="133"/>
      <c r="P82" s="104">
        <f t="shared" si="94"/>
        <v>0</v>
      </c>
      <c r="Q82" s="104">
        <f t="shared" si="95"/>
        <v>0</v>
      </c>
      <c r="R82" s="108">
        <f t="shared" si="13"/>
        <v>0</v>
      </c>
      <c r="S82" s="109">
        <f t="shared" si="14"/>
        <v>0</v>
      </c>
      <c r="T82" s="125"/>
      <c r="U82" s="104">
        <f t="shared" si="21"/>
        <v>0</v>
      </c>
      <c r="V82" s="104">
        <f t="shared" si="22"/>
        <v>0</v>
      </c>
      <c r="W82" s="111">
        <f t="shared" si="15"/>
        <v>0</v>
      </c>
      <c r="X82" s="112">
        <f t="shared" si="16"/>
        <v>0</v>
      </c>
      <c r="Y82" s="113">
        <f t="shared" ref="Y82:Z82" si="97">Y81+1</f>
        <v>45719</v>
      </c>
      <c r="Z82" s="114">
        <f t="shared" si="97"/>
        <v>45719</v>
      </c>
      <c r="AA82" s="115">
        <v>9</v>
      </c>
      <c r="AB82" s="120" t="s">
        <v>100</v>
      </c>
      <c r="AC82" s="117">
        <f>IFERROR(AVERAGEIFS(J264:J293,D264:D293,1,G264:G293,"sat"),0)</f>
        <v>69675</v>
      </c>
      <c r="AD82" s="118">
        <f>COUNTIFS(D264:D293,1,G264:G293,"sat")</f>
        <v>4</v>
      </c>
      <c r="AE82" s="117">
        <f>($I$15*[1]リトローボ_実績_2024R6!AI81)/AD82</f>
        <v>0</v>
      </c>
      <c r="AF82" s="117">
        <f t="shared" si="89"/>
        <v>0</v>
      </c>
      <c r="AG82" s="126" t="s">
        <v>116</v>
      </c>
    </row>
    <row r="83" spans="1:33" ht="16.5" customHeight="1">
      <c r="A83" s="39"/>
      <c r="B83" s="50"/>
      <c r="C83" s="95">
        <v>63</v>
      </c>
      <c r="D83" s="96">
        <v>1</v>
      </c>
      <c r="E83" s="97">
        <f t="shared" si="8"/>
        <v>3</v>
      </c>
      <c r="F83" s="98">
        <f t="shared" si="18"/>
        <v>45720</v>
      </c>
      <c r="G83" s="99" t="str">
        <f t="shared" si="9"/>
        <v>Tue</v>
      </c>
      <c r="H83" s="100"/>
      <c r="I83" s="101"/>
      <c r="J83" s="135">
        <v>56950</v>
      </c>
      <c r="K83" s="136"/>
      <c r="L83" s="104">
        <f t="shared" si="92"/>
        <v>103092.78350515464</v>
      </c>
      <c r="M83" s="105">
        <f t="shared" si="11"/>
        <v>-46142.783505154643</v>
      </c>
      <c r="N83" s="106">
        <f t="shared" si="12"/>
        <v>0.55241499999999999</v>
      </c>
      <c r="O83" s="133"/>
      <c r="P83" s="104">
        <f t="shared" si="94"/>
        <v>309278.35051546391</v>
      </c>
      <c r="Q83" s="104">
        <f t="shared" si="95"/>
        <v>215200</v>
      </c>
      <c r="R83" s="108">
        <f t="shared" si="13"/>
        <v>-94078.350515463913</v>
      </c>
      <c r="S83" s="109">
        <f t="shared" si="14"/>
        <v>0.69581333333333339</v>
      </c>
      <c r="T83" s="125"/>
      <c r="U83" s="104">
        <f t="shared" si="21"/>
        <v>4252577.3195876274</v>
      </c>
      <c r="V83" s="104">
        <f t="shared" si="22"/>
        <v>3821350</v>
      </c>
      <c r="W83" s="111">
        <f t="shared" si="15"/>
        <v>-431227.31958762743</v>
      </c>
      <c r="X83" s="112">
        <f t="shared" si="16"/>
        <v>0.89859624242424274</v>
      </c>
      <c r="Y83" s="113">
        <f t="shared" ref="Y83:Z83" si="98">Y82+1</f>
        <v>45720</v>
      </c>
      <c r="Z83" s="114">
        <f t="shared" si="98"/>
        <v>45720</v>
      </c>
      <c r="AA83" s="115">
        <v>9</v>
      </c>
      <c r="AB83" s="120" t="s">
        <v>102</v>
      </c>
      <c r="AC83" s="117">
        <f>IFERROR(AVERAGEIFS(J264:J293,D264:D293,1,G264:G293,"sun"),0)</f>
        <v>104233.33333333333</v>
      </c>
      <c r="AD83" s="118">
        <f>IFERROR(COUNTIFS(D264:D293,1,G264:G293,"sun"),0)</f>
        <v>3</v>
      </c>
      <c r="AE83" s="117">
        <f>IFERROR(($I$15*[1]リトローボ_実績_2024R6!AI82)/AD83,0)</f>
        <v>0</v>
      </c>
      <c r="AF83" s="127">
        <f>SUM(AF77:AF82)</f>
        <v>0</v>
      </c>
      <c r="AG83" s="128">
        <f>I15</f>
        <v>2371134.020618557</v>
      </c>
    </row>
    <row r="84" spans="1:33" ht="16.5" customHeight="1">
      <c r="A84" s="39"/>
      <c r="B84" s="50"/>
      <c r="C84" s="95">
        <v>64</v>
      </c>
      <c r="D84" s="96">
        <v>1</v>
      </c>
      <c r="E84" s="97">
        <f t="shared" si="8"/>
        <v>3</v>
      </c>
      <c r="F84" s="98">
        <f t="shared" si="18"/>
        <v>45721</v>
      </c>
      <c r="G84" s="99" t="str">
        <f t="shared" si="9"/>
        <v>Wed</v>
      </c>
      <c r="H84" s="100"/>
      <c r="I84" s="101"/>
      <c r="J84" s="135">
        <v>15550</v>
      </c>
      <c r="K84" s="136"/>
      <c r="L84" s="104">
        <f t="shared" si="92"/>
        <v>103092.78350515464</v>
      </c>
      <c r="M84" s="105">
        <f t="shared" si="11"/>
        <v>-87542.783505154643</v>
      </c>
      <c r="N84" s="106">
        <f t="shared" si="12"/>
        <v>0.150835</v>
      </c>
      <c r="O84" s="133"/>
      <c r="P84" s="104">
        <f t="shared" si="94"/>
        <v>412371.13402061857</v>
      </c>
      <c r="Q84" s="104">
        <f t="shared" si="95"/>
        <v>230750</v>
      </c>
      <c r="R84" s="108">
        <f t="shared" si="13"/>
        <v>-181621.13402061857</v>
      </c>
      <c r="S84" s="109">
        <f t="shared" si="14"/>
        <v>0.55956874999999995</v>
      </c>
      <c r="T84" s="125"/>
      <c r="U84" s="104">
        <f t="shared" si="21"/>
        <v>4355670.1030927822</v>
      </c>
      <c r="V84" s="104">
        <f t="shared" si="22"/>
        <v>3836900</v>
      </c>
      <c r="W84" s="111">
        <f t="shared" si="15"/>
        <v>-518770.1030927822</v>
      </c>
      <c r="X84" s="112">
        <f t="shared" si="16"/>
        <v>0.88089775147929017</v>
      </c>
      <c r="Y84" s="113">
        <f t="shared" ref="Y84:Z84" si="99">Y83+1</f>
        <v>45721</v>
      </c>
      <c r="Z84" s="114">
        <f t="shared" si="99"/>
        <v>45721</v>
      </c>
      <c r="AA84" s="115">
        <v>10</v>
      </c>
      <c r="AB84" s="116" t="s">
        <v>93</v>
      </c>
      <c r="AC84" s="117">
        <f>IFERROR(AVERAGEIFS(J294:J324,D294:D324,1,G294:G324,"mon"),0)</f>
        <v>0</v>
      </c>
      <c r="AD84" s="118">
        <f>COUNTIFS(D294:D324,1,G294:G324,"Mon")</f>
        <v>0</v>
      </c>
      <c r="AE84" s="117">
        <f>IFERROR(($I$16*[1]リトローボ_実績_2024R6!AI83)/AD84,0)</f>
        <v>0</v>
      </c>
      <c r="AF84" s="117">
        <f t="shared" ref="AF84:AF89" si="100">AD84*AE84</f>
        <v>0</v>
      </c>
      <c r="AG84" s="119" t="s">
        <v>117</v>
      </c>
    </row>
    <row r="85" spans="1:33" ht="16.5" customHeight="1">
      <c r="A85" s="39"/>
      <c r="B85" s="50"/>
      <c r="C85" s="95">
        <v>65</v>
      </c>
      <c r="D85" s="96">
        <v>1</v>
      </c>
      <c r="E85" s="97">
        <f t="shared" si="8"/>
        <v>3</v>
      </c>
      <c r="F85" s="98">
        <f t="shared" si="18"/>
        <v>45722</v>
      </c>
      <c r="G85" s="99" t="str">
        <f t="shared" si="9"/>
        <v>Thu</v>
      </c>
      <c r="H85" s="100"/>
      <c r="I85" s="101"/>
      <c r="J85" s="135">
        <v>63400</v>
      </c>
      <c r="K85" s="136"/>
      <c r="L85" s="104">
        <f t="shared" si="92"/>
        <v>103092.78350515464</v>
      </c>
      <c r="M85" s="105">
        <f t="shared" si="11"/>
        <v>-39692.783505154643</v>
      </c>
      <c r="N85" s="106">
        <f t="shared" si="12"/>
        <v>0.61497999999999997</v>
      </c>
      <c r="O85" s="133"/>
      <c r="P85" s="104">
        <f t="shared" si="94"/>
        <v>515463.91752577323</v>
      </c>
      <c r="Q85" s="104">
        <f t="shared" si="95"/>
        <v>294150</v>
      </c>
      <c r="R85" s="108">
        <f t="shared" si="13"/>
        <v>-221313.91752577323</v>
      </c>
      <c r="S85" s="109">
        <f t="shared" si="14"/>
        <v>0.57065100000000002</v>
      </c>
      <c r="T85" s="125"/>
      <c r="U85" s="104">
        <f t="shared" si="21"/>
        <v>4458762.886597937</v>
      </c>
      <c r="V85" s="104">
        <f t="shared" si="22"/>
        <v>3900300</v>
      </c>
      <c r="W85" s="111">
        <f t="shared" si="15"/>
        <v>-558462.88659793697</v>
      </c>
      <c r="X85" s="112">
        <f t="shared" si="16"/>
        <v>0.8747493641618499</v>
      </c>
      <c r="Y85" s="113">
        <f t="shared" ref="Y85:Z85" si="101">Y84+1</f>
        <v>45722</v>
      </c>
      <c r="Z85" s="114">
        <f t="shared" si="101"/>
        <v>45722</v>
      </c>
      <c r="AA85" s="115">
        <v>10</v>
      </c>
      <c r="AB85" s="120" t="s">
        <v>95</v>
      </c>
      <c r="AC85" s="117">
        <f>IFERROR(AVERAGEIFS(J294:J324,D294:D324,1,G294:G324,"tue"),0)</f>
        <v>83933.333333333328</v>
      </c>
      <c r="AD85" s="118">
        <f>COUNTIFS(D294:D324,1,G294:G324,"tue")</f>
        <v>3</v>
      </c>
      <c r="AE85" s="117">
        <f>($I$16*[1]リトローボ_実績_2024R6!AI84)/AD85</f>
        <v>0</v>
      </c>
      <c r="AF85" s="117">
        <f t="shared" si="100"/>
        <v>0</v>
      </c>
      <c r="AG85" s="119"/>
    </row>
    <row r="86" spans="1:33" ht="16.5" customHeight="1">
      <c r="A86" s="39"/>
      <c r="B86" s="50"/>
      <c r="C86" s="95">
        <v>66</v>
      </c>
      <c r="D86" s="96">
        <v>1</v>
      </c>
      <c r="E86" s="97">
        <f t="shared" si="8"/>
        <v>3</v>
      </c>
      <c r="F86" s="98">
        <f t="shared" si="18"/>
        <v>45723</v>
      </c>
      <c r="G86" s="99" t="str">
        <f t="shared" si="9"/>
        <v>Fri</v>
      </c>
      <c r="H86" s="100"/>
      <c r="I86" s="101"/>
      <c r="J86" s="135">
        <v>142700</v>
      </c>
      <c r="K86" s="136"/>
      <c r="L86" s="104">
        <f t="shared" si="92"/>
        <v>103092.78350515464</v>
      </c>
      <c r="M86" s="105">
        <f t="shared" si="11"/>
        <v>39607.216494845357</v>
      </c>
      <c r="N86" s="106">
        <f t="shared" si="12"/>
        <v>1.38419</v>
      </c>
      <c r="O86" s="133"/>
      <c r="P86" s="104">
        <f t="shared" si="94"/>
        <v>618556.70103092783</v>
      </c>
      <c r="Q86" s="104">
        <f t="shared" si="95"/>
        <v>436850</v>
      </c>
      <c r="R86" s="108">
        <f t="shared" si="13"/>
        <v>-181706.70103092783</v>
      </c>
      <c r="S86" s="109">
        <f t="shared" si="14"/>
        <v>0.70624083333333332</v>
      </c>
      <c r="T86" s="125"/>
      <c r="U86" s="104">
        <f t="shared" si="21"/>
        <v>4561855.6701030917</v>
      </c>
      <c r="V86" s="104">
        <f t="shared" si="22"/>
        <v>4043000</v>
      </c>
      <c r="W86" s="111">
        <f t="shared" si="15"/>
        <v>-518855.67010309175</v>
      </c>
      <c r="X86" s="112">
        <f t="shared" si="16"/>
        <v>0.88626214689265559</v>
      </c>
      <c r="Y86" s="113">
        <f t="shared" ref="Y86:Z86" si="102">Y85+1</f>
        <v>45723</v>
      </c>
      <c r="Z86" s="114">
        <f t="shared" si="102"/>
        <v>45723</v>
      </c>
      <c r="AA86" s="115">
        <v>10</v>
      </c>
      <c r="AB86" s="120" t="s">
        <v>96</v>
      </c>
      <c r="AC86" s="117">
        <f>IFERROR(AVERAGEIFS(J294:J324,D294:D324,1,G294:G324,"wed"),0)</f>
        <v>75750</v>
      </c>
      <c r="AD86" s="118">
        <f>COUNTIFS(D294:D324,1,G294:G324,"wed")</f>
        <v>5</v>
      </c>
      <c r="AE86" s="117">
        <f>($I$16*[1]リトローボ_実績_2024R6!AI85)/AD86</f>
        <v>0</v>
      </c>
      <c r="AF86" s="117">
        <f t="shared" si="100"/>
        <v>0</v>
      </c>
      <c r="AG86" s="119"/>
    </row>
    <row r="87" spans="1:33" ht="16.5" customHeight="1">
      <c r="A87" s="39"/>
      <c r="B87" s="50"/>
      <c r="C87" s="95">
        <v>67</v>
      </c>
      <c r="D87" s="96">
        <v>1</v>
      </c>
      <c r="E87" s="97">
        <f t="shared" si="8"/>
        <v>3</v>
      </c>
      <c r="F87" s="98">
        <f t="shared" si="18"/>
        <v>45724</v>
      </c>
      <c r="G87" s="99" t="str">
        <f t="shared" si="9"/>
        <v>Sat</v>
      </c>
      <c r="H87" s="100"/>
      <c r="I87" s="101"/>
      <c r="J87" s="135">
        <v>36250</v>
      </c>
      <c r="K87" s="136"/>
      <c r="L87" s="104">
        <f t="shared" si="92"/>
        <v>103092.78350515464</v>
      </c>
      <c r="M87" s="105">
        <f t="shared" si="11"/>
        <v>-66842.783505154643</v>
      </c>
      <c r="N87" s="106">
        <f t="shared" si="12"/>
        <v>0.35162499999999997</v>
      </c>
      <c r="O87" s="133"/>
      <c r="P87" s="104">
        <f t="shared" si="94"/>
        <v>721649.48453608248</v>
      </c>
      <c r="Q87" s="104">
        <f t="shared" si="95"/>
        <v>473100</v>
      </c>
      <c r="R87" s="108">
        <f t="shared" si="13"/>
        <v>-248549.48453608248</v>
      </c>
      <c r="S87" s="109">
        <f t="shared" si="14"/>
        <v>0.65558142857142854</v>
      </c>
      <c r="T87" s="125"/>
      <c r="U87" s="104">
        <f t="shared" si="21"/>
        <v>4664948.4536082465</v>
      </c>
      <c r="V87" s="104">
        <f t="shared" si="22"/>
        <v>4079250</v>
      </c>
      <c r="W87" s="111">
        <f t="shared" si="15"/>
        <v>-585698.45360824652</v>
      </c>
      <c r="X87" s="112">
        <f t="shared" si="16"/>
        <v>0.874446961325967</v>
      </c>
      <c r="Y87" s="113">
        <f t="shared" ref="Y87:Z87" si="103">Y86+1</f>
        <v>45724</v>
      </c>
      <c r="Z87" s="114">
        <f t="shared" si="103"/>
        <v>45724</v>
      </c>
      <c r="AA87" s="115">
        <v>10</v>
      </c>
      <c r="AB87" s="120" t="s">
        <v>97</v>
      </c>
      <c r="AC87" s="117">
        <f>IFERROR(AVERAGEIFS(J294:J324,D294:D324,1,G294:G324,"thu"),0)</f>
        <v>79480</v>
      </c>
      <c r="AD87" s="118">
        <f>COUNTIFS(D294:D324,1,G294:G324,"thu")</f>
        <v>5</v>
      </c>
      <c r="AE87" s="117">
        <f>($I$16*[1]リトローボ_実績_2024R6!AI86)/AD87</f>
        <v>0</v>
      </c>
      <c r="AF87" s="117">
        <f t="shared" si="100"/>
        <v>0</v>
      </c>
      <c r="AG87" s="119"/>
    </row>
    <row r="88" spans="1:33" ht="16.5" customHeight="1">
      <c r="A88" s="39"/>
      <c r="B88" s="50"/>
      <c r="C88" s="95">
        <v>68</v>
      </c>
      <c r="D88" s="96">
        <v>1</v>
      </c>
      <c r="E88" s="97">
        <f t="shared" si="8"/>
        <v>3</v>
      </c>
      <c r="F88" s="98">
        <f t="shared" si="18"/>
        <v>45725</v>
      </c>
      <c r="G88" s="99" t="str">
        <f t="shared" si="9"/>
        <v>Sun</v>
      </c>
      <c r="H88" s="100"/>
      <c r="I88" s="101"/>
      <c r="J88" s="135">
        <v>105700</v>
      </c>
      <c r="K88" s="136"/>
      <c r="L88" s="104">
        <f t="shared" si="92"/>
        <v>103092.78350515464</v>
      </c>
      <c r="M88" s="105">
        <f t="shared" si="11"/>
        <v>2607.2164948453574</v>
      </c>
      <c r="N88" s="106">
        <f t="shared" si="12"/>
        <v>1.02529</v>
      </c>
      <c r="O88" s="134"/>
      <c r="P88" s="104">
        <f t="shared" si="94"/>
        <v>824742.26804123714</v>
      </c>
      <c r="Q88" s="104">
        <f t="shared" si="95"/>
        <v>578800</v>
      </c>
      <c r="R88" s="108">
        <f t="shared" si="13"/>
        <v>-245942.26804123714</v>
      </c>
      <c r="S88" s="109">
        <f t="shared" si="14"/>
        <v>0.70179499999999995</v>
      </c>
      <c r="T88" s="131"/>
      <c r="U88" s="104">
        <f t="shared" si="21"/>
        <v>4768041.2371134013</v>
      </c>
      <c r="V88" s="104">
        <f t="shared" si="22"/>
        <v>4184950</v>
      </c>
      <c r="W88" s="111">
        <f t="shared" si="15"/>
        <v>-583091.23711340129</v>
      </c>
      <c r="X88" s="112">
        <f t="shared" si="16"/>
        <v>0.87770843243243257</v>
      </c>
      <c r="Y88" s="113">
        <f t="shared" ref="Y88:Z88" si="104">Y87+1</f>
        <v>45725</v>
      </c>
      <c r="Z88" s="114">
        <f t="shared" si="104"/>
        <v>45725</v>
      </c>
      <c r="AA88" s="115">
        <v>10</v>
      </c>
      <c r="AB88" s="120" t="s">
        <v>99</v>
      </c>
      <c r="AC88" s="117">
        <f>IFERROR(AVERAGEIFS(J294:J324,D294:D324,1,G294:G324,"fri"),0)</f>
        <v>125000</v>
      </c>
      <c r="AD88" s="118">
        <f>COUNTIFS(D294:D324,1,G294:G324,"fri")</f>
        <v>5</v>
      </c>
      <c r="AE88" s="117">
        <f>($I$16*[1]リトローボ_実績_2024R6!AI87)/AD88</f>
        <v>0</v>
      </c>
      <c r="AF88" s="117">
        <f t="shared" si="100"/>
        <v>0</v>
      </c>
      <c r="AG88" s="119"/>
    </row>
    <row r="89" spans="1:33" ht="16.5" customHeight="1">
      <c r="A89" s="39"/>
      <c r="B89" s="50"/>
      <c r="C89" s="95">
        <v>69</v>
      </c>
      <c r="D89" s="96">
        <v>0</v>
      </c>
      <c r="E89" s="97">
        <f t="shared" si="8"/>
        <v>3</v>
      </c>
      <c r="F89" s="98">
        <f t="shared" si="18"/>
        <v>45726</v>
      </c>
      <c r="G89" s="99" t="str">
        <f t="shared" si="9"/>
        <v>Mon</v>
      </c>
      <c r="H89" s="100"/>
      <c r="I89" s="101"/>
      <c r="J89" s="135"/>
      <c r="K89" s="136"/>
      <c r="L89" s="104">
        <f t="shared" si="92"/>
        <v>0</v>
      </c>
      <c r="M89" s="105">
        <f t="shared" si="11"/>
        <v>0</v>
      </c>
      <c r="N89" s="106" t="str">
        <f t="shared" si="12"/>
        <v>¥0</v>
      </c>
      <c r="O89" s="133"/>
      <c r="P89" s="104">
        <f t="shared" si="94"/>
        <v>0</v>
      </c>
      <c r="Q89" s="104">
        <f t="shared" si="95"/>
        <v>0</v>
      </c>
      <c r="R89" s="108">
        <f t="shared" si="13"/>
        <v>0</v>
      </c>
      <c r="S89" s="109">
        <f t="shared" si="14"/>
        <v>0</v>
      </c>
      <c r="T89" s="125"/>
      <c r="U89" s="104">
        <f t="shared" si="21"/>
        <v>0</v>
      </c>
      <c r="V89" s="104">
        <f t="shared" si="22"/>
        <v>0</v>
      </c>
      <c r="W89" s="111">
        <f t="shared" si="15"/>
        <v>0</v>
      </c>
      <c r="X89" s="112">
        <f t="shared" si="16"/>
        <v>0</v>
      </c>
      <c r="Y89" s="113">
        <f t="shared" ref="Y89:Z89" si="105">Y88+1</f>
        <v>45726</v>
      </c>
      <c r="Z89" s="114">
        <f t="shared" si="105"/>
        <v>45726</v>
      </c>
      <c r="AA89" s="115">
        <v>10</v>
      </c>
      <c r="AB89" s="120" t="s">
        <v>100</v>
      </c>
      <c r="AC89" s="117">
        <f>IFERROR(AVERAGEIFS(J294:J324,D294:D324,1,G294:G324,"sat"),0)</f>
        <v>48737.5</v>
      </c>
      <c r="AD89" s="118">
        <f>COUNTIFS(D294:D324,1,G294:G324,"sat")</f>
        <v>4</v>
      </c>
      <c r="AE89" s="117">
        <f>($I$16*[1]リトローボ_実績_2024R6!AI88)/AD89</f>
        <v>0</v>
      </c>
      <c r="AF89" s="117">
        <f t="shared" si="100"/>
        <v>0</v>
      </c>
      <c r="AG89" s="126" t="s">
        <v>118</v>
      </c>
    </row>
    <row r="90" spans="1:33" ht="16.5" customHeight="1">
      <c r="A90" s="39"/>
      <c r="B90" s="50"/>
      <c r="C90" s="95">
        <v>70</v>
      </c>
      <c r="D90" s="96">
        <v>1</v>
      </c>
      <c r="E90" s="97">
        <f t="shared" si="8"/>
        <v>3</v>
      </c>
      <c r="F90" s="98">
        <f t="shared" si="18"/>
        <v>45727</v>
      </c>
      <c r="G90" s="99" t="str">
        <f t="shared" si="9"/>
        <v>Tue</v>
      </c>
      <c r="H90" s="100"/>
      <c r="I90" s="101"/>
      <c r="J90" s="135">
        <v>62050</v>
      </c>
      <c r="K90" s="136"/>
      <c r="L90" s="104">
        <f t="shared" si="92"/>
        <v>103092.78350515464</v>
      </c>
      <c r="M90" s="105">
        <f t="shared" si="11"/>
        <v>-41042.783505154643</v>
      </c>
      <c r="N90" s="106">
        <f t="shared" si="12"/>
        <v>0.601885</v>
      </c>
      <c r="O90" s="133"/>
      <c r="P90" s="104">
        <f t="shared" si="94"/>
        <v>927835.0515463918</v>
      </c>
      <c r="Q90" s="104">
        <f t="shared" si="95"/>
        <v>640850</v>
      </c>
      <c r="R90" s="108">
        <f t="shared" si="13"/>
        <v>-286985.0515463918</v>
      </c>
      <c r="S90" s="109">
        <f t="shared" si="14"/>
        <v>0.69069388888888883</v>
      </c>
      <c r="T90" s="125"/>
      <c r="U90" s="104">
        <f t="shared" si="21"/>
        <v>4871134.0206185561</v>
      </c>
      <c r="V90" s="104">
        <f t="shared" si="22"/>
        <v>4247000</v>
      </c>
      <c r="W90" s="111">
        <f t="shared" si="15"/>
        <v>-624134.02061855607</v>
      </c>
      <c r="X90" s="112">
        <f t="shared" si="16"/>
        <v>0.87187089947089957</v>
      </c>
      <c r="Y90" s="113">
        <f t="shared" ref="Y90:Z90" si="106">Y89+1</f>
        <v>45727</v>
      </c>
      <c r="Z90" s="114">
        <f t="shared" si="106"/>
        <v>45727</v>
      </c>
      <c r="AA90" s="115">
        <v>10</v>
      </c>
      <c r="AB90" s="120" t="s">
        <v>102</v>
      </c>
      <c r="AC90" s="117">
        <f>IFERROR(AVERAGEIFS(J294:J324,D294:D324,1,G294:G324,"sun"),0)</f>
        <v>68962.5</v>
      </c>
      <c r="AD90" s="118">
        <f>IFERROR(COUNTIFS(D294:D324,1,G294:G324,"sun"),0)</f>
        <v>4</v>
      </c>
      <c r="AE90" s="117">
        <f>IFERROR(($I$16*[1]リトローボ_実績_2024R6!AI89)/AD90,0)</f>
        <v>0</v>
      </c>
      <c r="AF90" s="127">
        <f>SUM(AF84:AF89)</f>
        <v>0</v>
      </c>
      <c r="AG90" s="128">
        <f>I16</f>
        <v>2948453.6082474231</v>
      </c>
    </row>
    <row r="91" spans="1:33" ht="16.5" customHeight="1">
      <c r="A91" s="39"/>
      <c r="B91" s="50"/>
      <c r="C91" s="95">
        <v>71</v>
      </c>
      <c r="D91" s="96">
        <v>1</v>
      </c>
      <c r="E91" s="97">
        <f t="shared" si="8"/>
        <v>3</v>
      </c>
      <c r="F91" s="98">
        <f t="shared" si="18"/>
        <v>45728</v>
      </c>
      <c r="G91" s="99" t="str">
        <f t="shared" si="9"/>
        <v>Wed</v>
      </c>
      <c r="H91" s="100"/>
      <c r="I91" s="101"/>
      <c r="J91" s="135">
        <v>67300</v>
      </c>
      <c r="K91" s="136"/>
      <c r="L91" s="104">
        <f t="shared" si="92"/>
        <v>103092.78350515464</v>
      </c>
      <c r="M91" s="105">
        <f t="shared" si="11"/>
        <v>-35792.783505154643</v>
      </c>
      <c r="N91" s="106">
        <f t="shared" si="12"/>
        <v>0.65281</v>
      </c>
      <c r="O91" s="133"/>
      <c r="P91" s="104">
        <f t="shared" si="94"/>
        <v>1030927.8350515465</v>
      </c>
      <c r="Q91" s="104">
        <f t="shared" si="95"/>
        <v>708150</v>
      </c>
      <c r="R91" s="108">
        <f t="shared" si="13"/>
        <v>-322777.83505154646</v>
      </c>
      <c r="S91" s="109">
        <f t="shared" si="14"/>
        <v>0.68690549999999995</v>
      </c>
      <c r="T91" s="125"/>
      <c r="U91" s="104">
        <f t="shared" si="21"/>
        <v>4974226.8041237108</v>
      </c>
      <c r="V91" s="104">
        <f t="shared" si="22"/>
        <v>4314300</v>
      </c>
      <c r="W91" s="111">
        <f t="shared" si="15"/>
        <v>-659926.80412371084</v>
      </c>
      <c r="X91" s="112">
        <f t="shared" si="16"/>
        <v>0.86733077720207263</v>
      </c>
      <c r="Y91" s="113">
        <f t="shared" ref="Y91:Z91" si="107">Y90+1</f>
        <v>45728</v>
      </c>
      <c r="Z91" s="114">
        <f t="shared" si="107"/>
        <v>45728</v>
      </c>
      <c r="AA91" s="115">
        <v>11</v>
      </c>
      <c r="AB91" s="116" t="s">
        <v>93</v>
      </c>
      <c r="AC91" s="117">
        <f>IFERROR(AVERAGEIFS(J325:J354,D325:D354,1,G325:G354,"mon"),0)</f>
        <v>0</v>
      </c>
      <c r="AD91" s="118">
        <f>COUNTIFS(D325:D354,1,G325:G354,"Mon")</f>
        <v>0</v>
      </c>
      <c r="AE91" s="117">
        <f>IFERROR(($I$17*[1]リトローボ_実績_2024R6!AI90)/AD91,0)</f>
        <v>0</v>
      </c>
      <c r="AF91" s="117">
        <f t="shared" ref="AF91:AF96" si="108">AD91*AE91</f>
        <v>0</v>
      </c>
      <c r="AG91" s="119" t="s">
        <v>119</v>
      </c>
    </row>
    <row r="92" spans="1:33" ht="16.5" customHeight="1">
      <c r="A92" s="39"/>
      <c r="B92" s="50"/>
      <c r="C92" s="95">
        <v>72</v>
      </c>
      <c r="D92" s="96">
        <v>1</v>
      </c>
      <c r="E92" s="97">
        <f t="shared" si="8"/>
        <v>3</v>
      </c>
      <c r="F92" s="98">
        <f t="shared" si="18"/>
        <v>45729</v>
      </c>
      <c r="G92" s="99" t="str">
        <f t="shared" si="9"/>
        <v>Thu</v>
      </c>
      <c r="H92" s="100"/>
      <c r="I92" s="101"/>
      <c r="J92" s="135">
        <v>83950</v>
      </c>
      <c r="K92" s="136"/>
      <c r="L92" s="104">
        <f t="shared" si="92"/>
        <v>103092.78350515464</v>
      </c>
      <c r="M92" s="105">
        <f t="shared" si="11"/>
        <v>-19142.783505154643</v>
      </c>
      <c r="N92" s="106">
        <f t="shared" si="12"/>
        <v>0.81431500000000001</v>
      </c>
      <c r="O92" s="133"/>
      <c r="P92" s="104">
        <f t="shared" si="94"/>
        <v>1134020.6185567011</v>
      </c>
      <c r="Q92" s="104">
        <f t="shared" si="95"/>
        <v>792100</v>
      </c>
      <c r="R92" s="108">
        <f t="shared" si="13"/>
        <v>-341920.61855670111</v>
      </c>
      <c r="S92" s="109">
        <f t="shared" si="14"/>
        <v>0.69848818181818173</v>
      </c>
      <c r="T92" s="125"/>
      <c r="U92" s="104">
        <f t="shared" si="21"/>
        <v>5077319.5876288656</v>
      </c>
      <c r="V92" s="104">
        <f t="shared" si="22"/>
        <v>4398250</v>
      </c>
      <c r="W92" s="111">
        <f t="shared" si="15"/>
        <v>-679069.58762886561</v>
      </c>
      <c r="X92" s="112">
        <f t="shared" si="16"/>
        <v>0.86625431472081227</v>
      </c>
      <c r="Y92" s="113">
        <f t="shared" ref="Y92:Z92" si="109">Y91+1</f>
        <v>45729</v>
      </c>
      <c r="Z92" s="114">
        <f t="shared" si="109"/>
        <v>45729</v>
      </c>
      <c r="AA92" s="115">
        <v>11</v>
      </c>
      <c r="AB92" s="120" t="s">
        <v>95</v>
      </c>
      <c r="AC92" s="117">
        <f>IFERROR(AVERAGEIFS(J325:J354,D325:D354,1,G325:G354,"tue"),0)</f>
        <v>0</v>
      </c>
      <c r="AD92" s="118">
        <f>COUNTIFS(D325:D354,1,G325:G354,"tue")</f>
        <v>2</v>
      </c>
      <c r="AE92" s="117">
        <f>($I$17*[1]リトローボ_実績_2024R6!AI91)/AD92</f>
        <v>0</v>
      </c>
      <c r="AF92" s="117">
        <f t="shared" si="108"/>
        <v>0</v>
      </c>
      <c r="AG92" s="119"/>
    </row>
    <row r="93" spans="1:33" ht="16.5" customHeight="1">
      <c r="A93" s="39"/>
      <c r="B93" s="50"/>
      <c r="C93" s="95">
        <v>73</v>
      </c>
      <c r="D93" s="96">
        <v>1</v>
      </c>
      <c r="E93" s="97">
        <f t="shared" si="8"/>
        <v>3</v>
      </c>
      <c r="F93" s="98">
        <f t="shared" si="18"/>
        <v>45730</v>
      </c>
      <c r="G93" s="99" t="str">
        <f t="shared" si="9"/>
        <v>Fri</v>
      </c>
      <c r="H93" s="100"/>
      <c r="I93" s="101"/>
      <c r="J93" s="135">
        <v>127950</v>
      </c>
      <c r="K93" s="136"/>
      <c r="L93" s="104">
        <f t="shared" si="92"/>
        <v>103092.78350515464</v>
      </c>
      <c r="M93" s="105">
        <f t="shared" si="11"/>
        <v>24857.216494845357</v>
      </c>
      <c r="N93" s="106">
        <f t="shared" si="12"/>
        <v>1.241115</v>
      </c>
      <c r="O93" s="133"/>
      <c r="P93" s="104">
        <f t="shared" si="94"/>
        <v>1237113.4020618557</v>
      </c>
      <c r="Q93" s="104">
        <f t="shared" si="95"/>
        <v>920050</v>
      </c>
      <c r="R93" s="108">
        <f t="shared" si="13"/>
        <v>-317063.40206185565</v>
      </c>
      <c r="S93" s="109">
        <f t="shared" si="14"/>
        <v>0.74370708333333335</v>
      </c>
      <c r="T93" s="125"/>
      <c r="U93" s="104">
        <f t="shared" si="21"/>
        <v>5180412.3711340204</v>
      </c>
      <c r="V93" s="104">
        <f t="shared" si="22"/>
        <v>4526200</v>
      </c>
      <c r="W93" s="111">
        <f t="shared" si="15"/>
        <v>-654212.37113402039</v>
      </c>
      <c r="X93" s="112">
        <f t="shared" si="16"/>
        <v>0.87371422885572148</v>
      </c>
      <c r="Y93" s="113">
        <f t="shared" ref="Y93:Z93" si="110">Y92+1</f>
        <v>45730</v>
      </c>
      <c r="Z93" s="114">
        <f t="shared" si="110"/>
        <v>45730</v>
      </c>
      <c r="AA93" s="115">
        <v>11</v>
      </c>
      <c r="AB93" s="120" t="s">
        <v>96</v>
      </c>
      <c r="AC93" s="117">
        <f>IFERROR(AVERAGEIFS(J325:J354,D325:D354,1,G325:G354,"wed"),0)</f>
        <v>119950</v>
      </c>
      <c r="AD93" s="118">
        <f>COUNTIFS(D325:D354,1,G325:G354,"wed")</f>
        <v>3</v>
      </c>
      <c r="AE93" s="117">
        <f>($I$17*[1]リトローボ_実績_2024R6!AI92)/AD93</f>
        <v>0</v>
      </c>
      <c r="AF93" s="117">
        <f t="shared" si="108"/>
        <v>0</v>
      </c>
      <c r="AG93" s="119"/>
    </row>
    <row r="94" spans="1:33" ht="16.5" customHeight="1">
      <c r="A94" s="39"/>
      <c r="B94" s="50"/>
      <c r="C94" s="95">
        <v>74</v>
      </c>
      <c r="D94" s="96">
        <v>1</v>
      </c>
      <c r="E94" s="97">
        <f t="shared" si="8"/>
        <v>3</v>
      </c>
      <c r="F94" s="98">
        <f t="shared" si="18"/>
        <v>45731</v>
      </c>
      <c r="G94" s="99" t="str">
        <f t="shared" si="9"/>
        <v>Sat</v>
      </c>
      <c r="H94" s="100"/>
      <c r="I94" s="101"/>
      <c r="J94" s="135">
        <v>43650</v>
      </c>
      <c r="K94" s="136"/>
      <c r="L94" s="104">
        <f t="shared" si="92"/>
        <v>103092.78350515464</v>
      </c>
      <c r="M94" s="105">
        <f t="shared" si="11"/>
        <v>-59442.783505154643</v>
      </c>
      <c r="N94" s="106">
        <f t="shared" si="12"/>
        <v>0.42340499999999998</v>
      </c>
      <c r="O94" s="133"/>
      <c r="P94" s="104">
        <f t="shared" si="94"/>
        <v>1340206.1855670102</v>
      </c>
      <c r="Q94" s="104">
        <f t="shared" si="95"/>
        <v>963700</v>
      </c>
      <c r="R94" s="108">
        <f t="shared" si="13"/>
        <v>-376506.18556701019</v>
      </c>
      <c r="S94" s="109">
        <f t="shared" si="14"/>
        <v>0.7190684615384616</v>
      </c>
      <c r="T94" s="125"/>
      <c r="U94" s="104">
        <f t="shared" si="21"/>
        <v>5283505.1546391752</v>
      </c>
      <c r="V94" s="104">
        <f t="shared" si="22"/>
        <v>4569850</v>
      </c>
      <c r="W94" s="111">
        <f t="shared" si="15"/>
        <v>-713655.15463917516</v>
      </c>
      <c r="X94" s="112">
        <f t="shared" si="16"/>
        <v>0.86492770731707314</v>
      </c>
      <c r="Y94" s="113">
        <f t="shared" ref="Y94:Z94" si="111">Y93+1</f>
        <v>45731</v>
      </c>
      <c r="Z94" s="114">
        <f t="shared" si="111"/>
        <v>45731</v>
      </c>
      <c r="AA94" s="115">
        <v>11</v>
      </c>
      <c r="AB94" s="120" t="s">
        <v>97</v>
      </c>
      <c r="AC94" s="117">
        <f>IFERROR(AVERAGEIFS(J325:J354,D325:D354,1,G325:G354,"thu"),0)</f>
        <v>75150</v>
      </c>
      <c r="AD94" s="118">
        <f>COUNTIFS(D325:D354,1,G325:G354,"thu")</f>
        <v>4</v>
      </c>
      <c r="AE94" s="117">
        <f>($I$17*[1]リトローボ_実績_2024R6!AI93)/AD94</f>
        <v>0</v>
      </c>
      <c r="AF94" s="117">
        <f t="shared" si="108"/>
        <v>0</v>
      </c>
      <c r="AG94" s="119"/>
    </row>
    <row r="95" spans="1:33" ht="16.5" customHeight="1">
      <c r="A95" s="39"/>
      <c r="B95" s="50"/>
      <c r="C95" s="95">
        <v>75</v>
      </c>
      <c r="D95" s="96">
        <v>1</v>
      </c>
      <c r="E95" s="97">
        <f t="shared" si="8"/>
        <v>3</v>
      </c>
      <c r="F95" s="98">
        <f t="shared" si="18"/>
        <v>45732</v>
      </c>
      <c r="G95" s="99" t="str">
        <f t="shared" si="9"/>
        <v>Sun</v>
      </c>
      <c r="H95" s="100"/>
      <c r="I95" s="101"/>
      <c r="J95" s="135">
        <v>88750</v>
      </c>
      <c r="K95" s="136"/>
      <c r="L95" s="104">
        <f t="shared" si="92"/>
        <v>103092.78350515464</v>
      </c>
      <c r="M95" s="105">
        <f t="shared" si="11"/>
        <v>-14342.783505154643</v>
      </c>
      <c r="N95" s="106">
        <f t="shared" si="12"/>
        <v>0.86087499999999995</v>
      </c>
      <c r="O95" s="134"/>
      <c r="P95" s="104">
        <f t="shared" si="94"/>
        <v>1443298.9690721647</v>
      </c>
      <c r="Q95" s="104">
        <f t="shared" si="95"/>
        <v>1052450</v>
      </c>
      <c r="R95" s="108">
        <f t="shared" si="13"/>
        <v>-390848.96907216473</v>
      </c>
      <c r="S95" s="109">
        <f t="shared" si="14"/>
        <v>0.72919750000000005</v>
      </c>
      <c r="T95" s="131"/>
      <c r="U95" s="104">
        <f t="shared" si="21"/>
        <v>5386597.9381443299</v>
      </c>
      <c r="V95" s="104">
        <f t="shared" si="22"/>
        <v>4658600</v>
      </c>
      <c r="W95" s="111">
        <f t="shared" si="15"/>
        <v>-727997.93814432994</v>
      </c>
      <c r="X95" s="112">
        <f t="shared" si="16"/>
        <v>0.8648501435406698</v>
      </c>
      <c r="Y95" s="113">
        <f t="shared" ref="Y95:Z95" si="112">Y94+1</f>
        <v>45732</v>
      </c>
      <c r="Z95" s="114">
        <f t="shared" si="112"/>
        <v>45732</v>
      </c>
      <c r="AA95" s="115">
        <v>11</v>
      </c>
      <c r="AB95" s="120" t="s">
        <v>99</v>
      </c>
      <c r="AC95" s="117">
        <f>IFERROR(AVERAGEIFS(J325:J354,D325:D354,1,G325:G354,"fri"),0)</f>
        <v>70300</v>
      </c>
      <c r="AD95" s="118">
        <f>COUNTIFS(D325:D354,1,G325:G354,"fri")</f>
        <v>4</v>
      </c>
      <c r="AE95" s="117">
        <f>($I$17*[1]リトローボ_実績_2024R6!AI94)/AD95</f>
        <v>0</v>
      </c>
      <c r="AF95" s="117">
        <f t="shared" si="108"/>
        <v>0</v>
      </c>
      <c r="AG95" s="119"/>
    </row>
    <row r="96" spans="1:33" ht="16.5" customHeight="1">
      <c r="A96" s="39"/>
      <c r="B96" s="50"/>
      <c r="C96" s="95">
        <v>76</v>
      </c>
      <c r="D96" s="96">
        <v>0</v>
      </c>
      <c r="E96" s="97">
        <f t="shared" si="8"/>
        <v>3</v>
      </c>
      <c r="F96" s="98">
        <f t="shared" si="18"/>
        <v>45733</v>
      </c>
      <c r="G96" s="99" t="str">
        <f t="shared" si="9"/>
        <v>Mon</v>
      </c>
      <c r="H96" s="100"/>
      <c r="I96" s="101"/>
      <c r="J96" s="135"/>
      <c r="K96" s="136"/>
      <c r="L96" s="104">
        <f t="shared" si="92"/>
        <v>0</v>
      </c>
      <c r="M96" s="105">
        <f t="shared" si="11"/>
        <v>0</v>
      </c>
      <c r="N96" s="106" t="str">
        <f t="shared" si="12"/>
        <v>¥0</v>
      </c>
      <c r="O96" s="133"/>
      <c r="P96" s="104">
        <f t="shared" si="94"/>
        <v>0</v>
      </c>
      <c r="Q96" s="104">
        <f t="shared" si="95"/>
        <v>0</v>
      </c>
      <c r="R96" s="108">
        <f t="shared" si="13"/>
        <v>0</v>
      </c>
      <c r="S96" s="109">
        <f t="shared" si="14"/>
        <v>0</v>
      </c>
      <c r="T96" s="125"/>
      <c r="U96" s="104">
        <f t="shared" si="21"/>
        <v>0</v>
      </c>
      <c r="V96" s="104">
        <f t="shared" si="22"/>
        <v>0</v>
      </c>
      <c r="W96" s="111">
        <f t="shared" si="15"/>
        <v>0</v>
      </c>
      <c r="X96" s="112">
        <f t="shared" si="16"/>
        <v>0</v>
      </c>
      <c r="Y96" s="113">
        <f t="shared" ref="Y96:Z96" si="113">Y95+1</f>
        <v>45733</v>
      </c>
      <c r="Z96" s="114">
        <f t="shared" si="113"/>
        <v>45733</v>
      </c>
      <c r="AA96" s="115">
        <v>11</v>
      </c>
      <c r="AB96" s="120" t="s">
        <v>100</v>
      </c>
      <c r="AC96" s="117">
        <f>IFERROR(AVERAGEIFS(J325:J354,D325:D354,1,G325:G354,"sat"),0)</f>
        <v>103450</v>
      </c>
      <c r="AD96" s="118">
        <f>COUNTIFS(D325:D354,1,G325:G354,"sat")</f>
        <v>5</v>
      </c>
      <c r="AE96" s="117">
        <f>($I$17*[1]リトローボ_実績_2024R6!AI95)/AD96</f>
        <v>0</v>
      </c>
      <c r="AF96" s="117">
        <f t="shared" si="108"/>
        <v>0</v>
      </c>
      <c r="AG96" s="126" t="s">
        <v>120</v>
      </c>
    </row>
    <row r="97" spans="1:33" ht="16.5" customHeight="1">
      <c r="A97" s="39"/>
      <c r="B97" s="50"/>
      <c r="C97" s="95">
        <v>77</v>
      </c>
      <c r="D97" s="96">
        <v>1</v>
      </c>
      <c r="E97" s="97">
        <f t="shared" si="8"/>
        <v>3</v>
      </c>
      <c r="F97" s="98">
        <f t="shared" si="18"/>
        <v>45734</v>
      </c>
      <c r="G97" s="99" t="str">
        <f t="shared" si="9"/>
        <v>Tue</v>
      </c>
      <c r="H97" s="100"/>
      <c r="I97" s="101"/>
      <c r="J97" s="135">
        <v>71400</v>
      </c>
      <c r="K97" s="136"/>
      <c r="L97" s="104">
        <f t="shared" si="92"/>
        <v>103092.78350515464</v>
      </c>
      <c r="M97" s="105">
        <f t="shared" si="11"/>
        <v>-31692.783505154643</v>
      </c>
      <c r="N97" s="106">
        <f t="shared" si="12"/>
        <v>0.69257999999999997</v>
      </c>
      <c r="O97" s="133"/>
      <c r="P97" s="104">
        <f t="shared" si="94"/>
        <v>1546391.7525773193</v>
      </c>
      <c r="Q97" s="104">
        <f t="shared" si="95"/>
        <v>1123850</v>
      </c>
      <c r="R97" s="108">
        <f t="shared" si="13"/>
        <v>-422541.75257731928</v>
      </c>
      <c r="S97" s="109">
        <f t="shared" si="14"/>
        <v>0.72675633333333345</v>
      </c>
      <c r="T97" s="125"/>
      <c r="U97" s="104">
        <f t="shared" si="21"/>
        <v>5489690.7216494847</v>
      </c>
      <c r="V97" s="104">
        <f t="shared" si="22"/>
        <v>4730000</v>
      </c>
      <c r="W97" s="111">
        <f t="shared" si="15"/>
        <v>-759690.72164948471</v>
      </c>
      <c r="X97" s="112">
        <f t="shared" si="16"/>
        <v>0.8616150234741784</v>
      </c>
      <c r="Y97" s="113">
        <f t="shared" ref="Y97:Z97" si="114">Y96+1</f>
        <v>45734</v>
      </c>
      <c r="Z97" s="114">
        <f t="shared" si="114"/>
        <v>45734</v>
      </c>
      <c r="AA97" s="115">
        <v>11</v>
      </c>
      <c r="AB97" s="120" t="s">
        <v>102</v>
      </c>
      <c r="AC97" s="117">
        <f>IFERROR(AVERAGEIFS(J325:J354,D325:D354,1,G325:G354,"sun"),0)</f>
        <v>67275</v>
      </c>
      <c r="AD97" s="118">
        <f>IFERROR(COUNTIFS(D325:D354,1,G325:G354,"sun"),0)</f>
        <v>4</v>
      </c>
      <c r="AE97" s="117">
        <f>IFERROR(($I$17*[1]リトローボ_実績_2024R6!AI96)/AD97,0)</f>
        <v>0</v>
      </c>
      <c r="AF97" s="127">
        <f>SUM(AF91:AF96)</f>
        <v>0</v>
      </c>
      <c r="AG97" s="128">
        <f>I17</f>
        <v>2268041.2371134022</v>
      </c>
    </row>
    <row r="98" spans="1:33" ht="16.5" customHeight="1">
      <c r="A98" s="39"/>
      <c r="B98" s="50"/>
      <c r="C98" s="95">
        <v>78</v>
      </c>
      <c r="D98" s="96">
        <v>1</v>
      </c>
      <c r="E98" s="97">
        <f t="shared" si="8"/>
        <v>3</v>
      </c>
      <c r="F98" s="98">
        <f t="shared" si="18"/>
        <v>45735</v>
      </c>
      <c r="G98" s="99" t="str">
        <f t="shared" si="9"/>
        <v>Wed</v>
      </c>
      <c r="H98" s="100"/>
      <c r="I98" s="101"/>
      <c r="J98" s="135">
        <v>58150</v>
      </c>
      <c r="K98" s="136"/>
      <c r="L98" s="104">
        <f t="shared" si="92"/>
        <v>103092.78350515464</v>
      </c>
      <c r="M98" s="105">
        <f t="shared" si="11"/>
        <v>-44942.783505154643</v>
      </c>
      <c r="N98" s="106">
        <f t="shared" si="12"/>
        <v>0.56405499999999997</v>
      </c>
      <c r="O98" s="133"/>
      <c r="P98" s="104">
        <f t="shared" si="94"/>
        <v>1649484.5360824738</v>
      </c>
      <c r="Q98" s="104">
        <f t="shared" si="95"/>
        <v>1182000</v>
      </c>
      <c r="R98" s="108">
        <f t="shared" si="13"/>
        <v>-467484.53608247382</v>
      </c>
      <c r="S98" s="109">
        <f t="shared" si="14"/>
        <v>0.71658750000000015</v>
      </c>
      <c r="T98" s="125"/>
      <c r="U98" s="104">
        <f t="shared" si="21"/>
        <v>5592783.5051546395</v>
      </c>
      <c r="V98" s="104">
        <f t="shared" si="22"/>
        <v>4788150</v>
      </c>
      <c r="W98" s="111">
        <f t="shared" si="15"/>
        <v>-804633.50515463948</v>
      </c>
      <c r="X98" s="112">
        <f t="shared" si="16"/>
        <v>0.85613004608294929</v>
      </c>
      <c r="Y98" s="113">
        <f t="shared" ref="Y98:Z98" si="115">Y97+1</f>
        <v>45735</v>
      </c>
      <c r="Z98" s="114">
        <f t="shared" si="115"/>
        <v>45735</v>
      </c>
      <c r="AA98" s="115">
        <v>12</v>
      </c>
      <c r="AB98" s="116" t="s">
        <v>93</v>
      </c>
      <c r="AC98" s="117">
        <f>IFERROR(AVERAGEIFS(J355:J385,D355:D385,1,G355:G385,"mon"),0)</f>
        <v>0</v>
      </c>
      <c r="AD98" s="118">
        <f>COUNTIFS(D355:D385,1,G355:G385,"Mon")</f>
        <v>0</v>
      </c>
      <c r="AE98" s="117">
        <f>IFERROR(($I$18*[1]リトローボ_実績_2024R6!AI97)/AD98,0)</f>
        <v>0</v>
      </c>
      <c r="AF98" s="117">
        <f t="shared" ref="AF98:AF103" si="116">AD98*AE98</f>
        <v>0</v>
      </c>
      <c r="AG98" s="119" t="s">
        <v>121</v>
      </c>
    </row>
    <row r="99" spans="1:33" ht="16.5" customHeight="1">
      <c r="A99" s="39"/>
      <c r="B99" s="50"/>
      <c r="C99" s="95">
        <v>79</v>
      </c>
      <c r="D99" s="96">
        <v>1</v>
      </c>
      <c r="E99" s="97">
        <f t="shared" si="8"/>
        <v>3</v>
      </c>
      <c r="F99" s="98">
        <f t="shared" si="18"/>
        <v>45736</v>
      </c>
      <c r="G99" s="99" t="str">
        <f t="shared" si="9"/>
        <v>Thu</v>
      </c>
      <c r="H99" s="100"/>
      <c r="I99" s="101"/>
      <c r="J99" s="135">
        <v>73100</v>
      </c>
      <c r="K99" s="136"/>
      <c r="L99" s="104">
        <f t="shared" si="92"/>
        <v>103092.78350515464</v>
      </c>
      <c r="M99" s="105">
        <f t="shared" si="11"/>
        <v>-29992.783505154643</v>
      </c>
      <c r="N99" s="106">
        <f t="shared" si="12"/>
        <v>0.70906999999999998</v>
      </c>
      <c r="O99" s="134"/>
      <c r="P99" s="104">
        <f t="shared" si="94"/>
        <v>1752577.3195876284</v>
      </c>
      <c r="Q99" s="104">
        <f t="shared" si="95"/>
        <v>1255100</v>
      </c>
      <c r="R99" s="108">
        <f t="shared" si="13"/>
        <v>-497477.31958762836</v>
      </c>
      <c r="S99" s="109">
        <f t="shared" si="14"/>
        <v>0.71614529411764727</v>
      </c>
      <c r="T99" s="131"/>
      <c r="U99" s="104">
        <f t="shared" si="21"/>
        <v>5695876.2886597943</v>
      </c>
      <c r="V99" s="104">
        <f t="shared" si="22"/>
        <v>4861250</v>
      </c>
      <c r="W99" s="111">
        <f t="shared" si="15"/>
        <v>-834626.28865979426</v>
      </c>
      <c r="X99" s="112">
        <f t="shared" si="16"/>
        <v>0.85346832579185516</v>
      </c>
      <c r="Y99" s="113">
        <f t="shared" ref="Y99:Z99" si="117">Y98+1</f>
        <v>45736</v>
      </c>
      <c r="Z99" s="114">
        <f t="shared" si="117"/>
        <v>45736</v>
      </c>
      <c r="AA99" s="115">
        <v>12</v>
      </c>
      <c r="AB99" s="120" t="s">
        <v>95</v>
      </c>
      <c r="AC99" s="117">
        <f>IFERROR(AVERAGEIFS(J355:J385,D355:D385,1,G355:G385,"tue"),0)</f>
        <v>0</v>
      </c>
      <c r="AD99" s="118">
        <f>COUNTIFS(D355:D385,1,G355:G385,"tue")</f>
        <v>4</v>
      </c>
      <c r="AE99" s="117">
        <f>($I$18*[1]リトローボ_実績_2024R6!AI98)/AD99</f>
        <v>0</v>
      </c>
      <c r="AF99" s="117">
        <f t="shared" si="116"/>
        <v>0</v>
      </c>
      <c r="AG99" s="119"/>
    </row>
    <row r="100" spans="1:33" ht="16.5" customHeight="1">
      <c r="A100" s="39"/>
      <c r="B100" s="50"/>
      <c r="C100" s="95">
        <v>80</v>
      </c>
      <c r="D100" s="96">
        <v>1</v>
      </c>
      <c r="E100" s="97">
        <f t="shared" si="8"/>
        <v>3</v>
      </c>
      <c r="F100" s="98">
        <f t="shared" si="18"/>
        <v>45737</v>
      </c>
      <c r="G100" s="99" t="str">
        <f t="shared" si="9"/>
        <v>Fri</v>
      </c>
      <c r="H100" s="100"/>
      <c r="I100" s="101"/>
      <c r="J100" s="135">
        <v>104250</v>
      </c>
      <c r="K100" s="136"/>
      <c r="L100" s="104">
        <f t="shared" si="92"/>
        <v>103092.78350515464</v>
      </c>
      <c r="M100" s="105">
        <f t="shared" si="11"/>
        <v>1157.2164948453574</v>
      </c>
      <c r="N100" s="106">
        <f t="shared" si="12"/>
        <v>1.011225</v>
      </c>
      <c r="O100" s="133"/>
      <c r="P100" s="104">
        <f t="shared" si="94"/>
        <v>1855670.1030927829</v>
      </c>
      <c r="Q100" s="104">
        <f t="shared" si="95"/>
        <v>1359350</v>
      </c>
      <c r="R100" s="108">
        <f t="shared" si="13"/>
        <v>-496320.1030927829</v>
      </c>
      <c r="S100" s="109">
        <f t="shared" si="14"/>
        <v>0.7325386111111114</v>
      </c>
      <c r="T100" s="125"/>
      <c r="U100" s="104">
        <f t="shared" si="21"/>
        <v>5798969.072164949</v>
      </c>
      <c r="V100" s="104">
        <f t="shared" si="22"/>
        <v>4965500</v>
      </c>
      <c r="W100" s="111">
        <f t="shared" si="15"/>
        <v>-833469.07216494903</v>
      </c>
      <c r="X100" s="112">
        <f t="shared" si="16"/>
        <v>0.85627288888888875</v>
      </c>
      <c r="Y100" s="113">
        <f t="shared" ref="Y100:Z100" si="118">Y99+1</f>
        <v>45737</v>
      </c>
      <c r="Z100" s="114">
        <f t="shared" si="118"/>
        <v>45737</v>
      </c>
      <c r="AA100" s="115">
        <v>12</v>
      </c>
      <c r="AB100" s="120" t="s">
        <v>96</v>
      </c>
      <c r="AC100" s="117">
        <f>IFERROR(AVERAGEIFS(J355:J385,D355:D385,1,G355:G385,"wed"),0)</f>
        <v>0</v>
      </c>
      <c r="AD100" s="118">
        <f>COUNTIFS(D355:D385,1,G355:G385,"wed")</f>
        <v>4</v>
      </c>
      <c r="AE100" s="117">
        <f>($I$18*[1]リトローボ_実績_2024R6!AI99)/AD100</f>
        <v>0</v>
      </c>
      <c r="AF100" s="117">
        <f t="shared" si="116"/>
        <v>0</v>
      </c>
      <c r="AG100" s="119"/>
    </row>
    <row r="101" spans="1:33" ht="16.5" customHeight="1">
      <c r="A101" s="39"/>
      <c r="B101" s="50"/>
      <c r="C101" s="95">
        <v>81</v>
      </c>
      <c r="D101" s="96">
        <v>1</v>
      </c>
      <c r="E101" s="97">
        <f t="shared" si="8"/>
        <v>3</v>
      </c>
      <c r="F101" s="98">
        <f t="shared" si="18"/>
        <v>45738</v>
      </c>
      <c r="G101" s="99" t="str">
        <f t="shared" si="9"/>
        <v>Sat</v>
      </c>
      <c r="H101" s="100"/>
      <c r="I101" s="101"/>
      <c r="J101" s="135">
        <v>103550</v>
      </c>
      <c r="K101" s="136"/>
      <c r="L101" s="104">
        <f t="shared" si="92"/>
        <v>103092.78350515464</v>
      </c>
      <c r="M101" s="105">
        <f t="shared" si="11"/>
        <v>457.21649484535737</v>
      </c>
      <c r="N101" s="106">
        <f t="shared" si="12"/>
        <v>1.004435</v>
      </c>
      <c r="O101" s="133"/>
      <c r="P101" s="104">
        <f t="shared" si="94"/>
        <v>1958762.8865979374</v>
      </c>
      <c r="Q101" s="104">
        <f t="shared" si="95"/>
        <v>1462900</v>
      </c>
      <c r="R101" s="108">
        <f t="shared" si="13"/>
        <v>-495862.88659793744</v>
      </c>
      <c r="S101" s="109">
        <f t="shared" si="14"/>
        <v>0.74684894736842133</v>
      </c>
      <c r="T101" s="125"/>
      <c r="U101" s="104">
        <f t="shared" si="21"/>
        <v>5902061.8556701038</v>
      </c>
      <c r="V101" s="104">
        <f t="shared" si="22"/>
        <v>5069050</v>
      </c>
      <c r="W101" s="111">
        <f t="shared" si="15"/>
        <v>-833011.8556701038</v>
      </c>
      <c r="X101" s="112">
        <f t="shared" si="16"/>
        <v>0.85886087336244532</v>
      </c>
      <c r="Y101" s="113">
        <f t="shared" ref="Y101:Z101" si="119">Y100+1</f>
        <v>45738</v>
      </c>
      <c r="Z101" s="114">
        <f t="shared" si="119"/>
        <v>45738</v>
      </c>
      <c r="AA101" s="115">
        <v>12</v>
      </c>
      <c r="AB101" s="120" t="s">
        <v>97</v>
      </c>
      <c r="AC101" s="117">
        <f>IFERROR(AVERAGEIFS(J355:J385,D355:D385,1,G355:G385,"thu"),0)</f>
        <v>0</v>
      </c>
      <c r="AD101" s="118">
        <f>COUNTIFS(D355:D385,1,G355:G385,"thu")</f>
        <v>4</v>
      </c>
      <c r="AE101" s="117">
        <f>($I$18*[1]リトローボ_実績_2024R6!AI100)/AD101</f>
        <v>0</v>
      </c>
      <c r="AF101" s="117">
        <f t="shared" si="116"/>
        <v>0</v>
      </c>
      <c r="AG101" s="119"/>
    </row>
    <row r="102" spans="1:33" ht="16.5" customHeight="1">
      <c r="A102" s="39"/>
      <c r="B102" s="50"/>
      <c r="C102" s="95">
        <v>82</v>
      </c>
      <c r="D102" s="96">
        <v>1</v>
      </c>
      <c r="E102" s="97">
        <f t="shared" si="8"/>
        <v>3</v>
      </c>
      <c r="F102" s="98">
        <f t="shared" si="18"/>
        <v>45739</v>
      </c>
      <c r="G102" s="99" t="str">
        <f t="shared" si="9"/>
        <v>Sun</v>
      </c>
      <c r="H102" s="100"/>
      <c r="I102" s="101"/>
      <c r="J102" s="135">
        <v>117250</v>
      </c>
      <c r="K102" s="136"/>
      <c r="L102" s="104">
        <f t="shared" si="92"/>
        <v>103092.78350515464</v>
      </c>
      <c r="M102" s="105">
        <f t="shared" si="11"/>
        <v>14157.216494845357</v>
      </c>
      <c r="N102" s="106">
        <f t="shared" si="12"/>
        <v>1.1373249999999999</v>
      </c>
      <c r="O102" s="134"/>
      <c r="P102" s="104">
        <f t="shared" si="94"/>
        <v>2061855.670103092</v>
      </c>
      <c r="Q102" s="104">
        <f t="shared" si="95"/>
        <v>1580150</v>
      </c>
      <c r="R102" s="108">
        <f t="shared" si="13"/>
        <v>-481705.67010309198</v>
      </c>
      <c r="S102" s="109">
        <f t="shared" si="14"/>
        <v>0.76637275000000027</v>
      </c>
      <c r="T102" s="131"/>
      <c r="U102" s="104">
        <f t="shared" si="21"/>
        <v>6005154.6391752586</v>
      </c>
      <c r="V102" s="104">
        <f t="shared" si="22"/>
        <v>5186300</v>
      </c>
      <c r="W102" s="111">
        <f t="shared" si="15"/>
        <v>-818854.63917525858</v>
      </c>
      <c r="X102" s="112">
        <f t="shared" si="16"/>
        <v>0.8636413733905578</v>
      </c>
      <c r="Y102" s="113">
        <f t="shared" ref="Y102:Z102" si="120">Y101+1</f>
        <v>45739</v>
      </c>
      <c r="Z102" s="114">
        <f t="shared" si="120"/>
        <v>45739</v>
      </c>
      <c r="AA102" s="115">
        <v>12</v>
      </c>
      <c r="AB102" s="120" t="s">
        <v>99</v>
      </c>
      <c r="AC102" s="117">
        <f>IFERROR(AVERAGEIFS(J355:J385,D355:D385,1,G355:G385,"fri"),0)</f>
        <v>0</v>
      </c>
      <c r="AD102" s="118">
        <f>COUNTIFS(D355:D385,1,G355:G385,"fri")</f>
        <v>4</v>
      </c>
      <c r="AE102" s="117">
        <f>($I$18*[1]リトローボ_実績_2024R6!AI101)/AD102</f>
        <v>0</v>
      </c>
      <c r="AF102" s="117">
        <f t="shared" si="116"/>
        <v>0</v>
      </c>
      <c r="AG102" s="119"/>
    </row>
    <row r="103" spans="1:33" ht="16.5" customHeight="1">
      <c r="A103" s="39"/>
      <c r="B103" s="50"/>
      <c r="C103" s="95">
        <v>83</v>
      </c>
      <c r="D103" s="96">
        <v>0</v>
      </c>
      <c r="E103" s="97">
        <f t="shared" si="8"/>
        <v>3</v>
      </c>
      <c r="F103" s="98">
        <f t="shared" si="18"/>
        <v>45740</v>
      </c>
      <c r="G103" s="99" t="str">
        <f t="shared" si="9"/>
        <v>Mon</v>
      </c>
      <c r="H103" s="100"/>
      <c r="I103" s="101"/>
      <c r="J103" s="135"/>
      <c r="K103" s="136"/>
      <c r="L103" s="104">
        <f t="shared" si="92"/>
        <v>0</v>
      </c>
      <c r="M103" s="105">
        <f t="shared" si="11"/>
        <v>0</v>
      </c>
      <c r="N103" s="106" t="str">
        <f t="shared" si="12"/>
        <v>¥0</v>
      </c>
      <c r="O103" s="133"/>
      <c r="P103" s="104">
        <f t="shared" si="94"/>
        <v>0</v>
      </c>
      <c r="Q103" s="104">
        <f t="shared" si="95"/>
        <v>0</v>
      </c>
      <c r="R103" s="108">
        <f t="shared" si="13"/>
        <v>0</v>
      </c>
      <c r="S103" s="109">
        <f t="shared" si="14"/>
        <v>0</v>
      </c>
      <c r="T103" s="125"/>
      <c r="U103" s="104">
        <f t="shared" si="21"/>
        <v>0</v>
      </c>
      <c r="V103" s="104">
        <f t="shared" si="22"/>
        <v>0</v>
      </c>
      <c r="W103" s="111">
        <f t="shared" si="15"/>
        <v>0</v>
      </c>
      <c r="X103" s="112">
        <f t="shared" si="16"/>
        <v>0</v>
      </c>
      <c r="Y103" s="113">
        <f t="shared" ref="Y103:Z103" si="121">Y102+1</f>
        <v>45740</v>
      </c>
      <c r="Z103" s="114">
        <f t="shared" si="121"/>
        <v>45740</v>
      </c>
      <c r="AA103" s="115">
        <v>12</v>
      </c>
      <c r="AB103" s="120" t="s">
        <v>100</v>
      </c>
      <c r="AC103" s="117">
        <f>IFERROR(AVERAGEIFS(J355:J385,D355:D385,1,G355:G385,"sat"),0)</f>
        <v>0</v>
      </c>
      <c r="AD103" s="118">
        <f>COUNTIFS(D355:D385,1,G355:G385,"sat")</f>
        <v>4</v>
      </c>
      <c r="AE103" s="117">
        <f>($I$18*[1]リトローボ_実績_2024R6!AI102)/AD103</f>
        <v>0</v>
      </c>
      <c r="AF103" s="117">
        <f t="shared" si="116"/>
        <v>0</v>
      </c>
      <c r="AG103" s="126" t="s">
        <v>122</v>
      </c>
    </row>
    <row r="104" spans="1:33" ht="16.5" customHeight="1">
      <c r="A104" s="39"/>
      <c r="B104" s="50"/>
      <c r="C104" s="95">
        <v>84</v>
      </c>
      <c r="D104" s="96">
        <v>1</v>
      </c>
      <c r="E104" s="97">
        <f t="shared" si="8"/>
        <v>3</v>
      </c>
      <c r="F104" s="98">
        <f t="shared" si="18"/>
        <v>45741</v>
      </c>
      <c r="G104" s="99" t="str">
        <f t="shared" si="9"/>
        <v>Tue</v>
      </c>
      <c r="H104" s="100"/>
      <c r="I104" s="101"/>
      <c r="J104" s="135">
        <v>91800</v>
      </c>
      <c r="K104" s="136"/>
      <c r="L104" s="104">
        <f t="shared" si="92"/>
        <v>103092.78350515464</v>
      </c>
      <c r="M104" s="105">
        <f t="shared" si="11"/>
        <v>-11292.783505154643</v>
      </c>
      <c r="N104" s="106">
        <f t="shared" si="12"/>
        <v>0.89045999999999992</v>
      </c>
      <c r="O104" s="133"/>
      <c r="P104" s="104">
        <f t="shared" si="94"/>
        <v>2164948.4536082465</v>
      </c>
      <c r="Q104" s="104">
        <f t="shared" si="95"/>
        <v>1671950</v>
      </c>
      <c r="R104" s="108">
        <f t="shared" si="13"/>
        <v>-492998.45360824652</v>
      </c>
      <c r="S104" s="109">
        <f t="shared" si="14"/>
        <v>0.77228166666666698</v>
      </c>
      <c r="T104" s="125"/>
      <c r="U104" s="104">
        <f t="shared" si="21"/>
        <v>6108247.4226804134</v>
      </c>
      <c r="V104" s="104">
        <f t="shared" si="22"/>
        <v>5278100</v>
      </c>
      <c r="W104" s="111">
        <f t="shared" si="15"/>
        <v>-830147.42268041335</v>
      </c>
      <c r="X104" s="112">
        <f t="shared" si="16"/>
        <v>0.86409400843881845</v>
      </c>
      <c r="Y104" s="113">
        <f t="shared" ref="Y104:Z104" si="122">Y103+1</f>
        <v>45741</v>
      </c>
      <c r="Z104" s="114">
        <f t="shared" si="122"/>
        <v>45741</v>
      </c>
      <c r="AA104" s="115">
        <v>12</v>
      </c>
      <c r="AB104" s="120" t="s">
        <v>102</v>
      </c>
      <c r="AC104" s="117">
        <f>IFERROR(AVERAGEIFS(J355:J385,D355:D385,1,G355:G385,"sun"),0)</f>
        <v>0</v>
      </c>
      <c r="AD104" s="118">
        <f>IFERROR(COUNTIFS(D355:D385,1,G355:G385,"sun"),0)</f>
        <v>4</v>
      </c>
      <c r="AE104" s="117">
        <f>IFERROR(($I$18*[1]リトローボ_実績_2024R6!AI103)/AD104,0)</f>
        <v>0</v>
      </c>
      <c r="AF104" s="127">
        <f>SUM(AF98:AF103)</f>
        <v>0</v>
      </c>
      <c r="AG104" s="128">
        <f>I18</f>
        <v>2845360.8247422678</v>
      </c>
    </row>
    <row r="105" spans="1:33" ht="16.5" customHeight="1">
      <c r="A105" s="39"/>
      <c r="B105" s="50"/>
      <c r="C105" s="95">
        <v>85</v>
      </c>
      <c r="D105" s="96">
        <v>1</v>
      </c>
      <c r="E105" s="97">
        <f t="shared" si="8"/>
        <v>3</v>
      </c>
      <c r="F105" s="98">
        <f t="shared" si="18"/>
        <v>45742</v>
      </c>
      <c r="G105" s="99" t="str">
        <f t="shared" si="9"/>
        <v>Wed</v>
      </c>
      <c r="H105" s="100"/>
      <c r="I105" s="101"/>
      <c r="J105" s="135">
        <v>97250</v>
      </c>
      <c r="K105" s="136"/>
      <c r="L105" s="104">
        <f t="shared" si="92"/>
        <v>103092.78350515464</v>
      </c>
      <c r="M105" s="105">
        <f t="shared" si="11"/>
        <v>-5842.7835051546426</v>
      </c>
      <c r="N105" s="106">
        <f t="shared" si="12"/>
        <v>0.94332499999999997</v>
      </c>
      <c r="O105" s="133"/>
      <c r="P105" s="104">
        <f t="shared" si="94"/>
        <v>2268041.2371134013</v>
      </c>
      <c r="Q105" s="104">
        <f t="shared" si="95"/>
        <v>1769200</v>
      </c>
      <c r="R105" s="108">
        <f t="shared" si="13"/>
        <v>-498841.23711340129</v>
      </c>
      <c r="S105" s="109">
        <f t="shared" si="14"/>
        <v>0.78005636363636388</v>
      </c>
      <c r="T105" s="125"/>
      <c r="U105" s="104">
        <f t="shared" si="21"/>
        <v>6211340.2061855681</v>
      </c>
      <c r="V105" s="104">
        <f t="shared" si="22"/>
        <v>5375350</v>
      </c>
      <c r="W105" s="111">
        <f t="shared" si="15"/>
        <v>-835990.20618556812</v>
      </c>
      <c r="X105" s="112">
        <f t="shared" si="16"/>
        <v>0.86540904564315335</v>
      </c>
      <c r="Y105" s="113">
        <f t="shared" ref="Y105:Z105" si="123">Y104+1</f>
        <v>45742</v>
      </c>
      <c r="Z105" s="114">
        <f t="shared" si="123"/>
        <v>45742</v>
      </c>
      <c r="AA105" s="39"/>
      <c r="AB105" s="39"/>
      <c r="AC105" s="39"/>
      <c r="AD105" s="39"/>
      <c r="AE105" s="39"/>
      <c r="AF105" s="39"/>
      <c r="AG105" s="39"/>
    </row>
    <row r="106" spans="1:33" ht="16.5" customHeight="1">
      <c r="A106" s="39"/>
      <c r="B106" s="50"/>
      <c r="C106" s="95">
        <v>86</v>
      </c>
      <c r="D106" s="96">
        <v>1</v>
      </c>
      <c r="E106" s="97">
        <f t="shared" si="8"/>
        <v>3</v>
      </c>
      <c r="F106" s="98">
        <f t="shared" si="18"/>
        <v>45743</v>
      </c>
      <c r="G106" s="99" t="str">
        <f t="shared" si="9"/>
        <v>Thu</v>
      </c>
      <c r="H106" s="100"/>
      <c r="I106" s="101"/>
      <c r="J106" s="135">
        <v>98900</v>
      </c>
      <c r="K106" s="136"/>
      <c r="L106" s="104">
        <f t="shared" si="92"/>
        <v>103092.78350515464</v>
      </c>
      <c r="M106" s="105">
        <f t="shared" si="11"/>
        <v>-4192.7835051546426</v>
      </c>
      <c r="N106" s="106">
        <f t="shared" si="12"/>
        <v>0.95933000000000002</v>
      </c>
      <c r="O106" s="133"/>
      <c r="P106" s="104">
        <f t="shared" si="94"/>
        <v>2371134.0206185561</v>
      </c>
      <c r="Q106" s="104">
        <f t="shared" si="95"/>
        <v>1868100</v>
      </c>
      <c r="R106" s="108">
        <f t="shared" si="13"/>
        <v>-503034.02061855607</v>
      </c>
      <c r="S106" s="109">
        <f t="shared" si="14"/>
        <v>0.78785086956521755</v>
      </c>
      <c r="T106" s="125"/>
      <c r="U106" s="104">
        <f t="shared" si="21"/>
        <v>6314432.9896907229</v>
      </c>
      <c r="V106" s="104">
        <f t="shared" si="22"/>
        <v>5474250</v>
      </c>
      <c r="W106" s="111">
        <f t="shared" si="15"/>
        <v>-840182.9896907229</v>
      </c>
      <c r="X106" s="112">
        <f t="shared" si="16"/>
        <v>0.86694244897959172</v>
      </c>
      <c r="Y106" s="113">
        <f t="shared" ref="Y106:Z106" si="124">Y105+1</f>
        <v>45743</v>
      </c>
      <c r="Z106" s="114">
        <f t="shared" si="124"/>
        <v>45743</v>
      </c>
      <c r="AA106" s="39"/>
      <c r="AB106" s="39"/>
      <c r="AC106" s="39"/>
      <c r="AD106" s="39"/>
      <c r="AE106" s="39"/>
      <c r="AF106" s="39"/>
      <c r="AG106" s="39"/>
    </row>
    <row r="107" spans="1:33" ht="16.5" customHeight="1">
      <c r="A107" s="39"/>
      <c r="B107" s="50"/>
      <c r="C107" s="95">
        <v>87</v>
      </c>
      <c r="D107" s="96">
        <v>1</v>
      </c>
      <c r="E107" s="97">
        <f t="shared" si="8"/>
        <v>3</v>
      </c>
      <c r="F107" s="98">
        <f t="shared" si="18"/>
        <v>45744</v>
      </c>
      <c r="G107" s="99" t="str">
        <f t="shared" si="9"/>
        <v>Fri</v>
      </c>
      <c r="H107" s="100"/>
      <c r="I107" s="101"/>
      <c r="J107" s="135">
        <v>118000</v>
      </c>
      <c r="K107" s="136"/>
      <c r="L107" s="104">
        <f t="shared" si="92"/>
        <v>103092.78350515464</v>
      </c>
      <c r="M107" s="105">
        <f t="shared" si="11"/>
        <v>14907.216494845357</v>
      </c>
      <c r="N107" s="106">
        <f t="shared" si="12"/>
        <v>1.1446000000000001</v>
      </c>
      <c r="O107" s="133"/>
      <c r="P107" s="104">
        <f t="shared" si="94"/>
        <v>2474226.8041237108</v>
      </c>
      <c r="Q107" s="104">
        <f t="shared" si="95"/>
        <v>1986100</v>
      </c>
      <c r="R107" s="108">
        <f t="shared" si="13"/>
        <v>-488126.80412371084</v>
      </c>
      <c r="S107" s="109">
        <f t="shared" si="14"/>
        <v>0.80271541666666679</v>
      </c>
      <c r="T107" s="125"/>
      <c r="U107" s="104">
        <f t="shared" si="21"/>
        <v>6417525.7731958777</v>
      </c>
      <c r="V107" s="104">
        <f t="shared" si="22"/>
        <v>5592250</v>
      </c>
      <c r="W107" s="111">
        <f t="shared" si="15"/>
        <v>-825275.77319587767</v>
      </c>
      <c r="X107" s="112">
        <f t="shared" si="16"/>
        <v>0.87140281124497976</v>
      </c>
      <c r="Y107" s="113">
        <f t="shared" ref="Y107:Z107" si="125">Y106+1</f>
        <v>45744</v>
      </c>
      <c r="Z107" s="114">
        <f t="shared" si="125"/>
        <v>45744</v>
      </c>
      <c r="AA107" s="39"/>
      <c r="AB107" s="39"/>
      <c r="AC107" s="39"/>
      <c r="AD107" s="39"/>
      <c r="AE107" s="39"/>
      <c r="AF107" s="39"/>
      <c r="AG107" s="39"/>
    </row>
    <row r="108" spans="1:33" ht="16.5" customHeight="1">
      <c r="A108" s="39"/>
      <c r="B108" s="50"/>
      <c r="C108" s="95">
        <v>88</v>
      </c>
      <c r="D108" s="96">
        <v>1</v>
      </c>
      <c r="E108" s="97">
        <f t="shared" si="8"/>
        <v>3</v>
      </c>
      <c r="F108" s="98">
        <f t="shared" si="18"/>
        <v>45745</v>
      </c>
      <c r="G108" s="99" t="str">
        <f t="shared" si="9"/>
        <v>Sat</v>
      </c>
      <c r="H108" s="100"/>
      <c r="I108" s="101"/>
      <c r="J108" s="135">
        <v>65900</v>
      </c>
      <c r="K108" s="136"/>
      <c r="L108" s="104">
        <f t="shared" si="92"/>
        <v>103092.78350515464</v>
      </c>
      <c r="M108" s="105">
        <f t="shared" si="11"/>
        <v>-37192.783505154643</v>
      </c>
      <c r="N108" s="106">
        <f t="shared" si="12"/>
        <v>0.63922999999999996</v>
      </c>
      <c r="O108" s="133"/>
      <c r="P108" s="104">
        <f t="shared" si="94"/>
        <v>2577319.5876288656</v>
      </c>
      <c r="Q108" s="104">
        <f t="shared" si="95"/>
        <v>2052000</v>
      </c>
      <c r="R108" s="108">
        <f t="shared" si="13"/>
        <v>-525319.58762886561</v>
      </c>
      <c r="S108" s="109">
        <f t="shared" si="14"/>
        <v>0.79617600000000011</v>
      </c>
      <c r="T108" s="125"/>
      <c r="U108" s="104">
        <f t="shared" si="21"/>
        <v>6520618.5567010324</v>
      </c>
      <c r="V108" s="104">
        <f t="shared" si="22"/>
        <v>5658150</v>
      </c>
      <c r="W108" s="111">
        <f t="shared" si="15"/>
        <v>-862468.55670103244</v>
      </c>
      <c r="X108" s="112">
        <f t="shared" si="16"/>
        <v>0.86773209486165992</v>
      </c>
      <c r="Y108" s="113">
        <f t="shared" ref="Y108:Z108" si="126">Y107+1</f>
        <v>45745</v>
      </c>
      <c r="Z108" s="114">
        <f t="shared" si="126"/>
        <v>45745</v>
      </c>
      <c r="AA108" s="39"/>
      <c r="AB108" s="39"/>
      <c r="AC108" s="39"/>
      <c r="AD108" s="39"/>
      <c r="AE108" s="39"/>
      <c r="AF108" s="39"/>
      <c r="AG108" s="39"/>
    </row>
    <row r="109" spans="1:33" ht="16.5" customHeight="1">
      <c r="A109" s="39"/>
      <c r="B109" s="50"/>
      <c r="C109" s="95">
        <v>89</v>
      </c>
      <c r="D109" s="96">
        <v>1</v>
      </c>
      <c r="E109" s="97">
        <f t="shared" si="8"/>
        <v>3</v>
      </c>
      <c r="F109" s="98">
        <f t="shared" si="18"/>
        <v>45746</v>
      </c>
      <c r="G109" s="99" t="str">
        <f t="shared" si="9"/>
        <v>Sun</v>
      </c>
      <c r="H109" s="100"/>
      <c r="I109" s="101"/>
      <c r="J109" s="135">
        <v>106500</v>
      </c>
      <c r="K109" s="136"/>
      <c r="L109" s="104">
        <f t="shared" si="92"/>
        <v>103092.78350515464</v>
      </c>
      <c r="M109" s="105">
        <f t="shared" si="11"/>
        <v>3407.2164948453574</v>
      </c>
      <c r="N109" s="106">
        <f t="shared" si="12"/>
        <v>1.03305</v>
      </c>
      <c r="O109" s="134"/>
      <c r="P109" s="104">
        <f t="shared" si="94"/>
        <v>2680412.3711340204</v>
      </c>
      <c r="Q109" s="104">
        <f t="shared" si="95"/>
        <v>2158500</v>
      </c>
      <c r="R109" s="108">
        <f t="shared" si="13"/>
        <v>-521912.37113402039</v>
      </c>
      <c r="S109" s="109">
        <f t="shared" si="14"/>
        <v>0.80528653846153853</v>
      </c>
      <c r="T109" s="131"/>
      <c r="U109" s="104">
        <f t="shared" si="21"/>
        <v>6623711.3402061872</v>
      </c>
      <c r="V109" s="104">
        <f t="shared" si="22"/>
        <v>5764650</v>
      </c>
      <c r="W109" s="111">
        <f t="shared" si="15"/>
        <v>-859061.34020618722</v>
      </c>
      <c r="X109" s="112">
        <f t="shared" si="16"/>
        <v>0.87030513618677019</v>
      </c>
      <c r="Y109" s="113">
        <f t="shared" ref="Y109:Z109" si="127">Y108+1</f>
        <v>45746</v>
      </c>
      <c r="Z109" s="114">
        <f t="shared" si="127"/>
        <v>45746</v>
      </c>
      <c r="AA109" s="39"/>
      <c r="AB109" s="39"/>
      <c r="AC109" s="39"/>
      <c r="AD109" s="39"/>
      <c r="AE109" s="39"/>
      <c r="AF109" s="39"/>
      <c r="AG109" s="39"/>
    </row>
    <row r="110" spans="1:33" ht="16.5" customHeight="1">
      <c r="A110" s="39"/>
      <c r="B110" s="50"/>
      <c r="C110" s="160">
        <v>90</v>
      </c>
      <c r="D110" s="138">
        <v>0</v>
      </c>
      <c r="E110" s="139">
        <f t="shared" si="8"/>
        <v>3</v>
      </c>
      <c r="F110" s="140">
        <f t="shared" si="18"/>
        <v>45747</v>
      </c>
      <c r="G110" s="141" t="str">
        <f t="shared" si="9"/>
        <v>Mon</v>
      </c>
      <c r="H110" s="159"/>
      <c r="I110" s="143"/>
      <c r="J110" s="144"/>
      <c r="K110" s="145"/>
      <c r="L110" s="146">
        <f t="shared" si="92"/>
        <v>0</v>
      </c>
      <c r="M110" s="147">
        <f t="shared" si="11"/>
        <v>0</v>
      </c>
      <c r="N110" s="161" t="str">
        <f t="shared" si="12"/>
        <v>¥0</v>
      </c>
      <c r="O110" s="149"/>
      <c r="P110" s="150">
        <f t="shared" si="94"/>
        <v>0</v>
      </c>
      <c r="Q110" s="146">
        <f t="shared" si="95"/>
        <v>0</v>
      </c>
      <c r="R110" s="147">
        <f t="shared" si="13"/>
        <v>0</v>
      </c>
      <c r="S110" s="151">
        <f t="shared" si="14"/>
        <v>0</v>
      </c>
      <c r="T110" s="152"/>
      <c r="U110" s="153">
        <f t="shared" si="21"/>
        <v>0</v>
      </c>
      <c r="V110" s="146">
        <f t="shared" si="22"/>
        <v>0</v>
      </c>
      <c r="W110" s="153">
        <f t="shared" si="15"/>
        <v>0</v>
      </c>
      <c r="X110" s="154">
        <f t="shared" si="16"/>
        <v>0</v>
      </c>
      <c r="Y110" s="113">
        <f t="shared" ref="Y110:Z110" si="128">Y109+1</f>
        <v>45747</v>
      </c>
      <c r="Z110" s="114">
        <f t="shared" si="128"/>
        <v>45747</v>
      </c>
      <c r="AA110" s="39"/>
      <c r="AB110" s="39"/>
      <c r="AC110" s="39"/>
      <c r="AD110" s="39"/>
      <c r="AE110" s="39"/>
      <c r="AF110" s="39"/>
      <c r="AG110" s="39"/>
    </row>
    <row r="111" spans="1:33" ht="16.5" customHeight="1">
      <c r="A111" s="39"/>
      <c r="B111" s="50"/>
      <c r="C111" s="95">
        <v>91</v>
      </c>
      <c r="D111" s="155">
        <v>1</v>
      </c>
      <c r="E111" s="97">
        <f t="shared" si="8"/>
        <v>4</v>
      </c>
      <c r="F111" s="98">
        <f t="shared" si="18"/>
        <v>45748</v>
      </c>
      <c r="G111" s="99" t="str">
        <f t="shared" si="9"/>
        <v>Tue</v>
      </c>
      <c r="H111" s="100"/>
      <c r="I111" s="101"/>
      <c r="J111" s="135">
        <v>83950</v>
      </c>
      <c r="K111" s="136"/>
      <c r="L111" s="104">
        <f t="shared" ref="L111:L140" si="129">IF(D111=0,0,$K$10)</f>
        <v>113402.06185567012</v>
      </c>
      <c r="M111" s="108">
        <f t="shared" si="11"/>
        <v>-29452.061855670123</v>
      </c>
      <c r="N111" s="156">
        <f t="shared" si="12"/>
        <v>0.74028636363636346</v>
      </c>
      <c r="O111" s="133"/>
      <c r="P111" s="104">
        <f>IF(D111=0,0,$L$111)</f>
        <v>113402.06185567012</v>
      </c>
      <c r="Q111" s="104">
        <f>IF(D111=0,0,$J$111)</f>
        <v>83950</v>
      </c>
      <c r="R111" s="108">
        <f t="shared" si="13"/>
        <v>-29452.061855670123</v>
      </c>
      <c r="S111" s="157">
        <f t="shared" si="14"/>
        <v>0.74028636363636346</v>
      </c>
      <c r="T111" s="125"/>
      <c r="U111" s="104">
        <f t="shared" si="21"/>
        <v>6737113.4020618573</v>
      </c>
      <c r="V111" s="104">
        <f t="shared" si="22"/>
        <v>5848600</v>
      </c>
      <c r="W111" s="111">
        <f t="shared" si="15"/>
        <v>-888513.40206185728</v>
      </c>
      <c r="X111" s="158">
        <f t="shared" si="16"/>
        <v>0.86811660290742132</v>
      </c>
      <c r="Y111" s="113">
        <f t="shared" ref="Y111:Z111" si="130">Y110+1</f>
        <v>45748</v>
      </c>
      <c r="Z111" s="114">
        <f t="shared" si="130"/>
        <v>45748</v>
      </c>
      <c r="AA111" s="39"/>
      <c r="AB111" s="39"/>
      <c r="AC111" s="39"/>
      <c r="AD111" s="39"/>
      <c r="AE111" s="39"/>
      <c r="AF111" s="39"/>
      <c r="AG111" s="39"/>
    </row>
    <row r="112" spans="1:33" ht="16.5" customHeight="1">
      <c r="A112" s="39"/>
      <c r="B112" s="50"/>
      <c r="C112" s="95">
        <v>92</v>
      </c>
      <c r="D112" s="96">
        <v>1</v>
      </c>
      <c r="E112" s="97">
        <f t="shared" si="8"/>
        <v>4</v>
      </c>
      <c r="F112" s="98">
        <f t="shared" si="18"/>
        <v>45749</v>
      </c>
      <c r="G112" s="99" t="str">
        <f t="shared" si="9"/>
        <v>Wed</v>
      </c>
      <c r="H112" s="100"/>
      <c r="I112" s="101"/>
      <c r="J112" s="135">
        <v>85150</v>
      </c>
      <c r="K112" s="136"/>
      <c r="L112" s="104">
        <f t="shared" si="129"/>
        <v>113402.06185567012</v>
      </c>
      <c r="M112" s="105">
        <f t="shared" si="11"/>
        <v>-28252.061855670123</v>
      </c>
      <c r="N112" s="106">
        <f t="shared" si="12"/>
        <v>0.75086818181818171</v>
      </c>
      <c r="O112" s="133"/>
      <c r="P112" s="104">
        <f t="shared" ref="P112:P135" si="131">IF(D112=0,0,SUM($L$111:L112))</f>
        <v>226804.12371134025</v>
      </c>
      <c r="Q112" s="104">
        <f t="shared" ref="Q112:Q140" si="132">IF(D112=0,0,SUM($J$111:J112))</f>
        <v>169100</v>
      </c>
      <c r="R112" s="108">
        <f t="shared" si="13"/>
        <v>-57704.123711340246</v>
      </c>
      <c r="S112" s="109">
        <f t="shared" si="14"/>
        <v>0.74557727272727259</v>
      </c>
      <c r="T112" s="125"/>
      <c r="U112" s="104">
        <f t="shared" si="21"/>
        <v>6850515.4639175273</v>
      </c>
      <c r="V112" s="104">
        <f t="shared" si="22"/>
        <v>5933750</v>
      </c>
      <c r="W112" s="111">
        <f t="shared" si="15"/>
        <v>-916765.46391752735</v>
      </c>
      <c r="X112" s="112">
        <f t="shared" si="16"/>
        <v>0.86617569601203892</v>
      </c>
      <c r="Y112" s="113">
        <f t="shared" ref="Y112:Z112" si="133">Y111+1</f>
        <v>45749</v>
      </c>
      <c r="Z112" s="114">
        <f t="shared" si="133"/>
        <v>45749</v>
      </c>
      <c r="AA112" s="39"/>
      <c r="AB112" s="39"/>
      <c r="AC112" s="39"/>
      <c r="AD112" s="39"/>
      <c r="AE112" s="39"/>
      <c r="AF112" s="39"/>
      <c r="AG112" s="39"/>
    </row>
    <row r="113" spans="1:33" ht="16.5" customHeight="1">
      <c r="A113" s="39"/>
      <c r="B113" s="50"/>
      <c r="C113" s="95">
        <v>93</v>
      </c>
      <c r="D113" s="96">
        <v>1</v>
      </c>
      <c r="E113" s="97">
        <f t="shared" si="8"/>
        <v>4</v>
      </c>
      <c r="F113" s="98">
        <f t="shared" si="18"/>
        <v>45750</v>
      </c>
      <c r="G113" s="99" t="str">
        <f t="shared" si="9"/>
        <v>Thu</v>
      </c>
      <c r="H113" s="100"/>
      <c r="I113" s="101"/>
      <c r="J113" s="135">
        <v>69900</v>
      </c>
      <c r="K113" s="136"/>
      <c r="L113" s="104">
        <f t="shared" si="129"/>
        <v>113402.06185567012</v>
      </c>
      <c r="M113" s="105">
        <f t="shared" si="11"/>
        <v>-43502.061855670123</v>
      </c>
      <c r="N113" s="106">
        <f t="shared" si="12"/>
        <v>0.61639090909090899</v>
      </c>
      <c r="O113" s="133"/>
      <c r="P113" s="104">
        <f t="shared" si="131"/>
        <v>340206.18556701037</v>
      </c>
      <c r="Q113" s="104">
        <f t="shared" si="132"/>
        <v>239000</v>
      </c>
      <c r="R113" s="108">
        <f t="shared" si="13"/>
        <v>-101206.18556701037</v>
      </c>
      <c r="S113" s="109">
        <f t="shared" si="14"/>
        <v>0.70251515151515143</v>
      </c>
      <c r="T113" s="125"/>
      <c r="U113" s="104">
        <f t="shared" si="21"/>
        <v>6963917.5257731974</v>
      </c>
      <c r="V113" s="104">
        <f t="shared" si="22"/>
        <v>6003650</v>
      </c>
      <c r="W113" s="111">
        <f t="shared" si="15"/>
        <v>-960267.52577319741</v>
      </c>
      <c r="X113" s="112">
        <f t="shared" si="16"/>
        <v>0.86210814211695019</v>
      </c>
      <c r="Y113" s="113">
        <f t="shared" ref="Y113:Z113" si="134">Y112+1</f>
        <v>45750</v>
      </c>
      <c r="Z113" s="114">
        <f t="shared" si="134"/>
        <v>45750</v>
      </c>
      <c r="AA113" s="39"/>
      <c r="AB113" s="39"/>
      <c r="AC113" s="39"/>
      <c r="AD113" s="39"/>
      <c r="AE113" s="39"/>
      <c r="AF113" s="39"/>
      <c r="AG113" s="39"/>
    </row>
    <row r="114" spans="1:33" ht="16.5" customHeight="1">
      <c r="A114" s="39"/>
      <c r="B114" s="50"/>
      <c r="C114" s="95">
        <v>94</v>
      </c>
      <c r="D114" s="96">
        <v>1</v>
      </c>
      <c r="E114" s="97">
        <f t="shared" si="8"/>
        <v>4</v>
      </c>
      <c r="F114" s="98">
        <f t="shared" si="18"/>
        <v>45751</v>
      </c>
      <c r="G114" s="99" t="str">
        <f t="shared" si="9"/>
        <v>Fri</v>
      </c>
      <c r="H114" s="100"/>
      <c r="I114" s="101"/>
      <c r="J114" s="135">
        <v>150350</v>
      </c>
      <c r="K114" s="136"/>
      <c r="L114" s="104">
        <f t="shared" si="129"/>
        <v>113402.06185567012</v>
      </c>
      <c r="M114" s="105">
        <f t="shared" si="11"/>
        <v>36947.938144329877</v>
      </c>
      <c r="N114" s="106">
        <f t="shared" si="12"/>
        <v>1.3258136363636361</v>
      </c>
      <c r="O114" s="133"/>
      <c r="P114" s="104">
        <f t="shared" si="131"/>
        <v>453608.24742268049</v>
      </c>
      <c r="Q114" s="104">
        <f t="shared" si="132"/>
        <v>389350</v>
      </c>
      <c r="R114" s="108">
        <f t="shared" si="13"/>
        <v>-64258.247422680492</v>
      </c>
      <c r="S114" s="109">
        <f t="shared" si="14"/>
        <v>0.85833977272727258</v>
      </c>
      <c r="T114" s="125"/>
      <c r="U114" s="104">
        <f t="shared" si="21"/>
        <v>7077319.5876288675</v>
      </c>
      <c r="V114" s="104">
        <f t="shared" si="22"/>
        <v>6154000</v>
      </c>
      <c r="W114" s="111">
        <f t="shared" si="15"/>
        <v>-923319.58762886748</v>
      </c>
      <c r="X114" s="112">
        <f t="shared" si="16"/>
        <v>0.86953823743627079</v>
      </c>
      <c r="Y114" s="113">
        <f t="shared" ref="Y114:Z114" si="135">Y113+1</f>
        <v>45751</v>
      </c>
      <c r="Z114" s="114">
        <f t="shared" si="135"/>
        <v>45751</v>
      </c>
      <c r="AA114" s="39"/>
      <c r="AB114" s="39"/>
      <c r="AC114" s="39"/>
      <c r="AD114" s="39"/>
      <c r="AE114" s="39"/>
      <c r="AF114" s="39"/>
      <c r="AG114" s="39"/>
    </row>
    <row r="115" spans="1:33" ht="16.5" customHeight="1">
      <c r="A115" s="39"/>
      <c r="B115" s="50"/>
      <c r="C115" s="95">
        <v>95</v>
      </c>
      <c r="D115" s="96">
        <v>1</v>
      </c>
      <c r="E115" s="97">
        <f t="shared" si="8"/>
        <v>4</v>
      </c>
      <c r="F115" s="98">
        <f t="shared" si="18"/>
        <v>45752</v>
      </c>
      <c r="G115" s="99" t="str">
        <f t="shared" si="9"/>
        <v>Sat</v>
      </c>
      <c r="H115" s="100"/>
      <c r="I115" s="101"/>
      <c r="J115" s="135">
        <v>79850</v>
      </c>
      <c r="K115" s="136"/>
      <c r="L115" s="104">
        <f t="shared" si="129"/>
        <v>113402.06185567012</v>
      </c>
      <c r="M115" s="105">
        <f t="shared" si="11"/>
        <v>-33552.061855670123</v>
      </c>
      <c r="N115" s="106">
        <f t="shared" si="12"/>
        <v>0.70413181818181803</v>
      </c>
      <c r="O115" s="133"/>
      <c r="P115" s="104">
        <f t="shared" si="131"/>
        <v>567010.30927835056</v>
      </c>
      <c r="Q115" s="104">
        <f t="shared" si="132"/>
        <v>469200</v>
      </c>
      <c r="R115" s="108">
        <f t="shared" si="13"/>
        <v>-97810.309278350556</v>
      </c>
      <c r="S115" s="109">
        <f t="shared" si="14"/>
        <v>0.8274981818181818</v>
      </c>
      <c r="T115" s="125"/>
      <c r="U115" s="104">
        <f t="shared" si="21"/>
        <v>7190721.6494845375</v>
      </c>
      <c r="V115" s="104">
        <f t="shared" si="22"/>
        <v>6233850</v>
      </c>
      <c r="W115" s="111">
        <f t="shared" si="15"/>
        <v>-956871.64948453754</v>
      </c>
      <c r="X115" s="112">
        <f t="shared" si="16"/>
        <v>0.86692967741935467</v>
      </c>
      <c r="Y115" s="113">
        <f t="shared" ref="Y115:Z115" si="136">Y114+1</f>
        <v>45752</v>
      </c>
      <c r="Z115" s="114">
        <f t="shared" si="136"/>
        <v>45752</v>
      </c>
      <c r="AA115" s="39"/>
      <c r="AB115" s="39"/>
      <c r="AC115" s="39"/>
      <c r="AD115" s="39"/>
      <c r="AE115" s="39"/>
      <c r="AF115" s="39"/>
      <c r="AG115" s="39"/>
    </row>
    <row r="116" spans="1:33" ht="16.5" customHeight="1">
      <c r="A116" s="39"/>
      <c r="B116" s="50"/>
      <c r="C116" s="95">
        <v>96</v>
      </c>
      <c r="D116" s="96">
        <v>1</v>
      </c>
      <c r="E116" s="97">
        <f t="shared" si="8"/>
        <v>4</v>
      </c>
      <c r="F116" s="98">
        <f t="shared" si="18"/>
        <v>45753</v>
      </c>
      <c r="G116" s="99" t="str">
        <f t="shared" si="9"/>
        <v>Sun</v>
      </c>
      <c r="H116" s="100"/>
      <c r="I116" s="101"/>
      <c r="J116" s="135">
        <v>62200</v>
      </c>
      <c r="K116" s="136"/>
      <c r="L116" s="104">
        <f t="shared" si="129"/>
        <v>113402.06185567012</v>
      </c>
      <c r="M116" s="105">
        <f t="shared" si="11"/>
        <v>-51202.061855670123</v>
      </c>
      <c r="N116" s="106">
        <f t="shared" si="12"/>
        <v>0.54849090909090903</v>
      </c>
      <c r="O116" s="134"/>
      <c r="P116" s="104">
        <f t="shared" si="131"/>
        <v>680412.37113402062</v>
      </c>
      <c r="Q116" s="104">
        <f t="shared" si="132"/>
        <v>531400</v>
      </c>
      <c r="R116" s="108">
        <f t="shared" si="13"/>
        <v>-149012.37113402062</v>
      </c>
      <c r="S116" s="109">
        <f t="shared" si="14"/>
        <v>0.78099696969696975</v>
      </c>
      <c r="T116" s="131"/>
      <c r="U116" s="104">
        <f t="shared" si="21"/>
        <v>7304123.7113402076</v>
      </c>
      <c r="V116" s="104">
        <f t="shared" si="22"/>
        <v>6296050</v>
      </c>
      <c r="W116" s="111">
        <f t="shared" si="15"/>
        <v>-1008073.7113402076</v>
      </c>
      <c r="X116" s="112">
        <f t="shared" si="16"/>
        <v>0.86198567395906833</v>
      </c>
      <c r="Y116" s="113">
        <f t="shared" ref="Y116:Z116" si="137">Y115+1</f>
        <v>45753</v>
      </c>
      <c r="Z116" s="114">
        <f t="shared" si="137"/>
        <v>45753</v>
      </c>
      <c r="AA116" s="39"/>
      <c r="AB116" s="39"/>
      <c r="AC116" s="39"/>
      <c r="AD116" s="39"/>
      <c r="AE116" s="39"/>
      <c r="AF116" s="39"/>
      <c r="AG116" s="39"/>
    </row>
    <row r="117" spans="1:33" ht="16.5" customHeight="1">
      <c r="A117" s="39"/>
      <c r="B117" s="50"/>
      <c r="C117" s="95">
        <v>97</v>
      </c>
      <c r="D117" s="96">
        <v>0</v>
      </c>
      <c r="E117" s="97">
        <f t="shared" si="8"/>
        <v>4</v>
      </c>
      <c r="F117" s="98">
        <f t="shared" si="18"/>
        <v>45754</v>
      </c>
      <c r="G117" s="99" t="str">
        <f t="shared" si="9"/>
        <v>Mon</v>
      </c>
      <c r="H117" s="100"/>
      <c r="I117" s="101"/>
      <c r="J117" s="135"/>
      <c r="K117" s="136"/>
      <c r="L117" s="104">
        <f t="shared" si="129"/>
        <v>0</v>
      </c>
      <c r="M117" s="105">
        <f t="shared" si="11"/>
        <v>0</v>
      </c>
      <c r="N117" s="106" t="str">
        <f t="shared" si="12"/>
        <v>¥0</v>
      </c>
      <c r="O117" s="133"/>
      <c r="P117" s="104">
        <f t="shared" si="131"/>
        <v>0</v>
      </c>
      <c r="Q117" s="104">
        <f t="shared" si="132"/>
        <v>0</v>
      </c>
      <c r="R117" s="108">
        <f t="shared" si="13"/>
        <v>0</v>
      </c>
      <c r="S117" s="109">
        <f t="shared" si="14"/>
        <v>0</v>
      </c>
      <c r="T117" s="125"/>
      <c r="U117" s="104">
        <f t="shared" si="21"/>
        <v>0</v>
      </c>
      <c r="V117" s="104">
        <f t="shared" si="22"/>
        <v>0</v>
      </c>
      <c r="W117" s="111">
        <f t="shared" si="15"/>
        <v>0</v>
      </c>
      <c r="X117" s="112">
        <f t="shared" si="16"/>
        <v>0</v>
      </c>
      <c r="Y117" s="113">
        <f t="shared" ref="Y117:Z117" si="138">Y116+1</f>
        <v>45754</v>
      </c>
      <c r="Z117" s="114">
        <f t="shared" si="138"/>
        <v>45754</v>
      </c>
      <c r="AA117" s="39"/>
      <c r="AB117" s="39"/>
      <c r="AC117" s="39"/>
      <c r="AD117" s="39"/>
      <c r="AE117" s="39"/>
      <c r="AF117" s="39"/>
      <c r="AG117" s="39"/>
    </row>
    <row r="118" spans="1:33" ht="16.5" customHeight="1">
      <c r="A118" s="39"/>
      <c r="B118" s="50"/>
      <c r="C118" s="95">
        <v>98</v>
      </c>
      <c r="D118" s="96">
        <v>1</v>
      </c>
      <c r="E118" s="97">
        <f t="shared" si="8"/>
        <v>4</v>
      </c>
      <c r="F118" s="98">
        <f t="shared" si="18"/>
        <v>45755</v>
      </c>
      <c r="G118" s="99" t="str">
        <f t="shared" si="9"/>
        <v>Tue</v>
      </c>
      <c r="H118" s="100"/>
      <c r="I118" s="101"/>
      <c r="J118" s="135">
        <v>46400</v>
      </c>
      <c r="K118" s="136"/>
      <c r="L118" s="104">
        <f t="shared" si="129"/>
        <v>113402.06185567012</v>
      </c>
      <c r="M118" s="105">
        <f t="shared" si="11"/>
        <v>-67002.061855670123</v>
      </c>
      <c r="N118" s="106">
        <f t="shared" si="12"/>
        <v>0.40916363636363628</v>
      </c>
      <c r="O118" s="133"/>
      <c r="P118" s="104">
        <f t="shared" si="131"/>
        <v>793814.43298969069</v>
      </c>
      <c r="Q118" s="104">
        <f t="shared" si="132"/>
        <v>577800</v>
      </c>
      <c r="R118" s="108">
        <f t="shared" si="13"/>
        <v>-216014.43298969069</v>
      </c>
      <c r="S118" s="109">
        <f t="shared" si="14"/>
        <v>0.72787792207792212</v>
      </c>
      <c r="T118" s="125"/>
      <c r="U118" s="104">
        <f t="shared" si="21"/>
        <v>7417525.7731958777</v>
      </c>
      <c r="V118" s="104">
        <f t="shared" si="22"/>
        <v>6342450</v>
      </c>
      <c r="W118" s="111">
        <f t="shared" si="15"/>
        <v>-1075075.7731958777</v>
      </c>
      <c r="X118" s="112">
        <f t="shared" si="16"/>
        <v>0.85506275191104919</v>
      </c>
      <c r="Y118" s="113">
        <f t="shared" ref="Y118:Z118" si="139">Y117+1</f>
        <v>45755</v>
      </c>
      <c r="Z118" s="114">
        <f t="shared" si="139"/>
        <v>45755</v>
      </c>
      <c r="AA118" s="39"/>
      <c r="AB118" s="39"/>
      <c r="AC118" s="39"/>
      <c r="AD118" s="39"/>
      <c r="AE118" s="39"/>
      <c r="AF118" s="39"/>
      <c r="AG118" s="39"/>
    </row>
    <row r="119" spans="1:33" ht="16.5" customHeight="1">
      <c r="A119" s="39"/>
      <c r="B119" s="50"/>
      <c r="C119" s="95">
        <v>99</v>
      </c>
      <c r="D119" s="96">
        <v>1</v>
      </c>
      <c r="E119" s="97">
        <f t="shared" si="8"/>
        <v>4</v>
      </c>
      <c r="F119" s="98">
        <f t="shared" si="18"/>
        <v>45756</v>
      </c>
      <c r="G119" s="99" t="str">
        <f t="shared" si="9"/>
        <v>Wed</v>
      </c>
      <c r="H119" s="100"/>
      <c r="I119" s="101"/>
      <c r="J119" s="135">
        <v>59900</v>
      </c>
      <c r="K119" s="136"/>
      <c r="L119" s="104">
        <f t="shared" si="129"/>
        <v>113402.06185567012</v>
      </c>
      <c r="M119" s="105">
        <f t="shared" si="11"/>
        <v>-53502.061855670123</v>
      </c>
      <c r="N119" s="106">
        <f t="shared" si="12"/>
        <v>0.52820909090909085</v>
      </c>
      <c r="O119" s="133"/>
      <c r="P119" s="104">
        <f t="shared" si="131"/>
        <v>907216.49484536075</v>
      </c>
      <c r="Q119" s="104">
        <f t="shared" si="132"/>
        <v>637700</v>
      </c>
      <c r="R119" s="108">
        <f t="shared" si="13"/>
        <v>-269516.49484536075</v>
      </c>
      <c r="S119" s="109">
        <f t="shared" si="14"/>
        <v>0.70291931818181819</v>
      </c>
      <c r="T119" s="125"/>
      <c r="U119" s="104">
        <f t="shared" si="21"/>
        <v>7530927.8350515477</v>
      </c>
      <c r="V119" s="104">
        <f t="shared" si="22"/>
        <v>6402350</v>
      </c>
      <c r="W119" s="111">
        <f t="shared" si="15"/>
        <v>-1128577.8350515477</v>
      </c>
      <c r="X119" s="112">
        <f t="shared" si="16"/>
        <v>0.85014093086926745</v>
      </c>
      <c r="Y119" s="113">
        <f t="shared" ref="Y119:Z119" si="140">Y118+1</f>
        <v>45756</v>
      </c>
      <c r="Z119" s="114">
        <f t="shared" si="140"/>
        <v>45756</v>
      </c>
      <c r="AA119" s="39"/>
      <c r="AB119" s="39"/>
      <c r="AC119" s="39"/>
      <c r="AD119" s="39"/>
      <c r="AE119" s="39"/>
      <c r="AF119" s="39"/>
      <c r="AG119" s="39"/>
    </row>
    <row r="120" spans="1:33" ht="16.5" customHeight="1">
      <c r="A120" s="39"/>
      <c r="B120" s="50"/>
      <c r="C120" s="95">
        <v>100</v>
      </c>
      <c r="D120" s="96">
        <v>1</v>
      </c>
      <c r="E120" s="97">
        <f t="shared" si="8"/>
        <v>4</v>
      </c>
      <c r="F120" s="98">
        <f t="shared" si="18"/>
        <v>45757</v>
      </c>
      <c r="G120" s="99" t="str">
        <f t="shared" si="9"/>
        <v>Thu</v>
      </c>
      <c r="H120" s="100"/>
      <c r="I120" s="101"/>
      <c r="J120" s="135">
        <v>44800</v>
      </c>
      <c r="K120" s="136"/>
      <c r="L120" s="104">
        <f t="shared" si="129"/>
        <v>113402.06185567012</v>
      </c>
      <c r="M120" s="105">
        <f t="shared" si="11"/>
        <v>-68602.061855670123</v>
      </c>
      <c r="N120" s="106">
        <f t="shared" si="12"/>
        <v>0.39505454545454538</v>
      </c>
      <c r="O120" s="133"/>
      <c r="P120" s="104">
        <f t="shared" si="131"/>
        <v>1020618.5567010308</v>
      </c>
      <c r="Q120" s="104">
        <f t="shared" si="132"/>
        <v>682500</v>
      </c>
      <c r="R120" s="108">
        <f t="shared" si="13"/>
        <v>-338118.55670103082</v>
      </c>
      <c r="S120" s="109">
        <f t="shared" si="14"/>
        <v>0.66871212121212131</v>
      </c>
      <c r="T120" s="125"/>
      <c r="U120" s="104">
        <f t="shared" si="21"/>
        <v>7644329.8969072178</v>
      </c>
      <c r="V120" s="104">
        <f t="shared" si="22"/>
        <v>6447150</v>
      </c>
      <c r="W120" s="111">
        <f t="shared" si="15"/>
        <v>-1197179.8969072178</v>
      </c>
      <c r="X120" s="112">
        <f t="shared" si="16"/>
        <v>0.84338981793661483</v>
      </c>
      <c r="Y120" s="113">
        <f t="shared" ref="Y120:Z120" si="141">Y119+1</f>
        <v>45757</v>
      </c>
      <c r="Z120" s="114">
        <f t="shared" si="141"/>
        <v>45757</v>
      </c>
      <c r="AA120" s="39"/>
      <c r="AB120" s="39"/>
      <c r="AC120" s="39"/>
      <c r="AD120" s="39"/>
      <c r="AE120" s="39"/>
      <c r="AF120" s="39"/>
      <c r="AG120" s="39"/>
    </row>
    <row r="121" spans="1:33" ht="16.5" customHeight="1">
      <c r="A121" s="39"/>
      <c r="B121" s="50"/>
      <c r="C121" s="95">
        <v>101</v>
      </c>
      <c r="D121" s="96">
        <v>1</v>
      </c>
      <c r="E121" s="97">
        <f t="shared" si="8"/>
        <v>4</v>
      </c>
      <c r="F121" s="98">
        <f t="shared" si="18"/>
        <v>45758</v>
      </c>
      <c r="G121" s="99" t="str">
        <f t="shared" si="9"/>
        <v>Fri</v>
      </c>
      <c r="H121" s="100"/>
      <c r="I121" s="101"/>
      <c r="J121" s="135">
        <v>134450</v>
      </c>
      <c r="K121" s="136"/>
      <c r="L121" s="104">
        <f t="shared" si="129"/>
        <v>113402.06185567012</v>
      </c>
      <c r="M121" s="105">
        <f t="shared" si="11"/>
        <v>21047.938144329877</v>
      </c>
      <c r="N121" s="106">
        <f t="shared" si="12"/>
        <v>1.1856045454545452</v>
      </c>
      <c r="O121" s="133"/>
      <c r="P121" s="104">
        <f t="shared" si="131"/>
        <v>1134020.6185567009</v>
      </c>
      <c r="Q121" s="104">
        <f t="shared" si="132"/>
        <v>816950</v>
      </c>
      <c r="R121" s="108">
        <f t="shared" si="13"/>
        <v>-317070.61855670088</v>
      </c>
      <c r="S121" s="109">
        <f t="shared" si="14"/>
        <v>0.72040136363636376</v>
      </c>
      <c r="T121" s="125"/>
      <c r="U121" s="104">
        <f t="shared" si="21"/>
        <v>7757731.9587628879</v>
      </c>
      <c r="V121" s="104">
        <f t="shared" si="22"/>
        <v>6581600</v>
      </c>
      <c r="W121" s="111">
        <f t="shared" si="15"/>
        <v>-1176131.9587628879</v>
      </c>
      <c r="X121" s="112">
        <f t="shared" si="16"/>
        <v>0.84839229235880387</v>
      </c>
      <c r="Y121" s="113">
        <f t="shared" ref="Y121:Z121" si="142">Y120+1</f>
        <v>45758</v>
      </c>
      <c r="Z121" s="114">
        <f t="shared" si="142"/>
        <v>45758</v>
      </c>
      <c r="AA121" s="39"/>
      <c r="AB121" s="39"/>
      <c r="AC121" s="39"/>
      <c r="AD121" s="39"/>
      <c r="AE121" s="39"/>
      <c r="AF121" s="39"/>
      <c r="AG121" s="39"/>
    </row>
    <row r="122" spans="1:33" ht="16.5" customHeight="1">
      <c r="A122" s="39"/>
      <c r="B122" s="50"/>
      <c r="C122" s="95">
        <v>102</v>
      </c>
      <c r="D122" s="96">
        <v>1</v>
      </c>
      <c r="E122" s="97">
        <f t="shared" si="8"/>
        <v>4</v>
      </c>
      <c r="F122" s="98">
        <f t="shared" si="18"/>
        <v>45759</v>
      </c>
      <c r="G122" s="99" t="str">
        <f t="shared" si="9"/>
        <v>Sat</v>
      </c>
      <c r="H122" s="100"/>
      <c r="I122" s="101"/>
      <c r="J122" s="135">
        <v>85050</v>
      </c>
      <c r="K122" s="136"/>
      <c r="L122" s="104">
        <f t="shared" si="129"/>
        <v>113402.06185567012</v>
      </c>
      <c r="M122" s="105">
        <f t="shared" si="11"/>
        <v>-28352.061855670123</v>
      </c>
      <c r="N122" s="106">
        <f t="shared" si="12"/>
        <v>0.74998636363636351</v>
      </c>
      <c r="O122" s="133"/>
      <c r="P122" s="104">
        <f t="shared" si="131"/>
        <v>1247422.6804123709</v>
      </c>
      <c r="Q122" s="104">
        <f t="shared" si="132"/>
        <v>902000</v>
      </c>
      <c r="R122" s="108">
        <f t="shared" si="13"/>
        <v>-345422.68041237094</v>
      </c>
      <c r="S122" s="109">
        <f t="shared" si="14"/>
        <v>0.72309090909090923</v>
      </c>
      <c r="T122" s="125"/>
      <c r="U122" s="104">
        <f t="shared" si="21"/>
        <v>7871134.0206185579</v>
      </c>
      <c r="V122" s="104">
        <f t="shared" si="22"/>
        <v>6666650</v>
      </c>
      <c r="W122" s="111">
        <f t="shared" si="15"/>
        <v>-1204484.0206185579</v>
      </c>
      <c r="X122" s="112">
        <f t="shared" si="16"/>
        <v>0.84697452521283545</v>
      </c>
      <c r="Y122" s="113">
        <f t="shared" ref="Y122:Z122" si="143">Y121+1</f>
        <v>45759</v>
      </c>
      <c r="Z122" s="114">
        <f t="shared" si="143"/>
        <v>45759</v>
      </c>
      <c r="AA122" s="39"/>
      <c r="AB122" s="39"/>
      <c r="AC122" s="39"/>
      <c r="AD122" s="39"/>
      <c r="AE122" s="39"/>
      <c r="AF122" s="39"/>
      <c r="AG122" s="39"/>
    </row>
    <row r="123" spans="1:33" ht="16.5" customHeight="1">
      <c r="A123" s="39"/>
      <c r="B123" s="50"/>
      <c r="C123" s="95">
        <v>103</v>
      </c>
      <c r="D123" s="96">
        <v>1</v>
      </c>
      <c r="E123" s="97">
        <f t="shared" si="8"/>
        <v>4</v>
      </c>
      <c r="F123" s="98">
        <f t="shared" si="18"/>
        <v>45760</v>
      </c>
      <c r="G123" s="99" t="str">
        <f t="shared" si="9"/>
        <v>Sun</v>
      </c>
      <c r="H123" s="100"/>
      <c r="I123" s="101"/>
      <c r="J123" s="135">
        <v>51850</v>
      </c>
      <c r="K123" s="136"/>
      <c r="L123" s="104">
        <f t="shared" si="129"/>
        <v>113402.06185567012</v>
      </c>
      <c r="M123" s="105">
        <f t="shared" si="11"/>
        <v>-61552.061855670123</v>
      </c>
      <c r="N123" s="106">
        <f t="shared" si="12"/>
        <v>0.45722272727272717</v>
      </c>
      <c r="O123" s="134"/>
      <c r="P123" s="104">
        <f t="shared" si="131"/>
        <v>1360824.742268041</v>
      </c>
      <c r="Q123" s="104">
        <f t="shared" si="132"/>
        <v>953850</v>
      </c>
      <c r="R123" s="108">
        <f t="shared" si="13"/>
        <v>-406974.74226804101</v>
      </c>
      <c r="S123" s="109">
        <f t="shared" si="14"/>
        <v>0.70093522727272739</v>
      </c>
      <c r="T123" s="131"/>
      <c r="U123" s="104">
        <f t="shared" si="21"/>
        <v>7984536.082474228</v>
      </c>
      <c r="V123" s="104">
        <f t="shared" si="22"/>
        <v>6718500</v>
      </c>
      <c r="W123" s="111">
        <f t="shared" si="15"/>
        <v>-1266036.082474228</v>
      </c>
      <c r="X123" s="112">
        <f t="shared" si="16"/>
        <v>0.84143899289864421</v>
      </c>
      <c r="Y123" s="113">
        <f t="shared" ref="Y123:Z123" si="144">Y122+1</f>
        <v>45760</v>
      </c>
      <c r="Z123" s="114">
        <f t="shared" si="144"/>
        <v>45760</v>
      </c>
      <c r="AA123" s="39"/>
      <c r="AB123" s="39"/>
      <c r="AC123" s="39"/>
      <c r="AD123" s="39"/>
      <c r="AE123" s="39"/>
      <c r="AF123" s="39"/>
      <c r="AG123" s="39"/>
    </row>
    <row r="124" spans="1:33" ht="16.5" customHeight="1">
      <c r="A124" s="39"/>
      <c r="B124" s="50"/>
      <c r="C124" s="95">
        <v>104</v>
      </c>
      <c r="D124" s="96">
        <v>0</v>
      </c>
      <c r="E124" s="97">
        <f t="shared" si="8"/>
        <v>4</v>
      </c>
      <c r="F124" s="98">
        <f t="shared" si="18"/>
        <v>45761</v>
      </c>
      <c r="G124" s="99" t="str">
        <f t="shared" si="9"/>
        <v>Mon</v>
      </c>
      <c r="H124" s="100"/>
      <c r="I124" s="101"/>
      <c r="J124" s="135"/>
      <c r="K124" s="136"/>
      <c r="L124" s="104">
        <f t="shared" si="129"/>
        <v>0</v>
      </c>
      <c r="M124" s="105">
        <f t="shared" si="11"/>
        <v>0</v>
      </c>
      <c r="N124" s="106" t="str">
        <f t="shared" si="12"/>
        <v>¥0</v>
      </c>
      <c r="O124" s="133"/>
      <c r="P124" s="104">
        <f t="shared" si="131"/>
        <v>0</v>
      </c>
      <c r="Q124" s="104">
        <f t="shared" si="132"/>
        <v>0</v>
      </c>
      <c r="R124" s="108">
        <f t="shared" si="13"/>
        <v>0</v>
      </c>
      <c r="S124" s="109">
        <f t="shared" si="14"/>
        <v>0</v>
      </c>
      <c r="T124" s="125"/>
      <c r="U124" s="104">
        <f t="shared" si="21"/>
        <v>0</v>
      </c>
      <c r="V124" s="104">
        <f t="shared" si="22"/>
        <v>0</v>
      </c>
      <c r="W124" s="111">
        <f t="shared" si="15"/>
        <v>0</v>
      </c>
      <c r="X124" s="112">
        <f t="shared" si="16"/>
        <v>0</v>
      </c>
      <c r="Y124" s="113">
        <f t="shared" ref="Y124:Z124" si="145">Y123+1</f>
        <v>45761</v>
      </c>
      <c r="Z124" s="114">
        <f t="shared" si="145"/>
        <v>45761</v>
      </c>
      <c r="AA124" s="39"/>
      <c r="AB124" s="39"/>
      <c r="AC124" s="39"/>
      <c r="AD124" s="39"/>
      <c r="AE124" s="39"/>
      <c r="AF124" s="39"/>
      <c r="AG124" s="39"/>
    </row>
    <row r="125" spans="1:33" ht="16.5" customHeight="1">
      <c r="A125" s="39"/>
      <c r="B125" s="50"/>
      <c r="C125" s="95">
        <v>105</v>
      </c>
      <c r="D125" s="96">
        <v>1</v>
      </c>
      <c r="E125" s="97">
        <f t="shared" si="8"/>
        <v>4</v>
      </c>
      <c r="F125" s="98">
        <f t="shared" si="18"/>
        <v>45762</v>
      </c>
      <c r="G125" s="99" t="str">
        <f t="shared" si="9"/>
        <v>Tue</v>
      </c>
      <c r="H125" s="100"/>
      <c r="I125" s="101"/>
      <c r="J125" s="135">
        <v>93150</v>
      </c>
      <c r="K125" s="136"/>
      <c r="L125" s="104">
        <f t="shared" si="129"/>
        <v>113402.06185567012</v>
      </c>
      <c r="M125" s="105">
        <f t="shared" si="11"/>
        <v>-20252.061855670123</v>
      </c>
      <c r="N125" s="106">
        <f t="shared" si="12"/>
        <v>0.82141363636363618</v>
      </c>
      <c r="O125" s="133"/>
      <c r="P125" s="104">
        <f t="shared" si="131"/>
        <v>1474226.8041237111</v>
      </c>
      <c r="Q125" s="104">
        <f t="shared" si="132"/>
        <v>1047000</v>
      </c>
      <c r="R125" s="108">
        <f t="shared" si="13"/>
        <v>-427226.80412371107</v>
      </c>
      <c r="S125" s="109">
        <f t="shared" si="14"/>
        <v>0.71020279720279733</v>
      </c>
      <c r="T125" s="125"/>
      <c r="U125" s="104">
        <f t="shared" si="21"/>
        <v>8097938.1443298981</v>
      </c>
      <c r="V125" s="104">
        <f t="shared" si="22"/>
        <v>6811650</v>
      </c>
      <c r="W125" s="111">
        <f t="shared" si="15"/>
        <v>-1286288.1443298981</v>
      </c>
      <c r="X125" s="112">
        <f t="shared" si="16"/>
        <v>0.84115856142584333</v>
      </c>
      <c r="Y125" s="113">
        <f t="shared" ref="Y125:Z125" si="146">Y124+1</f>
        <v>45762</v>
      </c>
      <c r="Z125" s="114">
        <f t="shared" si="146"/>
        <v>45762</v>
      </c>
      <c r="AA125" s="39"/>
      <c r="AB125" s="39"/>
      <c r="AC125" s="39"/>
      <c r="AD125" s="39"/>
      <c r="AE125" s="39"/>
      <c r="AF125" s="39"/>
      <c r="AG125" s="39"/>
    </row>
    <row r="126" spans="1:33" ht="16.5" customHeight="1">
      <c r="A126" s="39"/>
      <c r="B126" s="50"/>
      <c r="C126" s="95">
        <v>106</v>
      </c>
      <c r="D126" s="96">
        <v>1</v>
      </c>
      <c r="E126" s="97">
        <f t="shared" si="8"/>
        <v>4</v>
      </c>
      <c r="F126" s="98">
        <f t="shared" si="18"/>
        <v>45763</v>
      </c>
      <c r="G126" s="99" t="str">
        <f t="shared" si="9"/>
        <v>Wed</v>
      </c>
      <c r="H126" s="100"/>
      <c r="I126" s="101"/>
      <c r="J126" s="135">
        <v>59000</v>
      </c>
      <c r="K126" s="136"/>
      <c r="L126" s="104">
        <f t="shared" si="129"/>
        <v>113402.06185567012</v>
      </c>
      <c r="M126" s="105">
        <f t="shared" si="11"/>
        <v>-54402.061855670123</v>
      </c>
      <c r="N126" s="106">
        <f t="shared" si="12"/>
        <v>0.52027272727272722</v>
      </c>
      <c r="O126" s="133"/>
      <c r="P126" s="104">
        <f t="shared" si="131"/>
        <v>1587628.8659793811</v>
      </c>
      <c r="Q126" s="104">
        <f t="shared" si="132"/>
        <v>1106000</v>
      </c>
      <c r="R126" s="108">
        <f t="shared" si="13"/>
        <v>-481628.86597938114</v>
      </c>
      <c r="S126" s="109">
        <f t="shared" si="14"/>
        <v>0.69663636363636372</v>
      </c>
      <c r="T126" s="125"/>
      <c r="U126" s="104">
        <f t="shared" si="21"/>
        <v>8211340.2061855681</v>
      </c>
      <c r="V126" s="104">
        <f t="shared" si="22"/>
        <v>6870650</v>
      </c>
      <c r="W126" s="111">
        <f t="shared" si="15"/>
        <v>-1340690.2061855681</v>
      </c>
      <c r="X126" s="112">
        <f t="shared" si="16"/>
        <v>0.8367269930947896</v>
      </c>
      <c r="Y126" s="113">
        <f t="shared" ref="Y126:Z126" si="147">Y125+1</f>
        <v>45763</v>
      </c>
      <c r="Z126" s="114">
        <f t="shared" si="147"/>
        <v>45763</v>
      </c>
      <c r="AA126" s="39"/>
      <c r="AB126" s="39"/>
      <c r="AC126" s="39"/>
      <c r="AD126" s="39"/>
      <c r="AE126" s="39"/>
      <c r="AF126" s="39"/>
      <c r="AG126" s="39"/>
    </row>
    <row r="127" spans="1:33" ht="16.5" customHeight="1">
      <c r="A127" s="39"/>
      <c r="B127" s="50"/>
      <c r="C127" s="95">
        <v>107</v>
      </c>
      <c r="D127" s="96">
        <v>1</v>
      </c>
      <c r="E127" s="97">
        <f t="shared" si="8"/>
        <v>4</v>
      </c>
      <c r="F127" s="98">
        <f t="shared" si="18"/>
        <v>45764</v>
      </c>
      <c r="G127" s="99" t="str">
        <f t="shared" si="9"/>
        <v>Thu</v>
      </c>
      <c r="H127" s="100"/>
      <c r="I127" s="101"/>
      <c r="J127" s="135">
        <v>122300</v>
      </c>
      <c r="K127" s="136"/>
      <c r="L127" s="104">
        <f t="shared" si="129"/>
        <v>113402.06185567012</v>
      </c>
      <c r="M127" s="105">
        <f t="shared" si="11"/>
        <v>8897.9381443298771</v>
      </c>
      <c r="N127" s="106">
        <f t="shared" si="12"/>
        <v>1.0784636363636362</v>
      </c>
      <c r="O127" s="133"/>
      <c r="P127" s="104">
        <f t="shared" si="131"/>
        <v>1701030.9278350512</v>
      </c>
      <c r="Q127" s="104">
        <f t="shared" si="132"/>
        <v>1228300</v>
      </c>
      <c r="R127" s="108">
        <f t="shared" si="13"/>
        <v>-472730.9278350512</v>
      </c>
      <c r="S127" s="109">
        <f t="shared" si="14"/>
        <v>0.72209151515151526</v>
      </c>
      <c r="T127" s="125"/>
      <c r="U127" s="104">
        <f t="shared" si="21"/>
        <v>8324742.2680412382</v>
      </c>
      <c r="V127" s="104">
        <f t="shared" si="22"/>
        <v>6992950</v>
      </c>
      <c r="W127" s="111">
        <f t="shared" si="15"/>
        <v>-1331792.2680412382</v>
      </c>
      <c r="X127" s="112">
        <f t="shared" si="16"/>
        <v>0.84001999999999988</v>
      </c>
      <c r="Y127" s="113">
        <f t="shared" ref="Y127:Z127" si="148">Y126+1</f>
        <v>45764</v>
      </c>
      <c r="Z127" s="114">
        <f t="shared" si="148"/>
        <v>45764</v>
      </c>
      <c r="AA127" s="39"/>
      <c r="AB127" s="39"/>
      <c r="AC127" s="39"/>
      <c r="AD127" s="39"/>
      <c r="AE127" s="39"/>
      <c r="AF127" s="39"/>
      <c r="AG127" s="39"/>
    </row>
    <row r="128" spans="1:33" ht="16.5" customHeight="1">
      <c r="A128" s="39"/>
      <c r="B128" s="50"/>
      <c r="C128" s="95">
        <v>108</v>
      </c>
      <c r="D128" s="96">
        <v>1</v>
      </c>
      <c r="E128" s="97">
        <f t="shared" si="8"/>
        <v>4</v>
      </c>
      <c r="F128" s="98">
        <f t="shared" si="18"/>
        <v>45765</v>
      </c>
      <c r="G128" s="99" t="str">
        <f t="shared" si="9"/>
        <v>Fri</v>
      </c>
      <c r="H128" s="100"/>
      <c r="I128" s="101"/>
      <c r="J128" s="135">
        <v>162850</v>
      </c>
      <c r="K128" s="136"/>
      <c r="L128" s="104">
        <f t="shared" si="129"/>
        <v>113402.06185567012</v>
      </c>
      <c r="M128" s="105">
        <f t="shared" si="11"/>
        <v>49447.938144329877</v>
      </c>
      <c r="N128" s="106">
        <f t="shared" si="12"/>
        <v>1.4360409090909088</v>
      </c>
      <c r="O128" s="133"/>
      <c r="P128" s="104">
        <f t="shared" si="131"/>
        <v>1814432.9896907213</v>
      </c>
      <c r="Q128" s="104">
        <f t="shared" si="132"/>
        <v>1391150</v>
      </c>
      <c r="R128" s="108">
        <f t="shared" si="13"/>
        <v>-423282.98969072127</v>
      </c>
      <c r="S128" s="109">
        <f t="shared" si="14"/>
        <v>0.76671335227272741</v>
      </c>
      <c r="T128" s="125"/>
      <c r="U128" s="104">
        <f t="shared" si="21"/>
        <v>8438144.3298969083</v>
      </c>
      <c r="V128" s="104">
        <f t="shared" si="22"/>
        <v>7155800</v>
      </c>
      <c r="W128" s="111">
        <f t="shared" si="15"/>
        <v>-1282344.3298969083</v>
      </c>
      <c r="X128" s="112">
        <f t="shared" si="16"/>
        <v>0.84803005497861927</v>
      </c>
      <c r="Y128" s="113">
        <f t="shared" ref="Y128:Z128" si="149">Y127+1</f>
        <v>45765</v>
      </c>
      <c r="Z128" s="114">
        <f t="shared" si="149"/>
        <v>45765</v>
      </c>
      <c r="AA128" s="39"/>
      <c r="AB128" s="39"/>
      <c r="AC128" s="39"/>
      <c r="AD128" s="39"/>
      <c r="AE128" s="39"/>
      <c r="AF128" s="39"/>
      <c r="AG128" s="39"/>
    </row>
    <row r="129" spans="1:33" ht="16.5" customHeight="1">
      <c r="A129" s="39"/>
      <c r="B129" s="50"/>
      <c r="C129" s="95">
        <v>109</v>
      </c>
      <c r="D129" s="96">
        <v>1</v>
      </c>
      <c r="E129" s="97">
        <f t="shared" si="8"/>
        <v>4</v>
      </c>
      <c r="F129" s="98">
        <f t="shared" si="18"/>
        <v>45766</v>
      </c>
      <c r="G129" s="99" t="str">
        <f t="shared" si="9"/>
        <v>Sat</v>
      </c>
      <c r="H129" s="100"/>
      <c r="I129" s="101"/>
      <c r="J129" s="135">
        <v>52800</v>
      </c>
      <c r="K129" s="136"/>
      <c r="L129" s="104">
        <f t="shared" si="129"/>
        <v>113402.06185567012</v>
      </c>
      <c r="M129" s="105">
        <f t="shared" si="11"/>
        <v>-60602.061855670123</v>
      </c>
      <c r="N129" s="106">
        <f t="shared" si="12"/>
        <v>0.4655999999999999</v>
      </c>
      <c r="O129" s="133"/>
      <c r="P129" s="104">
        <f t="shared" si="131"/>
        <v>1927835.0515463913</v>
      </c>
      <c r="Q129" s="104">
        <f t="shared" si="132"/>
        <v>1443950</v>
      </c>
      <c r="R129" s="108">
        <f t="shared" si="13"/>
        <v>-483885.05154639133</v>
      </c>
      <c r="S129" s="109">
        <f t="shared" si="14"/>
        <v>0.74900080213903764</v>
      </c>
      <c r="T129" s="125"/>
      <c r="U129" s="104">
        <f t="shared" si="21"/>
        <v>8551546.3917525783</v>
      </c>
      <c r="V129" s="104">
        <f t="shared" si="22"/>
        <v>7208600</v>
      </c>
      <c r="W129" s="111">
        <f t="shared" si="15"/>
        <v>-1342946.3917525783</v>
      </c>
      <c r="X129" s="112">
        <f t="shared" si="16"/>
        <v>0.84295864978902946</v>
      </c>
      <c r="Y129" s="113">
        <f t="shared" ref="Y129:Z129" si="150">Y128+1</f>
        <v>45766</v>
      </c>
      <c r="Z129" s="114">
        <f t="shared" si="150"/>
        <v>45766</v>
      </c>
      <c r="AA129" s="39"/>
      <c r="AB129" s="39"/>
      <c r="AC129" s="39"/>
      <c r="AD129" s="39"/>
      <c r="AE129" s="39"/>
      <c r="AF129" s="39"/>
      <c r="AG129" s="39"/>
    </row>
    <row r="130" spans="1:33" ht="16.5" customHeight="1">
      <c r="A130" s="39"/>
      <c r="B130" s="50"/>
      <c r="C130" s="95">
        <v>110</v>
      </c>
      <c r="D130" s="96">
        <v>1</v>
      </c>
      <c r="E130" s="97">
        <f t="shared" si="8"/>
        <v>4</v>
      </c>
      <c r="F130" s="98">
        <f t="shared" si="18"/>
        <v>45767</v>
      </c>
      <c r="G130" s="99" t="str">
        <f t="shared" si="9"/>
        <v>Sun</v>
      </c>
      <c r="H130" s="100"/>
      <c r="I130" s="101"/>
      <c r="J130" s="135">
        <v>93050</v>
      </c>
      <c r="K130" s="136"/>
      <c r="L130" s="104">
        <f t="shared" si="129"/>
        <v>113402.06185567012</v>
      </c>
      <c r="M130" s="105">
        <f t="shared" si="11"/>
        <v>-20352.061855670123</v>
      </c>
      <c r="N130" s="106">
        <f t="shared" si="12"/>
        <v>0.82053181818181808</v>
      </c>
      <c r="O130" s="134"/>
      <c r="P130" s="104">
        <f t="shared" si="131"/>
        <v>2041237.1134020614</v>
      </c>
      <c r="Q130" s="104">
        <f t="shared" si="132"/>
        <v>1537000</v>
      </c>
      <c r="R130" s="108">
        <f t="shared" si="13"/>
        <v>-504237.1134020614</v>
      </c>
      <c r="S130" s="109">
        <f t="shared" si="14"/>
        <v>0.75297474747474769</v>
      </c>
      <c r="T130" s="131"/>
      <c r="U130" s="104">
        <f t="shared" si="21"/>
        <v>8664948.4536082484</v>
      </c>
      <c r="V130" s="104">
        <f t="shared" si="22"/>
        <v>7301650</v>
      </c>
      <c r="W130" s="111">
        <f t="shared" si="15"/>
        <v>-1363298.4536082484</v>
      </c>
      <c r="X130" s="112">
        <f t="shared" si="16"/>
        <v>0.84266513979773938</v>
      </c>
      <c r="Y130" s="113">
        <f t="shared" ref="Y130:Z130" si="151">Y129+1</f>
        <v>45767</v>
      </c>
      <c r="Z130" s="114">
        <f t="shared" si="151"/>
        <v>45767</v>
      </c>
      <c r="AA130" s="39"/>
      <c r="AB130" s="39"/>
      <c r="AC130" s="39"/>
      <c r="AD130" s="39"/>
      <c r="AE130" s="39"/>
      <c r="AF130" s="39"/>
      <c r="AG130" s="39"/>
    </row>
    <row r="131" spans="1:33" ht="16.5" customHeight="1">
      <c r="A131" s="39"/>
      <c r="B131" s="50"/>
      <c r="C131" s="95">
        <v>111</v>
      </c>
      <c r="D131" s="96">
        <v>0</v>
      </c>
      <c r="E131" s="97">
        <f t="shared" si="8"/>
        <v>4</v>
      </c>
      <c r="F131" s="98">
        <f t="shared" si="18"/>
        <v>45768</v>
      </c>
      <c r="G131" s="99" t="str">
        <f t="shared" si="9"/>
        <v>Mon</v>
      </c>
      <c r="H131" s="100"/>
      <c r="I131" s="101"/>
      <c r="J131" s="135"/>
      <c r="K131" s="136"/>
      <c r="L131" s="104">
        <f t="shared" si="129"/>
        <v>0</v>
      </c>
      <c r="M131" s="105">
        <f t="shared" si="11"/>
        <v>0</v>
      </c>
      <c r="N131" s="106" t="str">
        <f t="shared" si="12"/>
        <v>¥0</v>
      </c>
      <c r="O131" s="133"/>
      <c r="P131" s="104">
        <f t="shared" si="131"/>
        <v>0</v>
      </c>
      <c r="Q131" s="104">
        <f t="shared" si="132"/>
        <v>0</v>
      </c>
      <c r="R131" s="108">
        <f t="shared" si="13"/>
        <v>0</v>
      </c>
      <c r="S131" s="109">
        <f t="shared" si="14"/>
        <v>0</v>
      </c>
      <c r="T131" s="125"/>
      <c r="U131" s="104">
        <f t="shared" si="21"/>
        <v>0</v>
      </c>
      <c r="V131" s="104">
        <f t="shared" si="22"/>
        <v>0</v>
      </c>
      <c r="W131" s="111">
        <f t="shared" si="15"/>
        <v>0</v>
      </c>
      <c r="X131" s="112">
        <f t="shared" si="16"/>
        <v>0</v>
      </c>
      <c r="Y131" s="113">
        <f t="shared" ref="Y131:Z131" si="152">Y130+1</f>
        <v>45768</v>
      </c>
      <c r="Z131" s="114">
        <f t="shared" si="152"/>
        <v>45768</v>
      </c>
      <c r="AA131" s="39"/>
      <c r="AB131" s="39"/>
      <c r="AC131" s="39"/>
      <c r="AD131" s="39"/>
      <c r="AE131" s="39"/>
      <c r="AF131" s="39"/>
      <c r="AG131" s="39"/>
    </row>
    <row r="132" spans="1:33" ht="16.5" customHeight="1">
      <c r="A132" s="39"/>
      <c r="B132" s="50"/>
      <c r="C132" s="95">
        <v>112</v>
      </c>
      <c r="D132" s="96">
        <v>1</v>
      </c>
      <c r="E132" s="97">
        <f t="shared" si="8"/>
        <v>4</v>
      </c>
      <c r="F132" s="98">
        <f t="shared" si="18"/>
        <v>45769</v>
      </c>
      <c r="G132" s="99" t="str">
        <f t="shared" si="9"/>
        <v>Tue</v>
      </c>
      <c r="H132" s="100"/>
      <c r="I132" s="101"/>
      <c r="J132" s="135">
        <v>84550</v>
      </c>
      <c r="K132" s="136"/>
      <c r="L132" s="104">
        <f t="shared" si="129"/>
        <v>113402.06185567012</v>
      </c>
      <c r="M132" s="105">
        <f t="shared" si="11"/>
        <v>-28852.061855670123</v>
      </c>
      <c r="N132" s="106">
        <f t="shared" si="12"/>
        <v>0.74557727272727259</v>
      </c>
      <c r="O132" s="133"/>
      <c r="P132" s="104">
        <f t="shared" si="131"/>
        <v>2154639.1752577317</v>
      </c>
      <c r="Q132" s="104">
        <f t="shared" si="132"/>
        <v>1621550</v>
      </c>
      <c r="R132" s="108">
        <f t="shared" si="13"/>
        <v>-533089.17525773169</v>
      </c>
      <c r="S132" s="109">
        <f t="shared" si="14"/>
        <v>0.75258540669856466</v>
      </c>
      <c r="T132" s="125"/>
      <c r="U132" s="104">
        <f t="shared" si="21"/>
        <v>8778350.5154639184</v>
      </c>
      <c r="V132" s="104">
        <f t="shared" si="22"/>
        <v>7386200</v>
      </c>
      <c r="W132" s="111">
        <f t="shared" si="15"/>
        <v>-1392150.5154639184</v>
      </c>
      <c r="X132" s="112">
        <f t="shared" si="16"/>
        <v>0.84141092190252487</v>
      </c>
      <c r="Y132" s="113">
        <f t="shared" ref="Y132:Z132" si="153">Y131+1</f>
        <v>45769</v>
      </c>
      <c r="Z132" s="114">
        <f t="shared" si="153"/>
        <v>45769</v>
      </c>
      <c r="AA132" s="39"/>
      <c r="AB132" s="39"/>
      <c r="AC132" s="39"/>
      <c r="AD132" s="39"/>
      <c r="AE132" s="39"/>
      <c r="AF132" s="39"/>
      <c r="AG132" s="39"/>
    </row>
    <row r="133" spans="1:33" ht="16.5" customHeight="1">
      <c r="A133" s="39"/>
      <c r="B133" s="50"/>
      <c r="C133" s="95">
        <v>113</v>
      </c>
      <c r="D133" s="96">
        <v>1</v>
      </c>
      <c r="E133" s="97">
        <f t="shared" si="8"/>
        <v>4</v>
      </c>
      <c r="F133" s="98">
        <f t="shared" si="18"/>
        <v>45770</v>
      </c>
      <c r="G133" s="99" t="str">
        <f t="shared" si="9"/>
        <v>Wed</v>
      </c>
      <c r="H133" s="100"/>
      <c r="I133" s="101"/>
      <c r="J133" s="135">
        <v>83600</v>
      </c>
      <c r="K133" s="136"/>
      <c r="L133" s="104">
        <f t="shared" si="129"/>
        <v>113402.06185567012</v>
      </c>
      <c r="M133" s="105">
        <f t="shared" si="11"/>
        <v>-29802.061855670123</v>
      </c>
      <c r="N133" s="106">
        <f t="shared" si="12"/>
        <v>0.73719999999999986</v>
      </c>
      <c r="O133" s="133"/>
      <c r="P133" s="104">
        <f t="shared" si="131"/>
        <v>2268041.2371134018</v>
      </c>
      <c r="Q133" s="104">
        <f t="shared" si="132"/>
        <v>1705150</v>
      </c>
      <c r="R133" s="108">
        <f t="shared" si="13"/>
        <v>-562891.23711340176</v>
      </c>
      <c r="S133" s="109">
        <f t="shared" si="14"/>
        <v>0.75181613636363642</v>
      </c>
      <c r="T133" s="125"/>
      <c r="U133" s="104">
        <f t="shared" si="21"/>
        <v>8891752.5773195885</v>
      </c>
      <c r="V133" s="104">
        <f t="shared" si="22"/>
        <v>7469800</v>
      </c>
      <c r="W133" s="111">
        <f t="shared" si="15"/>
        <v>-1421952.5773195885</v>
      </c>
      <c r="X133" s="112">
        <f t="shared" si="16"/>
        <v>0.84008185507246369</v>
      </c>
      <c r="Y133" s="113">
        <f t="shared" ref="Y133:Z133" si="154">Y132+1</f>
        <v>45770</v>
      </c>
      <c r="Z133" s="114">
        <f t="shared" si="154"/>
        <v>45770</v>
      </c>
      <c r="AA133" s="39"/>
      <c r="AB133" s="39"/>
      <c r="AC133" s="39"/>
      <c r="AD133" s="39"/>
      <c r="AE133" s="39"/>
      <c r="AF133" s="39"/>
      <c r="AG133" s="39"/>
    </row>
    <row r="134" spans="1:33" ht="16.5" customHeight="1">
      <c r="A134" s="39"/>
      <c r="B134" s="50"/>
      <c r="C134" s="95">
        <v>114</v>
      </c>
      <c r="D134" s="96">
        <v>1</v>
      </c>
      <c r="E134" s="97">
        <f t="shared" si="8"/>
        <v>4</v>
      </c>
      <c r="F134" s="98">
        <f t="shared" si="18"/>
        <v>45771</v>
      </c>
      <c r="G134" s="99" t="str">
        <f t="shared" si="9"/>
        <v>Thu</v>
      </c>
      <c r="H134" s="100"/>
      <c r="I134" s="101"/>
      <c r="J134" s="135">
        <v>87450</v>
      </c>
      <c r="K134" s="136"/>
      <c r="L134" s="104">
        <f t="shared" si="129"/>
        <v>113402.06185567012</v>
      </c>
      <c r="M134" s="105">
        <f t="shared" si="11"/>
        <v>-25952.061855670123</v>
      </c>
      <c r="N134" s="106">
        <f t="shared" si="12"/>
        <v>0.77114999999999989</v>
      </c>
      <c r="O134" s="133"/>
      <c r="P134" s="104">
        <f t="shared" si="131"/>
        <v>2381443.2989690718</v>
      </c>
      <c r="Q134" s="104">
        <f t="shared" si="132"/>
        <v>1792600</v>
      </c>
      <c r="R134" s="108">
        <f t="shared" si="13"/>
        <v>-588843.29896907182</v>
      </c>
      <c r="S134" s="109">
        <f t="shared" si="14"/>
        <v>0.75273679653679659</v>
      </c>
      <c r="T134" s="125"/>
      <c r="U134" s="104">
        <f t="shared" si="21"/>
        <v>9005154.6391752586</v>
      </c>
      <c r="V134" s="104">
        <f t="shared" si="22"/>
        <v>7557250</v>
      </c>
      <c r="W134" s="111">
        <f t="shared" si="15"/>
        <v>-1447904.6391752586</v>
      </c>
      <c r="X134" s="112">
        <f t="shared" si="16"/>
        <v>0.83921379507727523</v>
      </c>
      <c r="Y134" s="113">
        <f t="shared" ref="Y134:Z134" si="155">Y133+1</f>
        <v>45771</v>
      </c>
      <c r="Z134" s="114">
        <f t="shared" si="155"/>
        <v>45771</v>
      </c>
      <c r="AA134" s="39"/>
      <c r="AB134" s="39"/>
      <c r="AC134" s="39"/>
      <c r="AD134" s="39"/>
      <c r="AE134" s="39"/>
      <c r="AF134" s="39"/>
      <c r="AG134" s="39"/>
    </row>
    <row r="135" spans="1:33" ht="16.5" customHeight="1">
      <c r="A135" s="39"/>
      <c r="B135" s="50"/>
      <c r="C135" s="95">
        <v>115</v>
      </c>
      <c r="D135" s="96">
        <v>1</v>
      </c>
      <c r="E135" s="97">
        <f t="shared" si="8"/>
        <v>4</v>
      </c>
      <c r="F135" s="98">
        <f t="shared" si="18"/>
        <v>45772</v>
      </c>
      <c r="G135" s="99" t="str">
        <f t="shared" si="9"/>
        <v>Fri</v>
      </c>
      <c r="H135" s="100"/>
      <c r="I135" s="101"/>
      <c r="J135" s="135">
        <v>164850</v>
      </c>
      <c r="K135" s="136"/>
      <c r="L135" s="104">
        <f t="shared" si="129"/>
        <v>113402.06185567012</v>
      </c>
      <c r="M135" s="105">
        <f t="shared" si="11"/>
        <v>51447.938144329877</v>
      </c>
      <c r="N135" s="106">
        <f t="shared" si="12"/>
        <v>1.4536772727272724</v>
      </c>
      <c r="O135" s="133"/>
      <c r="P135" s="104">
        <f t="shared" si="131"/>
        <v>2494845.3608247419</v>
      </c>
      <c r="Q135" s="104">
        <f t="shared" si="132"/>
        <v>1957450</v>
      </c>
      <c r="R135" s="108">
        <f t="shared" si="13"/>
        <v>-537395.36082474189</v>
      </c>
      <c r="S135" s="109">
        <f t="shared" si="14"/>
        <v>0.78459772727272736</v>
      </c>
      <c r="T135" s="125"/>
      <c r="U135" s="104">
        <f t="shared" si="21"/>
        <v>9118556.7010309286</v>
      </c>
      <c r="V135" s="104">
        <f t="shared" si="22"/>
        <v>7722100</v>
      </c>
      <c r="W135" s="111">
        <f t="shared" si="15"/>
        <v>-1396456.7010309286</v>
      </c>
      <c r="X135" s="112">
        <f t="shared" si="16"/>
        <v>0.84685551158846795</v>
      </c>
      <c r="Y135" s="113">
        <f t="shared" ref="Y135:Z135" si="156">Y134+1</f>
        <v>45772</v>
      </c>
      <c r="Z135" s="114">
        <f t="shared" si="156"/>
        <v>45772</v>
      </c>
      <c r="AA135" s="39"/>
      <c r="AB135" s="39"/>
      <c r="AC135" s="39"/>
      <c r="AD135" s="39"/>
      <c r="AE135" s="39"/>
      <c r="AF135" s="39"/>
      <c r="AG135" s="39"/>
    </row>
    <row r="136" spans="1:33" ht="16.5" customHeight="1">
      <c r="A136" s="39"/>
      <c r="B136" s="50"/>
      <c r="C136" s="95">
        <v>116</v>
      </c>
      <c r="D136" s="96">
        <v>1</v>
      </c>
      <c r="E136" s="97">
        <f t="shared" si="8"/>
        <v>4</v>
      </c>
      <c r="F136" s="98">
        <f t="shared" si="18"/>
        <v>45773</v>
      </c>
      <c r="G136" s="99" t="str">
        <f t="shared" si="9"/>
        <v>Sat</v>
      </c>
      <c r="H136" s="100"/>
      <c r="I136" s="101"/>
      <c r="J136" s="135">
        <v>108750</v>
      </c>
      <c r="K136" s="136"/>
      <c r="L136" s="104">
        <f t="shared" si="129"/>
        <v>113402.06185567012</v>
      </c>
      <c r="M136" s="105">
        <f t="shared" si="11"/>
        <v>-4652.0618556701229</v>
      </c>
      <c r="N136" s="106">
        <f t="shared" si="12"/>
        <v>0.95897727272727251</v>
      </c>
      <c r="O136" s="133"/>
      <c r="P136" s="104">
        <v>43886</v>
      </c>
      <c r="Q136" s="104">
        <f t="shared" si="132"/>
        <v>2066200</v>
      </c>
      <c r="R136" s="108">
        <f t="shared" si="13"/>
        <v>2022314</v>
      </c>
      <c r="S136" s="109">
        <f t="shared" si="14"/>
        <v>47.081073690926495</v>
      </c>
      <c r="T136" s="125"/>
      <c r="U136" s="104">
        <f t="shared" si="21"/>
        <v>9231958.7628865987</v>
      </c>
      <c r="V136" s="104">
        <f t="shared" si="22"/>
        <v>7830850</v>
      </c>
      <c r="W136" s="111">
        <f t="shared" si="15"/>
        <v>-1401108.7628865987</v>
      </c>
      <c r="X136" s="112">
        <f t="shared" si="16"/>
        <v>0.84823277498604122</v>
      </c>
      <c r="Y136" s="113">
        <f t="shared" ref="Y136:Z136" si="157">Y135+1</f>
        <v>45773</v>
      </c>
      <c r="Z136" s="114">
        <f t="shared" si="157"/>
        <v>45773</v>
      </c>
      <c r="AA136" s="39"/>
      <c r="AB136" s="39"/>
      <c r="AC136" s="39"/>
      <c r="AD136" s="39"/>
      <c r="AE136" s="39"/>
      <c r="AF136" s="39"/>
      <c r="AG136" s="39"/>
    </row>
    <row r="137" spans="1:33" ht="16.5" customHeight="1">
      <c r="A137" s="39"/>
      <c r="B137" s="50"/>
      <c r="C137" s="95">
        <v>117</v>
      </c>
      <c r="D137" s="96">
        <v>1</v>
      </c>
      <c r="E137" s="97">
        <f t="shared" si="8"/>
        <v>4</v>
      </c>
      <c r="F137" s="98">
        <f t="shared" si="18"/>
        <v>45774</v>
      </c>
      <c r="G137" s="99" t="str">
        <f t="shared" si="9"/>
        <v>Sun</v>
      </c>
      <c r="H137" s="100"/>
      <c r="I137" s="101"/>
      <c r="J137" s="135">
        <v>78050</v>
      </c>
      <c r="K137" s="136"/>
      <c r="L137" s="104">
        <f t="shared" si="129"/>
        <v>113402.06185567012</v>
      </c>
      <c r="M137" s="105">
        <f t="shared" si="11"/>
        <v>-35352.061855670123</v>
      </c>
      <c r="N137" s="106">
        <f t="shared" si="12"/>
        <v>0.68825909090909076</v>
      </c>
      <c r="O137" s="134"/>
      <c r="P137" s="104">
        <v>13930</v>
      </c>
      <c r="Q137" s="104">
        <f t="shared" si="132"/>
        <v>2144250</v>
      </c>
      <c r="R137" s="108">
        <f t="shared" si="13"/>
        <v>2130320</v>
      </c>
      <c r="S137" s="109">
        <f t="shared" si="14"/>
        <v>153.93036611629577</v>
      </c>
      <c r="T137" s="131"/>
      <c r="U137" s="104">
        <f t="shared" si="21"/>
        <v>9345360.8247422688</v>
      </c>
      <c r="V137" s="104">
        <f t="shared" si="22"/>
        <v>7908900</v>
      </c>
      <c r="W137" s="111">
        <f t="shared" si="15"/>
        <v>-1436460.8247422688</v>
      </c>
      <c r="X137" s="112">
        <f t="shared" si="16"/>
        <v>0.84629156094870372</v>
      </c>
      <c r="Y137" s="113">
        <f t="shared" ref="Y137:Z137" si="158">Y136+1</f>
        <v>45774</v>
      </c>
      <c r="Z137" s="114">
        <f t="shared" si="158"/>
        <v>45774</v>
      </c>
      <c r="AA137" s="39"/>
      <c r="AB137" s="39"/>
      <c r="AC137" s="39"/>
      <c r="AD137" s="39"/>
      <c r="AE137" s="39"/>
      <c r="AF137" s="39"/>
      <c r="AG137" s="39"/>
    </row>
    <row r="138" spans="1:33" ht="16.5" customHeight="1">
      <c r="A138" s="39"/>
      <c r="B138" s="50"/>
      <c r="C138" s="95">
        <v>118</v>
      </c>
      <c r="D138" s="96">
        <v>0</v>
      </c>
      <c r="E138" s="97">
        <f t="shared" si="8"/>
        <v>4</v>
      </c>
      <c r="F138" s="98">
        <f t="shared" si="18"/>
        <v>45775</v>
      </c>
      <c r="G138" s="99" t="str">
        <f t="shared" si="9"/>
        <v>Mon</v>
      </c>
      <c r="H138" s="100"/>
      <c r="I138" s="101"/>
      <c r="J138" s="135"/>
      <c r="K138" s="136"/>
      <c r="L138" s="104">
        <f t="shared" si="129"/>
        <v>0</v>
      </c>
      <c r="M138" s="105">
        <f t="shared" si="11"/>
        <v>0</v>
      </c>
      <c r="N138" s="106" t="str">
        <f t="shared" si="12"/>
        <v>¥0</v>
      </c>
      <c r="O138" s="133"/>
      <c r="P138" s="104">
        <v>0</v>
      </c>
      <c r="Q138" s="104">
        <f t="shared" si="132"/>
        <v>0</v>
      </c>
      <c r="R138" s="108">
        <f t="shared" si="13"/>
        <v>0</v>
      </c>
      <c r="S138" s="109">
        <f t="shared" si="14"/>
        <v>0</v>
      </c>
      <c r="T138" s="125"/>
      <c r="U138" s="104">
        <f t="shared" si="21"/>
        <v>0</v>
      </c>
      <c r="V138" s="104">
        <f t="shared" si="22"/>
        <v>0</v>
      </c>
      <c r="W138" s="111">
        <f t="shared" si="15"/>
        <v>0</v>
      </c>
      <c r="X138" s="112">
        <f t="shared" si="16"/>
        <v>0</v>
      </c>
      <c r="Y138" s="113">
        <f t="shared" ref="Y138:Z138" si="159">Y137+1</f>
        <v>45775</v>
      </c>
      <c r="Z138" s="114">
        <f t="shared" si="159"/>
        <v>45775</v>
      </c>
      <c r="AA138" s="39"/>
      <c r="AB138" s="39"/>
      <c r="AC138" s="39"/>
      <c r="AD138" s="39"/>
      <c r="AE138" s="39"/>
      <c r="AF138" s="39"/>
      <c r="AG138" s="39"/>
    </row>
    <row r="139" spans="1:33" ht="16.5" customHeight="1">
      <c r="A139" s="39"/>
      <c r="B139" s="50"/>
      <c r="C139" s="95">
        <v>119</v>
      </c>
      <c r="D139" s="96">
        <v>0</v>
      </c>
      <c r="E139" s="97">
        <f t="shared" si="8"/>
        <v>4</v>
      </c>
      <c r="F139" s="98">
        <f t="shared" si="18"/>
        <v>45776</v>
      </c>
      <c r="G139" s="99" t="str">
        <f t="shared" si="9"/>
        <v>Tue</v>
      </c>
      <c r="H139" s="100"/>
      <c r="I139" s="101"/>
      <c r="J139" s="135"/>
      <c r="K139" s="136"/>
      <c r="L139" s="104">
        <f t="shared" si="129"/>
        <v>0</v>
      </c>
      <c r="M139" s="105">
        <f t="shared" si="11"/>
        <v>0</v>
      </c>
      <c r="N139" s="106" t="str">
        <f t="shared" si="12"/>
        <v>¥0</v>
      </c>
      <c r="O139" s="134"/>
      <c r="P139" s="104">
        <v>0</v>
      </c>
      <c r="Q139" s="104">
        <f t="shared" si="132"/>
        <v>0</v>
      </c>
      <c r="R139" s="108">
        <f t="shared" si="13"/>
        <v>0</v>
      </c>
      <c r="S139" s="109">
        <f t="shared" si="14"/>
        <v>0</v>
      </c>
      <c r="T139" s="131"/>
      <c r="U139" s="104">
        <f t="shared" si="21"/>
        <v>0</v>
      </c>
      <c r="V139" s="104">
        <f t="shared" si="22"/>
        <v>0</v>
      </c>
      <c r="W139" s="111">
        <f t="shared" si="15"/>
        <v>0</v>
      </c>
      <c r="X139" s="112">
        <f t="shared" si="16"/>
        <v>0</v>
      </c>
      <c r="Y139" s="113">
        <f t="shared" ref="Y139:Z139" si="160">Y138+1</f>
        <v>45776</v>
      </c>
      <c r="Z139" s="114">
        <f t="shared" si="160"/>
        <v>45776</v>
      </c>
      <c r="AA139" s="39"/>
      <c r="AB139" s="39"/>
      <c r="AC139" s="39"/>
      <c r="AD139" s="39"/>
      <c r="AE139" s="39"/>
      <c r="AF139" s="39"/>
      <c r="AG139" s="39"/>
    </row>
    <row r="140" spans="1:33" ht="16.5" customHeight="1">
      <c r="A140" s="39"/>
      <c r="B140" s="50"/>
      <c r="C140" s="137">
        <v>120</v>
      </c>
      <c r="D140" s="138">
        <v>1</v>
      </c>
      <c r="E140" s="139">
        <f t="shared" si="8"/>
        <v>4</v>
      </c>
      <c r="F140" s="140">
        <f t="shared" si="18"/>
        <v>45777</v>
      </c>
      <c r="G140" s="141" t="str">
        <f t="shared" si="9"/>
        <v>Wed</v>
      </c>
      <c r="H140" s="159"/>
      <c r="I140" s="143"/>
      <c r="J140" s="144">
        <v>118200</v>
      </c>
      <c r="K140" s="145"/>
      <c r="L140" s="146">
        <f t="shared" si="129"/>
        <v>113402.06185567012</v>
      </c>
      <c r="M140" s="147">
        <f t="shared" si="11"/>
        <v>4797.9381443298771</v>
      </c>
      <c r="N140" s="161">
        <f t="shared" si="12"/>
        <v>1.0423090909090906</v>
      </c>
      <c r="O140" s="149"/>
      <c r="P140" s="150">
        <v>0</v>
      </c>
      <c r="Q140" s="146">
        <f t="shared" si="132"/>
        <v>2262450</v>
      </c>
      <c r="R140" s="147">
        <f t="shared" si="13"/>
        <v>2262450</v>
      </c>
      <c r="S140" s="151" t="e">
        <f t="shared" si="14"/>
        <v>#DIV/0!</v>
      </c>
      <c r="T140" s="152"/>
      <c r="U140" s="153">
        <f t="shared" si="21"/>
        <v>9458762.8865979388</v>
      </c>
      <c r="V140" s="146">
        <f t="shared" si="22"/>
        <v>8027100</v>
      </c>
      <c r="W140" s="153">
        <f t="shared" si="15"/>
        <v>-1431662.8865979388</v>
      </c>
      <c r="X140" s="154">
        <f t="shared" si="16"/>
        <v>0.84864163487738409</v>
      </c>
      <c r="Y140" s="113">
        <f t="shared" ref="Y140:Z140" si="161">Y139+1</f>
        <v>45777</v>
      </c>
      <c r="Z140" s="114">
        <f t="shared" si="161"/>
        <v>45777</v>
      </c>
      <c r="AA140" s="39"/>
      <c r="AB140" s="39"/>
      <c r="AC140" s="39"/>
      <c r="AD140" s="39"/>
      <c r="AE140" s="39"/>
      <c r="AF140" s="39"/>
      <c r="AG140" s="39"/>
    </row>
    <row r="141" spans="1:33" ht="16.5" customHeight="1">
      <c r="A141" s="39"/>
      <c r="B141" s="50"/>
      <c r="C141" s="95">
        <v>121</v>
      </c>
      <c r="D141" s="155">
        <v>1</v>
      </c>
      <c r="E141" s="97">
        <f t="shared" si="8"/>
        <v>5</v>
      </c>
      <c r="F141" s="98">
        <f t="shared" si="18"/>
        <v>45778</v>
      </c>
      <c r="G141" s="99" t="str">
        <f t="shared" si="9"/>
        <v>Thu</v>
      </c>
      <c r="H141" s="100"/>
      <c r="I141" s="101"/>
      <c r="J141" s="135">
        <v>97050</v>
      </c>
      <c r="K141" s="136"/>
      <c r="L141" s="104">
        <f t="shared" ref="L141:L171" si="162">IF(D141=0,0,$K$11)</f>
        <v>103092.78350515464</v>
      </c>
      <c r="M141" s="108">
        <f t="shared" si="11"/>
        <v>-6042.7835051546426</v>
      </c>
      <c r="N141" s="156">
        <f t="shared" si="12"/>
        <v>0.94138499999999992</v>
      </c>
      <c r="O141" s="133"/>
      <c r="P141" s="104">
        <v>0</v>
      </c>
      <c r="Q141" s="104">
        <f>IF(D141=0,0,$J$141)</f>
        <v>97050</v>
      </c>
      <c r="R141" s="108">
        <f t="shared" si="13"/>
        <v>97050</v>
      </c>
      <c r="S141" s="157" t="e">
        <f t="shared" si="14"/>
        <v>#DIV/0!</v>
      </c>
      <c r="T141" s="125"/>
      <c r="U141" s="104">
        <f t="shared" si="21"/>
        <v>9561855.6701030936</v>
      </c>
      <c r="V141" s="104">
        <f t="shared" si="22"/>
        <v>8124150</v>
      </c>
      <c r="W141" s="111">
        <f t="shared" si="15"/>
        <v>-1437705.6701030936</v>
      </c>
      <c r="X141" s="158">
        <f t="shared" si="16"/>
        <v>0.849641563342318</v>
      </c>
      <c r="Y141" s="113">
        <f t="shared" ref="Y141:Z141" si="163">Y140+1</f>
        <v>45778</v>
      </c>
      <c r="Z141" s="114">
        <f t="shared" si="163"/>
        <v>45778</v>
      </c>
      <c r="AA141" s="39"/>
      <c r="AB141" s="39"/>
      <c r="AC141" s="39"/>
      <c r="AD141" s="39"/>
      <c r="AE141" s="39"/>
      <c r="AF141" s="39"/>
      <c r="AG141" s="39"/>
    </row>
    <row r="142" spans="1:33" ht="16.5" customHeight="1">
      <c r="A142" s="39"/>
      <c r="B142" s="50"/>
      <c r="C142" s="95">
        <v>122</v>
      </c>
      <c r="D142" s="96">
        <v>1</v>
      </c>
      <c r="E142" s="97">
        <f t="shared" si="8"/>
        <v>5</v>
      </c>
      <c r="F142" s="98">
        <f t="shared" si="18"/>
        <v>45779</v>
      </c>
      <c r="G142" s="99" t="str">
        <f t="shared" si="9"/>
        <v>Fri</v>
      </c>
      <c r="H142" s="100"/>
      <c r="I142" s="101"/>
      <c r="J142" s="135">
        <v>83750</v>
      </c>
      <c r="K142" s="136"/>
      <c r="L142" s="104">
        <f t="shared" si="162"/>
        <v>103092.78350515464</v>
      </c>
      <c r="M142" s="105">
        <f t="shared" si="11"/>
        <v>-19342.783505154643</v>
      </c>
      <c r="N142" s="106">
        <f t="shared" si="12"/>
        <v>0.81237499999999996</v>
      </c>
      <c r="O142" s="133"/>
      <c r="P142" s="104">
        <v>21683</v>
      </c>
      <c r="Q142" s="104">
        <f t="shared" ref="Q142:Q171" si="164">IF(D142=0,0,SUM($J$141:J142))</f>
        <v>180800</v>
      </c>
      <c r="R142" s="108">
        <f t="shared" si="13"/>
        <v>159117</v>
      </c>
      <c r="S142" s="109">
        <f t="shared" si="14"/>
        <v>8.3383295669418445</v>
      </c>
      <c r="T142" s="125"/>
      <c r="U142" s="104">
        <f t="shared" si="21"/>
        <v>9664948.4536082484</v>
      </c>
      <c r="V142" s="104">
        <f t="shared" si="22"/>
        <v>8207900</v>
      </c>
      <c r="W142" s="111">
        <f t="shared" si="15"/>
        <v>-1457048.4536082484</v>
      </c>
      <c r="X142" s="112">
        <f t="shared" si="16"/>
        <v>0.8492440533333333</v>
      </c>
      <c r="Y142" s="113">
        <f t="shared" ref="Y142:Z142" si="165">Y141+1</f>
        <v>45779</v>
      </c>
      <c r="Z142" s="114">
        <f t="shared" si="165"/>
        <v>45779</v>
      </c>
      <c r="AA142" s="39"/>
      <c r="AB142" s="39"/>
      <c r="AC142" s="39"/>
      <c r="AD142" s="39"/>
      <c r="AE142" s="39"/>
      <c r="AF142" s="39"/>
      <c r="AG142" s="39"/>
    </row>
    <row r="143" spans="1:33" ht="16.5" customHeight="1">
      <c r="A143" s="39"/>
      <c r="B143" s="50"/>
      <c r="C143" s="95">
        <v>123</v>
      </c>
      <c r="D143" s="96">
        <v>1</v>
      </c>
      <c r="E143" s="97">
        <f t="shared" si="8"/>
        <v>5</v>
      </c>
      <c r="F143" s="98">
        <f t="shared" si="18"/>
        <v>45780</v>
      </c>
      <c r="G143" s="99" t="str">
        <f t="shared" si="9"/>
        <v>Sat</v>
      </c>
      <c r="H143" s="100"/>
      <c r="I143" s="101"/>
      <c r="J143" s="135">
        <v>66800</v>
      </c>
      <c r="K143" s="136"/>
      <c r="L143" s="104">
        <f t="shared" si="162"/>
        <v>103092.78350515464</v>
      </c>
      <c r="M143" s="105">
        <f t="shared" si="11"/>
        <v>-36292.783505154643</v>
      </c>
      <c r="N143" s="106">
        <f t="shared" si="12"/>
        <v>0.64795999999999998</v>
      </c>
      <c r="O143" s="134"/>
      <c r="P143" s="104">
        <v>22550</v>
      </c>
      <c r="Q143" s="104">
        <f t="shared" si="164"/>
        <v>247600</v>
      </c>
      <c r="R143" s="108">
        <f t="shared" si="13"/>
        <v>225050</v>
      </c>
      <c r="S143" s="109">
        <f t="shared" si="14"/>
        <v>10.980044345898005</v>
      </c>
      <c r="T143" s="131"/>
      <c r="U143" s="104">
        <f t="shared" si="21"/>
        <v>9768041.2371134032</v>
      </c>
      <c r="V143" s="104">
        <f t="shared" si="22"/>
        <v>8274700</v>
      </c>
      <c r="W143" s="111">
        <f t="shared" si="15"/>
        <v>-1493341.2371134032</v>
      </c>
      <c r="X143" s="112">
        <f t="shared" si="16"/>
        <v>0.84711968337730859</v>
      </c>
      <c r="Y143" s="113">
        <f t="shared" ref="Y143:Z143" si="166">Y142+1</f>
        <v>45780</v>
      </c>
      <c r="Z143" s="114">
        <f t="shared" si="166"/>
        <v>45780</v>
      </c>
      <c r="AA143" s="39"/>
      <c r="AB143" s="39"/>
      <c r="AC143" s="39"/>
      <c r="AD143" s="39"/>
      <c r="AE143" s="39"/>
      <c r="AF143" s="39"/>
      <c r="AG143" s="39"/>
    </row>
    <row r="144" spans="1:33" ht="16.5" customHeight="1">
      <c r="A144" s="39"/>
      <c r="B144" s="50"/>
      <c r="C144" s="95">
        <v>124</v>
      </c>
      <c r="D144" s="96">
        <v>1</v>
      </c>
      <c r="E144" s="97">
        <f t="shared" si="8"/>
        <v>5</v>
      </c>
      <c r="F144" s="98">
        <f t="shared" si="18"/>
        <v>45781</v>
      </c>
      <c r="G144" s="99" t="str">
        <f t="shared" si="9"/>
        <v>Sun</v>
      </c>
      <c r="H144" s="100"/>
      <c r="I144" s="101"/>
      <c r="J144" s="135">
        <v>107950</v>
      </c>
      <c r="K144" s="136"/>
      <c r="L144" s="104">
        <f t="shared" si="162"/>
        <v>103092.78350515464</v>
      </c>
      <c r="M144" s="105">
        <f t="shared" si="11"/>
        <v>4857.2164948453574</v>
      </c>
      <c r="N144" s="106">
        <f t="shared" si="12"/>
        <v>1.047115</v>
      </c>
      <c r="O144" s="134"/>
      <c r="P144" s="104">
        <v>34995</v>
      </c>
      <c r="Q144" s="104">
        <f t="shared" si="164"/>
        <v>355550</v>
      </c>
      <c r="R144" s="108">
        <f t="shared" si="13"/>
        <v>320555</v>
      </c>
      <c r="S144" s="109">
        <f t="shared" si="14"/>
        <v>10.160022860408629</v>
      </c>
      <c r="T144" s="131"/>
      <c r="U144" s="104">
        <f t="shared" si="21"/>
        <v>9871134.0206185579</v>
      </c>
      <c r="V144" s="104">
        <f t="shared" si="22"/>
        <v>8382650</v>
      </c>
      <c r="W144" s="111">
        <f t="shared" si="15"/>
        <v>-1488484.0206185579</v>
      </c>
      <c r="X144" s="112">
        <f t="shared" si="16"/>
        <v>0.8492084073107049</v>
      </c>
      <c r="Y144" s="113">
        <f t="shared" ref="Y144:Z144" si="167">Y143+1</f>
        <v>45781</v>
      </c>
      <c r="Z144" s="114">
        <f t="shared" si="167"/>
        <v>45781</v>
      </c>
      <c r="AA144" s="39"/>
      <c r="AB144" s="39"/>
      <c r="AC144" s="39"/>
      <c r="AD144" s="39"/>
      <c r="AE144" s="39"/>
      <c r="AF144" s="39"/>
      <c r="AG144" s="39"/>
    </row>
    <row r="145" spans="1:33" ht="16.5" customHeight="1">
      <c r="A145" s="39"/>
      <c r="B145" s="50"/>
      <c r="C145" s="95">
        <v>125</v>
      </c>
      <c r="D145" s="96">
        <v>0</v>
      </c>
      <c r="E145" s="97">
        <f t="shared" si="8"/>
        <v>5</v>
      </c>
      <c r="F145" s="98">
        <f t="shared" si="18"/>
        <v>45782</v>
      </c>
      <c r="G145" s="99" t="str">
        <f t="shared" si="9"/>
        <v>Mon</v>
      </c>
      <c r="H145" s="100"/>
      <c r="I145" s="101"/>
      <c r="J145" s="135"/>
      <c r="K145" s="136"/>
      <c r="L145" s="104">
        <f t="shared" si="162"/>
        <v>0</v>
      </c>
      <c r="M145" s="105">
        <f t="shared" si="11"/>
        <v>0</v>
      </c>
      <c r="N145" s="106" t="str">
        <f t="shared" si="12"/>
        <v>¥0</v>
      </c>
      <c r="O145" s="134"/>
      <c r="P145" s="104">
        <v>0</v>
      </c>
      <c r="Q145" s="104">
        <f t="shared" si="164"/>
        <v>0</v>
      </c>
      <c r="R145" s="108">
        <f t="shared" si="13"/>
        <v>0</v>
      </c>
      <c r="S145" s="109">
        <f t="shared" si="14"/>
        <v>0</v>
      </c>
      <c r="T145" s="131"/>
      <c r="U145" s="104">
        <f t="shared" si="21"/>
        <v>0</v>
      </c>
      <c r="V145" s="104">
        <f t="shared" si="22"/>
        <v>0</v>
      </c>
      <c r="W145" s="111">
        <f t="shared" si="15"/>
        <v>0</v>
      </c>
      <c r="X145" s="112">
        <f t="shared" si="16"/>
        <v>0</v>
      </c>
      <c r="Y145" s="113">
        <f t="shared" ref="Y145:Z145" si="168">Y144+1</f>
        <v>45782</v>
      </c>
      <c r="Z145" s="114">
        <f t="shared" si="168"/>
        <v>45782</v>
      </c>
      <c r="AA145" s="39"/>
      <c r="AB145" s="39"/>
      <c r="AC145" s="39"/>
      <c r="AD145" s="39"/>
      <c r="AE145" s="39"/>
      <c r="AF145" s="39"/>
      <c r="AG145" s="39"/>
    </row>
    <row r="146" spans="1:33" ht="16.5" customHeight="1">
      <c r="A146" s="39"/>
      <c r="B146" s="50"/>
      <c r="C146" s="95">
        <v>126</v>
      </c>
      <c r="D146" s="96">
        <v>0</v>
      </c>
      <c r="E146" s="97">
        <f t="shared" si="8"/>
        <v>5</v>
      </c>
      <c r="F146" s="98">
        <f t="shared" si="18"/>
        <v>45783</v>
      </c>
      <c r="G146" s="99" t="str">
        <f t="shared" si="9"/>
        <v>Tue</v>
      </c>
      <c r="H146" s="100"/>
      <c r="I146" s="101"/>
      <c r="J146" s="135"/>
      <c r="K146" s="136"/>
      <c r="L146" s="104">
        <f t="shared" si="162"/>
        <v>0</v>
      </c>
      <c r="M146" s="105">
        <f t="shared" si="11"/>
        <v>0</v>
      </c>
      <c r="N146" s="106" t="str">
        <f t="shared" si="12"/>
        <v>¥0</v>
      </c>
      <c r="O146" s="134"/>
      <c r="P146" s="104">
        <v>0</v>
      </c>
      <c r="Q146" s="104">
        <f t="shared" si="164"/>
        <v>0</v>
      </c>
      <c r="R146" s="108">
        <f t="shared" si="13"/>
        <v>0</v>
      </c>
      <c r="S146" s="109">
        <f t="shared" si="14"/>
        <v>0</v>
      </c>
      <c r="T146" s="131"/>
      <c r="U146" s="104">
        <f t="shared" si="21"/>
        <v>0</v>
      </c>
      <c r="V146" s="104">
        <f t="shared" si="22"/>
        <v>0</v>
      </c>
      <c r="W146" s="111">
        <f t="shared" si="15"/>
        <v>0</v>
      </c>
      <c r="X146" s="112">
        <f t="shared" si="16"/>
        <v>0</v>
      </c>
      <c r="Y146" s="113">
        <f t="shared" ref="Y146:Z146" si="169">Y145+1</f>
        <v>45783</v>
      </c>
      <c r="Z146" s="114">
        <f t="shared" si="169"/>
        <v>45783</v>
      </c>
      <c r="AA146" s="39"/>
      <c r="AB146" s="39"/>
      <c r="AC146" s="39"/>
      <c r="AD146" s="39"/>
      <c r="AE146" s="39"/>
      <c r="AF146" s="39"/>
      <c r="AG146" s="39"/>
    </row>
    <row r="147" spans="1:33" ht="16.5" customHeight="1">
      <c r="A147" s="39"/>
      <c r="B147" s="50"/>
      <c r="C147" s="95">
        <v>127</v>
      </c>
      <c r="D147" s="96">
        <v>1</v>
      </c>
      <c r="E147" s="97">
        <f t="shared" si="8"/>
        <v>5</v>
      </c>
      <c r="F147" s="98">
        <f t="shared" si="18"/>
        <v>45784</v>
      </c>
      <c r="G147" s="99" t="str">
        <f t="shared" si="9"/>
        <v>Wed</v>
      </c>
      <c r="H147" s="100"/>
      <c r="I147" s="101"/>
      <c r="J147" s="135">
        <v>81500</v>
      </c>
      <c r="K147" s="136"/>
      <c r="L147" s="104">
        <f t="shared" si="162"/>
        <v>103092.78350515464</v>
      </c>
      <c r="M147" s="105">
        <f t="shared" si="11"/>
        <v>-21592.783505154643</v>
      </c>
      <c r="N147" s="106">
        <f t="shared" si="12"/>
        <v>0.79054999999999997</v>
      </c>
      <c r="O147" s="133"/>
      <c r="P147" s="104">
        <v>2860</v>
      </c>
      <c r="Q147" s="104">
        <f t="shared" si="164"/>
        <v>437050</v>
      </c>
      <c r="R147" s="108">
        <f t="shared" si="13"/>
        <v>434190</v>
      </c>
      <c r="S147" s="109">
        <f t="shared" si="14"/>
        <v>152.81468531468531</v>
      </c>
      <c r="T147" s="125"/>
      <c r="U147" s="104">
        <f t="shared" si="21"/>
        <v>9974226.8041237127</v>
      </c>
      <c r="V147" s="104">
        <f t="shared" si="22"/>
        <v>8464150</v>
      </c>
      <c r="W147" s="111">
        <f t="shared" si="15"/>
        <v>-1510076.8041237127</v>
      </c>
      <c r="X147" s="112">
        <f t="shared" si="16"/>
        <v>0.84860211886304893</v>
      </c>
      <c r="Y147" s="113">
        <f t="shared" ref="Y147:Z147" si="170">Y146+1</f>
        <v>45784</v>
      </c>
      <c r="Z147" s="114">
        <f t="shared" si="170"/>
        <v>45784</v>
      </c>
      <c r="AA147" s="39"/>
      <c r="AB147" s="39"/>
      <c r="AC147" s="39"/>
      <c r="AD147" s="39"/>
      <c r="AE147" s="39"/>
      <c r="AF147" s="39"/>
      <c r="AG147" s="39"/>
    </row>
    <row r="148" spans="1:33" ht="16.5" customHeight="1">
      <c r="A148" s="39"/>
      <c r="B148" s="50"/>
      <c r="C148" s="95">
        <v>128</v>
      </c>
      <c r="D148" s="96">
        <v>1</v>
      </c>
      <c r="E148" s="97">
        <f t="shared" si="8"/>
        <v>5</v>
      </c>
      <c r="F148" s="98">
        <f t="shared" si="18"/>
        <v>45785</v>
      </c>
      <c r="G148" s="99" t="str">
        <f t="shared" si="9"/>
        <v>Thu</v>
      </c>
      <c r="H148" s="100"/>
      <c r="I148" s="101"/>
      <c r="J148" s="135">
        <v>94350</v>
      </c>
      <c r="K148" s="136"/>
      <c r="L148" s="104">
        <f t="shared" si="162"/>
        <v>103092.78350515464</v>
      </c>
      <c r="M148" s="105">
        <f t="shared" si="11"/>
        <v>-8742.7835051546426</v>
      </c>
      <c r="N148" s="106">
        <f t="shared" si="12"/>
        <v>0.91519499999999998</v>
      </c>
      <c r="O148" s="133"/>
      <c r="P148" s="104">
        <v>23745</v>
      </c>
      <c r="Q148" s="104">
        <f t="shared" si="164"/>
        <v>531400</v>
      </c>
      <c r="R148" s="108">
        <f t="shared" si="13"/>
        <v>507655</v>
      </c>
      <c r="S148" s="109">
        <f t="shared" si="14"/>
        <v>22.379448304906298</v>
      </c>
      <c r="T148" s="125"/>
      <c r="U148" s="104">
        <f t="shared" si="21"/>
        <v>10077319.587628867</v>
      </c>
      <c r="V148" s="104">
        <f t="shared" si="22"/>
        <v>8558500</v>
      </c>
      <c r="W148" s="111">
        <f t="shared" si="15"/>
        <v>-1518819.5876288675</v>
      </c>
      <c r="X148" s="112">
        <f t="shared" si="16"/>
        <v>0.84928337595907921</v>
      </c>
      <c r="Y148" s="113">
        <f t="shared" ref="Y148:Z148" si="171">Y147+1</f>
        <v>45785</v>
      </c>
      <c r="Z148" s="114">
        <f t="shared" si="171"/>
        <v>45785</v>
      </c>
      <c r="AA148" s="39"/>
      <c r="AB148" s="39"/>
      <c r="AC148" s="39"/>
      <c r="AD148" s="39"/>
      <c r="AE148" s="39"/>
      <c r="AF148" s="39"/>
      <c r="AG148" s="39"/>
    </row>
    <row r="149" spans="1:33" ht="16.5" customHeight="1">
      <c r="A149" s="39"/>
      <c r="B149" s="50"/>
      <c r="C149" s="95">
        <v>129</v>
      </c>
      <c r="D149" s="96">
        <v>1</v>
      </c>
      <c r="E149" s="97">
        <f t="shared" si="8"/>
        <v>5</v>
      </c>
      <c r="F149" s="98">
        <f t="shared" si="18"/>
        <v>45786</v>
      </c>
      <c r="G149" s="99" t="str">
        <f t="shared" si="9"/>
        <v>Fri</v>
      </c>
      <c r="H149" s="100"/>
      <c r="I149" s="101"/>
      <c r="J149" s="135">
        <v>103450</v>
      </c>
      <c r="K149" s="136"/>
      <c r="L149" s="104">
        <f t="shared" si="162"/>
        <v>103092.78350515464</v>
      </c>
      <c r="M149" s="105">
        <f t="shared" si="11"/>
        <v>357.21649484535737</v>
      </c>
      <c r="N149" s="106">
        <f t="shared" si="12"/>
        <v>1.0034650000000001</v>
      </c>
      <c r="O149" s="133"/>
      <c r="P149" s="104">
        <v>18175</v>
      </c>
      <c r="Q149" s="104">
        <f t="shared" si="164"/>
        <v>634850</v>
      </c>
      <c r="R149" s="108">
        <f t="shared" si="13"/>
        <v>616675</v>
      </c>
      <c r="S149" s="109">
        <f t="shared" si="14"/>
        <v>34.92984869325997</v>
      </c>
      <c r="T149" s="125"/>
      <c r="U149" s="104">
        <f t="shared" si="21"/>
        <v>10180412.371134022</v>
      </c>
      <c r="V149" s="104">
        <f t="shared" si="22"/>
        <v>8661950</v>
      </c>
      <c r="W149" s="111">
        <f t="shared" si="15"/>
        <v>-1518462.3711340223</v>
      </c>
      <c r="X149" s="112">
        <f t="shared" si="16"/>
        <v>0.85084470886075936</v>
      </c>
      <c r="Y149" s="113">
        <f t="shared" ref="Y149:Z149" si="172">Y148+1</f>
        <v>45786</v>
      </c>
      <c r="Z149" s="114">
        <f t="shared" si="172"/>
        <v>45786</v>
      </c>
      <c r="AA149" s="39"/>
      <c r="AB149" s="39"/>
      <c r="AC149" s="39"/>
      <c r="AD149" s="39"/>
      <c r="AE149" s="39"/>
      <c r="AF149" s="39"/>
      <c r="AG149" s="39"/>
    </row>
    <row r="150" spans="1:33" ht="16.5" customHeight="1">
      <c r="A150" s="39"/>
      <c r="B150" s="50"/>
      <c r="C150" s="95">
        <v>130</v>
      </c>
      <c r="D150" s="96">
        <v>1</v>
      </c>
      <c r="E150" s="97">
        <f t="shared" si="8"/>
        <v>5</v>
      </c>
      <c r="F150" s="98">
        <f t="shared" si="18"/>
        <v>45787</v>
      </c>
      <c r="G150" s="99" t="str">
        <f t="shared" si="9"/>
        <v>Sat</v>
      </c>
      <c r="H150" s="100"/>
      <c r="I150" s="101"/>
      <c r="J150" s="135">
        <v>72250</v>
      </c>
      <c r="K150" s="136"/>
      <c r="L150" s="104">
        <f t="shared" si="162"/>
        <v>103092.78350515464</v>
      </c>
      <c r="M150" s="105">
        <f t="shared" si="11"/>
        <v>-30842.783505154643</v>
      </c>
      <c r="N150" s="106">
        <f t="shared" si="12"/>
        <v>0.70082500000000003</v>
      </c>
      <c r="O150" s="133"/>
      <c r="P150" s="104">
        <v>28564</v>
      </c>
      <c r="Q150" s="104">
        <f t="shared" si="164"/>
        <v>707100</v>
      </c>
      <c r="R150" s="108">
        <f t="shared" si="13"/>
        <v>678536</v>
      </c>
      <c r="S150" s="109">
        <f t="shared" si="14"/>
        <v>24.754936283433693</v>
      </c>
      <c r="T150" s="125"/>
      <c r="U150" s="104">
        <f t="shared" si="21"/>
        <v>10283505.154639177</v>
      </c>
      <c r="V150" s="104">
        <f t="shared" si="22"/>
        <v>8734200</v>
      </c>
      <c r="W150" s="111">
        <f t="shared" si="15"/>
        <v>-1549305.154639177</v>
      </c>
      <c r="X150" s="112">
        <f t="shared" si="16"/>
        <v>0.84934075187969915</v>
      </c>
      <c r="Y150" s="113">
        <f t="shared" ref="Y150:Z150" si="173">Y149+1</f>
        <v>45787</v>
      </c>
      <c r="Z150" s="114">
        <f t="shared" si="173"/>
        <v>45787</v>
      </c>
      <c r="AA150" s="39"/>
      <c r="AB150" s="39"/>
      <c r="AC150" s="39"/>
      <c r="AD150" s="39"/>
      <c r="AE150" s="39"/>
      <c r="AF150" s="39"/>
      <c r="AG150" s="39"/>
    </row>
    <row r="151" spans="1:33" ht="16.5" customHeight="1">
      <c r="A151" s="39"/>
      <c r="B151" s="50"/>
      <c r="C151" s="95">
        <v>131</v>
      </c>
      <c r="D151" s="96">
        <v>1</v>
      </c>
      <c r="E151" s="97">
        <f t="shared" si="8"/>
        <v>5</v>
      </c>
      <c r="F151" s="98">
        <f t="shared" si="18"/>
        <v>45788</v>
      </c>
      <c r="G151" s="99" t="str">
        <f t="shared" si="9"/>
        <v>Sun</v>
      </c>
      <c r="H151" s="100"/>
      <c r="I151" s="101"/>
      <c r="J151" s="135">
        <v>83950</v>
      </c>
      <c r="K151" s="136"/>
      <c r="L151" s="104">
        <f t="shared" si="162"/>
        <v>103092.78350515464</v>
      </c>
      <c r="M151" s="105">
        <f t="shared" si="11"/>
        <v>-19142.783505154643</v>
      </c>
      <c r="N151" s="106">
        <f t="shared" si="12"/>
        <v>0.81431500000000001</v>
      </c>
      <c r="O151" s="134"/>
      <c r="P151" s="104">
        <v>43891</v>
      </c>
      <c r="Q151" s="104">
        <f t="shared" si="164"/>
        <v>791050</v>
      </c>
      <c r="R151" s="108">
        <f t="shared" si="13"/>
        <v>747159</v>
      </c>
      <c r="S151" s="109">
        <f t="shared" si="14"/>
        <v>18.023057118771501</v>
      </c>
      <c r="T151" s="131"/>
      <c r="U151" s="104">
        <f t="shared" si="21"/>
        <v>10386597.938144332</v>
      </c>
      <c r="V151" s="104">
        <f t="shared" si="22"/>
        <v>8818150</v>
      </c>
      <c r="W151" s="111">
        <f t="shared" si="15"/>
        <v>-1568447.9381443318</v>
      </c>
      <c r="X151" s="112">
        <f t="shared" si="16"/>
        <v>0.84899310173697251</v>
      </c>
      <c r="Y151" s="113">
        <f t="shared" ref="Y151:Z151" si="174">Y150+1</f>
        <v>45788</v>
      </c>
      <c r="Z151" s="114">
        <f t="shared" si="174"/>
        <v>45788</v>
      </c>
      <c r="AA151" s="39"/>
      <c r="AB151" s="39"/>
      <c r="AC151" s="39"/>
      <c r="AD151" s="39"/>
      <c r="AE151" s="39"/>
      <c r="AF151" s="39"/>
      <c r="AG151" s="39"/>
    </row>
    <row r="152" spans="1:33" ht="16.5" customHeight="1">
      <c r="A152" s="39"/>
      <c r="B152" s="50"/>
      <c r="C152" s="95">
        <v>132</v>
      </c>
      <c r="D152" s="96">
        <v>0</v>
      </c>
      <c r="E152" s="97">
        <f t="shared" si="8"/>
        <v>5</v>
      </c>
      <c r="F152" s="98">
        <f t="shared" si="18"/>
        <v>45789</v>
      </c>
      <c r="G152" s="99" t="str">
        <f t="shared" si="9"/>
        <v>Mon</v>
      </c>
      <c r="H152" s="100"/>
      <c r="I152" s="101"/>
      <c r="J152" s="135"/>
      <c r="K152" s="136"/>
      <c r="L152" s="104">
        <f t="shared" si="162"/>
        <v>0</v>
      </c>
      <c r="M152" s="105">
        <f t="shared" si="11"/>
        <v>0</v>
      </c>
      <c r="N152" s="106" t="str">
        <f t="shared" si="12"/>
        <v>¥0</v>
      </c>
      <c r="O152" s="133"/>
      <c r="P152" s="104">
        <v>22286</v>
      </c>
      <c r="Q152" s="104">
        <f t="shared" si="164"/>
        <v>0</v>
      </c>
      <c r="R152" s="108">
        <f t="shared" si="13"/>
        <v>0</v>
      </c>
      <c r="S152" s="109">
        <f t="shared" si="14"/>
        <v>0</v>
      </c>
      <c r="T152" s="125"/>
      <c r="U152" s="104">
        <f t="shared" si="21"/>
        <v>0</v>
      </c>
      <c r="V152" s="104">
        <f t="shared" si="22"/>
        <v>0</v>
      </c>
      <c r="W152" s="111">
        <f t="shared" si="15"/>
        <v>0</v>
      </c>
      <c r="X152" s="112">
        <f t="shared" si="16"/>
        <v>0</v>
      </c>
      <c r="Y152" s="113">
        <f t="shared" ref="Y152:Z152" si="175">Y151+1</f>
        <v>45789</v>
      </c>
      <c r="Z152" s="114">
        <f t="shared" si="175"/>
        <v>45789</v>
      </c>
      <c r="AA152" s="39"/>
      <c r="AB152" s="39"/>
      <c r="AC152" s="39"/>
      <c r="AD152" s="39"/>
      <c r="AE152" s="39"/>
      <c r="AF152" s="39"/>
      <c r="AG152" s="39"/>
    </row>
    <row r="153" spans="1:33" ht="16.5" customHeight="1">
      <c r="A153" s="39"/>
      <c r="B153" s="50"/>
      <c r="C153" s="95">
        <v>133</v>
      </c>
      <c r="D153" s="96">
        <v>1</v>
      </c>
      <c r="E153" s="97">
        <f t="shared" si="8"/>
        <v>5</v>
      </c>
      <c r="F153" s="98">
        <f t="shared" si="18"/>
        <v>45790</v>
      </c>
      <c r="G153" s="99" t="str">
        <f t="shared" si="9"/>
        <v>Tue</v>
      </c>
      <c r="H153" s="100"/>
      <c r="I153" s="101"/>
      <c r="J153" s="135">
        <v>65000</v>
      </c>
      <c r="K153" s="136"/>
      <c r="L153" s="104">
        <f t="shared" si="162"/>
        <v>103092.78350515464</v>
      </c>
      <c r="M153" s="105">
        <f t="shared" si="11"/>
        <v>-38092.783505154643</v>
      </c>
      <c r="N153" s="106">
        <f t="shared" si="12"/>
        <v>0.63049999999999995</v>
      </c>
      <c r="O153" s="133"/>
      <c r="P153" s="104">
        <v>0</v>
      </c>
      <c r="Q153" s="104">
        <f t="shared" si="164"/>
        <v>856050</v>
      </c>
      <c r="R153" s="108">
        <f t="shared" si="13"/>
        <v>856050</v>
      </c>
      <c r="S153" s="109" t="e">
        <f t="shared" si="14"/>
        <v>#DIV/0!</v>
      </c>
      <c r="T153" s="125"/>
      <c r="U153" s="104">
        <f t="shared" si="21"/>
        <v>10489690.721649487</v>
      </c>
      <c r="V153" s="104">
        <f t="shared" si="22"/>
        <v>8883150</v>
      </c>
      <c r="W153" s="111">
        <f t="shared" si="15"/>
        <v>-1606540.7216494866</v>
      </c>
      <c r="X153" s="112">
        <f t="shared" si="16"/>
        <v>0.84684574938574919</v>
      </c>
      <c r="Y153" s="113">
        <f t="shared" ref="Y153:Z153" si="176">Y152+1</f>
        <v>45790</v>
      </c>
      <c r="Z153" s="114">
        <f t="shared" si="176"/>
        <v>45790</v>
      </c>
      <c r="AA153" s="39"/>
      <c r="AB153" s="39"/>
      <c r="AC153" s="39"/>
      <c r="AD153" s="39"/>
      <c r="AE153" s="39"/>
      <c r="AF153" s="39"/>
      <c r="AG153" s="39"/>
    </row>
    <row r="154" spans="1:33" ht="16.5" customHeight="1">
      <c r="A154" s="39"/>
      <c r="B154" s="50"/>
      <c r="C154" s="95">
        <v>134</v>
      </c>
      <c r="D154" s="96">
        <v>1</v>
      </c>
      <c r="E154" s="97">
        <f t="shared" si="8"/>
        <v>5</v>
      </c>
      <c r="F154" s="98">
        <f t="shared" si="18"/>
        <v>45791</v>
      </c>
      <c r="G154" s="99" t="str">
        <f t="shared" si="9"/>
        <v>Wed</v>
      </c>
      <c r="H154" s="100"/>
      <c r="I154" s="101"/>
      <c r="J154" s="135">
        <v>116250</v>
      </c>
      <c r="K154" s="136"/>
      <c r="L154" s="104">
        <f t="shared" si="162"/>
        <v>103092.78350515464</v>
      </c>
      <c r="M154" s="105">
        <f t="shared" si="11"/>
        <v>13157.216494845357</v>
      </c>
      <c r="N154" s="106">
        <f t="shared" si="12"/>
        <v>1.1276249999999999</v>
      </c>
      <c r="O154" s="133"/>
      <c r="P154" s="104">
        <v>25499</v>
      </c>
      <c r="Q154" s="104">
        <f t="shared" si="164"/>
        <v>972300</v>
      </c>
      <c r="R154" s="108">
        <f t="shared" si="13"/>
        <v>946801</v>
      </c>
      <c r="S154" s="109">
        <f t="shared" si="14"/>
        <v>38.130907094395859</v>
      </c>
      <c r="T154" s="125"/>
      <c r="U154" s="104">
        <f t="shared" si="21"/>
        <v>10592783.505154641</v>
      </c>
      <c r="V154" s="104">
        <f t="shared" si="22"/>
        <v>8999400</v>
      </c>
      <c r="W154" s="111">
        <f t="shared" si="15"/>
        <v>-1593383.5051546413</v>
      </c>
      <c r="X154" s="112">
        <f t="shared" si="16"/>
        <v>0.84957839416058378</v>
      </c>
      <c r="Y154" s="113">
        <f t="shared" ref="Y154:Z154" si="177">Y153+1</f>
        <v>45791</v>
      </c>
      <c r="Z154" s="114">
        <f t="shared" si="177"/>
        <v>45791</v>
      </c>
      <c r="AA154" s="39"/>
      <c r="AB154" s="39"/>
      <c r="AC154" s="39"/>
      <c r="AD154" s="39"/>
      <c r="AE154" s="39"/>
      <c r="AF154" s="39"/>
      <c r="AG154" s="39"/>
    </row>
    <row r="155" spans="1:33" ht="16.5" customHeight="1">
      <c r="A155" s="39"/>
      <c r="B155" s="50"/>
      <c r="C155" s="95">
        <v>135</v>
      </c>
      <c r="D155" s="96">
        <v>1</v>
      </c>
      <c r="E155" s="97">
        <f t="shared" si="8"/>
        <v>5</v>
      </c>
      <c r="F155" s="98">
        <f t="shared" si="18"/>
        <v>45792</v>
      </c>
      <c r="G155" s="99" t="str">
        <f t="shared" si="9"/>
        <v>Thu</v>
      </c>
      <c r="H155" s="100"/>
      <c r="I155" s="101"/>
      <c r="J155" s="135">
        <v>91800</v>
      </c>
      <c r="K155" s="136"/>
      <c r="L155" s="104">
        <f t="shared" si="162"/>
        <v>103092.78350515464</v>
      </c>
      <c r="M155" s="105">
        <f t="shared" si="11"/>
        <v>-11292.783505154643</v>
      </c>
      <c r="N155" s="106">
        <f t="shared" si="12"/>
        <v>0.89045999999999992</v>
      </c>
      <c r="O155" s="133"/>
      <c r="P155" s="104">
        <v>32399</v>
      </c>
      <c r="Q155" s="104">
        <f t="shared" si="164"/>
        <v>1064100</v>
      </c>
      <c r="R155" s="108">
        <f t="shared" si="13"/>
        <v>1031701</v>
      </c>
      <c r="S155" s="109">
        <f t="shared" si="14"/>
        <v>32.84360628414457</v>
      </c>
      <c r="T155" s="125"/>
      <c r="U155" s="104">
        <f t="shared" si="21"/>
        <v>10695876.288659796</v>
      </c>
      <c r="V155" s="104">
        <f t="shared" si="22"/>
        <v>9091200</v>
      </c>
      <c r="W155" s="111">
        <f t="shared" si="15"/>
        <v>-1604676.2886597961</v>
      </c>
      <c r="X155" s="112">
        <f t="shared" si="16"/>
        <v>0.84997243373493958</v>
      </c>
      <c r="Y155" s="113">
        <f t="shared" ref="Y155:Z155" si="178">Y154+1</f>
        <v>45792</v>
      </c>
      <c r="Z155" s="114">
        <f t="shared" si="178"/>
        <v>45792</v>
      </c>
      <c r="AA155" s="39"/>
      <c r="AB155" s="39"/>
      <c r="AC155" s="39"/>
      <c r="AD155" s="39"/>
      <c r="AE155" s="39"/>
      <c r="AF155" s="39"/>
      <c r="AG155" s="39"/>
    </row>
    <row r="156" spans="1:33" ht="16.5" customHeight="1">
      <c r="A156" s="39"/>
      <c r="B156" s="50"/>
      <c r="C156" s="95">
        <v>136</v>
      </c>
      <c r="D156" s="96">
        <v>1</v>
      </c>
      <c r="E156" s="97">
        <f t="shared" si="8"/>
        <v>5</v>
      </c>
      <c r="F156" s="98">
        <f t="shared" si="18"/>
        <v>45793</v>
      </c>
      <c r="G156" s="99" t="str">
        <f t="shared" si="9"/>
        <v>Fri</v>
      </c>
      <c r="H156" s="100"/>
      <c r="I156" s="101"/>
      <c r="J156" s="135">
        <v>112350</v>
      </c>
      <c r="K156" s="136"/>
      <c r="L156" s="104">
        <f t="shared" si="162"/>
        <v>103092.78350515464</v>
      </c>
      <c r="M156" s="105">
        <f t="shared" si="11"/>
        <v>9257.2164948453574</v>
      </c>
      <c r="N156" s="106">
        <f t="shared" si="12"/>
        <v>1.0897950000000001</v>
      </c>
      <c r="O156" s="133"/>
      <c r="P156" s="104">
        <v>17486</v>
      </c>
      <c r="Q156" s="104">
        <f t="shared" si="164"/>
        <v>1176450</v>
      </c>
      <c r="R156" s="108">
        <f t="shared" si="13"/>
        <v>1158964</v>
      </c>
      <c r="S156" s="109">
        <f t="shared" si="14"/>
        <v>67.279537916047119</v>
      </c>
      <c r="T156" s="125"/>
      <c r="U156" s="104">
        <f t="shared" si="21"/>
        <v>10798969.072164951</v>
      </c>
      <c r="V156" s="104">
        <f t="shared" si="22"/>
        <v>9203550</v>
      </c>
      <c r="W156" s="111">
        <f t="shared" si="15"/>
        <v>-1595419.0721649509</v>
      </c>
      <c r="X156" s="112">
        <f t="shared" si="16"/>
        <v>0.85226190930787571</v>
      </c>
      <c r="Y156" s="113">
        <f t="shared" ref="Y156:Z156" si="179">Y155+1</f>
        <v>45793</v>
      </c>
      <c r="Z156" s="114">
        <f t="shared" si="179"/>
        <v>45793</v>
      </c>
      <c r="AA156" s="39"/>
      <c r="AB156" s="39"/>
      <c r="AC156" s="39"/>
      <c r="AD156" s="39"/>
      <c r="AE156" s="39"/>
      <c r="AF156" s="39"/>
      <c r="AG156" s="39"/>
    </row>
    <row r="157" spans="1:33" ht="16.5" customHeight="1">
      <c r="A157" s="39"/>
      <c r="B157" s="50"/>
      <c r="C157" s="95">
        <v>137</v>
      </c>
      <c r="D157" s="96">
        <v>1</v>
      </c>
      <c r="E157" s="97">
        <f t="shared" si="8"/>
        <v>5</v>
      </c>
      <c r="F157" s="98">
        <f t="shared" si="18"/>
        <v>45794</v>
      </c>
      <c r="G157" s="99" t="str">
        <f t="shared" si="9"/>
        <v>Sat</v>
      </c>
      <c r="H157" s="100"/>
      <c r="I157" s="101"/>
      <c r="J157" s="135">
        <v>24250</v>
      </c>
      <c r="K157" s="136"/>
      <c r="L157" s="104">
        <f t="shared" si="162"/>
        <v>103092.78350515464</v>
      </c>
      <c r="M157" s="105">
        <f t="shared" si="11"/>
        <v>-78842.783505154643</v>
      </c>
      <c r="N157" s="106">
        <f t="shared" si="12"/>
        <v>0.23522499999999999</v>
      </c>
      <c r="O157" s="133"/>
      <c r="P157" s="104">
        <v>2760</v>
      </c>
      <c r="Q157" s="104">
        <f t="shared" si="164"/>
        <v>1200700</v>
      </c>
      <c r="R157" s="108">
        <f t="shared" si="13"/>
        <v>1197940</v>
      </c>
      <c r="S157" s="109">
        <f t="shared" si="14"/>
        <v>435.036231884058</v>
      </c>
      <c r="T157" s="125"/>
      <c r="U157" s="104">
        <f t="shared" si="21"/>
        <v>10902061.855670106</v>
      </c>
      <c r="V157" s="104">
        <f t="shared" si="22"/>
        <v>9227800</v>
      </c>
      <c r="W157" s="111">
        <f t="shared" si="15"/>
        <v>-1674261.8556701057</v>
      </c>
      <c r="X157" s="112">
        <f t="shared" si="16"/>
        <v>0.84642704491725751</v>
      </c>
      <c r="Y157" s="113">
        <f t="shared" ref="Y157:Z157" si="180">Y156+1</f>
        <v>45794</v>
      </c>
      <c r="Z157" s="114">
        <f t="shared" si="180"/>
        <v>45794</v>
      </c>
      <c r="AA157" s="39"/>
      <c r="AB157" s="39"/>
      <c r="AC157" s="39"/>
      <c r="AD157" s="39"/>
      <c r="AE157" s="39"/>
      <c r="AF157" s="39"/>
      <c r="AG157" s="39"/>
    </row>
    <row r="158" spans="1:33" ht="16.5" customHeight="1">
      <c r="A158" s="39"/>
      <c r="B158" s="50"/>
      <c r="C158" s="95">
        <v>138</v>
      </c>
      <c r="D158" s="96">
        <v>1</v>
      </c>
      <c r="E158" s="97">
        <f t="shared" si="8"/>
        <v>5</v>
      </c>
      <c r="F158" s="98">
        <f t="shared" si="18"/>
        <v>45795</v>
      </c>
      <c r="G158" s="99" t="str">
        <f t="shared" si="9"/>
        <v>Sun</v>
      </c>
      <c r="H158" s="100"/>
      <c r="I158" s="101"/>
      <c r="J158" s="135">
        <v>143900</v>
      </c>
      <c r="K158" s="136"/>
      <c r="L158" s="104">
        <f t="shared" si="162"/>
        <v>103092.78350515464</v>
      </c>
      <c r="M158" s="105">
        <f t="shared" si="11"/>
        <v>40807.216494845357</v>
      </c>
      <c r="N158" s="106">
        <f t="shared" si="12"/>
        <v>1.3958299999999999</v>
      </c>
      <c r="O158" s="134"/>
      <c r="P158" s="104">
        <v>0</v>
      </c>
      <c r="Q158" s="104">
        <f t="shared" si="164"/>
        <v>1344600</v>
      </c>
      <c r="R158" s="108">
        <f t="shared" si="13"/>
        <v>1344600</v>
      </c>
      <c r="S158" s="109" t="e">
        <f t="shared" si="14"/>
        <v>#DIV/0!</v>
      </c>
      <c r="T158" s="131"/>
      <c r="U158" s="104">
        <f t="shared" si="21"/>
        <v>11005154.63917526</v>
      </c>
      <c r="V158" s="104">
        <f t="shared" si="22"/>
        <v>9371700</v>
      </c>
      <c r="W158" s="111">
        <f t="shared" si="15"/>
        <v>-1633454.6391752604</v>
      </c>
      <c r="X158" s="112">
        <f t="shared" si="16"/>
        <v>0.85157367681498808</v>
      </c>
      <c r="Y158" s="113">
        <f t="shared" ref="Y158:Z158" si="181">Y157+1</f>
        <v>45795</v>
      </c>
      <c r="Z158" s="114">
        <f t="shared" si="181"/>
        <v>45795</v>
      </c>
      <c r="AA158" s="39"/>
      <c r="AB158" s="39"/>
      <c r="AC158" s="39"/>
      <c r="AD158" s="39"/>
      <c r="AE158" s="39"/>
      <c r="AF158" s="39"/>
      <c r="AG158" s="39"/>
    </row>
    <row r="159" spans="1:33" ht="16.5" customHeight="1">
      <c r="A159" s="39"/>
      <c r="B159" s="50"/>
      <c r="C159" s="95">
        <v>139</v>
      </c>
      <c r="D159" s="96">
        <v>0</v>
      </c>
      <c r="E159" s="97">
        <f t="shared" si="8"/>
        <v>5</v>
      </c>
      <c r="F159" s="98">
        <f t="shared" si="18"/>
        <v>45796</v>
      </c>
      <c r="G159" s="99" t="str">
        <f t="shared" si="9"/>
        <v>Mon</v>
      </c>
      <c r="H159" s="100"/>
      <c r="I159" s="101"/>
      <c r="J159" s="135"/>
      <c r="K159" s="136"/>
      <c r="L159" s="104">
        <f t="shared" si="162"/>
        <v>0</v>
      </c>
      <c r="M159" s="105">
        <f t="shared" si="11"/>
        <v>0</v>
      </c>
      <c r="N159" s="106" t="str">
        <f t="shared" si="12"/>
        <v>¥0</v>
      </c>
      <c r="O159" s="133"/>
      <c r="P159" s="104">
        <v>429</v>
      </c>
      <c r="Q159" s="104">
        <f t="shared" si="164"/>
        <v>0</v>
      </c>
      <c r="R159" s="108">
        <f t="shared" si="13"/>
        <v>0</v>
      </c>
      <c r="S159" s="109">
        <f t="shared" si="14"/>
        <v>0</v>
      </c>
      <c r="T159" s="125"/>
      <c r="U159" s="104">
        <f t="shared" si="21"/>
        <v>0</v>
      </c>
      <c r="V159" s="104">
        <f t="shared" si="22"/>
        <v>0</v>
      </c>
      <c r="W159" s="111">
        <f t="shared" si="15"/>
        <v>0</v>
      </c>
      <c r="X159" s="112">
        <f t="shared" si="16"/>
        <v>0</v>
      </c>
      <c r="Y159" s="113">
        <f t="shared" ref="Y159:Z159" si="182">Y158+1</f>
        <v>45796</v>
      </c>
      <c r="Z159" s="114">
        <f t="shared" si="182"/>
        <v>45796</v>
      </c>
      <c r="AA159" s="39"/>
      <c r="AB159" s="39"/>
      <c r="AC159" s="39"/>
      <c r="AD159" s="39"/>
      <c r="AE159" s="39"/>
      <c r="AF159" s="39"/>
      <c r="AG159" s="39"/>
    </row>
    <row r="160" spans="1:33" ht="16.5" customHeight="1">
      <c r="A160" s="39"/>
      <c r="B160" s="50"/>
      <c r="C160" s="95">
        <v>140</v>
      </c>
      <c r="D160" s="96">
        <v>1</v>
      </c>
      <c r="E160" s="97">
        <f t="shared" si="8"/>
        <v>5</v>
      </c>
      <c r="F160" s="98">
        <f t="shared" si="18"/>
        <v>45797</v>
      </c>
      <c r="G160" s="99" t="str">
        <f t="shared" si="9"/>
        <v>Tue</v>
      </c>
      <c r="H160" s="100"/>
      <c r="I160" s="101"/>
      <c r="J160" s="135">
        <v>126200</v>
      </c>
      <c r="K160" s="136"/>
      <c r="L160" s="104">
        <f t="shared" si="162"/>
        <v>103092.78350515464</v>
      </c>
      <c r="M160" s="105">
        <f t="shared" si="11"/>
        <v>23107.216494845357</v>
      </c>
      <c r="N160" s="106">
        <f t="shared" si="12"/>
        <v>1.22414</v>
      </c>
      <c r="O160" s="133"/>
      <c r="P160" s="104">
        <v>0</v>
      </c>
      <c r="Q160" s="104">
        <f t="shared" si="164"/>
        <v>1470800</v>
      </c>
      <c r="R160" s="108">
        <f t="shared" si="13"/>
        <v>1470800</v>
      </c>
      <c r="S160" s="109" t="e">
        <f t="shared" si="14"/>
        <v>#DIV/0!</v>
      </c>
      <c r="T160" s="125"/>
      <c r="U160" s="104">
        <f t="shared" si="21"/>
        <v>11108247.422680415</v>
      </c>
      <c r="V160" s="104">
        <f t="shared" si="22"/>
        <v>9497900</v>
      </c>
      <c r="W160" s="111">
        <f t="shared" si="15"/>
        <v>-1610347.4226804152</v>
      </c>
      <c r="X160" s="112">
        <f t="shared" si="16"/>
        <v>0.85503136890951259</v>
      </c>
      <c r="Y160" s="113">
        <f t="shared" ref="Y160:Z160" si="183">Y159+1</f>
        <v>45797</v>
      </c>
      <c r="Z160" s="114">
        <f t="shared" si="183"/>
        <v>45797</v>
      </c>
      <c r="AA160" s="39"/>
      <c r="AB160" s="39"/>
      <c r="AC160" s="39"/>
      <c r="AD160" s="39"/>
      <c r="AE160" s="39"/>
      <c r="AF160" s="39"/>
      <c r="AG160" s="39"/>
    </row>
    <row r="161" spans="1:33" ht="16.5" customHeight="1">
      <c r="A161" s="39"/>
      <c r="B161" s="50"/>
      <c r="C161" s="95">
        <v>141</v>
      </c>
      <c r="D161" s="96">
        <v>1</v>
      </c>
      <c r="E161" s="97">
        <f t="shared" si="8"/>
        <v>5</v>
      </c>
      <c r="F161" s="98">
        <f t="shared" si="18"/>
        <v>45798</v>
      </c>
      <c r="G161" s="99" t="str">
        <f t="shared" si="9"/>
        <v>Wed</v>
      </c>
      <c r="H161" s="100"/>
      <c r="I161" s="101"/>
      <c r="J161" s="135">
        <v>108450</v>
      </c>
      <c r="K161" s="136"/>
      <c r="L161" s="104">
        <f t="shared" si="162"/>
        <v>103092.78350515464</v>
      </c>
      <c r="M161" s="105">
        <f t="shared" si="11"/>
        <v>5357.2164948453574</v>
      </c>
      <c r="N161" s="106">
        <f t="shared" si="12"/>
        <v>1.051965</v>
      </c>
      <c r="O161" s="133"/>
      <c r="P161" s="104">
        <v>598</v>
      </c>
      <c r="Q161" s="104">
        <f t="shared" si="164"/>
        <v>1579250</v>
      </c>
      <c r="R161" s="108">
        <f t="shared" si="13"/>
        <v>1578652</v>
      </c>
      <c r="S161" s="109">
        <f t="shared" si="14"/>
        <v>2640.8862876254179</v>
      </c>
      <c r="T161" s="125"/>
      <c r="U161" s="104">
        <f t="shared" si="21"/>
        <v>11211340.20618557</v>
      </c>
      <c r="V161" s="104">
        <f t="shared" si="22"/>
        <v>9606350</v>
      </c>
      <c r="W161" s="111">
        <f t="shared" si="15"/>
        <v>-1604990.20618557</v>
      </c>
      <c r="X161" s="112">
        <f t="shared" si="16"/>
        <v>0.85684225287356297</v>
      </c>
      <c r="Y161" s="113">
        <f t="shared" ref="Y161:Z161" si="184">Y160+1</f>
        <v>45798</v>
      </c>
      <c r="Z161" s="114">
        <f t="shared" si="184"/>
        <v>45798</v>
      </c>
      <c r="AA161" s="39"/>
      <c r="AB161" s="39"/>
      <c r="AC161" s="39"/>
      <c r="AD161" s="39"/>
      <c r="AE161" s="39"/>
      <c r="AF161" s="39"/>
      <c r="AG161" s="39"/>
    </row>
    <row r="162" spans="1:33" ht="16.5" customHeight="1">
      <c r="A162" s="39"/>
      <c r="B162" s="50"/>
      <c r="C162" s="95">
        <v>142</v>
      </c>
      <c r="D162" s="96">
        <v>1</v>
      </c>
      <c r="E162" s="97">
        <f t="shared" si="8"/>
        <v>5</v>
      </c>
      <c r="F162" s="98">
        <f t="shared" si="18"/>
        <v>45799</v>
      </c>
      <c r="G162" s="99" t="str">
        <f t="shared" si="9"/>
        <v>Thu</v>
      </c>
      <c r="H162" s="100"/>
      <c r="I162" s="101"/>
      <c r="J162" s="135">
        <v>103000</v>
      </c>
      <c r="K162" s="136"/>
      <c r="L162" s="104">
        <f t="shared" si="162"/>
        <v>103092.78350515464</v>
      </c>
      <c r="M162" s="105">
        <f t="shared" si="11"/>
        <v>-92.783505154642626</v>
      </c>
      <c r="N162" s="106">
        <f t="shared" si="12"/>
        <v>0.99909999999999999</v>
      </c>
      <c r="O162" s="133"/>
      <c r="P162" s="104">
        <v>0</v>
      </c>
      <c r="Q162" s="104">
        <f t="shared" si="164"/>
        <v>1682250</v>
      </c>
      <c r="R162" s="108">
        <f t="shared" si="13"/>
        <v>1682250</v>
      </c>
      <c r="S162" s="109" t="e">
        <f t="shared" si="14"/>
        <v>#DIV/0!</v>
      </c>
      <c r="T162" s="125"/>
      <c r="U162" s="104">
        <f t="shared" si="21"/>
        <v>11314432.989690725</v>
      </c>
      <c r="V162" s="104">
        <f t="shared" si="22"/>
        <v>9709350</v>
      </c>
      <c r="W162" s="111">
        <f t="shared" si="15"/>
        <v>-1605082.9896907248</v>
      </c>
      <c r="X162" s="112">
        <f t="shared" si="16"/>
        <v>0.8581384510250567</v>
      </c>
      <c r="Y162" s="113">
        <f t="shared" ref="Y162:Z162" si="185">Y161+1</f>
        <v>45799</v>
      </c>
      <c r="Z162" s="114">
        <f t="shared" si="185"/>
        <v>45799</v>
      </c>
      <c r="AA162" s="39"/>
      <c r="AB162" s="39"/>
      <c r="AC162" s="39"/>
      <c r="AD162" s="39"/>
      <c r="AE162" s="39"/>
      <c r="AF162" s="39"/>
      <c r="AG162" s="39"/>
    </row>
    <row r="163" spans="1:33" ht="16.5" customHeight="1">
      <c r="A163" s="39"/>
      <c r="B163" s="50"/>
      <c r="C163" s="95">
        <v>143</v>
      </c>
      <c r="D163" s="96">
        <v>1</v>
      </c>
      <c r="E163" s="97">
        <f t="shared" si="8"/>
        <v>5</v>
      </c>
      <c r="F163" s="98">
        <f t="shared" si="18"/>
        <v>45800</v>
      </c>
      <c r="G163" s="99" t="str">
        <f t="shared" si="9"/>
        <v>Fri</v>
      </c>
      <c r="H163" s="100"/>
      <c r="I163" s="101"/>
      <c r="J163" s="135">
        <v>119200</v>
      </c>
      <c r="K163" s="136"/>
      <c r="L163" s="104">
        <f t="shared" si="162"/>
        <v>103092.78350515464</v>
      </c>
      <c r="M163" s="105">
        <f t="shared" si="11"/>
        <v>16107.216494845357</v>
      </c>
      <c r="N163" s="106">
        <f t="shared" si="12"/>
        <v>1.1562399999999999</v>
      </c>
      <c r="O163" s="133"/>
      <c r="P163" s="104">
        <v>0</v>
      </c>
      <c r="Q163" s="104">
        <f t="shared" si="164"/>
        <v>1801450</v>
      </c>
      <c r="R163" s="108">
        <f t="shared" si="13"/>
        <v>1801450</v>
      </c>
      <c r="S163" s="109" t="e">
        <f t="shared" si="14"/>
        <v>#DIV/0!</v>
      </c>
      <c r="T163" s="125"/>
      <c r="U163" s="104">
        <f t="shared" si="21"/>
        <v>11417525.77319588</v>
      </c>
      <c r="V163" s="104">
        <f t="shared" si="22"/>
        <v>9828550</v>
      </c>
      <c r="W163" s="111">
        <f t="shared" si="15"/>
        <v>-1588975.7731958795</v>
      </c>
      <c r="X163" s="112">
        <f t="shared" si="16"/>
        <v>0.86083011286681688</v>
      </c>
      <c r="Y163" s="113">
        <f t="shared" ref="Y163:Z163" si="186">Y162+1</f>
        <v>45800</v>
      </c>
      <c r="Z163" s="114">
        <f t="shared" si="186"/>
        <v>45800</v>
      </c>
      <c r="AA163" s="39"/>
      <c r="AB163" s="39"/>
      <c r="AC163" s="39"/>
      <c r="AD163" s="39"/>
      <c r="AE163" s="39"/>
      <c r="AF163" s="39"/>
      <c r="AG163" s="39"/>
    </row>
    <row r="164" spans="1:33" ht="16.5" customHeight="1">
      <c r="A164" s="39"/>
      <c r="B164" s="50"/>
      <c r="C164" s="95">
        <v>144</v>
      </c>
      <c r="D164" s="96">
        <v>1</v>
      </c>
      <c r="E164" s="97">
        <f t="shared" si="8"/>
        <v>5</v>
      </c>
      <c r="F164" s="98">
        <f t="shared" si="18"/>
        <v>45801</v>
      </c>
      <c r="G164" s="99" t="str">
        <f t="shared" si="9"/>
        <v>Sat</v>
      </c>
      <c r="H164" s="100"/>
      <c r="I164" s="101"/>
      <c r="J164" s="135">
        <v>81550</v>
      </c>
      <c r="K164" s="136"/>
      <c r="L164" s="104">
        <f t="shared" si="162"/>
        <v>103092.78350515464</v>
      </c>
      <c r="M164" s="105">
        <f t="shared" si="11"/>
        <v>-21542.783505154643</v>
      </c>
      <c r="N164" s="106">
        <f t="shared" si="12"/>
        <v>0.79103499999999993</v>
      </c>
      <c r="O164" s="133"/>
      <c r="P164" s="104">
        <v>0</v>
      </c>
      <c r="Q164" s="104">
        <f t="shared" si="164"/>
        <v>1883000</v>
      </c>
      <c r="R164" s="108">
        <f t="shared" si="13"/>
        <v>1883000</v>
      </c>
      <c r="S164" s="109" t="e">
        <f t="shared" si="14"/>
        <v>#DIV/0!</v>
      </c>
      <c r="T164" s="125"/>
      <c r="U164" s="104">
        <f t="shared" si="21"/>
        <v>11520618.556701034</v>
      </c>
      <c r="V164" s="104">
        <f t="shared" si="22"/>
        <v>9910100</v>
      </c>
      <c r="W164" s="111">
        <f t="shared" si="15"/>
        <v>-1610518.5567010343</v>
      </c>
      <c r="X164" s="112">
        <f t="shared" si="16"/>
        <v>0.86020554809843375</v>
      </c>
      <c r="Y164" s="113">
        <f t="shared" ref="Y164:Z164" si="187">Y163+1</f>
        <v>45801</v>
      </c>
      <c r="Z164" s="114">
        <f t="shared" si="187"/>
        <v>45801</v>
      </c>
      <c r="AA164" s="39"/>
      <c r="AB164" s="39"/>
      <c r="AC164" s="39"/>
      <c r="AD164" s="39"/>
      <c r="AE164" s="39"/>
      <c r="AF164" s="39"/>
      <c r="AG164" s="39"/>
    </row>
    <row r="165" spans="1:33" ht="16.5" customHeight="1">
      <c r="A165" s="39"/>
      <c r="B165" s="50"/>
      <c r="C165" s="95">
        <v>145</v>
      </c>
      <c r="D165" s="96">
        <v>1</v>
      </c>
      <c r="E165" s="97">
        <f t="shared" si="8"/>
        <v>5</v>
      </c>
      <c r="F165" s="98">
        <f t="shared" si="18"/>
        <v>45802</v>
      </c>
      <c r="G165" s="99" t="str">
        <f t="shared" si="9"/>
        <v>Sun</v>
      </c>
      <c r="H165" s="100"/>
      <c r="I165" s="101"/>
      <c r="J165" s="135">
        <v>65850</v>
      </c>
      <c r="K165" s="136"/>
      <c r="L165" s="104">
        <f t="shared" si="162"/>
        <v>103092.78350515464</v>
      </c>
      <c r="M165" s="105">
        <f t="shared" si="11"/>
        <v>-37242.783505154643</v>
      </c>
      <c r="N165" s="106">
        <f t="shared" si="12"/>
        <v>0.63874500000000001</v>
      </c>
      <c r="O165" s="134"/>
      <c r="P165" s="104">
        <v>0</v>
      </c>
      <c r="Q165" s="104">
        <f t="shared" si="164"/>
        <v>1948850</v>
      </c>
      <c r="R165" s="108">
        <f t="shared" si="13"/>
        <v>1948850</v>
      </c>
      <c r="S165" s="109" t="e">
        <f t="shared" si="14"/>
        <v>#DIV/0!</v>
      </c>
      <c r="T165" s="131"/>
      <c r="U165" s="104">
        <f t="shared" si="21"/>
        <v>11623711.340206189</v>
      </c>
      <c r="V165" s="104">
        <f t="shared" si="22"/>
        <v>9975950</v>
      </c>
      <c r="W165" s="111">
        <f t="shared" si="15"/>
        <v>-1647761.3402061891</v>
      </c>
      <c r="X165" s="112">
        <f t="shared" si="16"/>
        <v>0.8582413747228379</v>
      </c>
      <c r="Y165" s="113">
        <f t="shared" ref="Y165:Z165" si="188">Y164+1</f>
        <v>45802</v>
      </c>
      <c r="Z165" s="114">
        <f t="shared" si="188"/>
        <v>45802</v>
      </c>
      <c r="AA165" s="39"/>
      <c r="AB165" s="39"/>
      <c r="AC165" s="39"/>
      <c r="AD165" s="39"/>
      <c r="AE165" s="39"/>
      <c r="AF165" s="39"/>
      <c r="AG165" s="39"/>
    </row>
    <row r="166" spans="1:33" ht="16.5" customHeight="1">
      <c r="A166" s="39"/>
      <c r="B166" s="50"/>
      <c r="C166" s="95">
        <v>146</v>
      </c>
      <c r="D166" s="96">
        <v>0</v>
      </c>
      <c r="E166" s="97">
        <f t="shared" si="8"/>
        <v>5</v>
      </c>
      <c r="F166" s="98">
        <f t="shared" si="18"/>
        <v>45803</v>
      </c>
      <c r="G166" s="99" t="str">
        <f t="shared" si="9"/>
        <v>Mon</v>
      </c>
      <c r="H166" s="100"/>
      <c r="I166" s="101"/>
      <c r="J166" s="135"/>
      <c r="K166" s="136"/>
      <c r="L166" s="104">
        <f t="shared" si="162"/>
        <v>0</v>
      </c>
      <c r="M166" s="105">
        <f t="shared" si="11"/>
        <v>0</v>
      </c>
      <c r="N166" s="106" t="str">
        <f t="shared" si="12"/>
        <v>¥0</v>
      </c>
      <c r="O166" s="133"/>
      <c r="P166" s="104">
        <v>0</v>
      </c>
      <c r="Q166" s="104">
        <f t="shared" si="164"/>
        <v>0</v>
      </c>
      <c r="R166" s="108">
        <f t="shared" si="13"/>
        <v>0</v>
      </c>
      <c r="S166" s="109">
        <f t="shared" si="14"/>
        <v>0</v>
      </c>
      <c r="T166" s="125"/>
      <c r="U166" s="104">
        <f t="shared" si="21"/>
        <v>0</v>
      </c>
      <c r="V166" s="104">
        <f t="shared" si="22"/>
        <v>0</v>
      </c>
      <c r="W166" s="111">
        <f t="shared" si="15"/>
        <v>0</v>
      </c>
      <c r="X166" s="112">
        <f t="shared" si="16"/>
        <v>0</v>
      </c>
      <c r="Y166" s="113">
        <f t="shared" ref="Y166:Z166" si="189">Y165+1</f>
        <v>45803</v>
      </c>
      <c r="Z166" s="114">
        <f t="shared" si="189"/>
        <v>45803</v>
      </c>
      <c r="AA166" s="39"/>
      <c r="AB166" s="39"/>
      <c r="AC166" s="39"/>
      <c r="AD166" s="39"/>
      <c r="AE166" s="39"/>
      <c r="AF166" s="39"/>
      <c r="AG166" s="39"/>
    </row>
    <row r="167" spans="1:33" ht="16.5" customHeight="1">
      <c r="A167" s="39"/>
      <c r="B167" s="50"/>
      <c r="C167" s="95">
        <v>147</v>
      </c>
      <c r="D167" s="96">
        <v>1</v>
      </c>
      <c r="E167" s="97">
        <f t="shared" si="8"/>
        <v>5</v>
      </c>
      <c r="F167" s="98">
        <f t="shared" si="18"/>
        <v>45804</v>
      </c>
      <c r="G167" s="99" t="str">
        <f t="shared" si="9"/>
        <v>Tue</v>
      </c>
      <c r="H167" s="100"/>
      <c r="I167" s="101"/>
      <c r="J167" s="135">
        <v>122700</v>
      </c>
      <c r="K167" s="136"/>
      <c r="L167" s="104">
        <f t="shared" si="162"/>
        <v>103092.78350515464</v>
      </c>
      <c r="M167" s="105">
        <f t="shared" si="11"/>
        <v>19607.216494845357</v>
      </c>
      <c r="N167" s="106">
        <f t="shared" si="12"/>
        <v>1.1901899999999999</v>
      </c>
      <c r="O167" s="133"/>
      <c r="P167" s="104">
        <f t="shared" ref="P167:P171" si="190">IF(D167=0,0,SUM($L$141:L167))</f>
        <v>2268041.2371134013</v>
      </c>
      <c r="Q167" s="104">
        <f t="shared" si="164"/>
        <v>2071550</v>
      </c>
      <c r="R167" s="108">
        <f t="shared" si="13"/>
        <v>-196491.23711340129</v>
      </c>
      <c r="S167" s="109">
        <f t="shared" si="14"/>
        <v>0.91336522727272762</v>
      </c>
      <c r="T167" s="125"/>
      <c r="U167" s="104">
        <f t="shared" si="21"/>
        <v>11726804.123711344</v>
      </c>
      <c r="V167" s="104">
        <f t="shared" si="22"/>
        <v>10098650</v>
      </c>
      <c r="W167" s="111">
        <f t="shared" si="15"/>
        <v>-1628154.1237113439</v>
      </c>
      <c r="X167" s="112">
        <f t="shared" si="16"/>
        <v>0.86115960439560413</v>
      </c>
      <c r="Y167" s="113">
        <f t="shared" ref="Y167:Z167" si="191">Y166+1</f>
        <v>45804</v>
      </c>
      <c r="Z167" s="114">
        <f t="shared" si="191"/>
        <v>45804</v>
      </c>
      <c r="AA167" s="39"/>
      <c r="AB167" s="39"/>
      <c r="AC167" s="39"/>
      <c r="AD167" s="39"/>
      <c r="AE167" s="39"/>
      <c r="AF167" s="39"/>
      <c r="AG167" s="39"/>
    </row>
    <row r="168" spans="1:33" ht="16.5" customHeight="1">
      <c r="A168" s="39"/>
      <c r="B168" s="50"/>
      <c r="C168" s="95">
        <v>148</v>
      </c>
      <c r="D168" s="96">
        <v>1</v>
      </c>
      <c r="E168" s="97">
        <f t="shared" si="8"/>
        <v>5</v>
      </c>
      <c r="F168" s="98">
        <f t="shared" si="18"/>
        <v>45805</v>
      </c>
      <c r="G168" s="99" t="str">
        <f t="shared" si="9"/>
        <v>Wed</v>
      </c>
      <c r="H168" s="100"/>
      <c r="I168" s="101"/>
      <c r="J168" s="135">
        <v>75900</v>
      </c>
      <c r="K168" s="136"/>
      <c r="L168" s="104">
        <f t="shared" si="162"/>
        <v>103092.78350515464</v>
      </c>
      <c r="M168" s="105">
        <f t="shared" si="11"/>
        <v>-27192.783505154643</v>
      </c>
      <c r="N168" s="106">
        <f t="shared" si="12"/>
        <v>0.73622999999999994</v>
      </c>
      <c r="O168" s="133"/>
      <c r="P168" s="104">
        <f t="shared" si="190"/>
        <v>2371134.0206185561</v>
      </c>
      <c r="Q168" s="104">
        <f t="shared" si="164"/>
        <v>2147450</v>
      </c>
      <c r="R168" s="108">
        <f t="shared" si="13"/>
        <v>-223684.02061855607</v>
      </c>
      <c r="S168" s="109">
        <f t="shared" si="14"/>
        <v>0.90566369565217419</v>
      </c>
      <c r="T168" s="125"/>
      <c r="U168" s="104">
        <f t="shared" si="21"/>
        <v>11829896.907216499</v>
      </c>
      <c r="V168" s="104">
        <f t="shared" si="22"/>
        <v>10174550</v>
      </c>
      <c r="W168" s="111">
        <f t="shared" si="15"/>
        <v>-1655346.9072164986</v>
      </c>
      <c r="X168" s="112">
        <f t="shared" si="16"/>
        <v>0.86007089324618713</v>
      </c>
      <c r="Y168" s="113">
        <f t="shared" ref="Y168:Z168" si="192">Y167+1</f>
        <v>45805</v>
      </c>
      <c r="Z168" s="114">
        <f t="shared" si="192"/>
        <v>45805</v>
      </c>
      <c r="AA168" s="39"/>
      <c r="AB168" s="39"/>
      <c r="AC168" s="39"/>
      <c r="AD168" s="39"/>
      <c r="AE168" s="39"/>
      <c r="AF168" s="39"/>
      <c r="AG168" s="39"/>
    </row>
    <row r="169" spans="1:33" ht="16.5" customHeight="1">
      <c r="A169" s="39"/>
      <c r="B169" s="50"/>
      <c r="C169" s="95">
        <v>149</v>
      </c>
      <c r="D169" s="96">
        <v>1</v>
      </c>
      <c r="E169" s="97">
        <f t="shared" si="8"/>
        <v>5</v>
      </c>
      <c r="F169" s="98">
        <f t="shared" si="18"/>
        <v>45806</v>
      </c>
      <c r="G169" s="99" t="str">
        <f t="shared" si="9"/>
        <v>Thu</v>
      </c>
      <c r="H169" s="100"/>
      <c r="I169" s="101"/>
      <c r="J169" s="135">
        <v>101700</v>
      </c>
      <c r="K169" s="136"/>
      <c r="L169" s="104">
        <f t="shared" si="162"/>
        <v>103092.78350515464</v>
      </c>
      <c r="M169" s="105">
        <f t="shared" si="11"/>
        <v>-1392.7835051546426</v>
      </c>
      <c r="N169" s="106">
        <f t="shared" si="12"/>
        <v>0.98648999999999998</v>
      </c>
      <c r="O169" s="133"/>
      <c r="P169" s="104">
        <f t="shared" si="190"/>
        <v>2474226.8041237108</v>
      </c>
      <c r="Q169" s="104">
        <f t="shared" si="164"/>
        <v>2249150</v>
      </c>
      <c r="R169" s="108">
        <f t="shared" si="13"/>
        <v>-225076.80412371084</v>
      </c>
      <c r="S169" s="109">
        <f t="shared" si="14"/>
        <v>0.90903145833333354</v>
      </c>
      <c r="T169" s="125"/>
      <c r="U169" s="104">
        <f t="shared" si="21"/>
        <v>11932989.690721653</v>
      </c>
      <c r="V169" s="104">
        <f t="shared" si="22"/>
        <v>10276250</v>
      </c>
      <c r="W169" s="111">
        <f t="shared" si="15"/>
        <v>-1656739.6907216534</v>
      </c>
      <c r="X169" s="112">
        <f t="shared" si="16"/>
        <v>0.8611630669546434</v>
      </c>
      <c r="Y169" s="113">
        <f t="shared" ref="Y169:Z169" si="193">Y168+1</f>
        <v>45806</v>
      </c>
      <c r="Z169" s="114">
        <f t="shared" si="193"/>
        <v>45806</v>
      </c>
      <c r="AA169" s="39"/>
      <c r="AB169" s="39"/>
      <c r="AC169" s="39"/>
      <c r="AD169" s="39"/>
      <c r="AE169" s="39"/>
      <c r="AF169" s="39"/>
      <c r="AG169" s="39"/>
    </row>
    <row r="170" spans="1:33" ht="16.5" customHeight="1">
      <c r="A170" s="39"/>
      <c r="B170" s="50"/>
      <c r="C170" s="95">
        <v>150</v>
      </c>
      <c r="D170" s="96">
        <v>1</v>
      </c>
      <c r="E170" s="97">
        <f t="shared" si="8"/>
        <v>5</v>
      </c>
      <c r="F170" s="98">
        <f t="shared" si="18"/>
        <v>45807</v>
      </c>
      <c r="G170" s="99" t="str">
        <f t="shared" si="9"/>
        <v>Fri</v>
      </c>
      <c r="H170" s="100"/>
      <c r="I170" s="101"/>
      <c r="J170" s="135">
        <v>178250</v>
      </c>
      <c r="K170" s="136"/>
      <c r="L170" s="104">
        <f t="shared" si="162"/>
        <v>103092.78350515464</v>
      </c>
      <c r="M170" s="105">
        <f t="shared" si="11"/>
        <v>75157.216494845357</v>
      </c>
      <c r="N170" s="106">
        <f t="shared" si="12"/>
        <v>1.729025</v>
      </c>
      <c r="O170" s="133"/>
      <c r="P170" s="104">
        <f t="shared" si="190"/>
        <v>2577319.5876288656</v>
      </c>
      <c r="Q170" s="104">
        <f t="shared" si="164"/>
        <v>2427400</v>
      </c>
      <c r="R170" s="108">
        <f t="shared" si="13"/>
        <v>-149919.58762886561</v>
      </c>
      <c r="S170" s="109">
        <f t="shared" si="14"/>
        <v>0.94183120000000009</v>
      </c>
      <c r="T170" s="125"/>
      <c r="U170" s="104">
        <f t="shared" si="21"/>
        <v>12036082.474226808</v>
      </c>
      <c r="V170" s="104">
        <f t="shared" si="22"/>
        <v>10454500</v>
      </c>
      <c r="W170" s="111">
        <f t="shared" si="15"/>
        <v>-1581582.4742268082</v>
      </c>
      <c r="X170" s="112">
        <f t="shared" si="16"/>
        <v>0.86859657387580269</v>
      </c>
      <c r="Y170" s="113">
        <f t="shared" ref="Y170:Z170" si="194">Y169+1</f>
        <v>45807</v>
      </c>
      <c r="Z170" s="114">
        <f t="shared" si="194"/>
        <v>45807</v>
      </c>
      <c r="AA170" s="39"/>
      <c r="AB170" s="39"/>
      <c r="AC170" s="39"/>
      <c r="AD170" s="39"/>
      <c r="AE170" s="39"/>
      <c r="AF170" s="39"/>
      <c r="AG170" s="39"/>
    </row>
    <row r="171" spans="1:33" ht="16.5" customHeight="1">
      <c r="A171" s="39"/>
      <c r="B171" s="50"/>
      <c r="C171" s="137">
        <v>151</v>
      </c>
      <c r="D171" s="138">
        <v>1</v>
      </c>
      <c r="E171" s="139">
        <f t="shared" si="8"/>
        <v>5</v>
      </c>
      <c r="F171" s="140">
        <f t="shared" si="18"/>
        <v>45808</v>
      </c>
      <c r="G171" s="141" t="str">
        <f t="shared" si="9"/>
        <v>Sat</v>
      </c>
      <c r="H171" s="159"/>
      <c r="I171" s="143"/>
      <c r="J171" s="144">
        <v>66650</v>
      </c>
      <c r="K171" s="145"/>
      <c r="L171" s="146">
        <f t="shared" si="162"/>
        <v>103092.78350515464</v>
      </c>
      <c r="M171" s="147">
        <f t="shared" si="11"/>
        <v>-36442.783505154643</v>
      </c>
      <c r="N171" s="148">
        <f t="shared" si="12"/>
        <v>0.646505</v>
      </c>
      <c r="O171" s="149"/>
      <c r="P171" s="150">
        <f t="shared" si="190"/>
        <v>2680412.3711340204</v>
      </c>
      <c r="Q171" s="146">
        <f t="shared" si="164"/>
        <v>2494050</v>
      </c>
      <c r="R171" s="147">
        <f t="shared" si="13"/>
        <v>-186362.37113402039</v>
      </c>
      <c r="S171" s="151">
        <f t="shared" si="14"/>
        <v>0.93047250000000004</v>
      </c>
      <c r="T171" s="152"/>
      <c r="U171" s="153">
        <f t="shared" si="21"/>
        <v>12139175.257731963</v>
      </c>
      <c r="V171" s="146">
        <f t="shared" si="22"/>
        <v>10521150</v>
      </c>
      <c r="W171" s="153">
        <f t="shared" si="15"/>
        <v>-1618025.2577319629</v>
      </c>
      <c r="X171" s="154">
        <f t="shared" si="16"/>
        <v>0.86671044585987234</v>
      </c>
      <c r="Y171" s="113">
        <f t="shared" ref="Y171:Z171" si="195">Y170+1</f>
        <v>45808</v>
      </c>
      <c r="Z171" s="114">
        <f t="shared" si="195"/>
        <v>45808</v>
      </c>
      <c r="AA171" s="39"/>
      <c r="AB171" s="39"/>
      <c r="AC171" s="39"/>
      <c r="AD171" s="39"/>
      <c r="AE171" s="39"/>
      <c r="AF171" s="39"/>
      <c r="AG171" s="39"/>
    </row>
    <row r="172" spans="1:33" ht="16.5" customHeight="1">
      <c r="A172" s="39"/>
      <c r="B172" s="50"/>
      <c r="C172" s="95">
        <v>152</v>
      </c>
      <c r="D172" s="155">
        <v>1</v>
      </c>
      <c r="E172" s="97">
        <f t="shared" si="8"/>
        <v>6</v>
      </c>
      <c r="F172" s="98">
        <f t="shared" si="18"/>
        <v>45809</v>
      </c>
      <c r="G172" s="99" t="str">
        <f t="shared" si="9"/>
        <v>Sun</v>
      </c>
      <c r="H172" s="100"/>
      <c r="I172" s="101"/>
      <c r="J172" s="135">
        <v>42050</v>
      </c>
      <c r="K172" s="136"/>
      <c r="L172" s="104">
        <f t="shared" ref="L172:L201" si="196">IF(D172=0,0,$K$12)</f>
        <v>87628.865979381444</v>
      </c>
      <c r="M172" s="108">
        <f t="shared" si="11"/>
        <v>-45578.865979381444</v>
      </c>
      <c r="N172" s="156">
        <f t="shared" si="12"/>
        <v>0.47986470588235292</v>
      </c>
      <c r="O172" s="134"/>
      <c r="P172" s="104">
        <f>IF(D172=0,0,$L$172)</f>
        <v>87628.865979381444</v>
      </c>
      <c r="Q172" s="104">
        <f>IF(D172=0,0,$J$172)</f>
        <v>42050</v>
      </c>
      <c r="R172" s="108">
        <f t="shared" si="13"/>
        <v>-45578.865979381444</v>
      </c>
      <c r="S172" s="157">
        <f t="shared" si="14"/>
        <v>0.47986470588235292</v>
      </c>
      <c r="T172" s="131"/>
      <c r="U172" s="104">
        <f t="shared" si="21"/>
        <v>12226804.123711344</v>
      </c>
      <c r="V172" s="104">
        <f t="shared" si="22"/>
        <v>10563200</v>
      </c>
      <c r="W172" s="111">
        <f t="shared" si="15"/>
        <v>-1663604.1237113439</v>
      </c>
      <c r="X172" s="158">
        <f t="shared" si="16"/>
        <v>0.86393794266441792</v>
      </c>
      <c r="Y172" s="113">
        <f t="shared" ref="Y172:Z172" si="197">Y171+1</f>
        <v>45809</v>
      </c>
      <c r="Z172" s="114">
        <f t="shared" si="197"/>
        <v>45809</v>
      </c>
      <c r="AA172" s="39"/>
      <c r="AB172" s="39"/>
      <c r="AC172" s="39"/>
      <c r="AD172" s="39"/>
      <c r="AE172" s="39"/>
      <c r="AF172" s="39"/>
      <c r="AG172" s="39"/>
    </row>
    <row r="173" spans="1:33" ht="16.5" customHeight="1">
      <c r="A173" s="39"/>
      <c r="B173" s="50"/>
      <c r="C173" s="95">
        <v>153</v>
      </c>
      <c r="D173" s="96">
        <v>0</v>
      </c>
      <c r="E173" s="97">
        <f t="shared" si="8"/>
        <v>6</v>
      </c>
      <c r="F173" s="98">
        <f t="shared" si="18"/>
        <v>45810</v>
      </c>
      <c r="G173" s="99" t="str">
        <f t="shared" si="9"/>
        <v>Mon</v>
      </c>
      <c r="H173" s="100"/>
      <c r="I173" s="101"/>
      <c r="J173" s="135"/>
      <c r="K173" s="136"/>
      <c r="L173" s="104">
        <f t="shared" si="196"/>
        <v>0</v>
      </c>
      <c r="M173" s="105">
        <f t="shared" si="11"/>
        <v>0</v>
      </c>
      <c r="N173" s="106" t="str">
        <f t="shared" si="12"/>
        <v>¥0</v>
      </c>
      <c r="O173" s="133"/>
      <c r="P173" s="104">
        <f t="shared" ref="P173:P201" si="198">IF(D173=0,0,SUM($L$172:L173))</f>
        <v>0</v>
      </c>
      <c r="Q173" s="104">
        <f t="shared" ref="Q173:Q201" si="199">IF(D173=0,0,SUM($J$172:J173))</f>
        <v>0</v>
      </c>
      <c r="R173" s="108">
        <f t="shared" si="13"/>
        <v>0</v>
      </c>
      <c r="S173" s="109">
        <f t="shared" si="14"/>
        <v>0</v>
      </c>
      <c r="T173" s="125"/>
      <c r="U173" s="104">
        <f t="shared" si="21"/>
        <v>0</v>
      </c>
      <c r="V173" s="104">
        <f t="shared" si="22"/>
        <v>0</v>
      </c>
      <c r="W173" s="111">
        <f t="shared" si="15"/>
        <v>0</v>
      </c>
      <c r="X173" s="112">
        <f t="shared" si="16"/>
        <v>0</v>
      </c>
      <c r="Y173" s="113">
        <f t="shared" ref="Y173:Z173" si="200">Y172+1</f>
        <v>45810</v>
      </c>
      <c r="Z173" s="114">
        <f t="shared" si="200"/>
        <v>45810</v>
      </c>
      <c r="AA173" s="39"/>
      <c r="AB173" s="39"/>
      <c r="AC173" s="39"/>
      <c r="AD173" s="39"/>
      <c r="AE173" s="39"/>
      <c r="AF173" s="39"/>
      <c r="AG173" s="39"/>
    </row>
    <row r="174" spans="1:33" ht="16.5" customHeight="1">
      <c r="A174" s="39"/>
      <c r="B174" s="50"/>
      <c r="C174" s="95">
        <v>154</v>
      </c>
      <c r="D174" s="96">
        <v>1</v>
      </c>
      <c r="E174" s="97">
        <f t="shared" si="8"/>
        <v>6</v>
      </c>
      <c r="F174" s="98">
        <f t="shared" si="18"/>
        <v>45811</v>
      </c>
      <c r="G174" s="99" t="str">
        <f t="shared" si="9"/>
        <v>Tue</v>
      </c>
      <c r="H174" s="100"/>
      <c r="I174" s="101"/>
      <c r="J174" s="135">
        <v>47250</v>
      </c>
      <c r="K174" s="136"/>
      <c r="L174" s="104">
        <f t="shared" si="196"/>
        <v>87628.865979381444</v>
      </c>
      <c r="M174" s="105">
        <f t="shared" si="11"/>
        <v>-40378.865979381444</v>
      </c>
      <c r="N174" s="106">
        <f t="shared" si="12"/>
        <v>0.5392058823529412</v>
      </c>
      <c r="O174" s="133"/>
      <c r="P174" s="104">
        <f t="shared" si="198"/>
        <v>175257.73195876289</v>
      </c>
      <c r="Q174" s="104">
        <f t="shared" si="199"/>
        <v>89300</v>
      </c>
      <c r="R174" s="108">
        <f t="shared" si="13"/>
        <v>-85957.731958762888</v>
      </c>
      <c r="S174" s="109">
        <f t="shared" si="14"/>
        <v>0.50953529411764709</v>
      </c>
      <c r="T174" s="125"/>
      <c r="U174" s="104">
        <f t="shared" si="21"/>
        <v>12314432.989690725</v>
      </c>
      <c r="V174" s="104">
        <f t="shared" si="22"/>
        <v>10610450</v>
      </c>
      <c r="W174" s="111">
        <f t="shared" si="15"/>
        <v>-1703982.9896907248</v>
      </c>
      <c r="X174" s="112">
        <f t="shared" si="16"/>
        <v>0.86162716617831703</v>
      </c>
      <c r="Y174" s="113">
        <f t="shared" ref="Y174:Z174" si="201">Y173+1</f>
        <v>45811</v>
      </c>
      <c r="Z174" s="114">
        <f t="shared" si="201"/>
        <v>45811</v>
      </c>
      <c r="AA174" s="39"/>
      <c r="AB174" s="39"/>
      <c r="AC174" s="39"/>
      <c r="AD174" s="39"/>
      <c r="AE174" s="39"/>
      <c r="AF174" s="39"/>
      <c r="AG174" s="39"/>
    </row>
    <row r="175" spans="1:33" ht="16.5" customHeight="1">
      <c r="A175" s="39"/>
      <c r="B175" s="50"/>
      <c r="C175" s="95">
        <v>155</v>
      </c>
      <c r="D175" s="96">
        <v>1</v>
      </c>
      <c r="E175" s="97">
        <f t="shared" si="8"/>
        <v>6</v>
      </c>
      <c r="F175" s="98">
        <f t="shared" si="18"/>
        <v>45812</v>
      </c>
      <c r="G175" s="99" t="str">
        <f t="shared" si="9"/>
        <v>Wed</v>
      </c>
      <c r="H175" s="100"/>
      <c r="I175" s="101"/>
      <c r="J175" s="135">
        <v>68600</v>
      </c>
      <c r="K175" s="136"/>
      <c r="L175" s="104">
        <f t="shared" si="196"/>
        <v>87628.865979381444</v>
      </c>
      <c r="M175" s="105">
        <f t="shared" si="11"/>
        <v>-19028.865979381444</v>
      </c>
      <c r="N175" s="106">
        <f t="shared" si="12"/>
        <v>0.78284705882352945</v>
      </c>
      <c r="O175" s="133"/>
      <c r="P175" s="104">
        <f t="shared" si="198"/>
        <v>262886.59793814435</v>
      </c>
      <c r="Q175" s="104">
        <f t="shared" si="199"/>
        <v>157900</v>
      </c>
      <c r="R175" s="108">
        <f t="shared" si="13"/>
        <v>-104986.59793814435</v>
      </c>
      <c r="S175" s="109">
        <f t="shared" si="14"/>
        <v>0.60063921568627443</v>
      </c>
      <c r="T175" s="125"/>
      <c r="U175" s="104">
        <f t="shared" si="21"/>
        <v>12402061.855670106</v>
      </c>
      <c r="V175" s="104">
        <f t="shared" si="22"/>
        <v>10679050</v>
      </c>
      <c r="W175" s="111">
        <f t="shared" si="15"/>
        <v>-1723011.8556701057</v>
      </c>
      <c r="X175" s="112">
        <f t="shared" si="16"/>
        <v>0.86107053200332484</v>
      </c>
      <c r="Y175" s="113">
        <f t="shared" ref="Y175:Z175" si="202">Y174+1</f>
        <v>45812</v>
      </c>
      <c r="Z175" s="114">
        <f t="shared" si="202"/>
        <v>45812</v>
      </c>
      <c r="AA175" s="39"/>
      <c r="AB175" s="39"/>
      <c r="AC175" s="39"/>
      <c r="AD175" s="39"/>
      <c r="AE175" s="39"/>
      <c r="AF175" s="39"/>
      <c r="AG175" s="39"/>
    </row>
    <row r="176" spans="1:33" ht="16.5" customHeight="1">
      <c r="A176" s="39"/>
      <c r="B176" s="50"/>
      <c r="C176" s="95">
        <v>156</v>
      </c>
      <c r="D176" s="96">
        <v>1</v>
      </c>
      <c r="E176" s="97">
        <f t="shared" si="8"/>
        <v>6</v>
      </c>
      <c r="F176" s="98">
        <f t="shared" si="18"/>
        <v>45813</v>
      </c>
      <c r="G176" s="99" t="str">
        <f t="shared" si="9"/>
        <v>Thu</v>
      </c>
      <c r="H176" s="100"/>
      <c r="I176" s="101"/>
      <c r="J176" s="135">
        <v>114150</v>
      </c>
      <c r="K176" s="136"/>
      <c r="L176" s="104">
        <f t="shared" si="196"/>
        <v>87628.865979381444</v>
      </c>
      <c r="M176" s="105">
        <f t="shared" si="11"/>
        <v>26521.134020618556</v>
      </c>
      <c r="N176" s="106">
        <f t="shared" si="12"/>
        <v>1.3026529411764707</v>
      </c>
      <c r="O176" s="133"/>
      <c r="P176" s="104">
        <f t="shared" si="198"/>
        <v>350515.46391752578</v>
      </c>
      <c r="Q176" s="104">
        <f t="shared" si="199"/>
        <v>272050</v>
      </c>
      <c r="R176" s="108">
        <f t="shared" si="13"/>
        <v>-78465.463917525776</v>
      </c>
      <c r="S176" s="109">
        <f t="shared" si="14"/>
        <v>0.77614264705882352</v>
      </c>
      <c r="T176" s="125"/>
      <c r="U176" s="104">
        <f t="shared" si="21"/>
        <v>12489690.721649487</v>
      </c>
      <c r="V176" s="104">
        <f t="shared" si="22"/>
        <v>10793200</v>
      </c>
      <c r="W176" s="111">
        <f t="shared" si="15"/>
        <v>-1696490.7216494866</v>
      </c>
      <c r="X176" s="112">
        <f t="shared" si="16"/>
        <v>0.86416871646718929</v>
      </c>
      <c r="Y176" s="113">
        <f t="shared" ref="Y176:Z176" si="203">Y175+1</f>
        <v>45813</v>
      </c>
      <c r="Z176" s="114">
        <f t="shared" si="203"/>
        <v>45813</v>
      </c>
      <c r="AA176" s="39"/>
      <c r="AB176" s="39"/>
      <c r="AC176" s="39"/>
      <c r="AD176" s="39"/>
      <c r="AE176" s="39"/>
      <c r="AF176" s="39"/>
      <c r="AG176" s="39"/>
    </row>
    <row r="177" spans="1:33" ht="16.5" customHeight="1">
      <c r="A177" s="39"/>
      <c r="B177" s="50"/>
      <c r="C177" s="95">
        <v>157</v>
      </c>
      <c r="D177" s="96">
        <v>1</v>
      </c>
      <c r="E177" s="97">
        <f t="shared" si="8"/>
        <v>6</v>
      </c>
      <c r="F177" s="98">
        <f t="shared" si="18"/>
        <v>45814</v>
      </c>
      <c r="G177" s="99" t="str">
        <f t="shared" si="9"/>
        <v>Fri</v>
      </c>
      <c r="H177" s="100"/>
      <c r="I177" s="101"/>
      <c r="J177" s="135">
        <v>113650</v>
      </c>
      <c r="K177" s="136"/>
      <c r="L177" s="104">
        <f t="shared" si="196"/>
        <v>87628.865979381444</v>
      </c>
      <c r="M177" s="105">
        <f t="shared" si="11"/>
        <v>26021.134020618556</v>
      </c>
      <c r="N177" s="106">
        <f t="shared" si="12"/>
        <v>1.2969470588235295</v>
      </c>
      <c r="O177" s="133"/>
      <c r="P177" s="104">
        <f t="shared" si="198"/>
        <v>438144.32989690721</v>
      </c>
      <c r="Q177" s="104">
        <f t="shared" si="199"/>
        <v>385700</v>
      </c>
      <c r="R177" s="108">
        <f t="shared" si="13"/>
        <v>-52444.329896907206</v>
      </c>
      <c r="S177" s="109">
        <f t="shared" si="14"/>
        <v>0.88030352941176471</v>
      </c>
      <c r="T177" s="125"/>
      <c r="U177" s="104">
        <f t="shared" si="21"/>
        <v>12577319.587628867</v>
      </c>
      <c r="V177" s="104">
        <f t="shared" si="22"/>
        <v>10906850</v>
      </c>
      <c r="W177" s="111">
        <f t="shared" si="15"/>
        <v>-1670469.5876288675</v>
      </c>
      <c r="X177" s="112">
        <f t="shared" si="16"/>
        <v>0.86718397540983594</v>
      </c>
      <c r="Y177" s="113">
        <f t="shared" ref="Y177:Z177" si="204">Y176+1</f>
        <v>45814</v>
      </c>
      <c r="Z177" s="114">
        <f t="shared" si="204"/>
        <v>45814</v>
      </c>
      <c r="AA177" s="39"/>
      <c r="AB177" s="39"/>
      <c r="AC177" s="39"/>
      <c r="AD177" s="39"/>
      <c r="AE177" s="39"/>
      <c r="AF177" s="39"/>
      <c r="AG177" s="39"/>
    </row>
    <row r="178" spans="1:33" ht="16.5" customHeight="1">
      <c r="A178" s="39"/>
      <c r="B178" s="50"/>
      <c r="C178" s="95">
        <v>158</v>
      </c>
      <c r="D178" s="96">
        <v>1</v>
      </c>
      <c r="E178" s="97">
        <f t="shared" si="8"/>
        <v>6</v>
      </c>
      <c r="F178" s="98">
        <f t="shared" si="18"/>
        <v>45815</v>
      </c>
      <c r="G178" s="99" t="str">
        <f t="shared" si="9"/>
        <v>Sat</v>
      </c>
      <c r="H178" s="100"/>
      <c r="I178" s="101"/>
      <c r="J178" s="135">
        <v>91150</v>
      </c>
      <c r="K178" s="136"/>
      <c r="L178" s="104">
        <f t="shared" si="196"/>
        <v>87628.865979381444</v>
      </c>
      <c r="M178" s="105">
        <f t="shared" si="11"/>
        <v>3521.134020618556</v>
      </c>
      <c r="N178" s="106">
        <f t="shared" si="12"/>
        <v>1.0401823529411764</v>
      </c>
      <c r="O178" s="133"/>
      <c r="P178" s="104">
        <f t="shared" si="198"/>
        <v>525773.19587628869</v>
      </c>
      <c r="Q178" s="104">
        <f t="shared" si="199"/>
        <v>476850</v>
      </c>
      <c r="R178" s="108">
        <f t="shared" si="13"/>
        <v>-48923.195876288693</v>
      </c>
      <c r="S178" s="109">
        <f t="shared" si="14"/>
        <v>0.90694999999999992</v>
      </c>
      <c r="T178" s="125"/>
      <c r="U178" s="104">
        <f t="shared" si="21"/>
        <v>12664948.453608248</v>
      </c>
      <c r="V178" s="104">
        <f t="shared" si="22"/>
        <v>10998000</v>
      </c>
      <c r="W178" s="111">
        <f t="shared" si="15"/>
        <v>-1666948.4536082484</v>
      </c>
      <c r="X178" s="112">
        <f t="shared" si="16"/>
        <v>0.86838095238095236</v>
      </c>
      <c r="Y178" s="113">
        <f t="shared" ref="Y178:Z178" si="205">Y177+1</f>
        <v>45815</v>
      </c>
      <c r="Z178" s="114">
        <f t="shared" si="205"/>
        <v>45815</v>
      </c>
      <c r="AA178" s="39"/>
      <c r="AB178" s="39"/>
      <c r="AC178" s="39"/>
      <c r="AD178" s="39"/>
      <c r="AE178" s="39"/>
      <c r="AF178" s="39"/>
      <c r="AG178" s="39"/>
    </row>
    <row r="179" spans="1:33" ht="16.5" customHeight="1">
      <c r="A179" s="39"/>
      <c r="B179" s="50"/>
      <c r="C179" s="95">
        <v>159</v>
      </c>
      <c r="D179" s="96">
        <v>1</v>
      </c>
      <c r="E179" s="97">
        <f t="shared" si="8"/>
        <v>6</v>
      </c>
      <c r="F179" s="98">
        <f t="shared" si="18"/>
        <v>45816</v>
      </c>
      <c r="G179" s="99" t="str">
        <f t="shared" si="9"/>
        <v>Sun</v>
      </c>
      <c r="H179" s="100"/>
      <c r="I179" s="101"/>
      <c r="J179" s="135">
        <v>91850</v>
      </c>
      <c r="K179" s="136"/>
      <c r="L179" s="104">
        <f t="shared" si="196"/>
        <v>87628.865979381444</v>
      </c>
      <c r="M179" s="105">
        <f t="shared" si="11"/>
        <v>4221.134020618556</v>
      </c>
      <c r="N179" s="106">
        <f t="shared" si="12"/>
        <v>1.0481705882352941</v>
      </c>
      <c r="O179" s="134"/>
      <c r="P179" s="104">
        <f t="shared" si="198"/>
        <v>613402.06185567018</v>
      </c>
      <c r="Q179" s="104">
        <f t="shared" si="199"/>
        <v>568700</v>
      </c>
      <c r="R179" s="108">
        <f t="shared" si="13"/>
        <v>-44702.061855670181</v>
      </c>
      <c r="S179" s="109">
        <f t="shared" si="14"/>
        <v>0.92712436974789902</v>
      </c>
      <c r="T179" s="131"/>
      <c r="U179" s="104">
        <f t="shared" si="21"/>
        <v>12752577.319587629</v>
      </c>
      <c r="V179" s="104">
        <f t="shared" si="22"/>
        <v>11089850</v>
      </c>
      <c r="W179" s="111">
        <f t="shared" si="15"/>
        <v>-1662727.3195876293</v>
      </c>
      <c r="X179" s="112">
        <f t="shared" si="16"/>
        <v>0.86961637025060623</v>
      </c>
      <c r="Y179" s="113">
        <f t="shared" ref="Y179:Z179" si="206">Y178+1</f>
        <v>45816</v>
      </c>
      <c r="Z179" s="114">
        <f t="shared" si="206"/>
        <v>45816</v>
      </c>
      <c r="AA179" s="39"/>
      <c r="AB179" s="39"/>
      <c r="AC179" s="39"/>
      <c r="AD179" s="39"/>
      <c r="AE179" s="39"/>
      <c r="AF179" s="39"/>
      <c r="AG179" s="39"/>
    </row>
    <row r="180" spans="1:33" ht="16.5" customHeight="1">
      <c r="A180" s="39"/>
      <c r="B180" s="50"/>
      <c r="C180" s="95">
        <v>160</v>
      </c>
      <c r="D180" s="96">
        <v>0</v>
      </c>
      <c r="E180" s="97">
        <f t="shared" si="8"/>
        <v>6</v>
      </c>
      <c r="F180" s="98">
        <f t="shared" si="18"/>
        <v>45817</v>
      </c>
      <c r="G180" s="99" t="str">
        <f t="shared" si="9"/>
        <v>Mon</v>
      </c>
      <c r="H180" s="100"/>
      <c r="I180" s="101"/>
      <c r="J180" s="135"/>
      <c r="K180" s="136"/>
      <c r="L180" s="104">
        <f t="shared" si="196"/>
        <v>0</v>
      </c>
      <c r="M180" s="105">
        <f t="shared" si="11"/>
        <v>0</v>
      </c>
      <c r="N180" s="106" t="str">
        <f t="shared" si="12"/>
        <v>¥0</v>
      </c>
      <c r="O180" s="133"/>
      <c r="P180" s="104">
        <f t="shared" si="198"/>
        <v>0</v>
      </c>
      <c r="Q180" s="104">
        <f t="shared" si="199"/>
        <v>0</v>
      </c>
      <c r="R180" s="108">
        <f t="shared" si="13"/>
        <v>0</v>
      </c>
      <c r="S180" s="109">
        <f t="shared" si="14"/>
        <v>0</v>
      </c>
      <c r="T180" s="125"/>
      <c r="U180" s="104">
        <f t="shared" si="21"/>
        <v>0</v>
      </c>
      <c r="V180" s="104">
        <f t="shared" si="22"/>
        <v>0</v>
      </c>
      <c r="W180" s="111">
        <f t="shared" si="15"/>
        <v>0</v>
      </c>
      <c r="X180" s="112">
        <f t="shared" si="16"/>
        <v>0</v>
      </c>
      <c r="Y180" s="113">
        <f t="shared" ref="Y180:Z180" si="207">Y179+1</f>
        <v>45817</v>
      </c>
      <c r="Z180" s="114">
        <f t="shared" si="207"/>
        <v>45817</v>
      </c>
      <c r="AA180" s="39"/>
      <c r="AB180" s="39"/>
      <c r="AC180" s="39"/>
      <c r="AD180" s="39"/>
      <c r="AE180" s="39"/>
      <c r="AF180" s="39"/>
      <c r="AG180" s="39"/>
    </row>
    <row r="181" spans="1:33" ht="16.5" customHeight="1">
      <c r="A181" s="39"/>
      <c r="B181" s="50"/>
      <c r="C181" s="95">
        <v>161</v>
      </c>
      <c r="D181" s="96">
        <v>1</v>
      </c>
      <c r="E181" s="97">
        <f t="shared" si="8"/>
        <v>6</v>
      </c>
      <c r="F181" s="98">
        <f t="shared" si="18"/>
        <v>45818</v>
      </c>
      <c r="G181" s="99" t="str">
        <f t="shared" si="9"/>
        <v>Tue</v>
      </c>
      <c r="H181" s="100"/>
      <c r="I181" s="101"/>
      <c r="J181" s="135">
        <v>124900</v>
      </c>
      <c r="K181" s="136"/>
      <c r="L181" s="104">
        <f t="shared" si="196"/>
        <v>87628.865979381444</v>
      </c>
      <c r="M181" s="105">
        <f t="shared" si="11"/>
        <v>37271.134020618556</v>
      </c>
      <c r="N181" s="106">
        <f t="shared" si="12"/>
        <v>1.425329411764706</v>
      </c>
      <c r="O181" s="133"/>
      <c r="P181" s="104">
        <f t="shared" si="198"/>
        <v>701030.92783505167</v>
      </c>
      <c r="Q181" s="104">
        <f t="shared" si="199"/>
        <v>693600</v>
      </c>
      <c r="R181" s="108">
        <f t="shared" si="13"/>
        <v>-7430.9278350516688</v>
      </c>
      <c r="S181" s="109">
        <f t="shared" si="14"/>
        <v>0.98939999999999984</v>
      </c>
      <c r="T181" s="125"/>
      <c r="U181" s="104">
        <f t="shared" si="21"/>
        <v>12840206.18556701</v>
      </c>
      <c r="V181" s="104">
        <f t="shared" si="22"/>
        <v>11214750</v>
      </c>
      <c r="W181" s="111">
        <f t="shared" si="15"/>
        <v>-1625456.1855670102</v>
      </c>
      <c r="X181" s="112">
        <f t="shared" si="16"/>
        <v>0.87340887193898031</v>
      </c>
      <c r="Y181" s="113">
        <f t="shared" ref="Y181:Z181" si="208">Y180+1</f>
        <v>45818</v>
      </c>
      <c r="Z181" s="114">
        <f t="shared" si="208"/>
        <v>45818</v>
      </c>
      <c r="AA181" s="39"/>
      <c r="AB181" s="39"/>
      <c r="AC181" s="39"/>
      <c r="AD181" s="39"/>
      <c r="AE181" s="39"/>
      <c r="AF181" s="39"/>
      <c r="AG181" s="39"/>
    </row>
    <row r="182" spans="1:33" ht="16.5" customHeight="1">
      <c r="A182" s="39"/>
      <c r="B182" s="50"/>
      <c r="C182" s="95">
        <v>162</v>
      </c>
      <c r="D182" s="96">
        <v>1</v>
      </c>
      <c r="E182" s="97">
        <f t="shared" si="8"/>
        <v>6</v>
      </c>
      <c r="F182" s="98">
        <f t="shared" si="18"/>
        <v>45819</v>
      </c>
      <c r="G182" s="99" t="str">
        <f t="shared" si="9"/>
        <v>Wed</v>
      </c>
      <c r="H182" s="100"/>
      <c r="I182" s="101"/>
      <c r="J182" s="135">
        <v>57800</v>
      </c>
      <c r="K182" s="136"/>
      <c r="L182" s="104">
        <f t="shared" si="196"/>
        <v>87628.865979381444</v>
      </c>
      <c r="M182" s="105">
        <f t="shared" si="11"/>
        <v>-29828.865979381444</v>
      </c>
      <c r="N182" s="106">
        <f t="shared" si="12"/>
        <v>0.65959999999999996</v>
      </c>
      <c r="O182" s="133"/>
      <c r="P182" s="104">
        <f t="shared" si="198"/>
        <v>788659.79381443316</v>
      </c>
      <c r="Q182" s="104">
        <f t="shared" si="199"/>
        <v>751400</v>
      </c>
      <c r="R182" s="108">
        <f t="shared" si="13"/>
        <v>-37259.793814433157</v>
      </c>
      <c r="S182" s="109">
        <f t="shared" si="14"/>
        <v>0.95275555555555536</v>
      </c>
      <c r="T182" s="125"/>
      <c r="U182" s="104">
        <f t="shared" si="21"/>
        <v>12927835.051546391</v>
      </c>
      <c r="V182" s="104">
        <f t="shared" si="22"/>
        <v>11272550</v>
      </c>
      <c r="W182" s="111">
        <f t="shared" si="15"/>
        <v>-1655285.0515463911</v>
      </c>
      <c r="X182" s="112">
        <f t="shared" si="16"/>
        <v>0.87195960925039873</v>
      </c>
      <c r="Y182" s="113">
        <f t="shared" ref="Y182:Z182" si="209">Y181+1</f>
        <v>45819</v>
      </c>
      <c r="Z182" s="114">
        <f t="shared" si="209"/>
        <v>45819</v>
      </c>
      <c r="AA182" s="39"/>
      <c r="AB182" s="39"/>
      <c r="AC182" s="39"/>
      <c r="AD182" s="39"/>
      <c r="AE182" s="39"/>
      <c r="AF182" s="39"/>
      <c r="AG182" s="39"/>
    </row>
    <row r="183" spans="1:33" ht="16.5" customHeight="1">
      <c r="A183" s="39"/>
      <c r="B183" s="50"/>
      <c r="C183" s="95">
        <v>163</v>
      </c>
      <c r="D183" s="96">
        <v>1</v>
      </c>
      <c r="E183" s="97">
        <f t="shared" si="8"/>
        <v>6</v>
      </c>
      <c r="F183" s="98">
        <f t="shared" si="18"/>
        <v>45820</v>
      </c>
      <c r="G183" s="99" t="str">
        <f t="shared" si="9"/>
        <v>Thu</v>
      </c>
      <c r="H183" s="100"/>
      <c r="I183" s="101"/>
      <c r="J183" s="135">
        <v>76350</v>
      </c>
      <c r="K183" s="136"/>
      <c r="L183" s="104">
        <f t="shared" si="196"/>
        <v>87628.865979381444</v>
      </c>
      <c r="M183" s="105">
        <f t="shared" si="11"/>
        <v>-11278.865979381444</v>
      </c>
      <c r="N183" s="106">
        <f t="shared" si="12"/>
        <v>0.87128823529411759</v>
      </c>
      <c r="O183" s="133"/>
      <c r="P183" s="104">
        <f t="shared" si="198"/>
        <v>876288.65979381464</v>
      </c>
      <c r="Q183" s="104">
        <f t="shared" si="199"/>
        <v>827750</v>
      </c>
      <c r="R183" s="108">
        <f t="shared" si="13"/>
        <v>-48538.659793814644</v>
      </c>
      <c r="S183" s="109">
        <f t="shared" si="14"/>
        <v>0.94460882352941156</v>
      </c>
      <c r="T183" s="125"/>
      <c r="U183" s="104">
        <f t="shared" si="21"/>
        <v>13015463.917525772</v>
      </c>
      <c r="V183" s="104">
        <f t="shared" si="22"/>
        <v>11348900</v>
      </c>
      <c r="W183" s="111">
        <f t="shared" si="15"/>
        <v>-1666563.917525772</v>
      </c>
      <c r="X183" s="112">
        <f t="shared" si="16"/>
        <v>0.87195508910891095</v>
      </c>
      <c r="Y183" s="113">
        <f t="shared" ref="Y183:Z183" si="210">Y182+1</f>
        <v>45820</v>
      </c>
      <c r="Z183" s="114">
        <f t="shared" si="210"/>
        <v>45820</v>
      </c>
      <c r="AA183" s="39"/>
      <c r="AB183" s="39"/>
      <c r="AC183" s="39"/>
      <c r="AD183" s="39"/>
      <c r="AE183" s="39"/>
      <c r="AF183" s="39"/>
      <c r="AG183" s="39"/>
    </row>
    <row r="184" spans="1:33" ht="16.5" customHeight="1">
      <c r="A184" s="39"/>
      <c r="B184" s="50"/>
      <c r="C184" s="95">
        <v>164</v>
      </c>
      <c r="D184" s="96">
        <v>1</v>
      </c>
      <c r="E184" s="97">
        <f t="shared" si="8"/>
        <v>6</v>
      </c>
      <c r="F184" s="98">
        <f t="shared" si="18"/>
        <v>45821</v>
      </c>
      <c r="G184" s="99" t="str">
        <f t="shared" si="9"/>
        <v>Fri</v>
      </c>
      <c r="H184" s="100"/>
      <c r="I184" s="101"/>
      <c r="J184" s="135">
        <v>113850</v>
      </c>
      <c r="K184" s="136"/>
      <c r="L184" s="104">
        <f t="shared" si="196"/>
        <v>87628.865979381444</v>
      </c>
      <c r="M184" s="105">
        <f t="shared" si="11"/>
        <v>26221.134020618556</v>
      </c>
      <c r="N184" s="106">
        <f t="shared" si="12"/>
        <v>1.2992294117647059</v>
      </c>
      <c r="O184" s="133"/>
      <c r="P184" s="104">
        <f t="shared" si="198"/>
        <v>963917.52577319613</v>
      </c>
      <c r="Q184" s="104">
        <f t="shared" si="199"/>
        <v>941600</v>
      </c>
      <c r="R184" s="108">
        <f t="shared" si="13"/>
        <v>-22317.525773196132</v>
      </c>
      <c r="S184" s="109">
        <f t="shared" si="14"/>
        <v>0.97684705882352918</v>
      </c>
      <c r="T184" s="125"/>
      <c r="U184" s="104">
        <f t="shared" si="21"/>
        <v>13103092.783505153</v>
      </c>
      <c r="V184" s="104">
        <f t="shared" si="22"/>
        <v>11462750</v>
      </c>
      <c r="W184" s="111">
        <f t="shared" si="15"/>
        <v>-1640342.7835051529</v>
      </c>
      <c r="X184" s="112">
        <f t="shared" si="16"/>
        <v>0.87481254917387896</v>
      </c>
      <c r="Y184" s="113">
        <f t="shared" ref="Y184:Z184" si="211">Y183+1</f>
        <v>45821</v>
      </c>
      <c r="Z184" s="114">
        <f t="shared" si="211"/>
        <v>45821</v>
      </c>
      <c r="AA184" s="39"/>
      <c r="AB184" s="39"/>
      <c r="AC184" s="39"/>
      <c r="AD184" s="39"/>
      <c r="AE184" s="39"/>
      <c r="AF184" s="39"/>
      <c r="AG184" s="39"/>
    </row>
    <row r="185" spans="1:33" ht="16.5" customHeight="1">
      <c r="A185" s="39"/>
      <c r="B185" s="50"/>
      <c r="C185" s="95">
        <v>165</v>
      </c>
      <c r="D185" s="96">
        <v>1</v>
      </c>
      <c r="E185" s="97">
        <f t="shared" si="8"/>
        <v>6</v>
      </c>
      <c r="F185" s="98">
        <f t="shared" si="18"/>
        <v>45822</v>
      </c>
      <c r="G185" s="99" t="str">
        <f t="shared" si="9"/>
        <v>Sat</v>
      </c>
      <c r="H185" s="100"/>
      <c r="I185" s="101"/>
      <c r="J185" s="135">
        <v>142050</v>
      </c>
      <c r="K185" s="136"/>
      <c r="L185" s="104">
        <f t="shared" si="196"/>
        <v>87628.865979381444</v>
      </c>
      <c r="M185" s="105">
        <f t="shared" si="11"/>
        <v>54421.134020618556</v>
      </c>
      <c r="N185" s="106">
        <f t="shared" si="12"/>
        <v>1.6210411764705883</v>
      </c>
      <c r="O185" s="133"/>
      <c r="P185" s="104">
        <f t="shared" si="198"/>
        <v>1051546.3917525776</v>
      </c>
      <c r="Q185" s="104">
        <f t="shared" si="199"/>
        <v>1083650</v>
      </c>
      <c r="R185" s="108">
        <f t="shared" si="13"/>
        <v>32103.60824742238</v>
      </c>
      <c r="S185" s="109">
        <f t="shared" si="14"/>
        <v>1.0305299019607841</v>
      </c>
      <c r="T185" s="125"/>
      <c r="U185" s="104">
        <f t="shared" si="21"/>
        <v>13190721.649484534</v>
      </c>
      <c r="V185" s="104">
        <f t="shared" si="22"/>
        <v>11604800</v>
      </c>
      <c r="W185" s="111">
        <f t="shared" si="15"/>
        <v>-1585921.6494845338</v>
      </c>
      <c r="X185" s="112">
        <f t="shared" si="16"/>
        <v>0.87976991012114125</v>
      </c>
      <c r="Y185" s="113">
        <f t="shared" ref="Y185:Z185" si="212">Y184+1</f>
        <v>45822</v>
      </c>
      <c r="Z185" s="114">
        <f t="shared" si="212"/>
        <v>45822</v>
      </c>
      <c r="AA185" s="39"/>
      <c r="AB185" s="39"/>
      <c r="AC185" s="39"/>
      <c r="AD185" s="39"/>
      <c r="AE185" s="39"/>
      <c r="AF185" s="39"/>
      <c r="AG185" s="39"/>
    </row>
    <row r="186" spans="1:33" ht="16.5" customHeight="1">
      <c r="A186" s="39"/>
      <c r="B186" s="50"/>
      <c r="C186" s="95">
        <v>166</v>
      </c>
      <c r="D186" s="96">
        <v>1</v>
      </c>
      <c r="E186" s="97">
        <f t="shared" si="8"/>
        <v>6</v>
      </c>
      <c r="F186" s="98">
        <f t="shared" si="18"/>
        <v>45823</v>
      </c>
      <c r="G186" s="99" t="str">
        <f t="shared" si="9"/>
        <v>Sun</v>
      </c>
      <c r="H186" s="100"/>
      <c r="I186" s="101"/>
      <c r="J186" s="135">
        <v>51100</v>
      </c>
      <c r="K186" s="136"/>
      <c r="L186" s="104">
        <f t="shared" si="196"/>
        <v>87628.865979381444</v>
      </c>
      <c r="M186" s="105">
        <f t="shared" si="11"/>
        <v>-36528.865979381444</v>
      </c>
      <c r="N186" s="106">
        <f t="shared" si="12"/>
        <v>0.58314117647058827</v>
      </c>
      <c r="O186" s="134"/>
      <c r="P186" s="104">
        <f t="shared" si="198"/>
        <v>1139175.257731959</v>
      </c>
      <c r="Q186" s="104">
        <f t="shared" si="199"/>
        <v>1134750</v>
      </c>
      <c r="R186" s="108">
        <f t="shared" si="13"/>
        <v>-4425.2577319589909</v>
      </c>
      <c r="S186" s="109">
        <f t="shared" si="14"/>
        <v>0.9961153846153844</v>
      </c>
      <c r="T186" s="131"/>
      <c r="U186" s="104">
        <f t="shared" si="21"/>
        <v>13278350.515463915</v>
      </c>
      <c r="V186" s="104">
        <f t="shared" si="22"/>
        <v>11655900</v>
      </c>
      <c r="W186" s="111">
        <f t="shared" si="15"/>
        <v>-1622450.5154639147</v>
      </c>
      <c r="X186" s="112">
        <f t="shared" si="16"/>
        <v>0.87781234472049707</v>
      </c>
      <c r="Y186" s="113">
        <f t="shared" ref="Y186:Z186" si="213">Y185+1</f>
        <v>45823</v>
      </c>
      <c r="Z186" s="114">
        <f t="shared" si="213"/>
        <v>45823</v>
      </c>
      <c r="AA186" s="39"/>
      <c r="AB186" s="39"/>
      <c r="AC186" s="39"/>
      <c r="AD186" s="39"/>
      <c r="AE186" s="39"/>
      <c r="AF186" s="39"/>
      <c r="AG186" s="39"/>
    </row>
    <row r="187" spans="1:33" ht="16.5" customHeight="1">
      <c r="A187" s="39"/>
      <c r="B187" s="50"/>
      <c r="C187" s="95">
        <v>167</v>
      </c>
      <c r="D187" s="96">
        <v>0</v>
      </c>
      <c r="E187" s="97">
        <f t="shared" si="8"/>
        <v>6</v>
      </c>
      <c r="F187" s="98">
        <f t="shared" si="18"/>
        <v>45824</v>
      </c>
      <c r="G187" s="99" t="str">
        <f t="shared" si="9"/>
        <v>Mon</v>
      </c>
      <c r="H187" s="100"/>
      <c r="I187" s="101"/>
      <c r="J187" s="135"/>
      <c r="K187" s="136"/>
      <c r="L187" s="104">
        <f t="shared" si="196"/>
        <v>0</v>
      </c>
      <c r="M187" s="105">
        <f t="shared" si="11"/>
        <v>0</v>
      </c>
      <c r="N187" s="106" t="str">
        <f t="shared" si="12"/>
        <v>¥0</v>
      </c>
      <c r="O187" s="133"/>
      <c r="P187" s="104">
        <f t="shared" si="198"/>
        <v>0</v>
      </c>
      <c r="Q187" s="104">
        <f t="shared" si="199"/>
        <v>0</v>
      </c>
      <c r="R187" s="108">
        <f t="shared" si="13"/>
        <v>0</v>
      </c>
      <c r="S187" s="109">
        <f t="shared" si="14"/>
        <v>0</v>
      </c>
      <c r="T187" s="125"/>
      <c r="U187" s="104">
        <f t="shared" si="21"/>
        <v>0</v>
      </c>
      <c r="V187" s="104">
        <f t="shared" si="22"/>
        <v>0</v>
      </c>
      <c r="W187" s="111">
        <f t="shared" si="15"/>
        <v>0</v>
      </c>
      <c r="X187" s="112">
        <f t="shared" si="16"/>
        <v>0</v>
      </c>
      <c r="Y187" s="113">
        <f t="shared" ref="Y187:Z187" si="214">Y186+1</f>
        <v>45824</v>
      </c>
      <c r="Z187" s="114">
        <f t="shared" si="214"/>
        <v>45824</v>
      </c>
      <c r="AA187" s="39"/>
      <c r="AB187" s="39"/>
      <c r="AC187" s="39"/>
      <c r="AD187" s="39"/>
      <c r="AE187" s="39"/>
      <c r="AF187" s="39"/>
      <c r="AG187" s="39"/>
    </row>
    <row r="188" spans="1:33" ht="16.5" customHeight="1">
      <c r="A188" s="39"/>
      <c r="B188" s="50"/>
      <c r="C188" s="95">
        <v>168</v>
      </c>
      <c r="D188" s="96">
        <v>1</v>
      </c>
      <c r="E188" s="97">
        <f t="shared" si="8"/>
        <v>6</v>
      </c>
      <c r="F188" s="98">
        <f t="shared" si="18"/>
        <v>45825</v>
      </c>
      <c r="G188" s="99" t="str">
        <f t="shared" si="9"/>
        <v>Tue</v>
      </c>
      <c r="H188" s="100"/>
      <c r="I188" s="101"/>
      <c r="J188" s="135">
        <v>52100</v>
      </c>
      <c r="K188" s="136"/>
      <c r="L188" s="104">
        <f t="shared" si="196"/>
        <v>87628.865979381444</v>
      </c>
      <c r="M188" s="105">
        <f t="shared" si="11"/>
        <v>-35528.865979381444</v>
      </c>
      <c r="N188" s="106">
        <f t="shared" si="12"/>
        <v>0.59455294117647062</v>
      </c>
      <c r="O188" s="133"/>
      <c r="P188" s="104">
        <f t="shared" si="198"/>
        <v>1226804.1237113404</v>
      </c>
      <c r="Q188" s="104">
        <f t="shared" si="199"/>
        <v>1186850</v>
      </c>
      <c r="R188" s="108">
        <f t="shared" si="13"/>
        <v>-39954.123711340362</v>
      </c>
      <c r="S188" s="109">
        <f t="shared" si="14"/>
        <v>0.96743235294117635</v>
      </c>
      <c r="T188" s="125"/>
      <c r="U188" s="104">
        <f t="shared" si="21"/>
        <v>13365979.381443296</v>
      </c>
      <c r="V188" s="104">
        <f t="shared" si="22"/>
        <v>11708000</v>
      </c>
      <c r="W188" s="111">
        <f t="shared" si="15"/>
        <v>-1657979.3814432956</v>
      </c>
      <c r="X188" s="112">
        <f t="shared" si="16"/>
        <v>0.87595526417277303</v>
      </c>
      <c r="Y188" s="113">
        <f t="shared" ref="Y188:Z188" si="215">Y187+1</f>
        <v>45825</v>
      </c>
      <c r="Z188" s="114">
        <f t="shared" si="215"/>
        <v>45825</v>
      </c>
      <c r="AA188" s="39"/>
      <c r="AB188" s="39"/>
      <c r="AC188" s="39"/>
      <c r="AD188" s="39"/>
      <c r="AE188" s="39"/>
      <c r="AF188" s="39"/>
      <c r="AG188" s="39"/>
    </row>
    <row r="189" spans="1:33" ht="16.5" customHeight="1">
      <c r="A189" s="39"/>
      <c r="B189" s="50"/>
      <c r="C189" s="95">
        <v>169</v>
      </c>
      <c r="D189" s="96">
        <v>1</v>
      </c>
      <c r="E189" s="97">
        <f t="shared" si="8"/>
        <v>6</v>
      </c>
      <c r="F189" s="98">
        <f t="shared" si="18"/>
        <v>45826</v>
      </c>
      <c r="G189" s="99" t="str">
        <f t="shared" si="9"/>
        <v>Wed</v>
      </c>
      <c r="H189" s="100"/>
      <c r="I189" s="101"/>
      <c r="J189" s="135">
        <v>116100</v>
      </c>
      <c r="K189" s="136"/>
      <c r="L189" s="104">
        <f t="shared" si="196"/>
        <v>87628.865979381444</v>
      </c>
      <c r="M189" s="105">
        <f t="shared" si="11"/>
        <v>28471.134020618556</v>
      </c>
      <c r="N189" s="106">
        <f t="shared" si="12"/>
        <v>1.3249058823529412</v>
      </c>
      <c r="O189" s="133"/>
      <c r="P189" s="104">
        <f t="shared" si="198"/>
        <v>1314432.9896907217</v>
      </c>
      <c r="Q189" s="104">
        <f t="shared" si="199"/>
        <v>1302950</v>
      </c>
      <c r="R189" s="108">
        <f t="shared" si="13"/>
        <v>-11482.989690721733</v>
      </c>
      <c r="S189" s="109">
        <f t="shared" si="14"/>
        <v>0.99126392156862742</v>
      </c>
      <c r="T189" s="125"/>
      <c r="U189" s="104">
        <f t="shared" si="21"/>
        <v>13453608.247422677</v>
      </c>
      <c r="V189" s="104">
        <f t="shared" si="22"/>
        <v>11824100</v>
      </c>
      <c r="W189" s="111">
        <f t="shared" si="15"/>
        <v>-1629508.2474226765</v>
      </c>
      <c r="X189" s="112">
        <f t="shared" si="16"/>
        <v>0.8788794636015328</v>
      </c>
      <c r="Y189" s="113">
        <f t="shared" ref="Y189:Z189" si="216">Y188+1</f>
        <v>45826</v>
      </c>
      <c r="Z189" s="114">
        <f t="shared" si="216"/>
        <v>45826</v>
      </c>
      <c r="AA189" s="39"/>
      <c r="AB189" s="39"/>
      <c r="AC189" s="39"/>
      <c r="AD189" s="39"/>
      <c r="AE189" s="39"/>
      <c r="AF189" s="39"/>
      <c r="AG189" s="39"/>
    </row>
    <row r="190" spans="1:33" ht="16.5" customHeight="1">
      <c r="A190" s="39"/>
      <c r="B190" s="50"/>
      <c r="C190" s="95">
        <v>170</v>
      </c>
      <c r="D190" s="96">
        <v>1</v>
      </c>
      <c r="E190" s="97">
        <f t="shared" si="8"/>
        <v>6</v>
      </c>
      <c r="F190" s="98">
        <f t="shared" si="18"/>
        <v>45827</v>
      </c>
      <c r="G190" s="99" t="str">
        <f t="shared" si="9"/>
        <v>Thu</v>
      </c>
      <c r="H190" s="100"/>
      <c r="I190" s="101"/>
      <c r="J190" s="135">
        <v>141550</v>
      </c>
      <c r="K190" s="136"/>
      <c r="L190" s="104">
        <f t="shared" si="196"/>
        <v>87628.865979381444</v>
      </c>
      <c r="M190" s="105">
        <f t="shared" si="11"/>
        <v>53921.134020618556</v>
      </c>
      <c r="N190" s="106">
        <f t="shared" si="12"/>
        <v>1.6153352941176471</v>
      </c>
      <c r="O190" s="133"/>
      <c r="P190" s="104">
        <f t="shared" si="198"/>
        <v>1402061.8556701031</v>
      </c>
      <c r="Q190" s="104">
        <f t="shared" si="199"/>
        <v>1444500</v>
      </c>
      <c r="R190" s="108">
        <f t="shared" si="13"/>
        <v>42438.144329896895</v>
      </c>
      <c r="S190" s="109">
        <f t="shared" si="14"/>
        <v>1.0302683823529413</v>
      </c>
      <c r="T190" s="125"/>
      <c r="U190" s="104">
        <f t="shared" si="21"/>
        <v>13541237.113402057</v>
      </c>
      <c r="V190" s="104">
        <f t="shared" si="22"/>
        <v>11965650</v>
      </c>
      <c r="W190" s="111">
        <f t="shared" si="15"/>
        <v>-1575587.1134020574</v>
      </c>
      <c r="X190" s="112">
        <f t="shared" si="16"/>
        <v>0.88364526075371175</v>
      </c>
      <c r="Y190" s="113">
        <f t="shared" ref="Y190:Z190" si="217">Y189+1</f>
        <v>45827</v>
      </c>
      <c r="Z190" s="114">
        <f t="shared" si="217"/>
        <v>45827</v>
      </c>
      <c r="AA190" s="39"/>
      <c r="AB190" s="39"/>
      <c r="AC190" s="39"/>
      <c r="AD190" s="39"/>
      <c r="AE190" s="39"/>
      <c r="AF190" s="39"/>
      <c r="AG190" s="39"/>
    </row>
    <row r="191" spans="1:33" ht="16.5" customHeight="1">
      <c r="A191" s="39"/>
      <c r="B191" s="50"/>
      <c r="C191" s="95">
        <v>171</v>
      </c>
      <c r="D191" s="96">
        <v>1</v>
      </c>
      <c r="E191" s="97">
        <f t="shared" si="8"/>
        <v>6</v>
      </c>
      <c r="F191" s="98">
        <f t="shared" si="18"/>
        <v>45828</v>
      </c>
      <c r="G191" s="99" t="str">
        <f t="shared" si="9"/>
        <v>Fri</v>
      </c>
      <c r="H191" s="100"/>
      <c r="I191" s="101"/>
      <c r="J191" s="135">
        <v>130550</v>
      </c>
      <c r="K191" s="136"/>
      <c r="L191" s="104">
        <f t="shared" si="196"/>
        <v>87628.865979381444</v>
      </c>
      <c r="M191" s="105">
        <f t="shared" si="11"/>
        <v>42921.134020618556</v>
      </c>
      <c r="N191" s="106">
        <f t="shared" si="12"/>
        <v>1.4898058823529412</v>
      </c>
      <c r="O191" s="133"/>
      <c r="P191" s="104">
        <f t="shared" si="198"/>
        <v>1489690.7216494845</v>
      </c>
      <c r="Q191" s="104">
        <f t="shared" si="199"/>
        <v>1575050</v>
      </c>
      <c r="R191" s="108">
        <f t="shared" si="13"/>
        <v>85359.278350515524</v>
      </c>
      <c r="S191" s="109">
        <f t="shared" si="14"/>
        <v>1.0573000000000001</v>
      </c>
      <c r="T191" s="125"/>
      <c r="U191" s="104">
        <f t="shared" si="21"/>
        <v>13628865.979381438</v>
      </c>
      <c r="V191" s="104">
        <f t="shared" si="22"/>
        <v>12096200</v>
      </c>
      <c r="W191" s="111">
        <f t="shared" si="15"/>
        <v>-1532665.9793814383</v>
      </c>
      <c r="X191" s="112">
        <f t="shared" si="16"/>
        <v>0.88754266263237547</v>
      </c>
      <c r="Y191" s="113">
        <f t="shared" ref="Y191:Z191" si="218">Y190+1</f>
        <v>45828</v>
      </c>
      <c r="Z191" s="114">
        <f t="shared" si="218"/>
        <v>45828</v>
      </c>
      <c r="AA191" s="39"/>
      <c r="AB191" s="39"/>
      <c r="AC191" s="39"/>
      <c r="AD191" s="39"/>
      <c r="AE191" s="39"/>
      <c r="AF191" s="39"/>
      <c r="AG191" s="39"/>
    </row>
    <row r="192" spans="1:33" ht="16.5" customHeight="1">
      <c r="A192" s="39"/>
      <c r="B192" s="50"/>
      <c r="C192" s="95">
        <v>172</v>
      </c>
      <c r="D192" s="96">
        <v>1</v>
      </c>
      <c r="E192" s="97">
        <f t="shared" si="8"/>
        <v>6</v>
      </c>
      <c r="F192" s="98">
        <f t="shared" si="18"/>
        <v>45829</v>
      </c>
      <c r="G192" s="99" t="str">
        <f t="shared" si="9"/>
        <v>Sat</v>
      </c>
      <c r="H192" s="100"/>
      <c r="I192" s="101"/>
      <c r="J192" s="135">
        <v>74200</v>
      </c>
      <c r="K192" s="136"/>
      <c r="L192" s="104">
        <f t="shared" si="196"/>
        <v>87628.865979381444</v>
      </c>
      <c r="M192" s="105">
        <f t="shared" si="11"/>
        <v>-13428.865979381444</v>
      </c>
      <c r="N192" s="106">
        <f t="shared" si="12"/>
        <v>0.8467529411764706</v>
      </c>
      <c r="O192" s="133"/>
      <c r="P192" s="104">
        <f t="shared" si="198"/>
        <v>1577319.5876288658</v>
      </c>
      <c r="Q192" s="104">
        <f t="shared" si="199"/>
        <v>1649250</v>
      </c>
      <c r="R192" s="108">
        <f t="shared" si="13"/>
        <v>71930.412371134153</v>
      </c>
      <c r="S192" s="109">
        <f t="shared" si="14"/>
        <v>1.0456029411764707</v>
      </c>
      <c r="T192" s="125"/>
      <c r="U192" s="104">
        <f t="shared" si="21"/>
        <v>13716494.845360819</v>
      </c>
      <c r="V192" s="104">
        <f t="shared" si="22"/>
        <v>12170400</v>
      </c>
      <c r="W192" s="111">
        <f t="shared" si="15"/>
        <v>-1546094.8453608193</v>
      </c>
      <c r="X192" s="112">
        <f t="shared" si="16"/>
        <v>0.88728207440811757</v>
      </c>
      <c r="Y192" s="113">
        <f t="shared" ref="Y192:Z192" si="219">Y191+1</f>
        <v>45829</v>
      </c>
      <c r="Z192" s="114">
        <f t="shared" si="219"/>
        <v>45829</v>
      </c>
      <c r="AA192" s="39"/>
      <c r="AB192" s="39"/>
      <c r="AC192" s="39"/>
      <c r="AD192" s="39"/>
      <c r="AE192" s="39"/>
      <c r="AF192" s="39"/>
      <c r="AG192" s="39"/>
    </row>
    <row r="193" spans="1:33" ht="16.5" customHeight="1">
      <c r="A193" s="39"/>
      <c r="B193" s="50"/>
      <c r="C193" s="95">
        <v>173</v>
      </c>
      <c r="D193" s="96">
        <v>1</v>
      </c>
      <c r="E193" s="97">
        <f t="shared" si="8"/>
        <v>6</v>
      </c>
      <c r="F193" s="98">
        <f t="shared" si="18"/>
        <v>45830</v>
      </c>
      <c r="G193" s="99" t="str">
        <f t="shared" si="9"/>
        <v>Sun</v>
      </c>
      <c r="H193" s="100"/>
      <c r="I193" s="101"/>
      <c r="J193" s="135">
        <v>110000</v>
      </c>
      <c r="K193" s="136"/>
      <c r="L193" s="104">
        <f t="shared" si="196"/>
        <v>87628.865979381444</v>
      </c>
      <c r="M193" s="105">
        <f t="shared" si="11"/>
        <v>22371.134020618556</v>
      </c>
      <c r="N193" s="106">
        <f t="shared" si="12"/>
        <v>1.2552941176470589</v>
      </c>
      <c r="O193" s="134"/>
      <c r="P193" s="104">
        <f t="shared" si="198"/>
        <v>1664948.4536082472</v>
      </c>
      <c r="Q193" s="104">
        <f t="shared" si="199"/>
        <v>1759250</v>
      </c>
      <c r="R193" s="108">
        <f t="shared" si="13"/>
        <v>94301.546391752781</v>
      </c>
      <c r="S193" s="109">
        <f t="shared" si="14"/>
        <v>1.056639318885449</v>
      </c>
      <c r="T193" s="131"/>
      <c r="U193" s="104">
        <f t="shared" si="21"/>
        <v>13804123.7113402</v>
      </c>
      <c r="V193" s="104">
        <f t="shared" si="22"/>
        <v>12280400</v>
      </c>
      <c r="W193" s="111">
        <f t="shared" si="15"/>
        <v>-1523723.7113402002</v>
      </c>
      <c r="X193" s="112">
        <f t="shared" si="16"/>
        <v>0.88961822255414524</v>
      </c>
      <c r="Y193" s="113">
        <f t="shared" ref="Y193:Z193" si="220">Y192+1</f>
        <v>45830</v>
      </c>
      <c r="Z193" s="114">
        <f t="shared" si="220"/>
        <v>45830</v>
      </c>
      <c r="AA193" s="39"/>
      <c r="AB193" s="39"/>
      <c r="AC193" s="39"/>
      <c r="AD193" s="39"/>
      <c r="AE193" s="39"/>
      <c r="AF193" s="39"/>
      <c r="AG193" s="39"/>
    </row>
    <row r="194" spans="1:33" ht="16.5" customHeight="1">
      <c r="A194" s="39"/>
      <c r="B194" s="50"/>
      <c r="C194" s="95">
        <v>174</v>
      </c>
      <c r="D194" s="96">
        <v>0</v>
      </c>
      <c r="E194" s="97">
        <f t="shared" si="8"/>
        <v>6</v>
      </c>
      <c r="F194" s="98">
        <f t="shared" si="18"/>
        <v>45831</v>
      </c>
      <c r="G194" s="99" t="str">
        <f t="shared" si="9"/>
        <v>Mon</v>
      </c>
      <c r="H194" s="100"/>
      <c r="I194" s="101"/>
      <c r="J194" s="135"/>
      <c r="K194" s="136"/>
      <c r="L194" s="104">
        <f t="shared" si="196"/>
        <v>0</v>
      </c>
      <c r="M194" s="105">
        <f t="shared" si="11"/>
        <v>0</v>
      </c>
      <c r="N194" s="106" t="str">
        <f t="shared" si="12"/>
        <v>¥0</v>
      </c>
      <c r="O194" s="133"/>
      <c r="P194" s="104">
        <f t="shared" si="198"/>
        <v>0</v>
      </c>
      <c r="Q194" s="104">
        <f t="shared" si="199"/>
        <v>0</v>
      </c>
      <c r="R194" s="108">
        <f t="shared" si="13"/>
        <v>0</v>
      </c>
      <c r="S194" s="109">
        <f t="shared" si="14"/>
        <v>0</v>
      </c>
      <c r="T194" s="125"/>
      <c r="U194" s="104">
        <f t="shared" si="21"/>
        <v>0</v>
      </c>
      <c r="V194" s="104">
        <f t="shared" si="22"/>
        <v>0</v>
      </c>
      <c r="W194" s="111">
        <f t="shared" si="15"/>
        <v>0</v>
      </c>
      <c r="X194" s="112">
        <f t="shared" si="16"/>
        <v>0</v>
      </c>
      <c r="Y194" s="113">
        <f t="shared" ref="Y194:Z194" si="221">Y193+1</f>
        <v>45831</v>
      </c>
      <c r="Z194" s="114">
        <f t="shared" si="221"/>
        <v>45831</v>
      </c>
      <c r="AA194" s="39"/>
      <c r="AB194" s="39"/>
      <c r="AC194" s="39"/>
      <c r="AD194" s="39"/>
      <c r="AE194" s="39"/>
      <c r="AF194" s="39"/>
      <c r="AG194" s="39"/>
    </row>
    <row r="195" spans="1:33" ht="16.5" customHeight="1">
      <c r="A195" s="39"/>
      <c r="B195" s="50"/>
      <c r="C195" s="95">
        <v>175</v>
      </c>
      <c r="D195" s="96">
        <v>1</v>
      </c>
      <c r="E195" s="97">
        <f t="shared" si="8"/>
        <v>6</v>
      </c>
      <c r="F195" s="98">
        <f t="shared" si="18"/>
        <v>45832</v>
      </c>
      <c r="G195" s="99" t="str">
        <f t="shared" si="9"/>
        <v>Tue</v>
      </c>
      <c r="H195" s="100"/>
      <c r="I195" s="101"/>
      <c r="J195" s="135">
        <v>50150</v>
      </c>
      <c r="K195" s="136"/>
      <c r="L195" s="104">
        <f t="shared" si="196"/>
        <v>87628.865979381444</v>
      </c>
      <c r="M195" s="105">
        <f t="shared" si="11"/>
        <v>-37478.865979381444</v>
      </c>
      <c r="N195" s="106">
        <f t="shared" si="12"/>
        <v>0.57230000000000003</v>
      </c>
      <c r="O195" s="133"/>
      <c r="P195" s="104">
        <f t="shared" si="198"/>
        <v>1752577.3195876286</v>
      </c>
      <c r="Q195" s="104">
        <f t="shared" si="199"/>
        <v>1809400</v>
      </c>
      <c r="R195" s="108">
        <f t="shared" si="13"/>
        <v>56822.68041237141</v>
      </c>
      <c r="S195" s="109">
        <f t="shared" si="14"/>
        <v>1.0324223529411767</v>
      </c>
      <c r="T195" s="125"/>
      <c r="U195" s="104">
        <f t="shared" si="21"/>
        <v>13891752.577319581</v>
      </c>
      <c r="V195" s="104">
        <f t="shared" si="22"/>
        <v>12330550</v>
      </c>
      <c r="W195" s="111">
        <f t="shared" si="15"/>
        <v>-1561202.5773195811</v>
      </c>
      <c r="X195" s="112">
        <f t="shared" si="16"/>
        <v>0.88761658627087237</v>
      </c>
      <c r="Y195" s="113">
        <f t="shared" ref="Y195:Z195" si="222">Y194+1</f>
        <v>45832</v>
      </c>
      <c r="Z195" s="114">
        <f t="shared" si="222"/>
        <v>45832</v>
      </c>
      <c r="AA195" s="39"/>
      <c r="AB195" s="39"/>
      <c r="AC195" s="39"/>
      <c r="AD195" s="39"/>
      <c r="AE195" s="39"/>
      <c r="AF195" s="39"/>
      <c r="AG195" s="39"/>
    </row>
    <row r="196" spans="1:33" ht="16.5" customHeight="1">
      <c r="A196" s="39"/>
      <c r="B196" s="50"/>
      <c r="C196" s="95">
        <v>176</v>
      </c>
      <c r="D196" s="96">
        <v>1</v>
      </c>
      <c r="E196" s="97">
        <f t="shared" si="8"/>
        <v>6</v>
      </c>
      <c r="F196" s="98">
        <f t="shared" si="18"/>
        <v>45833</v>
      </c>
      <c r="G196" s="99" t="str">
        <f t="shared" si="9"/>
        <v>Wed</v>
      </c>
      <c r="H196" s="100"/>
      <c r="I196" s="101"/>
      <c r="J196" s="135">
        <v>94500</v>
      </c>
      <c r="K196" s="136"/>
      <c r="L196" s="104">
        <f t="shared" si="196"/>
        <v>87628.865979381444</v>
      </c>
      <c r="M196" s="105">
        <f t="shared" si="11"/>
        <v>6871.134020618556</v>
      </c>
      <c r="N196" s="106">
        <f t="shared" si="12"/>
        <v>1.0784117647058824</v>
      </c>
      <c r="O196" s="133"/>
      <c r="P196" s="104">
        <f t="shared" si="198"/>
        <v>1840206.18556701</v>
      </c>
      <c r="Q196" s="104">
        <f t="shared" si="199"/>
        <v>1903900</v>
      </c>
      <c r="R196" s="108">
        <f t="shared" si="13"/>
        <v>63693.814432990039</v>
      </c>
      <c r="S196" s="109">
        <f t="shared" si="14"/>
        <v>1.0346123249299721</v>
      </c>
      <c r="T196" s="125"/>
      <c r="U196" s="104">
        <f t="shared" si="21"/>
        <v>13979381.443298962</v>
      </c>
      <c r="V196" s="104">
        <f t="shared" si="22"/>
        <v>12425050</v>
      </c>
      <c r="W196" s="111">
        <f t="shared" si="15"/>
        <v>-1554331.443298962</v>
      </c>
      <c r="X196" s="112">
        <f t="shared" si="16"/>
        <v>0.88881257374631317</v>
      </c>
      <c r="Y196" s="113">
        <f t="shared" ref="Y196:Z196" si="223">Y195+1</f>
        <v>45833</v>
      </c>
      <c r="Z196" s="114">
        <f t="shared" si="223"/>
        <v>45833</v>
      </c>
      <c r="AA196" s="39"/>
      <c r="AB196" s="39"/>
      <c r="AC196" s="39"/>
      <c r="AD196" s="39"/>
      <c r="AE196" s="39"/>
      <c r="AF196" s="39"/>
      <c r="AG196" s="39"/>
    </row>
    <row r="197" spans="1:33" ht="16.5" customHeight="1">
      <c r="A197" s="39"/>
      <c r="B197" s="50"/>
      <c r="C197" s="95">
        <v>177</v>
      </c>
      <c r="D197" s="96">
        <v>1</v>
      </c>
      <c r="E197" s="97">
        <f t="shared" si="8"/>
        <v>6</v>
      </c>
      <c r="F197" s="98">
        <f t="shared" si="18"/>
        <v>45834</v>
      </c>
      <c r="G197" s="99" t="str">
        <f t="shared" si="9"/>
        <v>Thu</v>
      </c>
      <c r="H197" s="100"/>
      <c r="I197" s="101"/>
      <c r="J197" s="135">
        <v>85450</v>
      </c>
      <c r="K197" s="136"/>
      <c r="L197" s="104">
        <f t="shared" si="196"/>
        <v>87628.865979381444</v>
      </c>
      <c r="M197" s="105">
        <f t="shared" si="11"/>
        <v>-2178.865979381444</v>
      </c>
      <c r="N197" s="106">
        <f t="shared" si="12"/>
        <v>0.9751352941176471</v>
      </c>
      <c r="O197" s="133"/>
      <c r="P197" s="104">
        <f t="shared" si="198"/>
        <v>1927835.0515463913</v>
      </c>
      <c r="Q197" s="104">
        <f t="shared" si="199"/>
        <v>1989350</v>
      </c>
      <c r="R197" s="108">
        <f t="shared" si="13"/>
        <v>61514.948453608667</v>
      </c>
      <c r="S197" s="109">
        <f t="shared" si="14"/>
        <v>1.031908823529412</v>
      </c>
      <c r="T197" s="125"/>
      <c r="U197" s="104">
        <f t="shared" si="21"/>
        <v>14067010.309278343</v>
      </c>
      <c r="V197" s="104">
        <f t="shared" si="22"/>
        <v>12510500</v>
      </c>
      <c r="W197" s="111">
        <f t="shared" si="15"/>
        <v>-1556510.3092783429</v>
      </c>
      <c r="X197" s="112">
        <f t="shared" si="16"/>
        <v>0.88935031146940324</v>
      </c>
      <c r="Y197" s="113">
        <f t="shared" ref="Y197:Z197" si="224">Y196+1</f>
        <v>45834</v>
      </c>
      <c r="Z197" s="114">
        <f t="shared" si="224"/>
        <v>45834</v>
      </c>
      <c r="AA197" s="39"/>
      <c r="AB197" s="39"/>
      <c r="AC197" s="39"/>
      <c r="AD197" s="39"/>
      <c r="AE197" s="39"/>
      <c r="AF197" s="39"/>
      <c r="AG197" s="39"/>
    </row>
    <row r="198" spans="1:33" ht="16.5" customHeight="1">
      <c r="A198" s="39"/>
      <c r="B198" s="50"/>
      <c r="C198" s="95">
        <v>178</v>
      </c>
      <c r="D198" s="96">
        <v>1</v>
      </c>
      <c r="E198" s="97">
        <f t="shared" si="8"/>
        <v>6</v>
      </c>
      <c r="F198" s="98">
        <f t="shared" si="18"/>
        <v>45835</v>
      </c>
      <c r="G198" s="99" t="str">
        <f t="shared" si="9"/>
        <v>Fri</v>
      </c>
      <c r="H198" s="100"/>
      <c r="I198" s="101"/>
      <c r="J198" s="135">
        <v>210500</v>
      </c>
      <c r="K198" s="136"/>
      <c r="L198" s="104">
        <f t="shared" si="196"/>
        <v>87628.865979381444</v>
      </c>
      <c r="M198" s="105">
        <f t="shared" si="11"/>
        <v>122871.13402061856</v>
      </c>
      <c r="N198" s="106">
        <f t="shared" si="12"/>
        <v>2.4021764705882354</v>
      </c>
      <c r="O198" s="133"/>
      <c r="P198" s="104">
        <f t="shared" si="198"/>
        <v>2015463.9175257727</v>
      </c>
      <c r="Q198" s="104">
        <f t="shared" si="199"/>
        <v>2199850</v>
      </c>
      <c r="R198" s="108">
        <f t="shared" si="13"/>
        <v>184386.0824742273</v>
      </c>
      <c r="S198" s="109">
        <f t="shared" si="14"/>
        <v>1.0914856777493609</v>
      </c>
      <c r="T198" s="125"/>
      <c r="U198" s="104">
        <f t="shared" si="21"/>
        <v>14154639.175257724</v>
      </c>
      <c r="V198" s="104">
        <f t="shared" si="22"/>
        <v>12721000</v>
      </c>
      <c r="W198" s="111">
        <f t="shared" si="15"/>
        <v>-1433639.1752577238</v>
      </c>
      <c r="X198" s="112">
        <f t="shared" si="16"/>
        <v>0.89871595047341635</v>
      </c>
      <c r="Y198" s="113">
        <f t="shared" ref="Y198:Z198" si="225">Y197+1</f>
        <v>45835</v>
      </c>
      <c r="Z198" s="114">
        <f t="shared" si="225"/>
        <v>45835</v>
      </c>
      <c r="AA198" s="39"/>
      <c r="AB198" s="39"/>
      <c r="AC198" s="39"/>
      <c r="AD198" s="39"/>
      <c r="AE198" s="39"/>
      <c r="AF198" s="39"/>
      <c r="AG198" s="39"/>
    </row>
    <row r="199" spans="1:33" ht="16.5" customHeight="1">
      <c r="A199" s="39"/>
      <c r="B199" s="50"/>
      <c r="C199" s="95">
        <v>179</v>
      </c>
      <c r="D199" s="96">
        <v>1</v>
      </c>
      <c r="E199" s="97">
        <f t="shared" si="8"/>
        <v>6</v>
      </c>
      <c r="F199" s="98">
        <f t="shared" si="18"/>
        <v>45836</v>
      </c>
      <c r="G199" s="99" t="str">
        <f t="shared" si="9"/>
        <v>Sat</v>
      </c>
      <c r="H199" s="100"/>
      <c r="I199" s="101"/>
      <c r="J199" s="135">
        <v>94550</v>
      </c>
      <c r="K199" s="136"/>
      <c r="L199" s="104">
        <f t="shared" si="196"/>
        <v>87628.865979381444</v>
      </c>
      <c r="M199" s="105">
        <f t="shared" si="11"/>
        <v>6921.134020618556</v>
      </c>
      <c r="N199" s="106">
        <f t="shared" si="12"/>
        <v>1.0789823529411764</v>
      </c>
      <c r="O199" s="133"/>
      <c r="P199" s="104">
        <f t="shared" si="198"/>
        <v>2103092.7835051543</v>
      </c>
      <c r="Q199" s="104">
        <f t="shared" si="199"/>
        <v>2294400</v>
      </c>
      <c r="R199" s="108">
        <f t="shared" si="13"/>
        <v>191307.21649484569</v>
      </c>
      <c r="S199" s="109">
        <f t="shared" si="14"/>
        <v>1.0909647058823531</v>
      </c>
      <c r="T199" s="125"/>
      <c r="U199" s="104">
        <f t="shared" si="21"/>
        <v>14242268.041237105</v>
      </c>
      <c r="V199" s="104">
        <f t="shared" si="22"/>
        <v>12815550</v>
      </c>
      <c r="W199" s="111">
        <f t="shared" si="15"/>
        <v>-1426718.0412371047</v>
      </c>
      <c r="X199" s="112">
        <f t="shared" si="16"/>
        <v>0.89982508143322526</v>
      </c>
      <c r="Y199" s="113">
        <f t="shared" ref="Y199:Z199" si="226">Y198+1</f>
        <v>45836</v>
      </c>
      <c r="Z199" s="114">
        <f t="shared" si="226"/>
        <v>45836</v>
      </c>
      <c r="AA199" s="39"/>
      <c r="AB199" s="39"/>
      <c r="AC199" s="39"/>
      <c r="AD199" s="39"/>
      <c r="AE199" s="39"/>
      <c r="AF199" s="39"/>
      <c r="AG199" s="39"/>
    </row>
    <row r="200" spans="1:33" ht="16.5" customHeight="1">
      <c r="A200" s="39"/>
      <c r="B200" s="50"/>
      <c r="C200" s="95">
        <v>180</v>
      </c>
      <c r="D200" s="96">
        <v>1</v>
      </c>
      <c r="E200" s="97">
        <f t="shared" si="8"/>
        <v>6</v>
      </c>
      <c r="F200" s="98">
        <f t="shared" si="18"/>
        <v>45837</v>
      </c>
      <c r="G200" s="99" t="str">
        <f t="shared" si="9"/>
        <v>Sun</v>
      </c>
      <c r="H200" s="100"/>
      <c r="I200" s="101"/>
      <c r="J200" s="135">
        <v>101850</v>
      </c>
      <c r="K200" s="136"/>
      <c r="L200" s="104">
        <f t="shared" si="196"/>
        <v>87628.865979381444</v>
      </c>
      <c r="M200" s="105">
        <f t="shared" si="11"/>
        <v>14221.134020618556</v>
      </c>
      <c r="N200" s="106">
        <f t="shared" si="12"/>
        <v>1.1622882352941177</v>
      </c>
      <c r="O200" s="134"/>
      <c r="P200" s="104">
        <f t="shared" si="198"/>
        <v>2190721.6494845357</v>
      </c>
      <c r="Q200" s="104">
        <f t="shared" si="199"/>
        <v>2396250</v>
      </c>
      <c r="R200" s="108">
        <f t="shared" si="13"/>
        <v>205528.35051546432</v>
      </c>
      <c r="S200" s="109">
        <f t="shared" si="14"/>
        <v>1.0938176470588237</v>
      </c>
      <c r="T200" s="131"/>
      <c r="U200" s="104">
        <f t="shared" si="21"/>
        <v>14329896.907216486</v>
      </c>
      <c r="V200" s="104">
        <f t="shared" si="22"/>
        <v>12917400</v>
      </c>
      <c r="W200" s="111">
        <f t="shared" si="15"/>
        <v>-1412496.9072164856</v>
      </c>
      <c r="X200" s="112">
        <f t="shared" si="16"/>
        <v>0.90143007194244662</v>
      </c>
      <c r="Y200" s="113">
        <f t="shared" ref="Y200:Z200" si="227">Y199+1</f>
        <v>45837</v>
      </c>
      <c r="Z200" s="114">
        <f t="shared" si="227"/>
        <v>45837</v>
      </c>
      <c r="AA200" s="39"/>
      <c r="AB200" s="39"/>
      <c r="AC200" s="39"/>
      <c r="AD200" s="39"/>
      <c r="AE200" s="39"/>
      <c r="AF200" s="39"/>
      <c r="AG200" s="39"/>
    </row>
    <row r="201" spans="1:33" ht="16.5" customHeight="1">
      <c r="A201" s="39"/>
      <c r="B201" s="50"/>
      <c r="C201" s="137">
        <v>181</v>
      </c>
      <c r="D201" s="138">
        <v>0</v>
      </c>
      <c r="E201" s="139">
        <f t="shared" si="8"/>
        <v>6</v>
      </c>
      <c r="F201" s="140">
        <f t="shared" si="18"/>
        <v>45838</v>
      </c>
      <c r="G201" s="141" t="str">
        <f t="shared" si="9"/>
        <v>Mon</v>
      </c>
      <c r="H201" s="159"/>
      <c r="I201" s="143"/>
      <c r="J201" s="144"/>
      <c r="K201" s="145"/>
      <c r="L201" s="146">
        <f t="shared" si="196"/>
        <v>0</v>
      </c>
      <c r="M201" s="147">
        <f t="shared" si="11"/>
        <v>0</v>
      </c>
      <c r="N201" s="148" t="str">
        <f t="shared" si="12"/>
        <v>¥0</v>
      </c>
      <c r="O201" s="149"/>
      <c r="P201" s="162">
        <f t="shared" si="198"/>
        <v>0</v>
      </c>
      <c r="Q201" s="146">
        <f t="shared" si="199"/>
        <v>0</v>
      </c>
      <c r="R201" s="147">
        <f t="shared" si="13"/>
        <v>0</v>
      </c>
      <c r="S201" s="151">
        <f t="shared" si="14"/>
        <v>0</v>
      </c>
      <c r="T201" s="152"/>
      <c r="U201" s="153">
        <f t="shared" si="21"/>
        <v>0</v>
      </c>
      <c r="V201" s="146">
        <f t="shared" si="22"/>
        <v>0</v>
      </c>
      <c r="W201" s="153">
        <f t="shared" si="15"/>
        <v>0</v>
      </c>
      <c r="X201" s="154">
        <f t="shared" si="16"/>
        <v>0</v>
      </c>
      <c r="Y201" s="113">
        <f t="shared" ref="Y201:Z201" si="228">Y200+1</f>
        <v>45838</v>
      </c>
      <c r="Z201" s="114">
        <f t="shared" si="228"/>
        <v>45838</v>
      </c>
      <c r="AA201" s="39"/>
      <c r="AB201" s="39"/>
      <c r="AC201" s="39"/>
      <c r="AD201" s="39"/>
      <c r="AE201" s="39"/>
      <c r="AF201" s="39"/>
      <c r="AG201" s="39"/>
    </row>
    <row r="202" spans="1:33" ht="16.5" customHeight="1">
      <c r="A202" s="39"/>
      <c r="B202" s="50"/>
      <c r="C202" s="95">
        <v>182</v>
      </c>
      <c r="D202" s="155">
        <v>1</v>
      </c>
      <c r="E202" s="97">
        <f t="shared" si="8"/>
        <v>7</v>
      </c>
      <c r="F202" s="98">
        <f t="shared" si="18"/>
        <v>45839</v>
      </c>
      <c r="G202" s="99" t="str">
        <f t="shared" si="9"/>
        <v>Tue</v>
      </c>
      <c r="H202" s="100"/>
      <c r="I202" s="101"/>
      <c r="J202" s="135">
        <v>90500</v>
      </c>
      <c r="K202" s="136"/>
      <c r="L202" s="104">
        <f t="shared" ref="L202:L232" si="229">IF(D202=0,0,$K$13)</f>
        <v>113402.06185567012</v>
      </c>
      <c r="M202" s="108">
        <f t="shared" si="11"/>
        <v>-22902.061855670123</v>
      </c>
      <c r="N202" s="156">
        <f t="shared" si="12"/>
        <v>0.79804545454545439</v>
      </c>
      <c r="O202" s="133"/>
      <c r="P202" s="104">
        <f>IF(D202=0,0,$L$202)</f>
        <v>113402.06185567012</v>
      </c>
      <c r="Q202" s="104">
        <f>IF(D202=0,0,$J$202)</f>
        <v>90500</v>
      </c>
      <c r="R202" s="108">
        <f t="shared" si="13"/>
        <v>-22902.061855670123</v>
      </c>
      <c r="S202" s="157">
        <f t="shared" si="14"/>
        <v>0.79804545454545439</v>
      </c>
      <c r="T202" s="125"/>
      <c r="U202" s="104">
        <f t="shared" si="21"/>
        <v>14443298.969072156</v>
      </c>
      <c r="V202" s="104">
        <f t="shared" si="22"/>
        <v>13007900</v>
      </c>
      <c r="W202" s="111">
        <f t="shared" si="15"/>
        <v>-1435398.9690721557</v>
      </c>
      <c r="X202" s="158">
        <f t="shared" si="16"/>
        <v>0.90061834403997199</v>
      </c>
      <c r="Y202" s="113">
        <f t="shared" ref="Y202:Z202" si="230">Y201+1</f>
        <v>45839</v>
      </c>
      <c r="Z202" s="114">
        <f t="shared" si="230"/>
        <v>45839</v>
      </c>
      <c r="AA202" s="39"/>
      <c r="AB202" s="39"/>
      <c r="AC202" s="39"/>
      <c r="AD202" s="39"/>
      <c r="AE202" s="39"/>
      <c r="AF202" s="39"/>
      <c r="AG202" s="39"/>
    </row>
    <row r="203" spans="1:33" ht="16.5" customHeight="1">
      <c r="A203" s="39"/>
      <c r="B203" s="50"/>
      <c r="C203" s="95">
        <v>183</v>
      </c>
      <c r="D203" s="96">
        <v>1</v>
      </c>
      <c r="E203" s="97">
        <f t="shared" si="8"/>
        <v>7</v>
      </c>
      <c r="F203" s="98">
        <f t="shared" si="18"/>
        <v>45840</v>
      </c>
      <c r="G203" s="99" t="str">
        <f t="shared" si="9"/>
        <v>Wed</v>
      </c>
      <c r="H203" s="100"/>
      <c r="I203" s="101"/>
      <c r="J203" s="135">
        <v>90200</v>
      </c>
      <c r="K203" s="136"/>
      <c r="L203" s="104">
        <f t="shared" si="229"/>
        <v>113402.06185567012</v>
      </c>
      <c r="M203" s="105">
        <f t="shared" si="11"/>
        <v>-23202.061855670123</v>
      </c>
      <c r="N203" s="106">
        <f t="shared" si="12"/>
        <v>0.79539999999999988</v>
      </c>
      <c r="O203" s="133"/>
      <c r="P203" s="104">
        <f t="shared" ref="P203:P232" si="231">IF(D203=0,0,SUM($L$202:L203))</f>
        <v>226804.12371134025</v>
      </c>
      <c r="Q203" s="104">
        <f t="shared" ref="Q203:Q232" si="232">IF(D203=0,0,SUM($J$202:J203))</f>
        <v>180700</v>
      </c>
      <c r="R203" s="108">
        <f t="shared" si="13"/>
        <v>-46104.123711340246</v>
      </c>
      <c r="S203" s="109">
        <f t="shared" si="14"/>
        <v>0.79672272727272708</v>
      </c>
      <c r="T203" s="125"/>
      <c r="U203" s="104">
        <f t="shared" si="21"/>
        <v>14556701.030927826</v>
      </c>
      <c r="V203" s="104">
        <f t="shared" si="22"/>
        <v>13098100</v>
      </c>
      <c r="W203" s="111">
        <f t="shared" si="15"/>
        <v>-1458601.0309278257</v>
      </c>
      <c r="X203" s="112">
        <f t="shared" si="16"/>
        <v>0.89979865439093543</v>
      </c>
      <c r="Y203" s="113">
        <f t="shared" ref="Y203:Z203" si="233">Y202+1</f>
        <v>45840</v>
      </c>
      <c r="Z203" s="114">
        <f t="shared" si="233"/>
        <v>45840</v>
      </c>
      <c r="AA203" s="39"/>
      <c r="AB203" s="39"/>
      <c r="AC203" s="39"/>
      <c r="AD203" s="39"/>
      <c r="AE203" s="39"/>
      <c r="AF203" s="39"/>
      <c r="AG203" s="39"/>
    </row>
    <row r="204" spans="1:33" ht="16.5" customHeight="1">
      <c r="A204" s="39"/>
      <c r="B204" s="50"/>
      <c r="C204" s="95">
        <v>184</v>
      </c>
      <c r="D204" s="96">
        <v>1</v>
      </c>
      <c r="E204" s="97">
        <f t="shared" si="8"/>
        <v>7</v>
      </c>
      <c r="F204" s="98">
        <f t="shared" si="18"/>
        <v>45841</v>
      </c>
      <c r="G204" s="99" t="str">
        <f t="shared" si="9"/>
        <v>Thu</v>
      </c>
      <c r="H204" s="100"/>
      <c r="I204" s="101"/>
      <c r="J204" s="135">
        <v>95700</v>
      </c>
      <c r="K204" s="136"/>
      <c r="L204" s="104">
        <f t="shared" si="229"/>
        <v>113402.06185567012</v>
      </c>
      <c r="M204" s="105">
        <f t="shared" si="11"/>
        <v>-17702.061855670123</v>
      </c>
      <c r="N204" s="106">
        <f t="shared" si="12"/>
        <v>0.84389999999999987</v>
      </c>
      <c r="O204" s="133"/>
      <c r="P204" s="104">
        <f t="shared" si="231"/>
        <v>340206.18556701037</v>
      </c>
      <c r="Q204" s="104">
        <f t="shared" si="232"/>
        <v>276400</v>
      </c>
      <c r="R204" s="108">
        <f t="shared" si="13"/>
        <v>-63806.185567010369</v>
      </c>
      <c r="S204" s="109">
        <f t="shared" si="14"/>
        <v>0.81244848484848475</v>
      </c>
      <c r="T204" s="125"/>
      <c r="U204" s="104">
        <f t="shared" si="21"/>
        <v>14670103.092783496</v>
      </c>
      <c r="V204" s="104">
        <f t="shared" si="22"/>
        <v>13193800</v>
      </c>
      <c r="W204" s="111">
        <f t="shared" si="15"/>
        <v>-1476303.0927834958</v>
      </c>
      <c r="X204" s="112">
        <f t="shared" si="16"/>
        <v>0.89936654954321915</v>
      </c>
      <c r="Y204" s="113">
        <f t="shared" ref="Y204:Z204" si="234">Y203+1</f>
        <v>45841</v>
      </c>
      <c r="Z204" s="114">
        <f t="shared" si="234"/>
        <v>45841</v>
      </c>
      <c r="AA204" s="39"/>
      <c r="AB204" s="39"/>
      <c r="AC204" s="39"/>
      <c r="AD204" s="39"/>
      <c r="AE204" s="39"/>
      <c r="AF204" s="39"/>
      <c r="AG204" s="39"/>
    </row>
    <row r="205" spans="1:33" ht="16.5" customHeight="1">
      <c r="A205" s="39"/>
      <c r="B205" s="50"/>
      <c r="C205" s="95">
        <v>185</v>
      </c>
      <c r="D205" s="96">
        <v>1</v>
      </c>
      <c r="E205" s="97">
        <f t="shared" si="8"/>
        <v>7</v>
      </c>
      <c r="F205" s="98">
        <f t="shared" si="18"/>
        <v>45842</v>
      </c>
      <c r="G205" s="99" t="str">
        <f t="shared" si="9"/>
        <v>Fri</v>
      </c>
      <c r="H205" s="100"/>
      <c r="I205" s="101"/>
      <c r="J205" s="135">
        <v>74050</v>
      </c>
      <c r="K205" s="136"/>
      <c r="L205" s="104">
        <f t="shared" si="229"/>
        <v>113402.06185567012</v>
      </c>
      <c r="M205" s="105">
        <f t="shared" si="11"/>
        <v>-39352.061855670123</v>
      </c>
      <c r="N205" s="106">
        <f t="shared" si="12"/>
        <v>0.65298636363636353</v>
      </c>
      <c r="O205" s="133"/>
      <c r="P205" s="104">
        <f t="shared" si="231"/>
        <v>453608.24742268049</v>
      </c>
      <c r="Q205" s="104">
        <f t="shared" si="232"/>
        <v>350450</v>
      </c>
      <c r="R205" s="108">
        <f t="shared" si="13"/>
        <v>-103158.24742268049</v>
      </c>
      <c r="S205" s="109">
        <f t="shared" si="14"/>
        <v>0.77258295454545445</v>
      </c>
      <c r="T205" s="125"/>
      <c r="U205" s="104">
        <f t="shared" si="21"/>
        <v>14783505.154639166</v>
      </c>
      <c r="V205" s="104">
        <f t="shared" si="22"/>
        <v>13267850</v>
      </c>
      <c r="W205" s="111">
        <f t="shared" si="15"/>
        <v>-1515655.1546391658</v>
      </c>
      <c r="X205" s="112">
        <f t="shared" si="16"/>
        <v>0.89747660390516093</v>
      </c>
      <c r="Y205" s="113">
        <f t="shared" ref="Y205:Z205" si="235">Y204+1</f>
        <v>45842</v>
      </c>
      <c r="Z205" s="114">
        <f t="shared" si="235"/>
        <v>45842</v>
      </c>
      <c r="AA205" s="39"/>
      <c r="AB205" s="39"/>
      <c r="AC205" s="39"/>
      <c r="AD205" s="39"/>
      <c r="AE205" s="39"/>
      <c r="AF205" s="39"/>
      <c r="AG205" s="39"/>
    </row>
    <row r="206" spans="1:33" ht="16.5" customHeight="1">
      <c r="A206" s="39"/>
      <c r="B206" s="50"/>
      <c r="C206" s="95">
        <v>186</v>
      </c>
      <c r="D206" s="96">
        <v>1</v>
      </c>
      <c r="E206" s="97">
        <f t="shared" si="8"/>
        <v>7</v>
      </c>
      <c r="F206" s="98">
        <f t="shared" si="18"/>
        <v>45843</v>
      </c>
      <c r="G206" s="99" t="str">
        <f t="shared" si="9"/>
        <v>Sat</v>
      </c>
      <c r="H206" s="100"/>
      <c r="I206" s="101"/>
      <c r="J206" s="135">
        <v>74050</v>
      </c>
      <c r="K206" s="136"/>
      <c r="L206" s="104">
        <f t="shared" si="229"/>
        <v>113402.06185567012</v>
      </c>
      <c r="M206" s="105">
        <f t="shared" si="11"/>
        <v>-39352.061855670123</v>
      </c>
      <c r="N206" s="106">
        <f t="shared" si="12"/>
        <v>0.65298636363636353</v>
      </c>
      <c r="O206" s="133"/>
      <c r="P206" s="104">
        <f t="shared" si="231"/>
        <v>567010.30927835056</v>
      </c>
      <c r="Q206" s="104">
        <f t="shared" si="232"/>
        <v>424500</v>
      </c>
      <c r="R206" s="108">
        <f t="shared" si="13"/>
        <v>-142510.30927835056</v>
      </c>
      <c r="S206" s="109">
        <f t="shared" si="14"/>
        <v>0.74866363636363631</v>
      </c>
      <c r="T206" s="125"/>
      <c r="U206" s="104">
        <f t="shared" si="21"/>
        <v>14896907.216494836</v>
      </c>
      <c r="V206" s="104">
        <f t="shared" si="22"/>
        <v>13341900</v>
      </c>
      <c r="W206" s="111">
        <f t="shared" si="15"/>
        <v>-1555007.2164948359</v>
      </c>
      <c r="X206" s="112">
        <f t="shared" si="16"/>
        <v>0.8956154325259521</v>
      </c>
      <c r="Y206" s="113">
        <f t="shared" ref="Y206:Z206" si="236">Y205+1</f>
        <v>45843</v>
      </c>
      <c r="Z206" s="114">
        <f t="shared" si="236"/>
        <v>45843</v>
      </c>
      <c r="AA206" s="39"/>
      <c r="AB206" s="39"/>
      <c r="AC206" s="39"/>
      <c r="AD206" s="39"/>
      <c r="AE206" s="39"/>
      <c r="AF206" s="39"/>
      <c r="AG206" s="39"/>
    </row>
    <row r="207" spans="1:33" ht="16.5" customHeight="1">
      <c r="A207" s="39"/>
      <c r="B207" s="50"/>
      <c r="C207" s="95">
        <v>187</v>
      </c>
      <c r="D207" s="96">
        <v>1</v>
      </c>
      <c r="E207" s="97">
        <f t="shared" si="8"/>
        <v>7</v>
      </c>
      <c r="F207" s="98">
        <f t="shared" si="18"/>
        <v>45844</v>
      </c>
      <c r="G207" s="99" t="str">
        <f t="shared" si="9"/>
        <v>Sun</v>
      </c>
      <c r="H207" s="100"/>
      <c r="I207" s="101"/>
      <c r="J207" s="135">
        <v>62350</v>
      </c>
      <c r="K207" s="136"/>
      <c r="L207" s="104">
        <f t="shared" si="229"/>
        <v>113402.06185567012</v>
      </c>
      <c r="M207" s="105">
        <f t="shared" si="11"/>
        <v>-51052.061855670123</v>
      </c>
      <c r="N207" s="106">
        <f t="shared" si="12"/>
        <v>0.54981363636363623</v>
      </c>
      <c r="O207" s="134"/>
      <c r="P207" s="104">
        <f t="shared" si="231"/>
        <v>680412.37113402062</v>
      </c>
      <c r="Q207" s="104">
        <f t="shared" si="232"/>
        <v>486850</v>
      </c>
      <c r="R207" s="108">
        <f t="shared" si="13"/>
        <v>-193562.37113402062</v>
      </c>
      <c r="S207" s="109">
        <f t="shared" si="14"/>
        <v>0.71552196969696968</v>
      </c>
      <c r="T207" s="131"/>
      <c r="U207" s="104">
        <f t="shared" si="21"/>
        <v>15010309.278350506</v>
      </c>
      <c r="V207" s="104">
        <f t="shared" si="22"/>
        <v>13404250</v>
      </c>
      <c r="W207" s="111">
        <f t="shared" si="15"/>
        <v>-1606059.278350506</v>
      </c>
      <c r="X207" s="112">
        <f t="shared" si="16"/>
        <v>0.89300291895604456</v>
      </c>
      <c r="Y207" s="113">
        <f t="shared" ref="Y207:Z207" si="237">Y206+1</f>
        <v>45844</v>
      </c>
      <c r="Z207" s="114">
        <f t="shared" si="237"/>
        <v>45844</v>
      </c>
      <c r="AA207" s="39"/>
      <c r="AB207" s="39"/>
      <c r="AC207" s="39"/>
      <c r="AD207" s="39"/>
      <c r="AE207" s="39"/>
      <c r="AF207" s="39"/>
      <c r="AG207" s="39"/>
    </row>
    <row r="208" spans="1:33" ht="16.5" customHeight="1">
      <c r="A208" s="39"/>
      <c r="B208" s="50"/>
      <c r="C208" s="95">
        <v>188</v>
      </c>
      <c r="D208" s="96">
        <v>0</v>
      </c>
      <c r="E208" s="97">
        <f t="shared" si="8"/>
        <v>7</v>
      </c>
      <c r="F208" s="98">
        <f t="shared" si="18"/>
        <v>45845</v>
      </c>
      <c r="G208" s="99" t="str">
        <f t="shared" si="9"/>
        <v>Mon</v>
      </c>
      <c r="H208" s="100"/>
      <c r="I208" s="101"/>
      <c r="J208" s="135"/>
      <c r="K208" s="136"/>
      <c r="L208" s="104">
        <f t="shared" si="229"/>
        <v>0</v>
      </c>
      <c r="M208" s="105">
        <f t="shared" si="11"/>
        <v>0</v>
      </c>
      <c r="N208" s="106" t="str">
        <f t="shared" si="12"/>
        <v>¥0</v>
      </c>
      <c r="O208" s="133"/>
      <c r="P208" s="104">
        <f t="shared" si="231"/>
        <v>0</v>
      </c>
      <c r="Q208" s="104">
        <f t="shared" si="232"/>
        <v>0</v>
      </c>
      <c r="R208" s="108">
        <f t="shared" si="13"/>
        <v>0</v>
      </c>
      <c r="S208" s="109">
        <f t="shared" si="14"/>
        <v>0</v>
      </c>
      <c r="T208" s="125"/>
      <c r="U208" s="104">
        <f t="shared" si="21"/>
        <v>0</v>
      </c>
      <c r="V208" s="104">
        <f t="shared" si="22"/>
        <v>0</v>
      </c>
      <c r="W208" s="111">
        <f t="shared" si="15"/>
        <v>0</v>
      </c>
      <c r="X208" s="112">
        <f t="shared" si="16"/>
        <v>0</v>
      </c>
      <c r="Y208" s="113">
        <f t="shared" ref="Y208:Z208" si="238">Y207+1</f>
        <v>45845</v>
      </c>
      <c r="Z208" s="114">
        <f t="shared" si="238"/>
        <v>45845</v>
      </c>
      <c r="AA208" s="39"/>
      <c r="AB208" s="39"/>
      <c r="AC208" s="39"/>
      <c r="AD208" s="39"/>
      <c r="AE208" s="39"/>
      <c r="AF208" s="39"/>
      <c r="AG208" s="39"/>
    </row>
    <row r="209" spans="1:33" ht="16.5" customHeight="1">
      <c r="A209" s="39"/>
      <c r="B209" s="50"/>
      <c r="C209" s="95">
        <v>189</v>
      </c>
      <c r="D209" s="96">
        <v>1</v>
      </c>
      <c r="E209" s="97">
        <f t="shared" si="8"/>
        <v>7</v>
      </c>
      <c r="F209" s="98">
        <f t="shared" si="18"/>
        <v>45846</v>
      </c>
      <c r="G209" s="99" t="str">
        <f t="shared" si="9"/>
        <v>Tue</v>
      </c>
      <c r="H209" s="100"/>
      <c r="I209" s="101"/>
      <c r="J209" s="135">
        <v>113650</v>
      </c>
      <c r="K209" s="136"/>
      <c r="L209" s="104">
        <f t="shared" si="229"/>
        <v>113402.06185567012</v>
      </c>
      <c r="M209" s="105">
        <f t="shared" si="11"/>
        <v>247.9381443298771</v>
      </c>
      <c r="N209" s="106">
        <f t="shared" si="12"/>
        <v>1.0021863636363635</v>
      </c>
      <c r="O209" s="133"/>
      <c r="P209" s="104">
        <f t="shared" si="231"/>
        <v>793814.43298969069</v>
      </c>
      <c r="Q209" s="104">
        <f t="shared" si="232"/>
        <v>600500</v>
      </c>
      <c r="R209" s="108">
        <f t="shared" si="13"/>
        <v>-193314.43298969069</v>
      </c>
      <c r="S209" s="109">
        <f t="shared" si="14"/>
        <v>0.75647402597402602</v>
      </c>
      <c r="T209" s="125"/>
      <c r="U209" s="104">
        <f t="shared" si="21"/>
        <v>15123711.340206176</v>
      </c>
      <c r="V209" s="104">
        <f t="shared" si="22"/>
        <v>13517900</v>
      </c>
      <c r="W209" s="111">
        <f t="shared" si="15"/>
        <v>-1605811.340206176</v>
      </c>
      <c r="X209" s="112">
        <f t="shared" si="16"/>
        <v>0.89382160872529026</v>
      </c>
      <c r="Y209" s="113">
        <f t="shared" ref="Y209:Z209" si="239">Y208+1</f>
        <v>45846</v>
      </c>
      <c r="Z209" s="114">
        <f t="shared" si="239"/>
        <v>45846</v>
      </c>
      <c r="AA209" s="39"/>
      <c r="AB209" s="39"/>
      <c r="AC209" s="39"/>
      <c r="AD209" s="39"/>
      <c r="AE209" s="39"/>
      <c r="AF209" s="39"/>
      <c r="AG209" s="39"/>
    </row>
    <row r="210" spans="1:33" ht="16.5" customHeight="1">
      <c r="A210" s="39"/>
      <c r="B210" s="50"/>
      <c r="C210" s="95">
        <v>190</v>
      </c>
      <c r="D210" s="96">
        <v>1</v>
      </c>
      <c r="E210" s="97">
        <f t="shared" si="8"/>
        <v>7</v>
      </c>
      <c r="F210" s="98">
        <f t="shared" si="18"/>
        <v>45847</v>
      </c>
      <c r="G210" s="99" t="str">
        <f t="shared" si="9"/>
        <v>Wed</v>
      </c>
      <c r="H210" s="100"/>
      <c r="I210" s="101"/>
      <c r="J210" s="135">
        <v>94800</v>
      </c>
      <c r="K210" s="136"/>
      <c r="L210" s="104">
        <f t="shared" si="229"/>
        <v>113402.06185567012</v>
      </c>
      <c r="M210" s="105">
        <f t="shared" si="11"/>
        <v>-18602.061855670123</v>
      </c>
      <c r="N210" s="106">
        <f t="shared" si="12"/>
        <v>0.83596363636363624</v>
      </c>
      <c r="O210" s="133"/>
      <c r="P210" s="104">
        <f t="shared" si="231"/>
        <v>907216.49484536075</v>
      </c>
      <c r="Q210" s="104">
        <f t="shared" si="232"/>
        <v>695300</v>
      </c>
      <c r="R210" s="108">
        <f t="shared" si="13"/>
        <v>-211916.49484536075</v>
      </c>
      <c r="S210" s="109">
        <f t="shared" si="14"/>
        <v>0.76641022727272734</v>
      </c>
      <c r="T210" s="125"/>
      <c r="U210" s="104">
        <f t="shared" si="21"/>
        <v>15237113.402061846</v>
      </c>
      <c r="V210" s="104">
        <f t="shared" si="22"/>
        <v>13612700</v>
      </c>
      <c r="W210" s="111">
        <f t="shared" si="15"/>
        <v>-1624413.4020618461</v>
      </c>
      <c r="X210" s="112">
        <f t="shared" si="16"/>
        <v>0.8933910013531805</v>
      </c>
      <c r="Y210" s="113">
        <f t="shared" ref="Y210:Z210" si="240">Y209+1</f>
        <v>45847</v>
      </c>
      <c r="Z210" s="114">
        <f t="shared" si="240"/>
        <v>45847</v>
      </c>
      <c r="AA210" s="39"/>
      <c r="AB210" s="39"/>
      <c r="AC210" s="39"/>
      <c r="AD210" s="39"/>
      <c r="AE210" s="39"/>
      <c r="AF210" s="39"/>
      <c r="AG210" s="39"/>
    </row>
    <row r="211" spans="1:33" ht="16.5" customHeight="1">
      <c r="A211" s="39"/>
      <c r="B211" s="50"/>
      <c r="C211" s="95">
        <v>191</v>
      </c>
      <c r="D211" s="96">
        <v>1</v>
      </c>
      <c r="E211" s="97">
        <f t="shared" si="8"/>
        <v>7</v>
      </c>
      <c r="F211" s="98">
        <f t="shared" si="18"/>
        <v>45848</v>
      </c>
      <c r="G211" s="99" t="str">
        <f t="shared" si="9"/>
        <v>Thu</v>
      </c>
      <c r="H211" s="100"/>
      <c r="I211" s="101"/>
      <c r="J211" s="135">
        <v>79900</v>
      </c>
      <c r="K211" s="136"/>
      <c r="L211" s="104">
        <f t="shared" si="229"/>
        <v>113402.06185567012</v>
      </c>
      <c r="M211" s="105">
        <f t="shared" si="11"/>
        <v>-33502.061855670123</v>
      </c>
      <c r="N211" s="106">
        <f t="shared" si="12"/>
        <v>0.70457272727272713</v>
      </c>
      <c r="O211" s="133"/>
      <c r="P211" s="104">
        <f t="shared" si="231"/>
        <v>1020618.5567010308</v>
      </c>
      <c r="Q211" s="104">
        <f t="shared" si="232"/>
        <v>775200</v>
      </c>
      <c r="R211" s="108">
        <f t="shared" si="13"/>
        <v>-245418.55670103082</v>
      </c>
      <c r="S211" s="109">
        <f t="shared" si="14"/>
        <v>0.75953939393939407</v>
      </c>
      <c r="T211" s="125"/>
      <c r="U211" s="104">
        <f t="shared" si="21"/>
        <v>15350515.463917516</v>
      </c>
      <c r="V211" s="104">
        <f t="shared" si="22"/>
        <v>13692600</v>
      </c>
      <c r="W211" s="111">
        <f t="shared" si="15"/>
        <v>-1657915.4639175162</v>
      </c>
      <c r="X211" s="112">
        <f t="shared" si="16"/>
        <v>0.89199610476830138</v>
      </c>
      <c r="Y211" s="113">
        <f t="shared" ref="Y211:Z211" si="241">Y210+1</f>
        <v>45848</v>
      </c>
      <c r="Z211" s="114">
        <f t="shared" si="241"/>
        <v>45848</v>
      </c>
      <c r="AA211" s="39"/>
      <c r="AB211" s="39"/>
      <c r="AC211" s="39"/>
      <c r="AD211" s="39"/>
      <c r="AE211" s="39"/>
      <c r="AF211" s="39"/>
      <c r="AG211" s="39"/>
    </row>
    <row r="212" spans="1:33" ht="16.5" customHeight="1">
      <c r="A212" s="39"/>
      <c r="B212" s="50"/>
      <c r="C212" s="95">
        <v>192</v>
      </c>
      <c r="D212" s="96">
        <v>1</v>
      </c>
      <c r="E212" s="97">
        <f t="shared" si="8"/>
        <v>7</v>
      </c>
      <c r="F212" s="98">
        <f t="shared" si="18"/>
        <v>45849</v>
      </c>
      <c r="G212" s="99" t="str">
        <f t="shared" si="9"/>
        <v>Fri</v>
      </c>
      <c r="H212" s="100"/>
      <c r="I212" s="101"/>
      <c r="J212" s="135">
        <v>142750</v>
      </c>
      <c r="K212" s="136"/>
      <c r="L212" s="104">
        <f t="shared" si="229"/>
        <v>113402.06185567012</v>
      </c>
      <c r="M212" s="105">
        <f t="shared" si="11"/>
        <v>29347.938144329877</v>
      </c>
      <c r="N212" s="106">
        <f t="shared" si="12"/>
        <v>1.2587954545454543</v>
      </c>
      <c r="O212" s="133"/>
      <c r="P212" s="104">
        <f t="shared" si="231"/>
        <v>1134020.6185567009</v>
      </c>
      <c r="Q212" s="104">
        <f t="shared" si="232"/>
        <v>917950</v>
      </c>
      <c r="R212" s="108">
        <f t="shared" si="13"/>
        <v>-216070.61855670088</v>
      </c>
      <c r="S212" s="109">
        <f t="shared" si="14"/>
        <v>0.8094650000000001</v>
      </c>
      <c r="T212" s="125"/>
      <c r="U212" s="104">
        <f t="shared" si="21"/>
        <v>15463917.525773186</v>
      </c>
      <c r="V212" s="104">
        <f t="shared" si="22"/>
        <v>13835350</v>
      </c>
      <c r="W212" s="111">
        <f t="shared" si="15"/>
        <v>-1628567.5257731862</v>
      </c>
      <c r="X212" s="112">
        <f t="shared" si="16"/>
        <v>0.89468596666666722</v>
      </c>
      <c r="Y212" s="113">
        <f t="shared" ref="Y212:Z212" si="242">Y211+1</f>
        <v>45849</v>
      </c>
      <c r="Z212" s="114">
        <f t="shared" si="242"/>
        <v>45849</v>
      </c>
      <c r="AA212" s="39"/>
      <c r="AB212" s="39"/>
      <c r="AC212" s="39"/>
      <c r="AD212" s="39"/>
      <c r="AE212" s="39"/>
      <c r="AF212" s="39"/>
      <c r="AG212" s="39"/>
    </row>
    <row r="213" spans="1:33" ht="16.5" customHeight="1">
      <c r="A213" s="39"/>
      <c r="B213" s="50"/>
      <c r="C213" s="95">
        <v>193</v>
      </c>
      <c r="D213" s="96">
        <v>1</v>
      </c>
      <c r="E213" s="97">
        <f t="shared" si="8"/>
        <v>7</v>
      </c>
      <c r="F213" s="98">
        <f t="shared" si="18"/>
        <v>45850</v>
      </c>
      <c r="G213" s="99" t="str">
        <f t="shared" si="9"/>
        <v>Sat</v>
      </c>
      <c r="H213" s="100"/>
      <c r="I213" s="101"/>
      <c r="J213" s="135">
        <v>60900</v>
      </c>
      <c r="K213" s="136"/>
      <c r="L213" s="104">
        <f t="shared" si="229"/>
        <v>113402.06185567012</v>
      </c>
      <c r="M213" s="105">
        <f t="shared" si="11"/>
        <v>-52502.061855670123</v>
      </c>
      <c r="N213" s="106">
        <f t="shared" si="12"/>
        <v>0.53702727272727269</v>
      </c>
      <c r="O213" s="133"/>
      <c r="P213" s="104">
        <f t="shared" si="231"/>
        <v>1247422.6804123709</v>
      </c>
      <c r="Q213" s="104">
        <f t="shared" si="232"/>
        <v>978850</v>
      </c>
      <c r="R213" s="108">
        <f t="shared" si="13"/>
        <v>-268572.68041237094</v>
      </c>
      <c r="S213" s="109">
        <f t="shared" si="14"/>
        <v>0.78469793388429765</v>
      </c>
      <c r="T213" s="125"/>
      <c r="U213" s="104">
        <f t="shared" si="21"/>
        <v>15577319.587628856</v>
      </c>
      <c r="V213" s="104">
        <f t="shared" si="22"/>
        <v>13896250</v>
      </c>
      <c r="W213" s="111">
        <f t="shared" si="15"/>
        <v>-1681069.5876288563</v>
      </c>
      <c r="X213" s="112">
        <f t="shared" si="16"/>
        <v>0.89208223031105283</v>
      </c>
      <c r="Y213" s="113">
        <f t="shared" ref="Y213:Z213" si="243">Y212+1</f>
        <v>45850</v>
      </c>
      <c r="Z213" s="114">
        <f t="shared" si="243"/>
        <v>45850</v>
      </c>
      <c r="AA213" s="39"/>
      <c r="AB213" s="39"/>
      <c r="AC213" s="39"/>
      <c r="AD213" s="39"/>
      <c r="AE213" s="39"/>
      <c r="AF213" s="39"/>
      <c r="AG213" s="39"/>
    </row>
    <row r="214" spans="1:33" ht="16.5" customHeight="1">
      <c r="A214" s="39"/>
      <c r="B214" s="50"/>
      <c r="C214" s="95">
        <v>194</v>
      </c>
      <c r="D214" s="96">
        <v>1</v>
      </c>
      <c r="E214" s="97">
        <f t="shared" si="8"/>
        <v>7</v>
      </c>
      <c r="F214" s="98">
        <f t="shared" si="18"/>
        <v>45851</v>
      </c>
      <c r="G214" s="99" t="str">
        <f t="shared" si="9"/>
        <v>Sun</v>
      </c>
      <c r="H214" s="100"/>
      <c r="I214" s="101"/>
      <c r="J214" s="135">
        <v>95900</v>
      </c>
      <c r="K214" s="136"/>
      <c r="L214" s="104">
        <f t="shared" si="229"/>
        <v>113402.06185567012</v>
      </c>
      <c r="M214" s="105">
        <f t="shared" si="11"/>
        <v>-17502.061855670123</v>
      </c>
      <c r="N214" s="106">
        <f t="shared" si="12"/>
        <v>0.84566363636363617</v>
      </c>
      <c r="O214" s="134"/>
      <c r="P214" s="104">
        <f t="shared" si="231"/>
        <v>1360824.742268041</v>
      </c>
      <c r="Q214" s="104">
        <f t="shared" si="232"/>
        <v>1074750</v>
      </c>
      <c r="R214" s="108">
        <f t="shared" si="13"/>
        <v>-286074.74226804101</v>
      </c>
      <c r="S214" s="109">
        <f t="shared" si="14"/>
        <v>0.78977840909090924</v>
      </c>
      <c r="T214" s="131"/>
      <c r="U214" s="104">
        <f t="shared" si="21"/>
        <v>15690721.649484526</v>
      </c>
      <c r="V214" s="104">
        <f t="shared" si="22"/>
        <v>13992150</v>
      </c>
      <c r="W214" s="111">
        <f t="shared" si="15"/>
        <v>-1698571.6494845264</v>
      </c>
      <c r="X214" s="112">
        <f t="shared" si="16"/>
        <v>0.89174674770039475</v>
      </c>
      <c r="Y214" s="113">
        <f t="shared" ref="Y214:Z214" si="244">Y213+1</f>
        <v>45851</v>
      </c>
      <c r="Z214" s="114">
        <f t="shared" si="244"/>
        <v>45851</v>
      </c>
      <c r="AA214" s="39"/>
      <c r="AB214" s="39"/>
      <c r="AC214" s="39"/>
      <c r="AD214" s="39"/>
      <c r="AE214" s="39"/>
      <c r="AF214" s="39"/>
      <c r="AG214" s="39"/>
    </row>
    <row r="215" spans="1:33" ht="16.5" customHeight="1">
      <c r="A215" s="39"/>
      <c r="B215" s="50"/>
      <c r="C215" s="95">
        <v>195</v>
      </c>
      <c r="D215" s="96">
        <v>0</v>
      </c>
      <c r="E215" s="97">
        <f t="shared" si="8"/>
        <v>7</v>
      </c>
      <c r="F215" s="98">
        <f t="shared" si="18"/>
        <v>45852</v>
      </c>
      <c r="G215" s="99" t="str">
        <f t="shared" si="9"/>
        <v>Mon</v>
      </c>
      <c r="H215" s="100"/>
      <c r="I215" s="101"/>
      <c r="J215" s="135"/>
      <c r="K215" s="136"/>
      <c r="L215" s="104">
        <f t="shared" si="229"/>
        <v>0</v>
      </c>
      <c r="M215" s="105">
        <f t="shared" si="11"/>
        <v>0</v>
      </c>
      <c r="N215" s="106" t="str">
        <f t="shared" si="12"/>
        <v>¥0</v>
      </c>
      <c r="O215" s="133"/>
      <c r="P215" s="104">
        <f t="shared" si="231"/>
        <v>0</v>
      </c>
      <c r="Q215" s="104">
        <f t="shared" si="232"/>
        <v>0</v>
      </c>
      <c r="R215" s="108">
        <f t="shared" si="13"/>
        <v>0</v>
      </c>
      <c r="S215" s="109">
        <f t="shared" si="14"/>
        <v>0</v>
      </c>
      <c r="T215" s="125"/>
      <c r="U215" s="104">
        <f t="shared" si="21"/>
        <v>0</v>
      </c>
      <c r="V215" s="104">
        <f t="shared" si="22"/>
        <v>0</v>
      </c>
      <c r="W215" s="111">
        <f t="shared" si="15"/>
        <v>0</v>
      </c>
      <c r="X215" s="112">
        <f t="shared" si="16"/>
        <v>0</v>
      </c>
      <c r="Y215" s="113">
        <f t="shared" ref="Y215:Z215" si="245">Y214+1</f>
        <v>45852</v>
      </c>
      <c r="Z215" s="114">
        <f t="shared" si="245"/>
        <v>45852</v>
      </c>
      <c r="AA215" s="39"/>
      <c r="AB215" s="39"/>
      <c r="AC215" s="39"/>
      <c r="AD215" s="39"/>
      <c r="AE215" s="39"/>
      <c r="AF215" s="39"/>
      <c r="AG215" s="39"/>
    </row>
    <row r="216" spans="1:33" ht="16.5" customHeight="1">
      <c r="A216" s="39"/>
      <c r="B216" s="50"/>
      <c r="C216" s="95">
        <v>196</v>
      </c>
      <c r="D216" s="96">
        <v>1</v>
      </c>
      <c r="E216" s="97">
        <f t="shared" si="8"/>
        <v>7</v>
      </c>
      <c r="F216" s="98">
        <f t="shared" si="18"/>
        <v>45853</v>
      </c>
      <c r="G216" s="99" t="str">
        <f t="shared" si="9"/>
        <v>Tue</v>
      </c>
      <c r="H216" s="100"/>
      <c r="I216" s="101"/>
      <c r="J216" s="135">
        <v>47350</v>
      </c>
      <c r="K216" s="136"/>
      <c r="L216" s="104">
        <f t="shared" si="229"/>
        <v>113402.06185567012</v>
      </c>
      <c r="M216" s="105">
        <f t="shared" si="11"/>
        <v>-66052.061855670123</v>
      </c>
      <c r="N216" s="106">
        <f t="shared" si="12"/>
        <v>0.41754090909090902</v>
      </c>
      <c r="O216" s="133"/>
      <c r="P216" s="104">
        <f t="shared" si="231"/>
        <v>1474226.8041237111</v>
      </c>
      <c r="Q216" s="104">
        <f t="shared" si="232"/>
        <v>1122100</v>
      </c>
      <c r="R216" s="108">
        <f t="shared" si="13"/>
        <v>-352126.80412371107</v>
      </c>
      <c r="S216" s="109">
        <f t="shared" si="14"/>
        <v>0.76114475524475533</v>
      </c>
      <c r="T216" s="125"/>
      <c r="U216" s="104">
        <f t="shared" si="21"/>
        <v>15804123.711340196</v>
      </c>
      <c r="V216" s="104">
        <f t="shared" si="22"/>
        <v>14039500</v>
      </c>
      <c r="W216" s="111">
        <f t="shared" si="15"/>
        <v>-1764623.7113401964</v>
      </c>
      <c r="X216" s="112">
        <f t="shared" si="16"/>
        <v>0.88834409654272728</v>
      </c>
      <c r="Y216" s="113">
        <f t="shared" ref="Y216:Z216" si="246">Y215+1</f>
        <v>45853</v>
      </c>
      <c r="Z216" s="114">
        <f t="shared" si="246"/>
        <v>45853</v>
      </c>
      <c r="AA216" s="39"/>
      <c r="AB216" s="39"/>
      <c r="AC216" s="39"/>
      <c r="AD216" s="39"/>
      <c r="AE216" s="39"/>
      <c r="AF216" s="39"/>
      <c r="AG216" s="39"/>
    </row>
    <row r="217" spans="1:33" ht="16.5" customHeight="1">
      <c r="A217" s="39"/>
      <c r="B217" s="50"/>
      <c r="C217" s="95">
        <v>197</v>
      </c>
      <c r="D217" s="96">
        <v>1</v>
      </c>
      <c r="E217" s="97">
        <f t="shared" si="8"/>
        <v>7</v>
      </c>
      <c r="F217" s="98">
        <f t="shared" si="18"/>
        <v>45854</v>
      </c>
      <c r="G217" s="99" t="str">
        <f t="shared" si="9"/>
        <v>Wed</v>
      </c>
      <c r="H217" s="100"/>
      <c r="I217" s="101"/>
      <c r="J217" s="135">
        <v>87750</v>
      </c>
      <c r="K217" s="136"/>
      <c r="L217" s="104">
        <f t="shared" si="229"/>
        <v>113402.06185567012</v>
      </c>
      <c r="M217" s="105">
        <f t="shared" si="11"/>
        <v>-25652.061855670123</v>
      </c>
      <c r="N217" s="106">
        <f t="shared" si="12"/>
        <v>0.7737954545454544</v>
      </c>
      <c r="O217" s="133"/>
      <c r="P217" s="104">
        <f t="shared" si="231"/>
        <v>1587628.8659793811</v>
      </c>
      <c r="Q217" s="104">
        <f t="shared" si="232"/>
        <v>1209850</v>
      </c>
      <c r="R217" s="108">
        <f t="shared" si="13"/>
        <v>-377778.86597938114</v>
      </c>
      <c r="S217" s="109">
        <f t="shared" si="14"/>
        <v>0.76204837662337677</v>
      </c>
      <c r="T217" s="125"/>
      <c r="U217" s="104">
        <f t="shared" si="21"/>
        <v>15917525.773195866</v>
      </c>
      <c r="V217" s="104">
        <f t="shared" si="22"/>
        <v>14127250</v>
      </c>
      <c r="W217" s="111">
        <f t="shared" si="15"/>
        <v>-1790275.7731958665</v>
      </c>
      <c r="X217" s="112">
        <f t="shared" si="16"/>
        <v>0.88752801165803163</v>
      </c>
      <c r="Y217" s="113">
        <f t="shared" ref="Y217:Z217" si="247">Y216+1</f>
        <v>45854</v>
      </c>
      <c r="Z217" s="114">
        <f t="shared" si="247"/>
        <v>45854</v>
      </c>
      <c r="AA217" s="39"/>
      <c r="AB217" s="39"/>
      <c r="AC217" s="39"/>
      <c r="AD217" s="39"/>
      <c r="AE217" s="39"/>
      <c r="AF217" s="39"/>
      <c r="AG217" s="39"/>
    </row>
    <row r="218" spans="1:33" ht="16.5" customHeight="1">
      <c r="A218" s="39"/>
      <c r="B218" s="50"/>
      <c r="C218" s="95">
        <v>198</v>
      </c>
      <c r="D218" s="96">
        <v>1</v>
      </c>
      <c r="E218" s="97">
        <f t="shared" si="8"/>
        <v>7</v>
      </c>
      <c r="F218" s="98">
        <f t="shared" si="18"/>
        <v>45855</v>
      </c>
      <c r="G218" s="99" t="str">
        <f t="shared" si="9"/>
        <v>Thu</v>
      </c>
      <c r="H218" s="100"/>
      <c r="I218" s="101"/>
      <c r="J218" s="135">
        <v>101600</v>
      </c>
      <c r="K218" s="136"/>
      <c r="L218" s="104">
        <f t="shared" si="229"/>
        <v>113402.06185567012</v>
      </c>
      <c r="M218" s="105">
        <f t="shared" si="11"/>
        <v>-11802.061855670123</v>
      </c>
      <c r="N218" s="106">
        <f t="shared" si="12"/>
        <v>0.89592727272727257</v>
      </c>
      <c r="O218" s="133"/>
      <c r="P218" s="104">
        <f t="shared" si="231"/>
        <v>1701030.9278350512</v>
      </c>
      <c r="Q218" s="104">
        <f t="shared" si="232"/>
        <v>1311450</v>
      </c>
      <c r="R218" s="108">
        <f t="shared" si="13"/>
        <v>-389580.9278350512</v>
      </c>
      <c r="S218" s="109">
        <f t="shared" si="14"/>
        <v>0.77097363636363647</v>
      </c>
      <c r="T218" s="125"/>
      <c r="U218" s="104">
        <f t="shared" si="21"/>
        <v>16030927.835051537</v>
      </c>
      <c r="V218" s="104">
        <f t="shared" si="22"/>
        <v>14228850</v>
      </c>
      <c r="W218" s="111">
        <f t="shared" si="15"/>
        <v>-1802077.8350515366</v>
      </c>
      <c r="X218" s="112">
        <f t="shared" si="16"/>
        <v>0.88758742765273368</v>
      </c>
      <c r="Y218" s="113">
        <f t="shared" ref="Y218:Z218" si="248">Y217+1</f>
        <v>45855</v>
      </c>
      <c r="Z218" s="114">
        <f t="shared" si="248"/>
        <v>45855</v>
      </c>
      <c r="AA218" s="39"/>
      <c r="AB218" s="39"/>
      <c r="AC218" s="39"/>
      <c r="AD218" s="39"/>
      <c r="AE218" s="39"/>
      <c r="AF218" s="39"/>
      <c r="AG218" s="39"/>
    </row>
    <row r="219" spans="1:33" ht="16.5" customHeight="1">
      <c r="A219" s="39"/>
      <c r="B219" s="50"/>
      <c r="C219" s="95">
        <v>199</v>
      </c>
      <c r="D219" s="96">
        <v>1</v>
      </c>
      <c r="E219" s="97">
        <f t="shared" si="8"/>
        <v>7</v>
      </c>
      <c r="F219" s="98">
        <f t="shared" si="18"/>
        <v>45856</v>
      </c>
      <c r="G219" s="99" t="str">
        <f t="shared" si="9"/>
        <v>Fri</v>
      </c>
      <c r="H219" s="100"/>
      <c r="I219" s="101"/>
      <c r="J219" s="135">
        <v>124850</v>
      </c>
      <c r="K219" s="136"/>
      <c r="L219" s="104">
        <f t="shared" si="229"/>
        <v>113402.06185567012</v>
      </c>
      <c r="M219" s="105">
        <f t="shared" si="11"/>
        <v>11447.938144329877</v>
      </c>
      <c r="N219" s="106">
        <f t="shared" si="12"/>
        <v>1.1009499999999999</v>
      </c>
      <c r="O219" s="133"/>
      <c r="P219" s="104">
        <f t="shared" si="231"/>
        <v>1814432.9896907213</v>
      </c>
      <c r="Q219" s="104">
        <f t="shared" si="232"/>
        <v>1436300</v>
      </c>
      <c r="R219" s="108">
        <f t="shared" si="13"/>
        <v>-378132.98969072127</v>
      </c>
      <c r="S219" s="109">
        <f t="shared" si="14"/>
        <v>0.79159715909090922</v>
      </c>
      <c r="T219" s="125"/>
      <c r="U219" s="104">
        <f t="shared" si="21"/>
        <v>16144329.896907207</v>
      </c>
      <c r="V219" s="104">
        <f t="shared" si="22"/>
        <v>14353700</v>
      </c>
      <c r="W219" s="111">
        <f t="shared" si="15"/>
        <v>-1790629.8969072066</v>
      </c>
      <c r="X219" s="112">
        <f t="shared" si="16"/>
        <v>0.88908614303959188</v>
      </c>
      <c r="Y219" s="113">
        <f t="shared" ref="Y219:Z219" si="249">Y218+1</f>
        <v>45856</v>
      </c>
      <c r="Z219" s="114">
        <f t="shared" si="249"/>
        <v>45856</v>
      </c>
      <c r="AA219" s="39"/>
      <c r="AB219" s="39"/>
      <c r="AC219" s="39"/>
      <c r="AD219" s="39"/>
      <c r="AE219" s="39"/>
      <c r="AF219" s="39"/>
      <c r="AG219" s="39"/>
    </row>
    <row r="220" spans="1:33" ht="16.5" customHeight="1">
      <c r="A220" s="39"/>
      <c r="B220" s="50"/>
      <c r="C220" s="95">
        <v>200</v>
      </c>
      <c r="D220" s="96">
        <v>1</v>
      </c>
      <c r="E220" s="97">
        <f t="shared" si="8"/>
        <v>7</v>
      </c>
      <c r="F220" s="98">
        <f t="shared" si="18"/>
        <v>45857</v>
      </c>
      <c r="G220" s="99" t="str">
        <f t="shared" si="9"/>
        <v>Sat</v>
      </c>
      <c r="H220" s="100"/>
      <c r="I220" s="101"/>
      <c r="J220" s="135">
        <v>61400</v>
      </c>
      <c r="K220" s="136"/>
      <c r="L220" s="104">
        <f t="shared" si="229"/>
        <v>113402.06185567012</v>
      </c>
      <c r="M220" s="105">
        <f t="shared" si="11"/>
        <v>-52002.061855670123</v>
      </c>
      <c r="N220" s="106">
        <f t="shared" si="12"/>
        <v>0.54143636363636349</v>
      </c>
      <c r="O220" s="133"/>
      <c r="P220" s="104">
        <f t="shared" si="231"/>
        <v>1927835.0515463913</v>
      </c>
      <c r="Q220" s="104">
        <f t="shared" si="232"/>
        <v>1497700</v>
      </c>
      <c r="R220" s="108">
        <f t="shared" si="13"/>
        <v>-430135.05154639133</v>
      </c>
      <c r="S220" s="109">
        <f t="shared" si="14"/>
        <v>0.77688181818181834</v>
      </c>
      <c r="T220" s="125"/>
      <c r="U220" s="104">
        <f t="shared" si="21"/>
        <v>16257731.958762877</v>
      </c>
      <c r="V220" s="104">
        <f t="shared" si="22"/>
        <v>14415100</v>
      </c>
      <c r="W220" s="111">
        <f t="shared" si="15"/>
        <v>-1842631.9587628767</v>
      </c>
      <c r="X220" s="112">
        <f t="shared" si="16"/>
        <v>0.88666119213696948</v>
      </c>
      <c r="Y220" s="113">
        <f t="shared" ref="Y220:Z220" si="250">Y219+1</f>
        <v>45857</v>
      </c>
      <c r="Z220" s="114">
        <f t="shared" si="250"/>
        <v>45857</v>
      </c>
      <c r="AA220" s="39"/>
      <c r="AB220" s="39"/>
      <c r="AC220" s="39"/>
      <c r="AD220" s="39"/>
      <c r="AE220" s="39"/>
      <c r="AF220" s="39"/>
      <c r="AG220" s="39"/>
    </row>
    <row r="221" spans="1:33" ht="16.5" customHeight="1">
      <c r="A221" s="39"/>
      <c r="B221" s="50"/>
      <c r="C221" s="95">
        <v>201</v>
      </c>
      <c r="D221" s="96">
        <v>1</v>
      </c>
      <c r="E221" s="97">
        <f t="shared" si="8"/>
        <v>7</v>
      </c>
      <c r="F221" s="98">
        <f t="shared" si="18"/>
        <v>45858</v>
      </c>
      <c r="G221" s="99" t="str">
        <f t="shared" si="9"/>
        <v>Sun</v>
      </c>
      <c r="H221" s="100"/>
      <c r="I221" s="101"/>
      <c r="J221" s="135">
        <v>99350</v>
      </c>
      <c r="K221" s="136"/>
      <c r="L221" s="104">
        <f t="shared" si="229"/>
        <v>113402.06185567012</v>
      </c>
      <c r="M221" s="105">
        <f t="shared" si="11"/>
        <v>-14052.061855670123</v>
      </c>
      <c r="N221" s="106">
        <f t="shared" si="12"/>
        <v>0.8760863636363635</v>
      </c>
      <c r="O221" s="134"/>
      <c r="P221" s="104">
        <f t="shared" si="231"/>
        <v>2041237.1134020614</v>
      </c>
      <c r="Q221" s="104">
        <f t="shared" si="232"/>
        <v>1597050</v>
      </c>
      <c r="R221" s="108">
        <f t="shared" si="13"/>
        <v>-444187.1134020614</v>
      </c>
      <c r="S221" s="109">
        <f t="shared" si="14"/>
        <v>0.78239318181818196</v>
      </c>
      <c r="T221" s="131"/>
      <c r="U221" s="104">
        <f t="shared" si="21"/>
        <v>16371134.020618547</v>
      </c>
      <c r="V221" s="104">
        <f t="shared" si="22"/>
        <v>14514450</v>
      </c>
      <c r="W221" s="111">
        <f t="shared" si="15"/>
        <v>-1856684.0206185468</v>
      </c>
      <c r="X221" s="112">
        <f t="shared" si="16"/>
        <v>0.88658794080604586</v>
      </c>
      <c r="Y221" s="113">
        <f t="shared" ref="Y221:Z221" si="251">Y220+1</f>
        <v>45858</v>
      </c>
      <c r="Z221" s="114">
        <f t="shared" si="251"/>
        <v>45858</v>
      </c>
      <c r="AA221" s="39"/>
      <c r="AB221" s="39"/>
      <c r="AC221" s="39"/>
      <c r="AD221" s="39"/>
      <c r="AE221" s="39"/>
      <c r="AF221" s="39"/>
      <c r="AG221" s="39"/>
    </row>
    <row r="222" spans="1:33" ht="16.5" customHeight="1">
      <c r="A222" s="39"/>
      <c r="B222" s="50"/>
      <c r="C222" s="95">
        <v>202</v>
      </c>
      <c r="D222" s="96">
        <v>0</v>
      </c>
      <c r="E222" s="97">
        <f t="shared" si="8"/>
        <v>7</v>
      </c>
      <c r="F222" s="98">
        <f t="shared" si="18"/>
        <v>45859</v>
      </c>
      <c r="G222" s="99" t="str">
        <f t="shared" si="9"/>
        <v>Mon</v>
      </c>
      <c r="H222" s="100"/>
      <c r="I222" s="101"/>
      <c r="J222" s="135"/>
      <c r="K222" s="136"/>
      <c r="L222" s="104">
        <f t="shared" si="229"/>
        <v>0</v>
      </c>
      <c r="M222" s="105">
        <f t="shared" si="11"/>
        <v>0</v>
      </c>
      <c r="N222" s="106" t="str">
        <f t="shared" si="12"/>
        <v>¥0</v>
      </c>
      <c r="O222" s="134"/>
      <c r="P222" s="104">
        <f t="shared" si="231"/>
        <v>0</v>
      </c>
      <c r="Q222" s="104">
        <f t="shared" si="232"/>
        <v>0</v>
      </c>
      <c r="R222" s="108">
        <f t="shared" si="13"/>
        <v>0</v>
      </c>
      <c r="S222" s="109">
        <f t="shared" si="14"/>
        <v>0</v>
      </c>
      <c r="T222" s="131"/>
      <c r="U222" s="104">
        <f t="shared" si="21"/>
        <v>0</v>
      </c>
      <c r="V222" s="104">
        <f t="shared" si="22"/>
        <v>0</v>
      </c>
      <c r="W222" s="111">
        <f t="shared" si="15"/>
        <v>0</v>
      </c>
      <c r="X222" s="112">
        <f t="shared" si="16"/>
        <v>0</v>
      </c>
      <c r="Y222" s="113">
        <f t="shared" ref="Y222:Z222" si="252">Y221+1</f>
        <v>45859</v>
      </c>
      <c r="Z222" s="114">
        <f t="shared" si="252"/>
        <v>45859</v>
      </c>
      <c r="AA222" s="39"/>
      <c r="AB222" s="39"/>
      <c r="AC222" s="39"/>
      <c r="AD222" s="39"/>
      <c r="AE222" s="39"/>
      <c r="AF222" s="39"/>
      <c r="AG222" s="39"/>
    </row>
    <row r="223" spans="1:33" ht="16.5" customHeight="1">
      <c r="A223" s="39"/>
      <c r="B223" s="50"/>
      <c r="C223" s="95">
        <v>203</v>
      </c>
      <c r="D223" s="96">
        <v>0</v>
      </c>
      <c r="E223" s="97">
        <f t="shared" si="8"/>
        <v>7</v>
      </c>
      <c r="F223" s="98">
        <f t="shared" si="18"/>
        <v>45860</v>
      </c>
      <c r="G223" s="99" t="str">
        <f t="shared" si="9"/>
        <v>Tue</v>
      </c>
      <c r="H223" s="100"/>
      <c r="I223" s="101"/>
      <c r="J223" s="135"/>
      <c r="K223" s="136"/>
      <c r="L223" s="104">
        <f t="shared" si="229"/>
        <v>0</v>
      </c>
      <c r="M223" s="105">
        <f t="shared" si="11"/>
        <v>0</v>
      </c>
      <c r="N223" s="106" t="str">
        <f t="shared" si="12"/>
        <v>¥0</v>
      </c>
      <c r="O223" s="133"/>
      <c r="P223" s="104">
        <f t="shared" si="231"/>
        <v>0</v>
      </c>
      <c r="Q223" s="104">
        <f t="shared" si="232"/>
        <v>0</v>
      </c>
      <c r="R223" s="108">
        <f t="shared" si="13"/>
        <v>0</v>
      </c>
      <c r="S223" s="109">
        <f t="shared" si="14"/>
        <v>0</v>
      </c>
      <c r="T223" s="125"/>
      <c r="U223" s="104">
        <f t="shared" si="21"/>
        <v>0</v>
      </c>
      <c r="V223" s="104">
        <f t="shared" si="22"/>
        <v>0</v>
      </c>
      <c r="W223" s="111">
        <f t="shared" si="15"/>
        <v>0</v>
      </c>
      <c r="X223" s="112">
        <f t="shared" si="16"/>
        <v>0</v>
      </c>
      <c r="Y223" s="113">
        <f t="shared" ref="Y223:Z223" si="253">Y222+1</f>
        <v>45860</v>
      </c>
      <c r="Z223" s="114">
        <f t="shared" si="253"/>
        <v>45860</v>
      </c>
      <c r="AA223" s="39"/>
      <c r="AB223" s="39"/>
      <c r="AC223" s="39"/>
      <c r="AD223" s="39"/>
      <c r="AE223" s="39"/>
      <c r="AF223" s="39"/>
      <c r="AG223" s="39"/>
    </row>
    <row r="224" spans="1:33" ht="16.5" customHeight="1">
      <c r="A224" s="39"/>
      <c r="B224" s="50"/>
      <c r="C224" s="95">
        <v>204</v>
      </c>
      <c r="D224" s="96">
        <v>0</v>
      </c>
      <c r="E224" s="97">
        <f t="shared" si="8"/>
        <v>7</v>
      </c>
      <c r="F224" s="98">
        <f t="shared" si="18"/>
        <v>45861</v>
      </c>
      <c r="G224" s="99" t="str">
        <f t="shared" si="9"/>
        <v>Wed</v>
      </c>
      <c r="H224" s="100"/>
      <c r="I224" s="101"/>
      <c r="J224" s="135"/>
      <c r="K224" s="136"/>
      <c r="L224" s="104">
        <f t="shared" si="229"/>
        <v>0</v>
      </c>
      <c r="M224" s="105">
        <f t="shared" si="11"/>
        <v>0</v>
      </c>
      <c r="N224" s="106" t="str">
        <f t="shared" si="12"/>
        <v>¥0</v>
      </c>
      <c r="O224" s="133"/>
      <c r="P224" s="104">
        <f t="shared" si="231"/>
        <v>0</v>
      </c>
      <c r="Q224" s="104">
        <f t="shared" si="232"/>
        <v>0</v>
      </c>
      <c r="R224" s="108">
        <f t="shared" si="13"/>
        <v>0</v>
      </c>
      <c r="S224" s="109">
        <f t="shared" si="14"/>
        <v>0</v>
      </c>
      <c r="T224" s="125"/>
      <c r="U224" s="104">
        <f t="shared" si="21"/>
        <v>0</v>
      </c>
      <c r="V224" s="104">
        <f t="shared" si="22"/>
        <v>0</v>
      </c>
      <c r="W224" s="111">
        <f t="shared" si="15"/>
        <v>0</v>
      </c>
      <c r="X224" s="112">
        <f t="shared" si="16"/>
        <v>0</v>
      </c>
      <c r="Y224" s="113">
        <f t="shared" ref="Y224:Z224" si="254">Y223+1</f>
        <v>45861</v>
      </c>
      <c r="Z224" s="114">
        <f t="shared" si="254"/>
        <v>45861</v>
      </c>
      <c r="AA224" s="39"/>
      <c r="AB224" s="39"/>
      <c r="AC224" s="39"/>
      <c r="AD224" s="39"/>
      <c r="AE224" s="39"/>
      <c r="AF224" s="39"/>
      <c r="AG224" s="39"/>
    </row>
    <row r="225" spans="1:33" ht="16.5" customHeight="1">
      <c r="A225" s="39"/>
      <c r="B225" s="50"/>
      <c r="C225" s="95">
        <v>205</v>
      </c>
      <c r="D225" s="96">
        <v>1</v>
      </c>
      <c r="E225" s="97">
        <f t="shared" si="8"/>
        <v>7</v>
      </c>
      <c r="F225" s="98">
        <f t="shared" si="18"/>
        <v>45862</v>
      </c>
      <c r="G225" s="99" t="str">
        <f t="shared" si="9"/>
        <v>Thu</v>
      </c>
      <c r="H225" s="100"/>
      <c r="I225" s="101"/>
      <c r="J225" s="135">
        <v>72200</v>
      </c>
      <c r="K225" s="136"/>
      <c r="L225" s="104">
        <f t="shared" si="229"/>
        <v>113402.06185567012</v>
      </c>
      <c r="M225" s="105">
        <f t="shared" si="11"/>
        <v>-41202.061855670123</v>
      </c>
      <c r="N225" s="106">
        <f t="shared" si="12"/>
        <v>0.63667272727272717</v>
      </c>
      <c r="O225" s="133"/>
      <c r="P225" s="104">
        <f t="shared" si="231"/>
        <v>2154639.1752577317</v>
      </c>
      <c r="Q225" s="104">
        <f t="shared" si="232"/>
        <v>1669250</v>
      </c>
      <c r="R225" s="108">
        <f t="shared" si="13"/>
        <v>-485389.17525773169</v>
      </c>
      <c r="S225" s="109">
        <f t="shared" si="14"/>
        <v>0.7747236842105264</v>
      </c>
      <c r="T225" s="125"/>
      <c r="U225" s="104">
        <f t="shared" si="21"/>
        <v>16484536.082474217</v>
      </c>
      <c r="V225" s="104">
        <f t="shared" si="22"/>
        <v>14586650</v>
      </c>
      <c r="W225" s="111">
        <f t="shared" si="15"/>
        <v>-1897886.0824742168</v>
      </c>
      <c r="X225" s="112">
        <f t="shared" si="16"/>
        <v>0.8848686991869924</v>
      </c>
      <c r="Y225" s="113">
        <f t="shared" ref="Y225:Z225" si="255">Y224+1</f>
        <v>45862</v>
      </c>
      <c r="Z225" s="114">
        <f t="shared" si="255"/>
        <v>45862</v>
      </c>
      <c r="AA225" s="39"/>
      <c r="AB225" s="39"/>
      <c r="AC225" s="39"/>
      <c r="AD225" s="39"/>
      <c r="AE225" s="39"/>
      <c r="AF225" s="39"/>
      <c r="AG225" s="39"/>
    </row>
    <row r="226" spans="1:33" ht="16.5" customHeight="1">
      <c r="A226" s="39"/>
      <c r="B226" s="50"/>
      <c r="C226" s="95">
        <v>206</v>
      </c>
      <c r="D226" s="96">
        <v>1</v>
      </c>
      <c r="E226" s="97">
        <f t="shared" si="8"/>
        <v>7</v>
      </c>
      <c r="F226" s="98">
        <f t="shared" si="18"/>
        <v>45863</v>
      </c>
      <c r="G226" s="99" t="str">
        <f t="shared" si="9"/>
        <v>Fri</v>
      </c>
      <c r="H226" s="100"/>
      <c r="I226" s="101"/>
      <c r="J226" s="135">
        <v>158200</v>
      </c>
      <c r="K226" s="136"/>
      <c r="L226" s="104">
        <f t="shared" si="229"/>
        <v>113402.06185567012</v>
      </c>
      <c r="M226" s="105">
        <f t="shared" si="11"/>
        <v>44797.938144329877</v>
      </c>
      <c r="N226" s="106">
        <f t="shared" si="12"/>
        <v>1.3950363636363634</v>
      </c>
      <c r="O226" s="133"/>
      <c r="P226" s="104">
        <f t="shared" si="231"/>
        <v>2268041.2371134018</v>
      </c>
      <c r="Q226" s="104">
        <f t="shared" si="232"/>
        <v>1827450</v>
      </c>
      <c r="R226" s="108">
        <f t="shared" si="13"/>
        <v>-440591.23711340176</v>
      </c>
      <c r="S226" s="109">
        <f t="shared" si="14"/>
        <v>0.80573931818181832</v>
      </c>
      <c r="T226" s="125"/>
      <c r="U226" s="104">
        <f t="shared" si="21"/>
        <v>16597938.144329887</v>
      </c>
      <c r="V226" s="104">
        <f t="shared" si="22"/>
        <v>14744850</v>
      </c>
      <c r="W226" s="111">
        <f t="shared" si="15"/>
        <v>-1853088.1443298869</v>
      </c>
      <c r="X226" s="112">
        <f t="shared" si="16"/>
        <v>0.88835431677018684</v>
      </c>
      <c r="Y226" s="113">
        <f t="shared" ref="Y226:Z226" si="256">Y225+1</f>
        <v>45863</v>
      </c>
      <c r="Z226" s="114">
        <f t="shared" si="256"/>
        <v>45863</v>
      </c>
      <c r="AA226" s="39"/>
      <c r="AB226" s="39"/>
      <c r="AC226" s="39"/>
      <c r="AD226" s="39"/>
      <c r="AE226" s="39"/>
      <c r="AF226" s="39"/>
      <c r="AG226" s="39"/>
    </row>
    <row r="227" spans="1:33" ht="16.5" customHeight="1">
      <c r="A227" s="39"/>
      <c r="B227" s="50"/>
      <c r="C227" s="95">
        <v>207</v>
      </c>
      <c r="D227" s="96">
        <v>1</v>
      </c>
      <c r="E227" s="97">
        <f t="shared" si="8"/>
        <v>7</v>
      </c>
      <c r="F227" s="98">
        <f t="shared" si="18"/>
        <v>45864</v>
      </c>
      <c r="G227" s="99" t="str">
        <f t="shared" si="9"/>
        <v>Sat</v>
      </c>
      <c r="H227" s="100"/>
      <c r="I227" s="101"/>
      <c r="J227" s="135">
        <v>26800</v>
      </c>
      <c r="K227" s="136"/>
      <c r="L227" s="104">
        <f t="shared" si="229"/>
        <v>113402.06185567012</v>
      </c>
      <c r="M227" s="105">
        <f t="shared" si="11"/>
        <v>-86602.061855670123</v>
      </c>
      <c r="N227" s="106">
        <f t="shared" si="12"/>
        <v>0.23632727272727269</v>
      </c>
      <c r="O227" s="133"/>
      <c r="P227" s="104">
        <f t="shared" si="231"/>
        <v>2381443.2989690718</v>
      </c>
      <c r="Q227" s="104">
        <f t="shared" si="232"/>
        <v>1854250</v>
      </c>
      <c r="R227" s="108">
        <f t="shared" si="13"/>
        <v>-527193.29896907182</v>
      </c>
      <c r="S227" s="109">
        <f t="shared" si="14"/>
        <v>0.77862445887445897</v>
      </c>
      <c r="T227" s="125"/>
      <c r="U227" s="104">
        <f t="shared" si="21"/>
        <v>16711340.206185557</v>
      </c>
      <c r="V227" s="104">
        <f t="shared" si="22"/>
        <v>14771650</v>
      </c>
      <c r="W227" s="111">
        <f t="shared" si="15"/>
        <v>-1939690.2061855569</v>
      </c>
      <c r="X227" s="112">
        <f t="shared" si="16"/>
        <v>0.88392970388649039</v>
      </c>
      <c r="Y227" s="113">
        <f t="shared" ref="Y227:Z227" si="257">Y226+1</f>
        <v>45864</v>
      </c>
      <c r="Z227" s="114">
        <f t="shared" si="257"/>
        <v>45864</v>
      </c>
      <c r="AA227" s="39"/>
      <c r="AB227" s="39"/>
      <c r="AC227" s="39"/>
      <c r="AD227" s="39"/>
      <c r="AE227" s="39"/>
      <c r="AF227" s="39"/>
      <c r="AG227" s="39"/>
    </row>
    <row r="228" spans="1:33" ht="16.5" customHeight="1">
      <c r="A228" s="39"/>
      <c r="B228" s="50"/>
      <c r="C228" s="95">
        <v>208</v>
      </c>
      <c r="D228" s="96">
        <v>1</v>
      </c>
      <c r="E228" s="97">
        <f t="shared" si="8"/>
        <v>7</v>
      </c>
      <c r="F228" s="98">
        <f t="shared" si="18"/>
        <v>45865</v>
      </c>
      <c r="G228" s="99" t="str">
        <f t="shared" si="9"/>
        <v>Sun</v>
      </c>
      <c r="H228" s="100"/>
      <c r="I228" s="101"/>
      <c r="J228" s="135">
        <v>98200</v>
      </c>
      <c r="K228" s="136"/>
      <c r="L228" s="104">
        <f t="shared" si="229"/>
        <v>113402.06185567012</v>
      </c>
      <c r="M228" s="105">
        <f t="shared" si="11"/>
        <v>-15202.061855670123</v>
      </c>
      <c r="N228" s="106">
        <f t="shared" si="12"/>
        <v>0.86594545454545435</v>
      </c>
      <c r="O228" s="134"/>
      <c r="P228" s="104">
        <f t="shared" si="231"/>
        <v>2494845.3608247419</v>
      </c>
      <c r="Q228" s="104">
        <f t="shared" si="232"/>
        <v>1952450</v>
      </c>
      <c r="R228" s="108">
        <f t="shared" si="13"/>
        <v>-542395.36082474189</v>
      </c>
      <c r="S228" s="109">
        <f t="shared" si="14"/>
        <v>0.78259359504132242</v>
      </c>
      <c r="T228" s="131"/>
      <c r="U228" s="104">
        <f t="shared" si="21"/>
        <v>16824742.268041227</v>
      </c>
      <c r="V228" s="104">
        <f t="shared" si="22"/>
        <v>14869850</v>
      </c>
      <c r="W228" s="111">
        <f t="shared" si="15"/>
        <v>-1954892.268041227</v>
      </c>
      <c r="X228" s="112">
        <f t="shared" si="16"/>
        <v>0.88380848651960842</v>
      </c>
      <c r="Y228" s="113">
        <f t="shared" ref="Y228:Z228" si="258">Y227+1</f>
        <v>45865</v>
      </c>
      <c r="Z228" s="114">
        <f t="shared" si="258"/>
        <v>45865</v>
      </c>
      <c r="AA228" s="39"/>
      <c r="AB228" s="39"/>
      <c r="AC228" s="39"/>
      <c r="AD228" s="39"/>
      <c r="AE228" s="39"/>
      <c r="AF228" s="39"/>
      <c r="AG228" s="39"/>
    </row>
    <row r="229" spans="1:33" ht="16.5" customHeight="1">
      <c r="A229" s="39"/>
      <c r="B229" s="50"/>
      <c r="C229" s="95">
        <v>209</v>
      </c>
      <c r="D229" s="96">
        <v>0</v>
      </c>
      <c r="E229" s="97">
        <f t="shared" si="8"/>
        <v>7</v>
      </c>
      <c r="F229" s="98">
        <f t="shared" si="18"/>
        <v>45866</v>
      </c>
      <c r="G229" s="99" t="str">
        <f t="shared" si="9"/>
        <v>Mon</v>
      </c>
      <c r="H229" s="100"/>
      <c r="I229" s="101"/>
      <c r="J229" s="135"/>
      <c r="K229" s="136"/>
      <c r="L229" s="104">
        <f t="shared" si="229"/>
        <v>0</v>
      </c>
      <c r="M229" s="105">
        <f t="shared" si="11"/>
        <v>0</v>
      </c>
      <c r="N229" s="106" t="str">
        <f t="shared" si="12"/>
        <v>¥0</v>
      </c>
      <c r="O229" s="133"/>
      <c r="P229" s="104">
        <f t="shared" si="231"/>
        <v>0</v>
      </c>
      <c r="Q229" s="104">
        <f t="shared" si="232"/>
        <v>0</v>
      </c>
      <c r="R229" s="108">
        <f t="shared" si="13"/>
        <v>0</v>
      </c>
      <c r="S229" s="109">
        <f t="shared" si="14"/>
        <v>0</v>
      </c>
      <c r="T229" s="125"/>
      <c r="U229" s="104">
        <f t="shared" si="21"/>
        <v>0</v>
      </c>
      <c r="V229" s="104">
        <f t="shared" si="22"/>
        <v>0</v>
      </c>
      <c r="W229" s="111">
        <f t="shared" si="15"/>
        <v>0</v>
      </c>
      <c r="X229" s="112">
        <f t="shared" si="16"/>
        <v>0</v>
      </c>
      <c r="Y229" s="113">
        <f t="shared" ref="Y229:Z229" si="259">Y228+1</f>
        <v>45866</v>
      </c>
      <c r="Z229" s="114">
        <f t="shared" si="259"/>
        <v>45866</v>
      </c>
      <c r="AA229" s="39"/>
      <c r="AB229" s="39"/>
      <c r="AC229" s="39"/>
      <c r="AD229" s="39"/>
      <c r="AE229" s="39"/>
      <c r="AF229" s="39"/>
      <c r="AG229" s="39"/>
    </row>
    <row r="230" spans="1:33" ht="16.5" customHeight="1">
      <c r="A230" s="39"/>
      <c r="B230" s="50"/>
      <c r="C230" s="95">
        <v>210</v>
      </c>
      <c r="D230" s="96">
        <v>1</v>
      </c>
      <c r="E230" s="97">
        <f t="shared" si="8"/>
        <v>7</v>
      </c>
      <c r="F230" s="98">
        <f t="shared" si="18"/>
        <v>45867</v>
      </c>
      <c r="G230" s="99" t="str">
        <f t="shared" si="9"/>
        <v>Tue</v>
      </c>
      <c r="H230" s="100"/>
      <c r="I230" s="101"/>
      <c r="J230" s="135">
        <v>115350</v>
      </c>
      <c r="K230" s="136"/>
      <c r="L230" s="104">
        <f t="shared" si="229"/>
        <v>113402.06185567012</v>
      </c>
      <c r="M230" s="105">
        <f t="shared" si="11"/>
        <v>1947.9381443298771</v>
      </c>
      <c r="N230" s="106">
        <f t="shared" si="12"/>
        <v>1.0171772727272725</v>
      </c>
      <c r="O230" s="133"/>
      <c r="P230" s="104">
        <f t="shared" si="231"/>
        <v>2608247.422680412</v>
      </c>
      <c r="Q230" s="104">
        <f t="shared" si="232"/>
        <v>2067800</v>
      </c>
      <c r="R230" s="108">
        <f t="shared" si="13"/>
        <v>-540447.42268041195</v>
      </c>
      <c r="S230" s="109">
        <f t="shared" si="14"/>
        <v>0.79279288537549419</v>
      </c>
      <c r="T230" s="125"/>
      <c r="U230" s="104">
        <f t="shared" si="21"/>
        <v>16938144.329896897</v>
      </c>
      <c r="V230" s="104">
        <f t="shared" si="22"/>
        <v>14985200</v>
      </c>
      <c r="W230" s="111">
        <f t="shared" si="15"/>
        <v>-1952944.3298968971</v>
      </c>
      <c r="X230" s="112">
        <f t="shared" si="16"/>
        <v>0.88470139987827201</v>
      </c>
      <c r="Y230" s="113">
        <f t="shared" ref="Y230:Z230" si="260">Y229+1</f>
        <v>45867</v>
      </c>
      <c r="Z230" s="114">
        <f t="shared" si="260"/>
        <v>45867</v>
      </c>
      <c r="AA230" s="39"/>
      <c r="AB230" s="39"/>
      <c r="AC230" s="39"/>
      <c r="AD230" s="39"/>
      <c r="AE230" s="39"/>
      <c r="AF230" s="39"/>
      <c r="AG230" s="39"/>
    </row>
    <row r="231" spans="1:33" ht="16.5" customHeight="1">
      <c r="A231" s="39"/>
      <c r="B231" s="50"/>
      <c r="C231" s="95">
        <v>211</v>
      </c>
      <c r="D231" s="96">
        <v>1</v>
      </c>
      <c r="E231" s="97">
        <f t="shared" si="8"/>
        <v>7</v>
      </c>
      <c r="F231" s="98">
        <f t="shared" si="18"/>
        <v>45868</v>
      </c>
      <c r="G231" s="99" t="str">
        <f t="shared" si="9"/>
        <v>Wed</v>
      </c>
      <c r="H231" s="100"/>
      <c r="I231" s="101"/>
      <c r="J231" s="135">
        <v>106050</v>
      </c>
      <c r="K231" s="136"/>
      <c r="L231" s="104">
        <f t="shared" si="229"/>
        <v>113402.06185567012</v>
      </c>
      <c r="M231" s="105">
        <f t="shared" si="11"/>
        <v>-7352.0618556701229</v>
      </c>
      <c r="N231" s="106">
        <f t="shared" si="12"/>
        <v>0.93516818181818162</v>
      </c>
      <c r="O231" s="133"/>
      <c r="P231" s="104">
        <f t="shared" si="231"/>
        <v>2721649.484536082</v>
      </c>
      <c r="Q231" s="104">
        <f t="shared" si="232"/>
        <v>2173850</v>
      </c>
      <c r="R231" s="108">
        <f t="shared" si="13"/>
        <v>-547799.48453608202</v>
      </c>
      <c r="S231" s="109">
        <f t="shared" si="14"/>
        <v>0.79872518939393955</v>
      </c>
      <c r="T231" s="125"/>
      <c r="U231" s="104">
        <f t="shared" si="21"/>
        <v>17051546.391752567</v>
      </c>
      <c r="V231" s="104">
        <f t="shared" si="22"/>
        <v>15091250</v>
      </c>
      <c r="W231" s="111">
        <f t="shared" si="15"/>
        <v>-1960296.3917525671</v>
      </c>
      <c r="X231" s="112">
        <f t="shared" si="16"/>
        <v>0.88503703143893642</v>
      </c>
      <c r="Y231" s="113">
        <f t="shared" ref="Y231:Z231" si="261">Y230+1</f>
        <v>45868</v>
      </c>
      <c r="Z231" s="114">
        <f t="shared" si="261"/>
        <v>45868</v>
      </c>
      <c r="AA231" s="39"/>
      <c r="AB231" s="39"/>
      <c r="AC231" s="39"/>
      <c r="AD231" s="39"/>
      <c r="AE231" s="39"/>
      <c r="AF231" s="39"/>
      <c r="AG231" s="39"/>
    </row>
    <row r="232" spans="1:33" ht="16.5" customHeight="1">
      <c r="A232" s="39"/>
      <c r="B232" s="50"/>
      <c r="C232" s="160">
        <v>212</v>
      </c>
      <c r="D232" s="138">
        <v>1</v>
      </c>
      <c r="E232" s="139">
        <f t="shared" si="8"/>
        <v>7</v>
      </c>
      <c r="F232" s="163">
        <f t="shared" si="18"/>
        <v>45869</v>
      </c>
      <c r="G232" s="141" t="str">
        <f t="shared" si="9"/>
        <v>Thu</v>
      </c>
      <c r="H232" s="159"/>
      <c r="I232" s="143"/>
      <c r="J232" s="164">
        <v>133900</v>
      </c>
      <c r="K232" s="145"/>
      <c r="L232" s="165">
        <f t="shared" si="229"/>
        <v>113402.06185567012</v>
      </c>
      <c r="M232" s="147">
        <f t="shared" si="11"/>
        <v>20497.938144329877</v>
      </c>
      <c r="N232" s="148">
        <f t="shared" si="12"/>
        <v>1.1807545454545452</v>
      </c>
      <c r="O232" s="149"/>
      <c r="P232" s="166">
        <f t="shared" si="231"/>
        <v>2835051.5463917521</v>
      </c>
      <c r="Q232" s="165">
        <f t="shared" si="232"/>
        <v>2307750</v>
      </c>
      <c r="R232" s="167">
        <f t="shared" si="13"/>
        <v>-527301.54639175208</v>
      </c>
      <c r="S232" s="151">
        <f t="shared" si="14"/>
        <v>0.81400636363636381</v>
      </c>
      <c r="T232" s="152"/>
      <c r="U232" s="153">
        <f t="shared" si="21"/>
        <v>17164948.453608237</v>
      </c>
      <c r="V232" s="146">
        <f t="shared" si="22"/>
        <v>15225150</v>
      </c>
      <c r="W232" s="153">
        <f t="shared" si="15"/>
        <v>-1939798.4536082372</v>
      </c>
      <c r="X232" s="154">
        <f t="shared" si="16"/>
        <v>0.88699072072072127</v>
      </c>
      <c r="Y232" s="113">
        <f t="shared" ref="Y232:Z232" si="262">Y231+1</f>
        <v>45869</v>
      </c>
      <c r="Z232" s="114">
        <f t="shared" si="262"/>
        <v>45869</v>
      </c>
      <c r="AA232" s="39"/>
      <c r="AB232" s="39"/>
      <c r="AC232" s="39"/>
      <c r="AD232" s="39"/>
      <c r="AE232" s="39"/>
      <c r="AF232" s="39"/>
      <c r="AG232" s="39"/>
    </row>
    <row r="233" spans="1:33" ht="16.5" customHeight="1">
      <c r="A233" s="39"/>
      <c r="B233" s="50"/>
      <c r="C233" s="95">
        <v>213</v>
      </c>
      <c r="D233" s="155">
        <v>1</v>
      </c>
      <c r="E233" s="97">
        <f t="shared" si="8"/>
        <v>8</v>
      </c>
      <c r="F233" s="98">
        <f t="shared" si="18"/>
        <v>45870</v>
      </c>
      <c r="G233" s="99" t="str">
        <f t="shared" si="9"/>
        <v>Fri</v>
      </c>
      <c r="H233" s="100"/>
      <c r="I233" s="101"/>
      <c r="J233" s="135">
        <v>117550</v>
      </c>
      <c r="K233" s="136"/>
      <c r="L233" s="104">
        <f t="shared" ref="L233:L263" si="263">IF(D233=0,0,$K$14)</f>
        <v>103092.78350515464</v>
      </c>
      <c r="M233" s="108">
        <f t="shared" si="11"/>
        <v>14457.216494845357</v>
      </c>
      <c r="N233" s="156">
        <f t="shared" si="12"/>
        <v>1.1402349999999999</v>
      </c>
      <c r="O233" s="133"/>
      <c r="P233" s="104">
        <f>IF(D233=0,0,$L$233)</f>
        <v>103092.78350515464</v>
      </c>
      <c r="Q233" s="104">
        <f>IF(D233=0,0,$J$233)</f>
        <v>117550</v>
      </c>
      <c r="R233" s="108">
        <f t="shared" si="13"/>
        <v>14457.216494845357</v>
      </c>
      <c r="S233" s="157">
        <f t="shared" si="14"/>
        <v>1.1402349999999999</v>
      </c>
      <c r="T233" s="125"/>
      <c r="U233" s="104">
        <f t="shared" si="21"/>
        <v>17268041.23711339</v>
      </c>
      <c r="V233" s="104">
        <f t="shared" si="22"/>
        <v>15342700</v>
      </c>
      <c r="W233" s="111">
        <f t="shared" si="15"/>
        <v>-1925341.2371133901</v>
      </c>
      <c r="X233" s="158">
        <f t="shared" si="16"/>
        <v>0.88850262686567227</v>
      </c>
      <c r="Y233" s="113">
        <f t="shared" ref="Y233:Z233" si="264">Y232+1</f>
        <v>45870</v>
      </c>
      <c r="Z233" s="114">
        <f t="shared" si="264"/>
        <v>45870</v>
      </c>
      <c r="AA233" s="39"/>
      <c r="AB233" s="39"/>
      <c r="AC233" s="39"/>
      <c r="AD233" s="39"/>
      <c r="AE233" s="39"/>
      <c r="AF233" s="39"/>
      <c r="AG233" s="39"/>
    </row>
    <row r="234" spans="1:33" ht="16.5" customHeight="1">
      <c r="A234" s="39"/>
      <c r="B234" s="50"/>
      <c r="C234" s="95">
        <v>214</v>
      </c>
      <c r="D234" s="96">
        <v>1</v>
      </c>
      <c r="E234" s="97">
        <f t="shared" si="8"/>
        <v>8</v>
      </c>
      <c r="F234" s="98">
        <f t="shared" si="18"/>
        <v>45871</v>
      </c>
      <c r="G234" s="99" t="str">
        <f t="shared" si="9"/>
        <v>Sat</v>
      </c>
      <c r="H234" s="100"/>
      <c r="I234" s="101"/>
      <c r="J234" s="135">
        <v>71450</v>
      </c>
      <c r="K234" s="136"/>
      <c r="L234" s="104">
        <f t="shared" si="263"/>
        <v>103092.78350515464</v>
      </c>
      <c r="M234" s="105">
        <f t="shared" si="11"/>
        <v>-31642.783505154643</v>
      </c>
      <c r="N234" s="106">
        <f t="shared" si="12"/>
        <v>0.69306499999999993</v>
      </c>
      <c r="O234" s="133"/>
      <c r="P234" s="104">
        <f t="shared" ref="P234:P263" si="265">IF(D234=0,0,SUM($L$233:L234))</f>
        <v>206185.56701030929</v>
      </c>
      <c r="Q234" s="104">
        <f t="shared" ref="Q234:Q263" si="266">IF(D234=0,0,SUM($J$233:J234))</f>
        <v>189000</v>
      </c>
      <c r="R234" s="108">
        <f t="shared" si="13"/>
        <v>-17185.567010309285</v>
      </c>
      <c r="S234" s="109">
        <f t="shared" si="14"/>
        <v>0.91664999999999996</v>
      </c>
      <c r="T234" s="125"/>
      <c r="U234" s="104">
        <f t="shared" si="21"/>
        <v>17371134.020618543</v>
      </c>
      <c r="V234" s="104">
        <f t="shared" si="22"/>
        <v>15414150</v>
      </c>
      <c r="W234" s="111">
        <f t="shared" si="15"/>
        <v>-1956984.020618543</v>
      </c>
      <c r="X234" s="112">
        <f t="shared" si="16"/>
        <v>0.88734275964391762</v>
      </c>
      <c r="Y234" s="113">
        <f t="shared" ref="Y234:Z234" si="267">Y233+1</f>
        <v>45871</v>
      </c>
      <c r="Z234" s="114">
        <f t="shared" si="267"/>
        <v>45871</v>
      </c>
      <c r="AA234" s="39"/>
      <c r="AB234" s="39"/>
      <c r="AC234" s="39"/>
      <c r="AD234" s="39"/>
      <c r="AE234" s="39"/>
      <c r="AF234" s="39"/>
      <c r="AG234" s="39"/>
    </row>
    <row r="235" spans="1:33" ht="16.5" customHeight="1">
      <c r="A235" s="39"/>
      <c r="B235" s="50"/>
      <c r="C235" s="95">
        <v>215</v>
      </c>
      <c r="D235" s="96">
        <v>0</v>
      </c>
      <c r="E235" s="97">
        <f t="shared" si="8"/>
        <v>8</v>
      </c>
      <c r="F235" s="98">
        <f t="shared" si="18"/>
        <v>45872</v>
      </c>
      <c r="G235" s="99" t="str">
        <f t="shared" si="9"/>
        <v>Sun</v>
      </c>
      <c r="H235" s="100"/>
      <c r="I235" s="101"/>
      <c r="J235" s="135"/>
      <c r="K235" s="136"/>
      <c r="L235" s="104">
        <f t="shared" si="263"/>
        <v>0</v>
      </c>
      <c r="M235" s="105">
        <f t="shared" si="11"/>
        <v>0</v>
      </c>
      <c r="N235" s="106" t="str">
        <f t="shared" si="12"/>
        <v>¥0</v>
      </c>
      <c r="O235" s="134"/>
      <c r="P235" s="104">
        <f t="shared" si="265"/>
        <v>0</v>
      </c>
      <c r="Q235" s="104">
        <f t="shared" si="266"/>
        <v>0</v>
      </c>
      <c r="R235" s="108">
        <f t="shared" si="13"/>
        <v>0</v>
      </c>
      <c r="S235" s="109">
        <f t="shared" si="14"/>
        <v>0</v>
      </c>
      <c r="T235" s="131"/>
      <c r="U235" s="104">
        <f t="shared" si="21"/>
        <v>0</v>
      </c>
      <c r="V235" s="104">
        <f t="shared" si="22"/>
        <v>0</v>
      </c>
      <c r="W235" s="111">
        <f t="shared" si="15"/>
        <v>0</v>
      </c>
      <c r="X235" s="112">
        <f t="shared" si="16"/>
        <v>0</v>
      </c>
      <c r="Y235" s="113">
        <f t="shared" ref="Y235:Z235" si="268">Y234+1</f>
        <v>45872</v>
      </c>
      <c r="Z235" s="114">
        <f t="shared" si="268"/>
        <v>45872</v>
      </c>
      <c r="AA235" s="39"/>
      <c r="AB235" s="39"/>
      <c r="AC235" s="39"/>
      <c r="AD235" s="39"/>
      <c r="AE235" s="39"/>
      <c r="AF235" s="39"/>
      <c r="AG235" s="39"/>
    </row>
    <row r="236" spans="1:33" ht="16.5" customHeight="1">
      <c r="A236" s="39"/>
      <c r="B236" s="50"/>
      <c r="C236" s="95">
        <v>216</v>
      </c>
      <c r="D236" s="96">
        <v>1</v>
      </c>
      <c r="E236" s="97">
        <f t="shared" si="8"/>
        <v>8</v>
      </c>
      <c r="F236" s="98">
        <f t="shared" si="18"/>
        <v>45873</v>
      </c>
      <c r="G236" s="99" t="str">
        <f t="shared" si="9"/>
        <v>Mon</v>
      </c>
      <c r="H236" s="100"/>
      <c r="I236" s="101"/>
      <c r="J236" s="135">
        <v>50400</v>
      </c>
      <c r="K236" s="136"/>
      <c r="L236" s="104">
        <f t="shared" si="263"/>
        <v>103092.78350515464</v>
      </c>
      <c r="M236" s="105">
        <f t="shared" si="11"/>
        <v>-52692.783505154643</v>
      </c>
      <c r="N236" s="106">
        <f t="shared" si="12"/>
        <v>0.48887999999999998</v>
      </c>
      <c r="O236" s="133"/>
      <c r="P236" s="104">
        <f t="shared" si="265"/>
        <v>309278.35051546391</v>
      </c>
      <c r="Q236" s="104">
        <f t="shared" si="266"/>
        <v>239400</v>
      </c>
      <c r="R236" s="108">
        <f t="shared" si="13"/>
        <v>-69878.350515463913</v>
      </c>
      <c r="S236" s="109">
        <f t="shared" si="14"/>
        <v>0.77405999999999997</v>
      </c>
      <c r="T236" s="125"/>
      <c r="U236" s="104">
        <f t="shared" si="21"/>
        <v>17474226.804123696</v>
      </c>
      <c r="V236" s="104">
        <f t="shared" si="22"/>
        <v>15464550</v>
      </c>
      <c r="W236" s="111">
        <f t="shared" si="15"/>
        <v>-2009676.8041236959</v>
      </c>
      <c r="X236" s="112">
        <f t="shared" si="16"/>
        <v>0.8849919469026557</v>
      </c>
      <c r="Y236" s="113">
        <f t="shared" ref="Y236:Z236" si="269">Y235+1</f>
        <v>45873</v>
      </c>
      <c r="Z236" s="114">
        <f t="shared" si="269"/>
        <v>45873</v>
      </c>
      <c r="AA236" s="39"/>
      <c r="AB236" s="39"/>
      <c r="AC236" s="39"/>
      <c r="AD236" s="39"/>
      <c r="AE236" s="39"/>
      <c r="AF236" s="39"/>
      <c r="AG236" s="39"/>
    </row>
    <row r="237" spans="1:33" ht="16.5" customHeight="1">
      <c r="A237" s="39"/>
      <c r="B237" s="50"/>
      <c r="C237" s="95">
        <v>217</v>
      </c>
      <c r="D237" s="96">
        <v>1</v>
      </c>
      <c r="E237" s="97">
        <f t="shared" si="8"/>
        <v>8</v>
      </c>
      <c r="F237" s="98">
        <f t="shared" si="18"/>
        <v>45874</v>
      </c>
      <c r="G237" s="99" t="str">
        <f t="shared" si="9"/>
        <v>Tue</v>
      </c>
      <c r="H237" s="100"/>
      <c r="I237" s="101"/>
      <c r="J237" s="135">
        <v>91050</v>
      </c>
      <c r="K237" s="136"/>
      <c r="L237" s="104">
        <f t="shared" si="263"/>
        <v>103092.78350515464</v>
      </c>
      <c r="M237" s="105">
        <f t="shared" si="11"/>
        <v>-12042.783505154643</v>
      </c>
      <c r="N237" s="106">
        <f t="shared" si="12"/>
        <v>0.883185</v>
      </c>
      <c r="O237" s="133"/>
      <c r="P237" s="104">
        <f t="shared" si="265"/>
        <v>412371.13402061857</v>
      </c>
      <c r="Q237" s="104">
        <f t="shared" si="266"/>
        <v>330450</v>
      </c>
      <c r="R237" s="108">
        <f t="shared" si="13"/>
        <v>-81921.134020618571</v>
      </c>
      <c r="S237" s="109">
        <f t="shared" si="14"/>
        <v>0.80134125</v>
      </c>
      <c r="T237" s="125"/>
      <c r="U237" s="104">
        <f t="shared" si="21"/>
        <v>17577319.587628849</v>
      </c>
      <c r="V237" s="104">
        <f t="shared" si="22"/>
        <v>15555600</v>
      </c>
      <c r="W237" s="111">
        <f t="shared" si="15"/>
        <v>-2021719.5876288489</v>
      </c>
      <c r="X237" s="112">
        <f t="shared" si="16"/>
        <v>0.88498134897360792</v>
      </c>
      <c r="Y237" s="113">
        <f t="shared" ref="Y237:Z237" si="270">Y236+1</f>
        <v>45874</v>
      </c>
      <c r="Z237" s="114">
        <f t="shared" si="270"/>
        <v>45874</v>
      </c>
      <c r="AA237" s="39"/>
      <c r="AB237" s="39"/>
      <c r="AC237" s="39"/>
      <c r="AD237" s="39"/>
      <c r="AE237" s="39"/>
      <c r="AF237" s="39"/>
      <c r="AG237" s="39"/>
    </row>
    <row r="238" spans="1:33" ht="16.5" customHeight="1">
      <c r="A238" s="39"/>
      <c r="B238" s="50"/>
      <c r="C238" s="95">
        <v>218</v>
      </c>
      <c r="D238" s="96">
        <v>1</v>
      </c>
      <c r="E238" s="97">
        <f t="shared" si="8"/>
        <v>8</v>
      </c>
      <c r="F238" s="98">
        <f t="shared" si="18"/>
        <v>45875</v>
      </c>
      <c r="G238" s="99" t="str">
        <f t="shared" si="9"/>
        <v>Wed</v>
      </c>
      <c r="H238" s="100"/>
      <c r="I238" s="101"/>
      <c r="J238" s="135">
        <v>64650</v>
      </c>
      <c r="K238" s="136"/>
      <c r="L238" s="104">
        <f t="shared" si="263"/>
        <v>103092.78350515464</v>
      </c>
      <c r="M238" s="105">
        <f t="shared" si="11"/>
        <v>-38442.783505154643</v>
      </c>
      <c r="N238" s="106">
        <f t="shared" si="12"/>
        <v>0.62710500000000002</v>
      </c>
      <c r="O238" s="133"/>
      <c r="P238" s="104">
        <f t="shared" si="265"/>
        <v>515463.91752577323</v>
      </c>
      <c r="Q238" s="104">
        <f t="shared" si="266"/>
        <v>395100</v>
      </c>
      <c r="R238" s="108">
        <f t="shared" si="13"/>
        <v>-120363.91752577323</v>
      </c>
      <c r="S238" s="109">
        <f t="shared" si="14"/>
        <v>0.7664939999999999</v>
      </c>
      <c r="T238" s="125"/>
      <c r="U238" s="104">
        <f t="shared" si="21"/>
        <v>17680412.371134002</v>
      </c>
      <c r="V238" s="104">
        <f t="shared" si="22"/>
        <v>15620250</v>
      </c>
      <c r="W238" s="111">
        <f t="shared" si="15"/>
        <v>-2060162.3711340018</v>
      </c>
      <c r="X238" s="112">
        <f t="shared" si="16"/>
        <v>0.88347769679300381</v>
      </c>
      <c r="Y238" s="113">
        <f t="shared" ref="Y238:Z238" si="271">Y237+1</f>
        <v>45875</v>
      </c>
      <c r="Z238" s="114">
        <f t="shared" si="271"/>
        <v>45875</v>
      </c>
      <c r="AA238" s="39"/>
      <c r="AB238" s="39"/>
      <c r="AC238" s="39"/>
      <c r="AD238" s="39"/>
      <c r="AE238" s="39"/>
      <c r="AF238" s="39"/>
      <c r="AG238" s="39"/>
    </row>
    <row r="239" spans="1:33" ht="16.5" customHeight="1">
      <c r="A239" s="39"/>
      <c r="B239" s="50"/>
      <c r="C239" s="95">
        <v>219</v>
      </c>
      <c r="D239" s="96">
        <v>1</v>
      </c>
      <c r="E239" s="97">
        <f t="shared" si="8"/>
        <v>8</v>
      </c>
      <c r="F239" s="98">
        <f t="shared" si="18"/>
        <v>45876</v>
      </c>
      <c r="G239" s="99" t="str">
        <f t="shared" si="9"/>
        <v>Thu</v>
      </c>
      <c r="H239" s="100"/>
      <c r="I239" s="101"/>
      <c r="J239" s="135">
        <v>110900</v>
      </c>
      <c r="K239" s="136"/>
      <c r="L239" s="104">
        <f t="shared" si="263"/>
        <v>103092.78350515464</v>
      </c>
      <c r="M239" s="105">
        <f t="shared" si="11"/>
        <v>7807.2164948453574</v>
      </c>
      <c r="N239" s="106">
        <f t="shared" si="12"/>
        <v>1.0757299999999999</v>
      </c>
      <c r="O239" s="133"/>
      <c r="P239" s="104">
        <f t="shared" si="265"/>
        <v>618556.70103092783</v>
      </c>
      <c r="Q239" s="104">
        <f t="shared" si="266"/>
        <v>506000</v>
      </c>
      <c r="R239" s="108">
        <f t="shared" si="13"/>
        <v>-112556.70103092783</v>
      </c>
      <c r="S239" s="109">
        <f t="shared" si="14"/>
        <v>0.81803333333333339</v>
      </c>
      <c r="T239" s="125"/>
      <c r="U239" s="104">
        <f t="shared" si="21"/>
        <v>17783505.154639155</v>
      </c>
      <c r="V239" s="104">
        <f t="shared" si="22"/>
        <v>15731150</v>
      </c>
      <c r="W239" s="111">
        <f t="shared" si="15"/>
        <v>-2052355.1546391547</v>
      </c>
      <c r="X239" s="112">
        <f t="shared" si="16"/>
        <v>0.88459220289855178</v>
      </c>
      <c r="Y239" s="113">
        <f t="shared" ref="Y239:Z239" si="272">Y238+1</f>
        <v>45876</v>
      </c>
      <c r="Z239" s="114">
        <f t="shared" si="272"/>
        <v>45876</v>
      </c>
      <c r="AA239" s="39"/>
      <c r="AB239" s="39"/>
      <c r="AC239" s="39"/>
      <c r="AD239" s="39"/>
      <c r="AE239" s="39"/>
      <c r="AF239" s="39"/>
      <c r="AG239" s="39"/>
    </row>
    <row r="240" spans="1:33" ht="16.5" customHeight="1">
      <c r="A240" s="39"/>
      <c r="B240" s="50"/>
      <c r="C240" s="95">
        <v>220</v>
      </c>
      <c r="D240" s="96">
        <v>1</v>
      </c>
      <c r="E240" s="97">
        <f t="shared" si="8"/>
        <v>8</v>
      </c>
      <c r="F240" s="98">
        <f t="shared" si="18"/>
        <v>45877</v>
      </c>
      <c r="G240" s="99" t="str">
        <f t="shared" si="9"/>
        <v>Fri</v>
      </c>
      <c r="H240" s="100"/>
      <c r="I240" s="101"/>
      <c r="J240" s="135">
        <v>91300</v>
      </c>
      <c r="K240" s="136"/>
      <c r="L240" s="104">
        <f t="shared" si="263"/>
        <v>103092.78350515464</v>
      </c>
      <c r="M240" s="105">
        <f t="shared" si="11"/>
        <v>-11792.783505154643</v>
      </c>
      <c r="N240" s="106">
        <f t="shared" si="12"/>
        <v>0.88561000000000001</v>
      </c>
      <c r="O240" s="133"/>
      <c r="P240" s="104">
        <f t="shared" si="265"/>
        <v>721649.48453608248</v>
      </c>
      <c r="Q240" s="104">
        <f t="shared" si="266"/>
        <v>597300</v>
      </c>
      <c r="R240" s="108">
        <f t="shared" si="13"/>
        <v>-124349.48453608248</v>
      </c>
      <c r="S240" s="109">
        <f t="shared" si="14"/>
        <v>0.82768714285714284</v>
      </c>
      <c r="T240" s="125"/>
      <c r="U240" s="104">
        <f t="shared" si="21"/>
        <v>17886597.938144308</v>
      </c>
      <c r="V240" s="104">
        <f t="shared" si="22"/>
        <v>15822450</v>
      </c>
      <c r="W240" s="111">
        <f t="shared" si="15"/>
        <v>-2064147.9381443076</v>
      </c>
      <c r="X240" s="112">
        <f t="shared" si="16"/>
        <v>0.8845980691642662</v>
      </c>
      <c r="Y240" s="113">
        <f t="shared" ref="Y240:Z240" si="273">Y239+1</f>
        <v>45877</v>
      </c>
      <c r="Z240" s="114">
        <f t="shared" si="273"/>
        <v>45877</v>
      </c>
      <c r="AA240" s="39"/>
      <c r="AB240" s="39"/>
      <c r="AC240" s="39"/>
      <c r="AD240" s="39"/>
      <c r="AE240" s="39"/>
      <c r="AF240" s="39"/>
      <c r="AG240" s="39"/>
    </row>
    <row r="241" spans="1:33" ht="16.5" customHeight="1">
      <c r="A241" s="39"/>
      <c r="B241" s="50"/>
      <c r="C241" s="95">
        <v>221</v>
      </c>
      <c r="D241" s="96">
        <v>1</v>
      </c>
      <c r="E241" s="97">
        <f t="shared" si="8"/>
        <v>8</v>
      </c>
      <c r="F241" s="98">
        <f t="shared" si="18"/>
        <v>45878</v>
      </c>
      <c r="G241" s="99" t="str">
        <f t="shared" si="9"/>
        <v>Sat</v>
      </c>
      <c r="H241" s="100"/>
      <c r="I241" s="101"/>
      <c r="J241" s="135">
        <v>46950</v>
      </c>
      <c r="K241" s="136"/>
      <c r="L241" s="104">
        <f t="shared" si="263"/>
        <v>103092.78350515464</v>
      </c>
      <c r="M241" s="105">
        <f t="shared" si="11"/>
        <v>-56142.783505154643</v>
      </c>
      <c r="N241" s="106">
        <f t="shared" si="12"/>
        <v>0.45541499999999996</v>
      </c>
      <c r="O241" s="133"/>
      <c r="P241" s="104">
        <f t="shared" si="265"/>
        <v>824742.26804123714</v>
      </c>
      <c r="Q241" s="104">
        <f t="shared" si="266"/>
        <v>644250</v>
      </c>
      <c r="R241" s="108">
        <f t="shared" si="13"/>
        <v>-180492.26804123714</v>
      </c>
      <c r="S241" s="109">
        <f t="shared" si="14"/>
        <v>0.781153125</v>
      </c>
      <c r="T241" s="125"/>
      <c r="U241" s="104">
        <f t="shared" si="21"/>
        <v>17989690.72164946</v>
      </c>
      <c r="V241" s="104">
        <f t="shared" si="22"/>
        <v>15869400</v>
      </c>
      <c r="W241" s="111">
        <f t="shared" si="15"/>
        <v>-2120290.7216494605</v>
      </c>
      <c r="X241" s="112">
        <f t="shared" si="16"/>
        <v>0.88213856733524476</v>
      </c>
      <c r="Y241" s="113">
        <f t="shared" ref="Y241:Z241" si="274">Y240+1</f>
        <v>45878</v>
      </c>
      <c r="Z241" s="114">
        <f t="shared" si="274"/>
        <v>45878</v>
      </c>
      <c r="AA241" s="39"/>
      <c r="AB241" s="39"/>
      <c r="AC241" s="39"/>
      <c r="AD241" s="39"/>
      <c r="AE241" s="39"/>
      <c r="AF241" s="39"/>
      <c r="AG241" s="39"/>
    </row>
    <row r="242" spans="1:33" ht="16.5" customHeight="1">
      <c r="A242" s="39"/>
      <c r="B242" s="50"/>
      <c r="C242" s="95">
        <v>222</v>
      </c>
      <c r="D242" s="96">
        <v>1</v>
      </c>
      <c r="E242" s="97">
        <f t="shared" si="8"/>
        <v>8</v>
      </c>
      <c r="F242" s="98">
        <f t="shared" si="18"/>
        <v>45879</v>
      </c>
      <c r="G242" s="99" t="str">
        <f t="shared" si="9"/>
        <v>Sun</v>
      </c>
      <c r="H242" s="100"/>
      <c r="I242" s="101"/>
      <c r="J242" s="135">
        <v>85500</v>
      </c>
      <c r="K242" s="136"/>
      <c r="L242" s="104">
        <f t="shared" si="263"/>
        <v>103092.78350515464</v>
      </c>
      <c r="M242" s="105">
        <f t="shared" si="11"/>
        <v>-17592.783505154643</v>
      </c>
      <c r="N242" s="106">
        <f t="shared" si="12"/>
        <v>0.82934999999999992</v>
      </c>
      <c r="O242" s="134"/>
      <c r="P242" s="104">
        <f t="shared" si="265"/>
        <v>927835.0515463918</v>
      </c>
      <c r="Q242" s="104">
        <f t="shared" si="266"/>
        <v>729750</v>
      </c>
      <c r="R242" s="108">
        <f t="shared" si="13"/>
        <v>-198085.0515463918</v>
      </c>
      <c r="S242" s="109">
        <f t="shared" si="14"/>
        <v>0.78650833333333325</v>
      </c>
      <c r="T242" s="131"/>
      <c r="U242" s="104">
        <f t="shared" si="21"/>
        <v>18092783.505154613</v>
      </c>
      <c r="V242" s="104">
        <f t="shared" si="22"/>
        <v>15954900</v>
      </c>
      <c r="W242" s="111">
        <f t="shared" si="15"/>
        <v>-2137883.5051546134</v>
      </c>
      <c r="X242" s="112">
        <f t="shared" si="16"/>
        <v>0.88183777777777905</v>
      </c>
      <c r="Y242" s="113">
        <f t="shared" ref="Y242:Z242" si="275">Y241+1</f>
        <v>45879</v>
      </c>
      <c r="Z242" s="114">
        <f t="shared" si="275"/>
        <v>45879</v>
      </c>
      <c r="AA242" s="39"/>
      <c r="AB242" s="39"/>
      <c r="AC242" s="39"/>
      <c r="AD242" s="39"/>
      <c r="AE242" s="39"/>
      <c r="AF242" s="39"/>
      <c r="AG242" s="39"/>
    </row>
    <row r="243" spans="1:33" ht="16.5" customHeight="1">
      <c r="A243" s="39"/>
      <c r="B243" s="50"/>
      <c r="C243" s="95">
        <v>223</v>
      </c>
      <c r="D243" s="96">
        <v>0</v>
      </c>
      <c r="E243" s="97">
        <f t="shared" si="8"/>
        <v>8</v>
      </c>
      <c r="F243" s="98">
        <f t="shared" si="18"/>
        <v>45880</v>
      </c>
      <c r="G243" s="99" t="str">
        <f t="shared" si="9"/>
        <v>Mon</v>
      </c>
      <c r="H243" s="100"/>
      <c r="I243" s="101"/>
      <c r="J243" s="135"/>
      <c r="K243" s="136"/>
      <c r="L243" s="104">
        <f t="shared" si="263"/>
        <v>0</v>
      </c>
      <c r="M243" s="105">
        <f t="shared" si="11"/>
        <v>0</v>
      </c>
      <c r="N243" s="106" t="str">
        <f t="shared" si="12"/>
        <v>¥0</v>
      </c>
      <c r="O243" s="134"/>
      <c r="P243" s="104">
        <f t="shared" si="265"/>
        <v>0</v>
      </c>
      <c r="Q243" s="104">
        <f t="shared" si="266"/>
        <v>0</v>
      </c>
      <c r="R243" s="108">
        <f t="shared" si="13"/>
        <v>0</v>
      </c>
      <c r="S243" s="109">
        <f t="shared" si="14"/>
        <v>0</v>
      </c>
      <c r="T243" s="131"/>
      <c r="U243" s="104">
        <f t="shared" si="21"/>
        <v>0</v>
      </c>
      <c r="V243" s="104">
        <f t="shared" si="22"/>
        <v>0</v>
      </c>
      <c r="W243" s="111">
        <f t="shared" si="15"/>
        <v>0</v>
      </c>
      <c r="X243" s="112">
        <f t="shared" si="16"/>
        <v>0</v>
      </c>
      <c r="Y243" s="113">
        <f t="shared" ref="Y243:Z243" si="276">Y242+1</f>
        <v>45880</v>
      </c>
      <c r="Z243" s="114">
        <f t="shared" si="276"/>
        <v>45880</v>
      </c>
      <c r="AA243" s="39"/>
      <c r="AB243" s="39"/>
      <c r="AC243" s="39"/>
      <c r="AD243" s="39"/>
      <c r="AE243" s="39"/>
      <c r="AF243" s="39"/>
      <c r="AG243" s="39"/>
    </row>
    <row r="244" spans="1:33" ht="16.5" customHeight="1">
      <c r="A244" s="39"/>
      <c r="B244" s="50"/>
      <c r="C244" s="95">
        <v>224</v>
      </c>
      <c r="D244" s="96">
        <v>0</v>
      </c>
      <c r="E244" s="97">
        <f t="shared" si="8"/>
        <v>8</v>
      </c>
      <c r="F244" s="98">
        <f t="shared" si="18"/>
        <v>45881</v>
      </c>
      <c r="G244" s="99" t="str">
        <f t="shared" si="9"/>
        <v>Tue</v>
      </c>
      <c r="H244" s="100"/>
      <c r="I244" s="101"/>
      <c r="J244" s="135"/>
      <c r="K244" s="136"/>
      <c r="L244" s="104">
        <f t="shared" si="263"/>
        <v>0</v>
      </c>
      <c r="M244" s="105">
        <f t="shared" si="11"/>
        <v>0</v>
      </c>
      <c r="N244" s="106" t="str">
        <f t="shared" si="12"/>
        <v>¥0</v>
      </c>
      <c r="O244" s="134"/>
      <c r="P244" s="104">
        <f t="shared" si="265"/>
        <v>0</v>
      </c>
      <c r="Q244" s="104">
        <f t="shared" si="266"/>
        <v>0</v>
      </c>
      <c r="R244" s="108">
        <f t="shared" si="13"/>
        <v>0</v>
      </c>
      <c r="S244" s="109">
        <f t="shared" si="14"/>
        <v>0</v>
      </c>
      <c r="T244" s="131"/>
      <c r="U244" s="104">
        <f t="shared" si="21"/>
        <v>0</v>
      </c>
      <c r="V244" s="104">
        <f t="shared" si="22"/>
        <v>0</v>
      </c>
      <c r="W244" s="111">
        <f t="shared" si="15"/>
        <v>0</v>
      </c>
      <c r="X244" s="112">
        <f t="shared" si="16"/>
        <v>0</v>
      </c>
      <c r="Y244" s="113">
        <f t="shared" ref="Y244:Z244" si="277">Y243+1</f>
        <v>45881</v>
      </c>
      <c r="Z244" s="114">
        <f t="shared" si="277"/>
        <v>45881</v>
      </c>
      <c r="AA244" s="39"/>
      <c r="AB244" s="39"/>
      <c r="AC244" s="39"/>
      <c r="AD244" s="39"/>
      <c r="AE244" s="39"/>
      <c r="AF244" s="39"/>
      <c r="AG244" s="39"/>
    </row>
    <row r="245" spans="1:33" ht="16.5" customHeight="1">
      <c r="A245" s="39"/>
      <c r="B245" s="50"/>
      <c r="C245" s="95">
        <v>225</v>
      </c>
      <c r="D245" s="96">
        <v>1</v>
      </c>
      <c r="E245" s="97">
        <f t="shared" si="8"/>
        <v>8</v>
      </c>
      <c r="F245" s="98">
        <f t="shared" si="18"/>
        <v>45882</v>
      </c>
      <c r="G245" s="99" t="str">
        <f t="shared" si="9"/>
        <v>Wed</v>
      </c>
      <c r="H245" s="100"/>
      <c r="I245" s="101"/>
      <c r="J245" s="135">
        <v>102250</v>
      </c>
      <c r="K245" s="136"/>
      <c r="L245" s="104">
        <f t="shared" si="263"/>
        <v>103092.78350515464</v>
      </c>
      <c r="M245" s="105">
        <f t="shared" si="11"/>
        <v>-842.78350515464263</v>
      </c>
      <c r="N245" s="106">
        <f t="shared" si="12"/>
        <v>0.99182499999999996</v>
      </c>
      <c r="O245" s="134"/>
      <c r="P245" s="104">
        <f t="shared" si="265"/>
        <v>1030927.8350515465</v>
      </c>
      <c r="Q245" s="104">
        <f t="shared" si="266"/>
        <v>832000</v>
      </c>
      <c r="R245" s="108">
        <f t="shared" si="13"/>
        <v>-198927.83505154646</v>
      </c>
      <c r="S245" s="109">
        <f t="shared" si="14"/>
        <v>0.80703999999999998</v>
      </c>
      <c r="T245" s="131"/>
      <c r="U245" s="104">
        <f t="shared" si="21"/>
        <v>18195876.288659766</v>
      </c>
      <c r="V245" s="104">
        <f t="shared" si="22"/>
        <v>16057150</v>
      </c>
      <c r="W245" s="111">
        <f t="shared" si="15"/>
        <v>-2138726.2886597663</v>
      </c>
      <c r="X245" s="112">
        <f t="shared" si="16"/>
        <v>0.88246093484419397</v>
      </c>
      <c r="Y245" s="113">
        <f t="shared" ref="Y245:Z245" si="278">Y244+1</f>
        <v>45882</v>
      </c>
      <c r="Z245" s="114">
        <f t="shared" si="278"/>
        <v>45882</v>
      </c>
      <c r="AA245" s="39"/>
      <c r="AB245" s="39"/>
      <c r="AC245" s="39"/>
      <c r="AD245" s="39"/>
      <c r="AE245" s="39"/>
      <c r="AF245" s="39"/>
      <c r="AG245" s="39"/>
    </row>
    <row r="246" spans="1:33" ht="16.5" customHeight="1">
      <c r="A246" s="39"/>
      <c r="B246" s="50"/>
      <c r="C246" s="95">
        <v>226</v>
      </c>
      <c r="D246" s="96">
        <v>1</v>
      </c>
      <c r="E246" s="97">
        <f t="shared" si="8"/>
        <v>8</v>
      </c>
      <c r="F246" s="98">
        <f t="shared" si="18"/>
        <v>45883</v>
      </c>
      <c r="G246" s="99" t="str">
        <f t="shared" si="9"/>
        <v>Thu</v>
      </c>
      <c r="H246" s="100"/>
      <c r="I246" s="101"/>
      <c r="J246" s="135">
        <v>94000</v>
      </c>
      <c r="K246" s="136"/>
      <c r="L246" s="104">
        <f t="shared" si="263"/>
        <v>103092.78350515464</v>
      </c>
      <c r="M246" s="105">
        <f t="shared" si="11"/>
        <v>-9092.7835051546426</v>
      </c>
      <c r="N246" s="106">
        <f t="shared" si="12"/>
        <v>0.91179999999999994</v>
      </c>
      <c r="O246" s="134"/>
      <c r="P246" s="104">
        <f t="shared" si="265"/>
        <v>1134020.6185567011</v>
      </c>
      <c r="Q246" s="104">
        <f t="shared" si="266"/>
        <v>926000</v>
      </c>
      <c r="R246" s="108">
        <f t="shared" si="13"/>
        <v>-208020.61855670111</v>
      </c>
      <c r="S246" s="109">
        <f t="shared" si="14"/>
        <v>0.81656363636363627</v>
      </c>
      <c r="T246" s="131"/>
      <c r="U246" s="104">
        <f t="shared" si="21"/>
        <v>18298969.072164919</v>
      </c>
      <c r="V246" s="104">
        <f t="shared" si="22"/>
        <v>16151150</v>
      </c>
      <c r="W246" s="111">
        <f t="shared" si="15"/>
        <v>-2147819.0721649192</v>
      </c>
      <c r="X246" s="112">
        <f t="shared" si="16"/>
        <v>0.8826262253521141</v>
      </c>
      <c r="Y246" s="113">
        <f t="shared" ref="Y246:Z246" si="279">Y245+1</f>
        <v>45883</v>
      </c>
      <c r="Z246" s="114">
        <f t="shared" si="279"/>
        <v>45883</v>
      </c>
      <c r="AA246" s="39"/>
      <c r="AB246" s="39"/>
      <c r="AC246" s="39"/>
      <c r="AD246" s="39"/>
      <c r="AE246" s="39"/>
      <c r="AF246" s="39"/>
      <c r="AG246" s="39"/>
    </row>
    <row r="247" spans="1:33" ht="16.5" customHeight="1">
      <c r="A247" s="39"/>
      <c r="B247" s="50"/>
      <c r="C247" s="95">
        <v>227</v>
      </c>
      <c r="D247" s="96">
        <v>1</v>
      </c>
      <c r="E247" s="97">
        <f t="shared" si="8"/>
        <v>8</v>
      </c>
      <c r="F247" s="98">
        <f t="shared" si="18"/>
        <v>45884</v>
      </c>
      <c r="G247" s="99" t="str">
        <f t="shared" si="9"/>
        <v>Fri</v>
      </c>
      <c r="H247" s="100"/>
      <c r="I247" s="101"/>
      <c r="J247" s="135">
        <v>108875</v>
      </c>
      <c r="K247" s="136"/>
      <c r="L247" s="104">
        <f t="shared" si="263"/>
        <v>103092.78350515464</v>
      </c>
      <c r="M247" s="105">
        <f t="shared" si="11"/>
        <v>5782.2164948453574</v>
      </c>
      <c r="N247" s="106">
        <f t="shared" si="12"/>
        <v>1.0560875000000001</v>
      </c>
      <c r="O247" s="134"/>
      <c r="P247" s="104">
        <f t="shared" si="265"/>
        <v>1237113.4020618557</v>
      </c>
      <c r="Q247" s="104">
        <f t="shared" si="266"/>
        <v>1034875</v>
      </c>
      <c r="R247" s="108">
        <f t="shared" si="13"/>
        <v>-202238.40206185565</v>
      </c>
      <c r="S247" s="109">
        <f t="shared" si="14"/>
        <v>0.83652395833333337</v>
      </c>
      <c r="T247" s="131"/>
      <c r="U247" s="104">
        <f t="shared" si="21"/>
        <v>18402061.855670072</v>
      </c>
      <c r="V247" s="104">
        <f t="shared" si="22"/>
        <v>16260025</v>
      </c>
      <c r="W247" s="111">
        <f t="shared" si="15"/>
        <v>-2142036.8556700721</v>
      </c>
      <c r="X247" s="112">
        <f t="shared" si="16"/>
        <v>0.88359799719888099</v>
      </c>
      <c r="Y247" s="113">
        <f t="shared" ref="Y247:Z247" si="280">Y246+1</f>
        <v>45884</v>
      </c>
      <c r="Z247" s="114">
        <f t="shared" si="280"/>
        <v>45884</v>
      </c>
      <c r="AA247" s="39"/>
      <c r="AB247" s="39"/>
      <c r="AC247" s="39"/>
      <c r="AD247" s="39"/>
      <c r="AE247" s="39"/>
      <c r="AF247" s="39"/>
      <c r="AG247" s="39"/>
    </row>
    <row r="248" spans="1:33" ht="16.5" customHeight="1">
      <c r="A248" s="39"/>
      <c r="B248" s="50"/>
      <c r="C248" s="95">
        <v>228</v>
      </c>
      <c r="D248" s="96">
        <v>1</v>
      </c>
      <c r="E248" s="97">
        <f t="shared" si="8"/>
        <v>8</v>
      </c>
      <c r="F248" s="98">
        <f t="shared" si="18"/>
        <v>45885</v>
      </c>
      <c r="G248" s="99" t="str">
        <f t="shared" si="9"/>
        <v>Sat</v>
      </c>
      <c r="H248" s="100"/>
      <c r="I248" s="101"/>
      <c r="J248" s="135">
        <v>17400</v>
      </c>
      <c r="K248" s="136"/>
      <c r="L248" s="104">
        <f t="shared" si="263"/>
        <v>103092.78350515464</v>
      </c>
      <c r="M248" s="105">
        <f t="shared" si="11"/>
        <v>-85692.783505154643</v>
      </c>
      <c r="N248" s="106">
        <f t="shared" si="12"/>
        <v>0.16877999999999999</v>
      </c>
      <c r="O248" s="134"/>
      <c r="P248" s="104">
        <f t="shared" si="265"/>
        <v>1340206.1855670102</v>
      </c>
      <c r="Q248" s="104">
        <f t="shared" si="266"/>
        <v>1052275</v>
      </c>
      <c r="R248" s="108">
        <f t="shared" si="13"/>
        <v>-287931.18556701019</v>
      </c>
      <c r="S248" s="109">
        <f t="shared" si="14"/>
        <v>0.78515903846153856</v>
      </c>
      <c r="T248" s="131"/>
      <c r="U248" s="104">
        <f t="shared" si="21"/>
        <v>18505154.639175225</v>
      </c>
      <c r="V248" s="104">
        <f t="shared" si="22"/>
        <v>16277425</v>
      </c>
      <c r="W248" s="111">
        <f t="shared" si="15"/>
        <v>-2227729.639175225</v>
      </c>
      <c r="X248" s="112">
        <f t="shared" si="16"/>
        <v>0.87961572423398482</v>
      </c>
      <c r="Y248" s="113">
        <f t="shared" ref="Y248:Z248" si="281">Y247+1</f>
        <v>45885</v>
      </c>
      <c r="Z248" s="114">
        <f t="shared" si="281"/>
        <v>45885</v>
      </c>
      <c r="AA248" s="39"/>
      <c r="AB248" s="39"/>
      <c r="AC248" s="39"/>
      <c r="AD248" s="39"/>
      <c r="AE248" s="39"/>
      <c r="AF248" s="39"/>
      <c r="AG248" s="39"/>
    </row>
    <row r="249" spans="1:33" ht="16.5" customHeight="1">
      <c r="A249" s="39"/>
      <c r="B249" s="50"/>
      <c r="C249" s="95">
        <v>229</v>
      </c>
      <c r="D249" s="96">
        <v>0</v>
      </c>
      <c r="E249" s="97">
        <f t="shared" si="8"/>
        <v>8</v>
      </c>
      <c r="F249" s="98">
        <f t="shared" si="18"/>
        <v>45886</v>
      </c>
      <c r="G249" s="99" t="str">
        <f t="shared" si="9"/>
        <v>Sun</v>
      </c>
      <c r="H249" s="100"/>
      <c r="I249" s="101"/>
      <c r="J249" s="135"/>
      <c r="K249" s="136"/>
      <c r="L249" s="104">
        <f t="shared" si="263"/>
        <v>0</v>
      </c>
      <c r="M249" s="105">
        <f t="shared" si="11"/>
        <v>0</v>
      </c>
      <c r="N249" s="106" t="str">
        <f t="shared" si="12"/>
        <v>¥0</v>
      </c>
      <c r="O249" s="134"/>
      <c r="P249" s="104">
        <f t="shared" si="265"/>
        <v>0</v>
      </c>
      <c r="Q249" s="104">
        <f t="shared" si="266"/>
        <v>0</v>
      </c>
      <c r="R249" s="108">
        <f t="shared" si="13"/>
        <v>0</v>
      </c>
      <c r="S249" s="109">
        <f t="shared" si="14"/>
        <v>0</v>
      </c>
      <c r="T249" s="131"/>
      <c r="U249" s="104">
        <f t="shared" si="21"/>
        <v>0</v>
      </c>
      <c r="V249" s="104">
        <f t="shared" si="22"/>
        <v>0</v>
      </c>
      <c r="W249" s="111">
        <f t="shared" si="15"/>
        <v>0</v>
      </c>
      <c r="X249" s="112">
        <f t="shared" si="16"/>
        <v>0</v>
      </c>
      <c r="Y249" s="113">
        <f t="shared" ref="Y249:Z249" si="282">Y248+1</f>
        <v>45886</v>
      </c>
      <c r="Z249" s="114">
        <f t="shared" si="282"/>
        <v>45886</v>
      </c>
      <c r="AA249" s="39"/>
      <c r="AB249" s="39"/>
      <c r="AC249" s="39"/>
      <c r="AD249" s="39"/>
      <c r="AE249" s="39"/>
      <c r="AF249" s="39"/>
      <c r="AG249" s="39"/>
    </row>
    <row r="250" spans="1:33" ht="16.5" customHeight="1">
      <c r="A250" s="39"/>
      <c r="B250" s="50"/>
      <c r="C250" s="95">
        <v>230</v>
      </c>
      <c r="D250" s="96">
        <v>0</v>
      </c>
      <c r="E250" s="97">
        <f t="shared" si="8"/>
        <v>8</v>
      </c>
      <c r="F250" s="98">
        <f t="shared" si="18"/>
        <v>45887</v>
      </c>
      <c r="G250" s="99" t="str">
        <f t="shared" si="9"/>
        <v>Mon</v>
      </c>
      <c r="H250" s="100"/>
      <c r="I250" s="101"/>
      <c r="J250" s="135"/>
      <c r="K250" s="136"/>
      <c r="L250" s="104">
        <f t="shared" si="263"/>
        <v>0</v>
      </c>
      <c r="M250" s="105">
        <f t="shared" si="11"/>
        <v>0</v>
      </c>
      <c r="N250" s="106" t="str">
        <f t="shared" si="12"/>
        <v>¥0</v>
      </c>
      <c r="O250" s="133"/>
      <c r="P250" s="104">
        <f t="shared" si="265"/>
        <v>0</v>
      </c>
      <c r="Q250" s="104">
        <f t="shared" si="266"/>
        <v>0</v>
      </c>
      <c r="R250" s="108">
        <f t="shared" si="13"/>
        <v>0</v>
      </c>
      <c r="S250" s="109">
        <f t="shared" si="14"/>
        <v>0</v>
      </c>
      <c r="T250" s="125"/>
      <c r="U250" s="104">
        <f t="shared" si="21"/>
        <v>0</v>
      </c>
      <c r="V250" s="104">
        <f t="shared" si="22"/>
        <v>0</v>
      </c>
      <c r="W250" s="111">
        <f t="shared" si="15"/>
        <v>0</v>
      </c>
      <c r="X250" s="112">
        <f t="shared" si="16"/>
        <v>0</v>
      </c>
      <c r="Y250" s="113">
        <f t="shared" ref="Y250:Z250" si="283">Y249+1</f>
        <v>45887</v>
      </c>
      <c r="Z250" s="114">
        <f t="shared" si="283"/>
        <v>45887</v>
      </c>
      <c r="AA250" s="39"/>
      <c r="AB250" s="39"/>
      <c r="AC250" s="39"/>
      <c r="AD250" s="39"/>
      <c r="AE250" s="39"/>
      <c r="AF250" s="39"/>
      <c r="AG250" s="39"/>
    </row>
    <row r="251" spans="1:33" ht="16.5" customHeight="1">
      <c r="A251" s="39"/>
      <c r="B251" s="50"/>
      <c r="C251" s="95">
        <v>231</v>
      </c>
      <c r="D251" s="96">
        <v>0</v>
      </c>
      <c r="E251" s="97">
        <f t="shared" si="8"/>
        <v>8</v>
      </c>
      <c r="F251" s="98">
        <f t="shared" si="18"/>
        <v>45888</v>
      </c>
      <c r="G251" s="99" t="str">
        <f t="shared" si="9"/>
        <v>Tue</v>
      </c>
      <c r="H251" s="100"/>
      <c r="I251" s="101"/>
      <c r="J251" s="135"/>
      <c r="K251" s="136"/>
      <c r="L251" s="104">
        <f t="shared" si="263"/>
        <v>0</v>
      </c>
      <c r="M251" s="105">
        <f t="shared" si="11"/>
        <v>0</v>
      </c>
      <c r="N251" s="106" t="str">
        <f t="shared" si="12"/>
        <v>¥0</v>
      </c>
      <c r="O251" s="133"/>
      <c r="P251" s="104">
        <f t="shared" si="265"/>
        <v>0</v>
      </c>
      <c r="Q251" s="104">
        <f t="shared" si="266"/>
        <v>0</v>
      </c>
      <c r="R251" s="108">
        <f t="shared" si="13"/>
        <v>0</v>
      </c>
      <c r="S251" s="109">
        <f t="shared" si="14"/>
        <v>0</v>
      </c>
      <c r="T251" s="125"/>
      <c r="U251" s="104">
        <f t="shared" si="21"/>
        <v>0</v>
      </c>
      <c r="V251" s="104">
        <f t="shared" si="22"/>
        <v>0</v>
      </c>
      <c r="W251" s="111">
        <f t="shared" si="15"/>
        <v>0</v>
      </c>
      <c r="X251" s="112">
        <f t="shared" si="16"/>
        <v>0</v>
      </c>
      <c r="Y251" s="113">
        <f t="shared" ref="Y251:Z251" si="284">Y250+1</f>
        <v>45888</v>
      </c>
      <c r="Z251" s="114">
        <f t="shared" si="284"/>
        <v>45888</v>
      </c>
      <c r="AA251" s="39"/>
      <c r="AB251" s="39"/>
      <c r="AC251" s="39"/>
      <c r="AD251" s="39"/>
      <c r="AE251" s="39"/>
      <c r="AF251" s="39"/>
      <c r="AG251" s="39"/>
    </row>
    <row r="252" spans="1:33" ht="16.5" customHeight="1">
      <c r="A252" s="39"/>
      <c r="B252" s="50"/>
      <c r="C252" s="95">
        <v>232</v>
      </c>
      <c r="D252" s="96">
        <v>1</v>
      </c>
      <c r="E252" s="97">
        <f t="shared" si="8"/>
        <v>8</v>
      </c>
      <c r="F252" s="98">
        <f t="shared" si="18"/>
        <v>45889</v>
      </c>
      <c r="G252" s="99" t="str">
        <f t="shared" si="9"/>
        <v>Wed</v>
      </c>
      <c r="H252" s="100"/>
      <c r="I252" s="101"/>
      <c r="J252" s="135">
        <v>71950</v>
      </c>
      <c r="K252" s="136"/>
      <c r="L252" s="104">
        <f t="shared" si="263"/>
        <v>103092.78350515464</v>
      </c>
      <c r="M252" s="105">
        <f t="shared" si="11"/>
        <v>-31142.783505154643</v>
      </c>
      <c r="N252" s="106">
        <f t="shared" si="12"/>
        <v>0.69791499999999995</v>
      </c>
      <c r="O252" s="133"/>
      <c r="P252" s="104">
        <f t="shared" si="265"/>
        <v>1443298.9690721647</v>
      </c>
      <c r="Q252" s="104">
        <f t="shared" si="266"/>
        <v>1124225</v>
      </c>
      <c r="R252" s="108">
        <f t="shared" si="13"/>
        <v>-319073.96907216473</v>
      </c>
      <c r="S252" s="109">
        <f t="shared" si="14"/>
        <v>0.77892732142857157</v>
      </c>
      <c r="T252" s="125"/>
      <c r="U252" s="104">
        <f t="shared" si="21"/>
        <v>18608247.422680378</v>
      </c>
      <c r="V252" s="104">
        <f t="shared" si="22"/>
        <v>16349375</v>
      </c>
      <c r="W252" s="111">
        <f t="shared" si="15"/>
        <v>-2258872.422680378</v>
      </c>
      <c r="X252" s="112">
        <f t="shared" si="16"/>
        <v>0.87860907202216232</v>
      </c>
      <c r="Y252" s="113">
        <f t="shared" ref="Y252:Z252" si="285">Y251+1</f>
        <v>45889</v>
      </c>
      <c r="Z252" s="114">
        <f t="shared" si="285"/>
        <v>45889</v>
      </c>
      <c r="AA252" s="39"/>
      <c r="AB252" s="39"/>
      <c r="AC252" s="39"/>
      <c r="AD252" s="39"/>
      <c r="AE252" s="39"/>
      <c r="AF252" s="39"/>
      <c r="AG252" s="39"/>
    </row>
    <row r="253" spans="1:33" ht="16.5" customHeight="1">
      <c r="A253" s="39"/>
      <c r="B253" s="50"/>
      <c r="C253" s="95">
        <v>233</v>
      </c>
      <c r="D253" s="96">
        <v>1</v>
      </c>
      <c r="E253" s="97">
        <f t="shared" si="8"/>
        <v>8</v>
      </c>
      <c r="F253" s="98">
        <f t="shared" si="18"/>
        <v>45890</v>
      </c>
      <c r="G253" s="99" t="str">
        <f t="shared" si="9"/>
        <v>Thu</v>
      </c>
      <c r="H253" s="100"/>
      <c r="I253" s="101"/>
      <c r="J253" s="135">
        <v>109100</v>
      </c>
      <c r="K253" s="136"/>
      <c r="L253" s="104">
        <f t="shared" si="263"/>
        <v>103092.78350515464</v>
      </c>
      <c r="M253" s="105">
        <f t="shared" si="11"/>
        <v>6007.2164948453574</v>
      </c>
      <c r="N253" s="106">
        <f t="shared" si="12"/>
        <v>1.05827</v>
      </c>
      <c r="O253" s="133"/>
      <c r="P253" s="104">
        <f t="shared" si="265"/>
        <v>1546391.7525773193</v>
      </c>
      <c r="Q253" s="104">
        <f t="shared" si="266"/>
        <v>1233325</v>
      </c>
      <c r="R253" s="108">
        <f t="shared" si="13"/>
        <v>-313066.75257731928</v>
      </c>
      <c r="S253" s="109">
        <f t="shared" si="14"/>
        <v>0.79755016666666678</v>
      </c>
      <c r="T253" s="125"/>
      <c r="U253" s="104">
        <f t="shared" si="21"/>
        <v>18711340.206185531</v>
      </c>
      <c r="V253" s="104">
        <f t="shared" si="22"/>
        <v>16458475</v>
      </c>
      <c r="W253" s="111">
        <f t="shared" si="15"/>
        <v>-2252865.2061855309</v>
      </c>
      <c r="X253" s="112">
        <f t="shared" si="16"/>
        <v>0.87959893939394107</v>
      </c>
      <c r="Y253" s="113">
        <f t="shared" ref="Y253:Z253" si="286">Y252+1</f>
        <v>45890</v>
      </c>
      <c r="Z253" s="114">
        <f t="shared" si="286"/>
        <v>45890</v>
      </c>
      <c r="AA253" s="39"/>
      <c r="AB253" s="39"/>
      <c r="AC253" s="39"/>
      <c r="AD253" s="39"/>
      <c r="AE253" s="39"/>
      <c r="AF253" s="39"/>
      <c r="AG253" s="39"/>
    </row>
    <row r="254" spans="1:33" ht="16.5" customHeight="1">
      <c r="A254" s="39"/>
      <c r="B254" s="50"/>
      <c r="C254" s="95">
        <v>234</v>
      </c>
      <c r="D254" s="96">
        <v>1</v>
      </c>
      <c r="E254" s="97">
        <f t="shared" si="8"/>
        <v>8</v>
      </c>
      <c r="F254" s="98">
        <f t="shared" si="18"/>
        <v>45891</v>
      </c>
      <c r="G254" s="99" t="str">
        <f t="shared" si="9"/>
        <v>Fri</v>
      </c>
      <c r="H254" s="100"/>
      <c r="I254" s="101"/>
      <c r="J254" s="135">
        <v>112100</v>
      </c>
      <c r="K254" s="136"/>
      <c r="L254" s="104">
        <f t="shared" si="263"/>
        <v>103092.78350515464</v>
      </c>
      <c r="M254" s="105">
        <f t="shared" si="11"/>
        <v>9007.2164948453574</v>
      </c>
      <c r="N254" s="106">
        <f t="shared" si="12"/>
        <v>1.0873699999999999</v>
      </c>
      <c r="O254" s="133"/>
      <c r="P254" s="104">
        <f t="shared" si="265"/>
        <v>1649484.5360824738</v>
      </c>
      <c r="Q254" s="104">
        <f t="shared" si="266"/>
        <v>1345425</v>
      </c>
      <c r="R254" s="108">
        <f t="shared" si="13"/>
        <v>-304059.53608247382</v>
      </c>
      <c r="S254" s="109">
        <f t="shared" si="14"/>
        <v>0.81566390625000018</v>
      </c>
      <c r="T254" s="125"/>
      <c r="U254" s="104">
        <f t="shared" si="21"/>
        <v>18814432.989690684</v>
      </c>
      <c r="V254" s="104">
        <f t="shared" si="22"/>
        <v>16570575</v>
      </c>
      <c r="W254" s="111">
        <f t="shared" si="15"/>
        <v>-2243857.9896906838</v>
      </c>
      <c r="X254" s="112">
        <f t="shared" si="16"/>
        <v>0.8807374109589059</v>
      </c>
      <c r="Y254" s="113">
        <f t="shared" ref="Y254:Z254" si="287">Y253+1</f>
        <v>45891</v>
      </c>
      <c r="Z254" s="114">
        <f t="shared" si="287"/>
        <v>45891</v>
      </c>
      <c r="AA254" s="39"/>
      <c r="AB254" s="39"/>
      <c r="AC254" s="39"/>
      <c r="AD254" s="39"/>
      <c r="AE254" s="39"/>
      <c r="AF254" s="39"/>
      <c r="AG254" s="39"/>
    </row>
    <row r="255" spans="1:33" ht="16.5" customHeight="1">
      <c r="A255" s="39"/>
      <c r="B255" s="50"/>
      <c r="C255" s="95">
        <v>235</v>
      </c>
      <c r="D255" s="96">
        <v>1</v>
      </c>
      <c r="E255" s="97">
        <f t="shared" si="8"/>
        <v>8</v>
      </c>
      <c r="F255" s="98">
        <f t="shared" si="18"/>
        <v>45892</v>
      </c>
      <c r="G255" s="99" t="str">
        <f t="shared" si="9"/>
        <v>Sat</v>
      </c>
      <c r="H255" s="100"/>
      <c r="I255" s="101"/>
      <c r="J255" s="135">
        <v>50150</v>
      </c>
      <c r="K255" s="136"/>
      <c r="L255" s="104">
        <f t="shared" si="263"/>
        <v>103092.78350515464</v>
      </c>
      <c r="M255" s="105">
        <f t="shared" si="11"/>
        <v>-52942.783505154643</v>
      </c>
      <c r="N255" s="106">
        <f t="shared" si="12"/>
        <v>0.48645499999999997</v>
      </c>
      <c r="O255" s="133"/>
      <c r="P255" s="104">
        <f t="shared" si="265"/>
        <v>1752577.3195876284</v>
      </c>
      <c r="Q255" s="104">
        <f t="shared" si="266"/>
        <v>1395575</v>
      </c>
      <c r="R255" s="108">
        <f t="shared" si="13"/>
        <v>-357002.31958762836</v>
      </c>
      <c r="S255" s="109">
        <f t="shared" si="14"/>
        <v>0.7962986764705885</v>
      </c>
      <c r="T255" s="125"/>
      <c r="U255" s="104">
        <f t="shared" si="21"/>
        <v>18917525.773195837</v>
      </c>
      <c r="V255" s="104">
        <f t="shared" si="22"/>
        <v>16620725</v>
      </c>
      <c r="W255" s="111">
        <f t="shared" si="15"/>
        <v>-2296800.7731958367</v>
      </c>
      <c r="X255" s="112">
        <f t="shared" si="16"/>
        <v>0.87858873297002904</v>
      </c>
      <c r="Y255" s="113">
        <f t="shared" ref="Y255:Z255" si="288">Y254+1</f>
        <v>45892</v>
      </c>
      <c r="Z255" s="114">
        <f t="shared" si="288"/>
        <v>45892</v>
      </c>
      <c r="AA255" s="39"/>
      <c r="AB255" s="39"/>
      <c r="AC255" s="39"/>
      <c r="AD255" s="39"/>
      <c r="AE255" s="39"/>
      <c r="AF255" s="39"/>
      <c r="AG255" s="39"/>
    </row>
    <row r="256" spans="1:33" ht="16.5" customHeight="1">
      <c r="A256" s="39"/>
      <c r="B256" s="50"/>
      <c r="C256" s="95">
        <v>236</v>
      </c>
      <c r="D256" s="96">
        <v>1</v>
      </c>
      <c r="E256" s="97">
        <f t="shared" si="8"/>
        <v>8</v>
      </c>
      <c r="F256" s="98">
        <f t="shared" si="18"/>
        <v>45893</v>
      </c>
      <c r="G256" s="99" t="str">
        <f t="shared" si="9"/>
        <v>Sun</v>
      </c>
      <c r="H256" s="100"/>
      <c r="I256" s="101"/>
      <c r="J256" s="135">
        <v>100150</v>
      </c>
      <c r="K256" s="136"/>
      <c r="L256" s="104">
        <f t="shared" si="263"/>
        <v>103092.78350515464</v>
      </c>
      <c r="M256" s="105">
        <f t="shared" si="11"/>
        <v>-2942.7835051546426</v>
      </c>
      <c r="N256" s="106">
        <f t="shared" si="12"/>
        <v>0.97145499999999996</v>
      </c>
      <c r="O256" s="134"/>
      <c r="P256" s="104">
        <f t="shared" si="265"/>
        <v>1855670.1030927829</v>
      </c>
      <c r="Q256" s="104">
        <f t="shared" si="266"/>
        <v>1495725</v>
      </c>
      <c r="R256" s="108">
        <f t="shared" si="13"/>
        <v>-359945.1030927829</v>
      </c>
      <c r="S256" s="109">
        <f t="shared" si="14"/>
        <v>0.80602958333333363</v>
      </c>
      <c r="T256" s="131"/>
      <c r="U256" s="104">
        <f t="shared" si="21"/>
        <v>19020618.55670099</v>
      </c>
      <c r="V256" s="104">
        <f t="shared" si="22"/>
        <v>16720875</v>
      </c>
      <c r="W256" s="111">
        <f t="shared" si="15"/>
        <v>-2299743.5567009896</v>
      </c>
      <c r="X256" s="112">
        <f t="shared" si="16"/>
        <v>0.87909207317073357</v>
      </c>
      <c r="Y256" s="113">
        <f t="shared" ref="Y256:Z256" si="289">Y255+1</f>
        <v>45893</v>
      </c>
      <c r="Z256" s="114">
        <f t="shared" si="289"/>
        <v>45893</v>
      </c>
      <c r="AA256" s="39"/>
      <c r="AB256" s="39"/>
      <c r="AC256" s="39"/>
      <c r="AD256" s="39"/>
      <c r="AE256" s="39"/>
      <c r="AF256" s="39"/>
      <c r="AG256" s="39"/>
    </row>
    <row r="257" spans="1:33" ht="16.5" customHeight="1">
      <c r="A257" s="39"/>
      <c r="B257" s="50"/>
      <c r="C257" s="95">
        <v>237</v>
      </c>
      <c r="D257" s="96">
        <v>0</v>
      </c>
      <c r="E257" s="97">
        <f t="shared" si="8"/>
        <v>8</v>
      </c>
      <c r="F257" s="98">
        <f t="shared" si="18"/>
        <v>45894</v>
      </c>
      <c r="G257" s="99" t="str">
        <f t="shared" si="9"/>
        <v>Mon</v>
      </c>
      <c r="H257" s="100"/>
      <c r="I257" s="101"/>
      <c r="J257" s="135"/>
      <c r="K257" s="136"/>
      <c r="L257" s="104">
        <f t="shared" si="263"/>
        <v>0</v>
      </c>
      <c r="M257" s="105">
        <f t="shared" si="11"/>
        <v>0</v>
      </c>
      <c r="N257" s="106" t="str">
        <f t="shared" si="12"/>
        <v>¥0</v>
      </c>
      <c r="O257" s="133"/>
      <c r="P257" s="104">
        <f t="shared" si="265"/>
        <v>0</v>
      </c>
      <c r="Q257" s="104">
        <f t="shared" si="266"/>
        <v>0</v>
      </c>
      <c r="R257" s="108">
        <f t="shared" si="13"/>
        <v>0</v>
      </c>
      <c r="S257" s="109">
        <f t="shared" si="14"/>
        <v>0</v>
      </c>
      <c r="T257" s="125"/>
      <c r="U257" s="104">
        <f t="shared" si="21"/>
        <v>0</v>
      </c>
      <c r="V257" s="104">
        <f t="shared" si="22"/>
        <v>0</v>
      </c>
      <c r="W257" s="111">
        <f t="shared" si="15"/>
        <v>0</v>
      </c>
      <c r="X257" s="112">
        <f t="shared" si="16"/>
        <v>0</v>
      </c>
      <c r="Y257" s="113">
        <f t="shared" ref="Y257:Z257" si="290">Y256+1</f>
        <v>45894</v>
      </c>
      <c r="Z257" s="114">
        <f t="shared" si="290"/>
        <v>45894</v>
      </c>
      <c r="AA257" s="39"/>
      <c r="AB257" s="39"/>
      <c r="AC257" s="39"/>
      <c r="AD257" s="39"/>
      <c r="AE257" s="39"/>
      <c r="AF257" s="39"/>
      <c r="AG257" s="39"/>
    </row>
    <row r="258" spans="1:33" ht="16.5" customHeight="1">
      <c r="A258" s="39"/>
      <c r="B258" s="50"/>
      <c r="C258" s="95">
        <v>238</v>
      </c>
      <c r="D258" s="96">
        <v>1</v>
      </c>
      <c r="E258" s="97">
        <f t="shared" si="8"/>
        <v>8</v>
      </c>
      <c r="F258" s="98">
        <f t="shared" si="18"/>
        <v>45895</v>
      </c>
      <c r="G258" s="99" t="str">
        <f t="shared" si="9"/>
        <v>Tue</v>
      </c>
      <c r="H258" s="100"/>
      <c r="I258" s="101"/>
      <c r="J258" s="135">
        <v>43750</v>
      </c>
      <c r="K258" s="136"/>
      <c r="L258" s="104">
        <f t="shared" si="263"/>
        <v>103092.78350515464</v>
      </c>
      <c r="M258" s="105">
        <f t="shared" si="11"/>
        <v>-59342.783505154643</v>
      </c>
      <c r="N258" s="106">
        <f t="shared" si="12"/>
        <v>0.424375</v>
      </c>
      <c r="O258" s="133"/>
      <c r="P258" s="104">
        <f t="shared" si="265"/>
        <v>1958762.8865979374</v>
      </c>
      <c r="Q258" s="104">
        <f t="shared" si="266"/>
        <v>1539475</v>
      </c>
      <c r="R258" s="108">
        <f t="shared" si="13"/>
        <v>-419287.88659793744</v>
      </c>
      <c r="S258" s="109">
        <f t="shared" si="14"/>
        <v>0.78594250000000032</v>
      </c>
      <c r="T258" s="125"/>
      <c r="U258" s="104">
        <f t="shared" si="21"/>
        <v>19123711.340206143</v>
      </c>
      <c r="V258" s="104">
        <f t="shared" si="22"/>
        <v>16764625</v>
      </c>
      <c r="W258" s="111">
        <f t="shared" si="15"/>
        <v>-2359086.3402061425</v>
      </c>
      <c r="X258" s="112">
        <f t="shared" si="16"/>
        <v>0.87664076819407211</v>
      </c>
      <c r="Y258" s="113">
        <f t="shared" ref="Y258:Z258" si="291">Y257+1</f>
        <v>45895</v>
      </c>
      <c r="Z258" s="114">
        <f t="shared" si="291"/>
        <v>45895</v>
      </c>
      <c r="AA258" s="39"/>
      <c r="AB258" s="39"/>
      <c r="AC258" s="39"/>
      <c r="AD258" s="39"/>
      <c r="AE258" s="39"/>
      <c r="AF258" s="39"/>
      <c r="AG258" s="39"/>
    </row>
    <row r="259" spans="1:33" ht="16.5" customHeight="1">
      <c r="A259" s="39"/>
      <c r="B259" s="50"/>
      <c r="C259" s="95">
        <v>239</v>
      </c>
      <c r="D259" s="96">
        <v>1</v>
      </c>
      <c r="E259" s="97">
        <f t="shared" si="8"/>
        <v>8</v>
      </c>
      <c r="F259" s="98">
        <f t="shared" si="18"/>
        <v>45896</v>
      </c>
      <c r="G259" s="99" t="str">
        <f t="shared" si="9"/>
        <v>Wed</v>
      </c>
      <c r="H259" s="100"/>
      <c r="I259" s="101"/>
      <c r="J259" s="135">
        <v>74150</v>
      </c>
      <c r="K259" s="136"/>
      <c r="L259" s="104">
        <f t="shared" si="263"/>
        <v>103092.78350515464</v>
      </c>
      <c r="M259" s="105">
        <f t="shared" si="11"/>
        <v>-28942.783505154643</v>
      </c>
      <c r="N259" s="106">
        <f t="shared" si="12"/>
        <v>0.71925499999999998</v>
      </c>
      <c r="O259" s="133"/>
      <c r="P259" s="104">
        <f t="shared" si="265"/>
        <v>2061855.670103092</v>
      </c>
      <c r="Q259" s="104">
        <f t="shared" si="266"/>
        <v>1613625</v>
      </c>
      <c r="R259" s="108">
        <f t="shared" si="13"/>
        <v>-448230.67010309198</v>
      </c>
      <c r="S259" s="109">
        <f t="shared" si="14"/>
        <v>0.78260812500000032</v>
      </c>
      <c r="T259" s="125"/>
      <c r="U259" s="104">
        <f t="shared" si="21"/>
        <v>19226804.123711295</v>
      </c>
      <c r="V259" s="104">
        <f t="shared" si="22"/>
        <v>16838775</v>
      </c>
      <c r="W259" s="111">
        <f t="shared" si="15"/>
        <v>-2388029.1237112954</v>
      </c>
      <c r="X259" s="112">
        <f t="shared" si="16"/>
        <v>0.87579687667560524</v>
      </c>
      <c r="Y259" s="113">
        <f t="shared" ref="Y259:Z259" si="292">Y258+1</f>
        <v>45896</v>
      </c>
      <c r="Z259" s="114">
        <f t="shared" si="292"/>
        <v>45896</v>
      </c>
      <c r="AA259" s="39"/>
      <c r="AB259" s="39"/>
      <c r="AC259" s="39"/>
      <c r="AD259" s="39"/>
      <c r="AE259" s="39"/>
      <c r="AF259" s="39"/>
      <c r="AG259" s="39"/>
    </row>
    <row r="260" spans="1:33" ht="16.5" customHeight="1">
      <c r="A260" s="39"/>
      <c r="B260" s="50"/>
      <c r="C260" s="95">
        <v>240</v>
      </c>
      <c r="D260" s="96">
        <v>1</v>
      </c>
      <c r="E260" s="97">
        <f t="shared" si="8"/>
        <v>8</v>
      </c>
      <c r="F260" s="98">
        <f t="shared" si="18"/>
        <v>45897</v>
      </c>
      <c r="G260" s="99" t="str">
        <f t="shared" si="9"/>
        <v>Thu</v>
      </c>
      <c r="H260" s="100"/>
      <c r="I260" s="101"/>
      <c r="J260" s="135">
        <v>143900</v>
      </c>
      <c r="K260" s="136"/>
      <c r="L260" s="104">
        <f t="shared" si="263"/>
        <v>103092.78350515464</v>
      </c>
      <c r="M260" s="105">
        <f t="shared" si="11"/>
        <v>40807.216494845357</v>
      </c>
      <c r="N260" s="106">
        <f t="shared" si="12"/>
        <v>1.3958299999999999</v>
      </c>
      <c r="O260" s="133"/>
      <c r="P260" s="104">
        <f t="shared" si="265"/>
        <v>2164948.4536082465</v>
      </c>
      <c r="Q260" s="104">
        <f t="shared" si="266"/>
        <v>1757525</v>
      </c>
      <c r="R260" s="108">
        <f t="shared" si="13"/>
        <v>-407423.45360824652</v>
      </c>
      <c r="S260" s="109">
        <f t="shared" si="14"/>
        <v>0.81180916666666703</v>
      </c>
      <c r="T260" s="125"/>
      <c r="U260" s="104">
        <f t="shared" si="21"/>
        <v>19329896.907216448</v>
      </c>
      <c r="V260" s="104">
        <f t="shared" si="22"/>
        <v>16982675</v>
      </c>
      <c r="W260" s="111">
        <f t="shared" si="15"/>
        <v>-2347221.9072164483</v>
      </c>
      <c r="X260" s="112">
        <f t="shared" si="16"/>
        <v>0.87857038666666876</v>
      </c>
      <c r="Y260" s="113">
        <f t="shared" ref="Y260:Z260" si="293">Y259+1</f>
        <v>45897</v>
      </c>
      <c r="Z260" s="114">
        <f t="shared" si="293"/>
        <v>45897</v>
      </c>
      <c r="AA260" s="39"/>
      <c r="AB260" s="39"/>
      <c r="AC260" s="39"/>
      <c r="AD260" s="39"/>
      <c r="AE260" s="39"/>
      <c r="AF260" s="39"/>
      <c r="AG260" s="39"/>
    </row>
    <row r="261" spans="1:33" ht="16.5" customHeight="1">
      <c r="A261" s="39"/>
      <c r="B261" s="50"/>
      <c r="C261" s="95">
        <v>241</v>
      </c>
      <c r="D261" s="96">
        <v>1</v>
      </c>
      <c r="E261" s="97">
        <f t="shared" si="8"/>
        <v>8</v>
      </c>
      <c r="F261" s="98">
        <f t="shared" si="18"/>
        <v>45898</v>
      </c>
      <c r="G261" s="99" t="str">
        <f t="shared" si="9"/>
        <v>Fri</v>
      </c>
      <c r="H261" s="100"/>
      <c r="I261" s="101"/>
      <c r="J261" s="135">
        <v>106950</v>
      </c>
      <c r="K261" s="136"/>
      <c r="L261" s="104">
        <f t="shared" si="263"/>
        <v>103092.78350515464</v>
      </c>
      <c r="M261" s="105">
        <f t="shared" si="11"/>
        <v>3857.2164948453574</v>
      </c>
      <c r="N261" s="106">
        <f t="shared" si="12"/>
        <v>1.037415</v>
      </c>
      <c r="O261" s="133"/>
      <c r="P261" s="104">
        <f t="shared" si="265"/>
        <v>2268041.2371134013</v>
      </c>
      <c r="Q261" s="104">
        <f t="shared" si="266"/>
        <v>1864475</v>
      </c>
      <c r="R261" s="108">
        <f t="shared" si="13"/>
        <v>-403566.23711340129</v>
      </c>
      <c r="S261" s="109">
        <f t="shared" si="14"/>
        <v>0.82206397727272751</v>
      </c>
      <c r="T261" s="125"/>
      <c r="U261" s="104">
        <f t="shared" si="21"/>
        <v>19432989.690721601</v>
      </c>
      <c r="V261" s="104">
        <f t="shared" si="22"/>
        <v>17089625</v>
      </c>
      <c r="W261" s="111">
        <f t="shared" si="15"/>
        <v>-2343364.6907216012</v>
      </c>
      <c r="X261" s="112">
        <f t="shared" si="16"/>
        <v>0.87941306366047967</v>
      </c>
      <c r="Y261" s="113">
        <f t="shared" ref="Y261:Z261" si="294">Y260+1</f>
        <v>45898</v>
      </c>
      <c r="Z261" s="114">
        <f t="shared" si="294"/>
        <v>45898</v>
      </c>
      <c r="AA261" s="39"/>
      <c r="AB261" s="39"/>
      <c r="AC261" s="39"/>
      <c r="AD261" s="39"/>
      <c r="AE261" s="39"/>
      <c r="AF261" s="39"/>
      <c r="AG261" s="39"/>
    </row>
    <row r="262" spans="1:33" ht="16.5" customHeight="1">
      <c r="A262" s="39"/>
      <c r="B262" s="50"/>
      <c r="C262" s="95">
        <v>242</v>
      </c>
      <c r="D262" s="96">
        <v>1</v>
      </c>
      <c r="E262" s="97">
        <f t="shared" si="8"/>
        <v>8</v>
      </c>
      <c r="F262" s="98">
        <f t="shared" si="18"/>
        <v>45899</v>
      </c>
      <c r="G262" s="99" t="str">
        <f t="shared" si="9"/>
        <v>Sat</v>
      </c>
      <c r="H262" s="100"/>
      <c r="I262" s="101"/>
      <c r="J262" s="135">
        <v>47200</v>
      </c>
      <c r="K262" s="136"/>
      <c r="L262" s="104">
        <f t="shared" si="263"/>
        <v>103092.78350515464</v>
      </c>
      <c r="M262" s="105">
        <f t="shared" si="11"/>
        <v>-55892.783505154643</v>
      </c>
      <c r="N262" s="106">
        <f t="shared" si="12"/>
        <v>0.45783999999999997</v>
      </c>
      <c r="O262" s="133"/>
      <c r="P262" s="104">
        <f t="shared" si="265"/>
        <v>2371134.0206185561</v>
      </c>
      <c r="Q262" s="104">
        <f t="shared" si="266"/>
        <v>1911675</v>
      </c>
      <c r="R262" s="108">
        <f t="shared" si="13"/>
        <v>-459459.02061855607</v>
      </c>
      <c r="S262" s="109">
        <f t="shared" si="14"/>
        <v>0.8062281521739133</v>
      </c>
      <c r="T262" s="125"/>
      <c r="U262" s="104">
        <f t="shared" si="21"/>
        <v>19536082.474226754</v>
      </c>
      <c r="V262" s="104">
        <f t="shared" si="22"/>
        <v>17136825</v>
      </c>
      <c r="W262" s="111">
        <f t="shared" si="15"/>
        <v>-2399257.4742267542</v>
      </c>
      <c r="X262" s="112">
        <f t="shared" si="16"/>
        <v>0.87718840369393369</v>
      </c>
      <c r="Y262" s="113">
        <f t="shared" ref="Y262:Z262" si="295">Y261+1</f>
        <v>45899</v>
      </c>
      <c r="Z262" s="114">
        <f t="shared" si="295"/>
        <v>45899</v>
      </c>
      <c r="AA262" s="39"/>
      <c r="AB262" s="39"/>
      <c r="AC262" s="39"/>
      <c r="AD262" s="39"/>
      <c r="AE262" s="39"/>
      <c r="AF262" s="39"/>
      <c r="AG262" s="39"/>
    </row>
    <row r="263" spans="1:33" ht="16.5" customHeight="1">
      <c r="A263" s="39"/>
      <c r="B263" s="50"/>
      <c r="C263" s="160">
        <v>243</v>
      </c>
      <c r="D263" s="138">
        <v>1</v>
      </c>
      <c r="E263" s="139">
        <f t="shared" si="8"/>
        <v>8</v>
      </c>
      <c r="F263" s="163">
        <f t="shared" si="18"/>
        <v>45900</v>
      </c>
      <c r="G263" s="141" t="str">
        <f t="shared" si="9"/>
        <v>Sun</v>
      </c>
      <c r="H263" s="159"/>
      <c r="I263" s="143"/>
      <c r="J263" s="164">
        <v>68650</v>
      </c>
      <c r="K263" s="145"/>
      <c r="L263" s="165">
        <f t="shared" si="263"/>
        <v>103092.78350515464</v>
      </c>
      <c r="M263" s="147">
        <f t="shared" si="11"/>
        <v>-34442.783505154643</v>
      </c>
      <c r="N263" s="148">
        <f t="shared" si="12"/>
        <v>0.66590499999999997</v>
      </c>
      <c r="O263" s="168"/>
      <c r="P263" s="166">
        <f t="shared" si="265"/>
        <v>2474226.8041237108</v>
      </c>
      <c r="Q263" s="165">
        <f t="shared" si="266"/>
        <v>1980325</v>
      </c>
      <c r="R263" s="167">
        <f t="shared" si="13"/>
        <v>-493901.80412371084</v>
      </c>
      <c r="S263" s="151">
        <f t="shared" si="14"/>
        <v>0.80038135416666678</v>
      </c>
      <c r="T263" s="169"/>
      <c r="U263" s="153">
        <f t="shared" si="21"/>
        <v>19639175.257731907</v>
      </c>
      <c r="V263" s="146">
        <f t="shared" si="22"/>
        <v>17205475</v>
      </c>
      <c r="W263" s="153">
        <f t="shared" si="15"/>
        <v>-2433700.2577319071</v>
      </c>
      <c r="X263" s="154">
        <f t="shared" si="16"/>
        <v>0.8760793044619446</v>
      </c>
      <c r="Y263" s="113">
        <f t="shared" ref="Y263:Z263" si="296">Y262+1</f>
        <v>45900</v>
      </c>
      <c r="Z263" s="114">
        <f t="shared" si="296"/>
        <v>45900</v>
      </c>
      <c r="AA263" s="39"/>
      <c r="AB263" s="39"/>
      <c r="AC263" s="39"/>
      <c r="AD263" s="39"/>
      <c r="AE263" s="39"/>
      <c r="AF263" s="39"/>
      <c r="AG263" s="39"/>
    </row>
    <row r="264" spans="1:33" ht="16.5" customHeight="1">
      <c r="A264" s="39"/>
      <c r="B264" s="50"/>
      <c r="C264" s="95">
        <v>244</v>
      </c>
      <c r="D264" s="155">
        <v>0</v>
      </c>
      <c r="E264" s="97">
        <f t="shared" si="8"/>
        <v>9</v>
      </c>
      <c r="F264" s="98">
        <f t="shared" si="18"/>
        <v>45901</v>
      </c>
      <c r="G264" s="99" t="str">
        <f t="shared" si="9"/>
        <v>Mon</v>
      </c>
      <c r="H264" s="100"/>
      <c r="I264" s="101"/>
      <c r="J264" s="135"/>
      <c r="K264" s="136"/>
      <c r="L264" s="104">
        <f t="shared" ref="L264:L293" si="297">IF(D264=0,0,$K$15)</f>
        <v>0</v>
      </c>
      <c r="M264" s="108">
        <f t="shared" si="11"/>
        <v>0</v>
      </c>
      <c r="N264" s="156" t="str">
        <f t="shared" si="12"/>
        <v>¥0</v>
      </c>
      <c r="O264" s="133"/>
      <c r="P264" s="104">
        <f>IF(D264=0,0,$L$264)</f>
        <v>0</v>
      </c>
      <c r="Q264" s="104">
        <f>IF(D264=0,0,$J$264)</f>
        <v>0</v>
      </c>
      <c r="R264" s="108">
        <f t="shared" si="13"/>
        <v>0</v>
      </c>
      <c r="S264" s="157">
        <f t="shared" si="14"/>
        <v>0</v>
      </c>
      <c r="T264" s="125"/>
      <c r="U264" s="104">
        <f t="shared" si="21"/>
        <v>0</v>
      </c>
      <c r="V264" s="104">
        <f t="shared" si="22"/>
        <v>0</v>
      </c>
      <c r="W264" s="111">
        <f t="shared" si="15"/>
        <v>0</v>
      </c>
      <c r="X264" s="158">
        <f t="shared" si="16"/>
        <v>0</v>
      </c>
      <c r="Y264" s="113">
        <f t="shared" ref="Y264:Z264" si="298">Y263+1</f>
        <v>45901</v>
      </c>
      <c r="Z264" s="114">
        <f t="shared" si="298"/>
        <v>45901</v>
      </c>
      <c r="AA264" s="39"/>
      <c r="AB264" s="39"/>
      <c r="AC264" s="39"/>
      <c r="AD264" s="39"/>
      <c r="AE264" s="39"/>
      <c r="AF264" s="39"/>
      <c r="AG264" s="39"/>
    </row>
    <row r="265" spans="1:33" ht="16.5" customHeight="1">
      <c r="A265" s="39"/>
      <c r="B265" s="50"/>
      <c r="C265" s="95">
        <v>245</v>
      </c>
      <c r="D265" s="96">
        <v>1</v>
      </c>
      <c r="E265" s="97">
        <f t="shared" si="8"/>
        <v>9</v>
      </c>
      <c r="F265" s="98">
        <f t="shared" si="18"/>
        <v>45902</v>
      </c>
      <c r="G265" s="99" t="str">
        <f t="shared" si="9"/>
        <v>Tue</v>
      </c>
      <c r="H265" s="100"/>
      <c r="I265" s="101"/>
      <c r="J265" s="135">
        <v>40850</v>
      </c>
      <c r="K265" s="136"/>
      <c r="L265" s="104">
        <f t="shared" si="297"/>
        <v>103092.78350515466</v>
      </c>
      <c r="M265" s="105">
        <f t="shared" si="11"/>
        <v>-62242.783505154657</v>
      </c>
      <c r="N265" s="106">
        <f t="shared" si="12"/>
        <v>0.39624499999999996</v>
      </c>
      <c r="O265" s="133"/>
      <c r="P265" s="104">
        <f t="shared" ref="P265:P293" si="299">IF(D265=0,0,SUM($L$264:L265))</f>
        <v>103092.78350515466</v>
      </c>
      <c r="Q265" s="104">
        <f t="shared" ref="Q265:Q293" si="300">IF(D265=0,0,SUM($J$264:J265))</f>
        <v>40850</v>
      </c>
      <c r="R265" s="108">
        <f t="shared" si="13"/>
        <v>-62242.783505154657</v>
      </c>
      <c r="S265" s="109">
        <f t="shared" si="14"/>
        <v>0.39624499999999996</v>
      </c>
      <c r="T265" s="125"/>
      <c r="U265" s="104">
        <f t="shared" si="21"/>
        <v>19742268.04123706</v>
      </c>
      <c r="V265" s="104">
        <f t="shared" si="22"/>
        <v>17246325</v>
      </c>
      <c r="W265" s="111">
        <f t="shared" si="15"/>
        <v>-2495943.04123706</v>
      </c>
      <c r="X265" s="112">
        <f t="shared" si="16"/>
        <v>0.87357364229765244</v>
      </c>
      <c r="Y265" s="113">
        <f t="shared" ref="Y265:Z265" si="301">Y264+1</f>
        <v>45902</v>
      </c>
      <c r="Z265" s="114">
        <f t="shared" si="301"/>
        <v>45902</v>
      </c>
      <c r="AA265" s="39"/>
      <c r="AB265" s="39"/>
      <c r="AC265" s="39"/>
      <c r="AD265" s="39"/>
      <c r="AE265" s="39"/>
      <c r="AF265" s="39"/>
      <c r="AG265" s="39"/>
    </row>
    <row r="266" spans="1:33" ht="16.5" customHeight="1">
      <c r="A266" s="39"/>
      <c r="B266" s="50"/>
      <c r="C266" s="95">
        <v>246</v>
      </c>
      <c r="D266" s="96">
        <v>1</v>
      </c>
      <c r="E266" s="97">
        <f t="shared" si="8"/>
        <v>9</v>
      </c>
      <c r="F266" s="98">
        <f t="shared" si="18"/>
        <v>45903</v>
      </c>
      <c r="G266" s="99" t="str">
        <f t="shared" si="9"/>
        <v>Wed</v>
      </c>
      <c r="H266" s="100"/>
      <c r="I266" s="101"/>
      <c r="J266" s="135">
        <v>41300</v>
      </c>
      <c r="K266" s="136"/>
      <c r="L266" s="104">
        <f t="shared" si="297"/>
        <v>103092.78350515466</v>
      </c>
      <c r="M266" s="105">
        <f t="shared" si="11"/>
        <v>-61792.783505154657</v>
      </c>
      <c r="N266" s="106">
        <f t="shared" si="12"/>
        <v>0.40060999999999991</v>
      </c>
      <c r="O266" s="133"/>
      <c r="P266" s="104">
        <f t="shared" si="299"/>
        <v>206185.56701030931</v>
      </c>
      <c r="Q266" s="104">
        <f t="shared" si="300"/>
        <v>82150</v>
      </c>
      <c r="R266" s="108">
        <f t="shared" si="13"/>
        <v>-124035.56701030931</v>
      </c>
      <c r="S266" s="109">
        <f t="shared" si="14"/>
        <v>0.39842749999999993</v>
      </c>
      <c r="T266" s="125"/>
      <c r="U266" s="104">
        <f t="shared" si="21"/>
        <v>19845360.824742213</v>
      </c>
      <c r="V266" s="104">
        <f t="shared" si="22"/>
        <v>17287625</v>
      </c>
      <c r="W266" s="111">
        <f t="shared" si="15"/>
        <v>-2557735.8247422129</v>
      </c>
      <c r="X266" s="112">
        <f t="shared" si="16"/>
        <v>0.87111668831169076</v>
      </c>
      <c r="Y266" s="113">
        <f t="shared" ref="Y266:Z266" si="302">Y265+1</f>
        <v>45903</v>
      </c>
      <c r="Z266" s="114">
        <f t="shared" si="302"/>
        <v>45903</v>
      </c>
      <c r="AA266" s="39"/>
      <c r="AB266" s="39"/>
      <c r="AC266" s="39"/>
      <c r="AD266" s="39"/>
      <c r="AE266" s="39"/>
      <c r="AF266" s="39"/>
      <c r="AG266" s="39"/>
    </row>
    <row r="267" spans="1:33" ht="16.5" customHeight="1">
      <c r="A267" s="39"/>
      <c r="B267" s="50"/>
      <c r="C267" s="95">
        <v>247</v>
      </c>
      <c r="D267" s="96">
        <v>1</v>
      </c>
      <c r="E267" s="97">
        <f t="shared" si="8"/>
        <v>9</v>
      </c>
      <c r="F267" s="98">
        <f t="shared" si="18"/>
        <v>45904</v>
      </c>
      <c r="G267" s="99" t="str">
        <f t="shared" si="9"/>
        <v>Thu</v>
      </c>
      <c r="H267" s="100"/>
      <c r="I267" s="101"/>
      <c r="J267" s="135">
        <v>93800</v>
      </c>
      <c r="K267" s="136"/>
      <c r="L267" s="104">
        <f t="shared" si="297"/>
        <v>103092.78350515466</v>
      </c>
      <c r="M267" s="105">
        <f t="shared" si="11"/>
        <v>-9292.7835051546572</v>
      </c>
      <c r="N267" s="106">
        <f t="shared" si="12"/>
        <v>0.90985999999999989</v>
      </c>
      <c r="O267" s="133"/>
      <c r="P267" s="104">
        <f t="shared" si="299"/>
        <v>309278.35051546397</v>
      </c>
      <c r="Q267" s="104">
        <f t="shared" si="300"/>
        <v>175950</v>
      </c>
      <c r="R267" s="108">
        <f t="shared" si="13"/>
        <v>-133328.35051546397</v>
      </c>
      <c r="S267" s="109">
        <f t="shared" si="14"/>
        <v>0.56890499999999988</v>
      </c>
      <c r="T267" s="125"/>
      <c r="U267" s="104">
        <f t="shared" si="21"/>
        <v>19948453.608247366</v>
      </c>
      <c r="V267" s="104">
        <f t="shared" si="22"/>
        <v>17381425</v>
      </c>
      <c r="W267" s="111">
        <f t="shared" si="15"/>
        <v>-2567028.6082473658</v>
      </c>
      <c r="X267" s="112">
        <f t="shared" si="16"/>
        <v>0.8713169121447053</v>
      </c>
      <c r="Y267" s="113">
        <f t="shared" ref="Y267:Z267" si="303">Y266+1</f>
        <v>45904</v>
      </c>
      <c r="Z267" s="114">
        <f t="shared" si="303"/>
        <v>45904</v>
      </c>
      <c r="AA267" s="39"/>
      <c r="AB267" s="39"/>
      <c r="AC267" s="39"/>
      <c r="AD267" s="39"/>
      <c r="AE267" s="39"/>
      <c r="AF267" s="39"/>
      <c r="AG267" s="39"/>
    </row>
    <row r="268" spans="1:33" ht="16.5" customHeight="1">
      <c r="A268" s="39"/>
      <c r="B268" s="50"/>
      <c r="C268" s="95">
        <v>248</v>
      </c>
      <c r="D268" s="96">
        <v>1</v>
      </c>
      <c r="E268" s="97">
        <f t="shared" si="8"/>
        <v>9</v>
      </c>
      <c r="F268" s="98">
        <f t="shared" si="18"/>
        <v>45905</v>
      </c>
      <c r="G268" s="99" t="str">
        <f t="shared" si="9"/>
        <v>Fri</v>
      </c>
      <c r="H268" s="100"/>
      <c r="I268" s="101"/>
      <c r="J268" s="135">
        <v>74850</v>
      </c>
      <c r="K268" s="136"/>
      <c r="L268" s="104">
        <f t="shared" si="297"/>
        <v>103092.78350515466</v>
      </c>
      <c r="M268" s="105">
        <f t="shared" si="11"/>
        <v>-28242.783505154657</v>
      </c>
      <c r="N268" s="106">
        <f t="shared" si="12"/>
        <v>0.72604499999999983</v>
      </c>
      <c r="O268" s="133"/>
      <c r="P268" s="104">
        <f t="shared" si="299"/>
        <v>412371.13402061863</v>
      </c>
      <c r="Q268" s="104">
        <f t="shared" si="300"/>
        <v>250800</v>
      </c>
      <c r="R268" s="108">
        <f t="shared" si="13"/>
        <v>-161571.13402061863</v>
      </c>
      <c r="S268" s="109">
        <f t="shared" si="14"/>
        <v>0.6081899999999999</v>
      </c>
      <c r="T268" s="125"/>
      <c r="U268" s="104">
        <f t="shared" si="21"/>
        <v>20051546.391752519</v>
      </c>
      <c r="V268" s="104">
        <f t="shared" si="22"/>
        <v>17456275</v>
      </c>
      <c r="W268" s="111">
        <f t="shared" si="15"/>
        <v>-2595271.3917525187</v>
      </c>
      <c r="X268" s="112">
        <f t="shared" si="16"/>
        <v>0.87057001285347302</v>
      </c>
      <c r="Y268" s="113">
        <f t="shared" ref="Y268:Z268" si="304">Y267+1</f>
        <v>45905</v>
      </c>
      <c r="Z268" s="114">
        <f t="shared" si="304"/>
        <v>45905</v>
      </c>
      <c r="AA268" s="39"/>
      <c r="AB268" s="39"/>
      <c r="AC268" s="39"/>
      <c r="AD268" s="39"/>
      <c r="AE268" s="39"/>
      <c r="AF268" s="39"/>
      <c r="AG268" s="39"/>
    </row>
    <row r="269" spans="1:33" ht="16.5" customHeight="1">
      <c r="A269" s="39"/>
      <c r="B269" s="50"/>
      <c r="C269" s="95">
        <v>249</v>
      </c>
      <c r="D269" s="96">
        <v>1</v>
      </c>
      <c r="E269" s="97">
        <f t="shared" si="8"/>
        <v>9</v>
      </c>
      <c r="F269" s="98">
        <f t="shared" si="18"/>
        <v>45906</v>
      </c>
      <c r="G269" s="99" t="str">
        <f t="shared" si="9"/>
        <v>Sat</v>
      </c>
      <c r="H269" s="100"/>
      <c r="I269" s="101"/>
      <c r="J269" s="135">
        <v>90100</v>
      </c>
      <c r="K269" s="136"/>
      <c r="L269" s="104">
        <f t="shared" si="297"/>
        <v>103092.78350515466</v>
      </c>
      <c r="M269" s="105">
        <f t="shared" si="11"/>
        <v>-12992.783505154657</v>
      </c>
      <c r="N269" s="106">
        <f t="shared" si="12"/>
        <v>0.8739699999999998</v>
      </c>
      <c r="O269" s="133"/>
      <c r="P269" s="104">
        <f t="shared" si="299"/>
        <v>515463.91752577329</v>
      </c>
      <c r="Q269" s="104">
        <f t="shared" si="300"/>
        <v>340900</v>
      </c>
      <c r="R269" s="108">
        <f t="shared" si="13"/>
        <v>-174563.91752577329</v>
      </c>
      <c r="S269" s="109">
        <f t="shared" si="14"/>
        <v>0.66134599999999988</v>
      </c>
      <c r="T269" s="125"/>
      <c r="U269" s="104">
        <f t="shared" si="21"/>
        <v>20154639.175257672</v>
      </c>
      <c r="V269" s="104">
        <f t="shared" si="22"/>
        <v>17546375</v>
      </c>
      <c r="W269" s="111">
        <f t="shared" si="15"/>
        <v>-2608264.1752576716</v>
      </c>
      <c r="X269" s="112">
        <f t="shared" si="16"/>
        <v>0.87058740409207425</v>
      </c>
      <c r="Y269" s="113">
        <f t="shared" ref="Y269:Z269" si="305">Y268+1</f>
        <v>45906</v>
      </c>
      <c r="Z269" s="114">
        <f t="shared" si="305"/>
        <v>45906</v>
      </c>
      <c r="AA269" s="39"/>
      <c r="AB269" s="39"/>
      <c r="AC269" s="39"/>
      <c r="AD269" s="39"/>
      <c r="AE269" s="39"/>
      <c r="AF269" s="39"/>
      <c r="AG269" s="39"/>
    </row>
    <row r="270" spans="1:33" ht="16.5" customHeight="1">
      <c r="A270" s="39"/>
      <c r="B270" s="50"/>
      <c r="C270" s="95">
        <v>250</v>
      </c>
      <c r="D270" s="96">
        <v>1</v>
      </c>
      <c r="E270" s="97">
        <f t="shared" si="8"/>
        <v>9</v>
      </c>
      <c r="F270" s="98">
        <f t="shared" si="18"/>
        <v>45907</v>
      </c>
      <c r="G270" s="99" t="str">
        <f t="shared" si="9"/>
        <v>Sun</v>
      </c>
      <c r="H270" s="100"/>
      <c r="I270" s="101"/>
      <c r="J270" s="135">
        <v>105000</v>
      </c>
      <c r="K270" s="136"/>
      <c r="L270" s="104">
        <f t="shared" si="297"/>
        <v>103092.78350515466</v>
      </c>
      <c r="M270" s="105">
        <f t="shared" si="11"/>
        <v>1907.2164948453428</v>
      </c>
      <c r="N270" s="106">
        <f t="shared" si="12"/>
        <v>1.0184999999999997</v>
      </c>
      <c r="O270" s="134"/>
      <c r="P270" s="104">
        <f t="shared" si="299"/>
        <v>618556.70103092794</v>
      </c>
      <c r="Q270" s="104">
        <f t="shared" si="300"/>
        <v>445900</v>
      </c>
      <c r="R270" s="108">
        <f t="shared" si="13"/>
        <v>-172656.70103092794</v>
      </c>
      <c r="S270" s="109">
        <f t="shared" si="14"/>
        <v>0.72087166666666658</v>
      </c>
      <c r="T270" s="131"/>
      <c r="U270" s="104">
        <f t="shared" si="21"/>
        <v>20257731.958762825</v>
      </c>
      <c r="V270" s="104">
        <f t="shared" si="22"/>
        <v>17651375</v>
      </c>
      <c r="W270" s="111">
        <f t="shared" si="15"/>
        <v>-2606356.9587628245</v>
      </c>
      <c r="X270" s="112">
        <f t="shared" si="16"/>
        <v>0.87134013994911208</v>
      </c>
      <c r="Y270" s="113">
        <f t="shared" ref="Y270:Z270" si="306">Y269+1</f>
        <v>45907</v>
      </c>
      <c r="Z270" s="114">
        <f t="shared" si="306"/>
        <v>45907</v>
      </c>
      <c r="AA270" s="39"/>
      <c r="AB270" s="39"/>
      <c r="AC270" s="39"/>
      <c r="AD270" s="39"/>
      <c r="AE270" s="39"/>
      <c r="AF270" s="39"/>
      <c r="AG270" s="39"/>
    </row>
    <row r="271" spans="1:33" ht="16.5" customHeight="1">
      <c r="A271" s="39"/>
      <c r="B271" s="50"/>
      <c r="C271" s="95">
        <v>251</v>
      </c>
      <c r="D271" s="96">
        <v>0</v>
      </c>
      <c r="E271" s="97">
        <f t="shared" si="8"/>
        <v>9</v>
      </c>
      <c r="F271" s="98">
        <f t="shared" si="18"/>
        <v>45908</v>
      </c>
      <c r="G271" s="99" t="str">
        <f t="shared" si="9"/>
        <v>Mon</v>
      </c>
      <c r="H271" s="100"/>
      <c r="I271" s="101"/>
      <c r="J271" s="135"/>
      <c r="K271" s="136"/>
      <c r="L271" s="104">
        <f t="shared" si="297"/>
        <v>0</v>
      </c>
      <c r="M271" s="105">
        <f t="shared" si="11"/>
        <v>0</v>
      </c>
      <c r="N271" s="106" t="str">
        <f t="shared" si="12"/>
        <v>¥0</v>
      </c>
      <c r="O271" s="133"/>
      <c r="P271" s="104">
        <f t="shared" si="299"/>
        <v>0</v>
      </c>
      <c r="Q271" s="104">
        <f t="shared" si="300"/>
        <v>0</v>
      </c>
      <c r="R271" s="108">
        <f t="shared" si="13"/>
        <v>0</v>
      </c>
      <c r="S271" s="109">
        <f t="shared" si="14"/>
        <v>0</v>
      </c>
      <c r="T271" s="125"/>
      <c r="U271" s="104">
        <f t="shared" si="21"/>
        <v>0</v>
      </c>
      <c r="V271" s="104">
        <f t="shared" si="22"/>
        <v>0</v>
      </c>
      <c r="W271" s="111">
        <f t="shared" si="15"/>
        <v>0</v>
      </c>
      <c r="X271" s="112">
        <f t="shared" si="16"/>
        <v>0</v>
      </c>
      <c r="Y271" s="113">
        <f t="shared" ref="Y271:Z271" si="307">Y270+1</f>
        <v>45908</v>
      </c>
      <c r="Z271" s="114">
        <f t="shared" si="307"/>
        <v>45908</v>
      </c>
      <c r="AA271" s="39"/>
      <c r="AB271" s="39"/>
      <c r="AC271" s="39"/>
      <c r="AD271" s="39"/>
      <c r="AE271" s="39"/>
      <c r="AF271" s="39"/>
      <c r="AG271" s="39"/>
    </row>
    <row r="272" spans="1:33" ht="16.5" customHeight="1">
      <c r="A272" s="39"/>
      <c r="B272" s="50"/>
      <c r="C272" s="95">
        <v>252</v>
      </c>
      <c r="D272" s="96">
        <v>1</v>
      </c>
      <c r="E272" s="97">
        <f t="shared" si="8"/>
        <v>9</v>
      </c>
      <c r="F272" s="98">
        <f t="shared" si="18"/>
        <v>45909</v>
      </c>
      <c r="G272" s="99" t="str">
        <f t="shared" si="9"/>
        <v>Tue</v>
      </c>
      <c r="H272" s="100"/>
      <c r="I272" s="101"/>
      <c r="J272" s="135">
        <v>89300</v>
      </c>
      <c r="K272" s="136"/>
      <c r="L272" s="104">
        <f t="shared" si="297"/>
        <v>103092.78350515466</v>
      </c>
      <c r="M272" s="105">
        <f t="shared" si="11"/>
        <v>-13792.783505154657</v>
      </c>
      <c r="N272" s="106">
        <f t="shared" si="12"/>
        <v>0.86620999999999981</v>
      </c>
      <c r="O272" s="133"/>
      <c r="P272" s="104">
        <f t="shared" si="299"/>
        <v>721649.4845360826</v>
      </c>
      <c r="Q272" s="104">
        <f t="shared" si="300"/>
        <v>535200</v>
      </c>
      <c r="R272" s="108">
        <f t="shared" si="13"/>
        <v>-186449.4845360826</v>
      </c>
      <c r="S272" s="109">
        <f t="shared" si="14"/>
        <v>0.74163428571428558</v>
      </c>
      <c r="T272" s="125"/>
      <c r="U272" s="104">
        <f t="shared" si="21"/>
        <v>20360824.742267977</v>
      </c>
      <c r="V272" s="104">
        <f t="shared" si="22"/>
        <v>17740675</v>
      </c>
      <c r="W272" s="111">
        <f t="shared" si="15"/>
        <v>-2620149.7422679774</v>
      </c>
      <c r="X272" s="112">
        <f t="shared" si="16"/>
        <v>0.87131416455696475</v>
      </c>
      <c r="Y272" s="113">
        <f t="shared" ref="Y272:Z272" si="308">Y271+1</f>
        <v>45909</v>
      </c>
      <c r="Z272" s="114">
        <f t="shared" si="308"/>
        <v>45909</v>
      </c>
      <c r="AA272" s="39"/>
      <c r="AB272" s="39"/>
      <c r="AC272" s="39"/>
      <c r="AD272" s="39"/>
      <c r="AE272" s="39"/>
      <c r="AF272" s="39"/>
      <c r="AG272" s="39"/>
    </row>
    <row r="273" spans="1:33" ht="16.5" customHeight="1">
      <c r="A273" s="39"/>
      <c r="B273" s="50"/>
      <c r="C273" s="95">
        <v>253</v>
      </c>
      <c r="D273" s="96">
        <v>1</v>
      </c>
      <c r="E273" s="97">
        <f t="shared" si="8"/>
        <v>9</v>
      </c>
      <c r="F273" s="98">
        <f t="shared" si="18"/>
        <v>45910</v>
      </c>
      <c r="G273" s="99" t="str">
        <f t="shared" si="9"/>
        <v>Wed</v>
      </c>
      <c r="H273" s="100"/>
      <c r="I273" s="101"/>
      <c r="J273" s="135">
        <v>57350</v>
      </c>
      <c r="K273" s="136"/>
      <c r="L273" s="104">
        <f t="shared" si="297"/>
        <v>103092.78350515466</v>
      </c>
      <c r="M273" s="105">
        <f t="shared" si="11"/>
        <v>-45742.783505154657</v>
      </c>
      <c r="N273" s="106">
        <f t="shared" si="12"/>
        <v>0.55629499999999987</v>
      </c>
      <c r="O273" s="133"/>
      <c r="P273" s="104">
        <f t="shared" si="299"/>
        <v>824742.26804123726</v>
      </c>
      <c r="Q273" s="104">
        <f t="shared" si="300"/>
        <v>592550</v>
      </c>
      <c r="R273" s="108">
        <f t="shared" si="13"/>
        <v>-232192.26804123726</v>
      </c>
      <c r="S273" s="109">
        <f t="shared" si="14"/>
        <v>0.71846687499999984</v>
      </c>
      <c r="T273" s="125"/>
      <c r="U273" s="104">
        <f t="shared" si="21"/>
        <v>20463917.52577313</v>
      </c>
      <c r="V273" s="104">
        <f t="shared" si="22"/>
        <v>17798025</v>
      </c>
      <c r="W273" s="111">
        <f t="shared" si="15"/>
        <v>-2665892.5257731304</v>
      </c>
      <c r="X273" s="112">
        <f t="shared" si="16"/>
        <v>0.8697271662468542</v>
      </c>
      <c r="Y273" s="113">
        <f t="shared" ref="Y273:Z273" si="309">Y272+1</f>
        <v>45910</v>
      </c>
      <c r="Z273" s="114">
        <f t="shared" si="309"/>
        <v>45910</v>
      </c>
      <c r="AA273" s="39"/>
      <c r="AB273" s="39"/>
      <c r="AC273" s="39"/>
      <c r="AD273" s="39"/>
      <c r="AE273" s="39"/>
      <c r="AF273" s="39"/>
      <c r="AG273" s="39"/>
    </row>
    <row r="274" spans="1:33" ht="16.5" customHeight="1">
      <c r="A274" s="39"/>
      <c r="B274" s="50"/>
      <c r="C274" s="95">
        <v>254</v>
      </c>
      <c r="D274" s="96">
        <v>1</v>
      </c>
      <c r="E274" s="97">
        <f t="shared" si="8"/>
        <v>9</v>
      </c>
      <c r="F274" s="98">
        <f t="shared" si="18"/>
        <v>45911</v>
      </c>
      <c r="G274" s="99" t="str">
        <f t="shared" si="9"/>
        <v>Thu</v>
      </c>
      <c r="H274" s="100"/>
      <c r="I274" s="101"/>
      <c r="J274" s="135">
        <v>70400</v>
      </c>
      <c r="K274" s="136"/>
      <c r="L274" s="104">
        <f t="shared" si="297"/>
        <v>103092.78350515466</v>
      </c>
      <c r="M274" s="105">
        <f t="shared" si="11"/>
        <v>-32692.783505154657</v>
      </c>
      <c r="N274" s="106">
        <f t="shared" si="12"/>
        <v>0.68287999999999993</v>
      </c>
      <c r="O274" s="133"/>
      <c r="P274" s="104">
        <f t="shared" si="299"/>
        <v>927835.05154639191</v>
      </c>
      <c r="Q274" s="104">
        <f t="shared" si="300"/>
        <v>662950</v>
      </c>
      <c r="R274" s="108">
        <f t="shared" si="13"/>
        <v>-264885.05154639191</v>
      </c>
      <c r="S274" s="109">
        <f t="shared" si="14"/>
        <v>0.71451277777777766</v>
      </c>
      <c r="T274" s="125"/>
      <c r="U274" s="104">
        <f t="shared" si="21"/>
        <v>20567010.309278283</v>
      </c>
      <c r="V274" s="104">
        <f t="shared" si="22"/>
        <v>17868425</v>
      </c>
      <c r="W274" s="111">
        <f t="shared" si="15"/>
        <v>-2698585.3092782833</v>
      </c>
      <c r="X274" s="112">
        <f t="shared" si="16"/>
        <v>0.86879058897243389</v>
      </c>
      <c r="Y274" s="113">
        <f t="shared" ref="Y274:Z274" si="310">Y273+1</f>
        <v>45911</v>
      </c>
      <c r="Z274" s="114">
        <f t="shared" si="310"/>
        <v>45911</v>
      </c>
      <c r="AA274" s="39"/>
      <c r="AB274" s="39"/>
      <c r="AC274" s="39"/>
      <c r="AD274" s="39"/>
      <c r="AE274" s="39"/>
      <c r="AF274" s="39"/>
      <c r="AG274" s="39"/>
    </row>
    <row r="275" spans="1:33" ht="16.5" customHeight="1">
      <c r="A275" s="39"/>
      <c r="B275" s="50"/>
      <c r="C275" s="95">
        <v>255</v>
      </c>
      <c r="D275" s="96">
        <v>1</v>
      </c>
      <c r="E275" s="97">
        <f t="shared" si="8"/>
        <v>9</v>
      </c>
      <c r="F275" s="98">
        <f t="shared" si="18"/>
        <v>45912</v>
      </c>
      <c r="G275" s="99" t="str">
        <f t="shared" si="9"/>
        <v>Fri</v>
      </c>
      <c r="H275" s="100"/>
      <c r="I275" s="101"/>
      <c r="J275" s="135">
        <v>92350</v>
      </c>
      <c r="K275" s="136"/>
      <c r="L275" s="104">
        <f t="shared" si="297"/>
        <v>103092.78350515466</v>
      </c>
      <c r="M275" s="105">
        <f t="shared" si="11"/>
        <v>-10742.783505154657</v>
      </c>
      <c r="N275" s="106">
        <f t="shared" si="12"/>
        <v>0.8957949999999999</v>
      </c>
      <c r="O275" s="133"/>
      <c r="P275" s="104">
        <f t="shared" si="299"/>
        <v>1030927.8350515466</v>
      </c>
      <c r="Q275" s="104">
        <f t="shared" si="300"/>
        <v>755300</v>
      </c>
      <c r="R275" s="108">
        <f t="shared" si="13"/>
        <v>-275627.83505154657</v>
      </c>
      <c r="S275" s="109">
        <f t="shared" si="14"/>
        <v>0.73264099999999988</v>
      </c>
      <c r="T275" s="125"/>
      <c r="U275" s="104">
        <f t="shared" si="21"/>
        <v>20670103.092783436</v>
      </c>
      <c r="V275" s="104">
        <f t="shared" si="22"/>
        <v>17960775</v>
      </c>
      <c r="W275" s="111">
        <f t="shared" si="15"/>
        <v>-2709328.0927834362</v>
      </c>
      <c r="X275" s="112">
        <f t="shared" si="16"/>
        <v>0.8689252743142174</v>
      </c>
      <c r="Y275" s="113">
        <f t="shared" ref="Y275:Z275" si="311">Y274+1</f>
        <v>45912</v>
      </c>
      <c r="Z275" s="114">
        <f t="shared" si="311"/>
        <v>45912</v>
      </c>
      <c r="AA275" s="39"/>
      <c r="AB275" s="39"/>
      <c r="AC275" s="39"/>
      <c r="AD275" s="39"/>
      <c r="AE275" s="39"/>
      <c r="AF275" s="39"/>
      <c r="AG275" s="39"/>
    </row>
    <row r="276" spans="1:33" ht="16.5" customHeight="1">
      <c r="A276" s="39"/>
      <c r="B276" s="50"/>
      <c r="C276" s="95">
        <v>256</v>
      </c>
      <c r="D276" s="96">
        <v>1</v>
      </c>
      <c r="E276" s="97">
        <f t="shared" ref="E276:E385" si="312">MONTH(Y276)</f>
        <v>9</v>
      </c>
      <c r="F276" s="98">
        <f t="shared" si="18"/>
        <v>45913</v>
      </c>
      <c r="G276" s="99" t="str">
        <f t="shared" ref="G276:G385" si="313">TEXT(Z276,"ddd")</f>
        <v>Sat</v>
      </c>
      <c r="H276" s="100"/>
      <c r="I276" s="101"/>
      <c r="J276" s="135">
        <v>50600</v>
      </c>
      <c r="K276" s="136"/>
      <c r="L276" s="104">
        <f t="shared" si="297"/>
        <v>103092.78350515466</v>
      </c>
      <c r="M276" s="105">
        <f t="shared" ref="M276:M385" si="314">IF(D276=0,0,J276-L276)</f>
        <v>-52492.783505154657</v>
      </c>
      <c r="N276" s="106">
        <f t="shared" ref="N276:N385" si="315">IFERROR(J276/L276,"¥0")</f>
        <v>0.49081999999999992</v>
      </c>
      <c r="O276" s="133"/>
      <c r="P276" s="104">
        <f t="shared" si="299"/>
        <v>1134020.6185567011</v>
      </c>
      <c r="Q276" s="104">
        <f t="shared" si="300"/>
        <v>805900</v>
      </c>
      <c r="R276" s="108">
        <f t="shared" ref="R276:R385" si="316">IF(D276=0,0,Q276-P276)</f>
        <v>-328120.61855670111</v>
      </c>
      <c r="S276" s="109">
        <f t="shared" ref="S276:S385" si="317">IF(D276=0,0,Q276/P276)</f>
        <v>0.71065727272727264</v>
      </c>
      <c r="T276" s="125"/>
      <c r="U276" s="104">
        <f t="shared" si="21"/>
        <v>20773195.876288589</v>
      </c>
      <c r="V276" s="104">
        <f t="shared" si="22"/>
        <v>18011375</v>
      </c>
      <c r="W276" s="111">
        <f t="shared" ref="W276:W385" si="318">IF(D276=0,0,V276-U276)</f>
        <v>-2761820.8762885891</v>
      </c>
      <c r="X276" s="112">
        <f t="shared" ref="X276:X385" si="319">IF(D276=0,0,V276/U276)</f>
        <v>0.86704882133995331</v>
      </c>
      <c r="Y276" s="113">
        <f t="shared" ref="Y276:Z276" si="320">Y275+1</f>
        <v>45913</v>
      </c>
      <c r="Z276" s="114">
        <f t="shared" si="320"/>
        <v>45913</v>
      </c>
      <c r="AA276" s="39"/>
      <c r="AB276" s="39"/>
      <c r="AC276" s="39"/>
      <c r="AD276" s="39"/>
      <c r="AE276" s="39"/>
      <c r="AF276" s="39"/>
      <c r="AG276" s="39"/>
    </row>
    <row r="277" spans="1:33" ht="16.5" customHeight="1">
      <c r="A277" s="39"/>
      <c r="B277" s="50"/>
      <c r="C277" s="95">
        <v>257</v>
      </c>
      <c r="D277" s="96">
        <v>0</v>
      </c>
      <c r="E277" s="97">
        <f t="shared" si="312"/>
        <v>9</v>
      </c>
      <c r="F277" s="98">
        <f t="shared" ref="F277:F385" si="321">F276+1</f>
        <v>45914</v>
      </c>
      <c r="G277" s="99" t="str">
        <f t="shared" si="313"/>
        <v>Sun</v>
      </c>
      <c r="H277" s="100"/>
      <c r="I277" s="101"/>
      <c r="J277" s="135"/>
      <c r="K277" s="136"/>
      <c r="L277" s="104">
        <f t="shared" si="297"/>
        <v>0</v>
      </c>
      <c r="M277" s="105">
        <f t="shared" si="314"/>
        <v>0</v>
      </c>
      <c r="N277" s="106" t="str">
        <f t="shared" si="315"/>
        <v>¥0</v>
      </c>
      <c r="O277" s="134"/>
      <c r="P277" s="104">
        <f t="shared" si="299"/>
        <v>0</v>
      </c>
      <c r="Q277" s="104">
        <f t="shared" si="300"/>
        <v>0</v>
      </c>
      <c r="R277" s="108">
        <f t="shared" si="316"/>
        <v>0</v>
      </c>
      <c r="S277" s="109">
        <f t="shared" si="317"/>
        <v>0</v>
      </c>
      <c r="T277" s="131"/>
      <c r="U277" s="104">
        <f t="shared" ref="U277:U385" si="322">IF(D277=0,0,SUM($L$21:L277))</f>
        <v>0</v>
      </c>
      <c r="V277" s="104">
        <f t="shared" ref="V277:V385" si="323">IF(D277=0,0,SUM($J$21:J277))</f>
        <v>0</v>
      </c>
      <c r="W277" s="111">
        <f t="shared" si="318"/>
        <v>0</v>
      </c>
      <c r="X277" s="112">
        <f t="shared" si="319"/>
        <v>0</v>
      </c>
      <c r="Y277" s="113">
        <f t="shared" ref="Y277:Z277" si="324">Y276+1</f>
        <v>45914</v>
      </c>
      <c r="Z277" s="114">
        <f t="shared" si="324"/>
        <v>45914</v>
      </c>
      <c r="AA277" s="39"/>
      <c r="AB277" s="39"/>
      <c r="AC277" s="39"/>
      <c r="AD277" s="39"/>
      <c r="AE277" s="39"/>
      <c r="AF277" s="39"/>
      <c r="AG277" s="39"/>
    </row>
    <row r="278" spans="1:33" ht="16.5" customHeight="1">
      <c r="A278" s="39"/>
      <c r="B278" s="50"/>
      <c r="C278" s="95">
        <v>258</v>
      </c>
      <c r="D278" s="96">
        <v>0</v>
      </c>
      <c r="E278" s="97">
        <f t="shared" si="312"/>
        <v>9</v>
      </c>
      <c r="F278" s="98">
        <f t="shared" si="321"/>
        <v>45915</v>
      </c>
      <c r="G278" s="99" t="str">
        <f t="shared" si="313"/>
        <v>Mon</v>
      </c>
      <c r="H278" s="100"/>
      <c r="I278" s="101"/>
      <c r="J278" s="135"/>
      <c r="K278" s="136"/>
      <c r="L278" s="104">
        <f t="shared" si="297"/>
        <v>0</v>
      </c>
      <c r="M278" s="105">
        <f t="shared" si="314"/>
        <v>0</v>
      </c>
      <c r="N278" s="106" t="str">
        <f t="shared" si="315"/>
        <v>¥0</v>
      </c>
      <c r="O278" s="134"/>
      <c r="P278" s="104">
        <f t="shared" si="299"/>
        <v>0</v>
      </c>
      <c r="Q278" s="104">
        <f t="shared" si="300"/>
        <v>0</v>
      </c>
      <c r="R278" s="108">
        <f t="shared" si="316"/>
        <v>0</v>
      </c>
      <c r="S278" s="109">
        <f t="shared" si="317"/>
        <v>0</v>
      </c>
      <c r="T278" s="131"/>
      <c r="U278" s="104">
        <f t="shared" si="322"/>
        <v>0</v>
      </c>
      <c r="V278" s="104">
        <f t="shared" si="323"/>
        <v>0</v>
      </c>
      <c r="W278" s="111">
        <f t="shared" si="318"/>
        <v>0</v>
      </c>
      <c r="X278" s="112">
        <f t="shared" si="319"/>
        <v>0</v>
      </c>
      <c r="Y278" s="113">
        <f t="shared" ref="Y278:Z278" si="325">Y277+1</f>
        <v>45915</v>
      </c>
      <c r="Z278" s="114">
        <f t="shared" si="325"/>
        <v>45915</v>
      </c>
      <c r="AA278" s="39"/>
      <c r="AB278" s="39"/>
      <c r="AC278" s="39"/>
      <c r="AD278" s="39"/>
      <c r="AE278" s="39"/>
      <c r="AF278" s="39"/>
      <c r="AG278" s="39"/>
    </row>
    <row r="279" spans="1:33" ht="16.5" customHeight="1">
      <c r="A279" s="39"/>
      <c r="B279" s="50"/>
      <c r="C279" s="95">
        <v>259</v>
      </c>
      <c r="D279" s="96">
        <v>1</v>
      </c>
      <c r="E279" s="97">
        <f t="shared" si="312"/>
        <v>9</v>
      </c>
      <c r="F279" s="98">
        <f t="shared" si="321"/>
        <v>45916</v>
      </c>
      <c r="G279" s="99" t="str">
        <f t="shared" si="313"/>
        <v>Tue</v>
      </c>
      <c r="H279" s="100"/>
      <c r="I279" s="101"/>
      <c r="J279" s="135">
        <v>41750</v>
      </c>
      <c r="K279" s="136"/>
      <c r="L279" s="104">
        <f t="shared" si="297"/>
        <v>103092.78350515466</v>
      </c>
      <c r="M279" s="105">
        <f t="shared" si="314"/>
        <v>-61342.783505154657</v>
      </c>
      <c r="N279" s="106">
        <f t="shared" si="315"/>
        <v>0.40497499999999992</v>
      </c>
      <c r="O279" s="133"/>
      <c r="P279" s="104">
        <f t="shared" si="299"/>
        <v>1237113.4020618559</v>
      </c>
      <c r="Q279" s="104">
        <f t="shared" si="300"/>
        <v>847650</v>
      </c>
      <c r="R279" s="108">
        <f t="shared" si="316"/>
        <v>-389463.40206185589</v>
      </c>
      <c r="S279" s="109">
        <f t="shared" si="317"/>
        <v>0.68518374999999987</v>
      </c>
      <c r="T279" s="125"/>
      <c r="U279" s="104">
        <f t="shared" si="322"/>
        <v>20876288.659793742</v>
      </c>
      <c r="V279" s="104">
        <f t="shared" si="323"/>
        <v>18053125</v>
      </c>
      <c r="W279" s="111">
        <f t="shared" si="318"/>
        <v>-2823163.659793742</v>
      </c>
      <c r="X279" s="112">
        <f t="shared" si="319"/>
        <v>0.86476697530864499</v>
      </c>
      <c r="Y279" s="113">
        <f t="shared" ref="Y279:Z279" si="326">Y278+1</f>
        <v>45916</v>
      </c>
      <c r="Z279" s="114">
        <f t="shared" si="326"/>
        <v>45916</v>
      </c>
      <c r="AA279" s="39"/>
      <c r="AB279" s="39"/>
      <c r="AC279" s="39"/>
      <c r="AD279" s="39"/>
      <c r="AE279" s="39"/>
      <c r="AF279" s="39"/>
      <c r="AG279" s="39"/>
    </row>
    <row r="280" spans="1:33" ht="16.5" customHeight="1">
      <c r="A280" s="39"/>
      <c r="B280" s="50"/>
      <c r="C280" s="95">
        <v>260</v>
      </c>
      <c r="D280" s="96">
        <v>1</v>
      </c>
      <c r="E280" s="97">
        <f t="shared" si="312"/>
        <v>9</v>
      </c>
      <c r="F280" s="98">
        <f t="shared" si="321"/>
        <v>45917</v>
      </c>
      <c r="G280" s="99" t="str">
        <f t="shared" si="313"/>
        <v>Wed</v>
      </c>
      <c r="H280" s="100"/>
      <c r="I280" s="101"/>
      <c r="J280" s="135">
        <v>29300</v>
      </c>
      <c r="K280" s="136"/>
      <c r="L280" s="104">
        <f t="shared" si="297"/>
        <v>103092.78350515466</v>
      </c>
      <c r="M280" s="105">
        <f t="shared" si="314"/>
        <v>-73792.783505154657</v>
      </c>
      <c r="N280" s="106">
        <f t="shared" si="315"/>
        <v>0.28420999999999996</v>
      </c>
      <c r="O280" s="133"/>
      <c r="P280" s="104">
        <f t="shared" si="299"/>
        <v>1340206.1855670107</v>
      </c>
      <c r="Q280" s="104">
        <f t="shared" si="300"/>
        <v>876950</v>
      </c>
      <c r="R280" s="108">
        <f t="shared" si="316"/>
        <v>-463256.18556701066</v>
      </c>
      <c r="S280" s="109">
        <f t="shared" si="317"/>
        <v>0.65433961538461516</v>
      </c>
      <c r="T280" s="125"/>
      <c r="U280" s="104">
        <f t="shared" si="322"/>
        <v>20979381.443298895</v>
      </c>
      <c r="V280" s="104">
        <f t="shared" si="323"/>
        <v>18082425</v>
      </c>
      <c r="W280" s="111">
        <f t="shared" si="318"/>
        <v>-2896956.4432988949</v>
      </c>
      <c r="X280" s="112">
        <f t="shared" si="319"/>
        <v>0.86191411547911856</v>
      </c>
      <c r="Y280" s="113">
        <f t="shared" ref="Y280:Z280" si="327">Y279+1</f>
        <v>45917</v>
      </c>
      <c r="Z280" s="114">
        <f t="shared" si="327"/>
        <v>45917</v>
      </c>
      <c r="AA280" s="39"/>
      <c r="AB280" s="39"/>
      <c r="AC280" s="39"/>
      <c r="AD280" s="39"/>
      <c r="AE280" s="39"/>
      <c r="AF280" s="39"/>
      <c r="AG280" s="39"/>
    </row>
    <row r="281" spans="1:33" ht="16.5" customHeight="1">
      <c r="A281" s="39"/>
      <c r="B281" s="50"/>
      <c r="C281" s="95">
        <v>261</v>
      </c>
      <c r="D281" s="96">
        <v>1</v>
      </c>
      <c r="E281" s="97">
        <f t="shared" si="312"/>
        <v>9</v>
      </c>
      <c r="F281" s="98">
        <f t="shared" si="321"/>
        <v>45918</v>
      </c>
      <c r="G281" s="99" t="str">
        <f t="shared" si="313"/>
        <v>Thu</v>
      </c>
      <c r="H281" s="100"/>
      <c r="I281" s="101"/>
      <c r="J281" s="135">
        <v>162400</v>
      </c>
      <c r="K281" s="136"/>
      <c r="L281" s="104">
        <f t="shared" si="297"/>
        <v>103092.78350515466</v>
      </c>
      <c r="M281" s="105">
        <f t="shared" si="314"/>
        <v>59307.216494845343</v>
      </c>
      <c r="N281" s="106">
        <f t="shared" si="315"/>
        <v>1.5752799999999998</v>
      </c>
      <c r="O281" s="133"/>
      <c r="P281" s="104">
        <f t="shared" si="299"/>
        <v>1443298.9690721654</v>
      </c>
      <c r="Q281" s="104">
        <f t="shared" si="300"/>
        <v>1039350</v>
      </c>
      <c r="R281" s="108">
        <f t="shared" si="316"/>
        <v>-403948.96907216543</v>
      </c>
      <c r="S281" s="109">
        <f t="shared" si="317"/>
        <v>0.72012107142857118</v>
      </c>
      <c r="T281" s="125"/>
      <c r="U281" s="104">
        <f t="shared" si="322"/>
        <v>21082474.226804048</v>
      </c>
      <c r="V281" s="104">
        <f t="shared" si="323"/>
        <v>18244825</v>
      </c>
      <c r="W281" s="111">
        <f t="shared" si="318"/>
        <v>-2837649.2268040478</v>
      </c>
      <c r="X281" s="112">
        <f t="shared" si="319"/>
        <v>0.86540245721271702</v>
      </c>
      <c r="Y281" s="113">
        <f t="shared" ref="Y281:Z281" si="328">Y280+1</f>
        <v>45918</v>
      </c>
      <c r="Z281" s="114">
        <f t="shared" si="328"/>
        <v>45918</v>
      </c>
      <c r="AA281" s="39"/>
      <c r="AB281" s="39"/>
      <c r="AC281" s="39"/>
      <c r="AD281" s="39"/>
      <c r="AE281" s="39"/>
      <c r="AF281" s="39"/>
      <c r="AG281" s="39"/>
    </row>
    <row r="282" spans="1:33" ht="16.5" customHeight="1">
      <c r="A282" s="39"/>
      <c r="B282" s="50"/>
      <c r="C282" s="95">
        <v>262</v>
      </c>
      <c r="D282" s="96">
        <v>1</v>
      </c>
      <c r="E282" s="97">
        <f t="shared" si="312"/>
        <v>9</v>
      </c>
      <c r="F282" s="98">
        <f t="shared" si="321"/>
        <v>45919</v>
      </c>
      <c r="G282" s="99" t="str">
        <f t="shared" si="313"/>
        <v>Fri</v>
      </c>
      <c r="H282" s="100"/>
      <c r="I282" s="101"/>
      <c r="J282" s="135">
        <v>45300</v>
      </c>
      <c r="K282" s="136"/>
      <c r="L282" s="104">
        <f t="shared" si="297"/>
        <v>103092.78350515466</v>
      </c>
      <c r="M282" s="105">
        <f t="shared" si="314"/>
        <v>-57792.783505154657</v>
      </c>
      <c r="N282" s="106">
        <f t="shared" si="315"/>
        <v>0.43940999999999991</v>
      </c>
      <c r="O282" s="133"/>
      <c r="P282" s="104">
        <f t="shared" si="299"/>
        <v>1546391.7525773202</v>
      </c>
      <c r="Q282" s="104">
        <f t="shared" si="300"/>
        <v>1084650</v>
      </c>
      <c r="R282" s="108">
        <f t="shared" si="316"/>
        <v>-461741.75257732021</v>
      </c>
      <c r="S282" s="109">
        <f t="shared" si="317"/>
        <v>0.70140699999999967</v>
      </c>
      <c r="T282" s="125"/>
      <c r="U282" s="104">
        <f t="shared" si="322"/>
        <v>21185567.010309201</v>
      </c>
      <c r="V282" s="104">
        <f t="shared" si="323"/>
        <v>18290125</v>
      </c>
      <c r="W282" s="111">
        <f t="shared" si="318"/>
        <v>-2895442.0103092007</v>
      </c>
      <c r="X282" s="112">
        <f t="shared" si="319"/>
        <v>0.86332950121654817</v>
      </c>
      <c r="Y282" s="113">
        <f t="shared" ref="Y282:Z282" si="329">Y281+1</f>
        <v>45919</v>
      </c>
      <c r="Z282" s="114">
        <f t="shared" si="329"/>
        <v>45919</v>
      </c>
      <c r="AA282" s="39"/>
      <c r="AB282" s="39"/>
      <c r="AC282" s="39"/>
      <c r="AD282" s="39"/>
      <c r="AE282" s="39"/>
      <c r="AF282" s="39"/>
      <c r="AG282" s="39"/>
    </row>
    <row r="283" spans="1:33" ht="16.5" customHeight="1">
      <c r="A283" s="39"/>
      <c r="B283" s="50"/>
      <c r="C283" s="95">
        <v>263</v>
      </c>
      <c r="D283" s="96">
        <v>1</v>
      </c>
      <c r="E283" s="97">
        <f t="shared" si="312"/>
        <v>9</v>
      </c>
      <c r="F283" s="98">
        <f t="shared" si="321"/>
        <v>45920</v>
      </c>
      <c r="G283" s="99" t="str">
        <f t="shared" si="313"/>
        <v>Sat</v>
      </c>
      <c r="H283" s="100"/>
      <c r="I283" s="101"/>
      <c r="J283" s="135">
        <v>78250</v>
      </c>
      <c r="K283" s="136"/>
      <c r="L283" s="104">
        <f t="shared" si="297"/>
        <v>103092.78350515466</v>
      </c>
      <c r="M283" s="105">
        <f t="shared" si="314"/>
        <v>-24842.783505154657</v>
      </c>
      <c r="N283" s="106">
        <f t="shared" si="315"/>
        <v>0.75902499999999984</v>
      </c>
      <c r="O283" s="133"/>
      <c r="P283" s="104">
        <f t="shared" si="299"/>
        <v>1649484.536082475</v>
      </c>
      <c r="Q283" s="104">
        <f t="shared" si="300"/>
        <v>1162900</v>
      </c>
      <c r="R283" s="108">
        <f t="shared" si="316"/>
        <v>-486584.53608247498</v>
      </c>
      <c r="S283" s="109">
        <f t="shared" si="317"/>
        <v>0.70500812499999965</v>
      </c>
      <c r="T283" s="125"/>
      <c r="U283" s="104">
        <f t="shared" si="322"/>
        <v>21288659.793814354</v>
      </c>
      <c r="V283" s="104">
        <f t="shared" si="323"/>
        <v>18368375</v>
      </c>
      <c r="W283" s="111">
        <f t="shared" si="318"/>
        <v>-2920284.7938143536</v>
      </c>
      <c r="X283" s="112">
        <f t="shared" si="319"/>
        <v>0.86282439467312666</v>
      </c>
      <c r="Y283" s="113">
        <f t="shared" ref="Y283:Z283" si="330">Y282+1</f>
        <v>45920</v>
      </c>
      <c r="Z283" s="114">
        <f t="shared" si="330"/>
        <v>45920</v>
      </c>
      <c r="AA283" s="39"/>
      <c r="AB283" s="39"/>
      <c r="AC283" s="39"/>
      <c r="AD283" s="39"/>
      <c r="AE283" s="39"/>
      <c r="AF283" s="39"/>
      <c r="AG283" s="39"/>
    </row>
    <row r="284" spans="1:33" ht="16.5" customHeight="1">
      <c r="A284" s="39"/>
      <c r="B284" s="50"/>
      <c r="C284" s="95">
        <v>264</v>
      </c>
      <c r="D284" s="96">
        <v>1</v>
      </c>
      <c r="E284" s="97">
        <f t="shared" si="312"/>
        <v>9</v>
      </c>
      <c r="F284" s="98">
        <f t="shared" si="321"/>
        <v>45921</v>
      </c>
      <c r="G284" s="99" t="str">
        <f t="shared" si="313"/>
        <v>Sun</v>
      </c>
      <c r="H284" s="100"/>
      <c r="I284" s="101"/>
      <c r="J284" s="135">
        <v>67150</v>
      </c>
      <c r="K284" s="136"/>
      <c r="L284" s="104">
        <f t="shared" si="297"/>
        <v>103092.78350515466</v>
      </c>
      <c r="M284" s="105">
        <f t="shared" si="314"/>
        <v>-35942.783505154657</v>
      </c>
      <c r="N284" s="106">
        <f t="shared" si="315"/>
        <v>0.65135499999999991</v>
      </c>
      <c r="O284" s="134"/>
      <c r="P284" s="104">
        <f t="shared" si="299"/>
        <v>1752577.3195876298</v>
      </c>
      <c r="Q284" s="104">
        <f t="shared" si="300"/>
        <v>1230050</v>
      </c>
      <c r="R284" s="108">
        <f t="shared" si="316"/>
        <v>-522527.31958762975</v>
      </c>
      <c r="S284" s="109">
        <f t="shared" si="317"/>
        <v>0.70185205882352908</v>
      </c>
      <c r="T284" s="131"/>
      <c r="U284" s="104">
        <f t="shared" si="322"/>
        <v>21391752.577319507</v>
      </c>
      <c r="V284" s="104">
        <f t="shared" si="323"/>
        <v>18435525</v>
      </c>
      <c r="W284" s="111">
        <f t="shared" si="318"/>
        <v>-2956227.5773195066</v>
      </c>
      <c r="X284" s="112">
        <f t="shared" si="319"/>
        <v>0.86180526506024424</v>
      </c>
      <c r="Y284" s="113">
        <f t="shared" ref="Y284:Z284" si="331">Y283+1</f>
        <v>45921</v>
      </c>
      <c r="Z284" s="114">
        <f t="shared" si="331"/>
        <v>45921</v>
      </c>
      <c r="AA284" s="39"/>
      <c r="AB284" s="39"/>
      <c r="AC284" s="39"/>
      <c r="AD284" s="39"/>
      <c r="AE284" s="39"/>
      <c r="AF284" s="39"/>
      <c r="AG284" s="39"/>
    </row>
    <row r="285" spans="1:33" ht="16.5" customHeight="1">
      <c r="A285" s="39"/>
      <c r="B285" s="50"/>
      <c r="C285" s="95">
        <v>265</v>
      </c>
      <c r="D285" s="96">
        <v>0</v>
      </c>
      <c r="E285" s="97">
        <f t="shared" si="312"/>
        <v>9</v>
      </c>
      <c r="F285" s="98">
        <f t="shared" si="321"/>
        <v>45922</v>
      </c>
      <c r="G285" s="99" t="str">
        <f t="shared" si="313"/>
        <v>Mon</v>
      </c>
      <c r="H285" s="100"/>
      <c r="I285" s="101"/>
      <c r="J285" s="135"/>
      <c r="K285" s="136"/>
      <c r="L285" s="104">
        <f t="shared" si="297"/>
        <v>0</v>
      </c>
      <c r="M285" s="105">
        <f t="shared" si="314"/>
        <v>0</v>
      </c>
      <c r="N285" s="106" t="str">
        <f t="shared" si="315"/>
        <v>¥0</v>
      </c>
      <c r="O285" s="133"/>
      <c r="P285" s="104">
        <f t="shared" si="299"/>
        <v>0</v>
      </c>
      <c r="Q285" s="104">
        <f t="shared" si="300"/>
        <v>0</v>
      </c>
      <c r="R285" s="108">
        <f t="shared" si="316"/>
        <v>0</v>
      </c>
      <c r="S285" s="109">
        <f t="shared" si="317"/>
        <v>0</v>
      </c>
      <c r="T285" s="125"/>
      <c r="U285" s="104">
        <f t="shared" si="322"/>
        <v>0</v>
      </c>
      <c r="V285" s="104">
        <f t="shared" si="323"/>
        <v>0</v>
      </c>
      <c r="W285" s="111">
        <f t="shared" si="318"/>
        <v>0</v>
      </c>
      <c r="X285" s="112">
        <f t="shared" si="319"/>
        <v>0</v>
      </c>
      <c r="Y285" s="113">
        <f t="shared" ref="Y285:Z285" si="332">Y284+1</f>
        <v>45922</v>
      </c>
      <c r="Z285" s="114">
        <f t="shared" si="332"/>
        <v>45922</v>
      </c>
      <c r="AA285" s="39"/>
      <c r="AB285" s="39"/>
      <c r="AC285" s="39"/>
      <c r="AD285" s="39"/>
      <c r="AE285" s="39"/>
      <c r="AF285" s="39"/>
      <c r="AG285" s="39"/>
    </row>
    <row r="286" spans="1:33" ht="16.5" customHeight="1">
      <c r="A286" s="39"/>
      <c r="B286" s="50"/>
      <c r="C286" s="95">
        <v>266</v>
      </c>
      <c r="D286" s="96">
        <v>0</v>
      </c>
      <c r="E286" s="97">
        <f t="shared" si="312"/>
        <v>9</v>
      </c>
      <c r="F286" s="98">
        <f t="shared" si="321"/>
        <v>45923</v>
      </c>
      <c r="G286" s="99" t="str">
        <f t="shared" si="313"/>
        <v>Tue</v>
      </c>
      <c r="H286" s="100"/>
      <c r="I286" s="101"/>
      <c r="J286" s="135"/>
      <c r="K286" s="136"/>
      <c r="L286" s="104">
        <f t="shared" si="297"/>
        <v>0</v>
      </c>
      <c r="M286" s="105">
        <f t="shared" si="314"/>
        <v>0</v>
      </c>
      <c r="N286" s="106" t="str">
        <f t="shared" si="315"/>
        <v>¥0</v>
      </c>
      <c r="O286" s="134"/>
      <c r="P286" s="104">
        <f t="shared" si="299"/>
        <v>0</v>
      </c>
      <c r="Q286" s="104">
        <f t="shared" si="300"/>
        <v>0</v>
      </c>
      <c r="R286" s="108">
        <f t="shared" si="316"/>
        <v>0</v>
      </c>
      <c r="S286" s="109">
        <f t="shared" si="317"/>
        <v>0</v>
      </c>
      <c r="T286" s="131"/>
      <c r="U286" s="104">
        <f t="shared" si="322"/>
        <v>0</v>
      </c>
      <c r="V286" s="104">
        <f t="shared" si="323"/>
        <v>0</v>
      </c>
      <c r="W286" s="111">
        <f t="shared" si="318"/>
        <v>0</v>
      </c>
      <c r="X286" s="112">
        <f t="shared" si="319"/>
        <v>0</v>
      </c>
      <c r="Y286" s="113">
        <f t="shared" ref="Y286:Z286" si="333">Y285+1</f>
        <v>45923</v>
      </c>
      <c r="Z286" s="114">
        <f t="shared" si="333"/>
        <v>45923</v>
      </c>
      <c r="AA286" s="39"/>
      <c r="AB286" s="39"/>
      <c r="AC286" s="39"/>
      <c r="AD286" s="39"/>
      <c r="AE286" s="39"/>
      <c r="AF286" s="39"/>
      <c r="AG286" s="39"/>
    </row>
    <row r="287" spans="1:33" ht="16.5" customHeight="1">
      <c r="A287" s="39"/>
      <c r="B287" s="50"/>
      <c r="C287" s="95">
        <v>267</v>
      </c>
      <c r="D287" s="96">
        <v>1</v>
      </c>
      <c r="E287" s="97">
        <f t="shared" si="312"/>
        <v>9</v>
      </c>
      <c r="F287" s="98">
        <f t="shared" si="321"/>
        <v>45924</v>
      </c>
      <c r="G287" s="99" t="str">
        <f t="shared" si="313"/>
        <v>Wed</v>
      </c>
      <c r="H287" s="100"/>
      <c r="I287" s="101"/>
      <c r="J287" s="135">
        <v>48050</v>
      </c>
      <c r="K287" s="136"/>
      <c r="L287" s="104">
        <f t="shared" si="297"/>
        <v>103092.78350515466</v>
      </c>
      <c r="M287" s="105">
        <f t="shared" si="314"/>
        <v>-55042.783505154657</v>
      </c>
      <c r="N287" s="106">
        <f t="shared" si="315"/>
        <v>0.46608499999999992</v>
      </c>
      <c r="O287" s="133"/>
      <c r="P287" s="104">
        <f t="shared" si="299"/>
        <v>1855670.1030927845</v>
      </c>
      <c r="Q287" s="104">
        <f t="shared" si="300"/>
        <v>1278100</v>
      </c>
      <c r="R287" s="108">
        <f t="shared" si="316"/>
        <v>-577570.10309278453</v>
      </c>
      <c r="S287" s="109">
        <f t="shared" si="317"/>
        <v>0.68875388888888855</v>
      </c>
      <c r="T287" s="125"/>
      <c r="U287" s="104">
        <f t="shared" si="322"/>
        <v>21494845.360824659</v>
      </c>
      <c r="V287" s="104">
        <f t="shared" si="323"/>
        <v>18483575</v>
      </c>
      <c r="W287" s="111">
        <f t="shared" si="318"/>
        <v>-3011270.3608246595</v>
      </c>
      <c r="X287" s="112">
        <f t="shared" si="319"/>
        <v>0.85990732613909204</v>
      </c>
      <c r="Y287" s="113">
        <f t="shared" ref="Y287:Z287" si="334">Y286+1</f>
        <v>45924</v>
      </c>
      <c r="Z287" s="114">
        <f t="shared" si="334"/>
        <v>45924</v>
      </c>
      <c r="AA287" s="39"/>
      <c r="AB287" s="39"/>
      <c r="AC287" s="39"/>
      <c r="AD287" s="39"/>
      <c r="AE287" s="39"/>
      <c r="AF287" s="39"/>
      <c r="AG287" s="39"/>
    </row>
    <row r="288" spans="1:33" ht="16.5" customHeight="1">
      <c r="A288" s="39"/>
      <c r="B288" s="50"/>
      <c r="C288" s="95">
        <v>268</v>
      </c>
      <c r="D288" s="96">
        <v>1</v>
      </c>
      <c r="E288" s="97">
        <f t="shared" si="312"/>
        <v>9</v>
      </c>
      <c r="F288" s="98">
        <f t="shared" si="321"/>
        <v>45925</v>
      </c>
      <c r="G288" s="99" t="str">
        <f t="shared" si="313"/>
        <v>Thu</v>
      </c>
      <c r="H288" s="100"/>
      <c r="I288" s="101"/>
      <c r="J288" s="135">
        <v>103600</v>
      </c>
      <c r="K288" s="136"/>
      <c r="L288" s="104">
        <f t="shared" si="297"/>
        <v>103092.78350515466</v>
      </c>
      <c r="M288" s="105">
        <f t="shared" si="314"/>
        <v>507.21649484534282</v>
      </c>
      <c r="N288" s="106">
        <f t="shared" si="315"/>
        <v>1.0049199999999998</v>
      </c>
      <c r="O288" s="133"/>
      <c r="P288" s="104">
        <f t="shared" si="299"/>
        <v>1958762.8865979393</v>
      </c>
      <c r="Q288" s="104">
        <f t="shared" si="300"/>
        <v>1381700</v>
      </c>
      <c r="R288" s="108">
        <f t="shared" si="316"/>
        <v>-577062.8865979393</v>
      </c>
      <c r="S288" s="109">
        <f t="shared" si="317"/>
        <v>0.70539421052631535</v>
      </c>
      <c r="T288" s="125"/>
      <c r="U288" s="104">
        <f t="shared" si="322"/>
        <v>21597938.144329812</v>
      </c>
      <c r="V288" s="104">
        <f t="shared" si="323"/>
        <v>18587175</v>
      </c>
      <c r="W288" s="111">
        <f t="shared" si="318"/>
        <v>-3010763.1443298124</v>
      </c>
      <c r="X288" s="112">
        <f t="shared" si="319"/>
        <v>0.86059951073986019</v>
      </c>
      <c r="Y288" s="113">
        <f t="shared" ref="Y288:Z288" si="335">Y287+1</f>
        <v>45925</v>
      </c>
      <c r="Z288" s="114">
        <f t="shared" si="335"/>
        <v>45925</v>
      </c>
      <c r="AA288" s="39"/>
      <c r="AB288" s="39"/>
      <c r="AC288" s="39"/>
      <c r="AD288" s="39"/>
      <c r="AE288" s="39"/>
      <c r="AF288" s="39"/>
      <c r="AG288" s="39"/>
    </row>
    <row r="289" spans="1:33" ht="16.5" customHeight="1">
      <c r="A289" s="39"/>
      <c r="B289" s="50"/>
      <c r="C289" s="95">
        <v>269</v>
      </c>
      <c r="D289" s="96">
        <v>1</v>
      </c>
      <c r="E289" s="97">
        <f t="shared" si="312"/>
        <v>9</v>
      </c>
      <c r="F289" s="98">
        <f t="shared" si="321"/>
        <v>45926</v>
      </c>
      <c r="G289" s="99" t="str">
        <f t="shared" si="313"/>
        <v>Fri</v>
      </c>
      <c r="H289" s="100"/>
      <c r="I289" s="101"/>
      <c r="J289" s="135">
        <v>113450</v>
      </c>
      <c r="K289" s="136"/>
      <c r="L289" s="104">
        <f t="shared" si="297"/>
        <v>103092.78350515466</v>
      </c>
      <c r="M289" s="105">
        <f t="shared" si="314"/>
        <v>10357.216494845343</v>
      </c>
      <c r="N289" s="106">
        <f t="shared" si="315"/>
        <v>1.1004649999999998</v>
      </c>
      <c r="O289" s="133"/>
      <c r="P289" s="104">
        <f t="shared" si="299"/>
        <v>2061855.6701030941</v>
      </c>
      <c r="Q289" s="104">
        <f t="shared" si="300"/>
        <v>1495150</v>
      </c>
      <c r="R289" s="108">
        <f t="shared" si="316"/>
        <v>-566705.67010309407</v>
      </c>
      <c r="S289" s="109">
        <f t="shared" si="317"/>
        <v>0.72514774999999954</v>
      </c>
      <c r="T289" s="125"/>
      <c r="U289" s="104">
        <f t="shared" si="322"/>
        <v>21701030.927834965</v>
      </c>
      <c r="V289" s="104">
        <f t="shared" si="323"/>
        <v>18700625</v>
      </c>
      <c r="W289" s="111">
        <f t="shared" si="318"/>
        <v>-3000405.9278349653</v>
      </c>
      <c r="X289" s="112">
        <f t="shared" si="319"/>
        <v>0.8617390142517849</v>
      </c>
      <c r="Y289" s="113">
        <f t="shared" ref="Y289:Z289" si="336">Y288+1</f>
        <v>45926</v>
      </c>
      <c r="Z289" s="114">
        <f t="shared" si="336"/>
        <v>45926</v>
      </c>
      <c r="AA289" s="39"/>
      <c r="AB289" s="39"/>
      <c r="AC289" s="39"/>
      <c r="AD289" s="39"/>
      <c r="AE289" s="39"/>
      <c r="AF289" s="39"/>
      <c r="AG289" s="39"/>
    </row>
    <row r="290" spans="1:33" ht="16.5" customHeight="1">
      <c r="A290" s="39"/>
      <c r="B290" s="50"/>
      <c r="C290" s="95">
        <v>270</v>
      </c>
      <c r="D290" s="96">
        <v>1</v>
      </c>
      <c r="E290" s="97">
        <f t="shared" si="312"/>
        <v>9</v>
      </c>
      <c r="F290" s="98">
        <f t="shared" si="321"/>
        <v>45927</v>
      </c>
      <c r="G290" s="99" t="str">
        <f t="shared" si="313"/>
        <v>Sat</v>
      </c>
      <c r="H290" s="100"/>
      <c r="I290" s="101"/>
      <c r="J290" s="135">
        <v>59750</v>
      </c>
      <c r="K290" s="136"/>
      <c r="L290" s="104">
        <f t="shared" si="297"/>
        <v>103092.78350515466</v>
      </c>
      <c r="M290" s="105">
        <f t="shared" si="314"/>
        <v>-43342.783505154657</v>
      </c>
      <c r="N290" s="106">
        <f t="shared" si="315"/>
        <v>0.57957499999999995</v>
      </c>
      <c r="O290" s="133"/>
      <c r="P290" s="104">
        <f t="shared" si="299"/>
        <v>2164948.4536082488</v>
      </c>
      <c r="Q290" s="104">
        <f t="shared" si="300"/>
        <v>1554900</v>
      </c>
      <c r="R290" s="108">
        <f t="shared" si="316"/>
        <v>-610048.45360824885</v>
      </c>
      <c r="S290" s="109">
        <f t="shared" si="317"/>
        <v>0.71821571428571385</v>
      </c>
      <c r="T290" s="125"/>
      <c r="U290" s="104">
        <f t="shared" si="322"/>
        <v>21804123.711340118</v>
      </c>
      <c r="V290" s="104">
        <f t="shared" si="323"/>
        <v>18760375</v>
      </c>
      <c r="W290" s="111">
        <f t="shared" si="318"/>
        <v>-3043748.7113401182</v>
      </c>
      <c r="X290" s="112">
        <f t="shared" si="319"/>
        <v>0.8604049054373557</v>
      </c>
      <c r="Y290" s="113">
        <f t="shared" ref="Y290:Z290" si="337">Y289+1</f>
        <v>45927</v>
      </c>
      <c r="Z290" s="114">
        <f t="shared" si="337"/>
        <v>45927</v>
      </c>
      <c r="AA290" s="39"/>
      <c r="AB290" s="39"/>
      <c r="AC290" s="39"/>
      <c r="AD290" s="39"/>
      <c r="AE290" s="39"/>
      <c r="AF290" s="39"/>
      <c r="AG290" s="39"/>
    </row>
    <row r="291" spans="1:33" ht="16.5" customHeight="1">
      <c r="A291" s="39"/>
      <c r="B291" s="50"/>
      <c r="C291" s="95">
        <v>271</v>
      </c>
      <c r="D291" s="96">
        <v>1</v>
      </c>
      <c r="E291" s="97">
        <f t="shared" si="312"/>
        <v>9</v>
      </c>
      <c r="F291" s="98">
        <f t="shared" si="321"/>
        <v>45928</v>
      </c>
      <c r="G291" s="99" t="str">
        <f t="shared" si="313"/>
        <v>Sun</v>
      </c>
      <c r="H291" s="100"/>
      <c r="I291" s="101"/>
      <c r="J291" s="135">
        <v>140550</v>
      </c>
      <c r="K291" s="136"/>
      <c r="L291" s="104">
        <f t="shared" si="297"/>
        <v>103092.78350515466</v>
      </c>
      <c r="M291" s="105">
        <f t="shared" si="314"/>
        <v>37457.216494845343</v>
      </c>
      <c r="N291" s="106">
        <f t="shared" si="315"/>
        <v>1.3633349999999997</v>
      </c>
      <c r="O291" s="134"/>
      <c r="P291" s="104">
        <f t="shared" si="299"/>
        <v>2268041.2371134036</v>
      </c>
      <c r="Q291" s="104">
        <f t="shared" si="300"/>
        <v>1695450</v>
      </c>
      <c r="R291" s="108">
        <f t="shared" si="316"/>
        <v>-572591.23711340362</v>
      </c>
      <c r="S291" s="109">
        <f t="shared" si="317"/>
        <v>0.74753931818181762</v>
      </c>
      <c r="T291" s="131"/>
      <c r="U291" s="104">
        <f t="shared" si="322"/>
        <v>21907216.494845271</v>
      </c>
      <c r="V291" s="104">
        <f t="shared" si="323"/>
        <v>18900925</v>
      </c>
      <c r="W291" s="111">
        <f t="shared" si="318"/>
        <v>-3006291.4948452711</v>
      </c>
      <c r="X291" s="112">
        <f t="shared" si="319"/>
        <v>0.86277163529412115</v>
      </c>
      <c r="Y291" s="113">
        <f t="shared" ref="Y291:Z291" si="338">Y290+1</f>
        <v>45928</v>
      </c>
      <c r="Z291" s="114">
        <f t="shared" si="338"/>
        <v>45928</v>
      </c>
      <c r="AA291" s="39"/>
      <c r="AB291" s="39"/>
      <c r="AC291" s="39"/>
      <c r="AD291" s="39"/>
      <c r="AE291" s="39"/>
      <c r="AF291" s="39"/>
      <c r="AG291" s="39"/>
    </row>
    <row r="292" spans="1:33" ht="16.5" customHeight="1">
      <c r="A292" s="39"/>
      <c r="B292" s="50"/>
      <c r="C292" s="95">
        <v>272</v>
      </c>
      <c r="D292" s="96">
        <v>0</v>
      </c>
      <c r="E292" s="97">
        <f t="shared" si="312"/>
        <v>9</v>
      </c>
      <c r="F292" s="98">
        <f t="shared" si="321"/>
        <v>45929</v>
      </c>
      <c r="G292" s="99" t="str">
        <f t="shared" si="313"/>
        <v>Mon</v>
      </c>
      <c r="H292" s="100"/>
      <c r="I292" s="101"/>
      <c r="J292" s="135"/>
      <c r="K292" s="136"/>
      <c r="L292" s="104">
        <f t="shared" si="297"/>
        <v>0</v>
      </c>
      <c r="M292" s="105">
        <f t="shared" si="314"/>
        <v>0</v>
      </c>
      <c r="N292" s="106" t="str">
        <f t="shared" si="315"/>
        <v>¥0</v>
      </c>
      <c r="O292" s="133"/>
      <c r="P292" s="104">
        <f t="shared" si="299"/>
        <v>0</v>
      </c>
      <c r="Q292" s="104">
        <f t="shared" si="300"/>
        <v>0</v>
      </c>
      <c r="R292" s="108">
        <f t="shared" si="316"/>
        <v>0</v>
      </c>
      <c r="S292" s="109">
        <f t="shared" si="317"/>
        <v>0</v>
      </c>
      <c r="T292" s="125"/>
      <c r="U292" s="104">
        <f t="shared" si="322"/>
        <v>0</v>
      </c>
      <c r="V292" s="104">
        <f t="shared" si="323"/>
        <v>0</v>
      </c>
      <c r="W292" s="111">
        <f t="shared" si="318"/>
        <v>0</v>
      </c>
      <c r="X292" s="112">
        <f t="shared" si="319"/>
        <v>0</v>
      </c>
      <c r="Y292" s="113">
        <f t="shared" ref="Y292:Z292" si="339">Y291+1</f>
        <v>45929</v>
      </c>
      <c r="Z292" s="114">
        <f t="shared" si="339"/>
        <v>45929</v>
      </c>
      <c r="AA292" s="39"/>
      <c r="AB292" s="39"/>
      <c r="AC292" s="39"/>
      <c r="AD292" s="39"/>
      <c r="AE292" s="39"/>
      <c r="AF292" s="39"/>
      <c r="AG292" s="39"/>
    </row>
    <row r="293" spans="1:33" ht="16.5" customHeight="1">
      <c r="A293" s="39"/>
      <c r="B293" s="50"/>
      <c r="C293" s="160">
        <v>273</v>
      </c>
      <c r="D293" s="138">
        <v>1</v>
      </c>
      <c r="E293" s="139">
        <f t="shared" si="312"/>
        <v>9</v>
      </c>
      <c r="F293" s="163">
        <f t="shared" si="321"/>
        <v>45930</v>
      </c>
      <c r="G293" s="141" t="str">
        <f t="shared" si="313"/>
        <v>Tue</v>
      </c>
      <c r="H293" s="159"/>
      <c r="I293" s="143"/>
      <c r="J293" s="164">
        <v>104850</v>
      </c>
      <c r="K293" s="145"/>
      <c r="L293" s="165">
        <f t="shared" si="297"/>
        <v>103092.78350515466</v>
      </c>
      <c r="M293" s="147">
        <f t="shared" si="314"/>
        <v>1757.2164948453428</v>
      </c>
      <c r="N293" s="148">
        <f t="shared" si="315"/>
        <v>1.0170449999999998</v>
      </c>
      <c r="O293" s="149"/>
      <c r="P293" s="166">
        <f t="shared" si="299"/>
        <v>2371134.0206185584</v>
      </c>
      <c r="Q293" s="165">
        <f t="shared" si="300"/>
        <v>1800300</v>
      </c>
      <c r="R293" s="167">
        <f t="shared" si="316"/>
        <v>-570834.0206185584</v>
      </c>
      <c r="S293" s="151">
        <f t="shared" si="317"/>
        <v>0.75925695652173864</v>
      </c>
      <c r="T293" s="152"/>
      <c r="U293" s="153">
        <f t="shared" si="322"/>
        <v>22010309.278350424</v>
      </c>
      <c r="V293" s="153">
        <f t="shared" si="323"/>
        <v>19005775</v>
      </c>
      <c r="W293" s="153">
        <f t="shared" si="318"/>
        <v>-3004534.278350424</v>
      </c>
      <c r="X293" s="154">
        <f t="shared" si="319"/>
        <v>0.86349422716627988</v>
      </c>
      <c r="Y293" s="113">
        <f t="shared" ref="Y293:Z293" si="340">Y292+1</f>
        <v>45930</v>
      </c>
      <c r="Z293" s="114">
        <f t="shared" si="340"/>
        <v>45930</v>
      </c>
      <c r="AA293" s="39"/>
      <c r="AB293" s="39"/>
      <c r="AC293" s="39"/>
      <c r="AD293" s="39"/>
      <c r="AE293" s="39"/>
      <c r="AF293" s="39"/>
      <c r="AG293" s="39"/>
    </row>
    <row r="294" spans="1:33" ht="16.5" customHeight="1">
      <c r="A294" s="39"/>
      <c r="B294" s="50"/>
      <c r="C294" s="95">
        <v>274</v>
      </c>
      <c r="D294" s="155">
        <v>1</v>
      </c>
      <c r="E294" s="97">
        <f t="shared" si="312"/>
        <v>10</v>
      </c>
      <c r="F294" s="98">
        <f t="shared" si="321"/>
        <v>45931</v>
      </c>
      <c r="G294" s="99" t="str">
        <f t="shared" si="313"/>
        <v>Wed</v>
      </c>
      <c r="H294" s="100"/>
      <c r="I294" s="101"/>
      <c r="J294" s="135">
        <v>57900</v>
      </c>
      <c r="K294" s="136"/>
      <c r="L294" s="104">
        <f t="shared" ref="L294:L324" si="341">IF(D294=0,0,$K$16)</f>
        <v>113402.06185567012</v>
      </c>
      <c r="M294" s="108">
        <f t="shared" si="314"/>
        <v>-55502.061855670123</v>
      </c>
      <c r="N294" s="156">
        <f t="shared" si="315"/>
        <v>0.51057272727272718</v>
      </c>
      <c r="O294" s="133"/>
      <c r="P294" s="104">
        <f>IF(D294=0,0,$L$294)</f>
        <v>113402.06185567012</v>
      </c>
      <c r="Q294" s="104">
        <f>IF(D294=0,0,$J$294)</f>
        <v>57900</v>
      </c>
      <c r="R294" s="108">
        <f t="shared" si="316"/>
        <v>-55502.061855670123</v>
      </c>
      <c r="S294" s="157">
        <f t="shared" si="317"/>
        <v>0.51057272727272718</v>
      </c>
      <c r="T294" s="125"/>
      <c r="U294" s="104">
        <f t="shared" si="322"/>
        <v>22123711.340206094</v>
      </c>
      <c r="V294" s="104">
        <f t="shared" si="323"/>
        <v>19063675</v>
      </c>
      <c r="W294" s="111">
        <f t="shared" si="318"/>
        <v>-3060036.3402060941</v>
      </c>
      <c r="X294" s="158">
        <f t="shared" si="319"/>
        <v>0.86168521668220299</v>
      </c>
      <c r="Y294" s="113">
        <f t="shared" ref="Y294:Z294" si="342">Y293+1</f>
        <v>45931</v>
      </c>
      <c r="Z294" s="114">
        <f t="shared" si="342"/>
        <v>45931</v>
      </c>
      <c r="AA294" s="39"/>
      <c r="AB294" s="39"/>
      <c r="AC294" s="39"/>
      <c r="AD294" s="39"/>
      <c r="AE294" s="39"/>
      <c r="AF294" s="39"/>
      <c r="AG294" s="39"/>
    </row>
    <row r="295" spans="1:33" ht="16.5" customHeight="1">
      <c r="A295" s="39"/>
      <c r="B295" s="50"/>
      <c r="C295" s="95">
        <v>275</v>
      </c>
      <c r="D295" s="96">
        <v>1</v>
      </c>
      <c r="E295" s="97">
        <f t="shared" si="312"/>
        <v>10</v>
      </c>
      <c r="F295" s="98">
        <f t="shared" si="321"/>
        <v>45932</v>
      </c>
      <c r="G295" s="99" t="str">
        <f t="shared" si="313"/>
        <v>Thu</v>
      </c>
      <c r="H295" s="100"/>
      <c r="I295" s="101"/>
      <c r="J295" s="135">
        <v>82600</v>
      </c>
      <c r="K295" s="136"/>
      <c r="L295" s="104">
        <f t="shared" si="341"/>
        <v>113402.06185567012</v>
      </c>
      <c r="M295" s="105">
        <f t="shared" si="314"/>
        <v>-30802.061855670123</v>
      </c>
      <c r="N295" s="106">
        <f t="shared" si="315"/>
        <v>0.72838181818181802</v>
      </c>
      <c r="O295" s="133"/>
      <c r="P295" s="104">
        <f t="shared" ref="P295:P324" si="343">IF(D295=0,0,SUM($L$294:L295))</f>
        <v>226804.12371134025</v>
      </c>
      <c r="Q295" s="104">
        <f t="shared" ref="Q295:Q324" si="344">IF(D295=0,0,SUM($J$294:J295))</f>
        <v>140500</v>
      </c>
      <c r="R295" s="108">
        <f t="shared" si="316"/>
        <v>-86304.123711340246</v>
      </c>
      <c r="S295" s="109">
        <f t="shared" si="317"/>
        <v>0.6194772727272726</v>
      </c>
      <c r="T295" s="125"/>
      <c r="U295" s="104">
        <f t="shared" si="322"/>
        <v>22237113.402061764</v>
      </c>
      <c r="V295" s="104">
        <f t="shared" si="323"/>
        <v>19146275</v>
      </c>
      <c r="W295" s="111">
        <f t="shared" si="318"/>
        <v>-3090838.4020617642</v>
      </c>
      <c r="X295" s="112">
        <f t="shared" si="319"/>
        <v>0.86100541261011021</v>
      </c>
      <c r="Y295" s="113">
        <f t="shared" ref="Y295:Z295" si="345">Y294+1</f>
        <v>45932</v>
      </c>
      <c r="Z295" s="114">
        <f t="shared" si="345"/>
        <v>45932</v>
      </c>
      <c r="AA295" s="39"/>
      <c r="AB295" s="39"/>
      <c r="AC295" s="39"/>
      <c r="AD295" s="39"/>
      <c r="AE295" s="39"/>
      <c r="AF295" s="39"/>
      <c r="AG295" s="39"/>
    </row>
    <row r="296" spans="1:33" ht="16.5" customHeight="1">
      <c r="A296" s="39"/>
      <c r="B296" s="50"/>
      <c r="C296" s="95">
        <v>276</v>
      </c>
      <c r="D296" s="96">
        <v>1</v>
      </c>
      <c r="E296" s="97">
        <f t="shared" si="312"/>
        <v>10</v>
      </c>
      <c r="F296" s="98">
        <f t="shared" si="321"/>
        <v>45933</v>
      </c>
      <c r="G296" s="99" t="str">
        <f t="shared" si="313"/>
        <v>Fri</v>
      </c>
      <c r="H296" s="100"/>
      <c r="I296" s="101"/>
      <c r="J296" s="135">
        <v>104700</v>
      </c>
      <c r="K296" s="136"/>
      <c r="L296" s="104">
        <f t="shared" si="341"/>
        <v>113402.06185567012</v>
      </c>
      <c r="M296" s="105">
        <f t="shared" si="314"/>
        <v>-8702.0618556701229</v>
      </c>
      <c r="N296" s="106">
        <f t="shared" si="315"/>
        <v>0.92326363636363618</v>
      </c>
      <c r="O296" s="133"/>
      <c r="P296" s="104">
        <f t="shared" si="343"/>
        <v>340206.18556701037</v>
      </c>
      <c r="Q296" s="104">
        <f t="shared" si="344"/>
        <v>245200</v>
      </c>
      <c r="R296" s="108">
        <f t="shared" si="316"/>
        <v>-95006.185567010369</v>
      </c>
      <c r="S296" s="109">
        <f t="shared" si="317"/>
        <v>0.72073939393939379</v>
      </c>
      <c r="T296" s="125"/>
      <c r="U296" s="104">
        <f t="shared" si="322"/>
        <v>22350515.463917434</v>
      </c>
      <c r="V296" s="104">
        <f t="shared" si="323"/>
        <v>19250975</v>
      </c>
      <c r="W296" s="111">
        <f t="shared" si="318"/>
        <v>-3099540.4639174342</v>
      </c>
      <c r="X296" s="112">
        <f t="shared" si="319"/>
        <v>0.86132129843173788</v>
      </c>
      <c r="Y296" s="113">
        <f t="shared" ref="Y296:Z296" si="346">Y295+1</f>
        <v>45933</v>
      </c>
      <c r="Z296" s="114">
        <f t="shared" si="346"/>
        <v>45933</v>
      </c>
      <c r="AA296" s="39"/>
      <c r="AB296" s="39"/>
      <c r="AC296" s="39"/>
      <c r="AD296" s="39"/>
      <c r="AE296" s="39"/>
      <c r="AF296" s="39"/>
      <c r="AG296" s="39"/>
    </row>
    <row r="297" spans="1:33" ht="16.5" customHeight="1">
      <c r="A297" s="39"/>
      <c r="B297" s="50"/>
      <c r="C297" s="95">
        <v>277</v>
      </c>
      <c r="D297" s="96">
        <v>1</v>
      </c>
      <c r="E297" s="97">
        <f t="shared" si="312"/>
        <v>10</v>
      </c>
      <c r="F297" s="98">
        <f t="shared" si="321"/>
        <v>45934</v>
      </c>
      <c r="G297" s="99" t="str">
        <f t="shared" si="313"/>
        <v>Sat</v>
      </c>
      <c r="H297" s="100"/>
      <c r="I297" s="101"/>
      <c r="J297" s="135">
        <v>75150</v>
      </c>
      <c r="K297" s="136"/>
      <c r="L297" s="104">
        <f t="shared" si="341"/>
        <v>113402.06185567012</v>
      </c>
      <c r="M297" s="105">
        <f t="shared" si="314"/>
        <v>-38252.061855670123</v>
      </c>
      <c r="N297" s="106">
        <f t="shared" si="315"/>
        <v>0.66268636363636357</v>
      </c>
      <c r="O297" s="133"/>
      <c r="P297" s="104">
        <f t="shared" si="343"/>
        <v>453608.24742268049</v>
      </c>
      <c r="Q297" s="104">
        <f t="shared" si="344"/>
        <v>320350</v>
      </c>
      <c r="R297" s="108">
        <f t="shared" si="316"/>
        <v>-133258.24742268049</v>
      </c>
      <c r="S297" s="109">
        <f t="shared" si="317"/>
        <v>0.70622613636363629</v>
      </c>
      <c r="T297" s="125"/>
      <c r="U297" s="104">
        <f t="shared" si="322"/>
        <v>22463917.525773104</v>
      </c>
      <c r="V297" s="104">
        <f t="shared" si="323"/>
        <v>19326125</v>
      </c>
      <c r="W297" s="111">
        <f t="shared" si="318"/>
        <v>-3137792.5257731043</v>
      </c>
      <c r="X297" s="112">
        <f t="shared" si="319"/>
        <v>0.86031855208811736</v>
      </c>
      <c r="Y297" s="113">
        <f t="shared" ref="Y297:Z297" si="347">Y296+1</f>
        <v>45934</v>
      </c>
      <c r="Z297" s="114">
        <f t="shared" si="347"/>
        <v>45934</v>
      </c>
      <c r="AA297" s="39"/>
      <c r="AB297" s="39"/>
      <c r="AC297" s="39"/>
      <c r="AD297" s="39"/>
      <c r="AE297" s="39"/>
      <c r="AF297" s="39"/>
      <c r="AG297" s="39"/>
    </row>
    <row r="298" spans="1:33" ht="16.5" customHeight="1">
      <c r="A298" s="39"/>
      <c r="B298" s="50"/>
      <c r="C298" s="95">
        <v>278</v>
      </c>
      <c r="D298" s="96">
        <v>1</v>
      </c>
      <c r="E298" s="97">
        <f t="shared" si="312"/>
        <v>10</v>
      </c>
      <c r="F298" s="98">
        <f t="shared" si="321"/>
        <v>45935</v>
      </c>
      <c r="G298" s="99" t="str">
        <f t="shared" si="313"/>
        <v>Sun</v>
      </c>
      <c r="H298" s="100"/>
      <c r="I298" s="101"/>
      <c r="J298" s="135">
        <v>63200</v>
      </c>
      <c r="K298" s="136"/>
      <c r="L298" s="104">
        <f t="shared" si="341"/>
        <v>113402.06185567012</v>
      </c>
      <c r="M298" s="105">
        <f t="shared" si="314"/>
        <v>-50202.061855670123</v>
      </c>
      <c r="N298" s="106">
        <f t="shared" si="315"/>
        <v>0.55730909090909087</v>
      </c>
      <c r="O298" s="134"/>
      <c r="P298" s="104">
        <f t="shared" si="343"/>
        <v>567010.30927835056</v>
      </c>
      <c r="Q298" s="104">
        <f t="shared" si="344"/>
        <v>383550</v>
      </c>
      <c r="R298" s="108">
        <f t="shared" si="316"/>
        <v>-183460.30927835056</v>
      </c>
      <c r="S298" s="109">
        <f t="shared" si="317"/>
        <v>0.67644272727272725</v>
      </c>
      <c r="T298" s="131"/>
      <c r="U298" s="104">
        <f t="shared" si="322"/>
        <v>22577319.587628774</v>
      </c>
      <c r="V298" s="104">
        <f t="shared" si="323"/>
        <v>19389325</v>
      </c>
      <c r="W298" s="111">
        <f t="shared" si="318"/>
        <v>-3187994.5876287743</v>
      </c>
      <c r="X298" s="112">
        <f t="shared" si="319"/>
        <v>0.85879658675799431</v>
      </c>
      <c r="Y298" s="113">
        <f t="shared" ref="Y298:Z298" si="348">Y297+1</f>
        <v>45935</v>
      </c>
      <c r="Z298" s="114">
        <f t="shared" si="348"/>
        <v>45935</v>
      </c>
      <c r="AA298" s="39"/>
      <c r="AB298" s="39"/>
      <c r="AC298" s="39"/>
      <c r="AD298" s="39"/>
      <c r="AE298" s="39"/>
      <c r="AF298" s="39"/>
      <c r="AG298" s="39"/>
    </row>
    <row r="299" spans="1:33" ht="16.5" customHeight="1">
      <c r="A299" s="39"/>
      <c r="B299" s="50"/>
      <c r="C299" s="95">
        <v>279</v>
      </c>
      <c r="D299" s="96">
        <v>0</v>
      </c>
      <c r="E299" s="97">
        <f t="shared" si="312"/>
        <v>10</v>
      </c>
      <c r="F299" s="98">
        <f t="shared" si="321"/>
        <v>45936</v>
      </c>
      <c r="G299" s="99" t="str">
        <f t="shared" si="313"/>
        <v>Mon</v>
      </c>
      <c r="H299" s="100"/>
      <c r="I299" s="101"/>
      <c r="J299" s="135"/>
      <c r="K299" s="136"/>
      <c r="L299" s="104">
        <f t="shared" si="341"/>
        <v>0</v>
      </c>
      <c r="M299" s="105">
        <f t="shared" si="314"/>
        <v>0</v>
      </c>
      <c r="N299" s="106" t="str">
        <f t="shared" si="315"/>
        <v>¥0</v>
      </c>
      <c r="O299" s="133"/>
      <c r="P299" s="104">
        <f t="shared" si="343"/>
        <v>0</v>
      </c>
      <c r="Q299" s="104">
        <f t="shared" si="344"/>
        <v>0</v>
      </c>
      <c r="R299" s="108">
        <f t="shared" si="316"/>
        <v>0</v>
      </c>
      <c r="S299" s="109">
        <f t="shared" si="317"/>
        <v>0</v>
      </c>
      <c r="T299" s="125"/>
      <c r="U299" s="104">
        <f t="shared" si="322"/>
        <v>0</v>
      </c>
      <c r="V299" s="104">
        <f t="shared" si="323"/>
        <v>0</v>
      </c>
      <c r="W299" s="111">
        <f t="shared" si="318"/>
        <v>0</v>
      </c>
      <c r="X299" s="112">
        <f t="shared" si="319"/>
        <v>0</v>
      </c>
      <c r="Y299" s="113">
        <f t="shared" ref="Y299:Z299" si="349">Y298+1</f>
        <v>45936</v>
      </c>
      <c r="Z299" s="114">
        <f t="shared" si="349"/>
        <v>45936</v>
      </c>
      <c r="AA299" s="39"/>
      <c r="AB299" s="39"/>
      <c r="AC299" s="39"/>
      <c r="AD299" s="39"/>
      <c r="AE299" s="39"/>
      <c r="AF299" s="39"/>
      <c r="AG299" s="39"/>
    </row>
    <row r="300" spans="1:33" ht="16.5" customHeight="1">
      <c r="A300" s="39"/>
      <c r="B300" s="50"/>
      <c r="C300" s="95">
        <v>280</v>
      </c>
      <c r="D300" s="96">
        <v>1</v>
      </c>
      <c r="E300" s="97">
        <f t="shared" si="312"/>
        <v>10</v>
      </c>
      <c r="F300" s="98">
        <f t="shared" si="321"/>
        <v>45937</v>
      </c>
      <c r="G300" s="99" t="str">
        <f t="shared" si="313"/>
        <v>Tue</v>
      </c>
      <c r="H300" s="100"/>
      <c r="I300" s="101"/>
      <c r="J300" s="135">
        <v>120900</v>
      </c>
      <c r="K300" s="136"/>
      <c r="L300" s="104">
        <f t="shared" si="341"/>
        <v>113402.06185567012</v>
      </c>
      <c r="M300" s="105">
        <f t="shared" si="314"/>
        <v>7497.9381443298771</v>
      </c>
      <c r="N300" s="106">
        <f t="shared" si="315"/>
        <v>1.0661181818181817</v>
      </c>
      <c r="O300" s="133"/>
      <c r="P300" s="104">
        <f t="shared" si="343"/>
        <v>680412.37113402062</v>
      </c>
      <c r="Q300" s="104">
        <f t="shared" si="344"/>
        <v>504450</v>
      </c>
      <c r="R300" s="108">
        <f t="shared" si="316"/>
        <v>-175962.37113402062</v>
      </c>
      <c r="S300" s="109">
        <f t="shared" si="317"/>
        <v>0.74138863636363639</v>
      </c>
      <c r="T300" s="125"/>
      <c r="U300" s="104">
        <f t="shared" si="322"/>
        <v>22690721.649484444</v>
      </c>
      <c r="V300" s="104">
        <f t="shared" si="323"/>
        <v>19510225</v>
      </c>
      <c r="W300" s="111">
        <f t="shared" si="318"/>
        <v>-3180496.6494844444</v>
      </c>
      <c r="X300" s="112">
        <f t="shared" si="319"/>
        <v>0.85983272376192987</v>
      </c>
      <c r="Y300" s="113">
        <f t="shared" ref="Y300:Z300" si="350">Y299+1</f>
        <v>45937</v>
      </c>
      <c r="Z300" s="114">
        <f t="shared" si="350"/>
        <v>45937</v>
      </c>
      <c r="AA300" s="39"/>
      <c r="AB300" s="39"/>
      <c r="AC300" s="39"/>
      <c r="AD300" s="39"/>
      <c r="AE300" s="39"/>
      <c r="AF300" s="39"/>
      <c r="AG300" s="39"/>
    </row>
    <row r="301" spans="1:33" ht="16.5" customHeight="1">
      <c r="A301" s="39"/>
      <c r="B301" s="50"/>
      <c r="C301" s="95">
        <v>281</v>
      </c>
      <c r="D301" s="96">
        <v>1</v>
      </c>
      <c r="E301" s="97">
        <f t="shared" si="312"/>
        <v>10</v>
      </c>
      <c r="F301" s="98">
        <f t="shared" si="321"/>
        <v>45938</v>
      </c>
      <c r="G301" s="99" t="str">
        <f t="shared" si="313"/>
        <v>Wed</v>
      </c>
      <c r="H301" s="100"/>
      <c r="I301" s="101"/>
      <c r="J301" s="135">
        <v>73000</v>
      </c>
      <c r="K301" s="136"/>
      <c r="L301" s="104">
        <f t="shared" si="341"/>
        <v>113402.06185567012</v>
      </c>
      <c r="M301" s="105">
        <f t="shared" si="314"/>
        <v>-40402.061855670123</v>
      </c>
      <c r="N301" s="106">
        <f t="shared" si="315"/>
        <v>0.64372727272727259</v>
      </c>
      <c r="O301" s="133"/>
      <c r="P301" s="104">
        <f t="shared" si="343"/>
        <v>793814.43298969069</v>
      </c>
      <c r="Q301" s="104">
        <f t="shared" si="344"/>
        <v>577450</v>
      </c>
      <c r="R301" s="108">
        <f t="shared" si="316"/>
        <v>-216364.43298969069</v>
      </c>
      <c r="S301" s="109">
        <f t="shared" si="317"/>
        <v>0.72743701298701302</v>
      </c>
      <c r="T301" s="125"/>
      <c r="U301" s="104">
        <f t="shared" si="322"/>
        <v>22804123.711340114</v>
      </c>
      <c r="V301" s="104">
        <f t="shared" si="323"/>
        <v>19583225</v>
      </c>
      <c r="W301" s="111">
        <f t="shared" si="318"/>
        <v>-3220898.7113401145</v>
      </c>
      <c r="X301" s="112">
        <f t="shared" si="319"/>
        <v>0.85875805831826746</v>
      </c>
      <c r="Y301" s="113">
        <f t="shared" ref="Y301:Z301" si="351">Y300+1</f>
        <v>45938</v>
      </c>
      <c r="Z301" s="114">
        <f t="shared" si="351"/>
        <v>45938</v>
      </c>
      <c r="AA301" s="39"/>
      <c r="AB301" s="39"/>
      <c r="AC301" s="39"/>
      <c r="AD301" s="39"/>
      <c r="AE301" s="39"/>
      <c r="AF301" s="39"/>
      <c r="AG301" s="39"/>
    </row>
    <row r="302" spans="1:33" ht="16.5" customHeight="1">
      <c r="A302" s="39"/>
      <c r="B302" s="50"/>
      <c r="C302" s="95">
        <v>282</v>
      </c>
      <c r="D302" s="96">
        <v>1</v>
      </c>
      <c r="E302" s="97">
        <f t="shared" si="312"/>
        <v>10</v>
      </c>
      <c r="F302" s="98">
        <f t="shared" si="321"/>
        <v>45939</v>
      </c>
      <c r="G302" s="99" t="str">
        <f t="shared" si="313"/>
        <v>Thu</v>
      </c>
      <c r="H302" s="100"/>
      <c r="I302" s="101"/>
      <c r="J302" s="135">
        <v>66700</v>
      </c>
      <c r="K302" s="136"/>
      <c r="L302" s="104">
        <f t="shared" si="341"/>
        <v>113402.06185567012</v>
      </c>
      <c r="M302" s="105">
        <f t="shared" si="314"/>
        <v>-46702.061855670123</v>
      </c>
      <c r="N302" s="106">
        <f t="shared" si="315"/>
        <v>0.58817272727272718</v>
      </c>
      <c r="O302" s="133"/>
      <c r="P302" s="104">
        <f t="shared" si="343"/>
        <v>907216.49484536075</v>
      </c>
      <c r="Q302" s="104">
        <f t="shared" si="344"/>
        <v>644150</v>
      </c>
      <c r="R302" s="108">
        <f t="shared" si="316"/>
        <v>-263066.49484536075</v>
      </c>
      <c r="S302" s="109">
        <f t="shared" si="317"/>
        <v>0.71002897727272729</v>
      </c>
      <c r="T302" s="125"/>
      <c r="U302" s="104">
        <f t="shared" si="322"/>
        <v>22917525.773195785</v>
      </c>
      <c r="V302" s="104">
        <f t="shared" si="323"/>
        <v>19649925</v>
      </c>
      <c r="W302" s="111">
        <f t="shared" si="318"/>
        <v>-3267600.7731957845</v>
      </c>
      <c r="X302" s="112">
        <f t="shared" si="319"/>
        <v>0.85741912955465927</v>
      </c>
      <c r="Y302" s="113">
        <f t="shared" ref="Y302:Z302" si="352">Y301+1</f>
        <v>45939</v>
      </c>
      <c r="Z302" s="114">
        <f t="shared" si="352"/>
        <v>45939</v>
      </c>
      <c r="AA302" s="39"/>
      <c r="AB302" s="39"/>
      <c r="AC302" s="39"/>
      <c r="AD302" s="39"/>
      <c r="AE302" s="39"/>
      <c r="AF302" s="39"/>
      <c r="AG302" s="39"/>
    </row>
    <row r="303" spans="1:33" ht="16.5" customHeight="1">
      <c r="A303" s="39"/>
      <c r="B303" s="50"/>
      <c r="C303" s="95">
        <v>283</v>
      </c>
      <c r="D303" s="96">
        <v>1</v>
      </c>
      <c r="E303" s="97">
        <f t="shared" si="312"/>
        <v>10</v>
      </c>
      <c r="F303" s="98">
        <f t="shared" si="321"/>
        <v>45940</v>
      </c>
      <c r="G303" s="99" t="str">
        <f t="shared" si="313"/>
        <v>Fri</v>
      </c>
      <c r="H303" s="100"/>
      <c r="I303" s="101"/>
      <c r="J303" s="135">
        <v>161050</v>
      </c>
      <c r="K303" s="136"/>
      <c r="L303" s="104">
        <f t="shared" si="341"/>
        <v>113402.06185567012</v>
      </c>
      <c r="M303" s="105">
        <f t="shared" si="314"/>
        <v>47647.938144329877</v>
      </c>
      <c r="N303" s="106">
        <f t="shared" si="315"/>
        <v>1.4201681818181815</v>
      </c>
      <c r="O303" s="133"/>
      <c r="P303" s="104">
        <f t="shared" si="343"/>
        <v>1020618.5567010308</v>
      </c>
      <c r="Q303" s="104">
        <f t="shared" si="344"/>
        <v>805200</v>
      </c>
      <c r="R303" s="108">
        <f t="shared" si="316"/>
        <v>-215418.55670103082</v>
      </c>
      <c r="S303" s="109">
        <f t="shared" si="317"/>
        <v>0.78893333333333338</v>
      </c>
      <c r="T303" s="125"/>
      <c r="U303" s="104">
        <f t="shared" si="322"/>
        <v>23030927.835051455</v>
      </c>
      <c r="V303" s="104">
        <f t="shared" si="323"/>
        <v>19810975</v>
      </c>
      <c r="W303" s="111">
        <f t="shared" si="318"/>
        <v>-3219952.8350514546</v>
      </c>
      <c r="X303" s="112">
        <f t="shared" si="319"/>
        <v>0.86019005147717442</v>
      </c>
      <c r="Y303" s="113">
        <f t="shared" ref="Y303:Z303" si="353">Y302+1</f>
        <v>45940</v>
      </c>
      <c r="Z303" s="114">
        <f t="shared" si="353"/>
        <v>45940</v>
      </c>
      <c r="AA303" s="39"/>
      <c r="AB303" s="39"/>
      <c r="AC303" s="39"/>
      <c r="AD303" s="39"/>
      <c r="AE303" s="39"/>
      <c r="AF303" s="39"/>
      <c r="AG303" s="39"/>
    </row>
    <row r="304" spans="1:33" ht="16.5" customHeight="1">
      <c r="A304" s="39"/>
      <c r="B304" s="50"/>
      <c r="C304" s="95">
        <v>284</v>
      </c>
      <c r="D304" s="96">
        <v>1</v>
      </c>
      <c r="E304" s="97">
        <f t="shared" si="312"/>
        <v>10</v>
      </c>
      <c r="F304" s="98">
        <f t="shared" si="321"/>
        <v>45941</v>
      </c>
      <c r="G304" s="99" t="str">
        <f t="shared" si="313"/>
        <v>Sat</v>
      </c>
      <c r="H304" s="100"/>
      <c r="I304" s="101"/>
      <c r="J304" s="135">
        <v>13900</v>
      </c>
      <c r="K304" s="136"/>
      <c r="L304" s="104">
        <f t="shared" si="341"/>
        <v>113402.06185567012</v>
      </c>
      <c r="M304" s="105">
        <f t="shared" si="314"/>
        <v>-99502.061855670123</v>
      </c>
      <c r="N304" s="106">
        <f t="shared" si="315"/>
        <v>0.12257272727272725</v>
      </c>
      <c r="O304" s="133"/>
      <c r="P304" s="104">
        <f t="shared" si="343"/>
        <v>1134020.6185567009</v>
      </c>
      <c r="Q304" s="104">
        <f t="shared" si="344"/>
        <v>819100</v>
      </c>
      <c r="R304" s="108">
        <f t="shared" si="316"/>
        <v>-314920.61855670088</v>
      </c>
      <c r="S304" s="109">
        <f t="shared" si="317"/>
        <v>0.72229727272727284</v>
      </c>
      <c r="T304" s="125"/>
      <c r="U304" s="104">
        <f t="shared" si="322"/>
        <v>23144329.896907125</v>
      </c>
      <c r="V304" s="104">
        <f t="shared" si="323"/>
        <v>19824875</v>
      </c>
      <c r="W304" s="111">
        <f t="shared" si="318"/>
        <v>-3319454.8969071247</v>
      </c>
      <c r="X304" s="112">
        <f t="shared" si="319"/>
        <v>0.85657589086860031</v>
      </c>
      <c r="Y304" s="113">
        <f t="shared" ref="Y304:Z304" si="354">Y303+1</f>
        <v>45941</v>
      </c>
      <c r="Z304" s="114">
        <f t="shared" si="354"/>
        <v>45941</v>
      </c>
      <c r="AA304" s="39"/>
      <c r="AB304" s="39"/>
      <c r="AC304" s="39"/>
      <c r="AD304" s="39"/>
      <c r="AE304" s="39"/>
      <c r="AF304" s="39"/>
      <c r="AG304" s="39"/>
    </row>
    <row r="305" spans="1:33" ht="16.5" customHeight="1">
      <c r="A305" s="39"/>
      <c r="B305" s="50"/>
      <c r="C305" s="95">
        <v>285</v>
      </c>
      <c r="D305" s="96">
        <v>1</v>
      </c>
      <c r="E305" s="97">
        <f t="shared" si="312"/>
        <v>10</v>
      </c>
      <c r="F305" s="98">
        <f t="shared" si="321"/>
        <v>45942</v>
      </c>
      <c r="G305" s="99" t="str">
        <f t="shared" si="313"/>
        <v>Sun</v>
      </c>
      <c r="H305" s="100"/>
      <c r="I305" s="101"/>
      <c r="J305" s="135">
        <v>113400</v>
      </c>
      <c r="K305" s="136"/>
      <c r="L305" s="104">
        <f t="shared" si="341"/>
        <v>113402.06185567012</v>
      </c>
      <c r="M305" s="105">
        <f t="shared" si="314"/>
        <v>-2.0618556701228954</v>
      </c>
      <c r="N305" s="106">
        <f t="shared" si="315"/>
        <v>0.99998181818181797</v>
      </c>
      <c r="O305" s="134"/>
      <c r="P305" s="104">
        <f t="shared" si="343"/>
        <v>1247422.6804123709</v>
      </c>
      <c r="Q305" s="104">
        <f t="shared" si="344"/>
        <v>932500</v>
      </c>
      <c r="R305" s="108">
        <f t="shared" si="316"/>
        <v>-314922.68041237094</v>
      </c>
      <c r="S305" s="109">
        <f t="shared" si="317"/>
        <v>0.74754132231404968</v>
      </c>
      <c r="T305" s="131"/>
      <c r="U305" s="104">
        <f t="shared" si="322"/>
        <v>23257731.958762795</v>
      </c>
      <c r="V305" s="104">
        <f t="shared" si="323"/>
        <v>19938275</v>
      </c>
      <c r="W305" s="111">
        <f t="shared" si="318"/>
        <v>-3319456.9587627947</v>
      </c>
      <c r="X305" s="112">
        <f t="shared" si="319"/>
        <v>0.85727512189716648</v>
      </c>
      <c r="Y305" s="113">
        <f t="shared" ref="Y305:Z305" si="355">Y304+1</f>
        <v>45942</v>
      </c>
      <c r="Z305" s="114">
        <f t="shared" si="355"/>
        <v>45942</v>
      </c>
      <c r="AA305" s="39"/>
      <c r="AB305" s="39"/>
      <c r="AC305" s="39"/>
      <c r="AD305" s="39"/>
      <c r="AE305" s="39"/>
      <c r="AF305" s="39"/>
      <c r="AG305" s="39"/>
    </row>
    <row r="306" spans="1:33" ht="16.5" customHeight="1">
      <c r="A306" s="39"/>
      <c r="B306" s="50"/>
      <c r="C306" s="95">
        <v>286</v>
      </c>
      <c r="D306" s="96">
        <v>0</v>
      </c>
      <c r="E306" s="97">
        <f t="shared" si="312"/>
        <v>10</v>
      </c>
      <c r="F306" s="98">
        <f t="shared" si="321"/>
        <v>45943</v>
      </c>
      <c r="G306" s="99" t="str">
        <f t="shared" si="313"/>
        <v>Mon</v>
      </c>
      <c r="H306" s="100"/>
      <c r="I306" s="101"/>
      <c r="J306" s="135"/>
      <c r="K306" s="136"/>
      <c r="L306" s="104">
        <f t="shared" si="341"/>
        <v>0</v>
      </c>
      <c r="M306" s="105">
        <f t="shared" si="314"/>
        <v>0</v>
      </c>
      <c r="N306" s="106" t="str">
        <f t="shared" si="315"/>
        <v>¥0</v>
      </c>
      <c r="O306" s="134"/>
      <c r="P306" s="104">
        <f t="shared" si="343"/>
        <v>0</v>
      </c>
      <c r="Q306" s="104">
        <f t="shared" si="344"/>
        <v>0</v>
      </c>
      <c r="R306" s="108">
        <f t="shared" si="316"/>
        <v>0</v>
      </c>
      <c r="S306" s="109">
        <f t="shared" si="317"/>
        <v>0</v>
      </c>
      <c r="T306" s="131"/>
      <c r="U306" s="104">
        <f t="shared" si="322"/>
        <v>0</v>
      </c>
      <c r="V306" s="104">
        <f t="shared" si="323"/>
        <v>0</v>
      </c>
      <c r="W306" s="111">
        <f t="shared" si="318"/>
        <v>0</v>
      </c>
      <c r="X306" s="112">
        <f t="shared" si="319"/>
        <v>0</v>
      </c>
      <c r="Y306" s="113">
        <f t="shared" ref="Y306:Z306" si="356">Y305+1</f>
        <v>45943</v>
      </c>
      <c r="Z306" s="114">
        <f t="shared" si="356"/>
        <v>45943</v>
      </c>
      <c r="AA306" s="39"/>
      <c r="AB306" s="39"/>
      <c r="AC306" s="39"/>
      <c r="AD306" s="39"/>
      <c r="AE306" s="39"/>
      <c r="AF306" s="39"/>
      <c r="AG306" s="39"/>
    </row>
    <row r="307" spans="1:33" ht="16.5" customHeight="1">
      <c r="A307" s="39"/>
      <c r="B307" s="50"/>
      <c r="C307" s="95">
        <v>287</v>
      </c>
      <c r="D307" s="96">
        <v>0</v>
      </c>
      <c r="E307" s="97">
        <f t="shared" si="312"/>
        <v>10</v>
      </c>
      <c r="F307" s="98">
        <f t="shared" si="321"/>
        <v>45944</v>
      </c>
      <c r="G307" s="99" t="str">
        <f t="shared" si="313"/>
        <v>Tue</v>
      </c>
      <c r="H307" s="100"/>
      <c r="I307" s="101"/>
      <c r="J307" s="135"/>
      <c r="K307" s="136"/>
      <c r="L307" s="104">
        <f t="shared" si="341"/>
        <v>0</v>
      </c>
      <c r="M307" s="105">
        <f t="shared" si="314"/>
        <v>0</v>
      </c>
      <c r="N307" s="106" t="str">
        <f t="shared" si="315"/>
        <v>¥0</v>
      </c>
      <c r="O307" s="133"/>
      <c r="P307" s="104">
        <f t="shared" si="343"/>
        <v>0</v>
      </c>
      <c r="Q307" s="104">
        <f t="shared" si="344"/>
        <v>0</v>
      </c>
      <c r="R307" s="108">
        <f t="shared" si="316"/>
        <v>0</v>
      </c>
      <c r="S307" s="109">
        <f t="shared" si="317"/>
        <v>0</v>
      </c>
      <c r="T307" s="125"/>
      <c r="U307" s="104">
        <f t="shared" si="322"/>
        <v>0</v>
      </c>
      <c r="V307" s="104">
        <f t="shared" si="323"/>
        <v>0</v>
      </c>
      <c r="W307" s="111">
        <f t="shared" si="318"/>
        <v>0</v>
      </c>
      <c r="X307" s="112">
        <f t="shared" si="319"/>
        <v>0</v>
      </c>
      <c r="Y307" s="113">
        <f t="shared" ref="Y307:Z307" si="357">Y306+1</f>
        <v>45944</v>
      </c>
      <c r="Z307" s="114">
        <f t="shared" si="357"/>
        <v>45944</v>
      </c>
      <c r="AA307" s="39"/>
      <c r="AB307" s="39"/>
      <c r="AC307" s="39"/>
      <c r="AD307" s="39"/>
      <c r="AE307" s="39"/>
      <c r="AF307" s="39"/>
      <c r="AG307" s="39"/>
    </row>
    <row r="308" spans="1:33" ht="16.5" customHeight="1">
      <c r="A308" s="39"/>
      <c r="B308" s="50"/>
      <c r="C308" s="95">
        <v>288</v>
      </c>
      <c r="D308" s="96">
        <v>1</v>
      </c>
      <c r="E308" s="97">
        <f t="shared" si="312"/>
        <v>10</v>
      </c>
      <c r="F308" s="98">
        <f t="shared" si="321"/>
        <v>45945</v>
      </c>
      <c r="G308" s="99" t="str">
        <f t="shared" si="313"/>
        <v>Wed</v>
      </c>
      <c r="H308" s="100"/>
      <c r="I308" s="101"/>
      <c r="J308" s="135">
        <v>86700</v>
      </c>
      <c r="K308" s="136"/>
      <c r="L308" s="104">
        <f t="shared" si="341"/>
        <v>113402.06185567012</v>
      </c>
      <c r="M308" s="105">
        <f t="shared" si="314"/>
        <v>-26702.061855670123</v>
      </c>
      <c r="N308" s="106">
        <f t="shared" si="315"/>
        <v>0.76453636363636346</v>
      </c>
      <c r="O308" s="133"/>
      <c r="P308" s="104">
        <f t="shared" si="343"/>
        <v>1360824.742268041</v>
      </c>
      <c r="Q308" s="104">
        <f t="shared" si="344"/>
        <v>1019200</v>
      </c>
      <c r="R308" s="108">
        <f t="shared" si="316"/>
        <v>-341624.74226804101</v>
      </c>
      <c r="S308" s="109">
        <f t="shared" si="317"/>
        <v>0.74895757575757593</v>
      </c>
      <c r="T308" s="125"/>
      <c r="U308" s="104">
        <f t="shared" si="322"/>
        <v>23371134.020618465</v>
      </c>
      <c r="V308" s="104">
        <f t="shared" si="323"/>
        <v>20024975</v>
      </c>
      <c r="W308" s="111">
        <f t="shared" si="318"/>
        <v>-3346159.0206184648</v>
      </c>
      <c r="X308" s="112">
        <f t="shared" si="319"/>
        <v>0.85682513233348379</v>
      </c>
      <c r="Y308" s="113">
        <f t="shared" ref="Y308:Z308" si="358">Y307+1</f>
        <v>45945</v>
      </c>
      <c r="Z308" s="114">
        <f t="shared" si="358"/>
        <v>45945</v>
      </c>
      <c r="AA308" s="39"/>
      <c r="AB308" s="39"/>
      <c r="AC308" s="39"/>
      <c r="AD308" s="39"/>
      <c r="AE308" s="39"/>
      <c r="AF308" s="39"/>
      <c r="AG308" s="39"/>
    </row>
    <row r="309" spans="1:33" ht="16.5" customHeight="1">
      <c r="A309" s="39"/>
      <c r="B309" s="50"/>
      <c r="C309" s="95">
        <v>289</v>
      </c>
      <c r="D309" s="96">
        <v>1</v>
      </c>
      <c r="E309" s="97">
        <f t="shared" si="312"/>
        <v>10</v>
      </c>
      <c r="F309" s="98">
        <f t="shared" si="321"/>
        <v>45946</v>
      </c>
      <c r="G309" s="99" t="str">
        <f t="shared" si="313"/>
        <v>Thu</v>
      </c>
      <c r="H309" s="100"/>
      <c r="I309" s="101"/>
      <c r="J309" s="135">
        <v>56150</v>
      </c>
      <c r="K309" s="136"/>
      <c r="L309" s="104">
        <f t="shared" si="341"/>
        <v>113402.06185567012</v>
      </c>
      <c r="M309" s="105">
        <f t="shared" si="314"/>
        <v>-57252.061855670123</v>
      </c>
      <c r="N309" s="106">
        <f t="shared" si="315"/>
        <v>0.49514090909090902</v>
      </c>
      <c r="O309" s="133"/>
      <c r="P309" s="104">
        <f t="shared" si="343"/>
        <v>1474226.8041237111</v>
      </c>
      <c r="Q309" s="104">
        <f t="shared" si="344"/>
        <v>1075350</v>
      </c>
      <c r="R309" s="108">
        <f t="shared" si="316"/>
        <v>-398876.80412371107</v>
      </c>
      <c r="S309" s="109">
        <f t="shared" si="317"/>
        <v>0.72943321678321693</v>
      </c>
      <c r="T309" s="125"/>
      <c r="U309" s="104">
        <f t="shared" si="322"/>
        <v>23484536.082474135</v>
      </c>
      <c r="V309" s="104">
        <f t="shared" si="323"/>
        <v>20081125</v>
      </c>
      <c r="W309" s="111">
        <f t="shared" si="318"/>
        <v>-3403411.0824741349</v>
      </c>
      <c r="X309" s="112">
        <f t="shared" si="319"/>
        <v>0.85507863257243533</v>
      </c>
      <c r="Y309" s="113">
        <f t="shared" ref="Y309:Z309" si="359">Y308+1</f>
        <v>45946</v>
      </c>
      <c r="Z309" s="114">
        <f t="shared" si="359"/>
        <v>45946</v>
      </c>
      <c r="AA309" s="39"/>
      <c r="AB309" s="39"/>
      <c r="AC309" s="39"/>
      <c r="AD309" s="39"/>
      <c r="AE309" s="39"/>
      <c r="AF309" s="39"/>
      <c r="AG309" s="39"/>
    </row>
    <row r="310" spans="1:33" ht="16.5" customHeight="1">
      <c r="A310" s="39"/>
      <c r="B310" s="50"/>
      <c r="C310" s="95">
        <v>290</v>
      </c>
      <c r="D310" s="96">
        <v>1</v>
      </c>
      <c r="E310" s="97">
        <f t="shared" si="312"/>
        <v>10</v>
      </c>
      <c r="F310" s="98">
        <f t="shared" si="321"/>
        <v>45947</v>
      </c>
      <c r="G310" s="99" t="str">
        <f t="shared" si="313"/>
        <v>Fri</v>
      </c>
      <c r="H310" s="100"/>
      <c r="I310" s="101"/>
      <c r="J310" s="135">
        <v>151500</v>
      </c>
      <c r="K310" s="136"/>
      <c r="L310" s="104">
        <f t="shared" si="341"/>
        <v>113402.06185567012</v>
      </c>
      <c r="M310" s="105">
        <f t="shared" si="314"/>
        <v>38097.938144329877</v>
      </c>
      <c r="N310" s="106">
        <f t="shared" si="315"/>
        <v>1.3359545454545452</v>
      </c>
      <c r="O310" s="133"/>
      <c r="P310" s="104">
        <f t="shared" si="343"/>
        <v>1587628.8659793811</v>
      </c>
      <c r="Q310" s="104">
        <f t="shared" si="344"/>
        <v>1226850</v>
      </c>
      <c r="R310" s="108">
        <f t="shared" si="316"/>
        <v>-360778.86597938114</v>
      </c>
      <c r="S310" s="109">
        <f t="shared" si="317"/>
        <v>0.77275616883116893</v>
      </c>
      <c r="T310" s="125"/>
      <c r="U310" s="104">
        <f t="shared" si="322"/>
        <v>23597938.144329805</v>
      </c>
      <c r="V310" s="104">
        <f t="shared" si="323"/>
        <v>20232625</v>
      </c>
      <c r="W310" s="111">
        <f t="shared" si="318"/>
        <v>-3365313.1443298049</v>
      </c>
      <c r="X310" s="112">
        <f t="shared" si="319"/>
        <v>0.85738952599388718</v>
      </c>
      <c r="Y310" s="113">
        <f t="shared" ref="Y310:Z310" si="360">Y309+1</f>
        <v>45947</v>
      </c>
      <c r="Z310" s="114">
        <f t="shared" si="360"/>
        <v>45947</v>
      </c>
      <c r="AA310" s="39"/>
      <c r="AB310" s="39"/>
      <c r="AC310" s="39"/>
      <c r="AD310" s="39"/>
      <c r="AE310" s="39"/>
      <c r="AF310" s="39"/>
      <c r="AG310" s="39"/>
    </row>
    <row r="311" spans="1:33" ht="16.5" customHeight="1">
      <c r="A311" s="39"/>
      <c r="B311" s="50"/>
      <c r="C311" s="95">
        <v>291</v>
      </c>
      <c r="D311" s="96">
        <v>1</v>
      </c>
      <c r="E311" s="97">
        <f t="shared" si="312"/>
        <v>10</v>
      </c>
      <c r="F311" s="98">
        <f t="shared" si="321"/>
        <v>45948</v>
      </c>
      <c r="G311" s="99" t="str">
        <f t="shared" si="313"/>
        <v>Sat</v>
      </c>
      <c r="H311" s="100"/>
      <c r="I311" s="101"/>
      <c r="J311" s="135">
        <v>40000</v>
      </c>
      <c r="K311" s="136"/>
      <c r="L311" s="104">
        <f t="shared" si="341"/>
        <v>113402.06185567012</v>
      </c>
      <c r="M311" s="105">
        <f t="shared" si="314"/>
        <v>-73402.061855670123</v>
      </c>
      <c r="N311" s="106">
        <f t="shared" si="315"/>
        <v>0.35272727272727267</v>
      </c>
      <c r="O311" s="133"/>
      <c r="P311" s="104">
        <f t="shared" si="343"/>
        <v>1701030.9278350512</v>
      </c>
      <c r="Q311" s="104">
        <f t="shared" si="344"/>
        <v>1266850</v>
      </c>
      <c r="R311" s="108">
        <f t="shared" si="316"/>
        <v>-434180.9278350512</v>
      </c>
      <c r="S311" s="109">
        <f t="shared" si="317"/>
        <v>0.7447542424242426</v>
      </c>
      <c r="T311" s="125"/>
      <c r="U311" s="104">
        <f t="shared" si="322"/>
        <v>23711340.206185475</v>
      </c>
      <c r="V311" s="104">
        <f t="shared" si="323"/>
        <v>20272625</v>
      </c>
      <c r="W311" s="111">
        <f t="shared" si="318"/>
        <v>-3438715.206185475</v>
      </c>
      <c r="X311" s="112">
        <f t="shared" si="319"/>
        <v>0.85497592391304678</v>
      </c>
      <c r="Y311" s="113">
        <f t="shared" ref="Y311:Z311" si="361">Y310+1</f>
        <v>45948</v>
      </c>
      <c r="Z311" s="114">
        <f t="shared" si="361"/>
        <v>45948</v>
      </c>
      <c r="AA311" s="39"/>
      <c r="AB311" s="39"/>
      <c r="AC311" s="39"/>
      <c r="AD311" s="39"/>
      <c r="AE311" s="39"/>
      <c r="AF311" s="39"/>
      <c r="AG311" s="39"/>
    </row>
    <row r="312" spans="1:33" ht="16.5" customHeight="1">
      <c r="A312" s="39"/>
      <c r="B312" s="50"/>
      <c r="C312" s="95">
        <v>292</v>
      </c>
      <c r="D312" s="96">
        <v>1</v>
      </c>
      <c r="E312" s="97">
        <f t="shared" si="312"/>
        <v>10</v>
      </c>
      <c r="F312" s="98">
        <f t="shared" si="321"/>
        <v>45949</v>
      </c>
      <c r="G312" s="99" t="str">
        <f t="shared" si="313"/>
        <v>Sun</v>
      </c>
      <c r="H312" s="100"/>
      <c r="I312" s="101"/>
      <c r="J312" s="135">
        <v>66500</v>
      </c>
      <c r="K312" s="136"/>
      <c r="L312" s="104">
        <f t="shared" si="341"/>
        <v>113402.06185567012</v>
      </c>
      <c r="M312" s="105">
        <f t="shared" si="314"/>
        <v>-46902.061855670123</v>
      </c>
      <c r="N312" s="106">
        <f t="shared" si="315"/>
        <v>0.58640909090909077</v>
      </c>
      <c r="O312" s="134"/>
      <c r="P312" s="104">
        <f t="shared" si="343"/>
        <v>1814432.9896907213</v>
      </c>
      <c r="Q312" s="104">
        <f t="shared" si="344"/>
        <v>1333350</v>
      </c>
      <c r="R312" s="108">
        <f t="shared" si="316"/>
        <v>-481082.98969072127</v>
      </c>
      <c r="S312" s="109">
        <f t="shared" si="317"/>
        <v>0.73485767045454564</v>
      </c>
      <c r="T312" s="131"/>
      <c r="U312" s="104">
        <f t="shared" si="322"/>
        <v>23824742.268041145</v>
      </c>
      <c r="V312" s="104">
        <f t="shared" si="323"/>
        <v>20339125</v>
      </c>
      <c r="W312" s="111">
        <f t="shared" si="318"/>
        <v>-3485617.2680411451</v>
      </c>
      <c r="X312" s="112">
        <f t="shared" si="319"/>
        <v>0.85369758762440828</v>
      </c>
      <c r="Y312" s="113">
        <f t="shared" ref="Y312:Z312" si="362">Y311+1</f>
        <v>45949</v>
      </c>
      <c r="Z312" s="114">
        <f t="shared" si="362"/>
        <v>45949</v>
      </c>
      <c r="AA312" s="39"/>
      <c r="AB312" s="39"/>
      <c r="AC312" s="39"/>
      <c r="AD312" s="39"/>
      <c r="AE312" s="39"/>
      <c r="AF312" s="39"/>
      <c r="AG312" s="39"/>
    </row>
    <row r="313" spans="1:33" ht="16.5" customHeight="1">
      <c r="A313" s="39"/>
      <c r="B313" s="50"/>
      <c r="C313" s="95">
        <v>293</v>
      </c>
      <c r="D313" s="96">
        <v>0</v>
      </c>
      <c r="E313" s="97">
        <f t="shared" si="312"/>
        <v>10</v>
      </c>
      <c r="F313" s="98">
        <f t="shared" si="321"/>
        <v>45950</v>
      </c>
      <c r="G313" s="99" t="str">
        <f t="shared" si="313"/>
        <v>Mon</v>
      </c>
      <c r="H313" s="100"/>
      <c r="I313" s="101"/>
      <c r="J313" s="135"/>
      <c r="K313" s="136"/>
      <c r="L313" s="104">
        <f t="shared" si="341"/>
        <v>0</v>
      </c>
      <c r="M313" s="105">
        <f t="shared" si="314"/>
        <v>0</v>
      </c>
      <c r="N313" s="106" t="str">
        <f t="shared" si="315"/>
        <v>¥0</v>
      </c>
      <c r="O313" s="133"/>
      <c r="P313" s="104">
        <f t="shared" si="343"/>
        <v>0</v>
      </c>
      <c r="Q313" s="104">
        <f t="shared" si="344"/>
        <v>0</v>
      </c>
      <c r="R313" s="108">
        <f t="shared" si="316"/>
        <v>0</v>
      </c>
      <c r="S313" s="109">
        <f t="shared" si="317"/>
        <v>0</v>
      </c>
      <c r="T313" s="125"/>
      <c r="U313" s="104">
        <f t="shared" si="322"/>
        <v>0</v>
      </c>
      <c r="V313" s="104">
        <f t="shared" si="323"/>
        <v>0</v>
      </c>
      <c r="W313" s="111">
        <f t="shared" si="318"/>
        <v>0</v>
      </c>
      <c r="X313" s="112">
        <f t="shared" si="319"/>
        <v>0</v>
      </c>
      <c r="Y313" s="113">
        <f t="shared" ref="Y313:Z313" si="363">Y312+1</f>
        <v>45950</v>
      </c>
      <c r="Z313" s="114">
        <f t="shared" si="363"/>
        <v>45950</v>
      </c>
      <c r="AA313" s="39"/>
      <c r="AB313" s="39"/>
      <c r="AC313" s="39"/>
      <c r="AD313" s="39"/>
      <c r="AE313" s="39"/>
      <c r="AF313" s="39"/>
      <c r="AG313" s="39"/>
    </row>
    <row r="314" spans="1:33" ht="16.5" customHeight="1">
      <c r="A314" s="39"/>
      <c r="B314" s="50"/>
      <c r="C314" s="95">
        <v>294</v>
      </c>
      <c r="D314" s="96">
        <v>1</v>
      </c>
      <c r="E314" s="97">
        <f t="shared" si="312"/>
        <v>10</v>
      </c>
      <c r="F314" s="98">
        <f t="shared" si="321"/>
        <v>45951</v>
      </c>
      <c r="G314" s="99" t="str">
        <f t="shared" si="313"/>
        <v>Tue</v>
      </c>
      <c r="H314" s="100"/>
      <c r="I314" s="101"/>
      <c r="J314" s="135">
        <v>74550</v>
      </c>
      <c r="K314" s="136"/>
      <c r="L314" s="104">
        <f t="shared" si="341"/>
        <v>113402.06185567012</v>
      </c>
      <c r="M314" s="105">
        <f t="shared" si="314"/>
        <v>-38852.061855670123</v>
      </c>
      <c r="N314" s="106">
        <f t="shared" si="315"/>
        <v>0.65739545454545445</v>
      </c>
      <c r="O314" s="133"/>
      <c r="P314" s="104">
        <f t="shared" si="343"/>
        <v>1927835.0515463913</v>
      </c>
      <c r="Q314" s="104">
        <f t="shared" si="344"/>
        <v>1407900</v>
      </c>
      <c r="R314" s="108">
        <f t="shared" si="316"/>
        <v>-519935.05154639133</v>
      </c>
      <c r="S314" s="109">
        <f t="shared" si="317"/>
        <v>0.73030106951871676</v>
      </c>
      <c r="T314" s="125"/>
      <c r="U314" s="104">
        <f t="shared" si="322"/>
        <v>23938144.329896815</v>
      </c>
      <c r="V314" s="104">
        <f t="shared" si="323"/>
        <v>20413675</v>
      </c>
      <c r="W314" s="111">
        <f t="shared" si="318"/>
        <v>-3524469.3298968151</v>
      </c>
      <c r="X314" s="112">
        <f t="shared" si="319"/>
        <v>0.85276764642549852</v>
      </c>
      <c r="Y314" s="113">
        <f t="shared" ref="Y314:Z314" si="364">Y313+1</f>
        <v>45951</v>
      </c>
      <c r="Z314" s="114">
        <f t="shared" si="364"/>
        <v>45951</v>
      </c>
      <c r="AA314" s="39"/>
      <c r="AB314" s="39"/>
      <c r="AC314" s="39"/>
      <c r="AD314" s="39"/>
      <c r="AE314" s="39"/>
      <c r="AF314" s="39"/>
      <c r="AG314" s="39"/>
    </row>
    <row r="315" spans="1:33" ht="16.5" customHeight="1">
      <c r="A315" s="39"/>
      <c r="B315" s="50"/>
      <c r="C315" s="95">
        <v>295</v>
      </c>
      <c r="D315" s="96">
        <v>1</v>
      </c>
      <c r="E315" s="97">
        <f t="shared" si="312"/>
        <v>10</v>
      </c>
      <c r="F315" s="98">
        <f t="shared" si="321"/>
        <v>45952</v>
      </c>
      <c r="G315" s="99" t="str">
        <f t="shared" si="313"/>
        <v>Wed</v>
      </c>
      <c r="H315" s="100"/>
      <c r="I315" s="101"/>
      <c r="J315" s="135">
        <v>104650</v>
      </c>
      <c r="K315" s="136"/>
      <c r="L315" s="104">
        <f t="shared" si="341"/>
        <v>113402.06185567012</v>
      </c>
      <c r="M315" s="105">
        <f t="shared" si="314"/>
        <v>-8752.0618556701229</v>
      </c>
      <c r="N315" s="106">
        <f t="shared" si="315"/>
        <v>0.92282272727272707</v>
      </c>
      <c r="O315" s="133"/>
      <c r="P315" s="104">
        <f t="shared" si="343"/>
        <v>2041237.1134020614</v>
      </c>
      <c r="Q315" s="104">
        <f t="shared" si="344"/>
        <v>1512550</v>
      </c>
      <c r="R315" s="108">
        <f t="shared" si="316"/>
        <v>-528687.1134020614</v>
      </c>
      <c r="S315" s="109">
        <f t="shared" si="317"/>
        <v>0.74099671717171733</v>
      </c>
      <c r="T315" s="125"/>
      <c r="U315" s="104">
        <f t="shared" si="322"/>
        <v>24051546.391752485</v>
      </c>
      <c r="V315" s="104">
        <f t="shared" si="323"/>
        <v>20518325</v>
      </c>
      <c r="W315" s="111">
        <f t="shared" si="318"/>
        <v>-3533221.3917524852</v>
      </c>
      <c r="X315" s="112">
        <f t="shared" si="319"/>
        <v>0.85309795327904314</v>
      </c>
      <c r="Y315" s="113">
        <f t="shared" ref="Y315:Z315" si="365">Y314+1</f>
        <v>45952</v>
      </c>
      <c r="Z315" s="114">
        <f t="shared" si="365"/>
        <v>45952</v>
      </c>
      <c r="AA315" s="39"/>
      <c r="AB315" s="39"/>
      <c r="AC315" s="39"/>
      <c r="AD315" s="39"/>
      <c r="AE315" s="39"/>
      <c r="AF315" s="39"/>
      <c r="AG315" s="39"/>
    </row>
    <row r="316" spans="1:33" ht="16.5" customHeight="1">
      <c r="A316" s="39"/>
      <c r="B316" s="50"/>
      <c r="C316" s="95">
        <v>296</v>
      </c>
      <c r="D316" s="96">
        <v>1</v>
      </c>
      <c r="E316" s="97">
        <f t="shared" si="312"/>
        <v>10</v>
      </c>
      <c r="F316" s="98">
        <f t="shared" si="321"/>
        <v>45953</v>
      </c>
      <c r="G316" s="99" t="str">
        <f t="shared" si="313"/>
        <v>Thu</v>
      </c>
      <c r="H316" s="100"/>
      <c r="I316" s="101"/>
      <c r="J316" s="135">
        <v>98200</v>
      </c>
      <c r="K316" s="136"/>
      <c r="L316" s="104">
        <f t="shared" si="341"/>
        <v>113402.06185567012</v>
      </c>
      <c r="M316" s="105">
        <f t="shared" si="314"/>
        <v>-15202.061855670123</v>
      </c>
      <c r="N316" s="106">
        <f t="shared" si="315"/>
        <v>0.86594545454545435</v>
      </c>
      <c r="O316" s="133"/>
      <c r="P316" s="104">
        <f t="shared" si="343"/>
        <v>2154639.1752577317</v>
      </c>
      <c r="Q316" s="104">
        <f t="shared" si="344"/>
        <v>1610750</v>
      </c>
      <c r="R316" s="108">
        <f t="shared" si="316"/>
        <v>-543889.17525773169</v>
      </c>
      <c r="S316" s="109">
        <f t="shared" si="317"/>
        <v>0.74757296650717708</v>
      </c>
      <c r="T316" s="125"/>
      <c r="U316" s="104">
        <f t="shared" si="322"/>
        <v>24164948.453608155</v>
      </c>
      <c r="V316" s="104">
        <f t="shared" si="323"/>
        <v>20616525</v>
      </c>
      <c r="W316" s="111">
        <f t="shared" si="318"/>
        <v>-3548423.4536081553</v>
      </c>
      <c r="X316" s="112">
        <f t="shared" si="319"/>
        <v>0.85315824445392818</v>
      </c>
      <c r="Y316" s="113">
        <f t="shared" ref="Y316:Z316" si="366">Y315+1</f>
        <v>45953</v>
      </c>
      <c r="Z316" s="114">
        <f t="shared" si="366"/>
        <v>45953</v>
      </c>
      <c r="AA316" s="39"/>
      <c r="AB316" s="39"/>
      <c r="AC316" s="39"/>
      <c r="AD316" s="39"/>
      <c r="AE316" s="39"/>
      <c r="AF316" s="39"/>
      <c r="AG316" s="39"/>
    </row>
    <row r="317" spans="1:33" ht="16.5" customHeight="1">
      <c r="A317" s="39"/>
      <c r="B317" s="50"/>
      <c r="C317" s="95">
        <v>297</v>
      </c>
      <c r="D317" s="96">
        <v>1</v>
      </c>
      <c r="E317" s="97">
        <f t="shared" si="312"/>
        <v>10</v>
      </c>
      <c r="F317" s="98">
        <f t="shared" si="321"/>
        <v>45954</v>
      </c>
      <c r="G317" s="99" t="str">
        <f t="shared" si="313"/>
        <v>Fri</v>
      </c>
      <c r="H317" s="100"/>
      <c r="I317" s="101"/>
      <c r="J317" s="135">
        <v>151750</v>
      </c>
      <c r="K317" s="136"/>
      <c r="L317" s="104">
        <f t="shared" si="341"/>
        <v>113402.06185567012</v>
      </c>
      <c r="M317" s="105">
        <f t="shared" si="314"/>
        <v>38347.938144329877</v>
      </c>
      <c r="N317" s="106">
        <f t="shared" si="315"/>
        <v>1.3381590909090906</v>
      </c>
      <c r="O317" s="133"/>
      <c r="P317" s="104">
        <f t="shared" si="343"/>
        <v>2268041.2371134018</v>
      </c>
      <c r="Q317" s="104">
        <f t="shared" si="344"/>
        <v>1762500</v>
      </c>
      <c r="R317" s="108">
        <f t="shared" si="316"/>
        <v>-505541.23711340176</v>
      </c>
      <c r="S317" s="109">
        <f t="shared" si="317"/>
        <v>0.77710227272727284</v>
      </c>
      <c r="T317" s="125"/>
      <c r="U317" s="104">
        <f t="shared" si="322"/>
        <v>24278350.515463825</v>
      </c>
      <c r="V317" s="104">
        <f t="shared" si="323"/>
        <v>20768275</v>
      </c>
      <c r="W317" s="111">
        <f t="shared" si="318"/>
        <v>-3510075.5154638253</v>
      </c>
      <c r="X317" s="112">
        <f t="shared" si="319"/>
        <v>0.85542364118896286</v>
      </c>
      <c r="Y317" s="113">
        <f t="shared" ref="Y317:Z317" si="367">Y316+1</f>
        <v>45954</v>
      </c>
      <c r="Z317" s="114">
        <f t="shared" si="367"/>
        <v>45954</v>
      </c>
      <c r="AA317" s="39"/>
      <c r="AB317" s="39"/>
      <c r="AC317" s="39"/>
      <c r="AD317" s="39"/>
      <c r="AE317" s="39"/>
      <c r="AF317" s="39"/>
      <c r="AG317" s="39"/>
    </row>
    <row r="318" spans="1:33" ht="16.5" customHeight="1">
      <c r="A318" s="39"/>
      <c r="B318" s="50"/>
      <c r="C318" s="95">
        <v>298</v>
      </c>
      <c r="D318" s="96">
        <v>1</v>
      </c>
      <c r="E318" s="97">
        <f t="shared" si="312"/>
        <v>10</v>
      </c>
      <c r="F318" s="98">
        <f t="shared" si="321"/>
        <v>45955</v>
      </c>
      <c r="G318" s="99" t="str">
        <f t="shared" si="313"/>
        <v>Sat</v>
      </c>
      <c r="H318" s="100"/>
      <c r="I318" s="101"/>
      <c r="J318" s="135">
        <v>65900</v>
      </c>
      <c r="K318" s="136"/>
      <c r="L318" s="104">
        <f t="shared" si="341"/>
        <v>113402.06185567012</v>
      </c>
      <c r="M318" s="105">
        <f t="shared" si="314"/>
        <v>-47502.061855670123</v>
      </c>
      <c r="N318" s="106">
        <f t="shared" si="315"/>
        <v>0.58111818181818176</v>
      </c>
      <c r="O318" s="133"/>
      <c r="P318" s="104">
        <f t="shared" si="343"/>
        <v>2381443.2989690718</v>
      </c>
      <c r="Q318" s="104">
        <f t="shared" si="344"/>
        <v>1828400</v>
      </c>
      <c r="R318" s="108">
        <f t="shared" si="316"/>
        <v>-553043.29896907182</v>
      </c>
      <c r="S318" s="109">
        <f t="shared" si="317"/>
        <v>0.7677696969696971</v>
      </c>
      <c r="T318" s="125"/>
      <c r="U318" s="104">
        <f t="shared" si="322"/>
        <v>24391752.577319495</v>
      </c>
      <c r="V318" s="104">
        <f t="shared" si="323"/>
        <v>20834175</v>
      </c>
      <c r="W318" s="111">
        <f t="shared" si="318"/>
        <v>-3557577.5773194954</v>
      </c>
      <c r="X318" s="112">
        <f t="shared" si="319"/>
        <v>0.85414834108199811</v>
      </c>
      <c r="Y318" s="113">
        <f t="shared" ref="Y318:Z318" si="368">Y317+1</f>
        <v>45955</v>
      </c>
      <c r="Z318" s="114">
        <f t="shared" si="368"/>
        <v>45955</v>
      </c>
      <c r="AA318" s="39"/>
      <c r="AB318" s="39"/>
      <c r="AC318" s="39"/>
      <c r="AD318" s="39"/>
      <c r="AE318" s="39"/>
      <c r="AF318" s="39"/>
      <c r="AG318" s="39"/>
    </row>
    <row r="319" spans="1:33" ht="16.5" customHeight="1">
      <c r="A319" s="39"/>
      <c r="B319" s="50"/>
      <c r="C319" s="95">
        <v>299</v>
      </c>
      <c r="D319" s="96">
        <v>1</v>
      </c>
      <c r="E319" s="97">
        <f t="shared" si="312"/>
        <v>10</v>
      </c>
      <c r="F319" s="98">
        <f t="shared" si="321"/>
        <v>45956</v>
      </c>
      <c r="G319" s="99" t="str">
        <f t="shared" si="313"/>
        <v>Sun</v>
      </c>
      <c r="H319" s="100"/>
      <c r="I319" s="101"/>
      <c r="J319" s="135">
        <v>32750</v>
      </c>
      <c r="K319" s="136"/>
      <c r="L319" s="104">
        <f t="shared" si="341"/>
        <v>113402.06185567012</v>
      </c>
      <c r="M319" s="105">
        <f t="shared" si="314"/>
        <v>-80652.061855670123</v>
      </c>
      <c r="N319" s="106">
        <f t="shared" si="315"/>
        <v>0.28879545454545452</v>
      </c>
      <c r="O319" s="134"/>
      <c r="P319" s="104">
        <f t="shared" si="343"/>
        <v>2494845.3608247419</v>
      </c>
      <c r="Q319" s="104">
        <f t="shared" si="344"/>
        <v>1861150</v>
      </c>
      <c r="R319" s="108">
        <f t="shared" si="316"/>
        <v>-633695.36082474189</v>
      </c>
      <c r="S319" s="109">
        <f t="shared" si="317"/>
        <v>0.74599814049586788</v>
      </c>
      <c r="T319" s="131"/>
      <c r="U319" s="104">
        <f t="shared" si="322"/>
        <v>24505154.639175165</v>
      </c>
      <c r="V319" s="104">
        <f t="shared" si="323"/>
        <v>20866925</v>
      </c>
      <c r="W319" s="111">
        <f t="shared" si="318"/>
        <v>-3638229.6391751654</v>
      </c>
      <c r="X319" s="112">
        <f t="shared" si="319"/>
        <v>0.85153206773243906</v>
      </c>
      <c r="Y319" s="113">
        <f t="shared" ref="Y319:Z319" si="369">Y318+1</f>
        <v>45956</v>
      </c>
      <c r="Z319" s="114">
        <f t="shared" si="369"/>
        <v>45956</v>
      </c>
      <c r="AA319" s="39"/>
      <c r="AB319" s="39"/>
      <c r="AC319" s="39"/>
      <c r="AD319" s="39"/>
      <c r="AE319" s="39"/>
      <c r="AF319" s="39"/>
      <c r="AG319" s="39"/>
    </row>
    <row r="320" spans="1:33" ht="16.5" customHeight="1">
      <c r="A320" s="39"/>
      <c r="B320" s="50"/>
      <c r="C320" s="95">
        <v>300</v>
      </c>
      <c r="D320" s="96">
        <v>0</v>
      </c>
      <c r="E320" s="97">
        <f t="shared" si="312"/>
        <v>10</v>
      </c>
      <c r="F320" s="98">
        <f t="shared" si="321"/>
        <v>45957</v>
      </c>
      <c r="G320" s="99" t="str">
        <f t="shared" si="313"/>
        <v>Mon</v>
      </c>
      <c r="H320" s="100"/>
      <c r="I320" s="101"/>
      <c r="J320" s="135"/>
      <c r="K320" s="136"/>
      <c r="L320" s="104">
        <f t="shared" si="341"/>
        <v>0</v>
      </c>
      <c r="M320" s="105">
        <f t="shared" si="314"/>
        <v>0</v>
      </c>
      <c r="N320" s="106" t="str">
        <f t="shared" si="315"/>
        <v>¥0</v>
      </c>
      <c r="O320" s="133"/>
      <c r="P320" s="104">
        <f t="shared" si="343"/>
        <v>0</v>
      </c>
      <c r="Q320" s="104">
        <f t="shared" si="344"/>
        <v>0</v>
      </c>
      <c r="R320" s="108">
        <f t="shared" si="316"/>
        <v>0</v>
      </c>
      <c r="S320" s="109">
        <f t="shared" si="317"/>
        <v>0</v>
      </c>
      <c r="T320" s="125"/>
      <c r="U320" s="104">
        <f t="shared" si="322"/>
        <v>0</v>
      </c>
      <c r="V320" s="104">
        <f t="shared" si="323"/>
        <v>0</v>
      </c>
      <c r="W320" s="111">
        <f t="shared" si="318"/>
        <v>0</v>
      </c>
      <c r="X320" s="112">
        <f t="shared" si="319"/>
        <v>0</v>
      </c>
      <c r="Y320" s="113">
        <f t="shared" ref="Y320:Z320" si="370">Y319+1</f>
        <v>45957</v>
      </c>
      <c r="Z320" s="114">
        <f t="shared" si="370"/>
        <v>45957</v>
      </c>
      <c r="AA320" s="39"/>
      <c r="AB320" s="39"/>
      <c r="AC320" s="39"/>
      <c r="AD320" s="39"/>
      <c r="AE320" s="39"/>
      <c r="AF320" s="39"/>
      <c r="AG320" s="39"/>
    </row>
    <row r="321" spans="1:33" ht="16.5" customHeight="1">
      <c r="A321" s="39"/>
      <c r="B321" s="50"/>
      <c r="C321" s="95">
        <v>301</v>
      </c>
      <c r="D321" s="96">
        <v>1</v>
      </c>
      <c r="E321" s="97">
        <f t="shared" si="312"/>
        <v>10</v>
      </c>
      <c r="F321" s="98">
        <f t="shared" si="321"/>
        <v>45958</v>
      </c>
      <c r="G321" s="99" t="str">
        <f t="shared" si="313"/>
        <v>Tue</v>
      </c>
      <c r="H321" s="100"/>
      <c r="I321" s="101"/>
      <c r="J321" s="135">
        <v>56350</v>
      </c>
      <c r="K321" s="136"/>
      <c r="L321" s="104">
        <f t="shared" si="341"/>
        <v>113402.06185567012</v>
      </c>
      <c r="M321" s="105">
        <f t="shared" si="314"/>
        <v>-57052.061855670123</v>
      </c>
      <c r="N321" s="106">
        <f t="shared" si="315"/>
        <v>0.49690454545454538</v>
      </c>
      <c r="O321" s="133"/>
      <c r="P321" s="104">
        <f t="shared" si="343"/>
        <v>2608247.422680412</v>
      </c>
      <c r="Q321" s="104">
        <f t="shared" si="344"/>
        <v>1917500</v>
      </c>
      <c r="R321" s="108">
        <f t="shared" si="316"/>
        <v>-690747.42268041195</v>
      </c>
      <c r="S321" s="109">
        <f t="shared" si="317"/>
        <v>0.7351679841897234</v>
      </c>
      <c r="T321" s="125"/>
      <c r="U321" s="104">
        <f t="shared" si="322"/>
        <v>24618556.701030836</v>
      </c>
      <c r="V321" s="104">
        <f t="shared" si="323"/>
        <v>20923275</v>
      </c>
      <c r="W321" s="111">
        <f t="shared" si="318"/>
        <v>-3695281.7010308355</v>
      </c>
      <c r="X321" s="112">
        <f t="shared" si="319"/>
        <v>0.84989852386934994</v>
      </c>
      <c r="Y321" s="113">
        <f t="shared" ref="Y321:Z321" si="371">Y320+1</f>
        <v>45958</v>
      </c>
      <c r="Z321" s="114">
        <f t="shared" si="371"/>
        <v>45958</v>
      </c>
      <c r="AA321" s="39"/>
      <c r="AB321" s="39"/>
      <c r="AC321" s="39"/>
      <c r="AD321" s="39"/>
      <c r="AE321" s="39"/>
      <c r="AF321" s="39"/>
      <c r="AG321" s="39"/>
    </row>
    <row r="322" spans="1:33" ht="16.5" customHeight="1">
      <c r="A322" s="39"/>
      <c r="B322" s="50"/>
      <c r="C322" s="95">
        <v>302</v>
      </c>
      <c r="D322" s="96">
        <v>1</v>
      </c>
      <c r="E322" s="97">
        <f t="shared" si="312"/>
        <v>10</v>
      </c>
      <c r="F322" s="98">
        <f t="shared" si="321"/>
        <v>45959</v>
      </c>
      <c r="G322" s="99" t="str">
        <f t="shared" si="313"/>
        <v>Wed</v>
      </c>
      <c r="H322" s="100"/>
      <c r="I322" s="101"/>
      <c r="J322" s="135">
        <v>56500</v>
      </c>
      <c r="K322" s="136"/>
      <c r="L322" s="104">
        <f t="shared" si="341"/>
        <v>113402.06185567012</v>
      </c>
      <c r="M322" s="105">
        <f t="shared" si="314"/>
        <v>-56902.061855670123</v>
      </c>
      <c r="N322" s="106">
        <f t="shared" si="315"/>
        <v>0.49822727272727263</v>
      </c>
      <c r="O322" s="133"/>
      <c r="P322" s="104">
        <f t="shared" si="343"/>
        <v>2721649.484536082</v>
      </c>
      <c r="Q322" s="104">
        <f t="shared" si="344"/>
        <v>1974000</v>
      </c>
      <c r="R322" s="108">
        <f t="shared" si="316"/>
        <v>-747649.48453608202</v>
      </c>
      <c r="S322" s="109">
        <f t="shared" si="317"/>
        <v>0.72529545454545463</v>
      </c>
      <c r="T322" s="125"/>
      <c r="U322" s="104">
        <f t="shared" si="322"/>
        <v>24731958.762886506</v>
      </c>
      <c r="V322" s="104">
        <f t="shared" si="323"/>
        <v>20979775</v>
      </c>
      <c r="W322" s="111">
        <f t="shared" si="318"/>
        <v>-3752183.7628865056</v>
      </c>
      <c r="X322" s="112">
        <f t="shared" si="319"/>
        <v>0.8482860254272645</v>
      </c>
      <c r="Y322" s="113">
        <f t="shared" ref="Y322:Z322" si="372">Y321+1</f>
        <v>45959</v>
      </c>
      <c r="Z322" s="114">
        <f t="shared" si="372"/>
        <v>45959</v>
      </c>
      <c r="AA322" s="39"/>
      <c r="AB322" s="39"/>
      <c r="AC322" s="39"/>
      <c r="AD322" s="39"/>
      <c r="AE322" s="39"/>
      <c r="AF322" s="39"/>
      <c r="AG322" s="39"/>
    </row>
    <row r="323" spans="1:33" ht="16.5" customHeight="1">
      <c r="A323" s="39"/>
      <c r="B323" s="50"/>
      <c r="C323" s="95">
        <v>303</v>
      </c>
      <c r="D323" s="96">
        <v>1</v>
      </c>
      <c r="E323" s="97">
        <f t="shared" si="312"/>
        <v>10</v>
      </c>
      <c r="F323" s="98">
        <f t="shared" si="321"/>
        <v>45960</v>
      </c>
      <c r="G323" s="99" t="str">
        <f t="shared" si="313"/>
        <v>Thu</v>
      </c>
      <c r="H323" s="100"/>
      <c r="I323" s="101"/>
      <c r="J323" s="135">
        <v>93750</v>
      </c>
      <c r="K323" s="136"/>
      <c r="L323" s="104">
        <f t="shared" si="341"/>
        <v>113402.06185567012</v>
      </c>
      <c r="M323" s="105">
        <f t="shared" si="314"/>
        <v>-19652.061855670123</v>
      </c>
      <c r="N323" s="106">
        <f t="shared" si="315"/>
        <v>0.8267045454545453</v>
      </c>
      <c r="O323" s="133"/>
      <c r="P323" s="104">
        <f t="shared" si="343"/>
        <v>2835051.5463917521</v>
      </c>
      <c r="Q323" s="104">
        <f t="shared" si="344"/>
        <v>2067750</v>
      </c>
      <c r="R323" s="108">
        <f t="shared" si="316"/>
        <v>-767301.54639175208</v>
      </c>
      <c r="S323" s="109">
        <f t="shared" si="317"/>
        <v>0.72935181818181827</v>
      </c>
      <c r="T323" s="125"/>
      <c r="U323" s="104">
        <f t="shared" si="322"/>
        <v>24845360.824742176</v>
      </c>
      <c r="V323" s="104">
        <f t="shared" si="323"/>
        <v>21073525</v>
      </c>
      <c r="W323" s="111">
        <f t="shared" si="318"/>
        <v>-3771835.8247421756</v>
      </c>
      <c r="X323" s="112">
        <f t="shared" si="319"/>
        <v>0.84818752074689108</v>
      </c>
      <c r="Y323" s="113">
        <f t="shared" ref="Y323:Z323" si="373">Y322+1</f>
        <v>45960</v>
      </c>
      <c r="Z323" s="114">
        <f t="shared" si="373"/>
        <v>45960</v>
      </c>
      <c r="AA323" s="39"/>
      <c r="AB323" s="39"/>
      <c r="AC323" s="39"/>
      <c r="AD323" s="39"/>
      <c r="AE323" s="39"/>
      <c r="AF323" s="39"/>
      <c r="AG323" s="39"/>
    </row>
    <row r="324" spans="1:33" ht="16.5" customHeight="1">
      <c r="A324" s="39"/>
      <c r="B324" s="50"/>
      <c r="C324" s="160">
        <v>304</v>
      </c>
      <c r="D324" s="138">
        <v>1</v>
      </c>
      <c r="E324" s="139">
        <f t="shared" si="312"/>
        <v>10</v>
      </c>
      <c r="F324" s="163">
        <f t="shared" si="321"/>
        <v>45961</v>
      </c>
      <c r="G324" s="141" t="str">
        <f t="shared" si="313"/>
        <v>Fri</v>
      </c>
      <c r="H324" s="159"/>
      <c r="I324" s="143"/>
      <c r="J324" s="164">
        <v>56000</v>
      </c>
      <c r="K324" s="145"/>
      <c r="L324" s="165">
        <f t="shared" si="341"/>
        <v>113402.06185567012</v>
      </c>
      <c r="M324" s="147">
        <f t="shared" si="314"/>
        <v>-57402.061855670123</v>
      </c>
      <c r="N324" s="148">
        <f t="shared" si="315"/>
        <v>0.49381818181818171</v>
      </c>
      <c r="O324" s="149"/>
      <c r="P324" s="150">
        <f t="shared" si="343"/>
        <v>2948453.6082474221</v>
      </c>
      <c r="Q324" s="165">
        <f t="shared" si="344"/>
        <v>2123750</v>
      </c>
      <c r="R324" s="167">
        <f t="shared" si="316"/>
        <v>-824703.60824742215</v>
      </c>
      <c r="S324" s="151">
        <f t="shared" si="317"/>
        <v>0.72029283216783235</v>
      </c>
      <c r="T324" s="152"/>
      <c r="U324" s="153">
        <f t="shared" si="322"/>
        <v>24958762.886597846</v>
      </c>
      <c r="V324" s="153">
        <f t="shared" si="323"/>
        <v>21129525</v>
      </c>
      <c r="W324" s="153">
        <f t="shared" si="318"/>
        <v>-3829237.8865978457</v>
      </c>
      <c r="X324" s="154">
        <f t="shared" si="319"/>
        <v>0.84657741635688044</v>
      </c>
      <c r="Y324" s="113">
        <f t="shared" ref="Y324:Z324" si="374">Y323+1</f>
        <v>45961</v>
      </c>
      <c r="Z324" s="114">
        <f t="shared" si="374"/>
        <v>45961</v>
      </c>
      <c r="AA324" s="39"/>
      <c r="AB324" s="39"/>
      <c r="AC324" s="39"/>
      <c r="AD324" s="39"/>
      <c r="AE324" s="39"/>
      <c r="AF324" s="39"/>
      <c r="AG324" s="39"/>
    </row>
    <row r="325" spans="1:33" ht="16.5" customHeight="1">
      <c r="A325" s="39"/>
      <c r="B325" s="50"/>
      <c r="C325" s="95">
        <v>305</v>
      </c>
      <c r="D325" s="155">
        <v>1</v>
      </c>
      <c r="E325" s="97">
        <f t="shared" si="312"/>
        <v>11</v>
      </c>
      <c r="F325" s="98">
        <f t="shared" si="321"/>
        <v>45962</v>
      </c>
      <c r="G325" s="99" t="str">
        <f t="shared" si="313"/>
        <v>Sat</v>
      </c>
      <c r="H325" s="100"/>
      <c r="I325" s="101"/>
      <c r="J325" s="135">
        <v>133000</v>
      </c>
      <c r="K325" s="136"/>
      <c r="L325" s="104">
        <f t="shared" ref="L325:L354" si="375">IF(D325=0,0,$K$17)</f>
        <v>103092.78350515464</v>
      </c>
      <c r="M325" s="108">
        <f t="shared" si="314"/>
        <v>29907.216494845357</v>
      </c>
      <c r="N325" s="156">
        <f t="shared" si="315"/>
        <v>1.2901</v>
      </c>
      <c r="O325" s="133"/>
      <c r="P325" s="104">
        <f>IF(D325=0,0,$L$325)</f>
        <v>103092.78350515464</v>
      </c>
      <c r="Q325" s="104">
        <f>IF(D325=0,0,$J$325)</f>
        <v>133000</v>
      </c>
      <c r="R325" s="108">
        <f t="shared" si="316"/>
        <v>29907.216494845357</v>
      </c>
      <c r="S325" s="157">
        <f t="shared" si="317"/>
        <v>1.2901</v>
      </c>
      <c r="T325" s="125"/>
      <c r="U325" s="104">
        <f t="shared" si="322"/>
        <v>25061855.670102999</v>
      </c>
      <c r="V325" s="104">
        <f t="shared" si="323"/>
        <v>21262525</v>
      </c>
      <c r="W325" s="111">
        <f t="shared" si="318"/>
        <v>-3799330.6701029986</v>
      </c>
      <c r="X325" s="158">
        <f t="shared" si="319"/>
        <v>0.84840186137392337</v>
      </c>
      <c r="Y325" s="113">
        <f t="shared" ref="Y325:Z325" si="376">Y324+1</f>
        <v>45962</v>
      </c>
      <c r="Z325" s="114">
        <f t="shared" si="376"/>
        <v>45962</v>
      </c>
      <c r="AA325" s="39"/>
      <c r="AB325" s="39"/>
      <c r="AC325" s="39"/>
      <c r="AD325" s="39"/>
      <c r="AE325" s="39"/>
      <c r="AF325" s="39"/>
      <c r="AG325" s="39"/>
    </row>
    <row r="326" spans="1:33" ht="16.5" customHeight="1">
      <c r="A326" s="39"/>
      <c r="B326" s="50"/>
      <c r="C326" s="95">
        <v>306</v>
      </c>
      <c r="D326" s="96">
        <v>1</v>
      </c>
      <c r="E326" s="97">
        <f t="shared" si="312"/>
        <v>11</v>
      </c>
      <c r="F326" s="98">
        <f t="shared" si="321"/>
        <v>45963</v>
      </c>
      <c r="G326" s="99" t="str">
        <f t="shared" si="313"/>
        <v>Sun</v>
      </c>
      <c r="H326" s="100"/>
      <c r="I326" s="101"/>
      <c r="J326" s="135">
        <v>100950</v>
      </c>
      <c r="K326" s="136"/>
      <c r="L326" s="104">
        <f t="shared" si="375"/>
        <v>103092.78350515464</v>
      </c>
      <c r="M326" s="105">
        <f t="shared" si="314"/>
        <v>-2142.7835051546426</v>
      </c>
      <c r="N326" s="106">
        <f t="shared" si="315"/>
        <v>0.97921499999999995</v>
      </c>
      <c r="O326" s="134"/>
      <c r="P326" s="104">
        <f t="shared" ref="P326:P354" si="377">IF(D326=0,0,SUM($L$325:L326))</f>
        <v>206185.56701030929</v>
      </c>
      <c r="Q326" s="104">
        <f t="shared" ref="Q326:Q354" si="378">IF(D326=0,0,SUM($J$325:J326))</f>
        <v>233950</v>
      </c>
      <c r="R326" s="108">
        <f t="shared" si="316"/>
        <v>27764.432989690715</v>
      </c>
      <c r="S326" s="109">
        <f t="shared" si="317"/>
        <v>1.1346574999999999</v>
      </c>
      <c r="T326" s="131"/>
      <c r="U326" s="104">
        <f t="shared" si="322"/>
        <v>25164948.453608152</v>
      </c>
      <c r="V326" s="104">
        <f t="shared" si="323"/>
        <v>21363475</v>
      </c>
      <c r="W326" s="111">
        <f t="shared" si="318"/>
        <v>-3801473.4536081515</v>
      </c>
      <c r="X326" s="112">
        <f t="shared" si="319"/>
        <v>0.84893776116346087</v>
      </c>
      <c r="Y326" s="113">
        <f t="shared" ref="Y326:Z326" si="379">Y325+1</f>
        <v>45963</v>
      </c>
      <c r="Z326" s="114">
        <f t="shared" si="379"/>
        <v>45963</v>
      </c>
      <c r="AA326" s="39"/>
      <c r="AB326" s="39"/>
      <c r="AC326" s="39"/>
      <c r="AD326" s="39"/>
      <c r="AE326" s="39"/>
      <c r="AF326" s="39"/>
      <c r="AG326" s="39"/>
    </row>
    <row r="327" spans="1:33" ht="16.5" customHeight="1">
      <c r="A327" s="39"/>
      <c r="B327" s="50"/>
      <c r="C327" s="95">
        <v>307</v>
      </c>
      <c r="D327" s="96">
        <v>0</v>
      </c>
      <c r="E327" s="97">
        <f t="shared" si="312"/>
        <v>11</v>
      </c>
      <c r="F327" s="98">
        <f t="shared" si="321"/>
        <v>45964</v>
      </c>
      <c r="G327" s="99" t="str">
        <f t="shared" si="313"/>
        <v>Mon</v>
      </c>
      <c r="H327" s="100"/>
      <c r="I327" s="101"/>
      <c r="J327" s="135"/>
      <c r="K327" s="136"/>
      <c r="L327" s="104">
        <f t="shared" si="375"/>
        <v>0</v>
      </c>
      <c r="M327" s="105">
        <f t="shared" si="314"/>
        <v>0</v>
      </c>
      <c r="N327" s="106" t="str">
        <f t="shared" si="315"/>
        <v>¥0</v>
      </c>
      <c r="O327" s="134"/>
      <c r="P327" s="104">
        <f t="shared" si="377"/>
        <v>0</v>
      </c>
      <c r="Q327" s="104">
        <f t="shared" si="378"/>
        <v>0</v>
      </c>
      <c r="R327" s="108">
        <f t="shared" si="316"/>
        <v>0</v>
      </c>
      <c r="S327" s="109">
        <f t="shared" si="317"/>
        <v>0</v>
      </c>
      <c r="T327" s="131"/>
      <c r="U327" s="104">
        <f t="shared" si="322"/>
        <v>0</v>
      </c>
      <c r="V327" s="104">
        <f t="shared" si="323"/>
        <v>0</v>
      </c>
      <c r="W327" s="111">
        <f t="shared" si="318"/>
        <v>0</v>
      </c>
      <c r="X327" s="112">
        <f t="shared" si="319"/>
        <v>0</v>
      </c>
      <c r="Y327" s="113">
        <f t="shared" ref="Y327:Z327" si="380">Y326+1</f>
        <v>45964</v>
      </c>
      <c r="Z327" s="114">
        <f t="shared" si="380"/>
        <v>45964</v>
      </c>
      <c r="AA327" s="39"/>
      <c r="AB327" s="39"/>
      <c r="AC327" s="39"/>
      <c r="AD327" s="39"/>
      <c r="AE327" s="39"/>
      <c r="AF327" s="39"/>
      <c r="AG327" s="39"/>
    </row>
    <row r="328" spans="1:33" ht="16.5" customHeight="1">
      <c r="A328" s="39"/>
      <c r="B328" s="50"/>
      <c r="C328" s="95">
        <v>308</v>
      </c>
      <c r="D328" s="96">
        <v>0</v>
      </c>
      <c r="E328" s="97">
        <f t="shared" si="312"/>
        <v>11</v>
      </c>
      <c r="F328" s="98">
        <f t="shared" si="321"/>
        <v>45965</v>
      </c>
      <c r="G328" s="99" t="str">
        <f t="shared" si="313"/>
        <v>Tue</v>
      </c>
      <c r="H328" s="100"/>
      <c r="I328" s="101"/>
      <c r="J328" s="135"/>
      <c r="K328" s="136"/>
      <c r="L328" s="104">
        <f t="shared" si="375"/>
        <v>0</v>
      </c>
      <c r="M328" s="105">
        <f t="shared" si="314"/>
        <v>0</v>
      </c>
      <c r="N328" s="106" t="str">
        <f t="shared" si="315"/>
        <v>¥0</v>
      </c>
      <c r="O328" s="133"/>
      <c r="P328" s="104">
        <f t="shared" si="377"/>
        <v>0</v>
      </c>
      <c r="Q328" s="104">
        <f t="shared" si="378"/>
        <v>0</v>
      </c>
      <c r="R328" s="108">
        <f t="shared" si="316"/>
        <v>0</v>
      </c>
      <c r="S328" s="109">
        <f t="shared" si="317"/>
        <v>0</v>
      </c>
      <c r="T328" s="125"/>
      <c r="U328" s="104">
        <f t="shared" si="322"/>
        <v>0</v>
      </c>
      <c r="V328" s="104">
        <f t="shared" si="323"/>
        <v>0</v>
      </c>
      <c r="W328" s="111">
        <f t="shared" si="318"/>
        <v>0</v>
      </c>
      <c r="X328" s="112">
        <f t="shared" si="319"/>
        <v>0</v>
      </c>
      <c r="Y328" s="113">
        <f t="shared" ref="Y328:Z328" si="381">Y327+1</f>
        <v>45965</v>
      </c>
      <c r="Z328" s="114">
        <f t="shared" si="381"/>
        <v>45965</v>
      </c>
      <c r="AA328" s="39"/>
      <c r="AB328" s="39"/>
      <c r="AC328" s="39"/>
      <c r="AD328" s="39"/>
      <c r="AE328" s="39"/>
      <c r="AF328" s="39"/>
      <c r="AG328" s="39"/>
    </row>
    <row r="329" spans="1:33" ht="16.5" customHeight="1">
      <c r="A329" s="39"/>
      <c r="B329" s="50"/>
      <c r="C329" s="95">
        <v>309</v>
      </c>
      <c r="D329" s="96">
        <v>1</v>
      </c>
      <c r="E329" s="97">
        <f t="shared" si="312"/>
        <v>11</v>
      </c>
      <c r="F329" s="98">
        <f t="shared" si="321"/>
        <v>45966</v>
      </c>
      <c r="G329" s="99" t="str">
        <f t="shared" si="313"/>
        <v>Wed</v>
      </c>
      <c r="H329" s="100"/>
      <c r="I329" s="101"/>
      <c r="J329" s="135">
        <v>119950</v>
      </c>
      <c r="K329" s="136"/>
      <c r="L329" s="104">
        <f t="shared" si="375"/>
        <v>103092.78350515464</v>
      </c>
      <c r="M329" s="105">
        <f t="shared" si="314"/>
        <v>16857.216494845357</v>
      </c>
      <c r="N329" s="106">
        <f t="shared" si="315"/>
        <v>1.1635149999999999</v>
      </c>
      <c r="O329" s="133"/>
      <c r="P329" s="104">
        <f t="shared" si="377"/>
        <v>309278.35051546391</v>
      </c>
      <c r="Q329" s="104">
        <f t="shared" si="378"/>
        <v>353900</v>
      </c>
      <c r="R329" s="108">
        <f t="shared" si="316"/>
        <v>44621.649484536087</v>
      </c>
      <c r="S329" s="109">
        <f t="shared" si="317"/>
        <v>1.1442766666666666</v>
      </c>
      <c r="T329" s="125"/>
      <c r="U329" s="104">
        <f t="shared" si="322"/>
        <v>25268041.237113304</v>
      </c>
      <c r="V329" s="104">
        <f t="shared" si="323"/>
        <v>21483425</v>
      </c>
      <c r="W329" s="111">
        <f t="shared" si="318"/>
        <v>-3784616.2371133044</v>
      </c>
      <c r="X329" s="112">
        <f t="shared" si="319"/>
        <v>0.85022122603019501</v>
      </c>
      <c r="Y329" s="113">
        <f t="shared" ref="Y329:Z329" si="382">Y328+1</f>
        <v>45966</v>
      </c>
      <c r="Z329" s="114">
        <f t="shared" si="382"/>
        <v>45966</v>
      </c>
      <c r="AA329" s="39"/>
      <c r="AB329" s="39"/>
      <c r="AC329" s="39"/>
      <c r="AD329" s="39"/>
      <c r="AE329" s="39"/>
      <c r="AF329" s="39"/>
      <c r="AG329" s="39"/>
    </row>
    <row r="330" spans="1:33" ht="16.5" customHeight="1">
      <c r="A330" s="39"/>
      <c r="B330" s="50"/>
      <c r="C330" s="95">
        <v>310</v>
      </c>
      <c r="D330" s="96">
        <v>1</v>
      </c>
      <c r="E330" s="97">
        <f t="shared" si="312"/>
        <v>11</v>
      </c>
      <c r="F330" s="98">
        <f t="shared" si="321"/>
        <v>45967</v>
      </c>
      <c r="G330" s="99" t="str">
        <f t="shared" si="313"/>
        <v>Thu</v>
      </c>
      <c r="H330" s="100"/>
      <c r="I330" s="101"/>
      <c r="J330" s="135">
        <v>75150</v>
      </c>
      <c r="K330" s="136"/>
      <c r="L330" s="104">
        <f t="shared" si="375"/>
        <v>103092.78350515464</v>
      </c>
      <c r="M330" s="105">
        <f t="shared" si="314"/>
        <v>-27942.783505154643</v>
      </c>
      <c r="N330" s="106">
        <f t="shared" si="315"/>
        <v>0.72895500000000002</v>
      </c>
      <c r="O330" s="133"/>
      <c r="P330" s="104">
        <f t="shared" si="377"/>
        <v>412371.13402061857</v>
      </c>
      <c r="Q330" s="104">
        <f t="shared" si="378"/>
        <v>429050</v>
      </c>
      <c r="R330" s="108">
        <f t="shared" si="316"/>
        <v>16678.865979381429</v>
      </c>
      <c r="S330" s="109">
        <f t="shared" si="317"/>
        <v>1.04044625</v>
      </c>
      <c r="T330" s="125"/>
      <c r="U330" s="104">
        <f t="shared" si="322"/>
        <v>25371134.020618457</v>
      </c>
      <c r="V330" s="104">
        <f t="shared" si="323"/>
        <v>21558575</v>
      </c>
      <c r="W330" s="111">
        <f t="shared" si="318"/>
        <v>-3812559.0206184573</v>
      </c>
      <c r="X330" s="112">
        <f t="shared" si="319"/>
        <v>0.84972847419748399</v>
      </c>
      <c r="Y330" s="113">
        <f t="shared" ref="Y330:Z330" si="383">Y329+1</f>
        <v>45967</v>
      </c>
      <c r="Z330" s="114">
        <f t="shared" si="383"/>
        <v>45967</v>
      </c>
      <c r="AA330" s="39"/>
      <c r="AB330" s="39"/>
      <c r="AC330" s="39"/>
      <c r="AD330" s="39"/>
      <c r="AE330" s="39"/>
      <c r="AF330" s="39"/>
      <c r="AG330" s="39"/>
    </row>
    <row r="331" spans="1:33" ht="16.5" customHeight="1">
      <c r="A331" s="39"/>
      <c r="B331" s="50"/>
      <c r="C331" s="95">
        <v>311</v>
      </c>
      <c r="D331" s="96">
        <v>1</v>
      </c>
      <c r="E331" s="97">
        <f t="shared" si="312"/>
        <v>11</v>
      </c>
      <c r="F331" s="98">
        <f t="shared" si="321"/>
        <v>45968</v>
      </c>
      <c r="G331" s="99" t="str">
        <f t="shared" si="313"/>
        <v>Fri</v>
      </c>
      <c r="H331" s="100"/>
      <c r="I331" s="101"/>
      <c r="J331" s="135">
        <v>70300</v>
      </c>
      <c r="K331" s="136"/>
      <c r="L331" s="104">
        <f t="shared" si="375"/>
        <v>103092.78350515464</v>
      </c>
      <c r="M331" s="105">
        <f t="shared" si="314"/>
        <v>-32792.783505154643</v>
      </c>
      <c r="N331" s="106">
        <f t="shared" si="315"/>
        <v>0.68191000000000002</v>
      </c>
      <c r="O331" s="133"/>
      <c r="P331" s="104">
        <f t="shared" si="377"/>
        <v>515463.91752577323</v>
      </c>
      <c r="Q331" s="104">
        <f t="shared" si="378"/>
        <v>499350</v>
      </c>
      <c r="R331" s="108">
        <f t="shared" si="316"/>
        <v>-16113.917525773228</v>
      </c>
      <c r="S331" s="109">
        <f t="shared" si="317"/>
        <v>0.96873899999999991</v>
      </c>
      <c r="T331" s="125"/>
      <c r="U331" s="104">
        <f t="shared" si="322"/>
        <v>25474226.80412361</v>
      </c>
      <c r="V331" s="104">
        <f t="shared" si="323"/>
        <v>21628875</v>
      </c>
      <c r="W331" s="111">
        <f t="shared" si="318"/>
        <v>-3845351.8041236103</v>
      </c>
      <c r="X331" s="112">
        <f t="shared" si="319"/>
        <v>0.84904932213679007</v>
      </c>
      <c r="Y331" s="113">
        <f t="shared" ref="Y331:Z331" si="384">Y330+1</f>
        <v>45968</v>
      </c>
      <c r="Z331" s="114">
        <f t="shared" si="384"/>
        <v>45968</v>
      </c>
      <c r="AA331" s="39"/>
      <c r="AB331" s="39"/>
      <c r="AC331" s="39"/>
      <c r="AD331" s="39"/>
      <c r="AE331" s="39"/>
      <c r="AF331" s="39"/>
      <c r="AG331" s="39"/>
    </row>
    <row r="332" spans="1:33" ht="16.5" customHeight="1">
      <c r="A332" s="39"/>
      <c r="B332" s="50"/>
      <c r="C332" s="95">
        <v>312</v>
      </c>
      <c r="D332" s="96">
        <v>1</v>
      </c>
      <c r="E332" s="97">
        <f t="shared" si="312"/>
        <v>11</v>
      </c>
      <c r="F332" s="98">
        <f t="shared" si="321"/>
        <v>45969</v>
      </c>
      <c r="G332" s="99" t="str">
        <f t="shared" si="313"/>
        <v>Sat</v>
      </c>
      <c r="H332" s="100"/>
      <c r="I332" s="101"/>
      <c r="J332" s="135">
        <v>73900</v>
      </c>
      <c r="K332" s="136"/>
      <c r="L332" s="104">
        <f t="shared" si="375"/>
        <v>103092.78350515464</v>
      </c>
      <c r="M332" s="105">
        <f t="shared" si="314"/>
        <v>-29192.783505154643</v>
      </c>
      <c r="N332" s="106">
        <f t="shared" si="315"/>
        <v>0.71682999999999997</v>
      </c>
      <c r="O332" s="133"/>
      <c r="P332" s="104">
        <f t="shared" si="377"/>
        <v>618556.70103092783</v>
      </c>
      <c r="Q332" s="104">
        <f t="shared" si="378"/>
        <v>573250</v>
      </c>
      <c r="R332" s="108">
        <f t="shared" si="316"/>
        <v>-45306.701030927827</v>
      </c>
      <c r="S332" s="109">
        <f t="shared" si="317"/>
        <v>0.92675416666666666</v>
      </c>
      <c r="T332" s="125"/>
      <c r="U332" s="104">
        <f t="shared" si="322"/>
        <v>25577319.587628763</v>
      </c>
      <c r="V332" s="104">
        <f t="shared" si="323"/>
        <v>21702775</v>
      </c>
      <c r="W332" s="111">
        <f t="shared" si="318"/>
        <v>-3874544.5876287632</v>
      </c>
      <c r="X332" s="112">
        <f t="shared" si="319"/>
        <v>0.84851639459895545</v>
      </c>
      <c r="Y332" s="113">
        <f t="shared" ref="Y332:Z332" si="385">Y331+1</f>
        <v>45969</v>
      </c>
      <c r="Z332" s="114">
        <f t="shared" si="385"/>
        <v>45969</v>
      </c>
      <c r="AA332" s="39"/>
      <c r="AB332" s="39"/>
      <c r="AC332" s="39"/>
      <c r="AD332" s="39"/>
      <c r="AE332" s="39"/>
      <c r="AF332" s="39"/>
      <c r="AG332" s="39"/>
    </row>
    <row r="333" spans="1:33" ht="16.5" customHeight="1">
      <c r="A333" s="39"/>
      <c r="B333" s="50"/>
      <c r="C333" s="95">
        <v>313</v>
      </c>
      <c r="D333" s="96">
        <v>1</v>
      </c>
      <c r="E333" s="97">
        <f t="shared" si="312"/>
        <v>11</v>
      </c>
      <c r="F333" s="98">
        <f t="shared" si="321"/>
        <v>45970</v>
      </c>
      <c r="G333" s="99" t="str">
        <f t="shared" si="313"/>
        <v>Sun</v>
      </c>
      <c r="H333" s="100"/>
      <c r="I333" s="101"/>
      <c r="J333" s="135">
        <v>33600</v>
      </c>
      <c r="K333" s="136"/>
      <c r="L333" s="104">
        <f t="shared" si="375"/>
        <v>103092.78350515464</v>
      </c>
      <c r="M333" s="105">
        <f t="shared" si="314"/>
        <v>-69492.783505154643</v>
      </c>
      <c r="N333" s="106">
        <f t="shared" si="315"/>
        <v>0.32591999999999999</v>
      </c>
      <c r="O333" s="134"/>
      <c r="P333" s="104">
        <f t="shared" si="377"/>
        <v>721649.48453608248</v>
      </c>
      <c r="Q333" s="104">
        <f t="shared" si="378"/>
        <v>606850</v>
      </c>
      <c r="R333" s="108">
        <f t="shared" si="316"/>
        <v>-114799.48453608248</v>
      </c>
      <c r="S333" s="109">
        <f t="shared" si="317"/>
        <v>0.84092071428571424</v>
      </c>
      <c r="T333" s="131"/>
      <c r="U333" s="104">
        <f t="shared" si="322"/>
        <v>25680412.371133916</v>
      </c>
      <c r="V333" s="104">
        <f t="shared" si="323"/>
        <v>21736375</v>
      </c>
      <c r="W333" s="111">
        <f t="shared" si="318"/>
        <v>-3944037.3711339161</v>
      </c>
      <c r="X333" s="112">
        <f t="shared" si="319"/>
        <v>0.84641845644319891</v>
      </c>
      <c r="Y333" s="113">
        <f t="shared" ref="Y333:Z333" si="386">Y332+1</f>
        <v>45970</v>
      </c>
      <c r="Z333" s="114">
        <f t="shared" si="386"/>
        <v>45970</v>
      </c>
      <c r="AA333" s="39"/>
      <c r="AB333" s="39"/>
      <c r="AC333" s="39"/>
      <c r="AD333" s="39"/>
      <c r="AE333" s="39"/>
      <c r="AF333" s="39"/>
      <c r="AG333" s="39"/>
    </row>
    <row r="334" spans="1:33" ht="16.5" customHeight="1">
      <c r="A334" s="39"/>
      <c r="B334" s="50"/>
      <c r="C334" s="95">
        <v>314</v>
      </c>
      <c r="D334" s="96">
        <v>0</v>
      </c>
      <c r="E334" s="97">
        <f t="shared" si="312"/>
        <v>11</v>
      </c>
      <c r="F334" s="98">
        <f t="shared" si="321"/>
        <v>45971</v>
      </c>
      <c r="G334" s="99" t="str">
        <f t="shared" si="313"/>
        <v>Mon</v>
      </c>
      <c r="H334" s="100"/>
      <c r="I334" s="101"/>
      <c r="J334" s="135"/>
      <c r="K334" s="136"/>
      <c r="L334" s="104">
        <f t="shared" si="375"/>
        <v>0</v>
      </c>
      <c r="M334" s="105">
        <f t="shared" si="314"/>
        <v>0</v>
      </c>
      <c r="N334" s="106" t="str">
        <f t="shared" si="315"/>
        <v>¥0</v>
      </c>
      <c r="O334" s="133"/>
      <c r="P334" s="104">
        <f t="shared" si="377"/>
        <v>0</v>
      </c>
      <c r="Q334" s="104">
        <f t="shared" si="378"/>
        <v>0</v>
      </c>
      <c r="R334" s="108">
        <f t="shared" si="316"/>
        <v>0</v>
      </c>
      <c r="S334" s="109">
        <f t="shared" si="317"/>
        <v>0</v>
      </c>
      <c r="T334" s="125"/>
      <c r="U334" s="104">
        <f t="shared" si="322"/>
        <v>0</v>
      </c>
      <c r="V334" s="104">
        <f t="shared" si="323"/>
        <v>0</v>
      </c>
      <c r="W334" s="111">
        <f t="shared" si="318"/>
        <v>0</v>
      </c>
      <c r="X334" s="112">
        <f t="shared" si="319"/>
        <v>0</v>
      </c>
      <c r="Y334" s="113">
        <f t="shared" ref="Y334:Z334" si="387">Y333+1</f>
        <v>45971</v>
      </c>
      <c r="Z334" s="114">
        <f t="shared" si="387"/>
        <v>45971</v>
      </c>
      <c r="AA334" s="39"/>
      <c r="AB334" s="39"/>
      <c r="AC334" s="39"/>
      <c r="AD334" s="39"/>
      <c r="AE334" s="39"/>
      <c r="AF334" s="39"/>
      <c r="AG334" s="39"/>
    </row>
    <row r="335" spans="1:33" ht="16.5" customHeight="1">
      <c r="A335" s="39"/>
      <c r="B335" s="50"/>
      <c r="C335" s="95">
        <v>315</v>
      </c>
      <c r="D335" s="96">
        <v>0</v>
      </c>
      <c r="E335" s="97">
        <f t="shared" si="312"/>
        <v>11</v>
      </c>
      <c r="F335" s="98">
        <f t="shared" si="321"/>
        <v>45972</v>
      </c>
      <c r="G335" s="99" t="str">
        <f t="shared" si="313"/>
        <v>Tue</v>
      </c>
      <c r="H335" s="100"/>
      <c r="I335" s="101"/>
      <c r="J335" s="135"/>
      <c r="K335" s="136"/>
      <c r="L335" s="104">
        <f t="shared" si="375"/>
        <v>0</v>
      </c>
      <c r="M335" s="105">
        <f t="shared" si="314"/>
        <v>0</v>
      </c>
      <c r="N335" s="106" t="str">
        <f t="shared" si="315"/>
        <v>¥0</v>
      </c>
      <c r="O335" s="133"/>
      <c r="P335" s="104">
        <f t="shared" si="377"/>
        <v>0</v>
      </c>
      <c r="Q335" s="104">
        <f t="shared" si="378"/>
        <v>0</v>
      </c>
      <c r="R335" s="108">
        <f t="shared" si="316"/>
        <v>0</v>
      </c>
      <c r="S335" s="109">
        <f t="shared" si="317"/>
        <v>0</v>
      </c>
      <c r="T335" s="125"/>
      <c r="U335" s="104">
        <f t="shared" si="322"/>
        <v>0</v>
      </c>
      <c r="V335" s="104">
        <f t="shared" si="323"/>
        <v>0</v>
      </c>
      <c r="W335" s="111">
        <f t="shared" si="318"/>
        <v>0</v>
      </c>
      <c r="X335" s="112">
        <f t="shared" si="319"/>
        <v>0</v>
      </c>
      <c r="Y335" s="113">
        <f t="shared" ref="Y335:Z335" si="388">Y334+1</f>
        <v>45972</v>
      </c>
      <c r="Z335" s="114">
        <f t="shared" si="388"/>
        <v>45972</v>
      </c>
      <c r="AA335" s="39"/>
      <c r="AB335" s="39"/>
      <c r="AC335" s="39"/>
      <c r="AD335" s="39"/>
      <c r="AE335" s="39"/>
      <c r="AF335" s="39"/>
      <c r="AG335" s="39"/>
    </row>
    <row r="336" spans="1:33" ht="16.5" customHeight="1">
      <c r="A336" s="39"/>
      <c r="B336" s="50"/>
      <c r="C336" s="95">
        <v>316</v>
      </c>
      <c r="D336" s="96">
        <v>0</v>
      </c>
      <c r="E336" s="97">
        <f t="shared" si="312"/>
        <v>11</v>
      </c>
      <c r="F336" s="98">
        <f t="shared" si="321"/>
        <v>45973</v>
      </c>
      <c r="G336" s="99" t="str">
        <f t="shared" si="313"/>
        <v>Wed</v>
      </c>
      <c r="H336" s="100"/>
      <c r="I336" s="101"/>
      <c r="J336" s="135"/>
      <c r="K336" s="136"/>
      <c r="L336" s="104">
        <f t="shared" si="375"/>
        <v>0</v>
      </c>
      <c r="M336" s="105">
        <f t="shared" si="314"/>
        <v>0</v>
      </c>
      <c r="N336" s="106" t="str">
        <f t="shared" si="315"/>
        <v>¥0</v>
      </c>
      <c r="O336" s="133"/>
      <c r="P336" s="104">
        <f t="shared" si="377"/>
        <v>0</v>
      </c>
      <c r="Q336" s="104">
        <f t="shared" si="378"/>
        <v>0</v>
      </c>
      <c r="R336" s="108">
        <f t="shared" si="316"/>
        <v>0</v>
      </c>
      <c r="S336" s="109">
        <f t="shared" si="317"/>
        <v>0</v>
      </c>
      <c r="T336" s="125"/>
      <c r="U336" s="104">
        <f t="shared" si="322"/>
        <v>0</v>
      </c>
      <c r="V336" s="104">
        <f t="shared" si="323"/>
        <v>0</v>
      </c>
      <c r="W336" s="111">
        <f t="shared" si="318"/>
        <v>0</v>
      </c>
      <c r="X336" s="112">
        <f t="shared" si="319"/>
        <v>0</v>
      </c>
      <c r="Y336" s="113">
        <f t="shared" ref="Y336:Z336" si="389">Y335+1</f>
        <v>45973</v>
      </c>
      <c r="Z336" s="114">
        <f t="shared" si="389"/>
        <v>45973</v>
      </c>
      <c r="AA336" s="39"/>
      <c r="AB336" s="39"/>
      <c r="AC336" s="39"/>
      <c r="AD336" s="39"/>
      <c r="AE336" s="39"/>
      <c r="AF336" s="39"/>
      <c r="AG336" s="39"/>
    </row>
    <row r="337" spans="1:33" ht="16.5" customHeight="1">
      <c r="A337" s="39"/>
      <c r="B337" s="50"/>
      <c r="C337" s="95">
        <v>317</v>
      </c>
      <c r="D337" s="96">
        <v>1</v>
      </c>
      <c r="E337" s="97">
        <f t="shared" si="312"/>
        <v>11</v>
      </c>
      <c r="F337" s="98">
        <f t="shared" si="321"/>
        <v>45974</v>
      </c>
      <c r="G337" s="99" t="str">
        <f t="shared" si="313"/>
        <v>Thu</v>
      </c>
      <c r="H337" s="100"/>
      <c r="I337" s="101"/>
      <c r="J337" s="135"/>
      <c r="K337" s="136"/>
      <c r="L337" s="104">
        <f t="shared" si="375"/>
        <v>103092.78350515464</v>
      </c>
      <c r="M337" s="105">
        <f t="shared" si="314"/>
        <v>-103092.78350515464</v>
      </c>
      <c r="N337" s="106">
        <f t="shared" si="315"/>
        <v>0</v>
      </c>
      <c r="O337" s="133"/>
      <c r="P337" s="104">
        <f t="shared" si="377"/>
        <v>824742.26804123714</v>
      </c>
      <c r="Q337" s="104">
        <f t="shared" si="378"/>
        <v>606850</v>
      </c>
      <c r="R337" s="108">
        <f t="shared" si="316"/>
        <v>-217892.26804123714</v>
      </c>
      <c r="S337" s="109">
        <f t="shared" si="317"/>
        <v>0.73580562500000002</v>
      </c>
      <c r="T337" s="125"/>
      <c r="U337" s="104">
        <f t="shared" si="322"/>
        <v>25783505.154639069</v>
      </c>
      <c r="V337" s="104">
        <f t="shared" si="323"/>
        <v>21736375</v>
      </c>
      <c r="W337" s="111">
        <f t="shared" si="318"/>
        <v>-4047130.154639069</v>
      </c>
      <c r="X337" s="112">
        <f t="shared" si="319"/>
        <v>0.84303413634546531</v>
      </c>
      <c r="Y337" s="113">
        <f t="shared" ref="Y337:Z337" si="390">Y336+1</f>
        <v>45974</v>
      </c>
      <c r="Z337" s="114">
        <f t="shared" si="390"/>
        <v>45974</v>
      </c>
      <c r="AA337" s="39"/>
      <c r="AB337" s="39"/>
      <c r="AC337" s="39"/>
      <c r="AD337" s="39"/>
      <c r="AE337" s="39"/>
      <c r="AF337" s="39"/>
      <c r="AG337" s="39"/>
    </row>
    <row r="338" spans="1:33" ht="16.5" customHeight="1">
      <c r="A338" s="39"/>
      <c r="B338" s="50"/>
      <c r="C338" s="95">
        <v>318</v>
      </c>
      <c r="D338" s="96">
        <v>1</v>
      </c>
      <c r="E338" s="97">
        <f t="shared" si="312"/>
        <v>11</v>
      </c>
      <c r="F338" s="98">
        <f t="shared" si="321"/>
        <v>45975</v>
      </c>
      <c r="G338" s="99" t="str">
        <f t="shared" si="313"/>
        <v>Fri</v>
      </c>
      <c r="H338" s="100"/>
      <c r="I338" s="101"/>
      <c r="J338" s="135"/>
      <c r="K338" s="136"/>
      <c r="L338" s="104">
        <f t="shared" si="375"/>
        <v>103092.78350515464</v>
      </c>
      <c r="M338" s="105">
        <f t="shared" si="314"/>
        <v>-103092.78350515464</v>
      </c>
      <c r="N338" s="106">
        <f t="shared" si="315"/>
        <v>0</v>
      </c>
      <c r="O338" s="133"/>
      <c r="P338" s="104">
        <f t="shared" si="377"/>
        <v>927835.0515463918</v>
      </c>
      <c r="Q338" s="104">
        <f t="shared" si="378"/>
        <v>606850</v>
      </c>
      <c r="R338" s="108">
        <f t="shared" si="316"/>
        <v>-320985.0515463918</v>
      </c>
      <c r="S338" s="109">
        <f t="shared" si="317"/>
        <v>0.65404944444444446</v>
      </c>
      <c r="T338" s="125"/>
      <c r="U338" s="104">
        <f t="shared" si="322"/>
        <v>25886597.938144222</v>
      </c>
      <c r="V338" s="104">
        <f t="shared" si="323"/>
        <v>21736375</v>
      </c>
      <c r="W338" s="111">
        <f t="shared" si="318"/>
        <v>-4150222.9381442219</v>
      </c>
      <c r="X338" s="112">
        <f t="shared" si="319"/>
        <v>0.83967677220231329</v>
      </c>
      <c r="Y338" s="113">
        <f t="shared" ref="Y338:Z338" si="391">Y337+1</f>
        <v>45975</v>
      </c>
      <c r="Z338" s="114">
        <f t="shared" si="391"/>
        <v>45975</v>
      </c>
      <c r="AA338" s="39"/>
      <c r="AB338" s="39"/>
      <c r="AC338" s="39"/>
      <c r="AD338" s="39"/>
      <c r="AE338" s="39"/>
      <c r="AF338" s="39"/>
      <c r="AG338" s="39"/>
    </row>
    <row r="339" spans="1:33" ht="16.5" customHeight="1">
      <c r="A339" s="39"/>
      <c r="B339" s="50"/>
      <c r="C339" s="95">
        <v>319</v>
      </c>
      <c r="D339" s="96">
        <v>1</v>
      </c>
      <c r="E339" s="97">
        <f t="shared" si="312"/>
        <v>11</v>
      </c>
      <c r="F339" s="98">
        <f t="shared" si="321"/>
        <v>45976</v>
      </c>
      <c r="G339" s="99" t="str">
        <f t="shared" si="313"/>
        <v>Sat</v>
      </c>
      <c r="H339" s="100"/>
      <c r="I339" s="101"/>
      <c r="J339" s="135"/>
      <c r="K339" s="136"/>
      <c r="L339" s="104">
        <f t="shared" si="375"/>
        <v>103092.78350515464</v>
      </c>
      <c r="M339" s="105">
        <f t="shared" si="314"/>
        <v>-103092.78350515464</v>
      </c>
      <c r="N339" s="106">
        <f t="shared" si="315"/>
        <v>0</v>
      </c>
      <c r="O339" s="133"/>
      <c r="P339" s="104">
        <f t="shared" si="377"/>
        <v>1030927.8350515465</v>
      </c>
      <c r="Q339" s="104">
        <f t="shared" si="378"/>
        <v>606850</v>
      </c>
      <c r="R339" s="108">
        <f t="shared" si="316"/>
        <v>-424077.83505154646</v>
      </c>
      <c r="S339" s="109">
        <f t="shared" si="317"/>
        <v>0.58864450000000001</v>
      </c>
      <c r="T339" s="125"/>
      <c r="U339" s="104">
        <f t="shared" si="322"/>
        <v>25989690.721649375</v>
      </c>
      <c r="V339" s="104">
        <f t="shared" si="323"/>
        <v>21736375</v>
      </c>
      <c r="W339" s="111">
        <f t="shared" si="318"/>
        <v>-4253315.7216493748</v>
      </c>
      <c r="X339" s="112">
        <f t="shared" si="319"/>
        <v>0.83634604323681427</v>
      </c>
      <c r="Y339" s="113">
        <f t="shared" ref="Y339:Z339" si="392">Y338+1</f>
        <v>45976</v>
      </c>
      <c r="Z339" s="114">
        <f t="shared" si="392"/>
        <v>45976</v>
      </c>
      <c r="AA339" s="39"/>
      <c r="AB339" s="39"/>
      <c r="AC339" s="39"/>
      <c r="AD339" s="39"/>
      <c r="AE339" s="39"/>
      <c r="AF339" s="39"/>
      <c r="AG339" s="39"/>
    </row>
    <row r="340" spans="1:33" ht="16.5" customHeight="1">
      <c r="A340" s="39"/>
      <c r="B340" s="50"/>
      <c r="C340" s="95">
        <v>320</v>
      </c>
      <c r="D340" s="96">
        <v>1</v>
      </c>
      <c r="E340" s="97">
        <f t="shared" si="312"/>
        <v>11</v>
      </c>
      <c r="F340" s="98">
        <f t="shared" si="321"/>
        <v>45977</v>
      </c>
      <c r="G340" s="99" t="str">
        <f t="shared" si="313"/>
        <v>Sun</v>
      </c>
      <c r="H340" s="100"/>
      <c r="I340" s="101"/>
      <c r="J340" s="135"/>
      <c r="K340" s="136"/>
      <c r="L340" s="104">
        <f t="shared" si="375"/>
        <v>103092.78350515464</v>
      </c>
      <c r="M340" s="105">
        <f t="shared" si="314"/>
        <v>-103092.78350515464</v>
      </c>
      <c r="N340" s="106">
        <f t="shared" si="315"/>
        <v>0</v>
      </c>
      <c r="O340" s="134"/>
      <c r="P340" s="104">
        <f t="shared" si="377"/>
        <v>1134020.6185567011</v>
      </c>
      <c r="Q340" s="104">
        <f t="shared" si="378"/>
        <v>606850</v>
      </c>
      <c r="R340" s="108">
        <f t="shared" si="316"/>
        <v>-527170.61855670111</v>
      </c>
      <c r="S340" s="109">
        <f t="shared" si="317"/>
        <v>0.5351313636363636</v>
      </c>
      <c r="T340" s="131"/>
      <c r="U340" s="104">
        <f t="shared" si="322"/>
        <v>26092783.505154528</v>
      </c>
      <c r="V340" s="104">
        <f t="shared" si="323"/>
        <v>21736375</v>
      </c>
      <c r="W340" s="111">
        <f t="shared" si="318"/>
        <v>-4356408.5051545277</v>
      </c>
      <c r="X340" s="112">
        <f t="shared" si="319"/>
        <v>0.83304163374160767</v>
      </c>
      <c r="Y340" s="113">
        <f t="shared" ref="Y340:Z340" si="393">Y339+1</f>
        <v>45977</v>
      </c>
      <c r="Z340" s="114">
        <f t="shared" si="393"/>
        <v>45977</v>
      </c>
      <c r="AA340" s="39"/>
      <c r="AB340" s="39"/>
      <c r="AC340" s="39"/>
      <c r="AD340" s="39"/>
      <c r="AE340" s="39"/>
      <c r="AF340" s="39"/>
      <c r="AG340" s="39"/>
    </row>
    <row r="341" spans="1:33" ht="16.5" customHeight="1">
      <c r="A341" s="39"/>
      <c r="B341" s="50"/>
      <c r="C341" s="95">
        <v>321</v>
      </c>
      <c r="D341" s="96">
        <v>0</v>
      </c>
      <c r="E341" s="97">
        <f t="shared" si="312"/>
        <v>11</v>
      </c>
      <c r="F341" s="98">
        <f t="shared" si="321"/>
        <v>45978</v>
      </c>
      <c r="G341" s="99" t="str">
        <f t="shared" si="313"/>
        <v>Mon</v>
      </c>
      <c r="H341" s="100"/>
      <c r="I341" s="101"/>
      <c r="J341" s="135"/>
      <c r="K341" s="136"/>
      <c r="L341" s="104">
        <f t="shared" si="375"/>
        <v>0</v>
      </c>
      <c r="M341" s="105">
        <f t="shared" si="314"/>
        <v>0</v>
      </c>
      <c r="N341" s="106" t="str">
        <f t="shared" si="315"/>
        <v>¥0</v>
      </c>
      <c r="O341" s="133"/>
      <c r="P341" s="104">
        <f t="shared" si="377"/>
        <v>0</v>
      </c>
      <c r="Q341" s="104">
        <f t="shared" si="378"/>
        <v>0</v>
      </c>
      <c r="R341" s="108">
        <f t="shared" si="316"/>
        <v>0</v>
      </c>
      <c r="S341" s="109">
        <f t="shared" si="317"/>
        <v>0</v>
      </c>
      <c r="T341" s="125"/>
      <c r="U341" s="104">
        <f t="shared" si="322"/>
        <v>0</v>
      </c>
      <c r="V341" s="104">
        <f t="shared" si="323"/>
        <v>0</v>
      </c>
      <c r="W341" s="111">
        <f t="shared" si="318"/>
        <v>0</v>
      </c>
      <c r="X341" s="112">
        <f t="shared" si="319"/>
        <v>0</v>
      </c>
      <c r="Y341" s="113">
        <f t="shared" ref="Y341:Z341" si="394">Y340+1</f>
        <v>45978</v>
      </c>
      <c r="Z341" s="114">
        <f t="shared" si="394"/>
        <v>45978</v>
      </c>
      <c r="AA341" s="39"/>
      <c r="AB341" s="39"/>
      <c r="AC341" s="39"/>
      <c r="AD341" s="39"/>
      <c r="AE341" s="39"/>
      <c r="AF341" s="39"/>
      <c r="AG341" s="39"/>
    </row>
    <row r="342" spans="1:33" ht="16.5" customHeight="1">
      <c r="A342" s="39"/>
      <c r="B342" s="50"/>
      <c r="C342" s="95">
        <v>322</v>
      </c>
      <c r="D342" s="96">
        <v>1</v>
      </c>
      <c r="E342" s="97">
        <f t="shared" si="312"/>
        <v>11</v>
      </c>
      <c r="F342" s="98">
        <f t="shared" si="321"/>
        <v>45979</v>
      </c>
      <c r="G342" s="99" t="str">
        <f t="shared" si="313"/>
        <v>Tue</v>
      </c>
      <c r="H342" s="100"/>
      <c r="I342" s="101"/>
      <c r="J342" s="135"/>
      <c r="K342" s="136"/>
      <c r="L342" s="104">
        <f t="shared" si="375"/>
        <v>103092.78350515464</v>
      </c>
      <c r="M342" s="105">
        <f t="shared" si="314"/>
        <v>-103092.78350515464</v>
      </c>
      <c r="N342" s="106">
        <f t="shared" si="315"/>
        <v>0</v>
      </c>
      <c r="O342" s="133"/>
      <c r="P342" s="104">
        <f t="shared" si="377"/>
        <v>1237113.4020618557</v>
      </c>
      <c r="Q342" s="104">
        <f t="shared" si="378"/>
        <v>606850</v>
      </c>
      <c r="R342" s="108">
        <f t="shared" si="316"/>
        <v>-630263.40206185565</v>
      </c>
      <c r="S342" s="109">
        <f t="shared" si="317"/>
        <v>0.49053708333333335</v>
      </c>
      <c r="T342" s="125"/>
      <c r="U342" s="104">
        <f t="shared" si="322"/>
        <v>26195876.288659681</v>
      </c>
      <c r="V342" s="104">
        <f t="shared" si="323"/>
        <v>21736375</v>
      </c>
      <c r="W342" s="111">
        <f t="shared" si="318"/>
        <v>-4459501.2886596806</v>
      </c>
      <c r="X342" s="112">
        <f t="shared" si="319"/>
        <v>0.82976323297914567</v>
      </c>
      <c r="Y342" s="113">
        <f t="shared" ref="Y342:Z342" si="395">Y341+1</f>
        <v>45979</v>
      </c>
      <c r="Z342" s="114">
        <f t="shared" si="395"/>
        <v>45979</v>
      </c>
      <c r="AA342" s="39"/>
      <c r="AB342" s="39"/>
      <c r="AC342" s="39"/>
      <c r="AD342" s="39"/>
      <c r="AE342" s="39"/>
      <c r="AF342" s="39"/>
      <c r="AG342" s="39"/>
    </row>
    <row r="343" spans="1:33" ht="16.5" customHeight="1">
      <c r="A343" s="39"/>
      <c r="B343" s="50"/>
      <c r="C343" s="95">
        <v>323</v>
      </c>
      <c r="D343" s="96">
        <v>1</v>
      </c>
      <c r="E343" s="97">
        <f t="shared" si="312"/>
        <v>11</v>
      </c>
      <c r="F343" s="98">
        <f t="shared" si="321"/>
        <v>45980</v>
      </c>
      <c r="G343" s="99" t="str">
        <f t="shared" si="313"/>
        <v>Wed</v>
      </c>
      <c r="H343" s="100"/>
      <c r="I343" s="101"/>
      <c r="J343" s="135"/>
      <c r="K343" s="136"/>
      <c r="L343" s="104">
        <f t="shared" si="375"/>
        <v>103092.78350515464</v>
      </c>
      <c r="M343" s="105">
        <f t="shared" si="314"/>
        <v>-103092.78350515464</v>
      </c>
      <c r="N343" s="106">
        <f t="shared" si="315"/>
        <v>0</v>
      </c>
      <c r="O343" s="133"/>
      <c r="P343" s="104">
        <f t="shared" si="377"/>
        <v>1340206.1855670102</v>
      </c>
      <c r="Q343" s="104">
        <f t="shared" si="378"/>
        <v>606850</v>
      </c>
      <c r="R343" s="108">
        <f t="shared" si="316"/>
        <v>-733356.18556701019</v>
      </c>
      <c r="S343" s="109">
        <f t="shared" si="317"/>
        <v>0.45280346153846157</v>
      </c>
      <c r="T343" s="125"/>
      <c r="U343" s="104">
        <f t="shared" si="322"/>
        <v>26298969.072164834</v>
      </c>
      <c r="V343" s="104">
        <f t="shared" si="323"/>
        <v>21736375</v>
      </c>
      <c r="W343" s="111">
        <f t="shared" si="318"/>
        <v>-4562594.0721648335</v>
      </c>
      <c r="X343" s="112">
        <f t="shared" si="319"/>
        <v>0.82651053508428429</v>
      </c>
      <c r="Y343" s="113">
        <f t="shared" ref="Y343:Z343" si="396">Y342+1</f>
        <v>45980</v>
      </c>
      <c r="Z343" s="114">
        <f t="shared" si="396"/>
        <v>45980</v>
      </c>
      <c r="AA343" s="39"/>
      <c r="AB343" s="39"/>
      <c r="AC343" s="39"/>
      <c r="AD343" s="39"/>
      <c r="AE343" s="39"/>
      <c r="AF343" s="39"/>
      <c r="AG343" s="39"/>
    </row>
    <row r="344" spans="1:33" ht="16.5" customHeight="1">
      <c r="A344" s="39"/>
      <c r="B344" s="50"/>
      <c r="C344" s="95">
        <v>324</v>
      </c>
      <c r="D344" s="96">
        <v>1</v>
      </c>
      <c r="E344" s="97">
        <f t="shared" si="312"/>
        <v>11</v>
      </c>
      <c r="F344" s="98">
        <f t="shared" si="321"/>
        <v>45981</v>
      </c>
      <c r="G344" s="99" t="str">
        <f t="shared" si="313"/>
        <v>Thu</v>
      </c>
      <c r="H344" s="100"/>
      <c r="I344" s="101"/>
      <c r="J344" s="135"/>
      <c r="K344" s="136"/>
      <c r="L344" s="104">
        <f t="shared" si="375"/>
        <v>103092.78350515464</v>
      </c>
      <c r="M344" s="105">
        <f t="shared" si="314"/>
        <v>-103092.78350515464</v>
      </c>
      <c r="N344" s="106">
        <f t="shared" si="315"/>
        <v>0</v>
      </c>
      <c r="O344" s="133"/>
      <c r="P344" s="104">
        <f t="shared" si="377"/>
        <v>1443298.9690721647</v>
      </c>
      <c r="Q344" s="104">
        <f t="shared" si="378"/>
        <v>606850</v>
      </c>
      <c r="R344" s="108">
        <f t="shared" si="316"/>
        <v>-836448.96907216473</v>
      </c>
      <c r="S344" s="109">
        <f t="shared" si="317"/>
        <v>0.42046035714285723</v>
      </c>
      <c r="T344" s="125"/>
      <c r="U344" s="104">
        <f t="shared" si="322"/>
        <v>26402061.855669986</v>
      </c>
      <c r="V344" s="104">
        <f t="shared" si="323"/>
        <v>21736375</v>
      </c>
      <c r="W344" s="111">
        <f t="shared" si="318"/>
        <v>-4665686.8556699865</v>
      </c>
      <c r="X344" s="112">
        <f t="shared" si="319"/>
        <v>0.82328323896915634</v>
      </c>
      <c r="Y344" s="113">
        <f t="shared" ref="Y344:Z344" si="397">Y343+1</f>
        <v>45981</v>
      </c>
      <c r="Z344" s="114">
        <f t="shared" si="397"/>
        <v>45981</v>
      </c>
      <c r="AA344" s="39"/>
      <c r="AB344" s="39"/>
      <c r="AC344" s="39"/>
      <c r="AD344" s="39"/>
      <c r="AE344" s="39"/>
      <c r="AF344" s="39"/>
      <c r="AG344" s="39"/>
    </row>
    <row r="345" spans="1:33" ht="16.5" customHeight="1">
      <c r="A345" s="39"/>
      <c r="B345" s="50"/>
      <c r="C345" s="95">
        <v>325</v>
      </c>
      <c r="D345" s="96">
        <v>1</v>
      </c>
      <c r="E345" s="97">
        <f t="shared" si="312"/>
        <v>11</v>
      </c>
      <c r="F345" s="98">
        <f t="shared" si="321"/>
        <v>45982</v>
      </c>
      <c r="G345" s="99" t="str">
        <f t="shared" si="313"/>
        <v>Fri</v>
      </c>
      <c r="H345" s="100"/>
      <c r="I345" s="101"/>
      <c r="J345" s="135"/>
      <c r="K345" s="136"/>
      <c r="L345" s="104">
        <f t="shared" si="375"/>
        <v>103092.78350515464</v>
      </c>
      <c r="M345" s="105">
        <f t="shared" si="314"/>
        <v>-103092.78350515464</v>
      </c>
      <c r="N345" s="106">
        <f t="shared" si="315"/>
        <v>0</v>
      </c>
      <c r="O345" s="133"/>
      <c r="P345" s="104">
        <f t="shared" si="377"/>
        <v>1546391.7525773193</v>
      </c>
      <c r="Q345" s="104">
        <f t="shared" si="378"/>
        <v>606850</v>
      </c>
      <c r="R345" s="108">
        <f t="shared" si="316"/>
        <v>-939541.75257731928</v>
      </c>
      <c r="S345" s="109">
        <f t="shared" si="317"/>
        <v>0.39242966666666673</v>
      </c>
      <c r="T345" s="125"/>
      <c r="U345" s="104">
        <f t="shared" si="322"/>
        <v>26505154.639175139</v>
      </c>
      <c r="V345" s="104">
        <f t="shared" si="323"/>
        <v>21736375</v>
      </c>
      <c r="W345" s="111">
        <f t="shared" si="318"/>
        <v>-4768779.6391751394</v>
      </c>
      <c r="X345" s="112">
        <f t="shared" si="319"/>
        <v>0.82008104823026429</v>
      </c>
      <c r="Y345" s="113">
        <f t="shared" ref="Y345:Z345" si="398">Y344+1</f>
        <v>45982</v>
      </c>
      <c r="Z345" s="114">
        <f t="shared" si="398"/>
        <v>45982</v>
      </c>
      <c r="AA345" s="39"/>
      <c r="AB345" s="39"/>
      <c r="AC345" s="39"/>
      <c r="AD345" s="39"/>
      <c r="AE345" s="39"/>
      <c r="AF345" s="39"/>
      <c r="AG345" s="39"/>
    </row>
    <row r="346" spans="1:33" ht="16.5" customHeight="1">
      <c r="A346" s="39"/>
      <c r="B346" s="50"/>
      <c r="C346" s="95">
        <v>326</v>
      </c>
      <c r="D346" s="96">
        <v>1</v>
      </c>
      <c r="E346" s="97">
        <f t="shared" si="312"/>
        <v>11</v>
      </c>
      <c r="F346" s="98">
        <f t="shared" si="321"/>
        <v>45983</v>
      </c>
      <c r="G346" s="99" t="str">
        <f t="shared" si="313"/>
        <v>Sat</v>
      </c>
      <c r="H346" s="100"/>
      <c r="I346" s="101"/>
      <c r="J346" s="135"/>
      <c r="K346" s="136"/>
      <c r="L346" s="104">
        <f t="shared" si="375"/>
        <v>103092.78350515464</v>
      </c>
      <c r="M346" s="105">
        <f t="shared" si="314"/>
        <v>-103092.78350515464</v>
      </c>
      <c r="N346" s="106">
        <f t="shared" si="315"/>
        <v>0</v>
      </c>
      <c r="O346" s="133"/>
      <c r="P346" s="104">
        <f t="shared" si="377"/>
        <v>1649484.5360824738</v>
      </c>
      <c r="Q346" s="104">
        <f t="shared" si="378"/>
        <v>606850</v>
      </c>
      <c r="R346" s="108">
        <f t="shared" si="316"/>
        <v>-1042634.5360824738</v>
      </c>
      <c r="S346" s="109">
        <f t="shared" si="317"/>
        <v>0.36790281250000006</v>
      </c>
      <c r="T346" s="125"/>
      <c r="U346" s="104">
        <f t="shared" si="322"/>
        <v>26608247.422680292</v>
      </c>
      <c r="V346" s="104">
        <f t="shared" si="323"/>
        <v>21736375</v>
      </c>
      <c r="W346" s="111">
        <f t="shared" si="318"/>
        <v>-4871872.4226802923</v>
      </c>
      <c r="X346" s="112">
        <f t="shared" si="319"/>
        <v>0.8169036710577332</v>
      </c>
      <c r="Y346" s="113">
        <f t="shared" ref="Y346:Z346" si="399">Y345+1</f>
        <v>45983</v>
      </c>
      <c r="Z346" s="114">
        <f t="shared" si="399"/>
        <v>45983</v>
      </c>
      <c r="AA346" s="39"/>
      <c r="AB346" s="39"/>
      <c r="AC346" s="39"/>
      <c r="AD346" s="39"/>
      <c r="AE346" s="39"/>
      <c r="AF346" s="39"/>
      <c r="AG346" s="39"/>
    </row>
    <row r="347" spans="1:33" ht="16.5" customHeight="1">
      <c r="A347" s="39"/>
      <c r="B347" s="50"/>
      <c r="C347" s="95">
        <v>327</v>
      </c>
      <c r="D347" s="96">
        <v>0</v>
      </c>
      <c r="E347" s="97">
        <f t="shared" si="312"/>
        <v>11</v>
      </c>
      <c r="F347" s="98">
        <f t="shared" si="321"/>
        <v>45984</v>
      </c>
      <c r="G347" s="99" t="str">
        <f t="shared" si="313"/>
        <v>Sun</v>
      </c>
      <c r="H347" s="100"/>
      <c r="I347" s="101"/>
      <c r="J347" s="135"/>
      <c r="K347" s="136"/>
      <c r="L347" s="104">
        <f t="shared" si="375"/>
        <v>0</v>
      </c>
      <c r="M347" s="105">
        <f t="shared" si="314"/>
        <v>0</v>
      </c>
      <c r="N347" s="106" t="str">
        <f t="shared" si="315"/>
        <v>¥0</v>
      </c>
      <c r="O347" s="134"/>
      <c r="P347" s="104">
        <f t="shared" si="377"/>
        <v>0</v>
      </c>
      <c r="Q347" s="104">
        <f t="shared" si="378"/>
        <v>0</v>
      </c>
      <c r="R347" s="108">
        <f t="shared" si="316"/>
        <v>0</v>
      </c>
      <c r="S347" s="109">
        <f t="shared" si="317"/>
        <v>0</v>
      </c>
      <c r="T347" s="131"/>
      <c r="U347" s="104">
        <f t="shared" si="322"/>
        <v>0</v>
      </c>
      <c r="V347" s="104">
        <f t="shared" si="323"/>
        <v>0</v>
      </c>
      <c r="W347" s="111">
        <f t="shared" si="318"/>
        <v>0</v>
      </c>
      <c r="X347" s="112">
        <f t="shared" si="319"/>
        <v>0</v>
      </c>
      <c r="Y347" s="113">
        <f t="shared" ref="Y347:Z347" si="400">Y346+1</f>
        <v>45984</v>
      </c>
      <c r="Z347" s="114">
        <f t="shared" si="400"/>
        <v>45984</v>
      </c>
      <c r="AA347" s="39"/>
      <c r="AB347" s="39"/>
      <c r="AC347" s="39"/>
      <c r="AD347" s="39"/>
      <c r="AE347" s="39"/>
      <c r="AF347" s="39"/>
      <c r="AG347" s="39"/>
    </row>
    <row r="348" spans="1:33" ht="16.5" customHeight="1">
      <c r="A348" s="39"/>
      <c r="B348" s="50"/>
      <c r="C348" s="95">
        <v>328</v>
      </c>
      <c r="D348" s="96">
        <v>0</v>
      </c>
      <c r="E348" s="97">
        <f t="shared" si="312"/>
        <v>11</v>
      </c>
      <c r="F348" s="98">
        <f t="shared" si="321"/>
        <v>45985</v>
      </c>
      <c r="G348" s="99" t="str">
        <f t="shared" si="313"/>
        <v>Mon</v>
      </c>
      <c r="H348" s="100"/>
      <c r="I348" s="101"/>
      <c r="J348" s="135"/>
      <c r="K348" s="136"/>
      <c r="L348" s="104">
        <f t="shared" si="375"/>
        <v>0</v>
      </c>
      <c r="M348" s="105">
        <f t="shared" si="314"/>
        <v>0</v>
      </c>
      <c r="N348" s="106" t="str">
        <f t="shared" si="315"/>
        <v>¥0</v>
      </c>
      <c r="O348" s="134"/>
      <c r="P348" s="104">
        <f t="shared" si="377"/>
        <v>0</v>
      </c>
      <c r="Q348" s="104">
        <f t="shared" si="378"/>
        <v>0</v>
      </c>
      <c r="R348" s="108">
        <f t="shared" si="316"/>
        <v>0</v>
      </c>
      <c r="S348" s="109">
        <f t="shared" si="317"/>
        <v>0</v>
      </c>
      <c r="T348" s="131"/>
      <c r="U348" s="104">
        <f t="shared" si="322"/>
        <v>0</v>
      </c>
      <c r="V348" s="104">
        <f t="shared" si="323"/>
        <v>0</v>
      </c>
      <c r="W348" s="111">
        <f t="shared" si="318"/>
        <v>0</v>
      </c>
      <c r="X348" s="112">
        <f t="shared" si="319"/>
        <v>0</v>
      </c>
      <c r="Y348" s="113">
        <f t="shared" ref="Y348:Z348" si="401">Y347+1</f>
        <v>45985</v>
      </c>
      <c r="Z348" s="114">
        <f t="shared" si="401"/>
        <v>45985</v>
      </c>
      <c r="AA348" s="39"/>
      <c r="AB348" s="39"/>
      <c r="AC348" s="39"/>
      <c r="AD348" s="39"/>
      <c r="AE348" s="39"/>
      <c r="AF348" s="39"/>
      <c r="AG348" s="39"/>
    </row>
    <row r="349" spans="1:33" ht="16.5" customHeight="1">
      <c r="A349" s="39"/>
      <c r="B349" s="50"/>
      <c r="C349" s="95">
        <v>329</v>
      </c>
      <c r="D349" s="96">
        <v>1</v>
      </c>
      <c r="E349" s="97">
        <f t="shared" si="312"/>
        <v>11</v>
      </c>
      <c r="F349" s="98">
        <f t="shared" si="321"/>
        <v>45986</v>
      </c>
      <c r="G349" s="99" t="str">
        <f t="shared" si="313"/>
        <v>Tue</v>
      </c>
      <c r="H349" s="100"/>
      <c r="I349" s="101"/>
      <c r="J349" s="135"/>
      <c r="K349" s="136"/>
      <c r="L349" s="104">
        <f t="shared" si="375"/>
        <v>103092.78350515464</v>
      </c>
      <c r="M349" s="105">
        <f t="shared" si="314"/>
        <v>-103092.78350515464</v>
      </c>
      <c r="N349" s="106">
        <f t="shared" si="315"/>
        <v>0</v>
      </c>
      <c r="O349" s="133"/>
      <c r="P349" s="104">
        <f t="shared" si="377"/>
        <v>1752577.3195876284</v>
      </c>
      <c r="Q349" s="104">
        <f t="shared" si="378"/>
        <v>606850</v>
      </c>
      <c r="R349" s="108">
        <f t="shared" si="316"/>
        <v>-1145727.3195876284</v>
      </c>
      <c r="S349" s="109">
        <f t="shared" si="317"/>
        <v>0.34626147058823542</v>
      </c>
      <c r="T349" s="125"/>
      <c r="U349" s="104">
        <f t="shared" si="322"/>
        <v>26711340.206185445</v>
      </c>
      <c r="V349" s="104">
        <f t="shared" si="323"/>
        <v>21736375</v>
      </c>
      <c r="W349" s="111">
        <f t="shared" si="318"/>
        <v>-4974965.2061854452</v>
      </c>
      <c r="X349" s="112">
        <f t="shared" si="319"/>
        <v>0.81375082014666522</v>
      </c>
      <c r="Y349" s="113">
        <f t="shared" ref="Y349:Z349" si="402">Y348+1</f>
        <v>45986</v>
      </c>
      <c r="Z349" s="114">
        <f t="shared" si="402"/>
        <v>45986</v>
      </c>
      <c r="AA349" s="39"/>
      <c r="AB349" s="39"/>
      <c r="AC349" s="39"/>
      <c r="AD349" s="39"/>
      <c r="AE349" s="39"/>
      <c r="AF349" s="39"/>
      <c r="AG349" s="39"/>
    </row>
    <row r="350" spans="1:33" ht="16.5" customHeight="1">
      <c r="A350" s="39"/>
      <c r="B350" s="50"/>
      <c r="C350" s="95">
        <v>330</v>
      </c>
      <c r="D350" s="96">
        <v>1</v>
      </c>
      <c r="E350" s="97">
        <f t="shared" si="312"/>
        <v>11</v>
      </c>
      <c r="F350" s="98">
        <f t="shared" si="321"/>
        <v>45987</v>
      </c>
      <c r="G350" s="99" t="str">
        <f t="shared" si="313"/>
        <v>Wed</v>
      </c>
      <c r="H350" s="100"/>
      <c r="I350" s="101"/>
      <c r="J350" s="135"/>
      <c r="K350" s="136"/>
      <c r="L350" s="104">
        <f t="shared" si="375"/>
        <v>103092.78350515464</v>
      </c>
      <c r="M350" s="105">
        <f t="shared" si="314"/>
        <v>-103092.78350515464</v>
      </c>
      <c r="N350" s="106">
        <f t="shared" si="315"/>
        <v>0</v>
      </c>
      <c r="O350" s="133"/>
      <c r="P350" s="104">
        <f t="shared" si="377"/>
        <v>1855670.1030927829</v>
      </c>
      <c r="Q350" s="104">
        <f t="shared" si="378"/>
        <v>606850</v>
      </c>
      <c r="R350" s="108">
        <f t="shared" si="316"/>
        <v>-1248820.1030927829</v>
      </c>
      <c r="S350" s="109">
        <f t="shared" si="317"/>
        <v>0.32702472222222234</v>
      </c>
      <c r="T350" s="125"/>
      <c r="U350" s="104">
        <f t="shared" si="322"/>
        <v>26814432.989690598</v>
      </c>
      <c r="V350" s="104">
        <f t="shared" si="323"/>
        <v>21736375</v>
      </c>
      <c r="W350" s="111">
        <f t="shared" si="318"/>
        <v>-5078057.9896905981</v>
      </c>
      <c r="X350" s="112">
        <f t="shared" si="319"/>
        <v>0.81062221261053813</v>
      </c>
      <c r="Y350" s="113">
        <f t="shared" ref="Y350:Z350" si="403">Y349+1</f>
        <v>45987</v>
      </c>
      <c r="Z350" s="114">
        <f t="shared" si="403"/>
        <v>45987</v>
      </c>
      <c r="AA350" s="39"/>
      <c r="AB350" s="39"/>
      <c r="AC350" s="39"/>
      <c r="AD350" s="39"/>
      <c r="AE350" s="39"/>
      <c r="AF350" s="39"/>
      <c r="AG350" s="39"/>
    </row>
    <row r="351" spans="1:33" ht="16.5" customHeight="1">
      <c r="A351" s="39"/>
      <c r="B351" s="50"/>
      <c r="C351" s="95">
        <v>331</v>
      </c>
      <c r="D351" s="96">
        <v>1</v>
      </c>
      <c r="E351" s="97">
        <f t="shared" si="312"/>
        <v>11</v>
      </c>
      <c r="F351" s="98">
        <f t="shared" si="321"/>
        <v>45988</v>
      </c>
      <c r="G351" s="99" t="str">
        <f t="shared" si="313"/>
        <v>Thu</v>
      </c>
      <c r="H351" s="100"/>
      <c r="I351" s="101"/>
      <c r="J351" s="135"/>
      <c r="K351" s="136"/>
      <c r="L351" s="104">
        <f t="shared" si="375"/>
        <v>103092.78350515464</v>
      </c>
      <c r="M351" s="105">
        <f t="shared" si="314"/>
        <v>-103092.78350515464</v>
      </c>
      <c r="N351" s="106">
        <f t="shared" si="315"/>
        <v>0</v>
      </c>
      <c r="O351" s="133"/>
      <c r="P351" s="104">
        <f t="shared" si="377"/>
        <v>1958762.8865979374</v>
      </c>
      <c r="Q351" s="104">
        <f t="shared" si="378"/>
        <v>606850</v>
      </c>
      <c r="R351" s="108">
        <f t="shared" si="316"/>
        <v>-1351912.8865979374</v>
      </c>
      <c r="S351" s="109">
        <f t="shared" si="317"/>
        <v>0.3098128947368422</v>
      </c>
      <c r="T351" s="125"/>
      <c r="U351" s="104">
        <f t="shared" si="322"/>
        <v>26917525.773195751</v>
      </c>
      <c r="V351" s="104">
        <f t="shared" si="323"/>
        <v>21736375</v>
      </c>
      <c r="W351" s="111">
        <f t="shared" si="318"/>
        <v>-5181150.773195751</v>
      </c>
      <c r="X351" s="112">
        <f t="shared" si="319"/>
        <v>0.80751756989659507</v>
      </c>
      <c r="Y351" s="113">
        <f t="shared" ref="Y351:Z351" si="404">Y350+1</f>
        <v>45988</v>
      </c>
      <c r="Z351" s="114">
        <f t="shared" si="404"/>
        <v>45988</v>
      </c>
      <c r="AA351" s="39"/>
      <c r="AB351" s="39"/>
      <c r="AC351" s="39"/>
      <c r="AD351" s="39"/>
      <c r="AE351" s="39"/>
      <c r="AF351" s="39"/>
      <c r="AG351" s="39"/>
    </row>
    <row r="352" spans="1:33" ht="16.5" customHeight="1">
      <c r="A352" s="39"/>
      <c r="B352" s="50"/>
      <c r="C352" s="95">
        <v>332</v>
      </c>
      <c r="D352" s="96">
        <v>1</v>
      </c>
      <c r="E352" s="97">
        <f t="shared" si="312"/>
        <v>11</v>
      </c>
      <c r="F352" s="98">
        <f t="shared" si="321"/>
        <v>45989</v>
      </c>
      <c r="G352" s="99" t="str">
        <f t="shared" si="313"/>
        <v>Fri</v>
      </c>
      <c r="H352" s="100"/>
      <c r="I352" s="101"/>
      <c r="J352" s="135"/>
      <c r="K352" s="136"/>
      <c r="L352" s="104">
        <f t="shared" si="375"/>
        <v>103092.78350515464</v>
      </c>
      <c r="M352" s="105">
        <f t="shared" si="314"/>
        <v>-103092.78350515464</v>
      </c>
      <c r="N352" s="106">
        <f t="shared" si="315"/>
        <v>0</v>
      </c>
      <c r="O352" s="133"/>
      <c r="P352" s="104">
        <f t="shared" si="377"/>
        <v>2061855.670103092</v>
      </c>
      <c r="Q352" s="104">
        <f t="shared" si="378"/>
        <v>606850</v>
      </c>
      <c r="R352" s="108">
        <f t="shared" si="316"/>
        <v>-1455005.670103092</v>
      </c>
      <c r="S352" s="109">
        <f t="shared" si="317"/>
        <v>0.29432225000000012</v>
      </c>
      <c r="T352" s="125"/>
      <c r="U352" s="104">
        <f t="shared" si="322"/>
        <v>27020618.556700904</v>
      </c>
      <c r="V352" s="104">
        <f t="shared" si="323"/>
        <v>21736375</v>
      </c>
      <c r="W352" s="111">
        <f t="shared" si="318"/>
        <v>-5284243.5567009039</v>
      </c>
      <c r="X352" s="112">
        <f t="shared" si="319"/>
        <v>0.80443661770317054</v>
      </c>
      <c r="Y352" s="113">
        <f t="shared" ref="Y352:Z352" si="405">Y351+1</f>
        <v>45989</v>
      </c>
      <c r="Z352" s="114">
        <f t="shared" si="405"/>
        <v>45989</v>
      </c>
      <c r="AA352" s="39"/>
      <c r="AB352" s="39"/>
      <c r="AC352" s="39"/>
      <c r="AD352" s="39"/>
      <c r="AE352" s="39"/>
      <c r="AF352" s="39"/>
      <c r="AG352" s="39"/>
    </row>
    <row r="353" spans="1:33" ht="16.5" customHeight="1">
      <c r="A353" s="39"/>
      <c r="B353" s="50"/>
      <c r="C353" s="95">
        <v>333</v>
      </c>
      <c r="D353" s="96">
        <v>1</v>
      </c>
      <c r="E353" s="97">
        <f t="shared" si="312"/>
        <v>11</v>
      </c>
      <c r="F353" s="98">
        <f t="shared" si="321"/>
        <v>45990</v>
      </c>
      <c r="G353" s="99" t="str">
        <f t="shared" si="313"/>
        <v>Sat</v>
      </c>
      <c r="H353" s="100"/>
      <c r="I353" s="101"/>
      <c r="J353" s="135"/>
      <c r="K353" s="136"/>
      <c r="L353" s="104">
        <f t="shared" si="375"/>
        <v>103092.78350515464</v>
      </c>
      <c r="M353" s="105">
        <f t="shared" si="314"/>
        <v>-103092.78350515464</v>
      </c>
      <c r="N353" s="106">
        <f t="shared" si="315"/>
        <v>0</v>
      </c>
      <c r="O353" s="133"/>
      <c r="P353" s="104">
        <f t="shared" si="377"/>
        <v>2164948.4536082465</v>
      </c>
      <c r="Q353" s="104">
        <f t="shared" si="378"/>
        <v>606850</v>
      </c>
      <c r="R353" s="108">
        <f t="shared" si="316"/>
        <v>-1558098.4536082465</v>
      </c>
      <c r="S353" s="109">
        <f t="shared" si="317"/>
        <v>0.2803069047619049</v>
      </c>
      <c r="T353" s="125"/>
      <c r="U353" s="104">
        <f t="shared" si="322"/>
        <v>27123711.340206057</v>
      </c>
      <c r="V353" s="104">
        <f t="shared" si="323"/>
        <v>21736375</v>
      </c>
      <c r="W353" s="111">
        <f t="shared" si="318"/>
        <v>-5387336.3402060568</v>
      </c>
      <c r="X353" s="112">
        <f t="shared" si="319"/>
        <v>0.80137908589890161</v>
      </c>
      <c r="Y353" s="113">
        <f t="shared" ref="Y353:Z353" si="406">Y352+1</f>
        <v>45990</v>
      </c>
      <c r="Z353" s="114">
        <f t="shared" si="406"/>
        <v>45990</v>
      </c>
      <c r="AA353" s="39"/>
      <c r="AB353" s="39"/>
      <c r="AC353" s="39"/>
      <c r="AD353" s="39"/>
      <c r="AE353" s="39"/>
      <c r="AF353" s="39"/>
      <c r="AG353" s="39"/>
    </row>
    <row r="354" spans="1:33" ht="16.5" customHeight="1">
      <c r="A354" s="39"/>
      <c r="B354" s="50"/>
      <c r="C354" s="160">
        <v>334</v>
      </c>
      <c r="D354" s="138">
        <v>1</v>
      </c>
      <c r="E354" s="139">
        <f t="shared" si="312"/>
        <v>11</v>
      </c>
      <c r="F354" s="163">
        <f t="shared" si="321"/>
        <v>45991</v>
      </c>
      <c r="G354" s="141" t="str">
        <f t="shared" si="313"/>
        <v>Sun</v>
      </c>
      <c r="H354" s="159"/>
      <c r="I354" s="143"/>
      <c r="J354" s="164"/>
      <c r="K354" s="145"/>
      <c r="L354" s="165">
        <f t="shared" si="375"/>
        <v>103092.78350515464</v>
      </c>
      <c r="M354" s="147">
        <f t="shared" si="314"/>
        <v>-103092.78350515464</v>
      </c>
      <c r="N354" s="148">
        <f t="shared" si="315"/>
        <v>0</v>
      </c>
      <c r="O354" s="168"/>
      <c r="P354" s="150">
        <f t="shared" si="377"/>
        <v>2268041.2371134013</v>
      </c>
      <c r="Q354" s="165">
        <f t="shared" si="378"/>
        <v>606850</v>
      </c>
      <c r="R354" s="167">
        <f t="shared" si="316"/>
        <v>-1661191.2371134013</v>
      </c>
      <c r="S354" s="151">
        <f t="shared" si="317"/>
        <v>0.26756568181818191</v>
      </c>
      <c r="T354" s="169"/>
      <c r="U354" s="153">
        <f t="shared" si="322"/>
        <v>27226804.12371121</v>
      </c>
      <c r="V354" s="153">
        <f t="shared" si="323"/>
        <v>21736375</v>
      </c>
      <c r="W354" s="153">
        <f t="shared" si="318"/>
        <v>-5490429.1237112097</v>
      </c>
      <c r="X354" s="154">
        <f t="shared" si="319"/>
        <v>0.79834470844377514</v>
      </c>
      <c r="Y354" s="113">
        <f t="shared" ref="Y354:Z354" si="407">Y353+1</f>
        <v>45991</v>
      </c>
      <c r="Z354" s="114">
        <f t="shared" si="407"/>
        <v>45991</v>
      </c>
      <c r="AA354" s="39"/>
      <c r="AB354" s="39"/>
      <c r="AC354" s="39"/>
      <c r="AD354" s="39"/>
      <c r="AE354" s="39"/>
      <c r="AF354" s="39"/>
      <c r="AG354" s="39"/>
    </row>
    <row r="355" spans="1:33" ht="16.5" customHeight="1">
      <c r="A355" s="39"/>
      <c r="B355" s="50"/>
      <c r="C355" s="95">
        <v>335</v>
      </c>
      <c r="D355" s="155">
        <v>0</v>
      </c>
      <c r="E355" s="97">
        <f t="shared" si="312"/>
        <v>12</v>
      </c>
      <c r="F355" s="98">
        <f t="shared" si="321"/>
        <v>45992</v>
      </c>
      <c r="G355" s="99" t="str">
        <f t="shared" si="313"/>
        <v>Mon</v>
      </c>
      <c r="H355" s="100"/>
      <c r="I355" s="101"/>
      <c r="J355" s="135"/>
      <c r="K355" s="136"/>
      <c r="L355" s="104">
        <f t="shared" ref="L355:L385" si="408">IF(D355=0,0,$K$18)</f>
        <v>0</v>
      </c>
      <c r="M355" s="108">
        <f t="shared" si="314"/>
        <v>0</v>
      </c>
      <c r="N355" s="156" t="str">
        <f t="shared" si="315"/>
        <v>¥0</v>
      </c>
      <c r="O355" s="133"/>
      <c r="P355" s="104">
        <f>IF(D355=0,0,$L$355)</f>
        <v>0</v>
      </c>
      <c r="Q355" s="104">
        <f>IF(D355=0,0,$J$355)</f>
        <v>0</v>
      </c>
      <c r="R355" s="108">
        <f t="shared" si="316"/>
        <v>0</v>
      </c>
      <c r="S355" s="157">
        <f t="shared" si="317"/>
        <v>0</v>
      </c>
      <c r="T355" s="125"/>
      <c r="U355" s="104">
        <f t="shared" si="322"/>
        <v>0</v>
      </c>
      <c r="V355" s="104">
        <f t="shared" si="323"/>
        <v>0</v>
      </c>
      <c r="W355" s="111">
        <f t="shared" si="318"/>
        <v>0</v>
      </c>
      <c r="X355" s="158">
        <f t="shared" si="319"/>
        <v>0</v>
      </c>
      <c r="Y355" s="113">
        <f t="shared" ref="Y355:Z355" si="409">Y354+1</f>
        <v>45992</v>
      </c>
      <c r="Z355" s="114">
        <f t="shared" si="409"/>
        <v>45992</v>
      </c>
      <c r="AA355" s="39"/>
      <c r="AB355" s="39"/>
      <c r="AC355" s="39"/>
      <c r="AD355" s="39"/>
      <c r="AE355" s="39"/>
      <c r="AF355" s="39"/>
      <c r="AG355" s="39"/>
    </row>
    <row r="356" spans="1:33" ht="16.5" customHeight="1">
      <c r="A356" s="39"/>
      <c r="B356" s="50"/>
      <c r="C356" s="95">
        <v>336</v>
      </c>
      <c r="D356" s="96">
        <v>1</v>
      </c>
      <c r="E356" s="97">
        <f t="shared" si="312"/>
        <v>12</v>
      </c>
      <c r="F356" s="98">
        <f t="shared" si="321"/>
        <v>45993</v>
      </c>
      <c r="G356" s="99" t="str">
        <f t="shared" si="313"/>
        <v>Tue</v>
      </c>
      <c r="H356" s="100"/>
      <c r="I356" s="101"/>
      <c r="J356" s="135"/>
      <c r="K356" s="136"/>
      <c r="L356" s="104">
        <f t="shared" si="408"/>
        <v>118556.70103092783</v>
      </c>
      <c r="M356" s="105">
        <f t="shared" si="314"/>
        <v>-118556.70103092783</v>
      </c>
      <c r="N356" s="106">
        <f t="shared" si="315"/>
        <v>0</v>
      </c>
      <c r="O356" s="133"/>
      <c r="P356" s="170">
        <f t="shared" ref="P356:P385" si="410">IF(D356=0,0,SUM($L$355:L356))</f>
        <v>118556.70103092783</v>
      </c>
      <c r="Q356" s="104">
        <f t="shared" ref="Q356:Q385" si="411">IF(D356=0,0,SUM($J$355:J356))</f>
        <v>0</v>
      </c>
      <c r="R356" s="108">
        <f t="shared" si="316"/>
        <v>-118556.70103092783</v>
      </c>
      <c r="S356" s="109">
        <f t="shared" si="317"/>
        <v>0</v>
      </c>
      <c r="T356" s="125"/>
      <c r="U356" s="104">
        <f t="shared" si="322"/>
        <v>27345360.824742138</v>
      </c>
      <c r="V356" s="104">
        <f t="shared" si="323"/>
        <v>21736375</v>
      </c>
      <c r="W356" s="111">
        <f t="shared" si="318"/>
        <v>-5608985.8247421384</v>
      </c>
      <c r="X356" s="112">
        <f t="shared" si="319"/>
        <v>0.79488345900094626</v>
      </c>
      <c r="Y356" s="113">
        <f t="shared" ref="Y356:Z356" si="412">Y355+1</f>
        <v>45993</v>
      </c>
      <c r="Z356" s="114">
        <f t="shared" si="412"/>
        <v>45993</v>
      </c>
      <c r="AA356" s="39"/>
      <c r="AB356" s="39"/>
      <c r="AC356" s="39"/>
      <c r="AD356" s="39"/>
      <c r="AE356" s="39"/>
      <c r="AF356" s="39"/>
      <c r="AG356" s="39"/>
    </row>
    <row r="357" spans="1:33" ht="16.5" customHeight="1">
      <c r="A357" s="39"/>
      <c r="B357" s="50"/>
      <c r="C357" s="95">
        <v>337</v>
      </c>
      <c r="D357" s="96">
        <v>1</v>
      </c>
      <c r="E357" s="97">
        <f t="shared" si="312"/>
        <v>12</v>
      </c>
      <c r="F357" s="98">
        <f t="shared" si="321"/>
        <v>45994</v>
      </c>
      <c r="G357" s="99" t="str">
        <f t="shared" si="313"/>
        <v>Wed</v>
      </c>
      <c r="H357" s="100"/>
      <c r="I357" s="101"/>
      <c r="J357" s="135"/>
      <c r="K357" s="136"/>
      <c r="L357" s="104">
        <f t="shared" si="408"/>
        <v>118556.70103092783</v>
      </c>
      <c r="M357" s="105">
        <f t="shared" si="314"/>
        <v>-118556.70103092783</v>
      </c>
      <c r="N357" s="106">
        <f t="shared" si="315"/>
        <v>0</v>
      </c>
      <c r="O357" s="133"/>
      <c r="P357" s="111">
        <f t="shared" si="410"/>
        <v>237113.40206185565</v>
      </c>
      <c r="Q357" s="104">
        <f t="shared" si="411"/>
        <v>0</v>
      </c>
      <c r="R357" s="108">
        <f t="shared" si="316"/>
        <v>-237113.40206185565</v>
      </c>
      <c r="S357" s="109">
        <f t="shared" si="317"/>
        <v>0</v>
      </c>
      <c r="T357" s="125"/>
      <c r="U357" s="104">
        <f t="shared" si="322"/>
        <v>27463917.525773067</v>
      </c>
      <c r="V357" s="104">
        <f t="shared" si="323"/>
        <v>21736375</v>
      </c>
      <c r="W357" s="111">
        <f t="shared" si="318"/>
        <v>-5727542.525773067</v>
      </c>
      <c r="X357" s="112">
        <f t="shared" si="319"/>
        <v>0.79145209271772143</v>
      </c>
      <c r="Y357" s="113">
        <f t="shared" ref="Y357:Z357" si="413">Y356+1</f>
        <v>45994</v>
      </c>
      <c r="Z357" s="114">
        <f t="shared" si="413"/>
        <v>45994</v>
      </c>
      <c r="AA357" s="39"/>
      <c r="AB357" s="39"/>
      <c r="AC357" s="39"/>
      <c r="AD357" s="39"/>
      <c r="AE357" s="39"/>
      <c r="AF357" s="39"/>
      <c r="AG357" s="39"/>
    </row>
    <row r="358" spans="1:33" ht="16.5" customHeight="1">
      <c r="A358" s="39"/>
      <c r="B358" s="50"/>
      <c r="C358" s="95">
        <v>338</v>
      </c>
      <c r="D358" s="96">
        <v>1</v>
      </c>
      <c r="E358" s="97">
        <f t="shared" si="312"/>
        <v>12</v>
      </c>
      <c r="F358" s="98">
        <f t="shared" si="321"/>
        <v>45995</v>
      </c>
      <c r="G358" s="99" t="str">
        <f t="shared" si="313"/>
        <v>Thu</v>
      </c>
      <c r="H358" s="100"/>
      <c r="I358" s="101"/>
      <c r="J358" s="135"/>
      <c r="K358" s="136"/>
      <c r="L358" s="104">
        <f t="shared" si="408"/>
        <v>118556.70103092783</v>
      </c>
      <c r="M358" s="105">
        <f t="shared" si="314"/>
        <v>-118556.70103092783</v>
      </c>
      <c r="N358" s="106">
        <f t="shared" si="315"/>
        <v>0</v>
      </c>
      <c r="O358" s="133"/>
      <c r="P358" s="111">
        <f t="shared" si="410"/>
        <v>355670.10309278348</v>
      </c>
      <c r="Q358" s="104">
        <f t="shared" si="411"/>
        <v>0</v>
      </c>
      <c r="R358" s="108">
        <f t="shared" si="316"/>
        <v>-355670.10309278348</v>
      </c>
      <c r="S358" s="109">
        <f t="shared" si="317"/>
        <v>0</v>
      </c>
      <c r="T358" s="125"/>
      <c r="U358" s="104">
        <f t="shared" si="322"/>
        <v>27582474.226803996</v>
      </c>
      <c r="V358" s="104">
        <f t="shared" si="323"/>
        <v>21736375</v>
      </c>
      <c r="W358" s="111">
        <f t="shared" si="318"/>
        <v>-5846099.2268039957</v>
      </c>
      <c r="X358" s="112">
        <f t="shared" si="319"/>
        <v>0.78805022425715188</v>
      </c>
      <c r="Y358" s="113">
        <f t="shared" ref="Y358:Z358" si="414">Y357+1</f>
        <v>45995</v>
      </c>
      <c r="Z358" s="114">
        <f t="shared" si="414"/>
        <v>45995</v>
      </c>
      <c r="AA358" s="39"/>
      <c r="AB358" s="39"/>
      <c r="AC358" s="39"/>
      <c r="AD358" s="39"/>
      <c r="AE358" s="39"/>
      <c r="AF358" s="39"/>
      <c r="AG358" s="39"/>
    </row>
    <row r="359" spans="1:33" ht="16.5" customHeight="1">
      <c r="A359" s="39"/>
      <c r="B359" s="50"/>
      <c r="C359" s="95">
        <v>339</v>
      </c>
      <c r="D359" s="96">
        <v>1</v>
      </c>
      <c r="E359" s="97">
        <f t="shared" si="312"/>
        <v>12</v>
      </c>
      <c r="F359" s="98">
        <f t="shared" si="321"/>
        <v>45996</v>
      </c>
      <c r="G359" s="99" t="str">
        <f t="shared" si="313"/>
        <v>Fri</v>
      </c>
      <c r="H359" s="100"/>
      <c r="I359" s="101"/>
      <c r="J359" s="135"/>
      <c r="K359" s="136"/>
      <c r="L359" s="104">
        <f t="shared" si="408"/>
        <v>118556.70103092783</v>
      </c>
      <c r="M359" s="105">
        <f t="shared" si="314"/>
        <v>-118556.70103092783</v>
      </c>
      <c r="N359" s="106">
        <f t="shared" si="315"/>
        <v>0</v>
      </c>
      <c r="O359" s="133"/>
      <c r="P359" s="111">
        <f t="shared" si="410"/>
        <v>474226.80412371131</v>
      </c>
      <c r="Q359" s="104">
        <f t="shared" si="411"/>
        <v>0</v>
      </c>
      <c r="R359" s="108">
        <f t="shared" si="316"/>
        <v>-474226.80412371131</v>
      </c>
      <c r="S359" s="109">
        <f t="shared" si="317"/>
        <v>0</v>
      </c>
      <c r="T359" s="125"/>
      <c r="U359" s="104">
        <f t="shared" si="322"/>
        <v>27701030.927834924</v>
      </c>
      <c r="V359" s="104">
        <f t="shared" si="323"/>
        <v>21736375</v>
      </c>
      <c r="W359" s="111">
        <f t="shared" si="318"/>
        <v>-5964655.9278349243</v>
      </c>
      <c r="X359" s="112">
        <f t="shared" si="319"/>
        <v>0.78467747487905082</v>
      </c>
      <c r="Y359" s="113">
        <f t="shared" ref="Y359:Z359" si="415">Y358+1</f>
        <v>45996</v>
      </c>
      <c r="Z359" s="114">
        <f t="shared" si="415"/>
        <v>45996</v>
      </c>
      <c r="AA359" s="39"/>
      <c r="AB359" s="39"/>
      <c r="AC359" s="39"/>
      <c r="AD359" s="39"/>
      <c r="AE359" s="39"/>
      <c r="AF359" s="39"/>
      <c r="AG359" s="39"/>
    </row>
    <row r="360" spans="1:33" ht="16.5" customHeight="1">
      <c r="A360" s="39"/>
      <c r="B360" s="50"/>
      <c r="C360" s="95">
        <v>340</v>
      </c>
      <c r="D360" s="96">
        <v>1</v>
      </c>
      <c r="E360" s="97">
        <f t="shared" si="312"/>
        <v>12</v>
      </c>
      <c r="F360" s="98">
        <f t="shared" si="321"/>
        <v>45997</v>
      </c>
      <c r="G360" s="99" t="str">
        <f t="shared" si="313"/>
        <v>Sat</v>
      </c>
      <c r="H360" s="100"/>
      <c r="I360" s="101"/>
      <c r="J360" s="135"/>
      <c r="K360" s="136"/>
      <c r="L360" s="104">
        <f t="shared" si="408"/>
        <v>118556.70103092783</v>
      </c>
      <c r="M360" s="105">
        <f t="shared" si="314"/>
        <v>-118556.70103092783</v>
      </c>
      <c r="N360" s="106">
        <f t="shared" si="315"/>
        <v>0</v>
      </c>
      <c r="O360" s="133"/>
      <c r="P360" s="111">
        <f t="shared" si="410"/>
        <v>592783.50515463913</v>
      </c>
      <c r="Q360" s="104">
        <f t="shared" si="411"/>
        <v>0</v>
      </c>
      <c r="R360" s="108">
        <f t="shared" si="316"/>
        <v>-592783.50515463913</v>
      </c>
      <c r="S360" s="109">
        <f t="shared" si="317"/>
        <v>0</v>
      </c>
      <c r="T360" s="125"/>
      <c r="U360" s="104">
        <f t="shared" si="322"/>
        <v>27819587.628865853</v>
      </c>
      <c r="V360" s="104">
        <f t="shared" si="323"/>
        <v>21736375</v>
      </c>
      <c r="W360" s="111">
        <f t="shared" si="318"/>
        <v>-6083212.628865853</v>
      </c>
      <c r="X360" s="112">
        <f t="shared" si="319"/>
        <v>0.78133347229942918</v>
      </c>
      <c r="Y360" s="113">
        <f t="shared" ref="Y360:Z360" si="416">Y359+1</f>
        <v>45997</v>
      </c>
      <c r="Z360" s="114">
        <f t="shared" si="416"/>
        <v>45997</v>
      </c>
      <c r="AA360" s="39"/>
      <c r="AB360" s="39"/>
      <c r="AC360" s="39"/>
      <c r="AD360" s="39"/>
      <c r="AE360" s="39"/>
      <c r="AF360" s="39"/>
      <c r="AG360" s="39"/>
    </row>
    <row r="361" spans="1:33" ht="16.5" customHeight="1">
      <c r="A361" s="39"/>
      <c r="B361" s="50"/>
      <c r="C361" s="95">
        <v>341</v>
      </c>
      <c r="D361" s="96">
        <v>1</v>
      </c>
      <c r="E361" s="97">
        <f t="shared" si="312"/>
        <v>12</v>
      </c>
      <c r="F361" s="98">
        <f t="shared" si="321"/>
        <v>45998</v>
      </c>
      <c r="G361" s="99" t="str">
        <f t="shared" si="313"/>
        <v>Sun</v>
      </c>
      <c r="H361" s="100"/>
      <c r="I361" s="101"/>
      <c r="J361" s="135"/>
      <c r="K361" s="136"/>
      <c r="L361" s="104">
        <f t="shared" si="408"/>
        <v>118556.70103092783</v>
      </c>
      <c r="M361" s="105">
        <f t="shared" si="314"/>
        <v>-118556.70103092783</v>
      </c>
      <c r="N361" s="106">
        <f t="shared" si="315"/>
        <v>0</v>
      </c>
      <c r="O361" s="134"/>
      <c r="P361" s="111">
        <f t="shared" si="410"/>
        <v>711340.20618556696</v>
      </c>
      <c r="Q361" s="104">
        <f t="shared" si="411"/>
        <v>0</v>
      </c>
      <c r="R361" s="108">
        <f t="shared" si="316"/>
        <v>-711340.20618556696</v>
      </c>
      <c r="S361" s="109">
        <f t="shared" si="317"/>
        <v>0</v>
      </c>
      <c r="T361" s="131"/>
      <c r="U361" s="104">
        <f t="shared" si="322"/>
        <v>27938144.329896782</v>
      </c>
      <c r="V361" s="104">
        <f t="shared" si="323"/>
        <v>21736375</v>
      </c>
      <c r="W361" s="111">
        <f t="shared" si="318"/>
        <v>-6201769.3298967816</v>
      </c>
      <c r="X361" s="112">
        <f t="shared" si="319"/>
        <v>0.77801785055350903</v>
      </c>
      <c r="Y361" s="113">
        <f t="shared" ref="Y361:Z361" si="417">Y360+1</f>
        <v>45998</v>
      </c>
      <c r="Z361" s="114">
        <f t="shared" si="417"/>
        <v>45998</v>
      </c>
      <c r="AA361" s="39"/>
      <c r="AB361" s="39"/>
      <c r="AC361" s="39"/>
      <c r="AD361" s="39"/>
      <c r="AE361" s="39"/>
      <c r="AF361" s="39"/>
      <c r="AG361" s="39"/>
    </row>
    <row r="362" spans="1:33" ht="16.5" customHeight="1">
      <c r="A362" s="39"/>
      <c r="B362" s="50"/>
      <c r="C362" s="95">
        <v>342</v>
      </c>
      <c r="D362" s="96">
        <v>0</v>
      </c>
      <c r="E362" s="97">
        <f t="shared" si="312"/>
        <v>12</v>
      </c>
      <c r="F362" s="98">
        <f t="shared" si="321"/>
        <v>45999</v>
      </c>
      <c r="G362" s="99" t="str">
        <f t="shared" si="313"/>
        <v>Mon</v>
      </c>
      <c r="H362" s="100"/>
      <c r="I362" s="101"/>
      <c r="J362" s="135"/>
      <c r="K362" s="136"/>
      <c r="L362" s="104">
        <f t="shared" si="408"/>
        <v>0</v>
      </c>
      <c r="M362" s="105">
        <f t="shared" si="314"/>
        <v>0</v>
      </c>
      <c r="N362" s="106" t="str">
        <f t="shared" si="315"/>
        <v>¥0</v>
      </c>
      <c r="O362" s="133"/>
      <c r="P362" s="111">
        <f t="shared" si="410"/>
        <v>0</v>
      </c>
      <c r="Q362" s="104">
        <f t="shared" si="411"/>
        <v>0</v>
      </c>
      <c r="R362" s="108">
        <f t="shared" si="316"/>
        <v>0</v>
      </c>
      <c r="S362" s="109">
        <f t="shared" si="317"/>
        <v>0</v>
      </c>
      <c r="T362" s="125"/>
      <c r="U362" s="104">
        <f t="shared" si="322"/>
        <v>0</v>
      </c>
      <c r="V362" s="104">
        <f t="shared" si="323"/>
        <v>0</v>
      </c>
      <c r="W362" s="111">
        <f t="shared" si="318"/>
        <v>0</v>
      </c>
      <c r="X362" s="112">
        <f t="shared" si="319"/>
        <v>0</v>
      </c>
      <c r="Y362" s="113">
        <f t="shared" ref="Y362:Z362" si="418">Y361+1</f>
        <v>45999</v>
      </c>
      <c r="Z362" s="114">
        <f t="shared" si="418"/>
        <v>45999</v>
      </c>
      <c r="AA362" s="39"/>
      <c r="AB362" s="39"/>
      <c r="AC362" s="39"/>
      <c r="AD362" s="39"/>
      <c r="AE362" s="39"/>
      <c r="AF362" s="39"/>
      <c r="AG362" s="39"/>
    </row>
    <row r="363" spans="1:33" ht="16.5" customHeight="1">
      <c r="A363" s="39"/>
      <c r="B363" s="50"/>
      <c r="C363" s="95">
        <v>343</v>
      </c>
      <c r="D363" s="96">
        <v>1</v>
      </c>
      <c r="E363" s="97">
        <f t="shared" si="312"/>
        <v>12</v>
      </c>
      <c r="F363" s="98">
        <f t="shared" si="321"/>
        <v>46000</v>
      </c>
      <c r="G363" s="99" t="str">
        <f t="shared" si="313"/>
        <v>Tue</v>
      </c>
      <c r="H363" s="100"/>
      <c r="I363" s="101"/>
      <c r="J363" s="135"/>
      <c r="K363" s="136"/>
      <c r="L363" s="104">
        <f t="shared" si="408"/>
        <v>118556.70103092783</v>
      </c>
      <c r="M363" s="105">
        <f t="shared" si="314"/>
        <v>-118556.70103092783</v>
      </c>
      <c r="N363" s="106">
        <f t="shared" si="315"/>
        <v>0</v>
      </c>
      <c r="O363" s="133"/>
      <c r="P363" s="111">
        <f t="shared" si="410"/>
        <v>829896.90721649479</v>
      </c>
      <c r="Q363" s="104">
        <f t="shared" si="411"/>
        <v>0</v>
      </c>
      <c r="R363" s="108">
        <f t="shared" si="316"/>
        <v>-829896.90721649479</v>
      </c>
      <c r="S363" s="109">
        <f t="shared" si="317"/>
        <v>0</v>
      </c>
      <c r="T363" s="125"/>
      <c r="U363" s="104">
        <f t="shared" si="322"/>
        <v>28056701.03092771</v>
      </c>
      <c r="V363" s="104">
        <f t="shared" si="323"/>
        <v>21736375</v>
      </c>
      <c r="W363" s="111">
        <f t="shared" si="318"/>
        <v>-6320326.0309277102</v>
      </c>
      <c r="X363" s="112">
        <f t="shared" si="319"/>
        <v>0.77473024986221184</v>
      </c>
      <c r="Y363" s="113">
        <f t="shared" ref="Y363:Z363" si="419">Y362+1</f>
        <v>46000</v>
      </c>
      <c r="Z363" s="114">
        <f t="shared" si="419"/>
        <v>46000</v>
      </c>
      <c r="AA363" s="39"/>
      <c r="AB363" s="39"/>
      <c r="AC363" s="39"/>
      <c r="AD363" s="39"/>
      <c r="AE363" s="39"/>
      <c r="AF363" s="39"/>
      <c r="AG363" s="39"/>
    </row>
    <row r="364" spans="1:33" ht="16.5" customHeight="1">
      <c r="A364" s="39"/>
      <c r="B364" s="50"/>
      <c r="C364" s="95">
        <v>344</v>
      </c>
      <c r="D364" s="96">
        <v>1</v>
      </c>
      <c r="E364" s="97">
        <f t="shared" si="312"/>
        <v>12</v>
      </c>
      <c r="F364" s="98">
        <f t="shared" si="321"/>
        <v>46001</v>
      </c>
      <c r="G364" s="99" t="str">
        <f t="shared" si="313"/>
        <v>Wed</v>
      </c>
      <c r="H364" s="100"/>
      <c r="I364" s="101"/>
      <c r="J364" s="135"/>
      <c r="K364" s="136"/>
      <c r="L364" s="104">
        <f t="shared" si="408"/>
        <v>118556.70103092783</v>
      </c>
      <c r="M364" s="105">
        <f t="shared" si="314"/>
        <v>-118556.70103092783</v>
      </c>
      <c r="N364" s="106">
        <f t="shared" si="315"/>
        <v>0</v>
      </c>
      <c r="O364" s="133"/>
      <c r="P364" s="111">
        <f t="shared" si="410"/>
        <v>948453.60824742261</v>
      </c>
      <c r="Q364" s="104">
        <f t="shared" si="411"/>
        <v>0</v>
      </c>
      <c r="R364" s="108">
        <f t="shared" si="316"/>
        <v>-948453.60824742261</v>
      </c>
      <c r="S364" s="109">
        <f t="shared" si="317"/>
        <v>0</v>
      </c>
      <c r="T364" s="125"/>
      <c r="U364" s="104">
        <f t="shared" si="322"/>
        <v>28175257.731958639</v>
      </c>
      <c r="V364" s="104">
        <f t="shared" si="323"/>
        <v>21736375</v>
      </c>
      <c r="W364" s="111">
        <f t="shared" si="318"/>
        <v>-6438882.7319586389</v>
      </c>
      <c r="X364" s="112">
        <f t="shared" si="319"/>
        <v>0.77147031650201581</v>
      </c>
      <c r="Y364" s="113">
        <f t="shared" ref="Y364:Z364" si="420">Y363+1</f>
        <v>46001</v>
      </c>
      <c r="Z364" s="114">
        <f t="shared" si="420"/>
        <v>46001</v>
      </c>
      <c r="AA364" s="39"/>
      <c r="AB364" s="39"/>
      <c r="AC364" s="39"/>
      <c r="AD364" s="39"/>
      <c r="AE364" s="39"/>
      <c r="AF364" s="39"/>
      <c r="AG364" s="39"/>
    </row>
    <row r="365" spans="1:33" ht="16.5" customHeight="1">
      <c r="A365" s="39"/>
      <c r="B365" s="50"/>
      <c r="C365" s="95">
        <v>345</v>
      </c>
      <c r="D365" s="96">
        <v>1</v>
      </c>
      <c r="E365" s="97">
        <f t="shared" si="312"/>
        <v>12</v>
      </c>
      <c r="F365" s="98">
        <f t="shared" si="321"/>
        <v>46002</v>
      </c>
      <c r="G365" s="99" t="str">
        <f t="shared" si="313"/>
        <v>Thu</v>
      </c>
      <c r="H365" s="100"/>
      <c r="I365" s="101"/>
      <c r="J365" s="135"/>
      <c r="K365" s="136"/>
      <c r="L365" s="104">
        <f t="shared" si="408"/>
        <v>118556.70103092783</v>
      </c>
      <c r="M365" s="105">
        <f t="shared" si="314"/>
        <v>-118556.70103092783</v>
      </c>
      <c r="N365" s="106">
        <f t="shared" si="315"/>
        <v>0</v>
      </c>
      <c r="O365" s="133"/>
      <c r="P365" s="111">
        <f t="shared" si="410"/>
        <v>1067010.3092783503</v>
      </c>
      <c r="Q365" s="104">
        <f t="shared" si="411"/>
        <v>0</v>
      </c>
      <c r="R365" s="108">
        <f t="shared" si="316"/>
        <v>-1067010.3092783503</v>
      </c>
      <c r="S365" s="109">
        <f t="shared" si="317"/>
        <v>0</v>
      </c>
      <c r="T365" s="125"/>
      <c r="U365" s="104">
        <f t="shared" si="322"/>
        <v>28293814.432989568</v>
      </c>
      <c r="V365" s="104">
        <f t="shared" si="323"/>
        <v>21736375</v>
      </c>
      <c r="W365" s="111">
        <f t="shared" si="318"/>
        <v>-6557439.4329895675</v>
      </c>
      <c r="X365" s="112">
        <f t="shared" si="319"/>
        <v>0.76823770267808678</v>
      </c>
      <c r="Y365" s="113">
        <f t="shared" ref="Y365:Z365" si="421">Y364+1</f>
        <v>46002</v>
      </c>
      <c r="Z365" s="114">
        <f t="shared" si="421"/>
        <v>46002</v>
      </c>
      <c r="AA365" s="39"/>
      <c r="AB365" s="39"/>
      <c r="AC365" s="39"/>
      <c r="AD365" s="39"/>
      <c r="AE365" s="39"/>
      <c r="AF365" s="39"/>
      <c r="AG365" s="39"/>
    </row>
    <row r="366" spans="1:33" ht="16.5" customHeight="1">
      <c r="A366" s="39"/>
      <c r="B366" s="50"/>
      <c r="C366" s="95">
        <v>346</v>
      </c>
      <c r="D366" s="96">
        <v>1</v>
      </c>
      <c r="E366" s="97">
        <f t="shared" si="312"/>
        <v>12</v>
      </c>
      <c r="F366" s="98">
        <f t="shared" si="321"/>
        <v>46003</v>
      </c>
      <c r="G366" s="99" t="str">
        <f t="shared" si="313"/>
        <v>Fri</v>
      </c>
      <c r="H366" s="100"/>
      <c r="I366" s="101"/>
      <c r="J366" s="135"/>
      <c r="K366" s="136"/>
      <c r="L366" s="104">
        <f t="shared" si="408"/>
        <v>118556.70103092783</v>
      </c>
      <c r="M366" s="105">
        <f t="shared" si="314"/>
        <v>-118556.70103092783</v>
      </c>
      <c r="N366" s="106">
        <f t="shared" si="315"/>
        <v>0</v>
      </c>
      <c r="O366" s="133"/>
      <c r="P366" s="111">
        <f t="shared" si="410"/>
        <v>1185567.010309278</v>
      </c>
      <c r="Q366" s="104">
        <f t="shared" si="411"/>
        <v>0</v>
      </c>
      <c r="R366" s="108">
        <f t="shared" si="316"/>
        <v>-1185567.010309278</v>
      </c>
      <c r="S366" s="109">
        <f t="shared" si="317"/>
        <v>0</v>
      </c>
      <c r="T366" s="125"/>
      <c r="U366" s="104">
        <f t="shared" si="322"/>
        <v>28412371.134020496</v>
      </c>
      <c r="V366" s="104">
        <f t="shared" si="323"/>
        <v>21736375</v>
      </c>
      <c r="W366" s="111">
        <f t="shared" si="318"/>
        <v>-6675996.1340204962</v>
      </c>
      <c r="X366" s="112">
        <f t="shared" si="319"/>
        <v>0.76503206640058385</v>
      </c>
      <c r="Y366" s="113">
        <f t="shared" ref="Y366:Z366" si="422">Y365+1</f>
        <v>46003</v>
      </c>
      <c r="Z366" s="114">
        <f t="shared" si="422"/>
        <v>46003</v>
      </c>
      <c r="AA366" s="39"/>
      <c r="AB366" s="39"/>
      <c r="AC366" s="39"/>
      <c r="AD366" s="39"/>
      <c r="AE366" s="39"/>
      <c r="AF366" s="39"/>
      <c r="AG366" s="39"/>
    </row>
    <row r="367" spans="1:33" ht="16.5" customHeight="1">
      <c r="A367" s="39"/>
      <c r="B367" s="50"/>
      <c r="C367" s="95">
        <v>347</v>
      </c>
      <c r="D367" s="96">
        <v>1</v>
      </c>
      <c r="E367" s="97">
        <f t="shared" si="312"/>
        <v>12</v>
      </c>
      <c r="F367" s="98">
        <f t="shared" si="321"/>
        <v>46004</v>
      </c>
      <c r="G367" s="99" t="str">
        <f t="shared" si="313"/>
        <v>Sat</v>
      </c>
      <c r="H367" s="100"/>
      <c r="I367" s="101"/>
      <c r="J367" s="135"/>
      <c r="K367" s="136"/>
      <c r="L367" s="104">
        <f t="shared" si="408"/>
        <v>118556.70103092783</v>
      </c>
      <c r="M367" s="105">
        <f t="shared" si="314"/>
        <v>-118556.70103092783</v>
      </c>
      <c r="N367" s="106">
        <f t="shared" si="315"/>
        <v>0</v>
      </c>
      <c r="O367" s="133"/>
      <c r="P367" s="111">
        <f t="shared" si="410"/>
        <v>1304123.7113402057</v>
      </c>
      <c r="Q367" s="104">
        <f t="shared" si="411"/>
        <v>0</v>
      </c>
      <c r="R367" s="108">
        <f t="shared" si="316"/>
        <v>-1304123.7113402057</v>
      </c>
      <c r="S367" s="109">
        <f t="shared" si="317"/>
        <v>0</v>
      </c>
      <c r="T367" s="125"/>
      <c r="U367" s="104">
        <f t="shared" si="322"/>
        <v>28530927.835051425</v>
      </c>
      <c r="V367" s="104">
        <f t="shared" si="323"/>
        <v>21736375</v>
      </c>
      <c r="W367" s="111">
        <f t="shared" si="318"/>
        <v>-6794552.8350514248</v>
      </c>
      <c r="X367" s="112">
        <f t="shared" si="319"/>
        <v>0.76185307136405023</v>
      </c>
      <c r="Y367" s="113">
        <f t="shared" ref="Y367:Z367" si="423">Y366+1</f>
        <v>46004</v>
      </c>
      <c r="Z367" s="114">
        <f t="shared" si="423"/>
        <v>46004</v>
      </c>
      <c r="AA367" s="39"/>
      <c r="AB367" s="39"/>
      <c r="AC367" s="39"/>
      <c r="AD367" s="39"/>
      <c r="AE367" s="39"/>
      <c r="AF367" s="39"/>
      <c r="AG367" s="39"/>
    </row>
    <row r="368" spans="1:33" ht="16.5" customHeight="1">
      <c r="A368" s="39"/>
      <c r="B368" s="50"/>
      <c r="C368" s="95">
        <v>348</v>
      </c>
      <c r="D368" s="96">
        <v>1</v>
      </c>
      <c r="E368" s="97">
        <f t="shared" si="312"/>
        <v>12</v>
      </c>
      <c r="F368" s="98">
        <f t="shared" si="321"/>
        <v>46005</v>
      </c>
      <c r="G368" s="99" t="str">
        <f t="shared" si="313"/>
        <v>Sun</v>
      </c>
      <c r="H368" s="100"/>
      <c r="I368" s="101"/>
      <c r="J368" s="135"/>
      <c r="K368" s="136"/>
      <c r="L368" s="104">
        <f t="shared" si="408"/>
        <v>118556.70103092783</v>
      </c>
      <c r="M368" s="105">
        <f t="shared" si="314"/>
        <v>-118556.70103092783</v>
      </c>
      <c r="N368" s="106">
        <f t="shared" si="315"/>
        <v>0</v>
      </c>
      <c r="O368" s="134"/>
      <c r="P368" s="111">
        <f t="shared" si="410"/>
        <v>1422680.4123711335</v>
      </c>
      <c r="Q368" s="104">
        <f t="shared" si="411"/>
        <v>0</v>
      </c>
      <c r="R368" s="108">
        <f t="shared" si="316"/>
        <v>-1422680.4123711335</v>
      </c>
      <c r="S368" s="109">
        <f t="shared" si="317"/>
        <v>0</v>
      </c>
      <c r="T368" s="131"/>
      <c r="U368" s="104">
        <f t="shared" si="322"/>
        <v>28649484.536082353</v>
      </c>
      <c r="V368" s="104">
        <f t="shared" si="323"/>
        <v>21736375</v>
      </c>
      <c r="W368" s="111">
        <f t="shared" si="318"/>
        <v>-6913109.5360823534</v>
      </c>
      <c r="X368" s="112">
        <f t="shared" si="319"/>
        <v>0.75870038682979812</v>
      </c>
      <c r="Y368" s="113">
        <f t="shared" ref="Y368:Z368" si="424">Y367+1</f>
        <v>46005</v>
      </c>
      <c r="Z368" s="114">
        <f t="shared" si="424"/>
        <v>46005</v>
      </c>
      <c r="AA368" s="39"/>
      <c r="AB368" s="39"/>
      <c r="AC368" s="39"/>
      <c r="AD368" s="39"/>
      <c r="AE368" s="39"/>
      <c r="AF368" s="39"/>
      <c r="AG368" s="39"/>
    </row>
    <row r="369" spans="1:33" ht="16.5" customHeight="1">
      <c r="A369" s="39"/>
      <c r="B369" s="50"/>
      <c r="C369" s="95">
        <v>349</v>
      </c>
      <c r="D369" s="96">
        <v>0</v>
      </c>
      <c r="E369" s="97">
        <f t="shared" si="312"/>
        <v>12</v>
      </c>
      <c r="F369" s="98">
        <f t="shared" si="321"/>
        <v>46006</v>
      </c>
      <c r="G369" s="99" t="str">
        <f t="shared" si="313"/>
        <v>Mon</v>
      </c>
      <c r="H369" s="100"/>
      <c r="I369" s="101"/>
      <c r="J369" s="135"/>
      <c r="K369" s="136"/>
      <c r="L369" s="104">
        <f t="shared" si="408"/>
        <v>0</v>
      </c>
      <c r="M369" s="105">
        <f t="shared" si="314"/>
        <v>0</v>
      </c>
      <c r="N369" s="106" t="str">
        <f t="shared" si="315"/>
        <v>¥0</v>
      </c>
      <c r="O369" s="133"/>
      <c r="P369" s="111">
        <f t="shared" si="410"/>
        <v>0</v>
      </c>
      <c r="Q369" s="104">
        <f t="shared" si="411"/>
        <v>0</v>
      </c>
      <c r="R369" s="108">
        <f t="shared" si="316"/>
        <v>0</v>
      </c>
      <c r="S369" s="109">
        <f t="shared" si="317"/>
        <v>0</v>
      </c>
      <c r="T369" s="125"/>
      <c r="U369" s="104">
        <f t="shared" si="322"/>
        <v>0</v>
      </c>
      <c r="V369" s="104">
        <f t="shared" si="323"/>
        <v>0</v>
      </c>
      <c r="W369" s="111">
        <f t="shared" si="318"/>
        <v>0</v>
      </c>
      <c r="X369" s="112">
        <f t="shared" si="319"/>
        <v>0</v>
      </c>
      <c r="Y369" s="113">
        <f t="shared" ref="Y369:Z369" si="425">Y368+1</f>
        <v>46006</v>
      </c>
      <c r="Z369" s="114">
        <f t="shared" si="425"/>
        <v>46006</v>
      </c>
      <c r="AA369" s="39"/>
      <c r="AB369" s="39"/>
      <c r="AC369" s="39"/>
      <c r="AD369" s="39"/>
      <c r="AE369" s="39"/>
      <c r="AF369" s="39"/>
      <c r="AG369" s="39"/>
    </row>
    <row r="370" spans="1:33" ht="16.5" customHeight="1">
      <c r="A370" s="39"/>
      <c r="B370" s="50"/>
      <c r="C370" s="95">
        <v>350</v>
      </c>
      <c r="D370" s="96">
        <v>1</v>
      </c>
      <c r="E370" s="97">
        <f t="shared" si="312"/>
        <v>12</v>
      </c>
      <c r="F370" s="98">
        <f t="shared" si="321"/>
        <v>46007</v>
      </c>
      <c r="G370" s="99" t="str">
        <f t="shared" si="313"/>
        <v>Tue</v>
      </c>
      <c r="H370" s="100"/>
      <c r="I370" s="101"/>
      <c r="J370" s="135"/>
      <c r="K370" s="136"/>
      <c r="L370" s="104">
        <f t="shared" si="408"/>
        <v>118556.70103092783</v>
      </c>
      <c r="M370" s="105">
        <f t="shared" si="314"/>
        <v>-118556.70103092783</v>
      </c>
      <c r="N370" s="106">
        <f t="shared" si="315"/>
        <v>0</v>
      </c>
      <c r="O370" s="133"/>
      <c r="P370" s="111">
        <f t="shared" si="410"/>
        <v>1541237.1134020612</v>
      </c>
      <c r="Q370" s="104">
        <f t="shared" si="411"/>
        <v>0</v>
      </c>
      <c r="R370" s="108">
        <f t="shared" si="316"/>
        <v>-1541237.1134020612</v>
      </c>
      <c r="S370" s="109">
        <f t="shared" si="317"/>
        <v>0</v>
      </c>
      <c r="T370" s="125"/>
      <c r="U370" s="104">
        <f t="shared" si="322"/>
        <v>28768041.237113282</v>
      </c>
      <c r="V370" s="104">
        <f t="shared" si="323"/>
        <v>21736375</v>
      </c>
      <c r="W370" s="111">
        <f t="shared" si="318"/>
        <v>-7031666.2371132821</v>
      </c>
      <c r="X370" s="112">
        <f t="shared" si="319"/>
        <v>0.75557368751120191</v>
      </c>
      <c r="Y370" s="113">
        <f t="shared" ref="Y370:Z370" si="426">Y369+1</f>
        <v>46007</v>
      </c>
      <c r="Z370" s="114">
        <f t="shared" si="426"/>
        <v>46007</v>
      </c>
      <c r="AA370" s="39"/>
      <c r="AB370" s="39"/>
      <c r="AC370" s="39"/>
      <c r="AD370" s="39"/>
      <c r="AE370" s="39"/>
      <c r="AF370" s="39"/>
      <c r="AG370" s="39"/>
    </row>
    <row r="371" spans="1:33" ht="16.5" customHeight="1">
      <c r="A371" s="39"/>
      <c r="B371" s="50"/>
      <c r="C371" s="95">
        <v>351</v>
      </c>
      <c r="D371" s="96">
        <v>1</v>
      </c>
      <c r="E371" s="97">
        <f t="shared" si="312"/>
        <v>12</v>
      </c>
      <c r="F371" s="98">
        <f t="shared" si="321"/>
        <v>46008</v>
      </c>
      <c r="G371" s="99" t="str">
        <f t="shared" si="313"/>
        <v>Wed</v>
      </c>
      <c r="H371" s="100"/>
      <c r="I371" s="101"/>
      <c r="J371" s="135"/>
      <c r="K371" s="136"/>
      <c r="L371" s="104">
        <f t="shared" si="408"/>
        <v>118556.70103092783</v>
      </c>
      <c r="M371" s="105">
        <f t="shared" si="314"/>
        <v>-118556.70103092783</v>
      </c>
      <c r="N371" s="106">
        <f t="shared" si="315"/>
        <v>0</v>
      </c>
      <c r="O371" s="133"/>
      <c r="P371" s="111">
        <f t="shared" si="410"/>
        <v>1659793.8144329889</v>
      </c>
      <c r="Q371" s="104">
        <f t="shared" si="411"/>
        <v>0</v>
      </c>
      <c r="R371" s="108">
        <f t="shared" si="316"/>
        <v>-1659793.8144329889</v>
      </c>
      <c r="S371" s="109">
        <f t="shared" si="317"/>
        <v>0</v>
      </c>
      <c r="T371" s="125"/>
      <c r="U371" s="104">
        <f t="shared" si="322"/>
        <v>28886597.938144211</v>
      </c>
      <c r="V371" s="104">
        <f t="shared" si="323"/>
        <v>21736375</v>
      </c>
      <c r="W371" s="111">
        <f t="shared" si="318"/>
        <v>-7150222.9381442107</v>
      </c>
      <c r="X371" s="112">
        <f t="shared" si="319"/>
        <v>0.75247265346181613</v>
      </c>
      <c r="Y371" s="113">
        <f t="shared" ref="Y371:Z371" si="427">Y370+1</f>
        <v>46008</v>
      </c>
      <c r="Z371" s="114">
        <f t="shared" si="427"/>
        <v>46008</v>
      </c>
      <c r="AA371" s="39"/>
      <c r="AB371" s="39"/>
      <c r="AC371" s="39"/>
      <c r="AD371" s="39"/>
      <c r="AE371" s="39"/>
      <c r="AF371" s="39"/>
      <c r="AG371" s="39"/>
    </row>
    <row r="372" spans="1:33" ht="16.5" customHeight="1">
      <c r="A372" s="39"/>
      <c r="B372" s="50"/>
      <c r="C372" s="95">
        <v>352</v>
      </c>
      <c r="D372" s="96">
        <v>1</v>
      </c>
      <c r="E372" s="97">
        <f t="shared" si="312"/>
        <v>12</v>
      </c>
      <c r="F372" s="98">
        <f t="shared" si="321"/>
        <v>46009</v>
      </c>
      <c r="G372" s="99" t="str">
        <f t="shared" si="313"/>
        <v>Thu</v>
      </c>
      <c r="H372" s="100"/>
      <c r="I372" s="101"/>
      <c r="J372" s="135"/>
      <c r="K372" s="136"/>
      <c r="L372" s="104">
        <f t="shared" si="408"/>
        <v>118556.70103092783</v>
      </c>
      <c r="M372" s="105">
        <f t="shared" si="314"/>
        <v>-118556.70103092783</v>
      </c>
      <c r="N372" s="106">
        <f t="shared" si="315"/>
        <v>0</v>
      </c>
      <c r="O372" s="133"/>
      <c r="P372" s="111">
        <f t="shared" si="410"/>
        <v>1778350.5154639166</v>
      </c>
      <c r="Q372" s="104">
        <f t="shared" si="411"/>
        <v>0</v>
      </c>
      <c r="R372" s="108">
        <f t="shared" si="316"/>
        <v>-1778350.5154639166</v>
      </c>
      <c r="S372" s="109">
        <f t="shared" si="317"/>
        <v>0</v>
      </c>
      <c r="T372" s="125"/>
      <c r="U372" s="104">
        <f t="shared" si="322"/>
        <v>29005154.639175139</v>
      </c>
      <c r="V372" s="104">
        <f t="shared" si="323"/>
        <v>21736375</v>
      </c>
      <c r="W372" s="111">
        <f t="shared" si="318"/>
        <v>-7268779.6391751394</v>
      </c>
      <c r="X372" s="112">
        <f t="shared" si="319"/>
        <v>0.74939696996623728</v>
      </c>
      <c r="Y372" s="113">
        <f t="shared" ref="Y372:Z372" si="428">Y371+1</f>
        <v>46009</v>
      </c>
      <c r="Z372" s="114">
        <f t="shared" si="428"/>
        <v>46009</v>
      </c>
      <c r="AA372" s="39"/>
      <c r="AB372" s="39"/>
      <c r="AC372" s="39"/>
      <c r="AD372" s="39"/>
      <c r="AE372" s="39"/>
      <c r="AF372" s="39"/>
      <c r="AG372" s="39"/>
    </row>
    <row r="373" spans="1:33" ht="16.5" customHeight="1">
      <c r="A373" s="39"/>
      <c r="B373" s="50"/>
      <c r="C373" s="95">
        <v>353</v>
      </c>
      <c r="D373" s="96">
        <v>1</v>
      </c>
      <c r="E373" s="97">
        <f t="shared" si="312"/>
        <v>12</v>
      </c>
      <c r="F373" s="98">
        <f t="shared" si="321"/>
        <v>46010</v>
      </c>
      <c r="G373" s="99" t="str">
        <f t="shared" si="313"/>
        <v>Fri</v>
      </c>
      <c r="H373" s="100"/>
      <c r="I373" s="101"/>
      <c r="J373" s="135"/>
      <c r="K373" s="136"/>
      <c r="L373" s="104">
        <f t="shared" si="408"/>
        <v>118556.70103092783</v>
      </c>
      <c r="M373" s="105">
        <f t="shared" si="314"/>
        <v>-118556.70103092783</v>
      </c>
      <c r="N373" s="106">
        <f t="shared" si="315"/>
        <v>0</v>
      </c>
      <c r="O373" s="133"/>
      <c r="P373" s="111">
        <f t="shared" si="410"/>
        <v>1896907.2164948443</v>
      </c>
      <c r="Q373" s="104">
        <f t="shared" si="411"/>
        <v>0</v>
      </c>
      <c r="R373" s="108">
        <f t="shared" si="316"/>
        <v>-1896907.2164948443</v>
      </c>
      <c r="S373" s="109">
        <f t="shared" si="317"/>
        <v>0</v>
      </c>
      <c r="T373" s="125"/>
      <c r="U373" s="104">
        <f t="shared" si="322"/>
        <v>29123711.340206068</v>
      </c>
      <c r="V373" s="104">
        <f t="shared" si="323"/>
        <v>21736375</v>
      </c>
      <c r="W373" s="111">
        <f t="shared" si="318"/>
        <v>-7387336.340206068</v>
      </c>
      <c r="X373" s="112">
        <f t="shared" si="319"/>
        <v>0.74634632743363138</v>
      </c>
      <c r="Y373" s="113">
        <f t="shared" ref="Y373:Z373" si="429">Y372+1</f>
        <v>46010</v>
      </c>
      <c r="Z373" s="114">
        <f t="shared" si="429"/>
        <v>46010</v>
      </c>
      <c r="AA373" s="39"/>
      <c r="AB373" s="39"/>
      <c r="AC373" s="39"/>
      <c r="AD373" s="39"/>
      <c r="AE373" s="39"/>
      <c r="AF373" s="39"/>
      <c r="AG373" s="39"/>
    </row>
    <row r="374" spans="1:33" ht="16.5" customHeight="1">
      <c r="A374" s="39"/>
      <c r="B374" s="50"/>
      <c r="C374" s="95">
        <v>354</v>
      </c>
      <c r="D374" s="96">
        <v>1</v>
      </c>
      <c r="E374" s="97">
        <f t="shared" si="312"/>
        <v>12</v>
      </c>
      <c r="F374" s="98">
        <f t="shared" si="321"/>
        <v>46011</v>
      </c>
      <c r="G374" s="99" t="str">
        <f t="shared" si="313"/>
        <v>Sat</v>
      </c>
      <c r="H374" s="100"/>
      <c r="I374" s="101"/>
      <c r="J374" s="135"/>
      <c r="K374" s="136"/>
      <c r="L374" s="104">
        <f t="shared" si="408"/>
        <v>118556.70103092783</v>
      </c>
      <c r="M374" s="105">
        <f t="shared" si="314"/>
        <v>-118556.70103092783</v>
      </c>
      <c r="N374" s="106">
        <f t="shared" si="315"/>
        <v>0</v>
      </c>
      <c r="O374" s="133"/>
      <c r="P374" s="111">
        <f t="shared" si="410"/>
        <v>2015463.917525772</v>
      </c>
      <c r="Q374" s="104">
        <f t="shared" si="411"/>
        <v>0</v>
      </c>
      <c r="R374" s="108">
        <f t="shared" si="316"/>
        <v>-2015463.917525772</v>
      </c>
      <c r="S374" s="109">
        <f t="shared" si="317"/>
        <v>0</v>
      </c>
      <c r="T374" s="125"/>
      <c r="U374" s="104">
        <f t="shared" si="322"/>
        <v>29242268.041236997</v>
      </c>
      <c r="V374" s="104">
        <f t="shared" si="323"/>
        <v>21736375</v>
      </c>
      <c r="W374" s="111">
        <f t="shared" si="318"/>
        <v>-7505893.0412369967</v>
      </c>
      <c r="X374" s="112">
        <f t="shared" si="319"/>
        <v>0.74332042129385101</v>
      </c>
      <c r="Y374" s="113">
        <f t="shared" ref="Y374:Z374" si="430">Y373+1</f>
        <v>46011</v>
      </c>
      <c r="Z374" s="114">
        <f t="shared" si="430"/>
        <v>46011</v>
      </c>
      <c r="AA374" s="39"/>
      <c r="AB374" s="39"/>
      <c r="AC374" s="39"/>
      <c r="AD374" s="39"/>
      <c r="AE374" s="39"/>
      <c r="AF374" s="39"/>
      <c r="AG374" s="39"/>
    </row>
    <row r="375" spans="1:33" ht="16.5" customHeight="1">
      <c r="A375" s="39"/>
      <c r="B375" s="50"/>
      <c r="C375" s="95">
        <v>355</v>
      </c>
      <c r="D375" s="96">
        <v>1</v>
      </c>
      <c r="E375" s="97">
        <f t="shared" si="312"/>
        <v>12</v>
      </c>
      <c r="F375" s="98">
        <f t="shared" si="321"/>
        <v>46012</v>
      </c>
      <c r="G375" s="99" t="str">
        <f t="shared" si="313"/>
        <v>Sun</v>
      </c>
      <c r="H375" s="100"/>
      <c r="I375" s="101"/>
      <c r="J375" s="135"/>
      <c r="K375" s="136"/>
      <c r="L375" s="104">
        <f t="shared" si="408"/>
        <v>118556.70103092783</v>
      </c>
      <c r="M375" s="105">
        <f t="shared" si="314"/>
        <v>-118556.70103092783</v>
      </c>
      <c r="N375" s="106">
        <f t="shared" si="315"/>
        <v>0</v>
      </c>
      <c r="O375" s="134"/>
      <c r="P375" s="111">
        <f t="shared" si="410"/>
        <v>2134020.6185566997</v>
      </c>
      <c r="Q375" s="104">
        <f t="shared" si="411"/>
        <v>0</v>
      </c>
      <c r="R375" s="108">
        <f t="shared" si="316"/>
        <v>-2134020.6185566997</v>
      </c>
      <c r="S375" s="109">
        <f t="shared" si="317"/>
        <v>0</v>
      </c>
      <c r="T375" s="131"/>
      <c r="U375" s="104">
        <f t="shared" si="322"/>
        <v>29360824.742267925</v>
      </c>
      <c r="V375" s="104">
        <f t="shared" si="323"/>
        <v>21736375</v>
      </c>
      <c r="W375" s="111">
        <f t="shared" si="318"/>
        <v>-7624449.7422679253</v>
      </c>
      <c r="X375" s="112">
        <f t="shared" si="319"/>
        <v>0.74031895189607033</v>
      </c>
      <c r="Y375" s="113">
        <f t="shared" ref="Y375:Z375" si="431">Y374+1</f>
        <v>46012</v>
      </c>
      <c r="Z375" s="114">
        <f t="shared" si="431"/>
        <v>46012</v>
      </c>
      <c r="AA375" s="39"/>
      <c r="AB375" s="39"/>
      <c r="AC375" s="39"/>
      <c r="AD375" s="39"/>
      <c r="AE375" s="39"/>
      <c r="AF375" s="39"/>
      <c r="AG375" s="39"/>
    </row>
    <row r="376" spans="1:33" ht="16.5" customHeight="1">
      <c r="A376" s="39"/>
      <c r="B376" s="50"/>
      <c r="C376" s="95">
        <v>356</v>
      </c>
      <c r="D376" s="96">
        <v>0</v>
      </c>
      <c r="E376" s="97">
        <f t="shared" si="312"/>
        <v>12</v>
      </c>
      <c r="F376" s="98">
        <f t="shared" si="321"/>
        <v>46013</v>
      </c>
      <c r="G376" s="99" t="str">
        <f t="shared" si="313"/>
        <v>Mon</v>
      </c>
      <c r="H376" s="100"/>
      <c r="I376" s="101"/>
      <c r="J376" s="135"/>
      <c r="K376" s="136"/>
      <c r="L376" s="104">
        <f t="shared" si="408"/>
        <v>0</v>
      </c>
      <c r="M376" s="105">
        <f t="shared" si="314"/>
        <v>0</v>
      </c>
      <c r="N376" s="106" t="str">
        <f t="shared" si="315"/>
        <v>¥0</v>
      </c>
      <c r="O376" s="133"/>
      <c r="P376" s="111">
        <f t="shared" si="410"/>
        <v>0</v>
      </c>
      <c r="Q376" s="104">
        <f t="shared" si="411"/>
        <v>0</v>
      </c>
      <c r="R376" s="108">
        <f t="shared" si="316"/>
        <v>0</v>
      </c>
      <c r="S376" s="109">
        <f t="shared" si="317"/>
        <v>0</v>
      </c>
      <c r="T376" s="125"/>
      <c r="U376" s="104">
        <f t="shared" si="322"/>
        <v>0</v>
      </c>
      <c r="V376" s="104">
        <f t="shared" si="323"/>
        <v>0</v>
      </c>
      <c r="W376" s="111">
        <f t="shared" si="318"/>
        <v>0</v>
      </c>
      <c r="X376" s="112">
        <f t="shared" si="319"/>
        <v>0</v>
      </c>
      <c r="Y376" s="113">
        <f t="shared" ref="Y376:Z376" si="432">Y375+1</f>
        <v>46013</v>
      </c>
      <c r="Z376" s="114">
        <f t="shared" si="432"/>
        <v>46013</v>
      </c>
      <c r="AA376" s="39"/>
      <c r="AB376" s="39"/>
      <c r="AC376" s="39"/>
      <c r="AD376" s="39"/>
      <c r="AE376" s="39"/>
      <c r="AF376" s="39"/>
      <c r="AG376" s="39"/>
    </row>
    <row r="377" spans="1:33" ht="16.5" customHeight="1">
      <c r="A377" s="39"/>
      <c r="B377" s="50"/>
      <c r="C377" s="95">
        <v>357</v>
      </c>
      <c r="D377" s="96">
        <v>1</v>
      </c>
      <c r="E377" s="97">
        <f t="shared" si="312"/>
        <v>12</v>
      </c>
      <c r="F377" s="98">
        <f t="shared" si="321"/>
        <v>46014</v>
      </c>
      <c r="G377" s="99" t="str">
        <f t="shared" si="313"/>
        <v>Tue</v>
      </c>
      <c r="H377" s="100"/>
      <c r="I377" s="101"/>
      <c r="J377" s="135"/>
      <c r="K377" s="136"/>
      <c r="L377" s="104">
        <f t="shared" si="408"/>
        <v>118556.70103092783</v>
      </c>
      <c r="M377" s="105">
        <f t="shared" si="314"/>
        <v>-118556.70103092783</v>
      </c>
      <c r="N377" s="106">
        <f t="shared" si="315"/>
        <v>0</v>
      </c>
      <c r="O377" s="133"/>
      <c r="P377" s="111">
        <f t="shared" si="410"/>
        <v>2252577.3195876274</v>
      </c>
      <c r="Q377" s="104">
        <f t="shared" si="411"/>
        <v>0</v>
      </c>
      <c r="R377" s="108">
        <f t="shared" si="316"/>
        <v>-2252577.3195876274</v>
      </c>
      <c r="S377" s="109">
        <f t="shared" si="317"/>
        <v>0</v>
      </c>
      <c r="T377" s="125"/>
      <c r="U377" s="104">
        <f t="shared" si="322"/>
        <v>29479381.443298854</v>
      </c>
      <c r="V377" s="104">
        <f t="shared" si="323"/>
        <v>21736375</v>
      </c>
      <c r="W377" s="111">
        <f t="shared" si="318"/>
        <v>-7743006.4432988539</v>
      </c>
      <c r="X377" s="112">
        <f t="shared" si="319"/>
        <v>0.73734162440986473</v>
      </c>
      <c r="Y377" s="113">
        <f t="shared" ref="Y377:Z377" si="433">Y376+1</f>
        <v>46014</v>
      </c>
      <c r="Z377" s="114">
        <f t="shared" si="433"/>
        <v>46014</v>
      </c>
      <c r="AA377" s="39"/>
      <c r="AB377" s="39"/>
      <c r="AC377" s="39"/>
      <c r="AD377" s="39"/>
      <c r="AE377" s="39"/>
      <c r="AF377" s="39"/>
      <c r="AG377" s="39"/>
    </row>
    <row r="378" spans="1:33" ht="16.5" customHeight="1">
      <c r="A378" s="39"/>
      <c r="B378" s="50"/>
      <c r="C378" s="95">
        <v>358</v>
      </c>
      <c r="D378" s="96">
        <v>1</v>
      </c>
      <c r="E378" s="97">
        <f t="shared" si="312"/>
        <v>12</v>
      </c>
      <c r="F378" s="98">
        <f t="shared" si="321"/>
        <v>46015</v>
      </c>
      <c r="G378" s="99" t="str">
        <f t="shared" si="313"/>
        <v>Wed</v>
      </c>
      <c r="H378" s="100"/>
      <c r="I378" s="101"/>
      <c r="J378" s="135"/>
      <c r="K378" s="136"/>
      <c r="L378" s="104">
        <f t="shared" si="408"/>
        <v>118556.70103092783</v>
      </c>
      <c r="M378" s="105">
        <f t="shared" si="314"/>
        <v>-118556.70103092783</v>
      </c>
      <c r="N378" s="106">
        <f t="shared" si="315"/>
        <v>0</v>
      </c>
      <c r="O378" s="133"/>
      <c r="P378" s="111">
        <f t="shared" si="410"/>
        <v>2371134.0206185551</v>
      </c>
      <c r="Q378" s="104">
        <f t="shared" si="411"/>
        <v>0</v>
      </c>
      <c r="R378" s="108">
        <f t="shared" si="316"/>
        <v>-2371134.0206185551</v>
      </c>
      <c r="S378" s="109">
        <f t="shared" si="317"/>
        <v>0</v>
      </c>
      <c r="T378" s="125"/>
      <c r="U378" s="104">
        <f t="shared" si="322"/>
        <v>29597938.144329783</v>
      </c>
      <c r="V378" s="104">
        <f t="shared" si="323"/>
        <v>21736375</v>
      </c>
      <c r="W378" s="111">
        <f t="shared" si="318"/>
        <v>-7861563.1443297826</v>
      </c>
      <c r="X378" s="112">
        <f t="shared" si="319"/>
        <v>0.73438814872866875</v>
      </c>
      <c r="Y378" s="113">
        <f t="shared" ref="Y378:Z378" si="434">Y377+1</f>
        <v>46015</v>
      </c>
      <c r="Z378" s="114">
        <f t="shared" si="434"/>
        <v>46015</v>
      </c>
      <c r="AA378" s="39"/>
      <c r="AB378" s="39"/>
      <c r="AC378" s="39"/>
      <c r="AD378" s="39"/>
      <c r="AE378" s="39"/>
      <c r="AF378" s="39"/>
      <c r="AG378" s="39"/>
    </row>
    <row r="379" spans="1:33" ht="16.5" customHeight="1">
      <c r="A379" s="39"/>
      <c r="B379" s="50"/>
      <c r="C379" s="95">
        <v>359</v>
      </c>
      <c r="D379" s="96">
        <v>1</v>
      </c>
      <c r="E379" s="97">
        <f t="shared" si="312"/>
        <v>12</v>
      </c>
      <c r="F379" s="98">
        <f t="shared" si="321"/>
        <v>46016</v>
      </c>
      <c r="G379" s="99" t="str">
        <f t="shared" si="313"/>
        <v>Thu</v>
      </c>
      <c r="H379" s="100"/>
      <c r="I379" s="101"/>
      <c r="J379" s="135"/>
      <c r="K379" s="136"/>
      <c r="L379" s="104">
        <f t="shared" si="408"/>
        <v>118556.70103092783</v>
      </c>
      <c r="M379" s="105">
        <f t="shared" si="314"/>
        <v>-118556.70103092783</v>
      </c>
      <c r="N379" s="106">
        <f t="shared" si="315"/>
        <v>0</v>
      </c>
      <c r="O379" s="133"/>
      <c r="P379" s="111">
        <f t="shared" si="410"/>
        <v>2489690.7216494828</v>
      </c>
      <c r="Q379" s="104">
        <f t="shared" si="411"/>
        <v>0</v>
      </c>
      <c r="R379" s="108">
        <f t="shared" si="316"/>
        <v>-2489690.7216494828</v>
      </c>
      <c r="S379" s="109">
        <f t="shared" si="317"/>
        <v>0</v>
      </c>
      <c r="T379" s="125"/>
      <c r="U379" s="104">
        <f t="shared" si="322"/>
        <v>29716494.845360711</v>
      </c>
      <c r="V379" s="104">
        <f t="shared" si="323"/>
        <v>21736375</v>
      </c>
      <c r="W379" s="111">
        <f t="shared" si="318"/>
        <v>-7980119.8453607112</v>
      </c>
      <c r="X379" s="112">
        <f t="shared" si="319"/>
        <v>0.73145823937554488</v>
      </c>
      <c r="Y379" s="113">
        <f t="shared" ref="Y379:Z379" si="435">Y378+1</f>
        <v>46016</v>
      </c>
      <c r="Z379" s="114">
        <f t="shared" si="435"/>
        <v>46016</v>
      </c>
      <c r="AA379" s="39"/>
      <c r="AB379" s="39"/>
      <c r="AC379" s="39"/>
      <c r="AD379" s="39"/>
      <c r="AE379" s="39"/>
      <c r="AF379" s="39"/>
      <c r="AG379" s="39"/>
    </row>
    <row r="380" spans="1:33" ht="16.5" customHeight="1">
      <c r="A380" s="39"/>
      <c r="B380" s="50"/>
      <c r="C380" s="95">
        <v>360</v>
      </c>
      <c r="D380" s="96">
        <v>1</v>
      </c>
      <c r="E380" s="97">
        <f t="shared" si="312"/>
        <v>12</v>
      </c>
      <c r="F380" s="98">
        <f t="shared" si="321"/>
        <v>46017</v>
      </c>
      <c r="G380" s="99" t="str">
        <f t="shared" si="313"/>
        <v>Fri</v>
      </c>
      <c r="H380" s="100"/>
      <c r="I380" s="101"/>
      <c r="J380" s="135"/>
      <c r="K380" s="136"/>
      <c r="L380" s="104">
        <f t="shared" si="408"/>
        <v>118556.70103092783</v>
      </c>
      <c r="M380" s="105">
        <f t="shared" si="314"/>
        <v>-118556.70103092783</v>
      </c>
      <c r="N380" s="106">
        <f t="shared" si="315"/>
        <v>0</v>
      </c>
      <c r="O380" s="133"/>
      <c r="P380" s="111">
        <f t="shared" si="410"/>
        <v>2608247.4226804106</v>
      </c>
      <c r="Q380" s="104">
        <f t="shared" si="411"/>
        <v>0</v>
      </c>
      <c r="R380" s="108">
        <f t="shared" si="316"/>
        <v>-2608247.4226804106</v>
      </c>
      <c r="S380" s="109">
        <f t="shared" si="317"/>
        <v>0</v>
      </c>
      <c r="T380" s="125"/>
      <c r="U380" s="104">
        <f t="shared" si="322"/>
        <v>29835051.54639164</v>
      </c>
      <c r="V380" s="104">
        <f t="shared" si="323"/>
        <v>21736375</v>
      </c>
      <c r="W380" s="111">
        <f t="shared" si="318"/>
        <v>-8098676.5463916399</v>
      </c>
      <c r="X380" s="112">
        <f t="shared" si="319"/>
        <v>0.72855161541119828</v>
      </c>
      <c r="Y380" s="113">
        <f t="shared" ref="Y380:Z380" si="436">Y379+1</f>
        <v>46017</v>
      </c>
      <c r="Z380" s="114">
        <f t="shared" si="436"/>
        <v>46017</v>
      </c>
      <c r="AA380" s="39"/>
      <c r="AB380" s="39"/>
      <c r="AC380" s="39"/>
      <c r="AD380" s="39"/>
      <c r="AE380" s="39"/>
      <c r="AF380" s="39"/>
      <c r="AG380" s="39"/>
    </row>
    <row r="381" spans="1:33" ht="16.5" customHeight="1">
      <c r="A381" s="39"/>
      <c r="B381" s="50"/>
      <c r="C381" s="95">
        <v>361</v>
      </c>
      <c r="D381" s="96">
        <v>1</v>
      </c>
      <c r="E381" s="97">
        <f t="shared" si="312"/>
        <v>12</v>
      </c>
      <c r="F381" s="98">
        <f t="shared" si="321"/>
        <v>46018</v>
      </c>
      <c r="G381" s="99" t="str">
        <f t="shared" si="313"/>
        <v>Sat</v>
      </c>
      <c r="H381" s="100"/>
      <c r="I381" s="101"/>
      <c r="J381" s="135"/>
      <c r="K381" s="136"/>
      <c r="L381" s="104">
        <f t="shared" si="408"/>
        <v>118556.70103092783</v>
      </c>
      <c r="M381" s="105">
        <f t="shared" si="314"/>
        <v>-118556.70103092783</v>
      </c>
      <c r="N381" s="106">
        <f t="shared" si="315"/>
        <v>0</v>
      </c>
      <c r="O381" s="133"/>
      <c r="P381" s="111">
        <f t="shared" si="410"/>
        <v>2726804.1237113383</v>
      </c>
      <c r="Q381" s="104">
        <f t="shared" si="411"/>
        <v>0</v>
      </c>
      <c r="R381" s="108">
        <f t="shared" si="316"/>
        <v>-2726804.1237113383</v>
      </c>
      <c r="S381" s="109">
        <f t="shared" si="317"/>
        <v>0</v>
      </c>
      <c r="T381" s="125"/>
      <c r="U381" s="104">
        <f t="shared" si="322"/>
        <v>29953608.247422569</v>
      </c>
      <c r="V381" s="104">
        <f t="shared" si="323"/>
        <v>21736375</v>
      </c>
      <c r="W381" s="111">
        <f t="shared" si="318"/>
        <v>-8217233.2474225685</v>
      </c>
      <c r="X381" s="112">
        <f t="shared" si="319"/>
        <v>0.72566800034417756</v>
      </c>
      <c r="Y381" s="113">
        <f t="shared" ref="Y381:Z381" si="437">Y380+1</f>
        <v>46018</v>
      </c>
      <c r="Z381" s="114">
        <f t="shared" si="437"/>
        <v>46018</v>
      </c>
      <c r="AA381" s="39"/>
      <c r="AB381" s="39"/>
      <c r="AC381" s="39"/>
      <c r="AD381" s="39"/>
      <c r="AE381" s="39"/>
      <c r="AF381" s="39"/>
      <c r="AG381" s="39"/>
    </row>
    <row r="382" spans="1:33" ht="16.5" customHeight="1">
      <c r="A382" s="39"/>
      <c r="B382" s="50"/>
      <c r="C382" s="95">
        <v>362</v>
      </c>
      <c r="D382" s="96">
        <v>1</v>
      </c>
      <c r="E382" s="97">
        <f t="shared" si="312"/>
        <v>12</v>
      </c>
      <c r="F382" s="98">
        <f t="shared" si="321"/>
        <v>46019</v>
      </c>
      <c r="G382" s="99" t="str">
        <f t="shared" si="313"/>
        <v>Sun</v>
      </c>
      <c r="H382" s="100"/>
      <c r="I382" s="101"/>
      <c r="J382" s="135"/>
      <c r="K382" s="136"/>
      <c r="L382" s="104">
        <f t="shared" si="408"/>
        <v>118556.70103092783</v>
      </c>
      <c r="M382" s="105">
        <f t="shared" si="314"/>
        <v>-118556.70103092783</v>
      </c>
      <c r="N382" s="106">
        <f t="shared" si="315"/>
        <v>0</v>
      </c>
      <c r="O382" s="134"/>
      <c r="P382" s="111">
        <f t="shared" si="410"/>
        <v>2845360.824742266</v>
      </c>
      <c r="Q382" s="104">
        <f t="shared" si="411"/>
        <v>0</v>
      </c>
      <c r="R382" s="108">
        <f t="shared" si="316"/>
        <v>-2845360.824742266</v>
      </c>
      <c r="S382" s="109">
        <f t="shared" si="317"/>
        <v>0</v>
      </c>
      <c r="T382" s="131"/>
      <c r="U382" s="104">
        <f t="shared" si="322"/>
        <v>30072164.948453497</v>
      </c>
      <c r="V382" s="104">
        <f t="shared" si="323"/>
        <v>21736375</v>
      </c>
      <c r="W382" s="111">
        <f t="shared" si="318"/>
        <v>-8335789.9484534971</v>
      </c>
      <c r="X382" s="112">
        <f t="shared" si="319"/>
        <v>0.72280712204319775</v>
      </c>
      <c r="Y382" s="113">
        <f t="shared" ref="Y382:Z382" si="438">Y381+1</f>
        <v>46019</v>
      </c>
      <c r="Z382" s="114">
        <f t="shared" si="438"/>
        <v>46019</v>
      </c>
      <c r="AA382" s="39"/>
      <c r="AB382" s="39"/>
      <c r="AC382" s="39"/>
      <c r="AD382" s="39"/>
      <c r="AE382" s="39"/>
      <c r="AF382" s="39"/>
      <c r="AG382" s="39"/>
    </row>
    <row r="383" spans="1:33" ht="16.5" customHeight="1">
      <c r="A383" s="39"/>
      <c r="B383" s="50"/>
      <c r="C383" s="95">
        <v>363</v>
      </c>
      <c r="D383" s="96">
        <v>0</v>
      </c>
      <c r="E383" s="97">
        <f t="shared" si="312"/>
        <v>12</v>
      </c>
      <c r="F383" s="98">
        <f t="shared" si="321"/>
        <v>46020</v>
      </c>
      <c r="G383" s="99" t="str">
        <f t="shared" si="313"/>
        <v>Mon</v>
      </c>
      <c r="H383" s="100"/>
      <c r="I383" s="101"/>
      <c r="J383" s="135"/>
      <c r="K383" s="136"/>
      <c r="L383" s="104">
        <f t="shared" si="408"/>
        <v>0</v>
      </c>
      <c r="M383" s="105">
        <f t="shared" si="314"/>
        <v>0</v>
      </c>
      <c r="N383" s="106" t="str">
        <f t="shared" si="315"/>
        <v>¥0</v>
      </c>
      <c r="O383" s="133"/>
      <c r="P383" s="111">
        <f t="shared" si="410"/>
        <v>0</v>
      </c>
      <c r="Q383" s="104">
        <f t="shared" si="411"/>
        <v>0</v>
      </c>
      <c r="R383" s="108">
        <f t="shared" si="316"/>
        <v>0</v>
      </c>
      <c r="S383" s="109">
        <f t="shared" si="317"/>
        <v>0</v>
      </c>
      <c r="T383" s="125"/>
      <c r="U383" s="104">
        <f t="shared" si="322"/>
        <v>0</v>
      </c>
      <c r="V383" s="104">
        <f t="shared" si="323"/>
        <v>0</v>
      </c>
      <c r="W383" s="111">
        <f t="shared" si="318"/>
        <v>0</v>
      </c>
      <c r="X383" s="112">
        <f t="shared" si="319"/>
        <v>0</v>
      </c>
      <c r="Y383" s="113">
        <f t="shared" ref="Y383:Z383" si="439">Y382+1</f>
        <v>46020</v>
      </c>
      <c r="Z383" s="114">
        <f t="shared" si="439"/>
        <v>46020</v>
      </c>
      <c r="AA383" s="39"/>
      <c r="AB383" s="39"/>
      <c r="AC383" s="39"/>
      <c r="AD383" s="39"/>
      <c r="AE383" s="39"/>
      <c r="AF383" s="39"/>
      <c r="AG383" s="39"/>
    </row>
    <row r="384" spans="1:33" ht="16.5" customHeight="1">
      <c r="A384" s="39"/>
      <c r="B384" s="50"/>
      <c r="C384" s="95">
        <v>364</v>
      </c>
      <c r="D384" s="96">
        <v>0</v>
      </c>
      <c r="E384" s="97">
        <f t="shared" si="312"/>
        <v>12</v>
      </c>
      <c r="F384" s="98">
        <f t="shared" si="321"/>
        <v>46021</v>
      </c>
      <c r="G384" s="99" t="str">
        <f t="shared" si="313"/>
        <v>Tue</v>
      </c>
      <c r="H384" s="100"/>
      <c r="I384" s="101"/>
      <c r="J384" s="135"/>
      <c r="K384" s="136"/>
      <c r="L384" s="104">
        <f t="shared" si="408"/>
        <v>0</v>
      </c>
      <c r="M384" s="105">
        <f t="shared" si="314"/>
        <v>0</v>
      </c>
      <c r="N384" s="106" t="str">
        <f t="shared" si="315"/>
        <v>¥0</v>
      </c>
      <c r="O384" s="134"/>
      <c r="P384" s="111">
        <f t="shared" si="410"/>
        <v>0</v>
      </c>
      <c r="Q384" s="104">
        <f t="shared" si="411"/>
        <v>0</v>
      </c>
      <c r="R384" s="108">
        <f t="shared" si="316"/>
        <v>0</v>
      </c>
      <c r="S384" s="109">
        <f t="shared" si="317"/>
        <v>0</v>
      </c>
      <c r="T384" s="131"/>
      <c r="U384" s="104">
        <f t="shared" si="322"/>
        <v>0</v>
      </c>
      <c r="V384" s="104">
        <f t="shared" si="323"/>
        <v>0</v>
      </c>
      <c r="W384" s="111">
        <f t="shared" si="318"/>
        <v>0</v>
      </c>
      <c r="X384" s="112">
        <f t="shared" si="319"/>
        <v>0</v>
      </c>
      <c r="Y384" s="113">
        <f t="shared" ref="Y384:Z384" si="440">Y383+1</f>
        <v>46021</v>
      </c>
      <c r="Z384" s="114">
        <f t="shared" si="440"/>
        <v>46021</v>
      </c>
      <c r="AA384" s="39"/>
      <c r="AB384" s="39"/>
      <c r="AC384" s="39"/>
      <c r="AD384" s="39"/>
      <c r="AE384" s="39"/>
      <c r="AF384" s="39"/>
      <c r="AG384" s="39"/>
    </row>
    <row r="385" spans="1:33" ht="16.5" customHeight="1">
      <c r="A385" s="39"/>
      <c r="B385" s="50"/>
      <c r="C385" s="137">
        <v>365</v>
      </c>
      <c r="D385" s="138">
        <v>0</v>
      </c>
      <c r="E385" s="139">
        <f t="shared" si="312"/>
        <v>12</v>
      </c>
      <c r="F385" s="140">
        <f t="shared" si="321"/>
        <v>46022</v>
      </c>
      <c r="G385" s="141" t="str">
        <f t="shared" si="313"/>
        <v>Wed</v>
      </c>
      <c r="H385" s="142" t="s">
        <v>123</v>
      </c>
      <c r="I385" s="143"/>
      <c r="J385" s="144"/>
      <c r="K385" s="145"/>
      <c r="L385" s="146">
        <f t="shared" si="408"/>
        <v>0</v>
      </c>
      <c r="M385" s="147">
        <f t="shared" si="314"/>
        <v>0</v>
      </c>
      <c r="N385" s="161" t="str">
        <f t="shared" si="315"/>
        <v>¥0</v>
      </c>
      <c r="O385" s="168"/>
      <c r="P385" s="171">
        <f t="shared" si="410"/>
        <v>0</v>
      </c>
      <c r="Q385" s="146">
        <f t="shared" si="411"/>
        <v>0</v>
      </c>
      <c r="R385" s="147">
        <f t="shared" si="316"/>
        <v>0</v>
      </c>
      <c r="S385" s="151">
        <f t="shared" si="317"/>
        <v>0</v>
      </c>
      <c r="T385" s="169"/>
      <c r="U385" s="153">
        <f t="shared" si="322"/>
        <v>0</v>
      </c>
      <c r="V385" s="153">
        <f t="shared" si="323"/>
        <v>0</v>
      </c>
      <c r="W385" s="153">
        <f t="shared" si="318"/>
        <v>0</v>
      </c>
      <c r="X385" s="154">
        <f t="shared" si="319"/>
        <v>0</v>
      </c>
      <c r="Y385" s="113">
        <f t="shared" ref="Y385:Z385" si="441">Y384+1</f>
        <v>46022</v>
      </c>
      <c r="Z385" s="114">
        <f t="shared" si="441"/>
        <v>46022</v>
      </c>
      <c r="AA385" s="39"/>
      <c r="AB385" s="39"/>
      <c r="AC385" s="39"/>
      <c r="AD385" s="39"/>
      <c r="AE385" s="39"/>
      <c r="AF385" s="39"/>
      <c r="AG385" s="39"/>
    </row>
    <row r="386" spans="1:33" ht="16.5" customHeight="1">
      <c r="A386" s="39"/>
      <c r="B386" s="39"/>
      <c r="C386" s="39"/>
      <c r="D386" s="40"/>
      <c r="E386" s="39"/>
      <c r="F386" s="39"/>
      <c r="G386" s="39"/>
      <c r="H386" s="39"/>
      <c r="I386" s="41"/>
      <c r="J386" s="39"/>
      <c r="K386" s="39"/>
      <c r="L386" s="39"/>
      <c r="M386" s="39"/>
      <c r="N386" s="39"/>
      <c r="O386" s="39"/>
      <c r="P386" s="39"/>
      <c r="Q386" s="39"/>
      <c r="R386" s="39"/>
      <c r="S386" s="39"/>
      <c r="T386" s="39"/>
      <c r="U386" s="39"/>
      <c r="V386" s="39"/>
      <c r="W386" s="39"/>
      <c r="X386" s="39"/>
      <c r="Y386" s="39"/>
      <c r="Z386" s="39"/>
      <c r="AA386" s="39"/>
      <c r="AB386" s="39"/>
      <c r="AC386" s="39"/>
      <c r="AD386" s="39"/>
      <c r="AE386" s="39"/>
      <c r="AF386" s="39"/>
      <c r="AG386" s="39"/>
    </row>
    <row r="387" spans="1:33" ht="16.5" customHeight="1">
      <c r="A387" s="44"/>
      <c r="B387" s="44"/>
      <c r="C387" s="44"/>
      <c r="D387" s="172"/>
      <c r="E387" s="44"/>
      <c r="F387" s="44"/>
      <c r="G387" s="44"/>
      <c r="H387" s="44"/>
      <c r="I387" s="53"/>
      <c r="J387" s="44"/>
      <c r="K387" s="44"/>
      <c r="L387" s="44"/>
      <c r="M387" s="44"/>
      <c r="N387" s="44"/>
      <c r="O387" s="44"/>
      <c r="P387" s="44"/>
      <c r="Q387" s="44"/>
      <c r="R387" s="44"/>
      <c r="S387" s="44"/>
      <c r="T387" s="44"/>
      <c r="U387" s="44"/>
      <c r="V387" s="44"/>
      <c r="W387" s="44"/>
      <c r="X387" s="44"/>
      <c r="Y387" s="44"/>
      <c r="Z387" s="44"/>
      <c r="AA387" s="44"/>
      <c r="AB387" s="44"/>
      <c r="AC387" s="44"/>
      <c r="AD387" s="44"/>
      <c r="AE387" s="44"/>
      <c r="AF387" s="44"/>
      <c r="AG387" s="44"/>
    </row>
    <row r="388" spans="1:33" ht="16.5" customHeight="1">
      <c r="A388" s="44"/>
      <c r="B388" s="44"/>
      <c r="C388" s="44"/>
      <c r="D388" s="172"/>
      <c r="E388" s="44"/>
      <c r="F388" s="44"/>
      <c r="G388" s="44"/>
      <c r="H388" s="44"/>
      <c r="I388" s="53"/>
      <c r="J388" s="44"/>
      <c r="K388" s="44"/>
      <c r="L388" s="44"/>
      <c r="M388" s="44"/>
      <c r="N388" s="44"/>
      <c r="O388" s="44"/>
      <c r="P388" s="44"/>
      <c r="Q388" s="44"/>
      <c r="R388" s="44"/>
      <c r="S388" s="44"/>
      <c r="T388" s="44"/>
      <c r="U388" s="44"/>
      <c r="V388" s="44"/>
      <c r="W388" s="44"/>
      <c r="X388" s="44"/>
      <c r="Y388" s="44"/>
      <c r="Z388" s="44"/>
      <c r="AA388" s="44"/>
      <c r="AB388" s="44"/>
      <c r="AC388" s="44"/>
      <c r="AD388" s="44"/>
      <c r="AE388" s="44"/>
      <c r="AF388" s="44"/>
      <c r="AG388" s="44"/>
    </row>
    <row r="389" spans="1:33" ht="16.5" customHeight="1">
      <c r="A389" s="44"/>
      <c r="B389" s="44"/>
      <c r="C389" s="44"/>
      <c r="D389" s="172"/>
      <c r="E389" s="44"/>
      <c r="F389" s="44"/>
      <c r="G389" s="44"/>
      <c r="H389" s="44"/>
      <c r="I389" s="53"/>
      <c r="J389" s="44"/>
      <c r="K389" s="44"/>
      <c r="L389" s="44"/>
      <c r="M389" s="44"/>
      <c r="N389" s="44"/>
      <c r="O389" s="44"/>
      <c r="P389" s="44"/>
      <c r="Q389" s="44"/>
      <c r="R389" s="44"/>
      <c r="S389" s="44"/>
      <c r="T389" s="44"/>
      <c r="U389" s="44"/>
      <c r="V389" s="44"/>
      <c r="W389" s="44"/>
      <c r="X389" s="44"/>
      <c r="Y389" s="44"/>
      <c r="Z389" s="44"/>
      <c r="AA389" s="44"/>
      <c r="AB389" s="44"/>
      <c r="AC389" s="44"/>
      <c r="AD389" s="44"/>
      <c r="AE389" s="44"/>
      <c r="AF389" s="44"/>
      <c r="AG389" s="44"/>
    </row>
    <row r="390" spans="1:33" ht="16.5" customHeight="1">
      <c r="A390" s="44"/>
      <c r="B390" s="44"/>
      <c r="C390" s="44"/>
      <c r="D390" s="172"/>
      <c r="E390" s="44"/>
      <c r="F390" s="44"/>
      <c r="G390" s="44"/>
      <c r="H390" s="44"/>
      <c r="I390" s="53"/>
      <c r="J390" s="44"/>
      <c r="K390" s="44"/>
      <c r="L390" s="44"/>
      <c r="M390" s="44"/>
      <c r="N390" s="44"/>
      <c r="O390" s="44"/>
      <c r="P390" s="44"/>
      <c r="Q390" s="44"/>
      <c r="R390" s="44"/>
      <c r="S390" s="44"/>
      <c r="T390" s="44"/>
      <c r="U390" s="44"/>
      <c r="V390" s="44"/>
      <c r="W390" s="44"/>
      <c r="X390" s="44"/>
      <c r="Y390" s="44"/>
      <c r="Z390" s="44"/>
      <c r="AA390" s="44"/>
      <c r="AB390" s="44"/>
      <c r="AC390" s="44"/>
      <c r="AD390" s="44"/>
      <c r="AE390" s="44"/>
      <c r="AF390" s="44"/>
      <c r="AG390" s="44"/>
    </row>
    <row r="391" spans="1:33" ht="16.5" customHeight="1">
      <c r="A391" s="44"/>
      <c r="B391" s="44"/>
      <c r="C391" s="44"/>
      <c r="D391" s="172"/>
      <c r="E391" s="44"/>
      <c r="F391" s="44"/>
      <c r="G391" s="44"/>
      <c r="H391" s="44"/>
      <c r="I391" s="53"/>
      <c r="J391" s="44"/>
      <c r="K391" s="44"/>
      <c r="L391" s="44"/>
      <c r="M391" s="44"/>
      <c r="N391" s="44"/>
      <c r="O391" s="44"/>
      <c r="P391" s="44"/>
      <c r="Q391" s="44"/>
      <c r="R391" s="44"/>
      <c r="S391" s="44"/>
      <c r="T391" s="44"/>
      <c r="U391" s="44"/>
      <c r="V391" s="44"/>
      <c r="W391" s="44"/>
      <c r="X391" s="44"/>
      <c r="Y391" s="44"/>
      <c r="Z391" s="44"/>
      <c r="AA391" s="44"/>
      <c r="AB391" s="44"/>
      <c r="AC391" s="44"/>
      <c r="AD391" s="44"/>
      <c r="AE391" s="44"/>
      <c r="AF391" s="44"/>
      <c r="AG391" s="44"/>
    </row>
    <row r="392" spans="1:33" ht="16.5" customHeight="1">
      <c r="A392" s="44"/>
      <c r="B392" s="44"/>
      <c r="C392" s="44"/>
      <c r="D392" s="172"/>
      <c r="E392" s="44"/>
      <c r="F392" s="44"/>
      <c r="G392" s="44"/>
      <c r="H392" s="44"/>
      <c r="I392" s="53"/>
      <c r="J392" s="44"/>
      <c r="K392" s="44"/>
      <c r="L392" s="44"/>
      <c r="M392" s="44"/>
      <c r="N392" s="44"/>
      <c r="O392" s="44"/>
      <c r="P392" s="44"/>
      <c r="Q392" s="44"/>
      <c r="R392" s="44"/>
      <c r="S392" s="44"/>
      <c r="T392" s="44"/>
      <c r="U392" s="44"/>
      <c r="V392" s="44"/>
      <c r="W392" s="44"/>
      <c r="X392" s="44"/>
      <c r="Y392" s="44"/>
      <c r="Z392" s="44"/>
      <c r="AA392" s="44"/>
      <c r="AB392" s="44"/>
      <c r="AC392" s="44"/>
      <c r="AD392" s="44"/>
      <c r="AE392" s="44"/>
      <c r="AF392" s="44"/>
      <c r="AG392" s="44"/>
    </row>
    <row r="393" spans="1:33" ht="16.5" customHeight="1">
      <c r="A393" s="44"/>
      <c r="B393" s="44"/>
      <c r="C393" s="44"/>
      <c r="D393" s="172"/>
      <c r="E393" s="44"/>
      <c r="F393" s="44"/>
      <c r="G393" s="44"/>
      <c r="H393" s="44"/>
      <c r="I393" s="53"/>
      <c r="J393" s="44"/>
      <c r="K393" s="44"/>
      <c r="L393" s="44"/>
      <c r="M393" s="44"/>
      <c r="N393" s="44"/>
      <c r="O393" s="44"/>
      <c r="P393" s="44"/>
      <c r="Q393" s="44"/>
      <c r="R393" s="44"/>
      <c r="S393" s="44"/>
      <c r="T393" s="44"/>
      <c r="U393" s="44"/>
      <c r="V393" s="44"/>
      <c r="W393" s="44"/>
      <c r="X393" s="44"/>
      <c r="Y393" s="44"/>
      <c r="Z393" s="44"/>
      <c r="AA393" s="44"/>
      <c r="AB393" s="44"/>
      <c r="AC393" s="44"/>
      <c r="AD393" s="44"/>
      <c r="AE393" s="44"/>
      <c r="AF393" s="44"/>
      <c r="AG393" s="44"/>
    </row>
    <row r="394" spans="1:33" ht="16.5" customHeight="1">
      <c r="A394" s="44"/>
      <c r="B394" s="44"/>
      <c r="C394" s="44"/>
      <c r="D394" s="172"/>
      <c r="E394" s="44"/>
      <c r="F394" s="44"/>
      <c r="G394" s="44"/>
      <c r="H394" s="44"/>
      <c r="I394" s="53"/>
      <c r="J394" s="44"/>
      <c r="K394" s="44"/>
      <c r="L394" s="44"/>
      <c r="M394" s="44"/>
      <c r="N394" s="44"/>
      <c r="O394" s="44"/>
      <c r="P394" s="44"/>
      <c r="Q394" s="44"/>
      <c r="R394" s="44"/>
      <c r="S394" s="44"/>
      <c r="T394" s="44"/>
      <c r="U394" s="44"/>
      <c r="V394" s="44"/>
      <c r="W394" s="44"/>
      <c r="X394" s="44"/>
      <c r="Y394" s="44"/>
      <c r="Z394" s="44"/>
      <c r="AA394" s="44"/>
      <c r="AB394" s="44"/>
      <c r="AC394" s="44"/>
      <c r="AD394" s="44"/>
      <c r="AE394" s="44"/>
      <c r="AF394" s="44"/>
      <c r="AG394" s="44"/>
    </row>
    <row r="395" spans="1:33" ht="16.5" customHeight="1">
      <c r="A395" s="44"/>
      <c r="B395" s="44"/>
      <c r="C395" s="44"/>
      <c r="D395" s="172"/>
      <c r="E395" s="44"/>
      <c r="F395" s="44"/>
      <c r="G395" s="44"/>
      <c r="H395" s="44"/>
      <c r="I395" s="53"/>
      <c r="J395" s="44"/>
      <c r="K395" s="44"/>
      <c r="L395" s="44"/>
      <c r="M395" s="44"/>
      <c r="N395" s="44"/>
      <c r="O395" s="44"/>
      <c r="P395" s="44"/>
      <c r="Q395" s="44"/>
      <c r="R395" s="44"/>
      <c r="S395" s="44"/>
      <c r="T395" s="44"/>
      <c r="U395" s="44"/>
      <c r="V395" s="44"/>
      <c r="W395" s="44"/>
      <c r="X395" s="44"/>
      <c r="Y395" s="44"/>
      <c r="Z395" s="44"/>
      <c r="AA395" s="44"/>
      <c r="AB395" s="44"/>
      <c r="AC395" s="44"/>
      <c r="AD395" s="44"/>
      <c r="AE395" s="44"/>
      <c r="AF395" s="44"/>
      <c r="AG395" s="44"/>
    </row>
    <row r="396" spans="1:33" ht="16.5" customHeight="1">
      <c r="A396" s="44"/>
      <c r="B396" s="44"/>
      <c r="C396" s="44"/>
      <c r="D396" s="172"/>
      <c r="E396" s="44"/>
      <c r="F396" s="44"/>
      <c r="G396" s="44"/>
      <c r="H396" s="44"/>
      <c r="I396" s="53"/>
      <c r="J396" s="44"/>
      <c r="K396" s="44"/>
      <c r="L396" s="44"/>
      <c r="M396" s="44"/>
      <c r="N396" s="44"/>
      <c r="O396" s="44"/>
      <c r="P396" s="44"/>
      <c r="Q396" s="44"/>
      <c r="R396" s="44"/>
      <c r="S396" s="44"/>
      <c r="T396" s="44"/>
      <c r="U396" s="44"/>
      <c r="V396" s="44"/>
      <c r="W396" s="44"/>
      <c r="X396" s="44"/>
      <c r="Y396" s="44"/>
      <c r="Z396" s="44"/>
      <c r="AA396" s="44"/>
      <c r="AB396" s="44"/>
      <c r="AC396" s="44"/>
      <c r="AD396" s="44"/>
      <c r="AE396" s="44"/>
      <c r="AF396" s="44"/>
      <c r="AG396" s="44"/>
    </row>
    <row r="397" spans="1:33" ht="16.5" customHeight="1">
      <c r="A397" s="44"/>
      <c r="B397" s="44"/>
      <c r="C397" s="44"/>
      <c r="D397" s="172"/>
      <c r="E397" s="44"/>
      <c r="F397" s="44"/>
      <c r="G397" s="44"/>
      <c r="H397" s="44"/>
      <c r="I397" s="53"/>
      <c r="J397" s="44"/>
      <c r="K397" s="44"/>
      <c r="L397" s="44"/>
      <c r="M397" s="44"/>
      <c r="N397" s="44"/>
      <c r="O397" s="44"/>
      <c r="P397" s="44"/>
      <c r="Q397" s="44"/>
      <c r="R397" s="44"/>
      <c r="S397" s="44"/>
      <c r="T397" s="44"/>
      <c r="U397" s="44"/>
      <c r="V397" s="44"/>
      <c r="W397" s="44"/>
      <c r="X397" s="44"/>
      <c r="Y397" s="44"/>
      <c r="Z397" s="44"/>
      <c r="AA397" s="44"/>
      <c r="AB397" s="44"/>
      <c r="AC397" s="44"/>
      <c r="AD397" s="44"/>
      <c r="AE397" s="44"/>
      <c r="AF397" s="44"/>
      <c r="AG397" s="44"/>
    </row>
    <row r="398" spans="1:33" ht="16.5" customHeight="1">
      <c r="A398" s="44"/>
      <c r="B398" s="44"/>
      <c r="C398" s="44"/>
      <c r="D398" s="172"/>
      <c r="E398" s="44"/>
      <c r="F398" s="44"/>
      <c r="G398" s="44"/>
      <c r="H398" s="44"/>
      <c r="I398" s="53"/>
      <c r="J398" s="44"/>
      <c r="K398" s="44"/>
      <c r="L398" s="44"/>
      <c r="M398" s="44"/>
      <c r="N398" s="44"/>
      <c r="O398" s="44"/>
      <c r="P398" s="44"/>
      <c r="Q398" s="44"/>
      <c r="R398" s="44"/>
      <c r="S398" s="44"/>
      <c r="T398" s="44"/>
      <c r="U398" s="44"/>
      <c r="V398" s="44"/>
      <c r="W398" s="44"/>
      <c r="X398" s="44"/>
      <c r="Y398" s="44"/>
      <c r="Z398" s="44"/>
      <c r="AA398" s="44"/>
      <c r="AB398" s="44"/>
      <c r="AC398" s="44"/>
      <c r="AD398" s="44"/>
      <c r="AE398" s="44"/>
      <c r="AF398" s="44"/>
      <c r="AG398" s="44"/>
    </row>
    <row r="399" spans="1:33" ht="16.5" customHeight="1">
      <c r="A399" s="44"/>
      <c r="B399" s="44"/>
      <c r="C399" s="44"/>
      <c r="D399" s="172"/>
      <c r="E399" s="44"/>
      <c r="F399" s="44"/>
      <c r="G399" s="44"/>
      <c r="H399" s="44"/>
      <c r="I399" s="53"/>
      <c r="J399" s="44"/>
      <c r="K399" s="44"/>
      <c r="L399" s="44"/>
      <c r="M399" s="44"/>
      <c r="N399" s="44"/>
      <c r="O399" s="44"/>
      <c r="P399" s="44"/>
      <c r="Q399" s="44"/>
      <c r="R399" s="44"/>
      <c r="S399" s="44"/>
      <c r="T399" s="44"/>
      <c r="U399" s="44"/>
      <c r="V399" s="44"/>
      <c r="W399" s="44"/>
      <c r="X399" s="44"/>
      <c r="Y399" s="44"/>
      <c r="Z399" s="44"/>
      <c r="AA399" s="44"/>
      <c r="AB399" s="44"/>
      <c r="AC399" s="44"/>
      <c r="AD399" s="44"/>
      <c r="AE399" s="44"/>
      <c r="AF399" s="44"/>
      <c r="AG399" s="44"/>
    </row>
    <row r="400" spans="1:33" ht="16.5" customHeight="1">
      <c r="A400" s="44"/>
      <c r="B400" s="44"/>
      <c r="C400" s="44"/>
      <c r="D400" s="172"/>
      <c r="E400" s="44"/>
      <c r="F400" s="44"/>
      <c r="G400" s="44"/>
      <c r="H400" s="44"/>
      <c r="I400" s="53"/>
      <c r="J400" s="44"/>
      <c r="K400" s="44"/>
      <c r="L400" s="44"/>
      <c r="M400" s="44"/>
      <c r="N400" s="44"/>
      <c r="O400" s="44"/>
      <c r="P400" s="44"/>
      <c r="Q400" s="44"/>
      <c r="R400" s="44"/>
      <c r="S400" s="44"/>
      <c r="T400" s="44"/>
      <c r="U400" s="44"/>
      <c r="V400" s="44"/>
      <c r="W400" s="44"/>
      <c r="X400" s="44"/>
      <c r="Y400" s="44"/>
      <c r="Z400" s="44"/>
      <c r="AA400" s="44"/>
      <c r="AB400" s="44"/>
      <c r="AC400" s="44"/>
      <c r="AD400" s="44"/>
      <c r="AE400" s="44"/>
      <c r="AF400" s="44"/>
      <c r="AG400" s="44"/>
    </row>
    <row r="401" spans="1:33" ht="16.5" customHeight="1">
      <c r="A401" s="44"/>
      <c r="B401" s="44"/>
      <c r="C401" s="44"/>
      <c r="D401" s="172"/>
      <c r="E401" s="44"/>
      <c r="F401" s="44"/>
      <c r="G401" s="44"/>
      <c r="H401" s="44"/>
      <c r="I401" s="53"/>
      <c r="J401" s="44"/>
      <c r="K401" s="44"/>
      <c r="L401" s="44"/>
      <c r="M401" s="44"/>
      <c r="N401" s="44"/>
      <c r="O401" s="44"/>
      <c r="P401" s="44"/>
      <c r="Q401" s="44"/>
      <c r="R401" s="44"/>
      <c r="S401" s="44"/>
      <c r="T401" s="44"/>
      <c r="U401" s="44"/>
      <c r="V401" s="44"/>
      <c r="W401" s="44"/>
      <c r="X401" s="44"/>
      <c r="Y401" s="44"/>
      <c r="Z401" s="44"/>
      <c r="AA401" s="44"/>
      <c r="AB401" s="44"/>
      <c r="AC401" s="44"/>
      <c r="AD401" s="44"/>
      <c r="AE401" s="44"/>
      <c r="AF401" s="44"/>
      <c r="AG401" s="44"/>
    </row>
    <row r="402" spans="1:33" ht="16.5" customHeight="1">
      <c r="A402" s="44"/>
      <c r="B402" s="44"/>
      <c r="C402" s="44"/>
      <c r="D402" s="172"/>
      <c r="E402" s="44"/>
      <c r="F402" s="44"/>
      <c r="G402" s="44"/>
      <c r="H402" s="44"/>
      <c r="I402" s="53"/>
      <c r="J402" s="44"/>
      <c r="K402" s="44"/>
      <c r="L402" s="44"/>
      <c r="M402" s="44"/>
      <c r="N402" s="44"/>
      <c r="O402" s="44"/>
      <c r="P402" s="44"/>
      <c r="Q402" s="44"/>
      <c r="R402" s="44"/>
      <c r="S402" s="44"/>
      <c r="T402" s="44"/>
      <c r="U402" s="44"/>
      <c r="V402" s="44"/>
      <c r="W402" s="44"/>
      <c r="X402" s="44"/>
      <c r="Y402" s="44"/>
      <c r="Z402" s="44"/>
      <c r="AA402" s="44"/>
      <c r="AB402" s="44"/>
      <c r="AC402" s="44"/>
      <c r="AD402" s="44"/>
      <c r="AE402" s="44"/>
      <c r="AF402" s="44"/>
      <c r="AG402" s="44"/>
    </row>
    <row r="403" spans="1:33" ht="16.5" customHeight="1">
      <c r="A403" s="44"/>
      <c r="B403" s="44"/>
      <c r="C403" s="44"/>
      <c r="D403" s="172"/>
      <c r="E403" s="44"/>
      <c r="F403" s="44"/>
      <c r="G403" s="44"/>
      <c r="H403" s="44"/>
      <c r="I403" s="53"/>
      <c r="J403" s="44"/>
      <c r="K403" s="44"/>
      <c r="L403" s="44"/>
      <c r="M403" s="44"/>
      <c r="N403" s="44"/>
      <c r="O403" s="44"/>
      <c r="P403" s="44"/>
      <c r="Q403" s="44"/>
      <c r="R403" s="44"/>
      <c r="S403" s="44"/>
      <c r="T403" s="44"/>
      <c r="U403" s="44"/>
      <c r="V403" s="44"/>
      <c r="W403" s="44"/>
      <c r="X403" s="44"/>
      <c r="Y403" s="44"/>
      <c r="Z403" s="44"/>
      <c r="AA403" s="44"/>
      <c r="AB403" s="44"/>
      <c r="AC403" s="44"/>
      <c r="AD403" s="44"/>
      <c r="AE403" s="44"/>
      <c r="AF403" s="44"/>
      <c r="AG403" s="44"/>
    </row>
    <row r="404" spans="1:33" ht="16.5" customHeight="1">
      <c r="A404" s="44"/>
      <c r="B404" s="44"/>
      <c r="C404" s="44"/>
      <c r="D404" s="172"/>
      <c r="E404" s="44"/>
      <c r="F404" s="44"/>
      <c r="G404" s="44"/>
      <c r="H404" s="44"/>
      <c r="I404" s="53"/>
      <c r="J404" s="44"/>
      <c r="K404" s="44"/>
      <c r="L404" s="44"/>
      <c r="M404" s="44"/>
      <c r="N404" s="44"/>
      <c r="O404" s="44"/>
      <c r="P404" s="44"/>
      <c r="Q404" s="44"/>
      <c r="R404" s="44"/>
      <c r="S404" s="44"/>
      <c r="T404" s="44"/>
      <c r="U404" s="44"/>
      <c r="V404" s="44"/>
      <c r="W404" s="44"/>
      <c r="X404" s="44"/>
      <c r="Y404" s="44"/>
      <c r="Z404" s="44"/>
      <c r="AA404" s="44"/>
      <c r="AB404" s="44"/>
      <c r="AC404" s="44"/>
      <c r="AD404" s="44"/>
      <c r="AE404" s="44"/>
      <c r="AF404" s="44"/>
      <c r="AG404" s="44"/>
    </row>
    <row r="405" spans="1:33" ht="16.5" customHeight="1">
      <c r="A405" s="44"/>
      <c r="B405" s="44"/>
      <c r="C405" s="44"/>
      <c r="D405" s="172"/>
      <c r="E405" s="44"/>
      <c r="F405" s="44"/>
      <c r="G405" s="44"/>
      <c r="H405" s="44"/>
      <c r="I405" s="53"/>
      <c r="J405" s="44"/>
      <c r="K405" s="44"/>
      <c r="L405" s="44"/>
      <c r="M405" s="44"/>
      <c r="N405" s="44"/>
      <c r="O405" s="44"/>
      <c r="P405" s="44"/>
      <c r="Q405" s="44"/>
      <c r="R405" s="44"/>
      <c r="S405" s="44"/>
      <c r="T405" s="44"/>
      <c r="U405" s="44"/>
      <c r="V405" s="44"/>
      <c r="W405" s="44"/>
      <c r="X405" s="44"/>
      <c r="Y405" s="44"/>
      <c r="Z405" s="44"/>
      <c r="AA405" s="44"/>
      <c r="AB405" s="44"/>
      <c r="AC405" s="44"/>
      <c r="AD405" s="44"/>
      <c r="AE405" s="44"/>
      <c r="AF405" s="44"/>
      <c r="AG405" s="44"/>
    </row>
    <row r="406" spans="1:33" ht="16.5" customHeight="1">
      <c r="A406" s="44"/>
      <c r="B406" s="44"/>
      <c r="C406" s="44"/>
      <c r="D406" s="172"/>
      <c r="E406" s="44"/>
      <c r="F406" s="44"/>
      <c r="G406" s="44"/>
      <c r="H406" s="44"/>
      <c r="I406" s="53"/>
      <c r="J406" s="44"/>
      <c r="K406" s="44"/>
      <c r="L406" s="44"/>
      <c r="M406" s="44"/>
      <c r="N406" s="44"/>
      <c r="O406" s="44"/>
      <c r="P406" s="44"/>
      <c r="Q406" s="44"/>
      <c r="R406" s="44"/>
      <c r="S406" s="44"/>
      <c r="T406" s="44"/>
      <c r="U406" s="44"/>
      <c r="V406" s="44"/>
      <c r="W406" s="44"/>
      <c r="X406" s="44"/>
      <c r="Y406" s="44"/>
      <c r="Z406" s="44"/>
      <c r="AA406" s="44"/>
      <c r="AB406" s="44"/>
      <c r="AC406" s="44"/>
      <c r="AD406" s="44"/>
      <c r="AE406" s="44"/>
      <c r="AF406" s="44"/>
      <c r="AG406" s="44"/>
    </row>
    <row r="407" spans="1:33" ht="16.5" customHeight="1">
      <c r="A407" s="44"/>
      <c r="B407" s="44"/>
      <c r="C407" s="44"/>
      <c r="D407" s="172"/>
      <c r="E407" s="44"/>
      <c r="F407" s="44"/>
      <c r="G407" s="44"/>
      <c r="H407" s="44"/>
      <c r="I407" s="53"/>
      <c r="J407" s="44"/>
      <c r="K407" s="44"/>
      <c r="L407" s="44"/>
      <c r="M407" s="44"/>
      <c r="N407" s="44"/>
      <c r="O407" s="44"/>
      <c r="P407" s="44"/>
      <c r="Q407" s="44"/>
      <c r="R407" s="44"/>
      <c r="S407" s="44"/>
      <c r="T407" s="44"/>
      <c r="U407" s="44"/>
      <c r="V407" s="44"/>
      <c r="W407" s="44"/>
      <c r="X407" s="44"/>
      <c r="Y407" s="44"/>
      <c r="Z407" s="44"/>
      <c r="AA407" s="44"/>
      <c r="AB407" s="44"/>
      <c r="AC407" s="44"/>
      <c r="AD407" s="44"/>
      <c r="AE407" s="44"/>
      <c r="AF407" s="44"/>
      <c r="AG407" s="44"/>
    </row>
    <row r="408" spans="1:33" ht="16.5" customHeight="1">
      <c r="A408" s="44"/>
      <c r="B408" s="44"/>
      <c r="C408" s="44"/>
      <c r="D408" s="172"/>
      <c r="E408" s="44"/>
      <c r="F408" s="44"/>
      <c r="G408" s="44"/>
      <c r="H408" s="44"/>
      <c r="I408" s="53"/>
      <c r="J408" s="44"/>
      <c r="K408" s="44"/>
      <c r="L408" s="44"/>
      <c r="M408" s="44"/>
      <c r="N408" s="44"/>
      <c r="O408" s="44"/>
      <c r="P408" s="44"/>
      <c r="Q408" s="44"/>
      <c r="R408" s="44"/>
      <c r="S408" s="44"/>
      <c r="T408" s="44"/>
      <c r="U408" s="44"/>
      <c r="V408" s="44"/>
      <c r="W408" s="44"/>
      <c r="X408" s="44"/>
      <c r="Y408" s="44"/>
      <c r="Z408" s="44"/>
      <c r="AA408" s="44"/>
      <c r="AB408" s="44"/>
      <c r="AC408" s="44"/>
      <c r="AD408" s="44"/>
      <c r="AE408" s="44"/>
      <c r="AF408" s="44"/>
      <c r="AG408" s="44"/>
    </row>
    <row r="409" spans="1:33" ht="16.5" customHeight="1">
      <c r="A409" s="44"/>
      <c r="B409" s="44"/>
      <c r="C409" s="44"/>
      <c r="D409" s="172"/>
      <c r="E409" s="44"/>
      <c r="F409" s="44"/>
      <c r="G409" s="44"/>
      <c r="H409" s="44"/>
      <c r="I409" s="53"/>
      <c r="J409" s="44"/>
      <c r="K409" s="44"/>
      <c r="L409" s="44"/>
      <c r="M409" s="44"/>
      <c r="N409" s="44"/>
      <c r="O409" s="44"/>
      <c r="P409" s="44"/>
      <c r="Q409" s="44"/>
      <c r="R409" s="44"/>
      <c r="S409" s="44"/>
      <c r="T409" s="44"/>
      <c r="U409" s="44"/>
      <c r="V409" s="44"/>
      <c r="W409" s="44"/>
      <c r="X409" s="44"/>
      <c r="Y409" s="44"/>
      <c r="Z409" s="44"/>
      <c r="AA409" s="44"/>
      <c r="AB409" s="44"/>
      <c r="AC409" s="44"/>
      <c r="AD409" s="44"/>
      <c r="AE409" s="44"/>
      <c r="AF409" s="44"/>
      <c r="AG409" s="44"/>
    </row>
    <row r="410" spans="1:33" ht="16.5" customHeight="1">
      <c r="A410" s="44"/>
      <c r="B410" s="44"/>
      <c r="C410" s="44"/>
      <c r="D410" s="172"/>
      <c r="E410" s="44"/>
      <c r="F410" s="44"/>
      <c r="G410" s="44"/>
      <c r="H410" s="44"/>
      <c r="I410" s="53"/>
      <c r="J410" s="44"/>
      <c r="K410" s="44"/>
      <c r="L410" s="44"/>
      <c r="M410" s="44"/>
      <c r="N410" s="44"/>
      <c r="O410" s="44"/>
      <c r="P410" s="44"/>
      <c r="Q410" s="44"/>
      <c r="R410" s="44"/>
      <c r="S410" s="44"/>
      <c r="T410" s="44"/>
      <c r="U410" s="44"/>
      <c r="V410" s="44"/>
      <c r="W410" s="44"/>
      <c r="X410" s="44"/>
      <c r="Y410" s="44"/>
      <c r="Z410" s="44"/>
      <c r="AA410" s="44"/>
      <c r="AB410" s="44"/>
      <c r="AC410" s="44"/>
      <c r="AD410" s="44"/>
      <c r="AE410" s="44"/>
      <c r="AF410" s="44"/>
      <c r="AG410" s="44"/>
    </row>
    <row r="411" spans="1:33" ht="16.5" customHeight="1">
      <c r="A411" s="44"/>
      <c r="B411" s="44"/>
      <c r="C411" s="44"/>
      <c r="D411" s="172"/>
      <c r="E411" s="44"/>
      <c r="F411" s="44"/>
      <c r="G411" s="44"/>
      <c r="H411" s="44"/>
      <c r="I411" s="53"/>
      <c r="J411" s="44"/>
      <c r="K411" s="44"/>
      <c r="L411" s="44"/>
      <c r="M411" s="44"/>
      <c r="N411" s="44"/>
      <c r="O411" s="44"/>
      <c r="P411" s="44"/>
      <c r="Q411" s="44"/>
      <c r="R411" s="44"/>
      <c r="S411" s="44"/>
      <c r="T411" s="44"/>
      <c r="U411" s="44"/>
      <c r="V411" s="44"/>
      <c r="W411" s="44"/>
      <c r="X411" s="44"/>
      <c r="Y411" s="44"/>
      <c r="Z411" s="44"/>
      <c r="AA411" s="44"/>
      <c r="AB411" s="44"/>
      <c r="AC411" s="44"/>
      <c r="AD411" s="44"/>
      <c r="AE411" s="44"/>
      <c r="AF411" s="44"/>
      <c r="AG411" s="44"/>
    </row>
    <row r="412" spans="1:33" ht="16.5" customHeight="1">
      <c r="A412" s="44"/>
      <c r="B412" s="44"/>
      <c r="C412" s="44"/>
      <c r="D412" s="172"/>
      <c r="E412" s="44"/>
      <c r="F412" s="44"/>
      <c r="G412" s="44"/>
      <c r="H412" s="44"/>
      <c r="I412" s="53"/>
      <c r="J412" s="44"/>
      <c r="K412" s="44"/>
      <c r="L412" s="44"/>
      <c r="M412" s="44"/>
      <c r="N412" s="44"/>
      <c r="O412" s="44"/>
      <c r="P412" s="44"/>
      <c r="Q412" s="44"/>
      <c r="R412" s="44"/>
      <c r="S412" s="44"/>
      <c r="T412" s="44"/>
      <c r="U412" s="44"/>
      <c r="V412" s="44"/>
      <c r="W412" s="44"/>
      <c r="X412" s="44"/>
      <c r="Y412" s="44"/>
      <c r="Z412" s="44"/>
      <c r="AA412" s="44"/>
      <c r="AB412" s="44"/>
      <c r="AC412" s="44"/>
      <c r="AD412" s="44"/>
      <c r="AE412" s="44"/>
      <c r="AF412" s="44"/>
      <c r="AG412" s="44"/>
    </row>
    <row r="413" spans="1:33" ht="16.5" customHeight="1">
      <c r="A413" s="44"/>
      <c r="B413" s="44"/>
      <c r="C413" s="44"/>
      <c r="D413" s="172"/>
      <c r="E413" s="44"/>
      <c r="F413" s="44"/>
      <c r="G413" s="44"/>
      <c r="H413" s="44"/>
      <c r="I413" s="53"/>
      <c r="J413" s="44"/>
      <c r="K413" s="44"/>
      <c r="L413" s="44"/>
      <c r="M413" s="44"/>
      <c r="N413" s="44"/>
      <c r="O413" s="44"/>
      <c r="P413" s="44"/>
      <c r="Q413" s="44"/>
      <c r="R413" s="44"/>
      <c r="S413" s="44"/>
      <c r="T413" s="44"/>
      <c r="U413" s="44"/>
      <c r="V413" s="44"/>
      <c r="W413" s="44"/>
      <c r="X413" s="44"/>
      <c r="Y413" s="44"/>
      <c r="Z413" s="44"/>
      <c r="AA413" s="44"/>
      <c r="AB413" s="44"/>
      <c r="AC413" s="44"/>
      <c r="AD413" s="44"/>
      <c r="AE413" s="44"/>
      <c r="AF413" s="44"/>
      <c r="AG413" s="44"/>
    </row>
    <row r="414" spans="1:33" ht="16.5" customHeight="1">
      <c r="A414" s="44"/>
      <c r="B414" s="44"/>
      <c r="C414" s="44"/>
      <c r="D414" s="172"/>
      <c r="E414" s="44"/>
      <c r="F414" s="44"/>
      <c r="G414" s="44"/>
      <c r="H414" s="44"/>
      <c r="I414" s="53"/>
      <c r="J414" s="44"/>
      <c r="K414" s="44"/>
      <c r="L414" s="44"/>
      <c r="M414" s="44"/>
      <c r="N414" s="44"/>
      <c r="O414" s="44"/>
      <c r="P414" s="44"/>
      <c r="Q414" s="44"/>
      <c r="R414" s="44"/>
      <c r="S414" s="44"/>
      <c r="T414" s="44"/>
      <c r="U414" s="44"/>
      <c r="V414" s="44"/>
      <c r="W414" s="44"/>
      <c r="X414" s="44"/>
      <c r="Y414" s="44"/>
      <c r="Z414" s="44"/>
      <c r="AA414" s="44"/>
      <c r="AB414" s="44"/>
      <c r="AC414" s="44"/>
      <c r="AD414" s="44"/>
      <c r="AE414" s="44"/>
      <c r="AF414" s="44"/>
      <c r="AG414" s="44"/>
    </row>
    <row r="415" spans="1:33" ht="16.5" customHeight="1">
      <c r="A415" s="44"/>
      <c r="B415" s="44"/>
      <c r="C415" s="44"/>
      <c r="D415" s="172"/>
      <c r="E415" s="44"/>
      <c r="F415" s="44"/>
      <c r="G415" s="44"/>
      <c r="H415" s="44"/>
      <c r="I415" s="53"/>
      <c r="J415" s="44"/>
      <c r="K415" s="44"/>
      <c r="L415" s="44"/>
      <c r="M415" s="44"/>
      <c r="N415" s="44"/>
      <c r="O415" s="44"/>
      <c r="P415" s="44"/>
      <c r="Q415" s="44"/>
      <c r="R415" s="44"/>
      <c r="S415" s="44"/>
      <c r="T415" s="44"/>
      <c r="U415" s="44"/>
      <c r="V415" s="44"/>
      <c r="W415" s="44"/>
      <c r="X415" s="44"/>
      <c r="Y415" s="44"/>
      <c r="Z415" s="44"/>
      <c r="AA415" s="44"/>
      <c r="AB415" s="44"/>
      <c r="AC415" s="44"/>
      <c r="AD415" s="44"/>
      <c r="AE415" s="44"/>
      <c r="AF415" s="44"/>
      <c r="AG415" s="44"/>
    </row>
    <row r="416" spans="1:33" ht="16.5" customHeight="1">
      <c r="A416" s="44"/>
      <c r="B416" s="44"/>
      <c r="C416" s="44"/>
      <c r="D416" s="172"/>
      <c r="E416" s="44"/>
      <c r="F416" s="44"/>
      <c r="G416" s="44"/>
      <c r="H416" s="44"/>
      <c r="I416" s="53"/>
      <c r="J416" s="44"/>
      <c r="K416" s="44"/>
      <c r="L416" s="44"/>
      <c r="M416" s="44"/>
      <c r="N416" s="44"/>
      <c r="O416" s="44"/>
      <c r="P416" s="44"/>
      <c r="Q416" s="44"/>
      <c r="R416" s="44"/>
      <c r="S416" s="44"/>
      <c r="T416" s="44"/>
      <c r="U416" s="44"/>
      <c r="V416" s="44"/>
      <c r="W416" s="44"/>
      <c r="X416" s="44"/>
      <c r="Y416" s="44"/>
      <c r="Z416" s="44"/>
      <c r="AA416" s="44"/>
      <c r="AB416" s="44"/>
      <c r="AC416" s="44"/>
      <c r="AD416" s="44"/>
      <c r="AE416" s="44"/>
      <c r="AF416" s="44"/>
      <c r="AG416" s="44"/>
    </row>
    <row r="417" spans="1:33" ht="16.5" customHeight="1">
      <c r="A417" s="44"/>
      <c r="B417" s="44"/>
      <c r="C417" s="44"/>
      <c r="D417" s="172"/>
      <c r="E417" s="44"/>
      <c r="F417" s="44"/>
      <c r="G417" s="44"/>
      <c r="H417" s="44"/>
      <c r="I417" s="53"/>
      <c r="J417" s="44"/>
      <c r="K417" s="44"/>
      <c r="L417" s="44"/>
      <c r="M417" s="44"/>
      <c r="N417" s="44"/>
      <c r="O417" s="44"/>
      <c r="P417" s="44"/>
      <c r="Q417" s="44"/>
      <c r="R417" s="44"/>
      <c r="S417" s="44"/>
      <c r="T417" s="44"/>
      <c r="U417" s="44"/>
      <c r="V417" s="44"/>
      <c r="W417" s="44"/>
      <c r="X417" s="44"/>
      <c r="Y417" s="44"/>
      <c r="Z417" s="44"/>
      <c r="AA417" s="44"/>
      <c r="AB417" s="44"/>
      <c r="AC417" s="44"/>
      <c r="AD417" s="44"/>
      <c r="AE417" s="44"/>
      <c r="AF417" s="44"/>
      <c r="AG417" s="44"/>
    </row>
    <row r="418" spans="1:33" ht="16.5" customHeight="1">
      <c r="A418" s="44"/>
      <c r="B418" s="44"/>
      <c r="C418" s="44"/>
      <c r="D418" s="172"/>
      <c r="E418" s="44"/>
      <c r="F418" s="44"/>
      <c r="G418" s="44"/>
      <c r="H418" s="44"/>
      <c r="I418" s="53"/>
      <c r="J418" s="44"/>
      <c r="K418" s="44"/>
      <c r="L418" s="44"/>
      <c r="M418" s="44"/>
      <c r="N418" s="44"/>
      <c r="O418" s="44"/>
      <c r="P418" s="44"/>
      <c r="Q418" s="44"/>
      <c r="R418" s="44"/>
      <c r="S418" s="44"/>
      <c r="T418" s="44"/>
      <c r="U418" s="44"/>
      <c r="V418" s="44"/>
      <c r="W418" s="44"/>
      <c r="X418" s="44"/>
      <c r="Y418" s="44"/>
      <c r="Z418" s="44"/>
      <c r="AA418" s="44"/>
      <c r="AB418" s="44"/>
      <c r="AC418" s="44"/>
      <c r="AD418" s="44"/>
      <c r="AE418" s="44"/>
      <c r="AF418" s="44"/>
      <c r="AG418" s="44"/>
    </row>
    <row r="419" spans="1:33" ht="16.5" customHeight="1">
      <c r="A419" s="44"/>
      <c r="B419" s="44"/>
      <c r="C419" s="44"/>
      <c r="D419" s="172"/>
      <c r="E419" s="44"/>
      <c r="F419" s="44"/>
      <c r="G419" s="44"/>
      <c r="H419" s="44"/>
      <c r="I419" s="53"/>
      <c r="J419" s="44"/>
      <c r="K419" s="44"/>
      <c r="L419" s="44"/>
      <c r="M419" s="44"/>
      <c r="N419" s="44"/>
      <c r="O419" s="44"/>
      <c r="P419" s="44"/>
      <c r="Q419" s="44"/>
      <c r="R419" s="44"/>
      <c r="S419" s="44"/>
      <c r="T419" s="44"/>
      <c r="U419" s="44"/>
      <c r="V419" s="44"/>
      <c r="W419" s="44"/>
      <c r="X419" s="44"/>
      <c r="Y419" s="44"/>
      <c r="Z419" s="44"/>
      <c r="AA419" s="44"/>
      <c r="AB419" s="44"/>
      <c r="AC419" s="44"/>
      <c r="AD419" s="44"/>
      <c r="AE419" s="44"/>
      <c r="AF419" s="44"/>
      <c r="AG419" s="44"/>
    </row>
    <row r="420" spans="1:33" ht="16.5" customHeight="1">
      <c r="A420" s="44"/>
      <c r="B420" s="44"/>
      <c r="C420" s="44"/>
      <c r="D420" s="172"/>
      <c r="E420" s="44"/>
      <c r="F420" s="44"/>
      <c r="G420" s="44"/>
      <c r="H420" s="44"/>
      <c r="I420" s="53"/>
      <c r="J420" s="44"/>
      <c r="K420" s="44"/>
      <c r="L420" s="44"/>
      <c r="M420" s="44"/>
      <c r="N420" s="44"/>
      <c r="O420" s="44"/>
      <c r="P420" s="44"/>
      <c r="Q420" s="44"/>
      <c r="R420" s="44"/>
      <c r="S420" s="44"/>
      <c r="T420" s="44"/>
      <c r="U420" s="44"/>
      <c r="V420" s="44"/>
      <c r="W420" s="44"/>
      <c r="X420" s="44"/>
      <c r="Y420" s="44"/>
      <c r="Z420" s="44"/>
      <c r="AA420" s="44"/>
      <c r="AB420" s="44"/>
      <c r="AC420" s="44"/>
      <c r="AD420" s="44"/>
      <c r="AE420" s="44"/>
      <c r="AF420" s="44"/>
      <c r="AG420" s="44"/>
    </row>
    <row r="421" spans="1:33" ht="16.5" customHeight="1">
      <c r="A421" s="44"/>
      <c r="B421" s="44"/>
      <c r="C421" s="44"/>
      <c r="D421" s="172"/>
      <c r="E421" s="44"/>
      <c r="F421" s="44"/>
      <c r="G421" s="44"/>
      <c r="H421" s="44"/>
      <c r="I421" s="53"/>
      <c r="J421" s="44"/>
      <c r="K421" s="44"/>
      <c r="L421" s="44"/>
      <c r="M421" s="44"/>
      <c r="N421" s="44"/>
      <c r="O421" s="44"/>
      <c r="P421" s="44"/>
      <c r="Q421" s="44"/>
      <c r="R421" s="44"/>
      <c r="S421" s="44"/>
      <c r="T421" s="44"/>
      <c r="U421" s="44"/>
      <c r="V421" s="44"/>
      <c r="W421" s="44"/>
      <c r="X421" s="44"/>
      <c r="Y421" s="44"/>
      <c r="Z421" s="44"/>
      <c r="AA421" s="44"/>
      <c r="AB421" s="44"/>
      <c r="AC421" s="44"/>
      <c r="AD421" s="44"/>
      <c r="AE421" s="44"/>
      <c r="AF421" s="44"/>
      <c r="AG421" s="44"/>
    </row>
    <row r="422" spans="1:33" ht="16.5" customHeight="1">
      <c r="A422" s="44"/>
      <c r="B422" s="44"/>
      <c r="C422" s="44"/>
      <c r="D422" s="172"/>
      <c r="E422" s="44"/>
      <c r="F422" s="44"/>
      <c r="G422" s="44"/>
      <c r="H422" s="44"/>
      <c r="I422" s="53"/>
      <c r="J422" s="44"/>
      <c r="K422" s="44"/>
      <c r="L422" s="44"/>
      <c r="M422" s="44"/>
      <c r="N422" s="44"/>
      <c r="O422" s="44"/>
      <c r="P422" s="44"/>
      <c r="Q422" s="44"/>
      <c r="R422" s="44"/>
      <c r="S422" s="44"/>
      <c r="T422" s="44"/>
      <c r="U422" s="44"/>
      <c r="V422" s="44"/>
      <c r="W422" s="44"/>
      <c r="X422" s="44"/>
      <c r="Y422" s="44"/>
      <c r="Z422" s="44"/>
      <c r="AA422" s="44"/>
      <c r="AB422" s="44"/>
      <c r="AC422" s="44"/>
      <c r="AD422" s="44"/>
      <c r="AE422" s="44"/>
      <c r="AF422" s="44"/>
      <c r="AG422" s="44"/>
    </row>
    <row r="423" spans="1:33" ht="16.5" customHeight="1">
      <c r="A423" s="44"/>
      <c r="B423" s="44"/>
      <c r="C423" s="44"/>
      <c r="D423" s="172"/>
      <c r="E423" s="44"/>
      <c r="F423" s="44"/>
      <c r="G423" s="44"/>
      <c r="H423" s="44"/>
      <c r="I423" s="53"/>
      <c r="J423" s="44"/>
      <c r="K423" s="44"/>
      <c r="L423" s="44"/>
      <c r="M423" s="44"/>
      <c r="N423" s="44"/>
      <c r="O423" s="44"/>
      <c r="P423" s="44"/>
      <c r="Q423" s="44"/>
      <c r="R423" s="44"/>
      <c r="S423" s="44"/>
      <c r="T423" s="44"/>
      <c r="U423" s="44"/>
      <c r="V423" s="44"/>
      <c r="W423" s="44"/>
      <c r="X423" s="44"/>
      <c r="Y423" s="44"/>
      <c r="Z423" s="44"/>
      <c r="AA423" s="44"/>
      <c r="AB423" s="44"/>
      <c r="AC423" s="44"/>
      <c r="AD423" s="44"/>
      <c r="AE423" s="44"/>
      <c r="AF423" s="44"/>
      <c r="AG423" s="44"/>
    </row>
    <row r="424" spans="1:33" ht="16.5" customHeight="1">
      <c r="A424" s="44"/>
      <c r="B424" s="44"/>
      <c r="C424" s="44"/>
      <c r="D424" s="172"/>
      <c r="E424" s="44"/>
      <c r="F424" s="44"/>
      <c r="G424" s="44"/>
      <c r="H424" s="44"/>
      <c r="I424" s="53"/>
      <c r="J424" s="44"/>
      <c r="K424" s="44"/>
      <c r="L424" s="44"/>
      <c r="M424" s="44"/>
      <c r="N424" s="44"/>
      <c r="O424" s="44"/>
      <c r="P424" s="44"/>
      <c r="Q424" s="44"/>
      <c r="R424" s="44"/>
      <c r="S424" s="44"/>
      <c r="T424" s="44"/>
      <c r="U424" s="44"/>
      <c r="V424" s="44"/>
      <c r="W424" s="44"/>
      <c r="X424" s="44"/>
      <c r="Y424" s="44"/>
      <c r="Z424" s="44"/>
      <c r="AA424" s="44"/>
      <c r="AB424" s="44"/>
      <c r="AC424" s="44"/>
      <c r="AD424" s="44"/>
      <c r="AE424" s="44"/>
      <c r="AF424" s="44"/>
      <c r="AG424" s="44"/>
    </row>
    <row r="425" spans="1:33" ht="16.5" customHeight="1">
      <c r="A425" s="44"/>
      <c r="B425" s="44"/>
      <c r="C425" s="44"/>
      <c r="D425" s="172"/>
      <c r="E425" s="44"/>
      <c r="F425" s="44"/>
      <c r="G425" s="44"/>
      <c r="H425" s="44"/>
      <c r="I425" s="53"/>
      <c r="J425" s="44"/>
      <c r="K425" s="44"/>
      <c r="L425" s="44"/>
      <c r="M425" s="44"/>
      <c r="N425" s="44"/>
      <c r="O425" s="44"/>
      <c r="P425" s="44"/>
      <c r="Q425" s="44"/>
      <c r="R425" s="44"/>
      <c r="S425" s="44"/>
      <c r="T425" s="44"/>
      <c r="U425" s="44"/>
      <c r="V425" s="44"/>
      <c r="W425" s="44"/>
      <c r="X425" s="44"/>
      <c r="Y425" s="44"/>
      <c r="Z425" s="44"/>
      <c r="AA425" s="44"/>
      <c r="AB425" s="44"/>
      <c r="AC425" s="44"/>
      <c r="AD425" s="44"/>
      <c r="AE425" s="44"/>
      <c r="AF425" s="44"/>
      <c r="AG425" s="44"/>
    </row>
    <row r="426" spans="1:33" ht="16.5" customHeight="1">
      <c r="A426" s="44"/>
      <c r="B426" s="44"/>
      <c r="C426" s="44"/>
      <c r="D426" s="172"/>
      <c r="E426" s="44"/>
      <c r="F426" s="44"/>
      <c r="G426" s="44"/>
      <c r="H426" s="44"/>
      <c r="I426" s="53"/>
      <c r="J426" s="44"/>
      <c r="K426" s="44"/>
      <c r="L426" s="44"/>
      <c r="M426" s="44"/>
      <c r="N426" s="44"/>
      <c r="O426" s="44"/>
      <c r="P426" s="44"/>
      <c r="Q426" s="44"/>
      <c r="R426" s="44"/>
      <c r="S426" s="44"/>
      <c r="T426" s="44"/>
      <c r="U426" s="44"/>
      <c r="V426" s="44"/>
      <c r="W426" s="44"/>
      <c r="X426" s="44"/>
      <c r="Y426" s="44"/>
      <c r="Z426" s="44"/>
      <c r="AA426" s="44"/>
      <c r="AB426" s="44"/>
      <c r="AC426" s="44"/>
      <c r="AD426" s="44"/>
      <c r="AE426" s="44"/>
      <c r="AF426" s="44"/>
      <c r="AG426" s="44"/>
    </row>
    <row r="427" spans="1:33" ht="16.5" customHeight="1">
      <c r="A427" s="44"/>
      <c r="B427" s="44"/>
      <c r="C427" s="44"/>
      <c r="D427" s="172"/>
      <c r="E427" s="44"/>
      <c r="F427" s="44"/>
      <c r="G427" s="44"/>
      <c r="H427" s="44"/>
      <c r="I427" s="53"/>
      <c r="J427" s="44"/>
      <c r="K427" s="44"/>
      <c r="L427" s="44"/>
      <c r="M427" s="44"/>
      <c r="N427" s="44"/>
      <c r="O427" s="44"/>
      <c r="P427" s="44"/>
      <c r="Q427" s="44"/>
      <c r="R427" s="44"/>
      <c r="S427" s="44"/>
      <c r="T427" s="44"/>
      <c r="U427" s="44"/>
      <c r="V427" s="44"/>
      <c r="W427" s="44"/>
      <c r="X427" s="44"/>
      <c r="Y427" s="44"/>
      <c r="Z427" s="44"/>
      <c r="AA427" s="44"/>
      <c r="AB427" s="44"/>
      <c r="AC427" s="44"/>
      <c r="AD427" s="44"/>
      <c r="AE427" s="44"/>
      <c r="AF427" s="44"/>
      <c r="AG427" s="44"/>
    </row>
    <row r="428" spans="1:33" ht="16.5" customHeight="1">
      <c r="A428" s="44"/>
      <c r="B428" s="44"/>
      <c r="C428" s="44"/>
      <c r="D428" s="172"/>
      <c r="E428" s="44"/>
      <c r="F428" s="44"/>
      <c r="G428" s="44"/>
      <c r="H428" s="44"/>
      <c r="I428" s="53"/>
      <c r="J428" s="44"/>
      <c r="K428" s="44"/>
      <c r="L428" s="44"/>
      <c r="M428" s="44"/>
      <c r="N428" s="44"/>
      <c r="O428" s="44"/>
      <c r="P428" s="44"/>
      <c r="Q428" s="44"/>
      <c r="R428" s="44"/>
      <c r="S428" s="44"/>
      <c r="T428" s="44"/>
      <c r="U428" s="44"/>
      <c r="V428" s="44"/>
      <c r="W428" s="44"/>
      <c r="X428" s="44"/>
      <c r="Y428" s="44"/>
      <c r="Z428" s="44"/>
      <c r="AA428" s="44"/>
      <c r="AB428" s="44"/>
      <c r="AC428" s="44"/>
      <c r="AD428" s="44"/>
      <c r="AE428" s="44"/>
      <c r="AF428" s="44"/>
      <c r="AG428" s="44"/>
    </row>
    <row r="429" spans="1:33" ht="16.5" customHeight="1">
      <c r="A429" s="44"/>
      <c r="B429" s="44"/>
      <c r="C429" s="44"/>
      <c r="D429" s="172"/>
      <c r="E429" s="44"/>
      <c r="F429" s="44"/>
      <c r="G429" s="44"/>
      <c r="H429" s="44"/>
      <c r="I429" s="53"/>
      <c r="J429" s="44"/>
      <c r="K429" s="44"/>
      <c r="L429" s="44"/>
      <c r="M429" s="44"/>
      <c r="N429" s="44"/>
      <c r="O429" s="44"/>
      <c r="P429" s="44"/>
      <c r="Q429" s="44"/>
      <c r="R429" s="44"/>
      <c r="S429" s="44"/>
      <c r="T429" s="44"/>
      <c r="U429" s="44"/>
      <c r="V429" s="44"/>
      <c r="W429" s="44"/>
      <c r="X429" s="44"/>
      <c r="Y429" s="44"/>
      <c r="Z429" s="44"/>
      <c r="AA429" s="44"/>
      <c r="AB429" s="44"/>
      <c r="AC429" s="44"/>
      <c r="AD429" s="44"/>
      <c r="AE429" s="44"/>
      <c r="AF429" s="44"/>
      <c r="AG429" s="44"/>
    </row>
    <row r="430" spans="1:33" ht="16.5" customHeight="1">
      <c r="A430" s="44"/>
      <c r="B430" s="44"/>
      <c r="C430" s="44"/>
      <c r="D430" s="172"/>
      <c r="E430" s="44"/>
      <c r="F430" s="44"/>
      <c r="G430" s="44"/>
      <c r="H430" s="44"/>
      <c r="I430" s="53"/>
      <c r="J430" s="44"/>
      <c r="K430" s="44"/>
      <c r="L430" s="44"/>
      <c r="M430" s="44"/>
      <c r="N430" s="44"/>
      <c r="O430" s="44"/>
      <c r="P430" s="44"/>
      <c r="Q430" s="44"/>
      <c r="R430" s="44"/>
      <c r="S430" s="44"/>
      <c r="T430" s="44"/>
      <c r="U430" s="44"/>
      <c r="V430" s="44"/>
      <c r="W430" s="44"/>
      <c r="X430" s="44"/>
      <c r="Y430" s="44"/>
      <c r="Z430" s="44"/>
      <c r="AA430" s="44"/>
      <c r="AB430" s="44"/>
      <c r="AC430" s="44"/>
      <c r="AD430" s="44"/>
      <c r="AE430" s="44"/>
      <c r="AF430" s="44"/>
      <c r="AG430" s="44"/>
    </row>
    <row r="431" spans="1:33" ht="16.5" customHeight="1">
      <c r="A431" s="44"/>
      <c r="B431" s="44"/>
      <c r="C431" s="44"/>
      <c r="D431" s="172"/>
      <c r="E431" s="44"/>
      <c r="F431" s="44"/>
      <c r="G431" s="44"/>
      <c r="H431" s="44"/>
      <c r="I431" s="53"/>
      <c r="J431" s="44"/>
      <c r="K431" s="44"/>
      <c r="L431" s="44"/>
      <c r="M431" s="44"/>
      <c r="N431" s="44"/>
      <c r="O431" s="44"/>
      <c r="P431" s="44"/>
      <c r="Q431" s="44"/>
      <c r="R431" s="44"/>
      <c r="S431" s="44"/>
      <c r="T431" s="44"/>
      <c r="U431" s="44"/>
      <c r="V431" s="44"/>
      <c r="W431" s="44"/>
      <c r="X431" s="44"/>
      <c r="Y431" s="44"/>
      <c r="Z431" s="44"/>
      <c r="AA431" s="44"/>
      <c r="AB431" s="44"/>
      <c r="AC431" s="44"/>
      <c r="AD431" s="44"/>
      <c r="AE431" s="44"/>
      <c r="AF431" s="44"/>
      <c r="AG431" s="44"/>
    </row>
    <row r="432" spans="1:33" ht="16.5" customHeight="1">
      <c r="A432" s="44"/>
      <c r="B432" s="44"/>
      <c r="C432" s="44"/>
      <c r="D432" s="172"/>
      <c r="E432" s="44"/>
      <c r="F432" s="44"/>
      <c r="G432" s="44"/>
      <c r="H432" s="44"/>
      <c r="I432" s="53"/>
      <c r="J432" s="44"/>
      <c r="K432" s="44"/>
      <c r="L432" s="44"/>
      <c r="M432" s="44"/>
      <c r="N432" s="44"/>
      <c r="O432" s="44"/>
      <c r="P432" s="44"/>
      <c r="Q432" s="44"/>
      <c r="R432" s="44"/>
      <c r="S432" s="44"/>
      <c r="T432" s="44"/>
      <c r="U432" s="44"/>
      <c r="V432" s="44"/>
      <c r="W432" s="44"/>
      <c r="X432" s="44"/>
      <c r="Y432" s="44"/>
      <c r="Z432" s="44"/>
      <c r="AA432" s="44"/>
      <c r="AB432" s="44"/>
      <c r="AC432" s="44"/>
      <c r="AD432" s="44"/>
      <c r="AE432" s="44"/>
      <c r="AF432" s="44"/>
      <c r="AG432" s="44"/>
    </row>
    <row r="433" spans="1:33" ht="16.5" customHeight="1">
      <c r="A433" s="44"/>
      <c r="B433" s="44"/>
      <c r="C433" s="44"/>
      <c r="D433" s="172"/>
      <c r="E433" s="44"/>
      <c r="F433" s="44"/>
      <c r="G433" s="44"/>
      <c r="H433" s="44"/>
      <c r="I433" s="53"/>
      <c r="J433" s="44"/>
      <c r="K433" s="44"/>
      <c r="L433" s="44"/>
      <c r="M433" s="44"/>
      <c r="N433" s="44"/>
      <c r="O433" s="44"/>
      <c r="P433" s="44"/>
      <c r="Q433" s="44"/>
      <c r="R433" s="44"/>
      <c r="S433" s="44"/>
      <c r="T433" s="44"/>
      <c r="U433" s="44"/>
      <c r="V433" s="44"/>
      <c r="W433" s="44"/>
      <c r="X433" s="44"/>
      <c r="Y433" s="44"/>
      <c r="Z433" s="44"/>
      <c r="AA433" s="44"/>
      <c r="AB433" s="44"/>
      <c r="AC433" s="44"/>
      <c r="AD433" s="44"/>
      <c r="AE433" s="44"/>
      <c r="AF433" s="44"/>
      <c r="AG433" s="44"/>
    </row>
    <row r="434" spans="1:33" ht="16.5" customHeight="1">
      <c r="A434" s="44"/>
      <c r="B434" s="44"/>
      <c r="C434" s="44"/>
      <c r="D434" s="172"/>
      <c r="E434" s="44"/>
      <c r="F434" s="44"/>
      <c r="G434" s="44"/>
      <c r="H434" s="44"/>
      <c r="I434" s="53"/>
      <c r="J434" s="44"/>
      <c r="K434" s="44"/>
      <c r="L434" s="44"/>
      <c r="M434" s="44"/>
      <c r="N434" s="44"/>
      <c r="O434" s="44"/>
      <c r="P434" s="44"/>
      <c r="Q434" s="44"/>
      <c r="R434" s="44"/>
      <c r="S434" s="44"/>
      <c r="T434" s="44"/>
      <c r="U434" s="44"/>
      <c r="V434" s="44"/>
      <c r="W434" s="44"/>
      <c r="X434" s="44"/>
      <c r="Y434" s="44"/>
      <c r="Z434" s="44"/>
      <c r="AA434" s="44"/>
      <c r="AB434" s="44"/>
      <c r="AC434" s="44"/>
      <c r="AD434" s="44"/>
      <c r="AE434" s="44"/>
      <c r="AF434" s="44"/>
      <c r="AG434" s="44"/>
    </row>
    <row r="435" spans="1:33" ht="16.5" customHeight="1">
      <c r="A435" s="44"/>
      <c r="B435" s="44"/>
      <c r="C435" s="44"/>
      <c r="D435" s="172"/>
      <c r="E435" s="44"/>
      <c r="F435" s="44"/>
      <c r="G435" s="44"/>
      <c r="H435" s="44"/>
      <c r="I435" s="53"/>
      <c r="J435" s="44"/>
      <c r="K435" s="44"/>
      <c r="L435" s="44"/>
      <c r="M435" s="44"/>
      <c r="N435" s="44"/>
      <c r="O435" s="44"/>
      <c r="P435" s="44"/>
      <c r="Q435" s="44"/>
      <c r="R435" s="44"/>
      <c r="S435" s="44"/>
      <c r="T435" s="44"/>
      <c r="U435" s="44"/>
      <c r="V435" s="44"/>
      <c r="W435" s="44"/>
      <c r="X435" s="44"/>
      <c r="Y435" s="44"/>
      <c r="Z435" s="44"/>
      <c r="AA435" s="44"/>
      <c r="AB435" s="44"/>
      <c r="AC435" s="44"/>
      <c r="AD435" s="44"/>
      <c r="AE435" s="44"/>
      <c r="AF435" s="44"/>
      <c r="AG435" s="44"/>
    </row>
    <row r="436" spans="1:33" ht="16.5" customHeight="1">
      <c r="A436" s="44"/>
      <c r="B436" s="44"/>
      <c r="C436" s="44"/>
      <c r="D436" s="172"/>
      <c r="E436" s="44"/>
      <c r="F436" s="44"/>
      <c r="G436" s="44"/>
      <c r="H436" s="44"/>
      <c r="I436" s="53"/>
      <c r="J436" s="44"/>
      <c r="K436" s="44"/>
      <c r="L436" s="44"/>
      <c r="M436" s="44"/>
      <c r="N436" s="44"/>
      <c r="O436" s="44"/>
      <c r="P436" s="44"/>
      <c r="Q436" s="44"/>
      <c r="R436" s="44"/>
      <c r="S436" s="44"/>
      <c r="T436" s="44"/>
      <c r="U436" s="44"/>
      <c r="V436" s="44"/>
      <c r="W436" s="44"/>
      <c r="X436" s="44"/>
      <c r="Y436" s="44"/>
      <c r="Z436" s="44"/>
      <c r="AA436" s="44"/>
      <c r="AB436" s="44"/>
      <c r="AC436" s="44"/>
      <c r="AD436" s="44"/>
      <c r="AE436" s="44"/>
      <c r="AF436" s="44"/>
      <c r="AG436" s="44"/>
    </row>
    <row r="437" spans="1:33" ht="16.5" customHeight="1">
      <c r="A437" s="44"/>
      <c r="B437" s="44"/>
      <c r="C437" s="44"/>
      <c r="D437" s="172"/>
      <c r="E437" s="44"/>
      <c r="F437" s="44"/>
      <c r="G437" s="44"/>
      <c r="H437" s="44"/>
      <c r="I437" s="53"/>
      <c r="J437" s="44"/>
      <c r="K437" s="44"/>
      <c r="L437" s="44"/>
      <c r="M437" s="44"/>
      <c r="N437" s="44"/>
      <c r="O437" s="44"/>
      <c r="P437" s="44"/>
      <c r="Q437" s="44"/>
      <c r="R437" s="44"/>
      <c r="S437" s="44"/>
      <c r="T437" s="44"/>
      <c r="U437" s="44"/>
      <c r="V437" s="44"/>
      <c r="W437" s="44"/>
      <c r="X437" s="44"/>
      <c r="Y437" s="44"/>
      <c r="Z437" s="44"/>
      <c r="AA437" s="44"/>
      <c r="AB437" s="44"/>
      <c r="AC437" s="44"/>
      <c r="AD437" s="44"/>
      <c r="AE437" s="44"/>
      <c r="AF437" s="44"/>
      <c r="AG437" s="44"/>
    </row>
    <row r="438" spans="1:33" ht="16.5" customHeight="1">
      <c r="A438" s="44"/>
      <c r="B438" s="44"/>
      <c r="C438" s="44"/>
      <c r="D438" s="172"/>
      <c r="E438" s="44"/>
      <c r="F438" s="44"/>
      <c r="G438" s="44"/>
      <c r="H438" s="44"/>
      <c r="I438" s="53"/>
      <c r="J438" s="44"/>
      <c r="K438" s="44"/>
      <c r="L438" s="44"/>
      <c r="M438" s="44"/>
      <c r="N438" s="44"/>
      <c r="O438" s="44"/>
      <c r="P438" s="44"/>
      <c r="Q438" s="44"/>
      <c r="R438" s="44"/>
      <c r="S438" s="44"/>
      <c r="T438" s="44"/>
      <c r="U438" s="44"/>
      <c r="V438" s="44"/>
      <c r="W438" s="44"/>
      <c r="X438" s="44"/>
      <c r="Y438" s="44"/>
      <c r="Z438" s="44"/>
      <c r="AA438" s="44"/>
      <c r="AB438" s="44"/>
      <c r="AC438" s="44"/>
      <c r="AD438" s="44"/>
      <c r="AE438" s="44"/>
      <c r="AF438" s="44"/>
      <c r="AG438" s="44"/>
    </row>
    <row r="439" spans="1:33" ht="16.5" customHeight="1">
      <c r="A439" s="44"/>
      <c r="B439" s="44"/>
      <c r="C439" s="44"/>
      <c r="D439" s="172"/>
      <c r="E439" s="44"/>
      <c r="F439" s="44"/>
      <c r="G439" s="44"/>
      <c r="H439" s="44"/>
      <c r="I439" s="53"/>
      <c r="J439" s="44"/>
      <c r="K439" s="44"/>
      <c r="L439" s="44"/>
      <c r="M439" s="44"/>
      <c r="N439" s="44"/>
      <c r="O439" s="44"/>
      <c r="P439" s="44"/>
      <c r="Q439" s="44"/>
      <c r="R439" s="44"/>
      <c r="S439" s="44"/>
      <c r="T439" s="44"/>
      <c r="U439" s="44"/>
      <c r="V439" s="44"/>
      <c r="W439" s="44"/>
      <c r="X439" s="44"/>
      <c r="Y439" s="44"/>
      <c r="Z439" s="44"/>
      <c r="AA439" s="44"/>
      <c r="AB439" s="44"/>
      <c r="AC439" s="44"/>
      <c r="AD439" s="44"/>
      <c r="AE439" s="44"/>
      <c r="AF439" s="44"/>
      <c r="AG439" s="44"/>
    </row>
    <row r="440" spans="1:33" ht="16.5" customHeight="1">
      <c r="A440" s="44"/>
      <c r="B440" s="44"/>
      <c r="C440" s="44"/>
      <c r="D440" s="172"/>
      <c r="E440" s="44"/>
      <c r="F440" s="44"/>
      <c r="G440" s="44"/>
      <c r="H440" s="44"/>
      <c r="I440" s="53"/>
      <c r="J440" s="44"/>
      <c r="K440" s="44"/>
      <c r="L440" s="44"/>
      <c r="M440" s="44"/>
      <c r="N440" s="44"/>
      <c r="O440" s="44"/>
      <c r="P440" s="44"/>
      <c r="Q440" s="44"/>
      <c r="R440" s="44"/>
      <c r="S440" s="44"/>
      <c r="T440" s="44"/>
      <c r="U440" s="44"/>
      <c r="V440" s="44"/>
      <c r="W440" s="44"/>
      <c r="X440" s="44"/>
      <c r="Y440" s="44"/>
      <c r="Z440" s="44"/>
      <c r="AA440" s="44"/>
      <c r="AB440" s="44"/>
      <c r="AC440" s="44"/>
      <c r="AD440" s="44"/>
      <c r="AE440" s="44"/>
      <c r="AF440" s="44"/>
      <c r="AG440" s="44"/>
    </row>
    <row r="441" spans="1:33" ht="16.5" customHeight="1">
      <c r="A441" s="44"/>
      <c r="B441" s="44"/>
      <c r="C441" s="44"/>
      <c r="D441" s="172"/>
      <c r="E441" s="44"/>
      <c r="F441" s="44"/>
      <c r="G441" s="44"/>
      <c r="H441" s="44"/>
      <c r="I441" s="53"/>
      <c r="J441" s="44"/>
      <c r="K441" s="44"/>
      <c r="L441" s="44"/>
      <c r="M441" s="44"/>
      <c r="N441" s="44"/>
      <c r="O441" s="44"/>
      <c r="P441" s="44"/>
      <c r="Q441" s="44"/>
      <c r="R441" s="44"/>
      <c r="S441" s="44"/>
      <c r="T441" s="44"/>
      <c r="U441" s="44"/>
      <c r="V441" s="44"/>
      <c r="W441" s="44"/>
      <c r="X441" s="44"/>
      <c r="Y441" s="44"/>
      <c r="Z441" s="44"/>
      <c r="AA441" s="44"/>
      <c r="AB441" s="44"/>
      <c r="AC441" s="44"/>
      <c r="AD441" s="44"/>
      <c r="AE441" s="44"/>
      <c r="AF441" s="44"/>
      <c r="AG441" s="44"/>
    </row>
    <row r="442" spans="1:33" ht="16.5" customHeight="1">
      <c r="A442" s="44"/>
      <c r="B442" s="44"/>
      <c r="C442" s="44"/>
      <c r="D442" s="172"/>
      <c r="E442" s="44"/>
      <c r="F442" s="44"/>
      <c r="G442" s="44"/>
      <c r="H442" s="44"/>
      <c r="I442" s="53"/>
      <c r="J442" s="44"/>
      <c r="K442" s="44"/>
      <c r="L442" s="44"/>
      <c r="M442" s="44"/>
      <c r="N442" s="44"/>
      <c r="O442" s="44"/>
      <c r="P442" s="44"/>
      <c r="Q442" s="44"/>
      <c r="R442" s="44"/>
      <c r="S442" s="44"/>
      <c r="T442" s="44"/>
      <c r="U442" s="44"/>
      <c r="V442" s="44"/>
      <c r="W442" s="44"/>
      <c r="X442" s="44"/>
      <c r="Y442" s="44"/>
      <c r="Z442" s="44"/>
      <c r="AA442" s="44"/>
      <c r="AB442" s="44"/>
      <c r="AC442" s="44"/>
      <c r="AD442" s="44"/>
      <c r="AE442" s="44"/>
      <c r="AF442" s="44"/>
      <c r="AG442" s="44"/>
    </row>
    <row r="443" spans="1:33" ht="16.5" customHeight="1">
      <c r="A443" s="44"/>
      <c r="B443" s="44"/>
      <c r="C443" s="44"/>
      <c r="D443" s="172"/>
      <c r="E443" s="44"/>
      <c r="F443" s="44"/>
      <c r="G443" s="44"/>
      <c r="H443" s="44"/>
      <c r="I443" s="53"/>
      <c r="J443" s="44"/>
      <c r="K443" s="44"/>
      <c r="L443" s="44"/>
      <c r="M443" s="44"/>
      <c r="N443" s="44"/>
      <c r="O443" s="44"/>
      <c r="P443" s="44"/>
      <c r="Q443" s="44"/>
      <c r="R443" s="44"/>
      <c r="S443" s="44"/>
      <c r="T443" s="44"/>
      <c r="U443" s="44"/>
      <c r="V443" s="44"/>
      <c r="W443" s="44"/>
      <c r="X443" s="44"/>
      <c r="Y443" s="44"/>
      <c r="Z443" s="44"/>
      <c r="AA443" s="44"/>
      <c r="AB443" s="44"/>
      <c r="AC443" s="44"/>
      <c r="AD443" s="44"/>
      <c r="AE443" s="44"/>
      <c r="AF443" s="44"/>
      <c r="AG443" s="44"/>
    </row>
    <row r="444" spans="1:33" ht="16.5" customHeight="1">
      <c r="A444" s="44"/>
      <c r="B444" s="44"/>
      <c r="C444" s="44"/>
      <c r="D444" s="172"/>
      <c r="E444" s="44"/>
      <c r="F444" s="44"/>
      <c r="G444" s="44"/>
      <c r="H444" s="44"/>
      <c r="I444" s="53"/>
      <c r="J444" s="44"/>
      <c r="K444" s="44"/>
      <c r="L444" s="44"/>
      <c r="M444" s="44"/>
      <c r="N444" s="44"/>
      <c r="O444" s="44"/>
      <c r="P444" s="44"/>
      <c r="Q444" s="44"/>
      <c r="R444" s="44"/>
      <c r="S444" s="44"/>
      <c r="T444" s="44"/>
      <c r="U444" s="44"/>
      <c r="V444" s="44"/>
      <c r="W444" s="44"/>
      <c r="X444" s="44"/>
      <c r="Y444" s="44"/>
      <c r="Z444" s="44"/>
      <c r="AA444" s="44"/>
      <c r="AB444" s="44"/>
      <c r="AC444" s="44"/>
      <c r="AD444" s="44"/>
      <c r="AE444" s="44"/>
      <c r="AF444" s="44"/>
      <c r="AG444" s="44"/>
    </row>
    <row r="445" spans="1:33" ht="16.5" customHeight="1">
      <c r="A445" s="44"/>
      <c r="B445" s="44"/>
      <c r="C445" s="44"/>
      <c r="D445" s="172"/>
      <c r="E445" s="44"/>
      <c r="F445" s="44"/>
      <c r="G445" s="44"/>
      <c r="H445" s="44"/>
      <c r="I445" s="53"/>
      <c r="J445" s="44"/>
      <c r="K445" s="44"/>
      <c r="L445" s="44"/>
      <c r="M445" s="44"/>
      <c r="N445" s="44"/>
      <c r="O445" s="44"/>
      <c r="P445" s="44"/>
      <c r="Q445" s="44"/>
      <c r="R445" s="44"/>
      <c r="S445" s="44"/>
      <c r="T445" s="44"/>
      <c r="U445" s="44"/>
      <c r="V445" s="44"/>
      <c r="W445" s="44"/>
      <c r="X445" s="44"/>
      <c r="Y445" s="44"/>
      <c r="Z445" s="44"/>
      <c r="AA445" s="44"/>
      <c r="AB445" s="44"/>
      <c r="AC445" s="44"/>
      <c r="AD445" s="44"/>
      <c r="AE445" s="44"/>
      <c r="AF445" s="44"/>
      <c r="AG445" s="44"/>
    </row>
    <row r="446" spans="1:33" ht="16.5" customHeight="1">
      <c r="A446" s="44"/>
      <c r="B446" s="44"/>
      <c r="C446" s="44"/>
      <c r="D446" s="172"/>
      <c r="E446" s="44"/>
      <c r="F446" s="44"/>
      <c r="G446" s="44"/>
      <c r="H446" s="44"/>
      <c r="I446" s="53"/>
      <c r="J446" s="44"/>
      <c r="K446" s="44"/>
      <c r="L446" s="44"/>
      <c r="M446" s="44"/>
      <c r="N446" s="44"/>
      <c r="O446" s="44"/>
      <c r="P446" s="44"/>
      <c r="Q446" s="44"/>
      <c r="R446" s="44"/>
      <c r="S446" s="44"/>
      <c r="T446" s="44"/>
      <c r="U446" s="44"/>
      <c r="V446" s="44"/>
      <c r="W446" s="44"/>
      <c r="X446" s="44"/>
      <c r="Y446" s="44"/>
      <c r="Z446" s="44"/>
      <c r="AA446" s="44"/>
      <c r="AB446" s="44"/>
      <c r="AC446" s="44"/>
      <c r="AD446" s="44"/>
      <c r="AE446" s="44"/>
      <c r="AF446" s="44"/>
      <c r="AG446" s="44"/>
    </row>
    <row r="447" spans="1:33" ht="16.5" customHeight="1">
      <c r="A447" s="44"/>
      <c r="B447" s="44"/>
      <c r="C447" s="44"/>
      <c r="D447" s="172"/>
      <c r="E447" s="44"/>
      <c r="F447" s="44"/>
      <c r="G447" s="44"/>
      <c r="H447" s="44"/>
      <c r="I447" s="53"/>
      <c r="J447" s="44"/>
      <c r="K447" s="44"/>
      <c r="L447" s="44"/>
      <c r="M447" s="44"/>
      <c r="N447" s="44"/>
      <c r="O447" s="44"/>
      <c r="P447" s="44"/>
      <c r="Q447" s="44"/>
      <c r="R447" s="44"/>
      <c r="S447" s="44"/>
      <c r="T447" s="44"/>
      <c r="U447" s="44"/>
      <c r="V447" s="44"/>
      <c r="W447" s="44"/>
      <c r="X447" s="44"/>
      <c r="Y447" s="44"/>
      <c r="Z447" s="44"/>
      <c r="AA447" s="44"/>
      <c r="AB447" s="44"/>
      <c r="AC447" s="44"/>
      <c r="AD447" s="44"/>
      <c r="AE447" s="44"/>
      <c r="AF447" s="44"/>
      <c r="AG447" s="44"/>
    </row>
    <row r="448" spans="1:33" ht="16.5" customHeight="1">
      <c r="A448" s="44"/>
      <c r="B448" s="44"/>
      <c r="C448" s="44"/>
      <c r="D448" s="172"/>
      <c r="E448" s="44"/>
      <c r="F448" s="44"/>
      <c r="G448" s="44"/>
      <c r="H448" s="44"/>
      <c r="I448" s="53"/>
      <c r="J448" s="44"/>
      <c r="K448" s="44"/>
      <c r="L448" s="44"/>
      <c r="M448" s="44"/>
      <c r="N448" s="44"/>
      <c r="O448" s="44"/>
      <c r="P448" s="44"/>
      <c r="Q448" s="44"/>
      <c r="R448" s="44"/>
      <c r="S448" s="44"/>
      <c r="T448" s="44"/>
      <c r="U448" s="44"/>
      <c r="V448" s="44"/>
      <c r="W448" s="44"/>
      <c r="X448" s="44"/>
      <c r="Y448" s="44"/>
      <c r="Z448" s="44"/>
      <c r="AA448" s="44"/>
      <c r="AB448" s="44"/>
      <c r="AC448" s="44"/>
      <c r="AD448" s="44"/>
      <c r="AE448" s="44"/>
      <c r="AF448" s="44"/>
      <c r="AG448" s="44"/>
    </row>
    <row r="449" spans="1:33" ht="16.5" customHeight="1">
      <c r="A449" s="44"/>
      <c r="B449" s="44"/>
      <c r="C449" s="44"/>
      <c r="D449" s="172"/>
      <c r="E449" s="44"/>
      <c r="F449" s="44"/>
      <c r="G449" s="44"/>
      <c r="H449" s="44"/>
      <c r="I449" s="53"/>
      <c r="J449" s="44"/>
      <c r="K449" s="44"/>
      <c r="L449" s="44"/>
      <c r="M449" s="44"/>
      <c r="N449" s="44"/>
      <c r="O449" s="44"/>
      <c r="P449" s="44"/>
      <c r="Q449" s="44"/>
      <c r="R449" s="44"/>
      <c r="S449" s="44"/>
      <c r="T449" s="44"/>
      <c r="U449" s="44"/>
      <c r="V449" s="44"/>
      <c r="W449" s="44"/>
      <c r="X449" s="44"/>
      <c r="Y449" s="44"/>
      <c r="Z449" s="44"/>
      <c r="AA449" s="44"/>
      <c r="AB449" s="44"/>
      <c r="AC449" s="44"/>
      <c r="AD449" s="44"/>
      <c r="AE449" s="44"/>
      <c r="AF449" s="44"/>
      <c r="AG449" s="44"/>
    </row>
    <row r="450" spans="1:33" ht="16.5" customHeight="1">
      <c r="A450" s="44"/>
      <c r="B450" s="44"/>
      <c r="C450" s="44"/>
      <c r="D450" s="172"/>
      <c r="E450" s="44"/>
      <c r="F450" s="44"/>
      <c r="G450" s="44"/>
      <c r="H450" s="44"/>
      <c r="I450" s="53"/>
      <c r="J450" s="44"/>
      <c r="K450" s="44"/>
      <c r="L450" s="44"/>
      <c r="M450" s="44"/>
      <c r="N450" s="44"/>
      <c r="O450" s="44"/>
      <c r="P450" s="44"/>
      <c r="Q450" s="44"/>
      <c r="R450" s="44"/>
      <c r="S450" s="44"/>
      <c r="T450" s="44"/>
      <c r="U450" s="44"/>
      <c r="V450" s="44"/>
      <c r="W450" s="44"/>
      <c r="X450" s="44"/>
      <c r="Y450" s="44"/>
      <c r="Z450" s="44"/>
      <c r="AA450" s="44"/>
      <c r="AB450" s="44"/>
      <c r="AC450" s="44"/>
      <c r="AD450" s="44"/>
      <c r="AE450" s="44"/>
      <c r="AF450" s="44"/>
      <c r="AG450" s="44"/>
    </row>
    <row r="451" spans="1:33" ht="16.5" customHeight="1">
      <c r="A451" s="44"/>
      <c r="B451" s="44"/>
      <c r="C451" s="44"/>
      <c r="D451" s="172"/>
      <c r="E451" s="44"/>
      <c r="F451" s="44"/>
      <c r="G451" s="44"/>
      <c r="H451" s="44"/>
      <c r="I451" s="53"/>
      <c r="J451" s="44"/>
      <c r="K451" s="44"/>
      <c r="L451" s="44"/>
      <c r="M451" s="44"/>
      <c r="N451" s="44"/>
      <c r="O451" s="44"/>
      <c r="P451" s="44"/>
      <c r="Q451" s="44"/>
      <c r="R451" s="44"/>
      <c r="S451" s="44"/>
      <c r="T451" s="44"/>
      <c r="U451" s="44"/>
      <c r="V451" s="44"/>
      <c r="W451" s="44"/>
      <c r="X451" s="44"/>
      <c r="Y451" s="44"/>
      <c r="Z451" s="44"/>
      <c r="AA451" s="44"/>
      <c r="AB451" s="44"/>
      <c r="AC451" s="44"/>
      <c r="AD451" s="44"/>
      <c r="AE451" s="44"/>
      <c r="AF451" s="44"/>
      <c r="AG451" s="44"/>
    </row>
    <row r="452" spans="1:33" ht="16.5" customHeight="1">
      <c r="A452" s="44"/>
      <c r="B452" s="44"/>
      <c r="C452" s="44"/>
      <c r="D452" s="172"/>
      <c r="E452" s="44"/>
      <c r="F452" s="44"/>
      <c r="G452" s="44"/>
      <c r="H452" s="44"/>
      <c r="I452" s="53"/>
      <c r="J452" s="44"/>
      <c r="K452" s="44"/>
      <c r="L452" s="44"/>
      <c r="M452" s="44"/>
      <c r="N452" s="44"/>
      <c r="O452" s="44"/>
      <c r="P452" s="44"/>
      <c r="Q452" s="44"/>
      <c r="R452" s="44"/>
      <c r="S452" s="44"/>
      <c r="T452" s="44"/>
      <c r="U452" s="44"/>
      <c r="V452" s="44"/>
      <c r="W452" s="44"/>
      <c r="X452" s="44"/>
      <c r="Y452" s="44"/>
      <c r="Z452" s="44"/>
      <c r="AA452" s="44"/>
      <c r="AB452" s="44"/>
      <c r="AC452" s="44"/>
      <c r="AD452" s="44"/>
      <c r="AE452" s="44"/>
      <c r="AF452" s="44"/>
      <c r="AG452" s="44"/>
    </row>
    <row r="453" spans="1:33" ht="16.5" customHeight="1">
      <c r="A453" s="44"/>
      <c r="B453" s="44"/>
      <c r="C453" s="44"/>
      <c r="D453" s="172"/>
      <c r="E453" s="44"/>
      <c r="F453" s="44"/>
      <c r="G453" s="44"/>
      <c r="H453" s="44"/>
      <c r="I453" s="53"/>
      <c r="J453" s="44"/>
      <c r="K453" s="44"/>
      <c r="L453" s="44"/>
      <c r="M453" s="44"/>
      <c r="N453" s="44"/>
      <c r="O453" s="44"/>
      <c r="P453" s="44"/>
      <c r="Q453" s="44"/>
      <c r="R453" s="44"/>
      <c r="S453" s="44"/>
      <c r="T453" s="44"/>
      <c r="U453" s="44"/>
      <c r="V453" s="44"/>
      <c r="W453" s="44"/>
      <c r="X453" s="44"/>
      <c r="Y453" s="44"/>
      <c r="Z453" s="44"/>
      <c r="AA453" s="44"/>
      <c r="AB453" s="44"/>
      <c r="AC453" s="44"/>
      <c r="AD453" s="44"/>
      <c r="AE453" s="44"/>
      <c r="AF453" s="44"/>
      <c r="AG453" s="44"/>
    </row>
    <row r="454" spans="1:33" ht="16.5" customHeight="1">
      <c r="A454" s="44"/>
      <c r="B454" s="44"/>
      <c r="C454" s="44"/>
      <c r="D454" s="172"/>
      <c r="E454" s="44"/>
      <c r="F454" s="44"/>
      <c r="G454" s="44"/>
      <c r="H454" s="44"/>
      <c r="I454" s="53"/>
      <c r="J454" s="44"/>
      <c r="K454" s="44"/>
      <c r="L454" s="44"/>
      <c r="M454" s="44"/>
      <c r="N454" s="44"/>
      <c r="O454" s="44"/>
      <c r="P454" s="44"/>
      <c r="Q454" s="44"/>
      <c r="R454" s="44"/>
      <c r="S454" s="44"/>
      <c r="T454" s="44"/>
      <c r="U454" s="44"/>
      <c r="V454" s="44"/>
      <c r="W454" s="44"/>
      <c r="X454" s="44"/>
      <c r="Y454" s="44"/>
      <c r="Z454" s="44"/>
      <c r="AA454" s="44"/>
      <c r="AB454" s="44"/>
      <c r="AC454" s="44"/>
      <c r="AD454" s="44"/>
      <c r="AE454" s="44"/>
      <c r="AF454" s="44"/>
      <c r="AG454" s="44"/>
    </row>
    <row r="455" spans="1:33" ht="16.5" customHeight="1">
      <c r="A455" s="44"/>
      <c r="B455" s="44"/>
      <c r="C455" s="44"/>
      <c r="D455" s="172"/>
      <c r="E455" s="44"/>
      <c r="F455" s="44"/>
      <c r="G455" s="44"/>
      <c r="H455" s="44"/>
      <c r="I455" s="53"/>
      <c r="J455" s="44"/>
      <c r="K455" s="44"/>
      <c r="L455" s="44"/>
      <c r="M455" s="44"/>
      <c r="N455" s="44"/>
      <c r="O455" s="44"/>
      <c r="P455" s="44"/>
      <c r="Q455" s="44"/>
      <c r="R455" s="44"/>
      <c r="S455" s="44"/>
      <c r="T455" s="44"/>
      <c r="U455" s="44"/>
      <c r="V455" s="44"/>
      <c r="W455" s="44"/>
      <c r="X455" s="44"/>
      <c r="Y455" s="44"/>
      <c r="Z455" s="44"/>
      <c r="AA455" s="44"/>
      <c r="AB455" s="44"/>
      <c r="AC455" s="44"/>
      <c r="AD455" s="44"/>
      <c r="AE455" s="44"/>
      <c r="AF455" s="44"/>
      <c r="AG455" s="44"/>
    </row>
    <row r="456" spans="1:33" ht="16.5" customHeight="1">
      <c r="A456" s="44"/>
      <c r="B456" s="44"/>
      <c r="C456" s="44"/>
      <c r="D456" s="172"/>
      <c r="E456" s="44"/>
      <c r="F456" s="44"/>
      <c r="G456" s="44"/>
      <c r="H456" s="44"/>
      <c r="I456" s="53"/>
      <c r="J456" s="44"/>
      <c r="K456" s="44"/>
      <c r="L456" s="44"/>
      <c r="M456" s="44"/>
      <c r="N456" s="44"/>
      <c r="O456" s="44"/>
      <c r="P456" s="44"/>
      <c r="Q456" s="44"/>
      <c r="R456" s="44"/>
      <c r="S456" s="44"/>
      <c r="T456" s="44"/>
      <c r="U456" s="44"/>
      <c r="V456" s="44"/>
      <c r="W456" s="44"/>
      <c r="X456" s="44"/>
      <c r="Y456" s="44"/>
      <c r="Z456" s="44"/>
      <c r="AA456" s="44"/>
      <c r="AB456" s="44"/>
      <c r="AC456" s="44"/>
      <c r="AD456" s="44"/>
      <c r="AE456" s="44"/>
      <c r="AF456" s="44"/>
      <c r="AG456" s="44"/>
    </row>
    <row r="457" spans="1:33" ht="16.5" customHeight="1">
      <c r="A457" s="44"/>
      <c r="B457" s="44"/>
      <c r="C457" s="44"/>
      <c r="D457" s="172"/>
      <c r="E457" s="44"/>
      <c r="F457" s="44"/>
      <c r="G457" s="44"/>
      <c r="H457" s="44"/>
      <c r="I457" s="53"/>
      <c r="J457" s="44"/>
      <c r="K457" s="44"/>
      <c r="L457" s="44"/>
      <c r="M457" s="44"/>
      <c r="N457" s="44"/>
      <c r="O457" s="44"/>
      <c r="P457" s="44"/>
      <c r="Q457" s="44"/>
      <c r="R457" s="44"/>
      <c r="S457" s="44"/>
      <c r="T457" s="44"/>
      <c r="U457" s="44"/>
      <c r="V457" s="44"/>
      <c r="W457" s="44"/>
      <c r="X457" s="44"/>
      <c r="Y457" s="44"/>
      <c r="Z457" s="44"/>
      <c r="AA457" s="44"/>
      <c r="AB457" s="44"/>
      <c r="AC457" s="44"/>
      <c r="AD457" s="44"/>
      <c r="AE457" s="44"/>
      <c r="AF457" s="44"/>
      <c r="AG457" s="44"/>
    </row>
    <row r="458" spans="1:33" ht="16.5" customHeight="1">
      <c r="A458" s="44"/>
      <c r="B458" s="44"/>
      <c r="C458" s="44"/>
      <c r="D458" s="172"/>
      <c r="E458" s="44"/>
      <c r="F458" s="44"/>
      <c r="G458" s="44"/>
      <c r="H458" s="44"/>
      <c r="I458" s="53"/>
      <c r="J458" s="44"/>
      <c r="K458" s="44"/>
      <c r="L458" s="44"/>
      <c r="M458" s="44"/>
      <c r="N458" s="44"/>
      <c r="O458" s="44"/>
      <c r="P458" s="44"/>
      <c r="Q458" s="44"/>
      <c r="R458" s="44"/>
      <c r="S458" s="44"/>
      <c r="T458" s="44"/>
      <c r="U458" s="44"/>
      <c r="V458" s="44"/>
      <c r="W458" s="44"/>
      <c r="X458" s="44"/>
      <c r="Y458" s="44"/>
      <c r="Z458" s="44"/>
      <c r="AA458" s="44"/>
      <c r="AB458" s="44"/>
      <c r="AC458" s="44"/>
      <c r="AD458" s="44"/>
      <c r="AE458" s="44"/>
      <c r="AF458" s="44"/>
      <c r="AG458" s="44"/>
    </row>
    <row r="459" spans="1:33" ht="16.5" customHeight="1">
      <c r="A459" s="44"/>
      <c r="B459" s="44"/>
      <c r="C459" s="44"/>
      <c r="D459" s="172"/>
      <c r="E459" s="44"/>
      <c r="F459" s="44"/>
      <c r="G459" s="44"/>
      <c r="H459" s="44"/>
      <c r="I459" s="53"/>
      <c r="J459" s="44"/>
      <c r="K459" s="44"/>
      <c r="L459" s="44"/>
      <c r="M459" s="44"/>
      <c r="N459" s="44"/>
      <c r="O459" s="44"/>
      <c r="P459" s="44"/>
      <c r="Q459" s="44"/>
      <c r="R459" s="44"/>
      <c r="S459" s="44"/>
      <c r="T459" s="44"/>
      <c r="U459" s="44"/>
      <c r="V459" s="44"/>
      <c r="W459" s="44"/>
      <c r="X459" s="44"/>
      <c r="Y459" s="44"/>
      <c r="Z459" s="44"/>
      <c r="AA459" s="44"/>
      <c r="AB459" s="44"/>
      <c r="AC459" s="44"/>
      <c r="AD459" s="44"/>
      <c r="AE459" s="44"/>
      <c r="AF459" s="44"/>
      <c r="AG459" s="44"/>
    </row>
    <row r="460" spans="1:33" ht="16.5" customHeight="1">
      <c r="A460" s="44"/>
      <c r="B460" s="44"/>
      <c r="C460" s="44"/>
      <c r="D460" s="172"/>
      <c r="E460" s="44"/>
      <c r="F460" s="44"/>
      <c r="G460" s="44"/>
      <c r="H460" s="44"/>
      <c r="I460" s="53"/>
      <c r="J460" s="44"/>
      <c r="K460" s="44"/>
      <c r="L460" s="44"/>
      <c r="M460" s="44"/>
      <c r="N460" s="44"/>
      <c r="O460" s="44"/>
      <c r="P460" s="44"/>
      <c r="Q460" s="44"/>
      <c r="R460" s="44"/>
      <c r="S460" s="44"/>
      <c r="T460" s="44"/>
      <c r="U460" s="44"/>
      <c r="V460" s="44"/>
      <c r="W460" s="44"/>
      <c r="X460" s="44"/>
      <c r="Y460" s="44"/>
      <c r="Z460" s="44"/>
      <c r="AA460" s="44"/>
      <c r="AB460" s="44"/>
      <c r="AC460" s="44"/>
      <c r="AD460" s="44"/>
      <c r="AE460" s="44"/>
      <c r="AF460" s="44"/>
      <c r="AG460" s="44"/>
    </row>
    <row r="461" spans="1:33" ht="16.5" customHeight="1">
      <c r="A461" s="44"/>
      <c r="B461" s="44"/>
      <c r="C461" s="44"/>
      <c r="D461" s="172"/>
      <c r="E461" s="44"/>
      <c r="F461" s="44"/>
      <c r="G461" s="44"/>
      <c r="H461" s="44"/>
      <c r="I461" s="53"/>
      <c r="J461" s="44"/>
      <c r="K461" s="44"/>
      <c r="L461" s="44"/>
      <c r="M461" s="44"/>
      <c r="N461" s="44"/>
      <c r="O461" s="44"/>
      <c r="P461" s="44"/>
      <c r="Q461" s="44"/>
      <c r="R461" s="44"/>
      <c r="S461" s="44"/>
      <c r="T461" s="44"/>
      <c r="U461" s="44"/>
      <c r="V461" s="44"/>
      <c r="W461" s="44"/>
      <c r="X461" s="44"/>
      <c r="Y461" s="44"/>
      <c r="Z461" s="44"/>
      <c r="AA461" s="44"/>
      <c r="AB461" s="44"/>
      <c r="AC461" s="44"/>
      <c r="AD461" s="44"/>
      <c r="AE461" s="44"/>
      <c r="AF461" s="44"/>
      <c r="AG461" s="44"/>
    </row>
    <row r="462" spans="1:33" ht="16.5" customHeight="1">
      <c r="A462" s="44"/>
      <c r="B462" s="44"/>
      <c r="C462" s="44"/>
      <c r="D462" s="172"/>
      <c r="E462" s="44"/>
      <c r="F462" s="44"/>
      <c r="G462" s="44"/>
      <c r="H462" s="44"/>
      <c r="I462" s="53"/>
      <c r="J462" s="44"/>
      <c r="K462" s="44"/>
      <c r="L462" s="44"/>
      <c r="M462" s="44"/>
      <c r="N462" s="44"/>
      <c r="O462" s="44"/>
      <c r="P462" s="44"/>
      <c r="Q462" s="44"/>
      <c r="R462" s="44"/>
      <c r="S462" s="44"/>
      <c r="T462" s="44"/>
      <c r="U462" s="44"/>
      <c r="V462" s="44"/>
      <c r="W462" s="44"/>
      <c r="X462" s="44"/>
      <c r="Y462" s="44"/>
      <c r="Z462" s="44"/>
      <c r="AA462" s="44"/>
      <c r="AB462" s="44"/>
      <c r="AC462" s="44"/>
      <c r="AD462" s="44"/>
      <c r="AE462" s="44"/>
      <c r="AF462" s="44"/>
      <c r="AG462" s="44"/>
    </row>
    <row r="463" spans="1:33" ht="16.5" customHeight="1">
      <c r="A463" s="44"/>
      <c r="B463" s="44"/>
      <c r="C463" s="44"/>
      <c r="D463" s="172"/>
      <c r="E463" s="44"/>
      <c r="F463" s="44"/>
      <c r="G463" s="44"/>
      <c r="H463" s="44"/>
      <c r="I463" s="53"/>
      <c r="J463" s="44"/>
      <c r="K463" s="44"/>
      <c r="L463" s="44"/>
      <c r="M463" s="44"/>
      <c r="N463" s="44"/>
      <c r="O463" s="44"/>
      <c r="P463" s="44"/>
      <c r="Q463" s="44"/>
      <c r="R463" s="44"/>
      <c r="S463" s="44"/>
      <c r="T463" s="44"/>
      <c r="U463" s="44"/>
      <c r="V463" s="44"/>
      <c r="W463" s="44"/>
      <c r="X463" s="44"/>
      <c r="Y463" s="44"/>
      <c r="Z463" s="44"/>
      <c r="AA463" s="44"/>
      <c r="AB463" s="44"/>
      <c r="AC463" s="44"/>
      <c r="AD463" s="44"/>
      <c r="AE463" s="44"/>
      <c r="AF463" s="44"/>
      <c r="AG463" s="44"/>
    </row>
    <row r="464" spans="1:33" ht="16.5" customHeight="1">
      <c r="A464" s="44"/>
      <c r="B464" s="44"/>
      <c r="C464" s="44"/>
      <c r="D464" s="172"/>
      <c r="E464" s="44"/>
      <c r="F464" s="44"/>
      <c r="G464" s="44"/>
      <c r="H464" s="44"/>
      <c r="I464" s="53"/>
      <c r="J464" s="44"/>
      <c r="K464" s="44"/>
      <c r="L464" s="44"/>
      <c r="M464" s="44"/>
      <c r="N464" s="44"/>
      <c r="O464" s="44"/>
      <c r="P464" s="44"/>
      <c r="Q464" s="44"/>
      <c r="R464" s="44"/>
      <c r="S464" s="44"/>
      <c r="T464" s="44"/>
      <c r="U464" s="44"/>
      <c r="V464" s="44"/>
      <c r="W464" s="44"/>
      <c r="X464" s="44"/>
      <c r="Y464" s="44"/>
      <c r="Z464" s="44"/>
      <c r="AA464" s="44"/>
      <c r="AB464" s="44"/>
      <c r="AC464" s="44"/>
      <c r="AD464" s="44"/>
      <c r="AE464" s="44"/>
      <c r="AF464" s="44"/>
      <c r="AG464" s="44"/>
    </row>
    <row r="465" spans="1:33" ht="16.5" customHeight="1">
      <c r="A465" s="44"/>
      <c r="B465" s="44"/>
      <c r="C465" s="44"/>
      <c r="D465" s="172"/>
      <c r="E465" s="44"/>
      <c r="F465" s="44"/>
      <c r="G465" s="44"/>
      <c r="H465" s="44"/>
      <c r="I465" s="53"/>
      <c r="J465" s="44"/>
      <c r="K465" s="44"/>
      <c r="L465" s="44"/>
      <c r="M465" s="44"/>
      <c r="N465" s="44"/>
      <c r="O465" s="44"/>
      <c r="P465" s="44"/>
      <c r="Q465" s="44"/>
      <c r="R465" s="44"/>
      <c r="S465" s="44"/>
      <c r="T465" s="44"/>
      <c r="U465" s="44"/>
      <c r="V465" s="44"/>
      <c r="W465" s="44"/>
      <c r="X465" s="44"/>
      <c r="Y465" s="44"/>
      <c r="Z465" s="44"/>
      <c r="AA465" s="44"/>
      <c r="AB465" s="44"/>
      <c r="AC465" s="44"/>
      <c r="AD465" s="44"/>
      <c r="AE465" s="44"/>
      <c r="AF465" s="44"/>
      <c r="AG465" s="44"/>
    </row>
    <row r="466" spans="1:33" ht="16.5" customHeight="1">
      <c r="A466" s="44"/>
      <c r="B466" s="44"/>
      <c r="C466" s="44"/>
      <c r="D466" s="172"/>
      <c r="E466" s="44"/>
      <c r="F466" s="44"/>
      <c r="G466" s="44"/>
      <c r="H466" s="44"/>
      <c r="I466" s="53"/>
      <c r="J466" s="44"/>
      <c r="K466" s="44"/>
      <c r="L466" s="44"/>
      <c r="M466" s="44"/>
      <c r="N466" s="44"/>
      <c r="O466" s="44"/>
      <c r="P466" s="44"/>
      <c r="Q466" s="44"/>
      <c r="R466" s="44"/>
      <c r="S466" s="44"/>
      <c r="T466" s="44"/>
      <c r="U466" s="44"/>
      <c r="V466" s="44"/>
      <c r="W466" s="44"/>
      <c r="X466" s="44"/>
      <c r="Y466" s="44"/>
      <c r="Z466" s="44"/>
      <c r="AA466" s="44"/>
      <c r="AB466" s="44"/>
      <c r="AC466" s="44"/>
      <c r="AD466" s="44"/>
      <c r="AE466" s="44"/>
      <c r="AF466" s="44"/>
      <c r="AG466" s="44"/>
    </row>
    <row r="467" spans="1:33" ht="16.5" customHeight="1">
      <c r="A467" s="44"/>
      <c r="B467" s="44"/>
      <c r="C467" s="44"/>
      <c r="D467" s="172"/>
      <c r="E467" s="44"/>
      <c r="F467" s="44"/>
      <c r="G467" s="44"/>
      <c r="H467" s="44"/>
      <c r="I467" s="53"/>
      <c r="J467" s="44"/>
      <c r="K467" s="44"/>
      <c r="L467" s="44"/>
      <c r="M467" s="44"/>
      <c r="N467" s="44"/>
      <c r="O467" s="44"/>
      <c r="P467" s="44"/>
      <c r="Q467" s="44"/>
      <c r="R467" s="44"/>
      <c r="S467" s="44"/>
      <c r="T467" s="44"/>
      <c r="U467" s="44"/>
      <c r="V467" s="44"/>
      <c r="W467" s="44"/>
      <c r="X467" s="44"/>
      <c r="Y467" s="44"/>
      <c r="Z467" s="44"/>
      <c r="AA467" s="44"/>
      <c r="AB467" s="44"/>
      <c r="AC467" s="44"/>
      <c r="AD467" s="44"/>
      <c r="AE467" s="44"/>
      <c r="AF467" s="44"/>
      <c r="AG467" s="44"/>
    </row>
    <row r="468" spans="1:33" ht="16.5" customHeight="1">
      <c r="A468" s="44"/>
      <c r="B468" s="44"/>
      <c r="C468" s="44"/>
      <c r="D468" s="172"/>
      <c r="E468" s="44"/>
      <c r="F468" s="44"/>
      <c r="G468" s="44"/>
      <c r="H468" s="44"/>
      <c r="I468" s="53"/>
      <c r="J468" s="44"/>
      <c r="K468" s="44"/>
      <c r="L468" s="44"/>
      <c r="M468" s="44"/>
      <c r="N468" s="44"/>
      <c r="O468" s="44"/>
      <c r="P468" s="44"/>
      <c r="Q468" s="44"/>
      <c r="R468" s="44"/>
      <c r="S468" s="44"/>
      <c r="T468" s="44"/>
      <c r="U468" s="44"/>
      <c r="V468" s="44"/>
      <c r="W468" s="44"/>
      <c r="X468" s="44"/>
      <c r="Y468" s="44"/>
      <c r="Z468" s="44"/>
      <c r="AA468" s="44"/>
      <c r="AB468" s="44"/>
      <c r="AC468" s="44"/>
      <c r="AD468" s="44"/>
      <c r="AE468" s="44"/>
      <c r="AF468" s="44"/>
      <c r="AG468" s="44"/>
    </row>
    <row r="469" spans="1:33" ht="16.5" customHeight="1">
      <c r="A469" s="44"/>
      <c r="B469" s="44"/>
      <c r="C469" s="44"/>
      <c r="D469" s="172"/>
      <c r="E469" s="44"/>
      <c r="F469" s="44"/>
      <c r="G469" s="44"/>
      <c r="H469" s="44"/>
      <c r="I469" s="53"/>
      <c r="J469" s="44"/>
      <c r="K469" s="44"/>
      <c r="L469" s="44"/>
      <c r="M469" s="44"/>
      <c r="N469" s="44"/>
      <c r="O469" s="44"/>
      <c r="P469" s="44"/>
      <c r="Q469" s="44"/>
      <c r="R469" s="44"/>
      <c r="S469" s="44"/>
      <c r="T469" s="44"/>
      <c r="U469" s="44"/>
      <c r="V469" s="44"/>
      <c r="W469" s="44"/>
      <c r="X469" s="44"/>
      <c r="Y469" s="44"/>
      <c r="Z469" s="44"/>
      <c r="AA469" s="44"/>
      <c r="AB469" s="44"/>
      <c r="AC469" s="44"/>
      <c r="AD469" s="44"/>
      <c r="AE469" s="44"/>
      <c r="AF469" s="44"/>
      <c r="AG469" s="44"/>
    </row>
    <row r="470" spans="1:33" ht="16.5" customHeight="1">
      <c r="A470" s="44"/>
      <c r="B470" s="44"/>
      <c r="C470" s="44"/>
      <c r="D470" s="172"/>
      <c r="E470" s="44"/>
      <c r="F470" s="44"/>
      <c r="G470" s="44"/>
      <c r="H470" s="44"/>
      <c r="I470" s="53"/>
      <c r="J470" s="44"/>
      <c r="K470" s="44"/>
      <c r="L470" s="44"/>
      <c r="M470" s="44"/>
      <c r="N470" s="44"/>
      <c r="O470" s="44"/>
      <c r="P470" s="44"/>
      <c r="Q470" s="44"/>
      <c r="R470" s="44"/>
      <c r="S470" s="44"/>
      <c r="T470" s="44"/>
      <c r="U470" s="44"/>
      <c r="V470" s="44"/>
      <c r="W470" s="44"/>
      <c r="X470" s="44"/>
      <c r="Y470" s="44"/>
      <c r="Z470" s="44"/>
      <c r="AA470" s="44"/>
      <c r="AB470" s="44"/>
      <c r="AC470" s="44"/>
      <c r="AD470" s="44"/>
      <c r="AE470" s="44"/>
      <c r="AF470" s="44"/>
      <c r="AG470" s="44"/>
    </row>
    <row r="471" spans="1:33" ht="16.5" customHeight="1">
      <c r="A471" s="44"/>
      <c r="B471" s="44"/>
      <c r="C471" s="44"/>
      <c r="D471" s="172"/>
      <c r="E471" s="44"/>
      <c r="F471" s="44"/>
      <c r="G471" s="44"/>
      <c r="H471" s="44"/>
      <c r="I471" s="53"/>
      <c r="J471" s="44"/>
      <c r="K471" s="44"/>
      <c r="L471" s="44"/>
      <c r="M471" s="44"/>
      <c r="N471" s="44"/>
      <c r="O471" s="44"/>
      <c r="P471" s="44"/>
      <c r="Q471" s="44"/>
      <c r="R471" s="44"/>
      <c r="S471" s="44"/>
      <c r="T471" s="44"/>
      <c r="U471" s="44"/>
      <c r="V471" s="44"/>
      <c r="W471" s="44"/>
      <c r="X471" s="44"/>
      <c r="Y471" s="44"/>
      <c r="Z471" s="44"/>
      <c r="AA471" s="44"/>
      <c r="AB471" s="44"/>
      <c r="AC471" s="44"/>
      <c r="AD471" s="44"/>
      <c r="AE471" s="44"/>
      <c r="AF471" s="44"/>
      <c r="AG471" s="44"/>
    </row>
    <row r="472" spans="1:33" ht="16.5" customHeight="1">
      <c r="A472" s="44"/>
      <c r="B472" s="44"/>
      <c r="C472" s="44"/>
      <c r="D472" s="172"/>
      <c r="E472" s="44"/>
      <c r="F472" s="44"/>
      <c r="G472" s="44"/>
      <c r="H472" s="44"/>
      <c r="I472" s="53"/>
      <c r="J472" s="44"/>
      <c r="K472" s="44"/>
      <c r="L472" s="44"/>
      <c r="M472" s="44"/>
      <c r="N472" s="44"/>
      <c r="O472" s="44"/>
      <c r="P472" s="44"/>
      <c r="Q472" s="44"/>
      <c r="R472" s="44"/>
      <c r="S472" s="44"/>
      <c r="T472" s="44"/>
      <c r="U472" s="44"/>
      <c r="V472" s="44"/>
      <c r="W472" s="44"/>
      <c r="X472" s="44"/>
      <c r="Y472" s="44"/>
      <c r="Z472" s="44"/>
      <c r="AA472" s="44"/>
      <c r="AB472" s="44"/>
      <c r="AC472" s="44"/>
      <c r="AD472" s="44"/>
      <c r="AE472" s="44"/>
      <c r="AF472" s="44"/>
      <c r="AG472" s="44"/>
    </row>
    <row r="473" spans="1:33" ht="16.5" customHeight="1">
      <c r="A473" s="44"/>
      <c r="B473" s="44"/>
      <c r="C473" s="44"/>
      <c r="D473" s="172"/>
      <c r="E473" s="44"/>
      <c r="F473" s="44"/>
      <c r="G473" s="44"/>
      <c r="H473" s="44"/>
      <c r="I473" s="53"/>
      <c r="J473" s="44"/>
      <c r="K473" s="44"/>
      <c r="L473" s="44"/>
      <c r="M473" s="44"/>
      <c r="N473" s="44"/>
      <c r="O473" s="44"/>
      <c r="P473" s="44"/>
      <c r="Q473" s="44"/>
      <c r="R473" s="44"/>
      <c r="S473" s="44"/>
      <c r="T473" s="44"/>
      <c r="U473" s="44"/>
      <c r="V473" s="44"/>
      <c r="W473" s="44"/>
      <c r="X473" s="44"/>
      <c r="Y473" s="44"/>
      <c r="Z473" s="44"/>
      <c r="AA473" s="44"/>
      <c r="AB473" s="44"/>
      <c r="AC473" s="44"/>
      <c r="AD473" s="44"/>
      <c r="AE473" s="44"/>
      <c r="AF473" s="44"/>
      <c r="AG473" s="44"/>
    </row>
    <row r="474" spans="1:33" ht="16.5" customHeight="1">
      <c r="A474" s="44"/>
      <c r="B474" s="44"/>
      <c r="C474" s="44"/>
      <c r="D474" s="172"/>
      <c r="E474" s="44"/>
      <c r="F474" s="44"/>
      <c r="G474" s="44"/>
      <c r="H474" s="44"/>
      <c r="I474" s="53"/>
      <c r="J474" s="44"/>
      <c r="K474" s="44"/>
      <c r="L474" s="44"/>
      <c r="M474" s="44"/>
      <c r="N474" s="44"/>
      <c r="O474" s="44"/>
      <c r="P474" s="44"/>
      <c r="Q474" s="44"/>
      <c r="R474" s="44"/>
      <c r="S474" s="44"/>
      <c r="T474" s="44"/>
      <c r="U474" s="44"/>
      <c r="V474" s="44"/>
      <c r="W474" s="44"/>
      <c r="X474" s="44"/>
      <c r="Y474" s="44"/>
      <c r="Z474" s="44"/>
      <c r="AA474" s="44"/>
      <c r="AB474" s="44"/>
      <c r="AC474" s="44"/>
      <c r="AD474" s="44"/>
      <c r="AE474" s="44"/>
      <c r="AF474" s="44"/>
      <c r="AG474" s="44"/>
    </row>
    <row r="475" spans="1:33" ht="16.5" customHeight="1">
      <c r="A475" s="44"/>
      <c r="B475" s="44"/>
      <c r="C475" s="44"/>
      <c r="D475" s="172"/>
      <c r="E475" s="44"/>
      <c r="F475" s="44"/>
      <c r="G475" s="44"/>
      <c r="H475" s="44"/>
      <c r="I475" s="53"/>
      <c r="J475" s="44"/>
      <c r="K475" s="44"/>
      <c r="L475" s="44"/>
      <c r="M475" s="44"/>
      <c r="N475" s="44"/>
      <c r="O475" s="44"/>
      <c r="P475" s="44"/>
      <c r="Q475" s="44"/>
      <c r="R475" s="44"/>
      <c r="S475" s="44"/>
      <c r="T475" s="44"/>
      <c r="U475" s="44"/>
      <c r="V475" s="44"/>
      <c r="W475" s="44"/>
      <c r="X475" s="44"/>
      <c r="Y475" s="44"/>
      <c r="Z475" s="44"/>
      <c r="AA475" s="44"/>
      <c r="AB475" s="44"/>
      <c r="AC475" s="44"/>
      <c r="AD475" s="44"/>
      <c r="AE475" s="44"/>
      <c r="AF475" s="44"/>
      <c r="AG475" s="44"/>
    </row>
    <row r="476" spans="1:33" ht="16.5" customHeight="1">
      <c r="A476" s="44"/>
      <c r="B476" s="44"/>
      <c r="C476" s="44"/>
      <c r="D476" s="172"/>
      <c r="E476" s="44"/>
      <c r="F476" s="44"/>
      <c r="G476" s="44"/>
      <c r="H476" s="44"/>
      <c r="I476" s="53"/>
      <c r="J476" s="44"/>
      <c r="K476" s="44"/>
      <c r="L476" s="44"/>
      <c r="M476" s="44"/>
      <c r="N476" s="44"/>
      <c r="O476" s="44"/>
      <c r="P476" s="44"/>
      <c r="Q476" s="44"/>
      <c r="R476" s="44"/>
      <c r="S476" s="44"/>
      <c r="T476" s="44"/>
      <c r="U476" s="44"/>
      <c r="V476" s="44"/>
      <c r="W476" s="44"/>
      <c r="X476" s="44"/>
      <c r="Y476" s="44"/>
      <c r="Z476" s="44"/>
      <c r="AA476" s="44"/>
      <c r="AB476" s="44"/>
      <c r="AC476" s="44"/>
      <c r="AD476" s="44"/>
      <c r="AE476" s="44"/>
      <c r="AF476" s="44"/>
      <c r="AG476" s="44"/>
    </row>
    <row r="477" spans="1:33" ht="16.5" customHeight="1">
      <c r="A477" s="44"/>
      <c r="B477" s="44"/>
      <c r="C477" s="44"/>
      <c r="D477" s="172"/>
      <c r="E477" s="44"/>
      <c r="F477" s="44"/>
      <c r="G477" s="44"/>
      <c r="H477" s="44"/>
      <c r="I477" s="53"/>
      <c r="J477" s="44"/>
      <c r="K477" s="44"/>
      <c r="L477" s="44"/>
      <c r="M477" s="44"/>
      <c r="N477" s="44"/>
      <c r="O477" s="44"/>
      <c r="P477" s="44"/>
      <c r="Q477" s="44"/>
      <c r="R477" s="44"/>
      <c r="S477" s="44"/>
      <c r="T477" s="44"/>
      <c r="U477" s="44"/>
      <c r="V477" s="44"/>
      <c r="W477" s="44"/>
      <c r="X477" s="44"/>
      <c r="Y477" s="44"/>
      <c r="Z477" s="44"/>
      <c r="AA477" s="44"/>
      <c r="AB477" s="44"/>
      <c r="AC477" s="44"/>
      <c r="AD477" s="44"/>
      <c r="AE477" s="44"/>
      <c r="AF477" s="44"/>
      <c r="AG477" s="44"/>
    </row>
    <row r="478" spans="1:33" ht="16.5" customHeight="1">
      <c r="A478" s="44"/>
      <c r="B478" s="44"/>
      <c r="C478" s="44"/>
      <c r="D478" s="172"/>
      <c r="E478" s="44"/>
      <c r="F478" s="44"/>
      <c r="G478" s="44"/>
      <c r="H478" s="44"/>
      <c r="I478" s="53"/>
      <c r="J478" s="44"/>
      <c r="K478" s="44"/>
      <c r="L478" s="44"/>
      <c r="M478" s="44"/>
      <c r="N478" s="44"/>
      <c r="O478" s="44"/>
      <c r="P478" s="44"/>
      <c r="Q478" s="44"/>
      <c r="R478" s="44"/>
      <c r="S478" s="44"/>
      <c r="T478" s="44"/>
      <c r="U478" s="44"/>
      <c r="V478" s="44"/>
      <c r="W478" s="44"/>
      <c r="X478" s="44"/>
      <c r="Y478" s="44"/>
      <c r="Z478" s="44"/>
      <c r="AA478" s="44"/>
      <c r="AB478" s="44"/>
      <c r="AC478" s="44"/>
      <c r="AD478" s="44"/>
      <c r="AE478" s="44"/>
      <c r="AF478" s="44"/>
      <c r="AG478" s="44"/>
    </row>
    <row r="479" spans="1:33" ht="16.5" customHeight="1">
      <c r="A479" s="44"/>
      <c r="B479" s="44"/>
      <c r="C479" s="44"/>
      <c r="D479" s="172"/>
      <c r="E479" s="44"/>
      <c r="F479" s="44"/>
      <c r="G479" s="44"/>
      <c r="H479" s="44"/>
      <c r="I479" s="53"/>
      <c r="J479" s="44"/>
      <c r="K479" s="44"/>
      <c r="L479" s="44"/>
      <c r="M479" s="44"/>
      <c r="N479" s="44"/>
      <c r="O479" s="44"/>
      <c r="P479" s="44"/>
      <c r="Q479" s="44"/>
      <c r="R479" s="44"/>
      <c r="S479" s="44"/>
      <c r="T479" s="44"/>
      <c r="U479" s="44"/>
      <c r="V479" s="44"/>
      <c r="W479" s="44"/>
      <c r="X479" s="44"/>
      <c r="Y479" s="44"/>
      <c r="Z479" s="44"/>
      <c r="AA479" s="44"/>
      <c r="AB479" s="44"/>
      <c r="AC479" s="44"/>
      <c r="AD479" s="44"/>
      <c r="AE479" s="44"/>
      <c r="AF479" s="44"/>
      <c r="AG479" s="44"/>
    </row>
    <row r="480" spans="1:33" ht="16.5" customHeight="1">
      <c r="A480" s="44"/>
      <c r="B480" s="44"/>
      <c r="C480" s="44"/>
      <c r="D480" s="172"/>
      <c r="E480" s="44"/>
      <c r="F480" s="44"/>
      <c r="G480" s="44"/>
      <c r="H480" s="44"/>
      <c r="I480" s="53"/>
      <c r="J480" s="44"/>
      <c r="K480" s="44"/>
      <c r="L480" s="44"/>
      <c r="M480" s="44"/>
      <c r="N480" s="44"/>
      <c r="O480" s="44"/>
      <c r="P480" s="44"/>
      <c r="Q480" s="44"/>
      <c r="R480" s="44"/>
      <c r="S480" s="44"/>
      <c r="T480" s="44"/>
      <c r="U480" s="44"/>
      <c r="V480" s="44"/>
      <c r="W480" s="44"/>
      <c r="X480" s="44"/>
      <c r="Y480" s="44"/>
      <c r="Z480" s="44"/>
      <c r="AA480" s="44"/>
      <c r="AB480" s="44"/>
      <c r="AC480" s="44"/>
      <c r="AD480" s="44"/>
      <c r="AE480" s="44"/>
      <c r="AF480" s="44"/>
      <c r="AG480" s="44"/>
    </row>
    <row r="481" spans="1:33" ht="16.5" customHeight="1">
      <c r="A481" s="44"/>
      <c r="B481" s="44"/>
      <c r="C481" s="44"/>
      <c r="D481" s="172"/>
      <c r="E481" s="44"/>
      <c r="F481" s="44"/>
      <c r="G481" s="44"/>
      <c r="H481" s="44"/>
      <c r="I481" s="53"/>
      <c r="J481" s="44"/>
      <c r="K481" s="44"/>
      <c r="L481" s="44"/>
      <c r="M481" s="44"/>
      <c r="N481" s="44"/>
      <c r="O481" s="44"/>
      <c r="P481" s="44"/>
      <c r="Q481" s="44"/>
      <c r="R481" s="44"/>
      <c r="S481" s="44"/>
      <c r="T481" s="44"/>
      <c r="U481" s="44"/>
      <c r="V481" s="44"/>
      <c r="W481" s="44"/>
      <c r="X481" s="44"/>
      <c r="Y481" s="44"/>
      <c r="Z481" s="44"/>
      <c r="AA481" s="44"/>
      <c r="AB481" s="44"/>
      <c r="AC481" s="44"/>
      <c r="AD481" s="44"/>
      <c r="AE481" s="44"/>
      <c r="AF481" s="44"/>
      <c r="AG481" s="44"/>
    </row>
    <row r="482" spans="1:33" ht="16.5" customHeight="1">
      <c r="A482" s="44"/>
      <c r="B482" s="44"/>
      <c r="C482" s="44"/>
      <c r="D482" s="172"/>
      <c r="E482" s="44"/>
      <c r="F482" s="44"/>
      <c r="G482" s="44"/>
      <c r="H482" s="44"/>
      <c r="I482" s="53"/>
      <c r="J482" s="44"/>
      <c r="K482" s="44"/>
      <c r="L482" s="44"/>
      <c r="M482" s="44"/>
      <c r="N482" s="44"/>
      <c r="O482" s="44"/>
      <c r="P482" s="44"/>
      <c r="Q482" s="44"/>
      <c r="R482" s="44"/>
      <c r="S482" s="44"/>
      <c r="T482" s="44"/>
      <c r="U482" s="44"/>
      <c r="V482" s="44"/>
      <c r="W482" s="44"/>
      <c r="X482" s="44"/>
      <c r="Y482" s="44"/>
      <c r="Z482" s="44"/>
      <c r="AA482" s="44"/>
      <c r="AB482" s="44"/>
      <c r="AC482" s="44"/>
      <c r="AD482" s="44"/>
      <c r="AE482" s="44"/>
      <c r="AF482" s="44"/>
      <c r="AG482" s="44"/>
    </row>
    <row r="483" spans="1:33" ht="16.5" customHeight="1">
      <c r="A483" s="44"/>
      <c r="B483" s="44"/>
      <c r="C483" s="44"/>
      <c r="D483" s="172"/>
      <c r="E483" s="44"/>
      <c r="F483" s="44"/>
      <c r="G483" s="44"/>
      <c r="H483" s="44"/>
      <c r="I483" s="53"/>
      <c r="J483" s="44"/>
      <c r="K483" s="44"/>
      <c r="L483" s="44"/>
      <c r="M483" s="44"/>
      <c r="N483" s="44"/>
      <c r="O483" s="44"/>
      <c r="P483" s="44"/>
      <c r="Q483" s="44"/>
      <c r="R483" s="44"/>
      <c r="S483" s="44"/>
      <c r="T483" s="44"/>
      <c r="U483" s="44"/>
      <c r="V483" s="44"/>
      <c r="W483" s="44"/>
      <c r="X483" s="44"/>
      <c r="Y483" s="44"/>
      <c r="Z483" s="44"/>
      <c r="AA483" s="44"/>
      <c r="AB483" s="44"/>
      <c r="AC483" s="44"/>
      <c r="AD483" s="44"/>
      <c r="AE483" s="44"/>
      <c r="AF483" s="44"/>
      <c r="AG483" s="44"/>
    </row>
    <row r="484" spans="1:33" ht="16.5" customHeight="1">
      <c r="A484" s="44"/>
      <c r="B484" s="44"/>
      <c r="C484" s="44"/>
      <c r="D484" s="172"/>
      <c r="E484" s="44"/>
      <c r="F484" s="44"/>
      <c r="G484" s="44"/>
      <c r="H484" s="44"/>
      <c r="I484" s="53"/>
      <c r="J484" s="44"/>
      <c r="K484" s="44"/>
      <c r="L484" s="44"/>
      <c r="M484" s="44"/>
      <c r="N484" s="44"/>
      <c r="O484" s="44"/>
      <c r="P484" s="44"/>
      <c r="Q484" s="44"/>
      <c r="R484" s="44"/>
      <c r="S484" s="44"/>
      <c r="T484" s="44"/>
      <c r="U484" s="44"/>
      <c r="V484" s="44"/>
      <c r="W484" s="44"/>
      <c r="X484" s="44"/>
      <c r="Y484" s="44"/>
      <c r="Z484" s="44"/>
      <c r="AA484" s="44"/>
      <c r="AB484" s="44"/>
      <c r="AC484" s="44"/>
      <c r="AD484" s="44"/>
      <c r="AE484" s="44"/>
      <c r="AF484" s="44"/>
      <c r="AG484" s="44"/>
    </row>
    <row r="485" spans="1:33" ht="16.5" customHeight="1">
      <c r="A485" s="44"/>
      <c r="B485" s="44"/>
      <c r="C485" s="44"/>
      <c r="D485" s="172"/>
      <c r="E485" s="44"/>
      <c r="F485" s="44"/>
      <c r="G485" s="44"/>
      <c r="H485" s="44"/>
      <c r="I485" s="53"/>
      <c r="J485" s="44"/>
      <c r="K485" s="44"/>
      <c r="L485" s="44"/>
      <c r="M485" s="44"/>
      <c r="N485" s="44"/>
      <c r="O485" s="44"/>
      <c r="P485" s="44"/>
      <c r="Q485" s="44"/>
      <c r="R485" s="44"/>
      <c r="S485" s="44"/>
      <c r="T485" s="44"/>
      <c r="U485" s="44"/>
      <c r="V485" s="44"/>
      <c r="W485" s="44"/>
      <c r="X485" s="44"/>
      <c r="Y485" s="44"/>
      <c r="Z485" s="44"/>
      <c r="AA485" s="44"/>
      <c r="AB485" s="44"/>
      <c r="AC485" s="44"/>
      <c r="AD485" s="44"/>
      <c r="AE485" s="44"/>
      <c r="AF485" s="44"/>
      <c r="AG485" s="44"/>
    </row>
    <row r="486" spans="1:33" ht="16.5" customHeight="1">
      <c r="A486" s="44"/>
      <c r="B486" s="44"/>
      <c r="C486" s="44"/>
      <c r="D486" s="172"/>
      <c r="E486" s="44"/>
      <c r="F486" s="44"/>
      <c r="G486" s="44"/>
      <c r="H486" s="44"/>
      <c r="I486" s="53"/>
      <c r="J486" s="44"/>
      <c r="K486" s="44"/>
      <c r="L486" s="44"/>
      <c r="M486" s="44"/>
      <c r="N486" s="44"/>
      <c r="O486" s="44"/>
      <c r="P486" s="44"/>
      <c r="Q486" s="44"/>
      <c r="R486" s="44"/>
      <c r="S486" s="44"/>
      <c r="T486" s="44"/>
      <c r="U486" s="44"/>
      <c r="V486" s="44"/>
      <c r="W486" s="44"/>
      <c r="X486" s="44"/>
      <c r="Y486" s="44"/>
      <c r="Z486" s="44"/>
      <c r="AA486" s="44"/>
      <c r="AB486" s="44"/>
      <c r="AC486" s="44"/>
      <c r="AD486" s="44"/>
      <c r="AE486" s="44"/>
      <c r="AF486" s="44"/>
      <c r="AG486" s="44"/>
    </row>
    <row r="487" spans="1:33" ht="16.5" customHeight="1">
      <c r="A487" s="44"/>
      <c r="B487" s="44"/>
      <c r="C487" s="44"/>
      <c r="D487" s="172"/>
      <c r="E487" s="44"/>
      <c r="F487" s="44"/>
      <c r="G487" s="44"/>
      <c r="H487" s="44"/>
      <c r="I487" s="53"/>
      <c r="J487" s="44"/>
      <c r="K487" s="44"/>
      <c r="L487" s="44"/>
      <c r="M487" s="44"/>
      <c r="N487" s="44"/>
      <c r="O487" s="44"/>
      <c r="P487" s="44"/>
      <c r="Q487" s="44"/>
      <c r="R487" s="44"/>
      <c r="S487" s="44"/>
      <c r="T487" s="44"/>
      <c r="U487" s="44"/>
      <c r="V487" s="44"/>
      <c r="W487" s="44"/>
      <c r="X487" s="44"/>
      <c r="Y487" s="44"/>
      <c r="Z487" s="44"/>
      <c r="AA487" s="44"/>
      <c r="AB487" s="44"/>
      <c r="AC487" s="44"/>
      <c r="AD487" s="44"/>
      <c r="AE487" s="44"/>
      <c r="AF487" s="44"/>
      <c r="AG487" s="44"/>
    </row>
    <row r="488" spans="1:33" ht="16.5" customHeight="1">
      <c r="A488" s="44"/>
      <c r="B488" s="44"/>
      <c r="C488" s="44"/>
      <c r="D488" s="172"/>
      <c r="E488" s="44"/>
      <c r="F488" s="44"/>
      <c r="G488" s="44"/>
      <c r="H488" s="44"/>
      <c r="I488" s="53"/>
      <c r="J488" s="44"/>
      <c r="K488" s="44"/>
      <c r="L488" s="44"/>
      <c r="M488" s="44"/>
      <c r="N488" s="44"/>
      <c r="O488" s="44"/>
      <c r="P488" s="44"/>
      <c r="Q488" s="44"/>
      <c r="R488" s="44"/>
      <c r="S488" s="44"/>
      <c r="T488" s="44"/>
      <c r="U488" s="44"/>
      <c r="V488" s="44"/>
      <c r="W488" s="44"/>
      <c r="X488" s="44"/>
      <c r="Y488" s="44"/>
      <c r="Z488" s="44"/>
      <c r="AA488" s="44"/>
      <c r="AB488" s="44"/>
      <c r="AC488" s="44"/>
      <c r="AD488" s="44"/>
      <c r="AE488" s="44"/>
      <c r="AF488" s="44"/>
      <c r="AG488" s="44"/>
    </row>
    <row r="489" spans="1:33" ht="16.5" customHeight="1">
      <c r="A489" s="44"/>
      <c r="B489" s="44"/>
      <c r="C489" s="44"/>
      <c r="D489" s="172"/>
      <c r="E489" s="44"/>
      <c r="F489" s="44"/>
      <c r="G489" s="44"/>
      <c r="H489" s="44"/>
      <c r="I489" s="53"/>
      <c r="J489" s="44"/>
      <c r="K489" s="44"/>
      <c r="L489" s="44"/>
      <c r="M489" s="44"/>
      <c r="N489" s="44"/>
      <c r="O489" s="44"/>
      <c r="P489" s="44"/>
      <c r="Q489" s="44"/>
      <c r="R489" s="44"/>
      <c r="S489" s="44"/>
      <c r="T489" s="44"/>
      <c r="U489" s="44"/>
      <c r="V489" s="44"/>
      <c r="W489" s="44"/>
      <c r="X489" s="44"/>
      <c r="Y489" s="44"/>
      <c r="Z489" s="44"/>
      <c r="AA489" s="44"/>
      <c r="AB489" s="44"/>
      <c r="AC489" s="44"/>
      <c r="AD489" s="44"/>
      <c r="AE489" s="44"/>
      <c r="AF489" s="44"/>
      <c r="AG489" s="44"/>
    </row>
    <row r="490" spans="1:33" ht="16.5" customHeight="1">
      <c r="A490" s="44"/>
      <c r="B490" s="44"/>
      <c r="C490" s="44"/>
      <c r="D490" s="172"/>
      <c r="E490" s="44"/>
      <c r="F490" s="44"/>
      <c r="G490" s="44"/>
      <c r="H490" s="44"/>
      <c r="I490" s="53"/>
      <c r="J490" s="44"/>
      <c r="K490" s="44"/>
      <c r="L490" s="44"/>
      <c r="M490" s="44"/>
      <c r="N490" s="44"/>
      <c r="O490" s="44"/>
      <c r="P490" s="44"/>
      <c r="Q490" s="44"/>
      <c r="R490" s="44"/>
      <c r="S490" s="44"/>
      <c r="T490" s="44"/>
      <c r="U490" s="44"/>
      <c r="V490" s="44"/>
      <c r="W490" s="44"/>
      <c r="X490" s="44"/>
      <c r="Y490" s="44"/>
      <c r="Z490" s="44"/>
      <c r="AA490" s="44"/>
      <c r="AB490" s="44"/>
      <c r="AC490" s="44"/>
      <c r="AD490" s="44"/>
      <c r="AE490" s="44"/>
      <c r="AF490" s="44"/>
      <c r="AG490" s="44"/>
    </row>
    <row r="491" spans="1:33" ht="16.5" customHeight="1">
      <c r="A491" s="44"/>
      <c r="B491" s="44"/>
      <c r="C491" s="44"/>
      <c r="D491" s="172"/>
      <c r="E491" s="44"/>
      <c r="F491" s="44"/>
      <c r="G491" s="44"/>
      <c r="H491" s="44"/>
      <c r="I491" s="53"/>
      <c r="J491" s="44"/>
      <c r="K491" s="44"/>
      <c r="L491" s="44"/>
      <c r="M491" s="44"/>
      <c r="N491" s="44"/>
      <c r="O491" s="44"/>
      <c r="P491" s="44"/>
      <c r="Q491" s="44"/>
      <c r="R491" s="44"/>
      <c r="S491" s="44"/>
      <c r="T491" s="44"/>
      <c r="U491" s="44"/>
      <c r="V491" s="44"/>
      <c r="W491" s="44"/>
      <c r="X491" s="44"/>
      <c r="Y491" s="44"/>
      <c r="Z491" s="44"/>
      <c r="AA491" s="44"/>
      <c r="AB491" s="44"/>
      <c r="AC491" s="44"/>
      <c r="AD491" s="44"/>
      <c r="AE491" s="44"/>
      <c r="AF491" s="44"/>
      <c r="AG491" s="44"/>
    </row>
    <row r="492" spans="1:33" ht="16.5" customHeight="1">
      <c r="A492" s="44"/>
      <c r="B492" s="44"/>
      <c r="C492" s="44"/>
      <c r="D492" s="172"/>
      <c r="E492" s="44"/>
      <c r="F492" s="44"/>
      <c r="G492" s="44"/>
      <c r="H492" s="44"/>
      <c r="I492" s="53"/>
      <c r="J492" s="44"/>
      <c r="K492" s="44"/>
      <c r="L492" s="44"/>
      <c r="M492" s="44"/>
      <c r="N492" s="44"/>
      <c r="O492" s="44"/>
      <c r="P492" s="44"/>
      <c r="Q492" s="44"/>
      <c r="R492" s="44"/>
      <c r="S492" s="44"/>
      <c r="T492" s="44"/>
      <c r="U492" s="44"/>
      <c r="V492" s="44"/>
      <c r="W492" s="44"/>
      <c r="X492" s="44"/>
      <c r="Y492" s="44"/>
      <c r="Z492" s="44"/>
      <c r="AA492" s="44"/>
      <c r="AB492" s="44"/>
      <c r="AC492" s="44"/>
      <c r="AD492" s="44"/>
      <c r="AE492" s="44"/>
      <c r="AF492" s="44"/>
      <c r="AG492" s="44"/>
    </row>
    <row r="493" spans="1:33" ht="16.5" customHeight="1">
      <c r="A493" s="44"/>
      <c r="B493" s="44"/>
      <c r="C493" s="44"/>
      <c r="D493" s="172"/>
      <c r="E493" s="44"/>
      <c r="F493" s="44"/>
      <c r="G493" s="44"/>
      <c r="H493" s="44"/>
      <c r="I493" s="53"/>
      <c r="J493" s="44"/>
      <c r="K493" s="44"/>
      <c r="L493" s="44"/>
      <c r="M493" s="44"/>
      <c r="N493" s="44"/>
      <c r="O493" s="44"/>
      <c r="P493" s="44"/>
      <c r="Q493" s="44"/>
      <c r="R493" s="44"/>
      <c r="S493" s="44"/>
      <c r="T493" s="44"/>
      <c r="U493" s="44"/>
      <c r="V493" s="44"/>
      <c r="W493" s="44"/>
      <c r="X493" s="44"/>
      <c r="Y493" s="44"/>
      <c r="Z493" s="44"/>
      <c r="AA493" s="44"/>
      <c r="AB493" s="44"/>
      <c r="AC493" s="44"/>
      <c r="AD493" s="44"/>
      <c r="AE493" s="44"/>
      <c r="AF493" s="44"/>
      <c r="AG493" s="44"/>
    </row>
    <row r="494" spans="1:33" ht="16.5" customHeight="1">
      <c r="A494" s="44"/>
      <c r="B494" s="44"/>
      <c r="C494" s="44"/>
      <c r="D494" s="172"/>
      <c r="E494" s="44"/>
      <c r="F494" s="44"/>
      <c r="G494" s="44"/>
      <c r="H494" s="44"/>
      <c r="I494" s="53"/>
      <c r="J494" s="44"/>
      <c r="K494" s="44"/>
      <c r="L494" s="44"/>
      <c r="M494" s="44"/>
      <c r="N494" s="44"/>
      <c r="O494" s="44"/>
      <c r="P494" s="44"/>
      <c r="Q494" s="44"/>
      <c r="R494" s="44"/>
      <c r="S494" s="44"/>
      <c r="T494" s="44"/>
      <c r="U494" s="44"/>
      <c r="V494" s="44"/>
      <c r="W494" s="44"/>
      <c r="X494" s="44"/>
      <c r="Y494" s="44"/>
      <c r="Z494" s="44"/>
      <c r="AA494" s="44"/>
      <c r="AB494" s="44"/>
      <c r="AC494" s="44"/>
      <c r="AD494" s="44"/>
      <c r="AE494" s="44"/>
      <c r="AF494" s="44"/>
      <c r="AG494" s="44"/>
    </row>
    <row r="495" spans="1:33" ht="16.5" customHeight="1">
      <c r="A495" s="44"/>
      <c r="B495" s="44"/>
      <c r="C495" s="44"/>
      <c r="D495" s="172"/>
      <c r="E495" s="44"/>
      <c r="F495" s="44"/>
      <c r="G495" s="44"/>
      <c r="H495" s="44"/>
      <c r="I495" s="53"/>
      <c r="J495" s="44"/>
      <c r="K495" s="44"/>
      <c r="L495" s="44"/>
      <c r="M495" s="44"/>
      <c r="N495" s="44"/>
      <c r="O495" s="44"/>
      <c r="P495" s="44"/>
      <c r="Q495" s="44"/>
      <c r="R495" s="44"/>
      <c r="S495" s="44"/>
      <c r="T495" s="44"/>
      <c r="U495" s="44"/>
      <c r="V495" s="44"/>
      <c r="W495" s="44"/>
      <c r="X495" s="44"/>
      <c r="Y495" s="44"/>
      <c r="Z495" s="44"/>
      <c r="AA495" s="44"/>
      <c r="AB495" s="44"/>
      <c r="AC495" s="44"/>
      <c r="AD495" s="44"/>
      <c r="AE495" s="44"/>
      <c r="AF495" s="44"/>
      <c r="AG495" s="44"/>
    </row>
    <row r="496" spans="1:33" ht="16.5" customHeight="1">
      <c r="A496" s="44"/>
      <c r="B496" s="44"/>
      <c r="C496" s="44"/>
      <c r="D496" s="172"/>
      <c r="E496" s="44"/>
      <c r="F496" s="44"/>
      <c r="G496" s="44"/>
      <c r="H496" s="44"/>
      <c r="I496" s="53"/>
      <c r="J496" s="44"/>
      <c r="K496" s="44"/>
      <c r="L496" s="44"/>
      <c r="M496" s="44"/>
      <c r="N496" s="44"/>
      <c r="O496" s="44"/>
      <c r="P496" s="44"/>
      <c r="Q496" s="44"/>
      <c r="R496" s="44"/>
      <c r="S496" s="44"/>
      <c r="T496" s="44"/>
      <c r="U496" s="44"/>
      <c r="V496" s="44"/>
      <c r="W496" s="44"/>
      <c r="X496" s="44"/>
      <c r="Y496" s="44"/>
      <c r="Z496" s="44"/>
      <c r="AA496" s="44"/>
      <c r="AB496" s="44"/>
      <c r="AC496" s="44"/>
      <c r="AD496" s="44"/>
      <c r="AE496" s="44"/>
      <c r="AF496" s="44"/>
      <c r="AG496" s="44"/>
    </row>
    <row r="497" spans="1:33" ht="16.5" customHeight="1">
      <c r="A497" s="44"/>
      <c r="B497" s="44"/>
      <c r="C497" s="44"/>
      <c r="D497" s="172"/>
      <c r="E497" s="44"/>
      <c r="F497" s="44"/>
      <c r="G497" s="44"/>
      <c r="H497" s="44"/>
      <c r="I497" s="53"/>
      <c r="J497" s="44"/>
      <c r="K497" s="44"/>
      <c r="L497" s="44"/>
      <c r="M497" s="44"/>
      <c r="N497" s="44"/>
      <c r="O497" s="44"/>
      <c r="P497" s="44"/>
      <c r="Q497" s="44"/>
      <c r="R497" s="44"/>
      <c r="S497" s="44"/>
      <c r="T497" s="44"/>
      <c r="U497" s="44"/>
      <c r="V497" s="44"/>
      <c r="W497" s="44"/>
      <c r="X497" s="44"/>
      <c r="Y497" s="44"/>
      <c r="Z497" s="44"/>
      <c r="AA497" s="44"/>
      <c r="AB497" s="44"/>
      <c r="AC497" s="44"/>
      <c r="AD497" s="44"/>
      <c r="AE497" s="44"/>
      <c r="AF497" s="44"/>
      <c r="AG497" s="44"/>
    </row>
    <row r="498" spans="1:33" ht="16.5" customHeight="1">
      <c r="A498" s="44"/>
      <c r="B498" s="44"/>
      <c r="C498" s="44"/>
      <c r="D498" s="172"/>
      <c r="E498" s="44"/>
      <c r="F498" s="44"/>
      <c r="G498" s="44"/>
      <c r="H498" s="44"/>
      <c r="I498" s="53"/>
      <c r="J498" s="44"/>
      <c r="K498" s="44"/>
      <c r="L498" s="44"/>
      <c r="M498" s="44"/>
      <c r="N498" s="44"/>
      <c r="O498" s="44"/>
      <c r="P498" s="44"/>
      <c r="Q498" s="44"/>
      <c r="R498" s="44"/>
      <c r="S498" s="44"/>
      <c r="T498" s="44"/>
      <c r="U498" s="44"/>
      <c r="V498" s="44"/>
      <c r="W498" s="44"/>
      <c r="X498" s="44"/>
      <c r="Y498" s="44"/>
      <c r="Z498" s="44"/>
      <c r="AA498" s="44"/>
      <c r="AB498" s="44"/>
      <c r="AC498" s="44"/>
      <c r="AD498" s="44"/>
      <c r="AE498" s="44"/>
      <c r="AF498" s="44"/>
      <c r="AG498" s="44"/>
    </row>
    <row r="499" spans="1:33" ht="16.5" customHeight="1">
      <c r="A499" s="44"/>
      <c r="B499" s="44"/>
      <c r="C499" s="44"/>
      <c r="D499" s="172"/>
      <c r="E499" s="44"/>
      <c r="F499" s="44"/>
      <c r="G499" s="44"/>
      <c r="H499" s="44"/>
      <c r="I499" s="53"/>
      <c r="J499" s="44"/>
      <c r="K499" s="44"/>
      <c r="L499" s="44"/>
      <c r="M499" s="44"/>
      <c r="N499" s="44"/>
      <c r="O499" s="44"/>
      <c r="P499" s="44"/>
      <c r="Q499" s="44"/>
      <c r="R499" s="44"/>
      <c r="S499" s="44"/>
      <c r="T499" s="44"/>
      <c r="U499" s="44"/>
      <c r="V499" s="44"/>
      <c r="W499" s="44"/>
      <c r="X499" s="44"/>
      <c r="Y499" s="44"/>
      <c r="Z499" s="44"/>
      <c r="AA499" s="44"/>
      <c r="AB499" s="44"/>
      <c r="AC499" s="44"/>
      <c r="AD499" s="44"/>
      <c r="AE499" s="44"/>
      <c r="AF499" s="44"/>
      <c r="AG499" s="44"/>
    </row>
    <row r="500" spans="1:33" ht="16.5" customHeight="1">
      <c r="A500" s="44"/>
      <c r="B500" s="44"/>
      <c r="C500" s="44"/>
      <c r="D500" s="172"/>
      <c r="E500" s="44"/>
      <c r="F500" s="44"/>
      <c r="G500" s="44"/>
      <c r="H500" s="44"/>
      <c r="I500" s="53"/>
      <c r="J500" s="44"/>
      <c r="K500" s="44"/>
      <c r="L500" s="44"/>
      <c r="M500" s="44"/>
      <c r="N500" s="44"/>
      <c r="O500" s="44"/>
      <c r="P500" s="44"/>
      <c r="Q500" s="44"/>
      <c r="R500" s="44"/>
      <c r="S500" s="44"/>
      <c r="T500" s="44"/>
      <c r="U500" s="44"/>
      <c r="V500" s="44"/>
      <c r="W500" s="44"/>
      <c r="X500" s="44"/>
      <c r="Y500" s="44"/>
      <c r="Z500" s="44"/>
      <c r="AA500" s="44"/>
      <c r="AB500" s="44"/>
      <c r="AC500" s="44"/>
      <c r="AD500" s="44"/>
      <c r="AE500" s="44"/>
      <c r="AF500" s="44"/>
      <c r="AG500" s="44"/>
    </row>
    <row r="501" spans="1:33" ht="16.5" customHeight="1">
      <c r="A501" s="44"/>
      <c r="B501" s="44"/>
      <c r="C501" s="44"/>
      <c r="D501" s="172"/>
      <c r="E501" s="44"/>
      <c r="F501" s="44"/>
      <c r="G501" s="44"/>
      <c r="H501" s="44"/>
      <c r="I501" s="53"/>
      <c r="J501" s="44"/>
      <c r="K501" s="44"/>
      <c r="L501" s="44"/>
      <c r="M501" s="44"/>
      <c r="N501" s="44"/>
      <c r="O501" s="44"/>
      <c r="P501" s="44"/>
      <c r="Q501" s="44"/>
      <c r="R501" s="44"/>
      <c r="S501" s="44"/>
      <c r="T501" s="44"/>
      <c r="U501" s="44"/>
      <c r="V501" s="44"/>
      <c r="W501" s="44"/>
      <c r="X501" s="44"/>
      <c r="Y501" s="44"/>
      <c r="Z501" s="44"/>
      <c r="AA501" s="44"/>
      <c r="AB501" s="44"/>
      <c r="AC501" s="44"/>
      <c r="AD501" s="44"/>
      <c r="AE501" s="44"/>
      <c r="AF501" s="44"/>
      <c r="AG501" s="44"/>
    </row>
    <row r="502" spans="1:33" ht="16.5" customHeight="1">
      <c r="A502" s="44"/>
      <c r="B502" s="44"/>
      <c r="C502" s="44"/>
      <c r="D502" s="172"/>
      <c r="E502" s="44"/>
      <c r="F502" s="44"/>
      <c r="G502" s="44"/>
      <c r="H502" s="44"/>
      <c r="I502" s="53"/>
      <c r="J502" s="44"/>
      <c r="K502" s="44"/>
      <c r="L502" s="44"/>
      <c r="M502" s="44"/>
      <c r="N502" s="44"/>
      <c r="O502" s="44"/>
      <c r="P502" s="44"/>
      <c r="Q502" s="44"/>
      <c r="R502" s="44"/>
      <c r="S502" s="44"/>
      <c r="T502" s="44"/>
      <c r="U502" s="44"/>
      <c r="V502" s="44"/>
      <c r="W502" s="44"/>
      <c r="X502" s="44"/>
      <c r="Y502" s="44"/>
      <c r="Z502" s="44"/>
      <c r="AA502" s="44"/>
      <c r="AB502" s="44"/>
      <c r="AC502" s="44"/>
      <c r="AD502" s="44"/>
      <c r="AE502" s="44"/>
      <c r="AF502" s="44"/>
      <c r="AG502" s="44"/>
    </row>
    <row r="503" spans="1:33" ht="16.5" customHeight="1">
      <c r="A503" s="44"/>
      <c r="B503" s="44"/>
      <c r="C503" s="44"/>
      <c r="D503" s="172"/>
      <c r="E503" s="44"/>
      <c r="F503" s="44"/>
      <c r="G503" s="44"/>
      <c r="H503" s="44"/>
      <c r="I503" s="53"/>
      <c r="J503" s="44"/>
      <c r="K503" s="44"/>
      <c r="L503" s="44"/>
      <c r="M503" s="44"/>
      <c r="N503" s="44"/>
      <c r="O503" s="44"/>
      <c r="P503" s="44"/>
      <c r="Q503" s="44"/>
      <c r="R503" s="44"/>
      <c r="S503" s="44"/>
      <c r="T503" s="44"/>
      <c r="U503" s="44"/>
      <c r="V503" s="44"/>
      <c r="W503" s="44"/>
      <c r="X503" s="44"/>
      <c r="Y503" s="44"/>
      <c r="Z503" s="44"/>
      <c r="AA503" s="44"/>
      <c r="AB503" s="44"/>
      <c r="AC503" s="44"/>
      <c r="AD503" s="44"/>
      <c r="AE503" s="44"/>
      <c r="AF503" s="44"/>
      <c r="AG503" s="44"/>
    </row>
    <row r="504" spans="1:33" ht="16.5" customHeight="1">
      <c r="A504" s="44"/>
      <c r="B504" s="44"/>
      <c r="C504" s="44"/>
      <c r="D504" s="172"/>
      <c r="E504" s="44"/>
      <c r="F504" s="44"/>
      <c r="G504" s="44"/>
      <c r="H504" s="44"/>
      <c r="I504" s="53"/>
      <c r="J504" s="44"/>
      <c r="K504" s="44"/>
      <c r="L504" s="44"/>
      <c r="M504" s="44"/>
      <c r="N504" s="44"/>
      <c r="O504" s="44"/>
      <c r="P504" s="44"/>
      <c r="Q504" s="44"/>
      <c r="R504" s="44"/>
      <c r="S504" s="44"/>
      <c r="T504" s="44"/>
      <c r="U504" s="44"/>
      <c r="V504" s="44"/>
      <c r="W504" s="44"/>
      <c r="X504" s="44"/>
      <c r="Y504" s="44"/>
      <c r="Z504" s="44"/>
      <c r="AA504" s="44"/>
      <c r="AB504" s="44"/>
      <c r="AC504" s="44"/>
      <c r="AD504" s="44"/>
      <c r="AE504" s="44"/>
      <c r="AF504" s="44"/>
      <c r="AG504" s="44"/>
    </row>
    <row r="505" spans="1:33" ht="16.5" customHeight="1">
      <c r="A505" s="44"/>
      <c r="B505" s="44"/>
      <c r="C505" s="44"/>
      <c r="D505" s="172"/>
      <c r="E505" s="44"/>
      <c r="F505" s="44"/>
      <c r="G505" s="44"/>
      <c r="H505" s="44"/>
      <c r="I505" s="53"/>
      <c r="J505" s="44"/>
      <c r="K505" s="44"/>
      <c r="L505" s="44"/>
      <c r="M505" s="44"/>
      <c r="N505" s="44"/>
      <c r="O505" s="44"/>
      <c r="P505" s="44"/>
      <c r="Q505" s="44"/>
      <c r="R505" s="44"/>
      <c r="S505" s="44"/>
      <c r="T505" s="44"/>
      <c r="U505" s="44"/>
      <c r="V505" s="44"/>
      <c r="W505" s="44"/>
      <c r="X505" s="44"/>
      <c r="Y505" s="44"/>
      <c r="Z505" s="44"/>
      <c r="AA505" s="44"/>
      <c r="AB505" s="44"/>
      <c r="AC505" s="44"/>
      <c r="AD505" s="44"/>
      <c r="AE505" s="44"/>
      <c r="AF505" s="44"/>
      <c r="AG505" s="44"/>
    </row>
    <row r="506" spans="1:33" ht="16.5" customHeight="1">
      <c r="A506" s="44"/>
      <c r="B506" s="44"/>
      <c r="C506" s="44"/>
      <c r="D506" s="172"/>
      <c r="E506" s="44"/>
      <c r="F506" s="44"/>
      <c r="G506" s="44"/>
      <c r="H506" s="44"/>
      <c r="I506" s="53"/>
      <c r="J506" s="44"/>
      <c r="K506" s="44"/>
      <c r="L506" s="44"/>
      <c r="M506" s="44"/>
      <c r="N506" s="44"/>
      <c r="O506" s="44"/>
      <c r="P506" s="44"/>
      <c r="Q506" s="44"/>
      <c r="R506" s="44"/>
      <c r="S506" s="44"/>
      <c r="T506" s="44"/>
      <c r="U506" s="44"/>
      <c r="V506" s="44"/>
      <c r="W506" s="44"/>
      <c r="X506" s="44"/>
      <c r="Y506" s="44"/>
      <c r="Z506" s="44"/>
      <c r="AA506" s="44"/>
      <c r="AB506" s="44"/>
      <c r="AC506" s="44"/>
      <c r="AD506" s="44"/>
      <c r="AE506" s="44"/>
      <c r="AF506" s="44"/>
      <c r="AG506" s="44"/>
    </row>
    <row r="507" spans="1:33" ht="16.5" customHeight="1">
      <c r="A507" s="44"/>
      <c r="B507" s="44"/>
      <c r="C507" s="44"/>
      <c r="D507" s="172"/>
      <c r="E507" s="44"/>
      <c r="F507" s="44"/>
      <c r="G507" s="44"/>
      <c r="H507" s="44"/>
      <c r="I507" s="53"/>
      <c r="J507" s="44"/>
      <c r="K507" s="44"/>
      <c r="L507" s="44"/>
      <c r="M507" s="44"/>
      <c r="N507" s="44"/>
      <c r="O507" s="44"/>
      <c r="P507" s="44"/>
      <c r="Q507" s="44"/>
      <c r="R507" s="44"/>
      <c r="S507" s="44"/>
      <c r="T507" s="44"/>
      <c r="U507" s="44"/>
      <c r="V507" s="44"/>
      <c r="W507" s="44"/>
      <c r="X507" s="44"/>
      <c r="Y507" s="44"/>
      <c r="Z507" s="44"/>
      <c r="AA507" s="44"/>
      <c r="AB507" s="44"/>
      <c r="AC507" s="44"/>
      <c r="AD507" s="44"/>
      <c r="AE507" s="44"/>
      <c r="AF507" s="44"/>
      <c r="AG507" s="44"/>
    </row>
    <row r="508" spans="1:33" ht="16.5" customHeight="1">
      <c r="A508" s="44"/>
      <c r="B508" s="44"/>
      <c r="C508" s="44"/>
      <c r="D508" s="172"/>
      <c r="E508" s="44"/>
      <c r="F508" s="44"/>
      <c r="G508" s="44"/>
      <c r="H508" s="44"/>
      <c r="I508" s="53"/>
      <c r="J508" s="44"/>
      <c r="K508" s="44"/>
      <c r="L508" s="44"/>
      <c r="M508" s="44"/>
      <c r="N508" s="44"/>
      <c r="O508" s="44"/>
      <c r="P508" s="44"/>
      <c r="Q508" s="44"/>
      <c r="R508" s="44"/>
      <c r="S508" s="44"/>
      <c r="T508" s="44"/>
      <c r="U508" s="44"/>
      <c r="V508" s="44"/>
      <c r="W508" s="44"/>
      <c r="X508" s="44"/>
      <c r="Y508" s="44"/>
      <c r="Z508" s="44"/>
      <c r="AA508" s="44"/>
      <c r="AB508" s="44"/>
      <c r="AC508" s="44"/>
      <c r="AD508" s="44"/>
      <c r="AE508" s="44"/>
      <c r="AF508" s="44"/>
      <c r="AG508" s="44"/>
    </row>
    <row r="509" spans="1:33" ht="16.5" customHeight="1">
      <c r="A509" s="44"/>
      <c r="B509" s="44"/>
      <c r="C509" s="44"/>
      <c r="D509" s="172"/>
      <c r="E509" s="44"/>
      <c r="F509" s="44"/>
      <c r="G509" s="44"/>
      <c r="H509" s="44"/>
      <c r="I509" s="53"/>
      <c r="J509" s="44"/>
      <c r="K509" s="44"/>
      <c r="L509" s="44"/>
      <c r="M509" s="44"/>
      <c r="N509" s="44"/>
      <c r="O509" s="44"/>
      <c r="P509" s="44"/>
      <c r="Q509" s="44"/>
      <c r="R509" s="44"/>
      <c r="S509" s="44"/>
      <c r="T509" s="44"/>
      <c r="U509" s="44"/>
      <c r="V509" s="44"/>
      <c r="W509" s="44"/>
      <c r="X509" s="44"/>
      <c r="Y509" s="44"/>
      <c r="Z509" s="44"/>
      <c r="AA509" s="44"/>
      <c r="AB509" s="44"/>
      <c r="AC509" s="44"/>
      <c r="AD509" s="44"/>
      <c r="AE509" s="44"/>
      <c r="AF509" s="44"/>
      <c r="AG509" s="44"/>
    </row>
    <row r="510" spans="1:33" ht="16.5" customHeight="1">
      <c r="A510" s="44"/>
      <c r="B510" s="44"/>
      <c r="C510" s="44"/>
      <c r="D510" s="172"/>
      <c r="E510" s="44"/>
      <c r="F510" s="44"/>
      <c r="G510" s="44"/>
      <c r="H510" s="44"/>
      <c r="I510" s="53"/>
      <c r="J510" s="44"/>
      <c r="K510" s="44"/>
      <c r="L510" s="44"/>
      <c r="M510" s="44"/>
      <c r="N510" s="44"/>
      <c r="O510" s="44"/>
      <c r="P510" s="44"/>
      <c r="Q510" s="44"/>
      <c r="R510" s="44"/>
      <c r="S510" s="44"/>
      <c r="T510" s="44"/>
      <c r="U510" s="44"/>
      <c r="V510" s="44"/>
      <c r="W510" s="44"/>
      <c r="X510" s="44"/>
      <c r="Y510" s="44"/>
      <c r="Z510" s="44"/>
      <c r="AA510" s="44"/>
      <c r="AB510" s="44"/>
      <c r="AC510" s="44"/>
      <c r="AD510" s="44"/>
      <c r="AE510" s="44"/>
      <c r="AF510" s="44"/>
      <c r="AG510" s="44"/>
    </row>
    <row r="511" spans="1:33" ht="16.5" customHeight="1">
      <c r="A511" s="44"/>
      <c r="B511" s="44"/>
      <c r="C511" s="44"/>
      <c r="D511" s="172"/>
      <c r="E511" s="44"/>
      <c r="F511" s="44"/>
      <c r="G511" s="44"/>
      <c r="H511" s="44"/>
      <c r="I511" s="53"/>
      <c r="J511" s="44"/>
      <c r="K511" s="44"/>
      <c r="L511" s="44"/>
      <c r="M511" s="44"/>
      <c r="N511" s="44"/>
      <c r="O511" s="44"/>
      <c r="P511" s="44"/>
      <c r="Q511" s="44"/>
      <c r="R511" s="44"/>
      <c r="S511" s="44"/>
      <c r="T511" s="44"/>
      <c r="U511" s="44"/>
      <c r="V511" s="44"/>
      <c r="W511" s="44"/>
      <c r="X511" s="44"/>
      <c r="Y511" s="44"/>
      <c r="Z511" s="44"/>
      <c r="AA511" s="44"/>
      <c r="AB511" s="44"/>
      <c r="AC511" s="44"/>
      <c r="AD511" s="44"/>
      <c r="AE511" s="44"/>
      <c r="AF511" s="44"/>
      <c r="AG511" s="44"/>
    </row>
    <row r="512" spans="1:33" ht="16.5" customHeight="1">
      <c r="A512" s="44"/>
      <c r="B512" s="44"/>
      <c r="C512" s="44"/>
      <c r="D512" s="172"/>
      <c r="E512" s="44"/>
      <c r="F512" s="44"/>
      <c r="G512" s="44"/>
      <c r="H512" s="44"/>
      <c r="I512" s="53"/>
      <c r="J512" s="44"/>
      <c r="K512" s="44"/>
      <c r="L512" s="44"/>
      <c r="M512" s="44"/>
      <c r="N512" s="44"/>
      <c r="O512" s="44"/>
      <c r="P512" s="44"/>
      <c r="Q512" s="44"/>
      <c r="R512" s="44"/>
      <c r="S512" s="44"/>
      <c r="T512" s="44"/>
      <c r="U512" s="44"/>
      <c r="V512" s="44"/>
      <c r="W512" s="44"/>
      <c r="X512" s="44"/>
      <c r="Y512" s="44"/>
      <c r="Z512" s="44"/>
      <c r="AA512" s="44"/>
      <c r="AB512" s="44"/>
      <c r="AC512" s="44"/>
      <c r="AD512" s="44"/>
      <c r="AE512" s="44"/>
      <c r="AF512" s="44"/>
      <c r="AG512" s="44"/>
    </row>
    <row r="513" spans="1:33" ht="16.5" customHeight="1">
      <c r="A513" s="44"/>
      <c r="B513" s="44"/>
      <c r="C513" s="44"/>
      <c r="D513" s="172"/>
      <c r="E513" s="44"/>
      <c r="F513" s="44"/>
      <c r="G513" s="44"/>
      <c r="H513" s="44"/>
      <c r="I513" s="53"/>
      <c r="J513" s="44"/>
      <c r="K513" s="44"/>
      <c r="L513" s="44"/>
      <c r="M513" s="44"/>
      <c r="N513" s="44"/>
      <c r="O513" s="44"/>
      <c r="P513" s="44"/>
      <c r="Q513" s="44"/>
      <c r="R513" s="44"/>
      <c r="S513" s="44"/>
      <c r="T513" s="44"/>
      <c r="U513" s="44"/>
      <c r="V513" s="44"/>
      <c r="W513" s="44"/>
      <c r="X513" s="44"/>
      <c r="Y513" s="44"/>
      <c r="Z513" s="44"/>
      <c r="AA513" s="44"/>
      <c r="AB513" s="44"/>
      <c r="AC513" s="44"/>
      <c r="AD513" s="44"/>
      <c r="AE513" s="44"/>
      <c r="AF513" s="44"/>
      <c r="AG513" s="44"/>
    </row>
    <row r="514" spans="1:33" ht="16.5" customHeight="1">
      <c r="A514" s="44"/>
      <c r="B514" s="44"/>
      <c r="C514" s="44"/>
      <c r="D514" s="172"/>
      <c r="E514" s="44"/>
      <c r="F514" s="44"/>
      <c r="G514" s="44"/>
      <c r="H514" s="44"/>
      <c r="I514" s="53"/>
      <c r="J514" s="44"/>
      <c r="K514" s="44"/>
      <c r="L514" s="44"/>
      <c r="M514" s="44"/>
      <c r="N514" s="44"/>
      <c r="O514" s="44"/>
      <c r="P514" s="44"/>
      <c r="Q514" s="44"/>
      <c r="R514" s="44"/>
      <c r="S514" s="44"/>
      <c r="T514" s="44"/>
      <c r="U514" s="44"/>
      <c r="V514" s="44"/>
      <c r="W514" s="44"/>
      <c r="X514" s="44"/>
      <c r="Y514" s="44"/>
      <c r="Z514" s="44"/>
      <c r="AA514" s="44"/>
      <c r="AB514" s="44"/>
      <c r="AC514" s="44"/>
      <c r="AD514" s="44"/>
      <c r="AE514" s="44"/>
      <c r="AF514" s="44"/>
      <c r="AG514" s="44"/>
    </row>
    <row r="515" spans="1:33" ht="16.5" customHeight="1">
      <c r="A515" s="44"/>
      <c r="B515" s="44"/>
      <c r="C515" s="44"/>
      <c r="D515" s="172"/>
      <c r="E515" s="44"/>
      <c r="F515" s="44"/>
      <c r="G515" s="44"/>
      <c r="H515" s="44"/>
      <c r="I515" s="53"/>
      <c r="J515" s="44"/>
      <c r="K515" s="44"/>
      <c r="L515" s="44"/>
      <c r="M515" s="44"/>
      <c r="N515" s="44"/>
      <c r="O515" s="44"/>
      <c r="P515" s="44"/>
      <c r="Q515" s="44"/>
      <c r="R515" s="44"/>
      <c r="S515" s="44"/>
      <c r="T515" s="44"/>
      <c r="U515" s="44"/>
      <c r="V515" s="44"/>
      <c r="W515" s="44"/>
      <c r="X515" s="44"/>
      <c r="Y515" s="44"/>
      <c r="Z515" s="44"/>
      <c r="AA515" s="44"/>
      <c r="AB515" s="44"/>
      <c r="AC515" s="44"/>
      <c r="AD515" s="44"/>
      <c r="AE515" s="44"/>
      <c r="AF515" s="44"/>
      <c r="AG515" s="44"/>
    </row>
    <row r="516" spans="1:33" ht="16.5" customHeight="1">
      <c r="A516" s="44"/>
      <c r="B516" s="44"/>
      <c r="C516" s="44"/>
      <c r="D516" s="172"/>
      <c r="E516" s="44"/>
      <c r="F516" s="44"/>
      <c r="G516" s="44"/>
      <c r="H516" s="44"/>
      <c r="I516" s="53"/>
      <c r="J516" s="44"/>
      <c r="K516" s="44"/>
      <c r="L516" s="44"/>
      <c r="M516" s="44"/>
      <c r="N516" s="44"/>
      <c r="O516" s="44"/>
      <c r="P516" s="44"/>
      <c r="Q516" s="44"/>
      <c r="R516" s="44"/>
      <c r="S516" s="44"/>
      <c r="T516" s="44"/>
      <c r="U516" s="44"/>
      <c r="V516" s="44"/>
      <c r="W516" s="44"/>
      <c r="X516" s="44"/>
      <c r="Y516" s="44"/>
      <c r="Z516" s="44"/>
      <c r="AA516" s="44"/>
      <c r="AB516" s="44"/>
      <c r="AC516" s="44"/>
      <c r="AD516" s="44"/>
      <c r="AE516" s="44"/>
      <c r="AF516" s="44"/>
      <c r="AG516" s="44"/>
    </row>
    <row r="517" spans="1:33" ht="16.5" customHeight="1">
      <c r="A517" s="44"/>
      <c r="B517" s="44"/>
      <c r="C517" s="44"/>
      <c r="D517" s="172"/>
      <c r="E517" s="44"/>
      <c r="F517" s="44"/>
      <c r="G517" s="44"/>
      <c r="H517" s="44"/>
      <c r="I517" s="53"/>
      <c r="J517" s="44"/>
      <c r="K517" s="44"/>
      <c r="L517" s="44"/>
      <c r="M517" s="44"/>
      <c r="N517" s="44"/>
      <c r="O517" s="44"/>
      <c r="P517" s="44"/>
      <c r="Q517" s="44"/>
      <c r="R517" s="44"/>
      <c r="S517" s="44"/>
      <c r="T517" s="44"/>
      <c r="U517" s="44"/>
      <c r="V517" s="44"/>
      <c r="W517" s="44"/>
      <c r="X517" s="44"/>
      <c r="Y517" s="44"/>
      <c r="Z517" s="44"/>
      <c r="AA517" s="44"/>
      <c r="AB517" s="44"/>
      <c r="AC517" s="44"/>
      <c r="AD517" s="44"/>
      <c r="AE517" s="44"/>
      <c r="AF517" s="44"/>
      <c r="AG517" s="44"/>
    </row>
    <row r="518" spans="1:33" ht="16.5" customHeight="1">
      <c r="A518" s="44"/>
      <c r="B518" s="44"/>
      <c r="C518" s="44"/>
      <c r="D518" s="172"/>
      <c r="E518" s="44"/>
      <c r="F518" s="44"/>
      <c r="G518" s="44"/>
      <c r="H518" s="44"/>
      <c r="I518" s="53"/>
      <c r="J518" s="44"/>
      <c r="K518" s="44"/>
      <c r="L518" s="44"/>
      <c r="M518" s="44"/>
      <c r="N518" s="44"/>
      <c r="O518" s="44"/>
      <c r="P518" s="44"/>
      <c r="Q518" s="44"/>
      <c r="R518" s="44"/>
      <c r="S518" s="44"/>
      <c r="T518" s="44"/>
      <c r="U518" s="44"/>
      <c r="V518" s="44"/>
      <c r="W518" s="44"/>
      <c r="X518" s="44"/>
      <c r="Y518" s="44"/>
      <c r="Z518" s="44"/>
      <c r="AA518" s="44"/>
      <c r="AB518" s="44"/>
      <c r="AC518" s="44"/>
      <c r="AD518" s="44"/>
      <c r="AE518" s="44"/>
      <c r="AF518" s="44"/>
      <c r="AG518" s="44"/>
    </row>
    <row r="519" spans="1:33" ht="16.5" customHeight="1">
      <c r="A519" s="44"/>
      <c r="B519" s="44"/>
      <c r="C519" s="44"/>
      <c r="D519" s="172"/>
      <c r="E519" s="44"/>
      <c r="F519" s="44"/>
      <c r="G519" s="44"/>
      <c r="H519" s="44"/>
      <c r="I519" s="53"/>
      <c r="J519" s="44"/>
      <c r="K519" s="44"/>
      <c r="L519" s="44"/>
      <c r="M519" s="44"/>
      <c r="N519" s="44"/>
      <c r="O519" s="44"/>
      <c r="P519" s="44"/>
      <c r="Q519" s="44"/>
      <c r="R519" s="44"/>
      <c r="S519" s="44"/>
      <c r="T519" s="44"/>
      <c r="U519" s="44"/>
      <c r="V519" s="44"/>
      <c r="W519" s="44"/>
      <c r="X519" s="44"/>
      <c r="Y519" s="44"/>
      <c r="Z519" s="44"/>
      <c r="AA519" s="44"/>
      <c r="AB519" s="44"/>
      <c r="AC519" s="44"/>
      <c r="AD519" s="44"/>
      <c r="AE519" s="44"/>
      <c r="AF519" s="44"/>
      <c r="AG519" s="44"/>
    </row>
    <row r="520" spans="1:33" ht="16.5" customHeight="1">
      <c r="A520" s="44"/>
      <c r="B520" s="44"/>
      <c r="C520" s="44"/>
      <c r="D520" s="172"/>
      <c r="E520" s="44"/>
      <c r="F520" s="44"/>
      <c r="G520" s="44"/>
      <c r="H520" s="44"/>
      <c r="I520" s="53"/>
      <c r="J520" s="44"/>
      <c r="K520" s="44"/>
      <c r="L520" s="44"/>
      <c r="M520" s="44"/>
      <c r="N520" s="44"/>
      <c r="O520" s="44"/>
      <c r="P520" s="44"/>
      <c r="Q520" s="44"/>
      <c r="R520" s="44"/>
      <c r="S520" s="44"/>
      <c r="T520" s="44"/>
      <c r="U520" s="44"/>
      <c r="V520" s="44"/>
      <c r="W520" s="44"/>
      <c r="X520" s="44"/>
      <c r="Y520" s="44"/>
      <c r="Z520" s="44"/>
      <c r="AA520" s="44"/>
      <c r="AB520" s="44"/>
      <c r="AC520" s="44"/>
      <c r="AD520" s="44"/>
      <c r="AE520" s="44"/>
      <c r="AF520" s="44"/>
      <c r="AG520" s="44"/>
    </row>
    <row r="521" spans="1:33" ht="16.5" customHeight="1">
      <c r="A521" s="44"/>
      <c r="B521" s="44"/>
      <c r="C521" s="44"/>
      <c r="D521" s="172"/>
      <c r="E521" s="44"/>
      <c r="F521" s="44"/>
      <c r="G521" s="44"/>
      <c r="H521" s="44"/>
      <c r="I521" s="53"/>
      <c r="J521" s="44"/>
      <c r="K521" s="44"/>
      <c r="L521" s="44"/>
      <c r="M521" s="44"/>
      <c r="N521" s="44"/>
      <c r="O521" s="44"/>
      <c r="P521" s="44"/>
      <c r="Q521" s="44"/>
      <c r="R521" s="44"/>
      <c r="S521" s="44"/>
      <c r="T521" s="44"/>
      <c r="U521" s="44"/>
      <c r="V521" s="44"/>
      <c r="W521" s="44"/>
      <c r="X521" s="44"/>
      <c r="Y521" s="44"/>
      <c r="Z521" s="44"/>
      <c r="AA521" s="44"/>
      <c r="AB521" s="44"/>
      <c r="AC521" s="44"/>
      <c r="AD521" s="44"/>
      <c r="AE521" s="44"/>
      <c r="AF521" s="44"/>
      <c r="AG521" s="44"/>
    </row>
    <row r="522" spans="1:33" ht="16.5" customHeight="1">
      <c r="A522" s="44"/>
      <c r="B522" s="44"/>
      <c r="C522" s="44"/>
      <c r="D522" s="172"/>
      <c r="E522" s="44"/>
      <c r="F522" s="44"/>
      <c r="G522" s="44"/>
      <c r="H522" s="44"/>
      <c r="I522" s="53"/>
      <c r="J522" s="44"/>
      <c r="K522" s="44"/>
      <c r="L522" s="44"/>
      <c r="M522" s="44"/>
      <c r="N522" s="44"/>
      <c r="O522" s="44"/>
      <c r="P522" s="44"/>
      <c r="Q522" s="44"/>
      <c r="R522" s="44"/>
      <c r="S522" s="44"/>
      <c r="T522" s="44"/>
      <c r="U522" s="44"/>
      <c r="V522" s="44"/>
      <c r="W522" s="44"/>
      <c r="X522" s="44"/>
      <c r="Y522" s="44"/>
      <c r="Z522" s="44"/>
      <c r="AA522" s="44"/>
      <c r="AB522" s="44"/>
      <c r="AC522" s="44"/>
      <c r="AD522" s="44"/>
      <c r="AE522" s="44"/>
      <c r="AF522" s="44"/>
      <c r="AG522" s="44"/>
    </row>
    <row r="523" spans="1:33" ht="16.5" customHeight="1">
      <c r="A523" s="44"/>
      <c r="B523" s="44"/>
      <c r="C523" s="44"/>
      <c r="D523" s="172"/>
      <c r="E523" s="44"/>
      <c r="F523" s="44"/>
      <c r="G523" s="44"/>
      <c r="H523" s="44"/>
      <c r="I523" s="53"/>
      <c r="J523" s="44"/>
      <c r="K523" s="44"/>
      <c r="L523" s="44"/>
      <c r="M523" s="44"/>
      <c r="N523" s="44"/>
      <c r="O523" s="44"/>
      <c r="P523" s="44"/>
      <c r="Q523" s="44"/>
      <c r="R523" s="44"/>
      <c r="S523" s="44"/>
      <c r="T523" s="44"/>
      <c r="U523" s="44"/>
      <c r="V523" s="44"/>
      <c r="W523" s="44"/>
      <c r="X523" s="44"/>
      <c r="Y523" s="44"/>
      <c r="Z523" s="44"/>
      <c r="AA523" s="44"/>
      <c r="AB523" s="44"/>
      <c r="AC523" s="44"/>
      <c r="AD523" s="44"/>
      <c r="AE523" s="44"/>
      <c r="AF523" s="44"/>
      <c r="AG523" s="44"/>
    </row>
    <row r="524" spans="1:33" ht="16.5" customHeight="1">
      <c r="A524" s="44"/>
      <c r="B524" s="44"/>
      <c r="C524" s="44"/>
      <c r="D524" s="172"/>
      <c r="E524" s="44"/>
      <c r="F524" s="44"/>
      <c r="G524" s="44"/>
      <c r="H524" s="44"/>
      <c r="I524" s="53"/>
      <c r="J524" s="44"/>
      <c r="K524" s="44"/>
      <c r="L524" s="44"/>
      <c r="M524" s="44"/>
      <c r="N524" s="44"/>
      <c r="O524" s="44"/>
      <c r="P524" s="44"/>
      <c r="Q524" s="44"/>
      <c r="R524" s="44"/>
      <c r="S524" s="44"/>
      <c r="T524" s="44"/>
      <c r="U524" s="44"/>
      <c r="V524" s="44"/>
      <c r="W524" s="44"/>
      <c r="X524" s="44"/>
      <c r="Y524" s="44"/>
      <c r="Z524" s="44"/>
      <c r="AA524" s="44"/>
      <c r="AB524" s="44"/>
      <c r="AC524" s="44"/>
      <c r="AD524" s="44"/>
      <c r="AE524" s="44"/>
      <c r="AF524" s="44"/>
      <c r="AG524" s="44"/>
    </row>
    <row r="525" spans="1:33" ht="16.5" customHeight="1">
      <c r="A525" s="44"/>
      <c r="B525" s="44"/>
      <c r="C525" s="44"/>
      <c r="D525" s="172"/>
      <c r="E525" s="44"/>
      <c r="F525" s="44"/>
      <c r="G525" s="44"/>
      <c r="H525" s="44"/>
      <c r="I525" s="53"/>
      <c r="J525" s="44"/>
      <c r="K525" s="44"/>
      <c r="L525" s="44"/>
      <c r="M525" s="44"/>
      <c r="N525" s="44"/>
      <c r="O525" s="44"/>
      <c r="P525" s="44"/>
      <c r="Q525" s="44"/>
      <c r="R525" s="44"/>
      <c r="S525" s="44"/>
      <c r="T525" s="44"/>
      <c r="U525" s="44"/>
      <c r="V525" s="44"/>
      <c r="W525" s="44"/>
      <c r="X525" s="44"/>
      <c r="Y525" s="44"/>
      <c r="Z525" s="44"/>
      <c r="AA525" s="44"/>
      <c r="AB525" s="44"/>
      <c r="AC525" s="44"/>
      <c r="AD525" s="44"/>
      <c r="AE525" s="44"/>
      <c r="AF525" s="44"/>
      <c r="AG525" s="44"/>
    </row>
    <row r="526" spans="1:33" ht="16.5" customHeight="1">
      <c r="A526" s="44"/>
      <c r="B526" s="44"/>
      <c r="C526" s="44"/>
      <c r="D526" s="172"/>
      <c r="E526" s="44"/>
      <c r="F526" s="44"/>
      <c r="G526" s="44"/>
      <c r="H526" s="44"/>
      <c r="I526" s="53"/>
      <c r="J526" s="44"/>
      <c r="K526" s="44"/>
      <c r="L526" s="44"/>
      <c r="M526" s="44"/>
      <c r="N526" s="44"/>
      <c r="O526" s="44"/>
      <c r="P526" s="44"/>
      <c r="Q526" s="44"/>
      <c r="R526" s="44"/>
      <c r="S526" s="44"/>
      <c r="T526" s="44"/>
      <c r="U526" s="44"/>
      <c r="V526" s="44"/>
      <c r="W526" s="44"/>
      <c r="X526" s="44"/>
      <c r="Y526" s="44"/>
      <c r="Z526" s="44"/>
      <c r="AA526" s="44"/>
      <c r="AB526" s="44"/>
      <c r="AC526" s="44"/>
      <c r="AD526" s="44"/>
      <c r="AE526" s="44"/>
      <c r="AF526" s="44"/>
      <c r="AG526" s="44"/>
    </row>
    <row r="527" spans="1:33" ht="16.5" customHeight="1">
      <c r="A527" s="44"/>
      <c r="B527" s="44"/>
      <c r="C527" s="44"/>
      <c r="D527" s="172"/>
      <c r="E527" s="44"/>
      <c r="F527" s="44"/>
      <c r="G527" s="44"/>
      <c r="H527" s="44"/>
      <c r="I527" s="53"/>
      <c r="J527" s="44"/>
      <c r="K527" s="44"/>
      <c r="L527" s="44"/>
      <c r="M527" s="44"/>
      <c r="N527" s="44"/>
      <c r="O527" s="44"/>
      <c r="P527" s="44"/>
      <c r="Q527" s="44"/>
      <c r="R527" s="44"/>
      <c r="S527" s="44"/>
      <c r="T527" s="44"/>
      <c r="U527" s="44"/>
      <c r="V527" s="44"/>
      <c r="W527" s="44"/>
      <c r="X527" s="44"/>
      <c r="Y527" s="44"/>
      <c r="Z527" s="44"/>
      <c r="AA527" s="44"/>
      <c r="AB527" s="44"/>
      <c r="AC527" s="44"/>
      <c r="AD527" s="44"/>
      <c r="AE527" s="44"/>
      <c r="AF527" s="44"/>
      <c r="AG527" s="44"/>
    </row>
    <row r="528" spans="1:33" ht="16.5" customHeight="1">
      <c r="A528" s="44"/>
      <c r="B528" s="44"/>
      <c r="C528" s="44"/>
      <c r="D528" s="172"/>
      <c r="E528" s="44"/>
      <c r="F528" s="44"/>
      <c r="G528" s="44"/>
      <c r="H528" s="44"/>
      <c r="I528" s="53"/>
      <c r="J528" s="44"/>
      <c r="K528" s="44"/>
      <c r="L528" s="44"/>
      <c r="M528" s="44"/>
      <c r="N528" s="44"/>
      <c r="O528" s="44"/>
      <c r="P528" s="44"/>
      <c r="Q528" s="44"/>
      <c r="R528" s="44"/>
      <c r="S528" s="44"/>
      <c r="T528" s="44"/>
      <c r="U528" s="44"/>
      <c r="V528" s="44"/>
      <c r="W528" s="44"/>
      <c r="X528" s="44"/>
      <c r="Y528" s="44"/>
      <c r="Z528" s="44"/>
      <c r="AA528" s="44"/>
      <c r="AB528" s="44"/>
      <c r="AC528" s="44"/>
      <c r="AD528" s="44"/>
      <c r="AE528" s="44"/>
      <c r="AF528" s="44"/>
      <c r="AG528" s="44"/>
    </row>
    <row r="529" spans="1:33" ht="16.5" customHeight="1">
      <c r="A529" s="44"/>
      <c r="B529" s="44"/>
      <c r="C529" s="44"/>
      <c r="D529" s="172"/>
      <c r="E529" s="44"/>
      <c r="F529" s="44"/>
      <c r="G529" s="44"/>
      <c r="H529" s="44"/>
      <c r="I529" s="53"/>
      <c r="J529" s="44"/>
      <c r="K529" s="44"/>
      <c r="L529" s="44"/>
      <c r="M529" s="44"/>
      <c r="N529" s="44"/>
      <c r="O529" s="44"/>
      <c r="P529" s="44"/>
      <c r="Q529" s="44"/>
      <c r="R529" s="44"/>
      <c r="S529" s="44"/>
      <c r="T529" s="44"/>
      <c r="U529" s="44"/>
      <c r="V529" s="44"/>
      <c r="W529" s="44"/>
      <c r="X529" s="44"/>
      <c r="Y529" s="44"/>
      <c r="Z529" s="44"/>
      <c r="AA529" s="44"/>
      <c r="AB529" s="44"/>
      <c r="AC529" s="44"/>
      <c r="AD529" s="44"/>
      <c r="AE529" s="44"/>
      <c r="AF529" s="44"/>
      <c r="AG529" s="44"/>
    </row>
    <row r="530" spans="1:33" ht="16.5" customHeight="1">
      <c r="A530" s="44"/>
      <c r="B530" s="44"/>
      <c r="C530" s="44"/>
      <c r="D530" s="172"/>
      <c r="E530" s="44"/>
      <c r="F530" s="44"/>
      <c r="G530" s="44"/>
      <c r="H530" s="44"/>
      <c r="I530" s="53"/>
      <c r="J530" s="44"/>
      <c r="K530" s="44"/>
      <c r="L530" s="44"/>
      <c r="M530" s="44"/>
      <c r="N530" s="44"/>
      <c r="O530" s="44"/>
      <c r="P530" s="44"/>
      <c r="Q530" s="44"/>
      <c r="R530" s="44"/>
      <c r="S530" s="44"/>
      <c r="T530" s="44"/>
      <c r="U530" s="44"/>
      <c r="V530" s="44"/>
      <c r="W530" s="44"/>
      <c r="X530" s="44"/>
      <c r="Y530" s="44"/>
      <c r="Z530" s="44"/>
      <c r="AA530" s="44"/>
      <c r="AB530" s="44"/>
      <c r="AC530" s="44"/>
      <c r="AD530" s="44"/>
      <c r="AE530" s="44"/>
      <c r="AF530" s="44"/>
      <c r="AG530" s="44"/>
    </row>
    <row r="531" spans="1:33" ht="16.5" customHeight="1">
      <c r="A531" s="44"/>
      <c r="B531" s="44"/>
      <c r="C531" s="44"/>
      <c r="D531" s="172"/>
      <c r="E531" s="44"/>
      <c r="F531" s="44"/>
      <c r="G531" s="44"/>
      <c r="H531" s="44"/>
      <c r="I531" s="53"/>
      <c r="J531" s="44"/>
      <c r="K531" s="44"/>
      <c r="L531" s="44"/>
      <c r="M531" s="44"/>
      <c r="N531" s="44"/>
      <c r="O531" s="44"/>
      <c r="P531" s="44"/>
      <c r="Q531" s="44"/>
      <c r="R531" s="44"/>
      <c r="S531" s="44"/>
      <c r="T531" s="44"/>
      <c r="U531" s="44"/>
      <c r="V531" s="44"/>
      <c r="W531" s="44"/>
      <c r="X531" s="44"/>
      <c r="Y531" s="44"/>
      <c r="Z531" s="44"/>
      <c r="AA531" s="44"/>
      <c r="AB531" s="44"/>
      <c r="AC531" s="44"/>
      <c r="AD531" s="44"/>
      <c r="AE531" s="44"/>
      <c r="AF531" s="44"/>
      <c r="AG531" s="44"/>
    </row>
    <row r="532" spans="1:33" ht="16.5" customHeight="1">
      <c r="A532" s="44"/>
      <c r="B532" s="44"/>
      <c r="C532" s="44"/>
      <c r="D532" s="172"/>
      <c r="E532" s="44"/>
      <c r="F532" s="44"/>
      <c r="G532" s="44"/>
      <c r="H532" s="44"/>
      <c r="I532" s="53"/>
      <c r="J532" s="44"/>
      <c r="K532" s="44"/>
      <c r="L532" s="44"/>
      <c r="M532" s="44"/>
      <c r="N532" s="44"/>
      <c r="O532" s="44"/>
      <c r="P532" s="44"/>
      <c r="Q532" s="44"/>
      <c r="R532" s="44"/>
      <c r="S532" s="44"/>
      <c r="T532" s="44"/>
      <c r="U532" s="44"/>
      <c r="V532" s="44"/>
      <c r="W532" s="44"/>
      <c r="X532" s="44"/>
      <c r="Y532" s="44"/>
      <c r="Z532" s="44"/>
      <c r="AA532" s="44"/>
      <c r="AB532" s="44"/>
      <c r="AC532" s="44"/>
      <c r="AD532" s="44"/>
      <c r="AE532" s="44"/>
      <c r="AF532" s="44"/>
      <c r="AG532" s="44"/>
    </row>
    <row r="533" spans="1:33" ht="16.5" customHeight="1">
      <c r="A533" s="44"/>
      <c r="B533" s="44"/>
      <c r="C533" s="44"/>
      <c r="D533" s="172"/>
      <c r="E533" s="44"/>
      <c r="F533" s="44"/>
      <c r="G533" s="44"/>
      <c r="H533" s="44"/>
      <c r="I533" s="53"/>
      <c r="J533" s="44"/>
      <c r="K533" s="44"/>
      <c r="L533" s="44"/>
      <c r="M533" s="44"/>
      <c r="N533" s="44"/>
      <c r="O533" s="44"/>
      <c r="P533" s="44"/>
      <c r="Q533" s="44"/>
      <c r="R533" s="44"/>
      <c r="S533" s="44"/>
      <c r="T533" s="44"/>
      <c r="U533" s="44"/>
      <c r="V533" s="44"/>
      <c r="W533" s="44"/>
      <c r="X533" s="44"/>
      <c r="Y533" s="44"/>
      <c r="Z533" s="44"/>
      <c r="AA533" s="44"/>
      <c r="AB533" s="44"/>
      <c r="AC533" s="44"/>
      <c r="AD533" s="44"/>
      <c r="AE533" s="44"/>
      <c r="AF533" s="44"/>
      <c r="AG533" s="44"/>
    </row>
    <row r="534" spans="1:33" ht="16.5" customHeight="1">
      <c r="A534" s="44"/>
      <c r="B534" s="44"/>
      <c r="C534" s="44"/>
      <c r="D534" s="172"/>
      <c r="E534" s="44"/>
      <c r="F534" s="44"/>
      <c r="G534" s="44"/>
      <c r="H534" s="44"/>
      <c r="I534" s="53"/>
      <c r="J534" s="44"/>
      <c r="K534" s="44"/>
      <c r="L534" s="44"/>
      <c r="M534" s="44"/>
      <c r="N534" s="44"/>
      <c r="O534" s="44"/>
      <c r="P534" s="44"/>
      <c r="Q534" s="44"/>
      <c r="R534" s="44"/>
      <c r="S534" s="44"/>
      <c r="T534" s="44"/>
      <c r="U534" s="44"/>
      <c r="V534" s="44"/>
      <c r="W534" s="44"/>
      <c r="X534" s="44"/>
      <c r="Y534" s="44"/>
      <c r="Z534" s="44"/>
      <c r="AA534" s="44"/>
      <c r="AB534" s="44"/>
      <c r="AC534" s="44"/>
      <c r="AD534" s="44"/>
      <c r="AE534" s="44"/>
      <c r="AF534" s="44"/>
      <c r="AG534" s="44"/>
    </row>
    <row r="535" spans="1:33" ht="16.5" customHeight="1">
      <c r="A535" s="44"/>
      <c r="B535" s="44"/>
      <c r="C535" s="44"/>
      <c r="D535" s="172"/>
      <c r="E535" s="44"/>
      <c r="F535" s="44"/>
      <c r="G535" s="44"/>
      <c r="H535" s="44"/>
      <c r="I535" s="53"/>
      <c r="J535" s="44"/>
      <c r="K535" s="44"/>
      <c r="L535" s="44"/>
      <c r="M535" s="44"/>
      <c r="N535" s="44"/>
      <c r="O535" s="44"/>
      <c r="P535" s="44"/>
      <c r="Q535" s="44"/>
      <c r="R535" s="44"/>
      <c r="S535" s="44"/>
      <c r="T535" s="44"/>
      <c r="U535" s="44"/>
      <c r="V535" s="44"/>
      <c r="W535" s="44"/>
      <c r="X535" s="44"/>
      <c r="Y535" s="44"/>
      <c r="Z535" s="44"/>
      <c r="AA535" s="44"/>
      <c r="AB535" s="44"/>
      <c r="AC535" s="44"/>
      <c r="AD535" s="44"/>
      <c r="AE535" s="44"/>
      <c r="AF535" s="44"/>
      <c r="AG535" s="44"/>
    </row>
    <row r="536" spans="1:33" ht="16.5" customHeight="1">
      <c r="A536" s="44"/>
      <c r="B536" s="44"/>
      <c r="C536" s="44"/>
      <c r="D536" s="172"/>
      <c r="E536" s="44"/>
      <c r="F536" s="44"/>
      <c r="G536" s="44"/>
      <c r="H536" s="44"/>
      <c r="I536" s="53"/>
      <c r="J536" s="44"/>
      <c r="K536" s="44"/>
      <c r="L536" s="44"/>
      <c r="M536" s="44"/>
      <c r="N536" s="44"/>
      <c r="O536" s="44"/>
      <c r="P536" s="44"/>
      <c r="Q536" s="44"/>
      <c r="R536" s="44"/>
      <c r="S536" s="44"/>
      <c r="T536" s="44"/>
      <c r="U536" s="44"/>
      <c r="V536" s="44"/>
      <c r="W536" s="44"/>
      <c r="X536" s="44"/>
      <c r="Y536" s="44"/>
      <c r="Z536" s="44"/>
      <c r="AA536" s="44"/>
      <c r="AB536" s="44"/>
      <c r="AC536" s="44"/>
      <c r="AD536" s="44"/>
      <c r="AE536" s="44"/>
      <c r="AF536" s="44"/>
      <c r="AG536" s="44"/>
    </row>
    <row r="537" spans="1:33" ht="16.5" customHeight="1">
      <c r="A537" s="44"/>
      <c r="B537" s="44"/>
      <c r="C537" s="44"/>
      <c r="D537" s="172"/>
      <c r="E537" s="44"/>
      <c r="F537" s="44"/>
      <c r="G537" s="44"/>
      <c r="H537" s="44"/>
      <c r="I537" s="53"/>
      <c r="J537" s="44"/>
      <c r="K537" s="44"/>
      <c r="L537" s="44"/>
      <c r="M537" s="44"/>
      <c r="N537" s="44"/>
      <c r="O537" s="44"/>
      <c r="P537" s="44"/>
      <c r="Q537" s="44"/>
      <c r="R537" s="44"/>
      <c r="S537" s="44"/>
      <c r="T537" s="44"/>
      <c r="U537" s="44"/>
      <c r="V537" s="44"/>
      <c r="W537" s="44"/>
      <c r="X537" s="44"/>
      <c r="Y537" s="44"/>
      <c r="Z537" s="44"/>
      <c r="AA537" s="44"/>
      <c r="AB537" s="44"/>
      <c r="AC537" s="44"/>
      <c r="AD537" s="44"/>
      <c r="AE537" s="44"/>
      <c r="AF537" s="44"/>
      <c r="AG537" s="44"/>
    </row>
    <row r="538" spans="1:33" ht="16.5" customHeight="1">
      <c r="A538" s="44"/>
      <c r="B538" s="44"/>
      <c r="C538" s="44"/>
      <c r="D538" s="172"/>
      <c r="E538" s="44"/>
      <c r="F538" s="44"/>
      <c r="G538" s="44"/>
      <c r="H538" s="44"/>
      <c r="I538" s="53"/>
      <c r="J538" s="44"/>
      <c r="K538" s="44"/>
      <c r="L538" s="44"/>
      <c r="M538" s="44"/>
      <c r="N538" s="44"/>
      <c r="O538" s="44"/>
      <c r="P538" s="44"/>
      <c r="Q538" s="44"/>
      <c r="R538" s="44"/>
      <c r="S538" s="44"/>
      <c r="T538" s="44"/>
      <c r="U538" s="44"/>
      <c r="V538" s="44"/>
      <c r="W538" s="44"/>
      <c r="X538" s="44"/>
      <c r="Y538" s="44"/>
      <c r="Z538" s="44"/>
      <c r="AA538" s="44"/>
      <c r="AB538" s="44"/>
      <c r="AC538" s="44"/>
      <c r="AD538" s="44"/>
      <c r="AE538" s="44"/>
      <c r="AF538" s="44"/>
      <c r="AG538" s="44"/>
    </row>
    <row r="539" spans="1:33" ht="16.5" customHeight="1">
      <c r="A539" s="44"/>
      <c r="B539" s="44"/>
      <c r="C539" s="44"/>
      <c r="D539" s="172"/>
      <c r="E539" s="44"/>
      <c r="F539" s="44"/>
      <c r="G539" s="44"/>
      <c r="H539" s="44"/>
      <c r="I539" s="53"/>
      <c r="J539" s="44"/>
      <c r="K539" s="44"/>
      <c r="L539" s="44"/>
      <c r="M539" s="44"/>
      <c r="N539" s="44"/>
      <c r="O539" s="44"/>
      <c r="P539" s="44"/>
      <c r="Q539" s="44"/>
      <c r="R539" s="44"/>
      <c r="S539" s="44"/>
      <c r="T539" s="44"/>
      <c r="U539" s="44"/>
      <c r="V539" s="44"/>
      <c r="W539" s="44"/>
      <c r="X539" s="44"/>
      <c r="Y539" s="44"/>
      <c r="Z539" s="44"/>
      <c r="AA539" s="44"/>
      <c r="AB539" s="44"/>
      <c r="AC539" s="44"/>
      <c r="AD539" s="44"/>
      <c r="AE539" s="44"/>
      <c r="AF539" s="44"/>
      <c r="AG539" s="44"/>
    </row>
    <row r="540" spans="1:33" ht="16.5" customHeight="1">
      <c r="A540" s="44"/>
      <c r="B540" s="44"/>
      <c r="C540" s="44"/>
      <c r="D540" s="172"/>
      <c r="E540" s="44"/>
      <c r="F540" s="44"/>
      <c r="G540" s="44"/>
      <c r="H540" s="44"/>
      <c r="I540" s="53"/>
      <c r="J540" s="44"/>
      <c r="K540" s="44"/>
      <c r="L540" s="44"/>
      <c r="M540" s="44"/>
      <c r="N540" s="44"/>
      <c r="O540" s="44"/>
      <c r="P540" s="44"/>
      <c r="Q540" s="44"/>
      <c r="R540" s="44"/>
      <c r="S540" s="44"/>
      <c r="T540" s="44"/>
      <c r="U540" s="44"/>
      <c r="V540" s="44"/>
      <c r="W540" s="44"/>
      <c r="X540" s="44"/>
      <c r="Y540" s="44"/>
      <c r="Z540" s="44"/>
      <c r="AA540" s="44"/>
      <c r="AB540" s="44"/>
      <c r="AC540" s="44"/>
      <c r="AD540" s="44"/>
      <c r="AE540" s="44"/>
      <c r="AF540" s="44"/>
      <c r="AG540" s="44"/>
    </row>
    <row r="541" spans="1:33" ht="16.5" customHeight="1">
      <c r="A541" s="44"/>
      <c r="B541" s="44"/>
      <c r="C541" s="44"/>
      <c r="D541" s="172"/>
      <c r="E541" s="44"/>
      <c r="F541" s="44"/>
      <c r="G541" s="44"/>
      <c r="H541" s="44"/>
      <c r="I541" s="53"/>
      <c r="J541" s="44"/>
      <c r="K541" s="44"/>
      <c r="L541" s="44"/>
      <c r="M541" s="44"/>
      <c r="N541" s="44"/>
      <c r="O541" s="44"/>
      <c r="P541" s="44"/>
      <c r="Q541" s="44"/>
      <c r="R541" s="44"/>
      <c r="S541" s="44"/>
      <c r="T541" s="44"/>
      <c r="U541" s="44"/>
      <c r="V541" s="44"/>
      <c r="W541" s="44"/>
      <c r="X541" s="44"/>
      <c r="Y541" s="44"/>
      <c r="Z541" s="44"/>
      <c r="AA541" s="44"/>
      <c r="AB541" s="44"/>
      <c r="AC541" s="44"/>
      <c r="AD541" s="44"/>
      <c r="AE541" s="44"/>
      <c r="AF541" s="44"/>
      <c r="AG541" s="44"/>
    </row>
    <row r="542" spans="1:33" ht="16.5" customHeight="1">
      <c r="A542" s="44"/>
      <c r="B542" s="44"/>
      <c r="C542" s="44"/>
      <c r="D542" s="172"/>
      <c r="E542" s="44"/>
      <c r="F542" s="44"/>
      <c r="G542" s="44"/>
      <c r="H542" s="44"/>
      <c r="I542" s="53"/>
      <c r="J542" s="44"/>
      <c r="K542" s="44"/>
      <c r="L542" s="44"/>
      <c r="M542" s="44"/>
      <c r="N542" s="44"/>
      <c r="O542" s="44"/>
      <c r="P542" s="44"/>
      <c r="Q542" s="44"/>
      <c r="R542" s="44"/>
      <c r="S542" s="44"/>
      <c r="T542" s="44"/>
      <c r="U542" s="44"/>
      <c r="V542" s="44"/>
      <c r="W542" s="44"/>
      <c r="X542" s="44"/>
      <c r="Y542" s="44"/>
      <c r="Z542" s="44"/>
      <c r="AA542" s="44"/>
      <c r="AB542" s="44"/>
      <c r="AC542" s="44"/>
      <c r="AD542" s="44"/>
      <c r="AE542" s="44"/>
      <c r="AF542" s="44"/>
      <c r="AG542" s="44"/>
    </row>
    <row r="543" spans="1:33" ht="16.5" customHeight="1">
      <c r="A543" s="44"/>
      <c r="B543" s="44"/>
      <c r="C543" s="44"/>
      <c r="D543" s="172"/>
      <c r="E543" s="44"/>
      <c r="F543" s="44"/>
      <c r="G543" s="44"/>
      <c r="H543" s="44"/>
      <c r="I543" s="53"/>
      <c r="J543" s="44"/>
      <c r="K543" s="44"/>
      <c r="L543" s="44"/>
      <c r="M543" s="44"/>
      <c r="N543" s="44"/>
      <c r="O543" s="44"/>
      <c r="P543" s="44"/>
      <c r="Q543" s="44"/>
      <c r="R543" s="44"/>
      <c r="S543" s="44"/>
      <c r="T543" s="44"/>
      <c r="U543" s="44"/>
      <c r="V543" s="44"/>
      <c r="W543" s="44"/>
      <c r="X543" s="44"/>
      <c r="Y543" s="44"/>
      <c r="Z543" s="44"/>
      <c r="AA543" s="44"/>
      <c r="AB543" s="44"/>
      <c r="AC543" s="44"/>
      <c r="AD543" s="44"/>
      <c r="AE543" s="44"/>
      <c r="AF543" s="44"/>
      <c r="AG543" s="44"/>
    </row>
    <row r="544" spans="1:33" ht="16.5" customHeight="1">
      <c r="A544" s="44"/>
      <c r="B544" s="44"/>
      <c r="C544" s="44"/>
      <c r="D544" s="172"/>
      <c r="E544" s="44"/>
      <c r="F544" s="44"/>
      <c r="G544" s="44"/>
      <c r="H544" s="44"/>
      <c r="I544" s="53"/>
      <c r="J544" s="44"/>
      <c r="K544" s="44"/>
      <c r="L544" s="44"/>
      <c r="M544" s="44"/>
      <c r="N544" s="44"/>
      <c r="O544" s="44"/>
      <c r="P544" s="44"/>
      <c r="Q544" s="44"/>
      <c r="R544" s="44"/>
      <c r="S544" s="44"/>
      <c r="T544" s="44"/>
      <c r="U544" s="44"/>
      <c r="V544" s="44"/>
      <c r="W544" s="44"/>
      <c r="X544" s="44"/>
      <c r="Y544" s="44"/>
      <c r="Z544" s="44"/>
      <c r="AA544" s="44"/>
      <c r="AB544" s="44"/>
      <c r="AC544" s="44"/>
      <c r="AD544" s="44"/>
      <c r="AE544" s="44"/>
      <c r="AF544" s="44"/>
      <c r="AG544" s="44"/>
    </row>
    <row r="545" spans="1:33" ht="16.5" customHeight="1">
      <c r="A545" s="44"/>
      <c r="B545" s="44"/>
      <c r="C545" s="44"/>
      <c r="D545" s="172"/>
      <c r="E545" s="44"/>
      <c r="F545" s="44"/>
      <c r="G545" s="44"/>
      <c r="H545" s="44"/>
      <c r="I545" s="53"/>
      <c r="J545" s="44"/>
      <c r="K545" s="44"/>
      <c r="L545" s="44"/>
      <c r="M545" s="44"/>
      <c r="N545" s="44"/>
      <c r="O545" s="44"/>
      <c r="P545" s="44"/>
      <c r="Q545" s="44"/>
      <c r="R545" s="44"/>
      <c r="S545" s="44"/>
      <c r="T545" s="44"/>
      <c r="U545" s="44"/>
      <c r="V545" s="44"/>
      <c r="W545" s="44"/>
      <c r="X545" s="44"/>
      <c r="Y545" s="44"/>
      <c r="Z545" s="44"/>
      <c r="AA545" s="44"/>
      <c r="AB545" s="44"/>
      <c r="AC545" s="44"/>
      <c r="AD545" s="44"/>
      <c r="AE545" s="44"/>
      <c r="AF545" s="44"/>
      <c r="AG545" s="44"/>
    </row>
    <row r="546" spans="1:33" ht="16.5" customHeight="1">
      <c r="A546" s="44"/>
      <c r="B546" s="44"/>
      <c r="C546" s="44"/>
      <c r="D546" s="172"/>
      <c r="E546" s="44"/>
      <c r="F546" s="44"/>
      <c r="G546" s="44"/>
      <c r="H546" s="44"/>
      <c r="I546" s="53"/>
      <c r="J546" s="44"/>
      <c r="K546" s="44"/>
      <c r="L546" s="44"/>
      <c r="M546" s="44"/>
      <c r="N546" s="44"/>
      <c r="O546" s="44"/>
      <c r="P546" s="44"/>
      <c r="Q546" s="44"/>
      <c r="R546" s="44"/>
      <c r="S546" s="44"/>
      <c r="T546" s="44"/>
      <c r="U546" s="44"/>
      <c r="V546" s="44"/>
      <c r="W546" s="44"/>
      <c r="X546" s="44"/>
      <c r="Y546" s="44"/>
      <c r="Z546" s="44"/>
      <c r="AA546" s="44"/>
      <c r="AB546" s="44"/>
      <c r="AC546" s="44"/>
      <c r="AD546" s="44"/>
      <c r="AE546" s="44"/>
      <c r="AF546" s="44"/>
      <c r="AG546" s="44"/>
    </row>
    <row r="547" spans="1:33" ht="16.5" customHeight="1">
      <c r="A547" s="44"/>
      <c r="B547" s="44"/>
      <c r="C547" s="44"/>
      <c r="D547" s="172"/>
      <c r="E547" s="44"/>
      <c r="F547" s="44"/>
      <c r="G547" s="44"/>
      <c r="H547" s="44"/>
      <c r="I547" s="53"/>
      <c r="J547" s="44"/>
      <c r="K547" s="44"/>
      <c r="L547" s="44"/>
      <c r="M547" s="44"/>
      <c r="N547" s="44"/>
      <c r="O547" s="44"/>
      <c r="P547" s="44"/>
      <c r="Q547" s="44"/>
      <c r="R547" s="44"/>
      <c r="S547" s="44"/>
      <c r="T547" s="44"/>
      <c r="U547" s="44"/>
      <c r="V547" s="44"/>
      <c r="W547" s="44"/>
      <c r="X547" s="44"/>
      <c r="Y547" s="44"/>
      <c r="Z547" s="44"/>
      <c r="AA547" s="44"/>
      <c r="AB547" s="44"/>
      <c r="AC547" s="44"/>
      <c r="AD547" s="44"/>
      <c r="AE547" s="44"/>
      <c r="AF547" s="44"/>
      <c r="AG547" s="44"/>
    </row>
    <row r="548" spans="1:33" ht="16.5" customHeight="1">
      <c r="A548" s="44"/>
      <c r="B548" s="44"/>
      <c r="C548" s="44"/>
      <c r="D548" s="172"/>
      <c r="E548" s="44"/>
      <c r="F548" s="44"/>
      <c r="G548" s="44"/>
      <c r="H548" s="44"/>
      <c r="I548" s="53"/>
      <c r="J548" s="44"/>
      <c r="K548" s="44"/>
      <c r="L548" s="44"/>
      <c r="M548" s="44"/>
      <c r="N548" s="44"/>
      <c r="O548" s="44"/>
      <c r="P548" s="44"/>
      <c r="Q548" s="44"/>
      <c r="R548" s="44"/>
      <c r="S548" s="44"/>
      <c r="T548" s="44"/>
      <c r="U548" s="44"/>
      <c r="V548" s="44"/>
      <c r="W548" s="44"/>
      <c r="X548" s="44"/>
      <c r="Y548" s="44"/>
      <c r="Z548" s="44"/>
      <c r="AA548" s="44"/>
      <c r="AB548" s="44"/>
      <c r="AC548" s="44"/>
      <c r="AD548" s="44"/>
      <c r="AE548" s="44"/>
      <c r="AF548" s="44"/>
      <c r="AG548" s="44"/>
    </row>
    <row r="549" spans="1:33" ht="16.5" customHeight="1">
      <c r="A549" s="44"/>
      <c r="B549" s="44"/>
      <c r="C549" s="44"/>
      <c r="D549" s="172"/>
      <c r="E549" s="44"/>
      <c r="F549" s="44"/>
      <c r="G549" s="44"/>
      <c r="H549" s="44"/>
      <c r="I549" s="53"/>
      <c r="J549" s="44"/>
      <c r="K549" s="44"/>
      <c r="L549" s="44"/>
      <c r="M549" s="44"/>
      <c r="N549" s="44"/>
      <c r="O549" s="44"/>
      <c r="P549" s="44"/>
      <c r="Q549" s="44"/>
      <c r="R549" s="44"/>
      <c r="S549" s="44"/>
      <c r="T549" s="44"/>
      <c r="U549" s="44"/>
      <c r="V549" s="44"/>
      <c r="W549" s="44"/>
      <c r="X549" s="44"/>
      <c r="Y549" s="44"/>
      <c r="Z549" s="44"/>
      <c r="AA549" s="44"/>
      <c r="AB549" s="44"/>
      <c r="AC549" s="44"/>
      <c r="AD549" s="44"/>
      <c r="AE549" s="44"/>
      <c r="AF549" s="44"/>
      <c r="AG549" s="44"/>
    </row>
    <row r="550" spans="1:33" ht="16.5" customHeight="1">
      <c r="A550" s="44"/>
      <c r="B550" s="44"/>
      <c r="C550" s="44"/>
      <c r="D550" s="172"/>
      <c r="E550" s="44"/>
      <c r="F550" s="44"/>
      <c r="G550" s="44"/>
      <c r="H550" s="44"/>
      <c r="I550" s="53"/>
      <c r="J550" s="44"/>
      <c r="K550" s="44"/>
      <c r="L550" s="44"/>
      <c r="M550" s="44"/>
      <c r="N550" s="44"/>
      <c r="O550" s="44"/>
      <c r="P550" s="44"/>
      <c r="Q550" s="44"/>
      <c r="R550" s="44"/>
      <c r="S550" s="44"/>
      <c r="T550" s="44"/>
      <c r="U550" s="44"/>
      <c r="V550" s="44"/>
      <c r="W550" s="44"/>
      <c r="X550" s="44"/>
      <c r="Y550" s="44"/>
      <c r="Z550" s="44"/>
      <c r="AA550" s="44"/>
      <c r="AB550" s="44"/>
      <c r="AC550" s="44"/>
      <c r="AD550" s="44"/>
      <c r="AE550" s="44"/>
      <c r="AF550" s="44"/>
      <c r="AG550" s="44"/>
    </row>
    <row r="551" spans="1:33" ht="16.5" customHeight="1">
      <c r="A551" s="44"/>
      <c r="B551" s="44"/>
      <c r="C551" s="44"/>
      <c r="D551" s="172"/>
      <c r="E551" s="44"/>
      <c r="F551" s="44"/>
      <c r="G551" s="44"/>
      <c r="H551" s="44"/>
      <c r="I551" s="53"/>
      <c r="J551" s="44"/>
      <c r="K551" s="44"/>
      <c r="L551" s="44"/>
      <c r="M551" s="44"/>
      <c r="N551" s="44"/>
      <c r="O551" s="44"/>
      <c r="P551" s="44"/>
      <c r="Q551" s="44"/>
      <c r="R551" s="44"/>
      <c r="S551" s="44"/>
      <c r="T551" s="44"/>
      <c r="U551" s="44"/>
      <c r="V551" s="44"/>
      <c r="W551" s="44"/>
      <c r="X551" s="44"/>
      <c r="Y551" s="44"/>
      <c r="Z551" s="44"/>
      <c r="AA551" s="44"/>
      <c r="AB551" s="44"/>
      <c r="AC551" s="44"/>
      <c r="AD551" s="44"/>
      <c r="AE551" s="44"/>
      <c r="AF551" s="44"/>
      <c r="AG551" s="44"/>
    </row>
    <row r="552" spans="1:33" ht="16.5" customHeight="1">
      <c r="A552" s="44"/>
      <c r="B552" s="44"/>
      <c r="C552" s="44"/>
      <c r="D552" s="172"/>
      <c r="E552" s="44"/>
      <c r="F552" s="44"/>
      <c r="G552" s="44"/>
      <c r="H552" s="44"/>
      <c r="I552" s="53"/>
      <c r="J552" s="44"/>
      <c r="K552" s="44"/>
      <c r="L552" s="44"/>
      <c r="M552" s="44"/>
      <c r="N552" s="44"/>
      <c r="O552" s="44"/>
      <c r="P552" s="44"/>
      <c r="Q552" s="44"/>
      <c r="R552" s="44"/>
      <c r="S552" s="44"/>
      <c r="T552" s="44"/>
      <c r="U552" s="44"/>
      <c r="V552" s="44"/>
      <c r="W552" s="44"/>
      <c r="X552" s="44"/>
      <c r="Y552" s="44"/>
      <c r="Z552" s="44"/>
      <c r="AA552" s="44"/>
      <c r="AB552" s="44"/>
      <c r="AC552" s="44"/>
      <c r="AD552" s="44"/>
      <c r="AE552" s="44"/>
      <c r="AF552" s="44"/>
      <c r="AG552" s="44"/>
    </row>
    <row r="553" spans="1:33" ht="16.5" customHeight="1">
      <c r="A553" s="44"/>
      <c r="B553" s="44"/>
      <c r="C553" s="44"/>
      <c r="D553" s="172"/>
      <c r="E553" s="44"/>
      <c r="F553" s="44"/>
      <c r="G553" s="44"/>
      <c r="H553" s="44"/>
      <c r="I553" s="53"/>
      <c r="J553" s="44"/>
      <c r="K553" s="44"/>
      <c r="L553" s="44"/>
      <c r="M553" s="44"/>
      <c r="N553" s="44"/>
      <c r="O553" s="44"/>
      <c r="P553" s="44"/>
      <c r="Q553" s="44"/>
      <c r="R553" s="44"/>
      <c r="S553" s="44"/>
      <c r="T553" s="44"/>
      <c r="U553" s="44"/>
      <c r="V553" s="44"/>
      <c r="W553" s="44"/>
      <c r="X553" s="44"/>
      <c r="Y553" s="44"/>
      <c r="Z553" s="44"/>
      <c r="AA553" s="44"/>
      <c r="AB553" s="44"/>
      <c r="AC553" s="44"/>
      <c r="AD553" s="44"/>
      <c r="AE553" s="44"/>
      <c r="AF553" s="44"/>
      <c r="AG553" s="44"/>
    </row>
    <row r="554" spans="1:33" ht="16.5" customHeight="1">
      <c r="A554" s="44"/>
      <c r="B554" s="44"/>
      <c r="C554" s="44"/>
      <c r="D554" s="172"/>
      <c r="E554" s="44"/>
      <c r="F554" s="44"/>
      <c r="G554" s="44"/>
      <c r="H554" s="44"/>
      <c r="I554" s="53"/>
      <c r="J554" s="44"/>
      <c r="K554" s="44"/>
      <c r="L554" s="44"/>
      <c r="M554" s="44"/>
      <c r="N554" s="44"/>
      <c r="O554" s="44"/>
      <c r="P554" s="44"/>
      <c r="Q554" s="44"/>
      <c r="R554" s="44"/>
      <c r="S554" s="44"/>
      <c r="T554" s="44"/>
      <c r="U554" s="44"/>
      <c r="V554" s="44"/>
      <c r="W554" s="44"/>
      <c r="X554" s="44"/>
      <c r="Y554" s="44"/>
      <c r="Z554" s="44"/>
      <c r="AA554" s="44"/>
      <c r="AB554" s="44"/>
      <c r="AC554" s="44"/>
      <c r="AD554" s="44"/>
      <c r="AE554" s="44"/>
      <c r="AF554" s="44"/>
      <c r="AG554" s="44"/>
    </row>
    <row r="555" spans="1:33" ht="16.5" customHeight="1">
      <c r="A555" s="44"/>
      <c r="B555" s="44"/>
      <c r="C555" s="44"/>
      <c r="D555" s="172"/>
      <c r="E555" s="44"/>
      <c r="F555" s="44"/>
      <c r="G555" s="44"/>
      <c r="H555" s="44"/>
      <c r="I555" s="53"/>
      <c r="J555" s="44"/>
      <c r="K555" s="44"/>
      <c r="L555" s="44"/>
      <c r="M555" s="44"/>
      <c r="N555" s="44"/>
      <c r="O555" s="44"/>
      <c r="P555" s="44"/>
      <c r="Q555" s="44"/>
      <c r="R555" s="44"/>
      <c r="S555" s="44"/>
      <c r="T555" s="44"/>
      <c r="U555" s="44"/>
      <c r="V555" s="44"/>
      <c r="W555" s="44"/>
      <c r="X555" s="44"/>
      <c r="Y555" s="44"/>
      <c r="Z555" s="44"/>
      <c r="AA555" s="44"/>
      <c r="AB555" s="44"/>
      <c r="AC555" s="44"/>
      <c r="AD555" s="44"/>
      <c r="AE555" s="44"/>
      <c r="AF555" s="44"/>
      <c r="AG555" s="44"/>
    </row>
    <row r="556" spans="1:33" ht="16.5" customHeight="1">
      <c r="A556" s="44"/>
      <c r="B556" s="44"/>
      <c r="C556" s="44"/>
      <c r="D556" s="172"/>
      <c r="E556" s="44"/>
      <c r="F556" s="44"/>
      <c r="G556" s="44"/>
      <c r="H556" s="44"/>
      <c r="I556" s="53"/>
      <c r="J556" s="44"/>
      <c r="K556" s="44"/>
      <c r="L556" s="44"/>
      <c r="M556" s="44"/>
      <c r="N556" s="44"/>
      <c r="O556" s="44"/>
      <c r="P556" s="44"/>
      <c r="Q556" s="44"/>
      <c r="R556" s="44"/>
      <c r="S556" s="44"/>
      <c r="T556" s="44"/>
      <c r="U556" s="44"/>
      <c r="V556" s="44"/>
      <c r="W556" s="44"/>
      <c r="X556" s="44"/>
      <c r="Y556" s="44"/>
      <c r="Z556" s="44"/>
      <c r="AA556" s="44"/>
      <c r="AB556" s="44"/>
      <c r="AC556" s="44"/>
      <c r="AD556" s="44"/>
      <c r="AE556" s="44"/>
      <c r="AF556" s="44"/>
      <c r="AG556" s="44"/>
    </row>
    <row r="557" spans="1:33" ht="16.5" customHeight="1">
      <c r="A557" s="44"/>
      <c r="B557" s="44"/>
      <c r="C557" s="44"/>
      <c r="D557" s="172"/>
      <c r="E557" s="44"/>
      <c r="F557" s="44"/>
      <c r="G557" s="44"/>
      <c r="H557" s="44"/>
      <c r="I557" s="53"/>
      <c r="J557" s="44"/>
      <c r="K557" s="44"/>
      <c r="L557" s="44"/>
      <c r="M557" s="44"/>
      <c r="N557" s="44"/>
      <c r="O557" s="44"/>
      <c r="P557" s="44"/>
      <c r="Q557" s="44"/>
      <c r="R557" s="44"/>
      <c r="S557" s="44"/>
      <c r="T557" s="44"/>
      <c r="U557" s="44"/>
      <c r="V557" s="44"/>
      <c r="W557" s="44"/>
      <c r="X557" s="44"/>
      <c r="Y557" s="44"/>
      <c r="Z557" s="44"/>
      <c r="AA557" s="44"/>
      <c r="AB557" s="44"/>
      <c r="AC557" s="44"/>
      <c r="AD557" s="44"/>
      <c r="AE557" s="44"/>
      <c r="AF557" s="44"/>
      <c r="AG557" s="44"/>
    </row>
    <row r="558" spans="1:33" ht="16.5" customHeight="1">
      <c r="A558" s="44"/>
      <c r="B558" s="44"/>
      <c r="C558" s="44"/>
      <c r="D558" s="172"/>
      <c r="E558" s="44"/>
      <c r="F558" s="44"/>
      <c r="G558" s="44"/>
      <c r="H558" s="44"/>
      <c r="I558" s="53"/>
      <c r="J558" s="44"/>
      <c r="K558" s="44"/>
      <c r="L558" s="44"/>
      <c r="M558" s="44"/>
      <c r="N558" s="44"/>
      <c r="O558" s="44"/>
      <c r="P558" s="44"/>
      <c r="Q558" s="44"/>
      <c r="R558" s="44"/>
      <c r="S558" s="44"/>
      <c r="T558" s="44"/>
      <c r="U558" s="44"/>
      <c r="V558" s="44"/>
      <c r="W558" s="44"/>
      <c r="X558" s="44"/>
      <c r="Y558" s="44"/>
      <c r="Z558" s="44"/>
      <c r="AA558" s="44"/>
      <c r="AB558" s="44"/>
      <c r="AC558" s="44"/>
      <c r="AD558" s="44"/>
      <c r="AE558" s="44"/>
      <c r="AF558" s="44"/>
      <c r="AG558" s="44"/>
    </row>
    <row r="559" spans="1:33" ht="16.5" customHeight="1">
      <c r="A559" s="44"/>
      <c r="B559" s="44"/>
      <c r="C559" s="44"/>
      <c r="D559" s="172"/>
      <c r="E559" s="44"/>
      <c r="F559" s="44"/>
      <c r="G559" s="44"/>
      <c r="H559" s="44"/>
      <c r="I559" s="53"/>
      <c r="J559" s="44"/>
      <c r="K559" s="44"/>
      <c r="L559" s="44"/>
      <c r="M559" s="44"/>
      <c r="N559" s="44"/>
      <c r="O559" s="44"/>
      <c r="P559" s="44"/>
      <c r="Q559" s="44"/>
      <c r="R559" s="44"/>
      <c r="S559" s="44"/>
      <c r="T559" s="44"/>
      <c r="U559" s="44"/>
      <c r="V559" s="44"/>
      <c r="W559" s="44"/>
      <c r="X559" s="44"/>
      <c r="Y559" s="44"/>
      <c r="Z559" s="44"/>
      <c r="AA559" s="44"/>
      <c r="AB559" s="44"/>
      <c r="AC559" s="44"/>
      <c r="AD559" s="44"/>
      <c r="AE559" s="44"/>
      <c r="AF559" s="44"/>
      <c r="AG559" s="44"/>
    </row>
    <row r="560" spans="1:33" ht="16.5" customHeight="1">
      <c r="A560" s="44"/>
      <c r="B560" s="44"/>
      <c r="C560" s="44"/>
      <c r="D560" s="172"/>
      <c r="E560" s="44"/>
      <c r="F560" s="44"/>
      <c r="G560" s="44"/>
      <c r="H560" s="44"/>
      <c r="I560" s="53"/>
      <c r="J560" s="44"/>
      <c r="K560" s="44"/>
      <c r="L560" s="44"/>
      <c r="M560" s="44"/>
      <c r="N560" s="44"/>
      <c r="O560" s="44"/>
      <c r="P560" s="44"/>
      <c r="Q560" s="44"/>
      <c r="R560" s="44"/>
      <c r="S560" s="44"/>
      <c r="T560" s="44"/>
      <c r="U560" s="44"/>
      <c r="V560" s="44"/>
      <c r="W560" s="44"/>
      <c r="X560" s="44"/>
      <c r="Y560" s="44"/>
      <c r="Z560" s="44"/>
      <c r="AA560" s="44"/>
      <c r="AB560" s="44"/>
      <c r="AC560" s="44"/>
      <c r="AD560" s="44"/>
      <c r="AE560" s="44"/>
      <c r="AF560" s="44"/>
      <c r="AG560" s="44"/>
    </row>
    <row r="561" spans="1:33" ht="16.5" customHeight="1">
      <c r="A561" s="44"/>
      <c r="B561" s="44"/>
      <c r="C561" s="44"/>
      <c r="D561" s="172"/>
      <c r="E561" s="44"/>
      <c r="F561" s="44"/>
      <c r="G561" s="44"/>
      <c r="H561" s="44"/>
      <c r="I561" s="53"/>
      <c r="J561" s="44"/>
      <c r="K561" s="44"/>
      <c r="L561" s="44"/>
      <c r="M561" s="44"/>
      <c r="N561" s="44"/>
      <c r="O561" s="44"/>
      <c r="P561" s="44"/>
      <c r="Q561" s="44"/>
      <c r="R561" s="44"/>
      <c r="S561" s="44"/>
      <c r="T561" s="44"/>
      <c r="U561" s="44"/>
      <c r="V561" s="44"/>
      <c r="W561" s="44"/>
      <c r="X561" s="44"/>
      <c r="Y561" s="44"/>
      <c r="Z561" s="44"/>
      <c r="AA561" s="44"/>
      <c r="AB561" s="44"/>
      <c r="AC561" s="44"/>
      <c r="AD561" s="44"/>
      <c r="AE561" s="44"/>
      <c r="AF561" s="44"/>
      <c r="AG561" s="44"/>
    </row>
    <row r="562" spans="1:33" ht="16.5" customHeight="1">
      <c r="A562" s="44"/>
      <c r="B562" s="44"/>
      <c r="C562" s="44"/>
      <c r="D562" s="172"/>
      <c r="E562" s="44"/>
      <c r="F562" s="44"/>
      <c r="G562" s="44"/>
      <c r="H562" s="44"/>
      <c r="I562" s="53"/>
      <c r="J562" s="44"/>
      <c r="K562" s="44"/>
      <c r="L562" s="44"/>
      <c r="M562" s="44"/>
      <c r="N562" s="44"/>
      <c r="O562" s="44"/>
      <c r="P562" s="44"/>
      <c r="Q562" s="44"/>
      <c r="R562" s="44"/>
      <c r="S562" s="44"/>
      <c r="T562" s="44"/>
      <c r="U562" s="44"/>
      <c r="V562" s="44"/>
      <c r="W562" s="44"/>
      <c r="X562" s="44"/>
      <c r="Y562" s="44"/>
      <c r="Z562" s="44"/>
      <c r="AA562" s="44"/>
      <c r="AB562" s="44"/>
      <c r="AC562" s="44"/>
      <c r="AD562" s="44"/>
      <c r="AE562" s="44"/>
      <c r="AF562" s="44"/>
      <c r="AG562" s="44"/>
    </row>
    <row r="563" spans="1:33" ht="16.5" customHeight="1">
      <c r="A563" s="44"/>
      <c r="B563" s="44"/>
      <c r="C563" s="44"/>
      <c r="D563" s="172"/>
      <c r="E563" s="44"/>
      <c r="F563" s="44"/>
      <c r="G563" s="44"/>
      <c r="H563" s="44"/>
      <c r="I563" s="53"/>
      <c r="J563" s="44"/>
      <c r="K563" s="44"/>
      <c r="L563" s="44"/>
      <c r="M563" s="44"/>
      <c r="N563" s="44"/>
      <c r="O563" s="44"/>
      <c r="P563" s="44"/>
      <c r="Q563" s="44"/>
      <c r="R563" s="44"/>
      <c r="S563" s="44"/>
      <c r="T563" s="44"/>
      <c r="U563" s="44"/>
      <c r="V563" s="44"/>
      <c r="W563" s="44"/>
      <c r="X563" s="44"/>
      <c r="Y563" s="44"/>
      <c r="Z563" s="44"/>
      <c r="AA563" s="44"/>
      <c r="AB563" s="44"/>
      <c r="AC563" s="44"/>
      <c r="AD563" s="44"/>
      <c r="AE563" s="44"/>
      <c r="AF563" s="44"/>
      <c r="AG563" s="44"/>
    </row>
    <row r="564" spans="1:33" ht="16.5" customHeight="1">
      <c r="A564" s="44"/>
      <c r="B564" s="44"/>
      <c r="C564" s="44"/>
      <c r="D564" s="172"/>
      <c r="E564" s="44"/>
      <c r="F564" s="44"/>
      <c r="G564" s="44"/>
      <c r="H564" s="44"/>
      <c r="I564" s="53"/>
      <c r="J564" s="44"/>
      <c r="K564" s="44"/>
      <c r="L564" s="44"/>
      <c r="M564" s="44"/>
      <c r="N564" s="44"/>
      <c r="O564" s="44"/>
      <c r="P564" s="44"/>
      <c r="Q564" s="44"/>
      <c r="R564" s="44"/>
      <c r="S564" s="44"/>
      <c r="T564" s="44"/>
      <c r="U564" s="44"/>
      <c r="V564" s="44"/>
      <c r="W564" s="44"/>
      <c r="X564" s="44"/>
      <c r="Y564" s="44"/>
      <c r="Z564" s="44"/>
      <c r="AA564" s="44"/>
      <c r="AB564" s="44"/>
      <c r="AC564" s="44"/>
      <c r="AD564" s="44"/>
      <c r="AE564" s="44"/>
      <c r="AF564" s="44"/>
      <c r="AG564" s="44"/>
    </row>
    <row r="565" spans="1:33" ht="16.5" customHeight="1">
      <c r="A565" s="44"/>
      <c r="B565" s="44"/>
      <c r="C565" s="44"/>
      <c r="D565" s="172"/>
      <c r="E565" s="44"/>
      <c r="F565" s="44"/>
      <c r="G565" s="44"/>
      <c r="H565" s="44"/>
      <c r="I565" s="53"/>
      <c r="J565" s="44"/>
      <c r="K565" s="44"/>
      <c r="L565" s="44"/>
      <c r="M565" s="44"/>
      <c r="N565" s="44"/>
      <c r="O565" s="44"/>
      <c r="P565" s="44"/>
      <c r="Q565" s="44"/>
      <c r="R565" s="44"/>
      <c r="S565" s="44"/>
      <c r="T565" s="44"/>
      <c r="U565" s="44"/>
      <c r="V565" s="44"/>
      <c r="W565" s="44"/>
      <c r="X565" s="44"/>
      <c r="Y565" s="44"/>
      <c r="Z565" s="44"/>
      <c r="AA565" s="44"/>
      <c r="AB565" s="44"/>
      <c r="AC565" s="44"/>
      <c r="AD565" s="44"/>
      <c r="AE565" s="44"/>
      <c r="AF565" s="44"/>
      <c r="AG565" s="44"/>
    </row>
    <row r="566" spans="1:33" ht="16.5" customHeight="1">
      <c r="A566" s="44"/>
      <c r="B566" s="44"/>
      <c r="C566" s="44"/>
      <c r="D566" s="172"/>
      <c r="E566" s="44"/>
      <c r="F566" s="44"/>
      <c r="G566" s="44"/>
      <c r="H566" s="44"/>
      <c r="I566" s="53"/>
      <c r="J566" s="44"/>
      <c r="K566" s="44"/>
      <c r="L566" s="44"/>
      <c r="M566" s="44"/>
      <c r="N566" s="44"/>
      <c r="O566" s="44"/>
      <c r="P566" s="44"/>
      <c r="Q566" s="44"/>
      <c r="R566" s="44"/>
      <c r="S566" s="44"/>
      <c r="T566" s="44"/>
      <c r="U566" s="44"/>
      <c r="V566" s="44"/>
      <c r="W566" s="44"/>
      <c r="X566" s="44"/>
      <c r="Y566" s="44"/>
      <c r="Z566" s="44"/>
      <c r="AA566" s="44"/>
      <c r="AB566" s="44"/>
      <c r="AC566" s="44"/>
      <c r="AD566" s="44"/>
      <c r="AE566" s="44"/>
      <c r="AF566" s="44"/>
      <c r="AG566" s="44"/>
    </row>
    <row r="567" spans="1:33" ht="16.5" customHeight="1">
      <c r="A567" s="44"/>
      <c r="B567" s="44"/>
      <c r="C567" s="44"/>
      <c r="D567" s="172"/>
      <c r="E567" s="44"/>
      <c r="F567" s="44"/>
      <c r="G567" s="44"/>
      <c r="H567" s="44"/>
      <c r="I567" s="53"/>
      <c r="J567" s="44"/>
      <c r="K567" s="44"/>
      <c r="L567" s="44"/>
      <c r="M567" s="44"/>
      <c r="N567" s="44"/>
      <c r="O567" s="44"/>
      <c r="P567" s="44"/>
      <c r="Q567" s="44"/>
      <c r="R567" s="44"/>
      <c r="S567" s="44"/>
      <c r="T567" s="44"/>
      <c r="U567" s="44"/>
      <c r="V567" s="44"/>
      <c r="W567" s="44"/>
      <c r="X567" s="44"/>
      <c r="Y567" s="44"/>
      <c r="Z567" s="44"/>
      <c r="AA567" s="44"/>
      <c r="AB567" s="44"/>
      <c r="AC567" s="44"/>
      <c r="AD567" s="44"/>
      <c r="AE567" s="44"/>
      <c r="AF567" s="44"/>
      <c r="AG567" s="44"/>
    </row>
    <row r="568" spans="1:33" ht="16.5" customHeight="1">
      <c r="A568" s="44"/>
      <c r="B568" s="44"/>
      <c r="C568" s="44"/>
      <c r="D568" s="172"/>
      <c r="E568" s="44"/>
      <c r="F568" s="44"/>
      <c r="G568" s="44"/>
      <c r="H568" s="44"/>
      <c r="I568" s="53"/>
      <c r="J568" s="44"/>
      <c r="K568" s="44"/>
      <c r="L568" s="44"/>
      <c r="M568" s="44"/>
      <c r="N568" s="44"/>
      <c r="O568" s="44"/>
      <c r="P568" s="44"/>
      <c r="Q568" s="44"/>
      <c r="R568" s="44"/>
      <c r="S568" s="44"/>
      <c r="T568" s="44"/>
      <c r="U568" s="44"/>
      <c r="V568" s="44"/>
      <c r="W568" s="44"/>
      <c r="X568" s="44"/>
      <c r="Y568" s="44"/>
      <c r="Z568" s="44"/>
      <c r="AA568" s="44"/>
      <c r="AB568" s="44"/>
      <c r="AC568" s="44"/>
      <c r="AD568" s="44"/>
      <c r="AE568" s="44"/>
      <c r="AF568" s="44"/>
      <c r="AG568" s="44"/>
    </row>
    <row r="569" spans="1:33" ht="16.5" customHeight="1">
      <c r="A569" s="44"/>
      <c r="B569" s="44"/>
      <c r="C569" s="44"/>
      <c r="D569" s="172"/>
      <c r="E569" s="44"/>
      <c r="F569" s="44"/>
      <c r="G569" s="44"/>
      <c r="H569" s="44"/>
      <c r="I569" s="53"/>
      <c r="J569" s="44"/>
      <c r="K569" s="44"/>
      <c r="L569" s="44"/>
      <c r="M569" s="44"/>
      <c r="N569" s="44"/>
      <c r="O569" s="44"/>
      <c r="P569" s="44"/>
      <c r="Q569" s="44"/>
      <c r="R569" s="44"/>
      <c r="S569" s="44"/>
      <c r="T569" s="44"/>
      <c r="U569" s="44"/>
      <c r="V569" s="44"/>
      <c r="W569" s="44"/>
      <c r="X569" s="44"/>
      <c r="Y569" s="44"/>
      <c r="Z569" s="44"/>
      <c r="AA569" s="44"/>
      <c r="AB569" s="44"/>
      <c r="AC569" s="44"/>
      <c r="AD569" s="44"/>
      <c r="AE569" s="44"/>
      <c r="AF569" s="44"/>
      <c r="AG569" s="44"/>
    </row>
    <row r="570" spans="1:33" ht="16.5" customHeight="1">
      <c r="A570" s="44"/>
      <c r="B570" s="44"/>
      <c r="C570" s="44"/>
      <c r="D570" s="172"/>
      <c r="E570" s="44"/>
      <c r="F570" s="44"/>
      <c r="G570" s="44"/>
      <c r="H570" s="44"/>
      <c r="I570" s="53"/>
      <c r="J570" s="44"/>
      <c r="K570" s="44"/>
      <c r="L570" s="44"/>
      <c r="M570" s="44"/>
      <c r="N570" s="44"/>
      <c r="O570" s="44"/>
      <c r="P570" s="44"/>
      <c r="Q570" s="44"/>
      <c r="R570" s="44"/>
      <c r="S570" s="44"/>
      <c r="T570" s="44"/>
      <c r="U570" s="44"/>
      <c r="V570" s="44"/>
      <c r="W570" s="44"/>
      <c r="X570" s="44"/>
      <c r="Y570" s="44"/>
      <c r="Z570" s="44"/>
      <c r="AA570" s="44"/>
      <c r="AB570" s="44"/>
      <c r="AC570" s="44"/>
      <c r="AD570" s="44"/>
      <c r="AE570" s="44"/>
      <c r="AF570" s="44"/>
      <c r="AG570" s="44"/>
    </row>
    <row r="571" spans="1:33" ht="16.5" customHeight="1">
      <c r="A571" s="44"/>
      <c r="B571" s="44"/>
      <c r="C571" s="44"/>
      <c r="D571" s="172"/>
      <c r="E571" s="44"/>
      <c r="F571" s="44"/>
      <c r="G571" s="44"/>
      <c r="H571" s="44"/>
      <c r="I571" s="53"/>
      <c r="J571" s="44"/>
      <c r="K571" s="44"/>
      <c r="L571" s="44"/>
      <c r="M571" s="44"/>
      <c r="N571" s="44"/>
      <c r="O571" s="44"/>
      <c r="P571" s="44"/>
      <c r="Q571" s="44"/>
      <c r="R571" s="44"/>
      <c r="S571" s="44"/>
      <c r="T571" s="44"/>
      <c r="U571" s="44"/>
      <c r="V571" s="44"/>
      <c r="W571" s="44"/>
      <c r="X571" s="44"/>
      <c r="Y571" s="44"/>
      <c r="Z571" s="44"/>
      <c r="AA571" s="44"/>
      <c r="AB571" s="44"/>
      <c r="AC571" s="44"/>
      <c r="AD571" s="44"/>
      <c r="AE571" s="44"/>
      <c r="AF571" s="44"/>
      <c r="AG571" s="44"/>
    </row>
    <row r="572" spans="1:33" ht="16.5" customHeight="1">
      <c r="A572" s="44"/>
      <c r="B572" s="44"/>
      <c r="C572" s="44"/>
      <c r="D572" s="172"/>
      <c r="E572" s="44"/>
      <c r="F572" s="44"/>
      <c r="G572" s="44"/>
      <c r="H572" s="44"/>
      <c r="I572" s="53"/>
      <c r="J572" s="44"/>
      <c r="K572" s="44"/>
      <c r="L572" s="44"/>
      <c r="M572" s="44"/>
      <c r="N572" s="44"/>
      <c r="O572" s="44"/>
      <c r="P572" s="44"/>
      <c r="Q572" s="44"/>
      <c r="R572" s="44"/>
      <c r="S572" s="44"/>
      <c r="T572" s="44"/>
      <c r="U572" s="44"/>
      <c r="V572" s="44"/>
      <c r="W572" s="44"/>
      <c r="X572" s="44"/>
      <c r="Y572" s="44"/>
      <c r="Z572" s="44"/>
      <c r="AA572" s="44"/>
      <c r="AB572" s="44"/>
      <c r="AC572" s="44"/>
      <c r="AD572" s="44"/>
      <c r="AE572" s="44"/>
      <c r="AF572" s="44"/>
      <c r="AG572" s="44"/>
    </row>
    <row r="573" spans="1:33" ht="16.5" customHeight="1">
      <c r="A573" s="44"/>
      <c r="B573" s="44"/>
      <c r="C573" s="44"/>
      <c r="D573" s="172"/>
      <c r="E573" s="44"/>
      <c r="F573" s="44"/>
      <c r="G573" s="44"/>
      <c r="H573" s="44"/>
      <c r="I573" s="53"/>
      <c r="J573" s="44"/>
      <c r="K573" s="44"/>
      <c r="L573" s="44"/>
      <c r="M573" s="44"/>
      <c r="N573" s="44"/>
      <c r="O573" s="44"/>
      <c r="P573" s="44"/>
      <c r="Q573" s="44"/>
      <c r="R573" s="44"/>
      <c r="S573" s="44"/>
      <c r="T573" s="44"/>
      <c r="U573" s="44"/>
      <c r="V573" s="44"/>
      <c r="W573" s="44"/>
      <c r="X573" s="44"/>
      <c r="Y573" s="44"/>
      <c r="Z573" s="44"/>
      <c r="AA573" s="44"/>
      <c r="AB573" s="44"/>
      <c r="AC573" s="44"/>
      <c r="AD573" s="44"/>
      <c r="AE573" s="44"/>
      <c r="AF573" s="44"/>
      <c r="AG573" s="44"/>
    </row>
    <row r="574" spans="1:33" ht="16.5" customHeight="1">
      <c r="A574" s="44"/>
      <c r="B574" s="44"/>
      <c r="C574" s="44"/>
      <c r="D574" s="172"/>
      <c r="E574" s="44"/>
      <c r="F574" s="44"/>
      <c r="G574" s="44"/>
      <c r="H574" s="44"/>
      <c r="I574" s="53"/>
      <c r="J574" s="44"/>
      <c r="K574" s="44"/>
      <c r="L574" s="44"/>
      <c r="M574" s="44"/>
      <c r="N574" s="44"/>
      <c r="O574" s="44"/>
      <c r="P574" s="44"/>
      <c r="Q574" s="44"/>
      <c r="R574" s="44"/>
      <c r="S574" s="44"/>
      <c r="T574" s="44"/>
      <c r="U574" s="44"/>
      <c r="V574" s="44"/>
      <c r="W574" s="44"/>
      <c r="X574" s="44"/>
      <c r="Y574" s="44"/>
      <c r="Z574" s="44"/>
      <c r="AA574" s="44"/>
      <c r="AB574" s="44"/>
      <c r="AC574" s="44"/>
      <c r="AD574" s="44"/>
      <c r="AE574" s="44"/>
      <c r="AF574" s="44"/>
      <c r="AG574" s="44"/>
    </row>
    <row r="575" spans="1:33" ht="16.5" customHeight="1">
      <c r="A575" s="44"/>
      <c r="B575" s="44"/>
      <c r="C575" s="44"/>
      <c r="D575" s="172"/>
      <c r="E575" s="44"/>
      <c r="F575" s="44"/>
      <c r="G575" s="44"/>
      <c r="H575" s="44"/>
      <c r="I575" s="53"/>
      <c r="J575" s="44"/>
      <c r="K575" s="44"/>
      <c r="L575" s="44"/>
      <c r="M575" s="44"/>
      <c r="N575" s="44"/>
      <c r="O575" s="44"/>
      <c r="P575" s="44"/>
      <c r="Q575" s="44"/>
      <c r="R575" s="44"/>
      <c r="S575" s="44"/>
      <c r="T575" s="44"/>
      <c r="U575" s="44"/>
      <c r="V575" s="44"/>
      <c r="W575" s="44"/>
      <c r="X575" s="44"/>
      <c r="Y575" s="44"/>
      <c r="Z575" s="44"/>
      <c r="AA575" s="44"/>
      <c r="AB575" s="44"/>
      <c r="AC575" s="44"/>
      <c r="AD575" s="44"/>
      <c r="AE575" s="44"/>
      <c r="AF575" s="44"/>
      <c r="AG575" s="44"/>
    </row>
    <row r="576" spans="1:33" ht="16.5" customHeight="1">
      <c r="A576" s="44"/>
      <c r="B576" s="44"/>
      <c r="C576" s="44"/>
      <c r="D576" s="172"/>
      <c r="E576" s="44"/>
      <c r="F576" s="44"/>
      <c r="G576" s="44"/>
      <c r="H576" s="44"/>
      <c r="I576" s="53"/>
      <c r="J576" s="44"/>
      <c r="K576" s="44"/>
      <c r="L576" s="44"/>
      <c r="M576" s="44"/>
      <c r="N576" s="44"/>
      <c r="O576" s="44"/>
      <c r="P576" s="44"/>
      <c r="Q576" s="44"/>
      <c r="R576" s="44"/>
      <c r="S576" s="44"/>
      <c r="T576" s="44"/>
      <c r="U576" s="44"/>
      <c r="V576" s="44"/>
      <c r="W576" s="44"/>
      <c r="X576" s="44"/>
      <c r="Y576" s="44"/>
      <c r="Z576" s="44"/>
      <c r="AA576" s="44"/>
      <c r="AB576" s="44"/>
      <c r="AC576" s="44"/>
      <c r="AD576" s="44"/>
      <c r="AE576" s="44"/>
      <c r="AF576" s="44"/>
      <c r="AG576" s="44"/>
    </row>
    <row r="577" spans="1:33" ht="16.5" customHeight="1">
      <c r="A577" s="44"/>
      <c r="B577" s="44"/>
      <c r="C577" s="44"/>
      <c r="D577" s="172"/>
      <c r="E577" s="44"/>
      <c r="F577" s="44"/>
      <c r="G577" s="44"/>
      <c r="H577" s="44"/>
      <c r="I577" s="53"/>
      <c r="J577" s="44"/>
      <c r="K577" s="44"/>
      <c r="L577" s="44"/>
      <c r="M577" s="44"/>
      <c r="N577" s="44"/>
      <c r="O577" s="44"/>
      <c r="P577" s="44"/>
      <c r="Q577" s="44"/>
      <c r="R577" s="44"/>
      <c r="S577" s="44"/>
      <c r="T577" s="44"/>
      <c r="U577" s="44"/>
      <c r="V577" s="44"/>
      <c r="W577" s="44"/>
      <c r="X577" s="44"/>
      <c r="Y577" s="44"/>
      <c r="Z577" s="44"/>
      <c r="AA577" s="44"/>
      <c r="AB577" s="44"/>
      <c r="AC577" s="44"/>
      <c r="AD577" s="44"/>
      <c r="AE577" s="44"/>
      <c r="AF577" s="44"/>
      <c r="AG577" s="44"/>
    </row>
    <row r="578" spans="1:33" ht="16.5" customHeight="1">
      <c r="A578" s="44"/>
      <c r="B578" s="44"/>
      <c r="C578" s="44"/>
      <c r="D578" s="172"/>
      <c r="E578" s="44"/>
      <c r="F578" s="44"/>
      <c r="G578" s="44"/>
      <c r="H578" s="44"/>
      <c r="I578" s="53"/>
      <c r="J578" s="44"/>
      <c r="K578" s="44"/>
      <c r="L578" s="44"/>
      <c r="M578" s="44"/>
      <c r="N578" s="44"/>
      <c r="O578" s="44"/>
      <c r="P578" s="44"/>
      <c r="Q578" s="44"/>
      <c r="R578" s="44"/>
      <c r="S578" s="44"/>
      <c r="T578" s="44"/>
      <c r="U578" s="44"/>
      <c r="V578" s="44"/>
      <c r="W578" s="44"/>
      <c r="X578" s="44"/>
      <c r="Y578" s="44"/>
      <c r="Z578" s="44"/>
      <c r="AA578" s="44"/>
      <c r="AB578" s="44"/>
      <c r="AC578" s="44"/>
      <c r="AD578" s="44"/>
      <c r="AE578" s="44"/>
      <c r="AF578" s="44"/>
      <c r="AG578" s="44"/>
    </row>
    <row r="579" spans="1:33" ht="16.5" customHeight="1">
      <c r="A579" s="44"/>
      <c r="B579" s="44"/>
      <c r="C579" s="44"/>
      <c r="D579" s="172"/>
      <c r="E579" s="44"/>
      <c r="F579" s="44"/>
      <c r="G579" s="44"/>
      <c r="H579" s="44"/>
      <c r="I579" s="53"/>
      <c r="J579" s="44"/>
      <c r="K579" s="44"/>
      <c r="L579" s="44"/>
      <c r="M579" s="44"/>
      <c r="N579" s="44"/>
      <c r="O579" s="44"/>
      <c r="P579" s="44"/>
      <c r="Q579" s="44"/>
      <c r="R579" s="44"/>
      <c r="S579" s="44"/>
      <c r="T579" s="44"/>
      <c r="U579" s="44"/>
      <c r="V579" s="44"/>
      <c r="W579" s="44"/>
      <c r="X579" s="44"/>
      <c r="Y579" s="44"/>
      <c r="Z579" s="44"/>
      <c r="AA579" s="44"/>
      <c r="AB579" s="44"/>
      <c r="AC579" s="44"/>
      <c r="AD579" s="44"/>
      <c r="AE579" s="44"/>
      <c r="AF579" s="44"/>
      <c r="AG579" s="44"/>
    </row>
    <row r="580" spans="1:33" ht="16.5" customHeight="1">
      <c r="A580" s="44"/>
      <c r="B580" s="44"/>
      <c r="C580" s="44"/>
      <c r="D580" s="172"/>
      <c r="E580" s="44"/>
      <c r="F580" s="44"/>
      <c r="G580" s="44"/>
      <c r="H580" s="44"/>
      <c r="I580" s="53"/>
      <c r="J580" s="44"/>
      <c r="K580" s="44"/>
      <c r="L580" s="44"/>
      <c r="M580" s="44"/>
      <c r="N580" s="44"/>
      <c r="O580" s="44"/>
      <c r="P580" s="44"/>
      <c r="Q580" s="44"/>
      <c r="R580" s="44"/>
      <c r="S580" s="44"/>
      <c r="T580" s="44"/>
      <c r="U580" s="44"/>
      <c r="V580" s="44"/>
      <c r="W580" s="44"/>
      <c r="X580" s="44"/>
      <c r="Y580" s="44"/>
      <c r="Z580" s="44"/>
      <c r="AA580" s="44"/>
      <c r="AB580" s="44"/>
      <c r="AC580" s="44"/>
      <c r="AD580" s="44"/>
      <c r="AE580" s="44"/>
      <c r="AF580" s="44"/>
      <c r="AG580" s="44"/>
    </row>
    <row r="581" spans="1:33" ht="16.5" customHeight="1">
      <c r="A581" s="44"/>
      <c r="B581" s="44"/>
      <c r="C581" s="44"/>
      <c r="D581" s="172"/>
      <c r="E581" s="44"/>
      <c r="F581" s="44"/>
      <c r="G581" s="44"/>
      <c r="H581" s="44"/>
      <c r="I581" s="53"/>
      <c r="J581" s="44"/>
      <c r="K581" s="44"/>
      <c r="L581" s="44"/>
      <c r="M581" s="44"/>
      <c r="N581" s="44"/>
      <c r="O581" s="44"/>
      <c r="P581" s="44"/>
      <c r="Q581" s="44"/>
      <c r="R581" s="44"/>
      <c r="S581" s="44"/>
      <c r="T581" s="44"/>
      <c r="U581" s="44"/>
      <c r="V581" s="44"/>
      <c r="W581" s="44"/>
      <c r="X581" s="44"/>
      <c r="Y581" s="44"/>
      <c r="Z581" s="44"/>
      <c r="AA581" s="44"/>
      <c r="AB581" s="44"/>
      <c r="AC581" s="44"/>
      <c r="AD581" s="44"/>
      <c r="AE581" s="44"/>
      <c r="AF581" s="44"/>
      <c r="AG581" s="44"/>
    </row>
    <row r="582" spans="1:33" ht="16.5" customHeight="1">
      <c r="A582" s="44"/>
      <c r="B582" s="44"/>
      <c r="C582" s="44"/>
      <c r="D582" s="172"/>
      <c r="E582" s="44"/>
      <c r="F582" s="44"/>
      <c r="G582" s="44"/>
      <c r="H582" s="44"/>
      <c r="I582" s="53"/>
      <c r="J582" s="44"/>
      <c r="K582" s="44"/>
      <c r="L582" s="44"/>
      <c r="M582" s="44"/>
      <c r="N582" s="44"/>
      <c r="O582" s="44"/>
      <c r="P582" s="44"/>
      <c r="Q582" s="44"/>
      <c r="R582" s="44"/>
      <c r="S582" s="44"/>
      <c r="T582" s="44"/>
      <c r="U582" s="44"/>
      <c r="V582" s="44"/>
      <c r="W582" s="44"/>
      <c r="X582" s="44"/>
      <c r="Y582" s="44"/>
      <c r="Z582" s="44"/>
      <c r="AA582" s="44"/>
      <c r="AB582" s="44"/>
      <c r="AC582" s="44"/>
      <c r="AD582" s="44"/>
      <c r="AE582" s="44"/>
      <c r="AF582" s="44"/>
      <c r="AG582" s="44"/>
    </row>
    <row r="583" spans="1:33" ht="16.5" customHeight="1">
      <c r="A583" s="44"/>
      <c r="B583" s="44"/>
      <c r="C583" s="44"/>
      <c r="D583" s="172"/>
      <c r="E583" s="44"/>
      <c r="F583" s="44"/>
      <c r="G583" s="44"/>
      <c r="H583" s="44"/>
      <c r="I583" s="53"/>
      <c r="J583" s="44"/>
      <c r="K583" s="44"/>
      <c r="L583" s="44"/>
      <c r="M583" s="44"/>
      <c r="N583" s="44"/>
      <c r="O583" s="44"/>
      <c r="P583" s="44"/>
      <c r="Q583" s="44"/>
      <c r="R583" s="44"/>
      <c r="S583" s="44"/>
      <c r="T583" s="44"/>
      <c r="U583" s="44"/>
      <c r="V583" s="44"/>
      <c r="W583" s="44"/>
      <c r="X583" s="44"/>
      <c r="Y583" s="44"/>
      <c r="Z583" s="44"/>
      <c r="AA583" s="44"/>
      <c r="AB583" s="44"/>
      <c r="AC583" s="44"/>
      <c r="AD583" s="44"/>
      <c r="AE583" s="44"/>
      <c r="AF583" s="44"/>
      <c r="AG583" s="44"/>
    </row>
    <row r="584" spans="1:33" ht="16.5" customHeight="1">
      <c r="A584" s="44"/>
      <c r="B584" s="44"/>
      <c r="C584" s="44"/>
      <c r="D584" s="172"/>
      <c r="E584" s="44"/>
      <c r="F584" s="44"/>
      <c r="G584" s="44"/>
      <c r="H584" s="44"/>
      <c r="I584" s="53"/>
      <c r="J584" s="44"/>
      <c r="K584" s="44"/>
      <c r="L584" s="44"/>
      <c r="M584" s="44"/>
      <c r="N584" s="44"/>
      <c r="O584" s="44"/>
      <c r="P584" s="44"/>
      <c r="Q584" s="44"/>
      <c r="R584" s="44"/>
      <c r="S584" s="44"/>
      <c r="T584" s="44"/>
      <c r="U584" s="44"/>
      <c r="V584" s="44"/>
      <c r="W584" s="44"/>
      <c r="X584" s="44"/>
      <c r="Y584" s="44"/>
      <c r="Z584" s="44"/>
      <c r="AA584" s="44"/>
      <c r="AB584" s="44"/>
      <c r="AC584" s="44"/>
      <c r="AD584" s="44"/>
      <c r="AE584" s="44"/>
      <c r="AF584" s="44"/>
      <c r="AG584" s="44"/>
    </row>
    <row r="585" spans="1:33" ht="16.5" customHeight="1">
      <c r="A585" s="44"/>
      <c r="B585" s="44"/>
      <c r="C585" s="44"/>
      <c r="D585" s="172"/>
      <c r="E585" s="44"/>
      <c r="F585" s="44"/>
      <c r="G585" s="44"/>
      <c r="H585" s="44"/>
      <c r="I585" s="53"/>
      <c r="J585" s="44"/>
      <c r="K585" s="44"/>
      <c r="L585" s="44"/>
      <c r="M585" s="44"/>
      <c r="N585" s="44"/>
      <c r="O585" s="44"/>
      <c r="P585" s="44"/>
      <c r="Q585" s="44"/>
      <c r="R585" s="44"/>
      <c r="S585" s="44"/>
      <c r="T585" s="44"/>
      <c r="U585" s="44"/>
      <c r="V585" s="44"/>
      <c r="W585" s="44"/>
      <c r="X585" s="44"/>
      <c r="Y585" s="44"/>
      <c r="Z585" s="44"/>
      <c r="AA585" s="44"/>
      <c r="AB585" s="44"/>
      <c r="AC585" s="44"/>
      <c r="AD585" s="44"/>
      <c r="AE585" s="44"/>
      <c r="AF585" s="44"/>
      <c r="AG585" s="44"/>
    </row>
    <row r="586" spans="1:33" ht="16.5" customHeight="1">
      <c r="A586" s="44"/>
      <c r="B586" s="44"/>
      <c r="C586" s="44"/>
      <c r="D586" s="172"/>
      <c r="E586" s="44"/>
      <c r="F586" s="44"/>
      <c r="G586" s="44"/>
      <c r="H586" s="44"/>
      <c r="I586" s="53"/>
      <c r="J586" s="44"/>
      <c r="K586" s="44"/>
      <c r="L586" s="44"/>
      <c r="M586" s="44"/>
      <c r="N586" s="44"/>
      <c r="O586" s="44"/>
      <c r="P586" s="44"/>
      <c r="Q586" s="44"/>
      <c r="R586" s="44"/>
      <c r="S586" s="44"/>
      <c r="T586" s="44"/>
      <c r="U586" s="44"/>
      <c r="V586" s="44"/>
      <c r="W586" s="44"/>
      <c r="X586" s="44"/>
      <c r="Y586" s="44"/>
      <c r="Z586" s="44"/>
      <c r="AA586" s="44"/>
      <c r="AB586" s="44"/>
      <c r="AC586" s="44"/>
      <c r="AD586" s="44"/>
      <c r="AE586" s="44"/>
      <c r="AF586" s="44"/>
      <c r="AG586" s="44"/>
    </row>
    <row r="587" spans="1:33" ht="16.5" customHeight="1">
      <c r="A587" s="44"/>
      <c r="B587" s="44"/>
      <c r="C587" s="44"/>
      <c r="D587" s="172"/>
      <c r="E587" s="44"/>
      <c r="F587" s="44"/>
      <c r="G587" s="44"/>
      <c r="H587" s="44"/>
      <c r="I587" s="53"/>
      <c r="J587" s="44"/>
      <c r="K587" s="44"/>
      <c r="L587" s="44"/>
      <c r="M587" s="44"/>
      <c r="N587" s="44"/>
      <c r="O587" s="44"/>
      <c r="P587" s="44"/>
      <c r="Q587" s="44"/>
      <c r="R587" s="44"/>
      <c r="S587" s="44"/>
      <c r="T587" s="44"/>
      <c r="U587" s="44"/>
      <c r="V587" s="44"/>
      <c r="W587" s="44"/>
      <c r="X587" s="44"/>
      <c r="Y587" s="44"/>
      <c r="Z587" s="44"/>
      <c r="AA587" s="44"/>
      <c r="AB587" s="44"/>
      <c r="AC587" s="44"/>
      <c r="AD587" s="44"/>
      <c r="AE587" s="44"/>
      <c r="AF587" s="44"/>
      <c r="AG587" s="44"/>
    </row>
    <row r="588" spans="1:33" ht="16.5" customHeight="1">
      <c r="A588" s="44"/>
      <c r="B588" s="44"/>
      <c r="C588" s="44"/>
      <c r="D588" s="172"/>
      <c r="E588" s="44"/>
      <c r="F588" s="44"/>
      <c r="G588" s="44"/>
      <c r="H588" s="44"/>
      <c r="I588" s="53"/>
      <c r="J588" s="44"/>
      <c r="K588" s="44"/>
      <c r="L588" s="44"/>
      <c r="M588" s="44"/>
      <c r="N588" s="44"/>
      <c r="O588" s="44"/>
      <c r="P588" s="44"/>
      <c r="Q588" s="44"/>
      <c r="R588" s="44"/>
      <c r="S588" s="44"/>
      <c r="T588" s="44"/>
      <c r="U588" s="44"/>
      <c r="V588" s="44"/>
      <c r="W588" s="44"/>
      <c r="X588" s="44"/>
      <c r="Y588" s="44"/>
      <c r="Z588" s="44"/>
      <c r="AA588" s="44"/>
      <c r="AB588" s="44"/>
      <c r="AC588" s="44"/>
      <c r="AD588" s="44"/>
      <c r="AE588" s="44"/>
      <c r="AF588" s="44"/>
      <c r="AG588" s="44"/>
    </row>
    <row r="589" spans="1:33" ht="16.5" customHeight="1">
      <c r="A589" s="44"/>
      <c r="B589" s="44"/>
      <c r="C589" s="44"/>
      <c r="D589" s="172"/>
      <c r="E589" s="44"/>
      <c r="F589" s="44"/>
      <c r="G589" s="44"/>
      <c r="H589" s="44"/>
      <c r="I589" s="53"/>
      <c r="J589" s="44"/>
      <c r="K589" s="44"/>
      <c r="L589" s="44"/>
      <c r="M589" s="44"/>
      <c r="N589" s="44"/>
      <c r="O589" s="44"/>
      <c r="P589" s="44"/>
      <c r="Q589" s="44"/>
      <c r="R589" s="44"/>
      <c r="S589" s="44"/>
      <c r="T589" s="44"/>
      <c r="U589" s="44"/>
      <c r="V589" s="44"/>
      <c r="W589" s="44"/>
      <c r="X589" s="44"/>
      <c r="Y589" s="44"/>
      <c r="Z589" s="44"/>
      <c r="AA589" s="44"/>
      <c r="AB589" s="44"/>
      <c r="AC589" s="44"/>
      <c r="AD589" s="44"/>
      <c r="AE589" s="44"/>
      <c r="AF589" s="44"/>
      <c r="AG589" s="44"/>
    </row>
    <row r="590" spans="1:33" ht="16.5" customHeight="1">
      <c r="A590" s="44"/>
      <c r="B590" s="44"/>
      <c r="C590" s="44"/>
      <c r="D590" s="172"/>
      <c r="E590" s="44"/>
      <c r="F590" s="44"/>
      <c r="G590" s="44"/>
      <c r="H590" s="44"/>
      <c r="I590" s="53"/>
      <c r="J590" s="44"/>
      <c r="K590" s="44"/>
      <c r="L590" s="44"/>
      <c r="M590" s="44"/>
      <c r="N590" s="44"/>
      <c r="O590" s="44"/>
      <c r="P590" s="44"/>
      <c r="Q590" s="44"/>
      <c r="R590" s="44"/>
      <c r="S590" s="44"/>
      <c r="T590" s="44"/>
      <c r="U590" s="44"/>
      <c r="V590" s="44"/>
      <c r="W590" s="44"/>
      <c r="X590" s="44"/>
      <c r="Y590" s="44"/>
      <c r="Z590" s="44"/>
      <c r="AA590" s="44"/>
      <c r="AB590" s="44"/>
      <c r="AC590" s="44"/>
      <c r="AD590" s="44"/>
      <c r="AE590" s="44"/>
      <c r="AF590" s="44"/>
      <c r="AG590" s="44"/>
    </row>
    <row r="591" spans="1:33" ht="16.5" customHeight="1">
      <c r="A591" s="44"/>
      <c r="B591" s="44"/>
      <c r="C591" s="44"/>
      <c r="D591" s="172"/>
      <c r="E591" s="44"/>
      <c r="F591" s="44"/>
      <c r="G591" s="44"/>
      <c r="H591" s="44"/>
      <c r="I591" s="53"/>
      <c r="J591" s="44"/>
      <c r="K591" s="44"/>
      <c r="L591" s="44"/>
      <c r="M591" s="44"/>
      <c r="N591" s="44"/>
      <c r="O591" s="44"/>
      <c r="P591" s="44"/>
      <c r="Q591" s="44"/>
      <c r="R591" s="44"/>
      <c r="S591" s="44"/>
      <c r="T591" s="44"/>
      <c r="U591" s="44"/>
      <c r="V591" s="44"/>
      <c r="W591" s="44"/>
      <c r="X591" s="44"/>
      <c r="Y591" s="44"/>
      <c r="Z591" s="44"/>
      <c r="AA591" s="44"/>
      <c r="AB591" s="44"/>
      <c r="AC591" s="44"/>
      <c r="AD591" s="44"/>
      <c r="AE591" s="44"/>
      <c r="AF591" s="44"/>
      <c r="AG591" s="44"/>
    </row>
    <row r="592" spans="1:33" ht="16.5" customHeight="1">
      <c r="A592" s="44"/>
      <c r="B592" s="44"/>
      <c r="C592" s="44"/>
      <c r="D592" s="172"/>
      <c r="E592" s="44"/>
      <c r="F592" s="44"/>
      <c r="G592" s="44"/>
      <c r="H592" s="44"/>
      <c r="I592" s="53"/>
      <c r="J592" s="44"/>
      <c r="K592" s="44"/>
      <c r="L592" s="44"/>
      <c r="M592" s="44"/>
      <c r="N592" s="44"/>
      <c r="O592" s="44"/>
      <c r="P592" s="44"/>
      <c r="Q592" s="44"/>
      <c r="R592" s="44"/>
      <c r="S592" s="44"/>
      <c r="T592" s="44"/>
      <c r="U592" s="44"/>
      <c r="V592" s="44"/>
      <c r="W592" s="44"/>
      <c r="X592" s="44"/>
      <c r="Y592" s="44"/>
      <c r="Z592" s="44"/>
      <c r="AA592" s="44"/>
      <c r="AB592" s="44"/>
      <c r="AC592" s="44"/>
      <c r="AD592" s="44"/>
      <c r="AE592" s="44"/>
      <c r="AF592" s="44"/>
      <c r="AG592" s="44"/>
    </row>
    <row r="593" spans="1:33" ht="16.5" customHeight="1">
      <c r="A593" s="44"/>
      <c r="B593" s="44"/>
      <c r="C593" s="44"/>
      <c r="D593" s="172"/>
      <c r="E593" s="44"/>
      <c r="F593" s="44"/>
      <c r="G593" s="44"/>
      <c r="H593" s="44"/>
      <c r="I593" s="53"/>
      <c r="J593" s="44"/>
      <c r="K593" s="44"/>
      <c r="L593" s="44"/>
      <c r="M593" s="44"/>
      <c r="N593" s="44"/>
      <c r="O593" s="44"/>
      <c r="P593" s="44"/>
      <c r="Q593" s="44"/>
      <c r="R593" s="44"/>
      <c r="S593" s="44"/>
      <c r="T593" s="44"/>
      <c r="U593" s="44"/>
      <c r="V593" s="44"/>
      <c r="W593" s="44"/>
      <c r="X593" s="44"/>
      <c r="Y593" s="44"/>
      <c r="Z593" s="44"/>
      <c r="AA593" s="44"/>
      <c r="AB593" s="44"/>
      <c r="AC593" s="44"/>
      <c r="AD593" s="44"/>
      <c r="AE593" s="44"/>
      <c r="AF593" s="44"/>
      <c r="AG593" s="44"/>
    </row>
    <row r="594" spans="1:33" ht="16.5" customHeight="1">
      <c r="A594" s="44"/>
      <c r="B594" s="44"/>
      <c r="C594" s="44"/>
      <c r="D594" s="172"/>
      <c r="E594" s="44"/>
      <c r="F594" s="44"/>
      <c r="G594" s="44"/>
      <c r="H594" s="44"/>
      <c r="I594" s="53"/>
      <c r="J594" s="44"/>
      <c r="K594" s="44"/>
      <c r="L594" s="44"/>
      <c r="M594" s="44"/>
      <c r="N594" s="44"/>
      <c r="O594" s="44"/>
      <c r="P594" s="44"/>
      <c r="Q594" s="44"/>
      <c r="R594" s="44"/>
      <c r="S594" s="44"/>
      <c r="T594" s="44"/>
      <c r="U594" s="44"/>
      <c r="V594" s="44"/>
      <c r="W594" s="44"/>
      <c r="X594" s="44"/>
      <c r="Y594" s="44"/>
      <c r="Z594" s="44"/>
      <c r="AA594" s="44"/>
      <c r="AB594" s="44"/>
      <c r="AC594" s="44"/>
      <c r="AD594" s="44"/>
      <c r="AE594" s="44"/>
      <c r="AF594" s="44"/>
      <c r="AG594" s="44"/>
    </row>
    <row r="595" spans="1:33" ht="16.5" customHeight="1">
      <c r="A595" s="44"/>
      <c r="B595" s="44"/>
      <c r="C595" s="44"/>
      <c r="D595" s="172"/>
      <c r="E595" s="44"/>
      <c r="F595" s="44"/>
      <c r="G595" s="44"/>
      <c r="H595" s="44"/>
      <c r="I595" s="53"/>
      <c r="J595" s="44"/>
      <c r="K595" s="44"/>
      <c r="L595" s="44"/>
      <c r="M595" s="44"/>
      <c r="N595" s="44"/>
      <c r="O595" s="44"/>
      <c r="P595" s="44"/>
      <c r="Q595" s="44"/>
      <c r="R595" s="44"/>
      <c r="S595" s="44"/>
      <c r="T595" s="44"/>
      <c r="U595" s="44"/>
      <c r="V595" s="44"/>
      <c r="W595" s="44"/>
      <c r="X595" s="44"/>
      <c r="Y595" s="44"/>
      <c r="Z595" s="44"/>
      <c r="AA595" s="44"/>
      <c r="AB595" s="44"/>
      <c r="AC595" s="44"/>
      <c r="AD595" s="44"/>
      <c r="AE595" s="44"/>
      <c r="AF595" s="44"/>
      <c r="AG595" s="44"/>
    </row>
    <row r="596" spans="1:33" ht="16.5" customHeight="1">
      <c r="A596" s="44"/>
      <c r="B596" s="44"/>
      <c r="C596" s="44"/>
      <c r="D596" s="172"/>
      <c r="E596" s="44"/>
      <c r="F596" s="44"/>
      <c r="G596" s="44"/>
      <c r="H596" s="44"/>
      <c r="I596" s="53"/>
      <c r="J596" s="44"/>
      <c r="K596" s="44"/>
      <c r="L596" s="44"/>
      <c r="M596" s="44"/>
      <c r="N596" s="44"/>
      <c r="O596" s="44"/>
      <c r="P596" s="44"/>
      <c r="Q596" s="44"/>
      <c r="R596" s="44"/>
      <c r="S596" s="44"/>
      <c r="T596" s="44"/>
      <c r="U596" s="44"/>
      <c r="V596" s="44"/>
      <c r="W596" s="44"/>
      <c r="X596" s="44"/>
      <c r="Y596" s="44"/>
      <c r="Z596" s="44"/>
      <c r="AA596" s="44"/>
      <c r="AB596" s="44"/>
      <c r="AC596" s="44"/>
      <c r="AD596" s="44"/>
      <c r="AE596" s="44"/>
      <c r="AF596" s="44"/>
      <c r="AG596" s="44"/>
    </row>
    <row r="597" spans="1:33" ht="16.5" customHeight="1">
      <c r="A597" s="44"/>
      <c r="B597" s="44"/>
      <c r="C597" s="44"/>
      <c r="D597" s="172"/>
      <c r="E597" s="44"/>
      <c r="F597" s="44"/>
      <c r="G597" s="44"/>
      <c r="H597" s="44"/>
      <c r="I597" s="53"/>
      <c r="J597" s="44"/>
      <c r="K597" s="44"/>
      <c r="L597" s="44"/>
      <c r="M597" s="44"/>
      <c r="N597" s="44"/>
      <c r="O597" s="44"/>
      <c r="P597" s="44"/>
      <c r="Q597" s="44"/>
      <c r="R597" s="44"/>
      <c r="S597" s="44"/>
      <c r="T597" s="44"/>
      <c r="U597" s="44"/>
      <c r="V597" s="44"/>
      <c r="W597" s="44"/>
      <c r="X597" s="44"/>
      <c r="Y597" s="44"/>
      <c r="Z597" s="44"/>
      <c r="AA597" s="44"/>
      <c r="AB597" s="44"/>
      <c r="AC597" s="44"/>
      <c r="AD597" s="44"/>
      <c r="AE597" s="44"/>
      <c r="AF597" s="44"/>
      <c r="AG597" s="44"/>
    </row>
    <row r="598" spans="1:33" ht="16.5" customHeight="1">
      <c r="A598" s="44"/>
      <c r="B598" s="44"/>
      <c r="C598" s="44"/>
      <c r="D598" s="172"/>
      <c r="E598" s="44"/>
      <c r="F598" s="44"/>
      <c r="G598" s="44"/>
      <c r="H598" s="44"/>
      <c r="I598" s="53"/>
      <c r="J598" s="44"/>
      <c r="K598" s="44"/>
      <c r="L598" s="44"/>
      <c r="M598" s="44"/>
      <c r="N598" s="44"/>
      <c r="O598" s="44"/>
      <c r="P598" s="44"/>
      <c r="Q598" s="44"/>
      <c r="R598" s="44"/>
      <c r="S598" s="44"/>
      <c r="T598" s="44"/>
      <c r="U598" s="44"/>
      <c r="V598" s="44"/>
      <c r="W598" s="44"/>
      <c r="X598" s="44"/>
      <c r="Y598" s="44"/>
      <c r="Z598" s="44"/>
      <c r="AA598" s="44"/>
      <c r="AB598" s="44"/>
      <c r="AC598" s="44"/>
      <c r="AD598" s="44"/>
      <c r="AE598" s="44"/>
      <c r="AF598" s="44"/>
      <c r="AG598" s="44"/>
    </row>
    <row r="599" spans="1:33" ht="16.5" customHeight="1">
      <c r="A599" s="44"/>
      <c r="B599" s="44"/>
      <c r="C599" s="44"/>
      <c r="D599" s="172"/>
      <c r="E599" s="44"/>
      <c r="F599" s="44"/>
      <c r="G599" s="44"/>
      <c r="H599" s="44"/>
      <c r="I599" s="53"/>
      <c r="J599" s="44"/>
      <c r="K599" s="44"/>
      <c r="L599" s="44"/>
      <c r="M599" s="44"/>
      <c r="N599" s="44"/>
      <c r="O599" s="44"/>
      <c r="P599" s="44"/>
      <c r="Q599" s="44"/>
      <c r="R599" s="44"/>
      <c r="S599" s="44"/>
      <c r="T599" s="44"/>
      <c r="U599" s="44"/>
      <c r="V599" s="44"/>
      <c r="W599" s="44"/>
      <c r="X599" s="44"/>
      <c r="Y599" s="44"/>
      <c r="Z599" s="44"/>
      <c r="AA599" s="44"/>
      <c r="AB599" s="44"/>
      <c r="AC599" s="44"/>
      <c r="AD599" s="44"/>
      <c r="AE599" s="44"/>
      <c r="AF599" s="44"/>
      <c r="AG599" s="44"/>
    </row>
    <row r="600" spans="1:33" ht="16.5" customHeight="1">
      <c r="A600" s="44"/>
      <c r="B600" s="44"/>
      <c r="C600" s="44"/>
      <c r="D600" s="172"/>
      <c r="E600" s="44"/>
      <c r="F600" s="44"/>
      <c r="G600" s="44"/>
      <c r="H600" s="44"/>
      <c r="I600" s="53"/>
      <c r="J600" s="44"/>
      <c r="K600" s="44"/>
      <c r="L600" s="44"/>
      <c r="M600" s="44"/>
      <c r="N600" s="44"/>
      <c r="O600" s="44"/>
      <c r="P600" s="44"/>
      <c r="Q600" s="44"/>
      <c r="R600" s="44"/>
      <c r="S600" s="44"/>
      <c r="T600" s="44"/>
      <c r="U600" s="44"/>
      <c r="V600" s="44"/>
      <c r="W600" s="44"/>
      <c r="X600" s="44"/>
      <c r="Y600" s="44"/>
      <c r="Z600" s="44"/>
      <c r="AA600" s="44"/>
      <c r="AB600" s="44"/>
      <c r="AC600" s="44"/>
      <c r="AD600" s="44"/>
      <c r="AE600" s="44"/>
      <c r="AF600" s="44"/>
      <c r="AG600" s="44"/>
    </row>
    <row r="601" spans="1:33" ht="16.5" customHeight="1">
      <c r="A601" s="44"/>
      <c r="B601" s="44"/>
      <c r="C601" s="44"/>
      <c r="D601" s="172"/>
      <c r="E601" s="44"/>
      <c r="F601" s="44"/>
      <c r="G601" s="44"/>
      <c r="H601" s="44"/>
      <c r="I601" s="53"/>
      <c r="J601" s="44"/>
      <c r="K601" s="44"/>
      <c r="L601" s="44"/>
      <c r="M601" s="44"/>
      <c r="N601" s="44"/>
      <c r="O601" s="44"/>
      <c r="P601" s="44"/>
      <c r="Q601" s="44"/>
      <c r="R601" s="44"/>
      <c r="S601" s="44"/>
      <c r="T601" s="44"/>
      <c r="U601" s="44"/>
      <c r="V601" s="44"/>
      <c r="W601" s="44"/>
      <c r="X601" s="44"/>
      <c r="Y601" s="44"/>
      <c r="Z601" s="44"/>
      <c r="AA601" s="44"/>
      <c r="AB601" s="44"/>
      <c r="AC601" s="44"/>
      <c r="AD601" s="44"/>
      <c r="AE601" s="44"/>
      <c r="AF601" s="44"/>
      <c r="AG601" s="44"/>
    </row>
    <row r="602" spans="1:33" ht="16.5" customHeight="1">
      <c r="A602" s="44"/>
      <c r="B602" s="44"/>
      <c r="C602" s="44"/>
      <c r="D602" s="172"/>
      <c r="E602" s="44"/>
      <c r="F602" s="44"/>
      <c r="G602" s="44"/>
      <c r="H602" s="44"/>
      <c r="I602" s="53"/>
      <c r="J602" s="44"/>
      <c r="K602" s="44"/>
      <c r="L602" s="44"/>
      <c r="M602" s="44"/>
      <c r="N602" s="44"/>
      <c r="O602" s="44"/>
      <c r="P602" s="44"/>
      <c r="Q602" s="44"/>
      <c r="R602" s="44"/>
      <c r="S602" s="44"/>
      <c r="T602" s="44"/>
      <c r="U602" s="44"/>
      <c r="V602" s="44"/>
      <c r="W602" s="44"/>
      <c r="X602" s="44"/>
      <c r="Y602" s="44"/>
      <c r="Z602" s="44"/>
      <c r="AA602" s="44"/>
      <c r="AB602" s="44"/>
      <c r="AC602" s="44"/>
      <c r="AD602" s="44"/>
      <c r="AE602" s="44"/>
      <c r="AF602" s="44"/>
      <c r="AG602" s="44"/>
    </row>
    <row r="603" spans="1:33" ht="16.5" customHeight="1">
      <c r="A603" s="44"/>
      <c r="B603" s="44"/>
      <c r="C603" s="44"/>
      <c r="D603" s="172"/>
      <c r="E603" s="44"/>
      <c r="F603" s="44"/>
      <c r="G603" s="44"/>
      <c r="H603" s="44"/>
      <c r="I603" s="53"/>
      <c r="J603" s="44"/>
      <c r="K603" s="44"/>
      <c r="L603" s="44"/>
      <c r="M603" s="44"/>
      <c r="N603" s="44"/>
      <c r="O603" s="44"/>
      <c r="P603" s="44"/>
      <c r="Q603" s="44"/>
      <c r="R603" s="44"/>
      <c r="S603" s="44"/>
      <c r="T603" s="44"/>
      <c r="U603" s="44"/>
      <c r="V603" s="44"/>
      <c r="W603" s="44"/>
      <c r="X603" s="44"/>
      <c r="Y603" s="44"/>
      <c r="Z603" s="44"/>
      <c r="AA603" s="44"/>
      <c r="AB603" s="44"/>
      <c r="AC603" s="44"/>
      <c r="AD603" s="44"/>
      <c r="AE603" s="44"/>
      <c r="AF603" s="44"/>
      <c r="AG603" s="44"/>
    </row>
    <row r="604" spans="1:33" ht="16.5" customHeight="1">
      <c r="A604" s="44"/>
      <c r="B604" s="44"/>
      <c r="C604" s="44"/>
      <c r="D604" s="172"/>
      <c r="E604" s="44"/>
      <c r="F604" s="44"/>
      <c r="G604" s="44"/>
      <c r="H604" s="44"/>
      <c r="I604" s="53"/>
      <c r="J604" s="44"/>
      <c r="K604" s="44"/>
      <c r="L604" s="44"/>
      <c r="M604" s="44"/>
      <c r="N604" s="44"/>
      <c r="O604" s="44"/>
      <c r="P604" s="44"/>
      <c r="Q604" s="44"/>
      <c r="R604" s="44"/>
      <c r="S604" s="44"/>
      <c r="T604" s="44"/>
      <c r="U604" s="44"/>
      <c r="V604" s="44"/>
      <c r="W604" s="44"/>
      <c r="X604" s="44"/>
      <c r="Y604" s="44"/>
      <c r="Z604" s="44"/>
      <c r="AA604" s="44"/>
      <c r="AB604" s="44"/>
      <c r="AC604" s="44"/>
      <c r="AD604" s="44"/>
      <c r="AE604" s="44"/>
      <c r="AF604" s="44"/>
      <c r="AG604" s="44"/>
    </row>
    <row r="605" spans="1:33" ht="16.5" customHeight="1">
      <c r="A605" s="44"/>
      <c r="B605" s="44"/>
      <c r="C605" s="44"/>
      <c r="D605" s="172"/>
      <c r="E605" s="44"/>
      <c r="F605" s="44"/>
      <c r="G605" s="44"/>
      <c r="H605" s="44"/>
      <c r="I605" s="53"/>
      <c r="J605" s="44"/>
      <c r="K605" s="44"/>
      <c r="L605" s="44"/>
      <c r="M605" s="44"/>
      <c r="N605" s="44"/>
      <c r="O605" s="44"/>
      <c r="P605" s="44"/>
      <c r="Q605" s="44"/>
      <c r="R605" s="44"/>
      <c r="S605" s="44"/>
      <c r="T605" s="44"/>
      <c r="U605" s="44"/>
      <c r="V605" s="44"/>
      <c r="W605" s="44"/>
      <c r="X605" s="44"/>
      <c r="Y605" s="44"/>
      <c r="Z605" s="44"/>
      <c r="AA605" s="44"/>
      <c r="AB605" s="44"/>
      <c r="AC605" s="44"/>
      <c r="AD605" s="44"/>
      <c r="AE605" s="44"/>
      <c r="AF605" s="44"/>
      <c r="AG605" s="44"/>
    </row>
    <row r="606" spans="1:33" ht="16.5" customHeight="1">
      <c r="A606" s="44"/>
      <c r="B606" s="44"/>
      <c r="C606" s="44"/>
      <c r="D606" s="172"/>
      <c r="E606" s="44"/>
      <c r="F606" s="44"/>
      <c r="G606" s="44"/>
      <c r="H606" s="44"/>
      <c r="I606" s="53"/>
      <c r="J606" s="44"/>
      <c r="K606" s="44"/>
      <c r="L606" s="44"/>
      <c r="M606" s="44"/>
      <c r="N606" s="44"/>
      <c r="O606" s="44"/>
      <c r="P606" s="44"/>
      <c r="Q606" s="44"/>
      <c r="R606" s="44"/>
      <c r="S606" s="44"/>
      <c r="T606" s="44"/>
      <c r="U606" s="44"/>
      <c r="V606" s="44"/>
      <c r="W606" s="44"/>
      <c r="X606" s="44"/>
      <c r="Y606" s="44"/>
      <c r="Z606" s="44"/>
      <c r="AA606" s="44"/>
      <c r="AB606" s="44"/>
      <c r="AC606" s="44"/>
      <c r="AD606" s="44"/>
      <c r="AE606" s="44"/>
      <c r="AF606" s="44"/>
      <c r="AG606" s="44"/>
    </row>
    <row r="607" spans="1:33" ht="16.5" customHeight="1">
      <c r="A607" s="44"/>
      <c r="B607" s="44"/>
      <c r="C607" s="44"/>
      <c r="D607" s="172"/>
      <c r="E607" s="44"/>
      <c r="F607" s="44"/>
      <c r="G607" s="44"/>
      <c r="H607" s="44"/>
      <c r="I607" s="53"/>
      <c r="J607" s="44"/>
      <c r="K607" s="44"/>
      <c r="L607" s="44"/>
      <c r="M607" s="44"/>
      <c r="N607" s="44"/>
      <c r="O607" s="44"/>
      <c r="P607" s="44"/>
      <c r="Q607" s="44"/>
      <c r="R607" s="44"/>
      <c r="S607" s="44"/>
      <c r="T607" s="44"/>
      <c r="U607" s="44"/>
      <c r="V607" s="44"/>
      <c r="W607" s="44"/>
      <c r="X607" s="44"/>
      <c r="Y607" s="44"/>
      <c r="Z607" s="44"/>
      <c r="AA607" s="44"/>
      <c r="AB607" s="44"/>
      <c r="AC607" s="44"/>
      <c r="AD607" s="44"/>
      <c r="AE607" s="44"/>
      <c r="AF607" s="44"/>
      <c r="AG607" s="44"/>
    </row>
    <row r="608" spans="1:33" ht="16.5" customHeight="1">
      <c r="A608" s="44"/>
      <c r="B608" s="44"/>
      <c r="C608" s="44"/>
      <c r="D608" s="172"/>
      <c r="E608" s="44"/>
      <c r="F608" s="44"/>
      <c r="G608" s="44"/>
      <c r="H608" s="44"/>
      <c r="I608" s="53"/>
      <c r="J608" s="44"/>
      <c r="K608" s="44"/>
      <c r="L608" s="44"/>
      <c r="M608" s="44"/>
      <c r="N608" s="44"/>
      <c r="O608" s="44"/>
      <c r="P608" s="44"/>
      <c r="Q608" s="44"/>
      <c r="R608" s="44"/>
      <c r="S608" s="44"/>
      <c r="T608" s="44"/>
      <c r="U608" s="44"/>
      <c r="V608" s="44"/>
      <c r="W608" s="44"/>
      <c r="X608" s="44"/>
      <c r="Y608" s="44"/>
      <c r="Z608" s="44"/>
      <c r="AA608" s="44"/>
      <c r="AB608" s="44"/>
      <c r="AC608" s="44"/>
      <c r="AD608" s="44"/>
      <c r="AE608" s="44"/>
      <c r="AF608" s="44"/>
      <c r="AG608" s="44"/>
    </row>
    <row r="609" spans="1:33" ht="16.5" customHeight="1">
      <c r="A609" s="44"/>
      <c r="B609" s="44"/>
      <c r="C609" s="44"/>
      <c r="D609" s="172"/>
      <c r="E609" s="44"/>
      <c r="F609" s="44"/>
      <c r="G609" s="44"/>
      <c r="H609" s="44"/>
      <c r="I609" s="53"/>
      <c r="J609" s="44"/>
      <c r="K609" s="44"/>
      <c r="L609" s="44"/>
      <c r="M609" s="44"/>
      <c r="N609" s="44"/>
      <c r="O609" s="44"/>
      <c r="P609" s="44"/>
      <c r="Q609" s="44"/>
      <c r="R609" s="44"/>
      <c r="S609" s="44"/>
      <c r="T609" s="44"/>
      <c r="U609" s="44"/>
      <c r="V609" s="44"/>
      <c r="W609" s="44"/>
      <c r="X609" s="44"/>
      <c r="Y609" s="44"/>
      <c r="Z609" s="44"/>
      <c r="AA609" s="44"/>
      <c r="AB609" s="44"/>
      <c r="AC609" s="44"/>
      <c r="AD609" s="44"/>
      <c r="AE609" s="44"/>
      <c r="AF609" s="44"/>
      <c r="AG609" s="44"/>
    </row>
    <row r="610" spans="1:33" ht="16.5" customHeight="1">
      <c r="A610" s="44"/>
      <c r="B610" s="44"/>
      <c r="C610" s="44"/>
      <c r="D610" s="172"/>
      <c r="E610" s="44"/>
      <c r="F610" s="44"/>
      <c r="G610" s="44"/>
      <c r="H610" s="44"/>
      <c r="I610" s="53"/>
      <c r="J610" s="44"/>
      <c r="K610" s="44"/>
      <c r="L610" s="44"/>
      <c r="M610" s="44"/>
      <c r="N610" s="44"/>
      <c r="O610" s="44"/>
      <c r="P610" s="44"/>
      <c r="Q610" s="44"/>
      <c r="R610" s="44"/>
      <c r="S610" s="44"/>
      <c r="T610" s="44"/>
      <c r="U610" s="44"/>
      <c r="V610" s="44"/>
      <c r="W610" s="44"/>
      <c r="X610" s="44"/>
      <c r="Y610" s="44"/>
      <c r="Z610" s="44"/>
      <c r="AA610" s="44"/>
      <c r="AB610" s="44"/>
      <c r="AC610" s="44"/>
      <c r="AD610" s="44"/>
      <c r="AE610" s="44"/>
      <c r="AF610" s="44"/>
      <c r="AG610" s="44"/>
    </row>
    <row r="611" spans="1:33" ht="16.5" customHeight="1">
      <c r="A611" s="44"/>
      <c r="B611" s="44"/>
      <c r="C611" s="44"/>
      <c r="D611" s="172"/>
      <c r="E611" s="44"/>
      <c r="F611" s="44"/>
      <c r="G611" s="44"/>
      <c r="H611" s="44"/>
      <c r="I611" s="53"/>
      <c r="J611" s="44"/>
      <c r="K611" s="44"/>
      <c r="L611" s="44"/>
      <c r="M611" s="44"/>
      <c r="N611" s="44"/>
      <c r="O611" s="44"/>
      <c r="P611" s="44"/>
      <c r="Q611" s="44"/>
      <c r="R611" s="44"/>
      <c r="S611" s="44"/>
      <c r="T611" s="44"/>
      <c r="U611" s="44"/>
      <c r="V611" s="44"/>
      <c r="W611" s="44"/>
      <c r="X611" s="44"/>
      <c r="Y611" s="44"/>
      <c r="Z611" s="44"/>
      <c r="AA611" s="44"/>
      <c r="AB611" s="44"/>
      <c r="AC611" s="44"/>
      <c r="AD611" s="44"/>
      <c r="AE611" s="44"/>
      <c r="AF611" s="44"/>
      <c r="AG611" s="44"/>
    </row>
    <row r="612" spans="1:33" ht="16.5" customHeight="1">
      <c r="A612" s="44"/>
      <c r="B612" s="44"/>
      <c r="C612" s="44"/>
      <c r="D612" s="172"/>
      <c r="E612" s="44"/>
      <c r="F612" s="44"/>
      <c r="G612" s="44"/>
      <c r="H612" s="44"/>
      <c r="I612" s="53"/>
      <c r="J612" s="44"/>
      <c r="K612" s="44"/>
      <c r="L612" s="44"/>
      <c r="M612" s="44"/>
      <c r="N612" s="44"/>
      <c r="O612" s="44"/>
      <c r="P612" s="44"/>
      <c r="Q612" s="44"/>
      <c r="R612" s="44"/>
      <c r="S612" s="44"/>
      <c r="T612" s="44"/>
      <c r="U612" s="44"/>
      <c r="V612" s="44"/>
      <c r="W612" s="44"/>
      <c r="X612" s="44"/>
      <c r="Y612" s="44"/>
      <c r="Z612" s="44"/>
      <c r="AA612" s="44"/>
      <c r="AB612" s="44"/>
      <c r="AC612" s="44"/>
      <c r="AD612" s="44"/>
      <c r="AE612" s="44"/>
      <c r="AF612" s="44"/>
      <c r="AG612" s="44"/>
    </row>
    <row r="613" spans="1:33" ht="16.5" customHeight="1">
      <c r="A613" s="44"/>
      <c r="B613" s="44"/>
      <c r="C613" s="44"/>
      <c r="D613" s="172"/>
      <c r="E613" s="44"/>
      <c r="F613" s="44"/>
      <c r="G613" s="44"/>
      <c r="H613" s="44"/>
      <c r="I613" s="53"/>
      <c r="J613" s="44"/>
      <c r="K613" s="44"/>
      <c r="L613" s="44"/>
      <c r="M613" s="44"/>
      <c r="N613" s="44"/>
      <c r="O613" s="44"/>
      <c r="P613" s="44"/>
      <c r="Q613" s="44"/>
      <c r="R613" s="44"/>
      <c r="S613" s="44"/>
      <c r="T613" s="44"/>
      <c r="U613" s="44"/>
      <c r="V613" s="44"/>
      <c r="W613" s="44"/>
      <c r="X613" s="44"/>
      <c r="Y613" s="44"/>
      <c r="Z613" s="44"/>
      <c r="AA613" s="44"/>
      <c r="AB613" s="44"/>
      <c r="AC613" s="44"/>
      <c r="AD613" s="44"/>
      <c r="AE613" s="44"/>
      <c r="AF613" s="44"/>
      <c r="AG613" s="44"/>
    </row>
    <row r="614" spans="1:33" ht="16.5" customHeight="1">
      <c r="A614" s="44"/>
      <c r="B614" s="44"/>
      <c r="C614" s="44"/>
      <c r="D614" s="172"/>
      <c r="E614" s="44"/>
      <c r="F614" s="44"/>
      <c r="G614" s="44"/>
      <c r="H614" s="44"/>
      <c r="I614" s="53"/>
      <c r="J614" s="44"/>
      <c r="K614" s="44"/>
      <c r="L614" s="44"/>
      <c r="M614" s="44"/>
      <c r="N614" s="44"/>
      <c r="O614" s="44"/>
      <c r="P614" s="44"/>
      <c r="Q614" s="44"/>
      <c r="R614" s="44"/>
      <c r="S614" s="44"/>
      <c r="T614" s="44"/>
      <c r="U614" s="44"/>
      <c r="V614" s="44"/>
      <c r="W614" s="44"/>
      <c r="X614" s="44"/>
      <c r="Y614" s="44"/>
      <c r="Z614" s="44"/>
      <c r="AA614" s="44"/>
      <c r="AB614" s="44"/>
      <c r="AC614" s="44"/>
      <c r="AD614" s="44"/>
      <c r="AE614" s="44"/>
      <c r="AF614" s="44"/>
      <c r="AG614" s="44"/>
    </row>
    <row r="615" spans="1:33" ht="16.5" customHeight="1">
      <c r="A615" s="44"/>
      <c r="B615" s="44"/>
      <c r="C615" s="44"/>
      <c r="D615" s="172"/>
      <c r="E615" s="44"/>
      <c r="F615" s="44"/>
      <c r="G615" s="44"/>
      <c r="H615" s="44"/>
      <c r="I615" s="53"/>
      <c r="J615" s="44"/>
      <c r="K615" s="44"/>
      <c r="L615" s="44"/>
      <c r="M615" s="44"/>
      <c r="N615" s="44"/>
      <c r="O615" s="44"/>
      <c r="P615" s="44"/>
      <c r="Q615" s="44"/>
      <c r="R615" s="44"/>
      <c r="S615" s="44"/>
      <c r="T615" s="44"/>
      <c r="U615" s="44"/>
      <c r="V615" s="44"/>
      <c r="W615" s="44"/>
      <c r="X615" s="44"/>
      <c r="Y615" s="44"/>
      <c r="Z615" s="44"/>
      <c r="AA615" s="44"/>
      <c r="AB615" s="44"/>
      <c r="AC615" s="44"/>
      <c r="AD615" s="44"/>
      <c r="AE615" s="44"/>
      <c r="AF615" s="44"/>
      <c r="AG615" s="44"/>
    </row>
    <row r="616" spans="1:33" ht="16.5" customHeight="1">
      <c r="A616" s="44"/>
      <c r="B616" s="44"/>
      <c r="C616" s="44"/>
      <c r="D616" s="172"/>
      <c r="E616" s="44"/>
      <c r="F616" s="44"/>
      <c r="G616" s="44"/>
      <c r="H616" s="44"/>
      <c r="I616" s="53"/>
      <c r="J616" s="44"/>
      <c r="K616" s="44"/>
      <c r="L616" s="44"/>
      <c r="M616" s="44"/>
      <c r="N616" s="44"/>
      <c r="O616" s="44"/>
      <c r="P616" s="44"/>
      <c r="Q616" s="44"/>
      <c r="R616" s="44"/>
      <c r="S616" s="44"/>
      <c r="T616" s="44"/>
      <c r="U616" s="44"/>
      <c r="V616" s="44"/>
      <c r="W616" s="44"/>
      <c r="X616" s="44"/>
      <c r="Y616" s="44"/>
      <c r="Z616" s="44"/>
      <c r="AA616" s="44"/>
      <c r="AB616" s="44"/>
      <c r="AC616" s="44"/>
      <c r="AD616" s="44"/>
      <c r="AE616" s="44"/>
      <c r="AF616" s="44"/>
      <c r="AG616" s="44"/>
    </row>
    <row r="617" spans="1:33" ht="16.5" customHeight="1">
      <c r="A617" s="44"/>
      <c r="B617" s="44"/>
      <c r="C617" s="44"/>
      <c r="D617" s="172"/>
      <c r="E617" s="44"/>
      <c r="F617" s="44"/>
      <c r="G617" s="44"/>
      <c r="H617" s="44"/>
      <c r="I617" s="53"/>
      <c r="J617" s="44"/>
      <c r="K617" s="44"/>
      <c r="L617" s="44"/>
      <c r="M617" s="44"/>
      <c r="N617" s="44"/>
      <c r="O617" s="44"/>
      <c r="P617" s="44"/>
      <c r="Q617" s="44"/>
      <c r="R617" s="44"/>
      <c r="S617" s="44"/>
      <c r="T617" s="44"/>
      <c r="U617" s="44"/>
      <c r="V617" s="44"/>
      <c r="W617" s="44"/>
      <c r="X617" s="44"/>
      <c r="Y617" s="44"/>
      <c r="Z617" s="44"/>
      <c r="AA617" s="44"/>
      <c r="AB617" s="44"/>
      <c r="AC617" s="44"/>
      <c r="AD617" s="44"/>
      <c r="AE617" s="44"/>
      <c r="AF617" s="44"/>
      <c r="AG617" s="44"/>
    </row>
    <row r="618" spans="1:33" ht="16.5" customHeight="1">
      <c r="A618" s="44"/>
      <c r="B618" s="44"/>
      <c r="C618" s="44"/>
      <c r="D618" s="172"/>
      <c r="E618" s="44"/>
      <c r="F618" s="44"/>
      <c r="G618" s="44"/>
      <c r="H618" s="44"/>
      <c r="I618" s="53"/>
      <c r="J618" s="44"/>
      <c r="K618" s="44"/>
      <c r="L618" s="44"/>
      <c r="M618" s="44"/>
      <c r="N618" s="44"/>
      <c r="O618" s="44"/>
      <c r="P618" s="44"/>
      <c r="Q618" s="44"/>
      <c r="R618" s="44"/>
      <c r="S618" s="44"/>
      <c r="T618" s="44"/>
      <c r="U618" s="44"/>
      <c r="V618" s="44"/>
      <c r="W618" s="44"/>
      <c r="X618" s="44"/>
      <c r="Y618" s="44"/>
      <c r="Z618" s="44"/>
      <c r="AA618" s="44"/>
      <c r="AB618" s="44"/>
      <c r="AC618" s="44"/>
      <c r="AD618" s="44"/>
      <c r="AE618" s="44"/>
      <c r="AF618" s="44"/>
      <c r="AG618" s="44"/>
    </row>
    <row r="619" spans="1:33" ht="16.5" customHeight="1">
      <c r="A619" s="44"/>
      <c r="B619" s="44"/>
      <c r="C619" s="44"/>
      <c r="D619" s="172"/>
      <c r="E619" s="44"/>
      <c r="F619" s="44"/>
      <c r="G619" s="44"/>
      <c r="H619" s="44"/>
      <c r="I619" s="53"/>
      <c r="J619" s="44"/>
      <c r="K619" s="44"/>
      <c r="L619" s="44"/>
      <c r="M619" s="44"/>
      <c r="N619" s="44"/>
      <c r="O619" s="44"/>
      <c r="P619" s="44"/>
      <c r="Q619" s="44"/>
      <c r="R619" s="44"/>
      <c r="S619" s="44"/>
      <c r="T619" s="44"/>
      <c r="U619" s="44"/>
      <c r="V619" s="44"/>
      <c r="W619" s="44"/>
      <c r="X619" s="44"/>
      <c r="Y619" s="44"/>
      <c r="Z619" s="44"/>
      <c r="AA619" s="44"/>
      <c r="AB619" s="44"/>
      <c r="AC619" s="44"/>
      <c r="AD619" s="44"/>
      <c r="AE619" s="44"/>
      <c r="AF619" s="44"/>
      <c r="AG619" s="44"/>
    </row>
    <row r="620" spans="1:33" ht="16.5" customHeight="1">
      <c r="A620" s="44"/>
      <c r="B620" s="44"/>
      <c r="C620" s="44"/>
      <c r="D620" s="172"/>
      <c r="E620" s="44"/>
      <c r="F620" s="44"/>
      <c r="G620" s="44"/>
      <c r="H620" s="44"/>
      <c r="I620" s="53"/>
      <c r="J620" s="44"/>
      <c r="K620" s="44"/>
      <c r="L620" s="44"/>
      <c r="M620" s="44"/>
      <c r="N620" s="44"/>
      <c r="O620" s="44"/>
      <c r="P620" s="44"/>
      <c r="Q620" s="44"/>
      <c r="R620" s="44"/>
      <c r="S620" s="44"/>
      <c r="T620" s="44"/>
      <c r="U620" s="44"/>
      <c r="V620" s="44"/>
      <c r="W620" s="44"/>
      <c r="X620" s="44"/>
      <c r="Y620" s="44"/>
      <c r="Z620" s="44"/>
      <c r="AA620" s="44"/>
      <c r="AB620" s="44"/>
      <c r="AC620" s="44"/>
      <c r="AD620" s="44"/>
      <c r="AE620" s="44"/>
      <c r="AF620" s="44"/>
      <c r="AG620" s="44"/>
    </row>
    <row r="621" spans="1:33" ht="16.5" customHeight="1">
      <c r="A621" s="44"/>
      <c r="B621" s="44"/>
      <c r="C621" s="44"/>
      <c r="D621" s="172"/>
      <c r="E621" s="44"/>
      <c r="F621" s="44"/>
      <c r="G621" s="44"/>
      <c r="H621" s="44"/>
      <c r="I621" s="53"/>
      <c r="J621" s="44"/>
      <c r="K621" s="44"/>
      <c r="L621" s="44"/>
      <c r="M621" s="44"/>
      <c r="N621" s="44"/>
      <c r="O621" s="44"/>
      <c r="P621" s="44"/>
      <c r="Q621" s="44"/>
      <c r="R621" s="44"/>
      <c r="S621" s="44"/>
      <c r="T621" s="44"/>
      <c r="U621" s="44"/>
      <c r="V621" s="44"/>
      <c r="W621" s="44"/>
      <c r="X621" s="44"/>
      <c r="Y621" s="44"/>
      <c r="Z621" s="44"/>
      <c r="AA621" s="44"/>
      <c r="AB621" s="44"/>
      <c r="AC621" s="44"/>
      <c r="AD621" s="44"/>
      <c r="AE621" s="44"/>
      <c r="AF621" s="44"/>
      <c r="AG621" s="44"/>
    </row>
    <row r="622" spans="1:33" ht="16.5" customHeight="1">
      <c r="A622" s="44"/>
      <c r="B622" s="44"/>
      <c r="C622" s="44"/>
      <c r="D622" s="172"/>
      <c r="E622" s="44"/>
      <c r="F622" s="44"/>
      <c r="G622" s="44"/>
      <c r="H622" s="44"/>
      <c r="I622" s="53"/>
      <c r="J622" s="44"/>
      <c r="K622" s="44"/>
      <c r="L622" s="44"/>
      <c r="M622" s="44"/>
      <c r="N622" s="44"/>
      <c r="O622" s="44"/>
      <c r="P622" s="44"/>
      <c r="Q622" s="44"/>
      <c r="R622" s="44"/>
      <c r="S622" s="44"/>
      <c r="T622" s="44"/>
      <c r="U622" s="44"/>
      <c r="V622" s="44"/>
      <c r="W622" s="44"/>
      <c r="X622" s="44"/>
      <c r="Y622" s="44"/>
      <c r="Z622" s="44"/>
      <c r="AA622" s="44"/>
      <c r="AB622" s="44"/>
      <c r="AC622" s="44"/>
      <c r="AD622" s="44"/>
      <c r="AE622" s="44"/>
      <c r="AF622" s="44"/>
      <c r="AG622" s="44"/>
    </row>
    <row r="623" spans="1:33" ht="16.5" customHeight="1">
      <c r="A623" s="44"/>
      <c r="B623" s="44"/>
      <c r="C623" s="44"/>
      <c r="D623" s="172"/>
      <c r="E623" s="44"/>
      <c r="F623" s="44"/>
      <c r="G623" s="44"/>
      <c r="H623" s="44"/>
      <c r="I623" s="53"/>
      <c r="J623" s="44"/>
      <c r="K623" s="44"/>
      <c r="L623" s="44"/>
      <c r="M623" s="44"/>
      <c r="N623" s="44"/>
      <c r="O623" s="44"/>
      <c r="P623" s="44"/>
      <c r="Q623" s="44"/>
      <c r="R623" s="44"/>
      <c r="S623" s="44"/>
      <c r="T623" s="44"/>
      <c r="U623" s="44"/>
      <c r="V623" s="44"/>
      <c r="W623" s="44"/>
      <c r="X623" s="44"/>
      <c r="Y623" s="44"/>
      <c r="Z623" s="44"/>
      <c r="AA623" s="44"/>
      <c r="AB623" s="44"/>
      <c r="AC623" s="44"/>
      <c r="AD623" s="44"/>
      <c r="AE623" s="44"/>
      <c r="AF623" s="44"/>
      <c r="AG623" s="44"/>
    </row>
    <row r="624" spans="1:33" ht="16.5" customHeight="1">
      <c r="A624" s="44"/>
      <c r="B624" s="44"/>
      <c r="C624" s="44"/>
      <c r="D624" s="172"/>
      <c r="E624" s="44"/>
      <c r="F624" s="44"/>
      <c r="G624" s="44"/>
      <c r="H624" s="44"/>
      <c r="I624" s="53"/>
      <c r="J624" s="44"/>
      <c r="K624" s="44"/>
      <c r="L624" s="44"/>
      <c r="M624" s="44"/>
      <c r="N624" s="44"/>
      <c r="O624" s="44"/>
      <c r="P624" s="44"/>
      <c r="Q624" s="44"/>
      <c r="R624" s="44"/>
      <c r="S624" s="44"/>
      <c r="T624" s="44"/>
      <c r="U624" s="44"/>
      <c r="V624" s="44"/>
      <c r="W624" s="44"/>
      <c r="X624" s="44"/>
      <c r="Y624" s="44"/>
      <c r="Z624" s="44"/>
      <c r="AA624" s="44"/>
      <c r="AB624" s="44"/>
      <c r="AC624" s="44"/>
      <c r="AD624" s="44"/>
      <c r="AE624" s="44"/>
      <c r="AF624" s="44"/>
      <c r="AG624" s="44"/>
    </row>
    <row r="625" spans="1:33" ht="16.5" customHeight="1">
      <c r="A625" s="44"/>
      <c r="B625" s="44"/>
      <c r="C625" s="44"/>
      <c r="D625" s="172"/>
      <c r="E625" s="44"/>
      <c r="F625" s="44"/>
      <c r="G625" s="44"/>
      <c r="H625" s="44"/>
      <c r="I625" s="53"/>
      <c r="J625" s="44"/>
      <c r="K625" s="44"/>
      <c r="L625" s="44"/>
      <c r="M625" s="44"/>
      <c r="N625" s="44"/>
      <c r="O625" s="44"/>
      <c r="P625" s="44"/>
      <c r="Q625" s="44"/>
      <c r="R625" s="44"/>
      <c r="S625" s="44"/>
      <c r="T625" s="44"/>
      <c r="U625" s="44"/>
      <c r="V625" s="44"/>
      <c r="W625" s="44"/>
      <c r="X625" s="44"/>
      <c r="Y625" s="44"/>
      <c r="Z625" s="44"/>
      <c r="AA625" s="44"/>
      <c r="AB625" s="44"/>
      <c r="AC625" s="44"/>
      <c r="AD625" s="44"/>
      <c r="AE625" s="44"/>
      <c r="AF625" s="44"/>
      <c r="AG625" s="44"/>
    </row>
    <row r="626" spans="1:33" ht="16.5" customHeight="1">
      <c r="A626" s="44"/>
      <c r="B626" s="44"/>
      <c r="C626" s="44"/>
      <c r="D626" s="172"/>
      <c r="E626" s="44"/>
      <c r="F626" s="44"/>
      <c r="G626" s="44"/>
      <c r="H626" s="44"/>
      <c r="I626" s="53"/>
      <c r="J626" s="44"/>
      <c r="K626" s="44"/>
      <c r="L626" s="44"/>
      <c r="M626" s="44"/>
      <c r="N626" s="44"/>
      <c r="O626" s="44"/>
      <c r="P626" s="44"/>
      <c r="Q626" s="44"/>
      <c r="R626" s="44"/>
      <c r="S626" s="44"/>
      <c r="T626" s="44"/>
      <c r="U626" s="44"/>
      <c r="V626" s="44"/>
      <c r="W626" s="44"/>
      <c r="X626" s="44"/>
      <c r="Y626" s="44"/>
      <c r="Z626" s="44"/>
      <c r="AA626" s="44"/>
      <c r="AB626" s="44"/>
      <c r="AC626" s="44"/>
      <c r="AD626" s="44"/>
      <c r="AE626" s="44"/>
      <c r="AF626" s="44"/>
      <c r="AG626" s="44"/>
    </row>
    <row r="627" spans="1:33" ht="16.5" customHeight="1">
      <c r="A627" s="44"/>
      <c r="B627" s="44"/>
      <c r="C627" s="44"/>
      <c r="D627" s="172"/>
      <c r="E627" s="44"/>
      <c r="F627" s="44"/>
      <c r="G627" s="44"/>
      <c r="H627" s="44"/>
      <c r="I627" s="53"/>
      <c r="J627" s="44"/>
      <c r="K627" s="44"/>
      <c r="L627" s="44"/>
      <c r="M627" s="44"/>
      <c r="N627" s="44"/>
      <c r="O627" s="44"/>
      <c r="P627" s="44"/>
      <c r="Q627" s="44"/>
      <c r="R627" s="44"/>
      <c r="S627" s="44"/>
      <c r="T627" s="44"/>
      <c r="U627" s="44"/>
      <c r="V627" s="44"/>
      <c r="W627" s="44"/>
      <c r="X627" s="44"/>
      <c r="Y627" s="44"/>
      <c r="Z627" s="44"/>
      <c r="AA627" s="44"/>
      <c r="AB627" s="44"/>
      <c r="AC627" s="44"/>
      <c r="AD627" s="44"/>
      <c r="AE627" s="44"/>
      <c r="AF627" s="44"/>
      <c r="AG627" s="44"/>
    </row>
    <row r="628" spans="1:33" ht="16.5" customHeight="1">
      <c r="A628" s="44"/>
      <c r="B628" s="44"/>
      <c r="C628" s="44"/>
      <c r="D628" s="172"/>
      <c r="E628" s="44"/>
      <c r="F628" s="44"/>
      <c r="G628" s="44"/>
      <c r="H628" s="44"/>
      <c r="I628" s="53"/>
      <c r="J628" s="44"/>
      <c r="K628" s="44"/>
      <c r="L628" s="44"/>
      <c r="M628" s="44"/>
      <c r="N628" s="44"/>
      <c r="O628" s="44"/>
      <c r="P628" s="44"/>
      <c r="Q628" s="44"/>
      <c r="R628" s="44"/>
      <c r="S628" s="44"/>
      <c r="T628" s="44"/>
      <c r="U628" s="44"/>
      <c r="V628" s="44"/>
      <c r="W628" s="44"/>
      <c r="X628" s="44"/>
      <c r="Y628" s="44"/>
      <c r="Z628" s="44"/>
      <c r="AA628" s="44"/>
      <c r="AB628" s="44"/>
      <c r="AC628" s="44"/>
      <c r="AD628" s="44"/>
      <c r="AE628" s="44"/>
      <c r="AF628" s="44"/>
      <c r="AG628" s="44"/>
    </row>
    <row r="629" spans="1:33" ht="16.5" customHeight="1">
      <c r="A629" s="44"/>
      <c r="B629" s="44"/>
      <c r="C629" s="44"/>
      <c r="D629" s="172"/>
      <c r="E629" s="44"/>
      <c r="F629" s="44"/>
      <c r="G629" s="44"/>
      <c r="H629" s="44"/>
      <c r="I629" s="53"/>
      <c r="J629" s="44"/>
      <c r="K629" s="44"/>
      <c r="L629" s="44"/>
      <c r="M629" s="44"/>
      <c r="N629" s="44"/>
      <c r="O629" s="44"/>
      <c r="P629" s="44"/>
      <c r="Q629" s="44"/>
      <c r="R629" s="44"/>
      <c r="S629" s="44"/>
      <c r="T629" s="44"/>
      <c r="U629" s="44"/>
      <c r="V629" s="44"/>
      <c r="W629" s="44"/>
      <c r="X629" s="44"/>
      <c r="Y629" s="44"/>
      <c r="Z629" s="44"/>
      <c r="AA629" s="44"/>
      <c r="AB629" s="44"/>
      <c r="AC629" s="44"/>
      <c r="AD629" s="44"/>
      <c r="AE629" s="44"/>
      <c r="AF629" s="44"/>
      <c r="AG629" s="44"/>
    </row>
    <row r="630" spans="1:33" ht="16.5" customHeight="1">
      <c r="A630" s="44"/>
      <c r="B630" s="44"/>
      <c r="C630" s="44"/>
      <c r="D630" s="172"/>
      <c r="E630" s="44"/>
      <c r="F630" s="44"/>
      <c r="G630" s="44"/>
      <c r="H630" s="44"/>
      <c r="I630" s="53"/>
      <c r="J630" s="44"/>
      <c r="K630" s="44"/>
      <c r="L630" s="44"/>
      <c r="M630" s="44"/>
      <c r="N630" s="44"/>
      <c r="O630" s="44"/>
      <c r="P630" s="44"/>
      <c r="Q630" s="44"/>
      <c r="R630" s="44"/>
      <c r="S630" s="44"/>
      <c r="T630" s="44"/>
      <c r="U630" s="44"/>
      <c r="V630" s="44"/>
      <c r="W630" s="44"/>
      <c r="X630" s="44"/>
      <c r="Y630" s="44"/>
      <c r="Z630" s="44"/>
      <c r="AA630" s="44"/>
      <c r="AB630" s="44"/>
      <c r="AC630" s="44"/>
      <c r="AD630" s="44"/>
      <c r="AE630" s="44"/>
      <c r="AF630" s="44"/>
      <c r="AG630" s="44"/>
    </row>
    <row r="631" spans="1:33" ht="16.5" customHeight="1">
      <c r="A631" s="44"/>
      <c r="B631" s="44"/>
      <c r="C631" s="44"/>
      <c r="D631" s="172"/>
      <c r="E631" s="44"/>
      <c r="F631" s="44"/>
      <c r="G631" s="44"/>
      <c r="H631" s="44"/>
      <c r="I631" s="53"/>
      <c r="J631" s="44"/>
      <c r="K631" s="44"/>
      <c r="L631" s="44"/>
      <c r="M631" s="44"/>
      <c r="N631" s="44"/>
      <c r="O631" s="44"/>
      <c r="P631" s="44"/>
      <c r="Q631" s="44"/>
      <c r="R631" s="44"/>
      <c r="S631" s="44"/>
      <c r="T631" s="44"/>
      <c r="U631" s="44"/>
      <c r="V631" s="44"/>
      <c r="W631" s="44"/>
      <c r="X631" s="44"/>
      <c r="Y631" s="44"/>
      <c r="Z631" s="44"/>
      <c r="AA631" s="44"/>
      <c r="AB631" s="44"/>
      <c r="AC631" s="44"/>
      <c r="AD631" s="44"/>
      <c r="AE631" s="44"/>
      <c r="AF631" s="44"/>
      <c r="AG631" s="44"/>
    </row>
    <row r="632" spans="1:33" ht="16.5" customHeight="1">
      <c r="A632" s="44"/>
      <c r="B632" s="44"/>
      <c r="C632" s="44"/>
      <c r="D632" s="172"/>
      <c r="E632" s="44"/>
      <c r="F632" s="44"/>
      <c r="G632" s="44"/>
      <c r="H632" s="44"/>
      <c r="I632" s="53"/>
      <c r="J632" s="44"/>
      <c r="K632" s="44"/>
      <c r="L632" s="44"/>
      <c r="M632" s="44"/>
      <c r="N632" s="44"/>
      <c r="O632" s="44"/>
      <c r="P632" s="44"/>
      <c r="Q632" s="44"/>
      <c r="R632" s="44"/>
      <c r="S632" s="44"/>
      <c r="T632" s="44"/>
      <c r="U632" s="44"/>
      <c r="V632" s="44"/>
      <c r="W632" s="44"/>
      <c r="X632" s="44"/>
      <c r="Y632" s="44"/>
      <c r="Z632" s="44"/>
      <c r="AA632" s="44"/>
      <c r="AB632" s="44"/>
      <c r="AC632" s="44"/>
      <c r="AD632" s="44"/>
      <c r="AE632" s="44"/>
      <c r="AF632" s="44"/>
      <c r="AG632" s="44"/>
    </row>
    <row r="633" spans="1:33" ht="16.5" customHeight="1">
      <c r="A633" s="44"/>
      <c r="B633" s="44"/>
      <c r="C633" s="44"/>
      <c r="D633" s="172"/>
      <c r="E633" s="44"/>
      <c r="F633" s="44"/>
      <c r="G633" s="44"/>
      <c r="H633" s="44"/>
      <c r="I633" s="53"/>
      <c r="J633" s="44"/>
      <c r="K633" s="44"/>
      <c r="L633" s="44"/>
      <c r="M633" s="44"/>
      <c r="N633" s="44"/>
      <c r="O633" s="44"/>
      <c r="P633" s="44"/>
      <c r="Q633" s="44"/>
      <c r="R633" s="44"/>
      <c r="S633" s="44"/>
      <c r="T633" s="44"/>
      <c r="U633" s="44"/>
      <c r="V633" s="44"/>
      <c r="W633" s="44"/>
      <c r="X633" s="44"/>
      <c r="Y633" s="44"/>
      <c r="Z633" s="44"/>
      <c r="AA633" s="44"/>
      <c r="AB633" s="44"/>
      <c r="AC633" s="44"/>
      <c r="AD633" s="44"/>
      <c r="AE633" s="44"/>
      <c r="AF633" s="44"/>
      <c r="AG633" s="44"/>
    </row>
    <row r="634" spans="1:33" ht="16.5" customHeight="1">
      <c r="A634" s="44"/>
      <c r="B634" s="44"/>
      <c r="C634" s="44"/>
      <c r="D634" s="172"/>
      <c r="E634" s="44"/>
      <c r="F634" s="44"/>
      <c r="G634" s="44"/>
      <c r="H634" s="44"/>
      <c r="I634" s="53"/>
      <c r="J634" s="44"/>
      <c r="K634" s="44"/>
      <c r="L634" s="44"/>
      <c r="M634" s="44"/>
      <c r="N634" s="44"/>
      <c r="O634" s="44"/>
      <c r="P634" s="44"/>
      <c r="Q634" s="44"/>
      <c r="R634" s="44"/>
      <c r="S634" s="44"/>
      <c r="T634" s="44"/>
      <c r="U634" s="44"/>
      <c r="V634" s="44"/>
      <c r="W634" s="44"/>
      <c r="X634" s="44"/>
      <c r="Y634" s="44"/>
      <c r="Z634" s="44"/>
      <c r="AA634" s="44"/>
      <c r="AB634" s="44"/>
      <c r="AC634" s="44"/>
      <c r="AD634" s="44"/>
      <c r="AE634" s="44"/>
      <c r="AF634" s="44"/>
      <c r="AG634" s="44"/>
    </row>
    <row r="635" spans="1:33" ht="16.5" customHeight="1">
      <c r="A635" s="44"/>
      <c r="B635" s="44"/>
      <c r="C635" s="44"/>
      <c r="D635" s="172"/>
      <c r="E635" s="44"/>
      <c r="F635" s="44"/>
      <c r="G635" s="44"/>
      <c r="H635" s="44"/>
      <c r="I635" s="53"/>
      <c r="J635" s="44"/>
      <c r="K635" s="44"/>
      <c r="L635" s="44"/>
      <c r="M635" s="44"/>
      <c r="N635" s="44"/>
      <c r="O635" s="44"/>
      <c r="P635" s="44"/>
      <c r="Q635" s="44"/>
      <c r="R635" s="44"/>
      <c r="S635" s="44"/>
      <c r="T635" s="44"/>
      <c r="U635" s="44"/>
      <c r="V635" s="44"/>
      <c r="W635" s="44"/>
      <c r="X635" s="44"/>
      <c r="Y635" s="44"/>
      <c r="Z635" s="44"/>
      <c r="AA635" s="44"/>
      <c r="AB635" s="44"/>
      <c r="AC635" s="44"/>
      <c r="AD635" s="44"/>
      <c r="AE635" s="44"/>
      <c r="AF635" s="44"/>
      <c r="AG635" s="44"/>
    </row>
    <row r="636" spans="1:33" ht="16.5" customHeight="1">
      <c r="A636" s="44"/>
      <c r="B636" s="44"/>
      <c r="C636" s="44"/>
      <c r="D636" s="172"/>
      <c r="E636" s="44"/>
      <c r="F636" s="44"/>
      <c r="G636" s="44"/>
      <c r="H636" s="44"/>
      <c r="I636" s="53"/>
      <c r="J636" s="44"/>
      <c r="K636" s="44"/>
      <c r="L636" s="44"/>
      <c r="M636" s="44"/>
      <c r="N636" s="44"/>
      <c r="O636" s="44"/>
      <c r="P636" s="44"/>
      <c r="Q636" s="44"/>
      <c r="R636" s="44"/>
      <c r="S636" s="44"/>
      <c r="T636" s="44"/>
      <c r="U636" s="44"/>
      <c r="V636" s="44"/>
      <c r="W636" s="44"/>
      <c r="X636" s="44"/>
      <c r="Y636" s="44"/>
      <c r="Z636" s="44"/>
      <c r="AA636" s="44"/>
      <c r="AB636" s="44"/>
      <c r="AC636" s="44"/>
      <c r="AD636" s="44"/>
      <c r="AE636" s="44"/>
      <c r="AF636" s="44"/>
      <c r="AG636" s="44"/>
    </row>
    <row r="637" spans="1:33" ht="16.5" customHeight="1">
      <c r="A637" s="44"/>
      <c r="B637" s="44"/>
      <c r="C637" s="44"/>
      <c r="D637" s="172"/>
      <c r="E637" s="44"/>
      <c r="F637" s="44"/>
      <c r="G637" s="44"/>
      <c r="H637" s="44"/>
      <c r="I637" s="53"/>
      <c r="J637" s="44"/>
      <c r="K637" s="44"/>
      <c r="L637" s="44"/>
      <c r="M637" s="44"/>
      <c r="N637" s="44"/>
      <c r="O637" s="44"/>
      <c r="P637" s="44"/>
      <c r="Q637" s="44"/>
      <c r="R637" s="44"/>
      <c r="S637" s="44"/>
      <c r="T637" s="44"/>
      <c r="U637" s="44"/>
      <c r="V637" s="44"/>
      <c r="W637" s="44"/>
      <c r="X637" s="44"/>
      <c r="Y637" s="44"/>
      <c r="Z637" s="44"/>
      <c r="AA637" s="44"/>
      <c r="AB637" s="44"/>
      <c r="AC637" s="44"/>
      <c r="AD637" s="44"/>
      <c r="AE637" s="44"/>
      <c r="AF637" s="44"/>
      <c r="AG637" s="44"/>
    </row>
    <row r="638" spans="1:33" ht="16.5" customHeight="1">
      <c r="A638" s="44"/>
      <c r="B638" s="44"/>
      <c r="C638" s="44"/>
      <c r="D638" s="172"/>
      <c r="E638" s="44"/>
      <c r="F638" s="44"/>
      <c r="G638" s="44"/>
      <c r="H638" s="44"/>
      <c r="I638" s="53"/>
      <c r="J638" s="44"/>
      <c r="K638" s="44"/>
      <c r="L638" s="44"/>
      <c r="M638" s="44"/>
      <c r="N638" s="44"/>
      <c r="O638" s="44"/>
      <c r="P638" s="44"/>
      <c r="Q638" s="44"/>
      <c r="R638" s="44"/>
      <c r="S638" s="44"/>
      <c r="T638" s="44"/>
      <c r="U638" s="44"/>
      <c r="V638" s="44"/>
      <c r="W638" s="44"/>
      <c r="X638" s="44"/>
      <c r="Y638" s="44"/>
      <c r="Z638" s="44"/>
      <c r="AA638" s="44"/>
      <c r="AB638" s="44"/>
      <c r="AC638" s="44"/>
      <c r="AD638" s="44"/>
      <c r="AE638" s="44"/>
      <c r="AF638" s="44"/>
      <c r="AG638" s="44"/>
    </row>
    <row r="639" spans="1:33" ht="16.5" customHeight="1">
      <c r="A639" s="44"/>
      <c r="B639" s="44"/>
      <c r="C639" s="44"/>
      <c r="D639" s="172"/>
      <c r="E639" s="44"/>
      <c r="F639" s="44"/>
      <c r="G639" s="44"/>
      <c r="H639" s="44"/>
      <c r="I639" s="53"/>
      <c r="J639" s="44"/>
      <c r="K639" s="44"/>
      <c r="L639" s="44"/>
      <c r="M639" s="44"/>
      <c r="N639" s="44"/>
      <c r="O639" s="44"/>
      <c r="P639" s="44"/>
      <c r="Q639" s="44"/>
      <c r="R639" s="44"/>
      <c r="S639" s="44"/>
      <c r="T639" s="44"/>
      <c r="U639" s="44"/>
      <c r="V639" s="44"/>
      <c r="W639" s="44"/>
      <c r="X639" s="44"/>
      <c r="Y639" s="44"/>
      <c r="Z639" s="44"/>
      <c r="AA639" s="44"/>
      <c r="AB639" s="44"/>
      <c r="AC639" s="44"/>
      <c r="AD639" s="44"/>
      <c r="AE639" s="44"/>
      <c r="AF639" s="44"/>
      <c r="AG639" s="44"/>
    </row>
    <row r="640" spans="1:33" ht="16.5" customHeight="1">
      <c r="A640" s="44"/>
      <c r="B640" s="44"/>
      <c r="C640" s="44"/>
      <c r="D640" s="172"/>
      <c r="E640" s="44"/>
      <c r="F640" s="44"/>
      <c r="G640" s="44"/>
      <c r="H640" s="44"/>
      <c r="I640" s="53"/>
      <c r="J640" s="44"/>
      <c r="K640" s="44"/>
      <c r="L640" s="44"/>
      <c r="M640" s="44"/>
      <c r="N640" s="44"/>
      <c r="O640" s="44"/>
      <c r="P640" s="44"/>
      <c r="Q640" s="44"/>
      <c r="R640" s="44"/>
      <c r="S640" s="44"/>
      <c r="T640" s="44"/>
      <c r="U640" s="44"/>
      <c r="V640" s="44"/>
      <c r="W640" s="44"/>
      <c r="X640" s="44"/>
      <c r="Y640" s="44"/>
      <c r="Z640" s="44"/>
      <c r="AA640" s="44"/>
      <c r="AB640" s="44"/>
      <c r="AC640" s="44"/>
      <c r="AD640" s="44"/>
      <c r="AE640" s="44"/>
      <c r="AF640" s="44"/>
      <c r="AG640" s="44"/>
    </row>
    <row r="641" spans="1:33" ht="16.5" customHeight="1">
      <c r="A641" s="44"/>
      <c r="B641" s="44"/>
      <c r="C641" s="44"/>
      <c r="D641" s="172"/>
      <c r="E641" s="44"/>
      <c r="F641" s="44"/>
      <c r="G641" s="44"/>
      <c r="H641" s="44"/>
      <c r="I641" s="53"/>
      <c r="J641" s="44"/>
      <c r="K641" s="44"/>
      <c r="L641" s="44"/>
      <c r="M641" s="44"/>
      <c r="N641" s="44"/>
      <c r="O641" s="44"/>
      <c r="P641" s="44"/>
      <c r="Q641" s="44"/>
      <c r="R641" s="44"/>
      <c r="S641" s="44"/>
      <c r="T641" s="44"/>
      <c r="U641" s="44"/>
      <c r="V641" s="44"/>
      <c r="W641" s="44"/>
      <c r="X641" s="44"/>
      <c r="Y641" s="44"/>
      <c r="Z641" s="44"/>
      <c r="AA641" s="44"/>
      <c r="AB641" s="44"/>
      <c r="AC641" s="44"/>
      <c r="AD641" s="44"/>
      <c r="AE641" s="44"/>
      <c r="AF641" s="44"/>
      <c r="AG641" s="44"/>
    </row>
    <row r="642" spans="1:33" ht="16.5" customHeight="1">
      <c r="A642" s="44"/>
      <c r="B642" s="44"/>
      <c r="C642" s="44"/>
      <c r="D642" s="172"/>
      <c r="E642" s="44"/>
      <c r="F642" s="44"/>
      <c r="G642" s="44"/>
      <c r="H642" s="44"/>
      <c r="I642" s="53"/>
      <c r="J642" s="44"/>
      <c r="K642" s="44"/>
      <c r="L642" s="44"/>
      <c r="M642" s="44"/>
      <c r="N642" s="44"/>
      <c r="O642" s="44"/>
      <c r="P642" s="44"/>
      <c r="Q642" s="44"/>
      <c r="R642" s="44"/>
      <c r="S642" s="44"/>
      <c r="T642" s="44"/>
      <c r="U642" s="44"/>
      <c r="V642" s="44"/>
      <c r="W642" s="44"/>
      <c r="X642" s="44"/>
      <c r="Y642" s="44"/>
      <c r="Z642" s="44"/>
      <c r="AA642" s="44"/>
      <c r="AB642" s="44"/>
      <c r="AC642" s="44"/>
      <c r="AD642" s="44"/>
      <c r="AE642" s="44"/>
      <c r="AF642" s="44"/>
      <c r="AG642" s="44"/>
    </row>
    <row r="643" spans="1:33" ht="16.5" customHeight="1">
      <c r="A643" s="44"/>
      <c r="B643" s="44"/>
      <c r="C643" s="44"/>
      <c r="D643" s="172"/>
      <c r="E643" s="44"/>
      <c r="F643" s="44"/>
      <c r="G643" s="44"/>
      <c r="H643" s="44"/>
      <c r="I643" s="53"/>
      <c r="J643" s="44"/>
      <c r="K643" s="44"/>
      <c r="L643" s="44"/>
      <c r="M643" s="44"/>
      <c r="N643" s="44"/>
      <c r="O643" s="44"/>
      <c r="P643" s="44"/>
      <c r="Q643" s="44"/>
      <c r="R643" s="44"/>
      <c r="S643" s="44"/>
      <c r="T643" s="44"/>
      <c r="U643" s="44"/>
      <c r="V643" s="44"/>
      <c r="W643" s="44"/>
      <c r="X643" s="44"/>
      <c r="Y643" s="44"/>
      <c r="Z643" s="44"/>
      <c r="AA643" s="44"/>
      <c r="AB643" s="44"/>
      <c r="AC643" s="44"/>
      <c r="AD643" s="44"/>
      <c r="AE643" s="44"/>
      <c r="AF643" s="44"/>
      <c r="AG643" s="44"/>
    </row>
    <row r="644" spans="1:33" ht="16.5" customHeight="1">
      <c r="A644" s="44"/>
      <c r="B644" s="44"/>
      <c r="C644" s="44"/>
      <c r="D644" s="172"/>
      <c r="E644" s="44"/>
      <c r="F644" s="44"/>
      <c r="G644" s="44"/>
      <c r="H644" s="44"/>
      <c r="I644" s="53"/>
      <c r="J644" s="44"/>
      <c r="K644" s="44"/>
      <c r="L644" s="44"/>
      <c r="M644" s="44"/>
      <c r="N644" s="44"/>
      <c r="O644" s="44"/>
      <c r="P644" s="44"/>
      <c r="Q644" s="44"/>
      <c r="R644" s="44"/>
      <c r="S644" s="44"/>
      <c r="T644" s="44"/>
      <c r="U644" s="44"/>
      <c r="V644" s="44"/>
      <c r="W644" s="44"/>
      <c r="X644" s="44"/>
      <c r="Y644" s="44"/>
      <c r="Z644" s="44"/>
      <c r="AA644" s="44"/>
      <c r="AB644" s="44"/>
      <c r="AC644" s="44"/>
      <c r="AD644" s="44"/>
      <c r="AE644" s="44"/>
      <c r="AF644" s="44"/>
      <c r="AG644" s="44"/>
    </row>
    <row r="645" spans="1:33" ht="16.5" customHeight="1">
      <c r="A645" s="44"/>
      <c r="B645" s="44"/>
      <c r="C645" s="44"/>
      <c r="D645" s="172"/>
      <c r="E645" s="44"/>
      <c r="F645" s="44"/>
      <c r="G645" s="44"/>
      <c r="H645" s="44"/>
      <c r="I645" s="53"/>
      <c r="J645" s="44"/>
      <c r="K645" s="44"/>
      <c r="L645" s="44"/>
      <c r="M645" s="44"/>
      <c r="N645" s="44"/>
      <c r="O645" s="44"/>
      <c r="P645" s="44"/>
      <c r="Q645" s="44"/>
      <c r="R645" s="44"/>
      <c r="S645" s="44"/>
      <c r="T645" s="44"/>
      <c r="U645" s="44"/>
      <c r="V645" s="44"/>
      <c r="W645" s="44"/>
      <c r="X645" s="44"/>
      <c r="Y645" s="44"/>
      <c r="Z645" s="44"/>
      <c r="AA645" s="44"/>
      <c r="AB645" s="44"/>
      <c r="AC645" s="44"/>
      <c r="AD645" s="44"/>
      <c r="AE645" s="44"/>
      <c r="AF645" s="44"/>
      <c r="AG645" s="44"/>
    </row>
    <row r="646" spans="1:33" ht="16.5" customHeight="1">
      <c r="A646" s="44"/>
      <c r="B646" s="44"/>
      <c r="C646" s="44"/>
      <c r="D646" s="172"/>
      <c r="E646" s="44"/>
      <c r="F646" s="44"/>
      <c r="G646" s="44"/>
      <c r="H646" s="44"/>
      <c r="I646" s="53"/>
      <c r="J646" s="44"/>
      <c r="K646" s="44"/>
      <c r="L646" s="44"/>
      <c r="M646" s="44"/>
      <c r="N646" s="44"/>
      <c r="O646" s="44"/>
      <c r="P646" s="44"/>
      <c r="Q646" s="44"/>
      <c r="R646" s="44"/>
      <c r="S646" s="44"/>
      <c r="T646" s="44"/>
      <c r="U646" s="44"/>
      <c r="V646" s="44"/>
      <c r="W646" s="44"/>
      <c r="X646" s="44"/>
      <c r="Y646" s="44"/>
      <c r="Z646" s="44"/>
      <c r="AA646" s="44"/>
      <c r="AB646" s="44"/>
      <c r="AC646" s="44"/>
      <c r="AD646" s="44"/>
      <c r="AE646" s="44"/>
      <c r="AF646" s="44"/>
      <c r="AG646" s="44"/>
    </row>
    <row r="647" spans="1:33" ht="16.5" customHeight="1">
      <c r="A647" s="44"/>
      <c r="B647" s="44"/>
      <c r="C647" s="44"/>
      <c r="D647" s="172"/>
      <c r="E647" s="44"/>
      <c r="F647" s="44"/>
      <c r="G647" s="44"/>
      <c r="H647" s="44"/>
      <c r="I647" s="53"/>
      <c r="J647" s="44"/>
      <c r="K647" s="44"/>
      <c r="L647" s="44"/>
      <c r="M647" s="44"/>
      <c r="N647" s="44"/>
      <c r="O647" s="44"/>
      <c r="P647" s="44"/>
      <c r="Q647" s="44"/>
      <c r="R647" s="44"/>
      <c r="S647" s="44"/>
      <c r="T647" s="44"/>
      <c r="U647" s="44"/>
      <c r="V647" s="44"/>
      <c r="W647" s="44"/>
      <c r="X647" s="44"/>
      <c r="Y647" s="44"/>
      <c r="Z647" s="44"/>
      <c r="AA647" s="44"/>
      <c r="AB647" s="44"/>
      <c r="AC647" s="44"/>
      <c r="AD647" s="44"/>
      <c r="AE647" s="44"/>
      <c r="AF647" s="44"/>
      <c r="AG647" s="44"/>
    </row>
    <row r="648" spans="1:33" ht="16.5" customHeight="1">
      <c r="A648" s="44"/>
      <c r="B648" s="44"/>
      <c r="C648" s="44"/>
      <c r="D648" s="172"/>
      <c r="E648" s="44"/>
      <c r="F648" s="44"/>
      <c r="G648" s="44"/>
      <c r="H648" s="44"/>
      <c r="I648" s="53"/>
      <c r="J648" s="44"/>
      <c r="K648" s="44"/>
      <c r="L648" s="44"/>
      <c r="M648" s="44"/>
      <c r="N648" s="44"/>
      <c r="O648" s="44"/>
      <c r="P648" s="44"/>
      <c r="Q648" s="44"/>
      <c r="R648" s="44"/>
      <c r="S648" s="44"/>
      <c r="T648" s="44"/>
      <c r="U648" s="44"/>
      <c r="V648" s="44"/>
      <c r="W648" s="44"/>
      <c r="X648" s="44"/>
      <c r="Y648" s="44"/>
      <c r="Z648" s="44"/>
      <c r="AA648" s="44"/>
      <c r="AB648" s="44"/>
      <c r="AC648" s="44"/>
      <c r="AD648" s="44"/>
      <c r="AE648" s="44"/>
      <c r="AF648" s="44"/>
      <c r="AG648" s="44"/>
    </row>
    <row r="649" spans="1:33" ht="16.5" customHeight="1">
      <c r="A649" s="44"/>
      <c r="B649" s="44"/>
      <c r="C649" s="44"/>
      <c r="D649" s="172"/>
      <c r="E649" s="44"/>
      <c r="F649" s="44"/>
      <c r="G649" s="44"/>
      <c r="H649" s="44"/>
      <c r="I649" s="53"/>
      <c r="J649" s="44"/>
      <c r="K649" s="44"/>
      <c r="L649" s="44"/>
      <c r="M649" s="44"/>
      <c r="N649" s="44"/>
      <c r="O649" s="44"/>
      <c r="P649" s="44"/>
      <c r="Q649" s="44"/>
      <c r="R649" s="44"/>
      <c r="S649" s="44"/>
      <c r="T649" s="44"/>
      <c r="U649" s="44"/>
      <c r="V649" s="44"/>
      <c r="W649" s="44"/>
      <c r="X649" s="44"/>
      <c r="Y649" s="44"/>
      <c r="Z649" s="44"/>
      <c r="AA649" s="44"/>
      <c r="AB649" s="44"/>
      <c r="AC649" s="44"/>
      <c r="AD649" s="44"/>
      <c r="AE649" s="44"/>
      <c r="AF649" s="44"/>
      <c r="AG649" s="44"/>
    </row>
    <row r="650" spans="1:33" ht="16.5" customHeight="1">
      <c r="A650" s="44"/>
      <c r="B650" s="44"/>
      <c r="C650" s="44"/>
      <c r="D650" s="172"/>
      <c r="E650" s="44"/>
      <c r="F650" s="44"/>
      <c r="G650" s="44"/>
      <c r="H650" s="44"/>
      <c r="I650" s="53"/>
      <c r="J650" s="44"/>
      <c r="K650" s="44"/>
      <c r="L650" s="44"/>
      <c r="M650" s="44"/>
      <c r="N650" s="44"/>
      <c r="O650" s="44"/>
      <c r="P650" s="44"/>
      <c r="Q650" s="44"/>
      <c r="R650" s="44"/>
      <c r="S650" s="44"/>
      <c r="T650" s="44"/>
      <c r="U650" s="44"/>
      <c r="V650" s="44"/>
      <c r="W650" s="44"/>
      <c r="X650" s="44"/>
      <c r="Y650" s="44"/>
      <c r="Z650" s="44"/>
      <c r="AA650" s="44"/>
      <c r="AB650" s="44"/>
      <c r="AC650" s="44"/>
      <c r="AD650" s="44"/>
      <c r="AE650" s="44"/>
      <c r="AF650" s="44"/>
      <c r="AG650" s="44"/>
    </row>
    <row r="651" spans="1:33" ht="16.5" customHeight="1">
      <c r="A651" s="44"/>
      <c r="B651" s="44"/>
      <c r="C651" s="44"/>
      <c r="D651" s="172"/>
      <c r="E651" s="44"/>
      <c r="F651" s="44"/>
      <c r="G651" s="44"/>
      <c r="H651" s="44"/>
      <c r="I651" s="53"/>
      <c r="J651" s="44"/>
      <c r="K651" s="44"/>
      <c r="L651" s="44"/>
      <c r="M651" s="44"/>
      <c r="N651" s="44"/>
      <c r="O651" s="44"/>
      <c r="P651" s="44"/>
      <c r="Q651" s="44"/>
      <c r="R651" s="44"/>
      <c r="S651" s="44"/>
      <c r="T651" s="44"/>
      <c r="U651" s="44"/>
      <c r="V651" s="44"/>
      <c r="W651" s="44"/>
      <c r="X651" s="44"/>
      <c r="Y651" s="44"/>
      <c r="Z651" s="44"/>
      <c r="AA651" s="44"/>
      <c r="AB651" s="44"/>
      <c r="AC651" s="44"/>
      <c r="AD651" s="44"/>
      <c r="AE651" s="44"/>
      <c r="AF651" s="44"/>
      <c r="AG651" s="44"/>
    </row>
    <row r="652" spans="1:33" ht="16.5" customHeight="1">
      <c r="A652" s="44"/>
      <c r="B652" s="44"/>
      <c r="C652" s="44"/>
      <c r="D652" s="172"/>
      <c r="E652" s="44"/>
      <c r="F652" s="44"/>
      <c r="G652" s="44"/>
      <c r="H652" s="44"/>
      <c r="I652" s="53"/>
      <c r="J652" s="44"/>
      <c r="K652" s="44"/>
      <c r="L652" s="44"/>
      <c r="M652" s="44"/>
      <c r="N652" s="44"/>
      <c r="O652" s="44"/>
      <c r="P652" s="44"/>
      <c r="Q652" s="44"/>
      <c r="R652" s="44"/>
      <c r="S652" s="44"/>
      <c r="T652" s="44"/>
      <c r="U652" s="44"/>
      <c r="V652" s="44"/>
      <c r="W652" s="44"/>
      <c r="X652" s="44"/>
      <c r="Y652" s="44"/>
      <c r="Z652" s="44"/>
      <c r="AA652" s="44"/>
      <c r="AB652" s="44"/>
      <c r="AC652" s="44"/>
      <c r="AD652" s="44"/>
      <c r="AE652" s="44"/>
      <c r="AF652" s="44"/>
      <c r="AG652" s="44"/>
    </row>
    <row r="653" spans="1:33" ht="16.5" customHeight="1">
      <c r="A653" s="44"/>
      <c r="B653" s="44"/>
      <c r="C653" s="44"/>
      <c r="D653" s="172"/>
      <c r="E653" s="44"/>
      <c r="F653" s="44"/>
      <c r="G653" s="44"/>
      <c r="H653" s="44"/>
      <c r="I653" s="53"/>
      <c r="J653" s="44"/>
      <c r="K653" s="44"/>
      <c r="L653" s="44"/>
      <c r="M653" s="44"/>
      <c r="N653" s="44"/>
      <c r="O653" s="44"/>
      <c r="P653" s="44"/>
      <c r="Q653" s="44"/>
      <c r="R653" s="44"/>
      <c r="S653" s="44"/>
      <c r="T653" s="44"/>
      <c r="U653" s="44"/>
      <c r="V653" s="44"/>
      <c r="W653" s="44"/>
      <c r="X653" s="44"/>
      <c r="Y653" s="44"/>
      <c r="Z653" s="44"/>
      <c r="AA653" s="44"/>
      <c r="AB653" s="44"/>
      <c r="AC653" s="44"/>
      <c r="AD653" s="44"/>
      <c r="AE653" s="44"/>
      <c r="AF653" s="44"/>
      <c r="AG653" s="44"/>
    </row>
    <row r="654" spans="1:33" ht="16.5" customHeight="1">
      <c r="A654" s="44"/>
      <c r="B654" s="44"/>
      <c r="C654" s="44"/>
      <c r="D654" s="172"/>
      <c r="E654" s="44"/>
      <c r="F654" s="44"/>
      <c r="G654" s="44"/>
      <c r="H654" s="44"/>
      <c r="I654" s="53"/>
      <c r="J654" s="44"/>
      <c r="K654" s="44"/>
      <c r="L654" s="44"/>
      <c r="M654" s="44"/>
      <c r="N654" s="44"/>
      <c r="O654" s="44"/>
      <c r="P654" s="44"/>
      <c r="Q654" s="44"/>
      <c r="R654" s="44"/>
      <c r="S654" s="44"/>
      <c r="T654" s="44"/>
      <c r="U654" s="44"/>
      <c r="V654" s="44"/>
      <c r="W654" s="44"/>
      <c r="X654" s="44"/>
      <c r="Y654" s="44"/>
      <c r="Z654" s="44"/>
      <c r="AA654" s="44"/>
      <c r="AB654" s="44"/>
      <c r="AC654" s="44"/>
      <c r="AD654" s="44"/>
      <c r="AE654" s="44"/>
      <c r="AF654" s="44"/>
      <c r="AG654" s="44"/>
    </row>
    <row r="655" spans="1:33" ht="16.5" customHeight="1">
      <c r="A655" s="44"/>
      <c r="B655" s="44"/>
      <c r="C655" s="44"/>
      <c r="D655" s="172"/>
      <c r="E655" s="44"/>
      <c r="F655" s="44"/>
      <c r="G655" s="44"/>
      <c r="H655" s="44"/>
      <c r="I655" s="53"/>
      <c r="J655" s="44"/>
      <c r="K655" s="44"/>
      <c r="L655" s="44"/>
      <c r="M655" s="44"/>
      <c r="N655" s="44"/>
      <c r="O655" s="44"/>
      <c r="P655" s="44"/>
      <c r="Q655" s="44"/>
      <c r="R655" s="44"/>
      <c r="S655" s="44"/>
      <c r="T655" s="44"/>
      <c r="U655" s="44"/>
      <c r="V655" s="44"/>
      <c r="W655" s="44"/>
      <c r="X655" s="44"/>
      <c r="Y655" s="44"/>
      <c r="Z655" s="44"/>
      <c r="AA655" s="44"/>
      <c r="AB655" s="44"/>
      <c r="AC655" s="44"/>
      <c r="AD655" s="44"/>
      <c r="AE655" s="44"/>
      <c r="AF655" s="44"/>
      <c r="AG655" s="44"/>
    </row>
    <row r="656" spans="1:33" ht="16.5" customHeight="1">
      <c r="A656" s="44"/>
      <c r="B656" s="44"/>
      <c r="C656" s="44"/>
      <c r="D656" s="172"/>
      <c r="E656" s="44"/>
      <c r="F656" s="44"/>
      <c r="G656" s="44"/>
      <c r="H656" s="44"/>
      <c r="I656" s="53"/>
      <c r="J656" s="44"/>
      <c r="K656" s="44"/>
      <c r="L656" s="44"/>
      <c r="M656" s="44"/>
      <c r="N656" s="44"/>
      <c r="O656" s="44"/>
      <c r="P656" s="44"/>
      <c r="Q656" s="44"/>
      <c r="R656" s="44"/>
      <c r="S656" s="44"/>
      <c r="T656" s="44"/>
      <c r="U656" s="44"/>
      <c r="V656" s="44"/>
      <c r="W656" s="44"/>
      <c r="X656" s="44"/>
      <c r="Y656" s="44"/>
      <c r="Z656" s="44"/>
      <c r="AA656" s="44"/>
      <c r="AB656" s="44"/>
      <c r="AC656" s="44"/>
      <c r="AD656" s="44"/>
      <c r="AE656" s="44"/>
      <c r="AF656" s="44"/>
      <c r="AG656" s="44"/>
    </row>
    <row r="657" spans="1:33" ht="16.5" customHeight="1">
      <c r="A657" s="44"/>
      <c r="B657" s="44"/>
      <c r="C657" s="44"/>
      <c r="D657" s="172"/>
      <c r="E657" s="44"/>
      <c r="F657" s="44"/>
      <c r="G657" s="44"/>
      <c r="H657" s="44"/>
      <c r="I657" s="53"/>
      <c r="J657" s="44"/>
      <c r="K657" s="44"/>
      <c r="L657" s="44"/>
      <c r="M657" s="44"/>
      <c r="N657" s="44"/>
      <c r="O657" s="44"/>
      <c r="P657" s="44"/>
      <c r="Q657" s="44"/>
      <c r="R657" s="44"/>
      <c r="S657" s="44"/>
      <c r="T657" s="44"/>
      <c r="U657" s="44"/>
      <c r="V657" s="44"/>
      <c r="W657" s="44"/>
      <c r="X657" s="44"/>
      <c r="Y657" s="44"/>
      <c r="Z657" s="44"/>
      <c r="AA657" s="44"/>
      <c r="AB657" s="44"/>
      <c r="AC657" s="44"/>
      <c r="AD657" s="44"/>
      <c r="AE657" s="44"/>
      <c r="AF657" s="44"/>
      <c r="AG657" s="44"/>
    </row>
    <row r="658" spans="1:33" ht="16.5" customHeight="1">
      <c r="A658" s="44"/>
      <c r="B658" s="44"/>
      <c r="C658" s="44"/>
      <c r="D658" s="172"/>
      <c r="E658" s="44"/>
      <c r="F658" s="44"/>
      <c r="G658" s="44"/>
      <c r="H658" s="44"/>
      <c r="I658" s="53"/>
      <c r="J658" s="44"/>
      <c r="K658" s="44"/>
      <c r="L658" s="44"/>
      <c r="M658" s="44"/>
      <c r="N658" s="44"/>
      <c r="O658" s="44"/>
      <c r="P658" s="44"/>
      <c r="Q658" s="44"/>
      <c r="R658" s="44"/>
      <c r="S658" s="44"/>
      <c r="T658" s="44"/>
      <c r="U658" s="44"/>
      <c r="V658" s="44"/>
      <c r="W658" s="44"/>
      <c r="X658" s="44"/>
      <c r="Y658" s="44"/>
      <c r="Z658" s="44"/>
      <c r="AA658" s="44"/>
      <c r="AB658" s="44"/>
      <c r="AC658" s="44"/>
      <c r="AD658" s="44"/>
      <c r="AE658" s="44"/>
      <c r="AF658" s="44"/>
      <c r="AG658" s="44"/>
    </row>
    <row r="659" spans="1:33" ht="16.5" customHeight="1">
      <c r="A659" s="44"/>
      <c r="B659" s="44"/>
      <c r="C659" s="44"/>
      <c r="D659" s="172"/>
      <c r="E659" s="44"/>
      <c r="F659" s="44"/>
      <c r="G659" s="44"/>
      <c r="H659" s="44"/>
      <c r="I659" s="53"/>
      <c r="J659" s="44"/>
      <c r="K659" s="44"/>
      <c r="L659" s="44"/>
      <c r="M659" s="44"/>
      <c r="N659" s="44"/>
      <c r="O659" s="44"/>
      <c r="P659" s="44"/>
      <c r="Q659" s="44"/>
      <c r="R659" s="44"/>
      <c r="S659" s="44"/>
      <c r="T659" s="44"/>
      <c r="U659" s="44"/>
      <c r="V659" s="44"/>
      <c r="W659" s="44"/>
      <c r="X659" s="44"/>
      <c r="Y659" s="44"/>
      <c r="Z659" s="44"/>
      <c r="AA659" s="44"/>
      <c r="AB659" s="44"/>
      <c r="AC659" s="44"/>
      <c r="AD659" s="44"/>
      <c r="AE659" s="44"/>
      <c r="AF659" s="44"/>
      <c r="AG659" s="44"/>
    </row>
    <row r="660" spans="1:33" ht="16.5" customHeight="1">
      <c r="A660" s="44"/>
      <c r="B660" s="44"/>
      <c r="C660" s="44"/>
      <c r="D660" s="172"/>
      <c r="E660" s="44"/>
      <c r="F660" s="44"/>
      <c r="G660" s="44"/>
      <c r="H660" s="44"/>
      <c r="I660" s="53"/>
      <c r="J660" s="44"/>
      <c r="K660" s="44"/>
      <c r="L660" s="44"/>
      <c r="M660" s="44"/>
      <c r="N660" s="44"/>
      <c r="O660" s="44"/>
      <c r="P660" s="44"/>
      <c r="Q660" s="44"/>
      <c r="R660" s="44"/>
      <c r="S660" s="44"/>
      <c r="T660" s="44"/>
      <c r="U660" s="44"/>
      <c r="V660" s="44"/>
      <c r="W660" s="44"/>
      <c r="X660" s="44"/>
      <c r="Y660" s="44"/>
      <c r="Z660" s="44"/>
      <c r="AA660" s="44"/>
      <c r="AB660" s="44"/>
      <c r="AC660" s="44"/>
      <c r="AD660" s="44"/>
      <c r="AE660" s="44"/>
      <c r="AF660" s="44"/>
      <c r="AG660" s="44"/>
    </row>
    <row r="661" spans="1:33" ht="16.5" customHeight="1">
      <c r="A661" s="44"/>
      <c r="B661" s="44"/>
      <c r="C661" s="44"/>
      <c r="D661" s="172"/>
      <c r="E661" s="44"/>
      <c r="F661" s="44"/>
      <c r="G661" s="44"/>
      <c r="H661" s="44"/>
      <c r="I661" s="53"/>
      <c r="J661" s="44"/>
      <c r="K661" s="44"/>
      <c r="L661" s="44"/>
      <c r="M661" s="44"/>
      <c r="N661" s="44"/>
      <c r="O661" s="44"/>
      <c r="P661" s="44"/>
      <c r="Q661" s="44"/>
      <c r="R661" s="44"/>
      <c r="S661" s="44"/>
      <c r="T661" s="44"/>
      <c r="U661" s="44"/>
      <c r="V661" s="44"/>
      <c r="W661" s="44"/>
      <c r="X661" s="44"/>
      <c r="Y661" s="44"/>
      <c r="Z661" s="44"/>
      <c r="AA661" s="44"/>
      <c r="AB661" s="44"/>
      <c r="AC661" s="44"/>
      <c r="AD661" s="44"/>
      <c r="AE661" s="44"/>
      <c r="AF661" s="44"/>
      <c r="AG661" s="44"/>
    </row>
    <row r="662" spans="1:33" ht="16.5" customHeight="1">
      <c r="A662" s="44"/>
      <c r="B662" s="44"/>
      <c r="C662" s="44"/>
      <c r="D662" s="172"/>
      <c r="E662" s="44"/>
      <c r="F662" s="44"/>
      <c r="G662" s="44"/>
      <c r="H662" s="44"/>
      <c r="I662" s="53"/>
      <c r="J662" s="44"/>
      <c r="K662" s="44"/>
      <c r="L662" s="44"/>
      <c r="M662" s="44"/>
      <c r="N662" s="44"/>
      <c r="O662" s="44"/>
      <c r="P662" s="44"/>
      <c r="Q662" s="44"/>
      <c r="R662" s="44"/>
      <c r="S662" s="44"/>
      <c r="T662" s="44"/>
      <c r="U662" s="44"/>
      <c r="V662" s="44"/>
      <c r="W662" s="44"/>
      <c r="X662" s="44"/>
      <c r="Y662" s="44"/>
      <c r="Z662" s="44"/>
      <c r="AA662" s="44"/>
      <c r="AB662" s="44"/>
      <c r="AC662" s="44"/>
      <c r="AD662" s="44"/>
      <c r="AE662" s="44"/>
      <c r="AF662" s="44"/>
      <c r="AG662" s="44"/>
    </row>
    <row r="663" spans="1:33" ht="16.5" customHeight="1">
      <c r="A663" s="44"/>
      <c r="B663" s="44"/>
      <c r="C663" s="44"/>
      <c r="D663" s="172"/>
      <c r="E663" s="44"/>
      <c r="F663" s="44"/>
      <c r="G663" s="44"/>
      <c r="H663" s="44"/>
      <c r="I663" s="53"/>
      <c r="J663" s="44"/>
      <c r="K663" s="44"/>
      <c r="L663" s="44"/>
      <c r="M663" s="44"/>
      <c r="N663" s="44"/>
      <c r="O663" s="44"/>
      <c r="P663" s="44"/>
      <c r="Q663" s="44"/>
      <c r="R663" s="44"/>
      <c r="S663" s="44"/>
      <c r="T663" s="44"/>
      <c r="U663" s="44"/>
      <c r="V663" s="44"/>
      <c r="W663" s="44"/>
      <c r="X663" s="44"/>
      <c r="Y663" s="44"/>
      <c r="Z663" s="44"/>
      <c r="AA663" s="44"/>
      <c r="AB663" s="44"/>
      <c r="AC663" s="44"/>
      <c r="AD663" s="44"/>
      <c r="AE663" s="44"/>
      <c r="AF663" s="44"/>
      <c r="AG663" s="44"/>
    </row>
    <row r="664" spans="1:33" ht="16.5" customHeight="1">
      <c r="A664" s="44"/>
      <c r="B664" s="44"/>
      <c r="C664" s="44"/>
      <c r="D664" s="172"/>
      <c r="E664" s="44"/>
      <c r="F664" s="44"/>
      <c r="G664" s="44"/>
      <c r="H664" s="44"/>
      <c r="I664" s="53"/>
      <c r="J664" s="44"/>
      <c r="K664" s="44"/>
      <c r="L664" s="44"/>
      <c r="M664" s="44"/>
      <c r="N664" s="44"/>
      <c r="O664" s="44"/>
      <c r="P664" s="44"/>
      <c r="Q664" s="44"/>
      <c r="R664" s="44"/>
      <c r="S664" s="44"/>
      <c r="T664" s="44"/>
      <c r="U664" s="44"/>
      <c r="V664" s="44"/>
      <c r="W664" s="44"/>
      <c r="X664" s="44"/>
      <c r="Y664" s="44"/>
      <c r="Z664" s="44"/>
      <c r="AA664" s="44"/>
      <c r="AB664" s="44"/>
      <c r="AC664" s="44"/>
      <c r="AD664" s="44"/>
      <c r="AE664" s="44"/>
      <c r="AF664" s="44"/>
      <c r="AG664" s="44"/>
    </row>
    <row r="665" spans="1:33" ht="16.5" customHeight="1">
      <c r="A665" s="44"/>
      <c r="B665" s="44"/>
      <c r="C665" s="44"/>
      <c r="D665" s="172"/>
      <c r="E665" s="44"/>
      <c r="F665" s="44"/>
      <c r="G665" s="44"/>
      <c r="H665" s="44"/>
      <c r="I665" s="53"/>
      <c r="J665" s="44"/>
      <c r="K665" s="44"/>
      <c r="L665" s="44"/>
      <c r="M665" s="44"/>
      <c r="N665" s="44"/>
      <c r="O665" s="44"/>
      <c r="P665" s="44"/>
      <c r="Q665" s="44"/>
      <c r="R665" s="44"/>
      <c r="S665" s="44"/>
      <c r="T665" s="44"/>
      <c r="U665" s="44"/>
      <c r="V665" s="44"/>
      <c r="W665" s="44"/>
      <c r="X665" s="44"/>
      <c r="Y665" s="44"/>
      <c r="Z665" s="44"/>
      <c r="AA665" s="44"/>
      <c r="AB665" s="44"/>
      <c r="AC665" s="44"/>
      <c r="AD665" s="44"/>
      <c r="AE665" s="44"/>
      <c r="AF665" s="44"/>
      <c r="AG665" s="44"/>
    </row>
    <row r="666" spans="1:33" ht="16.5" customHeight="1">
      <c r="A666" s="44"/>
      <c r="B666" s="44"/>
      <c r="C666" s="44"/>
      <c r="D666" s="172"/>
      <c r="E666" s="44"/>
      <c r="F666" s="44"/>
      <c r="G666" s="44"/>
      <c r="H666" s="44"/>
      <c r="I666" s="53"/>
      <c r="J666" s="44"/>
      <c r="K666" s="44"/>
      <c r="L666" s="44"/>
      <c r="M666" s="44"/>
      <c r="N666" s="44"/>
      <c r="O666" s="44"/>
      <c r="P666" s="44"/>
      <c r="Q666" s="44"/>
      <c r="R666" s="44"/>
      <c r="S666" s="44"/>
      <c r="T666" s="44"/>
      <c r="U666" s="44"/>
      <c r="V666" s="44"/>
      <c r="W666" s="44"/>
      <c r="X666" s="44"/>
      <c r="Y666" s="44"/>
      <c r="Z666" s="44"/>
      <c r="AA666" s="44"/>
      <c r="AB666" s="44"/>
      <c r="AC666" s="44"/>
      <c r="AD666" s="44"/>
      <c r="AE666" s="44"/>
      <c r="AF666" s="44"/>
      <c r="AG666" s="44"/>
    </row>
    <row r="667" spans="1:33" ht="16.5" customHeight="1">
      <c r="A667" s="44"/>
      <c r="B667" s="44"/>
      <c r="C667" s="44"/>
      <c r="D667" s="172"/>
      <c r="E667" s="44"/>
      <c r="F667" s="44"/>
      <c r="G667" s="44"/>
      <c r="H667" s="44"/>
      <c r="I667" s="53"/>
      <c r="J667" s="44"/>
      <c r="K667" s="44"/>
      <c r="L667" s="44"/>
      <c r="M667" s="44"/>
      <c r="N667" s="44"/>
      <c r="O667" s="44"/>
      <c r="P667" s="44"/>
      <c r="Q667" s="44"/>
      <c r="R667" s="44"/>
      <c r="S667" s="44"/>
      <c r="T667" s="44"/>
      <c r="U667" s="44"/>
      <c r="V667" s="44"/>
      <c r="W667" s="44"/>
      <c r="X667" s="44"/>
      <c r="Y667" s="44"/>
      <c r="Z667" s="44"/>
      <c r="AA667" s="44"/>
      <c r="AB667" s="44"/>
      <c r="AC667" s="44"/>
      <c r="AD667" s="44"/>
      <c r="AE667" s="44"/>
      <c r="AF667" s="44"/>
      <c r="AG667" s="44"/>
    </row>
    <row r="668" spans="1:33" ht="16.5" customHeight="1">
      <c r="A668" s="44"/>
      <c r="B668" s="44"/>
      <c r="C668" s="44"/>
      <c r="D668" s="172"/>
      <c r="E668" s="44"/>
      <c r="F668" s="44"/>
      <c r="G668" s="44"/>
      <c r="H668" s="44"/>
      <c r="I668" s="53"/>
      <c r="J668" s="44"/>
      <c r="K668" s="44"/>
      <c r="L668" s="44"/>
      <c r="M668" s="44"/>
      <c r="N668" s="44"/>
      <c r="O668" s="44"/>
      <c r="P668" s="44"/>
      <c r="Q668" s="44"/>
      <c r="R668" s="44"/>
      <c r="S668" s="44"/>
      <c r="T668" s="44"/>
      <c r="U668" s="44"/>
      <c r="V668" s="44"/>
      <c r="W668" s="44"/>
      <c r="X668" s="44"/>
      <c r="Y668" s="44"/>
      <c r="Z668" s="44"/>
      <c r="AA668" s="44"/>
      <c r="AB668" s="44"/>
      <c r="AC668" s="44"/>
      <c r="AD668" s="44"/>
      <c r="AE668" s="44"/>
      <c r="AF668" s="44"/>
      <c r="AG668" s="44"/>
    </row>
    <row r="669" spans="1:33" ht="16.5" customHeight="1">
      <c r="A669" s="44"/>
      <c r="B669" s="44"/>
      <c r="C669" s="44"/>
      <c r="D669" s="172"/>
      <c r="E669" s="44"/>
      <c r="F669" s="44"/>
      <c r="G669" s="44"/>
      <c r="H669" s="44"/>
      <c r="I669" s="53"/>
      <c r="J669" s="44"/>
      <c r="K669" s="44"/>
      <c r="L669" s="44"/>
      <c r="M669" s="44"/>
      <c r="N669" s="44"/>
      <c r="O669" s="44"/>
      <c r="P669" s="44"/>
      <c r="Q669" s="44"/>
      <c r="R669" s="44"/>
      <c r="S669" s="44"/>
      <c r="T669" s="44"/>
      <c r="U669" s="44"/>
      <c r="V669" s="44"/>
      <c r="W669" s="44"/>
      <c r="X669" s="44"/>
      <c r="Y669" s="44"/>
      <c r="Z669" s="44"/>
      <c r="AA669" s="44"/>
      <c r="AB669" s="44"/>
      <c r="AC669" s="44"/>
      <c r="AD669" s="44"/>
      <c r="AE669" s="44"/>
      <c r="AF669" s="44"/>
      <c r="AG669" s="44"/>
    </row>
    <row r="670" spans="1:33" ht="16.5" customHeight="1">
      <c r="A670" s="44"/>
      <c r="B670" s="44"/>
      <c r="C670" s="44"/>
      <c r="D670" s="172"/>
      <c r="E670" s="44"/>
      <c r="F670" s="44"/>
      <c r="G670" s="44"/>
      <c r="H670" s="44"/>
      <c r="I670" s="53"/>
      <c r="J670" s="44"/>
      <c r="K670" s="44"/>
      <c r="L670" s="44"/>
      <c r="M670" s="44"/>
      <c r="N670" s="44"/>
      <c r="O670" s="44"/>
      <c r="P670" s="44"/>
      <c r="Q670" s="44"/>
      <c r="R670" s="44"/>
      <c r="S670" s="44"/>
      <c r="T670" s="44"/>
      <c r="U670" s="44"/>
      <c r="V670" s="44"/>
      <c r="W670" s="44"/>
      <c r="X670" s="44"/>
      <c r="Y670" s="44"/>
      <c r="Z670" s="44"/>
      <c r="AA670" s="44"/>
      <c r="AB670" s="44"/>
      <c r="AC670" s="44"/>
      <c r="AD670" s="44"/>
      <c r="AE670" s="44"/>
      <c r="AF670" s="44"/>
      <c r="AG670" s="44"/>
    </row>
    <row r="671" spans="1:33" ht="16.5" customHeight="1">
      <c r="A671" s="44"/>
      <c r="B671" s="44"/>
      <c r="C671" s="44"/>
      <c r="D671" s="172"/>
      <c r="E671" s="44"/>
      <c r="F671" s="44"/>
      <c r="G671" s="44"/>
      <c r="H671" s="44"/>
      <c r="I671" s="53"/>
      <c r="J671" s="44"/>
      <c r="K671" s="44"/>
      <c r="L671" s="44"/>
      <c r="M671" s="44"/>
      <c r="N671" s="44"/>
      <c r="O671" s="44"/>
      <c r="P671" s="44"/>
      <c r="Q671" s="44"/>
      <c r="R671" s="44"/>
      <c r="S671" s="44"/>
      <c r="T671" s="44"/>
      <c r="U671" s="44"/>
      <c r="V671" s="44"/>
      <c r="W671" s="44"/>
      <c r="X671" s="44"/>
      <c r="Y671" s="44"/>
      <c r="Z671" s="44"/>
      <c r="AA671" s="44"/>
      <c r="AB671" s="44"/>
      <c r="AC671" s="44"/>
      <c r="AD671" s="44"/>
      <c r="AE671" s="44"/>
      <c r="AF671" s="44"/>
      <c r="AG671" s="44"/>
    </row>
    <row r="672" spans="1:33" ht="16.5" customHeight="1">
      <c r="A672" s="44"/>
      <c r="B672" s="44"/>
      <c r="C672" s="44"/>
      <c r="D672" s="172"/>
      <c r="E672" s="44"/>
      <c r="F672" s="44"/>
      <c r="G672" s="44"/>
      <c r="H672" s="44"/>
      <c r="I672" s="53"/>
      <c r="J672" s="44"/>
      <c r="K672" s="44"/>
      <c r="L672" s="44"/>
      <c r="M672" s="44"/>
      <c r="N672" s="44"/>
      <c r="O672" s="44"/>
      <c r="P672" s="44"/>
      <c r="Q672" s="44"/>
      <c r="R672" s="44"/>
      <c r="S672" s="44"/>
      <c r="T672" s="44"/>
      <c r="U672" s="44"/>
      <c r="V672" s="44"/>
      <c r="W672" s="44"/>
      <c r="X672" s="44"/>
      <c r="Y672" s="44"/>
      <c r="Z672" s="44"/>
      <c r="AA672" s="44"/>
      <c r="AB672" s="44"/>
      <c r="AC672" s="44"/>
      <c r="AD672" s="44"/>
      <c r="AE672" s="44"/>
      <c r="AF672" s="44"/>
      <c r="AG672" s="44"/>
    </row>
    <row r="673" spans="1:33" ht="16.5" customHeight="1">
      <c r="A673" s="44"/>
      <c r="B673" s="44"/>
      <c r="C673" s="44"/>
      <c r="D673" s="172"/>
      <c r="E673" s="44"/>
      <c r="F673" s="44"/>
      <c r="G673" s="44"/>
      <c r="H673" s="44"/>
      <c r="I673" s="53"/>
      <c r="J673" s="44"/>
      <c r="K673" s="44"/>
      <c r="L673" s="44"/>
      <c r="M673" s="44"/>
      <c r="N673" s="44"/>
      <c r="O673" s="44"/>
      <c r="P673" s="44"/>
      <c r="Q673" s="44"/>
      <c r="R673" s="44"/>
      <c r="S673" s="44"/>
      <c r="T673" s="44"/>
      <c r="U673" s="44"/>
      <c r="V673" s="44"/>
      <c r="W673" s="44"/>
      <c r="X673" s="44"/>
      <c r="Y673" s="44"/>
      <c r="Z673" s="44"/>
      <c r="AA673" s="44"/>
      <c r="AB673" s="44"/>
      <c r="AC673" s="44"/>
      <c r="AD673" s="44"/>
      <c r="AE673" s="44"/>
      <c r="AF673" s="44"/>
      <c r="AG673" s="44"/>
    </row>
    <row r="674" spans="1:33" ht="16.5" customHeight="1">
      <c r="A674" s="44"/>
      <c r="B674" s="44"/>
      <c r="C674" s="44"/>
      <c r="D674" s="172"/>
      <c r="E674" s="44"/>
      <c r="F674" s="44"/>
      <c r="G674" s="44"/>
      <c r="H674" s="44"/>
      <c r="I674" s="53"/>
      <c r="J674" s="44"/>
      <c r="K674" s="44"/>
      <c r="L674" s="44"/>
      <c r="M674" s="44"/>
      <c r="N674" s="44"/>
      <c r="O674" s="44"/>
      <c r="P674" s="44"/>
      <c r="Q674" s="44"/>
      <c r="R674" s="44"/>
      <c r="S674" s="44"/>
      <c r="T674" s="44"/>
      <c r="U674" s="44"/>
      <c r="V674" s="44"/>
      <c r="W674" s="44"/>
      <c r="X674" s="44"/>
      <c r="Y674" s="44"/>
      <c r="Z674" s="44"/>
      <c r="AA674" s="44"/>
      <c r="AB674" s="44"/>
      <c r="AC674" s="44"/>
      <c r="AD674" s="44"/>
      <c r="AE674" s="44"/>
      <c r="AF674" s="44"/>
      <c r="AG674" s="44"/>
    </row>
    <row r="675" spans="1:33" ht="16.5" customHeight="1">
      <c r="A675" s="44"/>
      <c r="B675" s="44"/>
      <c r="C675" s="44"/>
      <c r="D675" s="172"/>
      <c r="E675" s="44"/>
      <c r="F675" s="44"/>
      <c r="G675" s="44"/>
      <c r="H675" s="44"/>
      <c r="I675" s="53"/>
      <c r="J675" s="44"/>
      <c r="K675" s="44"/>
      <c r="L675" s="44"/>
      <c r="M675" s="44"/>
      <c r="N675" s="44"/>
      <c r="O675" s="44"/>
      <c r="P675" s="44"/>
      <c r="Q675" s="44"/>
      <c r="R675" s="44"/>
      <c r="S675" s="44"/>
      <c r="T675" s="44"/>
      <c r="U675" s="44"/>
      <c r="V675" s="44"/>
      <c r="W675" s="44"/>
      <c r="X675" s="44"/>
      <c r="Y675" s="44"/>
      <c r="Z675" s="44"/>
      <c r="AA675" s="44"/>
      <c r="AB675" s="44"/>
      <c r="AC675" s="44"/>
      <c r="AD675" s="44"/>
      <c r="AE675" s="44"/>
      <c r="AF675" s="44"/>
      <c r="AG675" s="44"/>
    </row>
    <row r="676" spans="1:33" ht="16.5" customHeight="1">
      <c r="A676" s="44"/>
      <c r="B676" s="44"/>
      <c r="C676" s="44"/>
      <c r="D676" s="172"/>
      <c r="E676" s="44"/>
      <c r="F676" s="44"/>
      <c r="G676" s="44"/>
      <c r="H676" s="44"/>
      <c r="I676" s="53"/>
      <c r="J676" s="44"/>
      <c r="K676" s="44"/>
      <c r="L676" s="44"/>
      <c r="M676" s="44"/>
      <c r="N676" s="44"/>
      <c r="O676" s="44"/>
      <c r="P676" s="44"/>
      <c r="Q676" s="44"/>
      <c r="R676" s="44"/>
      <c r="S676" s="44"/>
      <c r="T676" s="44"/>
      <c r="U676" s="44"/>
      <c r="V676" s="44"/>
      <c r="W676" s="44"/>
      <c r="X676" s="44"/>
      <c r="Y676" s="44"/>
      <c r="Z676" s="44"/>
      <c r="AA676" s="44"/>
      <c r="AB676" s="44"/>
      <c r="AC676" s="44"/>
      <c r="AD676" s="44"/>
      <c r="AE676" s="44"/>
      <c r="AF676" s="44"/>
      <c r="AG676" s="44"/>
    </row>
    <row r="677" spans="1:33" ht="16.5" customHeight="1">
      <c r="A677" s="44"/>
      <c r="B677" s="44"/>
      <c r="C677" s="44"/>
      <c r="D677" s="172"/>
      <c r="E677" s="44"/>
      <c r="F677" s="44"/>
      <c r="G677" s="44"/>
      <c r="H677" s="44"/>
      <c r="I677" s="53"/>
      <c r="J677" s="44"/>
      <c r="K677" s="44"/>
      <c r="L677" s="44"/>
      <c r="M677" s="44"/>
      <c r="N677" s="44"/>
      <c r="O677" s="44"/>
      <c r="P677" s="44"/>
      <c r="Q677" s="44"/>
      <c r="R677" s="44"/>
      <c r="S677" s="44"/>
      <c r="T677" s="44"/>
      <c r="U677" s="44"/>
      <c r="V677" s="44"/>
      <c r="W677" s="44"/>
      <c r="X677" s="44"/>
      <c r="Y677" s="44"/>
      <c r="Z677" s="44"/>
      <c r="AA677" s="44"/>
      <c r="AB677" s="44"/>
      <c r="AC677" s="44"/>
      <c r="AD677" s="44"/>
      <c r="AE677" s="44"/>
      <c r="AF677" s="44"/>
      <c r="AG677" s="44"/>
    </row>
    <row r="678" spans="1:33" ht="16.5" customHeight="1">
      <c r="A678" s="44"/>
      <c r="B678" s="44"/>
      <c r="C678" s="44"/>
      <c r="D678" s="172"/>
      <c r="E678" s="44"/>
      <c r="F678" s="44"/>
      <c r="G678" s="44"/>
      <c r="H678" s="44"/>
      <c r="I678" s="53"/>
      <c r="J678" s="44"/>
      <c r="K678" s="44"/>
      <c r="L678" s="44"/>
      <c r="M678" s="44"/>
      <c r="N678" s="44"/>
      <c r="O678" s="44"/>
      <c r="P678" s="44"/>
      <c r="Q678" s="44"/>
      <c r="R678" s="44"/>
      <c r="S678" s="44"/>
      <c r="T678" s="44"/>
      <c r="U678" s="44"/>
      <c r="V678" s="44"/>
      <c r="W678" s="44"/>
      <c r="X678" s="44"/>
      <c r="Y678" s="44"/>
      <c r="Z678" s="44"/>
      <c r="AA678" s="44"/>
      <c r="AB678" s="44"/>
      <c r="AC678" s="44"/>
      <c r="AD678" s="44"/>
      <c r="AE678" s="44"/>
      <c r="AF678" s="44"/>
      <c r="AG678" s="44"/>
    </row>
    <row r="679" spans="1:33" ht="16.5" customHeight="1">
      <c r="A679" s="44"/>
      <c r="B679" s="44"/>
      <c r="C679" s="44"/>
      <c r="D679" s="172"/>
      <c r="E679" s="44"/>
      <c r="F679" s="44"/>
      <c r="G679" s="44"/>
      <c r="H679" s="44"/>
      <c r="I679" s="53"/>
      <c r="J679" s="44"/>
      <c r="K679" s="44"/>
      <c r="L679" s="44"/>
      <c r="M679" s="44"/>
      <c r="N679" s="44"/>
      <c r="O679" s="44"/>
      <c r="P679" s="44"/>
      <c r="Q679" s="44"/>
      <c r="R679" s="44"/>
      <c r="S679" s="44"/>
      <c r="T679" s="44"/>
      <c r="U679" s="44"/>
      <c r="V679" s="44"/>
      <c r="W679" s="44"/>
      <c r="X679" s="44"/>
      <c r="Y679" s="44"/>
      <c r="Z679" s="44"/>
      <c r="AA679" s="44"/>
      <c r="AB679" s="44"/>
      <c r="AC679" s="44"/>
      <c r="AD679" s="44"/>
      <c r="AE679" s="44"/>
      <c r="AF679" s="44"/>
      <c r="AG679" s="44"/>
    </row>
    <row r="680" spans="1:33" ht="16.5" customHeight="1">
      <c r="A680" s="44"/>
      <c r="B680" s="44"/>
      <c r="C680" s="44"/>
      <c r="D680" s="172"/>
      <c r="E680" s="44"/>
      <c r="F680" s="44"/>
      <c r="G680" s="44"/>
      <c r="H680" s="44"/>
      <c r="I680" s="53"/>
      <c r="J680" s="44"/>
      <c r="K680" s="44"/>
      <c r="L680" s="44"/>
      <c r="M680" s="44"/>
      <c r="N680" s="44"/>
      <c r="O680" s="44"/>
      <c r="P680" s="44"/>
      <c r="Q680" s="44"/>
      <c r="R680" s="44"/>
      <c r="S680" s="44"/>
      <c r="T680" s="44"/>
      <c r="U680" s="44"/>
      <c r="V680" s="44"/>
      <c r="W680" s="44"/>
      <c r="X680" s="44"/>
      <c r="Y680" s="44"/>
      <c r="Z680" s="44"/>
      <c r="AA680" s="44"/>
      <c r="AB680" s="44"/>
      <c r="AC680" s="44"/>
      <c r="AD680" s="44"/>
      <c r="AE680" s="44"/>
      <c r="AF680" s="44"/>
      <c r="AG680" s="44"/>
    </row>
    <row r="681" spans="1:33" ht="16.5" customHeight="1">
      <c r="A681" s="44"/>
      <c r="B681" s="44"/>
      <c r="C681" s="44"/>
      <c r="D681" s="172"/>
      <c r="E681" s="44"/>
      <c r="F681" s="44"/>
      <c r="G681" s="44"/>
      <c r="H681" s="44"/>
      <c r="I681" s="53"/>
      <c r="J681" s="44"/>
      <c r="K681" s="44"/>
      <c r="L681" s="44"/>
      <c r="M681" s="44"/>
      <c r="N681" s="44"/>
      <c r="O681" s="44"/>
      <c r="P681" s="44"/>
      <c r="Q681" s="44"/>
      <c r="R681" s="44"/>
      <c r="S681" s="44"/>
      <c r="T681" s="44"/>
      <c r="U681" s="44"/>
      <c r="V681" s="44"/>
      <c r="W681" s="44"/>
      <c r="X681" s="44"/>
      <c r="Y681" s="44"/>
      <c r="Z681" s="44"/>
      <c r="AA681" s="44"/>
      <c r="AB681" s="44"/>
      <c r="AC681" s="44"/>
      <c r="AD681" s="44"/>
      <c r="AE681" s="44"/>
      <c r="AF681" s="44"/>
      <c r="AG681" s="44"/>
    </row>
    <row r="682" spans="1:33" ht="16.5" customHeight="1">
      <c r="A682" s="44"/>
      <c r="B682" s="44"/>
      <c r="C682" s="44"/>
      <c r="D682" s="172"/>
      <c r="E682" s="44"/>
      <c r="F682" s="44"/>
      <c r="G682" s="44"/>
      <c r="H682" s="44"/>
      <c r="I682" s="53"/>
      <c r="J682" s="44"/>
      <c r="K682" s="44"/>
      <c r="L682" s="44"/>
      <c r="M682" s="44"/>
      <c r="N682" s="44"/>
      <c r="O682" s="44"/>
      <c r="P682" s="44"/>
      <c r="Q682" s="44"/>
      <c r="R682" s="44"/>
      <c r="S682" s="44"/>
      <c r="T682" s="44"/>
      <c r="U682" s="44"/>
      <c r="V682" s="44"/>
      <c r="W682" s="44"/>
      <c r="X682" s="44"/>
      <c r="Y682" s="44"/>
      <c r="Z682" s="44"/>
      <c r="AA682" s="44"/>
      <c r="AB682" s="44"/>
      <c r="AC682" s="44"/>
      <c r="AD682" s="44"/>
      <c r="AE682" s="44"/>
      <c r="AF682" s="44"/>
      <c r="AG682" s="44"/>
    </row>
    <row r="683" spans="1:33" ht="16.5" customHeight="1">
      <c r="A683" s="44"/>
      <c r="B683" s="44"/>
      <c r="C683" s="44"/>
      <c r="D683" s="172"/>
      <c r="E683" s="44"/>
      <c r="F683" s="44"/>
      <c r="G683" s="44"/>
      <c r="H683" s="44"/>
      <c r="I683" s="53"/>
      <c r="J683" s="44"/>
      <c r="K683" s="44"/>
      <c r="L683" s="44"/>
      <c r="M683" s="44"/>
      <c r="N683" s="44"/>
      <c r="O683" s="44"/>
      <c r="P683" s="44"/>
      <c r="Q683" s="44"/>
      <c r="R683" s="44"/>
      <c r="S683" s="44"/>
      <c r="T683" s="44"/>
      <c r="U683" s="44"/>
      <c r="V683" s="44"/>
      <c r="W683" s="44"/>
      <c r="X683" s="44"/>
      <c r="Y683" s="44"/>
      <c r="Z683" s="44"/>
      <c r="AA683" s="44"/>
      <c r="AB683" s="44"/>
      <c r="AC683" s="44"/>
      <c r="AD683" s="44"/>
      <c r="AE683" s="44"/>
      <c r="AF683" s="44"/>
      <c r="AG683" s="44"/>
    </row>
    <row r="684" spans="1:33" ht="16.5" customHeight="1">
      <c r="A684" s="44"/>
      <c r="B684" s="44"/>
      <c r="C684" s="44"/>
      <c r="D684" s="172"/>
      <c r="E684" s="44"/>
      <c r="F684" s="44"/>
      <c r="G684" s="44"/>
      <c r="H684" s="44"/>
      <c r="I684" s="53"/>
      <c r="J684" s="44"/>
      <c r="K684" s="44"/>
      <c r="L684" s="44"/>
      <c r="M684" s="44"/>
      <c r="N684" s="44"/>
      <c r="O684" s="44"/>
      <c r="P684" s="44"/>
      <c r="Q684" s="44"/>
      <c r="R684" s="44"/>
      <c r="S684" s="44"/>
      <c r="T684" s="44"/>
      <c r="U684" s="44"/>
      <c r="V684" s="44"/>
      <c r="W684" s="44"/>
      <c r="X684" s="44"/>
      <c r="Y684" s="44"/>
      <c r="Z684" s="44"/>
      <c r="AA684" s="44"/>
      <c r="AB684" s="44"/>
      <c r="AC684" s="44"/>
      <c r="AD684" s="44"/>
      <c r="AE684" s="44"/>
      <c r="AF684" s="44"/>
      <c r="AG684" s="44"/>
    </row>
    <row r="685" spans="1:33" ht="16.5" customHeight="1">
      <c r="A685" s="44"/>
      <c r="B685" s="44"/>
      <c r="C685" s="44"/>
      <c r="D685" s="172"/>
      <c r="E685" s="44"/>
      <c r="F685" s="44"/>
      <c r="G685" s="44"/>
      <c r="H685" s="44"/>
      <c r="I685" s="53"/>
      <c r="J685" s="44"/>
      <c r="K685" s="44"/>
      <c r="L685" s="44"/>
      <c r="M685" s="44"/>
      <c r="N685" s="44"/>
      <c r="O685" s="44"/>
      <c r="P685" s="44"/>
      <c r="Q685" s="44"/>
      <c r="R685" s="44"/>
      <c r="S685" s="44"/>
      <c r="T685" s="44"/>
      <c r="U685" s="44"/>
      <c r="V685" s="44"/>
      <c r="W685" s="44"/>
      <c r="X685" s="44"/>
      <c r="Y685" s="44"/>
      <c r="Z685" s="44"/>
      <c r="AA685" s="44"/>
      <c r="AB685" s="44"/>
      <c r="AC685" s="44"/>
      <c r="AD685" s="44"/>
      <c r="AE685" s="44"/>
      <c r="AF685" s="44"/>
      <c r="AG685" s="44"/>
    </row>
    <row r="686" spans="1:33" ht="16.5" customHeight="1">
      <c r="A686" s="44"/>
      <c r="B686" s="44"/>
      <c r="C686" s="44"/>
      <c r="D686" s="172"/>
      <c r="E686" s="44"/>
      <c r="F686" s="44"/>
      <c r="G686" s="44"/>
      <c r="H686" s="44"/>
      <c r="I686" s="53"/>
      <c r="J686" s="44"/>
      <c r="K686" s="44"/>
      <c r="L686" s="44"/>
      <c r="M686" s="44"/>
      <c r="N686" s="44"/>
      <c r="O686" s="44"/>
      <c r="P686" s="44"/>
      <c r="Q686" s="44"/>
      <c r="R686" s="44"/>
      <c r="S686" s="44"/>
      <c r="T686" s="44"/>
      <c r="U686" s="44"/>
      <c r="V686" s="44"/>
      <c r="W686" s="44"/>
      <c r="X686" s="44"/>
      <c r="Y686" s="44"/>
      <c r="Z686" s="44"/>
      <c r="AA686" s="44"/>
      <c r="AB686" s="44"/>
      <c r="AC686" s="44"/>
      <c r="AD686" s="44"/>
      <c r="AE686" s="44"/>
      <c r="AF686" s="44"/>
      <c r="AG686" s="44"/>
    </row>
    <row r="687" spans="1:33" ht="16.5" customHeight="1">
      <c r="A687" s="44"/>
      <c r="B687" s="44"/>
      <c r="C687" s="44"/>
      <c r="D687" s="172"/>
      <c r="E687" s="44"/>
      <c r="F687" s="44"/>
      <c r="G687" s="44"/>
      <c r="H687" s="44"/>
      <c r="I687" s="53"/>
      <c r="J687" s="44"/>
      <c r="K687" s="44"/>
      <c r="L687" s="44"/>
      <c r="M687" s="44"/>
      <c r="N687" s="44"/>
      <c r="O687" s="44"/>
      <c r="P687" s="44"/>
      <c r="Q687" s="44"/>
      <c r="R687" s="44"/>
      <c r="S687" s="44"/>
      <c r="T687" s="44"/>
      <c r="U687" s="44"/>
      <c r="V687" s="44"/>
      <c r="W687" s="44"/>
      <c r="X687" s="44"/>
      <c r="Y687" s="44"/>
      <c r="Z687" s="44"/>
      <c r="AA687" s="44"/>
      <c r="AB687" s="44"/>
      <c r="AC687" s="44"/>
      <c r="AD687" s="44"/>
      <c r="AE687" s="44"/>
      <c r="AF687" s="44"/>
      <c r="AG687" s="44"/>
    </row>
    <row r="688" spans="1:33" ht="16.5" customHeight="1">
      <c r="A688" s="44"/>
      <c r="B688" s="44"/>
      <c r="C688" s="44"/>
      <c r="D688" s="172"/>
      <c r="E688" s="44"/>
      <c r="F688" s="44"/>
      <c r="G688" s="44"/>
      <c r="H688" s="44"/>
      <c r="I688" s="53"/>
      <c r="J688" s="44"/>
      <c r="K688" s="44"/>
      <c r="L688" s="44"/>
      <c r="M688" s="44"/>
      <c r="N688" s="44"/>
      <c r="O688" s="44"/>
      <c r="P688" s="44"/>
      <c r="Q688" s="44"/>
      <c r="R688" s="44"/>
      <c r="S688" s="44"/>
      <c r="T688" s="44"/>
      <c r="U688" s="44"/>
      <c r="V688" s="44"/>
      <c r="W688" s="44"/>
      <c r="X688" s="44"/>
      <c r="Y688" s="44"/>
      <c r="Z688" s="44"/>
      <c r="AA688" s="44"/>
      <c r="AB688" s="44"/>
      <c r="AC688" s="44"/>
      <c r="AD688" s="44"/>
      <c r="AE688" s="44"/>
      <c r="AF688" s="44"/>
      <c r="AG688" s="44"/>
    </row>
    <row r="689" spans="1:33" ht="16.5" customHeight="1">
      <c r="A689" s="44"/>
      <c r="B689" s="44"/>
      <c r="C689" s="44"/>
      <c r="D689" s="172"/>
      <c r="E689" s="44"/>
      <c r="F689" s="44"/>
      <c r="G689" s="44"/>
      <c r="H689" s="44"/>
      <c r="I689" s="53"/>
      <c r="J689" s="44"/>
      <c r="K689" s="44"/>
      <c r="L689" s="44"/>
      <c r="M689" s="44"/>
      <c r="N689" s="44"/>
      <c r="O689" s="44"/>
      <c r="P689" s="44"/>
      <c r="Q689" s="44"/>
      <c r="R689" s="44"/>
      <c r="S689" s="44"/>
      <c r="T689" s="44"/>
      <c r="U689" s="44"/>
      <c r="V689" s="44"/>
      <c r="W689" s="44"/>
      <c r="X689" s="44"/>
      <c r="Y689" s="44"/>
      <c r="Z689" s="44"/>
      <c r="AA689" s="44"/>
      <c r="AB689" s="44"/>
      <c r="AC689" s="44"/>
      <c r="AD689" s="44"/>
      <c r="AE689" s="44"/>
      <c r="AF689" s="44"/>
      <c r="AG689" s="44"/>
    </row>
    <row r="690" spans="1:33" ht="16.5" customHeight="1">
      <c r="A690" s="44"/>
      <c r="B690" s="44"/>
      <c r="C690" s="44"/>
      <c r="D690" s="172"/>
      <c r="E690" s="44"/>
      <c r="F690" s="44"/>
      <c r="G690" s="44"/>
      <c r="H690" s="44"/>
      <c r="I690" s="53"/>
      <c r="J690" s="44"/>
      <c r="K690" s="44"/>
      <c r="L690" s="44"/>
      <c r="M690" s="44"/>
      <c r="N690" s="44"/>
      <c r="O690" s="44"/>
      <c r="P690" s="44"/>
      <c r="Q690" s="44"/>
      <c r="R690" s="44"/>
      <c r="S690" s="44"/>
      <c r="T690" s="44"/>
      <c r="U690" s="44"/>
      <c r="V690" s="44"/>
      <c r="W690" s="44"/>
      <c r="X690" s="44"/>
      <c r="Y690" s="44"/>
      <c r="Z690" s="44"/>
      <c r="AA690" s="44"/>
      <c r="AB690" s="44"/>
      <c r="AC690" s="44"/>
      <c r="AD690" s="44"/>
      <c r="AE690" s="44"/>
      <c r="AF690" s="44"/>
      <c r="AG690" s="44"/>
    </row>
    <row r="691" spans="1:33" ht="16.5" customHeight="1">
      <c r="A691" s="44"/>
      <c r="B691" s="44"/>
      <c r="C691" s="44"/>
      <c r="D691" s="172"/>
      <c r="E691" s="44"/>
      <c r="F691" s="44"/>
      <c r="G691" s="44"/>
      <c r="H691" s="44"/>
      <c r="I691" s="53"/>
      <c r="J691" s="44"/>
      <c r="K691" s="44"/>
      <c r="L691" s="44"/>
      <c r="M691" s="44"/>
      <c r="N691" s="44"/>
      <c r="O691" s="44"/>
      <c r="P691" s="44"/>
      <c r="Q691" s="44"/>
      <c r="R691" s="44"/>
      <c r="S691" s="44"/>
      <c r="T691" s="44"/>
      <c r="U691" s="44"/>
      <c r="V691" s="44"/>
      <c r="W691" s="44"/>
      <c r="X691" s="44"/>
      <c r="Y691" s="44"/>
      <c r="Z691" s="44"/>
      <c r="AA691" s="44"/>
      <c r="AB691" s="44"/>
      <c r="AC691" s="44"/>
      <c r="AD691" s="44"/>
      <c r="AE691" s="44"/>
      <c r="AF691" s="44"/>
      <c r="AG691" s="44"/>
    </row>
    <row r="692" spans="1:33" ht="16.5" customHeight="1">
      <c r="A692" s="44"/>
      <c r="B692" s="44"/>
      <c r="C692" s="44"/>
      <c r="D692" s="172"/>
      <c r="E692" s="44"/>
      <c r="F692" s="44"/>
      <c r="G692" s="44"/>
      <c r="H692" s="44"/>
      <c r="I692" s="53"/>
      <c r="J692" s="44"/>
      <c r="K692" s="44"/>
      <c r="L692" s="44"/>
      <c r="M692" s="44"/>
      <c r="N692" s="44"/>
      <c r="O692" s="44"/>
      <c r="P692" s="44"/>
      <c r="Q692" s="44"/>
      <c r="R692" s="44"/>
      <c r="S692" s="44"/>
      <c r="T692" s="44"/>
      <c r="U692" s="44"/>
      <c r="V692" s="44"/>
      <c r="W692" s="44"/>
      <c r="X692" s="44"/>
      <c r="Y692" s="44"/>
      <c r="Z692" s="44"/>
      <c r="AA692" s="44"/>
      <c r="AB692" s="44"/>
      <c r="AC692" s="44"/>
      <c r="AD692" s="44"/>
      <c r="AE692" s="44"/>
      <c r="AF692" s="44"/>
      <c r="AG692" s="44"/>
    </row>
    <row r="693" spans="1:33" ht="16.5" customHeight="1">
      <c r="A693" s="44"/>
      <c r="B693" s="44"/>
      <c r="C693" s="44"/>
      <c r="D693" s="172"/>
      <c r="E693" s="44"/>
      <c r="F693" s="44"/>
      <c r="G693" s="44"/>
      <c r="H693" s="44"/>
      <c r="I693" s="53"/>
      <c r="J693" s="44"/>
      <c r="K693" s="44"/>
      <c r="L693" s="44"/>
      <c r="M693" s="44"/>
      <c r="N693" s="44"/>
      <c r="O693" s="44"/>
      <c r="P693" s="44"/>
      <c r="Q693" s="44"/>
      <c r="R693" s="44"/>
      <c r="S693" s="44"/>
      <c r="T693" s="44"/>
      <c r="U693" s="44"/>
      <c r="V693" s="44"/>
      <c r="W693" s="44"/>
      <c r="X693" s="44"/>
      <c r="Y693" s="44"/>
      <c r="Z693" s="44"/>
      <c r="AA693" s="44"/>
      <c r="AB693" s="44"/>
      <c r="AC693" s="44"/>
      <c r="AD693" s="44"/>
      <c r="AE693" s="44"/>
      <c r="AF693" s="44"/>
      <c r="AG693" s="44"/>
    </row>
    <row r="694" spans="1:33" ht="16.5" customHeight="1">
      <c r="A694" s="44"/>
      <c r="B694" s="44"/>
      <c r="C694" s="44"/>
      <c r="D694" s="172"/>
      <c r="E694" s="44"/>
      <c r="F694" s="44"/>
      <c r="G694" s="44"/>
      <c r="H694" s="44"/>
      <c r="I694" s="53"/>
      <c r="J694" s="44"/>
      <c r="K694" s="44"/>
      <c r="L694" s="44"/>
      <c r="M694" s="44"/>
      <c r="N694" s="44"/>
      <c r="O694" s="44"/>
      <c r="P694" s="44"/>
      <c r="Q694" s="44"/>
      <c r="R694" s="44"/>
      <c r="S694" s="44"/>
      <c r="T694" s="44"/>
      <c r="U694" s="44"/>
      <c r="V694" s="44"/>
      <c r="W694" s="44"/>
      <c r="X694" s="44"/>
      <c r="Y694" s="44"/>
      <c r="Z694" s="44"/>
      <c r="AA694" s="44"/>
      <c r="AB694" s="44"/>
      <c r="AC694" s="44"/>
      <c r="AD694" s="44"/>
      <c r="AE694" s="44"/>
      <c r="AF694" s="44"/>
      <c r="AG694" s="44"/>
    </row>
    <row r="695" spans="1:33" ht="16.5" customHeight="1">
      <c r="A695" s="44"/>
      <c r="B695" s="44"/>
      <c r="C695" s="44"/>
      <c r="D695" s="172"/>
      <c r="E695" s="44"/>
      <c r="F695" s="44"/>
      <c r="G695" s="44"/>
      <c r="H695" s="44"/>
      <c r="I695" s="53"/>
      <c r="J695" s="44"/>
      <c r="K695" s="44"/>
      <c r="L695" s="44"/>
      <c r="M695" s="44"/>
      <c r="N695" s="44"/>
      <c r="O695" s="44"/>
      <c r="P695" s="44"/>
      <c r="Q695" s="44"/>
      <c r="R695" s="44"/>
      <c r="S695" s="44"/>
      <c r="T695" s="44"/>
      <c r="U695" s="44"/>
      <c r="V695" s="44"/>
      <c r="W695" s="44"/>
      <c r="X695" s="44"/>
      <c r="Y695" s="44"/>
      <c r="Z695" s="44"/>
      <c r="AA695" s="44"/>
      <c r="AB695" s="44"/>
      <c r="AC695" s="44"/>
      <c r="AD695" s="44"/>
      <c r="AE695" s="44"/>
      <c r="AF695" s="44"/>
      <c r="AG695" s="44"/>
    </row>
    <row r="696" spans="1:33" ht="16.5" customHeight="1">
      <c r="A696" s="44"/>
      <c r="B696" s="44"/>
      <c r="C696" s="44"/>
      <c r="D696" s="172"/>
      <c r="E696" s="44"/>
      <c r="F696" s="44"/>
      <c r="G696" s="44"/>
      <c r="H696" s="44"/>
      <c r="I696" s="53"/>
      <c r="J696" s="44"/>
      <c r="K696" s="44"/>
      <c r="L696" s="44"/>
      <c r="M696" s="44"/>
      <c r="N696" s="44"/>
      <c r="O696" s="44"/>
      <c r="P696" s="44"/>
      <c r="Q696" s="44"/>
      <c r="R696" s="44"/>
      <c r="S696" s="44"/>
      <c r="T696" s="44"/>
      <c r="U696" s="44"/>
      <c r="V696" s="44"/>
      <c r="W696" s="44"/>
      <c r="X696" s="44"/>
      <c r="Y696" s="44"/>
      <c r="Z696" s="44"/>
      <c r="AA696" s="44"/>
      <c r="AB696" s="44"/>
      <c r="AC696" s="44"/>
      <c r="AD696" s="44"/>
      <c r="AE696" s="44"/>
      <c r="AF696" s="44"/>
      <c r="AG696" s="44"/>
    </row>
    <row r="697" spans="1:33" ht="16.5" customHeight="1">
      <c r="A697" s="44"/>
      <c r="B697" s="44"/>
      <c r="C697" s="44"/>
      <c r="D697" s="172"/>
      <c r="E697" s="44"/>
      <c r="F697" s="44"/>
      <c r="G697" s="44"/>
      <c r="H697" s="44"/>
      <c r="I697" s="53"/>
      <c r="J697" s="44"/>
      <c r="K697" s="44"/>
      <c r="L697" s="44"/>
      <c r="M697" s="44"/>
      <c r="N697" s="44"/>
      <c r="O697" s="44"/>
      <c r="P697" s="44"/>
      <c r="Q697" s="44"/>
      <c r="R697" s="44"/>
      <c r="S697" s="44"/>
      <c r="T697" s="44"/>
      <c r="U697" s="44"/>
      <c r="V697" s="44"/>
      <c r="W697" s="44"/>
      <c r="X697" s="44"/>
      <c r="Y697" s="44"/>
      <c r="Z697" s="44"/>
      <c r="AA697" s="44"/>
      <c r="AB697" s="44"/>
      <c r="AC697" s="44"/>
      <c r="AD697" s="44"/>
      <c r="AE697" s="44"/>
      <c r="AF697" s="44"/>
      <c r="AG697" s="44"/>
    </row>
    <row r="698" spans="1:33" ht="16.5" customHeight="1">
      <c r="A698" s="44"/>
      <c r="B698" s="44"/>
      <c r="C698" s="44"/>
      <c r="D698" s="172"/>
      <c r="E698" s="44"/>
      <c r="F698" s="44"/>
      <c r="G698" s="44"/>
      <c r="H698" s="44"/>
      <c r="I698" s="53"/>
      <c r="J698" s="44"/>
      <c r="K698" s="44"/>
      <c r="L698" s="44"/>
      <c r="M698" s="44"/>
      <c r="N698" s="44"/>
      <c r="O698" s="44"/>
      <c r="P698" s="44"/>
      <c r="Q698" s="44"/>
      <c r="R698" s="44"/>
      <c r="S698" s="44"/>
      <c r="T698" s="44"/>
      <c r="U698" s="44"/>
      <c r="V698" s="44"/>
      <c r="W698" s="44"/>
      <c r="X698" s="44"/>
      <c r="Y698" s="44"/>
      <c r="Z698" s="44"/>
      <c r="AA698" s="44"/>
      <c r="AB698" s="44"/>
      <c r="AC698" s="44"/>
      <c r="AD698" s="44"/>
      <c r="AE698" s="44"/>
      <c r="AF698" s="44"/>
      <c r="AG698" s="44"/>
    </row>
    <row r="699" spans="1:33" ht="16.5" customHeight="1">
      <c r="A699" s="44"/>
      <c r="B699" s="44"/>
      <c r="C699" s="44"/>
      <c r="D699" s="172"/>
      <c r="E699" s="44"/>
      <c r="F699" s="44"/>
      <c r="G699" s="44"/>
      <c r="H699" s="44"/>
      <c r="I699" s="53"/>
      <c r="J699" s="44"/>
      <c r="K699" s="44"/>
      <c r="L699" s="44"/>
      <c r="M699" s="44"/>
      <c r="N699" s="44"/>
      <c r="O699" s="44"/>
      <c r="P699" s="44"/>
      <c r="Q699" s="44"/>
      <c r="R699" s="44"/>
      <c r="S699" s="44"/>
      <c r="T699" s="44"/>
      <c r="U699" s="44"/>
      <c r="V699" s="44"/>
      <c r="W699" s="44"/>
      <c r="X699" s="44"/>
      <c r="Y699" s="44"/>
      <c r="Z699" s="44"/>
      <c r="AA699" s="44"/>
      <c r="AB699" s="44"/>
      <c r="AC699" s="44"/>
      <c r="AD699" s="44"/>
      <c r="AE699" s="44"/>
      <c r="AF699" s="44"/>
      <c r="AG699" s="44"/>
    </row>
    <row r="700" spans="1:33" ht="16.5" customHeight="1">
      <c r="A700" s="44"/>
      <c r="B700" s="44"/>
      <c r="C700" s="44"/>
      <c r="D700" s="172"/>
      <c r="E700" s="44"/>
      <c r="F700" s="44"/>
      <c r="G700" s="44"/>
      <c r="H700" s="44"/>
      <c r="I700" s="53"/>
      <c r="J700" s="44"/>
      <c r="K700" s="44"/>
      <c r="L700" s="44"/>
      <c r="M700" s="44"/>
      <c r="N700" s="44"/>
      <c r="O700" s="44"/>
      <c r="P700" s="44"/>
      <c r="Q700" s="44"/>
      <c r="R700" s="44"/>
      <c r="S700" s="44"/>
      <c r="T700" s="44"/>
      <c r="U700" s="44"/>
      <c r="V700" s="44"/>
      <c r="W700" s="44"/>
      <c r="X700" s="44"/>
      <c r="Y700" s="44"/>
      <c r="Z700" s="44"/>
      <c r="AA700" s="44"/>
      <c r="AB700" s="44"/>
      <c r="AC700" s="44"/>
      <c r="AD700" s="44"/>
      <c r="AE700" s="44"/>
      <c r="AF700" s="44"/>
      <c r="AG700" s="44"/>
    </row>
    <row r="701" spans="1:33" ht="16.5" customHeight="1">
      <c r="A701" s="44"/>
      <c r="B701" s="44"/>
      <c r="C701" s="44"/>
      <c r="D701" s="172"/>
      <c r="E701" s="44"/>
      <c r="F701" s="44"/>
      <c r="G701" s="44"/>
      <c r="H701" s="44"/>
      <c r="I701" s="53"/>
      <c r="J701" s="44"/>
      <c r="K701" s="44"/>
      <c r="L701" s="44"/>
      <c r="M701" s="44"/>
      <c r="N701" s="44"/>
      <c r="O701" s="44"/>
      <c r="P701" s="44"/>
      <c r="Q701" s="44"/>
      <c r="R701" s="44"/>
      <c r="S701" s="44"/>
      <c r="T701" s="44"/>
      <c r="U701" s="44"/>
      <c r="V701" s="44"/>
      <c r="W701" s="44"/>
      <c r="X701" s="44"/>
      <c r="Y701" s="44"/>
      <c r="Z701" s="44"/>
      <c r="AA701" s="44"/>
      <c r="AB701" s="44"/>
      <c r="AC701" s="44"/>
      <c r="AD701" s="44"/>
      <c r="AE701" s="44"/>
      <c r="AF701" s="44"/>
      <c r="AG701" s="44"/>
    </row>
    <row r="702" spans="1:33" ht="16.5" customHeight="1">
      <c r="A702" s="44"/>
      <c r="B702" s="44"/>
      <c r="C702" s="44"/>
      <c r="D702" s="172"/>
      <c r="E702" s="44"/>
      <c r="F702" s="44"/>
      <c r="G702" s="44"/>
      <c r="H702" s="44"/>
      <c r="I702" s="53"/>
      <c r="J702" s="44"/>
      <c r="K702" s="44"/>
      <c r="L702" s="44"/>
      <c r="M702" s="44"/>
      <c r="N702" s="44"/>
      <c r="O702" s="44"/>
      <c r="P702" s="44"/>
      <c r="Q702" s="44"/>
      <c r="R702" s="44"/>
      <c r="S702" s="44"/>
      <c r="T702" s="44"/>
      <c r="U702" s="44"/>
      <c r="V702" s="44"/>
      <c r="W702" s="44"/>
      <c r="X702" s="44"/>
      <c r="Y702" s="44"/>
      <c r="Z702" s="44"/>
      <c r="AA702" s="44"/>
      <c r="AB702" s="44"/>
      <c r="AC702" s="44"/>
      <c r="AD702" s="44"/>
      <c r="AE702" s="44"/>
      <c r="AF702" s="44"/>
      <c r="AG702" s="44"/>
    </row>
    <row r="703" spans="1:33" ht="16.5" customHeight="1">
      <c r="A703" s="44"/>
      <c r="B703" s="44"/>
      <c r="C703" s="44"/>
      <c r="D703" s="172"/>
      <c r="E703" s="44"/>
      <c r="F703" s="44"/>
      <c r="G703" s="44"/>
      <c r="H703" s="44"/>
      <c r="I703" s="53"/>
      <c r="J703" s="44"/>
      <c r="K703" s="44"/>
      <c r="L703" s="44"/>
      <c r="M703" s="44"/>
      <c r="N703" s="44"/>
      <c r="O703" s="44"/>
      <c r="P703" s="44"/>
      <c r="Q703" s="44"/>
      <c r="R703" s="44"/>
      <c r="S703" s="44"/>
      <c r="T703" s="44"/>
      <c r="U703" s="44"/>
      <c r="V703" s="44"/>
      <c r="W703" s="44"/>
      <c r="X703" s="44"/>
      <c r="Y703" s="44"/>
      <c r="Z703" s="44"/>
      <c r="AA703" s="44"/>
      <c r="AB703" s="44"/>
      <c r="AC703" s="44"/>
      <c r="AD703" s="44"/>
      <c r="AE703" s="44"/>
      <c r="AF703" s="44"/>
      <c r="AG703" s="44"/>
    </row>
    <row r="704" spans="1:33" ht="16.5" customHeight="1">
      <c r="A704" s="44"/>
      <c r="B704" s="44"/>
      <c r="C704" s="44"/>
      <c r="D704" s="172"/>
      <c r="E704" s="44"/>
      <c r="F704" s="44"/>
      <c r="G704" s="44"/>
      <c r="H704" s="44"/>
      <c r="I704" s="53"/>
      <c r="J704" s="44"/>
      <c r="K704" s="44"/>
      <c r="L704" s="44"/>
      <c r="M704" s="44"/>
      <c r="N704" s="44"/>
      <c r="O704" s="44"/>
      <c r="P704" s="44"/>
      <c r="Q704" s="44"/>
      <c r="R704" s="44"/>
      <c r="S704" s="44"/>
      <c r="T704" s="44"/>
      <c r="U704" s="44"/>
      <c r="V704" s="44"/>
      <c r="W704" s="44"/>
      <c r="X704" s="44"/>
      <c r="Y704" s="44"/>
      <c r="Z704" s="44"/>
      <c r="AA704" s="44"/>
      <c r="AB704" s="44"/>
      <c r="AC704" s="44"/>
      <c r="AD704" s="44"/>
      <c r="AE704" s="44"/>
      <c r="AF704" s="44"/>
      <c r="AG704" s="44"/>
    </row>
    <row r="705" spans="1:33" ht="16.5" customHeight="1">
      <c r="A705" s="44"/>
      <c r="B705" s="44"/>
      <c r="C705" s="44"/>
      <c r="D705" s="172"/>
      <c r="E705" s="44"/>
      <c r="F705" s="44"/>
      <c r="G705" s="44"/>
      <c r="H705" s="44"/>
      <c r="I705" s="53"/>
      <c r="J705" s="44"/>
      <c r="K705" s="44"/>
      <c r="L705" s="44"/>
      <c r="M705" s="44"/>
      <c r="N705" s="44"/>
      <c r="O705" s="44"/>
      <c r="P705" s="44"/>
      <c r="Q705" s="44"/>
      <c r="R705" s="44"/>
      <c r="S705" s="44"/>
      <c r="T705" s="44"/>
      <c r="U705" s="44"/>
      <c r="V705" s="44"/>
      <c r="W705" s="44"/>
      <c r="X705" s="44"/>
      <c r="Y705" s="44"/>
      <c r="Z705" s="44"/>
      <c r="AA705" s="44"/>
      <c r="AB705" s="44"/>
      <c r="AC705" s="44"/>
      <c r="AD705" s="44"/>
      <c r="AE705" s="44"/>
      <c r="AF705" s="44"/>
      <c r="AG705" s="44"/>
    </row>
    <row r="706" spans="1:33" ht="16.5" customHeight="1">
      <c r="A706" s="44"/>
      <c r="B706" s="44"/>
      <c r="C706" s="44"/>
      <c r="D706" s="172"/>
      <c r="E706" s="44"/>
      <c r="F706" s="44"/>
      <c r="G706" s="44"/>
      <c r="H706" s="44"/>
      <c r="I706" s="53"/>
      <c r="J706" s="44"/>
      <c r="K706" s="44"/>
      <c r="L706" s="44"/>
      <c r="M706" s="44"/>
      <c r="N706" s="44"/>
      <c r="O706" s="44"/>
      <c r="P706" s="44"/>
      <c r="Q706" s="44"/>
      <c r="R706" s="44"/>
      <c r="S706" s="44"/>
      <c r="T706" s="44"/>
      <c r="U706" s="44"/>
      <c r="V706" s="44"/>
      <c r="W706" s="44"/>
      <c r="X706" s="44"/>
      <c r="Y706" s="44"/>
      <c r="Z706" s="44"/>
      <c r="AA706" s="44"/>
      <c r="AB706" s="44"/>
      <c r="AC706" s="44"/>
      <c r="AD706" s="44"/>
      <c r="AE706" s="44"/>
      <c r="AF706" s="44"/>
      <c r="AG706" s="44"/>
    </row>
    <row r="707" spans="1:33" ht="16.5" customHeight="1">
      <c r="A707" s="44"/>
      <c r="B707" s="44"/>
      <c r="C707" s="44"/>
      <c r="D707" s="172"/>
      <c r="E707" s="44"/>
      <c r="F707" s="44"/>
      <c r="G707" s="44"/>
      <c r="H707" s="44"/>
      <c r="I707" s="53"/>
      <c r="J707" s="44"/>
      <c r="K707" s="44"/>
      <c r="L707" s="44"/>
      <c r="M707" s="44"/>
      <c r="N707" s="44"/>
      <c r="O707" s="44"/>
      <c r="P707" s="44"/>
      <c r="Q707" s="44"/>
      <c r="R707" s="44"/>
      <c r="S707" s="44"/>
      <c r="T707" s="44"/>
      <c r="U707" s="44"/>
      <c r="V707" s="44"/>
      <c r="W707" s="44"/>
      <c r="X707" s="44"/>
      <c r="Y707" s="44"/>
      <c r="Z707" s="44"/>
      <c r="AA707" s="44"/>
      <c r="AB707" s="44"/>
      <c r="AC707" s="44"/>
      <c r="AD707" s="44"/>
      <c r="AE707" s="44"/>
      <c r="AF707" s="44"/>
      <c r="AG707" s="44"/>
    </row>
    <row r="708" spans="1:33" ht="16.5" customHeight="1">
      <c r="A708" s="44"/>
      <c r="B708" s="44"/>
      <c r="C708" s="44"/>
      <c r="D708" s="172"/>
      <c r="E708" s="44"/>
      <c r="F708" s="44"/>
      <c r="G708" s="44"/>
      <c r="H708" s="44"/>
      <c r="I708" s="53"/>
      <c r="J708" s="44"/>
      <c r="K708" s="44"/>
      <c r="L708" s="44"/>
      <c r="M708" s="44"/>
      <c r="N708" s="44"/>
      <c r="O708" s="44"/>
      <c r="P708" s="44"/>
      <c r="Q708" s="44"/>
      <c r="R708" s="44"/>
      <c r="S708" s="44"/>
      <c r="T708" s="44"/>
      <c r="U708" s="44"/>
      <c r="V708" s="44"/>
      <c r="W708" s="44"/>
      <c r="X708" s="44"/>
      <c r="Y708" s="44"/>
      <c r="Z708" s="44"/>
      <c r="AA708" s="44"/>
      <c r="AB708" s="44"/>
      <c r="AC708" s="44"/>
      <c r="AD708" s="44"/>
      <c r="AE708" s="44"/>
      <c r="AF708" s="44"/>
      <c r="AG708" s="44"/>
    </row>
    <row r="709" spans="1:33" ht="16.5" customHeight="1">
      <c r="A709" s="44"/>
      <c r="B709" s="44"/>
      <c r="C709" s="44"/>
      <c r="D709" s="172"/>
      <c r="E709" s="44"/>
      <c r="F709" s="44"/>
      <c r="G709" s="44"/>
      <c r="H709" s="44"/>
      <c r="I709" s="53"/>
      <c r="J709" s="44"/>
      <c r="K709" s="44"/>
      <c r="L709" s="44"/>
      <c r="M709" s="44"/>
      <c r="N709" s="44"/>
      <c r="O709" s="44"/>
      <c r="P709" s="44"/>
      <c r="Q709" s="44"/>
      <c r="R709" s="44"/>
      <c r="S709" s="44"/>
      <c r="T709" s="44"/>
      <c r="U709" s="44"/>
      <c r="V709" s="44"/>
      <c r="W709" s="44"/>
      <c r="X709" s="44"/>
      <c r="Y709" s="44"/>
      <c r="Z709" s="44"/>
      <c r="AA709" s="44"/>
      <c r="AB709" s="44"/>
      <c r="AC709" s="44"/>
      <c r="AD709" s="44"/>
      <c r="AE709" s="44"/>
      <c r="AF709" s="44"/>
      <c r="AG709" s="44"/>
    </row>
    <row r="710" spans="1:33" ht="16.5" customHeight="1">
      <c r="A710" s="44"/>
      <c r="B710" s="44"/>
      <c r="C710" s="44"/>
      <c r="D710" s="172"/>
      <c r="E710" s="44"/>
      <c r="F710" s="44"/>
      <c r="G710" s="44"/>
      <c r="H710" s="44"/>
      <c r="I710" s="53"/>
      <c r="J710" s="44"/>
      <c r="K710" s="44"/>
      <c r="L710" s="44"/>
      <c r="M710" s="44"/>
      <c r="N710" s="44"/>
      <c r="O710" s="44"/>
      <c r="P710" s="44"/>
      <c r="Q710" s="44"/>
      <c r="R710" s="44"/>
      <c r="S710" s="44"/>
      <c r="T710" s="44"/>
      <c r="U710" s="44"/>
      <c r="V710" s="44"/>
      <c r="W710" s="44"/>
      <c r="X710" s="44"/>
      <c r="Y710" s="44"/>
      <c r="Z710" s="44"/>
      <c r="AA710" s="44"/>
      <c r="AB710" s="44"/>
      <c r="AC710" s="44"/>
      <c r="AD710" s="44"/>
      <c r="AE710" s="44"/>
      <c r="AF710" s="44"/>
      <c r="AG710" s="44"/>
    </row>
    <row r="711" spans="1:33" ht="16.5" customHeight="1">
      <c r="A711" s="44"/>
      <c r="B711" s="44"/>
      <c r="C711" s="44"/>
      <c r="D711" s="172"/>
      <c r="E711" s="44"/>
      <c r="F711" s="44"/>
      <c r="G711" s="44"/>
      <c r="H711" s="44"/>
      <c r="I711" s="53"/>
      <c r="J711" s="44"/>
      <c r="K711" s="44"/>
      <c r="L711" s="44"/>
      <c r="M711" s="44"/>
      <c r="N711" s="44"/>
      <c r="O711" s="44"/>
      <c r="P711" s="44"/>
      <c r="Q711" s="44"/>
      <c r="R711" s="44"/>
      <c r="S711" s="44"/>
      <c r="T711" s="44"/>
      <c r="U711" s="44"/>
      <c r="V711" s="44"/>
      <c r="W711" s="44"/>
      <c r="X711" s="44"/>
      <c r="Y711" s="44"/>
      <c r="Z711" s="44"/>
      <c r="AA711" s="44"/>
      <c r="AB711" s="44"/>
      <c r="AC711" s="44"/>
      <c r="AD711" s="44"/>
      <c r="AE711" s="44"/>
      <c r="AF711" s="44"/>
      <c r="AG711" s="44"/>
    </row>
    <row r="712" spans="1:33" ht="16.5" customHeight="1">
      <c r="A712" s="44"/>
      <c r="B712" s="44"/>
      <c r="C712" s="44"/>
      <c r="D712" s="172"/>
      <c r="E712" s="44"/>
      <c r="F712" s="44"/>
      <c r="G712" s="44"/>
      <c r="H712" s="44"/>
      <c r="I712" s="53"/>
      <c r="J712" s="44"/>
      <c r="K712" s="44"/>
      <c r="L712" s="44"/>
      <c r="M712" s="44"/>
      <c r="N712" s="44"/>
      <c r="O712" s="44"/>
      <c r="P712" s="44"/>
      <c r="Q712" s="44"/>
      <c r="R712" s="44"/>
      <c r="S712" s="44"/>
      <c r="T712" s="44"/>
      <c r="U712" s="44"/>
      <c r="V712" s="44"/>
      <c r="W712" s="44"/>
      <c r="X712" s="44"/>
      <c r="Y712" s="44"/>
      <c r="Z712" s="44"/>
      <c r="AA712" s="44"/>
      <c r="AB712" s="44"/>
      <c r="AC712" s="44"/>
      <c r="AD712" s="44"/>
      <c r="AE712" s="44"/>
      <c r="AF712" s="44"/>
      <c r="AG712" s="44"/>
    </row>
    <row r="713" spans="1:33" ht="16.5" customHeight="1">
      <c r="A713" s="44"/>
      <c r="B713" s="44"/>
      <c r="C713" s="44"/>
      <c r="D713" s="172"/>
      <c r="E713" s="44"/>
      <c r="F713" s="44"/>
      <c r="G713" s="44"/>
      <c r="H713" s="44"/>
      <c r="I713" s="53"/>
      <c r="J713" s="44"/>
      <c r="K713" s="44"/>
      <c r="L713" s="44"/>
      <c r="M713" s="44"/>
      <c r="N713" s="44"/>
      <c r="O713" s="44"/>
      <c r="P713" s="44"/>
      <c r="Q713" s="44"/>
      <c r="R713" s="44"/>
      <c r="S713" s="44"/>
      <c r="T713" s="44"/>
      <c r="U713" s="44"/>
      <c r="V713" s="44"/>
      <c r="W713" s="44"/>
      <c r="X713" s="44"/>
      <c r="Y713" s="44"/>
      <c r="Z713" s="44"/>
      <c r="AA713" s="44"/>
      <c r="AB713" s="44"/>
      <c r="AC713" s="44"/>
      <c r="AD713" s="44"/>
      <c r="AE713" s="44"/>
      <c r="AF713" s="44"/>
      <c r="AG713" s="44"/>
    </row>
    <row r="714" spans="1:33" ht="16.5" customHeight="1">
      <c r="A714" s="44"/>
      <c r="B714" s="44"/>
      <c r="C714" s="44"/>
      <c r="D714" s="172"/>
      <c r="E714" s="44"/>
      <c r="F714" s="44"/>
      <c r="G714" s="44"/>
      <c r="H714" s="44"/>
      <c r="I714" s="53"/>
      <c r="J714" s="44"/>
      <c r="K714" s="44"/>
      <c r="L714" s="44"/>
      <c r="M714" s="44"/>
      <c r="N714" s="44"/>
      <c r="O714" s="44"/>
      <c r="P714" s="44"/>
      <c r="Q714" s="44"/>
      <c r="R714" s="44"/>
      <c r="S714" s="44"/>
      <c r="T714" s="44"/>
      <c r="U714" s="44"/>
      <c r="V714" s="44"/>
      <c r="W714" s="44"/>
      <c r="X714" s="44"/>
      <c r="Y714" s="44"/>
      <c r="Z714" s="44"/>
      <c r="AA714" s="44"/>
      <c r="AB714" s="44"/>
      <c r="AC714" s="44"/>
      <c r="AD714" s="44"/>
      <c r="AE714" s="44"/>
      <c r="AF714" s="44"/>
      <c r="AG714" s="44"/>
    </row>
    <row r="715" spans="1:33" ht="16.5" customHeight="1">
      <c r="A715" s="44"/>
      <c r="B715" s="44"/>
      <c r="C715" s="44"/>
      <c r="D715" s="172"/>
      <c r="E715" s="44"/>
      <c r="F715" s="44"/>
      <c r="G715" s="44"/>
      <c r="H715" s="44"/>
      <c r="I715" s="53"/>
      <c r="J715" s="44"/>
      <c r="K715" s="44"/>
      <c r="L715" s="44"/>
      <c r="M715" s="44"/>
      <c r="N715" s="44"/>
      <c r="O715" s="44"/>
      <c r="P715" s="44"/>
      <c r="Q715" s="44"/>
      <c r="R715" s="44"/>
      <c r="S715" s="44"/>
      <c r="T715" s="44"/>
      <c r="U715" s="44"/>
      <c r="V715" s="44"/>
      <c r="W715" s="44"/>
      <c r="X715" s="44"/>
      <c r="Y715" s="44"/>
      <c r="Z715" s="44"/>
      <c r="AA715" s="44"/>
      <c r="AB715" s="44"/>
      <c r="AC715" s="44"/>
      <c r="AD715" s="44"/>
      <c r="AE715" s="44"/>
      <c r="AF715" s="44"/>
      <c r="AG715" s="44"/>
    </row>
    <row r="716" spans="1:33" ht="16.5" customHeight="1">
      <c r="A716" s="44"/>
      <c r="B716" s="44"/>
      <c r="C716" s="44"/>
      <c r="D716" s="172"/>
      <c r="E716" s="44"/>
      <c r="F716" s="44"/>
      <c r="G716" s="44"/>
      <c r="H716" s="44"/>
      <c r="I716" s="53"/>
      <c r="J716" s="44"/>
      <c r="K716" s="44"/>
      <c r="L716" s="44"/>
      <c r="M716" s="44"/>
      <c r="N716" s="44"/>
      <c r="O716" s="44"/>
      <c r="P716" s="44"/>
      <c r="Q716" s="44"/>
      <c r="R716" s="44"/>
      <c r="S716" s="44"/>
      <c r="T716" s="44"/>
      <c r="U716" s="44"/>
      <c r="V716" s="44"/>
      <c r="W716" s="44"/>
      <c r="X716" s="44"/>
      <c r="Y716" s="44"/>
      <c r="Z716" s="44"/>
      <c r="AA716" s="44"/>
      <c r="AB716" s="44"/>
      <c r="AC716" s="44"/>
      <c r="AD716" s="44"/>
      <c r="AE716" s="44"/>
      <c r="AF716" s="44"/>
      <c r="AG716" s="44"/>
    </row>
    <row r="717" spans="1:33" ht="16.5" customHeight="1">
      <c r="A717" s="44"/>
      <c r="B717" s="44"/>
      <c r="C717" s="44"/>
      <c r="D717" s="172"/>
      <c r="E717" s="44"/>
      <c r="F717" s="44"/>
      <c r="G717" s="44"/>
      <c r="H717" s="44"/>
      <c r="I717" s="53"/>
      <c r="J717" s="44"/>
      <c r="K717" s="44"/>
      <c r="L717" s="44"/>
      <c r="M717" s="44"/>
      <c r="N717" s="44"/>
      <c r="O717" s="44"/>
      <c r="P717" s="44"/>
      <c r="Q717" s="44"/>
      <c r="R717" s="44"/>
      <c r="S717" s="44"/>
      <c r="T717" s="44"/>
      <c r="U717" s="44"/>
      <c r="V717" s="44"/>
      <c r="W717" s="44"/>
      <c r="X717" s="44"/>
      <c r="Y717" s="44"/>
      <c r="Z717" s="44"/>
      <c r="AA717" s="44"/>
      <c r="AB717" s="44"/>
      <c r="AC717" s="44"/>
      <c r="AD717" s="44"/>
      <c r="AE717" s="44"/>
      <c r="AF717" s="44"/>
      <c r="AG717" s="44"/>
    </row>
    <row r="718" spans="1:33" ht="16.5" customHeight="1">
      <c r="A718" s="44"/>
      <c r="B718" s="44"/>
      <c r="C718" s="44"/>
      <c r="D718" s="172"/>
      <c r="E718" s="44"/>
      <c r="F718" s="44"/>
      <c r="G718" s="44"/>
      <c r="H718" s="44"/>
      <c r="I718" s="53"/>
      <c r="J718" s="44"/>
      <c r="K718" s="44"/>
      <c r="L718" s="44"/>
      <c r="M718" s="44"/>
      <c r="N718" s="44"/>
      <c r="O718" s="44"/>
      <c r="P718" s="44"/>
      <c r="Q718" s="44"/>
      <c r="R718" s="44"/>
      <c r="S718" s="44"/>
      <c r="T718" s="44"/>
      <c r="U718" s="44"/>
      <c r="V718" s="44"/>
      <c r="W718" s="44"/>
      <c r="X718" s="44"/>
      <c r="Y718" s="44"/>
      <c r="Z718" s="44"/>
      <c r="AA718" s="44"/>
      <c r="AB718" s="44"/>
      <c r="AC718" s="44"/>
      <c r="AD718" s="44"/>
      <c r="AE718" s="44"/>
      <c r="AF718" s="44"/>
      <c r="AG718" s="44"/>
    </row>
    <row r="719" spans="1:33" ht="16.5" customHeight="1">
      <c r="A719" s="44"/>
      <c r="B719" s="44"/>
      <c r="C719" s="44"/>
      <c r="D719" s="172"/>
      <c r="E719" s="44"/>
      <c r="F719" s="44"/>
      <c r="G719" s="44"/>
      <c r="H719" s="44"/>
      <c r="I719" s="53"/>
      <c r="J719" s="44"/>
      <c r="K719" s="44"/>
      <c r="L719" s="44"/>
      <c r="M719" s="44"/>
      <c r="N719" s="44"/>
      <c r="O719" s="44"/>
      <c r="P719" s="44"/>
      <c r="Q719" s="44"/>
      <c r="R719" s="44"/>
      <c r="S719" s="44"/>
      <c r="T719" s="44"/>
      <c r="U719" s="44"/>
      <c r="V719" s="44"/>
      <c r="W719" s="44"/>
      <c r="X719" s="44"/>
      <c r="Y719" s="44"/>
      <c r="Z719" s="44"/>
      <c r="AA719" s="44"/>
      <c r="AB719" s="44"/>
      <c r="AC719" s="44"/>
      <c r="AD719" s="44"/>
      <c r="AE719" s="44"/>
      <c r="AF719" s="44"/>
      <c r="AG719" s="44"/>
    </row>
    <row r="720" spans="1:33" ht="16.5" customHeight="1">
      <c r="A720" s="44"/>
      <c r="B720" s="44"/>
      <c r="C720" s="44"/>
      <c r="D720" s="172"/>
      <c r="E720" s="44"/>
      <c r="F720" s="44"/>
      <c r="G720" s="44"/>
      <c r="H720" s="44"/>
      <c r="I720" s="53"/>
      <c r="J720" s="44"/>
      <c r="K720" s="44"/>
      <c r="L720" s="44"/>
      <c r="M720" s="44"/>
      <c r="N720" s="44"/>
      <c r="O720" s="44"/>
      <c r="P720" s="44"/>
      <c r="Q720" s="44"/>
      <c r="R720" s="44"/>
      <c r="S720" s="44"/>
      <c r="T720" s="44"/>
      <c r="U720" s="44"/>
      <c r="V720" s="44"/>
      <c r="W720" s="44"/>
      <c r="X720" s="44"/>
      <c r="Y720" s="44"/>
      <c r="Z720" s="44"/>
      <c r="AA720" s="44"/>
      <c r="AB720" s="44"/>
      <c r="AC720" s="44"/>
      <c r="AD720" s="44"/>
      <c r="AE720" s="44"/>
      <c r="AF720" s="44"/>
      <c r="AG720" s="44"/>
    </row>
    <row r="721" spans="1:33" ht="16.5" customHeight="1">
      <c r="A721" s="44"/>
      <c r="B721" s="44"/>
      <c r="C721" s="44"/>
      <c r="D721" s="172"/>
      <c r="E721" s="44"/>
      <c r="F721" s="44"/>
      <c r="G721" s="44"/>
      <c r="H721" s="44"/>
      <c r="I721" s="53"/>
      <c r="J721" s="44"/>
      <c r="K721" s="44"/>
      <c r="L721" s="44"/>
      <c r="M721" s="44"/>
      <c r="N721" s="44"/>
      <c r="O721" s="44"/>
      <c r="P721" s="44"/>
      <c r="Q721" s="44"/>
      <c r="R721" s="44"/>
      <c r="S721" s="44"/>
      <c r="T721" s="44"/>
      <c r="U721" s="44"/>
      <c r="V721" s="44"/>
      <c r="W721" s="44"/>
      <c r="X721" s="44"/>
      <c r="Y721" s="44"/>
      <c r="Z721" s="44"/>
      <c r="AA721" s="44"/>
      <c r="AB721" s="44"/>
      <c r="AC721" s="44"/>
      <c r="AD721" s="44"/>
      <c r="AE721" s="44"/>
      <c r="AF721" s="44"/>
      <c r="AG721" s="44"/>
    </row>
    <row r="722" spans="1:33" ht="16.5" customHeight="1">
      <c r="A722" s="44"/>
      <c r="B722" s="44"/>
      <c r="C722" s="44"/>
      <c r="D722" s="172"/>
      <c r="E722" s="44"/>
      <c r="F722" s="44"/>
      <c r="G722" s="44"/>
      <c r="H722" s="44"/>
      <c r="I722" s="53"/>
      <c r="J722" s="44"/>
      <c r="K722" s="44"/>
      <c r="L722" s="44"/>
      <c r="M722" s="44"/>
      <c r="N722" s="44"/>
      <c r="O722" s="44"/>
      <c r="P722" s="44"/>
      <c r="Q722" s="44"/>
      <c r="R722" s="44"/>
      <c r="S722" s="44"/>
      <c r="T722" s="44"/>
      <c r="U722" s="44"/>
      <c r="V722" s="44"/>
      <c r="W722" s="44"/>
      <c r="X722" s="44"/>
      <c r="Y722" s="44"/>
      <c r="Z722" s="44"/>
      <c r="AA722" s="44"/>
      <c r="AB722" s="44"/>
      <c r="AC722" s="44"/>
      <c r="AD722" s="44"/>
      <c r="AE722" s="44"/>
      <c r="AF722" s="44"/>
      <c r="AG722" s="44"/>
    </row>
    <row r="723" spans="1:33" ht="16.5" customHeight="1">
      <c r="A723" s="44"/>
      <c r="B723" s="44"/>
      <c r="C723" s="44"/>
      <c r="D723" s="172"/>
      <c r="E723" s="44"/>
      <c r="F723" s="44"/>
      <c r="G723" s="44"/>
      <c r="H723" s="44"/>
      <c r="I723" s="53"/>
      <c r="J723" s="44"/>
      <c r="K723" s="44"/>
      <c r="L723" s="44"/>
      <c r="M723" s="44"/>
      <c r="N723" s="44"/>
      <c r="O723" s="44"/>
      <c r="P723" s="44"/>
      <c r="Q723" s="44"/>
      <c r="R723" s="44"/>
      <c r="S723" s="44"/>
      <c r="T723" s="44"/>
      <c r="U723" s="44"/>
      <c r="V723" s="44"/>
      <c r="W723" s="44"/>
      <c r="X723" s="44"/>
      <c r="Y723" s="44"/>
      <c r="Z723" s="44"/>
      <c r="AA723" s="44"/>
      <c r="AB723" s="44"/>
      <c r="AC723" s="44"/>
      <c r="AD723" s="44"/>
      <c r="AE723" s="44"/>
      <c r="AF723" s="44"/>
      <c r="AG723" s="44"/>
    </row>
    <row r="724" spans="1:33" ht="16.5" customHeight="1">
      <c r="A724" s="44"/>
      <c r="B724" s="44"/>
      <c r="C724" s="44"/>
      <c r="D724" s="172"/>
      <c r="E724" s="44"/>
      <c r="F724" s="44"/>
      <c r="G724" s="44"/>
      <c r="H724" s="44"/>
      <c r="I724" s="53"/>
      <c r="J724" s="44"/>
      <c r="K724" s="44"/>
      <c r="L724" s="44"/>
      <c r="M724" s="44"/>
      <c r="N724" s="44"/>
      <c r="O724" s="44"/>
      <c r="P724" s="44"/>
      <c r="Q724" s="44"/>
      <c r="R724" s="44"/>
      <c r="S724" s="44"/>
      <c r="T724" s="44"/>
      <c r="U724" s="44"/>
      <c r="V724" s="44"/>
      <c r="W724" s="44"/>
      <c r="X724" s="44"/>
      <c r="Y724" s="44"/>
      <c r="Z724" s="44"/>
      <c r="AA724" s="44"/>
      <c r="AB724" s="44"/>
      <c r="AC724" s="44"/>
      <c r="AD724" s="44"/>
      <c r="AE724" s="44"/>
      <c r="AF724" s="44"/>
      <c r="AG724" s="44"/>
    </row>
    <row r="725" spans="1:33" ht="16.5" customHeight="1">
      <c r="A725" s="44"/>
      <c r="B725" s="44"/>
      <c r="C725" s="44"/>
      <c r="D725" s="172"/>
      <c r="E725" s="44"/>
      <c r="F725" s="44"/>
      <c r="G725" s="44"/>
      <c r="H725" s="44"/>
      <c r="I725" s="53"/>
      <c r="J725" s="44"/>
      <c r="K725" s="44"/>
      <c r="L725" s="44"/>
      <c r="M725" s="44"/>
      <c r="N725" s="44"/>
      <c r="O725" s="44"/>
      <c r="P725" s="44"/>
      <c r="Q725" s="44"/>
      <c r="R725" s="44"/>
      <c r="S725" s="44"/>
      <c r="T725" s="44"/>
      <c r="U725" s="44"/>
      <c r="V725" s="44"/>
      <c r="W725" s="44"/>
      <c r="X725" s="44"/>
      <c r="Y725" s="44"/>
      <c r="Z725" s="44"/>
      <c r="AA725" s="44"/>
      <c r="AB725" s="44"/>
      <c r="AC725" s="44"/>
      <c r="AD725" s="44"/>
      <c r="AE725" s="44"/>
      <c r="AF725" s="44"/>
      <c r="AG725" s="44"/>
    </row>
    <row r="726" spans="1:33" ht="16.5" customHeight="1">
      <c r="A726" s="44"/>
      <c r="B726" s="44"/>
      <c r="C726" s="44"/>
      <c r="D726" s="172"/>
      <c r="E726" s="44"/>
      <c r="F726" s="44"/>
      <c r="G726" s="44"/>
      <c r="H726" s="44"/>
      <c r="I726" s="53"/>
      <c r="J726" s="44"/>
      <c r="K726" s="44"/>
      <c r="L726" s="44"/>
      <c r="M726" s="44"/>
      <c r="N726" s="44"/>
      <c r="O726" s="44"/>
      <c r="P726" s="44"/>
      <c r="Q726" s="44"/>
      <c r="R726" s="44"/>
      <c r="S726" s="44"/>
      <c r="T726" s="44"/>
      <c r="U726" s="44"/>
      <c r="V726" s="44"/>
      <c r="W726" s="44"/>
      <c r="X726" s="44"/>
      <c r="Y726" s="44"/>
      <c r="Z726" s="44"/>
      <c r="AA726" s="44"/>
      <c r="AB726" s="44"/>
      <c r="AC726" s="44"/>
      <c r="AD726" s="44"/>
      <c r="AE726" s="44"/>
      <c r="AF726" s="44"/>
      <c r="AG726" s="44"/>
    </row>
    <row r="727" spans="1:33" ht="16.5" customHeight="1">
      <c r="A727" s="44"/>
      <c r="B727" s="44"/>
      <c r="C727" s="44"/>
      <c r="D727" s="172"/>
      <c r="E727" s="44"/>
      <c r="F727" s="44"/>
      <c r="G727" s="44"/>
      <c r="H727" s="44"/>
      <c r="I727" s="53"/>
      <c r="J727" s="44"/>
      <c r="K727" s="44"/>
      <c r="L727" s="44"/>
      <c r="M727" s="44"/>
      <c r="N727" s="44"/>
      <c r="O727" s="44"/>
      <c r="P727" s="44"/>
      <c r="Q727" s="44"/>
      <c r="R727" s="44"/>
      <c r="S727" s="44"/>
      <c r="T727" s="44"/>
      <c r="U727" s="44"/>
      <c r="V727" s="44"/>
      <c r="W727" s="44"/>
      <c r="X727" s="44"/>
      <c r="Y727" s="44"/>
      <c r="Z727" s="44"/>
      <c r="AA727" s="44"/>
      <c r="AB727" s="44"/>
      <c r="AC727" s="44"/>
      <c r="AD727" s="44"/>
      <c r="AE727" s="44"/>
      <c r="AF727" s="44"/>
      <c r="AG727" s="44"/>
    </row>
    <row r="728" spans="1:33" ht="16.5" customHeight="1">
      <c r="A728" s="44"/>
      <c r="B728" s="44"/>
      <c r="C728" s="44"/>
      <c r="D728" s="172"/>
      <c r="E728" s="44"/>
      <c r="F728" s="44"/>
      <c r="G728" s="44"/>
      <c r="H728" s="44"/>
      <c r="I728" s="53"/>
      <c r="J728" s="44"/>
      <c r="K728" s="44"/>
      <c r="L728" s="44"/>
      <c r="M728" s="44"/>
      <c r="N728" s="44"/>
      <c r="O728" s="44"/>
      <c r="P728" s="44"/>
      <c r="Q728" s="44"/>
      <c r="R728" s="44"/>
      <c r="S728" s="44"/>
      <c r="T728" s="44"/>
      <c r="U728" s="44"/>
      <c r="V728" s="44"/>
      <c r="W728" s="44"/>
      <c r="X728" s="44"/>
      <c r="Y728" s="44"/>
      <c r="Z728" s="44"/>
      <c r="AA728" s="44"/>
      <c r="AB728" s="44"/>
      <c r="AC728" s="44"/>
      <c r="AD728" s="44"/>
      <c r="AE728" s="44"/>
      <c r="AF728" s="44"/>
      <c r="AG728" s="44"/>
    </row>
    <row r="729" spans="1:33" ht="16.5" customHeight="1">
      <c r="A729" s="44"/>
      <c r="B729" s="44"/>
      <c r="C729" s="44"/>
      <c r="D729" s="172"/>
      <c r="E729" s="44"/>
      <c r="F729" s="44"/>
      <c r="G729" s="44"/>
      <c r="H729" s="44"/>
      <c r="I729" s="53"/>
      <c r="J729" s="44"/>
      <c r="K729" s="44"/>
      <c r="L729" s="44"/>
      <c r="M729" s="44"/>
      <c r="N729" s="44"/>
      <c r="O729" s="44"/>
      <c r="P729" s="44"/>
      <c r="Q729" s="44"/>
      <c r="R729" s="44"/>
      <c r="S729" s="44"/>
      <c r="T729" s="44"/>
      <c r="U729" s="44"/>
      <c r="V729" s="44"/>
      <c r="W729" s="44"/>
      <c r="X729" s="44"/>
      <c r="Y729" s="44"/>
      <c r="Z729" s="44"/>
      <c r="AA729" s="44"/>
      <c r="AB729" s="44"/>
      <c r="AC729" s="44"/>
      <c r="AD729" s="44"/>
      <c r="AE729" s="44"/>
      <c r="AF729" s="44"/>
      <c r="AG729" s="44"/>
    </row>
    <row r="730" spans="1:33" ht="16.5" customHeight="1">
      <c r="A730" s="44"/>
      <c r="B730" s="44"/>
      <c r="C730" s="44"/>
      <c r="D730" s="172"/>
      <c r="E730" s="44"/>
      <c r="F730" s="44"/>
      <c r="G730" s="44"/>
      <c r="H730" s="44"/>
      <c r="I730" s="53"/>
      <c r="J730" s="44"/>
      <c r="K730" s="44"/>
      <c r="L730" s="44"/>
      <c r="M730" s="44"/>
      <c r="N730" s="44"/>
      <c r="O730" s="44"/>
      <c r="P730" s="44"/>
      <c r="Q730" s="44"/>
      <c r="R730" s="44"/>
      <c r="S730" s="44"/>
      <c r="T730" s="44"/>
      <c r="U730" s="44"/>
      <c r="V730" s="44"/>
      <c r="W730" s="44"/>
      <c r="X730" s="44"/>
      <c r="Y730" s="44"/>
      <c r="Z730" s="44"/>
      <c r="AA730" s="44"/>
      <c r="AB730" s="44"/>
      <c r="AC730" s="44"/>
      <c r="AD730" s="44"/>
      <c r="AE730" s="44"/>
      <c r="AF730" s="44"/>
      <c r="AG730" s="44"/>
    </row>
    <row r="731" spans="1:33" ht="16.5" customHeight="1">
      <c r="A731" s="44"/>
      <c r="B731" s="44"/>
      <c r="C731" s="44"/>
      <c r="D731" s="172"/>
      <c r="E731" s="44"/>
      <c r="F731" s="44"/>
      <c r="G731" s="44"/>
      <c r="H731" s="44"/>
      <c r="I731" s="53"/>
      <c r="J731" s="44"/>
      <c r="K731" s="44"/>
      <c r="L731" s="44"/>
      <c r="M731" s="44"/>
      <c r="N731" s="44"/>
      <c r="O731" s="44"/>
      <c r="P731" s="44"/>
      <c r="Q731" s="44"/>
      <c r="R731" s="44"/>
      <c r="S731" s="44"/>
      <c r="T731" s="44"/>
      <c r="U731" s="44"/>
      <c r="V731" s="44"/>
      <c r="W731" s="44"/>
      <c r="X731" s="44"/>
      <c r="Y731" s="44"/>
      <c r="Z731" s="44"/>
      <c r="AA731" s="44"/>
      <c r="AB731" s="44"/>
      <c r="AC731" s="44"/>
      <c r="AD731" s="44"/>
      <c r="AE731" s="44"/>
      <c r="AF731" s="44"/>
      <c r="AG731" s="44"/>
    </row>
    <row r="732" spans="1:33" ht="16.5" customHeight="1">
      <c r="A732" s="44"/>
      <c r="B732" s="44"/>
      <c r="C732" s="44"/>
      <c r="D732" s="172"/>
      <c r="E732" s="44"/>
      <c r="F732" s="44"/>
      <c r="G732" s="44"/>
      <c r="H732" s="44"/>
      <c r="I732" s="53"/>
      <c r="J732" s="44"/>
      <c r="K732" s="44"/>
      <c r="L732" s="44"/>
      <c r="M732" s="44"/>
      <c r="N732" s="44"/>
      <c r="O732" s="44"/>
      <c r="P732" s="44"/>
      <c r="Q732" s="44"/>
      <c r="R732" s="44"/>
      <c r="S732" s="44"/>
      <c r="T732" s="44"/>
      <c r="U732" s="44"/>
      <c r="V732" s="44"/>
      <c r="W732" s="44"/>
      <c r="X732" s="44"/>
      <c r="Y732" s="44"/>
      <c r="Z732" s="44"/>
      <c r="AA732" s="44"/>
      <c r="AB732" s="44"/>
      <c r="AC732" s="44"/>
      <c r="AD732" s="44"/>
      <c r="AE732" s="44"/>
      <c r="AF732" s="44"/>
      <c r="AG732" s="44"/>
    </row>
    <row r="733" spans="1:33" ht="16.5" customHeight="1">
      <c r="A733" s="44"/>
      <c r="B733" s="44"/>
      <c r="C733" s="44"/>
      <c r="D733" s="172"/>
      <c r="E733" s="44"/>
      <c r="F733" s="44"/>
      <c r="G733" s="44"/>
      <c r="H733" s="44"/>
      <c r="I733" s="53"/>
      <c r="J733" s="44"/>
      <c r="K733" s="44"/>
      <c r="L733" s="44"/>
      <c r="M733" s="44"/>
      <c r="N733" s="44"/>
      <c r="O733" s="44"/>
      <c r="P733" s="44"/>
      <c r="Q733" s="44"/>
      <c r="R733" s="44"/>
      <c r="S733" s="44"/>
      <c r="T733" s="44"/>
      <c r="U733" s="44"/>
      <c r="V733" s="44"/>
      <c r="W733" s="44"/>
      <c r="X733" s="44"/>
      <c r="Y733" s="44"/>
      <c r="Z733" s="44"/>
      <c r="AA733" s="44"/>
      <c r="AB733" s="44"/>
      <c r="AC733" s="44"/>
      <c r="AD733" s="44"/>
      <c r="AE733" s="44"/>
      <c r="AF733" s="44"/>
      <c r="AG733" s="44"/>
    </row>
    <row r="734" spans="1:33" ht="16.5" customHeight="1">
      <c r="A734" s="44"/>
      <c r="B734" s="44"/>
      <c r="C734" s="44"/>
      <c r="D734" s="172"/>
      <c r="E734" s="44"/>
      <c r="F734" s="44"/>
      <c r="G734" s="44"/>
      <c r="H734" s="44"/>
      <c r="I734" s="53"/>
      <c r="J734" s="44"/>
      <c r="K734" s="44"/>
      <c r="L734" s="44"/>
      <c r="M734" s="44"/>
      <c r="N734" s="44"/>
      <c r="O734" s="44"/>
      <c r="P734" s="44"/>
      <c r="Q734" s="44"/>
      <c r="R734" s="44"/>
      <c r="S734" s="44"/>
      <c r="T734" s="44"/>
      <c r="U734" s="44"/>
      <c r="V734" s="44"/>
      <c r="W734" s="44"/>
      <c r="X734" s="44"/>
      <c r="Y734" s="44"/>
      <c r="Z734" s="44"/>
      <c r="AA734" s="44"/>
      <c r="AB734" s="44"/>
      <c r="AC734" s="44"/>
      <c r="AD734" s="44"/>
      <c r="AE734" s="44"/>
      <c r="AF734" s="44"/>
      <c r="AG734" s="44"/>
    </row>
    <row r="735" spans="1:33" ht="16.5" customHeight="1">
      <c r="A735" s="44"/>
      <c r="B735" s="44"/>
      <c r="C735" s="44"/>
      <c r="D735" s="172"/>
      <c r="E735" s="44"/>
      <c r="F735" s="44"/>
      <c r="G735" s="44"/>
      <c r="H735" s="44"/>
      <c r="I735" s="53"/>
      <c r="J735" s="44"/>
      <c r="K735" s="44"/>
      <c r="L735" s="44"/>
      <c r="M735" s="44"/>
      <c r="N735" s="44"/>
      <c r="O735" s="44"/>
      <c r="P735" s="44"/>
      <c r="Q735" s="44"/>
      <c r="R735" s="44"/>
      <c r="S735" s="44"/>
      <c r="T735" s="44"/>
      <c r="U735" s="44"/>
      <c r="V735" s="44"/>
      <c r="W735" s="44"/>
      <c r="X735" s="44"/>
      <c r="Y735" s="44"/>
      <c r="Z735" s="44"/>
      <c r="AA735" s="44"/>
      <c r="AB735" s="44"/>
      <c r="AC735" s="44"/>
      <c r="AD735" s="44"/>
      <c r="AE735" s="44"/>
      <c r="AF735" s="44"/>
      <c r="AG735" s="44"/>
    </row>
    <row r="736" spans="1:33" ht="16.5" customHeight="1">
      <c r="A736" s="44"/>
      <c r="B736" s="44"/>
      <c r="C736" s="44"/>
      <c r="D736" s="172"/>
      <c r="E736" s="44"/>
      <c r="F736" s="44"/>
      <c r="G736" s="44"/>
      <c r="H736" s="44"/>
      <c r="I736" s="53"/>
      <c r="J736" s="44"/>
      <c r="K736" s="44"/>
      <c r="L736" s="44"/>
      <c r="M736" s="44"/>
      <c r="N736" s="44"/>
      <c r="O736" s="44"/>
      <c r="P736" s="44"/>
      <c r="Q736" s="44"/>
      <c r="R736" s="44"/>
      <c r="S736" s="44"/>
      <c r="T736" s="44"/>
      <c r="U736" s="44"/>
      <c r="V736" s="44"/>
      <c r="W736" s="44"/>
      <c r="X736" s="44"/>
      <c r="Y736" s="44"/>
      <c r="Z736" s="44"/>
      <c r="AA736" s="44"/>
      <c r="AB736" s="44"/>
      <c r="AC736" s="44"/>
      <c r="AD736" s="44"/>
      <c r="AE736" s="44"/>
      <c r="AF736" s="44"/>
      <c r="AG736" s="44"/>
    </row>
    <row r="737" spans="1:33" ht="16.5" customHeight="1">
      <c r="A737" s="44"/>
      <c r="B737" s="44"/>
      <c r="C737" s="44"/>
      <c r="D737" s="172"/>
      <c r="E737" s="44"/>
      <c r="F737" s="44"/>
      <c r="G737" s="44"/>
      <c r="H737" s="44"/>
      <c r="I737" s="53"/>
      <c r="J737" s="44"/>
      <c r="K737" s="44"/>
      <c r="L737" s="44"/>
      <c r="M737" s="44"/>
      <c r="N737" s="44"/>
      <c r="O737" s="44"/>
      <c r="P737" s="44"/>
      <c r="Q737" s="44"/>
      <c r="R737" s="44"/>
      <c r="S737" s="44"/>
      <c r="T737" s="44"/>
      <c r="U737" s="44"/>
      <c r="V737" s="44"/>
      <c r="W737" s="44"/>
      <c r="X737" s="44"/>
      <c r="Y737" s="44"/>
      <c r="Z737" s="44"/>
      <c r="AA737" s="44"/>
      <c r="AB737" s="44"/>
      <c r="AC737" s="44"/>
      <c r="AD737" s="44"/>
      <c r="AE737" s="44"/>
      <c r="AF737" s="44"/>
      <c r="AG737" s="44"/>
    </row>
    <row r="738" spans="1:33" ht="16.5" customHeight="1">
      <c r="A738" s="44"/>
      <c r="B738" s="44"/>
      <c r="C738" s="44"/>
      <c r="D738" s="172"/>
      <c r="E738" s="44"/>
      <c r="F738" s="44"/>
      <c r="G738" s="44"/>
      <c r="H738" s="44"/>
      <c r="I738" s="53"/>
      <c r="J738" s="44"/>
      <c r="K738" s="44"/>
      <c r="L738" s="44"/>
      <c r="M738" s="44"/>
      <c r="N738" s="44"/>
      <c r="O738" s="44"/>
      <c r="P738" s="44"/>
      <c r="Q738" s="44"/>
      <c r="R738" s="44"/>
      <c r="S738" s="44"/>
      <c r="T738" s="44"/>
      <c r="U738" s="44"/>
      <c r="V738" s="44"/>
      <c r="W738" s="44"/>
      <c r="X738" s="44"/>
      <c r="Y738" s="44"/>
      <c r="Z738" s="44"/>
      <c r="AA738" s="44"/>
      <c r="AB738" s="44"/>
      <c r="AC738" s="44"/>
      <c r="AD738" s="44"/>
      <c r="AE738" s="44"/>
      <c r="AF738" s="44"/>
      <c r="AG738" s="44"/>
    </row>
    <row r="739" spans="1:33" ht="16.5" customHeight="1">
      <c r="A739" s="44"/>
      <c r="B739" s="44"/>
      <c r="C739" s="44"/>
      <c r="D739" s="172"/>
      <c r="E739" s="44"/>
      <c r="F739" s="44"/>
      <c r="G739" s="44"/>
      <c r="H739" s="44"/>
      <c r="I739" s="53"/>
      <c r="J739" s="44"/>
      <c r="K739" s="44"/>
      <c r="L739" s="44"/>
      <c r="M739" s="44"/>
      <c r="N739" s="44"/>
      <c r="O739" s="44"/>
      <c r="P739" s="44"/>
      <c r="Q739" s="44"/>
      <c r="R739" s="44"/>
      <c r="S739" s="44"/>
      <c r="T739" s="44"/>
      <c r="U739" s="44"/>
      <c r="V739" s="44"/>
      <c r="W739" s="44"/>
      <c r="X739" s="44"/>
      <c r="Y739" s="44"/>
      <c r="Z739" s="44"/>
      <c r="AA739" s="44"/>
      <c r="AB739" s="44"/>
      <c r="AC739" s="44"/>
      <c r="AD739" s="44"/>
      <c r="AE739" s="44"/>
      <c r="AF739" s="44"/>
      <c r="AG739" s="44"/>
    </row>
    <row r="740" spans="1:33" ht="16.5" customHeight="1">
      <c r="A740" s="44"/>
      <c r="B740" s="44"/>
      <c r="C740" s="44"/>
      <c r="D740" s="172"/>
      <c r="E740" s="44"/>
      <c r="F740" s="44"/>
      <c r="G740" s="44"/>
      <c r="H740" s="44"/>
      <c r="I740" s="53"/>
      <c r="J740" s="44"/>
      <c r="K740" s="44"/>
      <c r="L740" s="44"/>
      <c r="M740" s="44"/>
      <c r="N740" s="44"/>
      <c r="O740" s="44"/>
      <c r="P740" s="44"/>
      <c r="Q740" s="44"/>
      <c r="R740" s="44"/>
      <c r="S740" s="44"/>
      <c r="T740" s="44"/>
      <c r="U740" s="44"/>
      <c r="V740" s="44"/>
      <c r="W740" s="44"/>
      <c r="X740" s="44"/>
      <c r="Y740" s="44"/>
      <c r="Z740" s="44"/>
      <c r="AA740" s="44"/>
      <c r="AB740" s="44"/>
      <c r="AC740" s="44"/>
      <c r="AD740" s="44"/>
      <c r="AE740" s="44"/>
      <c r="AF740" s="44"/>
      <c r="AG740" s="44"/>
    </row>
    <row r="741" spans="1:33" ht="16.5" customHeight="1">
      <c r="A741" s="44"/>
      <c r="B741" s="44"/>
      <c r="C741" s="44"/>
      <c r="D741" s="172"/>
      <c r="E741" s="44"/>
      <c r="F741" s="44"/>
      <c r="G741" s="44"/>
      <c r="H741" s="44"/>
      <c r="I741" s="53"/>
      <c r="J741" s="44"/>
      <c r="K741" s="44"/>
      <c r="L741" s="44"/>
      <c r="M741" s="44"/>
      <c r="N741" s="44"/>
      <c r="O741" s="44"/>
      <c r="P741" s="44"/>
      <c r="Q741" s="44"/>
      <c r="R741" s="44"/>
      <c r="S741" s="44"/>
      <c r="T741" s="44"/>
      <c r="U741" s="44"/>
      <c r="V741" s="44"/>
      <c r="W741" s="44"/>
      <c r="X741" s="44"/>
      <c r="Y741" s="44"/>
      <c r="Z741" s="44"/>
      <c r="AA741" s="44"/>
      <c r="AB741" s="44"/>
      <c r="AC741" s="44"/>
      <c r="AD741" s="44"/>
      <c r="AE741" s="44"/>
      <c r="AF741" s="44"/>
      <c r="AG741" s="44"/>
    </row>
    <row r="742" spans="1:33" ht="16.5" customHeight="1">
      <c r="A742" s="44"/>
      <c r="B742" s="44"/>
      <c r="C742" s="44"/>
      <c r="D742" s="172"/>
      <c r="E742" s="44"/>
      <c r="F742" s="44"/>
      <c r="G742" s="44"/>
      <c r="H742" s="44"/>
      <c r="I742" s="53"/>
      <c r="J742" s="44"/>
      <c r="K742" s="44"/>
      <c r="L742" s="44"/>
      <c r="M742" s="44"/>
      <c r="N742" s="44"/>
      <c r="O742" s="44"/>
      <c r="P742" s="44"/>
      <c r="Q742" s="44"/>
      <c r="R742" s="44"/>
      <c r="S742" s="44"/>
      <c r="T742" s="44"/>
      <c r="U742" s="44"/>
      <c r="V742" s="44"/>
      <c r="W742" s="44"/>
      <c r="X742" s="44"/>
      <c r="Y742" s="44"/>
      <c r="Z742" s="44"/>
      <c r="AA742" s="44"/>
      <c r="AB742" s="44"/>
      <c r="AC742" s="44"/>
      <c r="AD742" s="44"/>
      <c r="AE742" s="44"/>
      <c r="AF742" s="44"/>
      <c r="AG742" s="44"/>
    </row>
    <row r="743" spans="1:33" ht="16.5" customHeight="1">
      <c r="A743" s="44"/>
      <c r="B743" s="44"/>
      <c r="C743" s="44"/>
      <c r="D743" s="172"/>
      <c r="E743" s="44"/>
      <c r="F743" s="44"/>
      <c r="G743" s="44"/>
      <c r="H743" s="44"/>
      <c r="I743" s="53"/>
      <c r="J743" s="44"/>
      <c r="K743" s="44"/>
      <c r="L743" s="44"/>
      <c r="M743" s="44"/>
      <c r="N743" s="44"/>
      <c r="O743" s="44"/>
      <c r="P743" s="44"/>
      <c r="Q743" s="44"/>
      <c r="R743" s="44"/>
      <c r="S743" s="44"/>
      <c r="T743" s="44"/>
      <c r="U743" s="44"/>
      <c r="V743" s="44"/>
      <c r="W743" s="44"/>
      <c r="X743" s="44"/>
      <c r="Y743" s="44"/>
      <c r="Z743" s="44"/>
      <c r="AA743" s="44"/>
      <c r="AB743" s="44"/>
      <c r="AC743" s="44"/>
      <c r="AD743" s="44"/>
      <c r="AE743" s="44"/>
      <c r="AF743" s="44"/>
      <c r="AG743" s="44"/>
    </row>
    <row r="744" spans="1:33" ht="16.5" customHeight="1">
      <c r="A744" s="44"/>
      <c r="B744" s="44"/>
      <c r="C744" s="44"/>
      <c r="D744" s="172"/>
      <c r="E744" s="44"/>
      <c r="F744" s="44"/>
      <c r="G744" s="44"/>
      <c r="H744" s="44"/>
      <c r="I744" s="53"/>
      <c r="J744" s="44"/>
      <c r="K744" s="44"/>
      <c r="L744" s="44"/>
      <c r="M744" s="44"/>
      <c r="N744" s="44"/>
      <c r="O744" s="44"/>
      <c r="P744" s="44"/>
      <c r="Q744" s="44"/>
      <c r="R744" s="44"/>
      <c r="S744" s="44"/>
      <c r="T744" s="44"/>
      <c r="U744" s="44"/>
      <c r="V744" s="44"/>
      <c r="W744" s="44"/>
      <c r="X744" s="44"/>
      <c r="Y744" s="44"/>
      <c r="Z744" s="44"/>
      <c r="AA744" s="44"/>
      <c r="AB744" s="44"/>
      <c r="AC744" s="44"/>
      <c r="AD744" s="44"/>
      <c r="AE744" s="44"/>
      <c r="AF744" s="44"/>
      <c r="AG744" s="44"/>
    </row>
    <row r="745" spans="1:33" ht="16.5" customHeight="1">
      <c r="A745" s="44"/>
      <c r="B745" s="44"/>
      <c r="C745" s="44"/>
      <c r="D745" s="172"/>
      <c r="E745" s="44"/>
      <c r="F745" s="44"/>
      <c r="G745" s="44"/>
      <c r="H745" s="44"/>
      <c r="I745" s="53"/>
      <c r="J745" s="44"/>
      <c r="K745" s="44"/>
      <c r="L745" s="44"/>
      <c r="M745" s="44"/>
      <c r="N745" s="44"/>
      <c r="O745" s="44"/>
      <c r="P745" s="44"/>
      <c r="Q745" s="44"/>
      <c r="R745" s="44"/>
      <c r="S745" s="44"/>
      <c r="T745" s="44"/>
      <c r="U745" s="44"/>
      <c r="V745" s="44"/>
      <c r="W745" s="44"/>
      <c r="X745" s="44"/>
      <c r="Y745" s="44"/>
      <c r="Z745" s="44"/>
      <c r="AA745" s="44"/>
      <c r="AB745" s="44"/>
      <c r="AC745" s="44"/>
      <c r="AD745" s="44"/>
      <c r="AE745" s="44"/>
      <c r="AF745" s="44"/>
      <c r="AG745" s="44"/>
    </row>
    <row r="746" spans="1:33" ht="16.5" customHeight="1">
      <c r="A746" s="44"/>
      <c r="B746" s="44"/>
      <c r="C746" s="44"/>
      <c r="D746" s="172"/>
      <c r="E746" s="44"/>
      <c r="F746" s="44"/>
      <c r="G746" s="44"/>
      <c r="H746" s="44"/>
      <c r="I746" s="53"/>
      <c r="J746" s="44"/>
      <c r="K746" s="44"/>
      <c r="L746" s="44"/>
      <c r="M746" s="44"/>
      <c r="N746" s="44"/>
      <c r="O746" s="44"/>
      <c r="P746" s="44"/>
      <c r="Q746" s="44"/>
      <c r="R746" s="44"/>
      <c r="S746" s="44"/>
      <c r="T746" s="44"/>
      <c r="U746" s="44"/>
      <c r="V746" s="44"/>
      <c r="W746" s="44"/>
      <c r="X746" s="44"/>
      <c r="Y746" s="44"/>
      <c r="Z746" s="44"/>
      <c r="AA746" s="44"/>
      <c r="AB746" s="44"/>
      <c r="AC746" s="44"/>
      <c r="AD746" s="44"/>
      <c r="AE746" s="44"/>
      <c r="AF746" s="44"/>
      <c r="AG746" s="44"/>
    </row>
    <row r="747" spans="1:33" ht="16.5" customHeight="1">
      <c r="A747" s="44"/>
      <c r="B747" s="44"/>
      <c r="C747" s="44"/>
      <c r="D747" s="172"/>
      <c r="E747" s="44"/>
      <c r="F747" s="44"/>
      <c r="G747" s="44"/>
      <c r="H747" s="44"/>
      <c r="I747" s="53"/>
      <c r="J747" s="44"/>
      <c r="K747" s="44"/>
      <c r="L747" s="44"/>
      <c r="M747" s="44"/>
      <c r="N747" s="44"/>
      <c r="O747" s="44"/>
      <c r="P747" s="44"/>
      <c r="Q747" s="44"/>
      <c r="R747" s="44"/>
      <c r="S747" s="44"/>
      <c r="T747" s="44"/>
      <c r="U747" s="44"/>
      <c r="V747" s="44"/>
      <c r="W747" s="44"/>
      <c r="X747" s="44"/>
      <c r="Y747" s="44"/>
      <c r="Z747" s="44"/>
      <c r="AA747" s="44"/>
      <c r="AB747" s="44"/>
      <c r="AC747" s="44"/>
      <c r="AD747" s="44"/>
      <c r="AE747" s="44"/>
      <c r="AF747" s="44"/>
      <c r="AG747" s="44"/>
    </row>
    <row r="748" spans="1:33" ht="16.5" customHeight="1">
      <c r="A748" s="44"/>
      <c r="B748" s="44"/>
      <c r="C748" s="44"/>
      <c r="D748" s="172"/>
      <c r="E748" s="44"/>
      <c r="F748" s="44"/>
      <c r="G748" s="44"/>
      <c r="H748" s="44"/>
      <c r="I748" s="53"/>
      <c r="J748" s="44"/>
      <c r="K748" s="44"/>
      <c r="L748" s="44"/>
      <c r="M748" s="44"/>
      <c r="N748" s="44"/>
      <c r="O748" s="44"/>
      <c r="P748" s="44"/>
      <c r="Q748" s="44"/>
      <c r="R748" s="44"/>
      <c r="S748" s="44"/>
      <c r="T748" s="44"/>
      <c r="U748" s="44"/>
      <c r="V748" s="44"/>
      <c r="W748" s="44"/>
      <c r="X748" s="44"/>
      <c r="Y748" s="44"/>
      <c r="Z748" s="44"/>
      <c r="AA748" s="44"/>
      <c r="AB748" s="44"/>
      <c r="AC748" s="44"/>
      <c r="AD748" s="44"/>
      <c r="AE748" s="44"/>
      <c r="AF748" s="44"/>
      <c r="AG748" s="44"/>
    </row>
    <row r="749" spans="1:33" ht="16.5" customHeight="1">
      <c r="A749" s="44"/>
      <c r="B749" s="44"/>
      <c r="C749" s="44"/>
      <c r="D749" s="172"/>
      <c r="E749" s="44"/>
      <c r="F749" s="44"/>
      <c r="G749" s="44"/>
      <c r="H749" s="44"/>
      <c r="I749" s="53"/>
      <c r="J749" s="44"/>
      <c r="K749" s="44"/>
      <c r="L749" s="44"/>
      <c r="M749" s="44"/>
      <c r="N749" s="44"/>
      <c r="O749" s="44"/>
      <c r="P749" s="44"/>
      <c r="Q749" s="44"/>
      <c r="R749" s="44"/>
      <c r="S749" s="44"/>
      <c r="T749" s="44"/>
      <c r="U749" s="44"/>
      <c r="V749" s="44"/>
      <c r="W749" s="44"/>
      <c r="X749" s="44"/>
      <c r="Y749" s="44"/>
      <c r="Z749" s="44"/>
      <c r="AA749" s="44"/>
      <c r="AB749" s="44"/>
      <c r="AC749" s="44"/>
      <c r="AD749" s="44"/>
      <c r="AE749" s="44"/>
      <c r="AF749" s="44"/>
      <c r="AG749" s="44"/>
    </row>
    <row r="750" spans="1:33" ht="16.5" customHeight="1">
      <c r="A750" s="44"/>
      <c r="B750" s="44"/>
      <c r="C750" s="44"/>
      <c r="D750" s="172"/>
      <c r="E750" s="44"/>
      <c r="F750" s="44"/>
      <c r="G750" s="44"/>
      <c r="H750" s="44"/>
      <c r="I750" s="53"/>
      <c r="J750" s="44"/>
      <c r="K750" s="44"/>
      <c r="L750" s="44"/>
      <c r="M750" s="44"/>
      <c r="N750" s="44"/>
      <c r="O750" s="44"/>
      <c r="P750" s="44"/>
      <c r="Q750" s="44"/>
      <c r="R750" s="44"/>
      <c r="S750" s="44"/>
      <c r="T750" s="44"/>
      <c r="U750" s="44"/>
      <c r="V750" s="44"/>
      <c r="W750" s="44"/>
      <c r="X750" s="44"/>
      <c r="Y750" s="44"/>
      <c r="Z750" s="44"/>
      <c r="AA750" s="44"/>
      <c r="AB750" s="44"/>
      <c r="AC750" s="44"/>
      <c r="AD750" s="44"/>
      <c r="AE750" s="44"/>
      <c r="AF750" s="44"/>
      <c r="AG750" s="44"/>
    </row>
    <row r="751" spans="1:33" ht="16.5" customHeight="1">
      <c r="A751" s="44"/>
      <c r="B751" s="44"/>
      <c r="C751" s="44"/>
      <c r="D751" s="172"/>
      <c r="E751" s="44"/>
      <c r="F751" s="44"/>
      <c r="G751" s="44"/>
      <c r="H751" s="44"/>
      <c r="I751" s="53"/>
      <c r="J751" s="44"/>
      <c r="K751" s="44"/>
      <c r="L751" s="44"/>
      <c r="M751" s="44"/>
      <c r="N751" s="44"/>
      <c r="O751" s="44"/>
      <c r="P751" s="44"/>
      <c r="Q751" s="44"/>
      <c r="R751" s="44"/>
      <c r="S751" s="44"/>
      <c r="T751" s="44"/>
      <c r="U751" s="44"/>
      <c r="V751" s="44"/>
      <c r="W751" s="44"/>
      <c r="X751" s="44"/>
      <c r="Y751" s="44"/>
      <c r="Z751" s="44"/>
      <c r="AA751" s="44"/>
      <c r="AB751" s="44"/>
      <c r="AC751" s="44"/>
      <c r="AD751" s="44"/>
      <c r="AE751" s="44"/>
      <c r="AF751" s="44"/>
      <c r="AG751" s="44"/>
    </row>
    <row r="752" spans="1:33" ht="16.5" customHeight="1">
      <c r="A752" s="44"/>
      <c r="B752" s="44"/>
      <c r="C752" s="44"/>
      <c r="D752" s="172"/>
      <c r="E752" s="44"/>
      <c r="F752" s="44"/>
      <c r="G752" s="44"/>
      <c r="H752" s="44"/>
      <c r="I752" s="53"/>
      <c r="J752" s="44"/>
      <c r="K752" s="44"/>
      <c r="L752" s="44"/>
      <c r="M752" s="44"/>
      <c r="N752" s="44"/>
      <c r="O752" s="44"/>
      <c r="P752" s="44"/>
      <c r="Q752" s="44"/>
      <c r="R752" s="44"/>
      <c r="S752" s="44"/>
      <c r="T752" s="44"/>
      <c r="U752" s="44"/>
      <c r="V752" s="44"/>
      <c r="W752" s="44"/>
      <c r="X752" s="44"/>
      <c r="Y752" s="44"/>
      <c r="Z752" s="44"/>
      <c r="AA752" s="44"/>
      <c r="AB752" s="44"/>
      <c r="AC752" s="44"/>
      <c r="AD752" s="44"/>
      <c r="AE752" s="44"/>
      <c r="AF752" s="44"/>
      <c r="AG752" s="44"/>
    </row>
    <row r="753" spans="1:33" ht="16.5" customHeight="1">
      <c r="A753" s="44"/>
      <c r="B753" s="44"/>
      <c r="C753" s="44"/>
      <c r="D753" s="172"/>
      <c r="E753" s="44"/>
      <c r="F753" s="44"/>
      <c r="G753" s="44"/>
      <c r="H753" s="44"/>
      <c r="I753" s="53"/>
      <c r="J753" s="44"/>
      <c r="K753" s="44"/>
      <c r="L753" s="44"/>
      <c r="M753" s="44"/>
      <c r="N753" s="44"/>
      <c r="O753" s="44"/>
      <c r="P753" s="44"/>
      <c r="Q753" s="44"/>
      <c r="R753" s="44"/>
      <c r="S753" s="44"/>
      <c r="T753" s="44"/>
      <c r="U753" s="44"/>
      <c r="V753" s="44"/>
      <c r="W753" s="44"/>
      <c r="X753" s="44"/>
      <c r="Y753" s="44"/>
      <c r="Z753" s="44"/>
      <c r="AA753" s="44"/>
      <c r="AB753" s="44"/>
      <c r="AC753" s="44"/>
      <c r="AD753" s="44"/>
      <c r="AE753" s="44"/>
      <c r="AF753" s="44"/>
      <c r="AG753" s="44"/>
    </row>
    <row r="754" spans="1:33" ht="16.5" customHeight="1">
      <c r="A754" s="44"/>
      <c r="B754" s="44"/>
      <c r="C754" s="44"/>
      <c r="D754" s="172"/>
      <c r="E754" s="44"/>
      <c r="F754" s="44"/>
      <c r="G754" s="44"/>
      <c r="H754" s="44"/>
      <c r="I754" s="53"/>
      <c r="J754" s="44"/>
      <c r="K754" s="44"/>
      <c r="L754" s="44"/>
      <c r="M754" s="44"/>
      <c r="N754" s="44"/>
      <c r="O754" s="44"/>
      <c r="P754" s="44"/>
      <c r="Q754" s="44"/>
      <c r="R754" s="44"/>
      <c r="S754" s="44"/>
      <c r="T754" s="44"/>
      <c r="U754" s="44"/>
      <c r="V754" s="44"/>
      <c r="W754" s="44"/>
      <c r="X754" s="44"/>
      <c r="Y754" s="44"/>
      <c r="Z754" s="44"/>
      <c r="AA754" s="44"/>
      <c r="AB754" s="44"/>
      <c r="AC754" s="44"/>
      <c r="AD754" s="44"/>
      <c r="AE754" s="44"/>
      <c r="AF754" s="44"/>
      <c r="AG754" s="44"/>
    </row>
    <row r="755" spans="1:33" ht="16.5" customHeight="1">
      <c r="A755" s="44"/>
      <c r="B755" s="44"/>
      <c r="C755" s="44"/>
      <c r="D755" s="172"/>
      <c r="E755" s="44"/>
      <c r="F755" s="44"/>
      <c r="G755" s="44"/>
      <c r="H755" s="44"/>
      <c r="I755" s="53"/>
      <c r="J755" s="44"/>
      <c r="K755" s="44"/>
      <c r="L755" s="44"/>
      <c r="M755" s="44"/>
      <c r="N755" s="44"/>
      <c r="O755" s="44"/>
      <c r="P755" s="44"/>
      <c r="Q755" s="44"/>
      <c r="R755" s="44"/>
      <c r="S755" s="44"/>
      <c r="T755" s="44"/>
      <c r="U755" s="44"/>
      <c r="V755" s="44"/>
      <c r="W755" s="44"/>
      <c r="X755" s="44"/>
      <c r="Y755" s="44"/>
      <c r="Z755" s="44"/>
      <c r="AA755" s="44"/>
      <c r="AB755" s="44"/>
      <c r="AC755" s="44"/>
      <c r="AD755" s="44"/>
      <c r="AE755" s="44"/>
      <c r="AF755" s="44"/>
      <c r="AG755" s="44"/>
    </row>
    <row r="756" spans="1:33" ht="16.5" customHeight="1">
      <c r="A756" s="44"/>
      <c r="B756" s="44"/>
      <c r="C756" s="44"/>
      <c r="D756" s="172"/>
      <c r="E756" s="44"/>
      <c r="F756" s="44"/>
      <c r="G756" s="44"/>
      <c r="H756" s="44"/>
      <c r="I756" s="53"/>
      <c r="J756" s="44"/>
      <c r="K756" s="44"/>
      <c r="L756" s="44"/>
      <c r="M756" s="44"/>
      <c r="N756" s="44"/>
      <c r="O756" s="44"/>
      <c r="P756" s="44"/>
      <c r="Q756" s="44"/>
      <c r="R756" s="44"/>
      <c r="S756" s="44"/>
      <c r="T756" s="44"/>
      <c r="U756" s="44"/>
      <c r="V756" s="44"/>
      <c r="W756" s="44"/>
      <c r="X756" s="44"/>
      <c r="Y756" s="44"/>
      <c r="Z756" s="44"/>
      <c r="AA756" s="44"/>
      <c r="AB756" s="44"/>
      <c r="AC756" s="44"/>
      <c r="AD756" s="44"/>
      <c r="AE756" s="44"/>
      <c r="AF756" s="44"/>
      <c r="AG756" s="44"/>
    </row>
    <row r="757" spans="1:33" ht="16.5" customHeight="1">
      <c r="A757" s="44"/>
      <c r="B757" s="44"/>
      <c r="C757" s="44"/>
      <c r="D757" s="172"/>
      <c r="E757" s="44"/>
      <c r="F757" s="44"/>
      <c r="G757" s="44"/>
      <c r="H757" s="44"/>
      <c r="I757" s="53"/>
      <c r="J757" s="44"/>
      <c r="K757" s="44"/>
      <c r="L757" s="44"/>
      <c r="M757" s="44"/>
      <c r="N757" s="44"/>
      <c r="O757" s="44"/>
      <c r="P757" s="44"/>
      <c r="Q757" s="44"/>
      <c r="R757" s="44"/>
      <c r="S757" s="44"/>
      <c r="T757" s="44"/>
      <c r="U757" s="44"/>
      <c r="V757" s="44"/>
      <c r="W757" s="44"/>
      <c r="X757" s="44"/>
      <c r="Y757" s="44"/>
      <c r="Z757" s="44"/>
      <c r="AA757" s="44"/>
      <c r="AB757" s="44"/>
      <c r="AC757" s="44"/>
      <c r="AD757" s="44"/>
      <c r="AE757" s="44"/>
      <c r="AF757" s="44"/>
      <c r="AG757" s="44"/>
    </row>
    <row r="758" spans="1:33" ht="16.5" customHeight="1">
      <c r="A758" s="44"/>
      <c r="B758" s="44"/>
      <c r="C758" s="44"/>
      <c r="D758" s="172"/>
      <c r="E758" s="44"/>
      <c r="F758" s="44"/>
      <c r="G758" s="44"/>
      <c r="H758" s="44"/>
      <c r="I758" s="53"/>
      <c r="J758" s="44"/>
      <c r="K758" s="44"/>
      <c r="L758" s="44"/>
      <c r="M758" s="44"/>
      <c r="N758" s="44"/>
      <c r="O758" s="44"/>
      <c r="P758" s="44"/>
      <c r="Q758" s="44"/>
      <c r="R758" s="44"/>
      <c r="S758" s="44"/>
      <c r="T758" s="44"/>
      <c r="U758" s="44"/>
      <c r="V758" s="44"/>
      <c r="W758" s="44"/>
      <c r="X758" s="44"/>
      <c r="Y758" s="44"/>
      <c r="Z758" s="44"/>
      <c r="AA758" s="44"/>
      <c r="AB758" s="44"/>
      <c r="AC758" s="44"/>
      <c r="AD758" s="44"/>
      <c r="AE758" s="44"/>
      <c r="AF758" s="44"/>
      <c r="AG758" s="44"/>
    </row>
    <row r="759" spans="1:33" ht="16.5" customHeight="1">
      <c r="A759" s="44"/>
      <c r="B759" s="44"/>
      <c r="C759" s="44"/>
      <c r="D759" s="172"/>
      <c r="E759" s="44"/>
      <c r="F759" s="44"/>
      <c r="G759" s="44"/>
      <c r="H759" s="44"/>
      <c r="I759" s="53"/>
      <c r="J759" s="44"/>
      <c r="K759" s="44"/>
      <c r="L759" s="44"/>
      <c r="M759" s="44"/>
      <c r="N759" s="44"/>
      <c r="O759" s="44"/>
      <c r="P759" s="44"/>
      <c r="Q759" s="44"/>
      <c r="R759" s="44"/>
      <c r="S759" s="44"/>
      <c r="T759" s="44"/>
      <c r="U759" s="44"/>
      <c r="V759" s="44"/>
      <c r="W759" s="44"/>
      <c r="X759" s="44"/>
      <c r="Y759" s="44"/>
      <c r="Z759" s="44"/>
      <c r="AA759" s="44"/>
      <c r="AB759" s="44"/>
      <c r="AC759" s="44"/>
      <c r="AD759" s="44"/>
      <c r="AE759" s="44"/>
      <c r="AF759" s="44"/>
      <c r="AG759" s="44"/>
    </row>
    <row r="760" spans="1:33" ht="16.5" customHeight="1">
      <c r="A760" s="44"/>
      <c r="B760" s="44"/>
      <c r="C760" s="44"/>
      <c r="D760" s="172"/>
      <c r="E760" s="44"/>
      <c r="F760" s="44"/>
      <c r="G760" s="44"/>
      <c r="H760" s="44"/>
      <c r="I760" s="53"/>
      <c r="J760" s="44"/>
      <c r="K760" s="44"/>
      <c r="L760" s="44"/>
      <c r="M760" s="44"/>
      <c r="N760" s="44"/>
      <c r="O760" s="44"/>
      <c r="P760" s="44"/>
      <c r="Q760" s="44"/>
      <c r="R760" s="44"/>
      <c r="S760" s="44"/>
      <c r="T760" s="44"/>
      <c r="U760" s="44"/>
      <c r="V760" s="44"/>
      <c r="W760" s="44"/>
      <c r="X760" s="44"/>
      <c r="Y760" s="44"/>
      <c r="Z760" s="44"/>
      <c r="AA760" s="44"/>
      <c r="AB760" s="44"/>
      <c r="AC760" s="44"/>
      <c r="AD760" s="44"/>
      <c r="AE760" s="44"/>
      <c r="AF760" s="44"/>
      <c r="AG760" s="44"/>
    </row>
    <row r="761" spans="1:33" ht="16.5" customHeight="1">
      <c r="A761" s="44"/>
      <c r="B761" s="44"/>
      <c r="C761" s="44"/>
      <c r="D761" s="172"/>
      <c r="E761" s="44"/>
      <c r="F761" s="44"/>
      <c r="G761" s="44"/>
      <c r="H761" s="44"/>
      <c r="I761" s="53"/>
      <c r="J761" s="44"/>
      <c r="K761" s="44"/>
      <c r="L761" s="44"/>
      <c r="M761" s="44"/>
      <c r="N761" s="44"/>
      <c r="O761" s="44"/>
      <c r="P761" s="44"/>
      <c r="Q761" s="44"/>
      <c r="R761" s="44"/>
      <c r="S761" s="44"/>
      <c r="T761" s="44"/>
      <c r="U761" s="44"/>
      <c r="V761" s="44"/>
      <c r="W761" s="44"/>
      <c r="X761" s="44"/>
      <c r="Y761" s="44"/>
      <c r="Z761" s="44"/>
      <c r="AA761" s="44"/>
      <c r="AB761" s="44"/>
      <c r="AC761" s="44"/>
      <c r="AD761" s="44"/>
      <c r="AE761" s="44"/>
      <c r="AF761" s="44"/>
      <c r="AG761" s="44"/>
    </row>
    <row r="762" spans="1:33" ht="16.5" customHeight="1">
      <c r="A762" s="44"/>
      <c r="B762" s="44"/>
      <c r="C762" s="44"/>
      <c r="D762" s="172"/>
      <c r="E762" s="44"/>
      <c r="F762" s="44"/>
      <c r="G762" s="44"/>
      <c r="H762" s="44"/>
      <c r="I762" s="53"/>
      <c r="J762" s="44"/>
      <c r="K762" s="44"/>
      <c r="L762" s="44"/>
      <c r="M762" s="44"/>
      <c r="N762" s="44"/>
      <c r="O762" s="44"/>
      <c r="P762" s="44"/>
      <c r="Q762" s="44"/>
      <c r="R762" s="44"/>
      <c r="S762" s="44"/>
      <c r="T762" s="44"/>
      <c r="U762" s="44"/>
      <c r="V762" s="44"/>
      <c r="W762" s="44"/>
      <c r="X762" s="44"/>
      <c r="Y762" s="44"/>
      <c r="Z762" s="44"/>
      <c r="AA762" s="44"/>
      <c r="AB762" s="44"/>
      <c r="AC762" s="44"/>
      <c r="AD762" s="44"/>
      <c r="AE762" s="44"/>
      <c r="AF762" s="44"/>
      <c r="AG762" s="44"/>
    </row>
    <row r="763" spans="1:33" ht="16.5" customHeight="1">
      <c r="A763" s="44"/>
      <c r="B763" s="44"/>
      <c r="C763" s="44"/>
      <c r="D763" s="172"/>
      <c r="E763" s="44"/>
      <c r="F763" s="44"/>
      <c r="G763" s="44"/>
      <c r="H763" s="44"/>
      <c r="I763" s="53"/>
      <c r="J763" s="44"/>
      <c r="K763" s="44"/>
      <c r="L763" s="44"/>
      <c r="M763" s="44"/>
      <c r="N763" s="44"/>
      <c r="O763" s="44"/>
      <c r="P763" s="44"/>
      <c r="Q763" s="44"/>
      <c r="R763" s="44"/>
      <c r="S763" s="44"/>
      <c r="T763" s="44"/>
      <c r="U763" s="44"/>
      <c r="V763" s="44"/>
      <c r="W763" s="44"/>
      <c r="X763" s="44"/>
      <c r="Y763" s="44"/>
      <c r="Z763" s="44"/>
      <c r="AA763" s="44"/>
      <c r="AB763" s="44"/>
      <c r="AC763" s="44"/>
      <c r="AD763" s="44"/>
      <c r="AE763" s="44"/>
      <c r="AF763" s="44"/>
      <c r="AG763" s="44"/>
    </row>
    <row r="764" spans="1:33" ht="16.5" customHeight="1">
      <c r="A764" s="44"/>
      <c r="B764" s="44"/>
      <c r="C764" s="44"/>
      <c r="D764" s="172"/>
      <c r="E764" s="44"/>
      <c r="F764" s="44"/>
      <c r="G764" s="44"/>
      <c r="H764" s="44"/>
      <c r="I764" s="53"/>
      <c r="J764" s="44"/>
      <c r="K764" s="44"/>
      <c r="L764" s="44"/>
      <c r="M764" s="44"/>
      <c r="N764" s="44"/>
      <c r="O764" s="44"/>
      <c r="P764" s="44"/>
      <c r="Q764" s="44"/>
      <c r="R764" s="44"/>
      <c r="S764" s="44"/>
      <c r="T764" s="44"/>
      <c r="U764" s="44"/>
      <c r="V764" s="44"/>
      <c r="W764" s="44"/>
      <c r="X764" s="44"/>
      <c r="Y764" s="44"/>
      <c r="Z764" s="44"/>
      <c r="AA764" s="44"/>
      <c r="AB764" s="44"/>
      <c r="AC764" s="44"/>
      <c r="AD764" s="44"/>
      <c r="AE764" s="44"/>
      <c r="AF764" s="44"/>
      <c r="AG764" s="44"/>
    </row>
    <row r="765" spans="1:33" ht="16.5" customHeight="1">
      <c r="A765" s="44"/>
      <c r="B765" s="44"/>
      <c r="C765" s="44"/>
      <c r="D765" s="172"/>
      <c r="E765" s="44"/>
      <c r="F765" s="44"/>
      <c r="G765" s="44"/>
      <c r="H765" s="44"/>
      <c r="I765" s="53"/>
      <c r="J765" s="44"/>
      <c r="K765" s="44"/>
      <c r="L765" s="44"/>
      <c r="M765" s="44"/>
      <c r="N765" s="44"/>
      <c r="O765" s="44"/>
      <c r="P765" s="44"/>
      <c r="Q765" s="44"/>
      <c r="R765" s="44"/>
      <c r="S765" s="44"/>
      <c r="T765" s="44"/>
      <c r="U765" s="44"/>
      <c r="V765" s="44"/>
      <c r="W765" s="44"/>
      <c r="X765" s="44"/>
      <c r="Y765" s="44"/>
      <c r="Z765" s="44"/>
      <c r="AA765" s="44"/>
      <c r="AB765" s="44"/>
      <c r="AC765" s="44"/>
      <c r="AD765" s="44"/>
      <c r="AE765" s="44"/>
      <c r="AF765" s="44"/>
      <c r="AG765" s="44"/>
    </row>
    <row r="766" spans="1:33" ht="16.5" customHeight="1">
      <c r="A766" s="44"/>
      <c r="B766" s="44"/>
      <c r="C766" s="44"/>
      <c r="D766" s="172"/>
      <c r="E766" s="44"/>
      <c r="F766" s="44"/>
      <c r="G766" s="44"/>
      <c r="H766" s="44"/>
      <c r="I766" s="53"/>
      <c r="J766" s="44"/>
      <c r="K766" s="44"/>
      <c r="L766" s="44"/>
      <c r="M766" s="44"/>
      <c r="N766" s="44"/>
      <c r="O766" s="44"/>
      <c r="P766" s="44"/>
      <c r="Q766" s="44"/>
      <c r="R766" s="44"/>
      <c r="S766" s="44"/>
      <c r="T766" s="44"/>
      <c r="U766" s="44"/>
      <c r="V766" s="44"/>
      <c r="W766" s="44"/>
      <c r="X766" s="44"/>
      <c r="Y766" s="44"/>
      <c r="Z766" s="44"/>
      <c r="AA766" s="44"/>
      <c r="AB766" s="44"/>
      <c r="AC766" s="44"/>
      <c r="AD766" s="44"/>
      <c r="AE766" s="44"/>
      <c r="AF766" s="44"/>
      <c r="AG766" s="44"/>
    </row>
    <row r="767" spans="1:33" ht="16.5" customHeight="1">
      <c r="A767" s="44"/>
      <c r="B767" s="44"/>
      <c r="C767" s="44"/>
      <c r="D767" s="172"/>
      <c r="E767" s="44"/>
      <c r="F767" s="44"/>
      <c r="G767" s="44"/>
      <c r="H767" s="44"/>
      <c r="I767" s="53"/>
      <c r="J767" s="44"/>
      <c r="K767" s="44"/>
      <c r="L767" s="44"/>
      <c r="M767" s="44"/>
      <c r="N767" s="44"/>
      <c r="O767" s="44"/>
      <c r="P767" s="44"/>
      <c r="Q767" s="44"/>
      <c r="R767" s="44"/>
      <c r="S767" s="44"/>
      <c r="T767" s="44"/>
      <c r="U767" s="44"/>
      <c r="V767" s="44"/>
      <c r="W767" s="44"/>
      <c r="X767" s="44"/>
      <c r="Y767" s="44"/>
      <c r="Z767" s="44"/>
      <c r="AA767" s="44"/>
      <c r="AB767" s="44"/>
      <c r="AC767" s="44"/>
      <c r="AD767" s="44"/>
      <c r="AE767" s="44"/>
      <c r="AF767" s="44"/>
      <c r="AG767" s="44"/>
    </row>
    <row r="768" spans="1:33" ht="16.5" customHeight="1">
      <c r="A768" s="44"/>
      <c r="B768" s="44"/>
      <c r="C768" s="44"/>
      <c r="D768" s="172"/>
      <c r="E768" s="44"/>
      <c r="F768" s="44"/>
      <c r="G768" s="44"/>
      <c r="H768" s="44"/>
      <c r="I768" s="53"/>
      <c r="J768" s="44"/>
      <c r="K768" s="44"/>
      <c r="L768" s="44"/>
      <c r="M768" s="44"/>
      <c r="N768" s="44"/>
      <c r="O768" s="44"/>
      <c r="P768" s="44"/>
      <c r="Q768" s="44"/>
      <c r="R768" s="44"/>
      <c r="S768" s="44"/>
      <c r="T768" s="44"/>
      <c r="U768" s="44"/>
      <c r="V768" s="44"/>
      <c r="W768" s="44"/>
      <c r="X768" s="44"/>
      <c r="Y768" s="44"/>
      <c r="Z768" s="44"/>
      <c r="AA768" s="44"/>
      <c r="AB768" s="44"/>
      <c r="AC768" s="44"/>
      <c r="AD768" s="44"/>
      <c r="AE768" s="44"/>
      <c r="AF768" s="44"/>
      <c r="AG768" s="44"/>
    </row>
    <row r="769" spans="1:33" ht="16.5" customHeight="1">
      <c r="A769" s="44"/>
      <c r="B769" s="44"/>
      <c r="C769" s="44"/>
      <c r="D769" s="172"/>
      <c r="E769" s="44"/>
      <c r="F769" s="44"/>
      <c r="G769" s="44"/>
      <c r="H769" s="44"/>
      <c r="I769" s="53"/>
      <c r="J769" s="44"/>
      <c r="K769" s="44"/>
      <c r="L769" s="44"/>
      <c r="M769" s="44"/>
      <c r="N769" s="44"/>
      <c r="O769" s="44"/>
      <c r="P769" s="44"/>
      <c r="Q769" s="44"/>
      <c r="R769" s="44"/>
      <c r="S769" s="44"/>
      <c r="T769" s="44"/>
      <c r="U769" s="44"/>
      <c r="V769" s="44"/>
      <c r="W769" s="44"/>
      <c r="X769" s="44"/>
      <c r="Y769" s="44"/>
      <c r="Z769" s="44"/>
      <c r="AA769" s="44"/>
      <c r="AB769" s="44"/>
      <c r="AC769" s="44"/>
      <c r="AD769" s="44"/>
      <c r="AE769" s="44"/>
      <c r="AF769" s="44"/>
      <c r="AG769" s="44"/>
    </row>
    <row r="770" spans="1:33" ht="16.5" customHeight="1">
      <c r="A770" s="44"/>
      <c r="B770" s="44"/>
      <c r="C770" s="44"/>
      <c r="D770" s="172"/>
      <c r="E770" s="44"/>
      <c r="F770" s="44"/>
      <c r="G770" s="44"/>
      <c r="H770" s="44"/>
      <c r="I770" s="53"/>
      <c r="J770" s="44"/>
      <c r="K770" s="44"/>
      <c r="L770" s="44"/>
      <c r="M770" s="44"/>
      <c r="N770" s="44"/>
      <c r="O770" s="44"/>
      <c r="P770" s="44"/>
      <c r="Q770" s="44"/>
      <c r="R770" s="44"/>
      <c r="S770" s="44"/>
      <c r="T770" s="44"/>
      <c r="U770" s="44"/>
      <c r="V770" s="44"/>
      <c r="W770" s="44"/>
      <c r="X770" s="44"/>
      <c r="Y770" s="44"/>
      <c r="Z770" s="44"/>
      <c r="AA770" s="44"/>
      <c r="AB770" s="44"/>
      <c r="AC770" s="44"/>
      <c r="AD770" s="44"/>
      <c r="AE770" s="44"/>
      <c r="AF770" s="44"/>
      <c r="AG770" s="44"/>
    </row>
    <row r="771" spans="1:33" ht="16.5" customHeight="1">
      <c r="A771" s="44"/>
      <c r="B771" s="44"/>
      <c r="C771" s="44"/>
      <c r="D771" s="172"/>
      <c r="E771" s="44"/>
      <c r="F771" s="44"/>
      <c r="G771" s="44"/>
      <c r="H771" s="44"/>
      <c r="I771" s="53"/>
      <c r="J771" s="44"/>
      <c r="K771" s="44"/>
      <c r="L771" s="44"/>
      <c r="M771" s="44"/>
      <c r="N771" s="44"/>
      <c r="O771" s="44"/>
      <c r="P771" s="44"/>
      <c r="Q771" s="44"/>
      <c r="R771" s="44"/>
      <c r="S771" s="44"/>
      <c r="T771" s="44"/>
      <c r="U771" s="44"/>
      <c r="V771" s="44"/>
      <c r="W771" s="44"/>
      <c r="X771" s="44"/>
      <c r="Y771" s="44"/>
      <c r="Z771" s="44"/>
      <c r="AA771" s="44"/>
      <c r="AB771" s="44"/>
      <c r="AC771" s="44"/>
      <c r="AD771" s="44"/>
      <c r="AE771" s="44"/>
      <c r="AF771" s="44"/>
      <c r="AG771" s="44"/>
    </row>
    <row r="772" spans="1:33" ht="16.5" customHeight="1">
      <c r="A772" s="44"/>
      <c r="B772" s="44"/>
      <c r="C772" s="44"/>
      <c r="D772" s="172"/>
      <c r="E772" s="44"/>
      <c r="F772" s="44"/>
      <c r="G772" s="44"/>
      <c r="H772" s="44"/>
      <c r="I772" s="53"/>
      <c r="J772" s="44"/>
      <c r="K772" s="44"/>
      <c r="L772" s="44"/>
      <c r="M772" s="44"/>
      <c r="N772" s="44"/>
      <c r="O772" s="44"/>
      <c r="P772" s="44"/>
      <c r="Q772" s="44"/>
      <c r="R772" s="44"/>
      <c r="S772" s="44"/>
      <c r="T772" s="44"/>
      <c r="U772" s="44"/>
      <c r="V772" s="44"/>
      <c r="W772" s="44"/>
      <c r="X772" s="44"/>
      <c r="Y772" s="44"/>
      <c r="Z772" s="44"/>
      <c r="AA772" s="44"/>
      <c r="AB772" s="44"/>
      <c r="AC772" s="44"/>
      <c r="AD772" s="44"/>
      <c r="AE772" s="44"/>
      <c r="AF772" s="44"/>
      <c r="AG772" s="44"/>
    </row>
    <row r="773" spans="1:33" ht="16.5" customHeight="1">
      <c r="A773" s="44"/>
      <c r="B773" s="44"/>
      <c r="C773" s="44"/>
      <c r="D773" s="172"/>
      <c r="E773" s="44"/>
      <c r="F773" s="44"/>
      <c r="G773" s="44"/>
      <c r="H773" s="44"/>
      <c r="I773" s="53"/>
      <c r="J773" s="44"/>
      <c r="K773" s="44"/>
      <c r="L773" s="44"/>
      <c r="M773" s="44"/>
      <c r="N773" s="44"/>
      <c r="O773" s="44"/>
      <c r="P773" s="44"/>
      <c r="Q773" s="44"/>
      <c r="R773" s="44"/>
      <c r="S773" s="44"/>
      <c r="T773" s="44"/>
      <c r="U773" s="44"/>
      <c r="V773" s="44"/>
      <c r="W773" s="44"/>
      <c r="X773" s="44"/>
      <c r="Y773" s="44"/>
      <c r="Z773" s="44"/>
      <c r="AA773" s="44"/>
      <c r="AB773" s="44"/>
      <c r="AC773" s="44"/>
      <c r="AD773" s="44"/>
      <c r="AE773" s="44"/>
      <c r="AF773" s="44"/>
      <c r="AG773" s="44"/>
    </row>
    <row r="774" spans="1:33" ht="16.5" customHeight="1">
      <c r="A774" s="44"/>
      <c r="B774" s="44"/>
      <c r="C774" s="44"/>
      <c r="D774" s="172"/>
      <c r="E774" s="44"/>
      <c r="F774" s="44"/>
      <c r="G774" s="44"/>
      <c r="H774" s="44"/>
      <c r="I774" s="53"/>
      <c r="J774" s="44"/>
      <c r="K774" s="44"/>
      <c r="L774" s="44"/>
      <c r="M774" s="44"/>
      <c r="N774" s="44"/>
      <c r="O774" s="44"/>
      <c r="P774" s="44"/>
      <c r="Q774" s="44"/>
      <c r="R774" s="44"/>
      <c r="S774" s="44"/>
      <c r="T774" s="44"/>
      <c r="U774" s="44"/>
      <c r="V774" s="44"/>
      <c r="W774" s="44"/>
      <c r="X774" s="44"/>
      <c r="Y774" s="44"/>
      <c r="Z774" s="44"/>
      <c r="AA774" s="44"/>
      <c r="AB774" s="44"/>
      <c r="AC774" s="44"/>
      <c r="AD774" s="44"/>
      <c r="AE774" s="44"/>
      <c r="AF774" s="44"/>
      <c r="AG774" s="44"/>
    </row>
    <row r="775" spans="1:33" ht="16.5" customHeight="1">
      <c r="A775" s="44"/>
      <c r="B775" s="44"/>
      <c r="C775" s="44"/>
      <c r="D775" s="172"/>
      <c r="E775" s="44"/>
      <c r="F775" s="44"/>
      <c r="G775" s="44"/>
      <c r="H775" s="44"/>
      <c r="I775" s="53"/>
      <c r="J775" s="44"/>
      <c r="K775" s="44"/>
      <c r="L775" s="44"/>
      <c r="M775" s="44"/>
      <c r="N775" s="44"/>
      <c r="O775" s="44"/>
      <c r="P775" s="44"/>
      <c r="Q775" s="44"/>
      <c r="R775" s="44"/>
      <c r="S775" s="44"/>
      <c r="T775" s="44"/>
      <c r="U775" s="44"/>
      <c r="V775" s="44"/>
      <c r="W775" s="44"/>
      <c r="X775" s="44"/>
      <c r="Y775" s="44"/>
      <c r="Z775" s="44"/>
      <c r="AA775" s="44"/>
      <c r="AB775" s="44"/>
      <c r="AC775" s="44"/>
      <c r="AD775" s="44"/>
      <c r="AE775" s="44"/>
      <c r="AF775" s="44"/>
      <c r="AG775" s="44"/>
    </row>
    <row r="776" spans="1:33" ht="16.5" customHeight="1">
      <c r="A776" s="44"/>
      <c r="B776" s="44"/>
      <c r="C776" s="44"/>
      <c r="D776" s="172"/>
      <c r="E776" s="44"/>
      <c r="F776" s="44"/>
      <c r="G776" s="44"/>
      <c r="H776" s="44"/>
      <c r="I776" s="53"/>
      <c r="J776" s="44"/>
      <c r="K776" s="44"/>
      <c r="L776" s="44"/>
      <c r="M776" s="44"/>
      <c r="N776" s="44"/>
      <c r="O776" s="44"/>
      <c r="P776" s="44"/>
      <c r="Q776" s="44"/>
      <c r="R776" s="44"/>
      <c r="S776" s="44"/>
      <c r="T776" s="44"/>
      <c r="U776" s="44"/>
      <c r="V776" s="44"/>
      <c r="W776" s="44"/>
      <c r="X776" s="44"/>
      <c r="Y776" s="44"/>
      <c r="Z776" s="44"/>
      <c r="AA776" s="44"/>
      <c r="AB776" s="44"/>
      <c r="AC776" s="44"/>
      <c r="AD776" s="44"/>
      <c r="AE776" s="44"/>
      <c r="AF776" s="44"/>
      <c r="AG776" s="44"/>
    </row>
    <row r="777" spans="1:33" ht="16.5" customHeight="1">
      <c r="A777" s="44"/>
      <c r="B777" s="44"/>
      <c r="C777" s="44"/>
      <c r="D777" s="172"/>
      <c r="E777" s="44"/>
      <c r="F777" s="44"/>
      <c r="G777" s="44"/>
      <c r="H777" s="44"/>
      <c r="I777" s="53"/>
      <c r="J777" s="44"/>
      <c r="K777" s="44"/>
      <c r="L777" s="44"/>
      <c r="M777" s="44"/>
      <c r="N777" s="44"/>
      <c r="O777" s="44"/>
      <c r="P777" s="44"/>
      <c r="Q777" s="44"/>
      <c r="R777" s="44"/>
      <c r="S777" s="44"/>
      <c r="T777" s="44"/>
      <c r="U777" s="44"/>
      <c r="V777" s="44"/>
      <c r="W777" s="44"/>
      <c r="X777" s="44"/>
      <c r="Y777" s="44"/>
      <c r="Z777" s="44"/>
      <c r="AA777" s="44"/>
      <c r="AB777" s="44"/>
      <c r="AC777" s="44"/>
      <c r="AD777" s="44"/>
      <c r="AE777" s="44"/>
      <c r="AF777" s="44"/>
      <c r="AG777" s="44"/>
    </row>
    <row r="778" spans="1:33" ht="16.5" customHeight="1">
      <c r="A778" s="44"/>
      <c r="B778" s="44"/>
      <c r="C778" s="44"/>
      <c r="D778" s="172"/>
      <c r="E778" s="44"/>
      <c r="F778" s="44"/>
      <c r="G778" s="44"/>
      <c r="H778" s="44"/>
      <c r="I778" s="53"/>
      <c r="J778" s="44"/>
      <c r="K778" s="44"/>
      <c r="L778" s="44"/>
      <c r="M778" s="44"/>
      <c r="N778" s="44"/>
      <c r="O778" s="44"/>
      <c r="P778" s="44"/>
      <c r="Q778" s="44"/>
      <c r="R778" s="44"/>
      <c r="S778" s="44"/>
      <c r="T778" s="44"/>
      <c r="U778" s="44"/>
      <c r="V778" s="44"/>
      <c r="W778" s="44"/>
      <c r="X778" s="44"/>
      <c r="Y778" s="44"/>
      <c r="Z778" s="44"/>
      <c r="AA778" s="44"/>
      <c r="AB778" s="44"/>
      <c r="AC778" s="44"/>
      <c r="AD778" s="44"/>
      <c r="AE778" s="44"/>
      <c r="AF778" s="44"/>
      <c r="AG778" s="44"/>
    </row>
    <row r="779" spans="1:33" ht="16.5" customHeight="1">
      <c r="A779" s="44"/>
      <c r="B779" s="44"/>
      <c r="C779" s="44"/>
      <c r="D779" s="172"/>
      <c r="E779" s="44"/>
      <c r="F779" s="44"/>
      <c r="G779" s="44"/>
      <c r="H779" s="44"/>
      <c r="I779" s="53"/>
      <c r="J779" s="44"/>
      <c r="K779" s="44"/>
      <c r="L779" s="44"/>
      <c r="M779" s="44"/>
      <c r="N779" s="44"/>
      <c r="O779" s="44"/>
      <c r="P779" s="44"/>
      <c r="Q779" s="44"/>
      <c r="R779" s="44"/>
      <c r="S779" s="44"/>
      <c r="T779" s="44"/>
      <c r="U779" s="44"/>
      <c r="V779" s="44"/>
      <c r="W779" s="44"/>
      <c r="X779" s="44"/>
      <c r="Y779" s="44"/>
      <c r="Z779" s="44"/>
      <c r="AA779" s="44"/>
      <c r="AB779" s="44"/>
      <c r="AC779" s="44"/>
      <c r="AD779" s="44"/>
      <c r="AE779" s="44"/>
      <c r="AF779" s="44"/>
      <c r="AG779" s="44"/>
    </row>
    <row r="780" spans="1:33" ht="16.5" customHeight="1">
      <c r="A780" s="44"/>
      <c r="B780" s="44"/>
      <c r="C780" s="44"/>
      <c r="D780" s="172"/>
      <c r="E780" s="44"/>
      <c r="F780" s="44"/>
      <c r="G780" s="44"/>
      <c r="H780" s="44"/>
      <c r="I780" s="53"/>
      <c r="J780" s="44"/>
      <c r="K780" s="44"/>
      <c r="L780" s="44"/>
      <c r="M780" s="44"/>
      <c r="N780" s="44"/>
      <c r="O780" s="44"/>
      <c r="P780" s="44"/>
      <c r="Q780" s="44"/>
      <c r="R780" s="44"/>
      <c r="S780" s="44"/>
      <c r="T780" s="44"/>
      <c r="U780" s="44"/>
      <c r="V780" s="44"/>
      <c r="W780" s="44"/>
      <c r="X780" s="44"/>
      <c r="Y780" s="44"/>
      <c r="Z780" s="44"/>
      <c r="AA780" s="44"/>
      <c r="AB780" s="44"/>
      <c r="AC780" s="44"/>
      <c r="AD780" s="44"/>
      <c r="AE780" s="44"/>
      <c r="AF780" s="44"/>
      <c r="AG780" s="44"/>
    </row>
    <row r="781" spans="1:33" ht="16.5" customHeight="1">
      <c r="A781" s="44"/>
      <c r="B781" s="44"/>
      <c r="C781" s="44"/>
      <c r="D781" s="172"/>
      <c r="E781" s="44"/>
      <c r="F781" s="44"/>
      <c r="G781" s="44"/>
      <c r="H781" s="44"/>
      <c r="I781" s="53"/>
      <c r="J781" s="44"/>
      <c r="K781" s="44"/>
      <c r="L781" s="44"/>
      <c r="M781" s="44"/>
      <c r="N781" s="44"/>
      <c r="O781" s="44"/>
      <c r="P781" s="44"/>
      <c r="Q781" s="44"/>
      <c r="R781" s="44"/>
      <c r="S781" s="44"/>
      <c r="T781" s="44"/>
      <c r="U781" s="44"/>
      <c r="V781" s="44"/>
      <c r="W781" s="44"/>
      <c r="X781" s="44"/>
      <c r="Y781" s="44"/>
      <c r="Z781" s="44"/>
      <c r="AA781" s="44"/>
      <c r="AB781" s="44"/>
      <c r="AC781" s="44"/>
      <c r="AD781" s="44"/>
      <c r="AE781" s="44"/>
      <c r="AF781" s="44"/>
      <c r="AG781" s="44"/>
    </row>
    <row r="782" spans="1:33" ht="16.5" customHeight="1">
      <c r="A782" s="44"/>
      <c r="B782" s="44"/>
      <c r="C782" s="44"/>
      <c r="D782" s="172"/>
      <c r="E782" s="44"/>
      <c r="F782" s="44"/>
      <c r="G782" s="44"/>
      <c r="H782" s="44"/>
      <c r="I782" s="53"/>
      <c r="J782" s="44"/>
      <c r="K782" s="44"/>
      <c r="L782" s="44"/>
      <c r="M782" s="44"/>
      <c r="N782" s="44"/>
      <c r="O782" s="44"/>
      <c r="P782" s="44"/>
      <c r="Q782" s="44"/>
      <c r="R782" s="44"/>
      <c r="S782" s="44"/>
      <c r="T782" s="44"/>
      <c r="U782" s="44"/>
      <c r="V782" s="44"/>
      <c r="W782" s="44"/>
      <c r="X782" s="44"/>
      <c r="Y782" s="44"/>
      <c r="Z782" s="44"/>
      <c r="AA782" s="44"/>
      <c r="AB782" s="44"/>
      <c r="AC782" s="44"/>
      <c r="AD782" s="44"/>
      <c r="AE782" s="44"/>
      <c r="AF782" s="44"/>
      <c r="AG782" s="44"/>
    </row>
    <row r="783" spans="1:33" ht="16.5" customHeight="1">
      <c r="A783" s="44"/>
      <c r="B783" s="44"/>
      <c r="C783" s="44"/>
      <c r="D783" s="172"/>
      <c r="E783" s="44"/>
      <c r="F783" s="44"/>
      <c r="G783" s="44"/>
      <c r="H783" s="44"/>
      <c r="I783" s="53"/>
      <c r="J783" s="44"/>
      <c r="K783" s="44"/>
      <c r="L783" s="44"/>
      <c r="M783" s="44"/>
      <c r="N783" s="44"/>
      <c r="O783" s="44"/>
      <c r="P783" s="44"/>
      <c r="Q783" s="44"/>
      <c r="R783" s="44"/>
      <c r="S783" s="44"/>
      <c r="T783" s="44"/>
      <c r="U783" s="44"/>
      <c r="V783" s="44"/>
      <c r="W783" s="44"/>
      <c r="X783" s="44"/>
      <c r="Y783" s="44"/>
      <c r="Z783" s="44"/>
      <c r="AA783" s="44"/>
      <c r="AB783" s="44"/>
      <c r="AC783" s="44"/>
      <c r="AD783" s="44"/>
      <c r="AE783" s="44"/>
      <c r="AF783" s="44"/>
      <c r="AG783" s="44"/>
    </row>
    <row r="784" spans="1:33" ht="16.5" customHeight="1">
      <c r="A784" s="44"/>
      <c r="B784" s="44"/>
      <c r="C784" s="44"/>
      <c r="D784" s="172"/>
      <c r="E784" s="44"/>
      <c r="F784" s="44"/>
      <c r="G784" s="44"/>
      <c r="H784" s="44"/>
      <c r="I784" s="53"/>
      <c r="J784" s="44"/>
      <c r="K784" s="44"/>
      <c r="L784" s="44"/>
      <c r="M784" s="44"/>
      <c r="N784" s="44"/>
      <c r="O784" s="44"/>
      <c r="P784" s="44"/>
      <c r="Q784" s="44"/>
      <c r="R784" s="44"/>
      <c r="S784" s="44"/>
      <c r="T784" s="44"/>
      <c r="U784" s="44"/>
      <c r="V784" s="44"/>
      <c r="W784" s="44"/>
      <c r="X784" s="44"/>
      <c r="Y784" s="44"/>
      <c r="Z784" s="44"/>
      <c r="AA784" s="44"/>
      <c r="AB784" s="44"/>
      <c r="AC784" s="44"/>
      <c r="AD784" s="44"/>
      <c r="AE784" s="44"/>
      <c r="AF784" s="44"/>
      <c r="AG784" s="44"/>
    </row>
    <row r="785" spans="1:33" ht="16.5" customHeight="1">
      <c r="A785" s="44"/>
      <c r="B785" s="44"/>
      <c r="C785" s="44"/>
      <c r="D785" s="172"/>
      <c r="E785" s="44"/>
      <c r="F785" s="44"/>
      <c r="G785" s="44"/>
      <c r="H785" s="44"/>
      <c r="I785" s="53"/>
      <c r="J785" s="44"/>
      <c r="K785" s="44"/>
      <c r="L785" s="44"/>
      <c r="M785" s="44"/>
      <c r="N785" s="44"/>
      <c r="O785" s="44"/>
      <c r="P785" s="44"/>
      <c r="Q785" s="44"/>
      <c r="R785" s="44"/>
      <c r="S785" s="44"/>
      <c r="T785" s="44"/>
      <c r="U785" s="44"/>
      <c r="V785" s="44"/>
      <c r="W785" s="44"/>
      <c r="X785" s="44"/>
      <c r="Y785" s="44"/>
      <c r="Z785" s="44"/>
      <c r="AA785" s="44"/>
      <c r="AB785" s="44"/>
      <c r="AC785" s="44"/>
      <c r="AD785" s="44"/>
      <c r="AE785" s="44"/>
      <c r="AF785" s="44"/>
      <c r="AG785" s="44"/>
    </row>
    <row r="786" spans="1:33" ht="16.5" customHeight="1">
      <c r="A786" s="44"/>
      <c r="B786" s="44"/>
      <c r="C786" s="44"/>
      <c r="D786" s="172"/>
      <c r="E786" s="44"/>
      <c r="F786" s="44"/>
      <c r="G786" s="44"/>
      <c r="H786" s="44"/>
      <c r="I786" s="53"/>
      <c r="J786" s="44"/>
      <c r="K786" s="44"/>
      <c r="L786" s="44"/>
      <c r="M786" s="44"/>
      <c r="N786" s="44"/>
      <c r="O786" s="44"/>
      <c r="P786" s="44"/>
      <c r="Q786" s="44"/>
      <c r="R786" s="44"/>
      <c r="S786" s="44"/>
      <c r="T786" s="44"/>
      <c r="U786" s="44"/>
      <c r="V786" s="44"/>
      <c r="W786" s="44"/>
      <c r="X786" s="44"/>
      <c r="Y786" s="44"/>
      <c r="Z786" s="44"/>
      <c r="AA786" s="44"/>
      <c r="AB786" s="44"/>
      <c r="AC786" s="44"/>
      <c r="AD786" s="44"/>
      <c r="AE786" s="44"/>
      <c r="AF786" s="44"/>
      <c r="AG786" s="44"/>
    </row>
    <row r="787" spans="1:33" ht="16.5" customHeight="1">
      <c r="A787" s="44"/>
      <c r="B787" s="44"/>
      <c r="C787" s="44"/>
      <c r="D787" s="172"/>
      <c r="E787" s="44"/>
      <c r="F787" s="44"/>
      <c r="G787" s="44"/>
      <c r="H787" s="44"/>
      <c r="I787" s="53"/>
      <c r="J787" s="44"/>
      <c r="K787" s="44"/>
      <c r="L787" s="44"/>
      <c r="M787" s="44"/>
      <c r="N787" s="44"/>
      <c r="O787" s="44"/>
      <c r="P787" s="44"/>
      <c r="Q787" s="44"/>
      <c r="R787" s="44"/>
      <c r="S787" s="44"/>
      <c r="T787" s="44"/>
      <c r="U787" s="44"/>
      <c r="V787" s="44"/>
      <c r="W787" s="44"/>
      <c r="X787" s="44"/>
      <c r="Y787" s="44"/>
      <c r="Z787" s="44"/>
      <c r="AA787" s="44"/>
      <c r="AB787" s="44"/>
      <c r="AC787" s="44"/>
      <c r="AD787" s="44"/>
      <c r="AE787" s="44"/>
      <c r="AF787" s="44"/>
      <c r="AG787" s="44"/>
    </row>
    <row r="788" spans="1:33" ht="16.5" customHeight="1">
      <c r="A788" s="44"/>
      <c r="B788" s="44"/>
      <c r="C788" s="44"/>
      <c r="D788" s="172"/>
      <c r="E788" s="44"/>
      <c r="F788" s="44"/>
      <c r="G788" s="44"/>
      <c r="H788" s="44"/>
      <c r="I788" s="53"/>
      <c r="J788" s="44"/>
      <c r="K788" s="44"/>
      <c r="L788" s="44"/>
      <c r="M788" s="44"/>
      <c r="N788" s="44"/>
      <c r="O788" s="44"/>
      <c r="P788" s="44"/>
      <c r="Q788" s="44"/>
      <c r="R788" s="44"/>
      <c r="S788" s="44"/>
      <c r="T788" s="44"/>
      <c r="U788" s="44"/>
      <c r="V788" s="44"/>
      <c r="W788" s="44"/>
      <c r="X788" s="44"/>
      <c r="Y788" s="44"/>
      <c r="Z788" s="44"/>
      <c r="AA788" s="44"/>
      <c r="AB788" s="44"/>
      <c r="AC788" s="44"/>
      <c r="AD788" s="44"/>
      <c r="AE788" s="44"/>
      <c r="AF788" s="44"/>
      <c r="AG788" s="44"/>
    </row>
    <row r="789" spans="1:33" ht="16.5" customHeight="1">
      <c r="A789" s="44"/>
      <c r="B789" s="44"/>
      <c r="C789" s="44"/>
      <c r="D789" s="172"/>
      <c r="E789" s="44"/>
      <c r="F789" s="44"/>
      <c r="G789" s="44"/>
      <c r="H789" s="44"/>
      <c r="I789" s="53"/>
      <c r="J789" s="44"/>
      <c r="K789" s="44"/>
      <c r="L789" s="44"/>
      <c r="M789" s="44"/>
      <c r="N789" s="44"/>
      <c r="O789" s="44"/>
      <c r="P789" s="44"/>
      <c r="Q789" s="44"/>
      <c r="R789" s="44"/>
      <c r="S789" s="44"/>
      <c r="T789" s="44"/>
      <c r="U789" s="44"/>
      <c r="V789" s="44"/>
      <c r="W789" s="44"/>
      <c r="X789" s="44"/>
      <c r="Y789" s="44"/>
      <c r="Z789" s="44"/>
      <c r="AA789" s="44"/>
      <c r="AB789" s="44"/>
      <c r="AC789" s="44"/>
      <c r="AD789" s="44"/>
      <c r="AE789" s="44"/>
      <c r="AF789" s="44"/>
      <c r="AG789" s="44"/>
    </row>
    <row r="790" spans="1:33" ht="16.5" customHeight="1">
      <c r="A790" s="44"/>
      <c r="B790" s="44"/>
      <c r="C790" s="44"/>
      <c r="D790" s="172"/>
      <c r="E790" s="44"/>
      <c r="F790" s="44"/>
      <c r="G790" s="44"/>
      <c r="H790" s="44"/>
      <c r="I790" s="53"/>
      <c r="J790" s="44"/>
      <c r="K790" s="44"/>
      <c r="L790" s="44"/>
      <c r="M790" s="44"/>
      <c r="N790" s="44"/>
      <c r="O790" s="44"/>
      <c r="P790" s="44"/>
      <c r="Q790" s="44"/>
      <c r="R790" s="44"/>
      <c r="S790" s="44"/>
      <c r="T790" s="44"/>
      <c r="U790" s="44"/>
      <c r="V790" s="44"/>
      <c r="W790" s="44"/>
      <c r="X790" s="44"/>
      <c r="Y790" s="44"/>
      <c r="Z790" s="44"/>
      <c r="AA790" s="44"/>
      <c r="AB790" s="44"/>
      <c r="AC790" s="44"/>
      <c r="AD790" s="44"/>
      <c r="AE790" s="44"/>
      <c r="AF790" s="44"/>
      <c r="AG790" s="44"/>
    </row>
    <row r="791" spans="1:33" ht="16.5" customHeight="1">
      <c r="A791" s="44"/>
      <c r="B791" s="44"/>
      <c r="C791" s="44"/>
      <c r="D791" s="172"/>
      <c r="E791" s="44"/>
      <c r="F791" s="44"/>
      <c r="G791" s="44"/>
      <c r="H791" s="44"/>
      <c r="I791" s="53"/>
      <c r="J791" s="44"/>
      <c r="K791" s="44"/>
      <c r="L791" s="44"/>
      <c r="M791" s="44"/>
      <c r="N791" s="44"/>
      <c r="O791" s="44"/>
      <c r="P791" s="44"/>
      <c r="Q791" s="44"/>
      <c r="R791" s="44"/>
      <c r="S791" s="44"/>
      <c r="T791" s="44"/>
      <c r="U791" s="44"/>
      <c r="V791" s="44"/>
      <c r="W791" s="44"/>
      <c r="X791" s="44"/>
      <c r="Y791" s="44"/>
      <c r="Z791" s="44"/>
      <c r="AA791" s="44"/>
      <c r="AB791" s="44"/>
      <c r="AC791" s="44"/>
      <c r="AD791" s="44"/>
      <c r="AE791" s="44"/>
      <c r="AF791" s="44"/>
      <c r="AG791" s="44"/>
    </row>
    <row r="792" spans="1:33" ht="16.5" customHeight="1">
      <c r="A792" s="44"/>
      <c r="B792" s="44"/>
      <c r="C792" s="44"/>
      <c r="D792" s="172"/>
      <c r="E792" s="44"/>
      <c r="F792" s="44"/>
      <c r="G792" s="44"/>
      <c r="H792" s="44"/>
      <c r="I792" s="53"/>
      <c r="J792" s="44"/>
      <c r="K792" s="44"/>
      <c r="L792" s="44"/>
      <c r="M792" s="44"/>
      <c r="N792" s="44"/>
      <c r="O792" s="44"/>
      <c r="P792" s="44"/>
      <c r="Q792" s="44"/>
      <c r="R792" s="44"/>
      <c r="S792" s="44"/>
      <c r="T792" s="44"/>
      <c r="U792" s="44"/>
      <c r="V792" s="44"/>
      <c r="W792" s="44"/>
      <c r="X792" s="44"/>
      <c r="Y792" s="44"/>
      <c r="Z792" s="44"/>
      <c r="AA792" s="44"/>
      <c r="AB792" s="44"/>
      <c r="AC792" s="44"/>
      <c r="AD792" s="44"/>
      <c r="AE792" s="44"/>
      <c r="AF792" s="44"/>
      <c r="AG792" s="44"/>
    </row>
    <row r="793" spans="1:33" ht="16.5" customHeight="1">
      <c r="A793" s="44"/>
      <c r="B793" s="44"/>
      <c r="C793" s="44"/>
      <c r="D793" s="172"/>
      <c r="E793" s="44"/>
      <c r="F793" s="44"/>
      <c r="G793" s="44"/>
      <c r="H793" s="44"/>
      <c r="I793" s="53"/>
      <c r="J793" s="44"/>
      <c r="K793" s="44"/>
      <c r="L793" s="44"/>
      <c r="M793" s="44"/>
      <c r="N793" s="44"/>
      <c r="O793" s="44"/>
      <c r="P793" s="44"/>
      <c r="Q793" s="44"/>
      <c r="R793" s="44"/>
      <c r="S793" s="44"/>
      <c r="T793" s="44"/>
      <c r="U793" s="44"/>
      <c r="V793" s="44"/>
      <c r="W793" s="44"/>
      <c r="X793" s="44"/>
      <c r="Y793" s="44"/>
      <c r="Z793" s="44"/>
      <c r="AA793" s="44"/>
      <c r="AB793" s="44"/>
      <c r="AC793" s="44"/>
      <c r="AD793" s="44"/>
      <c r="AE793" s="44"/>
      <c r="AF793" s="44"/>
      <c r="AG793" s="44"/>
    </row>
    <row r="794" spans="1:33" ht="16.5" customHeight="1">
      <c r="A794" s="44"/>
      <c r="B794" s="44"/>
      <c r="C794" s="44"/>
      <c r="D794" s="172"/>
      <c r="E794" s="44"/>
      <c r="F794" s="44"/>
      <c r="G794" s="44"/>
      <c r="H794" s="44"/>
      <c r="I794" s="53"/>
      <c r="J794" s="44"/>
      <c r="K794" s="44"/>
      <c r="L794" s="44"/>
      <c r="M794" s="44"/>
      <c r="N794" s="44"/>
      <c r="O794" s="44"/>
      <c r="P794" s="44"/>
      <c r="Q794" s="44"/>
      <c r="R794" s="44"/>
      <c r="S794" s="44"/>
      <c r="T794" s="44"/>
      <c r="U794" s="44"/>
      <c r="V794" s="44"/>
      <c r="W794" s="44"/>
      <c r="X794" s="44"/>
      <c r="Y794" s="44"/>
      <c r="Z794" s="44"/>
      <c r="AA794" s="44"/>
      <c r="AB794" s="44"/>
      <c r="AC794" s="44"/>
      <c r="AD794" s="44"/>
      <c r="AE794" s="44"/>
      <c r="AF794" s="44"/>
      <c r="AG794" s="44"/>
    </row>
    <row r="795" spans="1:33" ht="16.5" customHeight="1">
      <c r="A795" s="44"/>
      <c r="B795" s="44"/>
      <c r="C795" s="44"/>
      <c r="D795" s="172"/>
      <c r="E795" s="44"/>
      <c r="F795" s="44"/>
      <c r="G795" s="44"/>
      <c r="H795" s="44"/>
      <c r="I795" s="53"/>
      <c r="J795" s="44"/>
      <c r="K795" s="44"/>
      <c r="L795" s="44"/>
      <c r="M795" s="44"/>
      <c r="N795" s="44"/>
      <c r="O795" s="44"/>
      <c r="P795" s="44"/>
      <c r="Q795" s="44"/>
      <c r="R795" s="44"/>
      <c r="S795" s="44"/>
      <c r="T795" s="44"/>
      <c r="U795" s="44"/>
      <c r="V795" s="44"/>
      <c r="W795" s="44"/>
      <c r="X795" s="44"/>
      <c r="Y795" s="44"/>
      <c r="Z795" s="44"/>
      <c r="AA795" s="44"/>
      <c r="AB795" s="44"/>
      <c r="AC795" s="44"/>
      <c r="AD795" s="44"/>
      <c r="AE795" s="44"/>
      <c r="AF795" s="44"/>
      <c r="AG795" s="44"/>
    </row>
    <row r="796" spans="1:33" ht="16.5" customHeight="1">
      <c r="A796" s="44"/>
      <c r="B796" s="44"/>
      <c r="C796" s="44"/>
      <c r="D796" s="172"/>
      <c r="E796" s="44"/>
      <c r="F796" s="44"/>
      <c r="G796" s="44"/>
      <c r="H796" s="44"/>
      <c r="I796" s="53"/>
      <c r="J796" s="44"/>
      <c r="K796" s="44"/>
      <c r="L796" s="44"/>
      <c r="M796" s="44"/>
      <c r="N796" s="44"/>
      <c r="O796" s="44"/>
      <c r="P796" s="44"/>
      <c r="Q796" s="44"/>
      <c r="R796" s="44"/>
      <c r="S796" s="44"/>
      <c r="T796" s="44"/>
      <c r="U796" s="44"/>
      <c r="V796" s="44"/>
      <c r="W796" s="44"/>
      <c r="X796" s="44"/>
      <c r="Y796" s="44"/>
      <c r="Z796" s="44"/>
      <c r="AA796" s="44"/>
      <c r="AB796" s="44"/>
      <c r="AC796" s="44"/>
      <c r="AD796" s="44"/>
      <c r="AE796" s="44"/>
      <c r="AF796" s="44"/>
      <c r="AG796" s="44"/>
    </row>
    <row r="797" spans="1:33" ht="16.5" customHeight="1">
      <c r="A797" s="44"/>
      <c r="B797" s="44"/>
      <c r="C797" s="44"/>
      <c r="D797" s="172"/>
      <c r="E797" s="44"/>
      <c r="F797" s="44"/>
      <c r="G797" s="44"/>
      <c r="H797" s="44"/>
      <c r="I797" s="53"/>
      <c r="J797" s="44"/>
      <c r="K797" s="44"/>
      <c r="L797" s="44"/>
      <c r="M797" s="44"/>
      <c r="N797" s="44"/>
      <c r="O797" s="44"/>
      <c r="P797" s="44"/>
      <c r="Q797" s="44"/>
      <c r="R797" s="44"/>
      <c r="S797" s="44"/>
      <c r="T797" s="44"/>
      <c r="U797" s="44"/>
      <c r="V797" s="44"/>
      <c r="W797" s="44"/>
      <c r="X797" s="44"/>
      <c r="Y797" s="44"/>
      <c r="Z797" s="44"/>
      <c r="AA797" s="44"/>
      <c r="AB797" s="44"/>
      <c r="AC797" s="44"/>
      <c r="AD797" s="44"/>
      <c r="AE797" s="44"/>
      <c r="AF797" s="44"/>
      <c r="AG797" s="44"/>
    </row>
    <row r="798" spans="1:33" ht="16.5" customHeight="1">
      <c r="A798" s="44"/>
      <c r="B798" s="44"/>
      <c r="C798" s="44"/>
      <c r="D798" s="172"/>
      <c r="E798" s="44"/>
      <c r="F798" s="44"/>
      <c r="G798" s="44"/>
      <c r="H798" s="44"/>
      <c r="I798" s="53"/>
      <c r="J798" s="44"/>
      <c r="K798" s="44"/>
      <c r="L798" s="44"/>
      <c r="M798" s="44"/>
      <c r="N798" s="44"/>
      <c r="O798" s="44"/>
      <c r="P798" s="44"/>
      <c r="Q798" s="44"/>
      <c r="R798" s="44"/>
      <c r="S798" s="44"/>
      <c r="T798" s="44"/>
      <c r="U798" s="44"/>
      <c r="V798" s="44"/>
      <c r="W798" s="44"/>
      <c r="X798" s="44"/>
      <c r="Y798" s="44"/>
      <c r="Z798" s="44"/>
      <c r="AA798" s="44"/>
      <c r="AB798" s="44"/>
      <c r="AC798" s="44"/>
      <c r="AD798" s="44"/>
      <c r="AE798" s="44"/>
      <c r="AF798" s="44"/>
      <c r="AG798" s="44"/>
    </row>
    <row r="799" spans="1:33" ht="16.5" customHeight="1">
      <c r="A799" s="44"/>
      <c r="B799" s="44"/>
      <c r="C799" s="44"/>
      <c r="D799" s="172"/>
      <c r="E799" s="44"/>
      <c r="F799" s="44"/>
      <c r="G799" s="44"/>
      <c r="H799" s="44"/>
      <c r="I799" s="53"/>
      <c r="J799" s="44"/>
      <c r="K799" s="44"/>
      <c r="L799" s="44"/>
      <c r="M799" s="44"/>
      <c r="N799" s="44"/>
      <c r="O799" s="44"/>
      <c r="P799" s="44"/>
      <c r="Q799" s="44"/>
      <c r="R799" s="44"/>
      <c r="S799" s="44"/>
      <c r="T799" s="44"/>
      <c r="U799" s="44"/>
      <c r="V799" s="44"/>
      <c r="W799" s="44"/>
      <c r="X799" s="44"/>
      <c r="Y799" s="44"/>
      <c r="Z799" s="44"/>
      <c r="AA799" s="44"/>
      <c r="AB799" s="44"/>
      <c r="AC799" s="44"/>
      <c r="AD799" s="44"/>
      <c r="AE799" s="44"/>
      <c r="AF799" s="44"/>
      <c r="AG799" s="44"/>
    </row>
    <row r="800" spans="1:33" ht="16.5" customHeight="1">
      <c r="A800" s="44"/>
      <c r="B800" s="44"/>
      <c r="C800" s="44"/>
      <c r="D800" s="172"/>
      <c r="E800" s="44"/>
      <c r="F800" s="44"/>
      <c r="G800" s="44"/>
      <c r="H800" s="44"/>
      <c r="I800" s="53"/>
      <c r="J800" s="44"/>
      <c r="K800" s="44"/>
      <c r="L800" s="44"/>
      <c r="M800" s="44"/>
      <c r="N800" s="44"/>
      <c r="O800" s="44"/>
      <c r="P800" s="44"/>
      <c r="Q800" s="44"/>
      <c r="R800" s="44"/>
      <c r="S800" s="44"/>
      <c r="T800" s="44"/>
      <c r="U800" s="44"/>
      <c r="V800" s="44"/>
      <c r="W800" s="44"/>
      <c r="X800" s="44"/>
      <c r="Y800" s="44"/>
      <c r="Z800" s="44"/>
      <c r="AA800" s="44"/>
      <c r="AB800" s="44"/>
      <c r="AC800" s="44"/>
      <c r="AD800" s="44"/>
      <c r="AE800" s="44"/>
      <c r="AF800" s="44"/>
      <c r="AG800" s="44"/>
    </row>
    <row r="801" spans="1:33" ht="16.5" customHeight="1">
      <c r="A801" s="44"/>
      <c r="B801" s="44"/>
      <c r="C801" s="44"/>
      <c r="D801" s="172"/>
      <c r="E801" s="44"/>
      <c r="F801" s="44"/>
      <c r="G801" s="44"/>
      <c r="H801" s="44"/>
      <c r="I801" s="53"/>
      <c r="J801" s="44"/>
      <c r="K801" s="44"/>
      <c r="L801" s="44"/>
      <c r="M801" s="44"/>
      <c r="N801" s="44"/>
      <c r="O801" s="44"/>
      <c r="P801" s="44"/>
      <c r="Q801" s="44"/>
      <c r="R801" s="44"/>
      <c r="S801" s="44"/>
      <c r="T801" s="44"/>
      <c r="U801" s="44"/>
      <c r="V801" s="44"/>
      <c r="W801" s="44"/>
      <c r="X801" s="44"/>
      <c r="Y801" s="44"/>
      <c r="Z801" s="44"/>
      <c r="AA801" s="44"/>
      <c r="AB801" s="44"/>
      <c r="AC801" s="44"/>
      <c r="AD801" s="44"/>
      <c r="AE801" s="44"/>
      <c r="AF801" s="44"/>
      <c r="AG801" s="44"/>
    </row>
    <row r="802" spans="1:33" ht="16.5" customHeight="1">
      <c r="A802" s="44"/>
      <c r="B802" s="44"/>
      <c r="C802" s="44"/>
      <c r="D802" s="172"/>
      <c r="E802" s="44"/>
      <c r="F802" s="44"/>
      <c r="G802" s="44"/>
      <c r="H802" s="44"/>
      <c r="I802" s="53"/>
      <c r="J802" s="44"/>
      <c r="K802" s="44"/>
      <c r="L802" s="44"/>
      <c r="M802" s="44"/>
      <c r="N802" s="44"/>
      <c r="O802" s="44"/>
      <c r="P802" s="44"/>
      <c r="Q802" s="44"/>
      <c r="R802" s="44"/>
      <c r="S802" s="44"/>
      <c r="T802" s="44"/>
      <c r="U802" s="44"/>
      <c r="V802" s="44"/>
      <c r="W802" s="44"/>
      <c r="X802" s="44"/>
      <c r="Y802" s="44"/>
      <c r="Z802" s="44"/>
      <c r="AA802" s="44"/>
      <c r="AB802" s="44"/>
      <c r="AC802" s="44"/>
      <c r="AD802" s="44"/>
      <c r="AE802" s="44"/>
      <c r="AF802" s="44"/>
      <c r="AG802" s="44"/>
    </row>
    <row r="803" spans="1:33" ht="16.5" customHeight="1">
      <c r="A803" s="44"/>
      <c r="B803" s="44"/>
      <c r="C803" s="44"/>
      <c r="D803" s="172"/>
      <c r="E803" s="44"/>
      <c r="F803" s="44"/>
      <c r="G803" s="44"/>
      <c r="H803" s="44"/>
      <c r="I803" s="53"/>
      <c r="J803" s="44"/>
      <c r="K803" s="44"/>
      <c r="L803" s="44"/>
      <c r="M803" s="44"/>
      <c r="N803" s="44"/>
      <c r="O803" s="44"/>
      <c r="P803" s="44"/>
      <c r="Q803" s="44"/>
      <c r="R803" s="44"/>
      <c r="S803" s="44"/>
      <c r="T803" s="44"/>
      <c r="U803" s="44"/>
      <c r="V803" s="44"/>
      <c r="W803" s="44"/>
      <c r="X803" s="44"/>
      <c r="Y803" s="44"/>
      <c r="Z803" s="44"/>
      <c r="AA803" s="44"/>
      <c r="AB803" s="44"/>
      <c r="AC803" s="44"/>
      <c r="AD803" s="44"/>
      <c r="AE803" s="44"/>
      <c r="AF803" s="44"/>
      <c r="AG803" s="44"/>
    </row>
    <row r="804" spans="1:33" ht="16.5" customHeight="1">
      <c r="A804" s="44"/>
      <c r="B804" s="44"/>
      <c r="C804" s="44"/>
      <c r="D804" s="172"/>
      <c r="E804" s="44"/>
      <c r="F804" s="44"/>
      <c r="G804" s="44"/>
      <c r="H804" s="44"/>
      <c r="I804" s="53"/>
      <c r="J804" s="44"/>
      <c r="K804" s="44"/>
      <c r="L804" s="44"/>
      <c r="M804" s="44"/>
      <c r="N804" s="44"/>
      <c r="O804" s="44"/>
      <c r="P804" s="44"/>
      <c r="Q804" s="44"/>
      <c r="R804" s="44"/>
      <c r="S804" s="44"/>
      <c r="T804" s="44"/>
      <c r="U804" s="44"/>
      <c r="V804" s="44"/>
      <c r="W804" s="44"/>
      <c r="X804" s="44"/>
      <c r="Y804" s="44"/>
      <c r="Z804" s="44"/>
      <c r="AA804" s="44"/>
      <c r="AB804" s="44"/>
      <c r="AC804" s="44"/>
      <c r="AD804" s="44"/>
      <c r="AE804" s="44"/>
      <c r="AF804" s="44"/>
      <c r="AG804" s="44"/>
    </row>
    <row r="805" spans="1:33" ht="16.5" customHeight="1">
      <c r="A805" s="44"/>
      <c r="B805" s="44"/>
      <c r="C805" s="44"/>
      <c r="D805" s="172"/>
      <c r="E805" s="44"/>
      <c r="F805" s="44"/>
      <c r="G805" s="44"/>
      <c r="H805" s="44"/>
      <c r="I805" s="53"/>
      <c r="J805" s="44"/>
      <c r="K805" s="44"/>
      <c r="L805" s="44"/>
      <c r="M805" s="44"/>
      <c r="N805" s="44"/>
      <c r="O805" s="44"/>
      <c r="P805" s="44"/>
      <c r="Q805" s="44"/>
      <c r="R805" s="44"/>
      <c r="S805" s="44"/>
      <c r="T805" s="44"/>
      <c r="U805" s="44"/>
      <c r="V805" s="44"/>
      <c r="W805" s="44"/>
      <c r="X805" s="44"/>
      <c r="Y805" s="44"/>
      <c r="Z805" s="44"/>
      <c r="AA805" s="44"/>
      <c r="AB805" s="44"/>
      <c r="AC805" s="44"/>
      <c r="AD805" s="44"/>
      <c r="AE805" s="44"/>
      <c r="AF805" s="44"/>
      <c r="AG805" s="44"/>
    </row>
    <row r="806" spans="1:33" ht="16.5" customHeight="1">
      <c r="A806" s="44"/>
      <c r="B806" s="44"/>
      <c r="C806" s="44"/>
      <c r="D806" s="172"/>
      <c r="E806" s="44"/>
      <c r="F806" s="44"/>
      <c r="G806" s="44"/>
      <c r="H806" s="44"/>
      <c r="I806" s="53"/>
      <c r="J806" s="44"/>
      <c r="K806" s="44"/>
      <c r="L806" s="44"/>
      <c r="M806" s="44"/>
      <c r="N806" s="44"/>
      <c r="O806" s="44"/>
      <c r="P806" s="44"/>
      <c r="Q806" s="44"/>
      <c r="R806" s="44"/>
      <c r="S806" s="44"/>
      <c r="T806" s="44"/>
      <c r="U806" s="44"/>
      <c r="V806" s="44"/>
      <c r="W806" s="44"/>
      <c r="X806" s="44"/>
      <c r="Y806" s="44"/>
      <c r="Z806" s="44"/>
      <c r="AA806" s="44"/>
      <c r="AB806" s="44"/>
      <c r="AC806" s="44"/>
      <c r="AD806" s="44"/>
      <c r="AE806" s="44"/>
      <c r="AF806" s="44"/>
      <c r="AG806" s="44"/>
    </row>
    <row r="807" spans="1:33" ht="16.5" customHeight="1">
      <c r="A807" s="44"/>
      <c r="B807" s="44"/>
      <c r="C807" s="44"/>
      <c r="D807" s="172"/>
      <c r="E807" s="44"/>
      <c r="F807" s="44"/>
      <c r="G807" s="44"/>
      <c r="H807" s="44"/>
      <c r="I807" s="53"/>
      <c r="J807" s="44"/>
      <c r="K807" s="44"/>
      <c r="L807" s="44"/>
      <c r="M807" s="44"/>
      <c r="N807" s="44"/>
      <c r="O807" s="44"/>
      <c r="P807" s="44"/>
      <c r="Q807" s="44"/>
      <c r="R807" s="44"/>
      <c r="S807" s="44"/>
      <c r="T807" s="44"/>
      <c r="U807" s="44"/>
      <c r="V807" s="44"/>
      <c r="W807" s="44"/>
      <c r="X807" s="44"/>
      <c r="Y807" s="44"/>
      <c r="Z807" s="44"/>
      <c r="AA807" s="44"/>
      <c r="AB807" s="44"/>
      <c r="AC807" s="44"/>
      <c r="AD807" s="44"/>
      <c r="AE807" s="44"/>
      <c r="AF807" s="44"/>
      <c r="AG807" s="44"/>
    </row>
    <row r="808" spans="1:33" ht="16.5" customHeight="1">
      <c r="A808" s="44"/>
      <c r="B808" s="44"/>
      <c r="C808" s="44"/>
      <c r="D808" s="172"/>
      <c r="E808" s="44"/>
      <c r="F808" s="44"/>
      <c r="G808" s="44"/>
      <c r="H808" s="44"/>
      <c r="I808" s="53"/>
      <c r="J808" s="44"/>
      <c r="K808" s="44"/>
      <c r="L808" s="44"/>
      <c r="M808" s="44"/>
      <c r="N808" s="44"/>
      <c r="O808" s="44"/>
      <c r="P808" s="44"/>
      <c r="Q808" s="44"/>
      <c r="R808" s="44"/>
      <c r="S808" s="44"/>
      <c r="T808" s="44"/>
      <c r="U808" s="44"/>
      <c r="V808" s="44"/>
      <c r="W808" s="44"/>
      <c r="X808" s="44"/>
      <c r="Y808" s="44"/>
      <c r="Z808" s="44"/>
      <c r="AA808" s="44"/>
      <c r="AB808" s="44"/>
      <c r="AC808" s="44"/>
      <c r="AD808" s="44"/>
      <c r="AE808" s="44"/>
      <c r="AF808" s="44"/>
      <c r="AG808" s="44"/>
    </row>
    <row r="809" spans="1:33" ht="16.5" customHeight="1">
      <c r="A809" s="44"/>
      <c r="B809" s="44"/>
      <c r="C809" s="44"/>
      <c r="D809" s="172"/>
      <c r="E809" s="44"/>
      <c r="F809" s="44"/>
      <c r="G809" s="44"/>
      <c r="H809" s="44"/>
      <c r="I809" s="53"/>
      <c r="J809" s="44"/>
      <c r="K809" s="44"/>
      <c r="L809" s="44"/>
      <c r="M809" s="44"/>
      <c r="N809" s="44"/>
      <c r="O809" s="44"/>
      <c r="P809" s="44"/>
      <c r="Q809" s="44"/>
      <c r="R809" s="44"/>
      <c r="S809" s="44"/>
      <c r="T809" s="44"/>
      <c r="U809" s="44"/>
      <c r="V809" s="44"/>
      <c r="W809" s="44"/>
      <c r="X809" s="44"/>
      <c r="Y809" s="44"/>
      <c r="Z809" s="44"/>
      <c r="AA809" s="44"/>
      <c r="AB809" s="44"/>
      <c r="AC809" s="44"/>
      <c r="AD809" s="44"/>
      <c r="AE809" s="44"/>
      <c r="AF809" s="44"/>
      <c r="AG809" s="44"/>
    </row>
    <row r="810" spans="1:33" ht="16.5" customHeight="1">
      <c r="A810" s="44"/>
      <c r="B810" s="44"/>
      <c r="C810" s="44"/>
      <c r="D810" s="172"/>
      <c r="E810" s="44"/>
      <c r="F810" s="44"/>
      <c r="G810" s="44"/>
      <c r="H810" s="44"/>
      <c r="I810" s="53"/>
      <c r="J810" s="44"/>
      <c r="K810" s="44"/>
      <c r="L810" s="44"/>
      <c r="M810" s="44"/>
      <c r="N810" s="44"/>
      <c r="O810" s="44"/>
      <c r="P810" s="44"/>
      <c r="Q810" s="44"/>
      <c r="R810" s="44"/>
      <c r="S810" s="44"/>
      <c r="T810" s="44"/>
      <c r="U810" s="44"/>
      <c r="V810" s="44"/>
      <c r="W810" s="44"/>
      <c r="X810" s="44"/>
      <c r="Y810" s="44"/>
      <c r="Z810" s="44"/>
      <c r="AA810" s="44"/>
      <c r="AB810" s="44"/>
      <c r="AC810" s="44"/>
      <c r="AD810" s="44"/>
      <c r="AE810" s="44"/>
      <c r="AF810" s="44"/>
      <c r="AG810" s="44"/>
    </row>
    <row r="811" spans="1:33" ht="16.5" customHeight="1">
      <c r="A811" s="44"/>
      <c r="B811" s="44"/>
      <c r="C811" s="44"/>
      <c r="D811" s="172"/>
      <c r="E811" s="44"/>
      <c r="F811" s="44"/>
      <c r="G811" s="44"/>
      <c r="H811" s="44"/>
      <c r="I811" s="53"/>
      <c r="J811" s="44"/>
      <c r="K811" s="44"/>
      <c r="L811" s="44"/>
      <c r="M811" s="44"/>
      <c r="N811" s="44"/>
      <c r="O811" s="44"/>
      <c r="P811" s="44"/>
      <c r="Q811" s="44"/>
      <c r="R811" s="44"/>
      <c r="S811" s="44"/>
      <c r="T811" s="44"/>
      <c r="U811" s="44"/>
      <c r="V811" s="44"/>
      <c r="W811" s="44"/>
      <c r="X811" s="44"/>
      <c r="Y811" s="44"/>
      <c r="Z811" s="44"/>
      <c r="AA811" s="44"/>
      <c r="AB811" s="44"/>
      <c r="AC811" s="44"/>
      <c r="AD811" s="44"/>
      <c r="AE811" s="44"/>
      <c r="AF811" s="44"/>
      <c r="AG811" s="44"/>
    </row>
    <row r="812" spans="1:33" ht="16.5" customHeight="1">
      <c r="A812" s="44"/>
      <c r="B812" s="44"/>
      <c r="C812" s="44"/>
      <c r="D812" s="172"/>
      <c r="E812" s="44"/>
      <c r="F812" s="44"/>
      <c r="G812" s="44"/>
      <c r="H812" s="44"/>
      <c r="I812" s="53"/>
      <c r="J812" s="44"/>
      <c r="K812" s="44"/>
      <c r="L812" s="44"/>
      <c r="M812" s="44"/>
      <c r="N812" s="44"/>
      <c r="O812" s="44"/>
      <c r="P812" s="44"/>
      <c r="Q812" s="44"/>
      <c r="R812" s="44"/>
      <c r="S812" s="44"/>
      <c r="T812" s="44"/>
      <c r="U812" s="44"/>
      <c r="V812" s="44"/>
      <c r="W812" s="44"/>
      <c r="X812" s="44"/>
      <c r="Y812" s="44"/>
      <c r="Z812" s="44"/>
      <c r="AA812" s="44"/>
      <c r="AB812" s="44"/>
      <c r="AC812" s="44"/>
      <c r="AD812" s="44"/>
      <c r="AE812" s="44"/>
      <c r="AF812" s="44"/>
      <c r="AG812" s="44"/>
    </row>
    <row r="813" spans="1:33" ht="16.5" customHeight="1">
      <c r="A813" s="44"/>
      <c r="B813" s="44"/>
      <c r="C813" s="44"/>
      <c r="D813" s="172"/>
      <c r="E813" s="44"/>
      <c r="F813" s="44"/>
      <c r="G813" s="44"/>
      <c r="H813" s="44"/>
      <c r="I813" s="53"/>
      <c r="J813" s="44"/>
      <c r="K813" s="44"/>
      <c r="L813" s="44"/>
      <c r="M813" s="44"/>
      <c r="N813" s="44"/>
      <c r="O813" s="44"/>
      <c r="P813" s="44"/>
      <c r="Q813" s="44"/>
      <c r="R813" s="44"/>
      <c r="S813" s="44"/>
      <c r="T813" s="44"/>
      <c r="U813" s="44"/>
      <c r="V813" s="44"/>
      <c r="W813" s="44"/>
      <c r="X813" s="44"/>
      <c r="Y813" s="44"/>
      <c r="Z813" s="44"/>
      <c r="AA813" s="44"/>
      <c r="AB813" s="44"/>
      <c r="AC813" s="44"/>
      <c r="AD813" s="44"/>
      <c r="AE813" s="44"/>
      <c r="AF813" s="44"/>
      <c r="AG813" s="44"/>
    </row>
    <row r="814" spans="1:33" ht="16.5" customHeight="1">
      <c r="A814" s="44"/>
      <c r="B814" s="44"/>
      <c r="C814" s="44"/>
      <c r="D814" s="172"/>
      <c r="E814" s="44"/>
      <c r="F814" s="44"/>
      <c r="G814" s="44"/>
      <c r="H814" s="44"/>
      <c r="I814" s="53"/>
      <c r="J814" s="44"/>
      <c r="K814" s="44"/>
      <c r="L814" s="44"/>
      <c r="M814" s="44"/>
      <c r="N814" s="44"/>
      <c r="O814" s="44"/>
      <c r="P814" s="44"/>
      <c r="Q814" s="44"/>
      <c r="R814" s="44"/>
      <c r="S814" s="44"/>
      <c r="T814" s="44"/>
      <c r="U814" s="44"/>
      <c r="V814" s="44"/>
      <c r="W814" s="44"/>
      <c r="X814" s="44"/>
      <c r="Y814" s="44"/>
      <c r="Z814" s="44"/>
      <c r="AA814" s="44"/>
      <c r="AB814" s="44"/>
      <c r="AC814" s="44"/>
      <c r="AD814" s="44"/>
      <c r="AE814" s="44"/>
      <c r="AF814" s="44"/>
      <c r="AG814" s="44"/>
    </row>
    <row r="815" spans="1:33" ht="16.5" customHeight="1">
      <c r="A815" s="44"/>
      <c r="B815" s="44"/>
      <c r="C815" s="44"/>
      <c r="D815" s="172"/>
      <c r="E815" s="44"/>
      <c r="F815" s="44"/>
      <c r="G815" s="44"/>
      <c r="H815" s="44"/>
      <c r="I815" s="53"/>
      <c r="J815" s="44"/>
      <c r="K815" s="44"/>
      <c r="L815" s="44"/>
      <c r="M815" s="44"/>
      <c r="N815" s="44"/>
      <c r="O815" s="44"/>
      <c r="P815" s="44"/>
      <c r="Q815" s="44"/>
      <c r="R815" s="44"/>
      <c r="S815" s="44"/>
      <c r="T815" s="44"/>
      <c r="U815" s="44"/>
      <c r="V815" s="44"/>
      <c r="W815" s="44"/>
      <c r="X815" s="44"/>
      <c r="Y815" s="44"/>
      <c r="Z815" s="44"/>
      <c r="AA815" s="44"/>
      <c r="AB815" s="44"/>
      <c r="AC815" s="44"/>
      <c r="AD815" s="44"/>
      <c r="AE815" s="44"/>
      <c r="AF815" s="44"/>
      <c r="AG815" s="44"/>
    </row>
    <row r="816" spans="1:33" ht="16.5" customHeight="1">
      <c r="A816" s="44"/>
      <c r="B816" s="44"/>
      <c r="C816" s="44"/>
      <c r="D816" s="172"/>
      <c r="E816" s="44"/>
      <c r="F816" s="44"/>
      <c r="G816" s="44"/>
      <c r="H816" s="44"/>
      <c r="I816" s="53"/>
      <c r="J816" s="44"/>
      <c r="K816" s="44"/>
      <c r="L816" s="44"/>
      <c r="M816" s="44"/>
      <c r="N816" s="44"/>
      <c r="O816" s="44"/>
      <c r="P816" s="44"/>
      <c r="Q816" s="44"/>
      <c r="R816" s="44"/>
      <c r="S816" s="44"/>
      <c r="T816" s="44"/>
      <c r="U816" s="44"/>
      <c r="V816" s="44"/>
      <c r="W816" s="44"/>
      <c r="X816" s="44"/>
      <c r="Y816" s="44"/>
      <c r="Z816" s="44"/>
      <c r="AA816" s="44"/>
      <c r="AB816" s="44"/>
      <c r="AC816" s="44"/>
      <c r="AD816" s="44"/>
      <c r="AE816" s="44"/>
      <c r="AF816" s="44"/>
      <c r="AG816" s="44"/>
    </row>
    <row r="817" spans="1:33" ht="16.5" customHeight="1">
      <c r="A817" s="44"/>
      <c r="B817" s="44"/>
      <c r="C817" s="44"/>
      <c r="D817" s="172"/>
      <c r="E817" s="44"/>
      <c r="F817" s="44"/>
      <c r="G817" s="44"/>
      <c r="H817" s="44"/>
      <c r="I817" s="53"/>
      <c r="J817" s="44"/>
      <c r="K817" s="44"/>
      <c r="L817" s="44"/>
      <c r="M817" s="44"/>
      <c r="N817" s="44"/>
      <c r="O817" s="44"/>
      <c r="P817" s="44"/>
      <c r="Q817" s="44"/>
      <c r="R817" s="44"/>
      <c r="S817" s="44"/>
      <c r="T817" s="44"/>
      <c r="U817" s="44"/>
      <c r="V817" s="44"/>
      <c r="W817" s="44"/>
      <c r="X817" s="44"/>
      <c r="Y817" s="44"/>
      <c r="Z817" s="44"/>
      <c r="AA817" s="44"/>
      <c r="AB817" s="44"/>
      <c r="AC817" s="44"/>
      <c r="AD817" s="44"/>
      <c r="AE817" s="44"/>
      <c r="AF817" s="44"/>
      <c r="AG817" s="44"/>
    </row>
    <row r="818" spans="1:33" ht="16.5" customHeight="1">
      <c r="A818" s="44"/>
      <c r="B818" s="44"/>
      <c r="C818" s="44"/>
      <c r="D818" s="172"/>
      <c r="E818" s="44"/>
      <c r="F818" s="44"/>
      <c r="G818" s="44"/>
      <c r="H818" s="44"/>
      <c r="I818" s="53"/>
      <c r="J818" s="44"/>
      <c r="K818" s="44"/>
      <c r="L818" s="44"/>
      <c r="M818" s="44"/>
      <c r="N818" s="44"/>
      <c r="O818" s="44"/>
      <c r="P818" s="44"/>
      <c r="Q818" s="44"/>
      <c r="R818" s="44"/>
      <c r="S818" s="44"/>
      <c r="T818" s="44"/>
      <c r="U818" s="44"/>
      <c r="V818" s="44"/>
      <c r="W818" s="44"/>
      <c r="X818" s="44"/>
      <c r="Y818" s="44"/>
      <c r="Z818" s="44"/>
      <c r="AA818" s="44"/>
      <c r="AB818" s="44"/>
      <c r="AC818" s="44"/>
      <c r="AD818" s="44"/>
      <c r="AE818" s="44"/>
      <c r="AF818" s="44"/>
      <c r="AG818" s="44"/>
    </row>
    <row r="819" spans="1:33" ht="16.5" customHeight="1">
      <c r="A819" s="44"/>
      <c r="B819" s="44"/>
      <c r="C819" s="44"/>
      <c r="D819" s="172"/>
      <c r="E819" s="44"/>
      <c r="F819" s="44"/>
      <c r="G819" s="44"/>
      <c r="H819" s="44"/>
      <c r="I819" s="53"/>
      <c r="J819" s="44"/>
      <c r="K819" s="44"/>
      <c r="L819" s="44"/>
      <c r="M819" s="44"/>
      <c r="N819" s="44"/>
      <c r="O819" s="44"/>
      <c r="P819" s="44"/>
      <c r="Q819" s="44"/>
      <c r="R819" s="44"/>
      <c r="S819" s="44"/>
      <c r="T819" s="44"/>
      <c r="U819" s="44"/>
      <c r="V819" s="44"/>
      <c r="W819" s="44"/>
      <c r="X819" s="44"/>
      <c r="Y819" s="44"/>
      <c r="Z819" s="44"/>
      <c r="AA819" s="44"/>
      <c r="AB819" s="44"/>
      <c r="AC819" s="44"/>
      <c r="AD819" s="44"/>
      <c r="AE819" s="44"/>
      <c r="AF819" s="44"/>
      <c r="AG819" s="44"/>
    </row>
    <row r="820" spans="1:33" ht="16.5" customHeight="1">
      <c r="A820" s="44"/>
      <c r="B820" s="44"/>
      <c r="C820" s="44"/>
      <c r="D820" s="172"/>
      <c r="E820" s="44"/>
      <c r="F820" s="44"/>
      <c r="G820" s="44"/>
      <c r="H820" s="44"/>
      <c r="I820" s="53"/>
      <c r="J820" s="44"/>
      <c r="K820" s="44"/>
      <c r="L820" s="44"/>
      <c r="M820" s="44"/>
      <c r="N820" s="44"/>
      <c r="O820" s="44"/>
      <c r="P820" s="44"/>
      <c r="Q820" s="44"/>
      <c r="R820" s="44"/>
      <c r="S820" s="44"/>
      <c r="T820" s="44"/>
      <c r="U820" s="44"/>
      <c r="V820" s="44"/>
      <c r="W820" s="44"/>
      <c r="X820" s="44"/>
      <c r="Y820" s="44"/>
      <c r="Z820" s="44"/>
      <c r="AA820" s="44"/>
      <c r="AB820" s="44"/>
      <c r="AC820" s="44"/>
      <c r="AD820" s="44"/>
      <c r="AE820" s="44"/>
      <c r="AF820" s="44"/>
      <c r="AG820" s="44"/>
    </row>
    <row r="821" spans="1:33" ht="16.5" customHeight="1">
      <c r="A821" s="44"/>
      <c r="B821" s="44"/>
      <c r="C821" s="44"/>
      <c r="D821" s="172"/>
      <c r="E821" s="44"/>
      <c r="F821" s="44"/>
      <c r="G821" s="44"/>
      <c r="H821" s="44"/>
      <c r="I821" s="53"/>
      <c r="J821" s="44"/>
      <c r="K821" s="44"/>
      <c r="L821" s="44"/>
      <c r="M821" s="44"/>
      <c r="N821" s="44"/>
      <c r="O821" s="44"/>
      <c r="P821" s="44"/>
      <c r="Q821" s="44"/>
      <c r="R821" s="44"/>
      <c r="S821" s="44"/>
      <c r="T821" s="44"/>
      <c r="U821" s="44"/>
      <c r="V821" s="44"/>
      <c r="W821" s="44"/>
      <c r="X821" s="44"/>
      <c r="Y821" s="44"/>
      <c r="Z821" s="44"/>
      <c r="AA821" s="44"/>
      <c r="AB821" s="44"/>
      <c r="AC821" s="44"/>
      <c r="AD821" s="44"/>
      <c r="AE821" s="44"/>
      <c r="AF821" s="44"/>
      <c r="AG821" s="44"/>
    </row>
    <row r="822" spans="1:33" ht="16.5" customHeight="1">
      <c r="A822" s="44"/>
      <c r="B822" s="44"/>
      <c r="C822" s="44"/>
      <c r="D822" s="172"/>
      <c r="E822" s="44"/>
      <c r="F822" s="44"/>
      <c r="G822" s="44"/>
      <c r="H822" s="44"/>
      <c r="I822" s="53"/>
      <c r="J822" s="44"/>
      <c r="K822" s="44"/>
      <c r="L822" s="44"/>
      <c r="M822" s="44"/>
      <c r="N822" s="44"/>
      <c r="O822" s="44"/>
      <c r="P822" s="44"/>
      <c r="Q822" s="44"/>
      <c r="R822" s="44"/>
      <c r="S822" s="44"/>
      <c r="T822" s="44"/>
      <c r="U822" s="44"/>
      <c r="V822" s="44"/>
      <c r="W822" s="44"/>
      <c r="X822" s="44"/>
      <c r="Y822" s="44"/>
      <c r="Z822" s="44"/>
      <c r="AA822" s="44"/>
      <c r="AB822" s="44"/>
      <c r="AC822" s="44"/>
      <c r="AD822" s="44"/>
      <c r="AE822" s="44"/>
      <c r="AF822" s="44"/>
      <c r="AG822" s="44"/>
    </row>
    <row r="823" spans="1:33" ht="16.5" customHeight="1">
      <c r="A823" s="44"/>
      <c r="B823" s="44"/>
      <c r="C823" s="44"/>
      <c r="D823" s="172"/>
      <c r="E823" s="44"/>
      <c r="F823" s="44"/>
      <c r="G823" s="44"/>
      <c r="H823" s="44"/>
      <c r="I823" s="53"/>
      <c r="J823" s="44"/>
      <c r="K823" s="44"/>
      <c r="L823" s="44"/>
      <c r="M823" s="44"/>
      <c r="N823" s="44"/>
      <c r="O823" s="44"/>
      <c r="P823" s="44"/>
      <c r="Q823" s="44"/>
      <c r="R823" s="44"/>
      <c r="S823" s="44"/>
      <c r="T823" s="44"/>
      <c r="U823" s="44"/>
      <c r="V823" s="44"/>
      <c r="W823" s="44"/>
      <c r="X823" s="44"/>
      <c r="Y823" s="44"/>
      <c r="Z823" s="44"/>
      <c r="AA823" s="44"/>
      <c r="AB823" s="44"/>
      <c r="AC823" s="44"/>
      <c r="AD823" s="44"/>
      <c r="AE823" s="44"/>
      <c r="AF823" s="44"/>
      <c r="AG823" s="44"/>
    </row>
    <row r="824" spans="1:33" ht="16.5" customHeight="1">
      <c r="A824" s="44"/>
      <c r="B824" s="44"/>
      <c r="C824" s="44"/>
      <c r="D824" s="172"/>
      <c r="E824" s="44"/>
      <c r="F824" s="44"/>
      <c r="G824" s="44"/>
      <c r="H824" s="44"/>
      <c r="I824" s="53"/>
      <c r="J824" s="44"/>
      <c r="K824" s="44"/>
      <c r="L824" s="44"/>
      <c r="M824" s="44"/>
      <c r="N824" s="44"/>
      <c r="O824" s="44"/>
      <c r="P824" s="44"/>
      <c r="Q824" s="44"/>
      <c r="R824" s="44"/>
      <c r="S824" s="44"/>
      <c r="T824" s="44"/>
      <c r="U824" s="44"/>
      <c r="V824" s="44"/>
      <c r="W824" s="44"/>
      <c r="X824" s="44"/>
      <c r="Y824" s="44"/>
      <c r="Z824" s="44"/>
      <c r="AA824" s="44"/>
      <c r="AB824" s="44"/>
      <c r="AC824" s="44"/>
      <c r="AD824" s="44"/>
      <c r="AE824" s="44"/>
      <c r="AF824" s="44"/>
      <c r="AG824" s="44"/>
    </row>
    <row r="825" spans="1:33" ht="16.5" customHeight="1">
      <c r="A825" s="44"/>
      <c r="B825" s="44"/>
      <c r="C825" s="44"/>
      <c r="D825" s="172"/>
      <c r="E825" s="44"/>
      <c r="F825" s="44"/>
      <c r="G825" s="44"/>
      <c r="H825" s="44"/>
      <c r="I825" s="53"/>
      <c r="J825" s="44"/>
      <c r="K825" s="44"/>
      <c r="L825" s="44"/>
      <c r="M825" s="44"/>
      <c r="N825" s="44"/>
      <c r="O825" s="44"/>
      <c r="P825" s="44"/>
      <c r="Q825" s="44"/>
      <c r="R825" s="44"/>
      <c r="S825" s="44"/>
      <c r="T825" s="44"/>
      <c r="U825" s="44"/>
      <c r="V825" s="44"/>
      <c r="W825" s="44"/>
      <c r="X825" s="44"/>
      <c r="Y825" s="44"/>
      <c r="Z825" s="44"/>
      <c r="AA825" s="44"/>
      <c r="AB825" s="44"/>
      <c r="AC825" s="44"/>
      <c r="AD825" s="44"/>
      <c r="AE825" s="44"/>
      <c r="AF825" s="44"/>
      <c r="AG825" s="44"/>
    </row>
    <row r="826" spans="1:33" ht="16.5" customHeight="1">
      <c r="A826" s="44"/>
      <c r="B826" s="44"/>
      <c r="C826" s="44"/>
      <c r="D826" s="172"/>
      <c r="E826" s="44"/>
      <c r="F826" s="44"/>
      <c r="G826" s="44"/>
      <c r="H826" s="44"/>
      <c r="I826" s="53"/>
      <c r="J826" s="44"/>
      <c r="K826" s="44"/>
      <c r="L826" s="44"/>
      <c r="M826" s="44"/>
      <c r="N826" s="44"/>
      <c r="O826" s="44"/>
      <c r="P826" s="44"/>
      <c r="Q826" s="44"/>
      <c r="R826" s="44"/>
      <c r="S826" s="44"/>
      <c r="T826" s="44"/>
      <c r="U826" s="44"/>
      <c r="V826" s="44"/>
      <c r="W826" s="44"/>
      <c r="X826" s="44"/>
      <c r="Y826" s="44"/>
      <c r="Z826" s="44"/>
      <c r="AA826" s="44"/>
      <c r="AB826" s="44"/>
      <c r="AC826" s="44"/>
      <c r="AD826" s="44"/>
      <c r="AE826" s="44"/>
      <c r="AF826" s="44"/>
      <c r="AG826" s="44"/>
    </row>
    <row r="827" spans="1:33" ht="16.5" customHeight="1">
      <c r="A827" s="44"/>
      <c r="B827" s="44"/>
      <c r="C827" s="44"/>
      <c r="D827" s="172"/>
      <c r="E827" s="44"/>
      <c r="F827" s="44"/>
      <c r="G827" s="44"/>
      <c r="H827" s="44"/>
      <c r="I827" s="53"/>
      <c r="J827" s="44"/>
      <c r="K827" s="44"/>
      <c r="L827" s="44"/>
      <c r="M827" s="44"/>
      <c r="N827" s="44"/>
      <c r="O827" s="44"/>
      <c r="P827" s="44"/>
      <c r="Q827" s="44"/>
      <c r="R827" s="44"/>
      <c r="S827" s="44"/>
      <c r="T827" s="44"/>
      <c r="U827" s="44"/>
      <c r="V827" s="44"/>
      <c r="W827" s="44"/>
      <c r="X827" s="44"/>
      <c r="Y827" s="44"/>
      <c r="Z827" s="44"/>
      <c r="AA827" s="44"/>
      <c r="AB827" s="44"/>
      <c r="AC827" s="44"/>
      <c r="AD827" s="44"/>
      <c r="AE827" s="44"/>
      <c r="AF827" s="44"/>
      <c r="AG827" s="44"/>
    </row>
    <row r="828" spans="1:33" ht="16.5" customHeight="1">
      <c r="A828" s="44"/>
      <c r="B828" s="44"/>
      <c r="C828" s="44"/>
      <c r="D828" s="172"/>
      <c r="E828" s="44"/>
      <c r="F828" s="44"/>
      <c r="G828" s="44"/>
      <c r="H828" s="44"/>
      <c r="I828" s="53"/>
      <c r="J828" s="44"/>
      <c r="K828" s="44"/>
      <c r="L828" s="44"/>
      <c r="M828" s="44"/>
      <c r="N828" s="44"/>
      <c r="O828" s="44"/>
      <c r="P828" s="44"/>
      <c r="Q828" s="44"/>
      <c r="R828" s="44"/>
      <c r="S828" s="44"/>
      <c r="T828" s="44"/>
      <c r="U828" s="44"/>
      <c r="V828" s="44"/>
      <c r="W828" s="44"/>
      <c r="X828" s="44"/>
      <c r="Y828" s="44"/>
      <c r="Z828" s="44"/>
      <c r="AA828" s="44"/>
      <c r="AB828" s="44"/>
      <c r="AC828" s="44"/>
      <c r="AD828" s="44"/>
      <c r="AE828" s="44"/>
      <c r="AF828" s="44"/>
      <c r="AG828" s="44"/>
    </row>
    <row r="829" spans="1:33" ht="16.5" customHeight="1">
      <c r="A829" s="44"/>
      <c r="B829" s="44"/>
      <c r="C829" s="44"/>
      <c r="D829" s="172"/>
      <c r="E829" s="44"/>
      <c r="F829" s="44"/>
      <c r="G829" s="44"/>
      <c r="H829" s="44"/>
      <c r="I829" s="53"/>
      <c r="J829" s="44"/>
      <c r="K829" s="44"/>
      <c r="L829" s="44"/>
      <c r="M829" s="44"/>
      <c r="N829" s="44"/>
      <c r="O829" s="44"/>
      <c r="P829" s="44"/>
      <c r="Q829" s="44"/>
      <c r="R829" s="44"/>
      <c r="S829" s="44"/>
      <c r="T829" s="44"/>
      <c r="U829" s="44"/>
      <c r="V829" s="44"/>
      <c r="W829" s="44"/>
      <c r="X829" s="44"/>
      <c r="Y829" s="44"/>
      <c r="Z829" s="44"/>
      <c r="AA829" s="44"/>
      <c r="AB829" s="44"/>
      <c r="AC829" s="44"/>
      <c r="AD829" s="44"/>
      <c r="AE829" s="44"/>
      <c r="AF829" s="44"/>
      <c r="AG829" s="44"/>
    </row>
    <row r="830" spans="1:33" ht="16.5" customHeight="1">
      <c r="A830" s="44"/>
      <c r="B830" s="44"/>
      <c r="C830" s="44"/>
      <c r="D830" s="172"/>
      <c r="E830" s="44"/>
      <c r="F830" s="44"/>
      <c r="G830" s="44"/>
      <c r="H830" s="44"/>
      <c r="I830" s="53"/>
      <c r="J830" s="44"/>
      <c r="K830" s="44"/>
      <c r="L830" s="44"/>
      <c r="M830" s="44"/>
      <c r="N830" s="44"/>
      <c r="O830" s="44"/>
      <c r="P830" s="44"/>
      <c r="Q830" s="44"/>
      <c r="R830" s="44"/>
      <c r="S830" s="44"/>
      <c r="T830" s="44"/>
      <c r="U830" s="44"/>
      <c r="V830" s="44"/>
      <c r="W830" s="44"/>
      <c r="X830" s="44"/>
      <c r="Y830" s="44"/>
      <c r="Z830" s="44"/>
      <c r="AA830" s="44"/>
      <c r="AB830" s="44"/>
      <c r="AC830" s="44"/>
      <c r="AD830" s="44"/>
      <c r="AE830" s="44"/>
      <c r="AF830" s="44"/>
      <c r="AG830" s="44"/>
    </row>
    <row r="831" spans="1:33" ht="16.5" customHeight="1">
      <c r="A831" s="44"/>
      <c r="B831" s="44"/>
      <c r="C831" s="44"/>
      <c r="D831" s="172"/>
      <c r="E831" s="44"/>
      <c r="F831" s="44"/>
      <c r="G831" s="44"/>
      <c r="H831" s="44"/>
      <c r="I831" s="53"/>
      <c r="J831" s="44"/>
      <c r="K831" s="44"/>
      <c r="L831" s="44"/>
      <c r="M831" s="44"/>
      <c r="N831" s="44"/>
      <c r="O831" s="44"/>
      <c r="P831" s="44"/>
      <c r="Q831" s="44"/>
      <c r="R831" s="44"/>
      <c r="S831" s="44"/>
      <c r="T831" s="44"/>
      <c r="U831" s="44"/>
      <c r="V831" s="44"/>
      <c r="W831" s="44"/>
      <c r="X831" s="44"/>
      <c r="Y831" s="44"/>
      <c r="Z831" s="44"/>
      <c r="AA831" s="44"/>
      <c r="AB831" s="44"/>
      <c r="AC831" s="44"/>
      <c r="AD831" s="44"/>
      <c r="AE831" s="44"/>
      <c r="AF831" s="44"/>
      <c r="AG831" s="44"/>
    </row>
    <row r="832" spans="1:33" ht="16.5" customHeight="1">
      <c r="A832" s="44"/>
      <c r="B832" s="44"/>
      <c r="C832" s="44"/>
      <c r="D832" s="172"/>
      <c r="E832" s="44"/>
      <c r="F832" s="44"/>
      <c r="G832" s="44"/>
      <c r="H832" s="44"/>
      <c r="I832" s="53"/>
      <c r="J832" s="44"/>
      <c r="K832" s="44"/>
      <c r="L832" s="44"/>
      <c r="M832" s="44"/>
      <c r="N832" s="44"/>
      <c r="O832" s="44"/>
      <c r="P832" s="44"/>
      <c r="Q832" s="44"/>
      <c r="R832" s="44"/>
      <c r="S832" s="44"/>
      <c r="T832" s="44"/>
      <c r="U832" s="44"/>
      <c r="V832" s="44"/>
      <c r="W832" s="44"/>
      <c r="X832" s="44"/>
      <c r="Y832" s="44"/>
      <c r="Z832" s="44"/>
      <c r="AA832" s="44"/>
      <c r="AB832" s="44"/>
      <c r="AC832" s="44"/>
      <c r="AD832" s="44"/>
      <c r="AE832" s="44"/>
      <c r="AF832" s="44"/>
      <c r="AG832" s="44"/>
    </row>
    <row r="833" spans="1:33" ht="16.5" customHeight="1">
      <c r="A833" s="44"/>
      <c r="B833" s="44"/>
      <c r="C833" s="44"/>
      <c r="D833" s="172"/>
      <c r="E833" s="44"/>
      <c r="F833" s="44"/>
      <c r="G833" s="44"/>
      <c r="H833" s="44"/>
      <c r="I833" s="53"/>
      <c r="J833" s="44"/>
      <c r="K833" s="44"/>
      <c r="L833" s="44"/>
      <c r="M833" s="44"/>
      <c r="N833" s="44"/>
      <c r="O833" s="44"/>
      <c r="P833" s="44"/>
      <c r="Q833" s="44"/>
      <c r="R833" s="44"/>
      <c r="S833" s="44"/>
      <c r="T833" s="44"/>
      <c r="U833" s="44"/>
      <c r="V833" s="44"/>
      <c r="W833" s="44"/>
      <c r="X833" s="44"/>
      <c r="Y833" s="44"/>
      <c r="Z833" s="44"/>
      <c r="AA833" s="44"/>
      <c r="AB833" s="44"/>
      <c r="AC833" s="44"/>
      <c r="AD833" s="44"/>
      <c r="AE833" s="44"/>
      <c r="AF833" s="44"/>
      <c r="AG833" s="44"/>
    </row>
    <row r="834" spans="1:33" ht="16.5" customHeight="1">
      <c r="A834" s="44"/>
      <c r="B834" s="44"/>
      <c r="C834" s="44"/>
      <c r="D834" s="172"/>
      <c r="E834" s="44"/>
      <c r="F834" s="44"/>
      <c r="G834" s="44"/>
      <c r="H834" s="44"/>
      <c r="I834" s="53"/>
      <c r="J834" s="44"/>
      <c r="K834" s="44"/>
      <c r="L834" s="44"/>
      <c r="M834" s="44"/>
      <c r="N834" s="44"/>
      <c r="O834" s="44"/>
      <c r="P834" s="44"/>
      <c r="Q834" s="44"/>
      <c r="R834" s="44"/>
      <c r="S834" s="44"/>
      <c r="T834" s="44"/>
      <c r="U834" s="44"/>
      <c r="V834" s="44"/>
      <c r="W834" s="44"/>
      <c r="X834" s="44"/>
      <c r="Y834" s="44"/>
      <c r="Z834" s="44"/>
      <c r="AA834" s="44"/>
      <c r="AB834" s="44"/>
      <c r="AC834" s="44"/>
      <c r="AD834" s="44"/>
      <c r="AE834" s="44"/>
      <c r="AF834" s="44"/>
      <c r="AG834" s="44"/>
    </row>
    <row r="835" spans="1:33" ht="16.5" customHeight="1">
      <c r="A835" s="44"/>
      <c r="B835" s="44"/>
      <c r="C835" s="44"/>
      <c r="D835" s="172"/>
      <c r="E835" s="44"/>
      <c r="F835" s="44"/>
      <c r="G835" s="44"/>
      <c r="H835" s="44"/>
      <c r="I835" s="53"/>
      <c r="J835" s="44"/>
      <c r="K835" s="44"/>
      <c r="L835" s="44"/>
      <c r="M835" s="44"/>
      <c r="N835" s="44"/>
      <c r="O835" s="44"/>
      <c r="P835" s="44"/>
      <c r="Q835" s="44"/>
      <c r="R835" s="44"/>
      <c r="S835" s="44"/>
      <c r="T835" s="44"/>
      <c r="U835" s="44"/>
      <c r="V835" s="44"/>
      <c r="W835" s="44"/>
      <c r="X835" s="44"/>
      <c r="Y835" s="44"/>
      <c r="Z835" s="44"/>
      <c r="AA835" s="44"/>
      <c r="AB835" s="44"/>
      <c r="AC835" s="44"/>
      <c r="AD835" s="44"/>
      <c r="AE835" s="44"/>
      <c r="AF835" s="44"/>
      <c r="AG835" s="44"/>
    </row>
    <row r="836" spans="1:33" ht="16.5" customHeight="1">
      <c r="A836" s="44"/>
      <c r="B836" s="44"/>
      <c r="C836" s="44"/>
      <c r="D836" s="172"/>
      <c r="E836" s="44"/>
      <c r="F836" s="44"/>
      <c r="G836" s="44"/>
      <c r="H836" s="44"/>
      <c r="I836" s="53"/>
      <c r="J836" s="44"/>
      <c r="K836" s="44"/>
      <c r="L836" s="44"/>
      <c r="M836" s="44"/>
      <c r="N836" s="44"/>
      <c r="O836" s="44"/>
      <c r="P836" s="44"/>
      <c r="Q836" s="44"/>
      <c r="R836" s="44"/>
      <c r="S836" s="44"/>
      <c r="T836" s="44"/>
      <c r="U836" s="44"/>
      <c r="V836" s="44"/>
      <c r="W836" s="44"/>
      <c r="X836" s="44"/>
      <c r="Y836" s="44"/>
      <c r="Z836" s="44"/>
      <c r="AA836" s="44"/>
      <c r="AB836" s="44"/>
      <c r="AC836" s="44"/>
      <c r="AD836" s="44"/>
      <c r="AE836" s="44"/>
      <c r="AF836" s="44"/>
      <c r="AG836" s="44"/>
    </row>
    <row r="837" spans="1:33" ht="16.5" customHeight="1">
      <c r="A837" s="44"/>
      <c r="B837" s="44"/>
      <c r="C837" s="44"/>
      <c r="D837" s="172"/>
      <c r="E837" s="44"/>
      <c r="F837" s="44"/>
      <c r="G837" s="44"/>
      <c r="H837" s="44"/>
      <c r="I837" s="53"/>
      <c r="J837" s="44"/>
      <c r="K837" s="44"/>
      <c r="L837" s="44"/>
      <c r="M837" s="44"/>
      <c r="N837" s="44"/>
      <c r="O837" s="44"/>
      <c r="P837" s="44"/>
      <c r="Q837" s="44"/>
      <c r="R837" s="44"/>
      <c r="S837" s="44"/>
      <c r="T837" s="44"/>
      <c r="U837" s="44"/>
      <c r="V837" s="44"/>
      <c r="W837" s="44"/>
      <c r="X837" s="44"/>
      <c r="Y837" s="44"/>
      <c r="Z837" s="44"/>
      <c r="AA837" s="44"/>
      <c r="AB837" s="44"/>
      <c r="AC837" s="44"/>
      <c r="AD837" s="44"/>
      <c r="AE837" s="44"/>
      <c r="AF837" s="44"/>
      <c r="AG837" s="44"/>
    </row>
    <row r="838" spans="1:33" ht="16.5" customHeight="1">
      <c r="A838" s="44"/>
      <c r="B838" s="44"/>
      <c r="C838" s="44"/>
      <c r="D838" s="172"/>
      <c r="E838" s="44"/>
      <c r="F838" s="44"/>
      <c r="G838" s="44"/>
      <c r="H838" s="44"/>
      <c r="I838" s="53"/>
      <c r="J838" s="44"/>
      <c r="K838" s="44"/>
      <c r="L838" s="44"/>
      <c r="M838" s="44"/>
      <c r="N838" s="44"/>
      <c r="O838" s="44"/>
      <c r="P838" s="44"/>
      <c r="Q838" s="44"/>
      <c r="R838" s="44"/>
      <c r="S838" s="44"/>
      <c r="T838" s="44"/>
      <c r="U838" s="44"/>
      <c r="V838" s="44"/>
      <c r="W838" s="44"/>
      <c r="X838" s="44"/>
      <c r="Y838" s="44"/>
      <c r="Z838" s="44"/>
      <c r="AA838" s="44"/>
      <c r="AB838" s="44"/>
      <c r="AC838" s="44"/>
      <c r="AD838" s="44"/>
      <c r="AE838" s="44"/>
      <c r="AF838" s="44"/>
      <c r="AG838" s="44"/>
    </row>
    <row r="839" spans="1:33" ht="16.5" customHeight="1">
      <c r="A839" s="44"/>
      <c r="B839" s="44"/>
      <c r="C839" s="44"/>
      <c r="D839" s="172"/>
      <c r="E839" s="44"/>
      <c r="F839" s="44"/>
      <c r="G839" s="44"/>
      <c r="H839" s="44"/>
      <c r="I839" s="53"/>
      <c r="J839" s="44"/>
      <c r="K839" s="44"/>
      <c r="L839" s="44"/>
      <c r="M839" s="44"/>
      <c r="N839" s="44"/>
      <c r="O839" s="44"/>
      <c r="P839" s="44"/>
      <c r="Q839" s="44"/>
      <c r="R839" s="44"/>
      <c r="S839" s="44"/>
      <c r="T839" s="44"/>
      <c r="U839" s="44"/>
      <c r="V839" s="44"/>
      <c r="W839" s="44"/>
      <c r="X839" s="44"/>
      <c r="Y839" s="44"/>
      <c r="Z839" s="44"/>
      <c r="AA839" s="44"/>
      <c r="AB839" s="44"/>
      <c r="AC839" s="44"/>
      <c r="AD839" s="44"/>
      <c r="AE839" s="44"/>
      <c r="AF839" s="44"/>
      <c r="AG839" s="44"/>
    </row>
    <row r="840" spans="1:33" ht="16.5" customHeight="1">
      <c r="A840" s="44"/>
      <c r="B840" s="44"/>
      <c r="C840" s="44"/>
      <c r="D840" s="172"/>
      <c r="E840" s="44"/>
      <c r="F840" s="44"/>
      <c r="G840" s="44"/>
      <c r="H840" s="44"/>
      <c r="I840" s="53"/>
      <c r="J840" s="44"/>
      <c r="K840" s="44"/>
      <c r="L840" s="44"/>
      <c r="M840" s="44"/>
      <c r="N840" s="44"/>
      <c r="O840" s="44"/>
      <c r="P840" s="44"/>
      <c r="Q840" s="44"/>
      <c r="R840" s="44"/>
      <c r="S840" s="44"/>
      <c r="T840" s="44"/>
      <c r="U840" s="44"/>
      <c r="V840" s="44"/>
      <c r="W840" s="44"/>
      <c r="X840" s="44"/>
      <c r="Y840" s="44"/>
      <c r="Z840" s="44"/>
      <c r="AA840" s="44"/>
      <c r="AB840" s="44"/>
      <c r="AC840" s="44"/>
      <c r="AD840" s="44"/>
      <c r="AE840" s="44"/>
      <c r="AF840" s="44"/>
      <c r="AG840" s="44"/>
    </row>
    <row r="841" spans="1:33" ht="16.5" customHeight="1">
      <c r="A841" s="44"/>
      <c r="B841" s="44"/>
      <c r="C841" s="44"/>
      <c r="D841" s="172"/>
      <c r="E841" s="44"/>
      <c r="F841" s="44"/>
      <c r="G841" s="44"/>
      <c r="H841" s="44"/>
      <c r="I841" s="53"/>
      <c r="J841" s="44"/>
      <c r="K841" s="44"/>
      <c r="L841" s="44"/>
      <c r="M841" s="44"/>
      <c r="N841" s="44"/>
      <c r="O841" s="44"/>
      <c r="P841" s="44"/>
      <c r="Q841" s="44"/>
      <c r="R841" s="44"/>
      <c r="S841" s="44"/>
      <c r="T841" s="44"/>
      <c r="U841" s="44"/>
      <c r="V841" s="44"/>
      <c r="W841" s="44"/>
      <c r="X841" s="44"/>
      <c r="Y841" s="44"/>
      <c r="Z841" s="44"/>
      <c r="AA841" s="44"/>
      <c r="AB841" s="44"/>
      <c r="AC841" s="44"/>
      <c r="AD841" s="44"/>
      <c r="AE841" s="44"/>
      <c r="AF841" s="44"/>
      <c r="AG841" s="44"/>
    </row>
    <row r="842" spans="1:33" ht="16.5" customHeight="1">
      <c r="A842" s="44"/>
      <c r="B842" s="44"/>
      <c r="C842" s="44"/>
      <c r="D842" s="172"/>
      <c r="E842" s="44"/>
      <c r="F842" s="44"/>
      <c r="G842" s="44"/>
      <c r="H842" s="44"/>
      <c r="I842" s="53"/>
      <c r="J842" s="44"/>
      <c r="K842" s="44"/>
      <c r="L842" s="44"/>
      <c r="M842" s="44"/>
      <c r="N842" s="44"/>
      <c r="O842" s="44"/>
      <c r="P842" s="44"/>
      <c r="Q842" s="44"/>
      <c r="R842" s="44"/>
      <c r="S842" s="44"/>
      <c r="T842" s="44"/>
      <c r="U842" s="44"/>
      <c r="V842" s="44"/>
      <c r="W842" s="44"/>
      <c r="X842" s="44"/>
      <c r="Y842" s="44"/>
      <c r="Z842" s="44"/>
      <c r="AA842" s="44"/>
      <c r="AB842" s="44"/>
      <c r="AC842" s="44"/>
      <c r="AD842" s="44"/>
      <c r="AE842" s="44"/>
      <c r="AF842" s="44"/>
      <c r="AG842" s="44"/>
    </row>
    <row r="843" spans="1:33" ht="16.5" customHeight="1">
      <c r="A843" s="44"/>
      <c r="B843" s="44"/>
      <c r="C843" s="44"/>
      <c r="D843" s="172"/>
      <c r="E843" s="44"/>
      <c r="F843" s="44"/>
      <c r="G843" s="44"/>
      <c r="H843" s="44"/>
      <c r="I843" s="53"/>
      <c r="J843" s="44"/>
      <c r="K843" s="44"/>
      <c r="L843" s="44"/>
      <c r="M843" s="44"/>
      <c r="N843" s="44"/>
      <c r="O843" s="44"/>
      <c r="P843" s="44"/>
      <c r="Q843" s="44"/>
      <c r="R843" s="44"/>
      <c r="S843" s="44"/>
      <c r="T843" s="44"/>
      <c r="U843" s="44"/>
      <c r="V843" s="44"/>
      <c r="W843" s="44"/>
      <c r="X843" s="44"/>
      <c r="Y843" s="44"/>
      <c r="Z843" s="44"/>
      <c r="AA843" s="44"/>
      <c r="AB843" s="44"/>
      <c r="AC843" s="44"/>
      <c r="AD843" s="44"/>
      <c r="AE843" s="44"/>
      <c r="AF843" s="44"/>
      <c r="AG843" s="44"/>
    </row>
    <row r="844" spans="1:33" ht="16.5" customHeight="1">
      <c r="A844" s="44"/>
      <c r="B844" s="44"/>
      <c r="C844" s="44"/>
      <c r="D844" s="172"/>
      <c r="E844" s="44"/>
      <c r="F844" s="44"/>
      <c r="G844" s="44"/>
      <c r="H844" s="44"/>
      <c r="I844" s="53"/>
      <c r="J844" s="44"/>
      <c r="K844" s="44"/>
      <c r="L844" s="44"/>
      <c r="M844" s="44"/>
      <c r="N844" s="44"/>
      <c r="O844" s="44"/>
      <c r="P844" s="44"/>
      <c r="Q844" s="44"/>
      <c r="R844" s="44"/>
      <c r="S844" s="44"/>
      <c r="T844" s="44"/>
      <c r="U844" s="44"/>
      <c r="V844" s="44"/>
      <c r="W844" s="44"/>
      <c r="X844" s="44"/>
      <c r="Y844" s="44"/>
      <c r="Z844" s="44"/>
      <c r="AA844" s="44"/>
      <c r="AB844" s="44"/>
      <c r="AC844" s="44"/>
      <c r="AD844" s="44"/>
      <c r="AE844" s="44"/>
      <c r="AF844" s="44"/>
      <c r="AG844" s="44"/>
    </row>
    <row r="845" spans="1:33" ht="16.5" customHeight="1">
      <c r="A845" s="44"/>
      <c r="B845" s="44"/>
      <c r="C845" s="44"/>
      <c r="D845" s="172"/>
      <c r="E845" s="44"/>
      <c r="F845" s="44"/>
      <c r="G845" s="44"/>
      <c r="H845" s="44"/>
      <c r="I845" s="53"/>
      <c r="J845" s="44"/>
      <c r="K845" s="44"/>
      <c r="L845" s="44"/>
      <c r="M845" s="44"/>
      <c r="N845" s="44"/>
      <c r="O845" s="44"/>
      <c r="P845" s="44"/>
      <c r="Q845" s="44"/>
      <c r="R845" s="44"/>
      <c r="S845" s="44"/>
      <c r="T845" s="44"/>
      <c r="U845" s="44"/>
      <c r="V845" s="44"/>
      <c r="W845" s="44"/>
      <c r="X845" s="44"/>
      <c r="Y845" s="44"/>
      <c r="Z845" s="44"/>
      <c r="AA845" s="44"/>
      <c r="AB845" s="44"/>
      <c r="AC845" s="44"/>
      <c r="AD845" s="44"/>
      <c r="AE845" s="44"/>
      <c r="AF845" s="44"/>
      <c r="AG845" s="44"/>
    </row>
    <row r="846" spans="1:33" ht="16.5" customHeight="1">
      <c r="A846" s="44"/>
      <c r="B846" s="44"/>
      <c r="C846" s="44"/>
      <c r="D846" s="172"/>
      <c r="E846" s="44"/>
      <c r="F846" s="44"/>
      <c r="G846" s="44"/>
      <c r="H846" s="44"/>
      <c r="I846" s="53"/>
      <c r="J846" s="44"/>
      <c r="K846" s="44"/>
      <c r="L846" s="44"/>
      <c r="M846" s="44"/>
      <c r="N846" s="44"/>
      <c r="O846" s="44"/>
      <c r="P846" s="44"/>
      <c r="Q846" s="44"/>
      <c r="R846" s="44"/>
      <c r="S846" s="44"/>
      <c r="T846" s="44"/>
      <c r="U846" s="44"/>
      <c r="V846" s="44"/>
      <c r="W846" s="44"/>
      <c r="X846" s="44"/>
      <c r="Y846" s="44"/>
      <c r="Z846" s="44"/>
      <c r="AA846" s="44"/>
      <c r="AB846" s="44"/>
      <c r="AC846" s="44"/>
      <c r="AD846" s="44"/>
      <c r="AE846" s="44"/>
      <c r="AF846" s="44"/>
      <c r="AG846" s="44"/>
    </row>
    <row r="847" spans="1:33" ht="16.5" customHeight="1">
      <c r="A847" s="44"/>
      <c r="B847" s="44"/>
      <c r="C847" s="44"/>
      <c r="D847" s="172"/>
      <c r="E847" s="44"/>
      <c r="F847" s="44"/>
      <c r="G847" s="44"/>
      <c r="H847" s="44"/>
      <c r="I847" s="53"/>
      <c r="J847" s="44"/>
      <c r="K847" s="44"/>
      <c r="L847" s="44"/>
      <c r="M847" s="44"/>
      <c r="N847" s="44"/>
      <c r="O847" s="44"/>
      <c r="P847" s="44"/>
      <c r="Q847" s="44"/>
      <c r="R847" s="44"/>
      <c r="S847" s="44"/>
      <c r="T847" s="44"/>
      <c r="U847" s="44"/>
      <c r="V847" s="44"/>
      <c r="W847" s="44"/>
      <c r="X847" s="44"/>
      <c r="Y847" s="44"/>
      <c r="Z847" s="44"/>
      <c r="AA847" s="44"/>
      <c r="AB847" s="44"/>
      <c r="AC847" s="44"/>
      <c r="AD847" s="44"/>
      <c r="AE847" s="44"/>
      <c r="AF847" s="44"/>
      <c r="AG847" s="44"/>
    </row>
    <row r="848" spans="1:33" ht="16.5" customHeight="1">
      <c r="A848" s="44"/>
      <c r="B848" s="44"/>
      <c r="C848" s="44"/>
      <c r="D848" s="172"/>
      <c r="E848" s="44"/>
      <c r="F848" s="44"/>
      <c r="G848" s="44"/>
      <c r="H848" s="44"/>
      <c r="I848" s="53"/>
      <c r="J848" s="44"/>
      <c r="K848" s="44"/>
      <c r="L848" s="44"/>
      <c r="M848" s="44"/>
      <c r="N848" s="44"/>
      <c r="O848" s="44"/>
      <c r="P848" s="44"/>
      <c r="Q848" s="44"/>
      <c r="R848" s="44"/>
      <c r="S848" s="44"/>
      <c r="T848" s="44"/>
      <c r="U848" s="44"/>
      <c r="V848" s="44"/>
      <c r="W848" s="44"/>
      <c r="X848" s="44"/>
      <c r="Y848" s="44"/>
      <c r="Z848" s="44"/>
      <c r="AA848" s="44"/>
      <c r="AB848" s="44"/>
      <c r="AC848" s="44"/>
      <c r="AD848" s="44"/>
      <c r="AE848" s="44"/>
      <c r="AF848" s="44"/>
      <c r="AG848" s="44"/>
    </row>
    <row r="849" spans="1:33" ht="16.5" customHeight="1">
      <c r="A849" s="44"/>
      <c r="B849" s="44"/>
      <c r="C849" s="44"/>
      <c r="D849" s="172"/>
      <c r="E849" s="44"/>
      <c r="F849" s="44"/>
      <c r="G849" s="44"/>
      <c r="H849" s="44"/>
      <c r="I849" s="53"/>
      <c r="J849" s="44"/>
      <c r="K849" s="44"/>
      <c r="L849" s="44"/>
      <c r="M849" s="44"/>
      <c r="N849" s="44"/>
      <c r="O849" s="44"/>
      <c r="P849" s="44"/>
      <c r="Q849" s="44"/>
      <c r="R849" s="44"/>
      <c r="S849" s="44"/>
      <c r="T849" s="44"/>
      <c r="U849" s="44"/>
      <c r="V849" s="44"/>
      <c r="W849" s="44"/>
      <c r="X849" s="44"/>
      <c r="Y849" s="44"/>
      <c r="Z849" s="44"/>
      <c r="AA849" s="44"/>
      <c r="AB849" s="44"/>
      <c r="AC849" s="44"/>
      <c r="AD849" s="44"/>
      <c r="AE849" s="44"/>
      <c r="AF849" s="44"/>
      <c r="AG849" s="44"/>
    </row>
    <row r="850" spans="1:33" ht="16.5" customHeight="1">
      <c r="A850" s="44"/>
      <c r="B850" s="44"/>
      <c r="C850" s="44"/>
      <c r="D850" s="172"/>
      <c r="E850" s="44"/>
      <c r="F850" s="44"/>
      <c r="G850" s="44"/>
      <c r="H850" s="44"/>
      <c r="I850" s="53"/>
      <c r="J850" s="44"/>
      <c r="K850" s="44"/>
      <c r="L850" s="44"/>
      <c r="M850" s="44"/>
      <c r="N850" s="44"/>
      <c r="O850" s="44"/>
      <c r="P850" s="44"/>
      <c r="Q850" s="44"/>
      <c r="R850" s="44"/>
      <c r="S850" s="44"/>
      <c r="T850" s="44"/>
      <c r="U850" s="44"/>
      <c r="V850" s="44"/>
      <c r="W850" s="44"/>
      <c r="X850" s="44"/>
      <c r="Y850" s="44"/>
      <c r="Z850" s="44"/>
      <c r="AA850" s="44"/>
      <c r="AB850" s="44"/>
      <c r="AC850" s="44"/>
      <c r="AD850" s="44"/>
      <c r="AE850" s="44"/>
      <c r="AF850" s="44"/>
      <c r="AG850" s="44"/>
    </row>
    <row r="851" spans="1:33" ht="16.5" customHeight="1">
      <c r="A851" s="44"/>
      <c r="B851" s="44"/>
      <c r="C851" s="44"/>
      <c r="D851" s="172"/>
      <c r="E851" s="44"/>
      <c r="F851" s="44"/>
      <c r="G851" s="44"/>
      <c r="H851" s="44"/>
      <c r="I851" s="53"/>
      <c r="J851" s="44"/>
      <c r="K851" s="44"/>
      <c r="L851" s="44"/>
      <c r="M851" s="44"/>
      <c r="N851" s="44"/>
      <c r="O851" s="44"/>
      <c r="P851" s="44"/>
      <c r="Q851" s="44"/>
      <c r="R851" s="44"/>
      <c r="S851" s="44"/>
      <c r="T851" s="44"/>
      <c r="U851" s="44"/>
      <c r="V851" s="44"/>
      <c r="W851" s="44"/>
      <c r="X851" s="44"/>
      <c r="Y851" s="44"/>
      <c r="Z851" s="44"/>
      <c r="AA851" s="44"/>
      <c r="AB851" s="44"/>
      <c r="AC851" s="44"/>
      <c r="AD851" s="44"/>
      <c r="AE851" s="44"/>
      <c r="AF851" s="44"/>
      <c r="AG851" s="44"/>
    </row>
    <row r="852" spans="1:33" ht="16.5" customHeight="1">
      <c r="A852" s="44"/>
      <c r="B852" s="44"/>
      <c r="C852" s="44"/>
      <c r="D852" s="172"/>
      <c r="E852" s="44"/>
      <c r="F852" s="44"/>
      <c r="G852" s="44"/>
      <c r="H852" s="44"/>
      <c r="I852" s="53"/>
      <c r="J852" s="44"/>
      <c r="K852" s="44"/>
      <c r="L852" s="44"/>
      <c r="M852" s="44"/>
      <c r="N852" s="44"/>
      <c r="O852" s="44"/>
      <c r="P852" s="44"/>
      <c r="Q852" s="44"/>
      <c r="R852" s="44"/>
      <c r="S852" s="44"/>
      <c r="T852" s="44"/>
      <c r="U852" s="44"/>
      <c r="V852" s="44"/>
      <c r="W852" s="44"/>
      <c r="X852" s="44"/>
      <c r="Y852" s="44"/>
      <c r="Z852" s="44"/>
      <c r="AA852" s="44"/>
      <c r="AB852" s="44"/>
      <c r="AC852" s="44"/>
      <c r="AD852" s="44"/>
      <c r="AE852" s="44"/>
      <c r="AF852" s="44"/>
      <c r="AG852" s="44"/>
    </row>
    <row r="853" spans="1:33" ht="16.5" customHeight="1">
      <c r="A853" s="44"/>
      <c r="B853" s="44"/>
      <c r="C853" s="44"/>
      <c r="D853" s="172"/>
      <c r="E853" s="44"/>
      <c r="F853" s="44"/>
      <c r="G853" s="44"/>
      <c r="H853" s="44"/>
      <c r="I853" s="53"/>
      <c r="J853" s="44"/>
      <c r="K853" s="44"/>
      <c r="L853" s="44"/>
      <c r="M853" s="44"/>
      <c r="N853" s="44"/>
      <c r="O853" s="44"/>
      <c r="P853" s="44"/>
      <c r="Q853" s="44"/>
      <c r="R853" s="44"/>
      <c r="S853" s="44"/>
      <c r="T853" s="44"/>
      <c r="U853" s="44"/>
      <c r="V853" s="44"/>
      <c r="W853" s="44"/>
      <c r="X853" s="44"/>
      <c r="Y853" s="44"/>
      <c r="Z853" s="44"/>
      <c r="AA853" s="44"/>
      <c r="AB853" s="44"/>
      <c r="AC853" s="44"/>
      <c r="AD853" s="44"/>
      <c r="AE853" s="44"/>
      <c r="AF853" s="44"/>
      <c r="AG853" s="44"/>
    </row>
    <row r="854" spans="1:33" ht="16.5" customHeight="1">
      <c r="A854" s="44"/>
      <c r="B854" s="44"/>
      <c r="C854" s="44"/>
      <c r="D854" s="172"/>
      <c r="E854" s="44"/>
      <c r="F854" s="44"/>
      <c r="G854" s="44"/>
      <c r="H854" s="44"/>
      <c r="I854" s="53"/>
      <c r="J854" s="44"/>
      <c r="K854" s="44"/>
      <c r="L854" s="44"/>
      <c r="M854" s="44"/>
      <c r="N854" s="44"/>
      <c r="O854" s="44"/>
      <c r="P854" s="44"/>
      <c r="Q854" s="44"/>
      <c r="R854" s="44"/>
      <c r="S854" s="44"/>
      <c r="T854" s="44"/>
      <c r="U854" s="44"/>
      <c r="V854" s="44"/>
      <c r="W854" s="44"/>
      <c r="X854" s="44"/>
      <c r="Y854" s="44"/>
      <c r="Z854" s="44"/>
      <c r="AA854" s="44"/>
      <c r="AB854" s="44"/>
      <c r="AC854" s="44"/>
      <c r="AD854" s="44"/>
      <c r="AE854" s="44"/>
      <c r="AF854" s="44"/>
      <c r="AG854" s="44"/>
    </row>
    <row r="855" spans="1:33" ht="16.5" customHeight="1">
      <c r="A855" s="44"/>
      <c r="B855" s="44"/>
      <c r="C855" s="44"/>
      <c r="D855" s="172"/>
      <c r="E855" s="44"/>
      <c r="F855" s="44"/>
      <c r="G855" s="44"/>
      <c r="H855" s="44"/>
      <c r="I855" s="53"/>
      <c r="J855" s="44"/>
      <c r="K855" s="44"/>
      <c r="L855" s="44"/>
      <c r="M855" s="44"/>
      <c r="N855" s="44"/>
      <c r="O855" s="44"/>
      <c r="P855" s="44"/>
      <c r="Q855" s="44"/>
      <c r="R855" s="44"/>
      <c r="S855" s="44"/>
      <c r="T855" s="44"/>
      <c r="U855" s="44"/>
      <c r="V855" s="44"/>
      <c r="W855" s="44"/>
      <c r="X855" s="44"/>
      <c r="Y855" s="44"/>
      <c r="Z855" s="44"/>
      <c r="AA855" s="44"/>
      <c r="AB855" s="44"/>
      <c r="AC855" s="44"/>
      <c r="AD855" s="44"/>
      <c r="AE855" s="44"/>
      <c r="AF855" s="44"/>
      <c r="AG855" s="44"/>
    </row>
    <row r="856" spans="1:33" ht="16.5" customHeight="1">
      <c r="A856" s="44"/>
      <c r="B856" s="44"/>
      <c r="C856" s="44"/>
      <c r="D856" s="172"/>
      <c r="E856" s="44"/>
      <c r="F856" s="44"/>
      <c r="G856" s="44"/>
      <c r="H856" s="44"/>
      <c r="I856" s="53"/>
      <c r="J856" s="44"/>
      <c r="K856" s="44"/>
      <c r="L856" s="44"/>
      <c r="M856" s="44"/>
      <c r="N856" s="44"/>
      <c r="O856" s="44"/>
      <c r="P856" s="44"/>
      <c r="Q856" s="44"/>
      <c r="R856" s="44"/>
      <c r="S856" s="44"/>
      <c r="T856" s="44"/>
      <c r="U856" s="44"/>
      <c r="V856" s="44"/>
      <c r="W856" s="44"/>
      <c r="X856" s="44"/>
      <c r="Y856" s="44"/>
      <c r="Z856" s="44"/>
      <c r="AA856" s="44"/>
      <c r="AB856" s="44"/>
      <c r="AC856" s="44"/>
      <c r="AD856" s="44"/>
      <c r="AE856" s="44"/>
      <c r="AF856" s="44"/>
      <c r="AG856" s="44"/>
    </row>
    <row r="857" spans="1:33" ht="16.5" customHeight="1">
      <c r="A857" s="44"/>
      <c r="B857" s="44"/>
      <c r="C857" s="44"/>
      <c r="D857" s="172"/>
      <c r="E857" s="44"/>
      <c r="F857" s="44"/>
      <c r="G857" s="44"/>
      <c r="H857" s="44"/>
      <c r="I857" s="53"/>
      <c r="J857" s="44"/>
      <c r="K857" s="44"/>
      <c r="L857" s="44"/>
      <c r="M857" s="44"/>
      <c r="N857" s="44"/>
      <c r="O857" s="44"/>
      <c r="P857" s="44"/>
      <c r="Q857" s="44"/>
      <c r="R857" s="44"/>
      <c r="S857" s="44"/>
      <c r="T857" s="44"/>
      <c r="U857" s="44"/>
      <c r="V857" s="44"/>
      <c r="W857" s="44"/>
      <c r="X857" s="44"/>
      <c r="Y857" s="44"/>
      <c r="Z857" s="44"/>
      <c r="AA857" s="44"/>
      <c r="AB857" s="44"/>
      <c r="AC857" s="44"/>
      <c r="AD857" s="44"/>
      <c r="AE857" s="44"/>
      <c r="AF857" s="44"/>
      <c r="AG857" s="44"/>
    </row>
    <row r="858" spans="1:33" ht="16.5" customHeight="1">
      <c r="A858" s="44"/>
      <c r="B858" s="44"/>
      <c r="C858" s="44"/>
      <c r="D858" s="172"/>
      <c r="E858" s="44"/>
      <c r="F858" s="44"/>
      <c r="G858" s="44"/>
      <c r="H858" s="44"/>
      <c r="I858" s="53"/>
      <c r="J858" s="44"/>
      <c r="K858" s="44"/>
      <c r="L858" s="44"/>
      <c r="M858" s="44"/>
      <c r="N858" s="44"/>
      <c r="O858" s="44"/>
      <c r="P858" s="44"/>
      <c r="Q858" s="44"/>
      <c r="R858" s="44"/>
      <c r="S858" s="44"/>
      <c r="T858" s="44"/>
      <c r="U858" s="44"/>
      <c r="V858" s="44"/>
      <c r="W858" s="44"/>
      <c r="X858" s="44"/>
      <c r="Y858" s="44"/>
      <c r="Z858" s="44"/>
      <c r="AA858" s="44"/>
      <c r="AB858" s="44"/>
      <c r="AC858" s="44"/>
      <c r="AD858" s="44"/>
      <c r="AE858" s="44"/>
      <c r="AF858" s="44"/>
      <c r="AG858" s="44"/>
    </row>
    <row r="859" spans="1:33" ht="16.5" customHeight="1">
      <c r="A859" s="44"/>
      <c r="B859" s="44"/>
      <c r="C859" s="44"/>
      <c r="D859" s="172"/>
      <c r="E859" s="44"/>
      <c r="F859" s="44"/>
      <c r="G859" s="44"/>
      <c r="H859" s="44"/>
      <c r="I859" s="53"/>
      <c r="J859" s="44"/>
      <c r="K859" s="44"/>
      <c r="L859" s="44"/>
      <c r="M859" s="44"/>
      <c r="N859" s="44"/>
      <c r="O859" s="44"/>
      <c r="P859" s="44"/>
      <c r="Q859" s="44"/>
      <c r="R859" s="44"/>
      <c r="S859" s="44"/>
      <c r="T859" s="44"/>
      <c r="U859" s="44"/>
      <c r="V859" s="44"/>
      <c r="W859" s="44"/>
      <c r="X859" s="44"/>
      <c r="Y859" s="44"/>
      <c r="Z859" s="44"/>
      <c r="AA859" s="44"/>
      <c r="AB859" s="44"/>
      <c r="AC859" s="44"/>
      <c r="AD859" s="44"/>
      <c r="AE859" s="44"/>
      <c r="AF859" s="44"/>
      <c r="AG859" s="44"/>
    </row>
    <row r="860" spans="1:33" ht="16.5" customHeight="1">
      <c r="A860" s="44"/>
      <c r="B860" s="44"/>
      <c r="C860" s="44"/>
      <c r="D860" s="172"/>
      <c r="E860" s="44"/>
      <c r="F860" s="44"/>
      <c r="G860" s="44"/>
      <c r="H860" s="44"/>
      <c r="I860" s="53"/>
      <c r="J860" s="44"/>
      <c r="K860" s="44"/>
      <c r="L860" s="44"/>
      <c r="M860" s="44"/>
      <c r="N860" s="44"/>
      <c r="O860" s="44"/>
      <c r="P860" s="44"/>
      <c r="Q860" s="44"/>
      <c r="R860" s="44"/>
      <c r="S860" s="44"/>
      <c r="T860" s="44"/>
      <c r="U860" s="44"/>
      <c r="V860" s="44"/>
      <c r="W860" s="44"/>
      <c r="X860" s="44"/>
      <c r="Y860" s="44"/>
      <c r="Z860" s="44"/>
      <c r="AA860" s="44"/>
      <c r="AB860" s="44"/>
      <c r="AC860" s="44"/>
      <c r="AD860" s="44"/>
      <c r="AE860" s="44"/>
      <c r="AF860" s="44"/>
      <c r="AG860" s="44"/>
    </row>
    <row r="861" spans="1:33" ht="16.5" customHeight="1">
      <c r="A861" s="44"/>
      <c r="B861" s="44"/>
      <c r="C861" s="44"/>
      <c r="D861" s="172"/>
      <c r="E861" s="44"/>
      <c r="F861" s="44"/>
      <c r="G861" s="44"/>
      <c r="H861" s="44"/>
      <c r="I861" s="53"/>
      <c r="J861" s="44"/>
      <c r="K861" s="44"/>
      <c r="L861" s="44"/>
      <c r="M861" s="44"/>
      <c r="N861" s="44"/>
      <c r="O861" s="44"/>
      <c r="P861" s="44"/>
      <c r="Q861" s="44"/>
      <c r="R861" s="44"/>
      <c r="S861" s="44"/>
      <c r="T861" s="44"/>
      <c r="U861" s="44"/>
      <c r="V861" s="44"/>
      <c r="W861" s="44"/>
      <c r="X861" s="44"/>
      <c r="Y861" s="44"/>
      <c r="Z861" s="44"/>
      <c r="AA861" s="44"/>
      <c r="AB861" s="44"/>
      <c r="AC861" s="44"/>
      <c r="AD861" s="44"/>
      <c r="AE861" s="44"/>
      <c r="AF861" s="44"/>
      <c r="AG861" s="44"/>
    </row>
    <row r="862" spans="1:33" ht="16.5" customHeight="1">
      <c r="A862" s="44"/>
      <c r="B862" s="44"/>
      <c r="C862" s="44"/>
      <c r="D862" s="172"/>
      <c r="E862" s="44"/>
      <c r="F862" s="44"/>
      <c r="G862" s="44"/>
      <c r="H862" s="44"/>
      <c r="I862" s="53"/>
      <c r="J862" s="44"/>
      <c r="K862" s="44"/>
      <c r="L862" s="44"/>
      <c r="M862" s="44"/>
      <c r="N862" s="44"/>
      <c r="O862" s="44"/>
      <c r="P862" s="44"/>
      <c r="Q862" s="44"/>
      <c r="R862" s="44"/>
      <c r="S862" s="44"/>
      <c r="T862" s="44"/>
      <c r="U862" s="44"/>
      <c r="V862" s="44"/>
      <c r="W862" s="44"/>
      <c r="X862" s="44"/>
      <c r="Y862" s="44"/>
      <c r="Z862" s="44"/>
      <c r="AA862" s="44"/>
      <c r="AB862" s="44"/>
      <c r="AC862" s="44"/>
      <c r="AD862" s="44"/>
      <c r="AE862" s="44"/>
      <c r="AF862" s="44"/>
      <c r="AG862" s="44"/>
    </row>
    <row r="863" spans="1:33" ht="16.5" customHeight="1">
      <c r="A863" s="44"/>
      <c r="B863" s="44"/>
      <c r="C863" s="44"/>
      <c r="D863" s="172"/>
      <c r="E863" s="44"/>
      <c r="F863" s="44"/>
      <c r="G863" s="44"/>
      <c r="H863" s="44"/>
      <c r="I863" s="53"/>
      <c r="J863" s="44"/>
      <c r="K863" s="44"/>
      <c r="L863" s="44"/>
      <c r="M863" s="44"/>
      <c r="N863" s="44"/>
      <c r="O863" s="44"/>
      <c r="P863" s="44"/>
      <c r="Q863" s="44"/>
      <c r="R863" s="44"/>
      <c r="S863" s="44"/>
      <c r="T863" s="44"/>
      <c r="U863" s="44"/>
      <c r="V863" s="44"/>
      <c r="W863" s="44"/>
      <c r="X863" s="44"/>
      <c r="Y863" s="44"/>
      <c r="Z863" s="44"/>
      <c r="AA863" s="44"/>
      <c r="AB863" s="44"/>
      <c r="AC863" s="44"/>
      <c r="AD863" s="44"/>
      <c r="AE863" s="44"/>
      <c r="AF863" s="44"/>
      <c r="AG863" s="44"/>
    </row>
    <row r="864" spans="1:33" ht="16.5" customHeight="1">
      <c r="A864" s="44"/>
      <c r="B864" s="44"/>
      <c r="C864" s="44"/>
      <c r="D864" s="172"/>
      <c r="E864" s="44"/>
      <c r="F864" s="44"/>
      <c r="G864" s="44"/>
      <c r="H864" s="44"/>
      <c r="I864" s="53"/>
      <c r="J864" s="44"/>
      <c r="K864" s="44"/>
      <c r="L864" s="44"/>
      <c r="M864" s="44"/>
      <c r="N864" s="44"/>
      <c r="O864" s="44"/>
      <c r="P864" s="44"/>
      <c r="Q864" s="44"/>
      <c r="R864" s="44"/>
      <c r="S864" s="44"/>
      <c r="T864" s="44"/>
      <c r="U864" s="44"/>
      <c r="V864" s="44"/>
      <c r="W864" s="44"/>
      <c r="X864" s="44"/>
      <c r="Y864" s="44"/>
      <c r="Z864" s="44"/>
      <c r="AA864" s="44"/>
      <c r="AB864" s="44"/>
      <c r="AC864" s="44"/>
      <c r="AD864" s="44"/>
      <c r="AE864" s="44"/>
      <c r="AF864" s="44"/>
      <c r="AG864" s="44"/>
    </row>
    <row r="865" spans="1:33" ht="16.5" customHeight="1">
      <c r="A865" s="44"/>
      <c r="B865" s="44"/>
      <c r="C865" s="44"/>
      <c r="D865" s="172"/>
      <c r="E865" s="44"/>
      <c r="F865" s="44"/>
      <c r="G865" s="44"/>
      <c r="H865" s="44"/>
      <c r="I865" s="53"/>
      <c r="J865" s="44"/>
      <c r="K865" s="44"/>
      <c r="L865" s="44"/>
      <c r="M865" s="44"/>
      <c r="N865" s="44"/>
      <c r="O865" s="44"/>
      <c r="P865" s="44"/>
      <c r="Q865" s="44"/>
      <c r="R865" s="44"/>
      <c r="S865" s="44"/>
      <c r="T865" s="44"/>
      <c r="U865" s="44"/>
      <c r="V865" s="44"/>
      <c r="W865" s="44"/>
      <c r="X865" s="44"/>
      <c r="Y865" s="44"/>
      <c r="Z865" s="44"/>
      <c r="AA865" s="44"/>
      <c r="AB865" s="44"/>
      <c r="AC865" s="44"/>
      <c r="AD865" s="44"/>
      <c r="AE865" s="44"/>
      <c r="AF865" s="44"/>
      <c r="AG865" s="44"/>
    </row>
    <row r="866" spans="1:33" ht="16.5" customHeight="1">
      <c r="A866" s="44"/>
      <c r="B866" s="44"/>
      <c r="C866" s="44"/>
      <c r="D866" s="172"/>
      <c r="E866" s="44"/>
      <c r="F866" s="44"/>
      <c r="G866" s="44"/>
      <c r="H866" s="44"/>
      <c r="I866" s="53"/>
      <c r="J866" s="44"/>
      <c r="K866" s="44"/>
      <c r="L866" s="44"/>
      <c r="M866" s="44"/>
      <c r="N866" s="44"/>
      <c r="O866" s="44"/>
      <c r="P866" s="44"/>
      <c r="Q866" s="44"/>
      <c r="R866" s="44"/>
      <c r="S866" s="44"/>
      <c r="T866" s="44"/>
      <c r="U866" s="44"/>
      <c r="V866" s="44"/>
      <c r="W866" s="44"/>
      <c r="X866" s="44"/>
      <c r="Y866" s="44"/>
      <c r="Z866" s="44"/>
      <c r="AA866" s="44"/>
      <c r="AB866" s="44"/>
      <c r="AC866" s="44"/>
      <c r="AD866" s="44"/>
      <c r="AE866" s="44"/>
      <c r="AF866" s="44"/>
      <c r="AG866" s="44"/>
    </row>
    <row r="867" spans="1:33" ht="16.5" customHeight="1">
      <c r="A867" s="44"/>
      <c r="B867" s="44"/>
      <c r="C867" s="44"/>
      <c r="D867" s="172"/>
      <c r="E867" s="44"/>
      <c r="F867" s="44"/>
      <c r="G867" s="44"/>
      <c r="H867" s="44"/>
      <c r="I867" s="53"/>
      <c r="J867" s="44"/>
      <c r="K867" s="44"/>
      <c r="L867" s="44"/>
      <c r="M867" s="44"/>
      <c r="N867" s="44"/>
      <c r="O867" s="44"/>
      <c r="P867" s="44"/>
      <c r="Q867" s="44"/>
      <c r="R867" s="44"/>
      <c r="S867" s="44"/>
      <c r="T867" s="44"/>
      <c r="U867" s="44"/>
      <c r="V867" s="44"/>
      <c r="W867" s="44"/>
      <c r="X867" s="44"/>
      <c r="Y867" s="44"/>
      <c r="Z867" s="44"/>
      <c r="AA867" s="44"/>
      <c r="AB867" s="44"/>
      <c r="AC867" s="44"/>
      <c r="AD867" s="44"/>
      <c r="AE867" s="44"/>
      <c r="AF867" s="44"/>
      <c r="AG867" s="44"/>
    </row>
    <row r="868" spans="1:33" ht="16.5" customHeight="1">
      <c r="A868" s="44"/>
      <c r="B868" s="44"/>
      <c r="C868" s="44"/>
      <c r="D868" s="172"/>
      <c r="E868" s="44"/>
      <c r="F868" s="44"/>
      <c r="G868" s="44"/>
      <c r="H868" s="44"/>
      <c r="I868" s="53"/>
      <c r="J868" s="44"/>
      <c r="K868" s="44"/>
      <c r="L868" s="44"/>
      <c r="M868" s="44"/>
      <c r="N868" s="44"/>
      <c r="O868" s="44"/>
      <c r="P868" s="44"/>
      <c r="Q868" s="44"/>
      <c r="R868" s="44"/>
      <c r="S868" s="44"/>
      <c r="T868" s="44"/>
      <c r="U868" s="44"/>
      <c r="V868" s="44"/>
      <c r="W868" s="44"/>
      <c r="X868" s="44"/>
      <c r="Y868" s="44"/>
      <c r="Z868" s="44"/>
      <c r="AA868" s="44"/>
      <c r="AB868" s="44"/>
      <c r="AC868" s="44"/>
      <c r="AD868" s="44"/>
      <c r="AE868" s="44"/>
      <c r="AF868" s="44"/>
      <c r="AG868" s="44"/>
    </row>
    <row r="869" spans="1:33" ht="16.5" customHeight="1">
      <c r="A869" s="44"/>
      <c r="B869" s="44"/>
      <c r="C869" s="44"/>
      <c r="D869" s="172"/>
      <c r="E869" s="44"/>
      <c r="F869" s="44"/>
      <c r="G869" s="44"/>
      <c r="H869" s="44"/>
      <c r="I869" s="53"/>
      <c r="J869" s="44"/>
      <c r="K869" s="44"/>
      <c r="L869" s="44"/>
      <c r="M869" s="44"/>
      <c r="N869" s="44"/>
      <c r="O869" s="44"/>
      <c r="P869" s="44"/>
      <c r="Q869" s="44"/>
      <c r="R869" s="44"/>
      <c r="S869" s="44"/>
      <c r="T869" s="44"/>
      <c r="U869" s="44"/>
      <c r="V869" s="44"/>
      <c r="W869" s="44"/>
      <c r="X869" s="44"/>
      <c r="Y869" s="44"/>
      <c r="Z869" s="44"/>
      <c r="AA869" s="44"/>
      <c r="AB869" s="44"/>
      <c r="AC869" s="44"/>
      <c r="AD869" s="44"/>
      <c r="AE869" s="44"/>
      <c r="AF869" s="44"/>
      <c r="AG869" s="44"/>
    </row>
    <row r="870" spans="1:33" ht="16.5" customHeight="1">
      <c r="A870" s="44"/>
      <c r="B870" s="44"/>
      <c r="C870" s="44"/>
      <c r="D870" s="172"/>
      <c r="E870" s="44"/>
      <c r="F870" s="44"/>
      <c r="G870" s="44"/>
      <c r="H870" s="44"/>
      <c r="I870" s="53"/>
      <c r="J870" s="44"/>
      <c r="K870" s="44"/>
      <c r="L870" s="44"/>
      <c r="M870" s="44"/>
      <c r="N870" s="44"/>
      <c r="O870" s="44"/>
      <c r="P870" s="44"/>
      <c r="Q870" s="44"/>
      <c r="R870" s="44"/>
      <c r="S870" s="44"/>
      <c r="T870" s="44"/>
      <c r="U870" s="44"/>
      <c r="V870" s="44"/>
      <c r="W870" s="44"/>
      <c r="X870" s="44"/>
      <c r="Y870" s="44"/>
      <c r="Z870" s="44"/>
      <c r="AA870" s="44"/>
      <c r="AB870" s="44"/>
      <c r="AC870" s="44"/>
      <c r="AD870" s="44"/>
      <c r="AE870" s="44"/>
      <c r="AF870" s="44"/>
      <c r="AG870" s="44"/>
    </row>
    <row r="871" spans="1:33" ht="16.5" customHeight="1">
      <c r="A871" s="44"/>
      <c r="B871" s="44"/>
      <c r="C871" s="44"/>
      <c r="D871" s="172"/>
      <c r="E871" s="44"/>
      <c r="F871" s="44"/>
      <c r="G871" s="44"/>
      <c r="H871" s="44"/>
      <c r="I871" s="53"/>
      <c r="J871" s="44"/>
      <c r="K871" s="44"/>
      <c r="L871" s="44"/>
      <c r="M871" s="44"/>
      <c r="N871" s="44"/>
      <c r="O871" s="44"/>
      <c r="P871" s="44"/>
      <c r="Q871" s="44"/>
      <c r="R871" s="44"/>
      <c r="S871" s="44"/>
      <c r="T871" s="44"/>
      <c r="U871" s="44"/>
      <c r="V871" s="44"/>
      <c r="W871" s="44"/>
      <c r="X871" s="44"/>
      <c r="Y871" s="44"/>
      <c r="Z871" s="44"/>
      <c r="AA871" s="44"/>
      <c r="AB871" s="44"/>
      <c r="AC871" s="44"/>
      <c r="AD871" s="44"/>
      <c r="AE871" s="44"/>
      <c r="AF871" s="44"/>
      <c r="AG871" s="44"/>
    </row>
    <row r="872" spans="1:33" ht="16.5" customHeight="1">
      <c r="A872" s="44"/>
      <c r="B872" s="44"/>
      <c r="C872" s="44"/>
      <c r="D872" s="172"/>
      <c r="E872" s="44"/>
      <c r="F872" s="44"/>
      <c r="G872" s="44"/>
      <c r="H872" s="44"/>
      <c r="I872" s="53"/>
      <c r="J872" s="44"/>
      <c r="K872" s="44"/>
      <c r="L872" s="44"/>
      <c r="M872" s="44"/>
      <c r="N872" s="44"/>
      <c r="O872" s="44"/>
      <c r="P872" s="44"/>
      <c r="Q872" s="44"/>
      <c r="R872" s="44"/>
      <c r="S872" s="44"/>
      <c r="T872" s="44"/>
      <c r="U872" s="44"/>
      <c r="V872" s="44"/>
      <c r="W872" s="44"/>
      <c r="X872" s="44"/>
      <c r="Y872" s="44"/>
      <c r="Z872" s="44"/>
      <c r="AA872" s="44"/>
      <c r="AB872" s="44"/>
      <c r="AC872" s="44"/>
      <c r="AD872" s="44"/>
      <c r="AE872" s="44"/>
      <c r="AF872" s="44"/>
      <c r="AG872" s="44"/>
    </row>
    <row r="873" spans="1:33" ht="16.5" customHeight="1">
      <c r="A873" s="44"/>
      <c r="B873" s="44"/>
      <c r="C873" s="44"/>
      <c r="D873" s="172"/>
      <c r="E873" s="44"/>
      <c r="F873" s="44"/>
      <c r="G873" s="44"/>
      <c r="H873" s="44"/>
      <c r="I873" s="53"/>
      <c r="J873" s="44"/>
      <c r="K873" s="44"/>
      <c r="L873" s="44"/>
      <c r="M873" s="44"/>
      <c r="N873" s="44"/>
      <c r="O873" s="44"/>
      <c r="P873" s="44"/>
      <c r="Q873" s="44"/>
      <c r="R873" s="44"/>
      <c r="S873" s="44"/>
      <c r="T873" s="44"/>
      <c r="U873" s="44"/>
      <c r="V873" s="44"/>
      <c r="W873" s="44"/>
      <c r="X873" s="44"/>
      <c r="Y873" s="44"/>
      <c r="Z873" s="44"/>
      <c r="AA873" s="44"/>
      <c r="AB873" s="44"/>
      <c r="AC873" s="44"/>
      <c r="AD873" s="44"/>
      <c r="AE873" s="44"/>
      <c r="AF873" s="44"/>
      <c r="AG873" s="44"/>
    </row>
    <row r="874" spans="1:33" ht="16.5" customHeight="1">
      <c r="A874" s="44"/>
      <c r="B874" s="44"/>
      <c r="C874" s="44"/>
      <c r="D874" s="172"/>
      <c r="E874" s="44"/>
      <c r="F874" s="44"/>
      <c r="G874" s="44"/>
      <c r="H874" s="44"/>
      <c r="I874" s="53"/>
      <c r="J874" s="44"/>
      <c r="K874" s="44"/>
      <c r="L874" s="44"/>
      <c r="M874" s="44"/>
      <c r="N874" s="44"/>
      <c r="O874" s="44"/>
      <c r="P874" s="44"/>
      <c r="Q874" s="44"/>
      <c r="R874" s="44"/>
      <c r="S874" s="44"/>
      <c r="T874" s="44"/>
      <c r="U874" s="44"/>
      <c r="V874" s="44"/>
      <c r="W874" s="44"/>
      <c r="X874" s="44"/>
      <c r="Y874" s="44"/>
      <c r="Z874" s="44"/>
      <c r="AA874" s="44"/>
      <c r="AB874" s="44"/>
      <c r="AC874" s="44"/>
      <c r="AD874" s="44"/>
      <c r="AE874" s="44"/>
      <c r="AF874" s="44"/>
      <c r="AG874" s="44"/>
    </row>
    <row r="875" spans="1:33" ht="16.5" customHeight="1">
      <c r="A875" s="44"/>
      <c r="B875" s="44"/>
      <c r="C875" s="44"/>
      <c r="D875" s="172"/>
      <c r="E875" s="44"/>
      <c r="F875" s="44"/>
      <c r="G875" s="44"/>
      <c r="H875" s="44"/>
      <c r="I875" s="53"/>
      <c r="J875" s="44"/>
      <c r="K875" s="44"/>
      <c r="L875" s="44"/>
      <c r="M875" s="44"/>
      <c r="N875" s="44"/>
      <c r="O875" s="44"/>
      <c r="P875" s="44"/>
      <c r="Q875" s="44"/>
      <c r="R875" s="44"/>
      <c r="S875" s="44"/>
      <c r="T875" s="44"/>
      <c r="U875" s="44"/>
      <c r="V875" s="44"/>
      <c r="W875" s="44"/>
      <c r="X875" s="44"/>
      <c r="Y875" s="44"/>
      <c r="Z875" s="44"/>
      <c r="AA875" s="44"/>
      <c r="AB875" s="44"/>
      <c r="AC875" s="44"/>
      <c r="AD875" s="44"/>
      <c r="AE875" s="44"/>
      <c r="AF875" s="44"/>
      <c r="AG875" s="44"/>
    </row>
    <row r="876" spans="1:33" ht="16.5" customHeight="1">
      <c r="A876" s="44"/>
      <c r="B876" s="44"/>
      <c r="C876" s="44"/>
      <c r="D876" s="172"/>
      <c r="E876" s="44"/>
      <c r="F876" s="44"/>
      <c r="G876" s="44"/>
      <c r="H876" s="44"/>
      <c r="I876" s="53"/>
      <c r="J876" s="44"/>
      <c r="K876" s="44"/>
      <c r="L876" s="44"/>
      <c r="M876" s="44"/>
      <c r="N876" s="44"/>
      <c r="O876" s="44"/>
      <c r="P876" s="44"/>
      <c r="Q876" s="44"/>
      <c r="R876" s="44"/>
      <c r="S876" s="44"/>
      <c r="T876" s="44"/>
      <c r="U876" s="44"/>
      <c r="V876" s="44"/>
      <c r="W876" s="44"/>
      <c r="X876" s="44"/>
      <c r="Y876" s="44"/>
      <c r="Z876" s="44"/>
      <c r="AA876" s="44"/>
      <c r="AB876" s="44"/>
      <c r="AC876" s="44"/>
      <c r="AD876" s="44"/>
      <c r="AE876" s="44"/>
      <c r="AF876" s="44"/>
      <c r="AG876" s="44"/>
    </row>
    <row r="877" spans="1:33" ht="16.5" customHeight="1">
      <c r="A877" s="44"/>
      <c r="B877" s="44"/>
      <c r="C877" s="44"/>
      <c r="D877" s="172"/>
      <c r="E877" s="44"/>
      <c r="F877" s="44"/>
      <c r="G877" s="44"/>
      <c r="H877" s="44"/>
      <c r="I877" s="53"/>
      <c r="J877" s="44"/>
      <c r="K877" s="44"/>
      <c r="L877" s="44"/>
      <c r="M877" s="44"/>
      <c r="N877" s="44"/>
      <c r="O877" s="44"/>
      <c r="P877" s="44"/>
      <c r="Q877" s="44"/>
      <c r="R877" s="44"/>
      <c r="S877" s="44"/>
      <c r="T877" s="44"/>
      <c r="U877" s="44"/>
      <c r="V877" s="44"/>
      <c r="W877" s="44"/>
      <c r="X877" s="44"/>
      <c r="Y877" s="44"/>
      <c r="Z877" s="44"/>
      <c r="AA877" s="44"/>
      <c r="AB877" s="44"/>
      <c r="AC877" s="44"/>
      <c r="AD877" s="44"/>
      <c r="AE877" s="44"/>
      <c r="AF877" s="44"/>
      <c r="AG877" s="44"/>
    </row>
    <row r="878" spans="1:33" ht="16.5" customHeight="1">
      <c r="A878" s="44"/>
      <c r="B878" s="44"/>
      <c r="C878" s="44"/>
      <c r="D878" s="172"/>
      <c r="E878" s="44"/>
      <c r="F878" s="44"/>
      <c r="G878" s="44"/>
      <c r="H878" s="44"/>
      <c r="I878" s="53"/>
      <c r="J878" s="44"/>
      <c r="K878" s="44"/>
      <c r="L878" s="44"/>
      <c r="M878" s="44"/>
      <c r="N878" s="44"/>
      <c r="O878" s="44"/>
      <c r="P878" s="44"/>
      <c r="Q878" s="44"/>
      <c r="R878" s="44"/>
      <c r="S878" s="44"/>
      <c r="T878" s="44"/>
      <c r="U878" s="44"/>
      <c r="V878" s="44"/>
      <c r="W878" s="44"/>
      <c r="X878" s="44"/>
      <c r="Y878" s="44"/>
      <c r="Z878" s="44"/>
      <c r="AA878" s="44"/>
      <c r="AB878" s="44"/>
      <c r="AC878" s="44"/>
      <c r="AD878" s="44"/>
      <c r="AE878" s="44"/>
      <c r="AF878" s="44"/>
      <c r="AG878" s="44"/>
    </row>
    <row r="879" spans="1:33" ht="16.5" customHeight="1">
      <c r="A879" s="44"/>
      <c r="B879" s="44"/>
      <c r="C879" s="44"/>
      <c r="D879" s="172"/>
      <c r="E879" s="44"/>
      <c r="F879" s="44"/>
      <c r="G879" s="44"/>
      <c r="H879" s="44"/>
      <c r="I879" s="53"/>
      <c r="J879" s="44"/>
      <c r="K879" s="44"/>
      <c r="L879" s="44"/>
      <c r="M879" s="44"/>
      <c r="N879" s="44"/>
      <c r="O879" s="44"/>
      <c r="P879" s="44"/>
      <c r="Q879" s="44"/>
      <c r="R879" s="44"/>
      <c r="S879" s="44"/>
      <c r="T879" s="44"/>
      <c r="U879" s="44"/>
      <c r="V879" s="44"/>
      <c r="W879" s="44"/>
      <c r="X879" s="44"/>
      <c r="Y879" s="44"/>
      <c r="Z879" s="44"/>
      <c r="AA879" s="44"/>
      <c r="AB879" s="44"/>
      <c r="AC879" s="44"/>
      <c r="AD879" s="44"/>
      <c r="AE879" s="44"/>
      <c r="AF879" s="44"/>
      <c r="AG879" s="44"/>
    </row>
    <row r="880" spans="1:33" ht="16.5" customHeight="1">
      <c r="A880" s="44"/>
      <c r="B880" s="44"/>
      <c r="C880" s="44"/>
      <c r="D880" s="172"/>
      <c r="E880" s="44"/>
      <c r="F880" s="44"/>
      <c r="G880" s="44"/>
      <c r="H880" s="44"/>
      <c r="I880" s="53"/>
      <c r="J880" s="44"/>
      <c r="K880" s="44"/>
      <c r="L880" s="44"/>
      <c r="M880" s="44"/>
      <c r="N880" s="44"/>
      <c r="O880" s="44"/>
      <c r="P880" s="44"/>
      <c r="Q880" s="44"/>
      <c r="R880" s="44"/>
      <c r="S880" s="44"/>
      <c r="T880" s="44"/>
      <c r="U880" s="44"/>
      <c r="V880" s="44"/>
      <c r="W880" s="44"/>
      <c r="X880" s="44"/>
      <c r="Y880" s="44"/>
      <c r="Z880" s="44"/>
      <c r="AA880" s="44"/>
      <c r="AB880" s="44"/>
      <c r="AC880" s="44"/>
      <c r="AD880" s="44"/>
      <c r="AE880" s="44"/>
      <c r="AF880" s="44"/>
      <c r="AG880" s="44"/>
    </row>
    <row r="881" spans="1:33" ht="16.5" customHeight="1">
      <c r="A881" s="44"/>
      <c r="B881" s="44"/>
      <c r="C881" s="44"/>
      <c r="D881" s="172"/>
      <c r="E881" s="44"/>
      <c r="F881" s="44"/>
      <c r="G881" s="44"/>
      <c r="H881" s="44"/>
      <c r="I881" s="53"/>
      <c r="J881" s="44"/>
      <c r="K881" s="44"/>
      <c r="L881" s="44"/>
      <c r="M881" s="44"/>
      <c r="N881" s="44"/>
      <c r="O881" s="44"/>
      <c r="P881" s="44"/>
      <c r="Q881" s="44"/>
      <c r="R881" s="44"/>
      <c r="S881" s="44"/>
      <c r="T881" s="44"/>
      <c r="U881" s="44"/>
      <c r="V881" s="44"/>
      <c r="W881" s="44"/>
      <c r="X881" s="44"/>
      <c r="Y881" s="44"/>
      <c r="Z881" s="44"/>
      <c r="AA881" s="44"/>
      <c r="AB881" s="44"/>
      <c r="AC881" s="44"/>
      <c r="AD881" s="44"/>
      <c r="AE881" s="44"/>
      <c r="AF881" s="44"/>
      <c r="AG881" s="44"/>
    </row>
    <row r="882" spans="1:33" ht="16.5" customHeight="1">
      <c r="A882" s="44"/>
      <c r="B882" s="44"/>
      <c r="C882" s="44"/>
      <c r="D882" s="172"/>
      <c r="E882" s="44"/>
      <c r="F882" s="44"/>
      <c r="G882" s="44"/>
      <c r="H882" s="44"/>
      <c r="I882" s="53"/>
      <c r="J882" s="44"/>
      <c r="K882" s="44"/>
      <c r="L882" s="44"/>
      <c r="M882" s="44"/>
      <c r="N882" s="44"/>
      <c r="O882" s="44"/>
      <c r="P882" s="44"/>
      <c r="Q882" s="44"/>
      <c r="R882" s="44"/>
      <c r="S882" s="44"/>
      <c r="T882" s="44"/>
      <c r="U882" s="44"/>
      <c r="V882" s="44"/>
      <c r="W882" s="44"/>
      <c r="X882" s="44"/>
      <c r="Y882" s="44"/>
      <c r="Z882" s="44"/>
      <c r="AA882" s="44"/>
      <c r="AB882" s="44"/>
      <c r="AC882" s="44"/>
      <c r="AD882" s="44"/>
      <c r="AE882" s="44"/>
      <c r="AF882" s="44"/>
      <c r="AG882" s="44"/>
    </row>
    <row r="883" spans="1:33" ht="16.5" customHeight="1">
      <c r="A883" s="44"/>
      <c r="B883" s="44"/>
      <c r="C883" s="44"/>
      <c r="D883" s="172"/>
      <c r="E883" s="44"/>
      <c r="F883" s="44"/>
      <c r="G883" s="44"/>
      <c r="H883" s="44"/>
      <c r="I883" s="53"/>
      <c r="J883" s="44"/>
      <c r="K883" s="44"/>
      <c r="L883" s="44"/>
      <c r="M883" s="44"/>
      <c r="N883" s="44"/>
      <c r="O883" s="44"/>
      <c r="P883" s="44"/>
      <c r="Q883" s="44"/>
      <c r="R883" s="44"/>
      <c r="S883" s="44"/>
      <c r="T883" s="44"/>
      <c r="U883" s="44"/>
      <c r="V883" s="44"/>
      <c r="W883" s="44"/>
      <c r="X883" s="44"/>
      <c r="Y883" s="44"/>
      <c r="Z883" s="44"/>
      <c r="AA883" s="44"/>
      <c r="AB883" s="44"/>
      <c r="AC883" s="44"/>
      <c r="AD883" s="44"/>
      <c r="AE883" s="44"/>
      <c r="AF883" s="44"/>
      <c r="AG883" s="44"/>
    </row>
    <row r="884" spans="1:33" ht="16.5" customHeight="1">
      <c r="A884" s="44"/>
      <c r="B884" s="44"/>
      <c r="C884" s="44"/>
      <c r="D884" s="172"/>
      <c r="E884" s="44"/>
      <c r="F884" s="44"/>
      <c r="G884" s="44"/>
      <c r="H884" s="44"/>
      <c r="I884" s="53"/>
      <c r="J884" s="44"/>
      <c r="K884" s="44"/>
      <c r="L884" s="44"/>
      <c r="M884" s="44"/>
      <c r="N884" s="44"/>
      <c r="O884" s="44"/>
      <c r="P884" s="44"/>
      <c r="Q884" s="44"/>
      <c r="R884" s="44"/>
      <c r="S884" s="44"/>
      <c r="T884" s="44"/>
      <c r="U884" s="44"/>
      <c r="V884" s="44"/>
      <c r="W884" s="44"/>
      <c r="X884" s="44"/>
      <c r="Y884" s="44"/>
      <c r="Z884" s="44"/>
      <c r="AA884" s="44"/>
      <c r="AB884" s="44"/>
      <c r="AC884" s="44"/>
      <c r="AD884" s="44"/>
      <c r="AE884" s="44"/>
      <c r="AF884" s="44"/>
      <c r="AG884" s="44"/>
    </row>
    <row r="885" spans="1:33" ht="16.5" customHeight="1">
      <c r="A885" s="44"/>
      <c r="B885" s="44"/>
      <c r="C885" s="44"/>
      <c r="D885" s="172"/>
      <c r="E885" s="44"/>
      <c r="F885" s="44"/>
      <c r="G885" s="44"/>
      <c r="H885" s="44"/>
      <c r="I885" s="53"/>
      <c r="J885" s="44"/>
      <c r="K885" s="44"/>
      <c r="L885" s="44"/>
      <c r="M885" s="44"/>
      <c r="N885" s="44"/>
      <c r="O885" s="44"/>
      <c r="P885" s="44"/>
      <c r="Q885" s="44"/>
      <c r="R885" s="44"/>
      <c r="S885" s="44"/>
      <c r="T885" s="44"/>
      <c r="U885" s="44"/>
      <c r="V885" s="44"/>
      <c r="W885" s="44"/>
      <c r="X885" s="44"/>
      <c r="Y885" s="44"/>
      <c r="Z885" s="44"/>
      <c r="AA885" s="44"/>
      <c r="AB885" s="44"/>
      <c r="AC885" s="44"/>
      <c r="AD885" s="44"/>
      <c r="AE885" s="44"/>
      <c r="AF885" s="44"/>
      <c r="AG885" s="44"/>
    </row>
    <row r="886" spans="1:33" ht="16.5" customHeight="1">
      <c r="A886" s="44"/>
      <c r="B886" s="44"/>
      <c r="C886" s="44"/>
      <c r="D886" s="172"/>
      <c r="E886" s="44"/>
      <c r="F886" s="44"/>
      <c r="G886" s="44"/>
      <c r="H886" s="44"/>
      <c r="I886" s="53"/>
      <c r="J886" s="44"/>
      <c r="K886" s="44"/>
      <c r="L886" s="44"/>
      <c r="M886" s="44"/>
      <c r="N886" s="44"/>
      <c r="O886" s="44"/>
      <c r="P886" s="44"/>
      <c r="Q886" s="44"/>
      <c r="R886" s="44"/>
      <c r="S886" s="44"/>
      <c r="T886" s="44"/>
      <c r="U886" s="44"/>
      <c r="V886" s="44"/>
      <c r="W886" s="44"/>
      <c r="X886" s="44"/>
      <c r="Y886" s="44"/>
      <c r="Z886" s="44"/>
      <c r="AA886" s="44"/>
      <c r="AB886" s="44"/>
      <c r="AC886" s="44"/>
      <c r="AD886" s="44"/>
      <c r="AE886" s="44"/>
      <c r="AF886" s="44"/>
      <c r="AG886" s="44"/>
    </row>
    <row r="887" spans="1:33" ht="16.5" customHeight="1">
      <c r="A887" s="44"/>
      <c r="B887" s="44"/>
      <c r="C887" s="44"/>
      <c r="D887" s="172"/>
      <c r="E887" s="44"/>
      <c r="F887" s="44"/>
      <c r="G887" s="44"/>
      <c r="H887" s="44"/>
      <c r="I887" s="53"/>
      <c r="J887" s="44"/>
      <c r="K887" s="44"/>
      <c r="L887" s="44"/>
      <c r="M887" s="44"/>
      <c r="N887" s="44"/>
      <c r="O887" s="44"/>
      <c r="P887" s="44"/>
      <c r="Q887" s="44"/>
      <c r="R887" s="44"/>
      <c r="S887" s="44"/>
      <c r="T887" s="44"/>
      <c r="U887" s="44"/>
      <c r="V887" s="44"/>
      <c r="W887" s="44"/>
      <c r="X887" s="44"/>
      <c r="Y887" s="44"/>
      <c r="Z887" s="44"/>
      <c r="AA887" s="44"/>
      <c r="AB887" s="44"/>
      <c r="AC887" s="44"/>
      <c r="AD887" s="44"/>
      <c r="AE887" s="44"/>
      <c r="AF887" s="44"/>
      <c r="AG887" s="44"/>
    </row>
    <row r="888" spans="1:33" ht="16.5" customHeight="1">
      <c r="A888" s="44"/>
      <c r="B888" s="44"/>
      <c r="C888" s="44"/>
      <c r="D888" s="172"/>
      <c r="E888" s="44"/>
      <c r="F888" s="44"/>
      <c r="G888" s="44"/>
      <c r="H888" s="44"/>
      <c r="I888" s="53"/>
      <c r="J888" s="44"/>
      <c r="K888" s="44"/>
      <c r="L888" s="44"/>
      <c r="M888" s="44"/>
      <c r="N888" s="44"/>
      <c r="O888" s="44"/>
      <c r="P888" s="44"/>
      <c r="Q888" s="44"/>
      <c r="R888" s="44"/>
      <c r="S888" s="44"/>
      <c r="T888" s="44"/>
      <c r="U888" s="44"/>
      <c r="V888" s="44"/>
      <c r="W888" s="44"/>
      <c r="X888" s="44"/>
      <c r="Y888" s="44"/>
      <c r="Z888" s="44"/>
      <c r="AA888" s="44"/>
      <c r="AB888" s="44"/>
      <c r="AC888" s="44"/>
      <c r="AD888" s="44"/>
      <c r="AE888" s="44"/>
      <c r="AF888" s="44"/>
      <c r="AG888" s="44"/>
    </row>
    <row r="889" spans="1:33" ht="16.5" customHeight="1">
      <c r="A889" s="44"/>
      <c r="B889" s="44"/>
      <c r="C889" s="44"/>
      <c r="D889" s="172"/>
      <c r="E889" s="44"/>
      <c r="F889" s="44"/>
      <c r="G889" s="44"/>
      <c r="H889" s="44"/>
      <c r="I889" s="53"/>
      <c r="J889" s="44"/>
      <c r="K889" s="44"/>
      <c r="L889" s="44"/>
      <c r="M889" s="44"/>
      <c r="N889" s="44"/>
      <c r="O889" s="44"/>
      <c r="P889" s="44"/>
      <c r="Q889" s="44"/>
      <c r="R889" s="44"/>
      <c r="S889" s="44"/>
      <c r="T889" s="44"/>
      <c r="U889" s="44"/>
      <c r="V889" s="44"/>
      <c r="W889" s="44"/>
      <c r="X889" s="44"/>
      <c r="Y889" s="44"/>
      <c r="Z889" s="44"/>
      <c r="AA889" s="44"/>
      <c r="AB889" s="44"/>
      <c r="AC889" s="44"/>
      <c r="AD889" s="44"/>
      <c r="AE889" s="44"/>
      <c r="AF889" s="44"/>
      <c r="AG889" s="44"/>
    </row>
    <row r="890" spans="1:33" ht="16.5" customHeight="1">
      <c r="A890" s="44"/>
      <c r="B890" s="44"/>
      <c r="C890" s="44"/>
      <c r="D890" s="172"/>
      <c r="E890" s="44"/>
      <c r="F890" s="44"/>
      <c r="G890" s="44"/>
      <c r="H890" s="44"/>
      <c r="I890" s="53"/>
      <c r="J890" s="44"/>
      <c r="K890" s="44"/>
      <c r="L890" s="44"/>
      <c r="M890" s="44"/>
      <c r="N890" s="44"/>
      <c r="O890" s="44"/>
      <c r="P890" s="44"/>
      <c r="Q890" s="44"/>
      <c r="R890" s="44"/>
      <c r="S890" s="44"/>
      <c r="T890" s="44"/>
      <c r="U890" s="44"/>
      <c r="V890" s="44"/>
      <c r="W890" s="44"/>
      <c r="X890" s="44"/>
      <c r="Y890" s="44"/>
      <c r="Z890" s="44"/>
      <c r="AA890" s="44"/>
      <c r="AB890" s="44"/>
      <c r="AC890" s="44"/>
      <c r="AD890" s="44"/>
      <c r="AE890" s="44"/>
      <c r="AF890" s="44"/>
      <c r="AG890" s="44"/>
    </row>
    <row r="891" spans="1:33" ht="16.5" customHeight="1">
      <c r="A891" s="44"/>
      <c r="B891" s="44"/>
      <c r="C891" s="44"/>
      <c r="D891" s="172"/>
      <c r="E891" s="44"/>
      <c r="F891" s="44"/>
      <c r="G891" s="44"/>
      <c r="H891" s="44"/>
      <c r="I891" s="53"/>
      <c r="J891" s="44"/>
      <c r="K891" s="44"/>
      <c r="L891" s="44"/>
      <c r="M891" s="44"/>
      <c r="N891" s="44"/>
      <c r="O891" s="44"/>
      <c r="P891" s="44"/>
      <c r="Q891" s="44"/>
      <c r="R891" s="44"/>
      <c r="S891" s="44"/>
      <c r="T891" s="44"/>
      <c r="U891" s="44"/>
      <c r="V891" s="44"/>
      <c r="W891" s="44"/>
      <c r="X891" s="44"/>
      <c r="Y891" s="44"/>
      <c r="Z891" s="44"/>
      <c r="AA891" s="44"/>
      <c r="AB891" s="44"/>
      <c r="AC891" s="44"/>
      <c r="AD891" s="44"/>
      <c r="AE891" s="44"/>
      <c r="AF891" s="44"/>
      <c r="AG891" s="44"/>
    </row>
    <row r="892" spans="1:33" ht="16.5" customHeight="1">
      <c r="A892" s="44"/>
      <c r="B892" s="44"/>
      <c r="C892" s="44"/>
      <c r="D892" s="172"/>
      <c r="E892" s="44"/>
      <c r="F892" s="44"/>
      <c r="G892" s="44"/>
      <c r="H892" s="44"/>
      <c r="I892" s="53"/>
      <c r="J892" s="44"/>
      <c r="K892" s="44"/>
      <c r="L892" s="44"/>
      <c r="M892" s="44"/>
      <c r="N892" s="44"/>
      <c r="O892" s="44"/>
      <c r="P892" s="44"/>
      <c r="Q892" s="44"/>
      <c r="R892" s="44"/>
      <c r="S892" s="44"/>
      <c r="T892" s="44"/>
      <c r="U892" s="44"/>
      <c r="V892" s="44"/>
      <c r="W892" s="44"/>
      <c r="X892" s="44"/>
      <c r="Y892" s="44"/>
      <c r="Z892" s="44"/>
      <c r="AA892" s="44"/>
      <c r="AB892" s="44"/>
      <c r="AC892" s="44"/>
      <c r="AD892" s="44"/>
      <c r="AE892" s="44"/>
      <c r="AF892" s="44"/>
      <c r="AG892" s="44"/>
    </row>
    <row r="893" spans="1:33" ht="16.5" customHeight="1">
      <c r="A893" s="44"/>
      <c r="B893" s="44"/>
      <c r="C893" s="44"/>
      <c r="D893" s="172"/>
      <c r="E893" s="44"/>
      <c r="F893" s="44"/>
      <c r="G893" s="44"/>
      <c r="H893" s="44"/>
      <c r="I893" s="53"/>
      <c r="J893" s="44"/>
      <c r="K893" s="44"/>
      <c r="L893" s="44"/>
      <c r="M893" s="44"/>
      <c r="N893" s="44"/>
      <c r="O893" s="44"/>
      <c r="P893" s="44"/>
      <c r="Q893" s="44"/>
      <c r="R893" s="44"/>
      <c r="S893" s="44"/>
      <c r="T893" s="44"/>
      <c r="U893" s="44"/>
      <c r="V893" s="44"/>
      <c r="W893" s="44"/>
      <c r="X893" s="44"/>
      <c r="Y893" s="44"/>
      <c r="Z893" s="44"/>
      <c r="AA893" s="44"/>
      <c r="AB893" s="44"/>
      <c r="AC893" s="44"/>
      <c r="AD893" s="44"/>
      <c r="AE893" s="44"/>
      <c r="AF893" s="44"/>
      <c r="AG893" s="44"/>
    </row>
    <row r="894" spans="1:33" ht="16.5" customHeight="1">
      <c r="A894" s="44"/>
      <c r="B894" s="44"/>
      <c r="C894" s="44"/>
      <c r="D894" s="172"/>
      <c r="E894" s="44"/>
      <c r="F894" s="44"/>
      <c r="G894" s="44"/>
      <c r="H894" s="44"/>
      <c r="I894" s="53"/>
      <c r="J894" s="44"/>
      <c r="K894" s="44"/>
      <c r="L894" s="44"/>
      <c r="M894" s="44"/>
      <c r="N894" s="44"/>
      <c r="O894" s="44"/>
      <c r="P894" s="44"/>
      <c r="Q894" s="44"/>
      <c r="R894" s="44"/>
      <c r="S894" s="44"/>
      <c r="T894" s="44"/>
      <c r="U894" s="44"/>
      <c r="V894" s="44"/>
      <c r="W894" s="44"/>
      <c r="X894" s="44"/>
      <c r="Y894" s="44"/>
      <c r="Z894" s="44"/>
      <c r="AA894" s="44"/>
      <c r="AB894" s="44"/>
      <c r="AC894" s="44"/>
      <c r="AD894" s="44"/>
      <c r="AE894" s="44"/>
      <c r="AF894" s="44"/>
      <c r="AG894" s="44"/>
    </row>
    <row r="895" spans="1:33" ht="16.5" customHeight="1">
      <c r="A895" s="44"/>
      <c r="B895" s="44"/>
      <c r="C895" s="44"/>
      <c r="D895" s="172"/>
      <c r="E895" s="44"/>
      <c r="F895" s="44"/>
      <c r="G895" s="44"/>
      <c r="H895" s="44"/>
      <c r="I895" s="53"/>
      <c r="J895" s="44"/>
      <c r="K895" s="44"/>
      <c r="L895" s="44"/>
      <c r="M895" s="44"/>
      <c r="N895" s="44"/>
      <c r="O895" s="44"/>
      <c r="P895" s="44"/>
      <c r="Q895" s="44"/>
      <c r="R895" s="44"/>
      <c r="S895" s="44"/>
      <c r="T895" s="44"/>
      <c r="U895" s="44"/>
      <c r="V895" s="44"/>
      <c r="W895" s="44"/>
      <c r="X895" s="44"/>
      <c r="Y895" s="44"/>
      <c r="Z895" s="44"/>
      <c r="AA895" s="44"/>
      <c r="AB895" s="44"/>
      <c r="AC895" s="44"/>
      <c r="AD895" s="44"/>
      <c r="AE895" s="44"/>
      <c r="AF895" s="44"/>
      <c r="AG895" s="44"/>
    </row>
    <row r="896" spans="1:33" ht="16.5" customHeight="1">
      <c r="A896" s="44"/>
      <c r="B896" s="44"/>
      <c r="C896" s="44"/>
      <c r="D896" s="172"/>
      <c r="E896" s="44"/>
      <c r="F896" s="44"/>
      <c r="G896" s="44"/>
      <c r="H896" s="44"/>
      <c r="I896" s="53"/>
      <c r="J896" s="44"/>
      <c r="K896" s="44"/>
      <c r="L896" s="44"/>
      <c r="M896" s="44"/>
      <c r="N896" s="44"/>
      <c r="O896" s="44"/>
      <c r="P896" s="44"/>
      <c r="Q896" s="44"/>
      <c r="R896" s="44"/>
      <c r="S896" s="44"/>
      <c r="T896" s="44"/>
      <c r="U896" s="44"/>
      <c r="V896" s="44"/>
      <c r="W896" s="44"/>
      <c r="X896" s="44"/>
      <c r="Y896" s="44"/>
      <c r="Z896" s="44"/>
      <c r="AA896" s="44"/>
      <c r="AB896" s="44"/>
      <c r="AC896" s="44"/>
      <c r="AD896" s="44"/>
      <c r="AE896" s="44"/>
      <c r="AF896" s="44"/>
      <c r="AG896" s="44"/>
    </row>
    <row r="897" spans="1:33" ht="16.5" customHeight="1">
      <c r="A897" s="44"/>
      <c r="B897" s="44"/>
      <c r="C897" s="44"/>
      <c r="D897" s="172"/>
      <c r="E897" s="44"/>
      <c r="F897" s="44"/>
      <c r="G897" s="44"/>
      <c r="H897" s="44"/>
      <c r="I897" s="53"/>
      <c r="J897" s="44"/>
      <c r="K897" s="44"/>
      <c r="L897" s="44"/>
      <c r="M897" s="44"/>
      <c r="N897" s="44"/>
      <c r="O897" s="44"/>
      <c r="P897" s="44"/>
      <c r="Q897" s="44"/>
      <c r="R897" s="44"/>
      <c r="S897" s="44"/>
      <c r="T897" s="44"/>
      <c r="U897" s="44"/>
      <c r="V897" s="44"/>
      <c r="W897" s="44"/>
      <c r="X897" s="44"/>
      <c r="Y897" s="44"/>
      <c r="Z897" s="44"/>
      <c r="AA897" s="44"/>
      <c r="AB897" s="44"/>
      <c r="AC897" s="44"/>
      <c r="AD897" s="44"/>
      <c r="AE897" s="44"/>
      <c r="AF897" s="44"/>
      <c r="AG897" s="44"/>
    </row>
    <row r="898" spans="1:33" ht="16.5" customHeight="1">
      <c r="A898" s="44"/>
      <c r="B898" s="44"/>
      <c r="C898" s="44"/>
      <c r="D898" s="172"/>
      <c r="E898" s="44"/>
      <c r="F898" s="44"/>
      <c r="G898" s="44"/>
      <c r="H898" s="44"/>
      <c r="I898" s="53"/>
      <c r="J898" s="44"/>
      <c r="K898" s="44"/>
      <c r="L898" s="44"/>
      <c r="M898" s="44"/>
      <c r="N898" s="44"/>
      <c r="O898" s="44"/>
      <c r="P898" s="44"/>
      <c r="Q898" s="44"/>
      <c r="R898" s="44"/>
      <c r="S898" s="44"/>
      <c r="T898" s="44"/>
      <c r="U898" s="44"/>
      <c r="V898" s="44"/>
      <c r="W898" s="44"/>
      <c r="X898" s="44"/>
      <c r="Y898" s="44"/>
      <c r="Z898" s="44"/>
      <c r="AA898" s="44"/>
      <c r="AB898" s="44"/>
      <c r="AC898" s="44"/>
      <c r="AD898" s="44"/>
      <c r="AE898" s="44"/>
      <c r="AF898" s="44"/>
      <c r="AG898" s="44"/>
    </row>
    <row r="899" spans="1:33" ht="16.5" customHeight="1">
      <c r="A899" s="44"/>
      <c r="B899" s="44"/>
      <c r="C899" s="44"/>
      <c r="D899" s="172"/>
      <c r="E899" s="44"/>
      <c r="F899" s="44"/>
      <c r="G899" s="44"/>
      <c r="H899" s="44"/>
      <c r="I899" s="53"/>
      <c r="J899" s="44"/>
      <c r="K899" s="44"/>
      <c r="L899" s="44"/>
      <c r="M899" s="44"/>
      <c r="N899" s="44"/>
      <c r="O899" s="44"/>
      <c r="P899" s="44"/>
      <c r="Q899" s="44"/>
      <c r="R899" s="44"/>
      <c r="S899" s="44"/>
      <c r="T899" s="44"/>
      <c r="U899" s="44"/>
      <c r="V899" s="44"/>
      <c r="W899" s="44"/>
      <c r="X899" s="44"/>
      <c r="Y899" s="44"/>
      <c r="Z899" s="44"/>
      <c r="AA899" s="44"/>
      <c r="AB899" s="44"/>
      <c r="AC899" s="44"/>
      <c r="AD899" s="44"/>
      <c r="AE899" s="44"/>
      <c r="AF899" s="44"/>
      <c r="AG899" s="44"/>
    </row>
    <row r="900" spans="1:33" ht="16.5" customHeight="1">
      <c r="A900" s="44"/>
      <c r="B900" s="44"/>
      <c r="C900" s="44"/>
      <c r="D900" s="172"/>
      <c r="E900" s="44"/>
      <c r="F900" s="44"/>
      <c r="G900" s="44"/>
      <c r="H900" s="44"/>
      <c r="I900" s="53"/>
      <c r="J900" s="44"/>
      <c r="K900" s="44"/>
      <c r="L900" s="44"/>
      <c r="M900" s="44"/>
      <c r="N900" s="44"/>
      <c r="O900" s="44"/>
      <c r="P900" s="44"/>
      <c r="Q900" s="44"/>
      <c r="R900" s="44"/>
      <c r="S900" s="44"/>
      <c r="T900" s="44"/>
      <c r="U900" s="44"/>
      <c r="V900" s="44"/>
      <c r="W900" s="44"/>
      <c r="X900" s="44"/>
      <c r="Y900" s="44"/>
      <c r="Z900" s="44"/>
      <c r="AA900" s="44"/>
      <c r="AB900" s="44"/>
      <c r="AC900" s="44"/>
      <c r="AD900" s="44"/>
      <c r="AE900" s="44"/>
      <c r="AF900" s="44"/>
      <c r="AG900" s="44"/>
    </row>
    <row r="901" spans="1:33" ht="16.5" customHeight="1">
      <c r="A901" s="44"/>
      <c r="B901" s="44"/>
      <c r="C901" s="44"/>
      <c r="D901" s="172"/>
      <c r="E901" s="44"/>
      <c r="F901" s="44"/>
      <c r="G901" s="44"/>
      <c r="H901" s="44"/>
      <c r="I901" s="53"/>
      <c r="J901" s="44"/>
      <c r="K901" s="44"/>
      <c r="L901" s="44"/>
      <c r="M901" s="44"/>
      <c r="N901" s="44"/>
      <c r="O901" s="44"/>
      <c r="P901" s="44"/>
      <c r="Q901" s="44"/>
      <c r="R901" s="44"/>
      <c r="S901" s="44"/>
      <c r="T901" s="44"/>
      <c r="U901" s="44"/>
      <c r="V901" s="44"/>
      <c r="W901" s="44"/>
      <c r="X901" s="44"/>
      <c r="Y901" s="44"/>
      <c r="Z901" s="44"/>
      <c r="AA901" s="44"/>
      <c r="AB901" s="44"/>
      <c r="AC901" s="44"/>
      <c r="AD901" s="44"/>
      <c r="AE901" s="44"/>
      <c r="AF901" s="44"/>
      <c r="AG901" s="44"/>
    </row>
    <row r="902" spans="1:33" ht="16.5" customHeight="1">
      <c r="A902" s="44"/>
      <c r="B902" s="44"/>
      <c r="C902" s="44"/>
      <c r="D902" s="172"/>
      <c r="E902" s="44"/>
      <c r="F902" s="44"/>
      <c r="G902" s="44"/>
      <c r="H902" s="44"/>
      <c r="I902" s="53"/>
      <c r="J902" s="44"/>
      <c r="K902" s="44"/>
      <c r="L902" s="44"/>
      <c r="M902" s="44"/>
      <c r="N902" s="44"/>
      <c r="O902" s="44"/>
      <c r="P902" s="44"/>
      <c r="Q902" s="44"/>
      <c r="R902" s="44"/>
      <c r="S902" s="44"/>
      <c r="T902" s="44"/>
      <c r="U902" s="44"/>
      <c r="V902" s="44"/>
      <c r="W902" s="44"/>
      <c r="X902" s="44"/>
      <c r="Y902" s="44"/>
      <c r="Z902" s="44"/>
      <c r="AA902" s="44"/>
      <c r="AB902" s="44"/>
      <c r="AC902" s="44"/>
      <c r="AD902" s="44"/>
      <c r="AE902" s="44"/>
      <c r="AF902" s="44"/>
      <c r="AG902" s="44"/>
    </row>
    <row r="903" spans="1:33" ht="16.5" customHeight="1">
      <c r="A903" s="44"/>
      <c r="B903" s="44"/>
      <c r="C903" s="44"/>
      <c r="D903" s="172"/>
      <c r="E903" s="44"/>
      <c r="F903" s="44"/>
      <c r="G903" s="44"/>
      <c r="H903" s="44"/>
      <c r="I903" s="53"/>
      <c r="J903" s="44"/>
      <c r="K903" s="44"/>
      <c r="L903" s="44"/>
      <c r="M903" s="44"/>
      <c r="N903" s="44"/>
      <c r="O903" s="44"/>
      <c r="P903" s="44"/>
      <c r="Q903" s="44"/>
      <c r="R903" s="44"/>
      <c r="S903" s="44"/>
      <c r="T903" s="44"/>
      <c r="U903" s="44"/>
      <c r="V903" s="44"/>
      <c r="W903" s="44"/>
      <c r="X903" s="44"/>
      <c r="Y903" s="44"/>
      <c r="Z903" s="44"/>
      <c r="AA903" s="44"/>
      <c r="AB903" s="44"/>
      <c r="AC903" s="44"/>
      <c r="AD903" s="44"/>
      <c r="AE903" s="44"/>
      <c r="AF903" s="44"/>
      <c r="AG903" s="44"/>
    </row>
    <row r="904" spans="1:33" ht="16.5" customHeight="1">
      <c r="A904" s="44"/>
      <c r="B904" s="44"/>
      <c r="C904" s="44"/>
      <c r="D904" s="172"/>
      <c r="E904" s="44"/>
      <c r="F904" s="44"/>
      <c r="G904" s="44"/>
      <c r="H904" s="44"/>
      <c r="I904" s="53"/>
      <c r="J904" s="44"/>
      <c r="K904" s="44"/>
      <c r="L904" s="44"/>
      <c r="M904" s="44"/>
      <c r="N904" s="44"/>
      <c r="O904" s="44"/>
      <c r="P904" s="44"/>
      <c r="Q904" s="44"/>
      <c r="R904" s="44"/>
      <c r="S904" s="44"/>
      <c r="T904" s="44"/>
      <c r="U904" s="44"/>
      <c r="V904" s="44"/>
      <c r="W904" s="44"/>
      <c r="X904" s="44"/>
      <c r="Y904" s="44"/>
      <c r="Z904" s="44"/>
      <c r="AA904" s="44"/>
      <c r="AB904" s="44"/>
      <c r="AC904" s="44"/>
      <c r="AD904" s="44"/>
      <c r="AE904" s="44"/>
      <c r="AF904" s="44"/>
      <c r="AG904" s="44"/>
    </row>
    <row r="905" spans="1:33" ht="16.5" customHeight="1">
      <c r="A905" s="44"/>
      <c r="B905" s="44"/>
      <c r="C905" s="44"/>
      <c r="D905" s="172"/>
      <c r="E905" s="44"/>
      <c r="F905" s="44"/>
      <c r="G905" s="44"/>
      <c r="H905" s="44"/>
      <c r="I905" s="53"/>
      <c r="J905" s="44"/>
      <c r="K905" s="44"/>
      <c r="L905" s="44"/>
      <c r="M905" s="44"/>
      <c r="N905" s="44"/>
      <c r="O905" s="44"/>
      <c r="P905" s="44"/>
      <c r="Q905" s="44"/>
      <c r="R905" s="44"/>
      <c r="S905" s="44"/>
      <c r="T905" s="44"/>
      <c r="U905" s="44"/>
      <c r="V905" s="44"/>
      <c r="W905" s="44"/>
      <c r="X905" s="44"/>
      <c r="Y905" s="44"/>
      <c r="Z905" s="44"/>
      <c r="AA905" s="44"/>
      <c r="AB905" s="44"/>
      <c r="AC905" s="44"/>
      <c r="AD905" s="44"/>
      <c r="AE905" s="44"/>
      <c r="AF905" s="44"/>
      <c r="AG905" s="44"/>
    </row>
    <row r="906" spans="1:33" ht="16.5" customHeight="1">
      <c r="A906" s="44"/>
      <c r="B906" s="44"/>
      <c r="C906" s="44"/>
      <c r="D906" s="172"/>
      <c r="E906" s="44"/>
      <c r="F906" s="44"/>
      <c r="G906" s="44"/>
      <c r="H906" s="44"/>
      <c r="I906" s="53"/>
      <c r="J906" s="44"/>
      <c r="K906" s="44"/>
      <c r="L906" s="44"/>
      <c r="M906" s="44"/>
      <c r="N906" s="44"/>
      <c r="O906" s="44"/>
      <c r="P906" s="44"/>
      <c r="Q906" s="44"/>
      <c r="R906" s="44"/>
      <c r="S906" s="44"/>
      <c r="T906" s="44"/>
      <c r="U906" s="44"/>
      <c r="V906" s="44"/>
      <c r="W906" s="44"/>
      <c r="X906" s="44"/>
      <c r="Y906" s="44"/>
      <c r="Z906" s="44"/>
      <c r="AA906" s="44"/>
      <c r="AB906" s="44"/>
      <c r="AC906" s="44"/>
      <c r="AD906" s="44"/>
      <c r="AE906" s="44"/>
      <c r="AF906" s="44"/>
      <c r="AG906" s="44"/>
    </row>
    <row r="907" spans="1:33" ht="16.5" customHeight="1">
      <c r="A907" s="44"/>
      <c r="B907" s="44"/>
      <c r="C907" s="44"/>
      <c r="D907" s="172"/>
      <c r="E907" s="44"/>
      <c r="F907" s="44"/>
      <c r="G907" s="44"/>
      <c r="H907" s="44"/>
      <c r="I907" s="53"/>
      <c r="J907" s="44"/>
      <c r="K907" s="44"/>
      <c r="L907" s="44"/>
      <c r="M907" s="44"/>
      <c r="N907" s="44"/>
      <c r="O907" s="44"/>
      <c r="P907" s="44"/>
      <c r="Q907" s="44"/>
      <c r="R907" s="44"/>
      <c r="S907" s="44"/>
      <c r="T907" s="44"/>
      <c r="U907" s="44"/>
      <c r="V907" s="44"/>
      <c r="W907" s="44"/>
      <c r="X907" s="44"/>
      <c r="Y907" s="44"/>
      <c r="Z907" s="44"/>
      <c r="AA907" s="44"/>
      <c r="AB907" s="44"/>
      <c r="AC907" s="44"/>
      <c r="AD907" s="44"/>
      <c r="AE907" s="44"/>
      <c r="AF907" s="44"/>
      <c r="AG907" s="44"/>
    </row>
    <row r="908" spans="1:33" ht="16.5" customHeight="1">
      <c r="A908" s="44"/>
      <c r="B908" s="44"/>
      <c r="C908" s="44"/>
      <c r="D908" s="172"/>
      <c r="E908" s="44"/>
      <c r="F908" s="44"/>
      <c r="G908" s="44"/>
      <c r="H908" s="44"/>
      <c r="I908" s="53"/>
      <c r="J908" s="44"/>
      <c r="K908" s="44"/>
      <c r="L908" s="44"/>
      <c r="M908" s="44"/>
      <c r="N908" s="44"/>
      <c r="O908" s="44"/>
      <c r="P908" s="44"/>
      <c r="Q908" s="44"/>
      <c r="R908" s="44"/>
      <c r="S908" s="44"/>
      <c r="T908" s="44"/>
      <c r="U908" s="44"/>
      <c r="V908" s="44"/>
      <c r="W908" s="44"/>
      <c r="X908" s="44"/>
      <c r="Y908" s="44"/>
      <c r="Z908" s="44"/>
      <c r="AA908" s="44"/>
      <c r="AB908" s="44"/>
      <c r="AC908" s="44"/>
      <c r="AD908" s="44"/>
      <c r="AE908" s="44"/>
      <c r="AF908" s="44"/>
      <c r="AG908" s="44"/>
    </row>
    <row r="909" spans="1:33" ht="16.5" customHeight="1">
      <c r="A909" s="44"/>
      <c r="B909" s="44"/>
      <c r="C909" s="44"/>
      <c r="D909" s="172"/>
      <c r="E909" s="44"/>
      <c r="F909" s="44"/>
      <c r="G909" s="44"/>
      <c r="H909" s="44"/>
      <c r="I909" s="53"/>
      <c r="J909" s="44"/>
      <c r="K909" s="44"/>
      <c r="L909" s="44"/>
      <c r="M909" s="44"/>
      <c r="N909" s="44"/>
      <c r="O909" s="44"/>
      <c r="P909" s="44"/>
      <c r="Q909" s="44"/>
      <c r="R909" s="44"/>
      <c r="S909" s="44"/>
      <c r="T909" s="44"/>
      <c r="U909" s="44"/>
      <c r="V909" s="44"/>
      <c r="W909" s="44"/>
      <c r="X909" s="44"/>
      <c r="Y909" s="44"/>
      <c r="Z909" s="44"/>
      <c r="AA909" s="44"/>
      <c r="AB909" s="44"/>
      <c r="AC909" s="44"/>
      <c r="AD909" s="44"/>
      <c r="AE909" s="44"/>
      <c r="AF909" s="44"/>
      <c r="AG909" s="44"/>
    </row>
    <row r="910" spans="1:33" ht="16.5" customHeight="1">
      <c r="A910" s="44"/>
      <c r="B910" s="44"/>
      <c r="C910" s="44"/>
      <c r="D910" s="172"/>
      <c r="E910" s="44"/>
      <c r="F910" s="44"/>
      <c r="G910" s="44"/>
      <c r="H910" s="44"/>
      <c r="I910" s="53"/>
      <c r="J910" s="44"/>
      <c r="K910" s="44"/>
      <c r="L910" s="44"/>
      <c r="M910" s="44"/>
      <c r="N910" s="44"/>
      <c r="O910" s="44"/>
      <c r="P910" s="44"/>
      <c r="Q910" s="44"/>
      <c r="R910" s="44"/>
      <c r="S910" s="44"/>
      <c r="T910" s="44"/>
      <c r="U910" s="44"/>
      <c r="V910" s="44"/>
      <c r="W910" s="44"/>
      <c r="X910" s="44"/>
      <c r="Y910" s="44"/>
      <c r="Z910" s="44"/>
      <c r="AA910" s="44"/>
      <c r="AB910" s="44"/>
      <c r="AC910" s="44"/>
      <c r="AD910" s="44"/>
      <c r="AE910" s="44"/>
      <c r="AF910" s="44"/>
      <c r="AG910" s="44"/>
    </row>
    <row r="911" spans="1:33" ht="16.5" customHeight="1">
      <c r="A911" s="44"/>
      <c r="B911" s="44"/>
      <c r="C911" s="44"/>
      <c r="D911" s="172"/>
      <c r="E911" s="44"/>
      <c r="F911" s="44"/>
      <c r="G911" s="44"/>
      <c r="H911" s="44"/>
      <c r="I911" s="53"/>
      <c r="J911" s="44"/>
      <c r="K911" s="44"/>
      <c r="L911" s="44"/>
      <c r="M911" s="44"/>
      <c r="N911" s="44"/>
      <c r="O911" s="44"/>
      <c r="P911" s="44"/>
      <c r="Q911" s="44"/>
      <c r="R911" s="44"/>
      <c r="S911" s="44"/>
      <c r="T911" s="44"/>
      <c r="U911" s="44"/>
      <c r="V911" s="44"/>
      <c r="W911" s="44"/>
      <c r="X911" s="44"/>
      <c r="Y911" s="44"/>
      <c r="Z911" s="44"/>
      <c r="AA911" s="44"/>
      <c r="AB911" s="44"/>
      <c r="AC911" s="44"/>
      <c r="AD911" s="44"/>
      <c r="AE911" s="44"/>
      <c r="AF911" s="44"/>
      <c r="AG911" s="44"/>
    </row>
    <row r="912" spans="1:33" ht="16.5" customHeight="1">
      <c r="A912" s="44"/>
      <c r="B912" s="44"/>
      <c r="C912" s="44"/>
      <c r="D912" s="172"/>
      <c r="E912" s="44"/>
      <c r="F912" s="44"/>
      <c r="G912" s="44"/>
      <c r="H912" s="44"/>
      <c r="I912" s="53"/>
      <c r="J912" s="44"/>
      <c r="K912" s="44"/>
      <c r="L912" s="44"/>
      <c r="M912" s="44"/>
      <c r="N912" s="44"/>
      <c r="O912" s="44"/>
      <c r="P912" s="44"/>
      <c r="Q912" s="44"/>
      <c r="R912" s="44"/>
      <c r="S912" s="44"/>
      <c r="T912" s="44"/>
      <c r="U912" s="44"/>
      <c r="V912" s="44"/>
      <c r="W912" s="44"/>
      <c r="X912" s="44"/>
      <c r="Y912" s="44"/>
      <c r="Z912" s="44"/>
      <c r="AA912" s="44"/>
      <c r="AB912" s="44"/>
      <c r="AC912" s="44"/>
      <c r="AD912" s="44"/>
      <c r="AE912" s="44"/>
      <c r="AF912" s="44"/>
      <c r="AG912" s="44"/>
    </row>
    <row r="913" spans="1:33" ht="16.5" customHeight="1">
      <c r="A913" s="44"/>
      <c r="B913" s="44"/>
      <c r="C913" s="44"/>
      <c r="D913" s="172"/>
      <c r="E913" s="44"/>
      <c r="F913" s="44"/>
      <c r="G913" s="44"/>
      <c r="H913" s="44"/>
      <c r="I913" s="53"/>
      <c r="J913" s="44"/>
      <c r="K913" s="44"/>
      <c r="L913" s="44"/>
      <c r="M913" s="44"/>
      <c r="N913" s="44"/>
      <c r="O913" s="44"/>
      <c r="P913" s="44"/>
      <c r="Q913" s="44"/>
      <c r="R913" s="44"/>
      <c r="S913" s="44"/>
      <c r="T913" s="44"/>
      <c r="U913" s="44"/>
      <c r="V913" s="44"/>
      <c r="W913" s="44"/>
      <c r="X913" s="44"/>
      <c r="Y913" s="44"/>
      <c r="Z913" s="44"/>
      <c r="AA913" s="44"/>
      <c r="AB913" s="44"/>
      <c r="AC913" s="44"/>
      <c r="AD913" s="44"/>
      <c r="AE913" s="44"/>
      <c r="AF913" s="44"/>
      <c r="AG913" s="44"/>
    </row>
    <row r="914" spans="1:33" ht="16.5" customHeight="1">
      <c r="A914" s="44"/>
      <c r="B914" s="44"/>
      <c r="C914" s="44"/>
      <c r="D914" s="172"/>
      <c r="E914" s="44"/>
      <c r="F914" s="44"/>
      <c r="G914" s="44"/>
      <c r="H914" s="44"/>
      <c r="I914" s="53"/>
      <c r="J914" s="44"/>
      <c r="K914" s="44"/>
      <c r="L914" s="44"/>
      <c r="M914" s="44"/>
      <c r="N914" s="44"/>
      <c r="O914" s="44"/>
      <c r="P914" s="44"/>
      <c r="Q914" s="44"/>
      <c r="R914" s="44"/>
      <c r="S914" s="44"/>
      <c r="T914" s="44"/>
      <c r="U914" s="44"/>
      <c r="V914" s="44"/>
      <c r="W914" s="44"/>
      <c r="X914" s="44"/>
      <c r="Y914" s="44"/>
      <c r="Z914" s="44"/>
      <c r="AA914" s="44"/>
      <c r="AB914" s="44"/>
      <c r="AC914" s="44"/>
      <c r="AD914" s="44"/>
      <c r="AE914" s="44"/>
      <c r="AF914" s="44"/>
      <c r="AG914" s="44"/>
    </row>
    <row r="915" spans="1:33" ht="16.5" customHeight="1">
      <c r="A915" s="44"/>
      <c r="B915" s="44"/>
      <c r="C915" s="44"/>
      <c r="D915" s="172"/>
      <c r="E915" s="44"/>
      <c r="F915" s="44"/>
      <c r="G915" s="44"/>
      <c r="H915" s="44"/>
      <c r="I915" s="53"/>
      <c r="J915" s="44"/>
      <c r="K915" s="44"/>
      <c r="L915" s="44"/>
      <c r="M915" s="44"/>
      <c r="N915" s="44"/>
      <c r="O915" s="44"/>
      <c r="P915" s="44"/>
      <c r="Q915" s="44"/>
      <c r="R915" s="44"/>
      <c r="S915" s="44"/>
      <c r="T915" s="44"/>
      <c r="U915" s="44"/>
      <c r="V915" s="44"/>
      <c r="W915" s="44"/>
      <c r="X915" s="44"/>
      <c r="Y915" s="44"/>
      <c r="Z915" s="44"/>
      <c r="AA915" s="44"/>
      <c r="AB915" s="44"/>
      <c r="AC915" s="44"/>
      <c r="AD915" s="44"/>
      <c r="AE915" s="44"/>
      <c r="AF915" s="44"/>
      <c r="AG915" s="44"/>
    </row>
    <row r="916" spans="1:33" ht="16.5" customHeight="1">
      <c r="A916" s="44"/>
      <c r="B916" s="44"/>
      <c r="C916" s="44"/>
      <c r="D916" s="172"/>
      <c r="E916" s="44"/>
      <c r="F916" s="44"/>
      <c r="G916" s="44"/>
      <c r="H916" s="44"/>
      <c r="I916" s="53"/>
      <c r="J916" s="44"/>
      <c r="K916" s="44"/>
      <c r="L916" s="44"/>
      <c r="M916" s="44"/>
      <c r="N916" s="44"/>
      <c r="O916" s="44"/>
      <c r="P916" s="44"/>
      <c r="Q916" s="44"/>
      <c r="R916" s="44"/>
      <c r="S916" s="44"/>
      <c r="T916" s="44"/>
      <c r="U916" s="44"/>
      <c r="V916" s="44"/>
      <c r="W916" s="44"/>
      <c r="X916" s="44"/>
      <c r="Y916" s="44"/>
      <c r="Z916" s="44"/>
      <c r="AA916" s="44"/>
      <c r="AB916" s="44"/>
      <c r="AC916" s="44"/>
      <c r="AD916" s="44"/>
      <c r="AE916" s="44"/>
      <c r="AF916" s="44"/>
      <c r="AG916" s="44"/>
    </row>
    <row r="917" spans="1:33" ht="16.5" customHeight="1">
      <c r="A917" s="44"/>
      <c r="B917" s="44"/>
      <c r="C917" s="44"/>
      <c r="D917" s="172"/>
      <c r="E917" s="44"/>
      <c r="F917" s="44"/>
      <c r="G917" s="44"/>
      <c r="H917" s="44"/>
      <c r="I917" s="53"/>
      <c r="J917" s="44"/>
      <c r="K917" s="44"/>
      <c r="L917" s="44"/>
      <c r="M917" s="44"/>
      <c r="N917" s="44"/>
      <c r="O917" s="44"/>
      <c r="P917" s="44"/>
      <c r="Q917" s="44"/>
      <c r="R917" s="44"/>
      <c r="S917" s="44"/>
      <c r="T917" s="44"/>
      <c r="U917" s="44"/>
      <c r="V917" s="44"/>
      <c r="W917" s="44"/>
      <c r="X917" s="44"/>
      <c r="Y917" s="44"/>
      <c r="Z917" s="44"/>
      <c r="AA917" s="44"/>
      <c r="AB917" s="44"/>
      <c r="AC917" s="44"/>
      <c r="AD917" s="44"/>
      <c r="AE917" s="44"/>
      <c r="AF917" s="44"/>
      <c r="AG917" s="44"/>
    </row>
    <row r="918" spans="1:33" ht="16.5" customHeight="1">
      <c r="A918" s="44"/>
      <c r="B918" s="44"/>
      <c r="C918" s="44"/>
      <c r="D918" s="172"/>
      <c r="E918" s="44"/>
      <c r="F918" s="44"/>
      <c r="G918" s="44"/>
      <c r="H918" s="44"/>
      <c r="I918" s="53"/>
      <c r="J918" s="44"/>
      <c r="K918" s="44"/>
      <c r="L918" s="44"/>
      <c r="M918" s="44"/>
      <c r="N918" s="44"/>
      <c r="O918" s="44"/>
      <c r="P918" s="44"/>
      <c r="Q918" s="44"/>
      <c r="R918" s="44"/>
      <c r="S918" s="44"/>
      <c r="T918" s="44"/>
      <c r="U918" s="44"/>
      <c r="V918" s="44"/>
      <c r="W918" s="44"/>
      <c r="X918" s="44"/>
      <c r="Y918" s="44"/>
      <c r="Z918" s="44"/>
      <c r="AA918" s="44"/>
      <c r="AB918" s="44"/>
      <c r="AC918" s="44"/>
      <c r="AD918" s="44"/>
      <c r="AE918" s="44"/>
      <c r="AF918" s="44"/>
      <c r="AG918" s="44"/>
    </row>
    <row r="919" spans="1:33" ht="16.5" customHeight="1">
      <c r="A919" s="44"/>
      <c r="B919" s="44"/>
      <c r="C919" s="44"/>
      <c r="D919" s="172"/>
      <c r="E919" s="44"/>
      <c r="F919" s="44"/>
      <c r="G919" s="44"/>
      <c r="H919" s="44"/>
      <c r="I919" s="53"/>
      <c r="J919" s="44"/>
      <c r="K919" s="44"/>
      <c r="L919" s="44"/>
      <c r="M919" s="44"/>
      <c r="N919" s="44"/>
      <c r="O919" s="44"/>
      <c r="P919" s="44"/>
      <c r="Q919" s="44"/>
      <c r="R919" s="44"/>
      <c r="S919" s="44"/>
      <c r="T919" s="44"/>
      <c r="U919" s="44"/>
      <c r="V919" s="44"/>
      <c r="W919" s="44"/>
      <c r="X919" s="44"/>
      <c r="Y919" s="44"/>
      <c r="Z919" s="44"/>
      <c r="AA919" s="44"/>
      <c r="AB919" s="44"/>
      <c r="AC919" s="44"/>
      <c r="AD919" s="44"/>
      <c r="AE919" s="44"/>
      <c r="AF919" s="44"/>
      <c r="AG919" s="44"/>
    </row>
    <row r="920" spans="1:33" ht="16.5" customHeight="1">
      <c r="A920" s="44"/>
      <c r="B920" s="44"/>
      <c r="C920" s="44"/>
      <c r="D920" s="172"/>
      <c r="E920" s="44"/>
      <c r="F920" s="44"/>
      <c r="G920" s="44"/>
      <c r="H920" s="44"/>
      <c r="I920" s="53"/>
      <c r="J920" s="44"/>
      <c r="K920" s="44"/>
      <c r="L920" s="44"/>
      <c r="M920" s="44"/>
      <c r="N920" s="44"/>
      <c r="O920" s="44"/>
      <c r="P920" s="44"/>
      <c r="Q920" s="44"/>
      <c r="R920" s="44"/>
      <c r="S920" s="44"/>
      <c r="T920" s="44"/>
      <c r="U920" s="44"/>
      <c r="V920" s="44"/>
      <c r="W920" s="44"/>
      <c r="X920" s="44"/>
      <c r="Y920" s="44"/>
      <c r="Z920" s="44"/>
      <c r="AA920" s="44"/>
      <c r="AB920" s="44"/>
      <c r="AC920" s="44"/>
      <c r="AD920" s="44"/>
      <c r="AE920" s="44"/>
      <c r="AF920" s="44"/>
      <c r="AG920" s="44"/>
    </row>
    <row r="921" spans="1:33" ht="16.5" customHeight="1">
      <c r="A921" s="44"/>
      <c r="B921" s="44"/>
      <c r="C921" s="44"/>
      <c r="D921" s="172"/>
      <c r="E921" s="44"/>
      <c r="F921" s="44"/>
      <c r="G921" s="44"/>
      <c r="H921" s="44"/>
      <c r="I921" s="53"/>
      <c r="J921" s="44"/>
      <c r="K921" s="44"/>
      <c r="L921" s="44"/>
      <c r="M921" s="44"/>
      <c r="N921" s="44"/>
      <c r="O921" s="44"/>
      <c r="P921" s="44"/>
      <c r="Q921" s="44"/>
      <c r="R921" s="44"/>
      <c r="S921" s="44"/>
      <c r="T921" s="44"/>
      <c r="U921" s="44"/>
      <c r="V921" s="44"/>
      <c r="W921" s="44"/>
      <c r="X921" s="44"/>
      <c r="Y921" s="44"/>
      <c r="Z921" s="44"/>
      <c r="AA921" s="44"/>
      <c r="AB921" s="44"/>
      <c r="AC921" s="44"/>
      <c r="AD921" s="44"/>
      <c r="AE921" s="44"/>
      <c r="AF921" s="44"/>
      <c r="AG921" s="44"/>
    </row>
    <row r="922" spans="1:33" ht="16.5" customHeight="1">
      <c r="A922" s="44"/>
      <c r="B922" s="44"/>
      <c r="C922" s="44"/>
      <c r="D922" s="172"/>
      <c r="E922" s="44"/>
      <c r="F922" s="44"/>
      <c r="G922" s="44"/>
      <c r="H922" s="44"/>
      <c r="I922" s="53"/>
      <c r="J922" s="44"/>
      <c r="K922" s="44"/>
      <c r="L922" s="44"/>
      <c r="M922" s="44"/>
      <c r="N922" s="44"/>
      <c r="O922" s="44"/>
      <c r="P922" s="44"/>
      <c r="Q922" s="44"/>
      <c r="R922" s="44"/>
      <c r="S922" s="44"/>
      <c r="T922" s="44"/>
      <c r="U922" s="44"/>
      <c r="V922" s="44"/>
      <c r="W922" s="44"/>
      <c r="X922" s="44"/>
      <c r="Y922" s="44"/>
      <c r="Z922" s="44"/>
      <c r="AA922" s="44"/>
      <c r="AB922" s="44"/>
      <c r="AC922" s="44"/>
      <c r="AD922" s="44"/>
      <c r="AE922" s="44"/>
      <c r="AF922" s="44"/>
      <c r="AG922" s="44"/>
    </row>
    <row r="923" spans="1:33" ht="16.5" customHeight="1">
      <c r="A923" s="44"/>
      <c r="B923" s="44"/>
      <c r="C923" s="44"/>
      <c r="D923" s="172"/>
      <c r="E923" s="44"/>
      <c r="F923" s="44"/>
      <c r="G923" s="44"/>
      <c r="H923" s="44"/>
      <c r="I923" s="53"/>
      <c r="J923" s="44"/>
      <c r="K923" s="44"/>
      <c r="L923" s="44"/>
      <c r="M923" s="44"/>
      <c r="N923" s="44"/>
      <c r="O923" s="44"/>
      <c r="P923" s="44"/>
      <c r="Q923" s="44"/>
      <c r="R923" s="44"/>
      <c r="S923" s="44"/>
      <c r="T923" s="44"/>
      <c r="U923" s="44"/>
      <c r="V923" s="44"/>
      <c r="W923" s="44"/>
      <c r="X923" s="44"/>
      <c r="Y923" s="44"/>
      <c r="Z923" s="44"/>
      <c r="AA923" s="44"/>
      <c r="AB923" s="44"/>
      <c r="AC923" s="44"/>
      <c r="AD923" s="44"/>
      <c r="AE923" s="44"/>
      <c r="AF923" s="44"/>
      <c r="AG923" s="44"/>
    </row>
    <row r="924" spans="1:33" ht="16.5" customHeight="1">
      <c r="A924" s="44"/>
      <c r="B924" s="44"/>
      <c r="C924" s="44"/>
      <c r="D924" s="172"/>
      <c r="E924" s="44"/>
      <c r="F924" s="44"/>
      <c r="G924" s="44"/>
      <c r="H924" s="44"/>
      <c r="I924" s="53"/>
      <c r="J924" s="44"/>
      <c r="K924" s="44"/>
      <c r="L924" s="44"/>
      <c r="M924" s="44"/>
      <c r="N924" s="44"/>
      <c r="O924" s="44"/>
      <c r="P924" s="44"/>
      <c r="Q924" s="44"/>
      <c r="R924" s="44"/>
      <c r="S924" s="44"/>
      <c r="T924" s="44"/>
      <c r="U924" s="44"/>
      <c r="V924" s="44"/>
      <c r="W924" s="44"/>
      <c r="X924" s="44"/>
      <c r="Y924" s="44"/>
      <c r="Z924" s="44"/>
      <c r="AA924" s="44"/>
      <c r="AB924" s="44"/>
      <c r="AC924" s="44"/>
      <c r="AD924" s="44"/>
      <c r="AE924" s="44"/>
      <c r="AF924" s="44"/>
      <c r="AG924" s="44"/>
    </row>
    <row r="925" spans="1:33" ht="16.5" customHeight="1">
      <c r="A925" s="44"/>
      <c r="B925" s="44"/>
      <c r="C925" s="44"/>
      <c r="D925" s="172"/>
      <c r="E925" s="44"/>
      <c r="F925" s="44"/>
      <c r="G925" s="44"/>
      <c r="H925" s="44"/>
      <c r="I925" s="53"/>
      <c r="J925" s="44"/>
      <c r="K925" s="44"/>
      <c r="L925" s="44"/>
      <c r="M925" s="44"/>
      <c r="N925" s="44"/>
      <c r="O925" s="44"/>
      <c r="P925" s="44"/>
      <c r="Q925" s="44"/>
      <c r="R925" s="44"/>
      <c r="S925" s="44"/>
      <c r="T925" s="44"/>
      <c r="U925" s="44"/>
      <c r="V925" s="44"/>
      <c r="W925" s="44"/>
      <c r="X925" s="44"/>
      <c r="Y925" s="44"/>
      <c r="Z925" s="44"/>
      <c r="AA925" s="44"/>
      <c r="AB925" s="44"/>
      <c r="AC925" s="44"/>
      <c r="AD925" s="44"/>
      <c r="AE925" s="44"/>
      <c r="AF925" s="44"/>
      <c r="AG925" s="44"/>
    </row>
    <row r="926" spans="1:33" ht="16.5" customHeight="1">
      <c r="A926" s="44"/>
      <c r="B926" s="44"/>
      <c r="C926" s="44"/>
      <c r="D926" s="172"/>
      <c r="E926" s="44"/>
      <c r="F926" s="44"/>
      <c r="G926" s="44"/>
      <c r="H926" s="44"/>
      <c r="I926" s="53"/>
      <c r="J926" s="44"/>
      <c r="K926" s="44"/>
      <c r="L926" s="44"/>
      <c r="M926" s="44"/>
      <c r="N926" s="44"/>
      <c r="O926" s="44"/>
      <c r="P926" s="44"/>
      <c r="Q926" s="44"/>
      <c r="R926" s="44"/>
      <c r="S926" s="44"/>
      <c r="T926" s="44"/>
      <c r="U926" s="44"/>
      <c r="V926" s="44"/>
      <c r="W926" s="44"/>
      <c r="X926" s="44"/>
      <c r="Y926" s="44"/>
      <c r="Z926" s="44"/>
      <c r="AA926" s="44"/>
      <c r="AB926" s="44"/>
      <c r="AC926" s="44"/>
      <c r="AD926" s="44"/>
      <c r="AE926" s="44"/>
      <c r="AF926" s="44"/>
      <c r="AG926" s="44"/>
    </row>
    <row r="927" spans="1:33" ht="16.5" customHeight="1">
      <c r="A927" s="44"/>
      <c r="B927" s="44"/>
      <c r="C927" s="44"/>
      <c r="D927" s="172"/>
      <c r="E927" s="44"/>
      <c r="F927" s="44"/>
      <c r="G927" s="44"/>
      <c r="H927" s="44"/>
      <c r="I927" s="53"/>
      <c r="J927" s="44"/>
      <c r="K927" s="44"/>
      <c r="L927" s="44"/>
      <c r="M927" s="44"/>
      <c r="N927" s="44"/>
      <c r="O927" s="44"/>
      <c r="P927" s="44"/>
      <c r="Q927" s="44"/>
      <c r="R927" s="44"/>
      <c r="S927" s="44"/>
      <c r="T927" s="44"/>
      <c r="U927" s="44"/>
      <c r="V927" s="44"/>
      <c r="W927" s="44"/>
      <c r="X927" s="44"/>
      <c r="Y927" s="44"/>
      <c r="Z927" s="44"/>
      <c r="AA927" s="44"/>
      <c r="AB927" s="44"/>
      <c r="AC927" s="44"/>
      <c r="AD927" s="44"/>
      <c r="AE927" s="44"/>
      <c r="AF927" s="44"/>
      <c r="AG927" s="44"/>
    </row>
    <row r="928" spans="1:33" ht="16.5" customHeight="1">
      <c r="A928" s="44"/>
      <c r="B928" s="44"/>
      <c r="C928" s="44"/>
      <c r="D928" s="172"/>
      <c r="E928" s="44"/>
      <c r="F928" s="44"/>
      <c r="G928" s="44"/>
      <c r="H928" s="44"/>
      <c r="I928" s="53"/>
      <c r="J928" s="44"/>
      <c r="K928" s="44"/>
      <c r="L928" s="44"/>
      <c r="M928" s="44"/>
      <c r="N928" s="44"/>
      <c r="O928" s="44"/>
      <c r="P928" s="44"/>
      <c r="Q928" s="44"/>
      <c r="R928" s="44"/>
      <c r="S928" s="44"/>
      <c r="T928" s="44"/>
      <c r="U928" s="44"/>
      <c r="V928" s="44"/>
      <c r="W928" s="44"/>
      <c r="X928" s="44"/>
      <c r="Y928" s="44"/>
      <c r="Z928" s="44"/>
      <c r="AA928" s="44"/>
      <c r="AB928" s="44"/>
      <c r="AC928" s="44"/>
      <c r="AD928" s="44"/>
      <c r="AE928" s="44"/>
      <c r="AF928" s="44"/>
      <c r="AG928" s="44"/>
    </row>
    <row r="929" spans="1:33" ht="16.5" customHeight="1">
      <c r="A929" s="44"/>
      <c r="B929" s="44"/>
      <c r="C929" s="44"/>
      <c r="D929" s="172"/>
      <c r="E929" s="44"/>
      <c r="F929" s="44"/>
      <c r="G929" s="44"/>
      <c r="H929" s="44"/>
      <c r="I929" s="53"/>
      <c r="J929" s="44"/>
      <c r="K929" s="44"/>
      <c r="L929" s="44"/>
      <c r="M929" s="44"/>
      <c r="N929" s="44"/>
      <c r="O929" s="44"/>
      <c r="P929" s="44"/>
      <c r="Q929" s="44"/>
      <c r="R929" s="44"/>
      <c r="S929" s="44"/>
      <c r="T929" s="44"/>
      <c r="U929" s="44"/>
      <c r="V929" s="44"/>
      <c r="W929" s="44"/>
      <c r="X929" s="44"/>
      <c r="Y929" s="44"/>
      <c r="Z929" s="44"/>
      <c r="AA929" s="44"/>
      <c r="AB929" s="44"/>
      <c r="AC929" s="44"/>
      <c r="AD929" s="44"/>
      <c r="AE929" s="44"/>
      <c r="AF929" s="44"/>
      <c r="AG929" s="44"/>
    </row>
    <row r="930" spans="1:33" ht="16.5" customHeight="1">
      <c r="A930" s="44"/>
      <c r="B930" s="44"/>
      <c r="C930" s="44"/>
      <c r="D930" s="172"/>
      <c r="E930" s="44"/>
      <c r="F930" s="44"/>
      <c r="G930" s="44"/>
      <c r="H930" s="44"/>
      <c r="I930" s="53"/>
      <c r="J930" s="44"/>
      <c r="K930" s="44"/>
      <c r="L930" s="44"/>
      <c r="M930" s="44"/>
      <c r="N930" s="44"/>
      <c r="O930" s="44"/>
      <c r="P930" s="44"/>
      <c r="Q930" s="44"/>
      <c r="R930" s="44"/>
      <c r="S930" s="44"/>
      <c r="T930" s="44"/>
      <c r="U930" s="44"/>
      <c r="V930" s="44"/>
      <c r="W930" s="44"/>
      <c r="X930" s="44"/>
      <c r="Y930" s="44"/>
      <c r="Z930" s="44"/>
      <c r="AA930" s="44"/>
      <c r="AB930" s="44"/>
      <c r="AC930" s="44"/>
      <c r="AD930" s="44"/>
      <c r="AE930" s="44"/>
      <c r="AF930" s="44"/>
      <c r="AG930" s="44"/>
    </row>
    <row r="931" spans="1:33" ht="16.5" customHeight="1">
      <c r="A931" s="44"/>
      <c r="B931" s="44"/>
      <c r="C931" s="44"/>
      <c r="D931" s="172"/>
      <c r="E931" s="44"/>
      <c r="F931" s="44"/>
      <c r="G931" s="44"/>
      <c r="H931" s="44"/>
      <c r="I931" s="53"/>
      <c r="J931" s="44"/>
      <c r="K931" s="44"/>
      <c r="L931" s="44"/>
      <c r="M931" s="44"/>
      <c r="N931" s="44"/>
      <c r="O931" s="44"/>
      <c r="P931" s="44"/>
      <c r="Q931" s="44"/>
      <c r="R931" s="44"/>
      <c r="S931" s="44"/>
      <c r="T931" s="44"/>
      <c r="U931" s="44"/>
      <c r="V931" s="44"/>
      <c r="W931" s="44"/>
      <c r="X931" s="44"/>
      <c r="Y931" s="44"/>
      <c r="Z931" s="44"/>
      <c r="AA931" s="44"/>
      <c r="AB931" s="44"/>
      <c r="AC931" s="44"/>
      <c r="AD931" s="44"/>
      <c r="AE931" s="44"/>
      <c r="AF931" s="44"/>
      <c r="AG931" s="44"/>
    </row>
    <row r="932" spans="1:33" ht="16.5" customHeight="1">
      <c r="A932" s="44"/>
      <c r="B932" s="44"/>
      <c r="C932" s="44"/>
      <c r="D932" s="172"/>
      <c r="E932" s="44"/>
      <c r="F932" s="44"/>
      <c r="G932" s="44"/>
      <c r="H932" s="44"/>
      <c r="I932" s="53"/>
      <c r="J932" s="44"/>
      <c r="K932" s="44"/>
      <c r="L932" s="44"/>
      <c r="M932" s="44"/>
      <c r="N932" s="44"/>
      <c r="O932" s="44"/>
      <c r="P932" s="44"/>
      <c r="Q932" s="44"/>
      <c r="R932" s="44"/>
      <c r="S932" s="44"/>
      <c r="T932" s="44"/>
      <c r="U932" s="44"/>
      <c r="V932" s="44"/>
      <c r="W932" s="44"/>
      <c r="X932" s="44"/>
      <c r="Y932" s="44"/>
      <c r="Z932" s="44"/>
      <c r="AA932" s="44"/>
      <c r="AB932" s="44"/>
      <c r="AC932" s="44"/>
      <c r="AD932" s="44"/>
      <c r="AE932" s="44"/>
      <c r="AF932" s="44"/>
      <c r="AG932" s="44"/>
    </row>
    <row r="933" spans="1:33" ht="16.5" customHeight="1">
      <c r="A933" s="44"/>
      <c r="B933" s="44"/>
      <c r="C933" s="44"/>
      <c r="D933" s="172"/>
      <c r="E933" s="44"/>
      <c r="F933" s="44"/>
      <c r="G933" s="44"/>
      <c r="H933" s="44"/>
      <c r="I933" s="53"/>
      <c r="J933" s="44"/>
      <c r="K933" s="44"/>
      <c r="L933" s="44"/>
      <c r="M933" s="44"/>
      <c r="N933" s="44"/>
      <c r="O933" s="44"/>
      <c r="P933" s="44"/>
      <c r="Q933" s="44"/>
      <c r="R933" s="44"/>
      <c r="S933" s="44"/>
      <c r="T933" s="44"/>
      <c r="U933" s="44"/>
      <c r="V933" s="44"/>
      <c r="W933" s="44"/>
      <c r="X933" s="44"/>
      <c r="Y933" s="44"/>
      <c r="Z933" s="44"/>
      <c r="AA933" s="44"/>
      <c r="AB933" s="44"/>
      <c r="AC933" s="44"/>
      <c r="AD933" s="44"/>
      <c r="AE933" s="44"/>
      <c r="AF933" s="44"/>
      <c r="AG933" s="44"/>
    </row>
    <row r="934" spans="1:33" ht="16.5" customHeight="1">
      <c r="A934" s="44"/>
      <c r="B934" s="44"/>
      <c r="C934" s="44"/>
      <c r="D934" s="172"/>
      <c r="E934" s="44"/>
      <c r="F934" s="44"/>
      <c r="G934" s="44"/>
      <c r="H934" s="44"/>
      <c r="I934" s="53"/>
      <c r="J934" s="44"/>
      <c r="K934" s="44"/>
      <c r="L934" s="44"/>
      <c r="M934" s="44"/>
      <c r="N934" s="44"/>
      <c r="O934" s="44"/>
      <c r="P934" s="44"/>
      <c r="Q934" s="44"/>
      <c r="R934" s="44"/>
      <c r="S934" s="44"/>
      <c r="T934" s="44"/>
      <c r="U934" s="44"/>
      <c r="V934" s="44"/>
      <c r="W934" s="44"/>
      <c r="X934" s="44"/>
      <c r="Y934" s="44"/>
      <c r="Z934" s="44"/>
      <c r="AA934" s="44"/>
      <c r="AB934" s="44"/>
      <c r="AC934" s="44"/>
      <c r="AD934" s="44"/>
      <c r="AE934" s="44"/>
      <c r="AF934" s="44"/>
      <c r="AG934" s="44"/>
    </row>
    <row r="935" spans="1:33" ht="16.5" customHeight="1">
      <c r="A935" s="44"/>
      <c r="B935" s="44"/>
      <c r="C935" s="44"/>
      <c r="D935" s="172"/>
      <c r="E935" s="44"/>
      <c r="F935" s="44"/>
      <c r="G935" s="44"/>
      <c r="H935" s="44"/>
      <c r="I935" s="53"/>
      <c r="J935" s="44"/>
      <c r="K935" s="44"/>
      <c r="L935" s="44"/>
      <c r="M935" s="44"/>
      <c r="N935" s="44"/>
      <c r="O935" s="44"/>
      <c r="P935" s="44"/>
      <c r="Q935" s="44"/>
      <c r="R935" s="44"/>
      <c r="S935" s="44"/>
      <c r="T935" s="44"/>
      <c r="U935" s="44"/>
      <c r="V935" s="44"/>
      <c r="W935" s="44"/>
      <c r="X935" s="44"/>
      <c r="Y935" s="44"/>
      <c r="Z935" s="44"/>
      <c r="AA935" s="44"/>
      <c r="AB935" s="44"/>
      <c r="AC935" s="44"/>
      <c r="AD935" s="44"/>
      <c r="AE935" s="44"/>
      <c r="AF935" s="44"/>
      <c r="AG935" s="44"/>
    </row>
    <row r="936" spans="1:33" ht="16.5" customHeight="1">
      <c r="A936" s="44"/>
      <c r="B936" s="44"/>
      <c r="C936" s="44"/>
      <c r="D936" s="172"/>
      <c r="E936" s="44"/>
      <c r="F936" s="44"/>
      <c r="G936" s="44"/>
      <c r="H936" s="44"/>
      <c r="I936" s="53"/>
      <c r="J936" s="44"/>
      <c r="K936" s="44"/>
      <c r="L936" s="44"/>
      <c r="M936" s="44"/>
      <c r="N936" s="44"/>
      <c r="O936" s="44"/>
      <c r="P936" s="44"/>
      <c r="Q936" s="44"/>
      <c r="R936" s="44"/>
      <c r="S936" s="44"/>
      <c r="T936" s="44"/>
      <c r="U936" s="44"/>
      <c r="V936" s="44"/>
      <c r="W936" s="44"/>
      <c r="X936" s="44"/>
      <c r="Y936" s="44"/>
      <c r="Z936" s="44"/>
      <c r="AA936" s="44"/>
      <c r="AB936" s="44"/>
      <c r="AC936" s="44"/>
      <c r="AD936" s="44"/>
      <c r="AE936" s="44"/>
      <c r="AF936" s="44"/>
      <c r="AG936" s="44"/>
    </row>
    <row r="937" spans="1:33" ht="16.5" customHeight="1">
      <c r="A937" s="44"/>
      <c r="B937" s="44"/>
      <c r="C937" s="44"/>
      <c r="D937" s="172"/>
      <c r="E937" s="44"/>
      <c r="F937" s="44"/>
      <c r="G937" s="44"/>
      <c r="H937" s="44"/>
      <c r="I937" s="53"/>
      <c r="J937" s="44"/>
      <c r="K937" s="44"/>
      <c r="L937" s="44"/>
      <c r="M937" s="44"/>
      <c r="N937" s="44"/>
      <c r="O937" s="44"/>
      <c r="P937" s="44"/>
      <c r="Q937" s="44"/>
      <c r="R937" s="44"/>
      <c r="S937" s="44"/>
      <c r="T937" s="44"/>
      <c r="U937" s="44"/>
      <c r="V937" s="44"/>
      <c r="W937" s="44"/>
      <c r="X937" s="44"/>
      <c r="Y937" s="44"/>
      <c r="Z937" s="44"/>
      <c r="AA937" s="44"/>
      <c r="AB937" s="44"/>
      <c r="AC937" s="44"/>
      <c r="AD937" s="44"/>
      <c r="AE937" s="44"/>
      <c r="AF937" s="44"/>
      <c r="AG937" s="44"/>
    </row>
    <row r="938" spans="1:33" ht="16.5" customHeight="1">
      <c r="A938" s="44"/>
      <c r="B938" s="44"/>
      <c r="C938" s="44"/>
      <c r="D938" s="172"/>
      <c r="E938" s="44"/>
      <c r="F938" s="44"/>
      <c r="G938" s="44"/>
      <c r="H938" s="44"/>
      <c r="I938" s="53"/>
      <c r="J938" s="44"/>
      <c r="K938" s="44"/>
      <c r="L938" s="44"/>
      <c r="M938" s="44"/>
      <c r="N938" s="44"/>
      <c r="O938" s="44"/>
      <c r="P938" s="44"/>
      <c r="Q938" s="44"/>
      <c r="R938" s="44"/>
      <c r="S938" s="44"/>
      <c r="T938" s="44"/>
      <c r="U938" s="44"/>
      <c r="V938" s="44"/>
      <c r="W938" s="44"/>
      <c r="X938" s="44"/>
      <c r="Y938" s="44"/>
      <c r="Z938" s="44"/>
      <c r="AA938" s="44"/>
      <c r="AB938" s="44"/>
      <c r="AC938" s="44"/>
      <c r="AD938" s="44"/>
      <c r="AE938" s="44"/>
      <c r="AF938" s="44"/>
      <c r="AG938" s="44"/>
    </row>
    <row r="939" spans="1:33" ht="16.5" customHeight="1">
      <c r="A939" s="44"/>
      <c r="B939" s="44"/>
      <c r="C939" s="44"/>
      <c r="D939" s="172"/>
      <c r="E939" s="44"/>
      <c r="F939" s="44"/>
      <c r="G939" s="44"/>
      <c r="H939" s="44"/>
      <c r="I939" s="53"/>
      <c r="J939" s="44"/>
      <c r="K939" s="44"/>
      <c r="L939" s="44"/>
      <c r="M939" s="44"/>
      <c r="N939" s="44"/>
      <c r="O939" s="44"/>
      <c r="P939" s="44"/>
      <c r="Q939" s="44"/>
      <c r="R939" s="44"/>
      <c r="S939" s="44"/>
      <c r="T939" s="44"/>
      <c r="U939" s="44"/>
      <c r="V939" s="44"/>
      <c r="W939" s="44"/>
      <c r="X939" s="44"/>
      <c r="Y939" s="44"/>
      <c r="Z939" s="44"/>
      <c r="AA939" s="44"/>
      <c r="AB939" s="44"/>
      <c r="AC939" s="44"/>
      <c r="AD939" s="44"/>
      <c r="AE939" s="44"/>
      <c r="AF939" s="44"/>
      <c r="AG939" s="44"/>
    </row>
    <row r="940" spans="1:33" ht="16.5" customHeight="1">
      <c r="A940" s="44"/>
      <c r="B940" s="44"/>
      <c r="C940" s="44"/>
      <c r="D940" s="172"/>
      <c r="E940" s="44"/>
      <c r="F940" s="44"/>
      <c r="G940" s="44"/>
      <c r="H940" s="44"/>
      <c r="I940" s="53"/>
      <c r="J940" s="44"/>
      <c r="K940" s="44"/>
      <c r="L940" s="44"/>
      <c r="M940" s="44"/>
      <c r="N940" s="44"/>
      <c r="O940" s="44"/>
      <c r="P940" s="44"/>
      <c r="Q940" s="44"/>
      <c r="R940" s="44"/>
      <c r="S940" s="44"/>
      <c r="T940" s="44"/>
      <c r="U940" s="44"/>
      <c r="V940" s="44"/>
      <c r="W940" s="44"/>
      <c r="X940" s="44"/>
      <c r="Y940" s="44"/>
      <c r="Z940" s="44"/>
      <c r="AA940" s="44"/>
      <c r="AB940" s="44"/>
      <c r="AC940" s="44"/>
      <c r="AD940" s="44"/>
      <c r="AE940" s="44"/>
      <c r="AF940" s="44"/>
      <c r="AG940" s="44"/>
    </row>
    <row r="941" spans="1:33" ht="16.5" customHeight="1">
      <c r="A941" s="44"/>
      <c r="B941" s="44"/>
      <c r="C941" s="44"/>
      <c r="D941" s="172"/>
      <c r="E941" s="44"/>
      <c r="F941" s="44"/>
      <c r="G941" s="44"/>
      <c r="H941" s="44"/>
      <c r="I941" s="53"/>
      <c r="J941" s="44"/>
      <c r="K941" s="44"/>
      <c r="L941" s="44"/>
      <c r="M941" s="44"/>
      <c r="N941" s="44"/>
      <c r="O941" s="44"/>
      <c r="P941" s="44"/>
      <c r="Q941" s="44"/>
      <c r="R941" s="44"/>
      <c r="S941" s="44"/>
      <c r="T941" s="44"/>
      <c r="U941" s="44"/>
      <c r="V941" s="44"/>
      <c r="W941" s="44"/>
      <c r="X941" s="44"/>
      <c r="Y941" s="44"/>
      <c r="Z941" s="44"/>
      <c r="AA941" s="44"/>
      <c r="AB941" s="44"/>
      <c r="AC941" s="44"/>
      <c r="AD941" s="44"/>
      <c r="AE941" s="44"/>
      <c r="AF941" s="44"/>
      <c r="AG941" s="44"/>
    </row>
    <row r="942" spans="1:33" ht="16.5" customHeight="1">
      <c r="A942" s="44"/>
      <c r="B942" s="44"/>
      <c r="C942" s="44"/>
      <c r="D942" s="172"/>
      <c r="E942" s="44"/>
      <c r="F942" s="44"/>
      <c r="G942" s="44"/>
      <c r="H942" s="44"/>
      <c r="I942" s="53"/>
      <c r="J942" s="44"/>
      <c r="K942" s="44"/>
      <c r="L942" s="44"/>
      <c r="M942" s="44"/>
      <c r="N942" s="44"/>
      <c r="O942" s="44"/>
      <c r="P942" s="44"/>
      <c r="Q942" s="44"/>
      <c r="R942" s="44"/>
      <c r="S942" s="44"/>
      <c r="T942" s="44"/>
      <c r="U942" s="44"/>
      <c r="V942" s="44"/>
      <c r="W942" s="44"/>
      <c r="X942" s="44"/>
      <c r="Y942" s="44"/>
      <c r="Z942" s="44"/>
      <c r="AA942" s="44"/>
      <c r="AB942" s="44"/>
      <c r="AC942" s="44"/>
      <c r="AD942" s="44"/>
      <c r="AE942" s="44"/>
      <c r="AF942" s="44"/>
      <c r="AG942" s="44"/>
    </row>
    <row r="943" spans="1:33" ht="16.5" customHeight="1">
      <c r="A943" s="44"/>
      <c r="B943" s="44"/>
      <c r="C943" s="44"/>
      <c r="D943" s="172"/>
      <c r="E943" s="44"/>
      <c r="F943" s="44"/>
      <c r="G943" s="44"/>
      <c r="H943" s="44"/>
      <c r="I943" s="53"/>
      <c r="J943" s="44"/>
      <c r="K943" s="44"/>
      <c r="L943" s="44"/>
      <c r="M943" s="44"/>
      <c r="N943" s="44"/>
      <c r="O943" s="44"/>
      <c r="P943" s="44"/>
      <c r="Q943" s="44"/>
      <c r="R943" s="44"/>
      <c r="S943" s="44"/>
      <c r="T943" s="44"/>
      <c r="U943" s="44"/>
      <c r="V943" s="44"/>
      <c r="W943" s="44"/>
      <c r="X943" s="44"/>
      <c r="Y943" s="44"/>
      <c r="Z943" s="44"/>
      <c r="AA943" s="44"/>
      <c r="AB943" s="44"/>
      <c r="AC943" s="44"/>
      <c r="AD943" s="44"/>
      <c r="AE943" s="44"/>
      <c r="AF943" s="44"/>
      <c r="AG943" s="44"/>
    </row>
    <row r="944" spans="1:33" ht="16.5" customHeight="1">
      <c r="A944" s="44"/>
      <c r="B944" s="44"/>
      <c r="C944" s="44"/>
      <c r="D944" s="172"/>
      <c r="E944" s="44"/>
      <c r="F944" s="44"/>
      <c r="G944" s="44"/>
      <c r="H944" s="44"/>
      <c r="I944" s="53"/>
      <c r="J944" s="44"/>
      <c r="K944" s="44"/>
      <c r="L944" s="44"/>
      <c r="M944" s="44"/>
      <c r="N944" s="44"/>
      <c r="O944" s="44"/>
      <c r="P944" s="44"/>
      <c r="Q944" s="44"/>
      <c r="R944" s="44"/>
      <c r="S944" s="44"/>
      <c r="T944" s="44"/>
      <c r="U944" s="44"/>
      <c r="V944" s="44"/>
      <c r="W944" s="44"/>
      <c r="X944" s="44"/>
      <c r="Y944" s="44"/>
      <c r="Z944" s="44"/>
      <c r="AA944" s="44"/>
      <c r="AB944" s="44"/>
      <c r="AC944" s="44"/>
      <c r="AD944" s="44"/>
      <c r="AE944" s="44"/>
      <c r="AF944" s="44"/>
      <c r="AG944" s="44"/>
    </row>
    <row r="945" spans="1:33" ht="16.5" customHeight="1">
      <c r="A945" s="44"/>
      <c r="B945" s="44"/>
      <c r="C945" s="44"/>
      <c r="D945" s="172"/>
      <c r="E945" s="44"/>
      <c r="F945" s="44"/>
      <c r="G945" s="44"/>
      <c r="H945" s="44"/>
      <c r="I945" s="53"/>
      <c r="J945" s="44"/>
      <c r="K945" s="44"/>
      <c r="L945" s="44"/>
      <c r="M945" s="44"/>
      <c r="N945" s="44"/>
      <c r="O945" s="44"/>
      <c r="P945" s="44"/>
      <c r="Q945" s="44"/>
      <c r="R945" s="44"/>
      <c r="S945" s="44"/>
      <c r="T945" s="44"/>
      <c r="U945" s="44"/>
      <c r="V945" s="44"/>
      <c r="W945" s="44"/>
      <c r="X945" s="44"/>
      <c r="Y945" s="44"/>
      <c r="Z945" s="44"/>
      <c r="AA945" s="44"/>
      <c r="AB945" s="44"/>
      <c r="AC945" s="44"/>
      <c r="AD945" s="44"/>
      <c r="AE945" s="44"/>
      <c r="AF945" s="44"/>
      <c r="AG945" s="44"/>
    </row>
    <row r="946" spans="1:33" ht="16.5" customHeight="1">
      <c r="A946" s="44"/>
      <c r="B946" s="44"/>
      <c r="C946" s="44"/>
      <c r="D946" s="172"/>
      <c r="E946" s="44"/>
      <c r="F946" s="44"/>
      <c r="G946" s="44"/>
      <c r="H946" s="44"/>
      <c r="I946" s="53"/>
      <c r="J946" s="44"/>
      <c r="K946" s="44"/>
      <c r="L946" s="44"/>
      <c r="M946" s="44"/>
      <c r="N946" s="44"/>
      <c r="O946" s="44"/>
      <c r="P946" s="44"/>
      <c r="Q946" s="44"/>
      <c r="R946" s="44"/>
      <c r="S946" s="44"/>
      <c r="T946" s="44"/>
      <c r="U946" s="44"/>
      <c r="V946" s="44"/>
      <c r="W946" s="44"/>
      <c r="X946" s="44"/>
      <c r="Y946" s="44"/>
      <c r="Z946" s="44"/>
      <c r="AA946" s="44"/>
      <c r="AB946" s="44"/>
      <c r="AC946" s="44"/>
      <c r="AD946" s="44"/>
      <c r="AE946" s="44"/>
      <c r="AF946" s="44"/>
      <c r="AG946" s="44"/>
    </row>
    <row r="947" spans="1:33" ht="16.5" customHeight="1">
      <c r="A947" s="44"/>
      <c r="B947" s="44"/>
      <c r="C947" s="44"/>
      <c r="D947" s="172"/>
      <c r="E947" s="44"/>
      <c r="F947" s="44"/>
      <c r="G947" s="44"/>
      <c r="H947" s="44"/>
      <c r="I947" s="53"/>
      <c r="J947" s="44"/>
      <c r="K947" s="44"/>
      <c r="L947" s="44"/>
      <c r="M947" s="44"/>
      <c r="N947" s="44"/>
      <c r="O947" s="44"/>
      <c r="P947" s="44"/>
      <c r="Q947" s="44"/>
      <c r="R947" s="44"/>
      <c r="S947" s="44"/>
      <c r="T947" s="44"/>
      <c r="U947" s="44"/>
      <c r="V947" s="44"/>
      <c r="W947" s="44"/>
      <c r="X947" s="44"/>
      <c r="Y947" s="44"/>
      <c r="Z947" s="44"/>
      <c r="AA947" s="44"/>
      <c r="AB947" s="44"/>
      <c r="AC947" s="44"/>
      <c r="AD947" s="44"/>
      <c r="AE947" s="44"/>
      <c r="AF947" s="44"/>
      <c r="AG947" s="44"/>
    </row>
    <row r="948" spans="1:33" ht="16.5" customHeight="1">
      <c r="A948" s="44"/>
      <c r="B948" s="44"/>
      <c r="C948" s="44"/>
      <c r="D948" s="172"/>
      <c r="E948" s="44"/>
      <c r="F948" s="44"/>
      <c r="G948" s="44"/>
      <c r="H948" s="44"/>
      <c r="I948" s="53"/>
      <c r="J948" s="44"/>
      <c r="K948" s="44"/>
      <c r="L948" s="44"/>
      <c r="M948" s="44"/>
      <c r="N948" s="44"/>
      <c r="O948" s="44"/>
      <c r="P948" s="44"/>
      <c r="Q948" s="44"/>
      <c r="R948" s="44"/>
      <c r="S948" s="44"/>
      <c r="T948" s="44"/>
      <c r="U948" s="44"/>
      <c r="V948" s="44"/>
      <c r="W948" s="44"/>
      <c r="X948" s="44"/>
      <c r="Y948" s="44"/>
      <c r="Z948" s="44"/>
      <c r="AA948" s="44"/>
      <c r="AB948" s="44"/>
      <c r="AC948" s="44"/>
      <c r="AD948" s="44"/>
      <c r="AE948" s="44"/>
      <c r="AF948" s="44"/>
      <c r="AG948" s="44"/>
    </row>
    <row r="949" spans="1:33" ht="16.5" customHeight="1">
      <c r="A949" s="44"/>
      <c r="B949" s="44"/>
      <c r="C949" s="44"/>
      <c r="D949" s="172"/>
      <c r="E949" s="44"/>
      <c r="F949" s="44"/>
      <c r="G949" s="44"/>
      <c r="H949" s="44"/>
      <c r="I949" s="53"/>
      <c r="J949" s="44"/>
      <c r="K949" s="44"/>
      <c r="L949" s="44"/>
      <c r="M949" s="44"/>
      <c r="N949" s="44"/>
      <c r="O949" s="44"/>
      <c r="P949" s="44"/>
      <c r="Q949" s="44"/>
      <c r="R949" s="44"/>
      <c r="S949" s="44"/>
      <c r="T949" s="44"/>
      <c r="U949" s="44"/>
      <c r="V949" s="44"/>
      <c r="W949" s="44"/>
      <c r="X949" s="44"/>
      <c r="Y949" s="44"/>
      <c r="Z949" s="44"/>
      <c r="AA949" s="44"/>
      <c r="AB949" s="44"/>
      <c r="AC949" s="44"/>
      <c r="AD949" s="44"/>
      <c r="AE949" s="44"/>
      <c r="AF949" s="44"/>
      <c r="AG949" s="44"/>
    </row>
    <row r="950" spans="1:33" ht="16.5" customHeight="1">
      <c r="A950" s="44"/>
      <c r="B950" s="44"/>
      <c r="C950" s="44"/>
      <c r="D950" s="172"/>
      <c r="E950" s="44"/>
      <c r="F950" s="44"/>
      <c r="G950" s="44"/>
      <c r="H950" s="44"/>
      <c r="I950" s="53"/>
      <c r="J950" s="44"/>
      <c r="K950" s="44"/>
      <c r="L950" s="44"/>
      <c r="M950" s="44"/>
      <c r="N950" s="44"/>
      <c r="O950" s="44"/>
      <c r="P950" s="44"/>
      <c r="Q950" s="44"/>
      <c r="R950" s="44"/>
      <c r="S950" s="44"/>
      <c r="T950" s="44"/>
      <c r="U950" s="44"/>
      <c r="V950" s="44"/>
      <c r="W950" s="44"/>
      <c r="X950" s="44"/>
      <c r="Y950" s="44"/>
      <c r="Z950" s="44"/>
      <c r="AA950" s="44"/>
      <c r="AB950" s="44"/>
      <c r="AC950" s="44"/>
      <c r="AD950" s="44"/>
      <c r="AE950" s="44"/>
      <c r="AF950" s="44"/>
      <c r="AG950" s="44"/>
    </row>
    <row r="951" spans="1:33" ht="16.5" customHeight="1">
      <c r="A951" s="44"/>
      <c r="B951" s="44"/>
      <c r="C951" s="44"/>
      <c r="D951" s="172"/>
      <c r="E951" s="44"/>
      <c r="F951" s="44"/>
      <c r="G951" s="44"/>
      <c r="H951" s="44"/>
      <c r="I951" s="53"/>
      <c r="J951" s="44"/>
      <c r="K951" s="44"/>
      <c r="L951" s="44"/>
      <c r="M951" s="44"/>
      <c r="N951" s="44"/>
      <c r="O951" s="44"/>
      <c r="P951" s="44"/>
      <c r="Q951" s="44"/>
      <c r="R951" s="44"/>
      <c r="S951" s="44"/>
      <c r="T951" s="44"/>
      <c r="U951" s="44"/>
      <c r="V951" s="44"/>
      <c r="W951" s="44"/>
      <c r="X951" s="44"/>
      <c r="Y951" s="44"/>
      <c r="Z951" s="44"/>
      <c r="AA951" s="44"/>
      <c r="AB951" s="44"/>
      <c r="AC951" s="44"/>
      <c r="AD951" s="44"/>
      <c r="AE951" s="44"/>
      <c r="AF951" s="44"/>
      <c r="AG951" s="44"/>
    </row>
    <row r="952" spans="1:33" ht="16.5" customHeight="1">
      <c r="A952" s="44"/>
      <c r="B952" s="44"/>
      <c r="C952" s="44"/>
      <c r="D952" s="172"/>
      <c r="E952" s="44"/>
      <c r="F952" s="44"/>
      <c r="G952" s="44"/>
      <c r="H952" s="44"/>
      <c r="I952" s="53"/>
      <c r="J952" s="44"/>
      <c r="K952" s="44"/>
      <c r="L952" s="44"/>
      <c r="M952" s="44"/>
      <c r="N952" s="44"/>
      <c r="O952" s="44"/>
      <c r="P952" s="44"/>
      <c r="Q952" s="44"/>
      <c r="R952" s="44"/>
      <c r="S952" s="44"/>
      <c r="T952" s="44"/>
      <c r="U952" s="44"/>
      <c r="V952" s="44"/>
      <c r="W952" s="44"/>
      <c r="X952" s="44"/>
      <c r="Y952" s="44"/>
      <c r="Z952" s="44"/>
      <c r="AA952" s="44"/>
      <c r="AB952" s="44"/>
      <c r="AC952" s="44"/>
      <c r="AD952" s="44"/>
      <c r="AE952" s="44"/>
      <c r="AF952" s="44"/>
      <c r="AG952" s="44"/>
    </row>
    <row r="953" spans="1:33" ht="16.5" customHeight="1">
      <c r="A953" s="44"/>
      <c r="B953" s="44"/>
      <c r="C953" s="44"/>
      <c r="D953" s="172"/>
      <c r="E953" s="44"/>
      <c r="F953" s="44"/>
      <c r="G953" s="44"/>
      <c r="H953" s="44"/>
      <c r="I953" s="53"/>
      <c r="J953" s="44"/>
      <c r="K953" s="44"/>
      <c r="L953" s="44"/>
      <c r="M953" s="44"/>
      <c r="N953" s="44"/>
      <c r="O953" s="44"/>
      <c r="P953" s="44"/>
      <c r="Q953" s="44"/>
      <c r="R953" s="44"/>
      <c r="S953" s="44"/>
      <c r="T953" s="44"/>
      <c r="U953" s="44"/>
      <c r="V953" s="44"/>
      <c r="W953" s="44"/>
      <c r="X953" s="44"/>
      <c r="Y953" s="44"/>
      <c r="Z953" s="44"/>
      <c r="AA953" s="44"/>
      <c r="AB953" s="44"/>
      <c r="AC953" s="44"/>
      <c r="AD953" s="44"/>
      <c r="AE953" s="44"/>
      <c r="AF953" s="44"/>
      <c r="AG953" s="44"/>
    </row>
    <row r="954" spans="1:33" ht="16.5" customHeight="1">
      <c r="A954" s="44"/>
      <c r="B954" s="44"/>
      <c r="C954" s="44"/>
      <c r="D954" s="172"/>
      <c r="E954" s="44"/>
      <c r="F954" s="44"/>
      <c r="G954" s="44"/>
      <c r="H954" s="44"/>
      <c r="I954" s="53"/>
      <c r="J954" s="44"/>
      <c r="K954" s="44"/>
      <c r="L954" s="44"/>
      <c r="M954" s="44"/>
      <c r="N954" s="44"/>
      <c r="O954" s="44"/>
      <c r="P954" s="44"/>
      <c r="Q954" s="44"/>
      <c r="R954" s="44"/>
      <c r="S954" s="44"/>
      <c r="T954" s="44"/>
      <c r="U954" s="44"/>
      <c r="V954" s="44"/>
      <c r="W954" s="44"/>
      <c r="X954" s="44"/>
      <c r="Y954" s="44"/>
      <c r="Z954" s="44"/>
      <c r="AA954" s="44"/>
      <c r="AB954" s="44"/>
      <c r="AC954" s="44"/>
      <c r="AD954" s="44"/>
      <c r="AE954" s="44"/>
      <c r="AF954" s="44"/>
      <c r="AG954" s="44"/>
    </row>
    <row r="955" spans="1:33" ht="16.5" customHeight="1">
      <c r="A955" s="44"/>
      <c r="B955" s="44"/>
      <c r="C955" s="44"/>
      <c r="D955" s="172"/>
      <c r="E955" s="44"/>
      <c r="F955" s="44"/>
      <c r="G955" s="44"/>
      <c r="H955" s="44"/>
      <c r="I955" s="53"/>
      <c r="J955" s="44"/>
      <c r="K955" s="44"/>
      <c r="L955" s="44"/>
      <c r="M955" s="44"/>
      <c r="N955" s="44"/>
      <c r="O955" s="44"/>
      <c r="P955" s="44"/>
      <c r="Q955" s="44"/>
      <c r="R955" s="44"/>
      <c r="S955" s="44"/>
      <c r="T955" s="44"/>
      <c r="U955" s="44"/>
      <c r="V955" s="44"/>
      <c r="W955" s="44"/>
      <c r="X955" s="44"/>
      <c r="Y955" s="44"/>
      <c r="Z955" s="44"/>
      <c r="AA955" s="44"/>
      <c r="AB955" s="44"/>
      <c r="AC955" s="44"/>
      <c r="AD955" s="44"/>
      <c r="AE955" s="44"/>
      <c r="AF955" s="44"/>
      <c r="AG955" s="44"/>
    </row>
    <row r="956" spans="1:33" ht="16.5" customHeight="1">
      <c r="A956" s="44"/>
      <c r="B956" s="44"/>
      <c r="C956" s="44"/>
      <c r="D956" s="172"/>
      <c r="E956" s="44"/>
      <c r="F956" s="44"/>
      <c r="G956" s="44"/>
      <c r="H956" s="44"/>
      <c r="I956" s="53"/>
      <c r="J956" s="44"/>
      <c r="K956" s="44"/>
      <c r="L956" s="44"/>
      <c r="M956" s="44"/>
      <c r="N956" s="44"/>
      <c r="O956" s="44"/>
      <c r="P956" s="44"/>
      <c r="Q956" s="44"/>
      <c r="R956" s="44"/>
      <c r="S956" s="44"/>
      <c r="T956" s="44"/>
      <c r="U956" s="44"/>
      <c r="V956" s="44"/>
      <c r="W956" s="44"/>
      <c r="X956" s="44"/>
      <c r="Y956" s="44"/>
      <c r="Z956" s="44"/>
      <c r="AA956" s="44"/>
      <c r="AB956" s="44"/>
      <c r="AC956" s="44"/>
      <c r="AD956" s="44"/>
      <c r="AE956" s="44"/>
      <c r="AF956" s="44"/>
      <c r="AG956" s="44"/>
    </row>
    <row r="957" spans="1:33" ht="16.5" customHeight="1">
      <c r="A957" s="44"/>
      <c r="B957" s="44"/>
      <c r="C957" s="44"/>
      <c r="D957" s="172"/>
      <c r="E957" s="44"/>
      <c r="F957" s="44"/>
      <c r="G957" s="44"/>
      <c r="H957" s="44"/>
      <c r="I957" s="53"/>
      <c r="J957" s="44"/>
      <c r="K957" s="44"/>
      <c r="L957" s="44"/>
      <c r="M957" s="44"/>
      <c r="N957" s="44"/>
      <c r="O957" s="44"/>
      <c r="P957" s="44"/>
      <c r="Q957" s="44"/>
      <c r="R957" s="44"/>
      <c r="S957" s="44"/>
      <c r="T957" s="44"/>
      <c r="U957" s="44"/>
      <c r="V957" s="44"/>
      <c r="W957" s="44"/>
      <c r="X957" s="44"/>
      <c r="Y957" s="44"/>
      <c r="Z957" s="44"/>
      <c r="AA957" s="44"/>
      <c r="AB957" s="44"/>
      <c r="AC957" s="44"/>
      <c r="AD957" s="44"/>
      <c r="AE957" s="44"/>
      <c r="AF957" s="44"/>
      <c r="AG957" s="44"/>
    </row>
    <row r="958" spans="1:33" ht="16.5" customHeight="1">
      <c r="A958" s="44"/>
      <c r="B958" s="44"/>
      <c r="C958" s="44"/>
      <c r="D958" s="172"/>
      <c r="E958" s="44"/>
      <c r="F958" s="44"/>
      <c r="G958" s="44"/>
      <c r="H958" s="44"/>
      <c r="I958" s="53"/>
      <c r="J958" s="44"/>
      <c r="K958" s="44"/>
      <c r="L958" s="44"/>
      <c r="M958" s="44"/>
      <c r="N958" s="44"/>
      <c r="O958" s="44"/>
      <c r="P958" s="44"/>
      <c r="Q958" s="44"/>
      <c r="R958" s="44"/>
      <c r="S958" s="44"/>
      <c r="T958" s="44"/>
      <c r="U958" s="44"/>
      <c r="V958" s="44"/>
      <c r="W958" s="44"/>
      <c r="X958" s="44"/>
      <c r="Y958" s="44"/>
      <c r="Z958" s="44"/>
      <c r="AA958" s="44"/>
      <c r="AB958" s="44"/>
      <c r="AC958" s="44"/>
      <c r="AD958" s="44"/>
      <c r="AE958" s="44"/>
      <c r="AF958" s="44"/>
      <c r="AG958" s="44"/>
    </row>
    <row r="959" spans="1:33" ht="16.5" customHeight="1">
      <c r="A959" s="44"/>
      <c r="B959" s="44"/>
      <c r="C959" s="44"/>
      <c r="D959" s="172"/>
      <c r="E959" s="44"/>
      <c r="F959" s="44"/>
      <c r="G959" s="44"/>
      <c r="H959" s="44"/>
      <c r="I959" s="53"/>
      <c r="J959" s="44"/>
      <c r="K959" s="44"/>
      <c r="L959" s="44"/>
      <c r="M959" s="44"/>
      <c r="N959" s="44"/>
      <c r="O959" s="44"/>
      <c r="P959" s="44"/>
      <c r="Q959" s="44"/>
      <c r="R959" s="44"/>
      <c r="S959" s="44"/>
      <c r="T959" s="44"/>
      <c r="U959" s="44"/>
      <c r="V959" s="44"/>
      <c r="W959" s="44"/>
      <c r="X959" s="44"/>
      <c r="Y959" s="44"/>
      <c r="Z959" s="44"/>
      <c r="AA959" s="44"/>
      <c r="AB959" s="44"/>
      <c r="AC959" s="44"/>
      <c r="AD959" s="44"/>
      <c r="AE959" s="44"/>
      <c r="AF959" s="44"/>
      <c r="AG959" s="44"/>
    </row>
    <row r="960" spans="1:33" ht="16.5" customHeight="1">
      <c r="A960" s="44"/>
      <c r="B960" s="44"/>
      <c r="C960" s="44"/>
      <c r="D960" s="172"/>
      <c r="E960" s="44"/>
      <c r="F960" s="44"/>
      <c r="G960" s="44"/>
      <c r="H960" s="44"/>
      <c r="I960" s="53"/>
      <c r="J960" s="44"/>
      <c r="K960" s="44"/>
      <c r="L960" s="44"/>
      <c r="M960" s="44"/>
      <c r="N960" s="44"/>
      <c r="O960" s="44"/>
      <c r="P960" s="44"/>
      <c r="Q960" s="44"/>
      <c r="R960" s="44"/>
      <c r="S960" s="44"/>
      <c r="T960" s="44"/>
      <c r="U960" s="44"/>
      <c r="V960" s="44"/>
      <c r="W960" s="44"/>
      <c r="X960" s="44"/>
      <c r="Y960" s="44"/>
      <c r="Z960" s="44"/>
      <c r="AA960" s="44"/>
      <c r="AB960" s="44"/>
      <c r="AC960" s="44"/>
      <c r="AD960" s="44"/>
      <c r="AE960" s="44"/>
      <c r="AF960" s="44"/>
      <c r="AG960" s="44"/>
    </row>
    <row r="961" spans="1:33" ht="16.5" customHeight="1">
      <c r="A961" s="44"/>
      <c r="B961" s="44"/>
      <c r="C961" s="44"/>
      <c r="D961" s="172"/>
      <c r="E961" s="44"/>
      <c r="F961" s="44"/>
      <c r="G961" s="44"/>
      <c r="H961" s="44"/>
      <c r="I961" s="53"/>
      <c r="J961" s="44"/>
      <c r="K961" s="44"/>
      <c r="L961" s="44"/>
      <c r="M961" s="44"/>
      <c r="N961" s="44"/>
      <c r="O961" s="44"/>
      <c r="P961" s="44"/>
      <c r="Q961" s="44"/>
      <c r="R961" s="44"/>
      <c r="S961" s="44"/>
      <c r="T961" s="44"/>
      <c r="U961" s="44"/>
      <c r="V961" s="44"/>
      <c r="W961" s="44"/>
      <c r="X961" s="44"/>
      <c r="Y961" s="44"/>
      <c r="Z961" s="44"/>
      <c r="AA961" s="44"/>
      <c r="AB961" s="44"/>
      <c r="AC961" s="44"/>
      <c r="AD961" s="44"/>
      <c r="AE961" s="44"/>
      <c r="AF961" s="44"/>
      <c r="AG961" s="44"/>
    </row>
    <row r="962" spans="1:33" ht="16.5" customHeight="1">
      <c r="A962" s="44"/>
      <c r="B962" s="44"/>
      <c r="C962" s="44"/>
      <c r="D962" s="172"/>
      <c r="E962" s="44"/>
      <c r="F962" s="44"/>
      <c r="G962" s="44"/>
      <c r="H962" s="44"/>
      <c r="I962" s="53"/>
      <c r="J962" s="44"/>
      <c r="K962" s="44"/>
      <c r="L962" s="44"/>
      <c r="M962" s="44"/>
      <c r="N962" s="44"/>
      <c r="O962" s="44"/>
      <c r="P962" s="44"/>
      <c r="Q962" s="44"/>
      <c r="R962" s="44"/>
      <c r="S962" s="44"/>
      <c r="T962" s="44"/>
      <c r="U962" s="44"/>
      <c r="V962" s="44"/>
      <c r="W962" s="44"/>
      <c r="X962" s="44"/>
      <c r="Y962" s="44"/>
      <c r="Z962" s="44"/>
      <c r="AA962" s="44"/>
      <c r="AB962" s="44"/>
      <c r="AC962" s="44"/>
      <c r="AD962" s="44"/>
      <c r="AE962" s="44"/>
      <c r="AF962" s="44"/>
      <c r="AG962" s="44"/>
    </row>
    <row r="963" spans="1:33" ht="16.5" customHeight="1">
      <c r="A963" s="44"/>
      <c r="B963" s="44"/>
      <c r="C963" s="44"/>
      <c r="D963" s="172"/>
      <c r="E963" s="44"/>
      <c r="F963" s="44"/>
      <c r="G963" s="44"/>
      <c r="H963" s="44"/>
      <c r="I963" s="53"/>
      <c r="J963" s="44"/>
      <c r="K963" s="44"/>
      <c r="L963" s="44"/>
      <c r="M963" s="44"/>
      <c r="N963" s="44"/>
      <c r="O963" s="44"/>
      <c r="P963" s="44"/>
      <c r="Q963" s="44"/>
      <c r="R963" s="44"/>
      <c r="S963" s="44"/>
      <c r="T963" s="44"/>
      <c r="U963" s="44"/>
      <c r="V963" s="44"/>
      <c r="W963" s="44"/>
      <c r="X963" s="44"/>
      <c r="Y963" s="44"/>
      <c r="Z963" s="44"/>
      <c r="AA963" s="44"/>
      <c r="AB963" s="44"/>
      <c r="AC963" s="44"/>
      <c r="AD963" s="44"/>
      <c r="AE963" s="44"/>
      <c r="AF963" s="44"/>
      <c r="AG963" s="44"/>
    </row>
    <row r="964" spans="1:33" ht="16.5" customHeight="1">
      <c r="A964" s="44"/>
      <c r="B964" s="44"/>
      <c r="C964" s="44"/>
      <c r="D964" s="172"/>
      <c r="E964" s="44"/>
      <c r="F964" s="44"/>
      <c r="G964" s="44"/>
      <c r="H964" s="44"/>
      <c r="I964" s="53"/>
      <c r="J964" s="44"/>
      <c r="K964" s="44"/>
      <c r="L964" s="44"/>
      <c r="M964" s="44"/>
      <c r="N964" s="44"/>
      <c r="O964" s="44"/>
      <c r="P964" s="44"/>
      <c r="Q964" s="44"/>
      <c r="R964" s="44"/>
      <c r="S964" s="44"/>
      <c r="T964" s="44"/>
      <c r="U964" s="44"/>
      <c r="V964" s="44"/>
      <c r="W964" s="44"/>
      <c r="X964" s="44"/>
      <c r="Y964" s="44"/>
      <c r="Z964" s="44"/>
      <c r="AA964" s="44"/>
      <c r="AB964" s="44"/>
      <c r="AC964" s="44"/>
      <c r="AD964" s="44"/>
      <c r="AE964" s="44"/>
      <c r="AF964" s="44"/>
      <c r="AG964" s="44"/>
    </row>
    <row r="965" spans="1:33" ht="16.5" customHeight="1">
      <c r="A965" s="44"/>
      <c r="B965" s="44"/>
      <c r="C965" s="44"/>
      <c r="D965" s="172"/>
      <c r="E965" s="44"/>
      <c r="F965" s="44"/>
      <c r="G965" s="44"/>
      <c r="H965" s="44"/>
      <c r="I965" s="53"/>
      <c r="J965" s="44"/>
      <c r="K965" s="44"/>
      <c r="L965" s="44"/>
      <c r="M965" s="44"/>
      <c r="N965" s="44"/>
      <c r="O965" s="44"/>
      <c r="P965" s="44"/>
      <c r="Q965" s="44"/>
      <c r="R965" s="44"/>
      <c r="S965" s="44"/>
      <c r="T965" s="44"/>
      <c r="U965" s="44"/>
      <c r="V965" s="44"/>
      <c r="W965" s="44"/>
      <c r="X965" s="44"/>
      <c r="Y965" s="44"/>
      <c r="Z965" s="44"/>
      <c r="AA965" s="44"/>
      <c r="AB965" s="44"/>
      <c r="AC965" s="44"/>
      <c r="AD965" s="44"/>
      <c r="AE965" s="44"/>
      <c r="AF965" s="44"/>
      <c r="AG965" s="44"/>
    </row>
    <row r="966" spans="1:33" ht="16.5" customHeight="1">
      <c r="A966" s="44"/>
      <c r="B966" s="44"/>
      <c r="C966" s="44"/>
      <c r="D966" s="172"/>
      <c r="E966" s="44"/>
      <c r="F966" s="44"/>
      <c r="G966" s="44"/>
      <c r="H966" s="44"/>
      <c r="I966" s="53"/>
      <c r="J966" s="44"/>
      <c r="K966" s="44"/>
      <c r="L966" s="44"/>
      <c r="M966" s="44"/>
      <c r="N966" s="44"/>
      <c r="O966" s="44"/>
      <c r="P966" s="44"/>
      <c r="Q966" s="44"/>
      <c r="R966" s="44"/>
      <c r="S966" s="44"/>
      <c r="T966" s="44"/>
      <c r="U966" s="44"/>
      <c r="V966" s="44"/>
      <c r="W966" s="44"/>
      <c r="X966" s="44"/>
      <c r="Y966" s="44"/>
      <c r="Z966" s="44"/>
      <c r="AA966" s="44"/>
      <c r="AB966" s="44"/>
      <c r="AC966" s="44"/>
      <c r="AD966" s="44"/>
      <c r="AE966" s="44"/>
      <c r="AF966" s="44"/>
      <c r="AG966" s="44"/>
    </row>
    <row r="967" spans="1:33" ht="16.5" customHeight="1">
      <c r="A967" s="44"/>
      <c r="B967" s="44"/>
      <c r="C967" s="44"/>
      <c r="D967" s="172"/>
      <c r="E967" s="44"/>
      <c r="F967" s="44"/>
      <c r="G967" s="44"/>
      <c r="H967" s="44"/>
      <c r="I967" s="53"/>
      <c r="J967" s="44"/>
      <c r="K967" s="44"/>
      <c r="L967" s="44"/>
      <c r="M967" s="44"/>
      <c r="N967" s="44"/>
      <c r="O967" s="44"/>
      <c r="P967" s="44"/>
      <c r="Q967" s="44"/>
      <c r="R967" s="44"/>
      <c r="S967" s="44"/>
      <c r="T967" s="44"/>
      <c r="U967" s="44"/>
      <c r="V967" s="44"/>
      <c r="W967" s="44"/>
      <c r="X967" s="44"/>
      <c r="Y967" s="44"/>
      <c r="Z967" s="44"/>
      <c r="AA967" s="44"/>
      <c r="AB967" s="44"/>
      <c r="AC967" s="44"/>
      <c r="AD967" s="44"/>
      <c r="AE967" s="44"/>
      <c r="AF967" s="44"/>
      <c r="AG967" s="44"/>
    </row>
    <row r="968" spans="1:33" ht="16.5" customHeight="1">
      <c r="A968" s="44"/>
      <c r="B968" s="44"/>
      <c r="C968" s="44"/>
      <c r="D968" s="172"/>
      <c r="E968" s="44"/>
      <c r="F968" s="44"/>
      <c r="G968" s="44"/>
      <c r="H968" s="44"/>
      <c r="I968" s="53"/>
      <c r="J968" s="44"/>
      <c r="K968" s="44"/>
      <c r="L968" s="44"/>
      <c r="M968" s="44"/>
      <c r="N968" s="44"/>
      <c r="O968" s="44"/>
      <c r="P968" s="44"/>
      <c r="Q968" s="44"/>
      <c r="R968" s="44"/>
      <c r="S968" s="44"/>
      <c r="T968" s="44"/>
      <c r="U968" s="44"/>
      <c r="V968" s="44"/>
      <c r="W968" s="44"/>
      <c r="X968" s="44"/>
      <c r="Y968" s="44"/>
      <c r="Z968" s="44"/>
      <c r="AA968" s="44"/>
      <c r="AB968" s="44"/>
      <c r="AC968" s="44"/>
      <c r="AD968" s="44"/>
      <c r="AE968" s="44"/>
      <c r="AF968" s="44"/>
      <c r="AG968" s="44"/>
    </row>
    <row r="969" spans="1:33" ht="16.5" customHeight="1">
      <c r="A969" s="44"/>
      <c r="B969" s="44"/>
      <c r="C969" s="44"/>
      <c r="D969" s="172"/>
      <c r="E969" s="44"/>
      <c r="F969" s="44"/>
      <c r="G969" s="44"/>
      <c r="H969" s="44"/>
      <c r="I969" s="53"/>
      <c r="J969" s="44"/>
      <c r="K969" s="44"/>
      <c r="L969" s="44"/>
      <c r="M969" s="44"/>
      <c r="N969" s="44"/>
      <c r="O969" s="44"/>
      <c r="P969" s="44"/>
      <c r="Q969" s="44"/>
      <c r="R969" s="44"/>
      <c r="S969" s="44"/>
      <c r="T969" s="44"/>
      <c r="U969" s="44"/>
      <c r="V969" s="44"/>
      <c r="W969" s="44"/>
      <c r="X969" s="44"/>
      <c r="Y969" s="44"/>
      <c r="Z969" s="44"/>
      <c r="AA969" s="44"/>
      <c r="AB969" s="44"/>
      <c r="AC969" s="44"/>
      <c r="AD969" s="44"/>
      <c r="AE969" s="44"/>
      <c r="AF969" s="44"/>
      <c r="AG969" s="44"/>
    </row>
    <row r="970" spans="1:33" ht="16.5" customHeight="1">
      <c r="A970" s="44"/>
      <c r="B970" s="44"/>
      <c r="C970" s="44"/>
      <c r="D970" s="172"/>
      <c r="E970" s="44"/>
      <c r="F970" s="44"/>
      <c r="G970" s="44"/>
      <c r="H970" s="44"/>
      <c r="I970" s="53"/>
      <c r="J970" s="44"/>
      <c r="K970" s="44"/>
      <c r="L970" s="44"/>
      <c r="M970" s="44"/>
      <c r="N970" s="44"/>
      <c r="O970" s="44"/>
      <c r="P970" s="44"/>
      <c r="Q970" s="44"/>
      <c r="R970" s="44"/>
      <c r="S970" s="44"/>
      <c r="T970" s="44"/>
      <c r="U970" s="44"/>
      <c r="V970" s="44"/>
      <c r="W970" s="44"/>
      <c r="X970" s="44"/>
      <c r="Y970" s="44"/>
      <c r="Z970" s="44"/>
      <c r="AA970" s="44"/>
      <c r="AB970" s="44"/>
      <c r="AC970" s="44"/>
      <c r="AD970" s="44"/>
      <c r="AE970" s="44"/>
      <c r="AF970" s="44"/>
      <c r="AG970" s="44"/>
    </row>
    <row r="971" spans="1:33" ht="16.5" customHeight="1">
      <c r="A971" s="44"/>
      <c r="B971" s="44"/>
      <c r="C971" s="44"/>
      <c r="D971" s="172"/>
      <c r="E971" s="44"/>
      <c r="F971" s="44"/>
      <c r="G971" s="44"/>
      <c r="H971" s="44"/>
      <c r="I971" s="53"/>
      <c r="J971" s="44"/>
      <c r="K971" s="44"/>
      <c r="L971" s="44"/>
      <c r="M971" s="44"/>
      <c r="N971" s="44"/>
      <c r="O971" s="44"/>
      <c r="P971" s="44"/>
      <c r="Q971" s="44"/>
      <c r="R971" s="44"/>
      <c r="S971" s="44"/>
      <c r="T971" s="44"/>
      <c r="U971" s="44"/>
      <c r="V971" s="44"/>
      <c r="W971" s="44"/>
      <c r="X971" s="44"/>
      <c r="Y971" s="44"/>
      <c r="Z971" s="44"/>
      <c r="AA971" s="44"/>
      <c r="AB971" s="44"/>
      <c r="AC971" s="44"/>
      <c r="AD971" s="44"/>
      <c r="AE971" s="44"/>
      <c r="AF971" s="44"/>
      <c r="AG971" s="44"/>
    </row>
    <row r="972" spans="1:33" ht="16.5" customHeight="1">
      <c r="A972" s="44"/>
      <c r="B972" s="44"/>
      <c r="C972" s="44"/>
      <c r="D972" s="172"/>
      <c r="E972" s="44"/>
      <c r="F972" s="44"/>
      <c r="G972" s="44"/>
      <c r="H972" s="44"/>
      <c r="I972" s="53"/>
      <c r="J972" s="44"/>
      <c r="K972" s="44"/>
      <c r="L972" s="44"/>
      <c r="M972" s="44"/>
      <c r="N972" s="44"/>
      <c r="O972" s="44"/>
      <c r="P972" s="44"/>
      <c r="Q972" s="44"/>
      <c r="R972" s="44"/>
      <c r="S972" s="44"/>
      <c r="T972" s="44"/>
      <c r="U972" s="44"/>
      <c r="V972" s="44"/>
      <c r="W972" s="44"/>
      <c r="X972" s="44"/>
      <c r="Y972" s="44"/>
      <c r="Z972" s="44"/>
      <c r="AA972" s="44"/>
      <c r="AB972" s="44"/>
      <c r="AC972" s="44"/>
      <c r="AD972" s="44"/>
      <c r="AE972" s="44"/>
      <c r="AF972" s="44"/>
      <c r="AG972" s="44"/>
    </row>
    <row r="973" spans="1:33" ht="16.5" customHeight="1">
      <c r="A973" s="44"/>
      <c r="B973" s="44"/>
      <c r="C973" s="44"/>
      <c r="D973" s="172"/>
      <c r="E973" s="44"/>
      <c r="F973" s="44"/>
      <c r="G973" s="44"/>
      <c r="H973" s="44"/>
      <c r="I973" s="53"/>
      <c r="J973" s="44"/>
      <c r="K973" s="44"/>
      <c r="L973" s="44"/>
      <c r="M973" s="44"/>
      <c r="N973" s="44"/>
      <c r="O973" s="44"/>
      <c r="P973" s="44"/>
      <c r="Q973" s="44"/>
      <c r="R973" s="44"/>
      <c r="S973" s="44"/>
      <c r="T973" s="44"/>
      <c r="U973" s="44"/>
      <c r="V973" s="44"/>
      <c r="W973" s="44"/>
      <c r="X973" s="44"/>
      <c r="Y973" s="44"/>
      <c r="Z973" s="44"/>
      <c r="AA973" s="44"/>
      <c r="AB973" s="44"/>
      <c r="AC973" s="44"/>
      <c r="AD973" s="44"/>
      <c r="AE973" s="44"/>
      <c r="AF973" s="44"/>
      <c r="AG973" s="44"/>
    </row>
    <row r="974" spans="1:33" ht="16.5" customHeight="1">
      <c r="A974" s="44"/>
      <c r="B974" s="44"/>
      <c r="C974" s="44"/>
      <c r="D974" s="172"/>
      <c r="E974" s="44"/>
      <c r="F974" s="44"/>
      <c r="G974" s="44"/>
      <c r="H974" s="44"/>
      <c r="I974" s="53"/>
      <c r="J974" s="44"/>
      <c r="K974" s="44"/>
      <c r="L974" s="44"/>
      <c r="M974" s="44"/>
      <c r="N974" s="44"/>
      <c r="O974" s="44"/>
      <c r="P974" s="44"/>
      <c r="Q974" s="44"/>
      <c r="R974" s="44"/>
      <c r="S974" s="44"/>
      <c r="T974" s="44"/>
      <c r="U974" s="44"/>
      <c r="V974" s="44"/>
      <c r="W974" s="44"/>
      <c r="X974" s="44"/>
      <c r="Y974" s="44"/>
      <c r="Z974" s="44"/>
      <c r="AA974" s="44"/>
      <c r="AB974" s="44"/>
      <c r="AC974" s="44"/>
      <c r="AD974" s="44"/>
      <c r="AE974" s="44"/>
      <c r="AF974" s="44"/>
      <c r="AG974" s="44"/>
    </row>
    <row r="975" spans="1:33" ht="16.5" customHeight="1">
      <c r="A975" s="44"/>
      <c r="B975" s="44"/>
      <c r="C975" s="44"/>
      <c r="D975" s="172"/>
      <c r="E975" s="44"/>
      <c r="F975" s="44"/>
      <c r="G975" s="44"/>
      <c r="H975" s="44"/>
      <c r="I975" s="53"/>
      <c r="J975" s="44"/>
      <c r="K975" s="44"/>
      <c r="L975" s="44"/>
      <c r="M975" s="44"/>
      <c r="N975" s="44"/>
      <c r="O975" s="44"/>
      <c r="P975" s="44"/>
      <c r="Q975" s="44"/>
      <c r="R975" s="44"/>
      <c r="S975" s="44"/>
      <c r="T975" s="44"/>
      <c r="U975" s="44"/>
      <c r="V975" s="44"/>
      <c r="W975" s="44"/>
      <c r="X975" s="44"/>
      <c r="Y975" s="44"/>
      <c r="Z975" s="44"/>
      <c r="AA975" s="44"/>
      <c r="AB975" s="44"/>
      <c r="AC975" s="44"/>
      <c r="AD975" s="44"/>
      <c r="AE975" s="44"/>
      <c r="AF975" s="44"/>
      <c r="AG975" s="44"/>
    </row>
    <row r="976" spans="1:33" ht="16.5" customHeight="1">
      <c r="A976" s="44"/>
      <c r="B976" s="44"/>
      <c r="C976" s="44"/>
      <c r="D976" s="172"/>
      <c r="E976" s="44"/>
      <c r="F976" s="44"/>
      <c r="G976" s="44"/>
      <c r="H976" s="44"/>
      <c r="I976" s="53"/>
      <c r="J976" s="44"/>
      <c r="K976" s="44"/>
      <c r="L976" s="44"/>
      <c r="M976" s="44"/>
      <c r="N976" s="44"/>
      <c r="O976" s="44"/>
      <c r="P976" s="44"/>
      <c r="Q976" s="44"/>
      <c r="R976" s="44"/>
      <c r="S976" s="44"/>
      <c r="T976" s="44"/>
      <c r="U976" s="44"/>
      <c r="V976" s="44"/>
      <c r="W976" s="44"/>
      <c r="X976" s="44"/>
      <c r="Y976" s="44"/>
      <c r="Z976" s="44"/>
      <c r="AA976" s="44"/>
      <c r="AB976" s="44"/>
      <c r="AC976" s="44"/>
      <c r="AD976" s="44"/>
      <c r="AE976" s="44"/>
      <c r="AF976" s="44"/>
      <c r="AG976" s="44"/>
    </row>
    <row r="977" spans="1:33" ht="16.5" customHeight="1">
      <c r="A977" s="44"/>
      <c r="B977" s="44"/>
      <c r="C977" s="44"/>
      <c r="D977" s="172"/>
      <c r="E977" s="44"/>
      <c r="F977" s="44"/>
      <c r="G977" s="44"/>
      <c r="H977" s="44"/>
      <c r="I977" s="53"/>
      <c r="J977" s="44"/>
      <c r="K977" s="44"/>
      <c r="L977" s="44"/>
      <c r="M977" s="44"/>
      <c r="N977" s="44"/>
      <c r="O977" s="44"/>
      <c r="P977" s="44"/>
      <c r="Q977" s="44"/>
      <c r="R977" s="44"/>
      <c r="S977" s="44"/>
      <c r="T977" s="44"/>
      <c r="U977" s="44"/>
      <c r="V977" s="44"/>
      <c r="W977" s="44"/>
      <c r="X977" s="44"/>
      <c r="Y977" s="44"/>
      <c r="Z977" s="44"/>
      <c r="AA977" s="44"/>
      <c r="AB977" s="44"/>
      <c r="AC977" s="44"/>
      <c r="AD977" s="44"/>
      <c r="AE977" s="44"/>
      <c r="AF977" s="44"/>
      <c r="AG977" s="44"/>
    </row>
    <row r="978" spans="1:33" ht="16.5" customHeight="1">
      <c r="A978" s="44"/>
      <c r="B978" s="44"/>
      <c r="C978" s="44"/>
      <c r="D978" s="172"/>
      <c r="E978" s="44"/>
      <c r="F978" s="44"/>
      <c r="G978" s="44"/>
      <c r="H978" s="44"/>
      <c r="I978" s="53"/>
      <c r="J978" s="44"/>
      <c r="K978" s="44"/>
      <c r="L978" s="44"/>
      <c r="M978" s="44"/>
      <c r="N978" s="44"/>
      <c r="O978" s="44"/>
      <c r="P978" s="44"/>
      <c r="Q978" s="44"/>
      <c r="R978" s="44"/>
      <c r="S978" s="44"/>
      <c r="T978" s="44"/>
      <c r="U978" s="44"/>
      <c r="V978" s="44"/>
      <c r="W978" s="44"/>
      <c r="X978" s="44"/>
      <c r="Y978" s="44"/>
      <c r="Z978" s="44"/>
      <c r="AA978" s="44"/>
      <c r="AB978" s="44"/>
      <c r="AC978" s="44"/>
      <c r="AD978" s="44"/>
      <c r="AE978" s="44"/>
      <c r="AF978" s="44"/>
      <c r="AG978" s="44"/>
    </row>
    <row r="979" spans="1:33" ht="16.5" customHeight="1">
      <c r="A979" s="44"/>
      <c r="B979" s="44"/>
      <c r="C979" s="44"/>
      <c r="D979" s="172"/>
      <c r="E979" s="44"/>
      <c r="F979" s="44"/>
      <c r="G979" s="44"/>
      <c r="H979" s="44"/>
      <c r="I979" s="53"/>
      <c r="J979" s="44"/>
      <c r="K979" s="44"/>
      <c r="L979" s="44"/>
      <c r="M979" s="44"/>
      <c r="N979" s="44"/>
      <c r="O979" s="44"/>
      <c r="P979" s="44"/>
      <c r="Q979" s="44"/>
      <c r="R979" s="44"/>
      <c r="S979" s="44"/>
      <c r="T979" s="44"/>
      <c r="U979" s="44"/>
      <c r="V979" s="44"/>
      <c r="W979" s="44"/>
      <c r="X979" s="44"/>
      <c r="Y979" s="44"/>
      <c r="Z979" s="44"/>
      <c r="AA979" s="44"/>
      <c r="AB979" s="44"/>
      <c r="AC979" s="44"/>
      <c r="AD979" s="44"/>
      <c r="AE979" s="44"/>
      <c r="AF979" s="44"/>
      <c r="AG979" s="44"/>
    </row>
    <row r="980" spans="1:33" ht="16.5" customHeight="1">
      <c r="A980" s="44"/>
      <c r="B980" s="44"/>
      <c r="C980" s="44"/>
      <c r="D980" s="172"/>
      <c r="E980" s="44"/>
      <c r="F980" s="44"/>
      <c r="G980" s="44"/>
      <c r="H980" s="44"/>
      <c r="I980" s="53"/>
      <c r="J980" s="44"/>
      <c r="K980" s="44"/>
      <c r="L980" s="44"/>
      <c r="M980" s="44"/>
      <c r="N980" s="44"/>
      <c r="O980" s="44"/>
      <c r="P980" s="44"/>
      <c r="Q980" s="44"/>
      <c r="R980" s="44"/>
      <c r="S980" s="44"/>
      <c r="T980" s="44"/>
      <c r="U980" s="44"/>
      <c r="V980" s="44"/>
      <c r="W980" s="44"/>
      <c r="X980" s="44"/>
      <c r="Y980" s="44"/>
      <c r="Z980" s="44"/>
      <c r="AA980" s="44"/>
      <c r="AB980" s="44"/>
      <c r="AC980" s="44"/>
      <c r="AD980" s="44"/>
      <c r="AE980" s="44"/>
      <c r="AF980" s="44"/>
      <c r="AG980" s="44"/>
    </row>
    <row r="981" spans="1:33" ht="16.5" customHeight="1">
      <c r="A981" s="44"/>
      <c r="B981" s="44"/>
      <c r="C981" s="44"/>
      <c r="D981" s="172"/>
      <c r="E981" s="44"/>
      <c r="F981" s="44"/>
      <c r="G981" s="44"/>
      <c r="H981" s="44"/>
      <c r="I981" s="53"/>
      <c r="J981" s="44"/>
      <c r="K981" s="44"/>
      <c r="L981" s="44"/>
      <c r="M981" s="44"/>
      <c r="N981" s="44"/>
      <c r="O981" s="44"/>
      <c r="P981" s="44"/>
      <c r="Q981" s="44"/>
      <c r="R981" s="44"/>
      <c r="S981" s="44"/>
      <c r="T981" s="44"/>
      <c r="U981" s="44"/>
      <c r="V981" s="44"/>
      <c r="W981" s="44"/>
      <c r="X981" s="44"/>
      <c r="Y981" s="44"/>
      <c r="Z981" s="44"/>
      <c r="AA981" s="44"/>
      <c r="AB981" s="44"/>
      <c r="AC981" s="44"/>
      <c r="AD981" s="44"/>
      <c r="AE981" s="44"/>
      <c r="AF981" s="44"/>
      <c r="AG981" s="44"/>
    </row>
    <row r="982" spans="1:33" ht="16.5" customHeight="1">
      <c r="A982" s="44"/>
      <c r="B982" s="44"/>
      <c r="C982" s="44"/>
      <c r="D982" s="172"/>
      <c r="E982" s="44"/>
      <c r="F982" s="44"/>
      <c r="G982" s="44"/>
      <c r="H982" s="44"/>
      <c r="I982" s="53"/>
      <c r="J982" s="44"/>
      <c r="K982" s="44"/>
      <c r="L982" s="44"/>
      <c r="M982" s="44"/>
      <c r="N982" s="44"/>
      <c r="O982" s="44"/>
      <c r="P982" s="44"/>
      <c r="Q982" s="44"/>
      <c r="R982" s="44"/>
      <c r="S982" s="44"/>
      <c r="T982" s="44"/>
      <c r="U982" s="44"/>
      <c r="V982" s="44"/>
      <c r="W982" s="44"/>
      <c r="X982" s="44"/>
      <c r="Y982" s="44"/>
      <c r="Z982" s="44"/>
      <c r="AA982" s="44"/>
      <c r="AB982" s="44"/>
      <c r="AC982" s="44"/>
      <c r="AD982" s="44"/>
      <c r="AE982" s="44"/>
      <c r="AF982" s="44"/>
      <c r="AG982" s="44"/>
    </row>
    <row r="983" spans="1:33" ht="16.5" customHeight="1">
      <c r="A983" s="44"/>
      <c r="B983" s="44"/>
      <c r="C983" s="44"/>
      <c r="D983" s="172"/>
      <c r="E983" s="44"/>
      <c r="F983" s="44"/>
      <c r="G983" s="44"/>
      <c r="H983" s="44"/>
      <c r="I983" s="53"/>
      <c r="J983" s="44"/>
      <c r="K983" s="44"/>
      <c r="L983" s="44"/>
      <c r="M983" s="44"/>
      <c r="N983" s="44"/>
      <c r="O983" s="44"/>
      <c r="P983" s="44"/>
      <c r="Q983" s="44"/>
      <c r="R983" s="44"/>
      <c r="S983" s="44"/>
      <c r="T983" s="44"/>
      <c r="U983" s="44"/>
      <c r="V983" s="44"/>
      <c r="W983" s="44"/>
      <c r="X983" s="44"/>
      <c r="Y983" s="44"/>
      <c r="Z983" s="44"/>
      <c r="AA983" s="44"/>
      <c r="AB983" s="44"/>
      <c r="AC983" s="44"/>
      <c r="AD983" s="44"/>
      <c r="AE983" s="44"/>
      <c r="AF983" s="44"/>
      <c r="AG983" s="44"/>
    </row>
    <row r="984" spans="1:33" ht="16.5" customHeight="1">
      <c r="A984" s="44"/>
      <c r="B984" s="44"/>
      <c r="C984" s="44"/>
      <c r="D984" s="172"/>
      <c r="E984" s="44"/>
      <c r="F984" s="44"/>
      <c r="G984" s="44"/>
      <c r="H984" s="44"/>
      <c r="I984" s="53"/>
      <c r="J984" s="44"/>
      <c r="K984" s="44"/>
      <c r="L984" s="44"/>
      <c r="M984" s="44"/>
      <c r="N984" s="44"/>
      <c r="O984" s="44"/>
      <c r="P984" s="44"/>
      <c r="Q984" s="44"/>
      <c r="R984" s="44"/>
      <c r="S984" s="44"/>
      <c r="T984" s="44"/>
      <c r="U984" s="44"/>
      <c r="V984" s="44"/>
      <c r="W984" s="44"/>
      <c r="X984" s="44"/>
      <c r="Y984" s="44"/>
      <c r="Z984" s="44"/>
      <c r="AA984" s="44"/>
      <c r="AB984" s="44"/>
      <c r="AC984" s="44"/>
      <c r="AD984" s="44"/>
      <c r="AE984" s="44"/>
      <c r="AF984" s="44"/>
      <c r="AG984" s="44"/>
    </row>
    <row r="985" spans="1:33" ht="16.5" customHeight="1">
      <c r="A985" s="44"/>
      <c r="B985" s="44"/>
      <c r="C985" s="44"/>
      <c r="D985" s="172"/>
      <c r="E985" s="44"/>
      <c r="F985" s="44"/>
      <c r="G985" s="44"/>
      <c r="H985" s="44"/>
      <c r="I985" s="53"/>
      <c r="J985" s="44"/>
      <c r="K985" s="44"/>
      <c r="L985" s="44"/>
      <c r="M985" s="44"/>
      <c r="N985" s="44"/>
      <c r="O985" s="44"/>
      <c r="P985" s="44"/>
      <c r="Q985" s="44"/>
      <c r="R985" s="44"/>
      <c r="S985" s="44"/>
      <c r="T985" s="44"/>
      <c r="U985" s="44"/>
      <c r="V985" s="44"/>
      <c r="W985" s="44"/>
      <c r="X985" s="44"/>
      <c r="Y985" s="44"/>
      <c r="Z985" s="44"/>
      <c r="AA985" s="44"/>
      <c r="AB985" s="44"/>
      <c r="AC985" s="44"/>
      <c r="AD985" s="44"/>
      <c r="AE985" s="44"/>
      <c r="AF985" s="44"/>
      <c r="AG985" s="44"/>
    </row>
    <row r="986" spans="1:33" ht="16.5" customHeight="1">
      <c r="A986" s="44"/>
      <c r="B986" s="44"/>
      <c r="C986" s="44"/>
      <c r="D986" s="172"/>
      <c r="E986" s="44"/>
      <c r="F986" s="44"/>
      <c r="G986" s="44"/>
      <c r="H986" s="44"/>
      <c r="I986" s="53"/>
      <c r="J986" s="44"/>
      <c r="K986" s="44"/>
      <c r="L986" s="44"/>
      <c r="M986" s="44"/>
      <c r="N986" s="44"/>
      <c r="O986" s="44"/>
      <c r="P986" s="44"/>
      <c r="Q986" s="44"/>
      <c r="R986" s="44"/>
      <c r="S986" s="44"/>
      <c r="T986" s="44"/>
      <c r="U986" s="44"/>
      <c r="V986" s="44"/>
      <c r="W986" s="44"/>
      <c r="X986" s="44"/>
      <c r="Y986" s="44"/>
      <c r="Z986" s="44"/>
      <c r="AA986" s="44"/>
      <c r="AB986" s="44"/>
      <c r="AC986" s="44"/>
      <c r="AD986" s="44"/>
      <c r="AE986" s="44"/>
      <c r="AF986" s="44"/>
      <c r="AG986" s="44"/>
    </row>
    <row r="987" spans="1:33" ht="16.5" customHeight="1">
      <c r="A987" s="44"/>
      <c r="B987" s="44"/>
      <c r="C987" s="44"/>
      <c r="D987" s="172"/>
      <c r="E987" s="44"/>
      <c r="F987" s="44"/>
      <c r="G987" s="44"/>
      <c r="H987" s="44"/>
      <c r="I987" s="53"/>
      <c r="J987" s="44"/>
      <c r="K987" s="44"/>
      <c r="L987" s="44"/>
      <c r="M987" s="44"/>
      <c r="N987" s="44"/>
      <c r="O987" s="44"/>
      <c r="P987" s="44"/>
      <c r="Q987" s="44"/>
      <c r="R987" s="44"/>
      <c r="S987" s="44"/>
      <c r="T987" s="44"/>
      <c r="U987" s="44"/>
      <c r="V987" s="44"/>
      <c r="W987" s="44"/>
      <c r="X987" s="44"/>
      <c r="Y987" s="44"/>
      <c r="Z987" s="44"/>
      <c r="AA987" s="44"/>
      <c r="AB987" s="44"/>
      <c r="AC987" s="44"/>
      <c r="AD987" s="44"/>
      <c r="AE987" s="44"/>
      <c r="AF987" s="44"/>
      <c r="AG987" s="44"/>
    </row>
    <row r="988" spans="1:33" ht="16.5" customHeight="1">
      <c r="A988" s="44"/>
      <c r="B988" s="44"/>
      <c r="C988" s="44"/>
      <c r="D988" s="172"/>
      <c r="E988" s="44"/>
      <c r="F988" s="44"/>
      <c r="G988" s="44"/>
      <c r="H988" s="44"/>
      <c r="I988" s="53"/>
      <c r="J988" s="44"/>
      <c r="K988" s="44"/>
      <c r="L988" s="44"/>
      <c r="M988" s="44"/>
      <c r="N988" s="44"/>
      <c r="O988" s="44"/>
      <c r="P988" s="44"/>
      <c r="Q988" s="44"/>
      <c r="R988" s="44"/>
      <c r="S988" s="44"/>
      <c r="T988" s="44"/>
      <c r="U988" s="44"/>
      <c r="V988" s="44"/>
      <c r="W988" s="44"/>
      <c r="X988" s="44"/>
      <c r="Y988" s="44"/>
      <c r="Z988" s="44"/>
      <c r="AA988" s="44"/>
      <c r="AB988" s="44"/>
      <c r="AC988" s="44"/>
      <c r="AD988" s="44"/>
      <c r="AE988" s="44"/>
      <c r="AF988" s="44"/>
      <c r="AG988" s="44"/>
    </row>
    <row r="989" spans="1:33" ht="16.5" customHeight="1">
      <c r="A989" s="44"/>
      <c r="B989" s="44"/>
      <c r="C989" s="44"/>
      <c r="D989" s="172"/>
      <c r="E989" s="44"/>
      <c r="F989" s="44"/>
      <c r="G989" s="44"/>
      <c r="H989" s="44"/>
      <c r="I989" s="53"/>
      <c r="J989" s="44"/>
      <c r="K989" s="44"/>
      <c r="L989" s="44"/>
      <c r="M989" s="44"/>
      <c r="N989" s="44"/>
      <c r="O989" s="44"/>
      <c r="P989" s="44"/>
      <c r="Q989" s="44"/>
      <c r="R989" s="44"/>
      <c r="S989" s="44"/>
      <c r="T989" s="44"/>
      <c r="U989" s="44"/>
      <c r="V989" s="44"/>
      <c r="W989" s="44"/>
      <c r="X989" s="44"/>
      <c r="Y989" s="44"/>
      <c r="Z989" s="44"/>
      <c r="AA989" s="44"/>
      <c r="AB989" s="44"/>
      <c r="AC989" s="44"/>
      <c r="AD989" s="44"/>
      <c r="AE989" s="44"/>
      <c r="AF989" s="44"/>
      <c r="AG989" s="44"/>
    </row>
    <row r="990" spans="1:33" ht="16.5" customHeight="1">
      <c r="A990" s="44"/>
      <c r="B990" s="44"/>
      <c r="C990" s="44"/>
      <c r="D990" s="172"/>
      <c r="E990" s="44"/>
      <c r="F990" s="44"/>
      <c r="G990" s="44"/>
      <c r="H990" s="44"/>
      <c r="I990" s="53"/>
      <c r="J990" s="44"/>
      <c r="K990" s="44"/>
      <c r="L990" s="44"/>
      <c r="M990" s="44"/>
      <c r="N990" s="44"/>
      <c r="O990" s="44"/>
      <c r="P990" s="44"/>
      <c r="Q990" s="44"/>
      <c r="R990" s="44"/>
      <c r="S990" s="44"/>
      <c r="T990" s="44"/>
      <c r="U990" s="44"/>
      <c r="V990" s="44"/>
      <c r="W990" s="44"/>
      <c r="X990" s="44"/>
      <c r="Y990" s="44"/>
      <c r="Z990" s="44"/>
      <c r="AA990" s="44"/>
      <c r="AB990" s="44"/>
      <c r="AC990" s="44"/>
      <c r="AD990" s="44"/>
      <c r="AE990" s="44"/>
      <c r="AF990" s="44"/>
      <c r="AG990" s="44"/>
    </row>
    <row r="991" spans="1:33" ht="16.5" customHeight="1">
      <c r="A991" s="44"/>
      <c r="B991" s="44"/>
      <c r="C991" s="44"/>
      <c r="D991" s="172"/>
      <c r="E991" s="44"/>
      <c r="F991" s="44"/>
      <c r="G991" s="44"/>
      <c r="H991" s="44"/>
      <c r="I991" s="53"/>
      <c r="J991" s="44"/>
      <c r="K991" s="44"/>
      <c r="L991" s="44"/>
      <c r="M991" s="44"/>
      <c r="N991" s="44"/>
      <c r="O991" s="44"/>
      <c r="P991" s="44"/>
      <c r="Q991" s="44"/>
      <c r="R991" s="44"/>
      <c r="S991" s="44"/>
      <c r="T991" s="44"/>
      <c r="U991" s="44"/>
      <c r="V991" s="44"/>
      <c r="W991" s="44"/>
      <c r="X991" s="44"/>
      <c r="Y991" s="44"/>
      <c r="Z991" s="44"/>
      <c r="AA991" s="44"/>
      <c r="AB991" s="44"/>
      <c r="AC991" s="44"/>
      <c r="AD991" s="44"/>
      <c r="AE991" s="44"/>
      <c r="AF991" s="44"/>
      <c r="AG991" s="44"/>
    </row>
    <row r="992" spans="1:33" ht="16.5" customHeight="1">
      <c r="A992" s="44"/>
      <c r="B992" s="44"/>
      <c r="C992" s="44"/>
      <c r="D992" s="172"/>
      <c r="E992" s="44"/>
      <c r="F992" s="44"/>
      <c r="G992" s="44"/>
      <c r="H992" s="44"/>
      <c r="I992" s="53"/>
      <c r="J992" s="44"/>
      <c r="K992" s="44"/>
      <c r="L992" s="44"/>
      <c r="M992" s="44"/>
      <c r="N992" s="44"/>
      <c r="O992" s="44"/>
      <c r="P992" s="44"/>
      <c r="Q992" s="44"/>
      <c r="R992" s="44"/>
      <c r="S992" s="44"/>
      <c r="T992" s="44"/>
      <c r="U992" s="44"/>
      <c r="V992" s="44"/>
      <c r="W992" s="44"/>
      <c r="X992" s="44"/>
      <c r="Y992" s="44"/>
      <c r="Z992" s="44"/>
      <c r="AA992" s="44"/>
      <c r="AB992" s="44"/>
      <c r="AC992" s="44"/>
      <c r="AD992" s="44"/>
      <c r="AE992" s="44"/>
      <c r="AF992" s="44"/>
      <c r="AG992" s="44"/>
    </row>
    <row r="993" spans="1:33" ht="16.5" customHeight="1">
      <c r="A993" s="44"/>
      <c r="B993" s="44"/>
      <c r="C993" s="44"/>
      <c r="D993" s="172"/>
      <c r="E993" s="44"/>
      <c r="F993" s="44"/>
      <c r="G993" s="44"/>
      <c r="H993" s="44"/>
      <c r="I993" s="53"/>
      <c r="J993" s="44"/>
      <c r="K993" s="44"/>
      <c r="L993" s="44"/>
      <c r="M993" s="44"/>
      <c r="N993" s="44"/>
      <c r="O993" s="44"/>
      <c r="P993" s="44"/>
      <c r="Q993" s="44"/>
      <c r="R993" s="44"/>
      <c r="S993" s="44"/>
      <c r="T993" s="44"/>
      <c r="U993" s="44"/>
      <c r="V993" s="44"/>
      <c r="W993" s="44"/>
      <c r="X993" s="44"/>
      <c r="Y993" s="44"/>
      <c r="Z993" s="44"/>
      <c r="AA993" s="44"/>
      <c r="AB993" s="44"/>
      <c r="AC993" s="44"/>
      <c r="AD993" s="44"/>
      <c r="AE993" s="44"/>
      <c r="AF993" s="44"/>
      <c r="AG993" s="44"/>
    </row>
    <row r="994" spans="1:33" ht="16.5" customHeight="1">
      <c r="A994" s="44"/>
      <c r="B994" s="44"/>
      <c r="C994" s="44"/>
      <c r="D994" s="172"/>
      <c r="E994" s="44"/>
      <c r="F994" s="44"/>
      <c r="G994" s="44"/>
      <c r="H994" s="44"/>
      <c r="I994" s="53"/>
      <c r="J994" s="44"/>
      <c r="K994" s="44"/>
      <c r="L994" s="44"/>
      <c r="M994" s="44"/>
      <c r="N994" s="44"/>
      <c r="O994" s="44"/>
      <c r="P994" s="44"/>
      <c r="Q994" s="44"/>
      <c r="R994" s="44"/>
      <c r="S994" s="44"/>
      <c r="T994" s="44"/>
      <c r="U994" s="44"/>
      <c r="V994" s="44"/>
      <c r="W994" s="44"/>
      <c r="X994" s="44"/>
      <c r="Y994" s="44"/>
      <c r="Z994" s="44"/>
      <c r="AA994" s="44"/>
      <c r="AB994" s="44"/>
      <c r="AC994" s="44"/>
      <c r="AD994" s="44"/>
      <c r="AE994" s="44"/>
      <c r="AF994" s="44"/>
      <c r="AG994" s="44"/>
    </row>
    <row r="995" spans="1:33" ht="16.5" customHeight="1">
      <c r="A995" s="44"/>
      <c r="B995" s="44"/>
      <c r="C995" s="44"/>
      <c r="D995" s="172"/>
      <c r="E995" s="44"/>
      <c r="F995" s="44"/>
      <c r="G995" s="44"/>
      <c r="H995" s="44"/>
      <c r="I995" s="53"/>
      <c r="J995" s="44"/>
      <c r="K995" s="44"/>
      <c r="L995" s="44"/>
      <c r="M995" s="44"/>
      <c r="N995" s="44"/>
      <c r="O995" s="44"/>
      <c r="P995" s="44"/>
      <c r="Q995" s="44"/>
      <c r="R995" s="44"/>
      <c r="S995" s="44"/>
      <c r="T995" s="44"/>
      <c r="U995" s="44"/>
      <c r="V995" s="44"/>
      <c r="W995" s="44"/>
      <c r="X995" s="44"/>
      <c r="Y995" s="44"/>
      <c r="Z995" s="44"/>
      <c r="AA995" s="44"/>
      <c r="AB995" s="44"/>
      <c r="AC995" s="44"/>
      <c r="AD995" s="44"/>
      <c r="AE995" s="44"/>
      <c r="AF995" s="44"/>
      <c r="AG995" s="44"/>
    </row>
    <row r="996" spans="1:33" ht="16.5" customHeight="1">
      <c r="A996" s="44"/>
      <c r="B996" s="44"/>
      <c r="C996" s="44"/>
      <c r="D996" s="172"/>
      <c r="E996" s="44"/>
      <c r="F996" s="44"/>
      <c r="G996" s="44"/>
      <c r="H996" s="44"/>
      <c r="I996" s="53"/>
      <c r="J996" s="44"/>
      <c r="K996" s="44"/>
      <c r="L996" s="44"/>
      <c r="M996" s="44"/>
      <c r="N996" s="44"/>
      <c r="O996" s="44"/>
      <c r="P996" s="44"/>
      <c r="Q996" s="44"/>
      <c r="R996" s="44"/>
      <c r="S996" s="44"/>
      <c r="T996" s="44"/>
      <c r="U996" s="44"/>
      <c r="V996" s="44"/>
      <c r="W996" s="44"/>
      <c r="X996" s="44"/>
      <c r="Y996" s="44"/>
      <c r="Z996" s="44"/>
      <c r="AA996" s="44"/>
      <c r="AB996" s="44"/>
      <c r="AC996" s="44"/>
      <c r="AD996" s="44"/>
      <c r="AE996" s="44"/>
      <c r="AF996" s="44"/>
      <c r="AG996" s="44"/>
    </row>
    <row r="997" spans="1:33" ht="16.5" customHeight="1">
      <c r="A997" s="44"/>
      <c r="B997" s="44"/>
      <c r="C997" s="44"/>
      <c r="D997" s="172"/>
      <c r="E997" s="44"/>
      <c r="F997" s="44"/>
      <c r="G997" s="44"/>
      <c r="H997" s="44"/>
      <c r="I997" s="53"/>
      <c r="J997" s="44"/>
      <c r="K997" s="44"/>
      <c r="L997" s="44"/>
      <c r="M997" s="44"/>
      <c r="N997" s="44"/>
      <c r="O997" s="44"/>
      <c r="P997" s="44"/>
      <c r="Q997" s="44"/>
      <c r="R997" s="44"/>
      <c r="S997" s="44"/>
      <c r="T997" s="44"/>
      <c r="U997" s="44"/>
      <c r="V997" s="44"/>
      <c r="W997" s="44"/>
      <c r="X997" s="44"/>
      <c r="Y997" s="44"/>
      <c r="Z997" s="44"/>
      <c r="AA997" s="44"/>
      <c r="AB997" s="44"/>
      <c r="AC997" s="44"/>
      <c r="AD997" s="44"/>
      <c r="AE997" s="44"/>
      <c r="AF997" s="44"/>
      <c r="AG997" s="44"/>
    </row>
    <row r="998" spans="1:33" ht="16.5" customHeight="1">
      <c r="A998" s="44"/>
      <c r="B998" s="44"/>
      <c r="C998" s="44"/>
      <c r="D998" s="172"/>
      <c r="E998" s="44"/>
      <c r="F998" s="44"/>
      <c r="G998" s="44"/>
      <c r="H998" s="44"/>
      <c r="I998" s="53"/>
      <c r="J998" s="44"/>
      <c r="K998" s="44"/>
      <c r="L998" s="44"/>
      <c r="M998" s="44"/>
      <c r="N998" s="44"/>
      <c r="O998" s="44"/>
      <c r="P998" s="44"/>
      <c r="Q998" s="44"/>
      <c r="R998" s="44"/>
      <c r="S998" s="44"/>
      <c r="T998" s="44"/>
      <c r="U998" s="44"/>
      <c r="V998" s="44"/>
      <c r="W998" s="44"/>
      <c r="X998" s="44"/>
      <c r="Y998" s="44"/>
      <c r="Z998" s="44"/>
      <c r="AA998" s="44"/>
      <c r="AB998" s="44"/>
      <c r="AC998" s="44"/>
      <c r="AD998" s="44"/>
      <c r="AE998" s="44"/>
      <c r="AF998" s="44"/>
      <c r="AG998" s="44"/>
    </row>
    <row r="999" spans="1:33" ht="16.5" customHeight="1">
      <c r="A999" s="44"/>
      <c r="B999" s="44"/>
      <c r="C999" s="44"/>
      <c r="D999" s="172"/>
      <c r="E999" s="44"/>
      <c r="F999" s="44"/>
      <c r="G999" s="44"/>
      <c r="H999" s="44"/>
      <c r="I999" s="53"/>
      <c r="J999" s="44"/>
      <c r="K999" s="44"/>
      <c r="L999" s="44"/>
      <c r="M999" s="44"/>
      <c r="N999" s="44"/>
      <c r="O999" s="44"/>
      <c r="P999" s="44"/>
      <c r="Q999" s="44"/>
      <c r="R999" s="44"/>
      <c r="S999" s="44"/>
      <c r="T999" s="44"/>
      <c r="U999" s="44"/>
      <c r="V999" s="44"/>
      <c r="W999" s="44"/>
      <c r="X999" s="44"/>
      <c r="Y999" s="44"/>
      <c r="Z999" s="44"/>
      <c r="AA999" s="44"/>
      <c r="AB999" s="44"/>
      <c r="AC999" s="44"/>
      <c r="AD999" s="44"/>
      <c r="AE999" s="44"/>
      <c r="AF999" s="44"/>
      <c r="AG999" s="44"/>
    </row>
    <row r="1000" spans="1:33" ht="16.5" customHeight="1">
      <c r="A1000" s="44"/>
      <c r="B1000" s="44"/>
      <c r="C1000" s="44"/>
      <c r="D1000" s="172"/>
      <c r="E1000" s="44"/>
      <c r="F1000" s="44"/>
      <c r="G1000" s="44"/>
      <c r="H1000" s="44"/>
      <c r="I1000" s="53"/>
      <c r="J1000" s="44"/>
      <c r="K1000" s="44"/>
      <c r="L1000" s="44"/>
      <c r="M1000" s="44"/>
      <c r="N1000" s="44"/>
      <c r="O1000" s="44"/>
      <c r="P1000" s="44"/>
      <c r="Q1000" s="44"/>
      <c r="R1000" s="44"/>
      <c r="S1000" s="44"/>
      <c r="T1000" s="44"/>
      <c r="U1000" s="44"/>
      <c r="V1000" s="44"/>
      <c r="W1000" s="44"/>
      <c r="X1000" s="44"/>
      <c r="Y1000" s="44"/>
      <c r="Z1000" s="44"/>
      <c r="AA1000" s="44"/>
      <c r="AB1000" s="44"/>
      <c r="AC1000" s="44"/>
      <c r="AD1000" s="44"/>
      <c r="AE1000" s="44"/>
      <c r="AF1000" s="44"/>
      <c r="AG1000" s="44"/>
    </row>
  </sheetData>
  <mergeCells count="49">
    <mergeCell ref="I18:J18"/>
    <mergeCell ref="K18:L18"/>
    <mergeCell ref="N18:O18"/>
    <mergeCell ref="I9:J9"/>
    <mergeCell ref="I10:J10"/>
    <mergeCell ref="I11:J11"/>
    <mergeCell ref="I12:J12"/>
    <mergeCell ref="I13:J13"/>
    <mergeCell ref="N11:O11"/>
    <mergeCell ref="N12:O12"/>
    <mergeCell ref="K8:L8"/>
    <mergeCell ref="K9:L9"/>
    <mergeCell ref="N9:O9"/>
    <mergeCell ref="K10:L10"/>
    <mergeCell ref="N10:O10"/>
    <mergeCell ref="K11:L11"/>
    <mergeCell ref="K12:L12"/>
    <mergeCell ref="B7:C7"/>
    <mergeCell ref="I7:J7"/>
    <mergeCell ref="K7:L7"/>
    <mergeCell ref="N7:O7"/>
    <mergeCell ref="B8:C8"/>
    <mergeCell ref="I8:J8"/>
    <mergeCell ref="N8:O8"/>
    <mergeCell ref="K6:L6"/>
    <mergeCell ref="N6:O6"/>
    <mergeCell ref="B2:D3"/>
    <mergeCell ref="E2:F2"/>
    <mergeCell ref="H2:J2"/>
    <mergeCell ref="K2:L2"/>
    <mergeCell ref="E3:F3"/>
    <mergeCell ref="K3:L3"/>
    <mergeCell ref="B6:C6"/>
    <mergeCell ref="I3:J3"/>
    <mergeCell ref="I6:J6"/>
    <mergeCell ref="N16:O16"/>
    <mergeCell ref="N17:O17"/>
    <mergeCell ref="I14:J14"/>
    <mergeCell ref="I15:J15"/>
    <mergeCell ref="K15:L15"/>
    <mergeCell ref="I16:J16"/>
    <mergeCell ref="K16:L16"/>
    <mergeCell ref="I17:J17"/>
    <mergeCell ref="K17:L17"/>
    <mergeCell ref="K13:L13"/>
    <mergeCell ref="N13:O13"/>
    <mergeCell ref="K14:L14"/>
    <mergeCell ref="N14:O14"/>
    <mergeCell ref="N15:O15"/>
  </mergeCells>
  <phoneticPr fontId="82"/>
  <conditionalFormatting sqref="D21:X385">
    <cfRule type="expression" dxfId="11" priority="1">
      <formula>$D21=0</formula>
    </cfRule>
  </conditionalFormatting>
  <conditionalFormatting sqref="E21:X385">
    <cfRule type="expression" dxfId="10" priority="3">
      <formula>WEEKDAY($G21)=1</formula>
    </cfRule>
    <cfRule type="expression" dxfId="9" priority="4">
      <formula>WEEKDAY($G21)=7</formula>
    </cfRule>
  </conditionalFormatting>
  <conditionalFormatting sqref="F21:I171 K21:X171 F172:X385">
    <cfRule type="expression" dxfId="8" priority="5">
      <formula>$F21=TODAY()</formula>
    </cfRule>
  </conditionalFormatting>
  <conditionalFormatting sqref="N7:P18">
    <cfRule type="cellIs" dxfId="7" priority="9" operator="lessThan">
      <formula>0</formula>
    </cfRule>
    <cfRule type="cellIs" dxfId="6" priority="10" operator="greaterThan">
      <formula>"¥0"</formula>
    </cfRule>
  </conditionalFormatting>
  <dataValidations count="1">
    <dataValidation type="list" allowBlank="1" showErrorMessage="1" sqref="B2" xr:uid="{00000000-0002-0000-0100-000000000000}">
      <formula1>"2025/1/1,2026/1/1,2027/1/1,2029/1/1,2030/1/1,2031/1/1,2033/1/1,2034/1/1,2035/1/1,2037/1/1,2038/1/1,2039/1/1,2041/1/1,2042/1/1,2043/1/1,2045/1/1"</formula1>
    </dataValidation>
  </dataValidations>
  <hyperlinks>
    <hyperlink ref="P2" location="'目標_2025R7'!E21" display="1月" xr:uid="{00000000-0004-0000-0100-000000000000}"/>
    <hyperlink ref="Q2" location="'目標_2025R7'!E52" display="2月" xr:uid="{00000000-0004-0000-0100-000001000000}"/>
    <hyperlink ref="R2" location="'目標_2025R7'!E80" display="3月" xr:uid="{00000000-0004-0000-0100-000002000000}"/>
    <hyperlink ref="S2" location="'目標_2025R7'!E111" display="4月" xr:uid="{00000000-0004-0000-0100-000003000000}"/>
    <hyperlink ref="P3" location="'目標_2025R7'!E141" display="5月" xr:uid="{00000000-0004-0000-0100-000004000000}"/>
    <hyperlink ref="Q3" location="'目標_2025R7'!E172" display="6月" xr:uid="{00000000-0004-0000-0100-000005000000}"/>
    <hyperlink ref="R3" location="'目標_2025R7'!E202" display="7月" xr:uid="{00000000-0004-0000-0100-000006000000}"/>
    <hyperlink ref="S3" location="'目標_2025R7'!E233" display="8月" xr:uid="{00000000-0004-0000-0100-000007000000}"/>
    <hyperlink ref="P4" location="'目標_2025R7'!E264" display="9月" xr:uid="{00000000-0004-0000-0100-000008000000}"/>
    <hyperlink ref="Q4" location="'目標_2025R7'!E294" display="10月" xr:uid="{00000000-0004-0000-0100-000009000000}"/>
    <hyperlink ref="R4" location="'目標_2025R7'!E325" display="11月" xr:uid="{00000000-0004-0000-0100-00000A000000}"/>
    <hyperlink ref="S4" location="'目標_2025R7'!E355" display="12月" xr:uid="{00000000-0004-0000-0100-00000B000000}"/>
  </hyperlinks>
  <pageMargins left="0.7" right="0.7" top="0.75" bottom="0.75" header="0" footer="0"/>
  <pageSetup paperSize="9" orientation="portrait"/>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N1000"/>
  <sheetViews>
    <sheetView workbookViewId="0">
      <pane xSplit="5" ySplit="19" topLeftCell="F20" activePane="bottomRight" state="frozen"/>
      <selection pane="topRight" activeCell="F1" sqref="F1"/>
      <selection pane="bottomLeft" activeCell="A20" sqref="A20"/>
      <selection pane="bottomRight" activeCell="F20" sqref="F20"/>
    </sheetView>
  </sheetViews>
  <sheetFormatPr baseColWidth="10" defaultColWidth="11.1640625" defaultRowHeight="15" customHeight="1" outlineLevelRow="1" outlineLevelCol="1"/>
  <cols>
    <col min="1" max="1" width="1.83203125" customWidth="1"/>
    <col min="2" max="2" width="7.1640625" customWidth="1"/>
    <col min="3" max="4" width="3.5" customWidth="1"/>
    <col min="5" max="5" width="4.5" customWidth="1"/>
    <col min="6" max="6" width="5.6640625" customWidth="1"/>
    <col min="7" max="7" width="10.5" customWidth="1"/>
    <col min="8" max="8" width="8" customWidth="1"/>
    <col min="9" max="9" width="1.1640625" customWidth="1"/>
    <col min="10" max="10" width="11.1640625" customWidth="1"/>
    <col min="11" max="11" width="1.1640625" customWidth="1"/>
    <col min="12" max="12" width="11" customWidth="1"/>
    <col min="13" max="13" width="13.1640625" customWidth="1"/>
    <col min="14" max="14" width="8.83203125" customWidth="1"/>
    <col min="15" max="15" width="1.1640625" customWidth="1"/>
    <col min="16" max="16" width="10.5" customWidth="1"/>
    <col min="17" max="17" width="11.83203125" customWidth="1"/>
    <col min="18" max="18" width="12.83203125" customWidth="1"/>
    <col min="19" max="19" width="8.83203125" customWidth="1"/>
    <col min="20" max="20" width="1.1640625" customWidth="1"/>
    <col min="21" max="21" width="11.83203125" customWidth="1"/>
    <col min="22" max="22" width="10.5" customWidth="1"/>
    <col min="23" max="23" width="10.1640625" customWidth="1"/>
    <col min="24" max="24" width="8.1640625" customWidth="1"/>
    <col min="25" max="25" width="4" customWidth="1"/>
    <col min="26" max="26" width="4.1640625" customWidth="1" outlineLevel="1"/>
    <col min="27" max="27" width="3.33203125" customWidth="1" outlineLevel="1"/>
    <col min="28" max="28" width="5.1640625" customWidth="1" outlineLevel="1"/>
    <col min="29" max="29" width="5.33203125" customWidth="1" outlineLevel="1"/>
    <col min="30" max="30" width="4.1640625" customWidth="1" outlineLevel="1"/>
    <col min="31" max="31" width="9" customWidth="1" outlineLevel="1"/>
    <col min="32" max="32" width="7.5" customWidth="1" outlineLevel="1"/>
    <col min="33" max="33" width="6.5" customWidth="1" outlineLevel="1"/>
    <col min="34" max="37" width="7.5" customWidth="1" outlineLevel="1"/>
    <col min="38" max="40" width="7.5" customWidth="1"/>
  </cols>
  <sheetData>
    <row r="1" spans="1:40" ht="10.5" customHeight="1">
      <c r="A1" s="39"/>
      <c r="B1" s="39"/>
      <c r="C1" s="39"/>
      <c r="D1" s="40"/>
      <c r="E1" s="39"/>
      <c r="F1" s="39"/>
      <c r="G1" s="39"/>
      <c r="H1" s="39"/>
      <c r="I1" s="39"/>
      <c r="J1" s="39"/>
      <c r="K1" s="41"/>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row>
    <row r="2" spans="1:40" ht="16.5" customHeight="1">
      <c r="A2" s="39"/>
      <c r="B2" s="530">
        <v>45292</v>
      </c>
      <c r="C2" s="508"/>
      <c r="D2" s="509"/>
      <c r="E2" s="511" t="s">
        <v>124</v>
      </c>
      <c r="F2" s="483"/>
      <c r="G2" s="531" t="s">
        <v>125</v>
      </c>
      <c r="H2" s="532"/>
      <c r="I2" s="533" t="s">
        <v>126</v>
      </c>
      <c r="J2" s="486"/>
      <c r="K2" s="486"/>
      <c r="L2" s="483"/>
      <c r="M2" s="513" t="s">
        <v>54</v>
      </c>
      <c r="N2" s="483"/>
      <c r="O2" s="513" t="s">
        <v>127</v>
      </c>
      <c r="P2" s="483"/>
      <c r="Q2" s="173" t="s">
        <v>128</v>
      </c>
      <c r="R2" s="173" t="s">
        <v>129</v>
      </c>
      <c r="S2" s="39"/>
      <c r="T2" s="44"/>
      <c r="U2" s="44"/>
      <c r="V2" s="44"/>
      <c r="W2" s="44"/>
      <c r="X2" s="44"/>
      <c r="Y2" s="44"/>
      <c r="Z2" s="44"/>
      <c r="AA2" s="44"/>
      <c r="AB2" s="44"/>
      <c r="AC2" s="44"/>
      <c r="AD2" s="39"/>
      <c r="AE2" s="39"/>
      <c r="AF2" s="39"/>
      <c r="AG2" s="39"/>
      <c r="AH2" s="39"/>
      <c r="AI2" s="39"/>
      <c r="AJ2" s="39"/>
      <c r="AK2" s="39"/>
      <c r="AL2" s="39"/>
      <c r="AM2" s="39"/>
      <c r="AN2" s="39"/>
    </row>
    <row r="3" spans="1:40" ht="16.5" customHeight="1">
      <c r="A3" s="39"/>
      <c r="B3" s="510"/>
      <c r="C3" s="493"/>
      <c r="D3" s="494"/>
      <c r="E3" s="534">
        <f>SUM(F6:F17)</f>
        <v>291</v>
      </c>
      <c r="F3" s="483"/>
      <c r="G3" s="536">
        <f>M3</f>
        <v>29397780</v>
      </c>
      <c r="H3" s="504"/>
      <c r="I3" s="537">
        <f>SUM(AD6:AD17)*100</f>
        <v>0.9999996000000001</v>
      </c>
      <c r="J3" s="538"/>
      <c r="K3" s="528">
        <f>G3*I3</f>
        <v>29397768.240888003</v>
      </c>
      <c r="L3" s="504"/>
      <c r="M3" s="529">
        <f>SUM(J20:J385)</f>
        <v>29397780</v>
      </c>
      <c r="N3" s="483"/>
      <c r="O3" s="535">
        <f>M3-G3</f>
        <v>0</v>
      </c>
      <c r="P3" s="483"/>
      <c r="Q3" s="174">
        <v>0.21</v>
      </c>
      <c r="R3" s="175">
        <f>M3*Q3</f>
        <v>6173533.7999999998</v>
      </c>
      <c r="S3" s="39"/>
      <c r="T3" s="44"/>
      <c r="U3" s="44"/>
      <c r="V3" s="44"/>
      <c r="W3" s="44"/>
      <c r="X3" s="44"/>
      <c r="Y3" s="44"/>
      <c r="Z3" s="44"/>
      <c r="AA3" s="44"/>
      <c r="AB3" s="44"/>
      <c r="AC3" s="44"/>
      <c r="AD3" s="39"/>
      <c r="AE3" s="39"/>
      <c r="AF3" s="39"/>
      <c r="AG3" s="39"/>
      <c r="AH3" s="39"/>
      <c r="AI3" s="39"/>
      <c r="AJ3" s="39"/>
      <c r="AK3" s="39"/>
      <c r="AL3" s="39"/>
      <c r="AM3" s="39"/>
      <c r="AN3" s="39"/>
    </row>
    <row r="4" spans="1:40" ht="16.5" customHeight="1">
      <c r="A4" s="39"/>
      <c r="B4" s="50"/>
      <c r="C4" s="50"/>
      <c r="D4" s="51"/>
      <c r="E4" s="50"/>
      <c r="F4" s="50"/>
      <c r="G4" s="52"/>
      <c r="H4" s="44"/>
      <c r="I4" s="44"/>
      <c r="J4" s="44"/>
      <c r="K4" s="53"/>
      <c r="L4" s="50"/>
      <c r="M4" s="44"/>
      <c r="N4" s="39"/>
      <c r="O4" s="44"/>
      <c r="P4" s="50"/>
      <c r="Q4" s="44"/>
      <c r="R4" s="44"/>
      <c r="S4" s="44"/>
      <c r="T4" s="44"/>
      <c r="U4" s="44"/>
      <c r="V4" s="44"/>
      <c r="W4" s="44"/>
      <c r="X4" s="44"/>
      <c r="Y4" s="44"/>
      <c r="Z4" s="44"/>
      <c r="AA4" s="44"/>
      <c r="AB4" s="44"/>
      <c r="AC4" s="44"/>
      <c r="AD4" s="39"/>
      <c r="AE4" s="39"/>
      <c r="AF4" s="39"/>
      <c r="AG4" s="39"/>
      <c r="AH4" s="39"/>
      <c r="AI4" s="44"/>
      <c r="AJ4" s="44"/>
      <c r="AK4" s="44"/>
      <c r="AL4" s="44"/>
      <c r="AM4" s="39"/>
      <c r="AN4" s="39"/>
    </row>
    <row r="5" spans="1:40" ht="16.5" hidden="1" customHeight="1" outlineLevel="1">
      <c r="A5" s="39"/>
      <c r="B5" s="539" t="s">
        <v>64</v>
      </c>
      <c r="C5" s="497"/>
      <c r="D5" s="51"/>
      <c r="E5" s="176" t="s">
        <v>15</v>
      </c>
      <c r="F5" s="176" t="s">
        <v>65</v>
      </c>
      <c r="G5" s="177" t="s">
        <v>66</v>
      </c>
      <c r="H5" s="522" t="s">
        <v>67</v>
      </c>
      <c r="I5" s="483"/>
      <c r="J5" s="176" t="s">
        <v>14</v>
      </c>
      <c r="K5" s="540" t="s">
        <v>68</v>
      </c>
      <c r="L5" s="483"/>
      <c r="M5" s="178" t="s">
        <v>130</v>
      </c>
      <c r="N5" s="522" t="s">
        <v>131</v>
      </c>
      <c r="O5" s="483"/>
      <c r="P5" s="176" t="s">
        <v>72</v>
      </c>
      <c r="Q5" s="179"/>
      <c r="R5" s="541" t="s">
        <v>132</v>
      </c>
      <c r="S5" s="486"/>
      <c r="T5" s="486"/>
      <c r="U5" s="486"/>
      <c r="V5" s="483"/>
      <c r="W5" s="44"/>
      <c r="X5" s="44"/>
      <c r="Y5" s="44"/>
      <c r="Z5" s="44"/>
      <c r="AA5" s="44"/>
      <c r="AB5" s="44"/>
      <c r="AC5" s="44" t="str">
        <f t="shared" ref="AC5:AC16" si="0">TEXT(K6,"¥0")</f>
        <v>¥90921</v>
      </c>
      <c r="AD5" s="39"/>
      <c r="AE5" s="39"/>
      <c r="AF5" s="39"/>
      <c r="AG5" s="39"/>
      <c r="AH5" s="39"/>
      <c r="AI5" s="44"/>
      <c r="AJ5" s="44"/>
      <c r="AK5" s="44"/>
      <c r="AL5" s="44"/>
      <c r="AM5" s="44"/>
      <c r="AN5" s="44"/>
    </row>
    <row r="6" spans="1:40" ht="16.5" hidden="1" customHeight="1" outlineLevel="1">
      <c r="A6" s="39"/>
      <c r="B6" s="542" t="s">
        <v>73</v>
      </c>
      <c r="C6" s="504"/>
      <c r="D6" s="51"/>
      <c r="E6" s="62" t="s">
        <v>20</v>
      </c>
      <c r="F6" s="63">
        <f>COUNTIF(D20:D50,1)</f>
        <v>21</v>
      </c>
      <c r="G6" s="64">
        <f t="shared" ref="G6:G17" si="1">$B$7*F6</f>
        <v>2121489.2783505153</v>
      </c>
      <c r="H6" s="521">
        <v>0.9</v>
      </c>
      <c r="I6" s="483"/>
      <c r="J6" s="180">
        <f t="shared" ref="J6:J17" si="2">G6*H6</f>
        <v>1909340.3505154639</v>
      </c>
      <c r="K6" s="502">
        <f t="shared" ref="K6:K17" si="3">J6/F6</f>
        <v>90920.969072164939</v>
      </c>
      <c r="L6" s="483"/>
      <c r="M6" s="181">
        <f>SUM(J20:J50)</f>
        <v>1903700</v>
      </c>
      <c r="N6" s="503">
        <f t="shared" ref="N6:N17" si="4">M6-J6</f>
        <v>-5640.3505154638551</v>
      </c>
      <c r="O6" s="504"/>
      <c r="P6" s="182">
        <f t="shared" ref="P6:P17" si="5">M6/G6</f>
        <v>0.89734132499606634</v>
      </c>
      <c r="Q6" s="44"/>
      <c r="R6" s="544" t="s">
        <v>1</v>
      </c>
      <c r="S6" s="509"/>
      <c r="T6" s="543" t="s">
        <v>133</v>
      </c>
      <c r="U6" s="483"/>
      <c r="V6" s="183">
        <v>0.76</v>
      </c>
      <c r="W6" s="44"/>
      <c r="X6" s="44"/>
      <c r="Y6" s="44"/>
      <c r="Z6" s="184"/>
      <c r="AA6" s="44"/>
      <c r="AB6" s="44"/>
      <c r="AC6" s="44" t="str">
        <f t="shared" si="0"/>
        <v>¥85870</v>
      </c>
      <c r="AD6" s="185">
        <f t="shared" ref="AD6:AD17" si="6">(H6/100)*AE6</f>
        <v>7.4999970000000013E-4</v>
      </c>
      <c r="AE6" s="75">
        <v>8.3333299999999999E-2</v>
      </c>
      <c r="AF6" s="39"/>
      <c r="AG6" s="39"/>
      <c r="AH6" s="39"/>
      <c r="AI6" s="44"/>
      <c r="AJ6" s="44"/>
      <c r="AK6" s="44"/>
      <c r="AL6" s="44"/>
      <c r="AM6" s="44"/>
      <c r="AN6" s="44"/>
    </row>
    <row r="7" spans="1:40" ht="16.5" hidden="1" customHeight="1" outlineLevel="1">
      <c r="A7" s="39"/>
      <c r="B7" s="523">
        <f>G3/E3</f>
        <v>101023.29896907216</v>
      </c>
      <c r="C7" s="504"/>
      <c r="D7" s="51"/>
      <c r="E7" s="62" t="s">
        <v>23</v>
      </c>
      <c r="F7" s="63">
        <f>COUNTIF(D51:D79,1)</f>
        <v>25</v>
      </c>
      <c r="G7" s="64">
        <f t="shared" si="1"/>
        <v>2525582.474226804</v>
      </c>
      <c r="H7" s="521">
        <v>0.85</v>
      </c>
      <c r="I7" s="483"/>
      <c r="J7" s="180">
        <f t="shared" si="2"/>
        <v>2146745.1030927831</v>
      </c>
      <c r="K7" s="502">
        <f t="shared" si="3"/>
        <v>85869.804123711321</v>
      </c>
      <c r="L7" s="483"/>
      <c r="M7" s="186">
        <f>SUM(J51:J79)</f>
        <v>2252350</v>
      </c>
      <c r="N7" s="503">
        <f t="shared" si="4"/>
        <v>105604.89690721687</v>
      </c>
      <c r="O7" s="504"/>
      <c r="P7" s="182">
        <f t="shared" si="5"/>
        <v>0.89181407575674088</v>
      </c>
      <c r="Q7" s="44"/>
      <c r="R7" s="510"/>
      <c r="S7" s="494"/>
      <c r="T7" s="551">
        <f>T6*V6</f>
        <v>177508.64</v>
      </c>
      <c r="U7" s="486"/>
      <c r="V7" s="483"/>
      <c r="W7" s="44"/>
      <c r="X7" s="44"/>
      <c r="Y7" s="44"/>
      <c r="Z7" s="44"/>
      <c r="AA7" s="44"/>
      <c r="AB7" s="44"/>
      <c r="AC7" s="44" t="str">
        <f t="shared" si="0"/>
        <v>¥101023</v>
      </c>
      <c r="AD7" s="185">
        <f t="shared" si="6"/>
        <v>7.0833305000000003E-4</v>
      </c>
      <c r="AE7" s="75">
        <v>8.3333299999999999E-2</v>
      </c>
      <c r="AF7" s="39"/>
      <c r="AG7" s="39"/>
      <c r="AH7" s="39"/>
      <c r="AI7" s="44"/>
      <c r="AJ7" s="44"/>
      <c r="AK7" s="44"/>
      <c r="AL7" s="44"/>
      <c r="AM7" s="44"/>
      <c r="AN7" s="44"/>
    </row>
    <row r="8" spans="1:40" ht="16.5" hidden="1" customHeight="1" outlineLevel="1">
      <c r="A8" s="39"/>
      <c r="B8" s="44"/>
      <c r="C8" s="44"/>
      <c r="D8" s="51"/>
      <c r="E8" s="62" t="s">
        <v>27</v>
      </c>
      <c r="F8" s="63">
        <f>COUNTIF(D80:D110,1)</f>
        <v>25</v>
      </c>
      <c r="G8" s="64">
        <f t="shared" si="1"/>
        <v>2525582.474226804</v>
      </c>
      <c r="H8" s="521">
        <v>1</v>
      </c>
      <c r="I8" s="483"/>
      <c r="J8" s="180">
        <f t="shared" si="2"/>
        <v>2525582.474226804</v>
      </c>
      <c r="K8" s="502">
        <f t="shared" si="3"/>
        <v>101023.29896907216</v>
      </c>
      <c r="L8" s="483"/>
      <c r="M8" s="186">
        <f>SUM(J80:J110)</f>
        <v>2500050</v>
      </c>
      <c r="N8" s="503">
        <f t="shared" si="4"/>
        <v>-25532.474226803984</v>
      </c>
      <c r="O8" s="504"/>
      <c r="P8" s="182">
        <f t="shared" si="5"/>
        <v>0.98989046111645174</v>
      </c>
      <c r="Q8" s="44"/>
      <c r="R8" s="545" t="s">
        <v>19</v>
      </c>
      <c r="S8" s="483"/>
      <c r="T8" s="552">
        <f>T9-T6</f>
        <v>87436</v>
      </c>
      <c r="U8" s="486"/>
      <c r="V8" s="483"/>
      <c r="W8" s="44"/>
      <c r="X8" s="44"/>
      <c r="Y8" s="44"/>
      <c r="Z8" s="44"/>
      <c r="AA8" s="44"/>
      <c r="AB8" s="44"/>
      <c r="AC8" s="44" t="str">
        <f t="shared" si="0"/>
        <v>¥106074</v>
      </c>
      <c r="AD8" s="185">
        <f t="shared" si="6"/>
        <v>8.3333300000000001E-4</v>
      </c>
      <c r="AE8" s="75">
        <v>8.3333299999999999E-2</v>
      </c>
      <c r="AF8" s="39"/>
      <c r="AG8" s="39"/>
      <c r="AH8" s="39"/>
      <c r="AI8" s="44"/>
      <c r="AJ8" s="44"/>
      <c r="AK8" s="44"/>
      <c r="AL8" s="44"/>
      <c r="AM8" s="44"/>
      <c r="AN8" s="44"/>
    </row>
    <row r="9" spans="1:40" ht="16.5" hidden="1" customHeight="1" outlineLevel="1">
      <c r="A9" s="39"/>
      <c r="B9" s="76"/>
      <c r="C9" s="50"/>
      <c r="D9" s="51"/>
      <c r="E9" s="62" t="s">
        <v>29</v>
      </c>
      <c r="F9" s="63">
        <f>COUNTIF(D111:D140,1)</f>
        <v>25</v>
      </c>
      <c r="G9" s="64">
        <f t="shared" si="1"/>
        <v>2525582.474226804</v>
      </c>
      <c r="H9" s="521">
        <v>1.05</v>
      </c>
      <c r="I9" s="483"/>
      <c r="J9" s="180">
        <f t="shared" si="2"/>
        <v>2651861.5979381441</v>
      </c>
      <c r="K9" s="502">
        <f t="shared" si="3"/>
        <v>106074.46391752576</v>
      </c>
      <c r="L9" s="483"/>
      <c r="M9" s="186">
        <f>SUM(J111:J140)</f>
        <v>2732600</v>
      </c>
      <c r="N9" s="503">
        <f t="shared" si="4"/>
        <v>80738.402061855886</v>
      </c>
      <c r="O9" s="504"/>
      <c r="P9" s="182">
        <f t="shared" si="5"/>
        <v>1.0819682302541214</v>
      </c>
      <c r="Q9" s="44"/>
      <c r="R9" s="546" t="s">
        <v>134</v>
      </c>
      <c r="S9" s="483"/>
      <c r="T9" s="547">
        <f>SUM(V11:V16)</f>
        <v>321000</v>
      </c>
      <c r="U9" s="486"/>
      <c r="V9" s="483"/>
      <c r="W9" s="44"/>
      <c r="X9" s="44"/>
      <c r="Y9" s="44"/>
      <c r="Z9" s="44"/>
      <c r="AA9" s="44"/>
      <c r="AB9" s="44"/>
      <c r="AC9" s="44" t="str">
        <f t="shared" si="0"/>
        <v>¥101023</v>
      </c>
      <c r="AD9" s="185">
        <f t="shared" si="6"/>
        <v>8.7499965000000001E-4</v>
      </c>
      <c r="AE9" s="75">
        <v>8.3333299999999999E-2</v>
      </c>
      <c r="AF9" s="39"/>
      <c r="AG9" s="39"/>
      <c r="AH9" s="39"/>
      <c r="AI9" s="44"/>
      <c r="AJ9" s="44"/>
      <c r="AK9" s="44"/>
      <c r="AL9" s="44"/>
      <c r="AM9" s="44"/>
      <c r="AN9" s="44"/>
    </row>
    <row r="10" spans="1:40" ht="16.5" hidden="1" customHeight="1" outlineLevel="1">
      <c r="A10" s="39"/>
      <c r="B10" s="76"/>
      <c r="C10" s="50"/>
      <c r="D10" s="51"/>
      <c r="E10" s="62" t="s">
        <v>33</v>
      </c>
      <c r="F10" s="63">
        <f>COUNTIF(D141:D171,1)</f>
        <v>25</v>
      </c>
      <c r="G10" s="64">
        <f t="shared" si="1"/>
        <v>2525582.474226804</v>
      </c>
      <c r="H10" s="521">
        <v>1</v>
      </c>
      <c r="I10" s="483"/>
      <c r="J10" s="180">
        <f t="shared" si="2"/>
        <v>2525582.474226804</v>
      </c>
      <c r="K10" s="502">
        <f t="shared" si="3"/>
        <v>101023.29896907216</v>
      </c>
      <c r="L10" s="483"/>
      <c r="M10" s="186">
        <f>SUM(J141:J171)</f>
        <v>2920150</v>
      </c>
      <c r="N10" s="503">
        <f t="shared" si="4"/>
        <v>394567.52577319602</v>
      </c>
      <c r="O10" s="504"/>
      <c r="P10" s="182">
        <f t="shared" si="5"/>
        <v>1.1562283274451337</v>
      </c>
      <c r="Q10" s="44"/>
      <c r="R10" s="187" t="s">
        <v>135</v>
      </c>
      <c r="S10" s="187" t="s">
        <v>136</v>
      </c>
      <c r="T10" s="548" t="s">
        <v>137</v>
      </c>
      <c r="U10" s="483"/>
      <c r="V10" s="187" t="s">
        <v>138</v>
      </c>
      <c r="W10" s="44"/>
      <c r="X10" s="44"/>
      <c r="Y10" s="44"/>
      <c r="Z10" s="44"/>
      <c r="AA10" s="44"/>
      <c r="AB10" s="44"/>
      <c r="AC10" s="44" t="str">
        <f t="shared" si="0"/>
        <v>¥90921</v>
      </c>
      <c r="AD10" s="185">
        <f t="shared" si="6"/>
        <v>8.3333300000000001E-4</v>
      </c>
      <c r="AE10" s="75">
        <v>8.3333299999999999E-2</v>
      </c>
      <c r="AF10" s="39"/>
      <c r="AG10" s="39"/>
      <c r="AH10" s="39"/>
      <c r="AI10" s="44"/>
      <c r="AJ10" s="44"/>
      <c r="AK10" s="44"/>
      <c r="AL10" s="44"/>
      <c r="AM10" s="44"/>
      <c r="AN10" s="44"/>
    </row>
    <row r="11" spans="1:40" ht="16.5" hidden="1" customHeight="1" outlineLevel="1">
      <c r="A11" s="39"/>
      <c r="B11" s="76"/>
      <c r="C11" s="50"/>
      <c r="D11" s="51"/>
      <c r="E11" s="62" t="s">
        <v>57</v>
      </c>
      <c r="F11" s="63">
        <f>COUNTIF(D172:D201,1)</f>
        <v>26</v>
      </c>
      <c r="G11" s="64">
        <f t="shared" si="1"/>
        <v>2626605.7731958763</v>
      </c>
      <c r="H11" s="521">
        <v>0.9</v>
      </c>
      <c r="I11" s="483"/>
      <c r="J11" s="180">
        <f t="shared" si="2"/>
        <v>2363945.1958762887</v>
      </c>
      <c r="K11" s="502">
        <f t="shared" si="3"/>
        <v>90920.969072164953</v>
      </c>
      <c r="L11" s="483"/>
      <c r="M11" s="186">
        <f>SUM(J172:J201)</f>
        <v>3064200</v>
      </c>
      <c r="N11" s="503">
        <f t="shared" si="4"/>
        <v>700254.80412371131</v>
      </c>
      <c r="O11" s="504"/>
      <c r="P11" s="182">
        <f t="shared" si="5"/>
        <v>1.1666006491227987</v>
      </c>
      <c r="Q11" s="44"/>
      <c r="R11" s="188" t="s">
        <v>139</v>
      </c>
      <c r="S11" s="189">
        <v>1100</v>
      </c>
      <c r="T11" s="549">
        <v>60</v>
      </c>
      <c r="U11" s="483"/>
      <c r="V11" s="190">
        <f t="shared" ref="V11:V16" si="7">S11*T11</f>
        <v>66000</v>
      </c>
      <c r="W11" s="44"/>
      <c r="X11" s="44"/>
      <c r="Y11" s="44"/>
      <c r="Z11" s="44"/>
      <c r="AA11" s="44"/>
      <c r="AB11" s="44"/>
      <c r="AC11" s="44" t="str">
        <f t="shared" si="0"/>
        <v>¥95972</v>
      </c>
      <c r="AD11" s="185">
        <f t="shared" si="6"/>
        <v>7.4999970000000013E-4</v>
      </c>
      <c r="AE11" s="75">
        <v>8.3333299999999999E-2</v>
      </c>
      <c r="AF11" s="39"/>
      <c r="AG11" s="39"/>
      <c r="AH11" s="39"/>
      <c r="AI11" s="44"/>
      <c r="AJ11" s="44"/>
      <c r="AK11" s="44"/>
      <c r="AL11" s="44"/>
      <c r="AM11" s="44"/>
      <c r="AN11" s="44"/>
    </row>
    <row r="12" spans="1:40" ht="16.5" hidden="1" customHeight="1" outlineLevel="1">
      <c r="A12" s="39"/>
      <c r="B12" s="50"/>
      <c r="C12" s="50"/>
      <c r="D12" s="51"/>
      <c r="E12" s="62" t="s">
        <v>58</v>
      </c>
      <c r="F12" s="63">
        <f>COUNTIF(D202:D232,1)</f>
        <v>25</v>
      </c>
      <c r="G12" s="64">
        <f t="shared" si="1"/>
        <v>2525582.474226804</v>
      </c>
      <c r="H12" s="521">
        <v>0.95</v>
      </c>
      <c r="I12" s="483"/>
      <c r="J12" s="180">
        <f t="shared" si="2"/>
        <v>2399303.3505154639</v>
      </c>
      <c r="K12" s="502">
        <f t="shared" si="3"/>
        <v>95972.134020618556</v>
      </c>
      <c r="L12" s="483"/>
      <c r="M12" s="186">
        <f>SUM(J202:J232)</f>
        <v>2392050</v>
      </c>
      <c r="N12" s="503">
        <f t="shared" si="4"/>
        <v>-7253.3505154638551</v>
      </c>
      <c r="O12" s="504"/>
      <c r="P12" s="182">
        <f t="shared" si="5"/>
        <v>0.9471280484444744</v>
      </c>
      <c r="Q12" s="44"/>
      <c r="R12" s="188" t="s">
        <v>140</v>
      </c>
      <c r="S12" s="189">
        <v>4500</v>
      </c>
      <c r="T12" s="549">
        <v>20</v>
      </c>
      <c r="U12" s="483"/>
      <c r="V12" s="190">
        <f t="shared" si="7"/>
        <v>90000</v>
      </c>
      <c r="W12" s="44"/>
      <c r="X12" s="44"/>
      <c r="Y12" s="44"/>
      <c r="Z12" s="44"/>
      <c r="AA12" s="44"/>
      <c r="AB12" s="44"/>
      <c r="AC12" s="44" t="str">
        <f t="shared" si="0"/>
        <v>¥80819</v>
      </c>
      <c r="AD12" s="185">
        <f t="shared" si="6"/>
        <v>7.9166635000000002E-4</v>
      </c>
      <c r="AE12" s="75">
        <v>8.3333299999999999E-2</v>
      </c>
      <c r="AF12" s="39"/>
      <c r="AG12" s="39"/>
      <c r="AH12" s="39"/>
      <c r="AI12" s="44"/>
      <c r="AJ12" s="44"/>
      <c r="AK12" s="44"/>
      <c r="AL12" s="44"/>
      <c r="AM12" s="44"/>
      <c r="AN12" s="44"/>
    </row>
    <row r="13" spans="1:40" ht="16.5" hidden="1" customHeight="1" outlineLevel="1">
      <c r="A13" s="39"/>
      <c r="B13" s="50"/>
      <c r="C13" s="50"/>
      <c r="D13" s="51"/>
      <c r="E13" s="62" t="s">
        <v>59</v>
      </c>
      <c r="F13" s="63">
        <f>COUNTIF(D233:D263,1)</f>
        <v>22</v>
      </c>
      <c r="G13" s="64">
        <f t="shared" si="1"/>
        <v>2222512.5773195876</v>
      </c>
      <c r="H13" s="521">
        <v>0.8</v>
      </c>
      <c r="I13" s="483"/>
      <c r="J13" s="180">
        <f t="shared" si="2"/>
        <v>1778010.0618556701</v>
      </c>
      <c r="K13" s="502">
        <f t="shared" si="3"/>
        <v>80818.639175257733</v>
      </c>
      <c r="L13" s="483"/>
      <c r="M13" s="186">
        <f>SUM(J233:J263)</f>
        <v>2064530</v>
      </c>
      <c r="N13" s="503">
        <f t="shared" si="4"/>
        <v>286519.93814432994</v>
      </c>
      <c r="O13" s="504"/>
      <c r="P13" s="182">
        <f t="shared" si="5"/>
        <v>0.92891712787960057</v>
      </c>
      <c r="Q13" s="44"/>
      <c r="R13" s="188" t="s">
        <v>141</v>
      </c>
      <c r="S13" s="189">
        <v>5500</v>
      </c>
      <c r="T13" s="549">
        <v>30</v>
      </c>
      <c r="U13" s="483"/>
      <c r="V13" s="190">
        <f t="shared" si="7"/>
        <v>165000</v>
      </c>
      <c r="W13" s="44"/>
      <c r="X13" s="44"/>
      <c r="Y13" s="44"/>
      <c r="Z13" s="39"/>
      <c r="AA13" s="39"/>
      <c r="AB13" s="39"/>
      <c r="AC13" s="44" t="str">
        <f t="shared" si="0"/>
        <v>¥95972</v>
      </c>
      <c r="AD13" s="185">
        <f t="shared" si="6"/>
        <v>6.6666640000000003E-4</v>
      </c>
      <c r="AE13" s="75">
        <v>8.3333299999999999E-2</v>
      </c>
      <c r="AF13" s="39"/>
      <c r="AG13" s="75"/>
      <c r="AH13" s="75"/>
      <c r="AI13" s="44"/>
      <c r="AJ13" s="44"/>
      <c r="AK13" s="44"/>
      <c r="AL13" s="44"/>
      <c r="AM13" s="44"/>
      <c r="AN13" s="44"/>
    </row>
    <row r="14" spans="1:40" ht="19.5" hidden="1" customHeight="1" outlineLevel="1">
      <c r="A14" s="39"/>
      <c r="B14" s="50"/>
      <c r="C14" s="50"/>
      <c r="D14" s="51"/>
      <c r="E14" s="62" t="s">
        <v>74</v>
      </c>
      <c r="F14" s="63">
        <f>COUNTIF(D264:D293,1)</f>
        <v>23</v>
      </c>
      <c r="G14" s="64">
        <f t="shared" si="1"/>
        <v>2323535.8762886599</v>
      </c>
      <c r="H14" s="521">
        <v>0.95</v>
      </c>
      <c r="I14" s="483"/>
      <c r="J14" s="180">
        <f t="shared" si="2"/>
        <v>2207359.0824742266</v>
      </c>
      <c r="K14" s="502">
        <f t="shared" si="3"/>
        <v>95972.134020618541</v>
      </c>
      <c r="L14" s="483"/>
      <c r="M14" s="186">
        <f>SUM(J264:J293)</f>
        <v>2319650</v>
      </c>
      <c r="N14" s="503">
        <f t="shared" si="4"/>
        <v>112290.9175257734</v>
      </c>
      <c r="O14" s="504"/>
      <c r="P14" s="182">
        <f t="shared" si="5"/>
        <v>0.99832760219959815</v>
      </c>
      <c r="Q14" s="44"/>
      <c r="R14" s="188"/>
      <c r="S14" s="189"/>
      <c r="T14" s="549">
        <v>0</v>
      </c>
      <c r="U14" s="483"/>
      <c r="V14" s="190">
        <f t="shared" si="7"/>
        <v>0</v>
      </c>
      <c r="W14" s="44"/>
      <c r="X14" s="44"/>
      <c r="Y14" s="44"/>
      <c r="Z14" s="39"/>
      <c r="AA14" s="39"/>
      <c r="AB14" s="39"/>
      <c r="AC14" s="44" t="str">
        <f t="shared" si="0"/>
        <v>¥126279</v>
      </c>
      <c r="AD14" s="185">
        <f t="shared" si="6"/>
        <v>7.9166635000000002E-4</v>
      </c>
      <c r="AE14" s="75">
        <v>8.3333299999999999E-2</v>
      </c>
      <c r="AF14" s="39"/>
      <c r="AG14" s="75"/>
      <c r="AH14" s="75"/>
      <c r="AI14" s="44"/>
      <c r="AJ14" s="44"/>
      <c r="AK14" s="44"/>
      <c r="AL14" s="44"/>
      <c r="AM14" s="44"/>
      <c r="AN14" s="44"/>
    </row>
    <row r="15" spans="1:40" ht="19.5" hidden="1" customHeight="1" outlineLevel="1">
      <c r="A15" s="39"/>
      <c r="B15" s="50"/>
      <c r="C15" s="50"/>
      <c r="D15" s="51"/>
      <c r="E15" s="62" t="s">
        <v>61</v>
      </c>
      <c r="F15" s="63">
        <f>COUNTIF(D294:D324,1)</f>
        <v>26</v>
      </c>
      <c r="G15" s="64">
        <f t="shared" si="1"/>
        <v>2626605.7731958763</v>
      </c>
      <c r="H15" s="521">
        <v>1.25</v>
      </c>
      <c r="I15" s="483"/>
      <c r="J15" s="180">
        <f t="shared" si="2"/>
        <v>3283257.2164948452</v>
      </c>
      <c r="K15" s="502">
        <f t="shared" si="3"/>
        <v>126279.1237113402</v>
      </c>
      <c r="L15" s="483"/>
      <c r="M15" s="186">
        <f>SUM(J294:J324)</f>
        <v>2672000</v>
      </c>
      <c r="N15" s="503">
        <f t="shared" si="4"/>
        <v>-611257.21649484523</v>
      </c>
      <c r="O15" s="504"/>
      <c r="P15" s="182">
        <f t="shared" si="5"/>
        <v>1.0172824666980349</v>
      </c>
      <c r="Q15" s="44"/>
      <c r="R15" s="188"/>
      <c r="S15" s="189"/>
      <c r="T15" s="550">
        <v>0</v>
      </c>
      <c r="U15" s="483"/>
      <c r="V15" s="190">
        <f t="shared" si="7"/>
        <v>0</v>
      </c>
      <c r="W15" s="44"/>
      <c r="X15" s="44"/>
      <c r="Y15" s="44"/>
      <c r="Z15" s="39"/>
      <c r="AA15" s="39"/>
      <c r="AB15" s="39"/>
      <c r="AC15" s="44" t="str">
        <f t="shared" si="0"/>
        <v>¥106074</v>
      </c>
      <c r="AD15" s="185">
        <f t="shared" si="6"/>
        <v>1.04166625E-3</v>
      </c>
      <c r="AE15" s="75">
        <v>8.3333299999999999E-2</v>
      </c>
      <c r="AF15" s="39"/>
      <c r="AG15" s="75"/>
      <c r="AH15" s="75"/>
      <c r="AI15" s="75"/>
      <c r="AJ15" s="44"/>
      <c r="AK15" s="44"/>
      <c r="AL15" s="44"/>
      <c r="AM15" s="44"/>
      <c r="AN15" s="44"/>
    </row>
    <row r="16" spans="1:40" ht="16.5" hidden="1" customHeight="1" outlineLevel="1">
      <c r="A16" s="39"/>
      <c r="B16" s="50"/>
      <c r="C16" s="50"/>
      <c r="D16" s="51"/>
      <c r="E16" s="62" t="s">
        <v>62</v>
      </c>
      <c r="F16" s="63">
        <f>COUNTIF(D325:D354,1)</f>
        <v>24</v>
      </c>
      <c r="G16" s="64">
        <f t="shared" si="1"/>
        <v>2424559.1752577317</v>
      </c>
      <c r="H16" s="521">
        <v>1.05</v>
      </c>
      <c r="I16" s="483"/>
      <c r="J16" s="180">
        <f t="shared" si="2"/>
        <v>2545787.1340206182</v>
      </c>
      <c r="K16" s="502">
        <f t="shared" si="3"/>
        <v>106074.46391752576</v>
      </c>
      <c r="L16" s="483"/>
      <c r="M16" s="186">
        <f>SUM(J325:J354)</f>
        <v>2210250</v>
      </c>
      <c r="N16" s="503">
        <f t="shared" si="4"/>
        <v>-335537.13402061816</v>
      </c>
      <c r="O16" s="504"/>
      <c r="P16" s="182">
        <f t="shared" si="5"/>
        <v>0.91160901435414521</v>
      </c>
      <c r="Q16" s="44"/>
      <c r="R16" s="188"/>
      <c r="S16" s="189"/>
      <c r="T16" s="550">
        <v>0</v>
      </c>
      <c r="U16" s="483"/>
      <c r="V16" s="190">
        <f t="shared" si="7"/>
        <v>0</v>
      </c>
      <c r="W16" s="39"/>
      <c r="X16" s="39"/>
      <c r="Y16" s="39"/>
      <c r="Z16" s="39"/>
      <c r="AA16" s="39"/>
      <c r="AB16" s="39"/>
      <c r="AC16" s="44" t="str">
        <f t="shared" si="0"/>
        <v>¥131330</v>
      </c>
      <c r="AD16" s="185">
        <f t="shared" si="6"/>
        <v>8.7499965000000001E-4</v>
      </c>
      <c r="AE16" s="75">
        <v>8.3333299999999999E-2</v>
      </c>
      <c r="AF16" s="39"/>
      <c r="AG16" s="75"/>
      <c r="AH16" s="75"/>
      <c r="AI16" s="75"/>
      <c r="AJ16" s="44"/>
      <c r="AK16" s="44"/>
      <c r="AL16" s="44"/>
      <c r="AM16" s="44"/>
      <c r="AN16" s="44"/>
    </row>
    <row r="17" spans="1:40" ht="16.5" hidden="1" customHeight="1" outlineLevel="1">
      <c r="A17" s="39"/>
      <c r="B17" s="50"/>
      <c r="C17" s="50"/>
      <c r="D17" s="51"/>
      <c r="E17" s="62" t="s">
        <v>63</v>
      </c>
      <c r="F17" s="63">
        <f>COUNTIF(D355:D385,1)</f>
        <v>24</v>
      </c>
      <c r="G17" s="64">
        <f t="shared" si="1"/>
        <v>2424559.1752577317</v>
      </c>
      <c r="H17" s="521">
        <v>1.3</v>
      </c>
      <c r="I17" s="483"/>
      <c r="J17" s="180">
        <f t="shared" si="2"/>
        <v>3151926.9278350514</v>
      </c>
      <c r="K17" s="502">
        <f t="shared" si="3"/>
        <v>131330.28865979382</v>
      </c>
      <c r="L17" s="483"/>
      <c r="M17" s="186">
        <f>SUM(J355:J385)</f>
        <v>2366250</v>
      </c>
      <c r="N17" s="503">
        <f t="shared" si="4"/>
        <v>-785676.92783505144</v>
      </c>
      <c r="O17" s="504"/>
      <c r="P17" s="182">
        <f t="shared" si="5"/>
        <v>0.97595060749485174</v>
      </c>
      <c r="Q17" s="44"/>
      <c r="R17" s="39"/>
      <c r="S17" s="39"/>
      <c r="T17" s="44"/>
      <c r="U17" s="50"/>
      <c r="V17" s="50"/>
      <c r="W17" s="39"/>
      <c r="X17" s="39"/>
      <c r="Y17" s="39"/>
      <c r="Z17" s="39"/>
      <c r="AA17" s="39"/>
      <c r="AB17" s="39"/>
      <c r="AC17" s="39"/>
      <c r="AD17" s="185">
        <f t="shared" si="6"/>
        <v>1.0833329000000001E-3</v>
      </c>
      <c r="AE17" s="75">
        <v>8.3333299999999999E-2</v>
      </c>
      <c r="AF17" s="39"/>
      <c r="AG17" s="75"/>
      <c r="AH17" s="75"/>
      <c r="AI17" s="75"/>
      <c r="AJ17" s="75"/>
      <c r="AK17" s="75"/>
      <c r="AL17" s="75"/>
      <c r="AM17" s="75"/>
      <c r="AN17" s="75"/>
    </row>
    <row r="18" spans="1:40" ht="15" customHeight="1" collapsed="1">
      <c r="A18" s="39"/>
      <c r="B18" s="50"/>
      <c r="C18" s="50"/>
      <c r="D18" s="51"/>
      <c r="E18" s="50"/>
      <c r="F18" s="77"/>
      <c r="G18" s="50"/>
      <c r="H18" s="50"/>
      <c r="I18" s="50"/>
      <c r="J18" s="50"/>
      <c r="K18" s="78"/>
      <c r="L18" s="50"/>
      <c r="M18" s="50"/>
      <c r="N18" s="50"/>
      <c r="O18" s="50"/>
      <c r="P18" s="50"/>
      <c r="Q18" s="50"/>
      <c r="R18" s="50"/>
      <c r="S18" s="50"/>
      <c r="T18" s="50"/>
      <c r="U18" s="50"/>
      <c r="V18" s="50"/>
      <c r="W18" s="39"/>
      <c r="X18" s="39"/>
      <c r="Y18" s="39"/>
      <c r="Z18" s="39"/>
      <c r="AA18" s="39"/>
      <c r="AB18" s="39"/>
      <c r="AC18" s="39"/>
      <c r="AD18" s="39"/>
      <c r="AE18" s="39"/>
      <c r="AF18" s="39"/>
      <c r="AG18" s="39"/>
      <c r="AH18" s="39"/>
      <c r="AI18" s="39"/>
      <c r="AJ18" s="39"/>
      <c r="AK18" s="39"/>
      <c r="AL18" s="39"/>
      <c r="AM18" s="39"/>
      <c r="AN18" s="39"/>
    </row>
    <row r="19" spans="1:40" ht="16.5" customHeight="1">
      <c r="A19" s="39"/>
      <c r="B19" s="50"/>
      <c r="C19" s="79"/>
      <c r="D19" s="80"/>
      <c r="E19" s="81" t="s">
        <v>15</v>
      </c>
      <c r="F19" s="81" t="s">
        <v>75</v>
      </c>
      <c r="G19" s="82" t="s">
        <v>49</v>
      </c>
      <c r="H19" s="83" t="s">
        <v>142</v>
      </c>
      <c r="I19" s="87"/>
      <c r="J19" s="83" t="s">
        <v>77</v>
      </c>
      <c r="K19" s="84"/>
      <c r="L19" s="85" t="s">
        <v>143</v>
      </c>
      <c r="M19" s="86" t="s">
        <v>144</v>
      </c>
      <c r="N19" s="79" t="s">
        <v>78</v>
      </c>
      <c r="O19" s="191"/>
      <c r="P19" s="88" t="s">
        <v>14</v>
      </c>
      <c r="Q19" s="81" t="s">
        <v>79</v>
      </c>
      <c r="R19" s="83" t="s">
        <v>145</v>
      </c>
      <c r="S19" s="192" t="s">
        <v>72</v>
      </c>
      <c r="T19" s="87"/>
      <c r="U19" s="88" t="s">
        <v>44</v>
      </c>
      <c r="V19" s="81" t="s">
        <v>82</v>
      </c>
      <c r="W19" s="81" t="s">
        <v>146</v>
      </c>
      <c r="X19" s="79" t="s">
        <v>147</v>
      </c>
      <c r="Y19" s="39"/>
      <c r="Z19" s="39"/>
      <c r="AA19" s="39"/>
      <c r="AB19" s="39"/>
      <c r="AC19" s="92" t="s">
        <v>15</v>
      </c>
      <c r="AD19" s="92" t="s">
        <v>49</v>
      </c>
      <c r="AE19" s="92" t="s">
        <v>148</v>
      </c>
      <c r="AF19" s="93" t="s">
        <v>86</v>
      </c>
      <c r="AG19" s="193"/>
      <c r="AH19" s="193" t="s">
        <v>149</v>
      </c>
      <c r="AI19" s="527" t="s">
        <v>150</v>
      </c>
      <c r="AJ19" s="483"/>
      <c r="AK19" s="39"/>
      <c r="AL19" s="39"/>
      <c r="AM19" s="39"/>
      <c r="AN19" s="39"/>
    </row>
    <row r="20" spans="1:40" ht="16.5" customHeight="1">
      <c r="A20" s="39"/>
      <c r="B20" s="50"/>
      <c r="C20" s="95">
        <v>1</v>
      </c>
      <c r="D20" s="96">
        <v>0</v>
      </c>
      <c r="E20" s="194" t="str">
        <f t="shared" ref="E20:E274" si="8">TEXT(AA20,"m")</f>
        <v>1</v>
      </c>
      <c r="F20" s="195">
        <f>B2</f>
        <v>45292</v>
      </c>
      <c r="G20" s="196" t="str">
        <f t="shared" ref="G20:G274" si="9">TEXT(Z20,"ddd")</f>
        <v>Mon</v>
      </c>
      <c r="H20" s="197" t="s">
        <v>89</v>
      </c>
      <c r="I20" s="198"/>
      <c r="J20" s="199">
        <v>0</v>
      </c>
      <c r="K20" s="103"/>
      <c r="L20" s="104">
        <f t="shared" ref="L20:L50" si="10">IF(D20=0,0,$K$6)</f>
        <v>0</v>
      </c>
      <c r="M20" s="105">
        <f t="shared" ref="M20:M274" si="11">IF(D20=0,0,J20-L20)</f>
        <v>0</v>
      </c>
      <c r="N20" s="156" t="str">
        <f t="shared" ref="N20:N274" si="12">IFERROR(J20/L20,"0%")</f>
        <v>0%</v>
      </c>
      <c r="O20" s="200"/>
      <c r="P20" s="170">
        <f>IF(D20=0,0,$K$6)</f>
        <v>0</v>
      </c>
      <c r="Q20" s="104">
        <f>IF(D20=0,0,$J$20)</f>
        <v>0</v>
      </c>
      <c r="R20" s="108">
        <f t="shared" ref="R20:R274" si="13">IF(D20=0,0,Q20-P20)</f>
        <v>0</v>
      </c>
      <c r="S20" s="106" t="str">
        <f t="shared" ref="S20:S274" si="14">IFERROR(Q20/P20,"0%")</f>
        <v>0%</v>
      </c>
      <c r="T20" s="201"/>
      <c r="U20" s="104">
        <f>IF(D20=0,0,$L$20)</f>
        <v>0</v>
      </c>
      <c r="V20" s="104">
        <f>IF(D20=0,0,$J$20)</f>
        <v>0</v>
      </c>
      <c r="W20" s="108">
        <f t="shared" ref="W20:W274" si="15">IF(D20=0,0,V20-U20)</f>
        <v>0</v>
      </c>
      <c r="X20" s="106" t="str">
        <f t="shared" ref="X20:X274" si="16">IFERROR(V20/U20,"0%")</f>
        <v>0%</v>
      </c>
      <c r="Y20" s="39"/>
      <c r="Z20" s="202">
        <f>B2</f>
        <v>45292</v>
      </c>
      <c r="AA20" s="203">
        <f>B2</f>
        <v>45292</v>
      </c>
      <c r="AB20" s="204">
        <v>45292</v>
      </c>
      <c r="AC20" s="205">
        <v>1</v>
      </c>
      <c r="AD20" s="116" t="s">
        <v>15</v>
      </c>
      <c r="AE20" s="117">
        <f>IFERROR(AVERAGEIFS(J20:J50,D20:D50,1,G20:G50,"mon"),0)</f>
        <v>0</v>
      </c>
      <c r="AF20" s="205">
        <f>COUNTIFS(D20:D50,1,G20:G50,"Mon")</f>
        <v>0</v>
      </c>
      <c r="AG20" s="117">
        <f>SUMIFS(J20:J50,D20:D50,1,G20:G50,"mon")</f>
        <v>0</v>
      </c>
      <c r="AH20" s="117">
        <f t="shared" ref="AH20:AH103" si="17">AE20*AF20</f>
        <v>0</v>
      </c>
      <c r="AI20" s="206">
        <f t="shared" ref="AI20:AI26" si="18">AH20/$M$6</f>
        <v>0</v>
      </c>
      <c r="AJ20" s="524">
        <f>SUM(AI20:AI26)</f>
        <v>1</v>
      </c>
      <c r="AK20" s="53"/>
      <c r="AL20" s="39"/>
      <c r="AM20" s="39"/>
      <c r="AN20" s="39"/>
    </row>
    <row r="21" spans="1:40" ht="16.5" customHeight="1">
      <c r="A21" s="39"/>
      <c r="B21" s="50"/>
      <c r="C21" s="95">
        <f t="shared" ref="C21:C275" si="19">C20+1</f>
        <v>2</v>
      </c>
      <c r="D21" s="96">
        <v>0</v>
      </c>
      <c r="E21" s="194" t="str">
        <f t="shared" si="8"/>
        <v>1</v>
      </c>
      <c r="F21" s="195">
        <f t="shared" ref="F21:F275" si="20">F20+1</f>
        <v>45293</v>
      </c>
      <c r="G21" s="196" t="str">
        <f t="shared" si="9"/>
        <v>Tue</v>
      </c>
      <c r="H21" s="197" t="s">
        <v>91</v>
      </c>
      <c r="I21" s="198"/>
      <c r="J21" s="199">
        <v>0</v>
      </c>
      <c r="K21" s="103"/>
      <c r="L21" s="104">
        <f t="shared" si="10"/>
        <v>0</v>
      </c>
      <c r="M21" s="105">
        <f t="shared" si="11"/>
        <v>0</v>
      </c>
      <c r="N21" s="106" t="str">
        <f t="shared" si="12"/>
        <v>0%</v>
      </c>
      <c r="O21" s="200"/>
      <c r="P21" s="170">
        <f t="shared" ref="P21:P50" si="21">IF(D21=0,0,SUM($L$20:L21))</f>
        <v>0</v>
      </c>
      <c r="Q21" s="104">
        <f t="shared" ref="Q21:Q50" si="22">IF(D21=0,0,SUM($J$20:J21))</f>
        <v>0</v>
      </c>
      <c r="R21" s="108">
        <f t="shared" si="13"/>
        <v>0</v>
      </c>
      <c r="S21" s="106" t="str">
        <f t="shared" si="14"/>
        <v>0%</v>
      </c>
      <c r="T21" s="201"/>
      <c r="U21" s="104">
        <f t="shared" ref="U21:U275" si="23">IF(D21=0,0,SUM($L$20:L21))</f>
        <v>0</v>
      </c>
      <c r="V21" s="104">
        <f t="shared" ref="V21:V275" si="24">IF(D21=0,0,SUM($J$20:J21))</f>
        <v>0</v>
      </c>
      <c r="W21" s="108">
        <f t="shared" si="15"/>
        <v>0</v>
      </c>
      <c r="X21" s="106" t="str">
        <f t="shared" si="16"/>
        <v>0%</v>
      </c>
      <c r="Y21" s="39"/>
      <c r="Z21" s="202">
        <f t="shared" ref="Z21:AA21" si="25">Z20+1</f>
        <v>45293</v>
      </c>
      <c r="AA21" s="203">
        <f t="shared" si="25"/>
        <v>45293</v>
      </c>
      <c r="AB21" s="204">
        <v>45293</v>
      </c>
      <c r="AC21" s="205">
        <v>1</v>
      </c>
      <c r="AD21" s="116" t="s">
        <v>151</v>
      </c>
      <c r="AE21" s="117">
        <f>IFERROR(AVERAGEIFS(J20:J50,D20:D50,1,G20:G50,"tue"),0)</f>
        <v>88337.5</v>
      </c>
      <c r="AF21" s="205">
        <f>COUNTIFS(D20:D50,1,G20:G50,"Tue")</f>
        <v>4</v>
      </c>
      <c r="AG21" s="117"/>
      <c r="AH21" s="117">
        <f t="shared" si="17"/>
        <v>353350</v>
      </c>
      <c r="AI21" s="206">
        <f t="shared" si="18"/>
        <v>0.18561222881756578</v>
      </c>
      <c r="AJ21" s="525"/>
      <c r="AK21" s="53"/>
      <c r="AL21" s="39"/>
      <c r="AM21" s="39"/>
      <c r="AN21" s="39"/>
    </row>
    <row r="22" spans="1:40" ht="16.5" customHeight="1">
      <c r="A22" s="39"/>
      <c r="B22" s="50"/>
      <c r="C22" s="95">
        <f t="shared" si="19"/>
        <v>3</v>
      </c>
      <c r="D22" s="96">
        <v>0</v>
      </c>
      <c r="E22" s="194" t="str">
        <f t="shared" si="8"/>
        <v>1</v>
      </c>
      <c r="F22" s="195">
        <f t="shared" si="20"/>
        <v>45294</v>
      </c>
      <c r="G22" s="196" t="str">
        <f t="shared" si="9"/>
        <v>Wed</v>
      </c>
      <c r="H22" s="197" t="s">
        <v>91</v>
      </c>
      <c r="I22" s="198"/>
      <c r="J22" s="199">
        <v>0</v>
      </c>
      <c r="K22" s="103"/>
      <c r="L22" s="104">
        <f t="shared" si="10"/>
        <v>0</v>
      </c>
      <c r="M22" s="105">
        <f t="shared" si="11"/>
        <v>0</v>
      </c>
      <c r="N22" s="106" t="str">
        <f t="shared" si="12"/>
        <v>0%</v>
      </c>
      <c r="O22" s="200"/>
      <c r="P22" s="170">
        <f t="shared" si="21"/>
        <v>0</v>
      </c>
      <c r="Q22" s="104">
        <f t="shared" si="22"/>
        <v>0</v>
      </c>
      <c r="R22" s="108">
        <f t="shared" si="13"/>
        <v>0</v>
      </c>
      <c r="S22" s="106" t="str">
        <f t="shared" si="14"/>
        <v>0%</v>
      </c>
      <c r="T22" s="201"/>
      <c r="U22" s="104">
        <f t="shared" si="23"/>
        <v>0</v>
      </c>
      <c r="V22" s="104">
        <f t="shared" si="24"/>
        <v>0</v>
      </c>
      <c r="W22" s="108">
        <f t="shared" si="15"/>
        <v>0</v>
      </c>
      <c r="X22" s="106" t="str">
        <f t="shared" si="16"/>
        <v>0%</v>
      </c>
      <c r="Y22" s="39"/>
      <c r="Z22" s="202">
        <f t="shared" ref="Z22:AA22" si="26">Z21+1</f>
        <v>45294</v>
      </c>
      <c r="AA22" s="203">
        <f t="shared" si="26"/>
        <v>45294</v>
      </c>
      <c r="AB22" s="204">
        <v>45294</v>
      </c>
      <c r="AC22" s="205">
        <v>1</v>
      </c>
      <c r="AD22" s="116" t="s">
        <v>152</v>
      </c>
      <c r="AE22" s="117">
        <f>IFERROR(AVERAGEIFS(J20:J50,D20:D50,1,G20:G50,"wed"),0)</f>
        <v>90283.333333333328</v>
      </c>
      <c r="AF22" s="205">
        <f>COUNTIFS(D20:D50,1,G20:G50,"wed")</f>
        <v>3</v>
      </c>
      <c r="AG22" s="117"/>
      <c r="AH22" s="117">
        <f t="shared" si="17"/>
        <v>270850</v>
      </c>
      <c r="AI22" s="206">
        <f t="shared" si="18"/>
        <v>0.14227556862951096</v>
      </c>
      <c r="AJ22" s="525"/>
      <c r="AK22" s="53"/>
      <c r="AL22" s="39"/>
      <c r="AM22" s="39"/>
      <c r="AN22" s="39"/>
    </row>
    <row r="23" spans="1:40" ht="16.5" customHeight="1">
      <c r="A23" s="39"/>
      <c r="B23" s="50"/>
      <c r="C23" s="95">
        <f t="shared" si="19"/>
        <v>4</v>
      </c>
      <c r="D23" s="96">
        <v>0</v>
      </c>
      <c r="E23" s="194" t="str">
        <f t="shared" si="8"/>
        <v>1</v>
      </c>
      <c r="F23" s="195">
        <f t="shared" si="20"/>
        <v>45295</v>
      </c>
      <c r="G23" s="196" t="str">
        <f t="shared" si="9"/>
        <v>Thu</v>
      </c>
      <c r="H23" s="197" t="s">
        <v>153</v>
      </c>
      <c r="I23" s="198"/>
      <c r="J23" s="199">
        <v>0</v>
      </c>
      <c r="K23" s="103"/>
      <c r="L23" s="104">
        <f t="shared" si="10"/>
        <v>0</v>
      </c>
      <c r="M23" s="105">
        <f t="shared" si="11"/>
        <v>0</v>
      </c>
      <c r="N23" s="106" t="str">
        <f t="shared" si="12"/>
        <v>0%</v>
      </c>
      <c r="O23" s="200"/>
      <c r="P23" s="170">
        <f t="shared" si="21"/>
        <v>0</v>
      </c>
      <c r="Q23" s="104">
        <f t="shared" si="22"/>
        <v>0</v>
      </c>
      <c r="R23" s="108">
        <f t="shared" si="13"/>
        <v>0</v>
      </c>
      <c r="S23" s="106" t="str">
        <f t="shared" si="14"/>
        <v>0%</v>
      </c>
      <c r="T23" s="207"/>
      <c r="U23" s="104">
        <f t="shared" si="23"/>
        <v>0</v>
      </c>
      <c r="V23" s="104">
        <f t="shared" si="24"/>
        <v>0</v>
      </c>
      <c r="W23" s="108">
        <f t="shared" si="15"/>
        <v>0</v>
      </c>
      <c r="X23" s="106" t="str">
        <f t="shared" si="16"/>
        <v>0%</v>
      </c>
      <c r="Y23" s="39"/>
      <c r="Z23" s="202">
        <f t="shared" ref="Z23:AA23" si="27">Z22+1</f>
        <v>45295</v>
      </c>
      <c r="AA23" s="203">
        <f t="shared" si="27"/>
        <v>45295</v>
      </c>
      <c r="AB23" s="204">
        <v>45295</v>
      </c>
      <c r="AC23" s="205">
        <v>1</v>
      </c>
      <c r="AD23" s="116" t="s">
        <v>154</v>
      </c>
      <c r="AE23" s="117">
        <f>IFERROR(AVERAGEIFS(J20:J50,D20:D50,1,G20:G50,"thu"),0)</f>
        <v>56700</v>
      </c>
      <c r="AF23" s="205">
        <f>COUNTIFS(D20:D50,1,G20:G50,"thu")</f>
        <v>3</v>
      </c>
      <c r="AG23" s="117"/>
      <c r="AH23" s="117">
        <f t="shared" si="17"/>
        <v>170100</v>
      </c>
      <c r="AI23" s="206">
        <f t="shared" si="18"/>
        <v>8.9352313915007614E-2</v>
      </c>
      <c r="AJ23" s="525"/>
      <c r="AK23" s="53"/>
      <c r="AL23" s="39"/>
      <c r="AM23" s="39"/>
      <c r="AN23" s="39"/>
    </row>
    <row r="24" spans="1:40" ht="16.5" customHeight="1">
      <c r="A24" s="39"/>
      <c r="B24" s="50"/>
      <c r="C24" s="95">
        <f t="shared" si="19"/>
        <v>5</v>
      </c>
      <c r="D24" s="96">
        <v>1</v>
      </c>
      <c r="E24" s="194" t="str">
        <f t="shared" si="8"/>
        <v>1</v>
      </c>
      <c r="F24" s="195">
        <f t="shared" si="20"/>
        <v>45296</v>
      </c>
      <c r="G24" s="196" t="str">
        <f t="shared" si="9"/>
        <v>Fri</v>
      </c>
      <c r="H24" s="197"/>
      <c r="I24" s="198"/>
      <c r="J24" s="199">
        <v>122350</v>
      </c>
      <c r="K24" s="103"/>
      <c r="L24" s="104">
        <f t="shared" si="10"/>
        <v>90920.969072164939</v>
      </c>
      <c r="M24" s="105">
        <f t="shared" si="11"/>
        <v>31429.030927835061</v>
      </c>
      <c r="N24" s="106">
        <f t="shared" si="12"/>
        <v>1.34567417448982</v>
      </c>
      <c r="O24" s="200"/>
      <c r="P24" s="170">
        <f t="shared" si="21"/>
        <v>90920.969072164939</v>
      </c>
      <c r="Q24" s="104">
        <f t="shared" si="22"/>
        <v>122350</v>
      </c>
      <c r="R24" s="108">
        <f t="shared" si="13"/>
        <v>31429.030927835061</v>
      </c>
      <c r="S24" s="106">
        <f t="shared" si="14"/>
        <v>1.34567417448982</v>
      </c>
      <c r="T24" s="201"/>
      <c r="U24" s="104">
        <f t="shared" si="23"/>
        <v>90920.969072164939</v>
      </c>
      <c r="V24" s="104">
        <f t="shared" si="24"/>
        <v>122350</v>
      </c>
      <c r="W24" s="108">
        <f t="shared" si="15"/>
        <v>31429.030927835061</v>
      </c>
      <c r="X24" s="106">
        <f t="shared" si="16"/>
        <v>1.34567417448982</v>
      </c>
      <c r="Y24" s="39"/>
      <c r="Z24" s="202">
        <f t="shared" ref="Z24:AA24" si="28">Z23+1</f>
        <v>45296</v>
      </c>
      <c r="AA24" s="203">
        <f t="shared" si="28"/>
        <v>45296</v>
      </c>
      <c r="AB24" s="204">
        <v>45296</v>
      </c>
      <c r="AC24" s="205">
        <v>1</v>
      </c>
      <c r="AD24" s="116" t="s">
        <v>155</v>
      </c>
      <c r="AE24" s="117">
        <f>IFERROR(AVERAGEIFS(J20:J50,D20:D50,1,G20:G50,"fri"),0)</f>
        <v>128412.5</v>
      </c>
      <c r="AF24" s="205">
        <f>COUNTIFS(D20:D50,1,G20:G50,"fri")</f>
        <v>4</v>
      </c>
      <c r="AG24" s="117"/>
      <c r="AH24" s="117">
        <f t="shared" si="17"/>
        <v>513650</v>
      </c>
      <c r="AI24" s="206">
        <f t="shared" si="18"/>
        <v>0.26981667279508326</v>
      </c>
      <c r="AJ24" s="525"/>
      <c r="AK24" s="53"/>
      <c r="AL24" s="39"/>
      <c r="AM24" s="39"/>
      <c r="AN24" s="39"/>
    </row>
    <row r="25" spans="1:40" ht="16.5" customHeight="1">
      <c r="A25" s="39"/>
      <c r="B25" s="50"/>
      <c r="C25" s="95">
        <f t="shared" si="19"/>
        <v>6</v>
      </c>
      <c r="D25" s="96">
        <v>0</v>
      </c>
      <c r="E25" s="194" t="str">
        <f t="shared" si="8"/>
        <v>1</v>
      </c>
      <c r="F25" s="195">
        <f t="shared" si="20"/>
        <v>45297</v>
      </c>
      <c r="G25" s="196" t="str">
        <f t="shared" si="9"/>
        <v>Sat</v>
      </c>
      <c r="H25" s="197"/>
      <c r="I25" s="198"/>
      <c r="J25" s="199">
        <v>0</v>
      </c>
      <c r="K25" s="103"/>
      <c r="L25" s="104">
        <f t="shared" si="10"/>
        <v>0</v>
      </c>
      <c r="M25" s="105">
        <f t="shared" si="11"/>
        <v>0</v>
      </c>
      <c r="N25" s="106" t="str">
        <f t="shared" si="12"/>
        <v>0%</v>
      </c>
      <c r="O25" s="200"/>
      <c r="P25" s="170">
        <f t="shared" si="21"/>
        <v>0</v>
      </c>
      <c r="Q25" s="104">
        <f t="shared" si="22"/>
        <v>0</v>
      </c>
      <c r="R25" s="108">
        <f t="shared" si="13"/>
        <v>0</v>
      </c>
      <c r="S25" s="106" t="str">
        <f t="shared" si="14"/>
        <v>0%</v>
      </c>
      <c r="T25" s="133"/>
      <c r="U25" s="104">
        <f t="shared" si="23"/>
        <v>0</v>
      </c>
      <c r="V25" s="104">
        <f t="shared" si="24"/>
        <v>0</v>
      </c>
      <c r="W25" s="108">
        <f t="shared" si="15"/>
        <v>0</v>
      </c>
      <c r="X25" s="106" t="str">
        <f t="shared" si="16"/>
        <v>0%</v>
      </c>
      <c r="Y25" s="39"/>
      <c r="Z25" s="202">
        <f t="shared" ref="Z25:AA25" si="29">Z24+1</f>
        <v>45297</v>
      </c>
      <c r="AA25" s="203">
        <f t="shared" si="29"/>
        <v>45297</v>
      </c>
      <c r="AB25" s="204">
        <v>45297</v>
      </c>
      <c r="AC25" s="205">
        <v>1</v>
      </c>
      <c r="AD25" s="116" t="s">
        <v>156</v>
      </c>
      <c r="AE25" s="117">
        <f>IFERROR(AVERAGEIFS(J20:J50,D20:D50,1,G20:G50,"sat"),0)</f>
        <v>80700</v>
      </c>
      <c r="AF25" s="205">
        <f>COUNTIFS(D20:D50,1,G20:G50,"sat")</f>
        <v>3</v>
      </c>
      <c r="AG25" s="117"/>
      <c r="AH25" s="117">
        <f t="shared" si="17"/>
        <v>242100</v>
      </c>
      <c r="AI25" s="206">
        <f t="shared" si="18"/>
        <v>0.12717339917003728</v>
      </c>
      <c r="AJ25" s="525"/>
      <c r="AK25" s="53"/>
      <c r="AL25" s="39"/>
      <c r="AM25" s="39"/>
      <c r="AN25" s="39"/>
    </row>
    <row r="26" spans="1:40" ht="16.5" customHeight="1">
      <c r="A26" s="39"/>
      <c r="B26" s="50"/>
      <c r="C26" s="95">
        <f t="shared" si="19"/>
        <v>7</v>
      </c>
      <c r="D26" s="96">
        <v>1</v>
      </c>
      <c r="E26" s="194" t="str">
        <f t="shared" si="8"/>
        <v>1</v>
      </c>
      <c r="F26" s="195">
        <f t="shared" si="20"/>
        <v>45298</v>
      </c>
      <c r="G26" s="196" t="str">
        <f t="shared" si="9"/>
        <v>Sun</v>
      </c>
      <c r="H26" s="197" t="s">
        <v>157</v>
      </c>
      <c r="I26" s="198"/>
      <c r="J26" s="199">
        <v>63100</v>
      </c>
      <c r="K26" s="103"/>
      <c r="L26" s="104">
        <f t="shared" si="10"/>
        <v>90920.969072164939</v>
      </c>
      <c r="M26" s="105">
        <f t="shared" si="11"/>
        <v>-27820.969072164939</v>
      </c>
      <c r="N26" s="106">
        <f t="shared" si="12"/>
        <v>0.69400932088522793</v>
      </c>
      <c r="O26" s="200"/>
      <c r="P26" s="170">
        <f t="shared" si="21"/>
        <v>181841.93814432988</v>
      </c>
      <c r="Q26" s="104">
        <f t="shared" si="22"/>
        <v>185450</v>
      </c>
      <c r="R26" s="108">
        <f t="shared" si="13"/>
        <v>3608.0618556701229</v>
      </c>
      <c r="S26" s="106">
        <f t="shared" si="14"/>
        <v>1.0198417476875239</v>
      </c>
      <c r="T26" s="133"/>
      <c r="U26" s="104">
        <f t="shared" si="23"/>
        <v>181841.93814432988</v>
      </c>
      <c r="V26" s="104">
        <f t="shared" si="24"/>
        <v>185450</v>
      </c>
      <c r="W26" s="108">
        <f t="shared" si="15"/>
        <v>3608.0618556701229</v>
      </c>
      <c r="X26" s="106">
        <f t="shared" si="16"/>
        <v>1.0198417476875239</v>
      </c>
      <c r="Y26" s="39"/>
      <c r="Z26" s="202">
        <f t="shared" ref="Z26:AA26" si="30">Z25+1</f>
        <v>45298</v>
      </c>
      <c r="AA26" s="203">
        <f t="shared" si="30"/>
        <v>45298</v>
      </c>
      <c r="AB26" s="204">
        <v>45298</v>
      </c>
      <c r="AC26" s="205">
        <v>1</v>
      </c>
      <c r="AD26" s="116" t="s">
        <v>158</v>
      </c>
      <c r="AE26" s="117">
        <f>IFERROR(AVERAGEIFS(J20:J50,D20:D50,1,G20:G50,"sun"),0)</f>
        <v>88412.5</v>
      </c>
      <c r="AF26" s="205">
        <f>IFERROR(COUNTIFS(D20:D50,1,G20:G50,"sun"),0)</f>
        <v>4</v>
      </c>
      <c r="AG26" s="117"/>
      <c r="AH26" s="117">
        <f t="shared" si="17"/>
        <v>353650</v>
      </c>
      <c r="AI26" s="206">
        <f t="shared" si="18"/>
        <v>0.18576981667279507</v>
      </c>
      <c r="AJ26" s="526"/>
      <c r="AK26" s="44"/>
      <c r="AL26" s="39"/>
      <c r="AM26" s="39"/>
      <c r="AN26" s="39"/>
    </row>
    <row r="27" spans="1:40" ht="16.5" customHeight="1">
      <c r="A27" s="39"/>
      <c r="B27" s="50"/>
      <c r="C27" s="95">
        <f t="shared" si="19"/>
        <v>8</v>
      </c>
      <c r="D27" s="96">
        <v>0</v>
      </c>
      <c r="E27" s="194" t="str">
        <f t="shared" si="8"/>
        <v>1</v>
      </c>
      <c r="F27" s="195">
        <f t="shared" si="20"/>
        <v>45299</v>
      </c>
      <c r="G27" s="196" t="str">
        <f t="shared" si="9"/>
        <v>Mon</v>
      </c>
      <c r="H27" s="197"/>
      <c r="I27" s="208"/>
      <c r="J27" s="209"/>
      <c r="K27" s="136"/>
      <c r="L27" s="104">
        <f t="shared" si="10"/>
        <v>0</v>
      </c>
      <c r="M27" s="105">
        <f t="shared" si="11"/>
        <v>0</v>
      </c>
      <c r="N27" s="106" t="str">
        <f t="shared" si="12"/>
        <v>0%</v>
      </c>
      <c r="O27" s="200"/>
      <c r="P27" s="170">
        <f t="shared" si="21"/>
        <v>0</v>
      </c>
      <c r="Q27" s="104">
        <f t="shared" si="22"/>
        <v>0</v>
      </c>
      <c r="R27" s="108">
        <f t="shared" si="13"/>
        <v>0</v>
      </c>
      <c r="S27" s="106" t="str">
        <f t="shared" si="14"/>
        <v>0%</v>
      </c>
      <c r="T27" s="133"/>
      <c r="U27" s="104">
        <f t="shared" si="23"/>
        <v>0</v>
      </c>
      <c r="V27" s="104">
        <f t="shared" si="24"/>
        <v>0</v>
      </c>
      <c r="W27" s="108">
        <f t="shared" si="15"/>
        <v>0</v>
      </c>
      <c r="X27" s="106" t="str">
        <f t="shared" si="16"/>
        <v>0%</v>
      </c>
      <c r="Y27" s="39"/>
      <c r="Z27" s="202">
        <f t="shared" ref="Z27:AA27" si="31">Z26+1</f>
        <v>45299</v>
      </c>
      <c r="AA27" s="203">
        <f t="shared" si="31"/>
        <v>45299</v>
      </c>
      <c r="AB27" s="204">
        <v>45299</v>
      </c>
      <c r="AC27" s="205">
        <v>2</v>
      </c>
      <c r="AD27" s="116" t="s">
        <v>15</v>
      </c>
      <c r="AE27" s="117">
        <f>IFERROR(AVERAGEIFS(J51:J79,D51:D79,1,G51:G79,"mon"),0)</f>
        <v>0</v>
      </c>
      <c r="AF27" s="205">
        <f>COUNTIFS(D51:D79,1,G51:G79,"Mon")</f>
        <v>0</v>
      </c>
      <c r="AG27" s="117"/>
      <c r="AH27" s="117">
        <f t="shared" si="17"/>
        <v>0</v>
      </c>
      <c r="AI27" s="206">
        <f t="shared" ref="AI27:AI33" si="32">AH27/$M$7</f>
        <v>0</v>
      </c>
      <c r="AJ27" s="524">
        <f>SUM(AI27:AI33)</f>
        <v>1</v>
      </c>
      <c r="AK27" s="113" t="s">
        <v>159</v>
      </c>
      <c r="AL27" s="39"/>
      <c r="AM27" s="39"/>
      <c r="AN27" s="39"/>
    </row>
    <row r="28" spans="1:40" ht="16.5" customHeight="1">
      <c r="A28" s="39"/>
      <c r="B28" s="50"/>
      <c r="C28" s="95">
        <f t="shared" si="19"/>
        <v>9</v>
      </c>
      <c r="D28" s="96">
        <v>1</v>
      </c>
      <c r="E28" s="194" t="str">
        <f t="shared" si="8"/>
        <v>1</v>
      </c>
      <c r="F28" s="195">
        <f t="shared" si="20"/>
        <v>45300</v>
      </c>
      <c r="G28" s="196" t="str">
        <f t="shared" si="9"/>
        <v>Tue</v>
      </c>
      <c r="H28" s="197"/>
      <c r="I28" s="208"/>
      <c r="J28" s="209">
        <v>130500</v>
      </c>
      <c r="K28" s="136"/>
      <c r="L28" s="104">
        <f t="shared" si="10"/>
        <v>90920.969072164939</v>
      </c>
      <c r="M28" s="105">
        <f t="shared" si="11"/>
        <v>39579.030927835061</v>
      </c>
      <c r="N28" s="106">
        <f t="shared" si="12"/>
        <v>1.4353124623696076</v>
      </c>
      <c r="O28" s="200"/>
      <c r="P28" s="170">
        <f t="shared" si="21"/>
        <v>272762.90721649479</v>
      </c>
      <c r="Q28" s="104">
        <f t="shared" si="22"/>
        <v>315950</v>
      </c>
      <c r="R28" s="108">
        <f t="shared" si="13"/>
        <v>43187.092783505213</v>
      </c>
      <c r="S28" s="106">
        <f t="shared" si="14"/>
        <v>1.1583319859148853</v>
      </c>
      <c r="T28" s="133"/>
      <c r="U28" s="104">
        <f t="shared" si="23"/>
        <v>272762.90721649479</v>
      </c>
      <c r="V28" s="104">
        <f t="shared" si="24"/>
        <v>315950</v>
      </c>
      <c r="W28" s="108">
        <f t="shared" si="15"/>
        <v>43187.092783505213</v>
      </c>
      <c r="X28" s="106">
        <f t="shared" si="16"/>
        <v>1.1583319859148853</v>
      </c>
      <c r="Y28" s="39"/>
      <c r="Z28" s="202">
        <f t="shared" ref="Z28:AA28" si="33">Z27+1</f>
        <v>45300</v>
      </c>
      <c r="AA28" s="203">
        <f t="shared" si="33"/>
        <v>45300</v>
      </c>
      <c r="AB28" s="204">
        <v>45300</v>
      </c>
      <c r="AC28" s="205">
        <v>2</v>
      </c>
      <c r="AD28" s="116" t="s">
        <v>151</v>
      </c>
      <c r="AE28" s="117">
        <f>AVERAGEIFS(J51:J79,D51:D79,1,G51:G79,"tue")</f>
        <v>66212.5</v>
      </c>
      <c r="AF28" s="205">
        <f>COUNTIFS(D51:D79,1,G51:G79,"tue")</f>
        <v>4</v>
      </c>
      <c r="AG28" s="117"/>
      <c r="AH28" s="117">
        <f t="shared" si="17"/>
        <v>264850</v>
      </c>
      <c r="AI28" s="206">
        <f t="shared" si="32"/>
        <v>0.11758829666792461</v>
      </c>
      <c r="AJ28" s="525"/>
      <c r="AK28" s="113"/>
      <c r="AL28" s="39"/>
      <c r="AM28" s="39"/>
      <c r="AN28" s="39"/>
    </row>
    <row r="29" spans="1:40" ht="16.5" customHeight="1">
      <c r="A29" s="39"/>
      <c r="B29" s="50"/>
      <c r="C29" s="95">
        <f t="shared" si="19"/>
        <v>10</v>
      </c>
      <c r="D29" s="96">
        <v>1</v>
      </c>
      <c r="E29" s="194" t="str">
        <f t="shared" si="8"/>
        <v>1</v>
      </c>
      <c r="F29" s="195">
        <f t="shared" si="20"/>
        <v>45301</v>
      </c>
      <c r="G29" s="196" t="str">
        <f t="shared" si="9"/>
        <v>Wed</v>
      </c>
      <c r="H29" s="197"/>
      <c r="I29" s="208"/>
      <c r="J29" s="209">
        <v>106200</v>
      </c>
      <c r="K29" s="136"/>
      <c r="L29" s="104">
        <f t="shared" si="10"/>
        <v>90920.969072164939</v>
      </c>
      <c r="M29" s="105">
        <f t="shared" si="11"/>
        <v>15279.030927835061</v>
      </c>
      <c r="N29" s="106">
        <f t="shared" si="12"/>
        <v>1.1680473831697498</v>
      </c>
      <c r="O29" s="200"/>
      <c r="P29" s="170">
        <f t="shared" si="21"/>
        <v>363683.87628865975</v>
      </c>
      <c r="Q29" s="104">
        <f t="shared" si="22"/>
        <v>422150</v>
      </c>
      <c r="R29" s="108">
        <f t="shared" si="13"/>
        <v>58466.123711340246</v>
      </c>
      <c r="S29" s="106">
        <f t="shared" si="14"/>
        <v>1.1607608352286012</v>
      </c>
      <c r="T29" s="133"/>
      <c r="U29" s="104">
        <f t="shared" si="23"/>
        <v>363683.87628865975</v>
      </c>
      <c r="V29" s="104">
        <f t="shared" si="24"/>
        <v>422150</v>
      </c>
      <c r="W29" s="108">
        <f t="shared" si="15"/>
        <v>58466.123711340246</v>
      </c>
      <c r="X29" s="106">
        <f t="shared" si="16"/>
        <v>1.1607608352286012</v>
      </c>
      <c r="Y29" s="39"/>
      <c r="Z29" s="202">
        <f t="shared" ref="Z29:AA29" si="34">Z28+1</f>
        <v>45301</v>
      </c>
      <c r="AA29" s="203">
        <f t="shared" si="34"/>
        <v>45301</v>
      </c>
      <c r="AB29" s="204">
        <v>45301</v>
      </c>
      <c r="AC29" s="205">
        <v>2</v>
      </c>
      <c r="AD29" s="116" t="s">
        <v>152</v>
      </c>
      <c r="AE29" s="117">
        <f>AVERAGEIFS(J51:J79,D51:D79,1,G51:G79,"wed")</f>
        <v>86962.5</v>
      </c>
      <c r="AF29" s="205">
        <f>COUNTIFS(D51:D79,1,G51:G79,"wed")</f>
        <v>4</v>
      </c>
      <c r="AG29" s="117"/>
      <c r="AH29" s="117">
        <f t="shared" si="17"/>
        <v>347850</v>
      </c>
      <c r="AI29" s="206">
        <f t="shared" si="32"/>
        <v>0.15443869736053456</v>
      </c>
      <c r="AJ29" s="525"/>
      <c r="AK29" s="113"/>
      <c r="AL29" s="39"/>
      <c r="AM29" s="39"/>
      <c r="AN29" s="39"/>
    </row>
    <row r="30" spans="1:40" ht="16.5" customHeight="1">
      <c r="A30" s="39"/>
      <c r="B30" s="50"/>
      <c r="C30" s="95">
        <f t="shared" si="19"/>
        <v>11</v>
      </c>
      <c r="D30" s="96">
        <v>1</v>
      </c>
      <c r="E30" s="194" t="str">
        <f t="shared" si="8"/>
        <v>1</v>
      </c>
      <c r="F30" s="195">
        <f t="shared" si="20"/>
        <v>45302</v>
      </c>
      <c r="G30" s="196" t="str">
        <f t="shared" si="9"/>
        <v>Thu</v>
      </c>
      <c r="H30" s="197"/>
      <c r="I30" s="208"/>
      <c r="J30" s="209">
        <v>61950</v>
      </c>
      <c r="K30" s="136"/>
      <c r="L30" s="104">
        <f t="shared" si="10"/>
        <v>90920.969072164939</v>
      </c>
      <c r="M30" s="105">
        <f t="shared" si="11"/>
        <v>-28970.969072164939</v>
      </c>
      <c r="N30" s="106">
        <f t="shared" si="12"/>
        <v>0.68136097351568736</v>
      </c>
      <c r="O30" s="200"/>
      <c r="P30" s="170">
        <f t="shared" si="21"/>
        <v>454604.84536082472</v>
      </c>
      <c r="Q30" s="104">
        <f t="shared" si="22"/>
        <v>484100</v>
      </c>
      <c r="R30" s="108">
        <f t="shared" si="13"/>
        <v>29495.154639175278</v>
      </c>
      <c r="S30" s="106">
        <f t="shared" si="14"/>
        <v>1.0648808628860185</v>
      </c>
      <c r="T30" s="133"/>
      <c r="U30" s="104">
        <f t="shared" si="23"/>
        <v>454604.84536082472</v>
      </c>
      <c r="V30" s="104">
        <f t="shared" si="24"/>
        <v>484100</v>
      </c>
      <c r="W30" s="108">
        <f t="shared" si="15"/>
        <v>29495.154639175278</v>
      </c>
      <c r="X30" s="106">
        <f t="shared" si="16"/>
        <v>1.0648808628860185</v>
      </c>
      <c r="Y30" s="39"/>
      <c r="Z30" s="202">
        <f t="shared" ref="Z30:AA30" si="35">Z29+1</f>
        <v>45302</v>
      </c>
      <c r="AA30" s="203">
        <f t="shared" si="35"/>
        <v>45302</v>
      </c>
      <c r="AB30" s="204">
        <v>45302</v>
      </c>
      <c r="AC30" s="205">
        <v>2</v>
      </c>
      <c r="AD30" s="116" t="s">
        <v>154</v>
      </c>
      <c r="AE30" s="117">
        <f>AVERAGEIFS(J51:J79,D51:D79,1,G51:G79,"thu")</f>
        <v>95650</v>
      </c>
      <c r="AF30" s="205">
        <f>COUNTIFS(D51:D79,1,G51:G79,"thu")</f>
        <v>5</v>
      </c>
      <c r="AG30" s="117"/>
      <c r="AH30" s="117">
        <f t="shared" si="17"/>
        <v>478250</v>
      </c>
      <c r="AI30" s="206">
        <f t="shared" si="32"/>
        <v>0.21233378471374342</v>
      </c>
      <c r="AJ30" s="525"/>
      <c r="AK30" s="113"/>
      <c r="AL30" s="39"/>
      <c r="AM30" s="39"/>
      <c r="AN30" s="39"/>
    </row>
    <row r="31" spans="1:40" ht="16.5" customHeight="1">
      <c r="A31" s="39"/>
      <c r="B31" s="50"/>
      <c r="C31" s="95">
        <f t="shared" si="19"/>
        <v>12</v>
      </c>
      <c r="D31" s="96">
        <v>1</v>
      </c>
      <c r="E31" s="194" t="str">
        <f t="shared" si="8"/>
        <v>1</v>
      </c>
      <c r="F31" s="195">
        <f t="shared" si="20"/>
        <v>45303</v>
      </c>
      <c r="G31" s="196" t="str">
        <f t="shared" si="9"/>
        <v>Fri</v>
      </c>
      <c r="H31" s="197"/>
      <c r="I31" s="208"/>
      <c r="J31" s="209">
        <v>132500</v>
      </c>
      <c r="K31" s="136"/>
      <c r="L31" s="104">
        <f t="shared" si="10"/>
        <v>90920.969072164939</v>
      </c>
      <c r="M31" s="105">
        <f t="shared" si="11"/>
        <v>41579.030927835061</v>
      </c>
      <c r="N31" s="106">
        <f t="shared" si="12"/>
        <v>1.4573095882296783</v>
      </c>
      <c r="O31" s="200"/>
      <c r="P31" s="170">
        <f t="shared" si="21"/>
        <v>545525.81443298969</v>
      </c>
      <c r="Q31" s="104">
        <f t="shared" si="22"/>
        <v>616600</v>
      </c>
      <c r="R31" s="108">
        <f t="shared" si="13"/>
        <v>71074.18556701031</v>
      </c>
      <c r="S31" s="106">
        <f t="shared" si="14"/>
        <v>1.130285650443295</v>
      </c>
      <c r="T31" s="134"/>
      <c r="U31" s="104">
        <f t="shared" si="23"/>
        <v>545525.81443298969</v>
      </c>
      <c r="V31" s="104">
        <f t="shared" si="24"/>
        <v>616600</v>
      </c>
      <c r="W31" s="108">
        <f t="shared" si="15"/>
        <v>71074.18556701031</v>
      </c>
      <c r="X31" s="106">
        <f t="shared" si="16"/>
        <v>1.130285650443295</v>
      </c>
      <c r="Y31" s="39"/>
      <c r="Z31" s="202">
        <f t="shared" ref="Z31:AA31" si="36">Z30+1</f>
        <v>45303</v>
      </c>
      <c r="AA31" s="203">
        <f t="shared" si="36"/>
        <v>45303</v>
      </c>
      <c r="AB31" s="204">
        <v>45303</v>
      </c>
      <c r="AC31" s="205">
        <v>2</v>
      </c>
      <c r="AD31" s="116" t="s">
        <v>155</v>
      </c>
      <c r="AE31" s="117">
        <f>AVERAGEIFS(J51:J79,D51:D79,1,G51:G79,"fri")</f>
        <v>113575</v>
      </c>
      <c r="AF31" s="205">
        <f>COUNTIFS(D51:D79,1,G51:G79,"fri")</f>
        <v>4</v>
      </c>
      <c r="AG31" s="117"/>
      <c r="AH31" s="117">
        <f t="shared" si="17"/>
        <v>454300</v>
      </c>
      <c r="AI31" s="206">
        <f t="shared" si="32"/>
        <v>0.2017004462006349</v>
      </c>
      <c r="AJ31" s="525"/>
      <c r="AK31" s="113"/>
      <c r="AL31" s="39"/>
      <c r="AM31" s="39"/>
      <c r="AN31" s="39"/>
    </row>
    <row r="32" spans="1:40" ht="16.5" customHeight="1">
      <c r="A32" s="39"/>
      <c r="B32" s="50"/>
      <c r="C32" s="95">
        <f t="shared" si="19"/>
        <v>13</v>
      </c>
      <c r="D32" s="96">
        <v>1</v>
      </c>
      <c r="E32" s="194" t="str">
        <f t="shared" si="8"/>
        <v>1</v>
      </c>
      <c r="F32" s="195">
        <f t="shared" si="20"/>
        <v>45304</v>
      </c>
      <c r="G32" s="196" t="str">
        <f t="shared" si="9"/>
        <v>Sat</v>
      </c>
      <c r="H32" s="197"/>
      <c r="I32" s="208"/>
      <c r="J32" s="209">
        <v>86150</v>
      </c>
      <c r="K32" s="136"/>
      <c r="L32" s="104">
        <f t="shared" si="10"/>
        <v>90920.969072164939</v>
      </c>
      <c r="M32" s="105">
        <f t="shared" si="11"/>
        <v>-4770.9690721649386</v>
      </c>
      <c r="N32" s="106">
        <f t="shared" si="12"/>
        <v>0.94752619642254177</v>
      </c>
      <c r="O32" s="200"/>
      <c r="P32" s="170">
        <f t="shared" si="21"/>
        <v>636446.78350515466</v>
      </c>
      <c r="Q32" s="104">
        <f t="shared" si="22"/>
        <v>702750</v>
      </c>
      <c r="R32" s="108">
        <f t="shared" si="13"/>
        <v>66303.216494845343</v>
      </c>
      <c r="S32" s="106">
        <f t="shared" si="14"/>
        <v>1.1041771570117587</v>
      </c>
      <c r="T32" s="134"/>
      <c r="U32" s="104">
        <f t="shared" si="23"/>
        <v>636446.78350515466</v>
      </c>
      <c r="V32" s="104">
        <f t="shared" si="24"/>
        <v>702750</v>
      </c>
      <c r="W32" s="108">
        <f t="shared" si="15"/>
        <v>66303.216494845343</v>
      </c>
      <c r="X32" s="106">
        <f t="shared" si="16"/>
        <v>1.1041771570117587</v>
      </c>
      <c r="Y32" s="39"/>
      <c r="Z32" s="202">
        <f t="shared" ref="Z32:AA32" si="37">Z31+1</f>
        <v>45304</v>
      </c>
      <c r="AA32" s="203">
        <f t="shared" si="37"/>
        <v>45304</v>
      </c>
      <c r="AB32" s="204">
        <v>45304</v>
      </c>
      <c r="AC32" s="205">
        <v>2</v>
      </c>
      <c r="AD32" s="116" t="s">
        <v>156</v>
      </c>
      <c r="AE32" s="117">
        <f>AVERAGEIFS(J51:J79,D51:D79,1,G51:G79,"sat")</f>
        <v>73337.5</v>
      </c>
      <c r="AF32" s="205">
        <f>COUNTIFS(D51:D79,1,G51:G79,"sat")</f>
        <v>4</v>
      </c>
      <c r="AG32" s="117"/>
      <c r="AH32" s="117">
        <f t="shared" si="17"/>
        <v>293350</v>
      </c>
      <c r="AI32" s="206">
        <f t="shared" si="32"/>
        <v>0.13024174750815815</v>
      </c>
      <c r="AJ32" s="525"/>
      <c r="AK32" s="113"/>
      <c r="AL32" s="39"/>
      <c r="AM32" s="39"/>
      <c r="AN32" s="39"/>
    </row>
    <row r="33" spans="1:40" ht="16.5" customHeight="1">
      <c r="A33" s="39"/>
      <c r="B33" s="50"/>
      <c r="C33" s="95">
        <f t="shared" si="19"/>
        <v>14</v>
      </c>
      <c r="D33" s="96">
        <v>1</v>
      </c>
      <c r="E33" s="194" t="str">
        <f t="shared" si="8"/>
        <v>1</v>
      </c>
      <c r="F33" s="195">
        <f t="shared" si="20"/>
        <v>45305</v>
      </c>
      <c r="G33" s="196" t="str">
        <f t="shared" si="9"/>
        <v>Sun</v>
      </c>
      <c r="H33" s="197"/>
      <c r="I33" s="198"/>
      <c r="J33" s="199">
        <v>79100</v>
      </c>
      <c r="K33" s="103"/>
      <c r="L33" s="104">
        <f t="shared" si="10"/>
        <v>90920.969072164939</v>
      </c>
      <c r="M33" s="105">
        <f t="shared" si="11"/>
        <v>-11820.969072164939</v>
      </c>
      <c r="N33" s="106">
        <f t="shared" si="12"/>
        <v>0.86998632776579288</v>
      </c>
      <c r="O33" s="200"/>
      <c r="P33" s="170">
        <f t="shared" si="21"/>
        <v>727367.75257731962</v>
      </c>
      <c r="Q33" s="104">
        <f t="shared" si="22"/>
        <v>781850</v>
      </c>
      <c r="R33" s="108">
        <f t="shared" si="13"/>
        <v>54482.247422680375</v>
      </c>
      <c r="S33" s="106">
        <f t="shared" si="14"/>
        <v>1.0749033033560129</v>
      </c>
      <c r="T33" s="133"/>
      <c r="U33" s="104">
        <f t="shared" si="23"/>
        <v>727367.75257731962</v>
      </c>
      <c r="V33" s="104">
        <f t="shared" si="24"/>
        <v>781850</v>
      </c>
      <c r="W33" s="108">
        <f t="shared" si="15"/>
        <v>54482.247422680375</v>
      </c>
      <c r="X33" s="106">
        <f t="shared" si="16"/>
        <v>1.0749033033560129</v>
      </c>
      <c r="Y33" s="39"/>
      <c r="Z33" s="202">
        <f t="shared" ref="Z33:AA33" si="38">Z32+1</f>
        <v>45305</v>
      </c>
      <c r="AA33" s="203">
        <f t="shared" si="38"/>
        <v>45305</v>
      </c>
      <c r="AB33" s="204">
        <v>45305</v>
      </c>
      <c r="AC33" s="205">
        <v>2</v>
      </c>
      <c r="AD33" s="116" t="s">
        <v>158</v>
      </c>
      <c r="AE33" s="117">
        <f>IFERROR(AVERAGEIFS(J51:J79,D51:D79,1,G51:G79,"sun"),0)</f>
        <v>103437.5</v>
      </c>
      <c r="AF33" s="205">
        <f>IFERROR(COUNTIFS(D51:D79,1,G51:G79,"sun"),0)</f>
        <v>4</v>
      </c>
      <c r="AG33" s="117"/>
      <c r="AH33" s="117">
        <f t="shared" si="17"/>
        <v>413750</v>
      </c>
      <c r="AI33" s="206">
        <f t="shared" si="32"/>
        <v>0.18369702754900438</v>
      </c>
      <c r="AJ33" s="526"/>
      <c r="AK33" s="113"/>
      <c r="AL33" s="39"/>
      <c r="AM33" s="39"/>
      <c r="AN33" s="39"/>
    </row>
    <row r="34" spans="1:40" ht="16.5" customHeight="1">
      <c r="A34" s="39"/>
      <c r="B34" s="50"/>
      <c r="C34" s="95">
        <f t="shared" si="19"/>
        <v>15</v>
      </c>
      <c r="D34" s="96">
        <v>0</v>
      </c>
      <c r="E34" s="194" t="str">
        <f t="shared" si="8"/>
        <v>1</v>
      </c>
      <c r="F34" s="195">
        <f t="shared" si="20"/>
        <v>45306</v>
      </c>
      <c r="G34" s="196" t="str">
        <f t="shared" si="9"/>
        <v>Mon</v>
      </c>
      <c r="H34" s="197"/>
      <c r="I34" s="208"/>
      <c r="J34" s="209"/>
      <c r="K34" s="136"/>
      <c r="L34" s="104">
        <f t="shared" si="10"/>
        <v>0</v>
      </c>
      <c r="M34" s="105">
        <f t="shared" si="11"/>
        <v>0</v>
      </c>
      <c r="N34" s="106" t="str">
        <f t="shared" si="12"/>
        <v>0%</v>
      </c>
      <c r="O34" s="200"/>
      <c r="P34" s="170">
        <f t="shared" si="21"/>
        <v>0</v>
      </c>
      <c r="Q34" s="104">
        <f t="shared" si="22"/>
        <v>0</v>
      </c>
      <c r="R34" s="108">
        <f t="shared" si="13"/>
        <v>0</v>
      </c>
      <c r="S34" s="106" t="str">
        <f t="shared" si="14"/>
        <v>0%</v>
      </c>
      <c r="T34" s="133"/>
      <c r="U34" s="104">
        <f t="shared" si="23"/>
        <v>0</v>
      </c>
      <c r="V34" s="104">
        <f t="shared" si="24"/>
        <v>0</v>
      </c>
      <c r="W34" s="108">
        <f t="shared" si="15"/>
        <v>0</v>
      </c>
      <c r="X34" s="106" t="str">
        <f t="shared" si="16"/>
        <v>0%</v>
      </c>
      <c r="Y34" s="39"/>
      <c r="Z34" s="202">
        <f t="shared" ref="Z34:AA34" si="39">Z33+1</f>
        <v>45306</v>
      </c>
      <c r="AA34" s="203">
        <f t="shared" si="39"/>
        <v>45306</v>
      </c>
      <c r="AB34" s="204">
        <v>45306</v>
      </c>
      <c r="AC34" s="205">
        <v>3</v>
      </c>
      <c r="AD34" s="116" t="s">
        <v>15</v>
      </c>
      <c r="AE34" s="117">
        <f>IFERROR(AVERAGEIFS(J80:J110,D80:D110,1,G80:G110,"mon"),0)</f>
        <v>0</v>
      </c>
      <c r="AF34" s="205">
        <f>COUNTIFS( D80:D110,1,G80:G110,"Mon")</f>
        <v>0</v>
      </c>
      <c r="AG34" s="117"/>
      <c r="AH34" s="117">
        <f t="shared" si="17"/>
        <v>0</v>
      </c>
      <c r="AI34" s="206">
        <f t="shared" ref="AI34:AI40" si="40">AH34/$M$8</f>
        <v>0</v>
      </c>
      <c r="AJ34" s="524">
        <f>SUM(AI34:AI40)</f>
        <v>0.77522449551008976</v>
      </c>
      <c r="AK34" s="113" t="s">
        <v>103</v>
      </c>
      <c r="AL34" s="39"/>
      <c r="AM34" s="39"/>
      <c r="AN34" s="39"/>
    </row>
    <row r="35" spans="1:40" ht="16.5" customHeight="1">
      <c r="A35" s="39"/>
      <c r="B35" s="50"/>
      <c r="C35" s="95">
        <f t="shared" si="19"/>
        <v>16</v>
      </c>
      <c r="D35" s="96">
        <v>1</v>
      </c>
      <c r="E35" s="194" t="str">
        <f t="shared" si="8"/>
        <v>1</v>
      </c>
      <c r="F35" s="195">
        <f t="shared" si="20"/>
        <v>45307</v>
      </c>
      <c r="G35" s="196" t="str">
        <f t="shared" si="9"/>
        <v>Tue</v>
      </c>
      <c r="H35" s="197"/>
      <c r="I35" s="208"/>
      <c r="J35" s="209">
        <v>62550</v>
      </c>
      <c r="K35" s="136"/>
      <c r="L35" s="104">
        <f t="shared" si="10"/>
        <v>90920.969072164939</v>
      </c>
      <c r="M35" s="105">
        <f t="shared" si="11"/>
        <v>-28370.969072164939</v>
      </c>
      <c r="N35" s="106">
        <f t="shared" si="12"/>
        <v>0.68796011127370849</v>
      </c>
      <c r="O35" s="200"/>
      <c r="P35" s="170">
        <f t="shared" si="21"/>
        <v>818288.72164948459</v>
      </c>
      <c r="Q35" s="104">
        <f t="shared" si="22"/>
        <v>844400</v>
      </c>
      <c r="R35" s="108">
        <f t="shared" si="13"/>
        <v>26111.278350515408</v>
      </c>
      <c r="S35" s="106">
        <f t="shared" si="14"/>
        <v>1.0319096153468681</v>
      </c>
      <c r="T35" s="133"/>
      <c r="U35" s="104">
        <f t="shared" si="23"/>
        <v>818288.72164948459</v>
      </c>
      <c r="V35" s="104">
        <f t="shared" si="24"/>
        <v>844400</v>
      </c>
      <c r="W35" s="108">
        <f t="shared" si="15"/>
        <v>26111.278350515408</v>
      </c>
      <c r="X35" s="106">
        <f t="shared" si="16"/>
        <v>1.0319096153468681</v>
      </c>
      <c r="Y35" s="39"/>
      <c r="Z35" s="202">
        <f t="shared" ref="Z35:AA35" si="41">Z34+1</f>
        <v>45307</v>
      </c>
      <c r="AA35" s="203">
        <f t="shared" si="41"/>
        <v>45307</v>
      </c>
      <c r="AB35" s="204">
        <v>45307</v>
      </c>
      <c r="AC35" s="205">
        <v>3</v>
      </c>
      <c r="AD35" s="116" t="s">
        <v>151</v>
      </c>
      <c r="AE35" s="117">
        <f>AVERAGEIFS(J80:J110,D80:D110,1,G80:G110,"tue")</f>
        <v>67850</v>
      </c>
      <c r="AF35" s="205">
        <f>COUNTIFS( D80:D110,1,G80:G110,"tue")</f>
        <v>3</v>
      </c>
      <c r="AG35" s="117"/>
      <c r="AH35" s="117">
        <f t="shared" si="17"/>
        <v>203550</v>
      </c>
      <c r="AI35" s="206">
        <f t="shared" si="40"/>
        <v>8.1418371632567349E-2</v>
      </c>
      <c r="AJ35" s="525"/>
      <c r="AK35" s="113"/>
      <c r="AL35" s="39"/>
      <c r="AM35" s="39"/>
      <c r="AN35" s="39"/>
    </row>
    <row r="36" spans="1:40" ht="16.5" customHeight="1">
      <c r="A36" s="39"/>
      <c r="B36" s="50"/>
      <c r="C36" s="95">
        <f t="shared" si="19"/>
        <v>17</v>
      </c>
      <c r="D36" s="96">
        <v>1</v>
      </c>
      <c r="E36" s="194" t="str">
        <f t="shared" si="8"/>
        <v>1</v>
      </c>
      <c r="F36" s="195">
        <f t="shared" si="20"/>
        <v>45308</v>
      </c>
      <c r="G36" s="196" t="str">
        <f t="shared" si="9"/>
        <v>Wed</v>
      </c>
      <c r="H36" s="197"/>
      <c r="I36" s="208"/>
      <c r="J36" s="209">
        <v>88700</v>
      </c>
      <c r="K36" s="136"/>
      <c r="L36" s="104">
        <f t="shared" si="10"/>
        <v>90920.969072164939</v>
      </c>
      <c r="M36" s="105">
        <f t="shared" si="11"/>
        <v>-2220.9690721649386</v>
      </c>
      <c r="N36" s="106">
        <f t="shared" si="12"/>
        <v>0.97557253189413184</v>
      </c>
      <c r="O36" s="200"/>
      <c r="P36" s="170">
        <f t="shared" si="21"/>
        <v>909209.69072164956</v>
      </c>
      <c r="Q36" s="104">
        <f t="shared" si="22"/>
        <v>933100</v>
      </c>
      <c r="R36" s="108">
        <f t="shared" si="13"/>
        <v>23890.30927835044</v>
      </c>
      <c r="S36" s="106">
        <f t="shared" si="14"/>
        <v>1.0262759070015943</v>
      </c>
      <c r="T36" s="133"/>
      <c r="U36" s="104">
        <f t="shared" si="23"/>
        <v>909209.69072164956</v>
      </c>
      <c r="V36" s="104">
        <f t="shared" si="24"/>
        <v>933100</v>
      </c>
      <c r="W36" s="108">
        <f t="shared" si="15"/>
        <v>23890.30927835044</v>
      </c>
      <c r="X36" s="106">
        <f t="shared" si="16"/>
        <v>1.0262759070015943</v>
      </c>
      <c r="Y36" s="39"/>
      <c r="Z36" s="202">
        <f t="shared" ref="Z36:AA36" si="42">Z35+1</f>
        <v>45308</v>
      </c>
      <c r="AA36" s="203">
        <f t="shared" si="42"/>
        <v>45308</v>
      </c>
      <c r="AB36" s="204">
        <v>45308</v>
      </c>
      <c r="AC36" s="205">
        <v>3</v>
      </c>
      <c r="AD36" s="116" t="s">
        <v>152</v>
      </c>
      <c r="AE36" s="117">
        <f>AVERAGEIFS(J80:J110,D80:D110,1,G80:G110,"wed")</f>
        <v>82283.333333333328</v>
      </c>
      <c r="AF36" s="205">
        <f>COUNTIFS( D80:D110,1,G80:G110,"wed")</f>
        <v>3</v>
      </c>
      <c r="AG36" s="117"/>
      <c r="AH36" s="117">
        <f t="shared" si="17"/>
        <v>246850</v>
      </c>
      <c r="AI36" s="206">
        <f t="shared" si="40"/>
        <v>9.8738025239495208E-2</v>
      </c>
      <c r="AJ36" s="525"/>
      <c r="AK36" s="113"/>
      <c r="AL36" s="39"/>
      <c r="AM36" s="39"/>
      <c r="AN36" s="39"/>
    </row>
    <row r="37" spans="1:40" ht="16.5" customHeight="1">
      <c r="A37" s="39"/>
      <c r="B37" s="50"/>
      <c r="C37" s="95">
        <f t="shared" si="19"/>
        <v>18</v>
      </c>
      <c r="D37" s="96">
        <v>1</v>
      </c>
      <c r="E37" s="194" t="str">
        <f t="shared" si="8"/>
        <v>1</v>
      </c>
      <c r="F37" s="195">
        <f t="shared" si="20"/>
        <v>45309</v>
      </c>
      <c r="G37" s="196" t="str">
        <f t="shared" si="9"/>
        <v>Thu</v>
      </c>
      <c r="H37" s="197"/>
      <c r="I37" s="208"/>
      <c r="J37" s="209">
        <v>83850</v>
      </c>
      <c r="K37" s="136"/>
      <c r="L37" s="104">
        <f t="shared" si="10"/>
        <v>90920.969072164939</v>
      </c>
      <c r="M37" s="105">
        <f t="shared" si="11"/>
        <v>-7070.9690721649386</v>
      </c>
      <c r="N37" s="106">
        <f t="shared" si="12"/>
        <v>0.92222950168346052</v>
      </c>
      <c r="O37" s="200"/>
      <c r="P37" s="170">
        <f t="shared" si="21"/>
        <v>1000130.6597938145</v>
      </c>
      <c r="Q37" s="104">
        <f t="shared" si="22"/>
        <v>1016950</v>
      </c>
      <c r="R37" s="108">
        <f t="shared" si="13"/>
        <v>16819.340206185472</v>
      </c>
      <c r="S37" s="106">
        <f t="shared" si="14"/>
        <v>1.0168171428817641</v>
      </c>
      <c r="T37" s="133"/>
      <c r="U37" s="104">
        <f t="shared" si="23"/>
        <v>1000130.6597938145</v>
      </c>
      <c r="V37" s="104">
        <f t="shared" si="24"/>
        <v>1016950</v>
      </c>
      <c r="W37" s="108">
        <f t="shared" si="15"/>
        <v>16819.340206185472</v>
      </c>
      <c r="X37" s="106">
        <f t="shared" si="16"/>
        <v>1.0168171428817641</v>
      </c>
      <c r="Y37" s="39"/>
      <c r="Z37" s="202">
        <f t="shared" ref="Z37:AA37" si="43">Z36+1</f>
        <v>45309</v>
      </c>
      <c r="AA37" s="203">
        <f t="shared" si="43"/>
        <v>45309</v>
      </c>
      <c r="AB37" s="204">
        <v>45309</v>
      </c>
      <c r="AC37" s="205">
        <v>3</v>
      </c>
      <c r="AD37" s="116" t="s">
        <v>154</v>
      </c>
      <c r="AE37" s="117">
        <f>AVERAGEIFS(J80:J110,D80:D110,1,G80:G110,"thu")</f>
        <v>67162.5</v>
      </c>
      <c r="AF37" s="205">
        <f>COUNTIFS( D80:D110,1,G80:G110,"thu")</f>
        <v>4</v>
      </c>
      <c r="AG37" s="117"/>
      <c r="AH37" s="117">
        <f t="shared" si="17"/>
        <v>268650</v>
      </c>
      <c r="AI37" s="206">
        <f t="shared" si="40"/>
        <v>0.10745785084298314</v>
      </c>
      <c r="AJ37" s="525"/>
      <c r="AK37" s="113"/>
      <c r="AL37" s="39"/>
      <c r="AM37" s="39"/>
      <c r="AN37" s="39"/>
    </row>
    <row r="38" spans="1:40" ht="16.5" customHeight="1">
      <c r="A38" s="39"/>
      <c r="B38" s="50"/>
      <c r="C38" s="95">
        <f t="shared" si="19"/>
        <v>19</v>
      </c>
      <c r="D38" s="96">
        <v>1</v>
      </c>
      <c r="E38" s="194" t="str">
        <f t="shared" si="8"/>
        <v>1</v>
      </c>
      <c r="F38" s="195">
        <f t="shared" si="20"/>
        <v>45310</v>
      </c>
      <c r="G38" s="196" t="str">
        <f t="shared" si="9"/>
        <v>Fri</v>
      </c>
      <c r="H38" s="197"/>
      <c r="I38" s="208"/>
      <c r="J38" s="209">
        <v>157100</v>
      </c>
      <c r="K38" s="136"/>
      <c r="L38" s="104">
        <f t="shared" si="10"/>
        <v>90920.969072164939</v>
      </c>
      <c r="M38" s="105">
        <f t="shared" si="11"/>
        <v>66179.030927835061</v>
      </c>
      <c r="N38" s="106">
        <f t="shared" si="12"/>
        <v>1.7278742363085469</v>
      </c>
      <c r="O38" s="200"/>
      <c r="P38" s="170">
        <f t="shared" si="21"/>
        <v>1091051.6288659794</v>
      </c>
      <c r="Q38" s="104">
        <f t="shared" si="22"/>
        <v>1174050</v>
      </c>
      <c r="R38" s="108">
        <f t="shared" si="13"/>
        <v>82998.371134020621</v>
      </c>
      <c r="S38" s="106">
        <f t="shared" si="14"/>
        <v>1.0760719006673294</v>
      </c>
      <c r="T38" s="134"/>
      <c r="U38" s="104">
        <f t="shared" si="23"/>
        <v>1091051.6288659794</v>
      </c>
      <c r="V38" s="104">
        <f t="shared" si="24"/>
        <v>1174050</v>
      </c>
      <c r="W38" s="108">
        <f t="shared" si="15"/>
        <v>82998.371134020621</v>
      </c>
      <c r="X38" s="106">
        <f t="shared" si="16"/>
        <v>1.0760719006673294</v>
      </c>
      <c r="Y38" s="39"/>
      <c r="Z38" s="202">
        <f t="shared" ref="Z38:AA38" si="44">Z37+1</f>
        <v>45310</v>
      </c>
      <c r="AA38" s="203">
        <f t="shared" si="44"/>
        <v>45310</v>
      </c>
      <c r="AB38" s="204">
        <v>45310</v>
      </c>
      <c r="AC38" s="205">
        <v>3</v>
      </c>
      <c r="AD38" s="116" t="s">
        <v>155</v>
      </c>
      <c r="AE38" s="117">
        <f>AVERAGEIFS(J80:J110,D80:D110,1,G80:G110,"fri")</f>
        <v>144820</v>
      </c>
      <c r="AF38" s="205">
        <f>COUNTIFS( D80:D110,1,G80:G110,"fri")</f>
        <v>5</v>
      </c>
      <c r="AG38" s="117"/>
      <c r="AH38" s="117">
        <f t="shared" si="17"/>
        <v>724100</v>
      </c>
      <c r="AI38" s="206">
        <f t="shared" si="40"/>
        <v>0.28963420731585371</v>
      </c>
      <c r="AJ38" s="525"/>
      <c r="AK38" s="113"/>
      <c r="AL38" s="39"/>
      <c r="AM38" s="39"/>
      <c r="AN38" s="39"/>
    </row>
    <row r="39" spans="1:40" ht="16.5" customHeight="1">
      <c r="A39" s="39"/>
      <c r="B39" s="50"/>
      <c r="C39" s="95">
        <f t="shared" si="19"/>
        <v>20</v>
      </c>
      <c r="D39" s="96">
        <v>1</v>
      </c>
      <c r="E39" s="194" t="str">
        <f t="shared" si="8"/>
        <v>1</v>
      </c>
      <c r="F39" s="195">
        <f t="shared" si="20"/>
        <v>45311</v>
      </c>
      <c r="G39" s="196" t="str">
        <f t="shared" si="9"/>
        <v>Sat</v>
      </c>
      <c r="H39" s="197"/>
      <c r="I39" s="208"/>
      <c r="J39" s="209">
        <v>76850</v>
      </c>
      <c r="K39" s="136"/>
      <c r="L39" s="104">
        <f t="shared" si="10"/>
        <v>90920.969072164939</v>
      </c>
      <c r="M39" s="105">
        <f t="shared" si="11"/>
        <v>-14070.969072164939</v>
      </c>
      <c r="N39" s="106">
        <f t="shared" si="12"/>
        <v>0.84523956117321342</v>
      </c>
      <c r="O39" s="200"/>
      <c r="P39" s="170">
        <f t="shared" si="21"/>
        <v>1181972.5979381443</v>
      </c>
      <c r="Q39" s="104">
        <f t="shared" si="22"/>
        <v>1250900</v>
      </c>
      <c r="R39" s="108">
        <f t="shared" si="13"/>
        <v>68927.402061855653</v>
      </c>
      <c r="S39" s="106">
        <f t="shared" si="14"/>
        <v>1.0583155668600897</v>
      </c>
      <c r="T39" s="133"/>
      <c r="U39" s="104">
        <f t="shared" si="23"/>
        <v>1181972.5979381443</v>
      </c>
      <c r="V39" s="104">
        <f t="shared" si="24"/>
        <v>1250900</v>
      </c>
      <c r="W39" s="108">
        <f t="shared" si="15"/>
        <v>68927.402061855653</v>
      </c>
      <c r="X39" s="106">
        <f t="shared" si="16"/>
        <v>1.0583155668600897</v>
      </c>
      <c r="Y39" s="39"/>
      <c r="Z39" s="202">
        <f t="shared" ref="Z39:AA39" si="45">Z38+1</f>
        <v>45311</v>
      </c>
      <c r="AA39" s="203">
        <f t="shared" si="45"/>
        <v>45311</v>
      </c>
      <c r="AB39" s="204">
        <v>45311</v>
      </c>
      <c r="AC39" s="205">
        <v>3</v>
      </c>
      <c r="AD39" s="116" t="s">
        <v>156</v>
      </c>
      <c r="AE39" s="117">
        <f>AVERAGEIFS(J80:J110,D80:D110,1,G80:G110,"sat")</f>
        <v>98990</v>
      </c>
      <c r="AF39" s="205">
        <f>COUNTIFS( D80:D110,1,G80:G110,"sat")</f>
        <v>5</v>
      </c>
      <c r="AG39" s="117"/>
      <c r="AH39" s="117">
        <f t="shared" si="17"/>
        <v>494950</v>
      </c>
      <c r="AI39" s="206">
        <f t="shared" si="40"/>
        <v>0.19797604047919043</v>
      </c>
      <c r="AJ39" s="525"/>
      <c r="AK39" s="113"/>
      <c r="AL39" s="39"/>
      <c r="AM39" s="39"/>
      <c r="AN39" s="39"/>
    </row>
    <row r="40" spans="1:40" ht="16.5" customHeight="1">
      <c r="A40" s="39"/>
      <c r="B40" s="50"/>
      <c r="C40" s="95">
        <f t="shared" si="19"/>
        <v>21</v>
      </c>
      <c r="D40" s="96">
        <v>1</v>
      </c>
      <c r="E40" s="194" t="str">
        <f t="shared" si="8"/>
        <v>1</v>
      </c>
      <c r="F40" s="195">
        <f t="shared" si="20"/>
        <v>45312</v>
      </c>
      <c r="G40" s="196" t="str">
        <f t="shared" si="9"/>
        <v>Sun</v>
      </c>
      <c r="H40" s="197" t="s">
        <v>157</v>
      </c>
      <c r="I40" s="198"/>
      <c r="J40" s="199">
        <v>101650</v>
      </c>
      <c r="K40" s="103"/>
      <c r="L40" s="104">
        <f t="shared" si="10"/>
        <v>90920.969072164939</v>
      </c>
      <c r="M40" s="105">
        <f t="shared" si="11"/>
        <v>10729.030927835061</v>
      </c>
      <c r="N40" s="106">
        <f t="shared" si="12"/>
        <v>1.1180039218380891</v>
      </c>
      <c r="O40" s="200"/>
      <c r="P40" s="170">
        <f t="shared" si="21"/>
        <v>1272893.5670103093</v>
      </c>
      <c r="Q40" s="104">
        <f t="shared" si="22"/>
        <v>1352550</v>
      </c>
      <c r="R40" s="108">
        <f t="shared" si="13"/>
        <v>79656.432989690686</v>
      </c>
      <c r="S40" s="106">
        <f t="shared" si="14"/>
        <v>1.0625790207870895</v>
      </c>
      <c r="T40" s="133"/>
      <c r="U40" s="104">
        <f t="shared" si="23"/>
        <v>1272893.5670103093</v>
      </c>
      <c r="V40" s="104">
        <f t="shared" si="24"/>
        <v>1352550</v>
      </c>
      <c r="W40" s="108">
        <f t="shared" si="15"/>
        <v>79656.432989690686</v>
      </c>
      <c r="X40" s="106">
        <f t="shared" si="16"/>
        <v>1.0625790207870895</v>
      </c>
      <c r="Y40" s="39"/>
      <c r="Z40" s="202">
        <f t="shared" ref="Z40:AA40" si="46">Z39+1</f>
        <v>45312</v>
      </c>
      <c r="AA40" s="203">
        <f t="shared" si="46"/>
        <v>45312</v>
      </c>
      <c r="AB40" s="204">
        <v>45312</v>
      </c>
      <c r="AC40" s="205">
        <v>3</v>
      </c>
      <c r="AD40" s="116" t="s">
        <v>158</v>
      </c>
      <c r="AE40" s="117">
        <f>IFERROR(AVERAGEIFS(J80:J110,D80:D110,3,G80:G110,"sun"),0)</f>
        <v>0</v>
      </c>
      <c r="AF40" s="205">
        <f>IFERROR(COUNTIFS( D80:D110,1,G80:G110,"sun"),0)</f>
        <v>5</v>
      </c>
      <c r="AG40" s="117"/>
      <c r="AH40" s="117">
        <f t="shared" si="17"/>
        <v>0</v>
      </c>
      <c r="AI40" s="206">
        <f t="shared" si="40"/>
        <v>0</v>
      </c>
      <c r="AJ40" s="526"/>
      <c r="AK40" s="113"/>
      <c r="AL40" s="39"/>
      <c r="AM40" s="39"/>
      <c r="AN40" s="39"/>
    </row>
    <row r="41" spans="1:40" ht="16.5" customHeight="1">
      <c r="A41" s="39"/>
      <c r="B41" s="50"/>
      <c r="C41" s="95">
        <f t="shared" si="19"/>
        <v>22</v>
      </c>
      <c r="D41" s="96">
        <v>0</v>
      </c>
      <c r="E41" s="194" t="str">
        <f t="shared" si="8"/>
        <v>1</v>
      </c>
      <c r="F41" s="195">
        <f t="shared" si="20"/>
        <v>45313</v>
      </c>
      <c r="G41" s="196" t="str">
        <f t="shared" si="9"/>
        <v>Mon</v>
      </c>
      <c r="H41" s="197"/>
      <c r="I41" s="208"/>
      <c r="J41" s="209"/>
      <c r="K41" s="136"/>
      <c r="L41" s="104">
        <f t="shared" si="10"/>
        <v>0</v>
      </c>
      <c r="M41" s="105">
        <f t="shared" si="11"/>
        <v>0</v>
      </c>
      <c r="N41" s="106" t="str">
        <f t="shared" si="12"/>
        <v>0%</v>
      </c>
      <c r="O41" s="200"/>
      <c r="P41" s="170">
        <f t="shared" si="21"/>
        <v>0</v>
      </c>
      <c r="Q41" s="104">
        <f t="shared" si="22"/>
        <v>0</v>
      </c>
      <c r="R41" s="108">
        <f t="shared" si="13"/>
        <v>0</v>
      </c>
      <c r="S41" s="106" t="str">
        <f t="shared" si="14"/>
        <v>0%</v>
      </c>
      <c r="T41" s="133"/>
      <c r="U41" s="104">
        <f t="shared" si="23"/>
        <v>0</v>
      </c>
      <c r="V41" s="104">
        <f t="shared" si="24"/>
        <v>0</v>
      </c>
      <c r="W41" s="108">
        <f t="shared" si="15"/>
        <v>0</v>
      </c>
      <c r="X41" s="106" t="str">
        <f t="shared" si="16"/>
        <v>0%</v>
      </c>
      <c r="Y41" s="39"/>
      <c r="Z41" s="202">
        <f t="shared" ref="Z41:AA41" si="47">Z40+1</f>
        <v>45313</v>
      </c>
      <c r="AA41" s="203">
        <f t="shared" si="47"/>
        <v>45313</v>
      </c>
      <c r="AB41" s="204">
        <v>45313</v>
      </c>
      <c r="AC41" s="205">
        <v>4</v>
      </c>
      <c r="AD41" s="116" t="s">
        <v>15</v>
      </c>
      <c r="AE41" s="117">
        <f>IFERROR(AVERAGEIFS(J111:J140,D111:D140,1,G111:G140,"mon"),0)</f>
        <v>0</v>
      </c>
      <c r="AF41" s="205">
        <f>COUNTIFS(D111:D140,1,G111:G140,"Mon")</f>
        <v>0</v>
      </c>
      <c r="AG41" s="117"/>
      <c r="AH41" s="117">
        <f t="shared" si="17"/>
        <v>0</v>
      </c>
      <c r="AI41" s="206">
        <f t="shared" ref="AI41:AI47" si="48">AH41/$M$9</f>
        <v>0</v>
      </c>
      <c r="AJ41" s="524">
        <f>SUM(AI41:AI47)</f>
        <v>1</v>
      </c>
      <c r="AK41" s="113" t="s">
        <v>105</v>
      </c>
      <c r="AL41" s="39"/>
      <c r="AM41" s="39"/>
      <c r="AN41" s="39"/>
    </row>
    <row r="42" spans="1:40" ht="16.5" customHeight="1">
      <c r="A42" s="39"/>
      <c r="B42" s="50"/>
      <c r="C42" s="95">
        <f t="shared" si="19"/>
        <v>23</v>
      </c>
      <c r="D42" s="96">
        <v>1</v>
      </c>
      <c r="E42" s="194" t="str">
        <f t="shared" si="8"/>
        <v>1</v>
      </c>
      <c r="F42" s="195">
        <f t="shared" si="20"/>
        <v>45314</v>
      </c>
      <c r="G42" s="196" t="str">
        <f t="shared" si="9"/>
        <v>Tue</v>
      </c>
      <c r="H42" s="197"/>
      <c r="I42" s="208"/>
      <c r="J42" s="209">
        <v>122600</v>
      </c>
      <c r="K42" s="136"/>
      <c r="L42" s="104">
        <f t="shared" si="10"/>
        <v>90920.969072164939</v>
      </c>
      <c r="M42" s="105">
        <f t="shared" si="11"/>
        <v>31679.030927835061</v>
      </c>
      <c r="N42" s="106">
        <f t="shared" si="12"/>
        <v>1.3484238152223287</v>
      </c>
      <c r="O42" s="200"/>
      <c r="P42" s="170">
        <f t="shared" si="21"/>
        <v>1363814.5360824743</v>
      </c>
      <c r="Q42" s="104">
        <f t="shared" si="22"/>
        <v>1475150</v>
      </c>
      <c r="R42" s="108">
        <f t="shared" si="13"/>
        <v>111335.46391752572</v>
      </c>
      <c r="S42" s="106">
        <f t="shared" si="14"/>
        <v>1.0816353404161054</v>
      </c>
      <c r="T42" s="133"/>
      <c r="U42" s="104">
        <f t="shared" si="23"/>
        <v>1363814.5360824743</v>
      </c>
      <c r="V42" s="104">
        <f t="shared" si="24"/>
        <v>1475150</v>
      </c>
      <c r="W42" s="108">
        <f t="shared" si="15"/>
        <v>111335.46391752572</v>
      </c>
      <c r="X42" s="106">
        <f t="shared" si="16"/>
        <v>1.0816353404161054</v>
      </c>
      <c r="Y42" s="39"/>
      <c r="Z42" s="202">
        <f t="shared" ref="Z42:AA42" si="49">Z41+1</f>
        <v>45314</v>
      </c>
      <c r="AA42" s="203">
        <f t="shared" si="49"/>
        <v>45314</v>
      </c>
      <c r="AB42" s="204">
        <v>45314</v>
      </c>
      <c r="AC42" s="205">
        <v>4</v>
      </c>
      <c r="AD42" s="116" t="s">
        <v>151</v>
      </c>
      <c r="AE42" s="117">
        <f>AVERAGEIFS(J111:J140,D111:D140,1,G111:G140,"tue")</f>
        <v>102760</v>
      </c>
      <c r="AF42" s="205">
        <f>COUNTIFS(D111:D140,1,G111:G140,"tue")</f>
        <v>5</v>
      </c>
      <c r="AG42" s="117"/>
      <c r="AH42" s="117">
        <f t="shared" si="17"/>
        <v>513800</v>
      </c>
      <c r="AI42" s="206">
        <f t="shared" si="48"/>
        <v>0.18802605577106052</v>
      </c>
      <c r="AJ42" s="525"/>
      <c r="AK42" s="113"/>
      <c r="AL42" s="39"/>
      <c r="AM42" s="39"/>
      <c r="AN42" s="39"/>
    </row>
    <row r="43" spans="1:40" ht="16.5" customHeight="1">
      <c r="A43" s="39"/>
      <c r="B43" s="50"/>
      <c r="C43" s="95">
        <f t="shared" si="19"/>
        <v>24</v>
      </c>
      <c r="D43" s="96">
        <v>0</v>
      </c>
      <c r="E43" s="194" t="str">
        <f t="shared" si="8"/>
        <v>1</v>
      </c>
      <c r="F43" s="195">
        <f t="shared" si="20"/>
        <v>45315</v>
      </c>
      <c r="G43" s="196" t="str">
        <f t="shared" si="9"/>
        <v>Wed</v>
      </c>
      <c r="H43" s="197"/>
      <c r="I43" s="208"/>
      <c r="J43" s="209"/>
      <c r="K43" s="136"/>
      <c r="L43" s="104">
        <f t="shared" si="10"/>
        <v>0</v>
      </c>
      <c r="M43" s="105">
        <f t="shared" si="11"/>
        <v>0</v>
      </c>
      <c r="N43" s="106" t="str">
        <f t="shared" si="12"/>
        <v>0%</v>
      </c>
      <c r="O43" s="200"/>
      <c r="P43" s="170">
        <f t="shared" si="21"/>
        <v>0</v>
      </c>
      <c r="Q43" s="104">
        <f t="shared" si="22"/>
        <v>0</v>
      </c>
      <c r="R43" s="108">
        <f t="shared" si="13"/>
        <v>0</v>
      </c>
      <c r="S43" s="106" t="str">
        <f t="shared" si="14"/>
        <v>0%</v>
      </c>
      <c r="T43" s="133"/>
      <c r="U43" s="104">
        <f t="shared" si="23"/>
        <v>0</v>
      </c>
      <c r="V43" s="104">
        <f t="shared" si="24"/>
        <v>0</v>
      </c>
      <c r="W43" s="108">
        <f t="shared" si="15"/>
        <v>0</v>
      </c>
      <c r="X43" s="106" t="str">
        <f t="shared" si="16"/>
        <v>0%</v>
      </c>
      <c r="Y43" s="39"/>
      <c r="Z43" s="202">
        <f t="shared" ref="Z43:AA43" si="50">Z42+1</f>
        <v>45315</v>
      </c>
      <c r="AA43" s="203">
        <f t="shared" si="50"/>
        <v>45315</v>
      </c>
      <c r="AB43" s="204">
        <v>45315</v>
      </c>
      <c r="AC43" s="205">
        <v>4</v>
      </c>
      <c r="AD43" s="116" t="s">
        <v>152</v>
      </c>
      <c r="AE43" s="117">
        <f>AVERAGEIFS(J111:J140,D111:D140,1,G111:G140,"wed")</f>
        <v>80675</v>
      </c>
      <c r="AF43" s="205">
        <f>COUNTIFS(D111:D140,1,G111:G140,"wed")</f>
        <v>4</v>
      </c>
      <c r="AG43" s="117"/>
      <c r="AH43" s="117">
        <f t="shared" si="17"/>
        <v>322700</v>
      </c>
      <c r="AI43" s="206">
        <f t="shared" si="48"/>
        <v>0.1180926590060748</v>
      </c>
      <c r="AJ43" s="525"/>
      <c r="AK43" s="113"/>
      <c r="AL43" s="39"/>
      <c r="AM43" s="39"/>
      <c r="AN43" s="39"/>
    </row>
    <row r="44" spans="1:40" ht="16.5" customHeight="1">
      <c r="A44" s="39"/>
      <c r="B44" s="50"/>
      <c r="C44" s="95">
        <f t="shared" si="19"/>
        <v>25</v>
      </c>
      <c r="D44" s="96">
        <v>1</v>
      </c>
      <c r="E44" s="194" t="str">
        <f t="shared" si="8"/>
        <v>1</v>
      </c>
      <c r="F44" s="195">
        <f t="shared" si="20"/>
        <v>45316</v>
      </c>
      <c r="G44" s="196" t="str">
        <f t="shared" si="9"/>
        <v>Thu</v>
      </c>
      <c r="H44" s="197"/>
      <c r="I44" s="208"/>
      <c r="J44" s="209">
        <v>24300</v>
      </c>
      <c r="K44" s="136"/>
      <c r="L44" s="104">
        <f t="shared" si="10"/>
        <v>90920.969072164939</v>
      </c>
      <c r="M44" s="105">
        <f t="shared" si="11"/>
        <v>-66620.969072164939</v>
      </c>
      <c r="N44" s="106">
        <f t="shared" si="12"/>
        <v>0.26726507919985798</v>
      </c>
      <c r="O44" s="200"/>
      <c r="P44" s="170">
        <f t="shared" si="21"/>
        <v>1454735.5051546392</v>
      </c>
      <c r="Q44" s="104">
        <f t="shared" si="22"/>
        <v>1499450</v>
      </c>
      <c r="R44" s="108">
        <f t="shared" si="13"/>
        <v>44714.49484536075</v>
      </c>
      <c r="S44" s="106">
        <f t="shared" si="14"/>
        <v>1.03073719909009</v>
      </c>
      <c r="T44" s="133"/>
      <c r="U44" s="104">
        <f t="shared" si="23"/>
        <v>1454735.5051546392</v>
      </c>
      <c r="V44" s="104">
        <f t="shared" si="24"/>
        <v>1499450</v>
      </c>
      <c r="W44" s="108">
        <f t="shared" si="15"/>
        <v>44714.49484536075</v>
      </c>
      <c r="X44" s="106">
        <f t="shared" si="16"/>
        <v>1.03073719909009</v>
      </c>
      <c r="Y44" s="39"/>
      <c r="Z44" s="202">
        <f t="shared" ref="Z44:AA44" si="51">Z43+1</f>
        <v>45316</v>
      </c>
      <c r="AA44" s="203">
        <f t="shared" si="51"/>
        <v>45316</v>
      </c>
      <c r="AB44" s="204">
        <v>45316</v>
      </c>
      <c r="AC44" s="205">
        <v>4</v>
      </c>
      <c r="AD44" s="116" t="s">
        <v>154</v>
      </c>
      <c r="AE44" s="117">
        <f>AVERAGEIFS(J111:J140,D111:D140,1,G111:G140,"thu")</f>
        <v>110900</v>
      </c>
      <c r="AF44" s="205">
        <f>COUNTIFS(D111:D140,1,G111:G140,"thu")</f>
        <v>4</v>
      </c>
      <c r="AG44" s="117"/>
      <c r="AH44" s="117">
        <f t="shared" si="17"/>
        <v>443600</v>
      </c>
      <c r="AI44" s="206">
        <f t="shared" si="48"/>
        <v>0.16233623655126986</v>
      </c>
      <c r="AJ44" s="525"/>
      <c r="AK44" s="113"/>
      <c r="AL44" s="39"/>
      <c r="AM44" s="39"/>
      <c r="AN44" s="39"/>
    </row>
    <row r="45" spans="1:40" ht="16.5" customHeight="1">
      <c r="A45" s="39"/>
      <c r="B45" s="50"/>
      <c r="C45" s="95">
        <f t="shared" si="19"/>
        <v>26</v>
      </c>
      <c r="D45" s="96">
        <v>1</v>
      </c>
      <c r="E45" s="194" t="str">
        <f t="shared" si="8"/>
        <v>1</v>
      </c>
      <c r="F45" s="195">
        <f t="shared" si="20"/>
        <v>45317</v>
      </c>
      <c r="G45" s="196" t="str">
        <f t="shared" si="9"/>
        <v>Fri</v>
      </c>
      <c r="H45" s="197"/>
      <c r="I45" s="208"/>
      <c r="J45" s="209">
        <v>101700</v>
      </c>
      <c r="K45" s="136"/>
      <c r="L45" s="104">
        <f t="shared" si="10"/>
        <v>90920.969072164939</v>
      </c>
      <c r="M45" s="105">
        <f t="shared" si="11"/>
        <v>10779.030927835061</v>
      </c>
      <c r="N45" s="106">
        <f t="shared" si="12"/>
        <v>1.1185538499845908</v>
      </c>
      <c r="O45" s="200"/>
      <c r="P45" s="170">
        <f t="shared" si="21"/>
        <v>1545656.4742268042</v>
      </c>
      <c r="Q45" s="104">
        <f t="shared" si="22"/>
        <v>1601150</v>
      </c>
      <c r="R45" s="108">
        <f t="shared" si="13"/>
        <v>55493.525773195783</v>
      </c>
      <c r="S45" s="106">
        <f t="shared" si="14"/>
        <v>1.0359028844368252</v>
      </c>
      <c r="T45" s="134"/>
      <c r="U45" s="104">
        <f t="shared" si="23"/>
        <v>1545656.4742268042</v>
      </c>
      <c r="V45" s="104">
        <f t="shared" si="24"/>
        <v>1601150</v>
      </c>
      <c r="W45" s="108">
        <f t="shared" si="15"/>
        <v>55493.525773195783</v>
      </c>
      <c r="X45" s="106">
        <f t="shared" si="16"/>
        <v>1.0359028844368252</v>
      </c>
      <c r="Y45" s="39"/>
      <c r="Z45" s="202">
        <f t="shared" ref="Z45:AA45" si="52">Z44+1</f>
        <v>45317</v>
      </c>
      <c r="AA45" s="203">
        <f t="shared" si="52"/>
        <v>45317</v>
      </c>
      <c r="AB45" s="204">
        <v>45317</v>
      </c>
      <c r="AC45" s="205">
        <v>4</v>
      </c>
      <c r="AD45" s="116" t="s">
        <v>155</v>
      </c>
      <c r="AE45" s="117">
        <f>AVERAGEIFS(J111:J140,D111:D140,1,G111:G140,"fri")</f>
        <v>148762.5</v>
      </c>
      <c r="AF45" s="205">
        <f>COUNTIFS(D111:D140,1,G111:G140,"fri")</f>
        <v>4</v>
      </c>
      <c r="AG45" s="117"/>
      <c r="AH45" s="117">
        <f t="shared" si="17"/>
        <v>595050</v>
      </c>
      <c r="AI45" s="206">
        <f t="shared" si="48"/>
        <v>0.21775964283100344</v>
      </c>
      <c r="AJ45" s="525"/>
      <c r="AK45" s="113"/>
      <c r="AL45" s="39"/>
      <c r="AM45" s="39"/>
      <c r="AN45" s="39"/>
    </row>
    <row r="46" spans="1:40" ht="16.5" customHeight="1">
      <c r="A46" s="39"/>
      <c r="B46" s="50"/>
      <c r="C46" s="95">
        <f t="shared" si="19"/>
        <v>27</v>
      </c>
      <c r="D46" s="96">
        <v>1</v>
      </c>
      <c r="E46" s="194" t="str">
        <f t="shared" si="8"/>
        <v>1</v>
      </c>
      <c r="F46" s="195">
        <f t="shared" si="20"/>
        <v>45318</v>
      </c>
      <c r="G46" s="196" t="str">
        <f t="shared" si="9"/>
        <v>Sat</v>
      </c>
      <c r="H46" s="197"/>
      <c r="I46" s="208"/>
      <c r="J46" s="209">
        <v>79100</v>
      </c>
      <c r="K46" s="136"/>
      <c r="L46" s="104">
        <f t="shared" si="10"/>
        <v>90920.969072164939</v>
      </c>
      <c r="M46" s="105">
        <f t="shared" si="11"/>
        <v>-11820.969072164939</v>
      </c>
      <c r="N46" s="106">
        <f t="shared" si="12"/>
        <v>0.86998632776579288</v>
      </c>
      <c r="O46" s="200"/>
      <c r="P46" s="170">
        <f t="shared" si="21"/>
        <v>1636577.4432989692</v>
      </c>
      <c r="Q46" s="104">
        <f t="shared" si="22"/>
        <v>1680250</v>
      </c>
      <c r="R46" s="108">
        <f t="shared" si="13"/>
        <v>43672.556701030815</v>
      </c>
      <c r="S46" s="106">
        <f t="shared" si="14"/>
        <v>1.0266852979551013</v>
      </c>
      <c r="T46" s="133"/>
      <c r="U46" s="104">
        <f t="shared" si="23"/>
        <v>1636577.4432989692</v>
      </c>
      <c r="V46" s="104">
        <f t="shared" si="24"/>
        <v>1680250</v>
      </c>
      <c r="W46" s="108">
        <f t="shared" si="15"/>
        <v>43672.556701030815</v>
      </c>
      <c r="X46" s="106">
        <f t="shared" si="16"/>
        <v>1.0266852979551013</v>
      </c>
      <c r="Y46" s="39"/>
      <c r="Z46" s="202">
        <f t="shared" ref="Z46:AA46" si="53">Z45+1</f>
        <v>45318</v>
      </c>
      <c r="AA46" s="203">
        <f t="shared" si="53"/>
        <v>45318</v>
      </c>
      <c r="AB46" s="204">
        <v>45318</v>
      </c>
      <c r="AC46" s="205">
        <v>4</v>
      </c>
      <c r="AD46" s="116" t="s">
        <v>156</v>
      </c>
      <c r="AE46" s="117">
        <f>AVERAGEIFS(J111:J140,D111:D140,1,G111:G140,"sat")</f>
        <v>102537.5</v>
      </c>
      <c r="AF46" s="205">
        <f>COUNTIFS(D111:D140,1,G111:G140,"sat")</f>
        <v>4</v>
      </c>
      <c r="AG46" s="117"/>
      <c r="AH46" s="117">
        <f t="shared" si="17"/>
        <v>410150</v>
      </c>
      <c r="AI46" s="206">
        <f t="shared" si="48"/>
        <v>0.15009514747859182</v>
      </c>
      <c r="AJ46" s="525"/>
      <c r="AK46" s="113"/>
      <c r="AL46" s="39"/>
      <c r="AM46" s="39"/>
      <c r="AN46" s="39"/>
    </row>
    <row r="47" spans="1:40" ht="16.5" customHeight="1">
      <c r="A47" s="39"/>
      <c r="B47" s="50"/>
      <c r="C47" s="95">
        <f t="shared" si="19"/>
        <v>28</v>
      </c>
      <c r="D47" s="96">
        <v>1</v>
      </c>
      <c r="E47" s="194" t="str">
        <f t="shared" si="8"/>
        <v>1</v>
      </c>
      <c r="F47" s="195">
        <f t="shared" si="20"/>
        <v>45319</v>
      </c>
      <c r="G47" s="196" t="str">
        <f t="shared" si="9"/>
        <v>Sun</v>
      </c>
      <c r="H47" s="197" t="s">
        <v>157</v>
      </c>
      <c r="I47" s="198"/>
      <c r="J47" s="199">
        <v>109800</v>
      </c>
      <c r="K47" s="103"/>
      <c r="L47" s="104">
        <f t="shared" si="10"/>
        <v>90920.969072164939</v>
      </c>
      <c r="M47" s="105">
        <f t="shared" si="11"/>
        <v>18879.030927835061</v>
      </c>
      <c r="N47" s="106">
        <f t="shared" si="12"/>
        <v>1.2076422097178767</v>
      </c>
      <c r="O47" s="200"/>
      <c r="P47" s="170">
        <f t="shared" si="21"/>
        <v>1727498.4123711342</v>
      </c>
      <c r="Q47" s="104">
        <f t="shared" si="22"/>
        <v>1790050</v>
      </c>
      <c r="R47" s="108">
        <f t="shared" si="13"/>
        <v>62551.587628865847</v>
      </c>
      <c r="S47" s="106">
        <f t="shared" si="14"/>
        <v>1.0362093459426158</v>
      </c>
      <c r="T47" s="133"/>
      <c r="U47" s="104">
        <f t="shared" si="23"/>
        <v>1727498.4123711342</v>
      </c>
      <c r="V47" s="104">
        <f t="shared" si="24"/>
        <v>1790050</v>
      </c>
      <c r="W47" s="108">
        <f t="shared" si="15"/>
        <v>62551.587628865847</v>
      </c>
      <c r="X47" s="106">
        <f t="shared" si="16"/>
        <v>1.0362093459426158</v>
      </c>
      <c r="Y47" s="39"/>
      <c r="Z47" s="202">
        <f t="shared" ref="Z47:AA47" si="54">Z46+1</f>
        <v>45319</v>
      </c>
      <c r="AA47" s="203">
        <f t="shared" si="54"/>
        <v>45319</v>
      </c>
      <c r="AB47" s="204">
        <v>45319</v>
      </c>
      <c r="AC47" s="205">
        <v>4</v>
      </c>
      <c r="AD47" s="116" t="s">
        <v>158</v>
      </c>
      <c r="AE47" s="117">
        <f>IFERROR(AVERAGEIFS(J111:J140,D111:D140,1,G111:G140,"sun"),0)</f>
        <v>111825</v>
      </c>
      <c r="AF47" s="205">
        <f>IFERROR(COUNTIFS(D111:D140,1,G111:G140,"sun"),0)</f>
        <v>4</v>
      </c>
      <c r="AG47" s="117"/>
      <c r="AH47" s="117">
        <f t="shared" si="17"/>
        <v>447300</v>
      </c>
      <c r="AI47" s="206">
        <f t="shared" si="48"/>
        <v>0.16369025836199957</v>
      </c>
      <c r="AJ47" s="526"/>
      <c r="AK47" s="113"/>
      <c r="AL47" s="39"/>
      <c r="AM47" s="39"/>
      <c r="AN47" s="39"/>
    </row>
    <row r="48" spans="1:40" ht="16.5" customHeight="1">
      <c r="A48" s="39"/>
      <c r="B48" s="50"/>
      <c r="C48" s="95">
        <f t="shared" si="19"/>
        <v>29</v>
      </c>
      <c r="D48" s="96">
        <v>0</v>
      </c>
      <c r="E48" s="194" t="str">
        <f t="shared" si="8"/>
        <v>1</v>
      </c>
      <c r="F48" s="195">
        <f t="shared" si="20"/>
        <v>45320</v>
      </c>
      <c r="G48" s="196" t="str">
        <f t="shared" si="9"/>
        <v>Mon</v>
      </c>
      <c r="H48" s="197"/>
      <c r="I48" s="208"/>
      <c r="J48" s="209"/>
      <c r="K48" s="136"/>
      <c r="L48" s="104">
        <f t="shared" si="10"/>
        <v>0</v>
      </c>
      <c r="M48" s="105">
        <f t="shared" si="11"/>
        <v>0</v>
      </c>
      <c r="N48" s="106" t="str">
        <f t="shared" si="12"/>
        <v>0%</v>
      </c>
      <c r="O48" s="200"/>
      <c r="P48" s="170">
        <f t="shared" si="21"/>
        <v>0</v>
      </c>
      <c r="Q48" s="104">
        <f t="shared" si="22"/>
        <v>0</v>
      </c>
      <c r="R48" s="108">
        <f t="shared" si="13"/>
        <v>0</v>
      </c>
      <c r="S48" s="106" t="str">
        <f t="shared" si="14"/>
        <v>0%</v>
      </c>
      <c r="T48" s="133"/>
      <c r="U48" s="104">
        <f t="shared" si="23"/>
        <v>0</v>
      </c>
      <c r="V48" s="104">
        <f t="shared" si="24"/>
        <v>0</v>
      </c>
      <c r="W48" s="108">
        <f t="shared" si="15"/>
        <v>0</v>
      </c>
      <c r="X48" s="106" t="str">
        <f t="shared" si="16"/>
        <v>0%</v>
      </c>
      <c r="Y48" s="39"/>
      <c r="Z48" s="202">
        <f t="shared" ref="Z48:AA48" si="55">Z47+1</f>
        <v>45320</v>
      </c>
      <c r="AA48" s="203">
        <f t="shared" si="55"/>
        <v>45320</v>
      </c>
      <c r="AB48" s="204">
        <v>45320</v>
      </c>
      <c r="AC48" s="205">
        <v>5</v>
      </c>
      <c r="AD48" s="116" t="s">
        <v>15</v>
      </c>
      <c r="AE48" s="117">
        <f>IFERROR(AVERAGEIFS(J141:J171,D141:D171,1,G141:G171,"mon"),0)</f>
        <v>0</v>
      </c>
      <c r="AF48" s="205">
        <f>COUNTIFS(D141:D171,1,G141:G171,"Mon")</f>
        <v>0</v>
      </c>
      <c r="AG48" s="117"/>
      <c r="AH48" s="117">
        <f t="shared" si="17"/>
        <v>0</v>
      </c>
      <c r="AI48" s="206">
        <f t="shared" ref="AI48:AI54" si="56">AH48/$M$10</f>
        <v>0</v>
      </c>
      <c r="AJ48" s="524">
        <f>SUM(AI48:AI54)</f>
        <v>1</v>
      </c>
      <c r="AK48" s="113" t="s">
        <v>107</v>
      </c>
      <c r="AL48" s="39"/>
      <c r="AM48" s="39"/>
      <c r="AN48" s="39"/>
    </row>
    <row r="49" spans="1:40" ht="16.5" customHeight="1">
      <c r="A49" s="39"/>
      <c r="B49" s="50"/>
      <c r="C49" s="95">
        <f t="shared" si="19"/>
        <v>30</v>
      </c>
      <c r="D49" s="96">
        <v>1</v>
      </c>
      <c r="E49" s="194" t="str">
        <f t="shared" si="8"/>
        <v>1</v>
      </c>
      <c r="F49" s="195">
        <f t="shared" si="20"/>
        <v>45321</v>
      </c>
      <c r="G49" s="196" t="str">
        <f t="shared" si="9"/>
        <v>Tue</v>
      </c>
      <c r="H49" s="197"/>
      <c r="I49" s="208"/>
      <c r="J49" s="209">
        <v>37700</v>
      </c>
      <c r="K49" s="136"/>
      <c r="L49" s="104">
        <f t="shared" si="10"/>
        <v>90920.969072164939</v>
      </c>
      <c r="M49" s="105">
        <f t="shared" si="11"/>
        <v>-53220.969072164939</v>
      </c>
      <c r="N49" s="106">
        <f t="shared" si="12"/>
        <v>0.41464582246233112</v>
      </c>
      <c r="O49" s="200"/>
      <c r="P49" s="170">
        <f t="shared" si="21"/>
        <v>1818419.3814432991</v>
      </c>
      <c r="Q49" s="104">
        <f t="shared" si="22"/>
        <v>1827750</v>
      </c>
      <c r="R49" s="108">
        <f t="shared" si="13"/>
        <v>9330.6185567008797</v>
      </c>
      <c r="S49" s="106">
        <f t="shared" si="14"/>
        <v>1.0051311697686014</v>
      </c>
      <c r="T49" s="133"/>
      <c r="U49" s="104">
        <f t="shared" si="23"/>
        <v>1818419.3814432991</v>
      </c>
      <c r="V49" s="104">
        <f t="shared" si="24"/>
        <v>1827750</v>
      </c>
      <c r="W49" s="108">
        <f t="shared" si="15"/>
        <v>9330.6185567008797</v>
      </c>
      <c r="X49" s="106">
        <f t="shared" si="16"/>
        <v>1.0051311697686014</v>
      </c>
      <c r="Y49" s="39"/>
      <c r="Z49" s="202">
        <f t="shared" ref="Z49:AA49" si="57">Z48+1</f>
        <v>45321</v>
      </c>
      <c r="AA49" s="203">
        <f t="shared" si="57"/>
        <v>45321</v>
      </c>
      <c r="AB49" s="204">
        <v>45321</v>
      </c>
      <c r="AC49" s="205">
        <v>5</v>
      </c>
      <c r="AD49" s="116" t="s">
        <v>151</v>
      </c>
      <c r="AE49" s="117">
        <f>AVERAGEIFS(J141:J171,D141:D171,1,G141:G171,"tue")</f>
        <v>103950</v>
      </c>
      <c r="AF49" s="205">
        <f>COUNTIFS(D141:D171,1,G141:G171,"tue")</f>
        <v>3</v>
      </c>
      <c r="AG49" s="117"/>
      <c r="AH49" s="117">
        <f t="shared" si="17"/>
        <v>311850</v>
      </c>
      <c r="AI49" s="206">
        <f t="shared" si="56"/>
        <v>0.10679245929147475</v>
      </c>
      <c r="AJ49" s="525"/>
      <c r="AK49" s="113"/>
      <c r="AL49" s="39"/>
      <c r="AM49" s="39"/>
      <c r="AN49" s="39"/>
    </row>
    <row r="50" spans="1:40" ht="16.5" customHeight="1">
      <c r="A50" s="39"/>
      <c r="B50" s="50"/>
      <c r="C50" s="160">
        <f t="shared" si="19"/>
        <v>31</v>
      </c>
      <c r="D50" s="138">
        <v>1</v>
      </c>
      <c r="E50" s="210" t="str">
        <f t="shared" si="8"/>
        <v>1</v>
      </c>
      <c r="F50" s="211">
        <f t="shared" si="20"/>
        <v>45322</v>
      </c>
      <c r="G50" s="212" t="str">
        <f t="shared" si="9"/>
        <v>Wed</v>
      </c>
      <c r="H50" s="213"/>
      <c r="I50" s="214"/>
      <c r="J50" s="215">
        <v>75950</v>
      </c>
      <c r="K50" s="136"/>
      <c r="L50" s="165">
        <f t="shared" si="10"/>
        <v>90920.969072164939</v>
      </c>
      <c r="M50" s="147">
        <f t="shared" si="11"/>
        <v>-14970.969072164939</v>
      </c>
      <c r="N50" s="161">
        <f t="shared" si="12"/>
        <v>0.83534085453618168</v>
      </c>
      <c r="O50" s="216"/>
      <c r="P50" s="150">
        <f t="shared" si="21"/>
        <v>1909340.3505154641</v>
      </c>
      <c r="Q50" s="165">
        <f t="shared" si="22"/>
        <v>1903700</v>
      </c>
      <c r="R50" s="167">
        <f t="shared" si="13"/>
        <v>-5640.3505154640879</v>
      </c>
      <c r="S50" s="161">
        <f t="shared" si="14"/>
        <v>0.99704591666229581</v>
      </c>
      <c r="T50" s="149"/>
      <c r="U50" s="165">
        <f t="shared" si="23"/>
        <v>1909340.3505154641</v>
      </c>
      <c r="V50" s="165">
        <f t="shared" si="24"/>
        <v>1903700</v>
      </c>
      <c r="W50" s="167">
        <f t="shared" si="15"/>
        <v>-5640.3505154640879</v>
      </c>
      <c r="X50" s="161">
        <f t="shared" si="16"/>
        <v>0.99704591666229581</v>
      </c>
      <c r="Y50" s="39"/>
      <c r="Z50" s="202">
        <f t="shared" ref="Z50:AA50" si="58">Z49+1</f>
        <v>45322</v>
      </c>
      <c r="AA50" s="203">
        <f t="shared" si="58"/>
        <v>45322</v>
      </c>
      <c r="AB50" s="204">
        <v>45322</v>
      </c>
      <c r="AC50" s="205">
        <v>5</v>
      </c>
      <c r="AD50" s="116" t="s">
        <v>152</v>
      </c>
      <c r="AE50" s="117">
        <f>AVERAGEIFS(J141:J171,D141:D171,1,G141:G171,"wed")</f>
        <v>103587.5</v>
      </c>
      <c r="AF50" s="205">
        <f>COUNTIFS(D141:D171,1,G141:G171,"wed")</f>
        <v>4</v>
      </c>
      <c r="AG50" s="117"/>
      <c r="AH50" s="117">
        <f t="shared" si="17"/>
        <v>414350</v>
      </c>
      <c r="AI50" s="206">
        <f t="shared" si="56"/>
        <v>0.14189339588719757</v>
      </c>
      <c r="AJ50" s="525"/>
      <c r="AK50" s="113"/>
      <c r="AL50" s="39"/>
      <c r="AM50" s="39"/>
      <c r="AN50" s="39"/>
    </row>
    <row r="51" spans="1:40" ht="16.5" customHeight="1">
      <c r="A51" s="39"/>
      <c r="B51" s="50"/>
      <c r="C51" s="95">
        <f t="shared" si="19"/>
        <v>32</v>
      </c>
      <c r="D51" s="155">
        <v>1</v>
      </c>
      <c r="E51" s="194" t="str">
        <f t="shared" si="8"/>
        <v>2</v>
      </c>
      <c r="F51" s="195">
        <f t="shared" si="20"/>
        <v>45323</v>
      </c>
      <c r="G51" s="196" t="str">
        <f t="shared" si="9"/>
        <v>Thu</v>
      </c>
      <c r="H51" s="197"/>
      <c r="I51" s="208"/>
      <c r="J51" s="209">
        <v>59000</v>
      </c>
      <c r="K51" s="136"/>
      <c r="L51" s="104">
        <f t="shared" ref="L51:L79" si="59">IF(D51=0,0,$K$7)</f>
        <v>85869.804123711321</v>
      </c>
      <c r="M51" s="108">
        <f t="shared" si="11"/>
        <v>-26869.804123711321</v>
      </c>
      <c r="N51" s="156">
        <f t="shared" si="12"/>
        <v>0.68708669598220573</v>
      </c>
      <c r="O51" s="200"/>
      <c r="P51" s="111">
        <f>IF(D51=0,0,$L$51)</f>
        <v>85869.804123711321</v>
      </c>
      <c r="Q51" s="104">
        <f>IF(D51=0,0,$J$51)</f>
        <v>59000</v>
      </c>
      <c r="R51" s="108">
        <f t="shared" si="13"/>
        <v>-26869.804123711321</v>
      </c>
      <c r="S51" s="156">
        <f t="shared" si="14"/>
        <v>0.68708669598220573</v>
      </c>
      <c r="T51" s="133"/>
      <c r="U51" s="104">
        <f t="shared" si="23"/>
        <v>1995210.1546391754</v>
      </c>
      <c r="V51" s="104">
        <f t="shared" si="24"/>
        <v>1962700</v>
      </c>
      <c r="W51" s="108">
        <f t="shared" si="15"/>
        <v>-32510.154639175395</v>
      </c>
      <c r="X51" s="156">
        <f t="shared" si="16"/>
        <v>0.98370589956973498</v>
      </c>
      <c r="Y51" s="39"/>
      <c r="Z51" s="202">
        <f t="shared" ref="Z51:AA51" si="60">Z50+1</f>
        <v>45323</v>
      </c>
      <c r="AA51" s="203">
        <f t="shared" si="60"/>
        <v>45323</v>
      </c>
      <c r="AB51" s="204">
        <v>45323</v>
      </c>
      <c r="AC51" s="205">
        <v>5</v>
      </c>
      <c r="AD51" s="116" t="s">
        <v>154</v>
      </c>
      <c r="AE51" s="117">
        <f>AVERAGEIFS(J141:J171,D141:D171,1,G141:G171,"thu")</f>
        <v>111270</v>
      </c>
      <c r="AF51" s="205">
        <f>COUNTIFS(D141:D171,1,G141:G171,"thu")</f>
        <v>5</v>
      </c>
      <c r="AG51" s="117"/>
      <c r="AH51" s="117">
        <f t="shared" si="17"/>
        <v>556350</v>
      </c>
      <c r="AI51" s="206">
        <f t="shared" si="56"/>
        <v>0.19052103487834529</v>
      </c>
      <c r="AJ51" s="525"/>
      <c r="AK51" s="113"/>
      <c r="AL51" s="39"/>
      <c r="AM51" s="39"/>
      <c r="AN51" s="39"/>
    </row>
    <row r="52" spans="1:40" ht="16.5" customHeight="1">
      <c r="A52" s="39"/>
      <c r="B52" s="50"/>
      <c r="C52" s="95">
        <f t="shared" si="19"/>
        <v>33</v>
      </c>
      <c r="D52" s="96">
        <v>1</v>
      </c>
      <c r="E52" s="194" t="str">
        <f t="shared" si="8"/>
        <v>2</v>
      </c>
      <c r="F52" s="195">
        <f t="shared" si="20"/>
        <v>45324</v>
      </c>
      <c r="G52" s="196" t="str">
        <f t="shared" si="9"/>
        <v>Fri</v>
      </c>
      <c r="H52" s="197"/>
      <c r="I52" s="208"/>
      <c r="J52" s="209">
        <v>92400</v>
      </c>
      <c r="K52" s="136"/>
      <c r="L52" s="104">
        <f t="shared" si="59"/>
        <v>85869.804123711321</v>
      </c>
      <c r="M52" s="105">
        <f t="shared" si="11"/>
        <v>6530.1958762886788</v>
      </c>
      <c r="N52" s="106">
        <f t="shared" si="12"/>
        <v>1.0760476391314544</v>
      </c>
      <c r="O52" s="200"/>
      <c r="P52" s="170">
        <f t="shared" ref="P52:P79" si="61">IF(D52=0,0,SUM($L$51:L52))</f>
        <v>171739.60824742264</v>
      </c>
      <c r="Q52" s="104">
        <f t="shared" ref="Q52:Q79" si="62">IF(D52=0,0,SUM($J$51:J52))</f>
        <v>151400</v>
      </c>
      <c r="R52" s="108">
        <f t="shared" si="13"/>
        <v>-20339.608247422642</v>
      </c>
      <c r="S52" s="106">
        <f t="shared" si="14"/>
        <v>0.88156716755683007</v>
      </c>
      <c r="T52" s="134"/>
      <c r="U52" s="104">
        <f t="shared" si="23"/>
        <v>2081079.9587628867</v>
      </c>
      <c r="V52" s="104">
        <f t="shared" si="24"/>
        <v>2055100</v>
      </c>
      <c r="W52" s="108">
        <f t="shared" si="15"/>
        <v>-25979.958762886701</v>
      </c>
      <c r="X52" s="106">
        <f t="shared" si="16"/>
        <v>0.98751611697883501</v>
      </c>
      <c r="Y52" s="39"/>
      <c r="Z52" s="202">
        <f t="shared" ref="Z52:AA52" si="63">Z51+1</f>
        <v>45324</v>
      </c>
      <c r="AA52" s="203">
        <f t="shared" si="63"/>
        <v>45324</v>
      </c>
      <c r="AB52" s="204">
        <v>45324</v>
      </c>
      <c r="AC52" s="205">
        <v>5</v>
      </c>
      <c r="AD52" s="116" t="s">
        <v>155</v>
      </c>
      <c r="AE52" s="117">
        <f>AVERAGEIFS(J141:J171,D141:D171,1,G141:G171,"fri")</f>
        <v>175940</v>
      </c>
      <c r="AF52" s="205">
        <f>COUNTIFS(D141:D171,1,G141:G171,"fri")</f>
        <v>5</v>
      </c>
      <c r="AG52" s="117"/>
      <c r="AH52" s="117">
        <f t="shared" si="17"/>
        <v>879700</v>
      </c>
      <c r="AI52" s="206">
        <f t="shared" si="56"/>
        <v>0.30125164803177917</v>
      </c>
      <c r="AJ52" s="525"/>
      <c r="AK52" s="113"/>
      <c r="AL52" s="39"/>
      <c r="AM52" s="39"/>
      <c r="AN52" s="39"/>
    </row>
    <row r="53" spans="1:40" ht="16.5" customHeight="1">
      <c r="A53" s="39"/>
      <c r="B53" s="50"/>
      <c r="C53" s="95">
        <f t="shared" si="19"/>
        <v>34</v>
      </c>
      <c r="D53" s="96">
        <v>1</v>
      </c>
      <c r="E53" s="194" t="str">
        <f t="shared" si="8"/>
        <v>2</v>
      </c>
      <c r="F53" s="195">
        <f t="shared" si="20"/>
        <v>45325</v>
      </c>
      <c r="G53" s="196" t="str">
        <f t="shared" si="9"/>
        <v>Sat</v>
      </c>
      <c r="H53" s="197"/>
      <c r="I53" s="208"/>
      <c r="J53" s="209">
        <v>59300</v>
      </c>
      <c r="K53" s="136"/>
      <c r="L53" s="104">
        <f t="shared" si="59"/>
        <v>85869.804123711321</v>
      </c>
      <c r="M53" s="105">
        <f t="shared" si="11"/>
        <v>-26569.804123711321</v>
      </c>
      <c r="N53" s="106">
        <f t="shared" si="12"/>
        <v>0.69058035714821697</v>
      </c>
      <c r="O53" s="200"/>
      <c r="P53" s="170">
        <f t="shared" si="61"/>
        <v>257609.41237113398</v>
      </c>
      <c r="Q53" s="104">
        <f t="shared" si="62"/>
        <v>210700</v>
      </c>
      <c r="R53" s="108">
        <f t="shared" si="13"/>
        <v>-46909.412371133978</v>
      </c>
      <c r="S53" s="106">
        <f t="shared" si="14"/>
        <v>0.81790489742062567</v>
      </c>
      <c r="T53" s="133"/>
      <c r="U53" s="104">
        <f t="shared" si="23"/>
        <v>2166949.7628865982</v>
      </c>
      <c r="V53" s="104">
        <f t="shared" si="24"/>
        <v>2114400</v>
      </c>
      <c r="W53" s="108">
        <f t="shared" si="15"/>
        <v>-52549.762886598241</v>
      </c>
      <c r="X53" s="106">
        <f t="shared" si="16"/>
        <v>0.97574943185734186</v>
      </c>
      <c r="Y53" s="39"/>
      <c r="Z53" s="202">
        <f t="shared" ref="Z53:AA53" si="64">Z52+1</f>
        <v>45325</v>
      </c>
      <c r="AA53" s="203">
        <f t="shared" si="64"/>
        <v>45325</v>
      </c>
      <c r="AB53" s="204">
        <v>45325</v>
      </c>
      <c r="AC53" s="205">
        <v>5</v>
      </c>
      <c r="AD53" s="116" t="s">
        <v>156</v>
      </c>
      <c r="AE53" s="117">
        <f>AVERAGEIFS(J141:J171,D141:D171,1,G141:G171,"sat")</f>
        <v>77237.5</v>
      </c>
      <c r="AF53" s="205">
        <f>COUNTIFS(D141:D171,1,G141:G171,"sat")</f>
        <v>4</v>
      </c>
      <c r="AG53" s="117"/>
      <c r="AH53" s="117">
        <f t="shared" si="17"/>
        <v>308950</v>
      </c>
      <c r="AI53" s="206">
        <f t="shared" si="56"/>
        <v>0.10579935962193723</v>
      </c>
      <c r="AJ53" s="525"/>
      <c r="AK53" s="113"/>
      <c r="AL53" s="39"/>
      <c r="AM53" s="39"/>
      <c r="AN53" s="39"/>
    </row>
    <row r="54" spans="1:40" ht="16.5" customHeight="1">
      <c r="A54" s="39"/>
      <c r="B54" s="50"/>
      <c r="C54" s="95">
        <f t="shared" si="19"/>
        <v>35</v>
      </c>
      <c r="D54" s="96">
        <v>1</v>
      </c>
      <c r="E54" s="194" t="str">
        <f t="shared" si="8"/>
        <v>2</v>
      </c>
      <c r="F54" s="195">
        <f t="shared" si="20"/>
        <v>45326</v>
      </c>
      <c r="G54" s="196" t="str">
        <f t="shared" si="9"/>
        <v>Sun</v>
      </c>
      <c r="H54" s="197" t="s">
        <v>157</v>
      </c>
      <c r="I54" s="198"/>
      <c r="J54" s="199">
        <v>86750</v>
      </c>
      <c r="K54" s="103"/>
      <c r="L54" s="104">
        <f t="shared" si="59"/>
        <v>85869.804123711321</v>
      </c>
      <c r="M54" s="105">
        <f t="shared" si="11"/>
        <v>880.19587628867885</v>
      </c>
      <c r="N54" s="106">
        <f t="shared" si="12"/>
        <v>1.0102503538382432</v>
      </c>
      <c r="O54" s="200"/>
      <c r="P54" s="170">
        <f t="shared" si="61"/>
        <v>343479.21649484528</v>
      </c>
      <c r="Q54" s="104">
        <f t="shared" si="62"/>
        <v>297450</v>
      </c>
      <c r="R54" s="108">
        <f t="shared" si="13"/>
        <v>-46029.216494845285</v>
      </c>
      <c r="S54" s="106">
        <f t="shared" si="14"/>
        <v>0.86599126152503014</v>
      </c>
      <c r="T54" s="133"/>
      <c r="U54" s="104">
        <f t="shared" si="23"/>
        <v>2252819.5670103095</v>
      </c>
      <c r="V54" s="104">
        <f t="shared" si="24"/>
        <v>2201150</v>
      </c>
      <c r="W54" s="108">
        <f t="shared" si="15"/>
        <v>-51669.567010309547</v>
      </c>
      <c r="X54" s="106">
        <f t="shared" si="16"/>
        <v>0.97706448942163637</v>
      </c>
      <c r="Y54" s="39"/>
      <c r="Z54" s="202">
        <f t="shared" ref="Z54:AA54" si="65">Z53+1</f>
        <v>45326</v>
      </c>
      <c r="AA54" s="203">
        <f t="shared" si="65"/>
        <v>45326</v>
      </c>
      <c r="AB54" s="204">
        <v>45326</v>
      </c>
      <c r="AC54" s="205">
        <v>5</v>
      </c>
      <c r="AD54" s="116" t="s">
        <v>158</v>
      </c>
      <c r="AE54" s="117">
        <f>IFERROR(AVERAGEIFS(J141:J171,D141:D171,1,G141:G171,"sun"),0)</f>
        <v>112237.5</v>
      </c>
      <c r="AF54" s="205">
        <f>IFERROR(COUNTIFS(D141:D171,1,G141:G171,"sun"),0)</f>
        <v>4</v>
      </c>
      <c r="AG54" s="117"/>
      <c r="AH54" s="117">
        <f t="shared" si="17"/>
        <v>448950</v>
      </c>
      <c r="AI54" s="206">
        <f t="shared" si="56"/>
        <v>0.15374210228926596</v>
      </c>
      <c r="AJ54" s="526"/>
      <c r="AK54" s="113"/>
      <c r="AL54" s="39"/>
      <c r="AM54" s="39"/>
      <c r="AN54" s="39"/>
    </row>
    <row r="55" spans="1:40" ht="16.5" customHeight="1">
      <c r="A55" s="39"/>
      <c r="B55" s="50"/>
      <c r="C55" s="95">
        <f t="shared" si="19"/>
        <v>36</v>
      </c>
      <c r="D55" s="96">
        <v>0</v>
      </c>
      <c r="E55" s="194" t="str">
        <f t="shared" si="8"/>
        <v>2</v>
      </c>
      <c r="F55" s="195">
        <f t="shared" si="20"/>
        <v>45327</v>
      </c>
      <c r="G55" s="196" t="str">
        <f t="shared" si="9"/>
        <v>Mon</v>
      </c>
      <c r="H55" s="197"/>
      <c r="I55" s="208"/>
      <c r="J55" s="209"/>
      <c r="K55" s="136"/>
      <c r="L55" s="104">
        <f t="shared" si="59"/>
        <v>0</v>
      </c>
      <c r="M55" s="105">
        <f t="shared" si="11"/>
        <v>0</v>
      </c>
      <c r="N55" s="106" t="str">
        <f t="shared" si="12"/>
        <v>0%</v>
      </c>
      <c r="O55" s="200"/>
      <c r="P55" s="170">
        <f t="shared" si="61"/>
        <v>0</v>
      </c>
      <c r="Q55" s="104">
        <f t="shared" si="62"/>
        <v>0</v>
      </c>
      <c r="R55" s="108">
        <f t="shared" si="13"/>
        <v>0</v>
      </c>
      <c r="S55" s="106" t="str">
        <f t="shared" si="14"/>
        <v>0%</v>
      </c>
      <c r="T55" s="133"/>
      <c r="U55" s="104">
        <f t="shared" si="23"/>
        <v>0</v>
      </c>
      <c r="V55" s="104">
        <f t="shared" si="24"/>
        <v>0</v>
      </c>
      <c r="W55" s="108">
        <f t="shared" si="15"/>
        <v>0</v>
      </c>
      <c r="X55" s="106" t="str">
        <f t="shared" si="16"/>
        <v>0%</v>
      </c>
      <c r="Y55" s="39"/>
      <c r="Z55" s="202">
        <f t="shared" ref="Z55:AA55" si="66">Z54+1</f>
        <v>45327</v>
      </c>
      <c r="AA55" s="203">
        <f t="shared" si="66"/>
        <v>45327</v>
      </c>
      <c r="AB55" s="204">
        <v>45327</v>
      </c>
      <c r="AC55" s="205">
        <v>6</v>
      </c>
      <c r="AD55" s="116" t="s">
        <v>15</v>
      </c>
      <c r="AE55" s="117">
        <f>IFERROR(AVERAGEIFS(J172:J201,D172:D201,1,G172:G201,"mon"),0)</f>
        <v>0</v>
      </c>
      <c r="AF55" s="205">
        <f>COUNTIFS(D172:D201,1,G172:G201,"Mon")</f>
        <v>0</v>
      </c>
      <c r="AG55" s="117"/>
      <c r="AH55" s="117">
        <f t="shared" si="17"/>
        <v>0</v>
      </c>
      <c r="AI55" s="206">
        <f t="shared" ref="AI55:AI61" si="67">AH55/$M$11</f>
        <v>0</v>
      </c>
      <c r="AJ55" s="524">
        <f>SUM(AI55:AI61)</f>
        <v>1</v>
      </c>
      <c r="AK55" s="113" t="s">
        <v>109</v>
      </c>
      <c r="AL55" s="39"/>
      <c r="AM55" s="39"/>
      <c r="AN55" s="39"/>
    </row>
    <row r="56" spans="1:40" ht="16.5" customHeight="1">
      <c r="A56" s="39"/>
      <c r="B56" s="50"/>
      <c r="C56" s="95">
        <f t="shared" si="19"/>
        <v>37</v>
      </c>
      <c r="D56" s="96">
        <v>1</v>
      </c>
      <c r="E56" s="194" t="str">
        <f t="shared" si="8"/>
        <v>2</v>
      </c>
      <c r="F56" s="195">
        <f t="shared" si="20"/>
        <v>45328</v>
      </c>
      <c r="G56" s="196" t="str">
        <f t="shared" si="9"/>
        <v>Tue</v>
      </c>
      <c r="H56" s="197"/>
      <c r="I56" s="208"/>
      <c r="J56" s="209">
        <v>27050</v>
      </c>
      <c r="K56" s="136"/>
      <c r="L56" s="104">
        <f t="shared" si="59"/>
        <v>85869.804123711321</v>
      </c>
      <c r="M56" s="105">
        <f t="shared" si="11"/>
        <v>-58819.804123711321</v>
      </c>
      <c r="N56" s="106">
        <f t="shared" si="12"/>
        <v>0.31501178180201128</v>
      </c>
      <c r="O56" s="200"/>
      <c r="P56" s="170">
        <f t="shared" si="61"/>
        <v>429349.02061855659</v>
      </c>
      <c r="Q56" s="104">
        <f t="shared" si="62"/>
        <v>324500</v>
      </c>
      <c r="R56" s="108">
        <f t="shared" si="13"/>
        <v>-104849.02061855659</v>
      </c>
      <c r="S56" s="106">
        <f t="shared" si="14"/>
        <v>0.75579536558042637</v>
      </c>
      <c r="T56" s="133"/>
      <c r="U56" s="104">
        <f t="shared" si="23"/>
        <v>2338689.3711340209</v>
      </c>
      <c r="V56" s="104">
        <f t="shared" si="24"/>
        <v>2228200</v>
      </c>
      <c r="W56" s="108">
        <f t="shared" si="15"/>
        <v>-110489.37113402085</v>
      </c>
      <c r="X56" s="106">
        <f t="shared" si="16"/>
        <v>0.95275585868830237</v>
      </c>
      <c r="Y56" s="39"/>
      <c r="Z56" s="202">
        <f t="shared" ref="Z56:AA56" si="68">Z55+1</f>
        <v>45328</v>
      </c>
      <c r="AA56" s="203">
        <f t="shared" si="68"/>
        <v>45328</v>
      </c>
      <c r="AB56" s="204">
        <v>45328</v>
      </c>
      <c r="AC56" s="205">
        <v>6</v>
      </c>
      <c r="AD56" s="116" t="s">
        <v>151</v>
      </c>
      <c r="AE56" s="117">
        <f>AVERAGEIFS(J172:J201,D172:D201,1,G172:G201,"tue")</f>
        <v>88737.5</v>
      </c>
      <c r="AF56" s="205">
        <f>COUNTIFS(D172:D201,1,G172:G201,"tue")</f>
        <v>4</v>
      </c>
      <c r="AG56" s="117"/>
      <c r="AH56" s="117">
        <f t="shared" si="17"/>
        <v>354950</v>
      </c>
      <c r="AI56" s="206">
        <f t="shared" si="67"/>
        <v>0.11583773905097579</v>
      </c>
      <c r="AJ56" s="525"/>
      <c r="AK56" s="113"/>
      <c r="AL56" s="39"/>
      <c r="AM56" s="39"/>
      <c r="AN56" s="39"/>
    </row>
    <row r="57" spans="1:40" ht="16.5" customHeight="1">
      <c r="A57" s="39"/>
      <c r="B57" s="50"/>
      <c r="C57" s="95">
        <f t="shared" si="19"/>
        <v>38</v>
      </c>
      <c r="D57" s="96">
        <v>1</v>
      </c>
      <c r="E57" s="194" t="str">
        <f t="shared" si="8"/>
        <v>2</v>
      </c>
      <c r="F57" s="195">
        <f t="shared" si="20"/>
        <v>45329</v>
      </c>
      <c r="G57" s="196" t="str">
        <f t="shared" si="9"/>
        <v>Wed</v>
      </c>
      <c r="H57" s="197"/>
      <c r="I57" s="208"/>
      <c r="J57" s="209">
        <v>115050</v>
      </c>
      <c r="K57" s="136"/>
      <c r="L57" s="104">
        <f t="shared" si="59"/>
        <v>85869.804123711321</v>
      </c>
      <c r="M57" s="105">
        <f t="shared" si="11"/>
        <v>29180.195876288679</v>
      </c>
      <c r="N57" s="106">
        <f t="shared" si="12"/>
        <v>1.3398190571653013</v>
      </c>
      <c r="O57" s="200"/>
      <c r="P57" s="170">
        <f t="shared" si="61"/>
        <v>515218.8247422679</v>
      </c>
      <c r="Q57" s="104">
        <f t="shared" si="62"/>
        <v>439550</v>
      </c>
      <c r="R57" s="108">
        <f t="shared" si="13"/>
        <v>-75668.824742267898</v>
      </c>
      <c r="S57" s="106">
        <f t="shared" si="14"/>
        <v>0.85313264751123885</v>
      </c>
      <c r="T57" s="133"/>
      <c r="U57" s="104">
        <f t="shared" si="23"/>
        <v>2424559.1752577322</v>
      </c>
      <c r="V57" s="104">
        <f t="shared" si="24"/>
        <v>2343250</v>
      </c>
      <c r="W57" s="108">
        <f t="shared" si="15"/>
        <v>-81309.17525773216</v>
      </c>
      <c r="X57" s="106">
        <f t="shared" si="16"/>
        <v>0.96646434696769612</v>
      </c>
      <c r="Y57" s="39"/>
      <c r="Z57" s="202">
        <f t="shared" ref="Z57:AA57" si="69">Z56+1</f>
        <v>45329</v>
      </c>
      <c r="AA57" s="203">
        <f t="shared" si="69"/>
        <v>45329</v>
      </c>
      <c r="AB57" s="204">
        <v>45329</v>
      </c>
      <c r="AC57" s="205">
        <v>6</v>
      </c>
      <c r="AD57" s="116" t="s">
        <v>152</v>
      </c>
      <c r="AE57" s="117">
        <f>AVERAGEIFS(J172:J201,D172:D201,1,G172:G201,"wed")</f>
        <v>119062.5</v>
      </c>
      <c r="AF57" s="205">
        <f>COUNTIFS(D172:D201,1,G172:G201,"wed")</f>
        <v>4</v>
      </c>
      <c r="AG57" s="117"/>
      <c r="AH57" s="117">
        <f t="shared" si="17"/>
        <v>476250</v>
      </c>
      <c r="AI57" s="206">
        <f t="shared" si="67"/>
        <v>0.15542392794204032</v>
      </c>
      <c r="AJ57" s="525"/>
      <c r="AK57" s="113"/>
      <c r="AL57" s="39"/>
      <c r="AM57" s="39"/>
      <c r="AN57" s="39"/>
    </row>
    <row r="58" spans="1:40" ht="16.5" customHeight="1">
      <c r="A58" s="39"/>
      <c r="B58" s="50"/>
      <c r="C58" s="95">
        <f t="shared" si="19"/>
        <v>39</v>
      </c>
      <c r="D58" s="96">
        <v>1</v>
      </c>
      <c r="E58" s="194" t="str">
        <f t="shared" si="8"/>
        <v>2</v>
      </c>
      <c r="F58" s="195">
        <f t="shared" si="20"/>
        <v>45330</v>
      </c>
      <c r="G58" s="196" t="str">
        <f t="shared" si="9"/>
        <v>Thu</v>
      </c>
      <c r="H58" s="197"/>
      <c r="I58" s="208"/>
      <c r="J58" s="209">
        <v>126450</v>
      </c>
      <c r="K58" s="136"/>
      <c r="L58" s="104">
        <f t="shared" si="59"/>
        <v>85869.804123711321</v>
      </c>
      <c r="M58" s="105">
        <f t="shared" si="11"/>
        <v>40580.195876288679</v>
      </c>
      <c r="N58" s="106">
        <f t="shared" si="12"/>
        <v>1.4725781814737275</v>
      </c>
      <c r="O58" s="200"/>
      <c r="P58" s="170">
        <f t="shared" si="61"/>
        <v>601088.62886597926</v>
      </c>
      <c r="Q58" s="104">
        <f t="shared" si="62"/>
        <v>566000</v>
      </c>
      <c r="R58" s="108">
        <f t="shared" si="13"/>
        <v>-35088.628865979263</v>
      </c>
      <c r="S58" s="106">
        <f t="shared" si="14"/>
        <v>0.94162486664873724</v>
      </c>
      <c r="T58" s="133"/>
      <c r="U58" s="104">
        <f t="shared" si="23"/>
        <v>2510428.9793814435</v>
      </c>
      <c r="V58" s="104">
        <f t="shared" si="24"/>
        <v>2469700</v>
      </c>
      <c r="W58" s="108">
        <f t="shared" si="15"/>
        <v>-40728.979381443467</v>
      </c>
      <c r="X58" s="106">
        <f t="shared" si="16"/>
        <v>0.98377608778580983</v>
      </c>
      <c r="Y58" s="39"/>
      <c r="Z58" s="202">
        <f t="shared" ref="Z58:AA58" si="70">Z57+1</f>
        <v>45330</v>
      </c>
      <c r="AA58" s="203">
        <f t="shared" si="70"/>
        <v>45330</v>
      </c>
      <c r="AB58" s="204">
        <v>45330</v>
      </c>
      <c r="AC58" s="205">
        <v>6</v>
      </c>
      <c r="AD58" s="116" t="s">
        <v>154</v>
      </c>
      <c r="AE58" s="117">
        <f>AVERAGEIFS(J172:J201,D172:D201,1,G172:G201,"thu")</f>
        <v>135887.5</v>
      </c>
      <c r="AF58" s="205">
        <f>COUNTIFS(D172:D201,1,G172:G201,"thu")</f>
        <v>4</v>
      </c>
      <c r="AG58" s="117"/>
      <c r="AH58" s="117">
        <f t="shared" si="17"/>
        <v>543550</v>
      </c>
      <c r="AI58" s="206">
        <f t="shared" si="67"/>
        <v>0.17738724626329874</v>
      </c>
      <c r="AJ58" s="525"/>
      <c r="AK58" s="113"/>
      <c r="AL58" s="39"/>
      <c r="AM58" s="39"/>
      <c r="AN58" s="39"/>
    </row>
    <row r="59" spans="1:40" ht="16.5" customHeight="1">
      <c r="A59" s="39"/>
      <c r="B59" s="50"/>
      <c r="C59" s="95">
        <f t="shared" si="19"/>
        <v>40</v>
      </c>
      <c r="D59" s="96">
        <v>1</v>
      </c>
      <c r="E59" s="194" t="str">
        <f t="shared" si="8"/>
        <v>2</v>
      </c>
      <c r="F59" s="195">
        <f t="shared" si="20"/>
        <v>45331</v>
      </c>
      <c r="G59" s="196" t="str">
        <f t="shared" si="9"/>
        <v>Fri</v>
      </c>
      <c r="H59" s="197"/>
      <c r="I59" s="208"/>
      <c r="J59" s="209">
        <v>121500</v>
      </c>
      <c r="K59" s="136"/>
      <c r="L59" s="104">
        <f t="shared" si="59"/>
        <v>85869.804123711321</v>
      </c>
      <c r="M59" s="105">
        <f t="shared" si="11"/>
        <v>35630.195876288679</v>
      </c>
      <c r="N59" s="106">
        <f t="shared" si="12"/>
        <v>1.4149327722345424</v>
      </c>
      <c r="O59" s="200"/>
      <c r="P59" s="170">
        <f t="shared" si="61"/>
        <v>686958.43298969057</v>
      </c>
      <c r="Q59" s="104">
        <f t="shared" si="62"/>
        <v>687500</v>
      </c>
      <c r="R59" s="108">
        <f t="shared" si="13"/>
        <v>541.56701030943077</v>
      </c>
      <c r="S59" s="106">
        <f t="shared" si="14"/>
        <v>1.0007883548469629</v>
      </c>
      <c r="T59" s="134"/>
      <c r="U59" s="104">
        <f t="shared" si="23"/>
        <v>2596298.7835051548</v>
      </c>
      <c r="V59" s="104">
        <f t="shared" si="24"/>
        <v>2591200</v>
      </c>
      <c r="W59" s="108">
        <f t="shared" si="15"/>
        <v>-5098.7835051547736</v>
      </c>
      <c r="X59" s="106">
        <f t="shared" si="16"/>
        <v>0.99803613376952283</v>
      </c>
      <c r="Y59" s="39"/>
      <c r="Z59" s="202">
        <f t="shared" ref="Z59:AA59" si="71">Z58+1</f>
        <v>45331</v>
      </c>
      <c r="AA59" s="203">
        <f t="shared" si="71"/>
        <v>45331</v>
      </c>
      <c r="AB59" s="204">
        <v>45331</v>
      </c>
      <c r="AC59" s="205">
        <v>6</v>
      </c>
      <c r="AD59" s="116" t="s">
        <v>155</v>
      </c>
      <c r="AE59" s="117">
        <f>AVERAGEIFS(J172:J201,D172:D201,1,G172:G201,"fri")</f>
        <v>156950</v>
      </c>
      <c r="AF59" s="205">
        <f>COUNTIFS(D172:D201,1,G172:G201,"fri")</f>
        <v>4</v>
      </c>
      <c r="AG59" s="117"/>
      <c r="AH59" s="117">
        <f t="shared" si="17"/>
        <v>627800</v>
      </c>
      <c r="AI59" s="206">
        <f t="shared" si="67"/>
        <v>0.20488218784674631</v>
      </c>
      <c r="AJ59" s="525"/>
      <c r="AK59" s="113"/>
      <c r="AL59" s="39"/>
      <c r="AM59" s="39"/>
      <c r="AN59" s="39"/>
    </row>
    <row r="60" spans="1:40" ht="16.5" customHeight="1">
      <c r="A60" s="39"/>
      <c r="B60" s="50"/>
      <c r="C60" s="95">
        <f t="shared" si="19"/>
        <v>41</v>
      </c>
      <c r="D60" s="96">
        <v>1</v>
      </c>
      <c r="E60" s="194" t="str">
        <f t="shared" si="8"/>
        <v>2</v>
      </c>
      <c r="F60" s="195">
        <f t="shared" si="20"/>
        <v>45332</v>
      </c>
      <c r="G60" s="196" t="str">
        <f t="shared" si="9"/>
        <v>Sat</v>
      </c>
      <c r="H60" s="197"/>
      <c r="I60" s="208"/>
      <c r="J60" s="209">
        <v>51350</v>
      </c>
      <c r="K60" s="136"/>
      <c r="L60" s="104">
        <f t="shared" si="59"/>
        <v>85869.804123711321</v>
      </c>
      <c r="M60" s="105">
        <f t="shared" si="11"/>
        <v>-34519.804123711321</v>
      </c>
      <c r="N60" s="106">
        <f t="shared" si="12"/>
        <v>0.59799833624891974</v>
      </c>
      <c r="O60" s="200"/>
      <c r="P60" s="170">
        <f t="shared" si="61"/>
        <v>772828.23711340188</v>
      </c>
      <c r="Q60" s="104">
        <f t="shared" si="62"/>
        <v>738850</v>
      </c>
      <c r="R60" s="108">
        <f t="shared" si="13"/>
        <v>-33978.237113401876</v>
      </c>
      <c r="S60" s="106">
        <f t="shared" si="14"/>
        <v>0.95603390833606916</v>
      </c>
      <c r="T60" s="133"/>
      <c r="U60" s="104">
        <f t="shared" si="23"/>
        <v>2682168.5876288661</v>
      </c>
      <c r="V60" s="104">
        <f t="shared" si="24"/>
        <v>2642550</v>
      </c>
      <c r="W60" s="108">
        <f t="shared" si="15"/>
        <v>-39618.58762886608</v>
      </c>
      <c r="X60" s="106">
        <f t="shared" si="16"/>
        <v>0.98522889731406094</v>
      </c>
      <c r="Y60" s="39"/>
      <c r="Z60" s="202">
        <f t="shared" ref="Z60:AA60" si="72">Z59+1</f>
        <v>45332</v>
      </c>
      <c r="AA60" s="203">
        <f t="shared" si="72"/>
        <v>45332</v>
      </c>
      <c r="AB60" s="204">
        <v>45332</v>
      </c>
      <c r="AC60" s="205">
        <v>6</v>
      </c>
      <c r="AD60" s="116" t="s">
        <v>156</v>
      </c>
      <c r="AE60" s="117">
        <f>AVERAGEIFS(J172:J201,D172:D201,1,G172:G201,"sat")</f>
        <v>120950</v>
      </c>
      <c r="AF60" s="205">
        <f>COUNTIFS(D172:D201,1,G172:G201,"sat")</f>
        <v>5</v>
      </c>
      <c r="AG60" s="117"/>
      <c r="AH60" s="117">
        <f t="shared" si="17"/>
        <v>604750</v>
      </c>
      <c r="AI60" s="206">
        <f t="shared" si="67"/>
        <v>0.19735983290907905</v>
      </c>
      <c r="AJ60" s="525"/>
      <c r="AK60" s="113"/>
      <c r="AL60" s="39"/>
      <c r="AM60" s="39"/>
      <c r="AN60" s="39"/>
    </row>
    <row r="61" spans="1:40" ht="16.5" customHeight="1">
      <c r="A61" s="39"/>
      <c r="B61" s="50"/>
      <c r="C61" s="95">
        <f t="shared" si="19"/>
        <v>42</v>
      </c>
      <c r="D61" s="96">
        <v>1</v>
      </c>
      <c r="E61" s="194" t="str">
        <f t="shared" si="8"/>
        <v>2</v>
      </c>
      <c r="F61" s="195">
        <f t="shared" si="20"/>
        <v>45333</v>
      </c>
      <c r="G61" s="196" t="str">
        <f t="shared" si="9"/>
        <v>Sun</v>
      </c>
      <c r="H61" s="197" t="s">
        <v>157</v>
      </c>
      <c r="I61" s="198"/>
      <c r="J61" s="199">
        <v>148600</v>
      </c>
      <c r="K61" s="103"/>
      <c r="L61" s="104">
        <f t="shared" si="59"/>
        <v>85869.804123711321</v>
      </c>
      <c r="M61" s="105">
        <f t="shared" si="11"/>
        <v>62730.195876288679</v>
      </c>
      <c r="N61" s="106">
        <f t="shared" si="12"/>
        <v>1.7305268308975557</v>
      </c>
      <c r="O61" s="200"/>
      <c r="P61" s="170">
        <f t="shared" si="61"/>
        <v>858698.04123711318</v>
      </c>
      <c r="Q61" s="104">
        <f t="shared" si="62"/>
        <v>887450</v>
      </c>
      <c r="R61" s="108">
        <f t="shared" si="13"/>
        <v>28751.958762886818</v>
      </c>
      <c r="S61" s="106">
        <f t="shared" si="14"/>
        <v>1.0334832005922179</v>
      </c>
      <c r="T61" s="134"/>
      <c r="U61" s="104">
        <f t="shared" si="23"/>
        <v>2768038.3917525774</v>
      </c>
      <c r="V61" s="104">
        <f t="shared" si="24"/>
        <v>2791150</v>
      </c>
      <c r="W61" s="108">
        <f t="shared" si="15"/>
        <v>23111.608247422613</v>
      </c>
      <c r="X61" s="106">
        <f t="shared" si="16"/>
        <v>1.0083494536478554</v>
      </c>
      <c r="Y61" s="39"/>
      <c r="Z61" s="202">
        <f t="shared" ref="Z61:AA61" si="73">Z60+1</f>
        <v>45333</v>
      </c>
      <c r="AA61" s="203">
        <f t="shared" si="73"/>
        <v>45333</v>
      </c>
      <c r="AB61" s="204">
        <v>45333</v>
      </c>
      <c r="AC61" s="205">
        <v>6</v>
      </c>
      <c r="AD61" s="116" t="s">
        <v>158</v>
      </c>
      <c r="AE61" s="117">
        <f>IFERROR(AVERAGEIFS(J172:J201,D172:D201,1,G172:G201,"sun"),0)</f>
        <v>91380</v>
      </c>
      <c r="AF61" s="205">
        <f>IFERROR(COUNTIFS(D172:D201,1,G172:G201,"sun"),0)</f>
        <v>5</v>
      </c>
      <c r="AG61" s="117"/>
      <c r="AH61" s="117">
        <f t="shared" si="17"/>
        <v>456900</v>
      </c>
      <c r="AI61" s="206">
        <f t="shared" si="67"/>
        <v>0.14910906598785981</v>
      </c>
      <c r="AJ61" s="526"/>
      <c r="AK61" s="113"/>
      <c r="AL61" s="39"/>
      <c r="AM61" s="39"/>
      <c r="AN61" s="39"/>
    </row>
    <row r="62" spans="1:40" ht="16.5" customHeight="1">
      <c r="A62" s="39"/>
      <c r="B62" s="50"/>
      <c r="C62" s="95">
        <f t="shared" si="19"/>
        <v>43</v>
      </c>
      <c r="D62" s="96">
        <v>0</v>
      </c>
      <c r="E62" s="194" t="str">
        <f t="shared" si="8"/>
        <v>2</v>
      </c>
      <c r="F62" s="195">
        <f t="shared" si="20"/>
        <v>45334</v>
      </c>
      <c r="G62" s="196" t="str">
        <f t="shared" si="9"/>
        <v>Mon</v>
      </c>
      <c r="H62" s="197" t="s">
        <v>153</v>
      </c>
      <c r="I62" s="198"/>
      <c r="J62" s="199">
        <v>0</v>
      </c>
      <c r="K62" s="103"/>
      <c r="L62" s="104">
        <f t="shared" si="59"/>
        <v>0</v>
      </c>
      <c r="M62" s="105">
        <f t="shared" si="11"/>
        <v>0</v>
      </c>
      <c r="N62" s="106" t="str">
        <f t="shared" si="12"/>
        <v>0%</v>
      </c>
      <c r="O62" s="200"/>
      <c r="P62" s="170">
        <f t="shared" si="61"/>
        <v>0</v>
      </c>
      <c r="Q62" s="104">
        <f t="shared" si="62"/>
        <v>0</v>
      </c>
      <c r="R62" s="108">
        <f t="shared" si="13"/>
        <v>0</v>
      </c>
      <c r="S62" s="106" t="str">
        <f t="shared" si="14"/>
        <v>0%</v>
      </c>
      <c r="T62" s="133"/>
      <c r="U62" s="104">
        <f t="shared" si="23"/>
        <v>0</v>
      </c>
      <c r="V62" s="104">
        <f t="shared" si="24"/>
        <v>0</v>
      </c>
      <c r="W62" s="108">
        <f t="shared" si="15"/>
        <v>0</v>
      </c>
      <c r="X62" s="106" t="str">
        <f t="shared" si="16"/>
        <v>0%</v>
      </c>
      <c r="Y62" s="39"/>
      <c r="Z62" s="202">
        <f t="shared" ref="Z62:AA62" si="74">Z61+1</f>
        <v>45334</v>
      </c>
      <c r="AA62" s="203">
        <f t="shared" si="74"/>
        <v>45334</v>
      </c>
      <c r="AB62" s="204">
        <v>45334</v>
      </c>
      <c r="AC62" s="205">
        <v>7</v>
      </c>
      <c r="AD62" s="116" t="s">
        <v>15</v>
      </c>
      <c r="AE62" s="117">
        <f>IFERROR(AVERAGEIFS(J202:J232,D202:D232,1,G202:G232,"mon"),0)</f>
        <v>0</v>
      </c>
      <c r="AF62" s="205">
        <f>COUNTIFS(D202:D232,1,G202:G232,"Mon")</f>
        <v>0</v>
      </c>
      <c r="AG62" s="117"/>
      <c r="AH62" s="117">
        <f t="shared" si="17"/>
        <v>0</v>
      </c>
      <c r="AI62" s="206">
        <f t="shared" ref="AI62:AI68" si="75">AH62/$M$12</f>
        <v>0</v>
      </c>
      <c r="AJ62" s="524">
        <f>SUM(AI62:AI68)</f>
        <v>1</v>
      </c>
      <c r="AK62" s="113" t="s">
        <v>111</v>
      </c>
      <c r="AL62" s="39"/>
      <c r="AM62" s="39"/>
      <c r="AN62" s="39"/>
    </row>
    <row r="63" spans="1:40" ht="16.5" customHeight="1">
      <c r="A63" s="39"/>
      <c r="B63" s="50"/>
      <c r="C63" s="95">
        <f t="shared" si="19"/>
        <v>44</v>
      </c>
      <c r="D63" s="96">
        <v>1</v>
      </c>
      <c r="E63" s="194" t="str">
        <f t="shared" si="8"/>
        <v>2</v>
      </c>
      <c r="F63" s="195">
        <f t="shared" si="20"/>
        <v>45335</v>
      </c>
      <c r="G63" s="196" t="str">
        <f t="shared" si="9"/>
        <v>Tue</v>
      </c>
      <c r="H63" s="197"/>
      <c r="I63" s="208"/>
      <c r="J63" s="209">
        <v>62800</v>
      </c>
      <c r="K63" s="136"/>
      <c r="L63" s="104">
        <f t="shared" si="59"/>
        <v>85869.804123711321</v>
      </c>
      <c r="M63" s="105">
        <f t="shared" si="11"/>
        <v>-23069.804123711321</v>
      </c>
      <c r="N63" s="106">
        <f t="shared" si="12"/>
        <v>0.73133973741834779</v>
      </c>
      <c r="O63" s="200"/>
      <c r="P63" s="170">
        <f t="shared" si="61"/>
        <v>944567.84536082449</v>
      </c>
      <c r="Q63" s="104">
        <f t="shared" si="62"/>
        <v>950250</v>
      </c>
      <c r="R63" s="108">
        <f t="shared" si="13"/>
        <v>5682.154639175511</v>
      </c>
      <c r="S63" s="106">
        <f t="shared" si="14"/>
        <v>1.006015613030957</v>
      </c>
      <c r="T63" s="133"/>
      <c r="U63" s="104">
        <f t="shared" si="23"/>
        <v>2853908.1958762887</v>
      </c>
      <c r="V63" s="104">
        <f t="shared" si="24"/>
        <v>2853950</v>
      </c>
      <c r="W63" s="108">
        <f t="shared" si="15"/>
        <v>41.804123711306602</v>
      </c>
      <c r="X63" s="106">
        <f t="shared" si="16"/>
        <v>1.0000146480267906</v>
      </c>
      <c r="Y63" s="39"/>
      <c r="Z63" s="202">
        <f t="shared" ref="Z63:AA63" si="76">Z62+1</f>
        <v>45335</v>
      </c>
      <c r="AA63" s="203">
        <f t="shared" si="76"/>
        <v>45335</v>
      </c>
      <c r="AB63" s="204">
        <v>45335</v>
      </c>
      <c r="AC63" s="205">
        <v>7</v>
      </c>
      <c r="AD63" s="116" t="s">
        <v>151</v>
      </c>
      <c r="AE63" s="117">
        <f>AVERAGEIFS(J202:J232,D202:D232,1,G202:G232,"tue")</f>
        <v>82550</v>
      </c>
      <c r="AF63" s="205">
        <f>COUNTIFS(D202:D232,1,G202:G232,"tue")</f>
        <v>5</v>
      </c>
      <c r="AG63" s="117"/>
      <c r="AH63" s="117">
        <f t="shared" si="17"/>
        <v>412750</v>
      </c>
      <c r="AI63" s="206">
        <f t="shared" si="75"/>
        <v>0.17255074099621664</v>
      </c>
      <c r="AJ63" s="525"/>
      <c r="AK63" s="113"/>
      <c r="AL63" s="39"/>
      <c r="AM63" s="39"/>
      <c r="AN63" s="39"/>
    </row>
    <row r="64" spans="1:40" ht="16.5" customHeight="1">
      <c r="A64" s="39"/>
      <c r="B64" s="50"/>
      <c r="C64" s="95">
        <f t="shared" si="19"/>
        <v>45</v>
      </c>
      <c r="D64" s="96">
        <v>1</v>
      </c>
      <c r="E64" s="194" t="str">
        <f t="shared" si="8"/>
        <v>2</v>
      </c>
      <c r="F64" s="195">
        <f t="shared" si="20"/>
        <v>45336</v>
      </c>
      <c r="G64" s="196" t="str">
        <f t="shared" si="9"/>
        <v>Wed</v>
      </c>
      <c r="H64" s="197"/>
      <c r="I64" s="208"/>
      <c r="J64" s="209">
        <v>99300</v>
      </c>
      <c r="K64" s="136"/>
      <c r="L64" s="104">
        <f t="shared" si="59"/>
        <v>85869.804123711321</v>
      </c>
      <c r="M64" s="105">
        <f t="shared" si="11"/>
        <v>13430.195876288679</v>
      </c>
      <c r="N64" s="106">
        <f t="shared" si="12"/>
        <v>1.1564018459497125</v>
      </c>
      <c r="O64" s="200"/>
      <c r="P64" s="170">
        <f t="shared" si="61"/>
        <v>1030437.6494845358</v>
      </c>
      <c r="Q64" s="104">
        <f t="shared" si="62"/>
        <v>1049550</v>
      </c>
      <c r="R64" s="108">
        <f t="shared" si="13"/>
        <v>19112.350515464204</v>
      </c>
      <c r="S64" s="106">
        <f t="shared" si="14"/>
        <v>1.01854779910752</v>
      </c>
      <c r="T64" s="133"/>
      <c r="U64" s="104">
        <f t="shared" si="23"/>
        <v>2939778</v>
      </c>
      <c r="V64" s="104">
        <f t="shared" si="24"/>
        <v>2953250</v>
      </c>
      <c r="W64" s="108">
        <f t="shared" si="15"/>
        <v>13472</v>
      </c>
      <c r="X64" s="106">
        <f t="shared" si="16"/>
        <v>1.0045826589626836</v>
      </c>
      <c r="Y64" s="39"/>
      <c r="Z64" s="202">
        <f t="shared" ref="Z64:AA64" si="77">Z63+1</f>
        <v>45336</v>
      </c>
      <c r="AA64" s="203">
        <f t="shared" si="77"/>
        <v>45336</v>
      </c>
      <c r="AB64" s="204">
        <v>45336</v>
      </c>
      <c r="AC64" s="205">
        <v>7</v>
      </c>
      <c r="AD64" s="116" t="s">
        <v>152</v>
      </c>
      <c r="AE64" s="117">
        <f>AVERAGEIFS(J202:J232,D202:D232,1,G202:G232,"wed")</f>
        <v>54350</v>
      </c>
      <c r="AF64" s="205">
        <f>COUNTIFS(D202:D232,1,G202:G232,"wed")</f>
        <v>5</v>
      </c>
      <c r="AG64" s="117"/>
      <c r="AH64" s="117">
        <f t="shared" si="17"/>
        <v>271750</v>
      </c>
      <c r="AI64" s="206">
        <f t="shared" si="75"/>
        <v>0.11360548483518321</v>
      </c>
      <c r="AJ64" s="525"/>
      <c r="AK64" s="113"/>
      <c r="AL64" s="39"/>
      <c r="AM64" s="39"/>
      <c r="AN64" s="39"/>
    </row>
    <row r="65" spans="1:40" ht="16.5" customHeight="1">
      <c r="A65" s="39"/>
      <c r="B65" s="50"/>
      <c r="C65" s="95">
        <f t="shared" si="19"/>
        <v>46</v>
      </c>
      <c r="D65" s="96">
        <v>1</v>
      </c>
      <c r="E65" s="194" t="str">
        <f t="shared" si="8"/>
        <v>2</v>
      </c>
      <c r="F65" s="195">
        <f t="shared" si="20"/>
        <v>45337</v>
      </c>
      <c r="G65" s="196" t="str">
        <f t="shared" si="9"/>
        <v>Thu</v>
      </c>
      <c r="H65" s="197"/>
      <c r="I65" s="208"/>
      <c r="J65" s="209">
        <v>111000</v>
      </c>
      <c r="K65" s="136"/>
      <c r="L65" s="104">
        <f t="shared" si="59"/>
        <v>85869.804123711321</v>
      </c>
      <c r="M65" s="105">
        <f t="shared" si="11"/>
        <v>25130.195876288679</v>
      </c>
      <c r="N65" s="106">
        <f t="shared" si="12"/>
        <v>1.2926546314241498</v>
      </c>
      <c r="O65" s="200"/>
      <c r="P65" s="170">
        <f t="shared" si="61"/>
        <v>1116307.4536082472</v>
      </c>
      <c r="Q65" s="104">
        <f t="shared" si="62"/>
        <v>1160550</v>
      </c>
      <c r="R65" s="108">
        <f t="shared" si="13"/>
        <v>44242.546391752781</v>
      </c>
      <c r="S65" s="106">
        <f t="shared" si="14"/>
        <v>1.0396329400549529</v>
      </c>
      <c r="T65" s="133"/>
      <c r="U65" s="104">
        <f t="shared" si="23"/>
        <v>3025647.8041237113</v>
      </c>
      <c r="V65" s="104">
        <f t="shared" si="24"/>
        <v>3064250</v>
      </c>
      <c r="W65" s="108">
        <f t="shared" si="15"/>
        <v>38602.195876288693</v>
      </c>
      <c r="X65" s="106">
        <f t="shared" si="16"/>
        <v>1.0127583242913061</v>
      </c>
      <c r="Y65" s="39"/>
      <c r="Z65" s="202">
        <f t="shared" ref="Z65:AA65" si="78">Z64+1</f>
        <v>45337</v>
      </c>
      <c r="AA65" s="203">
        <f t="shared" si="78"/>
        <v>45337</v>
      </c>
      <c r="AB65" s="204">
        <v>45337</v>
      </c>
      <c r="AC65" s="205">
        <v>7</v>
      </c>
      <c r="AD65" s="116" t="s">
        <v>154</v>
      </c>
      <c r="AE65" s="117">
        <f>AVERAGEIFS(J202:J232,D202:D232,1,G202:G232,"thu")</f>
        <v>82737.5</v>
      </c>
      <c r="AF65" s="205">
        <f>COUNTIFS(D202:D232,1,G202:G232,"thu")</f>
        <v>4</v>
      </c>
      <c r="AG65" s="117"/>
      <c r="AH65" s="117">
        <f t="shared" si="17"/>
        <v>330950</v>
      </c>
      <c r="AI65" s="206">
        <f t="shared" si="75"/>
        <v>0.13835413139357455</v>
      </c>
      <c r="AJ65" s="525"/>
      <c r="AK65" s="113"/>
      <c r="AL65" s="39"/>
      <c r="AM65" s="39"/>
      <c r="AN65" s="39"/>
    </row>
    <row r="66" spans="1:40" ht="16.5" customHeight="1">
      <c r="A66" s="39"/>
      <c r="B66" s="50"/>
      <c r="C66" s="95">
        <f t="shared" si="19"/>
        <v>47</v>
      </c>
      <c r="D66" s="96">
        <v>1</v>
      </c>
      <c r="E66" s="194" t="str">
        <f t="shared" si="8"/>
        <v>2</v>
      </c>
      <c r="F66" s="195">
        <f t="shared" si="20"/>
        <v>45338</v>
      </c>
      <c r="G66" s="196" t="str">
        <f t="shared" si="9"/>
        <v>Fri</v>
      </c>
      <c r="H66" s="197"/>
      <c r="I66" s="208"/>
      <c r="J66" s="209">
        <v>149000</v>
      </c>
      <c r="K66" s="136"/>
      <c r="L66" s="104">
        <f t="shared" si="59"/>
        <v>85869.804123711321</v>
      </c>
      <c r="M66" s="105">
        <f t="shared" si="11"/>
        <v>63130.195876288679</v>
      </c>
      <c r="N66" s="106">
        <f t="shared" si="12"/>
        <v>1.7351850457855704</v>
      </c>
      <c r="O66" s="200"/>
      <c r="P66" s="170">
        <f t="shared" si="61"/>
        <v>1202177.2577319585</v>
      </c>
      <c r="Q66" s="104">
        <f t="shared" si="62"/>
        <v>1309550</v>
      </c>
      <c r="R66" s="108">
        <f t="shared" si="13"/>
        <v>107372.74226804147</v>
      </c>
      <c r="S66" s="106">
        <f t="shared" si="14"/>
        <v>1.0893152333214255</v>
      </c>
      <c r="T66" s="134"/>
      <c r="U66" s="104">
        <f t="shared" si="23"/>
        <v>3111517.6082474226</v>
      </c>
      <c r="V66" s="104">
        <f t="shared" si="24"/>
        <v>3213250</v>
      </c>
      <c r="W66" s="108">
        <f t="shared" si="15"/>
        <v>101732.39175257739</v>
      </c>
      <c r="X66" s="106">
        <f t="shared" si="16"/>
        <v>1.032695425371505</v>
      </c>
      <c r="Y66" s="39"/>
      <c r="Z66" s="202">
        <f t="shared" ref="Z66:AA66" si="79">Z65+1</f>
        <v>45338</v>
      </c>
      <c r="AA66" s="203">
        <f t="shared" si="79"/>
        <v>45338</v>
      </c>
      <c r="AB66" s="204">
        <v>45338</v>
      </c>
      <c r="AC66" s="205">
        <v>7</v>
      </c>
      <c r="AD66" s="116" t="s">
        <v>155</v>
      </c>
      <c r="AE66" s="117">
        <f>AVERAGEIFS(J202:J232,D202:D232,1,G202:G232,"fri")</f>
        <v>124225</v>
      </c>
      <c r="AF66" s="205">
        <f>COUNTIFS(D202:D232,1,G202:G232,"fri")</f>
        <v>4</v>
      </c>
      <c r="AG66" s="117"/>
      <c r="AH66" s="117">
        <f t="shared" si="17"/>
        <v>496900</v>
      </c>
      <c r="AI66" s="206">
        <f t="shared" si="75"/>
        <v>0.20772977153487596</v>
      </c>
      <c r="AJ66" s="525"/>
      <c r="AK66" s="113"/>
      <c r="AL66" s="39"/>
      <c r="AM66" s="39"/>
      <c r="AN66" s="39"/>
    </row>
    <row r="67" spans="1:40" ht="16.5" customHeight="1">
      <c r="A67" s="39"/>
      <c r="B67" s="50"/>
      <c r="C67" s="95">
        <f t="shared" si="19"/>
        <v>48</v>
      </c>
      <c r="D67" s="96">
        <v>1</v>
      </c>
      <c r="E67" s="194" t="str">
        <f t="shared" si="8"/>
        <v>2</v>
      </c>
      <c r="F67" s="195">
        <f t="shared" si="20"/>
        <v>45339</v>
      </c>
      <c r="G67" s="196" t="str">
        <f t="shared" si="9"/>
        <v>Sat</v>
      </c>
      <c r="H67" s="197"/>
      <c r="I67" s="208"/>
      <c r="J67" s="209">
        <v>109250</v>
      </c>
      <c r="K67" s="136"/>
      <c r="L67" s="104">
        <f t="shared" si="59"/>
        <v>85869.804123711321</v>
      </c>
      <c r="M67" s="105">
        <f t="shared" si="11"/>
        <v>23380.195876288679</v>
      </c>
      <c r="N67" s="106">
        <f t="shared" si="12"/>
        <v>1.2722749412890844</v>
      </c>
      <c r="O67" s="200"/>
      <c r="P67" s="170">
        <f t="shared" si="61"/>
        <v>1288047.0618556698</v>
      </c>
      <c r="Q67" s="104">
        <f t="shared" si="62"/>
        <v>1418800</v>
      </c>
      <c r="R67" s="108">
        <f t="shared" si="13"/>
        <v>130752.93814433017</v>
      </c>
      <c r="S67" s="106">
        <f t="shared" si="14"/>
        <v>1.1015125471859362</v>
      </c>
      <c r="T67" s="133"/>
      <c r="U67" s="104">
        <f t="shared" si="23"/>
        <v>3197387.4123711339</v>
      </c>
      <c r="V67" s="104">
        <f t="shared" si="24"/>
        <v>3322500</v>
      </c>
      <c r="W67" s="108">
        <f t="shared" si="15"/>
        <v>125112.58762886608</v>
      </c>
      <c r="X67" s="106">
        <f t="shared" si="16"/>
        <v>1.0391296303803499</v>
      </c>
      <c r="Y67" s="39"/>
      <c r="Z67" s="202">
        <f t="shared" ref="Z67:AA67" si="80">Z66+1</f>
        <v>45339</v>
      </c>
      <c r="AA67" s="203">
        <f t="shared" si="80"/>
        <v>45339</v>
      </c>
      <c r="AB67" s="204">
        <v>45339</v>
      </c>
      <c r="AC67" s="205">
        <v>7</v>
      </c>
      <c r="AD67" s="116" t="s">
        <v>156</v>
      </c>
      <c r="AE67" s="117">
        <f>AVERAGEIFS(J202:J232,D202:D232,1,G202:G232,"sat")</f>
        <v>111762.5</v>
      </c>
      <c r="AF67" s="205">
        <f>COUNTIFS(D202:D232,1,G202:G232,"sat")</f>
        <v>4</v>
      </c>
      <c r="AG67" s="117"/>
      <c r="AH67" s="117">
        <f t="shared" si="17"/>
        <v>447050</v>
      </c>
      <c r="AI67" s="206">
        <f t="shared" si="75"/>
        <v>0.18688990614744674</v>
      </c>
      <c r="AJ67" s="525"/>
      <c r="AK67" s="113"/>
      <c r="AL67" s="39"/>
      <c r="AM67" s="39"/>
      <c r="AN67" s="39"/>
    </row>
    <row r="68" spans="1:40" ht="16.5" customHeight="1">
      <c r="A68" s="39"/>
      <c r="B68" s="50"/>
      <c r="C68" s="95">
        <f t="shared" si="19"/>
        <v>49</v>
      </c>
      <c r="D68" s="96">
        <v>1</v>
      </c>
      <c r="E68" s="194" t="str">
        <f t="shared" si="8"/>
        <v>2</v>
      </c>
      <c r="F68" s="195">
        <f t="shared" si="20"/>
        <v>45340</v>
      </c>
      <c r="G68" s="196" t="str">
        <f t="shared" si="9"/>
        <v>Sun</v>
      </c>
      <c r="H68" s="197" t="s">
        <v>157</v>
      </c>
      <c r="I68" s="198"/>
      <c r="J68" s="199">
        <v>138100</v>
      </c>
      <c r="K68" s="103"/>
      <c r="L68" s="104">
        <f t="shared" si="59"/>
        <v>85869.804123711321</v>
      </c>
      <c r="M68" s="105">
        <f t="shared" si="11"/>
        <v>52230.195876288679</v>
      </c>
      <c r="N68" s="106">
        <f t="shared" si="12"/>
        <v>1.6082486900871631</v>
      </c>
      <c r="O68" s="200"/>
      <c r="P68" s="170">
        <f t="shared" si="61"/>
        <v>1373916.8659793811</v>
      </c>
      <c r="Q68" s="104">
        <f t="shared" si="62"/>
        <v>1556900</v>
      </c>
      <c r="R68" s="108">
        <f t="shared" si="13"/>
        <v>182983.13402061886</v>
      </c>
      <c r="S68" s="106">
        <f t="shared" si="14"/>
        <v>1.133183556117263</v>
      </c>
      <c r="T68" s="133"/>
      <c r="U68" s="104">
        <f t="shared" si="23"/>
        <v>3283257.2164948452</v>
      </c>
      <c r="V68" s="104">
        <f t="shared" si="24"/>
        <v>3460600</v>
      </c>
      <c r="W68" s="108">
        <f t="shared" si="15"/>
        <v>177342.78350515477</v>
      </c>
      <c r="X68" s="106">
        <f t="shared" si="16"/>
        <v>1.0540142827111436</v>
      </c>
      <c r="Y68" s="39"/>
      <c r="Z68" s="202">
        <f t="shared" ref="Z68:AA68" si="81">Z67+1</f>
        <v>45340</v>
      </c>
      <c r="AA68" s="203">
        <f t="shared" si="81"/>
        <v>45340</v>
      </c>
      <c r="AB68" s="204">
        <v>45340</v>
      </c>
      <c r="AC68" s="205">
        <v>7</v>
      </c>
      <c r="AD68" s="116" t="s">
        <v>158</v>
      </c>
      <c r="AE68" s="117">
        <f>IFERROR(AVERAGEIFS(J202:J232,D202:D232,1,G202:G232,"sun"),0)</f>
        <v>144216.66666666666</v>
      </c>
      <c r="AF68" s="205">
        <f>IFERROR(COUNTIFS(D202:D232,1,G202:G232,"sun"),0)</f>
        <v>3</v>
      </c>
      <c r="AG68" s="117"/>
      <c r="AH68" s="117">
        <f t="shared" si="17"/>
        <v>432650</v>
      </c>
      <c r="AI68" s="206">
        <f t="shared" si="75"/>
        <v>0.18086996509270292</v>
      </c>
      <c r="AJ68" s="526"/>
      <c r="AK68" s="113"/>
      <c r="AL68" s="39"/>
      <c r="AM68" s="39"/>
      <c r="AN68" s="39"/>
    </row>
    <row r="69" spans="1:40" ht="16.5" customHeight="1">
      <c r="A69" s="39"/>
      <c r="B69" s="50"/>
      <c r="C69" s="95">
        <f t="shared" si="19"/>
        <v>50</v>
      </c>
      <c r="D69" s="96">
        <v>0</v>
      </c>
      <c r="E69" s="194" t="str">
        <f t="shared" si="8"/>
        <v>2</v>
      </c>
      <c r="F69" s="195">
        <f t="shared" si="20"/>
        <v>45341</v>
      </c>
      <c r="G69" s="196" t="str">
        <f t="shared" si="9"/>
        <v>Mon</v>
      </c>
      <c r="H69" s="197"/>
      <c r="I69" s="208"/>
      <c r="J69" s="209"/>
      <c r="K69" s="136"/>
      <c r="L69" s="104">
        <f t="shared" si="59"/>
        <v>0</v>
      </c>
      <c r="M69" s="105">
        <f t="shared" si="11"/>
        <v>0</v>
      </c>
      <c r="N69" s="106" t="str">
        <f t="shared" si="12"/>
        <v>0%</v>
      </c>
      <c r="O69" s="200"/>
      <c r="P69" s="170">
        <f t="shared" si="61"/>
        <v>0</v>
      </c>
      <c r="Q69" s="104">
        <f t="shared" si="62"/>
        <v>0</v>
      </c>
      <c r="R69" s="108">
        <f t="shared" si="13"/>
        <v>0</v>
      </c>
      <c r="S69" s="106" t="str">
        <f t="shared" si="14"/>
        <v>0%</v>
      </c>
      <c r="T69" s="133"/>
      <c r="U69" s="104">
        <f t="shared" si="23"/>
        <v>0</v>
      </c>
      <c r="V69" s="104">
        <f t="shared" si="24"/>
        <v>0</v>
      </c>
      <c r="W69" s="108">
        <f t="shared" si="15"/>
        <v>0</v>
      </c>
      <c r="X69" s="106" t="str">
        <f t="shared" si="16"/>
        <v>0%</v>
      </c>
      <c r="Y69" s="39"/>
      <c r="Z69" s="202">
        <f t="shared" ref="Z69:AA69" si="82">Z68+1</f>
        <v>45341</v>
      </c>
      <c r="AA69" s="203">
        <f t="shared" si="82"/>
        <v>45341</v>
      </c>
      <c r="AB69" s="204">
        <v>45341</v>
      </c>
      <c r="AC69" s="205">
        <v>8</v>
      </c>
      <c r="AD69" s="116" t="s">
        <v>15</v>
      </c>
      <c r="AE69" s="117">
        <f>IFERROR(AVERAGEIFS(J233:J263,D233:D263,1,G233:G263,"mon"),0)</f>
        <v>0</v>
      </c>
      <c r="AF69" s="205">
        <f>COUNTIFS(D233:D263,1,G233:G263,"Mon")</f>
        <v>0</v>
      </c>
      <c r="AG69" s="117"/>
      <c r="AH69" s="117">
        <f t="shared" si="17"/>
        <v>0</v>
      </c>
      <c r="AI69" s="206">
        <f t="shared" ref="AI69:AI75" si="83">AH69/$M$13</f>
        <v>0</v>
      </c>
      <c r="AJ69" s="524">
        <f>SUM(AI69:AI75)</f>
        <v>0.99999999999999989</v>
      </c>
      <c r="AK69" s="113" t="s">
        <v>113</v>
      </c>
      <c r="AL69" s="39"/>
      <c r="AM69" s="39"/>
      <c r="AN69" s="39"/>
    </row>
    <row r="70" spans="1:40" ht="16.5" customHeight="1">
      <c r="A70" s="39"/>
      <c r="B70" s="50"/>
      <c r="C70" s="95">
        <f t="shared" si="19"/>
        <v>51</v>
      </c>
      <c r="D70" s="96">
        <v>1</v>
      </c>
      <c r="E70" s="194" t="str">
        <f t="shared" si="8"/>
        <v>2</v>
      </c>
      <c r="F70" s="195">
        <f t="shared" si="20"/>
        <v>45342</v>
      </c>
      <c r="G70" s="196" t="str">
        <f t="shared" si="9"/>
        <v>Tue</v>
      </c>
      <c r="H70" s="197"/>
      <c r="I70" s="208"/>
      <c r="J70" s="209">
        <v>108800</v>
      </c>
      <c r="K70" s="136"/>
      <c r="L70" s="104">
        <f t="shared" si="59"/>
        <v>85869.804123711321</v>
      </c>
      <c r="M70" s="105">
        <f t="shared" si="11"/>
        <v>22930.195876288679</v>
      </c>
      <c r="N70" s="106">
        <f t="shared" si="12"/>
        <v>1.2670344495400676</v>
      </c>
      <c r="O70" s="200"/>
      <c r="P70" s="170">
        <f t="shared" si="61"/>
        <v>1459786.6701030924</v>
      </c>
      <c r="Q70" s="104">
        <f t="shared" si="62"/>
        <v>1665700</v>
      </c>
      <c r="R70" s="108">
        <f t="shared" si="13"/>
        <v>205913.32989690755</v>
      </c>
      <c r="S70" s="106">
        <f t="shared" si="14"/>
        <v>1.1410571380833103</v>
      </c>
      <c r="T70" s="133"/>
      <c r="U70" s="104">
        <f t="shared" si="23"/>
        <v>3369127.0206185565</v>
      </c>
      <c r="V70" s="104">
        <f t="shared" si="24"/>
        <v>3569400</v>
      </c>
      <c r="W70" s="108">
        <f t="shared" si="15"/>
        <v>200272.97938144347</v>
      </c>
      <c r="X70" s="106">
        <f t="shared" si="16"/>
        <v>1.0594435823154789</v>
      </c>
      <c r="Y70" s="39"/>
      <c r="Z70" s="202">
        <f t="shared" ref="Z70:AA70" si="84">Z69+1</f>
        <v>45342</v>
      </c>
      <c r="AA70" s="203">
        <f t="shared" si="84"/>
        <v>45342</v>
      </c>
      <c r="AB70" s="204">
        <v>45342</v>
      </c>
      <c r="AC70" s="205">
        <v>8</v>
      </c>
      <c r="AD70" s="116" t="s">
        <v>151</v>
      </c>
      <c r="AE70" s="117">
        <f>AVERAGEIFS(J233:J263,D233:D263,1,G233:G263,"tue")</f>
        <v>66726.666666666672</v>
      </c>
      <c r="AF70" s="205">
        <f>COUNTIFS(D233:D263,1,G233:G263,"tue")</f>
        <v>3</v>
      </c>
      <c r="AG70" s="117"/>
      <c r="AH70" s="117">
        <f t="shared" si="17"/>
        <v>200180</v>
      </c>
      <c r="AI70" s="206">
        <f t="shared" si="83"/>
        <v>9.6961536039679733E-2</v>
      </c>
      <c r="AJ70" s="525"/>
      <c r="AK70" s="113"/>
      <c r="AL70" s="39"/>
      <c r="AM70" s="39"/>
      <c r="AN70" s="39"/>
    </row>
    <row r="71" spans="1:40" ht="16.5" customHeight="1">
      <c r="A71" s="39"/>
      <c r="B71" s="50"/>
      <c r="C71" s="95">
        <f t="shared" si="19"/>
        <v>52</v>
      </c>
      <c r="D71" s="96">
        <v>1</v>
      </c>
      <c r="E71" s="194" t="str">
        <f t="shared" si="8"/>
        <v>2</v>
      </c>
      <c r="F71" s="195">
        <f t="shared" si="20"/>
        <v>45343</v>
      </c>
      <c r="G71" s="196" t="str">
        <f t="shared" si="9"/>
        <v>Wed</v>
      </c>
      <c r="H71" s="197"/>
      <c r="I71" s="208"/>
      <c r="J71" s="209">
        <v>63950</v>
      </c>
      <c r="K71" s="136"/>
      <c r="L71" s="104">
        <f t="shared" si="59"/>
        <v>85869.804123711321</v>
      </c>
      <c r="M71" s="105">
        <f t="shared" si="11"/>
        <v>-21919.804123711321</v>
      </c>
      <c r="N71" s="106">
        <f t="shared" si="12"/>
        <v>0.74473210522139088</v>
      </c>
      <c r="O71" s="200"/>
      <c r="P71" s="170">
        <f t="shared" si="61"/>
        <v>1545656.4742268038</v>
      </c>
      <c r="Q71" s="104">
        <f t="shared" si="62"/>
        <v>1729650</v>
      </c>
      <c r="R71" s="108">
        <f t="shared" si="13"/>
        <v>183993.52577319625</v>
      </c>
      <c r="S71" s="106">
        <f t="shared" si="14"/>
        <v>1.1190390807020925</v>
      </c>
      <c r="T71" s="133"/>
      <c r="U71" s="104">
        <f t="shared" si="23"/>
        <v>3454996.8247422678</v>
      </c>
      <c r="V71" s="104">
        <f t="shared" si="24"/>
        <v>3633350</v>
      </c>
      <c r="W71" s="108">
        <f t="shared" si="15"/>
        <v>178353.17525773216</v>
      </c>
      <c r="X71" s="106">
        <f t="shared" si="16"/>
        <v>1.0516218058379943</v>
      </c>
      <c r="Y71" s="39"/>
      <c r="Z71" s="202">
        <f t="shared" ref="Z71:AA71" si="85">Z70+1</f>
        <v>45343</v>
      </c>
      <c r="AA71" s="203">
        <f t="shared" si="85"/>
        <v>45343</v>
      </c>
      <c r="AB71" s="204">
        <v>45343</v>
      </c>
      <c r="AC71" s="205">
        <v>8</v>
      </c>
      <c r="AD71" s="116" t="s">
        <v>152</v>
      </c>
      <c r="AE71" s="117">
        <f>AVERAGEIFS(J233:J263,D233:D263,1,G233:G263,"wed")</f>
        <v>96283.333333333328</v>
      </c>
      <c r="AF71" s="205">
        <f>COUNTIFS(D233:D263,1,G233:G263,"wed")</f>
        <v>3</v>
      </c>
      <c r="AG71" s="117"/>
      <c r="AH71" s="117">
        <f t="shared" si="17"/>
        <v>288850</v>
      </c>
      <c r="AI71" s="206">
        <f t="shared" si="83"/>
        <v>0.13991077872445545</v>
      </c>
      <c r="AJ71" s="525"/>
      <c r="AK71" s="113"/>
      <c r="AL71" s="39"/>
      <c r="AM71" s="39"/>
      <c r="AN71" s="39"/>
    </row>
    <row r="72" spans="1:40" ht="16.5" customHeight="1">
      <c r="A72" s="39"/>
      <c r="B72" s="50"/>
      <c r="C72" s="95">
        <f t="shared" si="19"/>
        <v>53</v>
      </c>
      <c r="D72" s="96">
        <v>1</v>
      </c>
      <c r="E72" s="194" t="str">
        <f t="shared" si="8"/>
        <v>2</v>
      </c>
      <c r="F72" s="195">
        <f t="shared" si="20"/>
        <v>45344</v>
      </c>
      <c r="G72" s="196" t="str">
        <f t="shared" si="9"/>
        <v>Thu</v>
      </c>
      <c r="H72" s="197"/>
      <c r="I72" s="208"/>
      <c r="J72" s="209">
        <v>139800</v>
      </c>
      <c r="K72" s="136"/>
      <c r="L72" s="104">
        <f t="shared" si="59"/>
        <v>85869.804123711321</v>
      </c>
      <c r="M72" s="105">
        <f t="shared" si="11"/>
        <v>53930.195876288679</v>
      </c>
      <c r="N72" s="106">
        <f t="shared" si="12"/>
        <v>1.6280461033612266</v>
      </c>
      <c r="O72" s="200"/>
      <c r="P72" s="170">
        <f t="shared" si="61"/>
        <v>1631526.2783505151</v>
      </c>
      <c r="Q72" s="104">
        <f t="shared" si="62"/>
        <v>1869450</v>
      </c>
      <c r="R72" s="108">
        <f t="shared" si="13"/>
        <v>237923.72164948494</v>
      </c>
      <c r="S72" s="106">
        <f t="shared" si="14"/>
        <v>1.1458289239999417</v>
      </c>
      <c r="T72" s="133"/>
      <c r="U72" s="104">
        <f t="shared" si="23"/>
        <v>3540866.6288659791</v>
      </c>
      <c r="V72" s="104">
        <f t="shared" si="24"/>
        <v>3773150</v>
      </c>
      <c r="W72" s="108">
        <f t="shared" si="15"/>
        <v>232283.37113402085</v>
      </c>
      <c r="X72" s="106">
        <f t="shared" si="16"/>
        <v>1.0656007117693709</v>
      </c>
      <c r="Y72" s="39"/>
      <c r="Z72" s="202">
        <f t="shared" ref="Z72:AA72" si="86">Z71+1</f>
        <v>45344</v>
      </c>
      <c r="AA72" s="203">
        <f t="shared" si="86"/>
        <v>45344</v>
      </c>
      <c r="AB72" s="204">
        <v>45344</v>
      </c>
      <c r="AC72" s="205">
        <v>8</v>
      </c>
      <c r="AD72" s="116" t="s">
        <v>154</v>
      </c>
      <c r="AE72" s="117">
        <f>AVERAGEIFS(J233:J263,D233:D263,1,G233:G263,"thu")</f>
        <v>89637.5</v>
      </c>
      <c r="AF72" s="205">
        <f>COUNTIFS(D233:D263,1,G233:G263,"thu")</f>
        <v>4</v>
      </c>
      <c r="AG72" s="117"/>
      <c r="AH72" s="117">
        <f t="shared" si="17"/>
        <v>358550</v>
      </c>
      <c r="AI72" s="206">
        <f t="shared" si="83"/>
        <v>0.17367148939468063</v>
      </c>
      <c r="AJ72" s="525"/>
      <c r="AK72" s="113"/>
      <c r="AL72" s="39"/>
      <c r="AM72" s="39"/>
      <c r="AN72" s="39"/>
    </row>
    <row r="73" spans="1:40" ht="16.5" customHeight="1">
      <c r="A73" s="39"/>
      <c r="B73" s="50"/>
      <c r="C73" s="95">
        <f t="shared" si="19"/>
        <v>54</v>
      </c>
      <c r="D73" s="96">
        <v>1</v>
      </c>
      <c r="E73" s="194" t="str">
        <f t="shared" si="8"/>
        <v>2</v>
      </c>
      <c r="F73" s="195">
        <f t="shared" si="20"/>
        <v>45345</v>
      </c>
      <c r="G73" s="196" t="str">
        <f t="shared" si="9"/>
        <v>Fri</v>
      </c>
      <c r="H73" s="197" t="s">
        <v>153</v>
      </c>
      <c r="I73" s="198"/>
      <c r="J73" s="199">
        <v>91400</v>
      </c>
      <c r="K73" s="103"/>
      <c r="L73" s="104">
        <f t="shared" si="59"/>
        <v>85869.804123711321</v>
      </c>
      <c r="M73" s="105">
        <f t="shared" si="11"/>
        <v>5530.1958762886788</v>
      </c>
      <c r="N73" s="106">
        <f t="shared" si="12"/>
        <v>1.0644021019114172</v>
      </c>
      <c r="O73" s="200"/>
      <c r="P73" s="170">
        <f t="shared" si="61"/>
        <v>1717396.0824742264</v>
      </c>
      <c r="Q73" s="104">
        <f t="shared" si="62"/>
        <v>1960850</v>
      </c>
      <c r="R73" s="108">
        <f t="shared" si="13"/>
        <v>243453.91752577364</v>
      </c>
      <c r="S73" s="106">
        <f t="shared" si="14"/>
        <v>1.1417575828955155</v>
      </c>
      <c r="T73" s="134"/>
      <c r="U73" s="104">
        <f t="shared" si="23"/>
        <v>3626736.4329896905</v>
      </c>
      <c r="V73" s="104">
        <f t="shared" si="24"/>
        <v>3864550</v>
      </c>
      <c r="W73" s="108">
        <f t="shared" si="15"/>
        <v>237813.56701030955</v>
      </c>
      <c r="X73" s="106">
        <f t="shared" si="16"/>
        <v>1.0655723324273301</v>
      </c>
      <c r="Y73" s="39"/>
      <c r="Z73" s="202">
        <f t="shared" ref="Z73:AA73" si="87">Z72+1</f>
        <v>45345</v>
      </c>
      <c r="AA73" s="203">
        <f t="shared" si="87"/>
        <v>45345</v>
      </c>
      <c r="AB73" s="204">
        <v>45345</v>
      </c>
      <c r="AC73" s="205">
        <v>8</v>
      </c>
      <c r="AD73" s="116" t="s">
        <v>155</v>
      </c>
      <c r="AE73" s="117">
        <f>AVERAGEIFS(J233:J263,D233:D263,1,G233:G263,"fri")</f>
        <v>144825</v>
      </c>
      <c r="AF73" s="205">
        <f>COUNTIFS(D233:D263,1,G233:G263,"fri")</f>
        <v>4</v>
      </c>
      <c r="AG73" s="117"/>
      <c r="AH73" s="117">
        <f t="shared" si="17"/>
        <v>579300</v>
      </c>
      <c r="AI73" s="206">
        <f t="shared" si="83"/>
        <v>0.2805965522419146</v>
      </c>
      <c r="AJ73" s="525"/>
      <c r="AK73" s="113"/>
      <c r="AL73" s="39"/>
      <c r="AM73" s="39"/>
      <c r="AN73" s="39"/>
    </row>
    <row r="74" spans="1:40" ht="16.5" customHeight="1">
      <c r="A74" s="39"/>
      <c r="B74" s="50"/>
      <c r="C74" s="95">
        <f t="shared" si="19"/>
        <v>55</v>
      </c>
      <c r="D74" s="96">
        <v>1</v>
      </c>
      <c r="E74" s="194" t="str">
        <f t="shared" si="8"/>
        <v>2</v>
      </c>
      <c r="F74" s="195">
        <f t="shared" si="20"/>
        <v>45346</v>
      </c>
      <c r="G74" s="196" t="str">
        <f t="shared" si="9"/>
        <v>Sat</v>
      </c>
      <c r="H74" s="197"/>
      <c r="I74" s="208"/>
      <c r="J74" s="209">
        <v>73450</v>
      </c>
      <c r="K74" s="136"/>
      <c r="L74" s="104">
        <f t="shared" si="59"/>
        <v>85869.804123711321</v>
      </c>
      <c r="M74" s="105">
        <f t="shared" si="11"/>
        <v>-12419.804123711321</v>
      </c>
      <c r="N74" s="106">
        <f t="shared" si="12"/>
        <v>0.85536470881174598</v>
      </c>
      <c r="O74" s="200"/>
      <c r="P74" s="170">
        <f t="shared" si="61"/>
        <v>1803265.8865979377</v>
      </c>
      <c r="Q74" s="104">
        <f t="shared" si="62"/>
        <v>2034300</v>
      </c>
      <c r="R74" s="108">
        <f t="shared" si="13"/>
        <v>231034.11340206233</v>
      </c>
      <c r="S74" s="106">
        <f t="shared" si="14"/>
        <v>1.1281198269867645</v>
      </c>
      <c r="T74" s="134"/>
      <c r="U74" s="104">
        <f t="shared" si="23"/>
        <v>3712606.2371134018</v>
      </c>
      <c r="V74" s="104">
        <f t="shared" si="24"/>
        <v>3938000</v>
      </c>
      <c r="W74" s="108">
        <f t="shared" si="15"/>
        <v>225393.76288659824</v>
      </c>
      <c r="X74" s="106">
        <f t="shared" si="16"/>
        <v>1.0607103873913235</v>
      </c>
      <c r="Y74" s="39"/>
      <c r="Z74" s="202">
        <f t="shared" ref="Z74:AA74" si="88">Z73+1</f>
        <v>45346</v>
      </c>
      <c r="AA74" s="203">
        <f t="shared" si="88"/>
        <v>45346</v>
      </c>
      <c r="AB74" s="204">
        <v>45346</v>
      </c>
      <c r="AC74" s="205">
        <v>8</v>
      </c>
      <c r="AD74" s="116" t="s">
        <v>156</v>
      </c>
      <c r="AE74" s="117">
        <f>AVERAGEIFS(J233:J263,D233:D263,1,G233:G263,"sat")</f>
        <v>68750</v>
      </c>
      <c r="AF74" s="205">
        <f>COUNTIFS(D233:D263,1,G233:G263,"sat")</f>
        <v>4</v>
      </c>
      <c r="AG74" s="117"/>
      <c r="AH74" s="117">
        <f t="shared" si="17"/>
        <v>275000</v>
      </c>
      <c r="AI74" s="206">
        <f t="shared" si="83"/>
        <v>0.13320223004751686</v>
      </c>
      <c r="AJ74" s="525"/>
      <c r="AK74" s="113"/>
      <c r="AL74" s="39"/>
      <c r="AM74" s="39"/>
      <c r="AN74" s="39"/>
    </row>
    <row r="75" spans="1:40" ht="16.5" customHeight="1">
      <c r="A75" s="39"/>
      <c r="B75" s="50"/>
      <c r="C75" s="95">
        <f t="shared" si="19"/>
        <v>56</v>
      </c>
      <c r="D75" s="96">
        <v>1</v>
      </c>
      <c r="E75" s="194" t="str">
        <f t="shared" si="8"/>
        <v>2</v>
      </c>
      <c r="F75" s="195">
        <f t="shared" si="20"/>
        <v>45347</v>
      </c>
      <c r="G75" s="196" t="str">
        <f t="shared" si="9"/>
        <v>Sun</v>
      </c>
      <c r="H75" s="197" t="s">
        <v>157</v>
      </c>
      <c r="I75" s="198"/>
      <c r="J75" s="199">
        <v>40300</v>
      </c>
      <c r="K75" s="103"/>
      <c r="L75" s="104">
        <f t="shared" si="59"/>
        <v>85869.804123711321</v>
      </c>
      <c r="M75" s="105">
        <f t="shared" si="11"/>
        <v>-45569.804123711321</v>
      </c>
      <c r="N75" s="106">
        <f t="shared" si="12"/>
        <v>0.46931514996750667</v>
      </c>
      <c r="O75" s="200"/>
      <c r="P75" s="170">
        <f t="shared" si="61"/>
        <v>1889135.690721649</v>
      </c>
      <c r="Q75" s="104">
        <f t="shared" si="62"/>
        <v>2074600</v>
      </c>
      <c r="R75" s="108">
        <f t="shared" si="13"/>
        <v>185464.30927835102</v>
      </c>
      <c r="S75" s="106">
        <f t="shared" si="14"/>
        <v>1.0981741598495256</v>
      </c>
      <c r="T75" s="133"/>
      <c r="U75" s="104">
        <f t="shared" si="23"/>
        <v>3798476.0412371131</v>
      </c>
      <c r="V75" s="104">
        <f t="shared" si="24"/>
        <v>3978300</v>
      </c>
      <c r="W75" s="108">
        <f t="shared" si="15"/>
        <v>179823.95876288693</v>
      </c>
      <c r="X75" s="106">
        <f t="shared" si="16"/>
        <v>1.0473410801623275</v>
      </c>
      <c r="Y75" s="39"/>
      <c r="Z75" s="202">
        <f t="shared" ref="Z75:AA75" si="89">Z74+1</f>
        <v>45347</v>
      </c>
      <c r="AA75" s="203">
        <f t="shared" si="89"/>
        <v>45347</v>
      </c>
      <c r="AB75" s="204">
        <v>45347</v>
      </c>
      <c r="AC75" s="205">
        <v>8</v>
      </c>
      <c r="AD75" s="116" t="s">
        <v>158</v>
      </c>
      <c r="AE75" s="117">
        <f>IFERROR(AVERAGEIFS(J233:J263,D233:D263,1,G233:G263,"sun"),0)</f>
        <v>90662.5</v>
      </c>
      <c r="AF75" s="205">
        <f>IFERROR(COUNTIFS(D233:D263,1,G233:G263,"sun"),0)</f>
        <v>4</v>
      </c>
      <c r="AG75" s="117"/>
      <c r="AH75" s="117">
        <f t="shared" si="17"/>
        <v>362650</v>
      </c>
      <c r="AI75" s="206">
        <f t="shared" si="83"/>
        <v>0.17565741355175271</v>
      </c>
      <c r="AJ75" s="526"/>
      <c r="AK75" s="113"/>
      <c r="AL75" s="39"/>
      <c r="AM75" s="39"/>
      <c r="AN75" s="39"/>
    </row>
    <row r="76" spans="1:40" ht="16.5" customHeight="1">
      <c r="A76" s="39"/>
      <c r="B76" s="50"/>
      <c r="C76" s="95">
        <f t="shared" si="19"/>
        <v>57</v>
      </c>
      <c r="D76" s="96">
        <v>0</v>
      </c>
      <c r="E76" s="194" t="str">
        <f t="shared" si="8"/>
        <v>2</v>
      </c>
      <c r="F76" s="195">
        <f t="shared" si="20"/>
        <v>45348</v>
      </c>
      <c r="G76" s="196" t="str">
        <f t="shared" si="9"/>
        <v>Mon</v>
      </c>
      <c r="H76" s="197"/>
      <c r="I76" s="208"/>
      <c r="J76" s="209"/>
      <c r="K76" s="136"/>
      <c r="L76" s="104">
        <f t="shared" si="59"/>
        <v>0</v>
      </c>
      <c r="M76" s="105">
        <f t="shared" si="11"/>
        <v>0</v>
      </c>
      <c r="N76" s="106" t="str">
        <f t="shared" si="12"/>
        <v>0%</v>
      </c>
      <c r="O76" s="200"/>
      <c r="P76" s="170">
        <f t="shared" si="61"/>
        <v>0</v>
      </c>
      <c r="Q76" s="104">
        <f t="shared" si="62"/>
        <v>0</v>
      </c>
      <c r="R76" s="108">
        <f t="shared" si="13"/>
        <v>0</v>
      </c>
      <c r="S76" s="106" t="str">
        <f t="shared" si="14"/>
        <v>0%</v>
      </c>
      <c r="T76" s="133"/>
      <c r="U76" s="104">
        <f t="shared" si="23"/>
        <v>0</v>
      </c>
      <c r="V76" s="104">
        <f t="shared" si="24"/>
        <v>0</v>
      </c>
      <c r="W76" s="108">
        <f t="shared" si="15"/>
        <v>0</v>
      </c>
      <c r="X76" s="106" t="str">
        <f t="shared" si="16"/>
        <v>0%</v>
      </c>
      <c r="Y76" s="39"/>
      <c r="Z76" s="202">
        <f t="shared" ref="Z76:AA76" si="90">Z75+1</f>
        <v>45348</v>
      </c>
      <c r="AA76" s="203">
        <f t="shared" si="90"/>
        <v>45348</v>
      </c>
      <c r="AB76" s="204">
        <v>45348</v>
      </c>
      <c r="AC76" s="205">
        <v>9</v>
      </c>
      <c r="AD76" s="116" t="s">
        <v>15</v>
      </c>
      <c r="AE76" s="117">
        <f>IFERROR(AVERAGEIFS(J264:J293,D264:D293,1,G264:G293,"mon"),0)</f>
        <v>0</v>
      </c>
      <c r="AF76" s="205">
        <f>COUNTIFS(D264:D293,1,G264:G293,"Mon")</f>
        <v>0</v>
      </c>
      <c r="AG76" s="117"/>
      <c r="AH76" s="117">
        <f t="shared" si="17"/>
        <v>0</v>
      </c>
      <c r="AI76" s="206">
        <f t="shared" ref="AI76:AI82" si="91">AH76/$M$14</f>
        <v>0</v>
      </c>
      <c r="AJ76" s="524">
        <f>SUM(AI76:AI82)</f>
        <v>1</v>
      </c>
      <c r="AK76" s="113" t="s">
        <v>115</v>
      </c>
      <c r="AL76" s="39"/>
      <c r="AM76" s="39"/>
      <c r="AN76" s="39"/>
    </row>
    <row r="77" spans="1:40" ht="16.5" customHeight="1">
      <c r="A77" s="39"/>
      <c r="B77" s="50"/>
      <c r="C77" s="95">
        <f t="shared" si="19"/>
        <v>58</v>
      </c>
      <c r="D77" s="96">
        <v>1</v>
      </c>
      <c r="E77" s="194" t="str">
        <f t="shared" si="8"/>
        <v>2</v>
      </c>
      <c r="F77" s="195">
        <f t="shared" si="20"/>
        <v>45349</v>
      </c>
      <c r="G77" s="196" t="str">
        <f t="shared" si="9"/>
        <v>Tue</v>
      </c>
      <c r="H77" s="197"/>
      <c r="I77" s="208"/>
      <c r="J77" s="209">
        <v>66200</v>
      </c>
      <c r="K77" s="136"/>
      <c r="L77" s="104">
        <f t="shared" si="59"/>
        <v>85869.804123711321</v>
      </c>
      <c r="M77" s="105">
        <f t="shared" si="11"/>
        <v>-19669.804123711321</v>
      </c>
      <c r="N77" s="106">
        <f t="shared" si="12"/>
        <v>0.77093456396647497</v>
      </c>
      <c r="O77" s="200"/>
      <c r="P77" s="170">
        <f t="shared" si="61"/>
        <v>1975005.4948453603</v>
      </c>
      <c r="Q77" s="104">
        <f t="shared" si="62"/>
        <v>2140800</v>
      </c>
      <c r="R77" s="108">
        <f t="shared" si="13"/>
        <v>165794.50515463972</v>
      </c>
      <c r="S77" s="106">
        <f t="shared" si="14"/>
        <v>1.0839463513328711</v>
      </c>
      <c r="T77" s="133"/>
      <c r="U77" s="104">
        <f t="shared" si="23"/>
        <v>3884345.8453608244</v>
      </c>
      <c r="V77" s="104">
        <f t="shared" si="24"/>
        <v>4044500</v>
      </c>
      <c r="W77" s="108">
        <f t="shared" si="15"/>
        <v>160154.15463917563</v>
      </c>
      <c r="X77" s="106">
        <f t="shared" si="16"/>
        <v>1.0412306630292594</v>
      </c>
      <c r="Y77" s="39"/>
      <c r="Z77" s="202">
        <f t="shared" ref="Z77:AA77" si="92">Z76+1</f>
        <v>45349</v>
      </c>
      <c r="AA77" s="203">
        <f t="shared" si="92"/>
        <v>45349</v>
      </c>
      <c r="AB77" s="204">
        <v>45349</v>
      </c>
      <c r="AC77" s="205">
        <v>9</v>
      </c>
      <c r="AD77" s="116" t="s">
        <v>151</v>
      </c>
      <c r="AE77" s="117">
        <f>AVERAGEIFS(J264:J293,D264:D293,1,G264:G293,"tue")</f>
        <v>81987.5</v>
      </c>
      <c r="AF77" s="205">
        <f>COUNTIFS(D264:D293,1,G264:G293,"tue")</f>
        <v>4</v>
      </c>
      <c r="AG77" s="117"/>
      <c r="AH77" s="117">
        <f t="shared" si="17"/>
        <v>327950</v>
      </c>
      <c r="AI77" s="206">
        <f t="shared" si="91"/>
        <v>0.14137908736231758</v>
      </c>
      <c r="AJ77" s="525"/>
      <c r="AK77" s="113"/>
      <c r="AL77" s="39"/>
      <c r="AM77" s="39"/>
      <c r="AN77" s="39"/>
    </row>
    <row r="78" spans="1:40" ht="16.5" customHeight="1">
      <c r="A78" s="39"/>
      <c r="B78" s="50"/>
      <c r="C78" s="95">
        <f t="shared" si="19"/>
        <v>59</v>
      </c>
      <c r="D78" s="217">
        <v>1</v>
      </c>
      <c r="E78" s="194" t="str">
        <f t="shared" si="8"/>
        <v>2</v>
      </c>
      <c r="F78" s="195">
        <f t="shared" si="20"/>
        <v>45350</v>
      </c>
      <c r="G78" s="196" t="str">
        <f t="shared" si="9"/>
        <v>Wed</v>
      </c>
      <c r="H78" s="197"/>
      <c r="I78" s="208"/>
      <c r="J78" s="209">
        <v>69550</v>
      </c>
      <c r="K78" s="136"/>
      <c r="L78" s="104">
        <f t="shared" si="59"/>
        <v>85869.804123711321</v>
      </c>
      <c r="M78" s="105">
        <f t="shared" si="11"/>
        <v>-16319.804123711321</v>
      </c>
      <c r="N78" s="106">
        <f t="shared" si="12"/>
        <v>0.80994711365360017</v>
      </c>
      <c r="O78" s="200"/>
      <c r="P78" s="170">
        <f t="shared" si="61"/>
        <v>2060875.2989690716</v>
      </c>
      <c r="Q78" s="104">
        <f t="shared" si="62"/>
        <v>2210350</v>
      </c>
      <c r="R78" s="108">
        <f t="shared" si="13"/>
        <v>149474.70103092841</v>
      </c>
      <c r="S78" s="106">
        <f t="shared" si="14"/>
        <v>1.0725297164295682</v>
      </c>
      <c r="T78" s="133"/>
      <c r="U78" s="104">
        <f t="shared" si="23"/>
        <v>3970215.6494845357</v>
      </c>
      <c r="V78" s="104">
        <f t="shared" si="24"/>
        <v>4114050</v>
      </c>
      <c r="W78" s="108">
        <f t="shared" si="15"/>
        <v>143834.35051546432</v>
      </c>
      <c r="X78" s="106">
        <f t="shared" si="16"/>
        <v>1.0362283470758418</v>
      </c>
      <c r="Y78" s="39"/>
      <c r="Z78" s="202">
        <f t="shared" ref="Z78:AA78" si="93">Z77+1</f>
        <v>45350</v>
      </c>
      <c r="AA78" s="203">
        <f t="shared" si="93"/>
        <v>45350</v>
      </c>
      <c r="AB78" s="204">
        <v>45350</v>
      </c>
      <c r="AC78" s="205">
        <v>9</v>
      </c>
      <c r="AD78" s="116" t="s">
        <v>152</v>
      </c>
      <c r="AE78" s="117">
        <f>AVERAGEIFS(J264:J293,D264:D293,1,G264:G293,"wed")</f>
        <v>86775</v>
      </c>
      <c r="AF78" s="205">
        <f>COUNTIFS(D264:D293,1,G264:G293,"wed")</f>
        <v>4</v>
      </c>
      <c r="AG78" s="117"/>
      <c r="AH78" s="117">
        <f t="shared" si="17"/>
        <v>347100</v>
      </c>
      <c r="AI78" s="206">
        <f t="shared" si="91"/>
        <v>0.14963464315737288</v>
      </c>
      <c r="AJ78" s="525"/>
      <c r="AK78" s="113"/>
      <c r="AL78" s="39"/>
      <c r="AM78" s="39"/>
      <c r="AN78" s="39"/>
    </row>
    <row r="79" spans="1:40" ht="16.5" customHeight="1">
      <c r="A79" s="39"/>
      <c r="B79" s="50"/>
      <c r="C79" s="160">
        <f t="shared" si="19"/>
        <v>60</v>
      </c>
      <c r="D79" s="138">
        <v>1</v>
      </c>
      <c r="E79" s="210" t="str">
        <f t="shared" si="8"/>
        <v>2</v>
      </c>
      <c r="F79" s="211">
        <f t="shared" si="20"/>
        <v>45351</v>
      </c>
      <c r="G79" s="212" t="str">
        <f t="shared" si="9"/>
        <v>Thu</v>
      </c>
      <c r="H79" s="213"/>
      <c r="I79" s="214"/>
      <c r="J79" s="215">
        <v>42000</v>
      </c>
      <c r="K79" s="136"/>
      <c r="L79" s="165">
        <f t="shared" si="59"/>
        <v>85869.804123711321</v>
      </c>
      <c r="M79" s="147">
        <f t="shared" si="11"/>
        <v>-43869.804123711321</v>
      </c>
      <c r="N79" s="161">
        <f t="shared" si="12"/>
        <v>0.48911256324157021</v>
      </c>
      <c r="O79" s="216"/>
      <c r="P79" s="150">
        <f t="shared" si="61"/>
        <v>2146745.1030927831</v>
      </c>
      <c r="Q79" s="165">
        <f t="shared" si="62"/>
        <v>2252350</v>
      </c>
      <c r="R79" s="167">
        <f t="shared" si="13"/>
        <v>105604.89690721687</v>
      </c>
      <c r="S79" s="161">
        <f t="shared" si="14"/>
        <v>1.0491930303020482</v>
      </c>
      <c r="T79" s="149"/>
      <c r="U79" s="165">
        <f t="shared" si="23"/>
        <v>4056085.453608247</v>
      </c>
      <c r="V79" s="165">
        <f t="shared" si="24"/>
        <v>4156050</v>
      </c>
      <c r="W79" s="167">
        <f t="shared" si="15"/>
        <v>99964.546391753014</v>
      </c>
      <c r="X79" s="161">
        <f t="shared" si="16"/>
        <v>1.0246455720756145</v>
      </c>
      <c r="Y79" s="39"/>
      <c r="Z79" s="202">
        <f t="shared" ref="Z79:AA79" si="94">Z78+1</f>
        <v>45351</v>
      </c>
      <c r="AA79" s="203">
        <f t="shared" si="94"/>
        <v>45351</v>
      </c>
      <c r="AB79" s="204">
        <v>45351</v>
      </c>
      <c r="AC79" s="205">
        <v>9</v>
      </c>
      <c r="AD79" s="116" t="s">
        <v>154</v>
      </c>
      <c r="AE79" s="117">
        <f>AVERAGEIFS(J264:J293,D264:D293,1,G264:G293,"thu")</f>
        <v>103725</v>
      </c>
      <c r="AF79" s="205">
        <f>COUNTIFS(D264:D293,1,G264:G293,"thu")</f>
        <v>4</v>
      </c>
      <c r="AG79" s="117"/>
      <c r="AH79" s="117">
        <f t="shared" si="17"/>
        <v>414900</v>
      </c>
      <c r="AI79" s="206">
        <f t="shared" si="91"/>
        <v>0.17886319056754252</v>
      </c>
      <c r="AJ79" s="525"/>
      <c r="AK79" s="113"/>
      <c r="AL79" s="39"/>
      <c r="AM79" s="39"/>
      <c r="AN79" s="39"/>
    </row>
    <row r="80" spans="1:40" ht="16.5" customHeight="1">
      <c r="A80" s="39"/>
      <c r="B80" s="50"/>
      <c r="C80" s="95">
        <f t="shared" si="19"/>
        <v>61</v>
      </c>
      <c r="D80" s="155">
        <v>1</v>
      </c>
      <c r="E80" s="194" t="str">
        <f t="shared" si="8"/>
        <v>3</v>
      </c>
      <c r="F80" s="195">
        <f t="shared" si="20"/>
        <v>45352</v>
      </c>
      <c r="G80" s="196" t="str">
        <f t="shared" si="9"/>
        <v>Fri</v>
      </c>
      <c r="H80" s="197"/>
      <c r="I80" s="208"/>
      <c r="J80" s="209">
        <v>108350</v>
      </c>
      <c r="K80" s="136"/>
      <c r="L80" s="104">
        <f t="shared" ref="L80:L110" si="95">IF(D80=0,0,$K$8)</f>
        <v>101023.29896907216</v>
      </c>
      <c r="M80" s="108">
        <f t="shared" si="11"/>
        <v>7326.7010309278412</v>
      </c>
      <c r="N80" s="156">
        <f t="shared" si="12"/>
        <v>1.072524864122393</v>
      </c>
      <c r="O80" s="200"/>
      <c r="P80" s="111">
        <f>IF(D80=0,0,$L$80)</f>
        <v>101023.29896907216</v>
      </c>
      <c r="Q80" s="104">
        <f>IF(D80=0,0,$J$80)</f>
        <v>108350</v>
      </c>
      <c r="R80" s="108">
        <f t="shared" si="13"/>
        <v>7326.7010309278412</v>
      </c>
      <c r="S80" s="156">
        <f t="shared" si="14"/>
        <v>1.072524864122393</v>
      </c>
      <c r="T80" s="133"/>
      <c r="U80" s="104">
        <f t="shared" si="23"/>
        <v>4157108.7525773193</v>
      </c>
      <c r="V80" s="104">
        <f t="shared" si="24"/>
        <v>4264400</v>
      </c>
      <c r="W80" s="108">
        <f t="shared" si="15"/>
        <v>107291.24742268072</v>
      </c>
      <c r="X80" s="156">
        <f t="shared" si="16"/>
        <v>1.0258091028665446</v>
      </c>
      <c r="Y80" s="39"/>
      <c r="Z80" s="202">
        <f t="shared" ref="Z80:AA80" si="96">Z79+1</f>
        <v>45352</v>
      </c>
      <c r="AA80" s="203">
        <f t="shared" si="96"/>
        <v>45352</v>
      </c>
      <c r="AB80" s="204">
        <v>45352</v>
      </c>
      <c r="AC80" s="205">
        <v>9</v>
      </c>
      <c r="AD80" s="116" t="s">
        <v>155</v>
      </c>
      <c r="AE80" s="117">
        <f>AVERAGEIFS(J264:J293,D264:D293,1,G264:G293,"fri")</f>
        <v>168625</v>
      </c>
      <c r="AF80" s="205">
        <f>COUNTIFS(D264:D293,1,G264:G293,"fri")</f>
        <v>4</v>
      </c>
      <c r="AG80" s="117"/>
      <c r="AH80" s="117">
        <f t="shared" si="17"/>
        <v>674500</v>
      </c>
      <c r="AI80" s="206">
        <f t="shared" si="91"/>
        <v>0.29077662578406227</v>
      </c>
      <c r="AJ80" s="525"/>
      <c r="AK80" s="113"/>
      <c r="AL80" s="39"/>
      <c r="AM80" s="39"/>
      <c r="AN80" s="39"/>
    </row>
    <row r="81" spans="1:40" ht="16.5" customHeight="1">
      <c r="A81" s="39"/>
      <c r="B81" s="50"/>
      <c r="C81" s="95">
        <f t="shared" si="19"/>
        <v>62</v>
      </c>
      <c r="D81" s="96">
        <v>1</v>
      </c>
      <c r="E81" s="194" t="str">
        <f t="shared" si="8"/>
        <v>3</v>
      </c>
      <c r="F81" s="195">
        <f t="shared" si="20"/>
        <v>45353</v>
      </c>
      <c r="G81" s="196" t="str">
        <f t="shared" si="9"/>
        <v>Sat</v>
      </c>
      <c r="H81" s="197"/>
      <c r="I81" s="208"/>
      <c r="J81" s="209">
        <v>92250</v>
      </c>
      <c r="K81" s="136"/>
      <c r="L81" s="104">
        <f t="shared" si="95"/>
        <v>101023.29896907216</v>
      </c>
      <c r="M81" s="105">
        <f t="shared" si="11"/>
        <v>-8773.2989690721588</v>
      </c>
      <c r="N81" s="106">
        <f t="shared" si="12"/>
        <v>0.91315568726618135</v>
      </c>
      <c r="O81" s="200"/>
      <c r="P81" s="170">
        <f t="shared" ref="P81:P110" si="97">IF(D81=0,0,SUM($L$80:L81))</f>
        <v>202046.59793814432</v>
      </c>
      <c r="Q81" s="104">
        <f t="shared" ref="Q81:Q110" si="98">IF(D81=0,0,SUM($J$80:J81))</f>
        <v>200600</v>
      </c>
      <c r="R81" s="108">
        <f t="shared" si="13"/>
        <v>-1446.5979381443176</v>
      </c>
      <c r="S81" s="106">
        <f t="shared" si="14"/>
        <v>0.99284027569428723</v>
      </c>
      <c r="T81" s="134"/>
      <c r="U81" s="104">
        <f t="shared" si="23"/>
        <v>4258132.0515463911</v>
      </c>
      <c r="V81" s="104">
        <f t="shared" si="24"/>
        <v>4356650</v>
      </c>
      <c r="W81" s="108">
        <f t="shared" si="15"/>
        <v>98517.9484536089</v>
      </c>
      <c r="X81" s="106">
        <f t="shared" si="16"/>
        <v>1.0231364239673664</v>
      </c>
      <c r="Y81" s="39"/>
      <c r="Z81" s="202">
        <f t="shared" ref="Z81:AA81" si="99">Z80+1</f>
        <v>45353</v>
      </c>
      <c r="AA81" s="203">
        <f t="shared" si="99"/>
        <v>45353</v>
      </c>
      <c r="AB81" s="204">
        <v>45353</v>
      </c>
      <c r="AC81" s="205">
        <v>9</v>
      </c>
      <c r="AD81" s="116" t="s">
        <v>156</v>
      </c>
      <c r="AE81" s="117">
        <f>AVERAGEIFS(J264:J293,D264:D293,1,G264:G293,"sat")</f>
        <v>71775</v>
      </c>
      <c r="AF81" s="205">
        <f>COUNTIFS(D264:D293,1,G264:G293,"sat")</f>
        <v>4</v>
      </c>
      <c r="AG81" s="117"/>
      <c r="AH81" s="117">
        <f t="shared" si="17"/>
        <v>287100</v>
      </c>
      <c r="AI81" s="206">
        <f t="shared" si="91"/>
        <v>0.12376867199793072</v>
      </c>
      <c r="AJ81" s="525"/>
      <c r="AK81" s="113"/>
      <c r="AL81" s="39"/>
      <c r="AM81" s="39"/>
      <c r="AN81" s="39"/>
    </row>
    <row r="82" spans="1:40" ht="16.5" customHeight="1">
      <c r="A82" s="39"/>
      <c r="B82" s="50"/>
      <c r="C82" s="95">
        <f t="shared" si="19"/>
        <v>63</v>
      </c>
      <c r="D82" s="96">
        <v>1</v>
      </c>
      <c r="E82" s="194" t="str">
        <f t="shared" si="8"/>
        <v>3</v>
      </c>
      <c r="F82" s="195">
        <f t="shared" si="20"/>
        <v>45354</v>
      </c>
      <c r="G82" s="196" t="str">
        <f t="shared" si="9"/>
        <v>Sun</v>
      </c>
      <c r="H82" s="197" t="s">
        <v>157</v>
      </c>
      <c r="I82" s="198"/>
      <c r="J82" s="199">
        <v>100950</v>
      </c>
      <c r="K82" s="103"/>
      <c r="L82" s="104">
        <f t="shared" si="95"/>
        <v>101023.29896907216</v>
      </c>
      <c r="M82" s="105">
        <f t="shared" si="11"/>
        <v>-73.298969072158798</v>
      </c>
      <c r="N82" s="106">
        <f t="shared" si="12"/>
        <v>0.99927443500835789</v>
      </c>
      <c r="O82" s="200"/>
      <c r="P82" s="170">
        <f t="shared" si="97"/>
        <v>303069.89690721646</v>
      </c>
      <c r="Q82" s="104">
        <f t="shared" si="98"/>
        <v>301550</v>
      </c>
      <c r="R82" s="108">
        <f t="shared" si="13"/>
        <v>-1519.8969072164618</v>
      </c>
      <c r="S82" s="106">
        <f t="shared" si="14"/>
        <v>0.99498499546564412</v>
      </c>
      <c r="T82" s="133"/>
      <c r="U82" s="104">
        <f t="shared" si="23"/>
        <v>4359155.3505154634</v>
      </c>
      <c r="V82" s="104">
        <f t="shared" si="24"/>
        <v>4457600</v>
      </c>
      <c r="W82" s="108">
        <f t="shared" si="15"/>
        <v>98444.649484536611</v>
      </c>
      <c r="X82" s="106">
        <f t="shared" si="16"/>
        <v>1.0225834230644923</v>
      </c>
      <c r="Y82" s="39"/>
      <c r="Z82" s="202">
        <f t="shared" ref="Z82:AA82" si="100">Z81+1</f>
        <v>45354</v>
      </c>
      <c r="AA82" s="203">
        <f t="shared" si="100"/>
        <v>45354</v>
      </c>
      <c r="AB82" s="204">
        <v>45354</v>
      </c>
      <c r="AC82" s="205">
        <v>9</v>
      </c>
      <c r="AD82" s="116" t="s">
        <v>158</v>
      </c>
      <c r="AE82" s="117">
        <f>IFERROR(AVERAGEIFS(J264:J293,D264:D293,1,G264:G293,"sun"),0)</f>
        <v>89366.666666666672</v>
      </c>
      <c r="AF82" s="205">
        <f>IFERROR(COUNTIFS(D264:D293,1,G264:G293,"sun"),0)</f>
        <v>3</v>
      </c>
      <c r="AG82" s="117"/>
      <c r="AH82" s="117">
        <f t="shared" si="17"/>
        <v>268100</v>
      </c>
      <c r="AI82" s="206">
        <f t="shared" si="91"/>
        <v>0.11557778113077403</v>
      </c>
      <c r="AJ82" s="526"/>
      <c r="AK82" s="113"/>
      <c r="AL82" s="39"/>
      <c r="AM82" s="39"/>
      <c r="AN82" s="39"/>
    </row>
    <row r="83" spans="1:40" ht="16.5" customHeight="1">
      <c r="A83" s="39"/>
      <c r="B83" s="50"/>
      <c r="C83" s="95">
        <f t="shared" si="19"/>
        <v>64</v>
      </c>
      <c r="D83" s="96">
        <v>0</v>
      </c>
      <c r="E83" s="194" t="str">
        <f t="shared" si="8"/>
        <v>3</v>
      </c>
      <c r="F83" s="195">
        <f t="shared" si="20"/>
        <v>45355</v>
      </c>
      <c r="G83" s="196" t="str">
        <f t="shared" si="9"/>
        <v>Mon</v>
      </c>
      <c r="H83" s="197"/>
      <c r="I83" s="208"/>
      <c r="J83" s="209"/>
      <c r="K83" s="136"/>
      <c r="L83" s="104">
        <f t="shared" si="95"/>
        <v>0</v>
      </c>
      <c r="M83" s="105">
        <f t="shared" si="11"/>
        <v>0</v>
      </c>
      <c r="N83" s="106" t="str">
        <f t="shared" si="12"/>
        <v>0%</v>
      </c>
      <c r="O83" s="200"/>
      <c r="P83" s="170">
        <f t="shared" si="97"/>
        <v>0</v>
      </c>
      <c r="Q83" s="104">
        <f t="shared" si="98"/>
        <v>0</v>
      </c>
      <c r="R83" s="108">
        <f t="shared" si="13"/>
        <v>0</v>
      </c>
      <c r="S83" s="106" t="str">
        <f t="shared" si="14"/>
        <v>0%</v>
      </c>
      <c r="T83" s="133"/>
      <c r="U83" s="104">
        <f t="shared" si="23"/>
        <v>0</v>
      </c>
      <c r="V83" s="104">
        <f t="shared" si="24"/>
        <v>0</v>
      </c>
      <c r="W83" s="108">
        <f t="shared" si="15"/>
        <v>0</v>
      </c>
      <c r="X83" s="106" t="str">
        <f t="shared" si="16"/>
        <v>0%</v>
      </c>
      <c r="Y83" s="39"/>
      <c r="Z83" s="202">
        <f t="shared" ref="Z83:AA83" si="101">Z82+1</f>
        <v>45355</v>
      </c>
      <c r="AA83" s="203">
        <f t="shared" si="101"/>
        <v>45355</v>
      </c>
      <c r="AB83" s="204">
        <v>45355</v>
      </c>
      <c r="AC83" s="205">
        <v>10</v>
      </c>
      <c r="AD83" s="116" t="s">
        <v>15</v>
      </c>
      <c r="AE83" s="117">
        <f>IFERROR(AVERAGEIFS(J294:J324,D294:D324,1,G294:G324,"mon"),0)</f>
        <v>0</v>
      </c>
      <c r="AF83" s="205">
        <f>COUNTIFS(D294:D324,1,G294:G324,"Mon")</f>
        <v>0</v>
      </c>
      <c r="AG83" s="117"/>
      <c r="AH83" s="117">
        <f t="shared" si="17"/>
        <v>0</v>
      </c>
      <c r="AI83" s="206">
        <f t="shared" ref="AI83:AI89" si="102">AH83/$M$15</f>
        <v>0</v>
      </c>
      <c r="AJ83" s="524">
        <f>SUM(AI83:AI89)</f>
        <v>1</v>
      </c>
      <c r="AK83" s="113" t="s">
        <v>117</v>
      </c>
      <c r="AL83" s="39"/>
      <c r="AM83" s="39"/>
      <c r="AN83" s="39"/>
    </row>
    <row r="84" spans="1:40" ht="16.5" customHeight="1">
      <c r="A84" s="39"/>
      <c r="B84" s="50"/>
      <c r="C84" s="95">
        <f t="shared" si="19"/>
        <v>65</v>
      </c>
      <c r="D84" s="96">
        <v>1</v>
      </c>
      <c r="E84" s="194" t="str">
        <f t="shared" si="8"/>
        <v>3</v>
      </c>
      <c r="F84" s="195">
        <f t="shared" si="20"/>
        <v>45356</v>
      </c>
      <c r="G84" s="196" t="str">
        <f t="shared" si="9"/>
        <v>Tue</v>
      </c>
      <c r="H84" s="197"/>
      <c r="I84" s="208"/>
      <c r="J84" s="209">
        <v>37100</v>
      </c>
      <c r="K84" s="136"/>
      <c r="L84" s="104">
        <f t="shared" si="95"/>
        <v>101023.29896907216</v>
      </c>
      <c r="M84" s="105">
        <f t="shared" si="11"/>
        <v>-63923.298969072159</v>
      </c>
      <c r="N84" s="106">
        <f t="shared" si="12"/>
        <v>0.36724201623387892</v>
      </c>
      <c r="O84" s="200"/>
      <c r="P84" s="170">
        <f t="shared" si="97"/>
        <v>404093.19587628864</v>
      </c>
      <c r="Q84" s="104">
        <f t="shared" si="98"/>
        <v>338650</v>
      </c>
      <c r="R84" s="108">
        <f t="shared" si="13"/>
        <v>-65443.195876288635</v>
      </c>
      <c r="S84" s="106">
        <f t="shared" si="14"/>
        <v>0.83804925065770275</v>
      </c>
      <c r="T84" s="133"/>
      <c r="U84" s="104">
        <f t="shared" si="23"/>
        <v>4460178.6494845357</v>
      </c>
      <c r="V84" s="104">
        <f t="shared" si="24"/>
        <v>4494700</v>
      </c>
      <c r="W84" s="108">
        <f t="shared" si="15"/>
        <v>34521.350515464321</v>
      </c>
      <c r="X84" s="106">
        <f t="shared" si="16"/>
        <v>1.0077399030909791</v>
      </c>
      <c r="Y84" s="39"/>
      <c r="Z84" s="202">
        <f t="shared" ref="Z84:AA84" si="103">Z83+1</f>
        <v>45356</v>
      </c>
      <c r="AA84" s="203">
        <f t="shared" si="103"/>
        <v>45356</v>
      </c>
      <c r="AB84" s="204">
        <v>45356</v>
      </c>
      <c r="AC84" s="205">
        <v>10</v>
      </c>
      <c r="AD84" s="116" t="s">
        <v>151</v>
      </c>
      <c r="AE84" s="117">
        <f>AVERAGEIFS(J294:J324,D294:D324,1,G294:G324,"tue")</f>
        <v>87800</v>
      </c>
      <c r="AF84" s="205">
        <f>COUNTIFS(D294:D324,1,G294:G324,"tue")</f>
        <v>4</v>
      </c>
      <c r="AG84" s="117"/>
      <c r="AH84" s="117">
        <f t="shared" si="17"/>
        <v>351200</v>
      </c>
      <c r="AI84" s="206">
        <f t="shared" si="102"/>
        <v>0.131437125748503</v>
      </c>
      <c r="AJ84" s="525"/>
      <c r="AK84" s="113"/>
      <c r="AL84" s="39"/>
      <c r="AM84" s="39"/>
      <c r="AN84" s="39"/>
    </row>
    <row r="85" spans="1:40" ht="16.5" customHeight="1">
      <c r="A85" s="39"/>
      <c r="B85" s="50"/>
      <c r="C85" s="95">
        <f t="shared" si="19"/>
        <v>66</v>
      </c>
      <c r="D85" s="96">
        <v>1</v>
      </c>
      <c r="E85" s="194" t="str">
        <f t="shared" si="8"/>
        <v>3</v>
      </c>
      <c r="F85" s="195">
        <f t="shared" si="20"/>
        <v>45357</v>
      </c>
      <c r="G85" s="196" t="str">
        <f t="shared" si="9"/>
        <v>Wed</v>
      </c>
      <c r="H85" s="197"/>
      <c r="I85" s="208"/>
      <c r="J85" s="209">
        <v>43400</v>
      </c>
      <c r="K85" s="136"/>
      <c r="L85" s="104">
        <f t="shared" si="95"/>
        <v>101023.29896907216</v>
      </c>
      <c r="M85" s="105">
        <f t="shared" si="11"/>
        <v>-57623.298969072159</v>
      </c>
      <c r="N85" s="106">
        <f t="shared" si="12"/>
        <v>0.42960386804717909</v>
      </c>
      <c r="O85" s="200"/>
      <c r="P85" s="170">
        <f t="shared" si="97"/>
        <v>505116.49484536081</v>
      </c>
      <c r="Q85" s="104">
        <f t="shared" si="98"/>
        <v>382050</v>
      </c>
      <c r="R85" s="108">
        <f t="shared" si="13"/>
        <v>-123066.49484536081</v>
      </c>
      <c r="S85" s="106">
        <f t="shared" si="14"/>
        <v>0.75636017413559797</v>
      </c>
      <c r="T85" s="133"/>
      <c r="U85" s="104">
        <f t="shared" si="23"/>
        <v>4561201.948453608</v>
      </c>
      <c r="V85" s="104">
        <f t="shared" si="24"/>
        <v>4538100</v>
      </c>
      <c r="W85" s="108">
        <f t="shared" si="15"/>
        <v>-23101.948453607969</v>
      </c>
      <c r="X85" s="106">
        <f t="shared" si="16"/>
        <v>0.99493511826165903</v>
      </c>
      <c r="Y85" s="39"/>
      <c r="Z85" s="202">
        <f t="shared" ref="Z85:AA85" si="104">Z84+1</f>
        <v>45357</v>
      </c>
      <c r="AA85" s="203">
        <f t="shared" si="104"/>
        <v>45357</v>
      </c>
      <c r="AB85" s="204">
        <v>45357</v>
      </c>
      <c r="AC85" s="205">
        <v>10</v>
      </c>
      <c r="AD85" s="116" t="s">
        <v>152</v>
      </c>
      <c r="AE85" s="117">
        <f>AVERAGEIFS(J294:J324,D294:D324,1,G294:G324,"wed")</f>
        <v>90670</v>
      </c>
      <c r="AF85" s="205">
        <f>COUNTIFS(D294:D324,1,G294:G324,"wed")</f>
        <v>5</v>
      </c>
      <c r="AG85" s="117"/>
      <c r="AH85" s="117">
        <f t="shared" si="17"/>
        <v>453350</v>
      </c>
      <c r="AI85" s="206">
        <f t="shared" si="102"/>
        <v>0.16966691616766466</v>
      </c>
      <c r="AJ85" s="525"/>
      <c r="AK85" s="113"/>
      <c r="AL85" s="39"/>
      <c r="AM85" s="39"/>
      <c r="AN85" s="39"/>
    </row>
    <row r="86" spans="1:40" ht="16.5" customHeight="1">
      <c r="A86" s="39"/>
      <c r="B86" s="50"/>
      <c r="C86" s="95">
        <f t="shared" si="19"/>
        <v>67</v>
      </c>
      <c r="D86" s="96">
        <v>1</v>
      </c>
      <c r="E86" s="194" t="str">
        <f t="shared" si="8"/>
        <v>3</v>
      </c>
      <c r="F86" s="195">
        <f t="shared" si="20"/>
        <v>45358</v>
      </c>
      <c r="G86" s="196" t="str">
        <f t="shared" si="9"/>
        <v>Thu</v>
      </c>
      <c r="H86" s="197"/>
      <c r="I86" s="208"/>
      <c r="J86" s="209">
        <v>34150</v>
      </c>
      <c r="K86" s="136"/>
      <c r="L86" s="104">
        <f t="shared" si="95"/>
        <v>101023.29896907216</v>
      </c>
      <c r="M86" s="105">
        <f t="shared" si="11"/>
        <v>-66873.298969072159</v>
      </c>
      <c r="N86" s="106">
        <f t="shared" si="12"/>
        <v>0.33804083165463517</v>
      </c>
      <c r="O86" s="200"/>
      <c r="P86" s="170">
        <f t="shared" si="97"/>
        <v>606139.79381443292</v>
      </c>
      <c r="Q86" s="104">
        <f t="shared" si="98"/>
        <v>416200</v>
      </c>
      <c r="R86" s="108">
        <f t="shared" si="13"/>
        <v>-189939.79381443292</v>
      </c>
      <c r="S86" s="106">
        <f t="shared" si="14"/>
        <v>0.68664028372210428</v>
      </c>
      <c r="T86" s="133"/>
      <c r="U86" s="104">
        <f t="shared" si="23"/>
        <v>4662225.2474226803</v>
      </c>
      <c r="V86" s="104">
        <f t="shared" si="24"/>
        <v>4572250</v>
      </c>
      <c r="W86" s="108">
        <f t="shared" si="15"/>
        <v>-89975.247422680259</v>
      </c>
      <c r="X86" s="106">
        <f t="shared" si="16"/>
        <v>0.98070122256053172</v>
      </c>
      <c r="Y86" s="39"/>
      <c r="Z86" s="202">
        <f t="shared" ref="Z86:AA86" si="105">Z85+1</f>
        <v>45358</v>
      </c>
      <c r="AA86" s="203">
        <f t="shared" si="105"/>
        <v>45358</v>
      </c>
      <c r="AB86" s="204">
        <v>45358</v>
      </c>
      <c r="AC86" s="205">
        <v>10</v>
      </c>
      <c r="AD86" s="116" t="s">
        <v>154</v>
      </c>
      <c r="AE86" s="117">
        <f>AVERAGEIFS(J294:J324,D294:D324,1,G294:G324,"thu")</f>
        <v>114050</v>
      </c>
      <c r="AF86" s="205">
        <f>COUNTIFS(D294:D324,1,G294:G324,"thu")</f>
        <v>5</v>
      </c>
      <c r="AG86" s="117"/>
      <c r="AH86" s="117">
        <f t="shared" si="17"/>
        <v>570250</v>
      </c>
      <c r="AI86" s="206">
        <f t="shared" si="102"/>
        <v>0.21341691616766467</v>
      </c>
      <c r="AJ86" s="525"/>
      <c r="AK86" s="113"/>
      <c r="AL86" s="39"/>
      <c r="AM86" s="39"/>
      <c r="AN86" s="39"/>
    </row>
    <row r="87" spans="1:40" ht="16.5" customHeight="1">
      <c r="A87" s="39"/>
      <c r="B87" s="50"/>
      <c r="C87" s="95">
        <f t="shared" si="19"/>
        <v>68</v>
      </c>
      <c r="D87" s="96">
        <v>1</v>
      </c>
      <c r="E87" s="194" t="str">
        <f t="shared" si="8"/>
        <v>3</v>
      </c>
      <c r="F87" s="195">
        <f t="shared" si="20"/>
        <v>45359</v>
      </c>
      <c r="G87" s="196" t="str">
        <f t="shared" si="9"/>
        <v>Fri</v>
      </c>
      <c r="H87" s="197"/>
      <c r="I87" s="208"/>
      <c r="J87" s="209">
        <v>205100</v>
      </c>
      <c r="K87" s="136"/>
      <c r="L87" s="104">
        <f t="shared" si="95"/>
        <v>101023.29896907216</v>
      </c>
      <c r="M87" s="105">
        <f t="shared" si="11"/>
        <v>104076.70103092784</v>
      </c>
      <c r="N87" s="106">
        <f t="shared" si="12"/>
        <v>2.0302247312552173</v>
      </c>
      <c r="O87" s="200"/>
      <c r="P87" s="170">
        <f t="shared" si="97"/>
        <v>707163.0927835051</v>
      </c>
      <c r="Q87" s="104">
        <f t="shared" si="98"/>
        <v>621300</v>
      </c>
      <c r="R87" s="108">
        <f t="shared" si="13"/>
        <v>-85863.092783505097</v>
      </c>
      <c r="S87" s="106">
        <f t="shared" si="14"/>
        <v>0.87858091908397751</v>
      </c>
      <c r="T87" s="133"/>
      <c r="U87" s="104">
        <f t="shared" si="23"/>
        <v>4763248.5463917525</v>
      </c>
      <c r="V87" s="104">
        <f t="shared" si="24"/>
        <v>4777350</v>
      </c>
      <c r="W87" s="108">
        <f t="shared" si="15"/>
        <v>14101.453608247451</v>
      </c>
      <c r="X87" s="106">
        <f t="shared" si="16"/>
        <v>1.0029604698287116</v>
      </c>
      <c r="Y87" s="39"/>
      <c r="Z87" s="202">
        <f t="shared" ref="Z87:AA87" si="106">Z86+1</f>
        <v>45359</v>
      </c>
      <c r="AA87" s="203">
        <f t="shared" si="106"/>
        <v>45359</v>
      </c>
      <c r="AB87" s="204">
        <v>45359</v>
      </c>
      <c r="AC87" s="205">
        <v>10</v>
      </c>
      <c r="AD87" s="116" t="s">
        <v>155</v>
      </c>
      <c r="AE87" s="117">
        <f>AVERAGEIFS(J294:J324,D294:D324,1,G294:G324,"fri")</f>
        <v>137787.5</v>
      </c>
      <c r="AF87" s="205">
        <f>COUNTIFS(D294:D324,1,G294:G324,"fri")</f>
        <v>4</v>
      </c>
      <c r="AG87" s="117"/>
      <c r="AH87" s="117">
        <f t="shared" si="17"/>
        <v>551150</v>
      </c>
      <c r="AI87" s="206">
        <f t="shared" si="102"/>
        <v>0.2062687125748503</v>
      </c>
      <c r="AJ87" s="525"/>
      <c r="AK87" s="113"/>
      <c r="AL87" s="39"/>
      <c r="AM87" s="39"/>
      <c r="AN87" s="39"/>
    </row>
    <row r="88" spans="1:40" ht="16.5" customHeight="1">
      <c r="A88" s="39"/>
      <c r="B88" s="50"/>
      <c r="C88" s="95">
        <f t="shared" si="19"/>
        <v>69</v>
      </c>
      <c r="D88" s="96">
        <v>1</v>
      </c>
      <c r="E88" s="194" t="str">
        <f t="shared" si="8"/>
        <v>3</v>
      </c>
      <c r="F88" s="195">
        <f t="shared" si="20"/>
        <v>45360</v>
      </c>
      <c r="G88" s="196" t="str">
        <f t="shared" si="9"/>
        <v>Sat</v>
      </c>
      <c r="H88" s="197"/>
      <c r="I88" s="208"/>
      <c r="J88" s="209">
        <v>88000</v>
      </c>
      <c r="K88" s="136"/>
      <c r="L88" s="104">
        <f t="shared" si="95"/>
        <v>101023.29896907216</v>
      </c>
      <c r="M88" s="105">
        <f t="shared" si="11"/>
        <v>-13023.298969072159</v>
      </c>
      <c r="N88" s="106">
        <f t="shared" si="12"/>
        <v>0.87108618405879634</v>
      </c>
      <c r="O88" s="200"/>
      <c r="P88" s="170">
        <f t="shared" si="97"/>
        <v>808186.39175257727</v>
      </c>
      <c r="Q88" s="104">
        <f t="shared" si="98"/>
        <v>709300</v>
      </c>
      <c r="R88" s="108">
        <f t="shared" si="13"/>
        <v>-98886.39175257727</v>
      </c>
      <c r="S88" s="106">
        <f t="shared" si="14"/>
        <v>0.87764407720582993</v>
      </c>
      <c r="T88" s="134"/>
      <c r="U88" s="104">
        <f t="shared" si="23"/>
        <v>4864271.8453608248</v>
      </c>
      <c r="V88" s="104">
        <f t="shared" si="24"/>
        <v>4865350</v>
      </c>
      <c r="W88" s="108">
        <f t="shared" si="15"/>
        <v>1078.1546391751617</v>
      </c>
      <c r="X88" s="106">
        <f t="shared" si="16"/>
        <v>1.0002216476943417</v>
      </c>
      <c r="Y88" s="39"/>
      <c r="Z88" s="202">
        <f t="shared" ref="Z88:AA88" si="107">Z87+1</f>
        <v>45360</v>
      </c>
      <c r="AA88" s="203">
        <f t="shared" si="107"/>
        <v>45360</v>
      </c>
      <c r="AB88" s="204">
        <v>45360</v>
      </c>
      <c r="AC88" s="205">
        <v>10</v>
      </c>
      <c r="AD88" s="116" t="s">
        <v>156</v>
      </c>
      <c r="AE88" s="117">
        <f>AVERAGEIFS(J294:J324,D294:D324,1,G294:G324,"sat")</f>
        <v>90300</v>
      </c>
      <c r="AF88" s="205">
        <f>COUNTIFS(D294:D324,1,G294:G324,"sat")</f>
        <v>4</v>
      </c>
      <c r="AG88" s="117"/>
      <c r="AH88" s="117">
        <f t="shared" si="17"/>
        <v>361200</v>
      </c>
      <c r="AI88" s="206">
        <f t="shared" si="102"/>
        <v>0.13517964071856287</v>
      </c>
      <c r="AJ88" s="525"/>
      <c r="AK88" s="113"/>
      <c r="AL88" s="39"/>
      <c r="AM88" s="39"/>
      <c r="AN88" s="39"/>
    </row>
    <row r="89" spans="1:40" ht="16.5" customHeight="1">
      <c r="A89" s="39"/>
      <c r="B89" s="50"/>
      <c r="C89" s="95">
        <f t="shared" si="19"/>
        <v>70</v>
      </c>
      <c r="D89" s="96">
        <v>1</v>
      </c>
      <c r="E89" s="194" t="str">
        <f t="shared" si="8"/>
        <v>3</v>
      </c>
      <c r="F89" s="195">
        <f t="shared" si="20"/>
        <v>45361</v>
      </c>
      <c r="G89" s="196" t="str">
        <f t="shared" si="9"/>
        <v>Sun</v>
      </c>
      <c r="H89" s="197" t="s">
        <v>157</v>
      </c>
      <c r="I89" s="198"/>
      <c r="J89" s="199">
        <v>110550</v>
      </c>
      <c r="K89" s="103"/>
      <c r="L89" s="104">
        <f t="shared" si="95"/>
        <v>101023.29896907216</v>
      </c>
      <c r="M89" s="105">
        <f t="shared" si="11"/>
        <v>9526.7010309278412</v>
      </c>
      <c r="N89" s="106">
        <f t="shared" si="12"/>
        <v>1.0943020187238628</v>
      </c>
      <c r="O89" s="200"/>
      <c r="P89" s="170">
        <f t="shared" si="97"/>
        <v>909209.69072164944</v>
      </c>
      <c r="Q89" s="104">
        <f t="shared" si="98"/>
        <v>819850</v>
      </c>
      <c r="R89" s="108">
        <f t="shared" si="13"/>
        <v>-89359.690721649444</v>
      </c>
      <c r="S89" s="106">
        <f t="shared" si="14"/>
        <v>0.90171718181894467</v>
      </c>
      <c r="T89" s="133"/>
      <c r="U89" s="104">
        <f t="shared" si="23"/>
        <v>4965295.1443298971</v>
      </c>
      <c r="V89" s="104">
        <f t="shared" si="24"/>
        <v>4975900</v>
      </c>
      <c r="W89" s="108">
        <f t="shared" si="15"/>
        <v>10604.855670102872</v>
      </c>
      <c r="X89" s="106">
        <f t="shared" si="16"/>
        <v>1.0021357956298353</v>
      </c>
      <c r="Y89" s="39"/>
      <c r="Z89" s="202">
        <f t="shared" ref="Z89:AA89" si="108">Z88+1</f>
        <v>45361</v>
      </c>
      <c r="AA89" s="203">
        <f t="shared" si="108"/>
        <v>45361</v>
      </c>
      <c r="AB89" s="204">
        <v>45361</v>
      </c>
      <c r="AC89" s="205">
        <v>10</v>
      </c>
      <c r="AD89" s="116" t="s">
        <v>158</v>
      </c>
      <c r="AE89" s="117">
        <f>IFERROR(AVERAGEIFS(J294:J324,D294:D324,1,G294:G324,"sun"),0)</f>
        <v>96212.5</v>
      </c>
      <c r="AF89" s="205">
        <f>IFERROR(COUNTIFS(D294:D324,1,G294:G324,"sun"),0)</f>
        <v>4</v>
      </c>
      <c r="AG89" s="117"/>
      <c r="AH89" s="117">
        <f t="shared" si="17"/>
        <v>384850</v>
      </c>
      <c r="AI89" s="206">
        <f t="shared" si="102"/>
        <v>0.1440306886227545</v>
      </c>
      <c r="AJ89" s="526"/>
      <c r="AK89" s="113"/>
      <c r="AL89" s="39"/>
      <c r="AM89" s="39"/>
      <c r="AN89" s="39"/>
    </row>
    <row r="90" spans="1:40" ht="16.5" customHeight="1">
      <c r="A90" s="39"/>
      <c r="B90" s="50"/>
      <c r="C90" s="95">
        <f t="shared" si="19"/>
        <v>71</v>
      </c>
      <c r="D90" s="96">
        <v>0</v>
      </c>
      <c r="E90" s="194" t="str">
        <f t="shared" si="8"/>
        <v>3</v>
      </c>
      <c r="F90" s="195">
        <f t="shared" si="20"/>
        <v>45362</v>
      </c>
      <c r="G90" s="196" t="str">
        <f t="shared" si="9"/>
        <v>Mon</v>
      </c>
      <c r="H90" s="197"/>
      <c r="I90" s="208"/>
      <c r="J90" s="209"/>
      <c r="K90" s="136"/>
      <c r="L90" s="104">
        <f t="shared" si="95"/>
        <v>0</v>
      </c>
      <c r="M90" s="105">
        <f t="shared" si="11"/>
        <v>0</v>
      </c>
      <c r="N90" s="106" t="str">
        <f t="shared" si="12"/>
        <v>0%</v>
      </c>
      <c r="O90" s="200"/>
      <c r="P90" s="170">
        <f t="shared" si="97"/>
        <v>0</v>
      </c>
      <c r="Q90" s="104">
        <f t="shared" si="98"/>
        <v>0</v>
      </c>
      <c r="R90" s="108">
        <f t="shared" si="13"/>
        <v>0</v>
      </c>
      <c r="S90" s="106" t="str">
        <f t="shared" si="14"/>
        <v>0%</v>
      </c>
      <c r="T90" s="133"/>
      <c r="U90" s="104">
        <f t="shared" si="23"/>
        <v>0</v>
      </c>
      <c r="V90" s="104">
        <f t="shared" si="24"/>
        <v>0</v>
      </c>
      <c r="W90" s="108">
        <f t="shared" si="15"/>
        <v>0</v>
      </c>
      <c r="X90" s="106" t="str">
        <f t="shared" si="16"/>
        <v>0%</v>
      </c>
      <c r="Y90" s="39"/>
      <c r="Z90" s="202">
        <f t="shared" ref="Z90:AA90" si="109">Z89+1</f>
        <v>45362</v>
      </c>
      <c r="AA90" s="203">
        <f t="shared" si="109"/>
        <v>45362</v>
      </c>
      <c r="AB90" s="204">
        <v>45362</v>
      </c>
      <c r="AC90" s="205">
        <v>11</v>
      </c>
      <c r="AD90" s="116" t="s">
        <v>15</v>
      </c>
      <c r="AE90" s="117">
        <f>IFERROR(AVERAGEIFS(J325:J354,D325:D354,1,G325:G354,"mon"),0)</f>
        <v>0</v>
      </c>
      <c r="AF90" s="205">
        <f>COUNTIFS(D325:D354,1,G325:G354,"Mon")</f>
        <v>0</v>
      </c>
      <c r="AG90" s="117"/>
      <c r="AH90" s="117">
        <f t="shared" si="17"/>
        <v>0</v>
      </c>
      <c r="AI90" s="206">
        <f t="shared" ref="AI90:AI96" si="110">AH90/$M$16</f>
        <v>0</v>
      </c>
      <c r="AJ90" s="524">
        <f>SUM(AI90:AI96)</f>
        <v>1</v>
      </c>
      <c r="AK90" s="113" t="s">
        <v>119</v>
      </c>
      <c r="AL90" s="39"/>
      <c r="AM90" s="39"/>
      <c r="AN90" s="39"/>
    </row>
    <row r="91" spans="1:40" ht="16.5" customHeight="1">
      <c r="A91" s="39"/>
      <c r="B91" s="50"/>
      <c r="C91" s="95">
        <f t="shared" si="19"/>
        <v>72</v>
      </c>
      <c r="D91" s="96">
        <v>1</v>
      </c>
      <c r="E91" s="194" t="str">
        <f t="shared" si="8"/>
        <v>3</v>
      </c>
      <c r="F91" s="195">
        <f t="shared" si="20"/>
        <v>45363</v>
      </c>
      <c r="G91" s="196" t="str">
        <f t="shared" si="9"/>
        <v>Tue</v>
      </c>
      <c r="H91" s="197"/>
      <c r="I91" s="208"/>
      <c r="J91" s="209">
        <v>41550</v>
      </c>
      <c r="K91" s="136"/>
      <c r="L91" s="104">
        <f t="shared" si="95"/>
        <v>101023.29896907216</v>
      </c>
      <c r="M91" s="105">
        <f t="shared" si="11"/>
        <v>-59473.298969072159</v>
      </c>
      <c r="N91" s="106">
        <f t="shared" si="12"/>
        <v>0.41129126076867029</v>
      </c>
      <c r="O91" s="200"/>
      <c r="P91" s="170">
        <f t="shared" si="97"/>
        <v>1010232.9896907216</v>
      </c>
      <c r="Q91" s="104">
        <f t="shared" si="98"/>
        <v>861400</v>
      </c>
      <c r="R91" s="108">
        <f t="shared" si="13"/>
        <v>-148832.98969072162</v>
      </c>
      <c r="S91" s="106">
        <f t="shared" si="14"/>
        <v>0.85267458971391719</v>
      </c>
      <c r="T91" s="133"/>
      <c r="U91" s="104">
        <f t="shared" si="23"/>
        <v>5066318.4432989694</v>
      </c>
      <c r="V91" s="104">
        <f t="shared" si="24"/>
        <v>5017450</v>
      </c>
      <c r="W91" s="108">
        <f t="shared" si="15"/>
        <v>-48868.443298969418</v>
      </c>
      <c r="X91" s="106">
        <f t="shared" si="16"/>
        <v>0.99035424957078921</v>
      </c>
      <c r="Y91" s="39"/>
      <c r="Z91" s="202">
        <f t="shared" ref="Z91:AA91" si="111">Z90+1</f>
        <v>45363</v>
      </c>
      <c r="AA91" s="203">
        <f t="shared" si="111"/>
        <v>45363</v>
      </c>
      <c r="AB91" s="204">
        <v>45363</v>
      </c>
      <c r="AC91" s="205">
        <v>11</v>
      </c>
      <c r="AD91" s="116" t="s">
        <v>151</v>
      </c>
      <c r="AE91" s="117">
        <f>AVERAGEIFS(J325:J354,D325:D354,1,G325:G354,"tue")</f>
        <v>107900</v>
      </c>
      <c r="AF91" s="205">
        <f>COUNTIFS(D325:D354,1,G325:G354,"tue")</f>
        <v>2</v>
      </c>
      <c r="AG91" s="117"/>
      <c r="AH91" s="117">
        <f t="shared" si="17"/>
        <v>215800</v>
      </c>
      <c r="AI91" s="206">
        <f t="shared" si="110"/>
        <v>9.7636014025562726E-2</v>
      </c>
      <c r="AJ91" s="525"/>
      <c r="AK91" s="113"/>
      <c r="AL91" s="39"/>
      <c r="AM91" s="39"/>
      <c r="AN91" s="39"/>
    </row>
    <row r="92" spans="1:40" ht="16.5" customHeight="1">
      <c r="A92" s="39"/>
      <c r="B92" s="50"/>
      <c r="C92" s="95">
        <f t="shared" si="19"/>
        <v>73</v>
      </c>
      <c r="D92" s="96">
        <v>1</v>
      </c>
      <c r="E92" s="194" t="str">
        <f t="shared" si="8"/>
        <v>3</v>
      </c>
      <c r="F92" s="195">
        <f t="shared" si="20"/>
        <v>45364</v>
      </c>
      <c r="G92" s="196" t="str">
        <f t="shared" si="9"/>
        <v>Wed</v>
      </c>
      <c r="H92" s="197"/>
      <c r="I92" s="208"/>
      <c r="J92" s="209">
        <v>75800</v>
      </c>
      <c r="K92" s="136"/>
      <c r="L92" s="104">
        <f t="shared" si="95"/>
        <v>101023.29896907216</v>
      </c>
      <c r="M92" s="105">
        <f t="shared" si="11"/>
        <v>-25223.298969072159</v>
      </c>
      <c r="N92" s="106">
        <f t="shared" si="12"/>
        <v>0.7503219630870086</v>
      </c>
      <c r="O92" s="200"/>
      <c r="P92" s="170">
        <f t="shared" si="97"/>
        <v>1111256.2886597938</v>
      </c>
      <c r="Q92" s="104">
        <f t="shared" si="98"/>
        <v>937200</v>
      </c>
      <c r="R92" s="108">
        <f t="shared" si="13"/>
        <v>-174056.28865979379</v>
      </c>
      <c r="S92" s="106">
        <f t="shared" si="14"/>
        <v>0.84336980547510731</v>
      </c>
      <c r="T92" s="133"/>
      <c r="U92" s="104">
        <f t="shared" si="23"/>
        <v>5167341.7422680417</v>
      </c>
      <c r="V92" s="104">
        <f t="shared" si="24"/>
        <v>5093250</v>
      </c>
      <c r="W92" s="108">
        <f t="shared" si="15"/>
        <v>-74091.742268041708</v>
      </c>
      <c r="X92" s="106">
        <f t="shared" si="16"/>
        <v>0.98566153624754815</v>
      </c>
      <c r="Y92" s="39"/>
      <c r="Z92" s="202">
        <f t="shared" ref="Z92:AA92" si="112">Z91+1</f>
        <v>45364</v>
      </c>
      <c r="AA92" s="203">
        <f t="shared" si="112"/>
        <v>45364</v>
      </c>
      <c r="AB92" s="204">
        <v>45364</v>
      </c>
      <c r="AC92" s="205">
        <v>11</v>
      </c>
      <c r="AD92" s="116" t="s">
        <v>152</v>
      </c>
      <c r="AE92" s="117">
        <f>AVERAGEIFS(J325:J354,D325:D354,1,G325:G354,"wed")</f>
        <v>59687.5</v>
      </c>
      <c r="AF92" s="205">
        <f>COUNTIFS(D325:D354,1,G325:G354,"wed")</f>
        <v>4</v>
      </c>
      <c r="AG92" s="117"/>
      <c r="AH92" s="117">
        <f t="shared" si="17"/>
        <v>238750</v>
      </c>
      <c r="AI92" s="206">
        <f t="shared" si="110"/>
        <v>0.10801945481280398</v>
      </c>
      <c r="AJ92" s="525"/>
      <c r="AK92" s="113"/>
      <c r="AL92" s="39"/>
      <c r="AM92" s="39"/>
      <c r="AN92" s="39"/>
    </row>
    <row r="93" spans="1:40" ht="16.5" customHeight="1">
      <c r="A93" s="39"/>
      <c r="B93" s="50"/>
      <c r="C93" s="95">
        <f t="shared" si="19"/>
        <v>74</v>
      </c>
      <c r="D93" s="96">
        <v>1</v>
      </c>
      <c r="E93" s="194" t="str">
        <f t="shared" si="8"/>
        <v>3</v>
      </c>
      <c r="F93" s="195">
        <f t="shared" si="20"/>
        <v>45365</v>
      </c>
      <c r="G93" s="196" t="str">
        <f t="shared" si="9"/>
        <v>Thu</v>
      </c>
      <c r="H93" s="197"/>
      <c r="I93" s="208"/>
      <c r="J93" s="209">
        <v>53450</v>
      </c>
      <c r="K93" s="136"/>
      <c r="L93" s="104">
        <f t="shared" si="95"/>
        <v>101023.29896907216</v>
      </c>
      <c r="M93" s="105">
        <f t="shared" si="11"/>
        <v>-47573.298969072159</v>
      </c>
      <c r="N93" s="106">
        <f t="shared" si="12"/>
        <v>0.52908586974934846</v>
      </c>
      <c r="O93" s="200"/>
      <c r="P93" s="170">
        <f t="shared" si="97"/>
        <v>1212279.5876288658</v>
      </c>
      <c r="Q93" s="104">
        <f t="shared" si="98"/>
        <v>990650</v>
      </c>
      <c r="R93" s="108">
        <f t="shared" si="13"/>
        <v>-221629.58762886585</v>
      </c>
      <c r="S93" s="106">
        <f t="shared" si="14"/>
        <v>0.81717947749796083</v>
      </c>
      <c r="T93" s="133"/>
      <c r="U93" s="104">
        <f t="shared" si="23"/>
        <v>5268365.041237114</v>
      </c>
      <c r="V93" s="104">
        <f t="shared" si="24"/>
        <v>5146700</v>
      </c>
      <c r="W93" s="108">
        <f t="shared" si="15"/>
        <v>-121665.041237114</v>
      </c>
      <c r="X93" s="106">
        <f t="shared" si="16"/>
        <v>0.97690648991009466</v>
      </c>
      <c r="Y93" s="39"/>
      <c r="Z93" s="202">
        <f t="shared" ref="Z93:AA93" si="113">Z92+1</f>
        <v>45365</v>
      </c>
      <c r="AA93" s="203">
        <f t="shared" si="113"/>
        <v>45365</v>
      </c>
      <c r="AB93" s="204">
        <v>45365</v>
      </c>
      <c r="AC93" s="205">
        <v>11</v>
      </c>
      <c r="AD93" s="116" t="s">
        <v>154</v>
      </c>
      <c r="AE93" s="117">
        <f>AVERAGEIFS(J325:J354,D325:D354,1,G325:G354,"thu")</f>
        <v>71512.5</v>
      </c>
      <c r="AF93" s="205">
        <f>COUNTIFS(D325:D354,1,G325:G354,"thu")</f>
        <v>4</v>
      </c>
      <c r="AG93" s="117"/>
      <c r="AH93" s="117">
        <f t="shared" si="17"/>
        <v>286050</v>
      </c>
      <c r="AI93" s="206">
        <f t="shared" si="110"/>
        <v>0.12941974889718358</v>
      </c>
      <c r="AJ93" s="525"/>
      <c r="AK93" s="113"/>
      <c r="AL93" s="39"/>
      <c r="AM93" s="39"/>
      <c r="AN93" s="39"/>
    </row>
    <row r="94" spans="1:40" ht="16.5" customHeight="1">
      <c r="A94" s="39"/>
      <c r="B94" s="50"/>
      <c r="C94" s="95">
        <f t="shared" si="19"/>
        <v>75</v>
      </c>
      <c r="D94" s="96">
        <v>1</v>
      </c>
      <c r="E94" s="194" t="str">
        <f t="shared" si="8"/>
        <v>3</v>
      </c>
      <c r="F94" s="195">
        <f t="shared" si="20"/>
        <v>45366</v>
      </c>
      <c r="G94" s="196" t="str">
        <f t="shared" si="9"/>
        <v>Fri</v>
      </c>
      <c r="H94" s="197"/>
      <c r="I94" s="208"/>
      <c r="J94" s="209">
        <v>144650</v>
      </c>
      <c r="K94" s="136"/>
      <c r="L94" s="104">
        <f t="shared" si="95"/>
        <v>101023.29896907216</v>
      </c>
      <c r="M94" s="105">
        <f t="shared" si="11"/>
        <v>43626.701030927841</v>
      </c>
      <c r="N94" s="106">
        <f t="shared" si="12"/>
        <v>1.4318479150466465</v>
      </c>
      <c r="O94" s="200"/>
      <c r="P94" s="170">
        <f t="shared" si="97"/>
        <v>1313302.8865979379</v>
      </c>
      <c r="Q94" s="104">
        <f t="shared" si="98"/>
        <v>1135300</v>
      </c>
      <c r="R94" s="108">
        <f t="shared" si="13"/>
        <v>-178002.8865979379</v>
      </c>
      <c r="S94" s="106">
        <f t="shared" si="14"/>
        <v>0.86446166500170596</v>
      </c>
      <c r="T94" s="133"/>
      <c r="U94" s="104">
        <f t="shared" si="23"/>
        <v>5369388.3402061863</v>
      </c>
      <c r="V94" s="104">
        <f t="shared" si="24"/>
        <v>5291350</v>
      </c>
      <c r="W94" s="108">
        <f t="shared" si="15"/>
        <v>-78038.340206186287</v>
      </c>
      <c r="X94" s="106">
        <f t="shared" si="16"/>
        <v>0.98546606517136559</v>
      </c>
      <c r="Y94" s="39"/>
      <c r="Z94" s="202">
        <f t="shared" ref="Z94:AA94" si="114">Z93+1</f>
        <v>45366</v>
      </c>
      <c r="AA94" s="203">
        <f t="shared" si="114"/>
        <v>45366</v>
      </c>
      <c r="AB94" s="204">
        <v>45366</v>
      </c>
      <c r="AC94" s="205">
        <v>11</v>
      </c>
      <c r="AD94" s="116" t="s">
        <v>155</v>
      </c>
      <c r="AE94" s="117">
        <f>AVERAGEIFS(J325:J354,D325:D354,1,G325:G354,"fri")</f>
        <v>105520</v>
      </c>
      <c r="AF94" s="205">
        <f>COUNTIFS(D325:D354,1,G325:G354,"fri")</f>
        <v>5</v>
      </c>
      <c r="AG94" s="117"/>
      <c r="AH94" s="117">
        <f t="shared" si="17"/>
        <v>527600</v>
      </c>
      <c r="AI94" s="206">
        <f t="shared" si="110"/>
        <v>0.23870602872978169</v>
      </c>
      <c r="AJ94" s="525"/>
      <c r="AK94" s="113"/>
      <c r="AL94" s="39"/>
      <c r="AM94" s="39"/>
      <c r="AN94" s="39"/>
    </row>
    <row r="95" spans="1:40" ht="16.5" customHeight="1">
      <c r="A95" s="39"/>
      <c r="B95" s="50"/>
      <c r="C95" s="95">
        <f t="shared" si="19"/>
        <v>76</v>
      </c>
      <c r="D95" s="96">
        <v>1</v>
      </c>
      <c r="E95" s="194" t="str">
        <f t="shared" si="8"/>
        <v>3</v>
      </c>
      <c r="F95" s="195">
        <f t="shared" si="20"/>
        <v>45367</v>
      </c>
      <c r="G95" s="196" t="str">
        <f t="shared" si="9"/>
        <v>Sat</v>
      </c>
      <c r="H95" s="197"/>
      <c r="I95" s="208"/>
      <c r="J95" s="209">
        <v>124600</v>
      </c>
      <c r="K95" s="136"/>
      <c r="L95" s="104">
        <f t="shared" si="95"/>
        <v>101023.29896907216</v>
      </c>
      <c r="M95" s="105">
        <f t="shared" si="11"/>
        <v>23576.701030927841</v>
      </c>
      <c r="N95" s="106">
        <f t="shared" si="12"/>
        <v>1.2333788469741593</v>
      </c>
      <c r="O95" s="200"/>
      <c r="P95" s="170">
        <f t="shared" si="97"/>
        <v>1414326.18556701</v>
      </c>
      <c r="Q95" s="104">
        <f t="shared" si="98"/>
        <v>1259900</v>
      </c>
      <c r="R95" s="108">
        <f t="shared" si="13"/>
        <v>-154426.18556700996</v>
      </c>
      <c r="S95" s="106">
        <f t="shared" si="14"/>
        <v>0.89081289228545268</v>
      </c>
      <c r="T95" s="134"/>
      <c r="U95" s="104">
        <f t="shared" si="23"/>
        <v>5470411.6391752586</v>
      </c>
      <c r="V95" s="104">
        <f t="shared" si="24"/>
        <v>5415950</v>
      </c>
      <c r="W95" s="108">
        <f t="shared" si="15"/>
        <v>-54461.639175258577</v>
      </c>
      <c r="X95" s="106">
        <f t="shared" si="16"/>
        <v>0.99004432522312535</v>
      </c>
      <c r="Y95" s="39"/>
      <c r="Z95" s="202">
        <f t="shared" ref="Z95:AA95" si="115">Z94+1</f>
        <v>45367</v>
      </c>
      <c r="AA95" s="203">
        <f t="shared" si="115"/>
        <v>45367</v>
      </c>
      <c r="AB95" s="204">
        <v>45367</v>
      </c>
      <c r="AC95" s="205">
        <v>11</v>
      </c>
      <c r="AD95" s="116" t="s">
        <v>156</v>
      </c>
      <c r="AE95" s="117">
        <f>AVERAGEIFS(J325:J354,D325:D354,1,G325:G354,"sat")</f>
        <v>88200</v>
      </c>
      <c r="AF95" s="205">
        <f>COUNTIFS(D325:D354,1,G325:G354,"sat")</f>
        <v>5</v>
      </c>
      <c r="AG95" s="117"/>
      <c r="AH95" s="117">
        <f t="shared" si="17"/>
        <v>441000</v>
      </c>
      <c r="AI95" s="206">
        <f t="shared" si="110"/>
        <v>0.1995249406175772</v>
      </c>
      <c r="AJ95" s="525"/>
      <c r="AK95" s="113"/>
      <c r="AL95" s="39"/>
      <c r="AM95" s="39"/>
      <c r="AN95" s="39"/>
    </row>
    <row r="96" spans="1:40" ht="16.5" customHeight="1">
      <c r="A96" s="39"/>
      <c r="B96" s="50"/>
      <c r="C96" s="95">
        <f t="shared" si="19"/>
        <v>77</v>
      </c>
      <c r="D96" s="96">
        <v>1</v>
      </c>
      <c r="E96" s="194" t="str">
        <f t="shared" si="8"/>
        <v>3</v>
      </c>
      <c r="F96" s="195">
        <f t="shared" si="20"/>
        <v>45368</v>
      </c>
      <c r="G96" s="196" t="str">
        <f t="shared" si="9"/>
        <v>Sun</v>
      </c>
      <c r="H96" s="197" t="s">
        <v>157</v>
      </c>
      <c r="I96" s="198"/>
      <c r="J96" s="199">
        <v>105500</v>
      </c>
      <c r="K96" s="103"/>
      <c r="L96" s="104">
        <f t="shared" si="95"/>
        <v>101023.29896907216</v>
      </c>
      <c r="M96" s="105">
        <f t="shared" si="11"/>
        <v>4476.7010309278412</v>
      </c>
      <c r="N96" s="106">
        <f t="shared" si="12"/>
        <v>1.0443135502068523</v>
      </c>
      <c r="O96" s="200"/>
      <c r="P96" s="170">
        <f t="shared" si="97"/>
        <v>1515349.484536082</v>
      </c>
      <c r="Q96" s="104">
        <f t="shared" si="98"/>
        <v>1365400</v>
      </c>
      <c r="R96" s="108">
        <f t="shared" si="13"/>
        <v>-149949.48453608202</v>
      </c>
      <c r="S96" s="106">
        <f t="shared" si="14"/>
        <v>0.90104626948021271</v>
      </c>
      <c r="T96" s="133"/>
      <c r="U96" s="104">
        <f t="shared" si="23"/>
        <v>5571434.9381443309</v>
      </c>
      <c r="V96" s="104">
        <f t="shared" si="24"/>
        <v>5521450</v>
      </c>
      <c r="W96" s="108">
        <f t="shared" si="15"/>
        <v>-49984.938144330867</v>
      </c>
      <c r="X96" s="106">
        <f t="shared" si="16"/>
        <v>0.99102835468792549</v>
      </c>
      <c r="Y96" s="39"/>
      <c r="Z96" s="202">
        <f t="shared" ref="Z96:AA96" si="116">Z95+1</f>
        <v>45368</v>
      </c>
      <c r="AA96" s="203">
        <f t="shared" si="116"/>
        <v>45368</v>
      </c>
      <c r="AB96" s="204">
        <v>45368</v>
      </c>
      <c r="AC96" s="205">
        <v>11</v>
      </c>
      <c r="AD96" s="116" t="s">
        <v>158</v>
      </c>
      <c r="AE96" s="117">
        <f>IFERROR(AVERAGEIFS(J325:J354,D325:D354,1,G325:G354,"sun"),0)</f>
        <v>125262.5</v>
      </c>
      <c r="AF96" s="205">
        <f>IFERROR(COUNTIFS(D325:D354,1,G325:G354,"sun"),0)</f>
        <v>4</v>
      </c>
      <c r="AG96" s="117"/>
      <c r="AH96" s="117">
        <f t="shared" si="17"/>
        <v>501050</v>
      </c>
      <c r="AI96" s="206">
        <f t="shared" si="110"/>
        <v>0.22669381291709081</v>
      </c>
      <c r="AJ96" s="526"/>
      <c r="AK96" s="113"/>
      <c r="AL96" s="39"/>
      <c r="AM96" s="39"/>
      <c r="AN96" s="39"/>
    </row>
    <row r="97" spans="1:40" ht="16.5" customHeight="1">
      <c r="A97" s="39"/>
      <c r="B97" s="50"/>
      <c r="C97" s="95">
        <f t="shared" si="19"/>
        <v>78</v>
      </c>
      <c r="D97" s="96">
        <v>0</v>
      </c>
      <c r="E97" s="194" t="str">
        <f t="shared" si="8"/>
        <v>3</v>
      </c>
      <c r="F97" s="195">
        <f t="shared" si="20"/>
        <v>45369</v>
      </c>
      <c r="G97" s="196" t="str">
        <f t="shared" si="9"/>
        <v>Mon</v>
      </c>
      <c r="H97" s="197"/>
      <c r="I97" s="208"/>
      <c r="J97" s="209"/>
      <c r="K97" s="136"/>
      <c r="L97" s="104">
        <f t="shared" si="95"/>
        <v>0</v>
      </c>
      <c r="M97" s="105">
        <f t="shared" si="11"/>
        <v>0</v>
      </c>
      <c r="N97" s="106" t="str">
        <f t="shared" si="12"/>
        <v>0%</v>
      </c>
      <c r="O97" s="200"/>
      <c r="P97" s="170">
        <f t="shared" si="97"/>
        <v>0</v>
      </c>
      <c r="Q97" s="104">
        <f t="shared" si="98"/>
        <v>0</v>
      </c>
      <c r="R97" s="108">
        <f t="shared" si="13"/>
        <v>0</v>
      </c>
      <c r="S97" s="106" t="str">
        <f t="shared" si="14"/>
        <v>0%</v>
      </c>
      <c r="T97" s="133"/>
      <c r="U97" s="104">
        <f t="shared" si="23"/>
        <v>0</v>
      </c>
      <c r="V97" s="104">
        <f t="shared" si="24"/>
        <v>0</v>
      </c>
      <c r="W97" s="108">
        <f t="shared" si="15"/>
        <v>0</v>
      </c>
      <c r="X97" s="106" t="str">
        <f t="shared" si="16"/>
        <v>0%</v>
      </c>
      <c r="Y97" s="39"/>
      <c r="Z97" s="202">
        <f t="shared" ref="Z97:AA97" si="117">Z96+1</f>
        <v>45369</v>
      </c>
      <c r="AA97" s="203">
        <f t="shared" si="117"/>
        <v>45369</v>
      </c>
      <c r="AB97" s="204">
        <v>45369</v>
      </c>
      <c r="AC97" s="205">
        <v>12</v>
      </c>
      <c r="AD97" s="116" t="s">
        <v>15</v>
      </c>
      <c r="AE97" s="117">
        <f>AVERAGEIFS(J355:J385,D355:D385,1,G355:G385,"mon")</f>
        <v>76050</v>
      </c>
      <c r="AF97" s="205">
        <f>COUNTIFS(D355:D385,1,G355:G385,"Mon")</f>
        <v>1</v>
      </c>
      <c r="AG97" s="117"/>
      <c r="AH97" s="117">
        <f t="shared" si="17"/>
        <v>76050</v>
      </c>
      <c r="AI97" s="206">
        <f t="shared" ref="AI97:AI103" si="118">AH97/$M$17</f>
        <v>3.2139461172741683E-2</v>
      </c>
      <c r="AJ97" s="524">
        <f>SUM(AI97:AI103)</f>
        <v>1</v>
      </c>
      <c r="AK97" s="113" t="s">
        <v>121</v>
      </c>
      <c r="AL97" s="39"/>
      <c r="AM97" s="39"/>
      <c r="AN97" s="39"/>
    </row>
    <row r="98" spans="1:40" ht="16.5" customHeight="1">
      <c r="A98" s="39"/>
      <c r="B98" s="50"/>
      <c r="C98" s="95">
        <f t="shared" si="19"/>
        <v>79</v>
      </c>
      <c r="D98" s="96">
        <v>0</v>
      </c>
      <c r="E98" s="194" t="str">
        <f t="shared" si="8"/>
        <v>3</v>
      </c>
      <c r="F98" s="195">
        <f t="shared" si="20"/>
        <v>45370</v>
      </c>
      <c r="G98" s="196" t="str">
        <f t="shared" si="9"/>
        <v>Tue</v>
      </c>
      <c r="H98" s="197"/>
      <c r="I98" s="208"/>
      <c r="J98" s="209"/>
      <c r="K98" s="136"/>
      <c r="L98" s="104">
        <f t="shared" si="95"/>
        <v>0</v>
      </c>
      <c r="M98" s="105">
        <f t="shared" si="11"/>
        <v>0</v>
      </c>
      <c r="N98" s="106" t="str">
        <f t="shared" si="12"/>
        <v>0%</v>
      </c>
      <c r="O98" s="200"/>
      <c r="P98" s="170">
        <f t="shared" si="97"/>
        <v>0</v>
      </c>
      <c r="Q98" s="104">
        <f t="shared" si="98"/>
        <v>0</v>
      </c>
      <c r="R98" s="108">
        <f t="shared" si="13"/>
        <v>0</v>
      </c>
      <c r="S98" s="106" t="str">
        <f t="shared" si="14"/>
        <v>0%</v>
      </c>
      <c r="T98" s="133"/>
      <c r="U98" s="104">
        <f t="shared" si="23"/>
        <v>0</v>
      </c>
      <c r="V98" s="104">
        <f t="shared" si="24"/>
        <v>0</v>
      </c>
      <c r="W98" s="108">
        <f t="shared" si="15"/>
        <v>0</v>
      </c>
      <c r="X98" s="106" t="str">
        <f t="shared" si="16"/>
        <v>0%</v>
      </c>
      <c r="Y98" s="39"/>
      <c r="Z98" s="202">
        <f t="shared" ref="Z98:AA98" si="119">Z97+1</f>
        <v>45370</v>
      </c>
      <c r="AA98" s="203">
        <f t="shared" si="119"/>
        <v>45370</v>
      </c>
      <c r="AB98" s="204">
        <v>45370</v>
      </c>
      <c r="AC98" s="205">
        <v>12</v>
      </c>
      <c r="AD98" s="116" t="s">
        <v>151</v>
      </c>
      <c r="AE98" s="117">
        <f>AVERAGEIFS(J355:J385,D355:D385,1,G355:G385,"tue")</f>
        <v>121350</v>
      </c>
      <c r="AF98" s="205">
        <f>COUNTIFS(D355:D385,1,G355:G385,"tue")</f>
        <v>3</v>
      </c>
      <c r="AG98" s="117"/>
      <c r="AH98" s="117">
        <f t="shared" si="17"/>
        <v>364050</v>
      </c>
      <c r="AI98" s="206">
        <f t="shared" si="118"/>
        <v>0.15385103011093501</v>
      </c>
      <c r="AJ98" s="525"/>
      <c r="AK98" s="113"/>
      <c r="AL98" s="39"/>
      <c r="AM98" s="39"/>
      <c r="AN98" s="39"/>
    </row>
    <row r="99" spans="1:40" ht="16.5" customHeight="1">
      <c r="A99" s="39"/>
      <c r="B99" s="50"/>
      <c r="C99" s="95">
        <f t="shared" si="19"/>
        <v>80</v>
      </c>
      <c r="D99" s="96">
        <v>0</v>
      </c>
      <c r="E99" s="194" t="str">
        <f t="shared" si="8"/>
        <v>3</v>
      </c>
      <c r="F99" s="195">
        <f t="shared" si="20"/>
        <v>45371</v>
      </c>
      <c r="G99" s="196" t="str">
        <f t="shared" si="9"/>
        <v>Wed</v>
      </c>
      <c r="H99" s="197" t="s">
        <v>153</v>
      </c>
      <c r="I99" s="208"/>
      <c r="J99" s="209"/>
      <c r="K99" s="136"/>
      <c r="L99" s="104">
        <f t="shared" si="95"/>
        <v>0</v>
      </c>
      <c r="M99" s="105">
        <f t="shared" si="11"/>
        <v>0</v>
      </c>
      <c r="N99" s="106" t="str">
        <f t="shared" si="12"/>
        <v>0%</v>
      </c>
      <c r="O99" s="200"/>
      <c r="P99" s="170">
        <f t="shared" si="97"/>
        <v>0</v>
      </c>
      <c r="Q99" s="104">
        <f t="shared" si="98"/>
        <v>0</v>
      </c>
      <c r="R99" s="108">
        <f t="shared" si="13"/>
        <v>0</v>
      </c>
      <c r="S99" s="106" t="str">
        <f t="shared" si="14"/>
        <v>0%</v>
      </c>
      <c r="T99" s="134"/>
      <c r="U99" s="104">
        <f t="shared" si="23"/>
        <v>0</v>
      </c>
      <c r="V99" s="104">
        <f t="shared" si="24"/>
        <v>0</v>
      </c>
      <c r="W99" s="108">
        <f t="shared" si="15"/>
        <v>0</v>
      </c>
      <c r="X99" s="106" t="str">
        <f t="shared" si="16"/>
        <v>0%</v>
      </c>
      <c r="Y99" s="39"/>
      <c r="Z99" s="202">
        <f t="shared" ref="Z99:AA99" si="120">Z98+1</f>
        <v>45371</v>
      </c>
      <c r="AA99" s="203">
        <f t="shared" si="120"/>
        <v>45371</v>
      </c>
      <c r="AB99" s="204">
        <v>45371</v>
      </c>
      <c r="AC99" s="205">
        <v>12</v>
      </c>
      <c r="AD99" s="116" t="s">
        <v>152</v>
      </c>
      <c r="AE99" s="117">
        <f>AVERAGEIFS(J355:J385,D355:D385,1,G355:G385,"wed")</f>
        <v>125700</v>
      </c>
      <c r="AF99" s="205">
        <f>COUNTIFS(D355:D385,1,G355:G385,"wed")</f>
        <v>3</v>
      </c>
      <c r="AG99" s="117"/>
      <c r="AH99" s="117">
        <f t="shared" si="17"/>
        <v>377100</v>
      </c>
      <c r="AI99" s="206">
        <f t="shared" si="118"/>
        <v>0.15936608557844692</v>
      </c>
      <c r="AJ99" s="525"/>
      <c r="AK99" s="113"/>
      <c r="AL99" s="39"/>
      <c r="AM99" s="39"/>
      <c r="AN99" s="39"/>
    </row>
    <row r="100" spans="1:40" ht="16.5" customHeight="1">
      <c r="A100" s="39"/>
      <c r="B100" s="50"/>
      <c r="C100" s="95">
        <f t="shared" si="19"/>
        <v>81</v>
      </c>
      <c r="D100" s="96">
        <v>1</v>
      </c>
      <c r="E100" s="194" t="str">
        <f t="shared" si="8"/>
        <v>3</v>
      </c>
      <c r="F100" s="195">
        <f t="shared" si="20"/>
        <v>45372</v>
      </c>
      <c r="G100" s="196" t="str">
        <f t="shared" si="9"/>
        <v>Thu</v>
      </c>
      <c r="H100" s="197"/>
      <c r="I100" s="208"/>
      <c r="J100" s="209">
        <v>91750</v>
      </c>
      <c r="K100" s="136"/>
      <c r="L100" s="104">
        <f t="shared" si="95"/>
        <v>101023.29896907216</v>
      </c>
      <c r="M100" s="105">
        <f t="shared" si="11"/>
        <v>-9273.2989690721588</v>
      </c>
      <c r="N100" s="106">
        <f t="shared" si="12"/>
        <v>0.90820633394766548</v>
      </c>
      <c r="O100" s="200"/>
      <c r="P100" s="170">
        <f t="shared" si="97"/>
        <v>1616372.7835051541</v>
      </c>
      <c r="Q100" s="104">
        <f t="shared" si="98"/>
        <v>1457150</v>
      </c>
      <c r="R100" s="108">
        <f t="shared" si="13"/>
        <v>-159222.78350515408</v>
      </c>
      <c r="S100" s="106">
        <f t="shared" si="14"/>
        <v>0.90149377350942861</v>
      </c>
      <c r="T100" s="133"/>
      <c r="U100" s="104">
        <f t="shared" si="23"/>
        <v>5672458.2371134032</v>
      </c>
      <c r="V100" s="104">
        <f t="shared" si="24"/>
        <v>5613200</v>
      </c>
      <c r="W100" s="108">
        <f t="shared" si="15"/>
        <v>-59258.237113403156</v>
      </c>
      <c r="X100" s="106">
        <f t="shared" si="16"/>
        <v>0.98955334096147385</v>
      </c>
      <c r="Y100" s="39"/>
      <c r="Z100" s="202">
        <f t="shared" ref="Z100:AA100" si="121">Z99+1</f>
        <v>45372</v>
      </c>
      <c r="AA100" s="203">
        <f t="shared" si="121"/>
        <v>45372</v>
      </c>
      <c r="AB100" s="204">
        <v>45372</v>
      </c>
      <c r="AC100" s="205">
        <v>12</v>
      </c>
      <c r="AD100" s="116" t="s">
        <v>154</v>
      </c>
      <c r="AE100" s="117">
        <f>AVERAGEIFS(J355:J385,D355:D385,1,G355:G385,"thu")</f>
        <v>97950</v>
      </c>
      <c r="AF100" s="205">
        <f>COUNTIFS(D355:D385,1,G355:G385,"thu")</f>
        <v>4</v>
      </c>
      <c r="AG100" s="117"/>
      <c r="AH100" s="117">
        <f t="shared" si="17"/>
        <v>391800</v>
      </c>
      <c r="AI100" s="206">
        <f t="shared" si="118"/>
        <v>0.16557844690966719</v>
      </c>
      <c r="AJ100" s="525"/>
      <c r="AK100" s="113"/>
      <c r="AL100" s="39"/>
      <c r="AM100" s="39"/>
      <c r="AN100" s="39"/>
    </row>
    <row r="101" spans="1:40" ht="16.5" customHeight="1">
      <c r="A101" s="39"/>
      <c r="B101" s="50"/>
      <c r="C101" s="95">
        <f t="shared" si="19"/>
        <v>82</v>
      </c>
      <c r="D101" s="96">
        <v>1</v>
      </c>
      <c r="E101" s="194" t="str">
        <f t="shared" si="8"/>
        <v>3</v>
      </c>
      <c r="F101" s="195">
        <f t="shared" si="20"/>
        <v>45373</v>
      </c>
      <c r="G101" s="196" t="str">
        <f t="shared" si="9"/>
        <v>Fri</v>
      </c>
      <c r="H101" s="197"/>
      <c r="I101" s="208"/>
      <c r="J101" s="209">
        <v>88100</v>
      </c>
      <c r="K101" s="136"/>
      <c r="L101" s="104">
        <f t="shared" si="95"/>
        <v>101023.29896907216</v>
      </c>
      <c r="M101" s="105">
        <f t="shared" si="11"/>
        <v>-12923.298969072159</v>
      </c>
      <c r="N101" s="106">
        <f t="shared" si="12"/>
        <v>0.87207605472249949</v>
      </c>
      <c r="O101" s="200"/>
      <c r="P101" s="170">
        <f t="shared" si="97"/>
        <v>1717396.0824742261</v>
      </c>
      <c r="Q101" s="104">
        <f t="shared" si="98"/>
        <v>1545250</v>
      </c>
      <c r="R101" s="108">
        <f t="shared" si="13"/>
        <v>-172146.08247422613</v>
      </c>
      <c r="S101" s="106">
        <f t="shared" si="14"/>
        <v>0.8997633194631387</v>
      </c>
      <c r="T101" s="133"/>
      <c r="U101" s="104">
        <f t="shared" si="23"/>
        <v>5773481.5360824754</v>
      </c>
      <c r="V101" s="104">
        <f t="shared" si="24"/>
        <v>5701300</v>
      </c>
      <c r="W101" s="108">
        <f t="shared" si="15"/>
        <v>-72181.536082475446</v>
      </c>
      <c r="X101" s="106">
        <f t="shared" si="16"/>
        <v>0.98749774540173674</v>
      </c>
      <c r="Y101" s="39"/>
      <c r="Z101" s="202">
        <f t="shared" ref="Z101:AA101" si="122">Z100+1</f>
        <v>45373</v>
      </c>
      <c r="AA101" s="203">
        <f t="shared" si="122"/>
        <v>45373</v>
      </c>
      <c r="AB101" s="204">
        <v>45373</v>
      </c>
      <c r="AC101" s="205">
        <v>12</v>
      </c>
      <c r="AD101" s="116" t="s">
        <v>155</v>
      </c>
      <c r="AE101" s="117">
        <f>AVERAGEIFS(J355:J385,D355:D385,1,G355:G385,"fri")</f>
        <v>124712.5</v>
      </c>
      <c r="AF101" s="205">
        <f>COUNTIFS(D355:D385,1,G355:G385,"fri")</f>
        <v>4</v>
      </c>
      <c r="AG101" s="117"/>
      <c r="AH101" s="117">
        <f t="shared" si="17"/>
        <v>498850</v>
      </c>
      <c r="AI101" s="206">
        <f t="shared" si="118"/>
        <v>0.2108188061278394</v>
      </c>
      <c r="AJ101" s="525"/>
      <c r="AK101" s="113"/>
      <c r="AL101" s="39"/>
      <c r="AM101" s="39"/>
      <c r="AN101" s="39"/>
    </row>
    <row r="102" spans="1:40" ht="16.5" customHeight="1">
      <c r="A102" s="39"/>
      <c r="B102" s="50"/>
      <c r="C102" s="95">
        <f t="shared" si="19"/>
        <v>83</v>
      </c>
      <c r="D102" s="96">
        <v>1</v>
      </c>
      <c r="E102" s="194" t="str">
        <f t="shared" si="8"/>
        <v>3</v>
      </c>
      <c r="F102" s="195">
        <f t="shared" si="20"/>
        <v>45374</v>
      </c>
      <c r="G102" s="196" t="str">
        <f t="shared" si="9"/>
        <v>Sat</v>
      </c>
      <c r="H102" s="197"/>
      <c r="I102" s="208"/>
      <c r="J102" s="209">
        <v>111100</v>
      </c>
      <c r="K102" s="136"/>
      <c r="L102" s="104">
        <f t="shared" si="95"/>
        <v>101023.29896907216</v>
      </c>
      <c r="M102" s="105">
        <f t="shared" si="11"/>
        <v>10076.701030927841</v>
      </c>
      <c r="N102" s="106">
        <f t="shared" si="12"/>
        <v>1.0997463073742304</v>
      </c>
      <c r="O102" s="200"/>
      <c r="P102" s="170">
        <f t="shared" si="97"/>
        <v>1818419.3814432982</v>
      </c>
      <c r="Q102" s="104">
        <f t="shared" si="98"/>
        <v>1656350</v>
      </c>
      <c r="R102" s="108">
        <f t="shared" si="13"/>
        <v>-162069.38144329819</v>
      </c>
      <c r="S102" s="106">
        <f t="shared" si="14"/>
        <v>0.91087348545819935</v>
      </c>
      <c r="T102" s="134"/>
      <c r="U102" s="104">
        <f t="shared" si="23"/>
        <v>5874504.8350515477</v>
      </c>
      <c r="V102" s="104">
        <f t="shared" si="24"/>
        <v>5812400</v>
      </c>
      <c r="W102" s="108">
        <f t="shared" si="15"/>
        <v>-62104.835051547736</v>
      </c>
      <c r="X102" s="106">
        <f t="shared" si="16"/>
        <v>0.98942807320865833</v>
      </c>
      <c r="Y102" s="39"/>
      <c r="Z102" s="202">
        <f t="shared" ref="Z102:AA102" si="123">Z101+1</f>
        <v>45374</v>
      </c>
      <c r="AA102" s="203">
        <f t="shared" si="123"/>
        <v>45374</v>
      </c>
      <c r="AB102" s="204">
        <v>45374</v>
      </c>
      <c r="AC102" s="205">
        <v>12</v>
      </c>
      <c r="AD102" s="116" t="s">
        <v>156</v>
      </c>
      <c r="AE102" s="117">
        <f>AVERAGEIFS(J355:J385,D355:D385,1,G355:G385,"sat")</f>
        <v>82450</v>
      </c>
      <c r="AF102" s="205">
        <f>COUNTIFS(D355:D385,1,G355:G385,"sat")</f>
        <v>4</v>
      </c>
      <c r="AG102" s="117"/>
      <c r="AH102" s="117">
        <f t="shared" si="17"/>
        <v>329800</v>
      </c>
      <c r="AI102" s="206">
        <f t="shared" si="118"/>
        <v>0.13937665081880612</v>
      </c>
      <c r="AJ102" s="525"/>
      <c r="AK102" s="113"/>
      <c r="AL102" s="39"/>
      <c r="AM102" s="39"/>
      <c r="AN102" s="39"/>
    </row>
    <row r="103" spans="1:40" ht="16.5" customHeight="1">
      <c r="A103" s="39"/>
      <c r="B103" s="50"/>
      <c r="C103" s="95">
        <f t="shared" si="19"/>
        <v>84</v>
      </c>
      <c r="D103" s="96">
        <v>1</v>
      </c>
      <c r="E103" s="194" t="str">
        <f t="shared" si="8"/>
        <v>3</v>
      </c>
      <c r="F103" s="195">
        <f t="shared" si="20"/>
        <v>45375</v>
      </c>
      <c r="G103" s="196" t="str">
        <f t="shared" si="9"/>
        <v>Sun</v>
      </c>
      <c r="H103" s="197" t="s">
        <v>157</v>
      </c>
      <c r="I103" s="208"/>
      <c r="J103" s="209">
        <v>114900</v>
      </c>
      <c r="K103" s="136"/>
      <c r="L103" s="104">
        <f t="shared" si="95"/>
        <v>101023.29896907216</v>
      </c>
      <c r="M103" s="105">
        <f t="shared" si="11"/>
        <v>13876.701030927841</v>
      </c>
      <c r="N103" s="106">
        <f t="shared" si="12"/>
        <v>1.1373613925949511</v>
      </c>
      <c r="O103" s="200"/>
      <c r="P103" s="170">
        <f t="shared" si="97"/>
        <v>1919442.6804123702</v>
      </c>
      <c r="Q103" s="104">
        <f t="shared" si="98"/>
        <v>1771250</v>
      </c>
      <c r="R103" s="108">
        <f t="shared" si="13"/>
        <v>-148192.68041237025</v>
      </c>
      <c r="S103" s="106">
        <f t="shared" si="14"/>
        <v>0.92279390162329167</v>
      </c>
      <c r="T103" s="133"/>
      <c r="U103" s="104">
        <f t="shared" si="23"/>
        <v>5975528.13402062</v>
      </c>
      <c r="V103" s="104">
        <f t="shared" si="24"/>
        <v>5927300</v>
      </c>
      <c r="W103" s="108">
        <f t="shared" si="15"/>
        <v>-48228.134020620026</v>
      </c>
      <c r="X103" s="106">
        <f t="shared" si="16"/>
        <v>0.99192905916616114</v>
      </c>
      <c r="Y103" s="39"/>
      <c r="Z103" s="202">
        <f t="shared" ref="Z103:AA103" si="124">Z102+1</f>
        <v>45375</v>
      </c>
      <c r="AA103" s="203">
        <f t="shared" si="124"/>
        <v>45375</v>
      </c>
      <c r="AB103" s="204">
        <v>45375</v>
      </c>
      <c r="AC103" s="205">
        <v>12</v>
      </c>
      <c r="AD103" s="116" t="s">
        <v>158</v>
      </c>
      <c r="AE103" s="117">
        <f>IFERROR(AVERAGEIFS(J355:J385,D355:D385,1,G355:G385,"sun"),0)</f>
        <v>65720</v>
      </c>
      <c r="AF103" s="205">
        <f>IFERROR(COUNTIFS(D355:D385,1,G355:G385,"sun"),0)</f>
        <v>5</v>
      </c>
      <c r="AG103" s="117"/>
      <c r="AH103" s="117">
        <f t="shared" si="17"/>
        <v>328600</v>
      </c>
      <c r="AI103" s="206">
        <f t="shared" si="118"/>
        <v>0.13886951928156366</v>
      </c>
      <c r="AJ103" s="526"/>
      <c r="AK103" s="113"/>
      <c r="AL103" s="39"/>
      <c r="AM103" s="39"/>
      <c r="AN103" s="39"/>
    </row>
    <row r="104" spans="1:40" ht="16.5" customHeight="1">
      <c r="A104" s="39"/>
      <c r="B104" s="50"/>
      <c r="C104" s="95">
        <f t="shared" si="19"/>
        <v>85</v>
      </c>
      <c r="D104" s="96">
        <v>0</v>
      </c>
      <c r="E104" s="194" t="str">
        <f t="shared" si="8"/>
        <v>3</v>
      </c>
      <c r="F104" s="195">
        <f t="shared" si="20"/>
        <v>45376</v>
      </c>
      <c r="G104" s="196" t="str">
        <f t="shared" si="9"/>
        <v>Mon</v>
      </c>
      <c r="H104" s="197"/>
      <c r="I104" s="208"/>
      <c r="J104" s="209"/>
      <c r="K104" s="136"/>
      <c r="L104" s="104">
        <f t="shared" si="95"/>
        <v>0</v>
      </c>
      <c r="M104" s="105">
        <f t="shared" si="11"/>
        <v>0</v>
      </c>
      <c r="N104" s="106" t="str">
        <f t="shared" si="12"/>
        <v>0%</v>
      </c>
      <c r="O104" s="200"/>
      <c r="P104" s="170">
        <f t="shared" si="97"/>
        <v>0</v>
      </c>
      <c r="Q104" s="104">
        <f t="shared" si="98"/>
        <v>0</v>
      </c>
      <c r="R104" s="108">
        <f t="shared" si="13"/>
        <v>0</v>
      </c>
      <c r="S104" s="106" t="str">
        <f t="shared" si="14"/>
        <v>0%</v>
      </c>
      <c r="T104" s="133"/>
      <c r="U104" s="104">
        <f t="shared" si="23"/>
        <v>0</v>
      </c>
      <c r="V104" s="104">
        <f t="shared" si="24"/>
        <v>0</v>
      </c>
      <c r="W104" s="108">
        <f t="shared" si="15"/>
        <v>0</v>
      </c>
      <c r="X104" s="106" t="str">
        <f t="shared" si="16"/>
        <v>0%</v>
      </c>
      <c r="Y104" s="39"/>
      <c r="Z104" s="202">
        <f t="shared" ref="Z104:AA104" si="125">Z103+1</f>
        <v>45376</v>
      </c>
      <c r="AA104" s="203">
        <f t="shared" si="125"/>
        <v>45376</v>
      </c>
      <c r="AB104" s="204">
        <v>45376</v>
      </c>
      <c r="AC104" s="39"/>
      <c r="AD104" s="39"/>
      <c r="AE104" s="39"/>
      <c r="AF104" s="39"/>
      <c r="AG104" s="114"/>
      <c r="AH104" s="39"/>
      <c r="AI104" s="39"/>
      <c r="AJ104" s="39"/>
      <c r="AK104" s="39"/>
      <c r="AL104" s="39"/>
      <c r="AM104" s="39"/>
      <c r="AN104" s="39"/>
    </row>
    <row r="105" spans="1:40" ht="16.5" customHeight="1">
      <c r="A105" s="39"/>
      <c r="B105" s="50"/>
      <c r="C105" s="95">
        <f t="shared" si="19"/>
        <v>86</v>
      </c>
      <c r="D105" s="96">
        <v>1</v>
      </c>
      <c r="E105" s="194" t="str">
        <f t="shared" si="8"/>
        <v>3</v>
      </c>
      <c r="F105" s="195">
        <f t="shared" si="20"/>
        <v>45377</v>
      </c>
      <c r="G105" s="196" t="str">
        <f t="shared" si="9"/>
        <v>Tue</v>
      </c>
      <c r="H105" s="197"/>
      <c r="I105" s="208"/>
      <c r="J105" s="209">
        <v>124900</v>
      </c>
      <c r="K105" s="136"/>
      <c r="L105" s="104">
        <f t="shared" si="95"/>
        <v>101023.29896907216</v>
      </c>
      <c r="M105" s="105">
        <f t="shared" si="11"/>
        <v>23876.701030927841</v>
      </c>
      <c r="N105" s="106">
        <f t="shared" si="12"/>
        <v>1.2363484589652689</v>
      </c>
      <c r="O105" s="200"/>
      <c r="P105" s="170">
        <f t="shared" si="97"/>
        <v>2020465.9793814423</v>
      </c>
      <c r="Q105" s="104">
        <f t="shared" si="98"/>
        <v>1896150</v>
      </c>
      <c r="R105" s="108">
        <f t="shared" si="13"/>
        <v>-124315.9793814423</v>
      </c>
      <c r="S105" s="106">
        <f t="shared" si="14"/>
        <v>0.93847162949039054</v>
      </c>
      <c r="T105" s="133"/>
      <c r="U105" s="104">
        <f t="shared" si="23"/>
        <v>6076551.4329896923</v>
      </c>
      <c r="V105" s="104">
        <f t="shared" si="24"/>
        <v>6052200</v>
      </c>
      <c r="W105" s="108">
        <f t="shared" si="15"/>
        <v>-24351.432989692315</v>
      </c>
      <c r="X105" s="106">
        <f t="shared" si="16"/>
        <v>0.99599255708468326</v>
      </c>
      <c r="Y105" s="39"/>
      <c r="Z105" s="202">
        <f t="shared" ref="Z105:AA105" si="126">Z104+1</f>
        <v>45377</v>
      </c>
      <c r="AA105" s="203">
        <f t="shared" si="126"/>
        <v>45377</v>
      </c>
      <c r="AB105" s="204">
        <v>45377</v>
      </c>
      <c r="AC105" s="39"/>
      <c r="AD105" s="39"/>
      <c r="AE105" s="39"/>
      <c r="AF105" s="39"/>
      <c r="AG105" s="114"/>
      <c r="AH105" s="39"/>
      <c r="AI105" s="39"/>
      <c r="AJ105" s="39"/>
      <c r="AK105" s="39"/>
      <c r="AL105" s="39"/>
      <c r="AM105" s="39"/>
      <c r="AN105" s="39"/>
    </row>
    <row r="106" spans="1:40" ht="16.5" customHeight="1">
      <c r="A106" s="39"/>
      <c r="B106" s="50"/>
      <c r="C106" s="95">
        <f t="shared" si="19"/>
        <v>87</v>
      </c>
      <c r="D106" s="96">
        <v>1</v>
      </c>
      <c r="E106" s="194" t="str">
        <f t="shared" si="8"/>
        <v>3</v>
      </c>
      <c r="F106" s="195">
        <f t="shared" si="20"/>
        <v>45378</v>
      </c>
      <c r="G106" s="196" t="str">
        <f t="shared" si="9"/>
        <v>Wed</v>
      </c>
      <c r="H106" s="197"/>
      <c r="I106" s="208"/>
      <c r="J106" s="209">
        <v>127650</v>
      </c>
      <c r="K106" s="136"/>
      <c r="L106" s="104">
        <f t="shared" si="95"/>
        <v>101023.29896907216</v>
      </c>
      <c r="M106" s="105">
        <f t="shared" si="11"/>
        <v>26626.701030927841</v>
      </c>
      <c r="N106" s="106">
        <f t="shared" si="12"/>
        <v>1.2635699022171063</v>
      </c>
      <c r="O106" s="200"/>
      <c r="P106" s="170">
        <f t="shared" si="97"/>
        <v>2121489.2783505144</v>
      </c>
      <c r="Q106" s="104">
        <f t="shared" si="98"/>
        <v>2023800</v>
      </c>
      <c r="R106" s="108">
        <f t="shared" si="13"/>
        <v>-97689.27835051436</v>
      </c>
      <c r="S106" s="106">
        <f t="shared" si="14"/>
        <v>0.95395249962023421</v>
      </c>
      <c r="T106" s="133"/>
      <c r="U106" s="104">
        <f t="shared" si="23"/>
        <v>6177574.7319587646</v>
      </c>
      <c r="V106" s="104">
        <f t="shared" si="24"/>
        <v>6179850</v>
      </c>
      <c r="W106" s="108">
        <f t="shared" si="15"/>
        <v>2275.2680412353948</v>
      </c>
      <c r="X106" s="106">
        <f t="shared" si="16"/>
        <v>1.0003683108889747</v>
      </c>
      <c r="Y106" s="39"/>
      <c r="Z106" s="202">
        <f t="shared" ref="Z106:AA106" si="127">Z105+1</f>
        <v>45378</v>
      </c>
      <c r="AA106" s="203">
        <f t="shared" si="127"/>
        <v>45378</v>
      </c>
      <c r="AB106" s="204">
        <v>45378</v>
      </c>
      <c r="AC106" s="39"/>
      <c r="AD106" s="39"/>
      <c r="AE106" s="39"/>
      <c r="AF106" s="39"/>
      <c r="AG106" s="114"/>
      <c r="AH106" s="39"/>
      <c r="AI106" s="39"/>
      <c r="AJ106" s="39"/>
      <c r="AK106" s="39"/>
      <c r="AL106" s="39"/>
      <c r="AM106" s="39"/>
      <c r="AN106" s="39"/>
    </row>
    <row r="107" spans="1:40" ht="16.5" customHeight="1">
      <c r="A107" s="39"/>
      <c r="B107" s="50"/>
      <c r="C107" s="95">
        <f t="shared" si="19"/>
        <v>88</v>
      </c>
      <c r="D107" s="96">
        <v>1</v>
      </c>
      <c r="E107" s="194" t="str">
        <f t="shared" si="8"/>
        <v>3</v>
      </c>
      <c r="F107" s="195">
        <f t="shared" si="20"/>
        <v>45379</v>
      </c>
      <c r="G107" s="196" t="str">
        <f t="shared" si="9"/>
        <v>Thu</v>
      </c>
      <c r="H107" s="197"/>
      <c r="I107" s="208"/>
      <c r="J107" s="209">
        <v>89300</v>
      </c>
      <c r="K107" s="136"/>
      <c r="L107" s="104">
        <f t="shared" si="95"/>
        <v>101023.29896907216</v>
      </c>
      <c r="M107" s="105">
        <f t="shared" si="11"/>
        <v>-11723.298969072159</v>
      </c>
      <c r="N107" s="106">
        <f t="shared" si="12"/>
        <v>0.88395450268693765</v>
      </c>
      <c r="O107" s="200"/>
      <c r="P107" s="170">
        <f t="shared" si="97"/>
        <v>2222512.5773195866</v>
      </c>
      <c r="Q107" s="104">
        <f t="shared" si="98"/>
        <v>2113100</v>
      </c>
      <c r="R107" s="108">
        <f t="shared" si="13"/>
        <v>-109412.57731958665</v>
      </c>
      <c r="S107" s="106">
        <f t="shared" si="14"/>
        <v>0.95077077248690245</v>
      </c>
      <c r="T107" s="133"/>
      <c r="U107" s="104">
        <f t="shared" si="23"/>
        <v>6278598.0309278369</v>
      </c>
      <c r="V107" s="104">
        <f t="shared" si="24"/>
        <v>6269150</v>
      </c>
      <c r="W107" s="108">
        <f t="shared" si="15"/>
        <v>-9448.030927836895</v>
      </c>
      <c r="X107" s="106">
        <f t="shared" si="16"/>
        <v>0.99849520053978669</v>
      </c>
      <c r="Y107" s="39"/>
      <c r="Z107" s="202">
        <f t="shared" ref="Z107:AA107" si="128">Z106+1</f>
        <v>45379</v>
      </c>
      <c r="AA107" s="203">
        <f t="shared" si="128"/>
        <v>45379</v>
      </c>
      <c r="AB107" s="204">
        <v>45379</v>
      </c>
      <c r="AC107" s="39"/>
      <c r="AD107" s="39"/>
      <c r="AE107" s="39"/>
      <c r="AF107" s="39"/>
      <c r="AG107" s="114"/>
      <c r="AH107" s="39"/>
      <c r="AI107" s="39"/>
      <c r="AJ107" s="39"/>
      <c r="AK107" s="39"/>
      <c r="AL107" s="39"/>
      <c r="AM107" s="39"/>
      <c r="AN107" s="39"/>
    </row>
    <row r="108" spans="1:40" ht="16.5" customHeight="1">
      <c r="A108" s="39"/>
      <c r="B108" s="50"/>
      <c r="C108" s="95">
        <f t="shared" si="19"/>
        <v>89</v>
      </c>
      <c r="D108" s="96">
        <v>1</v>
      </c>
      <c r="E108" s="194" t="str">
        <f t="shared" si="8"/>
        <v>3</v>
      </c>
      <c r="F108" s="195">
        <f t="shared" si="20"/>
        <v>45380</v>
      </c>
      <c r="G108" s="196" t="str">
        <f t="shared" si="9"/>
        <v>Fri</v>
      </c>
      <c r="H108" s="197"/>
      <c r="I108" s="208"/>
      <c r="J108" s="209">
        <v>177900</v>
      </c>
      <c r="K108" s="136"/>
      <c r="L108" s="104">
        <f t="shared" si="95"/>
        <v>101023.29896907216</v>
      </c>
      <c r="M108" s="105">
        <f t="shared" si="11"/>
        <v>76876.701030927841</v>
      </c>
      <c r="N108" s="106">
        <f t="shared" si="12"/>
        <v>1.7609799107279531</v>
      </c>
      <c r="O108" s="200"/>
      <c r="P108" s="170">
        <f t="shared" si="97"/>
        <v>2323535.8762886589</v>
      </c>
      <c r="Q108" s="104">
        <f t="shared" si="98"/>
        <v>2291000</v>
      </c>
      <c r="R108" s="108">
        <f t="shared" si="13"/>
        <v>-32535.876288658939</v>
      </c>
      <c r="S108" s="106">
        <f t="shared" si="14"/>
        <v>0.98599725675825245</v>
      </c>
      <c r="T108" s="133"/>
      <c r="U108" s="104">
        <f t="shared" si="23"/>
        <v>6379621.3298969092</v>
      </c>
      <c r="V108" s="104">
        <f t="shared" si="24"/>
        <v>6447050</v>
      </c>
      <c r="W108" s="108">
        <f t="shared" si="15"/>
        <v>67428.670103090815</v>
      </c>
      <c r="X108" s="106">
        <f t="shared" si="16"/>
        <v>1.0105693843907473</v>
      </c>
      <c r="Y108" s="39"/>
      <c r="Z108" s="202">
        <f t="shared" ref="Z108:AA108" si="129">Z107+1</f>
        <v>45380</v>
      </c>
      <c r="AA108" s="203">
        <f t="shared" si="129"/>
        <v>45380</v>
      </c>
      <c r="AB108" s="204">
        <v>45380</v>
      </c>
      <c r="AC108" s="39"/>
      <c r="AD108" s="39"/>
      <c r="AE108" s="39"/>
      <c r="AF108" s="39"/>
      <c r="AG108" s="114"/>
      <c r="AH108" s="39"/>
      <c r="AI108" s="39"/>
      <c r="AJ108" s="39"/>
      <c r="AK108" s="39"/>
      <c r="AL108" s="39"/>
      <c r="AM108" s="39"/>
      <c r="AN108" s="39"/>
    </row>
    <row r="109" spans="1:40" ht="16.5" customHeight="1">
      <c r="A109" s="39"/>
      <c r="B109" s="50"/>
      <c r="C109" s="95">
        <f t="shared" si="19"/>
        <v>90</v>
      </c>
      <c r="D109" s="96">
        <v>1</v>
      </c>
      <c r="E109" s="194" t="str">
        <f t="shared" si="8"/>
        <v>3</v>
      </c>
      <c r="F109" s="195">
        <f t="shared" si="20"/>
        <v>45381</v>
      </c>
      <c r="G109" s="196" t="str">
        <f t="shared" si="9"/>
        <v>Sat</v>
      </c>
      <c r="H109" s="197"/>
      <c r="I109" s="208"/>
      <c r="J109" s="209">
        <v>79000</v>
      </c>
      <c r="K109" s="136"/>
      <c r="L109" s="104">
        <f t="shared" si="95"/>
        <v>101023.29896907216</v>
      </c>
      <c r="M109" s="105">
        <f t="shared" si="11"/>
        <v>-22023.298969072159</v>
      </c>
      <c r="N109" s="106">
        <f t="shared" si="12"/>
        <v>0.78199782432551035</v>
      </c>
      <c r="O109" s="200"/>
      <c r="P109" s="170">
        <f t="shared" si="97"/>
        <v>2424559.1752577312</v>
      </c>
      <c r="Q109" s="104">
        <f t="shared" si="98"/>
        <v>2370000</v>
      </c>
      <c r="R109" s="108">
        <f t="shared" si="13"/>
        <v>-54559.175257731229</v>
      </c>
      <c r="S109" s="106">
        <f t="shared" si="14"/>
        <v>0.97749728040688821</v>
      </c>
      <c r="T109" s="134"/>
      <c r="U109" s="104">
        <f t="shared" si="23"/>
        <v>6480644.6288659815</v>
      </c>
      <c r="V109" s="104">
        <f t="shared" si="24"/>
        <v>6526050</v>
      </c>
      <c r="W109" s="108">
        <f t="shared" si="15"/>
        <v>45405.371134018525</v>
      </c>
      <c r="X109" s="106">
        <f t="shared" si="16"/>
        <v>1.0070063047326765</v>
      </c>
      <c r="Y109" s="39"/>
      <c r="Z109" s="202">
        <f t="shared" ref="Z109:AA109" si="130">Z108+1</f>
        <v>45381</v>
      </c>
      <c r="AA109" s="203">
        <f t="shared" si="130"/>
        <v>45381</v>
      </c>
      <c r="AB109" s="204">
        <v>45381</v>
      </c>
      <c r="AC109" s="39"/>
      <c r="AD109" s="39"/>
      <c r="AE109" s="39"/>
      <c r="AF109" s="39"/>
      <c r="AG109" s="114"/>
      <c r="AH109" s="39"/>
      <c r="AI109" s="39"/>
      <c r="AJ109" s="39"/>
      <c r="AK109" s="39"/>
      <c r="AL109" s="39"/>
      <c r="AM109" s="39"/>
      <c r="AN109" s="39"/>
    </row>
    <row r="110" spans="1:40" ht="16.5" customHeight="1">
      <c r="A110" s="39"/>
      <c r="B110" s="50"/>
      <c r="C110" s="160">
        <f t="shared" si="19"/>
        <v>91</v>
      </c>
      <c r="D110" s="138">
        <v>1</v>
      </c>
      <c r="E110" s="210" t="str">
        <f t="shared" si="8"/>
        <v>3</v>
      </c>
      <c r="F110" s="211">
        <f t="shared" si="20"/>
        <v>45382</v>
      </c>
      <c r="G110" s="196" t="str">
        <f t="shared" si="9"/>
        <v>Sun</v>
      </c>
      <c r="H110" s="213" t="s">
        <v>157</v>
      </c>
      <c r="I110" s="214"/>
      <c r="J110" s="215">
        <v>130050</v>
      </c>
      <c r="K110" s="136"/>
      <c r="L110" s="165">
        <f t="shared" si="95"/>
        <v>101023.29896907216</v>
      </c>
      <c r="M110" s="147">
        <f t="shared" si="11"/>
        <v>29026.701030927841</v>
      </c>
      <c r="N110" s="161">
        <f t="shared" si="12"/>
        <v>1.2873267981459826</v>
      </c>
      <c r="O110" s="216"/>
      <c r="P110" s="150">
        <f t="shared" si="97"/>
        <v>2525582.4742268035</v>
      </c>
      <c r="Q110" s="165">
        <f t="shared" si="98"/>
        <v>2500050</v>
      </c>
      <c r="R110" s="167">
        <f t="shared" si="13"/>
        <v>-25532.474226803519</v>
      </c>
      <c r="S110" s="161">
        <f t="shared" si="14"/>
        <v>0.98989046111645185</v>
      </c>
      <c r="T110" s="149"/>
      <c r="U110" s="165">
        <f t="shared" si="23"/>
        <v>6581667.9278350538</v>
      </c>
      <c r="V110" s="165">
        <f t="shared" si="24"/>
        <v>6656100</v>
      </c>
      <c r="W110" s="167">
        <f t="shared" si="15"/>
        <v>74432.072164946236</v>
      </c>
      <c r="X110" s="161">
        <f t="shared" si="16"/>
        <v>1.0113089984151524</v>
      </c>
      <c r="Y110" s="39"/>
      <c r="Z110" s="202">
        <f t="shared" ref="Z110:AA110" si="131">Z109+1</f>
        <v>45382</v>
      </c>
      <c r="AA110" s="203">
        <f t="shared" si="131"/>
        <v>45382</v>
      </c>
      <c r="AB110" s="204">
        <v>45382</v>
      </c>
      <c r="AC110" s="39"/>
      <c r="AD110" s="39"/>
      <c r="AE110" s="39"/>
      <c r="AF110" s="39"/>
      <c r="AG110" s="114"/>
      <c r="AH110" s="39"/>
      <c r="AI110" s="39"/>
      <c r="AJ110" s="39"/>
      <c r="AK110" s="39"/>
      <c r="AL110" s="39"/>
      <c r="AM110" s="39"/>
      <c r="AN110" s="39"/>
    </row>
    <row r="111" spans="1:40" ht="16.5" customHeight="1">
      <c r="A111" s="39"/>
      <c r="B111" s="50"/>
      <c r="C111" s="95">
        <f t="shared" si="19"/>
        <v>92</v>
      </c>
      <c r="D111" s="155">
        <v>0</v>
      </c>
      <c r="E111" s="194" t="str">
        <f t="shared" si="8"/>
        <v>4</v>
      </c>
      <c r="F111" s="195">
        <f t="shared" si="20"/>
        <v>45383</v>
      </c>
      <c r="G111" s="196" t="str">
        <f t="shared" si="9"/>
        <v>Mon</v>
      </c>
      <c r="H111" s="197"/>
      <c r="I111" s="208"/>
      <c r="J111" s="209"/>
      <c r="K111" s="136"/>
      <c r="L111" s="104">
        <f t="shared" ref="L111:L140" si="132">IF(D111=0,0,$K$9)</f>
        <v>0</v>
      </c>
      <c r="M111" s="108">
        <f t="shared" si="11"/>
        <v>0</v>
      </c>
      <c r="N111" s="156" t="str">
        <f t="shared" si="12"/>
        <v>0%</v>
      </c>
      <c r="O111" s="200"/>
      <c r="P111" s="111">
        <f>IF(D111=0,0,$L$111)</f>
        <v>0</v>
      </c>
      <c r="Q111" s="104">
        <f>IF(D111=0,0,$J$111)</f>
        <v>0</v>
      </c>
      <c r="R111" s="108">
        <f t="shared" si="13"/>
        <v>0</v>
      </c>
      <c r="S111" s="156" t="str">
        <f t="shared" si="14"/>
        <v>0%</v>
      </c>
      <c r="T111" s="133"/>
      <c r="U111" s="104">
        <f t="shared" si="23"/>
        <v>0</v>
      </c>
      <c r="V111" s="104">
        <f t="shared" si="24"/>
        <v>0</v>
      </c>
      <c r="W111" s="108">
        <f t="shared" si="15"/>
        <v>0</v>
      </c>
      <c r="X111" s="156" t="str">
        <f t="shared" si="16"/>
        <v>0%</v>
      </c>
      <c r="Y111" s="39"/>
      <c r="Z111" s="202">
        <f t="shared" ref="Z111:AA111" si="133">Z110+1</f>
        <v>45383</v>
      </c>
      <c r="AA111" s="203">
        <f t="shared" si="133"/>
        <v>45383</v>
      </c>
      <c r="AB111" s="204">
        <v>45383</v>
      </c>
      <c r="AC111" s="39"/>
      <c r="AD111" s="39"/>
      <c r="AE111" s="39"/>
      <c r="AF111" s="39"/>
      <c r="AG111" s="114"/>
      <c r="AH111" s="39"/>
      <c r="AI111" s="39"/>
      <c r="AJ111" s="39"/>
      <c r="AK111" s="39"/>
      <c r="AL111" s="39"/>
      <c r="AM111" s="39"/>
      <c r="AN111" s="39"/>
    </row>
    <row r="112" spans="1:40" ht="16.5" customHeight="1">
      <c r="A112" s="39"/>
      <c r="B112" s="50"/>
      <c r="C112" s="95">
        <f t="shared" si="19"/>
        <v>93</v>
      </c>
      <c r="D112" s="96">
        <v>1</v>
      </c>
      <c r="E112" s="194" t="str">
        <f t="shared" si="8"/>
        <v>4</v>
      </c>
      <c r="F112" s="195">
        <f t="shared" si="20"/>
        <v>45384</v>
      </c>
      <c r="G112" s="196" t="str">
        <f t="shared" si="9"/>
        <v>Tue</v>
      </c>
      <c r="H112" s="197"/>
      <c r="I112" s="208"/>
      <c r="J112" s="209">
        <v>57350</v>
      </c>
      <c r="K112" s="136"/>
      <c r="L112" s="104">
        <f t="shared" si="132"/>
        <v>106074.46391752576</v>
      </c>
      <c r="M112" s="105">
        <f t="shared" si="11"/>
        <v>-48724.463917525762</v>
      </c>
      <c r="N112" s="106">
        <f t="shared" si="12"/>
        <v>0.54065792917502131</v>
      </c>
      <c r="O112" s="200"/>
      <c r="P112" s="170">
        <f t="shared" ref="P112:P140" si="134">IF(D112=0,0,SUM($L$111:L112))</f>
        <v>106074.46391752576</v>
      </c>
      <c r="Q112" s="104">
        <f t="shared" ref="Q112:Q140" si="135">IF(D112=0,0,SUM($J$111:J112))</f>
        <v>57350</v>
      </c>
      <c r="R112" s="108">
        <f t="shared" si="13"/>
        <v>-48724.463917525762</v>
      </c>
      <c r="S112" s="106">
        <f t="shared" si="14"/>
        <v>0.54065792917502131</v>
      </c>
      <c r="T112" s="133"/>
      <c r="U112" s="104">
        <f t="shared" si="23"/>
        <v>6687742.3917525792</v>
      </c>
      <c r="V112" s="104">
        <f t="shared" si="24"/>
        <v>6713450</v>
      </c>
      <c r="W112" s="108">
        <f t="shared" si="15"/>
        <v>25707.608247420751</v>
      </c>
      <c r="X112" s="106">
        <f t="shared" si="16"/>
        <v>1.0038439890087758</v>
      </c>
      <c r="Y112" s="39"/>
      <c r="Z112" s="202">
        <f t="shared" ref="Z112:AA112" si="136">Z111+1</f>
        <v>45384</v>
      </c>
      <c r="AA112" s="203">
        <f t="shared" si="136"/>
        <v>45384</v>
      </c>
      <c r="AB112" s="204">
        <v>45384</v>
      </c>
      <c r="AC112" s="39"/>
      <c r="AD112" s="39"/>
      <c r="AE112" s="39"/>
      <c r="AF112" s="39"/>
      <c r="AG112" s="114"/>
      <c r="AH112" s="39"/>
      <c r="AI112" s="39"/>
      <c r="AJ112" s="39"/>
      <c r="AK112" s="39"/>
      <c r="AL112" s="39"/>
      <c r="AM112" s="39"/>
      <c r="AN112" s="39"/>
    </row>
    <row r="113" spans="1:40" ht="16.5" customHeight="1">
      <c r="A113" s="39"/>
      <c r="B113" s="50"/>
      <c r="C113" s="95">
        <f t="shared" si="19"/>
        <v>94</v>
      </c>
      <c r="D113" s="96">
        <v>1</v>
      </c>
      <c r="E113" s="194" t="str">
        <f t="shared" si="8"/>
        <v>4</v>
      </c>
      <c r="F113" s="195">
        <f t="shared" si="20"/>
        <v>45385</v>
      </c>
      <c r="G113" s="196" t="str">
        <f t="shared" si="9"/>
        <v>Wed</v>
      </c>
      <c r="H113" s="197"/>
      <c r="I113" s="208"/>
      <c r="J113" s="209">
        <v>40900</v>
      </c>
      <c r="K113" s="136"/>
      <c r="L113" s="104">
        <f t="shared" si="132"/>
        <v>106074.46391752576</v>
      </c>
      <c r="M113" s="105">
        <f t="shared" si="11"/>
        <v>-65174.463917525762</v>
      </c>
      <c r="N113" s="106">
        <f t="shared" si="12"/>
        <v>0.38557819186152348</v>
      </c>
      <c r="O113" s="200"/>
      <c r="P113" s="170">
        <f t="shared" si="134"/>
        <v>212148.92783505152</v>
      </c>
      <c r="Q113" s="104">
        <f t="shared" si="135"/>
        <v>98250</v>
      </c>
      <c r="R113" s="108">
        <f t="shared" si="13"/>
        <v>-113898.92783505152</v>
      </c>
      <c r="S113" s="106">
        <f t="shared" si="14"/>
        <v>0.46311806051827242</v>
      </c>
      <c r="T113" s="133"/>
      <c r="U113" s="104">
        <f t="shared" si="23"/>
        <v>6793816.8556701047</v>
      </c>
      <c r="V113" s="104">
        <f t="shared" si="24"/>
        <v>6754350</v>
      </c>
      <c r="W113" s="108">
        <f t="shared" si="15"/>
        <v>-39466.855670104735</v>
      </c>
      <c r="X113" s="106">
        <f t="shared" si="16"/>
        <v>0.99419076838417186</v>
      </c>
      <c r="Y113" s="39"/>
      <c r="Z113" s="202">
        <f t="shared" ref="Z113:AA113" si="137">Z112+1</f>
        <v>45385</v>
      </c>
      <c r="AA113" s="203">
        <f t="shared" si="137"/>
        <v>45385</v>
      </c>
      <c r="AB113" s="204">
        <v>45385</v>
      </c>
      <c r="AC113" s="39"/>
      <c r="AD113" s="39"/>
      <c r="AE113" s="39"/>
      <c r="AF113" s="39"/>
      <c r="AG113" s="114"/>
      <c r="AH113" s="39"/>
      <c r="AI113" s="39"/>
      <c r="AJ113" s="39"/>
      <c r="AK113" s="39"/>
      <c r="AL113" s="39"/>
      <c r="AM113" s="39"/>
      <c r="AN113" s="39"/>
    </row>
    <row r="114" spans="1:40" ht="16.5" customHeight="1">
      <c r="A114" s="39"/>
      <c r="B114" s="50"/>
      <c r="C114" s="95">
        <f t="shared" si="19"/>
        <v>95</v>
      </c>
      <c r="D114" s="96">
        <v>1</v>
      </c>
      <c r="E114" s="194" t="str">
        <f t="shared" si="8"/>
        <v>4</v>
      </c>
      <c r="F114" s="195">
        <f t="shared" si="20"/>
        <v>45386</v>
      </c>
      <c r="G114" s="196" t="str">
        <f t="shared" si="9"/>
        <v>Thu</v>
      </c>
      <c r="H114" s="197"/>
      <c r="I114" s="208"/>
      <c r="J114" s="209">
        <v>105150</v>
      </c>
      <c r="K114" s="136"/>
      <c r="L114" s="104">
        <f t="shared" si="132"/>
        <v>106074.46391752576</v>
      </c>
      <c r="M114" s="105">
        <f t="shared" si="11"/>
        <v>-924.46391752576164</v>
      </c>
      <c r="N114" s="106">
        <f t="shared" si="12"/>
        <v>0.99128476465132509</v>
      </c>
      <c r="O114" s="200"/>
      <c r="P114" s="170">
        <f t="shared" si="134"/>
        <v>318223.39175257727</v>
      </c>
      <c r="Q114" s="104">
        <f t="shared" si="135"/>
        <v>203400</v>
      </c>
      <c r="R114" s="108">
        <f t="shared" si="13"/>
        <v>-114823.39175257727</v>
      </c>
      <c r="S114" s="106">
        <f t="shared" si="14"/>
        <v>0.63917362856262339</v>
      </c>
      <c r="T114" s="133"/>
      <c r="U114" s="104">
        <f t="shared" si="23"/>
        <v>6899891.3195876302</v>
      </c>
      <c r="V114" s="104">
        <f t="shared" si="24"/>
        <v>6859500</v>
      </c>
      <c r="W114" s="108">
        <f t="shared" si="15"/>
        <v>-40391.31958763022</v>
      </c>
      <c r="X114" s="106">
        <f t="shared" si="16"/>
        <v>0.99414609336338877</v>
      </c>
      <c r="Y114" s="39"/>
      <c r="Z114" s="202">
        <f t="shared" ref="Z114:AA114" si="138">Z113+1</f>
        <v>45386</v>
      </c>
      <c r="AA114" s="203">
        <f t="shared" si="138"/>
        <v>45386</v>
      </c>
      <c r="AB114" s="204">
        <v>45386</v>
      </c>
      <c r="AC114" s="39"/>
      <c r="AD114" s="39"/>
      <c r="AE114" s="39"/>
      <c r="AF114" s="39"/>
      <c r="AG114" s="114"/>
      <c r="AH114" s="39"/>
      <c r="AI114" s="39"/>
      <c r="AJ114" s="39"/>
      <c r="AK114" s="39"/>
      <c r="AL114" s="39"/>
      <c r="AM114" s="39"/>
      <c r="AN114" s="39"/>
    </row>
    <row r="115" spans="1:40" ht="16.5" customHeight="1">
      <c r="A115" s="39"/>
      <c r="B115" s="50"/>
      <c r="C115" s="95">
        <f t="shared" si="19"/>
        <v>96</v>
      </c>
      <c r="D115" s="96">
        <v>1</v>
      </c>
      <c r="E115" s="194" t="str">
        <f t="shared" si="8"/>
        <v>4</v>
      </c>
      <c r="F115" s="195">
        <f t="shared" si="20"/>
        <v>45387</v>
      </c>
      <c r="G115" s="196" t="str">
        <f t="shared" si="9"/>
        <v>Fri</v>
      </c>
      <c r="H115" s="197"/>
      <c r="I115" s="208"/>
      <c r="J115" s="209">
        <v>150950</v>
      </c>
      <c r="K115" s="136"/>
      <c r="L115" s="104">
        <f t="shared" si="132"/>
        <v>106074.46391752576</v>
      </c>
      <c r="M115" s="105">
        <f t="shared" si="11"/>
        <v>44875.536082474238</v>
      </c>
      <c r="N115" s="106">
        <f t="shared" si="12"/>
        <v>1.4230569208189969</v>
      </c>
      <c r="O115" s="200"/>
      <c r="P115" s="170">
        <f t="shared" si="134"/>
        <v>424297.85567010305</v>
      </c>
      <c r="Q115" s="104">
        <f t="shared" si="135"/>
        <v>354350</v>
      </c>
      <c r="R115" s="108">
        <f t="shared" si="13"/>
        <v>-69947.855670103047</v>
      </c>
      <c r="S115" s="106">
        <f t="shared" si="14"/>
        <v>0.83514445162671669</v>
      </c>
      <c r="T115" s="133"/>
      <c r="U115" s="104">
        <f t="shared" si="23"/>
        <v>7005965.7835051557</v>
      </c>
      <c r="V115" s="104">
        <f t="shared" si="24"/>
        <v>7010450</v>
      </c>
      <c r="W115" s="108">
        <f t="shared" si="15"/>
        <v>4484.2164948442951</v>
      </c>
      <c r="X115" s="106">
        <f t="shared" si="16"/>
        <v>1.0006400568648797</v>
      </c>
      <c r="Y115" s="39"/>
      <c r="Z115" s="202">
        <f t="shared" ref="Z115:AA115" si="139">Z114+1</f>
        <v>45387</v>
      </c>
      <c r="AA115" s="203">
        <f t="shared" si="139"/>
        <v>45387</v>
      </c>
      <c r="AB115" s="204">
        <v>45387</v>
      </c>
      <c r="AC115" s="39"/>
      <c r="AD115" s="39"/>
      <c r="AE115" s="39"/>
      <c r="AF115" s="39"/>
      <c r="AG115" s="114"/>
      <c r="AH115" s="39"/>
      <c r="AI115" s="39"/>
      <c r="AJ115" s="39"/>
      <c r="AK115" s="39"/>
      <c r="AL115" s="39"/>
      <c r="AM115" s="39"/>
      <c r="AN115" s="39"/>
    </row>
    <row r="116" spans="1:40" ht="16.5" customHeight="1">
      <c r="A116" s="39"/>
      <c r="B116" s="50"/>
      <c r="C116" s="95">
        <f t="shared" si="19"/>
        <v>97</v>
      </c>
      <c r="D116" s="96">
        <v>1</v>
      </c>
      <c r="E116" s="194" t="str">
        <f t="shared" si="8"/>
        <v>4</v>
      </c>
      <c r="F116" s="195">
        <f t="shared" si="20"/>
        <v>45388</v>
      </c>
      <c r="G116" s="196" t="str">
        <f t="shared" si="9"/>
        <v>Sat</v>
      </c>
      <c r="H116" s="197"/>
      <c r="I116" s="208"/>
      <c r="J116" s="209">
        <v>89950</v>
      </c>
      <c r="K116" s="136"/>
      <c r="L116" s="104">
        <f t="shared" si="132"/>
        <v>106074.46391752576</v>
      </c>
      <c r="M116" s="105">
        <f t="shared" si="11"/>
        <v>-16124.463917525762</v>
      </c>
      <c r="N116" s="106">
        <f t="shared" si="12"/>
        <v>0.84798920190572225</v>
      </c>
      <c r="O116" s="200"/>
      <c r="P116" s="170">
        <f t="shared" si="134"/>
        <v>530372.31958762882</v>
      </c>
      <c r="Q116" s="104">
        <f t="shared" si="135"/>
        <v>444300</v>
      </c>
      <c r="R116" s="108">
        <f t="shared" si="13"/>
        <v>-86072.319587628823</v>
      </c>
      <c r="S116" s="106">
        <f t="shared" si="14"/>
        <v>0.83771340168251773</v>
      </c>
      <c r="T116" s="134"/>
      <c r="U116" s="104">
        <f t="shared" si="23"/>
        <v>7112040.2474226812</v>
      </c>
      <c r="V116" s="104">
        <f t="shared" si="24"/>
        <v>7100400</v>
      </c>
      <c r="W116" s="108">
        <f t="shared" si="15"/>
        <v>-11640.24742268119</v>
      </c>
      <c r="X116" s="106">
        <f t="shared" si="16"/>
        <v>0.99836330405653995</v>
      </c>
      <c r="Y116" s="39"/>
      <c r="Z116" s="202">
        <f t="shared" ref="Z116:AA116" si="140">Z115+1</f>
        <v>45388</v>
      </c>
      <c r="AA116" s="203">
        <f t="shared" si="140"/>
        <v>45388</v>
      </c>
      <c r="AB116" s="204">
        <v>45388</v>
      </c>
      <c r="AC116" s="39"/>
      <c r="AD116" s="39"/>
      <c r="AE116" s="39"/>
      <c r="AF116" s="39"/>
      <c r="AG116" s="114"/>
      <c r="AH116" s="39"/>
      <c r="AI116" s="39"/>
      <c r="AJ116" s="39"/>
      <c r="AK116" s="39"/>
      <c r="AL116" s="39"/>
      <c r="AM116" s="39"/>
      <c r="AN116" s="39"/>
    </row>
    <row r="117" spans="1:40" ht="16.5" customHeight="1">
      <c r="A117" s="39"/>
      <c r="B117" s="50"/>
      <c r="C117" s="95">
        <f t="shared" si="19"/>
        <v>98</v>
      </c>
      <c r="D117" s="96">
        <v>1</v>
      </c>
      <c r="E117" s="194" t="str">
        <f t="shared" si="8"/>
        <v>4</v>
      </c>
      <c r="F117" s="195">
        <f t="shared" si="20"/>
        <v>45389</v>
      </c>
      <c r="G117" s="196" t="str">
        <f t="shared" si="9"/>
        <v>Sun</v>
      </c>
      <c r="H117" s="197" t="s">
        <v>157</v>
      </c>
      <c r="I117" s="208"/>
      <c r="J117" s="209">
        <v>144250</v>
      </c>
      <c r="K117" s="136"/>
      <c r="L117" s="104">
        <f t="shared" si="132"/>
        <v>106074.46391752576</v>
      </c>
      <c r="M117" s="105">
        <f t="shared" si="11"/>
        <v>38175.536082474238</v>
      </c>
      <c r="N117" s="106">
        <f t="shared" si="12"/>
        <v>1.3598937451350799</v>
      </c>
      <c r="O117" s="200"/>
      <c r="P117" s="170">
        <f t="shared" si="134"/>
        <v>636446.78350515454</v>
      </c>
      <c r="Q117" s="104">
        <f t="shared" si="135"/>
        <v>588550</v>
      </c>
      <c r="R117" s="108">
        <f t="shared" si="13"/>
        <v>-47896.783505154541</v>
      </c>
      <c r="S117" s="106">
        <f t="shared" si="14"/>
        <v>0.92474345892461152</v>
      </c>
      <c r="T117" s="133"/>
      <c r="U117" s="104">
        <f t="shared" si="23"/>
        <v>7218114.7113402067</v>
      </c>
      <c r="V117" s="104">
        <f t="shared" si="24"/>
        <v>7244650</v>
      </c>
      <c r="W117" s="108">
        <f t="shared" si="15"/>
        <v>26535.288659793325</v>
      </c>
      <c r="X117" s="106">
        <f t="shared" si="16"/>
        <v>1.0036762076693106</v>
      </c>
      <c r="Y117" s="39"/>
      <c r="Z117" s="202">
        <f t="shared" ref="Z117:AA117" si="141">Z116+1</f>
        <v>45389</v>
      </c>
      <c r="AA117" s="203">
        <f t="shared" si="141"/>
        <v>45389</v>
      </c>
      <c r="AB117" s="204">
        <v>45389</v>
      </c>
      <c r="AC117" s="39"/>
      <c r="AD117" s="39"/>
      <c r="AE117" s="39"/>
      <c r="AF117" s="39"/>
      <c r="AG117" s="114"/>
      <c r="AH117" s="39"/>
      <c r="AI117" s="39"/>
      <c r="AJ117" s="39"/>
      <c r="AK117" s="39"/>
      <c r="AL117" s="39"/>
      <c r="AM117" s="39"/>
      <c r="AN117" s="39"/>
    </row>
    <row r="118" spans="1:40" ht="16.5" customHeight="1">
      <c r="A118" s="39"/>
      <c r="B118" s="50"/>
      <c r="C118" s="95">
        <f t="shared" si="19"/>
        <v>99</v>
      </c>
      <c r="D118" s="96">
        <v>0</v>
      </c>
      <c r="E118" s="194" t="str">
        <f t="shared" si="8"/>
        <v>4</v>
      </c>
      <c r="F118" s="195">
        <f t="shared" si="20"/>
        <v>45390</v>
      </c>
      <c r="G118" s="196" t="str">
        <f t="shared" si="9"/>
        <v>Mon</v>
      </c>
      <c r="H118" s="197"/>
      <c r="I118" s="208"/>
      <c r="J118" s="209"/>
      <c r="K118" s="136"/>
      <c r="L118" s="104">
        <f t="shared" si="132"/>
        <v>0</v>
      </c>
      <c r="M118" s="105">
        <f t="shared" si="11"/>
        <v>0</v>
      </c>
      <c r="N118" s="106" t="str">
        <f t="shared" si="12"/>
        <v>0%</v>
      </c>
      <c r="O118" s="200"/>
      <c r="P118" s="170">
        <f t="shared" si="134"/>
        <v>0</v>
      </c>
      <c r="Q118" s="104">
        <f t="shared" si="135"/>
        <v>0</v>
      </c>
      <c r="R118" s="108">
        <f t="shared" si="13"/>
        <v>0</v>
      </c>
      <c r="S118" s="106" t="str">
        <f t="shared" si="14"/>
        <v>0%</v>
      </c>
      <c r="T118" s="133"/>
      <c r="U118" s="104">
        <f t="shared" si="23"/>
        <v>0</v>
      </c>
      <c r="V118" s="104">
        <f t="shared" si="24"/>
        <v>0</v>
      </c>
      <c r="W118" s="108">
        <f t="shared" si="15"/>
        <v>0</v>
      </c>
      <c r="X118" s="106" t="str">
        <f t="shared" si="16"/>
        <v>0%</v>
      </c>
      <c r="Y118" s="39"/>
      <c r="Z118" s="202">
        <f t="shared" ref="Z118:AA118" si="142">Z117+1</f>
        <v>45390</v>
      </c>
      <c r="AA118" s="203">
        <f t="shared" si="142"/>
        <v>45390</v>
      </c>
      <c r="AB118" s="204">
        <v>45390</v>
      </c>
      <c r="AC118" s="39"/>
      <c r="AD118" s="39"/>
      <c r="AE118" s="39"/>
      <c r="AF118" s="39"/>
      <c r="AG118" s="114"/>
      <c r="AH118" s="39"/>
      <c r="AI118" s="39"/>
      <c r="AJ118" s="39"/>
      <c r="AK118" s="39"/>
      <c r="AL118" s="39"/>
      <c r="AM118" s="39"/>
      <c r="AN118" s="39"/>
    </row>
    <row r="119" spans="1:40" ht="16.5" customHeight="1">
      <c r="A119" s="39"/>
      <c r="B119" s="50"/>
      <c r="C119" s="95">
        <f t="shared" si="19"/>
        <v>100</v>
      </c>
      <c r="D119" s="96">
        <v>1</v>
      </c>
      <c r="E119" s="194" t="str">
        <f t="shared" si="8"/>
        <v>4</v>
      </c>
      <c r="F119" s="195">
        <f t="shared" si="20"/>
        <v>45391</v>
      </c>
      <c r="G119" s="196" t="str">
        <f t="shared" si="9"/>
        <v>Tue</v>
      </c>
      <c r="H119" s="197"/>
      <c r="I119" s="208"/>
      <c r="J119" s="209">
        <v>86650</v>
      </c>
      <c r="K119" s="136"/>
      <c r="L119" s="104">
        <f t="shared" si="132"/>
        <v>106074.46391752576</v>
      </c>
      <c r="M119" s="105">
        <f t="shared" si="11"/>
        <v>-19424.463917525762</v>
      </c>
      <c r="N119" s="106">
        <f t="shared" si="12"/>
        <v>0.81687898104647949</v>
      </c>
      <c r="O119" s="200"/>
      <c r="P119" s="170">
        <f t="shared" si="134"/>
        <v>742521.24742268026</v>
      </c>
      <c r="Q119" s="104">
        <f t="shared" si="135"/>
        <v>675200</v>
      </c>
      <c r="R119" s="108">
        <f t="shared" si="13"/>
        <v>-67321.247422680259</v>
      </c>
      <c r="S119" s="106">
        <f t="shared" si="14"/>
        <v>0.90933424779916416</v>
      </c>
      <c r="T119" s="133"/>
      <c r="U119" s="104">
        <f t="shared" si="23"/>
        <v>7324189.1752577322</v>
      </c>
      <c r="V119" s="104">
        <f t="shared" si="24"/>
        <v>7331300</v>
      </c>
      <c r="W119" s="108">
        <f t="shared" si="15"/>
        <v>7110.8247422678396</v>
      </c>
      <c r="X119" s="106">
        <f t="shared" si="16"/>
        <v>1.000970868525118</v>
      </c>
      <c r="Y119" s="39"/>
      <c r="Z119" s="202">
        <f t="shared" ref="Z119:AA119" si="143">Z118+1</f>
        <v>45391</v>
      </c>
      <c r="AA119" s="203">
        <f t="shared" si="143"/>
        <v>45391</v>
      </c>
      <c r="AB119" s="204">
        <v>45391</v>
      </c>
      <c r="AC119" s="39"/>
      <c r="AD119" s="39"/>
      <c r="AE119" s="39"/>
      <c r="AF119" s="39"/>
      <c r="AG119" s="114"/>
      <c r="AH119" s="39"/>
      <c r="AI119" s="39"/>
      <c r="AJ119" s="39"/>
      <c r="AK119" s="39"/>
      <c r="AL119" s="39"/>
      <c r="AM119" s="39"/>
      <c r="AN119" s="39"/>
    </row>
    <row r="120" spans="1:40" ht="16.5" customHeight="1">
      <c r="A120" s="39"/>
      <c r="B120" s="50"/>
      <c r="C120" s="95">
        <f t="shared" si="19"/>
        <v>101</v>
      </c>
      <c r="D120" s="96">
        <v>1</v>
      </c>
      <c r="E120" s="194" t="str">
        <f t="shared" si="8"/>
        <v>4</v>
      </c>
      <c r="F120" s="195">
        <f t="shared" si="20"/>
        <v>45392</v>
      </c>
      <c r="G120" s="196" t="str">
        <f t="shared" si="9"/>
        <v>Wed</v>
      </c>
      <c r="H120" s="197"/>
      <c r="I120" s="208"/>
      <c r="J120" s="209">
        <v>75000</v>
      </c>
      <c r="K120" s="136"/>
      <c r="L120" s="104">
        <f t="shared" si="132"/>
        <v>106074.46391752576</v>
      </c>
      <c r="M120" s="105">
        <f t="shared" si="11"/>
        <v>-31074.463917525762</v>
      </c>
      <c r="N120" s="106">
        <f t="shared" si="12"/>
        <v>0.70705047407369837</v>
      </c>
      <c r="O120" s="200"/>
      <c r="P120" s="170">
        <f t="shared" si="134"/>
        <v>848595.71134020598</v>
      </c>
      <c r="Q120" s="104">
        <f t="shared" si="135"/>
        <v>750200</v>
      </c>
      <c r="R120" s="108">
        <f t="shared" si="13"/>
        <v>-98395.711340205977</v>
      </c>
      <c r="S120" s="106">
        <f t="shared" si="14"/>
        <v>0.88404877608348098</v>
      </c>
      <c r="T120" s="133"/>
      <c r="U120" s="104">
        <f t="shared" si="23"/>
        <v>7430263.6391752576</v>
      </c>
      <c r="V120" s="104">
        <f t="shared" si="24"/>
        <v>7406300</v>
      </c>
      <c r="W120" s="108">
        <f t="shared" si="15"/>
        <v>-23963.639175257646</v>
      </c>
      <c r="X120" s="106">
        <f t="shared" si="16"/>
        <v>0.99677486017468986</v>
      </c>
      <c r="Y120" s="39"/>
      <c r="Z120" s="202">
        <f t="shared" ref="Z120:AA120" si="144">Z119+1</f>
        <v>45392</v>
      </c>
      <c r="AA120" s="203">
        <f t="shared" si="144"/>
        <v>45392</v>
      </c>
      <c r="AB120" s="204">
        <v>45392</v>
      </c>
      <c r="AC120" s="39"/>
      <c r="AD120" s="39"/>
      <c r="AE120" s="39"/>
      <c r="AF120" s="39"/>
      <c r="AG120" s="114"/>
      <c r="AH120" s="39"/>
      <c r="AI120" s="39"/>
      <c r="AJ120" s="39"/>
      <c r="AK120" s="39"/>
      <c r="AL120" s="39"/>
      <c r="AM120" s="39"/>
      <c r="AN120" s="39"/>
    </row>
    <row r="121" spans="1:40" ht="16.5" customHeight="1">
      <c r="A121" s="39"/>
      <c r="B121" s="50"/>
      <c r="C121" s="95">
        <f t="shared" si="19"/>
        <v>102</v>
      </c>
      <c r="D121" s="96">
        <v>1</v>
      </c>
      <c r="E121" s="194" t="str">
        <f t="shared" si="8"/>
        <v>4</v>
      </c>
      <c r="F121" s="195">
        <f t="shared" si="20"/>
        <v>45393</v>
      </c>
      <c r="G121" s="196" t="str">
        <f t="shared" si="9"/>
        <v>Thu</v>
      </c>
      <c r="H121" s="197"/>
      <c r="I121" s="208"/>
      <c r="J121" s="209">
        <v>134300</v>
      </c>
      <c r="K121" s="136"/>
      <c r="L121" s="104">
        <f t="shared" si="132"/>
        <v>106074.46391752576</v>
      </c>
      <c r="M121" s="105">
        <f t="shared" si="11"/>
        <v>28225.536082474238</v>
      </c>
      <c r="N121" s="106">
        <f t="shared" si="12"/>
        <v>1.2660917155746358</v>
      </c>
      <c r="O121" s="200"/>
      <c r="P121" s="170">
        <f t="shared" si="134"/>
        <v>954670.17525773169</v>
      </c>
      <c r="Q121" s="104">
        <f t="shared" si="135"/>
        <v>884500</v>
      </c>
      <c r="R121" s="108">
        <f t="shared" si="13"/>
        <v>-70170.175257731695</v>
      </c>
      <c r="S121" s="106">
        <f t="shared" si="14"/>
        <v>0.92649799158249824</v>
      </c>
      <c r="T121" s="133"/>
      <c r="U121" s="104">
        <f t="shared" si="23"/>
        <v>7536338.1030927831</v>
      </c>
      <c r="V121" s="104">
        <f t="shared" si="24"/>
        <v>7540600</v>
      </c>
      <c r="W121" s="108">
        <f t="shared" si="15"/>
        <v>4261.8969072168693</v>
      </c>
      <c r="X121" s="106">
        <f t="shared" si="16"/>
        <v>1.0005655129651718</v>
      </c>
      <c r="Y121" s="39"/>
      <c r="Z121" s="202">
        <f t="shared" ref="Z121:AA121" si="145">Z120+1</f>
        <v>45393</v>
      </c>
      <c r="AA121" s="203">
        <f t="shared" si="145"/>
        <v>45393</v>
      </c>
      <c r="AB121" s="204">
        <v>45393</v>
      </c>
      <c r="AC121" s="39"/>
      <c r="AD121" s="39"/>
      <c r="AE121" s="39"/>
      <c r="AF121" s="39"/>
      <c r="AG121" s="114"/>
      <c r="AH121" s="39"/>
      <c r="AI121" s="39"/>
      <c r="AJ121" s="39"/>
      <c r="AK121" s="39"/>
      <c r="AL121" s="39"/>
      <c r="AM121" s="39"/>
      <c r="AN121" s="39"/>
    </row>
    <row r="122" spans="1:40" ht="16.5" customHeight="1">
      <c r="A122" s="39"/>
      <c r="B122" s="50"/>
      <c r="C122" s="95">
        <f t="shared" si="19"/>
        <v>103</v>
      </c>
      <c r="D122" s="96">
        <v>1</v>
      </c>
      <c r="E122" s="194" t="str">
        <f t="shared" si="8"/>
        <v>4</v>
      </c>
      <c r="F122" s="195">
        <f t="shared" si="20"/>
        <v>45394</v>
      </c>
      <c r="G122" s="196" t="str">
        <f t="shared" si="9"/>
        <v>Fri</v>
      </c>
      <c r="H122" s="197"/>
      <c r="I122" s="208"/>
      <c r="J122" s="209">
        <v>154850</v>
      </c>
      <c r="K122" s="136"/>
      <c r="L122" s="104">
        <f t="shared" si="132"/>
        <v>106074.46391752576</v>
      </c>
      <c r="M122" s="105">
        <f t="shared" si="11"/>
        <v>48775.536082474238</v>
      </c>
      <c r="N122" s="106">
        <f t="shared" si="12"/>
        <v>1.4598235454708293</v>
      </c>
      <c r="O122" s="200"/>
      <c r="P122" s="170">
        <f t="shared" si="134"/>
        <v>1060744.6391752574</v>
      </c>
      <c r="Q122" s="104">
        <f t="shared" si="135"/>
        <v>1039350</v>
      </c>
      <c r="R122" s="108">
        <f t="shared" si="13"/>
        <v>-21394.639175257413</v>
      </c>
      <c r="S122" s="106">
        <f t="shared" si="14"/>
        <v>0.97983054697133132</v>
      </c>
      <c r="T122" s="133"/>
      <c r="U122" s="104">
        <f t="shared" si="23"/>
        <v>7642412.5670103086</v>
      </c>
      <c r="V122" s="104">
        <f t="shared" si="24"/>
        <v>7695450</v>
      </c>
      <c r="W122" s="108">
        <f t="shared" si="15"/>
        <v>53037.432989691384</v>
      </c>
      <c r="X122" s="106">
        <f t="shared" si="16"/>
        <v>1.0069398808981651</v>
      </c>
      <c r="Y122" s="39"/>
      <c r="Z122" s="202">
        <f t="shared" ref="Z122:AA122" si="146">Z121+1</f>
        <v>45394</v>
      </c>
      <c r="AA122" s="203">
        <f t="shared" si="146"/>
        <v>45394</v>
      </c>
      <c r="AB122" s="204">
        <v>45394</v>
      </c>
      <c r="AC122" s="39"/>
      <c r="AD122" s="39"/>
      <c r="AE122" s="39"/>
      <c r="AF122" s="39"/>
      <c r="AG122" s="114"/>
      <c r="AH122" s="39"/>
      <c r="AI122" s="39"/>
      <c r="AJ122" s="39"/>
      <c r="AK122" s="39"/>
      <c r="AL122" s="39"/>
      <c r="AM122" s="39"/>
      <c r="AN122" s="39"/>
    </row>
    <row r="123" spans="1:40" ht="16.5" customHeight="1">
      <c r="A123" s="39"/>
      <c r="B123" s="50"/>
      <c r="C123" s="95">
        <f t="shared" si="19"/>
        <v>104</v>
      </c>
      <c r="D123" s="96">
        <v>1</v>
      </c>
      <c r="E123" s="194" t="str">
        <f t="shared" si="8"/>
        <v>4</v>
      </c>
      <c r="F123" s="195">
        <f t="shared" si="20"/>
        <v>45395</v>
      </c>
      <c r="G123" s="196" t="str">
        <f t="shared" si="9"/>
        <v>Sat</v>
      </c>
      <c r="H123" s="197"/>
      <c r="I123" s="208"/>
      <c r="J123" s="209">
        <v>96400</v>
      </c>
      <c r="K123" s="136"/>
      <c r="L123" s="104">
        <f t="shared" si="132"/>
        <v>106074.46391752576</v>
      </c>
      <c r="M123" s="105">
        <f t="shared" si="11"/>
        <v>-9674.4639175257616</v>
      </c>
      <c r="N123" s="106">
        <f t="shared" si="12"/>
        <v>0.90879554267606033</v>
      </c>
      <c r="O123" s="200"/>
      <c r="P123" s="170">
        <f t="shared" si="134"/>
        <v>1166819.1030927831</v>
      </c>
      <c r="Q123" s="104">
        <f t="shared" si="135"/>
        <v>1135750</v>
      </c>
      <c r="R123" s="108">
        <f t="shared" si="13"/>
        <v>-31069.103092783131</v>
      </c>
      <c r="S123" s="106">
        <f t="shared" si="14"/>
        <v>0.97337281930812491</v>
      </c>
      <c r="T123" s="134"/>
      <c r="U123" s="104">
        <f t="shared" si="23"/>
        <v>7748487.0309278341</v>
      </c>
      <c r="V123" s="104">
        <f t="shared" si="24"/>
        <v>7791850</v>
      </c>
      <c r="W123" s="108">
        <f t="shared" si="15"/>
        <v>43362.969072165899</v>
      </c>
      <c r="X123" s="106">
        <f t="shared" si="16"/>
        <v>1.0055963143384101</v>
      </c>
      <c r="Y123" s="39"/>
      <c r="Z123" s="202">
        <f t="shared" ref="Z123:AA123" si="147">Z122+1</f>
        <v>45395</v>
      </c>
      <c r="AA123" s="203">
        <f t="shared" si="147"/>
        <v>45395</v>
      </c>
      <c r="AB123" s="204">
        <v>45395</v>
      </c>
      <c r="AC123" s="39"/>
      <c r="AD123" s="39"/>
      <c r="AE123" s="39"/>
      <c r="AF123" s="39"/>
      <c r="AG123" s="114"/>
      <c r="AH123" s="39"/>
      <c r="AI123" s="39"/>
      <c r="AJ123" s="39"/>
      <c r="AK123" s="39"/>
      <c r="AL123" s="39"/>
      <c r="AM123" s="39"/>
      <c r="AN123" s="39"/>
    </row>
    <row r="124" spans="1:40" ht="16.5" customHeight="1">
      <c r="A124" s="39"/>
      <c r="B124" s="50"/>
      <c r="C124" s="95">
        <f t="shared" si="19"/>
        <v>105</v>
      </c>
      <c r="D124" s="96">
        <v>1</v>
      </c>
      <c r="E124" s="194" t="str">
        <f t="shared" si="8"/>
        <v>4</v>
      </c>
      <c r="F124" s="195">
        <f t="shared" si="20"/>
        <v>45396</v>
      </c>
      <c r="G124" s="196" t="str">
        <f t="shared" si="9"/>
        <v>Sun</v>
      </c>
      <c r="H124" s="197" t="s">
        <v>157</v>
      </c>
      <c r="I124" s="208"/>
      <c r="J124" s="209">
        <v>118450</v>
      </c>
      <c r="K124" s="136"/>
      <c r="L124" s="104">
        <f t="shared" si="132"/>
        <v>106074.46391752576</v>
      </c>
      <c r="M124" s="105">
        <f t="shared" si="11"/>
        <v>12375.536082474238</v>
      </c>
      <c r="N124" s="106">
        <f t="shared" si="12"/>
        <v>1.1166683820537275</v>
      </c>
      <c r="O124" s="200"/>
      <c r="P124" s="170">
        <f t="shared" si="134"/>
        <v>1272893.5670103088</v>
      </c>
      <c r="Q124" s="104">
        <f t="shared" si="135"/>
        <v>1254200</v>
      </c>
      <c r="R124" s="108">
        <f t="shared" si="13"/>
        <v>-18693.567010308849</v>
      </c>
      <c r="S124" s="106">
        <f t="shared" si="14"/>
        <v>0.98531411620359188</v>
      </c>
      <c r="T124" s="133"/>
      <c r="U124" s="104">
        <f t="shared" si="23"/>
        <v>7854561.4948453596</v>
      </c>
      <c r="V124" s="104">
        <f t="shared" si="24"/>
        <v>7910300</v>
      </c>
      <c r="W124" s="108">
        <f t="shared" si="15"/>
        <v>55738.505154640414</v>
      </c>
      <c r="X124" s="106">
        <f t="shared" si="16"/>
        <v>1.0070963229699352</v>
      </c>
      <c r="Y124" s="39"/>
      <c r="Z124" s="202">
        <f t="shared" ref="Z124:AA124" si="148">Z123+1</f>
        <v>45396</v>
      </c>
      <c r="AA124" s="203">
        <f t="shared" si="148"/>
        <v>45396</v>
      </c>
      <c r="AB124" s="204">
        <v>45396</v>
      </c>
      <c r="AC124" s="39"/>
      <c r="AD124" s="39"/>
      <c r="AE124" s="39"/>
      <c r="AF124" s="39"/>
      <c r="AG124" s="114"/>
      <c r="AH124" s="39"/>
      <c r="AI124" s="39"/>
      <c r="AJ124" s="39"/>
      <c r="AK124" s="39"/>
      <c r="AL124" s="39"/>
      <c r="AM124" s="39"/>
      <c r="AN124" s="39"/>
    </row>
    <row r="125" spans="1:40" ht="16.5" customHeight="1">
      <c r="A125" s="39"/>
      <c r="B125" s="50"/>
      <c r="C125" s="95">
        <f t="shared" si="19"/>
        <v>106</v>
      </c>
      <c r="D125" s="96">
        <v>0</v>
      </c>
      <c r="E125" s="194" t="str">
        <f t="shared" si="8"/>
        <v>4</v>
      </c>
      <c r="F125" s="195">
        <f t="shared" si="20"/>
        <v>45397</v>
      </c>
      <c r="G125" s="196" t="str">
        <f t="shared" si="9"/>
        <v>Mon</v>
      </c>
      <c r="H125" s="197"/>
      <c r="I125" s="208"/>
      <c r="J125" s="209"/>
      <c r="K125" s="136"/>
      <c r="L125" s="104">
        <f t="shared" si="132"/>
        <v>0</v>
      </c>
      <c r="M125" s="105">
        <f t="shared" si="11"/>
        <v>0</v>
      </c>
      <c r="N125" s="106" t="str">
        <f t="shared" si="12"/>
        <v>0%</v>
      </c>
      <c r="O125" s="200"/>
      <c r="P125" s="170">
        <f t="shared" si="134"/>
        <v>0</v>
      </c>
      <c r="Q125" s="104">
        <f t="shared" si="135"/>
        <v>0</v>
      </c>
      <c r="R125" s="108">
        <f t="shared" si="13"/>
        <v>0</v>
      </c>
      <c r="S125" s="106" t="str">
        <f t="shared" si="14"/>
        <v>0%</v>
      </c>
      <c r="T125" s="133"/>
      <c r="U125" s="104">
        <f t="shared" si="23"/>
        <v>0</v>
      </c>
      <c r="V125" s="104">
        <f t="shared" si="24"/>
        <v>0</v>
      </c>
      <c r="W125" s="108">
        <f t="shared" si="15"/>
        <v>0</v>
      </c>
      <c r="X125" s="106" t="str">
        <f t="shared" si="16"/>
        <v>0%</v>
      </c>
      <c r="Y125" s="39"/>
      <c r="Z125" s="202">
        <f t="shared" ref="Z125:AA125" si="149">Z124+1</f>
        <v>45397</v>
      </c>
      <c r="AA125" s="203">
        <f t="shared" si="149"/>
        <v>45397</v>
      </c>
      <c r="AB125" s="204">
        <v>45397</v>
      </c>
      <c r="AC125" s="39"/>
      <c r="AD125" s="39"/>
      <c r="AE125" s="39"/>
      <c r="AF125" s="39"/>
      <c r="AG125" s="114"/>
      <c r="AH125" s="39"/>
      <c r="AI125" s="39"/>
      <c r="AJ125" s="39"/>
      <c r="AK125" s="39"/>
      <c r="AL125" s="39"/>
      <c r="AM125" s="39"/>
      <c r="AN125" s="39"/>
    </row>
    <row r="126" spans="1:40" ht="16.5" customHeight="1">
      <c r="A126" s="39"/>
      <c r="B126" s="50"/>
      <c r="C126" s="95">
        <f t="shared" si="19"/>
        <v>107</v>
      </c>
      <c r="D126" s="96">
        <v>1</v>
      </c>
      <c r="E126" s="194" t="str">
        <f t="shared" si="8"/>
        <v>4</v>
      </c>
      <c r="F126" s="195">
        <f t="shared" si="20"/>
        <v>45398</v>
      </c>
      <c r="G126" s="196" t="str">
        <f t="shared" si="9"/>
        <v>Tue</v>
      </c>
      <c r="H126" s="197"/>
      <c r="I126" s="208"/>
      <c r="J126" s="209">
        <v>108400</v>
      </c>
      <c r="K126" s="136"/>
      <c r="L126" s="104">
        <f t="shared" si="132"/>
        <v>106074.46391752576</v>
      </c>
      <c r="M126" s="105">
        <f t="shared" si="11"/>
        <v>2325.5360824742384</v>
      </c>
      <c r="N126" s="106">
        <f t="shared" si="12"/>
        <v>1.021923618527852</v>
      </c>
      <c r="O126" s="200"/>
      <c r="P126" s="170">
        <f t="shared" si="134"/>
        <v>1378968.0309278346</v>
      </c>
      <c r="Q126" s="104">
        <f t="shared" si="135"/>
        <v>1362600</v>
      </c>
      <c r="R126" s="108">
        <f t="shared" si="13"/>
        <v>-16368.030927834567</v>
      </c>
      <c r="S126" s="106">
        <f t="shared" si="14"/>
        <v>0.98813023176699655</v>
      </c>
      <c r="T126" s="133"/>
      <c r="U126" s="104">
        <f t="shared" si="23"/>
        <v>7960635.9587628851</v>
      </c>
      <c r="V126" s="104">
        <f t="shared" si="24"/>
        <v>8018700</v>
      </c>
      <c r="W126" s="108">
        <f t="shared" si="15"/>
        <v>58064.041237114929</v>
      </c>
      <c r="X126" s="106">
        <f t="shared" si="16"/>
        <v>1.0072938948016081</v>
      </c>
      <c r="Y126" s="39"/>
      <c r="Z126" s="202">
        <f t="shared" ref="Z126:AA126" si="150">Z125+1</f>
        <v>45398</v>
      </c>
      <c r="AA126" s="203">
        <f t="shared" si="150"/>
        <v>45398</v>
      </c>
      <c r="AB126" s="204">
        <v>45398</v>
      </c>
      <c r="AC126" s="39"/>
      <c r="AD126" s="39"/>
      <c r="AE126" s="39"/>
      <c r="AF126" s="39"/>
      <c r="AG126" s="114"/>
      <c r="AH126" s="39"/>
      <c r="AI126" s="39"/>
      <c r="AJ126" s="39"/>
      <c r="AK126" s="39"/>
      <c r="AL126" s="39"/>
      <c r="AM126" s="39"/>
      <c r="AN126" s="39"/>
    </row>
    <row r="127" spans="1:40" ht="16.5" customHeight="1">
      <c r="A127" s="39"/>
      <c r="B127" s="50"/>
      <c r="C127" s="95">
        <f t="shared" si="19"/>
        <v>108</v>
      </c>
      <c r="D127" s="96">
        <v>1</v>
      </c>
      <c r="E127" s="194" t="str">
        <f t="shared" si="8"/>
        <v>4</v>
      </c>
      <c r="F127" s="195">
        <f t="shared" si="20"/>
        <v>45399</v>
      </c>
      <c r="G127" s="196" t="str">
        <f t="shared" si="9"/>
        <v>Wed</v>
      </c>
      <c r="H127" s="197"/>
      <c r="I127" s="208"/>
      <c r="J127" s="209">
        <v>129100</v>
      </c>
      <c r="K127" s="136"/>
      <c r="L127" s="104">
        <f t="shared" si="132"/>
        <v>106074.46391752576</v>
      </c>
      <c r="M127" s="105">
        <f t="shared" si="11"/>
        <v>23025.536082474238</v>
      </c>
      <c r="N127" s="106">
        <f t="shared" si="12"/>
        <v>1.2170695493721928</v>
      </c>
      <c r="O127" s="200"/>
      <c r="P127" s="170">
        <f t="shared" si="134"/>
        <v>1485042.4948453603</v>
      </c>
      <c r="Q127" s="104">
        <f t="shared" si="135"/>
        <v>1491700</v>
      </c>
      <c r="R127" s="108">
        <f t="shared" si="13"/>
        <v>6657.5051546397153</v>
      </c>
      <c r="S127" s="106">
        <f t="shared" si="14"/>
        <v>1.0044830401673677</v>
      </c>
      <c r="T127" s="133"/>
      <c r="U127" s="104">
        <f t="shared" si="23"/>
        <v>8066710.4226804106</v>
      </c>
      <c r="V127" s="104">
        <f t="shared" si="24"/>
        <v>8147800</v>
      </c>
      <c r="W127" s="108">
        <f t="shared" si="15"/>
        <v>81089.577319589444</v>
      </c>
      <c r="X127" s="106">
        <f t="shared" si="16"/>
        <v>1.010052372413369</v>
      </c>
      <c r="Y127" s="39"/>
      <c r="Z127" s="202">
        <f t="shared" ref="Z127:AA127" si="151">Z126+1</f>
        <v>45399</v>
      </c>
      <c r="AA127" s="203">
        <f t="shared" si="151"/>
        <v>45399</v>
      </c>
      <c r="AB127" s="204">
        <v>45399</v>
      </c>
      <c r="AC127" s="39"/>
      <c r="AD127" s="39"/>
      <c r="AE127" s="39"/>
      <c r="AF127" s="39"/>
      <c r="AG127" s="114"/>
      <c r="AH127" s="39"/>
      <c r="AI127" s="39"/>
      <c r="AJ127" s="39"/>
      <c r="AK127" s="39"/>
      <c r="AL127" s="39"/>
      <c r="AM127" s="39"/>
      <c r="AN127" s="39"/>
    </row>
    <row r="128" spans="1:40" ht="16.5" customHeight="1">
      <c r="A128" s="39"/>
      <c r="B128" s="50"/>
      <c r="C128" s="95">
        <f t="shared" si="19"/>
        <v>109</v>
      </c>
      <c r="D128" s="96">
        <v>1</v>
      </c>
      <c r="E128" s="194" t="str">
        <f t="shared" si="8"/>
        <v>4</v>
      </c>
      <c r="F128" s="195">
        <f t="shared" si="20"/>
        <v>45400</v>
      </c>
      <c r="G128" s="196" t="str">
        <f t="shared" si="9"/>
        <v>Thu</v>
      </c>
      <c r="H128" s="197"/>
      <c r="I128" s="208"/>
      <c r="J128" s="209">
        <v>111300</v>
      </c>
      <c r="K128" s="136"/>
      <c r="L128" s="104">
        <f t="shared" si="132"/>
        <v>106074.46391752576</v>
      </c>
      <c r="M128" s="105">
        <f t="shared" si="11"/>
        <v>5225.5360824742384</v>
      </c>
      <c r="N128" s="106">
        <f t="shared" si="12"/>
        <v>1.0492629035253684</v>
      </c>
      <c r="O128" s="200"/>
      <c r="P128" s="170">
        <f t="shared" si="134"/>
        <v>1591116.958762886</v>
      </c>
      <c r="Q128" s="104">
        <f t="shared" si="135"/>
        <v>1603000</v>
      </c>
      <c r="R128" s="108">
        <f t="shared" si="13"/>
        <v>11883.041237113997</v>
      </c>
      <c r="S128" s="106">
        <f t="shared" si="14"/>
        <v>1.0074683643912345</v>
      </c>
      <c r="T128" s="133"/>
      <c r="U128" s="104">
        <f t="shared" si="23"/>
        <v>8172784.886597936</v>
      </c>
      <c r="V128" s="104">
        <f t="shared" si="24"/>
        <v>8259100</v>
      </c>
      <c r="W128" s="108">
        <f t="shared" si="15"/>
        <v>86315.113402063958</v>
      </c>
      <c r="X128" s="106">
        <f t="shared" si="16"/>
        <v>1.0105612853635249</v>
      </c>
      <c r="Y128" s="39"/>
      <c r="Z128" s="202">
        <f t="shared" ref="Z128:AA128" si="152">Z127+1</f>
        <v>45400</v>
      </c>
      <c r="AA128" s="203">
        <f t="shared" si="152"/>
        <v>45400</v>
      </c>
      <c r="AB128" s="204">
        <v>45400</v>
      </c>
      <c r="AC128" s="39"/>
      <c r="AD128" s="39"/>
      <c r="AE128" s="39"/>
      <c r="AF128" s="39"/>
      <c r="AG128" s="114"/>
      <c r="AH128" s="39"/>
      <c r="AI128" s="39"/>
      <c r="AJ128" s="39"/>
      <c r="AK128" s="39"/>
      <c r="AL128" s="39"/>
      <c r="AM128" s="39"/>
      <c r="AN128" s="39"/>
    </row>
    <row r="129" spans="1:40" ht="16.5" customHeight="1">
      <c r="A129" s="39"/>
      <c r="B129" s="50"/>
      <c r="C129" s="95">
        <f t="shared" si="19"/>
        <v>110</v>
      </c>
      <c r="D129" s="96">
        <v>1</v>
      </c>
      <c r="E129" s="194" t="str">
        <f t="shared" si="8"/>
        <v>4</v>
      </c>
      <c r="F129" s="195">
        <f t="shared" si="20"/>
        <v>45401</v>
      </c>
      <c r="G129" s="196" t="str">
        <f t="shared" si="9"/>
        <v>Fri</v>
      </c>
      <c r="H129" s="197"/>
      <c r="I129" s="208"/>
      <c r="J129" s="209">
        <v>128950</v>
      </c>
      <c r="K129" s="136"/>
      <c r="L129" s="104">
        <f t="shared" si="132"/>
        <v>106074.46391752576</v>
      </c>
      <c r="M129" s="105">
        <f t="shared" si="11"/>
        <v>22875.536082474238</v>
      </c>
      <c r="N129" s="106">
        <f t="shared" si="12"/>
        <v>1.2156554484240454</v>
      </c>
      <c r="O129" s="200"/>
      <c r="P129" s="170">
        <f t="shared" si="134"/>
        <v>1697191.4226804117</v>
      </c>
      <c r="Q129" s="104">
        <f t="shared" si="135"/>
        <v>1731950</v>
      </c>
      <c r="R129" s="108">
        <f t="shared" si="13"/>
        <v>34758.577319588279</v>
      </c>
      <c r="S129" s="106">
        <f t="shared" si="14"/>
        <v>1.0204800571432853</v>
      </c>
      <c r="T129" s="133"/>
      <c r="U129" s="104">
        <f t="shared" si="23"/>
        <v>8278859.3505154615</v>
      </c>
      <c r="V129" s="104">
        <f t="shared" si="24"/>
        <v>8388050</v>
      </c>
      <c r="W129" s="108">
        <f t="shared" si="15"/>
        <v>109190.64948453847</v>
      </c>
      <c r="X129" s="106">
        <f t="shared" si="16"/>
        <v>1.0131890934320245</v>
      </c>
      <c r="Y129" s="39"/>
      <c r="Z129" s="202">
        <f t="shared" ref="Z129:AA129" si="153">Z128+1</f>
        <v>45401</v>
      </c>
      <c r="AA129" s="203">
        <f t="shared" si="153"/>
        <v>45401</v>
      </c>
      <c r="AB129" s="204">
        <v>45401</v>
      </c>
      <c r="AC129" s="39"/>
      <c r="AD129" s="39"/>
      <c r="AE129" s="39"/>
      <c r="AF129" s="39"/>
      <c r="AG129" s="114"/>
      <c r="AH129" s="39"/>
      <c r="AI129" s="39"/>
      <c r="AJ129" s="39"/>
      <c r="AK129" s="39"/>
      <c r="AL129" s="39"/>
      <c r="AM129" s="39"/>
      <c r="AN129" s="39"/>
    </row>
    <row r="130" spans="1:40" ht="16.5" customHeight="1">
      <c r="A130" s="39"/>
      <c r="B130" s="50"/>
      <c r="C130" s="95">
        <f t="shared" si="19"/>
        <v>111</v>
      </c>
      <c r="D130" s="96">
        <v>1</v>
      </c>
      <c r="E130" s="194" t="str">
        <f t="shared" si="8"/>
        <v>4</v>
      </c>
      <c r="F130" s="195">
        <f t="shared" si="20"/>
        <v>45402</v>
      </c>
      <c r="G130" s="196" t="str">
        <f t="shared" si="9"/>
        <v>Sat</v>
      </c>
      <c r="H130" s="197"/>
      <c r="I130" s="208"/>
      <c r="J130" s="209">
        <v>123750</v>
      </c>
      <c r="K130" s="136"/>
      <c r="L130" s="104">
        <f t="shared" si="132"/>
        <v>106074.46391752576</v>
      </c>
      <c r="M130" s="105">
        <f t="shared" si="11"/>
        <v>17675.536082474238</v>
      </c>
      <c r="N130" s="106">
        <f t="shared" si="12"/>
        <v>1.1666332822216023</v>
      </c>
      <c r="O130" s="200"/>
      <c r="P130" s="170">
        <f t="shared" si="134"/>
        <v>1803265.8865979374</v>
      </c>
      <c r="Q130" s="104">
        <f t="shared" si="135"/>
        <v>1855700</v>
      </c>
      <c r="R130" s="108">
        <f t="shared" si="13"/>
        <v>52434.113402062561</v>
      </c>
      <c r="S130" s="106">
        <f t="shared" si="14"/>
        <v>1.0290773056773039</v>
      </c>
      <c r="T130" s="134"/>
      <c r="U130" s="104">
        <f t="shared" si="23"/>
        <v>8384933.814432987</v>
      </c>
      <c r="V130" s="104">
        <f t="shared" si="24"/>
        <v>8511800</v>
      </c>
      <c r="W130" s="108">
        <f t="shared" si="15"/>
        <v>126866.18556701299</v>
      </c>
      <c r="X130" s="106">
        <f t="shared" si="16"/>
        <v>1.0151302548564711</v>
      </c>
      <c r="Y130" s="39"/>
      <c r="Z130" s="202">
        <f t="shared" ref="Z130:AA130" si="154">Z129+1</f>
        <v>45402</v>
      </c>
      <c r="AA130" s="203">
        <f t="shared" si="154"/>
        <v>45402</v>
      </c>
      <c r="AB130" s="204">
        <v>45402</v>
      </c>
      <c r="AC130" s="39"/>
      <c r="AD130" s="39"/>
      <c r="AE130" s="39"/>
      <c r="AF130" s="39"/>
      <c r="AG130" s="114"/>
      <c r="AH130" s="39"/>
      <c r="AI130" s="39"/>
      <c r="AJ130" s="39"/>
      <c r="AK130" s="39"/>
      <c r="AL130" s="39"/>
      <c r="AM130" s="39"/>
      <c r="AN130" s="39"/>
    </row>
    <row r="131" spans="1:40" ht="16.5" customHeight="1">
      <c r="A131" s="39"/>
      <c r="B131" s="50"/>
      <c r="C131" s="95">
        <f t="shared" si="19"/>
        <v>112</v>
      </c>
      <c r="D131" s="96">
        <v>1</v>
      </c>
      <c r="E131" s="194" t="str">
        <f t="shared" si="8"/>
        <v>4</v>
      </c>
      <c r="F131" s="195">
        <f t="shared" si="20"/>
        <v>45403</v>
      </c>
      <c r="G131" s="196" t="str">
        <f t="shared" si="9"/>
        <v>Sun</v>
      </c>
      <c r="H131" s="197" t="s">
        <v>157</v>
      </c>
      <c r="I131" s="208"/>
      <c r="J131" s="209">
        <v>66850</v>
      </c>
      <c r="K131" s="136"/>
      <c r="L131" s="104">
        <f t="shared" si="132"/>
        <v>106074.46391752576</v>
      </c>
      <c r="M131" s="105">
        <f t="shared" si="11"/>
        <v>-39224.463917525762</v>
      </c>
      <c r="N131" s="106">
        <f t="shared" si="12"/>
        <v>0.63021765589102319</v>
      </c>
      <c r="O131" s="200"/>
      <c r="P131" s="170">
        <f t="shared" si="134"/>
        <v>1909340.3505154632</v>
      </c>
      <c r="Q131" s="104">
        <f t="shared" si="135"/>
        <v>1922550</v>
      </c>
      <c r="R131" s="108">
        <f t="shared" si="13"/>
        <v>13209.649484536843</v>
      </c>
      <c r="S131" s="106">
        <f t="shared" si="14"/>
        <v>1.0069184362447328</v>
      </c>
      <c r="T131" s="133"/>
      <c r="U131" s="104">
        <f t="shared" si="23"/>
        <v>8491008.2783505134</v>
      </c>
      <c r="V131" s="104">
        <f t="shared" si="24"/>
        <v>8578650</v>
      </c>
      <c r="W131" s="108">
        <f t="shared" si="15"/>
        <v>87641.721649486572</v>
      </c>
      <c r="X131" s="106">
        <f t="shared" si="16"/>
        <v>1.0103217095987229</v>
      </c>
      <c r="Y131" s="39"/>
      <c r="Z131" s="202">
        <f t="shared" ref="Z131:AA131" si="155">Z130+1</f>
        <v>45403</v>
      </c>
      <c r="AA131" s="203">
        <f t="shared" si="155"/>
        <v>45403</v>
      </c>
      <c r="AB131" s="204">
        <v>45403</v>
      </c>
      <c r="AC131" s="39"/>
      <c r="AD131" s="39"/>
      <c r="AE131" s="39"/>
      <c r="AF131" s="39"/>
      <c r="AG131" s="114"/>
      <c r="AH131" s="39"/>
      <c r="AI131" s="39"/>
      <c r="AJ131" s="39"/>
      <c r="AK131" s="39"/>
      <c r="AL131" s="39"/>
      <c r="AM131" s="39"/>
      <c r="AN131" s="39"/>
    </row>
    <row r="132" spans="1:40" ht="16.5" customHeight="1">
      <c r="A132" s="39"/>
      <c r="B132" s="50"/>
      <c r="C132" s="95">
        <f t="shared" si="19"/>
        <v>113</v>
      </c>
      <c r="D132" s="96">
        <v>0</v>
      </c>
      <c r="E132" s="194" t="str">
        <f t="shared" si="8"/>
        <v>4</v>
      </c>
      <c r="F132" s="195">
        <f t="shared" si="20"/>
        <v>45404</v>
      </c>
      <c r="G132" s="196" t="str">
        <f t="shared" si="9"/>
        <v>Mon</v>
      </c>
      <c r="H132" s="197"/>
      <c r="I132" s="208"/>
      <c r="J132" s="209"/>
      <c r="K132" s="136"/>
      <c r="L132" s="104">
        <f t="shared" si="132"/>
        <v>0</v>
      </c>
      <c r="M132" s="105">
        <f t="shared" si="11"/>
        <v>0</v>
      </c>
      <c r="N132" s="106" t="str">
        <f t="shared" si="12"/>
        <v>0%</v>
      </c>
      <c r="O132" s="200"/>
      <c r="P132" s="170">
        <f t="shared" si="134"/>
        <v>0</v>
      </c>
      <c r="Q132" s="104">
        <f t="shared" si="135"/>
        <v>0</v>
      </c>
      <c r="R132" s="108">
        <f t="shared" si="13"/>
        <v>0</v>
      </c>
      <c r="S132" s="106" t="str">
        <f t="shared" si="14"/>
        <v>0%</v>
      </c>
      <c r="T132" s="133"/>
      <c r="U132" s="104">
        <f t="shared" si="23"/>
        <v>0</v>
      </c>
      <c r="V132" s="104">
        <f t="shared" si="24"/>
        <v>0</v>
      </c>
      <c r="W132" s="108">
        <f t="shared" si="15"/>
        <v>0</v>
      </c>
      <c r="X132" s="106" t="str">
        <f t="shared" si="16"/>
        <v>0%</v>
      </c>
      <c r="Y132" s="39"/>
      <c r="Z132" s="202">
        <f t="shared" ref="Z132:AA132" si="156">Z131+1</f>
        <v>45404</v>
      </c>
      <c r="AA132" s="203">
        <f t="shared" si="156"/>
        <v>45404</v>
      </c>
      <c r="AB132" s="204">
        <v>45404</v>
      </c>
      <c r="AC132" s="39"/>
      <c r="AD132" s="39"/>
      <c r="AE132" s="39"/>
      <c r="AF132" s="39"/>
      <c r="AG132" s="114"/>
      <c r="AH132" s="39"/>
      <c r="AI132" s="39"/>
      <c r="AJ132" s="39"/>
      <c r="AK132" s="39"/>
      <c r="AL132" s="39"/>
      <c r="AM132" s="39"/>
      <c r="AN132" s="39"/>
    </row>
    <row r="133" spans="1:40" ht="16.5" customHeight="1">
      <c r="A133" s="39"/>
      <c r="B133" s="50"/>
      <c r="C133" s="95">
        <f t="shared" si="19"/>
        <v>114</v>
      </c>
      <c r="D133" s="96">
        <v>1</v>
      </c>
      <c r="E133" s="194" t="str">
        <f t="shared" si="8"/>
        <v>4</v>
      </c>
      <c r="F133" s="195">
        <f t="shared" si="20"/>
        <v>45405</v>
      </c>
      <c r="G133" s="196" t="str">
        <f t="shared" si="9"/>
        <v>Tue</v>
      </c>
      <c r="H133" s="197"/>
      <c r="I133" s="208"/>
      <c r="J133" s="209">
        <v>103150</v>
      </c>
      <c r="K133" s="136"/>
      <c r="L133" s="104">
        <f t="shared" si="132"/>
        <v>106074.46391752576</v>
      </c>
      <c r="M133" s="105">
        <f t="shared" si="11"/>
        <v>-2924.4639175257616</v>
      </c>
      <c r="N133" s="106">
        <f t="shared" si="12"/>
        <v>0.97243008534269315</v>
      </c>
      <c r="O133" s="200"/>
      <c r="P133" s="170">
        <f t="shared" si="134"/>
        <v>2015414.8144329889</v>
      </c>
      <c r="Q133" s="104">
        <f t="shared" si="135"/>
        <v>2025700</v>
      </c>
      <c r="R133" s="108">
        <f t="shared" si="13"/>
        <v>10285.185567011125</v>
      </c>
      <c r="S133" s="106">
        <f t="shared" si="14"/>
        <v>1.0051032598814675</v>
      </c>
      <c r="T133" s="133"/>
      <c r="U133" s="104">
        <f t="shared" si="23"/>
        <v>8597082.7422680389</v>
      </c>
      <c r="V133" s="104">
        <f t="shared" si="24"/>
        <v>8681800</v>
      </c>
      <c r="W133" s="108">
        <f t="shared" si="15"/>
        <v>84717.257731961086</v>
      </c>
      <c r="X133" s="106">
        <f t="shared" si="16"/>
        <v>1.0098541866202408</v>
      </c>
      <c r="Y133" s="39"/>
      <c r="Z133" s="202">
        <f t="shared" ref="Z133:AA133" si="157">Z132+1</f>
        <v>45405</v>
      </c>
      <c r="AA133" s="203">
        <f t="shared" si="157"/>
        <v>45405</v>
      </c>
      <c r="AB133" s="204">
        <v>45405</v>
      </c>
      <c r="AC133" s="39"/>
      <c r="AD133" s="39"/>
      <c r="AE133" s="39"/>
      <c r="AF133" s="39"/>
      <c r="AG133" s="114"/>
      <c r="AH133" s="39"/>
      <c r="AI133" s="39"/>
      <c r="AJ133" s="39"/>
      <c r="AK133" s="39"/>
      <c r="AL133" s="39"/>
      <c r="AM133" s="39"/>
      <c r="AN133" s="39"/>
    </row>
    <row r="134" spans="1:40" ht="16.5" customHeight="1">
      <c r="A134" s="39"/>
      <c r="B134" s="50"/>
      <c r="C134" s="95">
        <f t="shared" si="19"/>
        <v>115</v>
      </c>
      <c r="D134" s="96">
        <v>1</v>
      </c>
      <c r="E134" s="194" t="str">
        <f t="shared" si="8"/>
        <v>4</v>
      </c>
      <c r="F134" s="195">
        <f t="shared" si="20"/>
        <v>45406</v>
      </c>
      <c r="G134" s="196" t="str">
        <f t="shared" si="9"/>
        <v>Wed</v>
      </c>
      <c r="H134" s="197"/>
      <c r="I134" s="208"/>
      <c r="J134" s="209">
        <v>77700</v>
      </c>
      <c r="K134" s="136"/>
      <c r="L134" s="104">
        <f t="shared" si="132"/>
        <v>106074.46391752576</v>
      </c>
      <c r="M134" s="105">
        <f t="shared" si="11"/>
        <v>-28374.463917525762</v>
      </c>
      <c r="N134" s="106">
        <f t="shared" si="12"/>
        <v>0.73250429114035154</v>
      </c>
      <c r="O134" s="200"/>
      <c r="P134" s="170">
        <f t="shared" si="134"/>
        <v>2121489.2783505148</v>
      </c>
      <c r="Q134" s="104">
        <f t="shared" si="135"/>
        <v>2103400</v>
      </c>
      <c r="R134" s="108">
        <f t="shared" si="13"/>
        <v>-18089.278350514825</v>
      </c>
      <c r="S134" s="106">
        <f t="shared" si="14"/>
        <v>0.99147331144441164</v>
      </c>
      <c r="T134" s="133"/>
      <c r="U134" s="104">
        <f t="shared" si="23"/>
        <v>8703157.2061855644</v>
      </c>
      <c r="V134" s="104">
        <f t="shared" si="24"/>
        <v>8759500</v>
      </c>
      <c r="W134" s="108">
        <f t="shared" si="15"/>
        <v>56342.793814435601</v>
      </c>
      <c r="X134" s="106">
        <f t="shared" si="16"/>
        <v>1.0064738338604744</v>
      </c>
      <c r="Y134" s="39"/>
      <c r="Z134" s="202">
        <f t="shared" ref="Z134:AA134" si="158">Z133+1</f>
        <v>45406</v>
      </c>
      <c r="AA134" s="203">
        <f t="shared" si="158"/>
        <v>45406</v>
      </c>
      <c r="AB134" s="204">
        <v>45406</v>
      </c>
      <c r="AC134" s="39"/>
      <c r="AD134" s="39"/>
      <c r="AE134" s="39"/>
      <c r="AF134" s="39"/>
      <c r="AG134" s="114"/>
      <c r="AH134" s="39"/>
      <c r="AI134" s="39"/>
      <c r="AJ134" s="39"/>
      <c r="AK134" s="39"/>
      <c r="AL134" s="39"/>
      <c r="AM134" s="39"/>
      <c r="AN134" s="39"/>
    </row>
    <row r="135" spans="1:40" ht="16.5" customHeight="1">
      <c r="A135" s="39"/>
      <c r="B135" s="50"/>
      <c r="C135" s="95">
        <f t="shared" si="19"/>
        <v>116</v>
      </c>
      <c r="D135" s="96">
        <v>1</v>
      </c>
      <c r="E135" s="194" t="str">
        <f t="shared" si="8"/>
        <v>4</v>
      </c>
      <c r="F135" s="195">
        <f t="shared" si="20"/>
        <v>45407</v>
      </c>
      <c r="G135" s="196" t="str">
        <f t="shared" si="9"/>
        <v>Thu</v>
      </c>
      <c r="H135" s="197"/>
      <c r="I135" s="208"/>
      <c r="J135" s="209">
        <v>92850</v>
      </c>
      <c r="K135" s="136"/>
      <c r="L135" s="104">
        <f t="shared" si="132"/>
        <v>106074.46391752576</v>
      </c>
      <c r="M135" s="105">
        <f t="shared" si="11"/>
        <v>-13224.463917525762</v>
      </c>
      <c r="N135" s="106">
        <f t="shared" si="12"/>
        <v>0.87532848690323861</v>
      </c>
      <c r="O135" s="200"/>
      <c r="P135" s="170">
        <f t="shared" si="134"/>
        <v>2227563.7422680408</v>
      </c>
      <c r="Q135" s="104">
        <f t="shared" si="135"/>
        <v>2196250</v>
      </c>
      <c r="R135" s="108">
        <f t="shared" si="13"/>
        <v>-31313.742268040776</v>
      </c>
      <c r="S135" s="106">
        <f t="shared" si="14"/>
        <v>0.98594260551387947</v>
      </c>
      <c r="T135" s="133"/>
      <c r="U135" s="104">
        <f t="shared" si="23"/>
        <v>8809231.6701030899</v>
      </c>
      <c r="V135" s="104">
        <f t="shared" si="24"/>
        <v>8852350</v>
      </c>
      <c r="W135" s="108">
        <f t="shared" si="15"/>
        <v>43118.329896910116</v>
      </c>
      <c r="X135" s="106">
        <f t="shared" si="16"/>
        <v>1.0048946754395445</v>
      </c>
      <c r="Y135" s="39"/>
      <c r="Z135" s="202">
        <f t="shared" ref="Z135:AA135" si="159">Z134+1</f>
        <v>45407</v>
      </c>
      <c r="AA135" s="203">
        <f t="shared" si="159"/>
        <v>45407</v>
      </c>
      <c r="AB135" s="204">
        <v>45407</v>
      </c>
      <c r="AC135" s="39"/>
      <c r="AD135" s="39"/>
      <c r="AE135" s="39"/>
      <c r="AF135" s="39"/>
      <c r="AG135" s="114"/>
      <c r="AH135" s="39"/>
      <c r="AI135" s="39"/>
      <c r="AJ135" s="39"/>
      <c r="AK135" s="39"/>
      <c r="AL135" s="39"/>
      <c r="AM135" s="39"/>
      <c r="AN135" s="39"/>
    </row>
    <row r="136" spans="1:40" ht="16.5" customHeight="1">
      <c r="A136" s="39"/>
      <c r="B136" s="50"/>
      <c r="C136" s="95">
        <f t="shared" si="19"/>
        <v>117</v>
      </c>
      <c r="D136" s="96">
        <v>1</v>
      </c>
      <c r="E136" s="194" t="str">
        <f t="shared" si="8"/>
        <v>4</v>
      </c>
      <c r="F136" s="195">
        <f t="shared" si="20"/>
        <v>45408</v>
      </c>
      <c r="G136" s="196" t="str">
        <f t="shared" si="9"/>
        <v>Fri</v>
      </c>
      <c r="H136" s="197"/>
      <c r="I136" s="208"/>
      <c r="J136" s="209">
        <v>160300</v>
      </c>
      <c r="K136" s="136"/>
      <c r="L136" s="104">
        <f t="shared" si="132"/>
        <v>106074.46391752576</v>
      </c>
      <c r="M136" s="105">
        <f t="shared" si="11"/>
        <v>54225.536082474238</v>
      </c>
      <c r="N136" s="106">
        <f t="shared" si="12"/>
        <v>1.5112025465868513</v>
      </c>
      <c r="O136" s="200"/>
      <c r="P136" s="170">
        <f t="shared" si="134"/>
        <v>2333638.2061855667</v>
      </c>
      <c r="Q136" s="104">
        <f t="shared" si="135"/>
        <v>2356550</v>
      </c>
      <c r="R136" s="108">
        <f t="shared" si="13"/>
        <v>22911.793814433273</v>
      </c>
      <c r="S136" s="106">
        <f t="shared" si="14"/>
        <v>1.0098180573808326</v>
      </c>
      <c r="T136" s="133"/>
      <c r="U136" s="104">
        <f t="shared" si="23"/>
        <v>8915306.1340206154</v>
      </c>
      <c r="V136" s="104">
        <f t="shared" si="24"/>
        <v>9012650</v>
      </c>
      <c r="W136" s="108">
        <f t="shared" si="15"/>
        <v>97343.865979384631</v>
      </c>
      <c r="X136" s="106">
        <f t="shared" si="16"/>
        <v>1.0109187350962545</v>
      </c>
      <c r="Y136" s="39"/>
      <c r="Z136" s="202">
        <f t="shared" ref="Z136:AA136" si="160">Z135+1</f>
        <v>45408</v>
      </c>
      <c r="AA136" s="203">
        <f t="shared" si="160"/>
        <v>45408</v>
      </c>
      <c r="AB136" s="204">
        <v>45408</v>
      </c>
      <c r="AC136" s="39"/>
      <c r="AD136" s="39"/>
      <c r="AE136" s="39"/>
      <c r="AF136" s="39"/>
      <c r="AG136" s="114"/>
      <c r="AH136" s="39"/>
      <c r="AI136" s="39"/>
      <c r="AJ136" s="39"/>
      <c r="AK136" s="39"/>
      <c r="AL136" s="39"/>
      <c r="AM136" s="39"/>
      <c r="AN136" s="39"/>
    </row>
    <row r="137" spans="1:40" ht="16.5" customHeight="1">
      <c r="A137" s="39"/>
      <c r="B137" s="50"/>
      <c r="C137" s="95">
        <f t="shared" si="19"/>
        <v>118</v>
      </c>
      <c r="D137" s="96">
        <v>1</v>
      </c>
      <c r="E137" s="194" t="str">
        <f t="shared" si="8"/>
        <v>4</v>
      </c>
      <c r="F137" s="195">
        <f t="shared" si="20"/>
        <v>45409</v>
      </c>
      <c r="G137" s="196" t="str">
        <f t="shared" si="9"/>
        <v>Sat</v>
      </c>
      <c r="H137" s="197"/>
      <c r="I137" s="208"/>
      <c r="J137" s="209">
        <v>100050</v>
      </c>
      <c r="K137" s="136"/>
      <c r="L137" s="104">
        <f t="shared" si="132"/>
        <v>106074.46391752576</v>
      </c>
      <c r="M137" s="105">
        <f t="shared" si="11"/>
        <v>-6024.4639175257616</v>
      </c>
      <c r="N137" s="106">
        <f t="shared" si="12"/>
        <v>0.94320533241431359</v>
      </c>
      <c r="O137" s="200"/>
      <c r="P137" s="170">
        <f t="shared" si="134"/>
        <v>2439712.6701030927</v>
      </c>
      <c r="Q137" s="104">
        <f t="shared" si="135"/>
        <v>2456600</v>
      </c>
      <c r="R137" s="108">
        <f t="shared" si="13"/>
        <v>16887.329896907322</v>
      </c>
      <c r="S137" s="106">
        <f t="shared" si="14"/>
        <v>1.0069218519475056</v>
      </c>
      <c r="T137" s="134"/>
      <c r="U137" s="104">
        <f t="shared" si="23"/>
        <v>9021380.5979381409</v>
      </c>
      <c r="V137" s="104">
        <f t="shared" si="24"/>
        <v>9112700</v>
      </c>
      <c r="W137" s="108">
        <f t="shared" si="15"/>
        <v>91319.402061859146</v>
      </c>
      <c r="X137" s="106">
        <f t="shared" si="16"/>
        <v>1.0101225528698712</v>
      </c>
      <c r="Y137" s="39"/>
      <c r="Z137" s="202">
        <f t="shared" ref="Z137:AA137" si="161">Z136+1</f>
        <v>45409</v>
      </c>
      <c r="AA137" s="203">
        <f t="shared" si="161"/>
        <v>45409</v>
      </c>
      <c r="AB137" s="204">
        <v>45409</v>
      </c>
      <c r="AC137" s="39"/>
      <c r="AD137" s="39"/>
      <c r="AE137" s="39"/>
      <c r="AF137" s="39"/>
      <c r="AG137" s="114"/>
      <c r="AH137" s="39"/>
      <c r="AI137" s="39"/>
      <c r="AJ137" s="39"/>
      <c r="AK137" s="39"/>
      <c r="AL137" s="39"/>
      <c r="AM137" s="39"/>
      <c r="AN137" s="39"/>
    </row>
    <row r="138" spans="1:40" ht="16.5" customHeight="1">
      <c r="A138" s="39"/>
      <c r="B138" s="50"/>
      <c r="C138" s="95">
        <f t="shared" si="19"/>
        <v>119</v>
      </c>
      <c r="D138" s="96">
        <v>1</v>
      </c>
      <c r="E138" s="194" t="str">
        <f t="shared" si="8"/>
        <v>4</v>
      </c>
      <c r="F138" s="195">
        <f t="shared" si="20"/>
        <v>45410</v>
      </c>
      <c r="G138" s="196" t="str">
        <f t="shared" si="9"/>
        <v>Sun</v>
      </c>
      <c r="H138" s="197" t="s">
        <v>157</v>
      </c>
      <c r="I138" s="208"/>
      <c r="J138" s="209">
        <v>117750</v>
      </c>
      <c r="K138" s="136"/>
      <c r="L138" s="104">
        <f t="shared" si="132"/>
        <v>106074.46391752576</v>
      </c>
      <c r="M138" s="105">
        <f t="shared" si="11"/>
        <v>11675.536082474238</v>
      </c>
      <c r="N138" s="106">
        <f t="shared" si="12"/>
        <v>1.1100692442957065</v>
      </c>
      <c r="O138" s="200"/>
      <c r="P138" s="170">
        <f t="shared" si="134"/>
        <v>2545787.1340206186</v>
      </c>
      <c r="Q138" s="104">
        <f t="shared" si="135"/>
        <v>2574350</v>
      </c>
      <c r="R138" s="108">
        <f t="shared" si="13"/>
        <v>28562.865979381371</v>
      </c>
      <c r="S138" s="106">
        <f t="shared" si="14"/>
        <v>1.011219659962014</v>
      </c>
      <c r="T138" s="133"/>
      <c r="U138" s="104">
        <f t="shared" si="23"/>
        <v>9127455.0618556663</v>
      </c>
      <c r="V138" s="104">
        <f t="shared" si="24"/>
        <v>9230450</v>
      </c>
      <c r="W138" s="108">
        <f t="shared" si="15"/>
        <v>102994.93814433366</v>
      </c>
      <c r="X138" s="106">
        <f t="shared" si="16"/>
        <v>1.011284080551079</v>
      </c>
      <c r="Y138" s="39"/>
      <c r="Z138" s="202">
        <f t="shared" ref="Z138:AA138" si="162">Z137+1</f>
        <v>45410</v>
      </c>
      <c r="AA138" s="203">
        <f t="shared" si="162"/>
        <v>45410</v>
      </c>
      <c r="AB138" s="204">
        <v>45410</v>
      </c>
      <c r="AC138" s="39"/>
      <c r="AD138" s="39"/>
      <c r="AE138" s="39"/>
      <c r="AF138" s="39"/>
      <c r="AG138" s="114"/>
      <c r="AH138" s="39"/>
      <c r="AI138" s="39"/>
      <c r="AJ138" s="39"/>
      <c r="AK138" s="39"/>
      <c r="AL138" s="39"/>
      <c r="AM138" s="39"/>
      <c r="AN138" s="39"/>
    </row>
    <row r="139" spans="1:40" ht="16.5" customHeight="1">
      <c r="A139" s="39"/>
      <c r="B139" s="50"/>
      <c r="C139" s="95">
        <f t="shared" si="19"/>
        <v>120</v>
      </c>
      <c r="D139" s="96">
        <v>0</v>
      </c>
      <c r="E139" s="194" t="str">
        <f t="shared" si="8"/>
        <v>4</v>
      </c>
      <c r="F139" s="195">
        <f t="shared" si="20"/>
        <v>45411</v>
      </c>
      <c r="G139" s="196" t="str">
        <f t="shared" si="9"/>
        <v>Mon</v>
      </c>
      <c r="H139" s="197" t="s">
        <v>153</v>
      </c>
      <c r="I139" s="208"/>
      <c r="J139" s="209"/>
      <c r="K139" s="136"/>
      <c r="L139" s="104">
        <f t="shared" si="132"/>
        <v>0</v>
      </c>
      <c r="M139" s="105">
        <f t="shared" si="11"/>
        <v>0</v>
      </c>
      <c r="N139" s="106" t="str">
        <f t="shared" si="12"/>
        <v>0%</v>
      </c>
      <c r="O139" s="200"/>
      <c r="P139" s="170">
        <f t="shared" si="134"/>
        <v>0</v>
      </c>
      <c r="Q139" s="104">
        <f t="shared" si="135"/>
        <v>0</v>
      </c>
      <c r="R139" s="108">
        <f t="shared" si="13"/>
        <v>0</v>
      </c>
      <c r="S139" s="106" t="str">
        <f t="shared" si="14"/>
        <v>0%</v>
      </c>
      <c r="T139" s="134"/>
      <c r="U139" s="104">
        <f t="shared" si="23"/>
        <v>0</v>
      </c>
      <c r="V139" s="104">
        <f t="shared" si="24"/>
        <v>0</v>
      </c>
      <c r="W139" s="108">
        <f t="shared" si="15"/>
        <v>0</v>
      </c>
      <c r="X139" s="106" t="str">
        <f t="shared" si="16"/>
        <v>0%</v>
      </c>
      <c r="Y139" s="39"/>
      <c r="Z139" s="202">
        <f t="shared" ref="Z139:AA139" si="163">Z138+1</f>
        <v>45411</v>
      </c>
      <c r="AA139" s="203">
        <f t="shared" si="163"/>
        <v>45411</v>
      </c>
      <c r="AB139" s="204">
        <v>45411</v>
      </c>
      <c r="AC139" s="39"/>
      <c r="AD139" s="39"/>
      <c r="AE139" s="39"/>
      <c r="AF139" s="39"/>
      <c r="AG139" s="114"/>
      <c r="AH139" s="39"/>
      <c r="AI139" s="39"/>
      <c r="AJ139" s="39"/>
      <c r="AK139" s="39"/>
      <c r="AL139" s="39"/>
      <c r="AM139" s="39"/>
      <c r="AN139" s="39"/>
    </row>
    <row r="140" spans="1:40" ht="16.5" customHeight="1">
      <c r="A140" s="39"/>
      <c r="B140" s="50"/>
      <c r="C140" s="160">
        <f t="shared" si="19"/>
        <v>121</v>
      </c>
      <c r="D140" s="138">
        <v>1</v>
      </c>
      <c r="E140" s="210" t="str">
        <f t="shared" si="8"/>
        <v>4</v>
      </c>
      <c r="F140" s="211">
        <f t="shared" si="20"/>
        <v>45412</v>
      </c>
      <c r="G140" s="212" t="str">
        <f t="shared" si="9"/>
        <v>Tue</v>
      </c>
      <c r="H140" s="213"/>
      <c r="I140" s="214"/>
      <c r="J140" s="215">
        <v>158250</v>
      </c>
      <c r="K140" s="136"/>
      <c r="L140" s="165">
        <f t="shared" si="132"/>
        <v>106074.46391752576</v>
      </c>
      <c r="M140" s="147">
        <f t="shared" si="11"/>
        <v>52175.536082474238</v>
      </c>
      <c r="N140" s="161">
        <f t="shared" si="12"/>
        <v>1.4918765002955034</v>
      </c>
      <c r="O140" s="216"/>
      <c r="P140" s="150">
        <f t="shared" si="134"/>
        <v>2651861.5979381446</v>
      </c>
      <c r="Q140" s="165">
        <f t="shared" si="135"/>
        <v>2732600</v>
      </c>
      <c r="R140" s="167">
        <f t="shared" si="13"/>
        <v>80738.40206185542</v>
      </c>
      <c r="S140" s="161">
        <f t="shared" si="14"/>
        <v>1.0304459335753535</v>
      </c>
      <c r="T140" s="149"/>
      <c r="U140" s="165">
        <f t="shared" si="23"/>
        <v>9233529.5257731918</v>
      </c>
      <c r="V140" s="165">
        <f t="shared" si="24"/>
        <v>9388700</v>
      </c>
      <c r="W140" s="167">
        <f t="shared" si="15"/>
        <v>155170.47422680818</v>
      </c>
      <c r="X140" s="161">
        <f t="shared" si="16"/>
        <v>1.0168051094431103</v>
      </c>
      <c r="Y140" s="39"/>
      <c r="Z140" s="202">
        <f t="shared" ref="Z140:AA140" si="164">Z139+1</f>
        <v>45412</v>
      </c>
      <c r="AA140" s="203">
        <f t="shared" si="164"/>
        <v>45412</v>
      </c>
      <c r="AB140" s="204">
        <v>45412</v>
      </c>
      <c r="AC140" s="39"/>
      <c r="AD140" s="39"/>
      <c r="AE140" s="39"/>
      <c r="AF140" s="39"/>
      <c r="AG140" s="114"/>
      <c r="AH140" s="39"/>
      <c r="AI140" s="39"/>
      <c r="AJ140" s="39"/>
      <c r="AK140" s="39"/>
      <c r="AL140" s="39"/>
      <c r="AM140" s="39"/>
      <c r="AN140" s="39"/>
    </row>
    <row r="141" spans="1:40" ht="16.5" customHeight="1">
      <c r="A141" s="39"/>
      <c r="B141" s="50"/>
      <c r="C141" s="95">
        <f t="shared" si="19"/>
        <v>122</v>
      </c>
      <c r="D141" s="155">
        <v>1</v>
      </c>
      <c r="E141" s="194" t="str">
        <f t="shared" si="8"/>
        <v>5</v>
      </c>
      <c r="F141" s="195">
        <f t="shared" si="20"/>
        <v>45413</v>
      </c>
      <c r="G141" s="196" t="str">
        <f t="shared" si="9"/>
        <v>Wed</v>
      </c>
      <c r="H141" s="197"/>
      <c r="I141" s="208"/>
      <c r="J141" s="209">
        <v>56000</v>
      </c>
      <c r="K141" s="136"/>
      <c r="L141" s="104">
        <f t="shared" ref="L141:L171" si="165">IF(D141=0,0,$K$10)</f>
        <v>101023.29896907216</v>
      </c>
      <c r="M141" s="108">
        <f t="shared" si="11"/>
        <v>-45023.298969072159</v>
      </c>
      <c r="N141" s="156">
        <f t="shared" si="12"/>
        <v>0.55432757167377944</v>
      </c>
      <c r="O141" s="200"/>
      <c r="P141" s="111">
        <f>IF(D141=0,0,$L$141)</f>
        <v>101023.29896907216</v>
      </c>
      <c r="Q141" s="104">
        <f>IF(D141=0,0,$J$141)</f>
        <v>56000</v>
      </c>
      <c r="R141" s="108">
        <f t="shared" si="13"/>
        <v>-45023.298969072159</v>
      </c>
      <c r="S141" s="156">
        <f t="shared" si="14"/>
        <v>0.55432757167377944</v>
      </c>
      <c r="T141" s="133"/>
      <c r="U141" s="104">
        <f t="shared" si="23"/>
        <v>9334552.8247422632</v>
      </c>
      <c r="V141" s="104">
        <f t="shared" si="24"/>
        <v>9444700</v>
      </c>
      <c r="W141" s="108">
        <f t="shared" si="15"/>
        <v>110147.17525773682</v>
      </c>
      <c r="X141" s="156">
        <f t="shared" si="16"/>
        <v>1.0117999412854335</v>
      </c>
      <c r="Y141" s="39"/>
      <c r="Z141" s="202">
        <f t="shared" ref="Z141:AA141" si="166">Z140+1</f>
        <v>45413</v>
      </c>
      <c r="AA141" s="203">
        <f t="shared" si="166"/>
        <v>45413</v>
      </c>
      <c r="AB141" s="204">
        <v>45413</v>
      </c>
      <c r="AC141" s="39"/>
      <c r="AD141" s="39"/>
      <c r="AE141" s="39"/>
      <c r="AF141" s="39"/>
      <c r="AG141" s="114"/>
      <c r="AH141" s="39"/>
      <c r="AI141" s="39"/>
      <c r="AJ141" s="39"/>
      <c r="AK141" s="39"/>
      <c r="AL141" s="39"/>
      <c r="AM141" s="39"/>
      <c r="AN141" s="39"/>
    </row>
    <row r="142" spans="1:40" ht="16.5" customHeight="1">
      <c r="A142" s="39"/>
      <c r="B142" s="50"/>
      <c r="C142" s="95">
        <f t="shared" si="19"/>
        <v>123</v>
      </c>
      <c r="D142" s="96">
        <v>1</v>
      </c>
      <c r="E142" s="194" t="str">
        <f t="shared" si="8"/>
        <v>5</v>
      </c>
      <c r="F142" s="195">
        <f t="shared" si="20"/>
        <v>45414</v>
      </c>
      <c r="G142" s="196" t="str">
        <f t="shared" si="9"/>
        <v>Thu</v>
      </c>
      <c r="H142" s="197"/>
      <c r="I142" s="208"/>
      <c r="J142" s="209">
        <v>80000</v>
      </c>
      <c r="K142" s="136"/>
      <c r="L142" s="104">
        <f t="shared" si="165"/>
        <v>101023.29896907216</v>
      </c>
      <c r="M142" s="105">
        <f t="shared" si="11"/>
        <v>-21023.298969072159</v>
      </c>
      <c r="N142" s="106">
        <f t="shared" si="12"/>
        <v>0.79189653096254209</v>
      </c>
      <c r="O142" s="200"/>
      <c r="P142" s="170">
        <f t="shared" ref="P142:P171" si="167">IF(D142=0,0,SUM($L$141:L142))</f>
        <v>202046.59793814432</v>
      </c>
      <c r="Q142" s="104">
        <f t="shared" ref="Q142:Q171" si="168">IF(D142=0,0,SUM($J$141:J142))</f>
        <v>136000</v>
      </c>
      <c r="R142" s="108">
        <f t="shared" si="13"/>
        <v>-66046.597938144318</v>
      </c>
      <c r="S142" s="106">
        <f t="shared" si="14"/>
        <v>0.67311205131816076</v>
      </c>
      <c r="T142" s="133"/>
      <c r="U142" s="104">
        <f t="shared" si="23"/>
        <v>9435576.1237113345</v>
      </c>
      <c r="V142" s="104">
        <f t="shared" si="24"/>
        <v>9524700</v>
      </c>
      <c r="W142" s="108">
        <f t="shared" si="15"/>
        <v>89123.876288665459</v>
      </c>
      <c r="X142" s="106">
        <f t="shared" si="16"/>
        <v>1.0094455150507131</v>
      </c>
      <c r="Y142" s="39"/>
      <c r="Z142" s="202">
        <f t="shared" ref="Z142:AA142" si="169">Z141+1</f>
        <v>45414</v>
      </c>
      <c r="AA142" s="203">
        <f t="shared" si="169"/>
        <v>45414</v>
      </c>
      <c r="AB142" s="204">
        <v>45414</v>
      </c>
      <c r="AC142" s="39"/>
      <c r="AD142" s="39"/>
      <c r="AE142" s="39"/>
      <c r="AF142" s="39"/>
      <c r="AG142" s="114"/>
      <c r="AH142" s="39"/>
      <c r="AI142" s="39"/>
      <c r="AJ142" s="39"/>
      <c r="AK142" s="39"/>
      <c r="AL142" s="39"/>
      <c r="AM142" s="39"/>
      <c r="AN142" s="39"/>
    </row>
    <row r="143" spans="1:40" ht="16.5" customHeight="1">
      <c r="A143" s="39"/>
      <c r="B143" s="50"/>
      <c r="C143" s="95">
        <f t="shared" si="19"/>
        <v>124</v>
      </c>
      <c r="D143" s="96">
        <v>1</v>
      </c>
      <c r="E143" s="194" t="str">
        <f t="shared" si="8"/>
        <v>5</v>
      </c>
      <c r="F143" s="195">
        <f t="shared" si="20"/>
        <v>45415</v>
      </c>
      <c r="G143" s="196" t="str">
        <f t="shared" si="9"/>
        <v>Fri</v>
      </c>
      <c r="H143" s="197" t="s">
        <v>153</v>
      </c>
      <c r="I143" s="208"/>
      <c r="J143" s="209">
        <v>118500</v>
      </c>
      <c r="K143" s="136"/>
      <c r="L143" s="104">
        <f t="shared" si="165"/>
        <v>101023.29896907216</v>
      </c>
      <c r="M143" s="105">
        <f t="shared" si="11"/>
        <v>17476.701030927841</v>
      </c>
      <c r="N143" s="106">
        <f t="shared" si="12"/>
        <v>1.1729967364882654</v>
      </c>
      <c r="O143" s="200"/>
      <c r="P143" s="170">
        <f t="shared" si="167"/>
        <v>303069.89690721646</v>
      </c>
      <c r="Q143" s="104">
        <f t="shared" si="168"/>
        <v>254500</v>
      </c>
      <c r="R143" s="108">
        <f t="shared" si="13"/>
        <v>-48569.896907216462</v>
      </c>
      <c r="S143" s="106">
        <f t="shared" si="14"/>
        <v>0.83974027970819576</v>
      </c>
      <c r="T143" s="134"/>
      <c r="U143" s="104">
        <f t="shared" si="23"/>
        <v>9536599.4226804059</v>
      </c>
      <c r="V143" s="104">
        <f t="shared" si="24"/>
        <v>9643200</v>
      </c>
      <c r="W143" s="108">
        <f t="shared" si="15"/>
        <v>106600.5773195941</v>
      </c>
      <c r="X143" s="106">
        <f t="shared" si="16"/>
        <v>1.0111780491761111</v>
      </c>
      <c r="Y143" s="39"/>
      <c r="Z143" s="202">
        <f t="shared" ref="Z143:AA143" si="170">Z142+1</f>
        <v>45415</v>
      </c>
      <c r="AA143" s="203">
        <f t="shared" si="170"/>
        <v>45415</v>
      </c>
      <c r="AB143" s="204">
        <v>45415</v>
      </c>
      <c r="AC143" s="39"/>
      <c r="AD143" s="39"/>
      <c r="AE143" s="39"/>
      <c r="AF143" s="39"/>
      <c r="AG143" s="114"/>
      <c r="AH143" s="39"/>
      <c r="AI143" s="39"/>
      <c r="AJ143" s="39"/>
      <c r="AK143" s="39"/>
      <c r="AL143" s="39"/>
      <c r="AM143" s="39"/>
      <c r="AN143" s="39"/>
    </row>
    <row r="144" spans="1:40" ht="16.5" customHeight="1">
      <c r="A144" s="39"/>
      <c r="B144" s="50"/>
      <c r="C144" s="95">
        <f t="shared" si="19"/>
        <v>125</v>
      </c>
      <c r="D144" s="96">
        <v>1</v>
      </c>
      <c r="E144" s="194" t="str">
        <f t="shared" si="8"/>
        <v>5</v>
      </c>
      <c r="F144" s="195">
        <f t="shared" si="20"/>
        <v>45416</v>
      </c>
      <c r="G144" s="196" t="str">
        <f t="shared" si="9"/>
        <v>Sat</v>
      </c>
      <c r="H144" s="197" t="s">
        <v>153</v>
      </c>
      <c r="I144" s="208"/>
      <c r="J144" s="209">
        <v>87000</v>
      </c>
      <c r="K144" s="136"/>
      <c r="L144" s="104">
        <f t="shared" si="165"/>
        <v>101023.29896907216</v>
      </c>
      <c r="M144" s="105">
        <f t="shared" si="11"/>
        <v>-14023.298969072159</v>
      </c>
      <c r="N144" s="106">
        <f t="shared" si="12"/>
        <v>0.8611874774217646</v>
      </c>
      <c r="O144" s="200"/>
      <c r="P144" s="170">
        <f t="shared" si="167"/>
        <v>404093.19587628864</v>
      </c>
      <c r="Q144" s="104">
        <f t="shared" si="168"/>
        <v>341500</v>
      </c>
      <c r="R144" s="108">
        <f t="shared" si="13"/>
        <v>-62593.195876288635</v>
      </c>
      <c r="S144" s="106">
        <f t="shared" si="14"/>
        <v>0.84510207913658797</v>
      </c>
      <c r="T144" s="134"/>
      <c r="U144" s="104">
        <f t="shared" si="23"/>
        <v>9637622.7216494773</v>
      </c>
      <c r="V144" s="104">
        <f t="shared" si="24"/>
        <v>9730200</v>
      </c>
      <c r="W144" s="108">
        <f t="shared" si="15"/>
        <v>92577.278350522742</v>
      </c>
      <c r="X144" s="106">
        <f t="shared" si="16"/>
        <v>1.0096058209606569</v>
      </c>
      <c r="Y144" s="39"/>
      <c r="Z144" s="202">
        <f t="shared" ref="Z144:AA144" si="171">Z143+1</f>
        <v>45416</v>
      </c>
      <c r="AA144" s="203">
        <f t="shared" si="171"/>
        <v>45416</v>
      </c>
      <c r="AB144" s="204">
        <v>45416</v>
      </c>
      <c r="AC144" s="39"/>
      <c r="AD144" s="39"/>
      <c r="AE144" s="39"/>
      <c r="AF144" s="39"/>
      <c r="AG144" s="114"/>
      <c r="AH144" s="39"/>
      <c r="AI144" s="39"/>
      <c r="AJ144" s="39"/>
      <c r="AK144" s="39"/>
      <c r="AL144" s="39"/>
      <c r="AM144" s="39"/>
      <c r="AN144" s="39"/>
    </row>
    <row r="145" spans="1:40" ht="16.5" customHeight="1">
      <c r="A145" s="39"/>
      <c r="B145" s="50"/>
      <c r="C145" s="95">
        <f t="shared" si="19"/>
        <v>126</v>
      </c>
      <c r="D145" s="96">
        <v>1</v>
      </c>
      <c r="E145" s="194" t="str">
        <f t="shared" si="8"/>
        <v>5</v>
      </c>
      <c r="F145" s="195">
        <f t="shared" si="20"/>
        <v>45417</v>
      </c>
      <c r="G145" s="196" t="str">
        <f t="shared" si="9"/>
        <v>Sun</v>
      </c>
      <c r="H145" s="197" t="s">
        <v>157</v>
      </c>
      <c r="I145" s="208"/>
      <c r="J145" s="209">
        <v>131950</v>
      </c>
      <c r="K145" s="136"/>
      <c r="L145" s="104">
        <f t="shared" si="165"/>
        <v>101023.29896907216</v>
      </c>
      <c r="M145" s="105">
        <f t="shared" si="11"/>
        <v>30926.701030927841</v>
      </c>
      <c r="N145" s="106">
        <f t="shared" si="12"/>
        <v>1.3061343407563428</v>
      </c>
      <c r="O145" s="200"/>
      <c r="P145" s="170">
        <f t="shared" si="167"/>
        <v>505116.49484536081</v>
      </c>
      <c r="Q145" s="104">
        <f t="shared" si="168"/>
        <v>473450</v>
      </c>
      <c r="R145" s="108">
        <f t="shared" si="13"/>
        <v>-31666.494845360809</v>
      </c>
      <c r="S145" s="106">
        <f t="shared" si="14"/>
        <v>0.93730853146053894</v>
      </c>
      <c r="T145" s="134"/>
      <c r="U145" s="104">
        <f t="shared" si="23"/>
        <v>9738646.0206185486</v>
      </c>
      <c r="V145" s="104">
        <f t="shared" si="24"/>
        <v>9862150</v>
      </c>
      <c r="W145" s="108">
        <f t="shared" si="15"/>
        <v>123503.97938145138</v>
      </c>
      <c r="X145" s="106">
        <f t="shared" si="16"/>
        <v>1.0126818429502387</v>
      </c>
      <c r="Y145" s="39"/>
      <c r="Z145" s="202">
        <f t="shared" ref="Z145:AA145" si="172">Z144+1</f>
        <v>45417</v>
      </c>
      <c r="AA145" s="203">
        <f t="shared" si="172"/>
        <v>45417</v>
      </c>
      <c r="AB145" s="204">
        <v>45417</v>
      </c>
      <c r="AC145" s="39"/>
      <c r="AD145" s="39"/>
      <c r="AE145" s="39"/>
      <c r="AF145" s="39"/>
      <c r="AG145" s="114"/>
      <c r="AH145" s="39"/>
      <c r="AI145" s="39"/>
      <c r="AJ145" s="39"/>
      <c r="AK145" s="39"/>
      <c r="AL145" s="39"/>
      <c r="AM145" s="39"/>
      <c r="AN145" s="39"/>
    </row>
    <row r="146" spans="1:40" ht="16.5" customHeight="1">
      <c r="A146" s="39"/>
      <c r="B146" s="50"/>
      <c r="C146" s="95">
        <f t="shared" si="19"/>
        <v>127</v>
      </c>
      <c r="D146" s="96">
        <v>0</v>
      </c>
      <c r="E146" s="194" t="str">
        <f t="shared" si="8"/>
        <v>5</v>
      </c>
      <c r="F146" s="195">
        <f t="shared" si="20"/>
        <v>45418</v>
      </c>
      <c r="G146" s="196" t="str">
        <f t="shared" si="9"/>
        <v>Mon</v>
      </c>
      <c r="H146" s="197" t="s">
        <v>153</v>
      </c>
      <c r="I146" s="208"/>
      <c r="J146" s="209"/>
      <c r="K146" s="136"/>
      <c r="L146" s="104">
        <f t="shared" si="165"/>
        <v>0</v>
      </c>
      <c r="M146" s="105">
        <f t="shared" si="11"/>
        <v>0</v>
      </c>
      <c r="N146" s="106" t="str">
        <f t="shared" si="12"/>
        <v>0%</v>
      </c>
      <c r="O146" s="200"/>
      <c r="P146" s="170">
        <f t="shared" si="167"/>
        <v>0</v>
      </c>
      <c r="Q146" s="104">
        <f t="shared" si="168"/>
        <v>0</v>
      </c>
      <c r="R146" s="108">
        <f t="shared" si="13"/>
        <v>0</v>
      </c>
      <c r="S146" s="106" t="str">
        <f t="shared" si="14"/>
        <v>0%</v>
      </c>
      <c r="T146" s="134"/>
      <c r="U146" s="104">
        <f t="shared" si="23"/>
        <v>0</v>
      </c>
      <c r="V146" s="104">
        <f t="shared" si="24"/>
        <v>0</v>
      </c>
      <c r="W146" s="108">
        <f t="shared" si="15"/>
        <v>0</v>
      </c>
      <c r="X146" s="106" t="str">
        <f t="shared" si="16"/>
        <v>0%</v>
      </c>
      <c r="Y146" s="39"/>
      <c r="Z146" s="202">
        <f t="shared" ref="Z146:AA146" si="173">Z145+1</f>
        <v>45418</v>
      </c>
      <c r="AA146" s="203">
        <f t="shared" si="173"/>
        <v>45418</v>
      </c>
      <c r="AB146" s="204">
        <v>45418</v>
      </c>
      <c r="AC146" s="39"/>
      <c r="AD146" s="39"/>
      <c r="AE146" s="39"/>
      <c r="AF146" s="39"/>
      <c r="AG146" s="114"/>
      <c r="AH146" s="39"/>
      <c r="AI146" s="39"/>
      <c r="AJ146" s="39"/>
      <c r="AK146" s="39"/>
      <c r="AL146" s="39"/>
      <c r="AM146" s="39"/>
      <c r="AN146" s="39"/>
    </row>
    <row r="147" spans="1:40" ht="16.5" customHeight="1">
      <c r="A147" s="39"/>
      <c r="B147" s="50"/>
      <c r="C147" s="95">
        <f t="shared" si="19"/>
        <v>128</v>
      </c>
      <c r="D147" s="96">
        <v>0</v>
      </c>
      <c r="E147" s="194" t="str">
        <f t="shared" si="8"/>
        <v>5</v>
      </c>
      <c r="F147" s="195">
        <f t="shared" si="20"/>
        <v>45419</v>
      </c>
      <c r="G147" s="196" t="str">
        <f t="shared" si="9"/>
        <v>Tue</v>
      </c>
      <c r="H147" s="197"/>
      <c r="I147" s="208"/>
      <c r="J147" s="209"/>
      <c r="K147" s="136"/>
      <c r="L147" s="104">
        <f t="shared" si="165"/>
        <v>0</v>
      </c>
      <c r="M147" s="105">
        <f t="shared" si="11"/>
        <v>0</v>
      </c>
      <c r="N147" s="106" t="str">
        <f t="shared" si="12"/>
        <v>0%</v>
      </c>
      <c r="O147" s="200"/>
      <c r="P147" s="170">
        <f t="shared" si="167"/>
        <v>0</v>
      </c>
      <c r="Q147" s="104">
        <f t="shared" si="168"/>
        <v>0</v>
      </c>
      <c r="R147" s="108">
        <f t="shared" si="13"/>
        <v>0</v>
      </c>
      <c r="S147" s="106" t="str">
        <f t="shared" si="14"/>
        <v>0%</v>
      </c>
      <c r="T147" s="133"/>
      <c r="U147" s="104">
        <f t="shared" si="23"/>
        <v>0</v>
      </c>
      <c r="V147" s="104">
        <f t="shared" si="24"/>
        <v>0</v>
      </c>
      <c r="W147" s="108">
        <f t="shared" si="15"/>
        <v>0</v>
      </c>
      <c r="X147" s="106" t="str">
        <f t="shared" si="16"/>
        <v>0%</v>
      </c>
      <c r="Y147" s="39"/>
      <c r="Z147" s="202">
        <f t="shared" ref="Z147:AA147" si="174">Z146+1</f>
        <v>45419</v>
      </c>
      <c r="AA147" s="203">
        <f t="shared" si="174"/>
        <v>45419</v>
      </c>
      <c r="AB147" s="204">
        <v>45419</v>
      </c>
      <c r="AC147" s="39"/>
      <c r="AD147" s="39"/>
      <c r="AE147" s="39"/>
      <c r="AF147" s="39"/>
      <c r="AG147" s="114"/>
      <c r="AH147" s="39"/>
      <c r="AI147" s="39"/>
      <c r="AJ147" s="39"/>
      <c r="AK147" s="39"/>
      <c r="AL147" s="39"/>
      <c r="AM147" s="39"/>
      <c r="AN147" s="39"/>
    </row>
    <row r="148" spans="1:40" ht="16.5" customHeight="1">
      <c r="A148" s="39"/>
      <c r="B148" s="50"/>
      <c r="C148" s="95">
        <f t="shared" si="19"/>
        <v>129</v>
      </c>
      <c r="D148" s="96">
        <v>0</v>
      </c>
      <c r="E148" s="194" t="str">
        <f t="shared" si="8"/>
        <v>5</v>
      </c>
      <c r="F148" s="195">
        <f t="shared" si="20"/>
        <v>45420</v>
      </c>
      <c r="G148" s="196" t="str">
        <f t="shared" si="9"/>
        <v>Wed</v>
      </c>
      <c r="H148" s="197"/>
      <c r="I148" s="208"/>
      <c r="J148" s="209"/>
      <c r="K148" s="136"/>
      <c r="L148" s="104">
        <f t="shared" si="165"/>
        <v>0</v>
      </c>
      <c r="M148" s="105">
        <f t="shared" si="11"/>
        <v>0</v>
      </c>
      <c r="N148" s="106" t="str">
        <f t="shared" si="12"/>
        <v>0%</v>
      </c>
      <c r="O148" s="200"/>
      <c r="P148" s="170">
        <f t="shared" si="167"/>
        <v>0</v>
      </c>
      <c r="Q148" s="104">
        <f t="shared" si="168"/>
        <v>0</v>
      </c>
      <c r="R148" s="108">
        <f t="shared" si="13"/>
        <v>0</v>
      </c>
      <c r="S148" s="106" t="str">
        <f t="shared" si="14"/>
        <v>0%</v>
      </c>
      <c r="T148" s="133"/>
      <c r="U148" s="104">
        <f t="shared" si="23"/>
        <v>0</v>
      </c>
      <c r="V148" s="104">
        <f t="shared" si="24"/>
        <v>0</v>
      </c>
      <c r="W148" s="108">
        <f t="shared" si="15"/>
        <v>0</v>
      </c>
      <c r="X148" s="106" t="str">
        <f t="shared" si="16"/>
        <v>0%</v>
      </c>
      <c r="Y148" s="39"/>
      <c r="Z148" s="202">
        <f t="shared" ref="Z148:AA148" si="175">Z147+1</f>
        <v>45420</v>
      </c>
      <c r="AA148" s="203">
        <f t="shared" si="175"/>
        <v>45420</v>
      </c>
      <c r="AB148" s="204">
        <v>45420</v>
      </c>
      <c r="AC148" s="39"/>
      <c r="AD148" s="39"/>
      <c r="AE148" s="39"/>
      <c r="AF148" s="39"/>
      <c r="AG148" s="114"/>
      <c r="AH148" s="39"/>
      <c r="AI148" s="39"/>
      <c r="AJ148" s="39"/>
      <c r="AK148" s="39"/>
      <c r="AL148" s="39"/>
      <c r="AM148" s="39"/>
      <c r="AN148" s="39"/>
    </row>
    <row r="149" spans="1:40" ht="16.5" customHeight="1">
      <c r="A149" s="39"/>
      <c r="B149" s="50"/>
      <c r="C149" s="95">
        <f t="shared" si="19"/>
        <v>130</v>
      </c>
      <c r="D149" s="96">
        <v>1</v>
      </c>
      <c r="E149" s="194" t="str">
        <f t="shared" si="8"/>
        <v>5</v>
      </c>
      <c r="F149" s="195">
        <f t="shared" si="20"/>
        <v>45421</v>
      </c>
      <c r="G149" s="196" t="str">
        <f t="shared" si="9"/>
        <v>Thu</v>
      </c>
      <c r="H149" s="197"/>
      <c r="I149" s="208"/>
      <c r="J149" s="209">
        <v>108750</v>
      </c>
      <c r="K149" s="136"/>
      <c r="L149" s="104">
        <f t="shared" si="165"/>
        <v>101023.29896907216</v>
      </c>
      <c r="M149" s="105">
        <f t="shared" si="11"/>
        <v>7726.7010309278412</v>
      </c>
      <c r="N149" s="106">
        <f t="shared" si="12"/>
        <v>1.0764843467772056</v>
      </c>
      <c r="O149" s="200"/>
      <c r="P149" s="170">
        <f t="shared" si="167"/>
        <v>606139.79381443292</v>
      </c>
      <c r="Q149" s="104">
        <f t="shared" si="168"/>
        <v>582200</v>
      </c>
      <c r="R149" s="108">
        <f t="shared" si="13"/>
        <v>-23939.793814432924</v>
      </c>
      <c r="S149" s="106">
        <f t="shared" si="14"/>
        <v>0.96050450067998339</v>
      </c>
      <c r="T149" s="133"/>
      <c r="U149" s="104">
        <f t="shared" si="23"/>
        <v>9839669.31958762</v>
      </c>
      <c r="V149" s="104">
        <f t="shared" si="24"/>
        <v>9970900</v>
      </c>
      <c r="W149" s="108">
        <f t="shared" si="15"/>
        <v>131230.68041238002</v>
      </c>
      <c r="X149" s="106">
        <f t="shared" si="16"/>
        <v>1.0133368994577026</v>
      </c>
      <c r="Y149" s="39"/>
      <c r="Z149" s="202">
        <f t="shared" ref="Z149:AA149" si="176">Z148+1</f>
        <v>45421</v>
      </c>
      <c r="AA149" s="203">
        <f t="shared" si="176"/>
        <v>45421</v>
      </c>
      <c r="AB149" s="204">
        <v>45421</v>
      </c>
      <c r="AC149" s="39"/>
      <c r="AD149" s="39"/>
      <c r="AE149" s="39"/>
      <c r="AF149" s="39"/>
      <c r="AG149" s="114"/>
      <c r="AH149" s="39"/>
      <c r="AI149" s="39"/>
      <c r="AJ149" s="39"/>
      <c r="AK149" s="39"/>
      <c r="AL149" s="39"/>
      <c r="AM149" s="39"/>
      <c r="AN149" s="39"/>
    </row>
    <row r="150" spans="1:40" ht="16.5" customHeight="1">
      <c r="A150" s="39"/>
      <c r="B150" s="50"/>
      <c r="C150" s="95">
        <f t="shared" si="19"/>
        <v>131</v>
      </c>
      <c r="D150" s="96">
        <v>1</v>
      </c>
      <c r="E150" s="194" t="str">
        <f t="shared" si="8"/>
        <v>5</v>
      </c>
      <c r="F150" s="195">
        <f t="shared" si="20"/>
        <v>45422</v>
      </c>
      <c r="G150" s="196" t="str">
        <f t="shared" si="9"/>
        <v>Fri</v>
      </c>
      <c r="H150" s="197"/>
      <c r="I150" s="208"/>
      <c r="J150" s="209">
        <v>193500</v>
      </c>
      <c r="K150" s="136"/>
      <c r="L150" s="104">
        <f t="shared" si="165"/>
        <v>101023.29896907216</v>
      </c>
      <c r="M150" s="105">
        <f t="shared" si="11"/>
        <v>92476.701030927841</v>
      </c>
      <c r="N150" s="106">
        <f t="shared" si="12"/>
        <v>1.9153997342656488</v>
      </c>
      <c r="O150" s="200"/>
      <c r="P150" s="170">
        <f t="shared" si="167"/>
        <v>707163.0927835051</v>
      </c>
      <c r="Q150" s="104">
        <f t="shared" si="168"/>
        <v>775700</v>
      </c>
      <c r="R150" s="108">
        <f t="shared" si="13"/>
        <v>68536.907216494903</v>
      </c>
      <c r="S150" s="106">
        <f t="shared" si="14"/>
        <v>1.0969181054779356</v>
      </c>
      <c r="T150" s="133"/>
      <c r="U150" s="104">
        <f t="shared" si="23"/>
        <v>9940692.6185566913</v>
      </c>
      <c r="V150" s="104">
        <f t="shared" si="24"/>
        <v>10164400</v>
      </c>
      <c r="W150" s="108">
        <f t="shared" si="15"/>
        <v>223707.38144330867</v>
      </c>
      <c r="X150" s="106">
        <f t="shared" si="16"/>
        <v>1.0225042046894905</v>
      </c>
      <c r="Y150" s="39"/>
      <c r="Z150" s="202">
        <f t="shared" ref="Z150:AA150" si="177">Z149+1</f>
        <v>45422</v>
      </c>
      <c r="AA150" s="203">
        <f t="shared" si="177"/>
        <v>45422</v>
      </c>
      <c r="AB150" s="204">
        <v>45422</v>
      </c>
      <c r="AC150" s="39"/>
      <c r="AD150" s="39"/>
      <c r="AE150" s="39"/>
      <c r="AF150" s="39"/>
      <c r="AG150" s="114"/>
      <c r="AH150" s="39"/>
      <c r="AI150" s="39"/>
      <c r="AJ150" s="39"/>
      <c r="AK150" s="39"/>
      <c r="AL150" s="39"/>
      <c r="AM150" s="39"/>
      <c r="AN150" s="39"/>
    </row>
    <row r="151" spans="1:40" ht="16.5" customHeight="1">
      <c r="A151" s="39"/>
      <c r="B151" s="50"/>
      <c r="C151" s="95">
        <f t="shared" si="19"/>
        <v>132</v>
      </c>
      <c r="D151" s="96">
        <v>1</v>
      </c>
      <c r="E151" s="194" t="str">
        <f t="shared" si="8"/>
        <v>5</v>
      </c>
      <c r="F151" s="195">
        <f t="shared" si="20"/>
        <v>45423</v>
      </c>
      <c r="G151" s="196" t="str">
        <f t="shared" si="9"/>
        <v>Sat</v>
      </c>
      <c r="H151" s="197"/>
      <c r="I151" s="208"/>
      <c r="J151" s="209">
        <v>55250</v>
      </c>
      <c r="K151" s="136"/>
      <c r="L151" s="104">
        <f t="shared" si="165"/>
        <v>101023.29896907216</v>
      </c>
      <c r="M151" s="105">
        <f t="shared" si="11"/>
        <v>-45773.298969072159</v>
      </c>
      <c r="N151" s="106">
        <f t="shared" si="12"/>
        <v>0.54690354169600564</v>
      </c>
      <c r="O151" s="200"/>
      <c r="P151" s="170">
        <f t="shared" si="167"/>
        <v>808186.39175257727</v>
      </c>
      <c r="Q151" s="104">
        <f t="shared" si="168"/>
        <v>830950</v>
      </c>
      <c r="R151" s="108">
        <f t="shared" si="13"/>
        <v>22763.60824742273</v>
      </c>
      <c r="S151" s="106">
        <f t="shared" si="14"/>
        <v>1.0281662850051942</v>
      </c>
      <c r="T151" s="134"/>
      <c r="U151" s="104">
        <f t="shared" si="23"/>
        <v>10041715.917525763</v>
      </c>
      <c r="V151" s="104">
        <f t="shared" si="24"/>
        <v>10219650</v>
      </c>
      <c r="W151" s="108">
        <f t="shared" si="15"/>
        <v>177934.08247423731</v>
      </c>
      <c r="X151" s="106">
        <f t="shared" si="16"/>
        <v>1.0177194897700392</v>
      </c>
      <c r="Y151" s="39"/>
      <c r="Z151" s="202">
        <f t="shared" ref="Z151:AA151" si="178">Z150+1</f>
        <v>45423</v>
      </c>
      <c r="AA151" s="203">
        <f t="shared" si="178"/>
        <v>45423</v>
      </c>
      <c r="AB151" s="204">
        <v>45423</v>
      </c>
      <c r="AC151" s="39"/>
      <c r="AD151" s="39"/>
      <c r="AE151" s="39"/>
      <c r="AF151" s="39"/>
      <c r="AG151" s="114"/>
      <c r="AH151" s="39"/>
      <c r="AI151" s="39"/>
      <c r="AJ151" s="39"/>
      <c r="AK151" s="39"/>
      <c r="AL151" s="39"/>
      <c r="AM151" s="39"/>
      <c r="AN151" s="39"/>
    </row>
    <row r="152" spans="1:40" ht="16.5" customHeight="1">
      <c r="A152" s="39"/>
      <c r="B152" s="50"/>
      <c r="C152" s="95">
        <f t="shared" si="19"/>
        <v>133</v>
      </c>
      <c r="D152" s="96">
        <v>1</v>
      </c>
      <c r="E152" s="194" t="str">
        <f t="shared" si="8"/>
        <v>5</v>
      </c>
      <c r="F152" s="195">
        <f t="shared" si="20"/>
        <v>45424</v>
      </c>
      <c r="G152" s="196" t="str">
        <f t="shared" si="9"/>
        <v>Sun</v>
      </c>
      <c r="H152" s="197" t="s">
        <v>157</v>
      </c>
      <c r="I152" s="208"/>
      <c r="J152" s="209">
        <v>122700</v>
      </c>
      <c r="K152" s="136"/>
      <c r="L152" s="104">
        <f t="shared" si="165"/>
        <v>101023.29896907216</v>
      </c>
      <c r="M152" s="105">
        <f t="shared" si="11"/>
        <v>21676.701030927841</v>
      </c>
      <c r="N152" s="106">
        <f t="shared" si="12"/>
        <v>1.2145713043637989</v>
      </c>
      <c r="O152" s="200"/>
      <c r="P152" s="170">
        <f t="shared" si="167"/>
        <v>909209.69072164944</v>
      </c>
      <c r="Q152" s="104">
        <f t="shared" si="168"/>
        <v>953650</v>
      </c>
      <c r="R152" s="108">
        <f t="shared" si="13"/>
        <v>44440.309278350556</v>
      </c>
      <c r="S152" s="106">
        <f t="shared" si="14"/>
        <v>1.048877953822817</v>
      </c>
      <c r="T152" s="133"/>
      <c r="U152" s="104">
        <f t="shared" si="23"/>
        <v>10142739.216494834</v>
      </c>
      <c r="V152" s="104">
        <f t="shared" si="24"/>
        <v>10342350</v>
      </c>
      <c r="W152" s="108">
        <f t="shared" si="15"/>
        <v>199610.78350516595</v>
      </c>
      <c r="X152" s="106">
        <f t="shared" si="16"/>
        <v>1.0196801652142002</v>
      </c>
      <c r="Y152" s="39"/>
      <c r="Z152" s="202">
        <f t="shared" ref="Z152:AA152" si="179">Z151+1</f>
        <v>45424</v>
      </c>
      <c r="AA152" s="203">
        <f t="shared" si="179"/>
        <v>45424</v>
      </c>
      <c r="AB152" s="204">
        <v>45424</v>
      </c>
      <c r="AC152" s="39"/>
      <c r="AD152" s="39"/>
      <c r="AE152" s="39"/>
      <c r="AF152" s="39"/>
      <c r="AG152" s="114"/>
      <c r="AH152" s="39"/>
      <c r="AI152" s="39"/>
      <c r="AJ152" s="39"/>
      <c r="AK152" s="39"/>
      <c r="AL152" s="39"/>
      <c r="AM152" s="39"/>
      <c r="AN152" s="39"/>
    </row>
    <row r="153" spans="1:40" ht="16.5" customHeight="1">
      <c r="A153" s="39"/>
      <c r="B153" s="50"/>
      <c r="C153" s="95">
        <f t="shared" si="19"/>
        <v>134</v>
      </c>
      <c r="D153" s="96">
        <v>0</v>
      </c>
      <c r="E153" s="194" t="str">
        <f t="shared" si="8"/>
        <v>5</v>
      </c>
      <c r="F153" s="195">
        <f t="shared" si="20"/>
        <v>45425</v>
      </c>
      <c r="G153" s="196" t="str">
        <f t="shared" si="9"/>
        <v>Mon</v>
      </c>
      <c r="H153" s="197"/>
      <c r="I153" s="208"/>
      <c r="J153" s="209"/>
      <c r="K153" s="136"/>
      <c r="L153" s="104">
        <f t="shared" si="165"/>
        <v>0</v>
      </c>
      <c r="M153" s="105">
        <f t="shared" si="11"/>
        <v>0</v>
      </c>
      <c r="N153" s="106" t="str">
        <f t="shared" si="12"/>
        <v>0%</v>
      </c>
      <c r="O153" s="200"/>
      <c r="P153" s="170">
        <f t="shared" si="167"/>
        <v>0</v>
      </c>
      <c r="Q153" s="104">
        <f t="shared" si="168"/>
        <v>0</v>
      </c>
      <c r="R153" s="108">
        <f t="shared" si="13"/>
        <v>0</v>
      </c>
      <c r="S153" s="106" t="str">
        <f t="shared" si="14"/>
        <v>0%</v>
      </c>
      <c r="T153" s="133"/>
      <c r="U153" s="104">
        <f t="shared" si="23"/>
        <v>0</v>
      </c>
      <c r="V153" s="104">
        <f t="shared" si="24"/>
        <v>0</v>
      </c>
      <c r="W153" s="108">
        <f t="shared" si="15"/>
        <v>0</v>
      </c>
      <c r="X153" s="106" t="str">
        <f t="shared" si="16"/>
        <v>0%</v>
      </c>
      <c r="Y153" s="39"/>
      <c r="Z153" s="202">
        <f t="shared" ref="Z153:AA153" si="180">Z152+1</f>
        <v>45425</v>
      </c>
      <c r="AA153" s="203">
        <f t="shared" si="180"/>
        <v>45425</v>
      </c>
      <c r="AB153" s="204">
        <v>45425</v>
      </c>
      <c r="AC153" s="39"/>
      <c r="AD153" s="39"/>
      <c r="AE153" s="39"/>
      <c r="AF153" s="39"/>
      <c r="AG153" s="114"/>
      <c r="AH153" s="39"/>
      <c r="AI153" s="39"/>
      <c r="AJ153" s="39"/>
      <c r="AK153" s="39"/>
      <c r="AL153" s="39"/>
      <c r="AM153" s="39"/>
      <c r="AN153" s="39"/>
    </row>
    <row r="154" spans="1:40" ht="16.5" customHeight="1">
      <c r="A154" s="39"/>
      <c r="B154" s="50"/>
      <c r="C154" s="95">
        <f t="shared" si="19"/>
        <v>135</v>
      </c>
      <c r="D154" s="96">
        <v>1</v>
      </c>
      <c r="E154" s="194" t="str">
        <f t="shared" si="8"/>
        <v>5</v>
      </c>
      <c r="F154" s="195">
        <f t="shared" si="20"/>
        <v>45426</v>
      </c>
      <c r="G154" s="196" t="str">
        <f t="shared" si="9"/>
        <v>Tue</v>
      </c>
      <c r="H154" s="197"/>
      <c r="I154" s="208"/>
      <c r="J154" s="209">
        <v>102000</v>
      </c>
      <c r="K154" s="136"/>
      <c r="L154" s="104">
        <f t="shared" si="165"/>
        <v>101023.29896907216</v>
      </c>
      <c r="M154" s="105">
        <f t="shared" si="11"/>
        <v>976.7010309278412</v>
      </c>
      <c r="N154" s="106">
        <f t="shared" si="12"/>
        <v>1.0096680769772413</v>
      </c>
      <c r="O154" s="200"/>
      <c r="P154" s="170">
        <f t="shared" si="167"/>
        <v>1010232.9896907216</v>
      </c>
      <c r="Q154" s="104">
        <f t="shared" si="168"/>
        <v>1055650</v>
      </c>
      <c r="R154" s="108">
        <f t="shared" si="13"/>
        <v>45417.010309278383</v>
      </c>
      <c r="S154" s="106">
        <f t="shared" si="14"/>
        <v>1.0449569661382594</v>
      </c>
      <c r="T154" s="133"/>
      <c r="U154" s="104">
        <f t="shared" si="23"/>
        <v>10243762.515463905</v>
      </c>
      <c r="V154" s="104">
        <f t="shared" si="24"/>
        <v>10444350</v>
      </c>
      <c r="W154" s="108">
        <f t="shared" si="15"/>
        <v>200587.48453609459</v>
      </c>
      <c r="X154" s="106">
        <f t="shared" si="16"/>
        <v>1.0195814266714296</v>
      </c>
      <c r="Y154" s="39"/>
      <c r="Z154" s="202">
        <f t="shared" ref="Z154:AA154" si="181">Z153+1</f>
        <v>45426</v>
      </c>
      <c r="AA154" s="203">
        <f t="shared" si="181"/>
        <v>45426</v>
      </c>
      <c r="AB154" s="204">
        <v>45426</v>
      </c>
      <c r="AC154" s="39"/>
      <c r="AD154" s="39"/>
      <c r="AE154" s="39"/>
      <c r="AF154" s="39"/>
      <c r="AG154" s="114"/>
      <c r="AH154" s="39"/>
      <c r="AI154" s="39"/>
      <c r="AJ154" s="39"/>
      <c r="AK154" s="39"/>
      <c r="AL154" s="39"/>
      <c r="AM154" s="39"/>
      <c r="AN154" s="39"/>
    </row>
    <row r="155" spans="1:40" ht="16.5" customHeight="1">
      <c r="A155" s="39"/>
      <c r="B155" s="50"/>
      <c r="C155" s="95">
        <f t="shared" si="19"/>
        <v>136</v>
      </c>
      <c r="D155" s="96">
        <v>1</v>
      </c>
      <c r="E155" s="194" t="str">
        <f t="shared" si="8"/>
        <v>5</v>
      </c>
      <c r="F155" s="195">
        <f t="shared" si="20"/>
        <v>45427</v>
      </c>
      <c r="G155" s="196" t="str">
        <f t="shared" si="9"/>
        <v>Wed</v>
      </c>
      <c r="H155" s="197"/>
      <c r="I155" s="208"/>
      <c r="J155" s="209">
        <v>128100</v>
      </c>
      <c r="K155" s="136"/>
      <c r="L155" s="104">
        <f t="shared" si="165"/>
        <v>101023.29896907216</v>
      </c>
      <c r="M155" s="105">
        <f t="shared" si="11"/>
        <v>27076.701030927841</v>
      </c>
      <c r="N155" s="106">
        <f t="shared" si="12"/>
        <v>1.2680243202037706</v>
      </c>
      <c r="O155" s="200"/>
      <c r="P155" s="170">
        <f t="shared" si="167"/>
        <v>1111256.2886597938</v>
      </c>
      <c r="Q155" s="104">
        <f t="shared" si="168"/>
        <v>1183750</v>
      </c>
      <c r="R155" s="108">
        <f t="shared" si="13"/>
        <v>72493.71134020621</v>
      </c>
      <c r="S155" s="106">
        <f t="shared" si="14"/>
        <v>1.0652358165078513</v>
      </c>
      <c r="T155" s="133"/>
      <c r="U155" s="104">
        <f t="shared" si="23"/>
        <v>10344785.814432977</v>
      </c>
      <c r="V155" s="104">
        <f t="shared" si="24"/>
        <v>10572450</v>
      </c>
      <c r="W155" s="108">
        <f t="shared" si="15"/>
        <v>227664.18556702323</v>
      </c>
      <c r="X155" s="106">
        <f t="shared" si="16"/>
        <v>1.0220076268035814</v>
      </c>
      <c r="Y155" s="39"/>
      <c r="Z155" s="202">
        <f t="shared" ref="Z155:AA155" si="182">Z154+1</f>
        <v>45427</v>
      </c>
      <c r="AA155" s="203">
        <f t="shared" si="182"/>
        <v>45427</v>
      </c>
      <c r="AB155" s="204">
        <v>45427</v>
      </c>
      <c r="AC155" s="39"/>
      <c r="AD155" s="39"/>
      <c r="AE155" s="39"/>
      <c r="AF155" s="39"/>
      <c r="AG155" s="114"/>
      <c r="AH155" s="39"/>
      <c r="AI155" s="39"/>
      <c r="AJ155" s="39"/>
      <c r="AK155" s="39"/>
      <c r="AL155" s="39"/>
      <c r="AM155" s="39"/>
      <c r="AN155" s="39"/>
    </row>
    <row r="156" spans="1:40" ht="16.5" customHeight="1">
      <c r="A156" s="39"/>
      <c r="B156" s="50"/>
      <c r="C156" s="95">
        <f t="shared" si="19"/>
        <v>137</v>
      </c>
      <c r="D156" s="96">
        <v>1</v>
      </c>
      <c r="E156" s="194" t="str">
        <f t="shared" si="8"/>
        <v>5</v>
      </c>
      <c r="F156" s="195">
        <f t="shared" si="20"/>
        <v>45428</v>
      </c>
      <c r="G156" s="196" t="str">
        <f t="shared" si="9"/>
        <v>Thu</v>
      </c>
      <c r="H156" s="197"/>
      <c r="I156" s="208"/>
      <c r="J156" s="209">
        <v>56700</v>
      </c>
      <c r="K156" s="136"/>
      <c r="L156" s="104">
        <f t="shared" si="165"/>
        <v>101023.29896907216</v>
      </c>
      <c r="M156" s="105">
        <f t="shared" si="11"/>
        <v>-44323.298969072159</v>
      </c>
      <c r="N156" s="106">
        <f t="shared" si="12"/>
        <v>0.56125666631970172</v>
      </c>
      <c r="O156" s="200"/>
      <c r="P156" s="170">
        <f t="shared" si="167"/>
        <v>1212279.5876288658</v>
      </c>
      <c r="Q156" s="104">
        <f t="shared" si="168"/>
        <v>1240450</v>
      </c>
      <c r="R156" s="108">
        <f t="shared" si="13"/>
        <v>28170.412371134153</v>
      </c>
      <c r="S156" s="106">
        <f t="shared" si="14"/>
        <v>1.0232375539921723</v>
      </c>
      <c r="T156" s="133"/>
      <c r="U156" s="104">
        <f t="shared" si="23"/>
        <v>10445809.113402048</v>
      </c>
      <c r="V156" s="104">
        <f t="shared" si="24"/>
        <v>10629150</v>
      </c>
      <c r="W156" s="108">
        <f t="shared" si="15"/>
        <v>183340.88659795187</v>
      </c>
      <c r="X156" s="106">
        <f t="shared" si="16"/>
        <v>1.0175516213830409</v>
      </c>
      <c r="Y156" s="39"/>
      <c r="Z156" s="202">
        <f t="shared" ref="Z156:AA156" si="183">Z155+1</f>
        <v>45428</v>
      </c>
      <c r="AA156" s="203">
        <f t="shared" si="183"/>
        <v>45428</v>
      </c>
      <c r="AB156" s="204">
        <v>45428</v>
      </c>
      <c r="AC156" s="39"/>
      <c r="AD156" s="39"/>
      <c r="AE156" s="39"/>
      <c r="AF156" s="39"/>
      <c r="AG156" s="114"/>
      <c r="AH156" s="39"/>
      <c r="AI156" s="39"/>
      <c r="AJ156" s="39"/>
      <c r="AK156" s="39"/>
      <c r="AL156" s="39"/>
      <c r="AM156" s="39"/>
      <c r="AN156" s="39"/>
    </row>
    <row r="157" spans="1:40" ht="16.5" customHeight="1">
      <c r="A157" s="39"/>
      <c r="B157" s="50"/>
      <c r="C157" s="95">
        <f t="shared" si="19"/>
        <v>138</v>
      </c>
      <c r="D157" s="96">
        <v>1</v>
      </c>
      <c r="E157" s="194" t="str">
        <f t="shared" si="8"/>
        <v>5</v>
      </c>
      <c r="F157" s="195">
        <f t="shared" si="20"/>
        <v>45429</v>
      </c>
      <c r="G157" s="196" t="str">
        <f t="shared" si="9"/>
        <v>Fri</v>
      </c>
      <c r="H157" s="197"/>
      <c r="I157" s="208"/>
      <c r="J157" s="209">
        <v>182050</v>
      </c>
      <c r="K157" s="136"/>
      <c r="L157" s="104">
        <f t="shared" si="165"/>
        <v>101023.29896907216</v>
      </c>
      <c r="M157" s="105">
        <f t="shared" si="11"/>
        <v>81026.701030927841</v>
      </c>
      <c r="N157" s="106">
        <f t="shared" si="12"/>
        <v>1.8020595432716349</v>
      </c>
      <c r="O157" s="200"/>
      <c r="P157" s="170">
        <f t="shared" si="167"/>
        <v>1313302.8865979379</v>
      </c>
      <c r="Q157" s="104">
        <f t="shared" si="168"/>
        <v>1422500</v>
      </c>
      <c r="R157" s="108">
        <f t="shared" si="13"/>
        <v>109197.1134020621</v>
      </c>
      <c r="S157" s="106">
        <f t="shared" si="14"/>
        <v>1.0831469377829004</v>
      </c>
      <c r="T157" s="133"/>
      <c r="U157" s="104">
        <f t="shared" si="23"/>
        <v>10546832.412371119</v>
      </c>
      <c r="V157" s="104">
        <f t="shared" si="24"/>
        <v>10811200</v>
      </c>
      <c r="W157" s="108">
        <f t="shared" si="15"/>
        <v>264367.58762888052</v>
      </c>
      <c r="X157" s="106">
        <f t="shared" si="16"/>
        <v>1.025066065079292</v>
      </c>
      <c r="Y157" s="39"/>
      <c r="Z157" s="202">
        <f t="shared" ref="Z157:AA157" si="184">Z156+1</f>
        <v>45429</v>
      </c>
      <c r="AA157" s="203">
        <f t="shared" si="184"/>
        <v>45429</v>
      </c>
      <c r="AB157" s="204">
        <v>45429</v>
      </c>
      <c r="AC157" s="39"/>
      <c r="AD157" s="39"/>
      <c r="AE157" s="39"/>
      <c r="AF157" s="39"/>
      <c r="AG157" s="114"/>
      <c r="AH157" s="39"/>
      <c r="AI157" s="39"/>
      <c r="AJ157" s="39"/>
      <c r="AK157" s="39"/>
      <c r="AL157" s="39"/>
      <c r="AM157" s="39"/>
      <c r="AN157" s="39"/>
    </row>
    <row r="158" spans="1:40" ht="16.5" customHeight="1">
      <c r="A158" s="39"/>
      <c r="B158" s="50"/>
      <c r="C158" s="95">
        <f t="shared" si="19"/>
        <v>139</v>
      </c>
      <c r="D158" s="96">
        <v>1</v>
      </c>
      <c r="E158" s="194" t="str">
        <f t="shared" si="8"/>
        <v>5</v>
      </c>
      <c r="F158" s="195">
        <f t="shared" si="20"/>
        <v>45430</v>
      </c>
      <c r="G158" s="196" t="str">
        <f t="shared" si="9"/>
        <v>Sat</v>
      </c>
      <c r="H158" s="197"/>
      <c r="I158" s="208"/>
      <c r="J158" s="209">
        <v>98850</v>
      </c>
      <c r="K158" s="136"/>
      <c r="L158" s="104">
        <f t="shared" si="165"/>
        <v>101023.29896907216</v>
      </c>
      <c r="M158" s="105">
        <f t="shared" si="11"/>
        <v>-2173.2989690721588</v>
      </c>
      <c r="N158" s="106">
        <f t="shared" si="12"/>
        <v>0.97848715107059114</v>
      </c>
      <c r="O158" s="200"/>
      <c r="P158" s="170">
        <f t="shared" si="167"/>
        <v>1414326.18556701</v>
      </c>
      <c r="Q158" s="104">
        <f t="shared" si="168"/>
        <v>1521350</v>
      </c>
      <c r="R158" s="108">
        <f t="shared" si="13"/>
        <v>107023.81443299004</v>
      </c>
      <c r="S158" s="106">
        <f t="shared" si="14"/>
        <v>1.0756712387320211</v>
      </c>
      <c r="T158" s="134"/>
      <c r="U158" s="104">
        <f t="shared" si="23"/>
        <v>10647855.711340191</v>
      </c>
      <c r="V158" s="104">
        <f t="shared" si="24"/>
        <v>10910050</v>
      </c>
      <c r="W158" s="108">
        <f t="shared" si="15"/>
        <v>262194.28865980916</v>
      </c>
      <c r="X158" s="106">
        <f t="shared" si="16"/>
        <v>1.0246241398989437</v>
      </c>
      <c r="Y158" s="39"/>
      <c r="Z158" s="202">
        <f t="shared" ref="Z158:AA158" si="185">Z157+1</f>
        <v>45430</v>
      </c>
      <c r="AA158" s="203">
        <f t="shared" si="185"/>
        <v>45430</v>
      </c>
      <c r="AB158" s="204">
        <v>45430</v>
      </c>
      <c r="AC158" s="39"/>
      <c r="AD158" s="39"/>
      <c r="AE158" s="39"/>
      <c r="AF158" s="39"/>
      <c r="AG158" s="114"/>
      <c r="AH158" s="39"/>
      <c r="AI158" s="39"/>
      <c r="AJ158" s="39"/>
      <c r="AK158" s="39"/>
      <c r="AL158" s="39"/>
      <c r="AM158" s="39"/>
      <c r="AN158" s="39"/>
    </row>
    <row r="159" spans="1:40" ht="16.5" customHeight="1">
      <c r="A159" s="39"/>
      <c r="B159" s="50"/>
      <c r="C159" s="95">
        <f t="shared" si="19"/>
        <v>140</v>
      </c>
      <c r="D159" s="96">
        <v>1</v>
      </c>
      <c r="E159" s="194" t="str">
        <f t="shared" si="8"/>
        <v>5</v>
      </c>
      <c r="F159" s="195">
        <f t="shared" si="20"/>
        <v>45431</v>
      </c>
      <c r="G159" s="196" t="str">
        <f t="shared" si="9"/>
        <v>Sun</v>
      </c>
      <c r="H159" s="197" t="s">
        <v>157</v>
      </c>
      <c r="I159" s="208"/>
      <c r="J159" s="209">
        <v>120300</v>
      </c>
      <c r="K159" s="136"/>
      <c r="L159" s="104">
        <f t="shared" si="165"/>
        <v>101023.29896907216</v>
      </c>
      <c r="M159" s="105">
        <f t="shared" si="11"/>
        <v>19276.701030927841</v>
      </c>
      <c r="N159" s="106">
        <f t="shared" si="12"/>
        <v>1.1908144084349228</v>
      </c>
      <c r="O159" s="200"/>
      <c r="P159" s="170">
        <f t="shared" si="167"/>
        <v>1515349.484536082</v>
      </c>
      <c r="Q159" s="104">
        <f t="shared" si="168"/>
        <v>1641650</v>
      </c>
      <c r="R159" s="108">
        <f t="shared" si="13"/>
        <v>126300.51546391798</v>
      </c>
      <c r="S159" s="106">
        <f t="shared" si="14"/>
        <v>1.083347450045548</v>
      </c>
      <c r="T159" s="133"/>
      <c r="U159" s="104">
        <f t="shared" si="23"/>
        <v>10748879.010309262</v>
      </c>
      <c r="V159" s="104">
        <f t="shared" si="24"/>
        <v>11030350</v>
      </c>
      <c r="W159" s="108">
        <f t="shared" si="15"/>
        <v>281470.9896907378</v>
      </c>
      <c r="X159" s="106">
        <f t="shared" si="16"/>
        <v>1.0261860785130039</v>
      </c>
      <c r="Y159" s="39"/>
      <c r="Z159" s="202">
        <f t="shared" ref="Z159:AA159" si="186">Z158+1</f>
        <v>45431</v>
      </c>
      <c r="AA159" s="203">
        <f t="shared" si="186"/>
        <v>45431</v>
      </c>
      <c r="AB159" s="204">
        <v>45431</v>
      </c>
      <c r="AC159" s="39"/>
      <c r="AD159" s="39"/>
      <c r="AE159" s="39"/>
      <c r="AF159" s="39"/>
      <c r="AG159" s="114"/>
      <c r="AH159" s="39"/>
      <c r="AI159" s="39"/>
      <c r="AJ159" s="39"/>
      <c r="AK159" s="39"/>
      <c r="AL159" s="39"/>
      <c r="AM159" s="39"/>
      <c r="AN159" s="39"/>
    </row>
    <row r="160" spans="1:40" ht="16.5" customHeight="1">
      <c r="A160" s="39"/>
      <c r="B160" s="50"/>
      <c r="C160" s="95">
        <f t="shared" si="19"/>
        <v>141</v>
      </c>
      <c r="D160" s="96">
        <v>0</v>
      </c>
      <c r="E160" s="194" t="str">
        <f t="shared" si="8"/>
        <v>5</v>
      </c>
      <c r="F160" s="195">
        <f t="shared" si="20"/>
        <v>45432</v>
      </c>
      <c r="G160" s="196" t="str">
        <f t="shared" si="9"/>
        <v>Mon</v>
      </c>
      <c r="H160" s="197"/>
      <c r="I160" s="208"/>
      <c r="J160" s="209"/>
      <c r="K160" s="136"/>
      <c r="L160" s="104">
        <f t="shared" si="165"/>
        <v>0</v>
      </c>
      <c r="M160" s="105">
        <f t="shared" si="11"/>
        <v>0</v>
      </c>
      <c r="N160" s="106" t="str">
        <f t="shared" si="12"/>
        <v>0%</v>
      </c>
      <c r="O160" s="200"/>
      <c r="P160" s="170">
        <f t="shared" si="167"/>
        <v>0</v>
      </c>
      <c r="Q160" s="104">
        <f t="shared" si="168"/>
        <v>0</v>
      </c>
      <c r="R160" s="108">
        <f t="shared" si="13"/>
        <v>0</v>
      </c>
      <c r="S160" s="106" t="str">
        <f t="shared" si="14"/>
        <v>0%</v>
      </c>
      <c r="T160" s="133"/>
      <c r="U160" s="104">
        <f t="shared" si="23"/>
        <v>0</v>
      </c>
      <c r="V160" s="104">
        <f t="shared" si="24"/>
        <v>0</v>
      </c>
      <c r="W160" s="108">
        <f t="shared" si="15"/>
        <v>0</v>
      </c>
      <c r="X160" s="106" t="str">
        <f t="shared" si="16"/>
        <v>0%</v>
      </c>
      <c r="Y160" s="39"/>
      <c r="Z160" s="202">
        <f t="shared" ref="Z160:AA160" si="187">Z159+1</f>
        <v>45432</v>
      </c>
      <c r="AA160" s="203">
        <f t="shared" si="187"/>
        <v>45432</v>
      </c>
      <c r="AB160" s="204">
        <v>45432</v>
      </c>
      <c r="AC160" s="39"/>
      <c r="AD160" s="39"/>
      <c r="AE160" s="39"/>
      <c r="AF160" s="39"/>
      <c r="AG160" s="114"/>
      <c r="AH160" s="39"/>
      <c r="AI160" s="39"/>
      <c r="AJ160" s="39"/>
      <c r="AK160" s="39"/>
      <c r="AL160" s="39"/>
      <c r="AM160" s="39"/>
      <c r="AN160" s="39"/>
    </row>
    <row r="161" spans="1:40" ht="16.5" customHeight="1">
      <c r="A161" s="39"/>
      <c r="B161" s="50"/>
      <c r="C161" s="95">
        <f t="shared" si="19"/>
        <v>142</v>
      </c>
      <c r="D161" s="96">
        <v>1</v>
      </c>
      <c r="E161" s="194" t="str">
        <f t="shared" si="8"/>
        <v>5</v>
      </c>
      <c r="F161" s="195">
        <f t="shared" si="20"/>
        <v>45433</v>
      </c>
      <c r="G161" s="196" t="str">
        <f t="shared" si="9"/>
        <v>Tue</v>
      </c>
      <c r="H161" s="197"/>
      <c r="I161" s="208"/>
      <c r="J161" s="209">
        <v>113900</v>
      </c>
      <c r="K161" s="136"/>
      <c r="L161" s="104">
        <f t="shared" si="165"/>
        <v>101023.29896907216</v>
      </c>
      <c r="M161" s="105">
        <f t="shared" si="11"/>
        <v>12876.701030927841</v>
      </c>
      <c r="N161" s="106">
        <f t="shared" si="12"/>
        <v>1.1274626859579193</v>
      </c>
      <c r="O161" s="200"/>
      <c r="P161" s="170">
        <f t="shared" si="167"/>
        <v>1616372.7835051541</v>
      </c>
      <c r="Q161" s="104">
        <f t="shared" si="168"/>
        <v>1755550</v>
      </c>
      <c r="R161" s="108">
        <f t="shared" si="13"/>
        <v>139177.21649484592</v>
      </c>
      <c r="S161" s="106">
        <f t="shared" si="14"/>
        <v>1.0861046522900712</v>
      </c>
      <c r="T161" s="133"/>
      <c r="U161" s="104">
        <f t="shared" si="23"/>
        <v>10849902.309278334</v>
      </c>
      <c r="V161" s="104">
        <f t="shared" si="24"/>
        <v>11144250</v>
      </c>
      <c r="W161" s="108">
        <f t="shared" si="15"/>
        <v>294347.69072166644</v>
      </c>
      <c r="X161" s="106">
        <f t="shared" si="16"/>
        <v>1.0271290636847443</v>
      </c>
      <c r="Y161" s="39"/>
      <c r="Z161" s="202">
        <f t="shared" ref="Z161:AA161" si="188">Z160+1</f>
        <v>45433</v>
      </c>
      <c r="AA161" s="203">
        <f t="shared" si="188"/>
        <v>45433</v>
      </c>
      <c r="AB161" s="204">
        <v>45433</v>
      </c>
      <c r="AC161" s="39"/>
      <c r="AD161" s="39"/>
      <c r="AE161" s="39"/>
      <c r="AF161" s="39"/>
      <c r="AG161" s="114"/>
      <c r="AH161" s="39"/>
      <c r="AI161" s="39"/>
      <c r="AJ161" s="39"/>
      <c r="AK161" s="39"/>
      <c r="AL161" s="39"/>
      <c r="AM161" s="39"/>
      <c r="AN161" s="39"/>
    </row>
    <row r="162" spans="1:40" ht="16.5" customHeight="1">
      <c r="A162" s="39"/>
      <c r="B162" s="50"/>
      <c r="C162" s="95">
        <f t="shared" si="19"/>
        <v>143</v>
      </c>
      <c r="D162" s="96">
        <v>1</v>
      </c>
      <c r="E162" s="194" t="str">
        <f t="shared" si="8"/>
        <v>5</v>
      </c>
      <c r="F162" s="195">
        <f t="shared" si="20"/>
        <v>45434</v>
      </c>
      <c r="G162" s="196" t="str">
        <f t="shared" si="9"/>
        <v>Wed</v>
      </c>
      <c r="H162" s="197"/>
      <c r="I162" s="208"/>
      <c r="J162" s="209">
        <v>97600</v>
      </c>
      <c r="K162" s="136"/>
      <c r="L162" s="104">
        <f t="shared" si="165"/>
        <v>101023.29896907216</v>
      </c>
      <c r="M162" s="105">
        <f t="shared" si="11"/>
        <v>-3423.2989690721588</v>
      </c>
      <c r="N162" s="106">
        <f t="shared" si="12"/>
        <v>0.96611376777430136</v>
      </c>
      <c r="O162" s="200"/>
      <c r="P162" s="170">
        <f t="shared" si="167"/>
        <v>1717396.0824742261</v>
      </c>
      <c r="Q162" s="104">
        <f t="shared" si="168"/>
        <v>1853150</v>
      </c>
      <c r="R162" s="108">
        <f t="shared" si="13"/>
        <v>135753.91752577387</v>
      </c>
      <c r="S162" s="106">
        <f t="shared" si="14"/>
        <v>1.0790463649656143</v>
      </c>
      <c r="T162" s="133"/>
      <c r="U162" s="104">
        <f t="shared" si="23"/>
        <v>10950925.608247405</v>
      </c>
      <c r="V162" s="104">
        <f t="shared" si="24"/>
        <v>11241850</v>
      </c>
      <c r="W162" s="108">
        <f t="shared" si="15"/>
        <v>290924.39175259508</v>
      </c>
      <c r="X162" s="106">
        <f t="shared" si="16"/>
        <v>1.0265661919512532</v>
      </c>
      <c r="Y162" s="39"/>
      <c r="Z162" s="202">
        <f t="shared" ref="Z162:AA162" si="189">Z161+1</f>
        <v>45434</v>
      </c>
      <c r="AA162" s="203">
        <f t="shared" si="189"/>
        <v>45434</v>
      </c>
      <c r="AB162" s="204">
        <v>45434</v>
      </c>
      <c r="AC162" s="39"/>
      <c r="AD162" s="39"/>
      <c r="AE162" s="39"/>
      <c r="AF162" s="39"/>
      <c r="AG162" s="114"/>
      <c r="AH162" s="39"/>
      <c r="AI162" s="39"/>
      <c r="AJ162" s="39"/>
      <c r="AK162" s="39"/>
      <c r="AL162" s="39"/>
      <c r="AM162" s="39"/>
      <c r="AN162" s="39"/>
    </row>
    <row r="163" spans="1:40" ht="16.5" customHeight="1">
      <c r="A163" s="39"/>
      <c r="B163" s="50"/>
      <c r="C163" s="95">
        <f t="shared" si="19"/>
        <v>144</v>
      </c>
      <c r="D163" s="96">
        <v>1</v>
      </c>
      <c r="E163" s="194" t="str">
        <f t="shared" si="8"/>
        <v>5</v>
      </c>
      <c r="F163" s="195">
        <f t="shared" si="20"/>
        <v>45435</v>
      </c>
      <c r="G163" s="196" t="str">
        <f t="shared" si="9"/>
        <v>Thu</v>
      </c>
      <c r="H163" s="197"/>
      <c r="I163" s="208"/>
      <c r="J163" s="209">
        <v>160350</v>
      </c>
      <c r="K163" s="136"/>
      <c r="L163" s="104">
        <f t="shared" si="165"/>
        <v>101023.29896907216</v>
      </c>
      <c r="M163" s="105">
        <f t="shared" si="11"/>
        <v>59326.701030927841</v>
      </c>
      <c r="N163" s="106">
        <f t="shared" si="12"/>
        <v>1.5872576092480453</v>
      </c>
      <c r="O163" s="200"/>
      <c r="P163" s="170">
        <f t="shared" si="167"/>
        <v>1818419.3814432982</v>
      </c>
      <c r="Q163" s="104">
        <f t="shared" si="168"/>
        <v>2013500</v>
      </c>
      <c r="R163" s="108">
        <f t="shared" si="13"/>
        <v>195080.61855670181</v>
      </c>
      <c r="S163" s="106">
        <f t="shared" si="14"/>
        <v>1.1072803229813049</v>
      </c>
      <c r="T163" s="133"/>
      <c r="U163" s="104">
        <f t="shared" si="23"/>
        <v>11051948.907216476</v>
      </c>
      <c r="V163" s="104">
        <f t="shared" si="24"/>
        <v>11402200</v>
      </c>
      <c r="W163" s="108">
        <f t="shared" si="15"/>
        <v>350251.09278352372</v>
      </c>
      <c r="X163" s="106">
        <f t="shared" si="16"/>
        <v>1.0316913420179517</v>
      </c>
      <c r="Y163" s="39"/>
      <c r="Z163" s="202">
        <f t="shared" ref="Z163:AA163" si="190">Z162+1</f>
        <v>45435</v>
      </c>
      <c r="AA163" s="203">
        <f t="shared" si="190"/>
        <v>45435</v>
      </c>
      <c r="AB163" s="204">
        <v>45435</v>
      </c>
      <c r="AC163" s="39"/>
      <c r="AD163" s="39"/>
      <c r="AE163" s="39"/>
      <c r="AF163" s="39"/>
      <c r="AG163" s="114"/>
      <c r="AH163" s="39"/>
      <c r="AI163" s="39"/>
      <c r="AJ163" s="39"/>
      <c r="AK163" s="39"/>
      <c r="AL163" s="39"/>
      <c r="AM163" s="39"/>
      <c r="AN163" s="39"/>
    </row>
    <row r="164" spans="1:40" ht="16.5" customHeight="1">
      <c r="A164" s="39"/>
      <c r="B164" s="50"/>
      <c r="C164" s="95">
        <f t="shared" si="19"/>
        <v>145</v>
      </c>
      <c r="D164" s="96">
        <v>1</v>
      </c>
      <c r="E164" s="194" t="str">
        <f t="shared" si="8"/>
        <v>5</v>
      </c>
      <c r="F164" s="195">
        <f t="shared" si="20"/>
        <v>45436</v>
      </c>
      <c r="G164" s="196" t="str">
        <f t="shared" si="9"/>
        <v>Fri</v>
      </c>
      <c r="H164" s="197"/>
      <c r="I164" s="208"/>
      <c r="J164" s="209">
        <v>164750</v>
      </c>
      <c r="K164" s="136"/>
      <c r="L164" s="104">
        <f t="shared" si="165"/>
        <v>101023.29896907216</v>
      </c>
      <c r="M164" s="105">
        <f t="shared" si="11"/>
        <v>63726.701030927841</v>
      </c>
      <c r="N164" s="106">
        <f t="shared" si="12"/>
        <v>1.6308119184509853</v>
      </c>
      <c r="O164" s="200"/>
      <c r="P164" s="170">
        <f t="shared" si="167"/>
        <v>1919442.6804123702</v>
      </c>
      <c r="Q164" s="104">
        <f t="shared" si="168"/>
        <v>2178250</v>
      </c>
      <c r="R164" s="108">
        <f t="shared" si="13"/>
        <v>258807.31958762975</v>
      </c>
      <c r="S164" s="106">
        <f t="shared" si="14"/>
        <v>1.1348346174797093</v>
      </c>
      <c r="T164" s="133"/>
      <c r="U164" s="104">
        <f t="shared" si="23"/>
        <v>11152972.206185548</v>
      </c>
      <c r="V164" s="104">
        <f t="shared" si="24"/>
        <v>11566950</v>
      </c>
      <c r="W164" s="108">
        <f t="shared" si="15"/>
        <v>413977.79381445237</v>
      </c>
      <c r="X164" s="106">
        <f t="shared" si="16"/>
        <v>1.0371181588334684</v>
      </c>
      <c r="Y164" s="39"/>
      <c r="Z164" s="202">
        <f t="shared" ref="Z164:AA164" si="191">Z163+1</f>
        <v>45436</v>
      </c>
      <c r="AA164" s="203">
        <f t="shared" si="191"/>
        <v>45436</v>
      </c>
      <c r="AB164" s="204">
        <v>45436</v>
      </c>
      <c r="AC164" s="39"/>
      <c r="AD164" s="39"/>
      <c r="AE164" s="39"/>
      <c r="AF164" s="39"/>
      <c r="AG164" s="114"/>
      <c r="AH164" s="39"/>
      <c r="AI164" s="39"/>
      <c r="AJ164" s="39"/>
      <c r="AK164" s="39"/>
      <c r="AL164" s="39"/>
      <c r="AM164" s="39"/>
      <c r="AN164" s="39"/>
    </row>
    <row r="165" spans="1:40" ht="16.5" customHeight="1">
      <c r="A165" s="39"/>
      <c r="B165" s="50"/>
      <c r="C165" s="95">
        <f t="shared" si="19"/>
        <v>146</v>
      </c>
      <c r="D165" s="96">
        <v>1</v>
      </c>
      <c r="E165" s="194" t="str">
        <f t="shared" si="8"/>
        <v>5</v>
      </c>
      <c r="F165" s="195">
        <f t="shared" si="20"/>
        <v>45437</v>
      </c>
      <c r="G165" s="196" t="str">
        <f t="shared" si="9"/>
        <v>Sat</v>
      </c>
      <c r="H165" s="197"/>
      <c r="I165" s="208"/>
      <c r="J165" s="209">
        <v>67850</v>
      </c>
      <c r="K165" s="136"/>
      <c r="L165" s="104">
        <f t="shared" si="165"/>
        <v>101023.29896907216</v>
      </c>
      <c r="M165" s="105">
        <f t="shared" si="11"/>
        <v>-33173.298969072159</v>
      </c>
      <c r="N165" s="106">
        <f t="shared" si="12"/>
        <v>0.67162724532260598</v>
      </c>
      <c r="O165" s="200"/>
      <c r="P165" s="170">
        <f t="shared" si="167"/>
        <v>2020465.9793814423</v>
      </c>
      <c r="Q165" s="104">
        <f t="shared" si="168"/>
        <v>2246100</v>
      </c>
      <c r="R165" s="108">
        <f t="shared" si="13"/>
        <v>225634.0206185577</v>
      </c>
      <c r="S165" s="106">
        <f t="shared" si="14"/>
        <v>1.1116742488718541</v>
      </c>
      <c r="T165" s="134"/>
      <c r="U165" s="104">
        <f t="shared" si="23"/>
        <v>11253995.505154619</v>
      </c>
      <c r="V165" s="104">
        <f t="shared" si="24"/>
        <v>11634800</v>
      </c>
      <c r="W165" s="108">
        <f t="shared" si="15"/>
        <v>380804.49484538101</v>
      </c>
      <c r="X165" s="106">
        <f t="shared" si="16"/>
        <v>1.0338372709204444</v>
      </c>
      <c r="Y165" s="39"/>
      <c r="Z165" s="202">
        <f t="shared" ref="Z165:AA165" si="192">Z164+1</f>
        <v>45437</v>
      </c>
      <c r="AA165" s="203">
        <f t="shared" si="192"/>
        <v>45437</v>
      </c>
      <c r="AB165" s="204">
        <v>45437</v>
      </c>
      <c r="AC165" s="39"/>
      <c r="AD165" s="39"/>
      <c r="AE165" s="39"/>
      <c r="AF165" s="39"/>
      <c r="AG165" s="114"/>
      <c r="AH165" s="39"/>
      <c r="AI165" s="39"/>
      <c r="AJ165" s="39"/>
      <c r="AK165" s="39"/>
      <c r="AL165" s="39"/>
      <c r="AM165" s="39"/>
      <c r="AN165" s="39"/>
    </row>
    <row r="166" spans="1:40" ht="16.5" customHeight="1">
      <c r="A166" s="39"/>
      <c r="B166" s="50"/>
      <c r="C166" s="95">
        <f t="shared" si="19"/>
        <v>147</v>
      </c>
      <c r="D166" s="96">
        <v>1</v>
      </c>
      <c r="E166" s="194" t="str">
        <f t="shared" si="8"/>
        <v>5</v>
      </c>
      <c r="F166" s="195">
        <f t="shared" si="20"/>
        <v>45438</v>
      </c>
      <c r="G166" s="196" t="str">
        <f t="shared" si="9"/>
        <v>Sun</v>
      </c>
      <c r="H166" s="197" t="s">
        <v>157</v>
      </c>
      <c r="I166" s="208"/>
      <c r="J166" s="209">
        <v>74000</v>
      </c>
      <c r="K166" s="136"/>
      <c r="L166" s="104">
        <f t="shared" si="165"/>
        <v>101023.29896907216</v>
      </c>
      <c r="M166" s="105">
        <f t="shared" si="11"/>
        <v>-27023.298969072159</v>
      </c>
      <c r="N166" s="106">
        <f t="shared" si="12"/>
        <v>0.73250429114035143</v>
      </c>
      <c r="O166" s="200"/>
      <c r="P166" s="170">
        <f t="shared" si="167"/>
        <v>2121489.2783505144</v>
      </c>
      <c r="Q166" s="104">
        <f t="shared" si="168"/>
        <v>2320100</v>
      </c>
      <c r="R166" s="108">
        <f t="shared" si="13"/>
        <v>198610.72164948564</v>
      </c>
      <c r="S166" s="106">
        <f t="shared" si="14"/>
        <v>1.0936185365989255</v>
      </c>
      <c r="T166" s="133"/>
      <c r="U166" s="104">
        <f t="shared" si="23"/>
        <v>11355018.80412369</v>
      </c>
      <c r="V166" s="104">
        <f t="shared" si="24"/>
        <v>11708800</v>
      </c>
      <c r="W166" s="108">
        <f t="shared" si="15"/>
        <v>353781.19587630965</v>
      </c>
      <c r="X166" s="106">
        <f t="shared" si="16"/>
        <v>1.0311563725238244</v>
      </c>
      <c r="Y166" s="39"/>
      <c r="Z166" s="202">
        <f t="shared" ref="Z166:AA166" si="193">Z165+1</f>
        <v>45438</v>
      </c>
      <c r="AA166" s="203">
        <f t="shared" si="193"/>
        <v>45438</v>
      </c>
      <c r="AB166" s="204">
        <v>45438</v>
      </c>
      <c r="AC166" s="39"/>
      <c r="AD166" s="39"/>
      <c r="AE166" s="39"/>
      <c r="AF166" s="39"/>
      <c r="AG166" s="114"/>
      <c r="AH166" s="39"/>
      <c r="AI166" s="39"/>
      <c r="AJ166" s="39"/>
      <c r="AK166" s="39"/>
      <c r="AL166" s="39"/>
      <c r="AM166" s="39"/>
      <c r="AN166" s="39"/>
    </row>
    <row r="167" spans="1:40" ht="16.5" customHeight="1">
      <c r="A167" s="39"/>
      <c r="B167" s="50"/>
      <c r="C167" s="95">
        <f t="shared" si="19"/>
        <v>148</v>
      </c>
      <c r="D167" s="96">
        <v>0</v>
      </c>
      <c r="E167" s="194" t="str">
        <f t="shared" si="8"/>
        <v>5</v>
      </c>
      <c r="F167" s="195">
        <f t="shared" si="20"/>
        <v>45439</v>
      </c>
      <c r="G167" s="196" t="str">
        <f t="shared" si="9"/>
        <v>Mon</v>
      </c>
      <c r="H167" s="197"/>
      <c r="I167" s="208"/>
      <c r="J167" s="209"/>
      <c r="K167" s="136"/>
      <c r="L167" s="104">
        <f t="shared" si="165"/>
        <v>0</v>
      </c>
      <c r="M167" s="105">
        <f t="shared" si="11"/>
        <v>0</v>
      </c>
      <c r="N167" s="106" t="str">
        <f t="shared" si="12"/>
        <v>0%</v>
      </c>
      <c r="O167" s="200"/>
      <c r="P167" s="170">
        <f t="shared" si="167"/>
        <v>0</v>
      </c>
      <c r="Q167" s="104">
        <f t="shared" si="168"/>
        <v>0</v>
      </c>
      <c r="R167" s="108">
        <f t="shared" si="13"/>
        <v>0</v>
      </c>
      <c r="S167" s="106" t="str">
        <f t="shared" si="14"/>
        <v>0%</v>
      </c>
      <c r="T167" s="133"/>
      <c r="U167" s="104">
        <f t="shared" si="23"/>
        <v>0</v>
      </c>
      <c r="V167" s="104">
        <f t="shared" si="24"/>
        <v>0</v>
      </c>
      <c r="W167" s="108">
        <f t="shared" si="15"/>
        <v>0</v>
      </c>
      <c r="X167" s="106" t="str">
        <f t="shared" si="16"/>
        <v>0%</v>
      </c>
      <c r="Y167" s="39"/>
      <c r="Z167" s="202">
        <f t="shared" ref="Z167:AA167" si="194">Z166+1</f>
        <v>45439</v>
      </c>
      <c r="AA167" s="203">
        <f t="shared" si="194"/>
        <v>45439</v>
      </c>
      <c r="AB167" s="204">
        <v>45439</v>
      </c>
      <c r="AC167" s="39"/>
      <c r="AD167" s="39"/>
      <c r="AE167" s="39"/>
      <c r="AF167" s="39"/>
      <c r="AG167" s="114"/>
      <c r="AH167" s="39"/>
      <c r="AI167" s="39"/>
      <c r="AJ167" s="39"/>
      <c r="AK167" s="39"/>
      <c r="AL167" s="39"/>
      <c r="AM167" s="39"/>
      <c r="AN167" s="39"/>
    </row>
    <row r="168" spans="1:40" ht="16.5" customHeight="1">
      <c r="A168" s="39"/>
      <c r="B168" s="50"/>
      <c r="C168" s="95">
        <f t="shared" si="19"/>
        <v>149</v>
      </c>
      <c r="D168" s="96">
        <v>1</v>
      </c>
      <c r="E168" s="194" t="str">
        <f t="shared" si="8"/>
        <v>5</v>
      </c>
      <c r="F168" s="195">
        <f t="shared" si="20"/>
        <v>45440</v>
      </c>
      <c r="G168" s="196" t="str">
        <f t="shared" si="9"/>
        <v>Tue</v>
      </c>
      <c r="H168" s="197"/>
      <c r="I168" s="208"/>
      <c r="J168" s="209">
        <v>95950</v>
      </c>
      <c r="K168" s="136"/>
      <c r="L168" s="104">
        <f t="shared" si="165"/>
        <v>101023.29896907216</v>
      </c>
      <c r="M168" s="105">
        <f t="shared" si="11"/>
        <v>-5073.2989690721588</v>
      </c>
      <c r="N168" s="106">
        <f t="shared" si="12"/>
        <v>0.94978090182319896</v>
      </c>
      <c r="O168" s="200"/>
      <c r="P168" s="170">
        <f t="shared" si="167"/>
        <v>2222512.5773195866</v>
      </c>
      <c r="Q168" s="104">
        <f t="shared" si="168"/>
        <v>2416050</v>
      </c>
      <c r="R168" s="108">
        <f t="shared" si="13"/>
        <v>193537.42268041335</v>
      </c>
      <c r="S168" s="106">
        <f t="shared" si="14"/>
        <v>1.0870804622909378</v>
      </c>
      <c r="T168" s="133"/>
      <c r="U168" s="104">
        <f t="shared" si="23"/>
        <v>11456042.103092762</v>
      </c>
      <c r="V168" s="104">
        <f t="shared" si="24"/>
        <v>11804750</v>
      </c>
      <c r="W168" s="108">
        <f t="shared" si="15"/>
        <v>348707.89690723829</v>
      </c>
      <c r="X168" s="106">
        <f t="shared" si="16"/>
        <v>1.0304387757804327</v>
      </c>
      <c r="Y168" s="39"/>
      <c r="Z168" s="202">
        <f t="shared" ref="Z168:AA168" si="195">Z167+1</f>
        <v>45440</v>
      </c>
      <c r="AA168" s="203">
        <f t="shared" si="195"/>
        <v>45440</v>
      </c>
      <c r="AB168" s="204">
        <v>45440</v>
      </c>
      <c r="AC168" s="39"/>
      <c r="AD168" s="39"/>
      <c r="AE168" s="39"/>
      <c r="AF168" s="39"/>
      <c r="AG168" s="114"/>
      <c r="AH168" s="39"/>
      <c r="AI168" s="39"/>
      <c r="AJ168" s="39"/>
      <c r="AK168" s="39"/>
      <c r="AL168" s="39"/>
      <c r="AM168" s="39"/>
      <c r="AN168" s="39"/>
    </row>
    <row r="169" spans="1:40" ht="16.5" customHeight="1">
      <c r="A169" s="39"/>
      <c r="B169" s="50"/>
      <c r="C169" s="95">
        <f t="shared" si="19"/>
        <v>150</v>
      </c>
      <c r="D169" s="96">
        <v>1</v>
      </c>
      <c r="E169" s="194" t="str">
        <f t="shared" si="8"/>
        <v>5</v>
      </c>
      <c r="F169" s="195">
        <f t="shared" si="20"/>
        <v>45441</v>
      </c>
      <c r="G169" s="196" t="str">
        <f t="shared" si="9"/>
        <v>Wed</v>
      </c>
      <c r="H169" s="197"/>
      <c r="I169" s="208"/>
      <c r="J169" s="209">
        <v>132650</v>
      </c>
      <c r="K169" s="136"/>
      <c r="L169" s="104">
        <f t="shared" si="165"/>
        <v>101023.29896907216</v>
      </c>
      <c r="M169" s="105">
        <f t="shared" si="11"/>
        <v>31626.701030927841</v>
      </c>
      <c r="N169" s="106">
        <f t="shared" si="12"/>
        <v>1.3130634354022652</v>
      </c>
      <c r="O169" s="200"/>
      <c r="P169" s="170">
        <f t="shared" si="167"/>
        <v>2323535.8762886589</v>
      </c>
      <c r="Q169" s="104">
        <f t="shared" si="168"/>
        <v>2548700</v>
      </c>
      <c r="R169" s="108">
        <f t="shared" si="13"/>
        <v>225164.12371134106</v>
      </c>
      <c r="S169" s="106">
        <f t="shared" si="14"/>
        <v>1.096905808947952</v>
      </c>
      <c r="T169" s="133"/>
      <c r="U169" s="104">
        <f t="shared" si="23"/>
        <v>11557065.402061833</v>
      </c>
      <c r="V169" s="104">
        <f t="shared" si="24"/>
        <v>11937400</v>
      </c>
      <c r="W169" s="108">
        <f t="shared" si="15"/>
        <v>380334.59793816693</v>
      </c>
      <c r="X169" s="106">
        <f t="shared" si="16"/>
        <v>1.0329092710568475</v>
      </c>
      <c r="Y169" s="39"/>
      <c r="Z169" s="202">
        <f t="shared" ref="Z169:AA169" si="196">Z168+1</f>
        <v>45441</v>
      </c>
      <c r="AA169" s="203">
        <f t="shared" si="196"/>
        <v>45441</v>
      </c>
      <c r="AB169" s="204">
        <v>45441</v>
      </c>
      <c r="AC169" s="39"/>
      <c r="AD169" s="39"/>
      <c r="AE169" s="39"/>
      <c r="AF169" s="39"/>
      <c r="AG169" s="114"/>
      <c r="AH169" s="39"/>
      <c r="AI169" s="39"/>
      <c r="AJ169" s="39"/>
      <c r="AK169" s="39"/>
      <c r="AL169" s="39"/>
      <c r="AM169" s="39"/>
      <c r="AN169" s="39"/>
    </row>
    <row r="170" spans="1:40" ht="16.5" customHeight="1">
      <c r="A170" s="39"/>
      <c r="B170" s="50"/>
      <c r="C170" s="95">
        <f t="shared" si="19"/>
        <v>151</v>
      </c>
      <c r="D170" s="96">
        <v>1</v>
      </c>
      <c r="E170" s="194" t="str">
        <f t="shared" si="8"/>
        <v>5</v>
      </c>
      <c r="F170" s="195">
        <f t="shared" si="20"/>
        <v>45442</v>
      </c>
      <c r="G170" s="196" t="str">
        <f t="shared" si="9"/>
        <v>Thu</v>
      </c>
      <c r="H170" s="197"/>
      <c r="I170" s="208"/>
      <c r="J170" s="209">
        <v>150550</v>
      </c>
      <c r="K170" s="136"/>
      <c r="L170" s="104">
        <f t="shared" si="165"/>
        <v>101023.29896907216</v>
      </c>
      <c r="M170" s="105">
        <f t="shared" si="11"/>
        <v>49526.701030927841</v>
      </c>
      <c r="N170" s="106">
        <f t="shared" si="12"/>
        <v>1.4902502842051339</v>
      </c>
      <c r="O170" s="200"/>
      <c r="P170" s="170">
        <f t="shared" si="167"/>
        <v>2424559.1752577312</v>
      </c>
      <c r="Q170" s="104">
        <f t="shared" si="168"/>
        <v>2699250</v>
      </c>
      <c r="R170" s="108">
        <f t="shared" si="13"/>
        <v>274690.82474226877</v>
      </c>
      <c r="S170" s="106">
        <f t="shared" si="14"/>
        <v>1.113295162083668</v>
      </c>
      <c r="T170" s="133"/>
      <c r="U170" s="104">
        <f t="shared" si="23"/>
        <v>11658088.701030904</v>
      </c>
      <c r="V170" s="104">
        <f t="shared" si="24"/>
        <v>12087950</v>
      </c>
      <c r="W170" s="108">
        <f t="shared" si="15"/>
        <v>429861.29896909557</v>
      </c>
      <c r="X170" s="106">
        <f t="shared" si="16"/>
        <v>1.0368723647583058</v>
      </c>
      <c r="Y170" s="39"/>
      <c r="Z170" s="202">
        <f t="shared" ref="Z170:AA170" si="197">Z169+1</f>
        <v>45442</v>
      </c>
      <c r="AA170" s="203">
        <f t="shared" si="197"/>
        <v>45442</v>
      </c>
      <c r="AB170" s="204">
        <v>45442</v>
      </c>
      <c r="AC170" s="39"/>
      <c r="AD170" s="39"/>
      <c r="AE170" s="39"/>
      <c r="AF170" s="39"/>
      <c r="AG170" s="114"/>
      <c r="AH170" s="39"/>
      <c r="AI170" s="39"/>
      <c r="AJ170" s="39"/>
      <c r="AK170" s="39"/>
      <c r="AL170" s="39"/>
      <c r="AM170" s="39"/>
      <c r="AN170" s="39"/>
    </row>
    <row r="171" spans="1:40" ht="16.5" customHeight="1">
      <c r="A171" s="39"/>
      <c r="B171" s="50"/>
      <c r="C171" s="160">
        <f t="shared" si="19"/>
        <v>152</v>
      </c>
      <c r="D171" s="138">
        <v>1</v>
      </c>
      <c r="E171" s="210" t="str">
        <f t="shared" si="8"/>
        <v>5</v>
      </c>
      <c r="F171" s="211">
        <f t="shared" si="20"/>
        <v>45443</v>
      </c>
      <c r="G171" s="212" t="str">
        <f t="shared" si="9"/>
        <v>Fri</v>
      </c>
      <c r="H171" s="213"/>
      <c r="I171" s="214"/>
      <c r="J171" s="215">
        <v>220900</v>
      </c>
      <c r="K171" s="136"/>
      <c r="L171" s="165">
        <f t="shared" si="165"/>
        <v>101023.29896907216</v>
      </c>
      <c r="M171" s="147">
        <f t="shared" si="11"/>
        <v>119876.70103092784</v>
      </c>
      <c r="N171" s="161">
        <f t="shared" si="12"/>
        <v>2.1866242961203195</v>
      </c>
      <c r="O171" s="216"/>
      <c r="P171" s="150">
        <f t="shared" si="167"/>
        <v>2525582.4742268035</v>
      </c>
      <c r="Q171" s="165">
        <f t="shared" si="168"/>
        <v>2920150</v>
      </c>
      <c r="R171" s="167">
        <f t="shared" si="13"/>
        <v>394567.52577319648</v>
      </c>
      <c r="S171" s="161">
        <f t="shared" si="14"/>
        <v>1.1562283274451339</v>
      </c>
      <c r="T171" s="149"/>
      <c r="U171" s="165">
        <f t="shared" si="23"/>
        <v>11759111.999999976</v>
      </c>
      <c r="V171" s="165">
        <f t="shared" si="24"/>
        <v>12308850</v>
      </c>
      <c r="W171" s="167">
        <f t="shared" si="15"/>
        <v>549738.00000002421</v>
      </c>
      <c r="X171" s="161">
        <f t="shared" si="16"/>
        <v>1.0467499586703508</v>
      </c>
      <c r="Y171" s="39"/>
      <c r="Z171" s="202">
        <f t="shared" ref="Z171:AA171" si="198">Z170+1</f>
        <v>45443</v>
      </c>
      <c r="AA171" s="203">
        <f t="shared" si="198"/>
        <v>45443</v>
      </c>
      <c r="AB171" s="204">
        <v>45443</v>
      </c>
      <c r="AC171" s="39"/>
      <c r="AD171" s="39"/>
      <c r="AE171" s="39"/>
      <c r="AF171" s="39"/>
      <c r="AG171" s="114"/>
      <c r="AH171" s="39"/>
      <c r="AI171" s="39"/>
      <c r="AJ171" s="39"/>
      <c r="AK171" s="39"/>
      <c r="AL171" s="39"/>
      <c r="AM171" s="39"/>
      <c r="AN171" s="39"/>
    </row>
    <row r="172" spans="1:40" ht="16.5" customHeight="1">
      <c r="A172" s="39"/>
      <c r="B172" s="50"/>
      <c r="C172" s="95">
        <f t="shared" si="19"/>
        <v>153</v>
      </c>
      <c r="D172" s="155">
        <v>1</v>
      </c>
      <c r="E172" s="194" t="str">
        <f t="shared" si="8"/>
        <v>6</v>
      </c>
      <c r="F172" s="195">
        <f t="shared" si="20"/>
        <v>45444</v>
      </c>
      <c r="G172" s="196" t="str">
        <f t="shared" si="9"/>
        <v>Sat</v>
      </c>
      <c r="H172" s="197"/>
      <c r="I172" s="208"/>
      <c r="J172" s="209">
        <v>163650</v>
      </c>
      <c r="K172" s="136"/>
      <c r="L172" s="104">
        <f t="shared" ref="L172:L201" si="199">IF(D172=0,0,$K$11)</f>
        <v>90920.969072164953</v>
      </c>
      <c r="M172" s="108">
        <f t="shared" si="11"/>
        <v>72729.030927835047</v>
      </c>
      <c r="N172" s="156">
        <f t="shared" si="12"/>
        <v>1.7999148235002778</v>
      </c>
      <c r="O172" s="200"/>
      <c r="P172" s="111">
        <f>IF(D172=0,0,$L$172)</f>
        <v>90920.969072164953</v>
      </c>
      <c r="Q172" s="104">
        <f>IF(D172=0,0,$J$172)</f>
        <v>163650</v>
      </c>
      <c r="R172" s="108">
        <f t="shared" si="13"/>
        <v>72729.030927835047</v>
      </c>
      <c r="S172" s="156">
        <f t="shared" si="14"/>
        <v>1.7999148235002778</v>
      </c>
      <c r="T172" s="134"/>
      <c r="U172" s="104">
        <f t="shared" si="23"/>
        <v>11850032.969072141</v>
      </c>
      <c r="V172" s="104">
        <f t="shared" si="24"/>
        <v>12472500</v>
      </c>
      <c r="W172" s="108">
        <f t="shared" si="15"/>
        <v>622467.03092785925</v>
      </c>
      <c r="X172" s="156">
        <f t="shared" si="16"/>
        <v>1.052528717224033</v>
      </c>
      <c r="Y172" s="39"/>
      <c r="Z172" s="202">
        <f t="shared" ref="Z172:AA172" si="200">Z171+1</f>
        <v>45444</v>
      </c>
      <c r="AA172" s="203">
        <f t="shared" si="200"/>
        <v>45444</v>
      </c>
      <c r="AB172" s="204">
        <v>45444</v>
      </c>
      <c r="AC172" s="39"/>
      <c r="AD172" s="39"/>
      <c r="AE172" s="39"/>
      <c r="AF172" s="39"/>
      <c r="AG172" s="114"/>
      <c r="AH172" s="39"/>
      <c r="AI172" s="39"/>
      <c r="AJ172" s="39"/>
      <c r="AK172" s="39"/>
      <c r="AL172" s="39"/>
      <c r="AM172" s="39"/>
      <c r="AN172" s="39"/>
    </row>
    <row r="173" spans="1:40" ht="16.5" customHeight="1">
      <c r="A173" s="39"/>
      <c r="B173" s="50"/>
      <c r="C173" s="95">
        <f t="shared" si="19"/>
        <v>154</v>
      </c>
      <c r="D173" s="96">
        <v>1</v>
      </c>
      <c r="E173" s="194" t="str">
        <f t="shared" si="8"/>
        <v>6</v>
      </c>
      <c r="F173" s="195">
        <f t="shared" si="20"/>
        <v>45445</v>
      </c>
      <c r="G173" s="196" t="str">
        <f t="shared" si="9"/>
        <v>Sun</v>
      </c>
      <c r="H173" s="197" t="s">
        <v>157</v>
      </c>
      <c r="I173" s="208"/>
      <c r="J173" s="209">
        <v>65750</v>
      </c>
      <c r="K173" s="136"/>
      <c r="L173" s="104">
        <f t="shared" si="199"/>
        <v>90920.969072164953</v>
      </c>
      <c r="M173" s="105">
        <f t="shared" si="11"/>
        <v>-25170.969072164953</v>
      </c>
      <c r="N173" s="106">
        <f t="shared" si="12"/>
        <v>0.72315551264982136</v>
      </c>
      <c r="O173" s="200"/>
      <c r="P173" s="170">
        <f t="shared" ref="P173:P201" si="201">IF(D173=0,0,SUM($L$172:L173))</f>
        <v>181841.93814432991</v>
      </c>
      <c r="Q173" s="104">
        <f t="shared" ref="Q173:Q201" si="202">IF(D173=0,0,SUM($J$172:J173))</f>
        <v>229400</v>
      </c>
      <c r="R173" s="108">
        <f t="shared" si="13"/>
        <v>47558.061855670094</v>
      </c>
      <c r="S173" s="106">
        <f t="shared" si="14"/>
        <v>1.2615351680750495</v>
      </c>
      <c r="T173" s="133"/>
      <c r="U173" s="104">
        <f t="shared" si="23"/>
        <v>11940953.938144306</v>
      </c>
      <c r="V173" s="104">
        <f t="shared" si="24"/>
        <v>12538250</v>
      </c>
      <c r="W173" s="108">
        <f t="shared" si="15"/>
        <v>597296.06185569428</v>
      </c>
      <c r="X173" s="106">
        <f t="shared" si="16"/>
        <v>1.0500207994227067</v>
      </c>
      <c r="Y173" s="39"/>
      <c r="Z173" s="202">
        <f t="shared" ref="Z173:AA173" si="203">Z172+1</f>
        <v>45445</v>
      </c>
      <c r="AA173" s="203">
        <f t="shared" si="203"/>
        <v>45445</v>
      </c>
      <c r="AB173" s="204">
        <v>45445</v>
      </c>
      <c r="AC173" s="39"/>
      <c r="AD173" s="39"/>
      <c r="AE173" s="39"/>
      <c r="AF173" s="39"/>
      <c r="AG173" s="114"/>
      <c r="AH173" s="39"/>
      <c r="AI173" s="39"/>
      <c r="AJ173" s="39"/>
      <c r="AK173" s="39"/>
      <c r="AL173" s="39"/>
      <c r="AM173" s="39"/>
      <c r="AN173" s="39"/>
    </row>
    <row r="174" spans="1:40" ht="16.5" customHeight="1">
      <c r="A174" s="39"/>
      <c r="B174" s="50"/>
      <c r="C174" s="95">
        <f t="shared" si="19"/>
        <v>155</v>
      </c>
      <c r="D174" s="96">
        <v>0</v>
      </c>
      <c r="E174" s="194" t="str">
        <f t="shared" si="8"/>
        <v>6</v>
      </c>
      <c r="F174" s="195">
        <f t="shared" si="20"/>
        <v>45446</v>
      </c>
      <c r="G174" s="196" t="str">
        <f t="shared" si="9"/>
        <v>Mon</v>
      </c>
      <c r="H174" s="197"/>
      <c r="I174" s="208"/>
      <c r="J174" s="209"/>
      <c r="K174" s="136"/>
      <c r="L174" s="104">
        <f t="shared" si="199"/>
        <v>0</v>
      </c>
      <c r="M174" s="105">
        <f t="shared" si="11"/>
        <v>0</v>
      </c>
      <c r="N174" s="106" t="str">
        <f t="shared" si="12"/>
        <v>0%</v>
      </c>
      <c r="O174" s="200"/>
      <c r="P174" s="170">
        <f t="shared" si="201"/>
        <v>0</v>
      </c>
      <c r="Q174" s="104">
        <f t="shared" si="202"/>
        <v>0</v>
      </c>
      <c r="R174" s="108">
        <f t="shared" si="13"/>
        <v>0</v>
      </c>
      <c r="S174" s="106" t="str">
        <f t="shared" si="14"/>
        <v>0%</v>
      </c>
      <c r="T174" s="133"/>
      <c r="U174" s="104">
        <f t="shared" si="23"/>
        <v>0</v>
      </c>
      <c r="V174" s="104">
        <f t="shared" si="24"/>
        <v>0</v>
      </c>
      <c r="W174" s="108">
        <f t="shared" si="15"/>
        <v>0</v>
      </c>
      <c r="X174" s="106" t="str">
        <f t="shared" si="16"/>
        <v>0%</v>
      </c>
      <c r="Y174" s="39"/>
      <c r="Z174" s="202">
        <f t="shared" ref="Z174:AA174" si="204">Z173+1</f>
        <v>45446</v>
      </c>
      <c r="AA174" s="203">
        <f t="shared" si="204"/>
        <v>45446</v>
      </c>
      <c r="AB174" s="204">
        <v>45446</v>
      </c>
      <c r="AC174" s="39"/>
      <c r="AD174" s="39"/>
      <c r="AE174" s="39"/>
      <c r="AF174" s="39"/>
      <c r="AG174" s="114"/>
      <c r="AH174" s="39"/>
      <c r="AI174" s="39"/>
      <c r="AJ174" s="39"/>
      <c r="AK174" s="39"/>
      <c r="AL174" s="39"/>
      <c r="AM174" s="39"/>
      <c r="AN174" s="39"/>
    </row>
    <row r="175" spans="1:40" ht="16.5" customHeight="1">
      <c r="A175" s="39"/>
      <c r="B175" s="50"/>
      <c r="C175" s="95">
        <f t="shared" si="19"/>
        <v>156</v>
      </c>
      <c r="D175" s="96">
        <v>1</v>
      </c>
      <c r="E175" s="194" t="str">
        <f t="shared" si="8"/>
        <v>6</v>
      </c>
      <c r="F175" s="195">
        <f t="shared" si="20"/>
        <v>45447</v>
      </c>
      <c r="G175" s="196" t="str">
        <f t="shared" si="9"/>
        <v>Tue</v>
      </c>
      <c r="H175" s="197"/>
      <c r="I175" s="208"/>
      <c r="J175" s="209">
        <v>95500</v>
      </c>
      <c r="K175" s="136"/>
      <c r="L175" s="104">
        <f t="shared" si="199"/>
        <v>90920.969072164953</v>
      </c>
      <c r="M175" s="105">
        <f t="shared" si="11"/>
        <v>4579.0309278350469</v>
      </c>
      <c r="N175" s="106">
        <f t="shared" si="12"/>
        <v>1.0503627598183718</v>
      </c>
      <c r="O175" s="200"/>
      <c r="P175" s="170">
        <f t="shared" si="201"/>
        <v>272762.90721649484</v>
      </c>
      <c r="Q175" s="104">
        <f t="shared" si="202"/>
        <v>324900</v>
      </c>
      <c r="R175" s="108">
        <f t="shared" si="13"/>
        <v>52137.092783505155</v>
      </c>
      <c r="S175" s="106">
        <f t="shared" si="14"/>
        <v>1.1911443653228238</v>
      </c>
      <c r="T175" s="133"/>
      <c r="U175" s="104">
        <f t="shared" si="23"/>
        <v>12031874.907216471</v>
      </c>
      <c r="V175" s="104">
        <f t="shared" si="24"/>
        <v>12633750</v>
      </c>
      <c r="W175" s="108">
        <f t="shared" si="15"/>
        <v>601875.09278352931</v>
      </c>
      <c r="X175" s="106">
        <f t="shared" si="16"/>
        <v>1.0500233835063011</v>
      </c>
      <c r="Y175" s="39"/>
      <c r="Z175" s="202">
        <f t="shared" ref="Z175:AA175" si="205">Z174+1</f>
        <v>45447</v>
      </c>
      <c r="AA175" s="203">
        <f t="shared" si="205"/>
        <v>45447</v>
      </c>
      <c r="AB175" s="204">
        <v>45447</v>
      </c>
      <c r="AC175" s="39"/>
      <c r="AD175" s="39"/>
      <c r="AE175" s="39"/>
      <c r="AF175" s="39"/>
      <c r="AG175" s="114"/>
      <c r="AH175" s="39"/>
      <c r="AI175" s="39"/>
      <c r="AJ175" s="39"/>
      <c r="AK175" s="39"/>
      <c r="AL175" s="39"/>
      <c r="AM175" s="39"/>
      <c r="AN175" s="39"/>
    </row>
    <row r="176" spans="1:40" ht="16.5" customHeight="1">
      <c r="A176" s="39"/>
      <c r="B176" s="50"/>
      <c r="C176" s="95">
        <f t="shared" si="19"/>
        <v>157</v>
      </c>
      <c r="D176" s="96">
        <v>1</v>
      </c>
      <c r="E176" s="194" t="str">
        <f t="shared" si="8"/>
        <v>6</v>
      </c>
      <c r="F176" s="195">
        <f t="shared" si="20"/>
        <v>45448</v>
      </c>
      <c r="G176" s="196" t="str">
        <f t="shared" si="9"/>
        <v>Wed</v>
      </c>
      <c r="H176" s="197"/>
      <c r="I176" s="208"/>
      <c r="J176" s="209">
        <v>121000</v>
      </c>
      <c r="K176" s="136"/>
      <c r="L176" s="104">
        <f t="shared" si="199"/>
        <v>90920.969072164953</v>
      </c>
      <c r="M176" s="105">
        <f t="shared" si="11"/>
        <v>30079.030927835047</v>
      </c>
      <c r="N176" s="106">
        <f t="shared" si="12"/>
        <v>1.3308261145342721</v>
      </c>
      <c r="O176" s="200"/>
      <c r="P176" s="170">
        <f t="shared" si="201"/>
        <v>363683.87628865981</v>
      </c>
      <c r="Q176" s="104">
        <f t="shared" si="202"/>
        <v>445900</v>
      </c>
      <c r="R176" s="108">
        <f t="shared" si="13"/>
        <v>82216.123711340188</v>
      </c>
      <c r="S176" s="106">
        <f t="shared" si="14"/>
        <v>1.2260648026256857</v>
      </c>
      <c r="T176" s="133"/>
      <c r="U176" s="104">
        <f t="shared" si="23"/>
        <v>12122795.876288636</v>
      </c>
      <c r="V176" s="104">
        <f t="shared" si="24"/>
        <v>12754750</v>
      </c>
      <c r="W176" s="108">
        <f t="shared" si="15"/>
        <v>631954.12371136434</v>
      </c>
      <c r="X176" s="106">
        <f t="shared" si="16"/>
        <v>1.0521294039890108</v>
      </c>
      <c r="Y176" s="39"/>
      <c r="Z176" s="202">
        <f t="shared" ref="Z176:AA176" si="206">Z175+1</f>
        <v>45448</v>
      </c>
      <c r="AA176" s="203">
        <f t="shared" si="206"/>
        <v>45448</v>
      </c>
      <c r="AB176" s="204">
        <v>45448</v>
      </c>
      <c r="AC176" s="39"/>
      <c r="AD176" s="39"/>
      <c r="AE176" s="39"/>
      <c r="AF176" s="39"/>
      <c r="AG176" s="114"/>
      <c r="AH176" s="39"/>
      <c r="AI176" s="39"/>
      <c r="AJ176" s="39"/>
      <c r="AK176" s="39"/>
      <c r="AL176" s="39"/>
      <c r="AM176" s="39"/>
      <c r="AN176" s="39"/>
    </row>
    <row r="177" spans="1:40" ht="16.5" customHeight="1">
      <c r="A177" s="39"/>
      <c r="B177" s="50"/>
      <c r="C177" s="95">
        <f t="shared" si="19"/>
        <v>158</v>
      </c>
      <c r="D177" s="96">
        <v>1</v>
      </c>
      <c r="E177" s="194" t="str">
        <f t="shared" si="8"/>
        <v>6</v>
      </c>
      <c r="F177" s="195">
        <f t="shared" si="20"/>
        <v>45449</v>
      </c>
      <c r="G177" s="196" t="str">
        <f t="shared" si="9"/>
        <v>Thu</v>
      </c>
      <c r="H177" s="197"/>
      <c r="I177" s="208"/>
      <c r="J177" s="209">
        <v>123600</v>
      </c>
      <c r="K177" s="136"/>
      <c r="L177" s="104">
        <f t="shared" si="199"/>
        <v>90920.969072164953</v>
      </c>
      <c r="M177" s="105">
        <f t="shared" si="11"/>
        <v>32679.030927835047</v>
      </c>
      <c r="N177" s="106">
        <f t="shared" si="12"/>
        <v>1.3594223781523638</v>
      </c>
      <c r="O177" s="200"/>
      <c r="P177" s="170">
        <f t="shared" si="201"/>
        <v>454604.84536082478</v>
      </c>
      <c r="Q177" s="104">
        <f t="shared" si="202"/>
        <v>569500</v>
      </c>
      <c r="R177" s="108">
        <f t="shared" si="13"/>
        <v>114895.15463917522</v>
      </c>
      <c r="S177" s="106">
        <f t="shared" si="14"/>
        <v>1.2527363177310213</v>
      </c>
      <c r="T177" s="133"/>
      <c r="U177" s="104">
        <f t="shared" si="23"/>
        <v>12213716.845360801</v>
      </c>
      <c r="V177" s="104">
        <f t="shared" si="24"/>
        <v>12878350</v>
      </c>
      <c r="W177" s="108">
        <f t="shared" si="15"/>
        <v>664633.15463919938</v>
      </c>
      <c r="X177" s="106">
        <f t="shared" si="16"/>
        <v>1.0544169447396066</v>
      </c>
      <c r="Y177" s="39"/>
      <c r="Z177" s="202">
        <f t="shared" ref="Z177:AA177" si="207">Z176+1</f>
        <v>45449</v>
      </c>
      <c r="AA177" s="203">
        <f t="shared" si="207"/>
        <v>45449</v>
      </c>
      <c r="AB177" s="204">
        <v>45449</v>
      </c>
      <c r="AC177" s="39"/>
      <c r="AD177" s="39"/>
      <c r="AE177" s="39"/>
      <c r="AF177" s="39"/>
      <c r="AG177" s="114"/>
      <c r="AH177" s="39"/>
      <c r="AI177" s="39"/>
      <c r="AJ177" s="39"/>
      <c r="AK177" s="39"/>
      <c r="AL177" s="39"/>
      <c r="AM177" s="39"/>
      <c r="AN177" s="39"/>
    </row>
    <row r="178" spans="1:40" ht="16.5" customHeight="1">
      <c r="A178" s="39"/>
      <c r="B178" s="50"/>
      <c r="C178" s="95">
        <f t="shared" si="19"/>
        <v>159</v>
      </c>
      <c r="D178" s="96">
        <v>1</v>
      </c>
      <c r="E178" s="194" t="str">
        <f t="shared" si="8"/>
        <v>6</v>
      </c>
      <c r="F178" s="195">
        <f t="shared" si="20"/>
        <v>45450</v>
      </c>
      <c r="G178" s="196" t="str">
        <f t="shared" si="9"/>
        <v>Fri</v>
      </c>
      <c r="H178" s="197"/>
      <c r="I178" s="208"/>
      <c r="J178" s="209">
        <v>142300</v>
      </c>
      <c r="K178" s="136"/>
      <c r="L178" s="104">
        <f t="shared" si="199"/>
        <v>90920.969072164953</v>
      </c>
      <c r="M178" s="105">
        <f t="shared" si="11"/>
        <v>51379.030927835047</v>
      </c>
      <c r="N178" s="106">
        <f t="shared" si="12"/>
        <v>1.5650955049440241</v>
      </c>
      <c r="O178" s="200"/>
      <c r="P178" s="170">
        <f t="shared" si="201"/>
        <v>545525.81443298969</v>
      </c>
      <c r="Q178" s="104">
        <f t="shared" si="202"/>
        <v>711800</v>
      </c>
      <c r="R178" s="108">
        <f t="shared" si="13"/>
        <v>166274.18556701031</v>
      </c>
      <c r="S178" s="106">
        <f t="shared" si="14"/>
        <v>1.3047961822665219</v>
      </c>
      <c r="T178" s="133"/>
      <c r="U178" s="104">
        <f t="shared" si="23"/>
        <v>12304637.814432966</v>
      </c>
      <c r="V178" s="104">
        <f t="shared" si="24"/>
        <v>13020650</v>
      </c>
      <c r="W178" s="108">
        <f t="shared" si="15"/>
        <v>716012.18556703441</v>
      </c>
      <c r="X178" s="106">
        <f t="shared" si="16"/>
        <v>1.0581904316376687</v>
      </c>
      <c r="Y178" s="39"/>
      <c r="Z178" s="202">
        <f t="shared" ref="Z178:AA178" si="208">Z177+1</f>
        <v>45450</v>
      </c>
      <c r="AA178" s="203">
        <f t="shared" si="208"/>
        <v>45450</v>
      </c>
      <c r="AB178" s="204">
        <v>45450</v>
      </c>
      <c r="AC178" s="39"/>
      <c r="AD178" s="39"/>
      <c r="AE178" s="39"/>
      <c r="AF178" s="39"/>
      <c r="AG178" s="114"/>
      <c r="AH178" s="39"/>
      <c r="AI178" s="39"/>
      <c r="AJ178" s="39"/>
      <c r="AK178" s="39"/>
      <c r="AL178" s="39"/>
      <c r="AM178" s="39"/>
      <c r="AN178" s="39"/>
    </row>
    <row r="179" spans="1:40" ht="16.5" customHeight="1">
      <c r="A179" s="39"/>
      <c r="B179" s="50"/>
      <c r="C179" s="95">
        <f t="shared" si="19"/>
        <v>160</v>
      </c>
      <c r="D179" s="96">
        <v>1</v>
      </c>
      <c r="E179" s="194" t="str">
        <f t="shared" si="8"/>
        <v>6</v>
      </c>
      <c r="F179" s="195">
        <f t="shared" si="20"/>
        <v>45451</v>
      </c>
      <c r="G179" s="196" t="str">
        <f t="shared" si="9"/>
        <v>Sat</v>
      </c>
      <c r="H179" s="197"/>
      <c r="I179" s="208"/>
      <c r="J179" s="209">
        <v>121450</v>
      </c>
      <c r="K179" s="136"/>
      <c r="L179" s="104">
        <f t="shared" si="199"/>
        <v>90920.969072164953</v>
      </c>
      <c r="M179" s="105">
        <f t="shared" si="11"/>
        <v>30529.030927835047</v>
      </c>
      <c r="N179" s="106">
        <f t="shared" si="12"/>
        <v>1.335775467852788</v>
      </c>
      <c r="O179" s="200"/>
      <c r="P179" s="170">
        <f t="shared" si="201"/>
        <v>636446.78350515466</v>
      </c>
      <c r="Q179" s="104">
        <f t="shared" si="202"/>
        <v>833250</v>
      </c>
      <c r="R179" s="108">
        <f t="shared" si="13"/>
        <v>196803.21649484534</v>
      </c>
      <c r="S179" s="106">
        <f t="shared" si="14"/>
        <v>1.3092217944931313</v>
      </c>
      <c r="T179" s="134"/>
      <c r="U179" s="104">
        <f t="shared" si="23"/>
        <v>12395558.783505131</v>
      </c>
      <c r="V179" s="104">
        <f t="shared" si="24"/>
        <v>13142100</v>
      </c>
      <c r="W179" s="108">
        <f t="shared" si="15"/>
        <v>746541.21649486944</v>
      </c>
      <c r="X179" s="106">
        <f t="shared" si="16"/>
        <v>1.0602265076979263</v>
      </c>
      <c r="Y179" s="39"/>
      <c r="Z179" s="202">
        <f t="shared" ref="Z179:AA179" si="209">Z178+1</f>
        <v>45451</v>
      </c>
      <c r="AA179" s="203">
        <f t="shared" si="209"/>
        <v>45451</v>
      </c>
      <c r="AB179" s="204">
        <v>45451</v>
      </c>
      <c r="AC179" s="39"/>
      <c r="AD179" s="39"/>
      <c r="AE179" s="39"/>
      <c r="AF179" s="39"/>
      <c r="AG179" s="114"/>
      <c r="AH179" s="39"/>
      <c r="AI179" s="39"/>
      <c r="AJ179" s="39"/>
      <c r="AK179" s="39"/>
      <c r="AL179" s="39"/>
      <c r="AM179" s="39"/>
      <c r="AN179" s="39"/>
    </row>
    <row r="180" spans="1:40" ht="16.5" customHeight="1">
      <c r="A180" s="39"/>
      <c r="B180" s="50"/>
      <c r="C180" s="95">
        <f t="shared" si="19"/>
        <v>161</v>
      </c>
      <c r="D180" s="96">
        <v>1</v>
      </c>
      <c r="E180" s="194" t="str">
        <f t="shared" si="8"/>
        <v>6</v>
      </c>
      <c r="F180" s="195">
        <f t="shared" si="20"/>
        <v>45452</v>
      </c>
      <c r="G180" s="196" t="str">
        <f t="shared" si="9"/>
        <v>Sun</v>
      </c>
      <c r="H180" s="197" t="s">
        <v>157</v>
      </c>
      <c r="I180" s="208"/>
      <c r="J180" s="209">
        <v>136350</v>
      </c>
      <c r="K180" s="136"/>
      <c r="L180" s="104">
        <f t="shared" si="199"/>
        <v>90920.969072164953</v>
      </c>
      <c r="M180" s="105">
        <f t="shared" si="11"/>
        <v>45429.030927835047</v>
      </c>
      <c r="N180" s="106">
        <f t="shared" si="12"/>
        <v>1.4996540555103139</v>
      </c>
      <c r="O180" s="200"/>
      <c r="P180" s="170">
        <f t="shared" si="201"/>
        <v>727367.75257731962</v>
      </c>
      <c r="Q180" s="104">
        <f t="shared" si="202"/>
        <v>969600</v>
      </c>
      <c r="R180" s="108">
        <f t="shared" si="13"/>
        <v>242232.24742268038</v>
      </c>
      <c r="S180" s="106">
        <f t="shared" si="14"/>
        <v>1.3330258271202791</v>
      </c>
      <c r="T180" s="133"/>
      <c r="U180" s="104">
        <f t="shared" si="23"/>
        <v>12486479.752577296</v>
      </c>
      <c r="V180" s="104">
        <f t="shared" si="24"/>
        <v>13278450</v>
      </c>
      <c r="W180" s="108">
        <f t="shared" si="15"/>
        <v>791970.24742270447</v>
      </c>
      <c r="X180" s="106">
        <f t="shared" si="16"/>
        <v>1.0634262228519</v>
      </c>
      <c r="Y180" s="39"/>
      <c r="Z180" s="202">
        <f t="shared" ref="Z180:AA180" si="210">Z179+1</f>
        <v>45452</v>
      </c>
      <c r="AA180" s="203">
        <f t="shared" si="210"/>
        <v>45452</v>
      </c>
      <c r="AB180" s="204">
        <v>45452</v>
      </c>
      <c r="AC180" s="39"/>
      <c r="AD180" s="39"/>
      <c r="AE180" s="39"/>
      <c r="AF180" s="39"/>
      <c r="AG180" s="114"/>
      <c r="AH180" s="39"/>
      <c r="AI180" s="39"/>
      <c r="AJ180" s="39"/>
      <c r="AK180" s="39"/>
      <c r="AL180" s="39"/>
      <c r="AM180" s="39"/>
      <c r="AN180" s="39"/>
    </row>
    <row r="181" spans="1:40" ht="16.5" customHeight="1">
      <c r="A181" s="39"/>
      <c r="B181" s="50"/>
      <c r="C181" s="95">
        <f t="shared" si="19"/>
        <v>162</v>
      </c>
      <c r="D181" s="96">
        <v>0</v>
      </c>
      <c r="E181" s="194" t="str">
        <f t="shared" si="8"/>
        <v>6</v>
      </c>
      <c r="F181" s="195">
        <f t="shared" si="20"/>
        <v>45453</v>
      </c>
      <c r="G181" s="196" t="str">
        <f t="shared" si="9"/>
        <v>Mon</v>
      </c>
      <c r="H181" s="197"/>
      <c r="I181" s="208"/>
      <c r="J181" s="209"/>
      <c r="K181" s="136"/>
      <c r="L181" s="104">
        <f t="shared" si="199"/>
        <v>0</v>
      </c>
      <c r="M181" s="105">
        <f t="shared" si="11"/>
        <v>0</v>
      </c>
      <c r="N181" s="106" t="str">
        <f t="shared" si="12"/>
        <v>0%</v>
      </c>
      <c r="O181" s="200"/>
      <c r="P181" s="170">
        <f t="shared" si="201"/>
        <v>0</v>
      </c>
      <c r="Q181" s="104">
        <f t="shared" si="202"/>
        <v>0</v>
      </c>
      <c r="R181" s="108">
        <f t="shared" si="13"/>
        <v>0</v>
      </c>
      <c r="S181" s="106" t="str">
        <f t="shared" si="14"/>
        <v>0%</v>
      </c>
      <c r="T181" s="133"/>
      <c r="U181" s="104">
        <f t="shared" si="23"/>
        <v>0</v>
      </c>
      <c r="V181" s="104">
        <f t="shared" si="24"/>
        <v>0</v>
      </c>
      <c r="W181" s="108">
        <f t="shared" si="15"/>
        <v>0</v>
      </c>
      <c r="X181" s="106" t="str">
        <f t="shared" si="16"/>
        <v>0%</v>
      </c>
      <c r="Y181" s="39"/>
      <c r="Z181" s="202">
        <f t="shared" ref="Z181:AA181" si="211">Z180+1</f>
        <v>45453</v>
      </c>
      <c r="AA181" s="203">
        <f t="shared" si="211"/>
        <v>45453</v>
      </c>
      <c r="AB181" s="204">
        <v>45453</v>
      </c>
      <c r="AC181" s="39"/>
      <c r="AD181" s="39"/>
      <c r="AE181" s="39"/>
      <c r="AF181" s="39"/>
      <c r="AG181" s="114"/>
      <c r="AH181" s="39"/>
      <c r="AI181" s="39"/>
      <c r="AJ181" s="39"/>
      <c r="AK181" s="39"/>
      <c r="AL181" s="39"/>
      <c r="AM181" s="39"/>
      <c r="AN181" s="39"/>
    </row>
    <row r="182" spans="1:40" ht="16.5" customHeight="1">
      <c r="A182" s="39"/>
      <c r="B182" s="50"/>
      <c r="C182" s="95">
        <f t="shared" si="19"/>
        <v>163</v>
      </c>
      <c r="D182" s="96">
        <v>1</v>
      </c>
      <c r="E182" s="194" t="str">
        <f t="shared" si="8"/>
        <v>6</v>
      </c>
      <c r="F182" s="195">
        <f t="shared" si="20"/>
        <v>45454</v>
      </c>
      <c r="G182" s="196" t="str">
        <f t="shared" si="9"/>
        <v>Tue</v>
      </c>
      <c r="H182" s="197"/>
      <c r="I182" s="208"/>
      <c r="J182" s="209">
        <v>55050</v>
      </c>
      <c r="K182" s="136"/>
      <c r="L182" s="104">
        <f t="shared" si="199"/>
        <v>90920.969072164953</v>
      </c>
      <c r="M182" s="105">
        <f t="shared" si="11"/>
        <v>-35870.969072164953</v>
      </c>
      <c r="N182" s="106">
        <f t="shared" si="12"/>
        <v>0.60547088929844362</v>
      </c>
      <c r="O182" s="200"/>
      <c r="P182" s="170">
        <f t="shared" si="201"/>
        <v>818288.72164948459</v>
      </c>
      <c r="Q182" s="104">
        <f t="shared" si="202"/>
        <v>1024650</v>
      </c>
      <c r="R182" s="108">
        <f t="shared" si="13"/>
        <v>206361.27835051541</v>
      </c>
      <c r="S182" s="106">
        <f t="shared" si="14"/>
        <v>1.2521863895845196</v>
      </c>
      <c r="T182" s="133"/>
      <c r="U182" s="104">
        <f t="shared" si="23"/>
        <v>12577400.72164946</v>
      </c>
      <c r="V182" s="104">
        <f t="shared" si="24"/>
        <v>13333500</v>
      </c>
      <c r="W182" s="108">
        <f t="shared" si="15"/>
        <v>756099.27835053951</v>
      </c>
      <c r="X182" s="106">
        <f t="shared" si="16"/>
        <v>1.0601157023683809</v>
      </c>
      <c r="Y182" s="39"/>
      <c r="Z182" s="202">
        <f t="shared" ref="Z182:AA182" si="212">Z181+1</f>
        <v>45454</v>
      </c>
      <c r="AA182" s="203">
        <f t="shared" si="212"/>
        <v>45454</v>
      </c>
      <c r="AB182" s="204">
        <v>45454</v>
      </c>
      <c r="AC182" s="39"/>
      <c r="AD182" s="39"/>
      <c r="AE182" s="39"/>
      <c r="AF182" s="39"/>
      <c r="AG182" s="114"/>
      <c r="AH182" s="39"/>
      <c r="AI182" s="39"/>
      <c r="AJ182" s="39"/>
      <c r="AK182" s="39"/>
      <c r="AL182" s="39"/>
      <c r="AM182" s="39"/>
      <c r="AN182" s="39"/>
    </row>
    <row r="183" spans="1:40" ht="16.5" customHeight="1">
      <c r="A183" s="39"/>
      <c r="B183" s="50"/>
      <c r="C183" s="95">
        <f t="shared" si="19"/>
        <v>164</v>
      </c>
      <c r="D183" s="96">
        <v>1</v>
      </c>
      <c r="E183" s="194" t="str">
        <f t="shared" si="8"/>
        <v>6</v>
      </c>
      <c r="F183" s="195">
        <f t="shared" si="20"/>
        <v>45455</v>
      </c>
      <c r="G183" s="196" t="str">
        <f t="shared" si="9"/>
        <v>Wed</v>
      </c>
      <c r="H183" s="197"/>
      <c r="I183" s="208"/>
      <c r="J183" s="209">
        <v>106900</v>
      </c>
      <c r="K183" s="136"/>
      <c r="L183" s="104">
        <f t="shared" si="199"/>
        <v>90920.969072164953</v>
      </c>
      <c r="M183" s="105">
        <f t="shared" si="11"/>
        <v>15979.030927835047</v>
      </c>
      <c r="N183" s="106">
        <f t="shared" si="12"/>
        <v>1.1757463772207741</v>
      </c>
      <c r="O183" s="200"/>
      <c r="P183" s="170">
        <f t="shared" si="201"/>
        <v>909209.69072164956</v>
      </c>
      <c r="Q183" s="104">
        <f t="shared" si="202"/>
        <v>1131550</v>
      </c>
      <c r="R183" s="108">
        <f t="shared" si="13"/>
        <v>222340.30927835044</v>
      </c>
      <c r="S183" s="106">
        <f t="shared" si="14"/>
        <v>1.244542388348145</v>
      </c>
      <c r="T183" s="133"/>
      <c r="U183" s="104">
        <f t="shared" si="23"/>
        <v>12668321.690721625</v>
      </c>
      <c r="V183" s="104">
        <f t="shared" si="24"/>
        <v>13440400</v>
      </c>
      <c r="W183" s="108">
        <f t="shared" si="15"/>
        <v>772078.30927837454</v>
      </c>
      <c r="X183" s="106">
        <f t="shared" si="16"/>
        <v>1.0609455875945943</v>
      </c>
      <c r="Y183" s="39"/>
      <c r="Z183" s="202">
        <f t="shared" ref="Z183:AA183" si="213">Z182+1</f>
        <v>45455</v>
      </c>
      <c r="AA183" s="203">
        <f t="shared" si="213"/>
        <v>45455</v>
      </c>
      <c r="AB183" s="204">
        <v>45455</v>
      </c>
      <c r="AC183" s="39"/>
      <c r="AD183" s="39"/>
      <c r="AE183" s="39"/>
      <c r="AF183" s="39"/>
      <c r="AG183" s="114"/>
      <c r="AH183" s="39"/>
      <c r="AI183" s="39"/>
      <c r="AJ183" s="39"/>
      <c r="AK183" s="39"/>
      <c r="AL183" s="39"/>
      <c r="AM183" s="39"/>
      <c r="AN183" s="39"/>
    </row>
    <row r="184" spans="1:40" ht="16.5" customHeight="1">
      <c r="A184" s="39"/>
      <c r="B184" s="50"/>
      <c r="C184" s="95">
        <f t="shared" si="19"/>
        <v>165</v>
      </c>
      <c r="D184" s="96">
        <v>1</v>
      </c>
      <c r="E184" s="194" t="str">
        <f t="shared" si="8"/>
        <v>6</v>
      </c>
      <c r="F184" s="195">
        <f t="shared" si="20"/>
        <v>45456</v>
      </c>
      <c r="G184" s="196" t="str">
        <f t="shared" si="9"/>
        <v>Thu</v>
      </c>
      <c r="H184" s="197"/>
      <c r="I184" s="208"/>
      <c r="J184" s="209">
        <v>132450</v>
      </c>
      <c r="K184" s="136"/>
      <c r="L184" s="104">
        <f t="shared" si="199"/>
        <v>90920.969072164953</v>
      </c>
      <c r="M184" s="105">
        <f t="shared" si="11"/>
        <v>41529.030927835047</v>
      </c>
      <c r="N184" s="106">
        <f t="shared" si="12"/>
        <v>1.4567596600831763</v>
      </c>
      <c r="O184" s="200"/>
      <c r="P184" s="170">
        <f t="shared" si="201"/>
        <v>1000130.6597938145</v>
      </c>
      <c r="Q184" s="104">
        <f t="shared" si="202"/>
        <v>1264000</v>
      </c>
      <c r="R184" s="108">
        <f t="shared" si="13"/>
        <v>263869.34020618547</v>
      </c>
      <c r="S184" s="106">
        <f t="shared" si="14"/>
        <v>1.2638348675967841</v>
      </c>
      <c r="T184" s="133"/>
      <c r="U184" s="104">
        <f t="shared" si="23"/>
        <v>12759242.65979379</v>
      </c>
      <c r="V184" s="104">
        <f t="shared" si="24"/>
        <v>13572850</v>
      </c>
      <c r="W184" s="108">
        <f t="shared" si="15"/>
        <v>813607.34020620957</v>
      </c>
      <c r="X184" s="106">
        <f t="shared" si="16"/>
        <v>1.0637661154270546</v>
      </c>
      <c r="Y184" s="39"/>
      <c r="Z184" s="202">
        <f t="shared" ref="Z184:AA184" si="214">Z183+1</f>
        <v>45456</v>
      </c>
      <c r="AA184" s="203">
        <f t="shared" si="214"/>
        <v>45456</v>
      </c>
      <c r="AB184" s="204">
        <v>45456</v>
      </c>
      <c r="AC184" s="39"/>
      <c r="AD184" s="39"/>
      <c r="AE184" s="39"/>
      <c r="AF184" s="39"/>
      <c r="AG184" s="114"/>
      <c r="AH184" s="39"/>
      <c r="AI184" s="39"/>
      <c r="AJ184" s="39"/>
      <c r="AK184" s="39"/>
      <c r="AL184" s="39"/>
      <c r="AM184" s="39"/>
      <c r="AN184" s="39"/>
    </row>
    <row r="185" spans="1:40" ht="16.5" customHeight="1">
      <c r="A185" s="39"/>
      <c r="B185" s="50"/>
      <c r="C185" s="95">
        <f t="shared" si="19"/>
        <v>166</v>
      </c>
      <c r="D185" s="96">
        <v>1</v>
      </c>
      <c r="E185" s="194" t="str">
        <f t="shared" si="8"/>
        <v>6</v>
      </c>
      <c r="F185" s="195">
        <f t="shared" si="20"/>
        <v>45457</v>
      </c>
      <c r="G185" s="196" t="str">
        <f t="shared" si="9"/>
        <v>Fri</v>
      </c>
      <c r="H185" s="197"/>
      <c r="I185" s="208"/>
      <c r="J185" s="209">
        <v>142000</v>
      </c>
      <c r="K185" s="136"/>
      <c r="L185" s="104">
        <f t="shared" si="199"/>
        <v>90920.969072164953</v>
      </c>
      <c r="M185" s="105">
        <f t="shared" si="11"/>
        <v>51079.030927835047</v>
      </c>
      <c r="N185" s="106">
        <f t="shared" si="12"/>
        <v>1.5617959360650135</v>
      </c>
      <c r="O185" s="200"/>
      <c r="P185" s="170">
        <f t="shared" si="201"/>
        <v>1091051.6288659794</v>
      </c>
      <c r="Q185" s="104">
        <f t="shared" si="202"/>
        <v>1406000</v>
      </c>
      <c r="R185" s="108">
        <f t="shared" si="13"/>
        <v>314948.37113402062</v>
      </c>
      <c r="S185" s="106">
        <f t="shared" si="14"/>
        <v>1.2886649566358035</v>
      </c>
      <c r="T185" s="133"/>
      <c r="U185" s="104">
        <f t="shared" si="23"/>
        <v>12850163.628865955</v>
      </c>
      <c r="V185" s="104">
        <f t="shared" si="24"/>
        <v>13714850</v>
      </c>
      <c r="W185" s="108">
        <f t="shared" si="15"/>
        <v>864686.3711340446</v>
      </c>
      <c r="X185" s="106">
        <f t="shared" si="16"/>
        <v>1.0672899113277949</v>
      </c>
      <c r="Y185" s="39"/>
      <c r="Z185" s="202">
        <f t="shared" ref="Z185:AA185" si="215">Z184+1</f>
        <v>45457</v>
      </c>
      <c r="AA185" s="203">
        <f t="shared" si="215"/>
        <v>45457</v>
      </c>
      <c r="AB185" s="204">
        <v>45457</v>
      </c>
      <c r="AC185" s="39"/>
      <c r="AD185" s="39"/>
      <c r="AE185" s="39"/>
      <c r="AF185" s="39"/>
      <c r="AG185" s="114"/>
      <c r="AH185" s="39"/>
      <c r="AI185" s="39"/>
      <c r="AJ185" s="39"/>
      <c r="AK185" s="39"/>
      <c r="AL185" s="39"/>
      <c r="AM185" s="39"/>
      <c r="AN185" s="39"/>
    </row>
    <row r="186" spans="1:40" ht="16.5" customHeight="1">
      <c r="A186" s="39"/>
      <c r="B186" s="50"/>
      <c r="C186" s="95">
        <f t="shared" si="19"/>
        <v>167</v>
      </c>
      <c r="D186" s="96">
        <v>1</v>
      </c>
      <c r="E186" s="194" t="str">
        <f t="shared" si="8"/>
        <v>6</v>
      </c>
      <c r="F186" s="195">
        <f t="shared" si="20"/>
        <v>45458</v>
      </c>
      <c r="G186" s="196" t="str">
        <f t="shared" si="9"/>
        <v>Sat</v>
      </c>
      <c r="H186" s="197"/>
      <c r="I186" s="208"/>
      <c r="J186" s="209">
        <v>102150</v>
      </c>
      <c r="K186" s="136"/>
      <c r="L186" s="104">
        <f t="shared" si="199"/>
        <v>90920.969072164953</v>
      </c>
      <c r="M186" s="105">
        <f t="shared" si="11"/>
        <v>11229.030927835047</v>
      </c>
      <c r="N186" s="106">
        <f t="shared" si="12"/>
        <v>1.1235032033031065</v>
      </c>
      <c r="O186" s="200"/>
      <c r="P186" s="170">
        <f t="shared" si="201"/>
        <v>1181972.5979381443</v>
      </c>
      <c r="Q186" s="104">
        <f t="shared" si="202"/>
        <v>1508150</v>
      </c>
      <c r="R186" s="108">
        <f t="shared" si="13"/>
        <v>326177.40206185565</v>
      </c>
      <c r="S186" s="106">
        <f t="shared" si="14"/>
        <v>1.2759602063794422</v>
      </c>
      <c r="T186" s="134"/>
      <c r="U186" s="104">
        <f t="shared" si="23"/>
        <v>12941084.59793812</v>
      </c>
      <c r="V186" s="104">
        <f t="shared" si="24"/>
        <v>13817000</v>
      </c>
      <c r="W186" s="108">
        <f t="shared" si="15"/>
        <v>875915.40206187963</v>
      </c>
      <c r="X186" s="106">
        <f t="shared" si="16"/>
        <v>1.067684852489214</v>
      </c>
      <c r="Y186" s="39"/>
      <c r="Z186" s="202">
        <f t="shared" ref="Z186:AA186" si="216">Z185+1</f>
        <v>45458</v>
      </c>
      <c r="AA186" s="203">
        <f t="shared" si="216"/>
        <v>45458</v>
      </c>
      <c r="AB186" s="204">
        <v>45458</v>
      </c>
      <c r="AC186" s="39"/>
      <c r="AD186" s="39"/>
      <c r="AE186" s="39"/>
      <c r="AF186" s="39"/>
      <c r="AG186" s="114"/>
      <c r="AH186" s="39"/>
      <c r="AI186" s="39"/>
      <c r="AJ186" s="39"/>
      <c r="AK186" s="39"/>
      <c r="AL186" s="39"/>
      <c r="AM186" s="39"/>
      <c r="AN186" s="39"/>
    </row>
    <row r="187" spans="1:40" ht="16.5" customHeight="1">
      <c r="A187" s="39"/>
      <c r="B187" s="50"/>
      <c r="C187" s="95">
        <f t="shared" si="19"/>
        <v>168</v>
      </c>
      <c r="D187" s="96">
        <v>1</v>
      </c>
      <c r="E187" s="194" t="str">
        <f t="shared" si="8"/>
        <v>6</v>
      </c>
      <c r="F187" s="195">
        <f t="shared" si="20"/>
        <v>45459</v>
      </c>
      <c r="G187" s="196" t="str">
        <f t="shared" si="9"/>
        <v>Sun</v>
      </c>
      <c r="H187" s="197" t="s">
        <v>157</v>
      </c>
      <c r="I187" s="208"/>
      <c r="J187" s="209">
        <v>102850</v>
      </c>
      <c r="K187" s="136"/>
      <c r="L187" s="104">
        <f t="shared" si="199"/>
        <v>90920.969072164953</v>
      </c>
      <c r="M187" s="105">
        <f t="shared" si="11"/>
        <v>11929.030927835047</v>
      </c>
      <c r="N187" s="106">
        <f t="shared" si="12"/>
        <v>1.1312021973541313</v>
      </c>
      <c r="O187" s="200"/>
      <c r="P187" s="170">
        <f t="shared" si="201"/>
        <v>1272893.5670103093</v>
      </c>
      <c r="Q187" s="104">
        <f t="shared" si="202"/>
        <v>1611000</v>
      </c>
      <c r="R187" s="108">
        <f t="shared" si="13"/>
        <v>338106.43298969069</v>
      </c>
      <c r="S187" s="106">
        <f t="shared" si="14"/>
        <v>1.26562034859192</v>
      </c>
      <c r="T187" s="133"/>
      <c r="U187" s="104">
        <f t="shared" si="23"/>
        <v>13032005.567010285</v>
      </c>
      <c r="V187" s="104">
        <f t="shared" si="24"/>
        <v>13919850</v>
      </c>
      <c r="W187" s="108">
        <f t="shared" si="15"/>
        <v>887844.43298971467</v>
      </c>
      <c r="X187" s="106">
        <f t="shared" si="16"/>
        <v>1.0681279967557133</v>
      </c>
      <c r="Y187" s="39"/>
      <c r="Z187" s="202">
        <f t="shared" ref="Z187:AA187" si="217">Z186+1</f>
        <v>45459</v>
      </c>
      <c r="AA187" s="203">
        <f t="shared" si="217"/>
        <v>45459</v>
      </c>
      <c r="AB187" s="204">
        <v>45459</v>
      </c>
      <c r="AC187" s="39"/>
      <c r="AD187" s="39"/>
      <c r="AE187" s="39"/>
      <c r="AF187" s="39"/>
      <c r="AG187" s="114"/>
      <c r="AH187" s="39"/>
      <c r="AI187" s="39"/>
      <c r="AJ187" s="39"/>
      <c r="AK187" s="39"/>
      <c r="AL187" s="39"/>
      <c r="AM187" s="39"/>
      <c r="AN187" s="39"/>
    </row>
    <row r="188" spans="1:40" ht="16.5" customHeight="1">
      <c r="A188" s="39"/>
      <c r="B188" s="50"/>
      <c r="C188" s="95">
        <f t="shared" si="19"/>
        <v>169</v>
      </c>
      <c r="D188" s="96">
        <v>0</v>
      </c>
      <c r="E188" s="194" t="str">
        <f t="shared" si="8"/>
        <v>6</v>
      </c>
      <c r="F188" s="195">
        <f t="shared" si="20"/>
        <v>45460</v>
      </c>
      <c r="G188" s="196" t="str">
        <f t="shared" si="9"/>
        <v>Mon</v>
      </c>
      <c r="H188" s="197"/>
      <c r="I188" s="208"/>
      <c r="J188" s="209"/>
      <c r="K188" s="136"/>
      <c r="L188" s="104">
        <f t="shared" si="199"/>
        <v>0</v>
      </c>
      <c r="M188" s="105">
        <f t="shared" si="11"/>
        <v>0</v>
      </c>
      <c r="N188" s="106" t="str">
        <f t="shared" si="12"/>
        <v>0%</v>
      </c>
      <c r="O188" s="200"/>
      <c r="P188" s="170">
        <f t="shared" si="201"/>
        <v>0</v>
      </c>
      <c r="Q188" s="104">
        <f t="shared" si="202"/>
        <v>0</v>
      </c>
      <c r="R188" s="108">
        <f t="shared" si="13"/>
        <v>0</v>
      </c>
      <c r="S188" s="106" t="str">
        <f t="shared" si="14"/>
        <v>0%</v>
      </c>
      <c r="T188" s="133"/>
      <c r="U188" s="104">
        <f t="shared" si="23"/>
        <v>0</v>
      </c>
      <c r="V188" s="104">
        <f t="shared" si="24"/>
        <v>0</v>
      </c>
      <c r="W188" s="108">
        <f t="shared" si="15"/>
        <v>0</v>
      </c>
      <c r="X188" s="106" t="str">
        <f t="shared" si="16"/>
        <v>0%</v>
      </c>
      <c r="Y188" s="39"/>
      <c r="Z188" s="202">
        <f t="shared" ref="Z188:AA188" si="218">Z187+1</f>
        <v>45460</v>
      </c>
      <c r="AA188" s="203">
        <f t="shared" si="218"/>
        <v>45460</v>
      </c>
      <c r="AB188" s="204">
        <v>45460</v>
      </c>
      <c r="AC188" s="39"/>
      <c r="AD188" s="39"/>
      <c r="AE188" s="39"/>
      <c r="AF188" s="39"/>
      <c r="AG188" s="114"/>
      <c r="AH188" s="39"/>
      <c r="AI188" s="39"/>
      <c r="AJ188" s="39"/>
      <c r="AK188" s="39"/>
      <c r="AL188" s="39"/>
      <c r="AM188" s="39"/>
      <c r="AN188" s="39"/>
    </row>
    <row r="189" spans="1:40" ht="16.5" customHeight="1">
      <c r="A189" s="39"/>
      <c r="B189" s="50"/>
      <c r="C189" s="95">
        <f t="shared" si="19"/>
        <v>170</v>
      </c>
      <c r="D189" s="96">
        <v>1</v>
      </c>
      <c r="E189" s="194" t="str">
        <f t="shared" si="8"/>
        <v>6</v>
      </c>
      <c r="F189" s="195">
        <f t="shared" si="20"/>
        <v>45461</v>
      </c>
      <c r="G189" s="196" t="str">
        <f t="shared" si="9"/>
        <v>Tue</v>
      </c>
      <c r="H189" s="197"/>
      <c r="I189" s="208"/>
      <c r="J189" s="209">
        <v>113750</v>
      </c>
      <c r="K189" s="136"/>
      <c r="L189" s="104">
        <f t="shared" si="199"/>
        <v>90920.969072164953</v>
      </c>
      <c r="M189" s="105">
        <f t="shared" si="11"/>
        <v>22829.030927835047</v>
      </c>
      <c r="N189" s="106">
        <f t="shared" si="12"/>
        <v>1.251086533291516</v>
      </c>
      <c r="O189" s="200"/>
      <c r="P189" s="170">
        <f t="shared" si="201"/>
        <v>1363814.5360824743</v>
      </c>
      <c r="Q189" s="104">
        <f t="shared" si="202"/>
        <v>1724750</v>
      </c>
      <c r="R189" s="108">
        <f t="shared" si="13"/>
        <v>360935.46391752572</v>
      </c>
      <c r="S189" s="106">
        <f t="shared" si="14"/>
        <v>1.264651427571893</v>
      </c>
      <c r="T189" s="133"/>
      <c r="U189" s="104">
        <f t="shared" si="23"/>
        <v>13122926.53608245</v>
      </c>
      <c r="V189" s="104">
        <f t="shared" si="24"/>
        <v>14033600</v>
      </c>
      <c r="W189" s="108">
        <f t="shared" si="15"/>
        <v>910673.4639175497</v>
      </c>
      <c r="X189" s="106">
        <f t="shared" si="16"/>
        <v>1.0693956078633517</v>
      </c>
      <c r="Y189" s="39"/>
      <c r="Z189" s="202">
        <f t="shared" ref="Z189:AA189" si="219">Z188+1</f>
        <v>45461</v>
      </c>
      <c r="AA189" s="203">
        <f t="shared" si="219"/>
        <v>45461</v>
      </c>
      <c r="AB189" s="204">
        <v>45461</v>
      </c>
      <c r="AC189" s="39"/>
      <c r="AD189" s="39"/>
      <c r="AE189" s="39"/>
      <c r="AF189" s="39"/>
      <c r="AG189" s="114"/>
      <c r="AH189" s="39"/>
      <c r="AI189" s="39"/>
      <c r="AJ189" s="39"/>
      <c r="AK189" s="39"/>
      <c r="AL189" s="39"/>
      <c r="AM189" s="39"/>
      <c r="AN189" s="39"/>
    </row>
    <row r="190" spans="1:40" ht="16.5" customHeight="1">
      <c r="A190" s="39"/>
      <c r="B190" s="50"/>
      <c r="C190" s="95">
        <f t="shared" si="19"/>
        <v>171</v>
      </c>
      <c r="D190" s="96">
        <v>1</v>
      </c>
      <c r="E190" s="194" t="str">
        <f t="shared" si="8"/>
        <v>6</v>
      </c>
      <c r="F190" s="195">
        <f t="shared" si="20"/>
        <v>45462</v>
      </c>
      <c r="G190" s="196" t="str">
        <f t="shared" si="9"/>
        <v>Wed</v>
      </c>
      <c r="H190" s="197"/>
      <c r="I190" s="208"/>
      <c r="J190" s="209">
        <v>94450</v>
      </c>
      <c r="K190" s="136"/>
      <c r="L190" s="104">
        <f t="shared" si="199"/>
        <v>90920.969072164953</v>
      </c>
      <c r="M190" s="105">
        <f t="shared" si="11"/>
        <v>3529.0309278350469</v>
      </c>
      <c r="N190" s="106">
        <f t="shared" si="12"/>
        <v>1.0388142687418347</v>
      </c>
      <c r="O190" s="200"/>
      <c r="P190" s="170">
        <f t="shared" si="201"/>
        <v>1454735.5051546392</v>
      </c>
      <c r="Q190" s="104">
        <f t="shared" si="202"/>
        <v>1819200</v>
      </c>
      <c r="R190" s="108">
        <f t="shared" si="13"/>
        <v>364464.49484536075</v>
      </c>
      <c r="S190" s="106">
        <f t="shared" si="14"/>
        <v>1.2505366051450142</v>
      </c>
      <c r="T190" s="133"/>
      <c r="U190" s="104">
        <f t="shared" si="23"/>
        <v>13213847.505154615</v>
      </c>
      <c r="V190" s="104">
        <f t="shared" si="24"/>
        <v>14128050</v>
      </c>
      <c r="W190" s="108">
        <f t="shared" si="15"/>
        <v>914202.49484538473</v>
      </c>
      <c r="X190" s="106">
        <f t="shared" si="16"/>
        <v>1.0691851858051762</v>
      </c>
      <c r="Y190" s="39"/>
      <c r="Z190" s="202">
        <f t="shared" ref="Z190:AA190" si="220">Z189+1</f>
        <v>45462</v>
      </c>
      <c r="AA190" s="203">
        <f t="shared" si="220"/>
        <v>45462</v>
      </c>
      <c r="AB190" s="204">
        <v>45462</v>
      </c>
      <c r="AC190" s="39"/>
      <c r="AD190" s="39"/>
      <c r="AE190" s="39"/>
      <c r="AF190" s="39"/>
      <c r="AG190" s="114"/>
      <c r="AH190" s="39"/>
      <c r="AI190" s="39"/>
      <c r="AJ190" s="39"/>
      <c r="AK190" s="39"/>
      <c r="AL190" s="39"/>
      <c r="AM190" s="39"/>
      <c r="AN190" s="39"/>
    </row>
    <row r="191" spans="1:40" ht="16.5" customHeight="1">
      <c r="A191" s="39"/>
      <c r="B191" s="50"/>
      <c r="C191" s="95">
        <f t="shared" si="19"/>
        <v>172</v>
      </c>
      <c r="D191" s="96">
        <v>1</v>
      </c>
      <c r="E191" s="194" t="str">
        <f t="shared" si="8"/>
        <v>6</v>
      </c>
      <c r="F191" s="195">
        <f t="shared" si="20"/>
        <v>45463</v>
      </c>
      <c r="G191" s="196" t="str">
        <f t="shared" si="9"/>
        <v>Thu</v>
      </c>
      <c r="H191" s="197"/>
      <c r="I191" s="208"/>
      <c r="J191" s="209">
        <v>155700</v>
      </c>
      <c r="K191" s="136"/>
      <c r="L191" s="104">
        <f t="shared" si="199"/>
        <v>90920.969072164953</v>
      </c>
      <c r="M191" s="105">
        <f t="shared" si="11"/>
        <v>64779.030927835047</v>
      </c>
      <c r="N191" s="106">
        <f t="shared" si="12"/>
        <v>1.7124762482064972</v>
      </c>
      <c r="O191" s="200"/>
      <c r="P191" s="170">
        <f t="shared" si="201"/>
        <v>1545656.4742268042</v>
      </c>
      <c r="Q191" s="104">
        <f t="shared" si="202"/>
        <v>1974900</v>
      </c>
      <c r="R191" s="108">
        <f t="shared" si="13"/>
        <v>429243.52577319578</v>
      </c>
      <c r="S191" s="106">
        <f t="shared" si="14"/>
        <v>1.2777095253251014</v>
      </c>
      <c r="T191" s="133"/>
      <c r="U191" s="104">
        <f t="shared" si="23"/>
        <v>13304768.47422678</v>
      </c>
      <c r="V191" s="104">
        <f t="shared" si="24"/>
        <v>14283750</v>
      </c>
      <c r="W191" s="108">
        <f t="shared" si="15"/>
        <v>978981.52577321976</v>
      </c>
      <c r="X191" s="106">
        <f t="shared" si="16"/>
        <v>1.0735812522908343</v>
      </c>
      <c r="Y191" s="39"/>
      <c r="Z191" s="202">
        <f t="shared" ref="Z191:AA191" si="221">Z190+1</f>
        <v>45463</v>
      </c>
      <c r="AA191" s="203">
        <f t="shared" si="221"/>
        <v>45463</v>
      </c>
      <c r="AB191" s="204">
        <v>45463</v>
      </c>
      <c r="AC191" s="39"/>
      <c r="AD191" s="39"/>
      <c r="AE191" s="39"/>
      <c r="AF191" s="39"/>
      <c r="AG191" s="114"/>
      <c r="AH191" s="39"/>
      <c r="AI191" s="39"/>
      <c r="AJ191" s="39"/>
      <c r="AK191" s="39"/>
      <c r="AL191" s="39"/>
      <c r="AM191" s="39"/>
      <c r="AN191" s="39"/>
    </row>
    <row r="192" spans="1:40" ht="16.5" customHeight="1">
      <c r="A192" s="39"/>
      <c r="B192" s="50"/>
      <c r="C192" s="95">
        <f t="shared" si="19"/>
        <v>173</v>
      </c>
      <c r="D192" s="96">
        <v>1</v>
      </c>
      <c r="E192" s="194" t="str">
        <f t="shared" si="8"/>
        <v>6</v>
      </c>
      <c r="F192" s="195">
        <f t="shared" si="20"/>
        <v>45464</v>
      </c>
      <c r="G192" s="196" t="str">
        <f t="shared" si="9"/>
        <v>Fri</v>
      </c>
      <c r="H192" s="197"/>
      <c r="I192" s="208"/>
      <c r="J192" s="209">
        <v>147350</v>
      </c>
      <c r="K192" s="136"/>
      <c r="L192" s="104">
        <f t="shared" si="199"/>
        <v>90920.969072164953</v>
      </c>
      <c r="M192" s="105">
        <f t="shared" si="11"/>
        <v>56429.030927835047</v>
      </c>
      <c r="N192" s="106">
        <f t="shared" si="12"/>
        <v>1.6206382477407024</v>
      </c>
      <c r="O192" s="200"/>
      <c r="P192" s="170">
        <f t="shared" si="201"/>
        <v>1636577.4432989692</v>
      </c>
      <c r="Q192" s="104">
        <f t="shared" si="202"/>
        <v>2122250</v>
      </c>
      <c r="R192" s="108">
        <f t="shared" si="13"/>
        <v>485672.55670103082</v>
      </c>
      <c r="S192" s="106">
        <f t="shared" si="14"/>
        <v>1.2967611210148571</v>
      </c>
      <c r="T192" s="133"/>
      <c r="U192" s="104">
        <f t="shared" si="23"/>
        <v>13395689.443298945</v>
      </c>
      <c r="V192" s="104">
        <f t="shared" si="24"/>
        <v>14431100</v>
      </c>
      <c r="W192" s="108">
        <f t="shared" si="15"/>
        <v>1035410.5567010548</v>
      </c>
      <c r="X192" s="106">
        <f t="shared" si="16"/>
        <v>1.0772943088210372</v>
      </c>
      <c r="Y192" s="39"/>
      <c r="Z192" s="202">
        <f t="shared" ref="Z192:AA192" si="222">Z191+1</f>
        <v>45464</v>
      </c>
      <c r="AA192" s="203">
        <f t="shared" si="222"/>
        <v>45464</v>
      </c>
      <c r="AB192" s="204">
        <v>45464</v>
      </c>
      <c r="AC192" s="39"/>
      <c r="AD192" s="39"/>
      <c r="AE192" s="39"/>
      <c r="AF192" s="39"/>
      <c r="AG192" s="114"/>
      <c r="AH192" s="39"/>
      <c r="AI192" s="39"/>
      <c r="AJ192" s="39"/>
      <c r="AK192" s="39"/>
      <c r="AL192" s="39"/>
      <c r="AM192" s="39"/>
      <c r="AN192" s="39"/>
    </row>
    <row r="193" spans="1:40" ht="16.5" customHeight="1">
      <c r="A193" s="39"/>
      <c r="B193" s="50"/>
      <c r="C193" s="95">
        <f t="shared" si="19"/>
        <v>174</v>
      </c>
      <c r="D193" s="96">
        <v>1</v>
      </c>
      <c r="E193" s="194" t="str">
        <f t="shared" si="8"/>
        <v>6</v>
      </c>
      <c r="F193" s="195">
        <f t="shared" si="20"/>
        <v>45465</v>
      </c>
      <c r="G193" s="196" t="str">
        <f t="shared" si="9"/>
        <v>Sat</v>
      </c>
      <c r="H193" s="197"/>
      <c r="I193" s="208"/>
      <c r="J193" s="209">
        <v>124150</v>
      </c>
      <c r="K193" s="136"/>
      <c r="L193" s="104">
        <f t="shared" si="199"/>
        <v>90920.969072164953</v>
      </c>
      <c r="M193" s="105">
        <f t="shared" si="11"/>
        <v>33229.030927835047</v>
      </c>
      <c r="N193" s="106">
        <f t="shared" si="12"/>
        <v>1.3654715877638832</v>
      </c>
      <c r="O193" s="200"/>
      <c r="P193" s="170">
        <f t="shared" si="201"/>
        <v>1727498.4123711342</v>
      </c>
      <c r="Q193" s="104">
        <f t="shared" si="202"/>
        <v>2246400</v>
      </c>
      <c r="R193" s="108">
        <f t="shared" si="13"/>
        <v>518901.58762886585</v>
      </c>
      <c r="S193" s="106">
        <f t="shared" si="14"/>
        <v>1.3003774613700689</v>
      </c>
      <c r="T193" s="134"/>
      <c r="U193" s="104">
        <f t="shared" si="23"/>
        <v>13486610.41237111</v>
      </c>
      <c r="V193" s="104">
        <f t="shared" si="24"/>
        <v>14555250</v>
      </c>
      <c r="W193" s="108">
        <f t="shared" si="15"/>
        <v>1068639.5876288898</v>
      </c>
      <c r="X193" s="106">
        <f t="shared" si="16"/>
        <v>1.0792370769936854</v>
      </c>
      <c r="Y193" s="39"/>
      <c r="Z193" s="202">
        <f t="shared" ref="Z193:AA193" si="223">Z192+1</f>
        <v>45465</v>
      </c>
      <c r="AA193" s="203">
        <f t="shared" si="223"/>
        <v>45465</v>
      </c>
      <c r="AB193" s="204">
        <v>45465</v>
      </c>
      <c r="AC193" s="39"/>
      <c r="AD193" s="39"/>
      <c r="AE193" s="39"/>
      <c r="AF193" s="39"/>
      <c r="AG193" s="114"/>
      <c r="AH193" s="39"/>
      <c r="AI193" s="39"/>
      <c r="AJ193" s="39"/>
      <c r="AK193" s="39"/>
      <c r="AL193" s="39"/>
      <c r="AM193" s="39"/>
      <c r="AN193" s="39"/>
    </row>
    <row r="194" spans="1:40" ht="16.5" customHeight="1">
      <c r="A194" s="39"/>
      <c r="B194" s="50"/>
      <c r="C194" s="95">
        <f t="shared" si="19"/>
        <v>175</v>
      </c>
      <c r="D194" s="96">
        <v>1</v>
      </c>
      <c r="E194" s="194" t="str">
        <f t="shared" si="8"/>
        <v>6</v>
      </c>
      <c r="F194" s="195">
        <f t="shared" si="20"/>
        <v>45466</v>
      </c>
      <c r="G194" s="196" t="str">
        <f t="shared" si="9"/>
        <v>Sun</v>
      </c>
      <c r="H194" s="197" t="s">
        <v>157</v>
      </c>
      <c r="I194" s="208"/>
      <c r="J194" s="209">
        <v>83050</v>
      </c>
      <c r="K194" s="136"/>
      <c r="L194" s="104">
        <f t="shared" si="199"/>
        <v>90920.969072164953</v>
      </c>
      <c r="M194" s="105">
        <f t="shared" si="11"/>
        <v>-7870.9690721649531</v>
      </c>
      <c r="N194" s="106">
        <f t="shared" si="12"/>
        <v>0.91343065133943213</v>
      </c>
      <c r="O194" s="200"/>
      <c r="P194" s="170">
        <f t="shared" si="201"/>
        <v>1818419.3814432991</v>
      </c>
      <c r="Q194" s="104">
        <f t="shared" si="202"/>
        <v>2329450</v>
      </c>
      <c r="R194" s="108">
        <f t="shared" si="13"/>
        <v>511030.61855670088</v>
      </c>
      <c r="S194" s="106">
        <f t="shared" si="14"/>
        <v>1.2810301208685371</v>
      </c>
      <c r="T194" s="133"/>
      <c r="U194" s="104">
        <f t="shared" si="23"/>
        <v>13577531.381443275</v>
      </c>
      <c r="V194" s="104">
        <f t="shared" si="24"/>
        <v>14638300</v>
      </c>
      <c r="W194" s="108">
        <f t="shared" si="15"/>
        <v>1060768.6185567249</v>
      </c>
      <c r="X194" s="106">
        <f t="shared" si="16"/>
        <v>1.0781267661076079</v>
      </c>
      <c r="Y194" s="39"/>
      <c r="Z194" s="202">
        <f t="shared" ref="Z194:AA194" si="224">Z193+1</f>
        <v>45466</v>
      </c>
      <c r="AA194" s="203">
        <f t="shared" si="224"/>
        <v>45466</v>
      </c>
      <c r="AB194" s="204">
        <v>45466</v>
      </c>
      <c r="AC194" s="39"/>
      <c r="AD194" s="39"/>
      <c r="AE194" s="39"/>
      <c r="AF194" s="39"/>
      <c r="AG194" s="114"/>
      <c r="AH194" s="39"/>
      <c r="AI194" s="39"/>
      <c r="AJ194" s="39"/>
      <c r="AK194" s="39"/>
      <c r="AL194" s="39"/>
      <c r="AM194" s="39"/>
      <c r="AN194" s="39"/>
    </row>
    <row r="195" spans="1:40" ht="16.5" customHeight="1">
      <c r="A195" s="39"/>
      <c r="B195" s="50"/>
      <c r="C195" s="95">
        <f t="shared" si="19"/>
        <v>176</v>
      </c>
      <c r="D195" s="96">
        <v>0</v>
      </c>
      <c r="E195" s="194" t="str">
        <f t="shared" si="8"/>
        <v>6</v>
      </c>
      <c r="F195" s="195">
        <f t="shared" si="20"/>
        <v>45467</v>
      </c>
      <c r="G195" s="196" t="str">
        <f t="shared" si="9"/>
        <v>Mon</v>
      </c>
      <c r="H195" s="197"/>
      <c r="I195" s="208"/>
      <c r="J195" s="209"/>
      <c r="K195" s="136"/>
      <c r="L195" s="104">
        <f t="shared" si="199"/>
        <v>0</v>
      </c>
      <c r="M195" s="105">
        <f t="shared" si="11"/>
        <v>0</v>
      </c>
      <c r="N195" s="106" t="str">
        <f t="shared" si="12"/>
        <v>0%</v>
      </c>
      <c r="O195" s="200"/>
      <c r="P195" s="170">
        <f t="shared" si="201"/>
        <v>0</v>
      </c>
      <c r="Q195" s="104">
        <f t="shared" si="202"/>
        <v>0</v>
      </c>
      <c r="R195" s="108">
        <f t="shared" si="13"/>
        <v>0</v>
      </c>
      <c r="S195" s="106" t="str">
        <f t="shared" si="14"/>
        <v>0%</v>
      </c>
      <c r="T195" s="133"/>
      <c r="U195" s="104">
        <f t="shared" si="23"/>
        <v>0</v>
      </c>
      <c r="V195" s="104">
        <f t="shared" si="24"/>
        <v>0</v>
      </c>
      <c r="W195" s="108">
        <f t="shared" si="15"/>
        <v>0</v>
      </c>
      <c r="X195" s="106" t="str">
        <f t="shared" si="16"/>
        <v>0%</v>
      </c>
      <c r="Y195" s="39"/>
      <c r="Z195" s="202">
        <f t="shared" ref="Z195:AA195" si="225">Z194+1</f>
        <v>45467</v>
      </c>
      <c r="AA195" s="203">
        <f t="shared" si="225"/>
        <v>45467</v>
      </c>
      <c r="AB195" s="204">
        <v>45467</v>
      </c>
      <c r="AC195" s="39"/>
      <c r="AD195" s="39"/>
      <c r="AE195" s="39"/>
      <c r="AF195" s="39"/>
      <c r="AG195" s="114"/>
      <c r="AH195" s="39"/>
      <c r="AI195" s="39"/>
      <c r="AJ195" s="39"/>
      <c r="AK195" s="39"/>
      <c r="AL195" s="39"/>
      <c r="AM195" s="39"/>
      <c r="AN195" s="39"/>
    </row>
    <row r="196" spans="1:40" ht="16.5" customHeight="1">
      <c r="A196" s="39"/>
      <c r="B196" s="50"/>
      <c r="C196" s="95">
        <f t="shared" si="19"/>
        <v>177</v>
      </c>
      <c r="D196" s="96">
        <v>1</v>
      </c>
      <c r="E196" s="194" t="str">
        <f t="shared" si="8"/>
        <v>6</v>
      </c>
      <c r="F196" s="195">
        <f t="shared" si="20"/>
        <v>45468</v>
      </c>
      <c r="G196" s="196" t="str">
        <f t="shared" si="9"/>
        <v>Tue</v>
      </c>
      <c r="H196" s="197"/>
      <c r="I196" s="208"/>
      <c r="J196" s="209">
        <v>90650</v>
      </c>
      <c r="K196" s="136"/>
      <c r="L196" s="104">
        <f t="shared" si="199"/>
        <v>90920.969072164953</v>
      </c>
      <c r="M196" s="105">
        <f t="shared" si="11"/>
        <v>-270.9690721649531</v>
      </c>
      <c r="N196" s="106">
        <f t="shared" si="12"/>
        <v>0.99701972960770047</v>
      </c>
      <c r="O196" s="200"/>
      <c r="P196" s="170">
        <f t="shared" si="201"/>
        <v>1909340.3505154641</v>
      </c>
      <c r="Q196" s="104">
        <f t="shared" si="202"/>
        <v>2420100</v>
      </c>
      <c r="R196" s="108">
        <f t="shared" si="13"/>
        <v>510759.64948453591</v>
      </c>
      <c r="S196" s="106">
        <f t="shared" si="14"/>
        <v>1.267505816522783</v>
      </c>
      <c r="T196" s="133"/>
      <c r="U196" s="104">
        <f t="shared" si="23"/>
        <v>13668452.35051544</v>
      </c>
      <c r="V196" s="104">
        <f t="shared" si="24"/>
        <v>14728950</v>
      </c>
      <c r="W196" s="108">
        <f t="shared" si="15"/>
        <v>1060497.6494845599</v>
      </c>
      <c r="X196" s="106">
        <f t="shared" si="16"/>
        <v>1.0775872514523979</v>
      </c>
      <c r="Y196" s="39"/>
      <c r="Z196" s="202">
        <f t="shared" ref="Z196:AA196" si="226">Z195+1</f>
        <v>45468</v>
      </c>
      <c r="AA196" s="203">
        <f t="shared" si="226"/>
        <v>45468</v>
      </c>
      <c r="AB196" s="204">
        <v>45468</v>
      </c>
      <c r="AC196" s="39"/>
      <c r="AD196" s="39"/>
      <c r="AE196" s="39"/>
      <c r="AF196" s="39"/>
      <c r="AG196" s="114"/>
      <c r="AH196" s="39"/>
      <c r="AI196" s="39"/>
      <c r="AJ196" s="39"/>
      <c r="AK196" s="39"/>
      <c r="AL196" s="39"/>
      <c r="AM196" s="39"/>
      <c r="AN196" s="39"/>
    </row>
    <row r="197" spans="1:40" ht="16.5" customHeight="1">
      <c r="A197" s="39"/>
      <c r="B197" s="50"/>
      <c r="C197" s="95">
        <f t="shared" si="19"/>
        <v>178</v>
      </c>
      <c r="D197" s="96">
        <v>1</v>
      </c>
      <c r="E197" s="194" t="str">
        <f t="shared" si="8"/>
        <v>6</v>
      </c>
      <c r="F197" s="195">
        <f t="shared" si="20"/>
        <v>45469</v>
      </c>
      <c r="G197" s="196" t="str">
        <f t="shared" si="9"/>
        <v>Wed</v>
      </c>
      <c r="H197" s="197"/>
      <c r="I197" s="208"/>
      <c r="J197" s="209">
        <v>153900</v>
      </c>
      <c r="K197" s="136"/>
      <c r="L197" s="104">
        <f t="shared" si="199"/>
        <v>90920.969072164953</v>
      </c>
      <c r="M197" s="105">
        <f t="shared" si="11"/>
        <v>62979.030927835047</v>
      </c>
      <c r="N197" s="106">
        <f t="shared" si="12"/>
        <v>1.6926788349324335</v>
      </c>
      <c r="O197" s="200"/>
      <c r="P197" s="170">
        <f t="shared" si="201"/>
        <v>2000261.3195876291</v>
      </c>
      <c r="Q197" s="104">
        <f t="shared" si="202"/>
        <v>2574000</v>
      </c>
      <c r="R197" s="108">
        <f t="shared" si="13"/>
        <v>573738.68041237094</v>
      </c>
      <c r="S197" s="106">
        <f t="shared" si="14"/>
        <v>1.2868318628141306</v>
      </c>
      <c r="T197" s="133"/>
      <c r="U197" s="104">
        <f t="shared" si="23"/>
        <v>13759373.319587605</v>
      </c>
      <c r="V197" s="104">
        <f t="shared" si="24"/>
        <v>14882850</v>
      </c>
      <c r="W197" s="108">
        <f t="shared" si="15"/>
        <v>1123476.6804123949</v>
      </c>
      <c r="X197" s="106">
        <f t="shared" si="16"/>
        <v>1.0816517332815612</v>
      </c>
      <c r="Y197" s="39"/>
      <c r="Z197" s="202">
        <f t="shared" ref="Z197:AA197" si="227">Z196+1</f>
        <v>45469</v>
      </c>
      <c r="AA197" s="203">
        <f t="shared" si="227"/>
        <v>45469</v>
      </c>
      <c r="AB197" s="204">
        <v>45469</v>
      </c>
      <c r="AC197" s="39"/>
      <c r="AD197" s="39"/>
      <c r="AE197" s="39"/>
      <c r="AF197" s="39"/>
      <c r="AG197" s="114"/>
      <c r="AH197" s="39"/>
      <c r="AI197" s="39"/>
      <c r="AJ197" s="39"/>
      <c r="AK197" s="39"/>
      <c r="AL197" s="39"/>
      <c r="AM197" s="39"/>
      <c r="AN197" s="39"/>
    </row>
    <row r="198" spans="1:40" ht="16.5" customHeight="1">
      <c r="A198" s="39"/>
      <c r="B198" s="50"/>
      <c r="C198" s="95">
        <f t="shared" si="19"/>
        <v>179</v>
      </c>
      <c r="D198" s="96">
        <v>1</v>
      </c>
      <c r="E198" s="194" t="str">
        <f t="shared" si="8"/>
        <v>6</v>
      </c>
      <c r="F198" s="195">
        <f t="shared" si="20"/>
        <v>45470</v>
      </c>
      <c r="G198" s="196" t="str">
        <f t="shared" si="9"/>
        <v>Thu</v>
      </c>
      <c r="H198" s="197"/>
      <c r="I198" s="208"/>
      <c r="J198" s="209">
        <v>131800</v>
      </c>
      <c r="K198" s="136"/>
      <c r="L198" s="104">
        <f t="shared" si="199"/>
        <v>90920.969072164953</v>
      </c>
      <c r="M198" s="105">
        <f t="shared" si="11"/>
        <v>40879.030927835047</v>
      </c>
      <c r="N198" s="106">
        <f t="shared" si="12"/>
        <v>1.4496105941786532</v>
      </c>
      <c r="O198" s="200"/>
      <c r="P198" s="170">
        <f t="shared" si="201"/>
        <v>2091182.288659794</v>
      </c>
      <c r="Q198" s="104">
        <f t="shared" si="202"/>
        <v>2705800</v>
      </c>
      <c r="R198" s="108">
        <f t="shared" si="13"/>
        <v>614617.71134020598</v>
      </c>
      <c r="S198" s="106">
        <f t="shared" si="14"/>
        <v>1.2939091989604143</v>
      </c>
      <c r="T198" s="133"/>
      <c r="U198" s="104">
        <f t="shared" si="23"/>
        <v>13850294.28865977</v>
      </c>
      <c r="V198" s="104">
        <f t="shared" si="24"/>
        <v>15014650</v>
      </c>
      <c r="W198" s="108">
        <f t="shared" si="15"/>
        <v>1164355.71134023</v>
      </c>
      <c r="X198" s="106">
        <f t="shared" si="16"/>
        <v>1.0840672181452182</v>
      </c>
      <c r="Y198" s="39"/>
      <c r="Z198" s="202">
        <f t="shared" ref="Z198:AA198" si="228">Z197+1</f>
        <v>45470</v>
      </c>
      <c r="AA198" s="203">
        <f t="shared" si="228"/>
        <v>45470</v>
      </c>
      <c r="AB198" s="204">
        <v>45470</v>
      </c>
      <c r="AC198" s="39"/>
      <c r="AD198" s="39"/>
      <c r="AE198" s="39"/>
      <c r="AF198" s="39"/>
      <c r="AG198" s="114"/>
      <c r="AH198" s="39"/>
      <c r="AI198" s="39"/>
      <c r="AJ198" s="39"/>
      <c r="AK198" s="39"/>
      <c r="AL198" s="39"/>
      <c r="AM198" s="39"/>
      <c r="AN198" s="39"/>
    </row>
    <row r="199" spans="1:40" ht="16.5" customHeight="1">
      <c r="A199" s="39"/>
      <c r="B199" s="50"/>
      <c r="C199" s="95">
        <f t="shared" si="19"/>
        <v>180</v>
      </c>
      <c r="D199" s="96">
        <v>1</v>
      </c>
      <c r="E199" s="194" t="str">
        <f t="shared" si="8"/>
        <v>6</v>
      </c>
      <c r="F199" s="195">
        <f t="shared" si="20"/>
        <v>45471</v>
      </c>
      <c r="G199" s="196" t="str">
        <f t="shared" si="9"/>
        <v>Fri</v>
      </c>
      <c r="H199" s="197"/>
      <c r="I199" s="208"/>
      <c r="J199" s="209">
        <v>196150</v>
      </c>
      <c r="K199" s="136"/>
      <c r="L199" s="104">
        <f t="shared" si="199"/>
        <v>90920.969072164953</v>
      </c>
      <c r="M199" s="105">
        <f t="shared" si="11"/>
        <v>105229.03092783505</v>
      </c>
      <c r="N199" s="106">
        <f t="shared" si="12"/>
        <v>2.1573681187264251</v>
      </c>
      <c r="O199" s="200"/>
      <c r="P199" s="170">
        <f t="shared" si="201"/>
        <v>2182103.2577319588</v>
      </c>
      <c r="Q199" s="104">
        <f t="shared" si="202"/>
        <v>2901950</v>
      </c>
      <c r="R199" s="108">
        <f t="shared" si="13"/>
        <v>719846.74226804124</v>
      </c>
      <c r="S199" s="106">
        <f t="shared" si="14"/>
        <v>1.3298866539506649</v>
      </c>
      <c r="T199" s="133"/>
      <c r="U199" s="104">
        <f t="shared" si="23"/>
        <v>13941215.257731935</v>
      </c>
      <c r="V199" s="104">
        <f t="shared" si="24"/>
        <v>15210800</v>
      </c>
      <c r="W199" s="108">
        <f t="shared" si="15"/>
        <v>1269584.742268065</v>
      </c>
      <c r="X199" s="106">
        <f t="shared" si="16"/>
        <v>1.0910670066272694</v>
      </c>
      <c r="Y199" s="39"/>
      <c r="Z199" s="202">
        <f t="shared" ref="Z199:AA199" si="229">Z198+1</f>
        <v>45471</v>
      </c>
      <c r="AA199" s="203">
        <f t="shared" si="229"/>
        <v>45471</v>
      </c>
      <c r="AB199" s="204">
        <v>45471</v>
      </c>
      <c r="AC199" s="39"/>
      <c r="AD199" s="39"/>
      <c r="AE199" s="39"/>
      <c r="AF199" s="39"/>
      <c r="AG199" s="114"/>
      <c r="AH199" s="39"/>
      <c r="AI199" s="39"/>
      <c r="AJ199" s="39"/>
      <c r="AK199" s="39"/>
      <c r="AL199" s="39"/>
      <c r="AM199" s="39"/>
      <c r="AN199" s="39"/>
    </row>
    <row r="200" spans="1:40" ht="16.5" customHeight="1">
      <c r="A200" s="39"/>
      <c r="B200" s="50"/>
      <c r="C200" s="95">
        <f t="shared" si="19"/>
        <v>181</v>
      </c>
      <c r="D200" s="96">
        <v>1</v>
      </c>
      <c r="E200" s="194" t="str">
        <f t="shared" si="8"/>
        <v>6</v>
      </c>
      <c r="F200" s="195">
        <f t="shared" si="20"/>
        <v>45472</v>
      </c>
      <c r="G200" s="196" t="str">
        <f t="shared" si="9"/>
        <v>Sat</v>
      </c>
      <c r="H200" s="197"/>
      <c r="I200" s="208"/>
      <c r="J200" s="209">
        <v>93350</v>
      </c>
      <c r="K200" s="136"/>
      <c r="L200" s="104">
        <f t="shared" si="199"/>
        <v>90920.969072164953</v>
      </c>
      <c r="M200" s="105">
        <f t="shared" si="11"/>
        <v>2429.0309278350469</v>
      </c>
      <c r="N200" s="106">
        <f t="shared" si="12"/>
        <v>1.0267158495187958</v>
      </c>
      <c r="O200" s="200"/>
      <c r="P200" s="170">
        <f t="shared" si="201"/>
        <v>2273024.2268041237</v>
      </c>
      <c r="Q200" s="104">
        <f t="shared" si="202"/>
        <v>2995300</v>
      </c>
      <c r="R200" s="108">
        <f t="shared" si="13"/>
        <v>722275.77319587627</v>
      </c>
      <c r="S200" s="106">
        <f t="shared" si="14"/>
        <v>1.3177598217733901</v>
      </c>
      <c r="T200" s="134"/>
      <c r="U200" s="104">
        <f t="shared" si="23"/>
        <v>14032136.2268041</v>
      </c>
      <c r="V200" s="104">
        <f t="shared" si="24"/>
        <v>15304150</v>
      </c>
      <c r="W200" s="108">
        <f t="shared" si="15"/>
        <v>1272013.7731959</v>
      </c>
      <c r="X200" s="106">
        <f t="shared" si="16"/>
        <v>1.090650044486178</v>
      </c>
      <c r="Y200" s="39"/>
      <c r="Z200" s="202">
        <f t="shared" ref="Z200:AA200" si="230">Z199+1</f>
        <v>45472</v>
      </c>
      <c r="AA200" s="203">
        <f t="shared" si="230"/>
        <v>45472</v>
      </c>
      <c r="AB200" s="204">
        <v>45472</v>
      </c>
      <c r="AC200" s="39"/>
      <c r="AD200" s="39"/>
      <c r="AE200" s="39"/>
      <c r="AF200" s="39"/>
      <c r="AG200" s="114"/>
      <c r="AH200" s="39"/>
      <c r="AI200" s="39"/>
      <c r="AJ200" s="39"/>
      <c r="AK200" s="39"/>
      <c r="AL200" s="39"/>
      <c r="AM200" s="39"/>
      <c r="AN200" s="39"/>
    </row>
    <row r="201" spans="1:40" ht="16.5" customHeight="1">
      <c r="A201" s="39"/>
      <c r="B201" s="50"/>
      <c r="C201" s="160">
        <f t="shared" si="19"/>
        <v>182</v>
      </c>
      <c r="D201" s="138">
        <v>1</v>
      </c>
      <c r="E201" s="210" t="str">
        <f t="shared" si="8"/>
        <v>6</v>
      </c>
      <c r="F201" s="211">
        <f t="shared" si="20"/>
        <v>45473</v>
      </c>
      <c r="G201" s="212" t="str">
        <f t="shared" si="9"/>
        <v>Sun</v>
      </c>
      <c r="H201" s="213" t="s">
        <v>157</v>
      </c>
      <c r="I201" s="214"/>
      <c r="J201" s="215">
        <v>68900</v>
      </c>
      <c r="K201" s="136"/>
      <c r="L201" s="165">
        <f t="shared" si="199"/>
        <v>90920.969072164953</v>
      </c>
      <c r="M201" s="147">
        <f t="shared" si="11"/>
        <v>-22020.969072164953</v>
      </c>
      <c r="N201" s="161">
        <f t="shared" si="12"/>
        <v>0.75780098587943256</v>
      </c>
      <c r="O201" s="216"/>
      <c r="P201" s="150">
        <f t="shared" si="201"/>
        <v>2363945.1958762887</v>
      </c>
      <c r="Q201" s="165">
        <f t="shared" si="202"/>
        <v>3064200</v>
      </c>
      <c r="R201" s="167">
        <f t="shared" si="13"/>
        <v>700254.80412371131</v>
      </c>
      <c r="S201" s="161">
        <f t="shared" si="14"/>
        <v>1.2962229434697763</v>
      </c>
      <c r="T201" s="149"/>
      <c r="U201" s="165">
        <f t="shared" si="23"/>
        <v>14123057.195876265</v>
      </c>
      <c r="V201" s="165">
        <f t="shared" si="24"/>
        <v>15373050</v>
      </c>
      <c r="W201" s="167">
        <f t="shared" si="15"/>
        <v>1249992.8041237351</v>
      </c>
      <c r="X201" s="161">
        <f t="shared" si="16"/>
        <v>1.0885072393878512</v>
      </c>
      <c r="Y201" s="39"/>
      <c r="Z201" s="202">
        <f t="shared" ref="Z201:AA201" si="231">Z200+1</f>
        <v>45473</v>
      </c>
      <c r="AA201" s="203">
        <f t="shared" si="231"/>
        <v>45473</v>
      </c>
      <c r="AB201" s="204">
        <v>45473</v>
      </c>
      <c r="AC201" s="39"/>
      <c r="AD201" s="39"/>
      <c r="AE201" s="39"/>
      <c r="AF201" s="39"/>
      <c r="AG201" s="114"/>
      <c r="AH201" s="39"/>
      <c r="AI201" s="39"/>
      <c r="AJ201" s="39"/>
      <c r="AK201" s="39"/>
      <c r="AL201" s="39"/>
      <c r="AM201" s="39"/>
      <c r="AN201" s="39"/>
    </row>
    <row r="202" spans="1:40" ht="16.5" customHeight="1">
      <c r="A202" s="39"/>
      <c r="B202" s="50"/>
      <c r="C202" s="95">
        <f t="shared" si="19"/>
        <v>183</v>
      </c>
      <c r="D202" s="155">
        <v>0</v>
      </c>
      <c r="E202" s="194" t="str">
        <f t="shared" si="8"/>
        <v>7</v>
      </c>
      <c r="F202" s="195">
        <f t="shared" si="20"/>
        <v>45474</v>
      </c>
      <c r="G202" s="196" t="str">
        <f t="shared" si="9"/>
        <v>Mon</v>
      </c>
      <c r="H202" s="197"/>
      <c r="I202" s="208"/>
      <c r="J202" s="209"/>
      <c r="K202" s="136"/>
      <c r="L202" s="104">
        <f t="shared" ref="L202:L232" si="232">IF(D202=0,0,$K$12)</f>
        <v>0</v>
      </c>
      <c r="M202" s="108">
        <f t="shared" si="11"/>
        <v>0</v>
      </c>
      <c r="N202" s="156" t="str">
        <f t="shared" si="12"/>
        <v>0%</v>
      </c>
      <c r="O202" s="200"/>
      <c r="P202" s="111">
        <f>IF(D202=0,0,$L$202)</f>
        <v>0</v>
      </c>
      <c r="Q202" s="104">
        <f>IF(D202=0,0,$J$202)</f>
        <v>0</v>
      </c>
      <c r="R202" s="108">
        <f t="shared" si="13"/>
        <v>0</v>
      </c>
      <c r="S202" s="156" t="str">
        <f t="shared" si="14"/>
        <v>0%</v>
      </c>
      <c r="T202" s="133"/>
      <c r="U202" s="104">
        <f t="shared" si="23"/>
        <v>0</v>
      </c>
      <c r="V202" s="104">
        <f t="shared" si="24"/>
        <v>0</v>
      </c>
      <c r="W202" s="108">
        <f t="shared" si="15"/>
        <v>0</v>
      </c>
      <c r="X202" s="156" t="str">
        <f t="shared" si="16"/>
        <v>0%</v>
      </c>
      <c r="Y202" s="39"/>
      <c r="Z202" s="202">
        <f t="shared" ref="Z202:AA202" si="233">Z201+1</f>
        <v>45474</v>
      </c>
      <c r="AA202" s="203">
        <f t="shared" si="233"/>
        <v>45474</v>
      </c>
      <c r="AB202" s="204">
        <v>45474</v>
      </c>
      <c r="AC202" s="39"/>
      <c r="AD202" s="39"/>
      <c r="AE202" s="39"/>
      <c r="AF202" s="39"/>
      <c r="AG202" s="114"/>
      <c r="AH202" s="39"/>
      <c r="AI202" s="39"/>
      <c r="AJ202" s="39"/>
      <c r="AK202" s="39"/>
      <c r="AL202" s="39"/>
      <c r="AM202" s="39"/>
      <c r="AN202" s="39"/>
    </row>
    <row r="203" spans="1:40" ht="16.5" customHeight="1">
      <c r="A203" s="39"/>
      <c r="B203" s="50"/>
      <c r="C203" s="95">
        <f t="shared" si="19"/>
        <v>184</v>
      </c>
      <c r="D203" s="96">
        <v>1</v>
      </c>
      <c r="E203" s="194" t="str">
        <f t="shared" si="8"/>
        <v>7</v>
      </c>
      <c r="F203" s="195">
        <f t="shared" si="20"/>
        <v>45475</v>
      </c>
      <c r="G203" s="196" t="str">
        <f t="shared" si="9"/>
        <v>Tue</v>
      </c>
      <c r="H203" s="197"/>
      <c r="I203" s="208"/>
      <c r="J203" s="209">
        <v>90650</v>
      </c>
      <c r="K203" s="136"/>
      <c r="L203" s="104">
        <f t="shared" si="232"/>
        <v>95972.134020618556</v>
      </c>
      <c r="M203" s="105">
        <f t="shared" si="11"/>
        <v>-5322.134020618556</v>
      </c>
      <c r="N203" s="106">
        <f t="shared" si="12"/>
        <v>0.94454500699676891</v>
      </c>
      <c r="O203" s="200"/>
      <c r="P203" s="170">
        <f t="shared" ref="P203:P232" si="234">IF(D203=0,0,SUM($L$202:L203))</f>
        <v>95972.134020618556</v>
      </c>
      <c r="Q203" s="104">
        <f t="shared" ref="Q203:Q232" si="235">IF(D203=0,0,SUM($J$202:J203))</f>
        <v>90650</v>
      </c>
      <c r="R203" s="108">
        <f t="shared" si="13"/>
        <v>-5322.134020618556</v>
      </c>
      <c r="S203" s="106">
        <f t="shared" si="14"/>
        <v>0.94454500699676891</v>
      </c>
      <c r="T203" s="133"/>
      <c r="U203" s="104">
        <f t="shared" si="23"/>
        <v>14219029.329896884</v>
      </c>
      <c r="V203" s="104">
        <f t="shared" si="24"/>
        <v>15463700</v>
      </c>
      <c r="W203" s="108">
        <f t="shared" si="15"/>
        <v>1244670.670103116</v>
      </c>
      <c r="X203" s="106">
        <f t="shared" si="16"/>
        <v>1.0875355582456023</v>
      </c>
      <c r="Y203" s="39"/>
      <c r="Z203" s="202">
        <f t="shared" ref="Z203:AA203" si="236">Z202+1</f>
        <v>45475</v>
      </c>
      <c r="AA203" s="203">
        <f t="shared" si="236"/>
        <v>45475</v>
      </c>
      <c r="AB203" s="204">
        <v>45475</v>
      </c>
      <c r="AC203" s="39"/>
      <c r="AD203" s="39"/>
      <c r="AE203" s="39"/>
      <c r="AF203" s="39"/>
      <c r="AG203" s="114"/>
      <c r="AH203" s="39"/>
      <c r="AI203" s="39"/>
      <c r="AJ203" s="39"/>
      <c r="AK203" s="39"/>
      <c r="AL203" s="39"/>
      <c r="AM203" s="39"/>
      <c r="AN203" s="39"/>
    </row>
    <row r="204" spans="1:40" ht="16.5" customHeight="1">
      <c r="A204" s="39"/>
      <c r="B204" s="50"/>
      <c r="C204" s="95">
        <f t="shared" si="19"/>
        <v>185</v>
      </c>
      <c r="D204" s="96">
        <v>1</v>
      </c>
      <c r="E204" s="194" t="str">
        <f t="shared" si="8"/>
        <v>7</v>
      </c>
      <c r="F204" s="195">
        <f t="shared" si="20"/>
        <v>45476</v>
      </c>
      <c r="G204" s="196" t="str">
        <f t="shared" si="9"/>
        <v>Wed</v>
      </c>
      <c r="H204" s="197"/>
      <c r="I204" s="208"/>
      <c r="J204" s="209">
        <v>73700</v>
      </c>
      <c r="K204" s="136"/>
      <c r="L204" s="104">
        <f t="shared" si="232"/>
        <v>95972.134020618556</v>
      </c>
      <c r="M204" s="105">
        <f t="shared" si="11"/>
        <v>-22272.134020618556</v>
      </c>
      <c r="N204" s="106">
        <f t="shared" si="12"/>
        <v>0.76793124120972833</v>
      </c>
      <c r="O204" s="200"/>
      <c r="P204" s="170">
        <f t="shared" si="234"/>
        <v>191944.26804123711</v>
      </c>
      <c r="Q204" s="104">
        <f t="shared" si="235"/>
        <v>164350</v>
      </c>
      <c r="R204" s="108">
        <f t="shared" si="13"/>
        <v>-27594.268041237112</v>
      </c>
      <c r="S204" s="106">
        <f t="shared" si="14"/>
        <v>0.85623812410324862</v>
      </c>
      <c r="T204" s="133"/>
      <c r="U204" s="104">
        <f t="shared" si="23"/>
        <v>14315001.463917503</v>
      </c>
      <c r="V204" s="104">
        <f t="shared" si="24"/>
        <v>15537400</v>
      </c>
      <c r="W204" s="108">
        <f t="shared" si="15"/>
        <v>1222398.5360824969</v>
      </c>
      <c r="X204" s="106">
        <f t="shared" si="16"/>
        <v>1.0853928334666039</v>
      </c>
      <c r="Y204" s="39"/>
      <c r="Z204" s="202">
        <f t="shared" ref="Z204:AA204" si="237">Z203+1</f>
        <v>45476</v>
      </c>
      <c r="AA204" s="203">
        <f t="shared" si="237"/>
        <v>45476</v>
      </c>
      <c r="AB204" s="204">
        <v>45476</v>
      </c>
      <c r="AC204" s="39"/>
      <c r="AD204" s="39"/>
      <c r="AE204" s="39"/>
      <c r="AF204" s="39"/>
      <c r="AG204" s="114"/>
      <c r="AH204" s="39"/>
      <c r="AI204" s="39"/>
      <c r="AJ204" s="39"/>
      <c r="AK204" s="39"/>
      <c r="AL204" s="39"/>
      <c r="AM204" s="39"/>
      <c r="AN204" s="39"/>
    </row>
    <row r="205" spans="1:40" ht="16.5" customHeight="1">
      <c r="A205" s="39"/>
      <c r="B205" s="50"/>
      <c r="C205" s="95">
        <f t="shared" si="19"/>
        <v>186</v>
      </c>
      <c r="D205" s="96">
        <v>1</v>
      </c>
      <c r="E205" s="194" t="str">
        <f t="shared" si="8"/>
        <v>7</v>
      </c>
      <c r="F205" s="195">
        <f t="shared" si="20"/>
        <v>45477</v>
      </c>
      <c r="G205" s="196" t="str">
        <f t="shared" si="9"/>
        <v>Thu</v>
      </c>
      <c r="H205" s="197"/>
      <c r="I205" s="208"/>
      <c r="J205" s="209">
        <v>49050</v>
      </c>
      <c r="K205" s="136"/>
      <c r="L205" s="104">
        <f t="shared" si="232"/>
        <v>95972.134020618556</v>
      </c>
      <c r="M205" s="105">
        <f t="shared" si="11"/>
        <v>-46922.134020618556</v>
      </c>
      <c r="N205" s="106">
        <f t="shared" si="12"/>
        <v>0.51108585320674593</v>
      </c>
      <c r="O205" s="200"/>
      <c r="P205" s="170">
        <f t="shared" si="234"/>
        <v>287916.40206185565</v>
      </c>
      <c r="Q205" s="104">
        <f t="shared" si="235"/>
        <v>213400</v>
      </c>
      <c r="R205" s="108">
        <f t="shared" si="13"/>
        <v>-74516.402061855653</v>
      </c>
      <c r="S205" s="106">
        <f t="shared" si="14"/>
        <v>0.7411873671377478</v>
      </c>
      <c r="T205" s="133"/>
      <c r="U205" s="104">
        <f t="shared" si="23"/>
        <v>14410973.597938122</v>
      </c>
      <c r="V205" s="104">
        <f t="shared" si="24"/>
        <v>15586450</v>
      </c>
      <c r="W205" s="108">
        <f t="shared" si="15"/>
        <v>1175476.4020618778</v>
      </c>
      <c r="X205" s="106">
        <f t="shared" si="16"/>
        <v>1.0815681462514137</v>
      </c>
      <c r="Y205" s="39"/>
      <c r="Z205" s="202">
        <f t="shared" ref="Z205:AA205" si="238">Z204+1</f>
        <v>45477</v>
      </c>
      <c r="AA205" s="203">
        <f t="shared" si="238"/>
        <v>45477</v>
      </c>
      <c r="AB205" s="204">
        <v>45477</v>
      </c>
      <c r="AC205" s="39"/>
      <c r="AD205" s="39"/>
      <c r="AE205" s="39"/>
      <c r="AF205" s="39"/>
      <c r="AG205" s="114"/>
      <c r="AH205" s="39"/>
      <c r="AI205" s="39"/>
      <c r="AJ205" s="39"/>
      <c r="AK205" s="39"/>
      <c r="AL205" s="39"/>
      <c r="AM205" s="39"/>
      <c r="AN205" s="39"/>
    </row>
    <row r="206" spans="1:40" ht="16.5" customHeight="1">
      <c r="A206" s="39"/>
      <c r="B206" s="50"/>
      <c r="C206" s="95">
        <f t="shared" si="19"/>
        <v>187</v>
      </c>
      <c r="D206" s="96">
        <v>1</v>
      </c>
      <c r="E206" s="194" t="str">
        <f t="shared" si="8"/>
        <v>7</v>
      </c>
      <c r="F206" s="195">
        <f t="shared" si="20"/>
        <v>45478</v>
      </c>
      <c r="G206" s="196" t="str">
        <f t="shared" si="9"/>
        <v>Fri</v>
      </c>
      <c r="H206" s="197"/>
      <c r="I206" s="208"/>
      <c r="J206" s="209">
        <v>167950</v>
      </c>
      <c r="K206" s="136"/>
      <c r="L206" s="104">
        <f t="shared" si="232"/>
        <v>95972.134020618556</v>
      </c>
      <c r="M206" s="105">
        <f t="shared" si="11"/>
        <v>71977.865979381444</v>
      </c>
      <c r="N206" s="106">
        <f t="shared" si="12"/>
        <v>1.7499871365152493</v>
      </c>
      <c r="O206" s="200"/>
      <c r="P206" s="170">
        <f t="shared" si="234"/>
        <v>383888.53608247422</v>
      </c>
      <c r="Q206" s="104">
        <f t="shared" si="235"/>
        <v>381350</v>
      </c>
      <c r="R206" s="108">
        <f t="shared" si="13"/>
        <v>-2538.5360824742238</v>
      </c>
      <c r="S206" s="106">
        <f t="shared" si="14"/>
        <v>0.99338730948212306</v>
      </c>
      <c r="T206" s="133"/>
      <c r="U206" s="104">
        <f t="shared" si="23"/>
        <v>14506945.731958741</v>
      </c>
      <c r="V206" s="104">
        <f t="shared" si="24"/>
        <v>15754400</v>
      </c>
      <c r="W206" s="108">
        <f t="shared" si="15"/>
        <v>1247454.2680412587</v>
      </c>
      <c r="X206" s="106">
        <f t="shared" si="16"/>
        <v>1.0859901381786465</v>
      </c>
      <c r="Y206" s="39"/>
      <c r="Z206" s="202">
        <f t="shared" ref="Z206:AA206" si="239">Z205+1</f>
        <v>45478</v>
      </c>
      <c r="AA206" s="203">
        <f t="shared" si="239"/>
        <v>45478</v>
      </c>
      <c r="AB206" s="204">
        <v>45478</v>
      </c>
      <c r="AC206" s="39"/>
      <c r="AD206" s="39"/>
      <c r="AE206" s="39"/>
      <c r="AF206" s="39"/>
      <c r="AG206" s="114"/>
      <c r="AH206" s="39"/>
      <c r="AI206" s="39"/>
      <c r="AJ206" s="39"/>
      <c r="AK206" s="39"/>
      <c r="AL206" s="39"/>
      <c r="AM206" s="39"/>
      <c r="AN206" s="39"/>
    </row>
    <row r="207" spans="1:40" ht="16.5" customHeight="1">
      <c r="A207" s="39"/>
      <c r="B207" s="50"/>
      <c r="C207" s="95">
        <f t="shared" si="19"/>
        <v>188</v>
      </c>
      <c r="D207" s="96">
        <v>1</v>
      </c>
      <c r="E207" s="194" t="str">
        <f t="shared" si="8"/>
        <v>7</v>
      </c>
      <c r="F207" s="195">
        <f t="shared" si="20"/>
        <v>45479</v>
      </c>
      <c r="G207" s="196" t="str">
        <f t="shared" si="9"/>
        <v>Sat</v>
      </c>
      <c r="H207" s="197"/>
      <c r="I207" s="208"/>
      <c r="J207" s="209">
        <v>136150</v>
      </c>
      <c r="K207" s="136"/>
      <c r="L207" s="104">
        <f t="shared" si="232"/>
        <v>95972.134020618556</v>
      </c>
      <c r="M207" s="105">
        <f t="shared" si="11"/>
        <v>40177.865979381444</v>
      </c>
      <c r="N207" s="106">
        <f t="shared" si="12"/>
        <v>1.4186409564546065</v>
      </c>
      <c r="O207" s="200"/>
      <c r="P207" s="170">
        <f t="shared" si="234"/>
        <v>479860.67010309279</v>
      </c>
      <c r="Q207" s="104">
        <f t="shared" si="235"/>
        <v>517500</v>
      </c>
      <c r="R207" s="108">
        <f t="shared" si="13"/>
        <v>37639.329896907206</v>
      </c>
      <c r="S207" s="106">
        <f t="shared" si="14"/>
        <v>1.0784380388766197</v>
      </c>
      <c r="T207" s="134"/>
      <c r="U207" s="104">
        <f t="shared" si="23"/>
        <v>14602917.86597936</v>
      </c>
      <c r="V207" s="104">
        <f t="shared" si="24"/>
        <v>15890550</v>
      </c>
      <c r="W207" s="108">
        <f t="shared" si="15"/>
        <v>1287632.1340206396</v>
      </c>
      <c r="X207" s="106">
        <f t="shared" si="16"/>
        <v>1.0881763593987237</v>
      </c>
      <c r="Y207" s="39"/>
      <c r="Z207" s="202">
        <f t="shared" ref="Z207:AA207" si="240">Z206+1</f>
        <v>45479</v>
      </c>
      <c r="AA207" s="203">
        <f t="shared" si="240"/>
        <v>45479</v>
      </c>
      <c r="AB207" s="204">
        <v>45479</v>
      </c>
      <c r="AC207" s="39"/>
      <c r="AD207" s="39"/>
      <c r="AE207" s="39"/>
      <c r="AF207" s="39"/>
      <c r="AG207" s="114"/>
      <c r="AH207" s="39"/>
      <c r="AI207" s="39"/>
      <c r="AJ207" s="39"/>
      <c r="AK207" s="39"/>
      <c r="AL207" s="39"/>
      <c r="AM207" s="39"/>
      <c r="AN207" s="39"/>
    </row>
    <row r="208" spans="1:40" ht="16.5" customHeight="1">
      <c r="A208" s="39"/>
      <c r="B208" s="50"/>
      <c r="C208" s="95">
        <f t="shared" si="19"/>
        <v>189</v>
      </c>
      <c r="D208" s="96">
        <v>1</v>
      </c>
      <c r="E208" s="194" t="str">
        <f t="shared" si="8"/>
        <v>7</v>
      </c>
      <c r="F208" s="195">
        <f t="shared" si="20"/>
        <v>45480</v>
      </c>
      <c r="G208" s="196" t="str">
        <f t="shared" si="9"/>
        <v>Sun</v>
      </c>
      <c r="H208" s="197" t="s">
        <v>157</v>
      </c>
      <c r="I208" s="208"/>
      <c r="J208" s="209">
        <v>167050</v>
      </c>
      <c r="K208" s="136"/>
      <c r="L208" s="104">
        <f t="shared" si="232"/>
        <v>95972.134020618556</v>
      </c>
      <c r="M208" s="105">
        <f t="shared" si="11"/>
        <v>71077.865979381444</v>
      </c>
      <c r="N208" s="106">
        <f t="shared" si="12"/>
        <v>1.7406094144380613</v>
      </c>
      <c r="O208" s="200"/>
      <c r="P208" s="170">
        <f t="shared" si="234"/>
        <v>575832.80412371131</v>
      </c>
      <c r="Q208" s="104">
        <f t="shared" si="235"/>
        <v>684550</v>
      </c>
      <c r="R208" s="108">
        <f t="shared" si="13"/>
        <v>108717.19587628869</v>
      </c>
      <c r="S208" s="106">
        <f t="shared" si="14"/>
        <v>1.1887999348035267</v>
      </c>
      <c r="T208" s="133"/>
      <c r="U208" s="104">
        <f t="shared" si="23"/>
        <v>14698889.99999998</v>
      </c>
      <c r="V208" s="104">
        <f t="shared" si="24"/>
        <v>16057600</v>
      </c>
      <c r="W208" s="108">
        <f t="shared" si="15"/>
        <v>1358710.0000000205</v>
      </c>
      <c r="X208" s="106">
        <f t="shared" si="16"/>
        <v>1.092436231579393</v>
      </c>
      <c r="Y208" s="39"/>
      <c r="Z208" s="202">
        <f t="shared" ref="Z208:AA208" si="241">Z207+1</f>
        <v>45480</v>
      </c>
      <c r="AA208" s="203">
        <f t="shared" si="241"/>
        <v>45480</v>
      </c>
      <c r="AB208" s="204">
        <v>45480</v>
      </c>
      <c r="AC208" s="39"/>
      <c r="AD208" s="39"/>
      <c r="AE208" s="39"/>
      <c r="AF208" s="39"/>
      <c r="AG208" s="114"/>
      <c r="AH208" s="39"/>
      <c r="AI208" s="39"/>
      <c r="AJ208" s="39"/>
      <c r="AK208" s="39"/>
      <c r="AL208" s="39"/>
      <c r="AM208" s="39"/>
      <c r="AN208" s="39"/>
    </row>
    <row r="209" spans="1:40" ht="16.5" customHeight="1">
      <c r="A209" s="39"/>
      <c r="B209" s="50"/>
      <c r="C209" s="95">
        <f t="shared" si="19"/>
        <v>190</v>
      </c>
      <c r="D209" s="96">
        <v>0</v>
      </c>
      <c r="E209" s="194" t="str">
        <f t="shared" si="8"/>
        <v>7</v>
      </c>
      <c r="F209" s="195">
        <f t="shared" si="20"/>
        <v>45481</v>
      </c>
      <c r="G209" s="196" t="str">
        <f t="shared" si="9"/>
        <v>Mon</v>
      </c>
      <c r="H209" s="197"/>
      <c r="I209" s="208"/>
      <c r="J209" s="209"/>
      <c r="K209" s="136"/>
      <c r="L209" s="104">
        <f t="shared" si="232"/>
        <v>0</v>
      </c>
      <c r="M209" s="105">
        <f t="shared" si="11"/>
        <v>0</v>
      </c>
      <c r="N209" s="106" t="str">
        <f t="shared" si="12"/>
        <v>0%</v>
      </c>
      <c r="O209" s="200"/>
      <c r="P209" s="170">
        <f t="shared" si="234"/>
        <v>0</v>
      </c>
      <c r="Q209" s="104">
        <f t="shared" si="235"/>
        <v>0</v>
      </c>
      <c r="R209" s="108">
        <f t="shared" si="13"/>
        <v>0</v>
      </c>
      <c r="S209" s="106" t="str">
        <f t="shared" si="14"/>
        <v>0%</v>
      </c>
      <c r="T209" s="133"/>
      <c r="U209" s="104">
        <f t="shared" si="23"/>
        <v>0</v>
      </c>
      <c r="V209" s="104">
        <f t="shared" si="24"/>
        <v>0</v>
      </c>
      <c r="W209" s="108">
        <f t="shared" si="15"/>
        <v>0</v>
      </c>
      <c r="X209" s="106" t="str">
        <f t="shared" si="16"/>
        <v>0%</v>
      </c>
      <c r="Y209" s="39"/>
      <c r="Z209" s="202">
        <f t="shared" ref="Z209:AA209" si="242">Z208+1</f>
        <v>45481</v>
      </c>
      <c r="AA209" s="203">
        <f t="shared" si="242"/>
        <v>45481</v>
      </c>
      <c r="AB209" s="204">
        <v>45481</v>
      </c>
      <c r="AC209" s="39"/>
      <c r="AD209" s="39"/>
      <c r="AE209" s="39"/>
      <c r="AF209" s="39"/>
      <c r="AG209" s="114"/>
      <c r="AH209" s="39"/>
      <c r="AI209" s="39"/>
      <c r="AJ209" s="39"/>
      <c r="AK209" s="39"/>
      <c r="AL209" s="39"/>
      <c r="AM209" s="39"/>
      <c r="AN209" s="39"/>
    </row>
    <row r="210" spans="1:40" ht="16.5" customHeight="1">
      <c r="A210" s="39"/>
      <c r="B210" s="50"/>
      <c r="C210" s="95">
        <f t="shared" si="19"/>
        <v>191</v>
      </c>
      <c r="D210" s="96">
        <v>1</v>
      </c>
      <c r="E210" s="194" t="str">
        <f t="shared" si="8"/>
        <v>7</v>
      </c>
      <c r="F210" s="195">
        <f t="shared" si="20"/>
        <v>45482</v>
      </c>
      <c r="G210" s="196" t="str">
        <f t="shared" si="9"/>
        <v>Tue</v>
      </c>
      <c r="H210" s="197"/>
      <c r="I210" s="208"/>
      <c r="J210" s="209">
        <v>54350</v>
      </c>
      <c r="K210" s="136"/>
      <c r="L210" s="104">
        <f t="shared" si="232"/>
        <v>95972.134020618556</v>
      </c>
      <c r="M210" s="105">
        <f t="shared" si="11"/>
        <v>-41622.134020618556</v>
      </c>
      <c r="N210" s="106">
        <f t="shared" si="12"/>
        <v>0.56631021655018632</v>
      </c>
      <c r="O210" s="200"/>
      <c r="P210" s="170">
        <f t="shared" si="234"/>
        <v>671804.93814432982</v>
      </c>
      <c r="Q210" s="104">
        <f t="shared" si="235"/>
        <v>738900</v>
      </c>
      <c r="R210" s="108">
        <f t="shared" si="13"/>
        <v>67095.061855670181</v>
      </c>
      <c r="S210" s="106">
        <f t="shared" si="14"/>
        <v>1.0998728321959068</v>
      </c>
      <c r="T210" s="133"/>
      <c r="U210" s="104">
        <f t="shared" si="23"/>
        <v>14794862.134020599</v>
      </c>
      <c r="V210" s="104">
        <f t="shared" si="24"/>
        <v>16111950</v>
      </c>
      <c r="W210" s="108">
        <f t="shared" si="15"/>
        <v>1317087.8659794014</v>
      </c>
      <c r="X210" s="106">
        <f t="shared" si="16"/>
        <v>1.0890233281019073</v>
      </c>
      <c r="Y210" s="39"/>
      <c r="Z210" s="202">
        <f t="shared" ref="Z210:AA210" si="243">Z209+1</f>
        <v>45482</v>
      </c>
      <c r="AA210" s="203">
        <f t="shared" si="243"/>
        <v>45482</v>
      </c>
      <c r="AB210" s="204">
        <v>45482</v>
      </c>
      <c r="AC210" s="39"/>
      <c r="AD210" s="39"/>
      <c r="AE210" s="39"/>
      <c r="AF210" s="39"/>
      <c r="AG210" s="114"/>
      <c r="AH210" s="39"/>
      <c r="AI210" s="39"/>
      <c r="AJ210" s="39"/>
      <c r="AK210" s="39"/>
      <c r="AL210" s="39"/>
      <c r="AM210" s="39"/>
      <c r="AN210" s="39"/>
    </row>
    <row r="211" spans="1:40" ht="16.5" customHeight="1">
      <c r="A211" s="39"/>
      <c r="B211" s="50"/>
      <c r="C211" s="95">
        <f t="shared" si="19"/>
        <v>192</v>
      </c>
      <c r="D211" s="96">
        <v>1</v>
      </c>
      <c r="E211" s="194" t="str">
        <f t="shared" si="8"/>
        <v>7</v>
      </c>
      <c r="F211" s="195">
        <f t="shared" si="20"/>
        <v>45483</v>
      </c>
      <c r="G211" s="196" t="str">
        <f t="shared" si="9"/>
        <v>Wed</v>
      </c>
      <c r="H211" s="197"/>
      <c r="I211" s="208"/>
      <c r="J211" s="209">
        <v>34850</v>
      </c>
      <c r="K211" s="136"/>
      <c r="L211" s="104">
        <f t="shared" si="232"/>
        <v>95972.134020618556</v>
      </c>
      <c r="M211" s="105">
        <f t="shared" si="11"/>
        <v>-61122.134020618556</v>
      </c>
      <c r="N211" s="106">
        <f t="shared" si="12"/>
        <v>0.36312623821111306</v>
      </c>
      <c r="O211" s="200"/>
      <c r="P211" s="170">
        <f t="shared" si="234"/>
        <v>767777.07216494833</v>
      </c>
      <c r="Q211" s="104">
        <f t="shared" si="235"/>
        <v>773750</v>
      </c>
      <c r="R211" s="108">
        <f t="shared" si="13"/>
        <v>5972.9278350516688</v>
      </c>
      <c r="S211" s="106">
        <f t="shared" si="14"/>
        <v>1.0077795079478076</v>
      </c>
      <c r="T211" s="133"/>
      <c r="U211" s="104">
        <f t="shared" si="23"/>
        <v>14890834.268041218</v>
      </c>
      <c r="V211" s="104">
        <f t="shared" si="24"/>
        <v>16146800</v>
      </c>
      <c r="W211" s="108">
        <f t="shared" si="15"/>
        <v>1255965.7319587823</v>
      </c>
      <c r="X211" s="106">
        <f t="shared" si="16"/>
        <v>1.0843448868848364</v>
      </c>
      <c r="Y211" s="39"/>
      <c r="Z211" s="202">
        <f t="shared" ref="Z211:AA211" si="244">Z210+1</f>
        <v>45483</v>
      </c>
      <c r="AA211" s="203">
        <f t="shared" si="244"/>
        <v>45483</v>
      </c>
      <c r="AB211" s="204">
        <v>45483</v>
      </c>
      <c r="AC211" s="39"/>
      <c r="AD211" s="39"/>
      <c r="AE211" s="39"/>
      <c r="AF211" s="39"/>
      <c r="AG211" s="114"/>
      <c r="AH211" s="39"/>
      <c r="AI211" s="39"/>
      <c r="AJ211" s="39"/>
      <c r="AK211" s="39"/>
      <c r="AL211" s="39"/>
      <c r="AM211" s="39"/>
      <c r="AN211" s="39"/>
    </row>
    <row r="212" spans="1:40" ht="16.5" customHeight="1">
      <c r="A212" s="39"/>
      <c r="B212" s="50"/>
      <c r="C212" s="95">
        <f t="shared" si="19"/>
        <v>193</v>
      </c>
      <c r="D212" s="96">
        <v>1</v>
      </c>
      <c r="E212" s="194" t="str">
        <f t="shared" si="8"/>
        <v>7</v>
      </c>
      <c r="F212" s="195">
        <f t="shared" si="20"/>
        <v>45484</v>
      </c>
      <c r="G212" s="196" t="str">
        <f t="shared" si="9"/>
        <v>Thu</v>
      </c>
      <c r="H212" s="197"/>
      <c r="I212" s="208"/>
      <c r="J212" s="209">
        <v>81850</v>
      </c>
      <c r="K212" s="136"/>
      <c r="L212" s="104">
        <f t="shared" si="232"/>
        <v>95972.134020618556</v>
      </c>
      <c r="M212" s="105">
        <f t="shared" si="11"/>
        <v>-14122.134020618556</v>
      </c>
      <c r="N212" s="106">
        <f t="shared" si="12"/>
        <v>0.85285172446426405</v>
      </c>
      <c r="O212" s="200"/>
      <c r="P212" s="170">
        <f t="shared" si="234"/>
        <v>863749.20618556684</v>
      </c>
      <c r="Q212" s="104">
        <f t="shared" si="235"/>
        <v>855600</v>
      </c>
      <c r="R212" s="108">
        <f t="shared" si="13"/>
        <v>-8149.2061855668435</v>
      </c>
      <c r="S212" s="106">
        <f t="shared" si="14"/>
        <v>0.99056530978296953</v>
      </c>
      <c r="T212" s="133"/>
      <c r="U212" s="104">
        <f t="shared" si="23"/>
        <v>14986806.402061837</v>
      </c>
      <c r="V212" s="104">
        <f t="shared" si="24"/>
        <v>16228650</v>
      </c>
      <c r="W212" s="108">
        <f t="shared" si="15"/>
        <v>1241843.5979381632</v>
      </c>
      <c r="X212" s="106">
        <f t="shared" si="16"/>
        <v>1.0828624567918161</v>
      </c>
      <c r="Y212" s="39"/>
      <c r="Z212" s="202">
        <f t="shared" ref="Z212:AA212" si="245">Z211+1</f>
        <v>45484</v>
      </c>
      <c r="AA212" s="203">
        <f t="shared" si="245"/>
        <v>45484</v>
      </c>
      <c r="AB212" s="204">
        <v>45484</v>
      </c>
      <c r="AC212" s="39"/>
      <c r="AD212" s="39"/>
      <c r="AE212" s="39"/>
      <c r="AF212" s="39"/>
      <c r="AG212" s="114"/>
      <c r="AH212" s="39"/>
      <c r="AI212" s="39"/>
      <c r="AJ212" s="39"/>
      <c r="AK212" s="39"/>
      <c r="AL212" s="39"/>
      <c r="AM212" s="39"/>
      <c r="AN212" s="39"/>
    </row>
    <row r="213" spans="1:40" ht="16.5" customHeight="1">
      <c r="A213" s="39"/>
      <c r="B213" s="50"/>
      <c r="C213" s="95">
        <f t="shared" si="19"/>
        <v>194</v>
      </c>
      <c r="D213" s="96">
        <v>1</v>
      </c>
      <c r="E213" s="194" t="str">
        <f t="shared" si="8"/>
        <v>7</v>
      </c>
      <c r="F213" s="195">
        <f t="shared" si="20"/>
        <v>45485</v>
      </c>
      <c r="G213" s="196" t="str">
        <f t="shared" si="9"/>
        <v>Fri</v>
      </c>
      <c r="H213" s="197"/>
      <c r="I213" s="208"/>
      <c r="J213" s="209">
        <v>82850</v>
      </c>
      <c r="K213" s="136"/>
      <c r="L213" s="104">
        <f t="shared" si="232"/>
        <v>95972.134020618556</v>
      </c>
      <c r="M213" s="105">
        <f t="shared" si="11"/>
        <v>-13122.134020618556</v>
      </c>
      <c r="N213" s="106">
        <f t="shared" si="12"/>
        <v>0.86327141566113963</v>
      </c>
      <c r="O213" s="200"/>
      <c r="P213" s="170">
        <f t="shared" si="234"/>
        <v>959721.34020618536</v>
      </c>
      <c r="Q213" s="104">
        <f t="shared" si="235"/>
        <v>938450</v>
      </c>
      <c r="R213" s="108">
        <f t="shared" si="13"/>
        <v>-21271.340206185356</v>
      </c>
      <c r="S213" s="106">
        <f t="shared" si="14"/>
        <v>0.97783592037078659</v>
      </c>
      <c r="T213" s="133"/>
      <c r="U213" s="104">
        <f t="shared" si="23"/>
        <v>15082778.536082456</v>
      </c>
      <c r="V213" s="104">
        <f t="shared" si="24"/>
        <v>16311500</v>
      </c>
      <c r="W213" s="108">
        <f t="shared" si="15"/>
        <v>1228721.4639175441</v>
      </c>
      <c r="X213" s="106">
        <f t="shared" si="16"/>
        <v>1.0814651929668051</v>
      </c>
      <c r="Y213" s="39"/>
      <c r="Z213" s="202">
        <f t="shared" ref="Z213:AA213" si="246">Z212+1</f>
        <v>45485</v>
      </c>
      <c r="AA213" s="203">
        <f t="shared" si="246"/>
        <v>45485</v>
      </c>
      <c r="AB213" s="204">
        <v>45485</v>
      </c>
      <c r="AC213" s="39"/>
      <c r="AD213" s="39"/>
      <c r="AE213" s="39"/>
      <c r="AF213" s="39"/>
      <c r="AG213" s="114"/>
      <c r="AH213" s="39"/>
      <c r="AI213" s="39"/>
      <c r="AJ213" s="39"/>
      <c r="AK213" s="39"/>
      <c r="AL213" s="39"/>
      <c r="AM213" s="39"/>
      <c r="AN213" s="39"/>
    </row>
    <row r="214" spans="1:40" ht="16.5" customHeight="1">
      <c r="A214" s="39"/>
      <c r="B214" s="50"/>
      <c r="C214" s="95">
        <f t="shared" si="19"/>
        <v>195</v>
      </c>
      <c r="D214" s="96">
        <v>1</v>
      </c>
      <c r="E214" s="194" t="str">
        <f t="shared" si="8"/>
        <v>7</v>
      </c>
      <c r="F214" s="195">
        <f t="shared" si="20"/>
        <v>45486</v>
      </c>
      <c r="G214" s="196" t="str">
        <f t="shared" si="9"/>
        <v>Sat</v>
      </c>
      <c r="H214" s="197"/>
      <c r="I214" s="208"/>
      <c r="J214" s="209">
        <v>100850</v>
      </c>
      <c r="K214" s="136"/>
      <c r="L214" s="104">
        <f t="shared" si="232"/>
        <v>95972.134020618556</v>
      </c>
      <c r="M214" s="105">
        <f t="shared" si="11"/>
        <v>4877.865979381444</v>
      </c>
      <c r="N214" s="106">
        <f t="shared" si="12"/>
        <v>1.0508258572048996</v>
      </c>
      <c r="O214" s="200"/>
      <c r="P214" s="170">
        <f t="shared" si="234"/>
        <v>1055693.474226804</v>
      </c>
      <c r="Q214" s="104">
        <f t="shared" si="235"/>
        <v>1039300</v>
      </c>
      <c r="R214" s="108">
        <f t="shared" si="13"/>
        <v>-16393.474226803984</v>
      </c>
      <c r="S214" s="106">
        <f t="shared" si="14"/>
        <v>0.98447136917388767</v>
      </c>
      <c r="T214" s="134"/>
      <c r="U214" s="104">
        <f t="shared" si="23"/>
        <v>15178750.670103075</v>
      </c>
      <c r="V214" s="104">
        <f t="shared" si="24"/>
        <v>16412350</v>
      </c>
      <c r="W214" s="108">
        <f t="shared" si="15"/>
        <v>1233599.329896925</v>
      </c>
      <c r="X214" s="106">
        <f t="shared" si="16"/>
        <v>1.0812714667173955</v>
      </c>
      <c r="Y214" s="39"/>
      <c r="Z214" s="202">
        <f t="shared" ref="Z214:AA214" si="247">Z213+1</f>
        <v>45486</v>
      </c>
      <c r="AA214" s="203">
        <f t="shared" si="247"/>
        <v>45486</v>
      </c>
      <c r="AB214" s="204">
        <v>45486</v>
      </c>
      <c r="AC214" s="39"/>
      <c r="AD214" s="39"/>
      <c r="AE214" s="39"/>
      <c r="AF214" s="39"/>
      <c r="AG214" s="114"/>
      <c r="AH214" s="39"/>
      <c r="AI214" s="39"/>
      <c r="AJ214" s="39"/>
      <c r="AK214" s="39"/>
      <c r="AL214" s="39"/>
      <c r="AM214" s="39"/>
      <c r="AN214" s="39"/>
    </row>
    <row r="215" spans="1:40" ht="16.5" customHeight="1">
      <c r="A215" s="39"/>
      <c r="B215" s="50"/>
      <c r="C215" s="95">
        <f t="shared" si="19"/>
        <v>196</v>
      </c>
      <c r="D215" s="96">
        <v>1</v>
      </c>
      <c r="E215" s="194" t="str">
        <f t="shared" si="8"/>
        <v>7</v>
      </c>
      <c r="F215" s="195">
        <f t="shared" si="20"/>
        <v>45487</v>
      </c>
      <c r="G215" s="196" t="str">
        <f t="shared" si="9"/>
        <v>Sun</v>
      </c>
      <c r="H215" s="197" t="s">
        <v>157</v>
      </c>
      <c r="I215" s="208"/>
      <c r="J215" s="209">
        <v>154400</v>
      </c>
      <c r="K215" s="136"/>
      <c r="L215" s="104">
        <f t="shared" si="232"/>
        <v>95972.134020618556</v>
      </c>
      <c r="M215" s="105">
        <f t="shared" si="11"/>
        <v>58427.865979381444</v>
      </c>
      <c r="N215" s="106">
        <f t="shared" si="12"/>
        <v>1.6088003207975854</v>
      </c>
      <c r="O215" s="200"/>
      <c r="P215" s="170">
        <f t="shared" si="234"/>
        <v>1151665.6082474226</v>
      </c>
      <c r="Q215" s="104">
        <f t="shared" si="235"/>
        <v>1193700</v>
      </c>
      <c r="R215" s="108">
        <f t="shared" si="13"/>
        <v>42034.391752577387</v>
      </c>
      <c r="S215" s="106">
        <f t="shared" si="14"/>
        <v>1.0364987818091957</v>
      </c>
      <c r="T215" s="133"/>
      <c r="U215" s="104">
        <f t="shared" si="23"/>
        <v>15274722.804123694</v>
      </c>
      <c r="V215" s="104">
        <f t="shared" si="24"/>
        <v>16566750</v>
      </c>
      <c r="W215" s="108">
        <f t="shared" si="15"/>
        <v>1292027.1958763059</v>
      </c>
      <c r="X215" s="106">
        <f t="shared" si="16"/>
        <v>1.0845859667926347</v>
      </c>
      <c r="Y215" s="39"/>
      <c r="Z215" s="202">
        <f t="shared" ref="Z215:AA215" si="248">Z214+1</f>
        <v>45487</v>
      </c>
      <c r="AA215" s="203">
        <f t="shared" si="248"/>
        <v>45487</v>
      </c>
      <c r="AB215" s="204">
        <v>45487</v>
      </c>
      <c r="AC215" s="39"/>
      <c r="AD215" s="39"/>
      <c r="AE215" s="39"/>
      <c r="AF215" s="39"/>
      <c r="AG215" s="114"/>
      <c r="AH215" s="39"/>
      <c r="AI215" s="39"/>
      <c r="AJ215" s="39"/>
      <c r="AK215" s="39"/>
      <c r="AL215" s="39"/>
      <c r="AM215" s="39"/>
      <c r="AN215" s="39"/>
    </row>
    <row r="216" spans="1:40" ht="16.5" customHeight="1">
      <c r="A216" s="39"/>
      <c r="B216" s="50"/>
      <c r="C216" s="95">
        <f t="shared" si="19"/>
        <v>197</v>
      </c>
      <c r="D216" s="96">
        <v>0</v>
      </c>
      <c r="E216" s="194" t="str">
        <f t="shared" si="8"/>
        <v>7</v>
      </c>
      <c r="F216" s="195">
        <f t="shared" si="20"/>
        <v>45488</v>
      </c>
      <c r="G216" s="196" t="str">
        <f t="shared" si="9"/>
        <v>Mon</v>
      </c>
      <c r="H216" s="197" t="s">
        <v>153</v>
      </c>
      <c r="I216" s="208"/>
      <c r="J216" s="209"/>
      <c r="K216" s="136"/>
      <c r="L216" s="104">
        <f t="shared" si="232"/>
        <v>0</v>
      </c>
      <c r="M216" s="105">
        <f t="shared" si="11"/>
        <v>0</v>
      </c>
      <c r="N216" s="106" t="str">
        <f t="shared" si="12"/>
        <v>0%</v>
      </c>
      <c r="O216" s="200"/>
      <c r="P216" s="170">
        <f t="shared" si="234"/>
        <v>0</v>
      </c>
      <c r="Q216" s="104">
        <f t="shared" si="235"/>
        <v>0</v>
      </c>
      <c r="R216" s="108">
        <f t="shared" si="13"/>
        <v>0</v>
      </c>
      <c r="S216" s="106" t="str">
        <f t="shared" si="14"/>
        <v>0%</v>
      </c>
      <c r="T216" s="133"/>
      <c r="U216" s="104">
        <f t="shared" si="23"/>
        <v>0</v>
      </c>
      <c r="V216" s="104">
        <f t="shared" si="24"/>
        <v>0</v>
      </c>
      <c r="W216" s="108">
        <f t="shared" si="15"/>
        <v>0</v>
      </c>
      <c r="X216" s="106" t="str">
        <f t="shared" si="16"/>
        <v>0%</v>
      </c>
      <c r="Y216" s="39"/>
      <c r="Z216" s="202">
        <f t="shared" ref="Z216:AA216" si="249">Z215+1</f>
        <v>45488</v>
      </c>
      <c r="AA216" s="203">
        <f t="shared" si="249"/>
        <v>45488</v>
      </c>
      <c r="AB216" s="204">
        <v>45488</v>
      </c>
      <c r="AC216" s="39"/>
      <c r="AD216" s="39"/>
      <c r="AE216" s="39"/>
      <c r="AF216" s="39"/>
      <c r="AG216" s="114"/>
      <c r="AH216" s="39"/>
      <c r="AI216" s="39"/>
      <c r="AJ216" s="39"/>
      <c r="AK216" s="39"/>
      <c r="AL216" s="39"/>
      <c r="AM216" s="39"/>
      <c r="AN216" s="39"/>
    </row>
    <row r="217" spans="1:40" ht="16.5" customHeight="1">
      <c r="A217" s="39"/>
      <c r="B217" s="50"/>
      <c r="C217" s="95">
        <f t="shared" si="19"/>
        <v>198</v>
      </c>
      <c r="D217" s="96">
        <v>1</v>
      </c>
      <c r="E217" s="194" t="str">
        <f t="shared" si="8"/>
        <v>7</v>
      </c>
      <c r="F217" s="195">
        <f t="shared" si="20"/>
        <v>45489</v>
      </c>
      <c r="G217" s="196" t="str">
        <f t="shared" si="9"/>
        <v>Tue</v>
      </c>
      <c r="H217" s="197"/>
      <c r="I217" s="208"/>
      <c r="J217" s="209">
        <v>52700</v>
      </c>
      <c r="K217" s="136"/>
      <c r="L217" s="104">
        <f t="shared" si="232"/>
        <v>95972.134020618556</v>
      </c>
      <c r="M217" s="105">
        <f t="shared" si="11"/>
        <v>-43272.134020618556</v>
      </c>
      <c r="N217" s="106">
        <f t="shared" si="12"/>
        <v>0.54911772607534171</v>
      </c>
      <c r="O217" s="200"/>
      <c r="P217" s="170">
        <f t="shared" si="234"/>
        <v>1247637.7422680412</v>
      </c>
      <c r="Q217" s="104">
        <f t="shared" si="235"/>
        <v>1246400</v>
      </c>
      <c r="R217" s="108">
        <f t="shared" si="13"/>
        <v>-1237.7422680412419</v>
      </c>
      <c r="S217" s="106">
        <f t="shared" si="14"/>
        <v>0.99900793136813004</v>
      </c>
      <c r="T217" s="133"/>
      <c r="U217" s="104">
        <f t="shared" si="23"/>
        <v>15370694.938144313</v>
      </c>
      <c r="V217" s="104">
        <f t="shared" si="24"/>
        <v>16619450</v>
      </c>
      <c r="W217" s="108">
        <f t="shared" si="15"/>
        <v>1248755.0618556868</v>
      </c>
      <c r="X217" s="106">
        <f t="shared" si="16"/>
        <v>1.0812425896734665</v>
      </c>
      <c r="Y217" s="39"/>
      <c r="Z217" s="202">
        <f t="shared" ref="Z217:AA217" si="250">Z216+1</f>
        <v>45489</v>
      </c>
      <c r="AA217" s="203">
        <f t="shared" si="250"/>
        <v>45489</v>
      </c>
      <c r="AB217" s="204">
        <v>45489</v>
      </c>
      <c r="AC217" s="39"/>
      <c r="AD217" s="39"/>
      <c r="AE217" s="39"/>
      <c r="AF217" s="39"/>
      <c r="AG217" s="114"/>
      <c r="AH217" s="39"/>
      <c r="AI217" s="39"/>
      <c r="AJ217" s="39"/>
      <c r="AK217" s="39"/>
      <c r="AL217" s="39"/>
      <c r="AM217" s="39"/>
      <c r="AN217" s="39"/>
    </row>
    <row r="218" spans="1:40" ht="16.5" customHeight="1">
      <c r="A218" s="39"/>
      <c r="B218" s="50"/>
      <c r="C218" s="95">
        <f t="shared" si="19"/>
        <v>199</v>
      </c>
      <c r="D218" s="96">
        <v>1</v>
      </c>
      <c r="E218" s="194" t="str">
        <f t="shared" si="8"/>
        <v>7</v>
      </c>
      <c r="F218" s="195">
        <f t="shared" si="20"/>
        <v>45490</v>
      </c>
      <c r="G218" s="196" t="str">
        <f t="shared" si="9"/>
        <v>Wed</v>
      </c>
      <c r="H218" s="197"/>
      <c r="I218" s="208"/>
      <c r="J218" s="209">
        <v>54200</v>
      </c>
      <c r="K218" s="136"/>
      <c r="L218" s="104">
        <f t="shared" si="232"/>
        <v>95972.134020618556</v>
      </c>
      <c r="M218" s="105">
        <f t="shared" si="11"/>
        <v>-41772.134020618556</v>
      </c>
      <c r="N218" s="106">
        <f t="shared" si="12"/>
        <v>0.56474726287065502</v>
      </c>
      <c r="O218" s="200"/>
      <c r="P218" s="170">
        <f t="shared" si="234"/>
        <v>1343609.8762886599</v>
      </c>
      <c r="Q218" s="104">
        <f t="shared" si="235"/>
        <v>1300600</v>
      </c>
      <c r="R218" s="108">
        <f t="shared" si="13"/>
        <v>-43009.876288659871</v>
      </c>
      <c r="S218" s="106">
        <f t="shared" si="14"/>
        <v>0.96798931218973883</v>
      </c>
      <c r="T218" s="133"/>
      <c r="U218" s="104">
        <f t="shared" si="23"/>
        <v>15466667.072164932</v>
      </c>
      <c r="V218" s="104">
        <f t="shared" si="24"/>
        <v>16673650</v>
      </c>
      <c r="W218" s="108">
        <f t="shared" si="15"/>
        <v>1206982.9278350677</v>
      </c>
      <c r="X218" s="106">
        <f t="shared" si="16"/>
        <v>1.0780376872537234</v>
      </c>
      <c r="Y218" s="39"/>
      <c r="Z218" s="202">
        <f t="shared" ref="Z218:AA218" si="251">Z217+1</f>
        <v>45490</v>
      </c>
      <c r="AA218" s="203">
        <f t="shared" si="251"/>
        <v>45490</v>
      </c>
      <c r="AB218" s="204">
        <v>45490</v>
      </c>
      <c r="AC218" s="39"/>
      <c r="AD218" s="39"/>
      <c r="AE218" s="39"/>
      <c r="AF218" s="39"/>
      <c r="AG218" s="114"/>
      <c r="AH218" s="39"/>
      <c r="AI218" s="39"/>
      <c r="AJ218" s="39"/>
      <c r="AK218" s="39"/>
      <c r="AL218" s="39"/>
      <c r="AM218" s="39"/>
      <c r="AN218" s="39"/>
    </row>
    <row r="219" spans="1:40" ht="16.5" customHeight="1">
      <c r="A219" s="39"/>
      <c r="B219" s="50"/>
      <c r="C219" s="95">
        <f t="shared" si="19"/>
        <v>200</v>
      </c>
      <c r="D219" s="96">
        <v>1</v>
      </c>
      <c r="E219" s="194" t="str">
        <f t="shared" si="8"/>
        <v>7</v>
      </c>
      <c r="F219" s="195">
        <f t="shared" si="20"/>
        <v>45491</v>
      </c>
      <c r="G219" s="196" t="str">
        <f t="shared" si="9"/>
        <v>Thu</v>
      </c>
      <c r="H219" s="197"/>
      <c r="I219" s="208"/>
      <c r="J219" s="209">
        <v>61150</v>
      </c>
      <c r="K219" s="136"/>
      <c r="L219" s="104">
        <f t="shared" si="232"/>
        <v>95972.134020618556</v>
      </c>
      <c r="M219" s="105">
        <f t="shared" si="11"/>
        <v>-34822.134020618556</v>
      </c>
      <c r="N219" s="106">
        <f t="shared" si="12"/>
        <v>0.63716411668894013</v>
      </c>
      <c r="O219" s="200"/>
      <c r="P219" s="170">
        <f t="shared" si="234"/>
        <v>1439582.0103092785</v>
      </c>
      <c r="Q219" s="104">
        <f t="shared" si="235"/>
        <v>1361750</v>
      </c>
      <c r="R219" s="108">
        <f t="shared" si="13"/>
        <v>-77832.010309278499</v>
      </c>
      <c r="S219" s="106">
        <f t="shared" si="14"/>
        <v>0.94593429915635219</v>
      </c>
      <c r="T219" s="133"/>
      <c r="U219" s="104">
        <f t="shared" si="23"/>
        <v>15562639.206185551</v>
      </c>
      <c r="V219" s="104">
        <f t="shared" si="24"/>
        <v>16734800</v>
      </c>
      <c r="W219" s="108">
        <f t="shared" si="15"/>
        <v>1172160.7938144486</v>
      </c>
      <c r="X219" s="106">
        <f t="shared" si="16"/>
        <v>1.0753188953547519</v>
      </c>
      <c r="Y219" s="39"/>
      <c r="Z219" s="202">
        <f t="shared" ref="Z219:AA219" si="252">Z218+1</f>
        <v>45491</v>
      </c>
      <c r="AA219" s="203">
        <f t="shared" si="252"/>
        <v>45491</v>
      </c>
      <c r="AB219" s="204">
        <v>45491</v>
      </c>
      <c r="AC219" s="39"/>
      <c r="AD219" s="39"/>
      <c r="AE219" s="39"/>
      <c r="AF219" s="39"/>
      <c r="AG219" s="114"/>
      <c r="AH219" s="39"/>
      <c r="AI219" s="39"/>
      <c r="AJ219" s="39"/>
      <c r="AK219" s="39"/>
      <c r="AL219" s="39"/>
      <c r="AM219" s="39"/>
      <c r="AN219" s="39"/>
    </row>
    <row r="220" spans="1:40" ht="16.5" customHeight="1">
      <c r="A220" s="39"/>
      <c r="B220" s="50"/>
      <c r="C220" s="95">
        <f t="shared" si="19"/>
        <v>201</v>
      </c>
      <c r="D220" s="96">
        <v>1</v>
      </c>
      <c r="E220" s="194" t="str">
        <f t="shared" si="8"/>
        <v>7</v>
      </c>
      <c r="F220" s="195">
        <f t="shared" si="20"/>
        <v>45492</v>
      </c>
      <c r="G220" s="196" t="str">
        <f t="shared" si="9"/>
        <v>Fri</v>
      </c>
      <c r="H220" s="197"/>
      <c r="I220" s="208"/>
      <c r="J220" s="209">
        <v>166400</v>
      </c>
      <c r="K220" s="136"/>
      <c r="L220" s="104">
        <f t="shared" si="232"/>
        <v>95972.134020618556</v>
      </c>
      <c r="M220" s="105">
        <f t="shared" si="11"/>
        <v>70427.865979381444</v>
      </c>
      <c r="N220" s="106">
        <f t="shared" si="12"/>
        <v>1.7338366151600921</v>
      </c>
      <c r="O220" s="200"/>
      <c r="P220" s="170">
        <f t="shared" si="234"/>
        <v>1535554.1443298971</v>
      </c>
      <c r="Q220" s="104">
        <f t="shared" si="235"/>
        <v>1528150</v>
      </c>
      <c r="R220" s="108">
        <f t="shared" si="13"/>
        <v>-7404.144329897128</v>
      </c>
      <c r="S220" s="106">
        <f t="shared" si="14"/>
        <v>0.99517819390658591</v>
      </c>
      <c r="T220" s="133"/>
      <c r="U220" s="104">
        <f t="shared" si="23"/>
        <v>15658611.34020617</v>
      </c>
      <c r="V220" s="104">
        <f t="shared" si="24"/>
        <v>16901200</v>
      </c>
      <c r="W220" s="108">
        <f t="shared" si="15"/>
        <v>1242588.6597938295</v>
      </c>
      <c r="X220" s="106">
        <f t="shared" si="16"/>
        <v>1.0793549717019459</v>
      </c>
      <c r="Y220" s="39"/>
      <c r="Z220" s="202">
        <f t="shared" ref="Z220:AA220" si="253">Z219+1</f>
        <v>45492</v>
      </c>
      <c r="AA220" s="203">
        <f t="shared" si="253"/>
        <v>45492</v>
      </c>
      <c r="AB220" s="204">
        <v>45492</v>
      </c>
      <c r="AC220" s="39"/>
      <c r="AD220" s="39"/>
      <c r="AE220" s="39"/>
      <c r="AF220" s="39"/>
      <c r="AG220" s="114"/>
      <c r="AH220" s="39"/>
      <c r="AI220" s="39"/>
      <c r="AJ220" s="39"/>
      <c r="AK220" s="39"/>
      <c r="AL220" s="39"/>
      <c r="AM220" s="39"/>
      <c r="AN220" s="39"/>
    </row>
    <row r="221" spans="1:40" ht="16.5" customHeight="1">
      <c r="A221" s="39"/>
      <c r="B221" s="50"/>
      <c r="C221" s="95">
        <f t="shared" si="19"/>
        <v>202</v>
      </c>
      <c r="D221" s="96">
        <v>1</v>
      </c>
      <c r="E221" s="194" t="str">
        <f t="shared" si="8"/>
        <v>7</v>
      </c>
      <c r="F221" s="195">
        <f t="shared" si="20"/>
        <v>45493</v>
      </c>
      <c r="G221" s="196" t="str">
        <f t="shared" si="9"/>
        <v>Sat</v>
      </c>
      <c r="H221" s="197"/>
      <c r="I221" s="208"/>
      <c r="J221" s="209">
        <v>105750</v>
      </c>
      <c r="K221" s="136"/>
      <c r="L221" s="104">
        <f t="shared" si="232"/>
        <v>95972.134020618556</v>
      </c>
      <c r="M221" s="105">
        <f t="shared" si="11"/>
        <v>9777.865979381444</v>
      </c>
      <c r="N221" s="106">
        <f t="shared" si="12"/>
        <v>1.1018823440695897</v>
      </c>
      <c r="O221" s="200"/>
      <c r="P221" s="170">
        <f t="shared" si="234"/>
        <v>1631526.2783505158</v>
      </c>
      <c r="Q221" s="104">
        <f t="shared" si="235"/>
        <v>1633900</v>
      </c>
      <c r="R221" s="108">
        <f t="shared" si="13"/>
        <v>2373.7216494842432</v>
      </c>
      <c r="S221" s="106">
        <f t="shared" si="14"/>
        <v>1.0014549086220568</v>
      </c>
      <c r="T221" s="134"/>
      <c r="U221" s="104">
        <f t="shared" si="23"/>
        <v>15754583.47422679</v>
      </c>
      <c r="V221" s="104">
        <f t="shared" si="24"/>
        <v>17006950</v>
      </c>
      <c r="W221" s="108">
        <f t="shared" si="15"/>
        <v>1252366.5257732105</v>
      </c>
      <c r="X221" s="106">
        <f t="shared" si="16"/>
        <v>1.0794922016073596</v>
      </c>
      <c r="Y221" s="39"/>
      <c r="Z221" s="202">
        <f t="shared" ref="Z221:AA221" si="254">Z220+1</f>
        <v>45493</v>
      </c>
      <c r="AA221" s="203">
        <f t="shared" si="254"/>
        <v>45493</v>
      </c>
      <c r="AB221" s="204">
        <v>45493</v>
      </c>
      <c r="AC221" s="39"/>
      <c r="AD221" s="39"/>
      <c r="AE221" s="39"/>
      <c r="AF221" s="39"/>
      <c r="AG221" s="114"/>
      <c r="AH221" s="39"/>
      <c r="AI221" s="39"/>
      <c r="AJ221" s="39"/>
      <c r="AK221" s="39"/>
      <c r="AL221" s="39"/>
      <c r="AM221" s="39"/>
      <c r="AN221" s="39"/>
    </row>
    <row r="222" spans="1:40" ht="16.5" customHeight="1">
      <c r="A222" s="39"/>
      <c r="B222" s="50"/>
      <c r="C222" s="95">
        <f t="shared" si="19"/>
        <v>203</v>
      </c>
      <c r="D222" s="96">
        <v>0</v>
      </c>
      <c r="E222" s="194" t="str">
        <f t="shared" si="8"/>
        <v>7</v>
      </c>
      <c r="F222" s="195">
        <f t="shared" si="20"/>
        <v>45494</v>
      </c>
      <c r="G222" s="196" t="str">
        <f t="shared" si="9"/>
        <v>Sun</v>
      </c>
      <c r="H222" s="197" t="s">
        <v>157</v>
      </c>
      <c r="I222" s="208"/>
      <c r="J222" s="209"/>
      <c r="K222" s="136"/>
      <c r="L222" s="104">
        <f t="shared" si="232"/>
        <v>0</v>
      </c>
      <c r="M222" s="105">
        <f t="shared" si="11"/>
        <v>0</v>
      </c>
      <c r="N222" s="106" t="str">
        <f t="shared" si="12"/>
        <v>0%</v>
      </c>
      <c r="O222" s="200"/>
      <c r="P222" s="170">
        <f t="shared" si="234"/>
        <v>0</v>
      </c>
      <c r="Q222" s="104">
        <f t="shared" si="235"/>
        <v>0</v>
      </c>
      <c r="R222" s="108">
        <f t="shared" si="13"/>
        <v>0</v>
      </c>
      <c r="S222" s="106" t="str">
        <f t="shared" si="14"/>
        <v>0%</v>
      </c>
      <c r="T222" s="134"/>
      <c r="U222" s="104">
        <f t="shared" si="23"/>
        <v>0</v>
      </c>
      <c r="V222" s="104">
        <f t="shared" si="24"/>
        <v>0</v>
      </c>
      <c r="W222" s="108">
        <f t="shared" si="15"/>
        <v>0</v>
      </c>
      <c r="X222" s="106" t="str">
        <f t="shared" si="16"/>
        <v>0%</v>
      </c>
      <c r="Y222" s="39"/>
      <c r="Z222" s="202">
        <f t="shared" ref="Z222:AA222" si="255">Z221+1</f>
        <v>45494</v>
      </c>
      <c r="AA222" s="203">
        <f t="shared" si="255"/>
        <v>45494</v>
      </c>
      <c r="AB222" s="204">
        <v>45494</v>
      </c>
      <c r="AC222" s="39"/>
      <c r="AD222" s="39"/>
      <c r="AE222" s="39"/>
      <c r="AF222" s="39"/>
      <c r="AG222" s="114"/>
      <c r="AH222" s="39"/>
      <c r="AI222" s="39"/>
      <c r="AJ222" s="39"/>
      <c r="AK222" s="39"/>
      <c r="AL222" s="39"/>
      <c r="AM222" s="39"/>
      <c r="AN222" s="39"/>
    </row>
    <row r="223" spans="1:40" ht="16.5" customHeight="1">
      <c r="A223" s="39"/>
      <c r="B223" s="50"/>
      <c r="C223" s="95">
        <f t="shared" si="19"/>
        <v>204</v>
      </c>
      <c r="D223" s="96">
        <v>0</v>
      </c>
      <c r="E223" s="194" t="str">
        <f t="shared" si="8"/>
        <v>7</v>
      </c>
      <c r="F223" s="195">
        <f t="shared" si="20"/>
        <v>45495</v>
      </c>
      <c r="G223" s="196" t="str">
        <f t="shared" si="9"/>
        <v>Mon</v>
      </c>
      <c r="H223" s="197"/>
      <c r="I223" s="208"/>
      <c r="J223" s="209"/>
      <c r="K223" s="136"/>
      <c r="L223" s="104">
        <f t="shared" si="232"/>
        <v>0</v>
      </c>
      <c r="M223" s="105">
        <f t="shared" si="11"/>
        <v>0</v>
      </c>
      <c r="N223" s="106" t="str">
        <f t="shared" si="12"/>
        <v>0%</v>
      </c>
      <c r="O223" s="200"/>
      <c r="P223" s="170">
        <f t="shared" si="234"/>
        <v>0</v>
      </c>
      <c r="Q223" s="104">
        <f t="shared" si="235"/>
        <v>0</v>
      </c>
      <c r="R223" s="108">
        <f t="shared" si="13"/>
        <v>0</v>
      </c>
      <c r="S223" s="106" t="str">
        <f t="shared" si="14"/>
        <v>0%</v>
      </c>
      <c r="T223" s="133"/>
      <c r="U223" s="104">
        <f t="shared" si="23"/>
        <v>0</v>
      </c>
      <c r="V223" s="104">
        <f t="shared" si="24"/>
        <v>0</v>
      </c>
      <c r="W223" s="108">
        <f t="shared" si="15"/>
        <v>0</v>
      </c>
      <c r="X223" s="106" t="str">
        <f t="shared" si="16"/>
        <v>0%</v>
      </c>
      <c r="Y223" s="39"/>
      <c r="Z223" s="202">
        <f t="shared" ref="Z223:AA223" si="256">Z222+1</f>
        <v>45495</v>
      </c>
      <c r="AA223" s="203">
        <f t="shared" si="256"/>
        <v>45495</v>
      </c>
      <c r="AB223" s="204">
        <v>45495</v>
      </c>
      <c r="AC223" s="39"/>
      <c r="AD223" s="39"/>
      <c r="AE223" s="39"/>
      <c r="AF223" s="39"/>
      <c r="AG223" s="114"/>
      <c r="AH223" s="39"/>
      <c r="AI223" s="39"/>
      <c r="AJ223" s="39"/>
      <c r="AK223" s="39"/>
      <c r="AL223" s="39"/>
      <c r="AM223" s="39"/>
      <c r="AN223" s="39"/>
    </row>
    <row r="224" spans="1:40" ht="16.5" customHeight="1">
      <c r="A224" s="39"/>
      <c r="B224" s="50"/>
      <c r="C224" s="95">
        <f t="shared" si="19"/>
        <v>205</v>
      </c>
      <c r="D224" s="96">
        <v>1</v>
      </c>
      <c r="E224" s="194" t="str">
        <f t="shared" si="8"/>
        <v>7</v>
      </c>
      <c r="F224" s="195">
        <f t="shared" si="20"/>
        <v>45496</v>
      </c>
      <c r="G224" s="196" t="str">
        <f t="shared" si="9"/>
        <v>Tue</v>
      </c>
      <c r="H224" s="197"/>
      <c r="I224" s="208"/>
      <c r="J224" s="209">
        <v>108150</v>
      </c>
      <c r="K224" s="136"/>
      <c r="L224" s="104">
        <f t="shared" si="232"/>
        <v>95972.134020618556</v>
      </c>
      <c r="M224" s="105">
        <f t="shared" si="11"/>
        <v>12177.865979381444</v>
      </c>
      <c r="N224" s="106">
        <f t="shared" si="12"/>
        <v>1.1268896029420912</v>
      </c>
      <c r="O224" s="200"/>
      <c r="P224" s="170">
        <f t="shared" si="234"/>
        <v>1727498.4123711344</v>
      </c>
      <c r="Q224" s="104">
        <f t="shared" si="235"/>
        <v>1742050</v>
      </c>
      <c r="R224" s="108">
        <f t="shared" si="13"/>
        <v>14551.587628865615</v>
      </c>
      <c r="S224" s="106">
        <f t="shared" si="14"/>
        <v>1.0084235027509474</v>
      </c>
      <c r="T224" s="133"/>
      <c r="U224" s="104">
        <f t="shared" si="23"/>
        <v>15850555.608247409</v>
      </c>
      <c r="V224" s="104">
        <f t="shared" si="24"/>
        <v>17115100</v>
      </c>
      <c r="W224" s="108">
        <f t="shared" si="15"/>
        <v>1264544.3917525914</v>
      </c>
      <c r="X224" s="106">
        <f t="shared" si="16"/>
        <v>1.0797791839608839</v>
      </c>
      <c r="Y224" s="39"/>
      <c r="Z224" s="202">
        <f t="shared" ref="Z224:AA224" si="257">Z223+1</f>
        <v>45496</v>
      </c>
      <c r="AA224" s="203">
        <f t="shared" si="257"/>
        <v>45496</v>
      </c>
      <c r="AB224" s="204">
        <v>45496</v>
      </c>
      <c r="AC224" s="39"/>
      <c r="AD224" s="39"/>
      <c r="AE224" s="39"/>
      <c r="AF224" s="39"/>
      <c r="AG224" s="114"/>
      <c r="AH224" s="39"/>
      <c r="AI224" s="39"/>
      <c r="AJ224" s="39"/>
      <c r="AK224" s="39"/>
      <c r="AL224" s="39"/>
      <c r="AM224" s="39"/>
      <c r="AN224" s="39"/>
    </row>
    <row r="225" spans="1:40" ht="16.5" customHeight="1">
      <c r="A225" s="39"/>
      <c r="B225" s="50"/>
      <c r="C225" s="95">
        <f t="shared" si="19"/>
        <v>206</v>
      </c>
      <c r="D225" s="96">
        <v>1</v>
      </c>
      <c r="E225" s="194" t="str">
        <f t="shared" si="8"/>
        <v>7</v>
      </c>
      <c r="F225" s="195">
        <f t="shared" si="20"/>
        <v>45497</v>
      </c>
      <c r="G225" s="196" t="str">
        <f t="shared" si="9"/>
        <v>Wed</v>
      </c>
      <c r="H225" s="197"/>
      <c r="I225" s="208"/>
      <c r="J225" s="209">
        <v>54100</v>
      </c>
      <c r="K225" s="136"/>
      <c r="L225" s="104">
        <f t="shared" si="232"/>
        <v>95972.134020618556</v>
      </c>
      <c r="M225" s="105">
        <f t="shared" si="11"/>
        <v>-41872.134020618556</v>
      </c>
      <c r="N225" s="106">
        <f t="shared" si="12"/>
        <v>0.56370529375096745</v>
      </c>
      <c r="O225" s="200"/>
      <c r="P225" s="170">
        <f t="shared" si="234"/>
        <v>1823470.546391753</v>
      </c>
      <c r="Q225" s="104">
        <f t="shared" si="235"/>
        <v>1796150</v>
      </c>
      <c r="R225" s="108">
        <f t="shared" si="13"/>
        <v>-27320.546391753014</v>
      </c>
      <c r="S225" s="106">
        <f t="shared" si="14"/>
        <v>0.98501728122463272</v>
      </c>
      <c r="T225" s="133"/>
      <c r="U225" s="104">
        <f t="shared" si="23"/>
        <v>15946527.742268028</v>
      </c>
      <c r="V225" s="104">
        <f t="shared" si="24"/>
        <v>17169200</v>
      </c>
      <c r="W225" s="108">
        <f t="shared" si="15"/>
        <v>1222672.2577319723</v>
      </c>
      <c r="X225" s="106">
        <f t="shared" si="16"/>
        <v>1.0766732593761552</v>
      </c>
      <c r="Y225" s="39"/>
      <c r="Z225" s="202">
        <f t="shared" ref="Z225:AA225" si="258">Z224+1</f>
        <v>45497</v>
      </c>
      <c r="AA225" s="203">
        <f t="shared" si="258"/>
        <v>45497</v>
      </c>
      <c r="AB225" s="204">
        <v>45497</v>
      </c>
      <c r="AC225" s="39"/>
      <c r="AD225" s="39"/>
      <c r="AE225" s="39"/>
      <c r="AF225" s="39"/>
      <c r="AG225" s="114"/>
      <c r="AH225" s="39"/>
      <c r="AI225" s="39"/>
      <c r="AJ225" s="39"/>
      <c r="AK225" s="39"/>
      <c r="AL225" s="39"/>
      <c r="AM225" s="39"/>
      <c r="AN225" s="39"/>
    </row>
    <row r="226" spans="1:40" ht="16.5" customHeight="1">
      <c r="A226" s="39"/>
      <c r="B226" s="50"/>
      <c r="C226" s="95">
        <f t="shared" si="19"/>
        <v>207</v>
      </c>
      <c r="D226" s="96">
        <v>1</v>
      </c>
      <c r="E226" s="194" t="str">
        <f t="shared" si="8"/>
        <v>7</v>
      </c>
      <c r="F226" s="195">
        <f t="shared" si="20"/>
        <v>45498</v>
      </c>
      <c r="G226" s="196" t="str">
        <f t="shared" si="9"/>
        <v>Thu</v>
      </c>
      <c r="H226" s="197"/>
      <c r="I226" s="208"/>
      <c r="J226" s="209">
        <v>138900</v>
      </c>
      <c r="K226" s="136"/>
      <c r="L226" s="104">
        <f t="shared" si="232"/>
        <v>95972.134020618556</v>
      </c>
      <c r="M226" s="105">
        <f t="shared" si="11"/>
        <v>42927.865979381444</v>
      </c>
      <c r="N226" s="106">
        <f t="shared" si="12"/>
        <v>1.4472951072460143</v>
      </c>
      <c r="O226" s="200"/>
      <c r="P226" s="170">
        <f t="shared" si="234"/>
        <v>1919442.6804123716</v>
      </c>
      <c r="Q226" s="104">
        <f t="shared" si="235"/>
        <v>1935050</v>
      </c>
      <c r="R226" s="108">
        <f t="shared" si="13"/>
        <v>15607.319587628357</v>
      </c>
      <c r="S226" s="106">
        <f t="shared" si="14"/>
        <v>1.0081311725257018</v>
      </c>
      <c r="T226" s="133"/>
      <c r="U226" s="104">
        <f t="shared" si="23"/>
        <v>16042499.876288647</v>
      </c>
      <c r="V226" s="104">
        <f t="shared" si="24"/>
        <v>17308100</v>
      </c>
      <c r="W226" s="108">
        <f t="shared" si="15"/>
        <v>1265600.1237113532</v>
      </c>
      <c r="X226" s="106">
        <f t="shared" si="16"/>
        <v>1.0788904555693313</v>
      </c>
      <c r="Y226" s="39"/>
      <c r="Z226" s="202">
        <f t="shared" ref="Z226:AA226" si="259">Z225+1</f>
        <v>45498</v>
      </c>
      <c r="AA226" s="203">
        <f t="shared" si="259"/>
        <v>45498</v>
      </c>
      <c r="AB226" s="204">
        <v>45498</v>
      </c>
      <c r="AC226" s="39"/>
      <c r="AD226" s="39"/>
      <c r="AE226" s="39"/>
      <c r="AF226" s="39"/>
      <c r="AG226" s="114"/>
      <c r="AH226" s="39"/>
      <c r="AI226" s="39"/>
      <c r="AJ226" s="39"/>
      <c r="AK226" s="39"/>
      <c r="AL226" s="39"/>
      <c r="AM226" s="39"/>
      <c r="AN226" s="39"/>
    </row>
    <row r="227" spans="1:40" ht="16.5" customHeight="1">
      <c r="A227" s="39"/>
      <c r="B227" s="50"/>
      <c r="C227" s="95">
        <f t="shared" si="19"/>
        <v>208</v>
      </c>
      <c r="D227" s="96">
        <v>1</v>
      </c>
      <c r="E227" s="194" t="str">
        <f t="shared" si="8"/>
        <v>7</v>
      </c>
      <c r="F227" s="195">
        <f t="shared" si="20"/>
        <v>45499</v>
      </c>
      <c r="G227" s="196" t="str">
        <f t="shared" si="9"/>
        <v>Fri</v>
      </c>
      <c r="H227" s="197"/>
      <c r="I227" s="208"/>
      <c r="J227" s="209">
        <v>79700</v>
      </c>
      <c r="K227" s="136"/>
      <c r="L227" s="104">
        <f t="shared" si="232"/>
        <v>95972.134020618556</v>
      </c>
      <c r="M227" s="105">
        <f t="shared" si="11"/>
        <v>-16272.134020618556</v>
      </c>
      <c r="N227" s="106">
        <f t="shared" si="12"/>
        <v>0.83044938839098159</v>
      </c>
      <c r="O227" s="200"/>
      <c r="P227" s="170">
        <f t="shared" si="234"/>
        <v>2015414.8144329903</v>
      </c>
      <c r="Q227" s="104">
        <f t="shared" si="235"/>
        <v>2014750</v>
      </c>
      <c r="R227" s="108">
        <f t="shared" si="13"/>
        <v>-664.8144329902716</v>
      </c>
      <c r="S227" s="106">
        <f t="shared" si="14"/>
        <v>0.99967013518595316</v>
      </c>
      <c r="T227" s="133"/>
      <c r="U227" s="104">
        <f t="shared" si="23"/>
        <v>16138472.010309266</v>
      </c>
      <c r="V227" s="104">
        <f t="shared" si="24"/>
        <v>17387800</v>
      </c>
      <c r="W227" s="108">
        <f t="shared" si="15"/>
        <v>1249327.9896907341</v>
      </c>
      <c r="X227" s="106">
        <f t="shared" si="16"/>
        <v>1.0774130282527778</v>
      </c>
      <c r="Y227" s="39"/>
      <c r="Z227" s="202">
        <f t="shared" ref="Z227:AA227" si="260">Z226+1</f>
        <v>45499</v>
      </c>
      <c r="AA227" s="203">
        <f t="shared" si="260"/>
        <v>45499</v>
      </c>
      <c r="AB227" s="204">
        <v>45499</v>
      </c>
      <c r="AC227" s="39"/>
      <c r="AD227" s="39"/>
      <c r="AE227" s="39"/>
      <c r="AF227" s="39"/>
      <c r="AG227" s="114"/>
      <c r="AH227" s="39"/>
      <c r="AI227" s="39"/>
      <c r="AJ227" s="39"/>
      <c r="AK227" s="39"/>
      <c r="AL227" s="39"/>
      <c r="AM227" s="39"/>
      <c r="AN227" s="39"/>
    </row>
    <row r="228" spans="1:40" ht="16.5" customHeight="1">
      <c r="A228" s="39"/>
      <c r="B228" s="50"/>
      <c r="C228" s="95">
        <f t="shared" si="19"/>
        <v>209</v>
      </c>
      <c r="D228" s="96">
        <v>1</v>
      </c>
      <c r="E228" s="194" t="str">
        <f t="shared" si="8"/>
        <v>7</v>
      </c>
      <c r="F228" s="195">
        <f t="shared" si="20"/>
        <v>45500</v>
      </c>
      <c r="G228" s="196" t="str">
        <f t="shared" si="9"/>
        <v>Sat</v>
      </c>
      <c r="H228" s="197"/>
      <c r="I228" s="208"/>
      <c r="J228" s="209">
        <v>104300</v>
      </c>
      <c r="K228" s="136"/>
      <c r="L228" s="104">
        <f t="shared" si="232"/>
        <v>95972.134020618556</v>
      </c>
      <c r="M228" s="105">
        <f t="shared" si="11"/>
        <v>8327.865979381444</v>
      </c>
      <c r="N228" s="106">
        <f t="shared" si="12"/>
        <v>1.0867737918341203</v>
      </c>
      <c r="O228" s="200"/>
      <c r="P228" s="170">
        <f t="shared" si="234"/>
        <v>2111386.9484536089</v>
      </c>
      <c r="Q228" s="104">
        <f t="shared" si="235"/>
        <v>2119050</v>
      </c>
      <c r="R228" s="108">
        <f t="shared" si="13"/>
        <v>7663.0515463910997</v>
      </c>
      <c r="S228" s="106">
        <f t="shared" si="14"/>
        <v>1.0036293923063244</v>
      </c>
      <c r="T228" s="134"/>
      <c r="U228" s="104">
        <f t="shared" si="23"/>
        <v>16234444.144329885</v>
      </c>
      <c r="V228" s="104">
        <f t="shared" si="24"/>
        <v>17492100</v>
      </c>
      <c r="W228" s="108">
        <f t="shared" si="15"/>
        <v>1257655.855670115</v>
      </c>
      <c r="X228" s="106">
        <f t="shared" si="16"/>
        <v>1.0774683656852748</v>
      </c>
      <c r="Y228" s="39"/>
      <c r="Z228" s="202">
        <f t="shared" ref="Z228:AA228" si="261">Z227+1</f>
        <v>45500</v>
      </c>
      <c r="AA228" s="203">
        <f t="shared" si="261"/>
        <v>45500</v>
      </c>
      <c r="AB228" s="204">
        <v>45500</v>
      </c>
      <c r="AC228" s="39"/>
      <c r="AD228" s="39"/>
      <c r="AE228" s="39"/>
      <c r="AF228" s="39"/>
      <c r="AG228" s="114"/>
      <c r="AH228" s="39"/>
      <c r="AI228" s="39"/>
      <c r="AJ228" s="39"/>
      <c r="AK228" s="39"/>
      <c r="AL228" s="39"/>
      <c r="AM228" s="39"/>
      <c r="AN228" s="39"/>
    </row>
    <row r="229" spans="1:40" ht="16.5" customHeight="1">
      <c r="A229" s="39"/>
      <c r="B229" s="50"/>
      <c r="C229" s="95">
        <f t="shared" si="19"/>
        <v>210</v>
      </c>
      <c r="D229" s="96">
        <v>1</v>
      </c>
      <c r="E229" s="194" t="str">
        <f t="shared" si="8"/>
        <v>7</v>
      </c>
      <c r="F229" s="195">
        <f t="shared" si="20"/>
        <v>45501</v>
      </c>
      <c r="G229" s="196" t="str">
        <f t="shared" si="9"/>
        <v>Sun</v>
      </c>
      <c r="H229" s="197" t="s">
        <v>157</v>
      </c>
      <c r="I229" s="208"/>
      <c r="J229" s="209">
        <v>111200</v>
      </c>
      <c r="K229" s="136"/>
      <c r="L229" s="104">
        <f t="shared" si="232"/>
        <v>95972.134020618556</v>
      </c>
      <c r="M229" s="105">
        <f t="shared" si="11"/>
        <v>15227.865979381444</v>
      </c>
      <c r="N229" s="106">
        <f t="shared" si="12"/>
        <v>1.1586696610925615</v>
      </c>
      <c r="O229" s="200"/>
      <c r="P229" s="170">
        <f t="shared" si="234"/>
        <v>2207359.0824742275</v>
      </c>
      <c r="Q229" s="104">
        <f t="shared" si="235"/>
        <v>2230250</v>
      </c>
      <c r="R229" s="108">
        <f t="shared" si="13"/>
        <v>22890.917525772471</v>
      </c>
      <c r="S229" s="106">
        <f t="shared" si="14"/>
        <v>1.0103702735578999</v>
      </c>
      <c r="T229" s="133"/>
      <c r="U229" s="104">
        <f t="shared" si="23"/>
        <v>16330416.278350504</v>
      </c>
      <c r="V229" s="104">
        <f t="shared" si="24"/>
        <v>17603300</v>
      </c>
      <c r="W229" s="108">
        <f t="shared" si="15"/>
        <v>1272883.7216494959</v>
      </c>
      <c r="X229" s="106">
        <f t="shared" si="16"/>
        <v>1.0779455771336937</v>
      </c>
      <c r="Y229" s="39"/>
      <c r="Z229" s="202">
        <f t="shared" ref="Z229:AA229" si="262">Z228+1</f>
        <v>45501</v>
      </c>
      <c r="AA229" s="203">
        <f t="shared" si="262"/>
        <v>45501</v>
      </c>
      <c r="AB229" s="204">
        <v>45501</v>
      </c>
      <c r="AC229" s="39"/>
      <c r="AD229" s="39"/>
      <c r="AE229" s="39"/>
      <c r="AF229" s="39"/>
      <c r="AG229" s="114"/>
      <c r="AH229" s="39"/>
      <c r="AI229" s="39"/>
      <c r="AJ229" s="39"/>
      <c r="AK229" s="39"/>
      <c r="AL229" s="39"/>
      <c r="AM229" s="39"/>
      <c r="AN229" s="39"/>
    </row>
    <row r="230" spans="1:40" ht="16.5" customHeight="1">
      <c r="A230" s="39"/>
      <c r="B230" s="50"/>
      <c r="C230" s="95">
        <f t="shared" si="19"/>
        <v>211</v>
      </c>
      <c r="D230" s="96">
        <v>0</v>
      </c>
      <c r="E230" s="194" t="str">
        <f t="shared" si="8"/>
        <v>7</v>
      </c>
      <c r="F230" s="195">
        <f t="shared" si="20"/>
        <v>45502</v>
      </c>
      <c r="G230" s="196" t="str">
        <f t="shared" si="9"/>
        <v>Mon</v>
      </c>
      <c r="H230" s="197"/>
      <c r="I230" s="208"/>
      <c r="J230" s="209"/>
      <c r="K230" s="136"/>
      <c r="L230" s="104">
        <f t="shared" si="232"/>
        <v>0</v>
      </c>
      <c r="M230" s="105">
        <f t="shared" si="11"/>
        <v>0</v>
      </c>
      <c r="N230" s="106" t="str">
        <f t="shared" si="12"/>
        <v>0%</v>
      </c>
      <c r="O230" s="200"/>
      <c r="P230" s="170">
        <f t="shared" si="234"/>
        <v>0</v>
      </c>
      <c r="Q230" s="104">
        <f t="shared" si="235"/>
        <v>0</v>
      </c>
      <c r="R230" s="108">
        <f t="shared" si="13"/>
        <v>0</v>
      </c>
      <c r="S230" s="106" t="str">
        <f t="shared" si="14"/>
        <v>0%</v>
      </c>
      <c r="T230" s="133"/>
      <c r="U230" s="104">
        <f t="shared" si="23"/>
        <v>0</v>
      </c>
      <c r="V230" s="104">
        <f t="shared" si="24"/>
        <v>0</v>
      </c>
      <c r="W230" s="108">
        <f t="shared" si="15"/>
        <v>0</v>
      </c>
      <c r="X230" s="106" t="str">
        <f t="shared" si="16"/>
        <v>0%</v>
      </c>
      <c r="Y230" s="39"/>
      <c r="Z230" s="202">
        <f t="shared" ref="Z230:AA230" si="263">Z229+1</f>
        <v>45502</v>
      </c>
      <c r="AA230" s="203">
        <f t="shared" si="263"/>
        <v>45502</v>
      </c>
      <c r="AB230" s="204">
        <v>45502</v>
      </c>
      <c r="AC230" s="39"/>
      <c r="AD230" s="39"/>
      <c r="AE230" s="39"/>
      <c r="AF230" s="39"/>
      <c r="AG230" s="114"/>
      <c r="AH230" s="39"/>
      <c r="AI230" s="39"/>
      <c r="AJ230" s="39"/>
      <c r="AK230" s="39"/>
      <c r="AL230" s="39"/>
      <c r="AM230" s="39"/>
      <c r="AN230" s="39"/>
    </row>
    <row r="231" spans="1:40" ht="16.5" customHeight="1">
      <c r="A231" s="39"/>
      <c r="B231" s="50"/>
      <c r="C231" s="95">
        <f t="shared" si="19"/>
        <v>212</v>
      </c>
      <c r="D231" s="96">
        <v>1</v>
      </c>
      <c r="E231" s="194" t="str">
        <f t="shared" si="8"/>
        <v>7</v>
      </c>
      <c r="F231" s="195">
        <f t="shared" si="20"/>
        <v>45503</v>
      </c>
      <c r="G231" s="196" t="str">
        <f t="shared" si="9"/>
        <v>Tue</v>
      </c>
      <c r="H231" s="197"/>
      <c r="I231" s="208"/>
      <c r="J231" s="209">
        <v>106900</v>
      </c>
      <c r="K231" s="136"/>
      <c r="L231" s="104">
        <f t="shared" si="232"/>
        <v>95972.134020618556</v>
      </c>
      <c r="M231" s="105">
        <f t="shared" si="11"/>
        <v>10927.865979381444</v>
      </c>
      <c r="N231" s="106">
        <f t="shared" si="12"/>
        <v>1.1138649889459966</v>
      </c>
      <c r="O231" s="200"/>
      <c r="P231" s="170">
        <f t="shared" si="234"/>
        <v>2303331.2164948462</v>
      </c>
      <c r="Q231" s="104">
        <f t="shared" si="235"/>
        <v>2337150</v>
      </c>
      <c r="R231" s="108">
        <f t="shared" si="13"/>
        <v>33818.783505153842</v>
      </c>
      <c r="S231" s="106">
        <f t="shared" si="14"/>
        <v>1.0146825533657371</v>
      </c>
      <c r="T231" s="133"/>
      <c r="U231" s="104">
        <f t="shared" si="23"/>
        <v>16426388.412371123</v>
      </c>
      <c r="V231" s="104">
        <f t="shared" si="24"/>
        <v>17710200</v>
      </c>
      <c r="W231" s="108">
        <f t="shared" si="15"/>
        <v>1283811.5876288768</v>
      </c>
      <c r="X231" s="106">
        <f t="shared" si="16"/>
        <v>1.0781554383958196</v>
      </c>
      <c r="Y231" s="39"/>
      <c r="Z231" s="202">
        <f t="shared" ref="Z231:AA231" si="264">Z230+1</f>
        <v>45503</v>
      </c>
      <c r="AA231" s="203">
        <f t="shared" si="264"/>
        <v>45503</v>
      </c>
      <c r="AB231" s="204">
        <v>45503</v>
      </c>
      <c r="AC231" s="39"/>
      <c r="AD231" s="39"/>
      <c r="AE231" s="39"/>
      <c r="AF231" s="39"/>
      <c r="AG231" s="114"/>
      <c r="AH231" s="39"/>
      <c r="AI231" s="39"/>
      <c r="AJ231" s="39"/>
      <c r="AK231" s="39"/>
      <c r="AL231" s="39"/>
      <c r="AM231" s="39"/>
      <c r="AN231" s="39"/>
    </row>
    <row r="232" spans="1:40" ht="16.5" customHeight="1">
      <c r="A232" s="39"/>
      <c r="B232" s="50"/>
      <c r="C232" s="160">
        <f t="shared" si="19"/>
        <v>213</v>
      </c>
      <c r="D232" s="138">
        <v>1</v>
      </c>
      <c r="E232" s="210" t="str">
        <f t="shared" si="8"/>
        <v>7</v>
      </c>
      <c r="F232" s="211">
        <f t="shared" si="20"/>
        <v>45504</v>
      </c>
      <c r="G232" s="212" t="str">
        <f t="shared" si="9"/>
        <v>Wed</v>
      </c>
      <c r="H232" s="213"/>
      <c r="I232" s="214"/>
      <c r="J232" s="215">
        <v>54900</v>
      </c>
      <c r="K232" s="136"/>
      <c r="L232" s="165">
        <f t="shared" si="232"/>
        <v>95972.134020618556</v>
      </c>
      <c r="M232" s="147">
        <f t="shared" si="11"/>
        <v>-41072.134020618556</v>
      </c>
      <c r="N232" s="161">
        <f t="shared" si="12"/>
        <v>0.57204104670846789</v>
      </c>
      <c r="O232" s="216"/>
      <c r="P232" s="150">
        <f t="shared" si="234"/>
        <v>2399303.3505154648</v>
      </c>
      <c r="Q232" s="165">
        <f t="shared" si="235"/>
        <v>2392050</v>
      </c>
      <c r="R232" s="167">
        <f t="shared" si="13"/>
        <v>-7253.3505154647864</v>
      </c>
      <c r="S232" s="161">
        <f t="shared" si="14"/>
        <v>0.99697689309944637</v>
      </c>
      <c r="T232" s="149"/>
      <c r="U232" s="165">
        <f t="shared" si="23"/>
        <v>16522360.546391742</v>
      </c>
      <c r="V232" s="165">
        <f t="shared" si="24"/>
        <v>17765100</v>
      </c>
      <c r="W232" s="167">
        <f t="shared" si="15"/>
        <v>1242739.4536082577</v>
      </c>
      <c r="X232" s="161">
        <f t="shared" si="16"/>
        <v>1.0752156116021603</v>
      </c>
      <c r="Y232" s="39"/>
      <c r="Z232" s="202">
        <f t="shared" ref="Z232:AA232" si="265">Z231+1</f>
        <v>45504</v>
      </c>
      <c r="AA232" s="203">
        <f t="shared" si="265"/>
        <v>45504</v>
      </c>
      <c r="AB232" s="204">
        <v>45504</v>
      </c>
      <c r="AC232" s="39"/>
      <c r="AD232" s="39"/>
      <c r="AE232" s="39"/>
      <c r="AF232" s="39"/>
      <c r="AG232" s="114"/>
      <c r="AH232" s="39"/>
      <c r="AI232" s="39"/>
      <c r="AJ232" s="39"/>
      <c r="AK232" s="39"/>
      <c r="AL232" s="39"/>
      <c r="AM232" s="39"/>
      <c r="AN232" s="39"/>
    </row>
    <row r="233" spans="1:40" ht="16.5" customHeight="1">
      <c r="A233" s="39"/>
      <c r="B233" s="50"/>
      <c r="C233" s="95">
        <f t="shared" si="19"/>
        <v>214</v>
      </c>
      <c r="D233" s="155">
        <v>1</v>
      </c>
      <c r="E233" s="194" t="str">
        <f t="shared" si="8"/>
        <v>8</v>
      </c>
      <c r="F233" s="195">
        <f t="shared" si="20"/>
        <v>45505</v>
      </c>
      <c r="G233" s="196" t="str">
        <f t="shared" si="9"/>
        <v>Thu</v>
      </c>
      <c r="H233" s="197"/>
      <c r="I233" s="208"/>
      <c r="J233" s="209">
        <v>71200</v>
      </c>
      <c r="K233" s="136"/>
      <c r="L233" s="104">
        <f t="shared" ref="L233:L263" si="266">IF(D233=0,0,$K$13)</f>
        <v>80818.639175257733</v>
      </c>
      <c r="M233" s="108">
        <f t="shared" si="11"/>
        <v>-9618.6391752577329</v>
      </c>
      <c r="N233" s="156">
        <f t="shared" si="12"/>
        <v>0.88098489069582808</v>
      </c>
      <c r="O233" s="200"/>
      <c r="P233" s="111">
        <f>IF(D233=0,0,$L$233)</f>
        <v>80818.639175257733</v>
      </c>
      <c r="Q233" s="104">
        <f>IF(D233=0,0,$J$233)</f>
        <v>71200</v>
      </c>
      <c r="R233" s="108">
        <f t="shared" si="13"/>
        <v>-9618.6391752577329</v>
      </c>
      <c r="S233" s="156">
        <f t="shared" si="14"/>
        <v>0.88098489069582808</v>
      </c>
      <c r="T233" s="133"/>
      <c r="U233" s="104">
        <f t="shared" si="23"/>
        <v>16603179.185567001</v>
      </c>
      <c r="V233" s="104">
        <f t="shared" si="24"/>
        <v>17836300</v>
      </c>
      <c r="W233" s="108">
        <f t="shared" si="15"/>
        <v>1233120.8144329991</v>
      </c>
      <c r="X233" s="156">
        <f t="shared" si="16"/>
        <v>1.0742701623978701</v>
      </c>
      <c r="Y233" s="39"/>
      <c r="Z233" s="202">
        <f t="shared" ref="Z233:AA233" si="267">Z232+1</f>
        <v>45505</v>
      </c>
      <c r="AA233" s="203">
        <f t="shared" si="267"/>
        <v>45505</v>
      </c>
      <c r="AB233" s="204">
        <v>45505</v>
      </c>
      <c r="AC233" s="39"/>
      <c r="AD233" s="39"/>
      <c r="AE233" s="39"/>
      <c r="AF233" s="39"/>
      <c r="AG233" s="114"/>
      <c r="AH233" s="39"/>
      <c r="AI233" s="39"/>
      <c r="AJ233" s="39"/>
      <c r="AK233" s="39"/>
      <c r="AL233" s="39"/>
      <c r="AM233" s="39"/>
      <c r="AN233" s="39"/>
    </row>
    <row r="234" spans="1:40" ht="16.5" customHeight="1">
      <c r="A234" s="39"/>
      <c r="B234" s="50"/>
      <c r="C234" s="95">
        <f t="shared" si="19"/>
        <v>215</v>
      </c>
      <c r="D234" s="96">
        <v>1</v>
      </c>
      <c r="E234" s="194" t="str">
        <f t="shared" si="8"/>
        <v>8</v>
      </c>
      <c r="F234" s="195">
        <f t="shared" si="20"/>
        <v>45506</v>
      </c>
      <c r="G234" s="196" t="str">
        <f t="shared" si="9"/>
        <v>Fri</v>
      </c>
      <c r="H234" s="197"/>
      <c r="I234" s="208"/>
      <c r="J234" s="209">
        <v>140950</v>
      </c>
      <c r="K234" s="136"/>
      <c r="L234" s="104">
        <f t="shared" si="266"/>
        <v>80818.639175257733</v>
      </c>
      <c r="M234" s="105">
        <f t="shared" si="11"/>
        <v>60131.360824742267</v>
      </c>
      <c r="N234" s="106">
        <f t="shared" si="12"/>
        <v>1.7440283756120361</v>
      </c>
      <c r="O234" s="200"/>
      <c r="P234" s="170">
        <f t="shared" ref="P234:P263" si="268">IF(D234=0,0,SUM($L$233:L234))</f>
        <v>161637.27835051547</v>
      </c>
      <c r="Q234" s="104">
        <f t="shared" ref="Q234:Q263" si="269">IF(D234=0,0,SUM($J$233:J234))</f>
        <v>212150</v>
      </c>
      <c r="R234" s="108">
        <f t="shared" si="13"/>
        <v>50512.721649484534</v>
      </c>
      <c r="S234" s="106">
        <f t="shared" si="14"/>
        <v>1.3125066331539321</v>
      </c>
      <c r="T234" s="133"/>
      <c r="U234" s="104">
        <f t="shared" si="23"/>
        <v>16683997.824742259</v>
      </c>
      <c r="V234" s="104">
        <f t="shared" si="24"/>
        <v>17977250</v>
      </c>
      <c r="W234" s="108">
        <f t="shared" si="15"/>
        <v>1293252.1752577405</v>
      </c>
      <c r="X234" s="106">
        <f t="shared" si="16"/>
        <v>1.0775145255257619</v>
      </c>
      <c r="Y234" s="39"/>
      <c r="Z234" s="202">
        <f t="shared" ref="Z234:AA234" si="270">Z233+1</f>
        <v>45506</v>
      </c>
      <c r="AA234" s="203">
        <f t="shared" si="270"/>
        <v>45506</v>
      </c>
      <c r="AB234" s="204">
        <v>45506</v>
      </c>
      <c r="AC234" s="39"/>
      <c r="AD234" s="39"/>
      <c r="AE234" s="39"/>
      <c r="AF234" s="39"/>
      <c r="AG234" s="114"/>
      <c r="AH234" s="39"/>
      <c r="AI234" s="39"/>
      <c r="AJ234" s="39"/>
      <c r="AK234" s="39"/>
      <c r="AL234" s="39"/>
      <c r="AM234" s="39"/>
      <c r="AN234" s="39"/>
    </row>
    <row r="235" spans="1:40" ht="16.5" customHeight="1">
      <c r="A235" s="39"/>
      <c r="B235" s="50"/>
      <c r="C235" s="95">
        <f t="shared" si="19"/>
        <v>216</v>
      </c>
      <c r="D235" s="96">
        <v>1</v>
      </c>
      <c r="E235" s="194" t="str">
        <f t="shared" si="8"/>
        <v>8</v>
      </c>
      <c r="F235" s="195">
        <f t="shared" si="20"/>
        <v>45507</v>
      </c>
      <c r="G235" s="196" t="str">
        <f t="shared" si="9"/>
        <v>Sat</v>
      </c>
      <c r="H235" s="197"/>
      <c r="I235" s="208"/>
      <c r="J235" s="209">
        <v>80350</v>
      </c>
      <c r="K235" s="136"/>
      <c r="L235" s="104">
        <f t="shared" si="266"/>
        <v>80818.639175257733</v>
      </c>
      <c r="M235" s="105">
        <f t="shared" si="11"/>
        <v>-468.63917525773286</v>
      </c>
      <c r="N235" s="106">
        <f t="shared" si="12"/>
        <v>0.99420134785687897</v>
      </c>
      <c r="O235" s="200"/>
      <c r="P235" s="170">
        <f t="shared" si="268"/>
        <v>242455.9175257732</v>
      </c>
      <c r="Q235" s="104">
        <f t="shared" si="269"/>
        <v>292500</v>
      </c>
      <c r="R235" s="108">
        <f t="shared" si="13"/>
        <v>50044.082474226801</v>
      </c>
      <c r="S235" s="106">
        <f t="shared" si="14"/>
        <v>1.2064048713882476</v>
      </c>
      <c r="T235" s="134"/>
      <c r="U235" s="104">
        <f t="shared" si="23"/>
        <v>16764816.463917518</v>
      </c>
      <c r="V235" s="104">
        <f t="shared" si="24"/>
        <v>18057600</v>
      </c>
      <c r="W235" s="108">
        <f t="shared" si="15"/>
        <v>1292783.536082482</v>
      </c>
      <c r="X235" s="106">
        <f t="shared" si="16"/>
        <v>1.0771128952628206</v>
      </c>
      <c r="Y235" s="39"/>
      <c r="Z235" s="202">
        <f t="shared" ref="Z235:AA235" si="271">Z234+1</f>
        <v>45507</v>
      </c>
      <c r="AA235" s="203">
        <f t="shared" si="271"/>
        <v>45507</v>
      </c>
      <c r="AB235" s="204">
        <v>45507</v>
      </c>
      <c r="AC235" s="39"/>
      <c r="AD235" s="39"/>
      <c r="AE235" s="39"/>
      <c r="AF235" s="39"/>
      <c r="AG235" s="114"/>
      <c r="AH235" s="39"/>
      <c r="AI235" s="39"/>
      <c r="AJ235" s="39"/>
      <c r="AK235" s="39"/>
      <c r="AL235" s="39"/>
      <c r="AM235" s="39"/>
      <c r="AN235" s="39"/>
    </row>
    <row r="236" spans="1:40" ht="16.5" customHeight="1">
      <c r="A236" s="39"/>
      <c r="B236" s="50"/>
      <c r="C236" s="95">
        <f t="shared" si="19"/>
        <v>217</v>
      </c>
      <c r="D236" s="96">
        <v>1</v>
      </c>
      <c r="E236" s="194" t="str">
        <f t="shared" si="8"/>
        <v>8</v>
      </c>
      <c r="F236" s="195">
        <f t="shared" si="20"/>
        <v>45508</v>
      </c>
      <c r="G236" s="196" t="str">
        <f t="shared" si="9"/>
        <v>Sun</v>
      </c>
      <c r="H236" s="197" t="s">
        <v>157</v>
      </c>
      <c r="I236" s="208"/>
      <c r="J236" s="209">
        <v>149050</v>
      </c>
      <c r="K236" s="136"/>
      <c r="L236" s="104">
        <f t="shared" si="266"/>
        <v>80818.639175257733</v>
      </c>
      <c r="M236" s="105">
        <f t="shared" si="11"/>
        <v>68231.360824742267</v>
      </c>
      <c r="N236" s="106">
        <f t="shared" si="12"/>
        <v>1.8442527803119828</v>
      </c>
      <c r="O236" s="200"/>
      <c r="P236" s="170">
        <f t="shared" si="268"/>
        <v>323274.55670103093</v>
      </c>
      <c r="Q236" s="104">
        <f t="shared" si="269"/>
        <v>441550</v>
      </c>
      <c r="R236" s="108">
        <f t="shared" si="13"/>
        <v>118275.44329896907</v>
      </c>
      <c r="S236" s="106">
        <f t="shared" si="14"/>
        <v>1.3658668486191814</v>
      </c>
      <c r="T236" s="133"/>
      <c r="U236" s="104">
        <f t="shared" si="23"/>
        <v>16845635.103092775</v>
      </c>
      <c r="V236" s="104">
        <f t="shared" si="24"/>
        <v>18206650</v>
      </c>
      <c r="W236" s="108">
        <f t="shared" si="15"/>
        <v>1361014.8969072253</v>
      </c>
      <c r="X236" s="106">
        <f t="shared" si="16"/>
        <v>1.0807933264954404</v>
      </c>
      <c r="Y236" s="39"/>
      <c r="Z236" s="202">
        <f t="shared" ref="Z236:AA236" si="272">Z235+1</f>
        <v>45508</v>
      </c>
      <c r="AA236" s="203">
        <f t="shared" si="272"/>
        <v>45508</v>
      </c>
      <c r="AB236" s="204">
        <v>45508</v>
      </c>
      <c r="AC236" s="39"/>
      <c r="AD236" s="39"/>
      <c r="AE236" s="39"/>
      <c r="AF236" s="39"/>
      <c r="AG236" s="114"/>
      <c r="AH236" s="39"/>
      <c r="AI236" s="39"/>
      <c r="AJ236" s="39"/>
      <c r="AK236" s="39"/>
      <c r="AL236" s="39"/>
      <c r="AM236" s="39"/>
      <c r="AN236" s="39"/>
    </row>
    <row r="237" spans="1:40" ht="16.5" customHeight="1">
      <c r="A237" s="39"/>
      <c r="B237" s="50"/>
      <c r="C237" s="95">
        <f t="shared" si="19"/>
        <v>218</v>
      </c>
      <c r="D237" s="96">
        <v>0</v>
      </c>
      <c r="E237" s="194" t="str">
        <f t="shared" si="8"/>
        <v>8</v>
      </c>
      <c r="F237" s="195">
        <f t="shared" si="20"/>
        <v>45509</v>
      </c>
      <c r="G237" s="196" t="str">
        <f t="shared" si="9"/>
        <v>Mon</v>
      </c>
      <c r="H237" s="197"/>
      <c r="I237" s="208"/>
      <c r="J237" s="209"/>
      <c r="K237" s="136"/>
      <c r="L237" s="104">
        <f t="shared" si="266"/>
        <v>0</v>
      </c>
      <c r="M237" s="105">
        <f t="shared" si="11"/>
        <v>0</v>
      </c>
      <c r="N237" s="106" t="str">
        <f t="shared" si="12"/>
        <v>0%</v>
      </c>
      <c r="O237" s="200"/>
      <c r="P237" s="170">
        <f t="shared" si="268"/>
        <v>0</v>
      </c>
      <c r="Q237" s="104">
        <f t="shared" si="269"/>
        <v>0</v>
      </c>
      <c r="R237" s="108">
        <f t="shared" si="13"/>
        <v>0</v>
      </c>
      <c r="S237" s="106" t="str">
        <f t="shared" si="14"/>
        <v>0%</v>
      </c>
      <c r="T237" s="133"/>
      <c r="U237" s="104">
        <f t="shared" si="23"/>
        <v>0</v>
      </c>
      <c r="V237" s="104">
        <f t="shared" si="24"/>
        <v>0</v>
      </c>
      <c r="W237" s="108">
        <f t="shared" si="15"/>
        <v>0</v>
      </c>
      <c r="X237" s="106" t="str">
        <f t="shared" si="16"/>
        <v>0%</v>
      </c>
      <c r="Y237" s="39"/>
      <c r="Z237" s="202">
        <f t="shared" ref="Z237:AA237" si="273">Z236+1</f>
        <v>45509</v>
      </c>
      <c r="AA237" s="203">
        <f t="shared" si="273"/>
        <v>45509</v>
      </c>
      <c r="AB237" s="204">
        <v>45509</v>
      </c>
      <c r="AC237" s="39"/>
      <c r="AD237" s="39"/>
      <c r="AE237" s="39"/>
      <c r="AF237" s="39"/>
      <c r="AG237" s="114"/>
      <c r="AH237" s="39"/>
      <c r="AI237" s="39"/>
      <c r="AJ237" s="39"/>
      <c r="AK237" s="39"/>
      <c r="AL237" s="39"/>
      <c r="AM237" s="39"/>
      <c r="AN237" s="39"/>
    </row>
    <row r="238" spans="1:40" ht="16.5" customHeight="1">
      <c r="A238" s="39"/>
      <c r="B238" s="50"/>
      <c r="C238" s="95">
        <f t="shared" si="19"/>
        <v>219</v>
      </c>
      <c r="D238" s="96">
        <v>1</v>
      </c>
      <c r="E238" s="194" t="str">
        <f t="shared" si="8"/>
        <v>8</v>
      </c>
      <c r="F238" s="195">
        <f t="shared" si="20"/>
        <v>45510</v>
      </c>
      <c r="G238" s="196" t="str">
        <f t="shared" si="9"/>
        <v>Tue</v>
      </c>
      <c r="H238" s="197"/>
      <c r="I238" s="208"/>
      <c r="J238" s="209">
        <v>43500</v>
      </c>
      <c r="K238" s="136"/>
      <c r="L238" s="104">
        <f t="shared" si="266"/>
        <v>80818.639175257733</v>
      </c>
      <c r="M238" s="105">
        <f t="shared" si="11"/>
        <v>-37318.639175257733</v>
      </c>
      <c r="N238" s="106">
        <f t="shared" si="12"/>
        <v>0.53824217338860281</v>
      </c>
      <c r="O238" s="200"/>
      <c r="P238" s="170">
        <f t="shared" si="268"/>
        <v>404093.19587628869</v>
      </c>
      <c r="Q238" s="104">
        <f t="shared" si="269"/>
        <v>485050</v>
      </c>
      <c r="R238" s="108">
        <f t="shared" si="13"/>
        <v>80956.804123711307</v>
      </c>
      <c r="S238" s="106">
        <f t="shared" si="14"/>
        <v>1.2003419135730655</v>
      </c>
      <c r="T238" s="133"/>
      <c r="U238" s="104">
        <f t="shared" si="23"/>
        <v>16926453.742268033</v>
      </c>
      <c r="V238" s="104">
        <f t="shared" si="24"/>
        <v>18250150</v>
      </c>
      <c r="W238" s="108">
        <f t="shared" si="15"/>
        <v>1323696.2577319667</v>
      </c>
      <c r="X238" s="106">
        <f t="shared" si="16"/>
        <v>1.0782028106942736</v>
      </c>
      <c r="Y238" s="39"/>
      <c r="Z238" s="202">
        <f t="shared" ref="Z238:AA238" si="274">Z237+1</f>
        <v>45510</v>
      </c>
      <c r="AA238" s="203">
        <f t="shared" si="274"/>
        <v>45510</v>
      </c>
      <c r="AB238" s="204">
        <v>45510</v>
      </c>
      <c r="AC238" s="39"/>
      <c r="AD238" s="39"/>
      <c r="AE238" s="39"/>
      <c r="AF238" s="39"/>
      <c r="AG238" s="114"/>
      <c r="AH238" s="39"/>
      <c r="AI238" s="39"/>
      <c r="AJ238" s="39"/>
      <c r="AK238" s="39"/>
      <c r="AL238" s="39"/>
      <c r="AM238" s="39"/>
      <c r="AN238" s="39"/>
    </row>
    <row r="239" spans="1:40" ht="16.5" customHeight="1">
      <c r="A239" s="39"/>
      <c r="B239" s="50"/>
      <c r="C239" s="95">
        <f t="shared" si="19"/>
        <v>220</v>
      </c>
      <c r="D239" s="96">
        <v>1</v>
      </c>
      <c r="E239" s="194" t="str">
        <f t="shared" si="8"/>
        <v>8</v>
      </c>
      <c r="F239" s="195">
        <f t="shared" si="20"/>
        <v>45511</v>
      </c>
      <c r="G239" s="196" t="str">
        <f t="shared" si="9"/>
        <v>Wed</v>
      </c>
      <c r="H239" s="197"/>
      <c r="I239" s="208"/>
      <c r="J239" s="209">
        <v>92950</v>
      </c>
      <c r="K239" s="136"/>
      <c r="L239" s="104">
        <f t="shared" si="266"/>
        <v>80818.639175257733</v>
      </c>
      <c r="M239" s="105">
        <f t="shared" si="11"/>
        <v>12131.360824742267</v>
      </c>
      <c r="N239" s="106">
        <f t="shared" si="12"/>
        <v>1.1501059773901294</v>
      </c>
      <c r="O239" s="200"/>
      <c r="P239" s="170">
        <f t="shared" si="268"/>
        <v>484911.83505154646</v>
      </c>
      <c r="Q239" s="104">
        <f t="shared" si="269"/>
        <v>578000</v>
      </c>
      <c r="R239" s="108">
        <f t="shared" si="13"/>
        <v>93088.164948453545</v>
      </c>
      <c r="S239" s="106">
        <f t="shared" si="14"/>
        <v>1.1919692575425762</v>
      </c>
      <c r="T239" s="133"/>
      <c r="U239" s="104">
        <f t="shared" si="23"/>
        <v>17007272.381443292</v>
      </c>
      <c r="V239" s="104">
        <f t="shared" si="24"/>
        <v>18343100</v>
      </c>
      <c r="W239" s="108">
        <f t="shared" si="15"/>
        <v>1335827.6185567081</v>
      </c>
      <c r="X239" s="106">
        <f t="shared" si="16"/>
        <v>1.0785444948840965</v>
      </c>
      <c r="Y239" s="39"/>
      <c r="Z239" s="202">
        <f t="shared" ref="Z239:AA239" si="275">Z238+1</f>
        <v>45511</v>
      </c>
      <c r="AA239" s="203">
        <f t="shared" si="275"/>
        <v>45511</v>
      </c>
      <c r="AB239" s="204">
        <v>45511</v>
      </c>
      <c r="AC239" s="39"/>
      <c r="AD239" s="39"/>
      <c r="AE239" s="39"/>
      <c r="AF239" s="39"/>
      <c r="AG239" s="114"/>
      <c r="AH239" s="39"/>
      <c r="AI239" s="39"/>
      <c r="AJ239" s="39"/>
      <c r="AK239" s="39"/>
      <c r="AL239" s="39"/>
      <c r="AM239" s="39"/>
      <c r="AN239" s="39"/>
    </row>
    <row r="240" spans="1:40" ht="16.5" customHeight="1">
      <c r="A240" s="39"/>
      <c r="B240" s="50"/>
      <c r="C240" s="95">
        <f t="shared" si="19"/>
        <v>221</v>
      </c>
      <c r="D240" s="96">
        <v>1</v>
      </c>
      <c r="E240" s="194" t="str">
        <f t="shared" si="8"/>
        <v>8</v>
      </c>
      <c r="F240" s="195">
        <f t="shared" si="20"/>
        <v>45512</v>
      </c>
      <c r="G240" s="196" t="str">
        <f t="shared" si="9"/>
        <v>Thu</v>
      </c>
      <c r="H240" s="197"/>
      <c r="I240" s="208"/>
      <c r="J240" s="209">
        <v>83200</v>
      </c>
      <c r="K240" s="136"/>
      <c r="L240" s="104">
        <f t="shared" si="266"/>
        <v>80818.639175257733</v>
      </c>
      <c r="M240" s="105">
        <f t="shared" si="11"/>
        <v>2381.3608247422671</v>
      </c>
      <c r="N240" s="106">
        <f t="shared" si="12"/>
        <v>1.0294654902513047</v>
      </c>
      <c r="O240" s="200"/>
      <c r="P240" s="170">
        <f t="shared" si="268"/>
        <v>565730.47422680422</v>
      </c>
      <c r="Q240" s="104">
        <f t="shared" si="269"/>
        <v>661200</v>
      </c>
      <c r="R240" s="108">
        <f t="shared" si="13"/>
        <v>95469.525773195783</v>
      </c>
      <c r="S240" s="106">
        <f t="shared" si="14"/>
        <v>1.1687544336438231</v>
      </c>
      <c r="T240" s="133"/>
      <c r="U240" s="104">
        <f t="shared" si="23"/>
        <v>17088091.02061855</v>
      </c>
      <c r="V240" s="104">
        <f t="shared" si="24"/>
        <v>18426300</v>
      </c>
      <c r="W240" s="108">
        <f t="shared" si="15"/>
        <v>1338208.9793814495</v>
      </c>
      <c r="X240" s="106">
        <f t="shared" si="16"/>
        <v>1.0783123742591705</v>
      </c>
      <c r="Y240" s="39"/>
      <c r="Z240" s="202">
        <f t="shared" ref="Z240:AA240" si="276">Z239+1</f>
        <v>45512</v>
      </c>
      <c r="AA240" s="203">
        <f t="shared" si="276"/>
        <v>45512</v>
      </c>
      <c r="AB240" s="204">
        <v>45512</v>
      </c>
      <c r="AC240" s="39"/>
      <c r="AD240" s="39"/>
      <c r="AE240" s="39"/>
      <c r="AF240" s="39"/>
      <c r="AG240" s="114"/>
      <c r="AH240" s="39"/>
      <c r="AI240" s="39"/>
      <c r="AJ240" s="39"/>
      <c r="AK240" s="39"/>
      <c r="AL240" s="39"/>
      <c r="AM240" s="39"/>
      <c r="AN240" s="39"/>
    </row>
    <row r="241" spans="1:40" ht="16.5" customHeight="1">
      <c r="A241" s="39"/>
      <c r="B241" s="50"/>
      <c r="C241" s="95">
        <f t="shared" si="19"/>
        <v>222</v>
      </c>
      <c r="D241" s="96">
        <v>1</v>
      </c>
      <c r="E241" s="194" t="str">
        <f t="shared" si="8"/>
        <v>8</v>
      </c>
      <c r="F241" s="195">
        <f t="shared" si="20"/>
        <v>45513</v>
      </c>
      <c r="G241" s="196" t="str">
        <f t="shared" si="9"/>
        <v>Fri</v>
      </c>
      <c r="H241" s="197"/>
      <c r="I241" s="208"/>
      <c r="J241" s="209">
        <v>139050</v>
      </c>
      <c r="K241" s="136"/>
      <c r="L241" s="104">
        <f t="shared" si="266"/>
        <v>80818.639175257733</v>
      </c>
      <c r="M241" s="105">
        <f t="shared" si="11"/>
        <v>58231.360824742267</v>
      </c>
      <c r="N241" s="106">
        <f t="shared" si="12"/>
        <v>1.7205189473490856</v>
      </c>
      <c r="O241" s="200"/>
      <c r="P241" s="170">
        <f t="shared" si="268"/>
        <v>646549.11340206198</v>
      </c>
      <c r="Q241" s="104">
        <f t="shared" si="269"/>
        <v>800250</v>
      </c>
      <c r="R241" s="108">
        <f t="shared" si="13"/>
        <v>153700.88659793802</v>
      </c>
      <c r="S241" s="106">
        <f t="shared" si="14"/>
        <v>1.2377249978569809</v>
      </c>
      <c r="T241" s="133"/>
      <c r="U241" s="104">
        <f t="shared" si="23"/>
        <v>17168909.659793809</v>
      </c>
      <c r="V241" s="104">
        <f t="shared" si="24"/>
        <v>18565350</v>
      </c>
      <c r="W241" s="108">
        <f t="shared" si="15"/>
        <v>1396440.3402061909</v>
      </c>
      <c r="X241" s="106">
        <f t="shared" si="16"/>
        <v>1.0813354119671548</v>
      </c>
      <c r="Y241" s="39"/>
      <c r="Z241" s="202">
        <f t="shared" ref="Z241:AA241" si="277">Z240+1</f>
        <v>45513</v>
      </c>
      <c r="AA241" s="203">
        <f t="shared" si="277"/>
        <v>45513</v>
      </c>
      <c r="AB241" s="204">
        <v>45513</v>
      </c>
      <c r="AC241" s="39"/>
      <c r="AD241" s="39"/>
      <c r="AE241" s="39"/>
      <c r="AF241" s="39"/>
      <c r="AG241" s="114"/>
      <c r="AH241" s="39"/>
      <c r="AI241" s="39"/>
      <c r="AJ241" s="39"/>
      <c r="AK241" s="39"/>
      <c r="AL241" s="39"/>
      <c r="AM241" s="39"/>
      <c r="AN241" s="39"/>
    </row>
    <row r="242" spans="1:40" ht="16.5" customHeight="1">
      <c r="A242" s="39"/>
      <c r="B242" s="50"/>
      <c r="C242" s="95">
        <f t="shared" si="19"/>
        <v>223</v>
      </c>
      <c r="D242" s="96">
        <v>1</v>
      </c>
      <c r="E242" s="194" t="str">
        <f t="shared" si="8"/>
        <v>8</v>
      </c>
      <c r="F242" s="195">
        <f t="shared" si="20"/>
        <v>45514</v>
      </c>
      <c r="G242" s="196" t="str">
        <f t="shared" si="9"/>
        <v>Sat</v>
      </c>
      <c r="H242" s="197"/>
      <c r="I242" s="208"/>
      <c r="J242" s="209">
        <v>65250</v>
      </c>
      <c r="K242" s="136"/>
      <c r="L242" s="104">
        <f t="shared" si="266"/>
        <v>80818.639175257733</v>
      </c>
      <c r="M242" s="105">
        <f t="shared" si="11"/>
        <v>-15568.639175257733</v>
      </c>
      <c r="N242" s="106">
        <f t="shared" si="12"/>
        <v>0.80736326008290416</v>
      </c>
      <c r="O242" s="200"/>
      <c r="P242" s="170">
        <f t="shared" si="268"/>
        <v>727367.75257731974</v>
      </c>
      <c r="Q242" s="104">
        <f t="shared" si="269"/>
        <v>865500</v>
      </c>
      <c r="R242" s="108">
        <f t="shared" si="13"/>
        <v>138132.24742268026</v>
      </c>
      <c r="S242" s="106">
        <f t="shared" si="14"/>
        <v>1.1899070269931944</v>
      </c>
      <c r="T242" s="134"/>
      <c r="U242" s="104">
        <f t="shared" si="23"/>
        <v>17249728.298969068</v>
      </c>
      <c r="V242" s="104">
        <f t="shared" si="24"/>
        <v>18630600</v>
      </c>
      <c r="W242" s="108">
        <f t="shared" si="15"/>
        <v>1380871.7010309324</v>
      </c>
      <c r="X242" s="106">
        <f t="shared" si="16"/>
        <v>1.0800517942716501</v>
      </c>
      <c r="Y242" s="39"/>
      <c r="Z242" s="202">
        <f t="shared" ref="Z242:AA242" si="278">Z241+1</f>
        <v>45514</v>
      </c>
      <c r="AA242" s="203">
        <f t="shared" si="278"/>
        <v>45514</v>
      </c>
      <c r="AB242" s="204">
        <v>45514</v>
      </c>
      <c r="AC242" s="39"/>
      <c r="AD242" s="39"/>
      <c r="AE242" s="39"/>
      <c r="AF242" s="39"/>
      <c r="AG242" s="114"/>
      <c r="AH242" s="39"/>
      <c r="AI242" s="39"/>
      <c r="AJ242" s="39"/>
      <c r="AK242" s="39"/>
      <c r="AL242" s="39"/>
      <c r="AM242" s="39"/>
      <c r="AN242" s="39"/>
    </row>
    <row r="243" spans="1:40" ht="16.5" customHeight="1">
      <c r="A243" s="39"/>
      <c r="B243" s="50"/>
      <c r="C243" s="95">
        <f t="shared" si="19"/>
        <v>224</v>
      </c>
      <c r="D243" s="96">
        <v>1</v>
      </c>
      <c r="E243" s="194" t="str">
        <f t="shared" si="8"/>
        <v>8</v>
      </c>
      <c r="F243" s="195">
        <f t="shared" si="20"/>
        <v>45515</v>
      </c>
      <c r="G243" s="196" t="str">
        <f t="shared" si="9"/>
        <v>Sun</v>
      </c>
      <c r="H243" s="197" t="s">
        <v>157</v>
      </c>
      <c r="I243" s="208"/>
      <c r="J243" s="209">
        <v>61800</v>
      </c>
      <c r="K243" s="136"/>
      <c r="L243" s="104">
        <f t="shared" si="266"/>
        <v>80818.639175257733</v>
      </c>
      <c r="M243" s="105">
        <f t="shared" si="11"/>
        <v>-19018.639175257733</v>
      </c>
      <c r="N243" s="106">
        <f t="shared" si="12"/>
        <v>0.76467508771070469</v>
      </c>
      <c r="O243" s="200"/>
      <c r="P243" s="170">
        <f t="shared" si="268"/>
        <v>808186.3917525775</v>
      </c>
      <c r="Q243" s="104">
        <f t="shared" si="269"/>
        <v>927300</v>
      </c>
      <c r="R243" s="108">
        <f t="shared" si="13"/>
        <v>119113.6082474225</v>
      </c>
      <c r="S243" s="106">
        <f t="shared" si="14"/>
        <v>1.1473838330649455</v>
      </c>
      <c r="T243" s="134"/>
      <c r="U243" s="104">
        <f t="shared" si="23"/>
        <v>17330546.938144326</v>
      </c>
      <c r="V243" s="104">
        <f t="shared" si="24"/>
        <v>18692400</v>
      </c>
      <c r="W243" s="108">
        <f t="shared" si="15"/>
        <v>1361853.0618556738</v>
      </c>
      <c r="X243" s="106">
        <f t="shared" si="16"/>
        <v>1.078581078065012</v>
      </c>
      <c r="Y243" s="39"/>
      <c r="Z243" s="202">
        <f t="shared" ref="Z243:AA243" si="279">Z242+1</f>
        <v>45515</v>
      </c>
      <c r="AA243" s="203">
        <f t="shared" si="279"/>
        <v>45515</v>
      </c>
      <c r="AB243" s="204">
        <v>45515</v>
      </c>
      <c r="AC243" s="39"/>
      <c r="AD243" s="39"/>
      <c r="AE243" s="39"/>
      <c r="AF243" s="39"/>
      <c r="AG243" s="114"/>
      <c r="AH243" s="39"/>
      <c r="AI243" s="39"/>
      <c r="AJ243" s="39"/>
      <c r="AK243" s="39"/>
      <c r="AL243" s="39"/>
      <c r="AM243" s="39"/>
      <c r="AN243" s="39"/>
    </row>
    <row r="244" spans="1:40" ht="16.5" customHeight="1">
      <c r="A244" s="39"/>
      <c r="B244" s="50"/>
      <c r="C244" s="95">
        <f t="shared" si="19"/>
        <v>225</v>
      </c>
      <c r="D244" s="96">
        <v>0</v>
      </c>
      <c r="E244" s="194" t="str">
        <f t="shared" si="8"/>
        <v>8</v>
      </c>
      <c r="F244" s="195">
        <f t="shared" si="20"/>
        <v>45516</v>
      </c>
      <c r="G244" s="196" t="str">
        <f t="shared" si="9"/>
        <v>Mon</v>
      </c>
      <c r="H244" s="197" t="s">
        <v>153</v>
      </c>
      <c r="I244" s="208"/>
      <c r="J244" s="209"/>
      <c r="K244" s="136"/>
      <c r="L244" s="104">
        <f t="shared" si="266"/>
        <v>0</v>
      </c>
      <c r="M244" s="105">
        <f t="shared" si="11"/>
        <v>0</v>
      </c>
      <c r="N244" s="106" t="str">
        <f t="shared" si="12"/>
        <v>0%</v>
      </c>
      <c r="O244" s="200"/>
      <c r="P244" s="170">
        <f t="shared" si="268"/>
        <v>0</v>
      </c>
      <c r="Q244" s="104">
        <f t="shared" si="269"/>
        <v>0</v>
      </c>
      <c r="R244" s="108">
        <f t="shared" si="13"/>
        <v>0</v>
      </c>
      <c r="S244" s="106" t="str">
        <f t="shared" si="14"/>
        <v>0%</v>
      </c>
      <c r="T244" s="134"/>
      <c r="U244" s="104">
        <f t="shared" si="23"/>
        <v>0</v>
      </c>
      <c r="V244" s="104">
        <f t="shared" si="24"/>
        <v>0</v>
      </c>
      <c r="W244" s="108">
        <f t="shared" si="15"/>
        <v>0</v>
      </c>
      <c r="X244" s="106" t="str">
        <f t="shared" si="16"/>
        <v>0%</v>
      </c>
      <c r="Y244" s="39"/>
      <c r="Z244" s="202">
        <f t="shared" ref="Z244:AA244" si="280">Z243+1</f>
        <v>45516</v>
      </c>
      <c r="AA244" s="203">
        <f t="shared" si="280"/>
        <v>45516</v>
      </c>
      <c r="AB244" s="204">
        <v>45516</v>
      </c>
      <c r="AC244" s="39"/>
      <c r="AD244" s="39"/>
      <c r="AE244" s="39"/>
      <c r="AF244" s="39"/>
      <c r="AG244" s="114"/>
      <c r="AH244" s="39"/>
      <c r="AI244" s="39"/>
      <c r="AJ244" s="39"/>
      <c r="AK244" s="39"/>
      <c r="AL244" s="39"/>
      <c r="AM244" s="39"/>
      <c r="AN244" s="39"/>
    </row>
    <row r="245" spans="1:40" ht="16.5" customHeight="1">
      <c r="A245" s="39"/>
      <c r="B245" s="50"/>
      <c r="C245" s="95">
        <f t="shared" si="19"/>
        <v>226</v>
      </c>
      <c r="D245" s="96">
        <v>0</v>
      </c>
      <c r="E245" s="194" t="str">
        <f t="shared" si="8"/>
        <v>8</v>
      </c>
      <c r="F245" s="195">
        <f t="shared" si="20"/>
        <v>45517</v>
      </c>
      <c r="G245" s="196" t="str">
        <f t="shared" si="9"/>
        <v>Tue</v>
      </c>
      <c r="H245" s="197" t="s">
        <v>153</v>
      </c>
      <c r="I245" s="208"/>
      <c r="J245" s="209"/>
      <c r="K245" s="136"/>
      <c r="L245" s="104">
        <f t="shared" si="266"/>
        <v>0</v>
      </c>
      <c r="M245" s="105">
        <f t="shared" si="11"/>
        <v>0</v>
      </c>
      <c r="N245" s="106" t="str">
        <f t="shared" si="12"/>
        <v>0%</v>
      </c>
      <c r="O245" s="200"/>
      <c r="P245" s="170">
        <f t="shared" si="268"/>
        <v>0</v>
      </c>
      <c r="Q245" s="104">
        <f t="shared" si="269"/>
        <v>0</v>
      </c>
      <c r="R245" s="108">
        <f t="shared" si="13"/>
        <v>0</v>
      </c>
      <c r="S245" s="106" t="str">
        <f t="shared" si="14"/>
        <v>0%</v>
      </c>
      <c r="T245" s="134"/>
      <c r="U245" s="104">
        <f t="shared" si="23"/>
        <v>0</v>
      </c>
      <c r="V245" s="104">
        <f t="shared" si="24"/>
        <v>0</v>
      </c>
      <c r="W245" s="108">
        <f t="shared" si="15"/>
        <v>0</v>
      </c>
      <c r="X245" s="106" t="str">
        <f t="shared" si="16"/>
        <v>0%</v>
      </c>
      <c r="Y245" s="39"/>
      <c r="Z245" s="202">
        <f t="shared" ref="Z245:AA245" si="281">Z244+1</f>
        <v>45517</v>
      </c>
      <c r="AA245" s="203">
        <f t="shared" si="281"/>
        <v>45517</v>
      </c>
      <c r="AB245" s="204">
        <v>45517</v>
      </c>
      <c r="AC245" s="39"/>
      <c r="AD245" s="39"/>
      <c r="AE245" s="39"/>
      <c r="AF245" s="39"/>
      <c r="AG245" s="114"/>
      <c r="AH245" s="39"/>
      <c r="AI245" s="39"/>
      <c r="AJ245" s="39"/>
      <c r="AK245" s="39"/>
      <c r="AL245" s="39"/>
      <c r="AM245" s="39"/>
      <c r="AN245" s="39"/>
    </row>
    <row r="246" spans="1:40" ht="16.5" customHeight="1">
      <c r="A246" s="39"/>
      <c r="B246" s="50"/>
      <c r="C246" s="95">
        <f t="shared" si="19"/>
        <v>227</v>
      </c>
      <c r="D246" s="96">
        <v>0</v>
      </c>
      <c r="E246" s="194" t="str">
        <f t="shared" si="8"/>
        <v>8</v>
      </c>
      <c r="F246" s="195">
        <f t="shared" si="20"/>
        <v>45518</v>
      </c>
      <c r="G246" s="196" t="str">
        <f t="shared" si="9"/>
        <v>Wed</v>
      </c>
      <c r="H246" s="197" t="s">
        <v>153</v>
      </c>
      <c r="I246" s="208"/>
      <c r="J246" s="209"/>
      <c r="K246" s="136"/>
      <c r="L246" s="104">
        <f t="shared" si="266"/>
        <v>0</v>
      </c>
      <c r="M246" s="105">
        <f t="shared" si="11"/>
        <v>0</v>
      </c>
      <c r="N246" s="106" t="str">
        <f t="shared" si="12"/>
        <v>0%</v>
      </c>
      <c r="O246" s="200"/>
      <c r="P246" s="170">
        <f t="shared" si="268"/>
        <v>0</v>
      </c>
      <c r="Q246" s="104">
        <f t="shared" si="269"/>
        <v>0</v>
      </c>
      <c r="R246" s="108">
        <f t="shared" si="13"/>
        <v>0</v>
      </c>
      <c r="S246" s="106" t="str">
        <f t="shared" si="14"/>
        <v>0%</v>
      </c>
      <c r="T246" s="134"/>
      <c r="U246" s="104">
        <f t="shared" si="23"/>
        <v>0</v>
      </c>
      <c r="V246" s="104">
        <f t="shared" si="24"/>
        <v>0</v>
      </c>
      <c r="W246" s="108">
        <f t="shared" si="15"/>
        <v>0</v>
      </c>
      <c r="X246" s="106" t="str">
        <f t="shared" si="16"/>
        <v>0%</v>
      </c>
      <c r="Y246" s="39"/>
      <c r="Z246" s="202">
        <f t="shared" ref="Z246:AA246" si="282">Z245+1</f>
        <v>45518</v>
      </c>
      <c r="AA246" s="203">
        <f t="shared" si="282"/>
        <v>45518</v>
      </c>
      <c r="AB246" s="204">
        <v>45518</v>
      </c>
      <c r="AC246" s="39"/>
      <c r="AD246" s="39"/>
      <c r="AE246" s="39"/>
      <c r="AF246" s="39"/>
      <c r="AG246" s="114"/>
      <c r="AH246" s="39"/>
      <c r="AI246" s="39"/>
      <c r="AJ246" s="39"/>
      <c r="AK246" s="39"/>
      <c r="AL246" s="39"/>
      <c r="AM246" s="39"/>
      <c r="AN246" s="39"/>
    </row>
    <row r="247" spans="1:40" ht="16.5" customHeight="1">
      <c r="A247" s="39"/>
      <c r="B247" s="50"/>
      <c r="C247" s="95">
        <f t="shared" si="19"/>
        <v>228</v>
      </c>
      <c r="D247" s="96">
        <v>0</v>
      </c>
      <c r="E247" s="194" t="str">
        <f t="shared" si="8"/>
        <v>8</v>
      </c>
      <c r="F247" s="195">
        <f t="shared" si="20"/>
        <v>45519</v>
      </c>
      <c r="G247" s="196" t="str">
        <f t="shared" si="9"/>
        <v>Thu</v>
      </c>
      <c r="H247" s="197" t="s">
        <v>153</v>
      </c>
      <c r="I247" s="208"/>
      <c r="J247" s="209"/>
      <c r="K247" s="136"/>
      <c r="L247" s="104">
        <f t="shared" si="266"/>
        <v>0</v>
      </c>
      <c r="M247" s="105">
        <f t="shared" si="11"/>
        <v>0</v>
      </c>
      <c r="N247" s="106" t="str">
        <f t="shared" si="12"/>
        <v>0%</v>
      </c>
      <c r="O247" s="200"/>
      <c r="P247" s="170">
        <f t="shared" si="268"/>
        <v>0</v>
      </c>
      <c r="Q247" s="104">
        <f t="shared" si="269"/>
        <v>0</v>
      </c>
      <c r="R247" s="108">
        <f t="shared" si="13"/>
        <v>0</v>
      </c>
      <c r="S247" s="106" t="str">
        <f t="shared" si="14"/>
        <v>0%</v>
      </c>
      <c r="T247" s="134"/>
      <c r="U247" s="104">
        <f t="shared" si="23"/>
        <v>0</v>
      </c>
      <c r="V247" s="104">
        <f t="shared" si="24"/>
        <v>0</v>
      </c>
      <c r="W247" s="108">
        <f t="shared" si="15"/>
        <v>0</v>
      </c>
      <c r="X247" s="106" t="str">
        <f t="shared" si="16"/>
        <v>0%</v>
      </c>
      <c r="Y247" s="39"/>
      <c r="Z247" s="202">
        <f t="shared" ref="Z247:AA247" si="283">Z246+1</f>
        <v>45519</v>
      </c>
      <c r="AA247" s="203">
        <f t="shared" si="283"/>
        <v>45519</v>
      </c>
      <c r="AB247" s="204">
        <v>45519</v>
      </c>
      <c r="AC247" s="39"/>
      <c r="AD247" s="39"/>
      <c r="AE247" s="39"/>
      <c r="AF247" s="39"/>
      <c r="AG247" s="114"/>
      <c r="AH247" s="39"/>
      <c r="AI247" s="39"/>
      <c r="AJ247" s="39"/>
      <c r="AK247" s="39"/>
      <c r="AL247" s="39"/>
      <c r="AM247" s="39"/>
      <c r="AN247" s="39"/>
    </row>
    <row r="248" spans="1:40" ht="16.5" customHeight="1">
      <c r="A248" s="39"/>
      <c r="B248" s="50"/>
      <c r="C248" s="95">
        <f t="shared" si="19"/>
        <v>229</v>
      </c>
      <c r="D248" s="96">
        <v>0</v>
      </c>
      <c r="E248" s="194" t="str">
        <f t="shared" si="8"/>
        <v>8</v>
      </c>
      <c r="F248" s="195">
        <f t="shared" si="20"/>
        <v>45520</v>
      </c>
      <c r="G248" s="196" t="str">
        <f t="shared" si="9"/>
        <v>Fri</v>
      </c>
      <c r="H248" s="197" t="s">
        <v>153</v>
      </c>
      <c r="I248" s="208"/>
      <c r="J248" s="209"/>
      <c r="K248" s="136"/>
      <c r="L248" s="104">
        <f t="shared" si="266"/>
        <v>0</v>
      </c>
      <c r="M248" s="105">
        <f t="shared" si="11"/>
        <v>0</v>
      </c>
      <c r="N248" s="106" t="str">
        <f t="shared" si="12"/>
        <v>0%</v>
      </c>
      <c r="O248" s="200"/>
      <c r="P248" s="170">
        <f t="shared" si="268"/>
        <v>0</v>
      </c>
      <c r="Q248" s="104">
        <f t="shared" si="269"/>
        <v>0</v>
      </c>
      <c r="R248" s="108">
        <f t="shared" si="13"/>
        <v>0</v>
      </c>
      <c r="S248" s="106" t="str">
        <f t="shared" si="14"/>
        <v>0%</v>
      </c>
      <c r="T248" s="134"/>
      <c r="U248" s="104">
        <f t="shared" si="23"/>
        <v>0</v>
      </c>
      <c r="V248" s="104">
        <f t="shared" si="24"/>
        <v>0</v>
      </c>
      <c r="W248" s="108">
        <f t="shared" si="15"/>
        <v>0</v>
      </c>
      <c r="X248" s="106" t="str">
        <f t="shared" si="16"/>
        <v>0%</v>
      </c>
      <c r="Y248" s="39"/>
      <c r="Z248" s="202">
        <f t="shared" ref="Z248:AA248" si="284">Z247+1</f>
        <v>45520</v>
      </c>
      <c r="AA248" s="203">
        <f t="shared" si="284"/>
        <v>45520</v>
      </c>
      <c r="AB248" s="204">
        <v>45520</v>
      </c>
      <c r="AC248" s="39"/>
      <c r="AD248" s="39"/>
      <c r="AE248" s="39"/>
      <c r="AF248" s="39"/>
      <c r="AG248" s="114"/>
      <c r="AH248" s="39"/>
      <c r="AI248" s="39"/>
      <c r="AJ248" s="39"/>
      <c r="AK248" s="39"/>
      <c r="AL248" s="39"/>
      <c r="AM248" s="39"/>
      <c r="AN248" s="39"/>
    </row>
    <row r="249" spans="1:40" ht="16.5" customHeight="1">
      <c r="A249" s="39"/>
      <c r="B249" s="50"/>
      <c r="C249" s="95">
        <f t="shared" si="19"/>
        <v>230</v>
      </c>
      <c r="D249" s="96">
        <v>0</v>
      </c>
      <c r="E249" s="194" t="str">
        <f t="shared" si="8"/>
        <v>8</v>
      </c>
      <c r="F249" s="195">
        <f t="shared" si="20"/>
        <v>45521</v>
      </c>
      <c r="G249" s="196" t="str">
        <f t="shared" si="9"/>
        <v>Sat</v>
      </c>
      <c r="H249" s="197"/>
      <c r="I249" s="208"/>
      <c r="J249" s="209"/>
      <c r="K249" s="136"/>
      <c r="L249" s="104">
        <f t="shared" si="266"/>
        <v>0</v>
      </c>
      <c r="M249" s="105">
        <f t="shared" si="11"/>
        <v>0</v>
      </c>
      <c r="N249" s="106" t="str">
        <f t="shared" si="12"/>
        <v>0%</v>
      </c>
      <c r="O249" s="200"/>
      <c r="P249" s="170">
        <f t="shared" si="268"/>
        <v>0</v>
      </c>
      <c r="Q249" s="104">
        <f t="shared" si="269"/>
        <v>0</v>
      </c>
      <c r="R249" s="108">
        <f t="shared" si="13"/>
        <v>0</v>
      </c>
      <c r="S249" s="106" t="str">
        <f t="shared" si="14"/>
        <v>0%</v>
      </c>
      <c r="T249" s="134"/>
      <c r="U249" s="104">
        <f t="shared" si="23"/>
        <v>0</v>
      </c>
      <c r="V249" s="104">
        <f t="shared" si="24"/>
        <v>0</v>
      </c>
      <c r="W249" s="108">
        <f t="shared" si="15"/>
        <v>0</v>
      </c>
      <c r="X249" s="106" t="str">
        <f t="shared" si="16"/>
        <v>0%</v>
      </c>
      <c r="Y249" s="39"/>
      <c r="Z249" s="202">
        <f t="shared" ref="Z249:AA249" si="285">Z248+1</f>
        <v>45521</v>
      </c>
      <c r="AA249" s="203">
        <f t="shared" si="285"/>
        <v>45521</v>
      </c>
      <c r="AB249" s="204">
        <v>45521</v>
      </c>
      <c r="AC249" s="39"/>
      <c r="AD249" s="39"/>
      <c r="AE249" s="39"/>
      <c r="AF249" s="39"/>
      <c r="AG249" s="114"/>
      <c r="AH249" s="39"/>
      <c r="AI249" s="39"/>
      <c r="AJ249" s="39"/>
      <c r="AK249" s="39"/>
      <c r="AL249" s="39"/>
      <c r="AM249" s="39"/>
      <c r="AN249" s="39"/>
    </row>
    <row r="250" spans="1:40" ht="16.5" customHeight="1">
      <c r="A250" s="39"/>
      <c r="B250" s="50"/>
      <c r="C250" s="95">
        <f t="shared" si="19"/>
        <v>231</v>
      </c>
      <c r="D250" s="96">
        <v>1</v>
      </c>
      <c r="E250" s="194" t="str">
        <f t="shared" si="8"/>
        <v>8</v>
      </c>
      <c r="F250" s="195">
        <f t="shared" si="20"/>
        <v>45522</v>
      </c>
      <c r="G250" s="196" t="str">
        <f t="shared" si="9"/>
        <v>Sun</v>
      </c>
      <c r="H250" s="197" t="s">
        <v>157</v>
      </c>
      <c r="I250" s="208"/>
      <c r="J250" s="209">
        <v>63650</v>
      </c>
      <c r="K250" s="136"/>
      <c r="L250" s="104">
        <f t="shared" si="266"/>
        <v>80818.639175257733</v>
      </c>
      <c r="M250" s="105">
        <f t="shared" si="11"/>
        <v>-17168.639175257733</v>
      </c>
      <c r="N250" s="106">
        <f t="shared" si="12"/>
        <v>0.78756584680884067</v>
      </c>
      <c r="O250" s="200"/>
      <c r="P250" s="170">
        <f t="shared" si="268"/>
        <v>889005.03092783527</v>
      </c>
      <c r="Q250" s="104">
        <f t="shared" si="269"/>
        <v>990950</v>
      </c>
      <c r="R250" s="108">
        <f t="shared" si="13"/>
        <v>101944.96907216473</v>
      </c>
      <c r="S250" s="106">
        <f t="shared" si="14"/>
        <v>1.1146731070416631</v>
      </c>
      <c r="T250" s="133"/>
      <c r="U250" s="104">
        <f t="shared" si="23"/>
        <v>17411365.577319585</v>
      </c>
      <c r="V250" s="104">
        <f t="shared" si="24"/>
        <v>18756050</v>
      </c>
      <c r="W250" s="108">
        <f t="shared" si="15"/>
        <v>1344684.4226804152</v>
      </c>
      <c r="X250" s="106">
        <f t="shared" si="16"/>
        <v>1.0772302675921084</v>
      </c>
      <c r="Y250" s="39"/>
      <c r="Z250" s="202">
        <f t="shared" ref="Z250:AA250" si="286">Z249+1</f>
        <v>45522</v>
      </c>
      <c r="AA250" s="203">
        <f t="shared" si="286"/>
        <v>45522</v>
      </c>
      <c r="AB250" s="204">
        <v>45522</v>
      </c>
      <c r="AC250" s="39"/>
      <c r="AD250" s="39"/>
      <c r="AE250" s="39"/>
      <c r="AF250" s="39"/>
      <c r="AG250" s="114"/>
      <c r="AH250" s="39"/>
      <c r="AI250" s="39"/>
      <c r="AJ250" s="39"/>
      <c r="AK250" s="39"/>
      <c r="AL250" s="39"/>
      <c r="AM250" s="39"/>
      <c r="AN250" s="39"/>
    </row>
    <row r="251" spans="1:40" ht="16.5" customHeight="1">
      <c r="A251" s="39"/>
      <c r="B251" s="50"/>
      <c r="C251" s="95">
        <f t="shared" si="19"/>
        <v>232</v>
      </c>
      <c r="D251" s="96">
        <v>0</v>
      </c>
      <c r="E251" s="194" t="str">
        <f t="shared" si="8"/>
        <v>8</v>
      </c>
      <c r="F251" s="195">
        <f t="shared" si="20"/>
        <v>45523</v>
      </c>
      <c r="G251" s="196" t="str">
        <f t="shared" si="9"/>
        <v>Mon</v>
      </c>
      <c r="H251" s="197"/>
      <c r="I251" s="208"/>
      <c r="J251" s="209"/>
      <c r="K251" s="136"/>
      <c r="L251" s="104">
        <f t="shared" si="266"/>
        <v>0</v>
      </c>
      <c r="M251" s="105">
        <f t="shared" si="11"/>
        <v>0</v>
      </c>
      <c r="N251" s="106" t="str">
        <f t="shared" si="12"/>
        <v>0%</v>
      </c>
      <c r="O251" s="200"/>
      <c r="P251" s="170">
        <f t="shared" si="268"/>
        <v>0</v>
      </c>
      <c r="Q251" s="104">
        <f t="shared" si="269"/>
        <v>0</v>
      </c>
      <c r="R251" s="108">
        <f t="shared" si="13"/>
        <v>0</v>
      </c>
      <c r="S251" s="106" t="str">
        <f t="shared" si="14"/>
        <v>0%</v>
      </c>
      <c r="T251" s="133"/>
      <c r="U251" s="104">
        <f t="shared" si="23"/>
        <v>0</v>
      </c>
      <c r="V251" s="104">
        <f t="shared" si="24"/>
        <v>0</v>
      </c>
      <c r="W251" s="108">
        <f t="shared" si="15"/>
        <v>0</v>
      </c>
      <c r="X251" s="106" t="str">
        <f t="shared" si="16"/>
        <v>0%</v>
      </c>
      <c r="Y251" s="39"/>
      <c r="Z251" s="202">
        <f t="shared" ref="Z251:AA251" si="287">Z250+1</f>
        <v>45523</v>
      </c>
      <c r="AA251" s="203">
        <f t="shared" si="287"/>
        <v>45523</v>
      </c>
      <c r="AB251" s="204">
        <v>45523</v>
      </c>
      <c r="AC251" s="39"/>
      <c r="AD251" s="39"/>
      <c r="AE251" s="39"/>
      <c r="AF251" s="39"/>
      <c r="AG251" s="114"/>
      <c r="AH251" s="39"/>
      <c r="AI251" s="39"/>
      <c r="AJ251" s="39"/>
      <c r="AK251" s="39"/>
      <c r="AL251" s="39"/>
      <c r="AM251" s="39"/>
      <c r="AN251" s="39"/>
    </row>
    <row r="252" spans="1:40" ht="16.5" customHeight="1">
      <c r="A252" s="39"/>
      <c r="B252" s="50"/>
      <c r="C252" s="95">
        <f t="shared" si="19"/>
        <v>233</v>
      </c>
      <c r="D252" s="96">
        <v>1</v>
      </c>
      <c r="E252" s="194" t="str">
        <f t="shared" si="8"/>
        <v>8</v>
      </c>
      <c r="F252" s="195">
        <f t="shared" si="20"/>
        <v>45524</v>
      </c>
      <c r="G252" s="196" t="str">
        <f t="shared" si="9"/>
        <v>Tue</v>
      </c>
      <c r="H252" s="197"/>
      <c r="I252" s="208"/>
      <c r="J252" s="209">
        <v>76530</v>
      </c>
      <c r="K252" s="136"/>
      <c r="L252" s="104">
        <f t="shared" si="266"/>
        <v>80818.639175257733</v>
      </c>
      <c r="M252" s="105">
        <f t="shared" si="11"/>
        <v>-4288.6391752577329</v>
      </c>
      <c r="N252" s="106">
        <f t="shared" si="12"/>
        <v>0.94693502366505222</v>
      </c>
      <c r="O252" s="200"/>
      <c r="P252" s="170">
        <f t="shared" si="268"/>
        <v>969823.67010309303</v>
      </c>
      <c r="Q252" s="104">
        <f t="shared" si="269"/>
        <v>1067480</v>
      </c>
      <c r="R252" s="108">
        <f t="shared" si="13"/>
        <v>97656.329896906973</v>
      </c>
      <c r="S252" s="106">
        <f t="shared" si="14"/>
        <v>1.1006949334269456</v>
      </c>
      <c r="T252" s="133"/>
      <c r="U252" s="104">
        <f t="shared" si="23"/>
        <v>17492184.216494843</v>
      </c>
      <c r="V252" s="104">
        <f t="shared" si="24"/>
        <v>18832580</v>
      </c>
      <c r="W252" s="108">
        <f t="shared" si="15"/>
        <v>1340395.7835051566</v>
      </c>
      <c r="X252" s="106">
        <f t="shared" si="16"/>
        <v>1.0766282681977009</v>
      </c>
      <c r="Y252" s="39"/>
      <c r="Z252" s="202">
        <f t="shared" ref="Z252:AA252" si="288">Z251+1</f>
        <v>45524</v>
      </c>
      <c r="AA252" s="203">
        <f t="shared" si="288"/>
        <v>45524</v>
      </c>
      <c r="AB252" s="204">
        <v>45524</v>
      </c>
      <c r="AC252" s="39"/>
      <c r="AD252" s="39"/>
      <c r="AE252" s="39"/>
      <c r="AF252" s="39"/>
      <c r="AG252" s="114"/>
      <c r="AH252" s="39"/>
      <c r="AI252" s="39"/>
      <c r="AJ252" s="39"/>
      <c r="AK252" s="39"/>
      <c r="AL252" s="39"/>
      <c r="AM252" s="39"/>
      <c r="AN252" s="39"/>
    </row>
    <row r="253" spans="1:40" ht="16.5" customHeight="1">
      <c r="A253" s="39"/>
      <c r="B253" s="50"/>
      <c r="C253" s="95">
        <f t="shared" si="19"/>
        <v>234</v>
      </c>
      <c r="D253" s="96">
        <v>1</v>
      </c>
      <c r="E253" s="194" t="str">
        <f t="shared" si="8"/>
        <v>8</v>
      </c>
      <c r="F253" s="195">
        <f t="shared" si="20"/>
        <v>45525</v>
      </c>
      <c r="G253" s="196" t="str">
        <f t="shared" si="9"/>
        <v>Wed</v>
      </c>
      <c r="H253" s="197"/>
      <c r="I253" s="208"/>
      <c r="J253" s="209">
        <v>133300</v>
      </c>
      <c r="K253" s="136"/>
      <c r="L253" s="104">
        <f t="shared" si="266"/>
        <v>80818.639175257733</v>
      </c>
      <c r="M253" s="105">
        <f t="shared" si="11"/>
        <v>52481.360824742267</v>
      </c>
      <c r="N253" s="106">
        <f t="shared" si="12"/>
        <v>1.6493719933954196</v>
      </c>
      <c r="O253" s="200"/>
      <c r="P253" s="170">
        <f t="shared" si="268"/>
        <v>1050642.3092783508</v>
      </c>
      <c r="Q253" s="104">
        <f t="shared" si="269"/>
        <v>1200780</v>
      </c>
      <c r="R253" s="108">
        <f t="shared" si="13"/>
        <v>150137.69072164921</v>
      </c>
      <c r="S253" s="106">
        <f t="shared" si="14"/>
        <v>1.1429008611168281</v>
      </c>
      <c r="T253" s="133"/>
      <c r="U253" s="104">
        <f t="shared" si="23"/>
        <v>17573002.855670102</v>
      </c>
      <c r="V253" s="104">
        <f t="shared" si="24"/>
        <v>18965880</v>
      </c>
      <c r="W253" s="108">
        <f t="shared" si="15"/>
        <v>1392877.1443298981</v>
      </c>
      <c r="X253" s="106">
        <f t="shared" si="16"/>
        <v>1.0792623295955632</v>
      </c>
      <c r="Y253" s="39"/>
      <c r="Z253" s="202">
        <f t="shared" ref="Z253:AA253" si="289">Z252+1</f>
        <v>45525</v>
      </c>
      <c r="AA253" s="203">
        <f t="shared" si="289"/>
        <v>45525</v>
      </c>
      <c r="AB253" s="204">
        <v>45525</v>
      </c>
      <c r="AC253" s="39"/>
      <c r="AD253" s="39"/>
      <c r="AE253" s="39"/>
      <c r="AF253" s="39"/>
      <c r="AG253" s="114"/>
      <c r="AH253" s="39"/>
      <c r="AI253" s="39"/>
      <c r="AJ253" s="39"/>
      <c r="AK253" s="39"/>
      <c r="AL253" s="39"/>
      <c r="AM253" s="39"/>
      <c r="AN253" s="39"/>
    </row>
    <row r="254" spans="1:40" ht="16.5" customHeight="1">
      <c r="A254" s="39"/>
      <c r="B254" s="50"/>
      <c r="C254" s="95">
        <f t="shared" si="19"/>
        <v>235</v>
      </c>
      <c r="D254" s="96">
        <v>1</v>
      </c>
      <c r="E254" s="194" t="str">
        <f t="shared" si="8"/>
        <v>8</v>
      </c>
      <c r="F254" s="195">
        <f t="shared" si="20"/>
        <v>45526</v>
      </c>
      <c r="G254" s="196" t="str">
        <f t="shared" si="9"/>
        <v>Thu</v>
      </c>
      <c r="H254" s="197"/>
      <c r="I254" s="208"/>
      <c r="J254" s="209">
        <v>38450</v>
      </c>
      <c r="K254" s="136"/>
      <c r="L254" s="104">
        <f t="shared" si="266"/>
        <v>80818.639175257733</v>
      </c>
      <c r="M254" s="105">
        <f t="shared" si="11"/>
        <v>-42368.639175257733</v>
      </c>
      <c r="N254" s="106">
        <f t="shared" si="12"/>
        <v>0.4757565877423397</v>
      </c>
      <c r="O254" s="200"/>
      <c r="P254" s="170">
        <f t="shared" si="268"/>
        <v>1131460.9484536084</v>
      </c>
      <c r="Q254" s="104">
        <f t="shared" si="269"/>
        <v>1239230</v>
      </c>
      <c r="R254" s="108">
        <f t="shared" si="13"/>
        <v>107769.05154639157</v>
      </c>
      <c r="S254" s="106">
        <f t="shared" si="14"/>
        <v>1.0952476987329363</v>
      </c>
      <c r="T254" s="133"/>
      <c r="U254" s="104">
        <f t="shared" si="23"/>
        <v>17653821.494845361</v>
      </c>
      <c r="V254" s="104">
        <f t="shared" si="24"/>
        <v>19004330</v>
      </c>
      <c r="W254" s="108">
        <f t="shared" si="15"/>
        <v>1350508.5051546395</v>
      </c>
      <c r="X254" s="106">
        <f t="shared" si="16"/>
        <v>1.0764994993038175</v>
      </c>
      <c r="Y254" s="39"/>
      <c r="Z254" s="202">
        <f t="shared" ref="Z254:AA254" si="290">Z253+1</f>
        <v>45526</v>
      </c>
      <c r="AA254" s="203">
        <f t="shared" si="290"/>
        <v>45526</v>
      </c>
      <c r="AB254" s="204">
        <v>45526</v>
      </c>
      <c r="AC254" s="39"/>
      <c r="AD254" s="39"/>
      <c r="AE254" s="39"/>
      <c r="AF254" s="39"/>
      <c r="AG254" s="114"/>
      <c r="AH254" s="39"/>
      <c r="AI254" s="39"/>
      <c r="AJ254" s="39"/>
      <c r="AK254" s="39"/>
      <c r="AL254" s="39"/>
      <c r="AM254" s="39"/>
      <c r="AN254" s="39"/>
    </row>
    <row r="255" spans="1:40" ht="16.5" customHeight="1">
      <c r="A255" s="39"/>
      <c r="B255" s="50"/>
      <c r="C255" s="95">
        <f t="shared" si="19"/>
        <v>236</v>
      </c>
      <c r="D255" s="96">
        <v>1</v>
      </c>
      <c r="E255" s="194" t="str">
        <f t="shared" si="8"/>
        <v>8</v>
      </c>
      <c r="F255" s="195">
        <f t="shared" si="20"/>
        <v>45527</v>
      </c>
      <c r="G255" s="196" t="str">
        <f t="shared" si="9"/>
        <v>Fri</v>
      </c>
      <c r="H255" s="197"/>
      <c r="I255" s="208"/>
      <c r="J255" s="209">
        <v>137600</v>
      </c>
      <c r="K255" s="136"/>
      <c r="L255" s="104">
        <f t="shared" si="266"/>
        <v>80818.639175257733</v>
      </c>
      <c r="M255" s="105">
        <f t="shared" si="11"/>
        <v>56781.360824742267</v>
      </c>
      <c r="N255" s="106">
        <f t="shared" si="12"/>
        <v>1.7025775415694655</v>
      </c>
      <c r="O255" s="200"/>
      <c r="P255" s="170">
        <f t="shared" si="268"/>
        <v>1212279.5876288661</v>
      </c>
      <c r="Q255" s="104">
        <f t="shared" si="269"/>
        <v>1376830</v>
      </c>
      <c r="R255" s="108">
        <f t="shared" si="13"/>
        <v>164550.41237113392</v>
      </c>
      <c r="S255" s="106">
        <f t="shared" si="14"/>
        <v>1.1357363549220383</v>
      </c>
      <c r="T255" s="133"/>
      <c r="U255" s="104">
        <f t="shared" si="23"/>
        <v>17734640.134020619</v>
      </c>
      <c r="V255" s="104">
        <f t="shared" si="24"/>
        <v>19141930</v>
      </c>
      <c r="W255" s="108">
        <f t="shared" si="15"/>
        <v>1407289.8659793809</v>
      </c>
      <c r="X255" s="106">
        <f t="shared" si="16"/>
        <v>1.0793526034554124</v>
      </c>
      <c r="Y255" s="39"/>
      <c r="Z255" s="202">
        <f t="shared" ref="Z255:AA255" si="291">Z254+1</f>
        <v>45527</v>
      </c>
      <c r="AA255" s="203">
        <f t="shared" si="291"/>
        <v>45527</v>
      </c>
      <c r="AB255" s="204">
        <v>45527</v>
      </c>
      <c r="AC255" s="39"/>
      <c r="AD255" s="39"/>
      <c r="AE255" s="39"/>
      <c r="AF255" s="39"/>
      <c r="AG255" s="114"/>
      <c r="AH255" s="39"/>
      <c r="AI255" s="39"/>
      <c r="AJ255" s="39"/>
      <c r="AK255" s="39"/>
      <c r="AL255" s="39"/>
      <c r="AM255" s="39"/>
      <c r="AN255" s="39"/>
    </row>
    <row r="256" spans="1:40" ht="16.5" customHeight="1">
      <c r="A256" s="39"/>
      <c r="B256" s="50"/>
      <c r="C256" s="95">
        <f t="shared" si="19"/>
        <v>237</v>
      </c>
      <c r="D256" s="96">
        <v>1</v>
      </c>
      <c r="E256" s="194" t="str">
        <f t="shared" si="8"/>
        <v>8</v>
      </c>
      <c r="F256" s="195">
        <f t="shared" si="20"/>
        <v>45528</v>
      </c>
      <c r="G256" s="196" t="str">
        <f t="shared" si="9"/>
        <v>Sat</v>
      </c>
      <c r="H256" s="197"/>
      <c r="I256" s="208"/>
      <c r="J256" s="209">
        <v>80000</v>
      </c>
      <c r="K256" s="136"/>
      <c r="L256" s="104">
        <f t="shared" si="266"/>
        <v>80818.639175257733</v>
      </c>
      <c r="M256" s="105">
        <f t="shared" si="11"/>
        <v>-818.63917525773286</v>
      </c>
      <c r="N256" s="106">
        <f t="shared" si="12"/>
        <v>0.98987066370317756</v>
      </c>
      <c r="O256" s="200"/>
      <c r="P256" s="170">
        <f t="shared" si="268"/>
        <v>1293098.2268041237</v>
      </c>
      <c r="Q256" s="104">
        <f t="shared" si="269"/>
        <v>1456830</v>
      </c>
      <c r="R256" s="108">
        <f t="shared" si="13"/>
        <v>163731.77319587627</v>
      </c>
      <c r="S256" s="106">
        <f t="shared" si="14"/>
        <v>1.1266197492208596</v>
      </c>
      <c r="T256" s="134"/>
      <c r="U256" s="104">
        <f t="shared" si="23"/>
        <v>17815458.773195878</v>
      </c>
      <c r="V256" s="104">
        <f t="shared" si="24"/>
        <v>19221930</v>
      </c>
      <c r="W256" s="108">
        <f t="shared" si="15"/>
        <v>1406471.2268041223</v>
      </c>
      <c r="X256" s="106">
        <f t="shared" si="16"/>
        <v>1.0789466746104917</v>
      </c>
      <c r="Y256" s="39"/>
      <c r="Z256" s="202">
        <f t="shared" ref="Z256:AA256" si="292">Z255+1</f>
        <v>45528</v>
      </c>
      <c r="AA256" s="203">
        <f t="shared" si="292"/>
        <v>45528</v>
      </c>
      <c r="AB256" s="204">
        <v>45528</v>
      </c>
      <c r="AC256" s="39"/>
      <c r="AD256" s="39"/>
      <c r="AE256" s="39"/>
      <c r="AF256" s="39"/>
      <c r="AG256" s="114"/>
      <c r="AH256" s="39"/>
      <c r="AI256" s="39"/>
      <c r="AJ256" s="39"/>
      <c r="AK256" s="39"/>
      <c r="AL256" s="39"/>
      <c r="AM256" s="39"/>
      <c r="AN256" s="39"/>
    </row>
    <row r="257" spans="1:40" ht="16.5" customHeight="1">
      <c r="A257" s="39"/>
      <c r="B257" s="50"/>
      <c r="C257" s="95">
        <f t="shared" si="19"/>
        <v>238</v>
      </c>
      <c r="D257" s="96">
        <v>1</v>
      </c>
      <c r="E257" s="194" t="str">
        <f t="shared" si="8"/>
        <v>8</v>
      </c>
      <c r="F257" s="195">
        <f t="shared" si="20"/>
        <v>45529</v>
      </c>
      <c r="G257" s="196" t="str">
        <f t="shared" si="9"/>
        <v>Sun</v>
      </c>
      <c r="H257" s="197" t="s">
        <v>157</v>
      </c>
      <c r="I257" s="208"/>
      <c r="J257" s="209">
        <v>88150</v>
      </c>
      <c r="K257" s="136"/>
      <c r="L257" s="104">
        <f t="shared" si="266"/>
        <v>80818.639175257733</v>
      </c>
      <c r="M257" s="105">
        <f t="shared" si="11"/>
        <v>7331.3608247422671</v>
      </c>
      <c r="N257" s="106">
        <f t="shared" si="12"/>
        <v>1.0907137375679388</v>
      </c>
      <c r="O257" s="200"/>
      <c r="P257" s="170">
        <f t="shared" si="268"/>
        <v>1373916.8659793814</v>
      </c>
      <c r="Q257" s="104">
        <f t="shared" si="269"/>
        <v>1544980</v>
      </c>
      <c r="R257" s="108">
        <f t="shared" si="13"/>
        <v>171063.13402061863</v>
      </c>
      <c r="S257" s="106">
        <f t="shared" si="14"/>
        <v>1.1245076308883348</v>
      </c>
      <c r="T257" s="133"/>
      <c r="U257" s="104">
        <f t="shared" si="23"/>
        <v>17896277.412371136</v>
      </c>
      <c r="V257" s="104">
        <f t="shared" si="24"/>
        <v>19310080</v>
      </c>
      <c r="W257" s="108">
        <f t="shared" si="15"/>
        <v>1413802.5876288638</v>
      </c>
      <c r="X257" s="106">
        <f t="shared" si="16"/>
        <v>1.0789998140424191</v>
      </c>
      <c r="Y257" s="39"/>
      <c r="Z257" s="202">
        <f t="shared" ref="Z257:AA257" si="293">Z256+1</f>
        <v>45529</v>
      </c>
      <c r="AA257" s="203">
        <f t="shared" si="293"/>
        <v>45529</v>
      </c>
      <c r="AB257" s="204">
        <v>45529</v>
      </c>
      <c r="AC257" s="39"/>
      <c r="AD257" s="39"/>
      <c r="AE257" s="39"/>
      <c r="AF257" s="39"/>
      <c r="AG257" s="114"/>
      <c r="AH257" s="39"/>
      <c r="AI257" s="39"/>
      <c r="AJ257" s="39"/>
      <c r="AK257" s="39"/>
      <c r="AL257" s="39"/>
      <c r="AM257" s="39"/>
      <c r="AN257" s="39"/>
    </row>
    <row r="258" spans="1:40" ht="16.5" customHeight="1">
      <c r="A258" s="39"/>
      <c r="B258" s="50"/>
      <c r="C258" s="95">
        <f t="shared" si="19"/>
        <v>239</v>
      </c>
      <c r="D258" s="96">
        <v>0</v>
      </c>
      <c r="E258" s="194" t="str">
        <f t="shared" si="8"/>
        <v>8</v>
      </c>
      <c r="F258" s="195">
        <f t="shared" si="20"/>
        <v>45530</v>
      </c>
      <c r="G258" s="196" t="str">
        <f t="shared" si="9"/>
        <v>Mon</v>
      </c>
      <c r="H258" s="197"/>
      <c r="I258" s="208"/>
      <c r="J258" s="209"/>
      <c r="K258" s="136"/>
      <c r="L258" s="104">
        <f t="shared" si="266"/>
        <v>0</v>
      </c>
      <c r="M258" s="105">
        <f t="shared" si="11"/>
        <v>0</v>
      </c>
      <c r="N258" s="106" t="str">
        <f t="shared" si="12"/>
        <v>0%</v>
      </c>
      <c r="O258" s="200"/>
      <c r="P258" s="170">
        <f t="shared" si="268"/>
        <v>0</v>
      </c>
      <c r="Q258" s="104">
        <f t="shared" si="269"/>
        <v>0</v>
      </c>
      <c r="R258" s="108">
        <f t="shared" si="13"/>
        <v>0</v>
      </c>
      <c r="S258" s="106" t="str">
        <f t="shared" si="14"/>
        <v>0%</v>
      </c>
      <c r="T258" s="133"/>
      <c r="U258" s="104">
        <f t="shared" si="23"/>
        <v>0</v>
      </c>
      <c r="V258" s="104">
        <f t="shared" si="24"/>
        <v>0</v>
      </c>
      <c r="W258" s="108">
        <f t="shared" si="15"/>
        <v>0</v>
      </c>
      <c r="X258" s="106" t="str">
        <f t="shared" si="16"/>
        <v>0%</v>
      </c>
      <c r="Y258" s="39"/>
      <c r="Z258" s="202">
        <f t="shared" ref="Z258:AA258" si="294">Z257+1</f>
        <v>45530</v>
      </c>
      <c r="AA258" s="203">
        <f t="shared" si="294"/>
        <v>45530</v>
      </c>
      <c r="AB258" s="204">
        <v>45530</v>
      </c>
      <c r="AC258" s="39"/>
      <c r="AD258" s="39"/>
      <c r="AE258" s="39"/>
      <c r="AF258" s="39"/>
      <c r="AG258" s="114"/>
      <c r="AH258" s="39"/>
      <c r="AI258" s="39"/>
      <c r="AJ258" s="39"/>
      <c r="AK258" s="39"/>
      <c r="AL258" s="39"/>
      <c r="AM258" s="39"/>
      <c r="AN258" s="39"/>
    </row>
    <row r="259" spans="1:40" ht="16.5" customHeight="1">
      <c r="A259" s="39"/>
      <c r="B259" s="50"/>
      <c r="C259" s="95">
        <f t="shared" si="19"/>
        <v>240</v>
      </c>
      <c r="D259" s="96">
        <v>1</v>
      </c>
      <c r="E259" s="194" t="str">
        <f t="shared" si="8"/>
        <v>8</v>
      </c>
      <c r="F259" s="195">
        <f t="shared" si="20"/>
        <v>45531</v>
      </c>
      <c r="G259" s="196" t="str">
        <f t="shared" si="9"/>
        <v>Tue</v>
      </c>
      <c r="H259" s="197"/>
      <c r="I259" s="208"/>
      <c r="J259" s="209">
        <v>80150</v>
      </c>
      <c r="K259" s="136"/>
      <c r="L259" s="104">
        <f t="shared" si="266"/>
        <v>80818.639175257733</v>
      </c>
      <c r="M259" s="105">
        <f t="shared" si="11"/>
        <v>-668.63917525773286</v>
      </c>
      <c r="N259" s="106">
        <f t="shared" si="12"/>
        <v>0.99172667119762103</v>
      </c>
      <c r="O259" s="200"/>
      <c r="P259" s="170">
        <f t="shared" si="268"/>
        <v>1454735.505154639</v>
      </c>
      <c r="Q259" s="104">
        <f t="shared" si="269"/>
        <v>1625130</v>
      </c>
      <c r="R259" s="108">
        <f t="shared" si="13"/>
        <v>170394.49484536098</v>
      </c>
      <c r="S259" s="106">
        <f t="shared" si="14"/>
        <v>1.1171309109055174</v>
      </c>
      <c r="T259" s="133"/>
      <c r="U259" s="104">
        <f t="shared" si="23"/>
        <v>17977096.051546395</v>
      </c>
      <c r="V259" s="104">
        <f t="shared" si="24"/>
        <v>19390230</v>
      </c>
      <c r="W259" s="108">
        <f t="shared" si="15"/>
        <v>1413133.9484536052</v>
      </c>
      <c r="X259" s="106">
        <f t="shared" si="16"/>
        <v>1.0786074649877642</v>
      </c>
      <c r="Y259" s="39"/>
      <c r="Z259" s="202">
        <f t="shared" ref="Z259:AA259" si="295">Z258+1</f>
        <v>45531</v>
      </c>
      <c r="AA259" s="203">
        <f t="shared" si="295"/>
        <v>45531</v>
      </c>
      <c r="AB259" s="204">
        <v>45531</v>
      </c>
      <c r="AC259" s="39"/>
      <c r="AD259" s="39"/>
      <c r="AE259" s="39"/>
      <c r="AF259" s="39"/>
      <c r="AG259" s="114"/>
      <c r="AH259" s="39"/>
      <c r="AI259" s="39"/>
      <c r="AJ259" s="39"/>
      <c r="AK259" s="39"/>
      <c r="AL259" s="39"/>
      <c r="AM259" s="39"/>
      <c r="AN259" s="39"/>
    </row>
    <row r="260" spans="1:40" ht="16.5" customHeight="1">
      <c r="A260" s="39"/>
      <c r="B260" s="50"/>
      <c r="C260" s="95">
        <f t="shared" si="19"/>
        <v>241</v>
      </c>
      <c r="D260" s="96">
        <v>1</v>
      </c>
      <c r="E260" s="194" t="str">
        <f t="shared" si="8"/>
        <v>8</v>
      </c>
      <c r="F260" s="195">
        <f t="shared" si="20"/>
        <v>45532</v>
      </c>
      <c r="G260" s="196" t="str">
        <f t="shared" si="9"/>
        <v>Wed</v>
      </c>
      <c r="H260" s="197"/>
      <c r="I260" s="208"/>
      <c r="J260" s="209">
        <v>62600</v>
      </c>
      <c r="K260" s="136"/>
      <c r="L260" s="104">
        <f t="shared" si="266"/>
        <v>80818.639175257733</v>
      </c>
      <c r="M260" s="105">
        <f t="shared" si="11"/>
        <v>-18218.639175257733</v>
      </c>
      <c r="N260" s="106">
        <f t="shared" si="12"/>
        <v>0.77457379434773643</v>
      </c>
      <c r="O260" s="200"/>
      <c r="P260" s="170">
        <f t="shared" si="268"/>
        <v>1535554.1443298967</v>
      </c>
      <c r="Q260" s="104">
        <f t="shared" si="269"/>
        <v>1687730</v>
      </c>
      <c r="R260" s="108">
        <f t="shared" si="13"/>
        <v>152175.85567010334</v>
      </c>
      <c r="S260" s="106">
        <f t="shared" si="14"/>
        <v>1.0991015889814237</v>
      </c>
      <c r="T260" s="133"/>
      <c r="U260" s="104">
        <f t="shared" si="23"/>
        <v>18057914.690721653</v>
      </c>
      <c r="V260" s="104">
        <f t="shared" si="24"/>
        <v>19452830</v>
      </c>
      <c r="W260" s="108">
        <f t="shared" si="15"/>
        <v>1394915.3092783466</v>
      </c>
      <c r="X260" s="106">
        <f t="shared" si="16"/>
        <v>1.077246754853431</v>
      </c>
      <c r="Y260" s="39"/>
      <c r="Z260" s="202">
        <f t="shared" ref="Z260:AA260" si="296">Z259+1</f>
        <v>45532</v>
      </c>
      <c r="AA260" s="203">
        <f t="shared" si="296"/>
        <v>45532</v>
      </c>
      <c r="AB260" s="204">
        <v>45532</v>
      </c>
      <c r="AC260" s="39"/>
      <c r="AD260" s="39"/>
      <c r="AE260" s="39"/>
      <c r="AF260" s="39"/>
      <c r="AG260" s="114"/>
      <c r="AH260" s="39"/>
      <c r="AI260" s="39"/>
      <c r="AJ260" s="39"/>
      <c r="AK260" s="39"/>
      <c r="AL260" s="39"/>
      <c r="AM260" s="39"/>
      <c r="AN260" s="39"/>
    </row>
    <row r="261" spans="1:40" ht="16.5" customHeight="1">
      <c r="A261" s="39"/>
      <c r="B261" s="50"/>
      <c r="C261" s="95">
        <f t="shared" si="19"/>
        <v>242</v>
      </c>
      <c r="D261" s="96">
        <v>1</v>
      </c>
      <c r="E261" s="194" t="str">
        <f t="shared" si="8"/>
        <v>8</v>
      </c>
      <c r="F261" s="195">
        <f t="shared" si="20"/>
        <v>45533</v>
      </c>
      <c r="G261" s="196" t="str">
        <f t="shared" si="9"/>
        <v>Thu</v>
      </c>
      <c r="H261" s="197"/>
      <c r="I261" s="208"/>
      <c r="J261" s="209">
        <v>165700</v>
      </c>
      <c r="K261" s="136"/>
      <c r="L261" s="104">
        <f t="shared" si="266"/>
        <v>80818.639175257733</v>
      </c>
      <c r="M261" s="105">
        <f t="shared" si="11"/>
        <v>84881.360824742267</v>
      </c>
      <c r="N261" s="106">
        <f t="shared" si="12"/>
        <v>2.0502696121952066</v>
      </c>
      <c r="O261" s="200"/>
      <c r="P261" s="170">
        <f t="shared" si="268"/>
        <v>1616372.7835051543</v>
      </c>
      <c r="Q261" s="104">
        <f t="shared" si="269"/>
        <v>1853430</v>
      </c>
      <c r="R261" s="108">
        <f t="shared" si="13"/>
        <v>237057.21649484569</v>
      </c>
      <c r="S261" s="106">
        <f t="shared" si="14"/>
        <v>1.1466599901421131</v>
      </c>
      <c r="T261" s="133"/>
      <c r="U261" s="104">
        <f t="shared" si="23"/>
        <v>18138733.329896912</v>
      </c>
      <c r="V261" s="104">
        <f t="shared" si="24"/>
        <v>19618530</v>
      </c>
      <c r="W261" s="108">
        <f t="shared" si="15"/>
        <v>1479796.670103088</v>
      </c>
      <c r="X261" s="106">
        <f t="shared" si="16"/>
        <v>1.0815821393472957</v>
      </c>
      <c r="Y261" s="39"/>
      <c r="Z261" s="202">
        <f t="shared" ref="Z261:AA261" si="297">Z260+1</f>
        <v>45533</v>
      </c>
      <c r="AA261" s="203">
        <f t="shared" si="297"/>
        <v>45533</v>
      </c>
      <c r="AB261" s="204">
        <v>45533</v>
      </c>
      <c r="AC261" s="39"/>
      <c r="AD261" s="39"/>
      <c r="AE261" s="39"/>
      <c r="AF261" s="39"/>
      <c r="AG261" s="114"/>
      <c r="AH261" s="39"/>
      <c r="AI261" s="39"/>
      <c r="AJ261" s="39"/>
      <c r="AK261" s="39"/>
      <c r="AL261" s="39"/>
      <c r="AM261" s="39"/>
      <c r="AN261" s="39"/>
    </row>
    <row r="262" spans="1:40" ht="16.5" customHeight="1">
      <c r="A262" s="39"/>
      <c r="B262" s="50"/>
      <c r="C262" s="95">
        <f t="shared" si="19"/>
        <v>243</v>
      </c>
      <c r="D262" s="96">
        <v>1</v>
      </c>
      <c r="E262" s="194" t="str">
        <f t="shared" si="8"/>
        <v>8</v>
      </c>
      <c r="F262" s="195">
        <f t="shared" si="20"/>
        <v>45534</v>
      </c>
      <c r="G262" s="196" t="str">
        <f t="shared" si="9"/>
        <v>Fri</v>
      </c>
      <c r="H262" s="197"/>
      <c r="I262" s="208"/>
      <c r="J262" s="209">
        <v>161700</v>
      </c>
      <c r="K262" s="136"/>
      <c r="L262" s="104">
        <f t="shared" si="266"/>
        <v>80818.639175257733</v>
      </c>
      <c r="M262" s="105">
        <f t="shared" si="11"/>
        <v>80881.360824742267</v>
      </c>
      <c r="N262" s="106">
        <f t="shared" si="12"/>
        <v>2.0007760790100475</v>
      </c>
      <c r="O262" s="200"/>
      <c r="P262" s="170">
        <f t="shared" si="268"/>
        <v>1697191.422680412</v>
      </c>
      <c r="Q262" s="104">
        <f t="shared" si="269"/>
        <v>2015130</v>
      </c>
      <c r="R262" s="108">
        <f t="shared" si="13"/>
        <v>317938.57731958805</v>
      </c>
      <c r="S262" s="106">
        <f t="shared" si="14"/>
        <v>1.1873321848501099</v>
      </c>
      <c r="T262" s="133"/>
      <c r="U262" s="104">
        <f t="shared" si="23"/>
        <v>18219551.969072171</v>
      </c>
      <c r="V262" s="104">
        <f t="shared" si="24"/>
        <v>19780230</v>
      </c>
      <c r="W262" s="108">
        <f t="shared" si="15"/>
        <v>1560678.0309278294</v>
      </c>
      <c r="X262" s="106">
        <f t="shared" si="16"/>
        <v>1.0856595175104795</v>
      </c>
      <c r="Y262" s="39"/>
      <c r="Z262" s="202">
        <f t="shared" ref="Z262:AA262" si="298">Z261+1</f>
        <v>45534</v>
      </c>
      <c r="AA262" s="203">
        <f t="shared" si="298"/>
        <v>45534</v>
      </c>
      <c r="AB262" s="204">
        <v>45534</v>
      </c>
      <c r="AC262" s="39"/>
      <c r="AD262" s="39"/>
      <c r="AE262" s="39"/>
      <c r="AF262" s="39"/>
      <c r="AG262" s="114"/>
      <c r="AH262" s="39"/>
      <c r="AI262" s="39"/>
      <c r="AJ262" s="39"/>
      <c r="AK262" s="39"/>
      <c r="AL262" s="39"/>
      <c r="AM262" s="39"/>
      <c r="AN262" s="39"/>
    </row>
    <row r="263" spans="1:40" ht="16.5" customHeight="1">
      <c r="A263" s="39"/>
      <c r="B263" s="50"/>
      <c r="C263" s="160">
        <f t="shared" si="19"/>
        <v>244</v>
      </c>
      <c r="D263" s="138">
        <v>1</v>
      </c>
      <c r="E263" s="210" t="str">
        <f t="shared" si="8"/>
        <v>8</v>
      </c>
      <c r="F263" s="211">
        <f t="shared" si="20"/>
        <v>45535</v>
      </c>
      <c r="G263" s="212" t="str">
        <f t="shared" si="9"/>
        <v>Sat</v>
      </c>
      <c r="H263" s="213"/>
      <c r="I263" s="214"/>
      <c r="J263" s="215">
        <v>49400</v>
      </c>
      <c r="K263" s="136"/>
      <c r="L263" s="165">
        <f t="shared" si="266"/>
        <v>80818.639175257733</v>
      </c>
      <c r="M263" s="147">
        <f t="shared" si="11"/>
        <v>-31418.639175257733</v>
      </c>
      <c r="N263" s="161">
        <f t="shared" si="12"/>
        <v>0.61124513483671217</v>
      </c>
      <c r="O263" s="216"/>
      <c r="P263" s="150">
        <f t="shared" si="268"/>
        <v>1778010.0618556696</v>
      </c>
      <c r="Q263" s="165">
        <f t="shared" si="269"/>
        <v>2064530</v>
      </c>
      <c r="R263" s="167">
        <f t="shared" si="13"/>
        <v>286519.9381443304</v>
      </c>
      <c r="S263" s="161">
        <f t="shared" si="14"/>
        <v>1.161146409849501</v>
      </c>
      <c r="T263" s="168"/>
      <c r="U263" s="165">
        <f t="shared" si="23"/>
        <v>18300370.608247429</v>
      </c>
      <c r="V263" s="165">
        <f t="shared" si="24"/>
        <v>19829630</v>
      </c>
      <c r="W263" s="167">
        <f t="shared" si="15"/>
        <v>1529259.3917525709</v>
      </c>
      <c r="X263" s="161">
        <f t="shared" si="16"/>
        <v>1.0835643946502034</v>
      </c>
      <c r="Y263" s="39"/>
      <c r="Z263" s="202">
        <f t="shared" ref="Z263:AA263" si="299">Z262+1</f>
        <v>45535</v>
      </c>
      <c r="AA263" s="203">
        <f t="shared" si="299"/>
        <v>45535</v>
      </c>
      <c r="AB263" s="204">
        <v>45535</v>
      </c>
      <c r="AC263" s="39"/>
      <c r="AD263" s="39"/>
      <c r="AE263" s="39"/>
      <c r="AF263" s="39"/>
      <c r="AG263" s="114"/>
      <c r="AH263" s="39"/>
      <c r="AI263" s="39"/>
      <c r="AJ263" s="39"/>
      <c r="AK263" s="39"/>
      <c r="AL263" s="39"/>
      <c r="AM263" s="39"/>
      <c r="AN263" s="39"/>
    </row>
    <row r="264" spans="1:40" ht="16.5" customHeight="1">
      <c r="A264" s="39"/>
      <c r="B264" s="50"/>
      <c r="C264" s="95">
        <f t="shared" si="19"/>
        <v>245</v>
      </c>
      <c r="D264" s="155">
        <v>1</v>
      </c>
      <c r="E264" s="194" t="str">
        <f t="shared" si="8"/>
        <v>9</v>
      </c>
      <c r="F264" s="195">
        <f t="shared" si="20"/>
        <v>45536</v>
      </c>
      <c r="G264" s="196" t="str">
        <f t="shared" si="9"/>
        <v>Sun</v>
      </c>
      <c r="H264" s="197" t="s">
        <v>157</v>
      </c>
      <c r="I264" s="208"/>
      <c r="J264" s="209">
        <v>72300</v>
      </c>
      <c r="K264" s="136"/>
      <c r="L264" s="104">
        <f t="shared" ref="L264:L293" si="300">IF(D264=0,0,$K$14)</f>
        <v>95972.134020618541</v>
      </c>
      <c r="M264" s="108">
        <f t="shared" si="11"/>
        <v>-23672.134020618541</v>
      </c>
      <c r="N264" s="156">
        <f t="shared" si="12"/>
        <v>0.75334367353410259</v>
      </c>
      <c r="O264" s="200"/>
      <c r="P264" s="111">
        <f>IF(D264=0,0,$L$264)</f>
        <v>95972.134020618541</v>
      </c>
      <c r="Q264" s="104">
        <f>IF(D264=0,0,$J$264)</f>
        <v>72300</v>
      </c>
      <c r="R264" s="108">
        <f t="shared" si="13"/>
        <v>-23672.134020618541</v>
      </c>
      <c r="S264" s="156">
        <f t="shared" si="14"/>
        <v>0.75334367353410259</v>
      </c>
      <c r="T264" s="133"/>
      <c r="U264" s="104">
        <f t="shared" si="23"/>
        <v>18396342.742268048</v>
      </c>
      <c r="V264" s="104">
        <f t="shared" si="24"/>
        <v>19901930</v>
      </c>
      <c r="W264" s="108">
        <f t="shared" si="15"/>
        <v>1505587.2577319518</v>
      </c>
      <c r="X264" s="156">
        <f t="shared" si="16"/>
        <v>1.0818416616185709</v>
      </c>
      <c r="Y264" s="39"/>
      <c r="Z264" s="202">
        <f t="shared" ref="Z264:AA264" si="301">Z263+1</f>
        <v>45536</v>
      </c>
      <c r="AA264" s="203">
        <f t="shared" si="301"/>
        <v>45536</v>
      </c>
      <c r="AB264" s="204">
        <v>45536</v>
      </c>
      <c r="AC264" s="39"/>
      <c r="AD264" s="39"/>
      <c r="AE264" s="39"/>
      <c r="AF264" s="39"/>
      <c r="AG264" s="114"/>
      <c r="AH264" s="39"/>
      <c r="AI264" s="39"/>
      <c r="AJ264" s="39"/>
      <c r="AK264" s="39"/>
      <c r="AL264" s="39"/>
      <c r="AM264" s="39"/>
      <c r="AN264" s="39"/>
    </row>
    <row r="265" spans="1:40" ht="16.5" customHeight="1">
      <c r="A265" s="39"/>
      <c r="B265" s="50"/>
      <c r="C265" s="95">
        <f t="shared" si="19"/>
        <v>246</v>
      </c>
      <c r="D265" s="96">
        <v>0</v>
      </c>
      <c r="E265" s="194" t="str">
        <f t="shared" si="8"/>
        <v>9</v>
      </c>
      <c r="F265" s="195">
        <f t="shared" si="20"/>
        <v>45537</v>
      </c>
      <c r="G265" s="196" t="str">
        <f t="shared" si="9"/>
        <v>Mon</v>
      </c>
      <c r="H265" s="197"/>
      <c r="I265" s="208"/>
      <c r="J265" s="209"/>
      <c r="K265" s="136"/>
      <c r="L265" s="104">
        <f t="shared" si="300"/>
        <v>0</v>
      </c>
      <c r="M265" s="105">
        <f t="shared" si="11"/>
        <v>0</v>
      </c>
      <c r="N265" s="106" t="str">
        <f t="shared" si="12"/>
        <v>0%</v>
      </c>
      <c r="O265" s="200"/>
      <c r="P265" s="170">
        <f t="shared" ref="P265:P293" si="302">IF(D265=0,0,SUM($L$264:L265))</f>
        <v>0</v>
      </c>
      <c r="Q265" s="104">
        <f t="shared" ref="Q265:Q293" si="303">IF(D265=0,0,SUM($J$264:J265))</f>
        <v>0</v>
      </c>
      <c r="R265" s="108">
        <f t="shared" si="13"/>
        <v>0</v>
      </c>
      <c r="S265" s="106" t="str">
        <f t="shared" si="14"/>
        <v>0%</v>
      </c>
      <c r="T265" s="133"/>
      <c r="U265" s="104">
        <f t="shared" si="23"/>
        <v>0</v>
      </c>
      <c r="V265" s="104">
        <f t="shared" si="24"/>
        <v>0</v>
      </c>
      <c r="W265" s="108">
        <f t="shared" si="15"/>
        <v>0</v>
      </c>
      <c r="X265" s="106" t="str">
        <f t="shared" si="16"/>
        <v>0%</v>
      </c>
      <c r="Y265" s="39"/>
      <c r="Z265" s="202">
        <f t="shared" ref="Z265:AA265" si="304">Z264+1</f>
        <v>45537</v>
      </c>
      <c r="AA265" s="203">
        <f t="shared" si="304"/>
        <v>45537</v>
      </c>
      <c r="AB265" s="204">
        <v>45537</v>
      </c>
      <c r="AC265" s="39"/>
      <c r="AD265" s="39"/>
      <c r="AE265" s="39"/>
      <c r="AF265" s="39"/>
      <c r="AG265" s="114"/>
      <c r="AH265" s="39"/>
      <c r="AI265" s="39"/>
      <c r="AJ265" s="39"/>
      <c r="AK265" s="39"/>
      <c r="AL265" s="39"/>
      <c r="AM265" s="39"/>
      <c r="AN265" s="39"/>
    </row>
    <row r="266" spans="1:40" ht="16.5" customHeight="1">
      <c r="A266" s="39"/>
      <c r="B266" s="50"/>
      <c r="C266" s="95">
        <f t="shared" si="19"/>
        <v>247</v>
      </c>
      <c r="D266" s="96">
        <v>1</v>
      </c>
      <c r="E266" s="194" t="str">
        <f t="shared" si="8"/>
        <v>9</v>
      </c>
      <c r="F266" s="195">
        <f t="shared" si="20"/>
        <v>45538</v>
      </c>
      <c r="G266" s="196" t="str">
        <f t="shared" si="9"/>
        <v>Tue</v>
      </c>
      <c r="H266" s="197"/>
      <c r="I266" s="208"/>
      <c r="J266" s="209">
        <v>131350</v>
      </c>
      <c r="K266" s="136"/>
      <c r="L266" s="104">
        <f t="shared" si="300"/>
        <v>95972.134020618541</v>
      </c>
      <c r="M266" s="105">
        <f t="shared" si="11"/>
        <v>35377.865979381459</v>
      </c>
      <c r="N266" s="106">
        <f t="shared" si="12"/>
        <v>1.3686264387096041</v>
      </c>
      <c r="O266" s="200"/>
      <c r="P266" s="170">
        <f t="shared" si="302"/>
        <v>191944.26804123708</v>
      </c>
      <c r="Q266" s="104">
        <f t="shared" si="303"/>
        <v>203650</v>
      </c>
      <c r="R266" s="108">
        <f t="shared" si="13"/>
        <v>11705.731958762917</v>
      </c>
      <c r="S266" s="106">
        <f t="shared" si="14"/>
        <v>1.0609850561218535</v>
      </c>
      <c r="T266" s="133"/>
      <c r="U266" s="104">
        <f t="shared" si="23"/>
        <v>18492314.876288667</v>
      </c>
      <c r="V266" s="104">
        <f t="shared" si="24"/>
        <v>20033280</v>
      </c>
      <c r="W266" s="108">
        <f t="shared" si="15"/>
        <v>1540965.1237113327</v>
      </c>
      <c r="X266" s="106">
        <f t="shared" si="16"/>
        <v>1.083330028393968</v>
      </c>
      <c r="Y266" s="39"/>
      <c r="Z266" s="202">
        <f t="shared" ref="Z266:AA266" si="305">Z265+1</f>
        <v>45538</v>
      </c>
      <c r="AA266" s="203">
        <f t="shared" si="305"/>
        <v>45538</v>
      </c>
      <c r="AB266" s="204">
        <v>45538</v>
      </c>
      <c r="AC266" s="39"/>
      <c r="AD266" s="39"/>
      <c r="AE266" s="39"/>
      <c r="AF266" s="39"/>
      <c r="AG266" s="114"/>
      <c r="AH266" s="39"/>
      <c r="AI266" s="39"/>
      <c r="AJ266" s="39"/>
      <c r="AK266" s="39"/>
      <c r="AL266" s="39"/>
      <c r="AM266" s="39"/>
      <c r="AN266" s="39"/>
    </row>
    <row r="267" spans="1:40" ht="16.5" customHeight="1">
      <c r="A267" s="39"/>
      <c r="B267" s="50"/>
      <c r="C267" s="95">
        <f t="shared" si="19"/>
        <v>248</v>
      </c>
      <c r="D267" s="96">
        <v>1</v>
      </c>
      <c r="E267" s="194" t="str">
        <f t="shared" si="8"/>
        <v>9</v>
      </c>
      <c r="F267" s="195">
        <f t="shared" si="20"/>
        <v>45539</v>
      </c>
      <c r="G267" s="196" t="str">
        <f t="shared" si="9"/>
        <v>Wed</v>
      </c>
      <c r="H267" s="197"/>
      <c r="I267" s="208"/>
      <c r="J267" s="209">
        <v>135850</v>
      </c>
      <c r="K267" s="136"/>
      <c r="L267" s="104">
        <f t="shared" si="300"/>
        <v>95972.134020618541</v>
      </c>
      <c r="M267" s="105">
        <f t="shared" si="11"/>
        <v>39877.865979381459</v>
      </c>
      <c r="N267" s="106">
        <f t="shared" si="12"/>
        <v>1.4155150490955442</v>
      </c>
      <c r="O267" s="200"/>
      <c r="P267" s="170">
        <f t="shared" si="302"/>
        <v>287916.40206185565</v>
      </c>
      <c r="Q267" s="104">
        <f t="shared" si="303"/>
        <v>339500</v>
      </c>
      <c r="R267" s="108">
        <f t="shared" si="13"/>
        <v>51583.597938144347</v>
      </c>
      <c r="S267" s="106">
        <f t="shared" si="14"/>
        <v>1.1791617204464169</v>
      </c>
      <c r="T267" s="133"/>
      <c r="U267" s="104">
        <f t="shared" si="23"/>
        <v>18588287.010309286</v>
      </c>
      <c r="V267" s="104">
        <f t="shared" si="24"/>
        <v>20169130</v>
      </c>
      <c r="W267" s="108">
        <f t="shared" si="15"/>
        <v>1580842.9896907136</v>
      </c>
      <c r="X267" s="106">
        <f t="shared" si="16"/>
        <v>1.0850451140986772</v>
      </c>
      <c r="Y267" s="39"/>
      <c r="Z267" s="202">
        <f t="shared" ref="Z267:AA267" si="306">Z266+1</f>
        <v>45539</v>
      </c>
      <c r="AA267" s="203">
        <f t="shared" si="306"/>
        <v>45539</v>
      </c>
      <c r="AB267" s="204">
        <v>45539</v>
      </c>
      <c r="AC267" s="39"/>
      <c r="AD267" s="39"/>
      <c r="AE267" s="39"/>
      <c r="AF267" s="39"/>
      <c r="AG267" s="114"/>
      <c r="AH267" s="39"/>
      <c r="AI267" s="39"/>
      <c r="AJ267" s="39"/>
      <c r="AK267" s="39"/>
      <c r="AL267" s="39"/>
      <c r="AM267" s="39"/>
      <c r="AN267" s="39"/>
    </row>
    <row r="268" spans="1:40" ht="16.5" customHeight="1">
      <c r="A268" s="39"/>
      <c r="B268" s="50"/>
      <c r="C268" s="95">
        <f t="shared" si="19"/>
        <v>249</v>
      </c>
      <c r="D268" s="96">
        <v>1</v>
      </c>
      <c r="E268" s="194" t="str">
        <f t="shared" si="8"/>
        <v>9</v>
      </c>
      <c r="F268" s="195">
        <f t="shared" si="20"/>
        <v>45540</v>
      </c>
      <c r="G268" s="196" t="str">
        <f t="shared" si="9"/>
        <v>Thu</v>
      </c>
      <c r="H268" s="197"/>
      <c r="I268" s="208"/>
      <c r="J268" s="209">
        <v>124450</v>
      </c>
      <c r="K268" s="136"/>
      <c r="L268" s="104">
        <f t="shared" si="300"/>
        <v>95972.134020618541</v>
      </c>
      <c r="M268" s="105">
        <f t="shared" si="11"/>
        <v>28477.865979381459</v>
      </c>
      <c r="N268" s="106">
        <f t="shared" si="12"/>
        <v>1.2967305694511628</v>
      </c>
      <c r="O268" s="200"/>
      <c r="P268" s="170">
        <f t="shared" si="302"/>
        <v>383888.53608247417</v>
      </c>
      <c r="Q268" s="104">
        <f t="shared" si="303"/>
        <v>463950</v>
      </c>
      <c r="R268" s="108">
        <f t="shared" si="13"/>
        <v>80061.463917525834</v>
      </c>
      <c r="S268" s="106">
        <f t="shared" si="14"/>
        <v>1.2085539326976034</v>
      </c>
      <c r="T268" s="133"/>
      <c r="U268" s="104">
        <f t="shared" si="23"/>
        <v>18684259.144329906</v>
      </c>
      <c r="V268" s="104">
        <f t="shared" si="24"/>
        <v>20293580</v>
      </c>
      <c r="W268" s="108">
        <f t="shared" si="15"/>
        <v>1609320.8556700945</v>
      </c>
      <c r="X268" s="106">
        <f t="shared" si="16"/>
        <v>1.0861324413902957</v>
      </c>
      <c r="Y268" s="39"/>
      <c r="Z268" s="202">
        <f t="shared" ref="Z268:AA268" si="307">Z267+1</f>
        <v>45540</v>
      </c>
      <c r="AA268" s="203">
        <f t="shared" si="307"/>
        <v>45540</v>
      </c>
      <c r="AB268" s="204">
        <v>45540</v>
      </c>
      <c r="AC268" s="39"/>
      <c r="AD268" s="39"/>
      <c r="AE268" s="39"/>
      <c r="AF268" s="39"/>
      <c r="AG268" s="114"/>
      <c r="AH268" s="39"/>
      <c r="AI268" s="39"/>
      <c r="AJ268" s="39"/>
      <c r="AK268" s="39"/>
      <c r="AL268" s="39"/>
      <c r="AM268" s="39"/>
      <c r="AN268" s="39"/>
    </row>
    <row r="269" spans="1:40" ht="16.5" customHeight="1">
      <c r="A269" s="39"/>
      <c r="B269" s="50"/>
      <c r="C269" s="95">
        <f t="shared" si="19"/>
        <v>250</v>
      </c>
      <c r="D269" s="96">
        <v>1</v>
      </c>
      <c r="E269" s="194" t="str">
        <f t="shared" si="8"/>
        <v>9</v>
      </c>
      <c r="F269" s="195">
        <f t="shared" si="20"/>
        <v>45541</v>
      </c>
      <c r="G269" s="196" t="str">
        <f t="shared" si="9"/>
        <v>Fri</v>
      </c>
      <c r="H269" s="197"/>
      <c r="I269" s="208"/>
      <c r="J269" s="209">
        <v>180400</v>
      </c>
      <c r="K269" s="136"/>
      <c r="L269" s="104">
        <f t="shared" si="300"/>
        <v>95972.134020618541</v>
      </c>
      <c r="M269" s="105">
        <f t="shared" si="11"/>
        <v>84427.865979381459</v>
      </c>
      <c r="N269" s="106">
        <f t="shared" si="12"/>
        <v>1.8797122919163503</v>
      </c>
      <c r="O269" s="200"/>
      <c r="P269" s="170">
        <f t="shared" si="302"/>
        <v>479860.67010309268</v>
      </c>
      <c r="Q269" s="104">
        <f t="shared" si="303"/>
        <v>644350</v>
      </c>
      <c r="R269" s="108">
        <f t="shared" si="13"/>
        <v>164489.32989690732</v>
      </c>
      <c r="S269" s="106">
        <f t="shared" si="14"/>
        <v>1.3427856045413529</v>
      </c>
      <c r="T269" s="133"/>
      <c r="U269" s="104">
        <f t="shared" si="23"/>
        <v>18780231.278350525</v>
      </c>
      <c r="V269" s="104">
        <f t="shared" si="24"/>
        <v>20473980</v>
      </c>
      <c r="W269" s="108">
        <f t="shared" si="15"/>
        <v>1693748.7216494754</v>
      </c>
      <c r="X269" s="106">
        <f t="shared" si="16"/>
        <v>1.0901878521380082</v>
      </c>
      <c r="Y269" s="39"/>
      <c r="Z269" s="202">
        <f t="shared" ref="Z269:AA269" si="308">Z268+1</f>
        <v>45541</v>
      </c>
      <c r="AA269" s="203">
        <f t="shared" si="308"/>
        <v>45541</v>
      </c>
      <c r="AB269" s="204">
        <v>45541</v>
      </c>
      <c r="AC269" s="39"/>
      <c r="AD269" s="39"/>
      <c r="AE269" s="39"/>
      <c r="AF269" s="39"/>
      <c r="AG269" s="114"/>
      <c r="AH269" s="39"/>
      <c r="AI269" s="39"/>
      <c r="AJ269" s="39"/>
      <c r="AK269" s="39"/>
      <c r="AL269" s="39"/>
      <c r="AM269" s="39"/>
      <c r="AN269" s="39"/>
    </row>
    <row r="270" spans="1:40" ht="16.5" customHeight="1">
      <c r="A270" s="39"/>
      <c r="B270" s="50"/>
      <c r="C270" s="95">
        <f t="shared" si="19"/>
        <v>251</v>
      </c>
      <c r="D270" s="96">
        <v>1</v>
      </c>
      <c r="E270" s="194" t="str">
        <f t="shared" si="8"/>
        <v>9</v>
      </c>
      <c r="F270" s="195">
        <f t="shared" si="20"/>
        <v>45542</v>
      </c>
      <c r="G270" s="196" t="str">
        <f t="shared" si="9"/>
        <v>Sat</v>
      </c>
      <c r="H270" s="197"/>
      <c r="I270" s="208"/>
      <c r="J270" s="209">
        <v>105250</v>
      </c>
      <c r="K270" s="136"/>
      <c r="L270" s="104">
        <f t="shared" si="300"/>
        <v>95972.134020618541</v>
      </c>
      <c r="M270" s="105">
        <f t="shared" si="11"/>
        <v>9277.8659793814586</v>
      </c>
      <c r="N270" s="106">
        <f t="shared" si="12"/>
        <v>1.0966724984711522</v>
      </c>
      <c r="O270" s="200"/>
      <c r="P270" s="170">
        <f t="shared" si="302"/>
        <v>575832.80412371119</v>
      </c>
      <c r="Q270" s="104">
        <f t="shared" si="303"/>
        <v>749600</v>
      </c>
      <c r="R270" s="108">
        <f t="shared" si="13"/>
        <v>173767.19587628881</v>
      </c>
      <c r="S270" s="106">
        <f t="shared" si="14"/>
        <v>1.3017667535296529</v>
      </c>
      <c r="T270" s="134"/>
      <c r="U270" s="104">
        <f t="shared" si="23"/>
        <v>18876203.412371144</v>
      </c>
      <c r="V270" s="104">
        <f t="shared" si="24"/>
        <v>20579230</v>
      </c>
      <c r="W270" s="108">
        <f t="shared" si="15"/>
        <v>1703026.5876288563</v>
      </c>
      <c r="X270" s="106">
        <f t="shared" si="16"/>
        <v>1.0902208219748639</v>
      </c>
      <c r="Y270" s="39"/>
      <c r="Z270" s="202">
        <f t="shared" ref="Z270:AA270" si="309">Z269+1</f>
        <v>45542</v>
      </c>
      <c r="AA270" s="203">
        <f t="shared" si="309"/>
        <v>45542</v>
      </c>
      <c r="AB270" s="204">
        <v>45542</v>
      </c>
      <c r="AC270" s="39"/>
      <c r="AD270" s="39"/>
      <c r="AE270" s="39"/>
      <c r="AF270" s="39"/>
      <c r="AG270" s="114"/>
      <c r="AH270" s="39"/>
      <c r="AI270" s="39"/>
      <c r="AJ270" s="39"/>
      <c r="AK270" s="39"/>
      <c r="AL270" s="39"/>
      <c r="AM270" s="39"/>
      <c r="AN270" s="39"/>
    </row>
    <row r="271" spans="1:40" ht="16.5" customHeight="1">
      <c r="A271" s="39"/>
      <c r="B271" s="50"/>
      <c r="C271" s="95">
        <f t="shared" si="19"/>
        <v>252</v>
      </c>
      <c r="D271" s="96">
        <v>1</v>
      </c>
      <c r="E271" s="194" t="str">
        <f t="shared" si="8"/>
        <v>9</v>
      </c>
      <c r="F271" s="195">
        <f t="shared" si="20"/>
        <v>45543</v>
      </c>
      <c r="G271" s="196" t="str">
        <f t="shared" si="9"/>
        <v>Sun</v>
      </c>
      <c r="H271" s="197" t="s">
        <v>157</v>
      </c>
      <c r="I271" s="208"/>
      <c r="J271" s="209">
        <v>126300</v>
      </c>
      <c r="K271" s="136"/>
      <c r="L271" s="104">
        <f t="shared" si="300"/>
        <v>95972.134020618541</v>
      </c>
      <c r="M271" s="105">
        <f t="shared" si="11"/>
        <v>30327.865979381459</v>
      </c>
      <c r="N271" s="106">
        <f t="shared" si="12"/>
        <v>1.3160069981653826</v>
      </c>
      <c r="O271" s="200"/>
      <c r="P271" s="170">
        <f t="shared" si="302"/>
        <v>671804.9381443297</v>
      </c>
      <c r="Q271" s="104">
        <f t="shared" si="303"/>
        <v>875900</v>
      </c>
      <c r="R271" s="108">
        <f t="shared" si="13"/>
        <v>204095.0618556703</v>
      </c>
      <c r="S271" s="106">
        <f t="shared" si="14"/>
        <v>1.3038010741918999</v>
      </c>
      <c r="T271" s="133"/>
      <c r="U271" s="104">
        <f t="shared" si="23"/>
        <v>18972175.546391763</v>
      </c>
      <c r="V271" s="104">
        <f t="shared" si="24"/>
        <v>20705530</v>
      </c>
      <c r="W271" s="108">
        <f t="shared" si="15"/>
        <v>1733354.4536082372</v>
      </c>
      <c r="X271" s="106">
        <f t="shared" si="16"/>
        <v>1.0913629778182132</v>
      </c>
      <c r="Y271" s="39"/>
      <c r="Z271" s="202">
        <f t="shared" ref="Z271:AA271" si="310">Z270+1</f>
        <v>45543</v>
      </c>
      <c r="AA271" s="203">
        <f t="shared" si="310"/>
        <v>45543</v>
      </c>
      <c r="AB271" s="204">
        <v>45543</v>
      </c>
      <c r="AC271" s="39"/>
      <c r="AD271" s="39"/>
      <c r="AE271" s="39"/>
      <c r="AF271" s="39"/>
      <c r="AG271" s="114"/>
      <c r="AH271" s="39"/>
      <c r="AI271" s="39"/>
      <c r="AJ271" s="39"/>
      <c r="AK271" s="39"/>
      <c r="AL271" s="39"/>
      <c r="AM271" s="39"/>
      <c r="AN271" s="39"/>
    </row>
    <row r="272" spans="1:40" ht="16.5" customHeight="1">
      <c r="A272" s="39"/>
      <c r="B272" s="50"/>
      <c r="C272" s="95">
        <f t="shared" si="19"/>
        <v>253</v>
      </c>
      <c r="D272" s="96">
        <v>0</v>
      </c>
      <c r="E272" s="194" t="str">
        <f t="shared" si="8"/>
        <v>9</v>
      </c>
      <c r="F272" s="195">
        <f t="shared" si="20"/>
        <v>45544</v>
      </c>
      <c r="G272" s="196" t="str">
        <f t="shared" si="9"/>
        <v>Mon</v>
      </c>
      <c r="H272" s="197"/>
      <c r="I272" s="208"/>
      <c r="J272" s="209"/>
      <c r="K272" s="136"/>
      <c r="L272" s="104">
        <f t="shared" si="300"/>
        <v>0</v>
      </c>
      <c r="M272" s="105">
        <f t="shared" si="11"/>
        <v>0</v>
      </c>
      <c r="N272" s="106" t="str">
        <f t="shared" si="12"/>
        <v>0%</v>
      </c>
      <c r="O272" s="200"/>
      <c r="P272" s="170">
        <f t="shared" si="302"/>
        <v>0</v>
      </c>
      <c r="Q272" s="104">
        <f t="shared" si="303"/>
        <v>0</v>
      </c>
      <c r="R272" s="108">
        <f t="shared" si="13"/>
        <v>0</v>
      </c>
      <c r="S272" s="106" t="str">
        <f t="shared" si="14"/>
        <v>0%</v>
      </c>
      <c r="T272" s="133"/>
      <c r="U272" s="104">
        <f t="shared" si="23"/>
        <v>0</v>
      </c>
      <c r="V272" s="104">
        <f t="shared" si="24"/>
        <v>0</v>
      </c>
      <c r="W272" s="108">
        <f t="shared" si="15"/>
        <v>0</v>
      </c>
      <c r="X272" s="106" t="str">
        <f t="shared" si="16"/>
        <v>0%</v>
      </c>
      <c r="Y272" s="39"/>
      <c r="Z272" s="202">
        <f t="shared" ref="Z272:AA272" si="311">Z271+1</f>
        <v>45544</v>
      </c>
      <c r="AA272" s="203">
        <f t="shared" si="311"/>
        <v>45544</v>
      </c>
      <c r="AB272" s="204">
        <v>45544</v>
      </c>
      <c r="AC272" s="39"/>
      <c r="AD272" s="39"/>
      <c r="AE272" s="39"/>
      <c r="AF272" s="39"/>
      <c r="AG272" s="114"/>
      <c r="AH272" s="39"/>
      <c r="AI272" s="39"/>
      <c r="AJ272" s="39"/>
      <c r="AK272" s="39"/>
      <c r="AL272" s="39"/>
      <c r="AM272" s="39"/>
      <c r="AN272" s="39"/>
    </row>
    <row r="273" spans="1:40" ht="16.5" customHeight="1">
      <c r="A273" s="39"/>
      <c r="B273" s="50"/>
      <c r="C273" s="95">
        <f t="shared" si="19"/>
        <v>254</v>
      </c>
      <c r="D273" s="96">
        <v>1</v>
      </c>
      <c r="E273" s="194" t="str">
        <f t="shared" si="8"/>
        <v>9</v>
      </c>
      <c r="F273" s="195">
        <f t="shared" si="20"/>
        <v>45545</v>
      </c>
      <c r="G273" s="196" t="str">
        <f t="shared" si="9"/>
        <v>Tue</v>
      </c>
      <c r="H273" s="197"/>
      <c r="I273" s="208"/>
      <c r="J273" s="209">
        <v>71500</v>
      </c>
      <c r="K273" s="136"/>
      <c r="L273" s="104">
        <f t="shared" si="300"/>
        <v>95972.134020618541</v>
      </c>
      <c r="M273" s="105">
        <f t="shared" si="11"/>
        <v>-24472.134020618541</v>
      </c>
      <c r="N273" s="106">
        <f t="shared" si="12"/>
        <v>0.74500792057660215</v>
      </c>
      <c r="O273" s="200"/>
      <c r="P273" s="170">
        <f t="shared" si="302"/>
        <v>767777.07216494821</v>
      </c>
      <c r="Q273" s="104">
        <f t="shared" si="303"/>
        <v>947400</v>
      </c>
      <c r="R273" s="108">
        <f t="shared" si="13"/>
        <v>179622.92783505179</v>
      </c>
      <c r="S273" s="106">
        <f t="shared" si="14"/>
        <v>1.2339519299899877</v>
      </c>
      <c r="T273" s="133"/>
      <c r="U273" s="104">
        <f t="shared" si="23"/>
        <v>19068147.680412382</v>
      </c>
      <c r="V273" s="104">
        <f t="shared" si="24"/>
        <v>20777030</v>
      </c>
      <c r="W273" s="108">
        <f t="shared" si="15"/>
        <v>1708882.3195876181</v>
      </c>
      <c r="X273" s="106">
        <f t="shared" si="16"/>
        <v>1.0896197338215003</v>
      </c>
      <c r="Y273" s="39"/>
      <c r="Z273" s="202">
        <f t="shared" ref="Z273:AA273" si="312">Z272+1</f>
        <v>45545</v>
      </c>
      <c r="AA273" s="203">
        <f t="shared" si="312"/>
        <v>45545</v>
      </c>
      <c r="AB273" s="204">
        <v>45545</v>
      </c>
      <c r="AC273" s="39"/>
      <c r="AD273" s="39"/>
      <c r="AE273" s="39"/>
      <c r="AF273" s="39"/>
      <c r="AG273" s="114"/>
      <c r="AH273" s="39"/>
      <c r="AI273" s="39"/>
      <c r="AJ273" s="39"/>
      <c r="AK273" s="39"/>
      <c r="AL273" s="39"/>
      <c r="AM273" s="39"/>
      <c r="AN273" s="39"/>
    </row>
    <row r="274" spans="1:40" ht="16.5" customHeight="1">
      <c r="A274" s="39"/>
      <c r="B274" s="50"/>
      <c r="C274" s="95">
        <f t="shared" si="19"/>
        <v>255</v>
      </c>
      <c r="D274" s="96">
        <v>1</v>
      </c>
      <c r="E274" s="194" t="str">
        <f t="shared" si="8"/>
        <v>9</v>
      </c>
      <c r="F274" s="195">
        <f t="shared" si="20"/>
        <v>45546</v>
      </c>
      <c r="G274" s="196" t="str">
        <f t="shared" si="9"/>
        <v>Wed</v>
      </c>
      <c r="H274" s="197"/>
      <c r="I274" s="208"/>
      <c r="J274" s="209">
        <v>76250</v>
      </c>
      <c r="K274" s="136"/>
      <c r="L274" s="104">
        <f t="shared" si="300"/>
        <v>95972.134020618541</v>
      </c>
      <c r="M274" s="105">
        <f t="shared" si="11"/>
        <v>-19722.134020618541</v>
      </c>
      <c r="N274" s="106">
        <f t="shared" si="12"/>
        <v>0.79450145376176107</v>
      </c>
      <c r="O274" s="200"/>
      <c r="P274" s="170">
        <f t="shared" si="302"/>
        <v>863749.20618556673</v>
      </c>
      <c r="Q274" s="104">
        <f t="shared" si="303"/>
        <v>1023650</v>
      </c>
      <c r="R274" s="108">
        <f t="shared" si="13"/>
        <v>159900.79381443327</v>
      </c>
      <c r="S274" s="106">
        <f t="shared" si="14"/>
        <v>1.1851240992979626</v>
      </c>
      <c r="T274" s="133"/>
      <c r="U274" s="104">
        <f t="shared" si="23"/>
        <v>19164119.814433001</v>
      </c>
      <c r="V274" s="104">
        <f t="shared" si="24"/>
        <v>20853280</v>
      </c>
      <c r="W274" s="108">
        <f t="shared" si="15"/>
        <v>1689160.185566999</v>
      </c>
      <c r="X274" s="106">
        <f t="shared" si="16"/>
        <v>1.0881418088554657</v>
      </c>
      <c r="Y274" s="39"/>
      <c r="Z274" s="202">
        <f t="shared" ref="Z274:AA274" si="313">Z273+1</f>
        <v>45546</v>
      </c>
      <c r="AA274" s="203">
        <f t="shared" si="313"/>
        <v>45546</v>
      </c>
      <c r="AB274" s="204">
        <v>45546</v>
      </c>
      <c r="AC274" s="39"/>
      <c r="AD274" s="39"/>
      <c r="AE274" s="39"/>
      <c r="AF274" s="39"/>
      <c r="AG274" s="114"/>
      <c r="AH274" s="39"/>
      <c r="AI274" s="39"/>
      <c r="AJ274" s="39"/>
      <c r="AK274" s="39"/>
      <c r="AL274" s="39"/>
      <c r="AM274" s="39"/>
      <c r="AN274" s="39"/>
    </row>
    <row r="275" spans="1:40" ht="16.5" customHeight="1">
      <c r="A275" s="39"/>
      <c r="B275" s="50"/>
      <c r="C275" s="95">
        <f t="shared" si="19"/>
        <v>256</v>
      </c>
      <c r="D275" s="96">
        <v>1</v>
      </c>
      <c r="E275" s="194" t="str">
        <f t="shared" ref="E275:E385" si="314">TEXT(AA275,"m")</f>
        <v>9</v>
      </c>
      <c r="F275" s="195">
        <f t="shared" si="20"/>
        <v>45547</v>
      </c>
      <c r="G275" s="196" t="str">
        <f t="shared" ref="G275:G385" si="315">TEXT(Z275,"ddd")</f>
        <v>Thu</v>
      </c>
      <c r="H275" s="197"/>
      <c r="I275" s="208"/>
      <c r="J275" s="209">
        <v>130250</v>
      </c>
      <c r="K275" s="136"/>
      <c r="L275" s="104">
        <f t="shared" si="300"/>
        <v>95972.134020618541</v>
      </c>
      <c r="M275" s="105">
        <f t="shared" ref="M275:M385" si="316">IF(D275=0,0,J275-L275)</f>
        <v>34277.865979381459</v>
      </c>
      <c r="N275" s="106">
        <f t="shared" ref="N275:N385" si="317">IFERROR(J275/L275,"0%")</f>
        <v>1.3571647783930412</v>
      </c>
      <c r="O275" s="200"/>
      <c r="P275" s="170">
        <f t="shared" si="302"/>
        <v>959721.34020618524</v>
      </c>
      <c r="Q275" s="104">
        <f t="shared" si="303"/>
        <v>1153900</v>
      </c>
      <c r="R275" s="108">
        <f t="shared" ref="R275:R385" si="318">IF(D275=0,0,Q275-P275)</f>
        <v>194178.65979381476</v>
      </c>
      <c r="S275" s="106">
        <f t="shared" ref="S275:S385" si="319">IFERROR(Q275/P275,"0%")</f>
        <v>1.2023281672074706</v>
      </c>
      <c r="T275" s="133"/>
      <c r="U275" s="104">
        <f t="shared" si="23"/>
        <v>19260091.94845362</v>
      </c>
      <c r="V275" s="104">
        <f t="shared" si="24"/>
        <v>20983530</v>
      </c>
      <c r="W275" s="108">
        <f t="shared" ref="W275:W385" si="320">IF(D275=0,0,V275-U275)</f>
        <v>1723438.0515463799</v>
      </c>
      <c r="X275" s="106">
        <f t="shared" ref="X275:X385" si="321">IFERROR(V275/U275,"0%")</f>
        <v>1.0894823376834788</v>
      </c>
      <c r="Y275" s="39"/>
      <c r="Z275" s="202">
        <f t="shared" ref="Z275:AA275" si="322">Z274+1</f>
        <v>45547</v>
      </c>
      <c r="AA275" s="203">
        <f t="shared" si="322"/>
        <v>45547</v>
      </c>
      <c r="AB275" s="204">
        <v>45547</v>
      </c>
      <c r="AC275" s="39"/>
      <c r="AD275" s="39"/>
      <c r="AE275" s="39"/>
      <c r="AF275" s="39"/>
      <c r="AG275" s="114"/>
      <c r="AH275" s="39"/>
      <c r="AI275" s="39"/>
      <c r="AJ275" s="39"/>
      <c r="AK275" s="39"/>
      <c r="AL275" s="39"/>
      <c r="AM275" s="39"/>
      <c r="AN275" s="39"/>
    </row>
    <row r="276" spans="1:40" ht="16.5" customHeight="1">
      <c r="A276" s="39"/>
      <c r="B276" s="50"/>
      <c r="C276" s="95">
        <f t="shared" ref="C276:C385" si="323">C275+1</f>
        <v>257</v>
      </c>
      <c r="D276" s="96">
        <v>1</v>
      </c>
      <c r="E276" s="194" t="str">
        <f t="shared" si="314"/>
        <v>9</v>
      </c>
      <c r="F276" s="195">
        <f t="shared" ref="F276:F385" si="324">F275+1</f>
        <v>45548</v>
      </c>
      <c r="G276" s="196" t="str">
        <f t="shared" si="315"/>
        <v>Fri</v>
      </c>
      <c r="H276" s="197"/>
      <c r="I276" s="208"/>
      <c r="J276" s="209">
        <v>191900</v>
      </c>
      <c r="K276" s="136"/>
      <c r="L276" s="104">
        <f t="shared" si="300"/>
        <v>95972.134020618541</v>
      </c>
      <c r="M276" s="105">
        <f t="shared" si="316"/>
        <v>95927.865979381459</v>
      </c>
      <c r="N276" s="106">
        <f t="shared" si="317"/>
        <v>1.999538740680419</v>
      </c>
      <c r="O276" s="200"/>
      <c r="P276" s="170">
        <f t="shared" si="302"/>
        <v>1055693.4742268038</v>
      </c>
      <c r="Q276" s="104">
        <f t="shared" si="303"/>
        <v>1345800</v>
      </c>
      <c r="R276" s="108">
        <f t="shared" si="318"/>
        <v>290106.52577319625</v>
      </c>
      <c r="S276" s="106">
        <f t="shared" si="319"/>
        <v>1.2748018557050114</v>
      </c>
      <c r="T276" s="133"/>
      <c r="U276" s="104">
        <f t="shared" ref="U276:U385" si="325">IF(D276=0,0,SUM($L$20:L276))</f>
        <v>19356064.082474239</v>
      </c>
      <c r="V276" s="104">
        <f t="shared" ref="V276:V385" si="326">IF(D276=0,0,SUM($J$20:J276))</f>
        <v>21175430</v>
      </c>
      <c r="W276" s="108">
        <f t="shared" si="320"/>
        <v>1819365.9175257608</v>
      </c>
      <c r="X276" s="106">
        <f t="shared" si="321"/>
        <v>1.0939946215187977</v>
      </c>
      <c r="Y276" s="39"/>
      <c r="Z276" s="202">
        <f t="shared" ref="Z276:AA276" si="327">Z275+1</f>
        <v>45548</v>
      </c>
      <c r="AA276" s="203">
        <f t="shared" si="327"/>
        <v>45548</v>
      </c>
      <c r="AB276" s="204">
        <v>45548</v>
      </c>
      <c r="AC276" s="39"/>
      <c r="AD276" s="39"/>
      <c r="AE276" s="39"/>
      <c r="AF276" s="39"/>
      <c r="AG276" s="114"/>
      <c r="AH276" s="39"/>
      <c r="AI276" s="39"/>
      <c r="AJ276" s="39"/>
      <c r="AK276" s="39"/>
      <c r="AL276" s="39"/>
      <c r="AM276" s="39"/>
      <c r="AN276" s="39"/>
    </row>
    <row r="277" spans="1:40" ht="16.5" customHeight="1">
      <c r="A277" s="39"/>
      <c r="B277" s="50"/>
      <c r="C277" s="95">
        <f t="shared" si="323"/>
        <v>258</v>
      </c>
      <c r="D277" s="96">
        <v>1</v>
      </c>
      <c r="E277" s="194" t="str">
        <f t="shared" si="314"/>
        <v>9</v>
      </c>
      <c r="F277" s="195">
        <f t="shared" si="324"/>
        <v>45549</v>
      </c>
      <c r="G277" s="196" t="str">
        <f t="shared" si="315"/>
        <v>Sat</v>
      </c>
      <c r="H277" s="197"/>
      <c r="I277" s="208"/>
      <c r="J277" s="209">
        <v>48500</v>
      </c>
      <c r="K277" s="136"/>
      <c r="L277" s="104">
        <f t="shared" si="300"/>
        <v>95972.134020618541</v>
      </c>
      <c r="M277" s="105">
        <f t="shared" si="316"/>
        <v>-47472.134020618541</v>
      </c>
      <c r="N277" s="106">
        <f t="shared" si="317"/>
        <v>0.50535502304846447</v>
      </c>
      <c r="O277" s="200"/>
      <c r="P277" s="170">
        <f t="shared" si="302"/>
        <v>1151665.6082474224</v>
      </c>
      <c r="Q277" s="104">
        <f t="shared" si="303"/>
        <v>1394300</v>
      </c>
      <c r="R277" s="108">
        <f t="shared" si="318"/>
        <v>242634.39175257762</v>
      </c>
      <c r="S277" s="106">
        <f t="shared" si="319"/>
        <v>1.2106812863169656</v>
      </c>
      <c r="T277" s="134"/>
      <c r="U277" s="104">
        <f t="shared" si="325"/>
        <v>19452036.216494858</v>
      </c>
      <c r="V277" s="104">
        <f t="shared" si="326"/>
        <v>21223930</v>
      </c>
      <c r="W277" s="108">
        <f t="shared" si="320"/>
        <v>1771893.7835051417</v>
      </c>
      <c r="X277" s="106">
        <f t="shared" si="321"/>
        <v>1.0910904012199307</v>
      </c>
      <c r="Y277" s="39"/>
      <c r="Z277" s="202">
        <f t="shared" ref="Z277:AA277" si="328">Z276+1</f>
        <v>45549</v>
      </c>
      <c r="AA277" s="203">
        <f t="shared" si="328"/>
        <v>45549</v>
      </c>
      <c r="AB277" s="204">
        <v>45549</v>
      </c>
      <c r="AC277" s="39"/>
      <c r="AD277" s="39"/>
      <c r="AE277" s="39"/>
      <c r="AF277" s="39"/>
      <c r="AG277" s="114"/>
      <c r="AH277" s="39"/>
      <c r="AI277" s="39"/>
      <c r="AJ277" s="39"/>
      <c r="AK277" s="39"/>
      <c r="AL277" s="39"/>
      <c r="AM277" s="39"/>
      <c r="AN277" s="39"/>
    </row>
    <row r="278" spans="1:40" ht="16.5" customHeight="1">
      <c r="A278" s="39"/>
      <c r="B278" s="50"/>
      <c r="C278" s="95">
        <f t="shared" si="323"/>
        <v>259</v>
      </c>
      <c r="D278" s="96">
        <v>0</v>
      </c>
      <c r="E278" s="194" t="str">
        <f t="shared" si="314"/>
        <v>9</v>
      </c>
      <c r="F278" s="195">
        <f t="shared" si="324"/>
        <v>45550</v>
      </c>
      <c r="G278" s="196" t="str">
        <f t="shared" si="315"/>
        <v>Sun</v>
      </c>
      <c r="H278" s="197" t="s">
        <v>157</v>
      </c>
      <c r="I278" s="208"/>
      <c r="J278" s="209"/>
      <c r="K278" s="136"/>
      <c r="L278" s="104">
        <f t="shared" si="300"/>
        <v>0</v>
      </c>
      <c r="M278" s="105">
        <f t="shared" si="316"/>
        <v>0</v>
      </c>
      <c r="N278" s="106" t="str">
        <f t="shared" si="317"/>
        <v>0%</v>
      </c>
      <c r="O278" s="200"/>
      <c r="P278" s="170">
        <f t="shared" si="302"/>
        <v>0</v>
      </c>
      <c r="Q278" s="104">
        <f t="shared" si="303"/>
        <v>0</v>
      </c>
      <c r="R278" s="108">
        <f t="shared" si="318"/>
        <v>0</v>
      </c>
      <c r="S278" s="106" t="str">
        <f t="shared" si="319"/>
        <v>0%</v>
      </c>
      <c r="T278" s="134"/>
      <c r="U278" s="104">
        <f t="shared" si="325"/>
        <v>0</v>
      </c>
      <c r="V278" s="104">
        <f t="shared" si="326"/>
        <v>0</v>
      </c>
      <c r="W278" s="108">
        <f t="shared" si="320"/>
        <v>0</v>
      </c>
      <c r="X278" s="106" t="str">
        <f t="shared" si="321"/>
        <v>0%</v>
      </c>
      <c r="Y278" s="39"/>
      <c r="Z278" s="202">
        <f t="shared" ref="Z278:AA278" si="329">Z277+1</f>
        <v>45550</v>
      </c>
      <c r="AA278" s="203">
        <f t="shared" si="329"/>
        <v>45550</v>
      </c>
      <c r="AB278" s="204">
        <v>45550</v>
      </c>
      <c r="AC278" s="39"/>
      <c r="AD278" s="39"/>
      <c r="AE278" s="39"/>
      <c r="AF278" s="39"/>
      <c r="AG278" s="114"/>
      <c r="AH278" s="39"/>
      <c r="AI278" s="39"/>
      <c r="AJ278" s="39"/>
      <c r="AK278" s="39"/>
      <c r="AL278" s="39"/>
      <c r="AM278" s="39"/>
      <c r="AN278" s="39"/>
    </row>
    <row r="279" spans="1:40" ht="16.5" customHeight="1">
      <c r="A279" s="39"/>
      <c r="B279" s="50"/>
      <c r="C279" s="95">
        <f t="shared" si="323"/>
        <v>260</v>
      </c>
      <c r="D279" s="96">
        <v>0</v>
      </c>
      <c r="E279" s="194" t="str">
        <f t="shared" si="314"/>
        <v>9</v>
      </c>
      <c r="F279" s="195">
        <f t="shared" si="324"/>
        <v>45551</v>
      </c>
      <c r="G279" s="196" t="str">
        <f t="shared" si="315"/>
        <v>Mon</v>
      </c>
      <c r="H279" s="197" t="s">
        <v>153</v>
      </c>
      <c r="I279" s="208"/>
      <c r="J279" s="209"/>
      <c r="K279" s="136"/>
      <c r="L279" s="104">
        <f t="shared" si="300"/>
        <v>0</v>
      </c>
      <c r="M279" s="105">
        <f t="shared" si="316"/>
        <v>0</v>
      </c>
      <c r="N279" s="106" t="str">
        <f t="shared" si="317"/>
        <v>0%</v>
      </c>
      <c r="O279" s="200"/>
      <c r="P279" s="170">
        <f t="shared" si="302"/>
        <v>0</v>
      </c>
      <c r="Q279" s="104">
        <f t="shared" si="303"/>
        <v>0</v>
      </c>
      <c r="R279" s="108">
        <f t="shared" si="318"/>
        <v>0</v>
      </c>
      <c r="S279" s="106" t="str">
        <f t="shared" si="319"/>
        <v>0%</v>
      </c>
      <c r="T279" s="133"/>
      <c r="U279" s="104">
        <f t="shared" si="325"/>
        <v>0</v>
      </c>
      <c r="V279" s="104">
        <f t="shared" si="326"/>
        <v>0</v>
      </c>
      <c r="W279" s="108">
        <f t="shared" si="320"/>
        <v>0</v>
      </c>
      <c r="X279" s="106" t="str">
        <f t="shared" si="321"/>
        <v>0%</v>
      </c>
      <c r="Y279" s="39"/>
      <c r="Z279" s="202">
        <f t="shared" ref="Z279:AA279" si="330">Z278+1</f>
        <v>45551</v>
      </c>
      <c r="AA279" s="203">
        <f t="shared" si="330"/>
        <v>45551</v>
      </c>
      <c r="AB279" s="204">
        <v>45551</v>
      </c>
      <c r="AC279" s="39"/>
      <c r="AD279" s="39"/>
      <c r="AE279" s="39"/>
      <c r="AF279" s="39"/>
      <c r="AG279" s="114"/>
      <c r="AH279" s="39"/>
      <c r="AI279" s="39"/>
      <c r="AJ279" s="39"/>
      <c r="AK279" s="39"/>
      <c r="AL279" s="39"/>
      <c r="AM279" s="39"/>
      <c r="AN279" s="39"/>
    </row>
    <row r="280" spans="1:40" ht="16.5" customHeight="1">
      <c r="A280" s="39"/>
      <c r="B280" s="50"/>
      <c r="C280" s="95">
        <f t="shared" si="323"/>
        <v>261</v>
      </c>
      <c r="D280" s="96">
        <v>1</v>
      </c>
      <c r="E280" s="194" t="str">
        <f t="shared" si="314"/>
        <v>9</v>
      </c>
      <c r="F280" s="195">
        <f t="shared" si="324"/>
        <v>45552</v>
      </c>
      <c r="G280" s="196" t="str">
        <f t="shared" si="315"/>
        <v>Tue</v>
      </c>
      <c r="H280" s="197"/>
      <c r="I280" s="208"/>
      <c r="J280" s="209">
        <v>47600</v>
      </c>
      <c r="K280" s="136"/>
      <c r="L280" s="104">
        <f t="shared" si="300"/>
        <v>95972.134020618541</v>
      </c>
      <c r="M280" s="105">
        <f t="shared" si="316"/>
        <v>-48372.134020618541</v>
      </c>
      <c r="N280" s="106">
        <f t="shared" si="317"/>
        <v>0.4959773009712764</v>
      </c>
      <c r="O280" s="200"/>
      <c r="P280" s="170">
        <f t="shared" si="302"/>
        <v>1247637.742268041</v>
      </c>
      <c r="Q280" s="104">
        <f t="shared" si="303"/>
        <v>1441900</v>
      </c>
      <c r="R280" s="108">
        <f t="shared" si="318"/>
        <v>194262.25773195899</v>
      </c>
      <c r="S280" s="106">
        <f t="shared" si="319"/>
        <v>1.1557040566749894</v>
      </c>
      <c r="T280" s="133"/>
      <c r="U280" s="104">
        <f t="shared" si="325"/>
        <v>19548008.350515477</v>
      </c>
      <c r="V280" s="104">
        <f t="shared" si="326"/>
        <v>21271530</v>
      </c>
      <c r="W280" s="108">
        <f t="shared" si="320"/>
        <v>1723521.6494845226</v>
      </c>
      <c r="X280" s="106">
        <f t="shared" si="321"/>
        <v>1.0881686573169012</v>
      </c>
      <c r="Y280" s="39"/>
      <c r="Z280" s="202">
        <f t="shared" ref="Z280:AA280" si="331">Z279+1</f>
        <v>45552</v>
      </c>
      <c r="AA280" s="203">
        <f t="shared" si="331"/>
        <v>45552</v>
      </c>
      <c r="AB280" s="204">
        <v>45552</v>
      </c>
      <c r="AC280" s="39"/>
      <c r="AD280" s="39"/>
      <c r="AE280" s="39"/>
      <c r="AF280" s="39"/>
      <c r="AG280" s="114"/>
      <c r="AH280" s="39"/>
      <c r="AI280" s="39"/>
      <c r="AJ280" s="39"/>
      <c r="AK280" s="39"/>
      <c r="AL280" s="39"/>
      <c r="AM280" s="39"/>
      <c r="AN280" s="39"/>
    </row>
    <row r="281" spans="1:40" ht="16.5" customHeight="1">
      <c r="A281" s="39"/>
      <c r="B281" s="50"/>
      <c r="C281" s="95">
        <f t="shared" si="323"/>
        <v>262</v>
      </c>
      <c r="D281" s="96">
        <v>1</v>
      </c>
      <c r="E281" s="194" t="str">
        <f t="shared" si="314"/>
        <v>9</v>
      </c>
      <c r="F281" s="195">
        <f t="shared" si="324"/>
        <v>45553</v>
      </c>
      <c r="G281" s="196" t="str">
        <f t="shared" si="315"/>
        <v>Wed</v>
      </c>
      <c r="H281" s="197"/>
      <c r="I281" s="208"/>
      <c r="J281" s="209">
        <v>98400</v>
      </c>
      <c r="K281" s="136"/>
      <c r="L281" s="104">
        <f t="shared" si="300"/>
        <v>95972.134020618541</v>
      </c>
      <c r="M281" s="105">
        <f t="shared" si="316"/>
        <v>2427.8659793814586</v>
      </c>
      <c r="N281" s="106">
        <f t="shared" si="317"/>
        <v>1.0252976137725547</v>
      </c>
      <c r="O281" s="200"/>
      <c r="P281" s="170">
        <f t="shared" si="302"/>
        <v>1343609.8762886596</v>
      </c>
      <c r="Q281" s="104">
        <f t="shared" si="303"/>
        <v>1540300</v>
      </c>
      <c r="R281" s="108">
        <f t="shared" si="318"/>
        <v>196690.12371134036</v>
      </c>
      <c r="S281" s="106">
        <f t="shared" si="319"/>
        <v>1.1463893107533869</v>
      </c>
      <c r="T281" s="133"/>
      <c r="U281" s="104">
        <f t="shared" si="325"/>
        <v>19643980.484536096</v>
      </c>
      <c r="V281" s="104">
        <f t="shared" si="326"/>
        <v>21369930</v>
      </c>
      <c r="W281" s="108">
        <f t="shared" si="320"/>
        <v>1725949.5154639035</v>
      </c>
      <c r="X281" s="106">
        <f t="shared" si="321"/>
        <v>1.0878614961373325</v>
      </c>
      <c r="Y281" s="39"/>
      <c r="Z281" s="202">
        <f t="shared" ref="Z281:AA281" si="332">Z280+1</f>
        <v>45553</v>
      </c>
      <c r="AA281" s="203">
        <f t="shared" si="332"/>
        <v>45553</v>
      </c>
      <c r="AB281" s="204">
        <v>45553</v>
      </c>
      <c r="AC281" s="39"/>
      <c r="AD281" s="39"/>
      <c r="AE281" s="39"/>
      <c r="AF281" s="39"/>
      <c r="AG281" s="114"/>
      <c r="AH281" s="39"/>
      <c r="AI281" s="39"/>
      <c r="AJ281" s="39"/>
      <c r="AK281" s="39"/>
      <c r="AL281" s="39"/>
      <c r="AM281" s="39"/>
      <c r="AN281" s="39"/>
    </row>
    <row r="282" spans="1:40" ht="16.5" customHeight="1">
      <c r="A282" s="39"/>
      <c r="B282" s="50"/>
      <c r="C282" s="95">
        <f t="shared" si="323"/>
        <v>263</v>
      </c>
      <c r="D282" s="96">
        <v>1</v>
      </c>
      <c r="E282" s="194" t="str">
        <f t="shared" si="314"/>
        <v>9</v>
      </c>
      <c r="F282" s="195">
        <f t="shared" si="324"/>
        <v>45554</v>
      </c>
      <c r="G282" s="196" t="str">
        <f t="shared" si="315"/>
        <v>Thu</v>
      </c>
      <c r="H282" s="197"/>
      <c r="I282" s="208"/>
      <c r="J282" s="209">
        <v>100800</v>
      </c>
      <c r="K282" s="136"/>
      <c r="L282" s="104">
        <f t="shared" si="300"/>
        <v>95972.134020618541</v>
      </c>
      <c r="M282" s="105">
        <f t="shared" si="316"/>
        <v>4827.8659793814586</v>
      </c>
      <c r="N282" s="106">
        <f t="shared" si="317"/>
        <v>1.0503048726450559</v>
      </c>
      <c r="O282" s="200"/>
      <c r="P282" s="170">
        <f t="shared" si="302"/>
        <v>1439582.0103092783</v>
      </c>
      <c r="Q282" s="104">
        <f t="shared" si="303"/>
        <v>1641100</v>
      </c>
      <c r="R282" s="108">
        <f t="shared" si="318"/>
        <v>201517.98969072173</v>
      </c>
      <c r="S282" s="106">
        <f t="shared" si="319"/>
        <v>1.1399836815461648</v>
      </c>
      <c r="T282" s="133"/>
      <c r="U282" s="104">
        <f t="shared" si="325"/>
        <v>19739952.618556716</v>
      </c>
      <c r="V282" s="104">
        <f t="shared" si="326"/>
        <v>21470730</v>
      </c>
      <c r="W282" s="108">
        <f t="shared" si="320"/>
        <v>1730777.3814432845</v>
      </c>
      <c r="X282" s="106">
        <f t="shared" si="321"/>
        <v>1.0876789025226055</v>
      </c>
      <c r="Y282" s="39"/>
      <c r="Z282" s="202">
        <f t="shared" ref="Z282:AA282" si="333">Z281+1</f>
        <v>45554</v>
      </c>
      <c r="AA282" s="203">
        <f t="shared" si="333"/>
        <v>45554</v>
      </c>
      <c r="AB282" s="204">
        <v>45554</v>
      </c>
      <c r="AC282" s="39"/>
      <c r="AD282" s="39"/>
      <c r="AE282" s="39"/>
      <c r="AF282" s="39"/>
      <c r="AG282" s="114"/>
      <c r="AH282" s="39"/>
      <c r="AI282" s="39"/>
      <c r="AJ282" s="39"/>
      <c r="AK282" s="39"/>
      <c r="AL282" s="39"/>
      <c r="AM282" s="39"/>
      <c r="AN282" s="39"/>
    </row>
    <row r="283" spans="1:40" ht="16.5" customHeight="1">
      <c r="A283" s="39"/>
      <c r="B283" s="50"/>
      <c r="C283" s="95">
        <f t="shared" si="323"/>
        <v>264</v>
      </c>
      <c r="D283" s="96">
        <v>1</v>
      </c>
      <c r="E283" s="194" t="str">
        <f t="shared" si="314"/>
        <v>9</v>
      </c>
      <c r="F283" s="195">
        <f t="shared" si="324"/>
        <v>45555</v>
      </c>
      <c r="G283" s="196" t="str">
        <f t="shared" si="315"/>
        <v>Fri</v>
      </c>
      <c r="H283" s="197"/>
      <c r="I283" s="208"/>
      <c r="J283" s="209">
        <v>190250</v>
      </c>
      <c r="K283" s="136"/>
      <c r="L283" s="104">
        <f t="shared" si="300"/>
        <v>95972.134020618541</v>
      </c>
      <c r="M283" s="105">
        <f t="shared" si="316"/>
        <v>94277.865979381459</v>
      </c>
      <c r="N283" s="106">
        <f t="shared" si="317"/>
        <v>1.9823462502055744</v>
      </c>
      <c r="O283" s="200"/>
      <c r="P283" s="170">
        <f t="shared" si="302"/>
        <v>1535554.1443298969</v>
      </c>
      <c r="Q283" s="104">
        <f t="shared" si="303"/>
        <v>1831350</v>
      </c>
      <c r="R283" s="108">
        <f t="shared" si="318"/>
        <v>295795.8556701031</v>
      </c>
      <c r="S283" s="106">
        <f t="shared" si="319"/>
        <v>1.1926313420873778</v>
      </c>
      <c r="T283" s="133"/>
      <c r="U283" s="104">
        <f t="shared" si="325"/>
        <v>19835924.752577335</v>
      </c>
      <c r="V283" s="104">
        <f t="shared" si="326"/>
        <v>21660980</v>
      </c>
      <c r="W283" s="108">
        <f t="shared" si="320"/>
        <v>1825055.2474226654</v>
      </c>
      <c r="X283" s="106">
        <f t="shared" si="321"/>
        <v>1.0920075706168189</v>
      </c>
      <c r="Y283" s="39"/>
      <c r="Z283" s="202">
        <f t="shared" ref="Z283:AA283" si="334">Z282+1</f>
        <v>45555</v>
      </c>
      <c r="AA283" s="203">
        <f t="shared" si="334"/>
        <v>45555</v>
      </c>
      <c r="AB283" s="204">
        <v>45555</v>
      </c>
      <c r="AC283" s="39"/>
      <c r="AD283" s="39"/>
      <c r="AE283" s="39"/>
      <c r="AF283" s="39"/>
      <c r="AG283" s="114"/>
      <c r="AH283" s="39"/>
      <c r="AI283" s="39"/>
      <c r="AJ283" s="39"/>
      <c r="AK283" s="39"/>
      <c r="AL283" s="39"/>
      <c r="AM283" s="39"/>
      <c r="AN283" s="39"/>
    </row>
    <row r="284" spans="1:40" ht="16.5" customHeight="1">
      <c r="A284" s="39"/>
      <c r="B284" s="50"/>
      <c r="C284" s="95">
        <f t="shared" si="323"/>
        <v>265</v>
      </c>
      <c r="D284" s="96">
        <v>1</v>
      </c>
      <c r="E284" s="194" t="str">
        <f t="shared" si="314"/>
        <v>9</v>
      </c>
      <c r="F284" s="195">
        <f t="shared" si="324"/>
        <v>45556</v>
      </c>
      <c r="G284" s="196" t="str">
        <f t="shared" si="315"/>
        <v>Sat</v>
      </c>
      <c r="H284" s="197"/>
      <c r="I284" s="208"/>
      <c r="J284" s="209">
        <v>83000</v>
      </c>
      <c r="K284" s="136"/>
      <c r="L284" s="104">
        <f t="shared" si="300"/>
        <v>95972.134020618541</v>
      </c>
      <c r="M284" s="105">
        <f t="shared" si="316"/>
        <v>-12972.134020618541</v>
      </c>
      <c r="N284" s="106">
        <f t="shared" si="317"/>
        <v>0.86483436934067104</v>
      </c>
      <c r="O284" s="200"/>
      <c r="P284" s="170">
        <f t="shared" si="302"/>
        <v>1631526.2783505155</v>
      </c>
      <c r="Q284" s="104">
        <f t="shared" si="303"/>
        <v>1914350</v>
      </c>
      <c r="R284" s="108">
        <f t="shared" si="318"/>
        <v>282823.72164948448</v>
      </c>
      <c r="S284" s="106">
        <f t="shared" si="319"/>
        <v>1.1733491672199243</v>
      </c>
      <c r="T284" s="134"/>
      <c r="U284" s="104">
        <f t="shared" si="325"/>
        <v>19931896.886597954</v>
      </c>
      <c r="V284" s="104">
        <f t="shared" si="326"/>
        <v>21743980</v>
      </c>
      <c r="W284" s="108">
        <f t="shared" si="320"/>
        <v>1812083.1134020463</v>
      </c>
      <c r="X284" s="106">
        <f t="shared" si="321"/>
        <v>1.0909137310769692</v>
      </c>
      <c r="Y284" s="39"/>
      <c r="Z284" s="202">
        <f t="shared" ref="Z284:AA284" si="335">Z283+1</f>
        <v>45556</v>
      </c>
      <c r="AA284" s="203">
        <f t="shared" si="335"/>
        <v>45556</v>
      </c>
      <c r="AB284" s="204">
        <v>45556</v>
      </c>
      <c r="AC284" s="39"/>
      <c r="AD284" s="39"/>
      <c r="AE284" s="39"/>
      <c r="AF284" s="39"/>
      <c r="AG284" s="114"/>
      <c r="AH284" s="39"/>
      <c r="AI284" s="39"/>
      <c r="AJ284" s="39"/>
      <c r="AK284" s="39"/>
      <c r="AL284" s="39"/>
      <c r="AM284" s="39"/>
      <c r="AN284" s="39"/>
    </row>
    <row r="285" spans="1:40" ht="16.5" customHeight="1">
      <c r="A285" s="39"/>
      <c r="B285" s="50"/>
      <c r="C285" s="95">
        <f t="shared" si="323"/>
        <v>266</v>
      </c>
      <c r="D285" s="96">
        <v>0</v>
      </c>
      <c r="E285" s="194" t="str">
        <f t="shared" si="314"/>
        <v>9</v>
      </c>
      <c r="F285" s="195">
        <f t="shared" si="324"/>
        <v>45557</v>
      </c>
      <c r="G285" s="196" t="str">
        <f t="shared" si="315"/>
        <v>Sun</v>
      </c>
      <c r="H285" s="197" t="s">
        <v>157</v>
      </c>
      <c r="I285" s="208"/>
      <c r="J285" s="209"/>
      <c r="K285" s="136"/>
      <c r="L285" s="104">
        <f t="shared" si="300"/>
        <v>0</v>
      </c>
      <c r="M285" s="105">
        <f t="shared" si="316"/>
        <v>0</v>
      </c>
      <c r="N285" s="106" t="str">
        <f t="shared" si="317"/>
        <v>0%</v>
      </c>
      <c r="O285" s="200"/>
      <c r="P285" s="170">
        <f t="shared" si="302"/>
        <v>0</v>
      </c>
      <c r="Q285" s="104">
        <f t="shared" si="303"/>
        <v>0</v>
      </c>
      <c r="R285" s="108">
        <f t="shared" si="318"/>
        <v>0</v>
      </c>
      <c r="S285" s="106" t="str">
        <f t="shared" si="319"/>
        <v>0%</v>
      </c>
      <c r="T285" s="133"/>
      <c r="U285" s="104">
        <f t="shared" si="325"/>
        <v>0</v>
      </c>
      <c r="V285" s="104">
        <f t="shared" si="326"/>
        <v>0</v>
      </c>
      <c r="W285" s="108">
        <f t="shared" si="320"/>
        <v>0</v>
      </c>
      <c r="X285" s="106" t="str">
        <f t="shared" si="321"/>
        <v>0%</v>
      </c>
      <c r="Y285" s="39"/>
      <c r="Z285" s="202">
        <f t="shared" ref="Z285:AA285" si="336">Z284+1</f>
        <v>45557</v>
      </c>
      <c r="AA285" s="203">
        <f t="shared" si="336"/>
        <v>45557</v>
      </c>
      <c r="AB285" s="204">
        <v>45557</v>
      </c>
      <c r="AC285" s="39"/>
      <c r="AD285" s="39"/>
      <c r="AE285" s="39"/>
      <c r="AF285" s="39"/>
      <c r="AG285" s="114"/>
      <c r="AH285" s="39"/>
      <c r="AI285" s="39"/>
      <c r="AJ285" s="39"/>
      <c r="AK285" s="39"/>
      <c r="AL285" s="39"/>
      <c r="AM285" s="39"/>
      <c r="AN285" s="39"/>
    </row>
    <row r="286" spans="1:40" ht="16.5" customHeight="1">
      <c r="A286" s="39"/>
      <c r="B286" s="50"/>
      <c r="C286" s="95">
        <f t="shared" si="323"/>
        <v>267</v>
      </c>
      <c r="D286" s="96">
        <v>0</v>
      </c>
      <c r="E286" s="194" t="str">
        <f t="shared" si="314"/>
        <v>9</v>
      </c>
      <c r="F286" s="195">
        <f t="shared" si="324"/>
        <v>45558</v>
      </c>
      <c r="G286" s="196" t="str">
        <f t="shared" si="315"/>
        <v>Mon</v>
      </c>
      <c r="H286" s="197" t="s">
        <v>153</v>
      </c>
      <c r="I286" s="208"/>
      <c r="J286" s="209"/>
      <c r="K286" s="136"/>
      <c r="L286" s="104">
        <f t="shared" si="300"/>
        <v>0</v>
      </c>
      <c r="M286" s="105">
        <f t="shared" si="316"/>
        <v>0</v>
      </c>
      <c r="N286" s="106" t="str">
        <f t="shared" si="317"/>
        <v>0%</v>
      </c>
      <c r="O286" s="200"/>
      <c r="P286" s="170">
        <f t="shared" si="302"/>
        <v>0</v>
      </c>
      <c r="Q286" s="104">
        <f t="shared" si="303"/>
        <v>0</v>
      </c>
      <c r="R286" s="108">
        <f t="shared" si="318"/>
        <v>0</v>
      </c>
      <c r="S286" s="106" t="str">
        <f t="shared" si="319"/>
        <v>0%</v>
      </c>
      <c r="T286" s="134"/>
      <c r="U286" s="104">
        <f t="shared" si="325"/>
        <v>0</v>
      </c>
      <c r="V286" s="104">
        <f t="shared" si="326"/>
        <v>0</v>
      </c>
      <c r="W286" s="108">
        <f t="shared" si="320"/>
        <v>0</v>
      </c>
      <c r="X286" s="106" t="str">
        <f t="shared" si="321"/>
        <v>0%</v>
      </c>
      <c r="Y286" s="39"/>
      <c r="Z286" s="202">
        <f t="shared" ref="Z286:AA286" si="337">Z285+1</f>
        <v>45558</v>
      </c>
      <c r="AA286" s="203">
        <f t="shared" si="337"/>
        <v>45558</v>
      </c>
      <c r="AB286" s="204">
        <v>45558</v>
      </c>
      <c r="AC286" s="39"/>
      <c r="AD286" s="39"/>
      <c r="AE286" s="39"/>
      <c r="AF286" s="39"/>
      <c r="AG286" s="114"/>
      <c r="AH286" s="39"/>
      <c r="AI286" s="39"/>
      <c r="AJ286" s="39"/>
      <c r="AK286" s="39"/>
      <c r="AL286" s="39"/>
      <c r="AM286" s="39"/>
      <c r="AN286" s="39"/>
    </row>
    <row r="287" spans="1:40" ht="16.5" customHeight="1">
      <c r="A287" s="39"/>
      <c r="B287" s="50"/>
      <c r="C287" s="95">
        <f t="shared" si="323"/>
        <v>268</v>
      </c>
      <c r="D287" s="96">
        <v>1</v>
      </c>
      <c r="E287" s="194" t="str">
        <f t="shared" si="314"/>
        <v>9</v>
      </c>
      <c r="F287" s="195">
        <f t="shared" si="324"/>
        <v>45559</v>
      </c>
      <c r="G287" s="196" t="str">
        <f t="shared" si="315"/>
        <v>Tue</v>
      </c>
      <c r="H287" s="197"/>
      <c r="I287" s="208"/>
      <c r="J287" s="209">
        <v>77500</v>
      </c>
      <c r="K287" s="136"/>
      <c r="L287" s="104">
        <f t="shared" si="300"/>
        <v>95972.134020618541</v>
      </c>
      <c r="M287" s="105">
        <f t="shared" si="316"/>
        <v>-18472.134020618541</v>
      </c>
      <c r="N287" s="106">
        <f t="shared" si="317"/>
        <v>0.80752606775785551</v>
      </c>
      <c r="O287" s="200"/>
      <c r="P287" s="170">
        <f t="shared" si="302"/>
        <v>1727498.4123711342</v>
      </c>
      <c r="Q287" s="104">
        <f t="shared" si="303"/>
        <v>1991850</v>
      </c>
      <c r="R287" s="108">
        <f t="shared" si="318"/>
        <v>264351.58762886585</v>
      </c>
      <c r="S287" s="106">
        <f t="shared" si="319"/>
        <v>1.1530256616942538</v>
      </c>
      <c r="T287" s="133"/>
      <c r="U287" s="104">
        <f t="shared" si="325"/>
        <v>20027869.020618573</v>
      </c>
      <c r="V287" s="104">
        <f t="shared" si="326"/>
        <v>21821480</v>
      </c>
      <c r="W287" s="108">
        <f t="shared" si="320"/>
        <v>1793610.9793814272</v>
      </c>
      <c r="X287" s="106">
        <f t="shared" si="321"/>
        <v>1.0895557574065875</v>
      </c>
      <c r="Y287" s="39"/>
      <c r="Z287" s="202">
        <f t="shared" ref="Z287:AA287" si="338">Z286+1</f>
        <v>45559</v>
      </c>
      <c r="AA287" s="203">
        <f t="shared" si="338"/>
        <v>45559</v>
      </c>
      <c r="AB287" s="204">
        <v>45559</v>
      </c>
      <c r="AC287" s="39"/>
      <c r="AD287" s="39"/>
      <c r="AE287" s="39"/>
      <c r="AF287" s="39"/>
      <c r="AG287" s="114"/>
      <c r="AH287" s="39"/>
      <c r="AI287" s="39"/>
      <c r="AJ287" s="39"/>
      <c r="AK287" s="39"/>
      <c r="AL287" s="39"/>
      <c r="AM287" s="39"/>
      <c r="AN287" s="39"/>
    </row>
    <row r="288" spans="1:40" ht="16.5" customHeight="1">
      <c r="A288" s="39"/>
      <c r="B288" s="50"/>
      <c r="C288" s="95">
        <f t="shared" si="323"/>
        <v>269</v>
      </c>
      <c r="D288" s="96">
        <v>1</v>
      </c>
      <c r="E288" s="194" t="str">
        <f t="shared" si="314"/>
        <v>9</v>
      </c>
      <c r="F288" s="195">
        <f t="shared" si="324"/>
        <v>45560</v>
      </c>
      <c r="G288" s="196" t="str">
        <f t="shared" si="315"/>
        <v>Wed</v>
      </c>
      <c r="H288" s="197"/>
      <c r="I288" s="208"/>
      <c r="J288" s="209">
        <v>36600</v>
      </c>
      <c r="K288" s="136"/>
      <c r="L288" s="104">
        <f t="shared" si="300"/>
        <v>95972.134020618541</v>
      </c>
      <c r="M288" s="105">
        <f t="shared" si="316"/>
        <v>-59372.134020618541</v>
      </c>
      <c r="N288" s="106">
        <f t="shared" si="317"/>
        <v>0.3813606978056453</v>
      </c>
      <c r="O288" s="200"/>
      <c r="P288" s="170">
        <f t="shared" si="302"/>
        <v>1823470.5463917528</v>
      </c>
      <c r="Q288" s="104">
        <f t="shared" si="303"/>
        <v>2028450</v>
      </c>
      <c r="R288" s="108">
        <f t="shared" si="318"/>
        <v>204979.45360824722</v>
      </c>
      <c r="S288" s="106">
        <f t="shared" si="319"/>
        <v>1.1124117162264324</v>
      </c>
      <c r="T288" s="133"/>
      <c r="U288" s="104">
        <f t="shared" si="325"/>
        <v>20123841.154639192</v>
      </c>
      <c r="V288" s="104">
        <f t="shared" si="326"/>
        <v>21858080</v>
      </c>
      <c r="W288" s="108">
        <f t="shared" si="320"/>
        <v>1734238.8453608081</v>
      </c>
      <c r="X288" s="106">
        <f t="shared" si="321"/>
        <v>1.0861783211283702</v>
      </c>
      <c r="Y288" s="39"/>
      <c r="Z288" s="202">
        <f t="shared" ref="Z288:AA288" si="339">Z287+1</f>
        <v>45560</v>
      </c>
      <c r="AA288" s="203">
        <f t="shared" si="339"/>
        <v>45560</v>
      </c>
      <c r="AB288" s="204">
        <v>45560</v>
      </c>
      <c r="AC288" s="39"/>
      <c r="AD288" s="39"/>
      <c r="AE288" s="39"/>
      <c r="AF288" s="39"/>
      <c r="AG288" s="114"/>
      <c r="AH288" s="39"/>
      <c r="AI288" s="39"/>
      <c r="AJ288" s="39"/>
      <c r="AK288" s="39"/>
      <c r="AL288" s="39"/>
      <c r="AM288" s="39"/>
      <c r="AN288" s="39"/>
    </row>
    <row r="289" spans="1:40" ht="16.5" customHeight="1">
      <c r="A289" s="39"/>
      <c r="B289" s="50"/>
      <c r="C289" s="95">
        <f t="shared" si="323"/>
        <v>270</v>
      </c>
      <c r="D289" s="96">
        <v>1</v>
      </c>
      <c r="E289" s="194" t="str">
        <f t="shared" si="314"/>
        <v>9</v>
      </c>
      <c r="F289" s="195">
        <f t="shared" si="324"/>
        <v>45561</v>
      </c>
      <c r="G289" s="196" t="str">
        <f t="shared" si="315"/>
        <v>Thu</v>
      </c>
      <c r="H289" s="197"/>
      <c r="I289" s="208"/>
      <c r="J289" s="209">
        <v>59400</v>
      </c>
      <c r="K289" s="136"/>
      <c r="L289" s="104">
        <f t="shared" si="300"/>
        <v>95972.134020618541</v>
      </c>
      <c r="M289" s="105">
        <f t="shared" si="316"/>
        <v>-36572.134020618541</v>
      </c>
      <c r="N289" s="106">
        <f t="shared" si="317"/>
        <v>0.61892965709440795</v>
      </c>
      <c r="O289" s="200"/>
      <c r="P289" s="170">
        <f t="shared" si="302"/>
        <v>1919442.6804123714</v>
      </c>
      <c r="Q289" s="104">
        <f t="shared" si="303"/>
        <v>2087850</v>
      </c>
      <c r="R289" s="108">
        <f t="shared" si="318"/>
        <v>168407.31958762859</v>
      </c>
      <c r="S289" s="106">
        <f t="shared" si="319"/>
        <v>1.0877376132698311</v>
      </c>
      <c r="T289" s="133"/>
      <c r="U289" s="104">
        <f t="shared" si="325"/>
        <v>20219813.288659811</v>
      </c>
      <c r="V289" s="104">
        <f t="shared" si="326"/>
        <v>21917480</v>
      </c>
      <c r="W289" s="108">
        <f t="shared" si="320"/>
        <v>1697666.711340189</v>
      </c>
      <c r="X289" s="106">
        <f t="shared" si="321"/>
        <v>1.08396055330008</v>
      </c>
      <c r="Y289" s="39"/>
      <c r="Z289" s="202">
        <f t="shared" ref="Z289:AA289" si="340">Z288+1</f>
        <v>45561</v>
      </c>
      <c r="AA289" s="203">
        <f t="shared" si="340"/>
        <v>45561</v>
      </c>
      <c r="AB289" s="204">
        <v>45561</v>
      </c>
      <c r="AC289" s="39"/>
      <c r="AD289" s="39"/>
      <c r="AE289" s="39"/>
      <c r="AF289" s="39"/>
      <c r="AG289" s="114"/>
      <c r="AH289" s="39"/>
      <c r="AI289" s="39"/>
      <c r="AJ289" s="39"/>
      <c r="AK289" s="39"/>
      <c r="AL289" s="39"/>
      <c r="AM289" s="39"/>
      <c r="AN289" s="39"/>
    </row>
    <row r="290" spans="1:40" ht="16.5" customHeight="1">
      <c r="A290" s="39"/>
      <c r="B290" s="50"/>
      <c r="C290" s="95">
        <f t="shared" si="323"/>
        <v>271</v>
      </c>
      <c r="D290" s="96">
        <v>1</v>
      </c>
      <c r="E290" s="194" t="str">
        <f t="shared" si="314"/>
        <v>9</v>
      </c>
      <c r="F290" s="195">
        <f t="shared" si="324"/>
        <v>45562</v>
      </c>
      <c r="G290" s="196" t="str">
        <f t="shared" si="315"/>
        <v>Fri</v>
      </c>
      <c r="H290" s="197"/>
      <c r="I290" s="208"/>
      <c r="J290" s="209">
        <v>111950</v>
      </c>
      <c r="K290" s="136"/>
      <c r="L290" s="104">
        <f t="shared" si="300"/>
        <v>95972.134020618541</v>
      </c>
      <c r="M290" s="105">
        <f t="shared" si="316"/>
        <v>15977.865979381459</v>
      </c>
      <c r="N290" s="106">
        <f t="shared" si="317"/>
        <v>1.1664844294902184</v>
      </c>
      <c r="O290" s="200"/>
      <c r="P290" s="170">
        <f t="shared" si="302"/>
        <v>2015414.81443299</v>
      </c>
      <c r="Q290" s="104">
        <f t="shared" si="303"/>
        <v>2199800</v>
      </c>
      <c r="R290" s="108">
        <f t="shared" si="318"/>
        <v>184385.18556700996</v>
      </c>
      <c r="S290" s="106">
        <f t="shared" si="319"/>
        <v>1.091487461661278</v>
      </c>
      <c r="T290" s="133"/>
      <c r="U290" s="104">
        <f t="shared" si="325"/>
        <v>20315785.42268043</v>
      </c>
      <c r="V290" s="104">
        <f t="shared" si="326"/>
        <v>22029430</v>
      </c>
      <c r="W290" s="108">
        <f t="shared" si="320"/>
        <v>1713644.5773195699</v>
      </c>
      <c r="X290" s="106">
        <f t="shared" si="321"/>
        <v>1.0843503975685069</v>
      </c>
      <c r="Y290" s="39"/>
      <c r="Z290" s="202">
        <f t="shared" ref="Z290:AA290" si="341">Z289+1</f>
        <v>45562</v>
      </c>
      <c r="AA290" s="203">
        <f t="shared" si="341"/>
        <v>45562</v>
      </c>
      <c r="AB290" s="204">
        <v>45562</v>
      </c>
      <c r="AC290" s="39"/>
      <c r="AD290" s="39"/>
      <c r="AE290" s="39"/>
      <c r="AF290" s="39"/>
      <c r="AG290" s="114"/>
      <c r="AH290" s="39"/>
      <c r="AI290" s="39"/>
      <c r="AJ290" s="39"/>
      <c r="AK290" s="39"/>
      <c r="AL290" s="39"/>
      <c r="AM290" s="39"/>
      <c r="AN290" s="39"/>
    </row>
    <row r="291" spans="1:40" ht="16.5" customHeight="1">
      <c r="A291" s="39"/>
      <c r="B291" s="50"/>
      <c r="C291" s="95">
        <f t="shared" si="323"/>
        <v>272</v>
      </c>
      <c r="D291" s="96">
        <v>1</v>
      </c>
      <c r="E291" s="194" t="str">
        <f t="shared" si="314"/>
        <v>9</v>
      </c>
      <c r="F291" s="195">
        <f t="shared" si="324"/>
        <v>45563</v>
      </c>
      <c r="G291" s="196" t="str">
        <f t="shared" si="315"/>
        <v>Sat</v>
      </c>
      <c r="H291" s="197"/>
      <c r="I291" s="208"/>
      <c r="J291" s="209">
        <v>50350</v>
      </c>
      <c r="K291" s="136"/>
      <c r="L291" s="104">
        <f t="shared" si="300"/>
        <v>95972.134020618541</v>
      </c>
      <c r="M291" s="105">
        <f t="shared" si="316"/>
        <v>-45622.134020618541</v>
      </c>
      <c r="N291" s="106">
        <f t="shared" si="317"/>
        <v>0.52463145176268422</v>
      </c>
      <c r="O291" s="200"/>
      <c r="P291" s="170">
        <f t="shared" si="302"/>
        <v>2111386.9484536084</v>
      </c>
      <c r="Q291" s="104">
        <f t="shared" si="303"/>
        <v>2250150</v>
      </c>
      <c r="R291" s="108">
        <f t="shared" si="318"/>
        <v>138763.05154639157</v>
      </c>
      <c r="S291" s="106">
        <f t="shared" si="319"/>
        <v>1.0657212793931603</v>
      </c>
      <c r="T291" s="134"/>
      <c r="U291" s="104">
        <f t="shared" si="325"/>
        <v>20411757.556701049</v>
      </c>
      <c r="V291" s="104">
        <f t="shared" si="326"/>
        <v>22079780</v>
      </c>
      <c r="W291" s="108">
        <f t="shared" si="320"/>
        <v>1668022.4432989508</v>
      </c>
      <c r="X291" s="106">
        <f t="shared" si="321"/>
        <v>1.0817187074001549</v>
      </c>
      <c r="Y291" s="39"/>
      <c r="Z291" s="202">
        <f t="shared" ref="Z291:AA291" si="342">Z290+1</f>
        <v>45563</v>
      </c>
      <c r="AA291" s="203">
        <f t="shared" si="342"/>
        <v>45563</v>
      </c>
      <c r="AB291" s="204">
        <v>45563</v>
      </c>
      <c r="AC291" s="39"/>
      <c r="AD291" s="39"/>
      <c r="AE291" s="39"/>
      <c r="AF291" s="39"/>
      <c r="AG291" s="114"/>
      <c r="AH291" s="39"/>
      <c r="AI291" s="39"/>
      <c r="AJ291" s="39"/>
      <c r="AK291" s="39"/>
      <c r="AL291" s="39"/>
      <c r="AM291" s="39"/>
      <c r="AN291" s="39"/>
    </row>
    <row r="292" spans="1:40" ht="16.5" customHeight="1">
      <c r="A292" s="39"/>
      <c r="B292" s="50"/>
      <c r="C292" s="95">
        <f t="shared" si="323"/>
        <v>273</v>
      </c>
      <c r="D292" s="96">
        <v>1</v>
      </c>
      <c r="E292" s="194" t="str">
        <f t="shared" si="314"/>
        <v>9</v>
      </c>
      <c r="F292" s="195">
        <f t="shared" si="324"/>
        <v>45564</v>
      </c>
      <c r="G292" s="196" t="str">
        <f t="shared" si="315"/>
        <v>Sun</v>
      </c>
      <c r="H292" s="197" t="s">
        <v>157</v>
      </c>
      <c r="I292" s="208"/>
      <c r="J292" s="209">
        <v>69500</v>
      </c>
      <c r="K292" s="136"/>
      <c r="L292" s="104">
        <f t="shared" si="300"/>
        <v>95972.134020618541</v>
      </c>
      <c r="M292" s="105">
        <f t="shared" si="316"/>
        <v>-26472.134020618541</v>
      </c>
      <c r="N292" s="106">
        <f t="shared" si="317"/>
        <v>0.7241685381828511</v>
      </c>
      <c r="O292" s="200"/>
      <c r="P292" s="170">
        <f t="shared" si="302"/>
        <v>2207359.0824742271</v>
      </c>
      <c r="Q292" s="104">
        <f t="shared" si="303"/>
        <v>2319650</v>
      </c>
      <c r="R292" s="108">
        <f t="shared" si="318"/>
        <v>112290.91752577294</v>
      </c>
      <c r="S292" s="106">
        <f t="shared" si="319"/>
        <v>1.0508711602101033</v>
      </c>
      <c r="T292" s="133"/>
      <c r="U292" s="104">
        <f t="shared" si="325"/>
        <v>20507729.690721668</v>
      </c>
      <c r="V292" s="104">
        <f t="shared" si="326"/>
        <v>22149280</v>
      </c>
      <c r="W292" s="108">
        <f t="shared" si="320"/>
        <v>1641550.3092783317</v>
      </c>
      <c r="X292" s="106">
        <f t="shared" si="321"/>
        <v>1.080045443061453</v>
      </c>
      <c r="Y292" s="39"/>
      <c r="Z292" s="202">
        <f t="shared" ref="Z292:AA292" si="343">Z291+1</f>
        <v>45564</v>
      </c>
      <c r="AA292" s="203">
        <f t="shared" si="343"/>
        <v>45564</v>
      </c>
      <c r="AB292" s="204">
        <v>45564</v>
      </c>
      <c r="AC292" s="39"/>
      <c r="AD292" s="39"/>
      <c r="AE292" s="39"/>
      <c r="AF292" s="39"/>
      <c r="AG292" s="114"/>
      <c r="AH292" s="39"/>
      <c r="AI292" s="39"/>
      <c r="AJ292" s="39"/>
      <c r="AK292" s="39"/>
      <c r="AL292" s="39"/>
      <c r="AM292" s="39"/>
      <c r="AN292" s="39"/>
    </row>
    <row r="293" spans="1:40" ht="16.5" customHeight="1">
      <c r="A293" s="39"/>
      <c r="B293" s="50"/>
      <c r="C293" s="160">
        <f t="shared" si="323"/>
        <v>274</v>
      </c>
      <c r="D293" s="138">
        <v>0</v>
      </c>
      <c r="E293" s="210" t="str">
        <f t="shared" si="314"/>
        <v>9</v>
      </c>
      <c r="F293" s="211">
        <f t="shared" si="324"/>
        <v>45565</v>
      </c>
      <c r="G293" s="212" t="str">
        <f t="shared" si="315"/>
        <v>Mon</v>
      </c>
      <c r="H293" s="213"/>
      <c r="I293" s="214"/>
      <c r="J293" s="215"/>
      <c r="K293" s="136"/>
      <c r="L293" s="165">
        <f t="shared" si="300"/>
        <v>0</v>
      </c>
      <c r="M293" s="147">
        <f t="shared" si="316"/>
        <v>0</v>
      </c>
      <c r="N293" s="161" t="str">
        <f t="shared" si="317"/>
        <v>0%</v>
      </c>
      <c r="O293" s="216"/>
      <c r="P293" s="150">
        <f t="shared" si="302"/>
        <v>0</v>
      </c>
      <c r="Q293" s="165">
        <f t="shared" si="303"/>
        <v>0</v>
      </c>
      <c r="R293" s="167">
        <f t="shared" si="318"/>
        <v>0</v>
      </c>
      <c r="S293" s="161" t="str">
        <f t="shared" si="319"/>
        <v>0%</v>
      </c>
      <c r="T293" s="149"/>
      <c r="U293" s="165">
        <f t="shared" si="325"/>
        <v>0</v>
      </c>
      <c r="V293" s="165">
        <f t="shared" si="326"/>
        <v>0</v>
      </c>
      <c r="W293" s="167">
        <f t="shared" si="320"/>
        <v>0</v>
      </c>
      <c r="X293" s="161" t="str">
        <f t="shared" si="321"/>
        <v>0%</v>
      </c>
      <c r="Y293" s="39"/>
      <c r="Z293" s="202">
        <f t="shared" ref="Z293:AA293" si="344">Z292+1</f>
        <v>45565</v>
      </c>
      <c r="AA293" s="203">
        <f t="shared" si="344"/>
        <v>45565</v>
      </c>
      <c r="AB293" s="204">
        <v>45565</v>
      </c>
      <c r="AC293" s="39"/>
      <c r="AD293" s="39"/>
      <c r="AE293" s="39"/>
      <c r="AF293" s="39"/>
      <c r="AG293" s="114"/>
      <c r="AH293" s="39"/>
      <c r="AI293" s="39"/>
      <c r="AJ293" s="39"/>
      <c r="AK293" s="39"/>
      <c r="AL293" s="39"/>
      <c r="AM293" s="39"/>
      <c r="AN293" s="39"/>
    </row>
    <row r="294" spans="1:40" ht="16.5" customHeight="1">
      <c r="A294" s="39"/>
      <c r="B294" s="50"/>
      <c r="C294" s="95">
        <f t="shared" si="323"/>
        <v>275</v>
      </c>
      <c r="D294" s="155">
        <v>1</v>
      </c>
      <c r="E294" s="194" t="str">
        <f t="shared" si="314"/>
        <v>10</v>
      </c>
      <c r="F294" s="195">
        <f t="shared" si="324"/>
        <v>45566</v>
      </c>
      <c r="G294" s="196" t="str">
        <f t="shared" si="315"/>
        <v>Tue</v>
      </c>
      <c r="H294" s="197"/>
      <c r="I294" s="208"/>
      <c r="J294" s="209">
        <v>142100</v>
      </c>
      <c r="K294" s="136"/>
      <c r="L294" s="104">
        <f t="shared" ref="L294:L324" si="345">IF(D294=0,0,$K$15)</f>
        <v>126279.1237113402</v>
      </c>
      <c r="M294" s="108">
        <f t="shared" si="316"/>
        <v>15820.876288659798</v>
      </c>
      <c r="N294" s="156">
        <f t="shared" si="317"/>
        <v>1.1252849704977723</v>
      </c>
      <c r="O294" s="200"/>
      <c r="P294" s="111">
        <f>IF(D294=0,0,$L$294)</f>
        <v>126279.1237113402</v>
      </c>
      <c r="Q294" s="104">
        <f>IF(D294=0,0,$J$294)</f>
        <v>142100</v>
      </c>
      <c r="R294" s="108">
        <f t="shared" si="318"/>
        <v>15820.876288659798</v>
      </c>
      <c r="S294" s="156">
        <f t="shared" si="319"/>
        <v>1.1252849704977723</v>
      </c>
      <c r="T294" s="133"/>
      <c r="U294" s="104">
        <f t="shared" si="325"/>
        <v>20634008.814433008</v>
      </c>
      <c r="V294" s="104">
        <f t="shared" si="326"/>
        <v>22291380</v>
      </c>
      <c r="W294" s="108">
        <f t="shared" si="320"/>
        <v>1657371.1855669916</v>
      </c>
      <c r="X294" s="156">
        <f t="shared" si="321"/>
        <v>1.0803223067544538</v>
      </c>
      <c r="Y294" s="39"/>
      <c r="Z294" s="202">
        <f t="shared" ref="Z294:AA294" si="346">Z293+1</f>
        <v>45566</v>
      </c>
      <c r="AA294" s="203">
        <f t="shared" si="346"/>
        <v>45566</v>
      </c>
      <c r="AB294" s="204">
        <v>45566</v>
      </c>
      <c r="AC294" s="39"/>
      <c r="AD294" s="39"/>
      <c r="AE294" s="39"/>
      <c r="AF294" s="39"/>
      <c r="AG294" s="114"/>
      <c r="AH294" s="39"/>
      <c r="AI294" s="39"/>
      <c r="AJ294" s="39"/>
      <c r="AK294" s="39"/>
      <c r="AL294" s="39"/>
      <c r="AM294" s="39"/>
      <c r="AN294" s="39"/>
    </row>
    <row r="295" spans="1:40" ht="16.5" customHeight="1">
      <c r="A295" s="39"/>
      <c r="B295" s="50"/>
      <c r="C295" s="95">
        <f t="shared" si="323"/>
        <v>276</v>
      </c>
      <c r="D295" s="96">
        <v>1</v>
      </c>
      <c r="E295" s="194" t="str">
        <f t="shared" si="314"/>
        <v>10</v>
      </c>
      <c r="F295" s="195">
        <f t="shared" si="324"/>
        <v>45567</v>
      </c>
      <c r="G295" s="196" t="str">
        <f t="shared" si="315"/>
        <v>Wed</v>
      </c>
      <c r="H295" s="197"/>
      <c r="I295" s="208"/>
      <c r="J295" s="209">
        <v>117450</v>
      </c>
      <c r="K295" s="136"/>
      <c r="L295" s="104">
        <f t="shared" si="345"/>
        <v>126279.1237113402</v>
      </c>
      <c r="M295" s="105">
        <f t="shared" si="316"/>
        <v>-8829.1237113402021</v>
      </c>
      <c r="N295" s="106">
        <f t="shared" si="317"/>
        <v>0.93008247561550572</v>
      </c>
      <c r="O295" s="200"/>
      <c r="P295" s="170">
        <f t="shared" ref="P295:P324" si="347">IF(D295=0,0,SUM($L$294:L295))</f>
        <v>252558.2474226804</v>
      </c>
      <c r="Q295" s="104">
        <f t="shared" ref="Q295:Q324" si="348">IF(D295=0,0,SUM($J$294:J295))</f>
        <v>259550</v>
      </c>
      <c r="R295" s="108">
        <f t="shared" si="318"/>
        <v>6991.7525773195957</v>
      </c>
      <c r="S295" s="106">
        <f t="shared" si="319"/>
        <v>1.0276837230566389</v>
      </c>
      <c r="T295" s="133"/>
      <c r="U295" s="104">
        <f t="shared" si="325"/>
        <v>20760287.938144349</v>
      </c>
      <c r="V295" s="104">
        <f t="shared" si="326"/>
        <v>22408830</v>
      </c>
      <c r="W295" s="108">
        <f t="shared" si="320"/>
        <v>1648542.0618556514</v>
      </c>
      <c r="X295" s="106">
        <f t="shared" si="321"/>
        <v>1.0794084391684504</v>
      </c>
      <c r="Y295" s="39"/>
      <c r="Z295" s="202">
        <f t="shared" ref="Z295:AA295" si="349">Z294+1</f>
        <v>45567</v>
      </c>
      <c r="AA295" s="203">
        <f t="shared" si="349"/>
        <v>45567</v>
      </c>
      <c r="AB295" s="204">
        <v>45567</v>
      </c>
      <c r="AC295" s="39"/>
      <c r="AD295" s="39"/>
      <c r="AE295" s="39"/>
      <c r="AF295" s="39"/>
      <c r="AG295" s="114"/>
      <c r="AH295" s="39"/>
      <c r="AI295" s="39"/>
      <c r="AJ295" s="39"/>
      <c r="AK295" s="39"/>
      <c r="AL295" s="39"/>
      <c r="AM295" s="39"/>
      <c r="AN295" s="39"/>
    </row>
    <row r="296" spans="1:40" ht="16.5" customHeight="1">
      <c r="A296" s="39"/>
      <c r="B296" s="50"/>
      <c r="C296" s="95">
        <f t="shared" si="323"/>
        <v>277</v>
      </c>
      <c r="D296" s="96">
        <v>1</v>
      </c>
      <c r="E296" s="194" t="str">
        <f t="shared" si="314"/>
        <v>10</v>
      </c>
      <c r="F296" s="195">
        <f t="shared" si="324"/>
        <v>45568</v>
      </c>
      <c r="G296" s="196" t="str">
        <f t="shared" si="315"/>
        <v>Thu</v>
      </c>
      <c r="H296" s="197"/>
      <c r="I296" s="208"/>
      <c r="J296" s="209">
        <v>107250</v>
      </c>
      <c r="K296" s="136"/>
      <c r="L296" s="104">
        <f t="shared" si="345"/>
        <v>126279.1237113402</v>
      </c>
      <c r="M296" s="105">
        <f t="shared" si="316"/>
        <v>-19029.123711340202</v>
      </c>
      <c r="N296" s="106">
        <f t="shared" si="317"/>
        <v>0.84930902945732645</v>
      </c>
      <c r="O296" s="200"/>
      <c r="P296" s="170">
        <f t="shared" si="347"/>
        <v>378837.37113402062</v>
      </c>
      <c r="Q296" s="104">
        <f t="shared" si="348"/>
        <v>366800</v>
      </c>
      <c r="R296" s="108">
        <f t="shared" si="318"/>
        <v>-12037.371134020621</v>
      </c>
      <c r="S296" s="106">
        <f t="shared" si="319"/>
        <v>0.96822549185686813</v>
      </c>
      <c r="T296" s="133"/>
      <c r="U296" s="104">
        <f t="shared" si="325"/>
        <v>20886567.061855689</v>
      </c>
      <c r="V296" s="104">
        <f t="shared" si="326"/>
        <v>22516080</v>
      </c>
      <c r="W296" s="108">
        <f t="shared" si="320"/>
        <v>1629512.9381443113</v>
      </c>
      <c r="X296" s="106">
        <f t="shared" si="321"/>
        <v>1.0780172698231596</v>
      </c>
      <c r="Y296" s="39"/>
      <c r="Z296" s="202">
        <f t="shared" ref="Z296:AA296" si="350">Z295+1</f>
        <v>45568</v>
      </c>
      <c r="AA296" s="203">
        <f t="shared" si="350"/>
        <v>45568</v>
      </c>
      <c r="AB296" s="204">
        <v>45568</v>
      </c>
      <c r="AC296" s="39"/>
      <c r="AD296" s="39"/>
      <c r="AE296" s="39"/>
      <c r="AF296" s="39"/>
      <c r="AG296" s="114"/>
      <c r="AH296" s="39"/>
      <c r="AI296" s="39"/>
      <c r="AJ296" s="39"/>
      <c r="AK296" s="39"/>
      <c r="AL296" s="39"/>
      <c r="AM296" s="39"/>
      <c r="AN296" s="39"/>
    </row>
    <row r="297" spans="1:40" ht="16.5" customHeight="1">
      <c r="A297" s="39"/>
      <c r="B297" s="50"/>
      <c r="C297" s="95">
        <f t="shared" si="323"/>
        <v>278</v>
      </c>
      <c r="D297" s="96">
        <v>1</v>
      </c>
      <c r="E297" s="194" t="str">
        <f t="shared" si="314"/>
        <v>10</v>
      </c>
      <c r="F297" s="195">
        <f t="shared" si="324"/>
        <v>45569</v>
      </c>
      <c r="G297" s="196" t="str">
        <f t="shared" si="315"/>
        <v>Fri</v>
      </c>
      <c r="H297" s="197"/>
      <c r="I297" s="208"/>
      <c r="J297" s="209">
        <v>139700</v>
      </c>
      <c r="K297" s="136"/>
      <c r="L297" s="104">
        <f t="shared" si="345"/>
        <v>126279.1237113402</v>
      </c>
      <c r="M297" s="105">
        <f t="shared" si="316"/>
        <v>13420.876288659798</v>
      </c>
      <c r="N297" s="106">
        <f t="shared" si="317"/>
        <v>1.1062794537546714</v>
      </c>
      <c r="O297" s="200"/>
      <c r="P297" s="170">
        <f t="shared" si="347"/>
        <v>505116.49484536081</v>
      </c>
      <c r="Q297" s="104">
        <f t="shared" si="348"/>
        <v>506500</v>
      </c>
      <c r="R297" s="108">
        <f t="shared" si="318"/>
        <v>1383.5051546391915</v>
      </c>
      <c r="S297" s="106">
        <f t="shared" si="319"/>
        <v>1.0027389823313189</v>
      </c>
      <c r="T297" s="133"/>
      <c r="U297" s="104">
        <f t="shared" si="325"/>
        <v>21012846.185567029</v>
      </c>
      <c r="V297" s="104">
        <f t="shared" si="326"/>
        <v>22655780</v>
      </c>
      <c r="W297" s="108">
        <f t="shared" si="320"/>
        <v>1642933.8144329712</v>
      </c>
      <c r="X297" s="106">
        <f t="shared" si="321"/>
        <v>1.0781871146785171</v>
      </c>
      <c r="Y297" s="39"/>
      <c r="Z297" s="202">
        <f t="shared" ref="Z297:AA297" si="351">Z296+1</f>
        <v>45569</v>
      </c>
      <c r="AA297" s="203">
        <f t="shared" si="351"/>
        <v>45569</v>
      </c>
      <c r="AB297" s="204">
        <v>45569</v>
      </c>
      <c r="AC297" s="39"/>
      <c r="AD297" s="39"/>
      <c r="AE297" s="39"/>
      <c r="AF297" s="39"/>
      <c r="AG297" s="114"/>
      <c r="AH297" s="39"/>
      <c r="AI297" s="39"/>
      <c r="AJ297" s="39"/>
      <c r="AK297" s="39"/>
      <c r="AL297" s="39"/>
      <c r="AM297" s="39"/>
      <c r="AN297" s="39"/>
    </row>
    <row r="298" spans="1:40" ht="16.5" customHeight="1">
      <c r="A298" s="39"/>
      <c r="B298" s="50"/>
      <c r="C298" s="95">
        <f t="shared" si="323"/>
        <v>279</v>
      </c>
      <c r="D298" s="96">
        <v>1</v>
      </c>
      <c r="E298" s="194" t="str">
        <f t="shared" si="314"/>
        <v>10</v>
      </c>
      <c r="F298" s="195">
        <f t="shared" si="324"/>
        <v>45570</v>
      </c>
      <c r="G298" s="196" t="str">
        <f t="shared" si="315"/>
        <v>Sat</v>
      </c>
      <c r="H298" s="197"/>
      <c r="I298" s="208"/>
      <c r="J298" s="209">
        <v>102750</v>
      </c>
      <c r="K298" s="136"/>
      <c r="L298" s="104">
        <f t="shared" si="345"/>
        <v>126279.1237113402</v>
      </c>
      <c r="M298" s="105">
        <f t="shared" si="316"/>
        <v>-23529.123711340202</v>
      </c>
      <c r="N298" s="106">
        <f t="shared" si="317"/>
        <v>0.81367368556401198</v>
      </c>
      <c r="O298" s="200"/>
      <c r="P298" s="170">
        <f t="shared" si="347"/>
        <v>631395.618556701</v>
      </c>
      <c r="Q298" s="104">
        <f t="shared" si="348"/>
        <v>609250</v>
      </c>
      <c r="R298" s="108">
        <f t="shared" si="318"/>
        <v>-22145.618556700996</v>
      </c>
      <c r="S298" s="106">
        <f t="shared" si="319"/>
        <v>0.96492592297785762</v>
      </c>
      <c r="T298" s="134"/>
      <c r="U298" s="104">
        <f t="shared" si="325"/>
        <v>21139125.309278369</v>
      </c>
      <c r="V298" s="104">
        <f t="shared" si="326"/>
        <v>22758530</v>
      </c>
      <c r="W298" s="108">
        <f t="shared" si="320"/>
        <v>1619404.6907216311</v>
      </c>
      <c r="X298" s="106">
        <f t="shared" si="321"/>
        <v>1.0766069866670804</v>
      </c>
      <c r="Y298" s="39"/>
      <c r="Z298" s="202">
        <f t="shared" ref="Z298:AA298" si="352">Z297+1</f>
        <v>45570</v>
      </c>
      <c r="AA298" s="203">
        <f t="shared" si="352"/>
        <v>45570</v>
      </c>
      <c r="AB298" s="204">
        <v>45570</v>
      </c>
      <c r="AC298" s="39"/>
      <c r="AD298" s="39"/>
      <c r="AE298" s="39"/>
      <c r="AF298" s="39"/>
      <c r="AG298" s="114"/>
      <c r="AH298" s="39"/>
      <c r="AI298" s="39"/>
      <c r="AJ298" s="39"/>
      <c r="AK298" s="39"/>
      <c r="AL298" s="39"/>
      <c r="AM298" s="39"/>
      <c r="AN298" s="39"/>
    </row>
    <row r="299" spans="1:40" ht="16.5" customHeight="1">
      <c r="A299" s="39"/>
      <c r="B299" s="50"/>
      <c r="C299" s="95">
        <f t="shared" si="323"/>
        <v>280</v>
      </c>
      <c r="D299" s="96">
        <v>1</v>
      </c>
      <c r="E299" s="194" t="str">
        <f t="shared" si="314"/>
        <v>10</v>
      </c>
      <c r="F299" s="195">
        <f t="shared" si="324"/>
        <v>45571</v>
      </c>
      <c r="G299" s="196" t="str">
        <f t="shared" si="315"/>
        <v>Sun</v>
      </c>
      <c r="H299" s="197" t="s">
        <v>157</v>
      </c>
      <c r="I299" s="208"/>
      <c r="J299" s="209">
        <v>113400</v>
      </c>
      <c r="K299" s="136"/>
      <c r="L299" s="104">
        <f t="shared" si="345"/>
        <v>126279.1237113402</v>
      </c>
      <c r="M299" s="105">
        <f t="shared" si="316"/>
        <v>-12879.123711340202</v>
      </c>
      <c r="N299" s="106">
        <f t="shared" si="317"/>
        <v>0.89801066611152269</v>
      </c>
      <c r="O299" s="200"/>
      <c r="P299" s="170">
        <f t="shared" si="347"/>
        <v>757674.74226804124</v>
      </c>
      <c r="Q299" s="104">
        <f t="shared" si="348"/>
        <v>722650</v>
      </c>
      <c r="R299" s="108">
        <f t="shared" si="318"/>
        <v>-35024.742268041242</v>
      </c>
      <c r="S299" s="106">
        <f t="shared" si="319"/>
        <v>0.95377338016680169</v>
      </c>
      <c r="T299" s="133"/>
      <c r="U299" s="104">
        <f t="shared" si="325"/>
        <v>21265404.432989709</v>
      </c>
      <c r="V299" s="104">
        <f t="shared" si="326"/>
        <v>22871930</v>
      </c>
      <c r="W299" s="108">
        <f t="shared" si="320"/>
        <v>1606525.5670102909</v>
      </c>
      <c r="X299" s="106">
        <f t="shared" si="321"/>
        <v>1.0755464384452542</v>
      </c>
      <c r="Y299" s="39"/>
      <c r="Z299" s="202">
        <f t="shared" ref="Z299:AA299" si="353">Z298+1</f>
        <v>45571</v>
      </c>
      <c r="AA299" s="203">
        <f t="shared" si="353"/>
        <v>45571</v>
      </c>
      <c r="AB299" s="204">
        <v>45571</v>
      </c>
      <c r="AC299" s="39"/>
      <c r="AD299" s="39"/>
      <c r="AE299" s="39"/>
      <c r="AF299" s="39"/>
      <c r="AG299" s="114"/>
      <c r="AH299" s="39"/>
      <c r="AI299" s="39"/>
      <c r="AJ299" s="39"/>
      <c r="AK299" s="39"/>
      <c r="AL299" s="39"/>
      <c r="AM299" s="39"/>
      <c r="AN299" s="39"/>
    </row>
    <row r="300" spans="1:40" ht="16.5" customHeight="1">
      <c r="A300" s="39"/>
      <c r="B300" s="50"/>
      <c r="C300" s="95">
        <f t="shared" si="323"/>
        <v>281</v>
      </c>
      <c r="D300" s="96">
        <v>0</v>
      </c>
      <c r="E300" s="194" t="str">
        <f t="shared" si="314"/>
        <v>10</v>
      </c>
      <c r="F300" s="195">
        <f t="shared" si="324"/>
        <v>45572</v>
      </c>
      <c r="G300" s="196" t="str">
        <f t="shared" si="315"/>
        <v>Mon</v>
      </c>
      <c r="H300" s="197"/>
      <c r="I300" s="208"/>
      <c r="J300" s="209"/>
      <c r="K300" s="136"/>
      <c r="L300" s="104">
        <f t="shared" si="345"/>
        <v>0</v>
      </c>
      <c r="M300" s="105">
        <f t="shared" si="316"/>
        <v>0</v>
      </c>
      <c r="N300" s="106" t="str">
        <f t="shared" si="317"/>
        <v>0%</v>
      </c>
      <c r="O300" s="200"/>
      <c r="P300" s="170">
        <f t="shared" si="347"/>
        <v>0</v>
      </c>
      <c r="Q300" s="104">
        <f t="shared" si="348"/>
        <v>0</v>
      </c>
      <c r="R300" s="108">
        <f t="shared" si="318"/>
        <v>0</v>
      </c>
      <c r="S300" s="106" t="str">
        <f t="shared" si="319"/>
        <v>0%</v>
      </c>
      <c r="T300" s="133"/>
      <c r="U300" s="104">
        <f t="shared" si="325"/>
        <v>0</v>
      </c>
      <c r="V300" s="104">
        <f t="shared" si="326"/>
        <v>0</v>
      </c>
      <c r="W300" s="108">
        <f t="shared" si="320"/>
        <v>0</v>
      </c>
      <c r="X300" s="106" t="str">
        <f t="shared" si="321"/>
        <v>0%</v>
      </c>
      <c r="Y300" s="39"/>
      <c r="Z300" s="202">
        <f t="shared" ref="Z300:AA300" si="354">Z299+1</f>
        <v>45572</v>
      </c>
      <c r="AA300" s="203">
        <f t="shared" si="354"/>
        <v>45572</v>
      </c>
      <c r="AB300" s="204">
        <v>45572</v>
      </c>
      <c r="AC300" s="39"/>
      <c r="AD300" s="39"/>
      <c r="AE300" s="39"/>
      <c r="AF300" s="39"/>
      <c r="AG300" s="114"/>
      <c r="AH300" s="39"/>
      <c r="AI300" s="39"/>
      <c r="AJ300" s="39"/>
      <c r="AK300" s="39"/>
      <c r="AL300" s="39"/>
      <c r="AM300" s="39"/>
      <c r="AN300" s="39"/>
    </row>
    <row r="301" spans="1:40" ht="16.5" customHeight="1">
      <c r="A301" s="39"/>
      <c r="B301" s="50"/>
      <c r="C301" s="95">
        <f t="shared" si="323"/>
        <v>282</v>
      </c>
      <c r="D301" s="96">
        <v>1</v>
      </c>
      <c r="E301" s="194" t="str">
        <f t="shared" si="314"/>
        <v>10</v>
      </c>
      <c r="F301" s="195">
        <f t="shared" si="324"/>
        <v>45573</v>
      </c>
      <c r="G301" s="196" t="str">
        <f t="shared" si="315"/>
        <v>Tue</v>
      </c>
      <c r="H301" s="197"/>
      <c r="I301" s="208"/>
      <c r="J301" s="209">
        <v>75300</v>
      </c>
      <c r="K301" s="136"/>
      <c r="L301" s="104">
        <f t="shared" si="345"/>
        <v>126279.1237113402</v>
      </c>
      <c r="M301" s="105">
        <f t="shared" si="316"/>
        <v>-50979.123711340202</v>
      </c>
      <c r="N301" s="106">
        <f t="shared" si="317"/>
        <v>0.59629808781479421</v>
      </c>
      <c r="O301" s="200"/>
      <c r="P301" s="170">
        <f t="shared" si="347"/>
        <v>883953.86597938149</v>
      </c>
      <c r="Q301" s="104">
        <f t="shared" si="348"/>
        <v>797950</v>
      </c>
      <c r="R301" s="108">
        <f t="shared" si="318"/>
        <v>-86003.865979381488</v>
      </c>
      <c r="S301" s="106">
        <f t="shared" si="319"/>
        <v>0.902705481259372</v>
      </c>
      <c r="T301" s="133"/>
      <c r="U301" s="104">
        <f t="shared" si="325"/>
        <v>21391683.556701049</v>
      </c>
      <c r="V301" s="104">
        <f t="shared" si="326"/>
        <v>22947230</v>
      </c>
      <c r="W301" s="108">
        <f t="shared" si="320"/>
        <v>1555546.4432989508</v>
      </c>
      <c r="X301" s="106">
        <f t="shared" si="321"/>
        <v>1.0727173454663257</v>
      </c>
      <c r="Y301" s="39"/>
      <c r="Z301" s="202">
        <f t="shared" ref="Z301:AA301" si="355">Z300+1</f>
        <v>45573</v>
      </c>
      <c r="AA301" s="203">
        <f t="shared" si="355"/>
        <v>45573</v>
      </c>
      <c r="AB301" s="204">
        <v>45573</v>
      </c>
      <c r="AC301" s="39"/>
      <c r="AD301" s="39"/>
      <c r="AE301" s="39"/>
      <c r="AF301" s="39"/>
      <c r="AG301" s="114"/>
      <c r="AH301" s="39"/>
      <c r="AI301" s="39"/>
      <c r="AJ301" s="39"/>
      <c r="AK301" s="39"/>
      <c r="AL301" s="39"/>
      <c r="AM301" s="39"/>
      <c r="AN301" s="39"/>
    </row>
    <row r="302" spans="1:40" ht="16.5" customHeight="1">
      <c r="A302" s="39"/>
      <c r="B302" s="50"/>
      <c r="C302" s="95">
        <f t="shared" si="323"/>
        <v>283</v>
      </c>
      <c r="D302" s="96">
        <v>1</v>
      </c>
      <c r="E302" s="194" t="str">
        <f t="shared" si="314"/>
        <v>10</v>
      </c>
      <c r="F302" s="195">
        <f t="shared" si="324"/>
        <v>45574</v>
      </c>
      <c r="G302" s="196" t="str">
        <f t="shared" si="315"/>
        <v>Wed</v>
      </c>
      <c r="H302" s="197"/>
      <c r="I302" s="208"/>
      <c r="J302" s="209">
        <v>66200</v>
      </c>
      <c r="K302" s="136"/>
      <c r="L302" s="104">
        <f t="shared" si="345"/>
        <v>126279.1237113402</v>
      </c>
      <c r="M302" s="105">
        <f t="shared" si="316"/>
        <v>-60079.123711340202</v>
      </c>
      <c r="N302" s="106">
        <f t="shared" si="317"/>
        <v>0.52423550349720283</v>
      </c>
      <c r="O302" s="200"/>
      <c r="P302" s="170">
        <f t="shared" si="347"/>
        <v>1010232.9896907217</v>
      </c>
      <c r="Q302" s="104">
        <f t="shared" si="348"/>
        <v>864150</v>
      </c>
      <c r="R302" s="108">
        <f t="shared" si="318"/>
        <v>-146082.98969072173</v>
      </c>
      <c r="S302" s="106">
        <f t="shared" si="319"/>
        <v>0.85539673403910088</v>
      </c>
      <c r="T302" s="133"/>
      <c r="U302" s="104">
        <f t="shared" si="325"/>
        <v>21517962.680412389</v>
      </c>
      <c r="V302" s="104">
        <f t="shared" si="326"/>
        <v>23013430</v>
      </c>
      <c r="W302" s="108">
        <f t="shared" si="320"/>
        <v>1495467.3195876107</v>
      </c>
      <c r="X302" s="106">
        <f t="shared" si="321"/>
        <v>1.0694985553139249</v>
      </c>
      <c r="Y302" s="39"/>
      <c r="Z302" s="202">
        <f t="shared" ref="Z302:AA302" si="356">Z301+1</f>
        <v>45574</v>
      </c>
      <c r="AA302" s="203">
        <f t="shared" si="356"/>
        <v>45574</v>
      </c>
      <c r="AB302" s="204">
        <v>45574</v>
      </c>
      <c r="AC302" s="39"/>
      <c r="AD302" s="39"/>
      <c r="AE302" s="39"/>
      <c r="AF302" s="39"/>
      <c r="AG302" s="114"/>
      <c r="AH302" s="39"/>
      <c r="AI302" s="39"/>
      <c r="AJ302" s="39"/>
      <c r="AK302" s="39"/>
      <c r="AL302" s="39"/>
      <c r="AM302" s="39"/>
      <c r="AN302" s="39"/>
    </row>
    <row r="303" spans="1:40" ht="16.5" customHeight="1">
      <c r="A303" s="39"/>
      <c r="B303" s="50"/>
      <c r="C303" s="95">
        <f t="shared" si="323"/>
        <v>284</v>
      </c>
      <c r="D303" s="96">
        <v>1</v>
      </c>
      <c r="E303" s="194" t="str">
        <f t="shared" si="314"/>
        <v>10</v>
      </c>
      <c r="F303" s="195">
        <f t="shared" si="324"/>
        <v>45575</v>
      </c>
      <c r="G303" s="196" t="str">
        <f t="shared" si="315"/>
        <v>Thu</v>
      </c>
      <c r="H303" s="197"/>
      <c r="I303" s="208"/>
      <c r="J303" s="209">
        <v>133050</v>
      </c>
      <c r="K303" s="136"/>
      <c r="L303" s="104">
        <f t="shared" si="345"/>
        <v>126279.1237113402</v>
      </c>
      <c r="M303" s="105">
        <f t="shared" si="316"/>
        <v>6770.8762886597979</v>
      </c>
      <c r="N303" s="106">
        <f t="shared" si="317"/>
        <v>1.0536183344456622</v>
      </c>
      <c r="O303" s="200"/>
      <c r="P303" s="170">
        <f t="shared" si="347"/>
        <v>1136512.1134020619</v>
      </c>
      <c r="Q303" s="104">
        <f t="shared" si="348"/>
        <v>997200</v>
      </c>
      <c r="R303" s="108">
        <f t="shared" si="318"/>
        <v>-139312.11340206186</v>
      </c>
      <c r="S303" s="106">
        <f t="shared" si="319"/>
        <v>0.87742135630649665</v>
      </c>
      <c r="T303" s="133"/>
      <c r="U303" s="104">
        <f t="shared" si="325"/>
        <v>21644241.804123729</v>
      </c>
      <c r="V303" s="104">
        <f t="shared" si="326"/>
        <v>23146480</v>
      </c>
      <c r="W303" s="108">
        <f t="shared" si="320"/>
        <v>1502238.1958762705</v>
      </c>
      <c r="X303" s="106">
        <f t="shared" si="321"/>
        <v>1.069405905250516</v>
      </c>
      <c r="Y303" s="39"/>
      <c r="Z303" s="202">
        <f t="shared" ref="Z303:AA303" si="357">Z302+1</f>
        <v>45575</v>
      </c>
      <c r="AA303" s="203">
        <f t="shared" si="357"/>
        <v>45575</v>
      </c>
      <c r="AB303" s="204">
        <v>45575</v>
      </c>
      <c r="AC303" s="39"/>
      <c r="AD303" s="39"/>
      <c r="AE303" s="39"/>
      <c r="AF303" s="39"/>
      <c r="AG303" s="114"/>
      <c r="AH303" s="39"/>
      <c r="AI303" s="39"/>
      <c r="AJ303" s="39"/>
      <c r="AK303" s="39"/>
      <c r="AL303" s="39"/>
      <c r="AM303" s="39"/>
      <c r="AN303" s="39"/>
    </row>
    <row r="304" spans="1:40" ht="16.5" customHeight="1">
      <c r="A304" s="39"/>
      <c r="B304" s="50"/>
      <c r="C304" s="95">
        <f t="shared" si="323"/>
        <v>285</v>
      </c>
      <c r="D304" s="96">
        <v>1</v>
      </c>
      <c r="E304" s="194" t="str">
        <f t="shared" si="314"/>
        <v>10</v>
      </c>
      <c r="F304" s="195">
        <f t="shared" si="324"/>
        <v>45576</v>
      </c>
      <c r="G304" s="196" t="str">
        <f t="shared" si="315"/>
        <v>Fri</v>
      </c>
      <c r="H304" s="197"/>
      <c r="I304" s="208"/>
      <c r="J304" s="209">
        <v>154900</v>
      </c>
      <c r="K304" s="136"/>
      <c r="L304" s="104">
        <f t="shared" si="345"/>
        <v>126279.1237113402</v>
      </c>
      <c r="M304" s="105">
        <f t="shared" si="316"/>
        <v>28620.876288659798</v>
      </c>
      <c r="N304" s="106">
        <f t="shared" si="317"/>
        <v>1.2266477264609776</v>
      </c>
      <c r="O304" s="200"/>
      <c r="P304" s="170">
        <f t="shared" si="347"/>
        <v>1262791.237113402</v>
      </c>
      <c r="Q304" s="104">
        <f t="shared" si="348"/>
        <v>1152100</v>
      </c>
      <c r="R304" s="108">
        <f t="shared" si="318"/>
        <v>-110691.23711340199</v>
      </c>
      <c r="S304" s="106">
        <f t="shared" si="319"/>
        <v>0.91234399332194482</v>
      </c>
      <c r="T304" s="133"/>
      <c r="U304" s="104">
        <f t="shared" si="325"/>
        <v>21770520.92783507</v>
      </c>
      <c r="V304" s="104">
        <f t="shared" si="326"/>
        <v>23301380</v>
      </c>
      <c r="W304" s="108">
        <f t="shared" si="320"/>
        <v>1530859.0721649304</v>
      </c>
      <c r="X304" s="106">
        <f t="shared" si="321"/>
        <v>1.0703179807795791</v>
      </c>
      <c r="Y304" s="39"/>
      <c r="Z304" s="202">
        <f t="shared" ref="Z304:AA304" si="358">Z303+1</f>
        <v>45576</v>
      </c>
      <c r="AA304" s="203">
        <f t="shared" si="358"/>
        <v>45576</v>
      </c>
      <c r="AB304" s="204">
        <v>45576</v>
      </c>
      <c r="AC304" s="39"/>
      <c r="AD304" s="39"/>
      <c r="AE304" s="39"/>
      <c r="AF304" s="39"/>
      <c r="AG304" s="114"/>
      <c r="AH304" s="39"/>
      <c r="AI304" s="39"/>
      <c r="AJ304" s="39"/>
      <c r="AK304" s="39"/>
      <c r="AL304" s="39"/>
      <c r="AM304" s="39"/>
      <c r="AN304" s="39"/>
    </row>
    <row r="305" spans="1:40" ht="16.5" customHeight="1">
      <c r="A305" s="39"/>
      <c r="B305" s="50"/>
      <c r="C305" s="95">
        <f t="shared" si="323"/>
        <v>286</v>
      </c>
      <c r="D305" s="96">
        <v>1</v>
      </c>
      <c r="E305" s="194" t="str">
        <f t="shared" si="314"/>
        <v>10</v>
      </c>
      <c r="F305" s="195">
        <f t="shared" si="324"/>
        <v>45577</v>
      </c>
      <c r="G305" s="196" t="str">
        <f t="shared" si="315"/>
        <v>Sat</v>
      </c>
      <c r="H305" s="197"/>
      <c r="I305" s="208"/>
      <c r="J305" s="209">
        <v>84000</v>
      </c>
      <c r="K305" s="136"/>
      <c r="L305" s="104">
        <f t="shared" si="345"/>
        <v>126279.1237113402</v>
      </c>
      <c r="M305" s="105">
        <f t="shared" si="316"/>
        <v>-42279.123711340202</v>
      </c>
      <c r="N305" s="106">
        <f t="shared" si="317"/>
        <v>0.66519308600853533</v>
      </c>
      <c r="O305" s="200"/>
      <c r="P305" s="170">
        <f t="shared" si="347"/>
        <v>1389070.3608247421</v>
      </c>
      <c r="Q305" s="104">
        <f t="shared" si="348"/>
        <v>1236100</v>
      </c>
      <c r="R305" s="108">
        <f t="shared" si="318"/>
        <v>-152970.36082474212</v>
      </c>
      <c r="S305" s="106">
        <f t="shared" si="319"/>
        <v>0.88987572902072576</v>
      </c>
      <c r="T305" s="134"/>
      <c r="U305" s="104">
        <f t="shared" si="325"/>
        <v>21896800.05154641</v>
      </c>
      <c r="V305" s="104">
        <f t="shared" si="326"/>
        <v>23385380</v>
      </c>
      <c r="W305" s="108">
        <f t="shared" si="320"/>
        <v>1488579.9484535903</v>
      </c>
      <c r="X305" s="106">
        <f t="shared" si="321"/>
        <v>1.0679816203714416</v>
      </c>
      <c r="Y305" s="39"/>
      <c r="Z305" s="202">
        <f t="shared" ref="Z305:AA305" si="359">Z304+1</f>
        <v>45577</v>
      </c>
      <c r="AA305" s="203">
        <f t="shared" si="359"/>
        <v>45577</v>
      </c>
      <c r="AB305" s="204">
        <v>45577</v>
      </c>
      <c r="AC305" s="39"/>
      <c r="AD305" s="39"/>
      <c r="AE305" s="39"/>
      <c r="AF305" s="39"/>
      <c r="AG305" s="114"/>
      <c r="AH305" s="39"/>
      <c r="AI305" s="39"/>
      <c r="AJ305" s="39"/>
      <c r="AK305" s="39"/>
      <c r="AL305" s="39"/>
      <c r="AM305" s="39"/>
      <c r="AN305" s="39"/>
    </row>
    <row r="306" spans="1:40" ht="16.5" customHeight="1">
      <c r="A306" s="39"/>
      <c r="B306" s="50"/>
      <c r="C306" s="95">
        <f t="shared" si="323"/>
        <v>287</v>
      </c>
      <c r="D306" s="96">
        <v>1</v>
      </c>
      <c r="E306" s="194" t="str">
        <f t="shared" si="314"/>
        <v>10</v>
      </c>
      <c r="F306" s="195">
        <f t="shared" si="324"/>
        <v>45578</v>
      </c>
      <c r="G306" s="196" t="str">
        <f t="shared" si="315"/>
        <v>Sun</v>
      </c>
      <c r="H306" s="197" t="s">
        <v>157</v>
      </c>
      <c r="I306" s="208"/>
      <c r="J306" s="209">
        <v>132000</v>
      </c>
      <c r="K306" s="136"/>
      <c r="L306" s="104">
        <f t="shared" si="345"/>
        <v>126279.1237113402</v>
      </c>
      <c r="M306" s="105">
        <f t="shared" si="316"/>
        <v>5720.8762886597979</v>
      </c>
      <c r="N306" s="106">
        <f t="shared" si="317"/>
        <v>1.0453034208705556</v>
      </c>
      <c r="O306" s="200"/>
      <c r="P306" s="170">
        <f t="shared" si="347"/>
        <v>1515349.4845360823</v>
      </c>
      <c r="Q306" s="104">
        <f t="shared" si="348"/>
        <v>1368100</v>
      </c>
      <c r="R306" s="108">
        <f t="shared" si="318"/>
        <v>-147249.48453608225</v>
      </c>
      <c r="S306" s="106">
        <f t="shared" si="319"/>
        <v>0.90282803667487832</v>
      </c>
      <c r="T306" s="134"/>
      <c r="U306" s="104">
        <f t="shared" si="325"/>
        <v>22023079.17525775</v>
      </c>
      <c r="V306" s="104">
        <f t="shared" si="326"/>
        <v>23517380</v>
      </c>
      <c r="W306" s="108">
        <f t="shared" si="320"/>
        <v>1494300.8247422501</v>
      </c>
      <c r="X306" s="106">
        <f t="shared" si="321"/>
        <v>1.0678515848238448</v>
      </c>
      <c r="Y306" s="39"/>
      <c r="Z306" s="202">
        <f t="shared" ref="Z306:AA306" si="360">Z305+1</f>
        <v>45578</v>
      </c>
      <c r="AA306" s="203">
        <f t="shared" si="360"/>
        <v>45578</v>
      </c>
      <c r="AB306" s="204">
        <v>45578</v>
      </c>
      <c r="AC306" s="39"/>
      <c r="AD306" s="39"/>
      <c r="AE306" s="39"/>
      <c r="AF306" s="39"/>
      <c r="AG306" s="114"/>
      <c r="AH306" s="39"/>
      <c r="AI306" s="39"/>
      <c r="AJ306" s="39"/>
      <c r="AK306" s="39"/>
      <c r="AL306" s="39"/>
      <c r="AM306" s="39"/>
      <c r="AN306" s="39"/>
    </row>
    <row r="307" spans="1:40" ht="16.5" customHeight="1">
      <c r="A307" s="39"/>
      <c r="B307" s="50"/>
      <c r="C307" s="95">
        <f t="shared" si="323"/>
        <v>288</v>
      </c>
      <c r="D307" s="96">
        <v>0</v>
      </c>
      <c r="E307" s="194" t="str">
        <f t="shared" si="314"/>
        <v>10</v>
      </c>
      <c r="F307" s="195">
        <f t="shared" si="324"/>
        <v>45579</v>
      </c>
      <c r="G307" s="196" t="str">
        <f t="shared" si="315"/>
        <v>Mon</v>
      </c>
      <c r="H307" s="197" t="s">
        <v>153</v>
      </c>
      <c r="I307" s="208"/>
      <c r="J307" s="209"/>
      <c r="K307" s="136"/>
      <c r="L307" s="104">
        <f t="shared" si="345"/>
        <v>0</v>
      </c>
      <c r="M307" s="105">
        <f t="shared" si="316"/>
        <v>0</v>
      </c>
      <c r="N307" s="106" t="str">
        <f t="shared" si="317"/>
        <v>0%</v>
      </c>
      <c r="O307" s="200"/>
      <c r="P307" s="170">
        <f t="shared" si="347"/>
        <v>0</v>
      </c>
      <c r="Q307" s="104">
        <f t="shared" si="348"/>
        <v>0</v>
      </c>
      <c r="R307" s="108">
        <f t="shared" si="318"/>
        <v>0</v>
      </c>
      <c r="S307" s="106" t="str">
        <f t="shared" si="319"/>
        <v>0%</v>
      </c>
      <c r="T307" s="133"/>
      <c r="U307" s="104">
        <f t="shared" si="325"/>
        <v>0</v>
      </c>
      <c r="V307" s="104">
        <f t="shared" si="326"/>
        <v>0</v>
      </c>
      <c r="W307" s="108">
        <f t="shared" si="320"/>
        <v>0</v>
      </c>
      <c r="X307" s="106" t="str">
        <f t="shared" si="321"/>
        <v>0%</v>
      </c>
      <c r="Y307" s="39"/>
      <c r="Z307" s="202">
        <f t="shared" ref="Z307:AA307" si="361">Z306+1</f>
        <v>45579</v>
      </c>
      <c r="AA307" s="203">
        <f t="shared" si="361"/>
        <v>45579</v>
      </c>
      <c r="AB307" s="204">
        <v>45579</v>
      </c>
      <c r="AC307" s="39"/>
      <c r="AD307" s="39"/>
      <c r="AE307" s="39"/>
      <c r="AF307" s="39"/>
      <c r="AG307" s="114"/>
      <c r="AH307" s="39"/>
      <c r="AI307" s="39"/>
      <c r="AJ307" s="39"/>
      <c r="AK307" s="39"/>
      <c r="AL307" s="39"/>
      <c r="AM307" s="39"/>
      <c r="AN307" s="39"/>
    </row>
    <row r="308" spans="1:40" ht="16.5" customHeight="1">
      <c r="A308" s="39"/>
      <c r="B308" s="50"/>
      <c r="C308" s="95">
        <f t="shared" si="323"/>
        <v>289</v>
      </c>
      <c r="D308" s="96">
        <v>0</v>
      </c>
      <c r="E308" s="194" t="str">
        <f t="shared" si="314"/>
        <v>10</v>
      </c>
      <c r="F308" s="195">
        <f t="shared" si="324"/>
        <v>45580</v>
      </c>
      <c r="G308" s="196" t="str">
        <f t="shared" si="315"/>
        <v>Tue</v>
      </c>
      <c r="H308" s="197"/>
      <c r="I308" s="208"/>
      <c r="J308" s="209"/>
      <c r="K308" s="136"/>
      <c r="L308" s="104">
        <f t="shared" si="345"/>
        <v>0</v>
      </c>
      <c r="M308" s="105">
        <f t="shared" si="316"/>
        <v>0</v>
      </c>
      <c r="N308" s="106" t="str">
        <f t="shared" si="317"/>
        <v>0%</v>
      </c>
      <c r="O308" s="200"/>
      <c r="P308" s="170">
        <f t="shared" si="347"/>
        <v>0</v>
      </c>
      <c r="Q308" s="104">
        <f t="shared" si="348"/>
        <v>0</v>
      </c>
      <c r="R308" s="108">
        <f t="shared" si="318"/>
        <v>0</v>
      </c>
      <c r="S308" s="106" t="str">
        <f t="shared" si="319"/>
        <v>0%</v>
      </c>
      <c r="T308" s="133"/>
      <c r="U308" s="104">
        <f t="shared" si="325"/>
        <v>0</v>
      </c>
      <c r="V308" s="104">
        <f t="shared" si="326"/>
        <v>0</v>
      </c>
      <c r="W308" s="108">
        <f t="shared" si="320"/>
        <v>0</v>
      </c>
      <c r="X308" s="106" t="str">
        <f t="shared" si="321"/>
        <v>0%</v>
      </c>
      <c r="Y308" s="39"/>
      <c r="Z308" s="202">
        <f t="shared" ref="Z308:AA308" si="362">Z307+1</f>
        <v>45580</v>
      </c>
      <c r="AA308" s="203">
        <f t="shared" si="362"/>
        <v>45580</v>
      </c>
      <c r="AB308" s="204">
        <v>45580</v>
      </c>
      <c r="AC308" s="39"/>
      <c r="AD308" s="39"/>
      <c r="AE308" s="39"/>
      <c r="AF308" s="39"/>
      <c r="AG308" s="114"/>
      <c r="AH308" s="39"/>
      <c r="AI308" s="39"/>
      <c r="AJ308" s="39"/>
      <c r="AK308" s="39"/>
      <c r="AL308" s="39"/>
      <c r="AM308" s="39"/>
      <c r="AN308" s="39"/>
    </row>
    <row r="309" spans="1:40" ht="16.5" customHeight="1">
      <c r="A309" s="39"/>
      <c r="B309" s="50"/>
      <c r="C309" s="95">
        <f t="shared" si="323"/>
        <v>290</v>
      </c>
      <c r="D309" s="96">
        <v>1</v>
      </c>
      <c r="E309" s="194" t="str">
        <f t="shared" si="314"/>
        <v>10</v>
      </c>
      <c r="F309" s="195">
        <f t="shared" si="324"/>
        <v>45581</v>
      </c>
      <c r="G309" s="196" t="str">
        <f t="shared" si="315"/>
        <v>Wed</v>
      </c>
      <c r="H309" s="197"/>
      <c r="I309" s="208"/>
      <c r="J309" s="209">
        <v>126550</v>
      </c>
      <c r="K309" s="136"/>
      <c r="L309" s="104">
        <f t="shared" si="345"/>
        <v>126279.1237113402</v>
      </c>
      <c r="M309" s="105">
        <f t="shared" si="316"/>
        <v>270.87628865979786</v>
      </c>
      <c r="N309" s="106">
        <f t="shared" si="317"/>
        <v>1.002145059933097</v>
      </c>
      <c r="O309" s="200"/>
      <c r="P309" s="170">
        <f t="shared" si="347"/>
        <v>1641628.6082474224</v>
      </c>
      <c r="Q309" s="104">
        <f t="shared" si="348"/>
        <v>1494650</v>
      </c>
      <c r="R309" s="108">
        <f t="shared" si="318"/>
        <v>-146978.60824742238</v>
      </c>
      <c r="S309" s="106">
        <f t="shared" si="319"/>
        <v>0.91046780769474134</v>
      </c>
      <c r="T309" s="133"/>
      <c r="U309" s="104">
        <f t="shared" si="325"/>
        <v>22149358.29896909</v>
      </c>
      <c r="V309" s="104">
        <f t="shared" si="326"/>
        <v>23643930</v>
      </c>
      <c r="W309" s="108">
        <f t="shared" si="320"/>
        <v>1494571.70103091</v>
      </c>
      <c r="X309" s="106">
        <f t="shared" si="321"/>
        <v>1.0674769752178541</v>
      </c>
      <c r="Y309" s="39"/>
      <c r="Z309" s="202">
        <f t="shared" ref="Z309:AA309" si="363">Z308+1</f>
        <v>45581</v>
      </c>
      <c r="AA309" s="203">
        <f t="shared" si="363"/>
        <v>45581</v>
      </c>
      <c r="AB309" s="204">
        <v>45581</v>
      </c>
      <c r="AC309" s="39"/>
      <c r="AD309" s="39"/>
      <c r="AE309" s="39"/>
      <c r="AF309" s="39"/>
      <c r="AG309" s="114"/>
      <c r="AH309" s="39"/>
      <c r="AI309" s="39"/>
      <c r="AJ309" s="39"/>
      <c r="AK309" s="39"/>
      <c r="AL309" s="39"/>
      <c r="AM309" s="39"/>
      <c r="AN309" s="39"/>
    </row>
    <row r="310" spans="1:40" ht="16.5" customHeight="1">
      <c r="A310" s="39"/>
      <c r="B310" s="50"/>
      <c r="C310" s="95">
        <f t="shared" si="323"/>
        <v>291</v>
      </c>
      <c r="D310" s="96">
        <v>1</v>
      </c>
      <c r="E310" s="194" t="str">
        <f t="shared" si="314"/>
        <v>10</v>
      </c>
      <c r="F310" s="195">
        <f t="shared" si="324"/>
        <v>45582</v>
      </c>
      <c r="G310" s="196" t="str">
        <f t="shared" si="315"/>
        <v>Thu</v>
      </c>
      <c r="H310" s="197"/>
      <c r="I310" s="208"/>
      <c r="J310" s="209">
        <v>123250</v>
      </c>
      <c r="K310" s="136"/>
      <c r="L310" s="104">
        <f t="shared" si="345"/>
        <v>126279.1237113402</v>
      </c>
      <c r="M310" s="105">
        <f t="shared" si="316"/>
        <v>-3029.1237113402021</v>
      </c>
      <c r="N310" s="106">
        <f t="shared" si="317"/>
        <v>0.9760124744113331</v>
      </c>
      <c r="O310" s="200"/>
      <c r="P310" s="170">
        <f t="shared" si="347"/>
        <v>1767907.7319587625</v>
      </c>
      <c r="Q310" s="104">
        <f t="shared" si="348"/>
        <v>1617900</v>
      </c>
      <c r="R310" s="108">
        <f t="shared" si="318"/>
        <v>-150007.73195876251</v>
      </c>
      <c r="S310" s="106">
        <f t="shared" si="319"/>
        <v>0.91514956960306937</v>
      </c>
      <c r="T310" s="133"/>
      <c r="U310" s="104">
        <f t="shared" si="325"/>
        <v>22275637.42268043</v>
      </c>
      <c r="V310" s="104">
        <f t="shared" si="326"/>
        <v>23767180</v>
      </c>
      <c r="W310" s="108">
        <f t="shared" si="320"/>
        <v>1491542.5773195699</v>
      </c>
      <c r="X310" s="106">
        <f t="shared" si="321"/>
        <v>1.0669584689774545</v>
      </c>
      <c r="Y310" s="39"/>
      <c r="Z310" s="202">
        <f t="shared" ref="Z310:AA310" si="364">Z309+1</f>
        <v>45582</v>
      </c>
      <c r="AA310" s="203">
        <f t="shared" si="364"/>
        <v>45582</v>
      </c>
      <c r="AB310" s="204">
        <v>45582</v>
      </c>
      <c r="AC310" s="39"/>
      <c r="AD310" s="39"/>
      <c r="AE310" s="39"/>
      <c r="AF310" s="39"/>
      <c r="AG310" s="114"/>
      <c r="AH310" s="39"/>
      <c r="AI310" s="39"/>
      <c r="AJ310" s="39"/>
      <c r="AK310" s="39"/>
      <c r="AL310" s="39"/>
      <c r="AM310" s="39"/>
      <c r="AN310" s="39"/>
    </row>
    <row r="311" spans="1:40" ht="16.5" customHeight="1">
      <c r="A311" s="39"/>
      <c r="B311" s="50"/>
      <c r="C311" s="95">
        <f t="shared" si="323"/>
        <v>292</v>
      </c>
      <c r="D311" s="96">
        <v>1</v>
      </c>
      <c r="E311" s="194" t="str">
        <f t="shared" si="314"/>
        <v>10</v>
      </c>
      <c r="F311" s="195">
        <f t="shared" si="324"/>
        <v>45583</v>
      </c>
      <c r="G311" s="196" t="str">
        <f t="shared" si="315"/>
        <v>Fri</v>
      </c>
      <c r="H311" s="197"/>
      <c r="I311" s="208"/>
      <c r="J311" s="209">
        <v>145850</v>
      </c>
      <c r="K311" s="136"/>
      <c r="L311" s="104">
        <f t="shared" si="345"/>
        <v>126279.1237113402</v>
      </c>
      <c r="M311" s="105">
        <f t="shared" si="316"/>
        <v>19570.876288659798</v>
      </c>
      <c r="N311" s="106">
        <f t="shared" si="317"/>
        <v>1.1549810904088675</v>
      </c>
      <c r="O311" s="200"/>
      <c r="P311" s="170">
        <f t="shared" si="347"/>
        <v>1894186.8556701026</v>
      </c>
      <c r="Q311" s="104">
        <f t="shared" si="348"/>
        <v>1763750</v>
      </c>
      <c r="R311" s="108">
        <f t="shared" si="318"/>
        <v>-130436.85567010264</v>
      </c>
      <c r="S311" s="106">
        <f t="shared" si="319"/>
        <v>0.93113833765678933</v>
      </c>
      <c r="T311" s="133"/>
      <c r="U311" s="104">
        <f t="shared" si="325"/>
        <v>22401916.54639177</v>
      </c>
      <c r="V311" s="104">
        <f t="shared" si="326"/>
        <v>23913030</v>
      </c>
      <c r="W311" s="108">
        <f t="shared" si="320"/>
        <v>1511113.4536082298</v>
      </c>
      <c r="X311" s="106">
        <f t="shared" si="321"/>
        <v>1.067454650608973</v>
      </c>
      <c r="Y311" s="39"/>
      <c r="Z311" s="202">
        <f t="shared" ref="Z311:AA311" si="365">Z310+1</f>
        <v>45583</v>
      </c>
      <c r="AA311" s="203">
        <f t="shared" si="365"/>
        <v>45583</v>
      </c>
      <c r="AB311" s="204">
        <v>45583</v>
      </c>
      <c r="AC311" s="39"/>
      <c r="AD311" s="39"/>
      <c r="AE311" s="39"/>
      <c r="AF311" s="39"/>
      <c r="AG311" s="114"/>
      <c r="AH311" s="39"/>
      <c r="AI311" s="39"/>
      <c r="AJ311" s="39"/>
      <c r="AK311" s="39"/>
      <c r="AL311" s="39"/>
      <c r="AM311" s="39"/>
      <c r="AN311" s="39"/>
    </row>
    <row r="312" spans="1:40" ht="16.5" customHeight="1">
      <c r="A312" s="39"/>
      <c r="B312" s="50"/>
      <c r="C312" s="95">
        <f t="shared" si="323"/>
        <v>293</v>
      </c>
      <c r="D312" s="96">
        <v>1</v>
      </c>
      <c r="E312" s="194" t="str">
        <f t="shared" si="314"/>
        <v>10</v>
      </c>
      <c r="F312" s="195">
        <f t="shared" si="324"/>
        <v>45584</v>
      </c>
      <c r="G312" s="196" t="str">
        <f t="shared" si="315"/>
        <v>Sat</v>
      </c>
      <c r="H312" s="197"/>
      <c r="I312" s="208"/>
      <c r="J312" s="209">
        <v>88300</v>
      </c>
      <c r="K312" s="136"/>
      <c r="L312" s="104">
        <f t="shared" si="345"/>
        <v>126279.1237113402</v>
      </c>
      <c r="M312" s="105">
        <f t="shared" si="316"/>
        <v>-37979.123711340202</v>
      </c>
      <c r="N312" s="106">
        <f t="shared" si="317"/>
        <v>0.69924463683992466</v>
      </c>
      <c r="O312" s="200"/>
      <c r="P312" s="170">
        <f t="shared" si="347"/>
        <v>2020465.9793814428</v>
      </c>
      <c r="Q312" s="104">
        <f t="shared" si="348"/>
        <v>1852050</v>
      </c>
      <c r="R312" s="108">
        <f t="shared" si="318"/>
        <v>-168415.97938144277</v>
      </c>
      <c r="S312" s="106">
        <f t="shared" si="319"/>
        <v>0.91664498135573524</v>
      </c>
      <c r="T312" s="134"/>
      <c r="U312" s="104">
        <f t="shared" si="325"/>
        <v>22528195.67010311</v>
      </c>
      <c r="V312" s="104">
        <f t="shared" si="326"/>
        <v>24001330</v>
      </c>
      <c r="W312" s="108">
        <f t="shared" si="320"/>
        <v>1473134.3298968896</v>
      </c>
      <c r="X312" s="106">
        <f t="shared" si="321"/>
        <v>1.0653906931326891</v>
      </c>
      <c r="Y312" s="39"/>
      <c r="Z312" s="202">
        <f t="shared" ref="Z312:AA312" si="366">Z311+1</f>
        <v>45584</v>
      </c>
      <c r="AA312" s="203">
        <f t="shared" si="366"/>
        <v>45584</v>
      </c>
      <c r="AB312" s="204">
        <v>45584</v>
      </c>
      <c r="AC312" s="39"/>
      <c r="AD312" s="39"/>
      <c r="AE312" s="39"/>
      <c r="AF312" s="39"/>
      <c r="AG312" s="114"/>
      <c r="AH312" s="39"/>
      <c r="AI312" s="39"/>
      <c r="AJ312" s="39"/>
      <c r="AK312" s="39"/>
      <c r="AL312" s="39"/>
      <c r="AM312" s="39"/>
      <c r="AN312" s="39"/>
    </row>
    <row r="313" spans="1:40" ht="16.5" customHeight="1">
      <c r="A313" s="39"/>
      <c r="B313" s="50"/>
      <c r="C313" s="95">
        <f t="shared" si="323"/>
        <v>294</v>
      </c>
      <c r="D313" s="96">
        <v>1</v>
      </c>
      <c r="E313" s="194" t="str">
        <f t="shared" si="314"/>
        <v>10</v>
      </c>
      <c r="F313" s="195">
        <f t="shared" si="324"/>
        <v>45585</v>
      </c>
      <c r="G313" s="196" t="str">
        <f t="shared" si="315"/>
        <v>Sun</v>
      </c>
      <c r="H313" s="197" t="s">
        <v>157</v>
      </c>
      <c r="I313" s="208"/>
      <c r="J313" s="209">
        <v>67900</v>
      </c>
      <c r="K313" s="136"/>
      <c r="L313" s="104">
        <f t="shared" si="345"/>
        <v>126279.1237113402</v>
      </c>
      <c r="M313" s="105">
        <f t="shared" si="316"/>
        <v>-58379.123711340202</v>
      </c>
      <c r="N313" s="106">
        <f t="shared" si="317"/>
        <v>0.53769774452356611</v>
      </c>
      <c r="O313" s="200"/>
      <c r="P313" s="170">
        <f t="shared" si="347"/>
        <v>2146745.1030927831</v>
      </c>
      <c r="Q313" s="104">
        <f t="shared" si="348"/>
        <v>1919950</v>
      </c>
      <c r="R313" s="108">
        <f t="shared" si="318"/>
        <v>-226795.10309278313</v>
      </c>
      <c r="S313" s="106">
        <f t="shared" si="319"/>
        <v>0.89435396742443107</v>
      </c>
      <c r="T313" s="133"/>
      <c r="U313" s="104">
        <f t="shared" si="325"/>
        <v>22654474.793814451</v>
      </c>
      <c r="V313" s="104">
        <f t="shared" si="326"/>
        <v>24069230</v>
      </c>
      <c r="W313" s="108">
        <f t="shared" si="320"/>
        <v>1414755.2061855495</v>
      </c>
      <c r="X313" s="106">
        <f t="shared" si="321"/>
        <v>1.0624492608661946</v>
      </c>
      <c r="Y313" s="39"/>
      <c r="Z313" s="202">
        <f t="shared" ref="Z313:AA313" si="367">Z312+1</f>
        <v>45585</v>
      </c>
      <c r="AA313" s="203">
        <f t="shared" si="367"/>
        <v>45585</v>
      </c>
      <c r="AB313" s="204">
        <v>45585</v>
      </c>
      <c r="AC313" s="39"/>
      <c r="AD313" s="39"/>
      <c r="AE313" s="39"/>
      <c r="AF313" s="39"/>
      <c r="AG313" s="114"/>
      <c r="AH313" s="39"/>
      <c r="AI313" s="39"/>
      <c r="AJ313" s="39"/>
      <c r="AK313" s="39"/>
      <c r="AL313" s="39"/>
      <c r="AM313" s="39"/>
      <c r="AN313" s="39"/>
    </row>
    <row r="314" spans="1:40" ht="16.5" customHeight="1">
      <c r="A314" s="39"/>
      <c r="B314" s="50"/>
      <c r="C314" s="95">
        <f t="shared" si="323"/>
        <v>295</v>
      </c>
      <c r="D314" s="96">
        <v>0</v>
      </c>
      <c r="E314" s="194" t="str">
        <f t="shared" si="314"/>
        <v>10</v>
      </c>
      <c r="F314" s="195">
        <f t="shared" si="324"/>
        <v>45586</v>
      </c>
      <c r="G314" s="196" t="str">
        <f t="shared" si="315"/>
        <v>Mon</v>
      </c>
      <c r="H314" s="197"/>
      <c r="I314" s="208"/>
      <c r="J314" s="209"/>
      <c r="K314" s="136"/>
      <c r="L314" s="104">
        <f t="shared" si="345"/>
        <v>0</v>
      </c>
      <c r="M314" s="105">
        <f t="shared" si="316"/>
        <v>0</v>
      </c>
      <c r="N314" s="106" t="str">
        <f t="shared" si="317"/>
        <v>0%</v>
      </c>
      <c r="O314" s="200"/>
      <c r="P314" s="170">
        <f t="shared" si="347"/>
        <v>0</v>
      </c>
      <c r="Q314" s="104">
        <f t="shared" si="348"/>
        <v>0</v>
      </c>
      <c r="R314" s="108">
        <f t="shared" si="318"/>
        <v>0</v>
      </c>
      <c r="S314" s="106" t="str">
        <f t="shared" si="319"/>
        <v>0%</v>
      </c>
      <c r="T314" s="133"/>
      <c r="U314" s="104">
        <f t="shared" si="325"/>
        <v>0</v>
      </c>
      <c r="V314" s="104">
        <f t="shared" si="326"/>
        <v>0</v>
      </c>
      <c r="W314" s="108">
        <f t="shared" si="320"/>
        <v>0</v>
      </c>
      <c r="X314" s="106" t="str">
        <f t="shared" si="321"/>
        <v>0%</v>
      </c>
      <c r="Y314" s="39"/>
      <c r="Z314" s="202">
        <f t="shared" ref="Z314:AA314" si="368">Z313+1</f>
        <v>45586</v>
      </c>
      <c r="AA314" s="203">
        <f t="shared" si="368"/>
        <v>45586</v>
      </c>
      <c r="AB314" s="204">
        <v>45586</v>
      </c>
      <c r="AC314" s="39"/>
      <c r="AD314" s="39"/>
      <c r="AE314" s="39"/>
      <c r="AF314" s="39"/>
      <c r="AG314" s="114"/>
      <c r="AH314" s="39"/>
      <c r="AI314" s="39"/>
      <c r="AJ314" s="39"/>
      <c r="AK314" s="39"/>
      <c r="AL314" s="39"/>
      <c r="AM314" s="39"/>
      <c r="AN314" s="39"/>
    </row>
    <row r="315" spans="1:40" ht="16.5" customHeight="1">
      <c r="A315" s="39"/>
      <c r="B315" s="50"/>
      <c r="C315" s="95">
        <f t="shared" si="323"/>
        <v>296</v>
      </c>
      <c r="D315" s="96">
        <v>1</v>
      </c>
      <c r="E315" s="194" t="str">
        <f t="shared" si="314"/>
        <v>10</v>
      </c>
      <c r="F315" s="195">
        <f t="shared" si="324"/>
        <v>45587</v>
      </c>
      <c r="G315" s="196" t="str">
        <f t="shared" si="315"/>
        <v>Tue</v>
      </c>
      <c r="H315" s="197"/>
      <c r="I315" s="208"/>
      <c r="J315" s="209">
        <v>55800</v>
      </c>
      <c r="K315" s="136"/>
      <c r="L315" s="104">
        <f t="shared" si="345"/>
        <v>126279.1237113402</v>
      </c>
      <c r="M315" s="105">
        <f t="shared" si="316"/>
        <v>-70479.123711340202</v>
      </c>
      <c r="N315" s="106">
        <f t="shared" si="317"/>
        <v>0.44187826427709848</v>
      </c>
      <c r="O315" s="200"/>
      <c r="P315" s="170">
        <f t="shared" si="347"/>
        <v>2273024.2268041233</v>
      </c>
      <c r="Q315" s="104">
        <f t="shared" si="348"/>
        <v>1975750</v>
      </c>
      <c r="R315" s="108">
        <f t="shared" si="318"/>
        <v>-297274.22680412326</v>
      </c>
      <c r="S315" s="106">
        <f t="shared" si="319"/>
        <v>0.86921642836069046</v>
      </c>
      <c r="T315" s="133"/>
      <c r="U315" s="104">
        <f t="shared" si="325"/>
        <v>22780753.917525791</v>
      </c>
      <c r="V315" s="104">
        <f t="shared" si="326"/>
        <v>24125030</v>
      </c>
      <c r="W315" s="108">
        <f t="shared" si="320"/>
        <v>1344276.0824742094</v>
      </c>
      <c r="X315" s="106">
        <f t="shared" si="321"/>
        <v>1.0590092886012883</v>
      </c>
      <c r="Y315" s="39"/>
      <c r="Z315" s="202">
        <f t="shared" ref="Z315:AA315" si="369">Z314+1</f>
        <v>45587</v>
      </c>
      <c r="AA315" s="203">
        <f t="shared" si="369"/>
        <v>45587</v>
      </c>
      <c r="AB315" s="204">
        <v>45587</v>
      </c>
      <c r="AC315" s="39"/>
      <c r="AD315" s="39"/>
      <c r="AE315" s="39"/>
      <c r="AF315" s="39"/>
      <c r="AG315" s="114"/>
      <c r="AH315" s="39"/>
      <c r="AI315" s="39"/>
      <c r="AJ315" s="39"/>
      <c r="AK315" s="39"/>
      <c r="AL315" s="39"/>
      <c r="AM315" s="39"/>
      <c r="AN315" s="39"/>
    </row>
    <row r="316" spans="1:40" ht="16.5" customHeight="1">
      <c r="A316" s="39"/>
      <c r="B316" s="50"/>
      <c r="C316" s="95">
        <f t="shared" si="323"/>
        <v>297</v>
      </c>
      <c r="D316" s="96">
        <v>1</v>
      </c>
      <c r="E316" s="194" t="str">
        <f t="shared" si="314"/>
        <v>10</v>
      </c>
      <c r="F316" s="195">
        <f t="shared" si="324"/>
        <v>45588</v>
      </c>
      <c r="G316" s="196" t="str">
        <f t="shared" si="315"/>
        <v>Wed</v>
      </c>
      <c r="H316" s="197"/>
      <c r="I316" s="208"/>
      <c r="J316" s="209">
        <v>50800</v>
      </c>
      <c r="K316" s="136"/>
      <c r="L316" s="104">
        <f t="shared" si="345"/>
        <v>126279.1237113402</v>
      </c>
      <c r="M316" s="105">
        <f t="shared" si="316"/>
        <v>-75479.123711340202</v>
      </c>
      <c r="N316" s="106">
        <f t="shared" si="317"/>
        <v>0.4022834377289714</v>
      </c>
      <c r="O316" s="200"/>
      <c r="P316" s="170">
        <f t="shared" si="347"/>
        <v>2399303.3505154634</v>
      </c>
      <c r="Q316" s="104">
        <f t="shared" si="348"/>
        <v>2026550</v>
      </c>
      <c r="R316" s="108">
        <f t="shared" si="318"/>
        <v>-372753.35051546339</v>
      </c>
      <c r="S316" s="106">
        <f t="shared" si="319"/>
        <v>0.84464100780112628</v>
      </c>
      <c r="T316" s="133"/>
      <c r="U316" s="104">
        <f t="shared" si="325"/>
        <v>22907033.041237131</v>
      </c>
      <c r="V316" s="104">
        <f t="shared" si="326"/>
        <v>24175830</v>
      </c>
      <c r="W316" s="108">
        <f t="shared" si="320"/>
        <v>1268796.9587628692</v>
      </c>
      <c r="X316" s="106">
        <f t="shared" si="321"/>
        <v>1.0553889696879901</v>
      </c>
      <c r="Y316" s="39"/>
      <c r="Z316" s="202">
        <f t="shared" ref="Z316:AA316" si="370">Z315+1</f>
        <v>45588</v>
      </c>
      <c r="AA316" s="203">
        <f t="shared" si="370"/>
        <v>45588</v>
      </c>
      <c r="AB316" s="204">
        <v>45588</v>
      </c>
      <c r="AC316" s="39"/>
      <c r="AD316" s="39"/>
      <c r="AE316" s="39"/>
      <c r="AF316" s="39"/>
      <c r="AG316" s="114"/>
      <c r="AH316" s="39"/>
      <c r="AI316" s="39"/>
      <c r="AJ316" s="39"/>
      <c r="AK316" s="39"/>
      <c r="AL316" s="39"/>
      <c r="AM316" s="39"/>
      <c r="AN316" s="39"/>
    </row>
    <row r="317" spans="1:40" ht="16.5" customHeight="1">
      <c r="A317" s="39"/>
      <c r="B317" s="50"/>
      <c r="C317" s="95">
        <f t="shared" si="323"/>
        <v>298</v>
      </c>
      <c r="D317" s="96">
        <v>1</v>
      </c>
      <c r="E317" s="194" t="str">
        <f t="shared" si="314"/>
        <v>10</v>
      </c>
      <c r="F317" s="195">
        <f t="shared" si="324"/>
        <v>45589</v>
      </c>
      <c r="G317" s="196" t="str">
        <f t="shared" si="315"/>
        <v>Thu</v>
      </c>
      <c r="H317" s="197"/>
      <c r="I317" s="208"/>
      <c r="J317" s="209">
        <v>91000</v>
      </c>
      <c r="K317" s="136"/>
      <c r="L317" s="104">
        <f t="shared" si="345"/>
        <v>126279.1237113402</v>
      </c>
      <c r="M317" s="105">
        <f t="shared" si="316"/>
        <v>-35279.123711340202</v>
      </c>
      <c r="N317" s="106">
        <f t="shared" si="317"/>
        <v>0.72062584317591327</v>
      </c>
      <c r="O317" s="200"/>
      <c r="P317" s="170">
        <f t="shared" si="347"/>
        <v>2525582.4742268035</v>
      </c>
      <c r="Q317" s="104">
        <f t="shared" si="348"/>
        <v>2117550</v>
      </c>
      <c r="R317" s="108">
        <f t="shared" si="318"/>
        <v>-408032.47422680352</v>
      </c>
      <c r="S317" s="106">
        <f t="shared" si="319"/>
        <v>0.83844024956986563</v>
      </c>
      <c r="T317" s="133"/>
      <c r="U317" s="104">
        <f t="shared" si="325"/>
        <v>23033312.164948471</v>
      </c>
      <c r="V317" s="104">
        <f t="shared" si="326"/>
        <v>24266830</v>
      </c>
      <c r="W317" s="108">
        <f t="shared" si="320"/>
        <v>1233517.8350515291</v>
      </c>
      <c r="X317" s="106">
        <f t="shared" si="321"/>
        <v>1.0535536455294807</v>
      </c>
      <c r="Y317" s="39"/>
      <c r="Z317" s="202">
        <f t="shared" ref="Z317:AA317" si="371">Z316+1</f>
        <v>45589</v>
      </c>
      <c r="AA317" s="203">
        <f t="shared" si="371"/>
        <v>45589</v>
      </c>
      <c r="AB317" s="204">
        <v>45589</v>
      </c>
      <c r="AC317" s="39"/>
      <c r="AD317" s="39"/>
      <c r="AE317" s="39"/>
      <c r="AF317" s="39"/>
      <c r="AG317" s="114"/>
      <c r="AH317" s="39"/>
      <c r="AI317" s="39"/>
      <c r="AJ317" s="39"/>
      <c r="AK317" s="39"/>
      <c r="AL317" s="39"/>
      <c r="AM317" s="39"/>
      <c r="AN317" s="39"/>
    </row>
    <row r="318" spans="1:40" ht="16.5" customHeight="1">
      <c r="A318" s="39"/>
      <c r="B318" s="50"/>
      <c r="C318" s="95">
        <f t="shared" si="323"/>
        <v>299</v>
      </c>
      <c r="D318" s="96">
        <v>1</v>
      </c>
      <c r="E318" s="194" t="str">
        <f t="shared" si="314"/>
        <v>10</v>
      </c>
      <c r="F318" s="195">
        <f t="shared" si="324"/>
        <v>45590</v>
      </c>
      <c r="G318" s="196" t="str">
        <f t="shared" si="315"/>
        <v>Fri</v>
      </c>
      <c r="H318" s="197"/>
      <c r="I318" s="208"/>
      <c r="J318" s="209">
        <v>110700</v>
      </c>
      <c r="K318" s="136"/>
      <c r="L318" s="104">
        <f t="shared" si="345"/>
        <v>126279.1237113402</v>
      </c>
      <c r="M318" s="105">
        <f t="shared" si="316"/>
        <v>-15579.123711340202</v>
      </c>
      <c r="N318" s="106">
        <f t="shared" si="317"/>
        <v>0.87662945977553408</v>
      </c>
      <c r="O318" s="200"/>
      <c r="P318" s="170">
        <f t="shared" si="347"/>
        <v>2651861.5979381436</v>
      </c>
      <c r="Q318" s="104">
        <f t="shared" si="348"/>
        <v>2228250</v>
      </c>
      <c r="R318" s="108">
        <f t="shared" si="318"/>
        <v>-423611.59793814365</v>
      </c>
      <c r="S318" s="106">
        <f t="shared" si="319"/>
        <v>0.84025878338918325</v>
      </c>
      <c r="T318" s="133"/>
      <c r="U318" s="104">
        <f t="shared" si="325"/>
        <v>23159591.288659811</v>
      </c>
      <c r="V318" s="104">
        <f t="shared" si="326"/>
        <v>24377530</v>
      </c>
      <c r="W318" s="108">
        <f t="shared" si="320"/>
        <v>1217938.711340189</v>
      </c>
      <c r="X318" s="106">
        <f t="shared" si="321"/>
        <v>1.0525889553127199</v>
      </c>
      <c r="Y318" s="39"/>
      <c r="Z318" s="202">
        <f t="shared" ref="Z318:AA318" si="372">Z317+1</f>
        <v>45590</v>
      </c>
      <c r="AA318" s="203">
        <f t="shared" si="372"/>
        <v>45590</v>
      </c>
      <c r="AB318" s="204">
        <v>45590</v>
      </c>
      <c r="AC318" s="39"/>
      <c r="AD318" s="39"/>
      <c r="AE318" s="39"/>
      <c r="AF318" s="39"/>
      <c r="AG318" s="114"/>
      <c r="AH318" s="39"/>
      <c r="AI318" s="39"/>
      <c r="AJ318" s="39"/>
      <c r="AK318" s="39"/>
      <c r="AL318" s="39"/>
      <c r="AM318" s="39"/>
      <c r="AN318" s="39"/>
    </row>
    <row r="319" spans="1:40" ht="16.5" customHeight="1">
      <c r="A319" s="39"/>
      <c r="B319" s="50"/>
      <c r="C319" s="95">
        <f t="shared" si="323"/>
        <v>300</v>
      </c>
      <c r="D319" s="96">
        <v>1</v>
      </c>
      <c r="E319" s="194" t="str">
        <f t="shared" si="314"/>
        <v>10</v>
      </c>
      <c r="F319" s="195">
        <f t="shared" si="324"/>
        <v>45591</v>
      </c>
      <c r="G319" s="196" t="str">
        <f t="shared" si="315"/>
        <v>Sat</v>
      </c>
      <c r="H319" s="197"/>
      <c r="I319" s="208"/>
      <c r="J319" s="209">
        <v>86150</v>
      </c>
      <c r="K319" s="136"/>
      <c r="L319" s="104">
        <f t="shared" si="345"/>
        <v>126279.1237113402</v>
      </c>
      <c r="M319" s="105">
        <f t="shared" si="316"/>
        <v>-40129.123711340202</v>
      </c>
      <c r="N319" s="106">
        <f t="shared" si="317"/>
        <v>0.68221886142423005</v>
      </c>
      <c r="O319" s="200"/>
      <c r="P319" s="170">
        <f t="shared" si="347"/>
        <v>2778140.7216494838</v>
      </c>
      <c r="Q319" s="104">
        <f t="shared" si="348"/>
        <v>2314400</v>
      </c>
      <c r="R319" s="108">
        <f t="shared" si="318"/>
        <v>-463740.72164948378</v>
      </c>
      <c r="S319" s="106">
        <f t="shared" si="319"/>
        <v>0.83307515057259451</v>
      </c>
      <c r="T319" s="134"/>
      <c r="U319" s="104">
        <f t="shared" si="325"/>
        <v>23285870.412371151</v>
      </c>
      <c r="V319" s="104">
        <f t="shared" si="326"/>
        <v>24463680</v>
      </c>
      <c r="W319" s="108">
        <f t="shared" si="320"/>
        <v>1177809.5876288489</v>
      </c>
      <c r="X319" s="106">
        <f t="shared" si="321"/>
        <v>1.0505804407037802</v>
      </c>
      <c r="Y319" s="39"/>
      <c r="Z319" s="202">
        <f t="shared" ref="Z319:AA319" si="373">Z318+1</f>
        <v>45591</v>
      </c>
      <c r="AA319" s="203">
        <f t="shared" si="373"/>
        <v>45591</v>
      </c>
      <c r="AB319" s="204">
        <v>45591</v>
      </c>
      <c r="AC319" s="39"/>
      <c r="AD319" s="39"/>
      <c r="AE319" s="39"/>
      <c r="AF319" s="39"/>
      <c r="AG319" s="114"/>
      <c r="AH319" s="39"/>
      <c r="AI319" s="39"/>
      <c r="AJ319" s="39"/>
      <c r="AK319" s="39"/>
      <c r="AL319" s="39"/>
      <c r="AM319" s="39"/>
      <c r="AN319" s="39"/>
    </row>
    <row r="320" spans="1:40" ht="16.5" customHeight="1">
      <c r="A320" s="39"/>
      <c r="B320" s="50"/>
      <c r="C320" s="95">
        <f t="shared" si="323"/>
        <v>301</v>
      </c>
      <c r="D320" s="96">
        <v>1</v>
      </c>
      <c r="E320" s="194" t="str">
        <f t="shared" si="314"/>
        <v>10</v>
      </c>
      <c r="F320" s="195">
        <f t="shared" si="324"/>
        <v>45592</v>
      </c>
      <c r="G320" s="196" t="str">
        <f t="shared" si="315"/>
        <v>Sun</v>
      </c>
      <c r="H320" s="197" t="s">
        <v>157</v>
      </c>
      <c r="I320" s="208"/>
      <c r="J320" s="209">
        <v>71550</v>
      </c>
      <c r="K320" s="136"/>
      <c r="L320" s="104">
        <f t="shared" si="345"/>
        <v>126279.1237113402</v>
      </c>
      <c r="M320" s="105">
        <f t="shared" si="316"/>
        <v>-54729.123711340202</v>
      </c>
      <c r="N320" s="106">
        <f t="shared" si="317"/>
        <v>0.56660196790369888</v>
      </c>
      <c r="O320" s="200"/>
      <c r="P320" s="170">
        <f t="shared" si="347"/>
        <v>2904419.8453608239</v>
      </c>
      <c r="Q320" s="104">
        <f t="shared" si="348"/>
        <v>2385950</v>
      </c>
      <c r="R320" s="108">
        <f t="shared" si="318"/>
        <v>-518469.84536082391</v>
      </c>
      <c r="S320" s="106">
        <f t="shared" si="319"/>
        <v>0.82148936002177297</v>
      </c>
      <c r="T320" s="133"/>
      <c r="U320" s="104">
        <f t="shared" si="325"/>
        <v>23412149.536082491</v>
      </c>
      <c r="V320" s="104">
        <f t="shared" si="326"/>
        <v>24535230</v>
      </c>
      <c r="W320" s="108">
        <f t="shared" si="320"/>
        <v>1123080.4639175087</v>
      </c>
      <c r="X320" s="106">
        <f t="shared" si="321"/>
        <v>1.0479699850791844</v>
      </c>
      <c r="Y320" s="39"/>
      <c r="Z320" s="202">
        <f t="shared" ref="Z320:AA320" si="374">Z319+1</f>
        <v>45592</v>
      </c>
      <c r="AA320" s="203">
        <f t="shared" si="374"/>
        <v>45592</v>
      </c>
      <c r="AB320" s="204">
        <v>45592</v>
      </c>
      <c r="AC320" s="39"/>
      <c r="AD320" s="39"/>
      <c r="AE320" s="39"/>
      <c r="AF320" s="39"/>
      <c r="AG320" s="114"/>
      <c r="AH320" s="39"/>
      <c r="AI320" s="39"/>
      <c r="AJ320" s="39"/>
      <c r="AK320" s="39"/>
      <c r="AL320" s="39"/>
      <c r="AM320" s="39"/>
      <c r="AN320" s="39"/>
    </row>
    <row r="321" spans="1:40" ht="16.5" customHeight="1">
      <c r="A321" s="39"/>
      <c r="B321" s="50"/>
      <c r="C321" s="95">
        <f t="shared" si="323"/>
        <v>302</v>
      </c>
      <c r="D321" s="96">
        <v>0</v>
      </c>
      <c r="E321" s="194" t="str">
        <f t="shared" si="314"/>
        <v>10</v>
      </c>
      <c r="F321" s="195">
        <f t="shared" si="324"/>
        <v>45593</v>
      </c>
      <c r="G321" s="196" t="str">
        <f t="shared" si="315"/>
        <v>Mon</v>
      </c>
      <c r="H321" s="197"/>
      <c r="I321" s="208"/>
      <c r="J321" s="209"/>
      <c r="K321" s="136"/>
      <c r="L321" s="104">
        <f t="shared" si="345"/>
        <v>0</v>
      </c>
      <c r="M321" s="105">
        <f t="shared" si="316"/>
        <v>0</v>
      </c>
      <c r="N321" s="106" t="str">
        <f t="shared" si="317"/>
        <v>0%</v>
      </c>
      <c r="O321" s="200"/>
      <c r="P321" s="170">
        <f t="shared" si="347"/>
        <v>0</v>
      </c>
      <c r="Q321" s="104">
        <f t="shared" si="348"/>
        <v>0</v>
      </c>
      <c r="R321" s="108">
        <f t="shared" si="318"/>
        <v>0</v>
      </c>
      <c r="S321" s="106" t="str">
        <f t="shared" si="319"/>
        <v>0%</v>
      </c>
      <c r="T321" s="133"/>
      <c r="U321" s="104">
        <f t="shared" si="325"/>
        <v>0</v>
      </c>
      <c r="V321" s="104">
        <f t="shared" si="326"/>
        <v>0</v>
      </c>
      <c r="W321" s="108">
        <f t="shared" si="320"/>
        <v>0</v>
      </c>
      <c r="X321" s="106" t="str">
        <f t="shared" si="321"/>
        <v>0%</v>
      </c>
      <c r="Y321" s="39"/>
      <c r="Z321" s="202">
        <f t="shared" ref="Z321:AA321" si="375">Z320+1</f>
        <v>45593</v>
      </c>
      <c r="AA321" s="203">
        <f t="shared" si="375"/>
        <v>45593</v>
      </c>
      <c r="AB321" s="204">
        <v>45593</v>
      </c>
      <c r="AC321" s="39"/>
      <c r="AD321" s="39"/>
      <c r="AE321" s="39"/>
      <c r="AF321" s="39"/>
      <c r="AG321" s="114"/>
      <c r="AH321" s="39"/>
      <c r="AI321" s="39"/>
      <c r="AJ321" s="39"/>
      <c r="AK321" s="39"/>
      <c r="AL321" s="39"/>
      <c r="AM321" s="39"/>
      <c r="AN321" s="39"/>
    </row>
    <row r="322" spans="1:40" ht="16.5" customHeight="1">
      <c r="A322" s="39"/>
      <c r="B322" s="50"/>
      <c r="C322" s="95">
        <f t="shared" si="323"/>
        <v>303</v>
      </c>
      <c r="D322" s="96">
        <v>1</v>
      </c>
      <c r="E322" s="194" t="str">
        <f t="shared" si="314"/>
        <v>10</v>
      </c>
      <c r="F322" s="195">
        <f t="shared" si="324"/>
        <v>45594</v>
      </c>
      <c r="G322" s="196" t="str">
        <f t="shared" si="315"/>
        <v>Tue</v>
      </c>
      <c r="H322" s="197"/>
      <c r="I322" s="208"/>
      <c r="J322" s="209">
        <v>78000</v>
      </c>
      <c r="K322" s="136"/>
      <c r="L322" s="104">
        <f t="shared" si="345"/>
        <v>126279.1237113402</v>
      </c>
      <c r="M322" s="105">
        <f t="shared" si="316"/>
        <v>-48279.123711340202</v>
      </c>
      <c r="N322" s="106">
        <f t="shared" si="317"/>
        <v>0.61767929415078282</v>
      </c>
      <c r="O322" s="200"/>
      <c r="P322" s="170">
        <f t="shared" si="347"/>
        <v>3030698.969072164</v>
      </c>
      <c r="Q322" s="104">
        <f t="shared" si="348"/>
        <v>2463950</v>
      </c>
      <c r="R322" s="108">
        <f t="shared" si="318"/>
        <v>-566748.96907216404</v>
      </c>
      <c r="S322" s="106">
        <f t="shared" si="319"/>
        <v>0.81299727394381505</v>
      </c>
      <c r="T322" s="133"/>
      <c r="U322" s="104">
        <f t="shared" si="325"/>
        <v>23538428.659793831</v>
      </c>
      <c r="V322" s="104">
        <f t="shared" si="326"/>
        <v>24613230</v>
      </c>
      <c r="W322" s="108">
        <f t="shared" si="320"/>
        <v>1074801.3402061686</v>
      </c>
      <c r="X322" s="106">
        <f t="shared" si="321"/>
        <v>1.0456615586257056</v>
      </c>
      <c r="Y322" s="39"/>
      <c r="Z322" s="202">
        <f t="shared" ref="Z322:AA322" si="376">Z321+1</f>
        <v>45594</v>
      </c>
      <c r="AA322" s="203">
        <f t="shared" si="376"/>
        <v>45594</v>
      </c>
      <c r="AB322" s="204">
        <v>45594</v>
      </c>
      <c r="AC322" s="39"/>
      <c r="AD322" s="39"/>
      <c r="AE322" s="39"/>
      <c r="AF322" s="39"/>
      <c r="AG322" s="114"/>
      <c r="AH322" s="39"/>
      <c r="AI322" s="39"/>
      <c r="AJ322" s="39"/>
      <c r="AK322" s="39"/>
      <c r="AL322" s="39"/>
      <c r="AM322" s="39"/>
      <c r="AN322" s="39"/>
    </row>
    <row r="323" spans="1:40" ht="16.5" customHeight="1">
      <c r="A323" s="39"/>
      <c r="B323" s="50"/>
      <c r="C323" s="95">
        <f t="shared" si="323"/>
        <v>304</v>
      </c>
      <c r="D323" s="96">
        <v>1</v>
      </c>
      <c r="E323" s="194" t="str">
        <f t="shared" si="314"/>
        <v>10</v>
      </c>
      <c r="F323" s="195">
        <f t="shared" si="324"/>
        <v>45595</v>
      </c>
      <c r="G323" s="196" t="str">
        <f t="shared" si="315"/>
        <v>Wed</v>
      </c>
      <c r="H323" s="197"/>
      <c r="I323" s="208"/>
      <c r="J323" s="209">
        <v>92350</v>
      </c>
      <c r="K323" s="136"/>
      <c r="L323" s="104">
        <f t="shared" si="345"/>
        <v>126279.1237113402</v>
      </c>
      <c r="M323" s="105">
        <f t="shared" si="316"/>
        <v>-33929.123711340202</v>
      </c>
      <c r="N323" s="106">
        <f t="shared" si="317"/>
        <v>0.73131644634390758</v>
      </c>
      <c r="O323" s="200"/>
      <c r="P323" s="170">
        <f t="shared" si="347"/>
        <v>3156978.0927835042</v>
      </c>
      <c r="Q323" s="104">
        <f t="shared" si="348"/>
        <v>2556300</v>
      </c>
      <c r="R323" s="108">
        <f t="shared" si="318"/>
        <v>-600678.09278350417</v>
      </c>
      <c r="S323" s="106">
        <f t="shared" si="319"/>
        <v>0.80973004083981881</v>
      </c>
      <c r="T323" s="133"/>
      <c r="U323" s="104">
        <f t="shared" si="325"/>
        <v>23664707.783505172</v>
      </c>
      <c r="V323" s="104">
        <f t="shared" si="326"/>
        <v>24705580</v>
      </c>
      <c r="W323" s="108">
        <f t="shared" si="320"/>
        <v>1040872.2164948285</v>
      </c>
      <c r="X323" s="106">
        <f t="shared" si="321"/>
        <v>1.043984156745867</v>
      </c>
      <c r="Y323" s="39"/>
      <c r="Z323" s="202">
        <f t="shared" ref="Z323:AA323" si="377">Z322+1</f>
        <v>45595</v>
      </c>
      <c r="AA323" s="203">
        <f t="shared" si="377"/>
        <v>45595</v>
      </c>
      <c r="AB323" s="204">
        <v>45595</v>
      </c>
      <c r="AC323" s="39"/>
      <c r="AD323" s="39"/>
      <c r="AE323" s="39"/>
      <c r="AF323" s="39"/>
      <c r="AG323" s="114"/>
      <c r="AH323" s="39"/>
      <c r="AI323" s="39"/>
      <c r="AJ323" s="39"/>
      <c r="AK323" s="39"/>
      <c r="AL323" s="39"/>
      <c r="AM323" s="39"/>
      <c r="AN323" s="39"/>
    </row>
    <row r="324" spans="1:40" ht="16.5" customHeight="1">
      <c r="A324" s="39"/>
      <c r="B324" s="50"/>
      <c r="C324" s="160">
        <f t="shared" si="323"/>
        <v>305</v>
      </c>
      <c r="D324" s="138">
        <v>1</v>
      </c>
      <c r="E324" s="210" t="str">
        <f t="shared" si="314"/>
        <v>10</v>
      </c>
      <c r="F324" s="211">
        <f t="shared" si="324"/>
        <v>45596</v>
      </c>
      <c r="G324" s="212" t="str">
        <f t="shared" si="315"/>
        <v>Thu</v>
      </c>
      <c r="H324" s="213"/>
      <c r="I324" s="214"/>
      <c r="J324" s="215">
        <v>115700</v>
      </c>
      <c r="K324" s="136"/>
      <c r="L324" s="165">
        <f t="shared" si="345"/>
        <v>126279.1237113402</v>
      </c>
      <c r="M324" s="147">
        <f t="shared" si="316"/>
        <v>-10579.123711340202</v>
      </c>
      <c r="N324" s="161">
        <f t="shared" si="317"/>
        <v>0.91622428632366115</v>
      </c>
      <c r="O324" s="216"/>
      <c r="P324" s="150">
        <f t="shared" si="347"/>
        <v>3283257.2164948443</v>
      </c>
      <c r="Q324" s="165">
        <f t="shared" si="348"/>
        <v>2672000</v>
      </c>
      <c r="R324" s="167">
        <f t="shared" si="318"/>
        <v>-611257.2164948443</v>
      </c>
      <c r="S324" s="161">
        <f t="shared" si="319"/>
        <v>0.8138259733584281</v>
      </c>
      <c r="T324" s="149"/>
      <c r="U324" s="165">
        <f t="shared" si="325"/>
        <v>23790986.907216512</v>
      </c>
      <c r="V324" s="165">
        <f t="shared" si="326"/>
        <v>24821280</v>
      </c>
      <c r="W324" s="167">
        <f t="shared" si="320"/>
        <v>1030293.0927834883</v>
      </c>
      <c r="X324" s="161">
        <f t="shared" si="321"/>
        <v>1.0433060257988276</v>
      </c>
      <c r="Y324" s="39"/>
      <c r="Z324" s="202">
        <f t="shared" ref="Z324:AA324" si="378">Z323+1</f>
        <v>45596</v>
      </c>
      <c r="AA324" s="203">
        <f t="shared" si="378"/>
        <v>45596</v>
      </c>
      <c r="AB324" s="204">
        <v>45596</v>
      </c>
      <c r="AC324" s="39"/>
      <c r="AD324" s="39"/>
      <c r="AE324" s="39"/>
      <c r="AF324" s="39"/>
      <c r="AG324" s="114"/>
      <c r="AH324" s="39"/>
      <c r="AI324" s="39"/>
      <c r="AJ324" s="39"/>
      <c r="AK324" s="39"/>
      <c r="AL324" s="39"/>
      <c r="AM324" s="39"/>
      <c r="AN324" s="39"/>
    </row>
    <row r="325" spans="1:40" ht="16.5" customHeight="1">
      <c r="A325" s="39"/>
      <c r="B325" s="50"/>
      <c r="C325" s="95">
        <f t="shared" si="323"/>
        <v>306</v>
      </c>
      <c r="D325" s="155">
        <v>1</v>
      </c>
      <c r="E325" s="194" t="str">
        <f t="shared" si="314"/>
        <v>11</v>
      </c>
      <c r="F325" s="195">
        <f t="shared" si="324"/>
        <v>45597</v>
      </c>
      <c r="G325" s="196" t="str">
        <f t="shared" si="315"/>
        <v>Fri</v>
      </c>
      <c r="H325" s="197"/>
      <c r="I325" s="208"/>
      <c r="J325" s="209">
        <v>91350</v>
      </c>
      <c r="K325" s="136"/>
      <c r="L325" s="104">
        <f t="shared" ref="L325:L354" si="379">IF(D325=0,0,$K$16)</f>
        <v>106074.46391752576</v>
      </c>
      <c r="M325" s="108">
        <f t="shared" si="316"/>
        <v>-14724.463917525762</v>
      </c>
      <c r="N325" s="156">
        <f t="shared" si="317"/>
        <v>0.8611874774217646</v>
      </c>
      <c r="O325" s="200"/>
      <c r="P325" s="111">
        <f>IF(D325=0,0,$L$325)</f>
        <v>106074.46391752576</v>
      </c>
      <c r="Q325" s="104">
        <f>IF(D325=0,0,$J$325)</f>
        <v>91350</v>
      </c>
      <c r="R325" s="108">
        <f t="shared" si="318"/>
        <v>-14724.463917525762</v>
      </c>
      <c r="S325" s="156">
        <f t="shared" si="319"/>
        <v>0.8611874774217646</v>
      </c>
      <c r="T325" s="133"/>
      <c r="U325" s="104">
        <f t="shared" si="325"/>
        <v>23897061.371134039</v>
      </c>
      <c r="V325" s="104">
        <f t="shared" si="326"/>
        <v>24912630</v>
      </c>
      <c r="W325" s="108">
        <f t="shared" si="320"/>
        <v>1015568.628865961</v>
      </c>
      <c r="X325" s="156">
        <f t="shared" si="321"/>
        <v>1.0424976365542877</v>
      </c>
      <c r="Y325" s="39"/>
      <c r="Z325" s="202">
        <f t="shared" ref="Z325:AA325" si="380">Z324+1</f>
        <v>45597</v>
      </c>
      <c r="AA325" s="203">
        <f t="shared" si="380"/>
        <v>45597</v>
      </c>
      <c r="AB325" s="204">
        <v>45597</v>
      </c>
      <c r="AC325" s="39"/>
      <c r="AD325" s="39"/>
      <c r="AE325" s="39"/>
      <c r="AF325" s="39"/>
      <c r="AG325" s="114"/>
      <c r="AH325" s="39"/>
      <c r="AI325" s="39"/>
      <c r="AJ325" s="39"/>
      <c r="AK325" s="39"/>
      <c r="AL325" s="39"/>
      <c r="AM325" s="39"/>
      <c r="AN325" s="39"/>
    </row>
    <row r="326" spans="1:40" ht="16.5" customHeight="1">
      <c r="A326" s="39"/>
      <c r="B326" s="50"/>
      <c r="C326" s="95">
        <f t="shared" si="323"/>
        <v>307</v>
      </c>
      <c r="D326" s="96">
        <v>1</v>
      </c>
      <c r="E326" s="194" t="str">
        <f t="shared" si="314"/>
        <v>11</v>
      </c>
      <c r="F326" s="195">
        <f t="shared" si="324"/>
        <v>45598</v>
      </c>
      <c r="G326" s="196" t="str">
        <f t="shared" si="315"/>
        <v>Sat</v>
      </c>
      <c r="H326" s="197"/>
      <c r="I326" s="208"/>
      <c r="J326" s="209">
        <v>39050</v>
      </c>
      <c r="K326" s="136"/>
      <c r="L326" s="104">
        <f t="shared" si="379"/>
        <v>106074.46391752576</v>
      </c>
      <c r="M326" s="105">
        <f t="shared" si="316"/>
        <v>-67024.463917525762</v>
      </c>
      <c r="N326" s="106">
        <f t="shared" si="317"/>
        <v>0.36813761350103896</v>
      </c>
      <c r="O326" s="200"/>
      <c r="P326" s="170">
        <f t="shared" ref="P326:P354" si="381">IF(D326=0,0,SUM($L$325:L326))</f>
        <v>212148.92783505152</v>
      </c>
      <c r="Q326" s="104">
        <f t="shared" ref="Q326:Q354" si="382">IF(D326=0,0,SUM($J$325:J326))</f>
        <v>130400</v>
      </c>
      <c r="R326" s="108">
        <f t="shared" si="318"/>
        <v>-81748.927835051523</v>
      </c>
      <c r="S326" s="106">
        <f t="shared" si="319"/>
        <v>0.61466254546140175</v>
      </c>
      <c r="T326" s="134"/>
      <c r="U326" s="104">
        <f t="shared" si="325"/>
        <v>24003135.835051566</v>
      </c>
      <c r="V326" s="104">
        <f t="shared" si="326"/>
        <v>24951680</v>
      </c>
      <c r="W326" s="108">
        <f t="shared" si="320"/>
        <v>948544.16494843364</v>
      </c>
      <c r="X326" s="106">
        <f t="shared" si="321"/>
        <v>1.0395175101897847</v>
      </c>
      <c r="Y326" s="39"/>
      <c r="Z326" s="202">
        <f t="shared" ref="Z326:AA326" si="383">Z325+1</f>
        <v>45598</v>
      </c>
      <c r="AA326" s="203">
        <f t="shared" si="383"/>
        <v>45598</v>
      </c>
      <c r="AB326" s="204">
        <v>45598</v>
      </c>
      <c r="AC326" s="39"/>
      <c r="AD326" s="39"/>
      <c r="AE326" s="39"/>
      <c r="AF326" s="39"/>
      <c r="AG326" s="114"/>
      <c r="AH326" s="39"/>
      <c r="AI326" s="39"/>
      <c r="AJ326" s="39"/>
      <c r="AK326" s="39"/>
      <c r="AL326" s="39"/>
      <c r="AM326" s="39"/>
      <c r="AN326" s="39"/>
    </row>
    <row r="327" spans="1:40" ht="16.5" customHeight="1">
      <c r="A327" s="39"/>
      <c r="B327" s="50"/>
      <c r="C327" s="95">
        <f t="shared" si="323"/>
        <v>308</v>
      </c>
      <c r="D327" s="96">
        <v>1</v>
      </c>
      <c r="E327" s="194" t="str">
        <f t="shared" si="314"/>
        <v>11</v>
      </c>
      <c r="F327" s="195">
        <f t="shared" si="324"/>
        <v>45599</v>
      </c>
      <c r="G327" s="196" t="str">
        <f t="shared" si="315"/>
        <v>Sun</v>
      </c>
      <c r="H327" s="197" t="s">
        <v>157</v>
      </c>
      <c r="I327" s="208"/>
      <c r="J327" s="209">
        <v>202550</v>
      </c>
      <c r="K327" s="136"/>
      <c r="L327" s="104">
        <f t="shared" si="379"/>
        <v>106074.46391752576</v>
      </c>
      <c r="M327" s="105">
        <f t="shared" si="316"/>
        <v>96475.536082474238</v>
      </c>
      <c r="N327" s="106">
        <f t="shared" si="317"/>
        <v>1.9095076469817014</v>
      </c>
      <c r="O327" s="200"/>
      <c r="P327" s="170">
        <f t="shared" si="381"/>
        <v>318223.39175257727</v>
      </c>
      <c r="Q327" s="104">
        <f t="shared" si="382"/>
        <v>332950</v>
      </c>
      <c r="R327" s="108">
        <f t="shared" si="318"/>
        <v>14726.60824742273</v>
      </c>
      <c r="S327" s="106">
        <f t="shared" si="319"/>
        <v>1.0462775793015018</v>
      </c>
      <c r="T327" s="134"/>
      <c r="U327" s="104">
        <f t="shared" si="325"/>
        <v>24109210.298969094</v>
      </c>
      <c r="V327" s="104">
        <f t="shared" si="326"/>
        <v>25154230</v>
      </c>
      <c r="W327" s="108">
        <f t="shared" si="320"/>
        <v>1045019.7010309063</v>
      </c>
      <c r="X327" s="106">
        <f t="shared" si="321"/>
        <v>1.0433452480637904</v>
      </c>
      <c r="Y327" s="39"/>
      <c r="Z327" s="202">
        <f t="shared" ref="Z327:AA327" si="384">Z326+1</f>
        <v>45599</v>
      </c>
      <c r="AA327" s="203">
        <f t="shared" si="384"/>
        <v>45599</v>
      </c>
      <c r="AB327" s="204">
        <v>45599</v>
      </c>
      <c r="AC327" s="39"/>
      <c r="AD327" s="39"/>
      <c r="AE327" s="39"/>
      <c r="AF327" s="39"/>
      <c r="AG327" s="114"/>
      <c r="AH327" s="39"/>
      <c r="AI327" s="39"/>
      <c r="AJ327" s="39"/>
      <c r="AK327" s="39"/>
      <c r="AL327" s="39"/>
      <c r="AM327" s="39"/>
      <c r="AN327" s="39"/>
    </row>
    <row r="328" spans="1:40" ht="16.5" customHeight="1">
      <c r="A328" s="39"/>
      <c r="B328" s="50"/>
      <c r="C328" s="95">
        <f t="shared" si="323"/>
        <v>309</v>
      </c>
      <c r="D328" s="96">
        <v>0</v>
      </c>
      <c r="E328" s="194" t="str">
        <f t="shared" si="314"/>
        <v>11</v>
      </c>
      <c r="F328" s="195">
        <f t="shared" si="324"/>
        <v>45600</v>
      </c>
      <c r="G328" s="196" t="str">
        <f t="shared" si="315"/>
        <v>Mon</v>
      </c>
      <c r="H328" s="197" t="s">
        <v>153</v>
      </c>
      <c r="I328" s="208"/>
      <c r="J328" s="209"/>
      <c r="K328" s="136"/>
      <c r="L328" s="104">
        <f t="shared" si="379"/>
        <v>0</v>
      </c>
      <c r="M328" s="105">
        <f t="shared" si="316"/>
        <v>0</v>
      </c>
      <c r="N328" s="106" t="str">
        <f t="shared" si="317"/>
        <v>0%</v>
      </c>
      <c r="O328" s="200"/>
      <c r="P328" s="170">
        <f t="shared" si="381"/>
        <v>0</v>
      </c>
      <c r="Q328" s="104">
        <f t="shared" si="382"/>
        <v>0</v>
      </c>
      <c r="R328" s="108">
        <f t="shared" si="318"/>
        <v>0</v>
      </c>
      <c r="S328" s="106" t="str">
        <f t="shared" si="319"/>
        <v>0%</v>
      </c>
      <c r="T328" s="133"/>
      <c r="U328" s="104">
        <f t="shared" si="325"/>
        <v>0</v>
      </c>
      <c r="V328" s="104">
        <f t="shared" si="326"/>
        <v>0</v>
      </c>
      <c r="W328" s="108">
        <f t="shared" si="320"/>
        <v>0</v>
      </c>
      <c r="X328" s="106" t="str">
        <f t="shared" si="321"/>
        <v>0%</v>
      </c>
      <c r="Y328" s="39"/>
      <c r="Z328" s="202">
        <f t="shared" ref="Z328:AA328" si="385">Z327+1</f>
        <v>45600</v>
      </c>
      <c r="AA328" s="203">
        <f t="shared" si="385"/>
        <v>45600</v>
      </c>
      <c r="AB328" s="204">
        <v>45600</v>
      </c>
      <c r="AC328" s="39"/>
      <c r="AD328" s="39"/>
      <c r="AE328" s="39"/>
      <c r="AF328" s="39"/>
      <c r="AG328" s="114"/>
      <c r="AH328" s="39"/>
      <c r="AI328" s="39"/>
      <c r="AJ328" s="39"/>
      <c r="AK328" s="39"/>
      <c r="AL328" s="39"/>
      <c r="AM328" s="39"/>
      <c r="AN328" s="39"/>
    </row>
    <row r="329" spans="1:40" ht="16.5" customHeight="1">
      <c r="A329" s="39"/>
      <c r="B329" s="50"/>
      <c r="C329" s="95">
        <f t="shared" si="323"/>
        <v>310</v>
      </c>
      <c r="D329" s="96">
        <v>1</v>
      </c>
      <c r="E329" s="194" t="str">
        <f t="shared" si="314"/>
        <v>11</v>
      </c>
      <c r="F329" s="195">
        <f t="shared" si="324"/>
        <v>45601</v>
      </c>
      <c r="G329" s="196" t="str">
        <f t="shared" si="315"/>
        <v>Tue</v>
      </c>
      <c r="H329" s="197"/>
      <c r="I329" s="208"/>
      <c r="J329" s="209">
        <v>79700</v>
      </c>
      <c r="K329" s="136"/>
      <c r="L329" s="104">
        <f t="shared" si="379"/>
        <v>106074.46391752576</v>
      </c>
      <c r="M329" s="105">
        <f t="shared" si="316"/>
        <v>-26374.463917525762</v>
      </c>
      <c r="N329" s="106">
        <f t="shared" si="317"/>
        <v>0.75135897044898348</v>
      </c>
      <c r="O329" s="200"/>
      <c r="P329" s="170">
        <f t="shared" si="381"/>
        <v>424297.85567010305</v>
      </c>
      <c r="Q329" s="104">
        <f t="shared" si="382"/>
        <v>412650</v>
      </c>
      <c r="R329" s="108">
        <f t="shared" si="318"/>
        <v>-11647.855670103047</v>
      </c>
      <c r="S329" s="106">
        <f t="shared" si="319"/>
        <v>0.97254792708837212</v>
      </c>
      <c r="T329" s="133"/>
      <c r="U329" s="104">
        <f t="shared" si="325"/>
        <v>24215284.762886621</v>
      </c>
      <c r="V329" s="104">
        <f t="shared" si="326"/>
        <v>25233930</v>
      </c>
      <c r="W329" s="108">
        <f t="shared" si="320"/>
        <v>1018645.2371133789</v>
      </c>
      <c r="X329" s="106">
        <f t="shared" si="321"/>
        <v>1.0420662093007718</v>
      </c>
      <c r="Y329" s="39"/>
      <c r="Z329" s="202">
        <f t="shared" ref="Z329:AA329" si="386">Z328+1</f>
        <v>45601</v>
      </c>
      <c r="AA329" s="203">
        <f t="shared" si="386"/>
        <v>45601</v>
      </c>
      <c r="AB329" s="204">
        <v>45601</v>
      </c>
      <c r="AC329" s="39"/>
      <c r="AD329" s="39"/>
      <c r="AE329" s="39"/>
      <c r="AF329" s="39"/>
      <c r="AG329" s="114"/>
      <c r="AH329" s="39"/>
      <c r="AI329" s="39"/>
      <c r="AJ329" s="39"/>
      <c r="AK329" s="39"/>
      <c r="AL329" s="39"/>
      <c r="AM329" s="39"/>
      <c r="AN329" s="39"/>
    </row>
    <row r="330" spans="1:40" ht="16.5" customHeight="1">
      <c r="A330" s="39"/>
      <c r="B330" s="50"/>
      <c r="C330" s="95">
        <f t="shared" si="323"/>
        <v>311</v>
      </c>
      <c r="D330" s="96">
        <v>1</v>
      </c>
      <c r="E330" s="194" t="str">
        <f t="shared" si="314"/>
        <v>11</v>
      </c>
      <c r="F330" s="195">
        <f t="shared" si="324"/>
        <v>45602</v>
      </c>
      <c r="G330" s="196" t="str">
        <f t="shared" si="315"/>
        <v>Wed</v>
      </c>
      <c r="H330" s="197"/>
      <c r="I330" s="208"/>
      <c r="J330" s="209">
        <v>73100</v>
      </c>
      <c r="K330" s="136"/>
      <c r="L330" s="104">
        <f t="shared" si="379"/>
        <v>106074.46391752576</v>
      </c>
      <c r="M330" s="105">
        <f t="shared" si="316"/>
        <v>-32974.463917525762</v>
      </c>
      <c r="N330" s="106">
        <f t="shared" si="317"/>
        <v>0.68913852873049797</v>
      </c>
      <c r="O330" s="200"/>
      <c r="P330" s="170">
        <f t="shared" si="381"/>
        <v>530372.31958762882</v>
      </c>
      <c r="Q330" s="104">
        <f t="shared" si="382"/>
        <v>485750</v>
      </c>
      <c r="R330" s="108">
        <f t="shared" si="318"/>
        <v>-44622.319587628823</v>
      </c>
      <c r="S330" s="106">
        <f t="shared" si="319"/>
        <v>0.91586604741679722</v>
      </c>
      <c r="T330" s="133"/>
      <c r="U330" s="104">
        <f t="shared" si="325"/>
        <v>24321359.226804148</v>
      </c>
      <c r="V330" s="104">
        <f t="shared" si="326"/>
        <v>25307030</v>
      </c>
      <c r="W330" s="108">
        <f t="shared" si="320"/>
        <v>985670.77319585159</v>
      </c>
      <c r="X330" s="106">
        <f t="shared" si="321"/>
        <v>1.0405269608496863</v>
      </c>
      <c r="Y330" s="39"/>
      <c r="Z330" s="202">
        <f t="shared" ref="Z330:AA330" si="387">Z329+1</f>
        <v>45602</v>
      </c>
      <c r="AA330" s="203">
        <f t="shared" si="387"/>
        <v>45602</v>
      </c>
      <c r="AB330" s="204">
        <v>45602</v>
      </c>
      <c r="AC330" s="39"/>
      <c r="AD330" s="39"/>
      <c r="AE330" s="39"/>
      <c r="AF330" s="39"/>
      <c r="AG330" s="114"/>
      <c r="AH330" s="39"/>
      <c r="AI330" s="39"/>
      <c r="AJ330" s="39"/>
      <c r="AK330" s="39"/>
      <c r="AL330" s="39"/>
      <c r="AM330" s="39"/>
      <c r="AN330" s="39"/>
    </row>
    <row r="331" spans="1:40" ht="16.5" customHeight="1">
      <c r="A331" s="39"/>
      <c r="B331" s="50"/>
      <c r="C331" s="95">
        <f t="shared" si="323"/>
        <v>312</v>
      </c>
      <c r="D331" s="96">
        <v>1</v>
      </c>
      <c r="E331" s="194" t="str">
        <f t="shared" si="314"/>
        <v>11</v>
      </c>
      <c r="F331" s="195">
        <f t="shared" si="324"/>
        <v>45603</v>
      </c>
      <c r="G331" s="196" t="str">
        <f t="shared" si="315"/>
        <v>Thu</v>
      </c>
      <c r="H331" s="197"/>
      <c r="I331" s="208"/>
      <c r="J331" s="209">
        <v>64700</v>
      </c>
      <c r="K331" s="136"/>
      <c r="L331" s="104">
        <f t="shared" si="379"/>
        <v>106074.46391752576</v>
      </c>
      <c r="M331" s="105">
        <f t="shared" si="316"/>
        <v>-41374.463917525762</v>
      </c>
      <c r="N331" s="106">
        <f t="shared" si="317"/>
        <v>0.60994887563424383</v>
      </c>
      <c r="O331" s="200"/>
      <c r="P331" s="170">
        <f t="shared" si="381"/>
        <v>636446.78350515454</v>
      </c>
      <c r="Q331" s="104">
        <f t="shared" si="382"/>
        <v>550450</v>
      </c>
      <c r="R331" s="108">
        <f t="shared" si="318"/>
        <v>-85996.783505154541</v>
      </c>
      <c r="S331" s="106">
        <f t="shared" si="319"/>
        <v>0.86487985211970508</v>
      </c>
      <c r="T331" s="133"/>
      <c r="U331" s="104">
        <f t="shared" si="325"/>
        <v>24427433.690721676</v>
      </c>
      <c r="V331" s="104">
        <f t="shared" si="326"/>
        <v>25371730</v>
      </c>
      <c r="W331" s="108">
        <f t="shared" si="320"/>
        <v>944296.30927832425</v>
      </c>
      <c r="X331" s="106">
        <f t="shared" si="321"/>
        <v>1.0386572048965175</v>
      </c>
      <c r="Y331" s="39"/>
      <c r="Z331" s="202">
        <f t="shared" ref="Z331:AA331" si="388">Z330+1</f>
        <v>45603</v>
      </c>
      <c r="AA331" s="203">
        <f t="shared" si="388"/>
        <v>45603</v>
      </c>
      <c r="AB331" s="204">
        <v>45603</v>
      </c>
      <c r="AC331" s="39"/>
      <c r="AD331" s="39"/>
      <c r="AE331" s="39"/>
      <c r="AF331" s="39"/>
      <c r="AG331" s="114"/>
      <c r="AH331" s="39"/>
      <c r="AI331" s="39"/>
      <c r="AJ331" s="39"/>
      <c r="AK331" s="39"/>
      <c r="AL331" s="39"/>
      <c r="AM331" s="39"/>
      <c r="AN331" s="39"/>
    </row>
    <row r="332" spans="1:40" ht="16.5" customHeight="1">
      <c r="A332" s="39"/>
      <c r="B332" s="50"/>
      <c r="C332" s="95">
        <f t="shared" si="323"/>
        <v>313</v>
      </c>
      <c r="D332" s="96">
        <v>1</v>
      </c>
      <c r="E332" s="194" t="str">
        <f t="shared" si="314"/>
        <v>11</v>
      </c>
      <c r="F332" s="195">
        <f t="shared" si="324"/>
        <v>45604</v>
      </c>
      <c r="G332" s="196" t="str">
        <f t="shared" si="315"/>
        <v>Fri</v>
      </c>
      <c r="H332" s="197"/>
      <c r="I332" s="208"/>
      <c r="J332" s="209">
        <v>102150</v>
      </c>
      <c r="K332" s="136"/>
      <c r="L332" s="104">
        <f t="shared" si="379"/>
        <v>106074.46391752576</v>
      </c>
      <c r="M332" s="105">
        <f t="shared" si="316"/>
        <v>-3924.4639175257616</v>
      </c>
      <c r="N332" s="106">
        <f t="shared" si="317"/>
        <v>0.96300274568837718</v>
      </c>
      <c r="O332" s="200"/>
      <c r="P332" s="170">
        <f t="shared" si="381"/>
        <v>742521.24742268026</v>
      </c>
      <c r="Q332" s="104">
        <f t="shared" si="382"/>
        <v>652600</v>
      </c>
      <c r="R332" s="108">
        <f t="shared" si="318"/>
        <v>-89921.247422680259</v>
      </c>
      <c r="S332" s="106">
        <f t="shared" si="319"/>
        <v>0.87889740834380115</v>
      </c>
      <c r="T332" s="133"/>
      <c r="U332" s="104">
        <f t="shared" si="325"/>
        <v>24533508.154639203</v>
      </c>
      <c r="V332" s="104">
        <f t="shared" si="326"/>
        <v>25473880</v>
      </c>
      <c r="W332" s="108">
        <f t="shared" si="320"/>
        <v>940371.8453607969</v>
      </c>
      <c r="X332" s="106">
        <f t="shared" si="321"/>
        <v>1.0383301009962971</v>
      </c>
      <c r="Y332" s="39"/>
      <c r="Z332" s="202">
        <f t="shared" ref="Z332:AA332" si="389">Z331+1</f>
        <v>45604</v>
      </c>
      <c r="AA332" s="203">
        <f t="shared" si="389"/>
        <v>45604</v>
      </c>
      <c r="AB332" s="204">
        <v>45604</v>
      </c>
      <c r="AC332" s="39"/>
      <c r="AD332" s="39"/>
      <c r="AE332" s="39"/>
      <c r="AF332" s="39"/>
      <c r="AG332" s="114"/>
      <c r="AH332" s="39"/>
      <c r="AI332" s="39"/>
      <c r="AJ332" s="39"/>
      <c r="AK332" s="39"/>
      <c r="AL332" s="39"/>
      <c r="AM332" s="39"/>
      <c r="AN332" s="39"/>
    </row>
    <row r="333" spans="1:40" ht="16.5" customHeight="1">
      <c r="A333" s="39"/>
      <c r="B333" s="50"/>
      <c r="C333" s="95">
        <f t="shared" si="323"/>
        <v>314</v>
      </c>
      <c r="D333" s="96">
        <v>1</v>
      </c>
      <c r="E333" s="194" t="str">
        <f t="shared" si="314"/>
        <v>11</v>
      </c>
      <c r="F333" s="195">
        <f t="shared" si="324"/>
        <v>45605</v>
      </c>
      <c r="G333" s="196" t="str">
        <f t="shared" si="315"/>
        <v>Sat</v>
      </c>
      <c r="H333" s="197"/>
      <c r="I333" s="208"/>
      <c r="J333" s="209">
        <v>120000</v>
      </c>
      <c r="K333" s="136"/>
      <c r="L333" s="104">
        <f t="shared" si="379"/>
        <v>106074.46391752576</v>
      </c>
      <c r="M333" s="105">
        <f t="shared" si="316"/>
        <v>13925.536082474238</v>
      </c>
      <c r="N333" s="106">
        <f t="shared" si="317"/>
        <v>1.1312807585179174</v>
      </c>
      <c r="O333" s="200"/>
      <c r="P333" s="170">
        <f t="shared" si="381"/>
        <v>848595.71134020598</v>
      </c>
      <c r="Q333" s="104">
        <f t="shared" si="382"/>
        <v>772600</v>
      </c>
      <c r="R333" s="108">
        <f t="shared" si="318"/>
        <v>-75995.711340205977</v>
      </c>
      <c r="S333" s="106">
        <f t="shared" si="319"/>
        <v>0.91044532711556569</v>
      </c>
      <c r="T333" s="134"/>
      <c r="U333" s="104">
        <f t="shared" si="325"/>
        <v>24639582.61855673</v>
      </c>
      <c r="V333" s="104">
        <f t="shared" si="326"/>
        <v>25593880</v>
      </c>
      <c r="W333" s="108">
        <f t="shared" si="320"/>
        <v>954297.38144326955</v>
      </c>
      <c r="X333" s="106">
        <f t="shared" si="321"/>
        <v>1.0387302575784934</v>
      </c>
      <c r="Y333" s="39"/>
      <c r="Z333" s="202">
        <f t="shared" ref="Z333:AA333" si="390">Z332+1</f>
        <v>45605</v>
      </c>
      <c r="AA333" s="203">
        <f t="shared" si="390"/>
        <v>45605</v>
      </c>
      <c r="AB333" s="204">
        <v>45605</v>
      </c>
      <c r="AC333" s="39"/>
      <c r="AD333" s="39"/>
      <c r="AE333" s="39"/>
      <c r="AF333" s="39"/>
      <c r="AG333" s="114"/>
      <c r="AH333" s="39"/>
      <c r="AI333" s="39"/>
      <c r="AJ333" s="39"/>
      <c r="AK333" s="39"/>
      <c r="AL333" s="39"/>
      <c r="AM333" s="39"/>
      <c r="AN333" s="39"/>
    </row>
    <row r="334" spans="1:40" ht="16.5" customHeight="1">
      <c r="A334" s="39"/>
      <c r="B334" s="50"/>
      <c r="C334" s="95">
        <f t="shared" si="323"/>
        <v>315</v>
      </c>
      <c r="D334" s="96">
        <v>1</v>
      </c>
      <c r="E334" s="194" t="str">
        <f t="shared" si="314"/>
        <v>11</v>
      </c>
      <c r="F334" s="195">
        <f t="shared" si="324"/>
        <v>45606</v>
      </c>
      <c r="G334" s="196" t="str">
        <f t="shared" si="315"/>
        <v>Sun</v>
      </c>
      <c r="H334" s="197" t="s">
        <v>157</v>
      </c>
      <c r="I334" s="208"/>
      <c r="J334" s="209">
        <v>65500</v>
      </c>
      <c r="K334" s="136"/>
      <c r="L334" s="104">
        <f t="shared" si="379"/>
        <v>106074.46391752576</v>
      </c>
      <c r="M334" s="105">
        <f t="shared" si="316"/>
        <v>-40574.463917525762</v>
      </c>
      <c r="N334" s="106">
        <f t="shared" si="317"/>
        <v>0.6174907473576966</v>
      </c>
      <c r="O334" s="200"/>
      <c r="P334" s="170">
        <f t="shared" si="381"/>
        <v>954670.17525773169</v>
      </c>
      <c r="Q334" s="104">
        <f t="shared" si="382"/>
        <v>838100</v>
      </c>
      <c r="R334" s="108">
        <f t="shared" si="318"/>
        <v>-116570.17525773169</v>
      </c>
      <c r="S334" s="106">
        <f t="shared" si="319"/>
        <v>0.87789481825358029</v>
      </c>
      <c r="T334" s="133"/>
      <c r="U334" s="104">
        <f t="shared" si="325"/>
        <v>24745657.082474258</v>
      </c>
      <c r="V334" s="104">
        <f t="shared" si="326"/>
        <v>25659380</v>
      </c>
      <c r="W334" s="108">
        <f t="shared" si="320"/>
        <v>913722.9175257422</v>
      </c>
      <c r="X334" s="106">
        <f t="shared" si="321"/>
        <v>1.0369245768855688</v>
      </c>
      <c r="Y334" s="39"/>
      <c r="Z334" s="202">
        <f t="shared" ref="Z334:AA334" si="391">Z333+1</f>
        <v>45606</v>
      </c>
      <c r="AA334" s="203">
        <f t="shared" si="391"/>
        <v>45606</v>
      </c>
      <c r="AB334" s="204">
        <v>45606</v>
      </c>
      <c r="AC334" s="39"/>
      <c r="AD334" s="39"/>
      <c r="AE334" s="39"/>
      <c r="AF334" s="39"/>
      <c r="AG334" s="114"/>
      <c r="AH334" s="39"/>
      <c r="AI334" s="39"/>
      <c r="AJ334" s="39"/>
      <c r="AK334" s="39"/>
      <c r="AL334" s="39"/>
      <c r="AM334" s="39"/>
      <c r="AN334" s="39"/>
    </row>
    <row r="335" spans="1:40" ht="16.5" customHeight="1">
      <c r="A335" s="39"/>
      <c r="B335" s="50"/>
      <c r="C335" s="95">
        <f t="shared" si="323"/>
        <v>316</v>
      </c>
      <c r="D335" s="96">
        <v>0</v>
      </c>
      <c r="E335" s="194" t="str">
        <f t="shared" si="314"/>
        <v>11</v>
      </c>
      <c r="F335" s="195">
        <f t="shared" si="324"/>
        <v>45607</v>
      </c>
      <c r="G335" s="196" t="str">
        <f t="shared" si="315"/>
        <v>Mon</v>
      </c>
      <c r="H335" s="197"/>
      <c r="I335" s="208"/>
      <c r="J335" s="209"/>
      <c r="K335" s="136"/>
      <c r="L335" s="104">
        <f t="shared" si="379"/>
        <v>0</v>
      </c>
      <c r="M335" s="105">
        <f t="shared" si="316"/>
        <v>0</v>
      </c>
      <c r="N335" s="106" t="str">
        <f t="shared" si="317"/>
        <v>0%</v>
      </c>
      <c r="O335" s="200"/>
      <c r="P335" s="170">
        <f t="shared" si="381"/>
        <v>0</v>
      </c>
      <c r="Q335" s="104">
        <f t="shared" si="382"/>
        <v>0</v>
      </c>
      <c r="R335" s="108">
        <f t="shared" si="318"/>
        <v>0</v>
      </c>
      <c r="S335" s="106" t="str">
        <f t="shared" si="319"/>
        <v>0%</v>
      </c>
      <c r="T335" s="133"/>
      <c r="U335" s="104">
        <f t="shared" si="325"/>
        <v>0</v>
      </c>
      <c r="V335" s="104">
        <f t="shared" si="326"/>
        <v>0</v>
      </c>
      <c r="W335" s="108">
        <f t="shared" si="320"/>
        <v>0</v>
      </c>
      <c r="X335" s="106" t="str">
        <f t="shared" si="321"/>
        <v>0%</v>
      </c>
      <c r="Y335" s="39"/>
      <c r="Z335" s="202">
        <f t="shared" ref="Z335:AA335" si="392">Z334+1</f>
        <v>45607</v>
      </c>
      <c r="AA335" s="203">
        <f t="shared" si="392"/>
        <v>45607</v>
      </c>
      <c r="AB335" s="204">
        <v>45607</v>
      </c>
      <c r="AC335" s="39"/>
      <c r="AD335" s="39"/>
      <c r="AE335" s="39"/>
      <c r="AF335" s="39"/>
      <c r="AG335" s="114"/>
      <c r="AH335" s="39"/>
      <c r="AI335" s="39"/>
      <c r="AJ335" s="39"/>
      <c r="AK335" s="39"/>
      <c r="AL335" s="39"/>
      <c r="AM335" s="39"/>
      <c r="AN335" s="39"/>
    </row>
    <row r="336" spans="1:40" ht="16.5" customHeight="1">
      <c r="A336" s="39"/>
      <c r="B336" s="50"/>
      <c r="C336" s="95">
        <f t="shared" si="323"/>
        <v>317</v>
      </c>
      <c r="D336" s="96">
        <v>1</v>
      </c>
      <c r="E336" s="194" t="str">
        <f t="shared" si="314"/>
        <v>11</v>
      </c>
      <c r="F336" s="195">
        <f t="shared" si="324"/>
        <v>45608</v>
      </c>
      <c r="G336" s="196" t="str">
        <f t="shared" si="315"/>
        <v>Tue</v>
      </c>
      <c r="H336" s="197"/>
      <c r="I336" s="208"/>
      <c r="J336" s="209">
        <v>136100</v>
      </c>
      <c r="K336" s="136"/>
      <c r="L336" s="104">
        <f t="shared" si="379"/>
        <v>106074.46391752576</v>
      </c>
      <c r="M336" s="105">
        <f t="shared" si="316"/>
        <v>30025.536082474238</v>
      </c>
      <c r="N336" s="106">
        <f t="shared" si="317"/>
        <v>1.2830609269524047</v>
      </c>
      <c r="O336" s="200"/>
      <c r="P336" s="170">
        <f t="shared" si="381"/>
        <v>1060744.6391752574</v>
      </c>
      <c r="Q336" s="104">
        <f t="shared" si="382"/>
        <v>974200</v>
      </c>
      <c r="R336" s="108">
        <f t="shared" si="318"/>
        <v>-86544.639175257413</v>
      </c>
      <c r="S336" s="106">
        <f t="shared" si="319"/>
        <v>0.91841142912346274</v>
      </c>
      <c r="T336" s="133"/>
      <c r="U336" s="104">
        <f t="shared" si="325"/>
        <v>24851731.546391785</v>
      </c>
      <c r="V336" s="104">
        <f t="shared" si="326"/>
        <v>25795480</v>
      </c>
      <c r="W336" s="108">
        <f t="shared" si="320"/>
        <v>943748.45360821486</v>
      </c>
      <c r="X336" s="106">
        <f t="shared" si="321"/>
        <v>1.0379751588675614</v>
      </c>
      <c r="Y336" s="39"/>
      <c r="Z336" s="202">
        <f t="shared" ref="Z336:AA336" si="393">Z335+1</f>
        <v>45608</v>
      </c>
      <c r="AA336" s="203">
        <f t="shared" si="393"/>
        <v>45608</v>
      </c>
      <c r="AB336" s="204">
        <v>45608</v>
      </c>
      <c r="AC336" s="39"/>
      <c r="AD336" s="39"/>
      <c r="AE336" s="39"/>
      <c r="AF336" s="39"/>
      <c r="AG336" s="114"/>
      <c r="AH336" s="39"/>
      <c r="AI336" s="39"/>
      <c r="AJ336" s="39"/>
      <c r="AK336" s="39"/>
      <c r="AL336" s="39"/>
      <c r="AM336" s="39"/>
      <c r="AN336" s="39"/>
    </row>
    <row r="337" spans="1:40" ht="16.5" customHeight="1">
      <c r="A337" s="39"/>
      <c r="B337" s="50"/>
      <c r="C337" s="95">
        <f t="shared" si="323"/>
        <v>318</v>
      </c>
      <c r="D337" s="96">
        <v>1</v>
      </c>
      <c r="E337" s="194" t="str">
        <f t="shared" si="314"/>
        <v>11</v>
      </c>
      <c r="F337" s="195">
        <f t="shared" si="324"/>
        <v>45609</v>
      </c>
      <c r="G337" s="196" t="str">
        <f t="shared" si="315"/>
        <v>Wed</v>
      </c>
      <c r="H337" s="197"/>
      <c r="I337" s="208"/>
      <c r="J337" s="209">
        <v>89550</v>
      </c>
      <c r="K337" s="136"/>
      <c r="L337" s="104">
        <f t="shared" si="379"/>
        <v>106074.46391752576</v>
      </c>
      <c r="M337" s="105">
        <f t="shared" si="316"/>
        <v>-16524.463917525762</v>
      </c>
      <c r="N337" s="106">
        <f t="shared" si="317"/>
        <v>0.84421826604399586</v>
      </c>
      <c r="O337" s="200"/>
      <c r="P337" s="170">
        <f t="shared" si="381"/>
        <v>1166819.1030927831</v>
      </c>
      <c r="Q337" s="104">
        <f t="shared" si="382"/>
        <v>1063750</v>
      </c>
      <c r="R337" s="108">
        <f t="shared" si="318"/>
        <v>-103069.10309278313</v>
      </c>
      <c r="S337" s="106">
        <f t="shared" si="319"/>
        <v>0.91166659611623857</v>
      </c>
      <c r="T337" s="133"/>
      <c r="U337" s="104">
        <f t="shared" si="325"/>
        <v>24957806.010309312</v>
      </c>
      <c r="V337" s="104">
        <f t="shared" si="326"/>
        <v>25885030</v>
      </c>
      <c r="W337" s="108">
        <f t="shared" si="320"/>
        <v>927223.98969068751</v>
      </c>
      <c r="X337" s="106">
        <f t="shared" si="321"/>
        <v>1.0371516626624824</v>
      </c>
      <c r="Y337" s="39"/>
      <c r="Z337" s="202">
        <f t="shared" ref="Z337:AA337" si="394">Z336+1</f>
        <v>45609</v>
      </c>
      <c r="AA337" s="203">
        <f t="shared" si="394"/>
        <v>45609</v>
      </c>
      <c r="AB337" s="204">
        <v>45609</v>
      </c>
      <c r="AC337" s="39"/>
      <c r="AD337" s="39"/>
      <c r="AE337" s="39"/>
      <c r="AF337" s="39"/>
      <c r="AG337" s="114"/>
      <c r="AH337" s="39"/>
      <c r="AI337" s="39"/>
      <c r="AJ337" s="39"/>
      <c r="AK337" s="39"/>
      <c r="AL337" s="39"/>
      <c r="AM337" s="39"/>
      <c r="AN337" s="39"/>
    </row>
    <row r="338" spans="1:40" ht="16.5" customHeight="1">
      <c r="A338" s="39"/>
      <c r="B338" s="50"/>
      <c r="C338" s="95">
        <f t="shared" si="323"/>
        <v>319</v>
      </c>
      <c r="D338" s="96">
        <v>1</v>
      </c>
      <c r="E338" s="194" t="str">
        <f t="shared" si="314"/>
        <v>11</v>
      </c>
      <c r="F338" s="195">
        <f t="shared" si="324"/>
        <v>45610</v>
      </c>
      <c r="G338" s="196" t="str">
        <f t="shared" si="315"/>
        <v>Thu</v>
      </c>
      <c r="H338" s="197"/>
      <c r="I338" s="208"/>
      <c r="J338" s="209">
        <v>111150</v>
      </c>
      <c r="K338" s="136"/>
      <c r="L338" s="104">
        <f t="shared" si="379"/>
        <v>106074.46391752576</v>
      </c>
      <c r="M338" s="105">
        <f t="shared" si="316"/>
        <v>5075.5360824742384</v>
      </c>
      <c r="N338" s="106">
        <f t="shared" si="317"/>
        <v>1.047848802577221</v>
      </c>
      <c r="O338" s="200"/>
      <c r="P338" s="170">
        <f t="shared" si="381"/>
        <v>1272893.5670103088</v>
      </c>
      <c r="Q338" s="104">
        <f t="shared" si="382"/>
        <v>1174900</v>
      </c>
      <c r="R338" s="108">
        <f t="shared" si="318"/>
        <v>-97993.567010308849</v>
      </c>
      <c r="S338" s="106">
        <f t="shared" si="319"/>
        <v>0.92301511332132047</v>
      </c>
      <c r="T338" s="133"/>
      <c r="U338" s="104">
        <f t="shared" si="325"/>
        <v>25063880.47422684</v>
      </c>
      <c r="V338" s="104">
        <f t="shared" si="326"/>
        <v>25996180</v>
      </c>
      <c r="W338" s="108">
        <f t="shared" si="320"/>
        <v>932299.52577316016</v>
      </c>
      <c r="X338" s="106">
        <f t="shared" si="321"/>
        <v>1.0371969347177443</v>
      </c>
      <c r="Y338" s="39"/>
      <c r="Z338" s="202">
        <f t="shared" ref="Z338:AA338" si="395">Z337+1</f>
        <v>45610</v>
      </c>
      <c r="AA338" s="203">
        <f t="shared" si="395"/>
        <v>45610</v>
      </c>
      <c r="AB338" s="204">
        <v>45610</v>
      </c>
      <c r="AC338" s="39"/>
      <c r="AD338" s="39"/>
      <c r="AE338" s="39"/>
      <c r="AF338" s="39"/>
      <c r="AG338" s="114"/>
      <c r="AH338" s="39"/>
      <c r="AI338" s="39"/>
      <c r="AJ338" s="39"/>
      <c r="AK338" s="39"/>
      <c r="AL338" s="39"/>
      <c r="AM338" s="39"/>
      <c r="AN338" s="39"/>
    </row>
    <row r="339" spans="1:40" ht="16.5" customHeight="1">
      <c r="A339" s="39"/>
      <c r="B339" s="50"/>
      <c r="C339" s="95">
        <f t="shared" si="323"/>
        <v>320</v>
      </c>
      <c r="D339" s="96">
        <v>1</v>
      </c>
      <c r="E339" s="194" t="str">
        <f t="shared" si="314"/>
        <v>11</v>
      </c>
      <c r="F339" s="195">
        <f t="shared" si="324"/>
        <v>45611</v>
      </c>
      <c r="G339" s="196" t="str">
        <f t="shared" si="315"/>
        <v>Fri</v>
      </c>
      <c r="H339" s="197"/>
      <c r="I339" s="208"/>
      <c r="J339" s="209">
        <v>112050</v>
      </c>
      <c r="K339" s="136"/>
      <c r="L339" s="104">
        <f t="shared" si="379"/>
        <v>106074.46391752576</v>
      </c>
      <c r="M339" s="105">
        <f t="shared" si="316"/>
        <v>5975.5360824742384</v>
      </c>
      <c r="N339" s="106">
        <f t="shared" si="317"/>
        <v>1.0563334082661053</v>
      </c>
      <c r="O339" s="200"/>
      <c r="P339" s="170">
        <f t="shared" si="381"/>
        <v>1378968.0309278346</v>
      </c>
      <c r="Q339" s="104">
        <f t="shared" si="382"/>
        <v>1286950</v>
      </c>
      <c r="R339" s="108">
        <f t="shared" si="318"/>
        <v>-92018.030927834567</v>
      </c>
      <c r="S339" s="106">
        <f t="shared" si="319"/>
        <v>0.93327036677861164</v>
      </c>
      <c r="T339" s="133"/>
      <c r="U339" s="104">
        <f t="shared" si="325"/>
        <v>25169954.938144367</v>
      </c>
      <c r="V339" s="104">
        <f t="shared" si="326"/>
        <v>26108230</v>
      </c>
      <c r="W339" s="108">
        <f t="shared" si="320"/>
        <v>938275.06185563281</v>
      </c>
      <c r="X339" s="106">
        <f t="shared" si="321"/>
        <v>1.0372775821077733</v>
      </c>
      <c r="Y339" s="39"/>
      <c r="Z339" s="202">
        <f t="shared" ref="Z339:AA339" si="396">Z338+1</f>
        <v>45611</v>
      </c>
      <c r="AA339" s="203">
        <f t="shared" si="396"/>
        <v>45611</v>
      </c>
      <c r="AB339" s="204">
        <v>45611</v>
      </c>
      <c r="AC339" s="39"/>
      <c r="AD339" s="39"/>
      <c r="AE339" s="39"/>
      <c r="AF339" s="39"/>
      <c r="AG339" s="114"/>
      <c r="AH339" s="39"/>
      <c r="AI339" s="39"/>
      <c r="AJ339" s="39"/>
      <c r="AK339" s="39"/>
      <c r="AL339" s="39"/>
      <c r="AM339" s="39"/>
      <c r="AN339" s="39"/>
    </row>
    <row r="340" spans="1:40" ht="16.5" customHeight="1">
      <c r="A340" s="39"/>
      <c r="B340" s="50"/>
      <c r="C340" s="95">
        <f t="shared" si="323"/>
        <v>321</v>
      </c>
      <c r="D340" s="96">
        <v>1</v>
      </c>
      <c r="E340" s="194" t="str">
        <f t="shared" si="314"/>
        <v>11</v>
      </c>
      <c r="F340" s="195">
        <f t="shared" si="324"/>
        <v>45612</v>
      </c>
      <c r="G340" s="196" t="str">
        <f t="shared" si="315"/>
        <v>Sat</v>
      </c>
      <c r="H340" s="197"/>
      <c r="I340" s="208"/>
      <c r="J340" s="209">
        <v>111300</v>
      </c>
      <c r="K340" s="136"/>
      <c r="L340" s="104">
        <f t="shared" si="379"/>
        <v>106074.46391752576</v>
      </c>
      <c r="M340" s="105">
        <f t="shared" si="316"/>
        <v>5225.5360824742384</v>
      </c>
      <c r="N340" s="106">
        <f t="shared" si="317"/>
        <v>1.0492629035253684</v>
      </c>
      <c r="O340" s="200"/>
      <c r="P340" s="170">
        <f t="shared" si="381"/>
        <v>1485042.4948453603</v>
      </c>
      <c r="Q340" s="104">
        <f t="shared" si="382"/>
        <v>1398250</v>
      </c>
      <c r="R340" s="108">
        <f t="shared" si="318"/>
        <v>-86792.494845360285</v>
      </c>
      <c r="S340" s="106">
        <f t="shared" si="319"/>
        <v>0.94155554797480856</v>
      </c>
      <c r="T340" s="134"/>
      <c r="U340" s="104">
        <f t="shared" si="325"/>
        <v>25276029.402061895</v>
      </c>
      <c r="V340" s="104">
        <f t="shared" si="326"/>
        <v>26219530</v>
      </c>
      <c r="W340" s="108">
        <f t="shared" si="320"/>
        <v>943500.59793810546</v>
      </c>
      <c r="X340" s="106">
        <f t="shared" si="321"/>
        <v>1.0373278802192381</v>
      </c>
      <c r="Y340" s="39"/>
      <c r="Z340" s="202">
        <f t="shared" ref="Z340:AA340" si="397">Z339+1</f>
        <v>45612</v>
      </c>
      <c r="AA340" s="203">
        <f t="shared" si="397"/>
        <v>45612</v>
      </c>
      <c r="AB340" s="204">
        <v>45612</v>
      </c>
      <c r="AC340" s="39"/>
      <c r="AD340" s="39"/>
      <c r="AE340" s="39"/>
      <c r="AF340" s="39"/>
      <c r="AG340" s="114"/>
      <c r="AH340" s="39"/>
      <c r="AI340" s="39"/>
      <c r="AJ340" s="39"/>
      <c r="AK340" s="39"/>
      <c r="AL340" s="39"/>
      <c r="AM340" s="39"/>
      <c r="AN340" s="39"/>
    </row>
    <row r="341" spans="1:40" ht="16.5" customHeight="1">
      <c r="A341" s="39"/>
      <c r="B341" s="50"/>
      <c r="C341" s="95">
        <f t="shared" si="323"/>
        <v>322</v>
      </c>
      <c r="D341" s="96">
        <v>1</v>
      </c>
      <c r="E341" s="194" t="str">
        <f t="shared" si="314"/>
        <v>11</v>
      </c>
      <c r="F341" s="195">
        <f t="shared" si="324"/>
        <v>45613</v>
      </c>
      <c r="G341" s="196" t="str">
        <f t="shared" si="315"/>
        <v>Sun</v>
      </c>
      <c r="H341" s="197" t="s">
        <v>157</v>
      </c>
      <c r="I341" s="208"/>
      <c r="J341" s="209">
        <v>141600</v>
      </c>
      <c r="K341" s="136"/>
      <c r="L341" s="104">
        <f t="shared" si="379"/>
        <v>106074.46391752576</v>
      </c>
      <c r="M341" s="105">
        <f t="shared" si="316"/>
        <v>35525.536082474238</v>
      </c>
      <c r="N341" s="106">
        <f t="shared" si="317"/>
        <v>1.3349112950511426</v>
      </c>
      <c r="O341" s="200"/>
      <c r="P341" s="170">
        <f t="shared" si="381"/>
        <v>1591116.958762886</v>
      </c>
      <c r="Q341" s="104">
        <f t="shared" si="382"/>
        <v>1539850</v>
      </c>
      <c r="R341" s="108">
        <f t="shared" si="318"/>
        <v>-51266.958762886003</v>
      </c>
      <c r="S341" s="106">
        <f t="shared" si="319"/>
        <v>0.96777926444656415</v>
      </c>
      <c r="T341" s="133"/>
      <c r="U341" s="104">
        <f t="shared" si="325"/>
        <v>25382103.865979422</v>
      </c>
      <c r="V341" s="104">
        <f t="shared" si="326"/>
        <v>26361130</v>
      </c>
      <c r="W341" s="108">
        <f t="shared" si="320"/>
        <v>979026.13402057812</v>
      </c>
      <c r="X341" s="106">
        <f t="shared" si="321"/>
        <v>1.038571512400625</v>
      </c>
      <c r="Y341" s="39"/>
      <c r="Z341" s="202">
        <f t="shared" ref="Z341:AA341" si="398">Z340+1</f>
        <v>45613</v>
      </c>
      <c r="AA341" s="203">
        <f t="shared" si="398"/>
        <v>45613</v>
      </c>
      <c r="AB341" s="204">
        <v>45613</v>
      </c>
      <c r="AC341" s="39"/>
      <c r="AD341" s="39"/>
      <c r="AE341" s="39"/>
      <c r="AF341" s="39"/>
      <c r="AG341" s="114"/>
      <c r="AH341" s="39"/>
      <c r="AI341" s="39"/>
      <c r="AJ341" s="39"/>
      <c r="AK341" s="39"/>
      <c r="AL341" s="39"/>
      <c r="AM341" s="39"/>
      <c r="AN341" s="39"/>
    </row>
    <row r="342" spans="1:40" ht="16.5" customHeight="1">
      <c r="A342" s="39"/>
      <c r="B342" s="50"/>
      <c r="C342" s="95">
        <f t="shared" si="323"/>
        <v>323</v>
      </c>
      <c r="D342" s="96">
        <v>0</v>
      </c>
      <c r="E342" s="194" t="str">
        <f t="shared" si="314"/>
        <v>11</v>
      </c>
      <c r="F342" s="195">
        <f t="shared" si="324"/>
        <v>45614</v>
      </c>
      <c r="G342" s="196" t="str">
        <f t="shared" si="315"/>
        <v>Mon</v>
      </c>
      <c r="H342" s="197"/>
      <c r="I342" s="208"/>
      <c r="J342" s="209"/>
      <c r="K342" s="136"/>
      <c r="L342" s="104">
        <f t="shared" si="379"/>
        <v>0</v>
      </c>
      <c r="M342" s="105">
        <f t="shared" si="316"/>
        <v>0</v>
      </c>
      <c r="N342" s="106" t="str">
        <f t="shared" si="317"/>
        <v>0%</v>
      </c>
      <c r="O342" s="200"/>
      <c r="P342" s="170">
        <f t="shared" si="381"/>
        <v>0</v>
      </c>
      <c r="Q342" s="104">
        <f t="shared" si="382"/>
        <v>0</v>
      </c>
      <c r="R342" s="108">
        <f t="shared" si="318"/>
        <v>0</v>
      </c>
      <c r="S342" s="106" t="str">
        <f t="shared" si="319"/>
        <v>0%</v>
      </c>
      <c r="T342" s="133"/>
      <c r="U342" s="104">
        <f t="shared" si="325"/>
        <v>0</v>
      </c>
      <c r="V342" s="104">
        <f t="shared" si="326"/>
        <v>0</v>
      </c>
      <c r="W342" s="108">
        <f t="shared" si="320"/>
        <v>0</v>
      </c>
      <c r="X342" s="106" t="str">
        <f t="shared" si="321"/>
        <v>0%</v>
      </c>
      <c r="Y342" s="39"/>
      <c r="Z342" s="202">
        <f t="shared" ref="Z342:AA342" si="399">Z341+1</f>
        <v>45614</v>
      </c>
      <c r="AA342" s="203">
        <f t="shared" si="399"/>
        <v>45614</v>
      </c>
      <c r="AB342" s="204">
        <v>45614</v>
      </c>
      <c r="AC342" s="39"/>
      <c r="AD342" s="39"/>
      <c r="AE342" s="39"/>
      <c r="AF342" s="39"/>
      <c r="AG342" s="114"/>
      <c r="AH342" s="39"/>
      <c r="AI342" s="39"/>
      <c r="AJ342" s="39"/>
      <c r="AK342" s="39"/>
      <c r="AL342" s="39"/>
      <c r="AM342" s="39"/>
      <c r="AN342" s="39"/>
    </row>
    <row r="343" spans="1:40" ht="16.5" customHeight="1">
      <c r="A343" s="39"/>
      <c r="B343" s="50"/>
      <c r="C343" s="95">
        <f t="shared" si="323"/>
        <v>324</v>
      </c>
      <c r="D343" s="96">
        <v>0</v>
      </c>
      <c r="E343" s="194" t="str">
        <f t="shared" si="314"/>
        <v>11</v>
      </c>
      <c r="F343" s="195">
        <f t="shared" si="324"/>
        <v>45615</v>
      </c>
      <c r="G343" s="196" t="str">
        <f t="shared" si="315"/>
        <v>Tue</v>
      </c>
      <c r="H343" s="197"/>
      <c r="I343" s="208"/>
      <c r="J343" s="209"/>
      <c r="K343" s="136"/>
      <c r="L343" s="104">
        <f t="shared" si="379"/>
        <v>0</v>
      </c>
      <c r="M343" s="105">
        <f t="shared" si="316"/>
        <v>0</v>
      </c>
      <c r="N343" s="106" t="str">
        <f t="shared" si="317"/>
        <v>0%</v>
      </c>
      <c r="O343" s="200"/>
      <c r="P343" s="170">
        <f t="shared" si="381"/>
        <v>0</v>
      </c>
      <c r="Q343" s="104">
        <f t="shared" si="382"/>
        <v>0</v>
      </c>
      <c r="R343" s="108">
        <f t="shared" si="318"/>
        <v>0</v>
      </c>
      <c r="S343" s="106" t="str">
        <f t="shared" si="319"/>
        <v>0%</v>
      </c>
      <c r="T343" s="133"/>
      <c r="U343" s="104">
        <f t="shared" si="325"/>
        <v>0</v>
      </c>
      <c r="V343" s="104">
        <f t="shared" si="326"/>
        <v>0</v>
      </c>
      <c r="W343" s="108">
        <f t="shared" si="320"/>
        <v>0</v>
      </c>
      <c r="X343" s="106" t="str">
        <f t="shared" si="321"/>
        <v>0%</v>
      </c>
      <c r="Y343" s="39"/>
      <c r="Z343" s="202">
        <f t="shared" ref="Z343:AA343" si="400">Z342+1</f>
        <v>45615</v>
      </c>
      <c r="AA343" s="203">
        <f t="shared" si="400"/>
        <v>45615</v>
      </c>
      <c r="AB343" s="204">
        <v>45615</v>
      </c>
      <c r="AC343" s="39"/>
      <c r="AD343" s="39"/>
      <c r="AE343" s="39"/>
      <c r="AF343" s="39"/>
      <c r="AG343" s="114"/>
      <c r="AH343" s="39"/>
      <c r="AI343" s="39"/>
      <c r="AJ343" s="39"/>
      <c r="AK343" s="39"/>
      <c r="AL343" s="39"/>
      <c r="AM343" s="39"/>
      <c r="AN343" s="39"/>
    </row>
    <row r="344" spans="1:40" ht="16.5" customHeight="1">
      <c r="A344" s="39"/>
      <c r="B344" s="50"/>
      <c r="C344" s="95">
        <f t="shared" si="323"/>
        <v>325</v>
      </c>
      <c r="D344" s="96">
        <v>1</v>
      </c>
      <c r="E344" s="194" t="str">
        <f t="shared" si="314"/>
        <v>11</v>
      </c>
      <c r="F344" s="195">
        <f t="shared" si="324"/>
        <v>45616</v>
      </c>
      <c r="G344" s="196" t="str">
        <f t="shared" si="315"/>
        <v>Wed</v>
      </c>
      <c r="H344" s="197"/>
      <c r="I344" s="208"/>
      <c r="J344" s="209">
        <v>17350</v>
      </c>
      <c r="K344" s="136"/>
      <c r="L344" s="104">
        <f t="shared" si="379"/>
        <v>106074.46391752576</v>
      </c>
      <c r="M344" s="105">
        <f t="shared" si="316"/>
        <v>-88724.463917525762</v>
      </c>
      <c r="N344" s="106">
        <f t="shared" si="317"/>
        <v>0.16356434300238221</v>
      </c>
      <c r="O344" s="200"/>
      <c r="P344" s="170">
        <f t="shared" si="381"/>
        <v>1697191.4226804117</v>
      </c>
      <c r="Q344" s="104">
        <f t="shared" si="382"/>
        <v>1557200</v>
      </c>
      <c r="R344" s="108">
        <f t="shared" si="318"/>
        <v>-139991.42268041172</v>
      </c>
      <c r="S344" s="106">
        <f t="shared" si="319"/>
        <v>0.91751583185630281</v>
      </c>
      <c r="T344" s="133"/>
      <c r="U344" s="104">
        <f t="shared" si="325"/>
        <v>25488178.329896949</v>
      </c>
      <c r="V344" s="104">
        <f t="shared" si="326"/>
        <v>26378480</v>
      </c>
      <c r="W344" s="108">
        <f t="shared" si="320"/>
        <v>890301.67010305077</v>
      </c>
      <c r="X344" s="106">
        <f t="shared" si="321"/>
        <v>1.0349299843472435</v>
      </c>
      <c r="Y344" s="39"/>
      <c r="Z344" s="202">
        <f t="shared" ref="Z344:AA344" si="401">Z343+1</f>
        <v>45616</v>
      </c>
      <c r="AA344" s="203">
        <f t="shared" si="401"/>
        <v>45616</v>
      </c>
      <c r="AB344" s="204">
        <v>45616</v>
      </c>
      <c r="AC344" s="39"/>
      <c r="AD344" s="39"/>
      <c r="AE344" s="39"/>
      <c r="AF344" s="39"/>
      <c r="AG344" s="114"/>
      <c r="AH344" s="39"/>
      <c r="AI344" s="39"/>
      <c r="AJ344" s="39"/>
      <c r="AK344" s="39"/>
      <c r="AL344" s="39"/>
      <c r="AM344" s="39"/>
      <c r="AN344" s="39"/>
    </row>
    <row r="345" spans="1:40" ht="16.5" customHeight="1">
      <c r="A345" s="39"/>
      <c r="B345" s="50"/>
      <c r="C345" s="95">
        <f t="shared" si="323"/>
        <v>326</v>
      </c>
      <c r="D345" s="96">
        <v>1</v>
      </c>
      <c r="E345" s="194" t="str">
        <f t="shared" si="314"/>
        <v>11</v>
      </c>
      <c r="F345" s="195">
        <f t="shared" si="324"/>
        <v>45617</v>
      </c>
      <c r="G345" s="196" t="str">
        <f t="shared" si="315"/>
        <v>Thu</v>
      </c>
      <c r="H345" s="197"/>
      <c r="I345" s="208"/>
      <c r="J345" s="209">
        <v>45150</v>
      </c>
      <c r="K345" s="136"/>
      <c r="L345" s="104">
        <f t="shared" si="379"/>
        <v>106074.46391752576</v>
      </c>
      <c r="M345" s="105">
        <f t="shared" si="316"/>
        <v>-60924.463917525762</v>
      </c>
      <c r="N345" s="106">
        <f t="shared" si="317"/>
        <v>0.42564438539236643</v>
      </c>
      <c r="O345" s="200"/>
      <c r="P345" s="170">
        <f t="shared" si="381"/>
        <v>1803265.8865979374</v>
      </c>
      <c r="Q345" s="104">
        <f t="shared" si="382"/>
        <v>1602350</v>
      </c>
      <c r="R345" s="108">
        <f t="shared" si="318"/>
        <v>-200915.88659793744</v>
      </c>
      <c r="S345" s="106">
        <f t="shared" si="319"/>
        <v>0.88858221735842424</v>
      </c>
      <c r="T345" s="133"/>
      <c r="U345" s="104">
        <f t="shared" si="325"/>
        <v>25594252.793814477</v>
      </c>
      <c r="V345" s="104">
        <f t="shared" si="326"/>
        <v>26423630</v>
      </c>
      <c r="W345" s="108">
        <f t="shared" si="320"/>
        <v>829377.20618552342</v>
      </c>
      <c r="X345" s="106">
        <f t="shared" si="321"/>
        <v>1.0324048220069924</v>
      </c>
      <c r="Y345" s="39"/>
      <c r="Z345" s="202">
        <f t="shared" ref="Z345:AA345" si="402">Z344+1</f>
        <v>45617</v>
      </c>
      <c r="AA345" s="203">
        <f t="shared" si="402"/>
        <v>45617</v>
      </c>
      <c r="AB345" s="204">
        <v>45617</v>
      </c>
      <c r="AC345" s="39"/>
      <c r="AD345" s="39"/>
      <c r="AE345" s="39"/>
      <c r="AF345" s="39"/>
      <c r="AG345" s="114"/>
      <c r="AH345" s="39"/>
      <c r="AI345" s="39"/>
      <c r="AJ345" s="39"/>
      <c r="AK345" s="39"/>
      <c r="AL345" s="39"/>
      <c r="AM345" s="39"/>
      <c r="AN345" s="39"/>
    </row>
    <row r="346" spans="1:40" ht="16.5" customHeight="1">
      <c r="A346" s="39"/>
      <c r="B346" s="50"/>
      <c r="C346" s="95">
        <f t="shared" si="323"/>
        <v>327</v>
      </c>
      <c r="D346" s="96">
        <v>1</v>
      </c>
      <c r="E346" s="194" t="str">
        <f t="shared" si="314"/>
        <v>11</v>
      </c>
      <c r="F346" s="195">
        <f t="shared" si="324"/>
        <v>45618</v>
      </c>
      <c r="G346" s="196" t="str">
        <f t="shared" si="315"/>
        <v>Fri</v>
      </c>
      <c r="H346" s="197"/>
      <c r="I346" s="208"/>
      <c r="J346" s="209">
        <v>138800</v>
      </c>
      <c r="K346" s="136"/>
      <c r="L346" s="104">
        <f t="shared" si="379"/>
        <v>106074.46391752576</v>
      </c>
      <c r="M346" s="105">
        <f t="shared" si="316"/>
        <v>32725.536082474238</v>
      </c>
      <c r="N346" s="106">
        <f t="shared" si="317"/>
        <v>1.3085147440190577</v>
      </c>
      <c r="O346" s="200"/>
      <c r="P346" s="170">
        <f t="shared" si="381"/>
        <v>1909340.3505154632</v>
      </c>
      <c r="Q346" s="104">
        <f t="shared" si="382"/>
        <v>1741150</v>
      </c>
      <c r="R346" s="108">
        <f t="shared" si="318"/>
        <v>-168190.35051546316</v>
      </c>
      <c r="S346" s="106">
        <f t="shared" si="319"/>
        <v>0.91191180217290391</v>
      </c>
      <c r="T346" s="133"/>
      <c r="U346" s="104">
        <f t="shared" si="325"/>
        <v>25700327.257732004</v>
      </c>
      <c r="V346" s="104">
        <f t="shared" si="326"/>
        <v>26562430</v>
      </c>
      <c r="W346" s="108">
        <f t="shared" si="320"/>
        <v>862102.74226799607</v>
      </c>
      <c r="X346" s="106">
        <f t="shared" si="321"/>
        <v>1.0335444266379383</v>
      </c>
      <c r="Y346" s="39"/>
      <c r="Z346" s="202">
        <f t="shared" ref="Z346:AA346" si="403">Z345+1</f>
        <v>45618</v>
      </c>
      <c r="AA346" s="203">
        <f t="shared" si="403"/>
        <v>45618</v>
      </c>
      <c r="AB346" s="204">
        <v>45618</v>
      </c>
      <c r="AC346" s="39"/>
      <c r="AD346" s="39"/>
      <c r="AE346" s="39"/>
      <c r="AF346" s="39"/>
      <c r="AG346" s="114"/>
      <c r="AH346" s="39"/>
      <c r="AI346" s="39"/>
      <c r="AJ346" s="39"/>
      <c r="AK346" s="39"/>
      <c r="AL346" s="39"/>
      <c r="AM346" s="39"/>
      <c r="AN346" s="39"/>
    </row>
    <row r="347" spans="1:40" ht="16.5" customHeight="1">
      <c r="A347" s="39"/>
      <c r="B347" s="50"/>
      <c r="C347" s="95">
        <f t="shared" si="323"/>
        <v>328</v>
      </c>
      <c r="D347" s="96">
        <v>1</v>
      </c>
      <c r="E347" s="194" t="str">
        <f t="shared" si="314"/>
        <v>11</v>
      </c>
      <c r="F347" s="195">
        <f t="shared" si="324"/>
        <v>45619</v>
      </c>
      <c r="G347" s="196" t="str">
        <f t="shared" si="315"/>
        <v>Sat</v>
      </c>
      <c r="H347" s="197" t="s">
        <v>153</v>
      </c>
      <c r="I347" s="208"/>
      <c r="J347" s="209">
        <v>104900</v>
      </c>
      <c r="K347" s="136"/>
      <c r="L347" s="104">
        <f t="shared" si="379"/>
        <v>106074.46391752576</v>
      </c>
      <c r="M347" s="105">
        <f t="shared" si="316"/>
        <v>-1174.4639175257616</v>
      </c>
      <c r="N347" s="106">
        <f t="shared" si="317"/>
        <v>0.98892792973774613</v>
      </c>
      <c r="O347" s="200"/>
      <c r="P347" s="170">
        <f t="shared" si="381"/>
        <v>2015414.8144329889</v>
      </c>
      <c r="Q347" s="104">
        <f t="shared" si="382"/>
        <v>1846050</v>
      </c>
      <c r="R347" s="108">
        <f t="shared" si="318"/>
        <v>-169364.81443298887</v>
      </c>
      <c r="S347" s="106">
        <f t="shared" si="319"/>
        <v>0.91596528257105347</v>
      </c>
      <c r="T347" s="134"/>
      <c r="U347" s="104">
        <f t="shared" si="325"/>
        <v>25806401.721649531</v>
      </c>
      <c r="V347" s="104">
        <f t="shared" si="326"/>
        <v>26667330</v>
      </c>
      <c r="W347" s="108">
        <f t="shared" si="320"/>
        <v>860928.27835046872</v>
      </c>
      <c r="X347" s="106">
        <f t="shared" si="321"/>
        <v>1.0333610352825058</v>
      </c>
      <c r="Y347" s="39"/>
      <c r="Z347" s="202">
        <f t="shared" ref="Z347:AA347" si="404">Z346+1</f>
        <v>45619</v>
      </c>
      <c r="AA347" s="203">
        <f t="shared" si="404"/>
        <v>45619</v>
      </c>
      <c r="AB347" s="204">
        <v>45619</v>
      </c>
      <c r="AC347" s="39"/>
      <c r="AD347" s="39"/>
      <c r="AE347" s="39"/>
      <c r="AF347" s="39"/>
      <c r="AG347" s="114"/>
      <c r="AH347" s="39"/>
      <c r="AI347" s="39"/>
      <c r="AJ347" s="39"/>
      <c r="AK347" s="39"/>
      <c r="AL347" s="39"/>
      <c r="AM347" s="39"/>
      <c r="AN347" s="39"/>
    </row>
    <row r="348" spans="1:40" ht="16.5" customHeight="1">
      <c r="A348" s="39"/>
      <c r="B348" s="50"/>
      <c r="C348" s="95">
        <f t="shared" si="323"/>
        <v>329</v>
      </c>
      <c r="D348" s="96">
        <v>1</v>
      </c>
      <c r="E348" s="194" t="str">
        <f t="shared" si="314"/>
        <v>11</v>
      </c>
      <c r="F348" s="195">
        <f t="shared" si="324"/>
        <v>45620</v>
      </c>
      <c r="G348" s="196" t="str">
        <f t="shared" si="315"/>
        <v>Sun</v>
      </c>
      <c r="H348" s="197" t="s">
        <v>157</v>
      </c>
      <c r="I348" s="208"/>
      <c r="J348" s="209">
        <v>91400</v>
      </c>
      <c r="K348" s="136"/>
      <c r="L348" s="104">
        <f t="shared" si="379"/>
        <v>106074.46391752576</v>
      </c>
      <c r="M348" s="105">
        <f t="shared" si="316"/>
        <v>-14674.463917525762</v>
      </c>
      <c r="N348" s="106">
        <f t="shared" si="317"/>
        <v>0.86165884440448037</v>
      </c>
      <c r="O348" s="200"/>
      <c r="P348" s="170">
        <f t="shared" si="381"/>
        <v>2121489.2783505148</v>
      </c>
      <c r="Q348" s="104">
        <f t="shared" si="382"/>
        <v>1937450</v>
      </c>
      <c r="R348" s="108">
        <f t="shared" si="318"/>
        <v>-184039.27835051483</v>
      </c>
      <c r="S348" s="106">
        <f t="shared" si="319"/>
        <v>0.91324996066272479</v>
      </c>
      <c r="T348" s="134"/>
      <c r="U348" s="104">
        <f t="shared" si="325"/>
        <v>25912476.185567059</v>
      </c>
      <c r="V348" s="104">
        <f t="shared" si="326"/>
        <v>26758730</v>
      </c>
      <c r="W348" s="108">
        <f t="shared" si="320"/>
        <v>846253.81443294138</v>
      </c>
      <c r="X348" s="106">
        <f t="shared" si="321"/>
        <v>1.0326581608169232</v>
      </c>
      <c r="Y348" s="39"/>
      <c r="Z348" s="202">
        <f t="shared" ref="Z348:AA348" si="405">Z347+1</f>
        <v>45620</v>
      </c>
      <c r="AA348" s="203">
        <f t="shared" si="405"/>
        <v>45620</v>
      </c>
      <c r="AB348" s="204">
        <v>45620</v>
      </c>
      <c r="AC348" s="39"/>
      <c r="AD348" s="39"/>
      <c r="AE348" s="39"/>
      <c r="AF348" s="39"/>
      <c r="AG348" s="114"/>
      <c r="AH348" s="39"/>
      <c r="AI348" s="39"/>
      <c r="AJ348" s="39"/>
      <c r="AK348" s="39"/>
      <c r="AL348" s="39"/>
      <c r="AM348" s="39"/>
      <c r="AN348" s="39"/>
    </row>
    <row r="349" spans="1:40" ht="16.5" customHeight="1">
      <c r="A349" s="39"/>
      <c r="B349" s="50"/>
      <c r="C349" s="95">
        <f t="shared" si="323"/>
        <v>330</v>
      </c>
      <c r="D349" s="96">
        <v>0</v>
      </c>
      <c r="E349" s="194" t="str">
        <f t="shared" si="314"/>
        <v>11</v>
      </c>
      <c r="F349" s="195">
        <f t="shared" si="324"/>
        <v>45621</v>
      </c>
      <c r="G349" s="196" t="str">
        <f t="shared" si="315"/>
        <v>Mon</v>
      </c>
      <c r="H349" s="197"/>
      <c r="I349" s="208"/>
      <c r="J349" s="209"/>
      <c r="K349" s="136"/>
      <c r="L349" s="104">
        <f t="shared" si="379"/>
        <v>0</v>
      </c>
      <c r="M349" s="105">
        <f t="shared" si="316"/>
        <v>0</v>
      </c>
      <c r="N349" s="106" t="str">
        <f t="shared" si="317"/>
        <v>0%</v>
      </c>
      <c r="O349" s="200"/>
      <c r="P349" s="170">
        <f t="shared" si="381"/>
        <v>0</v>
      </c>
      <c r="Q349" s="104">
        <f t="shared" si="382"/>
        <v>0</v>
      </c>
      <c r="R349" s="108">
        <f t="shared" si="318"/>
        <v>0</v>
      </c>
      <c r="S349" s="106" t="str">
        <f t="shared" si="319"/>
        <v>0%</v>
      </c>
      <c r="T349" s="133"/>
      <c r="U349" s="104">
        <f t="shared" si="325"/>
        <v>0</v>
      </c>
      <c r="V349" s="104">
        <f t="shared" si="326"/>
        <v>0</v>
      </c>
      <c r="W349" s="108">
        <f t="shared" si="320"/>
        <v>0</v>
      </c>
      <c r="X349" s="106" t="str">
        <f t="shared" si="321"/>
        <v>0%</v>
      </c>
      <c r="Y349" s="39"/>
      <c r="Z349" s="202">
        <f t="shared" ref="Z349:AA349" si="406">Z348+1</f>
        <v>45621</v>
      </c>
      <c r="AA349" s="203">
        <f t="shared" si="406"/>
        <v>45621</v>
      </c>
      <c r="AB349" s="204">
        <v>45621</v>
      </c>
      <c r="AC349" s="39"/>
      <c r="AD349" s="39"/>
      <c r="AE349" s="39"/>
      <c r="AF349" s="39"/>
      <c r="AG349" s="114"/>
      <c r="AH349" s="39"/>
      <c r="AI349" s="39"/>
      <c r="AJ349" s="39"/>
      <c r="AK349" s="39"/>
      <c r="AL349" s="39"/>
      <c r="AM349" s="39"/>
      <c r="AN349" s="39"/>
    </row>
    <row r="350" spans="1:40" ht="16.5" customHeight="1">
      <c r="A350" s="39"/>
      <c r="B350" s="50"/>
      <c r="C350" s="95">
        <f t="shared" si="323"/>
        <v>331</v>
      </c>
      <c r="D350" s="96">
        <v>0</v>
      </c>
      <c r="E350" s="194" t="str">
        <f t="shared" si="314"/>
        <v>11</v>
      </c>
      <c r="F350" s="195">
        <f t="shared" si="324"/>
        <v>45622</v>
      </c>
      <c r="G350" s="196" t="str">
        <f t="shared" si="315"/>
        <v>Tue</v>
      </c>
      <c r="H350" s="197"/>
      <c r="I350" s="208"/>
      <c r="J350" s="209"/>
      <c r="K350" s="136"/>
      <c r="L350" s="104">
        <f t="shared" si="379"/>
        <v>0</v>
      </c>
      <c r="M350" s="105">
        <f t="shared" si="316"/>
        <v>0</v>
      </c>
      <c r="N350" s="106" t="str">
        <f t="shared" si="317"/>
        <v>0%</v>
      </c>
      <c r="O350" s="200"/>
      <c r="P350" s="170">
        <f t="shared" si="381"/>
        <v>0</v>
      </c>
      <c r="Q350" s="104">
        <f t="shared" si="382"/>
        <v>0</v>
      </c>
      <c r="R350" s="108">
        <f t="shared" si="318"/>
        <v>0</v>
      </c>
      <c r="S350" s="106" t="str">
        <f t="shared" si="319"/>
        <v>0%</v>
      </c>
      <c r="T350" s="133"/>
      <c r="U350" s="104">
        <f t="shared" si="325"/>
        <v>0</v>
      </c>
      <c r="V350" s="104">
        <f t="shared" si="326"/>
        <v>0</v>
      </c>
      <c r="W350" s="108">
        <f t="shared" si="320"/>
        <v>0</v>
      </c>
      <c r="X350" s="106" t="str">
        <f t="shared" si="321"/>
        <v>0%</v>
      </c>
      <c r="Y350" s="39"/>
      <c r="Z350" s="202">
        <f t="shared" ref="Z350:AA350" si="407">Z349+1</f>
        <v>45622</v>
      </c>
      <c r="AA350" s="203">
        <f t="shared" si="407"/>
        <v>45622</v>
      </c>
      <c r="AB350" s="204">
        <v>45622</v>
      </c>
      <c r="AC350" s="39"/>
      <c r="AD350" s="39"/>
      <c r="AE350" s="39"/>
      <c r="AF350" s="39"/>
      <c r="AG350" s="114"/>
      <c r="AH350" s="39"/>
      <c r="AI350" s="39"/>
      <c r="AJ350" s="39"/>
      <c r="AK350" s="39"/>
      <c r="AL350" s="39"/>
      <c r="AM350" s="39"/>
      <c r="AN350" s="39"/>
    </row>
    <row r="351" spans="1:40" ht="16.5" customHeight="1">
      <c r="A351" s="39"/>
      <c r="B351" s="50"/>
      <c r="C351" s="95">
        <f t="shared" si="323"/>
        <v>332</v>
      </c>
      <c r="D351" s="96">
        <v>1</v>
      </c>
      <c r="E351" s="194" t="str">
        <f t="shared" si="314"/>
        <v>11</v>
      </c>
      <c r="F351" s="195">
        <f t="shared" si="324"/>
        <v>45623</v>
      </c>
      <c r="G351" s="196" t="str">
        <f t="shared" si="315"/>
        <v>Wed</v>
      </c>
      <c r="H351" s="197"/>
      <c r="I351" s="208"/>
      <c r="J351" s="209">
        <v>58750</v>
      </c>
      <c r="K351" s="136"/>
      <c r="L351" s="104">
        <f t="shared" si="379"/>
        <v>106074.46391752576</v>
      </c>
      <c r="M351" s="105">
        <f t="shared" si="316"/>
        <v>-47324.463917525762</v>
      </c>
      <c r="N351" s="106">
        <f t="shared" si="317"/>
        <v>0.55385620469106367</v>
      </c>
      <c r="O351" s="200"/>
      <c r="P351" s="170">
        <f t="shared" si="381"/>
        <v>2227563.7422680408</v>
      </c>
      <c r="Q351" s="104">
        <f t="shared" si="382"/>
        <v>1996200</v>
      </c>
      <c r="R351" s="108">
        <f t="shared" si="318"/>
        <v>-231363.74226804078</v>
      </c>
      <c r="S351" s="106">
        <f t="shared" si="319"/>
        <v>0.89613597228312181</v>
      </c>
      <c r="T351" s="133"/>
      <c r="U351" s="104">
        <f t="shared" si="325"/>
        <v>26018550.649484586</v>
      </c>
      <c r="V351" s="104">
        <f t="shared" si="326"/>
        <v>26817480</v>
      </c>
      <c r="W351" s="108">
        <f t="shared" si="320"/>
        <v>798929.35051541403</v>
      </c>
      <c r="X351" s="106">
        <f t="shared" si="321"/>
        <v>1.0307061435234572</v>
      </c>
      <c r="Y351" s="39"/>
      <c r="Z351" s="202">
        <f t="shared" ref="Z351:AA351" si="408">Z350+1</f>
        <v>45623</v>
      </c>
      <c r="AA351" s="203">
        <f t="shared" si="408"/>
        <v>45623</v>
      </c>
      <c r="AB351" s="204">
        <v>45623</v>
      </c>
      <c r="AC351" s="39"/>
      <c r="AD351" s="39"/>
      <c r="AE351" s="39"/>
      <c r="AF351" s="39"/>
      <c r="AG351" s="114"/>
      <c r="AH351" s="39"/>
      <c r="AI351" s="39"/>
      <c r="AJ351" s="39"/>
      <c r="AK351" s="39"/>
      <c r="AL351" s="39"/>
      <c r="AM351" s="39"/>
      <c r="AN351" s="39"/>
    </row>
    <row r="352" spans="1:40" ht="16.5" customHeight="1">
      <c r="A352" s="39"/>
      <c r="B352" s="50"/>
      <c r="C352" s="95">
        <f t="shared" si="323"/>
        <v>333</v>
      </c>
      <c r="D352" s="96">
        <v>1</v>
      </c>
      <c r="E352" s="194" t="str">
        <f t="shared" si="314"/>
        <v>11</v>
      </c>
      <c r="F352" s="195">
        <f t="shared" si="324"/>
        <v>45624</v>
      </c>
      <c r="G352" s="196" t="str">
        <f t="shared" si="315"/>
        <v>Thu</v>
      </c>
      <c r="H352" s="197"/>
      <c r="I352" s="208"/>
      <c r="J352" s="209">
        <v>65050</v>
      </c>
      <c r="K352" s="136"/>
      <c r="L352" s="104">
        <f t="shared" si="379"/>
        <v>106074.46391752576</v>
      </c>
      <c r="M352" s="105">
        <f t="shared" si="316"/>
        <v>-41024.463917525762</v>
      </c>
      <c r="N352" s="106">
        <f t="shared" si="317"/>
        <v>0.61324844451325433</v>
      </c>
      <c r="O352" s="200"/>
      <c r="P352" s="170">
        <f t="shared" si="381"/>
        <v>2333638.2061855667</v>
      </c>
      <c r="Q352" s="104">
        <f t="shared" si="382"/>
        <v>2061250</v>
      </c>
      <c r="R352" s="108">
        <f t="shared" si="318"/>
        <v>-272388.20618556673</v>
      </c>
      <c r="S352" s="106">
        <f t="shared" si="319"/>
        <v>0.88327744829358223</v>
      </c>
      <c r="T352" s="133"/>
      <c r="U352" s="104">
        <f t="shared" si="325"/>
        <v>26124625.113402113</v>
      </c>
      <c r="V352" s="104">
        <f t="shared" si="326"/>
        <v>26882530</v>
      </c>
      <c r="W352" s="108">
        <f t="shared" si="320"/>
        <v>757904.88659788668</v>
      </c>
      <c r="X352" s="106">
        <f t="shared" si="321"/>
        <v>1.0290111296643669</v>
      </c>
      <c r="Y352" s="39"/>
      <c r="Z352" s="202">
        <f t="shared" ref="Z352:AA352" si="409">Z351+1</f>
        <v>45624</v>
      </c>
      <c r="AA352" s="203">
        <f t="shared" si="409"/>
        <v>45624</v>
      </c>
      <c r="AB352" s="204">
        <v>45624</v>
      </c>
      <c r="AC352" s="39"/>
      <c r="AD352" s="39"/>
      <c r="AE352" s="39"/>
      <c r="AF352" s="39"/>
      <c r="AG352" s="114"/>
      <c r="AH352" s="39"/>
      <c r="AI352" s="39"/>
      <c r="AJ352" s="39"/>
      <c r="AK352" s="39"/>
      <c r="AL352" s="39"/>
      <c r="AM352" s="39"/>
      <c r="AN352" s="39"/>
    </row>
    <row r="353" spans="1:40" ht="16.5" customHeight="1">
      <c r="A353" s="39"/>
      <c r="B353" s="50"/>
      <c r="C353" s="95">
        <f t="shared" si="323"/>
        <v>334</v>
      </c>
      <c r="D353" s="96">
        <v>1</v>
      </c>
      <c r="E353" s="194" t="str">
        <f t="shared" si="314"/>
        <v>11</v>
      </c>
      <c r="F353" s="195">
        <f t="shared" si="324"/>
        <v>45625</v>
      </c>
      <c r="G353" s="196" t="str">
        <f t="shared" si="315"/>
        <v>Fri</v>
      </c>
      <c r="H353" s="197"/>
      <c r="I353" s="208"/>
      <c r="J353" s="209">
        <v>83250</v>
      </c>
      <c r="K353" s="136"/>
      <c r="L353" s="104">
        <f t="shared" si="379"/>
        <v>106074.46391752576</v>
      </c>
      <c r="M353" s="105">
        <f t="shared" si="316"/>
        <v>-22824.463917525762</v>
      </c>
      <c r="N353" s="106">
        <f t="shared" si="317"/>
        <v>0.7848260262218052</v>
      </c>
      <c r="O353" s="200"/>
      <c r="P353" s="170">
        <f t="shared" si="381"/>
        <v>2439712.6701030927</v>
      </c>
      <c r="Q353" s="104">
        <f t="shared" si="382"/>
        <v>2144500</v>
      </c>
      <c r="R353" s="108">
        <f t="shared" si="318"/>
        <v>-295212.67010309268</v>
      </c>
      <c r="S353" s="106">
        <f t="shared" si="319"/>
        <v>0.87899695168176584</v>
      </c>
      <c r="T353" s="133"/>
      <c r="U353" s="104">
        <f t="shared" si="325"/>
        <v>26230699.577319641</v>
      </c>
      <c r="V353" s="104">
        <f t="shared" si="326"/>
        <v>26965780</v>
      </c>
      <c r="W353" s="108">
        <f t="shared" si="320"/>
        <v>735080.42268035933</v>
      </c>
      <c r="X353" s="106">
        <f t="shared" si="321"/>
        <v>1.0280236682408557</v>
      </c>
      <c r="Y353" s="39"/>
      <c r="Z353" s="202">
        <f t="shared" ref="Z353:AA353" si="410">Z352+1</f>
        <v>45625</v>
      </c>
      <c r="AA353" s="203">
        <f t="shared" si="410"/>
        <v>45625</v>
      </c>
      <c r="AB353" s="204">
        <v>45625</v>
      </c>
      <c r="AC353" s="39"/>
      <c r="AD353" s="39"/>
      <c r="AE353" s="39"/>
      <c r="AF353" s="39"/>
      <c r="AG353" s="114"/>
      <c r="AH353" s="39"/>
      <c r="AI353" s="39"/>
      <c r="AJ353" s="39"/>
      <c r="AK353" s="39"/>
      <c r="AL353" s="39"/>
      <c r="AM353" s="39"/>
      <c r="AN353" s="39"/>
    </row>
    <row r="354" spans="1:40" ht="16.5" customHeight="1">
      <c r="A354" s="39"/>
      <c r="B354" s="50"/>
      <c r="C354" s="160">
        <f t="shared" si="323"/>
        <v>335</v>
      </c>
      <c r="D354" s="138">
        <v>1</v>
      </c>
      <c r="E354" s="210" t="str">
        <f t="shared" si="314"/>
        <v>11</v>
      </c>
      <c r="F354" s="211">
        <f t="shared" si="324"/>
        <v>45626</v>
      </c>
      <c r="G354" s="212" t="str">
        <f t="shared" si="315"/>
        <v>Sat</v>
      </c>
      <c r="H354" s="213"/>
      <c r="I354" s="214"/>
      <c r="J354" s="215">
        <v>65750</v>
      </c>
      <c r="K354" s="136"/>
      <c r="L354" s="165">
        <f t="shared" si="379"/>
        <v>106074.46391752576</v>
      </c>
      <c r="M354" s="147">
        <f t="shared" si="316"/>
        <v>-40324.463917525762</v>
      </c>
      <c r="N354" s="161">
        <f t="shared" si="317"/>
        <v>0.61984758227127557</v>
      </c>
      <c r="O354" s="216"/>
      <c r="P354" s="150">
        <f t="shared" si="381"/>
        <v>2545787.1340206186</v>
      </c>
      <c r="Q354" s="165">
        <f t="shared" si="382"/>
        <v>2210250</v>
      </c>
      <c r="R354" s="167">
        <f t="shared" si="318"/>
        <v>-335537.13402061863</v>
      </c>
      <c r="S354" s="161">
        <f t="shared" si="319"/>
        <v>0.86819906128966196</v>
      </c>
      <c r="T354" s="168"/>
      <c r="U354" s="165">
        <f t="shared" si="325"/>
        <v>26336774.041237168</v>
      </c>
      <c r="V354" s="165">
        <f t="shared" si="326"/>
        <v>27031530</v>
      </c>
      <c r="W354" s="167">
        <f t="shared" si="320"/>
        <v>694755.95876283199</v>
      </c>
      <c r="X354" s="161">
        <f t="shared" si="321"/>
        <v>1.0263796909095628</v>
      </c>
      <c r="Y354" s="39"/>
      <c r="Z354" s="202">
        <f t="shared" ref="Z354:AA354" si="411">Z353+1</f>
        <v>45626</v>
      </c>
      <c r="AA354" s="203">
        <f t="shared" si="411"/>
        <v>45626</v>
      </c>
      <c r="AB354" s="204">
        <v>45626</v>
      </c>
      <c r="AC354" s="39"/>
      <c r="AD354" s="39"/>
      <c r="AE354" s="39"/>
      <c r="AF354" s="39"/>
      <c r="AG354" s="114"/>
      <c r="AH354" s="39"/>
      <c r="AI354" s="39"/>
      <c r="AJ354" s="39"/>
      <c r="AK354" s="39"/>
      <c r="AL354" s="39"/>
      <c r="AM354" s="39"/>
      <c r="AN354" s="39"/>
    </row>
    <row r="355" spans="1:40" ht="16.5" customHeight="1">
      <c r="A355" s="39"/>
      <c r="B355" s="50"/>
      <c r="C355" s="95">
        <f t="shared" si="323"/>
        <v>336</v>
      </c>
      <c r="D355" s="155">
        <v>1</v>
      </c>
      <c r="E355" s="194" t="str">
        <f t="shared" si="314"/>
        <v>12</v>
      </c>
      <c r="F355" s="195">
        <f t="shared" si="324"/>
        <v>45627</v>
      </c>
      <c r="G355" s="196" t="str">
        <f t="shared" si="315"/>
        <v>Sun</v>
      </c>
      <c r="H355" s="197" t="s">
        <v>157</v>
      </c>
      <c r="I355" s="208"/>
      <c r="J355" s="209">
        <v>76450</v>
      </c>
      <c r="K355" s="136"/>
      <c r="L355" s="104">
        <f t="shared" ref="L355:L385" si="412">IF(D355=0,0,$K$17)</f>
        <v>131330.28865979382</v>
      </c>
      <c r="M355" s="108">
        <f t="shared" si="316"/>
        <v>-54880.28865979382</v>
      </c>
      <c r="N355" s="156">
        <f t="shared" si="317"/>
        <v>0.58212009415467636</v>
      </c>
      <c r="O355" s="200"/>
      <c r="P355" s="111">
        <f>IF(D355=0,0,$L$355)</f>
        <v>131330.28865979382</v>
      </c>
      <c r="Q355" s="104">
        <f>IF(D355=0,0,$J$355)</f>
        <v>76450</v>
      </c>
      <c r="R355" s="108">
        <f t="shared" si="318"/>
        <v>-54880.28865979382</v>
      </c>
      <c r="S355" s="156">
        <f t="shared" si="319"/>
        <v>0.58212009415467636</v>
      </c>
      <c r="T355" s="133"/>
      <c r="U355" s="104">
        <f t="shared" si="325"/>
        <v>26468104.32989696</v>
      </c>
      <c r="V355" s="104">
        <f t="shared" si="326"/>
        <v>27107980</v>
      </c>
      <c r="W355" s="108">
        <f t="shared" si="320"/>
        <v>639875.67010303959</v>
      </c>
      <c r="X355" s="156">
        <f t="shared" si="321"/>
        <v>1.0241753493989469</v>
      </c>
      <c r="Y355" s="39"/>
      <c r="Z355" s="202">
        <f t="shared" ref="Z355:AA355" si="413">Z354+1</f>
        <v>45627</v>
      </c>
      <c r="AA355" s="203">
        <f t="shared" si="413"/>
        <v>45627</v>
      </c>
      <c r="AB355" s="204">
        <v>45627</v>
      </c>
      <c r="AC355" s="39"/>
      <c r="AD355" s="39"/>
      <c r="AE355" s="39"/>
      <c r="AF355" s="39"/>
      <c r="AG355" s="114"/>
      <c r="AH355" s="39"/>
      <c r="AI355" s="39"/>
      <c r="AJ355" s="39"/>
      <c r="AK355" s="39"/>
      <c r="AL355" s="39"/>
      <c r="AM355" s="39"/>
      <c r="AN355" s="39"/>
    </row>
    <row r="356" spans="1:40" ht="16.5" customHeight="1">
      <c r="A356" s="39"/>
      <c r="B356" s="50"/>
      <c r="C356" s="95">
        <f t="shared" si="323"/>
        <v>337</v>
      </c>
      <c r="D356" s="96">
        <v>0</v>
      </c>
      <c r="E356" s="194" t="str">
        <f t="shared" si="314"/>
        <v>12</v>
      </c>
      <c r="F356" s="195">
        <f t="shared" si="324"/>
        <v>45628</v>
      </c>
      <c r="G356" s="196" t="str">
        <f t="shared" si="315"/>
        <v>Mon</v>
      </c>
      <c r="H356" s="197"/>
      <c r="I356" s="208"/>
      <c r="J356" s="209"/>
      <c r="K356" s="136"/>
      <c r="L356" s="104">
        <f t="shared" si="412"/>
        <v>0</v>
      </c>
      <c r="M356" s="105">
        <f t="shared" si="316"/>
        <v>0</v>
      </c>
      <c r="N356" s="106" t="str">
        <f t="shared" si="317"/>
        <v>0%</v>
      </c>
      <c r="O356" s="200"/>
      <c r="P356" s="170">
        <f t="shared" ref="P356:P385" si="414">IF(D356=0,0,SUM($L$355:L356))</f>
        <v>0</v>
      </c>
      <c r="Q356" s="104">
        <f t="shared" ref="Q356:Q385" si="415">IF(D356=0,0,SUM($J$355:J356))</f>
        <v>0</v>
      </c>
      <c r="R356" s="108">
        <f t="shared" si="318"/>
        <v>0</v>
      </c>
      <c r="S356" s="106" t="str">
        <f t="shared" si="319"/>
        <v>0%</v>
      </c>
      <c r="T356" s="133"/>
      <c r="U356" s="104">
        <f t="shared" si="325"/>
        <v>0</v>
      </c>
      <c r="V356" s="104">
        <f t="shared" si="326"/>
        <v>0</v>
      </c>
      <c r="W356" s="108">
        <f t="shared" si="320"/>
        <v>0</v>
      </c>
      <c r="X356" s="106" t="str">
        <f t="shared" si="321"/>
        <v>0%</v>
      </c>
      <c r="Y356" s="39"/>
      <c r="Z356" s="202">
        <f t="shared" ref="Z356:AA356" si="416">Z355+1</f>
        <v>45628</v>
      </c>
      <c r="AA356" s="203">
        <f t="shared" si="416"/>
        <v>45628</v>
      </c>
      <c r="AB356" s="204">
        <v>45628</v>
      </c>
      <c r="AC356" s="39"/>
      <c r="AD356" s="39"/>
      <c r="AE356" s="39"/>
      <c r="AF356" s="39"/>
      <c r="AG356" s="114"/>
      <c r="AH356" s="39"/>
      <c r="AI356" s="39"/>
      <c r="AJ356" s="39"/>
      <c r="AK356" s="39"/>
      <c r="AL356" s="39"/>
      <c r="AM356" s="39"/>
      <c r="AN356" s="39"/>
    </row>
    <row r="357" spans="1:40" ht="16.5" customHeight="1">
      <c r="A357" s="39"/>
      <c r="B357" s="50"/>
      <c r="C357" s="95">
        <f t="shared" si="323"/>
        <v>338</v>
      </c>
      <c r="D357" s="96">
        <v>1</v>
      </c>
      <c r="E357" s="194" t="str">
        <f t="shared" si="314"/>
        <v>12</v>
      </c>
      <c r="F357" s="195">
        <f t="shared" si="324"/>
        <v>45629</v>
      </c>
      <c r="G357" s="196" t="str">
        <f t="shared" si="315"/>
        <v>Tue</v>
      </c>
      <c r="H357" s="197"/>
      <c r="I357" s="208"/>
      <c r="J357" s="209">
        <v>98300</v>
      </c>
      <c r="K357" s="136"/>
      <c r="L357" s="104">
        <f t="shared" si="412"/>
        <v>131330.28865979382</v>
      </c>
      <c r="M357" s="105">
        <f t="shared" si="316"/>
        <v>-33030.28865979382</v>
      </c>
      <c r="N357" s="106">
        <f t="shared" si="317"/>
        <v>0.74849450955401808</v>
      </c>
      <c r="O357" s="200"/>
      <c r="P357" s="170">
        <f t="shared" si="414"/>
        <v>262660.57731958764</v>
      </c>
      <c r="Q357" s="104">
        <f t="shared" si="415"/>
        <v>174750</v>
      </c>
      <c r="R357" s="108">
        <f t="shared" si="318"/>
        <v>-87910.577319587639</v>
      </c>
      <c r="S357" s="106">
        <f t="shared" si="319"/>
        <v>0.66530730185434717</v>
      </c>
      <c r="T357" s="133"/>
      <c r="U357" s="104">
        <f t="shared" si="325"/>
        <v>26599434.618556753</v>
      </c>
      <c r="V357" s="104">
        <f t="shared" si="326"/>
        <v>27206280</v>
      </c>
      <c r="W357" s="108">
        <f t="shared" si="320"/>
        <v>606845.3814432472</v>
      </c>
      <c r="X357" s="106">
        <f t="shared" si="321"/>
        <v>1.0228142210594164</v>
      </c>
      <c r="Y357" s="39"/>
      <c r="Z357" s="202">
        <f t="shared" ref="Z357:AA357" si="417">Z356+1</f>
        <v>45629</v>
      </c>
      <c r="AA357" s="203">
        <f t="shared" si="417"/>
        <v>45629</v>
      </c>
      <c r="AB357" s="204">
        <v>45629</v>
      </c>
      <c r="AC357" s="39"/>
      <c r="AD357" s="39"/>
      <c r="AE357" s="39"/>
      <c r="AF357" s="39"/>
      <c r="AG357" s="114"/>
      <c r="AH357" s="39"/>
      <c r="AI357" s="39"/>
      <c r="AJ357" s="39"/>
      <c r="AK357" s="39"/>
      <c r="AL357" s="39"/>
      <c r="AM357" s="39"/>
      <c r="AN357" s="39"/>
    </row>
    <row r="358" spans="1:40" ht="16.5" customHeight="1">
      <c r="A358" s="39"/>
      <c r="B358" s="50"/>
      <c r="C358" s="95">
        <f t="shared" si="323"/>
        <v>339</v>
      </c>
      <c r="D358" s="96">
        <v>1</v>
      </c>
      <c r="E358" s="194" t="str">
        <f t="shared" si="314"/>
        <v>12</v>
      </c>
      <c r="F358" s="195">
        <f t="shared" si="324"/>
        <v>45630</v>
      </c>
      <c r="G358" s="196" t="str">
        <f t="shared" si="315"/>
        <v>Wed</v>
      </c>
      <c r="H358" s="197"/>
      <c r="I358" s="208"/>
      <c r="J358" s="209">
        <v>140850</v>
      </c>
      <c r="K358" s="136"/>
      <c r="L358" s="104">
        <f t="shared" si="412"/>
        <v>131330.28865979382</v>
      </c>
      <c r="M358" s="105">
        <f t="shared" si="316"/>
        <v>9519.7113402061805</v>
      </c>
      <c r="N358" s="106">
        <f t="shared" si="317"/>
        <v>1.0724867921737888</v>
      </c>
      <c r="O358" s="200"/>
      <c r="P358" s="170">
        <f t="shared" si="414"/>
        <v>393990.86597938149</v>
      </c>
      <c r="Q358" s="104">
        <f t="shared" si="415"/>
        <v>315600</v>
      </c>
      <c r="R358" s="108">
        <f t="shared" si="318"/>
        <v>-78390.865979381488</v>
      </c>
      <c r="S358" s="106">
        <f t="shared" si="319"/>
        <v>0.80103379862749435</v>
      </c>
      <c r="T358" s="133"/>
      <c r="U358" s="104">
        <f t="shared" si="325"/>
        <v>26730764.907216545</v>
      </c>
      <c r="V358" s="104">
        <f t="shared" si="326"/>
        <v>27347130</v>
      </c>
      <c r="W358" s="108">
        <f t="shared" si="320"/>
        <v>616365.09278345481</v>
      </c>
      <c r="X358" s="106">
        <f t="shared" si="321"/>
        <v>1.0230582661933874</v>
      </c>
      <c r="Y358" s="39"/>
      <c r="Z358" s="202">
        <f t="shared" ref="Z358:AA358" si="418">Z357+1</f>
        <v>45630</v>
      </c>
      <c r="AA358" s="203">
        <f t="shared" si="418"/>
        <v>45630</v>
      </c>
      <c r="AB358" s="204">
        <v>45630</v>
      </c>
      <c r="AC358" s="39"/>
      <c r="AD358" s="39"/>
      <c r="AE358" s="39"/>
      <c r="AF358" s="39"/>
      <c r="AG358" s="114"/>
      <c r="AH358" s="39"/>
      <c r="AI358" s="39"/>
      <c r="AJ358" s="39"/>
      <c r="AK358" s="39"/>
      <c r="AL358" s="39"/>
      <c r="AM358" s="39"/>
      <c r="AN358" s="39"/>
    </row>
    <row r="359" spans="1:40" ht="16.5" customHeight="1">
      <c r="A359" s="39"/>
      <c r="B359" s="50"/>
      <c r="C359" s="95">
        <f t="shared" si="323"/>
        <v>340</v>
      </c>
      <c r="D359" s="96">
        <v>1</v>
      </c>
      <c r="E359" s="194" t="str">
        <f t="shared" si="314"/>
        <v>12</v>
      </c>
      <c r="F359" s="195">
        <f t="shared" si="324"/>
        <v>45631</v>
      </c>
      <c r="G359" s="196" t="str">
        <f t="shared" si="315"/>
        <v>Thu</v>
      </c>
      <c r="H359" s="197"/>
      <c r="I359" s="218"/>
      <c r="J359" s="219">
        <v>80550</v>
      </c>
      <c r="K359" s="124"/>
      <c r="L359" s="104">
        <f t="shared" si="412"/>
        <v>131330.28865979382</v>
      </c>
      <c r="M359" s="105">
        <f t="shared" si="316"/>
        <v>-50780.28865979382</v>
      </c>
      <c r="N359" s="106">
        <f t="shared" si="317"/>
        <v>0.61333909200993042</v>
      </c>
      <c r="O359" s="200"/>
      <c r="P359" s="170">
        <f t="shared" si="414"/>
        <v>525321.15463917528</v>
      </c>
      <c r="Q359" s="104">
        <f t="shared" si="415"/>
        <v>396150</v>
      </c>
      <c r="R359" s="108">
        <f t="shared" si="318"/>
        <v>-129171.15463917528</v>
      </c>
      <c r="S359" s="106">
        <f t="shared" si="319"/>
        <v>0.75411012197310345</v>
      </c>
      <c r="T359" s="133"/>
      <c r="U359" s="104">
        <f t="shared" si="325"/>
        <v>26862095.195876338</v>
      </c>
      <c r="V359" s="104">
        <f t="shared" si="326"/>
        <v>27427680</v>
      </c>
      <c r="W359" s="108">
        <f t="shared" si="320"/>
        <v>565584.80412366241</v>
      </c>
      <c r="X359" s="106">
        <f t="shared" si="321"/>
        <v>1.0210551261917382</v>
      </c>
      <c r="Y359" s="39"/>
      <c r="Z359" s="202">
        <f t="shared" ref="Z359:AA359" si="419">Z358+1</f>
        <v>45631</v>
      </c>
      <c r="AA359" s="203">
        <f t="shared" si="419"/>
        <v>45631</v>
      </c>
      <c r="AB359" s="204">
        <v>45631</v>
      </c>
      <c r="AC359" s="39"/>
      <c r="AD359" s="39"/>
      <c r="AE359" s="39"/>
      <c r="AF359" s="39"/>
      <c r="AG359" s="114"/>
      <c r="AH359" s="39"/>
      <c r="AI359" s="39"/>
      <c r="AJ359" s="39"/>
      <c r="AK359" s="39"/>
      <c r="AL359" s="39"/>
      <c r="AM359" s="39"/>
      <c r="AN359" s="39"/>
    </row>
    <row r="360" spans="1:40" ht="16.5" customHeight="1">
      <c r="A360" s="39"/>
      <c r="B360" s="50"/>
      <c r="C360" s="95">
        <f t="shared" si="323"/>
        <v>341</v>
      </c>
      <c r="D360" s="96">
        <v>1</v>
      </c>
      <c r="E360" s="194" t="str">
        <f t="shared" si="314"/>
        <v>12</v>
      </c>
      <c r="F360" s="195">
        <f t="shared" si="324"/>
        <v>45632</v>
      </c>
      <c r="G360" s="196" t="str">
        <f t="shared" si="315"/>
        <v>Fri</v>
      </c>
      <c r="H360" s="197"/>
      <c r="I360" s="218"/>
      <c r="J360" s="219">
        <v>123100</v>
      </c>
      <c r="K360" s="124"/>
      <c r="L360" s="104">
        <f t="shared" si="412"/>
        <v>131330.28865979382</v>
      </c>
      <c r="M360" s="105">
        <f t="shared" si="316"/>
        <v>-8230.2886597938195</v>
      </c>
      <c r="N360" s="106">
        <f t="shared" si="317"/>
        <v>0.93733137462970118</v>
      </c>
      <c r="O360" s="200"/>
      <c r="P360" s="170">
        <f t="shared" si="414"/>
        <v>656651.44329896907</v>
      </c>
      <c r="Q360" s="104">
        <f t="shared" si="415"/>
        <v>519250</v>
      </c>
      <c r="R360" s="108">
        <f t="shared" si="318"/>
        <v>-137401.44329896907</v>
      </c>
      <c r="S360" s="106">
        <f t="shared" si="319"/>
        <v>0.79075437250442304</v>
      </c>
      <c r="T360" s="133"/>
      <c r="U360" s="104">
        <f t="shared" si="325"/>
        <v>26993425.48453613</v>
      </c>
      <c r="V360" s="104">
        <f t="shared" si="326"/>
        <v>27550780</v>
      </c>
      <c r="W360" s="108">
        <f t="shared" si="320"/>
        <v>557354.51546387002</v>
      </c>
      <c r="X360" s="106">
        <f t="shared" si="321"/>
        <v>1.0206477875800968</v>
      </c>
      <c r="Y360" s="39"/>
      <c r="Z360" s="202">
        <f t="shared" ref="Z360:AA360" si="420">Z359+1</f>
        <v>45632</v>
      </c>
      <c r="AA360" s="203">
        <f t="shared" si="420"/>
        <v>45632</v>
      </c>
      <c r="AB360" s="204">
        <v>45632</v>
      </c>
      <c r="AC360" s="39"/>
      <c r="AD360" s="39"/>
      <c r="AE360" s="39"/>
      <c r="AF360" s="39"/>
      <c r="AG360" s="114"/>
      <c r="AH360" s="39"/>
      <c r="AI360" s="39"/>
      <c r="AJ360" s="39"/>
      <c r="AK360" s="39"/>
      <c r="AL360" s="39"/>
      <c r="AM360" s="39"/>
      <c r="AN360" s="39"/>
    </row>
    <row r="361" spans="1:40" ht="16.5" customHeight="1">
      <c r="A361" s="39"/>
      <c r="B361" s="50"/>
      <c r="C361" s="95">
        <f t="shared" si="323"/>
        <v>342</v>
      </c>
      <c r="D361" s="96">
        <v>1</v>
      </c>
      <c r="E361" s="194" t="str">
        <f t="shared" si="314"/>
        <v>12</v>
      </c>
      <c r="F361" s="195">
        <f t="shared" si="324"/>
        <v>45633</v>
      </c>
      <c r="G361" s="196" t="str">
        <f t="shared" si="315"/>
        <v>Sat</v>
      </c>
      <c r="H361" s="197"/>
      <c r="I361" s="218"/>
      <c r="J361" s="219">
        <v>61500</v>
      </c>
      <c r="K361" s="124"/>
      <c r="L361" s="104">
        <f t="shared" si="412"/>
        <v>131330.28865979382</v>
      </c>
      <c r="M361" s="105">
        <f t="shared" si="316"/>
        <v>-69830.28865979382</v>
      </c>
      <c r="N361" s="106">
        <f t="shared" si="317"/>
        <v>0.46828496782881091</v>
      </c>
      <c r="O361" s="200"/>
      <c r="P361" s="170">
        <f t="shared" si="414"/>
        <v>787981.73195876286</v>
      </c>
      <c r="Q361" s="104">
        <f t="shared" si="415"/>
        <v>580750</v>
      </c>
      <c r="R361" s="108">
        <f t="shared" si="318"/>
        <v>-207231.73195876286</v>
      </c>
      <c r="S361" s="106">
        <f t="shared" si="319"/>
        <v>0.73700947172515441</v>
      </c>
      <c r="T361" s="134"/>
      <c r="U361" s="104">
        <f t="shared" si="325"/>
        <v>27124755.773195922</v>
      </c>
      <c r="V361" s="104">
        <f t="shared" si="326"/>
        <v>27612280</v>
      </c>
      <c r="W361" s="108">
        <f t="shared" si="320"/>
        <v>487524.22680407763</v>
      </c>
      <c r="X361" s="106">
        <f t="shared" si="321"/>
        <v>1.0179734052125859</v>
      </c>
      <c r="Y361" s="39"/>
      <c r="Z361" s="202">
        <f t="shared" ref="Z361:AA361" si="421">Z360+1</f>
        <v>45633</v>
      </c>
      <c r="AA361" s="203">
        <f t="shared" si="421"/>
        <v>45633</v>
      </c>
      <c r="AB361" s="204">
        <v>45633</v>
      </c>
      <c r="AC361" s="39"/>
      <c r="AD361" s="39"/>
      <c r="AE361" s="39"/>
      <c r="AF361" s="39"/>
      <c r="AG361" s="114"/>
      <c r="AH361" s="39"/>
      <c r="AI361" s="39"/>
      <c r="AJ361" s="39"/>
      <c r="AK361" s="39"/>
      <c r="AL361" s="39"/>
      <c r="AM361" s="39"/>
      <c r="AN361" s="39"/>
    </row>
    <row r="362" spans="1:40" ht="16.5" customHeight="1">
      <c r="A362" s="39"/>
      <c r="B362" s="50"/>
      <c r="C362" s="95">
        <f t="shared" si="323"/>
        <v>343</v>
      </c>
      <c r="D362" s="96">
        <v>1</v>
      </c>
      <c r="E362" s="194" t="str">
        <f t="shared" si="314"/>
        <v>12</v>
      </c>
      <c r="F362" s="195">
        <f t="shared" si="324"/>
        <v>45634</v>
      </c>
      <c r="G362" s="196" t="str">
        <f t="shared" si="315"/>
        <v>Sun</v>
      </c>
      <c r="H362" s="197" t="s">
        <v>157</v>
      </c>
      <c r="I362" s="208"/>
      <c r="J362" s="209">
        <v>100000</v>
      </c>
      <c r="K362" s="136"/>
      <c r="L362" s="104">
        <f t="shared" si="412"/>
        <v>131330.28865979382</v>
      </c>
      <c r="M362" s="105">
        <f t="shared" si="316"/>
        <v>-31330.28865979382</v>
      </c>
      <c r="N362" s="106">
        <f t="shared" si="317"/>
        <v>0.76143897207936739</v>
      </c>
      <c r="O362" s="200"/>
      <c r="P362" s="170">
        <f t="shared" si="414"/>
        <v>919312.02061855665</v>
      </c>
      <c r="Q362" s="104">
        <f t="shared" si="415"/>
        <v>680750</v>
      </c>
      <c r="R362" s="108">
        <f t="shared" si="318"/>
        <v>-238562.02061855665</v>
      </c>
      <c r="S362" s="106">
        <f t="shared" si="319"/>
        <v>0.74049940034718487</v>
      </c>
      <c r="T362" s="133"/>
      <c r="U362" s="104">
        <f t="shared" si="325"/>
        <v>27256086.061855715</v>
      </c>
      <c r="V362" s="104">
        <f t="shared" si="326"/>
        <v>27712280</v>
      </c>
      <c r="W362" s="108">
        <f t="shared" si="320"/>
        <v>456193.93814428523</v>
      </c>
      <c r="X362" s="106">
        <f t="shared" si="321"/>
        <v>1.0167373238075703</v>
      </c>
      <c r="Y362" s="39"/>
      <c r="Z362" s="202">
        <f t="shared" ref="Z362:AA362" si="422">Z361+1</f>
        <v>45634</v>
      </c>
      <c r="AA362" s="203">
        <f t="shared" si="422"/>
        <v>45634</v>
      </c>
      <c r="AB362" s="204">
        <v>45634</v>
      </c>
      <c r="AC362" s="39"/>
      <c r="AD362" s="39"/>
      <c r="AE362" s="39"/>
      <c r="AF362" s="39"/>
      <c r="AG362" s="114"/>
      <c r="AH362" s="39"/>
      <c r="AI362" s="39"/>
      <c r="AJ362" s="39"/>
      <c r="AK362" s="39"/>
      <c r="AL362" s="39"/>
      <c r="AM362" s="39"/>
      <c r="AN362" s="39"/>
    </row>
    <row r="363" spans="1:40" ht="16.5" customHeight="1">
      <c r="A363" s="39"/>
      <c r="B363" s="50"/>
      <c r="C363" s="95">
        <f t="shared" si="323"/>
        <v>344</v>
      </c>
      <c r="D363" s="96">
        <v>0</v>
      </c>
      <c r="E363" s="194" t="str">
        <f t="shared" si="314"/>
        <v>12</v>
      </c>
      <c r="F363" s="195">
        <f t="shared" si="324"/>
        <v>45635</v>
      </c>
      <c r="G363" s="196" t="str">
        <f t="shared" si="315"/>
        <v>Mon</v>
      </c>
      <c r="H363" s="197"/>
      <c r="I363" s="218"/>
      <c r="J363" s="219"/>
      <c r="K363" s="124"/>
      <c r="L363" s="104">
        <f t="shared" si="412"/>
        <v>0</v>
      </c>
      <c r="M363" s="105">
        <f t="shared" si="316"/>
        <v>0</v>
      </c>
      <c r="N363" s="106" t="str">
        <f t="shared" si="317"/>
        <v>0%</v>
      </c>
      <c r="O363" s="200"/>
      <c r="P363" s="170">
        <f t="shared" si="414"/>
        <v>0</v>
      </c>
      <c r="Q363" s="104">
        <f t="shared" si="415"/>
        <v>0</v>
      </c>
      <c r="R363" s="108">
        <f t="shared" si="318"/>
        <v>0</v>
      </c>
      <c r="S363" s="106" t="str">
        <f t="shared" si="319"/>
        <v>0%</v>
      </c>
      <c r="T363" s="133"/>
      <c r="U363" s="104">
        <f t="shared" si="325"/>
        <v>0</v>
      </c>
      <c r="V363" s="104">
        <f t="shared" si="326"/>
        <v>0</v>
      </c>
      <c r="W363" s="108">
        <f t="shared" si="320"/>
        <v>0</v>
      </c>
      <c r="X363" s="106" t="str">
        <f t="shared" si="321"/>
        <v>0%</v>
      </c>
      <c r="Y363" s="39"/>
      <c r="Z363" s="202">
        <f t="shared" ref="Z363:AA363" si="423">Z362+1</f>
        <v>45635</v>
      </c>
      <c r="AA363" s="203">
        <f t="shared" si="423"/>
        <v>45635</v>
      </c>
      <c r="AB363" s="204">
        <v>45635</v>
      </c>
      <c r="AC363" s="39"/>
      <c r="AD363" s="39"/>
      <c r="AE363" s="39"/>
      <c r="AF363" s="39"/>
      <c r="AG363" s="114"/>
      <c r="AH363" s="39"/>
      <c r="AI363" s="39"/>
      <c r="AJ363" s="39"/>
      <c r="AK363" s="39"/>
      <c r="AL363" s="39"/>
      <c r="AM363" s="39"/>
      <c r="AN363" s="39"/>
    </row>
    <row r="364" spans="1:40" ht="16.5" customHeight="1">
      <c r="A364" s="39"/>
      <c r="B364" s="50"/>
      <c r="C364" s="95">
        <f t="shared" si="323"/>
        <v>345</v>
      </c>
      <c r="D364" s="96">
        <v>1</v>
      </c>
      <c r="E364" s="194" t="str">
        <f t="shared" si="314"/>
        <v>12</v>
      </c>
      <c r="F364" s="195">
        <f t="shared" si="324"/>
        <v>45636</v>
      </c>
      <c r="G364" s="196" t="str">
        <f t="shared" si="315"/>
        <v>Tue</v>
      </c>
      <c r="H364" s="197"/>
      <c r="I364" s="218"/>
      <c r="J364" s="219">
        <v>110050</v>
      </c>
      <c r="K364" s="124"/>
      <c r="L364" s="104">
        <f t="shared" si="412"/>
        <v>131330.28865979382</v>
      </c>
      <c r="M364" s="105">
        <f t="shared" si="316"/>
        <v>-21280.28865979382</v>
      </c>
      <c r="N364" s="106">
        <f t="shared" si="317"/>
        <v>0.83796358877334376</v>
      </c>
      <c r="O364" s="200"/>
      <c r="P364" s="170">
        <f t="shared" si="414"/>
        <v>1050642.3092783506</v>
      </c>
      <c r="Q364" s="104">
        <f t="shared" si="415"/>
        <v>790800</v>
      </c>
      <c r="R364" s="108">
        <f t="shared" si="318"/>
        <v>-259842.30927835056</v>
      </c>
      <c r="S364" s="106">
        <f t="shared" si="319"/>
        <v>0.75268242390045459</v>
      </c>
      <c r="T364" s="133"/>
      <c r="U364" s="104">
        <f t="shared" si="325"/>
        <v>27387416.350515507</v>
      </c>
      <c r="V364" s="104">
        <f t="shared" si="326"/>
        <v>27822330</v>
      </c>
      <c r="W364" s="108">
        <f t="shared" si="320"/>
        <v>434913.64948449284</v>
      </c>
      <c r="X364" s="106">
        <f t="shared" si="321"/>
        <v>1.0158800539604864</v>
      </c>
      <c r="Y364" s="39"/>
      <c r="Z364" s="202">
        <f t="shared" ref="Z364:AA364" si="424">Z363+1</f>
        <v>45636</v>
      </c>
      <c r="AA364" s="203">
        <f t="shared" si="424"/>
        <v>45636</v>
      </c>
      <c r="AB364" s="204">
        <v>45636</v>
      </c>
      <c r="AC364" s="39"/>
      <c r="AD364" s="39"/>
      <c r="AE364" s="39"/>
      <c r="AF364" s="39"/>
      <c r="AG364" s="114"/>
      <c r="AH364" s="39"/>
      <c r="AI364" s="39"/>
      <c r="AJ364" s="39"/>
      <c r="AK364" s="39"/>
      <c r="AL364" s="39"/>
      <c r="AM364" s="39"/>
      <c r="AN364" s="39"/>
    </row>
    <row r="365" spans="1:40" ht="16.5" customHeight="1">
      <c r="A365" s="39"/>
      <c r="B365" s="50"/>
      <c r="C365" s="95">
        <f t="shared" si="323"/>
        <v>346</v>
      </c>
      <c r="D365" s="96">
        <v>1</v>
      </c>
      <c r="E365" s="194" t="str">
        <f t="shared" si="314"/>
        <v>12</v>
      </c>
      <c r="F365" s="195">
        <f t="shared" si="324"/>
        <v>45637</v>
      </c>
      <c r="G365" s="196" t="str">
        <f t="shared" si="315"/>
        <v>Wed</v>
      </c>
      <c r="H365" s="197"/>
      <c r="I365" s="218"/>
      <c r="J365" s="219">
        <v>94150</v>
      </c>
      <c r="K365" s="124"/>
      <c r="L365" s="104">
        <f t="shared" si="412"/>
        <v>131330.28865979382</v>
      </c>
      <c r="M365" s="105">
        <f t="shared" si="316"/>
        <v>-37180.28865979382</v>
      </c>
      <c r="N365" s="106">
        <f t="shared" si="317"/>
        <v>0.71689479221272434</v>
      </c>
      <c r="O365" s="200"/>
      <c r="P365" s="170">
        <f t="shared" si="414"/>
        <v>1181972.5979381443</v>
      </c>
      <c r="Q365" s="104">
        <f t="shared" si="415"/>
        <v>884950</v>
      </c>
      <c r="R365" s="108">
        <f t="shared" si="318"/>
        <v>-297022.59793814435</v>
      </c>
      <c r="S365" s="106">
        <f t="shared" si="319"/>
        <v>0.74870602037959577</v>
      </c>
      <c r="T365" s="133"/>
      <c r="U365" s="104">
        <f t="shared" si="325"/>
        <v>27518746.6391753</v>
      </c>
      <c r="V365" s="104">
        <f t="shared" si="326"/>
        <v>27916480</v>
      </c>
      <c r="W365" s="108">
        <f t="shared" si="320"/>
        <v>397733.36082470044</v>
      </c>
      <c r="X365" s="106">
        <f t="shared" si="321"/>
        <v>1.0144531786290911</v>
      </c>
      <c r="Y365" s="39"/>
      <c r="Z365" s="202">
        <f t="shared" ref="Z365:AA365" si="425">Z364+1</f>
        <v>45637</v>
      </c>
      <c r="AA365" s="203">
        <f t="shared" si="425"/>
        <v>45637</v>
      </c>
      <c r="AB365" s="204">
        <v>45637</v>
      </c>
      <c r="AC365" s="39"/>
      <c r="AD365" s="39"/>
      <c r="AE365" s="39"/>
      <c r="AF365" s="39"/>
      <c r="AG365" s="114"/>
      <c r="AH365" s="39"/>
      <c r="AI365" s="39"/>
      <c r="AJ365" s="39"/>
      <c r="AK365" s="39"/>
      <c r="AL365" s="39"/>
      <c r="AM365" s="39"/>
      <c r="AN365" s="39"/>
    </row>
    <row r="366" spans="1:40" ht="16.5" customHeight="1">
      <c r="A366" s="39"/>
      <c r="B366" s="50"/>
      <c r="C366" s="95">
        <f t="shared" si="323"/>
        <v>347</v>
      </c>
      <c r="D366" s="96">
        <v>1</v>
      </c>
      <c r="E366" s="194" t="str">
        <f t="shared" si="314"/>
        <v>12</v>
      </c>
      <c r="F366" s="195">
        <f t="shared" si="324"/>
        <v>45638</v>
      </c>
      <c r="G366" s="196" t="str">
        <f t="shared" si="315"/>
        <v>Thu</v>
      </c>
      <c r="H366" s="197"/>
      <c r="I366" s="218"/>
      <c r="J366" s="219">
        <v>60600</v>
      </c>
      <c r="K366" s="124"/>
      <c r="L366" s="104">
        <f t="shared" si="412"/>
        <v>131330.28865979382</v>
      </c>
      <c r="M366" s="105">
        <f t="shared" si="316"/>
        <v>-70730.28865979382</v>
      </c>
      <c r="N366" s="106">
        <f t="shared" si="317"/>
        <v>0.46143201708009662</v>
      </c>
      <c r="O366" s="200"/>
      <c r="P366" s="170">
        <f t="shared" si="414"/>
        <v>1313302.8865979381</v>
      </c>
      <c r="Q366" s="104">
        <f t="shared" si="415"/>
        <v>945550</v>
      </c>
      <c r="R366" s="108">
        <f t="shared" si="318"/>
        <v>-367752.88659793814</v>
      </c>
      <c r="S366" s="106">
        <f t="shared" si="319"/>
        <v>0.71997862004964586</v>
      </c>
      <c r="T366" s="133"/>
      <c r="U366" s="104">
        <f t="shared" si="325"/>
        <v>27650076.927835092</v>
      </c>
      <c r="V366" s="104">
        <f t="shared" si="326"/>
        <v>27977080</v>
      </c>
      <c r="W366" s="108">
        <f t="shared" si="320"/>
        <v>327003.07216490805</v>
      </c>
      <c r="X366" s="106">
        <f t="shared" si="321"/>
        <v>1.0118264796520591</v>
      </c>
      <c r="Y366" s="39"/>
      <c r="Z366" s="202">
        <f t="shared" ref="Z366:AA366" si="426">Z365+1</f>
        <v>45638</v>
      </c>
      <c r="AA366" s="203">
        <f t="shared" si="426"/>
        <v>45638</v>
      </c>
      <c r="AB366" s="204">
        <v>45638</v>
      </c>
      <c r="AC366" s="39"/>
      <c r="AD366" s="39"/>
      <c r="AE366" s="39"/>
      <c r="AF366" s="39"/>
      <c r="AG366" s="114"/>
      <c r="AH366" s="39"/>
      <c r="AI366" s="39"/>
      <c r="AJ366" s="39"/>
      <c r="AK366" s="39"/>
      <c r="AL366" s="39"/>
      <c r="AM366" s="39"/>
      <c r="AN366" s="39"/>
    </row>
    <row r="367" spans="1:40" ht="16.5" customHeight="1">
      <c r="A367" s="39"/>
      <c r="B367" s="50"/>
      <c r="C367" s="95">
        <f t="shared" si="323"/>
        <v>348</v>
      </c>
      <c r="D367" s="96">
        <v>1</v>
      </c>
      <c r="E367" s="194" t="str">
        <f t="shared" si="314"/>
        <v>12</v>
      </c>
      <c r="F367" s="195">
        <f t="shared" si="324"/>
        <v>45639</v>
      </c>
      <c r="G367" s="196" t="str">
        <f t="shared" si="315"/>
        <v>Fri</v>
      </c>
      <c r="H367" s="197"/>
      <c r="I367" s="218"/>
      <c r="J367" s="219">
        <v>142050</v>
      </c>
      <c r="K367" s="124"/>
      <c r="L367" s="104">
        <f t="shared" si="412"/>
        <v>131330.28865979382</v>
      </c>
      <c r="M367" s="105">
        <f t="shared" si="316"/>
        <v>10719.71134020618</v>
      </c>
      <c r="N367" s="106">
        <f t="shared" si="317"/>
        <v>1.0816240598387412</v>
      </c>
      <c r="O367" s="200"/>
      <c r="P367" s="170">
        <f t="shared" si="414"/>
        <v>1444633.1752577319</v>
      </c>
      <c r="Q367" s="104">
        <f t="shared" si="415"/>
        <v>1087600</v>
      </c>
      <c r="R367" s="108">
        <f t="shared" si="318"/>
        <v>-357033.17525773193</v>
      </c>
      <c r="S367" s="106">
        <f t="shared" si="319"/>
        <v>0.75285547821229093</v>
      </c>
      <c r="T367" s="133"/>
      <c r="U367" s="104">
        <f t="shared" si="325"/>
        <v>27781407.216494884</v>
      </c>
      <c r="V367" s="104">
        <f t="shared" si="326"/>
        <v>28119130</v>
      </c>
      <c r="W367" s="108">
        <f t="shared" si="320"/>
        <v>337722.78350511566</v>
      </c>
      <c r="X367" s="106">
        <f t="shared" si="321"/>
        <v>1.0121564318493053</v>
      </c>
      <c r="Y367" s="39"/>
      <c r="Z367" s="202">
        <f t="shared" ref="Z367:AA367" si="427">Z366+1</f>
        <v>45639</v>
      </c>
      <c r="AA367" s="203">
        <f t="shared" si="427"/>
        <v>45639</v>
      </c>
      <c r="AB367" s="204">
        <v>45639</v>
      </c>
      <c r="AC367" s="39"/>
      <c r="AD367" s="39"/>
      <c r="AE367" s="39"/>
      <c r="AF367" s="39"/>
      <c r="AG367" s="114"/>
      <c r="AH367" s="39"/>
      <c r="AI367" s="39"/>
      <c r="AJ367" s="39"/>
      <c r="AK367" s="39"/>
      <c r="AL367" s="39"/>
      <c r="AM367" s="39"/>
      <c r="AN367" s="39"/>
    </row>
    <row r="368" spans="1:40" ht="16.5" customHeight="1">
      <c r="A368" s="39"/>
      <c r="B368" s="50"/>
      <c r="C368" s="95">
        <f t="shared" si="323"/>
        <v>349</v>
      </c>
      <c r="D368" s="96">
        <v>1</v>
      </c>
      <c r="E368" s="194" t="str">
        <f t="shared" si="314"/>
        <v>12</v>
      </c>
      <c r="F368" s="195">
        <f t="shared" si="324"/>
        <v>45640</v>
      </c>
      <c r="G368" s="196" t="str">
        <f t="shared" si="315"/>
        <v>Sat</v>
      </c>
      <c r="H368" s="197"/>
      <c r="I368" s="218"/>
      <c r="J368" s="219">
        <v>100500</v>
      </c>
      <c r="K368" s="124"/>
      <c r="L368" s="104">
        <f t="shared" si="412"/>
        <v>131330.28865979382</v>
      </c>
      <c r="M368" s="105">
        <f t="shared" si="316"/>
        <v>-30830.28865979382</v>
      </c>
      <c r="N368" s="106">
        <f t="shared" si="317"/>
        <v>0.76524616693976422</v>
      </c>
      <c r="O368" s="200"/>
      <c r="P368" s="170">
        <f t="shared" si="414"/>
        <v>1575963.4639175257</v>
      </c>
      <c r="Q368" s="104">
        <f t="shared" si="415"/>
        <v>1188100</v>
      </c>
      <c r="R368" s="108">
        <f t="shared" si="318"/>
        <v>-387863.46391752572</v>
      </c>
      <c r="S368" s="106">
        <f t="shared" si="319"/>
        <v>0.75388803560624695</v>
      </c>
      <c r="T368" s="134"/>
      <c r="U368" s="104">
        <f t="shared" si="325"/>
        <v>27912737.505154677</v>
      </c>
      <c r="V368" s="104">
        <f t="shared" si="326"/>
        <v>28219630</v>
      </c>
      <c r="W368" s="108">
        <f t="shared" si="320"/>
        <v>306892.49484532326</v>
      </c>
      <c r="X368" s="106">
        <f t="shared" si="321"/>
        <v>1.0109947114570417</v>
      </c>
      <c r="Y368" s="39"/>
      <c r="Z368" s="202">
        <f t="shared" ref="Z368:AA368" si="428">Z367+1</f>
        <v>45640</v>
      </c>
      <c r="AA368" s="203">
        <f t="shared" si="428"/>
        <v>45640</v>
      </c>
      <c r="AB368" s="204">
        <v>45640</v>
      </c>
      <c r="AC368" s="39"/>
      <c r="AD368" s="39"/>
      <c r="AE368" s="39"/>
      <c r="AF368" s="39"/>
      <c r="AG368" s="114"/>
      <c r="AH368" s="39"/>
      <c r="AI368" s="39"/>
      <c r="AJ368" s="39"/>
      <c r="AK368" s="39"/>
      <c r="AL368" s="39"/>
      <c r="AM368" s="39"/>
      <c r="AN368" s="39"/>
    </row>
    <row r="369" spans="1:40" ht="16.5" customHeight="1">
      <c r="A369" s="39"/>
      <c r="B369" s="50"/>
      <c r="C369" s="95">
        <f t="shared" si="323"/>
        <v>350</v>
      </c>
      <c r="D369" s="96">
        <v>1</v>
      </c>
      <c r="E369" s="194" t="str">
        <f t="shared" si="314"/>
        <v>12</v>
      </c>
      <c r="F369" s="195">
        <f t="shared" si="324"/>
        <v>45641</v>
      </c>
      <c r="G369" s="196" t="str">
        <f t="shared" si="315"/>
        <v>Sun</v>
      </c>
      <c r="H369" s="197" t="s">
        <v>157</v>
      </c>
      <c r="I369" s="208"/>
      <c r="J369" s="209">
        <v>80050</v>
      </c>
      <c r="K369" s="136"/>
      <c r="L369" s="104">
        <f t="shared" si="412"/>
        <v>131330.28865979382</v>
      </c>
      <c r="M369" s="105">
        <f t="shared" si="316"/>
        <v>-51280.28865979382</v>
      </c>
      <c r="N369" s="106">
        <f t="shared" si="317"/>
        <v>0.6095318971495336</v>
      </c>
      <c r="O369" s="200"/>
      <c r="P369" s="170">
        <f t="shared" si="414"/>
        <v>1707293.7525773195</v>
      </c>
      <c r="Q369" s="104">
        <f t="shared" si="415"/>
        <v>1268150</v>
      </c>
      <c r="R369" s="108">
        <f t="shared" si="318"/>
        <v>-439143.75257731951</v>
      </c>
      <c r="S369" s="106">
        <f t="shared" si="319"/>
        <v>0.74278371726342296</v>
      </c>
      <c r="T369" s="133"/>
      <c r="U369" s="104">
        <f t="shared" si="325"/>
        <v>28044067.793814469</v>
      </c>
      <c r="V369" s="104">
        <f t="shared" si="326"/>
        <v>28299680</v>
      </c>
      <c r="W369" s="108">
        <f t="shared" si="320"/>
        <v>255612.20618553087</v>
      </c>
      <c r="X369" s="106">
        <f t="shared" si="321"/>
        <v>1.009114662254593</v>
      </c>
      <c r="Y369" s="39"/>
      <c r="Z369" s="202">
        <f t="shared" ref="Z369:AA369" si="429">Z368+1</f>
        <v>45641</v>
      </c>
      <c r="AA369" s="203">
        <f t="shared" si="429"/>
        <v>45641</v>
      </c>
      <c r="AB369" s="204">
        <v>45641</v>
      </c>
      <c r="AC369" s="39"/>
      <c r="AD369" s="39"/>
      <c r="AE369" s="39"/>
      <c r="AF369" s="39"/>
      <c r="AG369" s="114"/>
      <c r="AH369" s="39"/>
      <c r="AI369" s="39"/>
      <c r="AJ369" s="39"/>
      <c r="AK369" s="39"/>
      <c r="AL369" s="39"/>
      <c r="AM369" s="39"/>
      <c r="AN369" s="39"/>
    </row>
    <row r="370" spans="1:40" ht="16.5" customHeight="1">
      <c r="A370" s="39"/>
      <c r="B370" s="50"/>
      <c r="C370" s="95">
        <f t="shared" si="323"/>
        <v>351</v>
      </c>
      <c r="D370" s="96">
        <v>0</v>
      </c>
      <c r="E370" s="194" t="str">
        <f t="shared" si="314"/>
        <v>12</v>
      </c>
      <c r="F370" s="195">
        <f t="shared" si="324"/>
        <v>45642</v>
      </c>
      <c r="G370" s="196" t="str">
        <f t="shared" si="315"/>
        <v>Mon</v>
      </c>
      <c r="H370" s="197"/>
      <c r="I370" s="218"/>
      <c r="J370" s="219"/>
      <c r="K370" s="124"/>
      <c r="L370" s="104">
        <f t="shared" si="412"/>
        <v>0</v>
      </c>
      <c r="M370" s="105">
        <f t="shared" si="316"/>
        <v>0</v>
      </c>
      <c r="N370" s="106" t="str">
        <f t="shared" si="317"/>
        <v>0%</v>
      </c>
      <c r="O370" s="200"/>
      <c r="P370" s="170">
        <f t="shared" si="414"/>
        <v>0</v>
      </c>
      <c r="Q370" s="104">
        <f t="shared" si="415"/>
        <v>0</v>
      </c>
      <c r="R370" s="108">
        <f t="shared" si="318"/>
        <v>0</v>
      </c>
      <c r="S370" s="106" t="str">
        <f t="shared" si="319"/>
        <v>0%</v>
      </c>
      <c r="T370" s="133"/>
      <c r="U370" s="104">
        <f t="shared" si="325"/>
        <v>0</v>
      </c>
      <c r="V370" s="104">
        <f t="shared" si="326"/>
        <v>0</v>
      </c>
      <c r="W370" s="108">
        <f t="shared" si="320"/>
        <v>0</v>
      </c>
      <c r="X370" s="106" t="str">
        <f t="shared" si="321"/>
        <v>0%</v>
      </c>
      <c r="Y370" s="39"/>
      <c r="Z370" s="202">
        <f t="shared" ref="Z370:AA370" si="430">Z369+1</f>
        <v>45642</v>
      </c>
      <c r="AA370" s="203">
        <f t="shared" si="430"/>
        <v>45642</v>
      </c>
      <c r="AB370" s="204">
        <v>45642</v>
      </c>
      <c r="AC370" s="39"/>
      <c r="AD370" s="39"/>
      <c r="AE370" s="39"/>
      <c r="AF370" s="39"/>
      <c r="AG370" s="114"/>
      <c r="AH370" s="39"/>
      <c r="AI370" s="39"/>
      <c r="AJ370" s="39"/>
      <c r="AK370" s="39"/>
      <c r="AL370" s="39"/>
      <c r="AM370" s="39"/>
      <c r="AN370" s="39"/>
    </row>
    <row r="371" spans="1:40" ht="16.5" customHeight="1">
      <c r="A371" s="39"/>
      <c r="B371" s="50"/>
      <c r="C371" s="95">
        <f t="shared" si="323"/>
        <v>352</v>
      </c>
      <c r="D371" s="96">
        <v>0</v>
      </c>
      <c r="E371" s="194" t="str">
        <f t="shared" si="314"/>
        <v>12</v>
      </c>
      <c r="F371" s="195">
        <f t="shared" si="324"/>
        <v>45643</v>
      </c>
      <c r="G371" s="196" t="str">
        <f t="shared" si="315"/>
        <v>Tue</v>
      </c>
      <c r="H371" s="197"/>
      <c r="I371" s="218"/>
      <c r="J371" s="219"/>
      <c r="K371" s="124"/>
      <c r="L371" s="104">
        <f t="shared" si="412"/>
        <v>0</v>
      </c>
      <c r="M371" s="105">
        <f t="shared" si="316"/>
        <v>0</v>
      </c>
      <c r="N371" s="106" t="str">
        <f t="shared" si="317"/>
        <v>0%</v>
      </c>
      <c r="O371" s="200"/>
      <c r="P371" s="170">
        <f t="shared" si="414"/>
        <v>0</v>
      </c>
      <c r="Q371" s="104">
        <f t="shared" si="415"/>
        <v>0</v>
      </c>
      <c r="R371" s="108">
        <f t="shared" si="318"/>
        <v>0</v>
      </c>
      <c r="S371" s="106" t="str">
        <f t="shared" si="319"/>
        <v>0%</v>
      </c>
      <c r="T371" s="133"/>
      <c r="U371" s="104">
        <f t="shared" si="325"/>
        <v>0</v>
      </c>
      <c r="V371" s="104">
        <f t="shared" si="326"/>
        <v>0</v>
      </c>
      <c r="W371" s="108">
        <f t="shared" si="320"/>
        <v>0</v>
      </c>
      <c r="X371" s="106" t="str">
        <f t="shared" si="321"/>
        <v>0%</v>
      </c>
      <c r="Y371" s="39"/>
      <c r="Z371" s="202">
        <f t="shared" ref="Z371:AA371" si="431">Z370+1</f>
        <v>45643</v>
      </c>
      <c r="AA371" s="203">
        <f t="shared" si="431"/>
        <v>45643</v>
      </c>
      <c r="AB371" s="204">
        <v>45643</v>
      </c>
      <c r="AC371" s="39"/>
      <c r="AD371" s="39"/>
      <c r="AE371" s="39"/>
      <c r="AF371" s="39"/>
      <c r="AG371" s="114"/>
      <c r="AH371" s="39"/>
      <c r="AI371" s="39"/>
      <c r="AJ371" s="39"/>
      <c r="AK371" s="39"/>
      <c r="AL371" s="39"/>
      <c r="AM371" s="39"/>
      <c r="AN371" s="39"/>
    </row>
    <row r="372" spans="1:40" ht="16.5" customHeight="1">
      <c r="A372" s="39"/>
      <c r="B372" s="50"/>
      <c r="C372" s="95">
        <f t="shared" si="323"/>
        <v>353</v>
      </c>
      <c r="D372" s="96">
        <v>0</v>
      </c>
      <c r="E372" s="194" t="str">
        <f t="shared" si="314"/>
        <v>12</v>
      </c>
      <c r="F372" s="195">
        <f t="shared" si="324"/>
        <v>45644</v>
      </c>
      <c r="G372" s="196" t="str">
        <f t="shared" si="315"/>
        <v>Wed</v>
      </c>
      <c r="H372" s="197"/>
      <c r="I372" s="218"/>
      <c r="J372" s="219"/>
      <c r="K372" s="124"/>
      <c r="L372" s="104">
        <f t="shared" si="412"/>
        <v>0</v>
      </c>
      <c r="M372" s="105">
        <f t="shared" si="316"/>
        <v>0</v>
      </c>
      <c r="N372" s="106" t="str">
        <f t="shared" si="317"/>
        <v>0%</v>
      </c>
      <c r="O372" s="200"/>
      <c r="P372" s="170">
        <f t="shared" si="414"/>
        <v>0</v>
      </c>
      <c r="Q372" s="104">
        <f t="shared" si="415"/>
        <v>0</v>
      </c>
      <c r="R372" s="108">
        <f t="shared" si="318"/>
        <v>0</v>
      </c>
      <c r="S372" s="106" t="str">
        <f t="shared" si="319"/>
        <v>0%</v>
      </c>
      <c r="T372" s="133"/>
      <c r="U372" s="104">
        <f t="shared" si="325"/>
        <v>0</v>
      </c>
      <c r="V372" s="104">
        <f t="shared" si="326"/>
        <v>0</v>
      </c>
      <c r="W372" s="108">
        <f t="shared" si="320"/>
        <v>0</v>
      </c>
      <c r="X372" s="106" t="str">
        <f t="shared" si="321"/>
        <v>0%</v>
      </c>
      <c r="Y372" s="39"/>
      <c r="Z372" s="202">
        <f t="shared" ref="Z372:AA372" si="432">Z371+1</f>
        <v>45644</v>
      </c>
      <c r="AA372" s="203">
        <f t="shared" si="432"/>
        <v>45644</v>
      </c>
      <c r="AB372" s="204">
        <v>45644</v>
      </c>
      <c r="AC372" s="39"/>
      <c r="AD372" s="39"/>
      <c r="AE372" s="39"/>
      <c r="AF372" s="39"/>
      <c r="AG372" s="114"/>
      <c r="AH372" s="39"/>
      <c r="AI372" s="39"/>
      <c r="AJ372" s="39"/>
      <c r="AK372" s="39"/>
      <c r="AL372" s="39"/>
      <c r="AM372" s="39"/>
      <c r="AN372" s="39"/>
    </row>
    <row r="373" spans="1:40" ht="16.5" customHeight="1">
      <c r="A373" s="39"/>
      <c r="B373" s="50"/>
      <c r="C373" s="95">
        <f t="shared" si="323"/>
        <v>354</v>
      </c>
      <c r="D373" s="96">
        <v>1</v>
      </c>
      <c r="E373" s="194" t="str">
        <f t="shared" si="314"/>
        <v>12</v>
      </c>
      <c r="F373" s="195">
        <f t="shared" si="324"/>
        <v>45645</v>
      </c>
      <c r="G373" s="196" t="str">
        <f t="shared" si="315"/>
        <v>Thu</v>
      </c>
      <c r="H373" s="197"/>
      <c r="I373" s="218"/>
      <c r="J373" s="219">
        <v>110450</v>
      </c>
      <c r="K373" s="124"/>
      <c r="L373" s="104">
        <f t="shared" si="412"/>
        <v>131330.28865979382</v>
      </c>
      <c r="M373" s="105">
        <f t="shared" si="316"/>
        <v>-20880.28865979382</v>
      </c>
      <c r="N373" s="106">
        <f t="shared" si="317"/>
        <v>0.84100934466166122</v>
      </c>
      <c r="O373" s="200"/>
      <c r="P373" s="170">
        <f t="shared" si="414"/>
        <v>1838624.0412371133</v>
      </c>
      <c r="Q373" s="104">
        <f t="shared" si="415"/>
        <v>1378600</v>
      </c>
      <c r="R373" s="108">
        <f t="shared" si="318"/>
        <v>-460024.0412371133</v>
      </c>
      <c r="S373" s="106">
        <f t="shared" si="319"/>
        <v>0.7497998335061542</v>
      </c>
      <c r="T373" s="133"/>
      <c r="U373" s="104">
        <f t="shared" si="325"/>
        <v>28175398.082474262</v>
      </c>
      <c r="V373" s="104">
        <f t="shared" si="326"/>
        <v>28410130</v>
      </c>
      <c r="W373" s="108">
        <f t="shared" si="320"/>
        <v>234731.91752573848</v>
      </c>
      <c r="X373" s="106">
        <f t="shared" si="321"/>
        <v>1.0083310949800475</v>
      </c>
      <c r="Y373" s="39"/>
      <c r="Z373" s="202">
        <f t="shared" ref="Z373:AA373" si="433">Z372+1</f>
        <v>45645</v>
      </c>
      <c r="AA373" s="203">
        <f t="shared" si="433"/>
        <v>45645</v>
      </c>
      <c r="AB373" s="204">
        <v>45645</v>
      </c>
      <c r="AC373" s="39"/>
      <c r="AD373" s="39"/>
      <c r="AE373" s="39"/>
      <c r="AF373" s="39"/>
      <c r="AG373" s="114"/>
      <c r="AH373" s="39"/>
      <c r="AI373" s="39"/>
      <c r="AJ373" s="39"/>
      <c r="AK373" s="39"/>
      <c r="AL373" s="39"/>
      <c r="AM373" s="39"/>
      <c r="AN373" s="39"/>
    </row>
    <row r="374" spans="1:40" ht="16.5" customHeight="1">
      <c r="A374" s="39"/>
      <c r="B374" s="50"/>
      <c r="C374" s="95">
        <f t="shared" si="323"/>
        <v>355</v>
      </c>
      <c r="D374" s="96">
        <v>1</v>
      </c>
      <c r="E374" s="194" t="str">
        <f t="shared" si="314"/>
        <v>12</v>
      </c>
      <c r="F374" s="195">
        <f t="shared" si="324"/>
        <v>45646</v>
      </c>
      <c r="G374" s="196" t="str">
        <f t="shared" si="315"/>
        <v>Fri</v>
      </c>
      <c r="H374" s="197"/>
      <c r="I374" s="218"/>
      <c r="J374" s="219">
        <v>117550</v>
      </c>
      <c r="K374" s="124"/>
      <c r="L374" s="104">
        <f t="shared" si="412"/>
        <v>131330.28865979382</v>
      </c>
      <c r="M374" s="105">
        <f t="shared" si="316"/>
        <v>-13780.28865979382</v>
      </c>
      <c r="N374" s="106">
        <f t="shared" si="317"/>
        <v>0.89507151167929633</v>
      </c>
      <c r="O374" s="200"/>
      <c r="P374" s="170">
        <f t="shared" si="414"/>
        <v>1969954.3298969071</v>
      </c>
      <c r="Q374" s="104">
        <f t="shared" si="415"/>
        <v>1496150</v>
      </c>
      <c r="R374" s="108">
        <f t="shared" si="318"/>
        <v>-473804.32989690709</v>
      </c>
      <c r="S374" s="106">
        <f t="shared" si="319"/>
        <v>0.75948461205103035</v>
      </c>
      <c r="T374" s="133"/>
      <c r="U374" s="104">
        <f t="shared" si="325"/>
        <v>28306728.371134054</v>
      </c>
      <c r="V374" s="104">
        <f t="shared" si="326"/>
        <v>28527680</v>
      </c>
      <c r="W374" s="108">
        <f t="shared" si="320"/>
        <v>220951.62886594608</v>
      </c>
      <c r="X374" s="106">
        <f t="shared" si="321"/>
        <v>1.0078056222523852</v>
      </c>
      <c r="Y374" s="39"/>
      <c r="Z374" s="202">
        <f t="shared" ref="Z374:AA374" si="434">Z373+1</f>
        <v>45646</v>
      </c>
      <c r="AA374" s="203">
        <f t="shared" si="434"/>
        <v>45646</v>
      </c>
      <c r="AB374" s="204">
        <v>45646</v>
      </c>
      <c r="AC374" s="39"/>
      <c r="AD374" s="39"/>
      <c r="AE374" s="39"/>
      <c r="AF374" s="39"/>
      <c r="AG374" s="114"/>
      <c r="AH374" s="39"/>
      <c r="AI374" s="39"/>
      <c r="AJ374" s="39"/>
      <c r="AK374" s="39"/>
      <c r="AL374" s="39"/>
      <c r="AM374" s="39"/>
      <c r="AN374" s="39"/>
    </row>
    <row r="375" spans="1:40" ht="16.5" customHeight="1">
      <c r="A375" s="39"/>
      <c r="B375" s="50"/>
      <c r="C375" s="95">
        <f t="shared" si="323"/>
        <v>356</v>
      </c>
      <c r="D375" s="96">
        <v>1</v>
      </c>
      <c r="E375" s="194" t="str">
        <f t="shared" si="314"/>
        <v>12</v>
      </c>
      <c r="F375" s="195">
        <f t="shared" si="324"/>
        <v>45647</v>
      </c>
      <c r="G375" s="196" t="str">
        <f t="shared" si="315"/>
        <v>Sat</v>
      </c>
      <c r="H375" s="197"/>
      <c r="I375" s="218"/>
      <c r="J375" s="219">
        <v>73600</v>
      </c>
      <c r="K375" s="124"/>
      <c r="L375" s="104">
        <f t="shared" si="412"/>
        <v>131330.28865979382</v>
      </c>
      <c r="M375" s="105">
        <f t="shared" si="316"/>
        <v>-57730.28865979382</v>
      </c>
      <c r="N375" s="106">
        <f t="shared" si="317"/>
        <v>0.56041908345041436</v>
      </c>
      <c r="O375" s="200"/>
      <c r="P375" s="170">
        <f t="shared" si="414"/>
        <v>2101284.6185567011</v>
      </c>
      <c r="Q375" s="104">
        <f t="shared" si="415"/>
        <v>1569750</v>
      </c>
      <c r="R375" s="108">
        <f t="shared" si="318"/>
        <v>-531534.61855670111</v>
      </c>
      <c r="S375" s="106">
        <f t="shared" si="319"/>
        <v>0.74704301651349181</v>
      </c>
      <c r="T375" s="134"/>
      <c r="U375" s="104">
        <f t="shared" si="325"/>
        <v>28438058.659793846</v>
      </c>
      <c r="V375" s="104">
        <f t="shared" si="326"/>
        <v>28601280</v>
      </c>
      <c r="W375" s="108">
        <f t="shared" si="320"/>
        <v>163221.34020615369</v>
      </c>
      <c r="X375" s="106">
        <f t="shared" si="321"/>
        <v>1.0057395387694632</v>
      </c>
      <c r="Y375" s="39"/>
      <c r="Z375" s="202">
        <f t="shared" ref="Z375:AA375" si="435">Z374+1</f>
        <v>45647</v>
      </c>
      <c r="AA375" s="203">
        <f t="shared" si="435"/>
        <v>45647</v>
      </c>
      <c r="AB375" s="204">
        <v>45647</v>
      </c>
      <c r="AC375" s="39"/>
      <c r="AD375" s="39"/>
      <c r="AE375" s="39"/>
      <c r="AF375" s="39"/>
      <c r="AG375" s="114"/>
      <c r="AH375" s="39"/>
      <c r="AI375" s="39"/>
      <c r="AJ375" s="39"/>
      <c r="AK375" s="39"/>
      <c r="AL375" s="39"/>
      <c r="AM375" s="39"/>
      <c r="AN375" s="39"/>
    </row>
    <row r="376" spans="1:40" ht="16.5" customHeight="1">
      <c r="A376" s="39"/>
      <c r="B376" s="50"/>
      <c r="C376" s="95">
        <f t="shared" si="323"/>
        <v>357</v>
      </c>
      <c r="D376" s="96">
        <v>1</v>
      </c>
      <c r="E376" s="194" t="str">
        <f t="shared" si="314"/>
        <v>12</v>
      </c>
      <c r="F376" s="195">
        <f t="shared" si="324"/>
        <v>45648</v>
      </c>
      <c r="G376" s="196" t="str">
        <f t="shared" si="315"/>
        <v>Sun</v>
      </c>
      <c r="H376" s="197" t="s">
        <v>157</v>
      </c>
      <c r="I376" s="208"/>
      <c r="J376" s="209">
        <v>26700</v>
      </c>
      <c r="K376" s="136"/>
      <c r="L376" s="104">
        <f t="shared" si="412"/>
        <v>131330.28865979382</v>
      </c>
      <c r="M376" s="105">
        <f t="shared" si="316"/>
        <v>-104630.28865979382</v>
      </c>
      <c r="N376" s="106">
        <f t="shared" si="317"/>
        <v>0.20330420554519107</v>
      </c>
      <c r="O376" s="200"/>
      <c r="P376" s="170">
        <f t="shared" si="414"/>
        <v>2232614.9072164949</v>
      </c>
      <c r="Q376" s="104">
        <f t="shared" si="415"/>
        <v>1596450</v>
      </c>
      <c r="R376" s="108">
        <f t="shared" si="318"/>
        <v>-636164.9072164949</v>
      </c>
      <c r="S376" s="106">
        <f t="shared" si="319"/>
        <v>0.71505838057418003</v>
      </c>
      <c r="T376" s="133"/>
      <c r="U376" s="104">
        <f t="shared" si="325"/>
        <v>28569388.948453639</v>
      </c>
      <c r="V376" s="104">
        <f t="shared" si="326"/>
        <v>28627980</v>
      </c>
      <c r="W376" s="108">
        <f t="shared" si="320"/>
        <v>58591.051546361297</v>
      </c>
      <c r="X376" s="106">
        <f t="shared" si="321"/>
        <v>1.002050833206551</v>
      </c>
      <c r="Y376" s="39"/>
      <c r="Z376" s="202">
        <f t="shared" ref="Z376:AA376" si="436">Z375+1</f>
        <v>45648</v>
      </c>
      <c r="AA376" s="203">
        <f t="shared" si="436"/>
        <v>45648</v>
      </c>
      <c r="AB376" s="204">
        <v>45648</v>
      </c>
      <c r="AC376" s="39"/>
      <c r="AD376" s="39"/>
      <c r="AE376" s="39"/>
      <c r="AF376" s="39"/>
      <c r="AG376" s="114"/>
      <c r="AH376" s="39"/>
      <c r="AI376" s="39"/>
      <c r="AJ376" s="39"/>
      <c r="AK376" s="39"/>
      <c r="AL376" s="39"/>
      <c r="AM376" s="39"/>
      <c r="AN376" s="39"/>
    </row>
    <row r="377" spans="1:40" ht="16.5" customHeight="1">
      <c r="A377" s="39"/>
      <c r="B377" s="50"/>
      <c r="C377" s="95">
        <f t="shared" si="323"/>
        <v>358</v>
      </c>
      <c r="D377" s="96">
        <v>1</v>
      </c>
      <c r="E377" s="194" t="str">
        <f t="shared" si="314"/>
        <v>12</v>
      </c>
      <c r="F377" s="195">
        <f t="shared" si="324"/>
        <v>45649</v>
      </c>
      <c r="G377" s="196" t="str">
        <f t="shared" si="315"/>
        <v>Mon</v>
      </c>
      <c r="H377" s="197"/>
      <c r="I377" s="208"/>
      <c r="J377" s="209">
        <v>76050</v>
      </c>
      <c r="K377" s="136"/>
      <c r="L377" s="104">
        <f t="shared" si="412"/>
        <v>131330.28865979382</v>
      </c>
      <c r="M377" s="105">
        <f t="shared" si="316"/>
        <v>-55280.28865979382</v>
      </c>
      <c r="N377" s="106">
        <f t="shared" si="317"/>
        <v>0.5790743382663589</v>
      </c>
      <c r="O377" s="200"/>
      <c r="P377" s="170">
        <f t="shared" si="414"/>
        <v>2363945.1958762887</v>
      </c>
      <c r="Q377" s="104">
        <f t="shared" si="415"/>
        <v>1672500</v>
      </c>
      <c r="R377" s="108">
        <f t="shared" si="318"/>
        <v>-691445.19587628869</v>
      </c>
      <c r="S377" s="106">
        <f t="shared" si="319"/>
        <v>0.70750371155707881</v>
      </c>
      <c r="T377" s="133"/>
      <c r="U377" s="104">
        <f t="shared" si="325"/>
        <v>28700719.237113431</v>
      </c>
      <c r="V377" s="104">
        <f t="shared" si="326"/>
        <v>28704030</v>
      </c>
      <c r="W377" s="108">
        <f t="shared" si="320"/>
        <v>3310.7628865689039</v>
      </c>
      <c r="X377" s="106">
        <f t="shared" si="321"/>
        <v>1.0001153547010169</v>
      </c>
      <c r="Y377" s="39"/>
      <c r="Z377" s="202">
        <f t="shared" ref="Z377:AA377" si="437">Z376+1</f>
        <v>45649</v>
      </c>
      <c r="AA377" s="203">
        <f t="shared" si="437"/>
        <v>45649</v>
      </c>
      <c r="AB377" s="204">
        <v>45649</v>
      </c>
      <c r="AC377" s="39"/>
      <c r="AD377" s="39"/>
      <c r="AE377" s="39"/>
      <c r="AF377" s="39"/>
      <c r="AG377" s="114"/>
      <c r="AH377" s="39"/>
      <c r="AI377" s="39"/>
      <c r="AJ377" s="39"/>
      <c r="AK377" s="39"/>
      <c r="AL377" s="39"/>
      <c r="AM377" s="39"/>
      <c r="AN377" s="39"/>
    </row>
    <row r="378" spans="1:40" ht="16.5" customHeight="1">
      <c r="A378" s="39"/>
      <c r="B378" s="50"/>
      <c r="C378" s="95">
        <f t="shared" si="323"/>
        <v>359</v>
      </c>
      <c r="D378" s="96">
        <v>1</v>
      </c>
      <c r="E378" s="194" t="str">
        <f t="shared" si="314"/>
        <v>12</v>
      </c>
      <c r="F378" s="195">
        <f t="shared" si="324"/>
        <v>45650</v>
      </c>
      <c r="G378" s="196" t="str">
        <f t="shared" si="315"/>
        <v>Tue</v>
      </c>
      <c r="H378" s="197"/>
      <c r="I378" s="208"/>
      <c r="J378" s="209">
        <v>155700</v>
      </c>
      <c r="K378" s="136"/>
      <c r="L378" s="104">
        <f t="shared" si="412"/>
        <v>131330.28865979382</v>
      </c>
      <c r="M378" s="105">
        <f t="shared" si="316"/>
        <v>24369.71134020618</v>
      </c>
      <c r="N378" s="106">
        <f t="shared" si="317"/>
        <v>1.1855604795275749</v>
      </c>
      <c r="O378" s="200"/>
      <c r="P378" s="170">
        <f t="shared" si="414"/>
        <v>2495275.4845360825</v>
      </c>
      <c r="Q378" s="104">
        <f t="shared" si="415"/>
        <v>1828200</v>
      </c>
      <c r="R378" s="108">
        <f t="shared" si="318"/>
        <v>-667075.48453608248</v>
      </c>
      <c r="S378" s="106">
        <f t="shared" si="319"/>
        <v>0.73266459408184181</v>
      </c>
      <c r="T378" s="133"/>
      <c r="U378" s="104">
        <f t="shared" si="325"/>
        <v>28832049.525773223</v>
      </c>
      <c r="V378" s="104">
        <f t="shared" si="326"/>
        <v>28859730</v>
      </c>
      <c r="W378" s="108">
        <f t="shared" si="320"/>
        <v>27680.47422677651</v>
      </c>
      <c r="X378" s="106">
        <f t="shared" si="321"/>
        <v>1.0009600591939201</v>
      </c>
      <c r="Y378" s="39"/>
      <c r="Z378" s="202">
        <f t="shared" ref="Z378:AA378" si="438">Z377+1</f>
        <v>45650</v>
      </c>
      <c r="AA378" s="203">
        <f t="shared" si="438"/>
        <v>45650</v>
      </c>
      <c r="AB378" s="204">
        <v>45650</v>
      </c>
      <c r="AC378" s="39"/>
      <c r="AD378" s="39"/>
      <c r="AE378" s="39"/>
      <c r="AF378" s="39"/>
      <c r="AG378" s="114"/>
      <c r="AH378" s="39"/>
      <c r="AI378" s="39"/>
      <c r="AJ378" s="39"/>
      <c r="AK378" s="39"/>
      <c r="AL378" s="39"/>
      <c r="AM378" s="39"/>
      <c r="AN378" s="39"/>
    </row>
    <row r="379" spans="1:40" ht="16.5" customHeight="1">
      <c r="A379" s="39"/>
      <c r="B379" s="50"/>
      <c r="C379" s="95">
        <f t="shared" si="323"/>
        <v>360</v>
      </c>
      <c r="D379" s="96">
        <v>1</v>
      </c>
      <c r="E379" s="194" t="str">
        <f t="shared" si="314"/>
        <v>12</v>
      </c>
      <c r="F379" s="195">
        <f t="shared" si="324"/>
        <v>45651</v>
      </c>
      <c r="G379" s="196" t="str">
        <f t="shared" si="315"/>
        <v>Wed</v>
      </c>
      <c r="H379" s="197"/>
      <c r="I379" s="208"/>
      <c r="J379" s="209">
        <v>142100</v>
      </c>
      <c r="K379" s="136"/>
      <c r="L379" s="104">
        <f t="shared" si="412"/>
        <v>131330.28865979382</v>
      </c>
      <c r="M379" s="105">
        <f t="shared" si="316"/>
        <v>10769.71134020618</v>
      </c>
      <c r="N379" s="106">
        <f t="shared" si="317"/>
        <v>1.0820047793247809</v>
      </c>
      <c r="O379" s="200"/>
      <c r="P379" s="170">
        <f t="shared" si="414"/>
        <v>2626605.7731958763</v>
      </c>
      <c r="Q379" s="104">
        <f t="shared" si="415"/>
        <v>1970300</v>
      </c>
      <c r="R379" s="108">
        <f t="shared" si="318"/>
        <v>-656305.77319587627</v>
      </c>
      <c r="S379" s="106">
        <f t="shared" si="319"/>
        <v>0.75013160334398876</v>
      </c>
      <c r="T379" s="133"/>
      <c r="U379" s="104">
        <f t="shared" si="325"/>
        <v>28963379.814433016</v>
      </c>
      <c r="V379" s="104">
        <f t="shared" si="326"/>
        <v>29001830</v>
      </c>
      <c r="W379" s="108">
        <f t="shared" si="320"/>
        <v>38450.185566984117</v>
      </c>
      <c r="X379" s="106">
        <f t="shared" si="321"/>
        <v>1.0013275448450192</v>
      </c>
      <c r="Y379" s="39"/>
      <c r="Z379" s="202">
        <f t="shared" ref="Z379:AA379" si="439">Z378+1</f>
        <v>45651</v>
      </c>
      <c r="AA379" s="203">
        <f t="shared" si="439"/>
        <v>45651</v>
      </c>
      <c r="AB379" s="204">
        <v>45651</v>
      </c>
      <c r="AC379" s="39"/>
      <c r="AD379" s="39"/>
      <c r="AE379" s="39"/>
      <c r="AF379" s="39"/>
      <c r="AG379" s="114"/>
      <c r="AH379" s="39"/>
      <c r="AI379" s="39"/>
      <c r="AJ379" s="39"/>
      <c r="AK379" s="39"/>
      <c r="AL379" s="39"/>
      <c r="AM379" s="39"/>
      <c r="AN379" s="39"/>
    </row>
    <row r="380" spans="1:40" ht="16.5" customHeight="1">
      <c r="A380" s="39"/>
      <c r="B380" s="50"/>
      <c r="C380" s="95">
        <f t="shared" si="323"/>
        <v>361</v>
      </c>
      <c r="D380" s="96">
        <v>1</v>
      </c>
      <c r="E380" s="194" t="str">
        <f t="shared" si="314"/>
        <v>12</v>
      </c>
      <c r="F380" s="195">
        <f t="shared" si="324"/>
        <v>45652</v>
      </c>
      <c r="G380" s="196" t="str">
        <f t="shared" si="315"/>
        <v>Thu</v>
      </c>
      <c r="H380" s="197"/>
      <c r="I380" s="208"/>
      <c r="J380" s="209">
        <v>140200</v>
      </c>
      <c r="K380" s="136"/>
      <c r="L380" s="104">
        <f t="shared" si="412"/>
        <v>131330.28865979382</v>
      </c>
      <c r="M380" s="105">
        <f t="shared" si="316"/>
        <v>8869.7113402061805</v>
      </c>
      <c r="N380" s="106">
        <f t="shared" si="317"/>
        <v>1.067537438855273</v>
      </c>
      <c r="O380" s="200"/>
      <c r="P380" s="170">
        <f t="shared" si="414"/>
        <v>2757936.0618556701</v>
      </c>
      <c r="Q380" s="104">
        <f t="shared" si="415"/>
        <v>2110500</v>
      </c>
      <c r="R380" s="108">
        <f t="shared" si="318"/>
        <v>-647436.06185567006</v>
      </c>
      <c r="S380" s="106">
        <f t="shared" si="319"/>
        <v>0.76524616693976422</v>
      </c>
      <c r="T380" s="133"/>
      <c r="U380" s="104">
        <f t="shared" si="325"/>
        <v>29094710.103092808</v>
      </c>
      <c r="V380" s="104">
        <f t="shared" si="326"/>
        <v>29142030</v>
      </c>
      <c r="W380" s="108">
        <f t="shared" si="320"/>
        <v>47319.896907191724</v>
      </c>
      <c r="X380" s="106">
        <f t="shared" si="321"/>
        <v>1.0016264089499267</v>
      </c>
      <c r="Y380" s="39"/>
      <c r="Z380" s="202">
        <f t="shared" ref="Z380:AA380" si="440">Z379+1</f>
        <v>45652</v>
      </c>
      <c r="AA380" s="203">
        <f t="shared" si="440"/>
        <v>45652</v>
      </c>
      <c r="AB380" s="204">
        <v>45652</v>
      </c>
      <c r="AC380" s="39"/>
      <c r="AD380" s="39"/>
      <c r="AE380" s="39"/>
      <c r="AF380" s="39"/>
      <c r="AG380" s="114"/>
      <c r="AH380" s="39"/>
      <c r="AI380" s="39"/>
      <c r="AJ380" s="39"/>
      <c r="AK380" s="39"/>
      <c r="AL380" s="39"/>
      <c r="AM380" s="39"/>
      <c r="AN380" s="39"/>
    </row>
    <row r="381" spans="1:40" ht="16.5" customHeight="1">
      <c r="A381" s="39"/>
      <c r="B381" s="50"/>
      <c r="C381" s="95">
        <f t="shared" si="323"/>
        <v>362</v>
      </c>
      <c r="D381" s="96">
        <v>1</v>
      </c>
      <c r="E381" s="194" t="str">
        <f t="shared" si="314"/>
        <v>12</v>
      </c>
      <c r="F381" s="195">
        <f t="shared" si="324"/>
        <v>45653</v>
      </c>
      <c r="G381" s="196" t="str">
        <f t="shared" si="315"/>
        <v>Fri</v>
      </c>
      <c r="H381" s="197"/>
      <c r="I381" s="208"/>
      <c r="J381" s="209">
        <v>116150</v>
      </c>
      <c r="K381" s="136"/>
      <c r="L381" s="104">
        <f t="shared" si="412"/>
        <v>131330.28865979382</v>
      </c>
      <c r="M381" s="105">
        <f t="shared" si="316"/>
        <v>-15180.28865979382</v>
      </c>
      <c r="N381" s="106">
        <f t="shared" si="317"/>
        <v>0.88441136607018522</v>
      </c>
      <c r="O381" s="200"/>
      <c r="P381" s="170">
        <f t="shared" si="414"/>
        <v>2889266.3505154639</v>
      </c>
      <c r="Q381" s="104">
        <f t="shared" si="415"/>
        <v>2226650</v>
      </c>
      <c r="R381" s="108">
        <f t="shared" si="318"/>
        <v>-662616.35051546386</v>
      </c>
      <c r="S381" s="106">
        <f t="shared" si="319"/>
        <v>0.77066276690023794</v>
      </c>
      <c r="T381" s="133"/>
      <c r="U381" s="104">
        <f t="shared" si="325"/>
        <v>29226040.391752601</v>
      </c>
      <c r="V381" s="104">
        <f t="shared" si="326"/>
        <v>29258180</v>
      </c>
      <c r="W381" s="108">
        <f t="shared" si="320"/>
        <v>32139.60824739933</v>
      </c>
      <c r="X381" s="106">
        <f t="shared" si="321"/>
        <v>1.0010996908173873</v>
      </c>
      <c r="Y381" s="39"/>
      <c r="Z381" s="202">
        <f t="shared" ref="Z381:AA381" si="441">Z380+1</f>
        <v>45653</v>
      </c>
      <c r="AA381" s="203">
        <f t="shared" si="441"/>
        <v>45653</v>
      </c>
      <c r="AB381" s="204">
        <v>45653</v>
      </c>
      <c r="AC381" s="39"/>
      <c r="AD381" s="39"/>
      <c r="AE381" s="39"/>
      <c r="AF381" s="39"/>
      <c r="AG381" s="114"/>
      <c r="AH381" s="39"/>
      <c r="AI381" s="39"/>
      <c r="AJ381" s="39"/>
      <c r="AK381" s="39"/>
      <c r="AL381" s="39"/>
      <c r="AM381" s="39"/>
      <c r="AN381" s="39"/>
    </row>
    <row r="382" spans="1:40" ht="16.5" customHeight="1">
      <c r="A382" s="39"/>
      <c r="B382" s="50"/>
      <c r="C382" s="95">
        <f t="shared" si="323"/>
        <v>363</v>
      </c>
      <c r="D382" s="96">
        <v>1</v>
      </c>
      <c r="E382" s="194" t="str">
        <f t="shared" si="314"/>
        <v>12</v>
      </c>
      <c r="F382" s="195">
        <f t="shared" si="324"/>
        <v>45654</v>
      </c>
      <c r="G382" s="196" t="str">
        <f t="shared" si="315"/>
        <v>Sat</v>
      </c>
      <c r="H382" s="197"/>
      <c r="I382" s="208"/>
      <c r="J382" s="209">
        <v>94200</v>
      </c>
      <c r="K382" s="136"/>
      <c r="L382" s="104">
        <f t="shared" si="412"/>
        <v>131330.28865979382</v>
      </c>
      <c r="M382" s="105">
        <f t="shared" si="316"/>
        <v>-37130.28865979382</v>
      </c>
      <c r="N382" s="106">
        <f t="shared" si="317"/>
        <v>0.71727551169876402</v>
      </c>
      <c r="O382" s="200"/>
      <c r="P382" s="170">
        <f t="shared" si="414"/>
        <v>3020596.6391752576</v>
      </c>
      <c r="Q382" s="104">
        <f t="shared" si="415"/>
        <v>2320850</v>
      </c>
      <c r="R382" s="108">
        <f t="shared" si="318"/>
        <v>-699746.63917525765</v>
      </c>
      <c r="S382" s="106">
        <f t="shared" si="319"/>
        <v>0.76834158189147816</v>
      </c>
      <c r="T382" s="134"/>
      <c r="U382" s="104">
        <f t="shared" si="325"/>
        <v>29357370.680412393</v>
      </c>
      <c r="V382" s="104">
        <f t="shared" si="326"/>
        <v>29352380</v>
      </c>
      <c r="W382" s="108">
        <f t="shared" si="320"/>
        <v>-4990.6804123930633</v>
      </c>
      <c r="X382" s="106">
        <f t="shared" si="321"/>
        <v>0.99983000247308518</v>
      </c>
      <c r="Y382" s="39"/>
      <c r="Z382" s="202">
        <f t="shared" ref="Z382:AA382" si="442">Z381+1</f>
        <v>45654</v>
      </c>
      <c r="AA382" s="203">
        <f t="shared" si="442"/>
        <v>45654</v>
      </c>
      <c r="AB382" s="204">
        <v>45654</v>
      </c>
      <c r="AC382" s="39"/>
      <c r="AD382" s="39"/>
      <c r="AE382" s="39"/>
      <c r="AF382" s="39"/>
      <c r="AG382" s="114"/>
      <c r="AH382" s="39"/>
      <c r="AI382" s="39"/>
      <c r="AJ382" s="39"/>
      <c r="AK382" s="39"/>
      <c r="AL382" s="39"/>
      <c r="AM382" s="39"/>
      <c r="AN382" s="39"/>
    </row>
    <row r="383" spans="1:40" ht="16.5" customHeight="1">
      <c r="A383" s="39"/>
      <c r="B383" s="50"/>
      <c r="C383" s="95">
        <f t="shared" si="323"/>
        <v>364</v>
      </c>
      <c r="D383" s="96">
        <v>1</v>
      </c>
      <c r="E383" s="194" t="str">
        <f t="shared" si="314"/>
        <v>12</v>
      </c>
      <c r="F383" s="195">
        <f t="shared" si="324"/>
        <v>45655</v>
      </c>
      <c r="G383" s="196" t="str">
        <f t="shared" si="315"/>
        <v>Sun</v>
      </c>
      <c r="H383" s="197" t="s">
        <v>157</v>
      </c>
      <c r="I383" s="208"/>
      <c r="J383" s="209">
        <v>45400</v>
      </c>
      <c r="K383" s="136"/>
      <c r="L383" s="104">
        <f t="shared" si="412"/>
        <v>131330.28865979382</v>
      </c>
      <c r="M383" s="105">
        <f t="shared" si="316"/>
        <v>-85930.28865979382</v>
      </c>
      <c r="N383" s="106">
        <f t="shared" si="317"/>
        <v>0.34569329332403276</v>
      </c>
      <c r="O383" s="200"/>
      <c r="P383" s="170">
        <f t="shared" si="414"/>
        <v>3151926.9278350514</v>
      </c>
      <c r="Q383" s="104">
        <f t="shared" si="415"/>
        <v>2366250</v>
      </c>
      <c r="R383" s="108">
        <f t="shared" si="318"/>
        <v>-785676.92783505144</v>
      </c>
      <c r="S383" s="106">
        <f t="shared" si="319"/>
        <v>0.75073123653450125</v>
      </c>
      <c r="T383" s="133"/>
      <c r="U383" s="104">
        <f t="shared" si="325"/>
        <v>29488700.969072185</v>
      </c>
      <c r="V383" s="104">
        <f t="shared" si="326"/>
        <v>29397780</v>
      </c>
      <c r="W383" s="108">
        <f t="shared" si="320"/>
        <v>-90920.969072185457</v>
      </c>
      <c r="X383" s="106">
        <f t="shared" si="321"/>
        <v>0.99691675231243504</v>
      </c>
      <c r="Y383" s="39"/>
      <c r="Z383" s="202">
        <f t="shared" ref="Z383:AA383" si="443">Z382+1</f>
        <v>45655</v>
      </c>
      <c r="AA383" s="203">
        <f t="shared" si="443"/>
        <v>45655</v>
      </c>
      <c r="AB383" s="204">
        <v>45655</v>
      </c>
      <c r="AC383" s="39"/>
      <c r="AD383" s="39"/>
      <c r="AE383" s="39"/>
      <c r="AF383" s="39"/>
      <c r="AG383" s="114"/>
      <c r="AH383" s="39"/>
      <c r="AI383" s="39"/>
      <c r="AJ383" s="39"/>
      <c r="AK383" s="39"/>
      <c r="AL383" s="39"/>
      <c r="AM383" s="39"/>
      <c r="AN383" s="39"/>
    </row>
    <row r="384" spans="1:40" ht="16.5" customHeight="1">
      <c r="A384" s="39"/>
      <c r="B384" s="50"/>
      <c r="C384" s="95">
        <f t="shared" si="323"/>
        <v>365</v>
      </c>
      <c r="D384" s="96">
        <v>0</v>
      </c>
      <c r="E384" s="194" t="str">
        <f t="shared" si="314"/>
        <v>12</v>
      </c>
      <c r="F384" s="195">
        <f t="shared" si="324"/>
        <v>45656</v>
      </c>
      <c r="G384" s="196" t="str">
        <f t="shared" si="315"/>
        <v>Mon</v>
      </c>
      <c r="H384" s="197" t="s">
        <v>91</v>
      </c>
      <c r="I384" s="208"/>
      <c r="J384" s="209">
        <v>0</v>
      </c>
      <c r="K384" s="136"/>
      <c r="L384" s="104">
        <f t="shared" si="412"/>
        <v>0</v>
      </c>
      <c r="M384" s="105">
        <f t="shared" si="316"/>
        <v>0</v>
      </c>
      <c r="N384" s="106" t="str">
        <f t="shared" si="317"/>
        <v>0%</v>
      </c>
      <c r="O384" s="200"/>
      <c r="P384" s="170">
        <f t="shared" si="414"/>
        <v>0</v>
      </c>
      <c r="Q384" s="104">
        <f t="shared" si="415"/>
        <v>0</v>
      </c>
      <c r="R384" s="108">
        <f t="shared" si="318"/>
        <v>0</v>
      </c>
      <c r="S384" s="106" t="str">
        <f t="shared" si="319"/>
        <v>0%</v>
      </c>
      <c r="T384" s="134"/>
      <c r="U384" s="104">
        <f t="shared" si="325"/>
        <v>0</v>
      </c>
      <c r="V384" s="104">
        <f t="shared" si="326"/>
        <v>0</v>
      </c>
      <c r="W384" s="108">
        <f t="shared" si="320"/>
        <v>0</v>
      </c>
      <c r="X384" s="106" t="str">
        <f t="shared" si="321"/>
        <v>0%</v>
      </c>
      <c r="Y384" s="39"/>
      <c r="Z384" s="202">
        <f t="shared" ref="Z384:AA384" si="444">Z383+1</f>
        <v>45656</v>
      </c>
      <c r="AA384" s="203">
        <f t="shared" si="444"/>
        <v>45656</v>
      </c>
      <c r="AB384" s="204">
        <v>45656</v>
      </c>
      <c r="AC384" s="39"/>
      <c r="AD384" s="39"/>
      <c r="AE384" s="39"/>
      <c r="AF384" s="39"/>
      <c r="AG384" s="114"/>
      <c r="AH384" s="39"/>
      <c r="AI384" s="39"/>
      <c r="AJ384" s="39"/>
      <c r="AK384" s="39"/>
      <c r="AL384" s="39"/>
      <c r="AM384" s="39"/>
      <c r="AN384" s="39"/>
    </row>
    <row r="385" spans="1:40" ht="16.5" customHeight="1">
      <c r="A385" s="39"/>
      <c r="B385" s="50"/>
      <c r="C385" s="160">
        <f t="shared" si="323"/>
        <v>366</v>
      </c>
      <c r="D385" s="138">
        <v>0</v>
      </c>
      <c r="E385" s="210" t="str">
        <f t="shared" si="314"/>
        <v>12</v>
      </c>
      <c r="F385" s="211">
        <f t="shared" si="324"/>
        <v>45657</v>
      </c>
      <c r="G385" s="212" t="str">
        <f t="shared" si="315"/>
        <v>Tue</v>
      </c>
      <c r="H385" s="213" t="s">
        <v>123</v>
      </c>
      <c r="I385" s="214"/>
      <c r="J385" s="215">
        <v>0</v>
      </c>
      <c r="K385" s="136"/>
      <c r="L385" s="165">
        <f t="shared" si="412"/>
        <v>0</v>
      </c>
      <c r="M385" s="147">
        <f t="shared" si="316"/>
        <v>0</v>
      </c>
      <c r="N385" s="161" t="str">
        <f t="shared" si="317"/>
        <v>0%</v>
      </c>
      <c r="O385" s="216"/>
      <c r="P385" s="153">
        <f t="shared" si="414"/>
        <v>0</v>
      </c>
      <c r="Q385" s="165">
        <f t="shared" si="415"/>
        <v>0</v>
      </c>
      <c r="R385" s="167">
        <f t="shared" si="318"/>
        <v>0</v>
      </c>
      <c r="S385" s="161" t="str">
        <f t="shared" si="319"/>
        <v>0%</v>
      </c>
      <c r="T385" s="168"/>
      <c r="U385" s="165">
        <f t="shared" si="325"/>
        <v>0</v>
      </c>
      <c r="V385" s="165">
        <f t="shared" si="326"/>
        <v>0</v>
      </c>
      <c r="W385" s="167">
        <f t="shared" si="320"/>
        <v>0</v>
      </c>
      <c r="X385" s="161" t="str">
        <f t="shared" si="321"/>
        <v>0%</v>
      </c>
      <c r="Y385" s="39"/>
      <c r="Z385" s="202">
        <f t="shared" ref="Z385:AA385" si="445">Z384+1</f>
        <v>45657</v>
      </c>
      <c r="AA385" s="203">
        <f t="shared" si="445"/>
        <v>45657</v>
      </c>
      <c r="AB385" s="204">
        <v>45657</v>
      </c>
      <c r="AC385" s="39"/>
      <c r="AD385" s="39"/>
      <c r="AE385" s="39"/>
      <c r="AF385" s="39"/>
      <c r="AG385" s="114"/>
      <c r="AH385" s="39"/>
      <c r="AI385" s="39"/>
      <c r="AJ385" s="39"/>
      <c r="AK385" s="39"/>
      <c r="AL385" s="39"/>
      <c r="AM385" s="39"/>
      <c r="AN385" s="39"/>
    </row>
    <row r="386" spans="1:40" ht="16.5" customHeight="1">
      <c r="A386" s="39"/>
      <c r="B386" s="39"/>
      <c r="C386" s="39"/>
      <c r="D386" s="40"/>
      <c r="E386" s="39"/>
      <c r="F386" s="39"/>
      <c r="G386" s="39"/>
      <c r="H386" s="39"/>
      <c r="I386" s="39"/>
      <c r="J386" s="39"/>
      <c r="K386" s="41"/>
      <c r="L386" s="39"/>
      <c r="M386" s="39"/>
      <c r="N386" s="39"/>
      <c r="O386" s="39"/>
      <c r="P386" s="39"/>
      <c r="Q386" s="39"/>
      <c r="R386" s="39"/>
      <c r="S386" s="39"/>
      <c r="T386" s="39"/>
      <c r="U386" s="39"/>
      <c r="V386" s="39"/>
      <c r="W386" s="39"/>
      <c r="X386" s="39"/>
      <c r="Y386" s="39"/>
      <c r="Z386" s="39"/>
      <c r="AA386" s="39"/>
      <c r="AB386" s="39"/>
      <c r="AC386" s="39"/>
      <c r="AD386" s="39"/>
      <c r="AE386" s="39"/>
      <c r="AF386" s="39"/>
      <c r="AG386" s="39"/>
      <c r="AH386" s="39"/>
      <c r="AI386" s="39"/>
      <c r="AJ386" s="39"/>
      <c r="AK386" s="39"/>
      <c r="AL386" s="39"/>
      <c r="AM386" s="39"/>
      <c r="AN386" s="39"/>
    </row>
    <row r="387" spans="1:40" ht="16.5" customHeight="1">
      <c r="A387" s="44"/>
      <c r="B387" s="44"/>
      <c r="C387" s="44"/>
      <c r="D387" s="172"/>
      <c r="E387" s="44"/>
      <c r="F387" s="44"/>
      <c r="G387" s="44"/>
      <c r="H387" s="44"/>
      <c r="I387" s="44"/>
      <c r="J387" s="44"/>
      <c r="K387" s="53"/>
      <c r="L387" s="44"/>
      <c r="M387" s="44"/>
      <c r="N387" s="44"/>
      <c r="O387" s="44"/>
      <c r="P387" s="44"/>
      <c r="Q387" s="44"/>
      <c r="R387" s="44"/>
      <c r="S387" s="44"/>
      <c r="T387" s="44"/>
      <c r="U387" s="44"/>
      <c r="V387" s="44"/>
      <c r="W387" s="44"/>
      <c r="X387" s="44"/>
      <c r="Y387" s="44"/>
      <c r="Z387" s="44"/>
      <c r="AA387" s="44"/>
      <c r="AB387" s="44"/>
      <c r="AC387" s="44"/>
      <c r="AD387" s="44"/>
      <c r="AE387" s="44"/>
      <c r="AF387" s="44"/>
      <c r="AG387" s="44"/>
      <c r="AH387" s="44"/>
      <c r="AI387" s="44"/>
      <c r="AJ387" s="44"/>
      <c r="AK387" s="44"/>
      <c r="AL387" s="44"/>
      <c r="AM387" s="44"/>
      <c r="AN387" s="44"/>
    </row>
    <row r="388" spans="1:40" ht="16.5" customHeight="1">
      <c r="A388" s="44"/>
      <c r="B388" s="44"/>
      <c r="C388" s="44"/>
      <c r="D388" s="172"/>
      <c r="E388" s="44"/>
      <c r="F388" s="44"/>
      <c r="G388" s="44"/>
      <c r="H388" s="44"/>
      <c r="I388" s="44"/>
      <c r="J388" s="44"/>
      <c r="K388" s="53"/>
      <c r="L388" s="44"/>
      <c r="M388" s="44"/>
      <c r="N388" s="44"/>
      <c r="O388" s="44"/>
      <c r="P388" s="44"/>
      <c r="Q388" s="44"/>
      <c r="R388" s="44"/>
      <c r="S388" s="44"/>
      <c r="T388" s="44"/>
      <c r="U388" s="44"/>
      <c r="V388" s="44"/>
      <c r="W388" s="44"/>
      <c r="X388" s="44"/>
      <c r="Y388" s="44"/>
      <c r="Z388" s="44"/>
      <c r="AA388" s="44"/>
      <c r="AB388" s="44"/>
      <c r="AC388" s="44"/>
      <c r="AD388" s="44"/>
      <c r="AE388" s="44"/>
      <c r="AF388" s="44"/>
      <c r="AG388" s="44"/>
      <c r="AH388" s="44"/>
      <c r="AI388" s="44"/>
      <c r="AJ388" s="44"/>
      <c r="AK388" s="44"/>
      <c r="AL388" s="44"/>
      <c r="AM388" s="44"/>
      <c r="AN388" s="44"/>
    </row>
    <row r="389" spans="1:40" ht="16.5" customHeight="1">
      <c r="A389" s="44"/>
      <c r="B389" s="44"/>
      <c r="C389" s="44"/>
      <c r="D389" s="172"/>
      <c r="E389" s="44"/>
      <c r="F389" s="44"/>
      <c r="G389" s="44"/>
      <c r="H389" s="44"/>
      <c r="I389" s="44"/>
      <c r="J389" s="44"/>
      <c r="K389" s="53"/>
      <c r="L389" s="44"/>
      <c r="M389" s="44"/>
      <c r="N389" s="44"/>
      <c r="O389" s="44"/>
      <c r="P389" s="44"/>
      <c r="Q389" s="44"/>
      <c r="R389" s="44"/>
      <c r="S389" s="44"/>
      <c r="T389" s="44"/>
      <c r="U389" s="44"/>
      <c r="V389" s="44"/>
      <c r="W389" s="44"/>
      <c r="X389" s="44"/>
      <c r="Y389" s="44"/>
      <c r="Z389" s="44"/>
      <c r="AA389" s="44"/>
      <c r="AB389" s="44"/>
      <c r="AC389" s="44"/>
      <c r="AD389" s="44"/>
      <c r="AE389" s="44"/>
      <c r="AF389" s="44"/>
      <c r="AG389" s="44"/>
      <c r="AH389" s="44"/>
      <c r="AI389" s="44"/>
      <c r="AJ389" s="44"/>
      <c r="AK389" s="44"/>
      <c r="AL389" s="44"/>
      <c r="AM389" s="44"/>
      <c r="AN389" s="44"/>
    </row>
    <row r="390" spans="1:40" ht="16.5" customHeight="1">
      <c r="A390" s="44"/>
      <c r="B390" s="44"/>
      <c r="C390" s="44"/>
      <c r="D390" s="172"/>
      <c r="E390" s="44"/>
      <c r="F390" s="44"/>
      <c r="G390" s="44"/>
      <c r="H390" s="44"/>
      <c r="I390" s="44"/>
      <c r="J390" s="44"/>
      <c r="K390" s="53"/>
      <c r="L390" s="44"/>
      <c r="M390" s="44"/>
      <c r="N390" s="44"/>
      <c r="O390" s="44"/>
      <c r="P390" s="44"/>
      <c r="Q390" s="44"/>
      <c r="R390" s="44"/>
      <c r="S390" s="44"/>
      <c r="T390" s="44"/>
      <c r="U390" s="44"/>
      <c r="V390" s="44"/>
      <c r="W390" s="44"/>
      <c r="X390" s="44"/>
      <c r="Y390" s="44"/>
      <c r="Z390" s="44"/>
      <c r="AA390" s="44"/>
      <c r="AB390" s="44"/>
      <c r="AC390" s="44"/>
      <c r="AD390" s="44"/>
      <c r="AE390" s="44"/>
      <c r="AF390" s="44"/>
      <c r="AG390" s="44"/>
      <c r="AH390" s="44"/>
      <c r="AI390" s="44"/>
      <c r="AJ390" s="44"/>
      <c r="AK390" s="44"/>
      <c r="AL390" s="44"/>
      <c r="AM390" s="44"/>
      <c r="AN390" s="44"/>
    </row>
    <row r="391" spans="1:40" ht="16.5" customHeight="1">
      <c r="A391" s="44"/>
      <c r="B391" s="44"/>
      <c r="C391" s="44"/>
      <c r="D391" s="172"/>
      <c r="E391" s="44"/>
      <c r="F391" s="44"/>
      <c r="G391" s="44"/>
      <c r="H391" s="44"/>
      <c r="I391" s="44"/>
      <c r="J391" s="44"/>
      <c r="K391" s="53"/>
      <c r="L391" s="44"/>
      <c r="M391" s="44"/>
      <c r="N391" s="44"/>
      <c r="O391" s="44"/>
      <c r="P391" s="44"/>
      <c r="Q391" s="44"/>
      <c r="R391" s="44"/>
      <c r="S391" s="44"/>
      <c r="T391" s="44"/>
      <c r="U391" s="44"/>
      <c r="V391" s="44"/>
      <c r="W391" s="44"/>
      <c r="X391" s="44"/>
      <c r="Y391" s="44"/>
      <c r="Z391" s="44"/>
      <c r="AA391" s="44"/>
      <c r="AB391" s="44"/>
      <c r="AC391" s="44"/>
      <c r="AD391" s="44"/>
      <c r="AE391" s="44"/>
      <c r="AF391" s="44"/>
      <c r="AG391" s="44"/>
      <c r="AH391" s="44"/>
      <c r="AI391" s="44"/>
      <c r="AJ391" s="44"/>
      <c r="AK391" s="44"/>
      <c r="AL391" s="44"/>
      <c r="AM391" s="44"/>
      <c r="AN391" s="44"/>
    </row>
    <row r="392" spans="1:40" ht="16.5" customHeight="1">
      <c r="A392" s="44"/>
      <c r="B392" s="44"/>
      <c r="C392" s="44"/>
      <c r="D392" s="172"/>
      <c r="E392" s="44"/>
      <c r="F392" s="44"/>
      <c r="G392" s="44"/>
      <c r="H392" s="44"/>
      <c r="I392" s="44"/>
      <c r="J392" s="44"/>
      <c r="K392" s="53"/>
      <c r="L392" s="44"/>
      <c r="M392" s="44"/>
      <c r="N392" s="44"/>
      <c r="O392" s="44"/>
      <c r="P392" s="44"/>
      <c r="Q392" s="44"/>
      <c r="R392" s="44"/>
      <c r="S392" s="44"/>
      <c r="T392" s="44"/>
      <c r="U392" s="44"/>
      <c r="V392" s="44"/>
      <c r="W392" s="44"/>
      <c r="X392" s="44"/>
      <c r="Y392" s="44"/>
      <c r="Z392" s="44"/>
      <c r="AA392" s="44"/>
      <c r="AB392" s="44"/>
      <c r="AC392" s="44"/>
      <c r="AD392" s="44"/>
      <c r="AE392" s="44"/>
      <c r="AF392" s="44"/>
      <c r="AG392" s="44"/>
      <c r="AH392" s="44"/>
      <c r="AI392" s="44"/>
      <c r="AJ392" s="44"/>
      <c r="AK392" s="44"/>
      <c r="AL392" s="44"/>
      <c r="AM392" s="44"/>
      <c r="AN392" s="44"/>
    </row>
    <row r="393" spans="1:40" ht="16.5" customHeight="1">
      <c r="A393" s="44"/>
      <c r="B393" s="44"/>
      <c r="C393" s="44"/>
      <c r="D393" s="172"/>
      <c r="E393" s="44"/>
      <c r="F393" s="44"/>
      <c r="G393" s="44"/>
      <c r="H393" s="44"/>
      <c r="I393" s="44"/>
      <c r="J393" s="44"/>
      <c r="K393" s="53"/>
      <c r="L393" s="44"/>
      <c r="M393" s="44"/>
      <c r="N393" s="44"/>
      <c r="O393" s="44"/>
      <c r="P393" s="44"/>
      <c r="Q393" s="44"/>
      <c r="R393" s="44"/>
      <c r="S393" s="44"/>
      <c r="T393" s="44"/>
      <c r="U393" s="44"/>
      <c r="V393" s="44"/>
      <c r="W393" s="44"/>
      <c r="X393" s="44"/>
      <c r="Y393" s="44"/>
      <c r="Z393" s="44"/>
      <c r="AA393" s="44"/>
      <c r="AB393" s="44"/>
      <c r="AC393" s="44"/>
      <c r="AD393" s="44"/>
      <c r="AE393" s="44"/>
      <c r="AF393" s="44"/>
      <c r="AG393" s="44"/>
      <c r="AH393" s="44"/>
      <c r="AI393" s="44"/>
      <c r="AJ393" s="44"/>
      <c r="AK393" s="44"/>
      <c r="AL393" s="44"/>
      <c r="AM393" s="44"/>
      <c r="AN393" s="44"/>
    </row>
    <row r="394" spans="1:40" ht="16.5" customHeight="1">
      <c r="A394" s="44"/>
      <c r="B394" s="44"/>
      <c r="C394" s="44"/>
      <c r="D394" s="172"/>
      <c r="E394" s="44"/>
      <c r="F394" s="44"/>
      <c r="G394" s="44"/>
      <c r="H394" s="44"/>
      <c r="I394" s="44"/>
      <c r="J394" s="44"/>
      <c r="K394" s="53"/>
      <c r="L394" s="44"/>
      <c r="M394" s="44"/>
      <c r="N394" s="44"/>
      <c r="O394" s="44"/>
      <c r="P394" s="44"/>
      <c r="Q394" s="44"/>
      <c r="R394" s="44"/>
      <c r="S394" s="44"/>
      <c r="T394" s="44"/>
      <c r="U394" s="44"/>
      <c r="V394" s="44"/>
      <c r="W394" s="44"/>
      <c r="X394" s="44"/>
      <c r="Y394" s="44"/>
      <c r="Z394" s="44"/>
      <c r="AA394" s="44"/>
      <c r="AB394" s="44"/>
      <c r="AC394" s="44"/>
      <c r="AD394" s="44"/>
      <c r="AE394" s="44"/>
      <c r="AF394" s="44"/>
      <c r="AG394" s="44"/>
      <c r="AH394" s="44"/>
      <c r="AI394" s="44"/>
      <c r="AJ394" s="44"/>
      <c r="AK394" s="44"/>
      <c r="AL394" s="44"/>
      <c r="AM394" s="44"/>
      <c r="AN394" s="44"/>
    </row>
    <row r="395" spans="1:40" ht="16.5" customHeight="1">
      <c r="A395" s="44"/>
      <c r="B395" s="44"/>
      <c r="C395" s="44"/>
      <c r="D395" s="172"/>
      <c r="E395" s="44"/>
      <c r="F395" s="44"/>
      <c r="G395" s="44"/>
      <c r="H395" s="44"/>
      <c r="I395" s="44"/>
      <c r="J395" s="44"/>
      <c r="K395" s="53"/>
      <c r="L395" s="44"/>
      <c r="M395" s="44"/>
      <c r="N395" s="44"/>
      <c r="O395" s="44"/>
      <c r="P395" s="44"/>
      <c r="Q395" s="44"/>
      <c r="R395" s="44"/>
      <c r="S395" s="44"/>
      <c r="T395" s="44"/>
      <c r="U395" s="44"/>
      <c r="V395" s="44"/>
      <c r="W395" s="44"/>
      <c r="X395" s="44"/>
      <c r="Y395" s="44"/>
      <c r="Z395" s="44"/>
      <c r="AA395" s="44"/>
      <c r="AB395" s="44"/>
      <c r="AC395" s="44"/>
      <c r="AD395" s="44"/>
      <c r="AE395" s="44"/>
      <c r="AF395" s="44"/>
      <c r="AG395" s="44"/>
      <c r="AH395" s="44"/>
      <c r="AI395" s="44"/>
      <c r="AJ395" s="44"/>
      <c r="AK395" s="44"/>
      <c r="AL395" s="44"/>
      <c r="AM395" s="44"/>
      <c r="AN395" s="44"/>
    </row>
    <row r="396" spans="1:40" ht="16.5" customHeight="1">
      <c r="A396" s="44"/>
      <c r="B396" s="44"/>
      <c r="C396" s="44"/>
      <c r="D396" s="172"/>
      <c r="E396" s="44"/>
      <c r="F396" s="44"/>
      <c r="G396" s="44"/>
      <c r="H396" s="44"/>
      <c r="I396" s="44"/>
      <c r="J396" s="44"/>
      <c r="K396" s="53"/>
      <c r="L396" s="44"/>
      <c r="M396" s="44"/>
      <c r="N396" s="44"/>
      <c r="O396" s="44"/>
      <c r="P396" s="44"/>
      <c r="Q396" s="44"/>
      <c r="R396" s="44"/>
      <c r="S396" s="44"/>
      <c r="T396" s="44"/>
      <c r="U396" s="44"/>
      <c r="V396" s="44"/>
      <c r="W396" s="44"/>
      <c r="X396" s="44"/>
      <c r="Y396" s="44"/>
      <c r="Z396" s="44"/>
      <c r="AA396" s="44"/>
      <c r="AB396" s="44"/>
      <c r="AC396" s="44"/>
      <c r="AD396" s="44"/>
      <c r="AE396" s="44"/>
      <c r="AF396" s="44"/>
      <c r="AG396" s="44"/>
      <c r="AH396" s="44"/>
      <c r="AI396" s="44"/>
      <c r="AJ396" s="44"/>
      <c r="AK396" s="44"/>
      <c r="AL396" s="44"/>
      <c r="AM396" s="44"/>
      <c r="AN396" s="44"/>
    </row>
    <row r="397" spans="1:40" ht="16.5" customHeight="1">
      <c r="A397" s="44"/>
      <c r="B397" s="44"/>
      <c r="C397" s="44"/>
      <c r="D397" s="172"/>
      <c r="E397" s="44"/>
      <c r="F397" s="44"/>
      <c r="G397" s="44"/>
      <c r="H397" s="44"/>
      <c r="I397" s="44"/>
      <c r="J397" s="44"/>
      <c r="K397" s="53"/>
      <c r="L397" s="44"/>
      <c r="M397" s="44"/>
      <c r="N397" s="44"/>
      <c r="O397" s="44"/>
      <c r="P397" s="44"/>
      <c r="Q397" s="44"/>
      <c r="R397" s="44"/>
      <c r="S397" s="44"/>
      <c r="T397" s="44"/>
      <c r="U397" s="44"/>
      <c r="V397" s="44"/>
      <c r="W397" s="44"/>
      <c r="X397" s="44"/>
      <c r="Y397" s="44"/>
      <c r="Z397" s="44"/>
      <c r="AA397" s="44"/>
      <c r="AB397" s="44"/>
      <c r="AC397" s="44"/>
      <c r="AD397" s="44"/>
      <c r="AE397" s="44"/>
      <c r="AF397" s="44"/>
      <c r="AG397" s="44"/>
      <c r="AH397" s="44"/>
      <c r="AI397" s="44"/>
      <c r="AJ397" s="44"/>
      <c r="AK397" s="44"/>
      <c r="AL397" s="44"/>
      <c r="AM397" s="44"/>
      <c r="AN397" s="44"/>
    </row>
    <row r="398" spans="1:40" ht="16.5" customHeight="1">
      <c r="A398" s="44"/>
      <c r="B398" s="44"/>
      <c r="C398" s="44"/>
      <c r="D398" s="172"/>
      <c r="E398" s="44"/>
      <c r="F398" s="44"/>
      <c r="G398" s="44"/>
      <c r="H398" s="44"/>
      <c r="I398" s="44"/>
      <c r="J398" s="44"/>
      <c r="K398" s="53"/>
      <c r="L398" s="44"/>
      <c r="M398" s="44"/>
      <c r="N398" s="44"/>
      <c r="O398" s="44"/>
      <c r="P398" s="44"/>
      <c r="Q398" s="44"/>
      <c r="R398" s="44"/>
      <c r="S398" s="44"/>
      <c r="T398" s="44"/>
      <c r="U398" s="44"/>
      <c r="V398" s="44"/>
      <c r="W398" s="44"/>
      <c r="X398" s="44"/>
      <c r="Y398" s="44"/>
      <c r="Z398" s="44"/>
      <c r="AA398" s="44"/>
      <c r="AB398" s="44"/>
      <c r="AC398" s="44"/>
      <c r="AD398" s="44"/>
      <c r="AE398" s="44"/>
      <c r="AF398" s="44"/>
      <c r="AG398" s="44"/>
      <c r="AH398" s="44"/>
      <c r="AI398" s="44"/>
      <c r="AJ398" s="44"/>
      <c r="AK398" s="44"/>
      <c r="AL398" s="44"/>
      <c r="AM398" s="44"/>
      <c r="AN398" s="44"/>
    </row>
    <row r="399" spans="1:40" ht="16.5" customHeight="1">
      <c r="A399" s="44"/>
      <c r="B399" s="44"/>
      <c r="C399" s="44"/>
      <c r="D399" s="172"/>
      <c r="E399" s="44"/>
      <c r="F399" s="44"/>
      <c r="G399" s="44"/>
      <c r="H399" s="44"/>
      <c r="I399" s="44"/>
      <c r="J399" s="44"/>
      <c r="K399" s="53"/>
      <c r="L399" s="44"/>
      <c r="M399" s="44"/>
      <c r="N399" s="44"/>
      <c r="O399" s="44"/>
      <c r="P399" s="44"/>
      <c r="Q399" s="44"/>
      <c r="R399" s="44"/>
      <c r="S399" s="44"/>
      <c r="T399" s="44"/>
      <c r="U399" s="44"/>
      <c r="V399" s="44"/>
      <c r="W399" s="44"/>
      <c r="X399" s="44"/>
      <c r="Y399" s="44"/>
      <c r="Z399" s="44"/>
      <c r="AA399" s="44"/>
      <c r="AB399" s="44"/>
      <c r="AC399" s="44"/>
      <c r="AD399" s="44"/>
      <c r="AE399" s="44"/>
      <c r="AF399" s="44"/>
      <c r="AG399" s="44"/>
      <c r="AH399" s="44"/>
      <c r="AI399" s="44"/>
      <c r="AJ399" s="44"/>
      <c r="AK399" s="44"/>
      <c r="AL399" s="44"/>
      <c r="AM399" s="44"/>
      <c r="AN399" s="44"/>
    </row>
    <row r="400" spans="1:40" ht="16.5" customHeight="1">
      <c r="A400" s="44"/>
      <c r="B400" s="44"/>
      <c r="C400" s="44"/>
      <c r="D400" s="172"/>
      <c r="E400" s="44"/>
      <c r="F400" s="44"/>
      <c r="G400" s="44"/>
      <c r="H400" s="44"/>
      <c r="I400" s="44"/>
      <c r="J400" s="44"/>
      <c r="K400" s="53"/>
      <c r="L400" s="44"/>
      <c r="M400" s="44"/>
      <c r="N400" s="44"/>
      <c r="O400" s="44"/>
      <c r="P400" s="44"/>
      <c r="Q400" s="44"/>
      <c r="R400" s="44"/>
      <c r="S400" s="44"/>
      <c r="T400" s="44"/>
      <c r="U400" s="44"/>
      <c r="V400" s="44"/>
      <c r="W400" s="44"/>
      <c r="X400" s="44"/>
      <c r="Y400" s="44"/>
      <c r="Z400" s="44"/>
      <c r="AA400" s="44"/>
      <c r="AB400" s="44"/>
      <c r="AC400" s="44"/>
      <c r="AD400" s="44"/>
      <c r="AE400" s="44"/>
      <c r="AF400" s="44"/>
      <c r="AG400" s="44"/>
      <c r="AH400" s="44"/>
      <c r="AI400" s="44"/>
      <c r="AJ400" s="44"/>
      <c r="AK400" s="44"/>
      <c r="AL400" s="44"/>
      <c r="AM400" s="44"/>
      <c r="AN400" s="44"/>
    </row>
    <row r="401" spans="1:40" ht="16.5" customHeight="1">
      <c r="A401" s="44"/>
      <c r="B401" s="44"/>
      <c r="C401" s="44"/>
      <c r="D401" s="172"/>
      <c r="E401" s="44"/>
      <c r="F401" s="44"/>
      <c r="G401" s="44"/>
      <c r="H401" s="44"/>
      <c r="I401" s="44"/>
      <c r="J401" s="44"/>
      <c r="K401" s="53"/>
      <c r="L401" s="44"/>
      <c r="M401" s="44"/>
      <c r="N401" s="44"/>
      <c r="O401" s="44"/>
      <c r="P401" s="44"/>
      <c r="Q401" s="44"/>
      <c r="R401" s="44"/>
      <c r="S401" s="44"/>
      <c r="T401" s="44"/>
      <c r="U401" s="44"/>
      <c r="V401" s="44"/>
      <c r="W401" s="44"/>
      <c r="X401" s="44"/>
      <c r="Y401" s="44"/>
      <c r="Z401" s="44"/>
      <c r="AA401" s="44"/>
      <c r="AB401" s="44"/>
      <c r="AC401" s="44"/>
      <c r="AD401" s="44"/>
      <c r="AE401" s="44"/>
      <c r="AF401" s="44"/>
      <c r="AG401" s="44"/>
      <c r="AH401" s="44"/>
      <c r="AI401" s="44"/>
      <c r="AJ401" s="44"/>
      <c r="AK401" s="44"/>
      <c r="AL401" s="44"/>
      <c r="AM401" s="44"/>
      <c r="AN401" s="44"/>
    </row>
    <row r="402" spans="1:40" ht="16.5" customHeight="1">
      <c r="A402" s="44"/>
      <c r="B402" s="44"/>
      <c r="C402" s="44"/>
      <c r="D402" s="172"/>
      <c r="E402" s="44"/>
      <c r="F402" s="44"/>
      <c r="G402" s="44"/>
      <c r="H402" s="44"/>
      <c r="I402" s="44"/>
      <c r="J402" s="44"/>
      <c r="K402" s="53"/>
      <c r="L402" s="44"/>
      <c r="M402" s="44"/>
      <c r="N402" s="44"/>
      <c r="O402" s="44"/>
      <c r="P402" s="44"/>
      <c r="Q402" s="44"/>
      <c r="R402" s="44"/>
      <c r="S402" s="44"/>
      <c r="T402" s="44"/>
      <c r="U402" s="44"/>
      <c r="V402" s="44"/>
      <c r="W402" s="44"/>
      <c r="X402" s="44"/>
      <c r="Y402" s="44"/>
      <c r="Z402" s="44"/>
      <c r="AA402" s="44"/>
      <c r="AB402" s="44"/>
      <c r="AC402" s="44"/>
      <c r="AD402" s="44"/>
      <c r="AE402" s="44"/>
      <c r="AF402" s="44"/>
      <c r="AG402" s="44"/>
      <c r="AH402" s="44"/>
      <c r="AI402" s="44"/>
      <c r="AJ402" s="44"/>
      <c r="AK402" s="44"/>
      <c r="AL402" s="44"/>
      <c r="AM402" s="44"/>
      <c r="AN402" s="44"/>
    </row>
    <row r="403" spans="1:40" ht="16.5" customHeight="1">
      <c r="A403" s="44"/>
      <c r="B403" s="44"/>
      <c r="C403" s="44"/>
      <c r="D403" s="172"/>
      <c r="E403" s="44"/>
      <c r="F403" s="44"/>
      <c r="G403" s="44"/>
      <c r="H403" s="44"/>
      <c r="I403" s="44"/>
      <c r="J403" s="44"/>
      <c r="K403" s="53"/>
      <c r="L403" s="44"/>
      <c r="M403" s="44"/>
      <c r="N403" s="44"/>
      <c r="O403" s="44"/>
      <c r="P403" s="44"/>
      <c r="Q403" s="44"/>
      <c r="R403" s="44"/>
      <c r="S403" s="44"/>
      <c r="T403" s="44"/>
      <c r="U403" s="44"/>
      <c r="V403" s="44"/>
      <c r="W403" s="44"/>
      <c r="X403" s="44"/>
      <c r="Y403" s="44"/>
      <c r="Z403" s="44"/>
      <c r="AA403" s="44"/>
      <c r="AB403" s="44"/>
      <c r="AC403" s="44"/>
      <c r="AD403" s="44"/>
      <c r="AE403" s="44"/>
      <c r="AF403" s="44"/>
      <c r="AG403" s="44"/>
      <c r="AH403" s="44"/>
      <c r="AI403" s="44"/>
      <c r="AJ403" s="44"/>
      <c r="AK403" s="44"/>
      <c r="AL403" s="44"/>
      <c r="AM403" s="44"/>
      <c r="AN403" s="44"/>
    </row>
    <row r="404" spans="1:40" ht="16.5" customHeight="1">
      <c r="A404" s="44"/>
      <c r="B404" s="44"/>
      <c r="C404" s="44"/>
      <c r="D404" s="172"/>
      <c r="E404" s="44"/>
      <c r="F404" s="44"/>
      <c r="G404" s="44"/>
      <c r="H404" s="44"/>
      <c r="I404" s="44"/>
      <c r="J404" s="44"/>
      <c r="K404" s="53"/>
      <c r="L404" s="44"/>
      <c r="M404" s="44"/>
      <c r="N404" s="44"/>
      <c r="O404" s="44"/>
      <c r="P404" s="44"/>
      <c r="Q404" s="44"/>
      <c r="R404" s="44"/>
      <c r="S404" s="44"/>
      <c r="T404" s="44"/>
      <c r="U404" s="44"/>
      <c r="V404" s="44"/>
      <c r="W404" s="44"/>
      <c r="X404" s="44"/>
      <c r="Y404" s="44"/>
      <c r="Z404" s="44"/>
      <c r="AA404" s="44"/>
      <c r="AB404" s="44"/>
      <c r="AC404" s="44"/>
      <c r="AD404" s="44"/>
      <c r="AE404" s="44"/>
      <c r="AF404" s="44"/>
      <c r="AG404" s="44"/>
      <c r="AH404" s="44"/>
      <c r="AI404" s="44"/>
      <c r="AJ404" s="44"/>
      <c r="AK404" s="44"/>
      <c r="AL404" s="44"/>
      <c r="AM404" s="44"/>
      <c r="AN404" s="44"/>
    </row>
    <row r="405" spans="1:40" ht="16.5" customHeight="1">
      <c r="A405" s="44"/>
      <c r="B405" s="44"/>
      <c r="C405" s="44"/>
      <c r="D405" s="172"/>
      <c r="E405" s="44"/>
      <c r="F405" s="44"/>
      <c r="G405" s="44"/>
      <c r="H405" s="44"/>
      <c r="I405" s="44"/>
      <c r="J405" s="44"/>
      <c r="K405" s="53"/>
      <c r="L405" s="44"/>
      <c r="M405" s="44"/>
      <c r="N405" s="44"/>
      <c r="O405" s="44"/>
      <c r="P405" s="44"/>
      <c r="Q405" s="44"/>
      <c r="R405" s="44"/>
      <c r="S405" s="44"/>
      <c r="T405" s="44"/>
      <c r="U405" s="44"/>
      <c r="V405" s="44"/>
      <c r="W405" s="44"/>
      <c r="X405" s="44"/>
      <c r="Y405" s="44"/>
      <c r="Z405" s="44"/>
      <c r="AA405" s="44"/>
      <c r="AB405" s="44"/>
      <c r="AC405" s="44"/>
      <c r="AD405" s="44"/>
      <c r="AE405" s="44"/>
      <c r="AF405" s="44"/>
      <c r="AG405" s="44"/>
      <c r="AH405" s="44"/>
      <c r="AI405" s="44"/>
      <c r="AJ405" s="44"/>
      <c r="AK405" s="44"/>
      <c r="AL405" s="44"/>
      <c r="AM405" s="44"/>
      <c r="AN405" s="44"/>
    </row>
    <row r="406" spans="1:40" ht="16.5" customHeight="1">
      <c r="A406" s="44"/>
      <c r="B406" s="44"/>
      <c r="C406" s="44"/>
      <c r="D406" s="172"/>
      <c r="E406" s="44"/>
      <c r="F406" s="44"/>
      <c r="G406" s="44"/>
      <c r="H406" s="44"/>
      <c r="I406" s="44"/>
      <c r="J406" s="44"/>
      <c r="K406" s="53"/>
      <c r="L406" s="44"/>
      <c r="M406" s="44"/>
      <c r="N406" s="44"/>
      <c r="O406" s="44"/>
      <c r="P406" s="44"/>
      <c r="Q406" s="44"/>
      <c r="R406" s="44"/>
      <c r="S406" s="44"/>
      <c r="T406" s="44"/>
      <c r="U406" s="44"/>
      <c r="V406" s="44"/>
      <c r="W406" s="44"/>
      <c r="X406" s="44"/>
      <c r="Y406" s="44"/>
      <c r="Z406" s="44"/>
      <c r="AA406" s="44"/>
      <c r="AB406" s="44"/>
      <c r="AC406" s="44"/>
      <c r="AD406" s="44"/>
      <c r="AE406" s="44"/>
      <c r="AF406" s="44"/>
      <c r="AG406" s="44"/>
      <c r="AH406" s="44"/>
      <c r="AI406" s="44"/>
      <c r="AJ406" s="44"/>
      <c r="AK406" s="44"/>
      <c r="AL406" s="44"/>
      <c r="AM406" s="44"/>
      <c r="AN406" s="44"/>
    </row>
    <row r="407" spans="1:40" ht="16.5" customHeight="1">
      <c r="A407" s="44"/>
      <c r="B407" s="44"/>
      <c r="C407" s="44"/>
      <c r="D407" s="172"/>
      <c r="E407" s="44"/>
      <c r="F407" s="44"/>
      <c r="G407" s="44"/>
      <c r="H407" s="44"/>
      <c r="I407" s="44"/>
      <c r="J407" s="44"/>
      <c r="K407" s="53"/>
      <c r="L407" s="44"/>
      <c r="M407" s="44"/>
      <c r="N407" s="44"/>
      <c r="O407" s="44"/>
      <c r="P407" s="44"/>
      <c r="Q407" s="44"/>
      <c r="R407" s="44"/>
      <c r="S407" s="44"/>
      <c r="T407" s="44"/>
      <c r="U407" s="44"/>
      <c r="V407" s="44"/>
      <c r="W407" s="44"/>
      <c r="X407" s="44"/>
      <c r="Y407" s="44"/>
      <c r="Z407" s="44"/>
      <c r="AA407" s="44"/>
      <c r="AB407" s="44"/>
      <c r="AC407" s="44"/>
      <c r="AD407" s="44"/>
      <c r="AE407" s="44"/>
      <c r="AF407" s="44"/>
      <c r="AG407" s="44"/>
      <c r="AH407" s="44"/>
      <c r="AI407" s="44"/>
      <c r="AJ407" s="44"/>
      <c r="AK407" s="44"/>
      <c r="AL407" s="44"/>
      <c r="AM407" s="44"/>
      <c r="AN407" s="44"/>
    </row>
    <row r="408" spans="1:40" ht="16.5" customHeight="1">
      <c r="A408" s="44"/>
      <c r="B408" s="44"/>
      <c r="C408" s="44"/>
      <c r="D408" s="172"/>
      <c r="E408" s="44"/>
      <c r="F408" s="44"/>
      <c r="G408" s="44"/>
      <c r="H408" s="44"/>
      <c r="I408" s="44"/>
      <c r="J408" s="44"/>
      <c r="K408" s="53"/>
      <c r="L408" s="44"/>
      <c r="M408" s="44"/>
      <c r="N408" s="44"/>
      <c r="O408" s="44"/>
      <c r="P408" s="44"/>
      <c r="Q408" s="44"/>
      <c r="R408" s="44"/>
      <c r="S408" s="44"/>
      <c r="T408" s="44"/>
      <c r="U408" s="44"/>
      <c r="V408" s="44"/>
      <c r="W408" s="44"/>
      <c r="X408" s="44"/>
      <c r="Y408" s="44"/>
      <c r="Z408" s="44"/>
      <c r="AA408" s="44"/>
      <c r="AB408" s="44"/>
      <c r="AC408" s="44"/>
      <c r="AD408" s="44"/>
      <c r="AE408" s="44"/>
      <c r="AF408" s="44"/>
      <c r="AG408" s="44"/>
      <c r="AH408" s="44"/>
      <c r="AI408" s="44"/>
      <c r="AJ408" s="44"/>
      <c r="AK408" s="44"/>
      <c r="AL408" s="44"/>
      <c r="AM408" s="44"/>
      <c r="AN408" s="44"/>
    </row>
    <row r="409" spans="1:40" ht="16.5" customHeight="1">
      <c r="A409" s="44"/>
      <c r="B409" s="44"/>
      <c r="C409" s="44"/>
      <c r="D409" s="172"/>
      <c r="E409" s="44"/>
      <c r="F409" s="44"/>
      <c r="G409" s="44"/>
      <c r="H409" s="44"/>
      <c r="I409" s="44"/>
      <c r="J409" s="44"/>
      <c r="K409" s="53"/>
      <c r="L409" s="44"/>
      <c r="M409" s="44"/>
      <c r="N409" s="44"/>
      <c r="O409" s="44"/>
      <c r="P409" s="44"/>
      <c r="Q409" s="44"/>
      <c r="R409" s="44"/>
      <c r="S409" s="44"/>
      <c r="T409" s="44"/>
      <c r="U409" s="44"/>
      <c r="V409" s="44"/>
      <c r="W409" s="44"/>
      <c r="X409" s="44"/>
      <c r="Y409" s="44"/>
      <c r="Z409" s="44"/>
      <c r="AA409" s="44"/>
      <c r="AB409" s="44"/>
      <c r="AC409" s="44"/>
      <c r="AD409" s="44"/>
      <c r="AE409" s="44"/>
      <c r="AF409" s="44"/>
      <c r="AG409" s="44"/>
      <c r="AH409" s="44"/>
      <c r="AI409" s="44"/>
      <c r="AJ409" s="44"/>
      <c r="AK409" s="44"/>
      <c r="AL409" s="44"/>
      <c r="AM409" s="44"/>
      <c r="AN409" s="44"/>
    </row>
    <row r="410" spans="1:40" ht="16.5" customHeight="1">
      <c r="A410" s="44"/>
      <c r="B410" s="44"/>
      <c r="C410" s="44"/>
      <c r="D410" s="172"/>
      <c r="E410" s="44"/>
      <c r="F410" s="44"/>
      <c r="G410" s="44"/>
      <c r="H410" s="44"/>
      <c r="I410" s="44"/>
      <c r="J410" s="44"/>
      <c r="K410" s="53"/>
      <c r="L410" s="44"/>
      <c r="M410" s="44"/>
      <c r="N410" s="44"/>
      <c r="O410" s="44"/>
      <c r="P410" s="44"/>
      <c r="Q410" s="44"/>
      <c r="R410" s="44"/>
      <c r="S410" s="44"/>
      <c r="T410" s="44"/>
      <c r="U410" s="44"/>
      <c r="V410" s="44"/>
      <c r="W410" s="44"/>
      <c r="X410" s="44"/>
      <c r="Y410" s="44"/>
      <c r="Z410" s="44"/>
      <c r="AA410" s="44"/>
      <c r="AB410" s="44"/>
      <c r="AC410" s="44"/>
      <c r="AD410" s="44"/>
      <c r="AE410" s="44"/>
      <c r="AF410" s="44"/>
      <c r="AG410" s="44"/>
      <c r="AH410" s="44"/>
      <c r="AI410" s="44"/>
      <c r="AJ410" s="44"/>
      <c r="AK410" s="44"/>
      <c r="AL410" s="44"/>
      <c r="AM410" s="44"/>
      <c r="AN410" s="44"/>
    </row>
    <row r="411" spans="1:40" ht="16.5" customHeight="1">
      <c r="A411" s="44"/>
      <c r="B411" s="44"/>
      <c r="C411" s="44"/>
      <c r="D411" s="172"/>
      <c r="E411" s="44"/>
      <c r="F411" s="44"/>
      <c r="G411" s="44"/>
      <c r="H411" s="44"/>
      <c r="I411" s="44"/>
      <c r="J411" s="44"/>
      <c r="K411" s="53"/>
      <c r="L411" s="44"/>
      <c r="M411" s="44"/>
      <c r="N411" s="44"/>
      <c r="O411" s="44"/>
      <c r="P411" s="44"/>
      <c r="Q411" s="44"/>
      <c r="R411" s="44"/>
      <c r="S411" s="44"/>
      <c r="T411" s="44"/>
      <c r="U411" s="44"/>
      <c r="V411" s="44"/>
      <c r="W411" s="44"/>
      <c r="X411" s="44"/>
      <c r="Y411" s="44"/>
      <c r="Z411" s="44"/>
      <c r="AA411" s="44"/>
      <c r="AB411" s="44"/>
      <c r="AC411" s="44"/>
      <c r="AD411" s="44"/>
      <c r="AE411" s="44"/>
      <c r="AF411" s="44"/>
      <c r="AG411" s="44"/>
      <c r="AH411" s="44"/>
      <c r="AI411" s="44"/>
      <c r="AJ411" s="44"/>
      <c r="AK411" s="44"/>
      <c r="AL411" s="44"/>
      <c r="AM411" s="44"/>
      <c r="AN411" s="44"/>
    </row>
    <row r="412" spans="1:40" ht="16.5" customHeight="1">
      <c r="A412" s="44"/>
      <c r="B412" s="44"/>
      <c r="C412" s="44"/>
      <c r="D412" s="172"/>
      <c r="E412" s="44"/>
      <c r="F412" s="44"/>
      <c r="G412" s="44"/>
      <c r="H412" s="44"/>
      <c r="I412" s="44"/>
      <c r="J412" s="44"/>
      <c r="K412" s="53"/>
      <c r="L412" s="44"/>
      <c r="M412" s="44"/>
      <c r="N412" s="44"/>
      <c r="O412" s="44"/>
      <c r="P412" s="44"/>
      <c r="Q412" s="44"/>
      <c r="R412" s="44"/>
      <c r="S412" s="44"/>
      <c r="T412" s="44"/>
      <c r="U412" s="44"/>
      <c r="V412" s="44"/>
      <c r="W412" s="44"/>
      <c r="X412" s="44"/>
      <c r="Y412" s="44"/>
      <c r="Z412" s="44"/>
      <c r="AA412" s="44"/>
      <c r="AB412" s="44"/>
      <c r="AC412" s="44"/>
      <c r="AD412" s="44"/>
      <c r="AE412" s="44"/>
      <c r="AF412" s="44"/>
      <c r="AG412" s="44"/>
      <c r="AH412" s="44"/>
      <c r="AI412" s="44"/>
      <c r="AJ412" s="44"/>
      <c r="AK412" s="44"/>
      <c r="AL412" s="44"/>
      <c r="AM412" s="44"/>
      <c r="AN412" s="44"/>
    </row>
    <row r="413" spans="1:40" ht="16.5" customHeight="1">
      <c r="A413" s="44"/>
      <c r="B413" s="44"/>
      <c r="C413" s="44"/>
      <c r="D413" s="172"/>
      <c r="E413" s="44"/>
      <c r="F413" s="44"/>
      <c r="G413" s="44"/>
      <c r="H413" s="44"/>
      <c r="I413" s="44"/>
      <c r="J413" s="44"/>
      <c r="K413" s="53"/>
      <c r="L413" s="44"/>
      <c r="M413" s="44"/>
      <c r="N413" s="44"/>
      <c r="O413" s="44"/>
      <c r="P413" s="44"/>
      <c r="Q413" s="44"/>
      <c r="R413" s="44"/>
      <c r="S413" s="44"/>
      <c r="T413" s="44"/>
      <c r="U413" s="44"/>
      <c r="V413" s="44"/>
      <c r="W413" s="44"/>
      <c r="X413" s="44"/>
      <c r="Y413" s="44"/>
      <c r="Z413" s="44"/>
      <c r="AA413" s="44"/>
      <c r="AB413" s="44"/>
      <c r="AC413" s="44"/>
      <c r="AD413" s="44"/>
      <c r="AE413" s="44"/>
      <c r="AF413" s="44"/>
      <c r="AG413" s="44"/>
      <c r="AH413" s="44"/>
      <c r="AI413" s="44"/>
      <c r="AJ413" s="44"/>
      <c r="AK413" s="44"/>
      <c r="AL413" s="44"/>
      <c r="AM413" s="44"/>
      <c r="AN413" s="44"/>
    </row>
    <row r="414" spans="1:40" ht="16.5" customHeight="1">
      <c r="A414" s="44"/>
      <c r="B414" s="44"/>
      <c r="C414" s="44"/>
      <c r="D414" s="172"/>
      <c r="E414" s="44"/>
      <c r="F414" s="44"/>
      <c r="G414" s="44"/>
      <c r="H414" s="44"/>
      <c r="I414" s="44"/>
      <c r="J414" s="44"/>
      <c r="K414" s="53"/>
      <c r="L414" s="44"/>
      <c r="M414" s="44"/>
      <c r="N414" s="44"/>
      <c r="O414" s="44"/>
      <c r="P414" s="44"/>
      <c r="Q414" s="44"/>
      <c r="R414" s="44"/>
      <c r="S414" s="44"/>
      <c r="T414" s="44"/>
      <c r="U414" s="44"/>
      <c r="V414" s="44"/>
      <c r="W414" s="44"/>
      <c r="X414" s="44"/>
      <c r="Y414" s="44"/>
      <c r="Z414" s="44"/>
      <c r="AA414" s="44"/>
      <c r="AB414" s="44"/>
      <c r="AC414" s="44"/>
      <c r="AD414" s="44"/>
      <c r="AE414" s="44"/>
      <c r="AF414" s="44"/>
      <c r="AG414" s="44"/>
      <c r="AH414" s="44"/>
      <c r="AI414" s="44"/>
      <c r="AJ414" s="44"/>
      <c r="AK414" s="44"/>
      <c r="AL414" s="44"/>
      <c r="AM414" s="44"/>
      <c r="AN414" s="44"/>
    </row>
    <row r="415" spans="1:40" ht="16.5" customHeight="1">
      <c r="A415" s="44"/>
      <c r="B415" s="44"/>
      <c r="C415" s="44"/>
      <c r="D415" s="172"/>
      <c r="E415" s="44"/>
      <c r="F415" s="44"/>
      <c r="G415" s="44"/>
      <c r="H415" s="44"/>
      <c r="I415" s="44"/>
      <c r="J415" s="44"/>
      <c r="K415" s="53"/>
      <c r="L415" s="44"/>
      <c r="M415" s="44"/>
      <c r="N415" s="44"/>
      <c r="O415" s="44"/>
      <c r="P415" s="44"/>
      <c r="Q415" s="44"/>
      <c r="R415" s="44"/>
      <c r="S415" s="44"/>
      <c r="T415" s="44"/>
      <c r="U415" s="44"/>
      <c r="V415" s="44"/>
      <c r="W415" s="44"/>
      <c r="X415" s="44"/>
      <c r="Y415" s="44"/>
      <c r="Z415" s="44"/>
      <c r="AA415" s="44"/>
      <c r="AB415" s="44"/>
      <c r="AC415" s="44"/>
      <c r="AD415" s="44"/>
      <c r="AE415" s="44"/>
      <c r="AF415" s="44"/>
      <c r="AG415" s="44"/>
      <c r="AH415" s="44"/>
      <c r="AI415" s="44"/>
      <c r="AJ415" s="44"/>
      <c r="AK415" s="44"/>
      <c r="AL415" s="44"/>
      <c r="AM415" s="44"/>
      <c r="AN415" s="44"/>
    </row>
    <row r="416" spans="1:40" ht="16.5" customHeight="1">
      <c r="A416" s="44"/>
      <c r="B416" s="44"/>
      <c r="C416" s="44"/>
      <c r="D416" s="172"/>
      <c r="E416" s="44"/>
      <c r="F416" s="44"/>
      <c r="G416" s="44"/>
      <c r="H416" s="44"/>
      <c r="I416" s="44"/>
      <c r="J416" s="44"/>
      <c r="K416" s="53"/>
      <c r="L416" s="44"/>
      <c r="M416" s="44"/>
      <c r="N416" s="44"/>
      <c r="O416" s="44"/>
      <c r="P416" s="44"/>
      <c r="Q416" s="44"/>
      <c r="R416" s="44"/>
      <c r="S416" s="44"/>
      <c r="T416" s="44"/>
      <c r="U416" s="44"/>
      <c r="V416" s="44"/>
      <c r="W416" s="44"/>
      <c r="X416" s="44"/>
      <c r="Y416" s="44"/>
      <c r="Z416" s="44"/>
      <c r="AA416" s="44"/>
      <c r="AB416" s="44"/>
      <c r="AC416" s="44"/>
      <c r="AD416" s="44"/>
      <c r="AE416" s="44"/>
      <c r="AF416" s="44"/>
      <c r="AG416" s="44"/>
      <c r="AH416" s="44"/>
      <c r="AI416" s="44"/>
      <c r="AJ416" s="44"/>
      <c r="AK416" s="44"/>
      <c r="AL416" s="44"/>
      <c r="AM416" s="44"/>
      <c r="AN416" s="44"/>
    </row>
    <row r="417" spans="1:40" ht="16.5" customHeight="1">
      <c r="A417" s="44"/>
      <c r="B417" s="44"/>
      <c r="C417" s="44"/>
      <c r="D417" s="172"/>
      <c r="E417" s="44"/>
      <c r="F417" s="44"/>
      <c r="G417" s="44"/>
      <c r="H417" s="44"/>
      <c r="I417" s="44"/>
      <c r="J417" s="44"/>
      <c r="K417" s="53"/>
      <c r="L417" s="44"/>
      <c r="M417" s="44"/>
      <c r="N417" s="44"/>
      <c r="O417" s="44"/>
      <c r="P417" s="44"/>
      <c r="Q417" s="44"/>
      <c r="R417" s="44"/>
      <c r="S417" s="44"/>
      <c r="T417" s="44"/>
      <c r="U417" s="44"/>
      <c r="V417" s="44"/>
      <c r="W417" s="44"/>
      <c r="X417" s="44"/>
      <c r="Y417" s="44"/>
      <c r="Z417" s="44"/>
      <c r="AA417" s="44"/>
      <c r="AB417" s="44"/>
      <c r="AC417" s="44"/>
      <c r="AD417" s="44"/>
      <c r="AE417" s="44"/>
      <c r="AF417" s="44"/>
      <c r="AG417" s="44"/>
      <c r="AH417" s="44"/>
      <c r="AI417" s="44"/>
      <c r="AJ417" s="44"/>
      <c r="AK417" s="44"/>
      <c r="AL417" s="44"/>
      <c r="AM417" s="44"/>
      <c r="AN417" s="44"/>
    </row>
    <row r="418" spans="1:40" ht="16.5" customHeight="1">
      <c r="A418" s="44"/>
      <c r="B418" s="44"/>
      <c r="C418" s="44"/>
      <c r="D418" s="172"/>
      <c r="E418" s="44"/>
      <c r="F418" s="44"/>
      <c r="G418" s="44"/>
      <c r="H418" s="44"/>
      <c r="I418" s="44"/>
      <c r="J418" s="44"/>
      <c r="K418" s="53"/>
      <c r="L418" s="44"/>
      <c r="M418" s="44"/>
      <c r="N418" s="44"/>
      <c r="O418" s="44"/>
      <c r="P418" s="44"/>
      <c r="Q418" s="44"/>
      <c r="R418" s="44"/>
      <c r="S418" s="44"/>
      <c r="T418" s="44"/>
      <c r="U418" s="44"/>
      <c r="V418" s="44"/>
      <c r="W418" s="44"/>
      <c r="X418" s="44"/>
      <c r="Y418" s="44"/>
      <c r="Z418" s="44"/>
      <c r="AA418" s="44"/>
      <c r="AB418" s="44"/>
      <c r="AC418" s="44"/>
      <c r="AD418" s="44"/>
      <c r="AE418" s="44"/>
      <c r="AF418" s="44"/>
      <c r="AG418" s="44"/>
      <c r="AH418" s="44"/>
      <c r="AI418" s="44"/>
      <c r="AJ418" s="44"/>
      <c r="AK418" s="44"/>
      <c r="AL418" s="44"/>
      <c r="AM418" s="44"/>
      <c r="AN418" s="44"/>
    </row>
    <row r="419" spans="1:40" ht="16.5" customHeight="1">
      <c r="A419" s="44"/>
      <c r="B419" s="44"/>
      <c r="C419" s="44"/>
      <c r="D419" s="172"/>
      <c r="E419" s="44"/>
      <c r="F419" s="44"/>
      <c r="G419" s="44"/>
      <c r="H419" s="44"/>
      <c r="I419" s="44"/>
      <c r="J419" s="44"/>
      <c r="K419" s="53"/>
      <c r="L419" s="44"/>
      <c r="M419" s="44"/>
      <c r="N419" s="44"/>
      <c r="O419" s="44"/>
      <c r="P419" s="44"/>
      <c r="Q419" s="44"/>
      <c r="R419" s="44"/>
      <c r="S419" s="44"/>
      <c r="T419" s="44"/>
      <c r="U419" s="44"/>
      <c r="V419" s="44"/>
      <c r="W419" s="44"/>
      <c r="X419" s="44"/>
      <c r="Y419" s="44"/>
      <c r="Z419" s="44"/>
      <c r="AA419" s="44"/>
      <c r="AB419" s="44"/>
      <c r="AC419" s="44"/>
      <c r="AD419" s="44"/>
      <c r="AE419" s="44"/>
      <c r="AF419" s="44"/>
      <c r="AG419" s="44"/>
      <c r="AH419" s="44"/>
      <c r="AI419" s="44"/>
      <c r="AJ419" s="44"/>
      <c r="AK419" s="44"/>
      <c r="AL419" s="44"/>
      <c r="AM419" s="44"/>
      <c r="AN419" s="44"/>
    </row>
    <row r="420" spans="1:40" ht="16.5" customHeight="1">
      <c r="A420" s="44"/>
      <c r="B420" s="44"/>
      <c r="C420" s="44"/>
      <c r="D420" s="172"/>
      <c r="E420" s="44"/>
      <c r="F420" s="44"/>
      <c r="G420" s="44"/>
      <c r="H420" s="44"/>
      <c r="I420" s="44"/>
      <c r="J420" s="44"/>
      <c r="K420" s="53"/>
      <c r="L420" s="44"/>
      <c r="M420" s="44"/>
      <c r="N420" s="44"/>
      <c r="O420" s="44"/>
      <c r="P420" s="44"/>
      <c r="Q420" s="44"/>
      <c r="R420" s="44"/>
      <c r="S420" s="44"/>
      <c r="T420" s="44"/>
      <c r="U420" s="44"/>
      <c r="V420" s="44"/>
      <c r="W420" s="44"/>
      <c r="X420" s="44"/>
      <c r="Y420" s="44"/>
      <c r="Z420" s="44"/>
      <c r="AA420" s="44"/>
      <c r="AB420" s="44"/>
      <c r="AC420" s="44"/>
      <c r="AD420" s="44"/>
      <c r="AE420" s="44"/>
      <c r="AF420" s="44"/>
      <c r="AG420" s="44"/>
      <c r="AH420" s="44"/>
      <c r="AI420" s="44"/>
      <c r="AJ420" s="44"/>
      <c r="AK420" s="44"/>
      <c r="AL420" s="44"/>
      <c r="AM420" s="44"/>
      <c r="AN420" s="44"/>
    </row>
    <row r="421" spans="1:40" ht="16.5" customHeight="1">
      <c r="A421" s="44"/>
      <c r="B421" s="44"/>
      <c r="C421" s="44"/>
      <c r="D421" s="172"/>
      <c r="E421" s="44"/>
      <c r="F421" s="44"/>
      <c r="G421" s="44"/>
      <c r="H421" s="44"/>
      <c r="I421" s="44"/>
      <c r="J421" s="44"/>
      <c r="K421" s="53"/>
      <c r="L421" s="44"/>
      <c r="M421" s="44"/>
      <c r="N421" s="44"/>
      <c r="O421" s="44"/>
      <c r="P421" s="44"/>
      <c r="Q421" s="44"/>
      <c r="R421" s="44"/>
      <c r="S421" s="44"/>
      <c r="T421" s="44"/>
      <c r="U421" s="44"/>
      <c r="V421" s="44"/>
      <c r="W421" s="44"/>
      <c r="X421" s="44"/>
      <c r="Y421" s="44"/>
      <c r="Z421" s="44"/>
      <c r="AA421" s="44"/>
      <c r="AB421" s="44"/>
      <c r="AC421" s="44"/>
      <c r="AD421" s="44"/>
      <c r="AE421" s="44"/>
      <c r="AF421" s="44"/>
      <c r="AG421" s="44"/>
      <c r="AH421" s="44"/>
      <c r="AI421" s="44"/>
      <c r="AJ421" s="44"/>
      <c r="AK421" s="44"/>
      <c r="AL421" s="44"/>
      <c r="AM421" s="44"/>
      <c r="AN421" s="44"/>
    </row>
    <row r="422" spans="1:40" ht="16.5" customHeight="1">
      <c r="A422" s="44"/>
      <c r="B422" s="44"/>
      <c r="C422" s="44"/>
      <c r="D422" s="172"/>
      <c r="E422" s="44"/>
      <c r="F422" s="44"/>
      <c r="G422" s="44"/>
      <c r="H422" s="44"/>
      <c r="I422" s="44"/>
      <c r="J422" s="44"/>
      <c r="K422" s="53"/>
      <c r="L422" s="44"/>
      <c r="M422" s="44"/>
      <c r="N422" s="44"/>
      <c r="O422" s="44"/>
      <c r="P422" s="44"/>
      <c r="Q422" s="44"/>
      <c r="R422" s="44"/>
      <c r="S422" s="44"/>
      <c r="T422" s="44"/>
      <c r="U422" s="44"/>
      <c r="V422" s="44"/>
      <c r="W422" s="44"/>
      <c r="X422" s="44"/>
      <c r="Y422" s="44"/>
      <c r="Z422" s="44"/>
      <c r="AA422" s="44"/>
      <c r="AB422" s="44"/>
      <c r="AC422" s="44"/>
      <c r="AD422" s="44"/>
      <c r="AE422" s="44"/>
      <c r="AF422" s="44"/>
      <c r="AG422" s="44"/>
      <c r="AH422" s="44"/>
      <c r="AI422" s="44"/>
      <c r="AJ422" s="44"/>
      <c r="AK422" s="44"/>
      <c r="AL422" s="44"/>
      <c r="AM422" s="44"/>
      <c r="AN422" s="44"/>
    </row>
    <row r="423" spans="1:40" ht="16.5" customHeight="1">
      <c r="A423" s="44"/>
      <c r="B423" s="44"/>
      <c r="C423" s="44"/>
      <c r="D423" s="172"/>
      <c r="E423" s="44"/>
      <c r="F423" s="44"/>
      <c r="G423" s="44"/>
      <c r="H423" s="44"/>
      <c r="I423" s="44"/>
      <c r="J423" s="44"/>
      <c r="K423" s="53"/>
      <c r="L423" s="44"/>
      <c r="M423" s="44"/>
      <c r="N423" s="44"/>
      <c r="O423" s="44"/>
      <c r="P423" s="44"/>
      <c r="Q423" s="44"/>
      <c r="R423" s="44"/>
      <c r="S423" s="44"/>
      <c r="T423" s="44"/>
      <c r="U423" s="44"/>
      <c r="V423" s="44"/>
      <c r="W423" s="44"/>
      <c r="X423" s="44"/>
      <c r="Y423" s="44"/>
      <c r="Z423" s="44"/>
      <c r="AA423" s="44"/>
      <c r="AB423" s="44"/>
      <c r="AC423" s="44"/>
      <c r="AD423" s="44"/>
      <c r="AE423" s="44"/>
      <c r="AF423" s="44"/>
      <c r="AG423" s="44"/>
      <c r="AH423" s="44"/>
      <c r="AI423" s="44"/>
      <c r="AJ423" s="44"/>
      <c r="AK423" s="44"/>
      <c r="AL423" s="44"/>
      <c r="AM423" s="44"/>
      <c r="AN423" s="44"/>
    </row>
    <row r="424" spans="1:40" ht="16.5" customHeight="1">
      <c r="A424" s="44"/>
      <c r="B424" s="44"/>
      <c r="C424" s="44"/>
      <c r="D424" s="172"/>
      <c r="E424" s="44"/>
      <c r="F424" s="44"/>
      <c r="G424" s="44"/>
      <c r="H424" s="44"/>
      <c r="I424" s="44"/>
      <c r="J424" s="44"/>
      <c r="K424" s="53"/>
      <c r="L424" s="44"/>
      <c r="M424" s="44"/>
      <c r="N424" s="44"/>
      <c r="O424" s="44"/>
      <c r="P424" s="44"/>
      <c r="Q424" s="44"/>
      <c r="R424" s="44"/>
      <c r="S424" s="44"/>
      <c r="T424" s="44"/>
      <c r="U424" s="44"/>
      <c r="V424" s="44"/>
      <c r="W424" s="44"/>
      <c r="X424" s="44"/>
      <c r="Y424" s="44"/>
      <c r="Z424" s="44"/>
      <c r="AA424" s="44"/>
      <c r="AB424" s="44"/>
      <c r="AC424" s="44"/>
      <c r="AD424" s="44"/>
      <c r="AE424" s="44"/>
      <c r="AF424" s="44"/>
      <c r="AG424" s="44"/>
      <c r="AH424" s="44"/>
      <c r="AI424" s="44"/>
      <c r="AJ424" s="44"/>
      <c r="AK424" s="44"/>
      <c r="AL424" s="44"/>
      <c r="AM424" s="44"/>
      <c r="AN424" s="44"/>
    </row>
    <row r="425" spans="1:40" ht="16.5" customHeight="1">
      <c r="A425" s="44"/>
      <c r="B425" s="44"/>
      <c r="C425" s="44"/>
      <c r="D425" s="172"/>
      <c r="E425" s="44"/>
      <c r="F425" s="44"/>
      <c r="G425" s="44"/>
      <c r="H425" s="44"/>
      <c r="I425" s="44"/>
      <c r="J425" s="44"/>
      <c r="K425" s="53"/>
      <c r="L425" s="44"/>
      <c r="M425" s="44"/>
      <c r="N425" s="44"/>
      <c r="O425" s="44"/>
      <c r="P425" s="44"/>
      <c r="Q425" s="44"/>
      <c r="R425" s="44"/>
      <c r="S425" s="44"/>
      <c r="T425" s="44"/>
      <c r="U425" s="44"/>
      <c r="V425" s="44"/>
      <c r="W425" s="44"/>
      <c r="X425" s="44"/>
      <c r="Y425" s="44"/>
      <c r="Z425" s="44"/>
      <c r="AA425" s="44"/>
      <c r="AB425" s="44"/>
      <c r="AC425" s="44"/>
      <c r="AD425" s="44"/>
      <c r="AE425" s="44"/>
      <c r="AF425" s="44"/>
      <c r="AG425" s="44"/>
      <c r="AH425" s="44"/>
      <c r="AI425" s="44"/>
      <c r="AJ425" s="44"/>
      <c r="AK425" s="44"/>
      <c r="AL425" s="44"/>
      <c r="AM425" s="44"/>
      <c r="AN425" s="44"/>
    </row>
    <row r="426" spans="1:40" ht="16.5" customHeight="1">
      <c r="A426" s="44"/>
      <c r="B426" s="44"/>
      <c r="C426" s="44"/>
      <c r="D426" s="172"/>
      <c r="E426" s="44"/>
      <c r="F426" s="44"/>
      <c r="G426" s="44"/>
      <c r="H426" s="44"/>
      <c r="I426" s="44"/>
      <c r="J426" s="44"/>
      <c r="K426" s="53"/>
      <c r="L426" s="44"/>
      <c r="M426" s="44"/>
      <c r="N426" s="44"/>
      <c r="O426" s="44"/>
      <c r="P426" s="44"/>
      <c r="Q426" s="44"/>
      <c r="R426" s="44"/>
      <c r="S426" s="44"/>
      <c r="T426" s="44"/>
      <c r="U426" s="44"/>
      <c r="V426" s="44"/>
      <c r="W426" s="44"/>
      <c r="X426" s="44"/>
      <c r="Y426" s="44"/>
      <c r="Z426" s="44"/>
      <c r="AA426" s="44"/>
      <c r="AB426" s="44"/>
      <c r="AC426" s="44"/>
      <c r="AD426" s="44"/>
      <c r="AE426" s="44"/>
      <c r="AF426" s="44"/>
      <c r="AG426" s="44"/>
      <c r="AH426" s="44"/>
      <c r="AI426" s="44"/>
      <c r="AJ426" s="44"/>
      <c r="AK426" s="44"/>
      <c r="AL426" s="44"/>
      <c r="AM426" s="44"/>
      <c r="AN426" s="44"/>
    </row>
    <row r="427" spans="1:40" ht="16.5" customHeight="1">
      <c r="A427" s="44"/>
      <c r="B427" s="44"/>
      <c r="C427" s="44"/>
      <c r="D427" s="172"/>
      <c r="E427" s="44"/>
      <c r="F427" s="44"/>
      <c r="G427" s="44"/>
      <c r="H427" s="44"/>
      <c r="I427" s="44"/>
      <c r="J427" s="44"/>
      <c r="K427" s="53"/>
      <c r="L427" s="44"/>
      <c r="M427" s="44"/>
      <c r="N427" s="44"/>
      <c r="O427" s="44"/>
      <c r="P427" s="44"/>
      <c r="Q427" s="44"/>
      <c r="R427" s="44"/>
      <c r="S427" s="44"/>
      <c r="T427" s="44"/>
      <c r="U427" s="44"/>
      <c r="V427" s="44"/>
      <c r="W427" s="44"/>
      <c r="X427" s="44"/>
      <c r="Y427" s="44"/>
      <c r="Z427" s="44"/>
      <c r="AA427" s="44"/>
      <c r="AB427" s="44"/>
      <c r="AC427" s="44"/>
      <c r="AD427" s="44"/>
      <c r="AE427" s="44"/>
      <c r="AF427" s="44"/>
      <c r="AG427" s="44"/>
      <c r="AH427" s="44"/>
      <c r="AI427" s="44"/>
      <c r="AJ427" s="44"/>
      <c r="AK427" s="44"/>
      <c r="AL427" s="44"/>
      <c r="AM427" s="44"/>
      <c r="AN427" s="44"/>
    </row>
    <row r="428" spans="1:40" ht="16.5" customHeight="1">
      <c r="A428" s="44"/>
      <c r="B428" s="44"/>
      <c r="C428" s="44"/>
      <c r="D428" s="172"/>
      <c r="E428" s="44"/>
      <c r="F428" s="44"/>
      <c r="G428" s="44"/>
      <c r="H428" s="44"/>
      <c r="I428" s="44"/>
      <c r="J428" s="44"/>
      <c r="K428" s="53"/>
      <c r="L428" s="44"/>
      <c r="M428" s="44"/>
      <c r="N428" s="44"/>
      <c r="O428" s="44"/>
      <c r="P428" s="44"/>
      <c r="Q428" s="44"/>
      <c r="R428" s="44"/>
      <c r="S428" s="44"/>
      <c r="T428" s="44"/>
      <c r="U428" s="44"/>
      <c r="V428" s="44"/>
      <c r="W428" s="44"/>
      <c r="X428" s="44"/>
      <c r="Y428" s="44"/>
      <c r="Z428" s="44"/>
      <c r="AA428" s="44"/>
      <c r="AB428" s="44"/>
      <c r="AC428" s="44"/>
      <c r="AD428" s="44"/>
      <c r="AE428" s="44"/>
      <c r="AF428" s="44"/>
      <c r="AG428" s="44"/>
      <c r="AH428" s="44"/>
      <c r="AI428" s="44"/>
      <c r="AJ428" s="44"/>
      <c r="AK428" s="44"/>
      <c r="AL428" s="44"/>
      <c r="AM428" s="44"/>
      <c r="AN428" s="44"/>
    </row>
    <row r="429" spans="1:40" ht="16.5" customHeight="1">
      <c r="A429" s="44"/>
      <c r="B429" s="44"/>
      <c r="C429" s="44"/>
      <c r="D429" s="172"/>
      <c r="E429" s="44"/>
      <c r="F429" s="44"/>
      <c r="G429" s="44"/>
      <c r="H429" s="44"/>
      <c r="I429" s="44"/>
      <c r="J429" s="44"/>
      <c r="K429" s="53"/>
      <c r="L429" s="44"/>
      <c r="M429" s="44"/>
      <c r="N429" s="44"/>
      <c r="O429" s="44"/>
      <c r="P429" s="44"/>
      <c r="Q429" s="44"/>
      <c r="R429" s="44"/>
      <c r="S429" s="44"/>
      <c r="T429" s="44"/>
      <c r="U429" s="44"/>
      <c r="V429" s="44"/>
      <c r="W429" s="44"/>
      <c r="X429" s="44"/>
      <c r="Y429" s="44"/>
      <c r="Z429" s="44"/>
      <c r="AA429" s="44"/>
      <c r="AB429" s="44"/>
      <c r="AC429" s="44"/>
      <c r="AD429" s="44"/>
      <c r="AE429" s="44"/>
      <c r="AF429" s="44"/>
      <c r="AG429" s="44"/>
      <c r="AH429" s="44"/>
      <c r="AI429" s="44"/>
      <c r="AJ429" s="44"/>
      <c r="AK429" s="44"/>
      <c r="AL429" s="44"/>
      <c r="AM429" s="44"/>
      <c r="AN429" s="44"/>
    </row>
    <row r="430" spans="1:40" ht="16.5" customHeight="1">
      <c r="A430" s="44"/>
      <c r="B430" s="44"/>
      <c r="C430" s="44"/>
      <c r="D430" s="172"/>
      <c r="E430" s="44"/>
      <c r="F430" s="44"/>
      <c r="G430" s="44"/>
      <c r="H430" s="44"/>
      <c r="I430" s="44"/>
      <c r="J430" s="44"/>
      <c r="K430" s="53"/>
      <c r="L430" s="44"/>
      <c r="M430" s="44"/>
      <c r="N430" s="44"/>
      <c r="O430" s="44"/>
      <c r="P430" s="44"/>
      <c r="Q430" s="44"/>
      <c r="R430" s="44"/>
      <c r="S430" s="44"/>
      <c r="T430" s="44"/>
      <c r="U430" s="44"/>
      <c r="V430" s="44"/>
      <c r="W430" s="44"/>
      <c r="X430" s="44"/>
      <c r="Y430" s="44"/>
      <c r="Z430" s="44"/>
      <c r="AA430" s="44"/>
      <c r="AB430" s="44"/>
      <c r="AC430" s="44"/>
      <c r="AD430" s="44"/>
      <c r="AE430" s="44"/>
      <c r="AF430" s="44"/>
      <c r="AG430" s="44"/>
      <c r="AH430" s="44"/>
      <c r="AI430" s="44"/>
      <c r="AJ430" s="44"/>
      <c r="AK430" s="44"/>
      <c r="AL430" s="44"/>
      <c r="AM430" s="44"/>
      <c r="AN430" s="44"/>
    </row>
    <row r="431" spans="1:40" ht="16.5" customHeight="1">
      <c r="A431" s="44"/>
      <c r="B431" s="44"/>
      <c r="C431" s="44"/>
      <c r="D431" s="172"/>
      <c r="E431" s="44"/>
      <c r="F431" s="44"/>
      <c r="G431" s="44"/>
      <c r="H431" s="44"/>
      <c r="I431" s="44"/>
      <c r="J431" s="44"/>
      <c r="K431" s="53"/>
      <c r="L431" s="44"/>
      <c r="M431" s="44"/>
      <c r="N431" s="44"/>
      <c r="O431" s="44"/>
      <c r="P431" s="44"/>
      <c r="Q431" s="44"/>
      <c r="R431" s="44"/>
      <c r="S431" s="44"/>
      <c r="T431" s="44"/>
      <c r="U431" s="44"/>
      <c r="V431" s="44"/>
      <c r="W431" s="44"/>
      <c r="X431" s="44"/>
      <c r="Y431" s="44"/>
      <c r="Z431" s="44"/>
      <c r="AA431" s="44"/>
      <c r="AB431" s="44"/>
      <c r="AC431" s="44"/>
      <c r="AD431" s="44"/>
      <c r="AE431" s="44"/>
      <c r="AF431" s="44"/>
      <c r="AG431" s="44"/>
      <c r="AH431" s="44"/>
      <c r="AI431" s="44"/>
      <c r="AJ431" s="44"/>
      <c r="AK431" s="44"/>
      <c r="AL431" s="44"/>
      <c r="AM431" s="44"/>
      <c r="AN431" s="44"/>
    </row>
    <row r="432" spans="1:40" ht="16.5" customHeight="1">
      <c r="A432" s="44"/>
      <c r="B432" s="44"/>
      <c r="C432" s="44"/>
      <c r="D432" s="172"/>
      <c r="E432" s="44"/>
      <c r="F432" s="44"/>
      <c r="G432" s="44"/>
      <c r="H432" s="44"/>
      <c r="I432" s="44"/>
      <c r="J432" s="44"/>
      <c r="K432" s="53"/>
      <c r="L432" s="44"/>
      <c r="M432" s="44"/>
      <c r="N432" s="44"/>
      <c r="O432" s="44"/>
      <c r="P432" s="44"/>
      <c r="Q432" s="44"/>
      <c r="R432" s="44"/>
      <c r="S432" s="44"/>
      <c r="T432" s="44"/>
      <c r="U432" s="44"/>
      <c r="V432" s="44"/>
      <c r="W432" s="44"/>
      <c r="X432" s="44"/>
      <c r="Y432" s="44"/>
      <c r="Z432" s="44"/>
      <c r="AA432" s="44"/>
      <c r="AB432" s="44"/>
      <c r="AC432" s="44"/>
      <c r="AD432" s="44"/>
      <c r="AE432" s="44"/>
      <c r="AF432" s="44"/>
      <c r="AG432" s="44"/>
      <c r="AH432" s="44"/>
      <c r="AI432" s="44"/>
      <c r="AJ432" s="44"/>
      <c r="AK432" s="44"/>
      <c r="AL432" s="44"/>
      <c r="AM432" s="44"/>
      <c r="AN432" s="44"/>
    </row>
    <row r="433" spans="1:40" ht="16.5" customHeight="1">
      <c r="A433" s="44"/>
      <c r="B433" s="44"/>
      <c r="C433" s="44"/>
      <c r="D433" s="172"/>
      <c r="E433" s="44"/>
      <c r="F433" s="44"/>
      <c r="G433" s="44"/>
      <c r="H433" s="44"/>
      <c r="I433" s="44"/>
      <c r="J433" s="44"/>
      <c r="K433" s="53"/>
      <c r="L433" s="44"/>
      <c r="M433" s="44"/>
      <c r="N433" s="44"/>
      <c r="O433" s="44"/>
      <c r="P433" s="44"/>
      <c r="Q433" s="44"/>
      <c r="R433" s="44"/>
      <c r="S433" s="44"/>
      <c r="T433" s="44"/>
      <c r="U433" s="44"/>
      <c r="V433" s="44"/>
      <c r="W433" s="44"/>
      <c r="X433" s="44"/>
      <c r="Y433" s="44"/>
      <c r="Z433" s="44"/>
      <c r="AA433" s="44"/>
      <c r="AB433" s="44"/>
      <c r="AC433" s="44"/>
      <c r="AD433" s="44"/>
      <c r="AE433" s="44"/>
      <c r="AF433" s="44"/>
      <c r="AG433" s="44"/>
      <c r="AH433" s="44"/>
      <c r="AI433" s="44"/>
      <c r="AJ433" s="44"/>
      <c r="AK433" s="44"/>
      <c r="AL433" s="44"/>
      <c r="AM433" s="44"/>
      <c r="AN433" s="44"/>
    </row>
    <row r="434" spans="1:40" ht="16.5" customHeight="1">
      <c r="A434" s="44"/>
      <c r="B434" s="44"/>
      <c r="C434" s="44"/>
      <c r="D434" s="172"/>
      <c r="E434" s="44"/>
      <c r="F434" s="44"/>
      <c r="G434" s="44"/>
      <c r="H434" s="44"/>
      <c r="I434" s="44"/>
      <c r="J434" s="44"/>
      <c r="K434" s="53"/>
      <c r="L434" s="44"/>
      <c r="M434" s="44"/>
      <c r="N434" s="44"/>
      <c r="O434" s="44"/>
      <c r="P434" s="44"/>
      <c r="Q434" s="44"/>
      <c r="R434" s="44"/>
      <c r="S434" s="44"/>
      <c r="T434" s="44"/>
      <c r="U434" s="44"/>
      <c r="V434" s="44"/>
      <c r="W434" s="44"/>
      <c r="X434" s="44"/>
      <c r="Y434" s="44"/>
      <c r="Z434" s="44"/>
      <c r="AA434" s="44"/>
      <c r="AB434" s="44"/>
      <c r="AC434" s="44"/>
      <c r="AD434" s="44"/>
      <c r="AE434" s="44"/>
      <c r="AF434" s="44"/>
      <c r="AG434" s="44"/>
      <c r="AH434" s="44"/>
      <c r="AI434" s="44"/>
      <c r="AJ434" s="44"/>
      <c r="AK434" s="44"/>
      <c r="AL434" s="44"/>
      <c r="AM434" s="44"/>
      <c r="AN434" s="44"/>
    </row>
    <row r="435" spans="1:40" ht="16.5" customHeight="1">
      <c r="A435" s="44"/>
      <c r="B435" s="44"/>
      <c r="C435" s="44"/>
      <c r="D435" s="172"/>
      <c r="E435" s="44"/>
      <c r="F435" s="44"/>
      <c r="G435" s="44"/>
      <c r="H435" s="44"/>
      <c r="I435" s="44"/>
      <c r="J435" s="44"/>
      <c r="K435" s="53"/>
      <c r="L435" s="44"/>
      <c r="M435" s="44"/>
      <c r="N435" s="44"/>
      <c r="O435" s="44"/>
      <c r="P435" s="44"/>
      <c r="Q435" s="44"/>
      <c r="R435" s="44"/>
      <c r="S435" s="44"/>
      <c r="T435" s="44"/>
      <c r="U435" s="44"/>
      <c r="V435" s="44"/>
      <c r="W435" s="44"/>
      <c r="X435" s="44"/>
      <c r="Y435" s="44"/>
      <c r="Z435" s="44"/>
      <c r="AA435" s="44"/>
      <c r="AB435" s="44"/>
      <c r="AC435" s="44"/>
      <c r="AD435" s="44"/>
      <c r="AE435" s="44"/>
      <c r="AF435" s="44"/>
      <c r="AG435" s="44"/>
      <c r="AH435" s="44"/>
      <c r="AI435" s="44"/>
      <c r="AJ435" s="44"/>
      <c r="AK435" s="44"/>
      <c r="AL435" s="44"/>
      <c r="AM435" s="44"/>
      <c r="AN435" s="44"/>
    </row>
    <row r="436" spans="1:40" ht="16.5" customHeight="1">
      <c r="A436" s="44"/>
      <c r="B436" s="44"/>
      <c r="C436" s="44"/>
      <c r="D436" s="172"/>
      <c r="E436" s="44"/>
      <c r="F436" s="44"/>
      <c r="G436" s="44"/>
      <c r="H436" s="44"/>
      <c r="I436" s="44"/>
      <c r="J436" s="44"/>
      <c r="K436" s="53"/>
      <c r="L436" s="44"/>
      <c r="M436" s="44"/>
      <c r="N436" s="44"/>
      <c r="O436" s="44"/>
      <c r="P436" s="44"/>
      <c r="Q436" s="44"/>
      <c r="R436" s="44"/>
      <c r="S436" s="44"/>
      <c r="T436" s="44"/>
      <c r="U436" s="44"/>
      <c r="V436" s="44"/>
      <c r="W436" s="44"/>
      <c r="X436" s="44"/>
      <c r="Y436" s="44"/>
      <c r="Z436" s="44"/>
      <c r="AA436" s="44"/>
      <c r="AB436" s="44"/>
      <c r="AC436" s="44"/>
      <c r="AD436" s="44"/>
      <c r="AE436" s="44"/>
      <c r="AF436" s="44"/>
      <c r="AG436" s="44"/>
      <c r="AH436" s="44"/>
      <c r="AI436" s="44"/>
      <c r="AJ436" s="44"/>
      <c r="AK436" s="44"/>
      <c r="AL436" s="44"/>
      <c r="AM436" s="44"/>
      <c r="AN436" s="44"/>
    </row>
    <row r="437" spans="1:40" ht="16.5" customHeight="1">
      <c r="A437" s="44"/>
      <c r="B437" s="44"/>
      <c r="C437" s="44"/>
      <c r="D437" s="172"/>
      <c r="E437" s="44"/>
      <c r="F437" s="44"/>
      <c r="G437" s="44"/>
      <c r="H437" s="44"/>
      <c r="I437" s="44"/>
      <c r="J437" s="44"/>
      <c r="K437" s="53"/>
      <c r="L437" s="44"/>
      <c r="M437" s="44"/>
      <c r="N437" s="44"/>
      <c r="O437" s="44"/>
      <c r="P437" s="44"/>
      <c r="Q437" s="44"/>
      <c r="R437" s="44"/>
      <c r="S437" s="44"/>
      <c r="T437" s="44"/>
      <c r="U437" s="44"/>
      <c r="V437" s="44"/>
      <c r="W437" s="44"/>
      <c r="X437" s="44"/>
      <c r="Y437" s="44"/>
      <c r="Z437" s="44"/>
      <c r="AA437" s="44"/>
      <c r="AB437" s="44"/>
      <c r="AC437" s="44"/>
      <c r="AD437" s="44"/>
      <c r="AE437" s="44"/>
      <c r="AF437" s="44"/>
      <c r="AG437" s="44"/>
      <c r="AH437" s="44"/>
      <c r="AI437" s="44"/>
      <c r="AJ437" s="44"/>
      <c r="AK437" s="44"/>
      <c r="AL437" s="44"/>
      <c r="AM437" s="44"/>
      <c r="AN437" s="44"/>
    </row>
    <row r="438" spans="1:40" ht="16.5" customHeight="1">
      <c r="A438" s="44"/>
      <c r="B438" s="44"/>
      <c r="C438" s="44"/>
      <c r="D438" s="172"/>
      <c r="E438" s="44"/>
      <c r="F438" s="44"/>
      <c r="G438" s="44"/>
      <c r="H438" s="44"/>
      <c r="I438" s="44"/>
      <c r="J438" s="44"/>
      <c r="K438" s="53"/>
      <c r="L438" s="44"/>
      <c r="M438" s="44"/>
      <c r="N438" s="44"/>
      <c r="O438" s="44"/>
      <c r="P438" s="44"/>
      <c r="Q438" s="44"/>
      <c r="R438" s="44"/>
      <c r="S438" s="44"/>
      <c r="T438" s="44"/>
      <c r="U438" s="44"/>
      <c r="V438" s="44"/>
      <c r="W438" s="44"/>
      <c r="X438" s="44"/>
      <c r="Y438" s="44"/>
      <c r="Z438" s="44"/>
      <c r="AA438" s="44"/>
      <c r="AB438" s="44"/>
      <c r="AC438" s="44"/>
      <c r="AD438" s="44"/>
      <c r="AE438" s="44"/>
      <c r="AF438" s="44"/>
      <c r="AG438" s="44"/>
      <c r="AH438" s="44"/>
      <c r="AI438" s="44"/>
      <c r="AJ438" s="44"/>
      <c r="AK438" s="44"/>
      <c r="AL438" s="44"/>
      <c r="AM438" s="44"/>
      <c r="AN438" s="44"/>
    </row>
    <row r="439" spans="1:40" ht="16.5" customHeight="1">
      <c r="A439" s="44"/>
      <c r="B439" s="44"/>
      <c r="C439" s="44"/>
      <c r="D439" s="172"/>
      <c r="E439" s="44"/>
      <c r="F439" s="44"/>
      <c r="G439" s="44"/>
      <c r="H439" s="44"/>
      <c r="I439" s="44"/>
      <c r="J439" s="44"/>
      <c r="K439" s="53"/>
      <c r="L439" s="44"/>
      <c r="M439" s="44"/>
      <c r="N439" s="44"/>
      <c r="O439" s="44"/>
      <c r="P439" s="44"/>
      <c r="Q439" s="44"/>
      <c r="R439" s="44"/>
      <c r="S439" s="44"/>
      <c r="T439" s="44"/>
      <c r="U439" s="44"/>
      <c r="V439" s="44"/>
      <c r="W439" s="44"/>
      <c r="X439" s="44"/>
      <c r="Y439" s="44"/>
      <c r="Z439" s="44"/>
      <c r="AA439" s="44"/>
      <c r="AB439" s="44"/>
      <c r="AC439" s="44"/>
      <c r="AD439" s="44"/>
      <c r="AE439" s="44"/>
      <c r="AF439" s="44"/>
      <c r="AG439" s="44"/>
      <c r="AH439" s="44"/>
      <c r="AI439" s="44"/>
      <c r="AJ439" s="44"/>
      <c r="AK439" s="44"/>
      <c r="AL439" s="44"/>
      <c r="AM439" s="44"/>
      <c r="AN439" s="44"/>
    </row>
    <row r="440" spans="1:40" ht="16.5" customHeight="1">
      <c r="A440" s="44"/>
      <c r="B440" s="44"/>
      <c r="C440" s="44"/>
      <c r="D440" s="172"/>
      <c r="E440" s="44"/>
      <c r="F440" s="44"/>
      <c r="G440" s="44"/>
      <c r="H440" s="44"/>
      <c r="I440" s="44"/>
      <c r="J440" s="44"/>
      <c r="K440" s="53"/>
      <c r="L440" s="44"/>
      <c r="M440" s="44"/>
      <c r="N440" s="44"/>
      <c r="O440" s="44"/>
      <c r="P440" s="44"/>
      <c r="Q440" s="44"/>
      <c r="R440" s="44"/>
      <c r="S440" s="44"/>
      <c r="T440" s="44"/>
      <c r="U440" s="44"/>
      <c r="V440" s="44"/>
      <c r="W440" s="44"/>
      <c r="X440" s="44"/>
      <c r="Y440" s="44"/>
      <c r="Z440" s="44"/>
      <c r="AA440" s="44"/>
      <c r="AB440" s="44"/>
      <c r="AC440" s="44"/>
      <c r="AD440" s="44"/>
      <c r="AE440" s="44"/>
      <c r="AF440" s="44"/>
      <c r="AG440" s="44"/>
      <c r="AH440" s="44"/>
      <c r="AI440" s="44"/>
      <c r="AJ440" s="44"/>
      <c r="AK440" s="44"/>
      <c r="AL440" s="44"/>
      <c r="AM440" s="44"/>
      <c r="AN440" s="44"/>
    </row>
    <row r="441" spans="1:40" ht="16.5" customHeight="1">
      <c r="A441" s="44"/>
      <c r="B441" s="44"/>
      <c r="C441" s="44"/>
      <c r="D441" s="172"/>
      <c r="E441" s="44"/>
      <c r="F441" s="44"/>
      <c r="G441" s="44"/>
      <c r="H441" s="44"/>
      <c r="I441" s="44"/>
      <c r="J441" s="44"/>
      <c r="K441" s="53"/>
      <c r="L441" s="44"/>
      <c r="M441" s="44"/>
      <c r="N441" s="44"/>
      <c r="O441" s="44"/>
      <c r="P441" s="44"/>
      <c r="Q441" s="44"/>
      <c r="R441" s="44"/>
      <c r="S441" s="44"/>
      <c r="T441" s="44"/>
      <c r="U441" s="44"/>
      <c r="V441" s="44"/>
      <c r="W441" s="44"/>
      <c r="X441" s="44"/>
      <c r="Y441" s="44"/>
      <c r="Z441" s="44"/>
      <c r="AA441" s="44"/>
      <c r="AB441" s="44"/>
      <c r="AC441" s="44"/>
      <c r="AD441" s="44"/>
      <c r="AE441" s="44"/>
      <c r="AF441" s="44"/>
      <c r="AG441" s="44"/>
      <c r="AH441" s="44"/>
      <c r="AI441" s="44"/>
      <c r="AJ441" s="44"/>
      <c r="AK441" s="44"/>
      <c r="AL441" s="44"/>
      <c r="AM441" s="44"/>
      <c r="AN441" s="44"/>
    </row>
    <row r="442" spans="1:40" ht="16.5" customHeight="1">
      <c r="A442" s="44"/>
      <c r="B442" s="44"/>
      <c r="C442" s="44"/>
      <c r="D442" s="172"/>
      <c r="E442" s="44"/>
      <c r="F442" s="44"/>
      <c r="G442" s="44"/>
      <c r="H442" s="44"/>
      <c r="I442" s="44"/>
      <c r="J442" s="44"/>
      <c r="K442" s="53"/>
      <c r="L442" s="44"/>
      <c r="M442" s="44"/>
      <c r="N442" s="44"/>
      <c r="O442" s="44"/>
      <c r="P442" s="44"/>
      <c r="Q442" s="44"/>
      <c r="R442" s="44"/>
      <c r="S442" s="44"/>
      <c r="T442" s="44"/>
      <c r="U442" s="44"/>
      <c r="V442" s="44"/>
      <c r="W442" s="44"/>
      <c r="X442" s="44"/>
      <c r="Y442" s="44"/>
      <c r="Z442" s="44"/>
      <c r="AA442" s="44"/>
      <c r="AB442" s="44"/>
      <c r="AC442" s="44"/>
      <c r="AD442" s="44"/>
      <c r="AE442" s="44"/>
      <c r="AF442" s="44"/>
      <c r="AG442" s="44"/>
      <c r="AH442" s="44"/>
      <c r="AI442" s="44"/>
      <c r="AJ442" s="44"/>
      <c r="AK442" s="44"/>
      <c r="AL442" s="44"/>
      <c r="AM442" s="44"/>
      <c r="AN442" s="44"/>
    </row>
    <row r="443" spans="1:40" ht="16.5" customHeight="1">
      <c r="A443" s="44"/>
      <c r="B443" s="44"/>
      <c r="C443" s="44"/>
      <c r="D443" s="172"/>
      <c r="E443" s="44"/>
      <c r="F443" s="44"/>
      <c r="G443" s="44"/>
      <c r="H443" s="44"/>
      <c r="I443" s="44"/>
      <c r="J443" s="44"/>
      <c r="K443" s="53"/>
      <c r="L443" s="44"/>
      <c r="M443" s="44"/>
      <c r="N443" s="44"/>
      <c r="O443" s="44"/>
      <c r="P443" s="44"/>
      <c r="Q443" s="44"/>
      <c r="R443" s="44"/>
      <c r="S443" s="44"/>
      <c r="T443" s="44"/>
      <c r="U443" s="44"/>
      <c r="V443" s="44"/>
      <c r="W443" s="44"/>
      <c r="X443" s="44"/>
      <c r="Y443" s="44"/>
      <c r="Z443" s="44"/>
      <c r="AA443" s="44"/>
      <c r="AB443" s="44"/>
      <c r="AC443" s="44"/>
      <c r="AD443" s="44"/>
      <c r="AE443" s="44"/>
      <c r="AF443" s="44"/>
      <c r="AG443" s="44"/>
      <c r="AH443" s="44"/>
      <c r="AI443" s="44"/>
      <c r="AJ443" s="44"/>
      <c r="AK443" s="44"/>
      <c r="AL443" s="44"/>
      <c r="AM443" s="44"/>
      <c r="AN443" s="44"/>
    </row>
    <row r="444" spans="1:40" ht="16.5" customHeight="1">
      <c r="A444" s="44"/>
      <c r="B444" s="44"/>
      <c r="C444" s="44"/>
      <c r="D444" s="172"/>
      <c r="E444" s="44"/>
      <c r="F444" s="44"/>
      <c r="G444" s="44"/>
      <c r="H444" s="44"/>
      <c r="I444" s="44"/>
      <c r="J444" s="44"/>
      <c r="K444" s="53"/>
      <c r="L444" s="44"/>
      <c r="M444" s="44"/>
      <c r="N444" s="44"/>
      <c r="O444" s="44"/>
      <c r="P444" s="44"/>
      <c r="Q444" s="44"/>
      <c r="R444" s="44"/>
      <c r="S444" s="44"/>
      <c r="T444" s="44"/>
      <c r="U444" s="44"/>
      <c r="V444" s="44"/>
      <c r="W444" s="44"/>
      <c r="X444" s="44"/>
      <c r="Y444" s="44"/>
      <c r="Z444" s="44"/>
      <c r="AA444" s="44"/>
      <c r="AB444" s="44"/>
      <c r="AC444" s="44"/>
      <c r="AD444" s="44"/>
      <c r="AE444" s="44"/>
      <c r="AF444" s="44"/>
      <c r="AG444" s="44"/>
      <c r="AH444" s="44"/>
      <c r="AI444" s="44"/>
      <c r="AJ444" s="44"/>
      <c r="AK444" s="44"/>
      <c r="AL444" s="44"/>
      <c r="AM444" s="44"/>
      <c r="AN444" s="44"/>
    </row>
    <row r="445" spans="1:40" ht="16.5" customHeight="1">
      <c r="A445" s="44"/>
      <c r="B445" s="44"/>
      <c r="C445" s="44"/>
      <c r="D445" s="172"/>
      <c r="E445" s="44"/>
      <c r="F445" s="44"/>
      <c r="G445" s="44"/>
      <c r="H445" s="44"/>
      <c r="I445" s="44"/>
      <c r="J445" s="44"/>
      <c r="K445" s="53"/>
      <c r="L445" s="44"/>
      <c r="M445" s="44"/>
      <c r="N445" s="44"/>
      <c r="O445" s="44"/>
      <c r="P445" s="44"/>
      <c r="Q445" s="44"/>
      <c r="R445" s="44"/>
      <c r="S445" s="44"/>
      <c r="T445" s="44"/>
      <c r="U445" s="44"/>
      <c r="V445" s="44"/>
      <c r="W445" s="44"/>
      <c r="X445" s="44"/>
      <c r="Y445" s="44"/>
      <c r="Z445" s="44"/>
      <c r="AA445" s="44"/>
      <c r="AB445" s="44"/>
      <c r="AC445" s="44"/>
      <c r="AD445" s="44"/>
      <c r="AE445" s="44"/>
      <c r="AF445" s="44"/>
      <c r="AG445" s="44"/>
      <c r="AH445" s="44"/>
      <c r="AI445" s="44"/>
      <c r="AJ445" s="44"/>
      <c r="AK445" s="44"/>
      <c r="AL445" s="44"/>
      <c r="AM445" s="44"/>
      <c r="AN445" s="44"/>
    </row>
    <row r="446" spans="1:40" ht="16.5" customHeight="1">
      <c r="A446" s="44"/>
      <c r="B446" s="44"/>
      <c r="C446" s="44"/>
      <c r="D446" s="172"/>
      <c r="E446" s="44"/>
      <c r="F446" s="44"/>
      <c r="G446" s="44"/>
      <c r="H446" s="44"/>
      <c r="I446" s="44"/>
      <c r="J446" s="44"/>
      <c r="K446" s="53"/>
      <c r="L446" s="44"/>
      <c r="M446" s="44"/>
      <c r="N446" s="44"/>
      <c r="O446" s="44"/>
      <c r="P446" s="44"/>
      <c r="Q446" s="44"/>
      <c r="R446" s="44"/>
      <c r="S446" s="44"/>
      <c r="T446" s="44"/>
      <c r="U446" s="44"/>
      <c r="V446" s="44"/>
      <c r="W446" s="44"/>
      <c r="X446" s="44"/>
      <c r="Y446" s="44"/>
      <c r="Z446" s="44"/>
      <c r="AA446" s="44"/>
      <c r="AB446" s="44"/>
      <c r="AC446" s="44"/>
      <c r="AD446" s="44"/>
      <c r="AE446" s="44"/>
      <c r="AF446" s="44"/>
      <c r="AG446" s="44"/>
      <c r="AH446" s="44"/>
      <c r="AI446" s="44"/>
      <c r="AJ446" s="44"/>
      <c r="AK446" s="44"/>
      <c r="AL446" s="44"/>
      <c r="AM446" s="44"/>
      <c r="AN446" s="44"/>
    </row>
    <row r="447" spans="1:40" ht="16.5" customHeight="1">
      <c r="A447" s="44"/>
      <c r="B447" s="44"/>
      <c r="C447" s="44"/>
      <c r="D447" s="172"/>
      <c r="E447" s="44"/>
      <c r="F447" s="44"/>
      <c r="G447" s="44"/>
      <c r="H447" s="44"/>
      <c r="I447" s="44"/>
      <c r="J447" s="44"/>
      <c r="K447" s="53"/>
      <c r="L447" s="44"/>
      <c r="M447" s="44"/>
      <c r="N447" s="44"/>
      <c r="O447" s="44"/>
      <c r="P447" s="44"/>
      <c r="Q447" s="44"/>
      <c r="R447" s="44"/>
      <c r="S447" s="44"/>
      <c r="T447" s="44"/>
      <c r="U447" s="44"/>
      <c r="V447" s="44"/>
      <c r="W447" s="44"/>
      <c r="X447" s="44"/>
      <c r="Y447" s="44"/>
      <c r="Z447" s="44"/>
      <c r="AA447" s="44"/>
      <c r="AB447" s="44"/>
      <c r="AC447" s="44"/>
      <c r="AD447" s="44"/>
      <c r="AE447" s="44"/>
      <c r="AF447" s="44"/>
      <c r="AG447" s="44"/>
      <c r="AH447" s="44"/>
      <c r="AI447" s="44"/>
      <c r="AJ447" s="44"/>
      <c r="AK447" s="44"/>
      <c r="AL447" s="44"/>
      <c r="AM447" s="44"/>
      <c r="AN447" s="44"/>
    </row>
    <row r="448" spans="1:40" ht="16.5" customHeight="1">
      <c r="A448" s="44"/>
      <c r="B448" s="44"/>
      <c r="C448" s="44"/>
      <c r="D448" s="172"/>
      <c r="E448" s="44"/>
      <c r="F448" s="44"/>
      <c r="G448" s="44"/>
      <c r="H448" s="44"/>
      <c r="I448" s="44"/>
      <c r="J448" s="44"/>
      <c r="K448" s="53"/>
      <c r="L448" s="44"/>
      <c r="M448" s="44"/>
      <c r="N448" s="44"/>
      <c r="O448" s="44"/>
      <c r="P448" s="44"/>
      <c r="Q448" s="44"/>
      <c r="R448" s="44"/>
      <c r="S448" s="44"/>
      <c r="T448" s="44"/>
      <c r="U448" s="44"/>
      <c r="V448" s="44"/>
      <c r="W448" s="44"/>
      <c r="X448" s="44"/>
      <c r="Y448" s="44"/>
      <c r="Z448" s="44"/>
      <c r="AA448" s="44"/>
      <c r="AB448" s="44"/>
      <c r="AC448" s="44"/>
      <c r="AD448" s="44"/>
      <c r="AE448" s="44"/>
      <c r="AF448" s="44"/>
      <c r="AG448" s="44"/>
      <c r="AH448" s="44"/>
      <c r="AI448" s="44"/>
      <c r="AJ448" s="44"/>
      <c r="AK448" s="44"/>
      <c r="AL448" s="44"/>
      <c r="AM448" s="44"/>
      <c r="AN448" s="44"/>
    </row>
    <row r="449" spans="1:40" ht="16.5" customHeight="1">
      <c r="A449" s="44"/>
      <c r="B449" s="44"/>
      <c r="C449" s="44"/>
      <c r="D449" s="172"/>
      <c r="E449" s="44"/>
      <c r="F449" s="44"/>
      <c r="G449" s="44"/>
      <c r="H449" s="44"/>
      <c r="I449" s="44"/>
      <c r="J449" s="44"/>
      <c r="K449" s="53"/>
      <c r="L449" s="44"/>
      <c r="M449" s="44"/>
      <c r="N449" s="44"/>
      <c r="O449" s="44"/>
      <c r="P449" s="44"/>
      <c r="Q449" s="44"/>
      <c r="R449" s="44"/>
      <c r="S449" s="44"/>
      <c r="T449" s="44"/>
      <c r="U449" s="44"/>
      <c r="V449" s="44"/>
      <c r="W449" s="44"/>
      <c r="X449" s="44"/>
      <c r="Y449" s="44"/>
      <c r="Z449" s="44"/>
      <c r="AA449" s="44"/>
      <c r="AB449" s="44"/>
      <c r="AC449" s="44"/>
      <c r="AD449" s="44"/>
      <c r="AE449" s="44"/>
      <c r="AF449" s="44"/>
      <c r="AG449" s="44"/>
      <c r="AH449" s="44"/>
      <c r="AI449" s="44"/>
      <c r="AJ449" s="44"/>
      <c r="AK449" s="44"/>
      <c r="AL449" s="44"/>
      <c r="AM449" s="44"/>
      <c r="AN449" s="44"/>
    </row>
    <row r="450" spans="1:40" ht="16.5" customHeight="1">
      <c r="A450" s="44"/>
      <c r="B450" s="44"/>
      <c r="C450" s="44"/>
      <c r="D450" s="172"/>
      <c r="E450" s="44"/>
      <c r="F450" s="44"/>
      <c r="G450" s="44"/>
      <c r="H450" s="44"/>
      <c r="I450" s="44"/>
      <c r="J450" s="44"/>
      <c r="K450" s="53"/>
      <c r="L450" s="44"/>
      <c r="M450" s="44"/>
      <c r="N450" s="44"/>
      <c r="O450" s="44"/>
      <c r="P450" s="44"/>
      <c r="Q450" s="44"/>
      <c r="R450" s="44"/>
      <c r="S450" s="44"/>
      <c r="T450" s="44"/>
      <c r="U450" s="44"/>
      <c r="V450" s="44"/>
      <c r="W450" s="44"/>
      <c r="X450" s="44"/>
      <c r="Y450" s="44"/>
      <c r="Z450" s="44"/>
      <c r="AA450" s="44"/>
      <c r="AB450" s="44"/>
      <c r="AC450" s="44"/>
      <c r="AD450" s="44"/>
      <c r="AE450" s="44"/>
      <c r="AF450" s="44"/>
      <c r="AG450" s="44"/>
      <c r="AH450" s="44"/>
      <c r="AI450" s="44"/>
      <c r="AJ450" s="44"/>
      <c r="AK450" s="44"/>
      <c r="AL450" s="44"/>
      <c r="AM450" s="44"/>
      <c r="AN450" s="44"/>
    </row>
    <row r="451" spans="1:40" ht="16.5" customHeight="1">
      <c r="A451" s="44"/>
      <c r="B451" s="44"/>
      <c r="C451" s="44"/>
      <c r="D451" s="172"/>
      <c r="E451" s="44"/>
      <c r="F451" s="44"/>
      <c r="G451" s="44"/>
      <c r="H451" s="44"/>
      <c r="I451" s="44"/>
      <c r="J451" s="44"/>
      <c r="K451" s="53"/>
      <c r="L451" s="44"/>
      <c r="M451" s="44"/>
      <c r="N451" s="44"/>
      <c r="O451" s="44"/>
      <c r="P451" s="44"/>
      <c r="Q451" s="44"/>
      <c r="R451" s="44"/>
      <c r="S451" s="44"/>
      <c r="T451" s="44"/>
      <c r="U451" s="44"/>
      <c r="V451" s="44"/>
      <c r="W451" s="44"/>
      <c r="X451" s="44"/>
      <c r="Y451" s="44"/>
      <c r="Z451" s="44"/>
      <c r="AA451" s="44"/>
      <c r="AB451" s="44"/>
      <c r="AC451" s="44"/>
      <c r="AD451" s="44"/>
      <c r="AE451" s="44"/>
      <c r="AF451" s="44"/>
      <c r="AG451" s="44"/>
      <c r="AH451" s="44"/>
      <c r="AI451" s="44"/>
      <c r="AJ451" s="44"/>
      <c r="AK451" s="44"/>
      <c r="AL451" s="44"/>
      <c r="AM451" s="44"/>
      <c r="AN451" s="44"/>
    </row>
    <row r="452" spans="1:40" ht="16.5" customHeight="1">
      <c r="A452" s="44"/>
      <c r="B452" s="44"/>
      <c r="C452" s="44"/>
      <c r="D452" s="172"/>
      <c r="E452" s="44"/>
      <c r="F452" s="44"/>
      <c r="G452" s="44"/>
      <c r="H452" s="44"/>
      <c r="I452" s="44"/>
      <c r="J452" s="44"/>
      <c r="K452" s="53"/>
      <c r="L452" s="44"/>
      <c r="M452" s="44"/>
      <c r="N452" s="44"/>
      <c r="O452" s="44"/>
      <c r="P452" s="44"/>
      <c r="Q452" s="44"/>
      <c r="R452" s="44"/>
      <c r="S452" s="44"/>
      <c r="T452" s="44"/>
      <c r="U452" s="44"/>
      <c r="V452" s="44"/>
      <c r="W452" s="44"/>
      <c r="X452" s="44"/>
      <c r="Y452" s="44"/>
      <c r="Z452" s="44"/>
      <c r="AA452" s="44"/>
      <c r="AB452" s="44"/>
      <c r="AC452" s="44"/>
      <c r="AD452" s="44"/>
      <c r="AE452" s="44"/>
      <c r="AF452" s="44"/>
      <c r="AG452" s="44"/>
      <c r="AH452" s="44"/>
      <c r="AI452" s="44"/>
      <c r="AJ452" s="44"/>
      <c r="AK452" s="44"/>
      <c r="AL452" s="44"/>
      <c r="AM452" s="44"/>
      <c r="AN452" s="44"/>
    </row>
    <row r="453" spans="1:40" ht="16.5" customHeight="1">
      <c r="A453" s="44"/>
      <c r="B453" s="44"/>
      <c r="C453" s="44"/>
      <c r="D453" s="172"/>
      <c r="E453" s="44"/>
      <c r="F453" s="44"/>
      <c r="G453" s="44"/>
      <c r="H453" s="44"/>
      <c r="I453" s="44"/>
      <c r="J453" s="44"/>
      <c r="K453" s="53"/>
      <c r="L453" s="44"/>
      <c r="M453" s="44"/>
      <c r="N453" s="44"/>
      <c r="O453" s="44"/>
      <c r="P453" s="44"/>
      <c r="Q453" s="44"/>
      <c r="R453" s="44"/>
      <c r="S453" s="44"/>
      <c r="T453" s="44"/>
      <c r="U453" s="44"/>
      <c r="V453" s="44"/>
      <c r="W453" s="44"/>
      <c r="X453" s="44"/>
      <c r="Y453" s="44"/>
      <c r="Z453" s="44"/>
      <c r="AA453" s="44"/>
      <c r="AB453" s="44"/>
      <c r="AC453" s="44"/>
      <c r="AD453" s="44"/>
      <c r="AE453" s="44"/>
      <c r="AF453" s="44"/>
      <c r="AG453" s="44"/>
      <c r="AH453" s="44"/>
      <c r="AI453" s="44"/>
      <c r="AJ453" s="44"/>
      <c r="AK453" s="44"/>
      <c r="AL453" s="44"/>
      <c r="AM453" s="44"/>
      <c r="AN453" s="44"/>
    </row>
    <row r="454" spans="1:40" ht="16.5" customHeight="1">
      <c r="A454" s="44"/>
      <c r="B454" s="44"/>
      <c r="C454" s="44"/>
      <c r="D454" s="172"/>
      <c r="E454" s="44"/>
      <c r="F454" s="44"/>
      <c r="G454" s="44"/>
      <c r="H454" s="44"/>
      <c r="I454" s="44"/>
      <c r="J454" s="44"/>
      <c r="K454" s="53"/>
      <c r="L454" s="44"/>
      <c r="M454" s="44"/>
      <c r="N454" s="44"/>
      <c r="O454" s="44"/>
      <c r="P454" s="44"/>
      <c r="Q454" s="44"/>
      <c r="R454" s="44"/>
      <c r="S454" s="44"/>
      <c r="T454" s="44"/>
      <c r="U454" s="44"/>
      <c r="V454" s="44"/>
      <c r="W454" s="44"/>
      <c r="X454" s="44"/>
      <c r="Y454" s="44"/>
      <c r="Z454" s="44"/>
      <c r="AA454" s="44"/>
      <c r="AB454" s="44"/>
      <c r="AC454" s="44"/>
      <c r="AD454" s="44"/>
      <c r="AE454" s="44"/>
      <c r="AF454" s="44"/>
      <c r="AG454" s="44"/>
      <c r="AH454" s="44"/>
      <c r="AI454" s="44"/>
      <c r="AJ454" s="44"/>
      <c r="AK454" s="44"/>
      <c r="AL454" s="44"/>
      <c r="AM454" s="44"/>
      <c r="AN454" s="44"/>
    </row>
    <row r="455" spans="1:40" ht="16.5" customHeight="1">
      <c r="A455" s="44"/>
      <c r="B455" s="44"/>
      <c r="C455" s="44"/>
      <c r="D455" s="172"/>
      <c r="E455" s="44"/>
      <c r="F455" s="44"/>
      <c r="G455" s="44"/>
      <c r="H455" s="44"/>
      <c r="I455" s="44"/>
      <c r="J455" s="44"/>
      <c r="K455" s="53"/>
      <c r="L455" s="44"/>
      <c r="M455" s="44"/>
      <c r="N455" s="44"/>
      <c r="O455" s="44"/>
      <c r="P455" s="44"/>
      <c r="Q455" s="44"/>
      <c r="R455" s="44"/>
      <c r="S455" s="44"/>
      <c r="T455" s="44"/>
      <c r="U455" s="44"/>
      <c r="V455" s="44"/>
      <c r="W455" s="44"/>
      <c r="X455" s="44"/>
      <c r="Y455" s="44"/>
      <c r="Z455" s="44"/>
      <c r="AA455" s="44"/>
      <c r="AB455" s="44"/>
      <c r="AC455" s="44"/>
      <c r="AD455" s="44"/>
      <c r="AE455" s="44"/>
      <c r="AF455" s="44"/>
      <c r="AG455" s="44"/>
      <c r="AH455" s="44"/>
      <c r="AI455" s="44"/>
      <c r="AJ455" s="44"/>
      <c r="AK455" s="44"/>
      <c r="AL455" s="44"/>
      <c r="AM455" s="44"/>
      <c r="AN455" s="44"/>
    </row>
    <row r="456" spans="1:40" ht="16.5" customHeight="1">
      <c r="A456" s="44"/>
      <c r="B456" s="44"/>
      <c r="C456" s="44"/>
      <c r="D456" s="172"/>
      <c r="E456" s="44"/>
      <c r="F456" s="44"/>
      <c r="G456" s="44"/>
      <c r="H456" s="44"/>
      <c r="I456" s="44"/>
      <c r="J456" s="44"/>
      <c r="K456" s="53"/>
      <c r="L456" s="44"/>
      <c r="M456" s="44"/>
      <c r="N456" s="44"/>
      <c r="O456" s="44"/>
      <c r="P456" s="44"/>
      <c r="Q456" s="44"/>
      <c r="R456" s="44"/>
      <c r="S456" s="44"/>
      <c r="T456" s="44"/>
      <c r="U456" s="44"/>
      <c r="V456" s="44"/>
      <c r="W456" s="44"/>
      <c r="X456" s="44"/>
      <c r="Y456" s="44"/>
      <c r="Z456" s="44"/>
      <c r="AA456" s="44"/>
      <c r="AB456" s="44"/>
      <c r="AC456" s="44"/>
      <c r="AD456" s="44"/>
      <c r="AE456" s="44"/>
      <c r="AF456" s="44"/>
      <c r="AG456" s="44"/>
      <c r="AH456" s="44"/>
      <c r="AI456" s="44"/>
      <c r="AJ456" s="44"/>
      <c r="AK456" s="44"/>
      <c r="AL456" s="44"/>
      <c r="AM456" s="44"/>
      <c r="AN456" s="44"/>
    </row>
    <row r="457" spans="1:40" ht="16.5" customHeight="1">
      <c r="A457" s="44"/>
      <c r="B457" s="44"/>
      <c r="C457" s="44"/>
      <c r="D457" s="172"/>
      <c r="E457" s="44"/>
      <c r="F457" s="44"/>
      <c r="G457" s="44"/>
      <c r="H457" s="44"/>
      <c r="I457" s="44"/>
      <c r="J457" s="44"/>
      <c r="K457" s="53"/>
      <c r="L457" s="44"/>
      <c r="M457" s="44"/>
      <c r="N457" s="44"/>
      <c r="O457" s="44"/>
      <c r="P457" s="44"/>
      <c r="Q457" s="44"/>
      <c r="R457" s="44"/>
      <c r="S457" s="44"/>
      <c r="T457" s="44"/>
      <c r="U457" s="44"/>
      <c r="V457" s="44"/>
      <c r="W457" s="44"/>
      <c r="X457" s="44"/>
      <c r="Y457" s="44"/>
      <c r="Z457" s="44"/>
      <c r="AA457" s="44"/>
      <c r="AB457" s="44"/>
      <c r="AC457" s="44"/>
      <c r="AD457" s="44"/>
      <c r="AE457" s="44"/>
      <c r="AF457" s="44"/>
      <c r="AG457" s="44"/>
      <c r="AH457" s="44"/>
      <c r="AI457" s="44"/>
      <c r="AJ457" s="44"/>
      <c r="AK457" s="44"/>
      <c r="AL457" s="44"/>
      <c r="AM457" s="44"/>
      <c r="AN457" s="44"/>
    </row>
    <row r="458" spans="1:40" ht="16.5" customHeight="1">
      <c r="A458" s="44"/>
      <c r="B458" s="44"/>
      <c r="C458" s="44"/>
      <c r="D458" s="172"/>
      <c r="E458" s="44"/>
      <c r="F458" s="44"/>
      <c r="G458" s="44"/>
      <c r="H458" s="44"/>
      <c r="I458" s="44"/>
      <c r="J458" s="44"/>
      <c r="K458" s="53"/>
      <c r="L458" s="44"/>
      <c r="M458" s="44"/>
      <c r="N458" s="44"/>
      <c r="O458" s="44"/>
      <c r="P458" s="44"/>
      <c r="Q458" s="44"/>
      <c r="R458" s="44"/>
      <c r="S458" s="44"/>
      <c r="T458" s="44"/>
      <c r="U458" s="44"/>
      <c r="V458" s="44"/>
      <c r="W458" s="44"/>
      <c r="X458" s="44"/>
      <c r="Y458" s="44"/>
      <c r="Z458" s="44"/>
      <c r="AA458" s="44"/>
      <c r="AB458" s="44"/>
      <c r="AC458" s="44"/>
      <c r="AD458" s="44"/>
      <c r="AE458" s="44"/>
      <c r="AF458" s="44"/>
      <c r="AG458" s="44"/>
      <c r="AH458" s="44"/>
      <c r="AI458" s="44"/>
      <c r="AJ458" s="44"/>
      <c r="AK458" s="44"/>
      <c r="AL458" s="44"/>
      <c r="AM458" s="44"/>
      <c r="AN458" s="44"/>
    </row>
    <row r="459" spans="1:40" ht="16.5" customHeight="1">
      <c r="A459" s="44"/>
      <c r="B459" s="44"/>
      <c r="C459" s="44"/>
      <c r="D459" s="172"/>
      <c r="E459" s="44"/>
      <c r="F459" s="44"/>
      <c r="G459" s="44"/>
      <c r="H459" s="44"/>
      <c r="I459" s="44"/>
      <c r="J459" s="44"/>
      <c r="K459" s="53"/>
      <c r="L459" s="44"/>
      <c r="M459" s="44"/>
      <c r="N459" s="44"/>
      <c r="O459" s="44"/>
      <c r="P459" s="44"/>
      <c r="Q459" s="44"/>
      <c r="R459" s="44"/>
      <c r="S459" s="44"/>
      <c r="T459" s="44"/>
      <c r="U459" s="44"/>
      <c r="V459" s="44"/>
      <c r="W459" s="44"/>
      <c r="X459" s="44"/>
      <c r="Y459" s="44"/>
      <c r="Z459" s="44"/>
      <c r="AA459" s="44"/>
      <c r="AB459" s="44"/>
      <c r="AC459" s="44"/>
      <c r="AD459" s="44"/>
      <c r="AE459" s="44"/>
      <c r="AF459" s="44"/>
      <c r="AG459" s="44"/>
      <c r="AH459" s="44"/>
      <c r="AI459" s="44"/>
      <c r="AJ459" s="44"/>
      <c r="AK459" s="44"/>
      <c r="AL459" s="44"/>
      <c r="AM459" s="44"/>
      <c r="AN459" s="44"/>
    </row>
    <row r="460" spans="1:40" ht="16.5" customHeight="1">
      <c r="A460" s="44"/>
      <c r="B460" s="44"/>
      <c r="C460" s="44"/>
      <c r="D460" s="172"/>
      <c r="E460" s="44"/>
      <c r="F460" s="44"/>
      <c r="G460" s="44"/>
      <c r="H460" s="44"/>
      <c r="I460" s="44"/>
      <c r="J460" s="44"/>
      <c r="K460" s="53"/>
      <c r="L460" s="44"/>
      <c r="M460" s="44"/>
      <c r="N460" s="44"/>
      <c r="O460" s="44"/>
      <c r="P460" s="44"/>
      <c r="Q460" s="44"/>
      <c r="R460" s="44"/>
      <c r="S460" s="44"/>
      <c r="T460" s="44"/>
      <c r="U460" s="44"/>
      <c r="V460" s="44"/>
      <c r="W460" s="44"/>
      <c r="X460" s="44"/>
      <c r="Y460" s="44"/>
      <c r="Z460" s="44"/>
      <c r="AA460" s="44"/>
      <c r="AB460" s="44"/>
      <c r="AC460" s="44"/>
      <c r="AD460" s="44"/>
      <c r="AE460" s="44"/>
      <c r="AF460" s="44"/>
      <c r="AG460" s="44"/>
      <c r="AH460" s="44"/>
      <c r="AI460" s="44"/>
      <c r="AJ460" s="44"/>
      <c r="AK460" s="44"/>
      <c r="AL460" s="44"/>
      <c r="AM460" s="44"/>
      <c r="AN460" s="44"/>
    </row>
    <row r="461" spans="1:40" ht="16.5" customHeight="1">
      <c r="A461" s="44"/>
      <c r="B461" s="44"/>
      <c r="C461" s="44"/>
      <c r="D461" s="172"/>
      <c r="E461" s="44"/>
      <c r="F461" s="44"/>
      <c r="G461" s="44"/>
      <c r="H461" s="44"/>
      <c r="I461" s="44"/>
      <c r="J461" s="44"/>
      <c r="K461" s="53"/>
      <c r="L461" s="44"/>
      <c r="M461" s="44"/>
      <c r="N461" s="44"/>
      <c r="O461" s="44"/>
      <c r="P461" s="44"/>
      <c r="Q461" s="44"/>
      <c r="R461" s="44"/>
      <c r="S461" s="44"/>
      <c r="T461" s="44"/>
      <c r="U461" s="44"/>
      <c r="V461" s="44"/>
      <c r="W461" s="44"/>
      <c r="X461" s="44"/>
      <c r="Y461" s="44"/>
      <c r="Z461" s="44"/>
      <c r="AA461" s="44"/>
      <c r="AB461" s="44"/>
      <c r="AC461" s="44"/>
      <c r="AD461" s="44"/>
      <c r="AE461" s="44"/>
      <c r="AF461" s="44"/>
      <c r="AG461" s="44"/>
      <c r="AH461" s="44"/>
      <c r="AI461" s="44"/>
      <c r="AJ461" s="44"/>
      <c r="AK461" s="44"/>
      <c r="AL461" s="44"/>
      <c r="AM461" s="44"/>
      <c r="AN461" s="44"/>
    </row>
    <row r="462" spans="1:40" ht="16.5" customHeight="1">
      <c r="A462" s="44"/>
      <c r="B462" s="44"/>
      <c r="C462" s="44"/>
      <c r="D462" s="172"/>
      <c r="E462" s="44"/>
      <c r="F462" s="44"/>
      <c r="G462" s="44"/>
      <c r="H462" s="44"/>
      <c r="I462" s="44"/>
      <c r="J462" s="44"/>
      <c r="K462" s="53"/>
      <c r="L462" s="44"/>
      <c r="M462" s="44"/>
      <c r="N462" s="44"/>
      <c r="O462" s="44"/>
      <c r="P462" s="44"/>
      <c r="Q462" s="44"/>
      <c r="R462" s="44"/>
      <c r="S462" s="44"/>
      <c r="T462" s="44"/>
      <c r="U462" s="44"/>
      <c r="V462" s="44"/>
      <c r="W462" s="44"/>
      <c r="X462" s="44"/>
      <c r="Y462" s="44"/>
      <c r="Z462" s="44"/>
      <c r="AA462" s="44"/>
      <c r="AB462" s="44"/>
      <c r="AC462" s="44"/>
      <c r="AD462" s="44"/>
      <c r="AE462" s="44"/>
      <c r="AF462" s="44"/>
      <c r="AG462" s="44"/>
      <c r="AH462" s="44"/>
      <c r="AI462" s="44"/>
      <c r="AJ462" s="44"/>
      <c r="AK462" s="44"/>
      <c r="AL462" s="44"/>
      <c r="AM462" s="44"/>
      <c r="AN462" s="44"/>
    </row>
    <row r="463" spans="1:40" ht="16.5" customHeight="1">
      <c r="A463" s="44"/>
      <c r="B463" s="44"/>
      <c r="C463" s="44"/>
      <c r="D463" s="172"/>
      <c r="E463" s="44"/>
      <c r="F463" s="44"/>
      <c r="G463" s="44"/>
      <c r="H463" s="44"/>
      <c r="I463" s="44"/>
      <c r="J463" s="44"/>
      <c r="K463" s="53"/>
      <c r="L463" s="44"/>
      <c r="M463" s="44"/>
      <c r="N463" s="44"/>
      <c r="O463" s="44"/>
      <c r="P463" s="44"/>
      <c r="Q463" s="44"/>
      <c r="R463" s="44"/>
      <c r="S463" s="44"/>
      <c r="T463" s="44"/>
      <c r="U463" s="44"/>
      <c r="V463" s="44"/>
      <c r="W463" s="44"/>
      <c r="X463" s="44"/>
      <c r="Y463" s="44"/>
      <c r="Z463" s="44"/>
      <c r="AA463" s="44"/>
      <c r="AB463" s="44"/>
      <c r="AC463" s="44"/>
      <c r="AD463" s="44"/>
      <c r="AE463" s="44"/>
      <c r="AF463" s="44"/>
      <c r="AG463" s="44"/>
      <c r="AH463" s="44"/>
      <c r="AI463" s="44"/>
      <c r="AJ463" s="44"/>
      <c r="AK463" s="44"/>
      <c r="AL463" s="44"/>
      <c r="AM463" s="44"/>
      <c r="AN463" s="44"/>
    </row>
    <row r="464" spans="1:40" ht="16.5" customHeight="1">
      <c r="A464" s="44"/>
      <c r="B464" s="44"/>
      <c r="C464" s="44"/>
      <c r="D464" s="172"/>
      <c r="E464" s="44"/>
      <c r="F464" s="44"/>
      <c r="G464" s="44"/>
      <c r="H464" s="44"/>
      <c r="I464" s="44"/>
      <c r="J464" s="44"/>
      <c r="K464" s="53"/>
      <c r="L464" s="44"/>
      <c r="M464" s="44"/>
      <c r="N464" s="44"/>
      <c r="O464" s="44"/>
      <c r="P464" s="44"/>
      <c r="Q464" s="44"/>
      <c r="R464" s="44"/>
      <c r="S464" s="44"/>
      <c r="T464" s="44"/>
      <c r="U464" s="44"/>
      <c r="V464" s="44"/>
      <c r="W464" s="44"/>
      <c r="X464" s="44"/>
      <c r="Y464" s="44"/>
      <c r="Z464" s="44"/>
      <c r="AA464" s="44"/>
      <c r="AB464" s="44"/>
      <c r="AC464" s="44"/>
      <c r="AD464" s="44"/>
      <c r="AE464" s="44"/>
      <c r="AF464" s="44"/>
      <c r="AG464" s="44"/>
      <c r="AH464" s="44"/>
      <c r="AI464" s="44"/>
      <c r="AJ464" s="44"/>
      <c r="AK464" s="44"/>
      <c r="AL464" s="44"/>
      <c r="AM464" s="44"/>
      <c r="AN464" s="44"/>
    </row>
    <row r="465" spans="1:40" ht="16.5" customHeight="1">
      <c r="A465" s="44"/>
      <c r="B465" s="44"/>
      <c r="C465" s="44"/>
      <c r="D465" s="172"/>
      <c r="E465" s="44"/>
      <c r="F465" s="44"/>
      <c r="G465" s="44"/>
      <c r="H465" s="44"/>
      <c r="I465" s="44"/>
      <c r="J465" s="44"/>
      <c r="K465" s="53"/>
      <c r="L465" s="44"/>
      <c r="M465" s="44"/>
      <c r="N465" s="44"/>
      <c r="O465" s="44"/>
      <c r="P465" s="44"/>
      <c r="Q465" s="44"/>
      <c r="R465" s="44"/>
      <c r="S465" s="44"/>
      <c r="T465" s="44"/>
      <c r="U465" s="44"/>
      <c r="V465" s="44"/>
      <c r="W465" s="44"/>
      <c r="X465" s="44"/>
      <c r="Y465" s="44"/>
      <c r="Z465" s="44"/>
      <c r="AA465" s="44"/>
      <c r="AB465" s="44"/>
      <c r="AC465" s="44"/>
      <c r="AD465" s="44"/>
      <c r="AE465" s="44"/>
      <c r="AF465" s="44"/>
      <c r="AG465" s="44"/>
      <c r="AH465" s="44"/>
      <c r="AI465" s="44"/>
      <c r="AJ465" s="44"/>
      <c r="AK465" s="44"/>
      <c r="AL465" s="44"/>
      <c r="AM465" s="44"/>
      <c r="AN465" s="44"/>
    </row>
    <row r="466" spans="1:40" ht="16.5" customHeight="1">
      <c r="A466" s="44"/>
      <c r="B466" s="44"/>
      <c r="C466" s="44"/>
      <c r="D466" s="172"/>
      <c r="E466" s="44"/>
      <c r="F466" s="44"/>
      <c r="G466" s="44"/>
      <c r="H466" s="44"/>
      <c r="I466" s="44"/>
      <c r="J466" s="44"/>
      <c r="K466" s="53"/>
      <c r="L466" s="44"/>
      <c r="M466" s="44"/>
      <c r="N466" s="44"/>
      <c r="O466" s="44"/>
      <c r="P466" s="44"/>
      <c r="Q466" s="44"/>
      <c r="R466" s="44"/>
      <c r="S466" s="44"/>
      <c r="T466" s="44"/>
      <c r="U466" s="44"/>
      <c r="V466" s="44"/>
      <c r="W466" s="44"/>
      <c r="X466" s="44"/>
      <c r="Y466" s="44"/>
      <c r="Z466" s="44"/>
      <c r="AA466" s="44"/>
      <c r="AB466" s="44"/>
      <c r="AC466" s="44"/>
      <c r="AD466" s="44"/>
      <c r="AE466" s="44"/>
      <c r="AF466" s="44"/>
      <c r="AG466" s="44"/>
      <c r="AH466" s="44"/>
      <c r="AI466" s="44"/>
      <c r="AJ466" s="44"/>
      <c r="AK466" s="44"/>
      <c r="AL466" s="44"/>
      <c r="AM466" s="44"/>
      <c r="AN466" s="44"/>
    </row>
    <row r="467" spans="1:40" ht="16.5" customHeight="1">
      <c r="A467" s="44"/>
      <c r="B467" s="44"/>
      <c r="C467" s="44"/>
      <c r="D467" s="172"/>
      <c r="E467" s="44"/>
      <c r="F467" s="44"/>
      <c r="G467" s="44"/>
      <c r="H467" s="44"/>
      <c r="I467" s="44"/>
      <c r="J467" s="44"/>
      <c r="K467" s="53"/>
      <c r="L467" s="44"/>
      <c r="M467" s="44"/>
      <c r="N467" s="44"/>
      <c r="O467" s="44"/>
      <c r="P467" s="44"/>
      <c r="Q467" s="44"/>
      <c r="R467" s="44"/>
      <c r="S467" s="44"/>
      <c r="T467" s="44"/>
      <c r="U467" s="44"/>
      <c r="V467" s="44"/>
      <c r="W467" s="44"/>
      <c r="X467" s="44"/>
      <c r="Y467" s="44"/>
      <c r="Z467" s="44"/>
      <c r="AA467" s="44"/>
      <c r="AB467" s="44"/>
      <c r="AC467" s="44"/>
      <c r="AD467" s="44"/>
      <c r="AE467" s="44"/>
      <c r="AF467" s="44"/>
      <c r="AG467" s="44"/>
      <c r="AH467" s="44"/>
      <c r="AI467" s="44"/>
      <c r="AJ467" s="44"/>
      <c r="AK467" s="44"/>
      <c r="AL467" s="44"/>
      <c r="AM467" s="44"/>
      <c r="AN467" s="44"/>
    </row>
    <row r="468" spans="1:40" ht="16.5" customHeight="1">
      <c r="A468" s="44"/>
      <c r="B468" s="44"/>
      <c r="C468" s="44"/>
      <c r="D468" s="172"/>
      <c r="E468" s="44"/>
      <c r="F468" s="44"/>
      <c r="G468" s="44"/>
      <c r="H468" s="44"/>
      <c r="I468" s="44"/>
      <c r="J468" s="44"/>
      <c r="K468" s="53"/>
      <c r="L468" s="44"/>
      <c r="M468" s="44"/>
      <c r="N468" s="44"/>
      <c r="O468" s="44"/>
      <c r="P468" s="44"/>
      <c r="Q468" s="44"/>
      <c r="R468" s="44"/>
      <c r="S468" s="44"/>
      <c r="T468" s="44"/>
      <c r="U468" s="44"/>
      <c r="V468" s="44"/>
      <c r="W468" s="44"/>
      <c r="X468" s="44"/>
      <c r="Y468" s="44"/>
      <c r="Z468" s="44"/>
      <c r="AA468" s="44"/>
      <c r="AB468" s="44"/>
      <c r="AC468" s="44"/>
      <c r="AD468" s="44"/>
      <c r="AE468" s="44"/>
      <c r="AF468" s="44"/>
      <c r="AG468" s="44"/>
      <c r="AH468" s="44"/>
      <c r="AI468" s="44"/>
      <c r="AJ468" s="44"/>
      <c r="AK468" s="44"/>
      <c r="AL468" s="44"/>
      <c r="AM468" s="44"/>
      <c r="AN468" s="44"/>
    </row>
    <row r="469" spans="1:40" ht="16.5" customHeight="1">
      <c r="A469" s="44"/>
      <c r="B469" s="44"/>
      <c r="C469" s="44"/>
      <c r="D469" s="172"/>
      <c r="E469" s="44"/>
      <c r="F469" s="44"/>
      <c r="G469" s="44"/>
      <c r="H469" s="44"/>
      <c r="I469" s="44"/>
      <c r="J469" s="44"/>
      <c r="K469" s="53"/>
      <c r="L469" s="44"/>
      <c r="M469" s="44"/>
      <c r="N469" s="44"/>
      <c r="O469" s="44"/>
      <c r="P469" s="44"/>
      <c r="Q469" s="44"/>
      <c r="R469" s="44"/>
      <c r="S469" s="44"/>
      <c r="T469" s="44"/>
      <c r="U469" s="44"/>
      <c r="V469" s="44"/>
      <c r="W469" s="44"/>
      <c r="X469" s="44"/>
      <c r="Y469" s="44"/>
      <c r="Z469" s="44"/>
      <c r="AA469" s="44"/>
      <c r="AB469" s="44"/>
      <c r="AC469" s="44"/>
      <c r="AD469" s="44"/>
      <c r="AE469" s="44"/>
      <c r="AF469" s="44"/>
      <c r="AG469" s="44"/>
      <c r="AH469" s="44"/>
      <c r="AI469" s="44"/>
      <c r="AJ469" s="44"/>
      <c r="AK469" s="44"/>
      <c r="AL469" s="44"/>
      <c r="AM469" s="44"/>
      <c r="AN469" s="44"/>
    </row>
    <row r="470" spans="1:40" ht="16.5" customHeight="1">
      <c r="A470" s="44"/>
      <c r="B470" s="44"/>
      <c r="C470" s="44"/>
      <c r="D470" s="172"/>
      <c r="E470" s="44"/>
      <c r="F470" s="44"/>
      <c r="G470" s="44"/>
      <c r="H470" s="44"/>
      <c r="I470" s="44"/>
      <c r="J470" s="44"/>
      <c r="K470" s="53"/>
      <c r="L470" s="44"/>
      <c r="M470" s="44"/>
      <c r="N470" s="44"/>
      <c r="O470" s="44"/>
      <c r="P470" s="44"/>
      <c r="Q470" s="44"/>
      <c r="R470" s="44"/>
      <c r="S470" s="44"/>
      <c r="T470" s="44"/>
      <c r="U470" s="44"/>
      <c r="V470" s="44"/>
      <c r="W470" s="44"/>
      <c r="X470" s="44"/>
      <c r="Y470" s="44"/>
      <c r="Z470" s="44"/>
      <c r="AA470" s="44"/>
      <c r="AB470" s="44"/>
      <c r="AC470" s="44"/>
      <c r="AD470" s="44"/>
      <c r="AE470" s="44"/>
      <c r="AF470" s="44"/>
      <c r="AG470" s="44"/>
      <c r="AH470" s="44"/>
      <c r="AI470" s="44"/>
      <c r="AJ470" s="44"/>
      <c r="AK470" s="44"/>
      <c r="AL470" s="44"/>
      <c r="AM470" s="44"/>
      <c r="AN470" s="44"/>
    </row>
    <row r="471" spans="1:40" ht="16.5" customHeight="1">
      <c r="A471" s="44"/>
      <c r="B471" s="44"/>
      <c r="C471" s="44"/>
      <c r="D471" s="172"/>
      <c r="E471" s="44"/>
      <c r="F471" s="44"/>
      <c r="G471" s="44"/>
      <c r="H471" s="44"/>
      <c r="I471" s="44"/>
      <c r="J471" s="44"/>
      <c r="K471" s="53"/>
      <c r="L471" s="44"/>
      <c r="M471" s="44"/>
      <c r="N471" s="44"/>
      <c r="O471" s="44"/>
      <c r="P471" s="44"/>
      <c r="Q471" s="44"/>
      <c r="R471" s="44"/>
      <c r="S471" s="44"/>
      <c r="T471" s="44"/>
      <c r="U471" s="44"/>
      <c r="V471" s="44"/>
      <c r="W471" s="44"/>
      <c r="X471" s="44"/>
      <c r="Y471" s="44"/>
      <c r="Z471" s="44"/>
      <c r="AA471" s="44"/>
      <c r="AB471" s="44"/>
      <c r="AC471" s="44"/>
      <c r="AD471" s="44"/>
      <c r="AE471" s="44"/>
      <c r="AF471" s="44"/>
      <c r="AG471" s="44"/>
      <c r="AH471" s="44"/>
      <c r="AI471" s="44"/>
      <c r="AJ471" s="44"/>
      <c r="AK471" s="44"/>
      <c r="AL471" s="44"/>
      <c r="AM471" s="44"/>
      <c r="AN471" s="44"/>
    </row>
    <row r="472" spans="1:40" ht="16.5" customHeight="1">
      <c r="A472" s="44"/>
      <c r="B472" s="44"/>
      <c r="C472" s="44"/>
      <c r="D472" s="172"/>
      <c r="E472" s="44"/>
      <c r="F472" s="44"/>
      <c r="G472" s="44"/>
      <c r="H472" s="44"/>
      <c r="I472" s="44"/>
      <c r="J472" s="44"/>
      <c r="K472" s="53"/>
      <c r="L472" s="44"/>
      <c r="M472" s="44"/>
      <c r="N472" s="44"/>
      <c r="O472" s="44"/>
      <c r="P472" s="44"/>
      <c r="Q472" s="44"/>
      <c r="R472" s="44"/>
      <c r="S472" s="44"/>
      <c r="T472" s="44"/>
      <c r="U472" s="44"/>
      <c r="V472" s="44"/>
      <c r="W472" s="44"/>
      <c r="X472" s="44"/>
      <c r="Y472" s="44"/>
      <c r="Z472" s="44"/>
      <c r="AA472" s="44"/>
      <c r="AB472" s="44"/>
      <c r="AC472" s="44"/>
      <c r="AD472" s="44"/>
      <c r="AE472" s="44"/>
      <c r="AF472" s="44"/>
      <c r="AG472" s="44"/>
      <c r="AH472" s="44"/>
      <c r="AI472" s="44"/>
      <c r="AJ472" s="44"/>
      <c r="AK472" s="44"/>
      <c r="AL472" s="44"/>
      <c r="AM472" s="44"/>
      <c r="AN472" s="44"/>
    </row>
    <row r="473" spans="1:40" ht="16.5" customHeight="1">
      <c r="A473" s="44"/>
      <c r="B473" s="44"/>
      <c r="C473" s="44"/>
      <c r="D473" s="172"/>
      <c r="E473" s="44"/>
      <c r="F473" s="44"/>
      <c r="G473" s="44"/>
      <c r="H473" s="44"/>
      <c r="I473" s="44"/>
      <c r="J473" s="44"/>
      <c r="K473" s="53"/>
      <c r="L473" s="44"/>
      <c r="M473" s="44"/>
      <c r="N473" s="44"/>
      <c r="O473" s="44"/>
      <c r="P473" s="44"/>
      <c r="Q473" s="44"/>
      <c r="R473" s="44"/>
      <c r="S473" s="44"/>
      <c r="T473" s="44"/>
      <c r="U473" s="44"/>
      <c r="V473" s="44"/>
      <c r="W473" s="44"/>
      <c r="X473" s="44"/>
      <c r="Y473" s="44"/>
      <c r="Z473" s="44"/>
      <c r="AA473" s="44"/>
      <c r="AB473" s="44"/>
      <c r="AC473" s="44"/>
      <c r="AD473" s="44"/>
      <c r="AE473" s="44"/>
      <c r="AF473" s="44"/>
      <c r="AG473" s="44"/>
      <c r="AH473" s="44"/>
      <c r="AI473" s="44"/>
      <c r="AJ473" s="44"/>
      <c r="AK473" s="44"/>
      <c r="AL473" s="44"/>
      <c r="AM473" s="44"/>
      <c r="AN473" s="44"/>
    </row>
    <row r="474" spans="1:40" ht="16.5" customHeight="1">
      <c r="A474" s="44"/>
      <c r="B474" s="44"/>
      <c r="C474" s="44"/>
      <c r="D474" s="172"/>
      <c r="E474" s="44"/>
      <c r="F474" s="44"/>
      <c r="G474" s="44"/>
      <c r="H474" s="44"/>
      <c r="I474" s="44"/>
      <c r="J474" s="44"/>
      <c r="K474" s="53"/>
      <c r="L474" s="44"/>
      <c r="M474" s="44"/>
      <c r="N474" s="44"/>
      <c r="O474" s="44"/>
      <c r="P474" s="44"/>
      <c r="Q474" s="44"/>
      <c r="R474" s="44"/>
      <c r="S474" s="44"/>
      <c r="T474" s="44"/>
      <c r="U474" s="44"/>
      <c r="V474" s="44"/>
      <c r="W474" s="44"/>
      <c r="X474" s="44"/>
      <c r="Y474" s="44"/>
      <c r="Z474" s="44"/>
      <c r="AA474" s="44"/>
      <c r="AB474" s="44"/>
      <c r="AC474" s="44"/>
      <c r="AD474" s="44"/>
      <c r="AE474" s="44"/>
      <c r="AF474" s="44"/>
      <c r="AG474" s="44"/>
      <c r="AH474" s="44"/>
      <c r="AI474" s="44"/>
      <c r="AJ474" s="44"/>
      <c r="AK474" s="44"/>
      <c r="AL474" s="44"/>
      <c r="AM474" s="44"/>
      <c r="AN474" s="44"/>
    </row>
    <row r="475" spans="1:40" ht="16.5" customHeight="1">
      <c r="A475" s="44"/>
      <c r="B475" s="44"/>
      <c r="C475" s="44"/>
      <c r="D475" s="172"/>
      <c r="E475" s="44"/>
      <c r="F475" s="44"/>
      <c r="G475" s="44"/>
      <c r="H475" s="44"/>
      <c r="I475" s="44"/>
      <c r="J475" s="44"/>
      <c r="K475" s="53"/>
      <c r="L475" s="44"/>
      <c r="M475" s="44"/>
      <c r="N475" s="44"/>
      <c r="O475" s="44"/>
      <c r="P475" s="44"/>
      <c r="Q475" s="44"/>
      <c r="R475" s="44"/>
      <c r="S475" s="44"/>
      <c r="T475" s="44"/>
      <c r="U475" s="44"/>
      <c r="V475" s="44"/>
      <c r="W475" s="44"/>
      <c r="X475" s="44"/>
      <c r="Y475" s="44"/>
      <c r="Z475" s="44"/>
      <c r="AA475" s="44"/>
      <c r="AB475" s="44"/>
      <c r="AC475" s="44"/>
      <c r="AD475" s="44"/>
      <c r="AE475" s="44"/>
      <c r="AF475" s="44"/>
      <c r="AG475" s="44"/>
      <c r="AH475" s="44"/>
      <c r="AI475" s="44"/>
      <c r="AJ475" s="44"/>
      <c r="AK475" s="44"/>
      <c r="AL475" s="44"/>
      <c r="AM475" s="44"/>
      <c r="AN475" s="44"/>
    </row>
    <row r="476" spans="1:40" ht="16.5" customHeight="1">
      <c r="A476" s="44"/>
      <c r="B476" s="44"/>
      <c r="C476" s="44"/>
      <c r="D476" s="172"/>
      <c r="E476" s="44"/>
      <c r="F476" s="44"/>
      <c r="G476" s="44"/>
      <c r="H476" s="44"/>
      <c r="I476" s="44"/>
      <c r="J476" s="44"/>
      <c r="K476" s="53"/>
      <c r="L476" s="44"/>
      <c r="M476" s="44"/>
      <c r="N476" s="44"/>
      <c r="O476" s="44"/>
      <c r="P476" s="44"/>
      <c r="Q476" s="44"/>
      <c r="R476" s="44"/>
      <c r="S476" s="44"/>
      <c r="T476" s="44"/>
      <c r="U476" s="44"/>
      <c r="V476" s="44"/>
      <c r="W476" s="44"/>
      <c r="X476" s="44"/>
      <c r="Y476" s="44"/>
      <c r="Z476" s="44"/>
      <c r="AA476" s="44"/>
      <c r="AB476" s="44"/>
      <c r="AC476" s="44"/>
      <c r="AD476" s="44"/>
      <c r="AE476" s="44"/>
      <c r="AF476" s="44"/>
      <c r="AG476" s="44"/>
      <c r="AH476" s="44"/>
      <c r="AI476" s="44"/>
      <c r="AJ476" s="44"/>
      <c r="AK476" s="44"/>
      <c r="AL476" s="44"/>
      <c r="AM476" s="44"/>
      <c r="AN476" s="44"/>
    </row>
    <row r="477" spans="1:40" ht="16.5" customHeight="1">
      <c r="A477" s="44"/>
      <c r="B477" s="44"/>
      <c r="C477" s="44"/>
      <c r="D477" s="172"/>
      <c r="E477" s="44"/>
      <c r="F477" s="44"/>
      <c r="G477" s="44"/>
      <c r="H477" s="44"/>
      <c r="I477" s="44"/>
      <c r="J477" s="44"/>
      <c r="K477" s="53"/>
      <c r="L477" s="44"/>
      <c r="M477" s="44"/>
      <c r="N477" s="44"/>
      <c r="O477" s="44"/>
      <c r="P477" s="44"/>
      <c r="Q477" s="44"/>
      <c r="R477" s="44"/>
      <c r="S477" s="44"/>
      <c r="T477" s="44"/>
      <c r="U477" s="44"/>
      <c r="V477" s="44"/>
      <c r="W477" s="44"/>
      <c r="X477" s="44"/>
      <c r="Y477" s="44"/>
      <c r="Z477" s="44"/>
      <c r="AA477" s="44"/>
      <c r="AB477" s="44"/>
      <c r="AC477" s="44"/>
      <c r="AD477" s="44"/>
      <c r="AE477" s="44"/>
      <c r="AF477" s="44"/>
      <c r="AG477" s="44"/>
      <c r="AH477" s="44"/>
      <c r="AI477" s="44"/>
      <c r="AJ477" s="44"/>
      <c r="AK477" s="44"/>
      <c r="AL477" s="44"/>
      <c r="AM477" s="44"/>
      <c r="AN477" s="44"/>
    </row>
    <row r="478" spans="1:40" ht="16.5" customHeight="1">
      <c r="A478" s="44"/>
      <c r="B478" s="44"/>
      <c r="C478" s="44"/>
      <c r="D478" s="172"/>
      <c r="E478" s="44"/>
      <c r="F478" s="44"/>
      <c r="G478" s="44"/>
      <c r="H478" s="44"/>
      <c r="I478" s="44"/>
      <c r="J478" s="44"/>
      <c r="K478" s="53"/>
      <c r="L478" s="44"/>
      <c r="M478" s="44"/>
      <c r="N478" s="44"/>
      <c r="O478" s="44"/>
      <c r="P478" s="44"/>
      <c r="Q478" s="44"/>
      <c r="R478" s="44"/>
      <c r="S478" s="44"/>
      <c r="T478" s="44"/>
      <c r="U478" s="44"/>
      <c r="V478" s="44"/>
      <c r="W478" s="44"/>
      <c r="X478" s="44"/>
      <c r="Y478" s="44"/>
      <c r="Z478" s="44"/>
      <c r="AA478" s="44"/>
      <c r="AB478" s="44"/>
      <c r="AC478" s="44"/>
      <c r="AD478" s="44"/>
      <c r="AE478" s="44"/>
      <c r="AF478" s="44"/>
      <c r="AG478" s="44"/>
      <c r="AH478" s="44"/>
      <c r="AI478" s="44"/>
      <c r="AJ478" s="44"/>
      <c r="AK478" s="44"/>
      <c r="AL478" s="44"/>
      <c r="AM478" s="44"/>
      <c r="AN478" s="44"/>
    </row>
    <row r="479" spans="1:40" ht="16.5" customHeight="1">
      <c r="A479" s="44"/>
      <c r="B479" s="44"/>
      <c r="C479" s="44"/>
      <c r="D479" s="172"/>
      <c r="E479" s="44"/>
      <c r="F479" s="44"/>
      <c r="G479" s="44"/>
      <c r="H479" s="44"/>
      <c r="I479" s="44"/>
      <c r="J479" s="44"/>
      <c r="K479" s="53"/>
      <c r="L479" s="44"/>
      <c r="M479" s="44"/>
      <c r="N479" s="44"/>
      <c r="O479" s="44"/>
      <c r="P479" s="44"/>
      <c r="Q479" s="44"/>
      <c r="R479" s="44"/>
      <c r="S479" s="44"/>
      <c r="T479" s="44"/>
      <c r="U479" s="44"/>
      <c r="V479" s="44"/>
      <c r="W479" s="44"/>
      <c r="X479" s="44"/>
      <c r="Y479" s="44"/>
      <c r="Z479" s="44"/>
      <c r="AA479" s="44"/>
      <c r="AB479" s="44"/>
      <c r="AC479" s="44"/>
      <c r="AD479" s="44"/>
      <c r="AE479" s="44"/>
      <c r="AF479" s="44"/>
      <c r="AG479" s="44"/>
      <c r="AH479" s="44"/>
      <c r="AI479" s="44"/>
      <c r="AJ479" s="44"/>
      <c r="AK479" s="44"/>
      <c r="AL479" s="44"/>
      <c r="AM479" s="44"/>
      <c r="AN479" s="44"/>
    </row>
    <row r="480" spans="1:40" ht="16.5" customHeight="1">
      <c r="A480" s="44"/>
      <c r="B480" s="44"/>
      <c r="C480" s="44"/>
      <c r="D480" s="172"/>
      <c r="E480" s="44"/>
      <c r="F480" s="44"/>
      <c r="G480" s="44"/>
      <c r="H480" s="44"/>
      <c r="I480" s="44"/>
      <c r="J480" s="44"/>
      <c r="K480" s="53"/>
      <c r="L480" s="44"/>
      <c r="M480" s="44"/>
      <c r="N480" s="44"/>
      <c r="O480" s="44"/>
      <c r="P480" s="44"/>
      <c r="Q480" s="44"/>
      <c r="R480" s="44"/>
      <c r="S480" s="44"/>
      <c r="T480" s="44"/>
      <c r="U480" s="44"/>
      <c r="V480" s="44"/>
      <c r="W480" s="44"/>
      <c r="X480" s="44"/>
      <c r="Y480" s="44"/>
      <c r="Z480" s="44"/>
      <c r="AA480" s="44"/>
      <c r="AB480" s="44"/>
      <c r="AC480" s="44"/>
      <c r="AD480" s="44"/>
      <c r="AE480" s="44"/>
      <c r="AF480" s="44"/>
      <c r="AG480" s="44"/>
      <c r="AH480" s="44"/>
      <c r="AI480" s="44"/>
      <c r="AJ480" s="44"/>
      <c r="AK480" s="44"/>
      <c r="AL480" s="44"/>
      <c r="AM480" s="44"/>
      <c r="AN480" s="44"/>
    </row>
    <row r="481" spans="1:40" ht="16.5" customHeight="1">
      <c r="A481" s="44"/>
      <c r="B481" s="44"/>
      <c r="C481" s="44"/>
      <c r="D481" s="172"/>
      <c r="E481" s="44"/>
      <c r="F481" s="44"/>
      <c r="G481" s="44"/>
      <c r="H481" s="44"/>
      <c r="I481" s="44"/>
      <c r="J481" s="44"/>
      <c r="K481" s="53"/>
      <c r="L481" s="44"/>
      <c r="M481" s="44"/>
      <c r="N481" s="44"/>
      <c r="O481" s="44"/>
      <c r="P481" s="44"/>
      <c r="Q481" s="44"/>
      <c r="R481" s="44"/>
      <c r="S481" s="44"/>
      <c r="T481" s="44"/>
      <c r="U481" s="44"/>
      <c r="V481" s="44"/>
      <c r="W481" s="44"/>
      <c r="X481" s="44"/>
      <c r="Y481" s="44"/>
      <c r="Z481" s="44"/>
      <c r="AA481" s="44"/>
      <c r="AB481" s="44"/>
      <c r="AC481" s="44"/>
      <c r="AD481" s="44"/>
      <c r="AE481" s="44"/>
      <c r="AF481" s="44"/>
      <c r="AG481" s="44"/>
      <c r="AH481" s="44"/>
      <c r="AI481" s="44"/>
      <c r="AJ481" s="44"/>
      <c r="AK481" s="44"/>
      <c r="AL481" s="44"/>
      <c r="AM481" s="44"/>
      <c r="AN481" s="44"/>
    </row>
    <row r="482" spans="1:40" ht="16.5" customHeight="1">
      <c r="A482" s="44"/>
      <c r="B482" s="44"/>
      <c r="C482" s="44"/>
      <c r="D482" s="172"/>
      <c r="E482" s="44"/>
      <c r="F482" s="44"/>
      <c r="G482" s="44"/>
      <c r="H482" s="44"/>
      <c r="I482" s="44"/>
      <c r="J482" s="44"/>
      <c r="K482" s="53"/>
      <c r="L482" s="44"/>
      <c r="M482" s="44"/>
      <c r="N482" s="44"/>
      <c r="O482" s="44"/>
      <c r="P482" s="44"/>
      <c r="Q482" s="44"/>
      <c r="R482" s="44"/>
      <c r="S482" s="44"/>
      <c r="T482" s="44"/>
      <c r="U482" s="44"/>
      <c r="V482" s="44"/>
      <c r="W482" s="44"/>
      <c r="X482" s="44"/>
      <c r="Y482" s="44"/>
      <c r="Z482" s="44"/>
      <c r="AA482" s="44"/>
      <c r="AB482" s="44"/>
      <c r="AC482" s="44"/>
      <c r="AD482" s="44"/>
      <c r="AE482" s="44"/>
      <c r="AF482" s="44"/>
      <c r="AG482" s="44"/>
      <c r="AH482" s="44"/>
      <c r="AI482" s="44"/>
      <c r="AJ482" s="44"/>
      <c r="AK482" s="44"/>
      <c r="AL482" s="44"/>
      <c r="AM482" s="44"/>
      <c r="AN482" s="44"/>
    </row>
    <row r="483" spans="1:40" ht="16.5" customHeight="1">
      <c r="A483" s="44"/>
      <c r="B483" s="44"/>
      <c r="C483" s="44"/>
      <c r="D483" s="172"/>
      <c r="E483" s="44"/>
      <c r="F483" s="44"/>
      <c r="G483" s="44"/>
      <c r="H483" s="44"/>
      <c r="I483" s="44"/>
      <c r="J483" s="44"/>
      <c r="K483" s="53"/>
      <c r="L483" s="44"/>
      <c r="M483" s="44"/>
      <c r="N483" s="44"/>
      <c r="O483" s="44"/>
      <c r="P483" s="44"/>
      <c r="Q483" s="44"/>
      <c r="R483" s="44"/>
      <c r="S483" s="44"/>
      <c r="T483" s="44"/>
      <c r="U483" s="44"/>
      <c r="V483" s="44"/>
      <c r="W483" s="44"/>
      <c r="X483" s="44"/>
      <c r="Y483" s="44"/>
      <c r="Z483" s="44"/>
      <c r="AA483" s="44"/>
      <c r="AB483" s="44"/>
      <c r="AC483" s="44"/>
      <c r="AD483" s="44"/>
      <c r="AE483" s="44"/>
      <c r="AF483" s="44"/>
      <c r="AG483" s="44"/>
      <c r="AH483" s="44"/>
      <c r="AI483" s="44"/>
      <c r="AJ483" s="44"/>
      <c r="AK483" s="44"/>
      <c r="AL483" s="44"/>
      <c r="AM483" s="44"/>
      <c r="AN483" s="44"/>
    </row>
    <row r="484" spans="1:40" ht="16.5" customHeight="1">
      <c r="A484" s="44"/>
      <c r="B484" s="44"/>
      <c r="C484" s="44"/>
      <c r="D484" s="172"/>
      <c r="E484" s="44"/>
      <c r="F484" s="44"/>
      <c r="G484" s="44"/>
      <c r="H484" s="44"/>
      <c r="I484" s="44"/>
      <c r="J484" s="44"/>
      <c r="K484" s="53"/>
      <c r="L484" s="44"/>
      <c r="M484" s="44"/>
      <c r="N484" s="44"/>
      <c r="O484" s="44"/>
      <c r="P484" s="44"/>
      <c r="Q484" s="44"/>
      <c r="R484" s="44"/>
      <c r="S484" s="44"/>
      <c r="T484" s="44"/>
      <c r="U484" s="44"/>
      <c r="V484" s="44"/>
      <c r="W484" s="44"/>
      <c r="X484" s="44"/>
      <c r="Y484" s="44"/>
      <c r="Z484" s="44"/>
      <c r="AA484" s="44"/>
      <c r="AB484" s="44"/>
      <c r="AC484" s="44"/>
      <c r="AD484" s="44"/>
      <c r="AE484" s="44"/>
      <c r="AF484" s="44"/>
      <c r="AG484" s="44"/>
      <c r="AH484" s="44"/>
      <c r="AI484" s="44"/>
      <c r="AJ484" s="44"/>
      <c r="AK484" s="44"/>
      <c r="AL484" s="44"/>
      <c r="AM484" s="44"/>
      <c r="AN484" s="44"/>
    </row>
    <row r="485" spans="1:40" ht="16.5" customHeight="1">
      <c r="A485" s="44"/>
      <c r="B485" s="44"/>
      <c r="C485" s="44"/>
      <c r="D485" s="172"/>
      <c r="E485" s="44"/>
      <c r="F485" s="44"/>
      <c r="G485" s="44"/>
      <c r="H485" s="44"/>
      <c r="I485" s="44"/>
      <c r="J485" s="44"/>
      <c r="K485" s="53"/>
      <c r="L485" s="44"/>
      <c r="M485" s="44"/>
      <c r="N485" s="44"/>
      <c r="O485" s="44"/>
      <c r="P485" s="44"/>
      <c r="Q485" s="44"/>
      <c r="R485" s="44"/>
      <c r="S485" s="44"/>
      <c r="T485" s="44"/>
      <c r="U485" s="44"/>
      <c r="V485" s="44"/>
      <c r="W485" s="44"/>
      <c r="X485" s="44"/>
      <c r="Y485" s="44"/>
      <c r="Z485" s="44"/>
      <c r="AA485" s="44"/>
      <c r="AB485" s="44"/>
      <c r="AC485" s="44"/>
      <c r="AD485" s="44"/>
      <c r="AE485" s="44"/>
      <c r="AF485" s="44"/>
      <c r="AG485" s="44"/>
      <c r="AH485" s="44"/>
      <c r="AI485" s="44"/>
      <c r="AJ485" s="44"/>
      <c r="AK485" s="44"/>
      <c r="AL485" s="44"/>
      <c r="AM485" s="44"/>
      <c r="AN485" s="44"/>
    </row>
    <row r="486" spans="1:40" ht="16.5" customHeight="1">
      <c r="A486" s="44"/>
      <c r="B486" s="44"/>
      <c r="C486" s="44"/>
      <c r="D486" s="172"/>
      <c r="E486" s="44"/>
      <c r="F486" s="44"/>
      <c r="G486" s="44"/>
      <c r="H486" s="44"/>
      <c r="I486" s="44"/>
      <c r="J486" s="44"/>
      <c r="K486" s="53"/>
      <c r="L486" s="44"/>
      <c r="M486" s="44"/>
      <c r="N486" s="44"/>
      <c r="O486" s="44"/>
      <c r="P486" s="44"/>
      <c r="Q486" s="44"/>
      <c r="R486" s="44"/>
      <c r="S486" s="44"/>
      <c r="T486" s="44"/>
      <c r="U486" s="44"/>
      <c r="V486" s="44"/>
      <c r="W486" s="44"/>
      <c r="X486" s="44"/>
      <c r="Y486" s="44"/>
      <c r="Z486" s="44"/>
      <c r="AA486" s="44"/>
      <c r="AB486" s="44"/>
      <c r="AC486" s="44"/>
      <c r="AD486" s="44"/>
      <c r="AE486" s="44"/>
      <c r="AF486" s="44"/>
      <c r="AG486" s="44"/>
      <c r="AH486" s="44"/>
      <c r="AI486" s="44"/>
      <c r="AJ486" s="44"/>
      <c r="AK486" s="44"/>
      <c r="AL486" s="44"/>
      <c r="AM486" s="44"/>
      <c r="AN486" s="44"/>
    </row>
    <row r="487" spans="1:40" ht="16.5" customHeight="1">
      <c r="A487" s="44"/>
      <c r="B487" s="44"/>
      <c r="C487" s="44"/>
      <c r="D487" s="172"/>
      <c r="E487" s="44"/>
      <c r="F487" s="44"/>
      <c r="G487" s="44"/>
      <c r="H487" s="44"/>
      <c r="I487" s="44"/>
      <c r="J487" s="44"/>
      <c r="K487" s="53"/>
      <c r="L487" s="44"/>
      <c r="M487" s="44"/>
      <c r="N487" s="44"/>
      <c r="O487" s="44"/>
      <c r="P487" s="44"/>
      <c r="Q487" s="44"/>
      <c r="R487" s="44"/>
      <c r="S487" s="44"/>
      <c r="T487" s="44"/>
      <c r="U487" s="44"/>
      <c r="V487" s="44"/>
      <c r="W487" s="44"/>
      <c r="X487" s="44"/>
      <c r="Y487" s="44"/>
      <c r="Z487" s="44"/>
      <c r="AA487" s="44"/>
      <c r="AB487" s="44"/>
      <c r="AC487" s="44"/>
      <c r="AD487" s="44"/>
      <c r="AE487" s="44"/>
      <c r="AF487" s="44"/>
      <c r="AG487" s="44"/>
      <c r="AH487" s="44"/>
      <c r="AI487" s="44"/>
      <c r="AJ487" s="44"/>
      <c r="AK487" s="44"/>
      <c r="AL487" s="44"/>
      <c r="AM487" s="44"/>
      <c r="AN487" s="44"/>
    </row>
    <row r="488" spans="1:40" ht="16.5" customHeight="1">
      <c r="A488" s="44"/>
      <c r="B488" s="44"/>
      <c r="C488" s="44"/>
      <c r="D488" s="172"/>
      <c r="E488" s="44"/>
      <c r="F488" s="44"/>
      <c r="G488" s="44"/>
      <c r="H488" s="44"/>
      <c r="I488" s="44"/>
      <c r="J488" s="44"/>
      <c r="K488" s="53"/>
      <c r="L488" s="44"/>
      <c r="M488" s="44"/>
      <c r="N488" s="44"/>
      <c r="O488" s="44"/>
      <c r="P488" s="44"/>
      <c r="Q488" s="44"/>
      <c r="R488" s="44"/>
      <c r="S488" s="44"/>
      <c r="T488" s="44"/>
      <c r="U488" s="44"/>
      <c r="V488" s="44"/>
      <c r="W488" s="44"/>
      <c r="X488" s="44"/>
      <c r="Y488" s="44"/>
      <c r="Z488" s="44"/>
      <c r="AA488" s="44"/>
      <c r="AB488" s="44"/>
      <c r="AC488" s="44"/>
      <c r="AD488" s="44"/>
      <c r="AE488" s="44"/>
      <c r="AF488" s="44"/>
      <c r="AG488" s="44"/>
      <c r="AH488" s="44"/>
      <c r="AI488" s="44"/>
      <c r="AJ488" s="44"/>
      <c r="AK488" s="44"/>
      <c r="AL488" s="44"/>
      <c r="AM488" s="44"/>
      <c r="AN488" s="44"/>
    </row>
    <row r="489" spans="1:40" ht="16.5" customHeight="1">
      <c r="A489" s="44"/>
      <c r="B489" s="44"/>
      <c r="C489" s="44"/>
      <c r="D489" s="172"/>
      <c r="E489" s="44"/>
      <c r="F489" s="44"/>
      <c r="G489" s="44"/>
      <c r="H489" s="44"/>
      <c r="I489" s="44"/>
      <c r="J489" s="44"/>
      <c r="K489" s="53"/>
      <c r="L489" s="44"/>
      <c r="M489" s="44"/>
      <c r="N489" s="44"/>
      <c r="O489" s="44"/>
      <c r="P489" s="44"/>
      <c r="Q489" s="44"/>
      <c r="R489" s="44"/>
      <c r="S489" s="44"/>
      <c r="T489" s="44"/>
      <c r="U489" s="44"/>
      <c r="V489" s="44"/>
      <c r="W489" s="44"/>
      <c r="X489" s="44"/>
      <c r="Y489" s="44"/>
      <c r="Z489" s="44"/>
      <c r="AA489" s="44"/>
      <c r="AB489" s="44"/>
      <c r="AC489" s="44"/>
      <c r="AD489" s="44"/>
      <c r="AE489" s="44"/>
      <c r="AF489" s="44"/>
      <c r="AG489" s="44"/>
      <c r="AH489" s="44"/>
      <c r="AI489" s="44"/>
      <c r="AJ489" s="44"/>
      <c r="AK489" s="44"/>
      <c r="AL489" s="44"/>
      <c r="AM489" s="44"/>
      <c r="AN489" s="44"/>
    </row>
    <row r="490" spans="1:40" ht="16.5" customHeight="1">
      <c r="A490" s="44"/>
      <c r="B490" s="44"/>
      <c r="C490" s="44"/>
      <c r="D490" s="172"/>
      <c r="E490" s="44"/>
      <c r="F490" s="44"/>
      <c r="G490" s="44"/>
      <c r="H490" s="44"/>
      <c r="I490" s="44"/>
      <c r="J490" s="44"/>
      <c r="K490" s="53"/>
      <c r="L490" s="44"/>
      <c r="M490" s="44"/>
      <c r="N490" s="44"/>
      <c r="O490" s="44"/>
      <c r="P490" s="44"/>
      <c r="Q490" s="44"/>
      <c r="R490" s="44"/>
      <c r="S490" s="44"/>
      <c r="T490" s="44"/>
      <c r="U490" s="44"/>
      <c r="V490" s="44"/>
      <c r="W490" s="44"/>
      <c r="X490" s="44"/>
      <c r="Y490" s="44"/>
      <c r="Z490" s="44"/>
      <c r="AA490" s="44"/>
      <c r="AB490" s="44"/>
      <c r="AC490" s="44"/>
      <c r="AD490" s="44"/>
      <c r="AE490" s="44"/>
      <c r="AF490" s="44"/>
      <c r="AG490" s="44"/>
      <c r="AH490" s="44"/>
      <c r="AI490" s="44"/>
      <c r="AJ490" s="44"/>
      <c r="AK490" s="44"/>
      <c r="AL490" s="44"/>
      <c r="AM490" s="44"/>
      <c r="AN490" s="44"/>
    </row>
    <row r="491" spans="1:40" ht="16.5" customHeight="1">
      <c r="A491" s="44"/>
      <c r="B491" s="44"/>
      <c r="C491" s="44"/>
      <c r="D491" s="172"/>
      <c r="E491" s="44"/>
      <c r="F491" s="44"/>
      <c r="G491" s="44"/>
      <c r="H491" s="44"/>
      <c r="I491" s="44"/>
      <c r="J491" s="44"/>
      <c r="K491" s="53"/>
      <c r="L491" s="44"/>
      <c r="M491" s="44"/>
      <c r="N491" s="44"/>
      <c r="O491" s="44"/>
      <c r="P491" s="44"/>
      <c r="Q491" s="44"/>
      <c r="R491" s="44"/>
      <c r="S491" s="44"/>
      <c r="T491" s="44"/>
      <c r="U491" s="44"/>
      <c r="V491" s="44"/>
      <c r="W491" s="44"/>
      <c r="X491" s="44"/>
      <c r="Y491" s="44"/>
      <c r="Z491" s="44"/>
      <c r="AA491" s="44"/>
      <c r="AB491" s="44"/>
      <c r="AC491" s="44"/>
      <c r="AD491" s="44"/>
      <c r="AE491" s="44"/>
      <c r="AF491" s="44"/>
      <c r="AG491" s="44"/>
      <c r="AH491" s="44"/>
      <c r="AI491" s="44"/>
      <c r="AJ491" s="44"/>
      <c r="AK491" s="44"/>
      <c r="AL491" s="44"/>
      <c r="AM491" s="44"/>
      <c r="AN491" s="44"/>
    </row>
    <row r="492" spans="1:40" ht="16.5" customHeight="1">
      <c r="A492" s="44"/>
      <c r="B492" s="44"/>
      <c r="C492" s="44"/>
      <c r="D492" s="172"/>
      <c r="E492" s="44"/>
      <c r="F492" s="44"/>
      <c r="G492" s="44"/>
      <c r="H492" s="44"/>
      <c r="I492" s="44"/>
      <c r="J492" s="44"/>
      <c r="K492" s="53"/>
      <c r="L492" s="44"/>
      <c r="M492" s="44"/>
      <c r="N492" s="44"/>
      <c r="O492" s="44"/>
      <c r="P492" s="44"/>
      <c r="Q492" s="44"/>
      <c r="R492" s="44"/>
      <c r="S492" s="44"/>
      <c r="T492" s="44"/>
      <c r="U492" s="44"/>
      <c r="V492" s="44"/>
      <c r="W492" s="44"/>
      <c r="X492" s="44"/>
      <c r="Y492" s="44"/>
      <c r="Z492" s="44"/>
      <c r="AA492" s="44"/>
      <c r="AB492" s="44"/>
      <c r="AC492" s="44"/>
      <c r="AD492" s="44"/>
      <c r="AE492" s="44"/>
      <c r="AF492" s="44"/>
      <c r="AG492" s="44"/>
      <c r="AH492" s="44"/>
      <c r="AI492" s="44"/>
      <c r="AJ492" s="44"/>
      <c r="AK492" s="44"/>
      <c r="AL492" s="44"/>
      <c r="AM492" s="44"/>
      <c r="AN492" s="44"/>
    </row>
    <row r="493" spans="1:40" ht="16.5" customHeight="1">
      <c r="A493" s="44"/>
      <c r="B493" s="44"/>
      <c r="C493" s="44"/>
      <c r="D493" s="172"/>
      <c r="E493" s="44"/>
      <c r="F493" s="44"/>
      <c r="G493" s="44"/>
      <c r="H493" s="44"/>
      <c r="I493" s="44"/>
      <c r="J493" s="44"/>
      <c r="K493" s="53"/>
      <c r="L493" s="44"/>
      <c r="M493" s="44"/>
      <c r="N493" s="44"/>
      <c r="O493" s="44"/>
      <c r="P493" s="44"/>
      <c r="Q493" s="44"/>
      <c r="R493" s="44"/>
      <c r="S493" s="44"/>
      <c r="T493" s="44"/>
      <c r="U493" s="44"/>
      <c r="V493" s="44"/>
      <c r="W493" s="44"/>
      <c r="X493" s="44"/>
      <c r="Y493" s="44"/>
      <c r="Z493" s="44"/>
      <c r="AA493" s="44"/>
      <c r="AB493" s="44"/>
      <c r="AC493" s="44"/>
      <c r="AD493" s="44"/>
      <c r="AE493" s="44"/>
      <c r="AF493" s="44"/>
      <c r="AG493" s="44"/>
      <c r="AH493" s="44"/>
      <c r="AI493" s="44"/>
      <c r="AJ493" s="44"/>
      <c r="AK493" s="44"/>
      <c r="AL493" s="44"/>
      <c r="AM493" s="44"/>
      <c r="AN493" s="44"/>
    </row>
    <row r="494" spans="1:40" ht="16.5" customHeight="1">
      <c r="A494" s="44"/>
      <c r="B494" s="44"/>
      <c r="C494" s="44"/>
      <c r="D494" s="172"/>
      <c r="E494" s="44"/>
      <c r="F494" s="44"/>
      <c r="G494" s="44"/>
      <c r="H494" s="44"/>
      <c r="I494" s="44"/>
      <c r="J494" s="44"/>
      <c r="K494" s="53"/>
      <c r="L494" s="44"/>
      <c r="M494" s="44"/>
      <c r="N494" s="44"/>
      <c r="O494" s="44"/>
      <c r="P494" s="44"/>
      <c r="Q494" s="44"/>
      <c r="R494" s="44"/>
      <c r="S494" s="44"/>
      <c r="T494" s="44"/>
      <c r="U494" s="44"/>
      <c r="V494" s="44"/>
      <c r="W494" s="44"/>
      <c r="X494" s="44"/>
      <c r="Y494" s="44"/>
      <c r="Z494" s="44"/>
      <c r="AA494" s="44"/>
      <c r="AB494" s="44"/>
      <c r="AC494" s="44"/>
      <c r="AD494" s="44"/>
      <c r="AE494" s="44"/>
      <c r="AF494" s="44"/>
      <c r="AG494" s="44"/>
      <c r="AH494" s="44"/>
      <c r="AI494" s="44"/>
      <c r="AJ494" s="44"/>
      <c r="AK494" s="44"/>
      <c r="AL494" s="44"/>
      <c r="AM494" s="44"/>
      <c r="AN494" s="44"/>
    </row>
    <row r="495" spans="1:40" ht="16.5" customHeight="1">
      <c r="A495" s="44"/>
      <c r="B495" s="44"/>
      <c r="C495" s="44"/>
      <c r="D495" s="172"/>
      <c r="E495" s="44"/>
      <c r="F495" s="44"/>
      <c r="G495" s="44"/>
      <c r="H495" s="44"/>
      <c r="I495" s="44"/>
      <c r="J495" s="44"/>
      <c r="K495" s="53"/>
      <c r="L495" s="44"/>
      <c r="M495" s="44"/>
      <c r="N495" s="44"/>
      <c r="O495" s="44"/>
      <c r="P495" s="44"/>
      <c r="Q495" s="44"/>
      <c r="R495" s="44"/>
      <c r="S495" s="44"/>
      <c r="T495" s="44"/>
      <c r="U495" s="44"/>
      <c r="V495" s="44"/>
      <c r="W495" s="44"/>
      <c r="X495" s="44"/>
      <c r="Y495" s="44"/>
      <c r="Z495" s="44"/>
      <c r="AA495" s="44"/>
      <c r="AB495" s="44"/>
      <c r="AC495" s="44"/>
      <c r="AD495" s="44"/>
      <c r="AE495" s="44"/>
      <c r="AF495" s="44"/>
      <c r="AG495" s="44"/>
      <c r="AH495" s="44"/>
      <c r="AI495" s="44"/>
      <c r="AJ495" s="44"/>
      <c r="AK495" s="44"/>
      <c r="AL495" s="44"/>
      <c r="AM495" s="44"/>
      <c r="AN495" s="44"/>
    </row>
    <row r="496" spans="1:40" ht="16.5" customHeight="1">
      <c r="A496" s="44"/>
      <c r="B496" s="44"/>
      <c r="C496" s="44"/>
      <c r="D496" s="172"/>
      <c r="E496" s="44"/>
      <c r="F496" s="44"/>
      <c r="G496" s="44"/>
      <c r="H496" s="44"/>
      <c r="I496" s="44"/>
      <c r="J496" s="44"/>
      <c r="K496" s="53"/>
      <c r="L496" s="44"/>
      <c r="M496" s="44"/>
      <c r="N496" s="44"/>
      <c r="O496" s="44"/>
      <c r="P496" s="44"/>
      <c r="Q496" s="44"/>
      <c r="R496" s="44"/>
      <c r="S496" s="44"/>
      <c r="T496" s="44"/>
      <c r="U496" s="44"/>
      <c r="V496" s="44"/>
      <c r="W496" s="44"/>
      <c r="X496" s="44"/>
      <c r="Y496" s="44"/>
      <c r="Z496" s="44"/>
      <c r="AA496" s="44"/>
      <c r="AB496" s="44"/>
      <c r="AC496" s="44"/>
      <c r="AD496" s="44"/>
      <c r="AE496" s="44"/>
      <c r="AF496" s="44"/>
      <c r="AG496" s="44"/>
      <c r="AH496" s="44"/>
      <c r="AI496" s="44"/>
      <c r="AJ496" s="44"/>
      <c r="AK496" s="44"/>
      <c r="AL496" s="44"/>
      <c r="AM496" s="44"/>
      <c r="AN496" s="44"/>
    </row>
    <row r="497" spans="1:40" ht="16.5" customHeight="1">
      <c r="A497" s="44"/>
      <c r="B497" s="44"/>
      <c r="C497" s="44"/>
      <c r="D497" s="172"/>
      <c r="E497" s="44"/>
      <c r="F497" s="44"/>
      <c r="G497" s="44"/>
      <c r="H497" s="44"/>
      <c r="I497" s="44"/>
      <c r="J497" s="44"/>
      <c r="K497" s="53"/>
      <c r="L497" s="44"/>
      <c r="M497" s="44"/>
      <c r="N497" s="44"/>
      <c r="O497" s="44"/>
      <c r="P497" s="44"/>
      <c r="Q497" s="44"/>
      <c r="R497" s="44"/>
      <c r="S497" s="44"/>
      <c r="T497" s="44"/>
      <c r="U497" s="44"/>
      <c r="V497" s="44"/>
      <c r="W497" s="44"/>
      <c r="X497" s="44"/>
      <c r="Y497" s="44"/>
      <c r="Z497" s="44"/>
      <c r="AA497" s="44"/>
      <c r="AB497" s="44"/>
      <c r="AC497" s="44"/>
      <c r="AD497" s="44"/>
      <c r="AE497" s="44"/>
      <c r="AF497" s="44"/>
      <c r="AG497" s="44"/>
      <c r="AH497" s="44"/>
      <c r="AI497" s="44"/>
      <c r="AJ497" s="44"/>
      <c r="AK497" s="44"/>
      <c r="AL497" s="44"/>
      <c r="AM497" s="44"/>
      <c r="AN497" s="44"/>
    </row>
    <row r="498" spans="1:40" ht="16.5" customHeight="1">
      <c r="A498" s="44"/>
      <c r="B498" s="44"/>
      <c r="C498" s="44"/>
      <c r="D498" s="172"/>
      <c r="E498" s="44"/>
      <c r="F498" s="44"/>
      <c r="G498" s="44"/>
      <c r="H498" s="44"/>
      <c r="I498" s="44"/>
      <c r="J498" s="44"/>
      <c r="K498" s="53"/>
      <c r="L498" s="44"/>
      <c r="M498" s="44"/>
      <c r="N498" s="44"/>
      <c r="O498" s="44"/>
      <c r="P498" s="44"/>
      <c r="Q498" s="44"/>
      <c r="R498" s="44"/>
      <c r="S498" s="44"/>
      <c r="T498" s="44"/>
      <c r="U498" s="44"/>
      <c r="V498" s="44"/>
      <c r="W498" s="44"/>
      <c r="X498" s="44"/>
      <c r="Y498" s="44"/>
      <c r="Z498" s="44"/>
      <c r="AA498" s="44"/>
      <c r="AB498" s="44"/>
      <c r="AC498" s="44"/>
      <c r="AD498" s="44"/>
      <c r="AE498" s="44"/>
      <c r="AF498" s="44"/>
      <c r="AG498" s="44"/>
      <c r="AH498" s="44"/>
      <c r="AI498" s="44"/>
      <c r="AJ498" s="44"/>
      <c r="AK498" s="44"/>
      <c r="AL498" s="44"/>
      <c r="AM498" s="44"/>
      <c r="AN498" s="44"/>
    </row>
    <row r="499" spans="1:40" ht="16.5" customHeight="1">
      <c r="A499" s="44"/>
      <c r="B499" s="44"/>
      <c r="C499" s="44"/>
      <c r="D499" s="172"/>
      <c r="E499" s="44"/>
      <c r="F499" s="44"/>
      <c r="G499" s="44"/>
      <c r="H499" s="44"/>
      <c r="I499" s="44"/>
      <c r="J499" s="44"/>
      <c r="K499" s="53"/>
      <c r="L499" s="44"/>
      <c r="M499" s="44"/>
      <c r="N499" s="44"/>
      <c r="O499" s="44"/>
      <c r="P499" s="44"/>
      <c r="Q499" s="44"/>
      <c r="R499" s="44"/>
      <c r="S499" s="44"/>
      <c r="T499" s="44"/>
      <c r="U499" s="44"/>
      <c r="V499" s="44"/>
      <c r="W499" s="44"/>
      <c r="X499" s="44"/>
      <c r="Y499" s="44"/>
      <c r="Z499" s="44"/>
      <c r="AA499" s="44"/>
      <c r="AB499" s="44"/>
      <c r="AC499" s="44"/>
      <c r="AD499" s="44"/>
      <c r="AE499" s="44"/>
      <c r="AF499" s="44"/>
      <c r="AG499" s="44"/>
      <c r="AH499" s="44"/>
      <c r="AI499" s="44"/>
      <c r="AJ499" s="44"/>
      <c r="AK499" s="44"/>
      <c r="AL499" s="44"/>
      <c r="AM499" s="44"/>
      <c r="AN499" s="44"/>
    </row>
    <row r="500" spans="1:40" ht="16.5" customHeight="1">
      <c r="A500" s="44"/>
      <c r="B500" s="44"/>
      <c r="C500" s="44"/>
      <c r="D500" s="172"/>
      <c r="E500" s="44"/>
      <c r="F500" s="44"/>
      <c r="G500" s="44"/>
      <c r="H500" s="44"/>
      <c r="I500" s="44"/>
      <c r="J500" s="44"/>
      <c r="K500" s="53"/>
      <c r="L500" s="44"/>
      <c r="M500" s="44"/>
      <c r="N500" s="44"/>
      <c r="O500" s="44"/>
      <c r="P500" s="44"/>
      <c r="Q500" s="44"/>
      <c r="R500" s="44"/>
      <c r="S500" s="44"/>
      <c r="T500" s="44"/>
      <c r="U500" s="44"/>
      <c r="V500" s="44"/>
      <c r="W500" s="44"/>
      <c r="X500" s="44"/>
      <c r="Y500" s="44"/>
      <c r="Z500" s="44"/>
      <c r="AA500" s="44"/>
      <c r="AB500" s="44"/>
      <c r="AC500" s="44"/>
      <c r="AD500" s="44"/>
      <c r="AE500" s="44"/>
      <c r="AF500" s="44"/>
      <c r="AG500" s="44"/>
      <c r="AH500" s="44"/>
      <c r="AI500" s="44"/>
      <c r="AJ500" s="44"/>
      <c r="AK500" s="44"/>
      <c r="AL500" s="44"/>
      <c r="AM500" s="44"/>
      <c r="AN500" s="44"/>
    </row>
    <row r="501" spans="1:40" ht="16.5" customHeight="1">
      <c r="A501" s="44"/>
      <c r="B501" s="44"/>
      <c r="C501" s="44"/>
      <c r="D501" s="172"/>
      <c r="E501" s="44"/>
      <c r="F501" s="44"/>
      <c r="G501" s="44"/>
      <c r="H501" s="44"/>
      <c r="I501" s="44"/>
      <c r="J501" s="44"/>
      <c r="K501" s="53"/>
      <c r="L501" s="44"/>
      <c r="M501" s="44"/>
      <c r="N501" s="44"/>
      <c r="O501" s="44"/>
      <c r="P501" s="44"/>
      <c r="Q501" s="44"/>
      <c r="R501" s="44"/>
      <c r="S501" s="44"/>
      <c r="T501" s="44"/>
      <c r="U501" s="44"/>
      <c r="V501" s="44"/>
      <c r="W501" s="44"/>
      <c r="X501" s="44"/>
      <c r="Y501" s="44"/>
      <c r="Z501" s="44"/>
      <c r="AA501" s="44"/>
      <c r="AB501" s="44"/>
      <c r="AC501" s="44"/>
      <c r="AD501" s="44"/>
      <c r="AE501" s="44"/>
      <c r="AF501" s="44"/>
      <c r="AG501" s="44"/>
      <c r="AH501" s="44"/>
      <c r="AI501" s="44"/>
      <c r="AJ501" s="44"/>
      <c r="AK501" s="44"/>
      <c r="AL501" s="44"/>
      <c r="AM501" s="44"/>
      <c r="AN501" s="44"/>
    </row>
    <row r="502" spans="1:40" ht="16.5" customHeight="1">
      <c r="A502" s="44"/>
      <c r="B502" s="44"/>
      <c r="C502" s="44"/>
      <c r="D502" s="172"/>
      <c r="E502" s="44"/>
      <c r="F502" s="44"/>
      <c r="G502" s="44"/>
      <c r="H502" s="44"/>
      <c r="I502" s="44"/>
      <c r="J502" s="44"/>
      <c r="K502" s="53"/>
      <c r="L502" s="44"/>
      <c r="M502" s="44"/>
      <c r="N502" s="44"/>
      <c r="O502" s="44"/>
      <c r="P502" s="44"/>
      <c r="Q502" s="44"/>
      <c r="R502" s="44"/>
      <c r="S502" s="44"/>
      <c r="T502" s="44"/>
      <c r="U502" s="44"/>
      <c r="V502" s="44"/>
      <c r="W502" s="44"/>
      <c r="X502" s="44"/>
      <c r="Y502" s="44"/>
      <c r="Z502" s="44"/>
      <c r="AA502" s="44"/>
      <c r="AB502" s="44"/>
      <c r="AC502" s="44"/>
      <c r="AD502" s="44"/>
      <c r="AE502" s="44"/>
      <c r="AF502" s="44"/>
      <c r="AG502" s="44"/>
      <c r="AH502" s="44"/>
      <c r="AI502" s="44"/>
      <c r="AJ502" s="44"/>
      <c r="AK502" s="44"/>
      <c r="AL502" s="44"/>
      <c r="AM502" s="44"/>
      <c r="AN502" s="44"/>
    </row>
    <row r="503" spans="1:40" ht="16.5" customHeight="1">
      <c r="A503" s="44"/>
      <c r="B503" s="44"/>
      <c r="C503" s="44"/>
      <c r="D503" s="172"/>
      <c r="E503" s="44"/>
      <c r="F503" s="44"/>
      <c r="G503" s="44"/>
      <c r="H503" s="44"/>
      <c r="I503" s="44"/>
      <c r="J503" s="44"/>
      <c r="K503" s="53"/>
      <c r="L503" s="44"/>
      <c r="M503" s="44"/>
      <c r="N503" s="44"/>
      <c r="O503" s="44"/>
      <c r="P503" s="44"/>
      <c r="Q503" s="44"/>
      <c r="R503" s="44"/>
      <c r="S503" s="44"/>
      <c r="T503" s="44"/>
      <c r="U503" s="44"/>
      <c r="V503" s="44"/>
      <c r="W503" s="44"/>
      <c r="X503" s="44"/>
      <c r="Y503" s="44"/>
      <c r="Z503" s="44"/>
      <c r="AA503" s="44"/>
      <c r="AB503" s="44"/>
      <c r="AC503" s="44"/>
      <c r="AD503" s="44"/>
      <c r="AE503" s="44"/>
      <c r="AF503" s="44"/>
      <c r="AG503" s="44"/>
      <c r="AH503" s="44"/>
      <c r="AI503" s="44"/>
      <c r="AJ503" s="44"/>
      <c r="AK503" s="44"/>
      <c r="AL503" s="44"/>
      <c r="AM503" s="44"/>
      <c r="AN503" s="44"/>
    </row>
    <row r="504" spans="1:40" ht="16.5" customHeight="1">
      <c r="A504" s="44"/>
      <c r="B504" s="44"/>
      <c r="C504" s="44"/>
      <c r="D504" s="172"/>
      <c r="E504" s="44"/>
      <c r="F504" s="44"/>
      <c r="G504" s="44"/>
      <c r="H504" s="44"/>
      <c r="I504" s="44"/>
      <c r="J504" s="44"/>
      <c r="K504" s="53"/>
      <c r="L504" s="44"/>
      <c r="M504" s="44"/>
      <c r="N504" s="44"/>
      <c r="O504" s="44"/>
      <c r="P504" s="44"/>
      <c r="Q504" s="44"/>
      <c r="R504" s="44"/>
      <c r="S504" s="44"/>
      <c r="T504" s="44"/>
      <c r="U504" s="44"/>
      <c r="V504" s="44"/>
      <c r="W504" s="44"/>
      <c r="X504" s="44"/>
      <c r="Y504" s="44"/>
      <c r="Z504" s="44"/>
      <c r="AA504" s="44"/>
      <c r="AB504" s="44"/>
      <c r="AC504" s="44"/>
      <c r="AD504" s="44"/>
      <c r="AE504" s="44"/>
      <c r="AF504" s="44"/>
      <c r="AG504" s="44"/>
      <c r="AH504" s="44"/>
      <c r="AI504" s="44"/>
      <c r="AJ504" s="44"/>
      <c r="AK504" s="44"/>
      <c r="AL504" s="44"/>
      <c r="AM504" s="44"/>
      <c r="AN504" s="44"/>
    </row>
    <row r="505" spans="1:40" ht="16.5" customHeight="1">
      <c r="A505" s="44"/>
      <c r="B505" s="44"/>
      <c r="C505" s="44"/>
      <c r="D505" s="172"/>
      <c r="E505" s="44"/>
      <c r="F505" s="44"/>
      <c r="G505" s="44"/>
      <c r="H505" s="44"/>
      <c r="I505" s="44"/>
      <c r="J505" s="44"/>
      <c r="K505" s="53"/>
      <c r="L505" s="44"/>
      <c r="M505" s="44"/>
      <c r="N505" s="44"/>
      <c r="O505" s="44"/>
      <c r="P505" s="44"/>
      <c r="Q505" s="44"/>
      <c r="R505" s="44"/>
      <c r="S505" s="44"/>
      <c r="T505" s="44"/>
      <c r="U505" s="44"/>
      <c r="V505" s="44"/>
      <c r="W505" s="44"/>
      <c r="X505" s="44"/>
      <c r="Y505" s="44"/>
      <c r="Z505" s="44"/>
      <c r="AA505" s="44"/>
      <c r="AB505" s="44"/>
      <c r="AC505" s="44"/>
      <c r="AD505" s="44"/>
      <c r="AE505" s="44"/>
      <c r="AF505" s="44"/>
      <c r="AG505" s="44"/>
      <c r="AH505" s="44"/>
      <c r="AI505" s="44"/>
      <c r="AJ505" s="44"/>
      <c r="AK505" s="44"/>
      <c r="AL505" s="44"/>
      <c r="AM505" s="44"/>
      <c r="AN505" s="44"/>
    </row>
    <row r="506" spans="1:40" ht="16.5" customHeight="1">
      <c r="A506" s="44"/>
      <c r="B506" s="44"/>
      <c r="C506" s="44"/>
      <c r="D506" s="172"/>
      <c r="E506" s="44"/>
      <c r="F506" s="44"/>
      <c r="G506" s="44"/>
      <c r="H506" s="44"/>
      <c r="I506" s="44"/>
      <c r="J506" s="44"/>
      <c r="K506" s="53"/>
      <c r="L506" s="44"/>
      <c r="M506" s="44"/>
      <c r="N506" s="44"/>
      <c r="O506" s="44"/>
      <c r="P506" s="44"/>
      <c r="Q506" s="44"/>
      <c r="R506" s="44"/>
      <c r="S506" s="44"/>
      <c r="T506" s="44"/>
      <c r="U506" s="44"/>
      <c r="V506" s="44"/>
      <c r="W506" s="44"/>
      <c r="X506" s="44"/>
      <c r="Y506" s="44"/>
      <c r="Z506" s="44"/>
      <c r="AA506" s="44"/>
      <c r="AB506" s="44"/>
      <c r="AC506" s="44"/>
      <c r="AD506" s="44"/>
      <c r="AE506" s="44"/>
      <c r="AF506" s="44"/>
      <c r="AG506" s="44"/>
      <c r="AH506" s="44"/>
      <c r="AI506" s="44"/>
      <c r="AJ506" s="44"/>
      <c r="AK506" s="44"/>
      <c r="AL506" s="44"/>
      <c r="AM506" s="44"/>
      <c r="AN506" s="44"/>
    </row>
    <row r="507" spans="1:40" ht="16.5" customHeight="1">
      <c r="A507" s="44"/>
      <c r="B507" s="44"/>
      <c r="C507" s="44"/>
      <c r="D507" s="172"/>
      <c r="E507" s="44"/>
      <c r="F507" s="44"/>
      <c r="G507" s="44"/>
      <c r="H507" s="44"/>
      <c r="I507" s="44"/>
      <c r="J507" s="44"/>
      <c r="K507" s="53"/>
      <c r="L507" s="44"/>
      <c r="M507" s="44"/>
      <c r="N507" s="44"/>
      <c r="O507" s="44"/>
      <c r="P507" s="44"/>
      <c r="Q507" s="44"/>
      <c r="R507" s="44"/>
      <c r="S507" s="44"/>
      <c r="T507" s="44"/>
      <c r="U507" s="44"/>
      <c r="V507" s="44"/>
      <c r="W507" s="44"/>
      <c r="X507" s="44"/>
      <c r="Y507" s="44"/>
      <c r="Z507" s="44"/>
      <c r="AA507" s="44"/>
      <c r="AB507" s="44"/>
      <c r="AC507" s="44"/>
      <c r="AD507" s="44"/>
      <c r="AE507" s="44"/>
      <c r="AF507" s="44"/>
      <c r="AG507" s="44"/>
      <c r="AH507" s="44"/>
      <c r="AI507" s="44"/>
      <c r="AJ507" s="44"/>
      <c r="AK507" s="44"/>
      <c r="AL507" s="44"/>
      <c r="AM507" s="44"/>
      <c r="AN507" s="44"/>
    </row>
    <row r="508" spans="1:40" ht="16.5" customHeight="1">
      <c r="A508" s="44"/>
      <c r="B508" s="44"/>
      <c r="C508" s="44"/>
      <c r="D508" s="172"/>
      <c r="E508" s="44"/>
      <c r="F508" s="44"/>
      <c r="G508" s="44"/>
      <c r="H508" s="44"/>
      <c r="I508" s="44"/>
      <c r="J508" s="44"/>
      <c r="K508" s="53"/>
      <c r="L508" s="44"/>
      <c r="M508" s="44"/>
      <c r="N508" s="44"/>
      <c r="O508" s="44"/>
      <c r="P508" s="44"/>
      <c r="Q508" s="44"/>
      <c r="R508" s="44"/>
      <c r="S508" s="44"/>
      <c r="T508" s="44"/>
      <c r="U508" s="44"/>
      <c r="V508" s="44"/>
      <c r="W508" s="44"/>
      <c r="X508" s="44"/>
      <c r="Y508" s="44"/>
      <c r="Z508" s="44"/>
      <c r="AA508" s="44"/>
      <c r="AB508" s="44"/>
      <c r="AC508" s="44"/>
      <c r="AD508" s="44"/>
      <c r="AE508" s="44"/>
      <c r="AF508" s="44"/>
      <c r="AG508" s="44"/>
      <c r="AH508" s="44"/>
      <c r="AI508" s="44"/>
      <c r="AJ508" s="44"/>
      <c r="AK508" s="44"/>
      <c r="AL508" s="44"/>
      <c r="AM508" s="44"/>
      <c r="AN508" s="44"/>
    </row>
    <row r="509" spans="1:40" ht="16.5" customHeight="1">
      <c r="A509" s="44"/>
      <c r="B509" s="44"/>
      <c r="C509" s="44"/>
      <c r="D509" s="172"/>
      <c r="E509" s="44"/>
      <c r="F509" s="44"/>
      <c r="G509" s="44"/>
      <c r="H509" s="44"/>
      <c r="I509" s="44"/>
      <c r="J509" s="44"/>
      <c r="K509" s="53"/>
      <c r="L509" s="44"/>
      <c r="M509" s="44"/>
      <c r="N509" s="44"/>
      <c r="O509" s="44"/>
      <c r="P509" s="44"/>
      <c r="Q509" s="44"/>
      <c r="R509" s="44"/>
      <c r="S509" s="44"/>
      <c r="T509" s="44"/>
      <c r="U509" s="44"/>
      <c r="V509" s="44"/>
      <c r="W509" s="44"/>
      <c r="X509" s="44"/>
      <c r="Y509" s="44"/>
      <c r="Z509" s="44"/>
      <c r="AA509" s="44"/>
      <c r="AB509" s="44"/>
      <c r="AC509" s="44"/>
      <c r="AD509" s="44"/>
      <c r="AE509" s="44"/>
      <c r="AF509" s="44"/>
      <c r="AG509" s="44"/>
      <c r="AH509" s="44"/>
      <c r="AI509" s="44"/>
      <c r="AJ509" s="44"/>
      <c r="AK509" s="44"/>
      <c r="AL509" s="44"/>
      <c r="AM509" s="44"/>
      <c r="AN509" s="44"/>
    </row>
    <row r="510" spans="1:40" ht="16.5" customHeight="1">
      <c r="A510" s="44"/>
      <c r="B510" s="44"/>
      <c r="C510" s="44"/>
      <c r="D510" s="172"/>
      <c r="E510" s="44"/>
      <c r="F510" s="44"/>
      <c r="G510" s="44"/>
      <c r="H510" s="44"/>
      <c r="I510" s="44"/>
      <c r="J510" s="44"/>
      <c r="K510" s="53"/>
      <c r="L510" s="44"/>
      <c r="M510" s="44"/>
      <c r="N510" s="44"/>
      <c r="O510" s="44"/>
      <c r="P510" s="44"/>
      <c r="Q510" s="44"/>
      <c r="R510" s="44"/>
      <c r="S510" s="44"/>
      <c r="T510" s="44"/>
      <c r="U510" s="44"/>
      <c r="V510" s="44"/>
      <c r="W510" s="44"/>
      <c r="X510" s="44"/>
      <c r="Y510" s="44"/>
      <c r="Z510" s="44"/>
      <c r="AA510" s="44"/>
      <c r="AB510" s="44"/>
      <c r="AC510" s="44"/>
      <c r="AD510" s="44"/>
      <c r="AE510" s="44"/>
      <c r="AF510" s="44"/>
      <c r="AG510" s="44"/>
      <c r="AH510" s="44"/>
      <c r="AI510" s="44"/>
      <c r="AJ510" s="44"/>
      <c r="AK510" s="44"/>
      <c r="AL510" s="44"/>
      <c r="AM510" s="44"/>
      <c r="AN510" s="44"/>
    </row>
    <row r="511" spans="1:40" ht="16.5" customHeight="1">
      <c r="A511" s="44"/>
      <c r="B511" s="44"/>
      <c r="C511" s="44"/>
      <c r="D511" s="172"/>
      <c r="E511" s="44"/>
      <c r="F511" s="44"/>
      <c r="G511" s="44"/>
      <c r="H511" s="44"/>
      <c r="I511" s="44"/>
      <c r="J511" s="44"/>
      <c r="K511" s="53"/>
      <c r="L511" s="44"/>
      <c r="M511" s="44"/>
      <c r="N511" s="44"/>
      <c r="O511" s="44"/>
      <c r="P511" s="44"/>
      <c r="Q511" s="44"/>
      <c r="R511" s="44"/>
      <c r="S511" s="44"/>
      <c r="T511" s="44"/>
      <c r="U511" s="44"/>
      <c r="V511" s="44"/>
      <c r="W511" s="44"/>
      <c r="X511" s="44"/>
      <c r="Y511" s="44"/>
      <c r="Z511" s="44"/>
      <c r="AA511" s="44"/>
      <c r="AB511" s="44"/>
      <c r="AC511" s="44"/>
      <c r="AD511" s="44"/>
      <c r="AE511" s="44"/>
      <c r="AF511" s="44"/>
      <c r="AG511" s="44"/>
      <c r="AH511" s="44"/>
      <c r="AI511" s="44"/>
      <c r="AJ511" s="44"/>
      <c r="AK511" s="44"/>
      <c r="AL511" s="44"/>
      <c r="AM511" s="44"/>
      <c r="AN511" s="44"/>
    </row>
    <row r="512" spans="1:40" ht="16.5" customHeight="1">
      <c r="A512" s="44"/>
      <c r="B512" s="44"/>
      <c r="C512" s="44"/>
      <c r="D512" s="172"/>
      <c r="E512" s="44"/>
      <c r="F512" s="44"/>
      <c r="G512" s="44"/>
      <c r="H512" s="44"/>
      <c r="I512" s="44"/>
      <c r="J512" s="44"/>
      <c r="K512" s="53"/>
      <c r="L512" s="44"/>
      <c r="M512" s="44"/>
      <c r="N512" s="44"/>
      <c r="O512" s="44"/>
      <c r="P512" s="44"/>
      <c r="Q512" s="44"/>
      <c r="R512" s="44"/>
      <c r="S512" s="44"/>
      <c r="T512" s="44"/>
      <c r="U512" s="44"/>
      <c r="V512" s="44"/>
      <c r="W512" s="44"/>
      <c r="X512" s="44"/>
      <c r="Y512" s="44"/>
      <c r="Z512" s="44"/>
      <c r="AA512" s="44"/>
      <c r="AB512" s="44"/>
      <c r="AC512" s="44"/>
      <c r="AD512" s="44"/>
      <c r="AE512" s="44"/>
      <c r="AF512" s="44"/>
      <c r="AG512" s="44"/>
      <c r="AH512" s="44"/>
      <c r="AI512" s="44"/>
      <c r="AJ512" s="44"/>
      <c r="AK512" s="44"/>
      <c r="AL512" s="44"/>
      <c r="AM512" s="44"/>
      <c r="AN512" s="44"/>
    </row>
    <row r="513" spans="1:40" ht="16.5" customHeight="1">
      <c r="A513" s="44"/>
      <c r="B513" s="44"/>
      <c r="C513" s="44"/>
      <c r="D513" s="172"/>
      <c r="E513" s="44"/>
      <c r="F513" s="44"/>
      <c r="G513" s="44"/>
      <c r="H513" s="44"/>
      <c r="I513" s="44"/>
      <c r="J513" s="44"/>
      <c r="K513" s="53"/>
      <c r="L513" s="44"/>
      <c r="M513" s="44"/>
      <c r="N513" s="44"/>
      <c r="O513" s="44"/>
      <c r="P513" s="44"/>
      <c r="Q513" s="44"/>
      <c r="R513" s="44"/>
      <c r="S513" s="44"/>
      <c r="T513" s="44"/>
      <c r="U513" s="44"/>
      <c r="V513" s="44"/>
      <c r="W513" s="44"/>
      <c r="X513" s="44"/>
      <c r="Y513" s="44"/>
      <c r="Z513" s="44"/>
      <c r="AA513" s="44"/>
      <c r="AB513" s="44"/>
      <c r="AC513" s="44"/>
      <c r="AD513" s="44"/>
      <c r="AE513" s="44"/>
      <c r="AF513" s="44"/>
      <c r="AG513" s="44"/>
      <c r="AH513" s="44"/>
      <c r="AI513" s="44"/>
      <c r="AJ513" s="44"/>
      <c r="AK513" s="44"/>
      <c r="AL513" s="44"/>
      <c r="AM513" s="44"/>
      <c r="AN513" s="44"/>
    </row>
    <row r="514" spans="1:40" ht="16.5" customHeight="1">
      <c r="A514" s="44"/>
      <c r="B514" s="44"/>
      <c r="C514" s="44"/>
      <c r="D514" s="172"/>
      <c r="E514" s="44"/>
      <c r="F514" s="44"/>
      <c r="G514" s="44"/>
      <c r="H514" s="44"/>
      <c r="I514" s="44"/>
      <c r="J514" s="44"/>
      <c r="K514" s="53"/>
      <c r="L514" s="44"/>
      <c r="M514" s="44"/>
      <c r="N514" s="44"/>
      <c r="O514" s="44"/>
      <c r="P514" s="44"/>
      <c r="Q514" s="44"/>
      <c r="R514" s="44"/>
      <c r="S514" s="44"/>
      <c r="T514" s="44"/>
      <c r="U514" s="44"/>
      <c r="V514" s="44"/>
      <c r="W514" s="44"/>
      <c r="X514" s="44"/>
      <c r="Y514" s="44"/>
      <c r="Z514" s="44"/>
      <c r="AA514" s="44"/>
      <c r="AB514" s="44"/>
      <c r="AC514" s="44"/>
      <c r="AD514" s="44"/>
      <c r="AE514" s="44"/>
      <c r="AF514" s="44"/>
      <c r="AG514" s="44"/>
      <c r="AH514" s="44"/>
      <c r="AI514" s="44"/>
      <c r="AJ514" s="44"/>
      <c r="AK514" s="44"/>
      <c r="AL514" s="44"/>
      <c r="AM514" s="44"/>
      <c r="AN514" s="44"/>
    </row>
    <row r="515" spans="1:40" ht="16.5" customHeight="1">
      <c r="A515" s="44"/>
      <c r="B515" s="44"/>
      <c r="C515" s="44"/>
      <c r="D515" s="172"/>
      <c r="E515" s="44"/>
      <c r="F515" s="44"/>
      <c r="G515" s="44"/>
      <c r="H515" s="44"/>
      <c r="I515" s="44"/>
      <c r="J515" s="44"/>
      <c r="K515" s="53"/>
      <c r="L515" s="44"/>
      <c r="M515" s="44"/>
      <c r="N515" s="44"/>
      <c r="O515" s="44"/>
      <c r="P515" s="44"/>
      <c r="Q515" s="44"/>
      <c r="R515" s="44"/>
      <c r="S515" s="44"/>
      <c r="T515" s="44"/>
      <c r="U515" s="44"/>
      <c r="V515" s="44"/>
      <c r="W515" s="44"/>
      <c r="X515" s="44"/>
      <c r="Y515" s="44"/>
      <c r="Z515" s="44"/>
      <c r="AA515" s="44"/>
      <c r="AB515" s="44"/>
      <c r="AC515" s="44"/>
      <c r="AD515" s="44"/>
      <c r="AE515" s="44"/>
      <c r="AF515" s="44"/>
      <c r="AG515" s="44"/>
      <c r="AH515" s="44"/>
      <c r="AI515" s="44"/>
      <c r="AJ515" s="44"/>
      <c r="AK515" s="44"/>
      <c r="AL515" s="44"/>
      <c r="AM515" s="44"/>
      <c r="AN515" s="44"/>
    </row>
    <row r="516" spans="1:40" ht="16.5" customHeight="1">
      <c r="A516" s="44"/>
      <c r="B516" s="44"/>
      <c r="C516" s="44"/>
      <c r="D516" s="172"/>
      <c r="E516" s="44"/>
      <c r="F516" s="44"/>
      <c r="G516" s="44"/>
      <c r="H516" s="44"/>
      <c r="I516" s="44"/>
      <c r="J516" s="44"/>
      <c r="K516" s="53"/>
      <c r="L516" s="44"/>
      <c r="M516" s="44"/>
      <c r="N516" s="44"/>
      <c r="O516" s="44"/>
      <c r="P516" s="44"/>
      <c r="Q516" s="44"/>
      <c r="R516" s="44"/>
      <c r="S516" s="44"/>
      <c r="T516" s="44"/>
      <c r="U516" s="44"/>
      <c r="V516" s="44"/>
      <c r="W516" s="44"/>
      <c r="X516" s="44"/>
      <c r="Y516" s="44"/>
      <c r="Z516" s="44"/>
      <c r="AA516" s="44"/>
      <c r="AB516" s="44"/>
      <c r="AC516" s="44"/>
      <c r="AD516" s="44"/>
      <c r="AE516" s="44"/>
      <c r="AF516" s="44"/>
      <c r="AG516" s="44"/>
      <c r="AH516" s="44"/>
      <c r="AI516" s="44"/>
      <c r="AJ516" s="44"/>
      <c r="AK516" s="44"/>
      <c r="AL516" s="44"/>
      <c r="AM516" s="44"/>
      <c r="AN516" s="44"/>
    </row>
    <row r="517" spans="1:40" ht="16.5" customHeight="1">
      <c r="A517" s="44"/>
      <c r="B517" s="44"/>
      <c r="C517" s="44"/>
      <c r="D517" s="172"/>
      <c r="E517" s="44"/>
      <c r="F517" s="44"/>
      <c r="G517" s="44"/>
      <c r="H517" s="44"/>
      <c r="I517" s="44"/>
      <c r="J517" s="44"/>
      <c r="K517" s="53"/>
      <c r="L517" s="44"/>
      <c r="M517" s="44"/>
      <c r="N517" s="44"/>
      <c r="O517" s="44"/>
      <c r="P517" s="44"/>
      <c r="Q517" s="44"/>
      <c r="R517" s="44"/>
      <c r="S517" s="44"/>
      <c r="T517" s="44"/>
      <c r="U517" s="44"/>
      <c r="V517" s="44"/>
      <c r="W517" s="44"/>
      <c r="X517" s="44"/>
      <c r="Y517" s="44"/>
      <c r="Z517" s="44"/>
      <c r="AA517" s="44"/>
      <c r="AB517" s="44"/>
      <c r="AC517" s="44"/>
      <c r="AD517" s="44"/>
      <c r="AE517" s="44"/>
      <c r="AF517" s="44"/>
      <c r="AG517" s="44"/>
      <c r="AH517" s="44"/>
      <c r="AI517" s="44"/>
      <c r="AJ517" s="44"/>
      <c r="AK517" s="44"/>
      <c r="AL517" s="44"/>
      <c r="AM517" s="44"/>
      <c r="AN517" s="44"/>
    </row>
    <row r="518" spans="1:40" ht="16.5" customHeight="1">
      <c r="A518" s="44"/>
      <c r="B518" s="44"/>
      <c r="C518" s="44"/>
      <c r="D518" s="172"/>
      <c r="E518" s="44"/>
      <c r="F518" s="44"/>
      <c r="G518" s="44"/>
      <c r="H518" s="44"/>
      <c r="I518" s="44"/>
      <c r="J518" s="44"/>
      <c r="K518" s="53"/>
      <c r="L518" s="44"/>
      <c r="M518" s="44"/>
      <c r="N518" s="44"/>
      <c r="O518" s="44"/>
      <c r="P518" s="44"/>
      <c r="Q518" s="44"/>
      <c r="R518" s="44"/>
      <c r="S518" s="44"/>
      <c r="T518" s="44"/>
      <c r="U518" s="44"/>
      <c r="V518" s="44"/>
      <c r="W518" s="44"/>
      <c r="X518" s="44"/>
      <c r="Y518" s="44"/>
      <c r="Z518" s="44"/>
      <c r="AA518" s="44"/>
      <c r="AB518" s="44"/>
      <c r="AC518" s="44"/>
      <c r="AD518" s="44"/>
      <c r="AE518" s="44"/>
      <c r="AF518" s="44"/>
      <c r="AG518" s="44"/>
      <c r="AH518" s="44"/>
      <c r="AI518" s="44"/>
      <c r="AJ518" s="44"/>
      <c r="AK518" s="44"/>
      <c r="AL518" s="44"/>
      <c r="AM518" s="44"/>
      <c r="AN518" s="44"/>
    </row>
    <row r="519" spans="1:40" ht="16.5" customHeight="1">
      <c r="A519" s="44"/>
      <c r="B519" s="44"/>
      <c r="C519" s="44"/>
      <c r="D519" s="172"/>
      <c r="E519" s="44"/>
      <c r="F519" s="44"/>
      <c r="G519" s="44"/>
      <c r="H519" s="44"/>
      <c r="I519" s="44"/>
      <c r="J519" s="44"/>
      <c r="K519" s="53"/>
      <c r="L519" s="44"/>
      <c r="M519" s="44"/>
      <c r="N519" s="44"/>
      <c r="O519" s="44"/>
      <c r="P519" s="44"/>
      <c r="Q519" s="44"/>
      <c r="R519" s="44"/>
      <c r="S519" s="44"/>
      <c r="T519" s="44"/>
      <c r="U519" s="44"/>
      <c r="V519" s="44"/>
      <c r="W519" s="44"/>
      <c r="X519" s="44"/>
      <c r="Y519" s="44"/>
      <c r="Z519" s="44"/>
      <c r="AA519" s="44"/>
      <c r="AB519" s="44"/>
      <c r="AC519" s="44"/>
      <c r="AD519" s="44"/>
      <c r="AE519" s="44"/>
      <c r="AF519" s="44"/>
      <c r="AG519" s="44"/>
      <c r="AH519" s="44"/>
      <c r="AI519" s="44"/>
      <c r="AJ519" s="44"/>
      <c r="AK519" s="44"/>
      <c r="AL519" s="44"/>
      <c r="AM519" s="44"/>
      <c r="AN519" s="44"/>
    </row>
    <row r="520" spans="1:40" ht="16.5" customHeight="1">
      <c r="A520" s="44"/>
      <c r="B520" s="44"/>
      <c r="C520" s="44"/>
      <c r="D520" s="172"/>
      <c r="E520" s="44"/>
      <c r="F520" s="44"/>
      <c r="G520" s="44"/>
      <c r="H520" s="44"/>
      <c r="I520" s="44"/>
      <c r="J520" s="44"/>
      <c r="K520" s="53"/>
      <c r="L520" s="44"/>
      <c r="M520" s="44"/>
      <c r="N520" s="44"/>
      <c r="O520" s="44"/>
      <c r="P520" s="44"/>
      <c r="Q520" s="44"/>
      <c r="R520" s="44"/>
      <c r="S520" s="44"/>
      <c r="T520" s="44"/>
      <c r="U520" s="44"/>
      <c r="V520" s="44"/>
      <c r="W520" s="44"/>
      <c r="X520" s="44"/>
      <c r="Y520" s="44"/>
      <c r="Z520" s="44"/>
      <c r="AA520" s="44"/>
      <c r="AB520" s="44"/>
      <c r="AC520" s="44"/>
      <c r="AD520" s="44"/>
      <c r="AE520" s="44"/>
      <c r="AF520" s="44"/>
      <c r="AG520" s="44"/>
      <c r="AH520" s="44"/>
      <c r="AI520" s="44"/>
      <c r="AJ520" s="44"/>
      <c r="AK520" s="44"/>
      <c r="AL520" s="44"/>
      <c r="AM520" s="44"/>
      <c r="AN520" s="44"/>
    </row>
    <row r="521" spans="1:40" ht="16.5" customHeight="1">
      <c r="A521" s="44"/>
      <c r="B521" s="44"/>
      <c r="C521" s="44"/>
      <c r="D521" s="172"/>
      <c r="E521" s="44"/>
      <c r="F521" s="44"/>
      <c r="G521" s="44"/>
      <c r="H521" s="44"/>
      <c r="I521" s="44"/>
      <c r="J521" s="44"/>
      <c r="K521" s="53"/>
      <c r="L521" s="44"/>
      <c r="M521" s="44"/>
      <c r="N521" s="44"/>
      <c r="O521" s="44"/>
      <c r="P521" s="44"/>
      <c r="Q521" s="44"/>
      <c r="R521" s="44"/>
      <c r="S521" s="44"/>
      <c r="T521" s="44"/>
      <c r="U521" s="44"/>
      <c r="V521" s="44"/>
      <c r="W521" s="44"/>
      <c r="X521" s="44"/>
      <c r="Y521" s="44"/>
      <c r="Z521" s="44"/>
      <c r="AA521" s="44"/>
      <c r="AB521" s="44"/>
      <c r="AC521" s="44"/>
      <c r="AD521" s="44"/>
      <c r="AE521" s="44"/>
      <c r="AF521" s="44"/>
      <c r="AG521" s="44"/>
      <c r="AH521" s="44"/>
      <c r="AI521" s="44"/>
      <c r="AJ521" s="44"/>
      <c r="AK521" s="44"/>
      <c r="AL521" s="44"/>
      <c r="AM521" s="44"/>
      <c r="AN521" s="44"/>
    </row>
    <row r="522" spans="1:40" ht="16.5" customHeight="1">
      <c r="A522" s="44"/>
      <c r="B522" s="44"/>
      <c r="C522" s="44"/>
      <c r="D522" s="172"/>
      <c r="E522" s="44"/>
      <c r="F522" s="44"/>
      <c r="G522" s="44"/>
      <c r="H522" s="44"/>
      <c r="I522" s="44"/>
      <c r="J522" s="44"/>
      <c r="K522" s="53"/>
      <c r="L522" s="44"/>
      <c r="M522" s="44"/>
      <c r="N522" s="44"/>
      <c r="O522" s="44"/>
      <c r="P522" s="44"/>
      <c r="Q522" s="44"/>
      <c r="R522" s="44"/>
      <c r="S522" s="44"/>
      <c r="T522" s="44"/>
      <c r="U522" s="44"/>
      <c r="V522" s="44"/>
      <c r="W522" s="44"/>
      <c r="X522" s="44"/>
      <c r="Y522" s="44"/>
      <c r="Z522" s="44"/>
      <c r="AA522" s="44"/>
      <c r="AB522" s="44"/>
      <c r="AC522" s="44"/>
      <c r="AD522" s="44"/>
      <c r="AE522" s="44"/>
      <c r="AF522" s="44"/>
      <c r="AG522" s="44"/>
      <c r="AH522" s="44"/>
      <c r="AI522" s="44"/>
      <c r="AJ522" s="44"/>
      <c r="AK522" s="44"/>
      <c r="AL522" s="44"/>
      <c r="AM522" s="44"/>
      <c r="AN522" s="44"/>
    </row>
    <row r="523" spans="1:40" ht="16.5" customHeight="1">
      <c r="A523" s="44"/>
      <c r="B523" s="44"/>
      <c r="C523" s="44"/>
      <c r="D523" s="172"/>
      <c r="E523" s="44"/>
      <c r="F523" s="44"/>
      <c r="G523" s="44"/>
      <c r="H523" s="44"/>
      <c r="I523" s="44"/>
      <c r="J523" s="44"/>
      <c r="K523" s="53"/>
      <c r="L523" s="44"/>
      <c r="M523" s="44"/>
      <c r="N523" s="44"/>
      <c r="O523" s="44"/>
      <c r="P523" s="44"/>
      <c r="Q523" s="44"/>
      <c r="R523" s="44"/>
      <c r="S523" s="44"/>
      <c r="T523" s="44"/>
      <c r="U523" s="44"/>
      <c r="V523" s="44"/>
      <c r="W523" s="44"/>
      <c r="X523" s="44"/>
      <c r="Y523" s="44"/>
      <c r="Z523" s="44"/>
      <c r="AA523" s="44"/>
      <c r="AB523" s="44"/>
      <c r="AC523" s="44"/>
      <c r="AD523" s="44"/>
      <c r="AE523" s="44"/>
      <c r="AF523" s="44"/>
      <c r="AG523" s="44"/>
      <c r="AH523" s="44"/>
      <c r="AI523" s="44"/>
      <c r="AJ523" s="44"/>
      <c r="AK523" s="44"/>
      <c r="AL523" s="44"/>
      <c r="AM523" s="44"/>
      <c r="AN523" s="44"/>
    </row>
    <row r="524" spans="1:40" ht="16.5" customHeight="1">
      <c r="A524" s="44"/>
      <c r="B524" s="44"/>
      <c r="C524" s="44"/>
      <c r="D524" s="172"/>
      <c r="E524" s="44"/>
      <c r="F524" s="44"/>
      <c r="G524" s="44"/>
      <c r="H524" s="44"/>
      <c r="I524" s="44"/>
      <c r="J524" s="44"/>
      <c r="K524" s="53"/>
      <c r="L524" s="44"/>
      <c r="M524" s="44"/>
      <c r="N524" s="44"/>
      <c r="O524" s="44"/>
      <c r="P524" s="44"/>
      <c r="Q524" s="44"/>
      <c r="R524" s="44"/>
      <c r="S524" s="44"/>
      <c r="T524" s="44"/>
      <c r="U524" s="44"/>
      <c r="V524" s="44"/>
      <c r="W524" s="44"/>
      <c r="X524" s="44"/>
      <c r="Y524" s="44"/>
      <c r="Z524" s="44"/>
      <c r="AA524" s="44"/>
      <c r="AB524" s="44"/>
      <c r="AC524" s="44"/>
      <c r="AD524" s="44"/>
      <c r="AE524" s="44"/>
      <c r="AF524" s="44"/>
      <c r="AG524" s="44"/>
      <c r="AH524" s="44"/>
      <c r="AI524" s="44"/>
      <c r="AJ524" s="44"/>
      <c r="AK524" s="44"/>
      <c r="AL524" s="44"/>
      <c r="AM524" s="44"/>
      <c r="AN524" s="44"/>
    </row>
    <row r="525" spans="1:40" ht="16.5" customHeight="1">
      <c r="A525" s="44"/>
      <c r="B525" s="44"/>
      <c r="C525" s="44"/>
      <c r="D525" s="172"/>
      <c r="E525" s="44"/>
      <c r="F525" s="44"/>
      <c r="G525" s="44"/>
      <c r="H525" s="44"/>
      <c r="I525" s="44"/>
      <c r="J525" s="44"/>
      <c r="K525" s="53"/>
      <c r="L525" s="44"/>
      <c r="M525" s="44"/>
      <c r="N525" s="44"/>
      <c r="O525" s="44"/>
      <c r="P525" s="44"/>
      <c r="Q525" s="44"/>
      <c r="R525" s="44"/>
      <c r="S525" s="44"/>
      <c r="T525" s="44"/>
      <c r="U525" s="44"/>
      <c r="V525" s="44"/>
      <c r="W525" s="44"/>
      <c r="X525" s="44"/>
      <c r="Y525" s="44"/>
      <c r="Z525" s="44"/>
      <c r="AA525" s="44"/>
      <c r="AB525" s="44"/>
      <c r="AC525" s="44"/>
      <c r="AD525" s="44"/>
      <c r="AE525" s="44"/>
      <c r="AF525" s="44"/>
      <c r="AG525" s="44"/>
      <c r="AH525" s="44"/>
      <c r="AI525" s="44"/>
      <c r="AJ525" s="44"/>
      <c r="AK525" s="44"/>
      <c r="AL525" s="44"/>
      <c r="AM525" s="44"/>
      <c r="AN525" s="44"/>
    </row>
    <row r="526" spans="1:40" ht="16.5" customHeight="1">
      <c r="A526" s="44"/>
      <c r="B526" s="44"/>
      <c r="C526" s="44"/>
      <c r="D526" s="172"/>
      <c r="E526" s="44"/>
      <c r="F526" s="44"/>
      <c r="G526" s="44"/>
      <c r="H526" s="44"/>
      <c r="I526" s="44"/>
      <c r="J526" s="44"/>
      <c r="K526" s="53"/>
      <c r="L526" s="44"/>
      <c r="M526" s="44"/>
      <c r="N526" s="44"/>
      <c r="O526" s="44"/>
      <c r="P526" s="44"/>
      <c r="Q526" s="44"/>
      <c r="R526" s="44"/>
      <c r="S526" s="44"/>
      <c r="T526" s="44"/>
      <c r="U526" s="44"/>
      <c r="V526" s="44"/>
      <c r="W526" s="44"/>
      <c r="X526" s="44"/>
      <c r="Y526" s="44"/>
      <c r="Z526" s="44"/>
      <c r="AA526" s="44"/>
      <c r="AB526" s="44"/>
      <c r="AC526" s="44"/>
      <c r="AD526" s="44"/>
      <c r="AE526" s="44"/>
      <c r="AF526" s="44"/>
      <c r="AG526" s="44"/>
      <c r="AH526" s="44"/>
      <c r="AI526" s="44"/>
      <c r="AJ526" s="44"/>
      <c r="AK526" s="44"/>
      <c r="AL526" s="44"/>
      <c r="AM526" s="44"/>
      <c r="AN526" s="44"/>
    </row>
    <row r="527" spans="1:40" ht="16.5" customHeight="1">
      <c r="A527" s="44"/>
      <c r="B527" s="44"/>
      <c r="C527" s="44"/>
      <c r="D527" s="172"/>
      <c r="E527" s="44"/>
      <c r="F527" s="44"/>
      <c r="G527" s="44"/>
      <c r="H527" s="44"/>
      <c r="I527" s="44"/>
      <c r="J527" s="44"/>
      <c r="K527" s="53"/>
      <c r="L527" s="44"/>
      <c r="M527" s="44"/>
      <c r="N527" s="44"/>
      <c r="O527" s="44"/>
      <c r="P527" s="44"/>
      <c r="Q527" s="44"/>
      <c r="R527" s="44"/>
      <c r="S527" s="44"/>
      <c r="T527" s="44"/>
      <c r="U527" s="44"/>
      <c r="V527" s="44"/>
      <c r="W527" s="44"/>
      <c r="X527" s="44"/>
      <c r="Y527" s="44"/>
      <c r="Z527" s="44"/>
      <c r="AA527" s="44"/>
      <c r="AB527" s="44"/>
      <c r="AC527" s="44"/>
      <c r="AD527" s="44"/>
      <c r="AE527" s="44"/>
      <c r="AF527" s="44"/>
      <c r="AG527" s="44"/>
      <c r="AH527" s="44"/>
      <c r="AI527" s="44"/>
      <c r="AJ527" s="44"/>
      <c r="AK527" s="44"/>
      <c r="AL527" s="44"/>
      <c r="AM527" s="44"/>
      <c r="AN527" s="44"/>
    </row>
    <row r="528" spans="1:40" ht="16.5" customHeight="1">
      <c r="A528" s="44"/>
      <c r="B528" s="44"/>
      <c r="C528" s="44"/>
      <c r="D528" s="172"/>
      <c r="E528" s="44"/>
      <c r="F528" s="44"/>
      <c r="G528" s="44"/>
      <c r="H528" s="44"/>
      <c r="I528" s="44"/>
      <c r="J528" s="44"/>
      <c r="K528" s="53"/>
      <c r="L528" s="44"/>
      <c r="M528" s="44"/>
      <c r="N528" s="44"/>
      <c r="O528" s="44"/>
      <c r="P528" s="44"/>
      <c r="Q528" s="44"/>
      <c r="R528" s="44"/>
      <c r="S528" s="44"/>
      <c r="T528" s="44"/>
      <c r="U528" s="44"/>
      <c r="V528" s="44"/>
      <c r="W528" s="44"/>
      <c r="X528" s="44"/>
      <c r="Y528" s="44"/>
      <c r="Z528" s="44"/>
      <c r="AA528" s="44"/>
      <c r="AB528" s="44"/>
      <c r="AC528" s="44"/>
      <c r="AD528" s="44"/>
      <c r="AE528" s="44"/>
      <c r="AF528" s="44"/>
      <c r="AG528" s="44"/>
      <c r="AH528" s="44"/>
      <c r="AI528" s="44"/>
      <c r="AJ528" s="44"/>
      <c r="AK528" s="44"/>
      <c r="AL528" s="44"/>
      <c r="AM528" s="44"/>
      <c r="AN528" s="44"/>
    </row>
    <row r="529" spans="1:40" ht="16.5" customHeight="1">
      <c r="A529" s="44"/>
      <c r="B529" s="44"/>
      <c r="C529" s="44"/>
      <c r="D529" s="172"/>
      <c r="E529" s="44"/>
      <c r="F529" s="44"/>
      <c r="G529" s="44"/>
      <c r="H529" s="44"/>
      <c r="I529" s="44"/>
      <c r="J529" s="44"/>
      <c r="K529" s="53"/>
      <c r="L529" s="44"/>
      <c r="M529" s="44"/>
      <c r="N529" s="44"/>
      <c r="O529" s="44"/>
      <c r="P529" s="44"/>
      <c r="Q529" s="44"/>
      <c r="R529" s="44"/>
      <c r="S529" s="44"/>
      <c r="T529" s="44"/>
      <c r="U529" s="44"/>
      <c r="V529" s="44"/>
      <c r="W529" s="44"/>
      <c r="X529" s="44"/>
      <c r="Y529" s="44"/>
      <c r="Z529" s="44"/>
      <c r="AA529" s="44"/>
      <c r="AB529" s="44"/>
      <c r="AC529" s="44"/>
      <c r="AD529" s="44"/>
      <c r="AE529" s="44"/>
      <c r="AF529" s="44"/>
      <c r="AG529" s="44"/>
      <c r="AH529" s="44"/>
      <c r="AI529" s="44"/>
      <c r="AJ529" s="44"/>
      <c r="AK529" s="44"/>
      <c r="AL529" s="44"/>
      <c r="AM529" s="44"/>
      <c r="AN529" s="44"/>
    </row>
    <row r="530" spans="1:40" ht="16.5" customHeight="1">
      <c r="A530" s="44"/>
      <c r="B530" s="44"/>
      <c r="C530" s="44"/>
      <c r="D530" s="172"/>
      <c r="E530" s="44"/>
      <c r="F530" s="44"/>
      <c r="G530" s="44"/>
      <c r="H530" s="44"/>
      <c r="I530" s="44"/>
      <c r="J530" s="44"/>
      <c r="K530" s="53"/>
      <c r="L530" s="44"/>
      <c r="M530" s="44"/>
      <c r="N530" s="44"/>
      <c r="O530" s="44"/>
      <c r="P530" s="44"/>
      <c r="Q530" s="44"/>
      <c r="R530" s="44"/>
      <c r="S530" s="44"/>
      <c r="T530" s="44"/>
      <c r="U530" s="44"/>
      <c r="V530" s="44"/>
      <c r="W530" s="44"/>
      <c r="X530" s="44"/>
      <c r="Y530" s="44"/>
      <c r="Z530" s="44"/>
      <c r="AA530" s="44"/>
      <c r="AB530" s="44"/>
      <c r="AC530" s="44"/>
      <c r="AD530" s="44"/>
      <c r="AE530" s="44"/>
      <c r="AF530" s="44"/>
      <c r="AG530" s="44"/>
      <c r="AH530" s="44"/>
      <c r="AI530" s="44"/>
      <c r="AJ530" s="44"/>
      <c r="AK530" s="44"/>
      <c r="AL530" s="44"/>
      <c r="AM530" s="44"/>
      <c r="AN530" s="44"/>
    </row>
    <row r="531" spans="1:40" ht="16.5" customHeight="1">
      <c r="A531" s="44"/>
      <c r="B531" s="44"/>
      <c r="C531" s="44"/>
      <c r="D531" s="172"/>
      <c r="E531" s="44"/>
      <c r="F531" s="44"/>
      <c r="G531" s="44"/>
      <c r="H531" s="44"/>
      <c r="I531" s="44"/>
      <c r="J531" s="44"/>
      <c r="K531" s="53"/>
      <c r="L531" s="44"/>
      <c r="M531" s="44"/>
      <c r="N531" s="44"/>
      <c r="O531" s="44"/>
      <c r="P531" s="44"/>
      <c r="Q531" s="44"/>
      <c r="R531" s="44"/>
      <c r="S531" s="44"/>
      <c r="T531" s="44"/>
      <c r="U531" s="44"/>
      <c r="V531" s="44"/>
      <c r="W531" s="44"/>
      <c r="X531" s="44"/>
      <c r="Y531" s="44"/>
      <c r="Z531" s="44"/>
      <c r="AA531" s="44"/>
      <c r="AB531" s="44"/>
      <c r="AC531" s="44"/>
      <c r="AD531" s="44"/>
      <c r="AE531" s="44"/>
      <c r="AF531" s="44"/>
      <c r="AG531" s="44"/>
      <c r="AH531" s="44"/>
      <c r="AI531" s="44"/>
      <c r="AJ531" s="44"/>
      <c r="AK531" s="44"/>
      <c r="AL531" s="44"/>
      <c r="AM531" s="44"/>
      <c r="AN531" s="44"/>
    </row>
    <row r="532" spans="1:40" ht="16.5" customHeight="1">
      <c r="A532" s="44"/>
      <c r="B532" s="44"/>
      <c r="C532" s="44"/>
      <c r="D532" s="172"/>
      <c r="E532" s="44"/>
      <c r="F532" s="44"/>
      <c r="G532" s="44"/>
      <c r="H532" s="44"/>
      <c r="I532" s="44"/>
      <c r="J532" s="44"/>
      <c r="K532" s="53"/>
      <c r="L532" s="44"/>
      <c r="M532" s="44"/>
      <c r="N532" s="44"/>
      <c r="O532" s="44"/>
      <c r="P532" s="44"/>
      <c r="Q532" s="44"/>
      <c r="R532" s="44"/>
      <c r="S532" s="44"/>
      <c r="T532" s="44"/>
      <c r="U532" s="44"/>
      <c r="V532" s="44"/>
      <c r="W532" s="44"/>
      <c r="X532" s="44"/>
      <c r="Y532" s="44"/>
      <c r="Z532" s="44"/>
      <c r="AA532" s="44"/>
      <c r="AB532" s="44"/>
      <c r="AC532" s="44"/>
      <c r="AD532" s="44"/>
      <c r="AE532" s="44"/>
      <c r="AF532" s="44"/>
      <c r="AG532" s="44"/>
      <c r="AH532" s="44"/>
      <c r="AI532" s="44"/>
      <c r="AJ532" s="44"/>
      <c r="AK532" s="44"/>
      <c r="AL532" s="44"/>
      <c r="AM532" s="44"/>
      <c r="AN532" s="44"/>
    </row>
    <row r="533" spans="1:40" ht="16.5" customHeight="1">
      <c r="A533" s="44"/>
      <c r="B533" s="44"/>
      <c r="C533" s="44"/>
      <c r="D533" s="172"/>
      <c r="E533" s="44"/>
      <c r="F533" s="44"/>
      <c r="G533" s="44"/>
      <c r="H533" s="44"/>
      <c r="I533" s="44"/>
      <c r="J533" s="44"/>
      <c r="K533" s="53"/>
      <c r="L533" s="44"/>
      <c r="M533" s="44"/>
      <c r="N533" s="44"/>
      <c r="O533" s="44"/>
      <c r="P533" s="44"/>
      <c r="Q533" s="44"/>
      <c r="R533" s="44"/>
      <c r="S533" s="44"/>
      <c r="T533" s="44"/>
      <c r="U533" s="44"/>
      <c r="V533" s="44"/>
      <c r="W533" s="44"/>
      <c r="X533" s="44"/>
      <c r="Y533" s="44"/>
      <c r="Z533" s="44"/>
      <c r="AA533" s="44"/>
      <c r="AB533" s="44"/>
      <c r="AC533" s="44"/>
      <c r="AD533" s="44"/>
      <c r="AE533" s="44"/>
      <c r="AF533" s="44"/>
      <c r="AG533" s="44"/>
      <c r="AH533" s="44"/>
      <c r="AI533" s="44"/>
      <c r="AJ533" s="44"/>
      <c r="AK533" s="44"/>
      <c r="AL533" s="44"/>
      <c r="AM533" s="44"/>
      <c r="AN533" s="44"/>
    </row>
    <row r="534" spans="1:40" ht="16.5" customHeight="1">
      <c r="A534" s="44"/>
      <c r="B534" s="44"/>
      <c r="C534" s="44"/>
      <c r="D534" s="172"/>
      <c r="E534" s="44"/>
      <c r="F534" s="44"/>
      <c r="G534" s="44"/>
      <c r="H534" s="44"/>
      <c r="I534" s="44"/>
      <c r="J534" s="44"/>
      <c r="K534" s="53"/>
      <c r="L534" s="44"/>
      <c r="M534" s="44"/>
      <c r="N534" s="44"/>
      <c r="O534" s="44"/>
      <c r="P534" s="44"/>
      <c r="Q534" s="44"/>
      <c r="R534" s="44"/>
      <c r="S534" s="44"/>
      <c r="T534" s="44"/>
      <c r="U534" s="44"/>
      <c r="V534" s="44"/>
      <c r="W534" s="44"/>
      <c r="X534" s="44"/>
      <c r="Y534" s="44"/>
      <c r="Z534" s="44"/>
      <c r="AA534" s="44"/>
      <c r="AB534" s="44"/>
      <c r="AC534" s="44"/>
      <c r="AD534" s="44"/>
      <c r="AE534" s="44"/>
      <c r="AF534" s="44"/>
      <c r="AG534" s="44"/>
      <c r="AH534" s="44"/>
      <c r="AI534" s="44"/>
      <c r="AJ534" s="44"/>
      <c r="AK534" s="44"/>
      <c r="AL534" s="44"/>
      <c r="AM534" s="44"/>
      <c r="AN534" s="44"/>
    </row>
    <row r="535" spans="1:40" ht="16.5" customHeight="1">
      <c r="A535" s="44"/>
      <c r="B535" s="44"/>
      <c r="C535" s="44"/>
      <c r="D535" s="172"/>
      <c r="E535" s="44"/>
      <c r="F535" s="44"/>
      <c r="G535" s="44"/>
      <c r="H535" s="44"/>
      <c r="I535" s="44"/>
      <c r="J535" s="44"/>
      <c r="K535" s="53"/>
      <c r="L535" s="44"/>
      <c r="M535" s="44"/>
      <c r="N535" s="44"/>
      <c r="O535" s="44"/>
      <c r="P535" s="44"/>
      <c r="Q535" s="44"/>
      <c r="R535" s="44"/>
      <c r="S535" s="44"/>
      <c r="T535" s="44"/>
      <c r="U535" s="44"/>
      <c r="V535" s="44"/>
      <c r="W535" s="44"/>
      <c r="X535" s="44"/>
      <c r="Y535" s="44"/>
      <c r="Z535" s="44"/>
      <c r="AA535" s="44"/>
      <c r="AB535" s="44"/>
      <c r="AC535" s="44"/>
      <c r="AD535" s="44"/>
      <c r="AE535" s="44"/>
      <c r="AF535" s="44"/>
      <c r="AG535" s="44"/>
      <c r="AH535" s="44"/>
      <c r="AI535" s="44"/>
      <c r="AJ535" s="44"/>
      <c r="AK535" s="44"/>
      <c r="AL535" s="44"/>
      <c r="AM535" s="44"/>
      <c r="AN535" s="44"/>
    </row>
    <row r="536" spans="1:40" ht="16.5" customHeight="1">
      <c r="A536" s="44"/>
      <c r="B536" s="44"/>
      <c r="C536" s="44"/>
      <c r="D536" s="172"/>
      <c r="E536" s="44"/>
      <c r="F536" s="44"/>
      <c r="G536" s="44"/>
      <c r="H536" s="44"/>
      <c r="I536" s="44"/>
      <c r="J536" s="44"/>
      <c r="K536" s="53"/>
      <c r="L536" s="44"/>
      <c r="M536" s="44"/>
      <c r="N536" s="44"/>
      <c r="O536" s="44"/>
      <c r="P536" s="44"/>
      <c r="Q536" s="44"/>
      <c r="R536" s="44"/>
      <c r="S536" s="44"/>
      <c r="T536" s="44"/>
      <c r="U536" s="44"/>
      <c r="V536" s="44"/>
      <c r="W536" s="44"/>
      <c r="X536" s="44"/>
      <c r="Y536" s="44"/>
      <c r="Z536" s="44"/>
      <c r="AA536" s="44"/>
      <c r="AB536" s="44"/>
      <c r="AC536" s="44"/>
      <c r="AD536" s="44"/>
      <c r="AE536" s="44"/>
      <c r="AF536" s="44"/>
      <c r="AG536" s="44"/>
      <c r="AH536" s="44"/>
      <c r="AI536" s="44"/>
      <c r="AJ536" s="44"/>
      <c r="AK536" s="44"/>
      <c r="AL536" s="44"/>
      <c r="AM536" s="44"/>
      <c r="AN536" s="44"/>
    </row>
    <row r="537" spans="1:40" ht="16.5" customHeight="1">
      <c r="A537" s="44"/>
      <c r="B537" s="44"/>
      <c r="C537" s="44"/>
      <c r="D537" s="172"/>
      <c r="E537" s="44"/>
      <c r="F537" s="44"/>
      <c r="G537" s="44"/>
      <c r="H537" s="44"/>
      <c r="I537" s="44"/>
      <c r="J537" s="44"/>
      <c r="K537" s="53"/>
      <c r="L537" s="44"/>
      <c r="M537" s="44"/>
      <c r="N537" s="44"/>
      <c r="O537" s="44"/>
      <c r="P537" s="44"/>
      <c r="Q537" s="44"/>
      <c r="R537" s="44"/>
      <c r="S537" s="44"/>
      <c r="T537" s="44"/>
      <c r="U537" s="44"/>
      <c r="V537" s="44"/>
      <c r="W537" s="44"/>
      <c r="X537" s="44"/>
      <c r="Y537" s="44"/>
      <c r="Z537" s="44"/>
      <c r="AA537" s="44"/>
      <c r="AB537" s="44"/>
      <c r="AC537" s="44"/>
      <c r="AD537" s="44"/>
      <c r="AE537" s="44"/>
      <c r="AF537" s="44"/>
      <c r="AG537" s="44"/>
      <c r="AH537" s="44"/>
      <c r="AI537" s="44"/>
      <c r="AJ537" s="44"/>
      <c r="AK537" s="44"/>
      <c r="AL537" s="44"/>
      <c r="AM537" s="44"/>
      <c r="AN537" s="44"/>
    </row>
    <row r="538" spans="1:40" ht="16.5" customHeight="1">
      <c r="A538" s="44"/>
      <c r="B538" s="44"/>
      <c r="C538" s="44"/>
      <c r="D538" s="172"/>
      <c r="E538" s="44"/>
      <c r="F538" s="44"/>
      <c r="G538" s="44"/>
      <c r="H538" s="44"/>
      <c r="I538" s="44"/>
      <c r="J538" s="44"/>
      <c r="K538" s="53"/>
      <c r="L538" s="44"/>
      <c r="M538" s="44"/>
      <c r="N538" s="44"/>
      <c r="O538" s="44"/>
      <c r="P538" s="44"/>
      <c r="Q538" s="44"/>
      <c r="R538" s="44"/>
      <c r="S538" s="44"/>
      <c r="T538" s="44"/>
      <c r="U538" s="44"/>
      <c r="V538" s="44"/>
      <c r="W538" s="44"/>
      <c r="X538" s="44"/>
      <c r="Y538" s="44"/>
      <c r="Z538" s="44"/>
      <c r="AA538" s="44"/>
      <c r="AB538" s="44"/>
      <c r="AC538" s="44"/>
      <c r="AD538" s="44"/>
      <c r="AE538" s="44"/>
      <c r="AF538" s="44"/>
      <c r="AG538" s="44"/>
      <c r="AH538" s="44"/>
      <c r="AI538" s="44"/>
      <c r="AJ538" s="44"/>
      <c r="AK538" s="44"/>
      <c r="AL538" s="44"/>
      <c r="AM538" s="44"/>
      <c r="AN538" s="44"/>
    </row>
    <row r="539" spans="1:40" ht="16.5" customHeight="1">
      <c r="A539" s="44"/>
      <c r="B539" s="44"/>
      <c r="C539" s="44"/>
      <c r="D539" s="172"/>
      <c r="E539" s="44"/>
      <c r="F539" s="44"/>
      <c r="G539" s="44"/>
      <c r="H539" s="44"/>
      <c r="I539" s="44"/>
      <c r="J539" s="44"/>
      <c r="K539" s="53"/>
      <c r="L539" s="44"/>
      <c r="M539" s="44"/>
      <c r="N539" s="44"/>
      <c r="O539" s="44"/>
      <c r="P539" s="44"/>
      <c r="Q539" s="44"/>
      <c r="R539" s="44"/>
      <c r="S539" s="44"/>
      <c r="T539" s="44"/>
      <c r="U539" s="44"/>
      <c r="V539" s="44"/>
      <c r="W539" s="44"/>
      <c r="X539" s="44"/>
      <c r="Y539" s="44"/>
      <c r="Z539" s="44"/>
      <c r="AA539" s="44"/>
      <c r="AB539" s="44"/>
      <c r="AC539" s="44"/>
      <c r="AD539" s="44"/>
      <c r="AE539" s="44"/>
      <c r="AF539" s="44"/>
      <c r="AG539" s="44"/>
      <c r="AH539" s="44"/>
      <c r="AI539" s="44"/>
      <c r="AJ539" s="44"/>
      <c r="AK539" s="44"/>
      <c r="AL539" s="44"/>
      <c r="AM539" s="44"/>
      <c r="AN539" s="44"/>
    </row>
    <row r="540" spans="1:40" ht="16.5" customHeight="1">
      <c r="A540" s="44"/>
      <c r="B540" s="44"/>
      <c r="C540" s="44"/>
      <c r="D540" s="172"/>
      <c r="E540" s="44"/>
      <c r="F540" s="44"/>
      <c r="G540" s="44"/>
      <c r="H540" s="44"/>
      <c r="I540" s="44"/>
      <c r="J540" s="44"/>
      <c r="K540" s="53"/>
      <c r="L540" s="44"/>
      <c r="M540" s="44"/>
      <c r="N540" s="44"/>
      <c r="O540" s="44"/>
      <c r="P540" s="44"/>
      <c r="Q540" s="44"/>
      <c r="R540" s="44"/>
      <c r="S540" s="44"/>
      <c r="T540" s="44"/>
      <c r="U540" s="44"/>
      <c r="V540" s="44"/>
      <c r="W540" s="44"/>
      <c r="X540" s="44"/>
      <c r="Y540" s="44"/>
      <c r="Z540" s="44"/>
      <c r="AA540" s="44"/>
      <c r="AB540" s="44"/>
      <c r="AC540" s="44"/>
      <c r="AD540" s="44"/>
      <c r="AE540" s="44"/>
      <c r="AF540" s="44"/>
      <c r="AG540" s="44"/>
      <c r="AH540" s="44"/>
      <c r="AI540" s="44"/>
      <c r="AJ540" s="44"/>
      <c r="AK540" s="44"/>
      <c r="AL540" s="44"/>
      <c r="AM540" s="44"/>
      <c r="AN540" s="44"/>
    </row>
    <row r="541" spans="1:40" ht="16.5" customHeight="1">
      <c r="A541" s="44"/>
      <c r="B541" s="44"/>
      <c r="C541" s="44"/>
      <c r="D541" s="172"/>
      <c r="E541" s="44"/>
      <c r="F541" s="44"/>
      <c r="G541" s="44"/>
      <c r="H541" s="44"/>
      <c r="I541" s="44"/>
      <c r="J541" s="44"/>
      <c r="K541" s="53"/>
      <c r="L541" s="44"/>
      <c r="M541" s="44"/>
      <c r="N541" s="44"/>
      <c r="O541" s="44"/>
      <c r="P541" s="44"/>
      <c r="Q541" s="44"/>
      <c r="R541" s="44"/>
      <c r="S541" s="44"/>
      <c r="T541" s="44"/>
      <c r="U541" s="44"/>
      <c r="V541" s="44"/>
      <c r="W541" s="44"/>
      <c r="X541" s="44"/>
      <c r="Y541" s="44"/>
      <c r="Z541" s="44"/>
      <c r="AA541" s="44"/>
      <c r="AB541" s="44"/>
      <c r="AC541" s="44"/>
      <c r="AD541" s="44"/>
      <c r="AE541" s="44"/>
      <c r="AF541" s="44"/>
      <c r="AG541" s="44"/>
      <c r="AH541" s="44"/>
      <c r="AI541" s="44"/>
      <c r="AJ541" s="44"/>
      <c r="AK541" s="44"/>
      <c r="AL541" s="44"/>
      <c r="AM541" s="44"/>
      <c r="AN541" s="44"/>
    </row>
    <row r="542" spans="1:40" ht="16.5" customHeight="1">
      <c r="A542" s="44"/>
      <c r="B542" s="44"/>
      <c r="C542" s="44"/>
      <c r="D542" s="172"/>
      <c r="E542" s="44"/>
      <c r="F542" s="44"/>
      <c r="G542" s="44"/>
      <c r="H542" s="44"/>
      <c r="I542" s="44"/>
      <c r="J542" s="44"/>
      <c r="K542" s="53"/>
      <c r="L542" s="44"/>
      <c r="M542" s="44"/>
      <c r="N542" s="44"/>
      <c r="O542" s="44"/>
      <c r="P542" s="44"/>
      <c r="Q542" s="44"/>
      <c r="R542" s="44"/>
      <c r="S542" s="44"/>
      <c r="T542" s="44"/>
      <c r="U542" s="44"/>
      <c r="V542" s="44"/>
      <c r="W542" s="44"/>
      <c r="X542" s="44"/>
      <c r="Y542" s="44"/>
      <c r="Z542" s="44"/>
      <c r="AA542" s="44"/>
      <c r="AB542" s="44"/>
      <c r="AC542" s="44"/>
      <c r="AD542" s="44"/>
      <c r="AE542" s="44"/>
      <c r="AF542" s="44"/>
      <c r="AG542" s="44"/>
      <c r="AH542" s="44"/>
      <c r="AI542" s="44"/>
      <c r="AJ542" s="44"/>
      <c r="AK542" s="44"/>
      <c r="AL542" s="44"/>
      <c r="AM542" s="44"/>
      <c r="AN542" s="44"/>
    </row>
    <row r="543" spans="1:40" ht="16.5" customHeight="1">
      <c r="A543" s="44"/>
      <c r="B543" s="44"/>
      <c r="C543" s="44"/>
      <c r="D543" s="172"/>
      <c r="E543" s="44"/>
      <c r="F543" s="44"/>
      <c r="G543" s="44"/>
      <c r="H543" s="44"/>
      <c r="I543" s="44"/>
      <c r="J543" s="44"/>
      <c r="K543" s="53"/>
      <c r="L543" s="44"/>
      <c r="M543" s="44"/>
      <c r="N543" s="44"/>
      <c r="O543" s="44"/>
      <c r="P543" s="44"/>
      <c r="Q543" s="44"/>
      <c r="R543" s="44"/>
      <c r="S543" s="44"/>
      <c r="T543" s="44"/>
      <c r="U543" s="44"/>
      <c r="V543" s="44"/>
      <c r="W543" s="44"/>
      <c r="X543" s="44"/>
      <c r="Y543" s="44"/>
      <c r="Z543" s="44"/>
      <c r="AA543" s="44"/>
      <c r="AB543" s="44"/>
      <c r="AC543" s="44"/>
      <c r="AD543" s="44"/>
      <c r="AE543" s="44"/>
      <c r="AF543" s="44"/>
      <c r="AG543" s="44"/>
      <c r="AH543" s="44"/>
      <c r="AI543" s="44"/>
      <c r="AJ543" s="44"/>
      <c r="AK543" s="44"/>
      <c r="AL543" s="44"/>
      <c r="AM543" s="44"/>
      <c r="AN543" s="44"/>
    </row>
    <row r="544" spans="1:40" ht="16.5" customHeight="1">
      <c r="A544" s="44"/>
      <c r="B544" s="44"/>
      <c r="C544" s="44"/>
      <c r="D544" s="172"/>
      <c r="E544" s="44"/>
      <c r="F544" s="44"/>
      <c r="G544" s="44"/>
      <c r="H544" s="44"/>
      <c r="I544" s="44"/>
      <c r="J544" s="44"/>
      <c r="K544" s="53"/>
      <c r="L544" s="44"/>
      <c r="M544" s="44"/>
      <c r="N544" s="44"/>
      <c r="O544" s="44"/>
      <c r="P544" s="44"/>
      <c r="Q544" s="44"/>
      <c r="R544" s="44"/>
      <c r="S544" s="44"/>
      <c r="T544" s="44"/>
      <c r="U544" s="44"/>
      <c r="V544" s="44"/>
      <c r="W544" s="44"/>
      <c r="X544" s="44"/>
      <c r="Y544" s="44"/>
      <c r="Z544" s="44"/>
      <c r="AA544" s="44"/>
      <c r="AB544" s="44"/>
      <c r="AC544" s="44"/>
      <c r="AD544" s="44"/>
      <c r="AE544" s="44"/>
      <c r="AF544" s="44"/>
      <c r="AG544" s="44"/>
      <c r="AH544" s="44"/>
      <c r="AI544" s="44"/>
      <c r="AJ544" s="44"/>
      <c r="AK544" s="44"/>
      <c r="AL544" s="44"/>
      <c r="AM544" s="44"/>
      <c r="AN544" s="44"/>
    </row>
    <row r="545" spans="1:40" ht="16.5" customHeight="1">
      <c r="A545" s="44"/>
      <c r="B545" s="44"/>
      <c r="C545" s="44"/>
      <c r="D545" s="172"/>
      <c r="E545" s="44"/>
      <c r="F545" s="44"/>
      <c r="G545" s="44"/>
      <c r="H545" s="44"/>
      <c r="I545" s="44"/>
      <c r="J545" s="44"/>
      <c r="K545" s="53"/>
      <c r="L545" s="44"/>
      <c r="M545" s="44"/>
      <c r="N545" s="44"/>
      <c r="O545" s="44"/>
      <c r="P545" s="44"/>
      <c r="Q545" s="44"/>
      <c r="R545" s="44"/>
      <c r="S545" s="44"/>
      <c r="T545" s="44"/>
      <c r="U545" s="44"/>
      <c r="V545" s="44"/>
      <c r="W545" s="44"/>
      <c r="X545" s="44"/>
      <c r="Y545" s="44"/>
      <c r="Z545" s="44"/>
      <c r="AA545" s="44"/>
      <c r="AB545" s="44"/>
      <c r="AC545" s="44"/>
      <c r="AD545" s="44"/>
      <c r="AE545" s="44"/>
      <c r="AF545" s="44"/>
      <c r="AG545" s="44"/>
      <c r="AH545" s="44"/>
      <c r="AI545" s="44"/>
      <c r="AJ545" s="44"/>
      <c r="AK545" s="44"/>
      <c r="AL545" s="44"/>
      <c r="AM545" s="44"/>
      <c r="AN545" s="44"/>
    </row>
    <row r="546" spans="1:40" ht="16.5" customHeight="1">
      <c r="A546" s="44"/>
      <c r="B546" s="44"/>
      <c r="C546" s="44"/>
      <c r="D546" s="172"/>
      <c r="E546" s="44"/>
      <c r="F546" s="44"/>
      <c r="G546" s="44"/>
      <c r="H546" s="44"/>
      <c r="I546" s="44"/>
      <c r="J546" s="44"/>
      <c r="K546" s="53"/>
      <c r="L546" s="44"/>
      <c r="M546" s="44"/>
      <c r="N546" s="44"/>
      <c r="O546" s="44"/>
      <c r="P546" s="44"/>
      <c r="Q546" s="44"/>
      <c r="R546" s="44"/>
      <c r="S546" s="44"/>
      <c r="T546" s="44"/>
      <c r="U546" s="44"/>
      <c r="V546" s="44"/>
      <c r="W546" s="44"/>
      <c r="X546" s="44"/>
      <c r="Y546" s="44"/>
      <c r="Z546" s="44"/>
      <c r="AA546" s="44"/>
      <c r="AB546" s="44"/>
      <c r="AC546" s="44"/>
      <c r="AD546" s="44"/>
      <c r="AE546" s="44"/>
      <c r="AF546" s="44"/>
      <c r="AG546" s="44"/>
      <c r="AH546" s="44"/>
      <c r="AI546" s="44"/>
      <c r="AJ546" s="44"/>
      <c r="AK546" s="44"/>
      <c r="AL546" s="44"/>
      <c r="AM546" s="44"/>
      <c r="AN546" s="44"/>
    </row>
    <row r="547" spans="1:40" ht="16.5" customHeight="1">
      <c r="A547" s="44"/>
      <c r="B547" s="44"/>
      <c r="C547" s="44"/>
      <c r="D547" s="172"/>
      <c r="E547" s="44"/>
      <c r="F547" s="44"/>
      <c r="G547" s="44"/>
      <c r="H547" s="44"/>
      <c r="I547" s="44"/>
      <c r="J547" s="44"/>
      <c r="K547" s="53"/>
      <c r="L547" s="44"/>
      <c r="M547" s="44"/>
      <c r="N547" s="44"/>
      <c r="O547" s="44"/>
      <c r="P547" s="44"/>
      <c r="Q547" s="44"/>
      <c r="R547" s="44"/>
      <c r="S547" s="44"/>
      <c r="T547" s="44"/>
      <c r="U547" s="44"/>
      <c r="V547" s="44"/>
      <c r="W547" s="44"/>
      <c r="X547" s="44"/>
      <c r="Y547" s="44"/>
      <c r="Z547" s="44"/>
      <c r="AA547" s="44"/>
      <c r="AB547" s="44"/>
      <c r="AC547" s="44"/>
      <c r="AD547" s="44"/>
      <c r="AE547" s="44"/>
      <c r="AF547" s="44"/>
      <c r="AG547" s="44"/>
      <c r="AH547" s="44"/>
      <c r="AI547" s="44"/>
      <c r="AJ547" s="44"/>
      <c r="AK547" s="44"/>
      <c r="AL547" s="44"/>
      <c r="AM547" s="44"/>
      <c r="AN547" s="44"/>
    </row>
    <row r="548" spans="1:40" ht="16.5" customHeight="1">
      <c r="A548" s="44"/>
      <c r="B548" s="44"/>
      <c r="C548" s="44"/>
      <c r="D548" s="172"/>
      <c r="E548" s="44"/>
      <c r="F548" s="44"/>
      <c r="G548" s="44"/>
      <c r="H548" s="44"/>
      <c r="I548" s="44"/>
      <c r="J548" s="44"/>
      <c r="K548" s="53"/>
      <c r="L548" s="44"/>
      <c r="M548" s="44"/>
      <c r="N548" s="44"/>
      <c r="O548" s="44"/>
      <c r="P548" s="44"/>
      <c r="Q548" s="44"/>
      <c r="R548" s="44"/>
      <c r="S548" s="44"/>
      <c r="T548" s="44"/>
      <c r="U548" s="44"/>
      <c r="V548" s="44"/>
      <c r="W548" s="44"/>
      <c r="X548" s="44"/>
      <c r="Y548" s="44"/>
      <c r="Z548" s="44"/>
      <c r="AA548" s="44"/>
      <c r="AB548" s="44"/>
      <c r="AC548" s="44"/>
      <c r="AD548" s="44"/>
      <c r="AE548" s="44"/>
      <c r="AF548" s="44"/>
      <c r="AG548" s="44"/>
      <c r="AH548" s="44"/>
      <c r="AI548" s="44"/>
      <c r="AJ548" s="44"/>
      <c r="AK548" s="44"/>
      <c r="AL548" s="44"/>
      <c r="AM548" s="44"/>
      <c r="AN548" s="44"/>
    </row>
    <row r="549" spans="1:40" ht="16.5" customHeight="1">
      <c r="A549" s="44"/>
      <c r="B549" s="44"/>
      <c r="C549" s="44"/>
      <c r="D549" s="172"/>
      <c r="E549" s="44"/>
      <c r="F549" s="44"/>
      <c r="G549" s="44"/>
      <c r="H549" s="44"/>
      <c r="I549" s="44"/>
      <c r="J549" s="44"/>
      <c r="K549" s="53"/>
      <c r="L549" s="44"/>
      <c r="M549" s="44"/>
      <c r="N549" s="44"/>
      <c r="O549" s="44"/>
      <c r="P549" s="44"/>
      <c r="Q549" s="44"/>
      <c r="R549" s="44"/>
      <c r="S549" s="44"/>
      <c r="T549" s="44"/>
      <c r="U549" s="44"/>
      <c r="V549" s="44"/>
      <c r="W549" s="44"/>
      <c r="X549" s="44"/>
      <c r="Y549" s="44"/>
      <c r="Z549" s="44"/>
      <c r="AA549" s="44"/>
      <c r="AB549" s="44"/>
      <c r="AC549" s="44"/>
      <c r="AD549" s="44"/>
      <c r="AE549" s="44"/>
      <c r="AF549" s="44"/>
      <c r="AG549" s="44"/>
      <c r="AH549" s="44"/>
      <c r="AI549" s="44"/>
      <c r="AJ549" s="44"/>
      <c r="AK549" s="44"/>
      <c r="AL549" s="44"/>
      <c r="AM549" s="44"/>
      <c r="AN549" s="44"/>
    </row>
    <row r="550" spans="1:40" ht="16.5" customHeight="1">
      <c r="A550" s="44"/>
      <c r="B550" s="44"/>
      <c r="C550" s="44"/>
      <c r="D550" s="172"/>
      <c r="E550" s="44"/>
      <c r="F550" s="44"/>
      <c r="G550" s="44"/>
      <c r="H550" s="44"/>
      <c r="I550" s="44"/>
      <c r="J550" s="44"/>
      <c r="K550" s="53"/>
      <c r="L550" s="44"/>
      <c r="M550" s="44"/>
      <c r="N550" s="44"/>
      <c r="O550" s="44"/>
      <c r="P550" s="44"/>
      <c r="Q550" s="44"/>
      <c r="R550" s="44"/>
      <c r="S550" s="44"/>
      <c r="T550" s="44"/>
      <c r="U550" s="44"/>
      <c r="V550" s="44"/>
      <c r="W550" s="44"/>
      <c r="X550" s="44"/>
      <c r="Y550" s="44"/>
      <c r="Z550" s="44"/>
      <c r="AA550" s="44"/>
      <c r="AB550" s="44"/>
      <c r="AC550" s="44"/>
      <c r="AD550" s="44"/>
      <c r="AE550" s="44"/>
      <c r="AF550" s="44"/>
      <c r="AG550" s="44"/>
      <c r="AH550" s="44"/>
      <c r="AI550" s="44"/>
      <c r="AJ550" s="44"/>
      <c r="AK550" s="44"/>
      <c r="AL550" s="44"/>
      <c r="AM550" s="44"/>
      <c r="AN550" s="44"/>
    </row>
    <row r="551" spans="1:40" ht="16.5" customHeight="1">
      <c r="A551" s="44"/>
      <c r="B551" s="44"/>
      <c r="C551" s="44"/>
      <c r="D551" s="172"/>
      <c r="E551" s="44"/>
      <c r="F551" s="44"/>
      <c r="G551" s="44"/>
      <c r="H551" s="44"/>
      <c r="I551" s="44"/>
      <c r="J551" s="44"/>
      <c r="K551" s="53"/>
      <c r="L551" s="44"/>
      <c r="M551" s="44"/>
      <c r="N551" s="44"/>
      <c r="O551" s="44"/>
      <c r="P551" s="44"/>
      <c r="Q551" s="44"/>
      <c r="R551" s="44"/>
      <c r="S551" s="44"/>
      <c r="T551" s="44"/>
      <c r="U551" s="44"/>
      <c r="V551" s="44"/>
      <c r="W551" s="44"/>
      <c r="X551" s="44"/>
      <c r="Y551" s="44"/>
      <c r="Z551" s="44"/>
      <c r="AA551" s="44"/>
      <c r="AB551" s="44"/>
      <c r="AC551" s="44"/>
      <c r="AD551" s="44"/>
      <c r="AE551" s="44"/>
      <c r="AF551" s="44"/>
      <c r="AG551" s="44"/>
      <c r="AH551" s="44"/>
      <c r="AI551" s="44"/>
      <c r="AJ551" s="44"/>
      <c r="AK551" s="44"/>
      <c r="AL551" s="44"/>
      <c r="AM551" s="44"/>
      <c r="AN551" s="44"/>
    </row>
    <row r="552" spans="1:40" ht="16.5" customHeight="1">
      <c r="A552" s="44"/>
      <c r="B552" s="44"/>
      <c r="C552" s="44"/>
      <c r="D552" s="172"/>
      <c r="E552" s="44"/>
      <c r="F552" s="44"/>
      <c r="G552" s="44"/>
      <c r="H552" s="44"/>
      <c r="I552" s="44"/>
      <c r="J552" s="44"/>
      <c r="K552" s="53"/>
      <c r="L552" s="44"/>
      <c r="M552" s="44"/>
      <c r="N552" s="44"/>
      <c r="O552" s="44"/>
      <c r="P552" s="44"/>
      <c r="Q552" s="44"/>
      <c r="R552" s="44"/>
      <c r="S552" s="44"/>
      <c r="T552" s="44"/>
      <c r="U552" s="44"/>
      <c r="V552" s="44"/>
      <c r="W552" s="44"/>
      <c r="X552" s="44"/>
      <c r="Y552" s="44"/>
      <c r="Z552" s="44"/>
      <c r="AA552" s="44"/>
      <c r="AB552" s="44"/>
      <c r="AC552" s="44"/>
      <c r="AD552" s="44"/>
      <c r="AE552" s="44"/>
      <c r="AF552" s="44"/>
      <c r="AG552" s="44"/>
      <c r="AH552" s="44"/>
      <c r="AI552" s="44"/>
      <c r="AJ552" s="44"/>
      <c r="AK552" s="44"/>
      <c r="AL552" s="44"/>
      <c r="AM552" s="44"/>
      <c r="AN552" s="44"/>
    </row>
    <row r="553" spans="1:40" ht="16.5" customHeight="1">
      <c r="A553" s="44"/>
      <c r="B553" s="44"/>
      <c r="C553" s="44"/>
      <c r="D553" s="172"/>
      <c r="E553" s="44"/>
      <c r="F553" s="44"/>
      <c r="G553" s="44"/>
      <c r="H553" s="44"/>
      <c r="I553" s="44"/>
      <c r="J553" s="44"/>
      <c r="K553" s="53"/>
      <c r="L553" s="44"/>
      <c r="M553" s="44"/>
      <c r="N553" s="44"/>
      <c r="O553" s="44"/>
      <c r="P553" s="44"/>
      <c r="Q553" s="44"/>
      <c r="R553" s="44"/>
      <c r="S553" s="44"/>
      <c r="T553" s="44"/>
      <c r="U553" s="44"/>
      <c r="V553" s="44"/>
      <c r="W553" s="44"/>
      <c r="X553" s="44"/>
      <c r="Y553" s="44"/>
      <c r="Z553" s="44"/>
      <c r="AA553" s="44"/>
      <c r="AB553" s="44"/>
      <c r="AC553" s="44"/>
      <c r="AD553" s="44"/>
      <c r="AE553" s="44"/>
      <c r="AF553" s="44"/>
      <c r="AG553" s="44"/>
      <c r="AH553" s="44"/>
      <c r="AI553" s="44"/>
      <c r="AJ553" s="44"/>
      <c r="AK553" s="44"/>
      <c r="AL553" s="44"/>
      <c r="AM553" s="44"/>
      <c r="AN553" s="44"/>
    </row>
    <row r="554" spans="1:40" ht="16.5" customHeight="1">
      <c r="A554" s="44"/>
      <c r="B554" s="44"/>
      <c r="C554" s="44"/>
      <c r="D554" s="172"/>
      <c r="E554" s="44"/>
      <c r="F554" s="44"/>
      <c r="G554" s="44"/>
      <c r="H554" s="44"/>
      <c r="I554" s="44"/>
      <c r="J554" s="44"/>
      <c r="K554" s="53"/>
      <c r="L554" s="44"/>
      <c r="M554" s="44"/>
      <c r="N554" s="44"/>
      <c r="O554" s="44"/>
      <c r="P554" s="44"/>
      <c r="Q554" s="44"/>
      <c r="R554" s="44"/>
      <c r="S554" s="44"/>
      <c r="T554" s="44"/>
      <c r="U554" s="44"/>
      <c r="V554" s="44"/>
      <c r="W554" s="44"/>
      <c r="X554" s="44"/>
      <c r="Y554" s="44"/>
      <c r="Z554" s="44"/>
      <c r="AA554" s="44"/>
      <c r="AB554" s="44"/>
      <c r="AC554" s="44"/>
      <c r="AD554" s="44"/>
      <c r="AE554" s="44"/>
      <c r="AF554" s="44"/>
      <c r="AG554" s="44"/>
      <c r="AH554" s="44"/>
      <c r="AI554" s="44"/>
      <c r="AJ554" s="44"/>
      <c r="AK554" s="44"/>
      <c r="AL554" s="44"/>
      <c r="AM554" s="44"/>
      <c r="AN554" s="44"/>
    </row>
    <row r="555" spans="1:40" ht="16.5" customHeight="1">
      <c r="A555" s="44"/>
      <c r="B555" s="44"/>
      <c r="C555" s="44"/>
      <c r="D555" s="172"/>
      <c r="E555" s="44"/>
      <c r="F555" s="44"/>
      <c r="G555" s="44"/>
      <c r="H555" s="44"/>
      <c r="I555" s="44"/>
      <c r="J555" s="44"/>
      <c r="K555" s="53"/>
      <c r="L555" s="44"/>
      <c r="M555" s="44"/>
      <c r="N555" s="44"/>
      <c r="O555" s="44"/>
      <c r="P555" s="44"/>
      <c r="Q555" s="44"/>
      <c r="R555" s="44"/>
      <c r="S555" s="44"/>
      <c r="T555" s="44"/>
      <c r="U555" s="44"/>
      <c r="V555" s="44"/>
      <c r="W555" s="44"/>
      <c r="X555" s="44"/>
      <c r="Y555" s="44"/>
      <c r="Z555" s="44"/>
      <c r="AA555" s="44"/>
      <c r="AB555" s="44"/>
      <c r="AC555" s="44"/>
      <c r="AD555" s="44"/>
      <c r="AE555" s="44"/>
      <c r="AF555" s="44"/>
      <c r="AG555" s="44"/>
      <c r="AH555" s="44"/>
      <c r="AI555" s="44"/>
      <c r="AJ555" s="44"/>
      <c r="AK555" s="44"/>
      <c r="AL555" s="44"/>
      <c r="AM555" s="44"/>
      <c r="AN555" s="44"/>
    </row>
    <row r="556" spans="1:40" ht="16.5" customHeight="1">
      <c r="A556" s="44"/>
      <c r="B556" s="44"/>
      <c r="C556" s="44"/>
      <c r="D556" s="172"/>
      <c r="E556" s="44"/>
      <c r="F556" s="44"/>
      <c r="G556" s="44"/>
      <c r="H556" s="44"/>
      <c r="I556" s="44"/>
      <c r="J556" s="44"/>
      <c r="K556" s="53"/>
      <c r="L556" s="44"/>
      <c r="M556" s="44"/>
      <c r="N556" s="44"/>
      <c r="O556" s="44"/>
      <c r="P556" s="44"/>
      <c r="Q556" s="44"/>
      <c r="R556" s="44"/>
      <c r="S556" s="44"/>
      <c r="T556" s="44"/>
      <c r="U556" s="44"/>
      <c r="V556" s="44"/>
      <c r="W556" s="44"/>
      <c r="X556" s="44"/>
      <c r="Y556" s="44"/>
      <c r="Z556" s="44"/>
      <c r="AA556" s="44"/>
      <c r="AB556" s="44"/>
      <c r="AC556" s="44"/>
      <c r="AD556" s="44"/>
      <c r="AE556" s="44"/>
      <c r="AF556" s="44"/>
      <c r="AG556" s="44"/>
      <c r="AH556" s="44"/>
      <c r="AI556" s="44"/>
      <c r="AJ556" s="44"/>
      <c r="AK556" s="44"/>
      <c r="AL556" s="44"/>
      <c r="AM556" s="44"/>
      <c r="AN556" s="44"/>
    </row>
    <row r="557" spans="1:40" ht="16.5" customHeight="1">
      <c r="A557" s="44"/>
      <c r="B557" s="44"/>
      <c r="C557" s="44"/>
      <c r="D557" s="172"/>
      <c r="E557" s="44"/>
      <c r="F557" s="44"/>
      <c r="G557" s="44"/>
      <c r="H557" s="44"/>
      <c r="I557" s="44"/>
      <c r="J557" s="44"/>
      <c r="K557" s="53"/>
      <c r="L557" s="44"/>
      <c r="M557" s="44"/>
      <c r="N557" s="44"/>
      <c r="O557" s="44"/>
      <c r="P557" s="44"/>
      <c r="Q557" s="44"/>
      <c r="R557" s="44"/>
      <c r="S557" s="44"/>
      <c r="T557" s="44"/>
      <c r="U557" s="44"/>
      <c r="V557" s="44"/>
      <c r="W557" s="44"/>
      <c r="X557" s="44"/>
      <c r="Y557" s="44"/>
      <c r="Z557" s="44"/>
      <c r="AA557" s="44"/>
      <c r="AB557" s="44"/>
      <c r="AC557" s="44"/>
      <c r="AD557" s="44"/>
      <c r="AE557" s="44"/>
      <c r="AF557" s="44"/>
      <c r="AG557" s="44"/>
      <c r="AH557" s="44"/>
      <c r="AI557" s="44"/>
      <c r="AJ557" s="44"/>
      <c r="AK557" s="44"/>
      <c r="AL557" s="44"/>
      <c r="AM557" s="44"/>
      <c r="AN557" s="44"/>
    </row>
    <row r="558" spans="1:40" ht="16.5" customHeight="1">
      <c r="A558" s="44"/>
      <c r="B558" s="44"/>
      <c r="C558" s="44"/>
      <c r="D558" s="172"/>
      <c r="E558" s="44"/>
      <c r="F558" s="44"/>
      <c r="G558" s="44"/>
      <c r="H558" s="44"/>
      <c r="I558" s="44"/>
      <c r="J558" s="44"/>
      <c r="K558" s="53"/>
      <c r="L558" s="44"/>
      <c r="M558" s="44"/>
      <c r="N558" s="44"/>
      <c r="O558" s="44"/>
      <c r="P558" s="44"/>
      <c r="Q558" s="44"/>
      <c r="R558" s="44"/>
      <c r="S558" s="44"/>
      <c r="T558" s="44"/>
      <c r="U558" s="44"/>
      <c r="V558" s="44"/>
      <c r="W558" s="44"/>
      <c r="X558" s="44"/>
      <c r="Y558" s="44"/>
      <c r="Z558" s="44"/>
      <c r="AA558" s="44"/>
      <c r="AB558" s="44"/>
      <c r="AC558" s="44"/>
      <c r="AD558" s="44"/>
      <c r="AE558" s="44"/>
      <c r="AF558" s="44"/>
      <c r="AG558" s="44"/>
      <c r="AH558" s="44"/>
      <c r="AI558" s="44"/>
      <c r="AJ558" s="44"/>
      <c r="AK558" s="44"/>
      <c r="AL558" s="44"/>
      <c r="AM558" s="44"/>
      <c r="AN558" s="44"/>
    </row>
    <row r="559" spans="1:40" ht="16.5" customHeight="1">
      <c r="A559" s="44"/>
      <c r="B559" s="44"/>
      <c r="C559" s="44"/>
      <c r="D559" s="172"/>
      <c r="E559" s="44"/>
      <c r="F559" s="44"/>
      <c r="G559" s="44"/>
      <c r="H559" s="44"/>
      <c r="I559" s="44"/>
      <c r="J559" s="44"/>
      <c r="K559" s="53"/>
      <c r="L559" s="44"/>
      <c r="M559" s="44"/>
      <c r="N559" s="44"/>
      <c r="O559" s="44"/>
      <c r="P559" s="44"/>
      <c r="Q559" s="44"/>
      <c r="R559" s="44"/>
      <c r="S559" s="44"/>
      <c r="T559" s="44"/>
      <c r="U559" s="44"/>
      <c r="V559" s="44"/>
      <c r="W559" s="44"/>
      <c r="X559" s="44"/>
      <c r="Y559" s="44"/>
      <c r="Z559" s="44"/>
      <c r="AA559" s="44"/>
      <c r="AB559" s="44"/>
      <c r="AC559" s="44"/>
      <c r="AD559" s="44"/>
      <c r="AE559" s="44"/>
      <c r="AF559" s="44"/>
      <c r="AG559" s="44"/>
      <c r="AH559" s="44"/>
      <c r="AI559" s="44"/>
      <c r="AJ559" s="44"/>
      <c r="AK559" s="44"/>
      <c r="AL559" s="44"/>
      <c r="AM559" s="44"/>
      <c r="AN559" s="44"/>
    </row>
    <row r="560" spans="1:40" ht="16.5" customHeight="1">
      <c r="A560" s="44"/>
      <c r="B560" s="44"/>
      <c r="C560" s="44"/>
      <c r="D560" s="172"/>
      <c r="E560" s="44"/>
      <c r="F560" s="44"/>
      <c r="G560" s="44"/>
      <c r="H560" s="44"/>
      <c r="I560" s="44"/>
      <c r="J560" s="44"/>
      <c r="K560" s="53"/>
      <c r="L560" s="44"/>
      <c r="M560" s="44"/>
      <c r="N560" s="44"/>
      <c r="O560" s="44"/>
      <c r="P560" s="44"/>
      <c r="Q560" s="44"/>
      <c r="R560" s="44"/>
      <c r="S560" s="44"/>
      <c r="T560" s="44"/>
      <c r="U560" s="44"/>
      <c r="V560" s="44"/>
      <c r="W560" s="44"/>
      <c r="X560" s="44"/>
      <c r="Y560" s="44"/>
      <c r="Z560" s="44"/>
      <c r="AA560" s="44"/>
      <c r="AB560" s="44"/>
      <c r="AC560" s="44"/>
      <c r="AD560" s="44"/>
      <c r="AE560" s="44"/>
      <c r="AF560" s="44"/>
      <c r="AG560" s="44"/>
      <c r="AH560" s="44"/>
      <c r="AI560" s="44"/>
      <c r="AJ560" s="44"/>
      <c r="AK560" s="44"/>
      <c r="AL560" s="44"/>
      <c r="AM560" s="44"/>
      <c r="AN560" s="44"/>
    </row>
    <row r="561" spans="1:40" ht="16.5" customHeight="1">
      <c r="A561" s="44"/>
      <c r="B561" s="44"/>
      <c r="C561" s="44"/>
      <c r="D561" s="172"/>
      <c r="E561" s="44"/>
      <c r="F561" s="44"/>
      <c r="G561" s="44"/>
      <c r="H561" s="44"/>
      <c r="I561" s="44"/>
      <c r="J561" s="44"/>
      <c r="K561" s="53"/>
      <c r="L561" s="44"/>
      <c r="M561" s="44"/>
      <c r="N561" s="44"/>
      <c r="O561" s="44"/>
      <c r="P561" s="44"/>
      <c r="Q561" s="44"/>
      <c r="R561" s="44"/>
      <c r="S561" s="44"/>
      <c r="T561" s="44"/>
      <c r="U561" s="44"/>
      <c r="V561" s="44"/>
      <c r="W561" s="44"/>
      <c r="X561" s="44"/>
      <c r="Y561" s="44"/>
      <c r="Z561" s="44"/>
      <c r="AA561" s="44"/>
      <c r="AB561" s="44"/>
      <c r="AC561" s="44"/>
      <c r="AD561" s="44"/>
      <c r="AE561" s="44"/>
      <c r="AF561" s="44"/>
      <c r="AG561" s="44"/>
      <c r="AH561" s="44"/>
      <c r="AI561" s="44"/>
      <c r="AJ561" s="44"/>
      <c r="AK561" s="44"/>
      <c r="AL561" s="44"/>
      <c r="AM561" s="44"/>
      <c r="AN561" s="44"/>
    </row>
    <row r="562" spans="1:40" ht="16.5" customHeight="1">
      <c r="A562" s="44"/>
      <c r="B562" s="44"/>
      <c r="C562" s="44"/>
      <c r="D562" s="172"/>
      <c r="E562" s="44"/>
      <c r="F562" s="44"/>
      <c r="G562" s="44"/>
      <c r="H562" s="44"/>
      <c r="I562" s="44"/>
      <c r="J562" s="44"/>
      <c r="K562" s="53"/>
      <c r="L562" s="44"/>
      <c r="M562" s="44"/>
      <c r="N562" s="44"/>
      <c r="O562" s="44"/>
      <c r="P562" s="44"/>
      <c r="Q562" s="44"/>
      <c r="R562" s="44"/>
      <c r="S562" s="44"/>
      <c r="T562" s="44"/>
      <c r="U562" s="44"/>
      <c r="V562" s="44"/>
      <c r="W562" s="44"/>
      <c r="X562" s="44"/>
      <c r="Y562" s="44"/>
      <c r="Z562" s="44"/>
      <c r="AA562" s="44"/>
      <c r="AB562" s="44"/>
      <c r="AC562" s="44"/>
      <c r="AD562" s="44"/>
      <c r="AE562" s="44"/>
      <c r="AF562" s="44"/>
      <c r="AG562" s="44"/>
      <c r="AH562" s="44"/>
      <c r="AI562" s="44"/>
      <c r="AJ562" s="44"/>
      <c r="AK562" s="44"/>
      <c r="AL562" s="44"/>
      <c r="AM562" s="44"/>
      <c r="AN562" s="44"/>
    </row>
    <row r="563" spans="1:40" ht="16.5" customHeight="1">
      <c r="A563" s="44"/>
      <c r="B563" s="44"/>
      <c r="C563" s="44"/>
      <c r="D563" s="172"/>
      <c r="E563" s="44"/>
      <c r="F563" s="44"/>
      <c r="G563" s="44"/>
      <c r="H563" s="44"/>
      <c r="I563" s="44"/>
      <c r="J563" s="44"/>
      <c r="K563" s="53"/>
      <c r="L563" s="44"/>
      <c r="M563" s="44"/>
      <c r="N563" s="44"/>
      <c r="O563" s="44"/>
      <c r="P563" s="44"/>
      <c r="Q563" s="44"/>
      <c r="R563" s="44"/>
      <c r="S563" s="44"/>
      <c r="T563" s="44"/>
      <c r="U563" s="44"/>
      <c r="V563" s="44"/>
      <c r="W563" s="44"/>
      <c r="X563" s="44"/>
      <c r="Y563" s="44"/>
      <c r="Z563" s="44"/>
      <c r="AA563" s="44"/>
      <c r="AB563" s="44"/>
      <c r="AC563" s="44"/>
      <c r="AD563" s="44"/>
      <c r="AE563" s="44"/>
      <c r="AF563" s="44"/>
      <c r="AG563" s="44"/>
      <c r="AH563" s="44"/>
      <c r="AI563" s="44"/>
      <c r="AJ563" s="44"/>
      <c r="AK563" s="44"/>
      <c r="AL563" s="44"/>
      <c r="AM563" s="44"/>
      <c r="AN563" s="44"/>
    </row>
    <row r="564" spans="1:40" ht="16.5" customHeight="1">
      <c r="A564" s="44"/>
      <c r="B564" s="44"/>
      <c r="C564" s="44"/>
      <c r="D564" s="172"/>
      <c r="E564" s="44"/>
      <c r="F564" s="44"/>
      <c r="G564" s="44"/>
      <c r="H564" s="44"/>
      <c r="I564" s="44"/>
      <c r="J564" s="44"/>
      <c r="K564" s="53"/>
      <c r="L564" s="44"/>
      <c r="M564" s="44"/>
      <c r="N564" s="44"/>
      <c r="O564" s="44"/>
      <c r="P564" s="44"/>
      <c r="Q564" s="44"/>
      <c r="R564" s="44"/>
      <c r="S564" s="44"/>
      <c r="T564" s="44"/>
      <c r="U564" s="44"/>
      <c r="V564" s="44"/>
      <c r="W564" s="44"/>
      <c r="X564" s="44"/>
      <c r="Y564" s="44"/>
      <c r="Z564" s="44"/>
      <c r="AA564" s="44"/>
      <c r="AB564" s="44"/>
      <c r="AC564" s="44"/>
      <c r="AD564" s="44"/>
      <c r="AE564" s="44"/>
      <c r="AF564" s="44"/>
      <c r="AG564" s="44"/>
      <c r="AH564" s="44"/>
      <c r="AI564" s="44"/>
      <c r="AJ564" s="44"/>
      <c r="AK564" s="44"/>
      <c r="AL564" s="44"/>
      <c r="AM564" s="44"/>
      <c r="AN564" s="44"/>
    </row>
    <row r="565" spans="1:40" ht="16.5" customHeight="1">
      <c r="A565" s="44"/>
      <c r="B565" s="44"/>
      <c r="C565" s="44"/>
      <c r="D565" s="172"/>
      <c r="E565" s="44"/>
      <c r="F565" s="44"/>
      <c r="G565" s="44"/>
      <c r="H565" s="44"/>
      <c r="I565" s="44"/>
      <c r="J565" s="44"/>
      <c r="K565" s="53"/>
      <c r="L565" s="44"/>
      <c r="M565" s="44"/>
      <c r="N565" s="44"/>
      <c r="O565" s="44"/>
      <c r="P565" s="44"/>
      <c r="Q565" s="44"/>
      <c r="R565" s="44"/>
      <c r="S565" s="44"/>
      <c r="T565" s="44"/>
      <c r="U565" s="44"/>
      <c r="V565" s="44"/>
      <c r="W565" s="44"/>
      <c r="X565" s="44"/>
      <c r="Y565" s="44"/>
      <c r="Z565" s="44"/>
      <c r="AA565" s="44"/>
      <c r="AB565" s="44"/>
      <c r="AC565" s="44"/>
      <c r="AD565" s="44"/>
      <c r="AE565" s="44"/>
      <c r="AF565" s="44"/>
      <c r="AG565" s="44"/>
      <c r="AH565" s="44"/>
      <c r="AI565" s="44"/>
      <c r="AJ565" s="44"/>
      <c r="AK565" s="44"/>
      <c r="AL565" s="44"/>
      <c r="AM565" s="44"/>
      <c r="AN565" s="44"/>
    </row>
    <row r="566" spans="1:40" ht="16.5" customHeight="1">
      <c r="A566" s="44"/>
      <c r="B566" s="44"/>
      <c r="C566" s="44"/>
      <c r="D566" s="172"/>
      <c r="E566" s="44"/>
      <c r="F566" s="44"/>
      <c r="G566" s="44"/>
      <c r="H566" s="44"/>
      <c r="I566" s="44"/>
      <c r="J566" s="44"/>
      <c r="K566" s="53"/>
      <c r="L566" s="44"/>
      <c r="M566" s="44"/>
      <c r="N566" s="44"/>
      <c r="O566" s="44"/>
      <c r="P566" s="44"/>
      <c r="Q566" s="44"/>
      <c r="R566" s="44"/>
      <c r="S566" s="44"/>
      <c r="T566" s="44"/>
      <c r="U566" s="44"/>
      <c r="V566" s="44"/>
      <c r="W566" s="44"/>
      <c r="X566" s="44"/>
      <c r="Y566" s="44"/>
      <c r="Z566" s="44"/>
      <c r="AA566" s="44"/>
      <c r="AB566" s="44"/>
      <c r="AC566" s="44"/>
      <c r="AD566" s="44"/>
      <c r="AE566" s="44"/>
      <c r="AF566" s="44"/>
      <c r="AG566" s="44"/>
      <c r="AH566" s="44"/>
      <c r="AI566" s="44"/>
      <c r="AJ566" s="44"/>
      <c r="AK566" s="44"/>
      <c r="AL566" s="44"/>
      <c r="AM566" s="44"/>
      <c r="AN566" s="44"/>
    </row>
    <row r="567" spans="1:40" ht="16.5" customHeight="1">
      <c r="A567" s="44"/>
      <c r="B567" s="44"/>
      <c r="C567" s="44"/>
      <c r="D567" s="172"/>
      <c r="E567" s="44"/>
      <c r="F567" s="44"/>
      <c r="G567" s="44"/>
      <c r="H567" s="44"/>
      <c r="I567" s="44"/>
      <c r="J567" s="44"/>
      <c r="K567" s="53"/>
      <c r="L567" s="44"/>
      <c r="M567" s="44"/>
      <c r="N567" s="44"/>
      <c r="O567" s="44"/>
      <c r="P567" s="44"/>
      <c r="Q567" s="44"/>
      <c r="R567" s="44"/>
      <c r="S567" s="44"/>
      <c r="T567" s="44"/>
      <c r="U567" s="44"/>
      <c r="V567" s="44"/>
      <c r="W567" s="44"/>
      <c r="X567" s="44"/>
      <c r="Y567" s="44"/>
      <c r="Z567" s="44"/>
      <c r="AA567" s="44"/>
      <c r="AB567" s="44"/>
      <c r="AC567" s="44"/>
      <c r="AD567" s="44"/>
      <c r="AE567" s="44"/>
      <c r="AF567" s="44"/>
      <c r="AG567" s="44"/>
      <c r="AH567" s="44"/>
      <c r="AI567" s="44"/>
      <c r="AJ567" s="44"/>
      <c r="AK567" s="44"/>
      <c r="AL567" s="44"/>
      <c r="AM567" s="44"/>
      <c r="AN567" s="44"/>
    </row>
    <row r="568" spans="1:40" ht="16.5" customHeight="1">
      <c r="A568" s="44"/>
      <c r="B568" s="44"/>
      <c r="C568" s="44"/>
      <c r="D568" s="172"/>
      <c r="E568" s="44"/>
      <c r="F568" s="44"/>
      <c r="G568" s="44"/>
      <c r="H568" s="44"/>
      <c r="I568" s="44"/>
      <c r="J568" s="44"/>
      <c r="K568" s="53"/>
      <c r="L568" s="44"/>
      <c r="M568" s="44"/>
      <c r="N568" s="44"/>
      <c r="O568" s="44"/>
      <c r="P568" s="44"/>
      <c r="Q568" s="44"/>
      <c r="R568" s="44"/>
      <c r="S568" s="44"/>
      <c r="T568" s="44"/>
      <c r="U568" s="44"/>
      <c r="V568" s="44"/>
      <c r="W568" s="44"/>
      <c r="X568" s="44"/>
      <c r="Y568" s="44"/>
      <c r="Z568" s="44"/>
      <c r="AA568" s="44"/>
      <c r="AB568" s="44"/>
      <c r="AC568" s="44"/>
      <c r="AD568" s="44"/>
      <c r="AE568" s="44"/>
      <c r="AF568" s="44"/>
      <c r="AG568" s="44"/>
      <c r="AH568" s="44"/>
      <c r="AI568" s="44"/>
      <c r="AJ568" s="44"/>
      <c r="AK568" s="44"/>
      <c r="AL568" s="44"/>
      <c r="AM568" s="44"/>
      <c r="AN568" s="44"/>
    </row>
    <row r="569" spans="1:40" ht="16.5" customHeight="1">
      <c r="A569" s="44"/>
      <c r="B569" s="44"/>
      <c r="C569" s="44"/>
      <c r="D569" s="172"/>
      <c r="E569" s="44"/>
      <c r="F569" s="44"/>
      <c r="G569" s="44"/>
      <c r="H569" s="44"/>
      <c r="I569" s="44"/>
      <c r="J569" s="44"/>
      <c r="K569" s="53"/>
      <c r="L569" s="44"/>
      <c r="M569" s="44"/>
      <c r="N569" s="44"/>
      <c r="O569" s="44"/>
      <c r="P569" s="44"/>
      <c r="Q569" s="44"/>
      <c r="R569" s="44"/>
      <c r="S569" s="44"/>
      <c r="T569" s="44"/>
      <c r="U569" s="44"/>
      <c r="V569" s="44"/>
      <c r="W569" s="44"/>
      <c r="X569" s="44"/>
      <c r="Y569" s="44"/>
      <c r="Z569" s="44"/>
      <c r="AA569" s="44"/>
      <c r="AB569" s="44"/>
      <c r="AC569" s="44"/>
      <c r="AD569" s="44"/>
      <c r="AE569" s="44"/>
      <c r="AF569" s="44"/>
      <c r="AG569" s="44"/>
      <c r="AH569" s="44"/>
      <c r="AI569" s="44"/>
      <c r="AJ569" s="44"/>
      <c r="AK569" s="44"/>
      <c r="AL569" s="44"/>
      <c r="AM569" s="44"/>
      <c r="AN569" s="44"/>
    </row>
    <row r="570" spans="1:40" ht="16.5" customHeight="1">
      <c r="A570" s="44"/>
      <c r="B570" s="44"/>
      <c r="C570" s="44"/>
      <c r="D570" s="172"/>
      <c r="E570" s="44"/>
      <c r="F570" s="44"/>
      <c r="G570" s="44"/>
      <c r="H570" s="44"/>
      <c r="I570" s="44"/>
      <c r="J570" s="44"/>
      <c r="K570" s="53"/>
      <c r="L570" s="44"/>
      <c r="M570" s="44"/>
      <c r="N570" s="44"/>
      <c r="O570" s="44"/>
      <c r="P570" s="44"/>
      <c r="Q570" s="44"/>
      <c r="R570" s="44"/>
      <c r="S570" s="44"/>
      <c r="T570" s="44"/>
      <c r="U570" s="44"/>
      <c r="V570" s="44"/>
      <c r="W570" s="44"/>
      <c r="X570" s="44"/>
      <c r="Y570" s="44"/>
      <c r="Z570" s="44"/>
      <c r="AA570" s="44"/>
      <c r="AB570" s="44"/>
      <c r="AC570" s="44"/>
      <c r="AD570" s="44"/>
      <c r="AE570" s="44"/>
      <c r="AF570" s="44"/>
      <c r="AG570" s="44"/>
      <c r="AH570" s="44"/>
      <c r="AI570" s="44"/>
      <c r="AJ570" s="44"/>
      <c r="AK570" s="44"/>
      <c r="AL570" s="44"/>
      <c r="AM570" s="44"/>
      <c r="AN570" s="44"/>
    </row>
    <row r="571" spans="1:40" ht="16.5" customHeight="1">
      <c r="A571" s="44"/>
      <c r="B571" s="44"/>
      <c r="C571" s="44"/>
      <c r="D571" s="172"/>
      <c r="E571" s="44"/>
      <c r="F571" s="44"/>
      <c r="G571" s="44"/>
      <c r="H571" s="44"/>
      <c r="I571" s="44"/>
      <c r="J571" s="44"/>
      <c r="K571" s="53"/>
      <c r="L571" s="44"/>
      <c r="M571" s="44"/>
      <c r="N571" s="44"/>
      <c r="O571" s="44"/>
      <c r="P571" s="44"/>
      <c r="Q571" s="44"/>
      <c r="R571" s="44"/>
      <c r="S571" s="44"/>
      <c r="T571" s="44"/>
      <c r="U571" s="44"/>
      <c r="V571" s="44"/>
      <c r="W571" s="44"/>
      <c r="X571" s="44"/>
      <c r="Y571" s="44"/>
      <c r="Z571" s="44"/>
      <c r="AA571" s="44"/>
      <c r="AB571" s="44"/>
      <c r="AC571" s="44"/>
      <c r="AD571" s="44"/>
      <c r="AE571" s="44"/>
      <c r="AF571" s="44"/>
      <c r="AG571" s="44"/>
      <c r="AH571" s="44"/>
      <c r="AI571" s="44"/>
      <c r="AJ571" s="44"/>
      <c r="AK571" s="44"/>
      <c r="AL571" s="44"/>
      <c r="AM571" s="44"/>
      <c r="AN571" s="44"/>
    </row>
    <row r="572" spans="1:40" ht="16.5" customHeight="1">
      <c r="A572" s="44"/>
      <c r="B572" s="44"/>
      <c r="C572" s="44"/>
      <c r="D572" s="172"/>
      <c r="E572" s="44"/>
      <c r="F572" s="44"/>
      <c r="G572" s="44"/>
      <c r="H572" s="44"/>
      <c r="I572" s="44"/>
      <c r="J572" s="44"/>
      <c r="K572" s="53"/>
      <c r="L572" s="44"/>
      <c r="M572" s="44"/>
      <c r="N572" s="44"/>
      <c r="O572" s="44"/>
      <c r="P572" s="44"/>
      <c r="Q572" s="44"/>
      <c r="R572" s="44"/>
      <c r="S572" s="44"/>
      <c r="T572" s="44"/>
      <c r="U572" s="44"/>
      <c r="V572" s="44"/>
      <c r="W572" s="44"/>
      <c r="X572" s="44"/>
      <c r="Y572" s="44"/>
      <c r="Z572" s="44"/>
      <c r="AA572" s="44"/>
      <c r="AB572" s="44"/>
      <c r="AC572" s="44"/>
      <c r="AD572" s="44"/>
      <c r="AE572" s="44"/>
      <c r="AF572" s="44"/>
      <c r="AG572" s="44"/>
      <c r="AH572" s="44"/>
      <c r="AI572" s="44"/>
      <c r="AJ572" s="44"/>
      <c r="AK572" s="44"/>
      <c r="AL572" s="44"/>
      <c r="AM572" s="44"/>
      <c r="AN572" s="44"/>
    </row>
    <row r="573" spans="1:40" ht="16.5" customHeight="1">
      <c r="A573" s="44"/>
      <c r="B573" s="44"/>
      <c r="C573" s="44"/>
      <c r="D573" s="172"/>
      <c r="E573" s="44"/>
      <c r="F573" s="44"/>
      <c r="G573" s="44"/>
      <c r="H573" s="44"/>
      <c r="I573" s="44"/>
      <c r="J573" s="44"/>
      <c r="K573" s="53"/>
      <c r="L573" s="44"/>
      <c r="M573" s="44"/>
      <c r="N573" s="44"/>
      <c r="O573" s="44"/>
      <c r="P573" s="44"/>
      <c r="Q573" s="44"/>
      <c r="R573" s="44"/>
      <c r="S573" s="44"/>
      <c r="T573" s="44"/>
      <c r="U573" s="44"/>
      <c r="V573" s="44"/>
      <c r="W573" s="44"/>
      <c r="X573" s="44"/>
      <c r="Y573" s="44"/>
      <c r="Z573" s="44"/>
      <c r="AA573" s="44"/>
      <c r="AB573" s="44"/>
      <c r="AC573" s="44"/>
      <c r="AD573" s="44"/>
      <c r="AE573" s="44"/>
      <c r="AF573" s="44"/>
      <c r="AG573" s="44"/>
      <c r="AH573" s="44"/>
      <c r="AI573" s="44"/>
      <c r="AJ573" s="44"/>
      <c r="AK573" s="44"/>
      <c r="AL573" s="44"/>
      <c r="AM573" s="44"/>
      <c r="AN573" s="44"/>
    </row>
    <row r="574" spans="1:40" ht="16.5" customHeight="1">
      <c r="A574" s="44"/>
      <c r="B574" s="44"/>
      <c r="C574" s="44"/>
      <c r="D574" s="172"/>
      <c r="E574" s="44"/>
      <c r="F574" s="44"/>
      <c r="G574" s="44"/>
      <c r="H574" s="44"/>
      <c r="I574" s="44"/>
      <c r="J574" s="44"/>
      <c r="K574" s="53"/>
      <c r="L574" s="44"/>
      <c r="M574" s="44"/>
      <c r="N574" s="44"/>
      <c r="O574" s="44"/>
      <c r="P574" s="44"/>
      <c r="Q574" s="44"/>
      <c r="R574" s="44"/>
      <c r="S574" s="44"/>
      <c r="T574" s="44"/>
      <c r="U574" s="44"/>
      <c r="V574" s="44"/>
      <c r="W574" s="44"/>
      <c r="X574" s="44"/>
      <c r="Y574" s="44"/>
      <c r="Z574" s="44"/>
      <c r="AA574" s="44"/>
      <c r="AB574" s="44"/>
      <c r="AC574" s="44"/>
      <c r="AD574" s="44"/>
      <c r="AE574" s="44"/>
      <c r="AF574" s="44"/>
      <c r="AG574" s="44"/>
      <c r="AH574" s="44"/>
      <c r="AI574" s="44"/>
      <c r="AJ574" s="44"/>
      <c r="AK574" s="44"/>
      <c r="AL574" s="44"/>
      <c r="AM574" s="44"/>
      <c r="AN574" s="44"/>
    </row>
    <row r="575" spans="1:40" ht="16.5" customHeight="1">
      <c r="A575" s="44"/>
      <c r="B575" s="44"/>
      <c r="C575" s="44"/>
      <c r="D575" s="172"/>
      <c r="E575" s="44"/>
      <c r="F575" s="44"/>
      <c r="G575" s="44"/>
      <c r="H575" s="44"/>
      <c r="I575" s="44"/>
      <c r="J575" s="44"/>
      <c r="K575" s="53"/>
      <c r="L575" s="44"/>
      <c r="M575" s="44"/>
      <c r="N575" s="44"/>
      <c r="O575" s="44"/>
      <c r="P575" s="44"/>
      <c r="Q575" s="44"/>
      <c r="R575" s="44"/>
      <c r="S575" s="44"/>
      <c r="T575" s="44"/>
      <c r="U575" s="44"/>
      <c r="V575" s="44"/>
      <c r="W575" s="44"/>
      <c r="X575" s="44"/>
      <c r="Y575" s="44"/>
      <c r="Z575" s="44"/>
      <c r="AA575" s="44"/>
      <c r="AB575" s="44"/>
      <c r="AC575" s="44"/>
      <c r="AD575" s="44"/>
      <c r="AE575" s="44"/>
      <c r="AF575" s="44"/>
      <c r="AG575" s="44"/>
      <c r="AH575" s="44"/>
      <c r="AI575" s="44"/>
      <c r="AJ575" s="44"/>
      <c r="AK575" s="44"/>
      <c r="AL575" s="44"/>
      <c r="AM575" s="44"/>
      <c r="AN575" s="44"/>
    </row>
    <row r="576" spans="1:40" ht="16.5" customHeight="1">
      <c r="A576" s="44"/>
      <c r="B576" s="44"/>
      <c r="C576" s="44"/>
      <c r="D576" s="172"/>
      <c r="E576" s="44"/>
      <c r="F576" s="44"/>
      <c r="G576" s="44"/>
      <c r="H576" s="44"/>
      <c r="I576" s="44"/>
      <c r="J576" s="44"/>
      <c r="K576" s="53"/>
      <c r="L576" s="44"/>
      <c r="M576" s="44"/>
      <c r="N576" s="44"/>
      <c r="O576" s="44"/>
      <c r="P576" s="44"/>
      <c r="Q576" s="44"/>
      <c r="R576" s="44"/>
      <c r="S576" s="44"/>
      <c r="T576" s="44"/>
      <c r="U576" s="44"/>
      <c r="V576" s="44"/>
      <c r="W576" s="44"/>
      <c r="X576" s="44"/>
      <c r="Y576" s="44"/>
      <c r="Z576" s="44"/>
      <c r="AA576" s="44"/>
      <c r="AB576" s="44"/>
      <c r="AC576" s="44"/>
      <c r="AD576" s="44"/>
      <c r="AE576" s="44"/>
      <c r="AF576" s="44"/>
      <c r="AG576" s="44"/>
      <c r="AH576" s="44"/>
      <c r="AI576" s="44"/>
      <c r="AJ576" s="44"/>
      <c r="AK576" s="44"/>
      <c r="AL576" s="44"/>
      <c r="AM576" s="44"/>
      <c r="AN576" s="44"/>
    </row>
    <row r="577" spans="1:40" ht="16.5" customHeight="1">
      <c r="A577" s="44"/>
      <c r="B577" s="44"/>
      <c r="C577" s="44"/>
      <c r="D577" s="172"/>
      <c r="E577" s="44"/>
      <c r="F577" s="44"/>
      <c r="G577" s="44"/>
      <c r="H577" s="44"/>
      <c r="I577" s="44"/>
      <c r="J577" s="44"/>
      <c r="K577" s="53"/>
      <c r="L577" s="44"/>
      <c r="M577" s="44"/>
      <c r="N577" s="44"/>
      <c r="O577" s="44"/>
      <c r="P577" s="44"/>
      <c r="Q577" s="44"/>
      <c r="R577" s="44"/>
      <c r="S577" s="44"/>
      <c r="T577" s="44"/>
      <c r="U577" s="44"/>
      <c r="V577" s="44"/>
      <c r="W577" s="44"/>
      <c r="X577" s="44"/>
      <c r="Y577" s="44"/>
      <c r="Z577" s="44"/>
      <c r="AA577" s="44"/>
      <c r="AB577" s="44"/>
      <c r="AC577" s="44"/>
      <c r="AD577" s="44"/>
      <c r="AE577" s="44"/>
      <c r="AF577" s="44"/>
      <c r="AG577" s="44"/>
      <c r="AH577" s="44"/>
      <c r="AI577" s="44"/>
      <c r="AJ577" s="44"/>
      <c r="AK577" s="44"/>
      <c r="AL577" s="44"/>
      <c r="AM577" s="44"/>
      <c r="AN577" s="44"/>
    </row>
    <row r="578" spans="1:40" ht="16.5" customHeight="1">
      <c r="A578" s="44"/>
      <c r="B578" s="44"/>
      <c r="C578" s="44"/>
      <c r="D578" s="172"/>
      <c r="E578" s="44"/>
      <c r="F578" s="44"/>
      <c r="G578" s="44"/>
      <c r="H578" s="44"/>
      <c r="I578" s="44"/>
      <c r="J578" s="44"/>
      <c r="K578" s="53"/>
      <c r="L578" s="44"/>
      <c r="M578" s="44"/>
      <c r="N578" s="44"/>
      <c r="O578" s="44"/>
      <c r="P578" s="44"/>
      <c r="Q578" s="44"/>
      <c r="R578" s="44"/>
      <c r="S578" s="44"/>
      <c r="T578" s="44"/>
      <c r="U578" s="44"/>
      <c r="V578" s="44"/>
      <c r="W578" s="44"/>
      <c r="X578" s="44"/>
      <c r="Y578" s="44"/>
      <c r="Z578" s="44"/>
      <c r="AA578" s="44"/>
      <c r="AB578" s="44"/>
      <c r="AC578" s="44"/>
      <c r="AD578" s="44"/>
      <c r="AE578" s="44"/>
      <c r="AF578" s="44"/>
      <c r="AG578" s="44"/>
      <c r="AH578" s="44"/>
      <c r="AI578" s="44"/>
      <c r="AJ578" s="44"/>
      <c r="AK578" s="44"/>
      <c r="AL578" s="44"/>
      <c r="AM578" s="44"/>
      <c r="AN578" s="44"/>
    </row>
    <row r="579" spans="1:40" ht="16.5" customHeight="1">
      <c r="A579" s="44"/>
      <c r="B579" s="44"/>
      <c r="C579" s="44"/>
      <c r="D579" s="172"/>
      <c r="E579" s="44"/>
      <c r="F579" s="44"/>
      <c r="G579" s="44"/>
      <c r="H579" s="44"/>
      <c r="I579" s="44"/>
      <c r="J579" s="44"/>
      <c r="K579" s="53"/>
      <c r="L579" s="44"/>
      <c r="M579" s="44"/>
      <c r="N579" s="44"/>
      <c r="O579" s="44"/>
      <c r="P579" s="44"/>
      <c r="Q579" s="44"/>
      <c r="R579" s="44"/>
      <c r="S579" s="44"/>
      <c r="T579" s="44"/>
      <c r="U579" s="44"/>
      <c r="V579" s="44"/>
      <c r="W579" s="44"/>
      <c r="X579" s="44"/>
      <c r="Y579" s="44"/>
      <c r="Z579" s="44"/>
      <c r="AA579" s="44"/>
      <c r="AB579" s="44"/>
      <c r="AC579" s="44"/>
      <c r="AD579" s="44"/>
      <c r="AE579" s="44"/>
      <c r="AF579" s="44"/>
      <c r="AG579" s="44"/>
      <c r="AH579" s="44"/>
      <c r="AI579" s="44"/>
      <c r="AJ579" s="44"/>
      <c r="AK579" s="44"/>
      <c r="AL579" s="44"/>
      <c r="AM579" s="44"/>
      <c r="AN579" s="44"/>
    </row>
    <row r="580" spans="1:40" ht="16.5" customHeight="1">
      <c r="A580" s="44"/>
      <c r="B580" s="44"/>
      <c r="C580" s="44"/>
      <c r="D580" s="172"/>
      <c r="E580" s="44"/>
      <c r="F580" s="44"/>
      <c r="G580" s="44"/>
      <c r="H580" s="44"/>
      <c r="I580" s="44"/>
      <c r="J580" s="44"/>
      <c r="K580" s="53"/>
      <c r="L580" s="44"/>
      <c r="M580" s="44"/>
      <c r="N580" s="44"/>
      <c r="O580" s="44"/>
      <c r="P580" s="44"/>
      <c r="Q580" s="44"/>
      <c r="R580" s="44"/>
      <c r="S580" s="44"/>
      <c r="T580" s="44"/>
      <c r="U580" s="44"/>
      <c r="V580" s="44"/>
      <c r="W580" s="44"/>
      <c r="X580" s="44"/>
      <c r="Y580" s="44"/>
      <c r="Z580" s="44"/>
      <c r="AA580" s="44"/>
      <c r="AB580" s="44"/>
      <c r="AC580" s="44"/>
      <c r="AD580" s="44"/>
      <c r="AE580" s="44"/>
      <c r="AF580" s="44"/>
      <c r="AG580" s="44"/>
      <c r="AH580" s="44"/>
      <c r="AI580" s="44"/>
      <c r="AJ580" s="44"/>
      <c r="AK580" s="44"/>
      <c r="AL580" s="44"/>
      <c r="AM580" s="44"/>
      <c r="AN580" s="44"/>
    </row>
    <row r="581" spans="1:40" ht="16.5" customHeight="1">
      <c r="A581" s="44"/>
      <c r="B581" s="44"/>
      <c r="C581" s="44"/>
      <c r="D581" s="172"/>
      <c r="E581" s="44"/>
      <c r="F581" s="44"/>
      <c r="G581" s="44"/>
      <c r="H581" s="44"/>
      <c r="I581" s="44"/>
      <c r="J581" s="44"/>
      <c r="K581" s="53"/>
      <c r="L581" s="44"/>
      <c r="M581" s="44"/>
      <c r="N581" s="44"/>
      <c r="O581" s="44"/>
      <c r="P581" s="44"/>
      <c r="Q581" s="44"/>
      <c r="R581" s="44"/>
      <c r="S581" s="44"/>
      <c r="T581" s="44"/>
      <c r="U581" s="44"/>
      <c r="V581" s="44"/>
      <c r="W581" s="44"/>
      <c r="X581" s="44"/>
      <c r="Y581" s="44"/>
      <c r="Z581" s="44"/>
      <c r="AA581" s="44"/>
      <c r="AB581" s="44"/>
      <c r="AC581" s="44"/>
      <c r="AD581" s="44"/>
      <c r="AE581" s="44"/>
      <c r="AF581" s="44"/>
      <c r="AG581" s="44"/>
      <c r="AH581" s="44"/>
      <c r="AI581" s="44"/>
      <c r="AJ581" s="44"/>
      <c r="AK581" s="44"/>
      <c r="AL581" s="44"/>
      <c r="AM581" s="44"/>
      <c r="AN581" s="44"/>
    </row>
    <row r="582" spans="1:40" ht="16.5" customHeight="1">
      <c r="A582" s="44"/>
      <c r="B582" s="44"/>
      <c r="C582" s="44"/>
      <c r="D582" s="172"/>
      <c r="E582" s="44"/>
      <c r="F582" s="44"/>
      <c r="G582" s="44"/>
      <c r="H582" s="44"/>
      <c r="I582" s="44"/>
      <c r="J582" s="44"/>
      <c r="K582" s="53"/>
      <c r="L582" s="44"/>
      <c r="M582" s="44"/>
      <c r="N582" s="44"/>
      <c r="O582" s="44"/>
      <c r="P582" s="44"/>
      <c r="Q582" s="44"/>
      <c r="R582" s="44"/>
      <c r="S582" s="44"/>
      <c r="T582" s="44"/>
      <c r="U582" s="44"/>
      <c r="V582" s="44"/>
      <c r="W582" s="44"/>
      <c r="X582" s="44"/>
      <c r="Y582" s="44"/>
      <c r="Z582" s="44"/>
      <c r="AA582" s="44"/>
      <c r="AB582" s="44"/>
      <c r="AC582" s="44"/>
      <c r="AD582" s="44"/>
      <c r="AE582" s="44"/>
      <c r="AF582" s="44"/>
      <c r="AG582" s="44"/>
      <c r="AH582" s="44"/>
      <c r="AI582" s="44"/>
      <c r="AJ582" s="44"/>
      <c r="AK582" s="44"/>
      <c r="AL582" s="44"/>
      <c r="AM582" s="44"/>
      <c r="AN582" s="44"/>
    </row>
    <row r="583" spans="1:40" ht="16.5" customHeight="1">
      <c r="A583" s="44"/>
      <c r="B583" s="44"/>
      <c r="C583" s="44"/>
      <c r="D583" s="172"/>
      <c r="E583" s="44"/>
      <c r="F583" s="44"/>
      <c r="G583" s="44"/>
      <c r="H583" s="44"/>
      <c r="I583" s="44"/>
      <c r="J583" s="44"/>
      <c r="K583" s="53"/>
      <c r="L583" s="44"/>
      <c r="M583" s="44"/>
      <c r="N583" s="44"/>
      <c r="O583" s="44"/>
      <c r="P583" s="44"/>
      <c r="Q583" s="44"/>
      <c r="R583" s="44"/>
      <c r="S583" s="44"/>
      <c r="T583" s="44"/>
      <c r="U583" s="44"/>
      <c r="V583" s="44"/>
      <c r="W583" s="44"/>
      <c r="X583" s="44"/>
      <c r="Y583" s="44"/>
      <c r="Z583" s="44"/>
      <c r="AA583" s="44"/>
      <c r="AB583" s="44"/>
      <c r="AC583" s="44"/>
      <c r="AD583" s="44"/>
      <c r="AE583" s="44"/>
      <c r="AF583" s="44"/>
      <c r="AG583" s="44"/>
      <c r="AH583" s="44"/>
      <c r="AI583" s="44"/>
      <c r="AJ583" s="44"/>
      <c r="AK583" s="44"/>
      <c r="AL583" s="44"/>
      <c r="AM583" s="44"/>
      <c r="AN583" s="44"/>
    </row>
    <row r="584" spans="1:40" ht="16.5" customHeight="1">
      <c r="A584" s="44"/>
      <c r="B584" s="44"/>
      <c r="C584" s="44"/>
      <c r="D584" s="172"/>
      <c r="E584" s="44"/>
      <c r="F584" s="44"/>
      <c r="G584" s="44"/>
      <c r="H584" s="44"/>
      <c r="I584" s="44"/>
      <c r="J584" s="44"/>
      <c r="K584" s="53"/>
      <c r="L584" s="44"/>
      <c r="M584" s="44"/>
      <c r="N584" s="44"/>
      <c r="O584" s="44"/>
      <c r="P584" s="44"/>
      <c r="Q584" s="44"/>
      <c r="R584" s="44"/>
      <c r="S584" s="44"/>
      <c r="T584" s="44"/>
      <c r="U584" s="44"/>
      <c r="V584" s="44"/>
      <c r="W584" s="44"/>
      <c r="X584" s="44"/>
      <c r="Y584" s="44"/>
      <c r="Z584" s="44"/>
      <c r="AA584" s="44"/>
      <c r="AB584" s="44"/>
      <c r="AC584" s="44"/>
      <c r="AD584" s="44"/>
      <c r="AE584" s="44"/>
      <c r="AF584" s="44"/>
      <c r="AG584" s="44"/>
      <c r="AH584" s="44"/>
      <c r="AI584" s="44"/>
      <c r="AJ584" s="44"/>
      <c r="AK584" s="44"/>
      <c r="AL584" s="44"/>
      <c r="AM584" s="44"/>
      <c r="AN584" s="44"/>
    </row>
    <row r="585" spans="1:40" ht="16.5" customHeight="1">
      <c r="A585" s="44"/>
      <c r="B585" s="44"/>
      <c r="C585" s="44"/>
      <c r="D585" s="172"/>
      <c r="E585" s="44"/>
      <c r="F585" s="44"/>
      <c r="G585" s="44"/>
      <c r="H585" s="44"/>
      <c r="I585" s="44"/>
      <c r="J585" s="44"/>
      <c r="K585" s="53"/>
      <c r="L585" s="44"/>
      <c r="M585" s="44"/>
      <c r="N585" s="44"/>
      <c r="O585" s="44"/>
      <c r="P585" s="44"/>
      <c r="Q585" s="44"/>
      <c r="R585" s="44"/>
      <c r="S585" s="44"/>
      <c r="T585" s="44"/>
      <c r="U585" s="44"/>
      <c r="V585" s="44"/>
      <c r="W585" s="44"/>
      <c r="X585" s="44"/>
      <c r="Y585" s="44"/>
      <c r="Z585" s="44"/>
      <c r="AA585" s="44"/>
      <c r="AB585" s="44"/>
      <c r="AC585" s="44"/>
      <c r="AD585" s="44"/>
      <c r="AE585" s="44"/>
      <c r="AF585" s="44"/>
      <c r="AG585" s="44"/>
      <c r="AH585" s="44"/>
      <c r="AI585" s="44"/>
      <c r="AJ585" s="44"/>
      <c r="AK585" s="44"/>
      <c r="AL585" s="44"/>
      <c r="AM585" s="44"/>
      <c r="AN585" s="44"/>
    </row>
    <row r="586" spans="1:40" ht="16.5" customHeight="1">
      <c r="A586" s="44"/>
      <c r="B586" s="44"/>
      <c r="C586" s="44"/>
      <c r="D586" s="172"/>
      <c r="E586" s="44"/>
      <c r="F586" s="44"/>
      <c r="G586" s="44"/>
      <c r="H586" s="44"/>
      <c r="I586" s="44"/>
      <c r="J586" s="44"/>
      <c r="K586" s="53"/>
      <c r="L586" s="44"/>
      <c r="M586" s="44"/>
      <c r="N586" s="44"/>
      <c r="O586" s="44"/>
      <c r="P586" s="44"/>
      <c r="Q586" s="44"/>
      <c r="R586" s="44"/>
      <c r="S586" s="44"/>
      <c r="T586" s="44"/>
      <c r="U586" s="44"/>
      <c r="V586" s="44"/>
      <c r="W586" s="44"/>
      <c r="X586" s="44"/>
      <c r="Y586" s="44"/>
      <c r="Z586" s="44"/>
      <c r="AA586" s="44"/>
      <c r="AB586" s="44"/>
      <c r="AC586" s="44"/>
      <c r="AD586" s="44"/>
      <c r="AE586" s="44"/>
      <c r="AF586" s="44"/>
      <c r="AG586" s="44"/>
      <c r="AH586" s="44"/>
      <c r="AI586" s="44"/>
      <c r="AJ586" s="44"/>
      <c r="AK586" s="44"/>
      <c r="AL586" s="44"/>
      <c r="AM586" s="44"/>
      <c r="AN586" s="44"/>
    </row>
    <row r="587" spans="1:40" ht="16.5" customHeight="1">
      <c r="A587" s="44"/>
      <c r="B587" s="44"/>
      <c r="C587" s="44"/>
      <c r="D587" s="172"/>
      <c r="E587" s="44"/>
      <c r="F587" s="44"/>
      <c r="G587" s="44"/>
      <c r="H587" s="44"/>
      <c r="I587" s="44"/>
      <c r="J587" s="44"/>
      <c r="K587" s="53"/>
      <c r="L587" s="44"/>
      <c r="M587" s="44"/>
      <c r="N587" s="44"/>
      <c r="O587" s="44"/>
      <c r="P587" s="44"/>
      <c r="Q587" s="44"/>
      <c r="R587" s="44"/>
      <c r="S587" s="44"/>
      <c r="T587" s="44"/>
      <c r="U587" s="44"/>
      <c r="V587" s="44"/>
      <c r="W587" s="44"/>
      <c r="X587" s="44"/>
      <c r="Y587" s="44"/>
      <c r="Z587" s="44"/>
      <c r="AA587" s="44"/>
      <c r="AB587" s="44"/>
      <c r="AC587" s="44"/>
      <c r="AD587" s="44"/>
      <c r="AE587" s="44"/>
      <c r="AF587" s="44"/>
      <c r="AG587" s="44"/>
      <c r="AH587" s="44"/>
      <c r="AI587" s="44"/>
      <c r="AJ587" s="44"/>
      <c r="AK587" s="44"/>
      <c r="AL587" s="44"/>
      <c r="AM587" s="44"/>
      <c r="AN587" s="44"/>
    </row>
    <row r="588" spans="1:40" ht="16.5" customHeight="1">
      <c r="A588" s="44"/>
      <c r="B588" s="44"/>
      <c r="C588" s="44"/>
      <c r="D588" s="172"/>
      <c r="E588" s="44"/>
      <c r="F588" s="44"/>
      <c r="G588" s="44"/>
      <c r="H588" s="44"/>
      <c r="I588" s="44"/>
      <c r="J588" s="44"/>
      <c r="K588" s="53"/>
      <c r="L588" s="44"/>
      <c r="M588" s="44"/>
      <c r="N588" s="44"/>
      <c r="O588" s="44"/>
      <c r="P588" s="44"/>
      <c r="Q588" s="44"/>
      <c r="R588" s="44"/>
      <c r="S588" s="44"/>
      <c r="T588" s="44"/>
      <c r="U588" s="44"/>
      <c r="V588" s="44"/>
      <c r="W588" s="44"/>
      <c r="X588" s="44"/>
      <c r="Y588" s="44"/>
      <c r="Z588" s="44"/>
      <c r="AA588" s="44"/>
      <c r="AB588" s="44"/>
      <c r="AC588" s="44"/>
      <c r="AD588" s="44"/>
      <c r="AE588" s="44"/>
      <c r="AF588" s="44"/>
      <c r="AG588" s="44"/>
      <c r="AH588" s="44"/>
      <c r="AI588" s="44"/>
      <c r="AJ588" s="44"/>
      <c r="AK588" s="44"/>
      <c r="AL588" s="44"/>
      <c r="AM588" s="44"/>
      <c r="AN588" s="44"/>
    </row>
    <row r="589" spans="1:40" ht="16.5" customHeight="1">
      <c r="A589" s="44"/>
      <c r="B589" s="44"/>
      <c r="C589" s="44"/>
      <c r="D589" s="172"/>
      <c r="E589" s="44"/>
      <c r="F589" s="44"/>
      <c r="G589" s="44"/>
      <c r="H589" s="44"/>
      <c r="I589" s="44"/>
      <c r="J589" s="44"/>
      <c r="K589" s="53"/>
      <c r="L589" s="44"/>
      <c r="M589" s="44"/>
      <c r="N589" s="44"/>
      <c r="O589" s="44"/>
      <c r="P589" s="44"/>
      <c r="Q589" s="44"/>
      <c r="R589" s="44"/>
      <c r="S589" s="44"/>
      <c r="T589" s="44"/>
      <c r="U589" s="44"/>
      <c r="V589" s="44"/>
      <c r="W589" s="44"/>
      <c r="X589" s="44"/>
      <c r="Y589" s="44"/>
      <c r="Z589" s="44"/>
      <c r="AA589" s="44"/>
      <c r="AB589" s="44"/>
      <c r="AC589" s="44"/>
      <c r="AD589" s="44"/>
      <c r="AE589" s="44"/>
      <c r="AF589" s="44"/>
      <c r="AG589" s="44"/>
      <c r="AH589" s="44"/>
      <c r="AI589" s="44"/>
      <c r="AJ589" s="44"/>
      <c r="AK589" s="44"/>
      <c r="AL589" s="44"/>
      <c r="AM589" s="44"/>
      <c r="AN589" s="44"/>
    </row>
    <row r="590" spans="1:40" ht="16.5" customHeight="1">
      <c r="A590" s="44"/>
      <c r="B590" s="44"/>
      <c r="C590" s="44"/>
      <c r="D590" s="172"/>
      <c r="E590" s="44"/>
      <c r="F590" s="44"/>
      <c r="G590" s="44"/>
      <c r="H590" s="44"/>
      <c r="I590" s="44"/>
      <c r="J590" s="44"/>
      <c r="K590" s="53"/>
      <c r="L590" s="44"/>
      <c r="M590" s="44"/>
      <c r="N590" s="44"/>
      <c r="O590" s="44"/>
      <c r="P590" s="44"/>
      <c r="Q590" s="44"/>
      <c r="R590" s="44"/>
      <c r="S590" s="44"/>
      <c r="T590" s="44"/>
      <c r="U590" s="44"/>
      <c r="V590" s="44"/>
      <c r="W590" s="44"/>
      <c r="X590" s="44"/>
      <c r="Y590" s="44"/>
      <c r="Z590" s="44"/>
      <c r="AA590" s="44"/>
      <c r="AB590" s="44"/>
      <c r="AC590" s="44"/>
      <c r="AD590" s="44"/>
      <c r="AE590" s="44"/>
      <c r="AF590" s="44"/>
      <c r="AG590" s="44"/>
      <c r="AH590" s="44"/>
      <c r="AI590" s="44"/>
      <c r="AJ590" s="44"/>
      <c r="AK590" s="44"/>
      <c r="AL590" s="44"/>
      <c r="AM590" s="44"/>
      <c r="AN590" s="44"/>
    </row>
    <row r="591" spans="1:40" ht="16.5" customHeight="1">
      <c r="A591" s="44"/>
      <c r="B591" s="44"/>
      <c r="C591" s="44"/>
      <c r="D591" s="172"/>
      <c r="E591" s="44"/>
      <c r="F591" s="44"/>
      <c r="G591" s="44"/>
      <c r="H591" s="44"/>
      <c r="I591" s="44"/>
      <c r="J591" s="44"/>
      <c r="K591" s="53"/>
      <c r="L591" s="44"/>
      <c r="M591" s="44"/>
      <c r="N591" s="44"/>
      <c r="O591" s="44"/>
      <c r="P591" s="44"/>
      <c r="Q591" s="44"/>
      <c r="R591" s="44"/>
      <c r="S591" s="44"/>
      <c r="T591" s="44"/>
      <c r="U591" s="44"/>
      <c r="V591" s="44"/>
      <c r="W591" s="44"/>
      <c r="X591" s="44"/>
      <c r="Y591" s="44"/>
      <c r="Z591" s="44"/>
      <c r="AA591" s="44"/>
      <c r="AB591" s="44"/>
      <c r="AC591" s="44"/>
      <c r="AD591" s="44"/>
      <c r="AE591" s="44"/>
      <c r="AF591" s="44"/>
      <c r="AG591" s="44"/>
      <c r="AH591" s="44"/>
      <c r="AI591" s="44"/>
      <c r="AJ591" s="44"/>
      <c r="AK591" s="44"/>
      <c r="AL591" s="44"/>
      <c r="AM591" s="44"/>
      <c r="AN591" s="44"/>
    </row>
    <row r="592" spans="1:40" ht="16.5" customHeight="1">
      <c r="A592" s="44"/>
      <c r="B592" s="44"/>
      <c r="C592" s="44"/>
      <c r="D592" s="172"/>
      <c r="E592" s="44"/>
      <c r="F592" s="44"/>
      <c r="G592" s="44"/>
      <c r="H592" s="44"/>
      <c r="I592" s="44"/>
      <c r="J592" s="44"/>
      <c r="K592" s="53"/>
      <c r="L592" s="44"/>
      <c r="M592" s="44"/>
      <c r="N592" s="44"/>
      <c r="O592" s="44"/>
      <c r="P592" s="44"/>
      <c r="Q592" s="44"/>
      <c r="R592" s="44"/>
      <c r="S592" s="44"/>
      <c r="T592" s="44"/>
      <c r="U592" s="44"/>
      <c r="V592" s="44"/>
      <c r="W592" s="44"/>
      <c r="X592" s="44"/>
      <c r="Y592" s="44"/>
      <c r="Z592" s="44"/>
      <c r="AA592" s="44"/>
      <c r="AB592" s="44"/>
      <c r="AC592" s="44"/>
      <c r="AD592" s="44"/>
      <c r="AE592" s="44"/>
      <c r="AF592" s="44"/>
      <c r="AG592" s="44"/>
      <c r="AH592" s="44"/>
      <c r="AI592" s="44"/>
      <c r="AJ592" s="44"/>
      <c r="AK592" s="44"/>
      <c r="AL592" s="44"/>
      <c r="AM592" s="44"/>
      <c r="AN592" s="44"/>
    </row>
    <row r="593" spans="1:40" ht="16.5" customHeight="1">
      <c r="A593" s="44"/>
      <c r="B593" s="44"/>
      <c r="C593" s="44"/>
      <c r="D593" s="172"/>
      <c r="E593" s="44"/>
      <c r="F593" s="44"/>
      <c r="G593" s="44"/>
      <c r="H593" s="44"/>
      <c r="I593" s="44"/>
      <c r="J593" s="44"/>
      <c r="K593" s="53"/>
      <c r="L593" s="44"/>
      <c r="M593" s="44"/>
      <c r="N593" s="44"/>
      <c r="O593" s="44"/>
      <c r="P593" s="44"/>
      <c r="Q593" s="44"/>
      <c r="R593" s="44"/>
      <c r="S593" s="44"/>
      <c r="T593" s="44"/>
      <c r="U593" s="44"/>
      <c r="V593" s="44"/>
      <c r="W593" s="44"/>
      <c r="X593" s="44"/>
      <c r="Y593" s="44"/>
      <c r="Z593" s="44"/>
      <c r="AA593" s="44"/>
      <c r="AB593" s="44"/>
      <c r="AC593" s="44"/>
      <c r="AD593" s="44"/>
      <c r="AE593" s="44"/>
      <c r="AF593" s="44"/>
      <c r="AG593" s="44"/>
      <c r="AH593" s="44"/>
      <c r="AI593" s="44"/>
      <c r="AJ593" s="44"/>
      <c r="AK593" s="44"/>
      <c r="AL593" s="44"/>
      <c r="AM593" s="44"/>
      <c r="AN593" s="44"/>
    </row>
    <row r="594" spans="1:40" ht="16.5" customHeight="1">
      <c r="A594" s="44"/>
      <c r="B594" s="44"/>
      <c r="C594" s="44"/>
      <c r="D594" s="172"/>
      <c r="E594" s="44"/>
      <c r="F594" s="44"/>
      <c r="G594" s="44"/>
      <c r="H594" s="44"/>
      <c r="I594" s="44"/>
      <c r="J594" s="44"/>
      <c r="K594" s="53"/>
      <c r="L594" s="44"/>
      <c r="M594" s="44"/>
      <c r="N594" s="44"/>
      <c r="O594" s="44"/>
      <c r="P594" s="44"/>
      <c r="Q594" s="44"/>
      <c r="R594" s="44"/>
      <c r="S594" s="44"/>
      <c r="T594" s="44"/>
      <c r="U594" s="44"/>
      <c r="V594" s="44"/>
      <c r="W594" s="44"/>
      <c r="X594" s="44"/>
      <c r="Y594" s="44"/>
      <c r="Z594" s="44"/>
      <c r="AA594" s="44"/>
      <c r="AB594" s="44"/>
      <c r="AC594" s="44"/>
      <c r="AD594" s="44"/>
      <c r="AE594" s="44"/>
      <c r="AF594" s="44"/>
      <c r="AG594" s="44"/>
      <c r="AH594" s="44"/>
      <c r="AI594" s="44"/>
      <c r="AJ594" s="44"/>
      <c r="AK594" s="44"/>
      <c r="AL594" s="44"/>
      <c r="AM594" s="44"/>
      <c r="AN594" s="44"/>
    </row>
    <row r="595" spans="1:40" ht="16.5" customHeight="1">
      <c r="A595" s="44"/>
      <c r="B595" s="44"/>
      <c r="C595" s="44"/>
      <c r="D595" s="172"/>
      <c r="E595" s="44"/>
      <c r="F595" s="44"/>
      <c r="G595" s="44"/>
      <c r="H595" s="44"/>
      <c r="I595" s="44"/>
      <c r="J595" s="44"/>
      <c r="K595" s="53"/>
      <c r="L595" s="44"/>
      <c r="M595" s="44"/>
      <c r="N595" s="44"/>
      <c r="O595" s="44"/>
      <c r="P595" s="44"/>
      <c r="Q595" s="44"/>
      <c r="R595" s="44"/>
      <c r="S595" s="44"/>
      <c r="T595" s="44"/>
      <c r="U595" s="44"/>
      <c r="V595" s="44"/>
      <c r="W595" s="44"/>
      <c r="X595" s="44"/>
      <c r="Y595" s="44"/>
      <c r="Z595" s="44"/>
      <c r="AA595" s="44"/>
      <c r="AB595" s="44"/>
      <c r="AC595" s="44"/>
      <c r="AD595" s="44"/>
      <c r="AE595" s="44"/>
      <c r="AF595" s="44"/>
      <c r="AG595" s="44"/>
      <c r="AH595" s="44"/>
      <c r="AI595" s="44"/>
      <c r="AJ595" s="44"/>
      <c r="AK595" s="44"/>
      <c r="AL595" s="44"/>
      <c r="AM595" s="44"/>
      <c r="AN595" s="44"/>
    </row>
    <row r="596" spans="1:40" ht="16.5" customHeight="1">
      <c r="A596" s="44"/>
      <c r="B596" s="44"/>
      <c r="C596" s="44"/>
      <c r="D596" s="172"/>
      <c r="E596" s="44"/>
      <c r="F596" s="44"/>
      <c r="G596" s="44"/>
      <c r="H596" s="44"/>
      <c r="I596" s="44"/>
      <c r="J596" s="44"/>
      <c r="K596" s="53"/>
      <c r="L596" s="44"/>
      <c r="M596" s="44"/>
      <c r="N596" s="44"/>
      <c r="O596" s="44"/>
      <c r="P596" s="44"/>
      <c r="Q596" s="44"/>
      <c r="R596" s="44"/>
      <c r="S596" s="44"/>
      <c r="T596" s="44"/>
      <c r="U596" s="44"/>
      <c r="V596" s="44"/>
      <c r="W596" s="44"/>
      <c r="X596" s="44"/>
      <c r="Y596" s="44"/>
      <c r="Z596" s="44"/>
      <c r="AA596" s="44"/>
      <c r="AB596" s="44"/>
      <c r="AC596" s="44"/>
      <c r="AD596" s="44"/>
      <c r="AE596" s="44"/>
      <c r="AF596" s="44"/>
      <c r="AG596" s="44"/>
      <c r="AH596" s="44"/>
      <c r="AI596" s="44"/>
      <c r="AJ596" s="44"/>
      <c r="AK596" s="44"/>
      <c r="AL596" s="44"/>
      <c r="AM596" s="44"/>
      <c r="AN596" s="44"/>
    </row>
    <row r="597" spans="1:40" ht="16.5" customHeight="1">
      <c r="A597" s="44"/>
      <c r="B597" s="44"/>
      <c r="C597" s="44"/>
      <c r="D597" s="172"/>
      <c r="E597" s="44"/>
      <c r="F597" s="44"/>
      <c r="G597" s="44"/>
      <c r="H597" s="44"/>
      <c r="I597" s="44"/>
      <c r="J597" s="44"/>
      <c r="K597" s="53"/>
      <c r="L597" s="44"/>
      <c r="M597" s="44"/>
      <c r="N597" s="44"/>
      <c r="O597" s="44"/>
      <c r="P597" s="44"/>
      <c r="Q597" s="44"/>
      <c r="R597" s="44"/>
      <c r="S597" s="44"/>
      <c r="T597" s="44"/>
      <c r="U597" s="44"/>
      <c r="V597" s="44"/>
      <c r="W597" s="44"/>
      <c r="X597" s="44"/>
      <c r="Y597" s="44"/>
      <c r="Z597" s="44"/>
      <c r="AA597" s="44"/>
      <c r="AB597" s="44"/>
      <c r="AC597" s="44"/>
      <c r="AD597" s="44"/>
      <c r="AE597" s="44"/>
      <c r="AF597" s="44"/>
      <c r="AG597" s="44"/>
      <c r="AH597" s="44"/>
      <c r="AI597" s="44"/>
      <c r="AJ597" s="44"/>
      <c r="AK597" s="44"/>
      <c r="AL597" s="44"/>
      <c r="AM597" s="44"/>
      <c r="AN597" s="44"/>
    </row>
    <row r="598" spans="1:40" ht="16.5" customHeight="1">
      <c r="A598" s="44"/>
      <c r="B598" s="44"/>
      <c r="C598" s="44"/>
      <c r="D598" s="172"/>
      <c r="E598" s="44"/>
      <c r="F598" s="44"/>
      <c r="G598" s="44"/>
      <c r="H598" s="44"/>
      <c r="I598" s="44"/>
      <c r="J598" s="44"/>
      <c r="K598" s="53"/>
      <c r="L598" s="44"/>
      <c r="M598" s="44"/>
      <c r="N598" s="44"/>
      <c r="O598" s="44"/>
      <c r="P598" s="44"/>
      <c r="Q598" s="44"/>
      <c r="R598" s="44"/>
      <c r="S598" s="44"/>
      <c r="T598" s="44"/>
      <c r="U598" s="44"/>
      <c r="V598" s="44"/>
      <c r="W598" s="44"/>
      <c r="X598" s="44"/>
      <c r="Y598" s="44"/>
      <c r="Z598" s="44"/>
      <c r="AA598" s="44"/>
      <c r="AB598" s="44"/>
      <c r="AC598" s="44"/>
      <c r="AD598" s="44"/>
      <c r="AE598" s="44"/>
      <c r="AF598" s="44"/>
      <c r="AG598" s="44"/>
      <c r="AH598" s="44"/>
      <c r="AI598" s="44"/>
      <c r="AJ598" s="44"/>
      <c r="AK598" s="44"/>
      <c r="AL598" s="44"/>
      <c r="AM598" s="44"/>
      <c r="AN598" s="44"/>
    </row>
    <row r="599" spans="1:40" ht="16.5" customHeight="1">
      <c r="A599" s="44"/>
      <c r="B599" s="44"/>
      <c r="C599" s="44"/>
      <c r="D599" s="172"/>
      <c r="E599" s="44"/>
      <c r="F599" s="44"/>
      <c r="G599" s="44"/>
      <c r="H599" s="44"/>
      <c r="I599" s="44"/>
      <c r="J599" s="44"/>
      <c r="K599" s="53"/>
      <c r="L599" s="44"/>
      <c r="M599" s="44"/>
      <c r="N599" s="44"/>
      <c r="O599" s="44"/>
      <c r="P599" s="44"/>
      <c r="Q599" s="44"/>
      <c r="R599" s="44"/>
      <c r="S599" s="44"/>
      <c r="T599" s="44"/>
      <c r="U599" s="44"/>
      <c r="V599" s="44"/>
      <c r="W599" s="44"/>
      <c r="X599" s="44"/>
      <c r="Y599" s="44"/>
      <c r="Z599" s="44"/>
      <c r="AA599" s="44"/>
      <c r="AB599" s="44"/>
      <c r="AC599" s="44"/>
      <c r="AD599" s="44"/>
      <c r="AE599" s="44"/>
      <c r="AF599" s="44"/>
      <c r="AG599" s="44"/>
      <c r="AH599" s="44"/>
      <c r="AI599" s="44"/>
      <c r="AJ599" s="44"/>
      <c r="AK599" s="44"/>
      <c r="AL599" s="44"/>
      <c r="AM599" s="44"/>
      <c r="AN599" s="44"/>
    </row>
    <row r="600" spans="1:40" ht="16.5" customHeight="1">
      <c r="A600" s="44"/>
      <c r="B600" s="44"/>
      <c r="C600" s="44"/>
      <c r="D600" s="172"/>
      <c r="E600" s="44"/>
      <c r="F600" s="44"/>
      <c r="G600" s="44"/>
      <c r="H600" s="44"/>
      <c r="I600" s="44"/>
      <c r="J600" s="44"/>
      <c r="K600" s="53"/>
      <c r="L600" s="44"/>
      <c r="M600" s="44"/>
      <c r="N600" s="44"/>
      <c r="O600" s="44"/>
      <c r="P600" s="44"/>
      <c r="Q600" s="44"/>
      <c r="R600" s="44"/>
      <c r="S600" s="44"/>
      <c r="T600" s="44"/>
      <c r="U600" s="44"/>
      <c r="V600" s="44"/>
      <c r="W600" s="44"/>
      <c r="X600" s="44"/>
      <c r="Y600" s="44"/>
      <c r="Z600" s="44"/>
      <c r="AA600" s="44"/>
      <c r="AB600" s="44"/>
      <c r="AC600" s="44"/>
      <c r="AD600" s="44"/>
      <c r="AE600" s="44"/>
      <c r="AF600" s="44"/>
      <c r="AG600" s="44"/>
      <c r="AH600" s="44"/>
      <c r="AI600" s="44"/>
      <c r="AJ600" s="44"/>
      <c r="AK600" s="44"/>
      <c r="AL600" s="44"/>
      <c r="AM600" s="44"/>
      <c r="AN600" s="44"/>
    </row>
    <row r="601" spans="1:40" ht="16.5" customHeight="1">
      <c r="A601" s="44"/>
      <c r="B601" s="44"/>
      <c r="C601" s="44"/>
      <c r="D601" s="172"/>
      <c r="E601" s="44"/>
      <c r="F601" s="44"/>
      <c r="G601" s="44"/>
      <c r="H601" s="44"/>
      <c r="I601" s="44"/>
      <c r="J601" s="44"/>
      <c r="K601" s="53"/>
      <c r="L601" s="44"/>
      <c r="M601" s="44"/>
      <c r="N601" s="44"/>
      <c r="O601" s="44"/>
      <c r="P601" s="44"/>
      <c r="Q601" s="44"/>
      <c r="R601" s="44"/>
      <c r="S601" s="44"/>
      <c r="T601" s="44"/>
      <c r="U601" s="44"/>
      <c r="V601" s="44"/>
      <c r="W601" s="44"/>
      <c r="X601" s="44"/>
      <c r="Y601" s="44"/>
      <c r="Z601" s="44"/>
      <c r="AA601" s="44"/>
      <c r="AB601" s="44"/>
      <c r="AC601" s="44"/>
      <c r="AD601" s="44"/>
      <c r="AE601" s="44"/>
      <c r="AF601" s="44"/>
      <c r="AG601" s="44"/>
      <c r="AH601" s="44"/>
      <c r="AI601" s="44"/>
      <c r="AJ601" s="44"/>
      <c r="AK601" s="44"/>
      <c r="AL601" s="44"/>
      <c r="AM601" s="44"/>
      <c r="AN601" s="44"/>
    </row>
    <row r="602" spans="1:40" ht="16.5" customHeight="1">
      <c r="A602" s="44"/>
      <c r="B602" s="44"/>
      <c r="C602" s="44"/>
      <c r="D602" s="172"/>
      <c r="E602" s="44"/>
      <c r="F602" s="44"/>
      <c r="G602" s="44"/>
      <c r="H602" s="44"/>
      <c r="I602" s="44"/>
      <c r="J602" s="44"/>
      <c r="K602" s="53"/>
      <c r="L602" s="44"/>
      <c r="M602" s="44"/>
      <c r="N602" s="44"/>
      <c r="O602" s="44"/>
      <c r="P602" s="44"/>
      <c r="Q602" s="44"/>
      <c r="R602" s="44"/>
      <c r="S602" s="44"/>
      <c r="T602" s="44"/>
      <c r="U602" s="44"/>
      <c r="V602" s="44"/>
      <c r="W602" s="44"/>
      <c r="X602" s="44"/>
      <c r="Y602" s="44"/>
      <c r="Z602" s="44"/>
      <c r="AA602" s="44"/>
      <c r="AB602" s="44"/>
      <c r="AC602" s="44"/>
      <c r="AD602" s="44"/>
      <c r="AE602" s="44"/>
      <c r="AF602" s="44"/>
      <c r="AG602" s="44"/>
      <c r="AH602" s="44"/>
      <c r="AI602" s="44"/>
      <c r="AJ602" s="44"/>
      <c r="AK602" s="44"/>
      <c r="AL602" s="44"/>
      <c r="AM602" s="44"/>
      <c r="AN602" s="44"/>
    </row>
    <row r="603" spans="1:40" ht="16.5" customHeight="1">
      <c r="A603" s="44"/>
      <c r="B603" s="44"/>
      <c r="C603" s="44"/>
      <c r="D603" s="172"/>
      <c r="E603" s="44"/>
      <c r="F603" s="44"/>
      <c r="G603" s="44"/>
      <c r="H603" s="44"/>
      <c r="I603" s="44"/>
      <c r="J603" s="44"/>
      <c r="K603" s="53"/>
      <c r="L603" s="44"/>
      <c r="M603" s="44"/>
      <c r="N603" s="44"/>
      <c r="O603" s="44"/>
      <c r="P603" s="44"/>
      <c r="Q603" s="44"/>
      <c r="R603" s="44"/>
      <c r="S603" s="44"/>
      <c r="T603" s="44"/>
      <c r="U603" s="44"/>
      <c r="V603" s="44"/>
      <c r="W603" s="44"/>
      <c r="X603" s="44"/>
      <c r="Y603" s="44"/>
      <c r="Z603" s="44"/>
      <c r="AA603" s="44"/>
      <c r="AB603" s="44"/>
      <c r="AC603" s="44"/>
      <c r="AD603" s="44"/>
      <c r="AE603" s="44"/>
      <c r="AF603" s="44"/>
      <c r="AG603" s="44"/>
      <c r="AH603" s="44"/>
      <c r="AI603" s="44"/>
      <c r="AJ603" s="44"/>
      <c r="AK603" s="44"/>
      <c r="AL603" s="44"/>
      <c r="AM603" s="44"/>
      <c r="AN603" s="44"/>
    </row>
    <row r="604" spans="1:40" ht="16.5" customHeight="1">
      <c r="A604" s="44"/>
      <c r="B604" s="44"/>
      <c r="C604" s="44"/>
      <c r="D604" s="172"/>
      <c r="E604" s="44"/>
      <c r="F604" s="44"/>
      <c r="G604" s="44"/>
      <c r="H604" s="44"/>
      <c r="I604" s="44"/>
      <c r="J604" s="44"/>
      <c r="K604" s="53"/>
      <c r="L604" s="44"/>
      <c r="M604" s="44"/>
      <c r="N604" s="44"/>
      <c r="O604" s="44"/>
      <c r="P604" s="44"/>
      <c r="Q604" s="44"/>
      <c r="R604" s="44"/>
      <c r="S604" s="44"/>
      <c r="T604" s="44"/>
      <c r="U604" s="44"/>
      <c r="V604" s="44"/>
      <c r="W604" s="44"/>
      <c r="X604" s="44"/>
      <c r="Y604" s="44"/>
      <c r="Z604" s="44"/>
      <c r="AA604" s="44"/>
      <c r="AB604" s="44"/>
      <c r="AC604" s="44"/>
      <c r="AD604" s="44"/>
      <c r="AE604" s="44"/>
      <c r="AF604" s="44"/>
      <c r="AG604" s="44"/>
      <c r="AH604" s="44"/>
      <c r="AI604" s="44"/>
      <c r="AJ604" s="44"/>
      <c r="AK604" s="44"/>
      <c r="AL604" s="44"/>
      <c r="AM604" s="44"/>
      <c r="AN604" s="44"/>
    </row>
    <row r="605" spans="1:40" ht="16.5" customHeight="1">
      <c r="A605" s="44"/>
      <c r="B605" s="44"/>
      <c r="C605" s="44"/>
      <c r="D605" s="172"/>
      <c r="E605" s="44"/>
      <c r="F605" s="44"/>
      <c r="G605" s="44"/>
      <c r="H605" s="44"/>
      <c r="I605" s="44"/>
      <c r="J605" s="44"/>
      <c r="K605" s="53"/>
      <c r="L605" s="44"/>
      <c r="M605" s="44"/>
      <c r="N605" s="44"/>
      <c r="O605" s="44"/>
      <c r="P605" s="44"/>
      <c r="Q605" s="44"/>
      <c r="R605" s="44"/>
      <c r="S605" s="44"/>
      <c r="T605" s="44"/>
      <c r="U605" s="44"/>
      <c r="V605" s="44"/>
      <c r="W605" s="44"/>
      <c r="X605" s="44"/>
      <c r="Y605" s="44"/>
      <c r="Z605" s="44"/>
      <c r="AA605" s="44"/>
      <c r="AB605" s="44"/>
      <c r="AC605" s="44"/>
      <c r="AD605" s="44"/>
      <c r="AE605" s="44"/>
      <c r="AF605" s="44"/>
      <c r="AG605" s="44"/>
      <c r="AH605" s="44"/>
      <c r="AI605" s="44"/>
      <c r="AJ605" s="44"/>
      <c r="AK605" s="44"/>
      <c r="AL605" s="44"/>
      <c r="AM605" s="44"/>
      <c r="AN605" s="44"/>
    </row>
    <row r="606" spans="1:40" ht="16.5" customHeight="1">
      <c r="A606" s="44"/>
      <c r="B606" s="44"/>
      <c r="C606" s="44"/>
      <c r="D606" s="172"/>
      <c r="E606" s="44"/>
      <c r="F606" s="44"/>
      <c r="G606" s="44"/>
      <c r="H606" s="44"/>
      <c r="I606" s="44"/>
      <c r="J606" s="44"/>
      <c r="K606" s="53"/>
      <c r="L606" s="44"/>
      <c r="M606" s="44"/>
      <c r="N606" s="44"/>
      <c r="O606" s="44"/>
      <c r="P606" s="44"/>
      <c r="Q606" s="44"/>
      <c r="R606" s="44"/>
      <c r="S606" s="44"/>
      <c r="T606" s="44"/>
      <c r="U606" s="44"/>
      <c r="V606" s="44"/>
      <c r="W606" s="44"/>
      <c r="X606" s="44"/>
      <c r="Y606" s="44"/>
      <c r="Z606" s="44"/>
      <c r="AA606" s="44"/>
      <c r="AB606" s="44"/>
      <c r="AC606" s="44"/>
      <c r="AD606" s="44"/>
      <c r="AE606" s="44"/>
      <c r="AF606" s="44"/>
      <c r="AG606" s="44"/>
      <c r="AH606" s="44"/>
      <c r="AI606" s="44"/>
      <c r="AJ606" s="44"/>
      <c r="AK606" s="44"/>
      <c r="AL606" s="44"/>
      <c r="AM606" s="44"/>
      <c r="AN606" s="44"/>
    </row>
    <row r="607" spans="1:40" ht="16.5" customHeight="1">
      <c r="A607" s="44"/>
      <c r="B607" s="44"/>
      <c r="C607" s="44"/>
      <c r="D607" s="172"/>
      <c r="E607" s="44"/>
      <c r="F607" s="44"/>
      <c r="G607" s="44"/>
      <c r="H607" s="44"/>
      <c r="I607" s="44"/>
      <c r="J607" s="44"/>
      <c r="K607" s="53"/>
      <c r="L607" s="44"/>
      <c r="M607" s="44"/>
      <c r="N607" s="44"/>
      <c r="O607" s="44"/>
      <c r="P607" s="44"/>
      <c r="Q607" s="44"/>
      <c r="R607" s="44"/>
      <c r="S607" s="44"/>
      <c r="T607" s="44"/>
      <c r="U607" s="44"/>
      <c r="V607" s="44"/>
      <c r="W607" s="44"/>
      <c r="X607" s="44"/>
      <c r="Y607" s="44"/>
      <c r="Z607" s="44"/>
      <c r="AA607" s="44"/>
      <c r="AB607" s="44"/>
      <c r="AC607" s="44"/>
      <c r="AD607" s="44"/>
      <c r="AE607" s="44"/>
      <c r="AF607" s="44"/>
      <c r="AG607" s="44"/>
      <c r="AH607" s="44"/>
      <c r="AI607" s="44"/>
      <c r="AJ607" s="44"/>
      <c r="AK607" s="44"/>
      <c r="AL607" s="44"/>
      <c r="AM607" s="44"/>
      <c r="AN607" s="44"/>
    </row>
    <row r="608" spans="1:40" ht="16.5" customHeight="1">
      <c r="A608" s="44"/>
      <c r="B608" s="44"/>
      <c r="C608" s="44"/>
      <c r="D608" s="172"/>
      <c r="E608" s="44"/>
      <c r="F608" s="44"/>
      <c r="G608" s="44"/>
      <c r="H608" s="44"/>
      <c r="I608" s="44"/>
      <c r="J608" s="44"/>
      <c r="K608" s="53"/>
      <c r="L608" s="44"/>
      <c r="M608" s="44"/>
      <c r="N608" s="44"/>
      <c r="O608" s="44"/>
      <c r="P608" s="44"/>
      <c r="Q608" s="44"/>
      <c r="R608" s="44"/>
      <c r="S608" s="44"/>
      <c r="T608" s="44"/>
      <c r="U608" s="44"/>
      <c r="V608" s="44"/>
      <c r="W608" s="44"/>
      <c r="X608" s="44"/>
      <c r="Y608" s="44"/>
      <c r="Z608" s="44"/>
      <c r="AA608" s="44"/>
      <c r="AB608" s="44"/>
      <c r="AC608" s="44"/>
      <c r="AD608" s="44"/>
      <c r="AE608" s="44"/>
      <c r="AF608" s="44"/>
      <c r="AG608" s="44"/>
      <c r="AH608" s="44"/>
      <c r="AI608" s="44"/>
      <c r="AJ608" s="44"/>
      <c r="AK608" s="44"/>
      <c r="AL608" s="44"/>
      <c r="AM608" s="44"/>
      <c r="AN608" s="44"/>
    </row>
    <row r="609" spans="1:40" ht="16.5" customHeight="1">
      <c r="A609" s="44"/>
      <c r="B609" s="44"/>
      <c r="C609" s="44"/>
      <c r="D609" s="172"/>
      <c r="E609" s="44"/>
      <c r="F609" s="44"/>
      <c r="G609" s="44"/>
      <c r="H609" s="44"/>
      <c r="I609" s="44"/>
      <c r="J609" s="44"/>
      <c r="K609" s="53"/>
      <c r="L609" s="44"/>
      <c r="M609" s="44"/>
      <c r="N609" s="44"/>
      <c r="O609" s="44"/>
      <c r="P609" s="44"/>
      <c r="Q609" s="44"/>
      <c r="R609" s="44"/>
      <c r="S609" s="44"/>
      <c r="T609" s="44"/>
      <c r="U609" s="44"/>
      <c r="V609" s="44"/>
      <c r="W609" s="44"/>
      <c r="X609" s="44"/>
      <c r="Y609" s="44"/>
      <c r="Z609" s="44"/>
      <c r="AA609" s="44"/>
      <c r="AB609" s="44"/>
      <c r="AC609" s="44"/>
      <c r="AD609" s="44"/>
      <c r="AE609" s="44"/>
      <c r="AF609" s="44"/>
      <c r="AG609" s="44"/>
      <c r="AH609" s="44"/>
      <c r="AI609" s="44"/>
      <c r="AJ609" s="44"/>
      <c r="AK609" s="44"/>
      <c r="AL609" s="44"/>
      <c r="AM609" s="44"/>
      <c r="AN609" s="44"/>
    </row>
    <row r="610" spans="1:40" ht="16.5" customHeight="1">
      <c r="A610" s="44"/>
      <c r="B610" s="44"/>
      <c r="C610" s="44"/>
      <c r="D610" s="172"/>
      <c r="E610" s="44"/>
      <c r="F610" s="44"/>
      <c r="G610" s="44"/>
      <c r="H610" s="44"/>
      <c r="I610" s="44"/>
      <c r="J610" s="44"/>
      <c r="K610" s="53"/>
      <c r="L610" s="44"/>
      <c r="M610" s="44"/>
      <c r="N610" s="44"/>
      <c r="O610" s="44"/>
      <c r="P610" s="44"/>
      <c r="Q610" s="44"/>
      <c r="R610" s="44"/>
      <c r="S610" s="44"/>
      <c r="T610" s="44"/>
      <c r="U610" s="44"/>
      <c r="V610" s="44"/>
      <c r="W610" s="44"/>
      <c r="X610" s="44"/>
      <c r="Y610" s="44"/>
      <c r="Z610" s="44"/>
      <c r="AA610" s="44"/>
      <c r="AB610" s="44"/>
      <c r="AC610" s="44"/>
      <c r="AD610" s="44"/>
      <c r="AE610" s="44"/>
      <c r="AF610" s="44"/>
      <c r="AG610" s="44"/>
      <c r="AH610" s="44"/>
      <c r="AI610" s="44"/>
      <c r="AJ610" s="44"/>
      <c r="AK610" s="44"/>
      <c r="AL610" s="44"/>
      <c r="AM610" s="44"/>
      <c r="AN610" s="44"/>
    </row>
    <row r="611" spans="1:40" ht="16.5" customHeight="1">
      <c r="A611" s="44"/>
      <c r="B611" s="44"/>
      <c r="C611" s="44"/>
      <c r="D611" s="172"/>
      <c r="E611" s="44"/>
      <c r="F611" s="44"/>
      <c r="G611" s="44"/>
      <c r="H611" s="44"/>
      <c r="I611" s="44"/>
      <c r="J611" s="44"/>
      <c r="K611" s="53"/>
      <c r="L611" s="44"/>
      <c r="M611" s="44"/>
      <c r="N611" s="44"/>
      <c r="O611" s="44"/>
      <c r="P611" s="44"/>
      <c r="Q611" s="44"/>
      <c r="R611" s="44"/>
      <c r="S611" s="44"/>
      <c r="T611" s="44"/>
      <c r="U611" s="44"/>
      <c r="V611" s="44"/>
      <c r="W611" s="44"/>
      <c r="X611" s="44"/>
      <c r="Y611" s="44"/>
      <c r="Z611" s="44"/>
      <c r="AA611" s="44"/>
      <c r="AB611" s="44"/>
      <c r="AC611" s="44"/>
      <c r="AD611" s="44"/>
      <c r="AE611" s="44"/>
      <c r="AF611" s="44"/>
      <c r="AG611" s="44"/>
      <c r="AH611" s="44"/>
      <c r="AI611" s="44"/>
      <c r="AJ611" s="44"/>
      <c r="AK611" s="44"/>
      <c r="AL611" s="44"/>
      <c r="AM611" s="44"/>
      <c r="AN611" s="44"/>
    </row>
    <row r="612" spans="1:40" ht="16.5" customHeight="1">
      <c r="A612" s="44"/>
      <c r="B612" s="44"/>
      <c r="C612" s="44"/>
      <c r="D612" s="172"/>
      <c r="E612" s="44"/>
      <c r="F612" s="44"/>
      <c r="G612" s="44"/>
      <c r="H612" s="44"/>
      <c r="I612" s="44"/>
      <c r="J612" s="44"/>
      <c r="K612" s="53"/>
      <c r="L612" s="44"/>
      <c r="M612" s="44"/>
      <c r="N612" s="44"/>
      <c r="O612" s="44"/>
      <c r="P612" s="44"/>
      <c r="Q612" s="44"/>
      <c r="R612" s="44"/>
      <c r="S612" s="44"/>
      <c r="T612" s="44"/>
      <c r="U612" s="44"/>
      <c r="V612" s="44"/>
      <c r="W612" s="44"/>
      <c r="X612" s="44"/>
      <c r="Y612" s="44"/>
      <c r="Z612" s="44"/>
      <c r="AA612" s="44"/>
      <c r="AB612" s="44"/>
      <c r="AC612" s="44"/>
      <c r="AD612" s="44"/>
      <c r="AE612" s="44"/>
      <c r="AF612" s="44"/>
      <c r="AG612" s="44"/>
      <c r="AH612" s="44"/>
      <c r="AI612" s="44"/>
      <c r="AJ612" s="44"/>
      <c r="AK612" s="44"/>
      <c r="AL612" s="44"/>
      <c r="AM612" s="44"/>
      <c r="AN612" s="44"/>
    </row>
    <row r="613" spans="1:40" ht="16.5" customHeight="1">
      <c r="A613" s="44"/>
      <c r="B613" s="44"/>
      <c r="C613" s="44"/>
      <c r="D613" s="172"/>
      <c r="E613" s="44"/>
      <c r="F613" s="44"/>
      <c r="G613" s="44"/>
      <c r="H613" s="44"/>
      <c r="I613" s="44"/>
      <c r="J613" s="44"/>
      <c r="K613" s="53"/>
      <c r="L613" s="44"/>
      <c r="M613" s="44"/>
      <c r="N613" s="44"/>
      <c r="O613" s="44"/>
      <c r="P613" s="44"/>
      <c r="Q613" s="44"/>
      <c r="R613" s="44"/>
      <c r="S613" s="44"/>
      <c r="T613" s="44"/>
      <c r="U613" s="44"/>
      <c r="V613" s="44"/>
      <c r="W613" s="44"/>
      <c r="X613" s="44"/>
      <c r="Y613" s="44"/>
      <c r="Z613" s="44"/>
      <c r="AA613" s="44"/>
      <c r="AB613" s="44"/>
      <c r="AC613" s="44"/>
      <c r="AD613" s="44"/>
      <c r="AE613" s="44"/>
      <c r="AF613" s="44"/>
      <c r="AG613" s="44"/>
      <c r="AH613" s="44"/>
      <c r="AI613" s="44"/>
      <c r="AJ613" s="44"/>
      <c r="AK613" s="44"/>
      <c r="AL613" s="44"/>
      <c r="AM613" s="44"/>
      <c r="AN613" s="44"/>
    </row>
    <row r="614" spans="1:40" ht="16.5" customHeight="1">
      <c r="A614" s="44"/>
      <c r="B614" s="44"/>
      <c r="C614" s="44"/>
      <c r="D614" s="172"/>
      <c r="E614" s="44"/>
      <c r="F614" s="44"/>
      <c r="G614" s="44"/>
      <c r="H614" s="44"/>
      <c r="I614" s="44"/>
      <c r="J614" s="44"/>
      <c r="K614" s="53"/>
      <c r="L614" s="44"/>
      <c r="M614" s="44"/>
      <c r="N614" s="44"/>
      <c r="O614" s="44"/>
      <c r="P614" s="44"/>
      <c r="Q614" s="44"/>
      <c r="R614" s="44"/>
      <c r="S614" s="44"/>
      <c r="T614" s="44"/>
      <c r="U614" s="44"/>
      <c r="V614" s="44"/>
      <c r="W614" s="44"/>
      <c r="X614" s="44"/>
      <c r="Y614" s="44"/>
      <c r="Z614" s="44"/>
      <c r="AA614" s="44"/>
      <c r="AB614" s="44"/>
      <c r="AC614" s="44"/>
      <c r="AD614" s="44"/>
      <c r="AE614" s="44"/>
      <c r="AF614" s="44"/>
      <c r="AG614" s="44"/>
      <c r="AH614" s="44"/>
      <c r="AI614" s="44"/>
      <c r="AJ614" s="44"/>
      <c r="AK614" s="44"/>
      <c r="AL614" s="44"/>
      <c r="AM614" s="44"/>
      <c r="AN614" s="44"/>
    </row>
    <row r="615" spans="1:40" ht="16.5" customHeight="1">
      <c r="A615" s="44"/>
      <c r="B615" s="44"/>
      <c r="C615" s="44"/>
      <c r="D615" s="172"/>
      <c r="E615" s="44"/>
      <c r="F615" s="44"/>
      <c r="G615" s="44"/>
      <c r="H615" s="44"/>
      <c r="I615" s="44"/>
      <c r="J615" s="44"/>
      <c r="K615" s="53"/>
      <c r="L615" s="44"/>
      <c r="M615" s="44"/>
      <c r="N615" s="44"/>
      <c r="O615" s="44"/>
      <c r="P615" s="44"/>
      <c r="Q615" s="44"/>
      <c r="R615" s="44"/>
      <c r="S615" s="44"/>
      <c r="T615" s="44"/>
      <c r="U615" s="44"/>
      <c r="V615" s="44"/>
      <c r="W615" s="44"/>
      <c r="X615" s="44"/>
      <c r="Y615" s="44"/>
      <c r="Z615" s="44"/>
      <c r="AA615" s="44"/>
      <c r="AB615" s="44"/>
      <c r="AC615" s="44"/>
      <c r="AD615" s="44"/>
      <c r="AE615" s="44"/>
      <c r="AF615" s="44"/>
      <c r="AG615" s="44"/>
      <c r="AH615" s="44"/>
      <c r="AI615" s="44"/>
      <c r="AJ615" s="44"/>
      <c r="AK615" s="44"/>
      <c r="AL615" s="44"/>
      <c r="AM615" s="44"/>
      <c r="AN615" s="44"/>
    </row>
    <row r="616" spans="1:40" ht="16.5" customHeight="1">
      <c r="A616" s="44"/>
      <c r="B616" s="44"/>
      <c r="C616" s="44"/>
      <c r="D616" s="172"/>
      <c r="E616" s="44"/>
      <c r="F616" s="44"/>
      <c r="G616" s="44"/>
      <c r="H616" s="44"/>
      <c r="I616" s="44"/>
      <c r="J616" s="44"/>
      <c r="K616" s="53"/>
      <c r="L616" s="44"/>
      <c r="M616" s="44"/>
      <c r="N616" s="44"/>
      <c r="O616" s="44"/>
      <c r="P616" s="44"/>
      <c r="Q616" s="44"/>
      <c r="R616" s="44"/>
      <c r="S616" s="44"/>
      <c r="T616" s="44"/>
      <c r="U616" s="44"/>
      <c r="V616" s="44"/>
      <c r="W616" s="44"/>
      <c r="X616" s="44"/>
      <c r="Y616" s="44"/>
      <c r="Z616" s="44"/>
      <c r="AA616" s="44"/>
      <c r="AB616" s="44"/>
      <c r="AC616" s="44"/>
      <c r="AD616" s="44"/>
      <c r="AE616" s="44"/>
      <c r="AF616" s="44"/>
      <c r="AG616" s="44"/>
      <c r="AH616" s="44"/>
      <c r="AI616" s="44"/>
      <c r="AJ616" s="44"/>
      <c r="AK616" s="44"/>
      <c r="AL616" s="44"/>
      <c r="AM616" s="44"/>
      <c r="AN616" s="44"/>
    </row>
    <row r="617" spans="1:40" ht="16.5" customHeight="1">
      <c r="A617" s="44"/>
      <c r="B617" s="44"/>
      <c r="C617" s="44"/>
      <c r="D617" s="172"/>
      <c r="E617" s="44"/>
      <c r="F617" s="44"/>
      <c r="G617" s="44"/>
      <c r="H617" s="44"/>
      <c r="I617" s="44"/>
      <c r="J617" s="44"/>
      <c r="K617" s="53"/>
      <c r="L617" s="44"/>
      <c r="M617" s="44"/>
      <c r="N617" s="44"/>
      <c r="O617" s="44"/>
      <c r="P617" s="44"/>
      <c r="Q617" s="44"/>
      <c r="R617" s="44"/>
      <c r="S617" s="44"/>
      <c r="T617" s="44"/>
      <c r="U617" s="44"/>
      <c r="V617" s="44"/>
      <c r="W617" s="44"/>
      <c r="X617" s="44"/>
      <c r="Y617" s="44"/>
      <c r="Z617" s="44"/>
      <c r="AA617" s="44"/>
      <c r="AB617" s="44"/>
      <c r="AC617" s="44"/>
      <c r="AD617" s="44"/>
      <c r="AE617" s="44"/>
      <c r="AF617" s="44"/>
      <c r="AG617" s="44"/>
      <c r="AH617" s="44"/>
      <c r="AI617" s="44"/>
      <c r="AJ617" s="44"/>
      <c r="AK617" s="44"/>
      <c r="AL617" s="44"/>
      <c r="AM617" s="44"/>
      <c r="AN617" s="44"/>
    </row>
    <row r="618" spans="1:40" ht="16.5" customHeight="1">
      <c r="A618" s="44"/>
      <c r="B618" s="44"/>
      <c r="C618" s="44"/>
      <c r="D618" s="172"/>
      <c r="E618" s="44"/>
      <c r="F618" s="44"/>
      <c r="G618" s="44"/>
      <c r="H618" s="44"/>
      <c r="I618" s="44"/>
      <c r="J618" s="44"/>
      <c r="K618" s="53"/>
      <c r="L618" s="44"/>
      <c r="M618" s="44"/>
      <c r="N618" s="44"/>
      <c r="O618" s="44"/>
      <c r="P618" s="44"/>
      <c r="Q618" s="44"/>
      <c r="R618" s="44"/>
      <c r="S618" s="44"/>
      <c r="T618" s="44"/>
      <c r="U618" s="44"/>
      <c r="V618" s="44"/>
      <c r="W618" s="44"/>
      <c r="X618" s="44"/>
      <c r="Y618" s="44"/>
      <c r="Z618" s="44"/>
      <c r="AA618" s="44"/>
      <c r="AB618" s="44"/>
      <c r="AC618" s="44"/>
      <c r="AD618" s="44"/>
      <c r="AE618" s="44"/>
      <c r="AF618" s="44"/>
      <c r="AG618" s="44"/>
      <c r="AH618" s="44"/>
      <c r="AI618" s="44"/>
      <c r="AJ618" s="44"/>
      <c r="AK618" s="44"/>
      <c r="AL618" s="44"/>
      <c r="AM618" s="44"/>
      <c r="AN618" s="44"/>
    </row>
    <row r="619" spans="1:40" ht="16.5" customHeight="1">
      <c r="A619" s="44"/>
      <c r="B619" s="44"/>
      <c r="C619" s="44"/>
      <c r="D619" s="172"/>
      <c r="E619" s="44"/>
      <c r="F619" s="44"/>
      <c r="G619" s="44"/>
      <c r="H619" s="44"/>
      <c r="I619" s="44"/>
      <c r="J619" s="44"/>
      <c r="K619" s="53"/>
      <c r="L619" s="44"/>
      <c r="M619" s="44"/>
      <c r="N619" s="44"/>
      <c r="O619" s="44"/>
      <c r="P619" s="44"/>
      <c r="Q619" s="44"/>
      <c r="R619" s="44"/>
      <c r="S619" s="44"/>
      <c r="T619" s="44"/>
      <c r="U619" s="44"/>
      <c r="V619" s="44"/>
      <c r="W619" s="44"/>
      <c r="X619" s="44"/>
      <c r="Y619" s="44"/>
      <c r="Z619" s="44"/>
      <c r="AA619" s="44"/>
      <c r="AB619" s="44"/>
      <c r="AC619" s="44"/>
      <c r="AD619" s="44"/>
      <c r="AE619" s="44"/>
      <c r="AF619" s="44"/>
      <c r="AG619" s="44"/>
      <c r="AH619" s="44"/>
      <c r="AI619" s="44"/>
      <c r="AJ619" s="44"/>
      <c r="AK619" s="44"/>
      <c r="AL619" s="44"/>
      <c r="AM619" s="44"/>
      <c r="AN619" s="44"/>
    </row>
    <row r="620" spans="1:40" ht="16.5" customHeight="1">
      <c r="A620" s="44"/>
      <c r="B620" s="44"/>
      <c r="C620" s="44"/>
      <c r="D620" s="172"/>
      <c r="E620" s="44"/>
      <c r="F620" s="44"/>
      <c r="G620" s="44"/>
      <c r="H620" s="44"/>
      <c r="I620" s="44"/>
      <c r="J620" s="44"/>
      <c r="K620" s="53"/>
      <c r="L620" s="44"/>
      <c r="M620" s="44"/>
      <c r="N620" s="44"/>
      <c r="O620" s="44"/>
      <c r="P620" s="44"/>
      <c r="Q620" s="44"/>
      <c r="R620" s="44"/>
      <c r="S620" s="44"/>
      <c r="T620" s="44"/>
      <c r="U620" s="44"/>
      <c r="V620" s="44"/>
      <c r="W620" s="44"/>
      <c r="X620" s="44"/>
      <c r="Y620" s="44"/>
      <c r="Z620" s="44"/>
      <c r="AA620" s="44"/>
      <c r="AB620" s="44"/>
      <c r="AC620" s="44"/>
      <c r="AD620" s="44"/>
      <c r="AE620" s="44"/>
      <c r="AF620" s="44"/>
      <c r="AG620" s="44"/>
      <c r="AH620" s="44"/>
      <c r="AI620" s="44"/>
      <c r="AJ620" s="44"/>
      <c r="AK620" s="44"/>
      <c r="AL620" s="44"/>
      <c r="AM620" s="44"/>
      <c r="AN620" s="44"/>
    </row>
    <row r="621" spans="1:40" ht="16.5" customHeight="1">
      <c r="A621" s="44"/>
      <c r="B621" s="44"/>
      <c r="C621" s="44"/>
      <c r="D621" s="172"/>
      <c r="E621" s="44"/>
      <c r="F621" s="44"/>
      <c r="G621" s="44"/>
      <c r="H621" s="44"/>
      <c r="I621" s="44"/>
      <c r="J621" s="44"/>
      <c r="K621" s="53"/>
      <c r="L621" s="44"/>
      <c r="M621" s="44"/>
      <c r="N621" s="44"/>
      <c r="O621" s="44"/>
      <c r="P621" s="44"/>
      <c r="Q621" s="44"/>
      <c r="R621" s="44"/>
      <c r="S621" s="44"/>
      <c r="T621" s="44"/>
      <c r="U621" s="44"/>
      <c r="V621" s="44"/>
      <c r="W621" s="44"/>
      <c r="X621" s="44"/>
      <c r="Y621" s="44"/>
      <c r="Z621" s="44"/>
      <c r="AA621" s="44"/>
      <c r="AB621" s="44"/>
      <c r="AC621" s="44"/>
      <c r="AD621" s="44"/>
      <c r="AE621" s="44"/>
      <c r="AF621" s="44"/>
      <c r="AG621" s="44"/>
      <c r="AH621" s="44"/>
      <c r="AI621" s="44"/>
      <c r="AJ621" s="44"/>
      <c r="AK621" s="44"/>
      <c r="AL621" s="44"/>
      <c r="AM621" s="44"/>
      <c r="AN621" s="44"/>
    </row>
    <row r="622" spans="1:40" ht="16.5" customHeight="1">
      <c r="A622" s="44"/>
      <c r="B622" s="44"/>
      <c r="C622" s="44"/>
      <c r="D622" s="172"/>
      <c r="E622" s="44"/>
      <c r="F622" s="44"/>
      <c r="G622" s="44"/>
      <c r="H622" s="44"/>
      <c r="I622" s="44"/>
      <c r="J622" s="44"/>
      <c r="K622" s="53"/>
      <c r="L622" s="44"/>
      <c r="M622" s="44"/>
      <c r="N622" s="44"/>
      <c r="O622" s="44"/>
      <c r="P622" s="44"/>
      <c r="Q622" s="44"/>
      <c r="R622" s="44"/>
      <c r="S622" s="44"/>
      <c r="T622" s="44"/>
      <c r="U622" s="44"/>
      <c r="V622" s="44"/>
      <c r="W622" s="44"/>
      <c r="X622" s="44"/>
      <c r="Y622" s="44"/>
      <c r="Z622" s="44"/>
      <c r="AA622" s="44"/>
      <c r="AB622" s="44"/>
      <c r="AC622" s="44"/>
      <c r="AD622" s="44"/>
      <c r="AE622" s="44"/>
      <c r="AF622" s="44"/>
      <c r="AG622" s="44"/>
      <c r="AH622" s="44"/>
      <c r="AI622" s="44"/>
      <c r="AJ622" s="44"/>
      <c r="AK622" s="44"/>
      <c r="AL622" s="44"/>
      <c r="AM622" s="44"/>
      <c r="AN622" s="44"/>
    </row>
    <row r="623" spans="1:40" ht="16.5" customHeight="1">
      <c r="A623" s="44"/>
      <c r="B623" s="44"/>
      <c r="C623" s="44"/>
      <c r="D623" s="172"/>
      <c r="E623" s="44"/>
      <c r="F623" s="44"/>
      <c r="G623" s="44"/>
      <c r="H623" s="44"/>
      <c r="I623" s="44"/>
      <c r="J623" s="44"/>
      <c r="K623" s="53"/>
      <c r="L623" s="44"/>
      <c r="M623" s="44"/>
      <c r="N623" s="44"/>
      <c r="O623" s="44"/>
      <c r="P623" s="44"/>
      <c r="Q623" s="44"/>
      <c r="R623" s="44"/>
      <c r="S623" s="44"/>
      <c r="T623" s="44"/>
      <c r="U623" s="44"/>
      <c r="V623" s="44"/>
      <c r="W623" s="44"/>
      <c r="X623" s="44"/>
      <c r="Y623" s="44"/>
      <c r="Z623" s="44"/>
      <c r="AA623" s="44"/>
      <c r="AB623" s="44"/>
      <c r="AC623" s="44"/>
      <c r="AD623" s="44"/>
      <c r="AE623" s="44"/>
      <c r="AF623" s="44"/>
      <c r="AG623" s="44"/>
      <c r="AH623" s="44"/>
      <c r="AI623" s="44"/>
      <c r="AJ623" s="44"/>
      <c r="AK623" s="44"/>
      <c r="AL623" s="44"/>
      <c r="AM623" s="44"/>
      <c r="AN623" s="44"/>
    </row>
    <row r="624" spans="1:40" ht="16.5" customHeight="1">
      <c r="A624" s="44"/>
      <c r="B624" s="44"/>
      <c r="C624" s="44"/>
      <c r="D624" s="172"/>
      <c r="E624" s="44"/>
      <c r="F624" s="44"/>
      <c r="G624" s="44"/>
      <c r="H624" s="44"/>
      <c r="I624" s="44"/>
      <c r="J624" s="44"/>
      <c r="K624" s="53"/>
      <c r="L624" s="44"/>
      <c r="M624" s="44"/>
      <c r="N624" s="44"/>
      <c r="O624" s="44"/>
      <c r="P624" s="44"/>
      <c r="Q624" s="44"/>
      <c r="R624" s="44"/>
      <c r="S624" s="44"/>
      <c r="T624" s="44"/>
      <c r="U624" s="44"/>
      <c r="V624" s="44"/>
      <c r="W624" s="44"/>
      <c r="X624" s="44"/>
      <c r="Y624" s="44"/>
      <c r="Z624" s="44"/>
      <c r="AA624" s="44"/>
      <c r="AB624" s="44"/>
      <c r="AC624" s="44"/>
      <c r="AD624" s="44"/>
      <c r="AE624" s="44"/>
      <c r="AF624" s="44"/>
      <c r="AG624" s="44"/>
      <c r="AH624" s="44"/>
      <c r="AI624" s="44"/>
      <c r="AJ624" s="44"/>
      <c r="AK624" s="44"/>
      <c r="AL624" s="44"/>
      <c r="AM624" s="44"/>
      <c r="AN624" s="44"/>
    </row>
    <row r="625" spans="1:40" ht="16.5" customHeight="1">
      <c r="A625" s="44"/>
      <c r="B625" s="44"/>
      <c r="C625" s="44"/>
      <c r="D625" s="172"/>
      <c r="E625" s="44"/>
      <c r="F625" s="44"/>
      <c r="G625" s="44"/>
      <c r="H625" s="44"/>
      <c r="I625" s="44"/>
      <c r="J625" s="44"/>
      <c r="K625" s="53"/>
      <c r="L625" s="44"/>
      <c r="M625" s="44"/>
      <c r="N625" s="44"/>
      <c r="O625" s="44"/>
      <c r="P625" s="44"/>
      <c r="Q625" s="44"/>
      <c r="R625" s="44"/>
      <c r="S625" s="44"/>
      <c r="T625" s="44"/>
      <c r="U625" s="44"/>
      <c r="V625" s="44"/>
      <c r="W625" s="44"/>
      <c r="X625" s="44"/>
      <c r="Y625" s="44"/>
      <c r="Z625" s="44"/>
      <c r="AA625" s="44"/>
      <c r="AB625" s="44"/>
      <c r="AC625" s="44"/>
      <c r="AD625" s="44"/>
      <c r="AE625" s="44"/>
      <c r="AF625" s="44"/>
      <c r="AG625" s="44"/>
      <c r="AH625" s="44"/>
      <c r="AI625" s="44"/>
      <c r="AJ625" s="44"/>
      <c r="AK625" s="44"/>
      <c r="AL625" s="44"/>
      <c r="AM625" s="44"/>
      <c r="AN625" s="44"/>
    </row>
    <row r="626" spans="1:40" ht="16.5" customHeight="1">
      <c r="A626" s="44"/>
      <c r="B626" s="44"/>
      <c r="C626" s="44"/>
      <c r="D626" s="172"/>
      <c r="E626" s="44"/>
      <c r="F626" s="44"/>
      <c r="G626" s="44"/>
      <c r="H626" s="44"/>
      <c r="I626" s="44"/>
      <c r="J626" s="44"/>
      <c r="K626" s="53"/>
      <c r="L626" s="44"/>
      <c r="M626" s="44"/>
      <c r="N626" s="44"/>
      <c r="O626" s="44"/>
      <c r="P626" s="44"/>
      <c r="Q626" s="44"/>
      <c r="R626" s="44"/>
      <c r="S626" s="44"/>
      <c r="T626" s="44"/>
      <c r="U626" s="44"/>
      <c r="V626" s="44"/>
      <c r="W626" s="44"/>
      <c r="X626" s="44"/>
      <c r="Y626" s="44"/>
      <c r="Z626" s="44"/>
      <c r="AA626" s="44"/>
      <c r="AB626" s="44"/>
      <c r="AC626" s="44"/>
      <c r="AD626" s="44"/>
      <c r="AE626" s="44"/>
      <c r="AF626" s="44"/>
      <c r="AG626" s="44"/>
      <c r="AH626" s="44"/>
      <c r="AI626" s="44"/>
      <c r="AJ626" s="44"/>
      <c r="AK626" s="44"/>
      <c r="AL626" s="44"/>
      <c r="AM626" s="44"/>
      <c r="AN626" s="44"/>
    </row>
    <row r="627" spans="1:40" ht="16.5" customHeight="1">
      <c r="A627" s="44"/>
      <c r="B627" s="44"/>
      <c r="C627" s="44"/>
      <c r="D627" s="172"/>
      <c r="E627" s="44"/>
      <c r="F627" s="44"/>
      <c r="G627" s="44"/>
      <c r="H627" s="44"/>
      <c r="I627" s="44"/>
      <c r="J627" s="44"/>
      <c r="K627" s="53"/>
      <c r="L627" s="44"/>
      <c r="M627" s="44"/>
      <c r="N627" s="44"/>
      <c r="O627" s="44"/>
      <c r="P627" s="44"/>
      <c r="Q627" s="44"/>
      <c r="R627" s="44"/>
      <c r="S627" s="44"/>
      <c r="T627" s="44"/>
      <c r="U627" s="44"/>
      <c r="V627" s="44"/>
      <c r="W627" s="44"/>
      <c r="X627" s="44"/>
      <c r="Y627" s="44"/>
      <c r="Z627" s="44"/>
      <c r="AA627" s="44"/>
      <c r="AB627" s="44"/>
      <c r="AC627" s="44"/>
      <c r="AD627" s="44"/>
      <c r="AE627" s="44"/>
      <c r="AF627" s="44"/>
      <c r="AG627" s="44"/>
      <c r="AH627" s="44"/>
      <c r="AI627" s="44"/>
      <c r="AJ627" s="44"/>
      <c r="AK627" s="44"/>
      <c r="AL627" s="44"/>
      <c r="AM627" s="44"/>
      <c r="AN627" s="44"/>
    </row>
    <row r="628" spans="1:40" ht="16.5" customHeight="1">
      <c r="A628" s="44"/>
      <c r="B628" s="44"/>
      <c r="C628" s="44"/>
      <c r="D628" s="172"/>
      <c r="E628" s="44"/>
      <c r="F628" s="44"/>
      <c r="G628" s="44"/>
      <c r="H628" s="44"/>
      <c r="I628" s="44"/>
      <c r="J628" s="44"/>
      <c r="K628" s="53"/>
      <c r="L628" s="44"/>
      <c r="M628" s="44"/>
      <c r="N628" s="44"/>
      <c r="O628" s="44"/>
      <c r="P628" s="44"/>
      <c r="Q628" s="44"/>
      <c r="R628" s="44"/>
      <c r="S628" s="44"/>
      <c r="T628" s="44"/>
      <c r="U628" s="44"/>
      <c r="V628" s="44"/>
      <c r="W628" s="44"/>
      <c r="X628" s="44"/>
      <c r="Y628" s="44"/>
      <c r="Z628" s="44"/>
      <c r="AA628" s="44"/>
      <c r="AB628" s="44"/>
      <c r="AC628" s="44"/>
      <c r="AD628" s="44"/>
      <c r="AE628" s="44"/>
      <c r="AF628" s="44"/>
      <c r="AG628" s="44"/>
      <c r="AH628" s="44"/>
      <c r="AI628" s="44"/>
      <c r="AJ628" s="44"/>
      <c r="AK628" s="44"/>
      <c r="AL628" s="44"/>
      <c r="AM628" s="44"/>
      <c r="AN628" s="44"/>
    </row>
    <row r="629" spans="1:40" ht="16.5" customHeight="1">
      <c r="A629" s="44"/>
      <c r="B629" s="44"/>
      <c r="C629" s="44"/>
      <c r="D629" s="172"/>
      <c r="E629" s="44"/>
      <c r="F629" s="44"/>
      <c r="G629" s="44"/>
      <c r="H629" s="44"/>
      <c r="I629" s="44"/>
      <c r="J629" s="44"/>
      <c r="K629" s="53"/>
      <c r="L629" s="44"/>
      <c r="M629" s="44"/>
      <c r="N629" s="44"/>
      <c r="O629" s="44"/>
      <c r="P629" s="44"/>
      <c r="Q629" s="44"/>
      <c r="R629" s="44"/>
      <c r="S629" s="44"/>
      <c r="T629" s="44"/>
      <c r="U629" s="44"/>
      <c r="V629" s="44"/>
      <c r="W629" s="44"/>
      <c r="X629" s="44"/>
      <c r="Y629" s="44"/>
      <c r="Z629" s="44"/>
      <c r="AA629" s="44"/>
      <c r="AB629" s="44"/>
      <c r="AC629" s="44"/>
      <c r="AD629" s="44"/>
      <c r="AE629" s="44"/>
      <c r="AF629" s="44"/>
      <c r="AG629" s="44"/>
      <c r="AH629" s="44"/>
      <c r="AI629" s="44"/>
      <c r="AJ629" s="44"/>
      <c r="AK629" s="44"/>
      <c r="AL629" s="44"/>
      <c r="AM629" s="44"/>
      <c r="AN629" s="44"/>
    </row>
    <row r="630" spans="1:40" ht="16.5" customHeight="1">
      <c r="A630" s="44"/>
      <c r="B630" s="44"/>
      <c r="C630" s="44"/>
      <c r="D630" s="172"/>
      <c r="E630" s="44"/>
      <c r="F630" s="44"/>
      <c r="G630" s="44"/>
      <c r="H630" s="44"/>
      <c r="I630" s="44"/>
      <c r="J630" s="44"/>
      <c r="K630" s="53"/>
      <c r="L630" s="44"/>
      <c r="M630" s="44"/>
      <c r="N630" s="44"/>
      <c r="O630" s="44"/>
      <c r="P630" s="44"/>
      <c r="Q630" s="44"/>
      <c r="R630" s="44"/>
      <c r="S630" s="44"/>
      <c r="T630" s="44"/>
      <c r="U630" s="44"/>
      <c r="V630" s="44"/>
      <c r="W630" s="44"/>
      <c r="X630" s="44"/>
      <c r="Y630" s="44"/>
      <c r="Z630" s="44"/>
      <c r="AA630" s="44"/>
      <c r="AB630" s="44"/>
      <c r="AC630" s="44"/>
      <c r="AD630" s="44"/>
      <c r="AE630" s="44"/>
      <c r="AF630" s="44"/>
      <c r="AG630" s="44"/>
      <c r="AH630" s="44"/>
      <c r="AI630" s="44"/>
      <c r="AJ630" s="44"/>
      <c r="AK630" s="44"/>
      <c r="AL630" s="44"/>
      <c r="AM630" s="44"/>
      <c r="AN630" s="44"/>
    </row>
    <row r="631" spans="1:40" ht="16.5" customHeight="1">
      <c r="A631" s="44"/>
      <c r="B631" s="44"/>
      <c r="C631" s="44"/>
      <c r="D631" s="172"/>
      <c r="E631" s="44"/>
      <c r="F631" s="44"/>
      <c r="G631" s="44"/>
      <c r="H631" s="44"/>
      <c r="I631" s="44"/>
      <c r="J631" s="44"/>
      <c r="K631" s="53"/>
      <c r="L631" s="44"/>
      <c r="M631" s="44"/>
      <c r="N631" s="44"/>
      <c r="O631" s="44"/>
      <c r="P631" s="44"/>
      <c r="Q631" s="44"/>
      <c r="R631" s="44"/>
      <c r="S631" s="44"/>
      <c r="T631" s="44"/>
      <c r="U631" s="44"/>
      <c r="V631" s="44"/>
      <c r="W631" s="44"/>
      <c r="X631" s="44"/>
      <c r="Y631" s="44"/>
      <c r="Z631" s="44"/>
      <c r="AA631" s="44"/>
      <c r="AB631" s="44"/>
      <c r="AC631" s="44"/>
      <c r="AD631" s="44"/>
      <c r="AE631" s="44"/>
      <c r="AF631" s="44"/>
      <c r="AG631" s="44"/>
      <c r="AH631" s="44"/>
      <c r="AI631" s="44"/>
      <c r="AJ631" s="44"/>
      <c r="AK631" s="44"/>
      <c r="AL631" s="44"/>
      <c r="AM631" s="44"/>
      <c r="AN631" s="44"/>
    </row>
    <row r="632" spans="1:40" ht="16.5" customHeight="1">
      <c r="A632" s="44"/>
      <c r="B632" s="44"/>
      <c r="C632" s="44"/>
      <c r="D632" s="172"/>
      <c r="E632" s="44"/>
      <c r="F632" s="44"/>
      <c r="G632" s="44"/>
      <c r="H632" s="44"/>
      <c r="I632" s="44"/>
      <c r="J632" s="44"/>
      <c r="K632" s="53"/>
      <c r="L632" s="44"/>
      <c r="M632" s="44"/>
      <c r="N632" s="44"/>
      <c r="O632" s="44"/>
      <c r="P632" s="44"/>
      <c r="Q632" s="44"/>
      <c r="R632" s="44"/>
      <c r="S632" s="44"/>
      <c r="T632" s="44"/>
      <c r="U632" s="44"/>
      <c r="V632" s="44"/>
      <c r="W632" s="44"/>
      <c r="X632" s="44"/>
      <c r="Y632" s="44"/>
      <c r="Z632" s="44"/>
      <c r="AA632" s="44"/>
      <c r="AB632" s="44"/>
      <c r="AC632" s="44"/>
      <c r="AD632" s="44"/>
      <c r="AE632" s="44"/>
      <c r="AF632" s="44"/>
      <c r="AG632" s="44"/>
      <c r="AH632" s="44"/>
      <c r="AI632" s="44"/>
      <c r="AJ632" s="44"/>
      <c r="AK632" s="44"/>
      <c r="AL632" s="44"/>
      <c r="AM632" s="44"/>
      <c r="AN632" s="44"/>
    </row>
    <row r="633" spans="1:40" ht="16.5" customHeight="1">
      <c r="A633" s="44"/>
      <c r="B633" s="44"/>
      <c r="C633" s="44"/>
      <c r="D633" s="172"/>
      <c r="E633" s="44"/>
      <c r="F633" s="44"/>
      <c r="G633" s="44"/>
      <c r="H633" s="44"/>
      <c r="I633" s="44"/>
      <c r="J633" s="44"/>
      <c r="K633" s="53"/>
      <c r="L633" s="44"/>
      <c r="M633" s="44"/>
      <c r="N633" s="44"/>
      <c r="O633" s="44"/>
      <c r="P633" s="44"/>
      <c r="Q633" s="44"/>
      <c r="R633" s="44"/>
      <c r="S633" s="44"/>
      <c r="T633" s="44"/>
      <c r="U633" s="44"/>
      <c r="V633" s="44"/>
      <c r="W633" s="44"/>
      <c r="X633" s="44"/>
      <c r="Y633" s="44"/>
      <c r="Z633" s="44"/>
      <c r="AA633" s="44"/>
      <c r="AB633" s="44"/>
      <c r="AC633" s="44"/>
      <c r="AD633" s="44"/>
      <c r="AE633" s="44"/>
      <c r="AF633" s="44"/>
      <c r="AG633" s="44"/>
      <c r="AH633" s="44"/>
      <c r="AI633" s="44"/>
      <c r="AJ633" s="44"/>
      <c r="AK633" s="44"/>
      <c r="AL633" s="44"/>
      <c r="AM633" s="44"/>
      <c r="AN633" s="44"/>
    </row>
    <row r="634" spans="1:40" ht="16.5" customHeight="1">
      <c r="A634" s="44"/>
      <c r="B634" s="44"/>
      <c r="C634" s="44"/>
      <c r="D634" s="172"/>
      <c r="E634" s="44"/>
      <c r="F634" s="44"/>
      <c r="G634" s="44"/>
      <c r="H634" s="44"/>
      <c r="I634" s="44"/>
      <c r="J634" s="44"/>
      <c r="K634" s="53"/>
      <c r="L634" s="44"/>
      <c r="M634" s="44"/>
      <c r="N634" s="44"/>
      <c r="O634" s="44"/>
      <c r="P634" s="44"/>
      <c r="Q634" s="44"/>
      <c r="R634" s="44"/>
      <c r="S634" s="44"/>
      <c r="T634" s="44"/>
      <c r="U634" s="44"/>
      <c r="V634" s="44"/>
      <c r="W634" s="44"/>
      <c r="X634" s="44"/>
      <c r="Y634" s="44"/>
      <c r="Z634" s="44"/>
      <c r="AA634" s="44"/>
      <c r="AB634" s="44"/>
      <c r="AC634" s="44"/>
      <c r="AD634" s="44"/>
      <c r="AE634" s="44"/>
      <c r="AF634" s="44"/>
      <c r="AG634" s="44"/>
      <c r="AH634" s="44"/>
      <c r="AI634" s="44"/>
      <c r="AJ634" s="44"/>
      <c r="AK634" s="44"/>
      <c r="AL634" s="44"/>
      <c r="AM634" s="44"/>
      <c r="AN634" s="44"/>
    </row>
    <row r="635" spans="1:40" ht="16.5" customHeight="1">
      <c r="A635" s="44"/>
      <c r="B635" s="44"/>
      <c r="C635" s="44"/>
      <c r="D635" s="172"/>
      <c r="E635" s="44"/>
      <c r="F635" s="44"/>
      <c r="G635" s="44"/>
      <c r="H635" s="44"/>
      <c r="I635" s="44"/>
      <c r="J635" s="44"/>
      <c r="K635" s="53"/>
      <c r="L635" s="44"/>
      <c r="M635" s="44"/>
      <c r="N635" s="44"/>
      <c r="O635" s="44"/>
      <c r="P635" s="44"/>
      <c r="Q635" s="44"/>
      <c r="R635" s="44"/>
      <c r="S635" s="44"/>
      <c r="T635" s="44"/>
      <c r="U635" s="44"/>
      <c r="V635" s="44"/>
      <c r="W635" s="44"/>
      <c r="X635" s="44"/>
      <c r="Y635" s="44"/>
      <c r="Z635" s="44"/>
      <c r="AA635" s="44"/>
      <c r="AB635" s="44"/>
      <c r="AC635" s="44"/>
      <c r="AD635" s="44"/>
      <c r="AE635" s="44"/>
      <c r="AF635" s="44"/>
      <c r="AG635" s="44"/>
      <c r="AH635" s="44"/>
      <c r="AI635" s="44"/>
      <c r="AJ635" s="44"/>
      <c r="AK635" s="44"/>
      <c r="AL635" s="44"/>
      <c r="AM635" s="44"/>
      <c r="AN635" s="44"/>
    </row>
    <row r="636" spans="1:40" ht="16.5" customHeight="1">
      <c r="A636" s="44"/>
      <c r="B636" s="44"/>
      <c r="C636" s="44"/>
      <c r="D636" s="172"/>
      <c r="E636" s="44"/>
      <c r="F636" s="44"/>
      <c r="G636" s="44"/>
      <c r="H636" s="44"/>
      <c r="I636" s="44"/>
      <c r="J636" s="44"/>
      <c r="K636" s="53"/>
      <c r="L636" s="44"/>
      <c r="M636" s="44"/>
      <c r="N636" s="44"/>
      <c r="O636" s="44"/>
      <c r="P636" s="44"/>
      <c r="Q636" s="44"/>
      <c r="R636" s="44"/>
      <c r="S636" s="44"/>
      <c r="T636" s="44"/>
      <c r="U636" s="44"/>
      <c r="V636" s="44"/>
      <c r="W636" s="44"/>
      <c r="X636" s="44"/>
      <c r="Y636" s="44"/>
      <c r="Z636" s="44"/>
      <c r="AA636" s="44"/>
      <c r="AB636" s="44"/>
      <c r="AC636" s="44"/>
      <c r="AD636" s="44"/>
      <c r="AE636" s="44"/>
      <c r="AF636" s="44"/>
      <c r="AG636" s="44"/>
      <c r="AH636" s="44"/>
      <c r="AI636" s="44"/>
      <c r="AJ636" s="44"/>
      <c r="AK636" s="44"/>
      <c r="AL636" s="44"/>
      <c r="AM636" s="44"/>
      <c r="AN636" s="44"/>
    </row>
    <row r="637" spans="1:40" ht="16.5" customHeight="1">
      <c r="A637" s="44"/>
      <c r="B637" s="44"/>
      <c r="C637" s="44"/>
      <c r="D637" s="172"/>
      <c r="E637" s="44"/>
      <c r="F637" s="44"/>
      <c r="G637" s="44"/>
      <c r="H637" s="44"/>
      <c r="I637" s="44"/>
      <c r="J637" s="44"/>
      <c r="K637" s="53"/>
      <c r="L637" s="44"/>
      <c r="M637" s="44"/>
      <c r="N637" s="44"/>
      <c r="O637" s="44"/>
      <c r="P637" s="44"/>
      <c r="Q637" s="44"/>
      <c r="R637" s="44"/>
      <c r="S637" s="44"/>
      <c r="T637" s="44"/>
      <c r="U637" s="44"/>
      <c r="V637" s="44"/>
      <c r="W637" s="44"/>
      <c r="X637" s="44"/>
      <c r="Y637" s="44"/>
      <c r="Z637" s="44"/>
      <c r="AA637" s="44"/>
      <c r="AB637" s="44"/>
      <c r="AC637" s="44"/>
      <c r="AD637" s="44"/>
      <c r="AE637" s="44"/>
      <c r="AF637" s="44"/>
      <c r="AG637" s="44"/>
      <c r="AH637" s="44"/>
      <c r="AI637" s="44"/>
      <c r="AJ637" s="44"/>
      <c r="AK637" s="44"/>
      <c r="AL637" s="44"/>
      <c r="AM637" s="44"/>
      <c r="AN637" s="44"/>
    </row>
    <row r="638" spans="1:40" ht="16.5" customHeight="1">
      <c r="A638" s="44"/>
      <c r="B638" s="44"/>
      <c r="C638" s="44"/>
      <c r="D638" s="172"/>
      <c r="E638" s="44"/>
      <c r="F638" s="44"/>
      <c r="G638" s="44"/>
      <c r="H638" s="44"/>
      <c r="I638" s="44"/>
      <c r="J638" s="44"/>
      <c r="K638" s="53"/>
      <c r="L638" s="44"/>
      <c r="M638" s="44"/>
      <c r="N638" s="44"/>
      <c r="O638" s="44"/>
      <c r="P638" s="44"/>
      <c r="Q638" s="44"/>
      <c r="R638" s="44"/>
      <c r="S638" s="44"/>
      <c r="T638" s="44"/>
      <c r="U638" s="44"/>
      <c r="V638" s="44"/>
      <c r="W638" s="44"/>
      <c r="X638" s="44"/>
      <c r="Y638" s="44"/>
      <c r="Z638" s="44"/>
      <c r="AA638" s="44"/>
      <c r="AB638" s="44"/>
      <c r="AC638" s="44"/>
      <c r="AD638" s="44"/>
      <c r="AE638" s="44"/>
      <c r="AF638" s="44"/>
      <c r="AG638" s="44"/>
      <c r="AH638" s="44"/>
      <c r="AI638" s="44"/>
      <c r="AJ638" s="44"/>
      <c r="AK638" s="44"/>
      <c r="AL638" s="44"/>
      <c r="AM638" s="44"/>
      <c r="AN638" s="44"/>
    </row>
    <row r="639" spans="1:40" ht="16.5" customHeight="1">
      <c r="A639" s="44"/>
      <c r="B639" s="44"/>
      <c r="C639" s="44"/>
      <c r="D639" s="172"/>
      <c r="E639" s="44"/>
      <c r="F639" s="44"/>
      <c r="G639" s="44"/>
      <c r="H639" s="44"/>
      <c r="I639" s="44"/>
      <c r="J639" s="44"/>
      <c r="K639" s="53"/>
      <c r="L639" s="44"/>
      <c r="M639" s="44"/>
      <c r="N639" s="44"/>
      <c r="O639" s="44"/>
      <c r="P639" s="44"/>
      <c r="Q639" s="44"/>
      <c r="R639" s="44"/>
      <c r="S639" s="44"/>
      <c r="T639" s="44"/>
      <c r="U639" s="44"/>
      <c r="V639" s="44"/>
      <c r="W639" s="44"/>
      <c r="X639" s="44"/>
      <c r="Y639" s="44"/>
      <c r="Z639" s="44"/>
      <c r="AA639" s="44"/>
      <c r="AB639" s="44"/>
      <c r="AC639" s="44"/>
      <c r="AD639" s="44"/>
      <c r="AE639" s="44"/>
      <c r="AF639" s="44"/>
      <c r="AG639" s="44"/>
      <c r="AH639" s="44"/>
      <c r="AI639" s="44"/>
      <c r="AJ639" s="44"/>
      <c r="AK639" s="44"/>
      <c r="AL639" s="44"/>
      <c r="AM639" s="44"/>
      <c r="AN639" s="44"/>
    </row>
    <row r="640" spans="1:40" ht="16.5" customHeight="1">
      <c r="A640" s="44"/>
      <c r="B640" s="44"/>
      <c r="C640" s="44"/>
      <c r="D640" s="172"/>
      <c r="E640" s="44"/>
      <c r="F640" s="44"/>
      <c r="G640" s="44"/>
      <c r="H640" s="44"/>
      <c r="I640" s="44"/>
      <c r="J640" s="44"/>
      <c r="K640" s="53"/>
      <c r="L640" s="44"/>
      <c r="M640" s="44"/>
      <c r="N640" s="44"/>
      <c r="O640" s="44"/>
      <c r="P640" s="44"/>
      <c r="Q640" s="44"/>
      <c r="R640" s="44"/>
      <c r="S640" s="44"/>
      <c r="T640" s="44"/>
      <c r="U640" s="44"/>
      <c r="V640" s="44"/>
      <c r="W640" s="44"/>
      <c r="X640" s="44"/>
      <c r="Y640" s="44"/>
      <c r="Z640" s="44"/>
      <c r="AA640" s="44"/>
      <c r="AB640" s="44"/>
      <c r="AC640" s="44"/>
      <c r="AD640" s="44"/>
      <c r="AE640" s="44"/>
      <c r="AF640" s="44"/>
      <c r="AG640" s="44"/>
      <c r="AH640" s="44"/>
      <c r="AI640" s="44"/>
      <c r="AJ640" s="44"/>
      <c r="AK640" s="44"/>
      <c r="AL640" s="44"/>
      <c r="AM640" s="44"/>
      <c r="AN640" s="44"/>
    </row>
    <row r="641" spans="1:40" ht="16.5" customHeight="1">
      <c r="A641" s="44"/>
      <c r="B641" s="44"/>
      <c r="C641" s="44"/>
      <c r="D641" s="172"/>
      <c r="E641" s="44"/>
      <c r="F641" s="44"/>
      <c r="G641" s="44"/>
      <c r="H641" s="44"/>
      <c r="I641" s="44"/>
      <c r="J641" s="44"/>
      <c r="K641" s="53"/>
      <c r="L641" s="44"/>
      <c r="M641" s="44"/>
      <c r="N641" s="44"/>
      <c r="O641" s="44"/>
      <c r="P641" s="44"/>
      <c r="Q641" s="44"/>
      <c r="R641" s="44"/>
      <c r="S641" s="44"/>
      <c r="T641" s="44"/>
      <c r="U641" s="44"/>
      <c r="V641" s="44"/>
      <c r="W641" s="44"/>
      <c r="X641" s="44"/>
      <c r="Y641" s="44"/>
      <c r="Z641" s="44"/>
      <c r="AA641" s="44"/>
      <c r="AB641" s="44"/>
      <c r="AC641" s="44"/>
      <c r="AD641" s="44"/>
      <c r="AE641" s="44"/>
      <c r="AF641" s="44"/>
      <c r="AG641" s="44"/>
      <c r="AH641" s="44"/>
      <c r="AI641" s="44"/>
      <c r="AJ641" s="44"/>
      <c r="AK641" s="44"/>
      <c r="AL641" s="44"/>
      <c r="AM641" s="44"/>
      <c r="AN641" s="44"/>
    </row>
    <row r="642" spans="1:40" ht="16.5" customHeight="1">
      <c r="A642" s="44"/>
      <c r="B642" s="44"/>
      <c r="C642" s="44"/>
      <c r="D642" s="172"/>
      <c r="E642" s="44"/>
      <c r="F642" s="44"/>
      <c r="G642" s="44"/>
      <c r="H642" s="44"/>
      <c r="I642" s="44"/>
      <c r="J642" s="44"/>
      <c r="K642" s="53"/>
      <c r="L642" s="44"/>
      <c r="M642" s="44"/>
      <c r="N642" s="44"/>
      <c r="O642" s="44"/>
      <c r="P642" s="44"/>
      <c r="Q642" s="44"/>
      <c r="R642" s="44"/>
      <c r="S642" s="44"/>
      <c r="T642" s="44"/>
      <c r="U642" s="44"/>
      <c r="V642" s="44"/>
      <c r="W642" s="44"/>
      <c r="X642" s="44"/>
      <c r="Y642" s="44"/>
      <c r="Z642" s="44"/>
      <c r="AA642" s="44"/>
      <c r="AB642" s="44"/>
      <c r="AC642" s="44"/>
      <c r="AD642" s="44"/>
      <c r="AE642" s="44"/>
      <c r="AF642" s="44"/>
      <c r="AG642" s="44"/>
      <c r="AH642" s="44"/>
      <c r="AI642" s="44"/>
      <c r="AJ642" s="44"/>
      <c r="AK642" s="44"/>
      <c r="AL642" s="44"/>
      <c r="AM642" s="44"/>
      <c r="AN642" s="44"/>
    </row>
    <row r="643" spans="1:40" ht="16.5" customHeight="1">
      <c r="A643" s="44"/>
      <c r="B643" s="44"/>
      <c r="C643" s="44"/>
      <c r="D643" s="172"/>
      <c r="E643" s="44"/>
      <c r="F643" s="44"/>
      <c r="G643" s="44"/>
      <c r="H643" s="44"/>
      <c r="I643" s="44"/>
      <c r="J643" s="44"/>
      <c r="K643" s="53"/>
      <c r="L643" s="44"/>
      <c r="M643" s="44"/>
      <c r="N643" s="44"/>
      <c r="O643" s="44"/>
      <c r="P643" s="44"/>
      <c r="Q643" s="44"/>
      <c r="R643" s="44"/>
      <c r="S643" s="44"/>
      <c r="T643" s="44"/>
      <c r="U643" s="44"/>
      <c r="V643" s="44"/>
      <c r="W643" s="44"/>
      <c r="X643" s="44"/>
      <c r="Y643" s="44"/>
      <c r="Z643" s="44"/>
      <c r="AA643" s="44"/>
      <c r="AB643" s="44"/>
      <c r="AC643" s="44"/>
      <c r="AD643" s="44"/>
      <c r="AE643" s="44"/>
      <c r="AF643" s="44"/>
      <c r="AG643" s="44"/>
      <c r="AH643" s="44"/>
      <c r="AI643" s="44"/>
      <c r="AJ643" s="44"/>
      <c r="AK643" s="44"/>
      <c r="AL643" s="44"/>
      <c r="AM643" s="44"/>
      <c r="AN643" s="44"/>
    </row>
    <row r="644" spans="1:40" ht="16.5" customHeight="1">
      <c r="A644" s="44"/>
      <c r="B644" s="44"/>
      <c r="C644" s="44"/>
      <c r="D644" s="172"/>
      <c r="E644" s="44"/>
      <c r="F644" s="44"/>
      <c r="G644" s="44"/>
      <c r="H644" s="44"/>
      <c r="I644" s="44"/>
      <c r="J644" s="44"/>
      <c r="K644" s="53"/>
      <c r="L644" s="44"/>
      <c r="M644" s="44"/>
      <c r="N644" s="44"/>
      <c r="O644" s="44"/>
      <c r="P644" s="44"/>
      <c r="Q644" s="44"/>
      <c r="R644" s="44"/>
      <c r="S644" s="44"/>
      <c r="T644" s="44"/>
      <c r="U644" s="44"/>
      <c r="V644" s="44"/>
      <c r="W644" s="44"/>
      <c r="X644" s="44"/>
      <c r="Y644" s="44"/>
      <c r="Z644" s="44"/>
      <c r="AA644" s="44"/>
      <c r="AB644" s="44"/>
      <c r="AC644" s="44"/>
      <c r="AD644" s="44"/>
      <c r="AE644" s="44"/>
      <c r="AF644" s="44"/>
      <c r="AG644" s="44"/>
      <c r="AH644" s="44"/>
      <c r="AI644" s="44"/>
      <c r="AJ644" s="44"/>
      <c r="AK644" s="44"/>
      <c r="AL644" s="44"/>
      <c r="AM644" s="44"/>
      <c r="AN644" s="44"/>
    </row>
    <row r="645" spans="1:40" ht="16.5" customHeight="1">
      <c r="A645" s="44"/>
      <c r="B645" s="44"/>
      <c r="C645" s="44"/>
      <c r="D645" s="172"/>
      <c r="E645" s="44"/>
      <c r="F645" s="44"/>
      <c r="G645" s="44"/>
      <c r="H645" s="44"/>
      <c r="I645" s="44"/>
      <c r="J645" s="44"/>
      <c r="K645" s="53"/>
      <c r="L645" s="44"/>
      <c r="M645" s="44"/>
      <c r="N645" s="44"/>
      <c r="O645" s="44"/>
      <c r="P645" s="44"/>
      <c r="Q645" s="44"/>
      <c r="R645" s="44"/>
      <c r="S645" s="44"/>
      <c r="T645" s="44"/>
      <c r="U645" s="44"/>
      <c r="V645" s="44"/>
      <c r="W645" s="44"/>
      <c r="X645" s="44"/>
      <c r="Y645" s="44"/>
      <c r="Z645" s="44"/>
      <c r="AA645" s="44"/>
      <c r="AB645" s="44"/>
      <c r="AC645" s="44"/>
      <c r="AD645" s="44"/>
      <c r="AE645" s="44"/>
      <c r="AF645" s="44"/>
      <c r="AG645" s="44"/>
      <c r="AH645" s="44"/>
      <c r="AI645" s="44"/>
      <c r="AJ645" s="44"/>
      <c r="AK645" s="44"/>
      <c r="AL645" s="44"/>
      <c r="AM645" s="44"/>
      <c r="AN645" s="44"/>
    </row>
    <row r="646" spans="1:40" ht="16.5" customHeight="1">
      <c r="A646" s="44"/>
      <c r="B646" s="44"/>
      <c r="C646" s="44"/>
      <c r="D646" s="172"/>
      <c r="E646" s="44"/>
      <c r="F646" s="44"/>
      <c r="G646" s="44"/>
      <c r="H646" s="44"/>
      <c r="I646" s="44"/>
      <c r="J646" s="44"/>
      <c r="K646" s="53"/>
      <c r="L646" s="44"/>
      <c r="M646" s="44"/>
      <c r="N646" s="44"/>
      <c r="O646" s="44"/>
      <c r="P646" s="44"/>
      <c r="Q646" s="44"/>
      <c r="R646" s="44"/>
      <c r="S646" s="44"/>
      <c r="T646" s="44"/>
      <c r="U646" s="44"/>
      <c r="V646" s="44"/>
      <c r="W646" s="44"/>
      <c r="X646" s="44"/>
      <c r="Y646" s="44"/>
      <c r="Z646" s="44"/>
      <c r="AA646" s="44"/>
      <c r="AB646" s="44"/>
      <c r="AC646" s="44"/>
      <c r="AD646" s="44"/>
      <c r="AE646" s="44"/>
      <c r="AF646" s="44"/>
      <c r="AG646" s="44"/>
      <c r="AH646" s="44"/>
      <c r="AI646" s="44"/>
      <c r="AJ646" s="44"/>
      <c r="AK646" s="44"/>
      <c r="AL646" s="44"/>
      <c r="AM646" s="44"/>
      <c r="AN646" s="44"/>
    </row>
    <row r="647" spans="1:40" ht="16.5" customHeight="1">
      <c r="A647" s="44"/>
      <c r="B647" s="44"/>
      <c r="C647" s="44"/>
      <c r="D647" s="172"/>
      <c r="E647" s="44"/>
      <c r="F647" s="44"/>
      <c r="G647" s="44"/>
      <c r="H647" s="44"/>
      <c r="I647" s="44"/>
      <c r="J647" s="44"/>
      <c r="K647" s="53"/>
      <c r="L647" s="44"/>
      <c r="M647" s="44"/>
      <c r="N647" s="44"/>
      <c r="O647" s="44"/>
      <c r="P647" s="44"/>
      <c r="Q647" s="44"/>
      <c r="R647" s="44"/>
      <c r="S647" s="44"/>
      <c r="T647" s="44"/>
      <c r="U647" s="44"/>
      <c r="V647" s="44"/>
      <c r="W647" s="44"/>
      <c r="X647" s="44"/>
      <c r="Y647" s="44"/>
      <c r="Z647" s="44"/>
      <c r="AA647" s="44"/>
      <c r="AB647" s="44"/>
      <c r="AC647" s="44"/>
      <c r="AD647" s="44"/>
      <c r="AE647" s="44"/>
      <c r="AF647" s="44"/>
      <c r="AG647" s="44"/>
      <c r="AH647" s="44"/>
      <c r="AI647" s="44"/>
      <c r="AJ647" s="44"/>
      <c r="AK647" s="44"/>
      <c r="AL647" s="44"/>
      <c r="AM647" s="44"/>
      <c r="AN647" s="44"/>
    </row>
    <row r="648" spans="1:40" ht="16.5" customHeight="1">
      <c r="A648" s="44"/>
      <c r="B648" s="44"/>
      <c r="C648" s="44"/>
      <c r="D648" s="172"/>
      <c r="E648" s="44"/>
      <c r="F648" s="44"/>
      <c r="G648" s="44"/>
      <c r="H648" s="44"/>
      <c r="I648" s="44"/>
      <c r="J648" s="44"/>
      <c r="K648" s="53"/>
      <c r="L648" s="44"/>
      <c r="M648" s="44"/>
      <c r="N648" s="44"/>
      <c r="O648" s="44"/>
      <c r="P648" s="44"/>
      <c r="Q648" s="44"/>
      <c r="R648" s="44"/>
      <c r="S648" s="44"/>
      <c r="T648" s="44"/>
      <c r="U648" s="44"/>
      <c r="V648" s="44"/>
      <c r="W648" s="44"/>
      <c r="X648" s="44"/>
      <c r="Y648" s="44"/>
      <c r="Z648" s="44"/>
      <c r="AA648" s="44"/>
      <c r="AB648" s="44"/>
      <c r="AC648" s="44"/>
      <c r="AD648" s="44"/>
      <c r="AE648" s="44"/>
      <c r="AF648" s="44"/>
      <c r="AG648" s="44"/>
      <c r="AH648" s="44"/>
      <c r="AI648" s="44"/>
      <c r="AJ648" s="44"/>
      <c r="AK648" s="44"/>
      <c r="AL648" s="44"/>
      <c r="AM648" s="44"/>
      <c r="AN648" s="44"/>
    </row>
    <row r="649" spans="1:40" ht="16.5" customHeight="1">
      <c r="A649" s="44"/>
      <c r="B649" s="44"/>
      <c r="C649" s="44"/>
      <c r="D649" s="172"/>
      <c r="E649" s="44"/>
      <c r="F649" s="44"/>
      <c r="G649" s="44"/>
      <c r="H649" s="44"/>
      <c r="I649" s="44"/>
      <c r="J649" s="44"/>
      <c r="K649" s="53"/>
      <c r="L649" s="44"/>
      <c r="M649" s="44"/>
      <c r="N649" s="44"/>
      <c r="O649" s="44"/>
      <c r="P649" s="44"/>
      <c r="Q649" s="44"/>
      <c r="R649" s="44"/>
      <c r="S649" s="44"/>
      <c r="T649" s="44"/>
      <c r="U649" s="44"/>
      <c r="V649" s="44"/>
      <c r="W649" s="44"/>
      <c r="X649" s="44"/>
      <c r="Y649" s="44"/>
      <c r="Z649" s="44"/>
      <c r="AA649" s="44"/>
      <c r="AB649" s="44"/>
      <c r="AC649" s="44"/>
      <c r="AD649" s="44"/>
      <c r="AE649" s="44"/>
      <c r="AF649" s="44"/>
      <c r="AG649" s="44"/>
      <c r="AH649" s="44"/>
      <c r="AI649" s="44"/>
      <c r="AJ649" s="44"/>
      <c r="AK649" s="44"/>
      <c r="AL649" s="44"/>
      <c r="AM649" s="44"/>
      <c r="AN649" s="44"/>
    </row>
    <row r="650" spans="1:40" ht="16.5" customHeight="1">
      <c r="A650" s="44"/>
      <c r="B650" s="44"/>
      <c r="C650" s="44"/>
      <c r="D650" s="172"/>
      <c r="E650" s="44"/>
      <c r="F650" s="44"/>
      <c r="G650" s="44"/>
      <c r="H650" s="44"/>
      <c r="I650" s="44"/>
      <c r="J650" s="44"/>
      <c r="K650" s="53"/>
      <c r="L650" s="44"/>
      <c r="M650" s="44"/>
      <c r="N650" s="44"/>
      <c r="O650" s="44"/>
      <c r="P650" s="44"/>
      <c r="Q650" s="44"/>
      <c r="R650" s="44"/>
      <c r="S650" s="44"/>
      <c r="T650" s="44"/>
      <c r="U650" s="44"/>
      <c r="V650" s="44"/>
      <c r="W650" s="44"/>
      <c r="X650" s="44"/>
      <c r="Y650" s="44"/>
      <c r="Z650" s="44"/>
      <c r="AA650" s="44"/>
      <c r="AB650" s="44"/>
      <c r="AC650" s="44"/>
      <c r="AD650" s="44"/>
      <c r="AE650" s="44"/>
      <c r="AF650" s="44"/>
      <c r="AG650" s="44"/>
      <c r="AH650" s="44"/>
      <c r="AI650" s="44"/>
      <c r="AJ650" s="44"/>
      <c r="AK650" s="44"/>
      <c r="AL650" s="44"/>
      <c r="AM650" s="44"/>
      <c r="AN650" s="44"/>
    </row>
    <row r="651" spans="1:40" ht="16.5" customHeight="1">
      <c r="A651" s="44"/>
      <c r="B651" s="44"/>
      <c r="C651" s="44"/>
      <c r="D651" s="172"/>
      <c r="E651" s="44"/>
      <c r="F651" s="44"/>
      <c r="G651" s="44"/>
      <c r="H651" s="44"/>
      <c r="I651" s="44"/>
      <c r="J651" s="44"/>
      <c r="K651" s="53"/>
      <c r="L651" s="44"/>
      <c r="M651" s="44"/>
      <c r="N651" s="44"/>
      <c r="O651" s="44"/>
      <c r="P651" s="44"/>
      <c r="Q651" s="44"/>
      <c r="R651" s="44"/>
      <c r="S651" s="44"/>
      <c r="T651" s="44"/>
      <c r="U651" s="44"/>
      <c r="V651" s="44"/>
      <c r="W651" s="44"/>
      <c r="X651" s="44"/>
      <c r="Y651" s="44"/>
      <c r="Z651" s="44"/>
      <c r="AA651" s="44"/>
      <c r="AB651" s="44"/>
      <c r="AC651" s="44"/>
      <c r="AD651" s="44"/>
      <c r="AE651" s="44"/>
      <c r="AF651" s="44"/>
      <c r="AG651" s="44"/>
      <c r="AH651" s="44"/>
      <c r="AI651" s="44"/>
      <c r="AJ651" s="44"/>
      <c r="AK651" s="44"/>
      <c r="AL651" s="44"/>
      <c r="AM651" s="44"/>
      <c r="AN651" s="44"/>
    </row>
    <row r="652" spans="1:40" ht="16.5" customHeight="1">
      <c r="A652" s="44"/>
      <c r="B652" s="44"/>
      <c r="C652" s="44"/>
      <c r="D652" s="172"/>
      <c r="E652" s="44"/>
      <c r="F652" s="44"/>
      <c r="G652" s="44"/>
      <c r="H652" s="44"/>
      <c r="I652" s="44"/>
      <c r="J652" s="44"/>
      <c r="K652" s="53"/>
      <c r="L652" s="44"/>
      <c r="M652" s="44"/>
      <c r="N652" s="44"/>
      <c r="O652" s="44"/>
      <c r="P652" s="44"/>
      <c r="Q652" s="44"/>
      <c r="R652" s="44"/>
      <c r="S652" s="44"/>
      <c r="T652" s="44"/>
      <c r="U652" s="44"/>
      <c r="V652" s="44"/>
      <c r="W652" s="44"/>
      <c r="X652" s="44"/>
      <c r="Y652" s="44"/>
      <c r="Z652" s="44"/>
      <c r="AA652" s="44"/>
      <c r="AB652" s="44"/>
      <c r="AC652" s="44"/>
      <c r="AD652" s="44"/>
      <c r="AE652" s="44"/>
      <c r="AF652" s="44"/>
      <c r="AG652" s="44"/>
      <c r="AH652" s="44"/>
      <c r="AI652" s="44"/>
      <c r="AJ652" s="44"/>
      <c r="AK652" s="44"/>
      <c r="AL652" s="44"/>
      <c r="AM652" s="44"/>
      <c r="AN652" s="44"/>
    </row>
    <row r="653" spans="1:40" ht="16.5" customHeight="1">
      <c r="A653" s="44"/>
      <c r="B653" s="44"/>
      <c r="C653" s="44"/>
      <c r="D653" s="172"/>
      <c r="E653" s="44"/>
      <c r="F653" s="44"/>
      <c r="G653" s="44"/>
      <c r="H653" s="44"/>
      <c r="I653" s="44"/>
      <c r="J653" s="44"/>
      <c r="K653" s="53"/>
      <c r="L653" s="44"/>
      <c r="M653" s="44"/>
      <c r="N653" s="44"/>
      <c r="O653" s="44"/>
      <c r="P653" s="44"/>
      <c r="Q653" s="44"/>
      <c r="R653" s="44"/>
      <c r="S653" s="44"/>
      <c r="T653" s="44"/>
      <c r="U653" s="44"/>
      <c r="V653" s="44"/>
      <c r="W653" s="44"/>
      <c r="X653" s="44"/>
      <c r="Y653" s="44"/>
      <c r="Z653" s="44"/>
      <c r="AA653" s="44"/>
      <c r="AB653" s="44"/>
      <c r="AC653" s="44"/>
      <c r="AD653" s="44"/>
      <c r="AE653" s="44"/>
      <c r="AF653" s="44"/>
      <c r="AG653" s="44"/>
      <c r="AH653" s="44"/>
      <c r="AI653" s="44"/>
      <c r="AJ653" s="44"/>
      <c r="AK653" s="44"/>
      <c r="AL653" s="44"/>
      <c r="AM653" s="44"/>
      <c r="AN653" s="44"/>
    </row>
    <row r="654" spans="1:40" ht="16.5" customHeight="1">
      <c r="A654" s="44"/>
      <c r="B654" s="44"/>
      <c r="C654" s="44"/>
      <c r="D654" s="172"/>
      <c r="E654" s="44"/>
      <c r="F654" s="44"/>
      <c r="G654" s="44"/>
      <c r="H654" s="44"/>
      <c r="I654" s="44"/>
      <c r="J654" s="44"/>
      <c r="K654" s="53"/>
      <c r="L654" s="44"/>
      <c r="M654" s="44"/>
      <c r="N654" s="44"/>
      <c r="O654" s="44"/>
      <c r="P654" s="44"/>
      <c r="Q654" s="44"/>
      <c r="R654" s="44"/>
      <c r="S654" s="44"/>
      <c r="T654" s="44"/>
      <c r="U654" s="44"/>
      <c r="V654" s="44"/>
      <c r="W654" s="44"/>
      <c r="X654" s="44"/>
      <c r="Y654" s="44"/>
      <c r="Z654" s="44"/>
      <c r="AA654" s="44"/>
      <c r="AB654" s="44"/>
      <c r="AC654" s="44"/>
      <c r="AD654" s="44"/>
      <c r="AE654" s="44"/>
      <c r="AF654" s="44"/>
      <c r="AG654" s="44"/>
      <c r="AH654" s="44"/>
      <c r="AI654" s="44"/>
      <c r="AJ654" s="44"/>
      <c r="AK654" s="44"/>
      <c r="AL654" s="44"/>
      <c r="AM654" s="44"/>
      <c r="AN654" s="44"/>
    </row>
    <row r="655" spans="1:40" ht="16.5" customHeight="1">
      <c r="A655" s="44"/>
      <c r="B655" s="44"/>
      <c r="C655" s="44"/>
      <c r="D655" s="172"/>
      <c r="E655" s="44"/>
      <c r="F655" s="44"/>
      <c r="G655" s="44"/>
      <c r="H655" s="44"/>
      <c r="I655" s="44"/>
      <c r="J655" s="44"/>
      <c r="K655" s="53"/>
      <c r="L655" s="44"/>
      <c r="M655" s="44"/>
      <c r="N655" s="44"/>
      <c r="O655" s="44"/>
      <c r="P655" s="44"/>
      <c r="Q655" s="44"/>
      <c r="R655" s="44"/>
      <c r="S655" s="44"/>
      <c r="T655" s="44"/>
      <c r="U655" s="44"/>
      <c r="V655" s="44"/>
      <c r="W655" s="44"/>
      <c r="X655" s="44"/>
      <c r="Y655" s="44"/>
      <c r="Z655" s="44"/>
      <c r="AA655" s="44"/>
      <c r="AB655" s="44"/>
      <c r="AC655" s="44"/>
      <c r="AD655" s="44"/>
      <c r="AE655" s="44"/>
      <c r="AF655" s="44"/>
      <c r="AG655" s="44"/>
      <c r="AH655" s="44"/>
      <c r="AI655" s="44"/>
      <c r="AJ655" s="44"/>
      <c r="AK655" s="44"/>
      <c r="AL655" s="44"/>
      <c r="AM655" s="44"/>
      <c r="AN655" s="44"/>
    </row>
    <row r="656" spans="1:40" ht="16.5" customHeight="1">
      <c r="A656" s="44"/>
      <c r="B656" s="44"/>
      <c r="C656" s="44"/>
      <c r="D656" s="172"/>
      <c r="E656" s="44"/>
      <c r="F656" s="44"/>
      <c r="G656" s="44"/>
      <c r="H656" s="44"/>
      <c r="I656" s="44"/>
      <c r="J656" s="44"/>
      <c r="K656" s="53"/>
      <c r="L656" s="44"/>
      <c r="M656" s="44"/>
      <c r="N656" s="44"/>
      <c r="O656" s="44"/>
      <c r="P656" s="44"/>
      <c r="Q656" s="44"/>
      <c r="R656" s="44"/>
      <c r="S656" s="44"/>
      <c r="T656" s="44"/>
      <c r="U656" s="44"/>
      <c r="V656" s="44"/>
      <c r="W656" s="44"/>
      <c r="X656" s="44"/>
      <c r="Y656" s="44"/>
      <c r="Z656" s="44"/>
      <c r="AA656" s="44"/>
      <c r="AB656" s="44"/>
      <c r="AC656" s="44"/>
      <c r="AD656" s="44"/>
      <c r="AE656" s="44"/>
      <c r="AF656" s="44"/>
      <c r="AG656" s="44"/>
      <c r="AH656" s="44"/>
      <c r="AI656" s="44"/>
      <c r="AJ656" s="44"/>
      <c r="AK656" s="44"/>
      <c r="AL656" s="44"/>
      <c r="AM656" s="44"/>
      <c r="AN656" s="44"/>
    </row>
    <row r="657" spans="1:40" ht="16.5" customHeight="1">
      <c r="A657" s="44"/>
      <c r="B657" s="44"/>
      <c r="C657" s="44"/>
      <c r="D657" s="172"/>
      <c r="E657" s="44"/>
      <c r="F657" s="44"/>
      <c r="G657" s="44"/>
      <c r="H657" s="44"/>
      <c r="I657" s="44"/>
      <c r="J657" s="44"/>
      <c r="K657" s="53"/>
      <c r="L657" s="44"/>
      <c r="M657" s="44"/>
      <c r="N657" s="44"/>
      <c r="O657" s="44"/>
      <c r="P657" s="44"/>
      <c r="Q657" s="44"/>
      <c r="R657" s="44"/>
      <c r="S657" s="44"/>
      <c r="T657" s="44"/>
      <c r="U657" s="44"/>
      <c r="V657" s="44"/>
      <c r="W657" s="44"/>
      <c r="X657" s="44"/>
      <c r="Y657" s="44"/>
      <c r="Z657" s="44"/>
      <c r="AA657" s="44"/>
      <c r="AB657" s="44"/>
      <c r="AC657" s="44"/>
      <c r="AD657" s="44"/>
      <c r="AE657" s="44"/>
      <c r="AF657" s="44"/>
      <c r="AG657" s="44"/>
      <c r="AH657" s="44"/>
      <c r="AI657" s="44"/>
      <c r="AJ657" s="44"/>
      <c r="AK657" s="44"/>
      <c r="AL657" s="44"/>
      <c r="AM657" s="44"/>
      <c r="AN657" s="44"/>
    </row>
    <row r="658" spans="1:40" ht="16.5" customHeight="1">
      <c r="A658" s="44"/>
      <c r="B658" s="44"/>
      <c r="C658" s="44"/>
      <c r="D658" s="172"/>
      <c r="E658" s="44"/>
      <c r="F658" s="44"/>
      <c r="G658" s="44"/>
      <c r="H658" s="44"/>
      <c r="I658" s="44"/>
      <c r="J658" s="44"/>
      <c r="K658" s="53"/>
      <c r="L658" s="44"/>
      <c r="M658" s="44"/>
      <c r="N658" s="44"/>
      <c r="O658" s="44"/>
      <c r="P658" s="44"/>
      <c r="Q658" s="44"/>
      <c r="R658" s="44"/>
      <c r="S658" s="44"/>
      <c r="T658" s="44"/>
      <c r="U658" s="44"/>
      <c r="V658" s="44"/>
      <c r="W658" s="44"/>
      <c r="X658" s="44"/>
      <c r="Y658" s="44"/>
      <c r="Z658" s="44"/>
      <c r="AA658" s="44"/>
      <c r="AB658" s="44"/>
      <c r="AC658" s="44"/>
      <c r="AD658" s="44"/>
      <c r="AE658" s="44"/>
      <c r="AF658" s="44"/>
      <c r="AG658" s="44"/>
      <c r="AH658" s="44"/>
      <c r="AI658" s="44"/>
      <c r="AJ658" s="44"/>
      <c r="AK658" s="44"/>
      <c r="AL658" s="44"/>
      <c r="AM658" s="44"/>
      <c r="AN658" s="44"/>
    </row>
    <row r="659" spans="1:40" ht="16.5" customHeight="1">
      <c r="A659" s="44"/>
      <c r="B659" s="44"/>
      <c r="C659" s="44"/>
      <c r="D659" s="172"/>
      <c r="E659" s="44"/>
      <c r="F659" s="44"/>
      <c r="G659" s="44"/>
      <c r="H659" s="44"/>
      <c r="I659" s="44"/>
      <c r="J659" s="44"/>
      <c r="K659" s="53"/>
      <c r="L659" s="44"/>
      <c r="M659" s="44"/>
      <c r="N659" s="44"/>
      <c r="O659" s="44"/>
      <c r="P659" s="44"/>
      <c r="Q659" s="44"/>
      <c r="R659" s="44"/>
      <c r="S659" s="44"/>
      <c r="T659" s="44"/>
      <c r="U659" s="44"/>
      <c r="V659" s="44"/>
      <c r="W659" s="44"/>
      <c r="X659" s="44"/>
      <c r="Y659" s="44"/>
      <c r="Z659" s="44"/>
      <c r="AA659" s="44"/>
      <c r="AB659" s="44"/>
      <c r="AC659" s="44"/>
      <c r="AD659" s="44"/>
      <c r="AE659" s="44"/>
      <c r="AF659" s="44"/>
      <c r="AG659" s="44"/>
      <c r="AH659" s="44"/>
      <c r="AI659" s="44"/>
      <c r="AJ659" s="44"/>
      <c r="AK659" s="44"/>
      <c r="AL659" s="44"/>
      <c r="AM659" s="44"/>
      <c r="AN659" s="44"/>
    </row>
    <row r="660" spans="1:40" ht="16.5" customHeight="1">
      <c r="A660" s="44"/>
      <c r="B660" s="44"/>
      <c r="C660" s="44"/>
      <c r="D660" s="172"/>
      <c r="E660" s="44"/>
      <c r="F660" s="44"/>
      <c r="G660" s="44"/>
      <c r="H660" s="44"/>
      <c r="I660" s="44"/>
      <c r="J660" s="44"/>
      <c r="K660" s="53"/>
      <c r="L660" s="44"/>
      <c r="M660" s="44"/>
      <c r="N660" s="44"/>
      <c r="O660" s="44"/>
      <c r="P660" s="44"/>
      <c r="Q660" s="44"/>
      <c r="R660" s="44"/>
      <c r="S660" s="44"/>
      <c r="T660" s="44"/>
      <c r="U660" s="44"/>
      <c r="V660" s="44"/>
      <c r="W660" s="44"/>
      <c r="X660" s="44"/>
      <c r="Y660" s="44"/>
      <c r="Z660" s="44"/>
      <c r="AA660" s="44"/>
      <c r="AB660" s="44"/>
      <c r="AC660" s="44"/>
      <c r="AD660" s="44"/>
      <c r="AE660" s="44"/>
      <c r="AF660" s="44"/>
      <c r="AG660" s="44"/>
      <c r="AH660" s="44"/>
      <c r="AI660" s="44"/>
      <c r="AJ660" s="44"/>
      <c r="AK660" s="44"/>
      <c r="AL660" s="44"/>
      <c r="AM660" s="44"/>
      <c r="AN660" s="44"/>
    </row>
    <row r="661" spans="1:40" ht="16.5" customHeight="1">
      <c r="A661" s="44"/>
      <c r="B661" s="44"/>
      <c r="C661" s="44"/>
      <c r="D661" s="172"/>
      <c r="E661" s="44"/>
      <c r="F661" s="44"/>
      <c r="G661" s="44"/>
      <c r="H661" s="44"/>
      <c r="I661" s="44"/>
      <c r="J661" s="44"/>
      <c r="K661" s="53"/>
      <c r="L661" s="44"/>
      <c r="M661" s="44"/>
      <c r="N661" s="44"/>
      <c r="O661" s="44"/>
      <c r="P661" s="44"/>
      <c r="Q661" s="44"/>
      <c r="R661" s="44"/>
      <c r="S661" s="44"/>
      <c r="T661" s="44"/>
      <c r="U661" s="44"/>
      <c r="V661" s="44"/>
      <c r="W661" s="44"/>
      <c r="X661" s="44"/>
      <c r="Y661" s="44"/>
      <c r="Z661" s="44"/>
      <c r="AA661" s="44"/>
      <c r="AB661" s="44"/>
      <c r="AC661" s="44"/>
      <c r="AD661" s="44"/>
      <c r="AE661" s="44"/>
      <c r="AF661" s="44"/>
      <c r="AG661" s="44"/>
      <c r="AH661" s="44"/>
      <c r="AI661" s="44"/>
      <c r="AJ661" s="44"/>
      <c r="AK661" s="44"/>
      <c r="AL661" s="44"/>
      <c r="AM661" s="44"/>
      <c r="AN661" s="44"/>
    </row>
    <row r="662" spans="1:40" ht="16.5" customHeight="1">
      <c r="A662" s="44"/>
      <c r="B662" s="44"/>
      <c r="C662" s="44"/>
      <c r="D662" s="172"/>
      <c r="E662" s="44"/>
      <c r="F662" s="44"/>
      <c r="G662" s="44"/>
      <c r="H662" s="44"/>
      <c r="I662" s="44"/>
      <c r="J662" s="44"/>
      <c r="K662" s="53"/>
      <c r="L662" s="44"/>
      <c r="M662" s="44"/>
      <c r="N662" s="44"/>
      <c r="O662" s="44"/>
      <c r="P662" s="44"/>
      <c r="Q662" s="44"/>
      <c r="R662" s="44"/>
      <c r="S662" s="44"/>
      <c r="T662" s="44"/>
      <c r="U662" s="44"/>
      <c r="V662" s="44"/>
      <c r="W662" s="44"/>
      <c r="X662" s="44"/>
      <c r="Y662" s="44"/>
      <c r="Z662" s="44"/>
      <c r="AA662" s="44"/>
      <c r="AB662" s="44"/>
      <c r="AC662" s="44"/>
      <c r="AD662" s="44"/>
      <c r="AE662" s="44"/>
      <c r="AF662" s="44"/>
      <c r="AG662" s="44"/>
      <c r="AH662" s="44"/>
      <c r="AI662" s="44"/>
      <c r="AJ662" s="44"/>
      <c r="AK662" s="44"/>
      <c r="AL662" s="44"/>
      <c r="AM662" s="44"/>
      <c r="AN662" s="44"/>
    </row>
    <row r="663" spans="1:40" ht="16.5" customHeight="1">
      <c r="A663" s="44"/>
      <c r="B663" s="44"/>
      <c r="C663" s="44"/>
      <c r="D663" s="172"/>
      <c r="E663" s="44"/>
      <c r="F663" s="44"/>
      <c r="G663" s="44"/>
      <c r="H663" s="44"/>
      <c r="I663" s="44"/>
      <c r="J663" s="44"/>
      <c r="K663" s="53"/>
      <c r="L663" s="44"/>
      <c r="M663" s="44"/>
      <c r="N663" s="44"/>
      <c r="O663" s="44"/>
      <c r="P663" s="44"/>
      <c r="Q663" s="44"/>
      <c r="R663" s="44"/>
      <c r="S663" s="44"/>
      <c r="T663" s="44"/>
      <c r="U663" s="44"/>
      <c r="V663" s="44"/>
      <c r="W663" s="44"/>
      <c r="X663" s="44"/>
      <c r="Y663" s="44"/>
      <c r="Z663" s="44"/>
      <c r="AA663" s="44"/>
      <c r="AB663" s="44"/>
      <c r="AC663" s="44"/>
      <c r="AD663" s="44"/>
      <c r="AE663" s="44"/>
      <c r="AF663" s="44"/>
      <c r="AG663" s="44"/>
      <c r="AH663" s="44"/>
      <c r="AI663" s="44"/>
      <c r="AJ663" s="44"/>
      <c r="AK663" s="44"/>
      <c r="AL663" s="44"/>
      <c r="AM663" s="44"/>
      <c r="AN663" s="44"/>
    </row>
    <row r="664" spans="1:40" ht="16.5" customHeight="1">
      <c r="A664" s="44"/>
      <c r="B664" s="44"/>
      <c r="C664" s="44"/>
      <c r="D664" s="172"/>
      <c r="E664" s="44"/>
      <c r="F664" s="44"/>
      <c r="G664" s="44"/>
      <c r="H664" s="44"/>
      <c r="I664" s="44"/>
      <c r="J664" s="44"/>
      <c r="K664" s="53"/>
      <c r="L664" s="44"/>
      <c r="M664" s="44"/>
      <c r="N664" s="44"/>
      <c r="O664" s="44"/>
      <c r="P664" s="44"/>
      <c r="Q664" s="44"/>
      <c r="R664" s="44"/>
      <c r="S664" s="44"/>
      <c r="T664" s="44"/>
      <c r="U664" s="44"/>
      <c r="V664" s="44"/>
      <c r="W664" s="44"/>
      <c r="X664" s="44"/>
      <c r="Y664" s="44"/>
      <c r="Z664" s="44"/>
      <c r="AA664" s="44"/>
      <c r="AB664" s="44"/>
      <c r="AC664" s="44"/>
      <c r="AD664" s="44"/>
      <c r="AE664" s="44"/>
      <c r="AF664" s="44"/>
      <c r="AG664" s="44"/>
      <c r="AH664" s="44"/>
      <c r="AI664" s="44"/>
      <c r="AJ664" s="44"/>
      <c r="AK664" s="44"/>
      <c r="AL664" s="44"/>
      <c r="AM664" s="44"/>
      <c r="AN664" s="44"/>
    </row>
    <row r="665" spans="1:40" ht="16.5" customHeight="1">
      <c r="A665" s="44"/>
      <c r="B665" s="44"/>
      <c r="C665" s="44"/>
      <c r="D665" s="172"/>
      <c r="E665" s="44"/>
      <c r="F665" s="44"/>
      <c r="G665" s="44"/>
      <c r="H665" s="44"/>
      <c r="I665" s="44"/>
      <c r="J665" s="44"/>
      <c r="K665" s="53"/>
      <c r="L665" s="44"/>
      <c r="M665" s="44"/>
      <c r="N665" s="44"/>
      <c r="O665" s="44"/>
      <c r="P665" s="44"/>
      <c r="Q665" s="44"/>
      <c r="R665" s="44"/>
      <c r="S665" s="44"/>
      <c r="T665" s="44"/>
      <c r="U665" s="44"/>
      <c r="V665" s="44"/>
      <c r="W665" s="44"/>
      <c r="X665" s="44"/>
      <c r="Y665" s="44"/>
      <c r="Z665" s="44"/>
      <c r="AA665" s="44"/>
      <c r="AB665" s="44"/>
      <c r="AC665" s="44"/>
      <c r="AD665" s="44"/>
      <c r="AE665" s="44"/>
      <c r="AF665" s="44"/>
      <c r="AG665" s="44"/>
      <c r="AH665" s="44"/>
      <c r="AI665" s="44"/>
      <c r="AJ665" s="44"/>
      <c r="AK665" s="44"/>
      <c r="AL665" s="44"/>
      <c r="AM665" s="44"/>
      <c r="AN665" s="44"/>
    </row>
    <row r="666" spans="1:40" ht="16.5" customHeight="1">
      <c r="A666" s="44"/>
      <c r="B666" s="44"/>
      <c r="C666" s="44"/>
      <c r="D666" s="172"/>
      <c r="E666" s="44"/>
      <c r="F666" s="44"/>
      <c r="G666" s="44"/>
      <c r="H666" s="44"/>
      <c r="I666" s="44"/>
      <c r="J666" s="44"/>
      <c r="K666" s="53"/>
      <c r="L666" s="44"/>
      <c r="M666" s="44"/>
      <c r="N666" s="44"/>
      <c r="O666" s="44"/>
      <c r="P666" s="44"/>
      <c r="Q666" s="44"/>
      <c r="R666" s="44"/>
      <c r="S666" s="44"/>
      <c r="T666" s="44"/>
      <c r="U666" s="44"/>
      <c r="V666" s="44"/>
      <c r="W666" s="44"/>
      <c r="X666" s="44"/>
      <c r="Y666" s="44"/>
      <c r="Z666" s="44"/>
      <c r="AA666" s="44"/>
      <c r="AB666" s="44"/>
      <c r="AC666" s="44"/>
      <c r="AD666" s="44"/>
      <c r="AE666" s="44"/>
      <c r="AF666" s="44"/>
      <c r="AG666" s="44"/>
      <c r="AH666" s="44"/>
      <c r="AI666" s="44"/>
      <c r="AJ666" s="44"/>
      <c r="AK666" s="44"/>
      <c r="AL666" s="44"/>
      <c r="AM666" s="44"/>
      <c r="AN666" s="44"/>
    </row>
    <row r="667" spans="1:40" ht="16.5" customHeight="1">
      <c r="A667" s="44"/>
      <c r="B667" s="44"/>
      <c r="C667" s="44"/>
      <c r="D667" s="172"/>
      <c r="E667" s="44"/>
      <c r="F667" s="44"/>
      <c r="G667" s="44"/>
      <c r="H667" s="44"/>
      <c r="I667" s="44"/>
      <c r="J667" s="44"/>
      <c r="K667" s="53"/>
      <c r="L667" s="44"/>
      <c r="M667" s="44"/>
      <c r="N667" s="44"/>
      <c r="O667" s="44"/>
      <c r="P667" s="44"/>
      <c r="Q667" s="44"/>
      <c r="R667" s="44"/>
      <c r="S667" s="44"/>
      <c r="T667" s="44"/>
      <c r="U667" s="44"/>
      <c r="V667" s="44"/>
      <c r="W667" s="44"/>
      <c r="X667" s="44"/>
      <c r="Y667" s="44"/>
      <c r="Z667" s="44"/>
      <c r="AA667" s="44"/>
      <c r="AB667" s="44"/>
      <c r="AC667" s="44"/>
      <c r="AD667" s="44"/>
      <c r="AE667" s="44"/>
      <c r="AF667" s="44"/>
      <c r="AG667" s="44"/>
      <c r="AH667" s="44"/>
      <c r="AI667" s="44"/>
      <c r="AJ667" s="44"/>
      <c r="AK667" s="44"/>
      <c r="AL667" s="44"/>
      <c r="AM667" s="44"/>
      <c r="AN667" s="44"/>
    </row>
    <row r="668" spans="1:40" ht="16.5" customHeight="1">
      <c r="A668" s="44"/>
      <c r="B668" s="44"/>
      <c r="C668" s="44"/>
      <c r="D668" s="172"/>
      <c r="E668" s="44"/>
      <c r="F668" s="44"/>
      <c r="G668" s="44"/>
      <c r="H668" s="44"/>
      <c r="I668" s="44"/>
      <c r="J668" s="44"/>
      <c r="K668" s="53"/>
      <c r="L668" s="44"/>
      <c r="M668" s="44"/>
      <c r="N668" s="44"/>
      <c r="O668" s="44"/>
      <c r="P668" s="44"/>
      <c r="Q668" s="44"/>
      <c r="R668" s="44"/>
      <c r="S668" s="44"/>
      <c r="T668" s="44"/>
      <c r="U668" s="44"/>
      <c r="V668" s="44"/>
      <c r="W668" s="44"/>
      <c r="X668" s="44"/>
      <c r="Y668" s="44"/>
      <c r="Z668" s="44"/>
      <c r="AA668" s="44"/>
      <c r="AB668" s="44"/>
      <c r="AC668" s="44"/>
      <c r="AD668" s="44"/>
      <c r="AE668" s="44"/>
      <c r="AF668" s="44"/>
      <c r="AG668" s="44"/>
      <c r="AH668" s="44"/>
      <c r="AI668" s="44"/>
      <c r="AJ668" s="44"/>
      <c r="AK668" s="44"/>
      <c r="AL668" s="44"/>
      <c r="AM668" s="44"/>
      <c r="AN668" s="44"/>
    </row>
    <row r="669" spans="1:40" ht="16.5" customHeight="1">
      <c r="A669" s="44"/>
      <c r="B669" s="44"/>
      <c r="C669" s="44"/>
      <c r="D669" s="172"/>
      <c r="E669" s="44"/>
      <c r="F669" s="44"/>
      <c r="G669" s="44"/>
      <c r="H669" s="44"/>
      <c r="I669" s="44"/>
      <c r="J669" s="44"/>
      <c r="K669" s="53"/>
      <c r="L669" s="44"/>
      <c r="M669" s="44"/>
      <c r="N669" s="44"/>
      <c r="O669" s="44"/>
      <c r="P669" s="44"/>
      <c r="Q669" s="44"/>
      <c r="R669" s="44"/>
      <c r="S669" s="44"/>
      <c r="T669" s="44"/>
      <c r="U669" s="44"/>
      <c r="V669" s="44"/>
      <c r="W669" s="44"/>
      <c r="X669" s="44"/>
      <c r="Y669" s="44"/>
      <c r="Z669" s="44"/>
      <c r="AA669" s="44"/>
      <c r="AB669" s="44"/>
      <c r="AC669" s="44"/>
      <c r="AD669" s="44"/>
      <c r="AE669" s="44"/>
      <c r="AF669" s="44"/>
      <c r="AG669" s="44"/>
      <c r="AH669" s="44"/>
      <c r="AI669" s="44"/>
      <c r="AJ669" s="44"/>
      <c r="AK669" s="44"/>
      <c r="AL669" s="44"/>
      <c r="AM669" s="44"/>
      <c r="AN669" s="44"/>
    </row>
    <row r="670" spans="1:40" ht="16.5" customHeight="1">
      <c r="A670" s="44"/>
      <c r="B670" s="44"/>
      <c r="C670" s="44"/>
      <c r="D670" s="172"/>
      <c r="E670" s="44"/>
      <c r="F670" s="44"/>
      <c r="G670" s="44"/>
      <c r="H670" s="44"/>
      <c r="I670" s="44"/>
      <c r="J670" s="44"/>
      <c r="K670" s="53"/>
      <c r="L670" s="44"/>
      <c r="M670" s="44"/>
      <c r="N670" s="44"/>
      <c r="O670" s="44"/>
      <c r="P670" s="44"/>
      <c r="Q670" s="44"/>
      <c r="R670" s="44"/>
      <c r="S670" s="44"/>
      <c r="T670" s="44"/>
      <c r="U670" s="44"/>
      <c r="V670" s="44"/>
      <c r="W670" s="44"/>
      <c r="X670" s="44"/>
      <c r="Y670" s="44"/>
      <c r="Z670" s="44"/>
      <c r="AA670" s="44"/>
      <c r="AB670" s="44"/>
      <c r="AC670" s="44"/>
      <c r="AD670" s="44"/>
      <c r="AE670" s="44"/>
      <c r="AF670" s="44"/>
      <c r="AG670" s="44"/>
      <c r="AH670" s="44"/>
      <c r="AI670" s="44"/>
      <c r="AJ670" s="44"/>
      <c r="AK670" s="44"/>
      <c r="AL670" s="44"/>
      <c r="AM670" s="44"/>
      <c r="AN670" s="44"/>
    </row>
    <row r="671" spans="1:40" ht="16.5" customHeight="1">
      <c r="A671" s="44"/>
      <c r="B671" s="44"/>
      <c r="C671" s="44"/>
      <c r="D671" s="172"/>
      <c r="E671" s="44"/>
      <c r="F671" s="44"/>
      <c r="G671" s="44"/>
      <c r="H671" s="44"/>
      <c r="I671" s="44"/>
      <c r="J671" s="44"/>
      <c r="K671" s="53"/>
      <c r="L671" s="44"/>
      <c r="M671" s="44"/>
      <c r="N671" s="44"/>
      <c r="O671" s="44"/>
      <c r="P671" s="44"/>
      <c r="Q671" s="44"/>
      <c r="R671" s="44"/>
      <c r="S671" s="44"/>
      <c r="T671" s="44"/>
      <c r="U671" s="44"/>
      <c r="V671" s="44"/>
      <c r="W671" s="44"/>
      <c r="X671" s="44"/>
      <c r="Y671" s="44"/>
      <c r="Z671" s="44"/>
      <c r="AA671" s="44"/>
      <c r="AB671" s="44"/>
      <c r="AC671" s="44"/>
      <c r="AD671" s="44"/>
      <c r="AE671" s="44"/>
      <c r="AF671" s="44"/>
      <c r="AG671" s="44"/>
      <c r="AH671" s="44"/>
      <c r="AI671" s="44"/>
      <c r="AJ671" s="44"/>
      <c r="AK671" s="44"/>
      <c r="AL671" s="44"/>
      <c r="AM671" s="44"/>
      <c r="AN671" s="44"/>
    </row>
    <row r="672" spans="1:40" ht="16.5" customHeight="1">
      <c r="A672" s="44"/>
      <c r="B672" s="44"/>
      <c r="C672" s="44"/>
      <c r="D672" s="172"/>
      <c r="E672" s="44"/>
      <c r="F672" s="44"/>
      <c r="G672" s="44"/>
      <c r="H672" s="44"/>
      <c r="I672" s="44"/>
      <c r="J672" s="44"/>
      <c r="K672" s="53"/>
      <c r="L672" s="44"/>
      <c r="M672" s="44"/>
      <c r="N672" s="44"/>
      <c r="O672" s="44"/>
      <c r="P672" s="44"/>
      <c r="Q672" s="44"/>
      <c r="R672" s="44"/>
      <c r="S672" s="44"/>
      <c r="T672" s="44"/>
      <c r="U672" s="44"/>
      <c r="V672" s="44"/>
      <c r="W672" s="44"/>
      <c r="X672" s="44"/>
      <c r="Y672" s="44"/>
      <c r="Z672" s="44"/>
      <c r="AA672" s="44"/>
      <c r="AB672" s="44"/>
      <c r="AC672" s="44"/>
      <c r="AD672" s="44"/>
      <c r="AE672" s="44"/>
      <c r="AF672" s="44"/>
      <c r="AG672" s="44"/>
      <c r="AH672" s="44"/>
      <c r="AI672" s="44"/>
      <c r="AJ672" s="44"/>
      <c r="AK672" s="44"/>
      <c r="AL672" s="44"/>
      <c r="AM672" s="44"/>
      <c r="AN672" s="44"/>
    </row>
    <row r="673" spans="1:40" ht="16.5" customHeight="1">
      <c r="A673" s="44"/>
      <c r="B673" s="44"/>
      <c r="C673" s="44"/>
      <c r="D673" s="172"/>
      <c r="E673" s="44"/>
      <c r="F673" s="44"/>
      <c r="G673" s="44"/>
      <c r="H673" s="44"/>
      <c r="I673" s="44"/>
      <c r="J673" s="44"/>
      <c r="K673" s="53"/>
      <c r="L673" s="44"/>
      <c r="M673" s="44"/>
      <c r="N673" s="44"/>
      <c r="O673" s="44"/>
      <c r="P673" s="44"/>
      <c r="Q673" s="44"/>
      <c r="R673" s="44"/>
      <c r="S673" s="44"/>
      <c r="T673" s="44"/>
      <c r="U673" s="44"/>
      <c r="V673" s="44"/>
      <c r="W673" s="44"/>
      <c r="X673" s="44"/>
      <c r="Y673" s="44"/>
      <c r="Z673" s="44"/>
      <c r="AA673" s="44"/>
      <c r="AB673" s="44"/>
      <c r="AC673" s="44"/>
      <c r="AD673" s="44"/>
      <c r="AE673" s="44"/>
      <c r="AF673" s="44"/>
      <c r="AG673" s="44"/>
      <c r="AH673" s="44"/>
      <c r="AI673" s="44"/>
      <c r="AJ673" s="44"/>
      <c r="AK673" s="44"/>
      <c r="AL673" s="44"/>
      <c r="AM673" s="44"/>
      <c r="AN673" s="44"/>
    </row>
    <row r="674" spans="1:40" ht="16.5" customHeight="1">
      <c r="A674" s="44"/>
      <c r="B674" s="44"/>
      <c r="C674" s="44"/>
      <c r="D674" s="172"/>
      <c r="E674" s="44"/>
      <c r="F674" s="44"/>
      <c r="G674" s="44"/>
      <c r="H674" s="44"/>
      <c r="I674" s="44"/>
      <c r="J674" s="44"/>
      <c r="K674" s="53"/>
      <c r="L674" s="44"/>
      <c r="M674" s="44"/>
      <c r="N674" s="44"/>
      <c r="O674" s="44"/>
      <c r="P674" s="44"/>
      <c r="Q674" s="44"/>
      <c r="R674" s="44"/>
      <c r="S674" s="44"/>
      <c r="T674" s="44"/>
      <c r="U674" s="44"/>
      <c r="V674" s="44"/>
      <c r="W674" s="44"/>
      <c r="X674" s="44"/>
      <c r="Y674" s="44"/>
      <c r="Z674" s="44"/>
      <c r="AA674" s="44"/>
      <c r="AB674" s="44"/>
      <c r="AC674" s="44"/>
      <c r="AD674" s="44"/>
      <c r="AE674" s="44"/>
      <c r="AF674" s="44"/>
      <c r="AG674" s="44"/>
      <c r="AH674" s="44"/>
      <c r="AI674" s="44"/>
      <c r="AJ674" s="44"/>
      <c r="AK674" s="44"/>
      <c r="AL674" s="44"/>
      <c r="AM674" s="44"/>
      <c r="AN674" s="44"/>
    </row>
    <row r="675" spans="1:40" ht="16.5" customHeight="1">
      <c r="A675" s="44"/>
      <c r="B675" s="44"/>
      <c r="C675" s="44"/>
      <c r="D675" s="172"/>
      <c r="E675" s="44"/>
      <c r="F675" s="44"/>
      <c r="G675" s="44"/>
      <c r="H675" s="44"/>
      <c r="I675" s="44"/>
      <c r="J675" s="44"/>
      <c r="K675" s="53"/>
      <c r="L675" s="44"/>
      <c r="M675" s="44"/>
      <c r="N675" s="44"/>
      <c r="O675" s="44"/>
      <c r="P675" s="44"/>
      <c r="Q675" s="44"/>
      <c r="R675" s="44"/>
      <c r="S675" s="44"/>
      <c r="T675" s="44"/>
      <c r="U675" s="44"/>
      <c r="V675" s="44"/>
      <c r="W675" s="44"/>
      <c r="X675" s="44"/>
      <c r="Y675" s="44"/>
      <c r="Z675" s="44"/>
      <c r="AA675" s="44"/>
      <c r="AB675" s="44"/>
      <c r="AC675" s="44"/>
      <c r="AD675" s="44"/>
      <c r="AE675" s="44"/>
      <c r="AF675" s="44"/>
      <c r="AG675" s="44"/>
      <c r="AH675" s="44"/>
      <c r="AI675" s="44"/>
      <c r="AJ675" s="44"/>
      <c r="AK675" s="44"/>
      <c r="AL675" s="44"/>
      <c r="AM675" s="44"/>
      <c r="AN675" s="44"/>
    </row>
    <row r="676" spans="1:40" ht="16.5" customHeight="1">
      <c r="A676" s="44"/>
      <c r="B676" s="44"/>
      <c r="C676" s="44"/>
      <c r="D676" s="172"/>
      <c r="E676" s="44"/>
      <c r="F676" s="44"/>
      <c r="G676" s="44"/>
      <c r="H676" s="44"/>
      <c r="I676" s="44"/>
      <c r="J676" s="44"/>
      <c r="K676" s="53"/>
      <c r="L676" s="44"/>
      <c r="M676" s="44"/>
      <c r="N676" s="44"/>
      <c r="O676" s="44"/>
      <c r="P676" s="44"/>
      <c r="Q676" s="44"/>
      <c r="R676" s="44"/>
      <c r="S676" s="44"/>
      <c r="T676" s="44"/>
      <c r="U676" s="44"/>
      <c r="V676" s="44"/>
      <c r="W676" s="44"/>
      <c r="X676" s="44"/>
      <c r="Y676" s="44"/>
      <c r="Z676" s="44"/>
      <c r="AA676" s="44"/>
      <c r="AB676" s="44"/>
      <c r="AC676" s="44"/>
      <c r="AD676" s="44"/>
      <c r="AE676" s="44"/>
      <c r="AF676" s="44"/>
      <c r="AG676" s="44"/>
      <c r="AH676" s="44"/>
      <c r="AI676" s="44"/>
      <c r="AJ676" s="44"/>
      <c r="AK676" s="44"/>
      <c r="AL676" s="44"/>
      <c r="AM676" s="44"/>
      <c r="AN676" s="44"/>
    </row>
    <row r="677" spans="1:40" ht="16.5" customHeight="1">
      <c r="A677" s="44"/>
      <c r="B677" s="44"/>
      <c r="C677" s="44"/>
      <c r="D677" s="172"/>
      <c r="E677" s="44"/>
      <c r="F677" s="44"/>
      <c r="G677" s="44"/>
      <c r="H677" s="44"/>
      <c r="I677" s="44"/>
      <c r="J677" s="44"/>
      <c r="K677" s="53"/>
      <c r="L677" s="44"/>
      <c r="M677" s="44"/>
      <c r="N677" s="44"/>
      <c r="O677" s="44"/>
      <c r="P677" s="44"/>
      <c r="Q677" s="44"/>
      <c r="R677" s="44"/>
      <c r="S677" s="44"/>
      <c r="T677" s="44"/>
      <c r="U677" s="44"/>
      <c r="V677" s="44"/>
      <c r="W677" s="44"/>
      <c r="X677" s="44"/>
      <c r="Y677" s="44"/>
      <c r="Z677" s="44"/>
      <c r="AA677" s="44"/>
      <c r="AB677" s="44"/>
      <c r="AC677" s="44"/>
      <c r="AD677" s="44"/>
      <c r="AE677" s="44"/>
      <c r="AF677" s="44"/>
      <c r="AG677" s="44"/>
      <c r="AH677" s="44"/>
      <c r="AI677" s="44"/>
      <c r="AJ677" s="44"/>
      <c r="AK677" s="44"/>
      <c r="AL677" s="44"/>
      <c r="AM677" s="44"/>
      <c r="AN677" s="44"/>
    </row>
    <row r="678" spans="1:40" ht="16.5" customHeight="1">
      <c r="A678" s="44"/>
      <c r="B678" s="44"/>
      <c r="C678" s="44"/>
      <c r="D678" s="172"/>
      <c r="E678" s="44"/>
      <c r="F678" s="44"/>
      <c r="G678" s="44"/>
      <c r="H678" s="44"/>
      <c r="I678" s="44"/>
      <c r="J678" s="44"/>
      <c r="K678" s="53"/>
      <c r="L678" s="44"/>
      <c r="M678" s="44"/>
      <c r="N678" s="44"/>
      <c r="O678" s="44"/>
      <c r="P678" s="44"/>
      <c r="Q678" s="44"/>
      <c r="R678" s="44"/>
      <c r="S678" s="44"/>
      <c r="T678" s="44"/>
      <c r="U678" s="44"/>
      <c r="V678" s="44"/>
      <c r="W678" s="44"/>
      <c r="X678" s="44"/>
      <c r="Y678" s="44"/>
      <c r="Z678" s="44"/>
      <c r="AA678" s="44"/>
      <c r="AB678" s="44"/>
      <c r="AC678" s="44"/>
      <c r="AD678" s="44"/>
      <c r="AE678" s="44"/>
      <c r="AF678" s="44"/>
      <c r="AG678" s="44"/>
      <c r="AH678" s="44"/>
      <c r="AI678" s="44"/>
      <c r="AJ678" s="44"/>
      <c r="AK678" s="44"/>
      <c r="AL678" s="44"/>
      <c r="AM678" s="44"/>
      <c r="AN678" s="44"/>
    </row>
    <row r="679" spans="1:40" ht="16.5" customHeight="1">
      <c r="A679" s="44"/>
      <c r="B679" s="44"/>
      <c r="C679" s="44"/>
      <c r="D679" s="172"/>
      <c r="E679" s="44"/>
      <c r="F679" s="44"/>
      <c r="G679" s="44"/>
      <c r="H679" s="44"/>
      <c r="I679" s="44"/>
      <c r="J679" s="44"/>
      <c r="K679" s="53"/>
      <c r="L679" s="44"/>
      <c r="M679" s="44"/>
      <c r="N679" s="44"/>
      <c r="O679" s="44"/>
      <c r="P679" s="44"/>
      <c r="Q679" s="44"/>
      <c r="R679" s="44"/>
      <c r="S679" s="44"/>
      <c r="T679" s="44"/>
      <c r="U679" s="44"/>
      <c r="V679" s="44"/>
      <c r="W679" s="44"/>
      <c r="X679" s="44"/>
      <c r="Y679" s="44"/>
      <c r="Z679" s="44"/>
      <c r="AA679" s="44"/>
      <c r="AB679" s="44"/>
      <c r="AC679" s="44"/>
      <c r="AD679" s="44"/>
      <c r="AE679" s="44"/>
      <c r="AF679" s="44"/>
      <c r="AG679" s="44"/>
      <c r="AH679" s="44"/>
      <c r="AI679" s="44"/>
      <c r="AJ679" s="44"/>
      <c r="AK679" s="44"/>
      <c r="AL679" s="44"/>
      <c r="AM679" s="44"/>
      <c r="AN679" s="44"/>
    </row>
    <row r="680" spans="1:40" ht="16.5" customHeight="1">
      <c r="A680" s="44"/>
      <c r="B680" s="44"/>
      <c r="C680" s="44"/>
      <c r="D680" s="172"/>
      <c r="E680" s="44"/>
      <c r="F680" s="44"/>
      <c r="G680" s="44"/>
      <c r="H680" s="44"/>
      <c r="I680" s="44"/>
      <c r="J680" s="44"/>
      <c r="K680" s="53"/>
      <c r="L680" s="44"/>
      <c r="M680" s="44"/>
      <c r="N680" s="44"/>
      <c r="O680" s="44"/>
      <c r="P680" s="44"/>
      <c r="Q680" s="44"/>
      <c r="R680" s="44"/>
      <c r="S680" s="44"/>
      <c r="T680" s="44"/>
      <c r="U680" s="44"/>
      <c r="V680" s="44"/>
      <c r="W680" s="44"/>
      <c r="X680" s="44"/>
      <c r="Y680" s="44"/>
      <c r="Z680" s="44"/>
      <c r="AA680" s="44"/>
      <c r="AB680" s="44"/>
      <c r="AC680" s="44"/>
      <c r="AD680" s="44"/>
      <c r="AE680" s="44"/>
      <c r="AF680" s="44"/>
      <c r="AG680" s="44"/>
      <c r="AH680" s="44"/>
      <c r="AI680" s="44"/>
      <c r="AJ680" s="44"/>
      <c r="AK680" s="44"/>
      <c r="AL680" s="44"/>
      <c r="AM680" s="44"/>
      <c r="AN680" s="44"/>
    </row>
    <row r="681" spans="1:40" ht="16.5" customHeight="1">
      <c r="A681" s="44"/>
      <c r="B681" s="44"/>
      <c r="C681" s="44"/>
      <c r="D681" s="172"/>
      <c r="E681" s="44"/>
      <c r="F681" s="44"/>
      <c r="G681" s="44"/>
      <c r="H681" s="44"/>
      <c r="I681" s="44"/>
      <c r="J681" s="44"/>
      <c r="K681" s="53"/>
      <c r="L681" s="44"/>
      <c r="M681" s="44"/>
      <c r="N681" s="44"/>
      <c r="O681" s="44"/>
      <c r="P681" s="44"/>
      <c r="Q681" s="44"/>
      <c r="R681" s="44"/>
      <c r="S681" s="44"/>
      <c r="T681" s="44"/>
      <c r="U681" s="44"/>
      <c r="V681" s="44"/>
      <c r="W681" s="44"/>
      <c r="X681" s="44"/>
      <c r="Y681" s="44"/>
      <c r="Z681" s="44"/>
      <c r="AA681" s="44"/>
      <c r="AB681" s="44"/>
      <c r="AC681" s="44"/>
      <c r="AD681" s="44"/>
      <c r="AE681" s="44"/>
      <c r="AF681" s="44"/>
      <c r="AG681" s="44"/>
      <c r="AH681" s="44"/>
      <c r="AI681" s="44"/>
      <c r="AJ681" s="44"/>
      <c r="AK681" s="44"/>
      <c r="AL681" s="44"/>
      <c r="AM681" s="44"/>
      <c r="AN681" s="44"/>
    </row>
    <row r="682" spans="1:40" ht="16.5" customHeight="1">
      <c r="A682" s="44"/>
      <c r="B682" s="44"/>
      <c r="C682" s="44"/>
      <c r="D682" s="172"/>
      <c r="E682" s="44"/>
      <c r="F682" s="44"/>
      <c r="G682" s="44"/>
      <c r="H682" s="44"/>
      <c r="I682" s="44"/>
      <c r="J682" s="44"/>
      <c r="K682" s="53"/>
      <c r="L682" s="44"/>
      <c r="M682" s="44"/>
      <c r="N682" s="44"/>
      <c r="O682" s="44"/>
      <c r="P682" s="44"/>
      <c r="Q682" s="44"/>
      <c r="R682" s="44"/>
      <c r="S682" s="44"/>
      <c r="T682" s="44"/>
      <c r="U682" s="44"/>
      <c r="V682" s="44"/>
      <c r="W682" s="44"/>
      <c r="X682" s="44"/>
      <c r="Y682" s="44"/>
      <c r="Z682" s="44"/>
      <c r="AA682" s="44"/>
      <c r="AB682" s="44"/>
      <c r="AC682" s="44"/>
      <c r="AD682" s="44"/>
      <c r="AE682" s="44"/>
      <c r="AF682" s="44"/>
      <c r="AG682" s="44"/>
      <c r="AH682" s="44"/>
      <c r="AI682" s="44"/>
      <c r="AJ682" s="44"/>
      <c r="AK682" s="44"/>
      <c r="AL682" s="44"/>
      <c r="AM682" s="44"/>
      <c r="AN682" s="44"/>
    </row>
    <row r="683" spans="1:40" ht="16.5" customHeight="1">
      <c r="A683" s="44"/>
      <c r="B683" s="44"/>
      <c r="C683" s="44"/>
      <c r="D683" s="172"/>
      <c r="E683" s="44"/>
      <c r="F683" s="44"/>
      <c r="G683" s="44"/>
      <c r="H683" s="44"/>
      <c r="I683" s="44"/>
      <c r="J683" s="44"/>
      <c r="K683" s="53"/>
      <c r="L683" s="44"/>
      <c r="M683" s="44"/>
      <c r="N683" s="44"/>
      <c r="O683" s="44"/>
      <c r="P683" s="44"/>
      <c r="Q683" s="44"/>
      <c r="R683" s="44"/>
      <c r="S683" s="44"/>
      <c r="T683" s="44"/>
      <c r="U683" s="44"/>
      <c r="V683" s="44"/>
      <c r="W683" s="44"/>
      <c r="X683" s="44"/>
      <c r="Y683" s="44"/>
      <c r="Z683" s="44"/>
      <c r="AA683" s="44"/>
      <c r="AB683" s="44"/>
      <c r="AC683" s="44"/>
      <c r="AD683" s="44"/>
      <c r="AE683" s="44"/>
      <c r="AF683" s="44"/>
      <c r="AG683" s="44"/>
      <c r="AH683" s="44"/>
      <c r="AI683" s="44"/>
      <c r="AJ683" s="44"/>
      <c r="AK683" s="44"/>
      <c r="AL683" s="44"/>
      <c r="AM683" s="44"/>
      <c r="AN683" s="44"/>
    </row>
    <row r="684" spans="1:40" ht="16.5" customHeight="1">
      <c r="A684" s="44"/>
      <c r="B684" s="44"/>
      <c r="C684" s="44"/>
      <c r="D684" s="172"/>
      <c r="E684" s="44"/>
      <c r="F684" s="44"/>
      <c r="G684" s="44"/>
      <c r="H684" s="44"/>
      <c r="I684" s="44"/>
      <c r="J684" s="44"/>
      <c r="K684" s="53"/>
      <c r="L684" s="44"/>
      <c r="M684" s="44"/>
      <c r="N684" s="44"/>
      <c r="O684" s="44"/>
      <c r="P684" s="44"/>
      <c r="Q684" s="44"/>
      <c r="R684" s="44"/>
      <c r="S684" s="44"/>
      <c r="T684" s="44"/>
      <c r="U684" s="44"/>
      <c r="V684" s="44"/>
      <c r="W684" s="44"/>
      <c r="X684" s="44"/>
      <c r="Y684" s="44"/>
      <c r="Z684" s="44"/>
      <c r="AA684" s="44"/>
      <c r="AB684" s="44"/>
      <c r="AC684" s="44"/>
      <c r="AD684" s="44"/>
      <c r="AE684" s="44"/>
      <c r="AF684" s="44"/>
      <c r="AG684" s="44"/>
      <c r="AH684" s="44"/>
      <c r="AI684" s="44"/>
      <c r="AJ684" s="44"/>
      <c r="AK684" s="44"/>
      <c r="AL684" s="44"/>
      <c r="AM684" s="44"/>
      <c r="AN684" s="44"/>
    </row>
    <row r="685" spans="1:40" ht="16.5" customHeight="1">
      <c r="A685" s="44"/>
      <c r="B685" s="44"/>
      <c r="C685" s="44"/>
      <c r="D685" s="172"/>
      <c r="E685" s="44"/>
      <c r="F685" s="44"/>
      <c r="G685" s="44"/>
      <c r="H685" s="44"/>
      <c r="I685" s="44"/>
      <c r="J685" s="44"/>
      <c r="K685" s="53"/>
      <c r="L685" s="44"/>
      <c r="M685" s="44"/>
      <c r="N685" s="44"/>
      <c r="O685" s="44"/>
      <c r="P685" s="44"/>
      <c r="Q685" s="44"/>
      <c r="R685" s="44"/>
      <c r="S685" s="44"/>
      <c r="T685" s="44"/>
      <c r="U685" s="44"/>
      <c r="V685" s="44"/>
      <c r="W685" s="44"/>
      <c r="X685" s="44"/>
      <c r="Y685" s="44"/>
      <c r="Z685" s="44"/>
      <c r="AA685" s="44"/>
      <c r="AB685" s="44"/>
      <c r="AC685" s="44"/>
      <c r="AD685" s="44"/>
      <c r="AE685" s="44"/>
      <c r="AF685" s="44"/>
      <c r="AG685" s="44"/>
      <c r="AH685" s="44"/>
      <c r="AI685" s="44"/>
      <c r="AJ685" s="44"/>
      <c r="AK685" s="44"/>
      <c r="AL685" s="44"/>
      <c r="AM685" s="44"/>
      <c r="AN685" s="44"/>
    </row>
    <row r="686" spans="1:40" ht="16.5" customHeight="1">
      <c r="A686" s="44"/>
      <c r="B686" s="44"/>
      <c r="C686" s="44"/>
      <c r="D686" s="172"/>
      <c r="E686" s="44"/>
      <c r="F686" s="44"/>
      <c r="G686" s="44"/>
      <c r="H686" s="44"/>
      <c r="I686" s="44"/>
      <c r="J686" s="44"/>
      <c r="K686" s="53"/>
      <c r="L686" s="44"/>
      <c r="M686" s="44"/>
      <c r="N686" s="44"/>
      <c r="O686" s="44"/>
      <c r="P686" s="44"/>
      <c r="Q686" s="44"/>
      <c r="R686" s="44"/>
      <c r="S686" s="44"/>
      <c r="T686" s="44"/>
      <c r="U686" s="44"/>
      <c r="V686" s="44"/>
      <c r="W686" s="44"/>
      <c r="X686" s="44"/>
      <c r="Y686" s="44"/>
      <c r="Z686" s="44"/>
      <c r="AA686" s="44"/>
      <c r="AB686" s="44"/>
      <c r="AC686" s="44"/>
      <c r="AD686" s="44"/>
      <c r="AE686" s="44"/>
      <c r="AF686" s="44"/>
      <c r="AG686" s="44"/>
      <c r="AH686" s="44"/>
      <c r="AI686" s="44"/>
      <c r="AJ686" s="44"/>
      <c r="AK686" s="44"/>
      <c r="AL686" s="44"/>
      <c r="AM686" s="44"/>
      <c r="AN686" s="44"/>
    </row>
    <row r="687" spans="1:40" ht="16.5" customHeight="1">
      <c r="A687" s="44"/>
      <c r="B687" s="44"/>
      <c r="C687" s="44"/>
      <c r="D687" s="172"/>
      <c r="E687" s="44"/>
      <c r="F687" s="44"/>
      <c r="G687" s="44"/>
      <c r="H687" s="44"/>
      <c r="I687" s="44"/>
      <c r="J687" s="44"/>
      <c r="K687" s="53"/>
      <c r="L687" s="44"/>
      <c r="M687" s="44"/>
      <c r="N687" s="44"/>
      <c r="O687" s="44"/>
      <c r="P687" s="44"/>
      <c r="Q687" s="44"/>
      <c r="R687" s="44"/>
      <c r="S687" s="44"/>
      <c r="T687" s="44"/>
      <c r="U687" s="44"/>
      <c r="V687" s="44"/>
      <c r="W687" s="44"/>
      <c r="X687" s="44"/>
      <c r="Y687" s="44"/>
      <c r="Z687" s="44"/>
      <c r="AA687" s="44"/>
      <c r="AB687" s="44"/>
      <c r="AC687" s="44"/>
      <c r="AD687" s="44"/>
      <c r="AE687" s="44"/>
      <c r="AF687" s="44"/>
      <c r="AG687" s="44"/>
      <c r="AH687" s="44"/>
      <c r="AI687" s="44"/>
      <c r="AJ687" s="44"/>
      <c r="AK687" s="44"/>
      <c r="AL687" s="44"/>
      <c r="AM687" s="44"/>
      <c r="AN687" s="44"/>
    </row>
    <row r="688" spans="1:40" ht="16.5" customHeight="1">
      <c r="A688" s="44"/>
      <c r="B688" s="44"/>
      <c r="C688" s="44"/>
      <c r="D688" s="172"/>
      <c r="E688" s="44"/>
      <c r="F688" s="44"/>
      <c r="G688" s="44"/>
      <c r="H688" s="44"/>
      <c r="I688" s="44"/>
      <c r="J688" s="44"/>
      <c r="K688" s="53"/>
      <c r="L688" s="44"/>
      <c r="M688" s="44"/>
      <c r="N688" s="44"/>
      <c r="O688" s="44"/>
      <c r="P688" s="44"/>
      <c r="Q688" s="44"/>
      <c r="R688" s="44"/>
      <c r="S688" s="44"/>
      <c r="T688" s="44"/>
      <c r="U688" s="44"/>
      <c r="V688" s="44"/>
      <c r="W688" s="44"/>
      <c r="X688" s="44"/>
      <c r="Y688" s="44"/>
      <c r="Z688" s="44"/>
      <c r="AA688" s="44"/>
      <c r="AB688" s="44"/>
      <c r="AC688" s="44"/>
      <c r="AD688" s="44"/>
      <c r="AE688" s="44"/>
      <c r="AF688" s="44"/>
      <c r="AG688" s="44"/>
      <c r="AH688" s="44"/>
      <c r="AI688" s="44"/>
      <c r="AJ688" s="44"/>
      <c r="AK688" s="44"/>
      <c r="AL688" s="44"/>
      <c r="AM688" s="44"/>
      <c r="AN688" s="44"/>
    </row>
    <row r="689" spans="1:40" ht="16.5" customHeight="1">
      <c r="A689" s="44"/>
      <c r="B689" s="44"/>
      <c r="C689" s="44"/>
      <c r="D689" s="172"/>
      <c r="E689" s="44"/>
      <c r="F689" s="44"/>
      <c r="G689" s="44"/>
      <c r="H689" s="44"/>
      <c r="I689" s="44"/>
      <c r="J689" s="44"/>
      <c r="K689" s="53"/>
      <c r="L689" s="44"/>
      <c r="M689" s="44"/>
      <c r="N689" s="44"/>
      <c r="O689" s="44"/>
      <c r="P689" s="44"/>
      <c r="Q689" s="44"/>
      <c r="R689" s="44"/>
      <c r="S689" s="44"/>
      <c r="T689" s="44"/>
      <c r="U689" s="44"/>
      <c r="V689" s="44"/>
      <c r="W689" s="44"/>
      <c r="X689" s="44"/>
      <c r="Y689" s="44"/>
      <c r="Z689" s="44"/>
      <c r="AA689" s="44"/>
      <c r="AB689" s="44"/>
      <c r="AC689" s="44"/>
      <c r="AD689" s="44"/>
      <c r="AE689" s="44"/>
      <c r="AF689" s="44"/>
      <c r="AG689" s="44"/>
      <c r="AH689" s="44"/>
      <c r="AI689" s="44"/>
      <c r="AJ689" s="44"/>
      <c r="AK689" s="44"/>
      <c r="AL689" s="44"/>
      <c r="AM689" s="44"/>
      <c r="AN689" s="44"/>
    </row>
    <row r="690" spans="1:40" ht="16.5" customHeight="1">
      <c r="A690" s="44"/>
      <c r="B690" s="44"/>
      <c r="C690" s="44"/>
      <c r="D690" s="172"/>
      <c r="E690" s="44"/>
      <c r="F690" s="44"/>
      <c r="G690" s="44"/>
      <c r="H690" s="44"/>
      <c r="I690" s="44"/>
      <c r="J690" s="44"/>
      <c r="K690" s="53"/>
      <c r="L690" s="44"/>
      <c r="M690" s="44"/>
      <c r="N690" s="44"/>
      <c r="O690" s="44"/>
      <c r="P690" s="44"/>
      <c r="Q690" s="44"/>
      <c r="R690" s="44"/>
      <c r="S690" s="44"/>
      <c r="T690" s="44"/>
      <c r="U690" s="44"/>
      <c r="V690" s="44"/>
      <c r="W690" s="44"/>
      <c r="X690" s="44"/>
      <c r="Y690" s="44"/>
      <c r="Z690" s="44"/>
      <c r="AA690" s="44"/>
      <c r="AB690" s="44"/>
      <c r="AC690" s="44"/>
      <c r="AD690" s="44"/>
      <c r="AE690" s="44"/>
      <c r="AF690" s="44"/>
      <c r="AG690" s="44"/>
      <c r="AH690" s="44"/>
      <c r="AI690" s="44"/>
      <c r="AJ690" s="44"/>
      <c r="AK690" s="44"/>
      <c r="AL690" s="44"/>
      <c r="AM690" s="44"/>
      <c r="AN690" s="44"/>
    </row>
    <row r="691" spans="1:40" ht="16.5" customHeight="1">
      <c r="A691" s="44"/>
      <c r="B691" s="44"/>
      <c r="C691" s="44"/>
      <c r="D691" s="172"/>
      <c r="E691" s="44"/>
      <c r="F691" s="44"/>
      <c r="G691" s="44"/>
      <c r="H691" s="44"/>
      <c r="I691" s="44"/>
      <c r="J691" s="44"/>
      <c r="K691" s="53"/>
      <c r="L691" s="44"/>
      <c r="M691" s="44"/>
      <c r="N691" s="44"/>
      <c r="O691" s="44"/>
      <c r="P691" s="44"/>
      <c r="Q691" s="44"/>
      <c r="R691" s="44"/>
      <c r="S691" s="44"/>
      <c r="T691" s="44"/>
      <c r="U691" s="44"/>
      <c r="V691" s="44"/>
      <c r="W691" s="44"/>
      <c r="X691" s="44"/>
      <c r="Y691" s="44"/>
      <c r="Z691" s="44"/>
      <c r="AA691" s="44"/>
      <c r="AB691" s="44"/>
      <c r="AC691" s="44"/>
      <c r="AD691" s="44"/>
      <c r="AE691" s="44"/>
      <c r="AF691" s="44"/>
      <c r="AG691" s="44"/>
      <c r="AH691" s="44"/>
      <c r="AI691" s="44"/>
      <c r="AJ691" s="44"/>
      <c r="AK691" s="44"/>
      <c r="AL691" s="44"/>
      <c r="AM691" s="44"/>
      <c r="AN691" s="44"/>
    </row>
    <row r="692" spans="1:40" ht="16.5" customHeight="1">
      <c r="A692" s="44"/>
      <c r="B692" s="44"/>
      <c r="C692" s="44"/>
      <c r="D692" s="172"/>
      <c r="E692" s="44"/>
      <c r="F692" s="44"/>
      <c r="G692" s="44"/>
      <c r="H692" s="44"/>
      <c r="I692" s="44"/>
      <c r="J692" s="44"/>
      <c r="K692" s="53"/>
      <c r="L692" s="44"/>
      <c r="M692" s="44"/>
      <c r="N692" s="44"/>
      <c r="O692" s="44"/>
      <c r="P692" s="44"/>
      <c r="Q692" s="44"/>
      <c r="R692" s="44"/>
      <c r="S692" s="44"/>
      <c r="T692" s="44"/>
      <c r="U692" s="44"/>
      <c r="V692" s="44"/>
      <c r="W692" s="44"/>
      <c r="X692" s="44"/>
      <c r="Y692" s="44"/>
      <c r="Z692" s="44"/>
      <c r="AA692" s="44"/>
      <c r="AB692" s="44"/>
      <c r="AC692" s="44"/>
      <c r="AD692" s="44"/>
      <c r="AE692" s="44"/>
      <c r="AF692" s="44"/>
      <c r="AG692" s="44"/>
      <c r="AH692" s="44"/>
      <c r="AI692" s="44"/>
      <c r="AJ692" s="44"/>
      <c r="AK692" s="44"/>
      <c r="AL692" s="44"/>
      <c r="AM692" s="44"/>
      <c r="AN692" s="44"/>
    </row>
    <row r="693" spans="1:40" ht="16.5" customHeight="1">
      <c r="A693" s="44"/>
      <c r="B693" s="44"/>
      <c r="C693" s="44"/>
      <c r="D693" s="172"/>
      <c r="E693" s="44"/>
      <c r="F693" s="44"/>
      <c r="G693" s="44"/>
      <c r="H693" s="44"/>
      <c r="I693" s="44"/>
      <c r="J693" s="44"/>
      <c r="K693" s="53"/>
      <c r="L693" s="44"/>
      <c r="M693" s="44"/>
      <c r="N693" s="44"/>
      <c r="O693" s="44"/>
      <c r="P693" s="44"/>
      <c r="Q693" s="44"/>
      <c r="R693" s="44"/>
      <c r="S693" s="44"/>
      <c r="T693" s="44"/>
      <c r="U693" s="44"/>
      <c r="V693" s="44"/>
      <c r="W693" s="44"/>
      <c r="X693" s="44"/>
      <c r="Y693" s="44"/>
      <c r="Z693" s="44"/>
      <c r="AA693" s="44"/>
      <c r="AB693" s="44"/>
      <c r="AC693" s="44"/>
      <c r="AD693" s="44"/>
      <c r="AE693" s="44"/>
      <c r="AF693" s="44"/>
      <c r="AG693" s="44"/>
      <c r="AH693" s="44"/>
      <c r="AI693" s="44"/>
      <c r="AJ693" s="44"/>
      <c r="AK693" s="44"/>
      <c r="AL693" s="44"/>
      <c r="AM693" s="44"/>
      <c r="AN693" s="44"/>
    </row>
    <row r="694" spans="1:40" ht="16.5" customHeight="1">
      <c r="A694" s="44"/>
      <c r="B694" s="44"/>
      <c r="C694" s="44"/>
      <c r="D694" s="172"/>
      <c r="E694" s="44"/>
      <c r="F694" s="44"/>
      <c r="G694" s="44"/>
      <c r="H694" s="44"/>
      <c r="I694" s="44"/>
      <c r="J694" s="44"/>
      <c r="K694" s="53"/>
      <c r="L694" s="44"/>
      <c r="M694" s="44"/>
      <c r="N694" s="44"/>
      <c r="O694" s="44"/>
      <c r="P694" s="44"/>
      <c r="Q694" s="44"/>
      <c r="R694" s="44"/>
      <c r="S694" s="44"/>
      <c r="T694" s="44"/>
      <c r="U694" s="44"/>
      <c r="V694" s="44"/>
      <c r="W694" s="44"/>
      <c r="X694" s="44"/>
      <c r="Y694" s="44"/>
      <c r="Z694" s="44"/>
      <c r="AA694" s="44"/>
      <c r="AB694" s="44"/>
      <c r="AC694" s="44"/>
      <c r="AD694" s="44"/>
      <c r="AE694" s="44"/>
      <c r="AF694" s="44"/>
      <c r="AG694" s="44"/>
      <c r="AH694" s="44"/>
      <c r="AI694" s="44"/>
      <c r="AJ694" s="44"/>
      <c r="AK694" s="44"/>
      <c r="AL694" s="44"/>
      <c r="AM694" s="44"/>
      <c r="AN694" s="44"/>
    </row>
    <row r="695" spans="1:40" ht="16.5" customHeight="1">
      <c r="A695" s="44"/>
      <c r="B695" s="44"/>
      <c r="C695" s="44"/>
      <c r="D695" s="172"/>
      <c r="E695" s="44"/>
      <c r="F695" s="44"/>
      <c r="G695" s="44"/>
      <c r="H695" s="44"/>
      <c r="I695" s="44"/>
      <c r="J695" s="44"/>
      <c r="K695" s="53"/>
      <c r="L695" s="44"/>
      <c r="M695" s="44"/>
      <c r="N695" s="44"/>
      <c r="O695" s="44"/>
      <c r="P695" s="44"/>
      <c r="Q695" s="44"/>
      <c r="R695" s="44"/>
      <c r="S695" s="44"/>
      <c r="T695" s="44"/>
      <c r="U695" s="44"/>
      <c r="V695" s="44"/>
      <c r="W695" s="44"/>
      <c r="X695" s="44"/>
      <c r="Y695" s="44"/>
      <c r="Z695" s="44"/>
      <c r="AA695" s="44"/>
      <c r="AB695" s="44"/>
      <c r="AC695" s="44"/>
      <c r="AD695" s="44"/>
      <c r="AE695" s="44"/>
      <c r="AF695" s="44"/>
      <c r="AG695" s="44"/>
      <c r="AH695" s="44"/>
      <c r="AI695" s="44"/>
      <c r="AJ695" s="44"/>
      <c r="AK695" s="44"/>
      <c r="AL695" s="44"/>
      <c r="AM695" s="44"/>
      <c r="AN695" s="44"/>
    </row>
    <row r="696" spans="1:40" ht="16.5" customHeight="1">
      <c r="A696" s="44"/>
      <c r="B696" s="44"/>
      <c r="C696" s="44"/>
      <c r="D696" s="172"/>
      <c r="E696" s="44"/>
      <c r="F696" s="44"/>
      <c r="G696" s="44"/>
      <c r="H696" s="44"/>
      <c r="I696" s="44"/>
      <c r="J696" s="44"/>
      <c r="K696" s="53"/>
      <c r="L696" s="44"/>
      <c r="M696" s="44"/>
      <c r="N696" s="44"/>
      <c r="O696" s="44"/>
      <c r="P696" s="44"/>
      <c r="Q696" s="44"/>
      <c r="R696" s="44"/>
      <c r="S696" s="44"/>
      <c r="T696" s="44"/>
      <c r="U696" s="44"/>
      <c r="V696" s="44"/>
      <c r="W696" s="44"/>
      <c r="X696" s="44"/>
      <c r="Y696" s="44"/>
      <c r="Z696" s="44"/>
      <c r="AA696" s="44"/>
      <c r="AB696" s="44"/>
      <c r="AC696" s="44"/>
      <c r="AD696" s="44"/>
      <c r="AE696" s="44"/>
      <c r="AF696" s="44"/>
      <c r="AG696" s="44"/>
      <c r="AH696" s="44"/>
      <c r="AI696" s="44"/>
      <c r="AJ696" s="44"/>
      <c r="AK696" s="44"/>
      <c r="AL696" s="44"/>
      <c r="AM696" s="44"/>
      <c r="AN696" s="44"/>
    </row>
    <row r="697" spans="1:40" ht="16.5" customHeight="1">
      <c r="A697" s="44"/>
      <c r="B697" s="44"/>
      <c r="C697" s="44"/>
      <c r="D697" s="172"/>
      <c r="E697" s="44"/>
      <c r="F697" s="44"/>
      <c r="G697" s="44"/>
      <c r="H697" s="44"/>
      <c r="I697" s="44"/>
      <c r="J697" s="44"/>
      <c r="K697" s="53"/>
      <c r="L697" s="44"/>
      <c r="M697" s="44"/>
      <c r="N697" s="44"/>
      <c r="O697" s="44"/>
      <c r="P697" s="44"/>
      <c r="Q697" s="44"/>
      <c r="R697" s="44"/>
      <c r="S697" s="44"/>
      <c r="T697" s="44"/>
      <c r="U697" s="44"/>
      <c r="V697" s="44"/>
      <c r="W697" s="44"/>
      <c r="X697" s="44"/>
      <c r="Y697" s="44"/>
      <c r="Z697" s="44"/>
      <c r="AA697" s="44"/>
      <c r="AB697" s="44"/>
      <c r="AC697" s="44"/>
      <c r="AD697" s="44"/>
      <c r="AE697" s="44"/>
      <c r="AF697" s="44"/>
      <c r="AG697" s="44"/>
      <c r="AH697" s="44"/>
      <c r="AI697" s="44"/>
      <c r="AJ697" s="44"/>
      <c r="AK697" s="44"/>
      <c r="AL697" s="44"/>
      <c r="AM697" s="44"/>
      <c r="AN697" s="44"/>
    </row>
    <row r="698" spans="1:40" ht="16.5" customHeight="1">
      <c r="A698" s="44"/>
      <c r="B698" s="44"/>
      <c r="C698" s="44"/>
      <c r="D698" s="172"/>
      <c r="E698" s="44"/>
      <c r="F698" s="44"/>
      <c r="G698" s="44"/>
      <c r="H698" s="44"/>
      <c r="I698" s="44"/>
      <c r="J698" s="44"/>
      <c r="K698" s="53"/>
      <c r="L698" s="44"/>
      <c r="M698" s="44"/>
      <c r="N698" s="44"/>
      <c r="O698" s="44"/>
      <c r="P698" s="44"/>
      <c r="Q698" s="44"/>
      <c r="R698" s="44"/>
      <c r="S698" s="44"/>
      <c r="T698" s="44"/>
      <c r="U698" s="44"/>
      <c r="V698" s="44"/>
      <c r="W698" s="44"/>
      <c r="X698" s="44"/>
      <c r="Y698" s="44"/>
      <c r="Z698" s="44"/>
      <c r="AA698" s="44"/>
      <c r="AB698" s="44"/>
      <c r="AC698" s="44"/>
      <c r="AD698" s="44"/>
      <c r="AE698" s="44"/>
      <c r="AF698" s="44"/>
      <c r="AG698" s="44"/>
      <c r="AH698" s="44"/>
      <c r="AI698" s="44"/>
      <c r="AJ698" s="44"/>
      <c r="AK698" s="44"/>
      <c r="AL698" s="44"/>
      <c r="AM698" s="44"/>
      <c r="AN698" s="44"/>
    </row>
    <row r="699" spans="1:40" ht="16.5" customHeight="1">
      <c r="A699" s="44"/>
      <c r="B699" s="44"/>
      <c r="C699" s="44"/>
      <c r="D699" s="172"/>
      <c r="E699" s="44"/>
      <c r="F699" s="44"/>
      <c r="G699" s="44"/>
      <c r="H699" s="44"/>
      <c r="I699" s="44"/>
      <c r="J699" s="44"/>
      <c r="K699" s="53"/>
      <c r="L699" s="44"/>
      <c r="M699" s="44"/>
      <c r="N699" s="44"/>
      <c r="O699" s="44"/>
      <c r="P699" s="44"/>
      <c r="Q699" s="44"/>
      <c r="R699" s="44"/>
      <c r="S699" s="44"/>
      <c r="T699" s="44"/>
      <c r="U699" s="44"/>
      <c r="V699" s="44"/>
      <c r="W699" s="44"/>
      <c r="X699" s="44"/>
      <c r="Y699" s="44"/>
      <c r="Z699" s="44"/>
      <c r="AA699" s="44"/>
      <c r="AB699" s="44"/>
      <c r="AC699" s="44"/>
      <c r="AD699" s="44"/>
      <c r="AE699" s="44"/>
      <c r="AF699" s="44"/>
      <c r="AG699" s="44"/>
      <c r="AH699" s="44"/>
      <c r="AI699" s="44"/>
      <c r="AJ699" s="44"/>
      <c r="AK699" s="44"/>
      <c r="AL699" s="44"/>
      <c r="AM699" s="44"/>
      <c r="AN699" s="44"/>
    </row>
    <row r="700" spans="1:40" ht="16.5" customHeight="1">
      <c r="A700" s="44"/>
      <c r="B700" s="44"/>
      <c r="C700" s="44"/>
      <c r="D700" s="172"/>
      <c r="E700" s="44"/>
      <c r="F700" s="44"/>
      <c r="G700" s="44"/>
      <c r="H700" s="44"/>
      <c r="I700" s="44"/>
      <c r="J700" s="44"/>
      <c r="K700" s="53"/>
      <c r="L700" s="44"/>
      <c r="M700" s="44"/>
      <c r="N700" s="44"/>
      <c r="O700" s="44"/>
      <c r="P700" s="44"/>
      <c r="Q700" s="44"/>
      <c r="R700" s="44"/>
      <c r="S700" s="44"/>
      <c r="T700" s="44"/>
      <c r="U700" s="44"/>
      <c r="V700" s="44"/>
      <c r="W700" s="44"/>
      <c r="X700" s="44"/>
      <c r="Y700" s="44"/>
      <c r="Z700" s="44"/>
      <c r="AA700" s="44"/>
      <c r="AB700" s="44"/>
      <c r="AC700" s="44"/>
      <c r="AD700" s="44"/>
      <c r="AE700" s="44"/>
      <c r="AF700" s="44"/>
      <c r="AG700" s="44"/>
      <c r="AH700" s="44"/>
      <c r="AI700" s="44"/>
      <c r="AJ700" s="44"/>
      <c r="AK700" s="44"/>
      <c r="AL700" s="44"/>
      <c r="AM700" s="44"/>
      <c r="AN700" s="44"/>
    </row>
    <row r="701" spans="1:40" ht="16.5" customHeight="1">
      <c r="A701" s="44"/>
      <c r="B701" s="44"/>
      <c r="C701" s="44"/>
      <c r="D701" s="172"/>
      <c r="E701" s="44"/>
      <c r="F701" s="44"/>
      <c r="G701" s="44"/>
      <c r="H701" s="44"/>
      <c r="I701" s="44"/>
      <c r="J701" s="44"/>
      <c r="K701" s="53"/>
      <c r="L701" s="44"/>
      <c r="M701" s="44"/>
      <c r="N701" s="44"/>
      <c r="O701" s="44"/>
      <c r="P701" s="44"/>
      <c r="Q701" s="44"/>
      <c r="R701" s="44"/>
      <c r="S701" s="44"/>
      <c r="T701" s="44"/>
      <c r="U701" s="44"/>
      <c r="V701" s="44"/>
      <c r="W701" s="44"/>
      <c r="X701" s="44"/>
      <c r="Y701" s="44"/>
      <c r="Z701" s="44"/>
      <c r="AA701" s="44"/>
      <c r="AB701" s="44"/>
      <c r="AC701" s="44"/>
      <c r="AD701" s="44"/>
      <c r="AE701" s="44"/>
      <c r="AF701" s="44"/>
      <c r="AG701" s="44"/>
      <c r="AH701" s="44"/>
      <c r="AI701" s="44"/>
      <c r="AJ701" s="44"/>
      <c r="AK701" s="44"/>
      <c r="AL701" s="44"/>
      <c r="AM701" s="44"/>
      <c r="AN701" s="44"/>
    </row>
    <row r="702" spans="1:40" ht="16.5" customHeight="1">
      <c r="A702" s="44"/>
      <c r="B702" s="44"/>
      <c r="C702" s="44"/>
      <c r="D702" s="172"/>
      <c r="E702" s="44"/>
      <c r="F702" s="44"/>
      <c r="G702" s="44"/>
      <c r="H702" s="44"/>
      <c r="I702" s="44"/>
      <c r="J702" s="44"/>
      <c r="K702" s="53"/>
      <c r="L702" s="44"/>
      <c r="M702" s="44"/>
      <c r="N702" s="44"/>
      <c r="O702" s="44"/>
      <c r="P702" s="44"/>
      <c r="Q702" s="44"/>
      <c r="R702" s="44"/>
      <c r="S702" s="44"/>
      <c r="T702" s="44"/>
      <c r="U702" s="44"/>
      <c r="V702" s="44"/>
      <c r="W702" s="44"/>
      <c r="X702" s="44"/>
      <c r="Y702" s="44"/>
      <c r="Z702" s="44"/>
      <c r="AA702" s="44"/>
      <c r="AB702" s="44"/>
      <c r="AC702" s="44"/>
      <c r="AD702" s="44"/>
      <c r="AE702" s="44"/>
      <c r="AF702" s="44"/>
      <c r="AG702" s="44"/>
      <c r="AH702" s="44"/>
      <c r="AI702" s="44"/>
      <c r="AJ702" s="44"/>
      <c r="AK702" s="44"/>
      <c r="AL702" s="44"/>
      <c r="AM702" s="44"/>
      <c r="AN702" s="44"/>
    </row>
    <row r="703" spans="1:40" ht="16.5" customHeight="1">
      <c r="A703" s="44"/>
      <c r="B703" s="44"/>
      <c r="C703" s="44"/>
      <c r="D703" s="172"/>
      <c r="E703" s="44"/>
      <c r="F703" s="44"/>
      <c r="G703" s="44"/>
      <c r="H703" s="44"/>
      <c r="I703" s="44"/>
      <c r="J703" s="44"/>
      <c r="K703" s="53"/>
      <c r="L703" s="44"/>
      <c r="M703" s="44"/>
      <c r="N703" s="44"/>
      <c r="O703" s="44"/>
      <c r="P703" s="44"/>
      <c r="Q703" s="44"/>
      <c r="R703" s="44"/>
      <c r="S703" s="44"/>
      <c r="T703" s="44"/>
      <c r="U703" s="44"/>
      <c r="V703" s="44"/>
      <c r="W703" s="44"/>
      <c r="X703" s="44"/>
      <c r="Y703" s="44"/>
      <c r="Z703" s="44"/>
      <c r="AA703" s="44"/>
      <c r="AB703" s="44"/>
      <c r="AC703" s="44"/>
      <c r="AD703" s="44"/>
      <c r="AE703" s="44"/>
      <c r="AF703" s="44"/>
      <c r="AG703" s="44"/>
      <c r="AH703" s="44"/>
      <c r="AI703" s="44"/>
      <c r="AJ703" s="44"/>
      <c r="AK703" s="44"/>
      <c r="AL703" s="44"/>
      <c r="AM703" s="44"/>
      <c r="AN703" s="44"/>
    </row>
    <row r="704" spans="1:40" ht="16.5" customHeight="1">
      <c r="A704" s="44"/>
      <c r="B704" s="44"/>
      <c r="C704" s="44"/>
      <c r="D704" s="172"/>
      <c r="E704" s="44"/>
      <c r="F704" s="44"/>
      <c r="G704" s="44"/>
      <c r="H704" s="44"/>
      <c r="I704" s="44"/>
      <c r="J704" s="44"/>
      <c r="K704" s="53"/>
      <c r="L704" s="44"/>
      <c r="M704" s="44"/>
      <c r="N704" s="44"/>
      <c r="O704" s="44"/>
      <c r="P704" s="44"/>
      <c r="Q704" s="44"/>
      <c r="R704" s="44"/>
      <c r="S704" s="44"/>
      <c r="T704" s="44"/>
      <c r="U704" s="44"/>
      <c r="V704" s="44"/>
      <c r="W704" s="44"/>
      <c r="X704" s="44"/>
      <c r="Y704" s="44"/>
      <c r="Z704" s="44"/>
      <c r="AA704" s="44"/>
      <c r="AB704" s="44"/>
      <c r="AC704" s="44"/>
      <c r="AD704" s="44"/>
      <c r="AE704" s="44"/>
      <c r="AF704" s="44"/>
      <c r="AG704" s="44"/>
      <c r="AH704" s="44"/>
      <c r="AI704" s="44"/>
      <c r="AJ704" s="44"/>
      <c r="AK704" s="44"/>
      <c r="AL704" s="44"/>
      <c r="AM704" s="44"/>
      <c r="AN704" s="44"/>
    </row>
    <row r="705" spans="1:40" ht="16.5" customHeight="1">
      <c r="A705" s="44"/>
      <c r="B705" s="44"/>
      <c r="C705" s="44"/>
      <c r="D705" s="172"/>
      <c r="E705" s="44"/>
      <c r="F705" s="44"/>
      <c r="G705" s="44"/>
      <c r="H705" s="44"/>
      <c r="I705" s="44"/>
      <c r="J705" s="44"/>
      <c r="K705" s="53"/>
      <c r="L705" s="44"/>
      <c r="M705" s="44"/>
      <c r="N705" s="44"/>
      <c r="O705" s="44"/>
      <c r="P705" s="44"/>
      <c r="Q705" s="44"/>
      <c r="R705" s="44"/>
      <c r="S705" s="44"/>
      <c r="T705" s="44"/>
      <c r="U705" s="44"/>
      <c r="V705" s="44"/>
      <c r="W705" s="44"/>
      <c r="X705" s="44"/>
      <c r="Y705" s="44"/>
      <c r="Z705" s="44"/>
      <c r="AA705" s="44"/>
      <c r="AB705" s="44"/>
      <c r="AC705" s="44"/>
      <c r="AD705" s="44"/>
      <c r="AE705" s="44"/>
      <c r="AF705" s="44"/>
      <c r="AG705" s="44"/>
      <c r="AH705" s="44"/>
      <c r="AI705" s="44"/>
      <c r="AJ705" s="44"/>
      <c r="AK705" s="44"/>
      <c r="AL705" s="44"/>
      <c r="AM705" s="44"/>
      <c r="AN705" s="44"/>
    </row>
    <row r="706" spans="1:40" ht="16.5" customHeight="1">
      <c r="A706" s="44"/>
      <c r="B706" s="44"/>
      <c r="C706" s="44"/>
      <c r="D706" s="172"/>
      <c r="E706" s="44"/>
      <c r="F706" s="44"/>
      <c r="G706" s="44"/>
      <c r="H706" s="44"/>
      <c r="I706" s="44"/>
      <c r="J706" s="44"/>
      <c r="K706" s="53"/>
      <c r="L706" s="44"/>
      <c r="M706" s="44"/>
      <c r="N706" s="44"/>
      <c r="O706" s="44"/>
      <c r="P706" s="44"/>
      <c r="Q706" s="44"/>
      <c r="R706" s="44"/>
      <c r="S706" s="44"/>
      <c r="T706" s="44"/>
      <c r="U706" s="44"/>
      <c r="V706" s="44"/>
      <c r="W706" s="44"/>
      <c r="X706" s="44"/>
      <c r="Y706" s="44"/>
      <c r="Z706" s="44"/>
      <c r="AA706" s="44"/>
      <c r="AB706" s="44"/>
      <c r="AC706" s="44"/>
      <c r="AD706" s="44"/>
      <c r="AE706" s="44"/>
      <c r="AF706" s="44"/>
      <c r="AG706" s="44"/>
      <c r="AH706" s="44"/>
      <c r="AI706" s="44"/>
      <c r="AJ706" s="44"/>
      <c r="AK706" s="44"/>
      <c r="AL706" s="44"/>
      <c r="AM706" s="44"/>
      <c r="AN706" s="44"/>
    </row>
    <row r="707" spans="1:40" ht="16.5" customHeight="1">
      <c r="A707" s="44"/>
      <c r="B707" s="44"/>
      <c r="C707" s="44"/>
      <c r="D707" s="172"/>
      <c r="E707" s="44"/>
      <c r="F707" s="44"/>
      <c r="G707" s="44"/>
      <c r="H707" s="44"/>
      <c r="I707" s="44"/>
      <c r="J707" s="44"/>
      <c r="K707" s="53"/>
      <c r="L707" s="44"/>
      <c r="M707" s="44"/>
      <c r="N707" s="44"/>
      <c r="O707" s="44"/>
      <c r="P707" s="44"/>
      <c r="Q707" s="44"/>
      <c r="R707" s="44"/>
      <c r="S707" s="44"/>
      <c r="T707" s="44"/>
      <c r="U707" s="44"/>
      <c r="V707" s="44"/>
      <c r="W707" s="44"/>
      <c r="X707" s="44"/>
      <c r="Y707" s="44"/>
      <c r="Z707" s="44"/>
      <c r="AA707" s="44"/>
      <c r="AB707" s="44"/>
      <c r="AC707" s="44"/>
      <c r="AD707" s="44"/>
      <c r="AE707" s="44"/>
      <c r="AF707" s="44"/>
      <c r="AG707" s="44"/>
      <c r="AH707" s="44"/>
      <c r="AI707" s="44"/>
      <c r="AJ707" s="44"/>
      <c r="AK707" s="44"/>
      <c r="AL707" s="44"/>
      <c r="AM707" s="44"/>
      <c r="AN707" s="44"/>
    </row>
    <row r="708" spans="1:40" ht="16.5" customHeight="1">
      <c r="A708" s="44"/>
      <c r="B708" s="44"/>
      <c r="C708" s="44"/>
      <c r="D708" s="172"/>
      <c r="E708" s="44"/>
      <c r="F708" s="44"/>
      <c r="G708" s="44"/>
      <c r="H708" s="44"/>
      <c r="I708" s="44"/>
      <c r="J708" s="44"/>
      <c r="K708" s="53"/>
      <c r="L708" s="44"/>
      <c r="M708" s="44"/>
      <c r="N708" s="44"/>
      <c r="O708" s="44"/>
      <c r="P708" s="44"/>
      <c r="Q708" s="44"/>
      <c r="R708" s="44"/>
      <c r="S708" s="44"/>
      <c r="T708" s="44"/>
      <c r="U708" s="44"/>
      <c r="V708" s="44"/>
      <c r="W708" s="44"/>
      <c r="X708" s="44"/>
      <c r="Y708" s="44"/>
      <c r="Z708" s="44"/>
      <c r="AA708" s="44"/>
      <c r="AB708" s="44"/>
      <c r="AC708" s="44"/>
      <c r="AD708" s="44"/>
      <c r="AE708" s="44"/>
      <c r="AF708" s="44"/>
      <c r="AG708" s="44"/>
      <c r="AH708" s="44"/>
      <c r="AI708" s="44"/>
      <c r="AJ708" s="44"/>
      <c r="AK708" s="44"/>
      <c r="AL708" s="44"/>
      <c r="AM708" s="44"/>
      <c r="AN708" s="44"/>
    </row>
    <row r="709" spans="1:40" ht="16.5" customHeight="1">
      <c r="A709" s="44"/>
      <c r="B709" s="44"/>
      <c r="C709" s="44"/>
      <c r="D709" s="172"/>
      <c r="E709" s="44"/>
      <c r="F709" s="44"/>
      <c r="G709" s="44"/>
      <c r="H709" s="44"/>
      <c r="I709" s="44"/>
      <c r="J709" s="44"/>
      <c r="K709" s="53"/>
      <c r="L709" s="44"/>
      <c r="M709" s="44"/>
      <c r="N709" s="44"/>
      <c r="O709" s="44"/>
      <c r="P709" s="44"/>
      <c r="Q709" s="44"/>
      <c r="R709" s="44"/>
      <c r="S709" s="44"/>
      <c r="T709" s="44"/>
      <c r="U709" s="44"/>
      <c r="V709" s="44"/>
      <c r="W709" s="44"/>
      <c r="X709" s="44"/>
      <c r="Y709" s="44"/>
      <c r="Z709" s="44"/>
      <c r="AA709" s="44"/>
      <c r="AB709" s="44"/>
      <c r="AC709" s="44"/>
      <c r="AD709" s="44"/>
      <c r="AE709" s="44"/>
      <c r="AF709" s="44"/>
      <c r="AG709" s="44"/>
      <c r="AH709" s="44"/>
      <c r="AI709" s="44"/>
      <c r="AJ709" s="44"/>
      <c r="AK709" s="44"/>
      <c r="AL709" s="44"/>
      <c r="AM709" s="44"/>
      <c r="AN709" s="44"/>
    </row>
    <row r="710" spans="1:40" ht="16.5" customHeight="1">
      <c r="A710" s="44"/>
      <c r="B710" s="44"/>
      <c r="C710" s="44"/>
      <c r="D710" s="172"/>
      <c r="E710" s="44"/>
      <c r="F710" s="44"/>
      <c r="G710" s="44"/>
      <c r="H710" s="44"/>
      <c r="I710" s="44"/>
      <c r="J710" s="44"/>
      <c r="K710" s="53"/>
      <c r="L710" s="44"/>
      <c r="M710" s="44"/>
      <c r="N710" s="44"/>
      <c r="O710" s="44"/>
      <c r="P710" s="44"/>
      <c r="Q710" s="44"/>
      <c r="R710" s="44"/>
      <c r="S710" s="44"/>
      <c r="T710" s="44"/>
      <c r="U710" s="44"/>
      <c r="V710" s="44"/>
      <c r="W710" s="44"/>
      <c r="X710" s="44"/>
      <c r="Y710" s="44"/>
      <c r="Z710" s="44"/>
      <c r="AA710" s="44"/>
      <c r="AB710" s="44"/>
      <c r="AC710" s="44"/>
      <c r="AD710" s="44"/>
      <c r="AE710" s="44"/>
      <c r="AF710" s="44"/>
      <c r="AG710" s="44"/>
      <c r="AH710" s="44"/>
      <c r="AI710" s="44"/>
      <c r="AJ710" s="44"/>
      <c r="AK710" s="44"/>
      <c r="AL710" s="44"/>
      <c r="AM710" s="44"/>
      <c r="AN710" s="44"/>
    </row>
    <row r="711" spans="1:40" ht="16.5" customHeight="1">
      <c r="A711" s="44"/>
      <c r="B711" s="44"/>
      <c r="C711" s="44"/>
      <c r="D711" s="172"/>
      <c r="E711" s="44"/>
      <c r="F711" s="44"/>
      <c r="G711" s="44"/>
      <c r="H711" s="44"/>
      <c r="I711" s="44"/>
      <c r="J711" s="44"/>
      <c r="K711" s="53"/>
      <c r="L711" s="44"/>
      <c r="M711" s="44"/>
      <c r="N711" s="44"/>
      <c r="O711" s="44"/>
      <c r="P711" s="44"/>
      <c r="Q711" s="44"/>
      <c r="R711" s="44"/>
      <c r="S711" s="44"/>
      <c r="T711" s="44"/>
      <c r="U711" s="44"/>
      <c r="V711" s="44"/>
      <c r="W711" s="44"/>
      <c r="X711" s="44"/>
      <c r="Y711" s="44"/>
      <c r="Z711" s="44"/>
      <c r="AA711" s="44"/>
      <c r="AB711" s="44"/>
      <c r="AC711" s="44"/>
      <c r="AD711" s="44"/>
      <c r="AE711" s="44"/>
      <c r="AF711" s="44"/>
      <c r="AG711" s="44"/>
      <c r="AH711" s="44"/>
      <c r="AI711" s="44"/>
      <c r="AJ711" s="44"/>
      <c r="AK711" s="44"/>
      <c r="AL711" s="44"/>
      <c r="AM711" s="44"/>
      <c r="AN711" s="44"/>
    </row>
    <row r="712" spans="1:40" ht="16.5" customHeight="1">
      <c r="A712" s="44"/>
      <c r="B712" s="44"/>
      <c r="C712" s="44"/>
      <c r="D712" s="172"/>
      <c r="E712" s="44"/>
      <c r="F712" s="44"/>
      <c r="G712" s="44"/>
      <c r="H712" s="44"/>
      <c r="I712" s="44"/>
      <c r="J712" s="44"/>
      <c r="K712" s="53"/>
      <c r="L712" s="44"/>
      <c r="M712" s="44"/>
      <c r="N712" s="44"/>
      <c r="O712" s="44"/>
      <c r="P712" s="44"/>
      <c r="Q712" s="44"/>
      <c r="R712" s="44"/>
      <c r="S712" s="44"/>
      <c r="T712" s="44"/>
      <c r="U712" s="44"/>
      <c r="V712" s="44"/>
      <c r="W712" s="44"/>
      <c r="X712" s="44"/>
      <c r="Y712" s="44"/>
      <c r="Z712" s="44"/>
      <c r="AA712" s="44"/>
      <c r="AB712" s="44"/>
      <c r="AC712" s="44"/>
      <c r="AD712" s="44"/>
      <c r="AE712" s="44"/>
      <c r="AF712" s="44"/>
      <c r="AG712" s="44"/>
      <c r="AH712" s="44"/>
      <c r="AI712" s="44"/>
      <c r="AJ712" s="44"/>
      <c r="AK712" s="44"/>
      <c r="AL712" s="44"/>
      <c r="AM712" s="44"/>
      <c r="AN712" s="44"/>
    </row>
    <row r="713" spans="1:40" ht="16.5" customHeight="1">
      <c r="A713" s="44"/>
      <c r="B713" s="44"/>
      <c r="C713" s="44"/>
      <c r="D713" s="172"/>
      <c r="E713" s="44"/>
      <c r="F713" s="44"/>
      <c r="G713" s="44"/>
      <c r="H713" s="44"/>
      <c r="I713" s="44"/>
      <c r="J713" s="44"/>
      <c r="K713" s="53"/>
      <c r="L713" s="44"/>
      <c r="M713" s="44"/>
      <c r="N713" s="44"/>
      <c r="O713" s="44"/>
      <c r="P713" s="44"/>
      <c r="Q713" s="44"/>
      <c r="R713" s="44"/>
      <c r="S713" s="44"/>
      <c r="T713" s="44"/>
      <c r="U713" s="44"/>
      <c r="V713" s="44"/>
      <c r="W713" s="44"/>
      <c r="X713" s="44"/>
      <c r="Y713" s="44"/>
      <c r="Z713" s="44"/>
      <c r="AA713" s="44"/>
      <c r="AB713" s="44"/>
      <c r="AC713" s="44"/>
      <c r="AD713" s="44"/>
      <c r="AE713" s="44"/>
      <c r="AF713" s="44"/>
      <c r="AG713" s="44"/>
      <c r="AH713" s="44"/>
      <c r="AI713" s="44"/>
      <c r="AJ713" s="44"/>
      <c r="AK713" s="44"/>
      <c r="AL713" s="44"/>
      <c r="AM713" s="44"/>
      <c r="AN713" s="44"/>
    </row>
    <row r="714" spans="1:40" ht="16.5" customHeight="1">
      <c r="A714" s="44"/>
      <c r="B714" s="44"/>
      <c r="C714" s="44"/>
      <c r="D714" s="172"/>
      <c r="E714" s="44"/>
      <c r="F714" s="44"/>
      <c r="G714" s="44"/>
      <c r="H714" s="44"/>
      <c r="I714" s="44"/>
      <c r="J714" s="44"/>
      <c r="K714" s="53"/>
      <c r="L714" s="44"/>
      <c r="M714" s="44"/>
      <c r="N714" s="44"/>
      <c r="O714" s="44"/>
      <c r="P714" s="44"/>
      <c r="Q714" s="44"/>
      <c r="R714" s="44"/>
      <c r="S714" s="44"/>
      <c r="T714" s="44"/>
      <c r="U714" s="44"/>
      <c r="V714" s="44"/>
      <c r="W714" s="44"/>
      <c r="X714" s="44"/>
      <c r="Y714" s="44"/>
      <c r="Z714" s="44"/>
      <c r="AA714" s="44"/>
      <c r="AB714" s="44"/>
      <c r="AC714" s="44"/>
      <c r="AD714" s="44"/>
      <c r="AE714" s="44"/>
      <c r="AF714" s="44"/>
      <c r="AG714" s="44"/>
      <c r="AH714" s="44"/>
      <c r="AI714" s="44"/>
      <c r="AJ714" s="44"/>
      <c r="AK714" s="44"/>
      <c r="AL714" s="44"/>
      <c r="AM714" s="44"/>
      <c r="AN714" s="44"/>
    </row>
    <row r="715" spans="1:40" ht="16.5" customHeight="1">
      <c r="A715" s="44"/>
      <c r="B715" s="44"/>
      <c r="C715" s="44"/>
      <c r="D715" s="172"/>
      <c r="E715" s="44"/>
      <c r="F715" s="44"/>
      <c r="G715" s="44"/>
      <c r="H715" s="44"/>
      <c r="I715" s="44"/>
      <c r="J715" s="44"/>
      <c r="K715" s="53"/>
      <c r="L715" s="44"/>
      <c r="M715" s="44"/>
      <c r="N715" s="44"/>
      <c r="O715" s="44"/>
      <c r="P715" s="44"/>
      <c r="Q715" s="44"/>
      <c r="R715" s="44"/>
      <c r="S715" s="44"/>
      <c r="T715" s="44"/>
      <c r="U715" s="44"/>
      <c r="V715" s="44"/>
      <c r="W715" s="44"/>
      <c r="X715" s="44"/>
      <c r="Y715" s="44"/>
      <c r="Z715" s="44"/>
      <c r="AA715" s="44"/>
      <c r="AB715" s="44"/>
      <c r="AC715" s="44"/>
      <c r="AD715" s="44"/>
      <c r="AE715" s="44"/>
      <c r="AF715" s="44"/>
      <c r="AG715" s="44"/>
      <c r="AH715" s="44"/>
      <c r="AI715" s="44"/>
      <c r="AJ715" s="44"/>
      <c r="AK715" s="44"/>
      <c r="AL715" s="44"/>
      <c r="AM715" s="44"/>
      <c r="AN715" s="44"/>
    </row>
    <row r="716" spans="1:40" ht="16.5" customHeight="1">
      <c r="A716" s="44"/>
      <c r="B716" s="44"/>
      <c r="C716" s="44"/>
      <c r="D716" s="172"/>
      <c r="E716" s="44"/>
      <c r="F716" s="44"/>
      <c r="G716" s="44"/>
      <c r="H716" s="44"/>
      <c r="I716" s="44"/>
      <c r="J716" s="44"/>
      <c r="K716" s="53"/>
      <c r="L716" s="44"/>
      <c r="M716" s="44"/>
      <c r="N716" s="44"/>
      <c r="O716" s="44"/>
      <c r="P716" s="44"/>
      <c r="Q716" s="44"/>
      <c r="R716" s="44"/>
      <c r="S716" s="44"/>
      <c r="T716" s="44"/>
      <c r="U716" s="44"/>
      <c r="V716" s="44"/>
      <c r="W716" s="44"/>
      <c r="X716" s="44"/>
      <c r="Y716" s="44"/>
      <c r="Z716" s="44"/>
      <c r="AA716" s="44"/>
      <c r="AB716" s="44"/>
      <c r="AC716" s="44"/>
      <c r="AD716" s="44"/>
      <c r="AE716" s="44"/>
      <c r="AF716" s="44"/>
      <c r="AG716" s="44"/>
      <c r="AH716" s="44"/>
      <c r="AI716" s="44"/>
      <c r="AJ716" s="44"/>
      <c r="AK716" s="44"/>
      <c r="AL716" s="44"/>
      <c r="AM716" s="44"/>
      <c r="AN716" s="44"/>
    </row>
    <row r="717" spans="1:40" ht="16.5" customHeight="1">
      <c r="A717" s="44"/>
      <c r="B717" s="44"/>
      <c r="C717" s="44"/>
      <c r="D717" s="172"/>
      <c r="E717" s="44"/>
      <c r="F717" s="44"/>
      <c r="G717" s="44"/>
      <c r="H717" s="44"/>
      <c r="I717" s="44"/>
      <c r="J717" s="44"/>
      <c r="K717" s="53"/>
      <c r="L717" s="44"/>
      <c r="M717" s="44"/>
      <c r="N717" s="44"/>
      <c r="O717" s="44"/>
      <c r="P717" s="44"/>
      <c r="Q717" s="44"/>
      <c r="R717" s="44"/>
      <c r="S717" s="44"/>
      <c r="T717" s="44"/>
      <c r="U717" s="44"/>
      <c r="V717" s="44"/>
      <c r="W717" s="44"/>
      <c r="X717" s="44"/>
      <c r="Y717" s="44"/>
      <c r="Z717" s="44"/>
      <c r="AA717" s="44"/>
      <c r="AB717" s="44"/>
      <c r="AC717" s="44"/>
      <c r="AD717" s="44"/>
      <c r="AE717" s="44"/>
      <c r="AF717" s="44"/>
      <c r="AG717" s="44"/>
      <c r="AH717" s="44"/>
      <c r="AI717" s="44"/>
      <c r="AJ717" s="44"/>
      <c r="AK717" s="44"/>
      <c r="AL717" s="44"/>
      <c r="AM717" s="44"/>
      <c r="AN717" s="44"/>
    </row>
    <row r="718" spans="1:40" ht="16.5" customHeight="1">
      <c r="A718" s="44"/>
      <c r="B718" s="44"/>
      <c r="C718" s="44"/>
      <c r="D718" s="172"/>
      <c r="E718" s="44"/>
      <c r="F718" s="44"/>
      <c r="G718" s="44"/>
      <c r="H718" s="44"/>
      <c r="I718" s="44"/>
      <c r="J718" s="44"/>
      <c r="K718" s="53"/>
      <c r="L718" s="44"/>
      <c r="M718" s="44"/>
      <c r="N718" s="44"/>
      <c r="O718" s="44"/>
      <c r="P718" s="44"/>
      <c r="Q718" s="44"/>
      <c r="R718" s="44"/>
      <c r="S718" s="44"/>
      <c r="T718" s="44"/>
      <c r="U718" s="44"/>
      <c r="V718" s="44"/>
      <c r="W718" s="44"/>
      <c r="X718" s="44"/>
      <c r="Y718" s="44"/>
      <c r="Z718" s="44"/>
      <c r="AA718" s="44"/>
      <c r="AB718" s="44"/>
      <c r="AC718" s="44"/>
      <c r="AD718" s="44"/>
      <c r="AE718" s="44"/>
      <c r="AF718" s="44"/>
      <c r="AG718" s="44"/>
      <c r="AH718" s="44"/>
      <c r="AI718" s="44"/>
      <c r="AJ718" s="44"/>
      <c r="AK718" s="44"/>
      <c r="AL718" s="44"/>
      <c r="AM718" s="44"/>
      <c r="AN718" s="44"/>
    </row>
    <row r="719" spans="1:40" ht="16.5" customHeight="1">
      <c r="A719" s="44"/>
      <c r="B719" s="44"/>
      <c r="C719" s="44"/>
      <c r="D719" s="172"/>
      <c r="E719" s="44"/>
      <c r="F719" s="44"/>
      <c r="G719" s="44"/>
      <c r="H719" s="44"/>
      <c r="I719" s="44"/>
      <c r="J719" s="44"/>
      <c r="K719" s="53"/>
      <c r="L719" s="44"/>
      <c r="M719" s="44"/>
      <c r="N719" s="44"/>
      <c r="O719" s="44"/>
      <c r="P719" s="44"/>
      <c r="Q719" s="44"/>
      <c r="R719" s="44"/>
      <c r="S719" s="44"/>
      <c r="T719" s="44"/>
      <c r="U719" s="44"/>
      <c r="V719" s="44"/>
      <c r="W719" s="44"/>
      <c r="X719" s="44"/>
      <c r="Y719" s="44"/>
      <c r="Z719" s="44"/>
      <c r="AA719" s="44"/>
      <c r="AB719" s="44"/>
      <c r="AC719" s="44"/>
      <c r="AD719" s="44"/>
      <c r="AE719" s="44"/>
      <c r="AF719" s="44"/>
      <c r="AG719" s="44"/>
      <c r="AH719" s="44"/>
      <c r="AI719" s="44"/>
      <c r="AJ719" s="44"/>
      <c r="AK719" s="44"/>
      <c r="AL719" s="44"/>
      <c r="AM719" s="44"/>
      <c r="AN719" s="44"/>
    </row>
    <row r="720" spans="1:40" ht="16.5" customHeight="1">
      <c r="A720" s="44"/>
      <c r="B720" s="44"/>
      <c r="C720" s="44"/>
      <c r="D720" s="172"/>
      <c r="E720" s="44"/>
      <c r="F720" s="44"/>
      <c r="G720" s="44"/>
      <c r="H720" s="44"/>
      <c r="I720" s="44"/>
      <c r="J720" s="44"/>
      <c r="K720" s="53"/>
      <c r="L720" s="44"/>
      <c r="M720" s="44"/>
      <c r="N720" s="44"/>
      <c r="O720" s="44"/>
      <c r="P720" s="44"/>
      <c r="Q720" s="44"/>
      <c r="R720" s="44"/>
      <c r="S720" s="44"/>
      <c r="T720" s="44"/>
      <c r="U720" s="44"/>
      <c r="V720" s="44"/>
      <c r="W720" s="44"/>
      <c r="X720" s="44"/>
      <c r="Y720" s="44"/>
      <c r="Z720" s="44"/>
      <c r="AA720" s="44"/>
      <c r="AB720" s="44"/>
      <c r="AC720" s="44"/>
      <c r="AD720" s="44"/>
      <c r="AE720" s="44"/>
      <c r="AF720" s="44"/>
      <c r="AG720" s="44"/>
      <c r="AH720" s="44"/>
      <c r="AI720" s="44"/>
      <c r="AJ720" s="44"/>
      <c r="AK720" s="44"/>
      <c r="AL720" s="44"/>
      <c r="AM720" s="44"/>
      <c r="AN720" s="44"/>
    </row>
    <row r="721" spans="1:40" ht="16.5" customHeight="1">
      <c r="A721" s="44"/>
      <c r="B721" s="44"/>
      <c r="C721" s="44"/>
      <c r="D721" s="172"/>
      <c r="E721" s="44"/>
      <c r="F721" s="44"/>
      <c r="G721" s="44"/>
      <c r="H721" s="44"/>
      <c r="I721" s="44"/>
      <c r="J721" s="44"/>
      <c r="K721" s="53"/>
      <c r="L721" s="44"/>
      <c r="M721" s="44"/>
      <c r="N721" s="44"/>
      <c r="O721" s="44"/>
      <c r="P721" s="44"/>
      <c r="Q721" s="44"/>
      <c r="R721" s="44"/>
      <c r="S721" s="44"/>
      <c r="T721" s="44"/>
      <c r="U721" s="44"/>
      <c r="V721" s="44"/>
      <c r="W721" s="44"/>
      <c r="X721" s="44"/>
      <c r="Y721" s="44"/>
      <c r="Z721" s="44"/>
      <c r="AA721" s="44"/>
      <c r="AB721" s="44"/>
      <c r="AC721" s="44"/>
      <c r="AD721" s="44"/>
      <c r="AE721" s="44"/>
      <c r="AF721" s="44"/>
      <c r="AG721" s="44"/>
      <c r="AH721" s="44"/>
      <c r="AI721" s="44"/>
      <c r="AJ721" s="44"/>
      <c r="AK721" s="44"/>
      <c r="AL721" s="44"/>
      <c r="AM721" s="44"/>
      <c r="AN721" s="44"/>
    </row>
    <row r="722" spans="1:40" ht="16.5" customHeight="1">
      <c r="A722" s="44"/>
      <c r="B722" s="44"/>
      <c r="C722" s="44"/>
      <c r="D722" s="172"/>
      <c r="E722" s="44"/>
      <c r="F722" s="44"/>
      <c r="G722" s="44"/>
      <c r="H722" s="44"/>
      <c r="I722" s="44"/>
      <c r="J722" s="44"/>
      <c r="K722" s="53"/>
      <c r="L722" s="44"/>
      <c r="M722" s="44"/>
      <c r="N722" s="44"/>
      <c r="O722" s="44"/>
      <c r="P722" s="44"/>
      <c r="Q722" s="44"/>
      <c r="R722" s="44"/>
      <c r="S722" s="44"/>
      <c r="T722" s="44"/>
      <c r="U722" s="44"/>
      <c r="V722" s="44"/>
      <c r="W722" s="44"/>
      <c r="X722" s="44"/>
      <c r="Y722" s="44"/>
      <c r="Z722" s="44"/>
      <c r="AA722" s="44"/>
      <c r="AB722" s="44"/>
      <c r="AC722" s="44"/>
      <c r="AD722" s="44"/>
      <c r="AE722" s="44"/>
      <c r="AF722" s="44"/>
      <c r="AG722" s="44"/>
      <c r="AH722" s="44"/>
      <c r="AI722" s="44"/>
      <c r="AJ722" s="44"/>
      <c r="AK722" s="44"/>
      <c r="AL722" s="44"/>
      <c r="AM722" s="44"/>
      <c r="AN722" s="44"/>
    </row>
    <row r="723" spans="1:40" ht="16.5" customHeight="1">
      <c r="A723" s="44"/>
      <c r="B723" s="44"/>
      <c r="C723" s="44"/>
      <c r="D723" s="172"/>
      <c r="E723" s="44"/>
      <c r="F723" s="44"/>
      <c r="G723" s="44"/>
      <c r="H723" s="44"/>
      <c r="I723" s="44"/>
      <c r="J723" s="44"/>
      <c r="K723" s="53"/>
      <c r="L723" s="44"/>
      <c r="M723" s="44"/>
      <c r="N723" s="44"/>
      <c r="O723" s="44"/>
      <c r="P723" s="44"/>
      <c r="Q723" s="44"/>
      <c r="R723" s="44"/>
      <c r="S723" s="44"/>
      <c r="T723" s="44"/>
      <c r="U723" s="44"/>
      <c r="V723" s="44"/>
      <c r="W723" s="44"/>
      <c r="X723" s="44"/>
      <c r="Y723" s="44"/>
      <c r="Z723" s="44"/>
      <c r="AA723" s="44"/>
      <c r="AB723" s="44"/>
      <c r="AC723" s="44"/>
      <c r="AD723" s="44"/>
      <c r="AE723" s="44"/>
      <c r="AF723" s="44"/>
      <c r="AG723" s="44"/>
      <c r="AH723" s="44"/>
      <c r="AI723" s="44"/>
      <c r="AJ723" s="44"/>
      <c r="AK723" s="44"/>
      <c r="AL723" s="44"/>
      <c r="AM723" s="44"/>
      <c r="AN723" s="44"/>
    </row>
    <row r="724" spans="1:40" ht="16.5" customHeight="1">
      <c r="A724" s="44"/>
      <c r="B724" s="44"/>
      <c r="C724" s="44"/>
      <c r="D724" s="172"/>
      <c r="E724" s="44"/>
      <c r="F724" s="44"/>
      <c r="G724" s="44"/>
      <c r="H724" s="44"/>
      <c r="I724" s="44"/>
      <c r="J724" s="44"/>
      <c r="K724" s="53"/>
      <c r="L724" s="44"/>
      <c r="M724" s="44"/>
      <c r="N724" s="44"/>
      <c r="O724" s="44"/>
      <c r="P724" s="44"/>
      <c r="Q724" s="44"/>
      <c r="R724" s="44"/>
      <c r="S724" s="44"/>
      <c r="T724" s="44"/>
      <c r="U724" s="44"/>
      <c r="V724" s="44"/>
      <c r="W724" s="44"/>
      <c r="X724" s="44"/>
      <c r="Y724" s="44"/>
      <c r="Z724" s="44"/>
      <c r="AA724" s="44"/>
      <c r="AB724" s="44"/>
      <c r="AC724" s="44"/>
      <c r="AD724" s="44"/>
      <c r="AE724" s="44"/>
      <c r="AF724" s="44"/>
      <c r="AG724" s="44"/>
      <c r="AH724" s="44"/>
      <c r="AI724" s="44"/>
      <c r="AJ724" s="44"/>
      <c r="AK724" s="44"/>
      <c r="AL724" s="44"/>
      <c r="AM724" s="44"/>
      <c r="AN724" s="44"/>
    </row>
    <row r="725" spans="1:40" ht="16.5" customHeight="1">
      <c r="A725" s="44"/>
      <c r="B725" s="44"/>
      <c r="C725" s="44"/>
      <c r="D725" s="172"/>
      <c r="E725" s="44"/>
      <c r="F725" s="44"/>
      <c r="G725" s="44"/>
      <c r="H725" s="44"/>
      <c r="I725" s="44"/>
      <c r="J725" s="44"/>
      <c r="K725" s="53"/>
      <c r="L725" s="44"/>
      <c r="M725" s="44"/>
      <c r="N725" s="44"/>
      <c r="O725" s="44"/>
      <c r="P725" s="44"/>
      <c r="Q725" s="44"/>
      <c r="R725" s="44"/>
      <c r="S725" s="44"/>
      <c r="T725" s="44"/>
      <c r="U725" s="44"/>
      <c r="V725" s="44"/>
      <c r="W725" s="44"/>
      <c r="X725" s="44"/>
      <c r="Y725" s="44"/>
      <c r="Z725" s="44"/>
      <c r="AA725" s="44"/>
      <c r="AB725" s="44"/>
      <c r="AC725" s="44"/>
      <c r="AD725" s="44"/>
      <c r="AE725" s="44"/>
      <c r="AF725" s="44"/>
      <c r="AG725" s="44"/>
      <c r="AH725" s="44"/>
      <c r="AI725" s="44"/>
      <c r="AJ725" s="44"/>
      <c r="AK725" s="44"/>
      <c r="AL725" s="44"/>
      <c r="AM725" s="44"/>
      <c r="AN725" s="44"/>
    </row>
    <row r="726" spans="1:40" ht="16.5" customHeight="1">
      <c r="A726" s="44"/>
      <c r="B726" s="44"/>
      <c r="C726" s="44"/>
      <c r="D726" s="172"/>
      <c r="E726" s="44"/>
      <c r="F726" s="44"/>
      <c r="G726" s="44"/>
      <c r="H726" s="44"/>
      <c r="I726" s="44"/>
      <c r="J726" s="44"/>
      <c r="K726" s="53"/>
      <c r="L726" s="44"/>
      <c r="M726" s="44"/>
      <c r="N726" s="44"/>
      <c r="O726" s="44"/>
      <c r="P726" s="44"/>
      <c r="Q726" s="44"/>
      <c r="R726" s="44"/>
      <c r="S726" s="44"/>
      <c r="T726" s="44"/>
      <c r="U726" s="44"/>
      <c r="V726" s="44"/>
      <c r="W726" s="44"/>
      <c r="X726" s="44"/>
      <c r="Y726" s="44"/>
      <c r="Z726" s="44"/>
      <c r="AA726" s="44"/>
      <c r="AB726" s="44"/>
      <c r="AC726" s="44"/>
      <c r="AD726" s="44"/>
      <c r="AE726" s="44"/>
      <c r="AF726" s="44"/>
      <c r="AG726" s="44"/>
      <c r="AH726" s="44"/>
      <c r="AI726" s="44"/>
      <c r="AJ726" s="44"/>
      <c r="AK726" s="44"/>
      <c r="AL726" s="44"/>
      <c r="AM726" s="44"/>
      <c r="AN726" s="44"/>
    </row>
    <row r="727" spans="1:40" ht="16.5" customHeight="1">
      <c r="A727" s="44"/>
      <c r="B727" s="44"/>
      <c r="C727" s="44"/>
      <c r="D727" s="172"/>
      <c r="E727" s="44"/>
      <c r="F727" s="44"/>
      <c r="G727" s="44"/>
      <c r="H727" s="44"/>
      <c r="I727" s="44"/>
      <c r="J727" s="44"/>
      <c r="K727" s="53"/>
      <c r="L727" s="44"/>
      <c r="M727" s="44"/>
      <c r="N727" s="44"/>
      <c r="O727" s="44"/>
      <c r="P727" s="44"/>
      <c r="Q727" s="44"/>
      <c r="R727" s="44"/>
      <c r="S727" s="44"/>
      <c r="T727" s="44"/>
      <c r="U727" s="44"/>
      <c r="V727" s="44"/>
      <c r="W727" s="44"/>
      <c r="X727" s="44"/>
      <c r="Y727" s="44"/>
      <c r="Z727" s="44"/>
      <c r="AA727" s="44"/>
      <c r="AB727" s="44"/>
      <c r="AC727" s="44"/>
      <c r="AD727" s="44"/>
      <c r="AE727" s="44"/>
      <c r="AF727" s="44"/>
      <c r="AG727" s="44"/>
      <c r="AH727" s="44"/>
      <c r="AI727" s="44"/>
      <c r="AJ727" s="44"/>
      <c r="AK727" s="44"/>
      <c r="AL727" s="44"/>
      <c r="AM727" s="44"/>
      <c r="AN727" s="44"/>
    </row>
    <row r="728" spans="1:40" ht="16.5" customHeight="1">
      <c r="A728" s="44"/>
      <c r="B728" s="44"/>
      <c r="C728" s="44"/>
      <c r="D728" s="172"/>
      <c r="E728" s="44"/>
      <c r="F728" s="44"/>
      <c r="G728" s="44"/>
      <c r="H728" s="44"/>
      <c r="I728" s="44"/>
      <c r="J728" s="44"/>
      <c r="K728" s="53"/>
      <c r="L728" s="44"/>
      <c r="M728" s="44"/>
      <c r="N728" s="44"/>
      <c r="O728" s="44"/>
      <c r="P728" s="44"/>
      <c r="Q728" s="44"/>
      <c r="R728" s="44"/>
      <c r="S728" s="44"/>
      <c r="T728" s="44"/>
      <c r="U728" s="44"/>
      <c r="V728" s="44"/>
      <c r="W728" s="44"/>
      <c r="X728" s="44"/>
      <c r="Y728" s="44"/>
      <c r="Z728" s="44"/>
      <c r="AA728" s="44"/>
      <c r="AB728" s="44"/>
      <c r="AC728" s="44"/>
      <c r="AD728" s="44"/>
      <c r="AE728" s="44"/>
      <c r="AF728" s="44"/>
      <c r="AG728" s="44"/>
      <c r="AH728" s="44"/>
      <c r="AI728" s="44"/>
      <c r="AJ728" s="44"/>
      <c r="AK728" s="44"/>
      <c r="AL728" s="44"/>
      <c r="AM728" s="44"/>
      <c r="AN728" s="44"/>
    </row>
    <row r="729" spans="1:40" ht="16.5" customHeight="1">
      <c r="A729" s="44"/>
      <c r="B729" s="44"/>
      <c r="C729" s="44"/>
      <c r="D729" s="172"/>
      <c r="E729" s="44"/>
      <c r="F729" s="44"/>
      <c r="G729" s="44"/>
      <c r="H729" s="44"/>
      <c r="I729" s="44"/>
      <c r="J729" s="44"/>
      <c r="K729" s="53"/>
      <c r="L729" s="44"/>
      <c r="M729" s="44"/>
      <c r="N729" s="44"/>
      <c r="O729" s="44"/>
      <c r="P729" s="44"/>
      <c r="Q729" s="44"/>
      <c r="R729" s="44"/>
      <c r="S729" s="44"/>
      <c r="T729" s="44"/>
      <c r="U729" s="44"/>
      <c r="V729" s="44"/>
      <c r="W729" s="44"/>
      <c r="X729" s="44"/>
      <c r="Y729" s="44"/>
      <c r="Z729" s="44"/>
      <c r="AA729" s="44"/>
      <c r="AB729" s="44"/>
      <c r="AC729" s="44"/>
      <c r="AD729" s="44"/>
      <c r="AE729" s="44"/>
      <c r="AF729" s="44"/>
      <c r="AG729" s="44"/>
      <c r="AH729" s="44"/>
      <c r="AI729" s="44"/>
      <c r="AJ729" s="44"/>
      <c r="AK729" s="44"/>
      <c r="AL729" s="44"/>
      <c r="AM729" s="44"/>
      <c r="AN729" s="44"/>
    </row>
    <row r="730" spans="1:40" ht="16.5" customHeight="1">
      <c r="A730" s="44"/>
      <c r="B730" s="44"/>
      <c r="C730" s="44"/>
      <c r="D730" s="172"/>
      <c r="E730" s="44"/>
      <c r="F730" s="44"/>
      <c r="G730" s="44"/>
      <c r="H730" s="44"/>
      <c r="I730" s="44"/>
      <c r="J730" s="44"/>
      <c r="K730" s="53"/>
      <c r="L730" s="44"/>
      <c r="M730" s="44"/>
      <c r="N730" s="44"/>
      <c r="O730" s="44"/>
      <c r="P730" s="44"/>
      <c r="Q730" s="44"/>
      <c r="R730" s="44"/>
      <c r="S730" s="44"/>
      <c r="T730" s="44"/>
      <c r="U730" s="44"/>
      <c r="V730" s="44"/>
      <c r="W730" s="44"/>
      <c r="X730" s="44"/>
      <c r="Y730" s="44"/>
      <c r="Z730" s="44"/>
      <c r="AA730" s="44"/>
      <c r="AB730" s="44"/>
      <c r="AC730" s="44"/>
      <c r="AD730" s="44"/>
      <c r="AE730" s="44"/>
      <c r="AF730" s="44"/>
      <c r="AG730" s="44"/>
      <c r="AH730" s="44"/>
      <c r="AI730" s="44"/>
      <c r="AJ730" s="44"/>
      <c r="AK730" s="44"/>
      <c r="AL730" s="44"/>
      <c r="AM730" s="44"/>
      <c r="AN730" s="44"/>
    </row>
    <row r="731" spans="1:40" ht="16.5" customHeight="1">
      <c r="A731" s="44"/>
      <c r="B731" s="44"/>
      <c r="C731" s="44"/>
      <c r="D731" s="172"/>
      <c r="E731" s="44"/>
      <c r="F731" s="44"/>
      <c r="G731" s="44"/>
      <c r="H731" s="44"/>
      <c r="I731" s="44"/>
      <c r="J731" s="44"/>
      <c r="K731" s="53"/>
      <c r="L731" s="44"/>
      <c r="M731" s="44"/>
      <c r="N731" s="44"/>
      <c r="O731" s="44"/>
      <c r="P731" s="44"/>
      <c r="Q731" s="44"/>
      <c r="R731" s="44"/>
      <c r="S731" s="44"/>
      <c r="T731" s="44"/>
      <c r="U731" s="44"/>
      <c r="V731" s="44"/>
      <c r="W731" s="44"/>
      <c r="X731" s="44"/>
      <c r="Y731" s="44"/>
      <c r="Z731" s="44"/>
      <c r="AA731" s="44"/>
      <c r="AB731" s="44"/>
      <c r="AC731" s="44"/>
      <c r="AD731" s="44"/>
      <c r="AE731" s="44"/>
      <c r="AF731" s="44"/>
      <c r="AG731" s="44"/>
      <c r="AH731" s="44"/>
      <c r="AI731" s="44"/>
      <c r="AJ731" s="44"/>
      <c r="AK731" s="44"/>
      <c r="AL731" s="44"/>
      <c r="AM731" s="44"/>
      <c r="AN731" s="44"/>
    </row>
    <row r="732" spans="1:40" ht="16.5" customHeight="1">
      <c r="A732" s="44"/>
      <c r="B732" s="44"/>
      <c r="C732" s="44"/>
      <c r="D732" s="172"/>
      <c r="E732" s="44"/>
      <c r="F732" s="44"/>
      <c r="G732" s="44"/>
      <c r="H732" s="44"/>
      <c r="I732" s="44"/>
      <c r="J732" s="44"/>
      <c r="K732" s="53"/>
      <c r="L732" s="44"/>
      <c r="M732" s="44"/>
      <c r="N732" s="44"/>
      <c r="O732" s="44"/>
      <c r="P732" s="44"/>
      <c r="Q732" s="44"/>
      <c r="R732" s="44"/>
      <c r="S732" s="44"/>
      <c r="T732" s="44"/>
      <c r="U732" s="44"/>
      <c r="V732" s="44"/>
      <c r="W732" s="44"/>
      <c r="X732" s="44"/>
      <c r="Y732" s="44"/>
      <c r="Z732" s="44"/>
      <c r="AA732" s="44"/>
      <c r="AB732" s="44"/>
      <c r="AC732" s="44"/>
      <c r="AD732" s="44"/>
      <c r="AE732" s="44"/>
      <c r="AF732" s="44"/>
      <c r="AG732" s="44"/>
      <c r="AH732" s="44"/>
      <c r="AI732" s="44"/>
      <c r="AJ732" s="44"/>
      <c r="AK732" s="44"/>
      <c r="AL732" s="44"/>
      <c r="AM732" s="44"/>
      <c r="AN732" s="44"/>
    </row>
    <row r="733" spans="1:40" ht="16.5" customHeight="1">
      <c r="A733" s="44"/>
      <c r="B733" s="44"/>
      <c r="C733" s="44"/>
      <c r="D733" s="172"/>
      <c r="E733" s="44"/>
      <c r="F733" s="44"/>
      <c r="G733" s="44"/>
      <c r="H733" s="44"/>
      <c r="I733" s="44"/>
      <c r="J733" s="44"/>
      <c r="K733" s="53"/>
      <c r="L733" s="44"/>
      <c r="M733" s="44"/>
      <c r="N733" s="44"/>
      <c r="O733" s="44"/>
      <c r="P733" s="44"/>
      <c r="Q733" s="44"/>
      <c r="R733" s="44"/>
      <c r="S733" s="44"/>
      <c r="T733" s="44"/>
      <c r="U733" s="44"/>
      <c r="V733" s="44"/>
      <c r="W733" s="44"/>
      <c r="X733" s="44"/>
      <c r="Y733" s="44"/>
      <c r="Z733" s="44"/>
      <c r="AA733" s="44"/>
      <c r="AB733" s="44"/>
      <c r="AC733" s="44"/>
      <c r="AD733" s="44"/>
      <c r="AE733" s="44"/>
      <c r="AF733" s="44"/>
      <c r="AG733" s="44"/>
      <c r="AH733" s="44"/>
      <c r="AI733" s="44"/>
      <c r="AJ733" s="44"/>
      <c r="AK733" s="44"/>
      <c r="AL733" s="44"/>
      <c r="AM733" s="44"/>
      <c r="AN733" s="44"/>
    </row>
    <row r="734" spans="1:40" ht="16.5" customHeight="1">
      <c r="A734" s="44"/>
      <c r="B734" s="44"/>
      <c r="C734" s="44"/>
      <c r="D734" s="172"/>
      <c r="E734" s="44"/>
      <c r="F734" s="44"/>
      <c r="G734" s="44"/>
      <c r="H734" s="44"/>
      <c r="I734" s="44"/>
      <c r="J734" s="44"/>
      <c r="K734" s="53"/>
      <c r="L734" s="44"/>
      <c r="M734" s="44"/>
      <c r="N734" s="44"/>
      <c r="O734" s="44"/>
      <c r="P734" s="44"/>
      <c r="Q734" s="44"/>
      <c r="R734" s="44"/>
      <c r="S734" s="44"/>
      <c r="T734" s="44"/>
      <c r="U734" s="44"/>
      <c r="V734" s="44"/>
      <c r="W734" s="44"/>
      <c r="X734" s="44"/>
      <c r="Y734" s="44"/>
      <c r="Z734" s="44"/>
      <c r="AA734" s="44"/>
      <c r="AB734" s="44"/>
      <c r="AC734" s="44"/>
      <c r="AD734" s="44"/>
      <c r="AE734" s="44"/>
      <c r="AF734" s="44"/>
      <c r="AG734" s="44"/>
      <c r="AH734" s="44"/>
      <c r="AI734" s="44"/>
      <c r="AJ734" s="44"/>
      <c r="AK734" s="44"/>
      <c r="AL734" s="44"/>
      <c r="AM734" s="44"/>
      <c r="AN734" s="44"/>
    </row>
    <row r="735" spans="1:40" ht="16.5" customHeight="1">
      <c r="A735" s="44"/>
      <c r="B735" s="44"/>
      <c r="C735" s="44"/>
      <c r="D735" s="172"/>
      <c r="E735" s="44"/>
      <c r="F735" s="44"/>
      <c r="G735" s="44"/>
      <c r="H735" s="44"/>
      <c r="I735" s="44"/>
      <c r="J735" s="44"/>
      <c r="K735" s="53"/>
      <c r="L735" s="44"/>
      <c r="M735" s="44"/>
      <c r="N735" s="44"/>
      <c r="O735" s="44"/>
      <c r="P735" s="44"/>
      <c r="Q735" s="44"/>
      <c r="R735" s="44"/>
      <c r="S735" s="44"/>
      <c r="T735" s="44"/>
      <c r="U735" s="44"/>
      <c r="V735" s="44"/>
      <c r="W735" s="44"/>
      <c r="X735" s="44"/>
      <c r="Y735" s="44"/>
      <c r="Z735" s="44"/>
      <c r="AA735" s="44"/>
      <c r="AB735" s="44"/>
      <c r="AC735" s="44"/>
      <c r="AD735" s="44"/>
      <c r="AE735" s="44"/>
      <c r="AF735" s="44"/>
      <c r="AG735" s="44"/>
      <c r="AH735" s="44"/>
      <c r="AI735" s="44"/>
      <c r="AJ735" s="44"/>
      <c r="AK735" s="44"/>
      <c r="AL735" s="44"/>
      <c r="AM735" s="44"/>
      <c r="AN735" s="44"/>
    </row>
    <row r="736" spans="1:40" ht="16.5" customHeight="1">
      <c r="A736" s="44"/>
      <c r="B736" s="44"/>
      <c r="C736" s="44"/>
      <c r="D736" s="172"/>
      <c r="E736" s="44"/>
      <c r="F736" s="44"/>
      <c r="G736" s="44"/>
      <c r="H736" s="44"/>
      <c r="I736" s="44"/>
      <c r="J736" s="44"/>
      <c r="K736" s="53"/>
      <c r="L736" s="44"/>
      <c r="M736" s="44"/>
      <c r="N736" s="44"/>
      <c r="O736" s="44"/>
      <c r="P736" s="44"/>
      <c r="Q736" s="44"/>
      <c r="R736" s="44"/>
      <c r="S736" s="44"/>
      <c r="T736" s="44"/>
      <c r="U736" s="44"/>
      <c r="V736" s="44"/>
      <c r="W736" s="44"/>
      <c r="X736" s="44"/>
      <c r="Y736" s="44"/>
      <c r="Z736" s="44"/>
      <c r="AA736" s="44"/>
      <c r="AB736" s="44"/>
      <c r="AC736" s="44"/>
      <c r="AD736" s="44"/>
      <c r="AE736" s="44"/>
      <c r="AF736" s="44"/>
      <c r="AG736" s="44"/>
      <c r="AH736" s="44"/>
      <c r="AI736" s="44"/>
      <c r="AJ736" s="44"/>
      <c r="AK736" s="44"/>
      <c r="AL736" s="44"/>
      <c r="AM736" s="44"/>
      <c r="AN736" s="44"/>
    </row>
    <row r="737" spans="1:40" ht="16.5" customHeight="1">
      <c r="A737" s="44"/>
      <c r="B737" s="44"/>
      <c r="C737" s="44"/>
      <c r="D737" s="172"/>
      <c r="E737" s="44"/>
      <c r="F737" s="44"/>
      <c r="G737" s="44"/>
      <c r="H737" s="44"/>
      <c r="I737" s="44"/>
      <c r="J737" s="44"/>
      <c r="K737" s="53"/>
      <c r="L737" s="44"/>
      <c r="M737" s="44"/>
      <c r="N737" s="44"/>
      <c r="O737" s="44"/>
      <c r="P737" s="44"/>
      <c r="Q737" s="44"/>
      <c r="R737" s="44"/>
      <c r="S737" s="44"/>
      <c r="T737" s="44"/>
      <c r="U737" s="44"/>
      <c r="V737" s="44"/>
      <c r="W737" s="44"/>
      <c r="X737" s="44"/>
      <c r="Y737" s="44"/>
      <c r="Z737" s="44"/>
      <c r="AA737" s="44"/>
      <c r="AB737" s="44"/>
      <c r="AC737" s="44"/>
      <c r="AD737" s="44"/>
      <c r="AE737" s="44"/>
      <c r="AF737" s="44"/>
      <c r="AG737" s="44"/>
      <c r="AH737" s="44"/>
      <c r="AI737" s="44"/>
      <c r="AJ737" s="44"/>
      <c r="AK737" s="44"/>
      <c r="AL737" s="44"/>
      <c r="AM737" s="44"/>
      <c r="AN737" s="44"/>
    </row>
    <row r="738" spans="1:40" ht="16.5" customHeight="1">
      <c r="A738" s="44"/>
      <c r="B738" s="44"/>
      <c r="C738" s="44"/>
      <c r="D738" s="172"/>
      <c r="E738" s="44"/>
      <c r="F738" s="44"/>
      <c r="G738" s="44"/>
      <c r="H738" s="44"/>
      <c r="I738" s="44"/>
      <c r="J738" s="44"/>
      <c r="K738" s="53"/>
      <c r="L738" s="44"/>
      <c r="M738" s="44"/>
      <c r="N738" s="44"/>
      <c r="O738" s="44"/>
      <c r="P738" s="44"/>
      <c r="Q738" s="44"/>
      <c r="R738" s="44"/>
      <c r="S738" s="44"/>
      <c r="T738" s="44"/>
      <c r="U738" s="44"/>
      <c r="V738" s="44"/>
      <c r="W738" s="44"/>
      <c r="X738" s="44"/>
      <c r="Y738" s="44"/>
      <c r="Z738" s="44"/>
      <c r="AA738" s="44"/>
      <c r="AB738" s="44"/>
      <c r="AC738" s="44"/>
      <c r="AD738" s="44"/>
      <c r="AE738" s="44"/>
      <c r="AF738" s="44"/>
      <c r="AG738" s="44"/>
      <c r="AH738" s="44"/>
      <c r="AI738" s="44"/>
      <c r="AJ738" s="44"/>
      <c r="AK738" s="44"/>
      <c r="AL738" s="44"/>
      <c r="AM738" s="44"/>
      <c r="AN738" s="44"/>
    </row>
    <row r="739" spans="1:40" ht="16.5" customHeight="1">
      <c r="A739" s="44"/>
      <c r="B739" s="44"/>
      <c r="C739" s="44"/>
      <c r="D739" s="172"/>
      <c r="E739" s="44"/>
      <c r="F739" s="44"/>
      <c r="G739" s="44"/>
      <c r="H739" s="44"/>
      <c r="I739" s="44"/>
      <c r="J739" s="44"/>
      <c r="K739" s="53"/>
      <c r="L739" s="44"/>
      <c r="M739" s="44"/>
      <c r="N739" s="44"/>
      <c r="O739" s="44"/>
      <c r="P739" s="44"/>
      <c r="Q739" s="44"/>
      <c r="R739" s="44"/>
      <c r="S739" s="44"/>
      <c r="T739" s="44"/>
      <c r="U739" s="44"/>
      <c r="V739" s="44"/>
      <c r="W739" s="44"/>
      <c r="X739" s="44"/>
      <c r="Y739" s="44"/>
      <c r="Z739" s="44"/>
      <c r="AA739" s="44"/>
      <c r="AB739" s="44"/>
      <c r="AC739" s="44"/>
      <c r="AD739" s="44"/>
      <c r="AE739" s="44"/>
      <c r="AF739" s="44"/>
      <c r="AG739" s="44"/>
      <c r="AH739" s="44"/>
      <c r="AI739" s="44"/>
      <c r="AJ739" s="44"/>
      <c r="AK739" s="44"/>
      <c r="AL739" s="44"/>
      <c r="AM739" s="44"/>
      <c r="AN739" s="44"/>
    </row>
    <row r="740" spans="1:40" ht="16.5" customHeight="1">
      <c r="A740" s="44"/>
      <c r="B740" s="44"/>
      <c r="C740" s="44"/>
      <c r="D740" s="172"/>
      <c r="E740" s="44"/>
      <c r="F740" s="44"/>
      <c r="G740" s="44"/>
      <c r="H740" s="44"/>
      <c r="I740" s="44"/>
      <c r="J740" s="44"/>
      <c r="K740" s="53"/>
      <c r="L740" s="44"/>
      <c r="M740" s="44"/>
      <c r="N740" s="44"/>
      <c r="O740" s="44"/>
      <c r="P740" s="44"/>
      <c r="Q740" s="44"/>
      <c r="R740" s="44"/>
      <c r="S740" s="44"/>
      <c r="T740" s="44"/>
      <c r="U740" s="44"/>
      <c r="V740" s="44"/>
      <c r="W740" s="44"/>
      <c r="X740" s="44"/>
      <c r="Y740" s="44"/>
      <c r="Z740" s="44"/>
      <c r="AA740" s="44"/>
      <c r="AB740" s="44"/>
      <c r="AC740" s="44"/>
      <c r="AD740" s="44"/>
      <c r="AE740" s="44"/>
      <c r="AF740" s="44"/>
      <c r="AG740" s="44"/>
      <c r="AH740" s="44"/>
      <c r="AI740" s="44"/>
      <c r="AJ740" s="44"/>
      <c r="AK740" s="44"/>
      <c r="AL740" s="44"/>
      <c r="AM740" s="44"/>
      <c r="AN740" s="44"/>
    </row>
    <row r="741" spans="1:40" ht="16.5" customHeight="1">
      <c r="A741" s="44"/>
      <c r="B741" s="44"/>
      <c r="C741" s="44"/>
      <c r="D741" s="172"/>
      <c r="E741" s="44"/>
      <c r="F741" s="44"/>
      <c r="G741" s="44"/>
      <c r="H741" s="44"/>
      <c r="I741" s="44"/>
      <c r="J741" s="44"/>
      <c r="K741" s="53"/>
      <c r="L741" s="44"/>
      <c r="M741" s="44"/>
      <c r="N741" s="44"/>
      <c r="O741" s="44"/>
      <c r="P741" s="44"/>
      <c r="Q741" s="44"/>
      <c r="R741" s="44"/>
      <c r="S741" s="44"/>
      <c r="T741" s="44"/>
      <c r="U741" s="44"/>
      <c r="V741" s="44"/>
      <c r="W741" s="44"/>
      <c r="X741" s="44"/>
      <c r="Y741" s="44"/>
      <c r="Z741" s="44"/>
      <c r="AA741" s="44"/>
      <c r="AB741" s="44"/>
      <c r="AC741" s="44"/>
      <c r="AD741" s="44"/>
      <c r="AE741" s="44"/>
      <c r="AF741" s="44"/>
      <c r="AG741" s="44"/>
      <c r="AH741" s="44"/>
      <c r="AI741" s="44"/>
      <c r="AJ741" s="44"/>
      <c r="AK741" s="44"/>
      <c r="AL741" s="44"/>
      <c r="AM741" s="44"/>
      <c r="AN741" s="44"/>
    </row>
    <row r="742" spans="1:40" ht="16.5" customHeight="1">
      <c r="A742" s="44"/>
      <c r="B742" s="44"/>
      <c r="C742" s="44"/>
      <c r="D742" s="172"/>
      <c r="E742" s="44"/>
      <c r="F742" s="44"/>
      <c r="G742" s="44"/>
      <c r="H742" s="44"/>
      <c r="I742" s="44"/>
      <c r="J742" s="44"/>
      <c r="K742" s="53"/>
      <c r="L742" s="44"/>
      <c r="M742" s="44"/>
      <c r="N742" s="44"/>
      <c r="O742" s="44"/>
      <c r="P742" s="44"/>
      <c r="Q742" s="44"/>
      <c r="R742" s="44"/>
      <c r="S742" s="44"/>
      <c r="T742" s="44"/>
      <c r="U742" s="44"/>
      <c r="V742" s="44"/>
      <c r="W742" s="44"/>
      <c r="X742" s="44"/>
      <c r="Y742" s="44"/>
      <c r="Z742" s="44"/>
      <c r="AA742" s="44"/>
      <c r="AB742" s="44"/>
      <c r="AC742" s="44"/>
      <c r="AD742" s="44"/>
      <c r="AE742" s="44"/>
      <c r="AF742" s="44"/>
      <c r="AG742" s="44"/>
      <c r="AH742" s="44"/>
      <c r="AI742" s="44"/>
      <c r="AJ742" s="44"/>
      <c r="AK742" s="44"/>
      <c r="AL742" s="44"/>
      <c r="AM742" s="44"/>
      <c r="AN742" s="44"/>
    </row>
    <row r="743" spans="1:40" ht="16.5" customHeight="1">
      <c r="A743" s="44"/>
      <c r="B743" s="44"/>
      <c r="C743" s="44"/>
      <c r="D743" s="172"/>
      <c r="E743" s="44"/>
      <c r="F743" s="44"/>
      <c r="G743" s="44"/>
      <c r="H743" s="44"/>
      <c r="I743" s="44"/>
      <c r="J743" s="44"/>
      <c r="K743" s="53"/>
      <c r="L743" s="44"/>
      <c r="M743" s="44"/>
      <c r="N743" s="44"/>
      <c r="O743" s="44"/>
      <c r="P743" s="44"/>
      <c r="Q743" s="44"/>
      <c r="R743" s="44"/>
      <c r="S743" s="44"/>
      <c r="T743" s="44"/>
      <c r="U743" s="44"/>
      <c r="V743" s="44"/>
      <c r="W743" s="44"/>
      <c r="X743" s="44"/>
      <c r="Y743" s="44"/>
      <c r="Z743" s="44"/>
      <c r="AA743" s="44"/>
      <c r="AB743" s="44"/>
      <c r="AC743" s="44"/>
      <c r="AD743" s="44"/>
      <c r="AE743" s="44"/>
      <c r="AF743" s="44"/>
      <c r="AG743" s="44"/>
      <c r="AH743" s="44"/>
      <c r="AI743" s="44"/>
      <c r="AJ743" s="44"/>
      <c r="AK743" s="44"/>
      <c r="AL743" s="44"/>
      <c r="AM743" s="44"/>
      <c r="AN743" s="44"/>
    </row>
    <row r="744" spans="1:40" ht="16.5" customHeight="1">
      <c r="A744" s="44"/>
      <c r="B744" s="44"/>
      <c r="C744" s="44"/>
      <c r="D744" s="172"/>
      <c r="E744" s="44"/>
      <c r="F744" s="44"/>
      <c r="G744" s="44"/>
      <c r="H744" s="44"/>
      <c r="I744" s="44"/>
      <c r="J744" s="44"/>
      <c r="K744" s="53"/>
      <c r="L744" s="44"/>
      <c r="M744" s="44"/>
      <c r="N744" s="44"/>
      <c r="O744" s="44"/>
      <c r="P744" s="44"/>
      <c r="Q744" s="44"/>
      <c r="R744" s="44"/>
      <c r="S744" s="44"/>
      <c r="T744" s="44"/>
      <c r="U744" s="44"/>
      <c r="V744" s="44"/>
      <c r="W744" s="44"/>
      <c r="X744" s="44"/>
      <c r="Y744" s="44"/>
      <c r="Z744" s="44"/>
      <c r="AA744" s="44"/>
      <c r="AB744" s="44"/>
      <c r="AC744" s="44"/>
      <c r="AD744" s="44"/>
      <c r="AE744" s="44"/>
      <c r="AF744" s="44"/>
      <c r="AG744" s="44"/>
      <c r="AH744" s="44"/>
      <c r="AI744" s="44"/>
      <c r="AJ744" s="44"/>
      <c r="AK744" s="44"/>
      <c r="AL744" s="44"/>
      <c r="AM744" s="44"/>
      <c r="AN744" s="44"/>
    </row>
    <row r="745" spans="1:40" ht="16.5" customHeight="1">
      <c r="A745" s="44"/>
      <c r="B745" s="44"/>
      <c r="C745" s="44"/>
      <c r="D745" s="172"/>
      <c r="E745" s="44"/>
      <c r="F745" s="44"/>
      <c r="G745" s="44"/>
      <c r="H745" s="44"/>
      <c r="I745" s="44"/>
      <c r="J745" s="44"/>
      <c r="K745" s="53"/>
      <c r="L745" s="44"/>
      <c r="M745" s="44"/>
      <c r="N745" s="44"/>
      <c r="O745" s="44"/>
      <c r="P745" s="44"/>
      <c r="Q745" s="44"/>
      <c r="R745" s="44"/>
      <c r="S745" s="44"/>
      <c r="T745" s="44"/>
      <c r="U745" s="44"/>
      <c r="V745" s="44"/>
      <c r="W745" s="44"/>
      <c r="X745" s="44"/>
      <c r="Y745" s="44"/>
      <c r="Z745" s="44"/>
      <c r="AA745" s="44"/>
      <c r="AB745" s="44"/>
      <c r="AC745" s="44"/>
      <c r="AD745" s="44"/>
      <c r="AE745" s="44"/>
      <c r="AF745" s="44"/>
      <c r="AG745" s="44"/>
      <c r="AH745" s="44"/>
      <c r="AI745" s="44"/>
      <c r="AJ745" s="44"/>
      <c r="AK745" s="44"/>
      <c r="AL745" s="44"/>
      <c r="AM745" s="44"/>
      <c r="AN745" s="44"/>
    </row>
    <row r="746" spans="1:40" ht="16.5" customHeight="1">
      <c r="A746" s="44"/>
      <c r="B746" s="44"/>
      <c r="C746" s="44"/>
      <c r="D746" s="172"/>
      <c r="E746" s="44"/>
      <c r="F746" s="44"/>
      <c r="G746" s="44"/>
      <c r="H746" s="44"/>
      <c r="I746" s="44"/>
      <c r="J746" s="44"/>
      <c r="K746" s="53"/>
      <c r="L746" s="44"/>
      <c r="M746" s="44"/>
      <c r="N746" s="44"/>
      <c r="O746" s="44"/>
      <c r="P746" s="44"/>
      <c r="Q746" s="44"/>
      <c r="R746" s="44"/>
      <c r="S746" s="44"/>
      <c r="T746" s="44"/>
      <c r="U746" s="44"/>
      <c r="V746" s="44"/>
      <c r="W746" s="44"/>
      <c r="X746" s="44"/>
      <c r="Y746" s="44"/>
      <c r="Z746" s="44"/>
      <c r="AA746" s="44"/>
      <c r="AB746" s="44"/>
      <c r="AC746" s="44"/>
      <c r="AD746" s="44"/>
      <c r="AE746" s="44"/>
      <c r="AF746" s="44"/>
      <c r="AG746" s="44"/>
      <c r="AH746" s="44"/>
      <c r="AI746" s="44"/>
      <c r="AJ746" s="44"/>
      <c r="AK746" s="44"/>
      <c r="AL746" s="44"/>
      <c r="AM746" s="44"/>
      <c r="AN746" s="44"/>
    </row>
    <row r="747" spans="1:40" ht="16.5" customHeight="1">
      <c r="A747" s="44"/>
      <c r="B747" s="44"/>
      <c r="C747" s="44"/>
      <c r="D747" s="172"/>
      <c r="E747" s="44"/>
      <c r="F747" s="44"/>
      <c r="G747" s="44"/>
      <c r="H747" s="44"/>
      <c r="I747" s="44"/>
      <c r="J747" s="44"/>
      <c r="K747" s="53"/>
      <c r="L747" s="44"/>
      <c r="M747" s="44"/>
      <c r="N747" s="44"/>
      <c r="O747" s="44"/>
      <c r="P747" s="44"/>
      <c r="Q747" s="44"/>
      <c r="R747" s="44"/>
      <c r="S747" s="44"/>
      <c r="T747" s="44"/>
      <c r="U747" s="44"/>
      <c r="V747" s="44"/>
      <c r="W747" s="44"/>
      <c r="X747" s="44"/>
      <c r="Y747" s="44"/>
      <c r="Z747" s="44"/>
      <c r="AA747" s="44"/>
      <c r="AB747" s="44"/>
      <c r="AC747" s="44"/>
      <c r="AD747" s="44"/>
      <c r="AE747" s="44"/>
      <c r="AF747" s="44"/>
      <c r="AG747" s="44"/>
      <c r="AH747" s="44"/>
      <c r="AI747" s="44"/>
      <c r="AJ747" s="44"/>
      <c r="AK747" s="44"/>
      <c r="AL747" s="44"/>
      <c r="AM747" s="44"/>
      <c r="AN747" s="44"/>
    </row>
    <row r="748" spans="1:40" ht="16.5" customHeight="1">
      <c r="A748" s="44"/>
      <c r="B748" s="44"/>
      <c r="C748" s="44"/>
      <c r="D748" s="172"/>
      <c r="E748" s="44"/>
      <c r="F748" s="44"/>
      <c r="G748" s="44"/>
      <c r="H748" s="44"/>
      <c r="I748" s="44"/>
      <c r="J748" s="44"/>
      <c r="K748" s="53"/>
      <c r="L748" s="44"/>
      <c r="M748" s="44"/>
      <c r="N748" s="44"/>
      <c r="O748" s="44"/>
      <c r="P748" s="44"/>
      <c r="Q748" s="44"/>
      <c r="R748" s="44"/>
      <c r="S748" s="44"/>
      <c r="T748" s="44"/>
      <c r="U748" s="44"/>
      <c r="V748" s="44"/>
      <c r="W748" s="44"/>
      <c r="X748" s="44"/>
      <c r="Y748" s="44"/>
      <c r="Z748" s="44"/>
      <c r="AA748" s="44"/>
      <c r="AB748" s="44"/>
      <c r="AC748" s="44"/>
      <c r="AD748" s="44"/>
      <c r="AE748" s="44"/>
      <c r="AF748" s="44"/>
      <c r="AG748" s="44"/>
      <c r="AH748" s="44"/>
      <c r="AI748" s="44"/>
      <c r="AJ748" s="44"/>
      <c r="AK748" s="44"/>
      <c r="AL748" s="44"/>
      <c r="AM748" s="44"/>
      <c r="AN748" s="44"/>
    </row>
    <row r="749" spans="1:40" ht="16.5" customHeight="1">
      <c r="A749" s="44"/>
      <c r="B749" s="44"/>
      <c r="C749" s="44"/>
      <c r="D749" s="172"/>
      <c r="E749" s="44"/>
      <c r="F749" s="44"/>
      <c r="G749" s="44"/>
      <c r="H749" s="44"/>
      <c r="I749" s="44"/>
      <c r="J749" s="44"/>
      <c r="K749" s="53"/>
      <c r="L749" s="44"/>
      <c r="M749" s="44"/>
      <c r="N749" s="44"/>
      <c r="O749" s="44"/>
      <c r="P749" s="44"/>
      <c r="Q749" s="44"/>
      <c r="R749" s="44"/>
      <c r="S749" s="44"/>
      <c r="T749" s="44"/>
      <c r="U749" s="44"/>
      <c r="V749" s="44"/>
      <c r="W749" s="44"/>
      <c r="X749" s="44"/>
      <c r="Y749" s="44"/>
      <c r="Z749" s="44"/>
      <c r="AA749" s="44"/>
      <c r="AB749" s="44"/>
      <c r="AC749" s="44"/>
      <c r="AD749" s="44"/>
      <c r="AE749" s="44"/>
      <c r="AF749" s="44"/>
      <c r="AG749" s="44"/>
      <c r="AH749" s="44"/>
      <c r="AI749" s="44"/>
      <c r="AJ749" s="44"/>
      <c r="AK749" s="44"/>
      <c r="AL749" s="44"/>
      <c r="AM749" s="44"/>
      <c r="AN749" s="44"/>
    </row>
    <row r="750" spans="1:40" ht="16.5" customHeight="1">
      <c r="A750" s="44"/>
      <c r="B750" s="44"/>
      <c r="C750" s="44"/>
      <c r="D750" s="172"/>
      <c r="E750" s="44"/>
      <c r="F750" s="44"/>
      <c r="G750" s="44"/>
      <c r="H750" s="44"/>
      <c r="I750" s="44"/>
      <c r="J750" s="44"/>
      <c r="K750" s="53"/>
      <c r="L750" s="44"/>
      <c r="M750" s="44"/>
      <c r="N750" s="44"/>
      <c r="O750" s="44"/>
      <c r="P750" s="44"/>
      <c r="Q750" s="44"/>
      <c r="R750" s="44"/>
      <c r="S750" s="44"/>
      <c r="T750" s="44"/>
      <c r="U750" s="44"/>
      <c r="V750" s="44"/>
      <c r="W750" s="44"/>
      <c r="X750" s="44"/>
      <c r="Y750" s="44"/>
      <c r="Z750" s="44"/>
      <c r="AA750" s="44"/>
      <c r="AB750" s="44"/>
      <c r="AC750" s="44"/>
      <c r="AD750" s="44"/>
      <c r="AE750" s="44"/>
      <c r="AF750" s="44"/>
      <c r="AG750" s="44"/>
      <c r="AH750" s="44"/>
      <c r="AI750" s="44"/>
      <c r="AJ750" s="44"/>
      <c r="AK750" s="44"/>
      <c r="AL750" s="44"/>
      <c r="AM750" s="44"/>
      <c r="AN750" s="44"/>
    </row>
    <row r="751" spans="1:40" ht="16.5" customHeight="1">
      <c r="A751" s="44"/>
      <c r="B751" s="44"/>
      <c r="C751" s="44"/>
      <c r="D751" s="172"/>
      <c r="E751" s="44"/>
      <c r="F751" s="44"/>
      <c r="G751" s="44"/>
      <c r="H751" s="44"/>
      <c r="I751" s="44"/>
      <c r="J751" s="44"/>
      <c r="K751" s="53"/>
      <c r="L751" s="44"/>
      <c r="M751" s="44"/>
      <c r="N751" s="44"/>
      <c r="O751" s="44"/>
      <c r="P751" s="44"/>
      <c r="Q751" s="44"/>
      <c r="R751" s="44"/>
      <c r="S751" s="44"/>
      <c r="T751" s="44"/>
      <c r="U751" s="44"/>
      <c r="V751" s="44"/>
      <c r="W751" s="44"/>
      <c r="X751" s="44"/>
      <c r="Y751" s="44"/>
      <c r="Z751" s="44"/>
      <c r="AA751" s="44"/>
      <c r="AB751" s="44"/>
      <c r="AC751" s="44"/>
      <c r="AD751" s="44"/>
      <c r="AE751" s="44"/>
      <c r="AF751" s="44"/>
      <c r="AG751" s="44"/>
      <c r="AH751" s="44"/>
      <c r="AI751" s="44"/>
      <c r="AJ751" s="44"/>
      <c r="AK751" s="44"/>
      <c r="AL751" s="44"/>
      <c r="AM751" s="44"/>
      <c r="AN751" s="44"/>
    </row>
    <row r="752" spans="1:40" ht="16.5" customHeight="1">
      <c r="A752" s="44"/>
      <c r="B752" s="44"/>
      <c r="C752" s="44"/>
      <c r="D752" s="172"/>
      <c r="E752" s="44"/>
      <c r="F752" s="44"/>
      <c r="G752" s="44"/>
      <c r="H752" s="44"/>
      <c r="I752" s="44"/>
      <c r="J752" s="44"/>
      <c r="K752" s="53"/>
      <c r="L752" s="44"/>
      <c r="M752" s="44"/>
      <c r="N752" s="44"/>
      <c r="O752" s="44"/>
      <c r="P752" s="44"/>
      <c r="Q752" s="44"/>
      <c r="R752" s="44"/>
      <c r="S752" s="44"/>
      <c r="T752" s="44"/>
      <c r="U752" s="44"/>
      <c r="V752" s="44"/>
      <c r="W752" s="44"/>
      <c r="X752" s="44"/>
      <c r="Y752" s="44"/>
      <c r="Z752" s="44"/>
      <c r="AA752" s="44"/>
      <c r="AB752" s="44"/>
      <c r="AC752" s="44"/>
      <c r="AD752" s="44"/>
      <c r="AE752" s="44"/>
      <c r="AF752" s="44"/>
      <c r="AG752" s="44"/>
      <c r="AH752" s="44"/>
      <c r="AI752" s="44"/>
      <c r="AJ752" s="44"/>
      <c r="AK752" s="44"/>
      <c r="AL752" s="44"/>
      <c r="AM752" s="44"/>
      <c r="AN752" s="44"/>
    </row>
    <row r="753" spans="1:40" ht="16.5" customHeight="1">
      <c r="A753" s="44"/>
      <c r="B753" s="44"/>
      <c r="C753" s="44"/>
      <c r="D753" s="172"/>
      <c r="E753" s="44"/>
      <c r="F753" s="44"/>
      <c r="G753" s="44"/>
      <c r="H753" s="44"/>
      <c r="I753" s="44"/>
      <c r="J753" s="44"/>
      <c r="K753" s="53"/>
      <c r="L753" s="44"/>
      <c r="M753" s="44"/>
      <c r="N753" s="44"/>
      <c r="O753" s="44"/>
      <c r="P753" s="44"/>
      <c r="Q753" s="44"/>
      <c r="R753" s="44"/>
      <c r="S753" s="44"/>
      <c r="T753" s="44"/>
      <c r="U753" s="44"/>
      <c r="V753" s="44"/>
      <c r="W753" s="44"/>
      <c r="X753" s="44"/>
      <c r="Y753" s="44"/>
      <c r="Z753" s="44"/>
      <c r="AA753" s="44"/>
      <c r="AB753" s="44"/>
      <c r="AC753" s="44"/>
      <c r="AD753" s="44"/>
      <c r="AE753" s="44"/>
      <c r="AF753" s="44"/>
      <c r="AG753" s="44"/>
      <c r="AH753" s="44"/>
      <c r="AI753" s="44"/>
      <c r="AJ753" s="44"/>
      <c r="AK753" s="44"/>
      <c r="AL753" s="44"/>
      <c r="AM753" s="44"/>
      <c r="AN753" s="44"/>
    </row>
    <row r="754" spans="1:40" ht="16.5" customHeight="1">
      <c r="A754" s="44"/>
      <c r="B754" s="44"/>
      <c r="C754" s="44"/>
      <c r="D754" s="172"/>
      <c r="E754" s="44"/>
      <c r="F754" s="44"/>
      <c r="G754" s="44"/>
      <c r="H754" s="44"/>
      <c r="I754" s="44"/>
      <c r="J754" s="44"/>
      <c r="K754" s="53"/>
      <c r="L754" s="44"/>
      <c r="M754" s="44"/>
      <c r="N754" s="44"/>
      <c r="O754" s="44"/>
      <c r="P754" s="44"/>
      <c r="Q754" s="44"/>
      <c r="R754" s="44"/>
      <c r="S754" s="44"/>
      <c r="T754" s="44"/>
      <c r="U754" s="44"/>
      <c r="V754" s="44"/>
      <c r="W754" s="44"/>
      <c r="X754" s="44"/>
      <c r="Y754" s="44"/>
      <c r="Z754" s="44"/>
      <c r="AA754" s="44"/>
      <c r="AB754" s="44"/>
      <c r="AC754" s="44"/>
      <c r="AD754" s="44"/>
      <c r="AE754" s="44"/>
      <c r="AF754" s="44"/>
      <c r="AG754" s="44"/>
      <c r="AH754" s="44"/>
      <c r="AI754" s="44"/>
      <c r="AJ754" s="44"/>
      <c r="AK754" s="44"/>
      <c r="AL754" s="44"/>
      <c r="AM754" s="44"/>
      <c r="AN754" s="44"/>
    </row>
    <row r="755" spans="1:40" ht="16.5" customHeight="1">
      <c r="A755" s="44"/>
      <c r="B755" s="44"/>
      <c r="C755" s="44"/>
      <c r="D755" s="172"/>
      <c r="E755" s="44"/>
      <c r="F755" s="44"/>
      <c r="G755" s="44"/>
      <c r="H755" s="44"/>
      <c r="I755" s="44"/>
      <c r="J755" s="44"/>
      <c r="K755" s="53"/>
      <c r="L755" s="44"/>
      <c r="M755" s="44"/>
      <c r="N755" s="44"/>
      <c r="O755" s="44"/>
      <c r="P755" s="44"/>
      <c r="Q755" s="44"/>
      <c r="R755" s="44"/>
      <c r="S755" s="44"/>
      <c r="T755" s="44"/>
      <c r="U755" s="44"/>
      <c r="V755" s="44"/>
      <c r="W755" s="44"/>
      <c r="X755" s="44"/>
      <c r="Y755" s="44"/>
      <c r="Z755" s="44"/>
      <c r="AA755" s="44"/>
      <c r="AB755" s="44"/>
      <c r="AC755" s="44"/>
      <c r="AD755" s="44"/>
      <c r="AE755" s="44"/>
      <c r="AF755" s="44"/>
      <c r="AG755" s="44"/>
      <c r="AH755" s="44"/>
      <c r="AI755" s="44"/>
      <c r="AJ755" s="44"/>
      <c r="AK755" s="44"/>
      <c r="AL755" s="44"/>
      <c r="AM755" s="44"/>
      <c r="AN755" s="44"/>
    </row>
    <row r="756" spans="1:40" ht="16.5" customHeight="1">
      <c r="A756" s="44"/>
      <c r="B756" s="44"/>
      <c r="C756" s="44"/>
      <c r="D756" s="172"/>
      <c r="E756" s="44"/>
      <c r="F756" s="44"/>
      <c r="G756" s="44"/>
      <c r="H756" s="44"/>
      <c r="I756" s="44"/>
      <c r="J756" s="44"/>
      <c r="K756" s="53"/>
      <c r="L756" s="44"/>
      <c r="M756" s="44"/>
      <c r="N756" s="44"/>
      <c r="O756" s="44"/>
      <c r="P756" s="44"/>
      <c r="Q756" s="44"/>
      <c r="R756" s="44"/>
      <c r="S756" s="44"/>
      <c r="T756" s="44"/>
      <c r="U756" s="44"/>
      <c r="V756" s="44"/>
      <c r="W756" s="44"/>
      <c r="X756" s="44"/>
      <c r="Y756" s="44"/>
      <c r="Z756" s="44"/>
      <c r="AA756" s="44"/>
      <c r="AB756" s="44"/>
      <c r="AC756" s="44"/>
      <c r="AD756" s="44"/>
      <c r="AE756" s="44"/>
      <c r="AF756" s="44"/>
      <c r="AG756" s="44"/>
      <c r="AH756" s="44"/>
      <c r="AI756" s="44"/>
      <c r="AJ756" s="44"/>
      <c r="AK756" s="44"/>
      <c r="AL756" s="44"/>
      <c r="AM756" s="44"/>
      <c r="AN756" s="44"/>
    </row>
    <row r="757" spans="1:40" ht="16.5" customHeight="1">
      <c r="A757" s="44"/>
      <c r="B757" s="44"/>
      <c r="C757" s="44"/>
      <c r="D757" s="172"/>
      <c r="E757" s="44"/>
      <c r="F757" s="44"/>
      <c r="G757" s="44"/>
      <c r="H757" s="44"/>
      <c r="I757" s="44"/>
      <c r="J757" s="44"/>
      <c r="K757" s="53"/>
      <c r="L757" s="44"/>
      <c r="M757" s="44"/>
      <c r="N757" s="44"/>
      <c r="O757" s="44"/>
      <c r="P757" s="44"/>
      <c r="Q757" s="44"/>
      <c r="R757" s="44"/>
      <c r="S757" s="44"/>
      <c r="T757" s="44"/>
      <c r="U757" s="44"/>
      <c r="V757" s="44"/>
      <c r="W757" s="44"/>
      <c r="X757" s="44"/>
      <c r="Y757" s="44"/>
      <c r="Z757" s="44"/>
      <c r="AA757" s="44"/>
      <c r="AB757" s="44"/>
      <c r="AC757" s="44"/>
      <c r="AD757" s="44"/>
      <c r="AE757" s="44"/>
      <c r="AF757" s="44"/>
      <c r="AG757" s="44"/>
      <c r="AH757" s="44"/>
      <c r="AI757" s="44"/>
      <c r="AJ757" s="44"/>
      <c r="AK757" s="44"/>
      <c r="AL757" s="44"/>
      <c r="AM757" s="44"/>
      <c r="AN757" s="44"/>
    </row>
    <row r="758" spans="1:40" ht="16.5" customHeight="1">
      <c r="A758" s="44"/>
      <c r="B758" s="44"/>
      <c r="C758" s="44"/>
      <c r="D758" s="172"/>
      <c r="E758" s="44"/>
      <c r="F758" s="44"/>
      <c r="G758" s="44"/>
      <c r="H758" s="44"/>
      <c r="I758" s="44"/>
      <c r="J758" s="44"/>
      <c r="K758" s="53"/>
      <c r="L758" s="44"/>
      <c r="M758" s="44"/>
      <c r="N758" s="44"/>
      <c r="O758" s="44"/>
      <c r="P758" s="44"/>
      <c r="Q758" s="44"/>
      <c r="R758" s="44"/>
      <c r="S758" s="44"/>
      <c r="T758" s="44"/>
      <c r="U758" s="44"/>
      <c r="V758" s="44"/>
      <c r="W758" s="44"/>
      <c r="X758" s="44"/>
      <c r="Y758" s="44"/>
      <c r="Z758" s="44"/>
      <c r="AA758" s="44"/>
      <c r="AB758" s="44"/>
      <c r="AC758" s="44"/>
      <c r="AD758" s="44"/>
      <c r="AE758" s="44"/>
      <c r="AF758" s="44"/>
      <c r="AG758" s="44"/>
      <c r="AH758" s="44"/>
      <c r="AI758" s="44"/>
      <c r="AJ758" s="44"/>
      <c r="AK758" s="44"/>
      <c r="AL758" s="44"/>
      <c r="AM758" s="44"/>
      <c r="AN758" s="44"/>
    </row>
    <row r="759" spans="1:40" ht="16.5" customHeight="1">
      <c r="A759" s="44"/>
      <c r="B759" s="44"/>
      <c r="C759" s="44"/>
      <c r="D759" s="172"/>
      <c r="E759" s="44"/>
      <c r="F759" s="44"/>
      <c r="G759" s="44"/>
      <c r="H759" s="44"/>
      <c r="I759" s="44"/>
      <c r="J759" s="44"/>
      <c r="K759" s="53"/>
      <c r="L759" s="44"/>
      <c r="M759" s="44"/>
      <c r="N759" s="44"/>
      <c r="O759" s="44"/>
      <c r="P759" s="44"/>
      <c r="Q759" s="44"/>
      <c r="R759" s="44"/>
      <c r="S759" s="44"/>
      <c r="T759" s="44"/>
      <c r="U759" s="44"/>
      <c r="V759" s="44"/>
      <c r="W759" s="44"/>
      <c r="X759" s="44"/>
      <c r="Y759" s="44"/>
      <c r="Z759" s="44"/>
      <c r="AA759" s="44"/>
      <c r="AB759" s="44"/>
      <c r="AC759" s="44"/>
      <c r="AD759" s="44"/>
      <c r="AE759" s="44"/>
      <c r="AF759" s="44"/>
      <c r="AG759" s="44"/>
      <c r="AH759" s="44"/>
      <c r="AI759" s="44"/>
      <c r="AJ759" s="44"/>
      <c r="AK759" s="44"/>
      <c r="AL759" s="44"/>
      <c r="AM759" s="44"/>
      <c r="AN759" s="44"/>
    </row>
    <row r="760" spans="1:40" ht="16.5" customHeight="1">
      <c r="A760" s="44"/>
      <c r="B760" s="44"/>
      <c r="C760" s="44"/>
      <c r="D760" s="172"/>
      <c r="E760" s="44"/>
      <c r="F760" s="44"/>
      <c r="G760" s="44"/>
      <c r="H760" s="44"/>
      <c r="I760" s="44"/>
      <c r="J760" s="44"/>
      <c r="K760" s="53"/>
      <c r="L760" s="44"/>
      <c r="M760" s="44"/>
      <c r="N760" s="44"/>
      <c r="O760" s="44"/>
      <c r="P760" s="44"/>
      <c r="Q760" s="44"/>
      <c r="R760" s="44"/>
      <c r="S760" s="44"/>
      <c r="T760" s="44"/>
      <c r="U760" s="44"/>
      <c r="V760" s="44"/>
      <c r="W760" s="44"/>
      <c r="X760" s="44"/>
      <c r="Y760" s="44"/>
      <c r="Z760" s="44"/>
      <c r="AA760" s="44"/>
      <c r="AB760" s="44"/>
      <c r="AC760" s="44"/>
      <c r="AD760" s="44"/>
      <c r="AE760" s="44"/>
      <c r="AF760" s="44"/>
      <c r="AG760" s="44"/>
      <c r="AH760" s="44"/>
      <c r="AI760" s="44"/>
      <c r="AJ760" s="44"/>
      <c r="AK760" s="44"/>
      <c r="AL760" s="44"/>
      <c r="AM760" s="44"/>
      <c r="AN760" s="44"/>
    </row>
    <row r="761" spans="1:40" ht="16.5" customHeight="1">
      <c r="A761" s="44"/>
      <c r="B761" s="44"/>
      <c r="C761" s="44"/>
      <c r="D761" s="172"/>
      <c r="E761" s="44"/>
      <c r="F761" s="44"/>
      <c r="G761" s="44"/>
      <c r="H761" s="44"/>
      <c r="I761" s="44"/>
      <c r="J761" s="44"/>
      <c r="K761" s="53"/>
      <c r="L761" s="44"/>
      <c r="M761" s="44"/>
      <c r="N761" s="44"/>
      <c r="O761" s="44"/>
      <c r="P761" s="44"/>
      <c r="Q761" s="44"/>
      <c r="R761" s="44"/>
      <c r="S761" s="44"/>
      <c r="T761" s="44"/>
      <c r="U761" s="44"/>
      <c r="V761" s="44"/>
      <c r="W761" s="44"/>
      <c r="X761" s="44"/>
      <c r="Y761" s="44"/>
      <c r="Z761" s="44"/>
      <c r="AA761" s="44"/>
      <c r="AB761" s="44"/>
      <c r="AC761" s="44"/>
      <c r="AD761" s="44"/>
      <c r="AE761" s="44"/>
      <c r="AF761" s="44"/>
      <c r="AG761" s="44"/>
      <c r="AH761" s="44"/>
      <c r="AI761" s="44"/>
      <c r="AJ761" s="44"/>
      <c r="AK761" s="44"/>
      <c r="AL761" s="44"/>
      <c r="AM761" s="44"/>
      <c r="AN761" s="44"/>
    </row>
    <row r="762" spans="1:40" ht="16.5" customHeight="1">
      <c r="A762" s="44"/>
      <c r="B762" s="44"/>
      <c r="C762" s="44"/>
      <c r="D762" s="172"/>
      <c r="E762" s="44"/>
      <c r="F762" s="44"/>
      <c r="G762" s="44"/>
      <c r="H762" s="44"/>
      <c r="I762" s="44"/>
      <c r="J762" s="44"/>
      <c r="K762" s="53"/>
      <c r="L762" s="44"/>
      <c r="M762" s="44"/>
      <c r="N762" s="44"/>
      <c r="O762" s="44"/>
      <c r="P762" s="44"/>
      <c r="Q762" s="44"/>
      <c r="R762" s="44"/>
      <c r="S762" s="44"/>
      <c r="T762" s="44"/>
      <c r="U762" s="44"/>
      <c r="V762" s="44"/>
      <c r="W762" s="44"/>
      <c r="X762" s="44"/>
      <c r="Y762" s="44"/>
      <c r="Z762" s="44"/>
      <c r="AA762" s="44"/>
      <c r="AB762" s="44"/>
      <c r="AC762" s="44"/>
      <c r="AD762" s="44"/>
      <c r="AE762" s="44"/>
      <c r="AF762" s="44"/>
      <c r="AG762" s="44"/>
      <c r="AH762" s="44"/>
      <c r="AI762" s="44"/>
      <c r="AJ762" s="44"/>
      <c r="AK762" s="44"/>
      <c r="AL762" s="44"/>
      <c r="AM762" s="44"/>
      <c r="AN762" s="44"/>
    </row>
    <row r="763" spans="1:40" ht="16.5" customHeight="1">
      <c r="A763" s="44"/>
      <c r="B763" s="44"/>
      <c r="C763" s="44"/>
      <c r="D763" s="172"/>
      <c r="E763" s="44"/>
      <c r="F763" s="44"/>
      <c r="G763" s="44"/>
      <c r="H763" s="44"/>
      <c r="I763" s="44"/>
      <c r="J763" s="44"/>
      <c r="K763" s="53"/>
      <c r="L763" s="44"/>
      <c r="M763" s="44"/>
      <c r="N763" s="44"/>
      <c r="O763" s="44"/>
      <c r="P763" s="44"/>
      <c r="Q763" s="44"/>
      <c r="R763" s="44"/>
      <c r="S763" s="44"/>
      <c r="T763" s="44"/>
      <c r="U763" s="44"/>
      <c r="V763" s="44"/>
      <c r="W763" s="44"/>
      <c r="X763" s="44"/>
      <c r="Y763" s="44"/>
      <c r="Z763" s="44"/>
      <c r="AA763" s="44"/>
      <c r="AB763" s="44"/>
      <c r="AC763" s="44"/>
      <c r="AD763" s="44"/>
      <c r="AE763" s="44"/>
      <c r="AF763" s="44"/>
      <c r="AG763" s="44"/>
      <c r="AH763" s="44"/>
      <c r="AI763" s="44"/>
      <c r="AJ763" s="44"/>
      <c r="AK763" s="44"/>
      <c r="AL763" s="44"/>
      <c r="AM763" s="44"/>
      <c r="AN763" s="44"/>
    </row>
    <row r="764" spans="1:40" ht="16.5" customHeight="1">
      <c r="A764" s="44"/>
      <c r="B764" s="44"/>
      <c r="C764" s="44"/>
      <c r="D764" s="172"/>
      <c r="E764" s="44"/>
      <c r="F764" s="44"/>
      <c r="G764" s="44"/>
      <c r="H764" s="44"/>
      <c r="I764" s="44"/>
      <c r="J764" s="44"/>
      <c r="K764" s="53"/>
      <c r="L764" s="44"/>
      <c r="M764" s="44"/>
      <c r="N764" s="44"/>
      <c r="O764" s="44"/>
      <c r="P764" s="44"/>
      <c r="Q764" s="44"/>
      <c r="R764" s="44"/>
      <c r="S764" s="44"/>
      <c r="T764" s="44"/>
      <c r="U764" s="44"/>
      <c r="V764" s="44"/>
      <c r="W764" s="44"/>
      <c r="X764" s="44"/>
      <c r="Y764" s="44"/>
      <c r="Z764" s="44"/>
      <c r="AA764" s="44"/>
      <c r="AB764" s="44"/>
      <c r="AC764" s="44"/>
      <c r="AD764" s="44"/>
      <c r="AE764" s="44"/>
      <c r="AF764" s="44"/>
      <c r="AG764" s="44"/>
      <c r="AH764" s="44"/>
      <c r="AI764" s="44"/>
      <c r="AJ764" s="44"/>
      <c r="AK764" s="44"/>
      <c r="AL764" s="44"/>
      <c r="AM764" s="44"/>
      <c r="AN764" s="44"/>
    </row>
    <row r="765" spans="1:40" ht="16.5" customHeight="1">
      <c r="A765" s="44"/>
      <c r="B765" s="44"/>
      <c r="C765" s="44"/>
      <c r="D765" s="172"/>
      <c r="E765" s="44"/>
      <c r="F765" s="44"/>
      <c r="G765" s="44"/>
      <c r="H765" s="44"/>
      <c r="I765" s="44"/>
      <c r="J765" s="44"/>
      <c r="K765" s="53"/>
      <c r="L765" s="44"/>
      <c r="M765" s="44"/>
      <c r="N765" s="44"/>
      <c r="O765" s="44"/>
      <c r="P765" s="44"/>
      <c r="Q765" s="44"/>
      <c r="R765" s="44"/>
      <c r="S765" s="44"/>
      <c r="T765" s="44"/>
      <c r="U765" s="44"/>
      <c r="V765" s="44"/>
      <c r="W765" s="44"/>
      <c r="X765" s="44"/>
      <c r="Y765" s="44"/>
      <c r="Z765" s="44"/>
      <c r="AA765" s="44"/>
      <c r="AB765" s="44"/>
      <c r="AC765" s="44"/>
      <c r="AD765" s="44"/>
      <c r="AE765" s="44"/>
      <c r="AF765" s="44"/>
      <c r="AG765" s="44"/>
      <c r="AH765" s="44"/>
      <c r="AI765" s="44"/>
      <c r="AJ765" s="44"/>
      <c r="AK765" s="44"/>
      <c r="AL765" s="44"/>
      <c r="AM765" s="44"/>
      <c r="AN765" s="44"/>
    </row>
    <row r="766" spans="1:40" ht="16.5" customHeight="1">
      <c r="A766" s="44"/>
      <c r="B766" s="44"/>
      <c r="C766" s="44"/>
      <c r="D766" s="172"/>
      <c r="E766" s="44"/>
      <c r="F766" s="44"/>
      <c r="G766" s="44"/>
      <c r="H766" s="44"/>
      <c r="I766" s="44"/>
      <c r="J766" s="44"/>
      <c r="K766" s="53"/>
      <c r="L766" s="44"/>
      <c r="M766" s="44"/>
      <c r="N766" s="44"/>
      <c r="O766" s="44"/>
      <c r="P766" s="44"/>
      <c r="Q766" s="44"/>
      <c r="R766" s="44"/>
      <c r="S766" s="44"/>
      <c r="T766" s="44"/>
      <c r="U766" s="44"/>
      <c r="V766" s="44"/>
      <c r="W766" s="44"/>
      <c r="X766" s="44"/>
      <c r="Y766" s="44"/>
      <c r="Z766" s="44"/>
      <c r="AA766" s="44"/>
      <c r="AB766" s="44"/>
      <c r="AC766" s="44"/>
      <c r="AD766" s="44"/>
      <c r="AE766" s="44"/>
      <c r="AF766" s="44"/>
      <c r="AG766" s="44"/>
      <c r="AH766" s="44"/>
      <c r="AI766" s="44"/>
      <c r="AJ766" s="44"/>
      <c r="AK766" s="44"/>
      <c r="AL766" s="44"/>
      <c r="AM766" s="44"/>
      <c r="AN766" s="44"/>
    </row>
    <row r="767" spans="1:40" ht="16.5" customHeight="1">
      <c r="A767" s="44"/>
      <c r="B767" s="44"/>
      <c r="C767" s="44"/>
      <c r="D767" s="172"/>
      <c r="E767" s="44"/>
      <c r="F767" s="44"/>
      <c r="G767" s="44"/>
      <c r="H767" s="44"/>
      <c r="I767" s="44"/>
      <c r="J767" s="44"/>
      <c r="K767" s="53"/>
      <c r="L767" s="44"/>
      <c r="M767" s="44"/>
      <c r="N767" s="44"/>
      <c r="O767" s="44"/>
      <c r="P767" s="44"/>
      <c r="Q767" s="44"/>
      <c r="R767" s="44"/>
      <c r="S767" s="44"/>
      <c r="T767" s="44"/>
      <c r="U767" s="44"/>
      <c r="V767" s="44"/>
      <c r="W767" s="44"/>
      <c r="X767" s="44"/>
      <c r="Y767" s="44"/>
      <c r="Z767" s="44"/>
      <c r="AA767" s="44"/>
      <c r="AB767" s="44"/>
      <c r="AC767" s="44"/>
      <c r="AD767" s="44"/>
      <c r="AE767" s="44"/>
      <c r="AF767" s="44"/>
      <c r="AG767" s="44"/>
      <c r="AH767" s="44"/>
      <c r="AI767" s="44"/>
      <c r="AJ767" s="44"/>
      <c r="AK767" s="44"/>
      <c r="AL767" s="44"/>
      <c r="AM767" s="44"/>
      <c r="AN767" s="44"/>
    </row>
    <row r="768" spans="1:40" ht="16.5" customHeight="1">
      <c r="A768" s="44"/>
      <c r="B768" s="44"/>
      <c r="C768" s="44"/>
      <c r="D768" s="172"/>
      <c r="E768" s="44"/>
      <c r="F768" s="44"/>
      <c r="G768" s="44"/>
      <c r="H768" s="44"/>
      <c r="I768" s="44"/>
      <c r="J768" s="44"/>
      <c r="K768" s="53"/>
      <c r="L768" s="44"/>
      <c r="M768" s="44"/>
      <c r="N768" s="44"/>
      <c r="O768" s="44"/>
      <c r="P768" s="44"/>
      <c r="Q768" s="44"/>
      <c r="R768" s="44"/>
      <c r="S768" s="44"/>
      <c r="T768" s="44"/>
      <c r="U768" s="44"/>
      <c r="V768" s="44"/>
      <c r="W768" s="44"/>
      <c r="X768" s="44"/>
      <c r="Y768" s="44"/>
      <c r="Z768" s="44"/>
      <c r="AA768" s="44"/>
      <c r="AB768" s="44"/>
      <c r="AC768" s="44"/>
      <c r="AD768" s="44"/>
      <c r="AE768" s="44"/>
      <c r="AF768" s="44"/>
      <c r="AG768" s="44"/>
      <c r="AH768" s="44"/>
      <c r="AI768" s="44"/>
      <c r="AJ768" s="44"/>
      <c r="AK768" s="44"/>
      <c r="AL768" s="44"/>
      <c r="AM768" s="44"/>
      <c r="AN768" s="44"/>
    </row>
    <row r="769" spans="1:40" ht="16.5" customHeight="1">
      <c r="A769" s="44"/>
      <c r="B769" s="44"/>
      <c r="C769" s="44"/>
      <c r="D769" s="172"/>
      <c r="E769" s="44"/>
      <c r="F769" s="44"/>
      <c r="G769" s="44"/>
      <c r="H769" s="44"/>
      <c r="I769" s="44"/>
      <c r="J769" s="44"/>
      <c r="K769" s="53"/>
      <c r="L769" s="44"/>
      <c r="M769" s="44"/>
      <c r="N769" s="44"/>
      <c r="O769" s="44"/>
      <c r="P769" s="44"/>
      <c r="Q769" s="44"/>
      <c r="R769" s="44"/>
      <c r="S769" s="44"/>
      <c r="T769" s="44"/>
      <c r="U769" s="44"/>
      <c r="V769" s="44"/>
      <c r="W769" s="44"/>
      <c r="X769" s="44"/>
      <c r="Y769" s="44"/>
      <c r="Z769" s="44"/>
      <c r="AA769" s="44"/>
      <c r="AB769" s="44"/>
      <c r="AC769" s="44"/>
      <c r="AD769" s="44"/>
      <c r="AE769" s="44"/>
      <c r="AF769" s="44"/>
      <c r="AG769" s="44"/>
      <c r="AH769" s="44"/>
      <c r="AI769" s="44"/>
      <c r="AJ769" s="44"/>
      <c r="AK769" s="44"/>
      <c r="AL769" s="44"/>
      <c r="AM769" s="44"/>
      <c r="AN769" s="44"/>
    </row>
    <row r="770" spans="1:40" ht="16.5" customHeight="1">
      <c r="A770" s="44"/>
      <c r="B770" s="44"/>
      <c r="C770" s="44"/>
      <c r="D770" s="172"/>
      <c r="E770" s="44"/>
      <c r="F770" s="44"/>
      <c r="G770" s="44"/>
      <c r="H770" s="44"/>
      <c r="I770" s="44"/>
      <c r="J770" s="44"/>
      <c r="K770" s="53"/>
      <c r="L770" s="44"/>
      <c r="M770" s="44"/>
      <c r="N770" s="44"/>
      <c r="O770" s="44"/>
      <c r="P770" s="44"/>
      <c r="Q770" s="44"/>
      <c r="R770" s="44"/>
      <c r="S770" s="44"/>
      <c r="T770" s="44"/>
      <c r="U770" s="44"/>
      <c r="V770" s="44"/>
      <c r="W770" s="44"/>
      <c r="X770" s="44"/>
      <c r="Y770" s="44"/>
      <c r="Z770" s="44"/>
      <c r="AA770" s="44"/>
      <c r="AB770" s="44"/>
      <c r="AC770" s="44"/>
      <c r="AD770" s="44"/>
      <c r="AE770" s="44"/>
      <c r="AF770" s="44"/>
      <c r="AG770" s="44"/>
      <c r="AH770" s="44"/>
      <c r="AI770" s="44"/>
      <c r="AJ770" s="44"/>
      <c r="AK770" s="44"/>
      <c r="AL770" s="44"/>
      <c r="AM770" s="44"/>
      <c r="AN770" s="44"/>
    </row>
    <row r="771" spans="1:40" ht="16.5" customHeight="1">
      <c r="A771" s="44"/>
      <c r="B771" s="44"/>
      <c r="C771" s="44"/>
      <c r="D771" s="172"/>
      <c r="E771" s="44"/>
      <c r="F771" s="44"/>
      <c r="G771" s="44"/>
      <c r="H771" s="44"/>
      <c r="I771" s="44"/>
      <c r="J771" s="44"/>
      <c r="K771" s="53"/>
      <c r="L771" s="44"/>
      <c r="M771" s="44"/>
      <c r="N771" s="44"/>
      <c r="O771" s="44"/>
      <c r="P771" s="44"/>
      <c r="Q771" s="44"/>
      <c r="R771" s="44"/>
      <c r="S771" s="44"/>
      <c r="T771" s="44"/>
      <c r="U771" s="44"/>
      <c r="V771" s="44"/>
      <c r="W771" s="44"/>
      <c r="X771" s="44"/>
      <c r="Y771" s="44"/>
      <c r="Z771" s="44"/>
      <c r="AA771" s="44"/>
      <c r="AB771" s="44"/>
      <c r="AC771" s="44"/>
      <c r="AD771" s="44"/>
      <c r="AE771" s="44"/>
      <c r="AF771" s="44"/>
      <c r="AG771" s="44"/>
      <c r="AH771" s="44"/>
      <c r="AI771" s="44"/>
      <c r="AJ771" s="44"/>
      <c r="AK771" s="44"/>
      <c r="AL771" s="44"/>
      <c r="AM771" s="44"/>
      <c r="AN771" s="44"/>
    </row>
    <row r="772" spans="1:40" ht="16.5" customHeight="1">
      <c r="A772" s="44"/>
      <c r="B772" s="44"/>
      <c r="C772" s="44"/>
      <c r="D772" s="172"/>
      <c r="E772" s="44"/>
      <c r="F772" s="44"/>
      <c r="G772" s="44"/>
      <c r="H772" s="44"/>
      <c r="I772" s="44"/>
      <c r="J772" s="44"/>
      <c r="K772" s="53"/>
      <c r="L772" s="44"/>
      <c r="M772" s="44"/>
      <c r="N772" s="44"/>
      <c r="O772" s="44"/>
      <c r="P772" s="44"/>
      <c r="Q772" s="44"/>
      <c r="R772" s="44"/>
      <c r="S772" s="44"/>
      <c r="T772" s="44"/>
      <c r="U772" s="44"/>
      <c r="V772" s="44"/>
      <c r="W772" s="44"/>
      <c r="X772" s="44"/>
      <c r="Y772" s="44"/>
      <c r="Z772" s="44"/>
      <c r="AA772" s="44"/>
      <c r="AB772" s="44"/>
      <c r="AC772" s="44"/>
      <c r="AD772" s="44"/>
      <c r="AE772" s="44"/>
      <c r="AF772" s="44"/>
      <c r="AG772" s="44"/>
      <c r="AH772" s="44"/>
      <c r="AI772" s="44"/>
      <c r="AJ772" s="44"/>
      <c r="AK772" s="44"/>
      <c r="AL772" s="44"/>
      <c r="AM772" s="44"/>
      <c r="AN772" s="44"/>
    </row>
    <row r="773" spans="1:40" ht="16.5" customHeight="1">
      <c r="A773" s="44"/>
      <c r="B773" s="44"/>
      <c r="C773" s="44"/>
      <c r="D773" s="172"/>
      <c r="E773" s="44"/>
      <c r="F773" s="44"/>
      <c r="G773" s="44"/>
      <c r="H773" s="44"/>
      <c r="I773" s="44"/>
      <c r="J773" s="44"/>
      <c r="K773" s="53"/>
      <c r="L773" s="44"/>
      <c r="M773" s="44"/>
      <c r="N773" s="44"/>
      <c r="O773" s="44"/>
      <c r="P773" s="44"/>
      <c r="Q773" s="44"/>
      <c r="R773" s="44"/>
      <c r="S773" s="44"/>
      <c r="T773" s="44"/>
      <c r="U773" s="44"/>
      <c r="V773" s="44"/>
      <c r="W773" s="44"/>
      <c r="X773" s="44"/>
      <c r="Y773" s="44"/>
      <c r="Z773" s="44"/>
      <c r="AA773" s="44"/>
      <c r="AB773" s="44"/>
      <c r="AC773" s="44"/>
      <c r="AD773" s="44"/>
      <c r="AE773" s="44"/>
      <c r="AF773" s="44"/>
      <c r="AG773" s="44"/>
      <c r="AH773" s="44"/>
      <c r="AI773" s="44"/>
      <c r="AJ773" s="44"/>
      <c r="AK773" s="44"/>
      <c r="AL773" s="44"/>
      <c r="AM773" s="44"/>
      <c r="AN773" s="44"/>
    </row>
    <row r="774" spans="1:40" ht="16.5" customHeight="1">
      <c r="A774" s="44"/>
      <c r="B774" s="44"/>
      <c r="C774" s="44"/>
      <c r="D774" s="172"/>
      <c r="E774" s="44"/>
      <c r="F774" s="44"/>
      <c r="G774" s="44"/>
      <c r="H774" s="44"/>
      <c r="I774" s="44"/>
      <c r="J774" s="44"/>
      <c r="K774" s="53"/>
      <c r="L774" s="44"/>
      <c r="M774" s="44"/>
      <c r="N774" s="44"/>
      <c r="O774" s="44"/>
      <c r="P774" s="44"/>
      <c r="Q774" s="44"/>
      <c r="R774" s="44"/>
      <c r="S774" s="44"/>
      <c r="T774" s="44"/>
      <c r="U774" s="44"/>
      <c r="V774" s="44"/>
      <c r="W774" s="44"/>
      <c r="X774" s="44"/>
      <c r="Y774" s="44"/>
      <c r="Z774" s="44"/>
      <c r="AA774" s="44"/>
      <c r="AB774" s="44"/>
      <c r="AC774" s="44"/>
      <c r="AD774" s="44"/>
      <c r="AE774" s="44"/>
      <c r="AF774" s="44"/>
      <c r="AG774" s="44"/>
      <c r="AH774" s="44"/>
      <c r="AI774" s="44"/>
      <c r="AJ774" s="44"/>
      <c r="AK774" s="44"/>
      <c r="AL774" s="44"/>
      <c r="AM774" s="44"/>
      <c r="AN774" s="44"/>
    </row>
    <row r="775" spans="1:40" ht="16.5" customHeight="1">
      <c r="A775" s="44"/>
      <c r="B775" s="44"/>
      <c r="C775" s="44"/>
      <c r="D775" s="172"/>
      <c r="E775" s="44"/>
      <c r="F775" s="44"/>
      <c r="G775" s="44"/>
      <c r="H775" s="44"/>
      <c r="I775" s="44"/>
      <c r="J775" s="44"/>
      <c r="K775" s="53"/>
      <c r="L775" s="44"/>
      <c r="M775" s="44"/>
      <c r="N775" s="44"/>
      <c r="O775" s="44"/>
      <c r="P775" s="44"/>
      <c r="Q775" s="44"/>
      <c r="R775" s="44"/>
      <c r="S775" s="44"/>
      <c r="T775" s="44"/>
      <c r="U775" s="44"/>
      <c r="V775" s="44"/>
      <c r="W775" s="44"/>
      <c r="X775" s="44"/>
      <c r="Y775" s="44"/>
      <c r="Z775" s="44"/>
      <c r="AA775" s="44"/>
      <c r="AB775" s="44"/>
      <c r="AC775" s="44"/>
      <c r="AD775" s="44"/>
      <c r="AE775" s="44"/>
      <c r="AF775" s="44"/>
      <c r="AG775" s="44"/>
      <c r="AH775" s="44"/>
      <c r="AI775" s="44"/>
      <c r="AJ775" s="44"/>
      <c r="AK775" s="44"/>
      <c r="AL775" s="44"/>
      <c r="AM775" s="44"/>
      <c r="AN775" s="44"/>
    </row>
    <row r="776" spans="1:40" ht="16.5" customHeight="1">
      <c r="A776" s="44"/>
      <c r="B776" s="44"/>
      <c r="C776" s="44"/>
      <c r="D776" s="172"/>
      <c r="E776" s="44"/>
      <c r="F776" s="44"/>
      <c r="G776" s="44"/>
      <c r="H776" s="44"/>
      <c r="I776" s="44"/>
      <c r="J776" s="44"/>
      <c r="K776" s="53"/>
      <c r="L776" s="44"/>
      <c r="M776" s="44"/>
      <c r="N776" s="44"/>
      <c r="O776" s="44"/>
      <c r="P776" s="44"/>
      <c r="Q776" s="44"/>
      <c r="R776" s="44"/>
      <c r="S776" s="44"/>
      <c r="T776" s="44"/>
      <c r="U776" s="44"/>
      <c r="V776" s="44"/>
      <c r="W776" s="44"/>
      <c r="X776" s="44"/>
      <c r="Y776" s="44"/>
      <c r="Z776" s="44"/>
      <c r="AA776" s="44"/>
      <c r="AB776" s="44"/>
      <c r="AC776" s="44"/>
      <c r="AD776" s="44"/>
      <c r="AE776" s="44"/>
      <c r="AF776" s="44"/>
      <c r="AG776" s="44"/>
      <c r="AH776" s="44"/>
      <c r="AI776" s="44"/>
      <c r="AJ776" s="44"/>
      <c r="AK776" s="44"/>
      <c r="AL776" s="44"/>
      <c r="AM776" s="44"/>
      <c r="AN776" s="44"/>
    </row>
    <row r="777" spans="1:40" ht="16.5" customHeight="1">
      <c r="A777" s="44"/>
      <c r="B777" s="44"/>
      <c r="C777" s="44"/>
      <c r="D777" s="172"/>
      <c r="E777" s="44"/>
      <c r="F777" s="44"/>
      <c r="G777" s="44"/>
      <c r="H777" s="44"/>
      <c r="I777" s="44"/>
      <c r="J777" s="44"/>
      <c r="K777" s="53"/>
      <c r="L777" s="44"/>
      <c r="M777" s="44"/>
      <c r="N777" s="44"/>
      <c r="O777" s="44"/>
      <c r="P777" s="44"/>
      <c r="Q777" s="44"/>
      <c r="R777" s="44"/>
      <c r="S777" s="44"/>
      <c r="T777" s="44"/>
      <c r="U777" s="44"/>
      <c r="V777" s="44"/>
      <c r="W777" s="44"/>
      <c r="X777" s="44"/>
      <c r="Y777" s="44"/>
      <c r="Z777" s="44"/>
      <c r="AA777" s="44"/>
      <c r="AB777" s="44"/>
      <c r="AC777" s="44"/>
      <c r="AD777" s="44"/>
      <c r="AE777" s="44"/>
      <c r="AF777" s="44"/>
      <c r="AG777" s="44"/>
      <c r="AH777" s="44"/>
      <c r="AI777" s="44"/>
      <c r="AJ777" s="44"/>
      <c r="AK777" s="44"/>
      <c r="AL777" s="44"/>
      <c r="AM777" s="44"/>
      <c r="AN777" s="44"/>
    </row>
    <row r="778" spans="1:40" ht="16.5" customHeight="1">
      <c r="A778" s="44"/>
      <c r="B778" s="44"/>
      <c r="C778" s="44"/>
      <c r="D778" s="172"/>
      <c r="E778" s="44"/>
      <c r="F778" s="44"/>
      <c r="G778" s="44"/>
      <c r="H778" s="44"/>
      <c r="I778" s="44"/>
      <c r="J778" s="44"/>
      <c r="K778" s="53"/>
      <c r="L778" s="44"/>
      <c r="M778" s="44"/>
      <c r="N778" s="44"/>
      <c r="O778" s="44"/>
      <c r="P778" s="44"/>
      <c r="Q778" s="44"/>
      <c r="R778" s="44"/>
      <c r="S778" s="44"/>
      <c r="T778" s="44"/>
      <c r="U778" s="44"/>
      <c r="V778" s="44"/>
      <c r="W778" s="44"/>
      <c r="X778" s="44"/>
      <c r="Y778" s="44"/>
      <c r="Z778" s="44"/>
      <c r="AA778" s="44"/>
      <c r="AB778" s="44"/>
      <c r="AC778" s="44"/>
      <c r="AD778" s="44"/>
      <c r="AE778" s="44"/>
      <c r="AF778" s="44"/>
      <c r="AG778" s="44"/>
      <c r="AH778" s="44"/>
      <c r="AI778" s="44"/>
      <c r="AJ778" s="44"/>
      <c r="AK778" s="44"/>
      <c r="AL778" s="44"/>
      <c r="AM778" s="44"/>
      <c r="AN778" s="44"/>
    </row>
    <row r="779" spans="1:40" ht="16.5" customHeight="1">
      <c r="A779" s="44"/>
      <c r="B779" s="44"/>
      <c r="C779" s="44"/>
      <c r="D779" s="172"/>
      <c r="E779" s="44"/>
      <c r="F779" s="44"/>
      <c r="G779" s="44"/>
      <c r="H779" s="44"/>
      <c r="I779" s="44"/>
      <c r="J779" s="44"/>
      <c r="K779" s="53"/>
      <c r="L779" s="44"/>
      <c r="M779" s="44"/>
      <c r="N779" s="44"/>
      <c r="O779" s="44"/>
      <c r="P779" s="44"/>
      <c r="Q779" s="44"/>
      <c r="R779" s="44"/>
      <c r="S779" s="44"/>
      <c r="T779" s="44"/>
      <c r="U779" s="44"/>
      <c r="V779" s="44"/>
      <c r="W779" s="44"/>
      <c r="X779" s="44"/>
      <c r="Y779" s="44"/>
      <c r="Z779" s="44"/>
      <c r="AA779" s="44"/>
      <c r="AB779" s="44"/>
      <c r="AC779" s="44"/>
      <c r="AD779" s="44"/>
      <c r="AE779" s="44"/>
      <c r="AF779" s="44"/>
      <c r="AG779" s="44"/>
      <c r="AH779" s="44"/>
      <c r="AI779" s="44"/>
      <c r="AJ779" s="44"/>
      <c r="AK779" s="44"/>
      <c r="AL779" s="44"/>
      <c r="AM779" s="44"/>
      <c r="AN779" s="44"/>
    </row>
    <row r="780" spans="1:40" ht="16.5" customHeight="1">
      <c r="A780" s="44"/>
      <c r="B780" s="44"/>
      <c r="C780" s="44"/>
      <c r="D780" s="172"/>
      <c r="E780" s="44"/>
      <c r="F780" s="44"/>
      <c r="G780" s="44"/>
      <c r="H780" s="44"/>
      <c r="I780" s="44"/>
      <c r="J780" s="44"/>
      <c r="K780" s="53"/>
      <c r="L780" s="44"/>
      <c r="M780" s="44"/>
      <c r="N780" s="44"/>
      <c r="O780" s="44"/>
      <c r="P780" s="44"/>
      <c r="Q780" s="44"/>
      <c r="R780" s="44"/>
      <c r="S780" s="44"/>
      <c r="T780" s="44"/>
      <c r="U780" s="44"/>
      <c r="V780" s="44"/>
      <c r="W780" s="44"/>
      <c r="X780" s="44"/>
      <c r="Y780" s="44"/>
      <c r="Z780" s="44"/>
      <c r="AA780" s="44"/>
      <c r="AB780" s="44"/>
      <c r="AC780" s="44"/>
      <c r="AD780" s="44"/>
      <c r="AE780" s="44"/>
      <c r="AF780" s="44"/>
      <c r="AG780" s="44"/>
      <c r="AH780" s="44"/>
      <c r="AI780" s="44"/>
      <c r="AJ780" s="44"/>
      <c r="AK780" s="44"/>
      <c r="AL780" s="44"/>
      <c r="AM780" s="44"/>
      <c r="AN780" s="44"/>
    </row>
    <row r="781" spans="1:40" ht="16.5" customHeight="1">
      <c r="A781" s="44"/>
      <c r="B781" s="44"/>
      <c r="C781" s="44"/>
      <c r="D781" s="172"/>
      <c r="E781" s="44"/>
      <c r="F781" s="44"/>
      <c r="G781" s="44"/>
      <c r="H781" s="44"/>
      <c r="I781" s="44"/>
      <c r="J781" s="44"/>
      <c r="K781" s="53"/>
      <c r="L781" s="44"/>
      <c r="M781" s="44"/>
      <c r="N781" s="44"/>
      <c r="O781" s="44"/>
      <c r="P781" s="44"/>
      <c r="Q781" s="44"/>
      <c r="R781" s="44"/>
      <c r="S781" s="44"/>
      <c r="T781" s="44"/>
      <c r="U781" s="44"/>
      <c r="V781" s="44"/>
      <c r="W781" s="44"/>
      <c r="X781" s="44"/>
      <c r="Y781" s="44"/>
      <c r="Z781" s="44"/>
      <c r="AA781" s="44"/>
      <c r="AB781" s="44"/>
      <c r="AC781" s="44"/>
      <c r="AD781" s="44"/>
      <c r="AE781" s="44"/>
      <c r="AF781" s="44"/>
      <c r="AG781" s="44"/>
      <c r="AH781" s="44"/>
      <c r="AI781" s="44"/>
      <c r="AJ781" s="44"/>
      <c r="AK781" s="44"/>
      <c r="AL781" s="44"/>
      <c r="AM781" s="44"/>
      <c r="AN781" s="44"/>
    </row>
    <row r="782" spans="1:40" ht="16.5" customHeight="1">
      <c r="A782" s="44"/>
      <c r="B782" s="44"/>
      <c r="C782" s="44"/>
      <c r="D782" s="172"/>
      <c r="E782" s="44"/>
      <c r="F782" s="44"/>
      <c r="G782" s="44"/>
      <c r="H782" s="44"/>
      <c r="I782" s="44"/>
      <c r="J782" s="44"/>
      <c r="K782" s="53"/>
      <c r="L782" s="44"/>
      <c r="M782" s="44"/>
      <c r="N782" s="44"/>
      <c r="O782" s="44"/>
      <c r="P782" s="44"/>
      <c r="Q782" s="44"/>
      <c r="R782" s="44"/>
      <c r="S782" s="44"/>
      <c r="T782" s="44"/>
      <c r="U782" s="44"/>
      <c r="V782" s="44"/>
      <c r="W782" s="44"/>
      <c r="X782" s="44"/>
      <c r="Y782" s="44"/>
      <c r="Z782" s="44"/>
      <c r="AA782" s="44"/>
      <c r="AB782" s="44"/>
      <c r="AC782" s="44"/>
      <c r="AD782" s="44"/>
      <c r="AE782" s="44"/>
      <c r="AF782" s="44"/>
      <c r="AG782" s="44"/>
      <c r="AH782" s="44"/>
      <c r="AI782" s="44"/>
      <c r="AJ782" s="44"/>
      <c r="AK782" s="44"/>
      <c r="AL782" s="44"/>
      <c r="AM782" s="44"/>
      <c r="AN782" s="44"/>
    </row>
    <row r="783" spans="1:40" ht="16.5" customHeight="1">
      <c r="A783" s="44"/>
      <c r="B783" s="44"/>
      <c r="C783" s="44"/>
      <c r="D783" s="172"/>
      <c r="E783" s="44"/>
      <c r="F783" s="44"/>
      <c r="G783" s="44"/>
      <c r="H783" s="44"/>
      <c r="I783" s="44"/>
      <c r="J783" s="44"/>
      <c r="K783" s="53"/>
      <c r="L783" s="44"/>
      <c r="M783" s="44"/>
      <c r="N783" s="44"/>
      <c r="O783" s="44"/>
      <c r="P783" s="44"/>
      <c r="Q783" s="44"/>
      <c r="R783" s="44"/>
      <c r="S783" s="44"/>
      <c r="T783" s="44"/>
      <c r="U783" s="44"/>
      <c r="V783" s="44"/>
      <c r="W783" s="44"/>
      <c r="X783" s="44"/>
      <c r="Y783" s="44"/>
      <c r="Z783" s="44"/>
      <c r="AA783" s="44"/>
      <c r="AB783" s="44"/>
      <c r="AC783" s="44"/>
      <c r="AD783" s="44"/>
      <c r="AE783" s="44"/>
      <c r="AF783" s="44"/>
      <c r="AG783" s="44"/>
      <c r="AH783" s="44"/>
      <c r="AI783" s="44"/>
      <c r="AJ783" s="44"/>
      <c r="AK783" s="44"/>
      <c r="AL783" s="44"/>
      <c r="AM783" s="44"/>
      <c r="AN783" s="44"/>
    </row>
    <row r="784" spans="1:40" ht="16.5" customHeight="1">
      <c r="A784" s="44"/>
      <c r="B784" s="44"/>
      <c r="C784" s="44"/>
      <c r="D784" s="172"/>
      <c r="E784" s="44"/>
      <c r="F784" s="44"/>
      <c r="G784" s="44"/>
      <c r="H784" s="44"/>
      <c r="I784" s="44"/>
      <c r="J784" s="44"/>
      <c r="K784" s="53"/>
      <c r="L784" s="44"/>
      <c r="M784" s="44"/>
      <c r="N784" s="44"/>
      <c r="O784" s="44"/>
      <c r="P784" s="44"/>
      <c r="Q784" s="44"/>
      <c r="R784" s="44"/>
      <c r="S784" s="44"/>
      <c r="T784" s="44"/>
      <c r="U784" s="44"/>
      <c r="V784" s="44"/>
      <c r="W784" s="44"/>
      <c r="X784" s="44"/>
      <c r="Y784" s="44"/>
      <c r="Z784" s="44"/>
      <c r="AA784" s="44"/>
      <c r="AB784" s="44"/>
      <c r="AC784" s="44"/>
      <c r="AD784" s="44"/>
      <c r="AE784" s="44"/>
      <c r="AF784" s="44"/>
      <c r="AG784" s="44"/>
      <c r="AH784" s="44"/>
      <c r="AI784" s="44"/>
      <c r="AJ784" s="44"/>
      <c r="AK784" s="44"/>
      <c r="AL784" s="44"/>
      <c r="AM784" s="44"/>
      <c r="AN784" s="44"/>
    </row>
    <row r="785" spans="1:40" ht="16.5" customHeight="1">
      <c r="A785" s="44"/>
      <c r="B785" s="44"/>
      <c r="C785" s="44"/>
      <c r="D785" s="172"/>
      <c r="E785" s="44"/>
      <c r="F785" s="44"/>
      <c r="G785" s="44"/>
      <c r="H785" s="44"/>
      <c r="I785" s="44"/>
      <c r="J785" s="44"/>
      <c r="K785" s="53"/>
      <c r="L785" s="44"/>
      <c r="M785" s="44"/>
      <c r="N785" s="44"/>
      <c r="O785" s="44"/>
      <c r="P785" s="44"/>
      <c r="Q785" s="44"/>
      <c r="R785" s="44"/>
      <c r="S785" s="44"/>
      <c r="T785" s="44"/>
      <c r="U785" s="44"/>
      <c r="V785" s="44"/>
      <c r="W785" s="44"/>
      <c r="X785" s="44"/>
      <c r="Y785" s="44"/>
      <c r="Z785" s="44"/>
      <c r="AA785" s="44"/>
      <c r="AB785" s="44"/>
      <c r="AC785" s="44"/>
      <c r="AD785" s="44"/>
      <c r="AE785" s="44"/>
      <c r="AF785" s="44"/>
      <c r="AG785" s="44"/>
      <c r="AH785" s="44"/>
      <c r="AI785" s="44"/>
      <c r="AJ785" s="44"/>
      <c r="AK785" s="44"/>
      <c r="AL785" s="44"/>
      <c r="AM785" s="44"/>
      <c r="AN785" s="44"/>
    </row>
    <row r="786" spans="1:40" ht="16.5" customHeight="1">
      <c r="A786" s="44"/>
      <c r="B786" s="44"/>
      <c r="C786" s="44"/>
      <c r="D786" s="172"/>
      <c r="E786" s="44"/>
      <c r="F786" s="44"/>
      <c r="G786" s="44"/>
      <c r="H786" s="44"/>
      <c r="I786" s="44"/>
      <c r="J786" s="44"/>
      <c r="K786" s="53"/>
      <c r="L786" s="44"/>
      <c r="M786" s="44"/>
      <c r="N786" s="44"/>
      <c r="O786" s="44"/>
      <c r="P786" s="44"/>
      <c r="Q786" s="44"/>
      <c r="R786" s="44"/>
      <c r="S786" s="44"/>
      <c r="T786" s="44"/>
      <c r="U786" s="44"/>
      <c r="V786" s="44"/>
      <c r="W786" s="44"/>
      <c r="X786" s="44"/>
      <c r="Y786" s="44"/>
      <c r="Z786" s="44"/>
      <c r="AA786" s="44"/>
      <c r="AB786" s="44"/>
      <c r="AC786" s="44"/>
      <c r="AD786" s="44"/>
      <c r="AE786" s="44"/>
      <c r="AF786" s="44"/>
      <c r="AG786" s="44"/>
      <c r="AH786" s="44"/>
      <c r="AI786" s="44"/>
      <c r="AJ786" s="44"/>
      <c r="AK786" s="44"/>
      <c r="AL786" s="44"/>
      <c r="AM786" s="44"/>
      <c r="AN786" s="44"/>
    </row>
    <row r="787" spans="1:40" ht="16.5" customHeight="1">
      <c r="A787" s="44"/>
      <c r="B787" s="44"/>
      <c r="C787" s="44"/>
      <c r="D787" s="172"/>
      <c r="E787" s="44"/>
      <c r="F787" s="44"/>
      <c r="G787" s="44"/>
      <c r="H787" s="44"/>
      <c r="I787" s="44"/>
      <c r="J787" s="44"/>
      <c r="K787" s="53"/>
      <c r="L787" s="44"/>
      <c r="M787" s="44"/>
      <c r="N787" s="44"/>
      <c r="O787" s="44"/>
      <c r="P787" s="44"/>
      <c r="Q787" s="44"/>
      <c r="R787" s="44"/>
      <c r="S787" s="44"/>
      <c r="T787" s="44"/>
      <c r="U787" s="44"/>
      <c r="V787" s="44"/>
      <c r="W787" s="44"/>
      <c r="X787" s="44"/>
      <c r="Y787" s="44"/>
      <c r="Z787" s="44"/>
      <c r="AA787" s="44"/>
      <c r="AB787" s="44"/>
      <c r="AC787" s="44"/>
      <c r="AD787" s="44"/>
      <c r="AE787" s="44"/>
      <c r="AF787" s="44"/>
      <c r="AG787" s="44"/>
      <c r="AH787" s="44"/>
      <c r="AI787" s="44"/>
      <c r="AJ787" s="44"/>
      <c r="AK787" s="44"/>
      <c r="AL787" s="44"/>
      <c r="AM787" s="44"/>
      <c r="AN787" s="44"/>
    </row>
    <row r="788" spans="1:40" ht="16.5" customHeight="1">
      <c r="A788" s="44"/>
      <c r="B788" s="44"/>
      <c r="C788" s="44"/>
      <c r="D788" s="172"/>
      <c r="E788" s="44"/>
      <c r="F788" s="44"/>
      <c r="G788" s="44"/>
      <c r="H788" s="44"/>
      <c r="I788" s="44"/>
      <c r="J788" s="44"/>
      <c r="K788" s="53"/>
      <c r="L788" s="44"/>
      <c r="M788" s="44"/>
      <c r="N788" s="44"/>
      <c r="O788" s="44"/>
      <c r="P788" s="44"/>
      <c r="Q788" s="44"/>
      <c r="R788" s="44"/>
      <c r="S788" s="44"/>
      <c r="T788" s="44"/>
      <c r="U788" s="44"/>
      <c r="V788" s="44"/>
      <c r="W788" s="44"/>
      <c r="X788" s="44"/>
      <c r="Y788" s="44"/>
      <c r="Z788" s="44"/>
      <c r="AA788" s="44"/>
      <c r="AB788" s="44"/>
      <c r="AC788" s="44"/>
      <c r="AD788" s="44"/>
      <c r="AE788" s="44"/>
      <c r="AF788" s="44"/>
      <c r="AG788" s="44"/>
      <c r="AH788" s="44"/>
      <c r="AI788" s="44"/>
      <c r="AJ788" s="44"/>
      <c r="AK788" s="44"/>
      <c r="AL788" s="44"/>
      <c r="AM788" s="44"/>
      <c r="AN788" s="44"/>
    </row>
    <row r="789" spans="1:40" ht="16.5" customHeight="1">
      <c r="A789" s="44"/>
      <c r="B789" s="44"/>
      <c r="C789" s="44"/>
      <c r="D789" s="172"/>
      <c r="E789" s="44"/>
      <c r="F789" s="44"/>
      <c r="G789" s="44"/>
      <c r="H789" s="44"/>
      <c r="I789" s="44"/>
      <c r="J789" s="44"/>
      <c r="K789" s="53"/>
      <c r="L789" s="44"/>
      <c r="M789" s="44"/>
      <c r="N789" s="44"/>
      <c r="O789" s="44"/>
      <c r="P789" s="44"/>
      <c r="Q789" s="44"/>
      <c r="R789" s="44"/>
      <c r="S789" s="44"/>
      <c r="T789" s="44"/>
      <c r="U789" s="44"/>
      <c r="V789" s="44"/>
      <c r="W789" s="44"/>
      <c r="X789" s="44"/>
      <c r="Y789" s="44"/>
      <c r="Z789" s="44"/>
      <c r="AA789" s="44"/>
      <c r="AB789" s="44"/>
      <c r="AC789" s="44"/>
      <c r="AD789" s="44"/>
      <c r="AE789" s="44"/>
      <c r="AF789" s="44"/>
      <c r="AG789" s="44"/>
      <c r="AH789" s="44"/>
      <c r="AI789" s="44"/>
      <c r="AJ789" s="44"/>
      <c r="AK789" s="44"/>
      <c r="AL789" s="44"/>
      <c r="AM789" s="44"/>
      <c r="AN789" s="44"/>
    </row>
    <row r="790" spans="1:40" ht="16.5" customHeight="1">
      <c r="A790" s="44"/>
      <c r="B790" s="44"/>
      <c r="C790" s="44"/>
      <c r="D790" s="172"/>
      <c r="E790" s="44"/>
      <c r="F790" s="44"/>
      <c r="G790" s="44"/>
      <c r="H790" s="44"/>
      <c r="I790" s="44"/>
      <c r="J790" s="44"/>
      <c r="K790" s="53"/>
      <c r="L790" s="44"/>
      <c r="M790" s="44"/>
      <c r="N790" s="44"/>
      <c r="O790" s="44"/>
      <c r="P790" s="44"/>
      <c r="Q790" s="44"/>
      <c r="R790" s="44"/>
      <c r="S790" s="44"/>
      <c r="T790" s="44"/>
      <c r="U790" s="44"/>
      <c r="V790" s="44"/>
      <c r="W790" s="44"/>
      <c r="X790" s="44"/>
      <c r="Y790" s="44"/>
      <c r="Z790" s="44"/>
      <c r="AA790" s="44"/>
      <c r="AB790" s="44"/>
      <c r="AC790" s="44"/>
      <c r="AD790" s="44"/>
      <c r="AE790" s="44"/>
      <c r="AF790" s="44"/>
      <c r="AG790" s="44"/>
      <c r="AH790" s="44"/>
      <c r="AI790" s="44"/>
      <c r="AJ790" s="44"/>
      <c r="AK790" s="44"/>
      <c r="AL790" s="44"/>
      <c r="AM790" s="44"/>
      <c r="AN790" s="44"/>
    </row>
    <row r="791" spans="1:40" ht="16.5" customHeight="1">
      <c r="A791" s="44"/>
      <c r="B791" s="44"/>
      <c r="C791" s="44"/>
      <c r="D791" s="172"/>
      <c r="E791" s="44"/>
      <c r="F791" s="44"/>
      <c r="G791" s="44"/>
      <c r="H791" s="44"/>
      <c r="I791" s="44"/>
      <c r="J791" s="44"/>
      <c r="K791" s="53"/>
      <c r="L791" s="44"/>
      <c r="M791" s="44"/>
      <c r="N791" s="44"/>
      <c r="O791" s="44"/>
      <c r="P791" s="44"/>
      <c r="Q791" s="44"/>
      <c r="R791" s="44"/>
      <c r="S791" s="44"/>
      <c r="T791" s="44"/>
      <c r="U791" s="44"/>
      <c r="V791" s="44"/>
      <c r="W791" s="44"/>
      <c r="X791" s="44"/>
      <c r="Y791" s="44"/>
      <c r="Z791" s="44"/>
      <c r="AA791" s="44"/>
      <c r="AB791" s="44"/>
      <c r="AC791" s="44"/>
      <c r="AD791" s="44"/>
      <c r="AE791" s="44"/>
      <c r="AF791" s="44"/>
      <c r="AG791" s="44"/>
      <c r="AH791" s="44"/>
      <c r="AI791" s="44"/>
      <c r="AJ791" s="44"/>
      <c r="AK791" s="44"/>
      <c r="AL791" s="44"/>
      <c r="AM791" s="44"/>
      <c r="AN791" s="44"/>
    </row>
    <row r="792" spans="1:40" ht="16.5" customHeight="1">
      <c r="A792" s="44"/>
      <c r="B792" s="44"/>
      <c r="C792" s="44"/>
      <c r="D792" s="172"/>
      <c r="E792" s="44"/>
      <c r="F792" s="44"/>
      <c r="G792" s="44"/>
      <c r="H792" s="44"/>
      <c r="I792" s="44"/>
      <c r="J792" s="44"/>
      <c r="K792" s="53"/>
      <c r="L792" s="44"/>
      <c r="M792" s="44"/>
      <c r="N792" s="44"/>
      <c r="O792" s="44"/>
      <c r="P792" s="44"/>
      <c r="Q792" s="44"/>
      <c r="R792" s="44"/>
      <c r="S792" s="44"/>
      <c r="T792" s="44"/>
      <c r="U792" s="44"/>
      <c r="V792" s="44"/>
      <c r="W792" s="44"/>
      <c r="X792" s="44"/>
      <c r="Y792" s="44"/>
      <c r="Z792" s="44"/>
      <c r="AA792" s="44"/>
      <c r="AB792" s="44"/>
      <c r="AC792" s="44"/>
      <c r="AD792" s="44"/>
      <c r="AE792" s="44"/>
      <c r="AF792" s="44"/>
      <c r="AG792" s="44"/>
      <c r="AH792" s="44"/>
      <c r="AI792" s="44"/>
      <c r="AJ792" s="44"/>
      <c r="AK792" s="44"/>
      <c r="AL792" s="44"/>
      <c r="AM792" s="44"/>
      <c r="AN792" s="44"/>
    </row>
    <row r="793" spans="1:40" ht="16.5" customHeight="1">
      <c r="A793" s="44"/>
      <c r="B793" s="44"/>
      <c r="C793" s="44"/>
      <c r="D793" s="172"/>
      <c r="E793" s="44"/>
      <c r="F793" s="44"/>
      <c r="G793" s="44"/>
      <c r="H793" s="44"/>
      <c r="I793" s="44"/>
      <c r="J793" s="44"/>
      <c r="K793" s="53"/>
      <c r="L793" s="44"/>
      <c r="M793" s="44"/>
      <c r="N793" s="44"/>
      <c r="O793" s="44"/>
      <c r="P793" s="44"/>
      <c r="Q793" s="44"/>
      <c r="R793" s="44"/>
      <c r="S793" s="44"/>
      <c r="T793" s="44"/>
      <c r="U793" s="44"/>
      <c r="V793" s="44"/>
      <c r="W793" s="44"/>
      <c r="X793" s="44"/>
      <c r="Y793" s="44"/>
      <c r="Z793" s="44"/>
      <c r="AA793" s="44"/>
      <c r="AB793" s="44"/>
      <c r="AC793" s="44"/>
      <c r="AD793" s="44"/>
      <c r="AE793" s="44"/>
      <c r="AF793" s="44"/>
      <c r="AG793" s="44"/>
      <c r="AH793" s="44"/>
      <c r="AI793" s="44"/>
      <c r="AJ793" s="44"/>
      <c r="AK793" s="44"/>
      <c r="AL793" s="44"/>
      <c r="AM793" s="44"/>
      <c r="AN793" s="44"/>
    </row>
    <row r="794" spans="1:40" ht="16.5" customHeight="1">
      <c r="A794" s="44"/>
      <c r="B794" s="44"/>
      <c r="C794" s="44"/>
      <c r="D794" s="172"/>
      <c r="E794" s="44"/>
      <c r="F794" s="44"/>
      <c r="G794" s="44"/>
      <c r="H794" s="44"/>
      <c r="I794" s="44"/>
      <c r="J794" s="44"/>
      <c r="K794" s="53"/>
      <c r="L794" s="44"/>
      <c r="M794" s="44"/>
      <c r="N794" s="44"/>
      <c r="O794" s="44"/>
      <c r="P794" s="44"/>
      <c r="Q794" s="44"/>
      <c r="R794" s="44"/>
      <c r="S794" s="44"/>
      <c r="T794" s="44"/>
      <c r="U794" s="44"/>
      <c r="V794" s="44"/>
      <c r="W794" s="44"/>
      <c r="X794" s="44"/>
      <c r="Y794" s="44"/>
      <c r="Z794" s="44"/>
      <c r="AA794" s="44"/>
      <c r="AB794" s="44"/>
      <c r="AC794" s="44"/>
      <c r="AD794" s="44"/>
      <c r="AE794" s="44"/>
      <c r="AF794" s="44"/>
      <c r="AG794" s="44"/>
      <c r="AH794" s="44"/>
      <c r="AI794" s="44"/>
      <c r="AJ794" s="44"/>
      <c r="AK794" s="44"/>
      <c r="AL794" s="44"/>
      <c r="AM794" s="44"/>
      <c r="AN794" s="44"/>
    </row>
    <row r="795" spans="1:40" ht="16.5" customHeight="1">
      <c r="A795" s="44"/>
      <c r="B795" s="44"/>
      <c r="C795" s="44"/>
      <c r="D795" s="172"/>
      <c r="E795" s="44"/>
      <c r="F795" s="44"/>
      <c r="G795" s="44"/>
      <c r="H795" s="44"/>
      <c r="I795" s="44"/>
      <c r="J795" s="44"/>
      <c r="K795" s="53"/>
      <c r="L795" s="44"/>
      <c r="M795" s="44"/>
      <c r="N795" s="44"/>
      <c r="O795" s="44"/>
      <c r="P795" s="44"/>
      <c r="Q795" s="44"/>
      <c r="R795" s="44"/>
      <c r="S795" s="44"/>
      <c r="T795" s="44"/>
      <c r="U795" s="44"/>
      <c r="V795" s="44"/>
      <c r="W795" s="44"/>
      <c r="X795" s="44"/>
      <c r="Y795" s="44"/>
      <c r="Z795" s="44"/>
      <c r="AA795" s="44"/>
      <c r="AB795" s="44"/>
      <c r="AC795" s="44"/>
      <c r="AD795" s="44"/>
      <c r="AE795" s="44"/>
      <c r="AF795" s="44"/>
      <c r="AG795" s="44"/>
      <c r="AH795" s="44"/>
      <c r="AI795" s="44"/>
      <c r="AJ795" s="44"/>
      <c r="AK795" s="44"/>
      <c r="AL795" s="44"/>
      <c r="AM795" s="44"/>
      <c r="AN795" s="44"/>
    </row>
    <row r="796" spans="1:40" ht="16.5" customHeight="1">
      <c r="A796" s="44"/>
      <c r="B796" s="44"/>
      <c r="C796" s="44"/>
      <c r="D796" s="172"/>
      <c r="E796" s="44"/>
      <c r="F796" s="44"/>
      <c r="G796" s="44"/>
      <c r="H796" s="44"/>
      <c r="I796" s="44"/>
      <c r="J796" s="44"/>
      <c r="K796" s="53"/>
      <c r="L796" s="44"/>
      <c r="M796" s="44"/>
      <c r="N796" s="44"/>
      <c r="O796" s="44"/>
      <c r="P796" s="44"/>
      <c r="Q796" s="44"/>
      <c r="R796" s="44"/>
      <c r="S796" s="44"/>
      <c r="T796" s="44"/>
      <c r="U796" s="44"/>
      <c r="V796" s="44"/>
      <c r="W796" s="44"/>
      <c r="X796" s="44"/>
      <c r="Y796" s="44"/>
      <c r="Z796" s="44"/>
      <c r="AA796" s="44"/>
      <c r="AB796" s="44"/>
      <c r="AC796" s="44"/>
      <c r="AD796" s="44"/>
      <c r="AE796" s="44"/>
      <c r="AF796" s="44"/>
      <c r="AG796" s="44"/>
      <c r="AH796" s="44"/>
      <c r="AI796" s="44"/>
      <c r="AJ796" s="44"/>
      <c r="AK796" s="44"/>
      <c r="AL796" s="44"/>
      <c r="AM796" s="44"/>
      <c r="AN796" s="44"/>
    </row>
    <row r="797" spans="1:40" ht="16.5" customHeight="1">
      <c r="A797" s="44"/>
      <c r="B797" s="44"/>
      <c r="C797" s="44"/>
      <c r="D797" s="172"/>
      <c r="E797" s="44"/>
      <c r="F797" s="44"/>
      <c r="G797" s="44"/>
      <c r="H797" s="44"/>
      <c r="I797" s="44"/>
      <c r="J797" s="44"/>
      <c r="K797" s="53"/>
      <c r="L797" s="44"/>
      <c r="M797" s="44"/>
      <c r="N797" s="44"/>
      <c r="O797" s="44"/>
      <c r="P797" s="44"/>
      <c r="Q797" s="44"/>
      <c r="R797" s="44"/>
      <c r="S797" s="44"/>
      <c r="T797" s="44"/>
      <c r="U797" s="44"/>
      <c r="V797" s="44"/>
      <c r="W797" s="44"/>
      <c r="X797" s="44"/>
      <c r="Y797" s="44"/>
      <c r="Z797" s="44"/>
      <c r="AA797" s="44"/>
      <c r="AB797" s="44"/>
      <c r="AC797" s="44"/>
      <c r="AD797" s="44"/>
      <c r="AE797" s="44"/>
      <c r="AF797" s="44"/>
      <c r="AG797" s="44"/>
      <c r="AH797" s="44"/>
      <c r="AI797" s="44"/>
      <c r="AJ797" s="44"/>
      <c r="AK797" s="44"/>
      <c r="AL797" s="44"/>
      <c r="AM797" s="44"/>
      <c r="AN797" s="44"/>
    </row>
    <row r="798" spans="1:40" ht="16.5" customHeight="1">
      <c r="A798" s="44"/>
      <c r="B798" s="44"/>
      <c r="C798" s="44"/>
      <c r="D798" s="172"/>
      <c r="E798" s="44"/>
      <c r="F798" s="44"/>
      <c r="G798" s="44"/>
      <c r="H798" s="44"/>
      <c r="I798" s="44"/>
      <c r="J798" s="44"/>
      <c r="K798" s="53"/>
      <c r="L798" s="44"/>
      <c r="M798" s="44"/>
      <c r="N798" s="44"/>
      <c r="O798" s="44"/>
      <c r="P798" s="44"/>
      <c r="Q798" s="44"/>
      <c r="R798" s="44"/>
      <c r="S798" s="44"/>
      <c r="T798" s="44"/>
      <c r="U798" s="44"/>
      <c r="V798" s="44"/>
      <c r="W798" s="44"/>
      <c r="X798" s="44"/>
      <c r="Y798" s="44"/>
      <c r="Z798" s="44"/>
      <c r="AA798" s="44"/>
      <c r="AB798" s="44"/>
      <c r="AC798" s="44"/>
      <c r="AD798" s="44"/>
      <c r="AE798" s="44"/>
      <c r="AF798" s="44"/>
      <c r="AG798" s="44"/>
      <c r="AH798" s="44"/>
      <c r="AI798" s="44"/>
      <c r="AJ798" s="44"/>
      <c r="AK798" s="44"/>
      <c r="AL798" s="44"/>
      <c r="AM798" s="44"/>
      <c r="AN798" s="44"/>
    </row>
    <row r="799" spans="1:40" ht="16.5" customHeight="1">
      <c r="A799" s="44"/>
      <c r="B799" s="44"/>
      <c r="C799" s="44"/>
      <c r="D799" s="172"/>
      <c r="E799" s="44"/>
      <c r="F799" s="44"/>
      <c r="G799" s="44"/>
      <c r="H799" s="44"/>
      <c r="I799" s="44"/>
      <c r="J799" s="44"/>
      <c r="K799" s="53"/>
      <c r="L799" s="44"/>
      <c r="M799" s="44"/>
      <c r="N799" s="44"/>
      <c r="O799" s="44"/>
      <c r="P799" s="44"/>
      <c r="Q799" s="44"/>
      <c r="R799" s="44"/>
      <c r="S799" s="44"/>
      <c r="T799" s="44"/>
      <c r="U799" s="44"/>
      <c r="V799" s="44"/>
      <c r="W799" s="44"/>
      <c r="X799" s="44"/>
      <c r="Y799" s="44"/>
      <c r="Z799" s="44"/>
      <c r="AA799" s="44"/>
      <c r="AB799" s="44"/>
      <c r="AC799" s="44"/>
      <c r="AD799" s="44"/>
      <c r="AE799" s="44"/>
      <c r="AF799" s="44"/>
      <c r="AG799" s="44"/>
      <c r="AH799" s="44"/>
      <c r="AI799" s="44"/>
      <c r="AJ799" s="44"/>
      <c r="AK799" s="44"/>
      <c r="AL799" s="44"/>
      <c r="AM799" s="44"/>
      <c r="AN799" s="44"/>
    </row>
    <row r="800" spans="1:40" ht="16.5" customHeight="1">
      <c r="A800" s="44"/>
      <c r="B800" s="44"/>
      <c r="C800" s="44"/>
      <c r="D800" s="172"/>
      <c r="E800" s="44"/>
      <c r="F800" s="44"/>
      <c r="G800" s="44"/>
      <c r="H800" s="44"/>
      <c r="I800" s="44"/>
      <c r="J800" s="44"/>
      <c r="K800" s="53"/>
      <c r="L800" s="44"/>
      <c r="M800" s="44"/>
      <c r="N800" s="44"/>
      <c r="O800" s="44"/>
      <c r="P800" s="44"/>
      <c r="Q800" s="44"/>
      <c r="R800" s="44"/>
      <c r="S800" s="44"/>
      <c r="T800" s="44"/>
      <c r="U800" s="44"/>
      <c r="V800" s="44"/>
      <c r="W800" s="44"/>
      <c r="X800" s="44"/>
      <c r="Y800" s="44"/>
      <c r="Z800" s="44"/>
      <c r="AA800" s="44"/>
      <c r="AB800" s="44"/>
      <c r="AC800" s="44"/>
      <c r="AD800" s="44"/>
      <c r="AE800" s="44"/>
      <c r="AF800" s="44"/>
      <c r="AG800" s="44"/>
      <c r="AH800" s="44"/>
      <c r="AI800" s="44"/>
      <c r="AJ800" s="44"/>
      <c r="AK800" s="44"/>
      <c r="AL800" s="44"/>
      <c r="AM800" s="44"/>
      <c r="AN800" s="44"/>
    </row>
    <row r="801" spans="1:40" ht="16.5" customHeight="1">
      <c r="A801" s="44"/>
      <c r="B801" s="44"/>
      <c r="C801" s="44"/>
      <c r="D801" s="172"/>
      <c r="E801" s="44"/>
      <c r="F801" s="44"/>
      <c r="G801" s="44"/>
      <c r="H801" s="44"/>
      <c r="I801" s="44"/>
      <c r="J801" s="44"/>
      <c r="K801" s="53"/>
      <c r="L801" s="44"/>
      <c r="M801" s="44"/>
      <c r="N801" s="44"/>
      <c r="O801" s="44"/>
      <c r="P801" s="44"/>
      <c r="Q801" s="44"/>
      <c r="R801" s="44"/>
      <c r="S801" s="44"/>
      <c r="T801" s="44"/>
      <c r="U801" s="44"/>
      <c r="V801" s="44"/>
      <c r="W801" s="44"/>
      <c r="X801" s="44"/>
      <c r="Y801" s="44"/>
      <c r="Z801" s="44"/>
      <c r="AA801" s="44"/>
      <c r="AB801" s="44"/>
      <c r="AC801" s="44"/>
      <c r="AD801" s="44"/>
      <c r="AE801" s="44"/>
      <c r="AF801" s="44"/>
      <c r="AG801" s="44"/>
      <c r="AH801" s="44"/>
      <c r="AI801" s="44"/>
      <c r="AJ801" s="44"/>
      <c r="AK801" s="44"/>
      <c r="AL801" s="44"/>
      <c r="AM801" s="44"/>
      <c r="AN801" s="44"/>
    </row>
    <row r="802" spans="1:40" ht="16.5" customHeight="1">
      <c r="A802" s="44"/>
      <c r="B802" s="44"/>
      <c r="C802" s="44"/>
      <c r="D802" s="172"/>
      <c r="E802" s="44"/>
      <c r="F802" s="44"/>
      <c r="G802" s="44"/>
      <c r="H802" s="44"/>
      <c r="I802" s="44"/>
      <c r="J802" s="44"/>
      <c r="K802" s="53"/>
      <c r="L802" s="44"/>
      <c r="M802" s="44"/>
      <c r="N802" s="44"/>
      <c r="O802" s="44"/>
      <c r="P802" s="44"/>
      <c r="Q802" s="44"/>
      <c r="R802" s="44"/>
      <c r="S802" s="44"/>
      <c r="T802" s="44"/>
      <c r="U802" s="44"/>
      <c r="V802" s="44"/>
      <c r="W802" s="44"/>
      <c r="X802" s="44"/>
      <c r="Y802" s="44"/>
      <c r="Z802" s="44"/>
      <c r="AA802" s="44"/>
      <c r="AB802" s="44"/>
      <c r="AC802" s="44"/>
      <c r="AD802" s="44"/>
      <c r="AE802" s="44"/>
      <c r="AF802" s="44"/>
      <c r="AG802" s="44"/>
      <c r="AH802" s="44"/>
      <c r="AI802" s="44"/>
      <c r="AJ802" s="44"/>
      <c r="AK802" s="44"/>
      <c r="AL802" s="44"/>
      <c r="AM802" s="44"/>
      <c r="AN802" s="44"/>
    </row>
    <row r="803" spans="1:40" ht="16.5" customHeight="1">
      <c r="A803" s="44"/>
      <c r="B803" s="44"/>
      <c r="C803" s="44"/>
      <c r="D803" s="172"/>
      <c r="E803" s="44"/>
      <c r="F803" s="44"/>
      <c r="G803" s="44"/>
      <c r="H803" s="44"/>
      <c r="I803" s="44"/>
      <c r="J803" s="44"/>
      <c r="K803" s="53"/>
      <c r="L803" s="44"/>
      <c r="M803" s="44"/>
      <c r="N803" s="44"/>
      <c r="O803" s="44"/>
      <c r="P803" s="44"/>
      <c r="Q803" s="44"/>
      <c r="R803" s="44"/>
      <c r="S803" s="44"/>
      <c r="T803" s="44"/>
      <c r="U803" s="44"/>
      <c r="V803" s="44"/>
      <c r="W803" s="44"/>
      <c r="X803" s="44"/>
      <c r="Y803" s="44"/>
      <c r="Z803" s="44"/>
      <c r="AA803" s="44"/>
      <c r="AB803" s="44"/>
      <c r="AC803" s="44"/>
      <c r="AD803" s="44"/>
      <c r="AE803" s="44"/>
      <c r="AF803" s="44"/>
      <c r="AG803" s="44"/>
      <c r="AH803" s="44"/>
      <c r="AI803" s="44"/>
      <c r="AJ803" s="44"/>
      <c r="AK803" s="44"/>
      <c r="AL803" s="44"/>
      <c r="AM803" s="44"/>
      <c r="AN803" s="44"/>
    </row>
    <row r="804" spans="1:40" ht="16.5" customHeight="1">
      <c r="A804" s="44"/>
      <c r="B804" s="44"/>
      <c r="C804" s="44"/>
      <c r="D804" s="172"/>
      <c r="E804" s="44"/>
      <c r="F804" s="44"/>
      <c r="G804" s="44"/>
      <c r="H804" s="44"/>
      <c r="I804" s="44"/>
      <c r="J804" s="44"/>
      <c r="K804" s="53"/>
      <c r="L804" s="44"/>
      <c r="M804" s="44"/>
      <c r="N804" s="44"/>
      <c r="O804" s="44"/>
      <c r="P804" s="44"/>
      <c r="Q804" s="44"/>
      <c r="R804" s="44"/>
      <c r="S804" s="44"/>
      <c r="T804" s="44"/>
      <c r="U804" s="44"/>
      <c r="V804" s="44"/>
      <c r="W804" s="44"/>
      <c r="X804" s="44"/>
      <c r="Y804" s="44"/>
      <c r="Z804" s="44"/>
      <c r="AA804" s="44"/>
      <c r="AB804" s="44"/>
      <c r="AC804" s="44"/>
      <c r="AD804" s="44"/>
      <c r="AE804" s="44"/>
      <c r="AF804" s="44"/>
      <c r="AG804" s="44"/>
      <c r="AH804" s="44"/>
      <c r="AI804" s="44"/>
      <c r="AJ804" s="44"/>
      <c r="AK804" s="44"/>
      <c r="AL804" s="44"/>
      <c r="AM804" s="44"/>
      <c r="AN804" s="44"/>
    </row>
    <row r="805" spans="1:40" ht="16.5" customHeight="1">
      <c r="A805" s="44"/>
      <c r="B805" s="44"/>
      <c r="C805" s="44"/>
      <c r="D805" s="172"/>
      <c r="E805" s="44"/>
      <c r="F805" s="44"/>
      <c r="G805" s="44"/>
      <c r="H805" s="44"/>
      <c r="I805" s="44"/>
      <c r="J805" s="44"/>
      <c r="K805" s="53"/>
      <c r="L805" s="44"/>
      <c r="M805" s="44"/>
      <c r="N805" s="44"/>
      <c r="O805" s="44"/>
      <c r="P805" s="44"/>
      <c r="Q805" s="44"/>
      <c r="R805" s="44"/>
      <c r="S805" s="44"/>
      <c r="T805" s="44"/>
      <c r="U805" s="44"/>
      <c r="V805" s="44"/>
      <c r="W805" s="44"/>
      <c r="X805" s="44"/>
      <c r="Y805" s="44"/>
      <c r="Z805" s="44"/>
      <c r="AA805" s="44"/>
      <c r="AB805" s="44"/>
      <c r="AC805" s="44"/>
      <c r="AD805" s="44"/>
      <c r="AE805" s="44"/>
      <c r="AF805" s="44"/>
      <c r="AG805" s="44"/>
      <c r="AH805" s="44"/>
      <c r="AI805" s="44"/>
      <c r="AJ805" s="44"/>
      <c r="AK805" s="44"/>
      <c r="AL805" s="44"/>
      <c r="AM805" s="44"/>
      <c r="AN805" s="44"/>
    </row>
    <row r="806" spans="1:40" ht="16.5" customHeight="1">
      <c r="A806" s="44"/>
      <c r="B806" s="44"/>
      <c r="C806" s="44"/>
      <c r="D806" s="172"/>
      <c r="E806" s="44"/>
      <c r="F806" s="44"/>
      <c r="G806" s="44"/>
      <c r="H806" s="44"/>
      <c r="I806" s="44"/>
      <c r="J806" s="44"/>
      <c r="K806" s="53"/>
      <c r="L806" s="44"/>
      <c r="M806" s="44"/>
      <c r="N806" s="44"/>
      <c r="O806" s="44"/>
      <c r="P806" s="44"/>
      <c r="Q806" s="44"/>
      <c r="R806" s="44"/>
      <c r="S806" s="44"/>
      <c r="T806" s="44"/>
      <c r="U806" s="44"/>
      <c r="V806" s="44"/>
      <c r="W806" s="44"/>
      <c r="X806" s="44"/>
      <c r="Y806" s="44"/>
      <c r="Z806" s="44"/>
      <c r="AA806" s="44"/>
      <c r="AB806" s="44"/>
      <c r="AC806" s="44"/>
      <c r="AD806" s="44"/>
      <c r="AE806" s="44"/>
      <c r="AF806" s="44"/>
      <c r="AG806" s="44"/>
      <c r="AH806" s="44"/>
      <c r="AI806" s="44"/>
      <c r="AJ806" s="44"/>
      <c r="AK806" s="44"/>
      <c r="AL806" s="44"/>
      <c r="AM806" s="44"/>
      <c r="AN806" s="44"/>
    </row>
    <row r="807" spans="1:40" ht="16.5" customHeight="1">
      <c r="A807" s="44"/>
      <c r="B807" s="44"/>
      <c r="C807" s="44"/>
      <c r="D807" s="172"/>
      <c r="E807" s="44"/>
      <c r="F807" s="44"/>
      <c r="G807" s="44"/>
      <c r="H807" s="44"/>
      <c r="I807" s="44"/>
      <c r="J807" s="44"/>
      <c r="K807" s="53"/>
      <c r="L807" s="44"/>
      <c r="M807" s="44"/>
      <c r="N807" s="44"/>
      <c r="O807" s="44"/>
      <c r="P807" s="44"/>
      <c r="Q807" s="44"/>
      <c r="R807" s="44"/>
      <c r="S807" s="44"/>
      <c r="T807" s="44"/>
      <c r="U807" s="44"/>
      <c r="V807" s="44"/>
      <c r="W807" s="44"/>
      <c r="X807" s="44"/>
      <c r="Y807" s="44"/>
      <c r="Z807" s="44"/>
      <c r="AA807" s="44"/>
      <c r="AB807" s="44"/>
      <c r="AC807" s="44"/>
      <c r="AD807" s="44"/>
      <c r="AE807" s="44"/>
      <c r="AF807" s="44"/>
      <c r="AG807" s="44"/>
      <c r="AH807" s="44"/>
      <c r="AI807" s="44"/>
      <c r="AJ807" s="44"/>
      <c r="AK807" s="44"/>
      <c r="AL807" s="44"/>
      <c r="AM807" s="44"/>
      <c r="AN807" s="44"/>
    </row>
    <row r="808" spans="1:40" ht="16.5" customHeight="1">
      <c r="A808" s="44"/>
      <c r="B808" s="44"/>
      <c r="C808" s="44"/>
      <c r="D808" s="172"/>
      <c r="E808" s="44"/>
      <c r="F808" s="44"/>
      <c r="G808" s="44"/>
      <c r="H808" s="44"/>
      <c r="I808" s="44"/>
      <c r="J808" s="44"/>
      <c r="K808" s="53"/>
      <c r="L808" s="44"/>
      <c r="M808" s="44"/>
      <c r="N808" s="44"/>
      <c r="O808" s="44"/>
      <c r="P808" s="44"/>
      <c r="Q808" s="44"/>
      <c r="R808" s="44"/>
      <c r="S808" s="44"/>
      <c r="T808" s="44"/>
      <c r="U808" s="44"/>
      <c r="V808" s="44"/>
      <c r="W808" s="44"/>
      <c r="X808" s="44"/>
      <c r="Y808" s="44"/>
      <c r="Z808" s="44"/>
      <c r="AA808" s="44"/>
      <c r="AB808" s="44"/>
      <c r="AC808" s="44"/>
      <c r="AD808" s="44"/>
      <c r="AE808" s="44"/>
      <c r="AF808" s="44"/>
      <c r="AG808" s="44"/>
      <c r="AH808" s="44"/>
      <c r="AI808" s="44"/>
      <c r="AJ808" s="44"/>
      <c r="AK808" s="44"/>
      <c r="AL808" s="44"/>
      <c r="AM808" s="44"/>
      <c r="AN808" s="44"/>
    </row>
    <row r="809" spans="1:40" ht="16.5" customHeight="1">
      <c r="A809" s="44"/>
      <c r="B809" s="44"/>
      <c r="C809" s="44"/>
      <c r="D809" s="172"/>
      <c r="E809" s="44"/>
      <c r="F809" s="44"/>
      <c r="G809" s="44"/>
      <c r="H809" s="44"/>
      <c r="I809" s="44"/>
      <c r="J809" s="44"/>
      <c r="K809" s="53"/>
      <c r="L809" s="44"/>
      <c r="M809" s="44"/>
      <c r="N809" s="44"/>
      <c r="O809" s="44"/>
      <c r="P809" s="44"/>
      <c r="Q809" s="44"/>
      <c r="R809" s="44"/>
      <c r="S809" s="44"/>
      <c r="T809" s="44"/>
      <c r="U809" s="44"/>
      <c r="V809" s="44"/>
      <c r="W809" s="44"/>
      <c r="X809" s="44"/>
      <c r="Y809" s="44"/>
      <c r="Z809" s="44"/>
      <c r="AA809" s="44"/>
      <c r="AB809" s="44"/>
      <c r="AC809" s="44"/>
      <c r="AD809" s="44"/>
      <c r="AE809" s="44"/>
      <c r="AF809" s="44"/>
      <c r="AG809" s="44"/>
      <c r="AH809" s="44"/>
      <c r="AI809" s="44"/>
      <c r="AJ809" s="44"/>
      <c r="AK809" s="44"/>
      <c r="AL809" s="44"/>
      <c r="AM809" s="44"/>
      <c r="AN809" s="44"/>
    </row>
    <row r="810" spans="1:40" ht="16.5" customHeight="1">
      <c r="A810" s="44"/>
      <c r="B810" s="44"/>
      <c r="C810" s="44"/>
      <c r="D810" s="172"/>
      <c r="E810" s="44"/>
      <c r="F810" s="44"/>
      <c r="G810" s="44"/>
      <c r="H810" s="44"/>
      <c r="I810" s="44"/>
      <c r="J810" s="44"/>
      <c r="K810" s="53"/>
      <c r="L810" s="44"/>
      <c r="M810" s="44"/>
      <c r="N810" s="44"/>
      <c r="O810" s="44"/>
      <c r="P810" s="44"/>
      <c r="Q810" s="44"/>
      <c r="R810" s="44"/>
      <c r="S810" s="44"/>
      <c r="T810" s="44"/>
      <c r="U810" s="44"/>
      <c r="V810" s="44"/>
      <c r="W810" s="44"/>
      <c r="X810" s="44"/>
      <c r="Y810" s="44"/>
      <c r="Z810" s="44"/>
      <c r="AA810" s="44"/>
      <c r="AB810" s="44"/>
      <c r="AC810" s="44"/>
      <c r="AD810" s="44"/>
      <c r="AE810" s="44"/>
      <c r="AF810" s="44"/>
      <c r="AG810" s="44"/>
      <c r="AH810" s="44"/>
      <c r="AI810" s="44"/>
      <c r="AJ810" s="44"/>
      <c r="AK810" s="44"/>
      <c r="AL810" s="44"/>
      <c r="AM810" s="44"/>
      <c r="AN810" s="44"/>
    </row>
    <row r="811" spans="1:40" ht="16.5" customHeight="1">
      <c r="A811" s="44"/>
      <c r="B811" s="44"/>
      <c r="C811" s="44"/>
      <c r="D811" s="172"/>
      <c r="E811" s="44"/>
      <c r="F811" s="44"/>
      <c r="G811" s="44"/>
      <c r="H811" s="44"/>
      <c r="I811" s="44"/>
      <c r="J811" s="44"/>
      <c r="K811" s="53"/>
      <c r="L811" s="44"/>
      <c r="M811" s="44"/>
      <c r="N811" s="44"/>
      <c r="O811" s="44"/>
      <c r="P811" s="44"/>
      <c r="Q811" s="44"/>
      <c r="R811" s="44"/>
      <c r="S811" s="44"/>
      <c r="T811" s="44"/>
      <c r="U811" s="44"/>
      <c r="V811" s="44"/>
      <c r="W811" s="44"/>
      <c r="X811" s="44"/>
      <c r="Y811" s="44"/>
      <c r="Z811" s="44"/>
      <c r="AA811" s="44"/>
      <c r="AB811" s="44"/>
      <c r="AC811" s="44"/>
      <c r="AD811" s="44"/>
      <c r="AE811" s="44"/>
      <c r="AF811" s="44"/>
      <c r="AG811" s="44"/>
      <c r="AH811" s="44"/>
      <c r="AI811" s="44"/>
      <c r="AJ811" s="44"/>
      <c r="AK811" s="44"/>
      <c r="AL811" s="44"/>
      <c r="AM811" s="44"/>
      <c r="AN811" s="44"/>
    </row>
    <row r="812" spans="1:40" ht="16.5" customHeight="1">
      <c r="A812" s="44"/>
      <c r="B812" s="44"/>
      <c r="C812" s="44"/>
      <c r="D812" s="172"/>
      <c r="E812" s="44"/>
      <c r="F812" s="44"/>
      <c r="G812" s="44"/>
      <c r="H812" s="44"/>
      <c r="I812" s="44"/>
      <c r="J812" s="44"/>
      <c r="K812" s="53"/>
      <c r="L812" s="44"/>
      <c r="M812" s="44"/>
      <c r="N812" s="44"/>
      <c r="O812" s="44"/>
      <c r="P812" s="44"/>
      <c r="Q812" s="44"/>
      <c r="R812" s="44"/>
      <c r="S812" s="44"/>
      <c r="T812" s="44"/>
      <c r="U812" s="44"/>
      <c r="V812" s="44"/>
      <c r="W812" s="44"/>
      <c r="X812" s="44"/>
      <c r="Y812" s="44"/>
      <c r="Z812" s="44"/>
      <c r="AA812" s="44"/>
      <c r="AB812" s="44"/>
      <c r="AC812" s="44"/>
      <c r="AD812" s="44"/>
      <c r="AE812" s="44"/>
      <c r="AF812" s="44"/>
      <c r="AG812" s="44"/>
      <c r="AH812" s="44"/>
      <c r="AI812" s="44"/>
      <c r="AJ812" s="44"/>
      <c r="AK812" s="44"/>
      <c r="AL812" s="44"/>
      <c r="AM812" s="44"/>
      <c r="AN812" s="44"/>
    </row>
    <row r="813" spans="1:40" ht="16.5" customHeight="1">
      <c r="A813" s="44"/>
      <c r="B813" s="44"/>
      <c r="C813" s="44"/>
      <c r="D813" s="172"/>
      <c r="E813" s="44"/>
      <c r="F813" s="44"/>
      <c r="G813" s="44"/>
      <c r="H813" s="44"/>
      <c r="I813" s="44"/>
      <c r="J813" s="44"/>
      <c r="K813" s="53"/>
      <c r="L813" s="44"/>
      <c r="M813" s="44"/>
      <c r="N813" s="44"/>
      <c r="O813" s="44"/>
      <c r="P813" s="44"/>
      <c r="Q813" s="44"/>
      <c r="R813" s="44"/>
      <c r="S813" s="44"/>
      <c r="T813" s="44"/>
      <c r="U813" s="44"/>
      <c r="V813" s="44"/>
      <c r="W813" s="44"/>
      <c r="X813" s="44"/>
      <c r="Y813" s="44"/>
      <c r="Z813" s="44"/>
      <c r="AA813" s="44"/>
      <c r="AB813" s="44"/>
      <c r="AC813" s="44"/>
      <c r="AD813" s="44"/>
      <c r="AE813" s="44"/>
      <c r="AF813" s="44"/>
      <c r="AG813" s="44"/>
      <c r="AH813" s="44"/>
      <c r="AI813" s="44"/>
      <c r="AJ813" s="44"/>
      <c r="AK813" s="44"/>
      <c r="AL813" s="44"/>
      <c r="AM813" s="44"/>
      <c r="AN813" s="44"/>
    </row>
    <row r="814" spans="1:40" ht="16.5" customHeight="1">
      <c r="A814" s="44"/>
      <c r="B814" s="44"/>
      <c r="C814" s="44"/>
      <c r="D814" s="172"/>
      <c r="E814" s="44"/>
      <c r="F814" s="44"/>
      <c r="G814" s="44"/>
      <c r="H814" s="44"/>
      <c r="I814" s="44"/>
      <c r="J814" s="44"/>
      <c r="K814" s="53"/>
      <c r="L814" s="44"/>
      <c r="M814" s="44"/>
      <c r="N814" s="44"/>
      <c r="O814" s="44"/>
      <c r="P814" s="44"/>
      <c r="Q814" s="44"/>
      <c r="R814" s="44"/>
      <c r="S814" s="44"/>
      <c r="T814" s="44"/>
      <c r="U814" s="44"/>
      <c r="V814" s="44"/>
      <c r="W814" s="44"/>
      <c r="X814" s="44"/>
      <c r="Y814" s="44"/>
      <c r="Z814" s="44"/>
      <c r="AA814" s="44"/>
      <c r="AB814" s="44"/>
      <c r="AC814" s="44"/>
      <c r="AD814" s="44"/>
      <c r="AE814" s="44"/>
      <c r="AF814" s="44"/>
      <c r="AG814" s="44"/>
      <c r="AH814" s="44"/>
      <c r="AI814" s="44"/>
      <c r="AJ814" s="44"/>
      <c r="AK814" s="44"/>
      <c r="AL814" s="44"/>
      <c r="AM814" s="44"/>
      <c r="AN814" s="44"/>
    </row>
    <row r="815" spans="1:40" ht="16.5" customHeight="1">
      <c r="A815" s="44"/>
      <c r="B815" s="44"/>
      <c r="C815" s="44"/>
      <c r="D815" s="172"/>
      <c r="E815" s="44"/>
      <c r="F815" s="44"/>
      <c r="G815" s="44"/>
      <c r="H815" s="44"/>
      <c r="I815" s="44"/>
      <c r="J815" s="44"/>
      <c r="K815" s="53"/>
      <c r="L815" s="44"/>
      <c r="M815" s="44"/>
      <c r="N815" s="44"/>
      <c r="O815" s="44"/>
      <c r="P815" s="44"/>
      <c r="Q815" s="44"/>
      <c r="R815" s="44"/>
      <c r="S815" s="44"/>
      <c r="T815" s="44"/>
      <c r="U815" s="44"/>
      <c r="V815" s="44"/>
      <c r="W815" s="44"/>
      <c r="X815" s="44"/>
      <c r="Y815" s="44"/>
      <c r="Z815" s="44"/>
      <c r="AA815" s="44"/>
      <c r="AB815" s="44"/>
      <c r="AC815" s="44"/>
      <c r="AD815" s="44"/>
      <c r="AE815" s="44"/>
      <c r="AF815" s="44"/>
      <c r="AG815" s="44"/>
      <c r="AH815" s="44"/>
      <c r="AI815" s="44"/>
      <c r="AJ815" s="44"/>
      <c r="AK815" s="44"/>
      <c r="AL815" s="44"/>
      <c r="AM815" s="44"/>
      <c r="AN815" s="44"/>
    </row>
    <row r="816" spans="1:40" ht="16.5" customHeight="1">
      <c r="A816" s="44"/>
      <c r="B816" s="44"/>
      <c r="C816" s="44"/>
      <c r="D816" s="172"/>
      <c r="E816" s="44"/>
      <c r="F816" s="44"/>
      <c r="G816" s="44"/>
      <c r="H816" s="44"/>
      <c r="I816" s="44"/>
      <c r="J816" s="44"/>
      <c r="K816" s="53"/>
      <c r="L816" s="44"/>
      <c r="M816" s="44"/>
      <c r="N816" s="44"/>
      <c r="O816" s="44"/>
      <c r="P816" s="44"/>
      <c r="Q816" s="44"/>
      <c r="R816" s="44"/>
      <c r="S816" s="44"/>
      <c r="T816" s="44"/>
      <c r="U816" s="44"/>
      <c r="V816" s="44"/>
      <c r="W816" s="44"/>
      <c r="X816" s="44"/>
      <c r="Y816" s="44"/>
      <c r="Z816" s="44"/>
      <c r="AA816" s="44"/>
      <c r="AB816" s="44"/>
      <c r="AC816" s="44"/>
      <c r="AD816" s="44"/>
      <c r="AE816" s="44"/>
      <c r="AF816" s="44"/>
      <c r="AG816" s="44"/>
      <c r="AH816" s="44"/>
      <c r="AI816" s="44"/>
      <c r="AJ816" s="44"/>
      <c r="AK816" s="44"/>
      <c r="AL816" s="44"/>
      <c r="AM816" s="44"/>
      <c r="AN816" s="44"/>
    </row>
    <row r="817" spans="1:40" ht="16.5" customHeight="1">
      <c r="A817" s="44"/>
      <c r="B817" s="44"/>
      <c r="C817" s="44"/>
      <c r="D817" s="172"/>
      <c r="E817" s="44"/>
      <c r="F817" s="44"/>
      <c r="G817" s="44"/>
      <c r="H817" s="44"/>
      <c r="I817" s="44"/>
      <c r="J817" s="44"/>
      <c r="K817" s="53"/>
      <c r="L817" s="44"/>
      <c r="M817" s="44"/>
      <c r="N817" s="44"/>
      <c r="O817" s="44"/>
      <c r="P817" s="44"/>
      <c r="Q817" s="44"/>
      <c r="R817" s="44"/>
      <c r="S817" s="44"/>
      <c r="T817" s="44"/>
      <c r="U817" s="44"/>
      <c r="V817" s="44"/>
      <c r="W817" s="44"/>
      <c r="X817" s="44"/>
      <c r="Y817" s="44"/>
      <c r="Z817" s="44"/>
      <c r="AA817" s="44"/>
      <c r="AB817" s="44"/>
      <c r="AC817" s="44"/>
      <c r="AD817" s="44"/>
      <c r="AE817" s="44"/>
      <c r="AF817" s="44"/>
      <c r="AG817" s="44"/>
      <c r="AH817" s="44"/>
      <c r="AI817" s="44"/>
      <c r="AJ817" s="44"/>
      <c r="AK817" s="44"/>
      <c r="AL817" s="44"/>
      <c r="AM817" s="44"/>
      <c r="AN817" s="44"/>
    </row>
    <row r="818" spans="1:40" ht="16.5" customHeight="1">
      <c r="A818" s="44"/>
      <c r="B818" s="44"/>
      <c r="C818" s="44"/>
      <c r="D818" s="172"/>
      <c r="E818" s="44"/>
      <c r="F818" s="44"/>
      <c r="G818" s="44"/>
      <c r="H818" s="44"/>
      <c r="I818" s="44"/>
      <c r="J818" s="44"/>
      <c r="K818" s="53"/>
      <c r="L818" s="44"/>
      <c r="M818" s="44"/>
      <c r="N818" s="44"/>
      <c r="O818" s="44"/>
      <c r="P818" s="44"/>
      <c r="Q818" s="44"/>
      <c r="R818" s="44"/>
      <c r="S818" s="44"/>
      <c r="T818" s="44"/>
      <c r="U818" s="44"/>
      <c r="V818" s="44"/>
      <c r="W818" s="44"/>
      <c r="X818" s="44"/>
      <c r="Y818" s="44"/>
      <c r="Z818" s="44"/>
      <c r="AA818" s="44"/>
      <c r="AB818" s="44"/>
      <c r="AC818" s="44"/>
      <c r="AD818" s="44"/>
      <c r="AE818" s="44"/>
      <c r="AF818" s="44"/>
      <c r="AG818" s="44"/>
      <c r="AH818" s="44"/>
      <c r="AI818" s="44"/>
      <c r="AJ818" s="44"/>
      <c r="AK818" s="44"/>
      <c r="AL818" s="44"/>
      <c r="AM818" s="44"/>
      <c r="AN818" s="44"/>
    </row>
    <row r="819" spans="1:40" ht="16.5" customHeight="1">
      <c r="A819" s="44"/>
      <c r="B819" s="44"/>
      <c r="C819" s="44"/>
      <c r="D819" s="172"/>
      <c r="E819" s="44"/>
      <c r="F819" s="44"/>
      <c r="G819" s="44"/>
      <c r="H819" s="44"/>
      <c r="I819" s="44"/>
      <c r="J819" s="44"/>
      <c r="K819" s="53"/>
      <c r="L819" s="44"/>
      <c r="M819" s="44"/>
      <c r="N819" s="44"/>
      <c r="O819" s="44"/>
      <c r="P819" s="44"/>
      <c r="Q819" s="44"/>
      <c r="R819" s="44"/>
      <c r="S819" s="44"/>
      <c r="T819" s="44"/>
      <c r="U819" s="44"/>
      <c r="V819" s="44"/>
      <c r="W819" s="44"/>
      <c r="X819" s="44"/>
      <c r="Y819" s="44"/>
      <c r="Z819" s="44"/>
      <c r="AA819" s="44"/>
      <c r="AB819" s="44"/>
      <c r="AC819" s="44"/>
      <c r="AD819" s="44"/>
      <c r="AE819" s="44"/>
      <c r="AF819" s="44"/>
      <c r="AG819" s="44"/>
      <c r="AH819" s="44"/>
      <c r="AI819" s="44"/>
      <c r="AJ819" s="44"/>
      <c r="AK819" s="44"/>
      <c r="AL819" s="44"/>
      <c r="AM819" s="44"/>
      <c r="AN819" s="44"/>
    </row>
    <row r="820" spans="1:40" ht="16.5" customHeight="1">
      <c r="A820" s="44"/>
      <c r="B820" s="44"/>
      <c r="C820" s="44"/>
      <c r="D820" s="172"/>
      <c r="E820" s="44"/>
      <c r="F820" s="44"/>
      <c r="G820" s="44"/>
      <c r="H820" s="44"/>
      <c r="I820" s="44"/>
      <c r="J820" s="44"/>
      <c r="K820" s="53"/>
      <c r="L820" s="44"/>
      <c r="M820" s="44"/>
      <c r="N820" s="44"/>
      <c r="O820" s="44"/>
      <c r="P820" s="44"/>
      <c r="Q820" s="44"/>
      <c r="R820" s="44"/>
      <c r="S820" s="44"/>
      <c r="T820" s="44"/>
      <c r="U820" s="44"/>
      <c r="V820" s="44"/>
      <c r="W820" s="44"/>
      <c r="X820" s="44"/>
      <c r="Y820" s="44"/>
      <c r="Z820" s="44"/>
      <c r="AA820" s="44"/>
      <c r="AB820" s="44"/>
      <c r="AC820" s="44"/>
      <c r="AD820" s="44"/>
      <c r="AE820" s="44"/>
      <c r="AF820" s="44"/>
      <c r="AG820" s="44"/>
      <c r="AH820" s="44"/>
      <c r="AI820" s="44"/>
      <c r="AJ820" s="44"/>
      <c r="AK820" s="44"/>
      <c r="AL820" s="44"/>
      <c r="AM820" s="44"/>
      <c r="AN820" s="44"/>
    </row>
    <row r="821" spans="1:40" ht="16.5" customHeight="1">
      <c r="A821" s="44"/>
      <c r="B821" s="44"/>
      <c r="C821" s="44"/>
      <c r="D821" s="172"/>
      <c r="E821" s="44"/>
      <c r="F821" s="44"/>
      <c r="G821" s="44"/>
      <c r="H821" s="44"/>
      <c r="I821" s="44"/>
      <c r="J821" s="44"/>
      <c r="K821" s="53"/>
      <c r="L821" s="44"/>
      <c r="M821" s="44"/>
      <c r="N821" s="44"/>
      <c r="O821" s="44"/>
      <c r="P821" s="44"/>
      <c r="Q821" s="44"/>
      <c r="R821" s="44"/>
      <c r="S821" s="44"/>
      <c r="T821" s="44"/>
      <c r="U821" s="44"/>
      <c r="V821" s="44"/>
      <c r="W821" s="44"/>
      <c r="X821" s="44"/>
      <c r="Y821" s="44"/>
      <c r="Z821" s="44"/>
      <c r="AA821" s="44"/>
      <c r="AB821" s="44"/>
      <c r="AC821" s="44"/>
      <c r="AD821" s="44"/>
      <c r="AE821" s="44"/>
      <c r="AF821" s="44"/>
      <c r="AG821" s="44"/>
      <c r="AH821" s="44"/>
      <c r="AI821" s="44"/>
      <c r="AJ821" s="44"/>
      <c r="AK821" s="44"/>
      <c r="AL821" s="44"/>
      <c r="AM821" s="44"/>
      <c r="AN821" s="44"/>
    </row>
    <row r="822" spans="1:40" ht="16.5" customHeight="1">
      <c r="A822" s="44"/>
      <c r="B822" s="44"/>
      <c r="C822" s="44"/>
      <c r="D822" s="172"/>
      <c r="E822" s="44"/>
      <c r="F822" s="44"/>
      <c r="G822" s="44"/>
      <c r="H822" s="44"/>
      <c r="I822" s="44"/>
      <c r="J822" s="44"/>
      <c r="K822" s="53"/>
      <c r="L822" s="44"/>
      <c r="M822" s="44"/>
      <c r="N822" s="44"/>
      <c r="O822" s="44"/>
      <c r="P822" s="44"/>
      <c r="Q822" s="44"/>
      <c r="R822" s="44"/>
      <c r="S822" s="44"/>
      <c r="T822" s="44"/>
      <c r="U822" s="44"/>
      <c r="V822" s="44"/>
      <c r="W822" s="44"/>
      <c r="X822" s="44"/>
      <c r="Y822" s="44"/>
      <c r="Z822" s="44"/>
      <c r="AA822" s="44"/>
      <c r="AB822" s="44"/>
      <c r="AC822" s="44"/>
      <c r="AD822" s="44"/>
      <c r="AE822" s="44"/>
      <c r="AF822" s="44"/>
      <c r="AG822" s="44"/>
      <c r="AH822" s="44"/>
      <c r="AI822" s="44"/>
      <c r="AJ822" s="44"/>
      <c r="AK822" s="44"/>
      <c r="AL822" s="44"/>
      <c r="AM822" s="44"/>
      <c r="AN822" s="44"/>
    </row>
    <row r="823" spans="1:40" ht="16.5" customHeight="1">
      <c r="A823" s="44"/>
      <c r="B823" s="44"/>
      <c r="C823" s="44"/>
      <c r="D823" s="172"/>
      <c r="E823" s="44"/>
      <c r="F823" s="44"/>
      <c r="G823" s="44"/>
      <c r="H823" s="44"/>
      <c r="I823" s="44"/>
      <c r="J823" s="44"/>
      <c r="K823" s="53"/>
      <c r="L823" s="44"/>
      <c r="M823" s="44"/>
      <c r="N823" s="44"/>
      <c r="O823" s="44"/>
      <c r="P823" s="44"/>
      <c r="Q823" s="44"/>
      <c r="R823" s="44"/>
      <c r="S823" s="44"/>
      <c r="T823" s="44"/>
      <c r="U823" s="44"/>
      <c r="V823" s="44"/>
      <c r="W823" s="44"/>
      <c r="X823" s="44"/>
      <c r="Y823" s="44"/>
      <c r="Z823" s="44"/>
      <c r="AA823" s="44"/>
      <c r="AB823" s="44"/>
      <c r="AC823" s="44"/>
      <c r="AD823" s="44"/>
      <c r="AE823" s="44"/>
      <c r="AF823" s="44"/>
      <c r="AG823" s="44"/>
      <c r="AH823" s="44"/>
      <c r="AI823" s="44"/>
      <c r="AJ823" s="44"/>
      <c r="AK823" s="44"/>
      <c r="AL823" s="44"/>
      <c r="AM823" s="44"/>
      <c r="AN823" s="44"/>
    </row>
    <row r="824" spans="1:40" ht="16.5" customHeight="1">
      <c r="A824" s="44"/>
      <c r="B824" s="44"/>
      <c r="C824" s="44"/>
      <c r="D824" s="172"/>
      <c r="E824" s="44"/>
      <c r="F824" s="44"/>
      <c r="G824" s="44"/>
      <c r="H824" s="44"/>
      <c r="I824" s="44"/>
      <c r="J824" s="44"/>
      <c r="K824" s="53"/>
      <c r="L824" s="44"/>
      <c r="M824" s="44"/>
      <c r="N824" s="44"/>
      <c r="O824" s="44"/>
      <c r="P824" s="44"/>
      <c r="Q824" s="44"/>
      <c r="R824" s="44"/>
      <c r="S824" s="44"/>
      <c r="T824" s="44"/>
      <c r="U824" s="44"/>
      <c r="V824" s="44"/>
      <c r="W824" s="44"/>
      <c r="X824" s="44"/>
      <c r="Y824" s="44"/>
      <c r="Z824" s="44"/>
      <c r="AA824" s="44"/>
      <c r="AB824" s="44"/>
      <c r="AC824" s="44"/>
      <c r="AD824" s="44"/>
      <c r="AE824" s="44"/>
      <c r="AF824" s="44"/>
      <c r="AG824" s="44"/>
      <c r="AH824" s="44"/>
      <c r="AI824" s="44"/>
      <c r="AJ824" s="44"/>
      <c r="AK824" s="44"/>
      <c r="AL824" s="44"/>
      <c r="AM824" s="44"/>
      <c r="AN824" s="44"/>
    </row>
    <row r="825" spans="1:40" ht="16.5" customHeight="1">
      <c r="A825" s="44"/>
      <c r="B825" s="44"/>
      <c r="C825" s="44"/>
      <c r="D825" s="172"/>
      <c r="E825" s="44"/>
      <c r="F825" s="44"/>
      <c r="G825" s="44"/>
      <c r="H825" s="44"/>
      <c r="I825" s="44"/>
      <c r="J825" s="44"/>
      <c r="K825" s="53"/>
      <c r="L825" s="44"/>
      <c r="M825" s="44"/>
      <c r="N825" s="44"/>
      <c r="O825" s="44"/>
      <c r="P825" s="44"/>
      <c r="Q825" s="44"/>
      <c r="R825" s="44"/>
      <c r="S825" s="44"/>
      <c r="T825" s="44"/>
      <c r="U825" s="44"/>
      <c r="V825" s="44"/>
      <c r="W825" s="44"/>
      <c r="X825" s="44"/>
      <c r="Y825" s="44"/>
      <c r="Z825" s="44"/>
      <c r="AA825" s="44"/>
      <c r="AB825" s="44"/>
      <c r="AC825" s="44"/>
      <c r="AD825" s="44"/>
      <c r="AE825" s="44"/>
      <c r="AF825" s="44"/>
      <c r="AG825" s="44"/>
      <c r="AH825" s="44"/>
      <c r="AI825" s="44"/>
      <c r="AJ825" s="44"/>
      <c r="AK825" s="44"/>
      <c r="AL825" s="44"/>
      <c r="AM825" s="44"/>
      <c r="AN825" s="44"/>
    </row>
    <row r="826" spans="1:40" ht="16.5" customHeight="1">
      <c r="A826" s="44"/>
      <c r="B826" s="44"/>
      <c r="C826" s="44"/>
      <c r="D826" s="172"/>
      <c r="E826" s="44"/>
      <c r="F826" s="44"/>
      <c r="G826" s="44"/>
      <c r="H826" s="44"/>
      <c r="I826" s="44"/>
      <c r="J826" s="44"/>
      <c r="K826" s="53"/>
      <c r="L826" s="44"/>
      <c r="M826" s="44"/>
      <c r="N826" s="44"/>
      <c r="O826" s="44"/>
      <c r="P826" s="44"/>
      <c r="Q826" s="44"/>
      <c r="R826" s="44"/>
      <c r="S826" s="44"/>
      <c r="T826" s="44"/>
      <c r="U826" s="44"/>
      <c r="V826" s="44"/>
      <c r="W826" s="44"/>
      <c r="X826" s="44"/>
      <c r="Y826" s="44"/>
      <c r="Z826" s="44"/>
      <c r="AA826" s="44"/>
      <c r="AB826" s="44"/>
      <c r="AC826" s="44"/>
      <c r="AD826" s="44"/>
      <c r="AE826" s="44"/>
      <c r="AF826" s="44"/>
      <c r="AG826" s="44"/>
      <c r="AH826" s="44"/>
      <c r="AI826" s="44"/>
      <c r="AJ826" s="44"/>
      <c r="AK826" s="44"/>
      <c r="AL826" s="44"/>
      <c r="AM826" s="44"/>
      <c r="AN826" s="44"/>
    </row>
    <row r="827" spans="1:40" ht="16.5" customHeight="1">
      <c r="A827" s="44"/>
      <c r="B827" s="44"/>
      <c r="C827" s="44"/>
      <c r="D827" s="172"/>
      <c r="E827" s="44"/>
      <c r="F827" s="44"/>
      <c r="G827" s="44"/>
      <c r="H827" s="44"/>
      <c r="I827" s="44"/>
      <c r="J827" s="44"/>
      <c r="K827" s="53"/>
      <c r="L827" s="44"/>
      <c r="M827" s="44"/>
      <c r="N827" s="44"/>
      <c r="O827" s="44"/>
      <c r="P827" s="44"/>
      <c r="Q827" s="44"/>
      <c r="R827" s="44"/>
      <c r="S827" s="44"/>
      <c r="T827" s="44"/>
      <c r="U827" s="44"/>
      <c r="V827" s="44"/>
      <c r="W827" s="44"/>
      <c r="X827" s="44"/>
      <c r="Y827" s="44"/>
      <c r="Z827" s="44"/>
      <c r="AA827" s="44"/>
      <c r="AB827" s="44"/>
      <c r="AC827" s="44"/>
      <c r="AD827" s="44"/>
      <c r="AE827" s="44"/>
      <c r="AF827" s="44"/>
      <c r="AG827" s="44"/>
      <c r="AH827" s="44"/>
      <c r="AI827" s="44"/>
      <c r="AJ827" s="44"/>
      <c r="AK827" s="44"/>
      <c r="AL827" s="44"/>
      <c r="AM827" s="44"/>
      <c r="AN827" s="44"/>
    </row>
    <row r="828" spans="1:40" ht="16.5" customHeight="1">
      <c r="A828" s="44"/>
      <c r="B828" s="44"/>
      <c r="C828" s="44"/>
      <c r="D828" s="172"/>
      <c r="E828" s="44"/>
      <c r="F828" s="44"/>
      <c r="G828" s="44"/>
      <c r="H828" s="44"/>
      <c r="I828" s="44"/>
      <c r="J828" s="44"/>
      <c r="K828" s="53"/>
      <c r="L828" s="44"/>
      <c r="M828" s="44"/>
      <c r="N828" s="44"/>
      <c r="O828" s="44"/>
      <c r="P828" s="44"/>
      <c r="Q828" s="44"/>
      <c r="R828" s="44"/>
      <c r="S828" s="44"/>
      <c r="T828" s="44"/>
      <c r="U828" s="44"/>
      <c r="V828" s="44"/>
      <c r="W828" s="44"/>
      <c r="X828" s="44"/>
      <c r="Y828" s="44"/>
      <c r="Z828" s="44"/>
      <c r="AA828" s="44"/>
      <c r="AB828" s="44"/>
      <c r="AC828" s="44"/>
      <c r="AD828" s="44"/>
      <c r="AE828" s="44"/>
      <c r="AF828" s="44"/>
      <c r="AG828" s="44"/>
      <c r="AH828" s="44"/>
      <c r="AI828" s="44"/>
      <c r="AJ828" s="44"/>
      <c r="AK828" s="44"/>
      <c r="AL828" s="44"/>
      <c r="AM828" s="44"/>
      <c r="AN828" s="44"/>
    </row>
    <row r="829" spans="1:40" ht="16.5" customHeight="1">
      <c r="A829" s="44"/>
      <c r="B829" s="44"/>
      <c r="C829" s="44"/>
      <c r="D829" s="172"/>
      <c r="E829" s="44"/>
      <c r="F829" s="44"/>
      <c r="G829" s="44"/>
      <c r="H829" s="44"/>
      <c r="I829" s="44"/>
      <c r="J829" s="44"/>
      <c r="K829" s="53"/>
      <c r="L829" s="44"/>
      <c r="M829" s="44"/>
      <c r="N829" s="44"/>
      <c r="O829" s="44"/>
      <c r="P829" s="44"/>
      <c r="Q829" s="44"/>
      <c r="R829" s="44"/>
      <c r="S829" s="44"/>
      <c r="T829" s="44"/>
      <c r="U829" s="44"/>
      <c r="V829" s="44"/>
      <c r="W829" s="44"/>
      <c r="X829" s="44"/>
      <c r="Y829" s="44"/>
      <c r="Z829" s="44"/>
      <c r="AA829" s="44"/>
      <c r="AB829" s="44"/>
      <c r="AC829" s="44"/>
      <c r="AD829" s="44"/>
      <c r="AE829" s="44"/>
      <c r="AF829" s="44"/>
      <c r="AG829" s="44"/>
      <c r="AH829" s="44"/>
      <c r="AI829" s="44"/>
      <c r="AJ829" s="44"/>
      <c r="AK829" s="44"/>
      <c r="AL829" s="44"/>
      <c r="AM829" s="44"/>
      <c r="AN829" s="44"/>
    </row>
    <row r="830" spans="1:40" ht="16.5" customHeight="1">
      <c r="A830" s="44"/>
      <c r="B830" s="44"/>
      <c r="C830" s="44"/>
      <c r="D830" s="172"/>
      <c r="E830" s="44"/>
      <c r="F830" s="44"/>
      <c r="G830" s="44"/>
      <c r="H830" s="44"/>
      <c r="I830" s="44"/>
      <c r="J830" s="44"/>
      <c r="K830" s="53"/>
      <c r="L830" s="44"/>
      <c r="M830" s="44"/>
      <c r="N830" s="44"/>
      <c r="O830" s="44"/>
      <c r="P830" s="44"/>
      <c r="Q830" s="44"/>
      <c r="R830" s="44"/>
      <c r="S830" s="44"/>
      <c r="T830" s="44"/>
      <c r="U830" s="44"/>
      <c r="V830" s="44"/>
      <c r="W830" s="44"/>
      <c r="X830" s="44"/>
      <c r="Y830" s="44"/>
      <c r="Z830" s="44"/>
      <c r="AA830" s="44"/>
      <c r="AB830" s="44"/>
      <c r="AC830" s="44"/>
      <c r="AD830" s="44"/>
      <c r="AE830" s="44"/>
      <c r="AF830" s="44"/>
      <c r="AG830" s="44"/>
      <c r="AH830" s="44"/>
      <c r="AI830" s="44"/>
      <c r="AJ830" s="44"/>
      <c r="AK830" s="44"/>
      <c r="AL830" s="44"/>
      <c r="AM830" s="44"/>
      <c r="AN830" s="44"/>
    </row>
    <row r="831" spans="1:40" ht="16.5" customHeight="1">
      <c r="A831" s="44"/>
      <c r="B831" s="44"/>
      <c r="C831" s="44"/>
      <c r="D831" s="172"/>
      <c r="E831" s="44"/>
      <c r="F831" s="44"/>
      <c r="G831" s="44"/>
      <c r="H831" s="44"/>
      <c r="I831" s="44"/>
      <c r="J831" s="44"/>
      <c r="K831" s="53"/>
      <c r="L831" s="44"/>
      <c r="M831" s="44"/>
      <c r="N831" s="44"/>
      <c r="O831" s="44"/>
      <c r="P831" s="44"/>
      <c r="Q831" s="44"/>
      <c r="R831" s="44"/>
      <c r="S831" s="44"/>
      <c r="T831" s="44"/>
      <c r="U831" s="44"/>
      <c r="V831" s="44"/>
      <c r="W831" s="44"/>
      <c r="X831" s="44"/>
      <c r="Y831" s="44"/>
      <c r="Z831" s="44"/>
      <c r="AA831" s="44"/>
      <c r="AB831" s="44"/>
      <c r="AC831" s="44"/>
      <c r="AD831" s="44"/>
      <c r="AE831" s="44"/>
      <c r="AF831" s="44"/>
      <c r="AG831" s="44"/>
      <c r="AH831" s="44"/>
      <c r="AI831" s="44"/>
      <c r="AJ831" s="44"/>
      <c r="AK831" s="44"/>
      <c r="AL831" s="44"/>
      <c r="AM831" s="44"/>
      <c r="AN831" s="44"/>
    </row>
    <row r="832" spans="1:40" ht="16.5" customHeight="1">
      <c r="A832" s="44"/>
      <c r="B832" s="44"/>
      <c r="C832" s="44"/>
      <c r="D832" s="172"/>
      <c r="E832" s="44"/>
      <c r="F832" s="44"/>
      <c r="G832" s="44"/>
      <c r="H832" s="44"/>
      <c r="I832" s="44"/>
      <c r="J832" s="44"/>
      <c r="K832" s="53"/>
      <c r="L832" s="44"/>
      <c r="M832" s="44"/>
      <c r="N832" s="44"/>
      <c r="O832" s="44"/>
      <c r="P832" s="44"/>
      <c r="Q832" s="44"/>
      <c r="R832" s="44"/>
      <c r="S832" s="44"/>
      <c r="T832" s="44"/>
      <c r="U832" s="44"/>
      <c r="V832" s="44"/>
      <c r="W832" s="44"/>
      <c r="X832" s="44"/>
      <c r="Y832" s="44"/>
      <c r="Z832" s="44"/>
      <c r="AA832" s="44"/>
      <c r="AB832" s="44"/>
      <c r="AC832" s="44"/>
      <c r="AD832" s="44"/>
      <c r="AE832" s="44"/>
      <c r="AF832" s="44"/>
      <c r="AG832" s="44"/>
      <c r="AH832" s="44"/>
      <c r="AI832" s="44"/>
      <c r="AJ832" s="44"/>
      <c r="AK832" s="44"/>
      <c r="AL832" s="44"/>
      <c r="AM832" s="44"/>
      <c r="AN832" s="44"/>
    </row>
    <row r="833" spans="1:40" ht="16.5" customHeight="1">
      <c r="A833" s="44"/>
      <c r="B833" s="44"/>
      <c r="C833" s="44"/>
      <c r="D833" s="172"/>
      <c r="E833" s="44"/>
      <c r="F833" s="44"/>
      <c r="G833" s="44"/>
      <c r="H833" s="44"/>
      <c r="I833" s="44"/>
      <c r="J833" s="44"/>
      <c r="K833" s="53"/>
      <c r="L833" s="44"/>
      <c r="M833" s="44"/>
      <c r="N833" s="44"/>
      <c r="O833" s="44"/>
      <c r="P833" s="44"/>
      <c r="Q833" s="44"/>
      <c r="R833" s="44"/>
      <c r="S833" s="44"/>
      <c r="T833" s="44"/>
      <c r="U833" s="44"/>
      <c r="V833" s="44"/>
      <c r="W833" s="44"/>
      <c r="X833" s="44"/>
      <c r="Y833" s="44"/>
      <c r="Z833" s="44"/>
      <c r="AA833" s="44"/>
      <c r="AB833" s="44"/>
      <c r="AC833" s="44"/>
      <c r="AD833" s="44"/>
      <c r="AE833" s="44"/>
      <c r="AF833" s="44"/>
      <c r="AG833" s="44"/>
      <c r="AH833" s="44"/>
      <c r="AI833" s="44"/>
      <c r="AJ833" s="44"/>
      <c r="AK833" s="44"/>
      <c r="AL833" s="44"/>
      <c r="AM833" s="44"/>
      <c r="AN833" s="44"/>
    </row>
    <row r="834" spans="1:40" ht="16.5" customHeight="1">
      <c r="A834" s="44"/>
      <c r="B834" s="44"/>
      <c r="C834" s="44"/>
      <c r="D834" s="172"/>
      <c r="E834" s="44"/>
      <c r="F834" s="44"/>
      <c r="G834" s="44"/>
      <c r="H834" s="44"/>
      <c r="I834" s="44"/>
      <c r="J834" s="44"/>
      <c r="K834" s="53"/>
      <c r="L834" s="44"/>
      <c r="M834" s="44"/>
      <c r="N834" s="44"/>
      <c r="O834" s="44"/>
      <c r="P834" s="44"/>
      <c r="Q834" s="44"/>
      <c r="R834" s="44"/>
      <c r="S834" s="44"/>
      <c r="T834" s="44"/>
      <c r="U834" s="44"/>
      <c r="V834" s="44"/>
      <c r="W834" s="44"/>
      <c r="X834" s="44"/>
      <c r="Y834" s="44"/>
      <c r="Z834" s="44"/>
      <c r="AA834" s="44"/>
      <c r="AB834" s="44"/>
      <c r="AC834" s="44"/>
      <c r="AD834" s="44"/>
      <c r="AE834" s="44"/>
      <c r="AF834" s="44"/>
      <c r="AG834" s="44"/>
      <c r="AH834" s="44"/>
      <c r="AI834" s="44"/>
      <c r="AJ834" s="44"/>
      <c r="AK834" s="44"/>
      <c r="AL834" s="44"/>
      <c r="AM834" s="44"/>
      <c r="AN834" s="44"/>
    </row>
    <row r="835" spans="1:40" ht="16.5" customHeight="1">
      <c r="A835" s="44"/>
      <c r="B835" s="44"/>
      <c r="C835" s="44"/>
      <c r="D835" s="172"/>
      <c r="E835" s="44"/>
      <c r="F835" s="44"/>
      <c r="G835" s="44"/>
      <c r="H835" s="44"/>
      <c r="I835" s="44"/>
      <c r="J835" s="44"/>
      <c r="K835" s="53"/>
      <c r="L835" s="44"/>
      <c r="M835" s="44"/>
      <c r="N835" s="44"/>
      <c r="O835" s="44"/>
      <c r="P835" s="44"/>
      <c r="Q835" s="44"/>
      <c r="R835" s="44"/>
      <c r="S835" s="44"/>
      <c r="T835" s="44"/>
      <c r="U835" s="44"/>
      <c r="V835" s="44"/>
      <c r="W835" s="44"/>
      <c r="X835" s="44"/>
      <c r="Y835" s="44"/>
      <c r="Z835" s="44"/>
      <c r="AA835" s="44"/>
      <c r="AB835" s="44"/>
      <c r="AC835" s="44"/>
      <c r="AD835" s="44"/>
      <c r="AE835" s="44"/>
      <c r="AF835" s="44"/>
      <c r="AG835" s="44"/>
      <c r="AH835" s="44"/>
      <c r="AI835" s="44"/>
      <c r="AJ835" s="44"/>
      <c r="AK835" s="44"/>
      <c r="AL835" s="44"/>
      <c r="AM835" s="44"/>
      <c r="AN835" s="44"/>
    </row>
    <row r="836" spans="1:40" ht="16.5" customHeight="1">
      <c r="A836" s="44"/>
      <c r="B836" s="44"/>
      <c r="C836" s="44"/>
      <c r="D836" s="172"/>
      <c r="E836" s="44"/>
      <c r="F836" s="44"/>
      <c r="G836" s="44"/>
      <c r="H836" s="44"/>
      <c r="I836" s="44"/>
      <c r="J836" s="44"/>
      <c r="K836" s="53"/>
      <c r="L836" s="44"/>
      <c r="M836" s="44"/>
      <c r="N836" s="44"/>
      <c r="O836" s="44"/>
      <c r="P836" s="44"/>
      <c r="Q836" s="44"/>
      <c r="R836" s="44"/>
      <c r="S836" s="44"/>
      <c r="T836" s="44"/>
      <c r="U836" s="44"/>
      <c r="V836" s="44"/>
      <c r="W836" s="44"/>
      <c r="X836" s="44"/>
      <c r="Y836" s="44"/>
      <c r="Z836" s="44"/>
      <c r="AA836" s="44"/>
      <c r="AB836" s="44"/>
      <c r="AC836" s="44"/>
      <c r="AD836" s="44"/>
      <c r="AE836" s="44"/>
      <c r="AF836" s="44"/>
      <c r="AG836" s="44"/>
      <c r="AH836" s="44"/>
      <c r="AI836" s="44"/>
      <c r="AJ836" s="44"/>
      <c r="AK836" s="44"/>
      <c r="AL836" s="44"/>
      <c r="AM836" s="44"/>
      <c r="AN836" s="44"/>
    </row>
    <row r="837" spans="1:40" ht="16.5" customHeight="1">
      <c r="A837" s="44"/>
      <c r="B837" s="44"/>
      <c r="C837" s="44"/>
      <c r="D837" s="172"/>
      <c r="E837" s="44"/>
      <c r="F837" s="44"/>
      <c r="G837" s="44"/>
      <c r="H837" s="44"/>
      <c r="I837" s="44"/>
      <c r="J837" s="44"/>
      <c r="K837" s="53"/>
      <c r="L837" s="44"/>
      <c r="M837" s="44"/>
      <c r="N837" s="44"/>
      <c r="O837" s="44"/>
      <c r="P837" s="44"/>
      <c r="Q837" s="44"/>
      <c r="R837" s="44"/>
      <c r="S837" s="44"/>
      <c r="T837" s="44"/>
      <c r="U837" s="44"/>
      <c r="V837" s="44"/>
      <c r="W837" s="44"/>
      <c r="X837" s="44"/>
      <c r="Y837" s="44"/>
      <c r="Z837" s="44"/>
      <c r="AA837" s="44"/>
      <c r="AB837" s="44"/>
      <c r="AC837" s="44"/>
      <c r="AD837" s="44"/>
      <c r="AE837" s="44"/>
      <c r="AF837" s="44"/>
      <c r="AG837" s="44"/>
      <c r="AH837" s="44"/>
      <c r="AI837" s="44"/>
      <c r="AJ837" s="44"/>
      <c r="AK837" s="44"/>
      <c r="AL837" s="44"/>
      <c r="AM837" s="44"/>
      <c r="AN837" s="44"/>
    </row>
    <row r="838" spans="1:40" ht="16.5" customHeight="1">
      <c r="A838" s="44"/>
      <c r="B838" s="44"/>
      <c r="C838" s="44"/>
      <c r="D838" s="172"/>
      <c r="E838" s="44"/>
      <c r="F838" s="44"/>
      <c r="G838" s="44"/>
      <c r="H838" s="44"/>
      <c r="I838" s="44"/>
      <c r="J838" s="44"/>
      <c r="K838" s="53"/>
      <c r="L838" s="44"/>
      <c r="M838" s="44"/>
      <c r="N838" s="44"/>
      <c r="O838" s="44"/>
      <c r="P838" s="44"/>
      <c r="Q838" s="44"/>
      <c r="R838" s="44"/>
      <c r="S838" s="44"/>
      <c r="T838" s="44"/>
      <c r="U838" s="44"/>
      <c r="V838" s="44"/>
      <c r="W838" s="44"/>
      <c r="X838" s="44"/>
      <c r="Y838" s="44"/>
      <c r="Z838" s="44"/>
      <c r="AA838" s="44"/>
      <c r="AB838" s="44"/>
      <c r="AC838" s="44"/>
      <c r="AD838" s="44"/>
      <c r="AE838" s="44"/>
      <c r="AF838" s="44"/>
      <c r="AG838" s="44"/>
      <c r="AH838" s="44"/>
      <c r="AI838" s="44"/>
      <c r="AJ838" s="44"/>
      <c r="AK838" s="44"/>
      <c r="AL838" s="44"/>
      <c r="AM838" s="44"/>
      <c r="AN838" s="44"/>
    </row>
    <row r="839" spans="1:40" ht="16.5" customHeight="1">
      <c r="A839" s="44"/>
      <c r="B839" s="44"/>
      <c r="C839" s="44"/>
      <c r="D839" s="172"/>
      <c r="E839" s="44"/>
      <c r="F839" s="44"/>
      <c r="G839" s="44"/>
      <c r="H839" s="44"/>
      <c r="I839" s="44"/>
      <c r="J839" s="44"/>
      <c r="K839" s="53"/>
      <c r="L839" s="44"/>
      <c r="M839" s="44"/>
      <c r="N839" s="44"/>
      <c r="O839" s="44"/>
      <c r="P839" s="44"/>
      <c r="Q839" s="44"/>
      <c r="R839" s="44"/>
      <c r="S839" s="44"/>
      <c r="T839" s="44"/>
      <c r="U839" s="44"/>
      <c r="V839" s="44"/>
      <c r="W839" s="44"/>
      <c r="X839" s="44"/>
      <c r="Y839" s="44"/>
      <c r="Z839" s="44"/>
      <c r="AA839" s="44"/>
      <c r="AB839" s="44"/>
      <c r="AC839" s="44"/>
      <c r="AD839" s="44"/>
      <c r="AE839" s="44"/>
      <c r="AF839" s="44"/>
      <c r="AG839" s="44"/>
      <c r="AH839" s="44"/>
      <c r="AI839" s="44"/>
      <c r="AJ839" s="44"/>
      <c r="AK839" s="44"/>
      <c r="AL839" s="44"/>
      <c r="AM839" s="44"/>
      <c r="AN839" s="44"/>
    </row>
    <row r="840" spans="1:40" ht="16.5" customHeight="1">
      <c r="A840" s="44"/>
      <c r="B840" s="44"/>
      <c r="C840" s="44"/>
      <c r="D840" s="172"/>
      <c r="E840" s="44"/>
      <c r="F840" s="44"/>
      <c r="G840" s="44"/>
      <c r="H840" s="44"/>
      <c r="I840" s="44"/>
      <c r="J840" s="44"/>
      <c r="K840" s="53"/>
      <c r="L840" s="44"/>
      <c r="M840" s="44"/>
      <c r="N840" s="44"/>
      <c r="O840" s="44"/>
      <c r="P840" s="44"/>
      <c r="Q840" s="44"/>
      <c r="R840" s="44"/>
      <c r="S840" s="44"/>
      <c r="T840" s="44"/>
      <c r="U840" s="44"/>
      <c r="V840" s="44"/>
      <c r="W840" s="44"/>
      <c r="X840" s="44"/>
      <c r="Y840" s="44"/>
      <c r="Z840" s="44"/>
      <c r="AA840" s="44"/>
      <c r="AB840" s="44"/>
      <c r="AC840" s="44"/>
      <c r="AD840" s="44"/>
      <c r="AE840" s="44"/>
      <c r="AF840" s="44"/>
      <c r="AG840" s="44"/>
      <c r="AH840" s="44"/>
      <c r="AI840" s="44"/>
      <c r="AJ840" s="44"/>
      <c r="AK840" s="44"/>
      <c r="AL840" s="44"/>
      <c r="AM840" s="44"/>
      <c r="AN840" s="44"/>
    </row>
    <row r="841" spans="1:40" ht="16.5" customHeight="1">
      <c r="A841" s="44"/>
      <c r="B841" s="44"/>
      <c r="C841" s="44"/>
      <c r="D841" s="172"/>
      <c r="E841" s="44"/>
      <c r="F841" s="44"/>
      <c r="G841" s="44"/>
      <c r="H841" s="44"/>
      <c r="I841" s="44"/>
      <c r="J841" s="44"/>
      <c r="K841" s="53"/>
      <c r="L841" s="44"/>
      <c r="M841" s="44"/>
      <c r="N841" s="44"/>
      <c r="O841" s="44"/>
      <c r="P841" s="44"/>
      <c r="Q841" s="44"/>
      <c r="R841" s="44"/>
      <c r="S841" s="44"/>
      <c r="T841" s="44"/>
      <c r="U841" s="44"/>
      <c r="V841" s="44"/>
      <c r="W841" s="44"/>
      <c r="X841" s="44"/>
      <c r="Y841" s="44"/>
      <c r="Z841" s="44"/>
      <c r="AA841" s="44"/>
      <c r="AB841" s="44"/>
      <c r="AC841" s="44"/>
      <c r="AD841" s="44"/>
      <c r="AE841" s="44"/>
      <c r="AF841" s="44"/>
      <c r="AG841" s="44"/>
      <c r="AH841" s="44"/>
      <c r="AI841" s="44"/>
      <c r="AJ841" s="44"/>
      <c r="AK841" s="44"/>
      <c r="AL841" s="44"/>
      <c r="AM841" s="44"/>
      <c r="AN841" s="44"/>
    </row>
    <row r="842" spans="1:40" ht="16.5" customHeight="1">
      <c r="A842" s="44"/>
      <c r="B842" s="44"/>
      <c r="C842" s="44"/>
      <c r="D842" s="172"/>
      <c r="E842" s="44"/>
      <c r="F842" s="44"/>
      <c r="G842" s="44"/>
      <c r="H842" s="44"/>
      <c r="I842" s="44"/>
      <c r="J842" s="44"/>
      <c r="K842" s="53"/>
      <c r="L842" s="44"/>
      <c r="M842" s="44"/>
      <c r="N842" s="44"/>
      <c r="O842" s="44"/>
      <c r="P842" s="44"/>
      <c r="Q842" s="44"/>
      <c r="R842" s="44"/>
      <c r="S842" s="44"/>
      <c r="T842" s="44"/>
      <c r="U842" s="44"/>
      <c r="V842" s="44"/>
      <c r="W842" s="44"/>
      <c r="X842" s="44"/>
      <c r="Y842" s="44"/>
      <c r="Z842" s="44"/>
      <c r="AA842" s="44"/>
      <c r="AB842" s="44"/>
      <c r="AC842" s="44"/>
      <c r="AD842" s="44"/>
      <c r="AE842" s="44"/>
      <c r="AF842" s="44"/>
      <c r="AG842" s="44"/>
      <c r="AH842" s="44"/>
      <c r="AI842" s="44"/>
      <c r="AJ842" s="44"/>
      <c r="AK842" s="44"/>
      <c r="AL842" s="44"/>
      <c r="AM842" s="44"/>
      <c r="AN842" s="44"/>
    </row>
    <row r="843" spans="1:40" ht="16.5" customHeight="1">
      <c r="A843" s="44"/>
      <c r="B843" s="44"/>
      <c r="C843" s="44"/>
      <c r="D843" s="172"/>
      <c r="E843" s="44"/>
      <c r="F843" s="44"/>
      <c r="G843" s="44"/>
      <c r="H843" s="44"/>
      <c r="I843" s="44"/>
      <c r="J843" s="44"/>
      <c r="K843" s="53"/>
      <c r="L843" s="44"/>
      <c r="M843" s="44"/>
      <c r="N843" s="44"/>
      <c r="O843" s="44"/>
      <c r="P843" s="44"/>
      <c r="Q843" s="44"/>
      <c r="R843" s="44"/>
      <c r="S843" s="44"/>
      <c r="T843" s="44"/>
      <c r="U843" s="44"/>
      <c r="V843" s="44"/>
      <c r="W843" s="44"/>
      <c r="X843" s="44"/>
      <c r="Y843" s="44"/>
      <c r="Z843" s="44"/>
      <c r="AA843" s="44"/>
      <c r="AB843" s="44"/>
      <c r="AC843" s="44"/>
      <c r="AD843" s="44"/>
      <c r="AE843" s="44"/>
      <c r="AF843" s="44"/>
      <c r="AG843" s="44"/>
      <c r="AH843" s="44"/>
      <c r="AI843" s="44"/>
      <c r="AJ843" s="44"/>
      <c r="AK843" s="44"/>
      <c r="AL843" s="44"/>
      <c r="AM843" s="44"/>
      <c r="AN843" s="44"/>
    </row>
    <row r="844" spans="1:40" ht="16.5" customHeight="1">
      <c r="A844" s="44"/>
      <c r="B844" s="44"/>
      <c r="C844" s="44"/>
      <c r="D844" s="172"/>
      <c r="E844" s="44"/>
      <c r="F844" s="44"/>
      <c r="G844" s="44"/>
      <c r="H844" s="44"/>
      <c r="I844" s="44"/>
      <c r="J844" s="44"/>
      <c r="K844" s="53"/>
      <c r="L844" s="44"/>
      <c r="M844" s="44"/>
      <c r="N844" s="44"/>
      <c r="O844" s="44"/>
      <c r="P844" s="44"/>
      <c r="Q844" s="44"/>
      <c r="R844" s="44"/>
      <c r="S844" s="44"/>
      <c r="T844" s="44"/>
      <c r="U844" s="44"/>
      <c r="V844" s="44"/>
      <c r="W844" s="44"/>
      <c r="X844" s="44"/>
      <c r="Y844" s="44"/>
      <c r="Z844" s="44"/>
      <c r="AA844" s="44"/>
      <c r="AB844" s="44"/>
      <c r="AC844" s="44"/>
      <c r="AD844" s="44"/>
      <c r="AE844" s="44"/>
      <c r="AF844" s="44"/>
      <c r="AG844" s="44"/>
      <c r="AH844" s="44"/>
      <c r="AI844" s="44"/>
      <c r="AJ844" s="44"/>
      <c r="AK844" s="44"/>
      <c r="AL844" s="44"/>
      <c r="AM844" s="44"/>
      <c r="AN844" s="44"/>
    </row>
    <row r="845" spans="1:40" ht="16.5" customHeight="1">
      <c r="A845" s="44"/>
      <c r="B845" s="44"/>
      <c r="C845" s="44"/>
      <c r="D845" s="172"/>
      <c r="E845" s="44"/>
      <c r="F845" s="44"/>
      <c r="G845" s="44"/>
      <c r="H845" s="44"/>
      <c r="I845" s="44"/>
      <c r="J845" s="44"/>
      <c r="K845" s="53"/>
      <c r="L845" s="44"/>
      <c r="M845" s="44"/>
      <c r="N845" s="44"/>
      <c r="O845" s="44"/>
      <c r="P845" s="44"/>
      <c r="Q845" s="44"/>
      <c r="R845" s="44"/>
      <c r="S845" s="44"/>
      <c r="T845" s="44"/>
      <c r="U845" s="44"/>
      <c r="V845" s="44"/>
      <c r="W845" s="44"/>
      <c r="X845" s="44"/>
      <c r="Y845" s="44"/>
      <c r="Z845" s="44"/>
      <c r="AA845" s="44"/>
      <c r="AB845" s="44"/>
      <c r="AC845" s="44"/>
      <c r="AD845" s="44"/>
      <c r="AE845" s="44"/>
      <c r="AF845" s="44"/>
      <c r="AG845" s="44"/>
      <c r="AH845" s="44"/>
      <c r="AI845" s="44"/>
      <c r="AJ845" s="44"/>
      <c r="AK845" s="44"/>
      <c r="AL845" s="44"/>
      <c r="AM845" s="44"/>
      <c r="AN845" s="44"/>
    </row>
    <row r="846" spans="1:40" ht="16.5" customHeight="1">
      <c r="A846" s="44"/>
      <c r="B846" s="44"/>
      <c r="C846" s="44"/>
      <c r="D846" s="172"/>
      <c r="E846" s="44"/>
      <c r="F846" s="44"/>
      <c r="G846" s="44"/>
      <c r="H846" s="44"/>
      <c r="I846" s="44"/>
      <c r="J846" s="44"/>
      <c r="K846" s="53"/>
      <c r="L846" s="44"/>
      <c r="M846" s="44"/>
      <c r="N846" s="44"/>
      <c r="O846" s="44"/>
      <c r="P846" s="44"/>
      <c r="Q846" s="44"/>
      <c r="R846" s="44"/>
      <c r="S846" s="44"/>
      <c r="T846" s="44"/>
      <c r="U846" s="44"/>
      <c r="V846" s="44"/>
      <c r="W846" s="44"/>
      <c r="X846" s="44"/>
      <c r="Y846" s="44"/>
      <c r="Z846" s="44"/>
      <c r="AA846" s="44"/>
      <c r="AB846" s="44"/>
      <c r="AC846" s="44"/>
      <c r="AD846" s="44"/>
      <c r="AE846" s="44"/>
      <c r="AF846" s="44"/>
      <c r="AG846" s="44"/>
      <c r="AH846" s="44"/>
      <c r="AI846" s="44"/>
      <c r="AJ846" s="44"/>
      <c r="AK846" s="44"/>
      <c r="AL846" s="44"/>
      <c r="AM846" s="44"/>
      <c r="AN846" s="44"/>
    </row>
    <row r="847" spans="1:40" ht="16.5" customHeight="1">
      <c r="A847" s="44"/>
      <c r="B847" s="44"/>
      <c r="C847" s="44"/>
      <c r="D847" s="172"/>
      <c r="E847" s="44"/>
      <c r="F847" s="44"/>
      <c r="G847" s="44"/>
      <c r="H847" s="44"/>
      <c r="I847" s="44"/>
      <c r="J847" s="44"/>
      <c r="K847" s="53"/>
      <c r="L847" s="44"/>
      <c r="M847" s="44"/>
      <c r="N847" s="44"/>
      <c r="O847" s="44"/>
      <c r="P847" s="44"/>
      <c r="Q847" s="44"/>
      <c r="R847" s="44"/>
      <c r="S847" s="44"/>
      <c r="T847" s="44"/>
      <c r="U847" s="44"/>
      <c r="V847" s="44"/>
      <c r="W847" s="44"/>
      <c r="X847" s="44"/>
      <c r="Y847" s="44"/>
      <c r="Z847" s="44"/>
      <c r="AA847" s="44"/>
      <c r="AB847" s="44"/>
      <c r="AC847" s="44"/>
      <c r="AD847" s="44"/>
      <c r="AE847" s="44"/>
      <c r="AF847" s="44"/>
      <c r="AG847" s="44"/>
      <c r="AH847" s="44"/>
      <c r="AI847" s="44"/>
      <c r="AJ847" s="44"/>
      <c r="AK847" s="44"/>
      <c r="AL847" s="44"/>
      <c r="AM847" s="44"/>
      <c r="AN847" s="44"/>
    </row>
    <row r="848" spans="1:40" ht="16.5" customHeight="1">
      <c r="A848" s="44"/>
      <c r="B848" s="44"/>
      <c r="C848" s="44"/>
      <c r="D848" s="172"/>
      <c r="E848" s="44"/>
      <c r="F848" s="44"/>
      <c r="G848" s="44"/>
      <c r="H848" s="44"/>
      <c r="I848" s="44"/>
      <c r="J848" s="44"/>
      <c r="K848" s="53"/>
      <c r="L848" s="44"/>
      <c r="M848" s="44"/>
      <c r="N848" s="44"/>
      <c r="O848" s="44"/>
      <c r="P848" s="44"/>
      <c r="Q848" s="44"/>
      <c r="R848" s="44"/>
      <c r="S848" s="44"/>
      <c r="T848" s="44"/>
      <c r="U848" s="44"/>
      <c r="V848" s="44"/>
      <c r="W848" s="44"/>
      <c r="X848" s="44"/>
      <c r="Y848" s="44"/>
      <c r="Z848" s="44"/>
      <c r="AA848" s="44"/>
      <c r="AB848" s="44"/>
      <c r="AC848" s="44"/>
      <c r="AD848" s="44"/>
      <c r="AE848" s="44"/>
      <c r="AF848" s="44"/>
      <c r="AG848" s="44"/>
      <c r="AH848" s="44"/>
      <c r="AI848" s="44"/>
      <c r="AJ848" s="44"/>
      <c r="AK848" s="44"/>
      <c r="AL848" s="44"/>
      <c r="AM848" s="44"/>
      <c r="AN848" s="44"/>
    </row>
    <row r="849" spans="1:40" ht="16.5" customHeight="1">
      <c r="A849" s="44"/>
      <c r="B849" s="44"/>
      <c r="C849" s="44"/>
      <c r="D849" s="172"/>
      <c r="E849" s="44"/>
      <c r="F849" s="44"/>
      <c r="G849" s="44"/>
      <c r="H849" s="44"/>
      <c r="I849" s="44"/>
      <c r="J849" s="44"/>
      <c r="K849" s="53"/>
      <c r="L849" s="44"/>
      <c r="M849" s="44"/>
      <c r="N849" s="44"/>
      <c r="O849" s="44"/>
      <c r="P849" s="44"/>
      <c r="Q849" s="44"/>
      <c r="R849" s="44"/>
      <c r="S849" s="44"/>
      <c r="T849" s="44"/>
      <c r="U849" s="44"/>
      <c r="V849" s="44"/>
      <c r="W849" s="44"/>
      <c r="X849" s="44"/>
      <c r="Y849" s="44"/>
      <c r="Z849" s="44"/>
      <c r="AA849" s="44"/>
      <c r="AB849" s="44"/>
      <c r="AC849" s="44"/>
      <c r="AD849" s="44"/>
      <c r="AE849" s="44"/>
      <c r="AF849" s="44"/>
      <c r="AG849" s="44"/>
      <c r="AH849" s="44"/>
      <c r="AI849" s="44"/>
      <c r="AJ849" s="44"/>
      <c r="AK849" s="44"/>
      <c r="AL849" s="44"/>
      <c r="AM849" s="44"/>
      <c r="AN849" s="44"/>
    </row>
    <row r="850" spans="1:40" ht="16.5" customHeight="1">
      <c r="A850" s="44"/>
      <c r="B850" s="44"/>
      <c r="C850" s="44"/>
      <c r="D850" s="172"/>
      <c r="E850" s="44"/>
      <c r="F850" s="44"/>
      <c r="G850" s="44"/>
      <c r="H850" s="44"/>
      <c r="I850" s="44"/>
      <c r="J850" s="44"/>
      <c r="K850" s="53"/>
      <c r="L850" s="44"/>
      <c r="M850" s="44"/>
      <c r="N850" s="44"/>
      <c r="O850" s="44"/>
      <c r="P850" s="44"/>
      <c r="Q850" s="44"/>
      <c r="R850" s="44"/>
      <c r="S850" s="44"/>
      <c r="T850" s="44"/>
      <c r="U850" s="44"/>
      <c r="V850" s="44"/>
      <c r="W850" s="44"/>
      <c r="X850" s="44"/>
      <c r="Y850" s="44"/>
      <c r="Z850" s="44"/>
      <c r="AA850" s="44"/>
      <c r="AB850" s="44"/>
      <c r="AC850" s="44"/>
      <c r="AD850" s="44"/>
      <c r="AE850" s="44"/>
      <c r="AF850" s="44"/>
      <c r="AG850" s="44"/>
      <c r="AH850" s="44"/>
      <c r="AI850" s="44"/>
      <c r="AJ850" s="44"/>
      <c r="AK850" s="44"/>
      <c r="AL850" s="44"/>
      <c r="AM850" s="44"/>
      <c r="AN850" s="44"/>
    </row>
    <row r="851" spans="1:40" ht="16.5" customHeight="1">
      <c r="A851" s="44"/>
      <c r="B851" s="44"/>
      <c r="C851" s="44"/>
      <c r="D851" s="172"/>
      <c r="E851" s="44"/>
      <c r="F851" s="44"/>
      <c r="G851" s="44"/>
      <c r="H851" s="44"/>
      <c r="I851" s="44"/>
      <c r="J851" s="44"/>
      <c r="K851" s="53"/>
      <c r="L851" s="44"/>
      <c r="M851" s="44"/>
      <c r="N851" s="44"/>
      <c r="O851" s="44"/>
      <c r="P851" s="44"/>
      <c r="Q851" s="44"/>
      <c r="R851" s="44"/>
      <c r="S851" s="44"/>
      <c r="T851" s="44"/>
      <c r="U851" s="44"/>
      <c r="V851" s="44"/>
      <c r="W851" s="44"/>
      <c r="X851" s="44"/>
      <c r="Y851" s="44"/>
      <c r="Z851" s="44"/>
      <c r="AA851" s="44"/>
      <c r="AB851" s="44"/>
      <c r="AC851" s="44"/>
      <c r="AD851" s="44"/>
      <c r="AE851" s="44"/>
      <c r="AF851" s="44"/>
      <c r="AG851" s="44"/>
      <c r="AH851" s="44"/>
      <c r="AI851" s="44"/>
      <c r="AJ851" s="44"/>
      <c r="AK851" s="44"/>
      <c r="AL851" s="44"/>
      <c r="AM851" s="44"/>
      <c r="AN851" s="44"/>
    </row>
    <row r="852" spans="1:40" ht="16.5" customHeight="1">
      <c r="A852" s="44"/>
      <c r="B852" s="44"/>
      <c r="C852" s="44"/>
      <c r="D852" s="172"/>
      <c r="E852" s="44"/>
      <c r="F852" s="44"/>
      <c r="G852" s="44"/>
      <c r="H852" s="44"/>
      <c r="I852" s="44"/>
      <c r="J852" s="44"/>
      <c r="K852" s="53"/>
      <c r="L852" s="44"/>
      <c r="M852" s="44"/>
      <c r="N852" s="44"/>
      <c r="O852" s="44"/>
      <c r="P852" s="44"/>
      <c r="Q852" s="44"/>
      <c r="R852" s="44"/>
      <c r="S852" s="44"/>
      <c r="T852" s="44"/>
      <c r="U852" s="44"/>
      <c r="V852" s="44"/>
      <c r="W852" s="44"/>
      <c r="X852" s="44"/>
      <c r="Y852" s="44"/>
      <c r="Z852" s="44"/>
      <c r="AA852" s="44"/>
      <c r="AB852" s="44"/>
      <c r="AC852" s="44"/>
      <c r="AD852" s="44"/>
      <c r="AE852" s="44"/>
      <c r="AF852" s="44"/>
      <c r="AG852" s="44"/>
      <c r="AH852" s="44"/>
      <c r="AI852" s="44"/>
      <c r="AJ852" s="44"/>
      <c r="AK852" s="44"/>
      <c r="AL852" s="44"/>
      <c r="AM852" s="44"/>
      <c r="AN852" s="44"/>
    </row>
    <row r="853" spans="1:40" ht="16.5" customHeight="1">
      <c r="A853" s="44"/>
      <c r="B853" s="44"/>
      <c r="C853" s="44"/>
      <c r="D853" s="172"/>
      <c r="E853" s="44"/>
      <c r="F853" s="44"/>
      <c r="G853" s="44"/>
      <c r="H853" s="44"/>
      <c r="I853" s="44"/>
      <c r="J853" s="44"/>
      <c r="K853" s="53"/>
      <c r="L853" s="44"/>
      <c r="M853" s="44"/>
      <c r="N853" s="44"/>
      <c r="O853" s="44"/>
      <c r="P853" s="44"/>
      <c r="Q853" s="44"/>
      <c r="R853" s="44"/>
      <c r="S853" s="44"/>
      <c r="T853" s="44"/>
      <c r="U853" s="44"/>
      <c r="V853" s="44"/>
      <c r="W853" s="44"/>
      <c r="X853" s="44"/>
      <c r="Y853" s="44"/>
      <c r="Z853" s="44"/>
      <c r="AA853" s="44"/>
      <c r="AB853" s="44"/>
      <c r="AC853" s="44"/>
      <c r="AD853" s="44"/>
      <c r="AE853" s="44"/>
      <c r="AF853" s="44"/>
      <c r="AG853" s="44"/>
      <c r="AH853" s="44"/>
      <c r="AI853" s="44"/>
      <c r="AJ853" s="44"/>
      <c r="AK853" s="44"/>
      <c r="AL853" s="44"/>
      <c r="AM853" s="44"/>
      <c r="AN853" s="44"/>
    </row>
    <row r="854" spans="1:40" ht="16.5" customHeight="1">
      <c r="A854" s="44"/>
      <c r="B854" s="44"/>
      <c r="C854" s="44"/>
      <c r="D854" s="172"/>
      <c r="E854" s="44"/>
      <c r="F854" s="44"/>
      <c r="G854" s="44"/>
      <c r="H854" s="44"/>
      <c r="I854" s="44"/>
      <c r="J854" s="44"/>
      <c r="K854" s="53"/>
      <c r="L854" s="44"/>
      <c r="M854" s="44"/>
      <c r="N854" s="44"/>
      <c r="O854" s="44"/>
      <c r="P854" s="44"/>
      <c r="Q854" s="44"/>
      <c r="R854" s="44"/>
      <c r="S854" s="44"/>
      <c r="T854" s="44"/>
      <c r="U854" s="44"/>
      <c r="V854" s="44"/>
      <c r="W854" s="44"/>
      <c r="X854" s="44"/>
      <c r="Y854" s="44"/>
      <c r="Z854" s="44"/>
      <c r="AA854" s="44"/>
      <c r="AB854" s="44"/>
      <c r="AC854" s="44"/>
      <c r="AD854" s="44"/>
      <c r="AE854" s="44"/>
      <c r="AF854" s="44"/>
      <c r="AG854" s="44"/>
      <c r="AH854" s="44"/>
      <c r="AI854" s="44"/>
      <c r="AJ854" s="44"/>
      <c r="AK854" s="44"/>
      <c r="AL854" s="44"/>
      <c r="AM854" s="44"/>
      <c r="AN854" s="44"/>
    </row>
    <row r="855" spans="1:40" ht="16.5" customHeight="1">
      <c r="A855" s="44"/>
      <c r="B855" s="44"/>
      <c r="C855" s="44"/>
      <c r="D855" s="172"/>
      <c r="E855" s="44"/>
      <c r="F855" s="44"/>
      <c r="G855" s="44"/>
      <c r="H855" s="44"/>
      <c r="I855" s="44"/>
      <c r="J855" s="44"/>
      <c r="K855" s="53"/>
      <c r="L855" s="44"/>
      <c r="M855" s="44"/>
      <c r="N855" s="44"/>
      <c r="O855" s="44"/>
      <c r="P855" s="44"/>
      <c r="Q855" s="44"/>
      <c r="R855" s="44"/>
      <c r="S855" s="44"/>
      <c r="T855" s="44"/>
      <c r="U855" s="44"/>
      <c r="V855" s="44"/>
      <c r="W855" s="44"/>
      <c r="X855" s="44"/>
      <c r="Y855" s="44"/>
      <c r="Z855" s="44"/>
      <c r="AA855" s="44"/>
      <c r="AB855" s="44"/>
      <c r="AC855" s="44"/>
      <c r="AD855" s="44"/>
      <c r="AE855" s="44"/>
      <c r="AF855" s="44"/>
      <c r="AG855" s="44"/>
      <c r="AH855" s="44"/>
      <c r="AI855" s="44"/>
      <c r="AJ855" s="44"/>
      <c r="AK855" s="44"/>
      <c r="AL855" s="44"/>
      <c r="AM855" s="44"/>
      <c r="AN855" s="44"/>
    </row>
    <row r="856" spans="1:40" ht="16.5" customHeight="1">
      <c r="A856" s="44"/>
      <c r="B856" s="44"/>
      <c r="C856" s="44"/>
      <c r="D856" s="172"/>
      <c r="E856" s="44"/>
      <c r="F856" s="44"/>
      <c r="G856" s="44"/>
      <c r="H856" s="44"/>
      <c r="I856" s="44"/>
      <c r="J856" s="44"/>
      <c r="K856" s="53"/>
      <c r="L856" s="44"/>
      <c r="M856" s="44"/>
      <c r="N856" s="44"/>
      <c r="O856" s="44"/>
      <c r="P856" s="44"/>
      <c r="Q856" s="44"/>
      <c r="R856" s="44"/>
      <c r="S856" s="44"/>
      <c r="T856" s="44"/>
      <c r="U856" s="44"/>
      <c r="V856" s="44"/>
      <c r="W856" s="44"/>
      <c r="X856" s="44"/>
      <c r="Y856" s="44"/>
      <c r="Z856" s="44"/>
      <c r="AA856" s="44"/>
      <c r="AB856" s="44"/>
      <c r="AC856" s="44"/>
      <c r="AD856" s="44"/>
      <c r="AE856" s="44"/>
      <c r="AF856" s="44"/>
      <c r="AG856" s="44"/>
      <c r="AH856" s="44"/>
      <c r="AI856" s="44"/>
      <c r="AJ856" s="44"/>
      <c r="AK856" s="44"/>
      <c r="AL856" s="44"/>
      <c r="AM856" s="44"/>
      <c r="AN856" s="44"/>
    </row>
    <row r="857" spans="1:40" ht="16.5" customHeight="1">
      <c r="A857" s="44"/>
      <c r="B857" s="44"/>
      <c r="C857" s="44"/>
      <c r="D857" s="172"/>
      <c r="E857" s="44"/>
      <c r="F857" s="44"/>
      <c r="G857" s="44"/>
      <c r="H857" s="44"/>
      <c r="I857" s="44"/>
      <c r="J857" s="44"/>
      <c r="K857" s="53"/>
      <c r="L857" s="44"/>
      <c r="M857" s="44"/>
      <c r="N857" s="44"/>
      <c r="O857" s="44"/>
      <c r="P857" s="44"/>
      <c r="Q857" s="44"/>
      <c r="R857" s="44"/>
      <c r="S857" s="44"/>
      <c r="T857" s="44"/>
      <c r="U857" s="44"/>
      <c r="V857" s="44"/>
      <c r="W857" s="44"/>
      <c r="X857" s="44"/>
      <c r="Y857" s="44"/>
      <c r="Z857" s="44"/>
      <c r="AA857" s="44"/>
      <c r="AB857" s="44"/>
      <c r="AC857" s="44"/>
      <c r="AD857" s="44"/>
      <c r="AE857" s="44"/>
      <c r="AF857" s="44"/>
      <c r="AG857" s="44"/>
      <c r="AH857" s="44"/>
      <c r="AI857" s="44"/>
      <c r="AJ857" s="44"/>
      <c r="AK857" s="44"/>
      <c r="AL857" s="44"/>
      <c r="AM857" s="44"/>
      <c r="AN857" s="44"/>
    </row>
    <row r="858" spans="1:40" ht="16.5" customHeight="1">
      <c r="A858" s="44"/>
      <c r="B858" s="44"/>
      <c r="C858" s="44"/>
      <c r="D858" s="172"/>
      <c r="E858" s="44"/>
      <c r="F858" s="44"/>
      <c r="G858" s="44"/>
      <c r="H858" s="44"/>
      <c r="I858" s="44"/>
      <c r="J858" s="44"/>
      <c r="K858" s="53"/>
      <c r="L858" s="44"/>
      <c r="M858" s="44"/>
      <c r="N858" s="44"/>
      <c r="O858" s="44"/>
      <c r="P858" s="44"/>
      <c r="Q858" s="44"/>
      <c r="R858" s="44"/>
      <c r="S858" s="44"/>
      <c r="T858" s="44"/>
      <c r="U858" s="44"/>
      <c r="V858" s="44"/>
      <c r="W858" s="44"/>
      <c r="X858" s="44"/>
      <c r="Y858" s="44"/>
      <c r="Z858" s="44"/>
      <c r="AA858" s="44"/>
      <c r="AB858" s="44"/>
      <c r="AC858" s="44"/>
      <c r="AD858" s="44"/>
      <c r="AE858" s="44"/>
      <c r="AF858" s="44"/>
      <c r="AG858" s="44"/>
      <c r="AH858" s="44"/>
      <c r="AI858" s="44"/>
      <c r="AJ858" s="44"/>
      <c r="AK858" s="44"/>
      <c r="AL858" s="44"/>
      <c r="AM858" s="44"/>
      <c r="AN858" s="44"/>
    </row>
    <row r="859" spans="1:40" ht="16.5" customHeight="1">
      <c r="A859" s="44"/>
      <c r="B859" s="44"/>
      <c r="C859" s="44"/>
      <c r="D859" s="172"/>
      <c r="E859" s="44"/>
      <c r="F859" s="44"/>
      <c r="G859" s="44"/>
      <c r="H859" s="44"/>
      <c r="I859" s="44"/>
      <c r="J859" s="44"/>
      <c r="K859" s="53"/>
      <c r="L859" s="44"/>
      <c r="M859" s="44"/>
      <c r="N859" s="44"/>
      <c r="O859" s="44"/>
      <c r="P859" s="44"/>
      <c r="Q859" s="44"/>
      <c r="R859" s="44"/>
      <c r="S859" s="44"/>
      <c r="T859" s="44"/>
      <c r="U859" s="44"/>
      <c r="V859" s="44"/>
      <c r="W859" s="44"/>
      <c r="X859" s="44"/>
      <c r="Y859" s="44"/>
      <c r="Z859" s="44"/>
      <c r="AA859" s="44"/>
      <c r="AB859" s="44"/>
      <c r="AC859" s="44"/>
      <c r="AD859" s="44"/>
      <c r="AE859" s="44"/>
      <c r="AF859" s="44"/>
      <c r="AG859" s="44"/>
      <c r="AH859" s="44"/>
      <c r="AI859" s="44"/>
      <c r="AJ859" s="44"/>
      <c r="AK859" s="44"/>
      <c r="AL859" s="44"/>
      <c r="AM859" s="44"/>
      <c r="AN859" s="44"/>
    </row>
    <row r="860" spans="1:40" ht="16.5" customHeight="1">
      <c r="A860" s="44"/>
      <c r="B860" s="44"/>
      <c r="C860" s="44"/>
      <c r="D860" s="172"/>
      <c r="E860" s="44"/>
      <c r="F860" s="44"/>
      <c r="G860" s="44"/>
      <c r="H860" s="44"/>
      <c r="I860" s="44"/>
      <c r="J860" s="44"/>
      <c r="K860" s="53"/>
      <c r="L860" s="44"/>
      <c r="M860" s="44"/>
      <c r="N860" s="44"/>
      <c r="O860" s="44"/>
      <c r="P860" s="44"/>
      <c r="Q860" s="44"/>
      <c r="R860" s="44"/>
      <c r="S860" s="44"/>
      <c r="T860" s="44"/>
      <c r="U860" s="44"/>
      <c r="V860" s="44"/>
      <c r="W860" s="44"/>
      <c r="X860" s="44"/>
      <c r="Y860" s="44"/>
      <c r="Z860" s="44"/>
      <c r="AA860" s="44"/>
      <c r="AB860" s="44"/>
      <c r="AC860" s="44"/>
      <c r="AD860" s="44"/>
      <c r="AE860" s="44"/>
      <c r="AF860" s="44"/>
      <c r="AG860" s="44"/>
      <c r="AH860" s="44"/>
      <c r="AI860" s="44"/>
      <c r="AJ860" s="44"/>
      <c r="AK860" s="44"/>
      <c r="AL860" s="44"/>
      <c r="AM860" s="44"/>
      <c r="AN860" s="44"/>
    </row>
    <row r="861" spans="1:40" ht="16.5" customHeight="1">
      <c r="A861" s="44"/>
      <c r="B861" s="44"/>
      <c r="C861" s="44"/>
      <c r="D861" s="172"/>
      <c r="E861" s="44"/>
      <c r="F861" s="44"/>
      <c r="G861" s="44"/>
      <c r="H861" s="44"/>
      <c r="I861" s="44"/>
      <c r="J861" s="44"/>
      <c r="K861" s="53"/>
      <c r="L861" s="44"/>
      <c r="M861" s="44"/>
      <c r="N861" s="44"/>
      <c r="O861" s="44"/>
      <c r="P861" s="44"/>
      <c r="Q861" s="44"/>
      <c r="R861" s="44"/>
      <c r="S861" s="44"/>
      <c r="T861" s="44"/>
      <c r="U861" s="44"/>
      <c r="V861" s="44"/>
      <c r="W861" s="44"/>
      <c r="X861" s="44"/>
      <c r="Y861" s="44"/>
      <c r="Z861" s="44"/>
      <c r="AA861" s="44"/>
      <c r="AB861" s="44"/>
      <c r="AC861" s="44"/>
      <c r="AD861" s="44"/>
      <c r="AE861" s="44"/>
      <c r="AF861" s="44"/>
      <c r="AG861" s="44"/>
      <c r="AH861" s="44"/>
      <c r="AI861" s="44"/>
      <c r="AJ861" s="44"/>
      <c r="AK861" s="44"/>
      <c r="AL861" s="44"/>
      <c r="AM861" s="44"/>
      <c r="AN861" s="44"/>
    </row>
    <row r="862" spans="1:40" ht="16.5" customHeight="1">
      <c r="A862" s="44"/>
      <c r="B862" s="44"/>
      <c r="C862" s="44"/>
      <c r="D862" s="172"/>
      <c r="E862" s="44"/>
      <c r="F862" s="44"/>
      <c r="G862" s="44"/>
      <c r="H862" s="44"/>
      <c r="I862" s="44"/>
      <c r="J862" s="44"/>
      <c r="K862" s="53"/>
      <c r="L862" s="44"/>
      <c r="M862" s="44"/>
      <c r="N862" s="44"/>
      <c r="O862" s="44"/>
      <c r="P862" s="44"/>
      <c r="Q862" s="44"/>
      <c r="R862" s="44"/>
      <c r="S862" s="44"/>
      <c r="T862" s="44"/>
      <c r="U862" s="44"/>
      <c r="V862" s="44"/>
      <c r="W862" s="44"/>
      <c r="X862" s="44"/>
      <c r="Y862" s="44"/>
      <c r="Z862" s="44"/>
      <c r="AA862" s="44"/>
      <c r="AB862" s="44"/>
      <c r="AC862" s="44"/>
      <c r="AD862" s="44"/>
      <c r="AE862" s="44"/>
      <c r="AF862" s="44"/>
      <c r="AG862" s="44"/>
      <c r="AH862" s="44"/>
      <c r="AI862" s="44"/>
      <c r="AJ862" s="44"/>
      <c r="AK862" s="44"/>
      <c r="AL862" s="44"/>
      <c r="AM862" s="44"/>
      <c r="AN862" s="44"/>
    </row>
    <row r="863" spans="1:40" ht="16.5" customHeight="1">
      <c r="A863" s="44"/>
      <c r="B863" s="44"/>
      <c r="C863" s="44"/>
      <c r="D863" s="172"/>
      <c r="E863" s="44"/>
      <c r="F863" s="44"/>
      <c r="G863" s="44"/>
      <c r="H863" s="44"/>
      <c r="I863" s="44"/>
      <c r="J863" s="44"/>
      <c r="K863" s="53"/>
      <c r="L863" s="44"/>
      <c r="M863" s="44"/>
      <c r="N863" s="44"/>
      <c r="O863" s="44"/>
      <c r="P863" s="44"/>
      <c r="Q863" s="44"/>
      <c r="R863" s="44"/>
      <c r="S863" s="44"/>
      <c r="T863" s="44"/>
      <c r="U863" s="44"/>
      <c r="V863" s="44"/>
      <c r="W863" s="44"/>
      <c r="X863" s="44"/>
      <c r="Y863" s="44"/>
      <c r="Z863" s="44"/>
      <c r="AA863" s="44"/>
      <c r="AB863" s="44"/>
      <c r="AC863" s="44"/>
      <c r="AD863" s="44"/>
      <c r="AE863" s="44"/>
      <c r="AF863" s="44"/>
      <c r="AG863" s="44"/>
      <c r="AH863" s="44"/>
      <c r="AI863" s="44"/>
      <c r="AJ863" s="44"/>
      <c r="AK863" s="44"/>
      <c r="AL863" s="44"/>
      <c r="AM863" s="44"/>
      <c r="AN863" s="44"/>
    </row>
    <row r="864" spans="1:40" ht="16.5" customHeight="1">
      <c r="A864" s="44"/>
      <c r="B864" s="44"/>
      <c r="C864" s="44"/>
      <c r="D864" s="172"/>
      <c r="E864" s="44"/>
      <c r="F864" s="44"/>
      <c r="G864" s="44"/>
      <c r="H864" s="44"/>
      <c r="I864" s="44"/>
      <c r="J864" s="44"/>
      <c r="K864" s="53"/>
      <c r="L864" s="44"/>
      <c r="M864" s="44"/>
      <c r="N864" s="44"/>
      <c r="O864" s="44"/>
      <c r="P864" s="44"/>
      <c r="Q864" s="44"/>
      <c r="R864" s="44"/>
      <c r="S864" s="44"/>
      <c r="T864" s="44"/>
      <c r="U864" s="44"/>
      <c r="V864" s="44"/>
      <c r="W864" s="44"/>
      <c r="X864" s="44"/>
      <c r="Y864" s="44"/>
      <c r="Z864" s="44"/>
      <c r="AA864" s="44"/>
      <c r="AB864" s="44"/>
      <c r="AC864" s="44"/>
      <c r="AD864" s="44"/>
      <c r="AE864" s="44"/>
      <c r="AF864" s="44"/>
      <c r="AG864" s="44"/>
      <c r="AH864" s="44"/>
      <c r="AI864" s="44"/>
      <c r="AJ864" s="44"/>
      <c r="AK864" s="44"/>
      <c r="AL864" s="44"/>
      <c r="AM864" s="44"/>
      <c r="AN864" s="44"/>
    </row>
    <row r="865" spans="1:40" ht="16.5" customHeight="1">
      <c r="A865" s="44"/>
      <c r="B865" s="44"/>
      <c r="C865" s="44"/>
      <c r="D865" s="172"/>
      <c r="E865" s="44"/>
      <c r="F865" s="44"/>
      <c r="G865" s="44"/>
      <c r="H865" s="44"/>
      <c r="I865" s="44"/>
      <c r="J865" s="44"/>
      <c r="K865" s="53"/>
      <c r="L865" s="44"/>
      <c r="M865" s="44"/>
      <c r="N865" s="44"/>
      <c r="O865" s="44"/>
      <c r="P865" s="44"/>
      <c r="Q865" s="44"/>
      <c r="R865" s="44"/>
      <c r="S865" s="44"/>
      <c r="T865" s="44"/>
      <c r="U865" s="44"/>
      <c r="V865" s="44"/>
      <c r="W865" s="44"/>
      <c r="X865" s="44"/>
      <c r="Y865" s="44"/>
      <c r="Z865" s="44"/>
      <c r="AA865" s="44"/>
      <c r="AB865" s="44"/>
      <c r="AC865" s="44"/>
      <c r="AD865" s="44"/>
      <c r="AE865" s="44"/>
      <c r="AF865" s="44"/>
      <c r="AG865" s="44"/>
      <c r="AH865" s="44"/>
      <c r="AI865" s="44"/>
      <c r="AJ865" s="44"/>
      <c r="AK865" s="44"/>
      <c r="AL865" s="44"/>
      <c r="AM865" s="44"/>
      <c r="AN865" s="44"/>
    </row>
    <row r="866" spans="1:40" ht="16.5" customHeight="1">
      <c r="A866" s="44"/>
      <c r="B866" s="44"/>
      <c r="C866" s="44"/>
      <c r="D866" s="172"/>
      <c r="E866" s="44"/>
      <c r="F866" s="44"/>
      <c r="G866" s="44"/>
      <c r="H866" s="44"/>
      <c r="I866" s="44"/>
      <c r="J866" s="44"/>
      <c r="K866" s="53"/>
      <c r="L866" s="44"/>
      <c r="M866" s="44"/>
      <c r="N866" s="44"/>
      <c r="O866" s="44"/>
      <c r="P866" s="44"/>
      <c r="Q866" s="44"/>
      <c r="R866" s="44"/>
      <c r="S866" s="44"/>
      <c r="T866" s="44"/>
      <c r="U866" s="44"/>
      <c r="V866" s="44"/>
      <c r="W866" s="44"/>
      <c r="X866" s="44"/>
      <c r="Y866" s="44"/>
      <c r="Z866" s="44"/>
      <c r="AA866" s="44"/>
      <c r="AB866" s="44"/>
      <c r="AC866" s="44"/>
      <c r="AD866" s="44"/>
      <c r="AE866" s="44"/>
      <c r="AF866" s="44"/>
      <c r="AG866" s="44"/>
      <c r="AH866" s="44"/>
      <c r="AI866" s="44"/>
      <c r="AJ866" s="44"/>
      <c r="AK866" s="44"/>
      <c r="AL866" s="44"/>
      <c r="AM866" s="44"/>
      <c r="AN866" s="44"/>
    </row>
    <row r="867" spans="1:40" ht="16.5" customHeight="1">
      <c r="A867" s="44"/>
      <c r="B867" s="44"/>
      <c r="C867" s="44"/>
      <c r="D867" s="172"/>
      <c r="E867" s="44"/>
      <c r="F867" s="44"/>
      <c r="G867" s="44"/>
      <c r="H867" s="44"/>
      <c r="I867" s="44"/>
      <c r="J867" s="44"/>
      <c r="K867" s="53"/>
      <c r="L867" s="44"/>
      <c r="M867" s="44"/>
      <c r="N867" s="44"/>
      <c r="O867" s="44"/>
      <c r="P867" s="44"/>
      <c r="Q867" s="44"/>
      <c r="R867" s="44"/>
      <c r="S867" s="44"/>
      <c r="T867" s="44"/>
      <c r="U867" s="44"/>
      <c r="V867" s="44"/>
      <c r="W867" s="44"/>
      <c r="X867" s="44"/>
      <c r="Y867" s="44"/>
      <c r="Z867" s="44"/>
      <c r="AA867" s="44"/>
      <c r="AB867" s="44"/>
      <c r="AC867" s="44"/>
      <c r="AD867" s="44"/>
      <c r="AE867" s="44"/>
      <c r="AF867" s="44"/>
      <c r="AG867" s="44"/>
      <c r="AH867" s="44"/>
      <c r="AI867" s="44"/>
      <c r="AJ867" s="44"/>
      <c r="AK867" s="44"/>
      <c r="AL867" s="44"/>
      <c r="AM867" s="44"/>
      <c r="AN867" s="44"/>
    </row>
    <row r="868" spans="1:40" ht="16.5" customHeight="1">
      <c r="A868" s="44"/>
      <c r="B868" s="44"/>
      <c r="C868" s="44"/>
      <c r="D868" s="172"/>
      <c r="E868" s="44"/>
      <c r="F868" s="44"/>
      <c r="G868" s="44"/>
      <c r="H868" s="44"/>
      <c r="I868" s="44"/>
      <c r="J868" s="44"/>
      <c r="K868" s="53"/>
      <c r="L868" s="44"/>
      <c r="M868" s="44"/>
      <c r="N868" s="44"/>
      <c r="O868" s="44"/>
      <c r="P868" s="44"/>
      <c r="Q868" s="44"/>
      <c r="R868" s="44"/>
      <c r="S868" s="44"/>
      <c r="T868" s="44"/>
      <c r="U868" s="44"/>
      <c r="V868" s="44"/>
      <c r="W868" s="44"/>
      <c r="X868" s="44"/>
      <c r="Y868" s="44"/>
      <c r="Z868" s="44"/>
      <c r="AA868" s="44"/>
      <c r="AB868" s="44"/>
      <c r="AC868" s="44"/>
      <c r="AD868" s="44"/>
      <c r="AE868" s="44"/>
      <c r="AF868" s="44"/>
      <c r="AG868" s="44"/>
      <c r="AH868" s="44"/>
      <c r="AI868" s="44"/>
      <c r="AJ868" s="44"/>
      <c r="AK868" s="44"/>
      <c r="AL868" s="44"/>
      <c r="AM868" s="44"/>
      <c r="AN868" s="44"/>
    </row>
    <row r="869" spans="1:40" ht="16.5" customHeight="1">
      <c r="A869" s="44"/>
      <c r="B869" s="44"/>
      <c r="C869" s="44"/>
      <c r="D869" s="172"/>
      <c r="E869" s="44"/>
      <c r="F869" s="44"/>
      <c r="G869" s="44"/>
      <c r="H869" s="44"/>
      <c r="I869" s="44"/>
      <c r="J869" s="44"/>
      <c r="K869" s="53"/>
      <c r="L869" s="44"/>
      <c r="M869" s="44"/>
      <c r="N869" s="44"/>
      <c r="O869" s="44"/>
      <c r="P869" s="44"/>
      <c r="Q869" s="44"/>
      <c r="R869" s="44"/>
      <c r="S869" s="44"/>
      <c r="T869" s="44"/>
      <c r="U869" s="44"/>
      <c r="V869" s="44"/>
      <c r="W869" s="44"/>
      <c r="X869" s="44"/>
      <c r="Y869" s="44"/>
      <c r="Z869" s="44"/>
      <c r="AA869" s="44"/>
      <c r="AB869" s="44"/>
      <c r="AC869" s="44"/>
      <c r="AD869" s="44"/>
      <c r="AE869" s="44"/>
      <c r="AF869" s="44"/>
      <c r="AG869" s="44"/>
      <c r="AH869" s="44"/>
      <c r="AI869" s="44"/>
      <c r="AJ869" s="44"/>
      <c r="AK869" s="44"/>
      <c r="AL869" s="44"/>
      <c r="AM869" s="44"/>
      <c r="AN869" s="44"/>
    </row>
    <row r="870" spans="1:40" ht="16.5" customHeight="1">
      <c r="A870" s="44"/>
      <c r="B870" s="44"/>
      <c r="C870" s="44"/>
      <c r="D870" s="172"/>
      <c r="E870" s="44"/>
      <c r="F870" s="44"/>
      <c r="G870" s="44"/>
      <c r="H870" s="44"/>
      <c r="I870" s="44"/>
      <c r="J870" s="44"/>
      <c r="K870" s="53"/>
      <c r="L870" s="44"/>
      <c r="M870" s="44"/>
      <c r="N870" s="44"/>
      <c r="O870" s="44"/>
      <c r="P870" s="44"/>
      <c r="Q870" s="44"/>
      <c r="R870" s="44"/>
      <c r="S870" s="44"/>
      <c r="T870" s="44"/>
      <c r="U870" s="44"/>
      <c r="V870" s="44"/>
      <c r="W870" s="44"/>
      <c r="X870" s="44"/>
      <c r="Y870" s="44"/>
      <c r="Z870" s="44"/>
      <c r="AA870" s="44"/>
      <c r="AB870" s="44"/>
      <c r="AC870" s="44"/>
      <c r="AD870" s="44"/>
      <c r="AE870" s="44"/>
      <c r="AF870" s="44"/>
      <c r="AG870" s="44"/>
      <c r="AH870" s="44"/>
      <c r="AI870" s="44"/>
      <c r="AJ870" s="44"/>
      <c r="AK870" s="44"/>
      <c r="AL870" s="44"/>
      <c r="AM870" s="44"/>
      <c r="AN870" s="44"/>
    </row>
    <row r="871" spans="1:40" ht="16.5" customHeight="1">
      <c r="A871" s="44"/>
      <c r="B871" s="44"/>
      <c r="C871" s="44"/>
      <c r="D871" s="172"/>
      <c r="E871" s="44"/>
      <c r="F871" s="44"/>
      <c r="G871" s="44"/>
      <c r="H871" s="44"/>
      <c r="I871" s="44"/>
      <c r="J871" s="44"/>
      <c r="K871" s="53"/>
      <c r="L871" s="44"/>
      <c r="M871" s="44"/>
      <c r="N871" s="44"/>
      <c r="O871" s="44"/>
      <c r="P871" s="44"/>
      <c r="Q871" s="44"/>
      <c r="R871" s="44"/>
      <c r="S871" s="44"/>
      <c r="T871" s="44"/>
      <c r="U871" s="44"/>
      <c r="V871" s="44"/>
      <c r="W871" s="44"/>
      <c r="X871" s="44"/>
      <c r="Y871" s="44"/>
      <c r="Z871" s="44"/>
      <c r="AA871" s="44"/>
      <c r="AB871" s="44"/>
      <c r="AC871" s="44"/>
      <c r="AD871" s="44"/>
      <c r="AE871" s="44"/>
      <c r="AF871" s="44"/>
      <c r="AG871" s="44"/>
      <c r="AH871" s="44"/>
      <c r="AI871" s="44"/>
      <c r="AJ871" s="44"/>
      <c r="AK871" s="44"/>
      <c r="AL871" s="44"/>
      <c r="AM871" s="44"/>
      <c r="AN871" s="44"/>
    </row>
    <row r="872" spans="1:40" ht="16.5" customHeight="1">
      <c r="A872" s="44"/>
      <c r="B872" s="44"/>
      <c r="C872" s="44"/>
      <c r="D872" s="172"/>
      <c r="E872" s="44"/>
      <c r="F872" s="44"/>
      <c r="G872" s="44"/>
      <c r="H872" s="44"/>
      <c r="I872" s="44"/>
      <c r="J872" s="44"/>
      <c r="K872" s="53"/>
      <c r="L872" s="44"/>
      <c r="M872" s="44"/>
      <c r="N872" s="44"/>
      <c r="O872" s="44"/>
      <c r="P872" s="44"/>
      <c r="Q872" s="44"/>
      <c r="R872" s="44"/>
      <c r="S872" s="44"/>
      <c r="T872" s="44"/>
      <c r="U872" s="44"/>
      <c r="V872" s="44"/>
      <c r="W872" s="44"/>
      <c r="X872" s="44"/>
      <c r="Y872" s="44"/>
      <c r="Z872" s="44"/>
      <c r="AA872" s="44"/>
      <c r="AB872" s="44"/>
      <c r="AC872" s="44"/>
      <c r="AD872" s="44"/>
      <c r="AE872" s="44"/>
      <c r="AF872" s="44"/>
      <c r="AG872" s="44"/>
      <c r="AH872" s="44"/>
      <c r="AI872" s="44"/>
      <c r="AJ872" s="44"/>
      <c r="AK872" s="44"/>
      <c r="AL872" s="44"/>
      <c r="AM872" s="44"/>
      <c r="AN872" s="44"/>
    </row>
    <row r="873" spans="1:40" ht="16.5" customHeight="1">
      <c r="A873" s="44"/>
      <c r="B873" s="44"/>
      <c r="C873" s="44"/>
      <c r="D873" s="172"/>
      <c r="E873" s="44"/>
      <c r="F873" s="44"/>
      <c r="G873" s="44"/>
      <c r="H873" s="44"/>
      <c r="I873" s="44"/>
      <c r="J873" s="44"/>
      <c r="K873" s="53"/>
      <c r="L873" s="44"/>
      <c r="M873" s="44"/>
      <c r="N873" s="44"/>
      <c r="O873" s="44"/>
      <c r="P873" s="44"/>
      <c r="Q873" s="44"/>
      <c r="R873" s="44"/>
      <c r="S873" s="44"/>
      <c r="T873" s="44"/>
      <c r="U873" s="44"/>
      <c r="V873" s="44"/>
      <c r="W873" s="44"/>
      <c r="X873" s="44"/>
      <c r="Y873" s="44"/>
      <c r="Z873" s="44"/>
      <c r="AA873" s="44"/>
      <c r="AB873" s="44"/>
      <c r="AC873" s="44"/>
      <c r="AD873" s="44"/>
      <c r="AE873" s="44"/>
      <c r="AF873" s="44"/>
      <c r="AG873" s="44"/>
      <c r="AH873" s="44"/>
      <c r="AI873" s="44"/>
      <c r="AJ873" s="44"/>
      <c r="AK873" s="44"/>
      <c r="AL873" s="44"/>
      <c r="AM873" s="44"/>
      <c r="AN873" s="44"/>
    </row>
    <row r="874" spans="1:40" ht="16.5" customHeight="1">
      <c r="A874" s="44"/>
      <c r="B874" s="44"/>
      <c r="C874" s="44"/>
      <c r="D874" s="172"/>
      <c r="E874" s="44"/>
      <c r="F874" s="44"/>
      <c r="G874" s="44"/>
      <c r="H874" s="44"/>
      <c r="I874" s="44"/>
      <c r="J874" s="44"/>
      <c r="K874" s="53"/>
      <c r="L874" s="44"/>
      <c r="M874" s="44"/>
      <c r="N874" s="44"/>
      <c r="O874" s="44"/>
      <c r="P874" s="44"/>
      <c r="Q874" s="44"/>
      <c r="R874" s="44"/>
      <c r="S874" s="44"/>
      <c r="T874" s="44"/>
      <c r="U874" s="44"/>
      <c r="V874" s="44"/>
      <c r="W874" s="44"/>
      <c r="X874" s="44"/>
      <c r="Y874" s="44"/>
      <c r="Z874" s="44"/>
      <c r="AA874" s="44"/>
      <c r="AB874" s="44"/>
      <c r="AC874" s="44"/>
      <c r="AD874" s="44"/>
      <c r="AE874" s="44"/>
      <c r="AF874" s="44"/>
      <c r="AG874" s="44"/>
      <c r="AH874" s="44"/>
      <c r="AI874" s="44"/>
      <c r="AJ874" s="44"/>
      <c r="AK874" s="44"/>
      <c r="AL874" s="44"/>
      <c r="AM874" s="44"/>
      <c r="AN874" s="44"/>
    </row>
    <row r="875" spans="1:40" ht="16.5" customHeight="1">
      <c r="A875" s="44"/>
      <c r="B875" s="44"/>
      <c r="C875" s="44"/>
      <c r="D875" s="172"/>
      <c r="E875" s="44"/>
      <c r="F875" s="44"/>
      <c r="G875" s="44"/>
      <c r="H875" s="44"/>
      <c r="I875" s="44"/>
      <c r="J875" s="44"/>
      <c r="K875" s="53"/>
      <c r="L875" s="44"/>
      <c r="M875" s="44"/>
      <c r="N875" s="44"/>
      <c r="O875" s="44"/>
      <c r="P875" s="44"/>
      <c r="Q875" s="44"/>
      <c r="R875" s="44"/>
      <c r="S875" s="44"/>
      <c r="T875" s="44"/>
      <c r="U875" s="44"/>
      <c r="V875" s="44"/>
      <c r="W875" s="44"/>
      <c r="X875" s="44"/>
      <c r="Y875" s="44"/>
      <c r="Z875" s="44"/>
      <c r="AA875" s="44"/>
      <c r="AB875" s="44"/>
      <c r="AC875" s="44"/>
      <c r="AD875" s="44"/>
      <c r="AE875" s="44"/>
      <c r="AF875" s="44"/>
      <c r="AG875" s="44"/>
      <c r="AH875" s="44"/>
      <c r="AI875" s="44"/>
      <c r="AJ875" s="44"/>
      <c r="AK875" s="44"/>
      <c r="AL875" s="44"/>
      <c r="AM875" s="44"/>
      <c r="AN875" s="44"/>
    </row>
    <row r="876" spans="1:40" ht="16.5" customHeight="1">
      <c r="A876" s="44"/>
      <c r="B876" s="44"/>
      <c r="C876" s="44"/>
      <c r="D876" s="172"/>
      <c r="E876" s="44"/>
      <c r="F876" s="44"/>
      <c r="G876" s="44"/>
      <c r="H876" s="44"/>
      <c r="I876" s="44"/>
      <c r="J876" s="44"/>
      <c r="K876" s="53"/>
      <c r="L876" s="44"/>
      <c r="M876" s="44"/>
      <c r="N876" s="44"/>
      <c r="O876" s="44"/>
      <c r="P876" s="44"/>
      <c r="Q876" s="44"/>
      <c r="R876" s="44"/>
      <c r="S876" s="44"/>
      <c r="T876" s="44"/>
      <c r="U876" s="44"/>
      <c r="V876" s="44"/>
      <c r="W876" s="44"/>
      <c r="X876" s="44"/>
      <c r="Y876" s="44"/>
      <c r="Z876" s="44"/>
      <c r="AA876" s="44"/>
      <c r="AB876" s="44"/>
      <c r="AC876" s="44"/>
      <c r="AD876" s="44"/>
      <c r="AE876" s="44"/>
      <c r="AF876" s="44"/>
      <c r="AG876" s="44"/>
      <c r="AH876" s="44"/>
      <c r="AI876" s="44"/>
      <c r="AJ876" s="44"/>
      <c r="AK876" s="44"/>
      <c r="AL876" s="44"/>
      <c r="AM876" s="44"/>
      <c r="AN876" s="44"/>
    </row>
    <row r="877" spans="1:40" ht="16.5" customHeight="1">
      <c r="A877" s="44"/>
      <c r="B877" s="44"/>
      <c r="C877" s="44"/>
      <c r="D877" s="172"/>
      <c r="E877" s="44"/>
      <c r="F877" s="44"/>
      <c r="G877" s="44"/>
      <c r="H877" s="44"/>
      <c r="I877" s="44"/>
      <c r="J877" s="44"/>
      <c r="K877" s="53"/>
      <c r="L877" s="44"/>
      <c r="M877" s="44"/>
      <c r="N877" s="44"/>
      <c r="O877" s="44"/>
      <c r="P877" s="44"/>
      <c r="Q877" s="44"/>
      <c r="R877" s="44"/>
      <c r="S877" s="44"/>
      <c r="T877" s="44"/>
      <c r="U877" s="44"/>
      <c r="V877" s="44"/>
      <c r="W877" s="44"/>
      <c r="X877" s="44"/>
      <c r="Y877" s="44"/>
      <c r="Z877" s="44"/>
      <c r="AA877" s="44"/>
      <c r="AB877" s="44"/>
      <c r="AC877" s="44"/>
      <c r="AD877" s="44"/>
      <c r="AE877" s="44"/>
      <c r="AF877" s="44"/>
      <c r="AG877" s="44"/>
      <c r="AH877" s="44"/>
      <c r="AI877" s="44"/>
      <c r="AJ877" s="44"/>
      <c r="AK877" s="44"/>
      <c r="AL877" s="44"/>
      <c r="AM877" s="44"/>
      <c r="AN877" s="44"/>
    </row>
    <row r="878" spans="1:40" ht="16.5" customHeight="1">
      <c r="A878" s="44"/>
      <c r="B878" s="44"/>
      <c r="C878" s="44"/>
      <c r="D878" s="172"/>
      <c r="E878" s="44"/>
      <c r="F878" s="44"/>
      <c r="G878" s="44"/>
      <c r="H878" s="44"/>
      <c r="I878" s="44"/>
      <c r="J878" s="44"/>
      <c r="K878" s="53"/>
      <c r="L878" s="44"/>
      <c r="M878" s="44"/>
      <c r="N878" s="44"/>
      <c r="O878" s="44"/>
      <c r="P878" s="44"/>
      <c r="Q878" s="44"/>
      <c r="R878" s="44"/>
      <c r="S878" s="44"/>
      <c r="T878" s="44"/>
      <c r="U878" s="44"/>
      <c r="V878" s="44"/>
      <c r="W878" s="44"/>
      <c r="X878" s="44"/>
      <c r="Y878" s="44"/>
      <c r="Z878" s="44"/>
      <c r="AA878" s="44"/>
      <c r="AB878" s="44"/>
      <c r="AC878" s="44"/>
      <c r="AD878" s="44"/>
      <c r="AE878" s="44"/>
      <c r="AF878" s="44"/>
      <c r="AG878" s="44"/>
      <c r="AH878" s="44"/>
      <c r="AI878" s="44"/>
      <c r="AJ878" s="44"/>
      <c r="AK878" s="44"/>
      <c r="AL878" s="44"/>
      <c r="AM878" s="44"/>
      <c r="AN878" s="44"/>
    </row>
    <row r="879" spans="1:40" ht="16.5" customHeight="1">
      <c r="A879" s="44"/>
      <c r="B879" s="44"/>
      <c r="C879" s="44"/>
      <c r="D879" s="172"/>
      <c r="E879" s="44"/>
      <c r="F879" s="44"/>
      <c r="G879" s="44"/>
      <c r="H879" s="44"/>
      <c r="I879" s="44"/>
      <c r="J879" s="44"/>
      <c r="K879" s="53"/>
      <c r="L879" s="44"/>
      <c r="M879" s="44"/>
      <c r="N879" s="44"/>
      <c r="O879" s="44"/>
      <c r="P879" s="44"/>
      <c r="Q879" s="44"/>
      <c r="R879" s="44"/>
      <c r="S879" s="44"/>
      <c r="T879" s="44"/>
      <c r="U879" s="44"/>
      <c r="V879" s="44"/>
      <c r="W879" s="44"/>
      <c r="X879" s="44"/>
      <c r="Y879" s="44"/>
      <c r="Z879" s="44"/>
      <c r="AA879" s="44"/>
      <c r="AB879" s="44"/>
      <c r="AC879" s="44"/>
      <c r="AD879" s="44"/>
      <c r="AE879" s="44"/>
      <c r="AF879" s="44"/>
      <c r="AG879" s="44"/>
      <c r="AH879" s="44"/>
      <c r="AI879" s="44"/>
      <c r="AJ879" s="44"/>
      <c r="AK879" s="44"/>
      <c r="AL879" s="44"/>
      <c r="AM879" s="44"/>
      <c r="AN879" s="44"/>
    </row>
    <row r="880" spans="1:40" ht="16.5" customHeight="1">
      <c r="A880" s="44"/>
      <c r="B880" s="44"/>
      <c r="C880" s="44"/>
      <c r="D880" s="172"/>
      <c r="E880" s="44"/>
      <c r="F880" s="44"/>
      <c r="G880" s="44"/>
      <c r="H880" s="44"/>
      <c r="I880" s="44"/>
      <c r="J880" s="44"/>
      <c r="K880" s="53"/>
      <c r="L880" s="44"/>
      <c r="M880" s="44"/>
      <c r="N880" s="44"/>
      <c r="O880" s="44"/>
      <c r="P880" s="44"/>
      <c r="Q880" s="44"/>
      <c r="R880" s="44"/>
      <c r="S880" s="44"/>
      <c r="T880" s="44"/>
      <c r="U880" s="44"/>
      <c r="V880" s="44"/>
      <c r="W880" s="44"/>
      <c r="X880" s="44"/>
      <c r="Y880" s="44"/>
      <c r="Z880" s="44"/>
      <c r="AA880" s="44"/>
      <c r="AB880" s="44"/>
      <c r="AC880" s="44"/>
      <c r="AD880" s="44"/>
      <c r="AE880" s="44"/>
      <c r="AF880" s="44"/>
      <c r="AG880" s="44"/>
      <c r="AH880" s="44"/>
      <c r="AI880" s="44"/>
      <c r="AJ880" s="44"/>
      <c r="AK880" s="44"/>
      <c r="AL880" s="44"/>
      <c r="AM880" s="44"/>
      <c r="AN880" s="44"/>
    </row>
    <row r="881" spans="1:40" ht="16.5" customHeight="1">
      <c r="A881" s="44"/>
      <c r="B881" s="44"/>
      <c r="C881" s="44"/>
      <c r="D881" s="172"/>
      <c r="E881" s="44"/>
      <c r="F881" s="44"/>
      <c r="G881" s="44"/>
      <c r="H881" s="44"/>
      <c r="I881" s="44"/>
      <c r="J881" s="44"/>
      <c r="K881" s="53"/>
      <c r="L881" s="44"/>
      <c r="M881" s="44"/>
      <c r="N881" s="44"/>
      <c r="O881" s="44"/>
      <c r="P881" s="44"/>
      <c r="Q881" s="44"/>
      <c r="R881" s="44"/>
      <c r="S881" s="44"/>
      <c r="T881" s="44"/>
      <c r="U881" s="44"/>
      <c r="V881" s="44"/>
      <c r="W881" s="44"/>
      <c r="X881" s="44"/>
      <c r="Y881" s="44"/>
      <c r="Z881" s="44"/>
      <c r="AA881" s="44"/>
      <c r="AB881" s="44"/>
      <c r="AC881" s="44"/>
      <c r="AD881" s="44"/>
      <c r="AE881" s="44"/>
      <c r="AF881" s="44"/>
      <c r="AG881" s="44"/>
      <c r="AH881" s="44"/>
      <c r="AI881" s="44"/>
      <c r="AJ881" s="44"/>
      <c r="AK881" s="44"/>
      <c r="AL881" s="44"/>
      <c r="AM881" s="44"/>
      <c r="AN881" s="44"/>
    </row>
    <row r="882" spans="1:40" ht="16.5" customHeight="1">
      <c r="A882" s="44"/>
      <c r="B882" s="44"/>
      <c r="C882" s="44"/>
      <c r="D882" s="172"/>
      <c r="E882" s="44"/>
      <c r="F882" s="44"/>
      <c r="G882" s="44"/>
      <c r="H882" s="44"/>
      <c r="I882" s="44"/>
      <c r="J882" s="44"/>
      <c r="K882" s="53"/>
      <c r="L882" s="44"/>
      <c r="M882" s="44"/>
      <c r="N882" s="44"/>
      <c r="O882" s="44"/>
      <c r="P882" s="44"/>
      <c r="Q882" s="44"/>
      <c r="R882" s="44"/>
      <c r="S882" s="44"/>
      <c r="T882" s="44"/>
      <c r="U882" s="44"/>
      <c r="V882" s="44"/>
      <c r="W882" s="44"/>
      <c r="X882" s="44"/>
      <c r="Y882" s="44"/>
      <c r="Z882" s="44"/>
      <c r="AA882" s="44"/>
      <c r="AB882" s="44"/>
      <c r="AC882" s="44"/>
      <c r="AD882" s="44"/>
      <c r="AE882" s="44"/>
      <c r="AF882" s="44"/>
      <c r="AG882" s="44"/>
      <c r="AH882" s="44"/>
      <c r="AI882" s="44"/>
      <c r="AJ882" s="44"/>
      <c r="AK882" s="44"/>
      <c r="AL882" s="44"/>
      <c r="AM882" s="44"/>
      <c r="AN882" s="44"/>
    </row>
    <row r="883" spans="1:40" ht="16.5" customHeight="1">
      <c r="A883" s="44"/>
      <c r="B883" s="44"/>
      <c r="C883" s="44"/>
      <c r="D883" s="172"/>
      <c r="E883" s="44"/>
      <c r="F883" s="44"/>
      <c r="G883" s="44"/>
      <c r="H883" s="44"/>
      <c r="I883" s="44"/>
      <c r="J883" s="44"/>
      <c r="K883" s="53"/>
      <c r="L883" s="44"/>
      <c r="M883" s="44"/>
      <c r="N883" s="44"/>
      <c r="O883" s="44"/>
      <c r="P883" s="44"/>
      <c r="Q883" s="44"/>
      <c r="R883" s="44"/>
      <c r="S883" s="44"/>
      <c r="T883" s="44"/>
      <c r="U883" s="44"/>
      <c r="V883" s="44"/>
      <c r="W883" s="44"/>
      <c r="X883" s="44"/>
      <c r="Y883" s="44"/>
      <c r="Z883" s="44"/>
      <c r="AA883" s="44"/>
      <c r="AB883" s="44"/>
      <c r="AC883" s="44"/>
      <c r="AD883" s="44"/>
      <c r="AE883" s="44"/>
      <c r="AF883" s="44"/>
      <c r="AG883" s="44"/>
      <c r="AH883" s="44"/>
      <c r="AI883" s="44"/>
      <c r="AJ883" s="44"/>
      <c r="AK883" s="44"/>
      <c r="AL883" s="44"/>
      <c r="AM883" s="44"/>
      <c r="AN883" s="44"/>
    </row>
    <row r="884" spans="1:40" ht="16.5" customHeight="1">
      <c r="A884" s="44"/>
      <c r="B884" s="44"/>
      <c r="C884" s="44"/>
      <c r="D884" s="172"/>
      <c r="E884" s="44"/>
      <c r="F884" s="44"/>
      <c r="G884" s="44"/>
      <c r="H884" s="44"/>
      <c r="I884" s="44"/>
      <c r="J884" s="44"/>
      <c r="K884" s="53"/>
      <c r="L884" s="44"/>
      <c r="M884" s="44"/>
      <c r="N884" s="44"/>
      <c r="O884" s="44"/>
      <c r="P884" s="44"/>
      <c r="Q884" s="44"/>
      <c r="R884" s="44"/>
      <c r="S884" s="44"/>
      <c r="T884" s="44"/>
      <c r="U884" s="44"/>
      <c r="V884" s="44"/>
      <c r="W884" s="44"/>
      <c r="X884" s="44"/>
      <c r="Y884" s="44"/>
      <c r="Z884" s="44"/>
      <c r="AA884" s="44"/>
      <c r="AB884" s="44"/>
      <c r="AC884" s="44"/>
      <c r="AD884" s="44"/>
      <c r="AE884" s="44"/>
      <c r="AF884" s="44"/>
      <c r="AG884" s="44"/>
      <c r="AH884" s="44"/>
      <c r="AI884" s="44"/>
      <c r="AJ884" s="44"/>
      <c r="AK884" s="44"/>
      <c r="AL884" s="44"/>
      <c r="AM884" s="44"/>
      <c r="AN884" s="44"/>
    </row>
    <row r="885" spans="1:40" ht="16.5" customHeight="1">
      <c r="A885" s="44"/>
      <c r="B885" s="44"/>
      <c r="C885" s="44"/>
      <c r="D885" s="172"/>
      <c r="E885" s="44"/>
      <c r="F885" s="44"/>
      <c r="G885" s="44"/>
      <c r="H885" s="44"/>
      <c r="I885" s="44"/>
      <c r="J885" s="44"/>
      <c r="K885" s="53"/>
      <c r="L885" s="44"/>
      <c r="M885" s="44"/>
      <c r="N885" s="44"/>
      <c r="O885" s="44"/>
      <c r="P885" s="44"/>
      <c r="Q885" s="44"/>
      <c r="R885" s="44"/>
      <c r="S885" s="44"/>
      <c r="T885" s="44"/>
      <c r="U885" s="44"/>
      <c r="V885" s="44"/>
      <c r="W885" s="44"/>
      <c r="X885" s="44"/>
      <c r="Y885" s="44"/>
      <c r="Z885" s="44"/>
      <c r="AA885" s="44"/>
      <c r="AB885" s="44"/>
      <c r="AC885" s="44"/>
      <c r="AD885" s="44"/>
      <c r="AE885" s="44"/>
      <c r="AF885" s="44"/>
      <c r="AG885" s="44"/>
      <c r="AH885" s="44"/>
      <c r="AI885" s="44"/>
      <c r="AJ885" s="44"/>
      <c r="AK885" s="44"/>
      <c r="AL885" s="44"/>
      <c r="AM885" s="44"/>
      <c r="AN885" s="44"/>
    </row>
    <row r="886" spans="1:40" ht="16.5" customHeight="1">
      <c r="A886" s="44"/>
      <c r="B886" s="44"/>
      <c r="C886" s="44"/>
      <c r="D886" s="172"/>
      <c r="E886" s="44"/>
      <c r="F886" s="44"/>
      <c r="G886" s="44"/>
      <c r="H886" s="44"/>
      <c r="I886" s="44"/>
      <c r="J886" s="44"/>
      <c r="K886" s="53"/>
      <c r="L886" s="44"/>
      <c r="M886" s="44"/>
      <c r="N886" s="44"/>
      <c r="O886" s="44"/>
      <c r="P886" s="44"/>
      <c r="Q886" s="44"/>
      <c r="R886" s="44"/>
      <c r="S886" s="44"/>
      <c r="T886" s="44"/>
      <c r="U886" s="44"/>
      <c r="V886" s="44"/>
      <c r="W886" s="44"/>
      <c r="X886" s="44"/>
      <c r="Y886" s="44"/>
      <c r="Z886" s="44"/>
      <c r="AA886" s="44"/>
      <c r="AB886" s="44"/>
      <c r="AC886" s="44"/>
      <c r="AD886" s="44"/>
      <c r="AE886" s="44"/>
      <c r="AF886" s="44"/>
      <c r="AG886" s="44"/>
      <c r="AH886" s="44"/>
      <c r="AI886" s="44"/>
      <c r="AJ886" s="44"/>
      <c r="AK886" s="44"/>
      <c r="AL886" s="44"/>
      <c r="AM886" s="44"/>
      <c r="AN886" s="44"/>
    </row>
    <row r="887" spans="1:40" ht="16.5" customHeight="1">
      <c r="A887" s="44"/>
      <c r="B887" s="44"/>
      <c r="C887" s="44"/>
      <c r="D887" s="172"/>
      <c r="E887" s="44"/>
      <c r="F887" s="44"/>
      <c r="G887" s="44"/>
      <c r="H887" s="44"/>
      <c r="I887" s="44"/>
      <c r="J887" s="44"/>
      <c r="K887" s="53"/>
      <c r="L887" s="44"/>
      <c r="M887" s="44"/>
      <c r="N887" s="44"/>
      <c r="O887" s="44"/>
      <c r="P887" s="44"/>
      <c r="Q887" s="44"/>
      <c r="R887" s="44"/>
      <c r="S887" s="44"/>
      <c r="T887" s="44"/>
      <c r="U887" s="44"/>
      <c r="V887" s="44"/>
      <c r="W887" s="44"/>
      <c r="X887" s="44"/>
      <c r="Y887" s="44"/>
      <c r="Z887" s="44"/>
      <c r="AA887" s="44"/>
      <c r="AB887" s="44"/>
      <c r="AC887" s="44"/>
      <c r="AD887" s="44"/>
      <c r="AE887" s="44"/>
      <c r="AF887" s="44"/>
      <c r="AG887" s="44"/>
      <c r="AH887" s="44"/>
      <c r="AI887" s="44"/>
      <c r="AJ887" s="44"/>
      <c r="AK887" s="44"/>
      <c r="AL887" s="44"/>
      <c r="AM887" s="44"/>
      <c r="AN887" s="44"/>
    </row>
    <row r="888" spans="1:40" ht="16.5" customHeight="1">
      <c r="A888" s="44"/>
      <c r="B888" s="44"/>
      <c r="C888" s="44"/>
      <c r="D888" s="172"/>
      <c r="E888" s="44"/>
      <c r="F888" s="44"/>
      <c r="G888" s="44"/>
      <c r="H888" s="44"/>
      <c r="I888" s="44"/>
      <c r="J888" s="44"/>
      <c r="K888" s="53"/>
      <c r="L888" s="44"/>
      <c r="M888" s="44"/>
      <c r="N888" s="44"/>
      <c r="O888" s="44"/>
      <c r="P888" s="44"/>
      <c r="Q888" s="44"/>
      <c r="R888" s="44"/>
      <c r="S888" s="44"/>
      <c r="T888" s="44"/>
      <c r="U888" s="44"/>
      <c r="V888" s="44"/>
      <c r="W888" s="44"/>
      <c r="X888" s="44"/>
      <c r="Y888" s="44"/>
      <c r="Z888" s="44"/>
      <c r="AA888" s="44"/>
      <c r="AB888" s="44"/>
      <c r="AC888" s="44"/>
      <c r="AD888" s="44"/>
      <c r="AE888" s="44"/>
      <c r="AF888" s="44"/>
      <c r="AG888" s="44"/>
      <c r="AH888" s="44"/>
      <c r="AI888" s="44"/>
      <c r="AJ888" s="44"/>
      <c r="AK888" s="44"/>
      <c r="AL888" s="44"/>
      <c r="AM888" s="44"/>
      <c r="AN888" s="44"/>
    </row>
    <row r="889" spans="1:40" ht="16.5" customHeight="1">
      <c r="A889" s="44"/>
      <c r="B889" s="44"/>
      <c r="C889" s="44"/>
      <c r="D889" s="172"/>
      <c r="E889" s="44"/>
      <c r="F889" s="44"/>
      <c r="G889" s="44"/>
      <c r="H889" s="44"/>
      <c r="I889" s="44"/>
      <c r="J889" s="44"/>
      <c r="K889" s="53"/>
      <c r="L889" s="44"/>
      <c r="M889" s="44"/>
      <c r="N889" s="44"/>
      <c r="O889" s="44"/>
      <c r="P889" s="44"/>
      <c r="Q889" s="44"/>
      <c r="R889" s="44"/>
      <c r="S889" s="44"/>
      <c r="T889" s="44"/>
      <c r="U889" s="44"/>
      <c r="V889" s="44"/>
      <c r="W889" s="44"/>
      <c r="X889" s="44"/>
      <c r="Y889" s="44"/>
      <c r="Z889" s="44"/>
      <c r="AA889" s="44"/>
      <c r="AB889" s="44"/>
      <c r="AC889" s="44"/>
      <c r="AD889" s="44"/>
      <c r="AE889" s="44"/>
      <c r="AF889" s="44"/>
      <c r="AG889" s="44"/>
      <c r="AH889" s="44"/>
      <c r="AI889" s="44"/>
      <c r="AJ889" s="44"/>
      <c r="AK889" s="44"/>
      <c r="AL889" s="44"/>
      <c r="AM889" s="44"/>
      <c r="AN889" s="44"/>
    </row>
    <row r="890" spans="1:40" ht="16.5" customHeight="1">
      <c r="A890" s="44"/>
      <c r="B890" s="44"/>
      <c r="C890" s="44"/>
      <c r="D890" s="172"/>
      <c r="E890" s="44"/>
      <c r="F890" s="44"/>
      <c r="G890" s="44"/>
      <c r="H890" s="44"/>
      <c r="I890" s="44"/>
      <c r="J890" s="44"/>
      <c r="K890" s="53"/>
      <c r="L890" s="44"/>
      <c r="M890" s="44"/>
      <c r="N890" s="44"/>
      <c r="O890" s="44"/>
      <c r="P890" s="44"/>
      <c r="Q890" s="44"/>
      <c r="R890" s="44"/>
      <c r="S890" s="44"/>
      <c r="T890" s="44"/>
      <c r="U890" s="44"/>
      <c r="V890" s="44"/>
      <c r="W890" s="44"/>
      <c r="X890" s="44"/>
      <c r="Y890" s="44"/>
      <c r="Z890" s="44"/>
      <c r="AA890" s="44"/>
      <c r="AB890" s="44"/>
      <c r="AC890" s="44"/>
      <c r="AD890" s="44"/>
      <c r="AE890" s="44"/>
      <c r="AF890" s="44"/>
      <c r="AG890" s="44"/>
      <c r="AH890" s="44"/>
      <c r="AI890" s="44"/>
      <c r="AJ890" s="44"/>
      <c r="AK890" s="44"/>
      <c r="AL890" s="44"/>
      <c r="AM890" s="44"/>
      <c r="AN890" s="44"/>
    </row>
    <row r="891" spans="1:40" ht="16.5" customHeight="1">
      <c r="A891" s="44"/>
      <c r="B891" s="44"/>
      <c r="C891" s="44"/>
      <c r="D891" s="172"/>
      <c r="E891" s="44"/>
      <c r="F891" s="44"/>
      <c r="G891" s="44"/>
      <c r="H891" s="44"/>
      <c r="I891" s="44"/>
      <c r="J891" s="44"/>
      <c r="K891" s="53"/>
      <c r="L891" s="44"/>
      <c r="M891" s="44"/>
      <c r="N891" s="44"/>
      <c r="O891" s="44"/>
      <c r="P891" s="44"/>
      <c r="Q891" s="44"/>
      <c r="R891" s="44"/>
      <c r="S891" s="44"/>
      <c r="T891" s="44"/>
      <c r="U891" s="44"/>
      <c r="V891" s="44"/>
      <c r="W891" s="44"/>
      <c r="X891" s="44"/>
      <c r="Y891" s="44"/>
      <c r="Z891" s="44"/>
      <c r="AA891" s="44"/>
      <c r="AB891" s="44"/>
      <c r="AC891" s="44"/>
      <c r="AD891" s="44"/>
      <c r="AE891" s="44"/>
      <c r="AF891" s="44"/>
      <c r="AG891" s="44"/>
      <c r="AH891" s="44"/>
      <c r="AI891" s="44"/>
      <c r="AJ891" s="44"/>
      <c r="AK891" s="44"/>
      <c r="AL891" s="44"/>
      <c r="AM891" s="44"/>
      <c r="AN891" s="44"/>
    </row>
    <row r="892" spans="1:40" ht="16.5" customHeight="1">
      <c r="A892" s="44"/>
      <c r="B892" s="44"/>
      <c r="C892" s="44"/>
      <c r="D892" s="172"/>
      <c r="E892" s="44"/>
      <c r="F892" s="44"/>
      <c r="G892" s="44"/>
      <c r="H892" s="44"/>
      <c r="I892" s="44"/>
      <c r="J892" s="44"/>
      <c r="K892" s="53"/>
      <c r="L892" s="44"/>
      <c r="M892" s="44"/>
      <c r="N892" s="44"/>
      <c r="O892" s="44"/>
      <c r="P892" s="44"/>
      <c r="Q892" s="44"/>
      <c r="R892" s="44"/>
      <c r="S892" s="44"/>
      <c r="T892" s="44"/>
      <c r="U892" s="44"/>
      <c r="V892" s="44"/>
      <c r="W892" s="44"/>
      <c r="X892" s="44"/>
      <c r="Y892" s="44"/>
      <c r="Z892" s="44"/>
      <c r="AA892" s="44"/>
      <c r="AB892" s="44"/>
      <c r="AC892" s="44"/>
      <c r="AD892" s="44"/>
      <c r="AE892" s="44"/>
      <c r="AF892" s="44"/>
      <c r="AG892" s="44"/>
      <c r="AH892" s="44"/>
      <c r="AI892" s="44"/>
      <c r="AJ892" s="44"/>
      <c r="AK892" s="44"/>
      <c r="AL892" s="44"/>
      <c r="AM892" s="44"/>
      <c r="AN892" s="44"/>
    </row>
    <row r="893" spans="1:40" ht="16.5" customHeight="1">
      <c r="A893" s="44"/>
      <c r="B893" s="44"/>
      <c r="C893" s="44"/>
      <c r="D893" s="172"/>
      <c r="E893" s="44"/>
      <c r="F893" s="44"/>
      <c r="G893" s="44"/>
      <c r="H893" s="44"/>
      <c r="I893" s="44"/>
      <c r="J893" s="44"/>
      <c r="K893" s="53"/>
      <c r="L893" s="44"/>
      <c r="M893" s="44"/>
      <c r="N893" s="44"/>
      <c r="O893" s="44"/>
      <c r="P893" s="44"/>
      <c r="Q893" s="44"/>
      <c r="R893" s="44"/>
      <c r="S893" s="44"/>
      <c r="T893" s="44"/>
      <c r="U893" s="44"/>
      <c r="V893" s="44"/>
      <c r="W893" s="44"/>
      <c r="X893" s="44"/>
      <c r="Y893" s="44"/>
      <c r="Z893" s="44"/>
      <c r="AA893" s="44"/>
      <c r="AB893" s="44"/>
      <c r="AC893" s="44"/>
      <c r="AD893" s="44"/>
      <c r="AE893" s="44"/>
      <c r="AF893" s="44"/>
      <c r="AG893" s="44"/>
      <c r="AH893" s="44"/>
      <c r="AI893" s="44"/>
      <c r="AJ893" s="44"/>
      <c r="AK893" s="44"/>
      <c r="AL893" s="44"/>
      <c r="AM893" s="44"/>
      <c r="AN893" s="44"/>
    </row>
    <row r="894" spans="1:40" ht="16.5" customHeight="1">
      <c r="A894" s="44"/>
      <c r="B894" s="44"/>
      <c r="C894" s="44"/>
      <c r="D894" s="172"/>
      <c r="E894" s="44"/>
      <c r="F894" s="44"/>
      <c r="G894" s="44"/>
      <c r="H894" s="44"/>
      <c r="I894" s="44"/>
      <c r="J894" s="44"/>
      <c r="K894" s="53"/>
      <c r="L894" s="44"/>
      <c r="M894" s="44"/>
      <c r="N894" s="44"/>
      <c r="O894" s="44"/>
      <c r="P894" s="44"/>
      <c r="Q894" s="44"/>
      <c r="R894" s="44"/>
      <c r="S894" s="44"/>
      <c r="T894" s="44"/>
      <c r="U894" s="44"/>
      <c r="V894" s="44"/>
      <c r="W894" s="44"/>
      <c r="X894" s="44"/>
      <c r="Y894" s="44"/>
      <c r="Z894" s="44"/>
      <c r="AA894" s="44"/>
      <c r="AB894" s="44"/>
      <c r="AC894" s="44"/>
      <c r="AD894" s="44"/>
      <c r="AE894" s="44"/>
      <c r="AF894" s="44"/>
      <c r="AG894" s="44"/>
      <c r="AH894" s="44"/>
      <c r="AI894" s="44"/>
      <c r="AJ894" s="44"/>
      <c r="AK894" s="44"/>
      <c r="AL894" s="44"/>
      <c r="AM894" s="44"/>
      <c r="AN894" s="44"/>
    </row>
    <row r="895" spans="1:40" ht="16.5" customHeight="1">
      <c r="A895" s="44"/>
      <c r="B895" s="44"/>
      <c r="C895" s="44"/>
      <c r="D895" s="172"/>
      <c r="E895" s="44"/>
      <c r="F895" s="44"/>
      <c r="G895" s="44"/>
      <c r="H895" s="44"/>
      <c r="I895" s="44"/>
      <c r="J895" s="44"/>
      <c r="K895" s="53"/>
      <c r="L895" s="44"/>
      <c r="M895" s="44"/>
      <c r="N895" s="44"/>
      <c r="O895" s="44"/>
      <c r="P895" s="44"/>
      <c r="Q895" s="44"/>
      <c r="R895" s="44"/>
      <c r="S895" s="44"/>
      <c r="T895" s="44"/>
      <c r="U895" s="44"/>
      <c r="V895" s="44"/>
      <c r="W895" s="44"/>
      <c r="X895" s="44"/>
      <c r="Y895" s="44"/>
      <c r="Z895" s="44"/>
      <c r="AA895" s="44"/>
      <c r="AB895" s="44"/>
      <c r="AC895" s="44"/>
      <c r="AD895" s="44"/>
      <c r="AE895" s="44"/>
      <c r="AF895" s="44"/>
      <c r="AG895" s="44"/>
      <c r="AH895" s="44"/>
      <c r="AI895" s="44"/>
      <c r="AJ895" s="44"/>
      <c r="AK895" s="44"/>
      <c r="AL895" s="44"/>
      <c r="AM895" s="44"/>
      <c r="AN895" s="44"/>
    </row>
    <row r="896" spans="1:40" ht="16.5" customHeight="1">
      <c r="A896" s="44"/>
      <c r="B896" s="44"/>
      <c r="C896" s="44"/>
      <c r="D896" s="172"/>
      <c r="E896" s="44"/>
      <c r="F896" s="44"/>
      <c r="G896" s="44"/>
      <c r="H896" s="44"/>
      <c r="I896" s="44"/>
      <c r="J896" s="44"/>
      <c r="K896" s="53"/>
      <c r="L896" s="44"/>
      <c r="M896" s="44"/>
      <c r="N896" s="44"/>
      <c r="O896" s="44"/>
      <c r="P896" s="44"/>
      <c r="Q896" s="44"/>
      <c r="R896" s="44"/>
      <c r="S896" s="44"/>
      <c r="T896" s="44"/>
      <c r="U896" s="44"/>
      <c r="V896" s="44"/>
      <c r="W896" s="44"/>
      <c r="X896" s="44"/>
      <c r="Y896" s="44"/>
      <c r="Z896" s="44"/>
      <c r="AA896" s="44"/>
      <c r="AB896" s="44"/>
      <c r="AC896" s="44"/>
      <c r="AD896" s="44"/>
      <c r="AE896" s="44"/>
      <c r="AF896" s="44"/>
      <c r="AG896" s="44"/>
      <c r="AH896" s="44"/>
      <c r="AI896" s="44"/>
      <c r="AJ896" s="44"/>
      <c r="AK896" s="44"/>
      <c r="AL896" s="44"/>
      <c r="AM896" s="44"/>
      <c r="AN896" s="44"/>
    </row>
    <row r="897" spans="1:40" ht="16.5" customHeight="1">
      <c r="A897" s="44"/>
      <c r="B897" s="44"/>
      <c r="C897" s="44"/>
      <c r="D897" s="172"/>
      <c r="E897" s="44"/>
      <c r="F897" s="44"/>
      <c r="G897" s="44"/>
      <c r="H897" s="44"/>
      <c r="I897" s="44"/>
      <c r="J897" s="44"/>
      <c r="K897" s="53"/>
      <c r="L897" s="44"/>
      <c r="M897" s="44"/>
      <c r="N897" s="44"/>
      <c r="O897" s="44"/>
      <c r="P897" s="44"/>
      <c r="Q897" s="44"/>
      <c r="R897" s="44"/>
      <c r="S897" s="44"/>
      <c r="T897" s="44"/>
      <c r="U897" s="44"/>
      <c r="V897" s="44"/>
      <c r="W897" s="44"/>
      <c r="X897" s="44"/>
      <c r="Y897" s="44"/>
      <c r="Z897" s="44"/>
      <c r="AA897" s="44"/>
      <c r="AB897" s="44"/>
      <c r="AC897" s="44"/>
      <c r="AD897" s="44"/>
      <c r="AE897" s="44"/>
      <c r="AF897" s="44"/>
      <c r="AG897" s="44"/>
      <c r="AH897" s="44"/>
      <c r="AI897" s="44"/>
      <c r="AJ897" s="44"/>
      <c r="AK897" s="44"/>
      <c r="AL897" s="44"/>
      <c r="AM897" s="44"/>
      <c r="AN897" s="44"/>
    </row>
    <row r="898" spans="1:40" ht="16.5" customHeight="1">
      <c r="A898" s="44"/>
      <c r="B898" s="44"/>
      <c r="C898" s="44"/>
      <c r="D898" s="172"/>
      <c r="E898" s="44"/>
      <c r="F898" s="44"/>
      <c r="G898" s="44"/>
      <c r="H898" s="44"/>
      <c r="I898" s="44"/>
      <c r="J898" s="44"/>
      <c r="K898" s="53"/>
      <c r="L898" s="44"/>
      <c r="M898" s="44"/>
      <c r="N898" s="44"/>
      <c r="O898" s="44"/>
      <c r="P898" s="44"/>
      <c r="Q898" s="44"/>
      <c r="R898" s="44"/>
      <c r="S898" s="44"/>
      <c r="T898" s="44"/>
      <c r="U898" s="44"/>
      <c r="V898" s="44"/>
      <c r="W898" s="44"/>
      <c r="X898" s="44"/>
      <c r="Y898" s="44"/>
      <c r="Z898" s="44"/>
      <c r="AA898" s="44"/>
      <c r="AB898" s="44"/>
      <c r="AC898" s="44"/>
      <c r="AD898" s="44"/>
      <c r="AE898" s="44"/>
      <c r="AF898" s="44"/>
      <c r="AG898" s="44"/>
      <c r="AH898" s="44"/>
      <c r="AI898" s="44"/>
      <c r="AJ898" s="44"/>
      <c r="AK898" s="44"/>
      <c r="AL898" s="44"/>
      <c r="AM898" s="44"/>
      <c r="AN898" s="44"/>
    </row>
    <row r="899" spans="1:40" ht="16.5" customHeight="1">
      <c r="A899" s="44"/>
      <c r="B899" s="44"/>
      <c r="C899" s="44"/>
      <c r="D899" s="172"/>
      <c r="E899" s="44"/>
      <c r="F899" s="44"/>
      <c r="G899" s="44"/>
      <c r="H899" s="44"/>
      <c r="I899" s="44"/>
      <c r="J899" s="44"/>
      <c r="K899" s="53"/>
      <c r="L899" s="44"/>
      <c r="M899" s="44"/>
      <c r="N899" s="44"/>
      <c r="O899" s="44"/>
      <c r="P899" s="44"/>
      <c r="Q899" s="44"/>
      <c r="R899" s="44"/>
      <c r="S899" s="44"/>
      <c r="T899" s="44"/>
      <c r="U899" s="44"/>
      <c r="V899" s="44"/>
      <c r="W899" s="44"/>
      <c r="X899" s="44"/>
      <c r="Y899" s="44"/>
      <c r="Z899" s="44"/>
      <c r="AA899" s="44"/>
      <c r="AB899" s="44"/>
      <c r="AC899" s="44"/>
      <c r="AD899" s="44"/>
      <c r="AE899" s="44"/>
      <c r="AF899" s="44"/>
      <c r="AG899" s="44"/>
      <c r="AH899" s="44"/>
      <c r="AI899" s="44"/>
      <c r="AJ899" s="44"/>
      <c r="AK899" s="44"/>
      <c r="AL899" s="44"/>
      <c r="AM899" s="44"/>
      <c r="AN899" s="44"/>
    </row>
    <row r="900" spans="1:40" ht="16.5" customHeight="1">
      <c r="A900" s="44"/>
      <c r="B900" s="44"/>
      <c r="C900" s="44"/>
      <c r="D900" s="172"/>
      <c r="E900" s="44"/>
      <c r="F900" s="44"/>
      <c r="G900" s="44"/>
      <c r="H900" s="44"/>
      <c r="I900" s="44"/>
      <c r="J900" s="44"/>
      <c r="K900" s="53"/>
      <c r="L900" s="44"/>
      <c r="M900" s="44"/>
      <c r="N900" s="44"/>
      <c r="O900" s="44"/>
      <c r="P900" s="44"/>
      <c r="Q900" s="44"/>
      <c r="R900" s="44"/>
      <c r="S900" s="44"/>
      <c r="T900" s="44"/>
      <c r="U900" s="44"/>
      <c r="V900" s="44"/>
      <c r="W900" s="44"/>
      <c r="X900" s="44"/>
      <c r="Y900" s="44"/>
      <c r="Z900" s="44"/>
      <c r="AA900" s="44"/>
      <c r="AB900" s="44"/>
      <c r="AC900" s="44"/>
      <c r="AD900" s="44"/>
      <c r="AE900" s="44"/>
      <c r="AF900" s="44"/>
      <c r="AG900" s="44"/>
      <c r="AH900" s="44"/>
      <c r="AI900" s="44"/>
      <c r="AJ900" s="44"/>
      <c r="AK900" s="44"/>
      <c r="AL900" s="44"/>
      <c r="AM900" s="44"/>
      <c r="AN900" s="44"/>
    </row>
    <row r="901" spans="1:40" ht="16.5" customHeight="1">
      <c r="A901" s="44"/>
      <c r="B901" s="44"/>
      <c r="C901" s="44"/>
      <c r="D901" s="172"/>
      <c r="E901" s="44"/>
      <c r="F901" s="44"/>
      <c r="G901" s="44"/>
      <c r="H901" s="44"/>
      <c r="I901" s="44"/>
      <c r="J901" s="44"/>
      <c r="K901" s="53"/>
      <c r="L901" s="44"/>
      <c r="M901" s="44"/>
      <c r="N901" s="44"/>
      <c r="O901" s="44"/>
      <c r="P901" s="44"/>
      <c r="Q901" s="44"/>
      <c r="R901" s="44"/>
      <c r="S901" s="44"/>
      <c r="T901" s="44"/>
      <c r="U901" s="44"/>
      <c r="V901" s="44"/>
      <c r="W901" s="44"/>
      <c r="X901" s="44"/>
      <c r="Y901" s="44"/>
      <c r="Z901" s="44"/>
      <c r="AA901" s="44"/>
      <c r="AB901" s="44"/>
      <c r="AC901" s="44"/>
      <c r="AD901" s="44"/>
      <c r="AE901" s="44"/>
      <c r="AF901" s="44"/>
      <c r="AG901" s="44"/>
      <c r="AH901" s="44"/>
      <c r="AI901" s="44"/>
      <c r="AJ901" s="44"/>
      <c r="AK901" s="44"/>
      <c r="AL901" s="44"/>
      <c r="AM901" s="44"/>
      <c r="AN901" s="44"/>
    </row>
    <row r="902" spans="1:40" ht="16.5" customHeight="1">
      <c r="A902" s="44"/>
      <c r="B902" s="44"/>
      <c r="C902" s="44"/>
      <c r="D902" s="172"/>
      <c r="E902" s="44"/>
      <c r="F902" s="44"/>
      <c r="G902" s="44"/>
      <c r="H902" s="44"/>
      <c r="I902" s="44"/>
      <c r="J902" s="44"/>
      <c r="K902" s="53"/>
      <c r="L902" s="44"/>
      <c r="M902" s="44"/>
      <c r="N902" s="44"/>
      <c r="O902" s="44"/>
      <c r="P902" s="44"/>
      <c r="Q902" s="44"/>
      <c r="R902" s="44"/>
      <c r="S902" s="44"/>
      <c r="T902" s="44"/>
      <c r="U902" s="44"/>
      <c r="V902" s="44"/>
      <c r="W902" s="44"/>
      <c r="X902" s="44"/>
      <c r="Y902" s="44"/>
      <c r="Z902" s="44"/>
      <c r="AA902" s="44"/>
      <c r="AB902" s="44"/>
      <c r="AC902" s="44"/>
      <c r="AD902" s="44"/>
      <c r="AE902" s="44"/>
      <c r="AF902" s="44"/>
      <c r="AG902" s="44"/>
      <c r="AH902" s="44"/>
      <c r="AI902" s="44"/>
      <c r="AJ902" s="44"/>
      <c r="AK902" s="44"/>
      <c r="AL902" s="44"/>
      <c r="AM902" s="44"/>
      <c r="AN902" s="44"/>
    </row>
    <row r="903" spans="1:40" ht="16.5" customHeight="1">
      <c r="A903" s="44"/>
      <c r="B903" s="44"/>
      <c r="C903" s="44"/>
      <c r="D903" s="172"/>
      <c r="E903" s="44"/>
      <c r="F903" s="44"/>
      <c r="G903" s="44"/>
      <c r="H903" s="44"/>
      <c r="I903" s="44"/>
      <c r="J903" s="44"/>
      <c r="K903" s="53"/>
      <c r="L903" s="44"/>
      <c r="M903" s="44"/>
      <c r="N903" s="44"/>
      <c r="O903" s="44"/>
      <c r="P903" s="44"/>
      <c r="Q903" s="44"/>
      <c r="R903" s="44"/>
      <c r="S903" s="44"/>
      <c r="T903" s="44"/>
      <c r="U903" s="44"/>
      <c r="V903" s="44"/>
      <c r="W903" s="44"/>
      <c r="X903" s="44"/>
      <c r="Y903" s="44"/>
      <c r="Z903" s="44"/>
      <c r="AA903" s="44"/>
      <c r="AB903" s="44"/>
      <c r="AC903" s="44"/>
      <c r="AD903" s="44"/>
      <c r="AE903" s="44"/>
      <c r="AF903" s="44"/>
      <c r="AG903" s="44"/>
      <c r="AH903" s="44"/>
      <c r="AI903" s="44"/>
      <c r="AJ903" s="44"/>
      <c r="AK903" s="44"/>
      <c r="AL903" s="44"/>
      <c r="AM903" s="44"/>
      <c r="AN903" s="44"/>
    </row>
    <row r="904" spans="1:40" ht="16.5" customHeight="1">
      <c r="A904" s="44"/>
      <c r="B904" s="44"/>
      <c r="C904" s="44"/>
      <c r="D904" s="172"/>
      <c r="E904" s="44"/>
      <c r="F904" s="44"/>
      <c r="G904" s="44"/>
      <c r="H904" s="44"/>
      <c r="I904" s="44"/>
      <c r="J904" s="44"/>
      <c r="K904" s="53"/>
      <c r="L904" s="44"/>
      <c r="M904" s="44"/>
      <c r="N904" s="44"/>
      <c r="O904" s="44"/>
      <c r="P904" s="44"/>
      <c r="Q904" s="44"/>
      <c r="R904" s="44"/>
      <c r="S904" s="44"/>
      <c r="T904" s="44"/>
      <c r="U904" s="44"/>
      <c r="V904" s="44"/>
      <c r="W904" s="44"/>
      <c r="X904" s="44"/>
      <c r="Y904" s="44"/>
      <c r="Z904" s="44"/>
      <c r="AA904" s="44"/>
      <c r="AB904" s="44"/>
      <c r="AC904" s="44"/>
      <c r="AD904" s="44"/>
      <c r="AE904" s="44"/>
      <c r="AF904" s="44"/>
      <c r="AG904" s="44"/>
      <c r="AH904" s="44"/>
      <c r="AI904" s="44"/>
      <c r="AJ904" s="44"/>
      <c r="AK904" s="44"/>
      <c r="AL904" s="44"/>
      <c r="AM904" s="44"/>
      <c r="AN904" s="44"/>
    </row>
    <row r="905" spans="1:40" ht="16.5" customHeight="1">
      <c r="A905" s="44"/>
      <c r="B905" s="44"/>
      <c r="C905" s="44"/>
      <c r="D905" s="172"/>
      <c r="E905" s="44"/>
      <c r="F905" s="44"/>
      <c r="G905" s="44"/>
      <c r="H905" s="44"/>
      <c r="I905" s="44"/>
      <c r="J905" s="44"/>
      <c r="K905" s="53"/>
      <c r="L905" s="44"/>
      <c r="M905" s="44"/>
      <c r="N905" s="44"/>
      <c r="O905" s="44"/>
      <c r="P905" s="44"/>
      <c r="Q905" s="44"/>
      <c r="R905" s="44"/>
      <c r="S905" s="44"/>
      <c r="T905" s="44"/>
      <c r="U905" s="44"/>
      <c r="V905" s="44"/>
      <c r="W905" s="44"/>
      <c r="X905" s="44"/>
      <c r="Y905" s="44"/>
      <c r="Z905" s="44"/>
      <c r="AA905" s="44"/>
      <c r="AB905" s="44"/>
      <c r="AC905" s="44"/>
      <c r="AD905" s="44"/>
      <c r="AE905" s="44"/>
      <c r="AF905" s="44"/>
      <c r="AG905" s="44"/>
      <c r="AH905" s="44"/>
      <c r="AI905" s="44"/>
      <c r="AJ905" s="44"/>
      <c r="AK905" s="44"/>
      <c r="AL905" s="44"/>
      <c r="AM905" s="44"/>
      <c r="AN905" s="44"/>
    </row>
    <row r="906" spans="1:40" ht="16.5" customHeight="1">
      <c r="A906" s="44"/>
      <c r="B906" s="44"/>
      <c r="C906" s="44"/>
      <c r="D906" s="172"/>
      <c r="E906" s="44"/>
      <c r="F906" s="44"/>
      <c r="G906" s="44"/>
      <c r="H906" s="44"/>
      <c r="I906" s="44"/>
      <c r="J906" s="44"/>
      <c r="K906" s="53"/>
      <c r="L906" s="44"/>
      <c r="M906" s="44"/>
      <c r="N906" s="44"/>
      <c r="O906" s="44"/>
      <c r="P906" s="44"/>
      <c r="Q906" s="44"/>
      <c r="R906" s="44"/>
      <c r="S906" s="44"/>
      <c r="T906" s="44"/>
      <c r="U906" s="44"/>
      <c r="V906" s="44"/>
      <c r="W906" s="44"/>
      <c r="X906" s="44"/>
      <c r="Y906" s="44"/>
      <c r="Z906" s="44"/>
      <c r="AA906" s="44"/>
      <c r="AB906" s="44"/>
      <c r="AC906" s="44"/>
      <c r="AD906" s="44"/>
      <c r="AE906" s="44"/>
      <c r="AF906" s="44"/>
      <c r="AG906" s="44"/>
      <c r="AH906" s="44"/>
      <c r="AI906" s="44"/>
      <c r="AJ906" s="44"/>
      <c r="AK906" s="44"/>
      <c r="AL906" s="44"/>
      <c r="AM906" s="44"/>
      <c r="AN906" s="44"/>
    </row>
    <row r="907" spans="1:40" ht="16.5" customHeight="1">
      <c r="A907" s="44"/>
      <c r="B907" s="44"/>
      <c r="C907" s="44"/>
      <c r="D907" s="172"/>
      <c r="E907" s="44"/>
      <c r="F907" s="44"/>
      <c r="G907" s="44"/>
      <c r="H907" s="44"/>
      <c r="I907" s="44"/>
      <c r="J907" s="44"/>
      <c r="K907" s="53"/>
      <c r="L907" s="44"/>
      <c r="M907" s="44"/>
      <c r="N907" s="44"/>
      <c r="O907" s="44"/>
      <c r="P907" s="44"/>
      <c r="Q907" s="44"/>
      <c r="R907" s="44"/>
      <c r="S907" s="44"/>
      <c r="T907" s="44"/>
      <c r="U907" s="44"/>
      <c r="V907" s="44"/>
      <c r="W907" s="44"/>
      <c r="X907" s="44"/>
      <c r="Y907" s="44"/>
      <c r="Z907" s="44"/>
      <c r="AA907" s="44"/>
      <c r="AB907" s="44"/>
      <c r="AC907" s="44"/>
      <c r="AD907" s="44"/>
      <c r="AE907" s="44"/>
      <c r="AF907" s="44"/>
      <c r="AG907" s="44"/>
      <c r="AH907" s="44"/>
      <c r="AI907" s="44"/>
      <c r="AJ907" s="44"/>
      <c r="AK907" s="44"/>
      <c r="AL907" s="44"/>
      <c r="AM907" s="44"/>
      <c r="AN907" s="44"/>
    </row>
    <row r="908" spans="1:40" ht="16.5" customHeight="1">
      <c r="A908" s="44"/>
      <c r="B908" s="44"/>
      <c r="C908" s="44"/>
      <c r="D908" s="172"/>
      <c r="E908" s="44"/>
      <c r="F908" s="44"/>
      <c r="G908" s="44"/>
      <c r="H908" s="44"/>
      <c r="I908" s="44"/>
      <c r="J908" s="44"/>
      <c r="K908" s="53"/>
      <c r="L908" s="44"/>
      <c r="M908" s="44"/>
      <c r="N908" s="44"/>
      <c r="O908" s="44"/>
      <c r="P908" s="44"/>
      <c r="Q908" s="44"/>
      <c r="R908" s="44"/>
      <c r="S908" s="44"/>
      <c r="T908" s="44"/>
      <c r="U908" s="44"/>
      <c r="V908" s="44"/>
      <c r="W908" s="44"/>
      <c r="X908" s="44"/>
      <c r="Y908" s="44"/>
      <c r="Z908" s="44"/>
      <c r="AA908" s="44"/>
      <c r="AB908" s="44"/>
      <c r="AC908" s="44"/>
      <c r="AD908" s="44"/>
      <c r="AE908" s="44"/>
      <c r="AF908" s="44"/>
      <c r="AG908" s="44"/>
      <c r="AH908" s="44"/>
      <c r="AI908" s="44"/>
      <c r="AJ908" s="44"/>
      <c r="AK908" s="44"/>
      <c r="AL908" s="44"/>
      <c r="AM908" s="44"/>
      <c r="AN908" s="44"/>
    </row>
    <row r="909" spans="1:40" ht="16.5" customHeight="1">
      <c r="A909" s="44"/>
      <c r="B909" s="44"/>
      <c r="C909" s="44"/>
      <c r="D909" s="172"/>
      <c r="E909" s="44"/>
      <c r="F909" s="44"/>
      <c r="G909" s="44"/>
      <c r="H909" s="44"/>
      <c r="I909" s="44"/>
      <c r="J909" s="44"/>
      <c r="K909" s="53"/>
      <c r="L909" s="44"/>
      <c r="M909" s="44"/>
      <c r="N909" s="44"/>
      <c r="O909" s="44"/>
      <c r="P909" s="44"/>
      <c r="Q909" s="44"/>
      <c r="R909" s="44"/>
      <c r="S909" s="44"/>
      <c r="T909" s="44"/>
      <c r="U909" s="44"/>
      <c r="V909" s="44"/>
      <c r="W909" s="44"/>
      <c r="X909" s="44"/>
      <c r="Y909" s="44"/>
      <c r="Z909" s="44"/>
      <c r="AA909" s="44"/>
      <c r="AB909" s="44"/>
      <c r="AC909" s="44"/>
      <c r="AD909" s="44"/>
      <c r="AE909" s="44"/>
      <c r="AF909" s="44"/>
      <c r="AG909" s="44"/>
      <c r="AH909" s="44"/>
      <c r="AI909" s="44"/>
      <c r="AJ909" s="44"/>
      <c r="AK909" s="44"/>
      <c r="AL909" s="44"/>
      <c r="AM909" s="44"/>
      <c r="AN909" s="44"/>
    </row>
    <row r="910" spans="1:40" ht="16.5" customHeight="1">
      <c r="A910" s="44"/>
      <c r="B910" s="44"/>
      <c r="C910" s="44"/>
      <c r="D910" s="172"/>
      <c r="E910" s="44"/>
      <c r="F910" s="44"/>
      <c r="G910" s="44"/>
      <c r="H910" s="44"/>
      <c r="I910" s="44"/>
      <c r="J910" s="44"/>
      <c r="K910" s="53"/>
      <c r="L910" s="44"/>
      <c r="M910" s="44"/>
      <c r="N910" s="44"/>
      <c r="O910" s="44"/>
      <c r="P910" s="44"/>
      <c r="Q910" s="44"/>
      <c r="R910" s="44"/>
      <c r="S910" s="44"/>
      <c r="T910" s="44"/>
      <c r="U910" s="44"/>
      <c r="V910" s="44"/>
      <c r="W910" s="44"/>
      <c r="X910" s="44"/>
      <c r="Y910" s="44"/>
      <c r="Z910" s="44"/>
      <c r="AA910" s="44"/>
      <c r="AB910" s="44"/>
      <c r="AC910" s="44"/>
      <c r="AD910" s="44"/>
      <c r="AE910" s="44"/>
      <c r="AF910" s="44"/>
      <c r="AG910" s="44"/>
      <c r="AH910" s="44"/>
      <c r="AI910" s="44"/>
      <c r="AJ910" s="44"/>
      <c r="AK910" s="44"/>
      <c r="AL910" s="44"/>
      <c r="AM910" s="44"/>
      <c r="AN910" s="44"/>
    </row>
    <row r="911" spans="1:40" ht="16.5" customHeight="1">
      <c r="A911" s="44"/>
      <c r="B911" s="44"/>
      <c r="C911" s="44"/>
      <c r="D911" s="172"/>
      <c r="E911" s="44"/>
      <c r="F911" s="44"/>
      <c r="G911" s="44"/>
      <c r="H911" s="44"/>
      <c r="I911" s="44"/>
      <c r="J911" s="44"/>
      <c r="K911" s="53"/>
      <c r="L911" s="44"/>
      <c r="M911" s="44"/>
      <c r="N911" s="44"/>
      <c r="O911" s="44"/>
      <c r="P911" s="44"/>
      <c r="Q911" s="44"/>
      <c r="R911" s="44"/>
      <c r="S911" s="44"/>
      <c r="T911" s="44"/>
      <c r="U911" s="44"/>
      <c r="V911" s="44"/>
      <c r="W911" s="44"/>
      <c r="X911" s="44"/>
      <c r="Y911" s="44"/>
      <c r="Z911" s="44"/>
      <c r="AA911" s="44"/>
      <c r="AB911" s="44"/>
      <c r="AC911" s="44"/>
      <c r="AD911" s="44"/>
      <c r="AE911" s="44"/>
      <c r="AF911" s="44"/>
      <c r="AG911" s="44"/>
      <c r="AH911" s="44"/>
      <c r="AI911" s="44"/>
      <c r="AJ911" s="44"/>
      <c r="AK911" s="44"/>
      <c r="AL911" s="44"/>
      <c r="AM911" s="44"/>
      <c r="AN911" s="44"/>
    </row>
    <row r="912" spans="1:40" ht="16.5" customHeight="1">
      <c r="A912" s="44"/>
      <c r="B912" s="44"/>
      <c r="C912" s="44"/>
      <c r="D912" s="172"/>
      <c r="E912" s="44"/>
      <c r="F912" s="44"/>
      <c r="G912" s="44"/>
      <c r="H912" s="44"/>
      <c r="I912" s="44"/>
      <c r="J912" s="44"/>
      <c r="K912" s="53"/>
      <c r="L912" s="44"/>
      <c r="M912" s="44"/>
      <c r="N912" s="44"/>
      <c r="O912" s="44"/>
      <c r="P912" s="44"/>
      <c r="Q912" s="44"/>
      <c r="R912" s="44"/>
      <c r="S912" s="44"/>
      <c r="T912" s="44"/>
      <c r="U912" s="44"/>
      <c r="V912" s="44"/>
      <c r="W912" s="44"/>
      <c r="X912" s="44"/>
      <c r="Y912" s="44"/>
      <c r="Z912" s="44"/>
      <c r="AA912" s="44"/>
      <c r="AB912" s="44"/>
      <c r="AC912" s="44"/>
      <c r="AD912" s="44"/>
      <c r="AE912" s="44"/>
      <c r="AF912" s="44"/>
      <c r="AG912" s="44"/>
      <c r="AH912" s="44"/>
      <c r="AI912" s="44"/>
      <c r="AJ912" s="44"/>
      <c r="AK912" s="44"/>
      <c r="AL912" s="44"/>
      <c r="AM912" s="44"/>
      <c r="AN912" s="44"/>
    </row>
    <row r="913" spans="1:40" ht="16.5" customHeight="1">
      <c r="A913" s="44"/>
      <c r="B913" s="44"/>
      <c r="C913" s="44"/>
      <c r="D913" s="172"/>
      <c r="E913" s="44"/>
      <c r="F913" s="44"/>
      <c r="G913" s="44"/>
      <c r="H913" s="44"/>
      <c r="I913" s="44"/>
      <c r="J913" s="44"/>
      <c r="K913" s="53"/>
      <c r="L913" s="44"/>
      <c r="M913" s="44"/>
      <c r="N913" s="44"/>
      <c r="O913" s="44"/>
      <c r="P913" s="44"/>
      <c r="Q913" s="44"/>
      <c r="R913" s="44"/>
      <c r="S913" s="44"/>
      <c r="T913" s="44"/>
      <c r="U913" s="44"/>
      <c r="V913" s="44"/>
      <c r="W913" s="44"/>
      <c r="X913" s="44"/>
      <c r="Y913" s="44"/>
      <c r="Z913" s="44"/>
      <c r="AA913" s="44"/>
      <c r="AB913" s="44"/>
      <c r="AC913" s="44"/>
      <c r="AD913" s="44"/>
      <c r="AE913" s="44"/>
      <c r="AF913" s="44"/>
      <c r="AG913" s="44"/>
      <c r="AH913" s="44"/>
      <c r="AI913" s="44"/>
      <c r="AJ913" s="44"/>
      <c r="AK913" s="44"/>
      <c r="AL913" s="44"/>
      <c r="AM913" s="44"/>
      <c r="AN913" s="44"/>
    </row>
    <row r="914" spans="1:40" ht="16.5" customHeight="1">
      <c r="A914" s="44"/>
      <c r="B914" s="44"/>
      <c r="C914" s="44"/>
      <c r="D914" s="172"/>
      <c r="E914" s="44"/>
      <c r="F914" s="44"/>
      <c r="G914" s="44"/>
      <c r="H914" s="44"/>
      <c r="I914" s="44"/>
      <c r="J914" s="44"/>
      <c r="K914" s="53"/>
      <c r="L914" s="44"/>
      <c r="M914" s="44"/>
      <c r="N914" s="44"/>
      <c r="O914" s="44"/>
      <c r="P914" s="44"/>
      <c r="Q914" s="44"/>
      <c r="R914" s="44"/>
      <c r="S914" s="44"/>
      <c r="T914" s="44"/>
      <c r="U914" s="44"/>
      <c r="V914" s="44"/>
      <c r="W914" s="44"/>
      <c r="X914" s="44"/>
      <c r="Y914" s="44"/>
      <c r="Z914" s="44"/>
      <c r="AA914" s="44"/>
      <c r="AB914" s="44"/>
      <c r="AC914" s="44"/>
      <c r="AD914" s="44"/>
      <c r="AE914" s="44"/>
      <c r="AF914" s="44"/>
      <c r="AG914" s="44"/>
      <c r="AH914" s="44"/>
      <c r="AI914" s="44"/>
      <c r="AJ914" s="44"/>
      <c r="AK914" s="44"/>
      <c r="AL914" s="44"/>
      <c r="AM914" s="44"/>
      <c r="AN914" s="44"/>
    </row>
    <row r="915" spans="1:40" ht="16.5" customHeight="1">
      <c r="A915" s="44"/>
      <c r="B915" s="44"/>
      <c r="C915" s="44"/>
      <c r="D915" s="172"/>
      <c r="E915" s="44"/>
      <c r="F915" s="44"/>
      <c r="G915" s="44"/>
      <c r="H915" s="44"/>
      <c r="I915" s="44"/>
      <c r="J915" s="44"/>
      <c r="K915" s="53"/>
      <c r="L915" s="44"/>
      <c r="M915" s="44"/>
      <c r="N915" s="44"/>
      <c r="O915" s="44"/>
      <c r="P915" s="44"/>
      <c r="Q915" s="44"/>
      <c r="R915" s="44"/>
      <c r="S915" s="44"/>
      <c r="T915" s="44"/>
      <c r="U915" s="44"/>
      <c r="V915" s="44"/>
      <c r="W915" s="44"/>
      <c r="X915" s="44"/>
      <c r="Y915" s="44"/>
      <c r="Z915" s="44"/>
      <c r="AA915" s="44"/>
      <c r="AB915" s="44"/>
      <c r="AC915" s="44"/>
      <c r="AD915" s="44"/>
      <c r="AE915" s="44"/>
      <c r="AF915" s="44"/>
      <c r="AG915" s="44"/>
      <c r="AH915" s="44"/>
      <c r="AI915" s="44"/>
      <c r="AJ915" s="44"/>
      <c r="AK915" s="44"/>
      <c r="AL915" s="44"/>
      <c r="AM915" s="44"/>
      <c r="AN915" s="44"/>
    </row>
    <row r="916" spans="1:40" ht="16.5" customHeight="1">
      <c r="A916" s="44"/>
      <c r="B916" s="44"/>
      <c r="C916" s="44"/>
      <c r="D916" s="172"/>
      <c r="E916" s="44"/>
      <c r="F916" s="44"/>
      <c r="G916" s="44"/>
      <c r="H916" s="44"/>
      <c r="I916" s="44"/>
      <c r="J916" s="44"/>
      <c r="K916" s="53"/>
      <c r="L916" s="44"/>
      <c r="M916" s="44"/>
      <c r="N916" s="44"/>
      <c r="O916" s="44"/>
      <c r="P916" s="44"/>
      <c r="Q916" s="44"/>
      <c r="R916" s="44"/>
      <c r="S916" s="44"/>
      <c r="T916" s="44"/>
      <c r="U916" s="44"/>
      <c r="V916" s="44"/>
      <c r="W916" s="44"/>
      <c r="X916" s="44"/>
      <c r="Y916" s="44"/>
      <c r="Z916" s="44"/>
      <c r="AA916" s="44"/>
      <c r="AB916" s="44"/>
      <c r="AC916" s="44"/>
      <c r="AD916" s="44"/>
      <c r="AE916" s="44"/>
      <c r="AF916" s="44"/>
      <c r="AG916" s="44"/>
      <c r="AH916" s="44"/>
      <c r="AI916" s="44"/>
      <c r="AJ916" s="44"/>
      <c r="AK916" s="44"/>
      <c r="AL916" s="44"/>
      <c r="AM916" s="44"/>
      <c r="AN916" s="44"/>
    </row>
    <row r="917" spans="1:40" ht="16.5" customHeight="1">
      <c r="A917" s="44"/>
      <c r="B917" s="44"/>
      <c r="C917" s="44"/>
      <c r="D917" s="172"/>
      <c r="E917" s="44"/>
      <c r="F917" s="44"/>
      <c r="G917" s="44"/>
      <c r="H917" s="44"/>
      <c r="I917" s="44"/>
      <c r="J917" s="44"/>
      <c r="K917" s="53"/>
      <c r="L917" s="44"/>
      <c r="M917" s="44"/>
      <c r="N917" s="44"/>
      <c r="O917" s="44"/>
      <c r="P917" s="44"/>
      <c r="Q917" s="44"/>
      <c r="R917" s="44"/>
      <c r="S917" s="44"/>
      <c r="T917" s="44"/>
      <c r="U917" s="44"/>
      <c r="V917" s="44"/>
      <c r="W917" s="44"/>
      <c r="X917" s="44"/>
      <c r="Y917" s="44"/>
      <c r="Z917" s="44"/>
      <c r="AA917" s="44"/>
      <c r="AB917" s="44"/>
      <c r="AC917" s="44"/>
      <c r="AD917" s="44"/>
      <c r="AE917" s="44"/>
      <c r="AF917" s="44"/>
      <c r="AG917" s="44"/>
      <c r="AH917" s="44"/>
      <c r="AI917" s="44"/>
      <c r="AJ917" s="44"/>
      <c r="AK917" s="44"/>
      <c r="AL917" s="44"/>
      <c r="AM917" s="44"/>
      <c r="AN917" s="44"/>
    </row>
    <row r="918" spans="1:40" ht="16.5" customHeight="1">
      <c r="A918" s="44"/>
      <c r="B918" s="44"/>
      <c r="C918" s="44"/>
      <c r="D918" s="172"/>
      <c r="E918" s="44"/>
      <c r="F918" s="44"/>
      <c r="G918" s="44"/>
      <c r="H918" s="44"/>
      <c r="I918" s="44"/>
      <c r="J918" s="44"/>
      <c r="K918" s="53"/>
      <c r="L918" s="44"/>
      <c r="M918" s="44"/>
      <c r="N918" s="44"/>
      <c r="O918" s="44"/>
      <c r="P918" s="44"/>
      <c r="Q918" s="44"/>
      <c r="R918" s="44"/>
      <c r="S918" s="44"/>
      <c r="T918" s="44"/>
      <c r="U918" s="44"/>
      <c r="V918" s="44"/>
      <c r="W918" s="44"/>
      <c r="X918" s="44"/>
      <c r="Y918" s="44"/>
      <c r="Z918" s="44"/>
      <c r="AA918" s="44"/>
      <c r="AB918" s="44"/>
      <c r="AC918" s="44"/>
      <c r="AD918" s="44"/>
      <c r="AE918" s="44"/>
      <c r="AF918" s="44"/>
      <c r="AG918" s="44"/>
      <c r="AH918" s="44"/>
      <c r="AI918" s="44"/>
      <c r="AJ918" s="44"/>
      <c r="AK918" s="44"/>
      <c r="AL918" s="44"/>
      <c r="AM918" s="44"/>
      <c r="AN918" s="44"/>
    </row>
    <row r="919" spans="1:40" ht="16.5" customHeight="1">
      <c r="A919" s="44"/>
      <c r="B919" s="44"/>
      <c r="C919" s="44"/>
      <c r="D919" s="172"/>
      <c r="E919" s="44"/>
      <c r="F919" s="44"/>
      <c r="G919" s="44"/>
      <c r="H919" s="44"/>
      <c r="I919" s="44"/>
      <c r="J919" s="44"/>
      <c r="K919" s="53"/>
      <c r="L919" s="44"/>
      <c r="M919" s="44"/>
      <c r="N919" s="44"/>
      <c r="O919" s="44"/>
      <c r="P919" s="44"/>
      <c r="Q919" s="44"/>
      <c r="R919" s="44"/>
      <c r="S919" s="44"/>
      <c r="T919" s="44"/>
      <c r="U919" s="44"/>
      <c r="V919" s="44"/>
      <c r="W919" s="44"/>
      <c r="X919" s="44"/>
      <c r="Y919" s="44"/>
      <c r="Z919" s="44"/>
      <c r="AA919" s="44"/>
      <c r="AB919" s="44"/>
      <c r="AC919" s="44"/>
      <c r="AD919" s="44"/>
      <c r="AE919" s="44"/>
      <c r="AF919" s="44"/>
      <c r="AG919" s="44"/>
      <c r="AH919" s="44"/>
      <c r="AI919" s="44"/>
      <c r="AJ919" s="44"/>
      <c r="AK919" s="44"/>
      <c r="AL919" s="44"/>
      <c r="AM919" s="44"/>
      <c r="AN919" s="44"/>
    </row>
    <row r="920" spans="1:40" ht="16.5" customHeight="1">
      <c r="A920" s="44"/>
      <c r="B920" s="44"/>
      <c r="C920" s="44"/>
      <c r="D920" s="172"/>
      <c r="E920" s="44"/>
      <c r="F920" s="44"/>
      <c r="G920" s="44"/>
      <c r="H920" s="44"/>
      <c r="I920" s="44"/>
      <c r="J920" s="44"/>
      <c r="K920" s="53"/>
      <c r="L920" s="44"/>
      <c r="M920" s="44"/>
      <c r="N920" s="44"/>
      <c r="O920" s="44"/>
      <c r="P920" s="44"/>
      <c r="Q920" s="44"/>
      <c r="R920" s="44"/>
      <c r="S920" s="44"/>
      <c r="T920" s="44"/>
      <c r="U920" s="44"/>
      <c r="V920" s="44"/>
      <c r="W920" s="44"/>
      <c r="X920" s="44"/>
      <c r="Y920" s="44"/>
      <c r="Z920" s="44"/>
      <c r="AA920" s="44"/>
      <c r="AB920" s="44"/>
      <c r="AC920" s="44"/>
      <c r="AD920" s="44"/>
      <c r="AE920" s="44"/>
      <c r="AF920" s="44"/>
      <c r="AG920" s="44"/>
      <c r="AH920" s="44"/>
      <c r="AI920" s="44"/>
      <c r="AJ920" s="44"/>
      <c r="AK920" s="44"/>
      <c r="AL920" s="44"/>
      <c r="AM920" s="44"/>
      <c r="AN920" s="44"/>
    </row>
    <row r="921" spans="1:40" ht="16.5" customHeight="1">
      <c r="A921" s="44"/>
      <c r="B921" s="44"/>
      <c r="C921" s="44"/>
      <c r="D921" s="172"/>
      <c r="E921" s="44"/>
      <c r="F921" s="44"/>
      <c r="G921" s="44"/>
      <c r="H921" s="44"/>
      <c r="I921" s="44"/>
      <c r="J921" s="44"/>
      <c r="K921" s="53"/>
      <c r="L921" s="44"/>
      <c r="M921" s="44"/>
      <c r="N921" s="44"/>
      <c r="O921" s="44"/>
      <c r="P921" s="44"/>
      <c r="Q921" s="44"/>
      <c r="R921" s="44"/>
      <c r="S921" s="44"/>
      <c r="T921" s="44"/>
      <c r="U921" s="44"/>
      <c r="V921" s="44"/>
      <c r="W921" s="44"/>
      <c r="X921" s="44"/>
      <c r="Y921" s="44"/>
      <c r="Z921" s="44"/>
      <c r="AA921" s="44"/>
      <c r="AB921" s="44"/>
      <c r="AC921" s="44"/>
      <c r="AD921" s="44"/>
      <c r="AE921" s="44"/>
      <c r="AF921" s="44"/>
      <c r="AG921" s="44"/>
      <c r="AH921" s="44"/>
      <c r="AI921" s="44"/>
      <c r="AJ921" s="44"/>
      <c r="AK921" s="44"/>
      <c r="AL921" s="44"/>
      <c r="AM921" s="44"/>
      <c r="AN921" s="44"/>
    </row>
    <row r="922" spans="1:40" ht="16.5" customHeight="1">
      <c r="A922" s="44"/>
      <c r="B922" s="44"/>
      <c r="C922" s="44"/>
      <c r="D922" s="172"/>
      <c r="E922" s="44"/>
      <c r="F922" s="44"/>
      <c r="G922" s="44"/>
      <c r="H922" s="44"/>
      <c r="I922" s="44"/>
      <c r="J922" s="44"/>
      <c r="K922" s="53"/>
      <c r="L922" s="44"/>
      <c r="M922" s="44"/>
      <c r="N922" s="44"/>
      <c r="O922" s="44"/>
      <c r="P922" s="44"/>
      <c r="Q922" s="44"/>
      <c r="R922" s="44"/>
      <c r="S922" s="44"/>
      <c r="T922" s="44"/>
      <c r="U922" s="44"/>
      <c r="V922" s="44"/>
      <c r="W922" s="44"/>
      <c r="X922" s="44"/>
      <c r="Y922" s="44"/>
      <c r="Z922" s="44"/>
      <c r="AA922" s="44"/>
      <c r="AB922" s="44"/>
      <c r="AC922" s="44"/>
      <c r="AD922" s="44"/>
      <c r="AE922" s="44"/>
      <c r="AF922" s="44"/>
      <c r="AG922" s="44"/>
      <c r="AH922" s="44"/>
      <c r="AI922" s="44"/>
      <c r="AJ922" s="44"/>
      <c r="AK922" s="44"/>
      <c r="AL922" s="44"/>
      <c r="AM922" s="44"/>
      <c r="AN922" s="44"/>
    </row>
    <row r="923" spans="1:40" ht="16.5" customHeight="1">
      <c r="A923" s="44"/>
      <c r="B923" s="44"/>
      <c r="C923" s="44"/>
      <c r="D923" s="172"/>
      <c r="E923" s="44"/>
      <c r="F923" s="44"/>
      <c r="G923" s="44"/>
      <c r="H923" s="44"/>
      <c r="I923" s="44"/>
      <c r="J923" s="44"/>
      <c r="K923" s="53"/>
      <c r="L923" s="44"/>
      <c r="M923" s="44"/>
      <c r="N923" s="44"/>
      <c r="O923" s="44"/>
      <c r="P923" s="44"/>
      <c r="Q923" s="44"/>
      <c r="R923" s="44"/>
      <c r="S923" s="44"/>
      <c r="T923" s="44"/>
      <c r="U923" s="44"/>
      <c r="V923" s="44"/>
      <c r="W923" s="44"/>
      <c r="X923" s="44"/>
      <c r="Y923" s="44"/>
      <c r="Z923" s="44"/>
      <c r="AA923" s="44"/>
      <c r="AB923" s="44"/>
      <c r="AC923" s="44"/>
      <c r="AD923" s="44"/>
      <c r="AE923" s="44"/>
      <c r="AF923" s="44"/>
      <c r="AG923" s="44"/>
      <c r="AH923" s="44"/>
      <c r="AI923" s="44"/>
      <c r="AJ923" s="44"/>
      <c r="AK923" s="44"/>
      <c r="AL923" s="44"/>
      <c r="AM923" s="44"/>
      <c r="AN923" s="44"/>
    </row>
    <row r="924" spans="1:40" ht="16.5" customHeight="1">
      <c r="A924" s="44"/>
      <c r="B924" s="44"/>
      <c r="C924" s="44"/>
      <c r="D924" s="172"/>
      <c r="E924" s="44"/>
      <c r="F924" s="44"/>
      <c r="G924" s="44"/>
      <c r="H924" s="44"/>
      <c r="I924" s="44"/>
      <c r="J924" s="44"/>
      <c r="K924" s="53"/>
      <c r="L924" s="44"/>
      <c r="M924" s="44"/>
      <c r="N924" s="44"/>
      <c r="O924" s="44"/>
      <c r="P924" s="44"/>
      <c r="Q924" s="44"/>
      <c r="R924" s="44"/>
      <c r="S924" s="44"/>
      <c r="T924" s="44"/>
      <c r="U924" s="44"/>
      <c r="V924" s="44"/>
      <c r="W924" s="44"/>
      <c r="X924" s="44"/>
      <c r="Y924" s="44"/>
      <c r="Z924" s="44"/>
      <c r="AA924" s="44"/>
      <c r="AB924" s="44"/>
      <c r="AC924" s="44"/>
      <c r="AD924" s="44"/>
      <c r="AE924" s="44"/>
      <c r="AF924" s="44"/>
      <c r="AG924" s="44"/>
      <c r="AH924" s="44"/>
      <c r="AI924" s="44"/>
      <c r="AJ924" s="44"/>
      <c r="AK924" s="44"/>
      <c r="AL924" s="44"/>
      <c r="AM924" s="44"/>
      <c r="AN924" s="44"/>
    </row>
    <row r="925" spans="1:40" ht="16.5" customHeight="1">
      <c r="A925" s="44"/>
      <c r="B925" s="44"/>
      <c r="C925" s="44"/>
      <c r="D925" s="172"/>
      <c r="E925" s="44"/>
      <c r="F925" s="44"/>
      <c r="G925" s="44"/>
      <c r="H925" s="44"/>
      <c r="I925" s="44"/>
      <c r="J925" s="44"/>
      <c r="K925" s="53"/>
      <c r="L925" s="44"/>
      <c r="M925" s="44"/>
      <c r="N925" s="44"/>
      <c r="O925" s="44"/>
      <c r="P925" s="44"/>
      <c r="Q925" s="44"/>
      <c r="R925" s="44"/>
      <c r="S925" s="44"/>
      <c r="T925" s="44"/>
      <c r="U925" s="44"/>
      <c r="V925" s="44"/>
      <c r="W925" s="44"/>
      <c r="X925" s="44"/>
      <c r="Y925" s="44"/>
      <c r="Z925" s="44"/>
      <c r="AA925" s="44"/>
      <c r="AB925" s="44"/>
      <c r="AC925" s="44"/>
      <c r="AD925" s="44"/>
      <c r="AE925" s="44"/>
      <c r="AF925" s="44"/>
      <c r="AG925" s="44"/>
      <c r="AH925" s="44"/>
      <c r="AI925" s="44"/>
      <c r="AJ925" s="44"/>
      <c r="AK925" s="44"/>
      <c r="AL925" s="44"/>
      <c r="AM925" s="44"/>
      <c r="AN925" s="44"/>
    </row>
    <row r="926" spans="1:40" ht="16.5" customHeight="1">
      <c r="A926" s="44"/>
      <c r="B926" s="44"/>
      <c r="C926" s="44"/>
      <c r="D926" s="172"/>
      <c r="E926" s="44"/>
      <c r="F926" s="44"/>
      <c r="G926" s="44"/>
      <c r="H926" s="44"/>
      <c r="I926" s="44"/>
      <c r="J926" s="44"/>
      <c r="K926" s="53"/>
      <c r="L926" s="44"/>
      <c r="M926" s="44"/>
      <c r="N926" s="44"/>
      <c r="O926" s="44"/>
      <c r="P926" s="44"/>
      <c r="Q926" s="44"/>
      <c r="R926" s="44"/>
      <c r="S926" s="44"/>
      <c r="T926" s="44"/>
      <c r="U926" s="44"/>
      <c r="V926" s="44"/>
      <c r="W926" s="44"/>
      <c r="X926" s="44"/>
      <c r="Y926" s="44"/>
      <c r="Z926" s="44"/>
      <c r="AA926" s="44"/>
      <c r="AB926" s="44"/>
      <c r="AC926" s="44"/>
      <c r="AD926" s="44"/>
      <c r="AE926" s="44"/>
      <c r="AF926" s="44"/>
      <c r="AG926" s="44"/>
      <c r="AH926" s="44"/>
      <c r="AI926" s="44"/>
      <c r="AJ926" s="44"/>
      <c r="AK926" s="44"/>
      <c r="AL926" s="44"/>
      <c r="AM926" s="44"/>
      <c r="AN926" s="44"/>
    </row>
    <row r="927" spans="1:40" ht="16.5" customHeight="1">
      <c r="A927" s="44"/>
      <c r="B927" s="44"/>
      <c r="C927" s="44"/>
      <c r="D927" s="172"/>
      <c r="E927" s="44"/>
      <c r="F927" s="44"/>
      <c r="G927" s="44"/>
      <c r="H927" s="44"/>
      <c r="I927" s="44"/>
      <c r="J927" s="44"/>
      <c r="K927" s="53"/>
      <c r="L927" s="44"/>
      <c r="M927" s="44"/>
      <c r="N927" s="44"/>
      <c r="O927" s="44"/>
      <c r="P927" s="44"/>
      <c r="Q927" s="44"/>
      <c r="R927" s="44"/>
      <c r="S927" s="44"/>
      <c r="T927" s="44"/>
      <c r="U927" s="44"/>
      <c r="V927" s="44"/>
      <c r="W927" s="44"/>
      <c r="X927" s="44"/>
      <c r="Y927" s="44"/>
      <c r="Z927" s="44"/>
      <c r="AA927" s="44"/>
      <c r="AB927" s="44"/>
      <c r="AC927" s="44"/>
      <c r="AD927" s="44"/>
      <c r="AE927" s="44"/>
      <c r="AF927" s="44"/>
      <c r="AG927" s="44"/>
      <c r="AH927" s="44"/>
      <c r="AI927" s="44"/>
      <c r="AJ927" s="44"/>
      <c r="AK927" s="44"/>
      <c r="AL927" s="44"/>
      <c r="AM927" s="44"/>
      <c r="AN927" s="44"/>
    </row>
    <row r="928" spans="1:40" ht="16.5" customHeight="1">
      <c r="A928" s="44"/>
      <c r="B928" s="44"/>
      <c r="C928" s="44"/>
      <c r="D928" s="172"/>
      <c r="E928" s="44"/>
      <c r="F928" s="44"/>
      <c r="G928" s="44"/>
      <c r="H928" s="44"/>
      <c r="I928" s="44"/>
      <c r="J928" s="44"/>
      <c r="K928" s="53"/>
      <c r="L928" s="44"/>
      <c r="M928" s="44"/>
      <c r="N928" s="44"/>
      <c r="O928" s="44"/>
      <c r="P928" s="44"/>
      <c r="Q928" s="44"/>
      <c r="R928" s="44"/>
      <c r="S928" s="44"/>
      <c r="T928" s="44"/>
      <c r="U928" s="44"/>
      <c r="V928" s="44"/>
      <c r="W928" s="44"/>
      <c r="X928" s="44"/>
      <c r="Y928" s="44"/>
      <c r="Z928" s="44"/>
      <c r="AA928" s="44"/>
      <c r="AB928" s="44"/>
      <c r="AC928" s="44"/>
      <c r="AD928" s="44"/>
      <c r="AE928" s="44"/>
      <c r="AF928" s="44"/>
      <c r="AG928" s="44"/>
      <c r="AH928" s="44"/>
      <c r="AI928" s="44"/>
      <c r="AJ928" s="44"/>
      <c r="AK928" s="44"/>
      <c r="AL928" s="44"/>
      <c r="AM928" s="44"/>
      <c r="AN928" s="44"/>
    </row>
    <row r="929" spans="1:40" ht="16.5" customHeight="1">
      <c r="A929" s="44"/>
      <c r="B929" s="44"/>
      <c r="C929" s="44"/>
      <c r="D929" s="172"/>
      <c r="E929" s="44"/>
      <c r="F929" s="44"/>
      <c r="G929" s="44"/>
      <c r="H929" s="44"/>
      <c r="I929" s="44"/>
      <c r="J929" s="44"/>
      <c r="K929" s="53"/>
      <c r="L929" s="44"/>
      <c r="M929" s="44"/>
      <c r="N929" s="44"/>
      <c r="O929" s="44"/>
      <c r="P929" s="44"/>
      <c r="Q929" s="44"/>
      <c r="R929" s="44"/>
      <c r="S929" s="44"/>
      <c r="T929" s="44"/>
      <c r="U929" s="44"/>
      <c r="V929" s="44"/>
      <c r="W929" s="44"/>
      <c r="X929" s="44"/>
      <c r="Y929" s="44"/>
      <c r="Z929" s="44"/>
      <c r="AA929" s="44"/>
      <c r="AB929" s="44"/>
      <c r="AC929" s="44"/>
      <c r="AD929" s="44"/>
      <c r="AE929" s="44"/>
      <c r="AF929" s="44"/>
      <c r="AG929" s="44"/>
      <c r="AH929" s="44"/>
      <c r="AI929" s="44"/>
      <c r="AJ929" s="44"/>
      <c r="AK929" s="44"/>
      <c r="AL929" s="44"/>
      <c r="AM929" s="44"/>
      <c r="AN929" s="44"/>
    </row>
    <row r="930" spans="1:40" ht="16.5" customHeight="1">
      <c r="A930" s="44"/>
      <c r="B930" s="44"/>
      <c r="C930" s="44"/>
      <c r="D930" s="172"/>
      <c r="E930" s="44"/>
      <c r="F930" s="44"/>
      <c r="G930" s="44"/>
      <c r="H930" s="44"/>
      <c r="I930" s="44"/>
      <c r="J930" s="44"/>
      <c r="K930" s="53"/>
      <c r="L930" s="44"/>
      <c r="M930" s="44"/>
      <c r="N930" s="44"/>
      <c r="O930" s="44"/>
      <c r="P930" s="44"/>
      <c r="Q930" s="44"/>
      <c r="R930" s="44"/>
      <c r="S930" s="44"/>
      <c r="T930" s="44"/>
      <c r="U930" s="44"/>
      <c r="V930" s="44"/>
      <c r="W930" s="44"/>
      <c r="X930" s="44"/>
      <c r="Y930" s="44"/>
      <c r="Z930" s="44"/>
      <c r="AA930" s="44"/>
      <c r="AB930" s="44"/>
      <c r="AC930" s="44"/>
      <c r="AD930" s="44"/>
      <c r="AE930" s="44"/>
      <c r="AF930" s="44"/>
      <c r="AG930" s="44"/>
      <c r="AH930" s="44"/>
      <c r="AI930" s="44"/>
      <c r="AJ930" s="44"/>
      <c r="AK930" s="44"/>
      <c r="AL930" s="44"/>
      <c r="AM930" s="44"/>
      <c r="AN930" s="44"/>
    </row>
    <row r="931" spans="1:40" ht="16.5" customHeight="1">
      <c r="A931" s="44"/>
      <c r="B931" s="44"/>
      <c r="C931" s="44"/>
      <c r="D931" s="172"/>
      <c r="E931" s="44"/>
      <c r="F931" s="44"/>
      <c r="G931" s="44"/>
      <c r="H931" s="44"/>
      <c r="I931" s="44"/>
      <c r="J931" s="44"/>
      <c r="K931" s="53"/>
      <c r="L931" s="44"/>
      <c r="M931" s="44"/>
      <c r="N931" s="44"/>
      <c r="O931" s="44"/>
      <c r="P931" s="44"/>
      <c r="Q931" s="44"/>
      <c r="R931" s="44"/>
      <c r="S931" s="44"/>
      <c r="T931" s="44"/>
      <c r="U931" s="44"/>
      <c r="V931" s="44"/>
      <c r="W931" s="44"/>
      <c r="X931" s="44"/>
      <c r="Y931" s="44"/>
      <c r="Z931" s="44"/>
      <c r="AA931" s="44"/>
      <c r="AB931" s="44"/>
      <c r="AC931" s="44"/>
      <c r="AD931" s="44"/>
      <c r="AE931" s="44"/>
      <c r="AF931" s="44"/>
      <c r="AG931" s="44"/>
      <c r="AH931" s="44"/>
      <c r="AI931" s="44"/>
      <c r="AJ931" s="44"/>
      <c r="AK931" s="44"/>
      <c r="AL931" s="44"/>
      <c r="AM931" s="44"/>
      <c r="AN931" s="44"/>
    </row>
    <row r="932" spans="1:40" ht="16.5" customHeight="1">
      <c r="A932" s="44"/>
      <c r="B932" s="44"/>
      <c r="C932" s="44"/>
      <c r="D932" s="172"/>
      <c r="E932" s="44"/>
      <c r="F932" s="44"/>
      <c r="G932" s="44"/>
      <c r="H932" s="44"/>
      <c r="I932" s="44"/>
      <c r="J932" s="44"/>
      <c r="K932" s="53"/>
      <c r="L932" s="44"/>
      <c r="M932" s="44"/>
      <c r="N932" s="44"/>
      <c r="O932" s="44"/>
      <c r="P932" s="44"/>
      <c r="Q932" s="44"/>
      <c r="R932" s="44"/>
      <c r="S932" s="44"/>
      <c r="T932" s="44"/>
      <c r="U932" s="44"/>
      <c r="V932" s="44"/>
      <c r="W932" s="44"/>
      <c r="X932" s="44"/>
      <c r="Y932" s="44"/>
      <c r="Z932" s="44"/>
      <c r="AA932" s="44"/>
      <c r="AB932" s="44"/>
      <c r="AC932" s="44"/>
      <c r="AD932" s="44"/>
      <c r="AE932" s="44"/>
      <c r="AF932" s="44"/>
      <c r="AG932" s="44"/>
      <c r="AH932" s="44"/>
      <c r="AI932" s="44"/>
      <c r="AJ932" s="44"/>
      <c r="AK932" s="44"/>
      <c r="AL932" s="44"/>
      <c r="AM932" s="44"/>
      <c r="AN932" s="44"/>
    </row>
    <row r="933" spans="1:40" ht="16.5" customHeight="1">
      <c r="A933" s="44"/>
      <c r="B933" s="44"/>
      <c r="C933" s="44"/>
      <c r="D933" s="172"/>
      <c r="E933" s="44"/>
      <c r="F933" s="44"/>
      <c r="G933" s="44"/>
      <c r="H933" s="44"/>
      <c r="I933" s="44"/>
      <c r="J933" s="44"/>
      <c r="K933" s="53"/>
      <c r="L933" s="44"/>
      <c r="M933" s="44"/>
      <c r="N933" s="44"/>
      <c r="O933" s="44"/>
      <c r="P933" s="44"/>
      <c r="Q933" s="44"/>
      <c r="R933" s="44"/>
      <c r="S933" s="44"/>
      <c r="T933" s="44"/>
      <c r="U933" s="44"/>
      <c r="V933" s="44"/>
      <c r="W933" s="44"/>
      <c r="X933" s="44"/>
      <c r="Y933" s="44"/>
      <c r="Z933" s="44"/>
      <c r="AA933" s="44"/>
      <c r="AB933" s="44"/>
      <c r="AC933" s="44"/>
      <c r="AD933" s="44"/>
      <c r="AE933" s="44"/>
      <c r="AF933" s="44"/>
      <c r="AG933" s="44"/>
      <c r="AH933" s="44"/>
      <c r="AI933" s="44"/>
      <c r="AJ933" s="44"/>
      <c r="AK933" s="44"/>
      <c r="AL933" s="44"/>
      <c r="AM933" s="44"/>
      <c r="AN933" s="44"/>
    </row>
    <row r="934" spans="1:40" ht="16.5" customHeight="1">
      <c r="A934" s="44"/>
      <c r="B934" s="44"/>
      <c r="C934" s="44"/>
      <c r="D934" s="172"/>
      <c r="E934" s="44"/>
      <c r="F934" s="44"/>
      <c r="G934" s="44"/>
      <c r="H934" s="44"/>
      <c r="I934" s="44"/>
      <c r="J934" s="44"/>
      <c r="K934" s="53"/>
      <c r="L934" s="44"/>
      <c r="M934" s="44"/>
      <c r="N934" s="44"/>
      <c r="O934" s="44"/>
      <c r="P934" s="44"/>
      <c r="Q934" s="44"/>
      <c r="R934" s="44"/>
      <c r="S934" s="44"/>
      <c r="T934" s="44"/>
      <c r="U934" s="44"/>
      <c r="V934" s="44"/>
      <c r="W934" s="44"/>
      <c r="X934" s="44"/>
      <c r="Y934" s="44"/>
      <c r="Z934" s="44"/>
      <c r="AA934" s="44"/>
      <c r="AB934" s="44"/>
      <c r="AC934" s="44"/>
      <c r="AD934" s="44"/>
      <c r="AE934" s="44"/>
      <c r="AF934" s="44"/>
      <c r="AG934" s="44"/>
      <c r="AH934" s="44"/>
      <c r="AI934" s="44"/>
      <c r="AJ934" s="44"/>
      <c r="AK934" s="44"/>
      <c r="AL934" s="44"/>
      <c r="AM934" s="44"/>
      <c r="AN934" s="44"/>
    </row>
    <row r="935" spans="1:40" ht="16.5" customHeight="1">
      <c r="A935" s="44"/>
      <c r="B935" s="44"/>
      <c r="C935" s="44"/>
      <c r="D935" s="172"/>
      <c r="E935" s="44"/>
      <c r="F935" s="44"/>
      <c r="G935" s="44"/>
      <c r="H935" s="44"/>
      <c r="I935" s="44"/>
      <c r="J935" s="44"/>
      <c r="K935" s="53"/>
      <c r="L935" s="44"/>
      <c r="M935" s="44"/>
      <c r="N935" s="44"/>
      <c r="O935" s="44"/>
      <c r="P935" s="44"/>
      <c r="Q935" s="44"/>
      <c r="R935" s="44"/>
      <c r="S935" s="44"/>
      <c r="T935" s="44"/>
      <c r="U935" s="44"/>
      <c r="V935" s="44"/>
      <c r="W935" s="44"/>
      <c r="X935" s="44"/>
      <c r="Y935" s="44"/>
      <c r="Z935" s="44"/>
      <c r="AA935" s="44"/>
      <c r="AB935" s="44"/>
      <c r="AC935" s="44"/>
      <c r="AD935" s="44"/>
      <c r="AE935" s="44"/>
      <c r="AF935" s="44"/>
      <c r="AG935" s="44"/>
      <c r="AH935" s="44"/>
      <c r="AI935" s="44"/>
      <c r="AJ935" s="44"/>
      <c r="AK935" s="44"/>
      <c r="AL935" s="44"/>
      <c r="AM935" s="44"/>
      <c r="AN935" s="44"/>
    </row>
    <row r="936" spans="1:40" ht="16.5" customHeight="1">
      <c r="A936" s="44"/>
      <c r="B936" s="44"/>
      <c r="C936" s="44"/>
      <c r="D936" s="172"/>
      <c r="E936" s="44"/>
      <c r="F936" s="44"/>
      <c r="G936" s="44"/>
      <c r="H936" s="44"/>
      <c r="I936" s="44"/>
      <c r="J936" s="44"/>
      <c r="K936" s="53"/>
      <c r="L936" s="44"/>
      <c r="M936" s="44"/>
      <c r="N936" s="44"/>
      <c r="O936" s="44"/>
      <c r="P936" s="44"/>
      <c r="Q936" s="44"/>
      <c r="R936" s="44"/>
      <c r="S936" s="44"/>
      <c r="T936" s="44"/>
      <c r="U936" s="44"/>
      <c r="V936" s="44"/>
      <c r="W936" s="44"/>
      <c r="X936" s="44"/>
      <c r="Y936" s="44"/>
      <c r="Z936" s="44"/>
      <c r="AA936" s="44"/>
      <c r="AB936" s="44"/>
      <c r="AC936" s="44"/>
      <c r="AD936" s="44"/>
      <c r="AE936" s="44"/>
      <c r="AF936" s="44"/>
      <c r="AG936" s="44"/>
      <c r="AH936" s="44"/>
      <c r="AI936" s="44"/>
      <c r="AJ936" s="44"/>
      <c r="AK936" s="44"/>
      <c r="AL936" s="44"/>
      <c r="AM936" s="44"/>
      <c r="AN936" s="44"/>
    </row>
    <row r="937" spans="1:40" ht="16.5" customHeight="1">
      <c r="A937" s="44"/>
      <c r="B937" s="44"/>
      <c r="C937" s="44"/>
      <c r="D937" s="172"/>
      <c r="E937" s="44"/>
      <c r="F937" s="44"/>
      <c r="G937" s="44"/>
      <c r="H937" s="44"/>
      <c r="I937" s="44"/>
      <c r="J937" s="44"/>
      <c r="K937" s="53"/>
      <c r="L937" s="44"/>
      <c r="M937" s="44"/>
      <c r="N937" s="44"/>
      <c r="O937" s="44"/>
      <c r="P937" s="44"/>
      <c r="Q937" s="44"/>
      <c r="R937" s="44"/>
      <c r="S937" s="44"/>
      <c r="T937" s="44"/>
      <c r="U937" s="44"/>
      <c r="V937" s="44"/>
      <c r="W937" s="44"/>
      <c r="X937" s="44"/>
      <c r="Y937" s="44"/>
      <c r="Z937" s="44"/>
      <c r="AA937" s="44"/>
      <c r="AB937" s="44"/>
      <c r="AC937" s="44"/>
      <c r="AD937" s="44"/>
      <c r="AE937" s="44"/>
      <c r="AF937" s="44"/>
      <c r="AG937" s="44"/>
      <c r="AH937" s="44"/>
      <c r="AI937" s="44"/>
      <c r="AJ937" s="44"/>
      <c r="AK937" s="44"/>
      <c r="AL937" s="44"/>
      <c r="AM937" s="44"/>
      <c r="AN937" s="44"/>
    </row>
    <row r="938" spans="1:40" ht="16.5" customHeight="1">
      <c r="A938" s="44"/>
      <c r="B938" s="44"/>
      <c r="C938" s="44"/>
      <c r="D938" s="172"/>
      <c r="E938" s="44"/>
      <c r="F938" s="44"/>
      <c r="G938" s="44"/>
      <c r="H938" s="44"/>
      <c r="I938" s="44"/>
      <c r="J938" s="44"/>
      <c r="K938" s="53"/>
      <c r="L938" s="44"/>
      <c r="M938" s="44"/>
      <c r="N938" s="44"/>
      <c r="O938" s="44"/>
      <c r="P938" s="44"/>
      <c r="Q938" s="44"/>
      <c r="R938" s="44"/>
      <c r="S938" s="44"/>
      <c r="T938" s="44"/>
      <c r="U938" s="44"/>
      <c r="V938" s="44"/>
      <c r="W938" s="44"/>
      <c r="X938" s="44"/>
      <c r="Y938" s="44"/>
      <c r="Z938" s="44"/>
      <c r="AA938" s="44"/>
      <c r="AB938" s="44"/>
      <c r="AC938" s="44"/>
      <c r="AD938" s="44"/>
      <c r="AE938" s="44"/>
      <c r="AF938" s="44"/>
      <c r="AG938" s="44"/>
      <c r="AH938" s="44"/>
      <c r="AI938" s="44"/>
      <c r="AJ938" s="44"/>
      <c r="AK938" s="44"/>
      <c r="AL938" s="44"/>
      <c r="AM938" s="44"/>
      <c r="AN938" s="44"/>
    </row>
    <row r="939" spans="1:40" ht="16.5" customHeight="1">
      <c r="A939" s="44"/>
      <c r="B939" s="44"/>
      <c r="C939" s="44"/>
      <c r="D939" s="172"/>
      <c r="E939" s="44"/>
      <c r="F939" s="44"/>
      <c r="G939" s="44"/>
      <c r="H939" s="44"/>
      <c r="I939" s="44"/>
      <c r="J939" s="44"/>
      <c r="K939" s="53"/>
      <c r="L939" s="44"/>
      <c r="M939" s="44"/>
      <c r="N939" s="44"/>
      <c r="O939" s="44"/>
      <c r="P939" s="44"/>
      <c r="Q939" s="44"/>
      <c r="R939" s="44"/>
      <c r="S939" s="44"/>
      <c r="T939" s="44"/>
      <c r="U939" s="44"/>
      <c r="V939" s="44"/>
      <c r="W939" s="44"/>
      <c r="X939" s="44"/>
      <c r="Y939" s="44"/>
      <c r="Z939" s="44"/>
      <c r="AA939" s="44"/>
      <c r="AB939" s="44"/>
      <c r="AC939" s="44"/>
      <c r="AD939" s="44"/>
      <c r="AE939" s="44"/>
      <c r="AF939" s="44"/>
      <c r="AG939" s="44"/>
      <c r="AH939" s="44"/>
      <c r="AI939" s="44"/>
      <c r="AJ939" s="44"/>
      <c r="AK939" s="44"/>
      <c r="AL939" s="44"/>
      <c r="AM939" s="44"/>
      <c r="AN939" s="44"/>
    </row>
    <row r="940" spans="1:40" ht="16.5" customHeight="1">
      <c r="A940" s="44"/>
      <c r="B940" s="44"/>
      <c r="C940" s="44"/>
      <c r="D940" s="172"/>
      <c r="E940" s="44"/>
      <c r="F940" s="44"/>
      <c r="G940" s="44"/>
      <c r="H940" s="44"/>
      <c r="I940" s="44"/>
      <c r="J940" s="44"/>
      <c r="K940" s="53"/>
      <c r="L940" s="44"/>
      <c r="M940" s="44"/>
      <c r="N940" s="44"/>
      <c r="O940" s="44"/>
      <c r="P940" s="44"/>
      <c r="Q940" s="44"/>
      <c r="R940" s="44"/>
      <c r="S940" s="44"/>
      <c r="T940" s="44"/>
      <c r="U940" s="44"/>
      <c r="V940" s="44"/>
      <c r="W940" s="44"/>
      <c r="X940" s="44"/>
      <c r="Y940" s="44"/>
      <c r="Z940" s="44"/>
      <c r="AA940" s="44"/>
      <c r="AB940" s="44"/>
      <c r="AC940" s="44"/>
      <c r="AD940" s="44"/>
      <c r="AE940" s="44"/>
      <c r="AF940" s="44"/>
      <c r="AG940" s="44"/>
      <c r="AH940" s="44"/>
      <c r="AI940" s="44"/>
      <c r="AJ940" s="44"/>
      <c r="AK940" s="44"/>
      <c r="AL940" s="44"/>
      <c r="AM940" s="44"/>
      <c r="AN940" s="44"/>
    </row>
    <row r="941" spans="1:40" ht="16.5" customHeight="1">
      <c r="A941" s="44"/>
      <c r="B941" s="44"/>
      <c r="C941" s="44"/>
      <c r="D941" s="172"/>
      <c r="E941" s="44"/>
      <c r="F941" s="44"/>
      <c r="G941" s="44"/>
      <c r="H941" s="44"/>
      <c r="I941" s="44"/>
      <c r="J941" s="44"/>
      <c r="K941" s="53"/>
      <c r="L941" s="44"/>
      <c r="M941" s="44"/>
      <c r="N941" s="44"/>
      <c r="O941" s="44"/>
      <c r="P941" s="44"/>
      <c r="Q941" s="44"/>
      <c r="R941" s="44"/>
      <c r="S941" s="44"/>
      <c r="T941" s="44"/>
      <c r="U941" s="44"/>
      <c r="V941" s="44"/>
      <c r="W941" s="44"/>
      <c r="X941" s="44"/>
      <c r="Y941" s="44"/>
      <c r="Z941" s="44"/>
      <c r="AA941" s="44"/>
      <c r="AB941" s="44"/>
      <c r="AC941" s="44"/>
      <c r="AD941" s="44"/>
      <c r="AE941" s="44"/>
      <c r="AF941" s="44"/>
      <c r="AG941" s="44"/>
      <c r="AH941" s="44"/>
      <c r="AI941" s="44"/>
      <c r="AJ941" s="44"/>
      <c r="AK941" s="44"/>
      <c r="AL941" s="44"/>
      <c r="AM941" s="44"/>
      <c r="AN941" s="44"/>
    </row>
    <row r="942" spans="1:40" ht="16.5" customHeight="1">
      <c r="A942" s="44"/>
      <c r="B942" s="44"/>
      <c r="C942" s="44"/>
      <c r="D942" s="172"/>
      <c r="E942" s="44"/>
      <c r="F942" s="44"/>
      <c r="G942" s="44"/>
      <c r="H942" s="44"/>
      <c r="I942" s="44"/>
      <c r="J942" s="44"/>
      <c r="K942" s="53"/>
      <c r="L942" s="44"/>
      <c r="M942" s="44"/>
      <c r="N942" s="44"/>
      <c r="O942" s="44"/>
      <c r="P942" s="44"/>
      <c r="Q942" s="44"/>
      <c r="R942" s="44"/>
      <c r="S942" s="44"/>
      <c r="T942" s="44"/>
      <c r="U942" s="44"/>
      <c r="V942" s="44"/>
      <c r="W942" s="44"/>
      <c r="X942" s="44"/>
      <c r="Y942" s="44"/>
      <c r="Z942" s="44"/>
      <c r="AA942" s="44"/>
      <c r="AB942" s="44"/>
      <c r="AC942" s="44"/>
      <c r="AD942" s="44"/>
      <c r="AE942" s="44"/>
      <c r="AF942" s="44"/>
      <c r="AG942" s="44"/>
      <c r="AH942" s="44"/>
      <c r="AI942" s="44"/>
      <c r="AJ942" s="44"/>
      <c r="AK942" s="44"/>
      <c r="AL942" s="44"/>
      <c r="AM942" s="44"/>
      <c r="AN942" s="44"/>
    </row>
    <row r="943" spans="1:40" ht="16.5" customHeight="1">
      <c r="A943" s="44"/>
      <c r="B943" s="44"/>
      <c r="C943" s="44"/>
      <c r="D943" s="172"/>
      <c r="E943" s="44"/>
      <c r="F943" s="44"/>
      <c r="G943" s="44"/>
      <c r="H943" s="44"/>
      <c r="I943" s="44"/>
      <c r="J943" s="44"/>
      <c r="K943" s="53"/>
      <c r="L943" s="44"/>
      <c r="M943" s="44"/>
      <c r="N943" s="44"/>
      <c r="O943" s="44"/>
      <c r="P943" s="44"/>
      <c r="Q943" s="44"/>
      <c r="R943" s="44"/>
      <c r="S943" s="44"/>
      <c r="T943" s="44"/>
      <c r="U943" s="44"/>
      <c r="V943" s="44"/>
      <c r="W943" s="44"/>
      <c r="X943" s="44"/>
      <c r="Y943" s="44"/>
      <c r="Z943" s="44"/>
      <c r="AA943" s="44"/>
      <c r="AB943" s="44"/>
      <c r="AC943" s="44"/>
      <c r="AD943" s="44"/>
      <c r="AE943" s="44"/>
      <c r="AF943" s="44"/>
      <c r="AG943" s="44"/>
      <c r="AH943" s="44"/>
      <c r="AI943" s="44"/>
      <c r="AJ943" s="44"/>
      <c r="AK943" s="44"/>
      <c r="AL943" s="44"/>
      <c r="AM943" s="44"/>
      <c r="AN943" s="44"/>
    </row>
    <row r="944" spans="1:40" ht="16.5" customHeight="1">
      <c r="A944" s="44"/>
      <c r="B944" s="44"/>
      <c r="C944" s="44"/>
      <c r="D944" s="172"/>
      <c r="E944" s="44"/>
      <c r="F944" s="44"/>
      <c r="G944" s="44"/>
      <c r="H944" s="44"/>
      <c r="I944" s="44"/>
      <c r="J944" s="44"/>
      <c r="K944" s="53"/>
      <c r="L944" s="44"/>
      <c r="M944" s="44"/>
      <c r="N944" s="44"/>
      <c r="O944" s="44"/>
      <c r="P944" s="44"/>
      <c r="Q944" s="44"/>
      <c r="R944" s="44"/>
      <c r="S944" s="44"/>
      <c r="T944" s="44"/>
      <c r="U944" s="44"/>
      <c r="V944" s="44"/>
      <c r="W944" s="44"/>
      <c r="X944" s="44"/>
      <c r="Y944" s="44"/>
      <c r="Z944" s="44"/>
      <c r="AA944" s="44"/>
      <c r="AB944" s="44"/>
      <c r="AC944" s="44"/>
      <c r="AD944" s="44"/>
      <c r="AE944" s="44"/>
      <c r="AF944" s="44"/>
      <c r="AG944" s="44"/>
      <c r="AH944" s="44"/>
      <c r="AI944" s="44"/>
      <c r="AJ944" s="44"/>
      <c r="AK944" s="44"/>
      <c r="AL944" s="44"/>
      <c r="AM944" s="44"/>
      <c r="AN944" s="44"/>
    </row>
    <row r="945" spans="1:40" ht="16.5" customHeight="1">
      <c r="A945" s="44"/>
      <c r="B945" s="44"/>
      <c r="C945" s="44"/>
      <c r="D945" s="172"/>
      <c r="E945" s="44"/>
      <c r="F945" s="44"/>
      <c r="G945" s="44"/>
      <c r="H945" s="44"/>
      <c r="I945" s="44"/>
      <c r="J945" s="44"/>
      <c r="K945" s="53"/>
      <c r="L945" s="44"/>
      <c r="M945" s="44"/>
      <c r="N945" s="44"/>
      <c r="O945" s="44"/>
      <c r="P945" s="44"/>
      <c r="Q945" s="44"/>
      <c r="R945" s="44"/>
      <c r="S945" s="44"/>
      <c r="T945" s="44"/>
      <c r="U945" s="44"/>
      <c r="V945" s="44"/>
      <c r="W945" s="44"/>
      <c r="X945" s="44"/>
      <c r="Y945" s="44"/>
      <c r="Z945" s="44"/>
      <c r="AA945" s="44"/>
      <c r="AB945" s="44"/>
      <c r="AC945" s="44"/>
      <c r="AD945" s="44"/>
      <c r="AE945" s="44"/>
      <c r="AF945" s="44"/>
      <c r="AG945" s="44"/>
      <c r="AH945" s="44"/>
      <c r="AI945" s="44"/>
      <c r="AJ945" s="44"/>
      <c r="AK945" s="44"/>
      <c r="AL945" s="44"/>
      <c r="AM945" s="44"/>
      <c r="AN945" s="44"/>
    </row>
    <row r="946" spans="1:40" ht="16.5" customHeight="1">
      <c r="A946" s="44"/>
      <c r="B946" s="44"/>
      <c r="C946" s="44"/>
      <c r="D946" s="172"/>
      <c r="E946" s="44"/>
      <c r="F946" s="44"/>
      <c r="G946" s="44"/>
      <c r="H946" s="44"/>
      <c r="I946" s="44"/>
      <c r="J946" s="44"/>
      <c r="K946" s="53"/>
      <c r="L946" s="44"/>
      <c r="M946" s="44"/>
      <c r="N946" s="44"/>
      <c r="O946" s="44"/>
      <c r="P946" s="44"/>
      <c r="Q946" s="44"/>
      <c r="R946" s="44"/>
      <c r="S946" s="44"/>
      <c r="T946" s="44"/>
      <c r="U946" s="44"/>
      <c r="V946" s="44"/>
      <c r="W946" s="44"/>
      <c r="X946" s="44"/>
      <c r="Y946" s="44"/>
      <c r="Z946" s="44"/>
      <c r="AA946" s="44"/>
      <c r="AB946" s="44"/>
      <c r="AC946" s="44"/>
      <c r="AD946" s="44"/>
      <c r="AE946" s="44"/>
      <c r="AF946" s="44"/>
      <c r="AG946" s="44"/>
      <c r="AH946" s="44"/>
      <c r="AI946" s="44"/>
      <c r="AJ946" s="44"/>
      <c r="AK946" s="44"/>
      <c r="AL946" s="44"/>
      <c r="AM946" s="44"/>
      <c r="AN946" s="44"/>
    </row>
    <row r="947" spans="1:40" ht="16.5" customHeight="1">
      <c r="A947" s="44"/>
      <c r="B947" s="44"/>
      <c r="C947" s="44"/>
      <c r="D947" s="172"/>
      <c r="E947" s="44"/>
      <c r="F947" s="44"/>
      <c r="G947" s="44"/>
      <c r="H947" s="44"/>
      <c r="I947" s="44"/>
      <c r="J947" s="44"/>
      <c r="K947" s="53"/>
      <c r="L947" s="44"/>
      <c r="M947" s="44"/>
      <c r="N947" s="44"/>
      <c r="O947" s="44"/>
      <c r="P947" s="44"/>
      <c r="Q947" s="44"/>
      <c r="R947" s="44"/>
      <c r="S947" s="44"/>
      <c r="T947" s="44"/>
      <c r="U947" s="44"/>
      <c r="V947" s="44"/>
      <c r="W947" s="44"/>
      <c r="X947" s="44"/>
      <c r="Y947" s="44"/>
      <c r="Z947" s="44"/>
      <c r="AA947" s="44"/>
      <c r="AB947" s="44"/>
      <c r="AC947" s="44"/>
      <c r="AD947" s="44"/>
      <c r="AE947" s="44"/>
      <c r="AF947" s="44"/>
      <c r="AG947" s="44"/>
      <c r="AH947" s="44"/>
      <c r="AI947" s="44"/>
      <c r="AJ947" s="44"/>
      <c r="AK947" s="44"/>
      <c r="AL947" s="44"/>
      <c r="AM947" s="44"/>
      <c r="AN947" s="44"/>
    </row>
    <row r="948" spans="1:40" ht="16.5" customHeight="1">
      <c r="A948" s="44"/>
      <c r="B948" s="44"/>
      <c r="C948" s="44"/>
      <c r="D948" s="172"/>
      <c r="E948" s="44"/>
      <c r="F948" s="44"/>
      <c r="G948" s="44"/>
      <c r="H948" s="44"/>
      <c r="I948" s="44"/>
      <c r="J948" s="44"/>
      <c r="K948" s="53"/>
      <c r="L948" s="44"/>
      <c r="M948" s="44"/>
      <c r="N948" s="44"/>
      <c r="O948" s="44"/>
      <c r="P948" s="44"/>
      <c r="Q948" s="44"/>
      <c r="R948" s="44"/>
      <c r="S948" s="44"/>
      <c r="T948" s="44"/>
      <c r="U948" s="44"/>
      <c r="V948" s="44"/>
      <c r="W948" s="44"/>
      <c r="X948" s="44"/>
      <c r="Y948" s="44"/>
      <c r="Z948" s="44"/>
      <c r="AA948" s="44"/>
      <c r="AB948" s="44"/>
      <c r="AC948" s="44"/>
      <c r="AD948" s="44"/>
      <c r="AE948" s="44"/>
      <c r="AF948" s="44"/>
      <c r="AG948" s="44"/>
      <c r="AH948" s="44"/>
      <c r="AI948" s="44"/>
      <c r="AJ948" s="44"/>
      <c r="AK948" s="44"/>
      <c r="AL948" s="44"/>
      <c r="AM948" s="44"/>
      <c r="AN948" s="44"/>
    </row>
    <row r="949" spans="1:40" ht="16.5" customHeight="1">
      <c r="A949" s="44"/>
      <c r="B949" s="44"/>
      <c r="C949" s="44"/>
      <c r="D949" s="172"/>
      <c r="E949" s="44"/>
      <c r="F949" s="44"/>
      <c r="G949" s="44"/>
      <c r="H949" s="44"/>
      <c r="I949" s="44"/>
      <c r="J949" s="44"/>
      <c r="K949" s="53"/>
      <c r="L949" s="44"/>
      <c r="M949" s="44"/>
      <c r="N949" s="44"/>
      <c r="O949" s="44"/>
      <c r="P949" s="44"/>
      <c r="Q949" s="44"/>
      <c r="R949" s="44"/>
      <c r="S949" s="44"/>
      <c r="T949" s="44"/>
      <c r="U949" s="44"/>
      <c r="V949" s="44"/>
      <c r="W949" s="44"/>
      <c r="X949" s="44"/>
      <c r="Y949" s="44"/>
      <c r="Z949" s="44"/>
      <c r="AA949" s="44"/>
      <c r="AB949" s="44"/>
      <c r="AC949" s="44"/>
      <c r="AD949" s="44"/>
      <c r="AE949" s="44"/>
      <c r="AF949" s="44"/>
      <c r="AG949" s="44"/>
      <c r="AH949" s="44"/>
      <c r="AI949" s="44"/>
      <c r="AJ949" s="44"/>
      <c r="AK949" s="44"/>
      <c r="AL949" s="44"/>
      <c r="AM949" s="44"/>
      <c r="AN949" s="44"/>
    </row>
    <row r="950" spans="1:40" ht="16.5" customHeight="1">
      <c r="A950" s="44"/>
      <c r="B950" s="44"/>
      <c r="C950" s="44"/>
      <c r="D950" s="172"/>
      <c r="E950" s="44"/>
      <c r="F950" s="44"/>
      <c r="G950" s="44"/>
      <c r="H950" s="44"/>
      <c r="I950" s="44"/>
      <c r="J950" s="44"/>
      <c r="K950" s="53"/>
      <c r="L950" s="44"/>
      <c r="M950" s="44"/>
      <c r="N950" s="44"/>
      <c r="O950" s="44"/>
      <c r="P950" s="44"/>
      <c r="Q950" s="44"/>
      <c r="R950" s="44"/>
      <c r="S950" s="44"/>
      <c r="T950" s="44"/>
      <c r="U950" s="44"/>
      <c r="V950" s="44"/>
      <c r="W950" s="44"/>
      <c r="X950" s="44"/>
      <c r="Y950" s="44"/>
      <c r="Z950" s="44"/>
      <c r="AA950" s="44"/>
      <c r="AB950" s="44"/>
      <c r="AC950" s="44"/>
      <c r="AD950" s="44"/>
      <c r="AE950" s="44"/>
      <c r="AF950" s="44"/>
      <c r="AG950" s="44"/>
      <c r="AH950" s="44"/>
      <c r="AI950" s="44"/>
      <c r="AJ950" s="44"/>
      <c r="AK950" s="44"/>
      <c r="AL950" s="44"/>
      <c r="AM950" s="44"/>
      <c r="AN950" s="44"/>
    </row>
    <row r="951" spans="1:40" ht="16.5" customHeight="1">
      <c r="A951" s="44"/>
      <c r="B951" s="44"/>
      <c r="C951" s="44"/>
      <c r="D951" s="172"/>
      <c r="E951" s="44"/>
      <c r="F951" s="44"/>
      <c r="G951" s="44"/>
      <c r="H951" s="44"/>
      <c r="I951" s="44"/>
      <c r="J951" s="44"/>
      <c r="K951" s="53"/>
      <c r="L951" s="44"/>
      <c r="M951" s="44"/>
      <c r="N951" s="44"/>
      <c r="O951" s="44"/>
      <c r="P951" s="44"/>
      <c r="Q951" s="44"/>
      <c r="R951" s="44"/>
      <c r="S951" s="44"/>
      <c r="T951" s="44"/>
      <c r="U951" s="44"/>
      <c r="V951" s="44"/>
      <c r="W951" s="44"/>
      <c r="X951" s="44"/>
      <c r="Y951" s="44"/>
      <c r="Z951" s="44"/>
      <c r="AA951" s="44"/>
      <c r="AB951" s="44"/>
      <c r="AC951" s="44"/>
      <c r="AD951" s="44"/>
      <c r="AE951" s="44"/>
      <c r="AF951" s="44"/>
      <c r="AG951" s="44"/>
      <c r="AH951" s="44"/>
      <c r="AI951" s="44"/>
      <c r="AJ951" s="44"/>
      <c r="AK951" s="44"/>
      <c r="AL951" s="44"/>
      <c r="AM951" s="44"/>
      <c r="AN951" s="44"/>
    </row>
    <row r="952" spans="1:40" ht="16.5" customHeight="1">
      <c r="A952" s="44"/>
      <c r="B952" s="44"/>
      <c r="C952" s="44"/>
      <c r="D952" s="172"/>
      <c r="E952" s="44"/>
      <c r="F952" s="44"/>
      <c r="G952" s="44"/>
      <c r="H952" s="44"/>
      <c r="I952" s="44"/>
      <c r="J952" s="44"/>
      <c r="K952" s="53"/>
      <c r="L952" s="44"/>
      <c r="M952" s="44"/>
      <c r="N952" s="44"/>
      <c r="O952" s="44"/>
      <c r="P952" s="44"/>
      <c r="Q952" s="44"/>
      <c r="R952" s="44"/>
      <c r="S952" s="44"/>
      <c r="T952" s="44"/>
      <c r="U952" s="44"/>
      <c r="V952" s="44"/>
      <c r="W952" s="44"/>
      <c r="X952" s="44"/>
      <c r="Y952" s="44"/>
      <c r="Z952" s="44"/>
      <c r="AA952" s="44"/>
      <c r="AB952" s="44"/>
      <c r="AC952" s="44"/>
      <c r="AD952" s="44"/>
      <c r="AE952" s="44"/>
      <c r="AF952" s="44"/>
      <c r="AG952" s="44"/>
      <c r="AH952" s="44"/>
      <c r="AI952" s="44"/>
      <c r="AJ952" s="44"/>
      <c r="AK952" s="44"/>
      <c r="AL952" s="44"/>
      <c r="AM952" s="44"/>
      <c r="AN952" s="44"/>
    </row>
    <row r="953" spans="1:40" ht="16.5" customHeight="1">
      <c r="A953" s="44"/>
      <c r="B953" s="44"/>
      <c r="C953" s="44"/>
      <c r="D953" s="172"/>
      <c r="E953" s="44"/>
      <c r="F953" s="44"/>
      <c r="G953" s="44"/>
      <c r="H953" s="44"/>
      <c r="I953" s="44"/>
      <c r="J953" s="44"/>
      <c r="K953" s="53"/>
      <c r="L953" s="44"/>
      <c r="M953" s="44"/>
      <c r="N953" s="44"/>
      <c r="O953" s="44"/>
      <c r="P953" s="44"/>
      <c r="Q953" s="44"/>
      <c r="R953" s="44"/>
      <c r="S953" s="44"/>
      <c r="T953" s="44"/>
      <c r="U953" s="44"/>
      <c r="V953" s="44"/>
      <c r="W953" s="44"/>
      <c r="X953" s="44"/>
      <c r="Y953" s="44"/>
      <c r="Z953" s="44"/>
      <c r="AA953" s="44"/>
      <c r="AB953" s="44"/>
      <c r="AC953" s="44"/>
      <c r="AD953" s="44"/>
      <c r="AE953" s="44"/>
      <c r="AF953" s="44"/>
      <c r="AG953" s="44"/>
      <c r="AH953" s="44"/>
      <c r="AI953" s="44"/>
      <c r="AJ953" s="44"/>
      <c r="AK953" s="44"/>
      <c r="AL953" s="44"/>
      <c r="AM953" s="44"/>
      <c r="AN953" s="44"/>
    </row>
    <row r="954" spans="1:40" ht="16.5" customHeight="1">
      <c r="A954" s="44"/>
      <c r="B954" s="44"/>
      <c r="C954" s="44"/>
      <c r="D954" s="172"/>
      <c r="E954" s="44"/>
      <c r="F954" s="44"/>
      <c r="G954" s="44"/>
      <c r="H954" s="44"/>
      <c r="I954" s="44"/>
      <c r="J954" s="44"/>
      <c r="K954" s="53"/>
      <c r="L954" s="44"/>
      <c r="M954" s="44"/>
      <c r="N954" s="44"/>
      <c r="O954" s="44"/>
      <c r="P954" s="44"/>
      <c r="Q954" s="44"/>
      <c r="R954" s="44"/>
      <c r="S954" s="44"/>
      <c r="T954" s="44"/>
      <c r="U954" s="44"/>
      <c r="V954" s="44"/>
      <c r="W954" s="44"/>
      <c r="X954" s="44"/>
      <c r="Y954" s="44"/>
      <c r="Z954" s="44"/>
      <c r="AA954" s="44"/>
      <c r="AB954" s="44"/>
      <c r="AC954" s="44"/>
      <c r="AD954" s="44"/>
      <c r="AE954" s="44"/>
      <c r="AF954" s="44"/>
      <c r="AG954" s="44"/>
      <c r="AH954" s="44"/>
      <c r="AI954" s="44"/>
      <c r="AJ954" s="44"/>
      <c r="AK954" s="44"/>
      <c r="AL954" s="44"/>
      <c r="AM954" s="44"/>
      <c r="AN954" s="44"/>
    </row>
    <row r="955" spans="1:40" ht="16.5" customHeight="1">
      <c r="A955" s="44"/>
      <c r="B955" s="44"/>
      <c r="C955" s="44"/>
      <c r="D955" s="172"/>
      <c r="E955" s="44"/>
      <c r="F955" s="44"/>
      <c r="G955" s="44"/>
      <c r="H955" s="44"/>
      <c r="I955" s="44"/>
      <c r="J955" s="44"/>
      <c r="K955" s="53"/>
      <c r="L955" s="44"/>
      <c r="M955" s="44"/>
      <c r="N955" s="44"/>
      <c r="O955" s="44"/>
      <c r="P955" s="44"/>
      <c r="Q955" s="44"/>
      <c r="R955" s="44"/>
      <c r="S955" s="44"/>
      <c r="T955" s="44"/>
      <c r="U955" s="44"/>
      <c r="V955" s="44"/>
      <c r="W955" s="44"/>
      <c r="X955" s="44"/>
      <c r="Y955" s="44"/>
      <c r="Z955" s="44"/>
      <c r="AA955" s="44"/>
      <c r="AB955" s="44"/>
      <c r="AC955" s="44"/>
      <c r="AD955" s="44"/>
      <c r="AE955" s="44"/>
      <c r="AF955" s="44"/>
      <c r="AG955" s="44"/>
      <c r="AH955" s="44"/>
      <c r="AI955" s="44"/>
      <c r="AJ955" s="44"/>
      <c r="AK955" s="44"/>
      <c r="AL955" s="44"/>
      <c r="AM955" s="44"/>
      <c r="AN955" s="44"/>
    </row>
    <row r="956" spans="1:40" ht="16.5" customHeight="1">
      <c r="A956" s="44"/>
      <c r="B956" s="44"/>
      <c r="C956" s="44"/>
      <c r="D956" s="172"/>
      <c r="E956" s="44"/>
      <c r="F956" s="44"/>
      <c r="G956" s="44"/>
      <c r="H956" s="44"/>
      <c r="I956" s="44"/>
      <c r="J956" s="44"/>
      <c r="K956" s="53"/>
      <c r="L956" s="44"/>
      <c r="M956" s="44"/>
      <c r="N956" s="44"/>
      <c r="O956" s="44"/>
      <c r="P956" s="44"/>
      <c r="Q956" s="44"/>
      <c r="R956" s="44"/>
      <c r="S956" s="44"/>
      <c r="T956" s="44"/>
      <c r="U956" s="44"/>
      <c r="V956" s="44"/>
      <c r="W956" s="44"/>
      <c r="X956" s="44"/>
      <c r="Y956" s="44"/>
      <c r="Z956" s="44"/>
      <c r="AA956" s="44"/>
      <c r="AB956" s="44"/>
      <c r="AC956" s="44"/>
      <c r="AD956" s="44"/>
      <c r="AE956" s="44"/>
      <c r="AF956" s="44"/>
      <c r="AG956" s="44"/>
      <c r="AH956" s="44"/>
      <c r="AI956" s="44"/>
      <c r="AJ956" s="44"/>
      <c r="AK956" s="44"/>
      <c r="AL956" s="44"/>
      <c r="AM956" s="44"/>
      <c r="AN956" s="44"/>
    </row>
    <row r="957" spans="1:40" ht="16.5" customHeight="1">
      <c r="A957" s="44"/>
      <c r="B957" s="44"/>
      <c r="C957" s="44"/>
      <c r="D957" s="172"/>
      <c r="E957" s="44"/>
      <c r="F957" s="44"/>
      <c r="G957" s="44"/>
      <c r="H957" s="44"/>
      <c r="I957" s="44"/>
      <c r="J957" s="44"/>
      <c r="K957" s="53"/>
      <c r="L957" s="44"/>
      <c r="M957" s="44"/>
      <c r="N957" s="44"/>
      <c r="O957" s="44"/>
      <c r="P957" s="44"/>
      <c r="Q957" s="44"/>
      <c r="R957" s="44"/>
      <c r="S957" s="44"/>
      <c r="T957" s="44"/>
      <c r="U957" s="44"/>
      <c r="V957" s="44"/>
      <c r="W957" s="44"/>
      <c r="X957" s="44"/>
      <c r="Y957" s="44"/>
      <c r="Z957" s="44"/>
      <c r="AA957" s="44"/>
      <c r="AB957" s="44"/>
      <c r="AC957" s="44"/>
      <c r="AD957" s="44"/>
      <c r="AE957" s="44"/>
      <c r="AF957" s="44"/>
      <c r="AG957" s="44"/>
      <c r="AH957" s="44"/>
      <c r="AI957" s="44"/>
      <c r="AJ957" s="44"/>
      <c r="AK957" s="44"/>
      <c r="AL957" s="44"/>
      <c r="AM957" s="44"/>
      <c r="AN957" s="44"/>
    </row>
    <row r="958" spans="1:40" ht="16.5" customHeight="1">
      <c r="A958" s="44"/>
      <c r="B958" s="44"/>
      <c r="C958" s="44"/>
      <c r="D958" s="172"/>
      <c r="E958" s="44"/>
      <c r="F958" s="44"/>
      <c r="G958" s="44"/>
      <c r="H958" s="44"/>
      <c r="I958" s="44"/>
      <c r="J958" s="44"/>
      <c r="K958" s="53"/>
      <c r="L958" s="44"/>
      <c r="M958" s="44"/>
      <c r="N958" s="44"/>
      <c r="O958" s="44"/>
      <c r="P958" s="44"/>
      <c r="Q958" s="44"/>
      <c r="R958" s="44"/>
      <c r="S958" s="44"/>
      <c r="T958" s="44"/>
      <c r="U958" s="44"/>
      <c r="V958" s="44"/>
      <c r="W958" s="44"/>
      <c r="X958" s="44"/>
      <c r="Y958" s="44"/>
      <c r="Z958" s="44"/>
      <c r="AA958" s="44"/>
      <c r="AB958" s="44"/>
      <c r="AC958" s="44"/>
      <c r="AD958" s="44"/>
      <c r="AE958" s="44"/>
      <c r="AF958" s="44"/>
      <c r="AG958" s="44"/>
      <c r="AH958" s="44"/>
      <c r="AI958" s="44"/>
      <c r="AJ958" s="44"/>
      <c r="AK958" s="44"/>
      <c r="AL958" s="44"/>
      <c r="AM958" s="44"/>
      <c r="AN958" s="44"/>
    </row>
    <row r="959" spans="1:40" ht="16.5" customHeight="1">
      <c r="A959" s="44"/>
      <c r="B959" s="44"/>
      <c r="C959" s="44"/>
      <c r="D959" s="172"/>
      <c r="E959" s="44"/>
      <c r="F959" s="44"/>
      <c r="G959" s="44"/>
      <c r="H959" s="44"/>
      <c r="I959" s="44"/>
      <c r="J959" s="44"/>
      <c r="K959" s="53"/>
      <c r="L959" s="44"/>
      <c r="M959" s="44"/>
      <c r="N959" s="44"/>
      <c r="O959" s="44"/>
      <c r="P959" s="44"/>
      <c r="Q959" s="44"/>
      <c r="R959" s="44"/>
      <c r="S959" s="44"/>
      <c r="T959" s="44"/>
      <c r="U959" s="44"/>
      <c r="V959" s="44"/>
      <c r="W959" s="44"/>
      <c r="X959" s="44"/>
      <c r="Y959" s="44"/>
      <c r="Z959" s="44"/>
      <c r="AA959" s="44"/>
      <c r="AB959" s="44"/>
      <c r="AC959" s="44"/>
      <c r="AD959" s="44"/>
      <c r="AE959" s="44"/>
      <c r="AF959" s="44"/>
      <c r="AG959" s="44"/>
      <c r="AH959" s="44"/>
      <c r="AI959" s="44"/>
      <c r="AJ959" s="44"/>
      <c r="AK959" s="44"/>
      <c r="AL959" s="44"/>
      <c r="AM959" s="44"/>
      <c r="AN959" s="44"/>
    </row>
    <row r="960" spans="1:40" ht="16.5" customHeight="1">
      <c r="A960" s="44"/>
      <c r="B960" s="44"/>
      <c r="C960" s="44"/>
      <c r="D960" s="172"/>
      <c r="E960" s="44"/>
      <c r="F960" s="44"/>
      <c r="G960" s="44"/>
      <c r="H960" s="44"/>
      <c r="I960" s="44"/>
      <c r="J960" s="44"/>
      <c r="K960" s="53"/>
      <c r="L960" s="44"/>
      <c r="M960" s="44"/>
      <c r="N960" s="44"/>
      <c r="O960" s="44"/>
      <c r="P960" s="44"/>
      <c r="Q960" s="44"/>
      <c r="R960" s="44"/>
      <c r="S960" s="44"/>
      <c r="T960" s="44"/>
      <c r="U960" s="44"/>
      <c r="V960" s="44"/>
      <c r="W960" s="44"/>
      <c r="X960" s="44"/>
      <c r="Y960" s="44"/>
      <c r="Z960" s="44"/>
      <c r="AA960" s="44"/>
      <c r="AB960" s="44"/>
      <c r="AC960" s="44"/>
      <c r="AD960" s="44"/>
      <c r="AE960" s="44"/>
      <c r="AF960" s="44"/>
      <c r="AG960" s="44"/>
      <c r="AH960" s="44"/>
      <c r="AI960" s="44"/>
      <c r="AJ960" s="44"/>
      <c r="AK960" s="44"/>
      <c r="AL960" s="44"/>
      <c r="AM960" s="44"/>
      <c r="AN960" s="44"/>
    </row>
    <row r="961" spans="1:40" ht="16.5" customHeight="1">
      <c r="A961" s="44"/>
      <c r="B961" s="44"/>
      <c r="C961" s="44"/>
      <c r="D961" s="172"/>
      <c r="E961" s="44"/>
      <c r="F961" s="44"/>
      <c r="G961" s="44"/>
      <c r="H961" s="44"/>
      <c r="I961" s="44"/>
      <c r="J961" s="44"/>
      <c r="K961" s="53"/>
      <c r="L961" s="44"/>
      <c r="M961" s="44"/>
      <c r="N961" s="44"/>
      <c r="O961" s="44"/>
      <c r="P961" s="44"/>
      <c r="Q961" s="44"/>
      <c r="R961" s="44"/>
      <c r="S961" s="44"/>
      <c r="T961" s="44"/>
      <c r="U961" s="44"/>
      <c r="V961" s="44"/>
      <c r="W961" s="44"/>
      <c r="X961" s="44"/>
      <c r="Y961" s="44"/>
      <c r="Z961" s="44"/>
      <c r="AA961" s="44"/>
      <c r="AB961" s="44"/>
      <c r="AC961" s="44"/>
      <c r="AD961" s="44"/>
      <c r="AE961" s="44"/>
      <c r="AF961" s="44"/>
      <c r="AG961" s="44"/>
      <c r="AH961" s="44"/>
      <c r="AI961" s="44"/>
      <c r="AJ961" s="44"/>
      <c r="AK961" s="44"/>
      <c r="AL961" s="44"/>
      <c r="AM961" s="44"/>
      <c r="AN961" s="44"/>
    </row>
    <row r="962" spans="1:40" ht="16.5" customHeight="1">
      <c r="A962" s="44"/>
      <c r="B962" s="44"/>
      <c r="C962" s="44"/>
      <c r="D962" s="172"/>
      <c r="E962" s="44"/>
      <c r="F962" s="44"/>
      <c r="G962" s="44"/>
      <c r="H962" s="44"/>
      <c r="I962" s="44"/>
      <c r="J962" s="44"/>
      <c r="K962" s="53"/>
      <c r="L962" s="44"/>
      <c r="M962" s="44"/>
      <c r="N962" s="44"/>
      <c r="O962" s="44"/>
      <c r="P962" s="44"/>
      <c r="Q962" s="44"/>
      <c r="R962" s="44"/>
      <c r="S962" s="44"/>
      <c r="T962" s="44"/>
      <c r="U962" s="44"/>
      <c r="V962" s="44"/>
      <c r="W962" s="44"/>
      <c r="X962" s="44"/>
      <c r="Y962" s="44"/>
      <c r="Z962" s="44"/>
      <c r="AA962" s="44"/>
      <c r="AB962" s="44"/>
      <c r="AC962" s="44"/>
      <c r="AD962" s="44"/>
      <c r="AE962" s="44"/>
      <c r="AF962" s="44"/>
      <c r="AG962" s="44"/>
      <c r="AH962" s="44"/>
      <c r="AI962" s="44"/>
      <c r="AJ962" s="44"/>
      <c r="AK962" s="44"/>
      <c r="AL962" s="44"/>
      <c r="AM962" s="44"/>
      <c r="AN962" s="44"/>
    </row>
    <row r="963" spans="1:40" ht="16.5" customHeight="1">
      <c r="A963" s="44"/>
      <c r="B963" s="44"/>
      <c r="C963" s="44"/>
      <c r="D963" s="172"/>
      <c r="E963" s="44"/>
      <c r="F963" s="44"/>
      <c r="G963" s="44"/>
      <c r="H963" s="44"/>
      <c r="I963" s="44"/>
      <c r="J963" s="44"/>
      <c r="K963" s="53"/>
      <c r="L963" s="44"/>
      <c r="M963" s="44"/>
      <c r="N963" s="44"/>
      <c r="O963" s="44"/>
      <c r="P963" s="44"/>
      <c r="Q963" s="44"/>
      <c r="R963" s="44"/>
      <c r="S963" s="44"/>
      <c r="T963" s="44"/>
      <c r="U963" s="44"/>
      <c r="V963" s="44"/>
      <c r="W963" s="44"/>
      <c r="X963" s="44"/>
      <c r="Y963" s="44"/>
      <c r="Z963" s="44"/>
      <c r="AA963" s="44"/>
      <c r="AB963" s="44"/>
      <c r="AC963" s="44"/>
      <c r="AD963" s="44"/>
      <c r="AE963" s="44"/>
      <c r="AF963" s="44"/>
      <c r="AG963" s="44"/>
      <c r="AH963" s="44"/>
      <c r="AI963" s="44"/>
      <c r="AJ963" s="44"/>
      <c r="AK963" s="44"/>
      <c r="AL963" s="44"/>
      <c r="AM963" s="44"/>
      <c r="AN963" s="44"/>
    </row>
    <row r="964" spans="1:40" ht="16.5" customHeight="1">
      <c r="A964" s="44"/>
      <c r="B964" s="44"/>
      <c r="C964" s="44"/>
      <c r="D964" s="172"/>
      <c r="E964" s="44"/>
      <c r="F964" s="44"/>
      <c r="G964" s="44"/>
      <c r="H964" s="44"/>
      <c r="I964" s="44"/>
      <c r="J964" s="44"/>
      <c r="K964" s="53"/>
      <c r="L964" s="44"/>
      <c r="M964" s="44"/>
      <c r="N964" s="44"/>
      <c r="O964" s="44"/>
      <c r="P964" s="44"/>
      <c r="Q964" s="44"/>
      <c r="R964" s="44"/>
      <c r="S964" s="44"/>
      <c r="T964" s="44"/>
      <c r="U964" s="44"/>
      <c r="V964" s="44"/>
      <c r="W964" s="44"/>
      <c r="X964" s="44"/>
      <c r="Y964" s="44"/>
      <c r="Z964" s="44"/>
      <c r="AA964" s="44"/>
      <c r="AB964" s="44"/>
      <c r="AC964" s="44"/>
      <c r="AD964" s="44"/>
      <c r="AE964" s="44"/>
      <c r="AF964" s="44"/>
      <c r="AG964" s="44"/>
      <c r="AH964" s="44"/>
      <c r="AI964" s="44"/>
      <c r="AJ964" s="44"/>
      <c r="AK964" s="44"/>
      <c r="AL964" s="44"/>
      <c r="AM964" s="44"/>
      <c r="AN964" s="44"/>
    </row>
    <row r="965" spans="1:40" ht="16.5" customHeight="1">
      <c r="A965" s="44"/>
      <c r="B965" s="44"/>
      <c r="C965" s="44"/>
      <c r="D965" s="172"/>
      <c r="E965" s="44"/>
      <c r="F965" s="44"/>
      <c r="G965" s="44"/>
      <c r="H965" s="44"/>
      <c r="I965" s="44"/>
      <c r="J965" s="44"/>
      <c r="K965" s="53"/>
      <c r="L965" s="44"/>
      <c r="M965" s="44"/>
      <c r="N965" s="44"/>
      <c r="O965" s="44"/>
      <c r="P965" s="44"/>
      <c r="Q965" s="44"/>
      <c r="R965" s="44"/>
      <c r="S965" s="44"/>
      <c r="T965" s="44"/>
      <c r="U965" s="44"/>
      <c r="V965" s="44"/>
      <c r="W965" s="44"/>
      <c r="X965" s="44"/>
      <c r="Y965" s="44"/>
      <c r="Z965" s="44"/>
      <c r="AA965" s="44"/>
      <c r="AB965" s="44"/>
      <c r="AC965" s="44"/>
      <c r="AD965" s="44"/>
      <c r="AE965" s="44"/>
      <c r="AF965" s="44"/>
      <c r="AG965" s="44"/>
      <c r="AH965" s="44"/>
      <c r="AI965" s="44"/>
      <c r="AJ965" s="44"/>
      <c r="AK965" s="44"/>
      <c r="AL965" s="44"/>
      <c r="AM965" s="44"/>
      <c r="AN965" s="44"/>
    </row>
    <row r="966" spans="1:40" ht="16.5" customHeight="1">
      <c r="A966" s="44"/>
      <c r="B966" s="44"/>
      <c r="C966" s="44"/>
      <c r="D966" s="172"/>
      <c r="E966" s="44"/>
      <c r="F966" s="44"/>
      <c r="G966" s="44"/>
      <c r="H966" s="44"/>
      <c r="I966" s="44"/>
      <c r="J966" s="44"/>
      <c r="K966" s="53"/>
      <c r="L966" s="44"/>
      <c r="M966" s="44"/>
      <c r="N966" s="44"/>
      <c r="O966" s="44"/>
      <c r="P966" s="44"/>
      <c r="Q966" s="44"/>
      <c r="R966" s="44"/>
      <c r="S966" s="44"/>
      <c r="T966" s="44"/>
      <c r="U966" s="44"/>
      <c r="V966" s="44"/>
      <c r="W966" s="44"/>
      <c r="X966" s="44"/>
      <c r="Y966" s="44"/>
      <c r="Z966" s="44"/>
      <c r="AA966" s="44"/>
      <c r="AB966" s="44"/>
      <c r="AC966" s="44"/>
      <c r="AD966" s="44"/>
      <c r="AE966" s="44"/>
      <c r="AF966" s="44"/>
      <c r="AG966" s="44"/>
      <c r="AH966" s="44"/>
      <c r="AI966" s="44"/>
      <c r="AJ966" s="44"/>
      <c r="AK966" s="44"/>
      <c r="AL966" s="44"/>
      <c r="AM966" s="44"/>
      <c r="AN966" s="44"/>
    </row>
    <row r="967" spans="1:40" ht="16.5" customHeight="1">
      <c r="A967" s="44"/>
      <c r="B967" s="44"/>
      <c r="C967" s="44"/>
      <c r="D967" s="172"/>
      <c r="E967" s="44"/>
      <c r="F967" s="44"/>
      <c r="G967" s="44"/>
      <c r="H967" s="44"/>
      <c r="I967" s="44"/>
      <c r="J967" s="44"/>
      <c r="K967" s="53"/>
      <c r="L967" s="44"/>
      <c r="M967" s="44"/>
      <c r="N967" s="44"/>
      <c r="O967" s="44"/>
      <c r="P967" s="44"/>
      <c r="Q967" s="44"/>
      <c r="R967" s="44"/>
      <c r="S967" s="44"/>
      <c r="T967" s="44"/>
      <c r="U967" s="44"/>
      <c r="V967" s="44"/>
      <c r="W967" s="44"/>
      <c r="X967" s="44"/>
      <c r="Y967" s="44"/>
      <c r="Z967" s="44"/>
      <c r="AA967" s="44"/>
      <c r="AB967" s="44"/>
      <c r="AC967" s="44"/>
      <c r="AD967" s="44"/>
      <c r="AE967" s="44"/>
      <c r="AF967" s="44"/>
      <c r="AG967" s="44"/>
      <c r="AH967" s="44"/>
      <c r="AI967" s="44"/>
      <c r="AJ967" s="44"/>
      <c r="AK967" s="44"/>
      <c r="AL967" s="44"/>
      <c r="AM967" s="44"/>
      <c r="AN967" s="44"/>
    </row>
    <row r="968" spans="1:40" ht="16.5" customHeight="1">
      <c r="A968" s="44"/>
      <c r="B968" s="44"/>
      <c r="C968" s="44"/>
      <c r="D968" s="172"/>
      <c r="E968" s="44"/>
      <c r="F968" s="44"/>
      <c r="G968" s="44"/>
      <c r="H968" s="44"/>
      <c r="I968" s="44"/>
      <c r="J968" s="44"/>
      <c r="K968" s="53"/>
      <c r="L968" s="44"/>
      <c r="M968" s="44"/>
      <c r="N968" s="44"/>
      <c r="O968" s="44"/>
      <c r="P968" s="44"/>
      <c r="Q968" s="44"/>
      <c r="R968" s="44"/>
      <c r="S968" s="44"/>
      <c r="T968" s="44"/>
      <c r="U968" s="44"/>
      <c r="V968" s="44"/>
      <c r="W968" s="44"/>
      <c r="X968" s="44"/>
      <c r="Y968" s="44"/>
      <c r="Z968" s="44"/>
      <c r="AA968" s="44"/>
      <c r="AB968" s="44"/>
      <c r="AC968" s="44"/>
      <c r="AD968" s="44"/>
      <c r="AE968" s="44"/>
      <c r="AF968" s="44"/>
      <c r="AG968" s="44"/>
      <c r="AH968" s="44"/>
      <c r="AI968" s="44"/>
      <c r="AJ968" s="44"/>
      <c r="AK968" s="44"/>
      <c r="AL968" s="44"/>
      <c r="AM968" s="44"/>
      <c r="AN968" s="44"/>
    </row>
    <row r="969" spans="1:40" ht="16.5" customHeight="1">
      <c r="A969" s="44"/>
      <c r="B969" s="44"/>
      <c r="C969" s="44"/>
      <c r="D969" s="172"/>
      <c r="E969" s="44"/>
      <c r="F969" s="44"/>
      <c r="G969" s="44"/>
      <c r="H969" s="44"/>
      <c r="I969" s="44"/>
      <c r="J969" s="44"/>
      <c r="K969" s="53"/>
      <c r="L969" s="44"/>
      <c r="M969" s="44"/>
      <c r="N969" s="44"/>
      <c r="O969" s="44"/>
      <c r="P969" s="44"/>
      <c r="Q969" s="44"/>
      <c r="R969" s="44"/>
      <c r="S969" s="44"/>
      <c r="T969" s="44"/>
      <c r="U969" s="44"/>
      <c r="V969" s="44"/>
      <c r="W969" s="44"/>
      <c r="X969" s="44"/>
      <c r="Y969" s="44"/>
      <c r="Z969" s="44"/>
      <c r="AA969" s="44"/>
      <c r="AB969" s="44"/>
      <c r="AC969" s="44"/>
      <c r="AD969" s="44"/>
      <c r="AE969" s="44"/>
      <c r="AF969" s="44"/>
      <c r="AG969" s="44"/>
      <c r="AH969" s="44"/>
      <c r="AI969" s="44"/>
      <c r="AJ969" s="44"/>
      <c r="AK969" s="44"/>
      <c r="AL969" s="44"/>
      <c r="AM969" s="44"/>
      <c r="AN969" s="44"/>
    </row>
    <row r="970" spans="1:40" ht="16.5" customHeight="1">
      <c r="A970" s="44"/>
      <c r="B970" s="44"/>
      <c r="C970" s="44"/>
      <c r="D970" s="172"/>
      <c r="E970" s="44"/>
      <c r="F970" s="44"/>
      <c r="G970" s="44"/>
      <c r="H970" s="44"/>
      <c r="I970" s="44"/>
      <c r="J970" s="44"/>
      <c r="K970" s="53"/>
      <c r="L970" s="44"/>
      <c r="M970" s="44"/>
      <c r="N970" s="44"/>
      <c r="O970" s="44"/>
      <c r="P970" s="44"/>
      <c r="Q970" s="44"/>
      <c r="R970" s="44"/>
      <c r="S970" s="44"/>
      <c r="T970" s="44"/>
      <c r="U970" s="44"/>
      <c r="V970" s="44"/>
      <c r="W970" s="44"/>
      <c r="X970" s="44"/>
      <c r="Y970" s="44"/>
      <c r="Z970" s="44"/>
      <c r="AA970" s="44"/>
      <c r="AB970" s="44"/>
      <c r="AC970" s="44"/>
      <c r="AD970" s="44"/>
      <c r="AE970" s="44"/>
      <c r="AF970" s="44"/>
      <c r="AG970" s="44"/>
      <c r="AH970" s="44"/>
      <c r="AI970" s="44"/>
      <c r="AJ970" s="44"/>
      <c r="AK970" s="44"/>
      <c r="AL970" s="44"/>
      <c r="AM970" s="44"/>
      <c r="AN970" s="44"/>
    </row>
    <row r="971" spans="1:40" ht="16.5" customHeight="1">
      <c r="A971" s="44"/>
      <c r="B971" s="44"/>
      <c r="C971" s="44"/>
      <c r="D971" s="172"/>
      <c r="E971" s="44"/>
      <c r="F971" s="44"/>
      <c r="G971" s="44"/>
      <c r="H971" s="44"/>
      <c r="I971" s="44"/>
      <c r="J971" s="44"/>
      <c r="K971" s="53"/>
      <c r="L971" s="44"/>
      <c r="M971" s="44"/>
      <c r="N971" s="44"/>
      <c r="O971" s="44"/>
      <c r="P971" s="44"/>
      <c r="Q971" s="44"/>
      <c r="R971" s="44"/>
      <c r="S971" s="44"/>
      <c r="T971" s="44"/>
      <c r="U971" s="44"/>
      <c r="V971" s="44"/>
      <c r="W971" s="44"/>
      <c r="X971" s="44"/>
      <c r="Y971" s="44"/>
      <c r="Z971" s="44"/>
      <c r="AA971" s="44"/>
      <c r="AB971" s="44"/>
      <c r="AC971" s="44"/>
      <c r="AD971" s="44"/>
      <c r="AE971" s="44"/>
      <c r="AF971" s="44"/>
      <c r="AG971" s="44"/>
      <c r="AH971" s="44"/>
      <c r="AI971" s="44"/>
      <c r="AJ971" s="44"/>
      <c r="AK971" s="44"/>
      <c r="AL971" s="44"/>
      <c r="AM971" s="44"/>
      <c r="AN971" s="44"/>
    </row>
    <row r="972" spans="1:40" ht="16.5" customHeight="1">
      <c r="A972" s="44"/>
      <c r="B972" s="44"/>
      <c r="C972" s="44"/>
      <c r="D972" s="172"/>
      <c r="E972" s="44"/>
      <c r="F972" s="44"/>
      <c r="G972" s="44"/>
      <c r="H972" s="44"/>
      <c r="I972" s="44"/>
      <c r="J972" s="44"/>
      <c r="K972" s="53"/>
      <c r="L972" s="44"/>
      <c r="M972" s="44"/>
      <c r="N972" s="44"/>
      <c r="O972" s="44"/>
      <c r="P972" s="44"/>
      <c r="Q972" s="44"/>
      <c r="R972" s="44"/>
      <c r="S972" s="44"/>
      <c r="T972" s="44"/>
      <c r="U972" s="44"/>
      <c r="V972" s="44"/>
      <c r="W972" s="44"/>
      <c r="X972" s="44"/>
      <c r="Y972" s="44"/>
      <c r="Z972" s="44"/>
      <c r="AA972" s="44"/>
      <c r="AB972" s="44"/>
      <c r="AC972" s="44"/>
      <c r="AD972" s="44"/>
      <c r="AE972" s="44"/>
      <c r="AF972" s="44"/>
      <c r="AG972" s="44"/>
      <c r="AH972" s="44"/>
      <c r="AI972" s="44"/>
      <c r="AJ972" s="44"/>
      <c r="AK972" s="44"/>
      <c r="AL972" s="44"/>
      <c r="AM972" s="44"/>
      <c r="AN972" s="44"/>
    </row>
    <row r="973" spans="1:40" ht="16.5" customHeight="1">
      <c r="A973" s="44"/>
      <c r="B973" s="44"/>
      <c r="C973" s="44"/>
      <c r="D973" s="172"/>
      <c r="E973" s="44"/>
      <c r="F973" s="44"/>
      <c r="G973" s="44"/>
      <c r="H973" s="44"/>
      <c r="I973" s="44"/>
      <c r="J973" s="44"/>
      <c r="K973" s="53"/>
      <c r="L973" s="44"/>
      <c r="M973" s="44"/>
      <c r="N973" s="44"/>
      <c r="O973" s="44"/>
      <c r="P973" s="44"/>
      <c r="Q973" s="44"/>
      <c r="R973" s="44"/>
      <c r="S973" s="44"/>
      <c r="T973" s="44"/>
      <c r="U973" s="44"/>
      <c r="V973" s="44"/>
      <c r="W973" s="44"/>
      <c r="X973" s="44"/>
      <c r="Y973" s="44"/>
      <c r="Z973" s="44"/>
      <c r="AA973" s="44"/>
      <c r="AB973" s="44"/>
      <c r="AC973" s="44"/>
      <c r="AD973" s="44"/>
      <c r="AE973" s="44"/>
      <c r="AF973" s="44"/>
      <c r="AG973" s="44"/>
      <c r="AH973" s="44"/>
      <c r="AI973" s="44"/>
      <c r="AJ973" s="44"/>
      <c r="AK973" s="44"/>
      <c r="AL973" s="44"/>
      <c r="AM973" s="44"/>
      <c r="AN973" s="44"/>
    </row>
    <row r="974" spans="1:40" ht="16.5" customHeight="1">
      <c r="A974" s="44"/>
      <c r="B974" s="44"/>
      <c r="C974" s="44"/>
      <c r="D974" s="172"/>
      <c r="E974" s="44"/>
      <c r="F974" s="44"/>
      <c r="G974" s="44"/>
      <c r="H974" s="44"/>
      <c r="I974" s="44"/>
      <c r="J974" s="44"/>
      <c r="K974" s="53"/>
      <c r="L974" s="44"/>
      <c r="M974" s="44"/>
      <c r="N974" s="44"/>
      <c r="O974" s="44"/>
      <c r="P974" s="44"/>
      <c r="Q974" s="44"/>
      <c r="R974" s="44"/>
      <c r="S974" s="44"/>
      <c r="T974" s="44"/>
      <c r="U974" s="44"/>
      <c r="V974" s="44"/>
      <c r="W974" s="44"/>
      <c r="X974" s="44"/>
      <c r="Y974" s="44"/>
      <c r="Z974" s="44"/>
      <c r="AA974" s="44"/>
      <c r="AB974" s="44"/>
      <c r="AC974" s="44"/>
      <c r="AD974" s="44"/>
      <c r="AE974" s="44"/>
      <c r="AF974" s="44"/>
      <c r="AG974" s="44"/>
      <c r="AH974" s="44"/>
      <c r="AI974" s="44"/>
      <c r="AJ974" s="44"/>
      <c r="AK974" s="44"/>
      <c r="AL974" s="44"/>
      <c r="AM974" s="44"/>
      <c r="AN974" s="44"/>
    </row>
    <row r="975" spans="1:40" ht="16.5" customHeight="1">
      <c r="A975" s="44"/>
      <c r="B975" s="44"/>
      <c r="C975" s="44"/>
      <c r="D975" s="172"/>
      <c r="E975" s="44"/>
      <c r="F975" s="44"/>
      <c r="G975" s="44"/>
      <c r="H975" s="44"/>
      <c r="I975" s="44"/>
      <c r="J975" s="44"/>
      <c r="K975" s="53"/>
      <c r="L975" s="44"/>
      <c r="M975" s="44"/>
      <c r="N975" s="44"/>
      <c r="O975" s="44"/>
      <c r="P975" s="44"/>
      <c r="Q975" s="44"/>
      <c r="R975" s="44"/>
      <c r="S975" s="44"/>
      <c r="T975" s="44"/>
      <c r="U975" s="44"/>
      <c r="V975" s="44"/>
      <c r="W975" s="44"/>
      <c r="X975" s="44"/>
      <c r="Y975" s="44"/>
      <c r="Z975" s="44"/>
      <c r="AA975" s="44"/>
      <c r="AB975" s="44"/>
      <c r="AC975" s="44"/>
      <c r="AD975" s="44"/>
      <c r="AE975" s="44"/>
      <c r="AF975" s="44"/>
      <c r="AG975" s="44"/>
      <c r="AH975" s="44"/>
      <c r="AI975" s="44"/>
      <c r="AJ975" s="44"/>
      <c r="AK975" s="44"/>
      <c r="AL975" s="44"/>
      <c r="AM975" s="44"/>
      <c r="AN975" s="44"/>
    </row>
    <row r="976" spans="1:40" ht="16.5" customHeight="1">
      <c r="A976" s="44"/>
      <c r="B976" s="44"/>
      <c r="C976" s="44"/>
      <c r="D976" s="172"/>
      <c r="E976" s="44"/>
      <c r="F976" s="44"/>
      <c r="G976" s="44"/>
      <c r="H976" s="44"/>
      <c r="I976" s="44"/>
      <c r="J976" s="44"/>
      <c r="K976" s="53"/>
      <c r="L976" s="44"/>
      <c r="M976" s="44"/>
      <c r="N976" s="44"/>
      <c r="O976" s="44"/>
      <c r="P976" s="44"/>
      <c r="Q976" s="44"/>
      <c r="R976" s="44"/>
      <c r="S976" s="44"/>
      <c r="T976" s="44"/>
      <c r="U976" s="44"/>
      <c r="V976" s="44"/>
      <c r="W976" s="44"/>
      <c r="X976" s="44"/>
      <c r="Y976" s="44"/>
      <c r="Z976" s="44"/>
      <c r="AA976" s="44"/>
      <c r="AB976" s="44"/>
      <c r="AC976" s="44"/>
      <c r="AD976" s="44"/>
      <c r="AE976" s="44"/>
      <c r="AF976" s="44"/>
      <c r="AG976" s="44"/>
      <c r="AH976" s="44"/>
      <c r="AI976" s="44"/>
      <c r="AJ976" s="44"/>
      <c r="AK976" s="44"/>
      <c r="AL976" s="44"/>
      <c r="AM976" s="44"/>
      <c r="AN976" s="44"/>
    </row>
    <row r="977" spans="1:40" ht="16.5" customHeight="1">
      <c r="A977" s="44"/>
      <c r="B977" s="44"/>
      <c r="C977" s="44"/>
      <c r="D977" s="172"/>
      <c r="E977" s="44"/>
      <c r="F977" s="44"/>
      <c r="G977" s="44"/>
      <c r="H977" s="44"/>
      <c r="I977" s="44"/>
      <c r="J977" s="44"/>
      <c r="K977" s="53"/>
      <c r="L977" s="44"/>
      <c r="M977" s="44"/>
      <c r="N977" s="44"/>
      <c r="O977" s="44"/>
      <c r="P977" s="44"/>
      <c r="Q977" s="44"/>
      <c r="R977" s="44"/>
      <c r="S977" s="44"/>
      <c r="T977" s="44"/>
      <c r="U977" s="44"/>
      <c r="V977" s="44"/>
      <c r="W977" s="44"/>
      <c r="X977" s="44"/>
      <c r="Y977" s="44"/>
      <c r="Z977" s="44"/>
      <c r="AA977" s="44"/>
      <c r="AB977" s="44"/>
      <c r="AC977" s="44"/>
      <c r="AD977" s="44"/>
      <c r="AE977" s="44"/>
      <c r="AF977" s="44"/>
      <c r="AG977" s="44"/>
      <c r="AH977" s="44"/>
      <c r="AI977" s="44"/>
      <c r="AJ977" s="44"/>
      <c r="AK977" s="44"/>
      <c r="AL977" s="44"/>
      <c r="AM977" s="44"/>
      <c r="AN977" s="44"/>
    </row>
    <row r="978" spans="1:40" ht="16.5" customHeight="1">
      <c r="A978" s="44"/>
      <c r="B978" s="44"/>
      <c r="C978" s="44"/>
      <c r="D978" s="172"/>
      <c r="E978" s="44"/>
      <c r="F978" s="44"/>
      <c r="G978" s="44"/>
      <c r="H978" s="44"/>
      <c r="I978" s="44"/>
      <c r="J978" s="44"/>
      <c r="K978" s="53"/>
      <c r="L978" s="44"/>
      <c r="M978" s="44"/>
      <c r="N978" s="44"/>
      <c r="O978" s="44"/>
      <c r="P978" s="44"/>
      <c r="Q978" s="44"/>
      <c r="R978" s="44"/>
      <c r="S978" s="44"/>
      <c r="T978" s="44"/>
      <c r="U978" s="44"/>
      <c r="V978" s="44"/>
      <c r="W978" s="44"/>
      <c r="X978" s="44"/>
      <c r="Y978" s="44"/>
      <c r="Z978" s="44"/>
      <c r="AA978" s="44"/>
      <c r="AB978" s="44"/>
      <c r="AC978" s="44"/>
      <c r="AD978" s="44"/>
      <c r="AE978" s="44"/>
      <c r="AF978" s="44"/>
      <c r="AG978" s="44"/>
      <c r="AH978" s="44"/>
      <c r="AI978" s="44"/>
      <c r="AJ978" s="44"/>
      <c r="AK978" s="44"/>
      <c r="AL978" s="44"/>
      <c r="AM978" s="44"/>
      <c r="AN978" s="44"/>
    </row>
    <row r="979" spans="1:40" ht="16.5" customHeight="1">
      <c r="A979" s="44"/>
      <c r="B979" s="44"/>
      <c r="C979" s="44"/>
      <c r="D979" s="172"/>
      <c r="E979" s="44"/>
      <c r="F979" s="44"/>
      <c r="G979" s="44"/>
      <c r="H979" s="44"/>
      <c r="I979" s="44"/>
      <c r="J979" s="44"/>
      <c r="K979" s="53"/>
      <c r="L979" s="44"/>
      <c r="M979" s="44"/>
      <c r="N979" s="44"/>
      <c r="O979" s="44"/>
      <c r="P979" s="44"/>
      <c r="Q979" s="44"/>
      <c r="R979" s="44"/>
      <c r="S979" s="44"/>
      <c r="T979" s="44"/>
      <c r="U979" s="44"/>
      <c r="V979" s="44"/>
      <c r="W979" s="44"/>
      <c r="X979" s="44"/>
      <c r="Y979" s="44"/>
      <c r="Z979" s="44"/>
      <c r="AA979" s="44"/>
      <c r="AB979" s="44"/>
      <c r="AC979" s="44"/>
      <c r="AD979" s="44"/>
      <c r="AE979" s="44"/>
      <c r="AF979" s="44"/>
      <c r="AG979" s="44"/>
      <c r="AH979" s="44"/>
      <c r="AI979" s="44"/>
      <c r="AJ979" s="44"/>
      <c r="AK979" s="44"/>
      <c r="AL979" s="44"/>
      <c r="AM979" s="44"/>
      <c r="AN979" s="44"/>
    </row>
    <row r="980" spans="1:40" ht="16.5" customHeight="1">
      <c r="A980" s="44"/>
      <c r="B980" s="44"/>
      <c r="C980" s="44"/>
      <c r="D980" s="172"/>
      <c r="E980" s="44"/>
      <c r="F980" s="44"/>
      <c r="G980" s="44"/>
      <c r="H980" s="44"/>
      <c r="I980" s="44"/>
      <c r="J980" s="44"/>
      <c r="K980" s="53"/>
      <c r="L980" s="44"/>
      <c r="M980" s="44"/>
      <c r="N980" s="44"/>
      <c r="O980" s="44"/>
      <c r="P980" s="44"/>
      <c r="Q980" s="44"/>
      <c r="R980" s="44"/>
      <c r="S980" s="44"/>
      <c r="T980" s="44"/>
      <c r="U980" s="44"/>
      <c r="V980" s="44"/>
      <c r="W980" s="44"/>
      <c r="X980" s="44"/>
      <c r="Y980" s="44"/>
      <c r="Z980" s="44"/>
      <c r="AA980" s="44"/>
      <c r="AB980" s="44"/>
      <c r="AC980" s="44"/>
      <c r="AD980" s="44"/>
      <c r="AE980" s="44"/>
      <c r="AF980" s="44"/>
      <c r="AG980" s="44"/>
      <c r="AH980" s="44"/>
      <c r="AI980" s="44"/>
      <c r="AJ980" s="44"/>
      <c r="AK980" s="44"/>
      <c r="AL980" s="44"/>
      <c r="AM980" s="44"/>
      <c r="AN980" s="44"/>
    </row>
    <row r="981" spans="1:40" ht="16.5" customHeight="1">
      <c r="A981" s="44"/>
      <c r="B981" s="44"/>
      <c r="C981" s="44"/>
      <c r="D981" s="172"/>
      <c r="E981" s="44"/>
      <c r="F981" s="44"/>
      <c r="G981" s="44"/>
      <c r="H981" s="44"/>
      <c r="I981" s="44"/>
      <c r="J981" s="44"/>
      <c r="K981" s="53"/>
      <c r="L981" s="44"/>
      <c r="M981" s="44"/>
      <c r="N981" s="44"/>
      <c r="O981" s="44"/>
      <c r="P981" s="44"/>
      <c r="Q981" s="44"/>
      <c r="R981" s="44"/>
      <c r="S981" s="44"/>
      <c r="T981" s="44"/>
      <c r="U981" s="44"/>
      <c r="V981" s="44"/>
      <c r="W981" s="44"/>
      <c r="X981" s="44"/>
      <c r="Y981" s="44"/>
      <c r="Z981" s="44"/>
      <c r="AA981" s="44"/>
      <c r="AB981" s="44"/>
      <c r="AC981" s="44"/>
      <c r="AD981" s="44"/>
      <c r="AE981" s="44"/>
      <c r="AF981" s="44"/>
      <c r="AG981" s="44"/>
      <c r="AH981" s="44"/>
      <c r="AI981" s="44"/>
      <c r="AJ981" s="44"/>
      <c r="AK981" s="44"/>
      <c r="AL981" s="44"/>
      <c r="AM981" s="44"/>
      <c r="AN981" s="44"/>
    </row>
    <row r="982" spans="1:40" ht="16.5" customHeight="1">
      <c r="A982" s="44"/>
      <c r="B982" s="44"/>
      <c r="C982" s="44"/>
      <c r="D982" s="172"/>
      <c r="E982" s="44"/>
      <c r="F982" s="44"/>
      <c r="G982" s="44"/>
      <c r="H982" s="44"/>
      <c r="I982" s="44"/>
      <c r="J982" s="44"/>
      <c r="K982" s="53"/>
      <c r="L982" s="44"/>
      <c r="M982" s="44"/>
      <c r="N982" s="44"/>
      <c r="O982" s="44"/>
      <c r="P982" s="44"/>
      <c r="Q982" s="44"/>
      <c r="R982" s="44"/>
      <c r="S982" s="44"/>
      <c r="T982" s="44"/>
      <c r="U982" s="44"/>
      <c r="V982" s="44"/>
      <c r="W982" s="44"/>
      <c r="X982" s="44"/>
      <c r="Y982" s="44"/>
      <c r="Z982" s="44"/>
      <c r="AA982" s="44"/>
      <c r="AB982" s="44"/>
      <c r="AC982" s="44"/>
      <c r="AD982" s="44"/>
      <c r="AE982" s="44"/>
      <c r="AF982" s="44"/>
      <c r="AG982" s="44"/>
      <c r="AH982" s="44"/>
      <c r="AI982" s="44"/>
      <c r="AJ982" s="44"/>
      <c r="AK982" s="44"/>
      <c r="AL982" s="44"/>
      <c r="AM982" s="44"/>
      <c r="AN982" s="44"/>
    </row>
    <row r="983" spans="1:40" ht="16.5" customHeight="1">
      <c r="A983" s="44"/>
      <c r="B983" s="44"/>
      <c r="C983" s="44"/>
      <c r="D983" s="172"/>
      <c r="E983" s="44"/>
      <c r="F983" s="44"/>
      <c r="G983" s="44"/>
      <c r="H983" s="44"/>
      <c r="I983" s="44"/>
      <c r="J983" s="44"/>
      <c r="K983" s="53"/>
      <c r="L983" s="44"/>
      <c r="M983" s="44"/>
      <c r="N983" s="44"/>
      <c r="O983" s="44"/>
      <c r="P983" s="44"/>
      <c r="Q983" s="44"/>
      <c r="R983" s="44"/>
      <c r="S983" s="44"/>
      <c r="T983" s="44"/>
      <c r="U983" s="44"/>
      <c r="V983" s="44"/>
      <c r="W983" s="44"/>
      <c r="X983" s="44"/>
      <c r="Y983" s="44"/>
      <c r="Z983" s="44"/>
      <c r="AA983" s="44"/>
      <c r="AB983" s="44"/>
      <c r="AC983" s="44"/>
      <c r="AD983" s="44"/>
      <c r="AE983" s="44"/>
      <c r="AF983" s="44"/>
      <c r="AG983" s="44"/>
      <c r="AH983" s="44"/>
      <c r="AI983" s="44"/>
      <c r="AJ983" s="44"/>
      <c r="AK983" s="44"/>
      <c r="AL983" s="44"/>
      <c r="AM983" s="44"/>
      <c r="AN983" s="44"/>
    </row>
    <row r="984" spans="1:40" ht="16.5" customHeight="1">
      <c r="A984" s="44"/>
      <c r="B984" s="44"/>
      <c r="C984" s="44"/>
      <c r="D984" s="172"/>
      <c r="E984" s="44"/>
      <c r="F984" s="44"/>
      <c r="G984" s="44"/>
      <c r="H984" s="44"/>
      <c r="I984" s="44"/>
      <c r="J984" s="44"/>
      <c r="K984" s="53"/>
      <c r="L984" s="44"/>
      <c r="M984" s="44"/>
      <c r="N984" s="44"/>
      <c r="O984" s="44"/>
      <c r="P984" s="44"/>
      <c r="Q984" s="44"/>
      <c r="R984" s="44"/>
      <c r="S984" s="44"/>
      <c r="T984" s="44"/>
      <c r="U984" s="44"/>
      <c r="V984" s="44"/>
      <c r="W984" s="44"/>
      <c r="X984" s="44"/>
      <c r="Y984" s="44"/>
      <c r="Z984" s="44"/>
      <c r="AA984" s="44"/>
      <c r="AB984" s="44"/>
      <c r="AC984" s="44"/>
      <c r="AD984" s="44"/>
      <c r="AE984" s="44"/>
      <c r="AF984" s="44"/>
      <c r="AG984" s="44"/>
      <c r="AH984" s="44"/>
      <c r="AI984" s="44"/>
      <c r="AJ984" s="44"/>
      <c r="AK984" s="44"/>
      <c r="AL984" s="44"/>
      <c r="AM984" s="44"/>
      <c r="AN984" s="44"/>
    </row>
    <row r="985" spans="1:40" ht="16.5" customHeight="1">
      <c r="A985" s="44"/>
      <c r="B985" s="44"/>
      <c r="C985" s="44"/>
      <c r="D985" s="172"/>
      <c r="E985" s="44"/>
      <c r="F985" s="44"/>
      <c r="G985" s="44"/>
      <c r="H985" s="44"/>
      <c r="I985" s="44"/>
      <c r="J985" s="44"/>
      <c r="K985" s="53"/>
      <c r="L985" s="44"/>
      <c r="M985" s="44"/>
      <c r="N985" s="44"/>
      <c r="O985" s="44"/>
      <c r="P985" s="44"/>
      <c r="Q985" s="44"/>
      <c r="R985" s="44"/>
      <c r="S985" s="44"/>
      <c r="T985" s="44"/>
      <c r="U985" s="44"/>
      <c r="V985" s="44"/>
      <c r="W985" s="44"/>
      <c r="X985" s="44"/>
      <c r="Y985" s="44"/>
      <c r="Z985" s="44"/>
      <c r="AA985" s="44"/>
      <c r="AB985" s="44"/>
      <c r="AC985" s="44"/>
      <c r="AD985" s="44"/>
      <c r="AE985" s="44"/>
      <c r="AF985" s="44"/>
      <c r="AG985" s="44"/>
      <c r="AH985" s="44"/>
      <c r="AI985" s="44"/>
      <c r="AJ985" s="44"/>
      <c r="AK985" s="44"/>
      <c r="AL985" s="44"/>
      <c r="AM985" s="44"/>
      <c r="AN985" s="44"/>
    </row>
    <row r="986" spans="1:40" ht="16.5" customHeight="1">
      <c r="A986" s="44"/>
      <c r="B986" s="44"/>
      <c r="C986" s="44"/>
      <c r="D986" s="172"/>
      <c r="E986" s="44"/>
      <c r="F986" s="44"/>
      <c r="G986" s="44"/>
      <c r="H986" s="44"/>
      <c r="I986" s="44"/>
      <c r="J986" s="44"/>
      <c r="K986" s="53"/>
      <c r="L986" s="44"/>
      <c r="M986" s="44"/>
      <c r="N986" s="44"/>
      <c r="O986" s="44"/>
      <c r="P986" s="44"/>
      <c r="Q986" s="44"/>
      <c r="R986" s="44"/>
      <c r="S986" s="44"/>
      <c r="T986" s="44"/>
      <c r="U986" s="44"/>
      <c r="V986" s="44"/>
      <c r="W986" s="44"/>
      <c r="X986" s="44"/>
      <c r="Y986" s="44"/>
      <c r="Z986" s="44"/>
      <c r="AA986" s="44"/>
      <c r="AB986" s="44"/>
      <c r="AC986" s="44"/>
      <c r="AD986" s="44"/>
      <c r="AE986" s="44"/>
      <c r="AF986" s="44"/>
      <c r="AG986" s="44"/>
      <c r="AH986" s="44"/>
      <c r="AI986" s="44"/>
      <c r="AJ986" s="44"/>
      <c r="AK986" s="44"/>
      <c r="AL986" s="44"/>
      <c r="AM986" s="44"/>
      <c r="AN986" s="44"/>
    </row>
    <row r="987" spans="1:40" ht="16.5" customHeight="1">
      <c r="A987" s="44"/>
      <c r="B987" s="44"/>
      <c r="C987" s="44"/>
      <c r="D987" s="172"/>
      <c r="E987" s="44"/>
      <c r="F987" s="44"/>
      <c r="G987" s="44"/>
      <c r="H987" s="44"/>
      <c r="I987" s="44"/>
      <c r="J987" s="44"/>
      <c r="K987" s="53"/>
      <c r="L987" s="44"/>
      <c r="M987" s="44"/>
      <c r="N987" s="44"/>
      <c r="O987" s="44"/>
      <c r="P987" s="44"/>
      <c r="Q987" s="44"/>
      <c r="R987" s="44"/>
      <c r="S987" s="44"/>
      <c r="T987" s="44"/>
      <c r="U987" s="44"/>
      <c r="V987" s="44"/>
      <c r="W987" s="44"/>
      <c r="X987" s="44"/>
      <c r="Y987" s="44"/>
      <c r="Z987" s="44"/>
      <c r="AA987" s="44"/>
      <c r="AB987" s="44"/>
      <c r="AC987" s="44"/>
      <c r="AD987" s="44"/>
      <c r="AE987" s="44"/>
      <c r="AF987" s="44"/>
      <c r="AG987" s="44"/>
      <c r="AH987" s="44"/>
      <c r="AI987" s="44"/>
      <c r="AJ987" s="44"/>
      <c r="AK987" s="44"/>
      <c r="AL987" s="44"/>
      <c r="AM987" s="44"/>
      <c r="AN987" s="44"/>
    </row>
    <row r="988" spans="1:40" ht="16.5" customHeight="1">
      <c r="A988" s="44"/>
      <c r="B988" s="44"/>
      <c r="C988" s="44"/>
      <c r="D988" s="172"/>
      <c r="E988" s="44"/>
      <c r="F988" s="44"/>
      <c r="G988" s="44"/>
      <c r="H988" s="44"/>
      <c r="I988" s="44"/>
      <c r="J988" s="44"/>
      <c r="K988" s="53"/>
      <c r="L988" s="44"/>
      <c r="M988" s="44"/>
      <c r="N988" s="44"/>
      <c r="O988" s="44"/>
      <c r="P988" s="44"/>
      <c r="Q988" s="44"/>
      <c r="R988" s="44"/>
      <c r="S988" s="44"/>
      <c r="T988" s="44"/>
      <c r="U988" s="44"/>
      <c r="V988" s="44"/>
      <c r="W988" s="44"/>
      <c r="X988" s="44"/>
      <c r="Y988" s="44"/>
      <c r="Z988" s="44"/>
      <c r="AA988" s="44"/>
      <c r="AB988" s="44"/>
      <c r="AC988" s="44"/>
      <c r="AD988" s="44"/>
      <c r="AE988" s="44"/>
      <c r="AF988" s="44"/>
      <c r="AG988" s="44"/>
      <c r="AH988" s="44"/>
      <c r="AI988" s="44"/>
      <c r="AJ988" s="44"/>
      <c r="AK988" s="44"/>
      <c r="AL988" s="44"/>
      <c r="AM988" s="44"/>
      <c r="AN988" s="44"/>
    </row>
    <row r="989" spans="1:40" ht="16.5" customHeight="1">
      <c r="A989" s="44"/>
      <c r="B989" s="44"/>
      <c r="C989" s="44"/>
      <c r="D989" s="172"/>
      <c r="E989" s="44"/>
      <c r="F989" s="44"/>
      <c r="G989" s="44"/>
      <c r="H989" s="44"/>
      <c r="I989" s="44"/>
      <c r="J989" s="44"/>
      <c r="K989" s="53"/>
      <c r="L989" s="44"/>
      <c r="M989" s="44"/>
      <c r="N989" s="44"/>
      <c r="O989" s="44"/>
      <c r="P989" s="44"/>
      <c r="Q989" s="44"/>
      <c r="R989" s="44"/>
      <c r="S989" s="44"/>
      <c r="T989" s="44"/>
      <c r="U989" s="44"/>
      <c r="V989" s="44"/>
      <c r="W989" s="44"/>
      <c r="X989" s="44"/>
      <c r="Y989" s="44"/>
      <c r="Z989" s="44"/>
      <c r="AA989" s="44"/>
      <c r="AB989" s="44"/>
      <c r="AC989" s="44"/>
      <c r="AD989" s="44"/>
      <c r="AE989" s="44"/>
      <c r="AF989" s="44"/>
      <c r="AG989" s="44"/>
      <c r="AH989" s="44"/>
      <c r="AI989" s="44"/>
      <c r="AJ989" s="44"/>
      <c r="AK989" s="44"/>
      <c r="AL989" s="44"/>
      <c r="AM989" s="44"/>
      <c r="AN989" s="44"/>
    </row>
    <row r="990" spans="1:40" ht="16.5" customHeight="1">
      <c r="A990" s="44"/>
      <c r="B990" s="44"/>
      <c r="C990" s="44"/>
      <c r="D990" s="172"/>
      <c r="E990" s="44"/>
      <c r="F990" s="44"/>
      <c r="G990" s="44"/>
      <c r="H990" s="44"/>
      <c r="I990" s="44"/>
      <c r="J990" s="44"/>
      <c r="K990" s="53"/>
      <c r="L990" s="44"/>
      <c r="M990" s="44"/>
      <c r="N990" s="44"/>
      <c r="O990" s="44"/>
      <c r="P990" s="44"/>
      <c r="Q990" s="44"/>
      <c r="R990" s="44"/>
      <c r="S990" s="44"/>
      <c r="T990" s="44"/>
      <c r="U990" s="44"/>
      <c r="V990" s="44"/>
      <c r="W990" s="44"/>
      <c r="X990" s="44"/>
      <c r="Y990" s="44"/>
      <c r="Z990" s="44"/>
      <c r="AA990" s="44"/>
      <c r="AB990" s="44"/>
      <c r="AC990" s="44"/>
      <c r="AD990" s="44"/>
      <c r="AE990" s="44"/>
      <c r="AF990" s="44"/>
      <c r="AG990" s="44"/>
      <c r="AH990" s="44"/>
      <c r="AI990" s="44"/>
      <c r="AJ990" s="44"/>
      <c r="AK990" s="44"/>
      <c r="AL990" s="44"/>
      <c r="AM990" s="44"/>
      <c r="AN990" s="44"/>
    </row>
    <row r="991" spans="1:40" ht="16.5" customHeight="1">
      <c r="A991" s="44"/>
      <c r="B991" s="44"/>
      <c r="C991" s="44"/>
      <c r="D991" s="172"/>
      <c r="E991" s="44"/>
      <c r="F991" s="44"/>
      <c r="G991" s="44"/>
      <c r="H991" s="44"/>
      <c r="I991" s="44"/>
      <c r="J991" s="44"/>
      <c r="K991" s="53"/>
      <c r="L991" s="44"/>
      <c r="M991" s="44"/>
      <c r="N991" s="44"/>
      <c r="O991" s="44"/>
      <c r="P991" s="44"/>
      <c r="Q991" s="44"/>
      <c r="R991" s="44"/>
      <c r="S991" s="44"/>
      <c r="T991" s="44"/>
      <c r="U991" s="44"/>
      <c r="V991" s="44"/>
      <c r="W991" s="44"/>
      <c r="X991" s="44"/>
      <c r="Y991" s="44"/>
      <c r="Z991" s="44"/>
      <c r="AA991" s="44"/>
      <c r="AB991" s="44"/>
      <c r="AC991" s="44"/>
      <c r="AD991" s="44"/>
      <c r="AE991" s="44"/>
      <c r="AF991" s="44"/>
      <c r="AG991" s="44"/>
      <c r="AH991" s="44"/>
      <c r="AI991" s="44"/>
      <c r="AJ991" s="44"/>
      <c r="AK991" s="44"/>
      <c r="AL991" s="44"/>
      <c r="AM991" s="44"/>
      <c r="AN991" s="44"/>
    </row>
    <row r="992" spans="1:40" ht="16.5" customHeight="1">
      <c r="A992" s="44"/>
      <c r="B992" s="44"/>
      <c r="C992" s="44"/>
      <c r="D992" s="172"/>
      <c r="E992" s="44"/>
      <c r="F992" s="44"/>
      <c r="G992" s="44"/>
      <c r="H992" s="44"/>
      <c r="I992" s="44"/>
      <c r="J992" s="44"/>
      <c r="K992" s="53"/>
      <c r="L992" s="44"/>
      <c r="M992" s="44"/>
      <c r="N992" s="44"/>
      <c r="O992" s="44"/>
      <c r="P992" s="44"/>
      <c r="Q992" s="44"/>
      <c r="R992" s="44"/>
      <c r="S992" s="44"/>
      <c r="T992" s="44"/>
      <c r="U992" s="44"/>
      <c r="V992" s="44"/>
      <c r="W992" s="44"/>
      <c r="X992" s="44"/>
      <c r="Y992" s="44"/>
      <c r="Z992" s="44"/>
      <c r="AA992" s="44"/>
      <c r="AB992" s="44"/>
      <c r="AC992" s="44"/>
      <c r="AD992" s="44"/>
      <c r="AE992" s="44"/>
      <c r="AF992" s="44"/>
      <c r="AG992" s="44"/>
      <c r="AH992" s="44"/>
      <c r="AI992" s="44"/>
      <c r="AJ992" s="44"/>
      <c r="AK992" s="44"/>
      <c r="AL992" s="44"/>
      <c r="AM992" s="44"/>
      <c r="AN992" s="44"/>
    </row>
    <row r="993" spans="1:40" ht="16.5" customHeight="1">
      <c r="A993" s="44"/>
      <c r="B993" s="44"/>
      <c r="C993" s="44"/>
      <c r="D993" s="172"/>
      <c r="E993" s="44"/>
      <c r="F993" s="44"/>
      <c r="G993" s="44"/>
      <c r="H993" s="44"/>
      <c r="I993" s="44"/>
      <c r="J993" s="44"/>
      <c r="K993" s="53"/>
      <c r="L993" s="44"/>
      <c r="M993" s="44"/>
      <c r="N993" s="44"/>
      <c r="O993" s="44"/>
      <c r="P993" s="44"/>
      <c r="Q993" s="44"/>
      <c r="R993" s="44"/>
      <c r="S993" s="44"/>
      <c r="T993" s="44"/>
      <c r="U993" s="44"/>
      <c r="V993" s="44"/>
      <c r="W993" s="44"/>
      <c r="X993" s="44"/>
      <c r="Y993" s="44"/>
      <c r="Z993" s="44"/>
      <c r="AA993" s="44"/>
      <c r="AB993" s="44"/>
      <c r="AC993" s="44"/>
      <c r="AD993" s="44"/>
      <c r="AE993" s="44"/>
      <c r="AF993" s="44"/>
      <c r="AG993" s="44"/>
      <c r="AH993" s="44"/>
      <c r="AI993" s="44"/>
      <c r="AJ993" s="44"/>
      <c r="AK993" s="44"/>
      <c r="AL993" s="44"/>
      <c r="AM993" s="44"/>
      <c r="AN993" s="44"/>
    </row>
    <row r="994" spans="1:40" ht="16.5" customHeight="1">
      <c r="A994" s="44"/>
      <c r="B994" s="44"/>
      <c r="C994" s="44"/>
      <c r="D994" s="172"/>
      <c r="E994" s="44"/>
      <c r="F994" s="44"/>
      <c r="G994" s="44"/>
      <c r="H994" s="44"/>
      <c r="I994" s="44"/>
      <c r="J994" s="44"/>
      <c r="K994" s="53"/>
      <c r="L994" s="44"/>
      <c r="M994" s="44"/>
      <c r="N994" s="44"/>
      <c r="O994" s="44"/>
      <c r="P994" s="44"/>
      <c r="Q994" s="44"/>
      <c r="R994" s="44"/>
      <c r="S994" s="44"/>
      <c r="T994" s="44"/>
      <c r="U994" s="44"/>
      <c r="V994" s="44"/>
      <c r="W994" s="44"/>
      <c r="X994" s="44"/>
      <c r="Y994" s="44"/>
      <c r="Z994" s="44"/>
      <c r="AA994" s="44"/>
      <c r="AB994" s="44"/>
      <c r="AC994" s="44"/>
      <c r="AD994" s="44"/>
      <c r="AE994" s="44"/>
      <c r="AF994" s="44"/>
      <c r="AG994" s="44"/>
      <c r="AH994" s="44"/>
      <c r="AI994" s="44"/>
      <c r="AJ994" s="44"/>
      <c r="AK994" s="44"/>
      <c r="AL994" s="44"/>
      <c r="AM994" s="44"/>
      <c r="AN994" s="44"/>
    </row>
    <row r="995" spans="1:40" ht="16.5" customHeight="1">
      <c r="A995" s="44"/>
      <c r="B995" s="44"/>
      <c r="C995" s="44"/>
      <c r="D995" s="172"/>
      <c r="E995" s="44"/>
      <c r="F995" s="44"/>
      <c r="G995" s="44"/>
      <c r="H995" s="44"/>
      <c r="I995" s="44"/>
      <c r="J995" s="44"/>
      <c r="K995" s="53"/>
      <c r="L995" s="44"/>
      <c r="M995" s="44"/>
      <c r="N995" s="44"/>
      <c r="O995" s="44"/>
      <c r="P995" s="44"/>
      <c r="Q995" s="44"/>
      <c r="R995" s="44"/>
      <c r="S995" s="44"/>
      <c r="T995" s="44"/>
      <c r="U995" s="44"/>
      <c r="V995" s="44"/>
      <c r="W995" s="44"/>
      <c r="X995" s="44"/>
      <c r="Y995" s="44"/>
      <c r="Z995" s="44"/>
      <c r="AA995" s="44"/>
      <c r="AB995" s="44"/>
      <c r="AC995" s="44"/>
      <c r="AD995" s="44"/>
      <c r="AE995" s="44"/>
      <c r="AF995" s="44"/>
      <c r="AG995" s="44"/>
      <c r="AH995" s="44"/>
      <c r="AI995" s="44"/>
      <c r="AJ995" s="44"/>
      <c r="AK995" s="44"/>
      <c r="AL995" s="44"/>
      <c r="AM995" s="44"/>
      <c r="AN995" s="44"/>
    </row>
    <row r="996" spans="1:40" ht="16.5" customHeight="1">
      <c r="A996" s="44"/>
      <c r="B996" s="44"/>
      <c r="C996" s="44"/>
      <c r="D996" s="172"/>
      <c r="E996" s="44"/>
      <c r="F996" s="44"/>
      <c r="G996" s="44"/>
      <c r="H996" s="44"/>
      <c r="I996" s="44"/>
      <c r="J996" s="44"/>
      <c r="K996" s="53"/>
      <c r="L996" s="44"/>
      <c r="M996" s="44"/>
      <c r="N996" s="44"/>
      <c r="O996" s="44"/>
      <c r="P996" s="44"/>
      <c r="Q996" s="44"/>
      <c r="R996" s="44"/>
      <c r="S996" s="44"/>
      <c r="T996" s="44"/>
      <c r="U996" s="44"/>
      <c r="V996" s="44"/>
      <c r="W996" s="44"/>
      <c r="X996" s="44"/>
      <c r="Y996" s="44"/>
      <c r="Z996" s="44"/>
      <c r="AA996" s="44"/>
      <c r="AB996" s="44"/>
      <c r="AC996" s="44"/>
      <c r="AD996" s="44"/>
      <c r="AE996" s="44"/>
      <c r="AF996" s="44"/>
      <c r="AG996" s="44"/>
      <c r="AH996" s="44"/>
      <c r="AI996" s="44"/>
      <c r="AJ996" s="44"/>
      <c r="AK996" s="44"/>
      <c r="AL996" s="44"/>
      <c r="AM996" s="44"/>
      <c r="AN996" s="44"/>
    </row>
    <row r="997" spans="1:40" ht="16.5" customHeight="1">
      <c r="A997" s="44"/>
      <c r="B997" s="44"/>
      <c r="C997" s="44"/>
      <c r="D997" s="172"/>
      <c r="E997" s="44"/>
      <c r="F997" s="44"/>
      <c r="G997" s="44"/>
      <c r="H997" s="44"/>
      <c r="I997" s="44"/>
      <c r="J997" s="44"/>
      <c r="K997" s="53"/>
      <c r="L997" s="44"/>
      <c r="M997" s="44"/>
      <c r="N997" s="44"/>
      <c r="O997" s="44"/>
      <c r="P997" s="44"/>
      <c r="Q997" s="44"/>
      <c r="R997" s="44"/>
      <c r="S997" s="44"/>
      <c r="T997" s="44"/>
      <c r="U997" s="44"/>
      <c r="V997" s="44"/>
      <c r="W997" s="44"/>
      <c r="X997" s="44"/>
      <c r="Y997" s="44"/>
      <c r="Z997" s="44"/>
      <c r="AA997" s="44"/>
      <c r="AB997" s="44"/>
      <c r="AC997" s="44"/>
      <c r="AD997" s="44"/>
      <c r="AE997" s="44"/>
      <c r="AF997" s="44"/>
      <c r="AG997" s="44"/>
      <c r="AH997" s="44"/>
      <c r="AI997" s="44"/>
      <c r="AJ997" s="44"/>
      <c r="AK997" s="44"/>
      <c r="AL997" s="44"/>
      <c r="AM997" s="44"/>
      <c r="AN997" s="44"/>
    </row>
    <row r="998" spans="1:40" ht="16.5" customHeight="1">
      <c r="A998" s="44"/>
      <c r="B998" s="44"/>
      <c r="C998" s="44"/>
      <c r="D998" s="172"/>
      <c r="E998" s="44"/>
      <c r="F998" s="44"/>
      <c r="G998" s="44"/>
      <c r="H998" s="44"/>
      <c r="I998" s="44"/>
      <c r="J998" s="44"/>
      <c r="K998" s="53"/>
      <c r="L998" s="44"/>
      <c r="M998" s="44"/>
      <c r="N998" s="44"/>
      <c r="O998" s="44"/>
      <c r="P998" s="44"/>
      <c r="Q998" s="44"/>
      <c r="R998" s="44"/>
      <c r="S998" s="44"/>
      <c r="T998" s="44"/>
      <c r="U998" s="44"/>
      <c r="V998" s="44"/>
      <c r="W998" s="44"/>
      <c r="X998" s="44"/>
      <c r="Y998" s="44"/>
      <c r="Z998" s="44"/>
      <c r="AA998" s="44"/>
      <c r="AB998" s="44"/>
      <c r="AC998" s="44"/>
      <c r="AD998" s="44"/>
      <c r="AE998" s="44"/>
      <c r="AF998" s="44"/>
      <c r="AG998" s="44"/>
      <c r="AH998" s="44"/>
      <c r="AI998" s="44"/>
      <c r="AJ998" s="44"/>
      <c r="AK998" s="44"/>
      <c r="AL998" s="44"/>
      <c r="AM998" s="44"/>
      <c r="AN998" s="44"/>
    </row>
    <row r="999" spans="1:40" ht="16.5" customHeight="1">
      <c r="A999" s="44"/>
      <c r="B999" s="44"/>
      <c r="C999" s="44"/>
      <c r="D999" s="172"/>
      <c r="E999" s="44"/>
      <c r="F999" s="44"/>
      <c r="G999" s="44"/>
      <c r="H999" s="44"/>
      <c r="I999" s="44"/>
      <c r="J999" s="44"/>
      <c r="K999" s="53"/>
      <c r="L999" s="44"/>
      <c r="M999" s="44"/>
      <c r="N999" s="44"/>
      <c r="O999" s="44"/>
      <c r="P999" s="44"/>
      <c r="Q999" s="44"/>
      <c r="R999" s="44"/>
      <c r="S999" s="44"/>
      <c r="T999" s="44"/>
      <c r="U999" s="44"/>
      <c r="V999" s="44"/>
      <c r="W999" s="44"/>
      <c r="X999" s="44"/>
      <c r="Y999" s="44"/>
      <c r="Z999" s="44"/>
      <c r="AA999" s="44"/>
      <c r="AB999" s="44"/>
      <c r="AC999" s="44"/>
      <c r="AD999" s="44"/>
      <c r="AE999" s="44"/>
      <c r="AF999" s="44"/>
      <c r="AG999" s="44"/>
      <c r="AH999" s="44"/>
      <c r="AI999" s="44"/>
      <c r="AJ999" s="44"/>
      <c r="AK999" s="44"/>
      <c r="AL999" s="44"/>
      <c r="AM999" s="44"/>
      <c r="AN999" s="44"/>
    </row>
    <row r="1000" spans="1:40" ht="16.5" customHeight="1">
      <c r="A1000" s="44"/>
      <c r="B1000" s="44"/>
      <c r="C1000" s="44"/>
      <c r="D1000" s="172"/>
      <c r="E1000" s="44"/>
      <c r="F1000" s="44"/>
      <c r="G1000" s="44"/>
      <c r="H1000" s="44"/>
      <c r="I1000" s="44"/>
      <c r="J1000" s="44"/>
      <c r="K1000" s="53"/>
      <c r="L1000" s="44"/>
      <c r="M1000" s="44"/>
      <c r="N1000" s="44"/>
      <c r="O1000" s="44"/>
      <c r="P1000" s="44"/>
      <c r="Q1000" s="44"/>
      <c r="R1000" s="44"/>
      <c r="S1000" s="44"/>
      <c r="T1000" s="44"/>
      <c r="U1000" s="44"/>
      <c r="V1000" s="44"/>
      <c r="W1000" s="44"/>
      <c r="X1000" s="44"/>
      <c r="Y1000" s="44"/>
      <c r="Z1000" s="44"/>
      <c r="AA1000" s="44"/>
      <c r="AB1000" s="44"/>
      <c r="AC1000" s="44"/>
      <c r="AD1000" s="44"/>
      <c r="AE1000" s="44"/>
      <c r="AF1000" s="44"/>
      <c r="AG1000" s="44"/>
      <c r="AH1000" s="44"/>
      <c r="AI1000" s="44"/>
      <c r="AJ1000" s="44"/>
      <c r="AK1000" s="44"/>
      <c r="AL1000" s="44"/>
      <c r="AM1000" s="44"/>
      <c r="AN1000" s="44"/>
    </row>
  </sheetData>
  <mergeCells count="82">
    <mergeCell ref="K13:L13"/>
    <mergeCell ref="N13:O13"/>
    <mergeCell ref="T12:U12"/>
    <mergeCell ref="T13:U13"/>
    <mergeCell ref="T14:U14"/>
    <mergeCell ref="T15:U15"/>
    <mergeCell ref="T16:U16"/>
    <mergeCell ref="R8:S8"/>
    <mergeCell ref="R9:S9"/>
    <mergeCell ref="T9:V9"/>
    <mergeCell ref="T10:U10"/>
    <mergeCell ref="T11:U11"/>
    <mergeCell ref="T8:V8"/>
    <mergeCell ref="K5:L5"/>
    <mergeCell ref="R5:V5"/>
    <mergeCell ref="B6:C6"/>
    <mergeCell ref="K6:L6"/>
    <mergeCell ref="T6:U6"/>
    <mergeCell ref="R6:S7"/>
    <mergeCell ref="N5:O5"/>
    <mergeCell ref="N6:O6"/>
    <mergeCell ref="K7:L7"/>
    <mergeCell ref="N7:O7"/>
    <mergeCell ref="T7:V7"/>
    <mergeCell ref="O2:P2"/>
    <mergeCell ref="E3:F3"/>
    <mergeCell ref="O3:P3"/>
    <mergeCell ref="G3:H3"/>
    <mergeCell ref="I3:J3"/>
    <mergeCell ref="K3:L3"/>
    <mergeCell ref="M3:N3"/>
    <mergeCell ref="B2:D3"/>
    <mergeCell ref="E2:F2"/>
    <mergeCell ref="G2:H2"/>
    <mergeCell ref="I2:L2"/>
    <mergeCell ref="M2:N2"/>
    <mergeCell ref="AJ83:AJ89"/>
    <mergeCell ref="AJ90:AJ96"/>
    <mergeCell ref="AJ97:AJ103"/>
    <mergeCell ref="N17:O17"/>
    <mergeCell ref="AI19:AJ19"/>
    <mergeCell ref="AJ20:AJ26"/>
    <mergeCell ref="AJ27:AJ33"/>
    <mergeCell ref="AJ34:AJ40"/>
    <mergeCell ref="AJ41:AJ47"/>
    <mergeCell ref="AJ48:AJ54"/>
    <mergeCell ref="K17:L17"/>
    <mergeCell ref="AJ55:AJ61"/>
    <mergeCell ref="AJ62:AJ68"/>
    <mergeCell ref="AJ69:AJ75"/>
    <mergeCell ref="AJ76:AJ82"/>
    <mergeCell ref="K14:L14"/>
    <mergeCell ref="N14:O14"/>
    <mergeCell ref="K15:L15"/>
    <mergeCell ref="N15:O15"/>
    <mergeCell ref="K16:L16"/>
    <mergeCell ref="N16:O16"/>
    <mergeCell ref="N11:O11"/>
    <mergeCell ref="N12:O12"/>
    <mergeCell ref="K8:L8"/>
    <mergeCell ref="K9:L9"/>
    <mergeCell ref="N9:O9"/>
    <mergeCell ref="K10:L10"/>
    <mergeCell ref="N10:O10"/>
    <mergeCell ref="K11:L11"/>
    <mergeCell ref="K12:L12"/>
    <mergeCell ref="N8:O8"/>
    <mergeCell ref="H16:I16"/>
    <mergeCell ref="H17:I17"/>
    <mergeCell ref="H5:I5"/>
    <mergeCell ref="H6:I6"/>
    <mergeCell ref="B7:C7"/>
    <mergeCell ref="H7:I7"/>
    <mergeCell ref="H8:I8"/>
    <mergeCell ref="H9:I9"/>
    <mergeCell ref="H10:I10"/>
    <mergeCell ref="B5:C5"/>
    <mergeCell ref="H11:I11"/>
    <mergeCell ref="H12:I12"/>
    <mergeCell ref="H13:I13"/>
    <mergeCell ref="H14:I14"/>
    <mergeCell ref="H15:I15"/>
  </mergeCells>
  <phoneticPr fontId="82"/>
  <conditionalFormatting sqref="D20:X385">
    <cfRule type="expression" dxfId="5" priority="1">
      <formula>$D20=0</formula>
    </cfRule>
  </conditionalFormatting>
  <conditionalFormatting sqref="E20:X385">
    <cfRule type="expression" dxfId="4" priority="2">
      <formula>WEEKDAY($G20)=1</formula>
    </cfRule>
    <cfRule type="expression" dxfId="3" priority="3">
      <formula>WEEKDAY($G20)=7</formula>
    </cfRule>
  </conditionalFormatting>
  <conditionalFormatting sqref="N6:O17">
    <cfRule type="cellIs" dxfId="2" priority="4" operator="lessThan">
      <formula>0</formula>
    </cfRule>
    <cfRule type="cellIs" dxfId="1" priority="5" operator="greaterThan">
      <formula>"¥0"</formula>
    </cfRule>
  </conditionalFormatting>
  <conditionalFormatting sqref="T8:V8">
    <cfRule type="cellIs" dxfId="0" priority="6" operator="lessThanOrEqual">
      <formula>0</formula>
    </cfRule>
  </conditionalFormatting>
  <dataValidations count="2">
    <dataValidation type="list" allowBlank="1" showErrorMessage="1" sqref="T6" xr:uid="{00000000-0002-0000-0200-000000000000}">
      <formula1>$AC$5:$AC$16</formula1>
    </dataValidation>
    <dataValidation type="list" allowBlank="1" showErrorMessage="1" sqref="B2" xr:uid="{00000000-0002-0000-0200-000001000000}">
      <formula1>"2024/1/1,2028/1/1,2032/1/1,2036/1/1,2040/1/1,2044/1/1"</formula1>
    </dataValidation>
  </dataValidations>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baseColWidth="10" defaultColWidth="11.1640625" defaultRowHeight="15" customHeight="1"/>
  <cols>
    <col min="1" max="1" width="11.83203125" customWidth="1"/>
    <col min="2" max="9" width="8.83203125" customWidth="1"/>
    <col min="10" max="26" width="7.1640625" customWidth="1"/>
  </cols>
  <sheetData>
    <row r="1" spans="1:26" ht="18.75" customHeight="1">
      <c r="A1" s="558">
        <f ca="1">TODAY()</f>
        <v>45975</v>
      </c>
      <c r="B1" s="559"/>
      <c r="C1" s="220" t="s">
        <v>15</v>
      </c>
      <c r="D1" s="221"/>
      <c r="E1" s="221"/>
      <c r="F1" s="221"/>
      <c r="G1" s="221"/>
      <c r="H1" s="222" t="s">
        <v>160</v>
      </c>
      <c r="I1" s="223">
        <f t="array" aca="1" ref="I1" ca="1">INDIRECT("'適正原価率表(仕入れお小遣い制度)'!C" &amp; (2 * MONTH(A1) + 2))</f>
        <v>22</v>
      </c>
      <c r="J1" s="221"/>
      <c r="K1" s="221"/>
      <c r="L1" s="221"/>
      <c r="M1" s="221"/>
      <c r="N1" s="221"/>
      <c r="O1" s="221"/>
      <c r="P1" s="221"/>
      <c r="Q1" s="221"/>
      <c r="R1" s="221"/>
      <c r="S1" s="221"/>
      <c r="T1" s="221"/>
      <c r="U1" s="221"/>
      <c r="V1" s="221"/>
      <c r="W1" s="221"/>
      <c r="X1" s="221"/>
      <c r="Y1" s="221"/>
      <c r="Z1" s="221"/>
    </row>
    <row r="2" spans="1:26" ht="54.75" customHeight="1">
      <c r="A2" s="224" t="s">
        <v>161</v>
      </c>
      <c r="B2" s="221"/>
      <c r="C2" s="221"/>
      <c r="D2" s="221"/>
      <c r="E2" s="221"/>
      <c r="F2" s="221"/>
      <c r="G2" s="221"/>
      <c r="H2" s="221"/>
      <c r="I2" s="221"/>
      <c r="J2" s="221"/>
      <c r="K2" s="221"/>
      <c r="L2" s="221"/>
      <c r="M2" s="221"/>
      <c r="N2" s="221"/>
      <c r="O2" s="221"/>
      <c r="P2" s="221"/>
      <c r="Q2" s="221"/>
      <c r="R2" s="221"/>
      <c r="S2" s="221"/>
      <c r="T2" s="221"/>
      <c r="U2" s="221"/>
      <c r="V2" s="221"/>
      <c r="W2" s="221"/>
      <c r="X2" s="221"/>
      <c r="Y2" s="221"/>
      <c r="Z2" s="221"/>
    </row>
    <row r="3" spans="1:26" ht="18.75" customHeight="1">
      <c r="A3" s="225"/>
      <c r="B3" s="554" t="s">
        <v>31</v>
      </c>
      <c r="C3" s="486"/>
      <c r="D3" s="486"/>
      <c r="E3" s="483"/>
      <c r="F3" s="554" t="s">
        <v>12</v>
      </c>
      <c r="G3" s="486"/>
      <c r="H3" s="486"/>
      <c r="I3" s="483"/>
      <c r="J3" s="221"/>
      <c r="K3" s="221"/>
      <c r="L3" s="221"/>
      <c r="M3" s="221"/>
      <c r="N3" s="221"/>
      <c r="O3" s="221"/>
      <c r="P3" s="221"/>
      <c r="Q3" s="221"/>
      <c r="R3" s="221"/>
      <c r="S3" s="221"/>
      <c r="T3" s="221"/>
      <c r="U3" s="221"/>
      <c r="V3" s="221"/>
      <c r="W3" s="221"/>
      <c r="X3" s="221"/>
      <c r="Y3" s="221"/>
      <c r="Z3" s="221"/>
    </row>
    <row r="4" spans="1:26" ht="75.75" customHeight="1">
      <c r="A4" s="226" t="s">
        <v>162</v>
      </c>
      <c r="B4" s="560">
        <f t="array" aca="1" ref="B4" ca="1">INDEX('適正原価率表(仕入れお小遣い制度)'!I:I, MONTH(A1)*2+2)</f>
        <v>295576.49050755793</v>
      </c>
      <c r="C4" s="486"/>
      <c r="D4" s="486"/>
      <c r="E4" s="483"/>
      <c r="F4" s="560">
        <f t="array" aca="1" ref="F4" ca="1">INDEX('適正原価率表(仕入れお小遣い制度)'!J:J, MONTH(A1)*2+2)</f>
        <v>13435.295023070816</v>
      </c>
      <c r="G4" s="486"/>
      <c r="H4" s="486"/>
      <c r="I4" s="483"/>
      <c r="J4" s="221"/>
      <c r="K4" s="221"/>
      <c r="L4" s="221"/>
      <c r="M4" s="221"/>
      <c r="N4" s="221"/>
      <c r="O4" s="221"/>
      <c r="P4" s="221"/>
      <c r="Q4" s="221"/>
      <c r="R4" s="221"/>
      <c r="S4" s="221"/>
      <c r="T4" s="221"/>
      <c r="U4" s="221"/>
      <c r="V4" s="221"/>
      <c r="W4" s="221"/>
      <c r="X4" s="221"/>
      <c r="Y4" s="221"/>
      <c r="Z4" s="221"/>
    </row>
    <row r="5" spans="1:26" ht="75.75" customHeight="1">
      <c r="A5" s="226" t="s">
        <v>163</v>
      </c>
      <c r="B5" s="560">
        <f t="array" aca="1" ref="B5" ca="1">INDEX('適正原価率表(仕入れお小遣い制度)'!I:I, MONTH(A1)*2+3)</f>
        <v>256557.25375097516</v>
      </c>
      <c r="C5" s="486"/>
      <c r="D5" s="486"/>
      <c r="E5" s="483"/>
      <c r="F5" s="560">
        <f t="array" aca="1" ref="F5" ca="1">INDEX('適正原価率表(仕入れお小遣い制度)'!J:J, MONTH(A1)*2+3)</f>
        <v>11661.693352317052</v>
      </c>
      <c r="G5" s="486"/>
      <c r="H5" s="486"/>
      <c r="I5" s="483"/>
      <c r="J5" s="221"/>
      <c r="K5" s="221"/>
      <c r="L5" s="221"/>
      <c r="M5" s="221"/>
      <c r="N5" s="221"/>
      <c r="O5" s="221"/>
      <c r="P5" s="221"/>
      <c r="Q5" s="221"/>
      <c r="R5" s="221"/>
      <c r="S5" s="221"/>
      <c r="T5" s="221"/>
      <c r="U5" s="221"/>
      <c r="V5" s="221"/>
      <c r="W5" s="221"/>
      <c r="X5" s="221"/>
      <c r="Y5" s="221"/>
      <c r="Z5" s="221"/>
    </row>
    <row r="6" spans="1:26" ht="18.75" customHeight="1">
      <c r="A6" s="221"/>
      <c r="B6" s="221"/>
      <c r="C6" s="221"/>
      <c r="D6" s="221"/>
      <c r="E6" s="221"/>
      <c r="F6" s="221"/>
      <c r="G6" s="221"/>
      <c r="H6" s="221"/>
      <c r="I6" s="221"/>
      <c r="J6" s="221"/>
      <c r="K6" s="221"/>
      <c r="L6" s="221"/>
      <c r="M6" s="221"/>
      <c r="N6" s="221"/>
      <c r="O6" s="221"/>
      <c r="P6" s="221"/>
      <c r="Q6" s="221"/>
      <c r="R6" s="221"/>
      <c r="S6" s="221"/>
      <c r="T6" s="221"/>
      <c r="U6" s="221"/>
      <c r="V6" s="221"/>
      <c r="W6" s="221"/>
      <c r="X6" s="221"/>
      <c r="Y6" s="221"/>
      <c r="Z6" s="221"/>
    </row>
    <row r="7" spans="1:26" ht="18.75" customHeight="1">
      <c r="A7" s="224" t="s">
        <v>164</v>
      </c>
      <c r="B7" s="221"/>
      <c r="C7" s="221"/>
      <c r="D7" s="221"/>
      <c r="E7" s="221"/>
      <c r="F7" s="221"/>
      <c r="G7" s="221"/>
      <c r="H7" s="221"/>
      <c r="I7" s="221"/>
      <c r="J7" s="221"/>
      <c r="K7" s="227"/>
      <c r="L7" s="221"/>
      <c r="M7" s="221"/>
      <c r="N7" s="221"/>
      <c r="O7" s="221"/>
      <c r="P7" s="221"/>
      <c r="Q7" s="221"/>
      <c r="R7" s="221"/>
      <c r="S7" s="221"/>
      <c r="T7" s="221"/>
      <c r="U7" s="221"/>
      <c r="V7" s="221"/>
      <c r="W7" s="221"/>
      <c r="X7" s="221"/>
      <c r="Y7" s="221"/>
      <c r="Z7" s="221"/>
    </row>
    <row r="8" spans="1:26" ht="18.75" customHeight="1">
      <c r="A8" s="225"/>
      <c r="B8" s="553" t="s">
        <v>165</v>
      </c>
      <c r="C8" s="483"/>
      <c r="D8" s="554" t="s">
        <v>162</v>
      </c>
      <c r="E8" s="486"/>
      <c r="F8" s="483"/>
      <c r="G8" s="554" t="s">
        <v>163</v>
      </c>
      <c r="H8" s="486"/>
      <c r="I8" s="483"/>
      <c r="J8" s="221"/>
      <c r="K8" s="227"/>
      <c r="L8" s="221"/>
      <c r="M8" s="221"/>
      <c r="N8" s="221"/>
      <c r="O8" s="221"/>
      <c r="P8" s="221"/>
      <c r="Q8" s="221"/>
      <c r="R8" s="221"/>
      <c r="S8" s="221"/>
      <c r="T8" s="221"/>
      <c r="U8" s="221"/>
      <c r="V8" s="221"/>
      <c r="W8" s="221"/>
      <c r="X8" s="221"/>
      <c r="Y8" s="221"/>
      <c r="Z8" s="221"/>
    </row>
    <row r="9" spans="1:26" ht="75.75" customHeight="1">
      <c r="A9" s="226" t="s">
        <v>139</v>
      </c>
      <c r="B9" s="555">
        <f t="array" aca="1" ref="B9" ca="1">INDIRECT("'適正人件費表'!J" &amp; (2 * MONTH(A1) + 2))</f>
        <v>3</v>
      </c>
      <c r="C9" s="509"/>
      <c r="D9" s="556">
        <f ca="1">1 + IF(B9-4 &gt;= 8, 1, 0) + IF(B9-4 &gt;= 9, 1, 0)</f>
        <v>1</v>
      </c>
      <c r="E9" s="486"/>
      <c r="F9" s="483"/>
      <c r="G9" s="556">
        <f ca="1">1 + IF(B9-4 &gt;= 4, 1, 0) + IF(B9-4 &gt;= 5, 1, 0)</f>
        <v>1</v>
      </c>
      <c r="H9" s="486"/>
      <c r="I9" s="483"/>
      <c r="J9" s="221"/>
      <c r="K9" s="221"/>
      <c r="L9" s="221"/>
      <c r="M9" s="221"/>
      <c r="N9" s="221"/>
      <c r="O9" s="221"/>
      <c r="P9" s="221"/>
      <c r="Q9" s="221"/>
      <c r="R9" s="221"/>
      <c r="S9" s="221"/>
      <c r="T9" s="221"/>
      <c r="U9" s="221"/>
      <c r="V9" s="221"/>
      <c r="W9" s="221"/>
      <c r="X9" s="221"/>
      <c r="Y9" s="221"/>
      <c r="Z9" s="221"/>
    </row>
    <row r="10" spans="1:26" ht="75.75" customHeight="1">
      <c r="A10" s="228" t="s">
        <v>140</v>
      </c>
      <c r="B10" s="510"/>
      <c r="C10" s="494"/>
      <c r="D10" s="557">
        <f ca="1">1 + IF(B9-4 &gt;= 6, 1, 0) + IF(B9-4 &gt;= 7, 1, 0)</f>
        <v>1</v>
      </c>
      <c r="E10" s="486"/>
      <c r="F10" s="483"/>
      <c r="G10" s="557">
        <f ca="1">1 + IF(B9-4 &gt;= 1, 1, 0) + IF(B9-4 &gt;= 2, 1, 0) + IF(B9-4 &gt;= 3, 1, 0)</f>
        <v>1</v>
      </c>
      <c r="H10" s="486"/>
      <c r="I10" s="483"/>
      <c r="J10" s="221"/>
      <c r="K10" s="221"/>
      <c r="L10" s="221"/>
      <c r="M10" s="221"/>
      <c r="N10" s="221"/>
      <c r="O10" s="221"/>
      <c r="P10" s="221"/>
      <c r="Q10" s="221"/>
      <c r="R10" s="221"/>
      <c r="S10" s="221"/>
      <c r="T10" s="221"/>
      <c r="U10" s="221"/>
      <c r="V10" s="221"/>
      <c r="W10" s="221"/>
      <c r="X10" s="221"/>
      <c r="Y10" s="221"/>
      <c r="Z10" s="221"/>
    </row>
    <row r="11" spans="1:26" ht="18.75" customHeight="1">
      <c r="A11" s="221"/>
      <c r="B11" s="221"/>
      <c r="C11" s="221"/>
      <c r="D11" s="221"/>
      <c r="E11" s="221"/>
      <c r="F11" s="221"/>
      <c r="G11" s="221"/>
      <c r="H11" s="221"/>
      <c r="I11" s="221"/>
      <c r="J11" s="221"/>
      <c r="K11" s="221"/>
      <c r="L11" s="221"/>
      <c r="M11" s="221"/>
      <c r="N11" s="221"/>
      <c r="O11" s="221"/>
      <c r="P11" s="221"/>
      <c r="Q11" s="221"/>
      <c r="R11" s="221"/>
      <c r="S11" s="221"/>
      <c r="T11" s="221"/>
      <c r="U11" s="221"/>
      <c r="V11" s="221"/>
      <c r="W11" s="221"/>
      <c r="X11" s="221"/>
      <c r="Y11" s="221"/>
      <c r="Z11" s="221"/>
    </row>
    <row r="12" spans="1:26" ht="18.75" customHeight="1">
      <c r="A12" s="221"/>
      <c r="B12" s="221"/>
      <c r="C12" s="221"/>
      <c r="D12" s="221"/>
      <c r="E12" s="221"/>
      <c r="F12" s="221"/>
      <c r="G12" s="221"/>
      <c r="H12" s="221"/>
      <c r="I12" s="221"/>
      <c r="J12" s="221"/>
      <c r="K12" s="221"/>
      <c r="L12" s="221"/>
      <c r="M12" s="221"/>
      <c r="N12" s="221"/>
      <c r="O12" s="221"/>
      <c r="P12" s="221"/>
      <c r="Q12" s="221"/>
      <c r="R12" s="221"/>
      <c r="S12" s="221"/>
      <c r="T12" s="221"/>
      <c r="U12" s="221"/>
      <c r="V12" s="221"/>
      <c r="W12" s="221"/>
      <c r="X12" s="221"/>
      <c r="Y12" s="221"/>
      <c r="Z12" s="221"/>
    </row>
    <row r="13" spans="1:26" ht="18.75" customHeight="1">
      <c r="A13" s="221"/>
      <c r="B13" s="221"/>
      <c r="C13" s="221"/>
      <c r="D13" s="221"/>
      <c r="E13" s="221"/>
      <c r="F13" s="221"/>
      <c r="G13" s="221"/>
      <c r="H13" s="221"/>
      <c r="I13" s="221"/>
      <c r="J13" s="221"/>
      <c r="K13" s="221"/>
      <c r="L13" s="221"/>
      <c r="M13" s="221"/>
      <c r="N13" s="221"/>
      <c r="O13" s="221"/>
      <c r="P13" s="221"/>
      <c r="Q13" s="221"/>
      <c r="R13" s="221"/>
      <c r="S13" s="221"/>
      <c r="T13" s="221"/>
      <c r="U13" s="221"/>
      <c r="V13" s="221"/>
      <c r="W13" s="221"/>
      <c r="X13" s="221"/>
      <c r="Y13" s="221"/>
      <c r="Z13" s="221"/>
    </row>
    <row r="14" spans="1:26" ht="18.75" customHeight="1">
      <c r="A14" s="221"/>
      <c r="B14" s="221"/>
      <c r="C14" s="221"/>
      <c r="D14" s="221"/>
      <c r="E14" s="221"/>
      <c r="F14" s="221"/>
      <c r="G14" s="221"/>
      <c r="H14" s="221"/>
      <c r="I14" s="221"/>
      <c r="J14" s="221"/>
      <c r="K14" s="221"/>
      <c r="L14" s="221"/>
      <c r="M14" s="221"/>
      <c r="N14" s="221"/>
      <c r="O14" s="221"/>
      <c r="P14" s="221"/>
      <c r="Q14" s="221"/>
      <c r="R14" s="221"/>
      <c r="S14" s="221"/>
      <c r="T14" s="221"/>
      <c r="U14" s="221"/>
      <c r="V14" s="221"/>
      <c r="W14" s="221"/>
      <c r="X14" s="221"/>
      <c r="Y14" s="221"/>
      <c r="Z14" s="221"/>
    </row>
    <row r="15" spans="1:26" ht="18.75" customHeight="1">
      <c r="A15" s="221"/>
      <c r="B15" s="221"/>
      <c r="C15" s="221"/>
      <c r="D15" s="221"/>
      <c r="E15" s="221"/>
      <c r="F15" s="221"/>
      <c r="G15" s="221"/>
      <c r="H15" s="221"/>
      <c r="I15" s="221"/>
      <c r="J15" s="221"/>
      <c r="K15" s="221"/>
      <c r="L15" s="221"/>
      <c r="M15" s="221"/>
      <c r="N15" s="221"/>
      <c r="O15" s="221"/>
      <c r="P15" s="221"/>
      <c r="Q15" s="221"/>
      <c r="R15" s="221"/>
      <c r="S15" s="221"/>
      <c r="T15" s="221"/>
      <c r="U15" s="221"/>
      <c r="V15" s="221"/>
      <c r="W15" s="221"/>
      <c r="X15" s="221"/>
      <c r="Y15" s="221"/>
      <c r="Z15" s="221"/>
    </row>
    <row r="16" spans="1:26" ht="18.75" customHeight="1">
      <c r="A16" s="221"/>
      <c r="B16" s="221"/>
      <c r="C16" s="221"/>
      <c r="D16" s="221"/>
      <c r="E16" s="221"/>
      <c r="F16" s="221"/>
      <c r="G16" s="221"/>
      <c r="H16" s="221"/>
      <c r="I16" s="221"/>
      <c r="J16" s="221"/>
      <c r="K16" s="221"/>
      <c r="L16" s="221"/>
      <c r="M16" s="221"/>
      <c r="N16" s="221"/>
      <c r="O16" s="221"/>
      <c r="P16" s="221"/>
      <c r="Q16" s="221"/>
      <c r="R16" s="221"/>
      <c r="S16" s="221"/>
      <c r="T16" s="221"/>
      <c r="U16" s="221"/>
      <c r="V16" s="221"/>
      <c r="W16" s="221"/>
      <c r="X16" s="221"/>
      <c r="Y16" s="221"/>
      <c r="Z16" s="221"/>
    </row>
    <row r="17" spans="1:26" ht="18.75" customHeight="1">
      <c r="A17" s="221"/>
      <c r="B17" s="221"/>
      <c r="C17" s="221"/>
      <c r="D17" s="221"/>
      <c r="E17" s="221"/>
      <c r="F17" s="221"/>
      <c r="G17" s="221"/>
      <c r="H17" s="221"/>
      <c r="I17" s="221"/>
      <c r="J17" s="221"/>
      <c r="K17" s="221"/>
      <c r="L17" s="221"/>
      <c r="M17" s="221"/>
      <c r="N17" s="221"/>
      <c r="O17" s="221"/>
      <c r="P17" s="221"/>
      <c r="Q17" s="221"/>
      <c r="R17" s="221"/>
      <c r="S17" s="221"/>
      <c r="T17" s="221"/>
      <c r="U17" s="221"/>
      <c r="V17" s="221"/>
      <c r="W17" s="221"/>
      <c r="X17" s="221"/>
      <c r="Y17" s="221"/>
      <c r="Z17" s="221"/>
    </row>
    <row r="18" spans="1:26" ht="18.75" customHeight="1">
      <c r="A18" s="221"/>
      <c r="B18" s="221"/>
      <c r="C18" s="221"/>
      <c r="D18" s="221"/>
      <c r="E18" s="221"/>
      <c r="F18" s="221"/>
      <c r="G18" s="221"/>
      <c r="H18" s="221"/>
      <c r="I18" s="221"/>
      <c r="J18" s="221"/>
      <c r="K18" s="221"/>
      <c r="L18" s="221"/>
      <c r="M18" s="221"/>
      <c r="N18" s="221"/>
      <c r="O18" s="221"/>
      <c r="P18" s="221"/>
      <c r="Q18" s="221"/>
      <c r="R18" s="221"/>
      <c r="S18" s="221"/>
      <c r="T18" s="221"/>
      <c r="U18" s="221"/>
      <c r="V18" s="221"/>
      <c r="W18" s="221"/>
      <c r="X18" s="221"/>
      <c r="Y18" s="221"/>
      <c r="Z18" s="221"/>
    </row>
    <row r="19" spans="1:26" ht="18.75" customHeight="1">
      <c r="A19" s="221"/>
      <c r="B19" s="221"/>
      <c r="C19" s="221"/>
      <c r="D19" s="221"/>
      <c r="E19" s="221"/>
      <c r="F19" s="221"/>
      <c r="G19" s="221"/>
      <c r="H19" s="221"/>
      <c r="I19" s="221"/>
      <c r="J19" s="221"/>
      <c r="K19" s="221"/>
      <c r="L19" s="221"/>
      <c r="M19" s="221"/>
      <c r="N19" s="221"/>
      <c r="O19" s="221"/>
      <c r="P19" s="221"/>
      <c r="Q19" s="221"/>
      <c r="R19" s="221"/>
      <c r="S19" s="221"/>
      <c r="T19" s="221"/>
      <c r="U19" s="221"/>
      <c r="V19" s="221"/>
      <c r="W19" s="221"/>
      <c r="X19" s="221"/>
      <c r="Y19" s="221"/>
      <c r="Z19" s="221"/>
    </row>
    <row r="20" spans="1:26" ht="18.75" customHeight="1">
      <c r="A20" s="221"/>
      <c r="B20" s="221"/>
      <c r="C20" s="221"/>
      <c r="D20" s="221"/>
      <c r="E20" s="221"/>
      <c r="F20" s="221"/>
      <c r="G20" s="221"/>
      <c r="H20" s="221"/>
      <c r="I20" s="221"/>
      <c r="J20" s="221"/>
      <c r="K20" s="221"/>
      <c r="L20" s="221"/>
      <c r="M20" s="221"/>
      <c r="N20" s="221"/>
      <c r="O20" s="221"/>
      <c r="P20" s="221"/>
      <c r="Q20" s="221"/>
      <c r="R20" s="221"/>
      <c r="S20" s="221"/>
      <c r="T20" s="221"/>
      <c r="U20" s="221"/>
      <c r="V20" s="221"/>
      <c r="W20" s="221"/>
      <c r="X20" s="221"/>
      <c r="Y20" s="221"/>
      <c r="Z20" s="221"/>
    </row>
    <row r="21" spans="1:26" ht="18.75" customHeight="1">
      <c r="A21" s="221"/>
      <c r="B21" s="221"/>
      <c r="C21" s="221"/>
      <c r="D21" s="221"/>
      <c r="E21" s="221"/>
      <c r="F21" s="221"/>
      <c r="G21" s="221"/>
      <c r="H21" s="221"/>
      <c r="I21" s="221"/>
      <c r="J21" s="221"/>
      <c r="K21" s="221"/>
      <c r="L21" s="221"/>
      <c r="M21" s="221"/>
      <c r="N21" s="221"/>
      <c r="O21" s="221"/>
      <c r="P21" s="221"/>
      <c r="Q21" s="221"/>
      <c r="R21" s="221"/>
      <c r="S21" s="221"/>
      <c r="T21" s="221"/>
      <c r="U21" s="221"/>
      <c r="V21" s="221"/>
      <c r="W21" s="221"/>
      <c r="X21" s="221"/>
      <c r="Y21" s="221"/>
      <c r="Z21" s="221"/>
    </row>
    <row r="22" spans="1:26" ht="18.75" customHeight="1">
      <c r="A22" s="221"/>
      <c r="B22" s="221"/>
      <c r="C22" s="221"/>
      <c r="D22" s="221"/>
      <c r="E22" s="221"/>
      <c r="F22" s="221"/>
      <c r="G22" s="221"/>
      <c r="H22" s="221"/>
      <c r="I22" s="221"/>
      <c r="J22" s="221"/>
      <c r="K22" s="221"/>
      <c r="L22" s="221"/>
      <c r="M22" s="221"/>
      <c r="N22" s="221"/>
      <c r="O22" s="221"/>
      <c r="P22" s="221"/>
      <c r="Q22" s="221"/>
      <c r="R22" s="221"/>
      <c r="S22" s="221"/>
      <c r="T22" s="221"/>
      <c r="U22" s="221"/>
      <c r="V22" s="221"/>
      <c r="W22" s="221"/>
      <c r="X22" s="221"/>
      <c r="Y22" s="221"/>
      <c r="Z22" s="221"/>
    </row>
    <row r="23" spans="1:26" ht="18.75" customHeight="1">
      <c r="A23" s="221"/>
      <c r="B23" s="221"/>
      <c r="C23" s="221"/>
      <c r="D23" s="221"/>
      <c r="E23" s="221"/>
      <c r="F23" s="221"/>
      <c r="G23" s="221"/>
      <c r="H23" s="221"/>
      <c r="I23" s="221"/>
      <c r="J23" s="221"/>
      <c r="K23" s="221"/>
      <c r="L23" s="221"/>
      <c r="M23" s="221"/>
      <c r="N23" s="221"/>
      <c r="O23" s="221"/>
      <c r="P23" s="221"/>
      <c r="Q23" s="221"/>
      <c r="R23" s="221"/>
      <c r="S23" s="221"/>
      <c r="T23" s="221"/>
      <c r="U23" s="221"/>
      <c r="V23" s="221"/>
      <c r="W23" s="221"/>
      <c r="X23" s="221"/>
      <c r="Y23" s="221"/>
      <c r="Z23" s="221"/>
    </row>
    <row r="24" spans="1:26" ht="18.75" customHeight="1">
      <c r="A24" s="221"/>
      <c r="B24" s="221"/>
      <c r="C24" s="221"/>
      <c r="D24" s="221"/>
      <c r="E24" s="221"/>
      <c r="F24" s="221"/>
      <c r="G24" s="221"/>
      <c r="H24" s="221"/>
      <c r="I24" s="221"/>
      <c r="J24" s="221"/>
      <c r="K24" s="221"/>
      <c r="L24" s="221"/>
      <c r="M24" s="221"/>
      <c r="N24" s="221"/>
      <c r="O24" s="221"/>
      <c r="P24" s="221"/>
      <c r="Q24" s="221"/>
      <c r="R24" s="221"/>
      <c r="S24" s="221"/>
      <c r="T24" s="221"/>
      <c r="U24" s="221"/>
      <c r="V24" s="221"/>
      <c r="W24" s="221"/>
      <c r="X24" s="221"/>
      <c r="Y24" s="221"/>
      <c r="Z24" s="221"/>
    </row>
    <row r="25" spans="1:26" ht="18.75" customHeight="1">
      <c r="A25" s="221"/>
      <c r="B25" s="221"/>
      <c r="C25" s="221"/>
      <c r="D25" s="221"/>
      <c r="E25" s="221"/>
      <c r="F25" s="221"/>
      <c r="G25" s="221"/>
      <c r="H25" s="221"/>
      <c r="I25" s="221"/>
      <c r="J25" s="221"/>
      <c r="K25" s="221"/>
      <c r="L25" s="221"/>
      <c r="M25" s="221"/>
      <c r="N25" s="221"/>
      <c r="O25" s="221"/>
      <c r="P25" s="221"/>
      <c r="Q25" s="221"/>
      <c r="R25" s="221"/>
      <c r="S25" s="221"/>
      <c r="T25" s="221"/>
      <c r="U25" s="221"/>
      <c r="V25" s="221"/>
      <c r="W25" s="221"/>
      <c r="X25" s="221"/>
      <c r="Y25" s="221"/>
      <c r="Z25" s="221"/>
    </row>
    <row r="26" spans="1:26" ht="18.75" customHeight="1">
      <c r="A26" s="221"/>
      <c r="B26" s="221"/>
      <c r="C26" s="221"/>
      <c r="D26" s="221"/>
      <c r="E26" s="221"/>
      <c r="F26" s="221"/>
      <c r="G26" s="221"/>
      <c r="H26" s="221"/>
      <c r="I26" s="221"/>
      <c r="J26" s="221"/>
      <c r="K26" s="221"/>
      <c r="L26" s="221"/>
      <c r="M26" s="221"/>
      <c r="N26" s="221"/>
      <c r="O26" s="221"/>
      <c r="P26" s="221"/>
      <c r="Q26" s="221"/>
      <c r="R26" s="221"/>
      <c r="S26" s="221"/>
      <c r="T26" s="221"/>
      <c r="U26" s="221"/>
      <c r="V26" s="221"/>
      <c r="W26" s="221"/>
      <c r="X26" s="221"/>
      <c r="Y26" s="221"/>
      <c r="Z26" s="221"/>
    </row>
    <row r="27" spans="1:26" ht="18.75" customHeight="1">
      <c r="A27" s="221"/>
      <c r="B27" s="221"/>
      <c r="C27" s="221"/>
      <c r="D27" s="221"/>
      <c r="E27" s="221"/>
      <c r="F27" s="221"/>
      <c r="G27" s="221"/>
      <c r="H27" s="221"/>
      <c r="I27" s="221"/>
      <c r="J27" s="221"/>
      <c r="K27" s="221"/>
      <c r="L27" s="221"/>
      <c r="M27" s="221"/>
      <c r="N27" s="221"/>
      <c r="O27" s="221"/>
      <c r="P27" s="221"/>
      <c r="Q27" s="221"/>
      <c r="R27" s="221"/>
      <c r="S27" s="221"/>
      <c r="T27" s="221"/>
      <c r="U27" s="221"/>
      <c r="V27" s="221"/>
      <c r="W27" s="221"/>
      <c r="X27" s="221"/>
      <c r="Y27" s="221"/>
      <c r="Z27" s="221"/>
    </row>
    <row r="28" spans="1:26" ht="18.75" customHeight="1">
      <c r="A28" s="221"/>
      <c r="B28" s="221"/>
      <c r="C28" s="221"/>
      <c r="D28" s="221"/>
      <c r="E28" s="221"/>
      <c r="F28" s="221"/>
      <c r="G28" s="221"/>
      <c r="H28" s="221"/>
      <c r="I28" s="221"/>
      <c r="J28" s="221"/>
      <c r="K28" s="221"/>
      <c r="L28" s="221"/>
      <c r="M28" s="221"/>
      <c r="N28" s="221"/>
      <c r="O28" s="221"/>
      <c r="P28" s="221"/>
      <c r="Q28" s="221"/>
      <c r="R28" s="221"/>
      <c r="S28" s="221"/>
      <c r="T28" s="221"/>
      <c r="U28" s="221"/>
      <c r="V28" s="221"/>
      <c r="W28" s="221"/>
      <c r="X28" s="221"/>
      <c r="Y28" s="221"/>
      <c r="Z28" s="221"/>
    </row>
    <row r="29" spans="1:26" ht="18.75" customHeight="1">
      <c r="A29" s="221"/>
      <c r="B29" s="221"/>
      <c r="C29" s="221"/>
      <c r="D29" s="221"/>
      <c r="E29" s="221"/>
      <c r="F29" s="221"/>
      <c r="G29" s="221"/>
      <c r="H29" s="221"/>
      <c r="I29" s="221"/>
      <c r="J29" s="221"/>
      <c r="K29" s="221"/>
      <c r="L29" s="221"/>
      <c r="M29" s="221"/>
      <c r="N29" s="221"/>
      <c r="O29" s="221"/>
      <c r="P29" s="221"/>
      <c r="Q29" s="221"/>
      <c r="R29" s="221"/>
      <c r="S29" s="221"/>
      <c r="T29" s="221"/>
      <c r="U29" s="221"/>
      <c r="V29" s="221"/>
      <c r="W29" s="221"/>
      <c r="X29" s="221"/>
      <c r="Y29" s="221"/>
      <c r="Z29" s="221"/>
    </row>
    <row r="30" spans="1:26" ht="18.75" customHeight="1">
      <c r="A30" s="221"/>
      <c r="B30" s="221"/>
      <c r="C30" s="221"/>
      <c r="D30" s="221"/>
      <c r="E30" s="221"/>
      <c r="F30" s="221"/>
      <c r="G30" s="221"/>
      <c r="H30" s="221"/>
      <c r="I30" s="221"/>
      <c r="J30" s="221"/>
      <c r="K30" s="221"/>
      <c r="L30" s="221"/>
      <c r="M30" s="221"/>
      <c r="N30" s="221"/>
      <c r="O30" s="221"/>
      <c r="P30" s="221"/>
      <c r="Q30" s="221"/>
      <c r="R30" s="221"/>
      <c r="S30" s="221"/>
      <c r="T30" s="221"/>
      <c r="U30" s="221"/>
      <c r="V30" s="221"/>
      <c r="W30" s="221"/>
      <c r="X30" s="221"/>
      <c r="Y30" s="221"/>
      <c r="Z30" s="221"/>
    </row>
    <row r="31" spans="1:26" ht="18.75" customHeight="1">
      <c r="A31" s="221"/>
      <c r="B31" s="221"/>
      <c r="C31" s="221"/>
      <c r="D31" s="221"/>
      <c r="E31" s="221"/>
      <c r="F31" s="221"/>
      <c r="G31" s="221"/>
      <c r="H31" s="221"/>
      <c r="I31" s="221"/>
      <c r="J31" s="221"/>
      <c r="K31" s="221"/>
      <c r="L31" s="221"/>
      <c r="M31" s="221"/>
      <c r="N31" s="221"/>
      <c r="O31" s="221"/>
      <c r="P31" s="221"/>
      <c r="Q31" s="221"/>
      <c r="R31" s="221"/>
      <c r="S31" s="221"/>
      <c r="T31" s="221"/>
      <c r="U31" s="221"/>
      <c r="V31" s="221"/>
      <c r="W31" s="221"/>
      <c r="X31" s="221"/>
      <c r="Y31" s="221"/>
      <c r="Z31" s="221"/>
    </row>
    <row r="32" spans="1:26" ht="18.75" customHeight="1">
      <c r="A32" s="221"/>
      <c r="B32" s="221"/>
      <c r="C32" s="221"/>
      <c r="D32" s="221"/>
      <c r="E32" s="221"/>
      <c r="F32" s="221"/>
      <c r="G32" s="221"/>
      <c r="H32" s="221"/>
      <c r="I32" s="221"/>
      <c r="J32" s="221"/>
      <c r="K32" s="221"/>
      <c r="L32" s="221"/>
      <c r="M32" s="221"/>
      <c r="N32" s="221"/>
      <c r="O32" s="221"/>
      <c r="P32" s="221"/>
      <c r="Q32" s="221"/>
      <c r="R32" s="221"/>
      <c r="S32" s="221"/>
      <c r="T32" s="221"/>
      <c r="U32" s="221"/>
      <c r="V32" s="221"/>
      <c r="W32" s="221"/>
      <c r="X32" s="221"/>
      <c r="Y32" s="221"/>
      <c r="Z32" s="221"/>
    </row>
    <row r="33" spans="1:26" ht="18.75" customHeight="1">
      <c r="A33" s="221"/>
      <c r="B33" s="221"/>
      <c r="C33" s="221"/>
      <c r="D33" s="221"/>
      <c r="E33" s="221"/>
      <c r="F33" s="221"/>
      <c r="G33" s="221"/>
      <c r="H33" s="221"/>
      <c r="I33" s="221"/>
      <c r="J33" s="221"/>
      <c r="K33" s="221"/>
      <c r="L33" s="221"/>
      <c r="M33" s="221"/>
      <c r="N33" s="221"/>
      <c r="O33" s="221"/>
      <c r="P33" s="221"/>
      <c r="Q33" s="221"/>
      <c r="R33" s="221"/>
      <c r="S33" s="221"/>
      <c r="T33" s="221"/>
      <c r="U33" s="221"/>
      <c r="V33" s="221"/>
      <c r="W33" s="221"/>
      <c r="X33" s="221"/>
      <c r="Y33" s="221"/>
      <c r="Z33" s="221"/>
    </row>
    <row r="34" spans="1:26" ht="18.75" customHeight="1">
      <c r="A34" s="221"/>
      <c r="B34" s="221"/>
      <c r="C34" s="221"/>
      <c r="D34" s="221"/>
      <c r="E34" s="221"/>
      <c r="F34" s="221"/>
      <c r="G34" s="221"/>
      <c r="H34" s="221"/>
      <c r="I34" s="221"/>
      <c r="J34" s="221"/>
      <c r="K34" s="221"/>
      <c r="L34" s="221"/>
      <c r="M34" s="221"/>
      <c r="N34" s="221"/>
      <c r="O34" s="221"/>
      <c r="P34" s="221"/>
      <c r="Q34" s="221"/>
      <c r="R34" s="221"/>
      <c r="S34" s="221"/>
      <c r="T34" s="221"/>
      <c r="U34" s="221"/>
      <c r="V34" s="221"/>
      <c r="W34" s="221"/>
      <c r="X34" s="221"/>
      <c r="Y34" s="221"/>
      <c r="Z34" s="221"/>
    </row>
    <row r="35" spans="1:26" ht="18.75" customHeight="1">
      <c r="A35" s="221"/>
      <c r="B35" s="221"/>
      <c r="C35" s="221"/>
      <c r="D35" s="221"/>
      <c r="E35" s="221"/>
      <c r="F35" s="221"/>
      <c r="G35" s="221"/>
      <c r="H35" s="221"/>
      <c r="I35" s="221"/>
      <c r="J35" s="221"/>
      <c r="K35" s="221"/>
      <c r="L35" s="221"/>
      <c r="M35" s="221"/>
      <c r="N35" s="221"/>
      <c r="O35" s="221"/>
      <c r="P35" s="221"/>
      <c r="Q35" s="221"/>
      <c r="R35" s="221"/>
      <c r="S35" s="221"/>
      <c r="T35" s="221"/>
      <c r="U35" s="221"/>
      <c r="V35" s="221"/>
      <c r="W35" s="221"/>
      <c r="X35" s="221"/>
      <c r="Y35" s="221"/>
      <c r="Z35" s="221"/>
    </row>
    <row r="36" spans="1:26" ht="18.75" customHeight="1">
      <c r="A36" s="221"/>
      <c r="B36" s="221"/>
      <c r="C36" s="221"/>
      <c r="D36" s="221"/>
      <c r="E36" s="221"/>
      <c r="F36" s="221"/>
      <c r="G36" s="221"/>
      <c r="H36" s="221"/>
      <c r="I36" s="221"/>
      <c r="J36" s="221"/>
      <c r="K36" s="221"/>
      <c r="L36" s="221"/>
      <c r="M36" s="221"/>
      <c r="N36" s="221"/>
      <c r="O36" s="221"/>
      <c r="P36" s="221"/>
      <c r="Q36" s="221"/>
      <c r="R36" s="221"/>
      <c r="S36" s="221"/>
      <c r="T36" s="221"/>
      <c r="U36" s="221"/>
      <c r="V36" s="221"/>
      <c r="W36" s="221"/>
      <c r="X36" s="221"/>
      <c r="Y36" s="221"/>
      <c r="Z36" s="221"/>
    </row>
    <row r="37" spans="1:26" ht="18.75" customHeight="1">
      <c r="A37" s="221"/>
      <c r="B37" s="221"/>
      <c r="C37" s="221"/>
      <c r="D37" s="221"/>
      <c r="E37" s="221"/>
      <c r="F37" s="221"/>
      <c r="G37" s="221"/>
      <c r="H37" s="221"/>
      <c r="I37" s="221"/>
      <c r="J37" s="221"/>
      <c r="K37" s="221"/>
      <c r="L37" s="221"/>
      <c r="M37" s="221"/>
      <c r="N37" s="221"/>
      <c r="O37" s="221"/>
      <c r="P37" s="221"/>
      <c r="Q37" s="221"/>
      <c r="R37" s="221"/>
      <c r="S37" s="221"/>
      <c r="T37" s="221"/>
      <c r="U37" s="221"/>
      <c r="V37" s="221"/>
      <c r="W37" s="221"/>
      <c r="X37" s="221"/>
      <c r="Y37" s="221"/>
      <c r="Z37" s="221"/>
    </row>
    <row r="38" spans="1:26" ht="18.75" customHeight="1">
      <c r="A38" s="221"/>
      <c r="B38" s="221"/>
      <c r="C38" s="221"/>
      <c r="D38" s="221"/>
      <c r="E38" s="221"/>
      <c r="F38" s="221"/>
      <c r="G38" s="221"/>
      <c r="H38" s="221"/>
      <c r="I38" s="221"/>
      <c r="J38" s="221"/>
      <c r="K38" s="221"/>
      <c r="L38" s="221"/>
      <c r="M38" s="221"/>
      <c r="N38" s="221"/>
      <c r="O38" s="221"/>
      <c r="P38" s="221"/>
      <c r="Q38" s="221"/>
      <c r="R38" s="221"/>
      <c r="S38" s="221"/>
      <c r="T38" s="221"/>
      <c r="U38" s="221"/>
      <c r="V38" s="221"/>
      <c r="W38" s="221"/>
      <c r="X38" s="221"/>
      <c r="Y38" s="221"/>
      <c r="Z38" s="221"/>
    </row>
    <row r="39" spans="1:26" ht="18.75" customHeight="1">
      <c r="A39" s="221"/>
      <c r="B39" s="221"/>
      <c r="C39" s="221"/>
      <c r="D39" s="221"/>
      <c r="E39" s="221"/>
      <c r="F39" s="221"/>
      <c r="G39" s="221"/>
      <c r="H39" s="221"/>
      <c r="I39" s="221"/>
      <c r="J39" s="221"/>
      <c r="K39" s="221"/>
      <c r="L39" s="221"/>
      <c r="M39" s="221"/>
      <c r="N39" s="221"/>
      <c r="O39" s="221"/>
      <c r="P39" s="221"/>
      <c r="Q39" s="221"/>
      <c r="R39" s="221"/>
      <c r="S39" s="221"/>
      <c r="T39" s="221"/>
      <c r="U39" s="221"/>
      <c r="V39" s="221"/>
      <c r="W39" s="221"/>
      <c r="X39" s="221"/>
      <c r="Y39" s="221"/>
      <c r="Z39" s="221"/>
    </row>
    <row r="40" spans="1:26" ht="18.75" customHeight="1">
      <c r="A40" s="221"/>
      <c r="B40" s="221"/>
      <c r="C40" s="221"/>
      <c r="D40" s="221"/>
      <c r="E40" s="221"/>
      <c r="F40" s="221"/>
      <c r="G40" s="221"/>
      <c r="H40" s="221"/>
      <c r="I40" s="221"/>
      <c r="J40" s="221"/>
      <c r="K40" s="221"/>
      <c r="L40" s="221"/>
      <c r="M40" s="221"/>
      <c r="N40" s="221"/>
      <c r="O40" s="221"/>
      <c r="P40" s="221"/>
      <c r="Q40" s="221"/>
      <c r="R40" s="221"/>
      <c r="S40" s="221"/>
      <c r="T40" s="221"/>
      <c r="U40" s="221"/>
      <c r="V40" s="221"/>
      <c r="W40" s="221"/>
      <c r="X40" s="221"/>
      <c r="Y40" s="221"/>
      <c r="Z40" s="221"/>
    </row>
    <row r="41" spans="1:26" ht="18.75" customHeight="1">
      <c r="A41" s="221"/>
      <c r="B41" s="221"/>
      <c r="C41" s="221"/>
      <c r="D41" s="221"/>
      <c r="E41" s="221"/>
      <c r="F41" s="221"/>
      <c r="G41" s="221"/>
      <c r="H41" s="221"/>
      <c r="I41" s="221"/>
      <c r="J41" s="221"/>
      <c r="K41" s="221"/>
      <c r="L41" s="221"/>
      <c r="M41" s="221"/>
      <c r="N41" s="221"/>
      <c r="O41" s="221"/>
      <c r="P41" s="221"/>
      <c r="Q41" s="221"/>
      <c r="R41" s="221"/>
      <c r="S41" s="221"/>
      <c r="T41" s="221"/>
      <c r="U41" s="221"/>
      <c r="V41" s="221"/>
      <c r="W41" s="221"/>
      <c r="X41" s="221"/>
      <c r="Y41" s="221"/>
      <c r="Z41" s="221"/>
    </row>
    <row r="42" spans="1:26" ht="18.75" customHeight="1">
      <c r="A42" s="221"/>
      <c r="B42" s="221"/>
      <c r="C42" s="221"/>
      <c r="D42" s="221"/>
      <c r="E42" s="221"/>
      <c r="F42" s="221"/>
      <c r="G42" s="221"/>
      <c r="H42" s="221"/>
      <c r="I42" s="221"/>
      <c r="J42" s="221"/>
      <c r="K42" s="221"/>
      <c r="L42" s="221"/>
      <c r="M42" s="221"/>
      <c r="N42" s="221"/>
      <c r="O42" s="221"/>
      <c r="P42" s="221"/>
      <c r="Q42" s="221"/>
      <c r="R42" s="221"/>
      <c r="S42" s="221"/>
      <c r="T42" s="221"/>
      <c r="U42" s="221"/>
      <c r="V42" s="221"/>
      <c r="W42" s="221"/>
      <c r="X42" s="221"/>
      <c r="Y42" s="221"/>
      <c r="Z42" s="221"/>
    </row>
    <row r="43" spans="1:26" ht="18.75" customHeight="1">
      <c r="A43" s="221"/>
      <c r="B43" s="221"/>
      <c r="C43" s="221"/>
      <c r="D43" s="221"/>
      <c r="E43" s="221"/>
      <c r="F43" s="221"/>
      <c r="G43" s="221"/>
      <c r="H43" s="221"/>
      <c r="I43" s="221"/>
      <c r="J43" s="221"/>
      <c r="K43" s="221"/>
      <c r="L43" s="221"/>
      <c r="M43" s="221"/>
      <c r="N43" s="221"/>
      <c r="O43" s="221"/>
      <c r="P43" s="221"/>
      <c r="Q43" s="221"/>
      <c r="R43" s="221"/>
      <c r="S43" s="221"/>
      <c r="T43" s="221"/>
      <c r="U43" s="221"/>
      <c r="V43" s="221"/>
      <c r="W43" s="221"/>
      <c r="X43" s="221"/>
      <c r="Y43" s="221"/>
      <c r="Z43" s="221"/>
    </row>
    <row r="44" spans="1:26" ht="18.75" customHeight="1">
      <c r="A44" s="221"/>
      <c r="B44" s="221"/>
      <c r="C44" s="221"/>
      <c r="D44" s="221"/>
      <c r="E44" s="221"/>
      <c r="F44" s="221"/>
      <c r="G44" s="221"/>
      <c r="H44" s="221"/>
      <c r="I44" s="221"/>
      <c r="J44" s="221"/>
      <c r="K44" s="221"/>
      <c r="L44" s="221"/>
      <c r="M44" s="221"/>
      <c r="N44" s="221"/>
      <c r="O44" s="221"/>
      <c r="P44" s="221"/>
      <c r="Q44" s="221"/>
      <c r="R44" s="221"/>
      <c r="S44" s="221"/>
      <c r="T44" s="221"/>
      <c r="U44" s="221"/>
      <c r="V44" s="221"/>
      <c r="W44" s="221"/>
      <c r="X44" s="221"/>
      <c r="Y44" s="221"/>
      <c r="Z44" s="221"/>
    </row>
    <row r="45" spans="1:26" ht="18.75" customHeight="1">
      <c r="A45" s="221"/>
      <c r="B45" s="221"/>
      <c r="C45" s="221"/>
      <c r="D45" s="221"/>
      <c r="E45" s="221"/>
      <c r="F45" s="221"/>
      <c r="G45" s="221"/>
      <c r="H45" s="221"/>
      <c r="I45" s="221"/>
      <c r="J45" s="221"/>
      <c r="K45" s="221"/>
      <c r="L45" s="221"/>
      <c r="M45" s="221"/>
      <c r="N45" s="221"/>
      <c r="O45" s="221"/>
      <c r="P45" s="221"/>
      <c r="Q45" s="221"/>
      <c r="R45" s="221"/>
      <c r="S45" s="221"/>
      <c r="T45" s="221"/>
      <c r="U45" s="221"/>
      <c r="V45" s="221"/>
      <c r="W45" s="221"/>
      <c r="X45" s="221"/>
      <c r="Y45" s="221"/>
      <c r="Z45" s="221"/>
    </row>
    <row r="46" spans="1:26" ht="18.75" customHeight="1">
      <c r="A46" s="221"/>
      <c r="B46" s="221"/>
      <c r="C46" s="221"/>
      <c r="D46" s="221"/>
      <c r="E46" s="221"/>
      <c r="F46" s="221"/>
      <c r="G46" s="221"/>
      <c r="H46" s="221"/>
      <c r="I46" s="221"/>
      <c r="J46" s="221"/>
      <c r="K46" s="221"/>
      <c r="L46" s="221"/>
      <c r="M46" s="221"/>
      <c r="N46" s="221"/>
      <c r="O46" s="221"/>
      <c r="P46" s="221"/>
      <c r="Q46" s="221"/>
      <c r="R46" s="221"/>
      <c r="S46" s="221"/>
      <c r="T46" s="221"/>
      <c r="U46" s="221"/>
      <c r="V46" s="221"/>
      <c r="W46" s="221"/>
      <c r="X46" s="221"/>
      <c r="Y46" s="221"/>
      <c r="Z46" s="221"/>
    </row>
    <row r="47" spans="1:26" ht="18.75" customHeight="1">
      <c r="A47" s="221"/>
      <c r="B47" s="221"/>
      <c r="C47" s="221"/>
      <c r="D47" s="221"/>
      <c r="E47" s="221"/>
      <c r="F47" s="221"/>
      <c r="G47" s="221"/>
      <c r="H47" s="221"/>
      <c r="I47" s="221"/>
      <c r="J47" s="221"/>
      <c r="K47" s="221"/>
      <c r="L47" s="221"/>
      <c r="M47" s="221"/>
      <c r="N47" s="221"/>
      <c r="O47" s="221"/>
      <c r="P47" s="221"/>
      <c r="Q47" s="221"/>
      <c r="R47" s="221"/>
      <c r="S47" s="221"/>
      <c r="T47" s="221"/>
      <c r="U47" s="221"/>
      <c r="V47" s="221"/>
      <c r="W47" s="221"/>
      <c r="X47" s="221"/>
      <c r="Y47" s="221"/>
      <c r="Z47" s="221"/>
    </row>
    <row r="48" spans="1:26" ht="18.75" customHeight="1">
      <c r="A48" s="221"/>
      <c r="B48" s="221"/>
      <c r="C48" s="221"/>
      <c r="D48" s="221"/>
      <c r="E48" s="221"/>
      <c r="F48" s="221"/>
      <c r="G48" s="221"/>
      <c r="H48" s="221"/>
      <c r="I48" s="221"/>
      <c r="J48" s="221"/>
      <c r="K48" s="221"/>
      <c r="L48" s="221"/>
      <c r="M48" s="221"/>
      <c r="N48" s="221"/>
      <c r="O48" s="221"/>
      <c r="P48" s="221"/>
      <c r="Q48" s="221"/>
      <c r="R48" s="221"/>
      <c r="S48" s="221"/>
      <c r="T48" s="221"/>
      <c r="U48" s="221"/>
      <c r="V48" s="221"/>
      <c r="W48" s="221"/>
      <c r="X48" s="221"/>
      <c r="Y48" s="221"/>
      <c r="Z48" s="221"/>
    </row>
    <row r="49" spans="1:26" ht="18.75" customHeight="1">
      <c r="A49" s="221"/>
      <c r="B49" s="221"/>
      <c r="C49" s="221"/>
      <c r="D49" s="221"/>
      <c r="E49" s="221"/>
      <c r="F49" s="221"/>
      <c r="G49" s="221"/>
      <c r="H49" s="221"/>
      <c r="I49" s="221"/>
      <c r="J49" s="221"/>
      <c r="K49" s="221"/>
      <c r="L49" s="221"/>
      <c r="M49" s="221"/>
      <c r="N49" s="221"/>
      <c r="O49" s="221"/>
      <c r="P49" s="221"/>
      <c r="Q49" s="221"/>
      <c r="R49" s="221"/>
      <c r="S49" s="221"/>
      <c r="T49" s="221"/>
      <c r="U49" s="221"/>
      <c r="V49" s="221"/>
      <c r="W49" s="221"/>
      <c r="X49" s="221"/>
      <c r="Y49" s="221"/>
      <c r="Z49" s="221"/>
    </row>
    <row r="50" spans="1:26" ht="18.75" customHeight="1">
      <c r="A50" s="221"/>
      <c r="B50" s="221"/>
      <c r="C50" s="221"/>
      <c r="D50" s="221"/>
      <c r="E50" s="221"/>
      <c r="F50" s="221"/>
      <c r="G50" s="221"/>
      <c r="H50" s="221"/>
      <c r="I50" s="221"/>
      <c r="J50" s="221"/>
      <c r="K50" s="221"/>
      <c r="L50" s="221"/>
      <c r="M50" s="221"/>
      <c r="N50" s="221"/>
      <c r="O50" s="221"/>
      <c r="P50" s="221"/>
      <c r="Q50" s="221"/>
      <c r="R50" s="221"/>
      <c r="S50" s="221"/>
      <c r="T50" s="221"/>
      <c r="U50" s="221"/>
      <c r="V50" s="221"/>
      <c r="W50" s="221"/>
      <c r="X50" s="221"/>
      <c r="Y50" s="221"/>
      <c r="Z50" s="221"/>
    </row>
    <row r="51" spans="1:26" ht="18.75" customHeight="1">
      <c r="A51" s="221"/>
      <c r="B51" s="221"/>
      <c r="C51" s="221"/>
      <c r="D51" s="221"/>
      <c r="E51" s="221"/>
      <c r="F51" s="221"/>
      <c r="G51" s="221"/>
      <c r="H51" s="221"/>
      <c r="I51" s="221"/>
      <c r="J51" s="221"/>
      <c r="K51" s="221"/>
      <c r="L51" s="221"/>
      <c r="M51" s="221"/>
      <c r="N51" s="221"/>
      <c r="O51" s="221"/>
      <c r="P51" s="221"/>
      <c r="Q51" s="221"/>
      <c r="R51" s="221"/>
      <c r="S51" s="221"/>
      <c r="T51" s="221"/>
      <c r="U51" s="221"/>
      <c r="V51" s="221"/>
      <c r="W51" s="221"/>
      <c r="X51" s="221"/>
      <c r="Y51" s="221"/>
      <c r="Z51" s="221"/>
    </row>
    <row r="52" spans="1:26" ht="18.75" customHeight="1">
      <c r="A52" s="221"/>
      <c r="B52" s="221"/>
      <c r="C52" s="221"/>
      <c r="D52" s="221"/>
      <c r="E52" s="221"/>
      <c r="F52" s="221"/>
      <c r="G52" s="221"/>
      <c r="H52" s="221"/>
      <c r="I52" s="221"/>
      <c r="J52" s="221"/>
      <c r="K52" s="221"/>
      <c r="L52" s="221"/>
      <c r="M52" s="221"/>
      <c r="N52" s="221"/>
      <c r="O52" s="221"/>
      <c r="P52" s="221"/>
      <c r="Q52" s="221"/>
      <c r="R52" s="221"/>
      <c r="S52" s="221"/>
      <c r="T52" s="221"/>
      <c r="U52" s="221"/>
      <c r="V52" s="221"/>
      <c r="W52" s="221"/>
      <c r="X52" s="221"/>
      <c r="Y52" s="221"/>
      <c r="Z52" s="221"/>
    </row>
    <row r="53" spans="1:26" ht="18.75" customHeight="1">
      <c r="A53" s="221"/>
      <c r="B53" s="221"/>
      <c r="C53" s="221"/>
      <c r="D53" s="221"/>
      <c r="E53" s="221"/>
      <c r="F53" s="221"/>
      <c r="G53" s="221"/>
      <c r="H53" s="221"/>
      <c r="I53" s="221"/>
      <c r="J53" s="221"/>
      <c r="K53" s="221"/>
      <c r="L53" s="221"/>
      <c r="M53" s="221"/>
      <c r="N53" s="221"/>
      <c r="O53" s="221"/>
      <c r="P53" s="221"/>
      <c r="Q53" s="221"/>
      <c r="R53" s="221"/>
      <c r="S53" s="221"/>
      <c r="T53" s="221"/>
      <c r="U53" s="221"/>
      <c r="V53" s="221"/>
      <c r="W53" s="221"/>
      <c r="X53" s="221"/>
      <c r="Y53" s="221"/>
      <c r="Z53" s="221"/>
    </row>
    <row r="54" spans="1:26" ht="18.75" customHeight="1">
      <c r="A54" s="221"/>
      <c r="B54" s="221"/>
      <c r="C54" s="221"/>
      <c r="D54" s="221"/>
      <c r="E54" s="221"/>
      <c r="F54" s="221"/>
      <c r="G54" s="221"/>
      <c r="H54" s="221"/>
      <c r="I54" s="221"/>
      <c r="J54" s="221"/>
      <c r="K54" s="221"/>
      <c r="L54" s="221"/>
      <c r="M54" s="221"/>
      <c r="N54" s="221"/>
      <c r="O54" s="221"/>
      <c r="P54" s="221"/>
      <c r="Q54" s="221"/>
      <c r="R54" s="221"/>
      <c r="S54" s="221"/>
      <c r="T54" s="221"/>
      <c r="U54" s="221"/>
      <c r="V54" s="221"/>
      <c r="W54" s="221"/>
      <c r="X54" s="221"/>
      <c r="Y54" s="221"/>
      <c r="Z54" s="221"/>
    </row>
    <row r="55" spans="1:26" ht="18.75" customHeight="1">
      <c r="A55" s="221"/>
      <c r="B55" s="221"/>
      <c r="C55" s="221"/>
      <c r="D55" s="221"/>
      <c r="E55" s="221"/>
      <c r="F55" s="221"/>
      <c r="G55" s="221"/>
      <c r="H55" s="221"/>
      <c r="I55" s="221"/>
      <c r="J55" s="221"/>
      <c r="K55" s="221"/>
      <c r="L55" s="221"/>
      <c r="M55" s="221"/>
      <c r="N55" s="221"/>
      <c r="O55" s="221"/>
      <c r="P55" s="221"/>
      <c r="Q55" s="221"/>
      <c r="R55" s="221"/>
      <c r="S55" s="221"/>
      <c r="T55" s="221"/>
      <c r="U55" s="221"/>
      <c r="V55" s="221"/>
      <c r="W55" s="221"/>
      <c r="X55" s="221"/>
      <c r="Y55" s="221"/>
      <c r="Z55" s="221"/>
    </row>
    <row r="56" spans="1:26" ht="18.75" customHeight="1">
      <c r="A56" s="221"/>
      <c r="B56" s="221"/>
      <c r="C56" s="221"/>
      <c r="D56" s="221"/>
      <c r="E56" s="221"/>
      <c r="F56" s="221"/>
      <c r="G56" s="221"/>
      <c r="H56" s="221"/>
      <c r="I56" s="221"/>
      <c r="J56" s="221"/>
      <c r="K56" s="221"/>
      <c r="L56" s="221"/>
      <c r="M56" s="221"/>
      <c r="N56" s="221"/>
      <c r="O56" s="221"/>
      <c r="P56" s="221"/>
      <c r="Q56" s="221"/>
      <c r="R56" s="221"/>
      <c r="S56" s="221"/>
      <c r="T56" s="221"/>
      <c r="U56" s="221"/>
      <c r="V56" s="221"/>
      <c r="W56" s="221"/>
      <c r="X56" s="221"/>
      <c r="Y56" s="221"/>
      <c r="Z56" s="221"/>
    </row>
    <row r="57" spans="1:26" ht="18.75" customHeight="1">
      <c r="A57" s="221"/>
      <c r="B57" s="221"/>
      <c r="C57" s="221"/>
      <c r="D57" s="221"/>
      <c r="E57" s="221"/>
      <c r="F57" s="221"/>
      <c r="G57" s="221"/>
      <c r="H57" s="221"/>
      <c r="I57" s="221"/>
      <c r="J57" s="221"/>
      <c r="K57" s="221"/>
      <c r="L57" s="221"/>
      <c r="M57" s="221"/>
      <c r="N57" s="221"/>
      <c r="O57" s="221"/>
      <c r="P57" s="221"/>
      <c r="Q57" s="221"/>
      <c r="R57" s="221"/>
      <c r="S57" s="221"/>
      <c r="T57" s="221"/>
      <c r="U57" s="221"/>
      <c r="V57" s="221"/>
      <c r="W57" s="221"/>
      <c r="X57" s="221"/>
      <c r="Y57" s="221"/>
      <c r="Z57" s="221"/>
    </row>
    <row r="58" spans="1:26" ht="18.75" customHeight="1">
      <c r="A58" s="221"/>
      <c r="B58" s="221"/>
      <c r="C58" s="221"/>
      <c r="D58" s="221"/>
      <c r="E58" s="221"/>
      <c r="F58" s="221"/>
      <c r="G58" s="221"/>
      <c r="H58" s="221"/>
      <c r="I58" s="221"/>
      <c r="J58" s="221"/>
      <c r="K58" s="221"/>
      <c r="L58" s="221"/>
      <c r="M58" s="221"/>
      <c r="N58" s="221"/>
      <c r="O58" s="221"/>
      <c r="P58" s="221"/>
      <c r="Q58" s="221"/>
      <c r="R58" s="221"/>
      <c r="S58" s="221"/>
      <c r="T58" s="221"/>
      <c r="U58" s="221"/>
      <c r="V58" s="221"/>
      <c r="W58" s="221"/>
      <c r="X58" s="221"/>
      <c r="Y58" s="221"/>
      <c r="Z58" s="221"/>
    </row>
    <row r="59" spans="1:26" ht="18.75" customHeight="1">
      <c r="A59" s="221"/>
      <c r="B59" s="221"/>
      <c r="C59" s="221"/>
      <c r="D59" s="221"/>
      <c r="E59" s="221"/>
      <c r="F59" s="221"/>
      <c r="G59" s="221"/>
      <c r="H59" s="221"/>
      <c r="I59" s="221"/>
      <c r="J59" s="221"/>
      <c r="K59" s="221"/>
      <c r="L59" s="221"/>
      <c r="M59" s="221"/>
      <c r="N59" s="221"/>
      <c r="O59" s="221"/>
      <c r="P59" s="221"/>
      <c r="Q59" s="221"/>
      <c r="R59" s="221"/>
      <c r="S59" s="221"/>
      <c r="T59" s="221"/>
      <c r="U59" s="221"/>
      <c r="V59" s="221"/>
      <c r="W59" s="221"/>
      <c r="X59" s="221"/>
      <c r="Y59" s="221"/>
      <c r="Z59" s="221"/>
    </row>
    <row r="60" spans="1:26" ht="18.75" customHeight="1">
      <c r="A60" s="221"/>
      <c r="B60" s="221"/>
      <c r="C60" s="221"/>
      <c r="D60" s="221"/>
      <c r="E60" s="221"/>
      <c r="F60" s="221"/>
      <c r="G60" s="221"/>
      <c r="H60" s="221"/>
      <c r="I60" s="221"/>
      <c r="J60" s="221"/>
      <c r="K60" s="221"/>
      <c r="L60" s="221"/>
      <c r="M60" s="221"/>
      <c r="N60" s="221"/>
      <c r="O60" s="221"/>
      <c r="P60" s="221"/>
      <c r="Q60" s="221"/>
      <c r="R60" s="221"/>
      <c r="S60" s="221"/>
      <c r="T60" s="221"/>
      <c r="U60" s="221"/>
      <c r="V60" s="221"/>
      <c r="W60" s="221"/>
      <c r="X60" s="221"/>
      <c r="Y60" s="221"/>
      <c r="Z60" s="221"/>
    </row>
    <row r="61" spans="1:26" ht="18.75" customHeight="1">
      <c r="A61" s="221"/>
      <c r="B61" s="221"/>
      <c r="C61" s="221"/>
      <c r="D61" s="221"/>
      <c r="E61" s="221"/>
      <c r="F61" s="221"/>
      <c r="G61" s="221"/>
      <c r="H61" s="221"/>
      <c r="I61" s="221"/>
      <c r="J61" s="221"/>
      <c r="K61" s="221"/>
      <c r="L61" s="221"/>
      <c r="M61" s="221"/>
      <c r="N61" s="221"/>
      <c r="O61" s="221"/>
      <c r="P61" s="221"/>
      <c r="Q61" s="221"/>
      <c r="R61" s="221"/>
      <c r="S61" s="221"/>
      <c r="T61" s="221"/>
      <c r="U61" s="221"/>
      <c r="V61" s="221"/>
      <c r="W61" s="221"/>
      <c r="X61" s="221"/>
      <c r="Y61" s="221"/>
      <c r="Z61" s="221"/>
    </row>
    <row r="62" spans="1:26" ht="18.75" customHeight="1">
      <c r="A62" s="221"/>
      <c r="B62" s="221"/>
      <c r="C62" s="221"/>
      <c r="D62" s="221"/>
      <c r="E62" s="221"/>
      <c r="F62" s="221"/>
      <c r="G62" s="221"/>
      <c r="H62" s="221"/>
      <c r="I62" s="221"/>
      <c r="J62" s="221"/>
      <c r="K62" s="221"/>
      <c r="L62" s="221"/>
      <c r="M62" s="221"/>
      <c r="N62" s="221"/>
      <c r="O62" s="221"/>
      <c r="P62" s="221"/>
      <c r="Q62" s="221"/>
      <c r="R62" s="221"/>
      <c r="S62" s="221"/>
      <c r="T62" s="221"/>
      <c r="U62" s="221"/>
      <c r="V62" s="221"/>
      <c r="W62" s="221"/>
      <c r="X62" s="221"/>
      <c r="Y62" s="221"/>
      <c r="Z62" s="221"/>
    </row>
    <row r="63" spans="1:26" ht="18.75" customHeight="1">
      <c r="A63" s="221"/>
      <c r="B63" s="221"/>
      <c r="C63" s="221"/>
      <c r="D63" s="221"/>
      <c r="E63" s="221"/>
      <c r="F63" s="221"/>
      <c r="G63" s="221"/>
      <c r="H63" s="221"/>
      <c r="I63" s="221"/>
      <c r="J63" s="221"/>
      <c r="K63" s="221"/>
      <c r="L63" s="221"/>
      <c r="M63" s="221"/>
      <c r="N63" s="221"/>
      <c r="O63" s="221"/>
      <c r="P63" s="221"/>
      <c r="Q63" s="221"/>
      <c r="R63" s="221"/>
      <c r="S63" s="221"/>
      <c r="T63" s="221"/>
      <c r="U63" s="221"/>
      <c r="V63" s="221"/>
      <c r="W63" s="221"/>
      <c r="X63" s="221"/>
      <c r="Y63" s="221"/>
      <c r="Z63" s="221"/>
    </row>
    <row r="64" spans="1:26" ht="18.75" customHeight="1">
      <c r="A64" s="221"/>
      <c r="B64" s="221"/>
      <c r="C64" s="221"/>
      <c r="D64" s="221"/>
      <c r="E64" s="221"/>
      <c r="F64" s="221"/>
      <c r="G64" s="221"/>
      <c r="H64" s="221"/>
      <c r="I64" s="221"/>
      <c r="J64" s="221"/>
      <c r="K64" s="221"/>
      <c r="L64" s="221"/>
      <c r="M64" s="221"/>
      <c r="N64" s="221"/>
      <c r="O64" s="221"/>
      <c r="P64" s="221"/>
      <c r="Q64" s="221"/>
      <c r="R64" s="221"/>
      <c r="S64" s="221"/>
      <c r="T64" s="221"/>
      <c r="U64" s="221"/>
      <c r="V64" s="221"/>
      <c r="W64" s="221"/>
      <c r="X64" s="221"/>
      <c r="Y64" s="221"/>
      <c r="Z64" s="221"/>
    </row>
    <row r="65" spans="1:26" ht="18.75" customHeight="1">
      <c r="A65" s="221"/>
      <c r="B65" s="221"/>
      <c r="C65" s="221"/>
      <c r="D65" s="221"/>
      <c r="E65" s="221"/>
      <c r="F65" s="221"/>
      <c r="G65" s="221"/>
      <c r="H65" s="221"/>
      <c r="I65" s="221"/>
      <c r="J65" s="221"/>
      <c r="K65" s="221"/>
      <c r="L65" s="221"/>
      <c r="M65" s="221"/>
      <c r="N65" s="221"/>
      <c r="O65" s="221"/>
      <c r="P65" s="221"/>
      <c r="Q65" s="221"/>
      <c r="R65" s="221"/>
      <c r="S65" s="221"/>
      <c r="T65" s="221"/>
      <c r="U65" s="221"/>
      <c r="V65" s="221"/>
      <c r="W65" s="221"/>
      <c r="X65" s="221"/>
      <c r="Y65" s="221"/>
      <c r="Z65" s="221"/>
    </row>
    <row r="66" spans="1:26" ht="18.75" customHeight="1">
      <c r="A66" s="221"/>
      <c r="B66" s="221"/>
      <c r="C66" s="221"/>
      <c r="D66" s="221"/>
      <c r="E66" s="221"/>
      <c r="F66" s="221"/>
      <c r="G66" s="221"/>
      <c r="H66" s="221"/>
      <c r="I66" s="221"/>
      <c r="J66" s="221"/>
      <c r="K66" s="221"/>
      <c r="L66" s="221"/>
      <c r="M66" s="221"/>
      <c r="N66" s="221"/>
      <c r="O66" s="221"/>
      <c r="P66" s="221"/>
      <c r="Q66" s="221"/>
      <c r="R66" s="221"/>
      <c r="S66" s="221"/>
      <c r="T66" s="221"/>
      <c r="U66" s="221"/>
      <c r="V66" s="221"/>
      <c r="W66" s="221"/>
      <c r="X66" s="221"/>
      <c r="Y66" s="221"/>
      <c r="Z66" s="221"/>
    </row>
    <row r="67" spans="1:26" ht="18.75" customHeight="1">
      <c r="A67" s="221"/>
      <c r="B67" s="221"/>
      <c r="C67" s="221"/>
      <c r="D67" s="221"/>
      <c r="E67" s="221"/>
      <c r="F67" s="221"/>
      <c r="G67" s="221"/>
      <c r="H67" s="221"/>
      <c r="I67" s="221"/>
      <c r="J67" s="221"/>
      <c r="K67" s="221"/>
      <c r="L67" s="221"/>
      <c r="M67" s="221"/>
      <c r="N67" s="221"/>
      <c r="O67" s="221"/>
      <c r="P67" s="221"/>
      <c r="Q67" s="221"/>
      <c r="R67" s="221"/>
      <c r="S67" s="221"/>
      <c r="T67" s="221"/>
      <c r="U67" s="221"/>
      <c r="V67" s="221"/>
      <c r="W67" s="221"/>
      <c r="X67" s="221"/>
      <c r="Y67" s="221"/>
      <c r="Z67" s="221"/>
    </row>
    <row r="68" spans="1:26" ht="18.75" customHeight="1">
      <c r="A68" s="221"/>
      <c r="B68" s="221"/>
      <c r="C68" s="221"/>
      <c r="D68" s="221"/>
      <c r="E68" s="221"/>
      <c r="F68" s="221"/>
      <c r="G68" s="221"/>
      <c r="H68" s="221"/>
      <c r="I68" s="221"/>
      <c r="J68" s="221"/>
      <c r="K68" s="221"/>
      <c r="L68" s="221"/>
      <c r="M68" s="221"/>
      <c r="N68" s="221"/>
      <c r="O68" s="221"/>
      <c r="P68" s="221"/>
      <c r="Q68" s="221"/>
      <c r="R68" s="221"/>
      <c r="S68" s="221"/>
      <c r="T68" s="221"/>
      <c r="U68" s="221"/>
      <c r="V68" s="221"/>
      <c r="W68" s="221"/>
      <c r="X68" s="221"/>
      <c r="Y68" s="221"/>
      <c r="Z68" s="221"/>
    </row>
    <row r="69" spans="1:26" ht="18.75" customHeight="1">
      <c r="A69" s="221"/>
      <c r="B69" s="221"/>
      <c r="C69" s="221"/>
      <c r="D69" s="221"/>
      <c r="E69" s="221"/>
      <c r="F69" s="221"/>
      <c r="G69" s="221"/>
      <c r="H69" s="221"/>
      <c r="I69" s="221"/>
      <c r="J69" s="221"/>
      <c r="K69" s="221"/>
      <c r="L69" s="221"/>
      <c r="M69" s="221"/>
      <c r="N69" s="221"/>
      <c r="O69" s="221"/>
      <c r="P69" s="221"/>
      <c r="Q69" s="221"/>
      <c r="R69" s="221"/>
      <c r="S69" s="221"/>
      <c r="T69" s="221"/>
      <c r="U69" s="221"/>
      <c r="V69" s="221"/>
      <c r="W69" s="221"/>
      <c r="X69" s="221"/>
      <c r="Y69" s="221"/>
      <c r="Z69" s="221"/>
    </row>
    <row r="70" spans="1:26" ht="18.75" customHeight="1">
      <c r="A70" s="221"/>
      <c r="B70" s="221"/>
      <c r="C70" s="221"/>
      <c r="D70" s="221"/>
      <c r="E70" s="221"/>
      <c r="F70" s="221"/>
      <c r="G70" s="221"/>
      <c r="H70" s="221"/>
      <c r="I70" s="221"/>
      <c r="J70" s="221"/>
      <c r="K70" s="221"/>
      <c r="L70" s="221"/>
      <c r="M70" s="221"/>
      <c r="N70" s="221"/>
      <c r="O70" s="221"/>
      <c r="P70" s="221"/>
      <c r="Q70" s="221"/>
      <c r="R70" s="221"/>
      <c r="S70" s="221"/>
      <c r="T70" s="221"/>
      <c r="U70" s="221"/>
      <c r="V70" s="221"/>
      <c r="W70" s="221"/>
      <c r="X70" s="221"/>
      <c r="Y70" s="221"/>
      <c r="Z70" s="221"/>
    </row>
    <row r="71" spans="1:26" ht="18.75" customHeight="1">
      <c r="A71" s="221"/>
      <c r="B71" s="221"/>
      <c r="C71" s="221"/>
      <c r="D71" s="221"/>
      <c r="E71" s="221"/>
      <c r="F71" s="221"/>
      <c r="G71" s="221"/>
      <c r="H71" s="221"/>
      <c r="I71" s="221"/>
      <c r="J71" s="221"/>
      <c r="K71" s="221"/>
      <c r="L71" s="221"/>
      <c r="M71" s="221"/>
      <c r="N71" s="221"/>
      <c r="O71" s="221"/>
      <c r="P71" s="221"/>
      <c r="Q71" s="221"/>
      <c r="R71" s="221"/>
      <c r="S71" s="221"/>
      <c r="T71" s="221"/>
      <c r="U71" s="221"/>
      <c r="V71" s="221"/>
      <c r="W71" s="221"/>
      <c r="X71" s="221"/>
      <c r="Y71" s="221"/>
      <c r="Z71" s="221"/>
    </row>
    <row r="72" spans="1:26" ht="18.75" customHeight="1">
      <c r="A72" s="221"/>
      <c r="B72" s="221"/>
      <c r="C72" s="221"/>
      <c r="D72" s="221"/>
      <c r="E72" s="221"/>
      <c r="F72" s="221"/>
      <c r="G72" s="221"/>
      <c r="H72" s="221"/>
      <c r="I72" s="221"/>
      <c r="J72" s="221"/>
      <c r="K72" s="221"/>
      <c r="L72" s="221"/>
      <c r="M72" s="221"/>
      <c r="N72" s="221"/>
      <c r="O72" s="221"/>
      <c r="P72" s="221"/>
      <c r="Q72" s="221"/>
      <c r="R72" s="221"/>
      <c r="S72" s="221"/>
      <c r="T72" s="221"/>
      <c r="U72" s="221"/>
      <c r="V72" s="221"/>
      <c r="W72" s="221"/>
      <c r="X72" s="221"/>
      <c r="Y72" s="221"/>
      <c r="Z72" s="221"/>
    </row>
    <row r="73" spans="1:26" ht="18.75" customHeight="1">
      <c r="A73" s="221"/>
      <c r="B73" s="221"/>
      <c r="C73" s="221"/>
      <c r="D73" s="221"/>
      <c r="E73" s="221"/>
      <c r="F73" s="221"/>
      <c r="G73" s="221"/>
      <c r="H73" s="221"/>
      <c r="I73" s="221"/>
      <c r="J73" s="221"/>
      <c r="K73" s="221"/>
      <c r="L73" s="221"/>
      <c r="M73" s="221"/>
      <c r="N73" s="221"/>
      <c r="O73" s="221"/>
      <c r="P73" s="221"/>
      <c r="Q73" s="221"/>
      <c r="R73" s="221"/>
      <c r="S73" s="221"/>
      <c r="T73" s="221"/>
      <c r="U73" s="221"/>
      <c r="V73" s="221"/>
      <c r="W73" s="221"/>
      <c r="X73" s="221"/>
      <c r="Y73" s="221"/>
      <c r="Z73" s="221"/>
    </row>
    <row r="74" spans="1:26" ht="18.75" customHeight="1">
      <c r="A74" s="221"/>
      <c r="B74" s="221"/>
      <c r="C74" s="221"/>
      <c r="D74" s="221"/>
      <c r="E74" s="221"/>
      <c r="F74" s="221"/>
      <c r="G74" s="221"/>
      <c r="H74" s="221"/>
      <c r="I74" s="221"/>
      <c r="J74" s="221"/>
      <c r="K74" s="221"/>
      <c r="L74" s="221"/>
      <c r="M74" s="221"/>
      <c r="N74" s="221"/>
      <c r="O74" s="221"/>
      <c r="P74" s="221"/>
      <c r="Q74" s="221"/>
      <c r="R74" s="221"/>
      <c r="S74" s="221"/>
      <c r="T74" s="221"/>
      <c r="U74" s="221"/>
      <c r="V74" s="221"/>
      <c r="W74" s="221"/>
      <c r="X74" s="221"/>
      <c r="Y74" s="221"/>
      <c r="Z74" s="221"/>
    </row>
    <row r="75" spans="1:26" ht="18.75" customHeight="1">
      <c r="A75" s="221"/>
      <c r="B75" s="221"/>
      <c r="C75" s="221"/>
      <c r="D75" s="221"/>
      <c r="E75" s="221"/>
      <c r="F75" s="221"/>
      <c r="G75" s="221"/>
      <c r="H75" s="221"/>
      <c r="I75" s="221"/>
      <c r="J75" s="221"/>
      <c r="K75" s="221"/>
      <c r="L75" s="221"/>
      <c r="M75" s="221"/>
      <c r="N75" s="221"/>
      <c r="O75" s="221"/>
      <c r="P75" s="221"/>
      <c r="Q75" s="221"/>
      <c r="R75" s="221"/>
      <c r="S75" s="221"/>
      <c r="T75" s="221"/>
      <c r="U75" s="221"/>
      <c r="V75" s="221"/>
      <c r="W75" s="221"/>
      <c r="X75" s="221"/>
      <c r="Y75" s="221"/>
      <c r="Z75" s="221"/>
    </row>
    <row r="76" spans="1:26" ht="18.75" customHeight="1">
      <c r="A76" s="221"/>
      <c r="B76" s="221"/>
      <c r="C76" s="221"/>
      <c r="D76" s="221"/>
      <c r="E76" s="221"/>
      <c r="F76" s="221"/>
      <c r="G76" s="221"/>
      <c r="H76" s="221"/>
      <c r="I76" s="221"/>
      <c r="J76" s="221"/>
      <c r="K76" s="221"/>
      <c r="L76" s="221"/>
      <c r="M76" s="221"/>
      <c r="N76" s="221"/>
      <c r="O76" s="221"/>
      <c r="P76" s="221"/>
      <c r="Q76" s="221"/>
      <c r="R76" s="221"/>
      <c r="S76" s="221"/>
      <c r="T76" s="221"/>
      <c r="U76" s="221"/>
      <c r="V76" s="221"/>
      <c r="W76" s="221"/>
      <c r="X76" s="221"/>
      <c r="Y76" s="221"/>
      <c r="Z76" s="221"/>
    </row>
    <row r="77" spans="1:26" ht="18.75" customHeight="1">
      <c r="A77" s="221"/>
      <c r="B77" s="221"/>
      <c r="C77" s="221"/>
      <c r="D77" s="221"/>
      <c r="E77" s="221"/>
      <c r="F77" s="221"/>
      <c r="G77" s="221"/>
      <c r="H77" s="221"/>
      <c r="I77" s="221"/>
      <c r="J77" s="221"/>
      <c r="K77" s="221"/>
      <c r="L77" s="221"/>
      <c r="M77" s="221"/>
      <c r="N77" s="221"/>
      <c r="O77" s="221"/>
      <c r="P77" s="221"/>
      <c r="Q77" s="221"/>
      <c r="R77" s="221"/>
      <c r="S77" s="221"/>
      <c r="T77" s="221"/>
      <c r="U77" s="221"/>
      <c r="V77" s="221"/>
      <c r="W77" s="221"/>
      <c r="X77" s="221"/>
      <c r="Y77" s="221"/>
      <c r="Z77" s="221"/>
    </row>
    <row r="78" spans="1:26" ht="18.75" customHeight="1">
      <c r="A78" s="221"/>
      <c r="B78" s="221"/>
      <c r="C78" s="221"/>
      <c r="D78" s="221"/>
      <c r="E78" s="221"/>
      <c r="F78" s="221"/>
      <c r="G78" s="221"/>
      <c r="H78" s="221"/>
      <c r="I78" s="221"/>
      <c r="J78" s="221"/>
      <c r="K78" s="221"/>
      <c r="L78" s="221"/>
      <c r="M78" s="221"/>
      <c r="N78" s="221"/>
      <c r="O78" s="221"/>
      <c r="P78" s="221"/>
      <c r="Q78" s="221"/>
      <c r="R78" s="221"/>
      <c r="S78" s="221"/>
      <c r="T78" s="221"/>
      <c r="U78" s="221"/>
      <c r="V78" s="221"/>
      <c r="W78" s="221"/>
      <c r="X78" s="221"/>
      <c r="Y78" s="221"/>
      <c r="Z78" s="221"/>
    </row>
    <row r="79" spans="1:26" ht="18.75" customHeight="1">
      <c r="A79" s="221"/>
      <c r="B79" s="221"/>
      <c r="C79" s="221"/>
      <c r="D79" s="221"/>
      <c r="E79" s="221"/>
      <c r="F79" s="221"/>
      <c r="G79" s="221"/>
      <c r="H79" s="221"/>
      <c r="I79" s="221"/>
      <c r="J79" s="221"/>
      <c r="K79" s="221"/>
      <c r="L79" s="221"/>
      <c r="M79" s="221"/>
      <c r="N79" s="221"/>
      <c r="O79" s="221"/>
      <c r="P79" s="221"/>
      <c r="Q79" s="221"/>
      <c r="R79" s="221"/>
      <c r="S79" s="221"/>
      <c r="T79" s="221"/>
      <c r="U79" s="221"/>
      <c r="V79" s="221"/>
      <c r="W79" s="221"/>
      <c r="X79" s="221"/>
      <c r="Y79" s="221"/>
      <c r="Z79" s="221"/>
    </row>
    <row r="80" spans="1:26" ht="18.75" customHeight="1">
      <c r="A80" s="221"/>
      <c r="B80" s="221"/>
      <c r="C80" s="221"/>
      <c r="D80" s="221"/>
      <c r="E80" s="221"/>
      <c r="F80" s="221"/>
      <c r="G80" s="221"/>
      <c r="H80" s="221"/>
      <c r="I80" s="221"/>
      <c r="J80" s="221"/>
      <c r="K80" s="221"/>
      <c r="L80" s="221"/>
      <c r="M80" s="221"/>
      <c r="N80" s="221"/>
      <c r="O80" s="221"/>
      <c r="P80" s="221"/>
      <c r="Q80" s="221"/>
      <c r="R80" s="221"/>
      <c r="S80" s="221"/>
      <c r="T80" s="221"/>
      <c r="U80" s="221"/>
      <c r="V80" s="221"/>
      <c r="W80" s="221"/>
      <c r="X80" s="221"/>
      <c r="Y80" s="221"/>
      <c r="Z80" s="221"/>
    </row>
    <row r="81" spans="1:26" ht="18.75" customHeight="1">
      <c r="A81" s="221"/>
      <c r="B81" s="221"/>
      <c r="C81" s="221"/>
      <c r="D81" s="221"/>
      <c r="E81" s="221"/>
      <c r="F81" s="221"/>
      <c r="G81" s="221"/>
      <c r="H81" s="221"/>
      <c r="I81" s="221"/>
      <c r="J81" s="221"/>
      <c r="K81" s="221"/>
      <c r="L81" s="221"/>
      <c r="M81" s="221"/>
      <c r="N81" s="221"/>
      <c r="O81" s="221"/>
      <c r="P81" s="221"/>
      <c r="Q81" s="221"/>
      <c r="R81" s="221"/>
      <c r="S81" s="221"/>
      <c r="T81" s="221"/>
      <c r="U81" s="221"/>
      <c r="V81" s="221"/>
      <c r="W81" s="221"/>
      <c r="X81" s="221"/>
      <c r="Y81" s="221"/>
      <c r="Z81" s="221"/>
    </row>
    <row r="82" spans="1:26" ht="18.75" customHeight="1">
      <c r="A82" s="221"/>
      <c r="B82" s="221"/>
      <c r="C82" s="221"/>
      <c r="D82" s="221"/>
      <c r="E82" s="221"/>
      <c r="F82" s="221"/>
      <c r="G82" s="221"/>
      <c r="H82" s="221"/>
      <c r="I82" s="221"/>
      <c r="J82" s="221"/>
      <c r="K82" s="221"/>
      <c r="L82" s="221"/>
      <c r="M82" s="221"/>
      <c r="N82" s="221"/>
      <c r="O82" s="221"/>
      <c r="P82" s="221"/>
      <c r="Q82" s="221"/>
      <c r="R82" s="221"/>
      <c r="S82" s="221"/>
      <c r="T82" s="221"/>
      <c r="U82" s="221"/>
      <c r="V82" s="221"/>
      <c r="W82" s="221"/>
      <c r="X82" s="221"/>
      <c r="Y82" s="221"/>
      <c r="Z82" s="221"/>
    </row>
    <row r="83" spans="1:26" ht="18.75" customHeight="1">
      <c r="A83" s="221"/>
      <c r="B83" s="221"/>
      <c r="C83" s="221"/>
      <c r="D83" s="221"/>
      <c r="E83" s="221"/>
      <c r="F83" s="221"/>
      <c r="G83" s="221"/>
      <c r="H83" s="221"/>
      <c r="I83" s="221"/>
      <c r="J83" s="221"/>
      <c r="K83" s="221"/>
      <c r="L83" s="221"/>
      <c r="M83" s="221"/>
      <c r="N83" s="221"/>
      <c r="O83" s="221"/>
      <c r="P83" s="221"/>
      <c r="Q83" s="221"/>
      <c r="R83" s="221"/>
      <c r="S83" s="221"/>
      <c r="T83" s="221"/>
      <c r="U83" s="221"/>
      <c r="V83" s="221"/>
      <c r="W83" s="221"/>
      <c r="X83" s="221"/>
      <c r="Y83" s="221"/>
      <c r="Z83" s="221"/>
    </row>
    <row r="84" spans="1:26" ht="18.75" customHeight="1">
      <c r="A84" s="221"/>
      <c r="B84" s="221"/>
      <c r="C84" s="221"/>
      <c r="D84" s="221"/>
      <c r="E84" s="221"/>
      <c r="F84" s="221"/>
      <c r="G84" s="221"/>
      <c r="H84" s="221"/>
      <c r="I84" s="221"/>
      <c r="J84" s="221"/>
      <c r="K84" s="221"/>
      <c r="L84" s="221"/>
      <c r="M84" s="221"/>
      <c r="N84" s="221"/>
      <c r="O84" s="221"/>
      <c r="P84" s="221"/>
      <c r="Q84" s="221"/>
      <c r="R84" s="221"/>
      <c r="S84" s="221"/>
      <c r="T84" s="221"/>
      <c r="U84" s="221"/>
      <c r="V84" s="221"/>
      <c r="W84" s="221"/>
      <c r="X84" s="221"/>
      <c r="Y84" s="221"/>
      <c r="Z84" s="221"/>
    </row>
    <row r="85" spans="1:26" ht="18.75" customHeight="1">
      <c r="A85" s="221"/>
      <c r="B85" s="221"/>
      <c r="C85" s="221"/>
      <c r="D85" s="221"/>
      <c r="E85" s="221"/>
      <c r="F85" s="221"/>
      <c r="G85" s="221"/>
      <c r="H85" s="221"/>
      <c r="I85" s="221"/>
      <c r="J85" s="221"/>
      <c r="K85" s="221"/>
      <c r="L85" s="221"/>
      <c r="M85" s="221"/>
      <c r="N85" s="221"/>
      <c r="O85" s="221"/>
      <c r="P85" s="221"/>
      <c r="Q85" s="221"/>
      <c r="R85" s="221"/>
      <c r="S85" s="221"/>
      <c r="T85" s="221"/>
      <c r="U85" s="221"/>
      <c r="V85" s="221"/>
      <c r="W85" s="221"/>
      <c r="X85" s="221"/>
      <c r="Y85" s="221"/>
      <c r="Z85" s="221"/>
    </row>
    <row r="86" spans="1:26" ht="18.75" customHeight="1">
      <c r="A86" s="221"/>
      <c r="B86" s="221"/>
      <c r="C86" s="221"/>
      <c r="D86" s="221"/>
      <c r="E86" s="221"/>
      <c r="F86" s="221"/>
      <c r="G86" s="221"/>
      <c r="H86" s="221"/>
      <c r="I86" s="221"/>
      <c r="J86" s="221"/>
      <c r="K86" s="221"/>
      <c r="L86" s="221"/>
      <c r="M86" s="221"/>
      <c r="N86" s="221"/>
      <c r="O86" s="221"/>
      <c r="P86" s="221"/>
      <c r="Q86" s="221"/>
      <c r="R86" s="221"/>
      <c r="S86" s="221"/>
      <c r="T86" s="221"/>
      <c r="U86" s="221"/>
      <c r="V86" s="221"/>
      <c r="W86" s="221"/>
      <c r="X86" s="221"/>
      <c r="Y86" s="221"/>
      <c r="Z86" s="221"/>
    </row>
    <row r="87" spans="1:26" ht="18.75" customHeight="1">
      <c r="A87" s="221"/>
      <c r="B87" s="221"/>
      <c r="C87" s="221"/>
      <c r="D87" s="221"/>
      <c r="E87" s="221"/>
      <c r="F87" s="221"/>
      <c r="G87" s="221"/>
      <c r="H87" s="221"/>
      <c r="I87" s="221"/>
      <c r="J87" s="221"/>
      <c r="K87" s="221"/>
      <c r="L87" s="221"/>
      <c r="M87" s="221"/>
      <c r="N87" s="221"/>
      <c r="O87" s="221"/>
      <c r="P87" s="221"/>
      <c r="Q87" s="221"/>
      <c r="R87" s="221"/>
      <c r="S87" s="221"/>
      <c r="T87" s="221"/>
      <c r="U87" s="221"/>
      <c r="V87" s="221"/>
      <c r="W87" s="221"/>
      <c r="X87" s="221"/>
      <c r="Y87" s="221"/>
      <c r="Z87" s="221"/>
    </row>
    <row r="88" spans="1:26" ht="18.75" customHeight="1">
      <c r="A88" s="221"/>
      <c r="B88" s="221"/>
      <c r="C88" s="221"/>
      <c r="D88" s="221"/>
      <c r="E88" s="221"/>
      <c r="F88" s="221"/>
      <c r="G88" s="221"/>
      <c r="H88" s="221"/>
      <c r="I88" s="221"/>
      <c r="J88" s="221"/>
      <c r="K88" s="221"/>
      <c r="L88" s="221"/>
      <c r="M88" s="221"/>
      <c r="N88" s="221"/>
      <c r="O88" s="221"/>
      <c r="P88" s="221"/>
      <c r="Q88" s="221"/>
      <c r="R88" s="221"/>
      <c r="S88" s="221"/>
      <c r="T88" s="221"/>
      <c r="U88" s="221"/>
      <c r="V88" s="221"/>
      <c r="W88" s="221"/>
      <c r="X88" s="221"/>
      <c r="Y88" s="221"/>
      <c r="Z88" s="221"/>
    </row>
    <row r="89" spans="1:26" ht="18.75" customHeight="1">
      <c r="A89" s="221"/>
      <c r="B89" s="221"/>
      <c r="C89" s="221"/>
      <c r="D89" s="221"/>
      <c r="E89" s="221"/>
      <c r="F89" s="221"/>
      <c r="G89" s="221"/>
      <c r="H89" s="221"/>
      <c r="I89" s="221"/>
      <c r="J89" s="221"/>
      <c r="K89" s="221"/>
      <c r="L89" s="221"/>
      <c r="M89" s="221"/>
      <c r="N89" s="221"/>
      <c r="O89" s="221"/>
      <c r="P89" s="221"/>
      <c r="Q89" s="221"/>
      <c r="R89" s="221"/>
      <c r="S89" s="221"/>
      <c r="T89" s="221"/>
      <c r="U89" s="221"/>
      <c r="V89" s="221"/>
      <c r="W89" s="221"/>
      <c r="X89" s="221"/>
      <c r="Y89" s="221"/>
      <c r="Z89" s="221"/>
    </row>
    <row r="90" spans="1:26" ht="18.75" customHeight="1">
      <c r="A90" s="221"/>
      <c r="B90" s="221"/>
      <c r="C90" s="221"/>
      <c r="D90" s="221"/>
      <c r="E90" s="221"/>
      <c r="F90" s="221"/>
      <c r="G90" s="221"/>
      <c r="H90" s="221"/>
      <c r="I90" s="221"/>
      <c r="J90" s="221"/>
      <c r="K90" s="221"/>
      <c r="L90" s="221"/>
      <c r="M90" s="221"/>
      <c r="N90" s="221"/>
      <c r="O90" s="221"/>
      <c r="P90" s="221"/>
      <c r="Q90" s="221"/>
      <c r="R90" s="221"/>
      <c r="S90" s="221"/>
      <c r="T90" s="221"/>
      <c r="U90" s="221"/>
      <c r="V90" s="221"/>
      <c r="W90" s="221"/>
      <c r="X90" s="221"/>
      <c r="Y90" s="221"/>
      <c r="Z90" s="221"/>
    </row>
    <row r="91" spans="1:26" ht="18.75" customHeight="1">
      <c r="A91" s="221"/>
      <c r="B91" s="221"/>
      <c r="C91" s="221"/>
      <c r="D91" s="221"/>
      <c r="E91" s="221"/>
      <c r="F91" s="221"/>
      <c r="G91" s="221"/>
      <c r="H91" s="221"/>
      <c r="I91" s="221"/>
      <c r="J91" s="221"/>
      <c r="K91" s="221"/>
      <c r="L91" s="221"/>
      <c r="M91" s="221"/>
      <c r="N91" s="221"/>
      <c r="O91" s="221"/>
      <c r="P91" s="221"/>
      <c r="Q91" s="221"/>
      <c r="R91" s="221"/>
      <c r="S91" s="221"/>
      <c r="T91" s="221"/>
      <c r="U91" s="221"/>
      <c r="V91" s="221"/>
      <c r="W91" s="221"/>
      <c r="X91" s="221"/>
      <c r="Y91" s="221"/>
      <c r="Z91" s="221"/>
    </row>
    <row r="92" spans="1:26" ht="18.75" customHeight="1">
      <c r="A92" s="221"/>
      <c r="B92" s="221"/>
      <c r="C92" s="221"/>
      <c r="D92" s="221"/>
      <c r="E92" s="221"/>
      <c r="F92" s="221"/>
      <c r="G92" s="221"/>
      <c r="H92" s="221"/>
      <c r="I92" s="221"/>
      <c r="J92" s="221"/>
      <c r="K92" s="221"/>
      <c r="L92" s="221"/>
      <c r="M92" s="221"/>
      <c r="N92" s="221"/>
      <c r="O92" s="221"/>
      <c r="P92" s="221"/>
      <c r="Q92" s="221"/>
      <c r="R92" s="221"/>
      <c r="S92" s="221"/>
      <c r="T92" s="221"/>
      <c r="U92" s="221"/>
      <c r="V92" s="221"/>
      <c r="W92" s="221"/>
      <c r="X92" s="221"/>
      <c r="Y92" s="221"/>
      <c r="Z92" s="221"/>
    </row>
    <row r="93" spans="1:26" ht="18.75" customHeight="1">
      <c r="A93" s="221"/>
      <c r="B93" s="221"/>
      <c r="C93" s="221"/>
      <c r="D93" s="221"/>
      <c r="E93" s="221"/>
      <c r="F93" s="221"/>
      <c r="G93" s="221"/>
      <c r="H93" s="221"/>
      <c r="I93" s="221"/>
      <c r="J93" s="221"/>
      <c r="K93" s="221"/>
      <c r="L93" s="221"/>
      <c r="M93" s="221"/>
      <c r="N93" s="221"/>
      <c r="O93" s="221"/>
      <c r="P93" s="221"/>
      <c r="Q93" s="221"/>
      <c r="R93" s="221"/>
      <c r="S93" s="221"/>
      <c r="T93" s="221"/>
      <c r="U93" s="221"/>
      <c r="V93" s="221"/>
      <c r="W93" s="221"/>
      <c r="X93" s="221"/>
      <c r="Y93" s="221"/>
      <c r="Z93" s="221"/>
    </row>
    <row r="94" spans="1:26" ht="18.75" customHeight="1">
      <c r="A94" s="221"/>
      <c r="B94" s="221"/>
      <c r="C94" s="221"/>
      <c r="D94" s="221"/>
      <c r="E94" s="221"/>
      <c r="F94" s="221"/>
      <c r="G94" s="221"/>
      <c r="H94" s="221"/>
      <c r="I94" s="221"/>
      <c r="J94" s="221"/>
      <c r="K94" s="221"/>
      <c r="L94" s="221"/>
      <c r="M94" s="221"/>
      <c r="N94" s="221"/>
      <c r="O94" s="221"/>
      <c r="P94" s="221"/>
      <c r="Q94" s="221"/>
      <c r="R94" s="221"/>
      <c r="S94" s="221"/>
      <c r="T94" s="221"/>
      <c r="U94" s="221"/>
      <c r="V94" s="221"/>
      <c r="W94" s="221"/>
      <c r="X94" s="221"/>
      <c r="Y94" s="221"/>
      <c r="Z94" s="221"/>
    </row>
    <row r="95" spans="1:26" ht="18.75" customHeight="1">
      <c r="A95" s="221"/>
      <c r="B95" s="221"/>
      <c r="C95" s="221"/>
      <c r="D95" s="221"/>
      <c r="E95" s="221"/>
      <c r="F95" s="221"/>
      <c r="G95" s="221"/>
      <c r="H95" s="221"/>
      <c r="I95" s="221"/>
      <c r="J95" s="221"/>
      <c r="K95" s="221"/>
      <c r="L95" s="221"/>
      <c r="M95" s="221"/>
      <c r="N95" s="221"/>
      <c r="O95" s="221"/>
      <c r="P95" s="221"/>
      <c r="Q95" s="221"/>
      <c r="R95" s="221"/>
      <c r="S95" s="221"/>
      <c r="T95" s="221"/>
      <c r="U95" s="221"/>
      <c r="V95" s="221"/>
      <c r="W95" s="221"/>
      <c r="X95" s="221"/>
      <c r="Y95" s="221"/>
      <c r="Z95" s="221"/>
    </row>
    <row r="96" spans="1:26" ht="18.75" customHeight="1">
      <c r="A96" s="221"/>
      <c r="B96" s="221"/>
      <c r="C96" s="221"/>
      <c r="D96" s="221"/>
      <c r="E96" s="221"/>
      <c r="F96" s="221"/>
      <c r="G96" s="221"/>
      <c r="H96" s="221"/>
      <c r="I96" s="221"/>
      <c r="J96" s="221"/>
      <c r="K96" s="221"/>
      <c r="L96" s="221"/>
      <c r="M96" s="221"/>
      <c r="N96" s="221"/>
      <c r="O96" s="221"/>
      <c r="P96" s="221"/>
      <c r="Q96" s="221"/>
      <c r="R96" s="221"/>
      <c r="S96" s="221"/>
      <c r="T96" s="221"/>
      <c r="U96" s="221"/>
      <c r="V96" s="221"/>
      <c r="W96" s="221"/>
      <c r="X96" s="221"/>
      <c r="Y96" s="221"/>
      <c r="Z96" s="221"/>
    </row>
    <row r="97" spans="1:26" ht="18.75" customHeight="1">
      <c r="A97" s="221"/>
      <c r="B97" s="221"/>
      <c r="C97" s="221"/>
      <c r="D97" s="221"/>
      <c r="E97" s="221"/>
      <c r="F97" s="221"/>
      <c r="G97" s="221"/>
      <c r="H97" s="221"/>
      <c r="I97" s="221"/>
      <c r="J97" s="221"/>
      <c r="K97" s="221"/>
      <c r="L97" s="221"/>
      <c r="M97" s="221"/>
      <c r="N97" s="221"/>
      <c r="O97" s="221"/>
      <c r="P97" s="221"/>
      <c r="Q97" s="221"/>
      <c r="R97" s="221"/>
      <c r="S97" s="221"/>
      <c r="T97" s="221"/>
      <c r="U97" s="221"/>
      <c r="V97" s="221"/>
      <c r="W97" s="221"/>
      <c r="X97" s="221"/>
      <c r="Y97" s="221"/>
      <c r="Z97" s="221"/>
    </row>
    <row r="98" spans="1:26" ht="18.75" customHeight="1">
      <c r="A98" s="221"/>
      <c r="B98" s="221"/>
      <c r="C98" s="221"/>
      <c r="D98" s="221"/>
      <c r="E98" s="221"/>
      <c r="F98" s="221"/>
      <c r="G98" s="221"/>
      <c r="H98" s="221"/>
      <c r="I98" s="221"/>
      <c r="J98" s="221"/>
      <c r="K98" s="221"/>
      <c r="L98" s="221"/>
      <c r="M98" s="221"/>
      <c r="N98" s="221"/>
      <c r="O98" s="221"/>
      <c r="P98" s="221"/>
      <c r="Q98" s="221"/>
      <c r="R98" s="221"/>
      <c r="S98" s="221"/>
      <c r="T98" s="221"/>
      <c r="U98" s="221"/>
      <c r="V98" s="221"/>
      <c r="W98" s="221"/>
      <c r="X98" s="221"/>
      <c r="Y98" s="221"/>
      <c r="Z98" s="221"/>
    </row>
    <row r="99" spans="1:26" ht="18.75" customHeight="1">
      <c r="A99" s="221"/>
      <c r="B99" s="221"/>
      <c r="C99" s="221"/>
      <c r="D99" s="221"/>
      <c r="E99" s="221"/>
      <c r="F99" s="221"/>
      <c r="G99" s="221"/>
      <c r="H99" s="221"/>
      <c r="I99" s="221"/>
      <c r="J99" s="221"/>
      <c r="K99" s="221"/>
      <c r="L99" s="221"/>
      <c r="M99" s="221"/>
      <c r="N99" s="221"/>
      <c r="O99" s="221"/>
      <c r="P99" s="221"/>
      <c r="Q99" s="221"/>
      <c r="R99" s="221"/>
      <c r="S99" s="221"/>
      <c r="T99" s="221"/>
      <c r="U99" s="221"/>
      <c r="V99" s="221"/>
      <c r="W99" s="221"/>
      <c r="X99" s="221"/>
      <c r="Y99" s="221"/>
      <c r="Z99" s="221"/>
    </row>
    <row r="100" spans="1:26" ht="18.75" customHeight="1">
      <c r="A100" s="221"/>
      <c r="B100" s="221"/>
      <c r="C100" s="221"/>
      <c r="D100" s="221"/>
      <c r="E100" s="221"/>
      <c r="F100" s="221"/>
      <c r="G100" s="221"/>
      <c r="H100" s="221"/>
      <c r="I100" s="221"/>
      <c r="J100" s="221"/>
      <c r="K100" s="221"/>
      <c r="L100" s="221"/>
      <c r="M100" s="221"/>
      <c r="N100" s="221"/>
      <c r="O100" s="221"/>
      <c r="P100" s="221"/>
      <c r="Q100" s="221"/>
      <c r="R100" s="221"/>
      <c r="S100" s="221"/>
      <c r="T100" s="221"/>
      <c r="U100" s="221"/>
      <c r="V100" s="221"/>
      <c r="W100" s="221"/>
      <c r="X100" s="221"/>
      <c r="Y100" s="221"/>
      <c r="Z100" s="221"/>
    </row>
    <row r="101" spans="1:26" ht="18.75" customHeight="1">
      <c r="A101" s="221"/>
      <c r="B101" s="221"/>
      <c r="C101" s="221"/>
      <c r="D101" s="221"/>
      <c r="E101" s="221"/>
      <c r="F101" s="221"/>
      <c r="G101" s="221"/>
      <c r="H101" s="221"/>
      <c r="I101" s="221"/>
      <c r="J101" s="221"/>
      <c r="K101" s="221"/>
      <c r="L101" s="221"/>
      <c r="M101" s="221"/>
      <c r="N101" s="221"/>
      <c r="O101" s="221"/>
      <c r="P101" s="221"/>
      <c r="Q101" s="221"/>
      <c r="R101" s="221"/>
      <c r="S101" s="221"/>
      <c r="T101" s="221"/>
      <c r="U101" s="221"/>
      <c r="V101" s="221"/>
      <c r="W101" s="221"/>
      <c r="X101" s="221"/>
      <c r="Y101" s="221"/>
      <c r="Z101" s="221"/>
    </row>
    <row r="102" spans="1:26" ht="18.75" customHeight="1">
      <c r="A102" s="221"/>
      <c r="B102" s="221"/>
      <c r="C102" s="221"/>
      <c r="D102" s="221"/>
      <c r="E102" s="221"/>
      <c r="F102" s="221"/>
      <c r="G102" s="221"/>
      <c r="H102" s="221"/>
      <c r="I102" s="221"/>
      <c r="J102" s="221"/>
      <c r="K102" s="221"/>
      <c r="L102" s="221"/>
      <c r="M102" s="221"/>
      <c r="N102" s="221"/>
      <c r="O102" s="221"/>
      <c r="P102" s="221"/>
      <c r="Q102" s="221"/>
      <c r="R102" s="221"/>
      <c r="S102" s="221"/>
      <c r="T102" s="221"/>
      <c r="U102" s="221"/>
      <c r="V102" s="221"/>
      <c r="W102" s="221"/>
      <c r="X102" s="221"/>
      <c r="Y102" s="221"/>
      <c r="Z102" s="221"/>
    </row>
    <row r="103" spans="1:26" ht="18.75" customHeight="1">
      <c r="A103" s="221"/>
      <c r="B103" s="221"/>
      <c r="C103" s="221"/>
      <c r="D103" s="221"/>
      <c r="E103" s="221"/>
      <c r="F103" s="221"/>
      <c r="G103" s="221"/>
      <c r="H103" s="221"/>
      <c r="I103" s="221"/>
      <c r="J103" s="221"/>
      <c r="K103" s="221"/>
      <c r="L103" s="221"/>
      <c r="M103" s="221"/>
      <c r="N103" s="221"/>
      <c r="O103" s="221"/>
      <c r="P103" s="221"/>
      <c r="Q103" s="221"/>
      <c r="R103" s="221"/>
      <c r="S103" s="221"/>
      <c r="T103" s="221"/>
      <c r="U103" s="221"/>
      <c r="V103" s="221"/>
      <c r="W103" s="221"/>
      <c r="X103" s="221"/>
      <c r="Y103" s="221"/>
      <c r="Z103" s="221"/>
    </row>
    <row r="104" spans="1:26" ht="18.75" customHeight="1">
      <c r="A104" s="221"/>
      <c r="B104" s="221"/>
      <c r="C104" s="221"/>
      <c r="D104" s="221"/>
      <c r="E104" s="221"/>
      <c r="F104" s="221"/>
      <c r="G104" s="221"/>
      <c r="H104" s="221"/>
      <c r="I104" s="221"/>
      <c r="J104" s="221"/>
      <c r="K104" s="221"/>
      <c r="L104" s="221"/>
      <c r="M104" s="221"/>
      <c r="N104" s="221"/>
      <c r="O104" s="221"/>
      <c r="P104" s="221"/>
      <c r="Q104" s="221"/>
      <c r="R104" s="221"/>
      <c r="S104" s="221"/>
      <c r="T104" s="221"/>
      <c r="U104" s="221"/>
      <c r="V104" s="221"/>
      <c r="W104" s="221"/>
      <c r="X104" s="221"/>
      <c r="Y104" s="221"/>
      <c r="Z104" s="221"/>
    </row>
    <row r="105" spans="1:26" ht="18.75" customHeight="1">
      <c r="A105" s="221"/>
      <c r="B105" s="221"/>
      <c r="C105" s="221"/>
      <c r="D105" s="221"/>
      <c r="E105" s="221"/>
      <c r="F105" s="221"/>
      <c r="G105" s="221"/>
      <c r="H105" s="221"/>
      <c r="I105" s="221"/>
      <c r="J105" s="221"/>
      <c r="K105" s="221"/>
      <c r="L105" s="221"/>
      <c r="M105" s="221"/>
      <c r="N105" s="221"/>
      <c r="O105" s="221"/>
      <c r="P105" s="221"/>
      <c r="Q105" s="221"/>
      <c r="R105" s="221"/>
      <c r="S105" s="221"/>
      <c r="T105" s="221"/>
      <c r="U105" s="221"/>
      <c r="V105" s="221"/>
      <c r="W105" s="221"/>
      <c r="X105" s="221"/>
      <c r="Y105" s="221"/>
      <c r="Z105" s="221"/>
    </row>
    <row r="106" spans="1:26" ht="18.75" customHeight="1">
      <c r="A106" s="221"/>
      <c r="B106" s="221"/>
      <c r="C106" s="221"/>
      <c r="D106" s="221"/>
      <c r="E106" s="221"/>
      <c r="F106" s="221"/>
      <c r="G106" s="221"/>
      <c r="H106" s="221"/>
      <c r="I106" s="221"/>
      <c r="J106" s="221"/>
      <c r="K106" s="221"/>
      <c r="L106" s="221"/>
      <c r="M106" s="221"/>
      <c r="N106" s="221"/>
      <c r="O106" s="221"/>
      <c r="P106" s="221"/>
      <c r="Q106" s="221"/>
      <c r="R106" s="221"/>
      <c r="S106" s="221"/>
      <c r="T106" s="221"/>
      <c r="U106" s="221"/>
      <c r="V106" s="221"/>
      <c r="W106" s="221"/>
      <c r="X106" s="221"/>
      <c r="Y106" s="221"/>
      <c r="Z106" s="221"/>
    </row>
    <row r="107" spans="1:26" ht="18.75" customHeight="1">
      <c r="A107" s="221"/>
      <c r="B107" s="221"/>
      <c r="C107" s="221"/>
      <c r="D107" s="221"/>
      <c r="E107" s="221"/>
      <c r="F107" s="221"/>
      <c r="G107" s="221"/>
      <c r="H107" s="221"/>
      <c r="I107" s="221"/>
      <c r="J107" s="221"/>
      <c r="K107" s="221"/>
      <c r="L107" s="221"/>
      <c r="M107" s="221"/>
      <c r="N107" s="221"/>
      <c r="O107" s="221"/>
      <c r="P107" s="221"/>
      <c r="Q107" s="221"/>
      <c r="R107" s="221"/>
      <c r="S107" s="221"/>
      <c r="T107" s="221"/>
      <c r="U107" s="221"/>
      <c r="V107" s="221"/>
      <c r="W107" s="221"/>
      <c r="X107" s="221"/>
      <c r="Y107" s="221"/>
      <c r="Z107" s="221"/>
    </row>
    <row r="108" spans="1:26" ht="18.75" customHeight="1">
      <c r="A108" s="221"/>
      <c r="B108" s="221"/>
      <c r="C108" s="221"/>
      <c r="D108" s="221"/>
      <c r="E108" s="221"/>
      <c r="F108" s="221"/>
      <c r="G108" s="221"/>
      <c r="H108" s="221"/>
      <c r="I108" s="221"/>
      <c r="J108" s="221"/>
      <c r="K108" s="221"/>
      <c r="L108" s="221"/>
      <c r="M108" s="221"/>
      <c r="N108" s="221"/>
      <c r="O108" s="221"/>
      <c r="P108" s="221"/>
      <c r="Q108" s="221"/>
      <c r="R108" s="221"/>
      <c r="S108" s="221"/>
      <c r="T108" s="221"/>
      <c r="U108" s="221"/>
      <c r="V108" s="221"/>
      <c r="W108" s="221"/>
      <c r="X108" s="221"/>
      <c r="Y108" s="221"/>
      <c r="Z108" s="221"/>
    </row>
    <row r="109" spans="1:26" ht="18.75" customHeight="1">
      <c r="A109" s="221"/>
      <c r="B109" s="221"/>
      <c r="C109" s="221"/>
      <c r="D109" s="221"/>
      <c r="E109" s="221"/>
      <c r="F109" s="221"/>
      <c r="G109" s="221"/>
      <c r="H109" s="221"/>
      <c r="I109" s="221"/>
      <c r="J109" s="221"/>
      <c r="K109" s="221"/>
      <c r="L109" s="221"/>
      <c r="M109" s="221"/>
      <c r="N109" s="221"/>
      <c r="O109" s="221"/>
      <c r="P109" s="221"/>
      <c r="Q109" s="221"/>
      <c r="R109" s="221"/>
      <c r="S109" s="221"/>
      <c r="T109" s="221"/>
      <c r="U109" s="221"/>
      <c r="V109" s="221"/>
      <c r="W109" s="221"/>
      <c r="X109" s="221"/>
      <c r="Y109" s="221"/>
      <c r="Z109" s="221"/>
    </row>
    <row r="110" spans="1:26" ht="18.75" customHeight="1">
      <c r="A110" s="221"/>
      <c r="B110" s="221"/>
      <c r="C110" s="221"/>
      <c r="D110" s="221"/>
      <c r="E110" s="221"/>
      <c r="F110" s="221"/>
      <c r="G110" s="221"/>
      <c r="H110" s="221"/>
      <c r="I110" s="221"/>
      <c r="J110" s="221"/>
      <c r="K110" s="221"/>
      <c r="L110" s="221"/>
      <c r="M110" s="221"/>
      <c r="N110" s="221"/>
      <c r="O110" s="221"/>
      <c r="P110" s="221"/>
      <c r="Q110" s="221"/>
      <c r="R110" s="221"/>
      <c r="S110" s="221"/>
      <c r="T110" s="221"/>
      <c r="U110" s="221"/>
      <c r="V110" s="221"/>
      <c r="W110" s="221"/>
      <c r="X110" s="221"/>
      <c r="Y110" s="221"/>
      <c r="Z110" s="221"/>
    </row>
    <row r="111" spans="1:26" ht="18.75" customHeight="1">
      <c r="A111" s="221"/>
      <c r="B111" s="221"/>
      <c r="C111" s="221"/>
      <c r="D111" s="221"/>
      <c r="E111" s="221"/>
      <c r="F111" s="221"/>
      <c r="G111" s="221"/>
      <c r="H111" s="221"/>
      <c r="I111" s="221"/>
      <c r="J111" s="221"/>
      <c r="K111" s="221"/>
      <c r="L111" s="221"/>
      <c r="M111" s="221"/>
      <c r="N111" s="221"/>
      <c r="O111" s="221"/>
      <c r="P111" s="221"/>
      <c r="Q111" s="221"/>
      <c r="R111" s="221"/>
      <c r="S111" s="221"/>
      <c r="T111" s="221"/>
      <c r="U111" s="221"/>
      <c r="V111" s="221"/>
      <c r="W111" s="221"/>
      <c r="X111" s="221"/>
      <c r="Y111" s="221"/>
      <c r="Z111" s="221"/>
    </row>
    <row r="112" spans="1:26" ht="18.75" customHeight="1">
      <c r="A112" s="221"/>
      <c r="B112" s="221"/>
      <c r="C112" s="221"/>
      <c r="D112" s="221"/>
      <c r="E112" s="221"/>
      <c r="F112" s="221"/>
      <c r="G112" s="221"/>
      <c r="H112" s="221"/>
      <c r="I112" s="221"/>
      <c r="J112" s="221"/>
      <c r="K112" s="221"/>
      <c r="L112" s="221"/>
      <c r="M112" s="221"/>
      <c r="N112" s="221"/>
      <c r="O112" s="221"/>
      <c r="P112" s="221"/>
      <c r="Q112" s="221"/>
      <c r="R112" s="221"/>
      <c r="S112" s="221"/>
      <c r="T112" s="221"/>
      <c r="U112" s="221"/>
      <c r="V112" s="221"/>
      <c r="W112" s="221"/>
      <c r="X112" s="221"/>
      <c r="Y112" s="221"/>
      <c r="Z112" s="221"/>
    </row>
    <row r="113" spans="1:26" ht="18.75" customHeight="1">
      <c r="A113" s="221"/>
      <c r="B113" s="221"/>
      <c r="C113" s="221"/>
      <c r="D113" s="221"/>
      <c r="E113" s="221"/>
      <c r="F113" s="221"/>
      <c r="G113" s="221"/>
      <c r="H113" s="221"/>
      <c r="I113" s="221"/>
      <c r="J113" s="221"/>
      <c r="K113" s="221"/>
      <c r="L113" s="221"/>
      <c r="M113" s="221"/>
      <c r="N113" s="221"/>
      <c r="O113" s="221"/>
      <c r="P113" s="221"/>
      <c r="Q113" s="221"/>
      <c r="R113" s="221"/>
      <c r="S113" s="221"/>
      <c r="T113" s="221"/>
      <c r="U113" s="221"/>
      <c r="V113" s="221"/>
      <c r="W113" s="221"/>
      <c r="X113" s="221"/>
      <c r="Y113" s="221"/>
      <c r="Z113" s="221"/>
    </row>
    <row r="114" spans="1:26" ht="18.75" customHeight="1">
      <c r="A114" s="221"/>
      <c r="B114" s="221"/>
      <c r="C114" s="221"/>
      <c r="D114" s="221"/>
      <c r="E114" s="221"/>
      <c r="F114" s="221"/>
      <c r="G114" s="221"/>
      <c r="H114" s="221"/>
      <c r="I114" s="221"/>
      <c r="J114" s="221"/>
      <c r="K114" s="221"/>
      <c r="L114" s="221"/>
      <c r="M114" s="221"/>
      <c r="N114" s="221"/>
      <c r="O114" s="221"/>
      <c r="P114" s="221"/>
      <c r="Q114" s="221"/>
      <c r="R114" s="221"/>
      <c r="S114" s="221"/>
      <c r="T114" s="221"/>
      <c r="U114" s="221"/>
      <c r="V114" s="221"/>
      <c r="W114" s="221"/>
      <c r="X114" s="221"/>
      <c r="Y114" s="221"/>
      <c r="Z114" s="221"/>
    </row>
    <row r="115" spans="1:26" ht="18.75" customHeight="1">
      <c r="A115" s="221"/>
      <c r="B115" s="221"/>
      <c r="C115" s="221"/>
      <c r="D115" s="221"/>
      <c r="E115" s="221"/>
      <c r="F115" s="221"/>
      <c r="G115" s="221"/>
      <c r="H115" s="221"/>
      <c r="I115" s="221"/>
      <c r="J115" s="221"/>
      <c r="K115" s="221"/>
      <c r="L115" s="221"/>
      <c r="M115" s="221"/>
      <c r="N115" s="221"/>
      <c r="O115" s="221"/>
      <c r="P115" s="221"/>
      <c r="Q115" s="221"/>
      <c r="R115" s="221"/>
      <c r="S115" s="221"/>
      <c r="T115" s="221"/>
      <c r="U115" s="221"/>
      <c r="V115" s="221"/>
      <c r="W115" s="221"/>
      <c r="X115" s="221"/>
      <c r="Y115" s="221"/>
      <c r="Z115" s="221"/>
    </row>
    <row r="116" spans="1:26" ht="18.75" customHeight="1">
      <c r="A116" s="221"/>
      <c r="B116" s="221"/>
      <c r="C116" s="221"/>
      <c r="D116" s="221"/>
      <c r="E116" s="221"/>
      <c r="F116" s="221"/>
      <c r="G116" s="221"/>
      <c r="H116" s="221"/>
      <c r="I116" s="221"/>
      <c r="J116" s="221"/>
      <c r="K116" s="221"/>
      <c r="L116" s="221"/>
      <c r="M116" s="221"/>
      <c r="N116" s="221"/>
      <c r="O116" s="221"/>
      <c r="P116" s="221"/>
      <c r="Q116" s="221"/>
      <c r="R116" s="221"/>
      <c r="S116" s="221"/>
      <c r="T116" s="221"/>
      <c r="U116" s="221"/>
      <c r="V116" s="221"/>
      <c r="W116" s="221"/>
      <c r="X116" s="221"/>
      <c r="Y116" s="221"/>
      <c r="Z116" s="221"/>
    </row>
    <row r="117" spans="1:26" ht="18.75" customHeight="1">
      <c r="A117" s="221"/>
      <c r="B117" s="221"/>
      <c r="C117" s="221"/>
      <c r="D117" s="221"/>
      <c r="E117" s="221"/>
      <c r="F117" s="221"/>
      <c r="G117" s="221"/>
      <c r="H117" s="221"/>
      <c r="I117" s="221"/>
      <c r="J117" s="221"/>
      <c r="K117" s="221"/>
      <c r="L117" s="221"/>
      <c r="M117" s="221"/>
      <c r="N117" s="221"/>
      <c r="O117" s="221"/>
      <c r="P117" s="221"/>
      <c r="Q117" s="221"/>
      <c r="R117" s="221"/>
      <c r="S117" s="221"/>
      <c r="T117" s="221"/>
      <c r="U117" s="221"/>
      <c r="V117" s="221"/>
      <c r="W117" s="221"/>
      <c r="X117" s="221"/>
      <c r="Y117" s="221"/>
      <c r="Z117" s="221"/>
    </row>
    <row r="118" spans="1:26" ht="18.75" customHeight="1">
      <c r="A118" s="221"/>
      <c r="B118" s="221"/>
      <c r="C118" s="221"/>
      <c r="D118" s="221"/>
      <c r="E118" s="221"/>
      <c r="F118" s="221"/>
      <c r="G118" s="221"/>
      <c r="H118" s="221"/>
      <c r="I118" s="221"/>
      <c r="J118" s="221"/>
      <c r="K118" s="221"/>
      <c r="L118" s="221"/>
      <c r="M118" s="221"/>
      <c r="N118" s="221"/>
      <c r="O118" s="221"/>
      <c r="P118" s="221"/>
      <c r="Q118" s="221"/>
      <c r="R118" s="221"/>
      <c r="S118" s="221"/>
      <c r="T118" s="221"/>
      <c r="U118" s="221"/>
      <c r="V118" s="221"/>
      <c r="W118" s="221"/>
      <c r="X118" s="221"/>
      <c r="Y118" s="221"/>
      <c r="Z118" s="221"/>
    </row>
    <row r="119" spans="1:26" ht="18.75" customHeight="1">
      <c r="A119" s="221"/>
      <c r="B119" s="221"/>
      <c r="C119" s="221"/>
      <c r="D119" s="221"/>
      <c r="E119" s="221"/>
      <c r="F119" s="221"/>
      <c r="G119" s="221"/>
      <c r="H119" s="221"/>
      <c r="I119" s="221"/>
      <c r="J119" s="221"/>
      <c r="K119" s="221"/>
      <c r="L119" s="221"/>
      <c r="M119" s="221"/>
      <c r="N119" s="221"/>
      <c r="O119" s="221"/>
      <c r="P119" s="221"/>
      <c r="Q119" s="221"/>
      <c r="R119" s="221"/>
      <c r="S119" s="221"/>
      <c r="T119" s="221"/>
      <c r="U119" s="221"/>
      <c r="V119" s="221"/>
      <c r="W119" s="221"/>
      <c r="X119" s="221"/>
      <c r="Y119" s="221"/>
      <c r="Z119" s="221"/>
    </row>
    <row r="120" spans="1:26" ht="18.75" customHeight="1">
      <c r="A120" s="221"/>
      <c r="B120" s="221"/>
      <c r="C120" s="221"/>
      <c r="D120" s="221"/>
      <c r="E120" s="221"/>
      <c r="F120" s="221"/>
      <c r="G120" s="221"/>
      <c r="H120" s="221"/>
      <c r="I120" s="221"/>
      <c r="J120" s="221"/>
      <c r="K120" s="221"/>
      <c r="L120" s="221"/>
      <c r="M120" s="221"/>
      <c r="N120" s="221"/>
      <c r="O120" s="221"/>
      <c r="P120" s="221"/>
      <c r="Q120" s="221"/>
      <c r="R120" s="221"/>
      <c r="S120" s="221"/>
      <c r="T120" s="221"/>
      <c r="U120" s="221"/>
      <c r="V120" s="221"/>
      <c r="W120" s="221"/>
      <c r="X120" s="221"/>
      <c r="Y120" s="221"/>
      <c r="Z120" s="221"/>
    </row>
    <row r="121" spans="1:26" ht="18.75" customHeight="1">
      <c r="A121" s="221"/>
      <c r="B121" s="221"/>
      <c r="C121" s="221"/>
      <c r="D121" s="221"/>
      <c r="E121" s="221"/>
      <c r="F121" s="221"/>
      <c r="G121" s="221"/>
      <c r="H121" s="221"/>
      <c r="I121" s="221"/>
      <c r="J121" s="221"/>
      <c r="K121" s="221"/>
      <c r="L121" s="221"/>
      <c r="M121" s="221"/>
      <c r="N121" s="221"/>
      <c r="O121" s="221"/>
      <c r="P121" s="221"/>
      <c r="Q121" s="221"/>
      <c r="R121" s="221"/>
      <c r="S121" s="221"/>
      <c r="T121" s="221"/>
      <c r="U121" s="221"/>
      <c r="V121" s="221"/>
      <c r="W121" s="221"/>
      <c r="X121" s="221"/>
      <c r="Y121" s="221"/>
      <c r="Z121" s="221"/>
    </row>
    <row r="122" spans="1:26" ht="18.75" customHeight="1">
      <c r="A122" s="221"/>
      <c r="B122" s="221"/>
      <c r="C122" s="221"/>
      <c r="D122" s="221"/>
      <c r="E122" s="221"/>
      <c r="F122" s="221"/>
      <c r="G122" s="221"/>
      <c r="H122" s="221"/>
      <c r="I122" s="221"/>
      <c r="J122" s="221"/>
      <c r="K122" s="221"/>
      <c r="L122" s="221"/>
      <c r="M122" s="221"/>
      <c r="N122" s="221"/>
      <c r="O122" s="221"/>
      <c r="P122" s="221"/>
      <c r="Q122" s="221"/>
      <c r="R122" s="221"/>
      <c r="S122" s="221"/>
      <c r="T122" s="221"/>
      <c r="U122" s="221"/>
      <c r="V122" s="221"/>
      <c r="W122" s="221"/>
      <c r="X122" s="221"/>
      <c r="Y122" s="221"/>
      <c r="Z122" s="221"/>
    </row>
    <row r="123" spans="1:26" ht="18.75" customHeight="1">
      <c r="A123" s="221"/>
      <c r="B123" s="221"/>
      <c r="C123" s="221"/>
      <c r="D123" s="221"/>
      <c r="E123" s="221"/>
      <c r="F123" s="221"/>
      <c r="G123" s="221"/>
      <c r="H123" s="221"/>
      <c r="I123" s="221"/>
      <c r="J123" s="221"/>
      <c r="K123" s="221"/>
      <c r="L123" s="221"/>
      <c r="M123" s="221"/>
      <c r="N123" s="221"/>
      <c r="O123" s="221"/>
      <c r="P123" s="221"/>
      <c r="Q123" s="221"/>
      <c r="R123" s="221"/>
      <c r="S123" s="221"/>
      <c r="T123" s="221"/>
      <c r="U123" s="221"/>
      <c r="V123" s="221"/>
      <c r="W123" s="221"/>
      <c r="X123" s="221"/>
      <c r="Y123" s="221"/>
      <c r="Z123" s="221"/>
    </row>
    <row r="124" spans="1:26" ht="18.75" customHeight="1">
      <c r="A124" s="221"/>
      <c r="B124" s="221"/>
      <c r="C124" s="221"/>
      <c r="D124" s="221"/>
      <c r="E124" s="221"/>
      <c r="F124" s="221"/>
      <c r="G124" s="221"/>
      <c r="H124" s="221"/>
      <c r="I124" s="221"/>
      <c r="J124" s="221"/>
      <c r="K124" s="221"/>
      <c r="L124" s="221"/>
      <c r="M124" s="221"/>
      <c r="N124" s="221"/>
      <c r="O124" s="221"/>
      <c r="P124" s="221"/>
      <c r="Q124" s="221"/>
      <c r="R124" s="221"/>
      <c r="S124" s="221"/>
      <c r="T124" s="221"/>
      <c r="U124" s="221"/>
      <c r="V124" s="221"/>
      <c r="W124" s="221"/>
      <c r="X124" s="221"/>
      <c r="Y124" s="221"/>
      <c r="Z124" s="221"/>
    </row>
    <row r="125" spans="1:26" ht="18.75" customHeight="1">
      <c r="A125" s="221"/>
      <c r="B125" s="221"/>
      <c r="C125" s="221"/>
      <c r="D125" s="221"/>
      <c r="E125" s="221"/>
      <c r="F125" s="221"/>
      <c r="G125" s="221"/>
      <c r="H125" s="221"/>
      <c r="I125" s="221"/>
      <c r="J125" s="221"/>
      <c r="K125" s="221"/>
      <c r="L125" s="221"/>
      <c r="M125" s="221"/>
      <c r="N125" s="221"/>
      <c r="O125" s="221"/>
      <c r="P125" s="221"/>
      <c r="Q125" s="221"/>
      <c r="R125" s="221"/>
      <c r="S125" s="221"/>
      <c r="T125" s="221"/>
      <c r="U125" s="221"/>
      <c r="V125" s="221"/>
      <c r="W125" s="221"/>
      <c r="X125" s="221"/>
      <c r="Y125" s="221"/>
      <c r="Z125" s="221"/>
    </row>
    <row r="126" spans="1:26" ht="18.75" customHeight="1">
      <c r="A126" s="221"/>
      <c r="B126" s="221"/>
      <c r="C126" s="221"/>
      <c r="D126" s="221"/>
      <c r="E126" s="221"/>
      <c r="F126" s="221"/>
      <c r="G126" s="221"/>
      <c r="H126" s="221"/>
      <c r="I126" s="221"/>
      <c r="J126" s="221"/>
      <c r="K126" s="221"/>
      <c r="L126" s="221"/>
      <c r="M126" s="221"/>
      <c r="N126" s="221"/>
      <c r="O126" s="221"/>
      <c r="P126" s="221"/>
      <c r="Q126" s="221"/>
      <c r="R126" s="221"/>
      <c r="S126" s="221"/>
      <c r="T126" s="221"/>
      <c r="U126" s="221"/>
      <c r="V126" s="221"/>
      <c r="W126" s="221"/>
      <c r="X126" s="221"/>
      <c r="Y126" s="221"/>
      <c r="Z126" s="221"/>
    </row>
    <row r="127" spans="1:26" ht="18.75" customHeight="1">
      <c r="A127" s="221"/>
      <c r="B127" s="221"/>
      <c r="C127" s="221"/>
      <c r="D127" s="221"/>
      <c r="E127" s="221"/>
      <c r="F127" s="221"/>
      <c r="G127" s="221"/>
      <c r="H127" s="221"/>
      <c r="I127" s="221"/>
      <c r="J127" s="221"/>
      <c r="K127" s="221"/>
      <c r="L127" s="221"/>
      <c r="M127" s="221"/>
      <c r="N127" s="221"/>
      <c r="O127" s="221"/>
      <c r="P127" s="221"/>
      <c r="Q127" s="221"/>
      <c r="R127" s="221"/>
      <c r="S127" s="221"/>
      <c r="T127" s="221"/>
      <c r="U127" s="221"/>
      <c r="V127" s="221"/>
      <c r="W127" s="221"/>
      <c r="X127" s="221"/>
      <c r="Y127" s="221"/>
      <c r="Z127" s="221"/>
    </row>
    <row r="128" spans="1:26" ht="18.75" customHeight="1">
      <c r="A128" s="221"/>
      <c r="B128" s="221"/>
      <c r="C128" s="221"/>
      <c r="D128" s="221"/>
      <c r="E128" s="221"/>
      <c r="F128" s="221"/>
      <c r="G128" s="221"/>
      <c r="H128" s="221"/>
      <c r="I128" s="221"/>
      <c r="J128" s="221"/>
      <c r="K128" s="221"/>
      <c r="L128" s="221"/>
      <c r="M128" s="221"/>
      <c r="N128" s="221"/>
      <c r="O128" s="221"/>
      <c r="P128" s="221"/>
      <c r="Q128" s="221"/>
      <c r="R128" s="221"/>
      <c r="S128" s="221"/>
      <c r="T128" s="221"/>
      <c r="U128" s="221"/>
      <c r="V128" s="221"/>
      <c r="W128" s="221"/>
      <c r="X128" s="221"/>
      <c r="Y128" s="221"/>
      <c r="Z128" s="221"/>
    </row>
    <row r="129" spans="1:26" ht="18.75" customHeight="1">
      <c r="A129" s="221"/>
      <c r="B129" s="221"/>
      <c r="C129" s="221"/>
      <c r="D129" s="221"/>
      <c r="E129" s="221"/>
      <c r="F129" s="221"/>
      <c r="G129" s="221"/>
      <c r="H129" s="221"/>
      <c r="I129" s="221"/>
      <c r="J129" s="221"/>
      <c r="K129" s="221"/>
      <c r="L129" s="221"/>
      <c r="M129" s="221"/>
      <c r="N129" s="221"/>
      <c r="O129" s="221"/>
      <c r="P129" s="221"/>
      <c r="Q129" s="221"/>
      <c r="R129" s="221"/>
      <c r="S129" s="221"/>
      <c r="T129" s="221"/>
      <c r="U129" s="221"/>
      <c r="V129" s="221"/>
      <c r="W129" s="221"/>
      <c r="X129" s="221"/>
      <c r="Y129" s="221"/>
      <c r="Z129" s="221"/>
    </row>
    <row r="130" spans="1:26" ht="18.75" customHeight="1">
      <c r="A130" s="221"/>
      <c r="B130" s="221"/>
      <c r="C130" s="221"/>
      <c r="D130" s="221"/>
      <c r="E130" s="221"/>
      <c r="F130" s="221"/>
      <c r="G130" s="221"/>
      <c r="H130" s="221"/>
      <c r="I130" s="221"/>
      <c r="J130" s="221"/>
      <c r="K130" s="221"/>
      <c r="L130" s="221"/>
      <c r="M130" s="221"/>
      <c r="N130" s="221"/>
      <c r="O130" s="221"/>
      <c r="P130" s="221"/>
      <c r="Q130" s="221"/>
      <c r="R130" s="221"/>
      <c r="S130" s="221"/>
      <c r="T130" s="221"/>
      <c r="U130" s="221"/>
      <c r="V130" s="221"/>
      <c r="W130" s="221"/>
      <c r="X130" s="221"/>
      <c r="Y130" s="221"/>
      <c r="Z130" s="221"/>
    </row>
    <row r="131" spans="1:26" ht="18.75" customHeight="1">
      <c r="A131" s="221"/>
      <c r="B131" s="221"/>
      <c r="C131" s="221"/>
      <c r="D131" s="221"/>
      <c r="E131" s="221"/>
      <c r="F131" s="221"/>
      <c r="G131" s="221"/>
      <c r="H131" s="221"/>
      <c r="I131" s="221"/>
      <c r="J131" s="221"/>
      <c r="K131" s="221"/>
      <c r="L131" s="221"/>
      <c r="M131" s="221"/>
      <c r="N131" s="221"/>
      <c r="O131" s="221"/>
      <c r="P131" s="221"/>
      <c r="Q131" s="221"/>
      <c r="R131" s="221"/>
      <c r="S131" s="221"/>
      <c r="T131" s="221"/>
      <c r="U131" s="221"/>
      <c r="V131" s="221"/>
      <c r="W131" s="221"/>
      <c r="X131" s="221"/>
      <c r="Y131" s="221"/>
      <c r="Z131" s="221"/>
    </row>
    <row r="132" spans="1:26" ht="18.75" customHeight="1">
      <c r="A132" s="221"/>
      <c r="B132" s="221"/>
      <c r="C132" s="221"/>
      <c r="D132" s="221"/>
      <c r="E132" s="221"/>
      <c r="F132" s="221"/>
      <c r="G132" s="221"/>
      <c r="H132" s="221"/>
      <c r="I132" s="221"/>
      <c r="J132" s="221"/>
      <c r="K132" s="221"/>
      <c r="L132" s="221"/>
      <c r="M132" s="221"/>
      <c r="N132" s="221"/>
      <c r="O132" s="221"/>
      <c r="P132" s="221"/>
      <c r="Q132" s="221"/>
      <c r="R132" s="221"/>
      <c r="S132" s="221"/>
      <c r="T132" s="221"/>
      <c r="U132" s="221"/>
      <c r="V132" s="221"/>
      <c r="W132" s="221"/>
      <c r="X132" s="221"/>
      <c r="Y132" s="221"/>
      <c r="Z132" s="221"/>
    </row>
    <row r="133" spans="1:26" ht="18.75" customHeight="1">
      <c r="A133" s="221"/>
      <c r="B133" s="221"/>
      <c r="C133" s="221"/>
      <c r="D133" s="221"/>
      <c r="E133" s="221"/>
      <c r="F133" s="221"/>
      <c r="G133" s="221"/>
      <c r="H133" s="221"/>
      <c r="I133" s="221"/>
      <c r="J133" s="221"/>
      <c r="K133" s="221"/>
      <c r="L133" s="221"/>
      <c r="M133" s="221"/>
      <c r="N133" s="221"/>
      <c r="O133" s="221"/>
      <c r="P133" s="221"/>
      <c r="Q133" s="221"/>
      <c r="R133" s="221"/>
      <c r="S133" s="221"/>
      <c r="T133" s="221"/>
      <c r="U133" s="221"/>
      <c r="V133" s="221"/>
      <c r="W133" s="221"/>
      <c r="X133" s="221"/>
      <c r="Y133" s="221"/>
      <c r="Z133" s="221"/>
    </row>
    <row r="134" spans="1:26" ht="18.75" customHeight="1">
      <c r="A134" s="221"/>
      <c r="B134" s="221"/>
      <c r="C134" s="221"/>
      <c r="D134" s="221"/>
      <c r="E134" s="221"/>
      <c r="F134" s="221"/>
      <c r="G134" s="221"/>
      <c r="H134" s="221"/>
      <c r="I134" s="221"/>
      <c r="J134" s="221"/>
      <c r="K134" s="221"/>
      <c r="L134" s="221"/>
      <c r="M134" s="221"/>
      <c r="N134" s="221"/>
      <c r="O134" s="221"/>
      <c r="P134" s="221"/>
      <c r="Q134" s="221"/>
      <c r="R134" s="221"/>
      <c r="S134" s="221"/>
      <c r="T134" s="221"/>
      <c r="U134" s="221"/>
      <c r="V134" s="221"/>
      <c r="W134" s="221"/>
      <c r="X134" s="221"/>
      <c r="Y134" s="221"/>
      <c r="Z134" s="221"/>
    </row>
    <row r="135" spans="1:26" ht="18.75" customHeight="1">
      <c r="A135" s="221"/>
      <c r="B135" s="221"/>
      <c r="C135" s="221"/>
      <c r="D135" s="221"/>
      <c r="E135" s="221"/>
      <c r="F135" s="221"/>
      <c r="G135" s="221"/>
      <c r="H135" s="221"/>
      <c r="I135" s="221"/>
      <c r="J135" s="221"/>
      <c r="K135" s="221"/>
      <c r="L135" s="221"/>
      <c r="M135" s="221"/>
      <c r="N135" s="221"/>
      <c r="O135" s="221"/>
      <c r="P135" s="221"/>
      <c r="Q135" s="221"/>
      <c r="R135" s="221"/>
      <c r="S135" s="221"/>
      <c r="T135" s="221"/>
      <c r="U135" s="221"/>
      <c r="V135" s="221"/>
      <c r="W135" s="221"/>
      <c r="X135" s="221"/>
      <c r="Y135" s="221"/>
      <c r="Z135" s="221"/>
    </row>
    <row r="136" spans="1:26" ht="18.75" customHeight="1">
      <c r="A136" s="221"/>
      <c r="B136" s="221"/>
      <c r="C136" s="221"/>
      <c r="D136" s="221"/>
      <c r="E136" s="221"/>
      <c r="F136" s="221"/>
      <c r="G136" s="221"/>
      <c r="H136" s="221"/>
      <c r="I136" s="221"/>
      <c r="J136" s="221"/>
      <c r="K136" s="221"/>
      <c r="L136" s="221"/>
      <c r="M136" s="221"/>
      <c r="N136" s="221"/>
      <c r="O136" s="221"/>
      <c r="P136" s="221"/>
      <c r="Q136" s="221"/>
      <c r="R136" s="221"/>
      <c r="S136" s="221"/>
      <c r="T136" s="221"/>
      <c r="U136" s="221"/>
      <c r="V136" s="221"/>
      <c r="W136" s="221"/>
      <c r="X136" s="221"/>
      <c r="Y136" s="221"/>
      <c r="Z136" s="221"/>
    </row>
    <row r="137" spans="1:26" ht="18.75" customHeight="1">
      <c r="A137" s="221"/>
      <c r="B137" s="221"/>
      <c r="C137" s="221"/>
      <c r="D137" s="221"/>
      <c r="E137" s="221"/>
      <c r="F137" s="221"/>
      <c r="G137" s="221"/>
      <c r="H137" s="221"/>
      <c r="I137" s="221"/>
      <c r="J137" s="221"/>
      <c r="K137" s="221"/>
      <c r="L137" s="221"/>
      <c r="M137" s="221"/>
      <c r="N137" s="221"/>
      <c r="O137" s="221"/>
      <c r="P137" s="221"/>
      <c r="Q137" s="221"/>
      <c r="R137" s="221"/>
      <c r="S137" s="221"/>
      <c r="T137" s="221"/>
      <c r="U137" s="221"/>
      <c r="V137" s="221"/>
      <c r="W137" s="221"/>
      <c r="X137" s="221"/>
      <c r="Y137" s="221"/>
      <c r="Z137" s="221"/>
    </row>
    <row r="138" spans="1:26" ht="18.75" customHeight="1">
      <c r="A138" s="221"/>
      <c r="B138" s="221"/>
      <c r="C138" s="221"/>
      <c r="D138" s="221"/>
      <c r="E138" s="221"/>
      <c r="F138" s="221"/>
      <c r="G138" s="221"/>
      <c r="H138" s="221"/>
      <c r="I138" s="221"/>
      <c r="J138" s="221"/>
      <c r="K138" s="221"/>
      <c r="L138" s="221"/>
      <c r="M138" s="221"/>
      <c r="N138" s="221"/>
      <c r="O138" s="221"/>
      <c r="P138" s="221"/>
      <c r="Q138" s="221"/>
      <c r="R138" s="221"/>
      <c r="S138" s="221"/>
      <c r="T138" s="221"/>
      <c r="U138" s="221"/>
      <c r="V138" s="221"/>
      <c r="W138" s="221"/>
      <c r="X138" s="221"/>
      <c r="Y138" s="221"/>
      <c r="Z138" s="221"/>
    </row>
    <row r="139" spans="1:26" ht="18.75" customHeight="1">
      <c r="A139" s="221"/>
      <c r="B139" s="221"/>
      <c r="C139" s="221"/>
      <c r="D139" s="221"/>
      <c r="E139" s="221"/>
      <c r="F139" s="221"/>
      <c r="G139" s="221"/>
      <c r="H139" s="221"/>
      <c r="I139" s="221"/>
      <c r="J139" s="221"/>
      <c r="K139" s="221"/>
      <c r="L139" s="221"/>
      <c r="M139" s="221"/>
      <c r="N139" s="221"/>
      <c r="O139" s="221"/>
      <c r="P139" s="221"/>
      <c r="Q139" s="221"/>
      <c r="R139" s="221"/>
      <c r="S139" s="221"/>
      <c r="T139" s="221"/>
      <c r="U139" s="221"/>
      <c r="V139" s="221"/>
      <c r="W139" s="221"/>
      <c r="X139" s="221"/>
      <c r="Y139" s="221"/>
      <c r="Z139" s="221"/>
    </row>
    <row r="140" spans="1:26" ht="18.75" customHeight="1">
      <c r="A140" s="221"/>
      <c r="B140" s="221"/>
      <c r="C140" s="221"/>
      <c r="D140" s="221"/>
      <c r="E140" s="221"/>
      <c r="F140" s="221"/>
      <c r="G140" s="221"/>
      <c r="H140" s="221"/>
      <c r="I140" s="221"/>
      <c r="J140" s="221"/>
      <c r="K140" s="221"/>
      <c r="L140" s="221"/>
      <c r="M140" s="221"/>
      <c r="N140" s="221"/>
      <c r="O140" s="221"/>
      <c r="P140" s="221"/>
      <c r="Q140" s="221"/>
      <c r="R140" s="221"/>
      <c r="S140" s="221"/>
      <c r="T140" s="221"/>
      <c r="U140" s="221"/>
      <c r="V140" s="221"/>
      <c r="W140" s="221"/>
      <c r="X140" s="221"/>
      <c r="Y140" s="221"/>
      <c r="Z140" s="221"/>
    </row>
    <row r="141" spans="1:26" ht="18.75" customHeight="1">
      <c r="A141" s="221"/>
      <c r="B141" s="221"/>
      <c r="C141" s="221"/>
      <c r="D141" s="221"/>
      <c r="E141" s="221"/>
      <c r="F141" s="221"/>
      <c r="G141" s="221"/>
      <c r="H141" s="221"/>
      <c r="I141" s="221"/>
      <c r="J141" s="221"/>
      <c r="K141" s="221"/>
      <c r="L141" s="221"/>
      <c r="M141" s="221"/>
      <c r="N141" s="221"/>
      <c r="O141" s="221"/>
      <c r="P141" s="221"/>
      <c r="Q141" s="221"/>
      <c r="R141" s="221"/>
      <c r="S141" s="221"/>
      <c r="T141" s="221"/>
      <c r="U141" s="221"/>
      <c r="V141" s="221"/>
      <c r="W141" s="221"/>
      <c r="X141" s="221"/>
      <c r="Y141" s="221"/>
      <c r="Z141" s="221"/>
    </row>
    <row r="142" spans="1:26" ht="18.75" customHeight="1">
      <c r="A142" s="221"/>
      <c r="B142" s="221"/>
      <c r="C142" s="221"/>
      <c r="D142" s="221"/>
      <c r="E142" s="221"/>
      <c r="F142" s="221"/>
      <c r="G142" s="221"/>
      <c r="H142" s="221"/>
      <c r="I142" s="221"/>
      <c r="J142" s="221"/>
      <c r="K142" s="221"/>
      <c r="L142" s="221"/>
      <c r="M142" s="221"/>
      <c r="N142" s="221"/>
      <c r="O142" s="221"/>
      <c r="P142" s="221"/>
      <c r="Q142" s="221"/>
      <c r="R142" s="221"/>
      <c r="S142" s="221"/>
      <c r="T142" s="221"/>
      <c r="U142" s="221"/>
      <c r="V142" s="221"/>
      <c r="W142" s="221"/>
      <c r="X142" s="221"/>
      <c r="Y142" s="221"/>
      <c r="Z142" s="221"/>
    </row>
    <row r="143" spans="1:26" ht="18.75" customHeight="1">
      <c r="A143" s="221"/>
      <c r="B143" s="221"/>
      <c r="C143" s="221"/>
      <c r="D143" s="221"/>
      <c r="E143" s="221"/>
      <c r="F143" s="221"/>
      <c r="G143" s="221"/>
      <c r="H143" s="221"/>
      <c r="I143" s="221"/>
      <c r="J143" s="221"/>
      <c r="K143" s="221"/>
      <c r="L143" s="221"/>
      <c r="M143" s="221"/>
      <c r="N143" s="221"/>
      <c r="O143" s="221"/>
      <c r="P143" s="221"/>
      <c r="Q143" s="221"/>
      <c r="R143" s="221"/>
      <c r="S143" s="221"/>
      <c r="T143" s="221"/>
      <c r="U143" s="221"/>
      <c r="V143" s="221"/>
      <c r="W143" s="221"/>
      <c r="X143" s="221"/>
      <c r="Y143" s="221"/>
      <c r="Z143" s="221"/>
    </row>
    <row r="144" spans="1:26" ht="18.75" customHeight="1">
      <c r="A144" s="221"/>
      <c r="B144" s="221"/>
      <c r="C144" s="221"/>
      <c r="D144" s="221"/>
      <c r="E144" s="221"/>
      <c r="F144" s="221"/>
      <c r="G144" s="221"/>
      <c r="H144" s="221"/>
      <c r="I144" s="221"/>
      <c r="J144" s="221"/>
      <c r="K144" s="221"/>
      <c r="L144" s="221"/>
      <c r="M144" s="221"/>
      <c r="N144" s="221"/>
      <c r="O144" s="221"/>
      <c r="P144" s="221"/>
      <c r="Q144" s="221"/>
      <c r="R144" s="221"/>
      <c r="S144" s="221"/>
      <c r="T144" s="221"/>
      <c r="U144" s="221"/>
      <c r="V144" s="221"/>
      <c r="W144" s="221"/>
      <c r="X144" s="221"/>
      <c r="Y144" s="221"/>
      <c r="Z144" s="221"/>
    </row>
    <row r="145" spans="1:26" ht="18.75" customHeight="1">
      <c r="A145" s="221"/>
      <c r="B145" s="221"/>
      <c r="C145" s="221"/>
      <c r="D145" s="221"/>
      <c r="E145" s="221"/>
      <c r="F145" s="221"/>
      <c r="G145" s="221"/>
      <c r="H145" s="221"/>
      <c r="I145" s="221"/>
      <c r="J145" s="221"/>
      <c r="K145" s="221"/>
      <c r="L145" s="221"/>
      <c r="M145" s="221"/>
      <c r="N145" s="221"/>
      <c r="O145" s="221"/>
      <c r="P145" s="221"/>
      <c r="Q145" s="221"/>
      <c r="R145" s="221"/>
      <c r="S145" s="221"/>
      <c r="T145" s="221"/>
      <c r="U145" s="221"/>
      <c r="V145" s="221"/>
      <c r="W145" s="221"/>
      <c r="X145" s="221"/>
      <c r="Y145" s="221"/>
      <c r="Z145" s="221"/>
    </row>
    <row r="146" spans="1:26" ht="18.75" customHeight="1">
      <c r="A146" s="221"/>
      <c r="B146" s="221"/>
      <c r="C146" s="221"/>
      <c r="D146" s="221"/>
      <c r="E146" s="221"/>
      <c r="F146" s="221"/>
      <c r="G146" s="221"/>
      <c r="H146" s="221"/>
      <c r="I146" s="221"/>
      <c r="J146" s="221"/>
      <c r="K146" s="221"/>
      <c r="L146" s="221"/>
      <c r="M146" s="221"/>
      <c r="N146" s="221"/>
      <c r="O146" s="221"/>
      <c r="P146" s="221"/>
      <c r="Q146" s="221"/>
      <c r="R146" s="221"/>
      <c r="S146" s="221"/>
      <c r="T146" s="221"/>
      <c r="U146" s="221"/>
      <c r="V146" s="221"/>
      <c r="W146" s="221"/>
      <c r="X146" s="221"/>
      <c r="Y146" s="221"/>
      <c r="Z146" s="221"/>
    </row>
    <row r="147" spans="1:26" ht="18.75" customHeight="1">
      <c r="A147" s="221"/>
      <c r="B147" s="221"/>
      <c r="C147" s="221"/>
      <c r="D147" s="221"/>
      <c r="E147" s="221"/>
      <c r="F147" s="221"/>
      <c r="G147" s="221"/>
      <c r="H147" s="221"/>
      <c r="I147" s="221"/>
      <c r="J147" s="221"/>
      <c r="K147" s="221"/>
      <c r="L147" s="221"/>
      <c r="M147" s="221"/>
      <c r="N147" s="221"/>
      <c r="O147" s="221"/>
      <c r="P147" s="221"/>
      <c r="Q147" s="221"/>
      <c r="R147" s="221"/>
      <c r="S147" s="221"/>
      <c r="T147" s="221"/>
      <c r="U147" s="221"/>
      <c r="V147" s="221"/>
      <c r="W147" s="221"/>
      <c r="X147" s="221"/>
      <c r="Y147" s="221"/>
      <c r="Z147" s="221"/>
    </row>
    <row r="148" spans="1:26" ht="18.75" customHeight="1">
      <c r="A148" s="221"/>
      <c r="B148" s="221"/>
      <c r="C148" s="221"/>
      <c r="D148" s="221"/>
      <c r="E148" s="221"/>
      <c r="F148" s="221"/>
      <c r="G148" s="221"/>
      <c r="H148" s="221"/>
      <c r="I148" s="221"/>
      <c r="J148" s="221"/>
      <c r="K148" s="221"/>
      <c r="L148" s="221"/>
      <c r="M148" s="221"/>
      <c r="N148" s="221"/>
      <c r="O148" s="221"/>
      <c r="P148" s="221"/>
      <c r="Q148" s="221"/>
      <c r="R148" s="221"/>
      <c r="S148" s="221"/>
      <c r="T148" s="221"/>
      <c r="U148" s="221"/>
      <c r="V148" s="221"/>
      <c r="W148" s="221"/>
      <c r="X148" s="221"/>
      <c r="Y148" s="221"/>
      <c r="Z148" s="221"/>
    </row>
    <row r="149" spans="1:26" ht="18.75" customHeight="1">
      <c r="A149" s="221"/>
      <c r="B149" s="221"/>
      <c r="C149" s="221"/>
      <c r="D149" s="221"/>
      <c r="E149" s="221"/>
      <c r="F149" s="221"/>
      <c r="G149" s="221"/>
      <c r="H149" s="221"/>
      <c r="I149" s="221"/>
      <c r="J149" s="221"/>
      <c r="K149" s="221"/>
      <c r="L149" s="221"/>
      <c r="M149" s="221"/>
      <c r="N149" s="221"/>
      <c r="O149" s="221"/>
      <c r="P149" s="221"/>
      <c r="Q149" s="221"/>
      <c r="R149" s="221"/>
      <c r="S149" s="221"/>
      <c r="T149" s="221"/>
      <c r="U149" s="221"/>
      <c r="V149" s="221"/>
      <c r="W149" s="221"/>
      <c r="X149" s="221"/>
      <c r="Y149" s="221"/>
      <c r="Z149" s="221"/>
    </row>
    <row r="150" spans="1:26" ht="18.75" customHeight="1">
      <c r="A150" s="221"/>
      <c r="B150" s="221"/>
      <c r="C150" s="221"/>
      <c r="D150" s="221"/>
      <c r="E150" s="221"/>
      <c r="F150" s="221"/>
      <c r="G150" s="221"/>
      <c r="H150" s="221"/>
      <c r="I150" s="221"/>
      <c r="J150" s="221"/>
      <c r="K150" s="221"/>
      <c r="L150" s="221"/>
      <c r="M150" s="221"/>
      <c r="N150" s="221"/>
      <c r="O150" s="221"/>
      <c r="P150" s="221"/>
      <c r="Q150" s="221"/>
      <c r="R150" s="221"/>
      <c r="S150" s="221"/>
      <c r="T150" s="221"/>
      <c r="U150" s="221"/>
      <c r="V150" s="221"/>
      <c r="W150" s="221"/>
      <c r="X150" s="221"/>
      <c r="Y150" s="221"/>
      <c r="Z150" s="221"/>
    </row>
    <row r="151" spans="1:26" ht="18.75" customHeight="1">
      <c r="A151" s="221"/>
      <c r="B151" s="221"/>
      <c r="C151" s="221"/>
      <c r="D151" s="221"/>
      <c r="E151" s="221"/>
      <c r="F151" s="221"/>
      <c r="G151" s="221"/>
      <c r="H151" s="221"/>
      <c r="I151" s="221"/>
      <c r="J151" s="221"/>
      <c r="K151" s="221"/>
      <c r="L151" s="221"/>
      <c r="M151" s="221"/>
      <c r="N151" s="221"/>
      <c r="O151" s="221"/>
      <c r="P151" s="221"/>
      <c r="Q151" s="221"/>
      <c r="R151" s="221"/>
      <c r="S151" s="221"/>
      <c r="T151" s="221"/>
      <c r="U151" s="221"/>
      <c r="V151" s="221"/>
      <c r="W151" s="221"/>
      <c r="X151" s="221"/>
      <c r="Y151" s="221"/>
      <c r="Z151" s="221"/>
    </row>
    <row r="152" spans="1:26" ht="18.75" customHeight="1">
      <c r="A152" s="221"/>
      <c r="B152" s="221"/>
      <c r="C152" s="221"/>
      <c r="D152" s="221"/>
      <c r="E152" s="221"/>
      <c r="F152" s="221"/>
      <c r="G152" s="221"/>
      <c r="H152" s="221"/>
      <c r="I152" s="221"/>
      <c r="J152" s="221"/>
      <c r="K152" s="221"/>
      <c r="L152" s="221"/>
      <c r="M152" s="221"/>
      <c r="N152" s="221"/>
      <c r="O152" s="221"/>
      <c r="P152" s="221"/>
      <c r="Q152" s="221"/>
      <c r="R152" s="221"/>
      <c r="S152" s="221"/>
      <c r="T152" s="221"/>
      <c r="U152" s="221"/>
      <c r="V152" s="221"/>
      <c r="W152" s="221"/>
      <c r="X152" s="221"/>
      <c r="Y152" s="221"/>
      <c r="Z152" s="221"/>
    </row>
    <row r="153" spans="1:26" ht="18.75" customHeight="1">
      <c r="A153" s="221"/>
      <c r="B153" s="221"/>
      <c r="C153" s="221"/>
      <c r="D153" s="221"/>
      <c r="E153" s="221"/>
      <c r="F153" s="221"/>
      <c r="G153" s="221"/>
      <c r="H153" s="221"/>
      <c r="I153" s="221"/>
      <c r="J153" s="221"/>
      <c r="K153" s="221"/>
      <c r="L153" s="221"/>
      <c r="M153" s="221"/>
      <c r="N153" s="221"/>
      <c r="O153" s="221"/>
      <c r="P153" s="221"/>
      <c r="Q153" s="221"/>
      <c r="R153" s="221"/>
      <c r="S153" s="221"/>
      <c r="T153" s="221"/>
      <c r="U153" s="221"/>
      <c r="V153" s="221"/>
      <c r="W153" s="221"/>
      <c r="X153" s="221"/>
      <c r="Y153" s="221"/>
      <c r="Z153" s="221"/>
    </row>
    <row r="154" spans="1:26" ht="18.75" customHeight="1">
      <c r="A154" s="221"/>
      <c r="B154" s="221"/>
      <c r="C154" s="221"/>
      <c r="D154" s="221"/>
      <c r="E154" s="221"/>
      <c r="F154" s="221"/>
      <c r="G154" s="221"/>
      <c r="H154" s="221"/>
      <c r="I154" s="221"/>
      <c r="J154" s="221"/>
      <c r="K154" s="221"/>
      <c r="L154" s="221"/>
      <c r="M154" s="221"/>
      <c r="N154" s="221"/>
      <c r="O154" s="221"/>
      <c r="P154" s="221"/>
      <c r="Q154" s="221"/>
      <c r="R154" s="221"/>
      <c r="S154" s="221"/>
      <c r="T154" s="221"/>
      <c r="U154" s="221"/>
      <c r="V154" s="221"/>
      <c r="W154" s="221"/>
      <c r="X154" s="221"/>
      <c r="Y154" s="221"/>
      <c r="Z154" s="221"/>
    </row>
    <row r="155" spans="1:26" ht="18.75" customHeight="1">
      <c r="A155" s="221"/>
      <c r="B155" s="221"/>
      <c r="C155" s="221"/>
      <c r="D155" s="221"/>
      <c r="E155" s="221"/>
      <c r="F155" s="221"/>
      <c r="G155" s="221"/>
      <c r="H155" s="221"/>
      <c r="I155" s="221"/>
      <c r="J155" s="221"/>
      <c r="K155" s="221"/>
      <c r="L155" s="221"/>
      <c r="M155" s="221"/>
      <c r="N155" s="221"/>
      <c r="O155" s="221"/>
      <c r="P155" s="221"/>
      <c r="Q155" s="221"/>
      <c r="R155" s="221"/>
      <c r="S155" s="221"/>
      <c r="T155" s="221"/>
      <c r="U155" s="221"/>
      <c r="V155" s="221"/>
      <c r="W155" s="221"/>
      <c r="X155" s="221"/>
      <c r="Y155" s="221"/>
      <c r="Z155" s="221"/>
    </row>
    <row r="156" spans="1:26" ht="18.75" customHeight="1">
      <c r="A156" s="221"/>
      <c r="B156" s="221"/>
      <c r="C156" s="221"/>
      <c r="D156" s="221"/>
      <c r="E156" s="221"/>
      <c r="F156" s="221"/>
      <c r="G156" s="221"/>
      <c r="H156" s="221"/>
      <c r="I156" s="221"/>
      <c r="J156" s="221"/>
      <c r="K156" s="221"/>
      <c r="L156" s="221"/>
      <c r="M156" s="221"/>
      <c r="N156" s="221"/>
      <c r="O156" s="221"/>
      <c r="P156" s="221"/>
      <c r="Q156" s="221"/>
      <c r="R156" s="221"/>
      <c r="S156" s="221"/>
      <c r="T156" s="221"/>
      <c r="U156" s="221"/>
      <c r="V156" s="221"/>
      <c r="W156" s="221"/>
      <c r="X156" s="221"/>
      <c r="Y156" s="221"/>
      <c r="Z156" s="221"/>
    </row>
    <row r="157" spans="1:26" ht="18.75" customHeight="1">
      <c r="A157" s="221"/>
      <c r="B157" s="221"/>
      <c r="C157" s="221"/>
      <c r="D157" s="221"/>
      <c r="E157" s="221"/>
      <c r="F157" s="221"/>
      <c r="G157" s="221"/>
      <c r="H157" s="221"/>
      <c r="I157" s="221"/>
      <c r="J157" s="221"/>
      <c r="K157" s="221"/>
      <c r="L157" s="221"/>
      <c r="M157" s="221"/>
      <c r="N157" s="221"/>
      <c r="O157" s="221"/>
      <c r="P157" s="221"/>
      <c r="Q157" s="221"/>
      <c r="R157" s="221"/>
      <c r="S157" s="221"/>
      <c r="T157" s="221"/>
      <c r="U157" s="221"/>
      <c r="V157" s="221"/>
      <c r="W157" s="221"/>
      <c r="X157" s="221"/>
      <c r="Y157" s="221"/>
      <c r="Z157" s="221"/>
    </row>
    <row r="158" spans="1:26" ht="18.75" customHeight="1">
      <c r="A158" s="221"/>
      <c r="B158" s="221"/>
      <c r="C158" s="221"/>
      <c r="D158" s="221"/>
      <c r="E158" s="221"/>
      <c r="F158" s="221"/>
      <c r="G158" s="221"/>
      <c r="H158" s="221"/>
      <c r="I158" s="221"/>
      <c r="J158" s="221"/>
      <c r="K158" s="221"/>
      <c r="L158" s="221"/>
      <c r="M158" s="221"/>
      <c r="N158" s="221"/>
      <c r="O158" s="221"/>
      <c r="P158" s="221"/>
      <c r="Q158" s="221"/>
      <c r="R158" s="221"/>
      <c r="S158" s="221"/>
      <c r="T158" s="221"/>
      <c r="U158" s="221"/>
      <c r="V158" s="221"/>
      <c r="W158" s="221"/>
      <c r="X158" s="221"/>
      <c r="Y158" s="221"/>
      <c r="Z158" s="221"/>
    </row>
    <row r="159" spans="1:26" ht="18.75" customHeight="1">
      <c r="A159" s="221"/>
      <c r="B159" s="221"/>
      <c r="C159" s="221"/>
      <c r="D159" s="221"/>
      <c r="E159" s="221"/>
      <c r="F159" s="221"/>
      <c r="G159" s="221"/>
      <c r="H159" s="221"/>
      <c r="I159" s="221"/>
      <c r="J159" s="221"/>
      <c r="K159" s="221"/>
      <c r="L159" s="221"/>
      <c r="M159" s="221"/>
      <c r="N159" s="221"/>
      <c r="O159" s="221"/>
      <c r="P159" s="221"/>
      <c r="Q159" s="221"/>
      <c r="R159" s="221"/>
      <c r="S159" s="221"/>
      <c r="T159" s="221"/>
      <c r="U159" s="221"/>
      <c r="V159" s="221"/>
      <c r="W159" s="221"/>
      <c r="X159" s="221"/>
      <c r="Y159" s="221"/>
      <c r="Z159" s="221"/>
    </row>
    <row r="160" spans="1:26" ht="18.75" customHeight="1">
      <c r="A160" s="221"/>
      <c r="B160" s="221"/>
      <c r="C160" s="221"/>
      <c r="D160" s="221"/>
      <c r="E160" s="221"/>
      <c r="F160" s="221"/>
      <c r="G160" s="221"/>
      <c r="H160" s="221"/>
      <c r="I160" s="221"/>
      <c r="J160" s="221"/>
      <c r="K160" s="221"/>
      <c r="L160" s="221"/>
      <c r="M160" s="221"/>
      <c r="N160" s="221"/>
      <c r="O160" s="221"/>
      <c r="P160" s="221"/>
      <c r="Q160" s="221"/>
      <c r="R160" s="221"/>
      <c r="S160" s="221"/>
      <c r="T160" s="221"/>
      <c r="U160" s="221"/>
      <c r="V160" s="221"/>
      <c r="W160" s="221"/>
      <c r="X160" s="221"/>
      <c r="Y160" s="221"/>
      <c r="Z160" s="221"/>
    </row>
    <row r="161" spans="1:26" ht="18.75" customHeight="1">
      <c r="A161" s="221"/>
      <c r="B161" s="221"/>
      <c r="C161" s="221"/>
      <c r="D161" s="221"/>
      <c r="E161" s="221"/>
      <c r="F161" s="221"/>
      <c r="G161" s="221"/>
      <c r="H161" s="221"/>
      <c r="I161" s="221"/>
      <c r="J161" s="221"/>
      <c r="K161" s="221"/>
      <c r="L161" s="221"/>
      <c r="M161" s="221"/>
      <c r="N161" s="221"/>
      <c r="O161" s="221"/>
      <c r="P161" s="221"/>
      <c r="Q161" s="221"/>
      <c r="R161" s="221"/>
      <c r="S161" s="221"/>
      <c r="T161" s="221"/>
      <c r="U161" s="221"/>
      <c r="V161" s="221"/>
      <c r="W161" s="221"/>
      <c r="X161" s="221"/>
      <c r="Y161" s="221"/>
      <c r="Z161" s="221"/>
    </row>
    <row r="162" spans="1:26" ht="18.75" customHeight="1">
      <c r="A162" s="221"/>
      <c r="B162" s="221"/>
      <c r="C162" s="221"/>
      <c r="D162" s="221"/>
      <c r="E162" s="221"/>
      <c r="F162" s="221"/>
      <c r="G162" s="221"/>
      <c r="H162" s="221"/>
      <c r="I162" s="221"/>
      <c r="J162" s="221"/>
      <c r="K162" s="221"/>
      <c r="L162" s="221"/>
      <c r="M162" s="221"/>
      <c r="N162" s="221"/>
      <c r="O162" s="221"/>
      <c r="P162" s="221"/>
      <c r="Q162" s="221"/>
      <c r="R162" s="221"/>
      <c r="S162" s="221"/>
      <c r="T162" s="221"/>
      <c r="U162" s="221"/>
      <c r="V162" s="221"/>
      <c r="W162" s="221"/>
      <c r="X162" s="221"/>
      <c r="Y162" s="221"/>
      <c r="Z162" s="221"/>
    </row>
    <row r="163" spans="1:26" ht="18.75" customHeight="1">
      <c r="A163" s="221"/>
      <c r="B163" s="221"/>
      <c r="C163" s="221"/>
      <c r="D163" s="221"/>
      <c r="E163" s="221"/>
      <c r="F163" s="221"/>
      <c r="G163" s="221"/>
      <c r="H163" s="221"/>
      <c r="I163" s="221"/>
      <c r="J163" s="221"/>
      <c r="K163" s="221"/>
      <c r="L163" s="221"/>
      <c r="M163" s="221"/>
      <c r="N163" s="221"/>
      <c r="O163" s="221"/>
      <c r="P163" s="221"/>
      <c r="Q163" s="221"/>
      <c r="R163" s="221"/>
      <c r="S163" s="221"/>
      <c r="T163" s="221"/>
      <c r="U163" s="221"/>
      <c r="V163" s="221"/>
      <c r="W163" s="221"/>
      <c r="X163" s="221"/>
      <c r="Y163" s="221"/>
      <c r="Z163" s="221"/>
    </row>
    <row r="164" spans="1:26" ht="18.75" customHeight="1">
      <c r="A164" s="221"/>
      <c r="B164" s="221"/>
      <c r="C164" s="221"/>
      <c r="D164" s="221"/>
      <c r="E164" s="221"/>
      <c r="F164" s="221"/>
      <c r="G164" s="221"/>
      <c r="H164" s="221"/>
      <c r="I164" s="221"/>
      <c r="J164" s="221"/>
      <c r="K164" s="221"/>
      <c r="L164" s="221"/>
      <c r="M164" s="221"/>
      <c r="N164" s="221"/>
      <c r="O164" s="221"/>
      <c r="P164" s="221"/>
      <c r="Q164" s="221"/>
      <c r="R164" s="221"/>
      <c r="S164" s="221"/>
      <c r="T164" s="221"/>
      <c r="U164" s="221"/>
      <c r="V164" s="221"/>
      <c r="W164" s="221"/>
      <c r="X164" s="221"/>
      <c r="Y164" s="221"/>
      <c r="Z164" s="221"/>
    </row>
    <row r="165" spans="1:26" ht="18.75" customHeight="1">
      <c r="A165" s="221"/>
      <c r="B165" s="221"/>
      <c r="C165" s="221"/>
      <c r="D165" s="221"/>
      <c r="E165" s="221"/>
      <c r="F165" s="221"/>
      <c r="G165" s="221"/>
      <c r="H165" s="221"/>
      <c r="I165" s="221"/>
      <c r="J165" s="221"/>
      <c r="K165" s="221"/>
      <c r="L165" s="221"/>
      <c r="M165" s="221"/>
      <c r="N165" s="221"/>
      <c r="O165" s="221"/>
      <c r="P165" s="221"/>
      <c r="Q165" s="221"/>
      <c r="R165" s="221"/>
      <c r="S165" s="221"/>
      <c r="T165" s="221"/>
      <c r="U165" s="221"/>
      <c r="V165" s="221"/>
      <c r="W165" s="221"/>
      <c r="X165" s="221"/>
      <c r="Y165" s="221"/>
      <c r="Z165" s="221"/>
    </row>
    <row r="166" spans="1:26" ht="18.75" customHeight="1">
      <c r="A166" s="221"/>
      <c r="B166" s="221"/>
      <c r="C166" s="221"/>
      <c r="D166" s="221"/>
      <c r="E166" s="221"/>
      <c r="F166" s="221"/>
      <c r="G166" s="221"/>
      <c r="H166" s="221"/>
      <c r="I166" s="221"/>
      <c r="J166" s="221"/>
      <c r="K166" s="221"/>
      <c r="L166" s="221"/>
      <c r="M166" s="221"/>
      <c r="N166" s="221"/>
      <c r="O166" s="221"/>
      <c r="P166" s="221"/>
      <c r="Q166" s="221"/>
      <c r="R166" s="221"/>
      <c r="S166" s="221"/>
      <c r="T166" s="221"/>
      <c r="U166" s="221"/>
      <c r="V166" s="221"/>
      <c r="W166" s="221"/>
      <c r="X166" s="221"/>
      <c r="Y166" s="221"/>
      <c r="Z166" s="221"/>
    </row>
    <row r="167" spans="1:26" ht="18.75" customHeight="1">
      <c r="A167" s="221"/>
      <c r="B167" s="221"/>
      <c r="C167" s="221"/>
      <c r="D167" s="221"/>
      <c r="E167" s="221"/>
      <c r="F167" s="221"/>
      <c r="G167" s="221"/>
      <c r="H167" s="221"/>
      <c r="I167" s="221"/>
      <c r="J167" s="221"/>
      <c r="K167" s="221"/>
      <c r="L167" s="221"/>
      <c r="M167" s="221"/>
      <c r="N167" s="221"/>
      <c r="O167" s="221"/>
      <c r="P167" s="221"/>
      <c r="Q167" s="221"/>
      <c r="R167" s="221"/>
      <c r="S167" s="221"/>
      <c r="T167" s="221"/>
      <c r="U167" s="221"/>
      <c r="V167" s="221"/>
      <c r="W167" s="221"/>
      <c r="X167" s="221"/>
      <c r="Y167" s="221"/>
      <c r="Z167" s="221"/>
    </row>
    <row r="168" spans="1:26" ht="18.75" customHeight="1">
      <c r="A168" s="221"/>
      <c r="B168" s="221"/>
      <c r="C168" s="221"/>
      <c r="D168" s="221"/>
      <c r="E168" s="221"/>
      <c r="F168" s="221"/>
      <c r="G168" s="221"/>
      <c r="H168" s="221"/>
      <c r="I168" s="221"/>
      <c r="J168" s="221"/>
      <c r="K168" s="221"/>
      <c r="L168" s="221"/>
      <c r="M168" s="221"/>
      <c r="N168" s="221"/>
      <c r="O168" s="221"/>
      <c r="P168" s="221"/>
      <c r="Q168" s="221"/>
      <c r="R168" s="221"/>
      <c r="S168" s="221"/>
      <c r="T168" s="221"/>
      <c r="U168" s="221"/>
      <c r="V168" s="221"/>
      <c r="W168" s="221"/>
      <c r="X168" s="221"/>
      <c r="Y168" s="221"/>
      <c r="Z168" s="221"/>
    </row>
    <row r="169" spans="1:26" ht="18.75" customHeight="1">
      <c r="A169" s="221"/>
      <c r="B169" s="221"/>
      <c r="C169" s="221"/>
      <c r="D169" s="221"/>
      <c r="E169" s="221"/>
      <c r="F169" s="221"/>
      <c r="G169" s="221"/>
      <c r="H169" s="221"/>
      <c r="I169" s="221"/>
      <c r="J169" s="221"/>
      <c r="K169" s="221"/>
      <c r="L169" s="221"/>
      <c r="M169" s="221"/>
      <c r="N169" s="221"/>
      <c r="O169" s="221"/>
      <c r="P169" s="221"/>
      <c r="Q169" s="221"/>
      <c r="R169" s="221"/>
      <c r="S169" s="221"/>
      <c r="T169" s="221"/>
      <c r="U169" s="221"/>
      <c r="V169" s="221"/>
      <c r="W169" s="221"/>
      <c r="X169" s="221"/>
      <c r="Y169" s="221"/>
      <c r="Z169" s="221"/>
    </row>
    <row r="170" spans="1:26" ht="18.75" customHeight="1">
      <c r="A170" s="221"/>
      <c r="B170" s="221"/>
      <c r="C170" s="221"/>
      <c r="D170" s="221"/>
      <c r="E170" s="221"/>
      <c r="F170" s="221"/>
      <c r="G170" s="221"/>
      <c r="H170" s="221"/>
      <c r="I170" s="221"/>
      <c r="J170" s="221"/>
      <c r="K170" s="221"/>
      <c r="L170" s="221"/>
      <c r="M170" s="221"/>
      <c r="N170" s="221"/>
      <c r="O170" s="221"/>
      <c r="P170" s="221"/>
      <c r="Q170" s="221"/>
      <c r="R170" s="221"/>
      <c r="S170" s="221"/>
      <c r="T170" s="221"/>
      <c r="U170" s="221"/>
      <c r="V170" s="221"/>
      <c r="W170" s="221"/>
      <c r="X170" s="221"/>
      <c r="Y170" s="221"/>
      <c r="Z170" s="221"/>
    </row>
    <row r="171" spans="1:26" ht="18.75" customHeight="1">
      <c r="A171" s="221"/>
      <c r="B171" s="221"/>
      <c r="C171" s="221"/>
      <c r="D171" s="221"/>
      <c r="E171" s="221"/>
      <c r="F171" s="221"/>
      <c r="G171" s="221"/>
      <c r="H171" s="221"/>
      <c r="I171" s="221"/>
      <c r="J171" s="221"/>
      <c r="K171" s="221"/>
      <c r="L171" s="221"/>
      <c r="M171" s="221"/>
      <c r="N171" s="221"/>
      <c r="O171" s="221"/>
      <c r="P171" s="221"/>
      <c r="Q171" s="221"/>
      <c r="R171" s="221"/>
      <c r="S171" s="221"/>
      <c r="T171" s="221"/>
      <c r="U171" s="221"/>
      <c r="V171" s="221"/>
      <c r="W171" s="221"/>
      <c r="X171" s="221"/>
      <c r="Y171" s="221"/>
      <c r="Z171" s="221"/>
    </row>
    <row r="172" spans="1:26" ht="18.75" customHeight="1">
      <c r="A172" s="221"/>
      <c r="B172" s="221"/>
      <c r="C172" s="221"/>
      <c r="D172" s="221"/>
      <c r="E172" s="221"/>
      <c r="F172" s="221"/>
      <c r="G172" s="221"/>
      <c r="H172" s="221"/>
      <c r="I172" s="221"/>
      <c r="J172" s="221"/>
      <c r="K172" s="221"/>
      <c r="L172" s="221"/>
      <c r="M172" s="221"/>
      <c r="N172" s="221"/>
      <c r="O172" s="221"/>
      <c r="P172" s="221"/>
      <c r="Q172" s="221"/>
      <c r="R172" s="221"/>
      <c r="S172" s="221"/>
      <c r="T172" s="221"/>
      <c r="U172" s="221"/>
      <c r="V172" s="221"/>
      <c r="W172" s="221"/>
      <c r="X172" s="221"/>
      <c r="Y172" s="221"/>
      <c r="Z172" s="221"/>
    </row>
    <row r="173" spans="1:26" ht="18.75" customHeight="1">
      <c r="A173" s="221"/>
      <c r="B173" s="221"/>
      <c r="C173" s="221"/>
      <c r="D173" s="221"/>
      <c r="E173" s="221"/>
      <c r="F173" s="221"/>
      <c r="G173" s="221"/>
      <c r="H173" s="221"/>
      <c r="I173" s="221"/>
      <c r="J173" s="221"/>
      <c r="K173" s="221"/>
      <c r="L173" s="221"/>
      <c r="M173" s="221"/>
      <c r="N173" s="221"/>
      <c r="O173" s="221"/>
      <c r="P173" s="221"/>
      <c r="Q173" s="221"/>
      <c r="R173" s="221"/>
      <c r="S173" s="221"/>
      <c r="T173" s="221"/>
      <c r="U173" s="221"/>
      <c r="V173" s="221"/>
      <c r="W173" s="221"/>
      <c r="X173" s="221"/>
      <c r="Y173" s="221"/>
      <c r="Z173" s="221"/>
    </row>
    <row r="174" spans="1:26" ht="18.75" customHeight="1">
      <c r="A174" s="221"/>
      <c r="B174" s="221"/>
      <c r="C174" s="221"/>
      <c r="D174" s="221"/>
      <c r="E174" s="221"/>
      <c r="F174" s="221"/>
      <c r="G174" s="221"/>
      <c r="H174" s="221"/>
      <c r="I174" s="221"/>
      <c r="J174" s="221"/>
      <c r="K174" s="221"/>
      <c r="L174" s="221"/>
      <c r="M174" s="221"/>
      <c r="N174" s="221"/>
      <c r="O174" s="221"/>
      <c r="P174" s="221"/>
      <c r="Q174" s="221"/>
      <c r="R174" s="221"/>
      <c r="S174" s="221"/>
      <c r="T174" s="221"/>
      <c r="U174" s="221"/>
      <c r="V174" s="221"/>
      <c r="W174" s="221"/>
      <c r="X174" s="221"/>
      <c r="Y174" s="221"/>
      <c r="Z174" s="221"/>
    </row>
    <row r="175" spans="1:26" ht="18.75" customHeight="1">
      <c r="A175" s="221"/>
      <c r="B175" s="221"/>
      <c r="C175" s="221"/>
      <c r="D175" s="221"/>
      <c r="E175" s="221"/>
      <c r="F175" s="221"/>
      <c r="G175" s="221"/>
      <c r="H175" s="221"/>
      <c r="I175" s="221"/>
      <c r="J175" s="221"/>
      <c r="K175" s="221"/>
      <c r="L175" s="221"/>
      <c r="M175" s="221"/>
      <c r="N175" s="221"/>
      <c r="O175" s="221"/>
      <c r="P175" s="221"/>
      <c r="Q175" s="221"/>
      <c r="R175" s="221"/>
      <c r="S175" s="221"/>
      <c r="T175" s="221"/>
      <c r="U175" s="221"/>
      <c r="V175" s="221"/>
      <c r="W175" s="221"/>
      <c r="X175" s="221"/>
      <c r="Y175" s="221"/>
      <c r="Z175" s="221"/>
    </row>
    <row r="176" spans="1:26" ht="18.75" customHeight="1">
      <c r="A176" s="221"/>
      <c r="B176" s="221"/>
      <c r="C176" s="221"/>
      <c r="D176" s="221"/>
      <c r="E176" s="221"/>
      <c r="F176" s="221"/>
      <c r="G176" s="221"/>
      <c r="H176" s="221"/>
      <c r="I176" s="221"/>
      <c r="J176" s="221"/>
      <c r="K176" s="221"/>
      <c r="L176" s="221"/>
      <c r="M176" s="221"/>
      <c r="N176" s="221"/>
      <c r="O176" s="221"/>
      <c r="P176" s="221"/>
      <c r="Q176" s="221"/>
      <c r="R176" s="221"/>
      <c r="S176" s="221"/>
      <c r="T176" s="221"/>
      <c r="U176" s="221"/>
      <c r="V176" s="221"/>
      <c r="W176" s="221"/>
      <c r="X176" s="221"/>
      <c r="Y176" s="221"/>
      <c r="Z176" s="221"/>
    </row>
    <row r="177" spans="1:26" ht="18.75" customHeight="1">
      <c r="A177" s="221"/>
      <c r="B177" s="221"/>
      <c r="C177" s="221"/>
      <c r="D177" s="221"/>
      <c r="E177" s="221"/>
      <c r="F177" s="221"/>
      <c r="G177" s="221"/>
      <c r="H177" s="221"/>
      <c r="I177" s="221"/>
      <c r="J177" s="221"/>
      <c r="K177" s="221"/>
      <c r="L177" s="221"/>
      <c r="M177" s="221"/>
      <c r="N177" s="221"/>
      <c r="O177" s="221"/>
      <c r="P177" s="221"/>
      <c r="Q177" s="221"/>
      <c r="R177" s="221"/>
      <c r="S177" s="221"/>
      <c r="T177" s="221"/>
      <c r="U177" s="221"/>
      <c r="V177" s="221"/>
      <c r="W177" s="221"/>
      <c r="X177" s="221"/>
      <c r="Y177" s="221"/>
      <c r="Z177" s="221"/>
    </row>
    <row r="178" spans="1:26" ht="18.75" customHeight="1">
      <c r="A178" s="221"/>
      <c r="B178" s="221"/>
      <c r="C178" s="221"/>
      <c r="D178" s="221"/>
      <c r="E178" s="221"/>
      <c r="F178" s="221"/>
      <c r="G178" s="221"/>
      <c r="H178" s="221"/>
      <c r="I178" s="221"/>
      <c r="J178" s="221"/>
      <c r="K178" s="221"/>
      <c r="L178" s="221"/>
      <c r="M178" s="221"/>
      <c r="N178" s="221"/>
      <c r="O178" s="221"/>
      <c r="P178" s="221"/>
      <c r="Q178" s="221"/>
      <c r="R178" s="221"/>
      <c r="S178" s="221"/>
      <c r="T178" s="221"/>
      <c r="U178" s="221"/>
      <c r="V178" s="221"/>
      <c r="W178" s="221"/>
      <c r="X178" s="221"/>
      <c r="Y178" s="221"/>
      <c r="Z178" s="221"/>
    </row>
    <row r="179" spans="1:26" ht="18.75" customHeight="1">
      <c r="A179" s="221"/>
      <c r="B179" s="221"/>
      <c r="C179" s="221"/>
      <c r="D179" s="221"/>
      <c r="E179" s="221"/>
      <c r="F179" s="221"/>
      <c r="G179" s="221"/>
      <c r="H179" s="221"/>
      <c r="I179" s="221"/>
      <c r="J179" s="221"/>
      <c r="K179" s="221"/>
      <c r="L179" s="221"/>
      <c r="M179" s="221"/>
      <c r="N179" s="221"/>
      <c r="O179" s="221"/>
      <c r="P179" s="221"/>
      <c r="Q179" s="221"/>
      <c r="R179" s="221"/>
      <c r="S179" s="221"/>
      <c r="T179" s="221"/>
      <c r="U179" s="221"/>
      <c r="V179" s="221"/>
      <c r="W179" s="221"/>
      <c r="X179" s="221"/>
      <c r="Y179" s="221"/>
      <c r="Z179" s="221"/>
    </row>
    <row r="180" spans="1:26" ht="18.75" customHeight="1">
      <c r="A180" s="221"/>
      <c r="B180" s="221"/>
      <c r="C180" s="221"/>
      <c r="D180" s="221"/>
      <c r="E180" s="221"/>
      <c r="F180" s="221"/>
      <c r="G180" s="221"/>
      <c r="H180" s="221"/>
      <c r="I180" s="221"/>
      <c r="J180" s="221"/>
      <c r="K180" s="221"/>
      <c r="L180" s="221"/>
      <c r="M180" s="221"/>
      <c r="N180" s="221"/>
      <c r="O180" s="221"/>
      <c r="P180" s="221"/>
      <c r="Q180" s="221"/>
      <c r="R180" s="221"/>
      <c r="S180" s="221"/>
      <c r="T180" s="221"/>
      <c r="U180" s="221"/>
      <c r="V180" s="221"/>
      <c r="W180" s="221"/>
      <c r="X180" s="221"/>
      <c r="Y180" s="221"/>
      <c r="Z180" s="221"/>
    </row>
    <row r="181" spans="1:26" ht="18.75" customHeight="1">
      <c r="A181" s="221"/>
      <c r="B181" s="221"/>
      <c r="C181" s="221"/>
      <c r="D181" s="221"/>
      <c r="E181" s="221"/>
      <c r="F181" s="221"/>
      <c r="G181" s="221"/>
      <c r="H181" s="221"/>
      <c r="I181" s="221"/>
      <c r="J181" s="221"/>
      <c r="K181" s="221"/>
      <c r="L181" s="221"/>
      <c r="M181" s="221"/>
      <c r="N181" s="221"/>
      <c r="O181" s="221"/>
      <c r="P181" s="221"/>
      <c r="Q181" s="221"/>
      <c r="R181" s="221"/>
      <c r="S181" s="221"/>
      <c r="T181" s="221"/>
      <c r="U181" s="221"/>
      <c r="V181" s="221"/>
      <c r="W181" s="221"/>
      <c r="X181" s="221"/>
      <c r="Y181" s="221"/>
      <c r="Z181" s="221"/>
    </row>
    <row r="182" spans="1:26" ht="18.75" customHeight="1">
      <c r="A182" s="221"/>
      <c r="B182" s="221"/>
      <c r="C182" s="221"/>
      <c r="D182" s="221"/>
      <c r="E182" s="221"/>
      <c r="F182" s="221"/>
      <c r="G182" s="221"/>
      <c r="H182" s="221"/>
      <c r="I182" s="221"/>
      <c r="J182" s="221"/>
      <c r="K182" s="221"/>
      <c r="L182" s="221"/>
      <c r="M182" s="221"/>
      <c r="N182" s="221"/>
      <c r="O182" s="221"/>
      <c r="P182" s="221"/>
      <c r="Q182" s="221"/>
      <c r="R182" s="221"/>
      <c r="S182" s="221"/>
      <c r="T182" s="221"/>
      <c r="U182" s="221"/>
      <c r="V182" s="221"/>
      <c r="W182" s="221"/>
      <c r="X182" s="221"/>
      <c r="Y182" s="221"/>
      <c r="Z182" s="221"/>
    </row>
    <row r="183" spans="1:26" ht="18.75" customHeight="1">
      <c r="A183" s="221"/>
      <c r="B183" s="221"/>
      <c r="C183" s="221"/>
      <c r="D183" s="221"/>
      <c r="E183" s="221"/>
      <c r="F183" s="221"/>
      <c r="G183" s="221"/>
      <c r="H183" s="221"/>
      <c r="I183" s="221"/>
      <c r="J183" s="221"/>
      <c r="K183" s="221"/>
      <c r="L183" s="221"/>
      <c r="M183" s="221"/>
      <c r="N183" s="221"/>
      <c r="O183" s="221"/>
      <c r="P183" s="221"/>
      <c r="Q183" s="221"/>
      <c r="R183" s="221"/>
      <c r="S183" s="221"/>
      <c r="T183" s="221"/>
      <c r="U183" s="221"/>
      <c r="V183" s="221"/>
      <c r="W183" s="221"/>
      <c r="X183" s="221"/>
      <c r="Y183" s="221"/>
      <c r="Z183" s="221"/>
    </row>
    <row r="184" spans="1:26" ht="18.75" customHeight="1">
      <c r="A184" s="221"/>
      <c r="B184" s="221"/>
      <c r="C184" s="221"/>
      <c r="D184" s="221"/>
      <c r="E184" s="221"/>
      <c r="F184" s="221"/>
      <c r="G184" s="221"/>
      <c r="H184" s="221"/>
      <c r="I184" s="221"/>
      <c r="J184" s="221"/>
      <c r="K184" s="221"/>
      <c r="L184" s="221"/>
      <c r="M184" s="221"/>
      <c r="N184" s="221"/>
      <c r="O184" s="221"/>
      <c r="P184" s="221"/>
      <c r="Q184" s="221"/>
      <c r="R184" s="221"/>
      <c r="S184" s="221"/>
      <c r="T184" s="221"/>
      <c r="U184" s="221"/>
      <c r="V184" s="221"/>
      <c r="W184" s="221"/>
      <c r="X184" s="221"/>
      <c r="Y184" s="221"/>
      <c r="Z184" s="221"/>
    </row>
    <row r="185" spans="1:26" ht="18.75" customHeight="1">
      <c r="A185" s="221"/>
      <c r="B185" s="221"/>
      <c r="C185" s="221"/>
      <c r="D185" s="221"/>
      <c r="E185" s="221"/>
      <c r="F185" s="221"/>
      <c r="G185" s="221"/>
      <c r="H185" s="221"/>
      <c r="I185" s="221"/>
      <c r="J185" s="221"/>
      <c r="K185" s="221"/>
      <c r="L185" s="221"/>
      <c r="M185" s="221"/>
      <c r="N185" s="221"/>
      <c r="O185" s="221"/>
      <c r="P185" s="221"/>
      <c r="Q185" s="221"/>
      <c r="R185" s="221"/>
      <c r="S185" s="221"/>
      <c r="T185" s="221"/>
      <c r="U185" s="221"/>
      <c r="V185" s="221"/>
      <c r="W185" s="221"/>
      <c r="X185" s="221"/>
      <c r="Y185" s="221"/>
      <c r="Z185" s="221"/>
    </row>
    <row r="186" spans="1:26" ht="18.75" customHeight="1">
      <c r="A186" s="221"/>
      <c r="B186" s="221"/>
      <c r="C186" s="221"/>
      <c r="D186" s="221"/>
      <c r="E186" s="221"/>
      <c r="F186" s="221"/>
      <c r="G186" s="221"/>
      <c r="H186" s="221"/>
      <c r="I186" s="221"/>
      <c r="J186" s="221"/>
      <c r="K186" s="221"/>
      <c r="L186" s="221"/>
      <c r="M186" s="221"/>
      <c r="N186" s="221"/>
      <c r="O186" s="221"/>
      <c r="P186" s="221"/>
      <c r="Q186" s="221"/>
      <c r="R186" s="221"/>
      <c r="S186" s="221"/>
      <c r="T186" s="221"/>
      <c r="U186" s="221"/>
      <c r="V186" s="221"/>
      <c r="W186" s="221"/>
      <c r="X186" s="221"/>
      <c r="Y186" s="221"/>
      <c r="Z186" s="221"/>
    </row>
    <row r="187" spans="1:26" ht="18.75" customHeight="1">
      <c r="A187" s="221"/>
      <c r="B187" s="221"/>
      <c r="C187" s="221"/>
      <c r="D187" s="221"/>
      <c r="E187" s="221"/>
      <c r="F187" s="221"/>
      <c r="G187" s="221"/>
      <c r="H187" s="221"/>
      <c r="I187" s="221"/>
      <c r="J187" s="221"/>
      <c r="K187" s="221"/>
      <c r="L187" s="221"/>
      <c r="M187" s="221"/>
      <c r="N187" s="221"/>
      <c r="O187" s="221"/>
      <c r="P187" s="221"/>
      <c r="Q187" s="221"/>
      <c r="R187" s="221"/>
      <c r="S187" s="221"/>
      <c r="T187" s="221"/>
      <c r="U187" s="221"/>
      <c r="V187" s="221"/>
      <c r="W187" s="221"/>
      <c r="X187" s="221"/>
      <c r="Y187" s="221"/>
      <c r="Z187" s="221"/>
    </row>
    <row r="188" spans="1:26" ht="18.75" customHeight="1">
      <c r="A188" s="221"/>
      <c r="B188" s="221"/>
      <c r="C188" s="221"/>
      <c r="D188" s="221"/>
      <c r="E188" s="221"/>
      <c r="F188" s="221"/>
      <c r="G188" s="221"/>
      <c r="H188" s="221"/>
      <c r="I188" s="221"/>
      <c r="J188" s="221"/>
      <c r="K188" s="221"/>
      <c r="L188" s="221"/>
      <c r="M188" s="221"/>
      <c r="N188" s="221"/>
      <c r="O188" s="221"/>
      <c r="P188" s="221"/>
      <c r="Q188" s="221"/>
      <c r="R188" s="221"/>
      <c r="S188" s="221"/>
      <c r="T188" s="221"/>
      <c r="U188" s="221"/>
      <c r="V188" s="221"/>
      <c r="W188" s="221"/>
      <c r="X188" s="221"/>
      <c r="Y188" s="221"/>
      <c r="Z188" s="221"/>
    </row>
    <row r="189" spans="1:26" ht="18.75" customHeight="1">
      <c r="A189" s="221"/>
      <c r="B189" s="221"/>
      <c r="C189" s="221"/>
      <c r="D189" s="221"/>
      <c r="E189" s="221"/>
      <c r="F189" s="221"/>
      <c r="G189" s="221"/>
      <c r="H189" s="221"/>
      <c r="I189" s="221"/>
      <c r="J189" s="221"/>
      <c r="K189" s="221"/>
      <c r="L189" s="221"/>
      <c r="M189" s="221"/>
      <c r="N189" s="221"/>
      <c r="O189" s="221"/>
      <c r="P189" s="221"/>
      <c r="Q189" s="221"/>
      <c r="R189" s="221"/>
      <c r="S189" s="221"/>
      <c r="T189" s="221"/>
      <c r="U189" s="221"/>
      <c r="V189" s="221"/>
      <c r="W189" s="221"/>
      <c r="X189" s="221"/>
      <c r="Y189" s="221"/>
      <c r="Z189" s="221"/>
    </row>
    <row r="190" spans="1:26" ht="18.75" customHeight="1">
      <c r="A190" s="221"/>
      <c r="B190" s="221"/>
      <c r="C190" s="221"/>
      <c r="D190" s="221"/>
      <c r="E190" s="221"/>
      <c r="F190" s="221"/>
      <c r="G190" s="221"/>
      <c r="H190" s="221"/>
      <c r="I190" s="221"/>
      <c r="J190" s="221"/>
      <c r="K190" s="221"/>
      <c r="L190" s="221"/>
      <c r="M190" s="221"/>
      <c r="N190" s="221"/>
      <c r="O190" s="221"/>
      <c r="P190" s="221"/>
      <c r="Q190" s="221"/>
      <c r="R190" s="221"/>
      <c r="S190" s="221"/>
      <c r="T190" s="221"/>
      <c r="U190" s="221"/>
      <c r="V190" s="221"/>
      <c r="W190" s="221"/>
      <c r="X190" s="221"/>
      <c r="Y190" s="221"/>
      <c r="Z190" s="221"/>
    </row>
    <row r="191" spans="1:26" ht="18.75" customHeight="1">
      <c r="A191" s="221"/>
      <c r="B191" s="221"/>
      <c r="C191" s="221"/>
      <c r="D191" s="221"/>
      <c r="E191" s="221"/>
      <c r="F191" s="221"/>
      <c r="G191" s="221"/>
      <c r="H191" s="221"/>
      <c r="I191" s="221"/>
      <c r="J191" s="221"/>
      <c r="K191" s="221"/>
      <c r="L191" s="221"/>
      <c r="M191" s="221"/>
      <c r="N191" s="221"/>
      <c r="O191" s="221"/>
      <c r="P191" s="221"/>
      <c r="Q191" s="221"/>
      <c r="R191" s="221"/>
      <c r="S191" s="221"/>
      <c r="T191" s="221"/>
      <c r="U191" s="221"/>
      <c r="V191" s="221"/>
      <c r="W191" s="221"/>
      <c r="X191" s="221"/>
      <c r="Y191" s="221"/>
      <c r="Z191" s="221"/>
    </row>
    <row r="192" spans="1:26" ht="18.75" customHeight="1">
      <c r="A192" s="221"/>
      <c r="B192" s="221"/>
      <c r="C192" s="221"/>
      <c r="D192" s="221"/>
      <c r="E192" s="221"/>
      <c r="F192" s="221"/>
      <c r="G192" s="221"/>
      <c r="H192" s="221"/>
      <c r="I192" s="221"/>
      <c r="J192" s="221"/>
      <c r="K192" s="221"/>
      <c r="L192" s="221"/>
      <c r="M192" s="221"/>
      <c r="N192" s="221"/>
      <c r="O192" s="221"/>
      <c r="P192" s="221"/>
      <c r="Q192" s="221"/>
      <c r="R192" s="221"/>
      <c r="S192" s="221"/>
      <c r="T192" s="221"/>
      <c r="U192" s="221"/>
      <c r="V192" s="221"/>
      <c r="W192" s="221"/>
      <c r="X192" s="221"/>
      <c r="Y192" s="221"/>
      <c r="Z192" s="221"/>
    </row>
    <row r="193" spans="1:26" ht="18.75" customHeight="1">
      <c r="A193" s="221"/>
      <c r="B193" s="221"/>
      <c r="C193" s="221"/>
      <c r="D193" s="221"/>
      <c r="E193" s="221"/>
      <c r="F193" s="221"/>
      <c r="G193" s="221"/>
      <c r="H193" s="221"/>
      <c r="I193" s="221"/>
      <c r="J193" s="221"/>
      <c r="K193" s="221"/>
      <c r="L193" s="221"/>
      <c r="M193" s="221"/>
      <c r="N193" s="221"/>
      <c r="O193" s="221"/>
      <c r="P193" s="221"/>
      <c r="Q193" s="221"/>
      <c r="R193" s="221"/>
      <c r="S193" s="221"/>
      <c r="T193" s="221"/>
      <c r="U193" s="221"/>
      <c r="V193" s="221"/>
      <c r="W193" s="221"/>
      <c r="X193" s="221"/>
      <c r="Y193" s="221"/>
      <c r="Z193" s="221"/>
    </row>
    <row r="194" spans="1:26" ht="18.75" customHeight="1">
      <c r="A194" s="221"/>
      <c r="B194" s="221"/>
      <c r="C194" s="221"/>
      <c r="D194" s="221"/>
      <c r="E194" s="221"/>
      <c r="F194" s="221"/>
      <c r="G194" s="221"/>
      <c r="H194" s="221"/>
      <c r="I194" s="221"/>
      <c r="J194" s="221"/>
      <c r="K194" s="221"/>
      <c r="L194" s="221"/>
      <c r="M194" s="221"/>
      <c r="N194" s="221"/>
      <c r="O194" s="221"/>
      <c r="P194" s="221"/>
      <c r="Q194" s="221"/>
      <c r="R194" s="221"/>
      <c r="S194" s="221"/>
      <c r="T194" s="221"/>
      <c r="U194" s="221"/>
      <c r="V194" s="221"/>
      <c r="W194" s="221"/>
      <c r="X194" s="221"/>
      <c r="Y194" s="221"/>
      <c r="Z194" s="221"/>
    </row>
    <row r="195" spans="1:26" ht="18.75" customHeight="1">
      <c r="A195" s="221"/>
      <c r="B195" s="221"/>
      <c r="C195" s="221"/>
      <c r="D195" s="221"/>
      <c r="E195" s="221"/>
      <c r="F195" s="221"/>
      <c r="G195" s="221"/>
      <c r="H195" s="221"/>
      <c r="I195" s="221"/>
      <c r="J195" s="221"/>
      <c r="K195" s="221"/>
      <c r="L195" s="221"/>
      <c r="M195" s="221"/>
      <c r="N195" s="221"/>
      <c r="O195" s="221"/>
      <c r="P195" s="221"/>
      <c r="Q195" s="221"/>
      <c r="R195" s="221"/>
      <c r="S195" s="221"/>
      <c r="T195" s="221"/>
      <c r="U195" s="221"/>
      <c r="V195" s="221"/>
      <c r="W195" s="221"/>
      <c r="X195" s="221"/>
      <c r="Y195" s="221"/>
      <c r="Z195" s="221"/>
    </row>
    <row r="196" spans="1:26" ht="18.75" customHeight="1">
      <c r="A196" s="221"/>
      <c r="B196" s="221"/>
      <c r="C196" s="221"/>
      <c r="D196" s="221"/>
      <c r="E196" s="221"/>
      <c r="F196" s="221"/>
      <c r="G196" s="221"/>
      <c r="H196" s="221"/>
      <c r="I196" s="221"/>
      <c r="J196" s="221"/>
      <c r="K196" s="221"/>
      <c r="L196" s="221"/>
      <c r="M196" s="221"/>
      <c r="N196" s="221"/>
      <c r="O196" s="221"/>
      <c r="P196" s="221"/>
      <c r="Q196" s="221"/>
      <c r="R196" s="221"/>
      <c r="S196" s="221"/>
      <c r="T196" s="221"/>
      <c r="U196" s="221"/>
      <c r="V196" s="221"/>
      <c r="W196" s="221"/>
      <c r="X196" s="221"/>
      <c r="Y196" s="221"/>
      <c r="Z196" s="221"/>
    </row>
    <row r="197" spans="1:26" ht="18.75" customHeight="1">
      <c r="A197" s="221"/>
      <c r="B197" s="221"/>
      <c r="C197" s="221"/>
      <c r="D197" s="221"/>
      <c r="E197" s="221"/>
      <c r="F197" s="221"/>
      <c r="G197" s="221"/>
      <c r="H197" s="221"/>
      <c r="I197" s="221"/>
      <c r="J197" s="221"/>
      <c r="K197" s="221"/>
      <c r="L197" s="221"/>
      <c r="M197" s="221"/>
      <c r="N197" s="221"/>
      <c r="O197" s="221"/>
      <c r="P197" s="221"/>
      <c r="Q197" s="221"/>
      <c r="R197" s="221"/>
      <c r="S197" s="221"/>
      <c r="T197" s="221"/>
      <c r="U197" s="221"/>
      <c r="V197" s="221"/>
      <c r="W197" s="221"/>
      <c r="X197" s="221"/>
      <c r="Y197" s="221"/>
      <c r="Z197" s="221"/>
    </row>
    <row r="198" spans="1:26" ht="18.75" customHeight="1">
      <c r="A198" s="221"/>
      <c r="B198" s="221"/>
      <c r="C198" s="221"/>
      <c r="D198" s="221"/>
      <c r="E198" s="221"/>
      <c r="F198" s="221"/>
      <c r="G198" s="221"/>
      <c r="H198" s="221"/>
      <c r="I198" s="221"/>
      <c r="J198" s="221"/>
      <c r="K198" s="221"/>
      <c r="L198" s="221"/>
      <c r="M198" s="221"/>
      <c r="N198" s="221"/>
      <c r="O198" s="221"/>
      <c r="P198" s="221"/>
      <c r="Q198" s="221"/>
      <c r="R198" s="221"/>
      <c r="S198" s="221"/>
      <c r="T198" s="221"/>
      <c r="U198" s="221"/>
      <c r="V198" s="221"/>
      <c r="W198" s="221"/>
      <c r="X198" s="221"/>
      <c r="Y198" s="221"/>
      <c r="Z198" s="221"/>
    </row>
    <row r="199" spans="1:26" ht="18.75" customHeight="1">
      <c r="A199" s="221"/>
      <c r="B199" s="221"/>
      <c r="C199" s="221"/>
      <c r="D199" s="221"/>
      <c r="E199" s="221"/>
      <c r="F199" s="221"/>
      <c r="G199" s="221"/>
      <c r="H199" s="221"/>
      <c r="I199" s="221"/>
      <c r="J199" s="221"/>
      <c r="K199" s="221"/>
      <c r="L199" s="221"/>
      <c r="M199" s="221"/>
      <c r="N199" s="221"/>
      <c r="O199" s="221"/>
      <c r="P199" s="221"/>
      <c r="Q199" s="221"/>
      <c r="R199" s="221"/>
      <c r="S199" s="221"/>
      <c r="T199" s="221"/>
      <c r="U199" s="221"/>
      <c r="V199" s="221"/>
      <c r="W199" s="221"/>
      <c r="X199" s="221"/>
      <c r="Y199" s="221"/>
      <c r="Z199" s="221"/>
    </row>
    <row r="200" spans="1:26" ht="18.75" customHeight="1">
      <c r="A200" s="221"/>
      <c r="B200" s="221"/>
      <c r="C200" s="221"/>
      <c r="D200" s="221"/>
      <c r="E200" s="221"/>
      <c r="F200" s="221"/>
      <c r="G200" s="221"/>
      <c r="H200" s="221"/>
      <c r="I200" s="221"/>
      <c r="J200" s="221"/>
      <c r="K200" s="221"/>
      <c r="L200" s="221"/>
      <c r="M200" s="221"/>
      <c r="N200" s="221"/>
      <c r="O200" s="221"/>
      <c r="P200" s="221"/>
      <c r="Q200" s="221"/>
      <c r="R200" s="221"/>
      <c r="S200" s="221"/>
      <c r="T200" s="221"/>
      <c r="U200" s="221"/>
      <c r="V200" s="221"/>
      <c r="W200" s="221"/>
      <c r="X200" s="221"/>
      <c r="Y200" s="221"/>
      <c r="Z200" s="221"/>
    </row>
    <row r="201" spans="1:26" ht="18.75" customHeight="1">
      <c r="A201" s="221"/>
      <c r="B201" s="221"/>
      <c r="C201" s="221"/>
      <c r="D201" s="221"/>
      <c r="E201" s="221"/>
      <c r="F201" s="221"/>
      <c r="G201" s="221"/>
      <c r="H201" s="221"/>
      <c r="I201" s="221"/>
      <c r="J201" s="221"/>
      <c r="K201" s="221"/>
      <c r="L201" s="221"/>
      <c r="M201" s="221"/>
      <c r="N201" s="221"/>
      <c r="O201" s="221"/>
      <c r="P201" s="221"/>
      <c r="Q201" s="221"/>
      <c r="R201" s="221"/>
      <c r="S201" s="221"/>
      <c r="T201" s="221"/>
      <c r="U201" s="221"/>
      <c r="V201" s="221"/>
      <c r="W201" s="221"/>
      <c r="X201" s="221"/>
      <c r="Y201" s="221"/>
      <c r="Z201" s="221"/>
    </row>
    <row r="202" spans="1:26" ht="18.75" customHeight="1">
      <c r="A202" s="221"/>
      <c r="B202" s="221"/>
      <c r="C202" s="221"/>
      <c r="D202" s="221"/>
      <c r="E202" s="221"/>
      <c r="F202" s="221"/>
      <c r="G202" s="221"/>
      <c r="H202" s="221"/>
      <c r="I202" s="221"/>
      <c r="J202" s="221"/>
      <c r="K202" s="221"/>
      <c r="L202" s="221"/>
      <c r="M202" s="221"/>
      <c r="N202" s="221"/>
      <c r="O202" s="221"/>
      <c r="P202" s="221"/>
      <c r="Q202" s="221"/>
      <c r="R202" s="221"/>
      <c r="S202" s="221"/>
      <c r="T202" s="221"/>
      <c r="U202" s="221"/>
      <c r="V202" s="221"/>
      <c r="W202" s="221"/>
      <c r="X202" s="221"/>
      <c r="Y202" s="221"/>
      <c r="Z202" s="221"/>
    </row>
    <row r="203" spans="1:26" ht="18.75" customHeight="1">
      <c r="A203" s="221"/>
      <c r="B203" s="221"/>
      <c r="C203" s="221"/>
      <c r="D203" s="221"/>
      <c r="E203" s="221"/>
      <c r="F203" s="221"/>
      <c r="G203" s="221"/>
      <c r="H203" s="221"/>
      <c r="I203" s="221"/>
      <c r="J203" s="221"/>
      <c r="K203" s="221"/>
      <c r="L203" s="221"/>
      <c r="M203" s="221"/>
      <c r="N203" s="221"/>
      <c r="O203" s="221"/>
      <c r="P203" s="221"/>
      <c r="Q203" s="221"/>
      <c r="R203" s="221"/>
      <c r="S203" s="221"/>
      <c r="T203" s="221"/>
      <c r="U203" s="221"/>
      <c r="V203" s="221"/>
      <c r="W203" s="221"/>
      <c r="X203" s="221"/>
      <c r="Y203" s="221"/>
      <c r="Z203" s="221"/>
    </row>
    <row r="204" spans="1:26" ht="18.75" customHeight="1">
      <c r="A204" s="221"/>
      <c r="B204" s="221"/>
      <c r="C204" s="221"/>
      <c r="D204" s="221"/>
      <c r="E204" s="221"/>
      <c r="F204" s="221"/>
      <c r="G204" s="221"/>
      <c r="H204" s="221"/>
      <c r="I204" s="221"/>
      <c r="J204" s="221"/>
      <c r="K204" s="221"/>
      <c r="L204" s="221"/>
      <c r="M204" s="221"/>
      <c r="N204" s="221"/>
      <c r="O204" s="221"/>
      <c r="P204" s="221"/>
      <c r="Q204" s="221"/>
      <c r="R204" s="221"/>
      <c r="S204" s="221"/>
      <c r="T204" s="221"/>
      <c r="U204" s="221"/>
      <c r="V204" s="221"/>
      <c r="W204" s="221"/>
      <c r="X204" s="221"/>
      <c r="Y204" s="221"/>
      <c r="Z204" s="221"/>
    </row>
    <row r="205" spans="1:26" ht="18.75" customHeight="1">
      <c r="A205" s="221"/>
      <c r="B205" s="221"/>
      <c r="C205" s="221"/>
      <c r="D205" s="221"/>
      <c r="E205" s="221"/>
      <c r="F205" s="221"/>
      <c r="G205" s="221"/>
      <c r="H205" s="221"/>
      <c r="I205" s="221"/>
      <c r="J205" s="221"/>
      <c r="K205" s="221"/>
      <c r="L205" s="221"/>
      <c r="M205" s="221"/>
      <c r="N205" s="221"/>
      <c r="O205" s="221"/>
      <c r="P205" s="221"/>
      <c r="Q205" s="221"/>
      <c r="R205" s="221"/>
      <c r="S205" s="221"/>
      <c r="T205" s="221"/>
      <c r="U205" s="221"/>
      <c r="V205" s="221"/>
      <c r="W205" s="221"/>
      <c r="X205" s="221"/>
      <c r="Y205" s="221"/>
      <c r="Z205" s="221"/>
    </row>
    <row r="206" spans="1:26" ht="18.75" customHeight="1">
      <c r="A206" s="221"/>
      <c r="B206" s="221"/>
      <c r="C206" s="221"/>
      <c r="D206" s="221"/>
      <c r="E206" s="221"/>
      <c r="F206" s="221"/>
      <c r="G206" s="221"/>
      <c r="H206" s="221"/>
      <c r="I206" s="221"/>
      <c r="J206" s="221"/>
      <c r="K206" s="221"/>
      <c r="L206" s="221"/>
      <c r="M206" s="221"/>
      <c r="N206" s="221"/>
      <c r="O206" s="221"/>
      <c r="P206" s="221"/>
      <c r="Q206" s="221"/>
      <c r="R206" s="221"/>
      <c r="S206" s="221"/>
      <c r="T206" s="221"/>
      <c r="U206" s="221"/>
      <c r="V206" s="221"/>
      <c r="W206" s="221"/>
      <c r="X206" s="221"/>
      <c r="Y206" s="221"/>
      <c r="Z206" s="221"/>
    </row>
    <row r="207" spans="1:26" ht="18.75" customHeight="1">
      <c r="A207" s="221"/>
      <c r="B207" s="221"/>
      <c r="C207" s="221"/>
      <c r="D207" s="221"/>
      <c r="E207" s="221"/>
      <c r="F207" s="221"/>
      <c r="G207" s="221"/>
      <c r="H207" s="221"/>
      <c r="I207" s="221"/>
      <c r="J207" s="221"/>
      <c r="K207" s="221"/>
      <c r="L207" s="221"/>
      <c r="M207" s="221"/>
      <c r="N207" s="221"/>
      <c r="O207" s="221"/>
      <c r="P207" s="221"/>
      <c r="Q207" s="221"/>
      <c r="R207" s="221"/>
      <c r="S207" s="221"/>
      <c r="T207" s="221"/>
      <c r="U207" s="221"/>
      <c r="V207" s="221"/>
      <c r="W207" s="221"/>
      <c r="X207" s="221"/>
      <c r="Y207" s="221"/>
      <c r="Z207" s="221"/>
    </row>
    <row r="208" spans="1:26" ht="18.75" customHeight="1">
      <c r="A208" s="221"/>
      <c r="B208" s="221"/>
      <c r="C208" s="221"/>
      <c r="D208" s="221"/>
      <c r="E208" s="221"/>
      <c r="F208" s="221"/>
      <c r="G208" s="221"/>
      <c r="H208" s="221"/>
      <c r="I208" s="221"/>
      <c r="J208" s="221"/>
      <c r="K208" s="221"/>
      <c r="L208" s="221"/>
      <c r="M208" s="221"/>
      <c r="N208" s="221"/>
      <c r="O208" s="221"/>
      <c r="P208" s="221"/>
      <c r="Q208" s="221"/>
      <c r="R208" s="221"/>
      <c r="S208" s="221"/>
      <c r="T208" s="221"/>
      <c r="U208" s="221"/>
      <c r="V208" s="221"/>
      <c r="W208" s="221"/>
      <c r="X208" s="221"/>
      <c r="Y208" s="221"/>
      <c r="Z208" s="221"/>
    </row>
    <row r="209" spans="1:26" ht="18.75" customHeight="1">
      <c r="A209" s="221"/>
      <c r="B209" s="221"/>
      <c r="C209" s="221"/>
      <c r="D209" s="221"/>
      <c r="E209" s="221"/>
      <c r="F209" s="221"/>
      <c r="G209" s="221"/>
      <c r="H209" s="221"/>
      <c r="I209" s="221"/>
      <c r="J209" s="221"/>
      <c r="K209" s="221"/>
      <c r="L209" s="221"/>
      <c r="M209" s="221"/>
      <c r="N209" s="221"/>
      <c r="O209" s="221"/>
      <c r="P209" s="221"/>
      <c r="Q209" s="221"/>
      <c r="R209" s="221"/>
      <c r="S209" s="221"/>
      <c r="T209" s="221"/>
      <c r="U209" s="221"/>
      <c r="V209" s="221"/>
      <c r="W209" s="221"/>
      <c r="X209" s="221"/>
      <c r="Y209" s="221"/>
      <c r="Z209" s="221"/>
    </row>
    <row r="210" spans="1:26" ht="18.75" customHeight="1">
      <c r="A210" s="221"/>
      <c r="B210" s="221"/>
      <c r="C210" s="221"/>
      <c r="D210" s="221"/>
      <c r="E210" s="221"/>
      <c r="F210" s="221"/>
      <c r="G210" s="221"/>
      <c r="H210" s="221"/>
      <c r="I210" s="221"/>
      <c r="J210" s="221"/>
      <c r="K210" s="221"/>
      <c r="L210" s="221"/>
      <c r="M210" s="221"/>
      <c r="N210" s="221"/>
      <c r="O210" s="221"/>
      <c r="P210" s="221"/>
      <c r="Q210" s="221"/>
      <c r="R210" s="221"/>
      <c r="S210" s="221"/>
      <c r="T210" s="221"/>
      <c r="U210" s="221"/>
      <c r="V210" s="221"/>
      <c r="W210" s="221"/>
      <c r="X210" s="221"/>
      <c r="Y210" s="221"/>
      <c r="Z210" s="221"/>
    </row>
    <row r="211" spans="1:26" ht="18.75" customHeight="1">
      <c r="A211" s="221"/>
      <c r="B211" s="221"/>
      <c r="C211" s="221"/>
      <c r="D211" s="221"/>
      <c r="E211" s="221"/>
      <c r="F211" s="221"/>
      <c r="G211" s="221"/>
      <c r="H211" s="221"/>
      <c r="I211" s="221"/>
      <c r="J211" s="221"/>
      <c r="K211" s="221"/>
      <c r="L211" s="221"/>
      <c r="M211" s="221"/>
      <c r="N211" s="221"/>
      <c r="O211" s="221"/>
      <c r="P211" s="221"/>
      <c r="Q211" s="221"/>
      <c r="R211" s="221"/>
      <c r="S211" s="221"/>
      <c r="T211" s="221"/>
      <c r="U211" s="221"/>
      <c r="V211" s="221"/>
      <c r="W211" s="221"/>
      <c r="X211" s="221"/>
      <c r="Y211" s="221"/>
      <c r="Z211" s="221"/>
    </row>
    <row r="212" spans="1:26" ht="18.75" customHeight="1">
      <c r="A212" s="221"/>
      <c r="B212" s="221"/>
      <c r="C212" s="221"/>
      <c r="D212" s="221"/>
      <c r="E212" s="221"/>
      <c r="F212" s="221"/>
      <c r="G212" s="221"/>
      <c r="H212" s="221"/>
      <c r="I212" s="221"/>
      <c r="J212" s="221"/>
      <c r="K212" s="221"/>
      <c r="L212" s="221"/>
      <c r="M212" s="221"/>
      <c r="N212" s="221"/>
      <c r="O212" s="221"/>
      <c r="P212" s="221"/>
      <c r="Q212" s="221"/>
      <c r="R212" s="221"/>
      <c r="S212" s="221"/>
      <c r="T212" s="221"/>
      <c r="U212" s="221"/>
      <c r="V212" s="221"/>
      <c r="W212" s="221"/>
      <c r="X212" s="221"/>
      <c r="Y212" s="221"/>
      <c r="Z212" s="221"/>
    </row>
    <row r="213" spans="1:26" ht="18.75" customHeight="1">
      <c r="A213" s="221"/>
      <c r="B213" s="221"/>
      <c r="C213" s="221"/>
      <c r="D213" s="221"/>
      <c r="E213" s="221"/>
      <c r="F213" s="221"/>
      <c r="G213" s="221"/>
      <c r="H213" s="221"/>
      <c r="I213" s="221"/>
      <c r="J213" s="221"/>
      <c r="K213" s="221"/>
      <c r="L213" s="221"/>
      <c r="M213" s="221"/>
      <c r="N213" s="221"/>
      <c r="O213" s="221"/>
      <c r="P213" s="221"/>
      <c r="Q213" s="221"/>
      <c r="R213" s="221"/>
      <c r="S213" s="221"/>
      <c r="T213" s="221"/>
      <c r="U213" s="221"/>
      <c r="V213" s="221"/>
      <c r="W213" s="221"/>
      <c r="X213" s="221"/>
      <c r="Y213" s="221"/>
      <c r="Z213" s="221"/>
    </row>
    <row r="214" spans="1:26" ht="18.75" customHeight="1">
      <c r="A214" s="221"/>
      <c r="B214" s="221"/>
      <c r="C214" s="221"/>
      <c r="D214" s="221"/>
      <c r="E214" s="221"/>
      <c r="F214" s="221"/>
      <c r="G214" s="221"/>
      <c r="H214" s="221"/>
      <c r="I214" s="221"/>
      <c r="J214" s="221"/>
      <c r="K214" s="221"/>
      <c r="L214" s="221"/>
      <c r="M214" s="221"/>
      <c r="N214" s="221"/>
      <c r="O214" s="221"/>
      <c r="P214" s="221"/>
      <c r="Q214" s="221"/>
      <c r="R214" s="221"/>
      <c r="S214" s="221"/>
      <c r="T214" s="221"/>
      <c r="U214" s="221"/>
      <c r="V214" s="221"/>
      <c r="W214" s="221"/>
      <c r="X214" s="221"/>
      <c r="Y214" s="221"/>
      <c r="Z214" s="221"/>
    </row>
    <row r="215" spans="1:26" ht="18.75" customHeight="1">
      <c r="A215" s="221"/>
      <c r="B215" s="221"/>
      <c r="C215" s="221"/>
      <c r="D215" s="221"/>
      <c r="E215" s="221"/>
      <c r="F215" s="221"/>
      <c r="G215" s="221"/>
      <c r="H215" s="221"/>
      <c r="I215" s="221"/>
      <c r="J215" s="221"/>
      <c r="K215" s="221"/>
      <c r="L215" s="221"/>
      <c r="M215" s="221"/>
      <c r="N215" s="221"/>
      <c r="O215" s="221"/>
      <c r="P215" s="221"/>
      <c r="Q215" s="221"/>
      <c r="R215" s="221"/>
      <c r="S215" s="221"/>
      <c r="T215" s="221"/>
      <c r="U215" s="221"/>
      <c r="V215" s="221"/>
      <c r="W215" s="221"/>
      <c r="X215" s="221"/>
      <c r="Y215" s="221"/>
      <c r="Z215" s="221"/>
    </row>
    <row r="216" spans="1:26" ht="18.75" customHeight="1">
      <c r="A216" s="221"/>
      <c r="B216" s="221"/>
      <c r="C216" s="221"/>
      <c r="D216" s="221"/>
      <c r="E216" s="221"/>
      <c r="F216" s="221"/>
      <c r="G216" s="221"/>
      <c r="H216" s="221"/>
      <c r="I216" s="221"/>
      <c r="J216" s="221"/>
      <c r="K216" s="221"/>
      <c r="L216" s="221"/>
      <c r="M216" s="221"/>
      <c r="N216" s="221"/>
      <c r="O216" s="221"/>
      <c r="P216" s="221"/>
      <c r="Q216" s="221"/>
      <c r="R216" s="221"/>
      <c r="S216" s="221"/>
      <c r="T216" s="221"/>
      <c r="U216" s="221"/>
      <c r="V216" s="221"/>
      <c r="W216" s="221"/>
      <c r="X216" s="221"/>
      <c r="Y216" s="221"/>
      <c r="Z216" s="221"/>
    </row>
    <row r="217" spans="1:26" ht="18.75" customHeight="1">
      <c r="A217" s="221"/>
      <c r="B217" s="221"/>
      <c r="C217" s="221"/>
      <c r="D217" s="221"/>
      <c r="E217" s="221"/>
      <c r="F217" s="221"/>
      <c r="G217" s="221"/>
      <c r="H217" s="221"/>
      <c r="I217" s="221"/>
      <c r="J217" s="221"/>
      <c r="K217" s="221"/>
      <c r="L217" s="221"/>
      <c r="M217" s="221"/>
      <c r="N217" s="221"/>
      <c r="O217" s="221"/>
      <c r="P217" s="221"/>
      <c r="Q217" s="221"/>
      <c r="R217" s="221"/>
      <c r="S217" s="221"/>
      <c r="T217" s="221"/>
      <c r="U217" s="221"/>
      <c r="V217" s="221"/>
      <c r="W217" s="221"/>
      <c r="X217" s="221"/>
      <c r="Y217" s="221"/>
      <c r="Z217" s="221"/>
    </row>
    <row r="218" spans="1:26" ht="18.75" customHeight="1">
      <c r="A218" s="221"/>
      <c r="B218" s="221"/>
      <c r="C218" s="221"/>
      <c r="D218" s="221"/>
      <c r="E218" s="221"/>
      <c r="F218" s="221"/>
      <c r="G218" s="221"/>
      <c r="H218" s="221"/>
      <c r="I218" s="221"/>
      <c r="J218" s="221"/>
      <c r="K218" s="221"/>
      <c r="L218" s="221"/>
      <c r="M218" s="221"/>
      <c r="N218" s="221"/>
      <c r="O218" s="221"/>
      <c r="P218" s="221"/>
      <c r="Q218" s="221"/>
      <c r="R218" s="221"/>
      <c r="S218" s="221"/>
      <c r="T218" s="221"/>
      <c r="U218" s="221"/>
      <c r="V218" s="221"/>
      <c r="W218" s="221"/>
      <c r="X218" s="221"/>
      <c r="Y218" s="221"/>
      <c r="Z218" s="221"/>
    </row>
    <row r="219" spans="1:26" ht="18.75" customHeight="1">
      <c r="A219" s="221"/>
      <c r="B219" s="221"/>
      <c r="C219" s="221"/>
      <c r="D219" s="221"/>
      <c r="E219" s="221"/>
      <c r="F219" s="221"/>
      <c r="G219" s="221"/>
      <c r="H219" s="221"/>
      <c r="I219" s="221"/>
      <c r="J219" s="221"/>
      <c r="K219" s="221"/>
      <c r="L219" s="221"/>
      <c r="M219" s="221"/>
      <c r="N219" s="221"/>
      <c r="O219" s="221"/>
      <c r="P219" s="221"/>
      <c r="Q219" s="221"/>
      <c r="R219" s="221"/>
      <c r="S219" s="221"/>
      <c r="T219" s="221"/>
      <c r="U219" s="221"/>
      <c r="V219" s="221"/>
      <c r="W219" s="221"/>
      <c r="X219" s="221"/>
      <c r="Y219" s="221"/>
      <c r="Z219" s="221"/>
    </row>
    <row r="220" spans="1:26" ht="18.75" customHeight="1">
      <c r="A220" s="221"/>
      <c r="B220" s="221"/>
      <c r="C220" s="221"/>
      <c r="D220" s="221"/>
      <c r="E220" s="221"/>
      <c r="F220" s="221"/>
      <c r="G220" s="221"/>
      <c r="H220" s="221"/>
      <c r="I220" s="221"/>
      <c r="J220" s="221"/>
      <c r="K220" s="221"/>
      <c r="L220" s="221"/>
      <c r="M220" s="221"/>
      <c r="N220" s="221"/>
      <c r="O220" s="221"/>
      <c r="P220" s="221"/>
      <c r="Q220" s="221"/>
      <c r="R220" s="221"/>
      <c r="S220" s="221"/>
      <c r="T220" s="221"/>
      <c r="U220" s="221"/>
      <c r="V220" s="221"/>
      <c r="W220" s="221"/>
      <c r="X220" s="221"/>
      <c r="Y220" s="221"/>
      <c r="Z220" s="221"/>
    </row>
    <row r="221" spans="1:26" ht="18.75" customHeight="1">
      <c r="A221" s="221"/>
      <c r="B221" s="221"/>
      <c r="C221" s="221"/>
      <c r="D221" s="221"/>
      <c r="E221" s="221"/>
      <c r="F221" s="221"/>
      <c r="G221" s="221"/>
      <c r="H221" s="221"/>
      <c r="I221" s="221"/>
      <c r="J221" s="221"/>
      <c r="K221" s="221"/>
      <c r="L221" s="221"/>
      <c r="M221" s="221"/>
      <c r="N221" s="221"/>
      <c r="O221" s="221"/>
      <c r="P221" s="221"/>
      <c r="Q221" s="221"/>
      <c r="R221" s="221"/>
      <c r="S221" s="221"/>
      <c r="T221" s="221"/>
      <c r="U221" s="221"/>
      <c r="V221" s="221"/>
      <c r="W221" s="221"/>
      <c r="X221" s="221"/>
      <c r="Y221" s="221"/>
      <c r="Z221" s="221"/>
    </row>
    <row r="222" spans="1:26" ht="18.75" customHeight="1">
      <c r="A222" s="221"/>
      <c r="B222" s="221"/>
      <c r="C222" s="221"/>
      <c r="D222" s="221"/>
      <c r="E222" s="221"/>
      <c r="F222" s="221"/>
      <c r="G222" s="221"/>
      <c r="H222" s="221"/>
      <c r="I222" s="221"/>
      <c r="J222" s="221"/>
      <c r="K222" s="221"/>
      <c r="L222" s="221"/>
      <c r="M222" s="221"/>
      <c r="N222" s="221"/>
      <c r="O222" s="221"/>
      <c r="P222" s="221"/>
      <c r="Q222" s="221"/>
      <c r="R222" s="221"/>
      <c r="S222" s="221"/>
      <c r="T222" s="221"/>
      <c r="U222" s="221"/>
      <c r="V222" s="221"/>
      <c r="W222" s="221"/>
      <c r="X222" s="221"/>
      <c r="Y222" s="221"/>
      <c r="Z222" s="221"/>
    </row>
    <row r="223" spans="1:26" ht="18.75" customHeight="1">
      <c r="A223" s="221"/>
      <c r="B223" s="221"/>
      <c r="C223" s="221"/>
      <c r="D223" s="221"/>
      <c r="E223" s="221"/>
      <c r="F223" s="221"/>
      <c r="G223" s="221"/>
      <c r="H223" s="221"/>
      <c r="I223" s="221"/>
      <c r="J223" s="221"/>
      <c r="K223" s="221"/>
      <c r="L223" s="221"/>
      <c r="M223" s="221"/>
      <c r="N223" s="221"/>
      <c r="O223" s="221"/>
      <c r="P223" s="221"/>
      <c r="Q223" s="221"/>
      <c r="R223" s="221"/>
      <c r="S223" s="221"/>
      <c r="T223" s="221"/>
      <c r="U223" s="221"/>
      <c r="V223" s="221"/>
      <c r="W223" s="221"/>
      <c r="X223" s="221"/>
      <c r="Y223" s="221"/>
      <c r="Z223" s="221"/>
    </row>
    <row r="224" spans="1:26" ht="18.75" customHeight="1">
      <c r="A224" s="221"/>
      <c r="B224" s="221"/>
      <c r="C224" s="221"/>
      <c r="D224" s="221"/>
      <c r="E224" s="221"/>
      <c r="F224" s="221"/>
      <c r="G224" s="221"/>
      <c r="H224" s="221"/>
      <c r="I224" s="221"/>
      <c r="J224" s="221"/>
      <c r="K224" s="221"/>
      <c r="L224" s="221"/>
      <c r="M224" s="221"/>
      <c r="N224" s="221"/>
      <c r="O224" s="221"/>
      <c r="P224" s="221"/>
      <c r="Q224" s="221"/>
      <c r="R224" s="221"/>
      <c r="S224" s="221"/>
      <c r="T224" s="221"/>
      <c r="U224" s="221"/>
      <c r="V224" s="221"/>
      <c r="W224" s="221"/>
      <c r="X224" s="221"/>
      <c r="Y224" s="221"/>
      <c r="Z224" s="221"/>
    </row>
    <row r="225" spans="1:26" ht="18.75" customHeight="1">
      <c r="A225" s="221"/>
      <c r="B225" s="221"/>
      <c r="C225" s="221"/>
      <c r="D225" s="221"/>
      <c r="E225" s="221"/>
      <c r="F225" s="221"/>
      <c r="G225" s="221"/>
      <c r="H225" s="221"/>
      <c r="I225" s="221"/>
      <c r="J225" s="221"/>
      <c r="K225" s="221"/>
      <c r="L225" s="221"/>
      <c r="M225" s="221"/>
      <c r="N225" s="221"/>
      <c r="O225" s="221"/>
      <c r="P225" s="221"/>
      <c r="Q225" s="221"/>
      <c r="R225" s="221"/>
      <c r="S225" s="221"/>
      <c r="T225" s="221"/>
      <c r="U225" s="221"/>
      <c r="V225" s="221"/>
      <c r="W225" s="221"/>
      <c r="X225" s="221"/>
      <c r="Y225" s="221"/>
      <c r="Z225" s="221"/>
    </row>
    <row r="226" spans="1:26" ht="18.75" customHeight="1">
      <c r="A226" s="221"/>
      <c r="B226" s="221"/>
      <c r="C226" s="221"/>
      <c r="D226" s="221"/>
      <c r="E226" s="221"/>
      <c r="F226" s="221"/>
      <c r="G226" s="221"/>
      <c r="H226" s="221"/>
      <c r="I226" s="221"/>
      <c r="J226" s="221"/>
      <c r="K226" s="221"/>
      <c r="L226" s="221"/>
      <c r="M226" s="221"/>
      <c r="N226" s="221"/>
      <c r="O226" s="221"/>
      <c r="P226" s="221"/>
      <c r="Q226" s="221"/>
      <c r="R226" s="221"/>
      <c r="S226" s="221"/>
      <c r="T226" s="221"/>
      <c r="U226" s="221"/>
      <c r="V226" s="221"/>
      <c r="W226" s="221"/>
      <c r="X226" s="221"/>
      <c r="Y226" s="221"/>
      <c r="Z226" s="221"/>
    </row>
    <row r="227" spans="1:26" ht="18.75" customHeight="1">
      <c r="A227" s="221"/>
      <c r="B227" s="221"/>
      <c r="C227" s="221"/>
      <c r="D227" s="221"/>
      <c r="E227" s="221"/>
      <c r="F227" s="221"/>
      <c r="G227" s="221"/>
      <c r="H227" s="221"/>
      <c r="I227" s="221"/>
      <c r="J227" s="221"/>
      <c r="K227" s="221"/>
      <c r="L227" s="221"/>
      <c r="M227" s="221"/>
      <c r="N227" s="221"/>
      <c r="O227" s="221"/>
      <c r="P227" s="221"/>
      <c r="Q227" s="221"/>
      <c r="R227" s="221"/>
      <c r="S227" s="221"/>
      <c r="T227" s="221"/>
      <c r="U227" s="221"/>
      <c r="V227" s="221"/>
      <c r="W227" s="221"/>
      <c r="X227" s="221"/>
      <c r="Y227" s="221"/>
      <c r="Z227" s="221"/>
    </row>
    <row r="228" spans="1:26" ht="18.75" customHeight="1">
      <c r="A228" s="221"/>
      <c r="B228" s="221"/>
      <c r="C228" s="221"/>
      <c r="D228" s="221"/>
      <c r="E228" s="221"/>
      <c r="F228" s="221"/>
      <c r="G228" s="221"/>
      <c r="H228" s="221"/>
      <c r="I228" s="221"/>
      <c r="J228" s="221"/>
      <c r="K228" s="221"/>
      <c r="L228" s="221"/>
      <c r="M228" s="221"/>
      <c r="N228" s="221"/>
      <c r="O228" s="221"/>
      <c r="P228" s="221"/>
      <c r="Q228" s="221"/>
      <c r="R228" s="221"/>
      <c r="S228" s="221"/>
      <c r="T228" s="221"/>
      <c r="U228" s="221"/>
      <c r="V228" s="221"/>
      <c r="W228" s="221"/>
      <c r="X228" s="221"/>
      <c r="Y228" s="221"/>
      <c r="Z228" s="221"/>
    </row>
    <row r="229" spans="1:26" ht="18.75" customHeight="1">
      <c r="A229" s="221"/>
      <c r="B229" s="221"/>
      <c r="C229" s="221"/>
      <c r="D229" s="221"/>
      <c r="E229" s="221"/>
      <c r="F229" s="221"/>
      <c r="G229" s="221"/>
      <c r="H229" s="221"/>
      <c r="I229" s="221"/>
      <c r="J229" s="221"/>
      <c r="K229" s="221"/>
      <c r="L229" s="221"/>
      <c r="M229" s="221"/>
      <c r="N229" s="221"/>
      <c r="O229" s="221"/>
      <c r="P229" s="221"/>
      <c r="Q229" s="221"/>
      <c r="R229" s="221"/>
      <c r="S229" s="221"/>
      <c r="T229" s="221"/>
      <c r="U229" s="221"/>
      <c r="V229" s="221"/>
      <c r="W229" s="221"/>
      <c r="X229" s="221"/>
      <c r="Y229" s="221"/>
      <c r="Z229" s="221"/>
    </row>
    <row r="230" spans="1:26" ht="18.75" customHeight="1">
      <c r="A230" s="221"/>
      <c r="B230" s="221"/>
      <c r="C230" s="221"/>
      <c r="D230" s="221"/>
      <c r="E230" s="221"/>
      <c r="F230" s="221"/>
      <c r="G230" s="221"/>
      <c r="H230" s="221"/>
      <c r="I230" s="221"/>
      <c r="J230" s="221"/>
      <c r="K230" s="221"/>
      <c r="L230" s="221"/>
      <c r="M230" s="221"/>
      <c r="N230" s="221"/>
      <c r="O230" s="221"/>
      <c r="P230" s="221"/>
      <c r="Q230" s="221"/>
      <c r="R230" s="221"/>
      <c r="S230" s="221"/>
      <c r="T230" s="221"/>
      <c r="U230" s="221"/>
      <c r="V230" s="221"/>
      <c r="W230" s="221"/>
      <c r="X230" s="221"/>
      <c r="Y230" s="221"/>
      <c r="Z230" s="221"/>
    </row>
    <row r="231" spans="1:26" ht="18.75" customHeight="1">
      <c r="A231" s="221"/>
      <c r="B231" s="221"/>
      <c r="C231" s="221"/>
      <c r="D231" s="221"/>
      <c r="E231" s="221"/>
      <c r="F231" s="221"/>
      <c r="G231" s="221"/>
      <c r="H231" s="221"/>
      <c r="I231" s="221"/>
      <c r="J231" s="221"/>
      <c r="K231" s="221"/>
      <c r="L231" s="221"/>
      <c r="M231" s="221"/>
      <c r="N231" s="221"/>
      <c r="O231" s="221"/>
      <c r="P231" s="221"/>
      <c r="Q231" s="221"/>
      <c r="R231" s="221"/>
      <c r="S231" s="221"/>
      <c r="T231" s="221"/>
      <c r="U231" s="221"/>
      <c r="V231" s="221"/>
      <c r="W231" s="221"/>
      <c r="X231" s="221"/>
      <c r="Y231" s="221"/>
      <c r="Z231" s="221"/>
    </row>
    <row r="232" spans="1:26" ht="18.75" customHeight="1">
      <c r="A232" s="221"/>
      <c r="B232" s="221"/>
      <c r="C232" s="221"/>
      <c r="D232" s="221"/>
      <c r="E232" s="221"/>
      <c r="F232" s="221"/>
      <c r="G232" s="221"/>
      <c r="H232" s="221"/>
      <c r="I232" s="221"/>
      <c r="J232" s="221"/>
      <c r="K232" s="221"/>
      <c r="L232" s="221"/>
      <c r="M232" s="221"/>
      <c r="N232" s="221"/>
      <c r="O232" s="221"/>
      <c r="P232" s="221"/>
      <c r="Q232" s="221"/>
      <c r="R232" s="221"/>
      <c r="S232" s="221"/>
      <c r="T232" s="221"/>
      <c r="U232" s="221"/>
      <c r="V232" s="221"/>
      <c r="W232" s="221"/>
      <c r="X232" s="221"/>
      <c r="Y232" s="221"/>
      <c r="Z232" s="221"/>
    </row>
    <row r="233" spans="1:26" ht="18.75" customHeight="1">
      <c r="A233" s="221"/>
      <c r="B233" s="221"/>
      <c r="C233" s="221"/>
      <c r="D233" s="221"/>
      <c r="E233" s="221"/>
      <c r="F233" s="221"/>
      <c r="G233" s="221"/>
      <c r="H233" s="221"/>
      <c r="I233" s="221"/>
      <c r="J233" s="221"/>
      <c r="K233" s="221"/>
      <c r="L233" s="221"/>
      <c r="M233" s="221"/>
      <c r="N233" s="221"/>
      <c r="O233" s="221"/>
      <c r="P233" s="221"/>
      <c r="Q233" s="221"/>
      <c r="R233" s="221"/>
      <c r="S233" s="221"/>
      <c r="T233" s="221"/>
      <c r="U233" s="221"/>
      <c r="V233" s="221"/>
      <c r="W233" s="221"/>
      <c r="X233" s="221"/>
      <c r="Y233" s="221"/>
      <c r="Z233" s="221"/>
    </row>
    <row r="234" spans="1:26" ht="18.75" customHeight="1">
      <c r="A234" s="221"/>
      <c r="B234" s="221"/>
      <c r="C234" s="221"/>
      <c r="D234" s="221"/>
      <c r="E234" s="221"/>
      <c r="F234" s="221"/>
      <c r="G234" s="221"/>
      <c r="H234" s="221"/>
      <c r="I234" s="221"/>
      <c r="J234" s="221"/>
      <c r="K234" s="221"/>
      <c r="L234" s="221"/>
      <c r="M234" s="221"/>
      <c r="N234" s="221"/>
      <c r="O234" s="221"/>
      <c r="P234" s="221"/>
      <c r="Q234" s="221"/>
      <c r="R234" s="221"/>
      <c r="S234" s="221"/>
      <c r="T234" s="221"/>
      <c r="U234" s="221"/>
      <c r="V234" s="221"/>
      <c r="W234" s="221"/>
      <c r="X234" s="221"/>
      <c r="Y234" s="221"/>
      <c r="Z234" s="221"/>
    </row>
    <row r="235" spans="1:26" ht="18.75" customHeight="1">
      <c r="A235" s="221"/>
      <c r="B235" s="221"/>
      <c r="C235" s="221"/>
      <c r="D235" s="221"/>
      <c r="E235" s="221"/>
      <c r="F235" s="221"/>
      <c r="G235" s="221"/>
      <c r="H235" s="221"/>
      <c r="I235" s="221"/>
      <c r="J235" s="221"/>
      <c r="K235" s="221"/>
      <c r="L235" s="221"/>
      <c r="M235" s="221"/>
      <c r="N235" s="221"/>
      <c r="O235" s="221"/>
      <c r="P235" s="221"/>
      <c r="Q235" s="221"/>
      <c r="R235" s="221"/>
      <c r="S235" s="221"/>
      <c r="T235" s="221"/>
      <c r="U235" s="221"/>
      <c r="V235" s="221"/>
      <c r="W235" s="221"/>
      <c r="X235" s="221"/>
      <c r="Y235" s="221"/>
      <c r="Z235" s="221"/>
    </row>
    <row r="236" spans="1:26" ht="18.75" customHeight="1">
      <c r="A236" s="221"/>
      <c r="B236" s="221"/>
      <c r="C236" s="221"/>
      <c r="D236" s="221"/>
      <c r="E236" s="221"/>
      <c r="F236" s="221"/>
      <c r="G236" s="221"/>
      <c r="H236" s="221"/>
      <c r="I236" s="221"/>
      <c r="J236" s="221"/>
      <c r="K236" s="221"/>
      <c r="L236" s="221"/>
      <c r="M236" s="221"/>
      <c r="N236" s="221"/>
      <c r="O236" s="221"/>
      <c r="P236" s="221"/>
      <c r="Q236" s="221"/>
      <c r="R236" s="221"/>
      <c r="S236" s="221"/>
      <c r="T236" s="221"/>
      <c r="U236" s="221"/>
      <c r="V236" s="221"/>
      <c r="W236" s="221"/>
      <c r="X236" s="221"/>
      <c r="Y236" s="221"/>
      <c r="Z236" s="221"/>
    </row>
    <row r="237" spans="1:26" ht="18.75" customHeight="1">
      <c r="A237" s="221"/>
      <c r="B237" s="221"/>
      <c r="C237" s="221"/>
      <c r="D237" s="221"/>
      <c r="E237" s="221"/>
      <c r="F237" s="221"/>
      <c r="G237" s="221"/>
      <c r="H237" s="221"/>
      <c r="I237" s="221"/>
      <c r="J237" s="221"/>
      <c r="K237" s="221"/>
      <c r="L237" s="221"/>
      <c r="M237" s="221"/>
      <c r="N237" s="221"/>
      <c r="O237" s="221"/>
      <c r="P237" s="221"/>
      <c r="Q237" s="221"/>
      <c r="R237" s="221"/>
      <c r="S237" s="221"/>
      <c r="T237" s="221"/>
      <c r="U237" s="221"/>
      <c r="V237" s="221"/>
      <c r="W237" s="221"/>
      <c r="X237" s="221"/>
      <c r="Y237" s="221"/>
      <c r="Z237" s="221"/>
    </row>
    <row r="238" spans="1:26" ht="18.75" customHeight="1">
      <c r="A238" s="221"/>
      <c r="B238" s="221"/>
      <c r="C238" s="221"/>
      <c r="D238" s="221"/>
      <c r="E238" s="221"/>
      <c r="F238" s="221"/>
      <c r="G238" s="221"/>
      <c r="H238" s="221"/>
      <c r="I238" s="221"/>
      <c r="J238" s="221"/>
      <c r="K238" s="221"/>
      <c r="L238" s="221"/>
      <c r="M238" s="221"/>
      <c r="N238" s="221"/>
      <c r="O238" s="221"/>
      <c r="P238" s="221"/>
      <c r="Q238" s="221"/>
      <c r="R238" s="221"/>
      <c r="S238" s="221"/>
      <c r="T238" s="221"/>
      <c r="U238" s="221"/>
      <c r="V238" s="221"/>
      <c r="W238" s="221"/>
      <c r="X238" s="221"/>
      <c r="Y238" s="221"/>
      <c r="Z238" s="221"/>
    </row>
    <row r="239" spans="1:26" ht="18.75" customHeight="1">
      <c r="A239" s="221"/>
      <c r="B239" s="221"/>
      <c r="C239" s="221"/>
      <c r="D239" s="221"/>
      <c r="E239" s="221"/>
      <c r="F239" s="221"/>
      <c r="G239" s="221"/>
      <c r="H239" s="221"/>
      <c r="I239" s="221"/>
      <c r="J239" s="221"/>
      <c r="K239" s="221"/>
      <c r="L239" s="221"/>
      <c r="M239" s="221"/>
      <c r="N239" s="221"/>
      <c r="O239" s="221"/>
      <c r="P239" s="221"/>
      <c r="Q239" s="221"/>
      <c r="R239" s="221"/>
      <c r="S239" s="221"/>
      <c r="T239" s="221"/>
      <c r="U239" s="221"/>
      <c r="V239" s="221"/>
      <c r="W239" s="221"/>
      <c r="X239" s="221"/>
      <c r="Y239" s="221"/>
      <c r="Z239" s="221"/>
    </row>
    <row r="240" spans="1:26" ht="18.75" customHeight="1">
      <c r="A240" s="221"/>
      <c r="B240" s="221"/>
      <c r="C240" s="221"/>
      <c r="D240" s="221"/>
      <c r="E240" s="221"/>
      <c r="F240" s="221"/>
      <c r="G240" s="221"/>
      <c r="H240" s="221"/>
      <c r="I240" s="221"/>
      <c r="J240" s="221"/>
      <c r="K240" s="221"/>
      <c r="L240" s="221"/>
      <c r="M240" s="221"/>
      <c r="N240" s="221"/>
      <c r="O240" s="221"/>
      <c r="P240" s="221"/>
      <c r="Q240" s="221"/>
      <c r="R240" s="221"/>
      <c r="S240" s="221"/>
      <c r="T240" s="221"/>
      <c r="U240" s="221"/>
      <c r="V240" s="221"/>
      <c r="W240" s="221"/>
      <c r="X240" s="221"/>
      <c r="Y240" s="221"/>
      <c r="Z240" s="221"/>
    </row>
    <row r="241" spans="1:26" ht="18.75" customHeight="1">
      <c r="A241" s="221"/>
      <c r="B241" s="221"/>
      <c r="C241" s="221"/>
      <c r="D241" s="221"/>
      <c r="E241" s="221"/>
      <c r="F241" s="221"/>
      <c r="G241" s="221"/>
      <c r="H241" s="221"/>
      <c r="I241" s="221"/>
      <c r="J241" s="221"/>
      <c r="K241" s="221"/>
      <c r="L241" s="221"/>
      <c r="M241" s="221"/>
      <c r="N241" s="221"/>
      <c r="O241" s="221"/>
      <c r="P241" s="221"/>
      <c r="Q241" s="221"/>
      <c r="R241" s="221"/>
      <c r="S241" s="221"/>
      <c r="T241" s="221"/>
      <c r="U241" s="221"/>
      <c r="V241" s="221"/>
      <c r="W241" s="221"/>
      <c r="X241" s="221"/>
      <c r="Y241" s="221"/>
      <c r="Z241" s="221"/>
    </row>
    <row r="242" spans="1:26" ht="18.75" customHeight="1">
      <c r="A242" s="221"/>
      <c r="B242" s="221"/>
      <c r="C242" s="221"/>
      <c r="D242" s="221"/>
      <c r="E242" s="221"/>
      <c r="F242" s="221"/>
      <c r="G242" s="221"/>
      <c r="H242" s="221"/>
      <c r="I242" s="221"/>
      <c r="J242" s="221"/>
      <c r="K242" s="221"/>
      <c r="L242" s="221"/>
      <c r="M242" s="221"/>
      <c r="N242" s="221"/>
      <c r="O242" s="221"/>
      <c r="P242" s="221"/>
      <c r="Q242" s="221"/>
      <c r="R242" s="221"/>
      <c r="S242" s="221"/>
      <c r="T242" s="221"/>
      <c r="U242" s="221"/>
      <c r="V242" s="221"/>
      <c r="W242" s="221"/>
      <c r="X242" s="221"/>
      <c r="Y242" s="221"/>
      <c r="Z242" s="221"/>
    </row>
    <row r="243" spans="1:26" ht="18.75" customHeight="1">
      <c r="A243" s="221"/>
      <c r="B243" s="221"/>
      <c r="C243" s="221"/>
      <c r="D243" s="221"/>
      <c r="E243" s="221"/>
      <c r="F243" s="221"/>
      <c r="G243" s="221"/>
      <c r="H243" s="221"/>
      <c r="I243" s="221"/>
      <c r="J243" s="221"/>
      <c r="K243" s="221"/>
      <c r="L243" s="221"/>
      <c r="M243" s="221"/>
      <c r="N243" s="221"/>
      <c r="O243" s="221"/>
      <c r="P243" s="221"/>
      <c r="Q243" s="221"/>
      <c r="R243" s="221"/>
      <c r="S243" s="221"/>
      <c r="T243" s="221"/>
      <c r="U243" s="221"/>
      <c r="V243" s="221"/>
      <c r="W243" s="221"/>
      <c r="X243" s="221"/>
      <c r="Y243" s="221"/>
      <c r="Z243" s="221"/>
    </row>
    <row r="244" spans="1:26" ht="18.75" customHeight="1">
      <c r="A244" s="221"/>
      <c r="B244" s="221"/>
      <c r="C244" s="221"/>
      <c r="D244" s="221"/>
      <c r="E244" s="221"/>
      <c r="F244" s="221"/>
      <c r="G244" s="221"/>
      <c r="H244" s="221"/>
      <c r="I244" s="221"/>
      <c r="J244" s="221"/>
      <c r="K244" s="221"/>
      <c r="L244" s="221"/>
      <c r="M244" s="221"/>
      <c r="N244" s="221"/>
      <c r="O244" s="221"/>
      <c r="P244" s="221"/>
      <c r="Q244" s="221"/>
      <c r="R244" s="221"/>
      <c r="S244" s="221"/>
      <c r="T244" s="221"/>
      <c r="U244" s="221"/>
      <c r="V244" s="221"/>
      <c r="W244" s="221"/>
      <c r="X244" s="221"/>
      <c r="Y244" s="221"/>
      <c r="Z244" s="221"/>
    </row>
    <row r="245" spans="1:26" ht="18.75" customHeight="1">
      <c r="A245" s="221"/>
      <c r="B245" s="221"/>
      <c r="C245" s="221"/>
      <c r="D245" s="221"/>
      <c r="E245" s="221"/>
      <c r="F245" s="221"/>
      <c r="G245" s="221"/>
      <c r="H245" s="221"/>
      <c r="I245" s="221"/>
      <c r="J245" s="221"/>
      <c r="K245" s="221"/>
      <c r="L245" s="221"/>
      <c r="M245" s="221"/>
      <c r="N245" s="221"/>
      <c r="O245" s="221"/>
      <c r="P245" s="221"/>
      <c r="Q245" s="221"/>
      <c r="R245" s="221"/>
      <c r="S245" s="221"/>
      <c r="T245" s="221"/>
      <c r="U245" s="221"/>
      <c r="V245" s="221"/>
      <c r="W245" s="221"/>
      <c r="X245" s="221"/>
      <c r="Y245" s="221"/>
      <c r="Z245" s="221"/>
    </row>
    <row r="246" spans="1:26" ht="18.75" customHeight="1">
      <c r="A246" s="221"/>
      <c r="B246" s="221"/>
      <c r="C246" s="221"/>
      <c r="D246" s="221"/>
      <c r="E246" s="221"/>
      <c r="F246" s="221"/>
      <c r="G246" s="221"/>
      <c r="H246" s="221"/>
      <c r="I246" s="221"/>
      <c r="J246" s="221"/>
      <c r="K246" s="221"/>
      <c r="L246" s="221"/>
      <c r="M246" s="221"/>
      <c r="N246" s="221"/>
      <c r="O246" s="221"/>
      <c r="P246" s="221"/>
      <c r="Q246" s="221"/>
      <c r="R246" s="221"/>
      <c r="S246" s="221"/>
      <c r="T246" s="221"/>
      <c r="U246" s="221"/>
      <c r="V246" s="221"/>
      <c r="W246" s="221"/>
      <c r="X246" s="221"/>
      <c r="Y246" s="221"/>
      <c r="Z246" s="221"/>
    </row>
    <row r="247" spans="1:26" ht="18.75" customHeight="1">
      <c r="A247" s="221"/>
      <c r="B247" s="221"/>
      <c r="C247" s="221"/>
      <c r="D247" s="221"/>
      <c r="E247" s="221"/>
      <c r="F247" s="221"/>
      <c r="G247" s="221"/>
      <c r="H247" s="221"/>
      <c r="I247" s="221"/>
      <c r="J247" s="221"/>
      <c r="K247" s="221"/>
      <c r="L247" s="221"/>
      <c r="M247" s="221"/>
      <c r="N247" s="221"/>
      <c r="O247" s="221"/>
      <c r="P247" s="221"/>
      <c r="Q247" s="221"/>
      <c r="R247" s="221"/>
      <c r="S247" s="221"/>
      <c r="T247" s="221"/>
      <c r="U247" s="221"/>
      <c r="V247" s="221"/>
      <c r="W247" s="221"/>
      <c r="X247" s="221"/>
      <c r="Y247" s="221"/>
      <c r="Z247" s="221"/>
    </row>
    <row r="248" spans="1:26" ht="18.75" customHeight="1">
      <c r="A248" s="221"/>
      <c r="B248" s="221"/>
      <c r="C248" s="221"/>
      <c r="D248" s="221"/>
      <c r="E248" s="221"/>
      <c r="F248" s="221"/>
      <c r="G248" s="221"/>
      <c r="H248" s="221"/>
      <c r="I248" s="221"/>
      <c r="J248" s="221"/>
      <c r="K248" s="221"/>
      <c r="L248" s="221"/>
      <c r="M248" s="221"/>
      <c r="N248" s="221"/>
      <c r="O248" s="221"/>
      <c r="P248" s="221"/>
      <c r="Q248" s="221"/>
      <c r="R248" s="221"/>
      <c r="S248" s="221"/>
      <c r="T248" s="221"/>
      <c r="U248" s="221"/>
      <c r="V248" s="221"/>
      <c r="W248" s="221"/>
      <c r="X248" s="221"/>
      <c r="Y248" s="221"/>
      <c r="Z248" s="221"/>
    </row>
    <row r="249" spans="1:26" ht="18.75" customHeight="1">
      <c r="A249" s="221"/>
      <c r="B249" s="221"/>
      <c r="C249" s="221"/>
      <c r="D249" s="221"/>
      <c r="E249" s="221"/>
      <c r="F249" s="221"/>
      <c r="G249" s="221"/>
      <c r="H249" s="221"/>
      <c r="I249" s="221"/>
      <c r="J249" s="221"/>
      <c r="K249" s="221"/>
      <c r="L249" s="221"/>
      <c r="M249" s="221"/>
      <c r="N249" s="221"/>
      <c r="O249" s="221"/>
      <c r="P249" s="221"/>
      <c r="Q249" s="221"/>
      <c r="R249" s="221"/>
      <c r="S249" s="221"/>
      <c r="T249" s="221"/>
      <c r="U249" s="221"/>
      <c r="V249" s="221"/>
      <c r="W249" s="221"/>
      <c r="X249" s="221"/>
      <c r="Y249" s="221"/>
      <c r="Z249" s="221"/>
    </row>
    <row r="250" spans="1:26" ht="18.75" customHeight="1">
      <c r="A250" s="221"/>
      <c r="B250" s="221"/>
      <c r="C250" s="221"/>
      <c r="D250" s="221"/>
      <c r="E250" s="221"/>
      <c r="F250" s="221"/>
      <c r="G250" s="221"/>
      <c r="H250" s="221"/>
      <c r="I250" s="221"/>
      <c r="J250" s="221"/>
      <c r="K250" s="221"/>
      <c r="L250" s="221"/>
      <c r="M250" s="221"/>
      <c r="N250" s="221"/>
      <c r="O250" s="221"/>
      <c r="P250" s="221"/>
      <c r="Q250" s="221"/>
      <c r="R250" s="221"/>
      <c r="S250" s="221"/>
      <c r="T250" s="221"/>
      <c r="U250" s="221"/>
      <c r="V250" s="221"/>
      <c r="W250" s="221"/>
      <c r="X250" s="221"/>
      <c r="Y250" s="221"/>
      <c r="Z250" s="221"/>
    </row>
    <row r="251" spans="1:26" ht="18.75" customHeight="1">
      <c r="A251" s="221"/>
      <c r="B251" s="221"/>
      <c r="C251" s="221"/>
      <c r="D251" s="221"/>
      <c r="E251" s="221"/>
      <c r="F251" s="221"/>
      <c r="G251" s="221"/>
      <c r="H251" s="221"/>
      <c r="I251" s="221"/>
      <c r="J251" s="221"/>
      <c r="K251" s="221"/>
      <c r="L251" s="221"/>
      <c r="M251" s="221"/>
      <c r="N251" s="221"/>
      <c r="O251" s="221"/>
      <c r="P251" s="221"/>
      <c r="Q251" s="221"/>
      <c r="R251" s="221"/>
      <c r="S251" s="221"/>
      <c r="T251" s="221"/>
      <c r="U251" s="221"/>
      <c r="V251" s="221"/>
      <c r="W251" s="221"/>
      <c r="X251" s="221"/>
      <c r="Y251" s="221"/>
      <c r="Z251" s="221"/>
    </row>
    <row r="252" spans="1:26" ht="18.75" customHeight="1">
      <c r="A252" s="221"/>
      <c r="B252" s="221"/>
      <c r="C252" s="221"/>
      <c r="D252" s="221"/>
      <c r="E252" s="221"/>
      <c r="F252" s="221"/>
      <c r="G252" s="221"/>
      <c r="H252" s="221"/>
      <c r="I252" s="221"/>
      <c r="J252" s="221"/>
      <c r="K252" s="221"/>
      <c r="L252" s="221"/>
      <c r="M252" s="221"/>
      <c r="N252" s="221"/>
      <c r="O252" s="221"/>
      <c r="P252" s="221"/>
      <c r="Q252" s="221"/>
      <c r="R252" s="221"/>
      <c r="S252" s="221"/>
      <c r="T252" s="221"/>
      <c r="U252" s="221"/>
      <c r="V252" s="221"/>
      <c r="W252" s="221"/>
      <c r="X252" s="221"/>
      <c r="Y252" s="221"/>
      <c r="Z252" s="221"/>
    </row>
    <row r="253" spans="1:26" ht="18.75" customHeight="1">
      <c r="A253" s="221"/>
      <c r="B253" s="221"/>
      <c r="C253" s="221"/>
      <c r="D253" s="221"/>
      <c r="E253" s="221"/>
      <c r="F253" s="221"/>
      <c r="G253" s="221"/>
      <c r="H253" s="221"/>
      <c r="I253" s="221"/>
      <c r="J253" s="221"/>
      <c r="K253" s="221"/>
      <c r="L253" s="221"/>
      <c r="M253" s="221"/>
      <c r="N253" s="221"/>
      <c r="O253" s="221"/>
      <c r="P253" s="221"/>
      <c r="Q253" s="221"/>
      <c r="R253" s="221"/>
      <c r="S253" s="221"/>
      <c r="T253" s="221"/>
      <c r="U253" s="221"/>
      <c r="V253" s="221"/>
      <c r="W253" s="221"/>
      <c r="X253" s="221"/>
      <c r="Y253" s="221"/>
      <c r="Z253" s="221"/>
    </row>
    <row r="254" spans="1:26" ht="18.75" customHeight="1">
      <c r="A254" s="221"/>
      <c r="B254" s="221"/>
      <c r="C254" s="221"/>
      <c r="D254" s="221"/>
      <c r="E254" s="221"/>
      <c r="F254" s="221"/>
      <c r="G254" s="221"/>
      <c r="H254" s="221"/>
      <c r="I254" s="221"/>
      <c r="J254" s="221"/>
      <c r="K254" s="221"/>
      <c r="L254" s="221"/>
      <c r="M254" s="221"/>
      <c r="N254" s="221"/>
      <c r="O254" s="221"/>
      <c r="P254" s="221"/>
      <c r="Q254" s="221"/>
      <c r="R254" s="221"/>
      <c r="S254" s="221"/>
      <c r="T254" s="221"/>
      <c r="U254" s="221"/>
      <c r="V254" s="221"/>
      <c r="W254" s="221"/>
      <c r="X254" s="221"/>
      <c r="Y254" s="221"/>
      <c r="Z254" s="221"/>
    </row>
    <row r="255" spans="1:26" ht="18.75" customHeight="1">
      <c r="A255" s="221"/>
      <c r="B255" s="221"/>
      <c r="C255" s="221"/>
      <c r="D255" s="221"/>
      <c r="E255" s="221"/>
      <c r="F255" s="221"/>
      <c r="G255" s="221"/>
      <c r="H255" s="221"/>
      <c r="I255" s="221"/>
      <c r="J255" s="221"/>
      <c r="K255" s="221"/>
      <c r="L255" s="221"/>
      <c r="M255" s="221"/>
      <c r="N255" s="221"/>
      <c r="O255" s="221"/>
      <c r="P255" s="221"/>
      <c r="Q255" s="221"/>
      <c r="R255" s="221"/>
      <c r="S255" s="221"/>
      <c r="T255" s="221"/>
      <c r="U255" s="221"/>
      <c r="V255" s="221"/>
      <c r="W255" s="221"/>
      <c r="X255" s="221"/>
      <c r="Y255" s="221"/>
      <c r="Z255" s="221"/>
    </row>
    <row r="256" spans="1:26" ht="18.75" customHeight="1">
      <c r="A256" s="221"/>
      <c r="B256" s="221"/>
      <c r="C256" s="221"/>
      <c r="D256" s="221"/>
      <c r="E256" s="221"/>
      <c r="F256" s="221"/>
      <c r="G256" s="221"/>
      <c r="H256" s="221"/>
      <c r="I256" s="221"/>
      <c r="J256" s="221"/>
      <c r="K256" s="221"/>
      <c r="L256" s="221"/>
      <c r="M256" s="221"/>
      <c r="N256" s="221"/>
      <c r="O256" s="221"/>
      <c r="P256" s="221"/>
      <c r="Q256" s="221"/>
      <c r="R256" s="221"/>
      <c r="S256" s="221"/>
      <c r="T256" s="221"/>
      <c r="U256" s="221"/>
      <c r="V256" s="221"/>
      <c r="W256" s="221"/>
      <c r="X256" s="221"/>
      <c r="Y256" s="221"/>
      <c r="Z256" s="221"/>
    </row>
    <row r="257" spans="1:26" ht="18.75" customHeight="1">
      <c r="A257" s="221"/>
      <c r="B257" s="221"/>
      <c r="C257" s="221"/>
      <c r="D257" s="221"/>
      <c r="E257" s="221"/>
      <c r="F257" s="221"/>
      <c r="G257" s="221"/>
      <c r="H257" s="221"/>
      <c r="I257" s="221"/>
      <c r="J257" s="221"/>
      <c r="K257" s="221"/>
      <c r="L257" s="221"/>
      <c r="M257" s="221"/>
      <c r="N257" s="221"/>
      <c r="O257" s="221"/>
      <c r="P257" s="221"/>
      <c r="Q257" s="221"/>
      <c r="R257" s="221"/>
      <c r="S257" s="221"/>
      <c r="T257" s="221"/>
      <c r="U257" s="221"/>
      <c r="V257" s="221"/>
      <c r="W257" s="221"/>
      <c r="X257" s="221"/>
      <c r="Y257" s="221"/>
      <c r="Z257" s="221"/>
    </row>
    <row r="258" spans="1:26" ht="18.75" customHeight="1">
      <c r="A258" s="221"/>
      <c r="B258" s="221"/>
      <c r="C258" s="221"/>
      <c r="D258" s="221"/>
      <c r="E258" s="221"/>
      <c r="F258" s="221"/>
      <c r="G258" s="221"/>
      <c r="H258" s="221"/>
      <c r="I258" s="221"/>
      <c r="J258" s="221"/>
      <c r="K258" s="221"/>
      <c r="L258" s="221"/>
      <c r="M258" s="221"/>
      <c r="N258" s="221"/>
      <c r="O258" s="221"/>
      <c r="P258" s="221"/>
      <c r="Q258" s="221"/>
      <c r="R258" s="221"/>
      <c r="S258" s="221"/>
      <c r="T258" s="221"/>
      <c r="U258" s="221"/>
      <c r="V258" s="221"/>
      <c r="W258" s="221"/>
      <c r="X258" s="221"/>
      <c r="Y258" s="221"/>
      <c r="Z258" s="221"/>
    </row>
    <row r="259" spans="1:26" ht="18.75" customHeight="1">
      <c r="A259" s="221"/>
      <c r="B259" s="221"/>
      <c r="C259" s="221"/>
      <c r="D259" s="221"/>
      <c r="E259" s="221"/>
      <c r="F259" s="221"/>
      <c r="G259" s="221"/>
      <c r="H259" s="221"/>
      <c r="I259" s="221"/>
      <c r="J259" s="221"/>
      <c r="K259" s="221"/>
      <c r="L259" s="221"/>
      <c r="M259" s="221"/>
      <c r="N259" s="221"/>
      <c r="O259" s="221"/>
      <c r="P259" s="221"/>
      <c r="Q259" s="221"/>
      <c r="R259" s="221"/>
      <c r="S259" s="221"/>
      <c r="T259" s="221"/>
      <c r="U259" s="221"/>
      <c r="V259" s="221"/>
      <c r="W259" s="221"/>
      <c r="X259" s="221"/>
      <c r="Y259" s="221"/>
      <c r="Z259" s="221"/>
    </row>
    <row r="260" spans="1:26" ht="18.75" customHeight="1">
      <c r="A260" s="221"/>
      <c r="B260" s="221"/>
      <c r="C260" s="221"/>
      <c r="D260" s="221"/>
      <c r="E260" s="221"/>
      <c r="F260" s="221"/>
      <c r="G260" s="221"/>
      <c r="H260" s="221"/>
      <c r="I260" s="221"/>
      <c r="J260" s="221"/>
      <c r="K260" s="221"/>
      <c r="L260" s="221"/>
      <c r="M260" s="221"/>
      <c r="N260" s="221"/>
      <c r="O260" s="221"/>
      <c r="P260" s="221"/>
      <c r="Q260" s="221"/>
      <c r="R260" s="221"/>
      <c r="S260" s="221"/>
      <c r="T260" s="221"/>
      <c r="U260" s="221"/>
      <c r="V260" s="221"/>
      <c r="W260" s="221"/>
      <c r="X260" s="221"/>
      <c r="Y260" s="221"/>
      <c r="Z260" s="221"/>
    </row>
    <row r="261" spans="1:26" ht="18.75" customHeight="1">
      <c r="A261" s="221"/>
      <c r="B261" s="221"/>
      <c r="C261" s="221"/>
      <c r="D261" s="221"/>
      <c r="E261" s="221"/>
      <c r="F261" s="221"/>
      <c r="G261" s="221"/>
      <c r="H261" s="221"/>
      <c r="I261" s="221"/>
      <c r="J261" s="221"/>
      <c r="K261" s="221"/>
      <c r="L261" s="221"/>
      <c r="M261" s="221"/>
      <c r="N261" s="221"/>
      <c r="O261" s="221"/>
      <c r="P261" s="221"/>
      <c r="Q261" s="221"/>
      <c r="R261" s="221"/>
      <c r="S261" s="221"/>
      <c r="T261" s="221"/>
      <c r="U261" s="221"/>
      <c r="V261" s="221"/>
      <c r="W261" s="221"/>
      <c r="X261" s="221"/>
      <c r="Y261" s="221"/>
      <c r="Z261" s="221"/>
    </row>
    <row r="262" spans="1:26" ht="18.75" customHeight="1">
      <c r="A262" s="221"/>
      <c r="B262" s="221"/>
      <c r="C262" s="221"/>
      <c r="D262" s="221"/>
      <c r="E262" s="221"/>
      <c r="F262" s="221"/>
      <c r="G262" s="221"/>
      <c r="H262" s="221"/>
      <c r="I262" s="221"/>
      <c r="J262" s="221"/>
      <c r="K262" s="221"/>
      <c r="L262" s="221"/>
      <c r="M262" s="221"/>
      <c r="N262" s="221"/>
      <c r="O262" s="221"/>
      <c r="P262" s="221"/>
      <c r="Q262" s="221"/>
      <c r="R262" s="221"/>
      <c r="S262" s="221"/>
      <c r="T262" s="221"/>
      <c r="U262" s="221"/>
      <c r="V262" s="221"/>
      <c r="W262" s="221"/>
      <c r="X262" s="221"/>
      <c r="Y262" s="221"/>
      <c r="Z262" s="221"/>
    </row>
    <row r="263" spans="1:26" ht="18.75" customHeight="1">
      <c r="A263" s="221"/>
      <c r="B263" s="221"/>
      <c r="C263" s="221"/>
      <c r="D263" s="221"/>
      <c r="E263" s="221"/>
      <c r="F263" s="221"/>
      <c r="G263" s="221"/>
      <c r="H263" s="221"/>
      <c r="I263" s="221"/>
      <c r="J263" s="221"/>
      <c r="K263" s="221"/>
      <c r="L263" s="221"/>
      <c r="M263" s="221"/>
      <c r="N263" s="221"/>
      <c r="O263" s="221"/>
      <c r="P263" s="221"/>
      <c r="Q263" s="221"/>
      <c r="R263" s="221"/>
      <c r="S263" s="221"/>
      <c r="T263" s="221"/>
      <c r="U263" s="221"/>
      <c r="V263" s="221"/>
      <c r="W263" s="221"/>
      <c r="X263" s="221"/>
      <c r="Y263" s="221"/>
      <c r="Z263" s="221"/>
    </row>
    <row r="264" spans="1:26" ht="18.75" customHeight="1">
      <c r="A264" s="221"/>
      <c r="B264" s="221"/>
      <c r="C264" s="221"/>
      <c r="D264" s="221"/>
      <c r="E264" s="221"/>
      <c r="F264" s="221"/>
      <c r="G264" s="221"/>
      <c r="H264" s="221"/>
      <c r="I264" s="221"/>
      <c r="J264" s="221"/>
      <c r="K264" s="221"/>
      <c r="L264" s="221"/>
      <c r="M264" s="221"/>
      <c r="N264" s="221"/>
      <c r="O264" s="221"/>
      <c r="P264" s="221"/>
      <c r="Q264" s="221"/>
      <c r="R264" s="221"/>
      <c r="S264" s="221"/>
      <c r="T264" s="221"/>
      <c r="U264" s="221"/>
      <c r="V264" s="221"/>
      <c r="W264" s="221"/>
      <c r="X264" s="221"/>
      <c r="Y264" s="221"/>
      <c r="Z264" s="221"/>
    </row>
    <row r="265" spans="1:26" ht="18.75" customHeight="1">
      <c r="A265" s="221"/>
      <c r="B265" s="221"/>
      <c r="C265" s="221"/>
      <c r="D265" s="221"/>
      <c r="E265" s="221"/>
      <c r="F265" s="221"/>
      <c r="G265" s="221"/>
      <c r="H265" s="221"/>
      <c r="I265" s="221"/>
      <c r="J265" s="221"/>
      <c r="K265" s="221"/>
      <c r="L265" s="221"/>
      <c r="M265" s="221"/>
      <c r="N265" s="221"/>
      <c r="O265" s="221"/>
      <c r="P265" s="221"/>
      <c r="Q265" s="221"/>
      <c r="R265" s="221"/>
      <c r="S265" s="221"/>
      <c r="T265" s="221"/>
      <c r="U265" s="221"/>
      <c r="V265" s="221"/>
      <c r="W265" s="221"/>
      <c r="X265" s="221"/>
      <c r="Y265" s="221"/>
      <c r="Z265" s="221"/>
    </row>
    <row r="266" spans="1:26" ht="18.75" customHeight="1">
      <c r="A266" s="221"/>
      <c r="B266" s="221"/>
      <c r="C266" s="221"/>
      <c r="D266" s="221"/>
      <c r="E266" s="221"/>
      <c r="F266" s="221"/>
      <c r="G266" s="221"/>
      <c r="H266" s="221"/>
      <c r="I266" s="221"/>
      <c r="J266" s="221"/>
      <c r="K266" s="221"/>
      <c r="L266" s="221"/>
      <c r="M266" s="221"/>
      <c r="N266" s="221"/>
      <c r="O266" s="221"/>
      <c r="P266" s="221"/>
      <c r="Q266" s="221"/>
      <c r="R266" s="221"/>
      <c r="S266" s="221"/>
      <c r="T266" s="221"/>
      <c r="U266" s="221"/>
      <c r="V266" s="221"/>
      <c r="W266" s="221"/>
      <c r="X266" s="221"/>
      <c r="Y266" s="221"/>
      <c r="Z266" s="221"/>
    </row>
    <row r="267" spans="1:26" ht="18.75" customHeight="1">
      <c r="A267" s="221"/>
      <c r="B267" s="221"/>
      <c r="C267" s="221"/>
      <c r="D267" s="221"/>
      <c r="E267" s="221"/>
      <c r="F267" s="221"/>
      <c r="G267" s="221"/>
      <c r="H267" s="221"/>
      <c r="I267" s="221"/>
      <c r="J267" s="221"/>
      <c r="K267" s="221"/>
      <c r="L267" s="221"/>
      <c r="M267" s="221"/>
      <c r="N267" s="221"/>
      <c r="O267" s="221"/>
      <c r="P267" s="221"/>
      <c r="Q267" s="221"/>
      <c r="R267" s="221"/>
      <c r="S267" s="221"/>
      <c r="T267" s="221"/>
      <c r="U267" s="221"/>
      <c r="V267" s="221"/>
      <c r="W267" s="221"/>
      <c r="X267" s="221"/>
      <c r="Y267" s="221"/>
      <c r="Z267" s="221"/>
    </row>
    <row r="268" spans="1:26" ht="18.75" customHeight="1">
      <c r="A268" s="221"/>
      <c r="B268" s="221"/>
      <c r="C268" s="221"/>
      <c r="D268" s="221"/>
      <c r="E268" s="221"/>
      <c r="F268" s="221"/>
      <c r="G268" s="221"/>
      <c r="H268" s="221"/>
      <c r="I268" s="221"/>
      <c r="J268" s="221"/>
      <c r="K268" s="221"/>
      <c r="L268" s="221"/>
      <c r="M268" s="221"/>
      <c r="N268" s="221"/>
      <c r="O268" s="221"/>
      <c r="P268" s="221"/>
      <c r="Q268" s="221"/>
      <c r="R268" s="221"/>
      <c r="S268" s="221"/>
      <c r="T268" s="221"/>
      <c r="U268" s="221"/>
      <c r="V268" s="221"/>
      <c r="W268" s="221"/>
      <c r="X268" s="221"/>
      <c r="Y268" s="221"/>
      <c r="Z268" s="221"/>
    </row>
    <row r="269" spans="1:26" ht="18.75" customHeight="1">
      <c r="A269" s="221"/>
      <c r="B269" s="221"/>
      <c r="C269" s="221"/>
      <c r="D269" s="221"/>
      <c r="E269" s="221"/>
      <c r="F269" s="221"/>
      <c r="G269" s="221"/>
      <c r="H269" s="221"/>
      <c r="I269" s="221"/>
      <c r="J269" s="221"/>
      <c r="K269" s="221"/>
      <c r="L269" s="221"/>
      <c r="M269" s="221"/>
      <c r="N269" s="221"/>
      <c r="O269" s="221"/>
      <c r="P269" s="221"/>
      <c r="Q269" s="221"/>
      <c r="R269" s="221"/>
      <c r="S269" s="221"/>
      <c r="T269" s="221"/>
      <c r="U269" s="221"/>
      <c r="V269" s="221"/>
      <c r="W269" s="221"/>
      <c r="X269" s="221"/>
      <c r="Y269" s="221"/>
      <c r="Z269" s="221"/>
    </row>
    <row r="270" spans="1:26" ht="18.75" customHeight="1">
      <c r="A270" s="221"/>
      <c r="B270" s="221"/>
      <c r="C270" s="221"/>
      <c r="D270" s="221"/>
      <c r="E270" s="221"/>
      <c r="F270" s="221"/>
      <c r="G270" s="221"/>
      <c r="H270" s="221"/>
      <c r="I270" s="221"/>
      <c r="J270" s="221"/>
      <c r="K270" s="221"/>
      <c r="L270" s="221"/>
      <c r="M270" s="221"/>
      <c r="N270" s="221"/>
      <c r="O270" s="221"/>
      <c r="P270" s="221"/>
      <c r="Q270" s="221"/>
      <c r="R270" s="221"/>
      <c r="S270" s="221"/>
      <c r="T270" s="221"/>
      <c r="U270" s="221"/>
      <c r="V270" s="221"/>
      <c r="W270" s="221"/>
      <c r="X270" s="221"/>
      <c r="Y270" s="221"/>
      <c r="Z270" s="221"/>
    </row>
    <row r="271" spans="1:26" ht="18.75" customHeight="1">
      <c r="A271" s="221"/>
      <c r="B271" s="221"/>
      <c r="C271" s="221"/>
      <c r="D271" s="221"/>
      <c r="E271" s="221"/>
      <c r="F271" s="221"/>
      <c r="G271" s="221"/>
      <c r="H271" s="221"/>
      <c r="I271" s="221"/>
      <c r="J271" s="221"/>
      <c r="K271" s="221"/>
      <c r="L271" s="221"/>
      <c r="M271" s="221"/>
      <c r="N271" s="221"/>
      <c r="O271" s="221"/>
      <c r="P271" s="221"/>
      <c r="Q271" s="221"/>
      <c r="R271" s="221"/>
      <c r="S271" s="221"/>
      <c r="T271" s="221"/>
      <c r="U271" s="221"/>
      <c r="V271" s="221"/>
      <c r="W271" s="221"/>
      <c r="X271" s="221"/>
      <c r="Y271" s="221"/>
      <c r="Z271" s="221"/>
    </row>
    <row r="272" spans="1:26" ht="18.75" customHeight="1">
      <c r="A272" s="221"/>
      <c r="B272" s="221"/>
      <c r="C272" s="221"/>
      <c r="D272" s="221"/>
      <c r="E272" s="221"/>
      <c r="F272" s="221"/>
      <c r="G272" s="221"/>
      <c r="H272" s="221"/>
      <c r="I272" s="221"/>
      <c r="J272" s="221"/>
      <c r="K272" s="221"/>
      <c r="L272" s="221"/>
      <c r="M272" s="221"/>
      <c r="N272" s="221"/>
      <c r="O272" s="221"/>
      <c r="P272" s="221"/>
      <c r="Q272" s="221"/>
      <c r="R272" s="221"/>
      <c r="S272" s="221"/>
      <c r="T272" s="221"/>
      <c r="U272" s="221"/>
      <c r="V272" s="221"/>
      <c r="W272" s="221"/>
      <c r="X272" s="221"/>
      <c r="Y272" s="221"/>
      <c r="Z272" s="221"/>
    </row>
    <row r="273" spans="1:26" ht="18.75" customHeight="1">
      <c r="A273" s="221"/>
      <c r="B273" s="221"/>
      <c r="C273" s="221"/>
      <c r="D273" s="221"/>
      <c r="E273" s="221"/>
      <c r="F273" s="221"/>
      <c r="G273" s="221"/>
      <c r="H273" s="221"/>
      <c r="I273" s="221"/>
      <c r="J273" s="221"/>
      <c r="K273" s="221"/>
      <c r="L273" s="221"/>
      <c r="M273" s="221"/>
      <c r="N273" s="221"/>
      <c r="O273" s="221"/>
      <c r="P273" s="221"/>
      <c r="Q273" s="221"/>
      <c r="R273" s="221"/>
      <c r="S273" s="221"/>
      <c r="T273" s="221"/>
      <c r="U273" s="221"/>
      <c r="V273" s="221"/>
      <c r="W273" s="221"/>
      <c r="X273" s="221"/>
      <c r="Y273" s="221"/>
      <c r="Z273" s="221"/>
    </row>
    <row r="274" spans="1:26" ht="18.75" customHeight="1">
      <c r="A274" s="221"/>
      <c r="B274" s="221"/>
      <c r="C274" s="221"/>
      <c r="D274" s="221"/>
      <c r="E274" s="221"/>
      <c r="F274" s="221"/>
      <c r="G274" s="221"/>
      <c r="H274" s="221"/>
      <c r="I274" s="221"/>
      <c r="J274" s="221"/>
      <c r="K274" s="221"/>
      <c r="L274" s="221"/>
      <c r="M274" s="221"/>
      <c r="N274" s="221"/>
      <c r="O274" s="221"/>
      <c r="P274" s="221"/>
      <c r="Q274" s="221"/>
      <c r="R274" s="221"/>
      <c r="S274" s="221"/>
      <c r="T274" s="221"/>
      <c r="U274" s="221"/>
      <c r="V274" s="221"/>
      <c r="W274" s="221"/>
      <c r="X274" s="221"/>
      <c r="Y274" s="221"/>
      <c r="Z274" s="221"/>
    </row>
    <row r="275" spans="1:26" ht="18.75" customHeight="1">
      <c r="A275" s="221"/>
      <c r="B275" s="221"/>
      <c r="C275" s="221"/>
      <c r="D275" s="221"/>
      <c r="E275" s="221"/>
      <c r="F275" s="221"/>
      <c r="G275" s="221"/>
      <c r="H275" s="221"/>
      <c r="I275" s="221"/>
      <c r="J275" s="221"/>
      <c r="K275" s="221"/>
      <c r="L275" s="221"/>
      <c r="M275" s="221"/>
      <c r="N275" s="221"/>
      <c r="O275" s="221"/>
      <c r="P275" s="221"/>
      <c r="Q275" s="221"/>
      <c r="R275" s="221"/>
      <c r="S275" s="221"/>
      <c r="T275" s="221"/>
      <c r="U275" s="221"/>
      <c r="V275" s="221"/>
      <c r="W275" s="221"/>
      <c r="X275" s="221"/>
      <c r="Y275" s="221"/>
      <c r="Z275" s="221"/>
    </row>
    <row r="276" spans="1:26" ht="18.75" customHeight="1">
      <c r="A276" s="221"/>
      <c r="B276" s="221"/>
      <c r="C276" s="221"/>
      <c r="D276" s="221"/>
      <c r="E276" s="221"/>
      <c r="F276" s="221"/>
      <c r="G276" s="221"/>
      <c r="H276" s="221"/>
      <c r="I276" s="221"/>
      <c r="J276" s="221"/>
      <c r="K276" s="221"/>
      <c r="L276" s="221"/>
      <c r="M276" s="221"/>
      <c r="N276" s="221"/>
      <c r="O276" s="221"/>
      <c r="P276" s="221"/>
      <c r="Q276" s="221"/>
      <c r="R276" s="221"/>
      <c r="S276" s="221"/>
      <c r="T276" s="221"/>
      <c r="U276" s="221"/>
      <c r="V276" s="221"/>
      <c r="W276" s="221"/>
      <c r="X276" s="221"/>
      <c r="Y276" s="221"/>
      <c r="Z276" s="221"/>
    </row>
    <row r="277" spans="1:26" ht="18.75" customHeight="1">
      <c r="A277" s="221"/>
      <c r="B277" s="221"/>
      <c r="C277" s="221"/>
      <c r="D277" s="221"/>
      <c r="E277" s="221"/>
      <c r="F277" s="221"/>
      <c r="G277" s="221"/>
      <c r="H277" s="221"/>
      <c r="I277" s="221"/>
      <c r="J277" s="221"/>
      <c r="K277" s="221"/>
      <c r="L277" s="221"/>
      <c r="M277" s="221"/>
      <c r="N277" s="221"/>
      <c r="O277" s="221"/>
      <c r="P277" s="221"/>
      <c r="Q277" s="221"/>
      <c r="R277" s="221"/>
      <c r="S277" s="221"/>
      <c r="T277" s="221"/>
      <c r="U277" s="221"/>
      <c r="V277" s="221"/>
      <c r="W277" s="221"/>
      <c r="X277" s="221"/>
      <c r="Y277" s="221"/>
      <c r="Z277" s="221"/>
    </row>
    <row r="278" spans="1:26" ht="18.75" customHeight="1">
      <c r="A278" s="221"/>
      <c r="B278" s="221"/>
      <c r="C278" s="221"/>
      <c r="D278" s="221"/>
      <c r="E278" s="221"/>
      <c r="F278" s="221"/>
      <c r="G278" s="221"/>
      <c r="H278" s="221"/>
      <c r="I278" s="221"/>
      <c r="J278" s="221"/>
      <c r="K278" s="221"/>
      <c r="L278" s="221"/>
      <c r="M278" s="221"/>
      <c r="N278" s="221"/>
      <c r="O278" s="221"/>
      <c r="P278" s="221"/>
      <c r="Q278" s="221"/>
      <c r="R278" s="221"/>
      <c r="S278" s="221"/>
      <c r="T278" s="221"/>
      <c r="U278" s="221"/>
      <c r="V278" s="221"/>
      <c r="W278" s="221"/>
      <c r="X278" s="221"/>
      <c r="Y278" s="221"/>
      <c r="Z278" s="221"/>
    </row>
    <row r="279" spans="1:26" ht="18.75" customHeight="1">
      <c r="A279" s="221"/>
      <c r="B279" s="221"/>
      <c r="C279" s="221"/>
      <c r="D279" s="221"/>
      <c r="E279" s="221"/>
      <c r="F279" s="221"/>
      <c r="G279" s="221"/>
      <c r="H279" s="221"/>
      <c r="I279" s="221"/>
      <c r="J279" s="221"/>
      <c r="K279" s="221"/>
      <c r="L279" s="221"/>
      <c r="M279" s="221"/>
      <c r="N279" s="221"/>
      <c r="O279" s="221"/>
      <c r="P279" s="221"/>
      <c r="Q279" s="221"/>
      <c r="R279" s="221"/>
      <c r="S279" s="221"/>
      <c r="T279" s="221"/>
      <c r="U279" s="221"/>
      <c r="V279" s="221"/>
      <c r="W279" s="221"/>
      <c r="X279" s="221"/>
      <c r="Y279" s="221"/>
      <c r="Z279" s="221"/>
    </row>
    <row r="280" spans="1:26" ht="18.75" customHeight="1">
      <c r="A280" s="221"/>
      <c r="B280" s="221"/>
      <c r="C280" s="221"/>
      <c r="D280" s="221"/>
      <c r="E280" s="221"/>
      <c r="F280" s="221"/>
      <c r="G280" s="221"/>
      <c r="H280" s="221"/>
      <c r="I280" s="221"/>
      <c r="J280" s="221"/>
      <c r="K280" s="221"/>
      <c r="L280" s="221"/>
      <c r="M280" s="221"/>
      <c r="N280" s="221"/>
      <c r="O280" s="221"/>
      <c r="P280" s="221"/>
      <c r="Q280" s="221"/>
      <c r="R280" s="221"/>
      <c r="S280" s="221"/>
      <c r="T280" s="221"/>
      <c r="U280" s="221"/>
      <c r="V280" s="221"/>
      <c r="W280" s="221"/>
      <c r="X280" s="221"/>
      <c r="Y280" s="221"/>
      <c r="Z280" s="221"/>
    </row>
    <row r="281" spans="1:26" ht="18.75" customHeight="1">
      <c r="A281" s="221"/>
      <c r="B281" s="221"/>
      <c r="C281" s="221"/>
      <c r="D281" s="221"/>
      <c r="E281" s="221"/>
      <c r="F281" s="221"/>
      <c r="G281" s="221"/>
      <c r="H281" s="221"/>
      <c r="I281" s="221"/>
      <c r="J281" s="221"/>
      <c r="K281" s="221"/>
      <c r="L281" s="221"/>
      <c r="M281" s="221"/>
      <c r="N281" s="221"/>
      <c r="O281" s="221"/>
      <c r="P281" s="221"/>
      <c r="Q281" s="221"/>
      <c r="R281" s="221"/>
      <c r="S281" s="221"/>
      <c r="T281" s="221"/>
      <c r="U281" s="221"/>
      <c r="V281" s="221"/>
      <c r="W281" s="221"/>
      <c r="X281" s="221"/>
      <c r="Y281" s="221"/>
      <c r="Z281" s="221"/>
    </row>
    <row r="282" spans="1:26" ht="18.75" customHeight="1">
      <c r="A282" s="221"/>
      <c r="B282" s="221"/>
      <c r="C282" s="221"/>
      <c r="D282" s="221"/>
      <c r="E282" s="221"/>
      <c r="F282" s="221"/>
      <c r="G282" s="221"/>
      <c r="H282" s="221"/>
      <c r="I282" s="221"/>
      <c r="J282" s="221"/>
      <c r="K282" s="221"/>
      <c r="L282" s="221"/>
      <c r="M282" s="221"/>
      <c r="N282" s="221"/>
      <c r="O282" s="221"/>
      <c r="P282" s="221"/>
      <c r="Q282" s="221"/>
      <c r="R282" s="221"/>
      <c r="S282" s="221"/>
      <c r="T282" s="221"/>
      <c r="U282" s="221"/>
      <c r="V282" s="221"/>
      <c r="W282" s="221"/>
      <c r="X282" s="221"/>
      <c r="Y282" s="221"/>
      <c r="Z282" s="221"/>
    </row>
    <row r="283" spans="1:26" ht="18.75" customHeight="1">
      <c r="A283" s="221"/>
      <c r="B283" s="221"/>
      <c r="C283" s="221"/>
      <c r="D283" s="221"/>
      <c r="E283" s="221"/>
      <c r="F283" s="221"/>
      <c r="G283" s="221"/>
      <c r="H283" s="221"/>
      <c r="I283" s="221"/>
      <c r="J283" s="221"/>
      <c r="K283" s="221"/>
      <c r="L283" s="221"/>
      <c r="M283" s="221"/>
      <c r="N283" s="221"/>
      <c r="O283" s="221"/>
      <c r="P283" s="221"/>
      <c r="Q283" s="221"/>
      <c r="R283" s="221"/>
      <c r="S283" s="221"/>
      <c r="T283" s="221"/>
      <c r="U283" s="221"/>
      <c r="V283" s="221"/>
      <c r="W283" s="221"/>
      <c r="X283" s="221"/>
      <c r="Y283" s="221"/>
      <c r="Z283" s="221"/>
    </row>
    <row r="284" spans="1:26" ht="18.75" customHeight="1">
      <c r="A284" s="221"/>
      <c r="B284" s="221"/>
      <c r="C284" s="221"/>
      <c r="D284" s="221"/>
      <c r="E284" s="221"/>
      <c r="F284" s="221"/>
      <c r="G284" s="221"/>
      <c r="H284" s="221"/>
      <c r="I284" s="221"/>
      <c r="J284" s="221"/>
      <c r="K284" s="221"/>
      <c r="L284" s="221"/>
      <c r="M284" s="221"/>
      <c r="N284" s="221"/>
      <c r="O284" s="221"/>
      <c r="P284" s="221"/>
      <c r="Q284" s="221"/>
      <c r="R284" s="221"/>
      <c r="S284" s="221"/>
      <c r="T284" s="221"/>
      <c r="U284" s="221"/>
      <c r="V284" s="221"/>
      <c r="W284" s="221"/>
      <c r="X284" s="221"/>
      <c r="Y284" s="221"/>
      <c r="Z284" s="221"/>
    </row>
    <row r="285" spans="1:26" ht="18.75" customHeight="1">
      <c r="A285" s="221"/>
      <c r="B285" s="221"/>
      <c r="C285" s="221"/>
      <c r="D285" s="221"/>
      <c r="E285" s="221"/>
      <c r="F285" s="221"/>
      <c r="G285" s="221"/>
      <c r="H285" s="221"/>
      <c r="I285" s="221"/>
      <c r="J285" s="221"/>
      <c r="K285" s="221"/>
      <c r="L285" s="221"/>
      <c r="M285" s="221"/>
      <c r="N285" s="221"/>
      <c r="O285" s="221"/>
      <c r="P285" s="221"/>
      <c r="Q285" s="221"/>
      <c r="R285" s="221"/>
      <c r="S285" s="221"/>
      <c r="T285" s="221"/>
      <c r="U285" s="221"/>
      <c r="V285" s="221"/>
      <c r="W285" s="221"/>
      <c r="X285" s="221"/>
      <c r="Y285" s="221"/>
      <c r="Z285" s="221"/>
    </row>
    <row r="286" spans="1:26" ht="18.75" customHeight="1">
      <c r="A286" s="221"/>
      <c r="B286" s="221"/>
      <c r="C286" s="221"/>
      <c r="D286" s="221"/>
      <c r="E286" s="221"/>
      <c r="F286" s="221"/>
      <c r="G286" s="221"/>
      <c r="H286" s="221"/>
      <c r="I286" s="221"/>
      <c r="J286" s="221"/>
      <c r="K286" s="221"/>
      <c r="L286" s="221"/>
      <c r="M286" s="221"/>
      <c r="N286" s="221"/>
      <c r="O286" s="221"/>
      <c r="P286" s="221"/>
      <c r="Q286" s="221"/>
      <c r="R286" s="221"/>
      <c r="S286" s="221"/>
      <c r="T286" s="221"/>
      <c r="U286" s="221"/>
      <c r="V286" s="221"/>
      <c r="W286" s="221"/>
      <c r="X286" s="221"/>
      <c r="Y286" s="221"/>
      <c r="Z286" s="221"/>
    </row>
    <row r="287" spans="1:26" ht="18.75" customHeight="1">
      <c r="A287" s="221"/>
      <c r="B287" s="221"/>
      <c r="C287" s="221"/>
      <c r="D287" s="221"/>
      <c r="E287" s="221"/>
      <c r="F287" s="221"/>
      <c r="G287" s="221"/>
      <c r="H287" s="221"/>
      <c r="I287" s="221"/>
      <c r="J287" s="221"/>
      <c r="K287" s="221"/>
      <c r="L287" s="221"/>
      <c r="M287" s="221"/>
      <c r="N287" s="221"/>
      <c r="O287" s="221"/>
      <c r="P287" s="221"/>
      <c r="Q287" s="221"/>
      <c r="R287" s="221"/>
      <c r="S287" s="221"/>
      <c r="T287" s="221"/>
      <c r="U287" s="221"/>
      <c r="V287" s="221"/>
      <c r="W287" s="221"/>
      <c r="X287" s="221"/>
      <c r="Y287" s="221"/>
      <c r="Z287" s="221"/>
    </row>
    <row r="288" spans="1:26" ht="18.75" customHeight="1">
      <c r="A288" s="221"/>
      <c r="B288" s="221"/>
      <c r="C288" s="221"/>
      <c r="D288" s="221"/>
      <c r="E288" s="221"/>
      <c r="F288" s="221"/>
      <c r="G288" s="221"/>
      <c r="H288" s="221"/>
      <c r="I288" s="221"/>
      <c r="J288" s="221"/>
      <c r="K288" s="221"/>
      <c r="L288" s="221"/>
      <c r="M288" s="221"/>
      <c r="N288" s="221"/>
      <c r="O288" s="221"/>
      <c r="P288" s="221"/>
      <c r="Q288" s="221"/>
      <c r="R288" s="221"/>
      <c r="S288" s="221"/>
      <c r="T288" s="221"/>
      <c r="U288" s="221"/>
      <c r="V288" s="221"/>
      <c r="W288" s="221"/>
      <c r="X288" s="221"/>
      <c r="Y288" s="221"/>
      <c r="Z288" s="221"/>
    </row>
    <row r="289" spans="1:26" ht="18.75" customHeight="1">
      <c r="A289" s="221"/>
      <c r="B289" s="221"/>
      <c r="C289" s="221"/>
      <c r="D289" s="221"/>
      <c r="E289" s="221"/>
      <c r="F289" s="221"/>
      <c r="G289" s="221"/>
      <c r="H289" s="221"/>
      <c r="I289" s="221"/>
      <c r="J289" s="221"/>
      <c r="K289" s="221"/>
      <c r="L289" s="221"/>
      <c r="M289" s="221"/>
      <c r="N289" s="221"/>
      <c r="O289" s="221"/>
      <c r="P289" s="221"/>
      <c r="Q289" s="221"/>
      <c r="R289" s="221"/>
      <c r="S289" s="221"/>
      <c r="T289" s="221"/>
      <c r="U289" s="221"/>
      <c r="V289" s="221"/>
      <c r="W289" s="221"/>
      <c r="X289" s="221"/>
      <c r="Y289" s="221"/>
      <c r="Z289" s="221"/>
    </row>
    <row r="290" spans="1:26" ht="18.75" customHeight="1">
      <c r="A290" s="221"/>
      <c r="B290" s="221"/>
      <c r="C290" s="221"/>
      <c r="D290" s="221"/>
      <c r="E290" s="221"/>
      <c r="F290" s="221"/>
      <c r="G290" s="221"/>
      <c r="H290" s="221"/>
      <c r="I290" s="221"/>
      <c r="J290" s="221"/>
      <c r="K290" s="221"/>
      <c r="L290" s="221"/>
      <c r="M290" s="221"/>
      <c r="N290" s="221"/>
      <c r="O290" s="221"/>
      <c r="P290" s="221"/>
      <c r="Q290" s="221"/>
      <c r="R290" s="221"/>
      <c r="S290" s="221"/>
      <c r="T290" s="221"/>
      <c r="U290" s="221"/>
      <c r="V290" s="221"/>
      <c r="W290" s="221"/>
      <c r="X290" s="221"/>
      <c r="Y290" s="221"/>
      <c r="Z290" s="221"/>
    </row>
    <row r="291" spans="1:26" ht="18.75" customHeight="1">
      <c r="A291" s="221"/>
      <c r="B291" s="221"/>
      <c r="C291" s="221"/>
      <c r="D291" s="221"/>
      <c r="E291" s="221"/>
      <c r="F291" s="221"/>
      <c r="G291" s="221"/>
      <c r="H291" s="221"/>
      <c r="I291" s="221"/>
      <c r="J291" s="221"/>
      <c r="K291" s="221"/>
      <c r="L291" s="221"/>
      <c r="M291" s="221"/>
      <c r="N291" s="221"/>
      <c r="O291" s="221"/>
      <c r="P291" s="221"/>
      <c r="Q291" s="221"/>
      <c r="R291" s="221"/>
      <c r="S291" s="221"/>
      <c r="T291" s="221"/>
      <c r="U291" s="221"/>
      <c r="V291" s="221"/>
      <c r="W291" s="221"/>
      <c r="X291" s="221"/>
      <c r="Y291" s="221"/>
      <c r="Z291" s="221"/>
    </row>
    <row r="292" spans="1:26" ht="18.75" customHeight="1">
      <c r="A292" s="221"/>
      <c r="B292" s="221"/>
      <c r="C292" s="221"/>
      <c r="D292" s="221"/>
      <c r="E292" s="221"/>
      <c r="F292" s="221"/>
      <c r="G292" s="221"/>
      <c r="H292" s="221"/>
      <c r="I292" s="221"/>
      <c r="J292" s="221"/>
      <c r="K292" s="221"/>
      <c r="L292" s="221"/>
      <c r="M292" s="221"/>
      <c r="N292" s="221"/>
      <c r="O292" s="221"/>
      <c r="P292" s="221"/>
      <c r="Q292" s="221"/>
      <c r="R292" s="221"/>
      <c r="S292" s="221"/>
      <c r="T292" s="221"/>
      <c r="U292" s="221"/>
      <c r="V292" s="221"/>
      <c r="W292" s="221"/>
      <c r="X292" s="221"/>
      <c r="Y292" s="221"/>
      <c r="Z292" s="221"/>
    </row>
    <row r="293" spans="1:26" ht="18.75" customHeight="1">
      <c r="A293" s="221"/>
      <c r="B293" s="221"/>
      <c r="C293" s="221"/>
      <c r="D293" s="221"/>
      <c r="E293" s="221"/>
      <c r="F293" s="221"/>
      <c r="G293" s="221"/>
      <c r="H293" s="221"/>
      <c r="I293" s="221"/>
      <c r="J293" s="221"/>
      <c r="K293" s="221"/>
      <c r="L293" s="221"/>
      <c r="M293" s="221"/>
      <c r="N293" s="221"/>
      <c r="O293" s="221"/>
      <c r="P293" s="221"/>
      <c r="Q293" s="221"/>
      <c r="R293" s="221"/>
      <c r="S293" s="221"/>
      <c r="T293" s="221"/>
      <c r="U293" s="221"/>
      <c r="V293" s="221"/>
      <c r="W293" s="221"/>
      <c r="X293" s="221"/>
      <c r="Y293" s="221"/>
      <c r="Z293" s="221"/>
    </row>
    <row r="294" spans="1:26" ht="18.75" customHeight="1">
      <c r="A294" s="221"/>
      <c r="B294" s="221"/>
      <c r="C294" s="221"/>
      <c r="D294" s="221"/>
      <c r="E294" s="221"/>
      <c r="F294" s="221"/>
      <c r="G294" s="221"/>
      <c r="H294" s="221"/>
      <c r="I294" s="221"/>
      <c r="J294" s="221"/>
      <c r="K294" s="221"/>
      <c r="L294" s="221"/>
      <c r="M294" s="221"/>
      <c r="N294" s="221"/>
      <c r="O294" s="221"/>
      <c r="P294" s="221"/>
      <c r="Q294" s="221"/>
      <c r="R294" s="221"/>
      <c r="S294" s="221"/>
      <c r="T294" s="221"/>
      <c r="U294" s="221"/>
      <c r="V294" s="221"/>
      <c r="W294" s="221"/>
      <c r="X294" s="221"/>
      <c r="Y294" s="221"/>
      <c r="Z294" s="221"/>
    </row>
    <row r="295" spans="1:26" ht="18.75" customHeight="1">
      <c r="A295" s="221"/>
      <c r="B295" s="221"/>
      <c r="C295" s="221"/>
      <c r="D295" s="221"/>
      <c r="E295" s="221"/>
      <c r="F295" s="221"/>
      <c r="G295" s="221"/>
      <c r="H295" s="221"/>
      <c r="I295" s="221"/>
      <c r="J295" s="221"/>
      <c r="K295" s="221"/>
      <c r="L295" s="221"/>
      <c r="M295" s="221"/>
      <c r="N295" s="221"/>
      <c r="O295" s="221"/>
      <c r="P295" s="221"/>
      <c r="Q295" s="221"/>
      <c r="R295" s="221"/>
      <c r="S295" s="221"/>
      <c r="T295" s="221"/>
      <c r="U295" s="221"/>
      <c r="V295" s="221"/>
      <c r="W295" s="221"/>
      <c r="X295" s="221"/>
      <c r="Y295" s="221"/>
      <c r="Z295" s="221"/>
    </row>
    <row r="296" spans="1:26" ht="18.75" customHeight="1">
      <c r="A296" s="221"/>
      <c r="B296" s="221"/>
      <c r="C296" s="221"/>
      <c r="D296" s="221"/>
      <c r="E296" s="221"/>
      <c r="F296" s="221"/>
      <c r="G296" s="221"/>
      <c r="H296" s="221"/>
      <c r="I296" s="221"/>
      <c r="J296" s="221"/>
      <c r="K296" s="221"/>
      <c r="L296" s="221"/>
      <c r="M296" s="221"/>
      <c r="N296" s="221"/>
      <c r="O296" s="221"/>
      <c r="P296" s="221"/>
      <c r="Q296" s="221"/>
      <c r="R296" s="221"/>
      <c r="S296" s="221"/>
      <c r="T296" s="221"/>
      <c r="U296" s="221"/>
      <c r="V296" s="221"/>
      <c r="W296" s="221"/>
      <c r="X296" s="221"/>
      <c r="Y296" s="221"/>
      <c r="Z296" s="221"/>
    </row>
    <row r="297" spans="1:26" ht="18.75" customHeight="1">
      <c r="A297" s="221"/>
      <c r="B297" s="221"/>
      <c r="C297" s="221"/>
      <c r="D297" s="221"/>
      <c r="E297" s="221"/>
      <c r="F297" s="221"/>
      <c r="G297" s="221"/>
      <c r="H297" s="221"/>
      <c r="I297" s="221"/>
      <c r="J297" s="221"/>
      <c r="K297" s="221"/>
      <c r="L297" s="221"/>
      <c r="M297" s="221"/>
      <c r="N297" s="221"/>
      <c r="O297" s="221"/>
      <c r="P297" s="221"/>
      <c r="Q297" s="221"/>
      <c r="R297" s="221"/>
      <c r="S297" s="221"/>
      <c r="T297" s="221"/>
      <c r="U297" s="221"/>
      <c r="V297" s="221"/>
      <c r="W297" s="221"/>
      <c r="X297" s="221"/>
      <c r="Y297" s="221"/>
      <c r="Z297" s="221"/>
    </row>
    <row r="298" spans="1:26" ht="18.75" customHeight="1">
      <c r="A298" s="221"/>
      <c r="B298" s="221"/>
      <c r="C298" s="221"/>
      <c r="D298" s="221"/>
      <c r="E298" s="221"/>
      <c r="F298" s="221"/>
      <c r="G298" s="221"/>
      <c r="H298" s="221"/>
      <c r="I298" s="221"/>
      <c r="J298" s="221"/>
      <c r="K298" s="221"/>
      <c r="L298" s="221"/>
      <c r="M298" s="221"/>
      <c r="N298" s="221"/>
      <c r="O298" s="221"/>
      <c r="P298" s="221"/>
      <c r="Q298" s="221"/>
      <c r="R298" s="221"/>
      <c r="S298" s="221"/>
      <c r="T298" s="221"/>
      <c r="U298" s="221"/>
      <c r="V298" s="221"/>
      <c r="W298" s="221"/>
      <c r="X298" s="221"/>
      <c r="Y298" s="221"/>
      <c r="Z298" s="221"/>
    </row>
    <row r="299" spans="1:26" ht="18.75" customHeight="1">
      <c r="A299" s="221"/>
      <c r="B299" s="221"/>
      <c r="C299" s="221"/>
      <c r="D299" s="221"/>
      <c r="E299" s="221"/>
      <c r="F299" s="221"/>
      <c r="G299" s="221"/>
      <c r="H299" s="221"/>
      <c r="I299" s="221"/>
      <c r="J299" s="221"/>
      <c r="K299" s="221"/>
      <c r="L299" s="221"/>
      <c r="M299" s="221"/>
      <c r="N299" s="221"/>
      <c r="O299" s="221"/>
      <c r="P299" s="221"/>
      <c r="Q299" s="221"/>
      <c r="R299" s="221"/>
      <c r="S299" s="221"/>
      <c r="T299" s="221"/>
      <c r="U299" s="221"/>
      <c r="V299" s="221"/>
      <c r="W299" s="221"/>
      <c r="X299" s="221"/>
      <c r="Y299" s="221"/>
      <c r="Z299" s="221"/>
    </row>
    <row r="300" spans="1:26" ht="18.75" customHeight="1">
      <c r="A300" s="221"/>
      <c r="B300" s="221"/>
      <c r="C300" s="221"/>
      <c r="D300" s="221"/>
      <c r="E300" s="221"/>
      <c r="F300" s="221"/>
      <c r="G300" s="221"/>
      <c r="H300" s="221"/>
      <c r="I300" s="221"/>
      <c r="J300" s="221"/>
      <c r="K300" s="221"/>
      <c r="L300" s="221"/>
      <c r="M300" s="221"/>
      <c r="N300" s="221"/>
      <c r="O300" s="221"/>
      <c r="P300" s="221"/>
      <c r="Q300" s="221"/>
      <c r="R300" s="221"/>
      <c r="S300" s="221"/>
      <c r="T300" s="221"/>
      <c r="U300" s="221"/>
      <c r="V300" s="221"/>
      <c r="W300" s="221"/>
      <c r="X300" s="221"/>
      <c r="Y300" s="221"/>
      <c r="Z300" s="221"/>
    </row>
    <row r="301" spans="1:26" ht="18.75" customHeight="1">
      <c r="A301" s="221"/>
      <c r="B301" s="221"/>
      <c r="C301" s="221"/>
      <c r="D301" s="221"/>
      <c r="E301" s="221"/>
      <c r="F301" s="221"/>
      <c r="G301" s="221"/>
      <c r="H301" s="221"/>
      <c r="I301" s="221"/>
      <c r="J301" s="221"/>
      <c r="K301" s="221"/>
      <c r="L301" s="221"/>
      <c r="M301" s="221"/>
      <c r="N301" s="221"/>
      <c r="O301" s="221"/>
      <c r="P301" s="221"/>
      <c r="Q301" s="221"/>
      <c r="R301" s="221"/>
      <c r="S301" s="221"/>
      <c r="T301" s="221"/>
      <c r="U301" s="221"/>
      <c r="V301" s="221"/>
      <c r="W301" s="221"/>
      <c r="X301" s="221"/>
      <c r="Y301" s="221"/>
      <c r="Z301" s="221"/>
    </row>
    <row r="302" spans="1:26" ht="18.75" customHeight="1">
      <c r="A302" s="221"/>
      <c r="B302" s="221"/>
      <c r="C302" s="221"/>
      <c r="D302" s="221"/>
      <c r="E302" s="221"/>
      <c r="F302" s="221"/>
      <c r="G302" s="221"/>
      <c r="H302" s="221"/>
      <c r="I302" s="221"/>
      <c r="J302" s="221"/>
      <c r="K302" s="221"/>
      <c r="L302" s="221"/>
      <c r="M302" s="221"/>
      <c r="N302" s="221"/>
      <c r="O302" s="221"/>
      <c r="P302" s="221"/>
      <c r="Q302" s="221"/>
      <c r="R302" s="221"/>
      <c r="S302" s="221"/>
      <c r="T302" s="221"/>
      <c r="U302" s="221"/>
      <c r="V302" s="221"/>
      <c r="W302" s="221"/>
      <c r="X302" s="221"/>
      <c r="Y302" s="221"/>
      <c r="Z302" s="221"/>
    </row>
    <row r="303" spans="1:26" ht="18.75" customHeight="1">
      <c r="A303" s="221"/>
      <c r="B303" s="221"/>
      <c r="C303" s="221"/>
      <c r="D303" s="221"/>
      <c r="E303" s="221"/>
      <c r="F303" s="221"/>
      <c r="G303" s="221"/>
      <c r="H303" s="221"/>
      <c r="I303" s="221"/>
      <c r="J303" s="221"/>
      <c r="K303" s="221"/>
      <c r="L303" s="221"/>
      <c r="M303" s="221"/>
      <c r="N303" s="221"/>
      <c r="O303" s="221"/>
      <c r="P303" s="221"/>
      <c r="Q303" s="221"/>
      <c r="R303" s="221"/>
      <c r="S303" s="221"/>
      <c r="T303" s="221"/>
      <c r="U303" s="221"/>
      <c r="V303" s="221"/>
      <c r="W303" s="221"/>
      <c r="X303" s="221"/>
      <c r="Y303" s="221"/>
      <c r="Z303" s="221"/>
    </row>
    <row r="304" spans="1:26" ht="18.75" customHeight="1">
      <c r="A304" s="221"/>
      <c r="B304" s="221"/>
      <c r="C304" s="221"/>
      <c r="D304" s="221"/>
      <c r="E304" s="221"/>
      <c r="F304" s="221"/>
      <c r="G304" s="221"/>
      <c r="H304" s="221"/>
      <c r="I304" s="221"/>
      <c r="J304" s="221"/>
      <c r="K304" s="221"/>
      <c r="L304" s="221"/>
      <c r="M304" s="221"/>
      <c r="N304" s="221"/>
      <c r="O304" s="221"/>
      <c r="P304" s="221"/>
      <c r="Q304" s="221"/>
      <c r="R304" s="221"/>
      <c r="S304" s="221"/>
      <c r="T304" s="221"/>
      <c r="U304" s="221"/>
      <c r="V304" s="221"/>
      <c r="W304" s="221"/>
      <c r="X304" s="221"/>
      <c r="Y304" s="221"/>
      <c r="Z304" s="221"/>
    </row>
    <row r="305" spans="1:26" ht="18.75" customHeight="1">
      <c r="A305" s="221"/>
      <c r="B305" s="221"/>
      <c r="C305" s="221"/>
      <c r="D305" s="221"/>
      <c r="E305" s="221"/>
      <c r="F305" s="221"/>
      <c r="G305" s="221"/>
      <c r="H305" s="221"/>
      <c r="I305" s="221"/>
      <c r="J305" s="221"/>
      <c r="K305" s="221"/>
      <c r="L305" s="221"/>
      <c r="M305" s="221"/>
      <c r="N305" s="221"/>
      <c r="O305" s="221"/>
      <c r="P305" s="221"/>
      <c r="Q305" s="221"/>
      <c r="R305" s="221"/>
      <c r="S305" s="221"/>
      <c r="T305" s="221"/>
      <c r="U305" s="221"/>
      <c r="V305" s="221"/>
      <c r="W305" s="221"/>
      <c r="X305" s="221"/>
      <c r="Y305" s="221"/>
      <c r="Z305" s="221"/>
    </row>
    <row r="306" spans="1:26" ht="18.75" customHeight="1">
      <c r="A306" s="221"/>
      <c r="B306" s="221"/>
      <c r="C306" s="221"/>
      <c r="D306" s="221"/>
      <c r="E306" s="221"/>
      <c r="F306" s="221"/>
      <c r="G306" s="221"/>
      <c r="H306" s="221"/>
      <c r="I306" s="221"/>
      <c r="J306" s="221"/>
      <c r="K306" s="221"/>
      <c r="L306" s="221"/>
      <c r="M306" s="221"/>
      <c r="N306" s="221"/>
      <c r="O306" s="221"/>
      <c r="P306" s="221"/>
      <c r="Q306" s="221"/>
      <c r="R306" s="221"/>
      <c r="S306" s="221"/>
      <c r="T306" s="221"/>
      <c r="U306" s="221"/>
      <c r="V306" s="221"/>
      <c r="W306" s="221"/>
      <c r="X306" s="221"/>
      <c r="Y306" s="221"/>
      <c r="Z306" s="221"/>
    </row>
    <row r="307" spans="1:26" ht="18.75" customHeight="1">
      <c r="A307" s="221"/>
      <c r="B307" s="221"/>
      <c r="C307" s="221"/>
      <c r="D307" s="221"/>
      <c r="E307" s="221"/>
      <c r="F307" s="221"/>
      <c r="G307" s="221"/>
      <c r="H307" s="221"/>
      <c r="I307" s="221"/>
      <c r="J307" s="221"/>
      <c r="K307" s="221"/>
      <c r="L307" s="221"/>
      <c r="M307" s="221"/>
      <c r="N307" s="221"/>
      <c r="O307" s="221"/>
      <c r="P307" s="221"/>
      <c r="Q307" s="221"/>
      <c r="R307" s="221"/>
      <c r="S307" s="221"/>
      <c r="T307" s="221"/>
      <c r="U307" s="221"/>
      <c r="V307" s="221"/>
      <c r="W307" s="221"/>
      <c r="X307" s="221"/>
      <c r="Y307" s="221"/>
      <c r="Z307" s="221"/>
    </row>
    <row r="308" spans="1:26" ht="18.75" customHeight="1">
      <c r="A308" s="221"/>
      <c r="B308" s="221"/>
      <c r="C308" s="221"/>
      <c r="D308" s="221"/>
      <c r="E308" s="221"/>
      <c r="F308" s="221"/>
      <c r="G308" s="221"/>
      <c r="H308" s="221"/>
      <c r="I308" s="221"/>
      <c r="J308" s="221"/>
      <c r="K308" s="221"/>
      <c r="L308" s="221"/>
      <c r="M308" s="221"/>
      <c r="N308" s="221"/>
      <c r="O308" s="221"/>
      <c r="P308" s="221"/>
      <c r="Q308" s="221"/>
      <c r="R308" s="221"/>
      <c r="S308" s="221"/>
      <c r="T308" s="221"/>
      <c r="U308" s="221"/>
      <c r="V308" s="221"/>
      <c r="W308" s="221"/>
      <c r="X308" s="221"/>
      <c r="Y308" s="221"/>
      <c r="Z308" s="221"/>
    </row>
    <row r="309" spans="1:26" ht="18.75" customHeight="1">
      <c r="A309" s="221"/>
      <c r="B309" s="221"/>
      <c r="C309" s="221"/>
      <c r="D309" s="221"/>
      <c r="E309" s="221"/>
      <c r="F309" s="221"/>
      <c r="G309" s="221"/>
      <c r="H309" s="221"/>
      <c r="I309" s="221"/>
      <c r="J309" s="221"/>
      <c r="K309" s="221"/>
      <c r="L309" s="221"/>
      <c r="M309" s="221"/>
      <c r="N309" s="221"/>
      <c r="O309" s="221"/>
      <c r="P309" s="221"/>
      <c r="Q309" s="221"/>
      <c r="R309" s="221"/>
      <c r="S309" s="221"/>
      <c r="T309" s="221"/>
      <c r="U309" s="221"/>
      <c r="V309" s="221"/>
      <c r="W309" s="221"/>
      <c r="X309" s="221"/>
      <c r="Y309" s="221"/>
      <c r="Z309" s="221"/>
    </row>
    <row r="310" spans="1:26" ht="18.75" customHeight="1">
      <c r="A310" s="221"/>
      <c r="B310" s="221"/>
      <c r="C310" s="221"/>
      <c r="D310" s="221"/>
      <c r="E310" s="221"/>
      <c r="F310" s="221"/>
      <c r="G310" s="221"/>
      <c r="H310" s="221"/>
      <c r="I310" s="221"/>
      <c r="J310" s="221"/>
      <c r="K310" s="221"/>
      <c r="L310" s="221"/>
      <c r="M310" s="221"/>
      <c r="N310" s="221"/>
      <c r="O310" s="221"/>
      <c r="P310" s="221"/>
      <c r="Q310" s="221"/>
      <c r="R310" s="221"/>
      <c r="S310" s="221"/>
      <c r="T310" s="221"/>
      <c r="U310" s="221"/>
      <c r="V310" s="221"/>
      <c r="W310" s="221"/>
      <c r="X310" s="221"/>
      <c r="Y310" s="221"/>
      <c r="Z310" s="221"/>
    </row>
    <row r="311" spans="1:26" ht="18.75" customHeight="1">
      <c r="A311" s="221"/>
      <c r="B311" s="221"/>
      <c r="C311" s="221"/>
      <c r="D311" s="221"/>
      <c r="E311" s="221"/>
      <c r="F311" s="221"/>
      <c r="G311" s="221"/>
      <c r="H311" s="221"/>
      <c r="I311" s="221"/>
      <c r="J311" s="221"/>
      <c r="K311" s="221"/>
      <c r="L311" s="221"/>
      <c r="M311" s="221"/>
      <c r="N311" s="221"/>
      <c r="O311" s="221"/>
      <c r="P311" s="221"/>
      <c r="Q311" s="221"/>
      <c r="R311" s="221"/>
      <c r="S311" s="221"/>
      <c r="T311" s="221"/>
      <c r="U311" s="221"/>
      <c r="V311" s="221"/>
      <c r="W311" s="221"/>
      <c r="X311" s="221"/>
      <c r="Y311" s="221"/>
      <c r="Z311" s="221"/>
    </row>
    <row r="312" spans="1:26" ht="18.75" customHeight="1">
      <c r="A312" s="221"/>
      <c r="B312" s="221"/>
      <c r="C312" s="221"/>
      <c r="D312" s="221"/>
      <c r="E312" s="221"/>
      <c r="F312" s="221"/>
      <c r="G312" s="221"/>
      <c r="H312" s="221"/>
      <c r="I312" s="221"/>
      <c r="J312" s="221"/>
      <c r="K312" s="221"/>
      <c r="L312" s="221"/>
      <c r="M312" s="221"/>
      <c r="N312" s="221"/>
      <c r="O312" s="221"/>
      <c r="P312" s="221"/>
      <c r="Q312" s="221"/>
      <c r="R312" s="221"/>
      <c r="S312" s="221"/>
      <c r="T312" s="221"/>
      <c r="U312" s="221"/>
      <c r="V312" s="221"/>
      <c r="W312" s="221"/>
      <c r="X312" s="221"/>
      <c r="Y312" s="221"/>
      <c r="Z312" s="221"/>
    </row>
    <row r="313" spans="1:26" ht="18.75" customHeight="1">
      <c r="A313" s="221"/>
      <c r="B313" s="221"/>
      <c r="C313" s="221"/>
      <c r="D313" s="221"/>
      <c r="E313" s="221"/>
      <c r="F313" s="221"/>
      <c r="G313" s="221"/>
      <c r="H313" s="221"/>
      <c r="I313" s="221"/>
      <c r="J313" s="221"/>
      <c r="K313" s="221"/>
      <c r="L313" s="221"/>
      <c r="M313" s="221"/>
      <c r="N313" s="221"/>
      <c r="O313" s="221"/>
      <c r="P313" s="221"/>
      <c r="Q313" s="221"/>
      <c r="R313" s="221"/>
      <c r="S313" s="221"/>
      <c r="T313" s="221"/>
      <c r="U313" s="221"/>
      <c r="V313" s="221"/>
      <c r="W313" s="221"/>
      <c r="X313" s="221"/>
      <c r="Y313" s="221"/>
      <c r="Z313" s="221"/>
    </row>
    <row r="314" spans="1:26" ht="18.75" customHeight="1">
      <c r="A314" s="221"/>
      <c r="B314" s="221"/>
      <c r="C314" s="221"/>
      <c r="D314" s="221"/>
      <c r="E314" s="221"/>
      <c r="F314" s="221"/>
      <c r="G314" s="221"/>
      <c r="H314" s="221"/>
      <c r="I314" s="221"/>
      <c r="J314" s="221"/>
      <c r="K314" s="221"/>
      <c r="L314" s="221"/>
      <c r="M314" s="221"/>
      <c r="N314" s="221"/>
      <c r="O314" s="221"/>
      <c r="P314" s="221"/>
      <c r="Q314" s="221"/>
      <c r="R314" s="221"/>
      <c r="S314" s="221"/>
      <c r="T314" s="221"/>
      <c r="U314" s="221"/>
      <c r="V314" s="221"/>
      <c r="W314" s="221"/>
      <c r="X314" s="221"/>
      <c r="Y314" s="221"/>
      <c r="Z314" s="221"/>
    </row>
    <row r="315" spans="1:26" ht="18.75" customHeight="1">
      <c r="A315" s="221"/>
      <c r="B315" s="221"/>
      <c r="C315" s="221"/>
      <c r="D315" s="221"/>
      <c r="E315" s="221"/>
      <c r="F315" s="221"/>
      <c r="G315" s="221"/>
      <c r="H315" s="221"/>
      <c r="I315" s="221"/>
      <c r="J315" s="221"/>
      <c r="K315" s="221"/>
      <c r="L315" s="221"/>
      <c r="M315" s="221"/>
      <c r="N315" s="221"/>
      <c r="O315" s="221"/>
      <c r="P315" s="221"/>
      <c r="Q315" s="221"/>
      <c r="R315" s="221"/>
      <c r="S315" s="221"/>
      <c r="T315" s="221"/>
      <c r="U315" s="221"/>
      <c r="V315" s="221"/>
      <c r="W315" s="221"/>
      <c r="X315" s="221"/>
      <c r="Y315" s="221"/>
      <c r="Z315" s="221"/>
    </row>
    <row r="316" spans="1:26" ht="18.75" customHeight="1">
      <c r="A316" s="221"/>
      <c r="B316" s="221"/>
      <c r="C316" s="221"/>
      <c r="D316" s="221"/>
      <c r="E316" s="221"/>
      <c r="F316" s="221"/>
      <c r="G316" s="221"/>
      <c r="H316" s="221"/>
      <c r="I316" s="221"/>
      <c r="J316" s="221"/>
      <c r="K316" s="221"/>
      <c r="L316" s="221"/>
      <c r="M316" s="221"/>
      <c r="N316" s="221"/>
      <c r="O316" s="221"/>
      <c r="P316" s="221"/>
      <c r="Q316" s="221"/>
      <c r="R316" s="221"/>
      <c r="S316" s="221"/>
      <c r="T316" s="221"/>
      <c r="U316" s="221"/>
      <c r="V316" s="221"/>
      <c r="W316" s="221"/>
      <c r="X316" s="221"/>
      <c r="Y316" s="221"/>
      <c r="Z316" s="221"/>
    </row>
    <row r="317" spans="1:26" ht="18.75" customHeight="1">
      <c r="A317" s="221"/>
      <c r="B317" s="221"/>
      <c r="C317" s="221"/>
      <c r="D317" s="221"/>
      <c r="E317" s="221"/>
      <c r="F317" s="221"/>
      <c r="G317" s="221"/>
      <c r="H317" s="221"/>
      <c r="I317" s="221"/>
      <c r="J317" s="221"/>
      <c r="K317" s="221"/>
      <c r="L317" s="221"/>
      <c r="M317" s="221"/>
      <c r="N317" s="221"/>
      <c r="O317" s="221"/>
      <c r="P317" s="221"/>
      <c r="Q317" s="221"/>
      <c r="R317" s="221"/>
      <c r="S317" s="221"/>
      <c r="T317" s="221"/>
      <c r="U317" s="221"/>
      <c r="V317" s="221"/>
      <c r="W317" s="221"/>
      <c r="X317" s="221"/>
      <c r="Y317" s="221"/>
      <c r="Z317" s="221"/>
    </row>
    <row r="318" spans="1:26" ht="18.75" customHeight="1">
      <c r="A318" s="221"/>
      <c r="B318" s="221"/>
      <c r="C318" s="221"/>
      <c r="D318" s="221"/>
      <c r="E318" s="221"/>
      <c r="F318" s="221"/>
      <c r="G318" s="221"/>
      <c r="H318" s="221"/>
      <c r="I318" s="221"/>
      <c r="J318" s="221"/>
      <c r="K318" s="221"/>
      <c r="L318" s="221"/>
      <c r="M318" s="221"/>
      <c r="N318" s="221"/>
      <c r="O318" s="221"/>
      <c r="P318" s="221"/>
      <c r="Q318" s="221"/>
      <c r="R318" s="221"/>
      <c r="S318" s="221"/>
      <c r="T318" s="221"/>
      <c r="U318" s="221"/>
      <c r="V318" s="221"/>
      <c r="W318" s="221"/>
      <c r="X318" s="221"/>
      <c r="Y318" s="221"/>
      <c r="Z318" s="221"/>
    </row>
    <row r="319" spans="1:26" ht="18.75" customHeight="1">
      <c r="A319" s="221"/>
      <c r="B319" s="221"/>
      <c r="C319" s="221"/>
      <c r="D319" s="221"/>
      <c r="E319" s="221"/>
      <c r="F319" s="221"/>
      <c r="G319" s="221"/>
      <c r="H319" s="221"/>
      <c r="I319" s="221"/>
      <c r="J319" s="221"/>
      <c r="K319" s="221"/>
      <c r="L319" s="221"/>
      <c r="M319" s="221"/>
      <c r="N319" s="221"/>
      <c r="O319" s="221"/>
      <c r="P319" s="221"/>
      <c r="Q319" s="221"/>
      <c r="R319" s="221"/>
      <c r="S319" s="221"/>
      <c r="T319" s="221"/>
      <c r="U319" s="221"/>
      <c r="V319" s="221"/>
      <c r="W319" s="221"/>
      <c r="X319" s="221"/>
      <c r="Y319" s="221"/>
      <c r="Z319" s="221"/>
    </row>
    <row r="320" spans="1:26" ht="18.75" customHeight="1">
      <c r="A320" s="221"/>
      <c r="B320" s="221"/>
      <c r="C320" s="221"/>
      <c r="D320" s="221"/>
      <c r="E320" s="221"/>
      <c r="F320" s="221"/>
      <c r="G320" s="221"/>
      <c r="H320" s="221"/>
      <c r="I320" s="221"/>
      <c r="J320" s="221"/>
      <c r="K320" s="221"/>
      <c r="L320" s="221"/>
      <c r="M320" s="221"/>
      <c r="N320" s="221"/>
      <c r="O320" s="221"/>
      <c r="P320" s="221"/>
      <c r="Q320" s="221"/>
      <c r="R320" s="221"/>
      <c r="S320" s="221"/>
      <c r="T320" s="221"/>
      <c r="U320" s="221"/>
      <c r="V320" s="221"/>
      <c r="W320" s="221"/>
      <c r="X320" s="221"/>
      <c r="Y320" s="221"/>
      <c r="Z320" s="221"/>
    </row>
    <row r="321" spans="1:26" ht="18.75" customHeight="1">
      <c r="A321" s="221"/>
      <c r="B321" s="221"/>
      <c r="C321" s="221"/>
      <c r="D321" s="221"/>
      <c r="E321" s="221"/>
      <c r="F321" s="221"/>
      <c r="G321" s="221"/>
      <c r="H321" s="221"/>
      <c r="I321" s="221"/>
      <c r="J321" s="221"/>
      <c r="K321" s="221"/>
      <c r="L321" s="221"/>
      <c r="M321" s="221"/>
      <c r="N321" s="221"/>
      <c r="O321" s="221"/>
      <c r="P321" s="221"/>
      <c r="Q321" s="221"/>
      <c r="R321" s="221"/>
      <c r="S321" s="221"/>
      <c r="T321" s="221"/>
      <c r="U321" s="221"/>
      <c r="V321" s="221"/>
      <c r="W321" s="221"/>
      <c r="X321" s="221"/>
      <c r="Y321" s="221"/>
      <c r="Z321" s="221"/>
    </row>
    <row r="322" spans="1:26" ht="18.75" customHeight="1">
      <c r="A322" s="221"/>
      <c r="B322" s="221"/>
      <c r="C322" s="221"/>
      <c r="D322" s="221"/>
      <c r="E322" s="221"/>
      <c r="F322" s="221"/>
      <c r="G322" s="221"/>
      <c r="H322" s="221"/>
      <c r="I322" s="221"/>
      <c r="J322" s="221"/>
      <c r="K322" s="221"/>
      <c r="L322" s="221"/>
      <c r="M322" s="221"/>
      <c r="N322" s="221"/>
      <c r="O322" s="221"/>
      <c r="P322" s="221"/>
      <c r="Q322" s="221"/>
      <c r="R322" s="221"/>
      <c r="S322" s="221"/>
      <c r="T322" s="221"/>
      <c r="U322" s="221"/>
      <c r="V322" s="221"/>
      <c r="W322" s="221"/>
      <c r="X322" s="221"/>
      <c r="Y322" s="221"/>
      <c r="Z322" s="221"/>
    </row>
    <row r="323" spans="1:26" ht="18.75" customHeight="1">
      <c r="A323" s="221"/>
      <c r="B323" s="221"/>
      <c r="C323" s="221"/>
      <c r="D323" s="221"/>
      <c r="E323" s="221"/>
      <c r="F323" s="221"/>
      <c r="G323" s="221"/>
      <c r="H323" s="221"/>
      <c r="I323" s="221"/>
      <c r="J323" s="221"/>
      <c r="K323" s="221"/>
      <c r="L323" s="221"/>
      <c r="M323" s="221"/>
      <c r="N323" s="221"/>
      <c r="O323" s="221"/>
      <c r="P323" s="221"/>
      <c r="Q323" s="221"/>
      <c r="R323" s="221"/>
      <c r="S323" s="221"/>
      <c r="T323" s="221"/>
      <c r="U323" s="221"/>
      <c r="V323" s="221"/>
      <c r="W323" s="221"/>
      <c r="X323" s="221"/>
      <c r="Y323" s="221"/>
      <c r="Z323" s="221"/>
    </row>
    <row r="324" spans="1:26" ht="18.75" customHeight="1">
      <c r="A324" s="221"/>
      <c r="B324" s="221"/>
      <c r="C324" s="221"/>
      <c r="D324" s="221"/>
      <c r="E324" s="221"/>
      <c r="F324" s="221"/>
      <c r="G324" s="221"/>
      <c r="H324" s="221"/>
      <c r="I324" s="221"/>
      <c r="J324" s="221"/>
      <c r="K324" s="221"/>
      <c r="L324" s="221"/>
      <c r="M324" s="221"/>
      <c r="N324" s="221"/>
      <c r="O324" s="221"/>
      <c r="P324" s="221"/>
      <c r="Q324" s="221"/>
      <c r="R324" s="221"/>
      <c r="S324" s="221"/>
      <c r="T324" s="221"/>
      <c r="U324" s="221"/>
      <c r="V324" s="221"/>
      <c r="W324" s="221"/>
      <c r="X324" s="221"/>
      <c r="Y324" s="221"/>
      <c r="Z324" s="221"/>
    </row>
    <row r="325" spans="1:26" ht="18.75" customHeight="1">
      <c r="A325" s="221"/>
      <c r="B325" s="221"/>
      <c r="C325" s="221"/>
      <c r="D325" s="221"/>
      <c r="E325" s="221"/>
      <c r="F325" s="221"/>
      <c r="G325" s="221"/>
      <c r="H325" s="221"/>
      <c r="I325" s="221"/>
      <c r="J325" s="221"/>
      <c r="K325" s="221"/>
      <c r="L325" s="221"/>
      <c r="M325" s="221"/>
      <c r="N325" s="221"/>
      <c r="O325" s="221"/>
      <c r="P325" s="221"/>
      <c r="Q325" s="221"/>
      <c r="R325" s="221"/>
      <c r="S325" s="221"/>
      <c r="T325" s="221"/>
      <c r="U325" s="221"/>
      <c r="V325" s="221"/>
      <c r="W325" s="221"/>
      <c r="X325" s="221"/>
      <c r="Y325" s="221"/>
      <c r="Z325" s="221"/>
    </row>
    <row r="326" spans="1:26" ht="18.75" customHeight="1">
      <c r="A326" s="221"/>
      <c r="B326" s="221"/>
      <c r="C326" s="221"/>
      <c r="D326" s="221"/>
      <c r="E326" s="221"/>
      <c r="F326" s="221"/>
      <c r="G326" s="221"/>
      <c r="H326" s="221"/>
      <c r="I326" s="221"/>
      <c r="J326" s="221"/>
      <c r="K326" s="221"/>
      <c r="L326" s="221"/>
      <c r="M326" s="221"/>
      <c r="N326" s="221"/>
      <c r="O326" s="221"/>
      <c r="P326" s="221"/>
      <c r="Q326" s="221"/>
      <c r="R326" s="221"/>
      <c r="S326" s="221"/>
      <c r="T326" s="221"/>
      <c r="U326" s="221"/>
      <c r="V326" s="221"/>
      <c r="W326" s="221"/>
      <c r="X326" s="221"/>
      <c r="Y326" s="221"/>
      <c r="Z326" s="221"/>
    </row>
    <row r="327" spans="1:26" ht="18.75" customHeight="1">
      <c r="A327" s="221"/>
      <c r="B327" s="221"/>
      <c r="C327" s="221"/>
      <c r="D327" s="221"/>
      <c r="E327" s="221"/>
      <c r="F327" s="221"/>
      <c r="G327" s="221"/>
      <c r="H327" s="221"/>
      <c r="I327" s="221"/>
      <c r="J327" s="221"/>
      <c r="K327" s="221"/>
      <c r="L327" s="221"/>
      <c r="M327" s="221"/>
      <c r="N327" s="221"/>
      <c r="O327" s="221"/>
      <c r="P327" s="221"/>
      <c r="Q327" s="221"/>
      <c r="R327" s="221"/>
      <c r="S327" s="221"/>
      <c r="T327" s="221"/>
      <c r="U327" s="221"/>
      <c r="V327" s="221"/>
      <c r="W327" s="221"/>
      <c r="X327" s="221"/>
      <c r="Y327" s="221"/>
      <c r="Z327" s="221"/>
    </row>
    <row r="328" spans="1:26" ht="18.75" customHeight="1">
      <c r="A328" s="221"/>
      <c r="B328" s="221"/>
      <c r="C328" s="221"/>
      <c r="D328" s="221"/>
      <c r="E328" s="221"/>
      <c r="F328" s="221"/>
      <c r="G328" s="221"/>
      <c r="H328" s="221"/>
      <c r="I328" s="221"/>
      <c r="J328" s="221"/>
      <c r="K328" s="221"/>
      <c r="L328" s="221"/>
      <c r="M328" s="221"/>
      <c r="N328" s="221"/>
      <c r="O328" s="221"/>
      <c r="P328" s="221"/>
      <c r="Q328" s="221"/>
      <c r="R328" s="221"/>
      <c r="S328" s="221"/>
      <c r="T328" s="221"/>
      <c r="U328" s="221"/>
      <c r="V328" s="221"/>
      <c r="W328" s="221"/>
      <c r="X328" s="221"/>
      <c r="Y328" s="221"/>
      <c r="Z328" s="221"/>
    </row>
    <row r="329" spans="1:26" ht="18.75" customHeight="1">
      <c r="A329" s="221"/>
      <c r="B329" s="221"/>
      <c r="C329" s="221"/>
      <c r="D329" s="221"/>
      <c r="E329" s="221"/>
      <c r="F329" s="221"/>
      <c r="G329" s="221"/>
      <c r="H329" s="221"/>
      <c r="I329" s="221"/>
      <c r="J329" s="221"/>
      <c r="K329" s="221"/>
      <c r="L329" s="221"/>
      <c r="M329" s="221"/>
      <c r="N329" s="221"/>
      <c r="O329" s="221"/>
      <c r="P329" s="221"/>
      <c r="Q329" s="221"/>
      <c r="R329" s="221"/>
      <c r="S329" s="221"/>
      <c r="T329" s="221"/>
      <c r="U329" s="221"/>
      <c r="V329" s="221"/>
      <c r="W329" s="221"/>
      <c r="X329" s="221"/>
      <c r="Y329" s="221"/>
      <c r="Z329" s="221"/>
    </row>
    <row r="330" spans="1:26" ht="18.75" customHeight="1">
      <c r="A330" s="221"/>
      <c r="B330" s="221"/>
      <c r="C330" s="221"/>
      <c r="D330" s="221"/>
      <c r="E330" s="221"/>
      <c r="F330" s="221"/>
      <c r="G330" s="221"/>
      <c r="H330" s="221"/>
      <c r="I330" s="221"/>
      <c r="J330" s="221"/>
      <c r="K330" s="221"/>
      <c r="L330" s="221"/>
      <c r="M330" s="221"/>
      <c r="N330" s="221"/>
      <c r="O330" s="221"/>
      <c r="P330" s="221"/>
      <c r="Q330" s="221"/>
      <c r="R330" s="221"/>
      <c r="S330" s="221"/>
      <c r="T330" s="221"/>
      <c r="U330" s="221"/>
      <c r="V330" s="221"/>
      <c r="W330" s="221"/>
      <c r="X330" s="221"/>
      <c r="Y330" s="221"/>
      <c r="Z330" s="221"/>
    </row>
    <row r="331" spans="1:26" ht="18.75" customHeight="1">
      <c r="A331" s="221"/>
      <c r="B331" s="221"/>
      <c r="C331" s="221"/>
      <c r="D331" s="221"/>
      <c r="E331" s="221"/>
      <c r="F331" s="221"/>
      <c r="G331" s="221"/>
      <c r="H331" s="221"/>
      <c r="I331" s="221"/>
      <c r="J331" s="221"/>
      <c r="K331" s="221"/>
      <c r="L331" s="221"/>
      <c r="M331" s="221"/>
      <c r="N331" s="221"/>
      <c r="O331" s="221"/>
      <c r="P331" s="221"/>
      <c r="Q331" s="221"/>
      <c r="R331" s="221"/>
      <c r="S331" s="221"/>
      <c r="T331" s="221"/>
      <c r="U331" s="221"/>
      <c r="V331" s="221"/>
      <c r="W331" s="221"/>
      <c r="X331" s="221"/>
      <c r="Y331" s="221"/>
      <c r="Z331" s="221"/>
    </row>
    <row r="332" spans="1:26" ht="18.75" customHeight="1">
      <c r="A332" s="221"/>
      <c r="B332" s="221"/>
      <c r="C332" s="221"/>
      <c r="D332" s="221"/>
      <c r="E332" s="221"/>
      <c r="F332" s="221"/>
      <c r="G332" s="221"/>
      <c r="H332" s="221"/>
      <c r="I332" s="221"/>
      <c r="J332" s="221"/>
      <c r="K332" s="221"/>
      <c r="L332" s="221"/>
      <c r="M332" s="221"/>
      <c r="N332" s="221"/>
      <c r="O332" s="221"/>
      <c r="P332" s="221"/>
      <c r="Q332" s="221"/>
      <c r="R332" s="221"/>
      <c r="S332" s="221"/>
      <c r="T332" s="221"/>
      <c r="U332" s="221"/>
      <c r="V332" s="221"/>
      <c r="W332" s="221"/>
      <c r="X332" s="221"/>
      <c r="Y332" s="221"/>
      <c r="Z332" s="221"/>
    </row>
    <row r="333" spans="1:26" ht="18.75" customHeight="1">
      <c r="A333" s="221"/>
      <c r="B333" s="221"/>
      <c r="C333" s="221"/>
      <c r="D333" s="221"/>
      <c r="E333" s="221"/>
      <c r="F333" s="221"/>
      <c r="G333" s="221"/>
      <c r="H333" s="221"/>
      <c r="I333" s="221"/>
      <c r="J333" s="221"/>
      <c r="K333" s="221"/>
      <c r="L333" s="221"/>
      <c r="M333" s="221"/>
      <c r="N333" s="221"/>
      <c r="O333" s="221"/>
      <c r="P333" s="221"/>
      <c r="Q333" s="221"/>
      <c r="R333" s="221"/>
      <c r="S333" s="221"/>
      <c r="T333" s="221"/>
      <c r="U333" s="221"/>
      <c r="V333" s="221"/>
      <c r="W333" s="221"/>
      <c r="X333" s="221"/>
      <c r="Y333" s="221"/>
      <c r="Z333" s="221"/>
    </row>
    <row r="334" spans="1:26" ht="18.75" customHeight="1">
      <c r="A334" s="221"/>
      <c r="B334" s="221"/>
      <c r="C334" s="221"/>
      <c r="D334" s="221"/>
      <c r="E334" s="221"/>
      <c r="F334" s="221"/>
      <c r="G334" s="221"/>
      <c r="H334" s="221"/>
      <c r="I334" s="221"/>
      <c r="J334" s="221"/>
      <c r="K334" s="221"/>
      <c r="L334" s="221"/>
      <c r="M334" s="221"/>
      <c r="N334" s="221"/>
      <c r="O334" s="221"/>
      <c r="P334" s="221"/>
      <c r="Q334" s="221"/>
      <c r="R334" s="221"/>
      <c r="S334" s="221"/>
      <c r="T334" s="221"/>
      <c r="U334" s="221"/>
      <c r="V334" s="221"/>
      <c r="W334" s="221"/>
      <c r="X334" s="221"/>
      <c r="Y334" s="221"/>
      <c r="Z334" s="221"/>
    </row>
    <row r="335" spans="1:26" ht="18.75" customHeight="1">
      <c r="A335" s="221"/>
      <c r="B335" s="221"/>
      <c r="C335" s="221"/>
      <c r="D335" s="221"/>
      <c r="E335" s="221"/>
      <c r="F335" s="221"/>
      <c r="G335" s="221"/>
      <c r="H335" s="221"/>
      <c r="I335" s="221"/>
      <c r="J335" s="221"/>
      <c r="K335" s="221"/>
      <c r="L335" s="221"/>
      <c r="M335" s="221"/>
      <c r="N335" s="221"/>
      <c r="O335" s="221"/>
      <c r="P335" s="221"/>
      <c r="Q335" s="221"/>
      <c r="R335" s="221"/>
      <c r="S335" s="221"/>
      <c r="T335" s="221"/>
      <c r="U335" s="221"/>
      <c r="V335" s="221"/>
      <c r="W335" s="221"/>
      <c r="X335" s="221"/>
      <c r="Y335" s="221"/>
      <c r="Z335" s="221"/>
    </row>
    <row r="336" spans="1:26" ht="18.75" customHeight="1">
      <c r="A336" s="221"/>
      <c r="B336" s="221"/>
      <c r="C336" s="221"/>
      <c r="D336" s="221"/>
      <c r="E336" s="221"/>
      <c r="F336" s="221"/>
      <c r="G336" s="221"/>
      <c r="H336" s="221"/>
      <c r="I336" s="221"/>
      <c r="J336" s="221"/>
      <c r="K336" s="221"/>
      <c r="L336" s="221"/>
      <c r="M336" s="221"/>
      <c r="N336" s="221"/>
      <c r="O336" s="221"/>
      <c r="P336" s="221"/>
      <c r="Q336" s="221"/>
      <c r="R336" s="221"/>
      <c r="S336" s="221"/>
      <c r="T336" s="221"/>
      <c r="U336" s="221"/>
      <c r="V336" s="221"/>
      <c r="W336" s="221"/>
      <c r="X336" s="221"/>
      <c r="Y336" s="221"/>
      <c r="Z336" s="221"/>
    </row>
    <row r="337" spans="1:26" ht="18.75" customHeight="1">
      <c r="A337" s="221"/>
      <c r="B337" s="221"/>
      <c r="C337" s="221"/>
      <c r="D337" s="221"/>
      <c r="E337" s="221"/>
      <c r="F337" s="221"/>
      <c r="G337" s="221"/>
      <c r="H337" s="221"/>
      <c r="I337" s="221"/>
      <c r="J337" s="221"/>
      <c r="K337" s="221"/>
      <c r="L337" s="221"/>
      <c r="M337" s="221"/>
      <c r="N337" s="221"/>
      <c r="O337" s="221"/>
      <c r="P337" s="221"/>
      <c r="Q337" s="221"/>
      <c r="R337" s="221"/>
      <c r="S337" s="221"/>
      <c r="T337" s="221"/>
      <c r="U337" s="221"/>
      <c r="V337" s="221"/>
      <c r="W337" s="221"/>
      <c r="X337" s="221"/>
      <c r="Y337" s="221"/>
      <c r="Z337" s="221"/>
    </row>
    <row r="338" spans="1:26" ht="18.75" customHeight="1">
      <c r="A338" s="221"/>
      <c r="B338" s="221"/>
      <c r="C338" s="221"/>
      <c r="D338" s="221"/>
      <c r="E338" s="221"/>
      <c r="F338" s="221"/>
      <c r="G338" s="221"/>
      <c r="H338" s="221"/>
      <c r="I338" s="221"/>
      <c r="J338" s="221"/>
      <c r="K338" s="221"/>
      <c r="L338" s="221"/>
      <c r="M338" s="221"/>
      <c r="N338" s="221"/>
      <c r="O338" s="221"/>
      <c r="P338" s="221"/>
      <c r="Q338" s="221"/>
      <c r="R338" s="221"/>
      <c r="S338" s="221"/>
      <c r="T338" s="221"/>
      <c r="U338" s="221"/>
      <c r="V338" s="221"/>
      <c r="W338" s="221"/>
      <c r="X338" s="221"/>
      <c r="Y338" s="221"/>
      <c r="Z338" s="221"/>
    </row>
    <row r="339" spans="1:26" ht="18.75" customHeight="1">
      <c r="A339" s="221"/>
      <c r="B339" s="221"/>
      <c r="C339" s="221"/>
      <c r="D339" s="221"/>
      <c r="E339" s="221"/>
      <c r="F339" s="221"/>
      <c r="G339" s="221"/>
      <c r="H339" s="221"/>
      <c r="I339" s="221"/>
      <c r="J339" s="221"/>
      <c r="K339" s="221"/>
      <c r="L339" s="221"/>
      <c r="M339" s="221"/>
      <c r="N339" s="221"/>
      <c r="O339" s="221"/>
      <c r="P339" s="221"/>
      <c r="Q339" s="221"/>
      <c r="R339" s="221"/>
      <c r="S339" s="221"/>
      <c r="T339" s="221"/>
      <c r="U339" s="221"/>
      <c r="V339" s="221"/>
      <c r="W339" s="221"/>
      <c r="X339" s="221"/>
      <c r="Y339" s="221"/>
      <c r="Z339" s="221"/>
    </row>
    <row r="340" spans="1:26" ht="18.75" customHeight="1">
      <c r="A340" s="221"/>
      <c r="B340" s="221"/>
      <c r="C340" s="221"/>
      <c r="D340" s="221"/>
      <c r="E340" s="221"/>
      <c r="F340" s="221"/>
      <c r="G340" s="221"/>
      <c r="H340" s="221"/>
      <c r="I340" s="221"/>
      <c r="J340" s="221"/>
      <c r="K340" s="221"/>
      <c r="L340" s="221"/>
      <c r="M340" s="221"/>
      <c r="N340" s="221"/>
      <c r="O340" s="221"/>
      <c r="P340" s="221"/>
      <c r="Q340" s="221"/>
      <c r="R340" s="221"/>
      <c r="S340" s="221"/>
      <c r="T340" s="221"/>
      <c r="U340" s="221"/>
      <c r="V340" s="221"/>
      <c r="W340" s="221"/>
      <c r="X340" s="221"/>
      <c r="Y340" s="221"/>
      <c r="Z340" s="221"/>
    </row>
    <row r="341" spans="1:26" ht="18.75" customHeight="1">
      <c r="A341" s="221"/>
      <c r="B341" s="221"/>
      <c r="C341" s="221"/>
      <c r="D341" s="221"/>
      <c r="E341" s="221"/>
      <c r="F341" s="221"/>
      <c r="G341" s="221"/>
      <c r="H341" s="221"/>
      <c r="I341" s="221"/>
      <c r="J341" s="221"/>
      <c r="K341" s="221"/>
      <c r="L341" s="221"/>
      <c r="M341" s="221"/>
      <c r="N341" s="221"/>
      <c r="O341" s="221"/>
      <c r="P341" s="221"/>
      <c r="Q341" s="221"/>
      <c r="R341" s="221"/>
      <c r="S341" s="221"/>
      <c r="T341" s="221"/>
      <c r="U341" s="221"/>
      <c r="V341" s="221"/>
      <c r="W341" s="221"/>
      <c r="X341" s="221"/>
      <c r="Y341" s="221"/>
      <c r="Z341" s="221"/>
    </row>
    <row r="342" spans="1:26" ht="18.75" customHeight="1">
      <c r="A342" s="221"/>
      <c r="B342" s="221"/>
      <c r="C342" s="221"/>
      <c r="D342" s="221"/>
      <c r="E342" s="221"/>
      <c r="F342" s="221"/>
      <c r="G342" s="221"/>
      <c r="H342" s="221"/>
      <c r="I342" s="221"/>
      <c r="J342" s="221"/>
      <c r="K342" s="221"/>
      <c r="L342" s="221"/>
      <c r="M342" s="221"/>
      <c r="N342" s="221"/>
      <c r="O342" s="221"/>
      <c r="P342" s="221"/>
      <c r="Q342" s="221"/>
      <c r="R342" s="221"/>
      <c r="S342" s="221"/>
      <c r="T342" s="221"/>
      <c r="U342" s="221"/>
      <c r="V342" s="221"/>
      <c r="W342" s="221"/>
      <c r="X342" s="221"/>
      <c r="Y342" s="221"/>
      <c r="Z342" s="221"/>
    </row>
    <row r="343" spans="1:26" ht="18.75" customHeight="1">
      <c r="A343" s="221"/>
      <c r="B343" s="221"/>
      <c r="C343" s="221"/>
      <c r="D343" s="221"/>
      <c r="E343" s="221"/>
      <c r="F343" s="221"/>
      <c r="G343" s="221"/>
      <c r="H343" s="221"/>
      <c r="I343" s="221"/>
      <c r="J343" s="221"/>
      <c r="K343" s="221"/>
      <c r="L343" s="221"/>
      <c r="M343" s="221"/>
      <c r="N343" s="221"/>
      <c r="O343" s="221"/>
      <c r="P343" s="221"/>
      <c r="Q343" s="221"/>
      <c r="R343" s="221"/>
      <c r="S343" s="221"/>
      <c r="T343" s="221"/>
      <c r="U343" s="221"/>
      <c r="V343" s="221"/>
      <c r="W343" s="221"/>
      <c r="X343" s="221"/>
      <c r="Y343" s="221"/>
      <c r="Z343" s="221"/>
    </row>
    <row r="344" spans="1:26" ht="18.75" customHeight="1">
      <c r="A344" s="221"/>
      <c r="B344" s="221"/>
      <c r="C344" s="221"/>
      <c r="D344" s="221"/>
      <c r="E344" s="221"/>
      <c r="F344" s="221"/>
      <c r="G344" s="221"/>
      <c r="H344" s="221"/>
      <c r="I344" s="221"/>
      <c r="J344" s="221"/>
      <c r="K344" s="221"/>
      <c r="L344" s="221"/>
      <c r="M344" s="221"/>
      <c r="N344" s="221"/>
      <c r="O344" s="221"/>
      <c r="P344" s="221"/>
      <c r="Q344" s="221"/>
      <c r="R344" s="221"/>
      <c r="S344" s="221"/>
      <c r="T344" s="221"/>
      <c r="U344" s="221"/>
      <c r="V344" s="221"/>
      <c r="W344" s="221"/>
      <c r="X344" s="221"/>
      <c r="Y344" s="221"/>
      <c r="Z344" s="221"/>
    </row>
    <row r="345" spans="1:26" ht="18.75" customHeight="1">
      <c r="A345" s="221"/>
      <c r="B345" s="221"/>
      <c r="C345" s="221"/>
      <c r="D345" s="221"/>
      <c r="E345" s="221"/>
      <c r="F345" s="221"/>
      <c r="G345" s="221"/>
      <c r="H345" s="221"/>
      <c r="I345" s="221"/>
      <c r="J345" s="221"/>
      <c r="K345" s="221"/>
      <c r="L345" s="221"/>
      <c r="M345" s="221"/>
      <c r="N345" s="221"/>
      <c r="O345" s="221"/>
      <c r="P345" s="221"/>
      <c r="Q345" s="221"/>
      <c r="R345" s="221"/>
      <c r="S345" s="221"/>
      <c r="T345" s="221"/>
      <c r="U345" s="221"/>
      <c r="V345" s="221"/>
      <c r="W345" s="221"/>
      <c r="X345" s="221"/>
      <c r="Y345" s="221"/>
      <c r="Z345" s="221"/>
    </row>
    <row r="346" spans="1:26" ht="18.75" customHeight="1">
      <c r="A346" s="221"/>
      <c r="B346" s="221"/>
      <c r="C346" s="221"/>
      <c r="D346" s="221"/>
      <c r="E346" s="221"/>
      <c r="F346" s="221"/>
      <c r="G346" s="221"/>
      <c r="H346" s="221"/>
      <c r="I346" s="221"/>
      <c r="J346" s="221"/>
      <c r="K346" s="221"/>
      <c r="L346" s="221"/>
      <c r="M346" s="221"/>
      <c r="N346" s="221"/>
      <c r="O346" s="221"/>
      <c r="P346" s="221"/>
      <c r="Q346" s="221"/>
      <c r="R346" s="221"/>
      <c r="S346" s="221"/>
      <c r="T346" s="221"/>
      <c r="U346" s="221"/>
      <c r="V346" s="221"/>
      <c r="W346" s="221"/>
      <c r="X346" s="221"/>
      <c r="Y346" s="221"/>
      <c r="Z346" s="221"/>
    </row>
    <row r="347" spans="1:26" ht="18.75" customHeight="1">
      <c r="A347" s="221"/>
      <c r="B347" s="221"/>
      <c r="C347" s="221"/>
      <c r="D347" s="221"/>
      <c r="E347" s="221"/>
      <c r="F347" s="221"/>
      <c r="G347" s="221"/>
      <c r="H347" s="221"/>
      <c r="I347" s="221"/>
      <c r="J347" s="221"/>
      <c r="K347" s="221"/>
      <c r="L347" s="221"/>
      <c r="M347" s="221"/>
      <c r="N347" s="221"/>
      <c r="O347" s="221"/>
      <c r="P347" s="221"/>
      <c r="Q347" s="221"/>
      <c r="R347" s="221"/>
      <c r="S347" s="221"/>
      <c r="T347" s="221"/>
      <c r="U347" s="221"/>
      <c r="V347" s="221"/>
      <c r="W347" s="221"/>
      <c r="X347" s="221"/>
      <c r="Y347" s="221"/>
      <c r="Z347" s="221"/>
    </row>
    <row r="348" spans="1:26" ht="18.75" customHeight="1">
      <c r="A348" s="221"/>
      <c r="B348" s="221"/>
      <c r="C348" s="221"/>
      <c r="D348" s="221"/>
      <c r="E348" s="221"/>
      <c r="F348" s="221"/>
      <c r="G348" s="221"/>
      <c r="H348" s="221"/>
      <c r="I348" s="221"/>
      <c r="J348" s="221"/>
      <c r="K348" s="221"/>
      <c r="L348" s="221"/>
      <c r="M348" s="221"/>
      <c r="N348" s="221"/>
      <c r="O348" s="221"/>
      <c r="P348" s="221"/>
      <c r="Q348" s="221"/>
      <c r="R348" s="221"/>
      <c r="S348" s="221"/>
      <c r="T348" s="221"/>
      <c r="U348" s="221"/>
      <c r="V348" s="221"/>
      <c r="W348" s="221"/>
      <c r="X348" s="221"/>
      <c r="Y348" s="221"/>
      <c r="Z348" s="221"/>
    </row>
    <row r="349" spans="1:26" ht="18.75" customHeight="1">
      <c r="A349" s="221"/>
      <c r="B349" s="221"/>
      <c r="C349" s="221"/>
      <c r="D349" s="221"/>
      <c r="E349" s="221"/>
      <c r="F349" s="221"/>
      <c r="G349" s="221"/>
      <c r="H349" s="221"/>
      <c r="I349" s="221"/>
      <c r="J349" s="221"/>
      <c r="K349" s="221"/>
      <c r="L349" s="221"/>
      <c r="M349" s="221"/>
      <c r="N349" s="221"/>
      <c r="O349" s="221"/>
      <c r="P349" s="221"/>
      <c r="Q349" s="221"/>
      <c r="R349" s="221"/>
      <c r="S349" s="221"/>
      <c r="T349" s="221"/>
      <c r="U349" s="221"/>
      <c r="V349" s="221"/>
      <c r="W349" s="221"/>
      <c r="X349" s="221"/>
      <c r="Y349" s="221"/>
      <c r="Z349" s="221"/>
    </row>
    <row r="350" spans="1:26" ht="18.75" customHeight="1">
      <c r="A350" s="221"/>
      <c r="B350" s="221"/>
      <c r="C350" s="221"/>
      <c r="D350" s="221"/>
      <c r="E350" s="221"/>
      <c r="F350" s="221"/>
      <c r="G350" s="221"/>
      <c r="H350" s="221"/>
      <c r="I350" s="221"/>
      <c r="J350" s="221"/>
      <c r="K350" s="221"/>
      <c r="L350" s="221"/>
      <c r="M350" s="221"/>
      <c r="N350" s="221"/>
      <c r="O350" s="221"/>
      <c r="P350" s="221"/>
      <c r="Q350" s="221"/>
      <c r="R350" s="221"/>
      <c r="S350" s="221"/>
      <c r="T350" s="221"/>
      <c r="U350" s="221"/>
      <c r="V350" s="221"/>
      <c r="W350" s="221"/>
      <c r="X350" s="221"/>
      <c r="Y350" s="221"/>
      <c r="Z350" s="221"/>
    </row>
    <row r="351" spans="1:26" ht="18.75" customHeight="1">
      <c r="A351" s="221"/>
      <c r="B351" s="221"/>
      <c r="C351" s="221"/>
      <c r="D351" s="221"/>
      <c r="E351" s="221"/>
      <c r="F351" s="221"/>
      <c r="G351" s="221"/>
      <c r="H351" s="221"/>
      <c r="I351" s="221"/>
      <c r="J351" s="221"/>
      <c r="K351" s="221"/>
      <c r="L351" s="221"/>
      <c r="M351" s="221"/>
      <c r="N351" s="221"/>
      <c r="O351" s="221"/>
      <c r="P351" s="221"/>
      <c r="Q351" s="221"/>
      <c r="R351" s="221"/>
      <c r="S351" s="221"/>
      <c r="T351" s="221"/>
      <c r="U351" s="221"/>
      <c r="V351" s="221"/>
      <c r="W351" s="221"/>
      <c r="X351" s="221"/>
      <c r="Y351" s="221"/>
      <c r="Z351" s="221"/>
    </row>
    <row r="352" spans="1:26" ht="18.75" customHeight="1">
      <c r="A352" s="221"/>
      <c r="B352" s="221"/>
      <c r="C352" s="221"/>
      <c r="D352" s="221"/>
      <c r="E352" s="221"/>
      <c r="F352" s="221"/>
      <c r="G352" s="221"/>
      <c r="H352" s="221"/>
      <c r="I352" s="221"/>
      <c r="J352" s="221"/>
      <c r="K352" s="221"/>
      <c r="L352" s="221"/>
      <c r="M352" s="221"/>
      <c r="N352" s="221"/>
      <c r="O352" s="221"/>
      <c r="P352" s="221"/>
      <c r="Q352" s="221"/>
      <c r="R352" s="221"/>
      <c r="S352" s="221"/>
      <c r="T352" s="221"/>
      <c r="U352" s="221"/>
      <c r="V352" s="221"/>
      <c r="W352" s="221"/>
      <c r="X352" s="221"/>
      <c r="Y352" s="221"/>
      <c r="Z352" s="221"/>
    </row>
    <row r="353" spans="1:26" ht="18.75" customHeight="1">
      <c r="A353" s="221"/>
      <c r="B353" s="221"/>
      <c r="C353" s="221"/>
      <c r="D353" s="221"/>
      <c r="E353" s="221"/>
      <c r="F353" s="221"/>
      <c r="G353" s="221"/>
      <c r="H353" s="221"/>
      <c r="I353" s="221"/>
      <c r="J353" s="221"/>
      <c r="K353" s="221"/>
      <c r="L353" s="221"/>
      <c r="M353" s="221"/>
      <c r="N353" s="221"/>
      <c r="O353" s="221"/>
      <c r="P353" s="221"/>
      <c r="Q353" s="221"/>
      <c r="R353" s="221"/>
      <c r="S353" s="221"/>
      <c r="T353" s="221"/>
      <c r="U353" s="221"/>
      <c r="V353" s="221"/>
      <c r="W353" s="221"/>
      <c r="X353" s="221"/>
      <c r="Y353" s="221"/>
      <c r="Z353" s="221"/>
    </row>
    <row r="354" spans="1:26" ht="18.75" customHeight="1">
      <c r="A354" s="221"/>
      <c r="B354" s="221"/>
      <c r="C354" s="221"/>
      <c r="D354" s="221"/>
      <c r="E354" s="221"/>
      <c r="F354" s="221"/>
      <c r="G354" s="221"/>
      <c r="H354" s="221"/>
      <c r="I354" s="221"/>
      <c r="J354" s="221"/>
      <c r="K354" s="221"/>
      <c r="L354" s="221"/>
      <c r="M354" s="221"/>
      <c r="N354" s="221"/>
      <c r="O354" s="221"/>
      <c r="P354" s="221"/>
      <c r="Q354" s="221"/>
      <c r="R354" s="221"/>
      <c r="S354" s="221"/>
      <c r="T354" s="221"/>
      <c r="U354" s="221"/>
      <c r="V354" s="221"/>
      <c r="W354" s="221"/>
      <c r="X354" s="221"/>
      <c r="Y354" s="221"/>
      <c r="Z354" s="221"/>
    </row>
    <row r="355" spans="1:26" ht="18.75" customHeight="1">
      <c r="A355" s="221"/>
      <c r="B355" s="221"/>
      <c r="C355" s="221"/>
      <c r="D355" s="221"/>
      <c r="E355" s="221"/>
      <c r="F355" s="221"/>
      <c r="G355" s="221"/>
      <c r="H355" s="221"/>
      <c r="I355" s="221"/>
      <c r="J355" s="221"/>
      <c r="K355" s="221"/>
      <c r="L355" s="221"/>
      <c r="M355" s="221"/>
      <c r="N355" s="221"/>
      <c r="O355" s="221"/>
      <c r="P355" s="221"/>
      <c r="Q355" s="221"/>
      <c r="R355" s="221"/>
      <c r="S355" s="221"/>
      <c r="T355" s="221"/>
      <c r="U355" s="221"/>
      <c r="V355" s="221"/>
      <c r="W355" s="221"/>
      <c r="X355" s="221"/>
      <c r="Y355" s="221"/>
      <c r="Z355" s="221"/>
    </row>
    <row r="356" spans="1:26" ht="18.75" customHeight="1">
      <c r="A356" s="221"/>
      <c r="B356" s="221"/>
      <c r="C356" s="221"/>
      <c r="D356" s="221"/>
      <c r="E356" s="221"/>
      <c r="F356" s="221"/>
      <c r="G356" s="221"/>
      <c r="H356" s="221"/>
      <c r="I356" s="221"/>
      <c r="J356" s="221"/>
      <c r="K356" s="221"/>
      <c r="L356" s="221"/>
      <c r="M356" s="221"/>
      <c r="N356" s="221"/>
      <c r="O356" s="221"/>
      <c r="P356" s="221"/>
      <c r="Q356" s="221"/>
      <c r="R356" s="221"/>
      <c r="S356" s="221"/>
      <c r="T356" s="221"/>
      <c r="U356" s="221"/>
      <c r="V356" s="221"/>
      <c r="W356" s="221"/>
      <c r="X356" s="221"/>
      <c r="Y356" s="221"/>
      <c r="Z356" s="221"/>
    </row>
    <row r="357" spans="1:26" ht="18.75" customHeight="1">
      <c r="A357" s="221"/>
      <c r="B357" s="221"/>
      <c r="C357" s="221"/>
      <c r="D357" s="221"/>
      <c r="E357" s="221"/>
      <c r="F357" s="221"/>
      <c r="G357" s="221"/>
      <c r="H357" s="221"/>
      <c r="I357" s="221"/>
      <c r="J357" s="221"/>
      <c r="K357" s="221"/>
      <c r="L357" s="221"/>
      <c r="M357" s="221"/>
      <c r="N357" s="221"/>
      <c r="O357" s="221"/>
      <c r="P357" s="221"/>
      <c r="Q357" s="221"/>
      <c r="R357" s="221"/>
      <c r="S357" s="221"/>
      <c r="T357" s="221"/>
      <c r="U357" s="221"/>
      <c r="V357" s="221"/>
      <c r="W357" s="221"/>
      <c r="X357" s="221"/>
      <c r="Y357" s="221"/>
      <c r="Z357" s="221"/>
    </row>
    <row r="358" spans="1:26" ht="18.75" customHeight="1">
      <c r="A358" s="221"/>
      <c r="B358" s="221"/>
      <c r="C358" s="221"/>
      <c r="D358" s="221"/>
      <c r="E358" s="221"/>
      <c r="F358" s="221"/>
      <c r="G358" s="221"/>
      <c r="H358" s="221"/>
      <c r="I358" s="221"/>
      <c r="J358" s="221"/>
      <c r="K358" s="221"/>
      <c r="L358" s="221"/>
      <c r="M358" s="221"/>
      <c r="N358" s="221"/>
      <c r="O358" s="221"/>
      <c r="P358" s="221"/>
      <c r="Q358" s="221"/>
      <c r="R358" s="221"/>
      <c r="S358" s="221"/>
      <c r="T358" s="221"/>
      <c r="U358" s="221"/>
      <c r="V358" s="221"/>
      <c r="W358" s="221"/>
      <c r="X358" s="221"/>
      <c r="Y358" s="221"/>
      <c r="Z358" s="221"/>
    </row>
    <row r="359" spans="1:26" ht="18.75" customHeight="1">
      <c r="A359" s="221"/>
      <c r="B359" s="221"/>
      <c r="C359" s="221"/>
      <c r="D359" s="221"/>
      <c r="E359" s="221"/>
      <c r="F359" s="221"/>
      <c r="G359" s="221"/>
      <c r="H359" s="221"/>
      <c r="I359" s="221"/>
      <c r="J359" s="221"/>
      <c r="K359" s="221"/>
      <c r="L359" s="221"/>
      <c r="M359" s="221"/>
      <c r="N359" s="221"/>
      <c r="O359" s="221"/>
      <c r="P359" s="221"/>
      <c r="Q359" s="221"/>
      <c r="R359" s="221"/>
      <c r="S359" s="221"/>
      <c r="T359" s="221"/>
      <c r="U359" s="221"/>
      <c r="V359" s="221"/>
      <c r="W359" s="221"/>
      <c r="X359" s="221"/>
      <c r="Y359" s="221"/>
      <c r="Z359" s="221"/>
    </row>
    <row r="360" spans="1:26" ht="18.75" customHeight="1">
      <c r="A360" s="221"/>
      <c r="B360" s="221"/>
      <c r="C360" s="221"/>
      <c r="D360" s="221"/>
      <c r="E360" s="221"/>
      <c r="F360" s="221"/>
      <c r="G360" s="221"/>
      <c r="H360" s="221"/>
      <c r="I360" s="221"/>
      <c r="J360" s="221"/>
      <c r="K360" s="221"/>
      <c r="L360" s="221"/>
      <c r="M360" s="221"/>
      <c r="N360" s="221"/>
      <c r="O360" s="221"/>
      <c r="P360" s="221"/>
      <c r="Q360" s="221"/>
      <c r="R360" s="221"/>
      <c r="S360" s="221"/>
      <c r="T360" s="221"/>
      <c r="U360" s="221"/>
      <c r="V360" s="221"/>
      <c r="W360" s="221"/>
      <c r="X360" s="221"/>
      <c r="Y360" s="221"/>
      <c r="Z360" s="221"/>
    </row>
    <row r="361" spans="1:26" ht="18.75" customHeight="1">
      <c r="A361" s="221"/>
      <c r="B361" s="221"/>
      <c r="C361" s="221"/>
      <c r="D361" s="221"/>
      <c r="E361" s="221"/>
      <c r="F361" s="221"/>
      <c r="G361" s="221"/>
      <c r="H361" s="221"/>
      <c r="I361" s="221"/>
      <c r="J361" s="221"/>
      <c r="K361" s="221"/>
      <c r="L361" s="221"/>
      <c r="M361" s="221"/>
      <c r="N361" s="221"/>
      <c r="O361" s="221"/>
      <c r="P361" s="221"/>
      <c r="Q361" s="221"/>
      <c r="R361" s="221"/>
      <c r="S361" s="221"/>
      <c r="T361" s="221"/>
      <c r="U361" s="221"/>
      <c r="V361" s="221"/>
      <c r="W361" s="221"/>
      <c r="X361" s="221"/>
      <c r="Y361" s="221"/>
      <c r="Z361" s="221"/>
    </row>
    <row r="362" spans="1:26" ht="18.75" customHeight="1">
      <c r="A362" s="221"/>
      <c r="B362" s="221"/>
      <c r="C362" s="221"/>
      <c r="D362" s="221"/>
      <c r="E362" s="221"/>
      <c r="F362" s="221"/>
      <c r="G362" s="221"/>
      <c r="H362" s="221"/>
      <c r="I362" s="221"/>
      <c r="J362" s="221"/>
      <c r="K362" s="221"/>
      <c r="L362" s="221"/>
      <c r="M362" s="221"/>
      <c r="N362" s="221"/>
      <c r="O362" s="221"/>
      <c r="P362" s="221"/>
      <c r="Q362" s="221"/>
      <c r="R362" s="221"/>
      <c r="S362" s="221"/>
      <c r="T362" s="221"/>
      <c r="U362" s="221"/>
      <c r="V362" s="221"/>
      <c r="W362" s="221"/>
      <c r="X362" s="221"/>
      <c r="Y362" s="221"/>
      <c r="Z362" s="221"/>
    </row>
    <row r="363" spans="1:26" ht="18.75" customHeight="1">
      <c r="A363" s="221"/>
      <c r="B363" s="221"/>
      <c r="C363" s="221"/>
      <c r="D363" s="221"/>
      <c r="E363" s="221"/>
      <c r="F363" s="221"/>
      <c r="G363" s="221"/>
      <c r="H363" s="221"/>
      <c r="I363" s="221"/>
      <c r="J363" s="221"/>
      <c r="K363" s="221"/>
      <c r="L363" s="221"/>
      <c r="M363" s="221"/>
      <c r="N363" s="221"/>
      <c r="O363" s="221"/>
      <c r="P363" s="221"/>
      <c r="Q363" s="221"/>
      <c r="R363" s="221"/>
      <c r="S363" s="221"/>
      <c r="T363" s="221"/>
      <c r="U363" s="221"/>
      <c r="V363" s="221"/>
      <c r="W363" s="221"/>
      <c r="X363" s="221"/>
      <c r="Y363" s="221"/>
      <c r="Z363" s="221"/>
    </row>
    <row r="364" spans="1:26" ht="18.75" customHeight="1">
      <c r="A364" s="221"/>
      <c r="B364" s="221"/>
      <c r="C364" s="221"/>
      <c r="D364" s="221"/>
      <c r="E364" s="221"/>
      <c r="F364" s="221"/>
      <c r="G364" s="221"/>
      <c r="H364" s="221"/>
      <c r="I364" s="221"/>
      <c r="J364" s="221"/>
      <c r="K364" s="221"/>
      <c r="L364" s="221"/>
      <c r="M364" s="221"/>
      <c r="N364" s="221"/>
      <c r="O364" s="221"/>
      <c r="P364" s="221"/>
      <c r="Q364" s="221"/>
      <c r="R364" s="221"/>
      <c r="S364" s="221"/>
      <c r="T364" s="221"/>
      <c r="U364" s="221"/>
      <c r="V364" s="221"/>
      <c r="W364" s="221"/>
      <c r="X364" s="221"/>
      <c r="Y364" s="221"/>
      <c r="Z364" s="221"/>
    </row>
    <row r="365" spans="1:26" ht="18.75" customHeight="1">
      <c r="A365" s="221"/>
      <c r="B365" s="221"/>
      <c r="C365" s="221"/>
      <c r="D365" s="221"/>
      <c r="E365" s="221"/>
      <c r="F365" s="221"/>
      <c r="G365" s="221"/>
      <c r="H365" s="221"/>
      <c r="I365" s="221"/>
      <c r="J365" s="221"/>
      <c r="K365" s="221"/>
      <c r="L365" s="221"/>
      <c r="M365" s="221"/>
      <c r="N365" s="221"/>
      <c r="O365" s="221"/>
      <c r="P365" s="221"/>
      <c r="Q365" s="221"/>
      <c r="R365" s="221"/>
      <c r="S365" s="221"/>
      <c r="T365" s="221"/>
      <c r="U365" s="221"/>
      <c r="V365" s="221"/>
      <c r="W365" s="221"/>
      <c r="X365" s="221"/>
      <c r="Y365" s="221"/>
      <c r="Z365" s="221"/>
    </row>
    <row r="366" spans="1:26" ht="18.75" customHeight="1">
      <c r="A366" s="221"/>
      <c r="B366" s="221"/>
      <c r="C366" s="221"/>
      <c r="D366" s="221"/>
      <c r="E366" s="221"/>
      <c r="F366" s="221"/>
      <c r="G366" s="221"/>
      <c r="H366" s="221"/>
      <c r="I366" s="221"/>
      <c r="J366" s="221"/>
      <c r="K366" s="221"/>
      <c r="L366" s="221"/>
      <c r="M366" s="221"/>
      <c r="N366" s="221"/>
      <c r="O366" s="221"/>
      <c r="P366" s="221"/>
      <c r="Q366" s="221"/>
      <c r="R366" s="221"/>
      <c r="S366" s="221"/>
      <c r="T366" s="221"/>
      <c r="U366" s="221"/>
      <c r="V366" s="221"/>
      <c r="W366" s="221"/>
      <c r="X366" s="221"/>
      <c r="Y366" s="221"/>
      <c r="Z366" s="221"/>
    </row>
    <row r="367" spans="1:26" ht="18.75" customHeight="1">
      <c r="A367" s="221"/>
      <c r="B367" s="221"/>
      <c r="C367" s="221"/>
      <c r="D367" s="221"/>
      <c r="E367" s="221"/>
      <c r="F367" s="221"/>
      <c r="G367" s="221"/>
      <c r="H367" s="221"/>
      <c r="I367" s="221"/>
      <c r="J367" s="221"/>
      <c r="K367" s="221"/>
      <c r="L367" s="221"/>
      <c r="M367" s="221"/>
      <c r="N367" s="221"/>
      <c r="O367" s="221"/>
      <c r="P367" s="221"/>
      <c r="Q367" s="221"/>
      <c r="R367" s="221"/>
      <c r="S367" s="221"/>
      <c r="T367" s="221"/>
      <c r="U367" s="221"/>
      <c r="V367" s="221"/>
      <c r="W367" s="221"/>
      <c r="X367" s="221"/>
      <c r="Y367" s="221"/>
      <c r="Z367" s="221"/>
    </row>
    <row r="368" spans="1:26" ht="18.75" customHeight="1">
      <c r="A368" s="221"/>
      <c r="B368" s="221"/>
      <c r="C368" s="221"/>
      <c r="D368" s="221"/>
      <c r="E368" s="221"/>
      <c r="F368" s="221"/>
      <c r="G368" s="221"/>
      <c r="H368" s="221"/>
      <c r="I368" s="221"/>
      <c r="J368" s="221"/>
      <c r="K368" s="221"/>
      <c r="L368" s="221"/>
      <c r="M368" s="221"/>
      <c r="N368" s="221"/>
      <c r="O368" s="221"/>
      <c r="P368" s="221"/>
      <c r="Q368" s="221"/>
      <c r="R368" s="221"/>
      <c r="S368" s="221"/>
      <c r="T368" s="221"/>
      <c r="U368" s="221"/>
      <c r="V368" s="221"/>
      <c r="W368" s="221"/>
      <c r="X368" s="221"/>
      <c r="Y368" s="221"/>
      <c r="Z368" s="221"/>
    </row>
    <row r="369" spans="1:26" ht="18.75" customHeight="1">
      <c r="A369" s="221"/>
      <c r="B369" s="221"/>
      <c r="C369" s="221"/>
      <c r="D369" s="221"/>
      <c r="E369" s="221"/>
      <c r="F369" s="221"/>
      <c r="G369" s="221"/>
      <c r="H369" s="221"/>
      <c r="I369" s="221"/>
      <c r="J369" s="221"/>
      <c r="K369" s="221"/>
      <c r="L369" s="221"/>
      <c r="M369" s="221"/>
      <c r="N369" s="221"/>
      <c r="O369" s="221"/>
      <c r="P369" s="221"/>
      <c r="Q369" s="221"/>
      <c r="R369" s="221"/>
      <c r="S369" s="221"/>
      <c r="T369" s="221"/>
      <c r="U369" s="221"/>
      <c r="V369" s="221"/>
      <c r="W369" s="221"/>
      <c r="X369" s="221"/>
      <c r="Y369" s="221"/>
      <c r="Z369" s="221"/>
    </row>
    <row r="370" spans="1:26" ht="18.75" customHeight="1">
      <c r="A370" s="221"/>
      <c r="B370" s="221"/>
      <c r="C370" s="221"/>
      <c r="D370" s="221"/>
      <c r="E370" s="221"/>
      <c r="F370" s="221"/>
      <c r="G370" s="221"/>
      <c r="H370" s="221"/>
      <c r="I370" s="221"/>
      <c r="J370" s="221"/>
      <c r="K370" s="221"/>
      <c r="L370" s="221"/>
      <c r="M370" s="221"/>
      <c r="N370" s="221"/>
      <c r="O370" s="221"/>
      <c r="P370" s="221"/>
      <c r="Q370" s="221"/>
      <c r="R370" s="221"/>
      <c r="S370" s="221"/>
      <c r="T370" s="221"/>
      <c r="U370" s="221"/>
      <c r="V370" s="221"/>
      <c r="W370" s="221"/>
      <c r="X370" s="221"/>
      <c r="Y370" s="221"/>
      <c r="Z370" s="221"/>
    </row>
    <row r="371" spans="1:26" ht="18.75" customHeight="1">
      <c r="A371" s="221"/>
      <c r="B371" s="221"/>
      <c r="C371" s="221"/>
      <c r="D371" s="221"/>
      <c r="E371" s="221"/>
      <c r="F371" s="221"/>
      <c r="G371" s="221"/>
      <c r="H371" s="221"/>
      <c r="I371" s="221"/>
      <c r="J371" s="221"/>
      <c r="K371" s="221"/>
      <c r="L371" s="221"/>
      <c r="M371" s="221"/>
      <c r="N371" s="221"/>
      <c r="O371" s="221"/>
      <c r="P371" s="221"/>
      <c r="Q371" s="221"/>
      <c r="R371" s="221"/>
      <c r="S371" s="221"/>
      <c r="T371" s="221"/>
      <c r="U371" s="221"/>
      <c r="V371" s="221"/>
      <c r="W371" s="221"/>
      <c r="X371" s="221"/>
      <c r="Y371" s="221"/>
      <c r="Z371" s="221"/>
    </row>
    <row r="372" spans="1:26" ht="18.75" customHeight="1">
      <c r="A372" s="221"/>
      <c r="B372" s="221"/>
      <c r="C372" s="221"/>
      <c r="D372" s="221"/>
      <c r="E372" s="221"/>
      <c r="F372" s="221"/>
      <c r="G372" s="221"/>
      <c r="H372" s="221"/>
      <c r="I372" s="221"/>
      <c r="J372" s="221"/>
      <c r="K372" s="221"/>
      <c r="L372" s="221"/>
      <c r="M372" s="221"/>
      <c r="N372" s="221"/>
      <c r="O372" s="221"/>
      <c r="P372" s="221"/>
      <c r="Q372" s="221"/>
      <c r="R372" s="221"/>
      <c r="S372" s="221"/>
      <c r="T372" s="221"/>
      <c r="U372" s="221"/>
      <c r="V372" s="221"/>
      <c r="W372" s="221"/>
      <c r="X372" s="221"/>
      <c r="Y372" s="221"/>
      <c r="Z372" s="221"/>
    </row>
    <row r="373" spans="1:26" ht="18.75" customHeight="1">
      <c r="A373" s="221"/>
      <c r="B373" s="221"/>
      <c r="C373" s="221"/>
      <c r="D373" s="221"/>
      <c r="E373" s="221"/>
      <c r="F373" s="221"/>
      <c r="G373" s="221"/>
      <c r="H373" s="221"/>
      <c r="I373" s="221"/>
      <c r="J373" s="221"/>
      <c r="K373" s="221"/>
      <c r="L373" s="221"/>
      <c r="M373" s="221"/>
      <c r="N373" s="221"/>
      <c r="O373" s="221"/>
      <c r="P373" s="221"/>
      <c r="Q373" s="221"/>
      <c r="R373" s="221"/>
      <c r="S373" s="221"/>
      <c r="T373" s="221"/>
      <c r="U373" s="221"/>
      <c r="V373" s="221"/>
      <c r="W373" s="221"/>
      <c r="X373" s="221"/>
      <c r="Y373" s="221"/>
      <c r="Z373" s="221"/>
    </row>
    <row r="374" spans="1:26" ht="18.75" customHeight="1">
      <c r="A374" s="221"/>
      <c r="B374" s="221"/>
      <c r="C374" s="221"/>
      <c r="D374" s="221"/>
      <c r="E374" s="221"/>
      <c r="F374" s="221"/>
      <c r="G374" s="221"/>
      <c r="H374" s="221"/>
      <c r="I374" s="221"/>
      <c r="J374" s="221"/>
      <c r="K374" s="221"/>
      <c r="L374" s="221"/>
      <c r="M374" s="221"/>
      <c r="N374" s="221"/>
      <c r="O374" s="221"/>
      <c r="P374" s="221"/>
      <c r="Q374" s="221"/>
      <c r="R374" s="221"/>
      <c r="S374" s="221"/>
      <c r="T374" s="221"/>
      <c r="U374" s="221"/>
      <c r="V374" s="221"/>
      <c r="W374" s="221"/>
      <c r="X374" s="221"/>
      <c r="Y374" s="221"/>
      <c r="Z374" s="221"/>
    </row>
    <row r="375" spans="1:26" ht="18.75" customHeight="1">
      <c r="A375" s="221"/>
      <c r="B375" s="221"/>
      <c r="C375" s="221"/>
      <c r="D375" s="221"/>
      <c r="E375" s="221"/>
      <c r="F375" s="221"/>
      <c r="G375" s="221"/>
      <c r="H375" s="221"/>
      <c r="I375" s="221"/>
      <c r="J375" s="221"/>
      <c r="K375" s="221"/>
      <c r="L375" s="221"/>
      <c r="M375" s="221"/>
      <c r="N375" s="221"/>
      <c r="O375" s="221"/>
      <c r="P375" s="221"/>
      <c r="Q375" s="221"/>
      <c r="R375" s="221"/>
      <c r="S375" s="221"/>
      <c r="T375" s="221"/>
      <c r="U375" s="221"/>
      <c r="V375" s="221"/>
      <c r="W375" s="221"/>
      <c r="X375" s="221"/>
      <c r="Y375" s="221"/>
      <c r="Z375" s="221"/>
    </row>
    <row r="376" spans="1:26" ht="18.75" customHeight="1">
      <c r="A376" s="221"/>
      <c r="B376" s="221"/>
      <c r="C376" s="221"/>
      <c r="D376" s="221"/>
      <c r="E376" s="221"/>
      <c r="F376" s="221"/>
      <c r="G376" s="221"/>
      <c r="H376" s="221"/>
      <c r="I376" s="221"/>
      <c r="J376" s="221"/>
      <c r="K376" s="221"/>
      <c r="L376" s="221"/>
      <c r="M376" s="221"/>
      <c r="N376" s="221"/>
      <c r="O376" s="221"/>
      <c r="P376" s="221"/>
      <c r="Q376" s="221"/>
      <c r="R376" s="221"/>
      <c r="S376" s="221"/>
      <c r="T376" s="221"/>
      <c r="U376" s="221"/>
      <c r="V376" s="221"/>
      <c r="W376" s="221"/>
      <c r="X376" s="221"/>
      <c r="Y376" s="221"/>
      <c r="Z376" s="221"/>
    </row>
    <row r="377" spans="1:26" ht="18.75" customHeight="1">
      <c r="A377" s="221"/>
      <c r="B377" s="221"/>
      <c r="C377" s="221"/>
      <c r="D377" s="221"/>
      <c r="E377" s="221"/>
      <c r="F377" s="221"/>
      <c r="G377" s="221"/>
      <c r="H377" s="221"/>
      <c r="I377" s="221"/>
      <c r="J377" s="221"/>
      <c r="K377" s="221"/>
      <c r="L377" s="221"/>
      <c r="M377" s="221"/>
      <c r="N377" s="221"/>
      <c r="O377" s="221"/>
      <c r="P377" s="221"/>
      <c r="Q377" s="221"/>
      <c r="R377" s="221"/>
      <c r="S377" s="221"/>
      <c r="T377" s="221"/>
      <c r="U377" s="221"/>
      <c r="V377" s="221"/>
      <c r="W377" s="221"/>
      <c r="X377" s="221"/>
      <c r="Y377" s="221"/>
      <c r="Z377" s="221"/>
    </row>
    <row r="378" spans="1:26" ht="18.75" customHeight="1">
      <c r="A378" s="221"/>
      <c r="B378" s="221"/>
      <c r="C378" s="221"/>
      <c r="D378" s="221"/>
      <c r="E378" s="221"/>
      <c r="F378" s="221"/>
      <c r="G378" s="221"/>
      <c r="H378" s="221"/>
      <c r="I378" s="221"/>
      <c r="J378" s="221"/>
      <c r="K378" s="221"/>
      <c r="L378" s="221"/>
      <c r="M378" s="221"/>
      <c r="N378" s="221"/>
      <c r="O378" s="221"/>
      <c r="P378" s="221"/>
      <c r="Q378" s="221"/>
      <c r="R378" s="221"/>
      <c r="S378" s="221"/>
      <c r="T378" s="221"/>
      <c r="U378" s="221"/>
      <c r="V378" s="221"/>
      <c r="W378" s="221"/>
      <c r="X378" s="221"/>
      <c r="Y378" s="221"/>
      <c r="Z378" s="221"/>
    </row>
    <row r="379" spans="1:26" ht="18.75" customHeight="1">
      <c r="A379" s="221"/>
      <c r="B379" s="221"/>
      <c r="C379" s="221"/>
      <c r="D379" s="221"/>
      <c r="E379" s="221"/>
      <c r="F379" s="221"/>
      <c r="G379" s="221"/>
      <c r="H379" s="221"/>
      <c r="I379" s="221"/>
      <c r="J379" s="221"/>
      <c r="K379" s="221"/>
      <c r="L379" s="221"/>
      <c r="M379" s="221"/>
      <c r="N379" s="221"/>
      <c r="O379" s="221"/>
      <c r="P379" s="221"/>
      <c r="Q379" s="221"/>
      <c r="R379" s="221"/>
      <c r="S379" s="221"/>
      <c r="T379" s="221"/>
      <c r="U379" s="221"/>
      <c r="V379" s="221"/>
      <c r="W379" s="221"/>
      <c r="X379" s="221"/>
      <c r="Y379" s="221"/>
      <c r="Z379" s="221"/>
    </row>
    <row r="380" spans="1:26" ht="18.75" customHeight="1">
      <c r="A380" s="221"/>
      <c r="B380" s="221"/>
      <c r="C380" s="221"/>
      <c r="D380" s="221"/>
      <c r="E380" s="221"/>
      <c r="F380" s="221"/>
      <c r="G380" s="221"/>
      <c r="H380" s="221"/>
      <c r="I380" s="221"/>
      <c r="J380" s="221"/>
      <c r="K380" s="221"/>
      <c r="L380" s="221"/>
      <c r="M380" s="221"/>
      <c r="N380" s="221"/>
      <c r="O380" s="221"/>
      <c r="P380" s="221"/>
      <c r="Q380" s="221"/>
      <c r="R380" s="221"/>
      <c r="S380" s="221"/>
      <c r="T380" s="221"/>
      <c r="U380" s="221"/>
      <c r="V380" s="221"/>
      <c r="W380" s="221"/>
      <c r="X380" s="221"/>
      <c r="Y380" s="221"/>
      <c r="Z380" s="221"/>
    </row>
    <row r="381" spans="1:26" ht="18.75" customHeight="1">
      <c r="A381" s="221"/>
      <c r="B381" s="221"/>
      <c r="C381" s="221"/>
      <c r="D381" s="221"/>
      <c r="E381" s="221"/>
      <c r="F381" s="221"/>
      <c r="G381" s="221"/>
      <c r="H381" s="221"/>
      <c r="I381" s="221"/>
      <c r="J381" s="221"/>
      <c r="K381" s="221"/>
      <c r="L381" s="221"/>
      <c r="M381" s="221"/>
      <c r="N381" s="221"/>
      <c r="O381" s="221"/>
      <c r="P381" s="221"/>
      <c r="Q381" s="221"/>
      <c r="R381" s="221"/>
      <c r="S381" s="221"/>
      <c r="T381" s="221"/>
      <c r="U381" s="221"/>
      <c r="V381" s="221"/>
      <c r="W381" s="221"/>
      <c r="X381" s="221"/>
      <c r="Y381" s="221"/>
      <c r="Z381" s="221"/>
    </row>
    <row r="382" spans="1:26" ht="18.75" customHeight="1">
      <c r="A382" s="221"/>
      <c r="B382" s="221"/>
      <c r="C382" s="221"/>
      <c r="D382" s="221"/>
      <c r="E382" s="221"/>
      <c r="F382" s="221"/>
      <c r="G382" s="221"/>
      <c r="H382" s="221"/>
      <c r="I382" s="221"/>
      <c r="J382" s="221"/>
      <c r="K382" s="221"/>
      <c r="L382" s="221"/>
      <c r="M382" s="221"/>
      <c r="N382" s="221"/>
      <c r="O382" s="221"/>
      <c r="P382" s="221"/>
      <c r="Q382" s="221"/>
      <c r="R382" s="221"/>
      <c r="S382" s="221"/>
      <c r="T382" s="221"/>
      <c r="U382" s="221"/>
      <c r="V382" s="221"/>
      <c r="W382" s="221"/>
      <c r="X382" s="221"/>
      <c r="Y382" s="221"/>
      <c r="Z382" s="221"/>
    </row>
    <row r="383" spans="1:26" ht="18.75" customHeight="1">
      <c r="A383" s="221"/>
      <c r="B383" s="221"/>
      <c r="C383" s="221"/>
      <c r="D383" s="221"/>
      <c r="E383" s="221"/>
      <c r="F383" s="221"/>
      <c r="G383" s="221"/>
      <c r="H383" s="221"/>
      <c r="I383" s="221"/>
      <c r="J383" s="221"/>
      <c r="K383" s="221"/>
      <c r="L383" s="221"/>
      <c r="M383" s="221"/>
      <c r="N383" s="221"/>
      <c r="O383" s="221"/>
      <c r="P383" s="221"/>
      <c r="Q383" s="221"/>
      <c r="R383" s="221"/>
      <c r="S383" s="221"/>
      <c r="T383" s="221"/>
      <c r="U383" s="221"/>
      <c r="V383" s="221"/>
      <c r="W383" s="221"/>
      <c r="X383" s="221"/>
      <c r="Y383" s="221"/>
      <c r="Z383" s="221"/>
    </row>
    <row r="384" spans="1:26" ht="18.75" customHeight="1">
      <c r="A384" s="221"/>
      <c r="B384" s="221"/>
      <c r="C384" s="221"/>
      <c r="D384" s="221"/>
      <c r="E384" s="221"/>
      <c r="F384" s="221"/>
      <c r="G384" s="221"/>
      <c r="H384" s="221"/>
      <c r="I384" s="221"/>
      <c r="J384" s="221"/>
      <c r="K384" s="221"/>
      <c r="L384" s="221"/>
      <c r="M384" s="221"/>
      <c r="N384" s="221"/>
      <c r="O384" s="221"/>
      <c r="P384" s="221"/>
      <c r="Q384" s="221"/>
      <c r="R384" s="221"/>
      <c r="S384" s="221"/>
      <c r="T384" s="221"/>
      <c r="U384" s="221"/>
      <c r="V384" s="221"/>
      <c r="W384" s="221"/>
      <c r="X384" s="221"/>
      <c r="Y384" s="221"/>
      <c r="Z384" s="221"/>
    </row>
    <row r="385" spans="1:26" ht="18.75" customHeight="1">
      <c r="A385" s="221"/>
      <c r="B385" s="221"/>
      <c r="C385" s="221"/>
      <c r="D385" s="221"/>
      <c r="E385" s="221"/>
      <c r="F385" s="221"/>
      <c r="G385" s="221"/>
      <c r="H385" s="221"/>
      <c r="I385" s="221"/>
      <c r="J385" s="221"/>
      <c r="K385" s="221"/>
      <c r="L385" s="221"/>
      <c r="M385" s="221"/>
      <c r="N385" s="221"/>
      <c r="O385" s="221"/>
      <c r="P385" s="221"/>
      <c r="Q385" s="221"/>
      <c r="R385" s="221"/>
      <c r="S385" s="221"/>
      <c r="T385" s="221"/>
      <c r="U385" s="221"/>
      <c r="V385" s="221"/>
      <c r="W385" s="221"/>
      <c r="X385" s="221"/>
      <c r="Y385" s="221"/>
      <c r="Z385" s="221"/>
    </row>
    <row r="386" spans="1:26" ht="18.75" customHeight="1">
      <c r="A386" s="221"/>
      <c r="B386" s="221"/>
      <c r="C386" s="221"/>
      <c r="D386" s="221"/>
      <c r="E386" s="221"/>
      <c r="F386" s="221"/>
      <c r="G386" s="221"/>
      <c r="H386" s="221"/>
      <c r="I386" s="221"/>
      <c r="J386" s="221"/>
      <c r="K386" s="221"/>
      <c r="L386" s="221"/>
      <c r="M386" s="221"/>
      <c r="N386" s="221"/>
      <c r="O386" s="221"/>
      <c r="P386" s="221"/>
      <c r="Q386" s="221"/>
      <c r="R386" s="221"/>
      <c r="S386" s="221"/>
      <c r="T386" s="221"/>
      <c r="U386" s="221"/>
      <c r="V386" s="221"/>
      <c r="W386" s="221"/>
      <c r="X386" s="221"/>
      <c r="Y386" s="221"/>
      <c r="Z386" s="221"/>
    </row>
    <row r="387" spans="1:26" ht="18.75" customHeight="1">
      <c r="A387" s="221"/>
      <c r="B387" s="221"/>
      <c r="C387" s="221"/>
      <c r="D387" s="221"/>
      <c r="E387" s="221"/>
      <c r="F387" s="221"/>
      <c r="G387" s="221"/>
      <c r="H387" s="221"/>
      <c r="I387" s="221"/>
      <c r="J387" s="221"/>
      <c r="K387" s="221"/>
      <c r="L387" s="221"/>
      <c r="M387" s="221"/>
      <c r="N387" s="221"/>
      <c r="O387" s="221"/>
      <c r="P387" s="221"/>
      <c r="Q387" s="221"/>
      <c r="R387" s="221"/>
      <c r="S387" s="221"/>
      <c r="T387" s="221"/>
      <c r="U387" s="221"/>
      <c r="V387" s="221"/>
      <c r="W387" s="221"/>
      <c r="X387" s="221"/>
      <c r="Y387" s="221"/>
      <c r="Z387" s="221"/>
    </row>
    <row r="388" spans="1:26" ht="18.75" customHeight="1">
      <c r="A388" s="221"/>
      <c r="B388" s="221"/>
      <c r="C388" s="221"/>
      <c r="D388" s="221"/>
      <c r="E388" s="221"/>
      <c r="F388" s="221"/>
      <c r="G388" s="221"/>
      <c r="H388" s="221"/>
      <c r="I388" s="221"/>
      <c r="J388" s="221"/>
      <c r="K388" s="221"/>
      <c r="L388" s="221"/>
      <c r="M388" s="221"/>
      <c r="N388" s="221"/>
      <c r="O388" s="221"/>
      <c r="P388" s="221"/>
      <c r="Q388" s="221"/>
      <c r="R388" s="221"/>
      <c r="S388" s="221"/>
      <c r="T388" s="221"/>
      <c r="U388" s="221"/>
      <c r="V388" s="221"/>
      <c r="W388" s="221"/>
      <c r="X388" s="221"/>
      <c r="Y388" s="221"/>
      <c r="Z388" s="221"/>
    </row>
    <row r="389" spans="1:26" ht="18.75" customHeight="1">
      <c r="A389" s="221"/>
      <c r="B389" s="221"/>
      <c r="C389" s="221"/>
      <c r="D389" s="221"/>
      <c r="E389" s="221"/>
      <c r="F389" s="221"/>
      <c r="G389" s="221"/>
      <c r="H389" s="221"/>
      <c r="I389" s="221"/>
      <c r="J389" s="221"/>
      <c r="K389" s="221"/>
      <c r="L389" s="221"/>
      <c r="M389" s="221"/>
      <c r="N389" s="221"/>
      <c r="O389" s="221"/>
      <c r="P389" s="221"/>
      <c r="Q389" s="221"/>
      <c r="R389" s="221"/>
      <c r="S389" s="221"/>
      <c r="T389" s="221"/>
      <c r="U389" s="221"/>
      <c r="V389" s="221"/>
      <c r="W389" s="221"/>
      <c r="X389" s="221"/>
      <c r="Y389" s="221"/>
      <c r="Z389" s="221"/>
    </row>
    <row r="390" spans="1:26" ht="18.75" customHeight="1">
      <c r="A390" s="221"/>
      <c r="B390" s="221"/>
      <c r="C390" s="221"/>
      <c r="D390" s="221"/>
      <c r="E390" s="221"/>
      <c r="F390" s="221"/>
      <c r="G390" s="221"/>
      <c r="H390" s="221"/>
      <c r="I390" s="221"/>
      <c r="J390" s="221"/>
      <c r="K390" s="221"/>
      <c r="L390" s="221"/>
      <c r="M390" s="221"/>
      <c r="N390" s="221"/>
      <c r="O390" s="221"/>
      <c r="P390" s="221"/>
      <c r="Q390" s="221"/>
      <c r="R390" s="221"/>
      <c r="S390" s="221"/>
      <c r="T390" s="221"/>
      <c r="U390" s="221"/>
      <c r="V390" s="221"/>
      <c r="W390" s="221"/>
      <c r="X390" s="221"/>
      <c r="Y390" s="221"/>
      <c r="Z390" s="221"/>
    </row>
    <row r="391" spans="1:26" ht="18.75" customHeight="1">
      <c r="A391" s="221"/>
      <c r="B391" s="221"/>
      <c r="C391" s="221"/>
      <c r="D391" s="221"/>
      <c r="E391" s="221"/>
      <c r="F391" s="221"/>
      <c r="G391" s="221"/>
      <c r="H391" s="221"/>
      <c r="I391" s="221"/>
      <c r="J391" s="221"/>
      <c r="K391" s="221"/>
      <c r="L391" s="221"/>
      <c r="M391" s="221"/>
      <c r="N391" s="221"/>
      <c r="O391" s="221"/>
      <c r="P391" s="221"/>
      <c r="Q391" s="221"/>
      <c r="R391" s="221"/>
      <c r="S391" s="221"/>
      <c r="T391" s="221"/>
      <c r="U391" s="221"/>
      <c r="V391" s="221"/>
      <c r="W391" s="221"/>
      <c r="X391" s="221"/>
      <c r="Y391" s="221"/>
      <c r="Z391" s="221"/>
    </row>
    <row r="392" spans="1:26" ht="18.75" customHeight="1">
      <c r="A392" s="221"/>
      <c r="B392" s="221"/>
      <c r="C392" s="221"/>
      <c r="D392" s="221"/>
      <c r="E392" s="221"/>
      <c r="F392" s="221"/>
      <c r="G392" s="221"/>
      <c r="H392" s="221"/>
      <c r="I392" s="221"/>
      <c r="J392" s="221"/>
      <c r="K392" s="221"/>
      <c r="L392" s="221"/>
      <c r="M392" s="221"/>
      <c r="N392" s="221"/>
      <c r="O392" s="221"/>
      <c r="P392" s="221"/>
      <c r="Q392" s="221"/>
      <c r="R392" s="221"/>
      <c r="S392" s="221"/>
      <c r="T392" s="221"/>
      <c r="U392" s="221"/>
      <c r="V392" s="221"/>
      <c r="W392" s="221"/>
      <c r="X392" s="221"/>
      <c r="Y392" s="221"/>
      <c r="Z392" s="221"/>
    </row>
    <row r="393" spans="1:26" ht="18.75" customHeight="1">
      <c r="A393" s="221"/>
      <c r="B393" s="221"/>
      <c r="C393" s="221"/>
      <c r="D393" s="221"/>
      <c r="E393" s="221"/>
      <c r="F393" s="221"/>
      <c r="G393" s="221"/>
      <c r="H393" s="221"/>
      <c r="I393" s="221"/>
      <c r="J393" s="221"/>
      <c r="K393" s="221"/>
      <c r="L393" s="221"/>
      <c r="M393" s="221"/>
      <c r="N393" s="221"/>
      <c r="O393" s="221"/>
      <c r="P393" s="221"/>
      <c r="Q393" s="221"/>
      <c r="R393" s="221"/>
      <c r="S393" s="221"/>
      <c r="T393" s="221"/>
      <c r="U393" s="221"/>
      <c r="V393" s="221"/>
      <c r="W393" s="221"/>
      <c r="X393" s="221"/>
      <c r="Y393" s="221"/>
      <c r="Z393" s="221"/>
    </row>
    <row r="394" spans="1:26" ht="18.75" customHeight="1">
      <c r="A394" s="221"/>
      <c r="B394" s="221"/>
      <c r="C394" s="221"/>
      <c r="D394" s="221"/>
      <c r="E394" s="221"/>
      <c r="F394" s="221"/>
      <c r="G394" s="221"/>
      <c r="H394" s="221"/>
      <c r="I394" s="221"/>
      <c r="J394" s="221"/>
      <c r="K394" s="221"/>
      <c r="L394" s="221"/>
      <c r="M394" s="221"/>
      <c r="N394" s="221"/>
      <c r="O394" s="221"/>
      <c r="P394" s="221"/>
      <c r="Q394" s="221"/>
      <c r="R394" s="221"/>
      <c r="S394" s="221"/>
      <c r="T394" s="221"/>
      <c r="U394" s="221"/>
      <c r="V394" s="221"/>
      <c r="W394" s="221"/>
      <c r="X394" s="221"/>
      <c r="Y394" s="221"/>
      <c r="Z394" s="221"/>
    </row>
    <row r="395" spans="1:26" ht="18.75" customHeight="1">
      <c r="A395" s="221"/>
      <c r="B395" s="221"/>
      <c r="C395" s="221"/>
      <c r="D395" s="221"/>
      <c r="E395" s="221"/>
      <c r="F395" s="221"/>
      <c r="G395" s="221"/>
      <c r="H395" s="221"/>
      <c r="I395" s="221"/>
      <c r="J395" s="221"/>
      <c r="K395" s="221"/>
      <c r="L395" s="221"/>
      <c r="M395" s="221"/>
      <c r="N395" s="221"/>
      <c r="O395" s="221"/>
      <c r="P395" s="221"/>
      <c r="Q395" s="221"/>
      <c r="R395" s="221"/>
      <c r="S395" s="221"/>
      <c r="T395" s="221"/>
      <c r="U395" s="221"/>
      <c r="V395" s="221"/>
      <c r="W395" s="221"/>
      <c r="X395" s="221"/>
      <c r="Y395" s="221"/>
      <c r="Z395" s="221"/>
    </row>
    <row r="396" spans="1:26" ht="18.75" customHeight="1">
      <c r="A396" s="221"/>
      <c r="B396" s="221"/>
      <c r="C396" s="221"/>
      <c r="D396" s="221"/>
      <c r="E396" s="221"/>
      <c r="F396" s="221"/>
      <c r="G396" s="221"/>
      <c r="H396" s="221"/>
      <c r="I396" s="221"/>
      <c r="J396" s="221"/>
      <c r="K396" s="221"/>
      <c r="L396" s="221"/>
      <c r="M396" s="221"/>
      <c r="N396" s="221"/>
      <c r="O396" s="221"/>
      <c r="P396" s="221"/>
      <c r="Q396" s="221"/>
      <c r="R396" s="221"/>
      <c r="S396" s="221"/>
      <c r="T396" s="221"/>
      <c r="U396" s="221"/>
      <c r="V396" s="221"/>
      <c r="W396" s="221"/>
      <c r="X396" s="221"/>
      <c r="Y396" s="221"/>
      <c r="Z396" s="221"/>
    </row>
    <row r="397" spans="1:26" ht="18.75" customHeight="1">
      <c r="A397" s="221"/>
      <c r="B397" s="221"/>
      <c r="C397" s="221"/>
      <c r="D397" s="221"/>
      <c r="E397" s="221"/>
      <c r="F397" s="221"/>
      <c r="G397" s="221"/>
      <c r="H397" s="221"/>
      <c r="I397" s="221"/>
      <c r="J397" s="221"/>
      <c r="K397" s="221"/>
      <c r="L397" s="221"/>
      <c r="M397" s="221"/>
      <c r="N397" s="221"/>
      <c r="O397" s="221"/>
      <c r="P397" s="221"/>
      <c r="Q397" s="221"/>
      <c r="R397" s="221"/>
      <c r="S397" s="221"/>
      <c r="T397" s="221"/>
      <c r="U397" s="221"/>
      <c r="V397" s="221"/>
      <c r="W397" s="221"/>
      <c r="X397" s="221"/>
      <c r="Y397" s="221"/>
      <c r="Z397" s="221"/>
    </row>
    <row r="398" spans="1:26" ht="18.75" customHeight="1">
      <c r="A398" s="221"/>
      <c r="B398" s="221"/>
      <c r="C398" s="221"/>
      <c r="D398" s="221"/>
      <c r="E398" s="221"/>
      <c r="F398" s="221"/>
      <c r="G398" s="221"/>
      <c r="H398" s="221"/>
      <c r="I398" s="221"/>
      <c r="J398" s="221"/>
      <c r="K398" s="221"/>
      <c r="L398" s="221"/>
      <c r="M398" s="221"/>
      <c r="N398" s="221"/>
      <c r="O398" s="221"/>
      <c r="P398" s="221"/>
      <c r="Q398" s="221"/>
      <c r="R398" s="221"/>
      <c r="S398" s="221"/>
      <c r="T398" s="221"/>
      <c r="U398" s="221"/>
      <c r="V398" s="221"/>
      <c r="W398" s="221"/>
      <c r="X398" s="221"/>
      <c r="Y398" s="221"/>
      <c r="Z398" s="221"/>
    </row>
    <row r="399" spans="1:26" ht="18.75" customHeight="1">
      <c r="A399" s="221"/>
      <c r="B399" s="221"/>
      <c r="C399" s="221"/>
      <c r="D399" s="221"/>
      <c r="E399" s="221"/>
      <c r="F399" s="221"/>
      <c r="G399" s="221"/>
      <c r="H399" s="221"/>
      <c r="I399" s="221"/>
      <c r="J399" s="221"/>
      <c r="K399" s="221"/>
      <c r="L399" s="221"/>
      <c r="M399" s="221"/>
      <c r="N399" s="221"/>
      <c r="O399" s="221"/>
      <c r="P399" s="221"/>
      <c r="Q399" s="221"/>
      <c r="R399" s="221"/>
      <c r="S399" s="221"/>
      <c r="T399" s="221"/>
      <c r="U399" s="221"/>
      <c r="V399" s="221"/>
      <c r="W399" s="221"/>
      <c r="X399" s="221"/>
      <c r="Y399" s="221"/>
      <c r="Z399" s="221"/>
    </row>
    <row r="400" spans="1:26" ht="18.75" customHeight="1">
      <c r="A400" s="221"/>
      <c r="B400" s="221"/>
      <c r="C400" s="221"/>
      <c r="D400" s="221"/>
      <c r="E400" s="221"/>
      <c r="F400" s="221"/>
      <c r="G400" s="221"/>
      <c r="H400" s="221"/>
      <c r="I400" s="221"/>
      <c r="J400" s="221"/>
      <c r="K400" s="221"/>
      <c r="L400" s="221"/>
      <c r="M400" s="221"/>
      <c r="N400" s="221"/>
      <c r="O400" s="221"/>
      <c r="P400" s="221"/>
      <c r="Q400" s="221"/>
      <c r="R400" s="221"/>
      <c r="S400" s="221"/>
      <c r="T400" s="221"/>
      <c r="U400" s="221"/>
      <c r="V400" s="221"/>
      <c r="W400" s="221"/>
      <c r="X400" s="221"/>
      <c r="Y400" s="221"/>
      <c r="Z400" s="221"/>
    </row>
    <row r="401" spans="1:26" ht="18.75" customHeight="1">
      <c r="A401" s="221"/>
      <c r="B401" s="221"/>
      <c r="C401" s="221"/>
      <c r="D401" s="221"/>
      <c r="E401" s="221"/>
      <c r="F401" s="221"/>
      <c r="G401" s="221"/>
      <c r="H401" s="221"/>
      <c r="I401" s="221"/>
      <c r="J401" s="221"/>
      <c r="K401" s="221"/>
      <c r="L401" s="221"/>
      <c r="M401" s="221"/>
      <c r="N401" s="221"/>
      <c r="O401" s="221"/>
      <c r="P401" s="221"/>
      <c r="Q401" s="221"/>
      <c r="R401" s="221"/>
      <c r="S401" s="221"/>
      <c r="T401" s="221"/>
      <c r="U401" s="221"/>
      <c r="V401" s="221"/>
      <c r="W401" s="221"/>
      <c r="X401" s="221"/>
      <c r="Y401" s="221"/>
      <c r="Z401" s="221"/>
    </row>
    <row r="402" spans="1:26" ht="18.75" customHeight="1">
      <c r="A402" s="221"/>
      <c r="B402" s="221"/>
      <c r="C402" s="221"/>
      <c r="D402" s="221"/>
      <c r="E402" s="221"/>
      <c r="F402" s="221"/>
      <c r="G402" s="221"/>
      <c r="H402" s="221"/>
      <c r="I402" s="221"/>
      <c r="J402" s="221"/>
      <c r="K402" s="221"/>
      <c r="L402" s="221"/>
      <c r="M402" s="221"/>
      <c r="N402" s="221"/>
      <c r="O402" s="221"/>
      <c r="P402" s="221"/>
      <c r="Q402" s="221"/>
      <c r="R402" s="221"/>
      <c r="S402" s="221"/>
      <c r="T402" s="221"/>
      <c r="U402" s="221"/>
      <c r="V402" s="221"/>
      <c r="W402" s="221"/>
      <c r="X402" s="221"/>
      <c r="Y402" s="221"/>
      <c r="Z402" s="221"/>
    </row>
    <row r="403" spans="1:26" ht="18.75" customHeight="1">
      <c r="A403" s="221"/>
      <c r="B403" s="221"/>
      <c r="C403" s="221"/>
      <c r="D403" s="221"/>
      <c r="E403" s="221"/>
      <c r="F403" s="221"/>
      <c r="G403" s="221"/>
      <c r="H403" s="221"/>
      <c r="I403" s="221"/>
      <c r="J403" s="221"/>
      <c r="K403" s="221"/>
      <c r="L403" s="221"/>
      <c r="M403" s="221"/>
      <c r="N403" s="221"/>
      <c r="O403" s="221"/>
      <c r="P403" s="221"/>
      <c r="Q403" s="221"/>
      <c r="R403" s="221"/>
      <c r="S403" s="221"/>
      <c r="T403" s="221"/>
      <c r="U403" s="221"/>
      <c r="V403" s="221"/>
      <c r="W403" s="221"/>
      <c r="X403" s="221"/>
      <c r="Y403" s="221"/>
      <c r="Z403" s="221"/>
    </row>
    <row r="404" spans="1:26" ht="18.75" customHeight="1">
      <c r="A404" s="221"/>
      <c r="B404" s="221"/>
      <c r="C404" s="221"/>
      <c r="D404" s="221"/>
      <c r="E404" s="221"/>
      <c r="F404" s="221"/>
      <c r="G404" s="221"/>
      <c r="H404" s="221"/>
      <c r="I404" s="221"/>
      <c r="J404" s="221"/>
      <c r="K404" s="221"/>
      <c r="L404" s="221"/>
      <c r="M404" s="221"/>
      <c r="N404" s="221"/>
      <c r="O404" s="221"/>
      <c r="P404" s="221"/>
      <c r="Q404" s="221"/>
      <c r="R404" s="221"/>
      <c r="S404" s="221"/>
      <c r="T404" s="221"/>
      <c r="U404" s="221"/>
      <c r="V404" s="221"/>
      <c r="W404" s="221"/>
      <c r="X404" s="221"/>
      <c r="Y404" s="221"/>
      <c r="Z404" s="221"/>
    </row>
    <row r="405" spans="1:26" ht="18.75" customHeight="1">
      <c r="A405" s="221"/>
      <c r="B405" s="221"/>
      <c r="C405" s="221"/>
      <c r="D405" s="221"/>
      <c r="E405" s="221"/>
      <c r="F405" s="221"/>
      <c r="G405" s="221"/>
      <c r="H405" s="221"/>
      <c r="I405" s="221"/>
      <c r="J405" s="221"/>
      <c r="K405" s="221"/>
      <c r="L405" s="221"/>
      <c r="M405" s="221"/>
      <c r="N405" s="221"/>
      <c r="O405" s="221"/>
      <c r="P405" s="221"/>
      <c r="Q405" s="221"/>
      <c r="R405" s="221"/>
      <c r="S405" s="221"/>
      <c r="T405" s="221"/>
      <c r="U405" s="221"/>
      <c r="V405" s="221"/>
      <c r="W405" s="221"/>
      <c r="X405" s="221"/>
      <c r="Y405" s="221"/>
      <c r="Z405" s="221"/>
    </row>
    <row r="406" spans="1:26" ht="18.75" customHeight="1">
      <c r="A406" s="221"/>
      <c r="B406" s="221"/>
      <c r="C406" s="221"/>
      <c r="D406" s="221"/>
      <c r="E406" s="221"/>
      <c r="F406" s="221"/>
      <c r="G406" s="221"/>
      <c r="H406" s="221"/>
      <c r="I406" s="221"/>
      <c r="J406" s="221"/>
      <c r="K406" s="221"/>
      <c r="L406" s="221"/>
      <c r="M406" s="221"/>
      <c r="N406" s="221"/>
      <c r="O406" s="221"/>
      <c r="P406" s="221"/>
      <c r="Q406" s="221"/>
      <c r="R406" s="221"/>
      <c r="S406" s="221"/>
      <c r="T406" s="221"/>
      <c r="U406" s="221"/>
      <c r="V406" s="221"/>
      <c r="W406" s="221"/>
      <c r="X406" s="221"/>
      <c r="Y406" s="221"/>
      <c r="Z406" s="221"/>
    </row>
    <row r="407" spans="1:26" ht="18.75" customHeight="1">
      <c r="A407" s="221"/>
      <c r="B407" s="221"/>
      <c r="C407" s="221"/>
      <c r="D407" s="221"/>
      <c r="E407" s="221"/>
      <c r="F407" s="221"/>
      <c r="G407" s="221"/>
      <c r="H407" s="221"/>
      <c r="I407" s="221"/>
      <c r="J407" s="221"/>
      <c r="K407" s="221"/>
      <c r="L407" s="221"/>
      <c r="M407" s="221"/>
      <c r="N407" s="221"/>
      <c r="O407" s="221"/>
      <c r="P407" s="221"/>
      <c r="Q407" s="221"/>
      <c r="R407" s="221"/>
      <c r="S407" s="221"/>
      <c r="T407" s="221"/>
      <c r="U407" s="221"/>
      <c r="V407" s="221"/>
      <c r="W407" s="221"/>
      <c r="X407" s="221"/>
      <c r="Y407" s="221"/>
      <c r="Z407" s="221"/>
    </row>
    <row r="408" spans="1:26" ht="18.75" customHeight="1">
      <c r="A408" s="221"/>
      <c r="B408" s="221"/>
      <c r="C408" s="221"/>
      <c r="D408" s="221"/>
      <c r="E408" s="221"/>
      <c r="F408" s="221"/>
      <c r="G408" s="221"/>
      <c r="H408" s="221"/>
      <c r="I408" s="221"/>
      <c r="J408" s="221"/>
      <c r="K408" s="221"/>
      <c r="L408" s="221"/>
      <c r="M408" s="221"/>
      <c r="N408" s="221"/>
      <c r="O408" s="221"/>
      <c r="P408" s="221"/>
      <c r="Q408" s="221"/>
      <c r="R408" s="221"/>
      <c r="S408" s="221"/>
      <c r="T408" s="221"/>
      <c r="U408" s="221"/>
      <c r="V408" s="221"/>
      <c r="W408" s="221"/>
      <c r="X408" s="221"/>
      <c r="Y408" s="221"/>
      <c r="Z408" s="221"/>
    </row>
    <row r="409" spans="1:26" ht="18.75" customHeight="1">
      <c r="A409" s="221"/>
      <c r="B409" s="221"/>
      <c r="C409" s="221"/>
      <c r="D409" s="221"/>
      <c r="E409" s="221"/>
      <c r="F409" s="221"/>
      <c r="G409" s="221"/>
      <c r="H409" s="221"/>
      <c r="I409" s="221"/>
      <c r="J409" s="221"/>
      <c r="K409" s="221"/>
      <c r="L409" s="221"/>
      <c r="M409" s="221"/>
      <c r="N409" s="221"/>
      <c r="O409" s="221"/>
      <c r="P409" s="221"/>
      <c r="Q409" s="221"/>
      <c r="R409" s="221"/>
      <c r="S409" s="221"/>
      <c r="T409" s="221"/>
      <c r="U409" s="221"/>
      <c r="V409" s="221"/>
      <c r="W409" s="221"/>
      <c r="X409" s="221"/>
      <c r="Y409" s="221"/>
      <c r="Z409" s="221"/>
    </row>
    <row r="410" spans="1:26" ht="18.75" customHeight="1">
      <c r="A410" s="221"/>
      <c r="B410" s="221"/>
      <c r="C410" s="221"/>
      <c r="D410" s="221"/>
      <c r="E410" s="221"/>
      <c r="F410" s="221"/>
      <c r="G410" s="221"/>
      <c r="H410" s="221"/>
      <c r="I410" s="221"/>
      <c r="J410" s="221"/>
      <c r="K410" s="221"/>
      <c r="L410" s="221"/>
      <c r="M410" s="221"/>
      <c r="N410" s="221"/>
      <c r="O410" s="221"/>
      <c r="P410" s="221"/>
      <c r="Q410" s="221"/>
      <c r="R410" s="221"/>
      <c r="S410" s="221"/>
      <c r="T410" s="221"/>
      <c r="U410" s="221"/>
      <c r="V410" s="221"/>
      <c r="W410" s="221"/>
      <c r="X410" s="221"/>
      <c r="Y410" s="221"/>
      <c r="Z410" s="221"/>
    </row>
    <row r="411" spans="1:26" ht="18.75" customHeight="1">
      <c r="A411" s="221"/>
      <c r="B411" s="221"/>
      <c r="C411" s="221"/>
      <c r="D411" s="221"/>
      <c r="E411" s="221"/>
      <c r="F411" s="221"/>
      <c r="G411" s="221"/>
      <c r="H411" s="221"/>
      <c r="I411" s="221"/>
      <c r="J411" s="221"/>
      <c r="K411" s="221"/>
      <c r="L411" s="221"/>
      <c r="M411" s="221"/>
      <c r="N411" s="221"/>
      <c r="O411" s="221"/>
      <c r="P411" s="221"/>
      <c r="Q411" s="221"/>
      <c r="R411" s="221"/>
      <c r="S411" s="221"/>
      <c r="T411" s="221"/>
      <c r="U411" s="221"/>
      <c r="V411" s="221"/>
      <c r="W411" s="221"/>
      <c r="X411" s="221"/>
      <c r="Y411" s="221"/>
      <c r="Z411" s="221"/>
    </row>
    <row r="412" spans="1:26" ht="18.75" customHeight="1">
      <c r="A412" s="221"/>
      <c r="B412" s="221"/>
      <c r="C412" s="221"/>
      <c r="D412" s="221"/>
      <c r="E412" s="221"/>
      <c r="F412" s="221"/>
      <c r="G412" s="221"/>
      <c r="H412" s="221"/>
      <c r="I412" s="221"/>
      <c r="J412" s="221"/>
      <c r="K412" s="221"/>
      <c r="L412" s="221"/>
      <c r="M412" s="221"/>
      <c r="N412" s="221"/>
      <c r="O412" s="221"/>
      <c r="P412" s="221"/>
      <c r="Q412" s="221"/>
      <c r="R412" s="221"/>
      <c r="S412" s="221"/>
      <c r="T412" s="221"/>
      <c r="U412" s="221"/>
      <c r="V412" s="221"/>
      <c r="W412" s="221"/>
      <c r="X412" s="221"/>
      <c r="Y412" s="221"/>
      <c r="Z412" s="221"/>
    </row>
    <row r="413" spans="1:26" ht="18.75" customHeight="1">
      <c r="A413" s="221"/>
      <c r="B413" s="221"/>
      <c r="C413" s="221"/>
      <c r="D413" s="221"/>
      <c r="E413" s="221"/>
      <c r="F413" s="221"/>
      <c r="G413" s="221"/>
      <c r="H413" s="221"/>
      <c r="I413" s="221"/>
      <c r="J413" s="221"/>
      <c r="K413" s="221"/>
      <c r="L413" s="221"/>
      <c r="M413" s="221"/>
      <c r="N413" s="221"/>
      <c r="O413" s="221"/>
      <c r="P413" s="221"/>
      <c r="Q413" s="221"/>
      <c r="R413" s="221"/>
      <c r="S413" s="221"/>
      <c r="T413" s="221"/>
      <c r="U413" s="221"/>
      <c r="V413" s="221"/>
      <c r="W413" s="221"/>
      <c r="X413" s="221"/>
      <c r="Y413" s="221"/>
      <c r="Z413" s="221"/>
    </row>
    <row r="414" spans="1:26" ht="18.75" customHeight="1">
      <c r="A414" s="221"/>
      <c r="B414" s="221"/>
      <c r="C414" s="221"/>
      <c r="D414" s="221"/>
      <c r="E414" s="221"/>
      <c r="F414" s="221"/>
      <c r="G414" s="221"/>
      <c r="H414" s="221"/>
      <c r="I414" s="221"/>
      <c r="J414" s="221"/>
      <c r="K414" s="221"/>
      <c r="L414" s="221"/>
      <c r="M414" s="221"/>
      <c r="N414" s="221"/>
      <c r="O414" s="221"/>
      <c r="P414" s="221"/>
      <c r="Q414" s="221"/>
      <c r="R414" s="221"/>
      <c r="S414" s="221"/>
      <c r="T414" s="221"/>
      <c r="U414" s="221"/>
      <c r="V414" s="221"/>
      <c r="W414" s="221"/>
      <c r="X414" s="221"/>
      <c r="Y414" s="221"/>
      <c r="Z414" s="221"/>
    </row>
    <row r="415" spans="1:26" ht="18.75" customHeight="1">
      <c r="A415" s="221"/>
      <c r="B415" s="221"/>
      <c r="C415" s="221"/>
      <c r="D415" s="221"/>
      <c r="E415" s="221"/>
      <c r="F415" s="221"/>
      <c r="G415" s="221"/>
      <c r="H415" s="221"/>
      <c r="I415" s="221"/>
      <c r="J415" s="221"/>
      <c r="K415" s="221"/>
      <c r="L415" s="221"/>
      <c r="M415" s="221"/>
      <c r="N415" s="221"/>
      <c r="O415" s="221"/>
      <c r="P415" s="221"/>
      <c r="Q415" s="221"/>
      <c r="R415" s="221"/>
      <c r="S415" s="221"/>
      <c r="T415" s="221"/>
      <c r="U415" s="221"/>
      <c r="V415" s="221"/>
      <c r="W415" s="221"/>
      <c r="X415" s="221"/>
      <c r="Y415" s="221"/>
      <c r="Z415" s="221"/>
    </row>
    <row r="416" spans="1:26" ht="18.75" customHeight="1">
      <c r="A416" s="221"/>
      <c r="B416" s="221"/>
      <c r="C416" s="221"/>
      <c r="D416" s="221"/>
      <c r="E416" s="221"/>
      <c r="F416" s="221"/>
      <c r="G416" s="221"/>
      <c r="H416" s="221"/>
      <c r="I416" s="221"/>
      <c r="J416" s="221"/>
      <c r="K416" s="221"/>
      <c r="L416" s="221"/>
      <c r="M416" s="221"/>
      <c r="N416" s="221"/>
      <c r="O416" s="221"/>
      <c r="P416" s="221"/>
      <c r="Q416" s="221"/>
      <c r="R416" s="221"/>
      <c r="S416" s="221"/>
      <c r="T416" s="221"/>
      <c r="U416" s="221"/>
      <c r="V416" s="221"/>
      <c r="W416" s="221"/>
      <c r="X416" s="221"/>
      <c r="Y416" s="221"/>
      <c r="Z416" s="221"/>
    </row>
    <row r="417" spans="1:26" ht="18.75" customHeight="1">
      <c r="A417" s="221"/>
      <c r="B417" s="221"/>
      <c r="C417" s="221"/>
      <c r="D417" s="221"/>
      <c r="E417" s="221"/>
      <c r="F417" s="221"/>
      <c r="G417" s="221"/>
      <c r="H417" s="221"/>
      <c r="I417" s="221"/>
      <c r="J417" s="221"/>
      <c r="K417" s="221"/>
      <c r="L417" s="221"/>
      <c r="M417" s="221"/>
      <c r="N417" s="221"/>
      <c r="O417" s="221"/>
      <c r="P417" s="221"/>
      <c r="Q417" s="221"/>
      <c r="R417" s="221"/>
      <c r="S417" s="221"/>
      <c r="T417" s="221"/>
      <c r="U417" s="221"/>
      <c r="V417" s="221"/>
      <c r="W417" s="221"/>
      <c r="X417" s="221"/>
      <c r="Y417" s="221"/>
      <c r="Z417" s="221"/>
    </row>
    <row r="418" spans="1:26" ht="18.75" customHeight="1">
      <c r="A418" s="221"/>
      <c r="B418" s="221"/>
      <c r="C418" s="221"/>
      <c r="D418" s="221"/>
      <c r="E418" s="221"/>
      <c r="F418" s="221"/>
      <c r="G418" s="221"/>
      <c r="H418" s="221"/>
      <c r="I418" s="221"/>
      <c r="J418" s="221"/>
      <c r="K418" s="221"/>
      <c r="L418" s="221"/>
      <c r="M418" s="221"/>
      <c r="N418" s="221"/>
      <c r="O418" s="221"/>
      <c r="P418" s="221"/>
      <c r="Q418" s="221"/>
      <c r="R418" s="221"/>
      <c r="S418" s="221"/>
      <c r="T418" s="221"/>
      <c r="U418" s="221"/>
      <c r="V418" s="221"/>
      <c r="W418" s="221"/>
      <c r="X418" s="221"/>
      <c r="Y418" s="221"/>
      <c r="Z418" s="221"/>
    </row>
    <row r="419" spans="1:26" ht="18.75" customHeight="1">
      <c r="A419" s="221"/>
      <c r="B419" s="221"/>
      <c r="C419" s="221"/>
      <c r="D419" s="221"/>
      <c r="E419" s="221"/>
      <c r="F419" s="221"/>
      <c r="G419" s="221"/>
      <c r="H419" s="221"/>
      <c r="I419" s="221"/>
      <c r="J419" s="221"/>
      <c r="K419" s="221"/>
      <c r="L419" s="221"/>
      <c r="M419" s="221"/>
      <c r="N419" s="221"/>
      <c r="O419" s="221"/>
      <c r="P419" s="221"/>
      <c r="Q419" s="221"/>
      <c r="R419" s="221"/>
      <c r="S419" s="221"/>
      <c r="T419" s="221"/>
      <c r="U419" s="221"/>
      <c r="V419" s="221"/>
      <c r="W419" s="221"/>
      <c r="X419" s="221"/>
      <c r="Y419" s="221"/>
      <c r="Z419" s="221"/>
    </row>
    <row r="420" spans="1:26" ht="18.75" customHeight="1">
      <c r="A420" s="221"/>
      <c r="B420" s="221"/>
      <c r="C420" s="221"/>
      <c r="D420" s="221"/>
      <c r="E420" s="221"/>
      <c r="F420" s="221"/>
      <c r="G420" s="221"/>
      <c r="H420" s="221"/>
      <c r="I420" s="221"/>
      <c r="J420" s="221"/>
      <c r="K420" s="221"/>
      <c r="L420" s="221"/>
      <c r="M420" s="221"/>
      <c r="N420" s="221"/>
      <c r="O420" s="221"/>
      <c r="P420" s="221"/>
      <c r="Q420" s="221"/>
      <c r="R420" s="221"/>
      <c r="S420" s="221"/>
      <c r="T420" s="221"/>
      <c r="U420" s="221"/>
      <c r="V420" s="221"/>
      <c r="W420" s="221"/>
      <c r="X420" s="221"/>
      <c r="Y420" s="221"/>
      <c r="Z420" s="221"/>
    </row>
    <row r="421" spans="1:26" ht="18.75" customHeight="1">
      <c r="A421" s="221"/>
      <c r="B421" s="221"/>
      <c r="C421" s="221"/>
      <c r="D421" s="221"/>
      <c r="E421" s="221"/>
      <c r="F421" s="221"/>
      <c r="G421" s="221"/>
      <c r="H421" s="221"/>
      <c r="I421" s="221"/>
      <c r="J421" s="221"/>
      <c r="K421" s="221"/>
      <c r="L421" s="221"/>
      <c r="M421" s="221"/>
      <c r="N421" s="221"/>
      <c r="O421" s="221"/>
      <c r="P421" s="221"/>
      <c r="Q421" s="221"/>
      <c r="R421" s="221"/>
      <c r="S421" s="221"/>
      <c r="T421" s="221"/>
      <c r="U421" s="221"/>
      <c r="V421" s="221"/>
      <c r="W421" s="221"/>
      <c r="X421" s="221"/>
      <c r="Y421" s="221"/>
      <c r="Z421" s="221"/>
    </row>
    <row r="422" spans="1:26" ht="18.75" customHeight="1">
      <c r="A422" s="221"/>
      <c r="B422" s="221"/>
      <c r="C422" s="221"/>
      <c r="D422" s="221"/>
      <c r="E422" s="221"/>
      <c r="F422" s="221"/>
      <c r="G422" s="221"/>
      <c r="H422" s="221"/>
      <c r="I422" s="221"/>
      <c r="J422" s="221"/>
      <c r="K422" s="221"/>
      <c r="L422" s="221"/>
      <c r="M422" s="221"/>
      <c r="N422" s="221"/>
      <c r="O422" s="221"/>
      <c r="P422" s="221"/>
      <c r="Q422" s="221"/>
      <c r="R422" s="221"/>
      <c r="S422" s="221"/>
      <c r="T422" s="221"/>
      <c r="U422" s="221"/>
      <c r="V422" s="221"/>
      <c r="W422" s="221"/>
      <c r="X422" s="221"/>
      <c r="Y422" s="221"/>
      <c r="Z422" s="221"/>
    </row>
    <row r="423" spans="1:26" ht="18.75" customHeight="1">
      <c r="A423" s="221"/>
      <c r="B423" s="221"/>
      <c r="C423" s="221"/>
      <c r="D423" s="221"/>
      <c r="E423" s="221"/>
      <c r="F423" s="221"/>
      <c r="G423" s="221"/>
      <c r="H423" s="221"/>
      <c r="I423" s="221"/>
      <c r="J423" s="221"/>
      <c r="K423" s="221"/>
      <c r="L423" s="221"/>
      <c r="M423" s="221"/>
      <c r="N423" s="221"/>
      <c r="O423" s="221"/>
      <c r="P423" s="221"/>
      <c r="Q423" s="221"/>
      <c r="R423" s="221"/>
      <c r="S423" s="221"/>
      <c r="T423" s="221"/>
      <c r="U423" s="221"/>
      <c r="V423" s="221"/>
      <c r="W423" s="221"/>
      <c r="X423" s="221"/>
      <c r="Y423" s="221"/>
      <c r="Z423" s="221"/>
    </row>
    <row r="424" spans="1:26" ht="18.75" customHeight="1">
      <c r="A424" s="221"/>
      <c r="B424" s="221"/>
      <c r="C424" s="221"/>
      <c r="D424" s="221"/>
      <c r="E424" s="221"/>
      <c r="F424" s="221"/>
      <c r="G424" s="221"/>
      <c r="H424" s="221"/>
      <c r="I424" s="221"/>
      <c r="J424" s="221"/>
      <c r="K424" s="221"/>
      <c r="L424" s="221"/>
      <c r="M424" s="221"/>
      <c r="N424" s="221"/>
      <c r="O424" s="221"/>
      <c r="P424" s="221"/>
      <c r="Q424" s="221"/>
      <c r="R424" s="221"/>
      <c r="S424" s="221"/>
      <c r="T424" s="221"/>
      <c r="U424" s="221"/>
      <c r="V424" s="221"/>
      <c r="W424" s="221"/>
      <c r="X424" s="221"/>
      <c r="Y424" s="221"/>
      <c r="Z424" s="221"/>
    </row>
    <row r="425" spans="1:26" ht="18.75" customHeight="1">
      <c r="A425" s="221"/>
      <c r="B425" s="221"/>
      <c r="C425" s="221"/>
      <c r="D425" s="221"/>
      <c r="E425" s="221"/>
      <c r="F425" s="221"/>
      <c r="G425" s="221"/>
      <c r="H425" s="221"/>
      <c r="I425" s="221"/>
      <c r="J425" s="221"/>
      <c r="K425" s="221"/>
      <c r="L425" s="221"/>
      <c r="M425" s="221"/>
      <c r="N425" s="221"/>
      <c r="O425" s="221"/>
      <c r="P425" s="221"/>
      <c r="Q425" s="221"/>
      <c r="R425" s="221"/>
      <c r="S425" s="221"/>
      <c r="T425" s="221"/>
      <c r="U425" s="221"/>
      <c r="V425" s="221"/>
      <c r="W425" s="221"/>
      <c r="X425" s="221"/>
      <c r="Y425" s="221"/>
      <c r="Z425" s="221"/>
    </row>
    <row r="426" spans="1:26" ht="18.75" customHeight="1">
      <c r="A426" s="221"/>
      <c r="B426" s="221"/>
      <c r="C426" s="221"/>
      <c r="D426" s="221"/>
      <c r="E426" s="221"/>
      <c r="F426" s="221"/>
      <c r="G426" s="221"/>
      <c r="H426" s="221"/>
      <c r="I426" s="221"/>
      <c r="J426" s="221"/>
      <c r="K426" s="221"/>
      <c r="L426" s="221"/>
      <c r="M426" s="221"/>
      <c r="N426" s="221"/>
      <c r="O426" s="221"/>
      <c r="P426" s="221"/>
      <c r="Q426" s="221"/>
      <c r="R426" s="221"/>
      <c r="S426" s="221"/>
      <c r="T426" s="221"/>
      <c r="U426" s="221"/>
      <c r="V426" s="221"/>
      <c r="W426" s="221"/>
      <c r="X426" s="221"/>
      <c r="Y426" s="221"/>
      <c r="Z426" s="221"/>
    </row>
    <row r="427" spans="1:26" ht="18.75" customHeight="1">
      <c r="A427" s="221"/>
      <c r="B427" s="221"/>
      <c r="C427" s="221"/>
      <c r="D427" s="221"/>
      <c r="E427" s="221"/>
      <c r="F427" s="221"/>
      <c r="G427" s="221"/>
      <c r="H427" s="221"/>
      <c r="I427" s="221"/>
      <c r="J427" s="221"/>
      <c r="K427" s="221"/>
      <c r="L427" s="221"/>
      <c r="M427" s="221"/>
      <c r="N427" s="221"/>
      <c r="O427" s="221"/>
      <c r="P427" s="221"/>
      <c r="Q427" s="221"/>
      <c r="R427" s="221"/>
      <c r="S427" s="221"/>
      <c r="T427" s="221"/>
      <c r="U427" s="221"/>
      <c r="V427" s="221"/>
      <c r="W427" s="221"/>
      <c r="X427" s="221"/>
      <c r="Y427" s="221"/>
      <c r="Z427" s="221"/>
    </row>
    <row r="428" spans="1:26" ht="18.75" customHeight="1">
      <c r="A428" s="221"/>
      <c r="B428" s="221"/>
      <c r="C428" s="221"/>
      <c r="D428" s="221"/>
      <c r="E428" s="221"/>
      <c r="F428" s="221"/>
      <c r="G428" s="221"/>
      <c r="H428" s="221"/>
      <c r="I428" s="221"/>
      <c r="J428" s="221"/>
      <c r="K428" s="221"/>
      <c r="L428" s="221"/>
      <c r="M428" s="221"/>
      <c r="N428" s="221"/>
      <c r="O428" s="221"/>
      <c r="P428" s="221"/>
      <c r="Q428" s="221"/>
      <c r="R428" s="221"/>
      <c r="S428" s="221"/>
      <c r="T428" s="221"/>
      <c r="U428" s="221"/>
      <c r="V428" s="221"/>
      <c r="W428" s="221"/>
      <c r="X428" s="221"/>
      <c r="Y428" s="221"/>
      <c r="Z428" s="221"/>
    </row>
    <row r="429" spans="1:26" ht="18.75" customHeight="1">
      <c r="A429" s="221"/>
      <c r="B429" s="221"/>
      <c r="C429" s="221"/>
      <c r="D429" s="221"/>
      <c r="E429" s="221"/>
      <c r="F429" s="221"/>
      <c r="G429" s="221"/>
      <c r="H429" s="221"/>
      <c r="I429" s="221"/>
      <c r="J429" s="221"/>
      <c r="K429" s="221"/>
      <c r="L429" s="221"/>
      <c r="M429" s="221"/>
      <c r="N429" s="221"/>
      <c r="O429" s="221"/>
      <c r="P429" s="221"/>
      <c r="Q429" s="221"/>
      <c r="R429" s="221"/>
      <c r="S429" s="221"/>
      <c r="T429" s="221"/>
      <c r="U429" s="221"/>
      <c r="V429" s="221"/>
      <c r="W429" s="221"/>
      <c r="X429" s="221"/>
      <c r="Y429" s="221"/>
      <c r="Z429" s="221"/>
    </row>
    <row r="430" spans="1:26" ht="18.75" customHeight="1">
      <c r="A430" s="221"/>
      <c r="B430" s="221"/>
      <c r="C430" s="221"/>
      <c r="D430" s="221"/>
      <c r="E430" s="221"/>
      <c r="F430" s="221"/>
      <c r="G430" s="221"/>
      <c r="H430" s="221"/>
      <c r="I430" s="221"/>
      <c r="J430" s="221"/>
      <c r="K430" s="221"/>
      <c r="L430" s="221"/>
      <c r="M430" s="221"/>
      <c r="N430" s="221"/>
      <c r="O430" s="221"/>
      <c r="P430" s="221"/>
      <c r="Q430" s="221"/>
      <c r="R430" s="221"/>
      <c r="S430" s="221"/>
      <c r="T430" s="221"/>
      <c r="U430" s="221"/>
      <c r="V430" s="221"/>
      <c r="W430" s="221"/>
      <c r="X430" s="221"/>
      <c r="Y430" s="221"/>
      <c r="Z430" s="221"/>
    </row>
    <row r="431" spans="1:26" ht="18.75" customHeight="1">
      <c r="A431" s="221"/>
      <c r="B431" s="221"/>
      <c r="C431" s="221"/>
      <c r="D431" s="221"/>
      <c r="E431" s="221"/>
      <c r="F431" s="221"/>
      <c r="G431" s="221"/>
      <c r="H431" s="221"/>
      <c r="I431" s="221"/>
      <c r="J431" s="221"/>
      <c r="K431" s="221"/>
      <c r="L431" s="221"/>
      <c r="M431" s="221"/>
      <c r="N431" s="221"/>
      <c r="O431" s="221"/>
      <c r="P431" s="221"/>
      <c r="Q431" s="221"/>
      <c r="R431" s="221"/>
      <c r="S431" s="221"/>
      <c r="T431" s="221"/>
      <c r="U431" s="221"/>
      <c r="V431" s="221"/>
      <c r="W431" s="221"/>
      <c r="X431" s="221"/>
      <c r="Y431" s="221"/>
      <c r="Z431" s="221"/>
    </row>
    <row r="432" spans="1:26" ht="18.75" customHeight="1">
      <c r="A432" s="221"/>
      <c r="B432" s="221"/>
      <c r="C432" s="221"/>
      <c r="D432" s="221"/>
      <c r="E432" s="221"/>
      <c r="F432" s="221"/>
      <c r="G432" s="221"/>
      <c r="H432" s="221"/>
      <c r="I432" s="221"/>
      <c r="J432" s="221"/>
      <c r="K432" s="221"/>
      <c r="L432" s="221"/>
      <c r="M432" s="221"/>
      <c r="N432" s="221"/>
      <c r="O432" s="221"/>
      <c r="P432" s="221"/>
      <c r="Q432" s="221"/>
      <c r="R432" s="221"/>
      <c r="S432" s="221"/>
      <c r="T432" s="221"/>
      <c r="U432" s="221"/>
      <c r="V432" s="221"/>
      <c r="W432" s="221"/>
      <c r="X432" s="221"/>
      <c r="Y432" s="221"/>
      <c r="Z432" s="221"/>
    </row>
    <row r="433" spans="1:26" ht="18.75" customHeight="1">
      <c r="A433" s="221"/>
      <c r="B433" s="221"/>
      <c r="C433" s="221"/>
      <c r="D433" s="221"/>
      <c r="E433" s="221"/>
      <c r="F433" s="221"/>
      <c r="G433" s="221"/>
      <c r="H433" s="221"/>
      <c r="I433" s="221"/>
      <c r="J433" s="221"/>
      <c r="K433" s="221"/>
      <c r="L433" s="221"/>
      <c r="M433" s="221"/>
      <c r="N433" s="221"/>
      <c r="O433" s="221"/>
      <c r="P433" s="221"/>
      <c r="Q433" s="221"/>
      <c r="R433" s="221"/>
      <c r="S433" s="221"/>
      <c r="T433" s="221"/>
      <c r="U433" s="221"/>
      <c r="V433" s="221"/>
      <c r="W433" s="221"/>
      <c r="X433" s="221"/>
      <c r="Y433" s="221"/>
      <c r="Z433" s="221"/>
    </row>
    <row r="434" spans="1:26" ht="18.75" customHeight="1">
      <c r="A434" s="221"/>
      <c r="B434" s="221"/>
      <c r="C434" s="221"/>
      <c r="D434" s="221"/>
      <c r="E434" s="221"/>
      <c r="F434" s="221"/>
      <c r="G434" s="221"/>
      <c r="H434" s="221"/>
      <c r="I434" s="221"/>
      <c r="J434" s="221"/>
      <c r="K434" s="221"/>
      <c r="L434" s="221"/>
      <c r="M434" s="221"/>
      <c r="N434" s="221"/>
      <c r="O434" s="221"/>
      <c r="P434" s="221"/>
      <c r="Q434" s="221"/>
      <c r="R434" s="221"/>
      <c r="S434" s="221"/>
      <c r="T434" s="221"/>
      <c r="U434" s="221"/>
      <c r="V434" s="221"/>
      <c r="W434" s="221"/>
      <c r="X434" s="221"/>
      <c r="Y434" s="221"/>
      <c r="Z434" s="221"/>
    </row>
    <row r="435" spans="1:26" ht="18.75" customHeight="1">
      <c r="A435" s="221"/>
      <c r="B435" s="221"/>
      <c r="C435" s="221"/>
      <c r="D435" s="221"/>
      <c r="E435" s="221"/>
      <c r="F435" s="221"/>
      <c r="G435" s="221"/>
      <c r="H435" s="221"/>
      <c r="I435" s="221"/>
      <c r="J435" s="221"/>
      <c r="K435" s="221"/>
      <c r="L435" s="221"/>
      <c r="M435" s="221"/>
      <c r="N435" s="221"/>
      <c r="O435" s="221"/>
      <c r="P435" s="221"/>
      <c r="Q435" s="221"/>
      <c r="R435" s="221"/>
      <c r="S435" s="221"/>
      <c r="T435" s="221"/>
      <c r="U435" s="221"/>
      <c r="V435" s="221"/>
      <c r="W435" s="221"/>
      <c r="X435" s="221"/>
      <c r="Y435" s="221"/>
      <c r="Z435" s="221"/>
    </row>
    <row r="436" spans="1:26" ht="18.75" customHeight="1">
      <c r="A436" s="221"/>
      <c r="B436" s="221"/>
      <c r="C436" s="221"/>
      <c r="D436" s="221"/>
      <c r="E436" s="221"/>
      <c r="F436" s="221"/>
      <c r="G436" s="221"/>
      <c r="H436" s="221"/>
      <c r="I436" s="221"/>
      <c r="J436" s="221"/>
      <c r="K436" s="221"/>
      <c r="L436" s="221"/>
      <c r="M436" s="221"/>
      <c r="N436" s="221"/>
      <c r="O436" s="221"/>
      <c r="P436" s="221"/>
      <c r="Q436" s="221"/>
      <c r="R436" s="221"/>
      <c r="S436" s="221"/>
      <c r="T436" s="221"/>
      <c r="U436" s="221"/>
      <c r="V436" s="221"/>
      <c r="W436" s="221"/>
      <c r="X436" s="221"/>
      <c r="Y436" s="221"/>
      <c r="Z436" s="221"/>
    </row>
    <row r="437" spans="1:26" ht="18.75" customHeight="1">
      <c r="A437" s="221"/>
      <c r="B437" s="221"/>
      <c r="C437" s="221"/>
      <c r="D437" s="221"/>
      <c r="E437" s="221"/>
      <c r="F437" s="221"/>
      <c r="G437" s="221"/>
      <c r="H437" s="221"/>
      <c r="I437" s="221"/>
      <c r="J437" s="221"/>
      <c r="K437" s="221"/>
      <c r="L437" s="221"/>
      <c r="M437" s="221"/>
      <c r="N437" s="221"/>
      <c r="O437" s="221"/>
      <c r="P437" s="221"/>
      <c r="Q437" s="221"/>
      <c r="R437" s="221"/>
      <c r="S437" s="221"/>
      <c r="T437" s="221"/>
      <c r="U437" s="221"/>
      <c r="V437" s="221"/>
      <c r="W437" s="221"/>
      <c r="X437" s="221"/>
      <c r="Y437" s="221"/>
      <c r="Z437" s="221"/>
    </row>
    <row r="438" spans="1:26" ht="18.75" customHeight="1">
      <c r="A438" s="221"/>
      <c r="B438" s="221"/>
      <c r="C438" s="221"/>
      <c r="D438" s="221"/>
      <c r="E438" s="221"/>
      <c r="F438" s="221"/>
      <c r="G438" s="221"/>
      <c r="H438" s="221"/>
      <c r="I438" s="221"/>
      <c r="J438" s="221"/>
      <c r="K438" s="221"/>
      <c r="L438" s="221"/>
      <c r="M438" s="221"/>
      <c r="N438" s="221"/>
      <c r="O438" s="221"/>
      <c r="P438" s="221"/>
      <c r="Q438" s="221"/>
      <c r="R438" s="221"/>
      <c r="S438" s="221"/>
      <c r="T438" s="221"/>
      <c r="U438" s="221"/>
      <c r="V438" s="221"/>
      <c r="W438" s="221"/>
      <c r="X438" s="221"/>
      <c r="Y438" s="221"/>
      <c r="Z438" s="221"/>
    </row>
    <row r="439" spans="1:26" ht="18.75" customHeight="1">
      <c r="A439" s="221"/>
      <c r="B439" s="221"/>
      <c r="C439" s="221"/>
      <c r="D439" s="221"/>
      <c r="E439" s="221"/>
      <c r="F439" s="221"/>
      <c r="G439" s="221"/>
      <c r="H439" s="221"/>
      <c r="I439" s="221"/>
      <c r="J439" s="221"/>
      <c r="K439" s="221"/>
      <c r="L439" s="221"/>
      <c r="M439" s="221"/>
      <c r="N439" s="221"/>
      <c r="O439" s="221"/>
      <c r="P439" s="221"/>
      <c r="Q439" s="221"/>
      <c r="R439" s="221"/>
      <c r="S439" s="221"/>
      <c r="T439" s="221"/>
      <c r="U439" s="221"/>
      <c r="V439" s="221"/>
      <c r="W439" s="221"/>
      <c r="X439" s="221"/>
      <c r="Y439" s="221"/>
      <c r="Z439" s="221"/>
    </row>
    <row r="440" spans="1:26" ht="18.75" customHeight="1">
      <c r="A440" s="221"/>
      <c r="B440" s="221"/>
      <c r="C440" s="221"/>
      <c r="D440" s="221"/>
      <c r="E440" s="221"/>
      <c r="F440" s="221"/>
      <c r="G440" s="221"/>
      <c r="H440" s="221"/>
      <c r="I440" s="221"/>
      <c r="J440" s="221"/>
      <c r="K440" s="221"/>
      <c r="L440" s="221"/>
      <c r="M440" s="221"/>
      <c r="N440" s="221"/>
      <c r="O440" s="221"/>
      <c r="P440" s="221"/>
      <c r="Q440" s="221"/>
      <c r="R440" s="221"/>
      <c r="S440" s="221"/>
      <c r="T440" s="221"/>
      <c r="U440" s="221"/>
      <c r="V440" s="221"/>
      <c r="W440" s="221"/>
      <c r="X440" s="221"/>
      <c r="Y440" s="221"/>
      <c r="Z440" s="221"/>
    </row>
    <row r="441" spans="1:26" ht="18.75" customHeight="1">
      <c r="A441" s="221"/>
      <c r="B441" s="221"/>
      <c r="C441" s="221"/>
      <c r="D441" s="221"/>
      <c r="E441" s="221"/>
      <c r="F441" s="221"/>
      <c r="G441" s="221"/>
      <c r="H441" s="221"/>
      <c r="I441" s="221"/>
      <c r="J441" s="221"/>
      <c r="K441" s="221"/>
      <c r="L441" s="221"/>
      <c r="M441" s="221"/>
      <c r="N441" s="221"/>
      <c r="O441" s="221"/>
      <c r="P441" s="221"/>
      <c r="Q441" s="221"/>
      <c r="R441" s="221"/>
      <c r="S441" s="221"/>
      <c r="T441" s="221"/>
      <c r="U441" s="221"/>
      <c r="V441" s="221"/>
      <c r="W441" s="221"/>
      <c r="X441" s="221"/>
      <c r="Y441" s="221"/>
      <c r="Z441" s="221"/>
    </row>
    <row r="442" spans="1:26" ht="18.75" customHeight="1">
      <c r="A442" s="221"/>
      <c r="B442" s="221"/>
      <c r="C442" s="221"/>
      <c r="D442" s="221"/>
      <c r="E442" s="221"/>
      <c r="F442" s="221"/>
      <c r="G442" s="221"/>
      <c r="H442" s="221"/>
      <c r="I442" s="221"/>
      <c r="J442" s="221"/>
      <c r="K442" s="221"/>
      <c r="L442" s="221"/>
      <c r="M442" s="221"/>
      <c r="N442" s="221"/>
      <c r="O442" s="221"/>
      <c r="P442" s="221"/>
      <c r="Q442" s="221"/>
      <c r="R442" s="221"/>
      <c r="S442" s="221"/>
      <c r="T442" s="221"/>
      <c r="U442" s="221"/>
      <c r="V442" s="221"/>
      <c r="W442" s="221"/>
      <c r="X442" s="221"/>
      <c r="Y442" s="221"/>
      <c r="Z442" s="221"/>
    </row>
    <row r="443" spans="1:26" ht="18.75" customHeight="1">
      <c r="A443" s="221"/>
      <c r="B443" s="221"/>
      <c r="C443" s="221"/>
      <c r="D443" s="221"/>
      <c r="E443" s="221"/>
      <c r="F443" s="221"/>
      <c r="G443" s="221"/>
      <c r="H443" s="221"/>
      <c r="I443" s="221"/>
      <c r="J443" s="221"/>
      <c r="K443" s="221"/>
      <c r="L443" s="221"/>
      <c r="M443" s="221"/>
      <c r="N443" s="221"/>
      <c r="O443" s="221"/>
      <c r="P443" s="221"/>
      <c r="Q443" s="221"/>
      <c r="R443" s="221"/>
      <c r="S443" s="221"/>
      <c r="T443" s="221"/>
      <c r="U443" s="221"/>
      <c r="V443" s="221"/>
      <c r="W443" s="221"/>
      <c r="X443" s="221"/>
      <c r="Y443" s="221"/>
      <c r="Z443" s="221"/>
    </row>
    <row r="444" spans="1:26" ht="18.75" customHeight="1">
      <c r="A444" s="221"/>
      <c r="B444" s="221"/>
      <c r="C444" s="221"/>
      <c r="D444" s="221"/>
      <c r="E444" s="221"/>
      <c r="F444" s="221"/>
      <c r="G444" s="221"/>
      <c r="H444" s="221"/>
      <c r="I444" s="221"/>
      <c r="J444" s="221"/>
      <c r="K444" s="221"/>
      <c r="L444" s="221"/>
      <c r="M444" s="221"/>
      <c r="N444" s="221"/>
      <c r="O444" s="221"/>
      <c r="P444" s="221"/>
      <c r="Q444" s="221"/>
      <c r="R444" s="221"/>
      <c r="S444" s="221"/>
      <c r="T444" s="221"/>
      <c r="U444" s="221"/>
      <c r="V444" s="221"/>
      <c r="W444" s="221"/>
      <c r="X444" s="221"/>
      <c r="Y444" s="221"/>
      <c r="Z444" s="221"/>
    </row>
    <row r="445" spans="1:26" ht="18.75" customHeight="1">
      <c r="A445" s="221"/>
      <c r="B445" s="221"/>
      <c r="C445" s="221"/>
      <c r="D445" s="221"/>
      <c r="E445" s="221"/>
      <c r="F445" s="221"/>
      <c r="G445" s="221"/>
      <c r="H445" s="221"/>
      <c r="I445" s="221"/>
      <c r="J445" s="221"/>
      <c r="K445" s="221"/>
      <c r="L445" s="221"/>
      <c r="M445" s="221"/>
      <c r="N445" s="221"/>
      <c r="O445" s="221"/>
      <c r="P445" s="221"/>
      <c r="Q445" s="221"/>
      <c r="R445" s="221"/>
      <c r="S445" s="221"/>
      <c r="T445" s="221"/>
      <c r="U445" s="221"/>
      <c r="V445" s="221"/>
      <c r="W445" s="221"/>
      <c r="X445" s="221"/>
      <c r="Y445" s="221"/>
      <c r="Z445" s="221"/>
    </row>
    <row r="446" spans="1:26" ht="18.75" customHeight="1">
      <c r="A446" s="221"/>
      <c r="B446" s="221"/>
      <c r="C446" s="221"/>
      <c r="D446" s="221"/>
      <c r="E446" s="221"/>
      <c r="F446" s="221"/>
      <c r="G446" s="221"/>
      <c r="H446" s="221"/>
      <c r="I446" s="221"/>
      <c r="J446" s="221"/>
      <c r="K446" s="221"/>
      <c r="L446" s="221"/>
      <c r="M446" s="221"/>
      <c r="N446" s="221"/>
      <c r="O446" s="221"/>
      <c r="P446" s="221"/>
      <c r="Q446" s="221"/>
      <c r="R446" s="221"/>
      <c r="S446" s="221"/>
      <c r="T446" s="221"/>
      <c r="U446" s="221"/>
      <c r="V446" s="221"/>
      <c r="W446" s="221"/>
      <c r="X446" s="221"/>
      <c r="Y446" s="221"/>
      <c r="Z446" s="221"/>
    </row>
    <row r="447" spans="1:26" ht="18.75" customHeight="1">
      <c r="A447" s="221"/>
      <c r="B447" s="221"/>
      <c r="C447" s="221"/>
      <c r="D447" s="221"/>
      <c r="E447" s="221"/>
      <c r="F447" s="221"/>
      <c r="G447" s="221"/>
      <c r="H447" s="221"/>
      <c r="I447" s="221"/>
      <c r="J447" s="221"/>
      <c r="K447" s="221"/>
      <c r="L447" s="221"/>
      <c r="M447" s="221"/>
      <c r="N447" s="221"/>
      <c r="O447" s="221"/>
      <c r="P447" s="221"/>
      <c r="Q447" s="221"/>
      <c r="R447" s="221"/>
      <c r="S447" s="221"/>
      <c r="T447" s="221"/>
      <c r="U447" s="221"/>
      <c r="V447" s="221"/>
      <c r="W447" s="221"/>
      <c r="X447" s="221"/>
      <c r="Y447" s="221"/>
      <c r="Z447" s="221"/>
    </row>
    <row r="448" spans="1:26" ht="18.75" customHeight="1">
      <c r="A448" s="221"/>
      <c r="B448" s="221"/>
      <c r="C448" s="221"/>
      <c r="D448" s="221"/>
      <c r="E448" s="221"/>
      <c r="F448" s="221"/>
      <c r="G448" s="221"/>
      <c r="H448" s="221"/>
      <c r="I448" s="221"/>
      <c r="J448" s="221"/>
      <c r="K448" s="221"/>
      <c r="L448" s="221"/>
      <c r="M448" s="221"/>
      <c r="N448" s="221"/>
      <c r="O448" s="221"/>
      <c r="P448" s="221"/>
      <c r="Q448" s="221"/>
      <c r="R448" s="221"/>
      <c r="S448" s="221"/>
      <c r="T448" s="221"/>
      <c r="U448" s="221"/>
      <c r="V448" s="221"/>
      <c r="W448" s="221"/>
      <c r="X448" s="221"/>
      <c r="Y448" s="221"/>
      <c r="Z448" s="221"/>
    </row>
    <row r="449" spans="1:26" ht="18.75" customHeight="1">
      <c r="A449" s="221"/>
      <c r="B449" s="221"/>
      <c r="C449" s="221"/>
      <c r="D449" s="221"/>
      <c r="E449" s="221"/>
      <c r="F449" s="221"/>
      <c r="G449" s="221"/>
      <c r="H449" s="221"/>
      <c r="I449" s="221"/>
      <c r="J449" s="221"/>
      <c r="K449" s="221"/>
      <c r="L449" s="221"/>
      <c r="M449" s="221"/>
      <c r="N449" s="221"/>
      <c r="O449" s="221"/>
      <c r="P449" s="221"/>
      <c r="Q449" s="221"/>
      <c r="R449" s="221"/>
      <c r="S449" s="221"/>
      <c r="T449" s="221"/>
      <c r="U449" s="221"/>
      <c r="V449" s="221"/>
      <c r="W449" s="221"/>
      <c r="X449" s="221"/>
      <c r="Y449" s="221"/>
      <c r="Z449" s="221"/>
    </row>
    <row r="450" spans="1:26" ht="18.75" customHeight="1">
      <c r="A450" s="221"/>
      <c r="B450" s="221"/>
      <c r="C450" s="221"/>
      <c r="D450" s="221"/>
      <c r="E450" s="221"/>
      <c r="F450" s="221"/>
      <c r="G450" s="221"/>
      <c r="H450" s="221"/>
      <c r="I450" s="221"/>
      <c r="J450" s="221"/>
      <c r="K450" s="221"/>
      <c r="L450" s="221"/>
      <c r="M450" s="221"/>
      <c r="N450" s="221"/>
      <c r="O450" s="221"/>
      <c r="P450" s="221"/>
      <c r="Q450" s="221"/>
      <c r="R450" s="221"/>
      <c r="S450" s="221"/>
      <c r="T450" s="221"/>
      <c r="U450" s="221"/>
      <c r="V450" s="221"/>
      <c r="W450" s="221"/>
      <c r="X450" s="221"/>
      <c r="Y450" s="221"/>
      <c r="Z450" s="221"/>
    </row>
    <row r="451" spans="1:26" ht="18.75" customHeight="1">
      <c r="A451" s="221"/>
      <c r="B451" s="221"/>
      <c r="C451" s="221"/>
      <c r="D451" s="221"/>
      <c r="E451" s="221"/>
      <c r="F451" s="221"/>
      <c r="G451" s="221"/>
      <c r="H451" s="221"/>
      <c r="I451" s="221"/>
      <c r="J451" s="221"/>
      <c r="K451" s="221"/>
      <c r="L451" s="221"/>
      <c r="M451" s="221"/>
      <c r="N451" s="221"/>
      <c r="O451" s="221"/>
      <c r="P451" s="221"/>
      <c r="Q451" s="221"/>
      <c r="R451" s="221"/>
      <c r="S451" s="221"/>
      <c r="T451" s="221"/>
      <c r="U451" s="221"/>
      <c r="V451" s="221"/>
      <c r="W451" s="221"/>
      <c r="X451" s="221"/>
      <c r="Y451" s="221"/>
      <c r="Z451" s="221"/>
    </row>
    <row r="452" spans="1:26" ht="18.75" customHeight="1">
      <c r="A452" s="221"/>
      <c r="B452" s="221"/>
      <c r="C452" s="221"/>
      <c r="D452" s="221"/>
      <c r="E452" s="221"/>
      <c r="F452" s="221"/>
      <c r="G452" s="221"/>
      <c r="H452" s="221"/>
      <c r="I452" s="221"/>
      <c r="J452" s="221"/>
      <c r="K452" s="221"/>
      <c r="L452" s="221"/>
      <c r="M452" s="221"/>
      <c r="N452" s="221"/>
      <c r="O452" s="221"/>
      <c r="P452" s="221"/>
      <c r="Q452" s="221"/>
      <c r="R452" s="221"/>
      <c r="S452" s="221"/>
      <c r="T452" s="221"/>
      <c r="U452" s="221"/>
      <c r="V452" s="221"/>
      <c r="W452" s="221"/>
      <c r="X452" s="221"/>
      <c r="Y452" s="221"/>
      <c r="Z452" s="221"/>
    </row>
    <row r="453" spans="1:26" ht="18.75" customHeight="1">
      <c r="A453" s="221"/>
      <c r="B453" s="221"/>
      <c r="C453" s="221"/>
      <c r="D453" s="221"/>
      <c r="E453" s="221"/>
      <c r="F453" s="221"/>
      <c r="G453" s="221"/>
      <c r="H453" s="221"/>
      <c r="I453" s="221"/>
      <c r="J453" s="221"/>
      <c r="K453" s="221"/>
      <c r="L453" s="221"/>
      <c r="M453" s="221"/>
      <c r="N453" s="221"/>
      <c r="O453" s="221"/>
      <c r="P453" s="221"/>
      <c r="Q453" s="221"/>
      <c r="R453" s="221"/>
      <c r="S453" s="221"/>
      <c r="T453" s="221"/>
      <c r="U453" s="221"/>
      <c r="V453" s="221"/>
      <c r="W453" s="221"/>
      <c r="X453" s="221"/>
      <c r="Y453" s="221"/>
      <c r="Z453" s="221"/>
    </row>
    <row r="454" spans="1:26" ht="18.75" customHeight="1">
      <c r="A454" s="221"/>
      <c r="B454" s="221"/>
      <c r="C454" s="221"/>
      <c r="D454" s="221"/>
      <c r="E454" s="221"/>
      <c r="F454" s="221"/>
      <c r="G454" s="221"/>
      <c r="H454" s="221"/>
      <c r="I454" s="221"/>
      <c r="J454" s="221"/>
      <c r="K454" s="221"/>
      <c r="L454" s="221"/>
      <c r="M454" s="221"/>
      <c r="N454" s="221"/>
      <c r="O454" s="221"/>
      <c r="P454" s="221"/>
      <c r="Q454" s="221"/>
      <c r="R454" s="221"/>
      <c r="S454" s="221"/>
      <c r="T454" s="221"/>
      <c r="U454" s="221"/>
      <c r="V454" s="221"/>
      <c r="W454" s="221"/>
      <c r="X454" s="221"/>
      <c r="Y454" s="221"/>
      <c r="Z454" s="221"/>
    </row>
    <row r="455" spans="1:26" ht="18.75" customHeight="1">
      <c r="A455" s="221"/>
      <c r="B455" s="221"/>
      <c r="C455" s="221"/>
      <c r="D455" s="221"/>
      <c r="E455" s="221"/>
      <c r="F455" s="221"/>
      <c r="G455" s="221"/>
      <c r="H455" s="221"/>
      <c r="I455" s="221"/>
      <c r="J455" s="221"/>
      <c r="K455" s="221"/>
      <c r="L455" s="221"/>
      <c r="M455" s="221"/>
      <c r="N455" s="221"/>
      <c r="O455" s="221"/>
      <c r="P455" s="221"/>
      <c r="Q455" s="221"/>
      <c r="R455" s="221"/>
      <c r="S455" s="221"/>
      <c r="T455" s="221"/>
      <c r="U455" s="221"/>
      <c r="V455" s="221"/>
      <c r="W455" s="221"/>
      <c r="X455" s="221"/>
      <c r="Y455" s="221"/>
      <c r="Z455" s="221"/>
    </row>
    <row r="456" spans="1:26" ht="18.75" customHeight="1">
      <c r="A456" s="221"/>
      <c r="B456" s="221"/>
      <c r="C456" s="221"/>
      <c r="D456" s="221"/>
      <c r="E456" s="221"/>
      <c r="F456" s="221"/>
      <c r="G456" s="221"/>
      <c r="H456" s="221"/>
      <c r="I456" s="221"/>
      <c r="J456" s="221"/>
      <c r="K456" s="221"/>
      <c r="L456" s="221"/>
      <c r="M456" s="221"/>
      <c r="N456" s="221"/>
      <c r="O456" s="221"/>
      <c r="P456" s="221"/>
      <c r="Q456" s="221"/>
      <c r="R456" s="221"/>
      <c r="S456" s="221"/>
      <c r="T456" s="221"/>
      <c r="U456" s="221"/>
      <c r="V456" s="221"/>
      <c r="W456" s="221"/>
      <c r="X456" s="221"/>
      <c r="Y456" s="221"/>
      <c r="Z456" s="221"/>
    </row>
    <row r="457" spans="1:26" ht="18.75" customHeight="1">
      <c r="A457" s="221"/>
      <c r="B457" s="221"/>
      <c r="C457" s="221"/>
      <c r="D457" s="221"/>
      <c r="E457" s="221"/>
      <c r="F457" s="221"/>
      <c r="G457" s="221"/>
      <c r="H457" s="221"/>
      <c r="I457" s="221"/>
      <c r="J457" s="221"/>
      <c r="K457" s="221"/>
      <c r="L457" s="221"/>
      <c r="M457" s="221"/>
      <c r="N457" s="221"/>
      <c r="O457" s="221"/>
      <c r="P457" s="221"/>
      <c r="Q457" s="221"/>
      <c r="R457" s="221"/>
      <c r="S457" s="221"/>
      <c r="T457" s="221"/>
      <c r="U457" s="221"/>
      <c r="V457" s="221"/>
      <c r="W457" s="221"/>
      <c r="X457" s="221"/>
      <c r="Y457" s="221"/>
      <c r="Z457" s="221"/>
    </row>
    <row r="458" spans="1:26" ht="18.75" customHeight="1">
      <c r="A458" s="221"/>
      <c r="B458" s="221"/>
      <c r="C458" s="221"/>
      <c r="D458" s="221"/>
      <c r="E458" s="221"/>
      <c r="F458" s="221"/>
      <c r="G458" s="221"/>
      <c r="H458" s="221"/>
      <c r="I458" s="221"/>
      <c r="J458" s="221"/>
      <c r="K458" s="221"/>
      <c r="L458" s="221"/>
      <c r="M458" s="221"/>
      <c r="N458" s="221"/>
      <c r="O458" s="221"/>
      <c r="P458" s="221"/>
      <c r="Q458" s="221"/>
      <c r="R458" s="221"/>
      <c r="S458" s="221"/>
      <c r="T458" s="221"/>
      <c r="U458" s="221"/>
      <c r="V458" s="221"/>
      <c r="W458" s="221"/>
      <c r="X458" s="221"/>
      <c r="Y458" s="221"/>
      <c r="Z458" s="221"/>
    </row>
    <row r="459" spans="1:26" ht="18.75" customHeight="1">
      <c r="A459" s="221"/>
      <c r="B459" s="221"/>
      <c r="C459" s="221"/>
      <c r="D459" s="221"/>
      <c r="E459" s="221"/>
      <c r="F459" s="221"/>
      <c r="G459" s="221"/>
      <c r="H459" s="221"/>
      <c r="I459" s="221"/>
      <c r="J459" s="221"/>
      <c r="K459" s="221"/>
      <c r="L459" s="221"/>
      <c r="M459" s="221"/>
      <c r="N459" s="221"/>
      <c r="O459" s="221"/>
      <c r="P459" s="221"/>
      <c r="Q459" s="221"/>
      <c r="R459" s="221"/>
      <c r="S459" s="221"/>
      <c r="T459" s="221"/>
      <c r="U459" s="221"/>
      <c r="V459" s="221"/>
      <c r="W459" s="221"/>
      <c r="X459" s="221"/>
      <c r="Y459" s="221"/>
      <c r="Z459" s="221"/>
    </row>
    <row r="460" spans="1:26" ht="18.75" customHeight="1">
      <c r="A460" s="221"/>
      <c r="B460" s="221"/>
      <c r="C460" s="221"/>
      <c r="D460" s="221"/>
      <c r="E460" s="221"/>
      <c r="F460" s="221"/>
      <c r="G460" s="221"/>
      <c r="H460" s="221"/>
      <c r="I460" s="221"/>
      <c r="J460" s="221"/>
      <c r="K460" s="221"/>
      <c r="L460" s="221"/>
      <c r="M460" s="221"/>
      <c r="N460" s="221"/>
      <c r="O460" s="221"/>
      <c r="P460" s="221"/>
      <c r="Q460" s="221"/>
      <c r="R460" s="221"/>
      <c r="S460" s="221"/>
      <c r="T460" s="221"/>
      <c r="U460" s="221"/>
      <c r="V460" s="221"/>
      <c r="W460" s="221"/>
      <c r="X460" s="221"/>
      <c r="Y460" s="221"/>
      <c r="Z460" s="221"/>
    </row>
    <row r="461" spans="1:26" ht="18.75" customHeight="1">
      <c r="A461" s="221"/>
      <c r="B461" s="221"/>
      <c r="C461" s="221"/>
      <c r="D461" s="221"/>
      <c r="E461" s="221"/>
      <c r="F461" s="221"/>
      <c r="G461" s="221"/>
      <c r="H461" s="221"/>
      <c r="I461" s="221"/>
      <c r="J461" s="221"/>
      <c r="K461" s="221"/>
      <c r="L461" s="221"/>
      <c r="M461" s="221"/>
      <c r="N461" s="221"/>
      <c r="O461" s="221"/>
      <c r="P461" s="221"/>
      <c r="Q461" s="221"/>
      <c r="R461" s="221"/>
      <c r="S461" s="221"/>
      <c r="T461" s="221"/>
      <c r="U461" s="221"/>
      <c r="V461" s="221"/>
      <c r="W461" s="221"/>
      <c r="X461" s="221"/>
      <c r="Y461" s="221"/>
      <c r="Z461" s="221"/>
    </row>
    <row r="462" spans="1:26" ht="18.75" customHeight="1">
      <c r="A462" s="221"/>
      <c r="B462" s="221"/>
      <c r="C462" s="221"/>
      <c r="D462" s="221"/>
      <c r="E462" s="221"/>
      <c r="F462" s="221"/>
      <c r="G462" s="221"/>
      <c r="H462" s="221"/>
      <c r="I462" s="221"/>
      <c r="J462" s="221"/>
      <c r="K462" s="221"/>
      <c r="L462" s="221"/>
      <c r="M462" s="221"/>
      <c r="N462" s="221"/>
      <c r="O462" s="221"/>
      <c r="P462" s="221"/>
      <c r="Q462" s="221"/>
      <c r="R462" s="221"/>
      <c r="S462" s="221"/>
      <c r="T462" s="221"/>
      <c r="U462" s="221"/>
      <c r="V462" s="221"/>
      <c r="W462" s="221"/>
      <c r="X462" s="221"/>
      <c r="Y462" s="221"/>
      <c r="Z462" s="221"/>
    </row>
    <row r="463" spans="1:26" ht="18.75" customHeight="1">
      <c r="A463" s="221"/>
      <c r="B463" s="221"/>
      <c r="C463" s="221"/>
      <c r="D463" s="221"/>
      <c r="E463" s="221"/>
      <c r="F463" s="221"/>
      <c r="G463" s="221"/>
      <c r="H463" s="221"/>
      <c r="I463" s="221"/>
      <c r="J463" s="221"/>
      <c r="K463" s="221"/>
      <c r="L463" s="221"/>
      <c r="M463" s="221"/>
      <c r="N463" s="221"/>
      <c r="O463" s="221"/>
      <c r="P463" s="221"/>
      <c r="Q463" s="221"/>
      <c r="R463" s="221"/>
      <c r="S463" s="221"/>
      <c r="T463" s="221"/>
      <c r="U463" s="221"/>
      <c r="V463" s="221"/>
      <c r="W463" s="221"/>
      <c r="X463" s="221"/>
      <c r="Y463" s="221"/>
      <c r="Z463" s="221"/>
    </row>
    <row r="464" spans="1:26" ht="18.75" customHeight="1">
      <c r="A464" s="221"/>
      <c r="B464" s="221"/>
      <c r="C464" s="221"/>
      <c r="D464" s="221"/>
      <c r="E464" s="221"/>
      <c r="F464" s="221"/>
      <c r="G464" s="221"/>
      <c r="H464" s="221"/>
      <c r="I464" s="221"/>
      <c r="J464" s="221"/>
      <c r="K464" s="221"/>
      <c r="L464" s="221"/>
      <c r="M464" s="221"/>
      <c r="N464" s="221"/>
      <c r="O464" s="221"/>
      <c r="P464" s="221"/>
      <c r="Q464" s="221"/>
      <c r="R464" s="221"/>
      <c r="S464" s="221"/>
      <c r="T464" s="221"/>
      <c r="U464" s="221"/>
      <c r="V464" s="221"/>
      <c r="W464" s="221"/>
      <c r="X464" s="221"/>
      <c r="Y464" s="221"/>
      <c r="Z464" s="221"/>
    </row>
    <row r="465" spans="1:26" ht="18.75" customHeight="1">
      <c r="A465" s="221"/>
      <c r="B465" s="221"/>
      <c r="C465" s="221"/>
      <c r="D465" s="221"/>
      <c r="E465" s="221"/>
      <c r="F465" s="221"/>
      <c r="G465" s="221"/>
      <c r="H465" s="221"/>
      <c r="I465" s="221"/>
      <c r="J465" s="221"/>
      <c r="K465" s="221"/>
      <c r="L465" s="221"/>
      <c r="M465" s="221"/>
      <c r="N465" s="221"/>
      <c r="O465" s="221"/>
      <c r="P465" s="221"/>
      <c r="Q465" s="221"/>
      <c r="R465" s="221"/>
      <c r="S465" s="221"/>
      <c r="T465" s="221"/>
      <c r="U465" s="221"/>
      <c r="V465" s="221"/>
      <c r="W465" s="221"/>
      <c r="X465" s="221"/>
      <c r="Y465" s="221"/>
      <c r="Z465" s="221"/>
    </row>
    <row r="466" spans="1:26" ht="18.75" customHeight="1">
      <c r="A466" s="221"/>
      <c r="B466" s="221"/>
      <c r="C466" s="221"/>
      <c r="D466" s="221"/>
      <c r="E466" s="221"/>
      <c r="F466" s="221"/>
      <c r="G466" s="221"/>
      <c r="H466" s="221"/>
      <c r="I466" s="221"/>
      <c r="J466" s="221"/>
      <c r="K466" s="221"/>
      <c r="L466" s="221"/>
      <c r="M466" s="221"/>
      <c r="N466" s="221"/>
      <c r="O466" s="221"/>
      <c r="P466" s="221"/>
      <c r="Q466" s="221"/>
      <c r="R466" s="221"/>
      <c r="S466" s="221"/>
      <c r="T466" s="221"/>
      <c r="U466" s="221"/>
      <c r="V466" s="221"/>
      <c r="W466" s="221"/>
      <c r="X466" s="221"/>
      <c r="Y466" s="221"/>
      <c r="Z466" s="221"/>
    </row>
    <row r="467" spans="1:26" ht="18.75" customHeight="1">
      <c r="A467" s="221"/>
      <c r="B467" s="221"/>
      <c r="C467" s="221"/>
      <c r="D467" s="221"/>
      <c r="E467" s="221"/>
      <c r="F467" s="221"/>
      <c r="G467" s="221"/>
      <c r="H467" s="221"/>
      <c r="I467" s="221"/>
      <c r="J467" s="221"/>
      <c r="K467" s="221"/>
      <c r="L467" s="221"/>
      <c r="M467" s="221"/>
      <c r="N467" s="221"/>
      <c r="O467" s="221"/>
      <c r="P467" s="221"/>
      <c r="Q467" s="221"/>
      <c r="R467" s="221"/>
      <c r="S467" s="221"/>
      <c r="T467" s="221"/>
      <c r="U467" s="221"/>
      <c r="V467" s="221"/>
      <c r="W467" s="221"/>
      <c r="X467" s="221"/>
      <c r="Y467" s="221"/>
      <c r="Z467" s="221"/>
    </row>
    <row r="468" spans="1:26" ht="18.75" customHeight="1">
      <c r="A468" s="221"/>
      <c r="B468" s="221"/>
      <c r="C468" s="221"/>
      <c r="D468" s="221"/>
      <c r="E468" s="221"/>
      <c r="F468" s="221"/>
      <c r="G468" s="221"/>
      <c r="H468" s="221"/>
      <c r="I468" s="221"/>
      <c r="J468" s="221"/>
      <c r="K468" s="221"/>
      <c r="L468" s="221"/>
      <c r="M468" s="221"/>
      <c r="N468" s="221"/>
      <c r="O468" s="221"/>
      <c r="P468" s="221"/>
      <c r="Q468" s="221"/>
      <c r="R468" s="221"/>
      <c r="S468" s="221"/>
      <c r="T468" s="221"/>
      <c r="U468" s="221"/>
      <c r="V468" s="221"/>
      <c r="W468" s="221"/>
      <c r="X468" s="221"/>
      <c r="Y468" s="221"/>
      <c r="Z468" s="221"/>
    </row>
    <row r="469" spans="1:26" ht="18.75" customHeight="1">
      <c r="A469" s="221"/>
      <c r="B469" s="221"/>
      <c r="C469" s="221"/>
      <c r="D469" s="221"/>
      <c r="E469" s="221"/>
      <c r="F469" s="221"/>
      <c r="G469" s="221"/>
      <c r="H469" s="221"/>
      <c r="I469" s="221"/>
      <c r="J469" s="221"/>
      <c r="K469" s="221"/>
      <c r="L469" s="221"/>
      <c r="M469" s="221"/>
      <c r="N469" s="221"/>
      <c r="O469" s="221"/>
      <c r="P469" s="221"/>
      <c r="Q469" s="221"/>
      <c r="R469" s="221"/>
      <c r="S469" s="221"/>
      <c r="T469" s="221"/>
      <c r="U469" s="221"/>
      <c r="V469" s="221"/>
      <c r="W469" s="221"/>
      <c r="X469" s="221"/>
      <c r="Y469" s="221"/>
      <c r="Z469" s="221"/>
    </row>
    <row r="470" spans="1:26" ht="18.75" customHeight="1">
      <c r="A470" s="221"/>
      <c r="B470" s="221"/>
      <c r="C470" s="221"/>
      <c r="D470" s="221"/>
      <c r="E470" s="221"/>
      <c r="F470" s="221"/>
      <c r="G470" s="221"/>
      <c r="H470" s="221"/>
      <c r="I470" s="221"/>
      <c r="J470" s="221"/>
      <c r="K470" s="221"/>
      <c r="L470" s="221"/>
      <c r="M470" s="221"/>
      <c r="N470" s="221"/>
      <c r="O470" s="221"/>
      <c r="P470" s="221"/>
      <c r="Q470" s="221"/>
      <c r="R470" s="221"/>
      <c r="S470" s="221"/>
      <c r="T470" s="221"/>
      <c r="U470" s="221"/>
      <c r="V470" s="221"/>
      <c r="W470" s="221"/>
      <c r="X470" s="221"/>
      <c r="Y470" s="221"/>
      <c r="Z470" s="221"/>
    </row>
    <row r="471" spans="1:26" ht="18.75" customHeight="1">
      <c r="A471" s="221"/>
      <c r="B471" s="221"/>
      <c r="C471" s="221"/>
      <c r="D471" s="221"/>
      <c r="E471" s="221"/>
      <c r="F471" s="221"/>
      <c r="G471" s="221"/>
      <c r="H471" s="221"/>
      <c r="I471" s="221"/>
      <c r="J471" s="221"/>
      <c r="K471" s="221"/>
      <c r="L471" s="221"/>
      <c r="M471" s="221"/>
      <c r="N471" s="221"/>
      <c r="O471" s="221"/>
      <c r="P471" s="221"/>
      <c r="Q471" s="221"/>
      <c r="R471" s="221"/>
      <c r="S471" s="221"/>
      <c r="T471" s="221"/>
      <c r="U471" s="221"/>
      <c r="V471" s="221"/>
      <c r="W471" s="221"/>
      <c r="X471" s="221"/>
      <c r="Y471" s="221"/>
      <c r="Z471" s="221"/>
    </row>
    <row r="472" spans="1:26" ht="18.75" customHeight="1">
      <c r="A472" s="221"/>
      <c r="B472" s="221"/>
      <c r="C472" s="221"/>
      <c r="D472" s="221"/>
      <c r="E472" s="221"/>
      <c r="F472" s="221"/>
      <c r="G472" s="221"/>
      <c r="H472" s="221"/>
      <c r="I472" s="221"/>
      <c r="J472" s="221"/>
      <c r="K472" s="221"/>
      <c r="L472" s="221"/>
      <c r="M472" s="221"/>
      <c r="N472" s="221"/>
      <c r="O472" s="221"/>
      <c r="P472" s="221"/>
      <c r="Q472" s="221"/>
      <c r="R472" s="221"/>
      <c r="S472" s="221"/>
      <c r="T472" s="221"/>
      <c r="U472" s="221"/>
      <c r="V472" s="221"/>
      <c r="W472" s="221"/>
      <c r="X472" s="221"/>
      <c r="Y472" s="221"/>
      <c r="Z472" s="221"/>
    </row>
    <row r="473" spans="1:26" ht="18.75" customHeight="1">
      <c r="A473" s="221"/>
      <c r="B473" s="221"/>
      <c r="C473" s="221"/>
      <c r="D473" s="221"/>
      <c r="E473" s="221"/>
      <c r="F473" s="221"/>
      <c r="G473" s="221"/>
      <c r="H473" s="221"/>
      <c r="I473" s="221"/>
      <c r="J473" s="221"/>
      <c r="K473" s="221"/>
      <c r="L473" s="221"/>
      <c r="M473" s="221"/>
      <c r="N473" s="221"/>
      <c r="O473" s="221"/>
      <c r="P473" s="221"/>
      <c r="Q473" s="221"/>
      <c r="R473" s="221"/>
      <c r="S473" s="221"/>
      <c r="T473" s="221"/>
      <c r="U473" s="221"/>
      <c r="V473" s="221"/>
      <c r="W473" s="221"/>
      <c r="X473" s="221"/>
      <c r="Y473" s="221"/>
      <c r="Z473" s="221"/>
    </row>
    <row r="474" spans="1:26" ht="18.75" customHeight="1">
      <c r="A474" s="221"/>
      <c r="B474" s="221"/>
      <c r="C474" s="221"/>
      <c r="D474" s="221"/>
      <c r="E474" s="221"/>
      <c r="F474" s="221"/>
      <c r="G474" s="221"/>
      <c r="H474" s="221"/>
      <c r="I474" s="221"/>
      <c r="J474" s="221"/>
      <c r="K474" s="221"/>
      <c r="L474" s="221"/>
      <c r="M474" s="221"/>
      <c r="N474" s="221"/>
      <c r="O474" s="221"/>
      <c r="P474" s="221"/>
      <c r="Q474" s="221"/>
      <c r="R474" s="221"/>
      <c r="S474" s="221"/>
      <c r="T474" s="221"/>
      <c r="U474" s="221"/>
      <c r="V474" s="221"/>
      <c r="W474" s="221"/>
      <c r="X474" s="221"/>
      <c r="Y474" s="221"/>
      <c r="Z474" s="221"/>
    </row>
    <row r="475" spans="1:26" ht="18.75" customHeight="1">
      <c r="A475" s="221"/>
      <c r="B475" s="221"/>
      <c r="C475" s="221"/>
      <c r="D475" s="221"/>
      <c r="E475" s="221"/>
      <c r="F475" s="221"/>
      <c r="G475" s="221"/>
      <c r="H475" s="221"/>
      <c r="I475" s="221"/>
      <c r="J475" s="221"/>
      <c r="K475" s="221"/>
      <c r="L475" s="221"/>
      <c r="M475" s="221"/>
      <c r="N475" s="221"/>
      <c r="O475" s="221"/>
      <c r="P475" s="221"/>
      <c r="Q475" s="221"/>
      <c r="R475" s="221"/>
      <c r="S475" s="221"/>
      <c r="T475" s="221"/>
      <c r="U475" s="221"/>
      <c r="V475" s="221"/>
      <c r="W475" s="221"/>
      <c r="X475" s="221"/>
      <c r="Y475" s="221"/>
      <c r="Z475" s="221"/>
    </row>
    <row r="476" spans="1:26" ht="18.75" customHeight="1">
      <c r="A476" s="221"/>
      <c r="B476" s="221"/>
      <c r="C476" s="221"/>
      <c r="D476" s="221"/>
      <c r="E476" s="221"/>
      <c r="F476" s="221"/>
      <c r="G476" s="221"/>
      <c r="H476" s="221"/>
      <c r="I476" s="221"/>
      <c r="J476" s="221"/>
      <c r="K476" s="221"/>
      <c r="L476" s="221"/>
      <c r="M476" s="221"/>
      <c r="N476" s="221"/>
      <c r="O476" s="221"/>
      <c r="P476" s="221"/>
      <c r="Q476" s="221"/>
      <c r="R476" s="221"/>
      <c r="S476" s="221"/>
      <c r="T476" s="221"/>
      <c r="U476" s="221"/>
      <c r="V476" s="221"/>
      <c r="W476" s="221"/>
      <c r="X476" s="221"/>
      <c r="Y476" s="221"/>
      <c r="Z476" s="221"/>
    </row>
    <row r="477" spans="1:26" ht="18.75" customHeight="1">
      <c r="A477" s="221"/>
      <c r="B477" s="221"/>
      <c r="C477" s="221"/>
      <c r="D477" s="221"/>
      <c r="E477" s="221"/>
      <c r="F477" s="221"/>
      <c r="G477" s="221"/>
      <c r="H477" s="221"/>
      <c r="I477" s="221"/>
      <c r="J477" s="221"/>
      <c r="K477" s="221"/>
      <c r="L477" s="221"/>
      <c r="M477" s="221"/>
      <c r="N477" s="221"/>
      <c r="O477" s="221"/>
      <c r="P477" s="221"/>
      <c r="Q477" s="221"/>
      <c r="R477" s="221"/>
      <c r="S477" s="221"/>
      <c r="T477" s="221"/>
      <c r="U477" s="221"/>
      <c r="V477" s="221"/>
      <c r="W477" s="221"/>
      <c r="X477" s="221"/>
      <c r="Y477" s="221"/>
      <c r="Z477" s="221"/>
    </row>
    <row r="478" spans="1:26" ht="18.75" customHeight="1">
      <c r="A478" s="221"/>
      <c r="B478" s="221"/>
      <c r="C478" s="221"/>
      <c r="D478" s="221"/>
      <c r="E478" s="221"/>
      <c r="F478" s="221"/>
      <c r="G478" s="221"/>
      <c r="H478" s="221"/>
      <c r="I478" s="221"/>
      <c r="J478" s="221"/>
      <c r="K478" s="221"/>
      <c r="L478" s="221"/>
      <c r="M478" s="221"/>
      <c r="N478" s="221"/>
      <c r="O478" s="221"/>
      <c r="P478" s="221"/>
      <c r="Q478" s="221"/>
      <c r="R478" s="221"/>
      <c r="S478" s="221"/>
      <c r="T478" s="221"/>
      <c r="U478" s="221"/>
      <c r="V478" s="221"/>
      <c r="W478" s="221"/>
      <c r="X478" s="221"/>
      <c r="Y478" s="221"/>
      <c r="Z478" s="221"/>
    </row>
    <row r="479" spans="1:26" ht="18.75" customHeight="1">
      <c r="A479" s="221"/>
      <c r="B479" s="221"/>
      <c r="C479" s="221"/>
      <c r="D479" s="221"/>
      <c r="E479" s="221"/>
      <c r="F479" s="221"/>
      <c r="G479" s="221"/>
      <c r="H479" s="221"/>
      <c r="I479" s="221"/>
      <c r="J479" s="221"/>
      <c r="K479" s="221"/>
      <c r="L479" s="221"/>
      <c r="M479" s="221"/>
      <c r="N479" s="221"/>
      <c r="O479" s="221"/>
      <c r="P479" s="221"/>
      <c r="Q479" s="221"/>
      <c r="R479" s="221"/>
      <c r="S479" s="221"/>
      <c r="T479" s="221"/>
      <c r="U479" s="221"/>
      <c r="V479" s="221"/>
      <c r="W479" s="221"/>
      <c r="X479" s="221"/>
      <c r="Y479" s="221"/>
      <c r="Z479" s="221"/>
    </row>
    <row r="480" spans="1:26" ht="18.75" customHeight="1">
      <c r="A480" s="221"/>
      <c r="B480" s="221"/>
      <c r="C480" s="221"/>
      <c r="D480" s="221"/>
      <c r="E480" s="221"/>
      <c r="F480" s="221"/>
      <c r="G480" s="221"/>
      <c r="H480" s="221"/>
      <c r="I480" s="221"/>
      <c r="J480" s="221"/>
      <c r="K480" s="221"/>
      <c r="L480" s="221"/>
      <c r="M480" s="221"/>
      <c r="N480" s="221"/>
      <c r="O480" s="221"/>
      <c r="P480" s="221"/>
      <c r="Q480" s="221"/>
      <c r="R480" s="221"/>
      <c r="S480" s="221"/>
      <c r="T480" s="221"/>
      <c r="U480" s="221"/>
      <c r="V480" s="221"/>
      <c r="W480" s="221"/>
      <c r="X480" s="221"/>
      <c r="Y480" s="221"/>
      <c r="Z480" s="221"/>
    </row>
    <row r="481" spans="1:26" ht="18.75" customHeight="1">
      <c r="A481" s="221"/>
      <c r="B481" s="221"/>
      <c r="C481" s="221"/>
      <c r="D481" s="221"/>
      <c r="E481" s="221"/>
      <c r="F481" s="221"/>
      <c r="G481" s="221"/>
      <c r="H481" s="221"/>
      <c r="I481" s="221"/>
      <c r="J481" s="221"/>
      <c r="K481" s="221"/>
      <c r="L481" s="221"/>
      <c r="M481" s="221"/>
      <c r="N481" s="221"/>
      <c r="O481" s="221"/>
      <c r="P481" s="221"/>
      <c r="Q481" s="221"/>
      <c r="R481" s="221"/>
      <c r="S481" s="221"/>
      <c r="T481" s="221"/>
      <c r="U481" s="221"/>
      <c r="V481" s="221"/>
      <c r="W481" s="221"/>
      <c r="X481" s="221"/>
      <c r="Y481" s="221"/>
      <c r="Z481" s="221"/>
    </row>
    <row r="482" spans="1:26" ht="18.75" customHeight="1">
      <c r="A482" s="221"/>
      <c r="B482" s="221"/>
      <c r="C482" s="221"/>
      <c r="D482" s="221"/>
      <c r="E482" s="221"/>
      <c r="F482" s="221"/>
      <c r="G482" s="221"/>
      <c r="H482" s="221"/>
      <c r="I482" s="221"/>
      <c r="J482" s="221"/>
      <c r="K482" s="221"/>
      <c r="L482" s="221"/>
      <c r="M482" s="221"/>
      <c r="N482" s="221"/>
      <c r="O482" s="221"/>
      <c r="P482" s="221"/>
      <c r="Q482" s="221"/>
      <c r="R482" s="221"/>
      <c r="S482" s="221"/>
      <c r="T482" s="221"/>
      <c r="U482" s="221"/>
      <c r="V482" s="221"/>
      <c r="W482" s="221"/>
      <c r="X482" s="221"/>
      <c r="Y482" s="221"/>
      <c r="Z482" s="221"/>
    </row>
    <row r="483" spans="1:26" ht="18.75" customHeight="1">
      <c r="A483" s="221"/>
      <c r="B483" s="221"/>
      <c r="C483" s="221"/>
      <c r="D483" s="221"/>
      <c r="E483" s="221"/>
      <c r="F483" s="221"/>
      <c r="G483" s="221"/>
      <c r="H483" s="221"/>
      <c r="I483" s="221"/>
      <c r="J483" s="221"/>
      <c r="K483" s="221"/>
      <c r="L483" s="221"/>
      <c r="M483" s="221"/>
      <c r="N483" s="221"/>
      <c r="O483" s="221"/>
      <c r="P483" s="221"/>
      <c r="Q483" s="221"/>
      <c r="R483" s="221"/>
      <c r="S483" s="221"/>
      <c r="T483" s="221"/>
      <c r="U483" s="221"/>
      <c r="V483" s="221"/>
      <c r="W483" s="221"/>
      <c r="X483" s="221"/>
      <c r="Y483" s="221"/>
      <c r="Z483" s="221"/>
    </row>
    <row r="484" spans="1:26" ht="18.75" customHeight="1">
      <c r="A484" s="221"/>
      <c r="B484" s="221"/>
      <c r="C484" s="221"/>
      <c r="D484" s="221"/>
      <c r="E484" s="221"/>
      <c r="F484" s="221"/>
      <c r="G484" s="221"/>
      <c r="H484" s="221"/>
      <c r="I484" s="221"/>
      <c r="J484" s="221"/>
      <c r="K484" s="221"/>
      <c r="L484" s="221"/>
      <c r="M484" s="221"/>
      <c r="N484" s="221"/>
      <c r="O484" s="221"/>
      <c r="P484" s="221"/>
      <c r="Q484" s="221"/>
      <c r="R484" s="221"/>
      <c r="S484" s="221"/>
      <c r="T484" s="221"/>
      <c r="U484" s="221"/>
      <c r="V484" s="221"/>
      <c r="W484" s="221"/>
      <c r="X484" s="221"/>
      <c r="Y484" s="221"/>
      <c r="Z484" s="221"/>
    </row>
    <row r="485" spans="1:26" ht="18.75" customHeight="1">
      <c r="A485" s="221"/>
      <c r="B485" s="221"/>
      <c r="C485" s="221"/>
      <c r="D485" s="221"/>
      <c r="E485" s="221"/>
      <c r="F485" s="221"/>
      <c r="G485" s="221"/>
      <c r="H485" s="221"/>
      <c r="I485" s="221"/>
      <c r="J485" s="221"/>
      <c r="K485" s="221"/>
      <c r="L485" s="221"/>
      <c r="M485" s="221"/>
      <c r="N485" s="221"/>
      <c r="O485" s="221"/>
      <c r="P485" s="221"/>
      <c r="Q485" s="221"/>
      <c r="R485" s="221"/>
      <c r="S485" s="221"/>
      <c r="T485" s="221"/>
      <c r="U485" s="221"/>
      <c r="V485" s="221"/>
      <c r="W485" s="221"/>
      <c r="X485" s="221"/>
      <c r="Y485" s="221"/>
      <c r="Z485" s="221"/>
    </row>
    <row r="486" spans="1:26" ht="18.75" customHeight="1">
      <c r="A486" s="221"/>
      <c r="B486" s="221"/>
      <c r="C486" s="221"/>
      <c r="D486" s="221"/>
      <c r="E486" s="221"/>
      <c r="F486" s="221"/>
      <c r="G486" s="221"/>
      <c r="H486" s="221"/>
      <c r="I486" s="221"/>
      <c r="J486" s="221"/>
      <c r="K486" s="221"/>
      <c r="L486" s="221"/>
      <c r="M486" s="221"/>
      <c r="N486" s="221"/>
      <c r="O486" s="221"/>
      <c r="P486" s="221"/>
      <c r="Q486" s="221"/>
      <c r="R486" s="221"/>
      <c r="S486" s="221"/>
      <c r="T486" s="221"/>
      <c r="U486" s="221"/>
      <c r="V486" s="221"/>
      <c r="W486" s="221"/>
      <c r="X486" s="221"/>
      <c r="Y486" s="221"/>
      <c r="Z486" s="221"/>
    </row>
    <row r="487" spans="1:26" ht="18.75" customHeight="1">
      <c r="A487" s="221"/>
      <c r="B487" s="221"/>
      <c r="C487" s="221"/>
      <c r="D487" s="221"/>
      <c r="E487" s="221"/>
      <c r="F487" s="221"/>
      <c r="G487" s="221"/>
      <c r="H487" s="221"/>
      <c r="I487" s="221"/>
      <c r="J487" s="221"/>
      <c r="K487" s="221"/>
      <c r="L487" s="221"/>
      <c r="M487" s="221"/>
      <c r="N487" s="221"/>
      <c r="O487" s="221"/>
      <c r="P487" s="221"/>
      <c r="Q487" s="221"/>
      <c r="R487" s="221"/>
      <c r="S487" s="221"/>
      <c r="T487" s="221"/>
      <c r="U487" s="221"/>
      <c r="V487" s="221"/>
      <c r="W487" s="221"/>
      <c r="X487" s="221"/>
      <c r="Y487" s="221"/>
      <c r="Z487" s="221"/>
    </row>
    <row r="488" spans="1:26" ht="18.75" customHeight="1">
      <c r="A488" s="221"/>
      <c r="B488" s="221"/>
      <c r="C488" s="221"/>
      <c r="D488" s="221"/>
      <c r="E488" s="221"/>
      <c r="F488" s="221"/>
      <c r="G488" s="221"/>
      <c r="H488" s="221"/>
      <c r="I488" s="221"/>
      <c r="J488" s="221"/>
      <c r="K488" s="221"/>
      <c r="L488" s="221"/>
      <c r="M488" s="221"/>
      <c r="N488" s="221"/>
      <c r="O488" s="221"/>
      <c r="P488" s="221"/>
      <c r="Q488" s="221"/>
      <c r="R488" s="221"/>
      <c r="S488" s="221"/>
      <c r="T488" s="221"/>
      <c r="U488" s="221"/>
      <c r="V488" s="221"/>
      <c r="W488" s="221"/>
      <c r="X488" s="221"/>
      <c r="Y488" s="221"/>
      <c r="Z488" s="221"/>
    </row>
    <row r="489" spans="1:26" ht="18.75" customHeight="1">
      <c r="A489" s="221"/>
      <c r="B489" s="221"/>
      <c r="C489" s="221"/>
      <c r="D489" s="221"/>
      <c r="E489" s="221"/>
      <c r="F489" s="221"/>
      <c r="G489" s="221"/>
      <c r="H489" s="221"/>
      <c r="I489" s="221"/>
      <c r="J489" s="221"/>
      <c r="K489" s="221"/>
      <c r="L489" s="221"/>
      <c r="M489" s="221"/>
      <c r="N489" s="221"/>
      <c r="O489" s="221"/>
      <c r="P489" s="221"/>
      <c r="Q489" s="221"/>
      <c r="R489" s="221"/>
      <c r="S489" s="221"/>
      <c r="T489" s="221"/>
      <c r="U489" s="221"/>
      <c r="V489" s="221"/>
      <c r="W489" s="221"/>
      <c r="X489" s="221"/>
      <c r="Y489" s="221"/>
      <c r="Z489" s="221"/>
    </row>
    <row r="490" spans="1:26" ht="18.75" customHeight="1">
      <c r="A490" s="221"/>
      <c r="B490" s="221"/>
      <c r="C490" s="221"/>
      <c r="D490" s="221"/>
      <c r="E490" s="221"/>
      <c r="F490" s="221"/>
      <c r="G490" s="221"/>
      <c r="H490" s="221"/>
      <c r="I490" s="221"/>
      <c r="J490" s="221"/>
      <c r="K490" s="221"/>
      <c r="L490" s="221"/>
      <c r="M490" s="221"/>
      <c r="N490" s="221"/>
      <c r="O490" s="221"/>
      <c r="P490" s="221"/>
      <c r="Q490" s="221"/>
      <c r="R490" s="221"/>
      <c r="S490" s="221"/>
      <c r="T490" s="221"/>
      <c r="U490" s="221"/>
      <c r="V490" s="221"/>
      <c r="W490" s="221"/>
      <c r="X490" s="221"/>
      <c r="Y490" s="221"/>
      <c r="Z490" s="221"/>
    </row>
    <row r="491" spans="1:26" ht="18.75" customHeight="1">
      <c r="A491" s="221"/>
      <c r="B491" s="221"/>
      <c r="C491" s="221"/>
      <c r="D491" s="221"/>
      <c r="E491" s="221"/>
      <c r="F491" s="221"/>
      <c r="G491" s="221"/>
      <c r="H491" s="221"/>
      <c r="I491" s="221"/>
      <c r="J491" s="221"/>
      <c r="K491" s="221"/>
      <c r="L491" s="221"/>
      <c r="M491" s="221"/>
      <c r="N491" s="221"/>
      <c r="O491" s="221"/>
      <c r="P491" s="221"/>
      <c r="Q491" s="221"/>
      <c r="R491" s="221"/>
      <c r="S491" s="221"/>
      <c r="T491" s="221"/>
      <c r="U491" s="221"/>
      <c r="V491" s="221"/>
      <c r="W491" s="221"/>
      <c r="X491" s="221"/>
      <c r="Y491" s="221"/>
      <c r="Z491" s="221"/>
    </row>
    <row r="492" spans="1:26" ht="18.75" customHeight="1">
      <c r="A492" s="221"/>
      <c r="B492" s="221"/>
      <c r="C492" s="221"/>
      <c r="D492" s="221"/>
      <c r="E492" s="221"/>
      <c r="F492" s="221"/>
      <c r="G492" s="221"/>
      <c r="H492" s="221"/>
      <c r="I492" s="221"/>
      <c r="J492" s="221"/>
      <c r="K492" s="221"/>
      <c r="L492" s="221"/>
      <c r="M492" s="221"/>
      <c r="N492" s="221"/>
      <c r="O492" s="221"/>
      <c r="P492" s="221"/>
      <c r="Q492" s="221"/>
      <c r="R492" s="221"/>
      <c r="S492" s="221"/>
      <c r="T492" s="221"/>
      <c r="U492" s="221"/>
      <c r="V492" s="221"/>
      <c r="W492" s="221"/>
      <c r="X492" s="221"/>
      <c r="Y492" s="221"/>
      <c r="Z492" s="221"/>
    </row>
    <row r="493" spans="1:26" ht="18.75" customHeight="1">
      <c r="A493" s="221"/>
      <c r="B493" s="221"/>
      <c r="C493" s="221"/>
      <c r="D493" s="221"/>
      <c r="E493" s="221"/>
      <c r="F493" s="221"/>
      <c r="G493" s="221"/>
      <c r="H493" s="221"/>
      <c r="I493" s="221"/>
      <c r="J493" s="221"/>
      <c r="K493" s="221"/>
      <c r="L493" s="221"/>
      <c r="M493" s="221"/>
      <c r="N493" s="221"/>
      <c r="O493" s="221"/>
      <c r="P493" s="221"/>
      <c r="Q493" s="221"/>
      <c r="R493" s="221"/>
      <c r="S493" s="221"/>
      <c r="T493" s="221"/>
      <c r="U493" s="221"/>
      <c r="V493" s="221"/>
      <c r="W493" s="221"/>
      <c r="X493" s="221"/>
      <c r="Y493" s="221"/>
      <c r="Z493" s="221"/>
    </row>
    <row r="494" spans="1:26" ht="18.75" customHeight="1">
      <c r="A494" s="221"/>
      <c r="B494" s="221"/>
      <c r="C494" s="221"/>
      <c r="D494" s="221"/>
      <c r="E494" s="221"/>
      <c r="F494" s="221"/>
      <c r="G494" s="221"/>
      <c r="H494" s="221"/>
      <c r="I494" s="221"/>
      <c r="J494" s="221"/>
      <c r="K494" s="221"/>
      <c r="L494" s="221"/>
      <c r="M494" s="221"/>
      <c r="N494" s="221"/>
      <c r="O494" s="221"/>
      <c r="P494" s="221"/>
      <c r="Q494" s="221"/>
      <c r="R494" s="221"/>
      <c r="S494" s="221"/>
      <c r="T494" s="221"/>
      <c r="U494" s="221"/>
      <c r="V494" s="221"/>
      <c r="W494" s="221"/>
      <c r="X494" s="221"/>
      <c r="Y494" s="221"/>
      <c r="Z494" s="221"/>
    </row>
    <row r="495" spans="1:26" ht="18.75" customHeight="1">
      <c r="A495" s="221"/>
      <c r="B495" s="221"/>
      <c r="C495" s="221"/>
      <c r="D495" s="221"/>
      <c r="E495" s="221"/>
      <c r="F495" s="221"/>
      <c r="G495" s="221"/>
      <c r="H495" s="221"/>
      <c r="I495" s="221"/>
      <c r="J495" s="221"/>
      <c r="K495" s="221"/>
      <c r="L495" s="221"/>
      <c r="M495" s="221"/>
      <c r="N495" s="221"/>
      <c r="O495" s="221"/>
      <c r="P495" s="221"/>
      <c r="Q495" s="221"/>
      <c r="R495" s="221"/>
      <c r="S495" s="221"/>
      <c r="T495" s="221"/>
      <c r="U495" s="221"/>
      <c r="V495" s="221"/>
      <c r="W495" s="221"/>
      <c r="X495" s="221"/>
      <c r="Y495" s="221"/>
      <c r="Z495" s="221"/>
    </row>
    <row r="496" spans="1:26" ht="18.75" customHeight="1">
      <c r="A496" s="221"/>
      <c r="B496" s="221"/>
      <c r="C496" s="221"/>
      <c r="D496" s="221"/>
      <c r="E496" s="221"/>
      <c r="F496" s="221"/>
      <c r="G496" s="221"/>
      <c r="H496" s="221"/>
      <c r="I496" s="221"/>
      <c r="J496" s="221"/>
      <c r="K496" s="221"/>
      <c r="L496" s="221"/>
      <c r="M496" s="221"/>
      <c r="N496" s="221"/>
      <c r="O496" s="221"/>
      <c r="P496" s="221"/>
      <c r="Q496" s="221"/>
      <c r="R496" s="221"/>
      <c r="S496" s="221"/>
      <c r="T496" s="221"/>
      <c r="U496" s="221"/>
      <c r="V496" s="221"/>
      <c r="W496" s="221"/>
      <c r="X496" s="221"/>
      <c r="Y496" s="221"/>
      <c r="Z496" s="221"/>
    </row>
    <row r="497" spans="1:26" ht="18.75" customHeight="1">
      <c r="A497" s="221"/>
      <c r="B497" s="221"/>
      <c r="C497" s="221"/>
      <c r="D497" s="221"/>
      <c r="E497" s="221"/>
      <c r="F497" s="221"/>
      <c r="G497" s="221"/>
      <c r="H497" s="221"/>
      <c r="I497" s="221"/>
      <c r="J497" s="221"/>
      <c r="K497" s="221"/>
      <c r="L497" s="221"/>
      <c r="M497" s="221"/>
      <c r="N497" s="221"/>
      <c r="O497" s="221"/>
      <c r="P497" s="221"/>
      <c r="Q497" s="221"/>
      <c r="R497" s="221"/>
      <c r="S497" s="221"/>
      <c r="T497" s="221"/>
      <c r="U497" s="221"/>
      <c r="V497" s="221"/>
      <c r="W497" s="221"/>
      <c r="X497" s="221"/>
      <c r="Y497" s="221"/>
      <c r="Z497" s="221"/>
    </row>
    <row r="498" spans="1:26" ht="18.75" customHeight="1">
      <c r="A498" s="221"/>
      <c r="B498" s="221"/>
      <c r="C498" s="221"/>
      <c r="D498" s="221"/>
      <c r="E498" s="221"/>
      <c r="F498" s="221"/>
      <c r="G498" s="221"/>
      <c r="H498" s="221"/>
      <c r="I498" s="221"/>
      <c r="J498" s="221"/>
      <c r="K498" s="221"/>
      <c r="L498" s="221"/>
      <c r="M498" s="221"/>
      <c r="N498" s="221"/>
      <c r="O498" s="221"/>
      <c r="P498" s="221"/>
      <c r="Q498" s="221"/>
      <c r="R498" s="221"/>
      <c r="S498" s="221"/>
      <c r="T498" s="221"/>
      <c r="U498" s="221"/>
      <c r="V498" s="221"/>
      <c r="W498" s="221"/>
      <c r="X498" s="221"/>
      <c r="Y498" s="221"/>
      <c r="Z498" s="221"/>
    </row>
    <row r="499" spans="1:26" ht="18.75" customHeight="1">
      <c r="A499" s="221"/>
      <c r="B499" s="221"/>
      <c r="C499" s="221"/>
      <c r="D499" s="221"/>
      <c r="E499" s="221"/>
      <c r="F499" s="221"/>
      <c r="G499" s="221"/>
      <c r="H499" s="221"/>
      <c r="I499" s="221"/>
      <c r="J499" s="221"/>
      <c r="K499" s="221"/>
      <c r="L499" s="221"/>
      <c r="M499" s="221"/>
      <c r="N499" s="221"/>
      <c r="O499" s="221"/>
      <c r="P499" s="221"/>
      <c r="Q499" s="221"/>
      <c r="R499" s="221"/>
      <c r="S499" s="221"/>
      <c r="T499" s="221"/>
      <c r="U499" s="221"/>
      <c r="V499" s="221"/>
      <c r="W499" s="221"/>
      <c r="X499" s="221"/>
      <c r="Y499" s="221"/>
      <c r="Z499" s="221"/>
    </row>
    <row r="500" spans="1:26" ht="18.75" customHeight="1">
      <c r="A500" s="221"/>
      <c r="B500" s="221"/>
      <c r="C500" s="221"/>
      <c r="D500" s="221"/>
      <c r="E500" s="221"/>
      <c r="F500" s="221"/>
      <c r="G500" s="221"/>
      <c r="H500" s="221"/>
      <c r="I500" s="221"/>
      <c r="J500" s="221"/>
      <c r="K500" s="221"/>
      <c r="L500" s="221"/>
      <c r="M500" s="221"/>
      <c r="N500" s="221"/>
      <c r="O500" s="221"/>
      <c r="P500" s="221"/>
      <c r="Q500" s="221"/>
      <c r="R500" s="221"/>
      <c r="S500" s="221"/>
      <c r="T500" s="221"/>
      <c r="U500" s="221"/>
      <c r="V500" s="221"/>
      <c r="W500" s="221"/>
      <c r="X500" s="221"/>
      <c r="Y500" s="221"/>
      <c r="Z500" s="221"/>
    </row>
    <row r="501" spans="1:26" ht="18.75" customHeight="1">
      <c r="A501" s="221"/>
      <c r="B501" s="221"/>
      <c r="C501" s="221"/>
      <c r="D501" s="221"/>
      <c r="E501" s="221"/>
      <c r="F501" s="221"/>
      <c r="G501" s="221"/>
      <c r="H501" s="221"/>
      <c r="I501" s="221"/>
      <c r="J501" s="221"/>
      <c r="K501" s="221"/>
      <c r="L501" s="221"/>
      <c r="M501" s="221"/>
      <c r="N501" s="221"/>
      <c r="O501" s="221"/>
      <c r="P501" s="221"/>
      <c r="Q501" s="221"/>
      <c r="R501" s="221"/>
      <c r="S501" s="221"/>
      <c r="T501" s="221"/>
      <c r="U501" s="221"/>
      <c r="V501" s="221"/>
      <c r="W501" s="221"/>
      <c r="X501" s="221"/>
      <c r="Y501" s="221"/>
      <c r="Z501" s="221"/>
    </row>
    <row r="502" spans="1:26" ht="18.75" customHeight="1">
      <c r="A502" s="221"/>
      <c r="B502" s="221"/>
      <c r="C502" s="221"/>
      <c r="D502" s="221"/>
      <c r="E502" s="221"/>
      <c r="F502" s="221"/>
      <c r="G502" s="221"/>
      <c r="H502" s="221"/>
      <c r="I502" s="221"/>
      <c r="J502" s="221"/>
      <c r="K502" s="221"/>
      <c r="L502" s="221"/>
      <c r="M502" s="221"/>
      <c r="N502" s="221"/>
      <c r="O502" s="221"/>
      <c r="P502" s="221"/>
      <c r="Q502" s="221"/>
      <c r="R502" s="221"/>
      <c r="S502" s="221"/>
      <c r="T502" s="221"/>
      <c r="U502" s="221"/>
      <c r="V502" s="221"/>
      <c r="W502" s="221"/>
      <c r="X502" s="221"/>
      <c r="Y502" s="221"/>
      <c r="Z502" s="221"/>
    </row>
    <row r="503" spans="1:26" ht="18.75" customHeight="1">
      <c r="A503" s="221"/>
      <c r="B503" s="221"/>
      <c r="C503" s="221"/>
      <c r="D503" s="221"/>
      <c r="E503" s="221"/>
      <c r="F503" s="221"/>
      <c r="G503" s="221"/>
      <c r="H503" s="221"/>
      <c r="I503" s="221"/>
      <c r="J503" s="221"/>
      <c r="K503" s="221"/>
      <c r="L503" s="221"/>
      <c r="M503" s="221"/>
      <c r="N503" s="221"/>
      <c r="O503" s="221"/>
      <c r="P503" s="221"/>
      <c r="Q503" s="221"/>
      <c r="R503" s="221"/>
      <c r="S503" s="221"/>
      <c r="T503" s="221"/>
      <c r="U503" s="221"/>
      <c r="V503" s="221"/>
      <c r="W503" s="221"/>
      <c r="X503" s="221"/>
      <c r="Y503" s="221"/>
      <c r="Z503" s="221"/>
    </row>
    <row r="504" spans="1:26" ht="18.75" customHeight="1">
      <c r="A504" s="221"/>
      <c r="B504" s="221"/>
      <c r="C504" s="221"/>
      <c r="D504" s="221"/>
      <c r="E504" s="221"/>
      <c r="F504" s="221"/>
      <c r="G504" s="221"/>
      <c r="H504" s="221"/>
      <c r="I504" s="221"/>
      <c r="J504" s="221"/>
      <c r="K504" s="221"/>
      <c r="L504" s="221"/>
      <c r="M504" s="221"/>
      <c r="N504" s="221"/>
      <c r="O504" s="221"/>
      <c r="P504" s="221"/>
      <c r="Q504" s="221"/>
      <c r="R504" s="221"/>
      <c r="S504" s="221"/>
      <c r="T504" s="221"/>
      <c r="U504" s="221"/>
      <c r="V504" s="221"/>
      <c r="W504" s="221"/>
      <c r="X504" s="221"/>
      <c r="Y504" s="221"/>
      <c r="Z504" s="221"/>
    </row>
    <row r="505" spans="1:26" ht="18.75" customHeight="1">
      <c r="A505" s="221"/>
      <c r="B505" s="221"/>
      <c r="C505" s="221"/>
      <c r="D505" s="221"/>
      <c r="E505" s="221"/>
      <c r="F505" s="221"/>
      <c r="G505" s="221"/>
      <c r="H505" s="221"/>
      <c r="I505" s="221"/>
      <c r="J505" s="221"/>
      <c r="K505" s="221"/>
      <c r="L505" s="221"/>
      <c r="M505" s="221"/>
      <c r="N505" s="221"/>
      <c r="O505" s="221"/>
      <c r="P505" s="221"/>
      <c r="Q505" s="221"/>
      <c r="R505" s="221"/>
      <c r="S505" s="221"/>
      <c r="T505" s="221"/>
      <c r="U505" s="221"/>
      <c r="V505" s="221"/>
      <c r="W505" s="221"/>
      <c r="X505" s="221"/>
      <c r="Y505" s="221"/>
      <c r="Z505" s="221"/>
    </row>
    <row r="506" spans="1:26" ht="18.75" customHeight="1">
      <c r="A506" s="221"/>
      <c r="B506" s="221"/>
      <c r="C506" s="221"/>
      <c r="D506" s="221"/>
      <c r="E506" s="221"/>
      <c r="F506" s="221"/>
      <c r="G506" s="221"/>
      <c r="H506" s="221"/>
      <c r="I506" s="221"/>
      <c r="J506" s="221"/>
      <c r="K506" s="221"/>
      <c r="L506" s="221"/>
      <c r="M506" s="221"/>
      <c r="N506" s="221"/>
      <c r="O506" s="221"/>
      <c r="P506" s="221"/>
      <c r="Q506" s="221"/>
      <c r="R506" s="221"/>
      <c r="S506" s="221"/>
      <c r="T506" s="221"/>
      <c r="U506" s="221"/>
      <c r="V506" s="221"/>
      <c r="W506" s="221"/>
      <c r="X506" s="221"/>
      <c r="Y506" s="221"/>
      <c r="Z506" s="221"/>
    </row>
    <row r="507" spans="1:26" ht="18.75" customHeight="1">
      <c r="A507" s="221"/>
      <c r="B507" s="221"/>
      <c r="C507" s="221"/>
      <c r="D507" s="221"/>
      <c r="E507" s="221"/>
      <c r="F507" s="221"/>
      <c r="G507" s="221"/>
      <c r="H507" s="221"/>
      <c r="I507" s="221"/>
      <c r="J507" s="221"/>
      <c r="K507" s="221"/>
      <c r="L507" s="221"/>
      <c r="M507" s="221"/>
      <c r="N507" s="221"/>
      <c r="O507" s="221"/>
      <c r="P507" s="221"/>
      <c r="Q507" s="221"/>
      <c r="R507" s="221"/>
      <c r="S507" s="221"/>
      <c r="T507" s="221"/>
      <c r="U507" s="221"/>
      <c r="V507" s="221"/>
      <c r="W507" s="221"/>
      <c r="X507" s="221"/>
      <c r="Y507" s="221"/>
      <c r="Z507" s="221"/>
    </row>
    <row r="508" spans="1:26" ht="18.75" customHeight="1">
      <c r="A508" s="221"/>
      <c r="B508" s="221"/>
      <c r="C508" s="221"/>
      <c r="D508" s="221"/>
      <c r="E508" s="221"/>
      <c r="F508" s="221"/>
      <c r="G508" s="221"/>
      <c r="H508" s="221"/>
      <c r="I508" s="221"/>
      <c r="J508" s="221"/>
      <c r="K508" s="221"/>
      <c r="L508" s="221"/>
      <c r="M508" s="221"/>
      <c r="N508" s="221"/>
      <c r="O508" s="221"/>
      <c r="P508" s="221"/>
      <c r="Q508" s="221"/>
      <c r="R508" s="221"/>
      <c r="S508" s="221"/>
      <c r="T508" s="221"/>
      <c r="U508" s="221"/>
      <c r="V508" s="221"/>
      <c r="W508" s="221"/>
      <c r="X508" s="221"/>
      <c r="Y508" s="221"/>
      <c r="Z508" s="221"/>
    </row>
    <row r="509" spans="1:26" ht="18.75" customHeight="1">
      <c r="A509" s="221"/>
      <c r="B509" s="221"/>
      <c r="C509" s="221"/>
      <c r="D509" s="221"/>
      <c r="E509" s="221"/>
      <c r="F509" s="221"/>
      <c r="G509" s="221"/>
      <c r="H509" s="221"/>
      <c r="I509" s="221"/>
      <c r="J509" s="221"/>
      <c r="K509" s="221"/>
      <c r="L509" s="221"/>
      <c r="M509" s="221"/>
      <c r="N509" s="221"/>
      <c r="O509" s="221"/>
      <c r="P509" s="221"/>
      <c r="Q509" s="221"/>
      <c r="R509" s="221"/>
      <c r="S509" s="221"/>
      <c r="T509" s="221"/>
      <c r="U509" s="221"/>
      <c r="V509" s="221"/>
      <c r="W509" s="221"/>
      <c r="X509" s="221"/>
      <c r="Y509" s="221"/>
      <c r="Z509" s="221"/>
    </row>
    <row r="510" spans="1:26" ht="18.75" customHeight="1">
      <c r="A510" s="221"/>
      <c r="B510" s="221"/>
      <c r="C510" s="221"/>
      <c r="D510" s="221"/>
      <c r="E510" s="221"/>
      <c r="F510" s="221"/>
      <c r="G510" s="221"/>
      <c r="H510" s="221"/>
      <c r="I510" s="221"/>
      <c r="J510" s="221"/>
      <c r="K510" s="221"/>
      <c r="L510" s="221"/>
      <c r="M510" s="221"/>
      <c r="N510" s="221"/>
      <c r="O510" s="221"/>
      <c r="P510" s="221"/>
      <c r="Q510" s="221"/>
      <c r="R510" s="221"/>
      <c r="S510" s="221"/>
      <c r="T510" s="221"/>
      <c r="U510" s="221"/>
      <c r="V510" s="221"/>
      <c r="W510" s="221"/>
      <c r="X510" s="221"/>
      <c r="Y510" s="221"/>
      <c r="Z510" s="221"/>
    </row>
    <row r="511" spans="1:26" ht="18.75" customHeight="1">
      <c r="A511" s="221"/>
      <c r="B511" s="221"/>
      <c r="C511" s="221"/>
      <c r="D511" s="221"/>
      <c r="E511" s="221"/>
      <c r="F511" s="221"/>
      <c r="G511" s="221"/>
      <c r="H511" s="221"/>
      <c r="I511" s="221"/>
      <c r="J511" s="221"/>
      <c r="K511" s="221"/>
      <c r="L511" s="221"/>
      <c r="M511" s="221"/>
      <c r="N511" s="221"/>
      <c r="O511" s="221"/>
      <c r="P511" s="221"/>
      <c r="Q511" s="221"/>
      <c r="R511" s="221"/>
      <c r="S511" s="221"/>
      <c r="T511" s="221"/>
      <c r="U511" s="221"/>
      <c r="V511" s="221"/>
      <c r="W511" s="221"/>
      <c r="X511" s="221"/>
      <c r="Y511" s="221"/>
      <c r="Z511" s="221"/>
    </row>
    <row r="512" spans="1:26" ht="18.75" customHeight="1">
      <c r="A512" s="221"/>
      <c r="B512" s="221"/>
      <c r="C512" s="221"/>
      <c r="D512" s="221"/>
      <c r="E512" s="221"/>
      <c r="F512" s="221"/>
      <c r="G512" s="221"/>
      <c r="H512" s="221"/>
      <c r="I512" s="221"/>
      <c r="J512" s="221"/>
      <c r="K512" s="221"/>
      <c r="L512" s="221"/>
      <c r="M512" s="221"/>
      <c r="N512" s="221"/>
      <c r="O512" s="221"/>
      <c r="P512" s="221"/>
      <c r="Q512" s="221"/>
      <c r="R512" s="221"/>
      <c r="S512" s="221"/>
      <c r="T512" s="221"/>
      <c r="U512" s="221"/>
      <c r="V512" s="221"/>
      <c r="W512" s="221"/>
      <c r="X512" s="221"/>
      <c r="Y512" s="221"/>
      <c r="Z512" s="221"/>
    </row>
    <row r="513" spans="1:26" ht="18.75" customHeight="1">
      <c r="A513" s="221"/>
      <c r="B513" s="221"/>
      <c r="C513" s="221"/>
      <c r="D513" s="221"/>
      <c r="E513" s="221"/>
      <c r="F513" s="221"/>
      <c r="G513" s="221"/>
      <c r="H513" s="221"/>
      <c r="I513" s="221"/>
      <c r="J513" s="221"/>
      <c r="K513" s="221"/>
      <c r="L513" s="221"/>
      <c r="M513" s="221"/>
      <c r="N513" s="221"/>
      <c r="O513" s="221"/>
      <c r="P513" s="221"/>
      <c r="Q513" s="221"/>
      <c r="R513" s="221"/>
      <c r="S513" s="221"/>
      <c r="T513" s="221"/>
      <c r="U513" s="221"/>
      <c r="V513" s="221"/>
      <c r="W513" s="221"/>
      <c r="X513" s="221"/>
      <c r="Y513" s="221"/>
      <c r="Z513" s="221"/>
    </row>
    <row r="514" spans="1:26" ht="18.75" customHeight="1">
      <c r="A514" s="221"/>
      <c r="B514" s="221"/>
      <c r="C514" s="221"/>
      <c r="D514" s="221"/>
      <c r="E514" s="221"/>
      <c r="F514" s="221"/>
      <c r="G514" s="221"/>
      <c r="H514" s="221"/>
      <c r="I514" s="221"/>
      <c r="J514" s="221"/>
      <c r="K514" s="221"/>
      <c r="L514" s="221"/>
      <c r="M514" s="221"/>
      <c r="N514" s="221"/>
      <c r="O514" s="221"/>
      <c r="P514" s="221"/>
      <c r="Q514" s="221"/>
      <c r="R514" s="221"/>
      <c r="S514" s="221"/>
      <c r="T514" s="221"/>
      <c r="U514" s="221"/>
      <c r="V514" s="221"/>
      <c r="W514" s="221"/>
      <c r="X514" s="221"/>
      <c r="Y514" s="221"/>
      <c r="Z514" s="221"/>
    </row>
    <row r="515" spans="1:26" ht="18.75" customHeight="1">
      <c r="A515" s="221"/>
      <c r="B515" s="221"/>
      <c r="C515" s="221"/>
      <c r="D515" s="221"/>
      <c r="E515" s="221"/>
      <c r="F515" s="221"/>
      <c r="G515" s="221"/>
      <c r="H515" s="221"/>
      <c r="I515" s="221"/>
      <c r="J515" s="221"/>
      <c r="K515" s="221"/>
      <c r="L515" s="221"/>
      <c r="M515" s="221"/>
      <c r="N515" s="221"/>
      <c r="O515" s="221"/>
      <c r="P515" s="221"/>
      <c r="Q515" s="221"/>
      <c r="R515" s="221"/>
      <c r="S515" s="221"/>
      <c r="T515" s="221"/>
      <c r="U515" s="221"/>
      <c r="V515" s="221"/>
      <c r="W515" s="221"/>
      <c r="X515" s="221"/>
      <c r="Y515" s="221"/>
      <c r="Z515" s="221"/>
    </row>
    <row r="516" spans="1:26" ht="18.75" customHeight="1">
      <c r="A516" s="221"/>
      <c r="B516" s="221"/>
      <c r="C516" s="221"/>
      <c r="D516" s="221"/>
      <c r="E516" s="221"/>
      <c r="F516" s="221"/>
      <c r="G516" s="221"/>
      <c r="H516" s="221"/>
      <c r="I516" s="221"/>
      <c r="J516" s="221"/>
      <c r="K516" s="221"/>
      <c r="L516" s="221"/>
      <c r="M516" s="221"/>
      <c r="N516" s="221"/>
      <c r="O516" s="221"/>
      <c r="P516" s="221"/>
      <c r="Q516" s="221"/>
      <c r="R516" s="221"/>
      <c r="S516" s="221"/>
      <c r="T516" s="221"/>
      <c r="U516" s="221"/>
      <c r="V516" s="221"/>
      <c r="W516" s="221"/>
      <c r="X516" s="221"/>
      <c r="Y516" s="221"/>
      <c r="Z516" s="221"/>
    </row>
    <row r="517" spans="1:26" ht="18.75" customHeight="1">
      <c r="A517" s="221"/>
      <c r="B517" s="221"/>
      <c r="C517" s="221"/>
      <c r="D517" s="221"/>
      <c r="E517" s="221"/>
      <c r="F517" s="221"/>
      <c r="G517" s="221"/>
      <c r="H517" s="221"/>
      <c r="I517" s="221"/>
      <c r="J517" s="221"/>
      <c r="K517" s="221"/>
      <c r="L517" s="221"/>
      <c r="M517" s="221"/>
      <c r="N517" s="221"/>
      <c r="O517" s="221"/>
      <c r="P517" s="221"/>
      <c r="Q517" s="221"/>
      <c r="R517" s="221"/>
      <c r="S517" s="221"/>
      <c r="T517" s="221"/>
      <c r="U517" s="221"/>
      <c r="V517" s="221"/>
      <c r="W517" s="221"/>
      <c r="X517" s="221"/>
      <c r="Y517" s="221"/>
      <c r="Z517" s="221"/>
    </row>
    <row r="518" spans="1:26" ht="18.75" customHeight="1">
      <c r="A518" s="221"/>
      <c r="B518" s="221"/>
      <c r="C518" s="221"/>
      <c r="D518" s="221"/>
      <c r="E518" s="221"/>
      <c r="F518" s="221"/>
      <c r="G518" s="221"/>
      <c r="H518" s="221"/>
      <c r="I518" s="221"/>
      <c r="J518" s="221"/>
      <c r="K518" s="221"/>
      <c r="L518" s="221"/>
      <c r="M518" s="221"/>
      <c r="N518" s="221"/>
      <c r="O518" s="221"/>
      <c r="P518" s="221"/>
      <c r="Q518" s="221"/>
      <c r="R518" s="221"/>
      <c r="S518" s="221"/>
      <c r="T518" s="221"/>
      <c r="U518" s="221"/>
      <c r="V518" s="221"/>
      <c r="W518" s="221"/>
      <c r="X518" s="221"/>
      <c r="Y518" s="221"/>
      <c r="Z518" s="221"/>
    </row>
    <row r="519" spans="1:26" ht="18.75" customHeight="1">
      <c r="A519" s="221"/>
      <c r="B519" s="221"/>
      <c r="C519" s="221"/>
      <c r="D519" s="221"/>
      <c r="E519" s="221"/>
      <c r="F519" s="221"/>
      <c r="G519" s="221"/>
      <c r="H519" s="221"/>
      <c r="I519" s="221"/>
      <c r="J519" s="221"/>
      <c r="K519" s="221"/>
      <c r="L519" s="221"/>
      <c r="M519" s="221"/>
      <c r="N519" s="221"/>
      <c r="O519" s="221"/>
      <c r="P519" s="221"/>
      <c r="Q519" s="221"/>
      <c r="R519" s="221"/>
      <c r="S519" s="221"/>
      <c r="T519" s="221"/>
      <c r="U519" s="221"/>
      <c r="V519" s="221"/>
      <c r="W519" s="221"/>
      <c r="X519" s="221"/>
      <c r="Y519" s="221"/>
      <c r="Z519" s="221"/>
    </row>
    <row r="520" spans="1:26" ht="18.75" customHeight="1">
      <c r="A520" s="221"/>
      <c r="B520" s="221"/>
      <c r="C520" s="221"/>
      <c r="D520" s="221"/>
      <c r="E520" s="221"/>
      <c r="F520" s="221"/>
      <c r="G520" s="221"/>
      <c r="H520" s="221"/>
      <c r="I520" s="221"/>
      <c r="J520" s="221"/>
      <c r="K520" s="221"/>
      <c r="L520" s="221"/>
      <c r="M520" s="221"/>
      <c r="N520" s="221"/>
      <c r="O520" s="221"/>
      <c r="P520" s="221"/>
      <c r="Q520" s="221"/>
      <c r="R520" s="221"/>
      <c r="S520" s="221"/>
      <c r="T520" s="221"/>
      <c r="U520" s="221"/>
      <c r="V520" s="221"/>
      <c r="W520" s="221"/>
      <c r="X520" s="221"/>
      <c r="Y520" s="221"/>
      <c r="Z520" s="221"/>
    </row>
    <row r="521" spans="1:26" ht="18.75" customHeight="1">
      <c r="A521" s="221"/>
      <c r="B521" s="221"/>
      <c r="C521" s="221"/>
      <c r="D521" s="221"/>
      <c r="E521" s="221"/>
      <c r="F521" s="221"/>
      <c r="G521" s="221"/>
      <c r="H521" s="221"/>
      <c r="I521" s="221"/>
      <c r="J521" s="221"/>
      <c r="K521" s="221"/>
      <c r="L521" s="221"/>
      <c r="M521" s="221"/>
      <c r="N521" s="221"/>
      <c r="O521" s="221"/>
      <c r="P521" s="221"/>
      <c r="Q521" s="221"/>
      <c r="R521" s="221"/>
      <c r="S521" s="221"/>
      <c r="T521" s="221"/>
      <c r="U521" s="221"/>
      <c r="V521" s="221"/>
      <c r="W521" s="221"/>
      <c r="X521" s="221"/>
      <c r="Y521" s="221"/>
      <c r="Z521" s="221"/>
    </row>
    <row r="522" spans="1:26" ht="18.75" customHeight="1">
      <c r="A522" s="221"/>
      <c r="B522" s="221"/>
      <c r="C522" s="221"/>
      <c r="D522" s="221"/>
      <c r="E522" s="221"/>
      <c r="F522" s="221"/>
      <c r="G522" s="221"/>
      <c r="H522" s="221"/>
      <c r="I522" s="221"/>
      <c r="J522" s="221"/>
      <c r="K522" s="221"/>
      <c r="L522" s="221"/>
      <c r="M522" s="221"/>
      <c r="N522" s="221"/>
      <c r="O522" s="221"/>
      <c r="P522" s="221"/>
      <c r="Q522" s="221"/>
      <c r="R522" s="221"/>
      <c r="S522" s="221"/>
      <c r="T522" s="221"/>
      <c r="U522" s="221"/>
      <c r="V522" s="221"/>
      <c r="W522" s="221"/>
      <c r="X522" s="221"/>
      <c r="Y522" s="221"/>
      <c r="Z522" s="221"/>
    </row>
    <row r="523" spans="1:26" ht="18.75" customHeight="1">
      <c r="A523" s="221"/>
      <c r="B523" s="221"/>
      <c r="C523" s="221"/>
      <c r="D523" s="221"/>
      <c r="E523" s="221"/>
      <c r="F523" s="221"/>
      <c r="G523" s="221"/>
      <c r="H523" s="221"/>
      <c r="I523" s="221"/>
      <c r="J523" s="221"/>
      <c r="K523" s="221"/>
      <c r="L523" s="221"/>
      <c r="M523" s="221"/>
      <c r="N523" s="221"/>
      <c r="O523" s="221"/>
      <c r="P523" s="221"/>
      <c r="Q523" s="221"/>
      <c r="R523" s="221"/>
      <c r="S523" s="221"/>
      <c r="T523" s="221"/>
      <c r="U523" s="221"/>
      <c r="V523" s="221"/>
      <c r="W523" s="221"/>
      <c r="X523" s="221"/>
      <c r="Y523" s="221"/>
      <c r="Z523" s="221"/>
    </row>
    <row r="524" spans="1:26" ht="18.75" customHeight="1">
      <c r="A524" s="221"/>
      <c r="B524" s="221"/>
      <c r="C524" s="221"/>
      <c r="D524" s="221"/>
      <c r="E524" s="221"/>
      <c r="F524" s="221"/>
      <c r="G524" s="221"/>
      <c r="H524" s="221"/>
      <c r="I524" s="221"/>
      <c r="J524" s="221"/>
      <c r="K524" s="221"/>
      <c r="L524" s="221"/>
      <c r="M524" s="221"/>
      <c r="N524" s="221"/>
      <c r="O524" s="221"/>
      <c r="P524" s="221"/>
      <c r="Q524" s="221"/>
      <c r="R524" s="221"/>
      <c r="S524" s="221"/>
      <c r="T524" s="221"/>
      <c r="U524" s="221"/>
      <c r="V524" s="221"/>
      <c r="W524" s="221"/>
      <c r="X524" s="221"/>
      <c r="Y524" s="221"/>
      <c r="Z524" s="221"/>
    </row>
    <row r="525" spans="1:26" ht="18.75" customHeight="1">
      <c r="A525" s="221"/>
      <c r="B525" s="221"/>
      <c r="C525" s="221"/>
      <c r="D525" s="221"/>
      <c r="E525" s="221"/>
      <c r="F525" s="221"/>
      <c r="G525" s="221"/>
      <c r="H525" s="221"/>
      <c r="I525" s="221"/>
      <c r="J525" s="221"/>
      <c r="K525" s="221"/>
      <c r="L525" s="221"/>
      <c r="M525" s="221"/>
      <c r="N525" s="221"/>
      <c r="O525" s="221"/>
      <c r="P525" s="221"/>
      <c r="Q525" s="221"/>
      <c r="R525" s="221"/>
      <c r="S525" s="221"/>
      <c r="T525" s="221"/>
      <c r="U525" s="221"/>
      <c r="V525" s="221"/>
      <c r="W525" s="221"/>
      <c r="X525" s="221"/>
      <c r="Y525" s="221"/>
      <c r="Z525" s="221"/>
    </row>
    <row r="526" spans="1:26" ht="18.75" customHeight="1">
      <c r="A526" s="221"/>
      <c r="B526" s="221"/>
      <c r="C526" s="221"/>
      <c r="D526" s="221"/>
      <c r="E526" s="221"/>
      <c r="F526" s="221"/>
      <c r="G526" s="221"/>
      <c r="H526" s="221"/>
      <c r="I526" s="221"/>
      <c r="J526" s="221"/>
      <c r="K526" s="221"/>
      <c r="L526" s="221"/>
      <c r="M526" s="221"/>
      <c r="N526" s="221"/>
      <c r="O526" s="221"/>
      <c r="P526" s="221"/>
      <c r="Q526" s="221"/>
      <c r="R526" s="221"/>
      <c r="S526" s="221"/>
      <c r="T526" s="221"/>
      <c r="U526" s="221"/>
      <c r="V526" s="221"/>
      <c r="W526" s="221"/>
      <c r="X526" s="221"/>
      <c r="Y526" s="221"/>
      <c r="Z526" s="221"/>
    </row>
    <row r="527" spans="1:26" ht="18.75" customHeight="1">
      <c r="A527" s="221"/>
      <c r="B527" s="221"/>
      <c r="C527" s="221"/>
      <c r="D527" s="221"/>
      <c r="E527" s="221"/>
      <c r="F527" s="221"/>
      <c r="G527" s="221"/>
      <c r="H527" s="221"/>
      <c r="I527" s="221"/>
      <c r="J527" s="221"/>
      <c r="K527" s="221"/>
      <c r="L527" s="221"/>
      <c r="M527" s="221"/>
      <c r="N527" s="221"/>
      <c r="O527" s="221"/>
      <c r="P527" s="221"/>
      <c r="Q527" s="221"/>
      <c r="R527" s="221"/>
      <c r="S527" s="221"/>
      <c r="T527" s="221"/>
      <c r="U527" s="221"/>
      <c r="V527" s="221"/>
      <c r="W527" s="221"/>
      <c r="X527" s="221"/>
      <c r="Y527" s="221"/>
      <c r="Z527" s="221"/>
    </row>
    <row r="528" spans="1:26" ht="18.75" customHeight="1">
      <c r="A528" s="221"/>
      <c r="B528" s="221"/>
      <c r="C528" s="221"/>
      <c r="D528" s="221"/>
      <c r="E528" s="221"/>
      <c r="F528" s="221"/>
      <c r="G528" s="221"/>
      <c r="H528" s="221"/>
      <c r="I528" s="221"/>
      <c r="J528" s="221"/>
      <c r="K528" s="221"/>
      <c r="L528" s="221"/>
      <c r="M528" s="221"/>
      <c r="N528" s="221"/>
      <c r="O528" s="221"/>
      <c r="P528" s="221"/>
      <c r="Q528" s="221"/>
      <c r="R528" s="221"/>
      <c r="S528" s="221"/>
      <c r="T528" s="221"/>
      <c r="U528" s="221"/>
      <c r="V528" s="221"/>
      <c r="W528" s="221"/>
      <c r="X528" s="221"/>
      <c r="Y528" s="221"/>
      <c r="Z528" s="221"/>
    </row>
    <row r="529" spans="1:26" ht="18.75" customHeight="1">
      <c r="A529" s="221"/>
      <c r="B529" s="221"/>
      <c r="C529" s="221"/>
      <c r="D529" s="221"/>
      <c r="E529" s="221"/>
      <c r="F529" s="221"/>
      <c r="G529" s="221"/>
      <c r="H529" s="221"/>
      <c r="I529" s="221"/>
      <c r="J529" s="221"/>
      <c r="K529" s="221"/>
      <c r="L529" s="221"/>
      <c r="M529" s="221"/>
      <c r="N529" s="221"/>
      <c r="O529" s="221"/>
      <c r="P529" s="221"/>
      <c r="Q529" s="221"/>
      <c r="R529" s="221"/>
      <c r="S529" s="221"/>
      <c r="T529" s="221"/>
      <c r="U529" s="221"/>
      <c r="V529" s="221"/>
      <c r="W529" s="221"/>
      <c r="X529" s="221"/>
      <c r="Y529" s="221"/>
      <c r="Z529" s="221"/>
    </row>
    <row r="530" spans="1:26" ht="18.75" customHeight="1">
      <c r="A530" s="221"/>
      <c r="B530" s="221"/>
      <c r="C530" s="221"/>
      <c r="D530" s="221"/>
      <c r="E530" s="221"/>
      <c r="F530" s="221"/>
      <c r="G530" s="221"/>
      <c r="H530" s="221"/>
      <c r="I530" s="221"/>
      <c r="J530" s="221"/>
      <c r="K530" s="221"/>
      <c r="L530" s="221"/>
      <c r="M530" s="221"/>
      <c r="N530" s="221"/>
      <c r="O530" s="221"/>
      <c r="P530" s="221"/>
      <c r="Q530" s="221"/>
      <c r="R530" s="221"/>
      <c r="S530" s="221"/>
      <c r="T530" s="221"/>
      <c r="U530" s="221"/>
      <c r="V530" s="221"/>
      <c r="W530" s="221"/>
      <c r="X530" s="221"/>
      <c r="Y530" s="221"/>
      <c r="Z530" s="221"/>
    </row>
    <row r="531" spans="1:26" ht="18.75" customHeight="1">
      <c r="A531" s="221"/>
      <c r="B531" s="221"/>
      <c r="C531" s="221"/>
      <c r="D531" s="221"/>
      <c r="E531" s="221"/>
      <c r="F531" s="221"/>
      <c r="G531" s="221"/>
      <c r="H531" s="221"/>
      <c r="I531" s="221"/>
      <c r="J531" s="221"/>
      <c r="K531" s="221"/>
      <c r="L531" s="221"/>
      <c r="M531" s="221"/>
      <c r="N531" s="221"/>
      <c r="O531" s="221"/>
      <c r="P531" s="221"/>
      <c r="Q531" s="221"/>
      <c r="R531" s="221"/>
      <c r="S531" s="221"/>
      <c r="T531" s="221"/>
      <c r="U531" s="221"/>
      <c r="V531" s="221"/>
      <c r="W531" s="221"/>
      <c r="X531" s="221"/>
      <c r="Y531" s="221"/>
      <c r="Z531" s="221"/>
    </row>
    <row r="532" spans="1:26" ht="18.75" customHeight="1">
      <c r="A532" s="221"/>
      <c r="B532" s="221"/>
      <c r="C532" s="221"/>
      <c r="D532" s="221"/>
      <c r="E532" s="221"/>
      <c r="F532" s="221"/>
      <c r="G532" s="221"/>
      <c r="H532" s="221"/>
      <c r="I532" s="221"/>
      <c r="J532" s="221"/>
      <c r="K532" s="221"/>
      <c r="L532" s="221"/>
      <c r="M532" s="221"/>
      <c r="N532" s="221"/>
      <c r="O532" s="221"/>
      <c r="P532" s="221"/>
      <c r="Q532" s="221"/>
      <c r="R532" s="221"/>
      <c r="S532" s="221"/>
      <c r="T532" s="221"/>
      <c r="U532" s="221"/>
      <c r="V532" s="221"/>
      <c r="W532" s="221"/>
      <c r="X532" s="221"/>
      <c r="Y532" s="221"/>
      <c r="Z532" s="221"/>
    </row>
    <row r="533" spans="1:26" ht="18.75" customHeight="1">
      <c r="A533" s="221"/>
      <c r="B533" s="221"/>
      <c r="C533" s="221"/>
      <c r="D533" s="221"/>
      <c r="E533" s="221"/>
      <c r="F533" s="221"/>
      <c r="G533" s="221"/>
      <c r="H533" s="221"/>
      <c r="I533" s="221"/>
      <c r="J533" s="221"/>
      <c r="K533" s="221"/>
      <c r="L533" s="221"/>
      <c r="M533" s="221"/>
      <c r="N533" s="221"/>
      <c r="O533" s="221"/>
      <c r="P533" s="221"/>
      <c r="Q533" s="221"/>
      <c r="R533" s="221"/>
      <c r="S533" s="221"/>
      <c r="T533" s="221"/>
      <c r="U533" s="221"/>
      <c r="V533" s="221"/>
      <c r="W533" s="221"/>
      <c r="X533" s="221"/>
      <c r="Y533" s="221"/>
      <c r="Z533" s="221"/>
    </row>
    <row r="534" spans="1:26" ht="18.75" customHeight="1">
      <c r="A534" s="221"/>
      <c r="B534" s="221"/>
      <c r="C534" s="221"/>
      <c r="D534" s="221"/>
      <c r="E534" s="221"/>
      <c r="F534" s="221"/>
      <c r="G534" s="221"/>
      <c r="H534" s="221"/>
      <c r="I534" s="221"/>
      <c r="J534" s="221"/>
      <c r="K534" s="221"/>
      <c r="L534" s="221"/>
      <c r="M534" s="221"/>
      <c r="N534" s="221"/>
      <c r="O534" s="221"/>
      <c r="P534" s="221"/>
      <c r="Q534" s="221"/>
      <c r="R534" s="221"/>
      <c r="S534" s="221"/>
      <c r="T534" s="221"/>
      <c r="U534" s="221"/>
      <c r="V534" s="221"/>
      <c r="W534" s="221"/>
      <c r="X534" s="221"/>
      <c r="Y534" s="221"/>
      <c r="Z534" s="221"/>
    </row>
    <row r="535" spans="1:26" ht="18.75" customHeight="1">
      <c r="A535" s="221"/>
      <c r="B535" s="221"/>
      <c r="C535" s="221"/>
      <c r="D535" s="221"/>
      <c r="E535" s="221"/>
      <c r="F535" s="221"/>
      <c r="G535" s="221"/>
      <c r="H535" s="221"/>
      <c r="I535" s="221"/>
      <c r="J535" s="221"/>
      <c r="K535" s="221"/>
      <c r="L535" s="221"/>
      <c r="M535" s="221"/>
      <c r="N535" s="221"/>
      <c r="O535" s="221"/>
      <c r="P535" s="221"/>
      <c r="Q535" s="221"/>
      <c r="R535" s="221"/>
      <c r="S535" s="221"/>
      <c r="T535" s="221"/>
      <c r="U535" s="221"/>
      <c r="V535" s="221"/>
      <c r="W535" s="221"/>
      <c r="X535" s="221"/>
      <c r="Y535" s="221"/>
      <c r="Z535" s="221"/>
    </row>
    <row r="536" spans="1:26" ht="18.75" customHeight="1">
      <c r="A536" s="221"/>
      <c r="B536" s="221"/>
      <c r="C536" s="221"/>
      <c r="D536" s="221"/>
      <c r="E536" s="221"/>
      <c r="F536" s="221"/>
      <c r="G536" s="221"/>
      <c r="H536" s="221"/>
      <c r="I536" s="221"/>
      <c r="J536" s="221"/>
      <c r="K536" s="221"/>
      <c r="L536" s="221"/>
      <c r="M536" s="221"/>
      <c r="N536" s="221"/>
      <c r="O536" s="221"/>
      <c r="P536" s="221"/>
      <c r="Q536" s="221"/>
      <c r="R536" s="221"/>
      <c r="S536" s="221"/>
      <c r="T536" s="221"/>
      <c r="U536" s="221"/>
      <c r="V536" s="221"/>
      <c r="W536" s="221"/>
      <c r="X536" s="221"/>
      <c r="Y536" s="221"/>
      <c r="Z536" s="221"/>
    </row>
    <row r="537" spans="1:26" ht="18.75" customHeight="1">
      <c r="A537" s="221"/>
      <c r="B537" s="221"/>
      <c r="C537" s="221"/>
      <c r="D537" s="221"/>
      <c r="E537" s="221"/>
      <c r="F537" s="221"/>
      <c r="G537" s="221"/>
      <c r="H537" s="221"/>
      <c r="I537" s="221"/>
      <c r="J537" s="221"/>
      <c r="K537" s="221"/>
      <c r="L537" s="221"/>
      <c r="M537" s="221"/>
      <c r="N537" s="221"/>
      <c r="O537" s="221"/>
      <c r="P537" s="221"/>
      <c r="Q537" s="221"/>
      <c r="R537" s="221"/>
      <c r="S537" s="221"/>
      <c r="T537" s="221"/>
      <c r="U537" s="221"/>
      <c r="V537" s="221"/>
      <c r="W537" s="221"/>
      <c r="X537" s="221"/>
      <c r="Y537" s="221"/>
      <c r="Z537" s="221"/>
    </row>
    <row r="538" spans="1:26" ht="18.75" customHeight="1">
      <c r="A538" s="221"/>
      <c r="B538" s="221"/>
      <c r="C538" s="221"/>
      <c r="D538" s="221"/>
      <c r="E538" s="221"/>
      <c r="F538" s="221"/>
      <c r="G538" s="221"/>
      <c r="H538" s="221"/>
      <c r="I538" s="221"/>
      <c r="J538" s="221"/>
      <c r="K538" s="221"/>
      <c r="L538" s="221"/>
      <c r="M538" s="221"/>
      <c r="N538" s="221"/>
      <c r="O538" s="221"/>
      <c r="P538" s="221"/>
      <c r="Q538" s="221"/>
      <c r="R538" s="221"/>
      <c r="S538" s="221"/>
      <c r="T538" s="221"/>
      <c r="U538" s="221"/>
      <c r="V538" s="221"/>
      <c r="W538" s="221"/>
      <c r="X538" s="221"/>
      <c r="Y538" s="221"/>
      <c r="Z538" s="221"/>
    </row>
    <row r="539" spans="1:26" ht="18.75" customHeight="1">
      <c r="A539" s="221"/>
      <c r="B539" s="221"/>
      <c r="C539" s="221"/>
      <c r="D539" s="221"/>
      <c r="E539" s="221"/>
      <c r="F539" s="221"/>
      <c r="G539" s="221"/>
      <c r="H539" s="221"/>
      <c r="I539" s="221"/>
      <c r="J539" s="221"/>
      <c r="K539" s="221"/>
      <c r="L539" s="221"/>
      <c r="M539" s="221"/>
      <c r="N539" s="221"/>
      <c r="O539" s="221"/>
      <c r="P539" s="221"/>
      <c r="Q539" s="221"/>
      <c r="R539" s="221"/>
      <c r="S539" s="221"/>
      <c r="T539" s="221"/>
      <c r="U539" s="221"/>
      <c r="V539" s="221"/>
      <c r="W539" s="221"/>
      <c r="X539" s="221"/>
      <c r="Y539" s="221"/>
      <c r="Z539" s="221"/>
    </row>
    <row r="540" spans="1:26" ht="18.75" customHeight="1">
      <c r="A540" s="221"/>
      <c r="B540" s="221"/>
      <c r="C540" s="221"/>
      <c r="D540" s="221"/>
      <c r="E540" s="221"/>
      <c r="F540" s="221"/>
      <c r="G540" s="221"/>
      <c r="H540" s="221"/>
      <c r="I540" s="221"/>
      <c r="J540" s="221"/>
      <c r="K540" s="221"/>
      <c r="L540" s="221"/>
      <c r="M540" s="221"/>
      <c r="N540" s="221"/>
      <c r="O540" s="221"/>
      <c r="P540" s="221"/>
      <c r="Q540" s="221"/>
      <c r="R540" s="221"/>
      <c r="S540" s="221"/>
      <c r="T540" s="221"/>
      <c r="U540" s="221"/>
      <c r="V540" s="221"/>
      <c r="W540" s="221"/>
      <c r="X540" s="221"/>
      <c r="Y540" s="221"/>
      <c r="Z540" s="221"/>
    </row>
    <row r="541" spans="1:26" ht="18.75" customHeight="1">
      <c r="A541" s="221"/>
      <c r="B541" s="221"/>
      <c r="C541" s="221"/>
      <c r="D541" s="221"/>
      <c r="E541" s="221"/>
      <c r="F541" s="221"/>
      <c r="G541" s="221"/>
      <c r="H541" s="221"/>
      <c r="I541" s="221"/>
      <c r="J541" s="221"/>
      <c r="K541" s="221"/>
      <c r="L541" s="221"/>
      <c r="M541" s="221"/>
      <c r="N541" s="221"/>
      <c r="O541" s="221"/>
      <c r="P541" s="221"/>
      <c r="Q541" s="221"/>
      <c r="R541" s="221"/>
      <c r="S541" s="221"/>
      <c r="T541" s="221"/>
      <c r="U541" s="221"/>
      <c r="V541" s="221"/>
      <c r="W541" s="221"/>
      <c r="X541" s="221"/>
      <c r="Y541" s="221"/>
      <c r="Z541" s="221"/>
    </row>
    <row r="542" spans="1:26" ht="18.75" customHeight="1">
      <c r="A542" s="221"/>
      <c r="B542" s="221"/>
      <c r="C542" s="221"/>
      <c r="D542" s="221"/>
      <c r="E542" s="221"/>
      <c r="F542" s="221"/>
      <c r="G542" s="221"/>
      <c r="H542" s="221"/>
      <c r="I542" s="221"/>
      <c r="J542" s="221"/>
      <c r="K542" s="221"/>
      <c r="L542" s="221"/>
      <c r="M542" s="221"/>
      <c r="N542" s="221"/>
      <c r="O542" s="221"/>
      <c r="P542" s="221"/>
      <c r="Q542" s="221"/>
      <c r="R542" s="221"/>
      <c r="S542" s="221"/>
      <c r="T542" s="221"/>
      <c r="U542" s="221"/>
      <c r="V542" s="221"/>
      <c r="W542" s="221"/>
      <c r="X542" s="221"/>
      <c r="Y542" s="221"/>
      <c r="Z542" s="221"/>
    </row>
    <row r="543" spans="1:26" ht="18.75" customHeight="1">
      <c r="A543" s="221"/>
      <c r="B543" s="221"/>
      <c r="C543" s="221"/>
      <c r="D543" s="221"/>
      <c r="E543" s="221"/>
      <c r="F543" s="221"/>
      <c r="G543" s="221"/>
      <c r="H543" s="221"/>
      <c r="I543" s="221"/>
      <c r="J543" s="221"/>
      <c r="K543" s="221"/>
      <c r="L543" s="221"/>
      <c r="M543" s="221"/>
      <c r="N543" s="221"/>
      <c r="O543" s="221"/>
      <c r="P543" s="221"/>
      <c r="Q543" s="221"/>
      <c r="R543" s="221"/>
      <c r="S543" s="221"/>
      <c r="T543" s="221"/>
      <c r="U543" s="221"/>
      <c r="V543" s="221"/>
      <c r="W543" s="221"/>
      <c r="X543" s="221"/>
      <c r="Y543" s="221"/>
      <c r="Z543" s="221"/>
    </row>
    <row r="544" spans="1:26" ht="18.75" customHeight="1">
      <c r="A544" s="221"/>
      <c r="B544" s="221"/>
      <c r="C544" s="221"/>
      <c r="D544" s="221"/>
      <c r="E544" s="221"/>
      <c r="F544" s="221"/>
      <c r="G544" s="221"/>
      <c r="H544" s="221"/>
      <c r="I544" s="221"/>
      <c r="J544" s="221"/>
      <c r="K544" s="221"/>
      <c r="L544" s="221"/>
      <c r="M544" s="221"/>
      <c r="N544" s="221"/>
      <c r="O544" s="221"/>
      <c r="P544" s="221"/>
      <c r="Q544" s="221"/>
      <c r="R544" s="221"/>
      <c r="S544" s="221"/>
      <c r="T544" s="221"/>
      <c r="U544" s="221"/>
      <c r="V544" s="221"/>
      <c r="W544" s="221"/>
      <c r="X544" s="221"/>
      <c r="Y544" s="221"/>
      <c r="Z544" s="221"/>
    </row>
    <row r="545" spans="1:26" ht="18.75" customHeight="1">
      <c r="A545" s="221"/>
      <c r="B545" s="221"/>
      <c r="C545" s="221"/>
      <c r="D545" s="221"/>
      <c r="E545" s="221"/>
      <c r="F545" s="221"/>
      <c r="G545" s="221"/>
      <c r="H545" s="221"/>
      <c r="I545" s="221"/>
      <c r="J545" s="221"/>
      <c r="K545" s="221"/>
      <c r="L545" s="221"/>
      <c r="M545" s="221"/>
      <c r="N545" s="221"/>
      <c r="O545" s="221"/>
      <c r="P545" s="221"/>
      <c r="Q545" s="221"/>
      <c r="R545" s="221"/>
      <c r="S545" s="221"/>
      <c r="T545" s="221"/>
      <c r="U545" s="221"/>
      <c r="V545" s="221"/>
      <c r="W545" s="221"/>
      <c r="X545" s="221"/>
      <c r="Y545" s="221"/>
      <c r="Z545" s="221"/>
    </row>
    <row r="546" spans="1:26" ht="18.75" customHeight="1">
      <c r="A546" s="221"/>
      <c r="B546" s="221"/>
      <c r="C546" s="221"/>
      <c r="D546" s="221"/>
      <c r="E546" s="221"/>
      <c r="F546" s="221"/>
      <c r="G546" s="221"/>
      <c r="H546" s="221"/>
      <c r="I546" s="221"/>
      <c r="J546" s="221"/>
      <c r="K546" s="221"/>
      <c r="L546" s="221"/>
      <c r="M546" s="221"/>
      <c r="N546" s="221"/>
      <c r="O546" s="221"/>
      <c r="P546" s="221"/>
      <c r="Q546" s="221"/>
      <c r="R546" s="221"/>
      <c r="S546" s="221"/>
      <c r="T546" s="221"/>
      <c r="U546" s="221"/>
      <c r="V546" s="221"/>
      <c r="W546" s="221"/>
      <c r="X546" s="221"/>
      <c r="Y546" s="221"/>
      <c r="Z546" s="221"/>
    </row>
    <row r="547" spans="1:26" ht="18.75" customHeight="1">
      <c r="A547" s="221"/>
      <c r="B547" s="221"/>
      <c r="C547" s="221"/>
      <c r="D547" s="221"/>
      <c r="E547" s="221"/>
      <c r="F547" s="221"/>
      <c r="G547" s="221"/>
      <c r="H547" s="221"/>
      <c r="I547" s="221"/>
      <c r="J547" s="221"/>
      <c r="K547" s="221"/>
      <c r="L547" s="221"/>
      <c r="M547" s="221"/>
      <c r="N547" s="221"/>
      <c r="O547" s="221"/>
      <c r="P547" s="221"/>
      <c r="Q547" s="221"/>
      <c r="R547" s="221"/>
      <c r="S547" s="221"/>
      <c r="T547" s="221"/>
      <c r="U547" s="221"/>
      <c r="V547" s="221"/>
      <c r="W547" s="221"/>
      <c r="X547" s="221"/>
      <c r="Y547" s="221"/>
      <c r="Z547" s="221"/>
    </row>
    <row r="548" spans="1:26" ht="18.75" customHeight="1">
      <c r="A548" s="221"/>
      <c r="B548" s="221"/>
      <c r="C548" s="221"/>
      <c r="D548" s="221"/>
      <c r="E548" s="221"/>
      <c r="F548" s="221"/>
      <c r="G548" s="221"/>
      <c r="H548" s="221"/>
      <c r="I548" s="221"/>
      <c r="J548" s="221"/>
      <c r="K548" s="221"/>
      <c r="L548" s="221"/>
      <c r="M548" s="221"/>
      <c r="N548" s="221"/>
      <c r="O548" s="221"/>
      <c r="P548" s="221"/>
      <c r="Q548" s="221"/>
      <c r="R548" s="221"/>
      <c r="S548" s="221"/>
      <c r="T548" s="221"/>
      <c r="U548" s="221"/>
      <c r="V548" s="221"/>
      <c r="W548" s="221"/>
      <c r="X548" s="221"/>
      <c r="Y548" s="221"/>
      <c r="Z548" s="221"/>
    </row>
    <row r="549" spans="1:26" ht="18.75" customHeight="1">
      <c r="A549" s="221"/>
      <c r="B549" s="221"/>
      <c r="C549" s="221"/>
      <c r="D549" s="221"/>
      <c r="E549" s="221"/>
      <c r="F549" s="221"/>
      <c r="G549" s="221"/>
      <c r="H549" s="221"/>
      <c r="I549" s="221"/>
      <c r="J549" s="221"/>
      <c r="K549" s="221"/>
      <c r="L549" s="221"/>
      <c r="M549" s="221"/>
      <c r="N549" s="221"/>
      <c r="O549" s="221"/>
      <c r="P549" s="221"/>
      <c r="Q549" s="221"/>
      <c r="R549" s="221"/>
      <c r="S549" s="221"/>
      <c r="T549" s="221"/>
      <c r="U549" s="221"/>
      <c r="V549" s="221"/>
      <c r="W549" s="221"/>
      <c r="X549" s="221"/>
      <c r="Y549" s="221"/>
      <c r="Z549" s="221"/>
    </row>
    <row r="550" spans="1:26" ht="18.75" customHeight="1">
      <c r="A550" s="221"/>
      <c r="B550" s="221"/>
      <c r="C550" s="221"/>
      <c r="D550" s="221"/>
      <c r="E550" s="221"/>
      <c r="F550" s="221"/>
      <c r="G550" s="221"/>
      <c r="H550" s="221"/>
      <c r="I550" s="221"/>
      <c r="J550" s="221"/>
      <c r="K550" s="221"/>
      <c r="L550" s="221"/>
      <c r="M550" s="221"/>
      <c r="N550" s="221"/>
      <c r="O550" s="221"/>
      <c r="P550" s="221"/>
      <c r="Q550" s="221"/>
      <c r="R550" s="221"/>
      <c r="S550" s="221"/>
      <c r="T550" s="221"/>
      <c r="U550" s="221"/>
      <c r="V550" s="221"/>
      <c r="W550" s="221"/>
      <c r="X550" s="221"/>
      <c r="Y550" s="221"/>
      <c r="Z550" s="221"/>
    </row>
    <row r="551" spans="1:26" ht="18.75" customHeight="1">
      <c r="A551" s="221"/>
      <c r="B551" s="221"/>
      <c r="C551" s="221"/>
      <c r="D551" s="221"/>
      <c r="E551" s="221"/>
      <c r="F551" s="221"/>
      <c r="G551" s="221"/>
      <c r="H551" s="221"/>
      <c r="I551" s="221"/>
      <c r="J551" s="221"/>
      <c r="K551" s="221"/>
      <c r="L551" s="221"/>
      <c r="M551" s="221"/>
      <c r="N551" s="221"/>
      <c r="O551" s="221"/>
      <c r="P551" s="221"/>
      <c r="Q551" s="221"/>
      <c r="R551" s="221"/>
      <c r="S551" s="221"/>
      <c r="T551" s="221"/>
      <c r="U551" s="221"/>
      <c r="V551" s="221"/>
      <c r="W551" s="221"/>
      <c r="X551" s="221"/>
      <c r="Y551" s="221"/>
      <c r="Z551" s="221"/>
    </row>
    <row r="552" spans="1:26" ht="18.75" customHeight="1">
      <c r="A552" s="221"/>
      <c r="B552" s="221"/>
      <c r="C552" s="221"/>
      <c r="D552" s="221"/>
      <c r="E552" s="221"/>
      <c r="F552" s="221"/>
      <c r="G552" s="221"/>
      <c r="H552" s="221"/>
      <c r="I552" s="221"/>
      <c r="J552" s="221"/>
      <c r="K552" s="221"/>
      <c r="L552" s="221"/>
      <c r="M552" s="221"/>
      <c r="N552" s="221"/>
      <c r="O552" s="221"/>
      <c r="P552" s="221"/>
      <c r="Q552" s="221"/>
      <c r="R552" s="221"/>
      <c r="S552" s="221"/>
      <c r="T552" s="221"/>
      <c r="U552" s="221"/>
      <c r="V552" s="221"/>
      <c r="W552" s="221"/>
      <c r="X552" s="221"/>
      <c r="Y552" s="221"/>
      <c r="Z552" s="221"/>
    </row>
    <row r="553" spans="1:26" ht="18.75" customHeight="1">
      <c r="A553" s="221"/>
      <c r="B553" s="221"/>
      <c r="C553" s="221"/>
      <c r="D553" s="221"/>
      <c r="E553" s="221"/>
      <c r="F553" s="221"/>
      <c r="G553" s="221"/>
      <c r="H553" s="221"/>
      <c r="I553" s="221"/>
      <c r="J553" s="221"/>
      <c r="K553" s="221"/>
      <c r="L553" s="221"/>
      <c r="M553" s="221"/>
      <c r="N553" s="221"/>
      <c r="O553" s="221"/>
      <c r="P553" s="221"/>
      <c r="Q553" s="221"/>
      <c r="R553" s="221"/>
      <c r="S553" s="221"/>
      <c r="T553" s="221"/>
      <c r="U553" s="221"/>
      <c r="V553" s="221"/>
      <c r="W553" s="221"/>
      <c r="X553" s="221"/>
      <c r="Y553" s="221"/>
      <c r="Z553" s="221"/>
    </row>
    <row r="554" spans="1:26" ht="18.75" customHeight="1">
      <c r="A554" s="221"/>
      <c r="B554" s="221"/>
      <c r="C554" s="221"/>
      <c r="D554" s="221"/>
      <c r="E554" s="221"/>
      <c r="F554" s="221"/>
      <c r="G554" s="221"/>
      <c r="H554" s="221"/>
      <c r="I554" s="221"/>
      <c r="J554" s="221"/>
      <c r="K554" s="221"/>
      <c r="L554" s="221"/>
      <c r="M554" s="221"/>
      <c r="N554" s="221"/>
      <c r="O554" s="221"/>
      <c r="P554" s="221"/>
      <c r="Q554" s="221"/>
      <c r="R554" s="221"/>
      <c r="S554" s="221"/>
      <c r="T554" s="221"/>
      <c r="U554" s="221"/>
      <c r="V554" s="221"/>
      <c r="W554" s="221"/>
      <c r="X554" s="221"/>
      <c r="Y554" s="221"/>
      <c r="Z554" s="221"/>
    </row>
    <row r="555" spans="1:26" ht="18.75" customHeight="1">
      <c r="A555" s="221"/>
      <c r="B555" s="221"/>
      <c r="C555" s="221"/>
      <c r="D555" s="221"/>
      <c r="E555" s="221"/>
      <c r="F555" s="221"/>
      <c r="G555" s="221"/>
      <c r="H555" s="221"/>
      <c r="I555" s="221"/>
      <c r="J555" s="221"/>
      <c r="K555" s="221"/>
      <c r="L555" s="221"/>
      <c r="M555" s="221"/>
      <c r="N555" s="221"/>
      <c r="O555" s="221"/>
      <c r="P555" s="221"/>
      <c r="Q555" s="221"/>
      <c r="R555" s="221"/>
      <c r="S555" s="221"/>
      <c r="T555" s="221"/>
      <c r="U555" s="221"/>
      <c r="V555" s="221"/>
      <c r="W555" s="221"/>
      <c r="X555" s="221"/>
      <c r="Y555" s="221"/>
      <c r="Z555" s="221"/>
    </row>
    <row r="556" spans="1:26" ht="18.75" customHeight="1">
      <c r="A556" s="221"/>
      <c r="B556" s="221"/>
      <c r="C556" s="221"/>
      <c r="D556" s="221"/>
      <c r="E556" s="221"/>
      <c r="F556" s="221"/>
      <c r="G556" s="221"/>
      <c r="H556" s="221"/>
      <c r="I556" s="221"/>
      <c r="J556" s="221"/>
      <c r="K556" s="221"/>
      <c r="L556" s="221"/>
      <c r="M556" s="221"/>
      <c r="N556" s="221"/>
      <c r="O556" s="221"/>
      <c r="P556" s="221"/>
      <c r="Q556" s="221"/>
      <c r="R556" s="221"/>
      <c r="S556" s="221"/>
      <c r="T556" s="221"/>
      <c r="U556" s="221"/>
      <c r="V556" s="221"/>
      <c r="W556" s="221"/>
      <c r="X556" s="221"/>
      <c r="Y556" s="221"/>
      <c r="Z556" s="221"/>
    </row>
    <row r="557" spans="1:26" ht="18.75" customHeight="1">
      <c r="A557" s="221"/>
      <c r="B557" s="221"/>
      <c r="C557" s="221"/>
      <c r="D557" s="221"/>
      <c r="E557" s="221"/>
      <c r="F557" s="221"/>
      <c r="G557" s="221"/>
      <c r="H557" s="221"/>
      <c r="I557" s="221"/>
      <c r="J557" s="221"/>
      <c r="K557" s="221"/>
      <c r="L557" s="221"/>
      <c r="M557" s="221"/>
      <c r="N557" s="221"/>
      <c r="O557" s="221"/>
      <c r="P557" s="221"/>
      <c r="Q557" s="221"/>
      <c r="R557" s="221"/>
      <c r="S557" s="221"/>
      <c r="T557" s="221"/>
      <c r="U557" s="221"/>
      <c r="V557" s="221"/>
      <c r="W557" s="221"/>
      <c r="X557" s="221"/>
      <c r="Y557" s="221"/>
      <c r="Z557" s="221"/>
    </row>
    <row r="558" spans="1:26" ht="18.75" customHeight="1">
      <c r="A558" s="221"/>
      <c r="B558" s="221"/>
      <c r="C558" s="221"/>
      <c r="D558" s="221"/>
      <c r="E558" s="221"/>
      <c r="F558" s="221"/>
      <c r="G558" s="221"/>
      <c r="H558" s="221"/>
      <c r="I558" s="221"/>
      <c r="J558" s="221"/>
      <c r="K558" s="221"/>
      <c r="L558" s="221"/>
      <c r="M558" s="221"/>
      <c r="N558" s="221"/>
      <c r="O558" s="221"/>
      <c r="P558" s="221"/>
      <c r="Q558" s="221"/>
      <c r="R558" s="221"/>
      <c r="S558" s="221"/>
      <c r="T558" s="221"/>
      <c r="U558" s="221"/>
      <c r="V558" s="221"/>
      <c r="W558" s="221"/>
      <c r="X558" s="221"/>
      <c r="Y558" s="221"/>
      <c r="Z558" s="221"/>
    </row>
    <row r="559" spans="1:26" ht="18.75" customHeight="1">
      <c r="A559" s="221"/>
      <c r="B559" s="221"/>
      <c r="C559" s="221"/>
      <c r="D559" s="221"/>
      <c r="E559" s="221"/>
      <c r="F559" s="221"/>
      <c r="G559" s="221"/>
      <c r="H559" s="221"/>
      <c r="I559" s="221"/>
      <c r="J559" s="221"/>
      <c r="K559" s="221"/>
      <c r="L559" s="221"/>
      <c r="M559" s="221"/>
      <c r="N559" s="221"/>
      <c r="O559" s="221"/>
      <c r="P559" s="221"/>
      <c r="Q559" s="221"/>
      <c r="R559" s="221"/>
      <c r="S559" s="221"/>
      <c r="T559" s="221"/>
      <c r="U559" s="221"/>
      <c r="V559" s="221"/>
      <c r="W559" s="221"/>
      <c r="X559" s="221"/>
      <c r="Y559" s="221"/>
      <c r="Z559" s="221"/>
    </row>
    <row r="560" spans="1:26" ht="18.75" customHeight="1">
      <c r="A560" s="221"/>
      <c r="B560" s="221"/>
      <c r="C560" s="221"/>
      <c r="D560" s="221"/>
      <c r="E560" s="221"/>
      <c r="F560" s="221"/>
      <c r="G560" s="221"/>
      <c r="H560" s="221"/>
      <c r="I560" s="221"/>
      <c r="J560" s="221"/>
      <c r="K560" s="221"/>
      <c r="L560" s="221"/>
      <c r="M560" s="221"/>
      <c r="N560" s="221"/>
      <c r="O560" s="221"/>
      <c r="P560" s="221"/>
      <c r="Q560" s="221"/>
      <c r="R560" s="221"/>
      <c r="S560" s="221"/>
      <c r="T560" s="221"/>
      <c r="U560" s="221"/>
      <c r="V560" s="221"/>
      <c r="W560" s="221"/>
      <c r="X560" s="221"/>
      <c r="Y560" s="221"/>
      <c r="Z560" s="221"/>
    </row>
    <row r="561" spans="1:26" ht="18.75" customHeight="1">
      <c r="A561" s="221"/>
      <c r="B561" s="221"/>
      <c r="C561" s="221"/>
      <c r="D561" s="221"/>
      <c r="E561" s="221"/>
      <c r="F561" s="221"/>
      <c r="G561" s="221"/>
      <c r="H561" s="221"/>
      <c r="I561" s="221"/>
      <c r="J561" s="221"/>
      <c r="K561" s="221"/>
      <c r="L561" s="221"/>
      <c r="M561" s="221"/>
      <c r="N561" s="221"/>
      <c r="O561" s="221"/>
      <c r="P561" s="221"/>
      <c r="Q561" s="221"/>
      <c r="R561" s="221"/>
      <c r="S561" s="221"/>
      <c r="T561" s="221"/>
      <c r="U561" s="221"/>
      <c r="V561" s="221"/>
      <c r="W561" s="221"/>
      <c r="X561" s="221"/>
      <c r="Y561" s="221"/>
      <c r="Z561" s="221"/>
    </row>
    <row r="562" spans="1:26" ht="18.75" customHeight="1">
      <c r="A562" s="221"/>
      <c r="B562" s="221"/>
      <c r="C562" s="221"/>
      <c r="D562" s="221"/>
      <c r="E562" s="221"/>
      <c r="F562" s="221"/>
      <c r="G562" s="221"/>
      <c r="H562" s="221"/>
      <c r="I562" s="221"/>
      <c r="J562" s="221"/>
      <c r="K562" s="221"/>
      <c r="L562" s="221"/>
      <c r="M562" s="221"/>
      <c r="N562" s="221"/>
      <c r="O562" s="221"/>
      <c r="P562" s="221"/>
      <c r="Q562" s="221"/>
      <c r="R562" s="221"/>
      <c r="S562" s="221"/>
      <c r="T562" s="221"/>
      <c r="U562" s="221"/>
      <c r="V562" s="221"/>
      <c r="W562" s="221"/>
      <c r="X562" s="221"/>
      <c r="Y562" s="221"/>
      <c r="Z562" s="221"/>
    </row>
    <row r="563" spans="1:26" ht="18.75" customHeight="1">
      <c r="A563" s="221"/>
      <c r="B563" s="221"/>
      <c r="C563" s="221"/>
      <c r="D563" s="221"/>
      <c r="E563" s="221"/>
      <c r="F563" s="221"/>
      <c r="G563" s="221"/>
      <c r="H563" s="221"/>
      <c r="I563" s="221"/>
      <c r="J563" s="221"/>
      <c r="K563" s="221"/>
      <c r="L563" s="221"/>
      <c r="M563" s="221"/>
      <c r="N563" s="221"/>
      <c r="O563" s="221"/>
      <c r="P563" s="221"/>
      <c r="Q563" s="221"/>
      <c r="R563" s="221"/>
      <c r="S563" s="221"/>
      <c r="T563" s="221"/>
      <c r="U563" s="221"/>
      <c r="V563" s="221"/>
      <c r="W563" s="221"/>
      <c r="X563" s="221"/>
      <c r="Y563" s="221"/>
      <c r="Z563" s="221"/>
    </row>
    <row r="564" spans="1:26" ht="18.75" customHeight="1">
      <c r="A564" s="221"/>
      <c r="B564" s="221"/>
      <c r="C564" s="221"/>
      <c r="D564" s="221"/>
      <c r="E564" s="221"/>
      <c r="F564" s="221"/>
      <c r="G564" s="221"/>
      <c r="H564" s="221"/>
      <c r="I564" s="221"/>
      <c r="J564" s="221"/>
      <c r="K564" s="221"/>
      <c r="L564" s="221"/>
      <c r="M564" s="221"/>
      <c r="N564" s="221"/>
      <c r="O564" s="221"/>
      <c r="P564" s="221"/>
      <c r="Q564" s="221"/>
      <c r="R564" s="221"/>
      <c r="S564" s="221"/>
      <c r="T564" s="221"/>
      <c r="U564" s="221"/>
      <c r="V564" s="221"/>
      <c r="W564" s="221"/>
      <c r="X564" s="221"/>
      <c r="Y564" s="221"/>
      <c r="Z564" s="221"/>
    </row>
    <row r="565" spans="1:26" ht="18.75" customHeight="1">
      <c r="A565" s="221"/>
      <c r="B565" s="221"/>
      <c r="C565" s="221"/>
      <c r="D565" s="221"/>
      <c r="E565" s="221"/>
      <c r="F565" s="221"/>
      <c r="G565" s="221"/>
      <c r="H565" s="221"/>
      <c r="I565" s="221"/>
      <c r="J565" s="221"/>
      <c r="K565" s="221"/>
      <c r="L565" s="221"/>
      <c r="M565" s="221"/>
      <c r="N565" s="221"/>
      <c r="O565" s="221"/>
      <c r="P565" s="221"/>
      <c r="Q565" s="221"/>
      <c r="R565" s="221"/>
      <c r="S565" s="221"/>
      <c r="T565" s="221"/>
      <c r="U565" s="221"/>
      <c r="V565" s="221"/>
      <c r="W565" s="221"/>
      <c r="X565" s="221"/>
      <c r="Y565" s="221"/>
      <c r="Z565" s="221"/>
    </row>
    <row r="566" spans="1:26" ht="18.75" customHeight="1">
      <c r="A566" s="221"/>
      <c r="B566" s="221"/>
      <c r="C566" s="221"/>
      <c r="D566" s="221"/>
      <c r="E566" s="221"/>
      <c r="F566" s="221"/>
      <c r="G566" s="221"/>
      <c r="H566" s="221"/>
      <c r="I566" s="221"/>
      <c r="J566" s="221"/>
      <c r="K566" s="221"/>
      <c r="L566" s="221"/>
      <c r="M566" s="221"/>
      <c r="N566" s="221"/>
      <c r="O566" s="221"/>
      <c r="P566" s="221"/>
      <c r="Q566" s="221"/>
      <c r="R566" s="221"/>
      <c r="S566" s="221"/>
      <c r="T566" s="221"/>
      <c r="U566" s="221"/>
      <c r="V566" s="221"/>
      <c r="W566" s="221"/>
      <c r="X566" s="221"/>
      <c r="Y566" s="221"/>
      <c r="Z566" s="221"/>
    </row>
    <row r="567" spans="1:26" ht="18.75" customHeight="1">
      <c r="A567" s="221"/>
      <c r="B567" s="221"/>
      <c r="C567" s="221"/>
      <c r="D567" s="221"/>
      <c r="E567" s="221"/>
      <c r="F567" s="221"/>
      <c r="G567" s="221"/>
      <c r="H567" s="221"/>
      <c r="I567" s="221"/>
      <c r="J567" s="221"/>
      <c r="K567" s="221"/>
      <c r="L567" s="221"/>
      <c r="M567" s="221"/>
      <c r="N567" s="221"/>
      <c r="O567" s="221"/>
      <c r="P567" s="221"/>
      <c r="Q567" s="221"/>
      <c r="R567" s="221"/>
      <c r="S567" s="221"/>
      <c r="T567" s="221"/>
      <c r="U567" s="221"/>
      <c r="V567" s="221"/>
      <c r="W567" s="221"/>
      <c r="X567" s="221"/>
      <c r="Y567" s="221"/>
      <c r="Z567" s="221"/>
    </row>
    <row r="568" spans="1:26" ht="18.75" customHeight="1">
      <c r="A568" s="221"/>
      <c r="B568" s="221"/>
      <c r="C568" s="221"/>
      <c r="D568" s="221"/>
      <c r="E568" s="221"/>
      <c r="F568" s="221"/>
      <c r="G568" s="221"/>
      <c r="H568" s="221"/>
      <c r="I568" s="221"/>
      <c r="J568" s="221"/>
      <c r="K568" s="221"/>
      <c r="L568" s="221"/>
      <c r="M568" s="221"/>
      <c r="N568" s="221"/>
      <c r="O568" s="221"/>
      <c r="P568" s="221"/>
      <c r="Q568" s="221"/>
      <c r="R568" s="221"/>
      <c r="S568" s="221"/>
      <c r="T568" s="221"/>
      <c r="U568" s="221"/>
      <c r="V568" s="221"/>
      <c r="W568" s="221"/>
      <c r="X568" s="221"/>
      <c r="Y568" s="221"/>
      <c r="Z568" s="221"/>
    </row>
    <row r="569" spans="1:26" ht="18.75" customHeight="1">
      <c r="A569" s="221"/>
      <c r="B569" s="221"/>
      <c r="C569" s="221"/>
      <c r="D569" s="221"/>
      <c r="E569" s="221"/>
      <c r="F569" s="221"/>
      <c r="G569" s="221"/>
      <c r="H569" s="221"/>
      <c r="I569" s="221"/>
      <c r="J569" s="221"/>
      <c r="K569" s="221"/>
      <c r="L569" s="221"/>
      <c r="M569" s="221"/>
      <c r="N569" s="221"/>
      <c r="O569" s="221"/>
      <c r="P569" s="221"/>
      <c r="Q569" s="221"/>
      <c r="R569" s="221"/>
      <c r="S569" s="221"/>
      <c r="T569" s="221"/>
      <c r="U569" s="221"/>
      <c r="V569" s="221"/>
      <c r="W569" s="221"/>
      <c r="X569" s="221"/>
      <c r="Y569" s="221"/>
      <c r="Z569" s="221"/>
    </row>
    <row r="570" spans="1:26" ht="18.75" customHeight="1">
      <c r="A570" s="221"/>
      <c r="B570" s="221"/>
      <c r="C570" s="221"/>
      <c r="D570" s="221"/>
      <c r="E570" s="221"/>
      <c r="F570" s="221"/>
      <c r="G570" s="221"/>
      <c r="H570" s="221"/>
      <c r="I570" s="221"/>
      <c r="J570" s="221"/>
      <c r="K570" s="221"/>
      <c r="L570" s="221"/>
      <c r="M570" s="221"/>
      <c r="N570" s="221"/>
      <c r="O570" s="221"/>
      <c r="P570" s="221"/>
      <c r="Q570" s="221"/>
      <c r="R570" s="221"/>
      <c r="S570" s="221"/>
      <c r="T570" s="221"/>
      <c r="U570" s="221"/>
      <c r="V570" s="221"/>
      <c r="W570" s="221"/>
      <c r="X570" s="221"/>
      <c r="Y570" s="221"/>
      <c r="Z570" s="221"/>
    </row>
    <row r="571" spans="1:26" ht="18.75" customHeight="1">
      <c r="A571" s="221"/>
      <c r="B571" s="221"/>
      <c r="C571" s="221"/>
      <c r="D571" s="221"/>
      <c r="E571" s="221"/>
      <c r="F571" s="221"/>
      <c r="G571" s="221"/>
      <c r="H571" s="221"/>
      <c r="I571" s="221"/>
      <c r="J571" s="221"/>
      <c r="K571" s="221"/>
      <c r="L571" s="221"/>
      <c r="M571" s="221"/>
      <c r="N571" s="221"/>
      <c r="O571" s="221"/>
      <c r="P571" s="221"/>
      <c r="Q571" s="221"/>
      <c r="R571" s="221"/>
      <c r="S571" s="221"/>
      <c r="T571" s="221"/>
      <c r="U571" s="221"/>
      <c r="V571" s="221"/>
      <c r="W571" s="221"/>
      <c r="X571" s="221"/>
      <c r="Y571" s="221"/>
      <c r="Z571" s="221"/>
    </row>
    <row r="572" spans="1:26" ht="18.75" customHeight="1">
      <c r="A572" s="221"/>
      <c r="B572" s="221"/>
      <c r="C572" s="221"/>
      <c r="D572" s="221"/>
      <c r="E572" s="221"/>
      <c r="F572" s="221"/>
      <c r="G572" s="221"/>
      <c r="H572" s="221"/>
      <c r="I572" s="221"/>
      <c r="J572" s="221"/>
      <c r="K572" s="221"/>
      <c r="L572" s="221"/>
      <c r="M572" s="221"/>
      <c r="N572" s="221"/>
      <c r="O572" s="221"/>
      <c r="P572" s="221"/>
      <c r="Q572" s="221"/>
      <c r="R572" s="221"/>
      <c r="S572" s="221"/>
      <c r="T572" s="221"/>
      <c r="U572" s="221"/>
      <c r="V572" s="221"/>
      <c r="W572" s="221"/>
      <c r="X572" s="221"/>
      <c r="Y572" s="221"/>
      <c r="Z572" s="221"/>
    </row>
    <row r="573" spans="1:26" ht="18.75" customHeight="1">
      <c r="A573" s="221"/>
      <c r="B573" s="221"/>
      <c r="C573" s="221"/>
      <c r="D573" s="221"/>
      <c r="E573" s="221"/>
      <c r="F573" s="221"/>
      <c r="G573" s="221"/>
      <c r="H573" s="221"/>
      <c r="I573" s="221"/>
      <c r="J573" s="221"/>
      <c r="K573" s="221"/>
      <c r="L573" s="221"/>
      <c r="M573" s="221"/>
      <c r="N573" s="221"/>
      <c r="O573" s="221"/>
      <c r="P573" s="221"/>
      <c r="Q573" s="221"/>
      <c r="R573" s="221"/>
      <c r="S573" s="221"/>
      <c r="T573" s="221"/>
      <c r="U573" s="221"/>
      <c r="V573" s="221"/>
      <c r="W573" s="221"/>
      <c r="X573" s="221"/>
      <c r="Y573" s="221"/>
      <c r="Z573" s="221"/>
    </row>
    <row r="574" spans="1:26" ht="18.75" customHeight="1">
      <c r="A574" s="221"/>
      <c r="B574" s="221"/>
      <c r="C574" s="221"/>
      <c r="D574" s="221"/>
      <c r="E574" s="221"/>
      <c r="F574" s="221"/>
      <c r="G574" s="221"/>
      <c r="H574" s="221"/>
      <c r="I574" s="221"/>
      <c r="J574" s="221"/>
      <c r="K574" s="221"/>
      <c r="L574" s="221"/>
      <c r="M574" s="221"/>
      <c r="N574" s="221"/>
      <c r="O574" s="221"/>
      <c r="P574" s="221"/>
      <c r="Q574" s="221"/>
      <c r="R574" s="221"/>
      <c r="S574" s="221"/>
      <c r="T574" s="221"/>
      <c r="U574" s="221"/>
      <c r="V574" s="221"/>
      <c r="W574" s="221"/>
      <c r="X574" s="221"/>
      <c r="Y574" s="221"/>
      <c r="Z574" s="221"/>
    </row>
    <row r="575" spans="1:26" ht="18.75" customHeight="1">
      <c r="A575" s="221"/>
      <c r="B575" s="221"/>
      <c r="C575" s="221"/>
      <c r="D575" s="221"/>
      <c r="E575" s="221"/>
      <c r="F575" s="221"/>
      <c r="G575" s="221"/>
      <c r="H575" s="221"/>
      <c r="I575" s="221"/>
      <c r="J575" s="221"/>
      <c r="K575" s="221"/>
      <c r="L575" s="221"/>
      <c r="M575" s="221"/>
      <c r="N575" s="221"/>
      <c r="O575" s="221"/>
      <c r="P575" s="221"/>
      <c r="Q575" s="221"/>
      <c r="R575" s="221"/>
      <c r="S575" s="221"/>
      <c r="T575" s="221"/>
      <c r="U575" s="221"/>
      <c r="V575" s="221"/>
      <c r="W575" s="221"/>
      <c r="X575" s="221"/>
      <c r="Y575" s="221"/>
      <c r="Z575" s="221"/>
    </row>
    <row r="576" spans="1:26" ht="18.75" customHeight="1">
      <c r="A576" s="221"/>
      <c r="B576" s="221"/>
      <c r="C576" s="221"/>
      <c r="D576" s="221"/>
      <c r="E576" s="221"/>
      <c r="F576" s="221"/>
      <c r="G576" s="221"/>
      <c r="H576" s="221"/>
      <c r="I576" s="221"/>
      <c r="J576" s="221"/>
      <c r="K576" s="221"/>
      <c r="L576" s="221"/>
      <c r="M576" s="221"/>
      <c r="N576" s="221"/>
      <c r="O576" s="221"/>
      <c r="P576" s="221"/>
      <c r="Q576" s="221"/>
      <c r="R576" s="221"/>
      <c r="S576" s="221"/>
      <c r="T576" s="221"/>
      <c r="U576" s="221"/>
      <c r="V576" s="221"/>
      <c r="W576" s="221"/>
      <c r="X576" s="221"/>
      <c r="Y576" s="221"/>
      <c r="Z576" s="221"/>
    </row>
    <row r="577" spans="1:26" ht="18.75" customHeight="1">
      <c r="A577" s="221"/>
      <c r="B577" s="221"/>
      <c r="C577" s="221"/>
      <c r="D577" s="221"/>
      <c r="E577" s="221"/>
      <c r="F577" s="221"/>
      <c r="G577" s="221"/>
      <c r="H577" s="221"/>
      <c r="I577" s="221"/>
      <c r="J577" s="221"/>
      <c r="K577" s="221"/>
      <c r="L577" s="221"/>
      <c r="M577" s="221"/>
      <c r="N577" s="221"/>
      <c r="O577" s="221"/>
      <c r="P577" s="221"/>
      <c r="Q577" s="221"/>
      <c r="R577" s="221"/>
      <c r="S577" s="221"/>
      <c r="T577" s="221"/>
      <c r="U577" s="221"/>
      <c r="V577" s="221"/>
      <c r="W577" s="221"/>
      <c r="X577" s="221"/>
      <c r="Y577" s="221"/>
      <c r="Z577" s="221"/>
    </row>
    <row r="578" spans="1:26" ht="18.75" customHeight="1">
      <c r="A578" s="221"/>
      <c r="B578" s="221"/>
      <c r="C578" s="221"/>
      <c r="D578" s="221"/>
      <c r="E578" s="221"/>
      <c r="F578" s="221"/>
      <c r="G578" s="221"/>
      <c r="H578" s="221"/>
      <c r="I578" s="221"/>
      <c r="J578" s="221"/>
      <c r="K578" s="221"/>
      <c r="L578" s="221"/>
      <c r="M578" s="221"/>
      <c r="N578" s="221"/>
      <c r="O578" s="221"/>
      <c r="P578" s="221"/>
      <c r="Q578" s="221"/>
      <c r="R578" s="221"/>
      <c r="S578" s="221"/>
      <c r="T578" s="221"/>
      <c r="U578" s="221"/>
      <c r="V578" s="221"/>
      <c r="W578" s="221"/>
      <c r="X578" s="221"/>
      <c r="Y578" s="221"/>
      <c r="Z578" s="221"/>
    </row>
    <row r="579" spans="1:26" ht="18.75" customHeight="1">
      <c r="A579" s="221"/>
      <c r="B579" s="221"/>
      <c r="C579" s="221"/>
      <c r="D579" s="221"/>
      <c r="E579" s="221"/>
      <c r="F579" s="221"/>
      <c r="G579" s="221"/>
      <c r="H579" s="221"/>
      <c r="I579" s="221"/>
      <c r="J579" s="221"/>
      <c r="K579" s="221"/>
      <c r="L579" s="221"/>
      <c r="M579" s="221"/>
      <c r="N579" s="221"/>
      <c r="O579" s="221"/>
      <c r="P579" s="221"/>
      <c r="Q579" s="221"/>
      <c r="R579" s="221"/>
      <c r="S579" s="221"/>
      <c r="T579" s="221"/>
      <c r="U579" s="221"/>
      <c r="V579" s="221"/>
      <c r="W579" s="221"/>
      <c r="X579" s="221"/>
      <c r="Y579" s="221"/>
      <c r="Z579" s="221"/>
    </row>
    <row r="580" spans="1:26" ht="18.75" customHeight="1">
      <c r="A580" s="221"/>
      <c r="B580" s="221"/>
      <c r="C580" s="221"/>
      <c r="D580" s="221"/>
      <c r="E580" s="221"/>
      <c r="F580" s="221"/>
      <c r="G580" s="221"/>
      <c r="H580" s="221"/>
      <c r="I580" s="221"/>
      <c r="J580" s="221"/>
      <c r="K580" s="221"/>
      <c r="L580" s="221"/>
      <c r="M580" s="221"/>
      <c r="N580" s="221"/>
      <c r="O580" s="221"/>
      <c r="P580" s="221"/>
      <c r="Q580" s="221"/>
      <c r="R580" s="221"/>
      <c r="S580" s="221"/>
      <c r="T580" s="221"/>
      <c r="U580" s="221"/>
      <c r="V580" s="221"/>
      <c r="W580" s="221"/>
      <c r="X580" s="221"/>
      <c r="Y580" s="221"/>
      <c r="Z580" s="221"/>
    </row>
    <row r="581" spans="1:26" ht="18.75" customHeight="1">
      <c r="A581" s="221"/>
      <c r="B581" s="221"/>
      <c r="C581" s="221"/>
      <c r="D581" s="221"/>
      <c r="E581" s="221"/>
      <c r="F581" s="221"/>
      <c r="G581" s="221"/>
      <c r="H581" s="221"/>
      <c r="I581" s="221"/>
      <c r="J581" s="221"/>
      <c r="K581" s="221"/>
      <c r="L581" s="221"/>
      <c r="M581" s="221"/>
      <c r="N581" s="221"/>
      <c r="O581" s="221"/>
      <c r="P581" s="221"/>
      <c r="Q581" s="221"/>
      <c r="R581" s="221"/>
      <c r="S581" s="221"/>
      <c r="T581" s="221"/>
      <c r="U581" s="221"/>
      <c r="V581" s="221"/>
      <c r="W581" s="221"/>
      <c r="X581" s="221"/>
      <c r="Y581" s="221"/>
      <c r="Z581" s="221"/>
    </row>
    <row r="582" spans="1:26" ht="18.75" customHeight="1">
      <c r="A582" s="221"/>
      <c r="B582" s="221"/>
      <c r="C582" s="221"/>
      <c r="D582" s="221"/>
      <c r="E582" s="221"/>
      <c r="F582" s="221"/>
      <c r="G582" s="221"/>
      <c r="H582" s="221"/>
      <c r="I582" s="221"/>
      <c r="J582" s="221"/>
      <c r="K582" s="221"/>
      <c r="L582" s="221"/>
      <c r="M582" s="221"/>
      <c r="N582" s="221"/>
      <c r="O582" s="221"/>
      <c r="P582" s="221"/>
      <c r="Q582" s="221"/>
      <c r="R582" s="221"/>
      <c r="S582" s="221"/>
      <c r="T582" s="221"/>
      <c r="U582" s="221"/>
      <c r="V582" s="221"/>
      <c r="W582" s="221"/>
      <c r="X582" s="221"/>
      <c r="Y582" s="221"/>
      <c r="Z582" s="221"/>
    </row>
    <row r="583" spans="1:26" ht="18.75" customHeight="1">
      <c r="A583" s="221"/>
      <c r="B583" s="221"/>
      <c r="C583" s="221"/>
      <c r="D583" s="221"/>
      <c r="E583" s="221"/>
      <c r="F583" s="221"/>
      <c r="G583" s="221"/>
      <c r="H583" s="221"/>
      <c r="I583" s="221"/>
      <c r="J583" s="221"/>
      <c r="K583" s="221"/>
      <c r="L583" s="221"/>
      <c r="M583" s="221"/>
      <c r="N583" s="221"/>
      <c r="O583" s="221"/>
      <c r="P583" s="221"/>
      <c r="Q583" s="221"/>
      <c r="R583" s="221"/>
      <c r="S583" s="221"/>
      <c r="T583" s="221"/>
      <c r="U583" s="221"/>
      <c r="V583" s="221"/>
      <c r="W583" s="221"/>
      <c r="X583" s="221"/>
      <c r="Y583" s="221"/>
      <c r="Z583" s="221"/>
    </row>
    <row r="584" spans="1:26" ht="18.75" customHeight="1">
      <c r="A584" s="221"/>
      <c r="B584" s="221"/>
      <c r="C584" s="221"/>
      <c r="D584" s="221"/>
      <c r="E584" s="221"/>
      <c r="F584" s="221"/>
      <c r="G584" s="221"/>
      <c r="H584" s="221"/>
      <c r="I584" s="221"/>
      <c r="J584" s="221"/>
      <c r="K584" s="221"/>
      <c r="L584" s="221"/>
      <c r="M584" s="221"/>
      <c r="N584" s="221"/>
      <c r="O584" s="221"/>
      <c r="P584" s="221"/>
      <c r="Q584" s="221"/>
      <c r="R584" s="221"/>
      <c r="S584" s="221"/>
      <c r="T584" s="221"/>
      <c r="U584" s="221"/>
      <c r="V584" s="221"/>
      <c r="W584" s="221"/>
      <c r="X584" s="221"/>
      <c r="Y584" s="221"/>
      <c r="Z584" s="221"/>
    </row>
    <row r="585" spans="1:26" ht="18.75" customHeight="1">
      <c r="A585" s="221"/>
      <c r="B585" s="221"/>
      <c r="C585" s="221"/>
      <c r="D585" s="221"/>
      <c r="E585" s="221"/>
      <c r="F585" s="221"/>
      <c r="G585" s="221"/>
      <c r="H585" s="221"/>
      <c r="I585" s="221"/>
      <c r="J585" s="221"/>
      <c r="K585" s="221"/>
      <c r="L585" s="221"/>
      <c r="M585" s="221"/>
      <c r="N585" s="221"/>
      <c r="O585" s="221"/>
      <c r="P585" s="221"/>
      <c r="Q585" s="221"/>
      <c r="R585" s="221"/>
      <c r="S585" s="221"/>
      <c r="T585" s="221"/>
      <c r="U585" s="221"/>
      <c r="V585" s="221"/>
      <c r="W585" s="221"/>
      <c r="X585" s="221"/>
      <c r="Y585" s="221"/>
      <c r="Z585" s="221"/>
    </row>
    <row r="586" spans="1:26" ht="18.75" customHeight="1">
      <c r="A586" s="221"/>
      <c r="B586" s="221"/>
      <c r="C586" s="221"/>
      <c r="D586" s="221"/>
      <c r="E586" s="221"/>
      <c r="F586" s="221"/>
      <c r="G586" s="221"/>
      <c r="H586" s="221"/>
      <c r="I586" s="221"/>
      <c r="J586" s="221"/>
      <c r="K586" s="221"/>
      <c r="L586" s="221"/>
      <c r="M586" s="221"/>
      <c r="N586" s="221"/>
      <c r="O586" s="221"/>
      <c r="P586" s="221"/>
      <c r="Q586" s="221"/>
      <c r="R586" s="221"/>
      <c r="S586" s="221"/>
      <c r="T586" s="221"/>
      <c r="U586" s="221"/>
      <c r="V586" s="221"/>
      <c r="W586" s="221"/>
      <c r="X586" s="221"/>
      <c r="Y586" s="221"/>
      <c r="Z586" s="221"/>
    </row>
    <row r="587" spans="1:26" ht="18.75" customHeight="1">
      <c r="A587" s="221"/>
      <c r="B587" s="221"/>
      <c r="C587" s="221"/>
      <c r="D587" s="221"/>
      <c r="E587" s="221"/>
      <c r="F587" s="221"/>
      <c r="G587" s="221"/>
      <c r="H587" s="221"/>
      <c r="I587" s="221"/>
      <c r="J587" s="221"/>
      <c r="K587" s="221"/>
      <c r="L587" s="221"/>
      <c r="M587" s="221"/>
      <c r="N587" s="221"/>
      <c r="O587" s="221"/>
      <c r="P587" s="221"/>
      <c r="Q587" s="221"/>
      <c r="R587" s="221"/>
      <c r="S587" s="221"/>
      <c r="T587" s="221"/>
      <c r="U587" s="221"/>
      <c r="V587" s="221"/>
      <c r="W587" s="221"/>
      <c r="X587" s="221"/>
      <c r="Y587" s="221"/>
      <c r="Z587" s="221"/>
    </row>
    <row r="588" spans="1:26" ht="18.75" customHeight="1">
      <c r="A588" s="221"/>
      <c r="B588" s="221"/>
      <c r="C588" s="221"/>
      <c r="D588" s="221"/>
      <c r="E588" s="221"/>
      <c r="F588" s="221"/>
      <c r="G588" s="221"/>
      <c r="H588" s="221"/>
      <c r="I588" s="221"/>
      <c r="J588" s="221"/>
      <c r="K588" s="221"/>
      <c r="L588" s="221"/>
      <c r="M588" s="221"/>
      <c r="N588" s="221"/>
      <c r="O588" s="221"/>
      <c r="P588" s="221"/>
      <c r="Q588" s="221"/>
      <c r="R588" s="221"/>
      <c r="S588" s="221"/>
      <c r="T588" s="221"/>
      <c r="U588" s="221"/>
      <c r="V588" s="221"/>
      <c r="W588" s="221"/>
      <c r="X588" s="221"/>
      <c r="Y588" s="221"/>
      <c r="Z588" s="221"/>
    </row>
    <row r="589" spans="1:26" ht="18.75" customHeight="1">
      <c r="A589" s="221"/>
      <c r="B589" s="221"/>
      <c r="C589" s="221"/>
      <c r="D589" s="221"/>
      <c r="E589" s="221"/>
      <c r="F589" s="221"/>
      <c r="G589" s="221"/>
      <c r="H589" s="221"/>
      <c r="I589" s="221"/>
      <c r="J589" s="221"/>
      <c r="K589" s="221"/>
      <c r="L589" s="221"/>
      <c r="M589" s="221"/>
      <c r="N589" s="221"/>
      <c r="O589" s="221"/>
      <c r="P589" s="221"/>
      <c r="Q589" s="221"/>
      <c r="R589" s="221"/>
      <c r="S589" s="221"/>
      <c r="T589" s="221"/>
      <c r="U589" s="221"/>
      <c r="V589" s="221"/>
      <c r="W589" s="221"/>
      <c r="X589" s="221"/>
      <c r="Y589" s="221"/>
      <c r="Z589" s="221"/>
    </row>
    <row r="590" spans="1:26" ht="18.75" customHeight="1">
      <c r="A590" s="221"/>
      <c r="B590" s="221"/>
      <c r="C590" s="221"/>
      <c r="D590" s="221"/>
      <c r="E590" s="221"/>
      <c r="F590" s="221"/>
      <c r="G590" s="221"/>
      <c r="H590" s="221"/>
      <c r="I590" s="221"/>
      <c r="J590" s="221"/>
      <c r="K590" s="221"/>
      <c r="L590" s="221"/>
      <c r="M590" s="221"/>
      <c r="N590" s="221"/>
      <c r="O590" s="221"/>
      <c r="P590" s="221"/>
      <c r="Q590" s="221"/>
      <c r="R590" s="221"/>
      <c r="S590" s="221"/>
      <c r="T590" s="221"/>
      <c r="U590" s="221"/>
      <c r="V590" s="221"/>
      <c r="W590" s="221"/>
      <c r="X590" s="221"/>
      <c r="Y590" s="221"/>
      <c r="Z590" s="221"/>
    </row>
    <row r="591" spans="1:26" ht="18.75" customHeight="1">
      <c r="A591" s="221"/>
      <c r="B591" s="221"/>
      <c r="C591" s="221"/>
      <c r="D591" s="221"/>
      <c r="E591" s="221"/>
      <c r="F591" s="221"/>
      <c r="G591" s="221"/>
      <c r="H591" s="221"/>
      <c r="I591" s="221"/>
      <c r="J591" s="221"/>
      <c r="K591" s="221"/>
      <c r="L591" s="221"/>
      <c r="M591" s="221"/>
      <c r="N591" s="221"/>
      <c r="O591" s="221"/>
      <c r="P591" s="221"/>
      <c r="Q591" s="221"/>
      <c r="R591" s="221"/>
      <c r="S591" s="221"/>
      <c r="T591" s="221"/>
      <c r="U591" s="221"/>
      <c r="V591" s="221"/>
      <c r="W591" s="221"/>
      <c r="X591" s="221"/>
      <c r="Y591" s="221"/>
      <c r="Z591" s="221"/>
    </row>
    <row r="592" spans="1:26" ht="18.75" customHeight="1">
      <c r="A592" s="221"/>
      <c r="B592" s="221"/>
      <c r="C592" s="221"/>
      <c r="D592" s="221"/>
      <c r="E592" s="221"/>
      <c r="F592" s="221"/>
      <c r="G592" s="221"/>
      <c r="H592" s="221"/>
      <c r="I592" s="221"/>
      <c r="J592" s="221"/>
      <c r="K592" s="221"/>
      <c r="L592" s="221"/>
      <c r="M592" s="221"/>
      <c r="N592" s="221"/>
      <c r="O592" s="221"/>
      <c r="P592" s="221"/>
      <c r="Q592" s="221"/>
      <c r="R592" s="221"/>
      <c r="S592" s="221"/>
      <c r="T592" s="221"/>
      <c r="U592" s="221"/>
      <c r="V592" s="221"/>
      <c r="W592" s="221"/>
      <c r="X592" s="221"/>
      <c r="Y592" s="221"/>
      <c r="Z592" s="221"/>
    </row>
    <row r="593" spans="1:26" ht="18.75" customHeight="1">
      <c r="A593" s="221"/>
      <c r="B593" s="221"/>
      <c r="C593" s="221"/>
      <c r="D593" s="221"/>
      <c r="E593" s="221"/>
      <c r="F593" s="221"/>
      <c r="G593" s="221"/>
      <c r="H593" s="221"/>
      <c r="I593" s="221"/>
      <c r="J593" s="221"/>
      <c r="K593" s="221"/>
      <c r="L593" s="221"/>
      <c r="M593" s="221"/>
      <c r="N593" s="221"/>
      <c r="O593" s="221"/>
      <c r="P593" s="221"/>
      <c r="Q593" s="221"/>
      <c r="R593" s="221"/>
      <c r="S593" s="221"/>
      <c r="T593" s="221"/>
      <c r="U593" s="221"/>
      <c r="V593" s="221"/>
      <c r="W593" s="221"/>
      <c r="X593" s="221"/>
      <c r="Y593" s="221"/>
      <c r="Z593" s="221"/>
    </row>
    <row r="594" spans="1:26" ht="18.75" customHeight="1">
      <c r="A594" s="221"/>
      <c r="B594" s="221"/>
      <c r="C594" s="221"/>
      <c r="D594" s="221"/>
      <c r="E594" s="221"/>
      <c r="F594" s="221"/>
      <c r="G594" s="221"/>
      <c r="H594" s="221"/>
      <c r="I594" s="221"/>
      <c r="J594" s="221"/>
      <c r="K594" s="221"/>
      <c r="L594" s="221"/>
      <c r="M594" s="221"/>
      <c r="N594" s="221"/>
      <c r="O594" s="221"/>
      <c r="P594" s="221"/>
      <c r="Q594" s="221"/>
      <c r="R594" s="221"/>
      <c r="S594" s="221"/>
      <c r="T594" s="221"/>
      <c r="U594" s="221"/>
      <c r="V594" s="221"/>
      <c r="W594" s="221"/>
      <c r="X594" s="221"/>
      <c r="Y594" s="221"/>
      <c r="Z594" s="221"/>
    </row>
    <row r="595" spans="1:26" ht="18.75" customHeight="1">
      <c r="A595" s="221"/>
      <c r="B595" s="221"/>
      <c r="C595" s="221"/>
      <c r="D595" s="221"/>
      <c r="E595" s="221"/>
      <c r="F595" s="221"/>
      <c r="G595" s="221"/>
      <c r="H595" s="221"/>
      <c r="I595" s="221"/>
      <c r="J595" s="221"/>
      <c r="K595" s="221"/>
      <c r="L595" s="221"/>
      <c r="M595" s="221"/>
      <c r="N595" s="221"/>
      <c r="O595" s="221"/>
      <c r="P595" s="221"/>
      <c r="Q595" s="221"/>
      <c r="R595" s="221"/>
      <c r="S595" s="221"/>
      <c r="T595" s="221"/>
      <c r="U595" s="221"/>
      <c r="V595" s="221"/>
      <c r="W595" s="221"/>
      <c r="X595" s="221"/>
      <c r="Y595" s="221"/>
      <c r="Z595" s="221"/>
    </row>
    <row r="596" spans="1:26" ht="18.75" customHeight="1">
      <c r="A596" s="221"/>
      <c r="B596" s="221"/>
      <c r="C596" s="221"/>
      <c r="D596" s="221"/>
      <c r="E596" s="221"/>
      <c r="F596" s="221"/>
      <c r="G596" s="221"/>
      <c r="H596" s="221"/>
      <c r="I596" s="221"/>
      <c r="J596" s="221"/>
      <c r="K596" s="221"/>
      <c r="L596" s="221"/>
      <c r="M596" s="221"/>
      <c r="N596" s="221"/>
      <c r="O596" s="221"/>
      <c r="P596" s="221"/>
      <c r="Q596" s="221"/>
      <c r="R596" s="221"/>
      <c r="S596" s="221"/>
      <c r="T596" s="221"/>
      <c r="U596" s="221"/>
      <c r="V596" s="221"/>
      <c r="W596" s="221"/>
      <c r="X596" s="221"/>
      <c r="Y596" s="221"/>
      <c r="Z596" s="221"/>
    </row>
    <row r="597" spans="1:26" ht="18.75" customHeight="1">
      <c r="A597" s="221"/>
      <c r="B597" s="221"/>
      <c r="C597" s="221"/>
      <c r="D597" s="221"/>
      <c r="E597" s="221"/>
      <c r="F597" s="221"/>
      <c r="G597" s="221"/>
      <c r="H597" s="221"/>
      <c r="I597" s="221"/>
      <c r="J597" s="221"/>
      <c r="K597" s="221"/>
      <c r="L597" s="221"/>
      <c r="M597" s="221"/>
      <c r="N597" s="221"/>
      <c r="O597" s="221"/>
      <c r="P597" s="221"/>
      <c r="Q597" s="221"/>
      <c r="R597" s="221"/>
      <c r="S597" s="221"/>
      <c r="T597" s="221"/>
      <c r="U597" s="221"/>
      <c r="V597" s="221"/>
      <c r="W597" s="221"/>
      <c r="X597" s="221"/>
      <c r="Y597" s="221"/>
      <c r="Z597" s="221"/>
    </row>
    <row r="598" spans="1:26" ht="18.75" customHeight="1">
      <c r="A598" s="221"/>
      <c r="B598" s="221"/>
      <c r="C598" s="221"/>
      <c r="D598" s="221"/>
      <c r="E598" s="221"/>
      <c r="F598" s="221"/>
      <c r="G598" s="221"/>
      <c r="H598" s="221"/>
      <c r="I598" s="221"/>
      <c r="J598" s="221"/>
      <c r="K598" s="221"/>
      <c r="L598" s="221"/>
      <c r="M598" s="221"/>
      <c r="N598" s="221"/>
      <c r="O598" s="221"/>
      <c r="P598" s="221"/>
      <c r="Q598" s="221"/>
      <c r="R598" s="221"/>
      <c r="S598" s="221"/>
      <c r="T598" s="221"/>
      <c r="U598" s="221"/>
      <c r="V598" s="221"/>
      <c r="W598" s="221"/>
      <c r="X598" s="221"/>
      <c r="Y598" s="221"/>
      <c r="Z598" s="221"/>
    </row>
    <row r="599" spans="1:26" ht="18.75" customHeight="1">
      <c r="A599" s="221"/>
      <c r="B599" s="221"/>
      <c r="C599" s="221"/>
      <c r="D599" s="221"/>
      <c r="E599" s="221"/>
      <c r="F599" s="221"/>
      <c r="G599" s="221"/>
      <c r="H599" s="221"/>
      <c r="I599" s="221"/>
      <c r="J599" s="221"/>
      <c r="K599" s="221"/>
      <c r="L599" s="221"/>
      <c r="M599" s="221"/>
      <c r="N599" s="221"/>
      <c r="O599" s="221"/>
      <c r="P599" s="221"/>
      <c r="Q599" s="221"/>
      <c r="R599" s="221"/>
      <c r="S599" s="221"/>
      <c r="T599" s="221"/>
      <c r="U599" s="221"/>
      <c r="V599" s="221"/>
      <c r="W599" s="221"/>
      <c r="X599" s="221"/>
      <c r="Y599" s="221"/>
      <c r="Z599" s="221"/>
    </row>
    <row r="600" spans="1:26" ht="18.75" customHeight="1">
      <c r="A600" s="221"/>
      <c r="B600" s="221"/>
      <c r="C600" s="221"/>
      <c r="D600" s="221"/>
      <c r="E600" s="221"/>
      <c r="F600" s="221"/>
      <c r="G600" s="221"/>
      <c r="H600" s="221"/>
      <c r="I600" s="221"/>
      <c r="J600" s="221"/>
      <c r="K600" s="221"/>
      <c r="L600" s="221"/>
      <c r="M600" s="221"/>
      <c r="N600" s="221"/>
      <c r="O600" s="221"/>
      <c r="P600" s="221"/>
      <c r="Q600" s="221"/>
      <c r="R600" s="221"/>
      <c r="S600" s="221"/>
      <c r="T600" s="221"/>
      <c r="U600" s="221"/>
      <c r="V600" s="221"/>
      <c r="W600" s="221"/>
      <c r="X600" s="221"/>
      <c r="Y600" s="221"/>
      <c r="Z600" s="221"/>
    </row>
    <row r="601" spans="1:26" ht="18.75" customHeight="1">
      <c r="A601" s="221"/>
      <c r="B601" s="221"/>
      <c r="C601" s="221"/>
      <c r="D601" s="221"/>
      <c r="E601" s="221"/>
      <c r="F601" s="221"/>
      <c r="G601" s="221"/>
      <c r="H601" s="221"/>
      <c r="I601" s="221"/>
      <c r="J601" s="221"/>
      <c r="K601" s="221"/>
      <c r="L601" s="221"/>
      <c r="M601" s="221"/>
      <c r="N601" s="221"/>
      <c r="O601" s="221"/>
      <c r="P601" s="221"/>
      <c r="Q601" s="221"/>
      <c r="R601" s="221"/>
      <c r="S601" s="221"/>
      <c r="T601" s="221"/>
      <c r="U601" s="221"/>
      <c r="V601" s="221"/>
      <c r="W601" s="221"/>
      <c r="X601" s="221"/>
      <c r="Y601" s="221"/>
      <c r="Z601" s="221"/>
    </row>
    <row r="602" spans="1:26" ht="18.75" customHeight="1">
      <c r="A602" s="221"/>
      <c r="B602" s="221"/>
      <c r="C602" s="221"/>
      <c r="D602" s="221"/>
      <c r="E602" s="221"/>
      <c r="F602" s="221"/>
      <c r="G602" s="221"/>
      <c r="H602" s="221"/>
      <c r="I602" s="221"/>
      <c r="J602" s="221"/>
      <c r="K602" s="221"/>
      <c r="L602" s="221"/>
      <c r="M602" s="221"/>
      <c r="N602" s="221"/>
      <c r="O602" s="221"/>
      <c r="P602" s="221"/>
      <c r="Q602" s="221"/>
      <c r="R602" s="221"/>
      <c r="S602" s="221"/>
      <c r="T602" s="221"/>
      <c r="U602" s="221"/>
      <c r="V602" s="221"/>
      <c r="W602" s="221"/>
      <c r="X602" s="221"/>
      <c r="Y602" s="221"/>
      <c r="Z602" s="221"/>
    </row>
    <row r="603" spans="1:26" ht="18.75" customHeight="1">
      <c r="A603" s="221"/>
      <c r="B603" s="221"/>
      <c r="C603" s="221"/>
      <c r="D603" s="221"/>
      <c r="E603" s="221"/>
      <c r="F603" s="221"/>
      <c r="G603" s="221"/>
      <c r="H603" s="221"/>
      <c r="I603" s="221"/>
      <c r="J603" s="221"/>
      <c r="K603" s="221"/>
      <c r="L603" s="221"/>
      <c r="M603" s="221"/>
      <c r="N603" s="221"/>
      <c r="O603" s="221"/>
      <c r="P603" s="221"/>
      <c r="Q603" s="221"/>
      <c r="R603" s="221"/>
      <c r="S603" s="221"/>
      <c r="T603" s="221"/>
      <c r="U603" s="221"/>
      <c r="V603" s="221"/>
      <c r="W603" s="221"/>
      <c r="X603" s="221"/>
      <c r="Y603" s="221"/>
      <c r="Z603" s="221"/>
    </row>
    <row r="604" spans="1:26" ht="18.75" customHeight="1">
      <c r="A604" s="221"/>
      <c r="B604" s="221"/>
      <c r="C604" s="221"/>
      <c r="D604" s="221"/>
      <c r="E604" s="221"/>
      <c r="F604" s="221"/>
      <c r="G604" s="221"/>
      <c r="H604" s="221"/>
      <c r="I604" s="221"/>
      <c r="J604" s="221"/>
      <c r="K604" s="221"/>
      <c r="L604" s="221"/>
      <c r="M604" s="221"/>
      <c r="N604" s="221"/>
      <c r="O604" s="221"/>
      <c r="P604" s="221"/>
      <c r="Q604" s="221"/>
      <c r="R604" s="221"/>
      <c r="S604" s="221"/>
      <c r="T604" s="221"/>
      <c r="U604" s="221"/>
      <c r="V604" s="221"/>
      <c r="W604" s="221"/>
      <c r="X604" s="221"/>
      <c r="Y604" s="221"/>
      <c r="Z604" s="221"/>
    </row>
    <row r="605" spans="1:26" ht="18.75" customHeight="1">
      <c r="A605" s="221"/>
      <c r="B605" s="221"/>
      <c r="C605" s="221"/>
      <c r="D605" s="221"/>
      <c r="E605" s="221"/>
      <c r="F605" s="221"/>
      <c r="G605" s="221"/>
      <c r="H605" s="221"/>
      <c r="I605" s="221"/>
      <c r="J605" s="221"/>
      <c r="K605" s="221"/>
      <c r="L605" s="221"/>
      <c r="M605" s="221"/>
      <c r="N605" s="221"/>
      <c r="O605" s="221"/>
      <c r="P605" s="221"/>
      <c r="Q605" s="221"/>
      <c r="R605" s="221"/>
      <c r="S605" s="221"/>
      <c r="T605" s="221"/>
      <c r="U605" s="221"/>
      <c r="V605" s="221"/>
      <c r="W605" s="221"/>
      <c r="X605" s="221"/>
      <c r="Y605" s="221"/>
      <c r="Z605" s="221"/>
    </row>
    <row r="606" spans="1:26" ht="18.75" customHeight="1">
      <c r="A606" s="221"/>
      <c r="B606" s="221"/>
      <c r="C606" s="221"/>
      <c r="D606" s="221"/>
      <c r="E606" s="221"/>
      <c r="F606" s="221"/>
      <c r="G606" s="221"/>
      <c r="H606" s="221"/>
      <c r="I606" s="221"/>
      <c r="J606" s="221"/>
      <c r="K606" s="221"/>
      <c r="L606" s="221"/>
      <c r="M606" s="221"/>
      <c r="N606" s="221"/>
      <c r="O606" s="221"/>
      <c r="P606" s="221"/>
      <c r="Q606" s="221"/>
      <c r="R606" s="221"/>
      <c r="S606" s="221"/>
      <c r="T606" s="221"/>
      <c r="U606" s="221"/>
      <c r="V606" s="221"/>
      <c r="W606" s="221"/>
      <c r="X606" s="221"/>
      <c r="Y606" s="221"/>
      <c r="Z606" s="221"/>
    </row>
    <row r="607" spans="1:26" ht="18.75" customHeight="1">
      <c r="A607" s="221"/>
      <c r="B607" s="221"/>
      <c r="C607" s="221"/>
      <c r="D607" s="221"/>
      <c r="E607" s="221"/>
      <c r="F607" s="221"/>
      <c r="G607" s="221"/>
      <c r="H607" s="221"/>
      <c r="I607" s="221"/>
      <c r="J607" s="221"/>
      <c r="K607" s="221"/>
      <c r="L607" s="221"/>
      <c r="M607" s="221"/>
      <c r="N607" s="221"/>
      <c r="O607" s="221"/>
      <c r="P607" s="221"/>
      <c r="Q607" s="221"/>
      <c r="R607" s="221"/>
      <c r="S607" s="221"/>
      <c r="T607" s="221"/>
      <c r="U607" s="221"/>
      <c r="V607" s="221"/>
      <c r="W607" s="221"/>
      <c r="X607" s="221"/>
      <c r="Y607" s="221"/>
      <c r="Z607" s="221"/>
    </row>
    <row r="608" spans="1:26" ht="18.75" customHeight="1">
      <c r="A608" s="221"/>
      <c r="B608" s="221"/>
      <c r="C608" s="221"/>
      <c r="D608" s="221"/>
      <c r="E608" s="221"/>
      <c r="F608" s="221"/>
      <c r="G608" s="221"/>
      <c r="H608" s="221"/>
      <c r="I608" s="221"/>
      <c r="J608" s="221"/>
      <c r="K608" s="221"/>
      <c r="L608" s="221"/>
      <c r="M608" s="221"/>
      <c r="N608" s="221"/>
      <c r="O608" s="221"/>
      <c r="P608" s="221"/>
      <c r="Q608" s="221"/>
      <c r="R608" s="221"/>
      <c r="S608" s="221"/>
      <c r="T608" s="221"/>
      <c r="U608" s="221"/>
      <c r="V608" s="221"/>
      <c r="W608" s="221"/>
      <c r="X608" s="221"/>
      <c r="Y608" s="221"/>
      <c r="Z608" s="221"/>
    </row>
    <row r="609" spans="1:26" ht="18.75" customHeight="1">
      <c r="A609" s="221"/>
      <c r="B609" s="221"/>
      <c r="C609" s="221"/>
      <c r="D609" s="221"/>
      <c r="E609" s="221"/>
      <c r="F609" s="221"/>
      <c r="G609" s="221"/>
      <c r="H609" s="221"/>
      <c r="I609" s="221"/>
      <c r="J609" s="221"/>
      <c r="K609" s="221"/>
      <c r="L609" s="221"/>
      <c r="M609" s="221"/>
      <c r="N609" s="221"/>
      <c r="O609" s="221"/>
      <c r="P609" s="221"/>
      <c r="Q609" s="221"/>
      <c r="R609" s="221"/>
      <c r="S609" s="221"/>
      <c r="T609" s="221"/>
      <c r="U609" s="221"/>
      <c r="V609" s="221"/>
      <c r="W609" s="221"/>
      <c r="X609" s="221"/>
      <c r="Y609" s="221"/>
      <c r="Z609" s="221"/>
    </row>
    <row r="610" spans="1:26" ht="18.75" customHeight="1">
      <c r="A610" s="221"/>
      <c r="B610" s="221"/>
      <c r="C610" s="221"/>
      <c r="D610" s="221"/>
      <c r="E610" s="221"/>
      <c r="F610" s="221"/>
      <c r="G610" s="221"/>
      <c r="H610" s="221"/>
      <c r="I610" s="221"/>
      <c r="J610" s="221"/>
      <c r="K610" s="221"/>
      <c r="L610" s="221"/>
      <c r="M610" s="221"/>
      <c r="N610" s="221"/>
      <c r="O610" s="221"/>
      <c r="P610" s="221"/>
      <c r="Q610" s="221"/>
      <c r="R610" s="221"/>
      <c r="S610" s="221"/>
      <c r="T610" s="221"/>
      <c r="U610" s="221"/>
      <c r="V610" s="221"/>
      <c r="W610" s="221"/>
      <c r="X610" s="221"/>
      <c r="Y610" s="221"/>
      <c r="Z610" s="221"/>
    </row>
    <row r="611" spans="1:26" ht="18.75" customHeight="1">
      <c r="A611" s="221"/>
      <c r="B611" s="221"/>
      <c r="C611" s="221"/>
      <c r="D611" s="221"/>
      <c r="E611" s="221"/>
      <c r="F611" s="221"/>
      <c r="G611" s="221"/>
      <c r="H611" s="221"/>
      <c r="I611" s="221"/>
      <c r="J611" s="221"/>
      <c r="K611" s="221"/>
      <c r="L611" s="221"/>
      <c r="M611" s="221"/>
      <c r="N611" s="221"/>
      <c r="O611" s="221"/>
      <c r="P611" s="221"/>
      <c r="Q611" s="221"/>
      <c r="R611" s="221"/>
      <c r="S611" s="221"/>
      <c r="T611" s="221"/>
      <c r="U611" s="221"/>
      <c r="V611" s="221"/>
      <c r="W611" s="221"/>
      <c r="X611" s="221"/>
      <c r="Y611" s="221"/>
      <c r="Z611" s="221"/>
    </row>
    <row r="612" spans="1:26" ht="18.75" customHeight="1">
      <c r="A612" s="221"/>
      <c r="B612" s="221"/>
      <c r="C612" s="221"/>
      <c r="D612" s="221"/>
      <c r="E612" s="221"/>
      <c r="F612" s="221"/>
      <c r="G612" s="221"/>
      <c r="H612" s="221"/>
      <c r="I612" s="221"/>
      <c r="J612" s="221"/>
      <c r="K612" s="221"/>
      <c r="L612" s="221"/>
      <c r="M612" s="221"/>
      <c r="N612" s="221"/>
      <c r="O612" s="221"/>
      <c r="P612" s="221"/>
      <c r="Q612" s="221"/>
      <c r="R612" s="221"/>
      <c r="S612" s="221"/>
      <c r="T612" s="221"/>
      <c r="U612" s="221"/>
      <c r="V612" s="221"/>
      <c r="W612" s="221"/>
      <c r="X612" s="221"/>
      <c r="Y612" s="221"/>
      <c r="Z612" s="221"/>
    </row>
    <row r="613" spans="1:26" ht="18.75" customHeight="1">
      <c r="A613" s="221"/>
      <c r="B613" s="221"/>
      <c r="C613" s="221"/>
      <c r="D613" s="221"/>
      <c r="E613" s="221"/>
      <c r="F613" s="221"/>
      <c r="G613" s="221"/>
      <c r="H613" s="221"/>
      <c r="I613" s="221"/>
      <c r="J613" s="221"/>
      <c r="K613" s="221"/>
      <c r="L613" s="221"/>
      <c r="M613" s="221"/>
      <c r="N613" s="221"/>
      <c r="O613" s="221"/>
      <c r="P613" s="221"/>
      <c r="Q613" s="221"/>
      <c r="R613" s="221"/>
      <c r="S613" s="221"/>
      <c r="T613" s="221"/>
      <c r="U613" s="221"/>
      <c r="V613" s="221"/>
      <c r="W613" s="221"/>
      <c r="X613" s="221"/>
      <c r="Y613" s="221"/>
      <c r="Z613" s="221"/>
    </row>
    <row r="614" spans="1:26" ht="18.75" customHeight="1">
      <c r="A614" s="221"/>
      <c r="B614" s="221"/>
      <c r="C614" s="221"/>
      <c r="D614" s="221"/>
      <c r="E614" s="221"/>
      <c r="F614" s="221"/>
      <c r="G614" s="221"/>
      <c r="H614" s="221"/>
      <c r="I614" s="221"/>
      <c r="J614" s="221"/>
      <c r="K614" s="221"/>
      <c r="L614" s="221"/>
      <c r="M614" s="221"/>
      <c r="N614" s="221"/>
      <c r="O614" s="221"/>
      <c r="P614" s="221"/>
      <c r="Q614" s="221"/>
      <c r="R614" s="221"/>
      <c r="S614" s="221"/>
      <c r="T614" s="221"/>
      <c r="U614" s="221"/>
      <c r="V614" s="221"/>
      <c r="W614" s="221"/>
      <c r="X614" s="221"/>
      <c r="Y614" s="221"/>
      <c r="Z614" s="221"/>
    </row>
    <row r="615" spans="1:26" ht="18.75" customHeight="1">
      <c r="A615" s="221"/>
      <c r="B615" s="221"/>
      <c r="C615" s="221"/>
      <c r="D615" s="221"/>
      <c r="E615" s="221"/>
      <c r="F615" s="221"/>
      <c r="G615" s="221"/>
      <c r="H615" s="221"/>
      <c r="I615" s="221"/>
      <c r="J615" s="221"/>
      <c r="K615" s="221"/>
      <c r="L615" s="221"/>
      <c r="M615" s="221"/>
      <c r="N615" s="221"/>
      <c r="O615" s="221"/>
      <c r="P615" s="221"/>
      <c r="Q615" s="221"/>
      <c r="R615" s="221"/>
      <c r="S615" s="221"/>
      <c r="T615" s="221"/>
      <c r="U615" s="221"/>
      <c r="V615" s="221"/>
      <c r="W615" s="221"/>
      <c r="X615" s="221"/>
      <c r="Y615" s="221"/>
      <c r="Z615" s="221"/>
    </row>
    <row r="616" spans="1:26" ht="18.75" customHeight="1">
      <c r="A616" s="221"/>
      <c r="B616" s="221"/>
      <c r="C616" s="221"/>
      <c r="D616" s="221"/>
      <c r="E616" s="221"/>
      <c r="F616" s="221"/>
      <c r="G616" s="221"/>
      <c r="H616" s="221"/>
      <c r="I616" s="221"/>
      <c r="J616" s="221"/>
      <c r="K616" s="221"/>
      <c r="L616" s="221"/>
      <c r="M616" s="221"/>
      <c r="N616" s="221"/>
      <c r="O616" s="221"/>
      <c r="P616" s="221"/>
      <c r="Q616" s="221"/>
      <c r="R616" s="221"/>
      <c r="S616" s="221"/>
      <c r="T616" s="221"/>
      <c r="U616" s="221"/>
      <c r="V616" s="221"/>
      <c r="W616" s="221"/>
      <c r="X616" s="221"/>
      <c r="Y616" s="221"/>
      <c r="Z616" s="221"/>
    </row>
    <row r="617" spans="1:26" ht="18.75" customHeight="1">
      <c r="A617" s="221"/>
      <c r="B617" s="221"/>
      <c r="C617" s="221"/>
      <c r="D617" s="221"/>
      <c r="E617" s="221"/>
      <c r="F617" s="221"/>
      <c r="G617" s="221"/>
      <c r="H617" s="221"/>
      <c r="I617" s="221"/>
      <c r="J617" s="221"/>
      <c r="K617" s="221"/>
      <c r="L617" s="221"/>
      <c r="M617" s="221"/>
      <c r="N617" s="221"/>
      <c r="O617" s="221"/>
      <c r="P617" s="221"/>
      <c r="Q617" s="221"/>
      <c r="R617" s="221"/>
      <c r="S617" s="221"/>
      <c r="T617" s="221"/>
      <c r="U617" s="221"/>
      <c r="V617" s="221"/>
      <c r="W617" s="221"/>
      <c r="X617" s="221"/>
      <c r="Y617" s="221"/>
      <c r="Z617" s="221"/>
    </row>
    <row r="618" spans="1:26" ht="18.75" customHeight="1">
      <c r="A618" s="221"/>
      <c r="B618" s="221"/>
      <c r="C618" s="221"/>
      <c r="D618" s="221"/>
      <c r="E618" s="221"/>
      <c r="F618" s="221"/>
      <c r="G618" s="221"/>
      <c r="H618" s="221"/>
      <c r="I618" s="221"/>
      <c r="J618" s="221"/>
      <c r="K618" s="221"/>
      <c r="L618" s="221"/>
      <c r="M618" s="221"/>
      <c r="N618" s="221"/>
      <c r="O618" s="221"/>
      <c r="P618" s="221"/>
      <c r="Q618" s="221"/>
      <c r="R618" s="221"/>
      <c r="S618" s="221"/>
      <c r="T618" s="221"/>
      <c r="U618" s="221"/>
      <c r="V618" s="221"/>
      <c r="W618" s="221"/>
      <c r="X618" s="221"/>
      <c r="Y618" s="221"/>
      <c r="Z618" s="221"/>
    </row>
    <row r="619" spans="1:26" ht="18.75" customHeight="1">
      <c r="A619" s="221"/>
      <c r="B619" s="221"/>
      <c r="C619" s="221"/>
      <c r="D619" s="221"/>
      <c r="E619" s="221"/>
      <c r="F619" s="221"/>
      <c r="G619" s="221"/>
      <c r="H619" s="221"/>
      <c r="I619" s="221"/>
      <c r="J619" s="221"/>
      <c r="K619" s="221"/>
      <c r="L619" s="221"/>
      <c r="M619" s="221"/>
      <c r="N619" s="221"/>
      <c r="O619" s="221"/>
      <c r="P619" s="221"/>
      <c r="Q619" s="221"/>
      <c r="R619" s="221"/>
      <c r="S619" s="221"/>
      <c r="T619" s="221"/>
      <c r="U619" s="221"/>
      <c r="V619" s="221"/>
      <c r="W619" s="221"/>
      <c r="X619" s="221"/>
      <c r="Y619" s="221"/>
      <c r="Z619" s="221"/>
    </row>
    <row r="620" spans="1:26" ht="18.75" customHeight="1">
      <c r="A620" s="221"/>
      <c r="B620" s="221"/>
      <c r="C620" s="221"/>
      <c r="D620" s="221"/>
      <c r="E620" s="221"/>
      <c r="F620" s="221"/>
      <c r="G620" s="221"/>
      <c r="H620" s="221"/>
      <c r="I620" s="221"/>
      <c r="J620" s="221"/>
      <c r="K620" s="221"/>
      <c r="L620" s="221"/>
      <c r="M620" s="221"/>
      <c r="N620" s="221"/>
      <c r="O620" s="221"/>
      <c r="P620" s="221"/>
      <c r="Q620" s="221"/>
      <c r="R620" s="221"/>
      <c r="S620" s="221"/>
      <c r="T620" s="221"/>
      <c r="U620" s="221"/>
      <c r="V620" s="221"/>
      <c r="W620" s="221"/>
      <c r="X620" s="221"/>
      <c r="Y620" s="221"/>
      <c r="Z620" s="221"/>
    </row>
    <row r="621" spans="1:26" ht="18.75" customHeight="1">
      <c r="A621" s="221"/>
      <c r="B621" s="221"/>
      <c r="C621" s="221"/>
      <c r="D621" s="221"/>
      <c r="E621" s="221"/>
      <c r="F621" s="221"/>
      <c r="G621" s="221"/>
      <c r="H621" s="221"/>
      <c r="I621" s="221"/>
      <c r="J621" s="221"/>
      <c r="K621" s="221"/>
      <c r="L621" s="221"/>
      <c r="M621" s="221"/>
      <c r="N621" s="221"/>
      <c r="O621" s="221"/>
      <c r="P621" s="221"/>
      <c r="Q621" s="221"/>
      <c r="R621" s="221"/>
      <c r="S621" s="221"/>
      <c r="T621" s="221"/>
      <c r="U621" s="221"/>
      <c r="V621" s="221"/>
      <c r="W621" s="221"/>
      <c r="X621" s="221"/>
      <c r="Y621" s="221"/>
      <c r="Z621" s="221"/>
    </row>
    <row r="622" spans="1:26" ht="18.75" customHeight="1">
      <c r="A622" s="221"/>
      <c r="B622" s="221"/>
      <c r="C622" s="221"/>
      <c r="D622" s="221"/>
      <c r="E622" s="221"/>
      <c r="F622" s="221"/>
      <c r="G622" s="221"/>
      <c r="H622" s="221"/>
      <c r="I622" s="221"/>
      <c r="J622" s="221"/>
      <c r="K622" s="221"/>
      <c r="L622" s="221"/>
      <c r="M622" s="221"/>
      <c r="N622" s="221"/>
      <c r="O622" s="221"/>
      <c r="P622" s="221"/>
      <c r="Q622" s="221"/>
      <c r="R622" s="221"/>
      <c r="S622" s="221"/>
      <c r="T622" s="221"/>
      <c r="U622" s="221"/>
      <c r="V622" s="221"/>
      <c r="W622" s="221"/>
      <c r="X622" s="221"/>
      <c r="Y622" s="221"/>
      <c r="Z622" s="221"/>
    </row>
    <row r="623" spans="1:26" ht="18.75" customHeight="1">
      <c r="A623" s="221"/>
      <c r="B623" s="221"/>
      <c r="C623" s="221"/>
      <c r="D623" s="221"/>
      <c r="E623" s="221"/>
      <c r="F623" s="221"/>
      <c r="G623" s="221"/>
      <c r="H623" s="221"/>
      <c r="I623" s="221"/>
      <c r="J623" s="221"/>
      <c r="K623" s="221"/>
      <c r="L623" s="221"/>
      <c r="M623" s="221"/>
      <c r="N623" s="221"/>
      <c r="O623" s="221"/>
      <c r="P623" s="221"/>
      <c r="Q623" s="221"/>
      <c r="R623" s="221"/>
      <c r="S623" s="221"/>
      <c r="T623" s="221"/>
      <c r="U623" s="221"/>
      <c r="V623" s="221"/>
      <c r="W623" s="221"/>
      <c r="X623" s="221"/>
      <c r="Y623" s="221"/>
      <c r="Z623" s="221"/>
    </row>
    <row r="624" spans="1:26" ht="18.75" customHeight="1">
      <c r="A624" s="221"/>
      <c r="B624" s="221"/>
      <c r="C624" s="221"/>
      <c r="D624" s="221"/>
      <c r="E624" s="221"/>
      <c r="F624" s="221"/>
      <c r="G624" s="221"/>
      <c r="H624" s="221"/>
      <c r="I624" s="221"/>
      <c r="J624" s="221"/>
      <c r="K624" s="221"/>
      <c r="L624" s="221"/>
      <c r="M624" s="221"/>
      <c r="N624" s="221"/>
      <c r="O624" s="221"/>
      <c r="P624" s="221"/>
      <c r="Q624" s="221"/>
      <c r="R624" s="221"/>
      <c r="S624" s="221"/>
      <c r="T624" s="221"/>
      <c r="U624" s="221"/>
      <c r="V624" s="221"/>
      <c r="W624" s="221"/>
      <c r="X624" s="221"/>
      <c r="Y624" s="221"/>
      <c r="Z624" s="221"/>
    </row>
    <row r="625" spans="1:26" ht="18.75" customHeight="1">
      <c r="A625" s="221"/>
      <c r="B625" s="221"/>
      <c r="C625" s="221"/>
      <c r="D625" s="221"/>
      <c r="E625" s="221"/>
      <c r="F625" s="221"/>
      <c r="G625" s="221"/>
      <c r="H625" s="221"/>
      <c r="I625" s="221"/>
      <c r="J625" s="221"/>
      <c r="K625" s="221"/>
      <c r="L625" s="221"/>
      <c r="M625" s="221"/>
      <c r="N625" s="221"/>
      <c r="O625" s="221"/>
      <c r="P625" s="221"/>
      <c r="Q625" s="221"/>
      <c r="R625" s="221"/>
      <c r="S625" s="221"/>
      <c r="T625" s="221"/>
      <c r="U625" s="221"/>
      <c r="V625" s="221"/>
      <c r="W625" s="221"/>
      <c r="X625" s="221"/>
      <c r="Y625" s="221"/>
      <c r="Z625" s="221"/>
    </row>
    <row r="626" spans="1:26" ht="18.75" customHeight="1">
      <c r="A626" s="221"/>
      <c r="B626" s="221"/>
      <c r="C626" s="221"/>
      <c r="D626" s="221"/>
      <c r="E626" s="221"/>
      <c r="F626" s="221"/>
      <c r="G626" s="221"/>
      <c r="H626" s="221"/>
      <c r="I626" s="221"/>
      <c r="J626" s="221"/>
      <c r="K626" s="221"/>
      <c r="L626" s="221"/>
      <c r="M626" s="221"/>
      <c r="N626" s="221"/>
      <c r="O626" s="221"/>
      <c r="P626" s="221"/>
      <c r="Q626" s="221"/>
      <c r="R626" s="221"/>
      <c r="S626" s="221"/>
      <c r="T626" s="221"/>
      <c r="U626" s="221"/>
      <c r="V626" s="221"/>
      <c r="W626" s="221"/>
      <c r="X626" s="221"/>
      <c r="Y626" s="221"/>
      <c r="Z626" s="221"/>
    </row>
    <row r="627" spans="1:26" ht="18.75" customHeight="1">
      <c r="A627" s="221"/>
      <c r="B627" s="221"/>
      <c r="C627" s="221"/>
      <c r="D627" s="221"/>
      <c r="E627" s="221"/>
      <c r="F627" s="221"/>
      <c r="G627" s="221"/>
      <c r="H627" s="221"/>
      <c r="I627" s="221"/>
      <c r="J627" s="221"/>
      <c r="K627" s="221"/>
      <c r="L627" s="221"/>
      <c r="M627" s="221"/>
      <c r="N627" s="221"/>
      <c r="O627" s="221"/>
      <c r="P627" s="221"/>
      <c r="Q627" s="221"/>
      <c r="R627" s="221"/>
      <c r="S627" s="221"/>
      <c r="T627" s="221"/>
      <c r="U627" s="221"/>
      <c r="V627" s="221"/>
      <c r="W627" s="221"/>
      <c r="X627" s="221"/>
      <c r="Y627" s="221"/>
      <c r="Z627" s="221"/>
    </row>
    <row r="628" spans="1:26" ht="18.75" customHeight="1">
      <c r="A628" s="221"/>
      <c r="B628" s="221"/>
      <c r="C628" s="221"/>
      <c r="D628" s="221"/>
      <c r="E628" s="221"/>
      <c r="F628" s="221"/>
      <c r="G628" s="221"/>
      <c r="H628" s="221"/>
      <c r="I628" s="221"/>
      <c r="J628" s="221"/>
      <c r="K628" s="221"/>
      <c r="L628" s="221"/>
      <c r="M628" s="221"/>
      <c r="N628" s="221"/>
      <c r="O628" s="221"/>
      <c r="P628" s="221"/>
      <c r="Q628" s="221"/>
      <c r="R628" s="221"/>
      <c r="S628" s="221"/>
      <c r="T628" s="221"/>
      <c r="U628" s="221"/>
      <c r="V628" s="221"/>
      <c r="W628" s="221"/>
      <c r="X628" s="221"/>
      <c r="Y628" s="221"/>
      <c r="Z628" s="221"/>
    </row>
    <row r="629" spans="1:26" ht="18.75" customHeight="1">
      <c r="A629" s="221"/>
      <c r="B629" s="221"/>
      <c r="C629" s="221"/>
      <c r="D629" s="221"/>
      <c r="E629" s="221"/>
      <c r="F629" s="221"/>
      <c r="G629" s="221"/>
      <c r="H629" s="221"/>
      <c r="I629" s="221"/>
      <c r="J629" s="221"/>
      <c r="K629" s="221"/>
      <c r="L629" s="221"/>
      <c r="M629" s="221"/>
      <c r="N629" s="221"/>
      <c r="O629" s="221"/>
      <c r="P629" s="221"/>
      <c r="Q629" s="221"/>
      <c r="R629" s="221"/>
      <c r="S629" s="221"/>
      <c r="T629" s="221"/>
      <c r="U629" s="221"/>
      <c r="V629" s="221"/>
      <c r="W629" s="221"/>
      <c r="X629" s="221"/>
      <c r="Y629" s="221"/>
      <c r="Z629" s="221"/>
    </row>
    <row r="630" spans="1:26" ht="18.75" customHeight="1">
      <c r="A630" s="221"/>
      <c r="B630" s="221"/>
      <c r="C630" s="221"/>
      <c r="D630" s="221"/>
      <c r="E630" s="221"/>
      <c r="F630" s="221"/>
      <c r="G630" s="221"/>
      <c r="H630" s="221"/>
      <c r="I630" s="221"/>
      <c r="J630" s="221"/>
      <c r="K630" s="221"/>
      <c r="L630" s="221"/>
      <c r="M630" s="221"/>
      <c r="N630" s="221"/>
      <c r="O630" s="221"/>
      <c r="P630" s="221"/>
      <c r="Q630" s="221"/>
      <c r="R630" s="221"/>
      <c r="S630" s="221"/>
      <c r="T630" s="221"/>
      <c r="U630" s="221"/>
      <c r="V630" s="221"/>
      <c r="W630" s="221"/>
      <c r="X630" s="221"/>
      <c r="Y630" s="221"/>
      <c r="Z630" s="221"/>
    </row>
    <row r="631" spans="1:26" ht="18.75" customHeight="1">
      <c r="A631" s="221"/>
      <c r="B631" s="221"/>
      <c r="C631" s="221"/>
      <c r="D631" s="221"/>
      <c r="E631" s="221"/>
      <c r="F631" s="221"/>
      <c r="G631" s="221"/>
      <c r="H631" s="221"/>
      <c r="I631" s="221"/>
      <c r="J631" s="221"/>
      <c r="K631" s="221"/>
      <c r="L631" s="221"/>
      <c r="M631" s="221"/>
      <c r="N631" s="221"/>
      <c r="O631" s="221"/>
      <c r="P631" s="221"/>
      <c r="Q631" s="221"/>
      <c r="R631" s="221"/>
      <c r="S631" s="221"/>
      <c r="T631" s="221"/>
      <c r="U631" s="221"/>
      <c r="V631" s="221"/>
      <c r="W631" s="221"/>
      <c r="X631" s="221"/>
      <c r="Y631" s="221"/>
      <c r="Z631" s="221"/>
    </row>
    <row r="632" spans="1:26" ht="18.75" customHeight="1">
      <c r="A632" s="221"/>
      <c r="B632" s="221"/>
      <c r="C632" s="221"/>
      <c r="D632" s="221"/>
      <c r="E632" s="221"/>
      <c r="F632" s="221"/>
      <c r="G632" s="221"/>
      <c r="H632" s="221"/>
      <c r="I632" s="221"/>
      <c r="J632" s="221"/>
      <c r="K632" s="221"/>
      <c r="L632" s="221"/>
      <c r="M632" s="221"/>
      <c r="N632" s="221"/>
      <c r="O632" s="221"/>
      <c r="P632" s="221"/>
      <c r="Q632" s="221"/>
      <c r="R632" s="221"/>
      <c r="S632" s="221"/>
      <c r="T632" s="221"/>
      <c r="U632" s="221"/>
      <c r="V632" s="221"/>
      <c r="W632" s="221"/>
      <c r="X632" s="221"/>
      <c r="Y632" s="221"/>
      <c r="Z632" s="221"/>
    </row>
    <row r="633" spans="1:26" ht="18.75" customHeight="1">
      <c r="A633" s="221"/>
      <c r="B633" s="221"/>
      <c r="C633" s="221"/>
      <c r="D633" s="221"/>
      <c r="E633" s="221"/>
      <c r="F633" s="221"/>
      <c r="G633" s="221"/>
      <c r="H633" s="221"/>
      <c r="I633" s="221"/>
      <c r="J633" s="221"/>
      <c r="K633" s="221"/>
      <c r="L633" s="221"/>
      <c r="M633" s="221"/>
      <c r="N633" s="221"/>
      <c r="O633" s="221"/>
      <c r="P633" s="221"/>
      <c r="Q633" s="221"/>
      <c r="R633" s="221"/>
      <c r="S633" s="221"/>
      <c r="T633" s="221"/>
      <c r="U633" s="221"/>
      <c r="V633" s="221"/>
      <c r="W633" s="221"/>
      <c r="X633" s="221"/>
      <c r="Y633" s="221"/>
      <c r="Z633" s="221"/>
    </row>
    <row r="634" spans="1:26" ht="18.75" customHeight="1">
      <c r="A634" s="221"/>
      <c r="B634" s="221"/>
      <c r="C634" s="221"/>
      <c r="D634" s="221"/>
      <c r="E634" s="221"/>
      <c r="F634" s="221"/>
      <c r="G634" s="221"/>
      <c r="H634" s="221"/>
      <c r="I634" s="221"/>
      <c r="J634" s="221"/>
      <c r="K634" s="221"/>
      <c r="L634" s="221"/>
      <c r="M634" s="221"/>
      <c r="N634" s="221"/>
      <c r="O634" s="221"/>
      <c r="P634" s="221"/>
      <c r="Q634" s="221"/>
      <c r="R634" s="221"/>
      <c r="S634" s="221"/>
      <c r="T634" s="221"/>
      <c r="U634" s="221"/>
      <c r="V634" s="221"/>
      <c r="W634" s="221"/>
      <c r="X634" s="221"/>
      <c r="Y634" s="221"/>
      <c r="Z634" s="221"/>
    </row>
    <row r="635" spans="1:26" ht="18.75" customHeight="1">
      <c r="A635" s="221"/>
      <c r="B635" s="221"/>
      <c r="C635" s="221"/>
      <c r="D635" s="221"/>
      <c r="E635" s="221"/>
      <c r="F635" s="221"/>
      <c r="G635" s="221"/>
      <c r="H635" s="221"/>
      <c r="I635" s="221"/>
      <c r="J635" s="221"/>
      <c r="K635" s="221"/>
      <c r="L635" s="221"/>
      <c r="M635" s="221"/>
      <c r="N635" s="221"/>
      <c r="O635" s="221"/>
      <c r="P635" s="221"/>
      <c r="Q635" s="221"/>
      <c r="R635" s="221"/>
      <c r="S635" s="221"/>
      <c r="T635" s="221"/>
      <c r="U635" s="221"/>
      <c r="V635" s="221"/>
      <c r="W635" s="221"/>
      <c r="X635" s="221"/>
      <c r="Y635" s="221"/>
      <c r="Z635" s="221"/>
    </row>
    <row r="636" spans="1:26" ht="18.75" customHeight="1">
      <c r="A636" s="221"/>
      <c r="B636" s="221"/>
      <c r="C636" s="221"/>
      <c r="D636" s="221"/>
      <c r="E636" s="221"/>
      <c r="F636" s="221"/>
      <c r="G636" s="221"/>
      <c r="H636" s="221"/>
      <c r="I636" s="221"/>
      <c r="J636" s="221"/>
      <c r="K636" s="221"/>
      <c r="L636" s="221"/>
      <c r="M636" s="221"/>
      <c r="N636" s="221"/>
      <c r="O636" s="221"/>
      <c r="P636" s="221"/>
      <c r="Q636" s="221"/>
      <c r="R636" s="221"/>
      <c r="S636" s="221"/>
      <c r="T636" s="221"/>
      <c r="U636" s="221"/>
      <c r="V636" s="221"/>
      <c r="W636" s="221"/>
      <c r="X636" s="221"/>
      <c r="Y636" s="221"/>
      <c r="Z636" s="221"/>
    </row>
    <row r="637" spans="1:26" ht="18.75" customHeight="1">
      <c r="A637" s="221"/>
      <c r="B637" s="221"/>
      <c r="C637" s="221"/>
      <c r="D637" s="221"/>
      <c r="E637" s="221"/>
      <c r="F637" s="221"/>
      <c r="G637" s="221"/>
      <c r="H637" s="221"/>
      <c r="I637" s="221"/>
      <c r="J637" s="221"/>
      <c r="K637" s="221"/>
      <c r="L637" s="221"/>
      <c r="M637" s="221"/>
      <c r="N637" s="221"/>
      <c r="O637" s="221"/>
      <c r="P637" s="221"/>
      <c r="Q637" s="221"/>
      <c r="R637" s="221"/>
      <c r="S637" s="221"/>
      <c r="T637" s="221"/>
      <c r="U637" s="221"/>
      <c r="V637" s="221"/>
      <c r="W637" s="221"/>
      <c r="X637" s="221"/>
      <c r="Y637" s="221"/>
      <c r="Z637" s="221"/>
    </row>
    <row r="638" spans="1:26" ht="18.75" customHeight="1">
      <c r="A638" s="221"/>
      <c r="B638" s="221"/>
      <c r="C638" s="221"/>
      <c r="D638" s="221"/>
      <c r="E638" s="221"/>
      <c r="F638" s="221"/>
      <c r="G638" s="221"/>
      <c r="H638" s="221"/>
      <c r="I638" s="221"/>
      <c r="J638" s="221"/>
      <c r="K638" s="221"/>
      <c r="L638" s="221"/>
      <c r="M638" s="221"/>
      <c r="N638" s="221"/>
      <c r="O638" s="221"/>
      <c r="P638" s="221"/>
      <c r="Q638" s="221"/>
      <c r="R638" s="221"/>
      <c r="S638" s="221"/>
      <c r="T638" s="221"/>
      <c r="U638" s="221"/>
      <c r="V638" s="221"/>
      <c r="W638" s="221"/>
      <c r="X638" s="221"/>
      <c r="Y638" s="221"/>
      <c r="Z638" s="221"/>
    </row>
    <row r="639" spans="1:26" ht="18.75" customHeight="1">
      <c r="A639" s="221"/>
      <c r="B639" s="221"/>
      <c r="C639" s="221"/>
      <c r="D639" s="221"/>
      <c r="E639" s="221"/>
      <c r="F639" s="221"/>
      <c r="G639" s="221"/>
      <c r="H639" s="221"/>
      <c r="I639" s="221"/>
      <c r="J639" s="221"/>
      <c r="K639" s="221"/>
      <c r="L639" s="221"/>
      <c r="M639" s="221"/>
      <c r="N639" s="221"/>
      <c r="O639" s="221"/>
      <c r="P639" s="221"/>
      <c r="Q639" s="221"/>
      <c r="R639" s="221"/>
      <c r="S639" s="221"/>
      <c r="T639" s="221"/>
      <c r="U639" s="221"/>
      <c r="V639" s="221"/>
      <c r="W639" s="221"/>
      <c r="X639" s="221"/>
      <c r="Y639" s="221"/>
      <c r="Z639" s="221"/>
    </row>
    <row r="640" spans="1:26" ht="18.75" customHeight="1">
      <c r="A640" s="221"/>
      <c r="B640" s="221"/>
      <c r="C640" s="221"/>
      <c r="D640" s="221"/>
      <c r="E640" s="221"/>
      <c r="F640" s="221"/>
      <c r="G640" s="221"/>
      <c r="H640" s="221"/>
      <c r="I640" s="221"/>
      <c r="J640" s="221"/>
      <c r="K640" s="221"/>
      <c r="L640" s="221"/>
      <c r="M640" s="221"/>
      <c r="N640" s="221"/>
      <c r="O640" s="221"/>
      <c r="P640" s="221"/>
      <c r="Q640" s="221"/>
      <c r="R640" s="221"/>
      <c r="S640" s="221"/>
      <c r="T640" s="221"/>
      <c r="U640" s="221"/>
      <c r="V640" s="221"/>
      <c r="W640" s="221"/>
      <c r="X640" s="221"/>
      <c r="Y640" s="221"/>
      <c r="Z640" s="221"/>
    </row>
    <row r="641" spans="1:26" ht="18.75" customHeight="1">
      <c r="A641" s="221"/>
      <c r="B641" s="221"/>
      <c r="C641" s="221"/>
      <c r="D641" s="221"/>
      <c r="E641" s="221"/>
      <c r="F641" s="221"/>
      <c r="G641" s="221"/>
      <c r="H641" s="221"/>
      <c r="I641" s="221"/>
      <c r="J641" s="221"/>
      <c r="K641" s="221"/>
      <c r="L641" s="221"/>
      <c r="M641" s="221"/>
      <c r="N641" s="221"/>
      <c r="O641" s="221"/>
      <c r="P641" s="221"/>
      <c r="Q641" s="221"/>
      <c r="R641" s="221"/>
      <c r="S641" s="221"/>
      <c r="T641" s="221"/>
      <c r="U641" s="221"/>
      <c r="V641" s="221"/>
      <c r="W641" s="221"/>
      <c r="X641" s="221"/>
      <c r="Y641" s="221"/>
      <c r="Z641" s="221"/>
    </row>
    <row r="642" spans="1:26" ht="18.75" customHeight="1">
      <c r="A642" s="221"/>
      <c r="B642" s="221"/>
      <c r="C642" s="221"/>
      <c r="D642" s="221"/>
      <c r="E642" s="221"/>
      <c r="F642" s="221"/>
      <c r="G642" s="221"/>
      <c r="H642" s="221"/>
      <c r="I642" s="221"/>
      <c r="J642" s="221"/>
      <c r="K642" s="221"/>
      <c r="L642" s="221"/>
      <c r="M642" s="221"/>
      <c r="N642" s="221"/>
      <c r="O642" s="221"/>
      <c r="P642" s="221"/>
      <c r="Q642" s="221"/>
      <c r="R642" s="221"/>
      <c r="S642" s="221"/>
      <c r="T642" s="221"/>
      <c r="U642" s="221"/>
      <c r="V642" s="221"/>
      <c r="W642" s="221"/>
      <c r="X642" s="221"/>
      <c r="Y642" s="221"/>
      <c r="Z642" s="221"/>
    </row>
    <row r="643" spans="1:26" ht="18.75" customHeight="1">
      <c r="A643" s="221"/>
      <c r="B643" s="221"/>
      <c r="C643" s="221"/>
      <c r="D643" s="221"/>
      <c r="E643" s="221"/>
      <c r="F643" s="221"/>
      <c r="G643" s="221"/>
      <c r="H643" s="221"/>
      <c r="I643" s="221"/>
      <c r="J643" s="221"/>
      <c r="K643" s="221"/>
      <c r="L643" s="221"/>
      <c r="M643" s="221"/>
      <c r="N643" s="221"/>
      <c r="O643" s="221"/>
      <c r="P643" s="221"/>
      <c r="Q643" s="221"/>
      <c r="R643" s="221"/>
      <c r="S643" s="221"/>
      <c r="T643" s="221"/>
      <c r="U643" s="221"/>
      <c r="V643" s="221"/>
      <c r="W643" s="221"/>
      <c r="X643" s="221"/>
      <c r="Y643" s="221"/>
      <c r="Z643" s="221"/>
    </row>
    <row r="644" spans="1:26" ht="18.75" customHeight="1">
      <c r="A644" s="221"/>
      <c r="B644" s="221"/>
      <c r="C644" s="221"/>
      <c r="D644" s="221"/>
      <c r="E644" s="221"/>
      <c r="F644" s="221"/>
      <c r="G644" s="221"/>
      <c r="H644" s="221"/>
      <c r="I644" s="221"/>
      <c r="J644" s="221"/>
      <c r="K644" s="221"/>
      <c r="L644" s="221"/>
      <c r="M644" s="221"/>
      <c r="N644" s="221"/>
      <c r="O644" s="221"/>
      <c r="P644" s="221"/>
      <c r="Q644" s="221"/>
      <c r="R644" s="221"/>
      <c r="S644" s="221"/>
      <c r="T644" s="221"/>
      <c r="U644" s="221"/>
      <c r="V644" s="221"/>
      <c r="W644" s="221"/>
      <c r="X644" s="221"/>
      <c r="Y644" s="221"/>
      <c r="Z644" s="221"/>
    </row>
    <row r="645" spans="1:26" ht="18.75" customHeight="1">
      <c r="A645" s="221"/>
      <c r="B645" s="221"/>
      <c r="C645" s="221"/>
      <c r="D645" s="221"/>
      <c r="E645" s="221"/>
      <c r="F645" s="221"/>
      <c r="G645" s="221"/>
      <c r="H645" s="221"/>
      <c r="I645" s="221"/>
      <c r="J645" s="221"/>
      <c r="K645" s="221"/>
      <c r="L645" s="221"/>
      <c r="M645" s="221"/>
      <c r="N645" s="221"/>
      <c r="O645" s="221"/>
      <c r="P645" s="221"/>
      <c r="Q645" s="221"/>
      <c r="R645" s="221"/>
      <c r="S645" s="221"/>
      <c r="T645" s="221"/>
      <c r="U645" s="221"/>
      <c r="V645" s="221"/>
      <c r="W645" s="221"/>
      <c r="X645" s="221"/>
      <c r="Y645" s="221"/>
      <c r="Z645" s="221"/>
    </row>
    <row r="646" spans="1:26" ht="18.75" customHeight="1">
      <c r="A646" s="221"/>
      <c r="B646" s="221"/>
      <c r="C646" s="221"/>
      <c r="D646" s="221"/>
      <c r="E646" s="221"/>
      <c r="F646" s="221"/>
      <c r="G646" s="221"/>
      <c r="H646" s="221"/>
      <c r="I646" s="221"/>
      <c r="J646" s="221"/>
      <c r="K646" s="221"/>
      <c r="L646" s="221"/>
      <c r="M646" s="221"/>
      <c r="N646" s="221"/>
      <c r="O646" s="221"/>
      <c r="P646" s="221"/>
      <c r="Q646" s="221"/>
      <c r="R646" s="221"/>
      <c r="S646" s="221"/>
      <c r="T646" s="221"/>
      <c r="U646" s="221"/>
      <c r="V646" s="221"/>
      <c r="W646" s="221"/>
      <c r="X646" s="221"/>
      <c r="Y646" s="221"/>
      <c r="Z646" s="221"/>
    </row>
    <row r="647" spans="1:26" ht="18.75" customHeight="1">
      <c r="A647" s="221"/>
      <c r="B647" s="221"/>
      <c r="C647" s="221"/>
      <c r="D647" s="221"/>
      <c r="E647" s="221"/>
      <c r="F647" s="221"/>
      <c r="G647" s="221"/>
      <c r="H647" s="221"/>
      <c r="I647" s="221"/>
      <c r="J647" s="221"/>
      <c r="K647" s="221"/>
      <c r="L647" s="221"/>
      <c r="M647" s="221"/>
      <c r="N647" s="221"/>
      <c r="O647" s="221"/>
      <c r="P647" s="221"/>
      <c r="Q647" s="221"/>
      <c r="R647" s="221"/>
      <c r="S647" s="221"/>
      <c r="T647" s="221"/>
      <c r="U647" s="221"/>
      <c r="V647" s="221"/>
      <c r="W647" s="221"/>
      <c r="X647" s="221"/>
      <c r="Y647" s="221"/>
      <c r="Z647" s="221"/>
    </row>
    <row r="648" spans="1:26" ht="18.75" customHeight="1">
      <c r="A648" s="221"/>
      <c r="B648" s="221"/>
      <c r="C648" s="221"/>
      <c r="D648" s="221"/>
      <c r="E648" s="221"/>
      <c r="F648" s="221"/>
      <c r="G648" s="221"/>
      <c r="H648" s="221"/>
      <c r="I648" s="221"/>
      <c r="J648" s="221"/>
      <c r="K648" s="221"/>
      <c r="L648" s="221"/>
      <c r="M648" s="221"/>
      <c r="N648" s="221"/>
      <c r="O648" s="221"/>
      <c r="P648" s="221"/>
      <c r="Q648" s="221"/>
      <c r="R648" s="221"/>
      <c r="S648" s="221"/>
      <c r="T648" s="221"/>
      <c r="U648" s="221"/>
      <c r="V648" s="221"/>
      <c r="W648" s="221"/>
      <c r="X648" s="221"/>
      <c r="Y648" s="221"/>
      <c r="Z648" s="221"/>
    </row>
    <row r="649" spans="1:26" ht="18.75" customHeight="1">
      <c r="A649" s="221"/>
      <c r="B649" s="221"/>
      <c r="C649" s="221"/>
      <c r="D649" s="221"/>
      <c r="E649" s="221"/>
      <c r="F649" s="221"/>
      <c r="G649" s="221"/>
      <c r="H649" s="221"/>
      <c r="I649" s="221"/>
      <c r="J649" s="221"/>
      <c r="K649" s="221"/>
      <c r="L649" s="221"/>
      <c r="M649" s="221"/>
      <c r="N649" s="221"/>
      <c r="O649" s="221"/>
      <c r="P649" s="221"/>
      <c r="Q649" s="221"/>
      <c r="R649" s="221"/>
      <c r="S649" s="221"/>
      <c r="T649" s="221"/>
      <c r="U649" s="221"/>
      <c r="V649" s="221"/>
      <c r="W649" s="221"/>
      <c r="X649" s="221"/>
      <c r="Y649" s="221"/>
      <c r="Z649" s="221"/>
    </row>
    <row r="650" spans="1:26" ht="18.75" customHeight="1">
      <c r="A650" s="221"/>
      <c r="B650" s="221"/>
      <c r="C650" s="221"/>
      <c r="D650" s="221"/>
      <c r="E650" s="221"/>
      <c r="F650" s="221"/>
      <c r="G650" s="221"/>
      <c r="H650" s="221"/>
      <c r="I650" s="221"/>
      <c r="J650" s="221"/>
      <c r="K650" s="221"/>
      <c r="L650" s="221"/>
      <c r="M650" s="221"/>
      <c r="N650" s="221"/>
      <c r="O650" s="221"/>
      <c r="P650" s="221"/>
      <c r="Q650" s="221"/>
      <c r="R650" s="221"/>
      <c r="S650" s="221"/>
      <c r="T650" s="221"/>
      <c r="U650" s="221"/>
      <c r="V650" s="221"/>
      <c r="W650" s="221"/>
      <c r="X650" s="221"/>
      <c r="Y650" s="221"/>
      <c r="Z650" s="221"/>
    </row>
    <row r="651" spans="1:26" ht="18.75" customHeight="1">
      <c r="A651" s="221"/>
      <c r="B651" s="221"/>
      <c r="C651" s="221"/>
      <c r="D651" s="221"/>
      <c r="E651" s="221"/>
      <c r="F651" s="221"/>
      <c r="G651" s="221"/>
      <c r="H651" s="221"/>
      <c r="I651" s="221"/>
      <c r="J651" s="221"/>
      <c r="K651" s="221"/>
      <c r="L651" s="221"/>
      <c r="M651" s="221"/>
      <c r="N651" s="221"/>
      <c r="O651" s="221"/>
      <c r="P651" s="221"/>
      <c r="Q651" s="221"/>
      <c r="R651" s="221"/>
      <c r="S651" s="221"/>
      <c r="T651" s="221"/>
      <c r="U651" s="221"/>
      <c r="V651" s="221"/>
      <c r="W651" s="221"/>
      <c r="X651" s="221"/>
      <c r="Y651" s="221"/>
      <c r="Z651" s="221"/>
    </row>
    <row r="652" spans="1:26" ht="18.75" customHeight="1">
      <c r="A652" s="221"/>
      <c r="B652" s="221"/>
      <c r="C652" s="221"/>
      <c r="D652" s="221"/>
      <c r="E652" s="221"/>
      <c r="F652" s="221"/>
      <c r="G652" s="221"/>
      <c r="H652" s="221"/>
      <c r="I652" s="221"/>
      <c r="J652" s="221"/>
      <c r="K652" s="221"/>
      <c r="L652" s="221"/>
      <c r="M652" s="221"/>
      <c r="N652" s="221"/>
      <c r="O652" s="221"/>
      <c r="P652" s="221"/>
      <c r="Q652" s="221"/>
      <c r="R652" s="221"/>
      <c r="S652" s="221"/>
      <c r="T652" s="221"/>
      <c r="U652" s="221"/>
      <c r="V652" s="221"/>
      <c r="W652" s="221"/>
      <c r="X652" s="221"/>
      <c r="Y652" s="221"/>
      <c r="Z652" s="221"/>
    </row>
    <row r="653" spans="1:26" ht="18.75" customHeight="1">
      <c r="A653" s="221"/>
      <c r="B653" s="221"/>
      <c r="C653" s="221"/>
      <c r="D653" s="221"/>
      <c r="E653" s="221"/>
      <c r="F653" s="221"/>
      <c r="G653" s="221"/>
      <c r="H653" s="221"/>
      <c r="I653" s="221"/>
      <c r="J653" s="221"/>
      <c r="K653" s="221"/>
      <c r="L653" s="221"/>
      <c r="M653" s="221"/>
      <c r="N653" s="221"/>
      <c r="O653" s="221"/>
      <c r="P653" s="221"/>
      <c r="Q653" s="221"/>
      <c r="R653" s="221"/>
      <c r="S653" s="221"/>
      <c r="T653" s="221"/>
      <c r="U653" s="221"/>
      <c r="V653" s="221"/>
      <c r="W653" s="221"/>
      <c r="X653" s="221"/>
      <c r="Y653" s="221"/>
      <c r="Z653" s="221"/>
    </row>
    <row r="654" spans="1:26" ht="18.75" customHeight="1">
      <c r="A654" s="221"/>
      <c r="B654" s="221"/>
      <c r="C654" s="221"/>
      <c r="D654" s="221"/>
      <c r="E654" s="221"/>
      <c r="F654" s="221"/>
      <c r="G654" s="221"/>
      <c r="H654" s="221"/>
      <c r="I654" s="221"/>
      <c r="J654" s="221"/>
      <c r="K654" s="221"/>
      <c r="L654" s="221"/>
      <c r="M654" s="221"/>
      <c r="N654" s="221"/>
      <c r="O654" s="221"/>
      <c r="P654" s="221"/>
      <c r="Q654" s="221"/>
      <c r="R654" s="221"/>
      <c r="S654" s="221"/>
      <c r="T654" s="221"/>
      <c r="U654" s="221"/>
      <c r="V654" s="221"/>
      <c r="W654" s="221"/>
      <c r="X654" s="221"/>
      <c r="Y654" s="221"/>
      <c r="Z654" s="221"/>
    </row>
    <row r="655" spans="1:26" ht="18.75" customHeight="1">
      <c r="A655" s="221"/>
      <c r="B655" s="221"/>
      <c r="C655" s="221"/>
      <c r="D655" s="221"/>
      <c r="E655" s="221"/>
      <c r="F655" s="221"/>
      <c r="G655" s="221"/>
      <c r="H655" s="221"/>
      <c r="I655" s="221"/>
      <c r="J655" s="221"/>
      <c r="K655" s="221"/>
      <c r="L655" s="221"/>
      <c r="M655" s="221"/>
      <c r="N655" s="221"/>
      <c r="O655" s="221"/>
      <c r="P655" s="221"/>
      <c r="Q655" s="221"/>
      <c r="R655" s="221"/>
      <c r="S655" s="221"/>
      <c r="T655" s="221"/>
      <c r="U655" s="221"/>
      <c r="V655" s="221"/>
      <c r="W655" s="221"/>
      <c r="X655" s="221"/>
      <c r="Y655" s="221"/>
      <c r="Z655" s="221"/>
    </row>
    <row r="656" spans="1:26" ht="18.75" customHeight="1">
      <c r="A656" s="221"/>
      <c r="B656" s="221"/>
      <c r="C656" s="221"/>
      <c r="D656" s="221"/>
      <c r="E656" s="221"/>
      <c r="F656" s="221"/>
      <c r="G656" s="221"/>
      <c r="H656" s="221"/>
      <c r="I656" s="221"/>
      <c r="J656" s="221"/>
      <c r="K656" s="221"/>
      <c r="L656" s="221"/>
      <c r="M656" s="221"/>
      <c r="N656" s="221"/>
      <c r="O656" s="221"/>
      <c r="P656" s="221"/>
      <c r="Q656" s="221"/>
      <c r="R656" s="221"/>
      <c r="S656" s="221"/>
      <c r="T656" s="221"/>
      <c r="U656" s="221"/>
      <c r="V656" s="221"/>
      <c r="W656" s="221"/>
      <c r="X656" s="221"/>
      <c r="Y656" s="221"/>
      <c r="Z656" s="221"/>
    </row>
    <row r="657" spans="1:26" ht="18.75" customHeight="1">
      <c r="A657" s="221"/>
      <c r="B657" s="221"/>
      <c r="C657" s="221"/>
      <c r="D657" s="221"/>
      <c r="E657" s="221"/>
      <c r="F657" s="221"/>
      <c r="G657" s="221"/>
      <c r="H657" s="221"/>
      <c r="I657" s="221"/>
      <c r="J657" s="221"/>
      <c r="K657" s="221"/>
      <c r="L657" s="221"/>
      <c r="M657" s="221"/>
      <c r="N657" s="221"/>
      <c r="O657" s="221"/>
      <c r="P657" s="221"/>
      <c r="Q657" s="221"/>
      <c r="R657" s="221"/>
      <c r="S657" s="221"/>
      <c r="T657" s="221"/>
      <c r="U657" s="221"/>
      <c r="V657" s="221"/>
      <c r="W657" s="221"/>
      <c r="X657" s="221"/>
      <c r="Y657" s="221"/>
      <c r="Z657" s="221"/>
    </row>
    <row r="658" spans="1:26" ht="18.75" customHeight="1">
      <c r="A658" s="221"/>
      <c r="B658" s="221"/>
      <c r="C658" s="221"/>
      <c r="D658" s="221"/>
      <c r="E658" s="221"/>
      <c r="F658" s="221"/>
      <c r="G658" s="221"/>
      <c r="H658" s="221"/>
      <c r="I658" s="221"/>
      <c r="J658" s="221"/>
      <c r="K658" s="221"/>
      <c r="L658" s="221"/>
      <c r="M658" s="221"/>
      <c r="N658" s="221"/>
      <c r="O658" s="221"/>
      <c r="P658" s="221"/>
      <c r="Q658" s="221"/>
      <c r="R658" s="221"/>
      <c r="S658" s="221"/>
      <c r="T658" s="221"/>
      <c r="U658" s="221"/>
      <c r="V658" s="221"/>
      <c r="W658" s="221"/>
      <c r="X658" s="221"/>
      <c r="Y658" s="221"/>
      <c r="Z658" s="221"/>
    </row>
    <row r="659" spans="1:26" ht="18.75" customHeight="1">
      <c r="A659" s="221"/>
      <c r="B659" s="221"/>
      <c r="C659" s="221"/>
      <c r="D659" s="221"/>
      <c r="E659" s="221"/>
      <c r="F659" s="221"/>
      <c r="G659" s="221"/>
      <c r="H659" s="221"/>
      <c r="I659" s="221"/>
      <c r="J659" s="221"/>
      <c r="K659" s="221"/>
      <c r="L659" s="221"/>
      <c r="M659" s="221"/>
      <c r="N659" s="221"/>
      <c r="O659" s="221"/>
      <c r="P659" s="221"/>
      <c r="Q659" s="221"/>
      <c r="R659" s="221"/>
      <c r="S659" s="221"/>
      <c r="T659" s="221"/>
      <c r="U659" s="221"/>
      <c r="V659" s="221"/>
      <c r="W659" s="221"/>
      <c r="X659" s="221"/>
      <c r="Y659" s="221"/>
      <c r="Z659" s="221"/>
    </row>
    <row r="660" spans="1:26" ht="18.75" customHeight="1">
      <c r="A660" s="221"/>
      <c r="B660" s="221"/>
      <c r="C660" s="221"/>
      <c r="D660" s="221"/>
      <c r="E660" s="221"/>
      <c r="F660" s="221"/>
      <c r="G660" s="221"/>
      <c r="H660" s="221"/>
      <c r="I660" s="221"/>
      <c r="J660" s="221"/>
      <c r="K660" s="221"/>
      <c r="L660" s="221"/>
      <c r="M660" s="221"/>
      <c r="N660" s="221"/>
      <c r="O660" s="221"/>
      <c r="P660" s="221"/>
      <c r="Q660" s="221"/>
      <c r="R660" s="221"/>
      <c r="S660" s="221"/>
      <c r="T660" s="221"/>
      <c r="U660" s="221"/>
      <c r="V660" s="221"/>
      <c r="W660" s="221"/>
      <c r="X660" s="221"/>
      <c r="Y660" s="221"/>
      <c r="Z660" s="221"/>
    </row>
    <row r="661" spans="1:26" ht="18.75" customHeight="1">
      <c r="A661" s="221"/>
      <c r="B661" s="221"/>
      <c r="C661" s="221"/>
      <c r="D661" s="221"/>
      <c r="E661" s="221"/>
      <c r="F661" s="221"/>
      <c r="G661" s="221"/>
      <c r="H661" s="221"/>
      <c r="I661" s="221"/>
      <c r="J661" s="221"/>
      <c r="K661" s="221"/>
      <c r="L661" s="221"/>
      <c r="M661" s="221"/>
      <c r="N661" s="221"/>
      <c r="O661" s="221"/>
      <c r="P661" s="221"/>
      <c r="Q661" s="221"/>
      <c r="R661" s="221"/>
      <c r="S661" s="221"/>
      <c r="T661" s="221"/>
      <c r="U661" s="221"/>
      <c r="V661" s="221"/>
      <c r="W661" s="221"/>
      <c r="X661" s="221"/>
      <c r="Y661" s="221"/>
      <c r="Z661" s="221"/>
    </row>
    <row r="662" spans="1:26" ht="18.75" customHeight="1">
      <c r="A662" s="221"/>
      <c r="B662" s="221"/>
      <c r="C662" s="221"/>
      <c r="D662" s="221"/>
      <c r="E662" s="221"/>
      <c r="F662" s="221"/>
      <c r="G662" s="221"/>
      <c r="H662" s="221"/>
      <c r="I662" s="221"/>
      <c r="J662" s="221"/>
      <c r="K662" s="221"/>
      <c r="L662" s="221"/>
      <c r="M662" s="221"/>
      <c r="N662" s="221"/>
      <c r="O662" s="221"/>
      <c r="P662" s="221"/>
      <c r="Q662" s="221"/>
      <c r="R662" s="221"/>
      <c r="S662" s="221"/>
      <c r="T662" s="221"/>
      <c r="U662" s="221"/>
      <c r="V662" s="221"/>
      <c r="W662" s="221"/>
      <c r="X662" s="221"/>
      <c r="Y662" s="221"/>
      <c r="Z662" s="221"/>
    </row>
    <row r="663" spans="1:26" ht="18.75" customHeight="1">
      <c r="A663" s="221"/>
      <c r="B663" s="221"/>
      <c r="C663" s="221"/>
      <c r="D663" s="221"/>
      <c r="E663" s="221"/>
      <c r="F663" s="221"/>
      <c r="G663" s="221"/>
      <c r="H663" s="221"/>
      <c r="I663" s="221"/>
      <c r="J663" s="221"/>
      <c r="K663" s="221"/>
      <c r="L663" s="221"/>
      <c r="M663" s="221"/>
      <c r="N663" s="221"/>
      <c r="O663" s="221"/>
      <c r="P663" s="221"/>
      <c r="Q663" s="221"/>
      <c r="R663" s="221"/>
      <c r="S663" s="221"/>
      <c r="T663" s="221"/>
      <c r="U663" s="221"/>
      <c r="V663" s="221"/>
      <c r="W663" s="221"/>
      <c r="X663" s="221"/>
      <c r="Y663" s="221"/>
      <c r="Z663" s="221"/>
    </row>
    <row r="664" spans="1:26" ht="18.75" customHeight="1">
      <c r="A664" s="221"/>
      <c r="B664" s="221"/>
      <c r="C664" s="221"/>
      <c r="D664" s="221"/>
      <c r="E664" s="221"/>
      <c r="F664" s="221"/>
      <c r="G664" s="221"/>
      <c r="H664" s="221"/>
      <c r="I664" s="221"/>
      <c r="J664" s="221"/>
      <c r="K664" s="221"/>
      <c r="L664" s="221"/>
      <c r="M664" s="221"/>
      <c r="N664" s="221"/>
      <c r="O664" s="221"/>
      <c r="P664" s="221"/>
      <c r="Q664" s="221"/>
      <c r="R664" s="221"/>
      <c r="S664" s="221"/>
      <c r="T664" s="221"/>
      <c r="U664" s="221"/>
      <c r="V664" s="221"/>
      <c r="W664" s="221"/>
      <c r="X664" s="221"/>
      <c r="Y664" s="221"/>
      <c r="Z664" s="221"/>
    </row>
    <row r="665" spans="1:26" ht="18.75" customHeight="1">
      <c r="A665" s="221"/>
      <c r="B665" s="221"/>
      <c r="C665" s="221"/>
      <c r="D665" s="221"/>
      <c r="E665" s="221"/>
      <c r="F665" s="221"/>
      <c r="G665" s="221"/>
      <c r="H665" s="221"/>
      <c r="I665" s="221"/>
      <c r="J665" s="221"/>
      <c r="K665" s="221"/>
      <c r="L665" s="221"/>
      <c r="M665" s="221"/>
      <c r="N665" s="221"/>
      <c r="O665" s="221"/>
      <c r="P665" s="221"/>
      <c r="Q665" s="221"/>
      <c r="R665" s="221"/>
      <c r="S665" s="221"/>
      <c r="T665" s="221"/>
      <c r="U665" s="221"/>
      <c r="V665" s="221"/>
      <c r="W665" s="221"/>
      <c r="X665" s="221"/>
      <c r="Y665" s="221"/>
      <c r="Z665" s="221"/>
    </row>
    <row r="666" spans="1:26" ht="18.75" customHeight="1">
      <c r="A666" s="221"/>
      <c r="B666" s="221"/>
      <c r="C666" s="221"/>
      <c r="D666" s="221"/>
      <c r="E666" s="221"/>
      <c r="F666" s="221"/>
      <c r="G666" s="221"/>
      <c r="H666" s="221"/>
      <c r="I666" s="221"/>
      <c r="J666" s="221"/>
      <c r="K666" s="221"/>
      <c r="L666" s="221"/>
      <c r="M666" s="221"/>
      <c r="N666" s="221"/>
      <c r="O666" s="221"/>
      <c r="P666" s="221"/>
      <c r="Q666" s="221"/>
      <c r="R666" s="221"/>
      <c r="S666" s="221"/>
      <c r="T666" s="221"/>
      <c r="U666" s="221"/>
      <c r="V666" s="221"/>
      <c r="W666" s="221"/>
      <c r="X666" s="221"/>
      <c r="Y666" s="221"/>
      <c r="Z666" s="221"/>
    </row>
    <row r="667" spans="1:26" ht="18.75" customHeight="1">
      <c r="A667" s="221"/>
      <c r="B667" s="221"/>
      <c r="C667" s="221"/>
      <c r="D667" s="221"/>
      <c r="E667" s="221"/>
      <c r="F667" s="221"/>
      <c r="G667" s="221"/>
      <c r="H667" s="221"/>
      <c r="I667" s="221"/>
      <c r="J667" s="221"/>
      <c r="K667" s="221"/>
      <c r="L667" s="221"/>
      <c r="M667" s="221"/>
      <c r="N667" s="221"/>
      <c r="O667" s="221"/>
      <c r="P667" s="221"/>
      <c r="Q667" s="221"/>
      <c r="R667" s="221"/>
      <c r="S667" s="221"/>
      <c r="T667" s="221"/>
      <c r="U667" s="221"/>
      <c r="V667" s="221"/>
      <c r="W667" s="221"/>
      <c r="X667" s="221"/>
      <c r="Y667" s="221"/>
      <c r="Z667" s="221"/>
    </row>
    <row r="668" spans="1:26" ht="18.75" customHeight="1">
      <c r="A668" s="221"/>
      <c r="B668" s="221"/>
      <c r="C668" s="221"/>
      <c r="D668" s="221"/>
      <c r="E668" s="221"/>
      <c r="F668" s="221"/>
      <c r="G668" s="221"/>
      <c r="H668" s="221"/>
      <c r="I668" s="221"/>
      <c r="J668" s="221"/>
      <c r="K668" s="221"/>
      <c r="L668" s="221"/>
      <c r="M668" s="221"/>
      <c r="N668" s="221"/>
      <c r="O668" s="221"/>
      <c r="P668" s="221"/>
      <c r="Q668" s="221"/>
      <c r="R668" s="221"/>
      <c r="S668" s="221"/>
      <c r="T668" s="221"/>
      <c r="U668" s="221"/>
      <c r="V668" s="221"/>
      <c r="W668" s="221"/>
      <c r="X668" s="221"/>
      <c r="Y668" s="221"/>
      <c r="Z668" s="221"/>
    </row>
    <row r="669" spans="1:26" ht="18.75" customHeight="1">
      <c r="A669" s="221"/>
      <c r="B669" s="221"/>
      <c r="C669" s="221"/>
      <c r="D669" s="221"/>
      <c r="E669" s="221"/>
      <c r="F669" s="221"/>
      <c r="G669" s="221"/>
      <c r="H669" s="221"/>
      <c r="I669" s="221"/>
      <c r="J669" s="221"/>
      <c r="K669" s="221"/>
      <c r="L669" s="221"/>
      <c r="M669" s="221"/>
      <c r="N669" s="221"/>
      <c r="O669" s="221"/>
      <c r="P669" s="221"/>
      <c r="Q669" s="221"/>
      <c r="R669" s="221"/>
      <c r="S669" s="221"/>
      <c r="T669" s="221"/>
      <c r="U669" s="221"/>
      <c r="V669" s="221"/>
      <c r="W669" s="221"/>
      <c r="X669" s="221"/>
      <c r="Y669" s="221"/>
      <c r="Z669" s="221"/>
    </row>
    <row r="670" spans="1:26" ht="18.75" customHeight="1">
      <c r="A670" s="221"/>
      <c r="B670" s="221"/>
      <c r="C670" s="221"/>
      <c r="D670" s="221"/>
      <c r="E670" s="221"/>
      <c r="F670" s="221"/>
      <c r="G670" s="221"/>
      <c r="H670" s="221"/>
      <c r="I670" s="221"/>
      <c r="J670" s="221"/>
      <c r="K670" s="221"/>
      <c r="L670" s="221"/>
      <c r="M670" s="221"/>
      <c r="N670" s="221"/>
      <c r="O670" s="221"/>
      <c r="P670" s="221"/>
      <c r="Q670" s="221"/>
      <c r="R670" s="221"/>
      <c r="S670" s="221"/>
      <c r="T670" s="221"/>
      <c r="U670" s="221"/>
      <c r="V670" s="221"/>
      <c r="W670" s="221"/>
      <c r="X670" s="221"/>
      <c r="Y670" s="221"/>
      <c r="Z670" s="221"/>
    </row>
    <row r="671" spans="1:26" ht="18.75" customHeight="1">
      <c r="A671" s="221"/>
      <c r="B671" s="221"/>
      <c r="C671" s="221"/>
      <c r="D671" s="221"/>
      <c r="E671" s="221"/>
      <c r="F671" s="221"/>
      <c r="G671" s="221"/>
      <c r="H671" s="221"/>
      <c r="I671" s="221"/>
      <c r="J671" s="221"/>
      <c r="K671" s="221"/>
      <c r="L671" s="221"/>
      <c r="M671" s="221"/>
      <c r="N671" s="221"/>
      <c r="O671" s="221"/>
      <c r="P671" s="221"/>
      <c r="Q671" s="221"/>
      <c r="R671" s="221"/>
      <c r="S671" s="221"/>
      <c r="T671" s="221"/>
      <c r="U671" s="221"/>
      <c r="V671" s="221"/>
      <c r="W671" s="221"/>
      <c r="X671" s="221"/>
      <c r="Y671" s="221"/>
      <c r="Z671" s="221"/>
    </row>
    <row r="672" spans="1:26" ht="18.75" customHeight="1">
      <c r="A672" s="221"/>
      <c r="B672" s="221"/>
      <c r="C672" s="221"/>
      <c r="D672" s="221"/>
      <c r="E672" s="221"/>
      <c r="F672" s="221"/>
      <c r="G672" s="221"/>
      <c r="H672" s="221"/>
      <c r="I672" s="221"/>
      <c r="J672" s="221"/>
      <c r="K672" s="221"/>
      <c r="L672" s="221"/>
      <c r="M672" s="221"/>
      <c r="N672" s="221"/>
      <c r="O672" s="221"/>
      <c r="P672" s="221"/>
      <c r="Q672" s="221"/>
      <c r="R672" s="221"/>
      <c r="S672" s="221"/>
      <c r="T672" s="221"/>
      <c r="U672" s="221"/>
      <c r="V672" s="221"/>
      <c r="W672" s="221"/>
      <c r="X672" s="221"/>
      <c r="Y672" s="221"/>
      <c r="Z672" s="221"/>
    </row>
    <row r="673" spans="1:26" ht="18.75" customHeight="1">
      <c r="A673" s="221"/>
      <c r="B673" s="221"/>
      <c r="C673" s="221"/>
      <c r="D673" s="221"/>
      <c r="E673" s="221"/>
      <c r="F673" s="221"/>
      <c r="G673" s="221"/>
      <c r="H673" s="221"/>
      <c r="I673" s="221"/>
      <c r="J673" s="221"/>
      <c r="K673" s="221"/>
      <c r="L673" s="221"/>
      <c r="M673" s="221"/>
      <c r="N673" s="221"/>
      <c r="O673" s="221"/>
      <c r="P673" s="221"/>
      <c r="Q673" s="221"/>
      <c r="R673" s="221"/>
      <c r="S673" s="221"/>
      <c r="T673" s="221"/>
      <c r="U673" s="221"/>
      <c r="V673" s="221"/>
      <c r="W673" s="221"/>
      <c r="X673" s="221"/>
      <c r="Y673" s="221"/>
      <c r="Z673" s="221"/>
    </row>
    <row r="674" spans="1:26" ht="18.75" customHeight="1">
      <c r="A674" s="221"/>
      <c r="B674" s="221"/>
      <c r="C674" s="221"/>
      <c r="D674" s="221"/>
      <c r="E674" s="221"/>
      <c r="F674" s="221"/>
      <c r="G674" s="221"/>
      <c r="H674" s="221"/>
      <c r="I674" s="221"/>
      <c r="J674" s="221"/>
      <c r="K674" s="221"/>
      <c r="L674" s="221"/>
      <c r="M674" s="221"/>
      <c r="N674" s="221"/>
      <c r="O674" s="221"/>
      <c r="P674" s="221"/>
      <c r="Q674" s="221"/>
      <c r="R674" s="221"/>
      <c r="S674" s="221"/>
      <c r="T674" s="221"/>
      <c r="U674" s="221"/>
      <c r="V674" s="221"/>
      <c r="W674" s="221"/>
      <c r="X674" s="221"/>
      <c r="Y674" s="221"/>
      <c r="Z674" s="221"/>
    </row>
    <row r="675" spans="1:26" ht="18.75" customHeight="1">
      <c r="A675" s="221"/>
      <c r="B675" s="221"/>
      <c r="C675" s="221"/>
      <c r="D675" s="221"/>
      <c r="E675" s="221"/>
      <c r="F675" s="221"/>
      <c r="G675" s="221"/>
      <c r="H675" s="221"/>
      <c r="I675" s="221"/>
      <c r="J675" s="221"/>
      <c r="K675" s="221"/>
      <c r="L675" s="221"/>
      <c r="M675" s="221"/>
      <c r="N675" s="221"/>
      <c r="O675" s="221"/>
      <c r="P675" s="221"/>
      <c r="Q675" s="221"/>
      <c r="R675" s="221"/>
      <c r="S675" s="221"/>
      <c r="T675" s="221"/>
      <c r="U675" s="221"/>
      <c r="V675" s="221"/>
      <c r="W675" s="221"/>
      <c r="X675" s="221"/>
      <c r="Y675" s="221"/>
      <c r="Z675" s="221"/>
    </row>
    <row r="676" spans="1:26" ht="18.75" customHeight="1">
      <c r="A676" s="221"/>
      <c r="B676" s="221"/>
      <c r="C676" s="221"/>
      <c r="D676" s="221"/>
      <c r="E676" s="221"/>
      <c r="F676" s="221"/>
      <c r="G676" s="221"/>
      <c r="H676" s="221"/>
      <c r="I676" s="221"/>
      <c r="J676" s="221"/>
      <c r="K676" s="221"/>
      <c r="L676" s="221"/>
      <c r="M676" s="221"/>
      <c r="N676" s="221"/>
      <c r="O676" s="221"/>
      <c r="P676" s="221"/>
      <c r="Q676" s="221"/>
      <c r="R676" s="221"/>
      <c r="S676" s="221"/>
      <c r="T676" s="221"/>
      <c r="U676" s="221"/>
      <c r="V676" s="221"/>
      <c r="W676" s="221"/>
      <c r="X676" s="221"/>
      <c r="Y676" s="221"/>
      <c r="Z676" s="221"/>
    </row>
    <row r="677" spans="1:26" ht="18.75" customHeight="1">
      <c r="A677" s="221"/>
      <c r="B677" s="221"/>
      <c r="C677" s="221"/>
      <c r="D677" s="221"/>
      <c r="E677" s="221"/>
      <c r="F677" s="221"/>
      <c r="G677" s="221"/>
      <c r="H677" s="221"/>
      <c r="I677" s="221"/>
      <c r="J677" s="221"/>
      <c r="K677" s="221"/>
      <c r="L677" s="221"/>
      <c r="M677" s="221"/>
      <c r="N677" s="221"/>
      <c r="O677" s="221"/>
      <c r="P677" s="221"/>
      <c r="Q677" s="221"/>
      <c r="R677" s="221"/>
      <c r="S677" s="221"/>
      <c r="T677" s="221"/>
      <c r="U677" s="221"/>
      <c r="V677" s="221"/>
      <c r="W677" s="221"/>
      <c r="X677" s="221"/>
      <c r="Y677" s="221"/>
      <c r="Z677" s="221"/>
    </row>
    <row r="678" spans="1:26" ht="18.75" customHeight="1">
      <c r="A678" s="221"/>
      <c r="B678" s="221"/>
      <c r="C678" s="221"/>
      <c r="D678" s="221"/>
      <c r="E678" s="221"/>
      <c r="F678" s="221"/>
      <c r="G678" s="221"/>
      <c r="H678" s="221"/>
      <c r="I678" s="221"/>
      <c r="J678" s="221"/>
      <c r="K678" s="221"/>
      <c r="L678" s="221"/>
      <c r="M678" s="221"/>
      <c r="N678" s="221"/>
      <c r="O678" s="221"/>
      <c r="P678" s="221"/>
      <c r="Q678" s="221"/>
      <c r="R678" s="221"/>
      <c r="S678" s="221"/>
      <c r="T678" s="221"/>
      <c r="U678" s="221"/>
      <c r="V678" s="221"/>
      <c r="W678" s="221"/>
      <c r="X678" s="221"/>
      <c r="Y678" s="221"/>
      <c r="Z678" s="221"/>
    </row>
    <row r="679" spans="1:26" ht="18.75" customHeight="1">
      <c r="A679" s="221"/>
      <c r="B679" s="221"/>
      <c r="C679" s="221"/>
      <c r="D679" s="221"/>
      <c r="E679" s="221"/>
      <c r="F679" s="221"/>
      <c r="G679" s="221"/>
      <c r="H679" s="221"/>
      <c r="I679" s="221"/>
      <c r="J679" s="221"/>
      <c r="K679" s="221"/>
      <c r="L679" s="221"/>
      <c r="M679" s="221"/>
      <c r="N679" s="221"/>
      <c r="O679" s="221"/>
      <c r="P679" s="221"/>
      <c r="Q679" s="221"/>
      <c r="R679" s="221"/>
      <c r="S679" s="221"/>
      <c r="T679" s="221"/>
      <c r="U679" s="221"/>
      <c r="V679" s="221"/>
      <c r="W679" s="221"/>
      <c r="X679" s="221"/>
      <c r="Y679" s="221"/>
      <c r="Z679" s="221"/>
    </row>
    <row r="680" spans="1:26" ht="18.75" customHeight="1">
      <c r="A680" s="221"/>
      <c r="B680" s="221"/>
      <c r="C680" s="221"/>
      <c r="D680" s="221"/>
      <c r="E680" s="221"/>
      <c r="F680" s="221"/>
      <c r="G680" s="221"/>
      <c r="H680" s="221"/>
      <c r="I680" s="221"/>
      <c r="J680" s="221"/>
      <c r="K680" s="221"/>
      <c r="L680" s="221"/>
      <c r="M680" s="221"/>
      <c r="N680" s="221"/>
      <c r="O680" s="221"/>
      <c r="P680" s="221"/>
      <c r="Q680" s="221"/>
      <c r="R680" s="221"/>
      <c r="S680" s="221"/>
      <c r="T680" s="221"/>
      <c r="U680" s="221"/>
      <c r="V680" s="221"/>
      <c r="W680" s="221"/>
      <c r="X680" s="221"/>
      <c r="Y680" s="221"/>
      <c r="Z680" s="221"/>
    </row>
    <row r="681" spans="1:26" ht="18.75" customHeight="1">
      <c r="A681" s="221"/>
      <c r="B681" s="221"/>
      <c r="C681" s="221"/>
      <c r="D681" s="221"/>
      <c r="E681" s="221"/>
      <c r="F681" s="221"/>
      <c r="G681" s="221"/>
      <c r="H681" s="221"/>
      <c r="I681" s="221"/>
      <c r="J681" s="221"/>
      <c r="K681" s="221"/>
      <c r="L681" s="221"/>
      <c r="M681" s="221"/>
      <c r="N681" s="221"/>
      <c r="O681" s="221"/>
      <c r="P681" s="221"/>
      <c r="Q681" s="221"/>
      <c r="R681" s="221"/>
      <c r="S681" s="221"/>
      <c r="T681" s="221"/>
      <c r="U681" s="221"/>
      <c r="V681" s="221"/>
      <c r="W681" s="221"/>
      <c r="X681" s="221"/>
      <c r="Y681" s="221"/>
      <c r="Z681" s="221"/>
    </row>
    <row r="682" spans="1:26" ht="18.75" customHeight="1">
      <c r="A682" s="221"/>
      <c r="B682" s="221"/>
      <c r="C682" s="221"/>
      <c r="D682" s="221"/>
      <c r="E682" s="221"/>
      <c r="F682" s="221"/>
      <c r="G682" s="221"/>
      <c r="H682" s="221"/>
      <c r="I682" s="221"/>
      <c r="J682" s="221"/>
      <c r="K682" s="221"/>
      <c r="L682" s="221"/>
      <c r="M682" s="221"/>
      <c r="N682" s="221"/>
      <c r="O682" s="221"/>
      <c r="P682" s="221"/>
      <c r="Q682" s="221"/>
      <c r="R682" s="221"/>
      <c r="S682" s="221"/>
      <c r="T682" s="221"/>
      <c r="U682" s="221"/>
      <c r="V682" s="221"/>
      <c r="W682" s="221"/>
      <c r="X682" s="221"/>
      <c r="Y682" s="221"/>
      <c r="Z682" s="221"/>
    </row>
    <row r="683" spans="1:26" ht="18.75" customHeight="1">
      <c r="A683" s="221"/>
      <c r="B683" s="221"/>
      <c r="C683" s="221"/>
      <c r="D683" s="221"/>
      <c r="E683" s="221"/>
      <c r="F683" s="221"/>
      <c r="G683" s="221"/>
      <c r="H683" s="221"/>
      <c r="I683" s="221"/>
      <c r="J683" s="221"/>
      <c r="K683" s="221"/>
      <c r="L683" s="221"/>
      <c r="M683" s="221"/>
      <c r="N683" s="221"/>
      <c r="O683" s="221"/>
      <c r="P683" s="221"/>
      <c r="Q683" s="221"/>
      <c r="R683" s="221"/>
      <c r="S683" s="221"/>
      <c r="T683" s="221"/>
      <c r="U683" s="221"/>
      <c r="V683" s="221"/>
      <c r="W683" s="221"/>
      <c r="X683" s="221"/>
      <c r="Y683" s="221"/>
      <c r="Z683" s="221"/>
    </row>
    <row r="684" spans="1:26" ht="18.75" customHeight="1">
      <c r="A684" s="221"/>
      <c r="B684" s="221"/>
      <c r="C684" s="221"/>
      <c r="D684" s="221"/>
      <c r="E684" s="221"/>
      <c r="F684" s="221"/>
      <c r="G684" s="221"/>
      <c r="H684" s="221"/>
      <c r="I684" s="221"/>
      <c r="J684" s="221"/>
      <c r="K684" s="221"/>
      <c r="L684" s="221"/>
      <c r="M684" s="221"/>
      <c r="N684" s="221"/>
      <c r="O684" s="221"/>
      <c r="P684" s="221"/>
      <c r="Q684" s="221"/>
      <c r="R684" s="221"/>
      <c r="S684" s="221"/>
      <c r="T684" s="221"/>
      <c r="U684" s="221"/>
      <c r="V684" s="221"/>
      <c r="W684" s="221"/>
      <c r="X684" s="221"/>
      <c r="Y684" s="221"/>
      <c r="Z684" s="221"/>
    </row>
    <row r="685" spans="1:26" ht="18.75" customHeight="1">
      <c r="A685" s="221"/>
      <c r="B685" s="221"/>
      <c r="C685" s="221"/>
      <c r="D685" s="221"/>
      <c r="E685" s="221"/>
      <c r="F685" s="221"/>
      <c r="G685" s="221"/>
      <c r="H685" s="221"/>
      <c r="I685" s="221"/>
      <c r="J685" s="221"/>
      <c r="K685" s="221"/>
      <c r="L685" s="221"/>
      <c r="M685" s="221"/>
      <c r="N685" s="221"/>
      <c r="O685" s="221"/>
      <c r="P685" s="221"/>
      <c r="Q685" s="221"/>
      <c r="R685" s="221"/>
      <c r="S685" s="221"/>
      <c r="T685" s="221"/>
      <c r="U685" s="221"/>
      <c r="V685" s="221"/>
      <c r="W685" s="221"/>
      <c r="X685" s="221"/>
      <c r="Y685" s="221"/>
      <c r="Z685" s="221"/>
    </row>
    <row r="686" spans="1:26" ht="18.75" customHeight="1">
      <c r="A686" s="221"/>
      <c r="B686" s="221"/>
      <c r="C686" s="221"/>
      <c r="D686" s="221"/>
      <c r="E686" s="221"/>
      <c r="F686" s="221"/>
      <c r="G686" s="221"/>
      <c r="H686" s="221"/>
      <c r="I686" s="221"/>
      <c r="J686" s="221"/>
      <c r="K686" s="221"/>
      <c r="L686" s="221"/>
      <c r="M686" s="221"/>
      <c r="N686" s="221"/>
      <c r="O686" s="221"/>
      <c r="P686" s="221"/>
      <c r="Q686" s="221"/>
      <c r="R686" s="221"/>
      <c r="S686" s="221"/>
      <c r="T686" s="221"/>
      <c r="U686" s="221"/>
      <c r="V686" s="221"/>
      <c r="W686" s="221"/>
      <c r="X686" s="221"/>
      <c r="Y686" s="221"/>
      <c r="Z686" s="221"/>
    </row>
    <row r="687" spans="1:26" ht="18.75" customHeight="1">
      <c r="A687" s="221"/>
      <c r="B687" s="221"/>
      <c r="C687" s="221"/>
      <c r="D687" s="221"/>
      <c r="E687" s="221"/>
      <c r="F687" s="221"/>
      <c r="G687" s="221"/>
      <c r="H687" s="221"/>
      <c r="I687" s="221"/>
      <c r="J687" s="221"/>
      <c r="K687" s="221"/>
      <c r="L687" s="221"/>
      <c r="M687" s="221"/>
      <c r="N687" s="221"/>
      <c r="O687" s="221"/>
      <c r="P687" s="221"/>
      <c r="Q687" s="221"/>
      <c r="R687" s="221"/>
      <c r="S687" s="221"/>
      <c r="T687" s="221"/>
      <c r="U687" s="221"/>
      <c r="V687" s="221"/>
      <c r="W687" s="221"/>
      <c r="X687" s="221"/>
      <c r="Y687" s="221"/>
      <c r="Z687" s="221"/>
    </row>
    <row r="688" spans="1:26" ht="18.75" customHeight="1">
      <c r="A688" s="221"/>
      <c r="B688" s="221"/>
      <c r="C688" s="221"/>
      <c r="D688" s="221"/>
      <c r="E688" s="221"/>
      <c r="F688" s="221"/>
      <c r="G688" s="221"/>
      <c r="H688" s="221"/>
      <c r="I688" s="221"/>
      <c r="J688" s="221"/>
      <c r="K688" s="221"/>
      <c r="L688" s="221"/>
      <c r="M688" s="221"/>
      <c r="N688" s="221"/>
      <c r="O688" s="221"/>
      <c r="P688" s="221"/>
      <c r="Q688" s="221"/>
      <c r="R688" s="221"/>
      <c r="S688" s="221"/>
      <c r="T688" s="221"/>
      <c r="U688" s="221"/>
      <c r="V688" s="221"/>
      <c r="W688" s="221"/>
      <c r="X688" s="221"/>
      <c r="Y688" s="221"/>
      <c r="Z688" s="221"/>
    </row>
    <row r="689" spans="1:26" ht="18.75" customHeight="1">
      <c r="A689" s="221"/>
      <c r="B689" s="221"/>
      <c r="C689" s="221"/>
      <c r="D689" s="221"/>
      <c r="E689" s="221"/>
      <c r="F689" s="221"/>
      <c r="G689" s="221"/>
      <c r="H689" s="221"/>
      <c r="I689" s="221"/>
      <c r="J689" s="221"/>
      <c r="K689" s="221"/>
      <c r="L689" s="221"/>
      <c r="M689" s="221"/>
      <c r="N689" s="221"/>
      <c r="O689" s="221"/>
      <c r="P689" s="221"/>
      <c r="Q689" s="221"/>
      <c r="R689" s="221"/>
      <c r="S689" s="221"/>
      <c r="T689" s="221"/>
      <c r="U689" s="221"/>
      <c r="V689" s="221"/>
      <c r="W689" s="221"/>
      <c r="X689" s="221"/>
      <c r="Y689" s="221"/>
      <c r="Z689" s="221"/>
    </row>
    <row r="690" spans="1:26" ht="18.75" customHeight="1">
      <c r="A690" s="221"/>
      <c r="B690" s="221"/>
      <c r="C690" s="221"/>
      <c r="D690" s="221"/>
      <c r="E690" s="221"/>
      <c r="F690" s="221"/>
      <c r="G690" s="221"/>
      <c r="H690" s="221"/>
      <c r="I690" s="221"/>
      <c r="J690" s="221"/>
      <c r="K690" s="221"/>
      <c r="L690" s="221"/>
      <c r="M690" s="221"/>
      <c r="N690" s="221"/>
      <c r="O690" s="221"/>
      <c r="P690" s="221"/>
      <c r="Q690" s="221"/>
      <c r="R690" s="221"/>
      <c r="S690" s="221"/>
      <c r="T690" s="221"/>
      <c r="U690" s="221"/>
      <c r="V690" s="221"/>
      <c r="W690" s="221"/>
      <c r="X690" s="221"/>
      <c r="Y690" s="221"/>
      <c r="Z690" s="221"/>
    </row>
    <row r="691" spans="1:26" ht="18.75" customHeight="1">
      <c r="A691" s="221"/>
      <c r="B691" s="221"/>
      <c r="C691" s="221"/>
      <c r="D691" s="221"/>
      <c r="E691" s="221"/>
      <c r="F691" s="221"/>
      <c r="G691" s="221"/>
      <c r="H691" s="221"/>
      <c r="I691" s="221"/>
      <c r="J691" s="221"/>
      <c r="K691" s="221"/>
      <c r="L691" s="221"/>
      <c r="M691" s="221"/>
      <c r="N691" s="221"/>
      <c r="O691" s="221"/>
      <c r="P691" s="221"/>
      <c r="Q691" s="221"/>
      <c r="R691" s="221"/>
      <c r="S691" s="221"/>
      <c r="T691" s="221"/>
      <c r="U691" s="221"/>
      <c r="V691" s="221"/>
      <c r="W691" s="221"/>
      <c r="X691" s="221"/>
      <c r="Y691" s="221"/>
      <c r="Z691" s="221"/>
    </row>
    <row r="692" spans="1:26" ht="18.75" customHeight="1">
      <c r="A692" s="221"/>
      <c r="B692" s="221"/>
      <c r="C692" s="221"/>
      <c r="D692" s="221"/>
      <c r="E692" s="221"/>
      <c r="F692" s="221"/>
      <c r="G692" s="221"/>
      <c r="H692" s="221"/>
      <c r="I692" s="221"/>
      <c r="J692" s="221"/>
      <c r="K692" s="221"/>
      <c r="L692" s="221"/>
      <c r="M692" s="221"/>
      <c r="N692" s="221"/>
      <c r="O692" s="221"/>
      <c r="P692" s="221"/>
      <c r="Q692" s="221"/>
      <c r="R692" s="221"/>
      <c r="S692" s="221"/>
      <c r="T692" s="221"/>
      <c r="U692" s="221"/>
      <c r="V692" s="221"/>
      <c r="W692" s="221"/>
      <c r="X692" s="221"/>
      <c r="Y692" s="221"/>
      <c r="Z692" s="221"/>
    </row>
    <row r="693" spans="1:26" ht="18.75" customHeight="1">
      <c r="A693" s="221"/>
      <c r="B693" s="221"/>
      <c r="C693" s="221"/>
      <c r="D693" s="221"/>
      <c r="E693" s="221"/>
      <c r="F693" s="221"/>
      <c r="G693" s="221"/>
      <c r="H693" s="221"/>
      <c r="I693" s="221"/>
      <c r="J693" s="221"/>
      <c r="K693" s="221"/>
      <c r="L693" s="221"/>
      <c r="M693" s="221"/>
      <c r="N693" s="221"/>
      <c r="O693" s="221"/>
      <c r="P693" s="221"/>
      <c r="Q693" s="221"/>
      <c r="R693" s="221"/>
      <c r="S693" s="221"/>
      <c r="T693" s="221"/>
      <c r="U693" s="221"/>
      <c r="V693" s="221"/>
      <c r="W693" s="221"/>
      <c r="X693" s="221"/>
      <c r="Y693" s="221"/>
      <c r="Z693" s="221"/>
    </row>
    <row r="694" spans="1:26" ht="18.75" customHeight="1">
      <c r="A694" s="221"/>
      <c r="B694" s="221"/>
      <c r="C694" s="221"/>
      <c r="D694" s="221"/>
      <c r="E694" s="221"/>
      <c r="F694" s="221"/>
      <c r="G694" s="221"/>
      <c r="H694" s="221"/>
      <c r="I694" s="221"/>
      <c r="J694" s="221"/>
      <c r="K694" s="221"/>
      <c r="L694" s="221"/>
      <c r="M694" s="221"/>
      <c r="N694" s="221"/>
      <c r="O694" s="221"/>
      <c r="P694" s="221"/>
      <c r="Q694" s="221"/>
      <c r="R694" s="221"/>
      <c r="S694" s="221"/>
      <c r="T694" s="221"/>
      <c r="U694" s="221"/>
      <c r="V694" s="221"/>
      <c r="W694" s="221"/>
      <c r="X694" s="221"/>
      <c r="Y694" s="221"/>
      <c r="Z694" s="221"/>
    </row>
    <row r="695" spans="1:26" ht="18.75" customHeight="1">
      <c r="A695" s="221"/>
      <c r="B695" s="221"/>
      <c r="C695" s="221"/>
      <c r="D695" s="221"/>
      <c r="E695" s="221"/>
      <c r="F695" s="221"/>
      <c r="G695" s="221"/>
      <c r="H695" s="221"/>
      <c r="I695" s="221"/>
      <c r="J695" s="221"/>
      <c r="K695" s="221"/>
      <c r="L695" s="221"/>
      <c r="M695" s="221"/>
      <c r="N695" s="221"/>
      <c r="O695" s="221"/>
      <c r="P695" s="221"/>
      <c r="Q695" s="221"/>
      <c r="R695" s="221"/>
      <c r="S695" s="221"/>
      <c r="T695" s="221"/>
      <c r="U695" s="221"/>
      <c r="V695" s="221"/>
      <c r="W695" s="221"/>
      <c r="X695" s="221"/>
      <c r="Y695" s="221"/>
      <c r="Z695" s="221"/>
    </row>
    <row r="696" spans="1:26" ht="18.75" customHeight="1">
      <c r="A696" s="221"/>
      <c r="B696" s="221"/>
      <c r="C696" s="221"/>
      <c r="D696" s="221"/>
      <c r="E696" s="221"/>
      <c r="F696" s="221"/>
      <c r="G696" s="221"/>
      <c r="H696" s="221"/>
      <c r="I696" s="221"/>
      <c r="J696" s="221"/>
      <c r="K696" s="221"/>
      <c r="L696" s="221"/>
      <c r="M696" s="221"/>
      <c r="N696" s="221"/>
      <c r="O696" s="221"/>
      <c r="P696" s="221"/>
      <c r="Q696" s="221"/>
      <c r="R696" s="221"/>
      <c r="S696" s="221"/>
      <c r="T696" s="221"/>
      <c r="U696" s="221"/>
      <c r="V696" s="221"/>
      <c r="W696" s="221"/>
      <c r="X696" s="221"/>
      <c r="Y696" s="221"/>
      <c r="Z696" s="221"/>
    </row>
    <row r="697" spans="1:26" ht="18.75" customHeight="1">
      <c r="A697" s="221"/>
      <c r="B697" s="221"/>
      <c r="C697" s="221"/>
      <c r="D697" s="221"/>
      <c r="E697" s="221"/>
      <c r="F697" s="221"/>
      <c r="G697" s="221"/>
      <c r="H697" s="221"/>
      <c r="I697" s="221"/>
      <c r="J697" s="221"/>
      <c r="K697" s="221"/>
      <c r="L697" s="221"/>
      <c r="M697" s="221"/>
      <c r="N697" s="221"/>
      <c r="O697" s="221"/>
      <c r="P697" s="221"/>
      <c r="Q697" s="221"/>
      <c r="R697" s="221"/>
      <c r="S697" s="221"/>
      <c r="T697" s="221"/>
      <c r="U697" s="221"/>
      <c r="V697" s="221"/>
      <c r="W697" s="221"/>
      <c r="X697" s="221"/>
      <c r="Y697" s="221"/>
      <c r="Z697" s="221"/>
    </row>
    <row r="698" spans="1:26" ht="18.75" customHeight="1">
      <c r="A698" s="221"/>
      <c r="B698" s="221"/>
      <c r="C698" s="221"/>
      <c r="D698" s="221"/>
      <c r="E698" s="221"/>
      <c r="F698" s="221"/>
      <c r="G698" s="221"/>
      <c r="H698" s="221"/>
      <c r="I698" s="221"/>
      <c r="J698" s="221"/>
      <c r="K698" s="221"/>
      <c r="L698" s="221"/>
      <c r="M698" s="221"/>
      <c r="N698" s="221"/>
      <c r="O698" s="221"/>
      <c r="P698" s="221"/>
      <c r="Q698" s="221"/>
      <c r="R698" s="221"/>
      <c r="S698" s="221"/>
      <c r="T698" s="221"/>
      <c r="U698" s="221"/>
      <c r="V698" s="221"/>
      <c r="W698" s="221"/>
      <c r="X698" s="221"/>
      <c r="Y698" s="221"/>
      <c r="Z698" s="221"/>
    </row>
    <row r="699" spans="1:26" ht="18.75" customHeight="1">
      <c r="A699" s="221"/>
      <c r="B699" s="221"/>
      <c r="C699" s="221"/>
      <c r="D699" s="221"/>
      <c r="E699" s="221"/>
      <c r="F699" s="221"/>
      <c r="G699" s="221"/>
      <c r="H699" s="221"/>
      <c r="I699" s="221"/>
      <c r="J699" s="221"/>
      <c r="K699" s="221"/>
      <c r="L699" s="221"/>
      <c r="M699" s="221"/>
      <c r="N699" s="221"/>
      <c r="O699" s="221"/>
      <c r="P699" s="221"/>
      <c r="Q699" s="221"/>
      <c r="R699" s="221"/>
      <c r="S699" s="221"/>
      <c r="T699" s="221"/>
      <c r="U699" s="221"/>
      <c r="V699" s="221"/>
      <c r="W699" s="221"/>
      <c r="X699" s="221"/>
      <c r="Y699" s="221"/>
      <c r="Z699" s="221"/>
    </row>
    <row r="700" spans="1:26" ht="18.75" customHeight="1">
      <c r="A700" s="221"/>
      <c r="B700" s="221"/>
      <c r="C700" s="221"/>
      <c r="D700" s="221"/>
      <c r="E700" s="221"/>
      <c r="F700" s="221"/>
      <c r="G700" s="221"/>
      <c r="H700" s="221"/>
      <c r="I700" s="221"/>
      <c r="J700" s="221"/>
      <c r="K700" s="221"/>
      <c r="L700" s="221"/>
      <c r="M700" s="221"/>
      <c r="N700" s="221"/>
      <c r="O700" s="221"/>
      <c r="P700" s="221"/>
      <c r="Q700" s="221"/>
      <c r="R700" s="221"/>
      <c r="S700" s="221"/>
      <c r="T700" s="221"/>
      <c r="U700" s="221"/>
      <c r="V700" s="221"/>
      <c r="W700" s="221"/>
      <c r="X700" s="221"/>
      <c r="Y700" s="221"/>
      <c r="Z700" s="221"/>
    </row>
    <row r="701" spans="1:26" ht="18.75" customHeight="1">
      <c r="A701" s="221"/>
      <c r="B701" s="221"/>
      <c r="C701" s="221"/>
      <c r="D701" s="221"/>
      <c r="E701" s="221"/>
      <c r="F701" s="221"/>
      <c r="G701" s="221"/>
      <c r="H701" s="221"/>
      <c r="I701" s="221"/>
      <c r="J701" s="221"/>
      <c r="K701" s="221"/>
      <c r="L701" s="221"/>
      <c r="M701" s="221"/>
      <c r="N701" s="221"/>
      <c r="O701" s="221"/>
      <c r="P701" s="221"/>
      <c r="Q701" s="221"/>
      <c r="R701" s="221"/>
      <c r="S701" s="221"/>
      <c r="T701" s="221"/>
      <c r="U701" s="221"/>
      <c r="V701" s="221"/>
      <c r="W701" s="221"/>
      <c r="X701" s="221"/>
      <c r="Y701" s="221"/>
      <c r="Z701" s="221"/>
    </row>
    <row r="702" spans="1:26" ht="18.75" customHeight="1">
      <c r="A702" s="221"/>
      <c r="B702" s="221"/>
      <c r="C702" s="221"/>
      <c r="D702" s="221"/>
      <c r="E702" s="221"/>
      <c r="F702" s="221"/>
      <c r="G702" s="221"/>
      <c r="H702" s="221"/>
      <c r="I702" s="221"/>
      <c r="J702" s="221"/>
      <c r="K702" s="221"/>
      <c r="L702" s="221"/>
      <c r="M702" s="221"/>
      <c r="N702" s="221"/>
      <c r="O702" s="221"/>
      <c r="P702" s="221"/>
      <c r="Q702" s="221"/>
      <c r="R702" s="221"/>
      <c r="S702" s="221"/>
      <c r="T702" s="221"/>
      <c r="U702" s="221"/>
      <c r="V702" s="221"/>
      <c r="W702" s="221"/>
      <c r="X702" s="221"/>
      <c r="Y702" s="221"/>
      <c r="Z702" s="221"/>
    </row>
    <row r="703" spans="1:26" ht="18.75" customHeight="1">
      <c r="A703" s="221"/>
      <c r="B703" s="221"/>
      <c r="C703" s="221"/>
      <c r="D703" s="221"/>
      <c r="E703" s="221"/>
      <c r="F703" s="221"/>
      <c r="G703" s="221"/>
      <c r="H703" s="221"/>
      <c r="I703" s="221"/>
      <c r="J703" s="221"/>
      <c r="K703" s="221"/>
      <c r="L703" s="221"/>
      <c r="M703" s="221"/>
      <c r="N703" s="221"/>
      <c r="O703" s="221"/>
      <c r="P703" s="221"/>
      <c r="Q703" s="221"/>
      <c r="R703" s="221"/>
      <c r="S703" s="221"/>
      <c r="T703" s="221"/>
      <c r="U703" s="221"/>
      <c r="V703" s="221"/>
      <c r="W703" s="221"/>
      <c r="X703" s="221"/>
      <c r="Y703" s="221"/>
      <c r="Z703" s="221"/>
    </row>
    <row r="704" spans="1:26" ht="18.75" customHeight="1">
      <c r="A704" s="221"/>
      <c r="B704" s="221"/>
      <c r="C704" s="221"/>
      <c r="D704" s="221"/>
      <c r="E704" s="221"/>
      <c r="F704" s="221"/>
      <c r="G704" s="221"/>
      <c r="H704" s="221"/>
      <c r="I704" s="221"/>
      <c r="J704" s="221"/>
      <c r="K704" s="221"/>
      <c r="L704" s="221"/>
      <c r="M704" s="221"/>
      <c r="N704" s="221"/>
      <c r="O704" s="221"/>
      <c r="P704" s="221"/>
      <c r="Q704" s="221"/>
      <c r="R704" s="221"/>
      <c r="S704" s="221"/>
      <c r="T704" s="221"/>
      <c r="U704" s="221"/>
      <c r="V704" s="221"/>
      <c r="W704" s="221"/>
      <c r="X704" s="221"/>
      <c r="Y704" s="221"/>
      <c r="Z704" s="221"/>
    </row>
    <row r="705" spans="1:26" ht="18.75" customHeight="1">
      <c r="A705" s="221"/>
      <c r="B705" s="221"/>
      <c r="C705" s="221"/>
      <c r="D705" s="221"/>
      <c r="E705" s="221"/>
      <c r="F705" s="221"/>
      <c r="G705" s="221"/>
      <c r="H705" s="221"/>
      <c r="I705" s="221"/>
      <c r="J705" s="221"/>
      <c r="K705" s="221"/>
      <c r="L705" s="221"/>
      <c r="M705" s="221"/>
      <c r="N705" s="221"/>
      <c r="O705" s="221"/>
      <c r="P705" s="221"/>
      <c r="Q705" s="221"/>
      <c r="R705" s="221"/>
      <c r="S705" s="221"/>
      <c r="T705" s="221"/>
      <c r="U705" s="221"/>
      <c r="V705" s="221"/>
      <c r="W705" s="221"/>
      <c r="X705" s="221"/>
      <c r="Y705" s="221"/>
      <c r="Z705" s="221"/>
    </row>
    <row r="706" spans="1:26" ht="18.75" customHeight="1">
      <c r="A706" s="221"/>
      <c r="B706" s="221"/>
      <c r="C706" s="221"/>
      <c r="D706" s="221"/>
      <c r="E706" s="221"/>
      <c r="F706" s="221"/>
      <c r="G706" s="221"/>
      <c r="H706" s="221"/>
      <c r="I706" s="221"/>
      <c r="J706" s="221"/>
      <c r="K706" s="221"/>
      <c r="L706" s="221"/>
      <c r="M706" s="221"/>
      <c r="N706" s="221"/>
      <c r="O706" s="221"/>
      <c r="P706" s="221"/>
      <c r="Q706" s="221"/>
      <c r="R706" s="221"/>
      <c r="S706" s="221"/>
      <c r="T706" s="221"/>
      <c r="U706" s="221"/>
      <c r="V706" s="221"/>
      <c r="W706" s="221"/>
      <c r="X706" s="221"/>
      <c r="Y706" s="221"/>
      <c r="Z706" s="221"/>
    </row>
    <row r="707" spans="1:26" ht="18.75" customHeight="1">
      <c r="A707" s="221"/>
      <c r="B707" s="221"/>
      <c r="C707" s="221"/>
      <c r="D707" s="221"/>
      <c r="E707" s="221"/>
      <c r="F707" s="221"/>
      <c r="G707" s="221"/>
      <c r="H707" s="221"/>
      <c r="I707" s="221"/>
      <c r="J707" s="221"/>
      <c r="K707" s="221"/>
      <c r="L707" s="221"/>
      <c r="M707" s="221"/>
      <c r="N707" s="221"/>
      <c r="O707" s="221"/>
      <c r="P707" s="221"/>
      <c r="Q707" s="221"/>
      <c r="R707" s="221"/>
      <c r="S707" s="221"/>
      <c r="T707" s="221"/>
      <c r="U707" s="221"/>
      <c r="V707" s="221"/>
      <c r="W707" s="221"/>
      <c r="X707" s="221"/>
      <c r="Y707" s="221"/>
      <c r="Z707" s="221"/>
    </row>
    <row r="708" spans="1:26" ht="18.75" customHeight="1">
      <c r="A708" s="221"/>
      <c r="B708" s="221"/>
      <c r="C708" s="221"/>
      <c r="D708" s="221"/>
      <c r="E708" s="221"/>
      <c r="F708" s="221"/>
      <c r="G708" s="221"/>
      <c r="H708" s="221"/>
      <c r="I708" s="221"/>
      <c r="J708" s="221"/>
      <c r="K708" s="221"/>
      <c r="L708" s="221"/>
      <c r="M708" s="221"/>
      <c r="N708" s="221"/>
      <c r="O708" s="221"/>
      <c r="P708" s="221"/>
      <c r="Q708" s="221"/>
      <c r="R708" s="221"/>
      <c r="S708" s="221"/>
      <c r="T708" s="221"/>
      <c r="U708" s="221"/>
      <c r="V708" s="221"/>
      <c r="W708" s="221"/>
      <c r="X708" s="221"/>
      <c r="Y708" s="221"/>
      <c r="Z708" s="221"/>
    </row>
    <row r="709" spans="1:26" ht="18.75" customHeight="1">
      <c r="A709" s="221"/>
      <c r="B709" s="221"/>
      <c r="C709" s="221"/>
      <c r="D709" s="221"/>
      <c r="E709" s="221"/>
      <c r="F709" s="221"/>
      <c r="G709" s="221"/>
      <c r="H709" s="221"/>
      <c r="I709" s="221"/>
      <c r="J709" s="221"/>
      <c r="K709" s="221"/>
      <c r="L709" s="221"/>
      <c r="M709" s="221"/>
      <c r="N709" s="221"/>
      <c r="O709" s="221"/>
      <c r="P709" s="221"/>
      <c r="Q709" s="221"/>
      <c r="R709" s="221"/>
      <c r="S709" s="221"/>
      <c r="T709" s="221"/>
      <c r="U709" s="221"/>
      <c r="V709" s="221"/>
      <c r="W709" s="221"/>
      <c r="X709" s="221"/>
      <c r="Y709" s="221"/>
      <c r="Z709" s="221"/>
    </row>
    <row r="710" spans="1:26" ht="18.75" customHeight="1">
      <c r="A710" s="221"/>
      <c r="B710" s="221"/>
      <c r="C710" s="221"/>
      <c r="D710" s="221"/>
      <c r="E710" s="221"/>
      <c r="F710" s="221"/>
      <c r="G710" s="221"/>
      <c r="H710" s="221"/>
      <c r="I710" s="221"/>
      <c r="J710" s="221"/>
      <c r="K710" s="221"/>
      <c r="L710" s="221"/>
      <c r="M710" s="221"/>
      <c r="N710" s="221"/>
      <c r="O710" s="221"/>
      <c r="P710" s="221"/>
      <c r="Q710" s="221"/>
      <c r="R710" s="221"/>
      <c r="S710" s="221"/>
      <c r="T710" s="221"/>
      <c r="U710" s="221"/>
      <c r="V710" s="221"/>
      <c r="W710" s="221"/>
      <c r="X710" s="221"/>
      <c r="Y710" s="221"/>
      <c r="Z710" s="221"/>
    </row>
    <row r="711" spans="1:26" ht="18.75" customHeight="1">
      <c r="A711" s="221"/>
      <c r="B711" s="221"/>
      <c r="C711" s="221"/>
      <c r="D711" s="221"/>
      <c r="E711" s="221"/>
      <c r="F711" s="221"/>
      <c r="G711" s="221"/>
      <c r="H711" s="221"/>
      <c r="I711" s="221"/>
      <c r="J711" s="221"/>
      <c r="K711" s="221"/>
      <c r="L711" s="221"/>
      <c r="M711" s="221"/>
      <c r="N711" s="221"/>
      <c r="O711" s="221"/>
      <c r="P711" s="221"/>
      <c r="Q711" s="221"/>
      <c r="R711" s="221"/>
      <c r="S711" s="221"/>
      <c r="T711" s="221"/>
      <c r="U711" s="221"/>
      <c r="V711" s="221"/>
      <c r="W711" s="221"/>
      <c r="X711" s="221"/>
      <c r="Y711" s="221"/>
      <c r="Z711" s="221"/>
    </row>
    <row r="712" spans="1:26" ht="18.75" customHeight="1">
      <c r="A712" s="221"/>
      <c r="B712" s="221"/>
      <c r="C712" s="221"/>
      <c r="D712" s="221"/>
      <c r="E712" s="221"/>
      <c r="F712" s="221"/>
      <c r="G712" s="221"/>
      <c r="H712" s="221"/>
      <c r="I712" s="221"/>
      <c r="J712" s="221"/>
      <c r="K712" s="221"/>
      <c r="L712" s="221"/>
      <c r="M712" s="221"/>
      <c r="N712" s="221"/>
      <c r="O712" s="221"/>
      <c r="P712" s="221"/>
      <c r="Q712" s="221"/>
      <c r="R712" s="221"/>
      <c r="S712" s="221"/>
      <c r="T712" s="221"/>
      <c r="U712" s="221"/>
      <c r="V712" s="221"/>
      <c r="W712" s="221"/>
      <c r="X712" s="221"/>
      <c r="Y712" s="221"/>
      <c r="Z712" s="221"/>
    </row>
    <row r="713" spans="1:26" ht="18.75" customHeight="1">
      <c r="A713" s="221"/>
      <c r="B713" s="221"/>
      <c r="C713" s="221"/>
      <c r="D713" s="221"/>
      <c r="E713" s="221"/>
      <c r="F713" s="221"/>
      <c r="G713" s="221"/>
      <c r="H713" s="221"/>
      <c r="I713" s="221"/>
      <c r="J713" s="221"/>
      <c r="K713" s="221"/>
      <c r="L713" s="221"/>
      <c r="M713" s="221"/>
      <c r="N713" s="221"/>
      <c r="O713" s="221"/>
      <c r="P713" s="221"/>
      <c r="Q713" s="221"/>
      <c r="R713" s="221"/>
      <c r="S713" s="221"/>
      <c r="T713" s="221"/>
      <c r="U713" s="221"/>
      <c r="V713" s="221"/>
      <c r="W713" s="221"/>
      <c r="X713" s="221"/>
      <c r="Y713" s="221"/>
      <c r="Z713" s="221"/>
    </row>
    <row r="714" spans="1:26" ht="18.75" customHeight="1">
      <c r="A714" s="221"/>
      <c r="B714" s="221"/>
      <c r="C714" s="221"/>
      <c r="D714" s="221"/>
      <c r="E714" s="221"/>
      <c r="F714" s="221"/>
      <c r="G714" s="221"/>
      <c r="H714" s="221"/>
      <c r="I714" s="221"/>
      <c r="J714" s="221"/>
      <c r="K714" s="221"/>
      <c r="L714" s="221"/>
      <c r="M714" s="221"/>
      <c r="N714" s="221"/>
      <c r="O714" s="221"/>
      <c r="P714" s="221"/>
      <c r="Q714" s="221"/>
      <c r="R714" s="221"/>
      <c r="S714" s="221"/>
      <c r="T714" s="221"/>
      <c r="U714" s="221"/>
      <c r="V714" s="221"/>
      <c r="W714" s="221"/>
      <c r="X714" s="221"/>
      <c r="Y714" s="221"/>
      <c r="Z714" s="221"/>
    </row>
    <row r="715" spans="1:26" ht="18.75" customHeight="1">
      <c r="A715" s="221"/>
      <c r="B715" s="221"/>
      <c r="C715" s="221"/>
      <c r="D715" s="221"/>
      <c r="E715" s="221"/>
      <c r="F715" s="221"/>
      <c r="G715" s="221"/>
      <c r="H715" s="221"/>
      <c r="I715" s="221"/>
      <c r="J715" s="221"/>
      <c r="K715" s="221"/>
      <c r="L715" s="221"/>
      <c r="M715" s="221"/>
      <c r="N715" s="221"/>
      <c r="O715" s="221"/>
      <c r="P715" s="221"/>
      <c r="Q715" s="221"/>
      <c r="R715" s="221"/>
      <c r="S715" s="221"/>
      <c r="T715" s="221"/>
      <c r="U715" s="221"/>
      <c r="V715" s="221"/>
      <c r="W715" s="221"/>
      <c r="X715" s="221"/>
      <c r="Y715" s="221"/>
      <c r="Z715" s="221"/>
    </row>
    <row r="716" spans="1:26" ht="18.75" customHeight="1">
      <c r="A716" s="221"/>
      <c r="B716" s="221"/>
      <c r="C716" s="221"/>
      <c r="D716" s="221"/>
      <c r="E716" s="221"/>
      <c r="F716" s="221"/>
      <c r="G716" s="221"/>
      <c r="H716" s="221"/>
      <c r="I716" s="221"/>
      <c r="J716" s="221"/>
      <c r="K716" s="221"/>
      <c r="L716" s="221"/>
      <c r="M716" s="221"/>
      <c r="N716" s="221"/>
      <c r="O716" s="221"/>
      <c r="P716" s="221"/>
      <c r="Q716" s="221"/>
      <c r="R716" s="221"/>
      <c r="S716" s="221"/>
      <c r="T716" s="221"/>
      <c r="U716" s="221"/>
      <c r="V716" s="221"/>
      <c r="W716" s="221"/>
      <c r="X716" s="221"/>
      <c r="Y716" s="221"/>
      <c r="Z716" s="221"/>
    </row>
    <row r="717" spans="1:26" ht="18.75" customHeight="1">
      <c r="A717" s="221"/>
      <c r="B717" s="221"/>
      <c r="C717" s="221"/>
      <c r="D717" s="221"/>
      <c r="E717" s="221"/>
      <c r="F717" s="221"/>
      <c r="G717" s="221"/>
      <c r="H717" s="221"/>
      <c r="I717" s="221"/>
      <c r="J717" s="221"/>
      <c r="K717" s="221"/>
      <c r="L717" s="221"/>
      <c r="M717" s="221"/>
      <c r="N717" s="221"/>
      <c r="O717" s="221"/>
      <c r="P717" s="221"/>
      <c r="Q717" s="221"/>
      <c r="R717" s="221"/>
      <c r="S717" s="221"/>
      <c r="T717" s="221"/>
      <c r="U717" s="221"/>
      <c r="V717" s="221"/>
      <c r="W717" s="221"/>
      <c r="X717" s="221"/>
      <c r="Y717" s="221"/>
      <c r="Z717" s="221"/>
    </row>
    <row r="718" spans="1:26" ht="18.75" customHeight="1">
      <c r="A718" s="221"/>
      <c r="B718" s="221"/>
      <c r="C718" s="221"/>
      <c r="D718" s="221"/>
      <c r="E718" s="221"/>
      <c r="F718" s="221"/>
      <c r="G718" s="221"/>
      <c r="H718" s="221"/>
      <c r="I718" s="221"/>
      <c r="J718" s="221"/>
      <c r="K718" s="221"/>
      <c r="L718" s="221"/>
      <c r="M718" s="221"/>
      <c r="N718" s="221"/>
      <c r="O718" s="221"/>
      <c r="P718" s="221"/>
      <c r="Q718" s="221"/>
      <c r="R718" s="221"/>
      <c r="S718" s="221"/>
      <c r="T718" s="221"/>
      <c r="U718" s="221"/>
      <c r="V718" s="221"/>
      <c r="W718" s="221"/>
      <c r="X718" s="221"/>
      <c r="Y718" s="221"/>
      <c r="Z718" s="221"/>
    </row>
    <row r="719" spans="1:26" ht="18.75" customHeight="1">
      <c r="A719" s="221"/>
      <c r="B719" s="221"/>
      <c r="C719" s="221"/>
      <c r="D719" s="221"/>
      <c r="E719" s="221"/>
      <c r="F719" s="221"/>
      <c r="G719" s="221"/>
      <c r="H719" s="221"/>
      <c r="I719" s="221"/>
      <c r="J719" s="221"/>
      <c r="K719" s="221"/>
      <c r="L719" s="221"/>
      <c r="M719" s="221"/>
      <c r="N719" s="221"/>
      <c r="O719" s="221"/>
      <c r="P719" s="221"/>
      <c r="Q719" s="221"/>
      <c r="R719" s="221"/>
      <c r="S719" s="221"/>
      <c r="T719" s="221"/>
      <c r="U719" s="221"/>
      <c r="V719" s="221"/>
      <c r="W719" s="221"/>
      <c r="X719" s="221"/>
      <c r="Y719" s="221"/>
      <c r="Z719" s="221"/>
    </row>
    <row r="720" spans="1:26" ht="18.75" customHeight="1">
      <c r="A720" s="221"/>
      <c r="B720" s="221"/>
      <c r="C720" s="221"/>
      <c r="D720" s="221"/>
      <c r="E720" s="221"/>
      <c r="F720" s="221"/>
      <c r="G720" s="221"/>
      <c r="H720" s="221"/>
      <c r="I720" s="221"/>
      <c r="J720" s="221"/>
      <c r="K720" s="221"/>
      <c r="L720" s="221"/>
      <c r="M720" s="221"/>
      <c r="N720" s="221"/>
      <c r="O720" s="221"/>
      <c r="P720" s="221"/>
      <c r="Q720" s="221"/>
      <c r="R720" s="221"/>
      <c r="S720" s="221"/>
      <c r="T720" s="221"/>
      <c r="U720" s="221"/>
      <c r="V720" s="221"/>
      <c r="W720" s="221"/>
      <c r="X720" s="221"/>
      <c r="Y720" s="221"/>
      <c r="Z720" s="221"/>
    </row>
    <row r="721" spans="1:26" ht="18.75" customHeight="1">
      <c r="A721" s="221"/>
      <c r="B721" s="221"/>
      <c r="C721" s="221"/>
      <c r="D721" s="221"/>
      <c r="E721" s="221"/>
      <c r="F721" s="221"/>
      <c r="G721" s="221"/>
      <c r="H721" s="221"/>
      <c r="I721" s="221"/>
      <c r="J721" s="221"/>
      <c r="K721" s="221"/>
      <c r="L721" s="221"/>
      <c r="M721" s="221"/>
      <c r="N721" s="221"/>
      <c r="O721" s="221"/>
      <c r="P721" s="221"/>
      <c r="Q721" s="221"/>
      <c r="R721" s="221"/>
      <c r="S721" s="221"/>
      <c r="T721" s="221"/>
      <c r="U721" s="221"/>
      <c r="V721" s="221"/>
      <c r="W721" s="221"/>
      <c r="X721" s="221"/>
      <c r="Y721" s="221"/>
      <c r="Z721" s="221"/>
    </row>
    <row r="722" spans="1:26" ht="18.75" customHeight="1">
      <c r="A722" s="221"/>
      <c r="B722" s="221"/>
      <c r="C722" s="221"/>
      <c r="D722" s="221"/>
      <c r="E722" s="221"/>
      <c r="F722" s="221"/>
      <c r="G722" s="221"/>
      <c r="H722" s="221"/>
      <c r="I722" s="221"/>
      <c r="J722" s="221"/>
      <c r="K722" s="221"/>
      <c r="L722" s="221"/>
      <c r="M722" s="221"/>
      <c r="N722" s="221"/>
      <c r="O722" s="221"/>
      <c r="P722" s="221"/>
      <c r="Q722" s="221"/>
      <c r="R722" s="221"/>
      <c r="S722" s="221"/>
      <c r="T722" s="221"/>
      <c r="U722" s="221"/>
      <c r="V722" s="221"/>
      <c r="W722" s="221"/>
      <c r="X722" s="221"/>
      <c r="Y722" s="221"/>
      <c r="Z722" s="221"/>
    </row>
    <row r="723" spans="1:26" ht="18.75" customHeight="1">
      <c r="A723" s="221"/>
      <c r="B723" s="221"/>
      <c r="C723" s="221"/>
      <c r="D723" s="221"/>
      <c r="E723" s="221"/>
      <c r="F723" s="221"/>
      <c r="G723" s="221"/>
      <c r="H723" s="221"/>
      <c r="I723" s="221"/>
      <c r="J723" s="221"/>
      <c r="K723" s="221"/>
      <c r="L723" s="221"/>
      <c r="M723" s="221"/>
      <c r="N723" s="221"/>
      <c r="O723" s="221"/>
      <c r="P723" s="221"/>
      <c r="Q723" s="221"/>
      <c r="R723" s="221"/>
      <c r="S723" s="221"/>
      <c r="T723" s="221"/>
      <c r="U723" s="221"/>
      <c r="V723" s="221"/>
      <c r="W723" s="221"/>
      <c r="X723" s="221"/>
      <c r="Y723" s="221"/>
      <c r="Z723" s="221"/>
    </row>
    <row r="724" spans="1:26" ht="18.75" customHeight="1">
      <c r="A724" s="221"/>
      <c r="B724" s="221"/>
      <c r="C724" s="221"/>
      <c r="D724" s="221"/>
      <c r="E724" s="221"/>
      <c r="F724" s="221"/>
      <c r="G724" s="221"/>
      <c r="H724" s="221"/>
      <c r="I724" s="221"/>
      <c r="J724" s="221"/>
      <c r="K724" s="221"/>
      <c r="L724" s="221"/>
      <c r="M724" s="221"/>
      <c r="N724" s="221"/>
      <c r="O724" s="221"/>
      <c r="P724" s="221"/>
      <c r="Q724" s="221"/>
      <c r="R724" s="221"/>
      <c r="S724" s="221"/>
      <c r="T724" s="221"/>
      <c r="U724" s="221"/>
      <c r="V724" s="221"/>
      <c r="W724" s="221"/>
      <c r="X724" s="221"/>
      <c r="Y724" s="221"/>
      <c r="Z724" s="221"/>
    </row>
    <row r="725" spans="1:26" ht="18.75" customHeight="1">
      <c r="A725" s="221"/>
      <c r="B725" s="221"/>
      <c r="C725" s="221"/>
      <c r="D725" s="221"/>
      <c r="E725" s="221"/>
      <c r="F725" s="221"/>
      <c r="G725" s="221"/>
      <c r="H725" s="221"/>
      <c r="I725" s="221"/>
      <c r="J725" s="221"/>
      <c r="K725" s="221"/>
      <c r="L725" s="221"/>
      <c r="M725" s="221"/>
      <c r="N725" s="221"/>
      <c r="O725" s="221"/>
      <c r="P725" s="221"/>
      <c r="Q725" s="221"/>
      <c r="R725" s="221"/>
      <c r="S725" s="221"/>
      <c r="T725" s="221"/>
      <c r="U725" s="221"/>
      <c r="V725" s="221"/>
      <c r="W725" s="221"/>
      <c r="X725" s="221"/>
      <c r="Y725" s="221"/>
      <c r="Z725" s="221"/>
    </row>
    <row r="726" spans="1:26" ht="18.75" customHeight="1">
      <c r="A726" s="221"/>
      <c r="B726" s="221"/>
      <c r="C726" s="221"/>
      <c r="D726" s="221"/>
      <c r="E726" s="221"/>
      <c r="F726" s="221"/>
      <c r="G726" s="221"/>
      <c r="H726" s="221"/>
      <c r="I726" s="221"/>
      <c r="J726" s="221"/>
      <c r="K726" s="221"/>
      <c r="L726" s="221"/>
      <c r="M726" s="221"/>
      <c r="N726" s="221"/>
      <c r="O726" s="221"/>
      <c r="P726" s="221"/>
      <c r="Q726" s="221"/>
      <c r="R726" s="221"/>
      <c r="S726" s="221"/>
      <c r="T726" s="221"/>
      <c r="U726" s="221"/>
      <c r="V726" s="221"/>
      <c r="W726" s="221"/>
      <c r="X726" s="221"/>
      <c r="Y726" s="221"/>
      <c r="Z726" s="221"/>
    </row>
    <row r="727" spans="1:26" ht="18.75" customHeight="1">
      <c r="A727" s="221"/>
      <c r="B727" s="221"/>
      <c r="C727" s="221"/>
      <c r="D727" s="221"/>
      <c r="E727" s="221"/>
      <c r="F727" s="221"/>
      <c r="G727" s="221"/>
      <c r="H727" s="221"/>
      <c r="I727" s="221"/>
      <c r="J727" s="221"/>
      <c r="K727" s="221"/>
      <c r="L727" s="221"/>
      <c r="M727" s="221"/>
      <c r="N727" s="221"/>
      <c r="O727" s="221"/>
      <c r="P727" s="221"/>
      <c r="Q727" s="221"/>
      <c r="R727" s="221"/>
      <c r="S727" s="221"/>
      <c r="T727" s="221"/>
      <c r="U727" s="221"/>
      <c r="V727" s="221"/>
      <c r="W727" s="221"/>
      <c r="X727" s="221"/>
      <c r="Y727" s="221"/>
      <c r="Z727" s="221"/>
    </row>
    <row r="728" spans="1:26" ht="18.75" customHeight="1">
      <c r="A728" s="221"/>
      <c r="B728" s="221"/>
      <c r="C728" s="221"/>
      <c r="D728" s="221"/>
      <c r="E728" s="221"/>
      <c r="F728" s="221"/>
      <c r="G728" s="221"/>
      <c r="H728" s="221"/>
      <c r="I728" s="221"/>
      <c r="J728" s="221"/>
      <c r="K728" s="221"/>
      <c r="L728" s="221"/>
      <c r="M728" s="221"/>
      <c r="N728" s="221"/>
      <c r="O728" s="221"/>
      <c r="P728" s="221"/>
      <c r="Q728" s="221"/>
      <c r="R728" s="221"/>
      <c r="S728" s="221"/>
      <c r="T728" s="221"/>
      <c r="U728" s="221"/>
      <c r="V728" s="221"/>
      <c r="W728" s="221"/>
      <c r="X728" s="221"/>
      <c r="Y728" s="221"/>
      <c r="Z728" s="221"/>
    </row>
    <row r="729" spans="1:26" ht="18.75" customHeight="1">
      <c r="A729" s="221"/>
      <c r="B729" s="221"/>
      <c r="C729" s="221"/>
      <c r="D729" s="221"/>
      <c r="E729" s="221"/>
      <c r="F729" s="221"/>
      <c r="G729" s="221"/>
      <c r="H729" s="221"/>
      <c r="I729" s="221"/>
      <c r="J729" s="221"/>
      <c r="K729" s="221"/>
      <c r="L729" s="221"/>
      <c r="M729" s="221"/>
      <c r="N729" s="221"/>
      <c r="O729" s="221"/>
      <c r="P729" s="221"/>
      <c r="Q729" s="221"/>
      <c r="R729" s="221"/>
      <c r="S729" s="221"/>
      <c r="T729" s="221"/>
      <c r="U729" s="221"/>
      <c r="V729" s="221"/>
      <c r="W729" s="221"/>
      <c r="X729" s="221"/>
      <c r="Y729" s="221"/>
      <c r="Z729" s="221"/>
    </row>
    <row r="730" spans="1:26" ht="18.75" customHeight="1">
      <c r="A730" s="221"/>
      <c r="B730" s="221"/>
      <c r="C730" s="221"/>
      <c r="D730" s="221"/>
      <c r="E730" s="221"/>
      <c r="F730" s="221"/>
      <c r="G730" s="221"/>
      <c r="H730" s="221"/>
      <c r="I730" s="221"/>
      <c r="J730" s="221"/>
      <c r="K730" s="221"/>
      <c r="L730" s="221"/>
      <c r="M730" s="221"/>
      <c r="N730" s="221"/>
      <c r="O730" s="221"/>
      <c r="P730" s="221"/>
      <c r="Q730" s="221"/>
      <c r="R730" s="221"/>
      <c r="S730" s="221"/>
      <c r="T730" s="221"/>
      <c r="U730" s="221"/>
      <c r="V730" s="221"/>
      <c r="W730" s="221"/>
      <c r="X730" s="221"/>
      <c r="Y730" s="221"/>
      <c r="Z730" s="221"/>
    </row>
    <row r="731" spans="1:26" ht="18.75" customHeight="1">
      <c r="A731" s="221"/>
      <c r="B731" s="221"/>
      <c r="C731" s="221"/>
      <c r="D731" s="221"/>
      <c r="E731" s="221"/>
      <c r="F731" s="221"/>
      <c r="G731" s="221"/>
      <c r="H731" s="221"/>
      <c r="I731" s="221"/>
      <c r="J731" s="221"/>
      <c r="K731" s="221"/>
      <c r="L731" s="221"/>
      <c r="M731" s="221"/>
      <c r="N731" s="221"/>
      <c r="O731" s="221"/>
      <c r="P731" s="221"/>
      <c r="Q731" s="221"/>
      <c r="R731" s="221"/>
      <c r="S731" s="221"/>
      <c r="T731" s="221"/>
      <c r="U731" s="221"/>
      <c r="V731" s="221"/>
      <c r="W731" s="221"/>
      <c r="X731" s="221"/>
      <c r="Y731" s="221"/>
      <c r="Z731" s="221"/>
    </row>
    <row r="732" spans="1:26" ht="18.75" customHeight="1">
      <c r="A732" s="221"/>
      <c r="B732" s="221"/>
      <c r="C732" s="221"/>
      <c r="D732" s="221"/>
      <c r="E732" s="221"/>
      <c r="F732" s="221"/>
      <c r="G732" s="221"/>
      <c r="H732" s="221"/>
      <c r="I732" s="221"/>
      <c r="J732" s="221"/>
      <c r="K732" s="221"/>
      <c r="L732" s="221"/>
      <c r="M732" s="221"/>
      <c r="N732" s="221"/>
      <c r="O732" s="221"/>
      <c r="P732" s="221"/>
      <c r="Q732" s="221"/>
      <c r="R732" s="221"/>
      <c r="S732" s="221"/>
      <c r="T732" s="221"/>
      <c r="U732" s="221"/>
      <c r="V732" s="221"/>
      <c r="W732" s="221"/>
      <c r="X732" s="221"/>
      <c r="Y732" s="221"/>
      <c r="Z732" s="221"/>
    </row>
    <row r="733" spans="1:26" ht="18.75" customHeight="1">
      <c r="A733" s="221"/>
      <c r="B733" s="221"/>
      <c r="C733" s="221"/>
      <c r="D733" s="221"/>
      <c r="E733" s="221"/>
      <c r="F733" s="221"/>
      <c r="G733" s="221"/>
      <c r="H733" s="221"/>
      <c r="I733" s="221"/>
      <c r="J733" s="221"/>
      <c r="K733" s="221"/>
      <c r="L733" s="221"/>
      <c r="M733" s="221"/>
      <c r="N733" s="221"/>
      <c r="O733" s="221"/>
      <c r="P733" s="221"/>
      <c r="Q733" s="221"/>
      <c r="R733" s="221"/>
      <c r="S733" s="221"/>
      <c r="T733" s="221"/>
      <c r="U733" s="221"/>
      <c r="V733" s="221"/>
      <c r="W733" s="221"/>
      <c r="X733" s="221"/>
      <c r="Y733" s="221"/>
      <c r="Z733" s="221"/>
    </row>
    <row r="734" spans="1:26" ht="18.75" customHeight="1">
      <c r="A734" s="221"/>
      <c r="B734" s="221"/>
      <c r="C734" s="221"/>
      <c r="D734" s="221"/>
      <c r="E734" s="221"/>
      <c r="F734" s="221"/>
      <c r="G734" s="221"/>
      <c r="H734" s="221"/>
      <c r="I734" s="221"/>
      <c r="J734" s="221"/>
      <c r="K734" s="221"/>
      <c r="L734" s="221"/>
      <c r="M734" s="221"/>
      <c r="N734" s="221"/>
      <c r="O734" s="221"/>
      <c r="P734" s="221"/>
      <c r="Q734" s="221"/>
      <c r="R734" s="221"/>
      <c r="S734" s="221"/>
      <c r="T734" s="221"/>
      <c r="U734" s="221"/>
      <c r="V734" s="221"/>
      <c r="W734" s="221"/>
      <c r="X734" s="221"/>
      <c r="Y734" s="221"/>
      <c r="Z734" s="221"/>
    </row>
    <row r="735" spans="1:26" ht="18.75" customHeight="1">
      <c r="A735" s="221"/>
      <c r="B735" s="221"/>
      <c r="C735" s="221"/>
      <c r="D735" s="221"/>
      <c r="E735" s="221"/>
      <c r="F735" s="221"/>
      <c r="G735" s="221"/>
      <c r="H735" s="221"/>
      <c r="I735" s="221"/>
      <c r="J735" s="221"/>
      <c r="K735" s="221"/>
      <c r="L735" s="221"/>
      <c r="M735" s="221"/>
      <c r="N735" s="221"/>
      <c r="O735" s="221"/>
      <c r="P735" s="221"/>
      <c r="Q735" s="221"/>
      <c r="R735" s="221"/>
      <c r="S735" s="221"/>
      <c r="T735" s="221"/>
      <c r="U735" s="221"/>
      <c r="V735" s="221"/>
      <c r="W735" s="221"/>
      <c r="X735" s="221"/>
      <c r="Y735" s="221"/>
      <c r="Z735" s="221"/>
    </row>
    <row r="736" spans="1:26" ht="18.75" customHeight="1">
      <c r="A736" s="221"/>
      <c r="B736" s="221"/>
      <c r="C736" s="221"/>
      <c r="D736" s="221"/>
      <c r="E736" s="221"/>
      <c r="F736" s="221"/>
      <c r="G736" s="221"/>
      <c r="H736" s="221"/>
      <c r="I736" s="221"/>
      <c r="J736" s="221"/>
      <c r="K736" s="221"/>
      <c r="L736" s="221"/>
      <c r="M736" s="221"/>
      <c r="N736" s="221"/>
      <c r="O736" s="221"/>
      <c r="P736" s="221"/>
      <c r="Q736" s="221"/>
      <c r="R736" s="221"/>
      <c r="S736" s="221"/>
      <c r="T736" s="221"/>
      <c r="U736" s="221"/>
      <c r="V736" s="221"/>
      <c r="W736" s="221"/>
      <c r="X736" s="221"/>
      <c r="Y736" s="221"/>
      <c r="Z736" s="221"/>
    </row>
    <row r="737" spans="1:26" ht="18.75" customHeight="1">
      <c r="A737" s="221"/>
      <c r="B737" s="221"/>
      <c r="C737" s="221"/>
      <c r="D737" s="221"/>
      <c r="E737" s="221"/>
      <c r="F737" s="221"/>
      <c r="G737" s="221"/>
      <c r="H737" s="221"/>
      <c r="I737" s="221"/>
      <c r="J737" s="221"/>
      <c r="K737" s="221"/>
      <c r="L737" s="221"/>
      <c r="M737" s="221"/>
      <c r="N737" s="221"/>
      <c r="O737" s="221"/>
      <c r="P737" s="221"/>
      <c r="Q737" s="221"/>
      <c r="R737" s="221"/>
      <c r="S737" s="221"/>
      <c r="T737" s="221"/>
      <c r="U737" s="221"/>
      <c r="V737" s="221"/>
      <c r="W737" s="221"/>
      <c r="X737" s="221"/>
      <c r="Y737" s="221"/>
      <c r="Z737" s="221"/>
    </row>
    <row r="738" spans="1:26" ht="18.75" customHeight="1">
      <c r="A738" s="221"/>
      <c r="B738" s="221"/>
      <c r="C738" s="221"/>
      <c r="D738" s="221"/>
      <c r="E738" s="221"/>
      <c r="F738" s="221"/>
      <c r="G738" s="221"/>
      <c r="H738" s="221"/>
      <c r="I738" s="221"/>
      <c r="J738" s="221"/>
      <c r="K738" s="221"/>
      <c r="L738" s="221"/>
      <c r="M738" s="221"/>
      <c r="N738" s="221"/>
      <c r="O738" s="221"/>
      <c r="P738" s="221"/>
      <c r="Q738" s="221"/>
      <c r="R738" s="221"/>
      <c r="S738" s="221"/>
      <c r="T738" s="221"/>
      <c r="U738" s="221"/>
      <c r="V738" s="221"/>
      <c r="W738" s="221"/>
      <c r="X738" s="221"/>
      <c r="Y738" s="221"/>
      <c r="Z738" s="221"/>
    </row>
    <row r="739" spans="1:26" ht="18.75" customHeight="1">
      <c r="A739" s="221"/>
      <c r="B739" s="221"/>
      <c r="C739" s="221"/>
      <c r="D739" s="221"/>
      <c r="E739" s="221"/>
      <c r="F739" s="221"/>
      <c r="G739" s="221"/>
      <c r="H739" s="221"/>
      <c r="I739" s="221"/>
      <c r="J739" s="221"/>
      <c r="K739" s="221"/>
      <c r="L739" s="221"/>
      <c r="M739" s="221"/>
      <c r="N739" s="221"/>
      <c r="O739" s="221"/>
      <c r="P739" s="221"/>
      <c r="Q739" s="221"/>
      <c r="R739" s="221"/>
      <c r="S739" s="221"/>
      <c r="T739" s="221"/>
      <c r="U739" s="221"/>
      <c r="V739" s="221"/>
      <c r="W739" s="221"/>
      <c r="X739" s="221"/>
      <c r="Y739" s="221"/>
      <c r="Z739" s="221"/>
    </row>
    <row r="740" spans="1:26" ht="18.75" customHeight="1">
      <c r="A740" s="221"/>
      <c r="B740" s="221"/>
      <c r="C740" s="221"/>
      <c r="D740" s="221"/>
      <c r="E740" s="221"/>
      <c r="F740" s="221"/>
      <c r="G740" s="221"/>
      <c r="H740" s="221"/>
      <c r="I740" s="221"/>
      <c r="J740" s="221"/>
      <c r="K740" s="221"/>
      <c r="L740" s="221"/>
      <c r="M740" s="221"/>
      <c r="N740" s="221"/>
      <c r="O740" s="221"/>
      <c r="P740" s="221"/>
      <c r="Q740" s="221"/>
      <c r="R740" s="221"/>
      <c r="S740" s="221"/>
      <c r="T740" s="221"/>
      <c r="U740" s="221"/>
      <c r="V740" s="221"/>
      <c r="W740" s="221"/>
      <c r="X740" s="221"/>
      <c r="Y740" s="221"/>
      <c r="Z740" s="221"/>
    </row>
    <row r="741" spans="1:26" ht="18.75" customHeight="1">
      <c r="A741" s="221"/>
      <c r="B741" s="221"/>
      <c r="C741" s="221"/>
      <c r="D741" s="221"/>
      <c r="E741" s="221"/>
      <c r="F741" s="221"/>
      <c r="G741" s="221"/>
      <c r="H741" s="221"/>
      <c r="I741" s="221"/>
      <c r="J741" s="221"/>
      <c r="K741" s="221"/>
      <c r="L741" s="221"/>
      <c r="M741" s="221"/>
      <c r="N741" s="221"/>
      <c r="O741" s="221"/>
      <c r="P741" s="221"/>
      <c r="Q741" s="221"/>
      <c r="R741" s="221"/>
      <c r="S741" s="221"/>
      <c r="T741" s="221"/>
      <c r="U741" s="221"/>
      <c r="V741" s="221"/>
      <c r="W741" s="221"/>
      <c r="X741" s="221"/>
      <c r="Y741" s="221"/>
      <c r="Z741" s="221"/>
    </row>
    <row r="742" spans="1:26" ht="18.75" customHeight="1">
      <c r="A742" s="221"/>
      <c r="B742" s="221"/>
      <c r="C742" s="221"/>
      <c r="D742" s="221"/>
      <c r="E742" s="221"/>
      <c r="F742" s="221"/>
      <c r="G742" s="221"/>
      <c r="H742" s="221"/>
      <c r="I742" s="221"/>
      <c r="J742" s="221"/>
      <c r="K742" s="221"/>
      <c r="L742" s="221"/>
      <c r="M742" s="221"/>
      <c r="N742" s="221"/>
      <c r="O742" s="221"/>
      <c r="P742" s="221"/>
      <c r="Q742" s="221"/>
      <c r="R742" s="221"/>
      <c r="S742" s="221"/>
      <c r="T742" s="221"/>
      <c r="U742" s="221"/>
      <c r="V742" s="221"/>
      <c r="W742" s="221"/>
      <c r="X742" s="221"/>
      <c r="Y742" s="221"/>
      <c r="Z742" s="221"/>
    </row>
    <row r="743" spans="1:26" ht="18.75" customHeight="1">
      <c r="A743" s="221"/>
      <c r="B743" s="221"/>
      <c r="C743" s="221"/>
      <c r="D743" s="221"/>
      <c r="E743" s="221"/>
      <c r="F743" s="221"/>
      <c r="G743" s="221"/>
      <c r="H743" s="221"/>
      <c r="I743" s="221"/>
      <c r="J743" s="221"/>
      <c r="K743" s="221"/>
      <c r="L743" s="221"/>
      <c r="M743" s="221"/>
      <c r="N743" s="221"/>
      <c r="O743" s="221"/>
      <c r="P743" s="221"/>
      <c r="Q743" s="221"/>
      <c r="R743" s="221"/>
      <c r="S743" s="221"/>
      <c r="T743" s="221"/>
      <c r="U743" s="221"/>
      <c r="V743" s="221"/>
      <c r="W743" s="221"/>
      <c r="X743" s="221"/>
      <c r="Y743" s="221"/>
      <c r="Z743" s="221"/>
    </row>
    <row r="744" spans="1:26" ht="18.75" customHeight="1">
      <c r="A744" s="221"/>
      <c r="B744" s="221"/>
      <c r="C744" s="221"/>
      <c r="D744" s="221"/>
      <c r="E744" s="221"/>
      <c r="F744" s="221"/>
      <c r="G744" s="221"/>
      <c r="H744" s="221"/>
      <c r="I744" s="221"/>
      <c r="J744" s="221"/>
      <c r="K744" s="221"/>
      <c r="L744" s="221"/>
      <c r="M744" s="221"/>
      <c r="N744" s="221"/>
      <c r="O744" s="221"/>
      <c r="P744" s="221"/>
      <c r="Q744" s="221"/>
      <c r="R744" s="221"/>
      <c r="S744" s="221"/>
      <c r="T744" s="221"/>
      <c r="U744" s="221"/>
      <c r="V744" s="221"/>
      <c r="W744" s="221"/>
      <c r="X744" s="221"/>
      <c r="Y744" s="221"/>
      <c r="Z744" s="221"/>
    </row>
    <row r="745" spans="1:26" ht="18.75" customHeight="1">
      <c r="A745" s="221"/>
      <c r="B745" s="221"/>
      <c r="C745" s="221"/>
      <c r="D745" s="221"/>
      <c r="E745" s="221"/>
      <c r="F745" s="221"/>
      <c r="G745" s="221"/>
      <c r="H745" s="221"/>
      <c r="I745" s="221"/>
      <c r="J745" s="221"/>
      <c r="K745" s="221"/>
      <c r="L745" s="221"/>
      <c r="M745" s="221"/>
      <c r="N745" s="221"/>
      <c r="O745" s="221"/>
      <c r="P745" s="221"/>
      <c r="Q745" s="221"/>
      <c r="R745" s="221"/>
      <c r="S745" s="221"/>
      <c r="T745" s="221"/>
      <c r="U745" s="221"/>
      <c r="V745" s="221"/>
      <c r="W745" s="221"/>
      <c r="X745" s="221"/>
      <c r="Y745" s="221"/>
      <c r="Z745" s="221"/>
    </row>
    <row r="746" spans="1:26" ht="18.75" customHeight="1">
      <c r="A746" s="221"/>
      <c r="B746" s="221"/>
      <c r="C746" s="221"/>
      <c r="D746" s="221"/>
      <c r="E746" s="221"/>
      <c r="F746" s="221"/>
      <c r="G746" s="221"/>
      <c r="H746" s="221"/>
      <c r="I746" s="221"/>
      <c r="J746" s="221"/>
      <c r="K746" s="221"/>
      <c r="L746" s="221"/>
      <c r="M746" s="221"/>
      <c r="N746" s="221"/>
      <c r="O746" s="221"/>
      <c r="P746" s="221"/>
      <c r="Q746" s="221"/>
      <c r="R746" s="221"/>
      <c r="S746" s="221"/>
      <c r="T746" s="221"/>
      <c r="U746" s="221"/>
      <c r="V746" s="221"/>
      <c r="W746" s="221"/>
      <c r="X746" s="221"/>
      <c r="Y746" s="221"/>
      <c r="Z746" s="221"/>
    </row>
    <row r="747" spans="1:26" ht="18.75" customHeight="1">
      <c r="A747" s="221"/>
      <c r="B747" s="221"/>
      <c r="C747" s="221"/>
      <c r="D747" s="221"/>
      <c r="E747" s="221"/>
      <c r="F747" s="221"/>
      <c r="G747" s="221"/>
      <c r="H747" s="221"/>
      <c r="I747" s="221"/>
      <c r="J747" s="221"/>
      <c r="K747" s="221"/>
      <c r="L747" s="221"/>
      <c r="M747" s="221"/>
      <c r="N747" s="221"/>
      <c r="O747" s="221"/>
      <c r="P747" s="221"/>
      <c r="Q747" s="221"/>
      <c r="R747" s="221"/>
      <c r="S747" s="221"/>
      <c r="T747" s="221"/>
      <c r="U747" s="221"/>
      <c r="V747" s="221"/>
      <c r="W747" s="221"/>
      <c r="X747" s="221"/>
      <c r="Y747" s="221"/>
      <c r="Z747" s="221"/>
    </row>
    <row r="748" spans="1:26" ht="18.75" customHeight="1">
      <c r="A748" s="221"/>
      <c r="B748" s="221"/>
      <c r="C748" s="221"/>
      <c r="D748" s="221"/>
      <c r="E748" s="221"/>
      <c r="F748" s="221"/>
      <c r="G748" s="221"/>
      <c r="H748" s="221"/>
      <c r="I748" s="221"/>
      <c r="J748" s="221"/>
      <c r="K748" s="221"/>
      <c r="L748" s="221"/>
      <c r="M748" s="221"/>
      <c r="N748" s="221"/>
      <c r="O748" s="221"/>
      <c r="P748" s="221"/>
      <c r="Q748" s="221"/>
      <c r="R748" s="221"/>
      <c r="S748" s="221"/>
      <c r="T748" s="221"/>
      <c r="U748" s="221"/>
      <c r="V748" s="221"/>
      <c r="W748" s="221"/>
      <c r="X748" s="221"/>
      <c r="Y748" s="221"/>
      <c r="Z748" s="221"/>
    </row>
    <row r="749" spans="1:26" ht="18.75" customHeight="1">
      <c r="A749" s="221"/>
      <c r="B749" s="221"/>
      <c r="C749" s="221"/>
      <c r="D749" s="221"/>
      <c r="E749" s="221"/>
      <c r="F749" s="221"/>
      <c r="G749" s="221"/>
      <c r="H749" s="221"/>
      <c r="I749" s="221"/>
      <c r="J749" s="221"/>
      <c r="K749" s="221"/>
      <c r="L749" s="221"/>
      <c r="M749" s="221"/>
      <c r="N749" s="221"/>
      <c r="O749" s="221"/>
      <c r="P749" s="221"/>
      <c r="Q749" s="221"/>
      <c r="R749" s="221"/>
      <c r="S749" s="221"/>
      <c r="T749" s="221"/>
      <c r="U749" s="221"/>
      <c r="V749" s="221"/>
      <c r="W749" s="221"/>
      <c r="X749" s="221"/>
      <c r="Y749" s="221"/>
      <c r="Z749" s="221"/>
    </row>
    <row r="750" spans="1:26" ht="18.75" customHeight="1">
      <c r="A750" s="221"/>
      <c r="B750" s="221"/>
      <c r="C750" s="221"/>
      <c r="D750" s="221"/>
      <c r="E750" s="221"/>
      <c r="F750" s="221"/>
      <c r="G750" s="221"/>
      <c r="H750" s="221"/>
      <c r="I750" s="221"/>
      <c r="J750" s="221"/>
      <c r="K750" s="221"/>
      <c r="L750" s="221"/>
      <c r="M750" s="221"/>
      <c r="N750" s="221"/>
      <c r="O750" s="221"/>
      <c r="P750" s="221"/>
      <c r="Q750" s="221"/>
      <c r="R750" s="221"/>
      <c r="S750" s="221"/>
      <c r="T750" s="221"/>
      <c r="U750" s="221"/>
      <c r="V750" s="221"/>
      <c r="W750" s="221"/>
      <c r="X750" s="221"/>
      <c r="Y750" s="221"/>
      <c r="Z750" s="221"/>
    </row>
    <row r="751" spans="1:26" ht="18.75" customHeight="1">
      <c r="A751" s="221"/>
      <c r="B751" s="221"/>
      <c r="C751" s="221"/>
      <c r="D751" s="221"/>
      <c r="E751" s="221"/>
      <c r="F751" s="221"/>
      <c r="G751" s="221"/>
      <c r="H751" s="221"/>
      <c r="I751" s="221"/>
      <c r="J751" s="221"/>
      <c r="K751" s="221"/>
      <c r="L751" s="221"/>
      <c r="M751" s="221"/>
      <c r="N751" s="221"/>
      <c r="O751" s="221"/>
      <c r="P751" s="221"/>
      <c r="Q751" s="221"/>
      <c r="R751" s="221"/>
      <c r="S751" s="221"/>
      <c r="T751" s="221"/>
      <c r="U751" s="221"/>
      <c r="V751" s="221"/>
      <c r="W751" s="221"/>
      <c r="X751" s="221"/>
      <c r="Y751" s="221"/>
      <c r="Z751" s="221"/>
    </row>
    <row r="752" spans="1:26" ht="18.75" customHeight="1">
      <c r="A752" s="221"/>
      <c r="B752" s="221"/>
      <c r="C752" s="221"/>
      <c r="D752" s="221"/>
      <c r="E752" s="221"/>
      <c r="F752" s="221"/>
      <c r="G752" s="221"/>
      <c r="H752" s="221"/>
      <c r="I752" s="221"/>
      <c r="J752" s="221"/>
      <c r="K752" s="221"/>
      <c r="L752" s="221"/>
      <c r="M752" s="221"/>
      <c r="N752" s="221"/>
      <c r="O752" s="221"/>
      <c r="P752" s="221"/>
      <c r="Q752" s="221"/>
      <c r="R752" s="221"/>
      <c r="S752" s="221"/>
      <c r="T752" s="221"/>
      <c r="U752" s="221"/>
      <c r="V752" s="221"/>
      <c r="W752" s="221"/>
      <c r="X752" s="221"/>
      <c r="Y752" s="221"/>
      <c r="Z752" s="221"/>
    </row>
    <row r="753" spans="1:26" ht="18.75" customHeight="1">
      <c r="A753" s="221"/>
      <c r="B753" s="221"/>
      <c r="C753" s="221"/>
      <c r="D753" s="221"/>
      <c r="E753" s="221"/>
      <c r="F753" s="221"/>
      <c r="G753" s="221"/>
      <c r="H753" s="221"/>
      <c r="I753" s="221"/>
      <c r="J753" s="221"/>
      <c r="K753" s="221"/>
      <c r="L753" s="221"/>
      <c r="M753" s="221"/>
      <c r="N753" s="221"/>
      <c r="O753" s="221"/>
      <c r="P753" s="221"/>
      <c r="Q753" s="221"/>
      <c r="R753" s="221"/>
      <c r="S753" s="221"/>
      <c r="T753" s="221"/>
      <c r="U753" s="221"/>
      <c r="V753" s="221"/>
      <c r="W753" s="221"/>
      <c r="X753" s="221"/>
      <c r="Y753" s="221"/>
      <c r="Z753" s="221"/>
    </row>
    <row r="754" spans="1:26" ht="18.75" customHeight="1">
      <c r="A754" s="221"/>
      <c r="B754" s="221"/>
      <c r="C754" s="221"/>
      <c r="D754" s="221"/>
      <c r="E754" s="221"/>
      <c r="F754" s="221"/>
      <c r="G754" s="221"/>
      <c r="H754" s="221"/>
      <c r="I754" s="221"/>
      <c r="J754" s="221"/>
      <c r="K754" s="221"/>
      <c r="L754" s="221"/>
      <c r="M754" s="221"/>
      <c r="N754" s="221"/>
      <c r="O754" s="221"/>
      <c r="P754" s="221"/>
      <c r="Q754" s="221"/>
      <c r="R754" s="221"/>
      <c r="S754" s="221"/>
      <c r="T754" s="221"/>
      <c r="U754" s="221"/>
      <c r="V754" s="221"/>
      <c r="W754" s="221"/>
      <c r="X754" s="221"/>
      <c r="Y754" s="221"/>
      <c r="Z754" s="221"/>
    </row>
    <row r="755" spans="1:26" ht="18.75" customHeight="1">
      <c r="A755" s="221"/>
      <c r="B755" s="221"/>
      <c r="C755" s="221"/>
      <c r="D755" s="221"/>
      <c r="E755" s="221"/>
      <c r="F755" s="221"/>
      <c r="G755" s="221"/>
      <c r="H755" s="221"/>
      <c r="I755" s="221"/>
      <c r="J755" s="221"/>
      <c r="K755" s="221"/>
      <c r="L755" s="221"/>
      <c r="M755" s="221"/>
      <c r="N755" s="221"/>
      <c r="O755" s="221"/>
      <c r="P755" s="221"/>
      <c r="Q755" s="221"/>
      <c r="R755" s="221"/>
      <c r="S755" s="221"/>
      <c r="T755" s="221"/>
      <c r="U755" s="221"/>
      <c r="V755" s="221"/>
      <c r="W755" s="221"/>
      <c r="X755" s="221"/>
      <c r="Y755" s="221"/>
      <c r="Z755" s="221"/>
    </row>
    <row r="756" spans="1:26" ht="18.75" customHeight="1">
      <c r="A756" s="221"/>
      <c r="B756" s="221"/>
      <c r="C756" s="221"/>
      <c r="D756" s="221"/>
      <c r="E756" s="221"/>
      <c r="F756" s="221"/>
      <c r="G756" s="221"/>
      <c r="H756" s="221"/>
      <c r="I756" s="221"/>
      <c r="J756" s="221"/>
      <c r="K756" s="221"/>
      <c r="L756" s="221"/>
      <c r="M756" s="221"/>
      <c r="N756" s="221"/>
      <c r="O756" s="221"/>
      <c r="P756" s="221"/>
      <c r="Q756" s="221"/>
      <c r="R756" s="221"/>
      <c r="S756" s="221"/>
      <c r="T756" s="221"/>
      <c r="U756" s="221"/>
      <c r="V756" s="221"/>
      <c r="W756" s="221"/>
      <c r="X756" s="221"/>
      <c r="Y756" s="221"/>
      <c r="Z756" s="221"/>
    </row>
    <row r="757" spans="1:26" ht="18.75" customHeight="1">
      <c r="A757" s="221"/>
      <c r="B757" s="221"/>
      <c r="C757" s="221"/>
      <c r="D757" s="221"/>
      <c r="E757" s="221"/>
      <c r="F757" s="221"/>
      <c r="G757" s="221"/>
      <c r="H757" s="221"/>
      <c r="I757" s="221"/>
      <c r="J757" s="221"/>
      <c r="K757" s="221"/>
      <c r="L757" s="221"/>
      <c r="M757" s="221"/>
      <c r="N757" s="221"/>
      <c r="O757" s="221"/>
      <c r="P757" s="221"/>
      <c r="Q757" s="221"/>
      <c r="R757" s="221"/>
      <c r="S757" s="221"/>
      <c r="T757" s="221"/>
      <c r="U757" s="221"/>
      <c r="V757" s="221"/>
      <c r="W757" s="221"/>
      <c r="X757" s="221"/>
      <c r="Y757" s="221"/>
      <c r="Z757" s="221"/>
    </row>
    <row r="758" spans="1:26" ht="18.75" customHeight="1">
      <c r="A758" s="221"/>
      <c r="B758" s="221"/>
      <c r="C758" s="221"/>
      <c r="D758" s="221"/>
      <c r="E758" s="221"/>
      <c r="F758" s="221"/>
      <c r="G758" s="221"/>
      <c r="H758" s="221"/>
      <c r="I758" s="221"/>
      <c r="J758" s="221"/>
      <c r="K758" s="221"/>
      <c r="L758" s="221"/>
      <c r="M758" s="221"/>
      <c r="N758" s="221"/>
      <c r="O758" s="221"/>
      <c r="P758" s="221"/>
      <c r="Q758" s="221"/>
      <c r="R758" s="221"/>
      <c r="S758" s="221"/>
      <c r="T758" s="221"/>
      <c r="U758" s="221"/>
      <c r="V758" s="221"/>
      <c r="W758" s="221"/>
      <c r="X758" s="221"/>
      <c r="Y758" s="221"/>
      <c r="Z758" s="221"/>
    </row>
    <row r="759" spans="1:26" ht="18.75" customHeight="1">
      <c r="A759" s="221"/>
      <c r="B759" s="221"/>
      <c r="C759" s="221"/>
      <c r="D759" s="221"/>
      <c r="E759" s="221"/>
      <c r="F759" s="221"/>
      <c r="G759" s="221"/>
      <c r="H759" s="221"/>
      <c r="I759" s="221"/>
      <c r="J759" s="221"/>
      <c r="K759" s="221"/>
      <c r="L759" s="221"/>
      <c r="M759" s="221"/>
      <c r="N759" s="221"/>
      <c r="O759" s="221"/>
      <c r="P759" s="221"/>
      <c r="Q759" s="221"/>
      <c r="R759" s="221"/>
      <c r="S759" s="221"/>
      <c r="T759" s="221"/>
      <c r="U759" s="221"/>
      <c r="V759" s="221"/>
      <c r="W759" s="221"/>
      <c r="X759" s="221"/>
      <c r="Y759" s="221"/>
      <c r="Z759" s="221"/>
    </row>
    <row r="760" spans="1:26" ht="18.75" customHeight="1">
      <c r="A760" s="221"/>
      <c r="B760" s="221"/>
      <c r="C760" s="221"/>
      <c r="D760" s="221"/>
      <c r="E760" s="221"/>
      <c r="F760" s="221"/>
      <c r="G760" s="221"/>
      <c r="H760" s="221"/>
      <c r="I760" s="221"/>
      <c r="J760" s="221"/>
      <c r="K760" s="221"/>
      <c r="L760" s="221"/>
      <c r="M760" s="221"/>
      <c r="N760" s="221"/>
      <c r="O760" s="221"/>
      <c r="P760" s="221"/>
      <c r="Q760" s="221"/>
      <c r="R760" s="221"/>
      <c r="S760" s="221"/>
      <c r="T760" s="221"/>
      <c r="U760" s="221"/>
      <c r="V760" s="221"/>
      <c r="W760" s="221"/>
      <c r="X760" s="221"/>
      <c r="Y760" s="221"/>
      <c r="Z760" s="221"/>
    </row>
    <row r="761" spans="1:26" ht="18.75" customHeight="1">
      <c r="A761" s="221"/>
      <c r="B761" s="221"/>
      <c r="C761" s="221"/>
      <c r="D761" s="221"/>
      <c r="E761" s="221"/>
      <c r="F761" s="221"/>
      <c r="G761" s="221"/>
      <c r="H761" s="221"/>
      <c r="I761" s="221"/>
      <c r="J761" s="221"/>
      <c r="K761" s="221"/>
      <c r="L761" s="221"/>
      <c r="M761" s="221"/>
      <c r="N761" s="221"/>
      <c r="O761" s="221"/>
      <c r="P761" s="221"/>
      <c r="Q761" s="221"/>
      <c r="R761" s="221"/>
      <c r="S761" s="221"/>
      <c r="T761" s="221"/>
      <c r="U761" s="221"/>
      <c r="V761" s="221"/>
      <c r="W761" s="221"/>
      <c r="X761" s="221"/>
      <c r="Y761" s="221"/>
      <c r="Z761" s="221"/>
    </row>
    <row r="762" spans="1:26" ht="18.75" customHeight="1">
      <c r="A762" s="221"/>
      <c r="B762" s="221"/>
      <c r="C762" s="221"/>
      <c r="D762" s="221"/>
      <c r="E762" s="221"/>
      <c r="F762" s="221"/>
      <c r="G762" s="221"/>
      <c r="H762" s="221"/>
      <c r="I762" s="221"/>
      <c r="J762" s="221"/>
      <c r="K762" s="221"/>
      <c r="L762" s="221"/>
      <c r="M762" s="221"/>
      <c r="N762" s="221"/>
      <c r="O762" s="221"/>
      <c r="P762" s="221"/>
      <c r="Q762" s="221"/>
      <c r="R762" s="221"/>
      <c r="S762" s="221"/>
      <c r="T762" s="221"/>
      <c r="U762" s="221"/>
      <c r="V762" s="221"/>
      <c r="W762" s="221"/>
      <c r="X762" s="221"/>
      <c r="Y762" s="221"/>
      <c r="Z762" s="221"/>
    </row>
    <row r="763" spans="1:26" ht="18.75" customHeight="1">
      <c r="A763" s="221"/>
      <c r="B763" s="221"/>
      <c r="C763" s="221"/>
      <c r="D763" s="221"/>
      <c r="E763" s="221"/>
      <c r="F763" s="221"/>
      <c r="G763" s="221"/>
      <c r="H763" s="221"/>
      <c r="I763" s="221"/>
      <c r="J763" s="221"/>
      <c r="K763" s="221"/>
      <c r="L763" s="221"/>
      <c r="M763" s="221"/>
      <c r="N763" s="221"/>
      <c r="O763" s="221"/>
      <c r="P763" s="221"/>
      <c r="Q763" s="221"/>
      <c r="R763" s="221"/>
      <c r="S763" s="221"/>
      <c r="T763" s="221"/>
      <c r="U763" s="221"/>
      <c r="V763" s="221"/>
      <c r="W763" s="221"/>
      <c r="X763" s="221"/>
      <c r="Y763" s="221"/>
      <c r="Z763" s="221"/>
    </row>
    <row r="764" spans="1:26" ht="18.75" customHeight="1">
      <c r="A764" s="221"/>
      <c r="B764" s="221"/>
      <c r="C764" s="221"/>
      <c r="D764" s="221"/>
      <c r="E764" s="221"/>
      <c r="F764" s="221"/>
      <c r="G764" s="221"/>
      <c r="H764" s="221"/>
      <c r="I764" s="221"/>
      <c r="J764" s="221"/>
      <c r="K764" s="221"/>
      <c r="L764" s="221"/>
      <c r="M764" s="221"/>
      <c r="N764" s="221"/>
      <c r="O764" s="221"/>
      <c r="P764" s="221"/>
      <c r="Q764" s="221"/>
      <c r="R764" s="221"/>
      <c r="S764" s="221"/>
      <c r="T764" s="221"/>
      <c r="U764" s="221"/>
      <c r="V764" s="221"/>
      <c r="W764" s="221"/>
      <c r="X764" s="221"/>
      <c r="Y764" s="221"/>
      <c r="Z764" s="221"/>
    </row>
    <row r="765" spans="1:26" ht="18.75" customHeight="1">
      <c r="A765" s="221"/>
      <c r="B765" s="221"/>
      <c r="C765" s="221"/>
      <c r="D765" s="221"/>
      <c r="E765" s="221"/>
      <c r="F765" s="221"/>
      <c r="G765" s="221"/>
      <c r="H765" s="221"/>
      <c r="I765" s="221"/>
      <c r="J765" s="221"/>
      <c r="K765" s="221"/>
      <c r="L765" s="221"/>
      <c r="M765" s="221"/>
      <c r="N765" s="221"/>
      <c r="O765" s="221"/>
      <c r="P765" s="221"/>
      <c r="Q765" s="221"/>
      <c r="R765" s="221"/>
      <c r="S765" s="221"/>
      <c r="T765" s="221"/>
      <c r="U765" s="221"/>
      <c r="V765" s="221"/>
      <c r="W765" s="221"/>
      <c r="X765" s="221"/>
      <c r="Y765" s="221"/>
      <c r="Z765" s="221"/>
    </row>
    <row r="766" spans="1:26" ht="18.75" customHeight="1">
      <c r="A766" s="221"/>
      <c r="B766" s="221"/>
      <c r="C766" s="221"/>
      <c r="D766" s="221"/>
      <c r="E766" s="221"/>
      <c r="F766" s="221"/>
      <c r="G766" s="221"/>
      <c r="H766" s="221"/>
      <c r="I766" s="221"/>
      <c r="J766" s="221"/>
      <c r="K766" s="221"/>
      <c r="L766" s="221"/>
      <c r="M766" s="221"/>
      <c r="N766" s="221"/>
      <c r="O766" s="221"/>
      <c r="P766" s="221"/>
      <c r="Q766" s="221"/>
      <c r="R766" s="221"/>
      <c r="S766" s="221"/>
      <c r="T766" s="221"/>
      <c r="U766" s="221"/>
      <c r="V766" s="221"/>
      <c r="W766" s="221"/>
      <c r="X766" s="221"/>
      <c r="Y766" s="221"/>
      <c r="Z766" s="221"/>
    </row>
    <row r="767" spans="1:26" ht="18.75" customHeight="1">
      <c r="A767" s="221"/>
      <c r="B767" s="221"/>
      <c r="C767" s="221"/>
      <c r="D767" s="221"/>
      <c r="E767" s="221"/>
      <c r="F767" s="221"/>
      <c r="G767" s="221"/>
      <c r="H767" s="221"/>
      <c r="I767" s="221"/>
      <c r="J767" s="221"/>
      <c r="K767" s="221"/>
      <c r="L767" s="221"/>
      <c r="M767" s="221"/>
      <c r="N767" s="221"/>
      <c r="O767" s="221"/>
      <c r="P767" s="221"/>
      <c r="Q767" s="221"/>
      <c r="R767" s="221"/>
      <c r="S767" s="221"/>
      <c r="T767" s="221"/>
      <c r="U767" s="221"/>
      <c r="V767" s="221"/>
      <c r="W767" s="221"/>
      <c r="X767" s="221"/>
      <c r="Y767" s="221"/>
      <c r="Z767" s="221"/>
    </row>
    <row r="768" spans="1:26" ht="18.75" customHeight="1">
      <c r="A768" s="221"/>
      <c r="B768" s="221"/>
      <c r="C768" s="221"/>
      <c r="D768" s="221"/>
      <c r="E768" s="221"/>
      <c r="F768" s="221"/>
      <c r="G768" s="221"/>
      <c r="H768" s="221"/>
      <c r="I768" s="221"/>
      <c r="J768" s="221"/>
      <c r="K768" s="221"/>
      <c r="L768" s="221"/>
      <c r="M768" s="221"/>
      <c r="N768" s="221"/>
      <c r="O768" s="221"/>
      <c r="P768" s="221"/>
      <c r="Q768" s="221"/>
      <c r="R768" s="221"/>
      <c r="S768" s="221"/>
      <c r="T768" s="221"/>
      <c r="U768" s="221"/>
      <c r="V768" s="221"/>
      <c r="W768" s="221"/>
      <c r="X768" s="221"/>
      <c r="Y768" s="221"/>
      <c r="Z768" s="221"/>
    </row>
    <row r="769" spans="1:26" ht="18.75" customHeight="1">
      <c r="A769" s="221"/>
      <c r="B769" s="221"/>
      <c r="C769" s="221"/>
      <c r="D769" s="221"/>
      <c r="E769" s="221"/>
      <c r="F769" s="221"/>
      <c r="G769" s="221"/>
      <c r="H769" s="221"/>
      <c r="I769" s="221"/>
      <c r="J769" s="221"/>
      <c r="K769" s="221"/>
      <c r="L769" s="221"/>
      <c r="M769" s="221"/>
      <c r="N769" s="221"/>
      <c r="O769" s="221"/>
      <c r="P769" s="221"/>
      <c r="Q769" s="221"/>
      <c r="R769" s="221"/>
      <c r="S769" s="221"/>
      <c r="T769" s="221"/>
      <c r="U769" s="221"/>
      <c r="V769" s="221"/>
      <c r="W769" s="221"/>
      <c r="X769" s="221"/>
      <c r="Y769" s="221"/>
      <c r="Z769" s="221"/>
    </row>
    <row r="770" spans="1:26" ht="18.75" customHeight="1">
      <c r="A770" s="221"/>
      <c r="B770" s="221"/>
      <c r="C770" s="221"/>
      <c r="D770" s="221"/>
      <c r="E770" s="221"/>
      <c r="F770" s="221"/>
      <c r="G770" s="221"/>
      <c r="H770" s="221"/>
      <c r="I770" s="221"/>
      <c r="J770" s="221"/>
      <c r="K770" s="221"/>
      <c r="L770" s="221"/>
      <c r="M770" s="221"/>
      <c r="N770" s="221"/>
      <c r="O770" s="221"/>
      <c r="P770" s="221"/>
      <c r="Q770" s="221"/>
      <c r="R770" s="221"/>
      <c r="S770" s="221"/>
      <c r="T770" s="221"/>
      <c r="U770" s="221"/>
      <c r="V770" s="221"/>
      <c r="W770" s="221"/>
      <c r="X770" s="221"/>
      <c r="Y770" s="221"/>
      <c r="Z770" s="221"/>
    </row>
    <row r="771" spans="1:26" ht="18.75" customHeight="1">
      <c r="A771" s="221"/>
      <c r="B771" s="221"/>
      <c r="C771" s="221"/>
      <c r="D771" s="221"/>
      <c r="E771" s="221"/>
      <c r="F771" s="221"/>
      <c r="G771" s="221"/>
      <c r="H771" s="221"/>
      <c r="I771" s="221"/>
      <c r="J771" s="221"/>
      <c r="K771" s="221"/>
      <c r="L771" s="221"/>
      <c r="M771" s="221"/>
      <c r="N771" s="221"/>
      <c r="O771" s="221"/>
      <c r="P771" s="221"/>
      <c r="Q771" s="221"/>
      <c r="R771" s="221"/>
      <c r="S771" s="221"/>
      <c r="T771" s="221"/>
      <c r="U771" s="221"/>
      <c r="V771" s="221"/>
      <c r="W771" s="221"/>
      <c r="X771" s="221"/>
      <c r="Y771" s="221"/>
      <c r="Z771" s="221"/>
    </row>
    <row r="772" spans="1:26" ht="18.75" customHeight="1">
      <c r="A772" s="221"/>
      <c r="B772" s="221"/>
      <c r="C772" s="221"/>
      <c r="D772" s="221"/>
      <c r="E772" s="221"/>
      <c r="F772" s="221"/>
      <c r="G772" s="221"/>
      <c r="H772" s="221"/>
      <c r="I772" s="221"/>
      <c r="J772" s="221"/>
      <c r="K772" s="221"/>
      <c r="L772" s="221"/>
      <c r="M772" s="221"/>
      <c r="N772" s="221"/>
      <c r="O772" s="221"/>
      <c r="P772" s="221"/>
      <c r="Q772" s="221"/>
      <c r="R772" s="221"/>
      <c r="S772" s="221"/>
      <c r="T772" s="221"/>
      <c r="U772" s="221"/>
      <c r="V772" s="221"/>
      <c r="W772" s="221"/>
      <c r="X772" s="221"/>
      <c r="Y772" s="221"/>
      <c r="Z772" s="221"/>
    </row>
    <row r="773" spans="1:26" ht="18.75" customHeight="1">
      <c r="A773" s="221"/>
      <c r="B773" s="221"/>
      <c r="C773" s="221"/>
      <c r="D773" s="221"/>
      <c r="E773" s="221"/>
      <c r="F773" s="221"/>
      <c r="G773" s="221"/>
      <c r="H773" s="221"/>
      <c r="I773" s="221"/>
      <c r="J773" s="221"/>
      <c r="K773" s="221"/>
      <c r="L773" s="221"/>
      <c r="M773" s="221"/>
      <c r="N773" s="221"/>
      <c r="O773" s="221"/>
      <c r="P773" s="221"/>
      <c r="Q773" s="221"/>
      <c r="R773" s="221"/>
      <c r="S773" s="221"/>
      <c r="T773" s="221"/>
      <c r="U773" s="221"/>
      <c r="V773" s="221"/>
      <c r="W773" s="221"/>
      <c r="X773" s="221"/>
      <c r="Y773" s="221"/>
      <c r="Z773" s="221"/>
    </row>
    <row r="774" spans="1:26" ht="18.75" customHeight="1">
      <c r="A774" s="221"/>
      <c r="B774" s="221"/>
      <c r="C774" s="221"/>
      <c r="D774" s="221"/>
      <c r="E774" s="221"/>
      <c r="F774" s="221"/>
      <c r="G774" s="221"/>
      <c r="H774" s="221"/>
      <c r="I774" s="221"/>
      <c r="J774" s="221"/>
      <c r="K774" s="221"/>
      <c r="L774" s="221"/>
      <c r="M774" s="221"/>
      <c r="N774" s="221"/>
      <c r="O774" s="221"/>
      <c r="P774" s="221"/>
      <c r="Q774" s="221"/>
      <c r="R774" s="221"/>
      <c r="S774" s="221"/>
      <c r="T774" s="221"/>
      <c r="U774" s="221"/>
      <c r="V774" s="221"/>
      <c r="W774" s="221"/>
      <c r="X774" s="221"/>
      <c r="Y774" s="221"/>
      <c r="Z774" s="221"/>
    </row>
    <row r="775" spans="1:26" ht="18.75" customHeight="1">
      <c r="A775" s="221"/>
      <c r="B775" s="221"/>
      <c r="C775" s="221"/>
      <c r="D775" s="221"/>
      <c r="E775" s="221"/>
      <c r="F775" s="221"/>
      <c r="G775" s="221"/>
      <c r="H775" s="221"/>
      <c r="I775" s="221"/>
      <c r="J775" s="221"/>
      <c r="K775" s="221"/>
      <c r="L775" s="221"/>
      <c r="M775" s="221"/>
      <c r="N775" s="221"/>
      <c r="O775" s="221"/>
      <c r="P775" s="221"/>
      <c r="Q775" s="221"/>
      <c r="R775" s="221"/>
      <c r="S775" s="221"/>
      <c r="T775" s="221"/>
      <c r="U775" s="221"/>
      <c r="V775" s="221"/>
      <c r="W775" s="221"/>
      <c r="X775" s="221"/>
      <c r="Y775" s="221"/>
      <c r="Z775" s="221"/>
    </row>
    <row r="776" spans="1:26" ht="18.75" customHeight="1">
      <c r="A776" s="221"/>
      <c r="B776" s="221"/>
      <c r="C776" s="221"/>
      <c r="D776" s="221"/>
      <c r="E776" s="221"/>
      <c r="F776" s="221"/>
      <c r="G776" s="221"/>
      <c r="H776" s="221"/>
      <c r="I776" s="221"/>
      <c r="J776" s="221"/>
      <c r="K776" s="221"/>
      <c r="L776" s="221"/>
      <c r="M776" s="221"/>
      <c r="N776" s="221"/>
      <c r="O776" s="221"/>
      <c r="P776" s="221"/>
      <c r="Q776" s="221"/>
      <c r="R776" s="221"/>
      <c r="S776" s="221"/>
      <c r="T776" s="221"/>
      <c r="U776" s="221"/>
      <c r="V776" s="221"/>
      <c r="W776" s="221"/>
      <c r="X776" s="221"/>
      <c r="Y776" s="221"/>
      <c r="Z776" s="221"/>
    </row>
    <row r="777" spans="1:26" ht="18.75" customHeight="1">
      <c r="A777" s="221"/>
      <c r="B777" s="221"/>
      <c r="C777" s="221"/>
      <c r="D777" s="221"/>
      <c r="E777" s="221"/>
      <c r="F777" s="221"/>
      <c r="G777" s="221"/>
      <c r="H777" s="221"/>
      <c r="I777" s="221"/>
      <c r="J777" s="221"/>
      <c r="K777" s="221"/>
      <c r="L777" s="221"/>
      <c r="M777" s="221"/>
      <c r="N777" s="221"/>
      <c r="O777" s="221"/>
      <c r="P777" s="221"/>
      <c r="Q777" s="221"/>
      <c r="R777" s="221"/>
      <c r="S777" s="221"/>
      <c r="T777" s="221"/>
      <c r="U777" s="221"/>
      <c r="V777" s="221"/>
      <c r="W777" s="221"/>
      <c r="X777" s="221"/>
      <c r="Y777" s="221"/>
      <c r="Z777" s="221"/>
    </row>
    <row r="778" spans="1:26" ht="18.75" customHeight="1">
      <c r="A778" s="221"/>
      <c r="B778" s="221"/>
      <c r="C778" s="221"/>
      <c r="D778" s="221"/>
      <c r="E778" s="221"/>
      <c r="F778" s="221"/>
      <c r="G778" s="221"/>
      <c r="H778" s="221"/>
      <c r="I778" s="221"/>
      <c r="J778" s="221"/>
      <c r="K778" s="221"/>
      <c r="L778" s="221"/>
      <c r="M778" s="221"/>
      <c r="N778" s="221"/>
      <c r="O778" s="221"/>
      <c r="P778" s="221"/>
      <c r="Q778" s="221"/>
      <c r="R778" s="221"/>
      <c r="S778" s="221"/>
      <c r="T778" s="221"/>
      <c r="U778" s="221"/>
      <c r="V778" s="221"/>
      <c r="W778" s="221"/>
      <c r="X778" s="221"/>
      <c r="Y778" s="221"/>
      <c r="Z778" s="221"/>
    </row>
    <row r="779" spans="1:26" ht="18.75" customHeight="1">
      <c r="A779" s="221"/>
      <c r="B779" s="221"/>
      <c r="C779" s="221"/>
      <c r="D779" s="221"/>
      <c r="E779" s="221"/>
      <c r="F779" s="221"/>
      <c r="G779" s="221"/>
      <c r="H779" s="221"/>
      <c r="I779" s="221"/>
      <c r="J779" s="221"/>
      <c r="K779" s="221"/>
      <c r="L779" s="221"/>
      <c r="M779" s="221"/>
      <c r="N779" s="221"/>
      <c r="O779" s="221"/>
      <c r="P779" s="221"/>
      <c r="Q779" s="221"/>
      <c r="R779" s="221"/>
      <c r="S779" s="221"/>
      <c r="T779" s="221"/>
      <c r="U779" s="221"/>
      <c r="V779" s="221"/>
      <c r="W779" s="221"/>
      <c r="X779" s="221"/>
      <c r="Y779" s="221"/>
      <c r="Z779" s="221"/>
    </row>
    <row r="780" spans="1:26" ht="18.75" customHeight="1">
      <c r="A780" s="221"/>
      <c r="B780" s="221"/>
      <c r="C780" s="221"/>
      <c r="D780" s="221"/>
      <c r="E780" s="221"/>
      <c r="F780" s="221"/>
      <c r="G780" s="221"/>
      <c r="H780" s="221"/>
      <c r="I780" s="221"/>
      <c r="J780" s="221"/>
      <c r="K780" s="221"/>
      <c r="L780" s="221"/>
      <c r="M780" s="221"/>
      <c r="N780" s="221"/>
      <c r="O780" s="221"/>
      <c r="P780" s="221"/>
      <c r="Q780" s="221"/>
      <c r="R780" s="221"/>
      <c r="S780" s="221"/>
      <c r="T780" s="221"/>
      <c r="U780" s="221"/>
      <c r="V780" s="221"/>
      <c r="W780" s="221"/>
      <c r="X780" s="221"/>
      <c r="Y780" s="221"/>
      <c r="Z780" s="221"/>
    </row>
    <row r="781" spans="1:26" ht="18.75" customHeight="1">
      <c r="A781" s="221"/>
      <c r="B781" s="221"/>
      <c r="C781" s="221"/>
      <c r="D781" s="221"/>
      <c r="E781" s="221"/>
      <c r="F781" s="221"/>
      <c r="G781" s="221"/>
      <c r="H781" s="221"/>
      <c r="I781" s="221"/>
      <c r="J781" s="221"/>
      <c r="K781" s="221"/>
      <c r="L781" s="221"/>
      <c r="M781" s="221"/>
      <c r="N781" s="221"/>
      <c r="O781" s="221"/>
      <c r="P781" s="221"/>
      <c r="Q781" s="221"/>
      <c r="R781" s="221"/>
      <c r="S781" s="221"/>
      <c r="T781" s="221"/>
      <c r="U781" s="221"/>
      <c r="V781" s="221"/>
      <c r="W781" s="221"/>
      <c r="X781" s="221"/>
      <c r="Y781" s="221"/>
      <c r="Z781" s="221"/>
    </row>
    <row r="782" spans="1:26" ht="18.75" customHeight="1">
      <c r="A782" s="221"/>
      <c r="B782" s="221"/>
      <c r="C782" s="221"/>
      <c r="D782" s="221"/>
      <c r="E782" s="221"/>
      <c r="F782" s="221"/>
      <c r="G782" s="221"/>
      <c r="H782" s="221"/>
      <c r="I782" s="221"/>
      <c r="J782" s="221"/>
      <c r="K782" s="221"/>
      <c r="L782" s="221"/>
      <c r="M782" s="221"/>
      <c r="N782" s="221"/>
      <c r="O782" s="221"/>
      <c r="P782" s="221"/>
      <c r="Q782" s="221"/>
      <c r="R782" s="221"/>
      <c r="S782" s="221"/>
      <c r="T782" s="221"/>
      <c r="U782" s="221"/>
      <c r="V782" s="221"/>
      <c r="W782" s="221"/>
      <c r="X782" s="221"/>
      <c r="Y782" s="221"/>
      <c r="Z782" s="221"/>
    </row>
    <row r="783" spans="1:26" ht="18.75" customHeight="1">
      <c r="A783" s="221"/>
      <c r="B783" s="221"/>
      <c r="C783" s="221"/>
      <c r="D783" s="221"/>
      <c r="E783" s="221"/>
      <c r="F783" s="221"/>
      <c r="G783" s="221"/>
      <c r="H783" s="221"/>
      <c r="I783" s="221"/>
      <c r="J783" s="221"/>
      <c r="K783" s="221"/>
      <c r="L783" s="221"/>
      <c r="M783" s="221"/>
      <c r="N783" s="221"/>
      <c r="O783" s="221"/>
      <c r="P783" s="221"/>
      <c r="Q783" s="221"/>
      <c r="R783" s="221"/>
      <c r="S783" s="221"/>
      <c r="T783" s="221"/>
      <c r="U783" s="221"/>
      <c r="V783" s="221"/>
      <c r="W783" s="221"/>
      <c r="X783" s="221"/>
      <c r="Y783" s="221"/>
      <c r="Z783" s="221"/>
    </row>
    <row r="784" spans="1:26" ht="18.75" customHeight="1">
      <c r="A784" s="221"/>
      <c r="B784" s="221"/>
      <c r="C784" s="221"/>
      <c r="D784" s="221"/>
      <c r="E784" s="221"/>
      <c r="F784" s="221"/>
      <c r="G784" s="221"/>
      <c r="H784" s="221"/>
      <c r="I784" s="221"/>
      <c r="J784" s="221"/>
      <c r="K784" s="221"/>
      <c r="L784" s="221"/>
      <c r="M784" s="221"/>
      <c r="N784" s="221"/>
      <c r="O784" s="221"/>
      <c r="P784" s="221"/>
      <c r="Q784" s="221"/>
      <c r="R784" s="221"/>
      <c r="S784" s="221"/>
      <c r="T784" s="221"/>
      <c r="U784" s="221"/>
      <c r="V784" s="221"/>
      <c r="W784" s="221"/>
      <c r="X784" s="221"/>
      <c r="Y784" s="221"/>
      <c r="Z784" s="221"/>
    </row>
    <row r="785" spans="1:26" ht="18.75" customHeight="1">
      <c r="A785" s="221"/>
      <c r="B785" s="221"/>
      <c r="C785" s="221"/>
      <c r="D785" s="221"/>
      <c r="E785" s="221"/>
      <c r="F785" s="221"/>
      <c r="G785" s="221"/>
      <c r="H785" s="221"/>
      <c r="I785" s="221"/>
      <c r="J785" s="221"/>
      <c r="K785" s="221"/>
      <c r="L785" s="221"/>
      <c r="M785" s="221"/>
      <c r="N785" s="221"/>
      <c r="O785" s="221"/>
      <c r="P785" s="221"/>
      <c r="Q785" s="221"/>
      <c r="R785" s="221"/>
      <c r="S785" s="221"/>
      <c r="T785" s="221"/>
      <c r="U785" s="221"/>
      <c r="V785" s="221"/>
      <c r="W785" s="221"/>
      <c r="X785" s="221"/>
      <c r="Y785" s="221"/>
      <c r="Z785" s="221"/>
    </row>
    <row r="786" spans="1:26" ht="18.75" customHeight="1">
      <c r="A786" s="221"/>
      <c r="B786" s="221"/>
      <c r="C786" s="221"/>
      <c r="D786" s="221"/>
      <c r="E786" s="221"/>
      <c r="F786" s="221"/>
      <c r="G786" s="221"/>
      <c r="H786" s="221"/>
      <c r="I786" s="221"/>
      <c r="J786" s="221"/>
      <c r="K786" s="221"/>
      <c r="L786" s="221"/>
      <c r="M786" s="221"/>
      <c r="N786" s="221"/>
      <c r="O786" s="221"/>
      <c r="P786" s="221"/>
      <c r="Q786" s="221"/>
      <c r="R786" s="221"/>
      <c r="S786" s="221"/>
      <c r="T786" s="221"/>
      <c r="U786" s="221"/>
      <c r="V786" s="221"/>
      <c r="W786" s="221"/>
      <c r="X786" s="221"/>
      <c r="Y786" s="221"/>
      <c r="Z786" s="221"/>
    </row>
    <row r="787" spans="1:26" ht="18.75" customHeight="1">
      <c r="A787" s="221"/>
      <c r="B787" s="221"/>
      <c r="C787" s="221"/>
      <c r="D787" s="221"/>
      <c r="E787" s="221"/>
      <c r="F787" s="221"/>
      <c r="G787" s="221"/>
      <c r="H787" s="221"/>
      <c r="I787" s="221"/>
      <c r="J787" s="221"/>
      <c r="K787" s="221"/>
      <c r="L787" s="221"/>
      <c r="M787" s="221"/>
      <c r="N787" s="221"/>
      <c r="O787" s="221"/>
      <c r="P787" s="221"/>
      <c r="Q787" s="221"/>
      <c r="R787" s="221"/>
      <c r="S787" s="221"/>
      <c r="T787" s="221"/>
      <c r="U787" s="221"/>
      <c r="V787" s="221"/>
      <c r="W787" s="221"/>
      <c r="X787" s="221"/>
      <c r="Y787" s="221"/>
      <c r="Z787" s="221"/>
    </row>
    <row r="788" spans="1:26" ht="18.75" customHeight="1">
      <c r="A788" s="221"/>
      <c r="B788" s="221"/>
      <c r="C788" s="221"/>
      <c r="D788" s="221"/>
      <c r="E788" s="221"/>
      <c r="F788" s="221"/>
      <c r="G788" s="221"/>
      <c r="H788" s="221"/>
      <c r="I788" s="221"/>
      <c r="J788" s="221"/>
      <c r="K788" s="221"/>
      <c r="L788" s="221"/>
      <c r="M788" s="221"/>
      <c r="N788" s="221"/>
      <c r="O788" s="221"/>
      <c r="P788" s="221"/>
      <c r="Q788" s="221"/>
      <c r="R788" s="221"/>
      <c r="S788" s="221"/>
      <c r="T788" s="221"/>
      <c r="U788" s="221"/>
      <c r="V788" s="221"/>
      <c r="W788" s="221"/>
      <c r="X788" s="221"/>
      <c r="Y788" s="221"/>
      <c r="Z788" s="221"/>
    </row>
    <row r="789" spans="1:26" ht="18.75" customHeight="1">
      <c r="A789" s="221"/>
      <c r="B789" s="221"/>
      <c r="C789" s="221"/>
      <c r="D789" s="221"/>
      <c r="E789" s="221"/>
      <c r="F789" s="221"/>
      <c r="G789" s="221"/>
      <c r="H789" s="221"/>
      <c r="I789" s="221"/>
      <c r="J789" s="221"/>
      <c r="K789" s="221"/>
      <c r="L789" s="221"/>
      <c r="M789" s="221"/>
      <c r="N789" s="221"/>
      <c r="O789" s="221"/>
      <c r="P789" s="221"/>
      <c r="Q789" s="221"/>
      <c r="R789" s="221"/>
      <c r="S789" s="221"/>
      <c r="T789" s="221"/>
      <c r="U789" s="221"/>
      <c r="V789" s="221"/>
      <c r="W789" s="221"/>
      <c r="X789" s="221"/>
      <c r="Y789" s="221"/>
      <c r="Z789" s="221"/>
    </row>
    <row r="790" spans="1:26" ht="18.75" customHeight="1">
      <c r="A790" s="221"/>
      <c r="B790" s="221"/>
      <c r="C790" s="221"/>
      <c r="D790" s="221"/>
      <c r="E790" s="221"/>
      <c r="F790" s="221"/>
      <c r="G790" s="221"/>
      <c r="H790" s="221"/>
      <c r="I790" s="221"/>
      <c r="J790" s="221"/>
      <c r="K790" s="221"/>
      <c r="L790" s="221"/>
      <c r="M790" s="221"/>
      <c r="N790" s="221"/>
      <c r="O790" s="221"/>
      <c r="P790" s="221"/>
      <c r="Q790" s="221"/>
      <c r="R790" s="221"/>
      <c r="S790" s="221"/>
      <c r="T790" s="221"/>
      <c r="U790" s="221"/>
      <c r="V790" s="221"/>
      <c r="W790" s="221"/>
      <c r="X790" s="221"/>
      <c r="Y790" s="221"/>
      <c r="Z790" s="221"/>
    </row>
    <row r="791" spans="1:26" ht="18.75" customHeight="1">
      <c r="A791" s="221"/>
      <c r="B791" s="221"/>
      <c r="C791" s="221"/>
      <c r="D791" s="221"/>
      <c r="E791" s="221"/>
      <c r="F791" s="221"/>
      <c r="G791" s="221"/>
      <c r="H791" s="221"/>
      <c r="I791" s="221"/>
      <c r="J791" s="221"/>
      <c r="K791" s="221"/>
      <c r="L791" s="221"/>
      <c r="M791" s="221"/>
      <c r="N791" s="221"/>
      <c r="O791" s="221"/>
      <c r="P791" s="221"/>
      <c r="Q791" s="221"/>
      <c r="R791" s="221"/>
      <c r="S791" s="221"/>
      <c r="T791" s="221"/>
      <c r="U791" s="221"/>
      <c r="V791" s="221"/>
      <c r="W791" s="221"/>
      <c r="X791" s="221"/>
      <c r="Y791" s="221"/>
      <c r="Z791" s="221"/>
    </row>
    <row r="792" spans="1:26" ht="18.75" customHeight="1">
      <c r="A792" s="221"/>
      <c r="B792" s="221"/>
      <c r="C792" s="221"/>
      <c r="D792" s="221"/>
      <c r="E792" s="221"/>
      <c r="F792" s="221"/>
      <c r="G792" s="221"/>
      <c r="H792" s="221"/>
      <c r="I792" s="221"/>
      <c r="J792" s="221"/>
      <c r="K792" s="221"/>
      <c r="L792" s="221"/>
      <c r="M792" s="221"/>
      <c r="N792" s="221"/>
      <c r="O792" s="221"/>
      <c r="P792" s="221"/>
      <c r="Q792" s="221"/>
      <c r="R792" s="221"/>
      <c r="S792" s="221"/>
      <c r="T792" s="221"/>
      <c r="U792" s="221"/>
      <c r="V792" s="221"/>
      <c r="W792" s="221"/>
      <c r="X792" s="221"/>
      <c r="Y792" s="221"/>
      <c r="Z792" s="221"/>
    </row>
    <row r="793" spans="1:26" ht="18.75" customHeight="1">
      <c r="A793" s="221"/>
      <c r="B793" s="221"/>
      <c r="C793" s="221"/>
      <c r="D793" s="221"/>
      <c r="E793" s="221"/>
      <c r="F793" s="221"/>
      <c r="G793" s="221"/>
      <c r="H793" s="221"/>
      <c r="I793" s="221"/>
      <c r="J793" s="221"/>
      <c r="K793" s="221"/>
      <c r="L793" s="221"/>
      <c r="M793" s="221"/>
      <c r="N793" s="221"/>
      <c r="O793" s="221"/>
      <c r="P793" s="221"/>
      <c r="Q793" s="221"/>
      <c r="R793" s="221"/>
      <c r="S793" s="221"/>
      <c r="T793" s="221"/>
      <c r="U793" s="221"/>
      <c r="V793" s="221"/>
      <c r="W793" s="221"/>
      <c r="X793" s="221"/>
      <c r="Y793" s="221"/>
      <c r="Z793" s="221"/>
    </row>
    <row r="794" spans="1:26" ht="18.75" customHeight="1">
      <c r="A794" s="221"/>
      <c r="B794" s="221"/>
      <c r="C794" s="221"/>
      <c r="D794" s="221"/>
      <c r="E794" s="221"/>
      <c r="F794" s="221"/>
      <c r="G794" s="221"/>
      <c r="H794" s="221"/>
      <c r="I794" s="221"/>
      <c r="J794" s="221"/>
      <c r="K794" s="221"/>
      <c r="L794" s="221"/>
      <c r="M794" s="221"/>
      <c r="N794" s="221"/>
      <c r="O794" s="221"/>
      <c r="P794" s="221"/>
      <c r="Q794" s="221"/>
      <c r="R794" s="221"/>
      <c r="S794" s="221"/>
      <c r="T794" s="221"/>
      <c r="U794" s="221"/>
      <c r="V794" s="221"/>
      <c r="W794" s="221"/>
      <c r="X794" s="221"/>
      <c r="Y794" s="221"/>
      <c r="Z794" s="221"/>
    </row>
    <row r="795" spans="1:26" ht="18.75" customHeight="1">
      <c r="A795" s="221"/>
      <c r="B795" s="221"/>
      <c r="C795" s="221"/>
      <c r="D795" s="221"/>
      <c r="E795" s="221"/>
      <c r="F795" s="221"/>
      <c r="G795" s="221"/>
      <c r="H795" s="221"/>
      <c r="I795" s="221"/>
      <c r="J795" s="221"/>
      <c r="K795" s="221"/>
      <c r="L795" s="221"/>
      <c r="M795" s="221"/>
      <c r="N795" s="221"/>
      <c r="O795" s="221"/>
      <c r="P795" s="221"/>
      <c r="Q795" s="221"/>
      <c r="R795" s="221"/>
      <c r="S795" s="221"/>
      <c r="T795" s="221"/>
      <c r="U795" s="221"/>
      <c r="V795" s="221"/>
      <c r="W795" s="221"/>
      <c r="X795" s="221"/>
      <c r="Y795" s="221"/>
      <c r="Z795" s="221"/>
    </row>
    <row r="796" spans="1:26" ht="18.75" customHeight="1">
      <c r="A796" s="221"/>
      <c r="B796" s="221"/>
      <c r="C796" s="221"/>
      <c r="D796" s="221"/>
      <c r="E796" s="221"/>
      <c r="F796" s="221"/>
      <c r="G796" s="221"/>
      <c r="H796" s="221"/>
      <c r="I796" s="221"/>
      <c r="J796" s="221"/>
      <c r="K796" s="221"/>
      <c r="L796" s="221"/>
      <c r="M796" s="221"/>
      <c r="N796" s="221"/>
      <c r="O796" s="221"/>
      <c r="P796" s="221"/>
      <c r="Q796" s="221"/>
      <c r="R796" s="221"/>
      <c r="S796" s="221"/>
      <c r="T796" s="221"/>
      <c r="U796" s="221"/>
      <c r="V796" s="221"/>
      <c r="W796" s="221"/>
      <c r="X796" s="221"/>
      <c r="Y796" s="221"/>
      <c r="Z796" s="221"/>
    </row>
    <row r="797" spans="1:26" ht="18.75" customHeight="1">
      <c r="A797" s="221"/>
      <c r="B797" s="221"/>
      <c r="C797" s="221"/>
      <c r="D797" s="221"/>
      <c r="E797" s="221"/>
      <c r="F797" s="221"/>
      <c r="G797" s="221"/>
      <c r="H797" s="221"/>
      <c r="I797" s="221"/>
      <c r="J797" s="221"/>
      <c r="K797" s="221"/>
      <c r="L797" s="221"/>
      <c r="M797" s="221"/>
      <c r="N797" s="221"/>
      <c r="O797" s="221"/>
      <c r="P797" s="221"/>
      <c r="Q797" s="221"/>
      <c r="R797" s="221"/>
      <c r="S797" s="221"/>
      <c r="T797" s="221"/>
      <c r="U797" s="221"/>
      <c r="V797" s="221"/>
      <c r="W797" s="221"/>
      <c r="X797" s="221"/>
      <c r="Y797" s="221"/>
      <c r="Z797" s="221"/>
    </row>
    <row r="798" spans="1:26" ht="18.75" customHeight="1">
      <c r="A798" s="221"/>
      <c r="B798" s="221"/>
      <c r="C798" s="221"/>
      <c r="D798" s="221"/>
      <c r="E798" s="221"/>
      <c r="F798" s="221"/>
      <c r="G798" s="221"/>
      <c r="H798" s="221"/>
      <c r="I798" s="221"/>
      <c r="J798" s="221"/>
      <c r="K798" s="221"/>
      <c r="L798" s="221"/>
      <c r="M798" s="221"/>
      <c r="N798" s="221"/>
      <c r="O798" s="221"/>
      <c r="P798" s="221"/>
      <c r="Q798" s="221"/>
      <c r="R798" s="221"/>
      <c r="S798" s="221"/>
      <c r="T798" s="221"/>
      <c r="U798" s="221"/>
      <c r="V798" s="221"/>
      <c r="W798" s="221"/>
      <c r="X798" s="221"/>
      <c r="Y798" s="221"/>
      <c r="Z798" s="221"/>
    </row>
    <row r="799" spans="1:26" ht="18.75" customHeight="1">
      <c r="A799" s="221"/>
      <c r="B799" s="221"/>
      <c r="C799" s="221"/>
      <c r="D799" s="221"/>
      <c r="E799" s="221"/>
      <c r="F799" s="221"/>
      <c r="G799" s="221"/>
      <c r="H799" s="221"/>
      <c r="I799" s="221"/>
      <c r="J799" s="221"/>
      <c r="K799" s="221"/>
      <c r="L799" s="221"/>
      <c r="M799" s="221"/>
      <c r="N799" s="221"/>
      <c r="O799" s="221"/>
      <c r="P799" s="221"/>
      <c r="Q799" s="221"/>
      <c r="R799" s="221"/>
      <c r="S799" s="221"/>
      <c r="T799" s="221"/>
      <c r="U799" s="221"/>
      <c r="V799" s="221"/>
      <c r="W799" s="221"/>
      <c r="X799" s="221"/>
      <c r="Y799" s="221"/>
      <c r="Z799" s="221"/>
    </row>
    <row r="800" spans="1:26" ht="18.75" customHeight="1">
      <c r="A800" s="221"/>
      <c r="B800" s="221"/>
      <c r="C800" s="221"/>
      <c r="D800" s="221"/>
      <c r="E800" s="221"/>
      <c r="F800" s="221"/>
      <c r="G800" s="221"/>
      <c r="H800" s="221"/>
      <c r="I800" s="221"/>
      <c r="J800" s="221"/>
      <c r="K800" s="221"/>
      <c r="L800" s="221"/>
      <c r="M800" s="221"/>
      <c r="N800" s="221"/>
      <c r="O800" s="221"/>
      <c r="P800" s="221"/>
      <c r="Q800" s="221"/>
      <c r="R800" s="221"/>
      <c r="S800" s="221"/>
      <c r="T800" s="221"/>
      <c r="U800" s="221"/>
      <c r="V800" s="221"/>
      <c r="W800" s="221"/>
      <c r="X800" s="221"/>
      <c r="Y800" s="221"/>
      <c r="Z800" s="221"/>
    </row>
    <row r="801" spans="1:26" ht="18.75" customHeight="1">
      <c r="A801" s="221"/>
      <c r="B801" s="221"/>
      <c r="C801" s="221"/>
      <c r="D801" s="221"/>
      <c r="E801" s="221"/>
      <c r="F801" s="221"/>
      <c r="G801" s="221"/>
      <c r="H801" s="221"/>
      <c r="I801" s="221"/>
      <c r="J801" s="221"/>
      <c r="K801" s="221"/>
      <c r="L801" s="221"/>
      <c r="M801" s="221"/>
      <c r="N801" s="221"/>
      <c r="O801" s="221"/>
      <c r="P801" s="221"/>
      <c r="Q801" s="221"/>
      <c r="R801" s="221"/>
      <c r="S801" s="221"/>
      <c r="T801" s="221"/>
      <c r="U801" s="221"/>
      <c r="V801" s="221"/>
      <c r="W801" s="221"/>
      <c r="X801" s="221"/>
      <c r="Y801" s="221"/>
      <c r="Z801" s="221"/>
    </row>
    <row r="802" spans="1:26" ht="18.75" customHeight="1">
      <c r="A802" s="221"/>
      <c r="B802" s="221"/>
      <c r="C802" s="221"/>
      <c r="D802" s="221"/>
      <c r="E802" s="221"/>
      <c r="F802" s="221"/>
      <c r="G802" s="221"/>
      <c r="H802" s="221"/>
      <c r="I802" s="221"/>
      <c r="J802" s="221"/>
      <c r="K802" s="221"/>
      <c r="L802" s="221"/>
      <c r="M802" s="221"/>
      <c r="N802" s="221"/>
      <c r="O802" s="221"/>
      <c r="P802" s="221"/>
      <c r="Q802" s="221"/>
      <c r="R802" s="221"/>
      <c r="S802" s="221"/>
      <c r="T802" s="221"/>
      <c r="U802" s="221"/>
      <c r="V802" s="221"/>
      <c r="W802" s="221"/>
      <c r="X802" s="221"/>
      <c r="Y802" s="221"/>
      <c r="Z802" s="221"/>
    </row>
    <row r="803" spans="1:26" ht="18.75" customHeight="1">
      <c r="A803" s="221"/>
      <c r="B803" s="221"/>
      <c r="C803" s="221"/>
      <c r="D803" s="221"/>
      <c r="E803" s="221"/>
      <c r="F803" s="221"/>
      <c r="G803" s="221"/>
      <c r="H803" s="221"/>
      <c r="I803" s="221"/>
      <c r="J803" s="221"/>
      <c r="K803" s="221"/>
      <c r="L803" s="221"/>
      <c r="M803" s="221"/>
      <c r="N803" s="221"/>
      <c r="O803" s="221"/>
      <c r="P803" s="221"/>
      <c r="Q803" s="221"/>
      <c r="R803" s="221"/>
      <c r="S803" s="221"/>
      <c r="T803" s="221"/>
      <c r="U803" s="221"/>
      <c r="V803" s="221"/>
      <c r="W803" s="221"/>
      <c r="X803" s="221"/>
      <c r="Y803" s="221"/>
      <c r="Z803" s="221"/>
    </row>
    <row r="804" spans="1:26" ht="18.75" customHeight="1">
      <c r="A804" s="221"/>
      <c r="B804" s="221"/>
      <c r="C804" s="221"/>
      <c r="D804" s="221"/>
      <c r="E804" s="221"/>
      <c r="F804" s="221"/>
      <c r="G804" s="221"/>
      <c r="H804" s="221"/>
      <c r="I804" s="221"/>
      <c r="J804" s="221"/>
      <c r="K804" s="221"/>
      <c r="L804" s="221"/>
      <c r="M804" s="221"/>
      <c r="N804" s="221"/>
      <c r="O804" s="221"/>
      <c r="P804" s="221"/>
      <c r="Q804" s="221"/>
      <c r="R804" s="221"/>
      <c r="S804" s="221"/>
      <c r="T804" s="221"/>
      <c r="U804" s="221"/>
      <c r="V804" s="221"/>
      <c r="W804" s="221"/>
      <c r="X804" s="221"/>
      <c r="Y804" s="221"/>
      <c r="Z804" s="221"/>
    </row>
    <row r="805" spans="1:26" ht="18.75" customHeight="1">
      <c r="A805" s="221"/>
      <c r="B805" s="221"/>
      <c r="C805" s="221"/>
      <c r="D805" s="221"/>
      <c r="E805" s="221"/>
      <c r="F805" s="221"/>
      <c r="G805" s="221"/>
      <c r="H805" s="221"/>
      <c r="I805" s="221"/>
      <c r="J805" s="221"/>
      <c r="K805" s="221"/>
      <c r="L805" s="221"/>
      <c r="M805" s="221"/>
      <c r="N805" s="221"/>
      <c r="O805" s="221"/>
      <c r="P805" s="221"/>
      <c r="Q805" s="221"/>
      <c r="R805" s="221"/>
      <c r="S805" s="221"/>
      <c r="T805" s="221"/>
      <c r="U805" s="221"/>
      <c r="V805" s="221"/>
      <c r="W805" s="221"/>
      <c r="X805" s="221"/>
      <c r="Y805" s="221"/>
      <c r="Z805" s="221"/>
    </row>
    <row r="806" spans="1:26" ht="18.75" customHeight="1">
      <c r="A806" s="221"/>
      <c r="B806" s="221"/>
      <c r="C806" s="221"/>
      <c r="D806" s="221"/>
      <c r="E806" s="221"/>
      <c r="F806" s="221"/>
      <c r="G806" s="221"/>
      <c r="H806" s="221"/>
      <c r="I806" s="221"/>
      <c r="J806" s="221"/>
      <c r="K806" s="221"/>
      <c r="L806" s="221"/>
      <c r="M806" s="221"/>
      <c r="N806" s="221"/>
      <c r="O806" s="221"/>
      <c r="P806" s="221"/>
      <c r="Q806" s="221"/>
      <c r="R806" s="221"/>
      <c r="S806" s="221"/>
      <c r="T806" s="221"/>
      <c r="U806" s="221"/>
      <c r="V806" s="221"/>
      <c r="W806" s="221"/>
      <c r="X806" s="221"/>
      <c r="Y806" s="221"/>
      <c r="Z806" s="221"/>
    </row>
    <row r="807" spans="1:26" ht="18.75" customHeight="1">
      <c r="A807" s="221"/>
      <c r="B807" s="221"/>
      <c r="C807" s="221"/>
      <c r="D807" s="221"/>
      <c r="E807" s="221"/>
      <c r="F807" s="221"/>
      <c r="G807" s="221"/>
      <c r="H807" s="221"/>
      <c r="I807" s="221"/>
      <c r="J807" s="221"/>
      <c r="K807" s="221"/>
      <c r="L807" s="221"/>
      <c r="M807" s="221"/>
      <c r="N807" s="221"/>
      <c r="O807" s="221"/>
      <c r="P807" s="221"/>
      <c r="Q807" s="221"/>
      <c r="R807" s="221"/>
      <c r="S807" s="221"/>
      <c r="T807" s="221"/>
      <c r="U807" s="221"/>
      <c r="V807" s="221"/>
      <c r="W807" s="221"/>
      <c r="X807" s="221"/>
      <c r="Y807" s="221"/>
      <c r="Z807" s="221"/>
    </row>
    <row r="808" spans="1:26" ht="18.75" customHeight="1">
      <c r="A808" s="221"/>
      <c r="B808" s="221"/>
      <c r="C808" s="221"/>
      <c r="D808" s="221"/>
      <c r="E808" s="221"/>
      <c r="F808" s="221"/>
      <c r="G808" s="221"/>
      <c r="H808" s="221"/>
      <c r="I808" s="221"/>
      <c r="J808" s="221"/>
      <c r="K808" s="221"/>
      <c r="L808" s="221"/>
      <c r="M808" s="221"/>
      <c r="N808" s="221"/>
      <c r="O808" s="221"/>
      <c r="P808" s="221"/>
      <c r="Q808" s="221"/>
      <c r="R808" s="221"/>
      <c r="S808" s="221"/>
      <c r="T808" s="221"/>
      <c r="U808" s="221"/>
      <c r="V808" s="221"/>
      <c r="W808" s="221"/>
      <c r="X808" s="221"/>
      <c r="Y808" s="221"/>
      <c r="Z808" s="221"/>
    </row>
    <row r="809" spans="1:26" ht="18.75" customHeight="1">
      <c r="A809" s="221"/>
      <c r="B809" s="221"/>
      <c r="C809" s="221"/>
      <c r="D809" s="221"/>
      <c r="E809" s="221"/>
      <c r="F809" s="221"/>
      <c r="G809" s="221"/>
      <c r="H809" s="221"/>
      <c r="I809" s="221"/>
      <c r="J809" s="221"/>
      <c r="K809" s="221"/>
      <c r="L809" s="221"/>
      <c r="M809" s="221"/>
      <c r="N809" s="221"/>
      <c r="O809" s="221"/>
      <c r="P809" s="221"/>
      <c r="Q809" s="221"/>
      <c r="R809" s="221"/>
      <c r="S809" s="221"/>
      <c r="T809" s="221"/>
      <c r="U809" s="221"/>
      <c r="V809" s="221"/>
      <c r="W809" s="221"/>
      <c r="X809" s="221"/>
      <c r="Y809" s="221"/>
      <c r="Z809" s="221"/>
    </row>
    <row r="810" spans="1:26" ht="18.75" customHeight="1">
      <c r="A810" s="221"/>
      <c r="B810" s="221"/>
      <c r="C810" s="221"/>
      <c r="D810" s="221"/>
      <c r="E810" s="221"/>
      <c r="F810" s="221"/>
      <c r="G810" s="221"/>
      <c r="H810" s="221"/>
      <c r="I810" s="221"/>
      <c r="J810" s="221"/>
      <c r="K810" s="221"/>
      <c r="L810" s="221"/>
      <c r="M810" s="221"/>
      <c r="N810" s="221"/>
      <c r="O810" s="221"/>
      <c r="P810" s="221"/>
      <c r="Q810" s="221"/>
      <c r="R810" s="221"/>
      <c r="S810" s="221"/>
      <c r="T810" s="221"/>
      <c r="U810" s="221"/>
      <c r="V810" s="221"/>
      <c r="W810" s="221"/>
      <c r="X810" s="221"/>
      <c r="Y810" s="221"/>
      <c r="Z810" s="221"/>
    </row>
    <row r="811" spans="1:26" ht="18.75" customHeight="1">
      <c r="A811" s="221"/>
      <c r="B811" s="221"/>
      <c r="C811" s="221"/>
      <c r="D811" s="221"/>
      <c r="E811" s="221"/>
      <c r="F811" s="221"/>
      <c r="G811" s="221"/>
      <c r="H811" s="221"/>
      <c r="I811" s="221"/>
      <c r="J811" s="221"/>
      <c r="K811" s="221"/>
      <c r="L811" s="221"/>
      <c r="M811" s="221"/>
      <c r="N811" s="221"/>
      <c r="O811" s="221"/>
      <c r="P811" s="221"/>
      <c r="Q811" s="221"/>
      <c r="R811" s="221"/>
      <c r="S811" s="221"/>
      <c r="T811" s="221"/>
      <c r="U811" s="221"/>
      <c r="V811" s="221"/>
      <c r="W811" s="221"/>
      <c r="X811" s="221"/>
      <c r="Y811" s="221"/>
      <c r="Z811" s="221"/>
    </row>
    <row r="812" spans="1:26" ht="18.75" customHeight="1">
      <c r="A812" s="221"/>
      <c r="B812" s="221"/>
      <c r="C812" s="221"/>
      <c r="D812" s="221"/>
      <c r="E812" s="221"/>
      <c r="F812" s="221"/>
      <c r="G812" s="221"/>
      <c r="H812" s="221"/>
      <c r="I812" s="221"/>
      <c r="J812" s="221"/>
      <c r="K812" s="221"/>
      <c r="L812" s="221"/>
      <c r="M812" s="221"/>
      <c r="N812" s="221"/>
      <c r="O812" s="221"/>
      <c r="P812" s="221"/>
      <c r="Q812" s="221"/>
      <c r="R812" s="221"/>
      <c r="S812" s="221"/>
      <c r="T812" s="221"/>
      <c r="U812" s="221"/>
      <c r="V812" s="221"/>
      <c r="W812" s="221"/>
      <c r="X812" s="221"/>
      <c r="Y812" s="221"/>
      <c r="Z812" s="221"/>
    </row>
    <row r="813" spans="1:26" ht="18.75" customHeight="1">
      <c r="A813" s="221"/>
      <c r="B813" s="221"/>
      <c r="C813" s="221"/>
      <c r="D813" s="221"/>
      <c r="E813" s="221"/>
      <c r="F813" s="221"/>
      <c r="G813" s="221"/>
      <c r="H813" s="221"/>
      <c r="I813" s="221"/>
      <c r="J813" s="221"/>
      <c r="K813" s="221"/>
      <c r="L813" s="221"/>
      <c r="M813" s="221"/>
      <c r="N813" s="221"/>
      <c r="O813" s="221"/>
      <c r="P813" s="221"/>
      <c r="Q813" s="221"/>
      <c r="R813" s="221"/>
      <c r="S813" s="221"/>
      <c r="T813" s="221"/>
      <c r="U813" s="221"/>
      <c r="V813" s="221"/>
      <c r="W813" s="221"/>
      <c r="X813" s="221"/>
      <c r="Y813" s="221"/>
      <c r="Z813" s="221"/>
    </row>
    <row r="814" spans="1:26" ht="18.75" customHeight="1">
      <c r="A814" s="221"/>
      <c r="B814" s="221"/>
      <c r="C814" s="221"/>
      <c r="D814" s="221"/>
      <c r="E814" s="221"/>
      <c r="F814" s="221"/>
      <c r="G814" s="221"/>
      <c r="H814" s="221"/>
      <c r="I814" s="221"/>
      <c r="J814" s="221"/>
      <c r="K814" s="221"/>
      <c r="L814" s="221"/>
      <c r="M814" s="221"/>
      <c r="N814" s="221"/>
      <c r="O814" s="221"/>
      <c r="P814" s="221"/>
      <c r="Q814" s="221"/>
      <c r="R814" s="221"/>
      <c r="S814" s="221"/>
      <c r="T814" s="221"/>
      <c r="U814" s="221"/>
      <c r="V814" s="221"/>
      <c r="W814" s="221"/>
      <c r="X814" s="221"/>
      <c r="Y814" s="221"/>
      <c r="Z814" s="221"/>
    </row>
    <row r="815" spans="1:26" ht="18.75" customHeight="1">
      <c r="A815" s="221"/>
      <c r="B815" s="221"/>
      <c r="C815" s="221"/>
      <c r="D815" s="221"/>
      <c r="E815" s="221"/>
      <c r="F815" s="221"/>
      <c r="G815" s="221"/>
      <c r="H815" s="221"/>
      <c r="I815" s="221"/>
      <c r="J815" s="221"/>
      <c r="K815" s="221"/>
      <c r="L815" s="221"/>
      <c r="M815" s="221"/>
      <c r="N815" s="221"/>
      <c r="O815" s="221"/>
      <c r="P815" s="221"/>
      <c r="Q815" s="221"/>
      <c r="R815" s="221"/>
      <c r="S815" s="221"/>
      <c r="T815" s="221"/>
      <c r="U815" s="221"/>
      <c r="V815" s="221"/>
      <c r="W815" s="221"/>
      <c r="X815" s="221"/>
      <c r="Y815" s="221"/>
      <c r="Z815" s="221"/>
    </row>
    <row r="816" spans="1:26" ht="18.75" customHeight="1">
      <c r="A816" s="221"/>
      <c r="B816" s="221"/>
      <c r="C816" s="221"/>
      <c r="D816" s="221"/>
      <c r="E816" s="221"/>
      <c r="F816" s="221"/>
      <c r="G816" s="221"/>
      <c r="H816" s="221"/>
      <c r="I816" s="221"/>
      <c r="J816" s="221"/>
      <c r="K816" s="221"/>
      <c r="L816" s="221"/>
      <c r="M816" s="221"/>
      <c r="N816" s="221"/>
      <c r="O816" s="221"/>
      <c r="P816" s="221"/>
      <c r="Q816" s="221"/>
      <c r="R816" s="221"/>
      <c r="S816" s="221"/>
      <c r="T816" s="221"/>
      <c r="U816" s="221"/>
      <c r="V816" s="221"/>
      <c r="W816" s="221"/>
      <c r="X816" s="221"/>
      <c r="Y816" s="221"/>
      <c r="Z816" s="221"/>
    </row>
    <row r="817" spans="1:26" ht="18.75" customHeight="1">
      <c r="A817" s="221"/>
      <c r="B817" s="221"/>
      <c r="C817" s="221"/>
      <c r="D817" s="221"/>
      <c r="E817" s="221"/>
      <c r="F817" s="221"/>
      <c r="G817" s="221"/>
      <c r="H817" s="221"/>
      <c r="I817" s="221"/>
      <c r="J817" s="221"/>
      <c r="K817" s="221"/>
      <c r="L817" s="221"/>
      <c r="M817" s="221"/>
      <c r="N817" s="221"/>
      <c r="O817" s="221"/>
      <c r="P817" s="221"/>
      <c r="Q817" s="221"/>
      <c r="R817" s="221"/>
      <c r="S817" s="221"/>
      <c r="T817" s="221"/>
      <c r="U817" s="221"/>
      <c r="V817" s="221"/>
      <c r="W817" s="221"/>
      <c r="X817" s="221"/>
      <c r="Y817" s="221"/>
      <c r="Z817" s="221"/>
    </row>
    <row r="818" spans="1:26" ht="18.75" customHeight="1">
      <c r="A818" s="221"/>
      <c r="B818" s="221"/>
      <c r="C818" s="221"/>
      <c r="D818" s="221"/>
      <c r="E818" s="221"/>
      <c r="F818" s="221"/>
      <c r="G818" s="221"/>
      <c r="H818" s="221"/>
      <c r="I818" s="221"/>
      <c r="J818" s="221"/>
      <c r="K818" s="221"/>
      <c r="L818" s="221"/>
      <c r="M818" s="221"/>
      <c r="N818" s="221"/>
      <c r="O818" s="221"/>
      <c r="P818" s="221"/>
      <c r="Q818" s="221"/>
      <c r="R818" s="221"/>
      <c r="S818" s="221"/>
      <c r="T818" s="221"/>
      <c r="U818" s="221"/>
      <c r="V818" s="221"/>
      <c r="W818" s="221"/>
      <c r="X818" s="221"/>
      <c r="Y818" s="221"/>
      <c r="Z818" s="221"/>
    </row>
    <row r="819" spans="1:26" ht="18.75" customHeight="1">
      <c r="A819" s="221"/>
      <c r="B819" s="221"/>
      <c r="C819" s="221"/>
      <c r="D819" s="221"/>
      <c r="E819" s="221"/>
      <c r="F819" s="221"/>
      <c r="G819" s="221"/>
      <c r="H819" s="221"/>
      <c r="I819" s="221"/>
      <c r="J819" s="221"/>
      <c r="K819" s="221"/>
      <c r="L819" s="221"/>
      <c r="M819" s="221"/>
      <c r="N819" s="221"/>
      <c r="O819" s="221"/>
      <c r="P819" s="221"/>
      <c r="Q819" s="221"/>
      <c r="R819" s="221"/>
      <c r="S819" s="221"/>
      <c r="T819" s="221"/>
      <c r="U819" s="221"/>
      <c r="V819" s="221"/>
      <c r="W819" s="221"/>
      <c r="X819" s="221"/>
      <c r="Y819" s="221"/>
      <c r="Z819" s="221"/>
    </row>
    <row r="820" spans="1:26" ht="18.75" customHeight="1">
      <c r="A820" s="221"/>
      <c r="B820" s="221"/>
      <c r="C820" s="221"/>
      <c r="D820" s="221"/>
      <c r="E820" s="221"/>
      <c r="F820" s="221"/>
      <c r="G820" s="221"/>
      <c r="H820" s="221"/>
      <c r="I820" s="221"/>
      <c r="J820" s="221"/>
      <c r="K820" s="221"/>
      <c r="L820" s="221"/>
      <c r="M820" s="221"/>
      <c r="N820" s="221"/>
      <c r="O820" s="221"/>
      <c r="P820" s="221"/>
      <c r="Q820" s="221"/>
      <c r="R820" s="221"/>
      <c r="S820" s="221"/>
      <c r="T820" s="221"/>
      <c r="U820" s="221"/>
      <c r="V820" s="221"/>
      <c r="W820" s="221"/>
      <c r="X820" s="221"/>
      <c r="Y820" s="221"/>
      <c r="Z820" s="221"/>
    </row>
    <row r="821" spans="1:26" ht="18.75" customHeight="1">
      <c r="A821" s="221"/>
      <c r="B821" s="221"/>
      <c r="C821" s="221"/>
      <c r="D821" s="221"/>
      <c r="E821" s="221"/>
      <c r="F821" s="221"/>
      <c r="G821" s="221"/>
      <c r="H821" s="221"/>
      <c r="I821" s="221"/>
      <c r="J821" s="221"/>
      <c r="K821" s="221"/>
      <c r="L821" s="221"/>
      <c r="M821" s="221"/>
      <c r="N821" s="221"/>
      <c r="O821" s="221"/>
      <c r="P821" s="221"/>
      <c r="Q821" s="221"/>
      <c r="R821" s="221"/>
      <c r="S821" s="221"/>
      <c r="T821" s="221"/>
      <c r="U821" s="221"/>
      <c r="V821" s="221"/>
      <c r="W821" s="221"/>
      <c r="X821" s="221"/>
      <c r="Y821" s="221"/>
      <c r="Z821" s="221"/>
    </row>
    <row r="822" spans="1:26" ht="18.75" customHeight="1">
      <c r="A822" s="221"/>
      <c r="B822" s="221"/>
      <c r="C822" s="221"/>
      <c r="D822" s="221"/>
      <c r="E822" s="221"/>
      <c r="F822" s="221"/>
      <c r="G822" s="221"/>
      <c r="H822" s="221"/>
      <c r="I822" s="221"/>
      <c r="J822" s="221"/>
      <c r="K822" s="221"/>
      <c r="L822" s="221"/>
      <c r="M822" s="221"/>
      <c r="N822" s="221"/>
      <c r="O822" s="221"/>
      <c r="P822" s="221"/>
      <c r="Q822" s="221"/>
      <c r="R822" s="221"/>
      <c r="S822" s="221"/>
      <c r="T822" s="221"/>
      <c r="U822" s="221"/>
      <c r="V822" s="221"/>
      <c r="W822" s="221"/>
      <c r="X822" s="221"/>
      <c r="Y822" s="221"/>
      <c r="Z822" s="221"/>
    </row>
    <row r="823" spans="1:26" ht="18.75" customHeight="1">
      <c r="A823" s="221"/>
      <c r="B823" s="221"/>
      <c r="C823" s="221"/>
      <c r="D823" s="221"/>
      <c r="E823" s="221"/>
      <c r="F823" s="221"/>
      <c r="G823" s="221"/>
      <c r="H823" s="221"/>
      <c r="I823" s="221"/>
      <c r="J823" s="221"/>
      <c r="K823" s="221"/>
      <c r="L823" s="221"/>
      <c r="M823" s="221"/>
      <c r="N823" s="221"/>
      <c r="O823" s="221"/>
      <c r="P823" s="221"/>
      <c r="Q823" s="221"/>
      <c r="R823" s="221"/>
      <c r="S823" s="221"/>
      <c r="T823" s="221"/>
      <c r="U823" s="221"/>
      <c r="V823" s="221"/>
      <c r="W823" s="221"/>
      <c r="X823" s="221"/>
      <c r="Y823" s="221"/>
      <c r="Z823" s="221"/>
    </row>
    <row r="824" spans="1:26" ht="18.75" customHeight="1">
      <c r="A824" s="221"/>
      <c r="B824" s="221"/>
      <c r="C824" s="221"/>
      <c r="D824" s="221"/>
      <c r="E824" s="221"/>
      <c r="F824" s="221"/>
      <c r="G824" s="221"/>
      <c r="H824" s="221"/>
      <c r="I824" s="221"/>
      <c r="J824" s="221"/>
      <c r="K824" s="221"/>
      <c r="L824" s="221"/>
      <c r="M824" s="221"/>
      <c r="N824" s="221"/>
      <c r="O824" s="221"/>
      <c r="P824" s="221"/>
      <c r="Q824" s="221"/>
      <c r="R824" s="221"/>
      <c r="S824" s="221"/>
      <c r="T824" s="221"/>
      <c r="U824" s="221"/>
      <c r="V824" s="221"/>
      <c r="W824" s="221"/>
      <c r="X824" s="221"/>
      <c r="Y824" s="221"/>
      <c r="Z824" s="221"/>
    </row>
    <row r="825" spans="1:26" ht="18.75" customHeight="1">
      <c r="A825" s="221"/>
      <c r="B825" s="221"/>
      <c r="C825" s="221"/>
      <c r="D825" s="221"/>
      <c r="E825" s="221"/>
      <c r="F825" s="221"/>
      <c r="G825" s="221"/>
      <c r="H825" s="221"/>
      <c r="I825" s="221"/>
      <c r="J825" s="221"/>
      <c r="K825" s="221"/>
      <c r="L825" s="221"/>
      <c r="M825" s="221"/>
      <c r="N825" s="221"/>
      <c r="O825" s="221"/>
      <c r="P825" s="221"/>
      <c r="Q825" s="221"/>
      <c r="R825" s="221"/>
      <c r="S825" s="221"/>
      <c r="T825" s="221"/>
      <c r="U825" s="221"/>
      <c r="V825" s="221"/>
      <c r="W825" s="221"/>
      <c r="X825" s="221"/>
      <c r="Y825" s="221"/>
      <c r="Z825" s="221"/>
    </row>
    <row r="826" spans="1:26" ht="18.75" customHeight="1">
      <c r="A826" s="221"/>
      <c r="B826" s="221"/>
      <c r="C826" s="221"/>
      <c r="D826" s="221"/>
      <c r="E826" s="221"/>
      <c r="F826" s="221"/>
      <c r="G826" s="221"/>
      <c r="H826" s="221"/>
      <c r="I826" s="221"/>
      <c r="J826" s="221"/>
      <c r="K826" s="221"/>
      <c r="L826" s="221"/>
      <c r="M826" s="221"/>
      <c r="N826" s="221"/>
      <c r="O826" s="221"/>
      <c r="P826" s="221"/>
      <c r="Q826" s="221"/>
      <c r="R826" s="221"/>
      <c r="S826" s="221"/>
      <c r="T826" s="221"/>
      <c r="U826" s="221"/>
      <c r="V826" s="221"/>
      <c r="W826" s="221"/>
      <c r="X826" s="221"/>
      <c r="Y826" s="221"/>
      <c r="Z826" s="221"/>
    </row>
    <row r="827" spans="1:26" ht="18.75" customHeight="1">
      <c r="A827" s="221"/>
      <c r="B827" s="221"/>
      <c r="C827" s="221"/>
      <c r="D827" s="221"/>
      <c r="E827" s="221"/>
      <c r="F827" s="221"/>
      <c r="G827" s="221"/>
      <c r="H827" s="221"/>
      <c r="I827" s="221"/>
      <c r="J827" s="221"/>
      <c r="K827" s="221"/>
      <c r="L827" s="221"/>
      <c r="M827" s="221"/>
      <c r="N827" s="221"/>
      <c r="O827" s="221"/>
      <c r="P827" s="221"/>
      <c r="Q827" s="221"/>
      <c r="R827" s="221"/>
      <c r="S827" s="221"/>
      <c r="T827" s="221"/>
      <c r="U827" s="221"/>
      <c r="V827" s="221"/>
      <c r="W827" s="221"/>
      <c r="X827" s="221"/>
      <c r="Y827" s="221"/>
      <c r="Z827" s="221"/>
    </row>
    <row r="828" spans="1:26" ht="18.75" customHeight="1">
      <c r="A828" s="221"/>
      <c r="B828" s="221"/>
      <c r="C828" s="221"/>
      <c r="D828" s="221"/>
      <c r="E828" s="221"/>
      <c r="F828" s="221"/>
      <c r="G828" s="221"/>
      <c r="H828" s="221"/>
      <c r="I828" s="221"/>
      <c r="J828" s="221"/>
      <c r="K828" s="221"/>
      <c r="L828" s="221"/>
      <c r="M828" s="221"/>
      <c r="N828" s="221"/>
      <c r="O828" s="221"/>
      <c r="P828" s="221"/>
      <c r="Q828" s="221"/>
      <c r="R828" s="221"/>
      <c r="S828" s="221"/>
      <c r="T828" s="221"/>
      <c r="U828" s="221"/>
      <c r="V828" s="221"/>
      <c r="W828" s="221"/>
      <c r="X828" s="221"/>
      <c r="Y828" s="221"/>
      <c r="Z828" s="221"/>
    </row>
    <row r="829" spans="1:26" ht="18.75" customHeight="1">
      <c r="A829" s="221"/>
      <c r="B829" s="221"/>
      <c r="C829" s="221"/>
      <c r="D829" s="221"/>
      <c r="E829" s="221"/>
      <c r="F829" s="221"/>
      <c r="G829" s="221"/>
      <c r="H829" s="221"/>
      <c r="I829" s="221"/>
      <c r="J829" s="221"/>
      <c r="K829" s="221"/>
      <c r="L829" s="221"/>
      <c r="M829" s="221"/>
      <c r="N829" s="221"/>
      <c r="O829" s="221"/>
      <c r="P829" s="221"/>
      <c r="Q829" s="221"/>
      <c r="R829" s="221"/>
      <c r="S829" s="221"/>
      <c r="T829" s="221"/>
      <c r="U829" s="221"/>
      <c r="V829" s="221"/>
      <c r="W829" s="221"/>
      <c r="X829" s="221"/>
      <c r="Y829" s="221"/>
      <c r="Z829" s="221"/>
    </row>
    <row r="830" spans="1:26" ht="18.75" customHeight="1">
      <c r="A830" s="221"/>
      <c r="B830" s="221"/>
      <c r="C830" s="221"/>
      <c r="D830" s="221"/>
      <c r="E830" s="221"/>
      <c r="F830" s="221"/>
      <c r="G830" s="221"/>
      <c r="H830" s="221"/>
      <c r="I830" s="221"/>
      <c r="J830" s="221"/>
      <c r="K830" s="221"/>
      <c r="L830" s="221"/>
      <c r="M830" s="221"/>
      <c r="N830" s="221"/>
      <c r="O830" s="221"/>
      <c r="P830" s="221"/>
      <c r="Q830" s="221"/>
      <c r="R830" s="221"/>
      <c r="S830" s="221"/>
      <c r="T830" s="221"/>
      <c r="U830" s="221"/>
      <c r="V830" s="221"/>
      <c r="W830" s="221"/>
      <c r="X830" s="221"/>
      <c r="Y830" s="221"/>
      <c r="Z830" s="221"/>
    </row>
    <row r="831" spans="1:26" ht="18.75" customHeight="1">
      <c r="A831" s="221"/>
      <c r="B831" s="221"/>
      <c r="C831" s="221"/>
      <c r="D831" s="221"/>
      <c r="E831" s="221"/>
      <c r="F831" s="221"/>
      <c r="G831" s="221"/>
      <c r="H831" s="221"/>
      <c r="I831" s="221"/>
      <c r="J831" s="221"/>
      <c r="K831" s="221"/>
      <c r="L831" s="221"/>
      <c r="M831" s="221"/>
      <c r="N831" s="221"/>
      <c r="O831" s="221"/>
      <c r="P831" s="221"/>
      <c r="Q831" s="221"/>
      <c r="R831" s="221"/>
      <c r="S831" s="221"/>
      <c r="T831" s="221"/>
      <c r="U831" s="221"/>
      <c r="V831" s="221"/>
      <c r="W831" s="221"/>
      <c r="X831" s="221"/>
      <c r="Y831" s="221"/>
      <c r="Z831" s="221"/>
    </row>
    <row r="832" spans="1:26" ht="18.75" customHeight="1">
      <c r="A832" s="221"/>
      <c r="B832" s="221"/>
      <c r="C832" s="221"/>
      <c r="D832" s="221"/>
      <c r="E832" s="221"/>
      <c r="F832" s="221"/>
      <c r="G832" s="221"/>
      <c r="H832" s="221"/>
      <c r="I832" s="221"/>
      <c r="J832" s="221"/>
      <c r="K832" s="221"/>
      <c r="L832" s="221"/>
      <c r="M832" s="221"/>
      <c r="N832" s="221"/>
      <c r="O832" s="221"/>
      <c r="P832" s="221"/>
      <c r="Q832" s="221"/>
      <c r="R832" s="221"/>
      <c r="S832" s="221"/>
      <c r="T832" s="221"/>
      <c r="U832" s="221"/>
      <c r="V832" s="221"/>
      <c r="W832" s="221"/>
      <c r="X832" s="221"/>
      <c r="Y832" s="221"/>
      <c r="Z832" s="221"/>
    </row>
    <row r="833" spans="1:26" ht="18.75" customHeight="1">
      <c r="A833" s="221"/>
      <c r="B833" s="221"/>
      <c r="C833" s="221"/>
      <c r="D833" s="221"/>
      <c r="E833" s="221"/>
      <c r="F833" s="221"/>
      <c r="G833" s="221"/>
      <c r="H833" s="221"/>
      <c r="I833" s="221"/>
      <c r="J833" s="221"/>
      <c r="K833" s="221"/>
      <c r="L833" s="221"/>
      <c r="M833" s="221"/>
      <c r="N833" s="221"/>
      <c r="O833" s="221"/>
      <c r="P833" s="221"/>
      <c r="Q833" s="221"/>
      <c r="R833" s="221"/>
      <c r="S833" s="221"/>
      <c r="T833" s="221"/>
      <c r="U833" s="221"/>
      <c r="V833" s="221"/>
      <c r="W833" s="221"/>
      <c r="X833" s="221"/>
      <c r="Y833" s="221"/>
      <c r="Z833" s="221"/>
    </row>
    <row r="834" spans="1:26" ht="18.75" customHeight="1">
      <c r="A834" s="221"/>
      <c r="B834" s="221"/>
      <c r="C834" s="221"/>
      <c r="D834" s="221"/>
      <c r="E834" s="221"/>
      <c r="F834" s="221"/>
      <c r="G834" s="221"/>
      <c r="H834" s="221"/>
      <c r="I834" s="221"/>
      <c r="J834" s="221"/>
      <c r="K834" s="221"/>
      <c r="L834" s="221"/>
      <c r="M834" s="221"/>
      <c r="N834" s="221"/>
      <c r="O834" s="221"/>
      <c r="P834" s="221"/>
      <c r="Q834" s="221"/>
      <c r="R834" s="221"/>
      <c r="S834" s="221"/>
      <c r="T834" s="221"/>
      <c r="U834" s="221"/>
      <c r="V834" s="221"/>
      <c r="W834" s="221"/>
      <c r="X834" s="221"/>
      <c r="Y834" s="221"/>
      <c r="Z834" s="221"/>
    </row>
    <row r="835" spans="1:26" ht="18.75" customHeight="1">
      <c r="A835" s="221"/>
      <c r="B835" s="221"/>
      <c r="C835" s="221"/>
      <c r="D835" s="221"/>
      <c r="E835" s="221"/>
      <c r="F835" s="221"/>
      <c r="G835" s="221"/>
      <c r="H835" s="221"/>
      <c r="I835" s="221"/>
      <c r="J835" s="221"/>
      <c r="K835" s="221"/>
      <c r="L835" s="221"/>
      <c r="M835" s="221"/>
      <c r="N835" s="221"/>
      <c r="O835" s="221"/>
      <c r="P835" s="221"/>
      <c r="Q835" s="221"/>
      <c r="R835" s="221"/>
      <c r="S835" s="221"/>
      <c r="T835" s="221"/>
      <c r="U835" s="221"/>
      <c r="V835" s="221"/>
      <c r="W835" s="221"/>
      <c r="X835" s="221"/>
      <c r="Y835" s="221"/>
      <c r="Z835" s="221"/>
    </row>
    <row r="836" spans="1:26" ht="18.75" customHeight="1">
      <c r="A836" s="221"/>
      <c r="B836" s="221"/>
      <c r="C836" s="221"/>
      <c r="D836" s="221"/>
      <c r="E836" s="221"/>
      <c r="F836" s="221"/>
      <c r="G836" s="221"/>
      <c r="H836" s="221"/>
      <c r="I836" s="221"/>
      <c r="J836" s="221"/>
      <c r="K836" s="221"/>
      <c r="L836" s="221"/>
      <c r="M836" s="221"/>
      <c r="N836" s="221"/>
      <c r="O836" s="221"/>
      <c r="P836" s="221"/>
      <c r="Q836" s="221"/>
      <c r="R836" s="221"/>
      <c r="S836" s="221"/>
      <c r="T836" s="221"/>
      <c r="U836" s="221"/>
      <c r="V836" s="221"/>
      <c r="W836" s="221"/>
      <c r="X836" s="221"/>
      <c r="Y836" s="221"/>
      <c r="Z836" s="221"/>
    </row>
    <row r="837" spans="1:26" ht="18.75" customHeight="1">
      <c r="A837" s="221"/>
      <c r="B837" s="221"/>
      <c r="C837" s="221"/>
      <c r="D837" s="221"/>
      <c r="E837" s="221"/>
      <c r="F837" s="221"/>
      <c r="G837" s="221"/>
      <c r="H837" s="221"/>
      <c r="I837" s="221"/>
      <c r="J837" s="221"/>
      <c r="K837" s="221"/>
      <c r="L837" s="221"/>
      <c r="M837" s="221"/>
      <c r="N837" s="221"/>
      <c r="O837" s="221"/>
      <c r="P837" s="221"/>
      <c r="Q837" s="221"/>
      <c r="R837" s="221"/>
      <c r="S837" s="221"/>
      <c r="T837" s="221"/>
      <c r="U837" s="221"/>
      <c r="V837" s="221"/>
      <c r="W837" s="221"/>
      <c r="X837" s="221"/>
      <c r="Y837" s="221"/>
      <c r="Z837" s="221"/>
    </row>
    <row r="838" spans="1:26" ht="18.75" customHeight="1">
      <c r="A838" s="221"/>
      <c r="B838" s="221"/>
      <c r="C838" s="221"/>
      <c r="D838" s="221"/>
      <c r="E838" s="221"/>
      <c r="F838" s="221"/>
      <c r="G838" s="221"/>
      <c r="H838" s="221"/>
      <c r="I838" s="221"/>
      <c r="J838" s="221"/>
      <c r="K838" s="221"/>
      <c r="L838" s="221"/>
      <c r="M838" s="221"/>
      <c r="N838" s="221"/>
      <c r="O838" s="221"/>
      <c r="P838" s="221"/>
      <c r="Q838" s="221"/>
      <c r="R838" s="221"/>
      <c r="S838" s="221"/>
      <c r="T838" s="221"/>
      <c r="U838" s="221"/>
      <c r="V838" s="221"/>
      <c r="W838" s="221"/>
      <c r="X838" s="221"/>
      <c r="Y838" s="221"/>
      <c r="Z838" s="221"/>
    </row>
    <row r="839" spans="1:26" ht="18.75" customHeight="1">
      <c r="A839" s="221"/>
      <c r="B839" s="221"/>
      <c r="C839" s="221"/>
      <c r="D839" s="221"/>
      <c r="E839" s="221"/>
      <c r="F839" s="221"/>
      <c r="G839" s="221"/>
      <c r="H839" s="221"/>
      <c r="I839" s="221"/>
      <c r="J839" s="221"/>
      <c r="K839" s="221"/>
      <c r="L839" s="221"/>
      <c r="M839" s="221"/>
      <c r="N839" s="221"/>
      <c r="O839" s="221"/>
      <c r="P839" s="221"/>
      <c r="Q839" s="221"/>
      <c r="R839" s="221"/>
      <c r="S839" s="221"/>
      <c r="T839" s="221"/>
      <c r="U839" s="221"/>
      <c r="V839" s="221"/>
      <c r="W839" s="221"/>
      <c r="X839" s="221"/>
      <c r="Y839" s="221"/>
      <c r="Z839" s="221"/>
    </row>
    <row r="840" spans="1:26" ht="18.75" customHeight="1">
      <c r="A840" s="221"/>
      <c r="B840" s="221"/>
      <c r="C840" s="221"/>
      <c r="D840" s="221"/>
      <c r="E840" s="221"/>
      <c r="F840" s="221"/>
      <c r="G840" s="221"/>
      <c r="H840" s="221"/>
      <c r="I840" s="221"/>
      <c r="J840" s="221"/>
      <c r="K840" s="221"/>
      <c r="L840" s="221"/>
      <c r="M840" s="221"/>
      <c r="N840" s="221"/>
      <c r="O840" s="221"/>
      <c r="P840" s="221"/>
      <c r="Q840" s="221"/>
      <c r="R840" s="221"/>
      <c r="S840" s="221"/>
      <c r="T840" s="221"/>
      <c r="U840" s="221"/>
      <c r="V840" s="221"/>
      <c r="W840" s="221"/>
      <c r="X840" s="221"/>
      <c r="Y840" s="221"/>
      <c r="Z840" s="221"/>
    </row>
    <row r="841" spans="1:26" ht="18.75" customHeight="1">
      <c r="A841" s="221"/>
      <c r="B841" s="221"/>
      <c r="C841" s="221"/>
      <c r="D841" s="221"/>
      <c r="E841" s="221"/>
      <c r="F841" s="221"/>
      <c r="G841" s="221"/>
      <c r="H841" s="221"/>
      <c r="I841" s="221"/>
      <c r="J841" s="221"/>
      <c r="K841" s="221"/>
      <c r="L841" s="221"/>
      <c r="M841" s="221"/>
      <c r="N841" s="221"/>
      <c r="O841" s="221"/>
      <c r="P841" s="221"/>
      <c r="Q841" s="221"/>
      <c r="R841" s="221"/>
      <c r="S841" s="221"/>
      <c r="T841" s="221"/>
      <c r="U841" s="221"/>
      <c r="V841" s="221"/>
      <c r="W841" s="221"/>
      <c r="X841" s="221"/>
      <c r="Y841" s="221"/>
      <c r="Z841" s="221"/>
    </row>
    <row r="842" spans="1:26" ht="18.75" customHeight="1">
      <c r="A842" s="221"/>
      <c r="B842" s="221"/>
      <c r="C842" s="221"/>
      <c r="D842" s="221"/>
      <c r="E842" s="221"/>
      <c r="F842" s="221"/>
      <c r="G842" s="221"/>
      <c r="H842" s="221"/>
      <c r="I842" s="221"/>
      <c r="J842" s="221"/>
      <c r="K842" s="221"/>
      <c r="L842" s="221"/>
      <c r="M842" s="221"/>
      <c r="N842" s="221"/>
      <c r="O842" s="221"/>
      <c r="P842" s="221"/>
      <c r="Q842" s="221"/>
      <c r="R842" s="221"/>
      <c r="S842" s="221"/>
      <c r="T842" s="221"/>
      <c r="U842" s="221"/>
      <c r="V842" s="221"/>
      <c r="W842" s="221"/>
      <c r="X842" s="221"/>
      <c r="Y842" s="221"/>
      <c r="Z842" s="221"/>
    </row>
    <row r="843" spans="1:26" ht="18.75" customHeight="1">
      <c r="A843" s="221"/>
      <c r="B843" s="221"/>
      <c r="C843" s="221"/>
      <c r="D843" s="221"/>
      <c r="E843" s="221"/>
      <c r="F843" s="221"/>
      <c r="G843" s="221"/>
      <c r="H843" s="221"/>
      <c r="I843" s="221"/>
      <c r="J843" s="221"/>
      <c r="K843" s="221"/>
      <c r="L843" s="221"/>
      <c r="M843" s="221"/>
      <c r="N843" s="221"/>
      <c r="O843" s="221"/>
      <c r="P843" s="221"/>
      <c r="Q843" s="221"/>
      <c r="R843" s="221"/>
      <c r="S843" s="221"/>
      <c r="T843" s="221"/>
      <c r="U843" s="221"/>
      <c r="V843" s="221"/>
      <c r="W843" s="221"/>
      <c r="X843" s="221"/>
      <c r="Y843" s="221"/>
      <c r="Z843" s="221"/>
    </row>
    <row r="844" spans="1:26" ht="18.75" customHeight="1">
      <c r="A844" s="221"/>
      <c r="B844" s="221"/>
      <c r="C844" s="221"/>
      <c r="D844" s="221"/>
      <c r="E844" s="221"/>
      <c r="F844" s="221"/>
      <c r="G844" s="221"/>
      <c r="H844" s="221"/>
      <c r="I844" s="221"/>
      <c r="J844" s="221"/>
      <c r="K844" s="221"/>
      <c r="L844" s="221"/>
      <c r="M844" s="221"/>
      <c r="N844" s="221"/>
      <c r="O844" s="221"/>
      <c r="P844" s="221"/>
      <c r="Q844" s="221"/>
      <c r="R844" s="221"/>
      <c r="S844" s="221"/>
      <c r="T844" s="221"/>
      <c r="U844" s="221"/>
      <c r="V844" s="221"/>
      <c r="W844" s="221"/>
      <c r="X844" s="221"/>
      <c r="Y844" s="221"/>
      <c r="Z844" s="221"/>
    </row>
    <row r="845" spans="1:26" ht="18.75" customHeight="1">
      <c r="A845" s="221"/>
      <c r="B845" s="221"/>
      <c r="C845" s="221"/>
      <c r="D845" s="221"/>
      <c r="E845" s="221"/>
      <c r="F845" s="221"/>
      <c r="G845" s="221"/>
      <c r="H845" s="221"/>
      <c r="I845" s="221"/>
      <c r="J845" s="221"/>
      <c r="K845" s="221"/>
      <c r="L845" s="221"/>
      <c r="M845" s="221"/>
      <c r="N845" s="221"/>
      <c r="O845" s="221"/>
      <c r="P845" s="221"/>
      <c r="Q845" s="221"/>
      <c r="R845" s="221"/>
      <c r="S845" s="221"/>
      <c r="T845" s="221"/>
      <c r="U845" s="221"/>
      <c r="V845" s="221"/>
      <c r="W845" s="221"/>
      <c r="X845" s="221"/>
      <c r="Y845" s="221"/>
      <c r="Z845" s="221"/>
    </row>
    <row r="846" spans="1:26" ht="18.75" customHeight="1">
      <c r="A846" s="221"/>
      <c r="B846" s="221"/>
      <c r="C846" s="221"/>
      <c r="D846" s="221"/>
      <c r="E846" s="221"/>
      <c r="F846" s="221"/>
      <c r="G846" s="221"/>
      <c r="H846" s="221"/>
      <c r="I846" s="221"/>
      <c r="J846" s="221"/>
      <c r="K846" s="221"/>
      <c r="L846" s="221"/>
      <c r="M846" s="221"/>
      <c r="N846" s="221"/>
      <c r="O846" s="221"/>
      <c r="P846" s="221"/>
      <c r="Q846" s="221"/>
      <c r="R846" s="221"/>
      <c r="S846" s="221"/>
      <c r="T846" s="221"/>
      <c r="U846" s="221"/>
      <c r="V846" s="221"/>
      <c r="W846" s="221"/>
      <c r="X846" s="221"/>
      <c r="Y846" s="221"/>
      <c r="Z846" s="221"/>
    </row>
    <row r="847" spans="1:26" ht="18.75" customHeight="1">
      <c r="A847" s="221"/>
      <c r="B847" s="221"/>
      <c r="C847" s="221"/>
      <c r="D847" s="221"/>
      <c r="E847" s="221"/>
      <c r="F847" s="221"/>
      <c r="G847" s="221"/>
      <c r="H847" s="221"/>
      <c r="I847" s="221"/>
      <c r="J847" s="221"/>
      <c r="K847" s="221"/>
      <c r="L847" s="221"/>
      <c r="M847" s="221"/>
      <c r="N847" s="221"/>
      <c r="O847" s="221"/>
      <c r="P847" s="221"/>
      <c r="Q847" s="221"/>
      <c r="R847" s="221"/>
      <c r="S847" s="221"/>
      <c r="T847" s="221"/>
      <c r="U847" s="221"/>
      <c r="V847" s="221"/>
      <c r="W847" s="221"/>
      <c r="X847" s="221"/>
      <c r="Y847" s="221"/>
      <c r="Z847" s="221"/>
    </row>
    <row r="848" spans="1:26" ht="18.75" customHeight="1">
      <c r="A848" s="221"/>
      <c r="B848" s="221"/>
      <c r="C848" s="221"/>
      <c r="D848" s="221"/>
      <c r="E848" s="221"/>
      <c r="F848" s="221"/>
      <c r="G848" s="221"/>
      <c r="H848" s="221"/>
      <c r="I848" s="221"/>
      <c r="J848" s="221"/>
      <c r="K848" s="221"/>
      <c r="L848" s="221"/>
      <c r="M848" s="221"/>
      <c r="N848" s="221"/>
      <c r="O848" s="221"/>
      <c r="P848" s="221"/>
      <c r="Q848" s="221"/>
      <c r="R848" s="221"/>
      <c r="S848" s="221"/>
      <c r="T848" s="221"/>
      <c r="U848" s="221"/>
      <c r="V848" s="221"/>
      <c r="W848" s="221"/>
      <c r="X848" s="221"/>
      <c r="Y848" s="221"/>
      <c r="Z848" s="221"/>
    </row>
    <row r="849" spans="1:26" ht="18.75" customHeight="1">
      <c r="A849" s="221"/>
      <c r="B849" s="221"/>
      <c r="C849" s="221"/>
      <c r="D849" s="221"/>
      <c r="E849" s="221"/>
      <c r="F849" s="221"/>
      <c r="G849" s="221"/>
      <c r="H849" s="221"/>
      <c r="I849" s="221"/>
      <c r="J849" s="221"/>
      <c r="K849" s="221"/>
      <c r="L849" s="221"/>
      <c r="M849" s="221"/>
      <c r="N849" s="221"/>
      <c r="O849" s="221"/>
      <c r="P849" s="221"/>
      <c r="Q849" s="221"/>
      <c r="R849" s="221"/>
      <c r="S849" s="221"/>
      <c r="T849" s="221"/>
      <c r="U849" s="221"/>
      <c r="V849" s="221"/>
      <c r="W849" s="221"/>
      <c r="X849" s="221"/>
      <c r="Y849" s="221"/>
      <c r="Z849" s="221"/>
    </row>
    <row r="850" spans="1:26" ht="18.75" customHeight="1">
      <c r="A850" s="221"/>
      <c r="B850" s="221"/>
      <c r="C850" s="221"/>
      <c r="D850" s="221"/>
      <c r="E850" s="221"/>
      <c r="F850" s="221"/>
      <c r="G850" s="221"/>
      <c r="H850" s="221"/>
      <c r="I850" s="221"/>
      <c r="J850" s="221"/>
      <c r="K850" s="221"/>
      <c r="L850" s="221"/>
      <c r="M850" s="221"/>
      <c r="N850" s="221"/>
      <c r="O850" s="221"/>
      <c r="P850" s="221"/>
      <c r="Q850" s="221"/>
      <c r="R850" s="221"/>
      <c r="S850" s="221"/>
      <c r="T850" s="221"/>
      <c r="U850" s="221"/>
      <c r="V850" s="221"/>
      <c r="W850" s="221"/>
      <c r="X850" s="221"/>
      <c r="Y850" s="221"/>
      <c r="Z850" s="221"/>
    </row>
    <row r="851" spans="1:26" ht="18.75" customHeight="1">
      <c r="A851" s="221"/>
      <c r="B851" s="221"/>
      <c r="C851" s="221"/>
      <c r="D851" s="221"/>
      <c r="E851" s="221"/>
      <c r="F851" s="221"/>
      <c r="G851" s="221"/>
      <c r="H851" s="221"/>
      <c r="I851" s="221"/>
      <c r="J851" s="221"/>
      <c r="K851" s="221"/>
      <c r="L851" s="221"/>
      <c r="M851" s="221"/>
      <c r="N851" s="221"/>
      <c r="O851" s="221"/>
      <c r="P851" s="221"/>
      <c r="Q851" s="221"/>
      <c r="R851" s="221"/>
      <c r="S851" s="221"/>
      <c r="T851" s="221"/>
      <c r="U851" s="221"/>
      <c r="V851" s="221"/>
      <c r="W851" s="221"/>
      <c r="X851" s="221"/>
      <c r="Y851" s="221"/>
      <c r="Z851" s="221"/>
    </row>
    <row r="852" spans="1:26" ht="18.75" customHeight="1">
      <c r="A852" s="221"/>
      <c r="B852" s="221"/>
      <c r="C852" s="221"/>
      <c r="D852" s="221"/>
      <c r="E852" s="221"/>
      <c r="F852" s="221"/>
      <c r="G852" s="221"/>
      <c r="H852" s="221"/>
      <c r="I852" s="221"/>
      <c r="J852" s="221"/>
      <c r="K852" s="221"/>
      <c r="L852" s="221"/>
      <c r="M852" s="221"/>
      <c r="N852" s="221"/>
      <c r="O852" s="221"/>
      <c r="P852" s="221"/>
      <c r="Q852" s="221"/>
      <c r="R852" s="221"/>
      <c r="S852" s="221"/>
      <c r="T852" s="221"/>
      <c r="U852" s="221"/>
      <c r="V852" s="221"/>
      <c r="W852" s="221"/>
      <c r="X852" s="221"/>
      <c r="Y852" s="221"/>
      <c r="Z852" s="221"/>
    </row>
    <row r="853" spans="1:26" ht="18.75" customHeight="1">
      <c r="A853" s="221"/>
      <c r="B853" s="221"/>
      <c r="C853" s="221"/>
      <c r="D853" s="221"/>
      <c r="E853" s="221"/>
      <c r="F853" s="221"/>
      <c r="G853" s="221"/>
      <c r="H853" s="221"/>
      <c r="I853" s="221"/>
      <c r="J853" s="221"/>
      <c r="K853" s="221"/>
      <c r="L853" s="221"/>
      <c r="M853" s="221"/>
      <c r="N853" s="221"/>
      <c r="O853" s="221"/>
      <c r="P853" s="221"/>
      <c r="Q853" s="221"/>
      <c r="R853" s="221"/>
      <c r="S853" s="221"/>
      <c r="T853" s="221"/>
      <c r="U853" s="221"/>
      <c r="V853" s="221"/>
      <c r="W853" s="221"/>
      <c r="X853" s="221"/>
      <c r="Y853" s="221"/>
      <c r="Z853" s="221"/>
    </row>
    <row r="854" spans="1:26" ht="18.75" customHeight="1">
      <c r="A854" s="221"/>
      <c r="B854" s="221"/>
      <c r="C854" s="221"/>
      <c r="D854" s="221"/>
      <c r="E854" s="221"/>
      <c r="F854" s="221"/>
      <c r="G854" s="221"/>
      <c r="H854" s="221"/>
      <c r="I854" s="221"/>
      <c r="J854" s="221"/>
      <c r="K854" s="221"/>
      <c r="L854" s="221"/>
      <c r="M854" s="221"/>
      <c r="N854" s="221"/>
      <c r="O854" s="221"/>
      <c r="P854" s="221"/>
      <c r="Q854" s="221"/>
      <c r="R854" s="221"/>
      <c r="S854" s="221"/>
      <c r="T854" s="221"/>
      <c r="U854" s="221"/>
      <c r="V854" s="221"/>
      <c r="W854" s="221"/>
      <c r="X854" s="221"/>
      <c r="Y854" s="221"/>
      <c r="Z854" s="221"/>
    </row>
    <row r="855" spans="1:26" ht="18.75" customHeight="1">
      <c r="A855" s="221"/>
      <c r="B855" s="221"/>
      <c r="C855" s="221"/>
      <c r="D855" s="221"/>
      <c r="E855" s="221"/>
      <c r="F855" s="221"/>
      <c r="G855" s="221"/>
      <c r="H855" s="221"/>
      <c r="I855" s="221"/>
      <c r="J855" s="221"/>
      <c r="K855" s="221"/>
      <c r="L855" s="221"/>
      <c r="M855" s="221"/>
      <c r="N855" s="221"/>
      <c r="O855" s="221"/>
      <c r="P855" s="221"/>
      <c r="Q855" s="221"/>
      <c r="R855" s="221"/>
      <c r="S855" s="221"/>
      <c r="T855" s="221"/>
      <c r="U855" s="221"/>
      <c r="V855" s="221"/>
      <c r="W855" s="221"/>
      <c r="X855" s="221"/>
      <c r="Y855" s="221"/>
      <c r="Z855" s="221"/>
    </row>
    <row r="856" spans="1:26" ht="18.75" customHeight="1">
      <c r="A856" s="221"/>
      <c r="B856" s="221"/>
      <c r="C856" s="221"/>
      <c r="D856" s="221"/>
      <c r="E856" s="221"/>
      <c r="F856" s="221"/>
      <c r="G856" s="221"/>
      <c r="H856" s="221"/>
      <c r="I856" s="221"/>
      <c r="J856" s="221"/>
      <c r="K856" s="221"/>
      <c r="L856" s="221"/>
      <c r="M856" s="221"/>
      <c r="N856" s="221"/>
      <c r="O856" s="221"/>
      <c r="P856" s="221"/>
      <c r="Q856" s="221"/>
      <c r="R856" s="221"/>
      <c r="S856" s="221"/>
      <c r="T856" s="221"/>
      <c r="U856" s="221"/>
      <c r="V856" s="221"/>
      <c r="W856" s="221"/>
      <c r="X856" s="221"/>
      <c r="Y856" s="221"/>
      <c r="Z856" s="221"/>
    </row>
    <row r="857" spans="1:26" ht="18.75" customHeight="1">
      <c r="A857" s="221"/>
      <c r="B857" s="221"/>
      <c r="C857" s="221"/>
      <c r="D857" s="221"/>
      <c r="E857" s="221"/>
      <c r="F857" s="221"/>
      <c r="G857" s="221"/>
      <c r="H857" s="221"/>
      <c r="I857" s="221"/>
      <c r="J857" s="221"/>
      <c r="K857" s="221"/>
      <c r="L857" s="221"/>
      <c r="M857" s="221"/>
      <c r="N857" s="221"/>
      <c r="O857" s="221"/>
      <c r="P857" s="221"/>
      <c r="Q857" s="221"/>
      <c r="R857" s="221"/>
      <c r="S857" s="221"/>
      <c r="T857" s="221"/>
      <c r="U857" s="221"/>
      <c r="V857" s="221"/>
      <c r="W857" s="221"/>
      <c r="X857" s="221"/>
      <c r="Y857" s="221"/>
      <c r="Z857" s="221"/>
    </row>
    <row r="858" spans="1:26" ht="18.75" customHeight="1">
      <c r="A858" s="221"/>
      <c r="B858" s="221"/>
      <c r="C858" s="221"/>
      <c r="D858" s="221"/>
      <c r="E858" s="221"/>
      <c r="F858" s="221"/>
      <c r="G858" s="221"/>
      <c r="H858" s="221"/>
      <c r="I858" s="221"/>
      <c r="J858" s="221"/>
      <c r="K858" s="221"/>
      <c r="L858" s="221"/>
      <c r="M858" s="221"/>
      <c r="N858" s="221"/>
      <c r="O858" s="221"/>
      <c r="P858" s="221"/>
      <c r="Q858" s="221"/>
      <c r="R858" s="221"/>
      <c r="S858" s="221"/>
      <c r="T858" s="221"/>
      <c r="U858" s="221"/>
      <c r="V858" s="221"/>
      <c r="W858" s="221"/>
      <c r="X858" s="221"/>
      <c r="Y858" s="221"/>
      <c r="Z858" s="221"/>
    </row>
    <row r="859" spans="1:26" ht="18.75" customHeight="1">
      <c r="A859" s="221"/>
      <c r="B859" s="221"/>
      <c r="C859" s="221"/>
      <c r="D859" s="221"/>
      <c r="E859" s="221"/>
      <c r="F859" s="221"/>
      <c r="G859" s="221"/>
      <c r="H859" s="221"/>
      <c r="I859" s="221"/>
      <c r="J859" s="221"/>
      <c r="K859" s="221"/>
      <c r="L859" s="221"/>
      <c r="M859" s="221"/>
      <c r="N859" s="221"/>
      <c r="O859" s="221"/>
      <c r="P859" s="221"/>
      <c r="Q859" s="221"/>
      <c r="R859" s="221"/>
      <c r="S859" s="221"/>
      <c r="T859" s="221"/>
      <c r="U859" s="221"/>
      <c r="V859" s="221"/>
      <c r="W859" s="221"/>
      <c r="X859" s="221"/>
      <c r="Y859" s="221"/>
      <c r="Z859" s="221"/>
    </row>
    <row r="860" spans="1:26" ht="18.75" customHeight="1">
      <c r="A860" s="221"/>
      <c r="B860" s="221"/>
      <c r="C860" s="221"/>
      <c r="D860" s="221"/>
      <c r="E860" s="221"/>
      <c r="F860" s="221"/>
      <c r="G860" s="221"/>
      <c r="H860" s="221"/>
      <c r="I860" s="221"/>
      <c r="J860" s="221"/>
      <c r="K860" s="221"/>
      <c r="L860" s="221"/>
      <c r="M860" s="221"/>
      <c r="N860" s="221"/>
      <c r="O860" s="221"/>
      <c r="P860" s="221"/>
      <c r="Q860" s="221"/>
      <c r="R860" s="221"/>
      <c r="S860" s="221"/>
      <c r="T860" s="221"/>
      <c r="U860" s="221"/>
      <c r="V860" s="221"/>
      <c r="W860" s="221"/>
      <c r="X860" s="221"/>
      <c r="Y860" s="221"/>
      <c r="Z860" s="221"/>
    </row>
    <row r="861" spans="1:26" ht="18.75" customHeight="1">
      <c r="A861" s="221"/>
      <c r="B861" s="221"/>
      <c r="C861" s="221"/>
      <c r="D861" s="221"/>
      <c r="E861" s="221"/>
      <c r="F861" s="221"/>
      <c r="G861" s="221"/>
      <c r="H861" s="221"/>
      <c r="I861" s="221"/>
      <c r="J861" s="221"/>
      <c r="K861" s="221"/>
      <c r="L861" s="221"/>
      <c r="M861" s="221"/>
      <c r="N861" s="221"/>
      <c r="O861" s="221"/>
      <c r="P861" s="221"/>
      <c r="Q861" s="221"/>
      <c r="R861" s="221"/>
      <c r="S861" s="221"/>
      <c r="T861" s="221"/>
      <c r="U861" s="221"/>
      <c r="V861" s="221"/>
      <c r="W861" s="221"/>
      <c r="X861" s="221"/>
      <c r="Y861" s="221"/>
      <c r="Z861" s="221"/>
    </row>
    <row r="862" spans="1:26" ht="18.75" customHeight="1">
      <c r="A862" s="221"/>
      <c r="B862" s="221"/>
      <c r="C862" s="221"/>
      <c r="D862" s="221"/>
      <c r="E862" s="221"/>
      <c r="F862" s="221"/>
      <c r="G862" s="221"/>
      <c r="H862" s="221"/>
      <c r="I862" s="221"/>
      <c r="J862" s="221"/>
      <c r="K862" s="221"/>
      <c r="L862" s="221"/>
      <c r="M862" s="221"/>
      <c r="N862" s="221"/>
      <c r="O862" s="221"/>
      <c r="P862" s="221"/>
      <c r="Q862" s="221"/>
      <c r="R862" s="221"/>
      <c r="S862" s="221"/>
      <c r="T862" s="221"/>
      <c r="U862" s="221"/>
      <c r="V862" s="221"/>
      <c r="W862" s="221"/>
      <c r="X862" s="221"/>
      <c r="Y862" s="221"/>
      <c r="Z862" s="221"/>
    </row>
    <row r="863" spans="1:26" ht="18.75" customHeight="1">
      <c r="A863" s="221"/>
      <c r="B863" s="221"/>
      <c r="C863" s="221"/>
      <c r="D863" s="221"/>
      <c r="E863" s="221"/>
      <c r="F863" s="221"/>
      <c r="G863" s="221"/>
      <c r="H863" s="221"/>
      <c r="I863" s="221"/>
      <c r="J863" s="221"/>
      <c r="K863" s="221"/>
      <c r="L863" s="221"/>
      <c r="M863" s="221"/>
      <c r="N863" s="221"/>
      <c r="O863" s="221"/>
      <c r="P863" s="221"/>
      <c r="Q863" s="221"/>
      <c r="R863" s="221"/>
      <c r="S863" s="221"/>
      <c r="T863" s="221"/>
      <c r="U863" s="221"/>
      <c r="V863" s="221"/>
      <c r="W863" s="221"/>
      <c r="X863" s="221"/>
      <c r="Y863" s="221"/>
      <c r="Z863" s="221"/>
    </row>
    <row r="864" spans="1:26" ht="18.75" customHeight="1">
      <c r="A864" s="221"/>
      <c r="B864" s="221"/>
      <c r="C864" s="221"/>
      <c r="D864" s="221"/>
      <c r="E864" s="221"/>
      <c r="F864" s="221"/>
      <c r="G864" s="221"/>
      <c r="H864" s="221"/>
      <c r="I864" s="221"/>
      <c r="J864" s="221"/>
      <c r="K864" s="221"/>
      <c r="L864" s="221"/>
      <c r="M864" s="221"/>
      <c r="N864" s="221"/>
      <c r="O864" s="221"/>
      <c r="P864" s="221"/>
      <c r="Q864" s="221"/>
      <c r="R864" s="221"/>
      <c r="S864" s="221"/>
      <c r="T864" s="221"/>
      <c r="U864" s="221"/>
      <c r="V864" s="221"/>
      <c r="W864" s="221"/>
      <c r="X864" s="221"/>
      <c r="Y864" s="221"/>
      <c r="Z864" s="221"/>
    </row>
    <row r="865" spans="1:26" ht="18.75" customHeight="1">
      <c r="A865" s="221"/>
      <c r="B865" s="221"/>
      <c r="C865" s="221"/>
      <c r="D865" s="221"/>
      <c r="E865" s="221"/>
      <c r="F865" s="221"/>
      <c r="G865" s="221"/>
      <c r="H865" s="221"/>
      <c r="I865" s="221"/>
      <c r="J865" s="221"/>
      <c r="K865" s="221"/>
      <c r="L865" s="221"/>
      <c r="M865" s="221"/>
      <c r="N865" s="221"/>
      <c r="O865" s="221"/>
      <c r="P865" s="221"/>
      <c r="Q865" s="221"/>
      <c r="R865" s="221"/>
      <c r="S865" s="221"/>
      <c r="T865" s="221"/>
      <c r="U865" s="221"/>
      <c r="V865" s="221"/>
      <c r="W865" s="221"/>
      <c r="X865" s="221"/>
      <c r="Y865" s="221"/>
      <c r="Z865" s="221"/>
    </row>
    <row r="866" spans="1:26" ht="18.75" customHeight="1">
      <c r="A866" s="221"/>
      <c r="B866" s="221"/>
      <c r="C866" s="221"/>
      <c r="D866" s="221"/>
      <c r="E866" s="221"/>
      <c r="F866" s="221"/>
      <c r="G866" s="221"/>
      <c r="H866" s="221"/>
      <c r="I866" s="221"/>
      <c r="J866" s="221"/>
      <c r="K866" s="221"/>
      <c r="L866" s="221"/>
      <c r="M866" s="221"/>
      <c r="N866" s="221"/>
      <c r="O866" s="221"/>
      <c r="P866" s="221"/>
      <c r="Q866" s="221"/>
      <c r="R866" s="221"/>
      <c r="S866" s="221"/>
      <c r="T866" s="221"/>
      <c r="U866" s="221"/>
      <c r="V866" s="221"/>
      <c r="W866" s="221"/>
      <c r="X866" s="221"/>
      <c r="Y866" s="221"/>
      <c r="Z866" s="221"/>
    </row>
    <row r="867" spans="1:26" ht="18.75" customHeight="1">
      <c r="A867" s="221"/>
      <c r="B867" s="221"/>
      <c r="C867" s="221"/>
      <c r="D867" s="221"/>
      <c r="E867" s="221"/>
      <c r="F867" s="221"/>
      <c r="G867" s="221"/>
      <c r="H867" s="221"/>
      <c r="I867" s="221"/>
      <c r="J867" s="221"/>
      <c r="K867" s="221"/>
      <c r="L867" s="221"/>
      <c r="M867" s="221"/>
      <c r="N867" s="221"/>
      <c r="O867" s="221"/>
      <c r="P867" s="221"/>
      <c r="Q867" s="221"/>
      <c r="R867" s="221"/>
      <c r="S867" s="221"/>
      <c r="T867" s="221"/>
      <c r="U867" s="221"/>
      <c r="V867" s="221"/>
      <c r="W867" s="221"/>
      <c r="X867" s="221"/>
      <c r="Y867" s="221"/>
      <c r="Z867" s="221"/>
    </row>
    <row r="868" spans="1:26" ht="18.75" customHeight="1">
      <c r="A868" s="221"/>
      <c r="B868" s="221"/>
      <c r="C868" s="221"/>
      <c r="D868" s="221"/>
      <c r="E868" s="221"/>
      <c r="F868" s="221"/>
      <c r="G868" s="221"/>
      <c r="H868" s="221"/>
      <c r="I868" s="221"/>
      <c r="J868" s="221"/>
      <c r="K868" s="221"/>
      <c r="L868" s="221"/>
      <c r="M868" s="221"/>
      <c r="N868" s="221"/>
      <c r="O868" s="221"/>
      <c r="P868" s="221"/>
      <c r="Q868" s="221"/>
      <c r="R868" s="221"/>
      <c r="S868" s="221"/>
      <c r="T868" s="221"/>
      <c r="U868" s="221"/>
      <c r="V868" s="221"/>
      <c r="W868" s="221"/>
      <c r="X868" s="221"/>
      <c r="Y868" s="221"/>
      <c r="Z868" s="221"/>
    </row>
    <row r="869" spans="1:26" ht="18.75" customHeight="1">
      <c r="A869" s="221"/>
      <c r="B869" s="221"/>
      <c r="C869" s="221"/>
      <c r="D869" s="221"/>
      <c r="E869" s="221"/>
      <c r="F869" s="221"/>
      <c r="G869" s="221"/>
      <c r="H869" s="221"/>
      <c r="I869" s="221"/>
      <c r="J869" s="221"/>
      <c r="K869" s="221"/>
      <c r="L869" s="221"/>
      <c r="M869" s="221"/>
      <c r="N869" s="221"/>
      <c r="O869" s="221"/>
      <c r="P869" s="221"/>
      <c r="Q869" s="221"/>
      <c r="R869" s="221"/>
      <c r="S869" s="221"/>
      <c r="T869" s="221"/>
      <c r="U869" s="221"/>
      <c r="V869" s="221"/>
      <c r="W869" s="221"/>
      <c r="X869" s="221"/>
      <c r="Y869" s="221"/>
      <c r="Z869" s="221"/>
    </row>
    <row r="870" spans="1:26" ht="18.75" customHeight="1">
      <c r="A870" s="221"/>
      <c r="B870" s="221"/>
      <c r="C870" s="221"/>
      <c r="D870" s="221"/>
      <c r="E870" s="221"/>
      <c r="F870" s="221"/>
      <c r="G870" s="221"/>
      <c r="H870" s="221"/>
      <c r="I870" s="221"/>
      <c r="J870" s="221"/>
      <c r="K870" s="221"/>
      <c r="L870" s="221"/>
      <c r="M870" s="221"/>
      <c r="N870" s="221"/>
      <c r="O870" s="221"/>
      <c r="P870" s="221"/>
      <c r="Q870" s="221"/>
      <c r="R870" s="221"/>
      <c r="S870" s="221"/>
      <c r="T870" s="221"/>
      <c r="U870" s="221"/>
      <c r="V870" s="221"/>
      <c r="W870" s="221"/>
      <c r="X870" s="221"/>
      <c r="Y870" s="221"/>
      <c r="Z870" s="221"/>
    </row>
    <row r="871" spans="1:26" ht="18.75" customHeight="1">
      <c r="A871" s="221"/>
      <c r="B871" s="221"/>
      <c r="C871" s="221"/>
      <c r="D871" s="221"/>
      <c r="E871" s="221"/>
      <c r="F871" s="221"/>
      <c r="G871" s="221"/>
      <c r="H871" s="221"/>
      <c r="I871" s="221"/>
      <c r="J871" s="221"/>
      <c r="K871" s="221"/>
      <c r="L871" s="221"/>
      <c r="M871" s="221"/>
      <c r="N871" s="221"/>
      <c r="O871" s="221"/>
      <c r="P871" s="221"/>
      <c r="Q871" s="221"/>
      <c r="R871" s="221"/>
      <c r="S871" s="221"/>
      <c r="T871" s="221"/>
      <c r="U871" s="221"/>
      <c r="V871" s="221"/>
      <c r="W871" s="221"/>
      <c r="X871" s="221"/>
      <c r="Y871" s="221"/>
      <c r="Z871" s="221"/>
    </row>
    <row r="872" spans="1:26" ht="18.75" customHeight="1">
      <c r="A872" s="221"/>
      <c r="B872" s="221"/>
      <c r="C872" s="221"/>
      <c r="D872" s="221"/>
      <c r="E872" s="221"/>
      <c r="F872" s="221"/>
      <c r="G872" s="221"/>
      <c r="H872" s="221"/>
      <c r="I872" s="221"/>
      <c r="J872" s="221"/>
      <c r="K872" s="221"/>
      <c r="L872" s="221"/>
      <c r="M872" s="221"/>
      <c r="N872" s="221"/>
      <c r="O872" s="221"/>
      <c r="P872" s="221"/>
      <c r="Q872" s="221"/>
      <c r="R872" s="221"/>
      <c r="S872" s="221"/>
      <c r="T872" s="221"/>
      <c r="U872" s="221"/>
      <c r="V872" s="221"/>
      <c r="W872" s="221"/>
      <c r="X872" s="221"/>
      <c r="Y872" s="221"/>
      <c r="Z872" s="221"/>
    </row>
    <row r="873" spans="1:26" ht="18.75" customHeight="1">
      <c r="A873" s="221"/>
      <c r="B873" s="221"/>
      <c r="C873" s="221"/>
      <c r="D873" s="221"/>
      <c r="E873" s="221"/>
      <c r="F873" s="221"/>
      <c r="G873" s="221"/>
      <c r="H873" s="221"/>
      <c r="I873" s="221"/>
      <c r="J873" s="221"/>
      <c r="K873" s="221"/>
      <c r="L873" s="221"/>
      <c r="M873" s="221"/>
      <c r="N873" s="221"/>
      <c r="O873" s="221"/>
      <c r="P873" s="221"/>
      <c r="Q873" s="221"/>
      <c r="R873" s="221"/>
      <c r="S873" s="221"/>
      <c r="T873" s="221"/>
      <c r="U873" s="221"/>
      <c r="V873" s="221"/>
      <c r="W873" s="221"/>
      <c r="X873" s="221"/>
      <c r="Y873" s="221"/>
      <c r="Z873" s="221"/>
    </row>
    <row r="874" spans="1:26" ht="18.75" customHeight="1">
      <c r="A874" s="221"/>
      <c r="B874" s="221"/>
      <c r="C874" s="221"/>
      <c r="D874" s="221"/>
      <c r="E874" s="221"/>
      <c r="F874" s="221"/>
      <c r="G874" s="221"/>
      <c r="H874" s="221"/>
      <c r="I874" s="221"/>
      <c r="J874" s="221"/>
      <c r="K874" s="221"/>
      <c r="L874" s="221"/>
      <c r="M874" s="221"/>
      <c r="N874" s="221"/>
      <c r="O874" s="221"/>
      <c r="P874" s="221"/>
      <c r="Q874" s="221"/>
      <c r="R874" s="221"/>
      <c r="S874" s="221"/>
      <c r="T874" s="221"/>
      <c r="U874" s="221"/>
      <c r="V874" s="221"/>
      <c r="W874" s="221"/>
      <c r="X874" s="221"/>
      <c r="Y874" s="221"/>
      <c r="Z874" s="221"/>
    </row>
    <row r="875" spans="1:26" ht="18.75" customHeight="1">
      <c r="A875" s="221"/>
      <c r="B875" s="221"/>
      <c r="C875" s="221"/>
      <c r="D875" s="221"/>
      <c r="E875" s="221"/>
      <c r="F875" s="221"/>
      <c r="G875" s="221"/>
      <c r="H875" s="221"/>
      <c r="I875" s="221"/>
      <c r="J875" s="221"/>
      <c r="K875" s="221"/>
      <c r="L875" s="221"/>
      <c r="M875" s="221"/>
      <c r="N875" s="221"/>
      <c r="O875" s="221"/>
      <c r="P875" s="221"/>
      <c r="Q875" s="221"/>
      <c r="R875" s="221"/>
      <c r="S875" s="221"/>
      <c r="T875" s="221"/>
      <c r="U875" s="221"/>
      <c r="V875" s="221"/>
      <c r="W875" s="221"/>
      <c r="X875" s="221"/>
      <c r="Y875" s="221"/>
      <c r="Z875" s="221"/>
    </row>
    <row r="876" spans="1:26" ht="18.75" customHeight="1">
      <c r="A876" s="221"/>
      <c r="B876" s="221"/>
      <c r="C876" s="221"/>
      <c r="D876" s="221"/>
      <c r="E876" s="221"/>
      <c r="F876" s="221"/>
      <c r="G876" s="221"/>
      <c r="H876" s="221"/>
      <c r="I876" s="221"/>
      <c r="J876" s="221"/>
      <c r="K876" s="221"/>
      <c r="L876" s="221"/>
      <c r="M876" s="221"/>
      <c r="N876" s="221"/>
      <c r="O876" s="221"/>
      <c r="P876" s="221"/>
      <c r="Q876" s="221"/>
      <c r="R876" s="221"/>
      <c r="S876" s="221"/>
      <c r="T876" s="221"/>
      <c r="U876" s="221"/>
      <c r="V876" s="221"/>
      <c r="W876" s="221"/>
      <c r="X876" s="221"/>
      <c r="Y876" s="221"/>
      <c r="Z876" s="221"/>
    </row>
    <row r="877" spans="1:26" ht="18.75" customHeight="1">
      <c r="A877" s="221"/>
      <c r="B877" s="221"/>
      <c r="C877" s="221"/>
      <c r="D877" s="221"/>
      <c r="E877" s="221"/>
      <c r="F877" s="221"/>
      <c r="G877" s="221"/>
      <c r="H877" s="221"/>
      <c r="I877" s="221"/>
      <c r="J877" s="221"/>
      <c r="K877" s="221"/>
      <c r="L877" s="221"/>
      <c r="M877" s="221"/>
      <c r="N877" s="221"/>
      <c r="O877" s="221"/>
      <c r="P877" s="221"/>
      <c r="Q877" s="221"/>
      <c r="R877" s="221"/>
      <c r="S877" s="221"/>
      <c r="T877" s="221"/>
      <c r="U877" s="221"/>
      <c r="V877" s="221"/>
      <c r="W877" s="221"/>
      <c r="X877" s="221"/>
      <c r="Y877" s="221"/>
      <c r="Z877" s="221"/>
    </row>
    <row r="878" spans="1:26" ht="18.75" customHeight="1">
      <c r="A878" s="221"/>
      <c r="B878" s="221"/>
      <c r="C878" s="221"/>
      <c r="D878" s="221"/>
      <c r="E878" s="221"/>
      <c r="F878" s="221"/>
      <c r="G878" s="221"/>
      <c r="H878" s="221"/>
      <c r="I878" s="221"/>
      <c r="J878" s="221"/>
      <c r="K878" s="221"/>
      <c r="L878" s="221"/>
      <c r="M878" s="221"/>
      <c r="N878" s="221"/>
      <c r="O878" s="221"/>
      <c r="P878" s="221"/>
      <c r="Q878" s="221"/>
      <c r="R878" s="221"/>
      <c r="S878" s="221"/>
      <c r="T878" s="221"/>
      <c r="U878" s="221"/>
      <c r="V878" s="221"/>
      <c r="W878" s="221"/>
      <c r="X878" s="221"/>
      <c r="Y878" s="221"/>
      <c r="Z878" s="221"/>
    </row>
    <row r="879" spans="1:26" ht="18.75" customHeight="1">
      <c r="A879" s="221"/>
      <c r="B879" s="221"/>
      <c r="C879" s="221"/>
      <c r="D879" s="221"/>
      <c r="E879" s="221"/>
      <c r="F879" s="221"/>
      <c r="G879" s="221"/>
      <c r="H879" s="221"/>
      <c r="I879" s="221"/>
      <c r="J879" s="221"/>
      <c r="K879" s="221"/>
      <c r="L879" s="221"/>
      <c r="M879" s="221"/>
      <c r="N879" s="221"/>
      <c r="O879" s="221"/>
      <c r="P879" s="221"/>
      <c r="Q879" s="221"/>
      <c r="R879" s="221"/>
      <c r="S879" s="221"/>
      <c r="T879" s="221"/>
      <c r="U879" s="221"/>
      <c r="V879" s="221"/>
      <c r="W879" s="221"/>
      <c r="X879" s="221"/>
      <c r="Y879" s="221"/>
      <c r="Z879" s="221"/>
    </row>
    <row r="880" spans="1:26" ht="18.75" customHeight="1">
      <c r="A880" s="221"/>
      <c r="B880" s="221"/>
      <c r="C880" s="221"/>
      <c r="D880" s="221"/>
      <c r="E880" s="221"/>
      <c r="F880" s="221"/>
      <c r="G880" s="221"/>
      <c r="H880" s="221"/>
      <c r="I880" s="221"/>
      <c r="J880" s="221"/>
      <c r="K880" s="221"/>
      <c r="L880" s="221"/>
      <c r="M880" s="221"/>
      <c r="N880" s="221"/>
      <c r="O880" s="221"/>
      <c r="P880" s="221"/>
      <c r="Q880" s="221"/>
      <c r="R880" s="221"/>
      <c r="S880" s="221"/>
      <c r="T880" s="221"/>
      <c r="U880" s="221"/>
      <c r="V880" s="221"/>
      <c r="W880" s="221"/>
      <c r="X880" s="221"/>
      <c r="Y880" s="221"/>
      <c r="Z880" s="221"/>
    </row>
    <row r="881" spans="1:26" ht="18.75" customHeight="1">
      <c r="A881" s="221"/>
      <c r="B881" s="221"/>
      <c r="C881" s="221"/>
      <c r="D881" s="221"/>
      <c r="E881" s="221"/>
      <c r="F881" s="221"/>
      <c r="G881" s="221"/>
      <c r="H881" s="221"/>
      <c r="I881" s="221"/>
      <c r="J881" s="221"/>
      <c r="K881" s="221"/>
      <c r="L881" s="221"/>
      <c r="M881" s="221"/>
      <c r="N881" s="221"/>
      <c r="O881" s="221"/>
      <c r="P881" s="221"/>
      <c r="Q881" s="221"/>
      <c r="R881" s="221"/>
      <c r="S881" s="221"/>
      <c r="T881" s="221"/>
      <c r="U881" s="221"/>
      <c r="V881" s="221"/>
      <c r="W881" s="221"/>
      <c r="X881" s="221"/>
      <c r="Y881" s="221"/>
      <c r="Z881" s="221"/>
    </row>
    <row r="882" spans="1:26" ht="18.75" customHeight="1">
      <c r="A882" s="221"/>
      <c r="B882" s="221"/>
      <c r="C882" s="221"/>
      <c r="D882" s="221"/>
      <c r="E882" s="221"/>
      <c r="F882" s="221"/>
      <c r="G882" s="221"/>
      <c r="H882" s="221"/>
      <c r="I882" s="221"/>
      <c r="J882" s="221"/>
      <c r="K882" s="221"/>
      <c r="L882" s="221"/>
      <c r="M882" s="221"/>
      <c r="N882" s="221"/>
      <c r="O882" s="221"/>
      <c r="P882" s="221"/>
      <c r="Q882" s="221"/>
      <c r="R882" s="221"/>
      <c r="S882" s="221"/>
      <c r="T882" s="221"/>
      <c r="U882" s="221"/>
      <c r="V882" s="221"/>
      <c r="W882" s="221"/>
      <c r="X882" s="221"/>
      <c r="Y882" s="221"/>
      <c r="Z882" s="221"/>
    </row>
    <row r="883" spans="1:26" ht="18.75" customHeight="1">
      <c r="A883" s="221"/>
      <c r="B883" s="221"/>
      <c r="C883" s="221"/>
      <c r="D883" s="221"/>
      <c r="E883" s="221"/>
      <c r="F883" s="221"/>
      <c r="G883" s="221"/>
      <c r="H883" s="221"/>
      <c r="I883" s="221"/>
      <c r="J883" s="221"/>
      <c r="K883" s="221"/>
      <c r="L883" s="221"/>
      <c r="M883" s="221"/>
      <c r="N883" s="221"/>
      <c r="O883" s="221"/>
      <c r="P883" s="221"/>
      <c r="Q883" s="221"/>
      <c r="R883" s="221"/>
      <c r="S883" s="221"/>
      <c r="T883" s="221"/>
      <c r="U883" s="221"/>
      <c r="V883" s="221"/>
      <c r="W883" s="221"/>
      <c r="X883" s="221"/>
      <c r="Y883" s="221"/>
      <c r="Z883" s="221"/>
    </row>
    <row r="884" spans="1:26" ht="18.75" customHeight="1">
      <c r="A884" s="221"/>
      <c r="B884" s="221"/>
      <c r="C884" s="221"/>
      <c r="D884" s="221"/>
      <c r="E884" s="221"/>
      <c r="F884" s="221"/>
      <c r="G884" s="221"/>
      <c r="H884" s="221"/>
      <c r="I884" s="221"/>
      <c r="J884" s="221"/>
      <c r="K884" s="221"/>
      <c r="L884" s="221"/>
      <c r="M884" s="221"/>
      <c r="N884" s="221"/>
      <c r="O884" s="221"/>
      <c r="P884" s="221"/>
      <c r="Q884" s="221"/>
      <c r="R884" s="221"/>
      <c r="S884" s="221"/>
      <c r="T884" s="221"/>
      <c r="U884" s="221"/>
      <c r="V884" s="221"/>
      <c r="W884" s="221"/>
      <c r="X884" s="221"/>
      <c r="Y884" s="221"/>
      <c r="Z884" s="221"/>
    </row>
    <row r="885" spans="1:26" ht="18.75" customHeight="1">
      <c r="A885" s="221"/>
      <c r="B885" s="221"/>
      <c r="C885" s="221"/>
      <c r="D885" s="221"/>
      <c r="E885" s="221"/>
      <c r="F885" s="221"/>
      <c r="G885" s="221"/>
      <c r="H885" s="221"/>
      <c r="I885" s="221"/>
      <c r="J885" s="221"/>
      <c r="K885" s="221"/>
      <c r="L885" s="221"/>
      <c r="M885" s="221"/>
      <c r="N885" s="221"/>
      <c r="O885" s="221"/>
      <c r="P885" s="221"/>
      <c r="Q885" s="221"/>
      <c r="R885" s="221"/>
      <c r="S885" s="221"/>
      <c r="T885" s="221"/>
      <c r="U885" s="221"/>
      <c r="V885" s="221"/>
      <c r="W885" s="221"/>
      <c r="X885" s="221"/>
      <c r="Y885" s="221"/>
      <c r="Z885" s="221"/>
    </row>
    <row r="886" spans="1:26" ht="18.75" customHeight="1">
      <c r="A886" s="221"/>
      <c r="B886" s="221"/>
      <c r="C886" s="221"/>
      <c r="D886" s="221"/>
      <c r="E886" s="221"/>
      <c r="F886" s="221"/>
      <c r="G886" s="221"/>
      <c r="H886" s="221"/>
      <c r="I886" s="221"/>
      <c r="J886" s="221"/>
      <c r="K886" s="221"/>
      <c r="L886" s="221"/>
      <c r="M886" s="221"/>
      <c r="N886" s="221"/>
      <c r="O886" s="221"/>
      <c r="P886" s="221"/>
      <c r="Q886" s="221"/>
      <c r="R886" s="221"/>
      <c r="S886" s="221"/>
      <c r="T886" s="221"/>
      <c r="U886" s="221"/>
      <c r="V886" s="221"/>
      <c r="W886" s="221"/>
      <c r="X886" s="221"/>
      <c r="Y886" s="221"/>
      <c r="Z886" s="221"/>
    </row>
    <row r="887" spans="1:26" ht="18.75" customHeight="1">
      <c r="A887" s="221"/>
      <c r="B887" s="221"/>
      <c r="C887" s="221"/>
      <c r="D887" s="221"/>
      <c r="E887" s="221"/>
      <c r="F887" s="221"/>
      <c r="G887" s="221"/>
      <c r="H887" s="221"/>
      <c r="I887" s="221"/>
      <c r="J887" s="221"/>
      <c r="K887" s="221"/>
      <c r="L887" s="221"/>
      <c r="M887" s="221"/>
      <c r="N887" s="221"/>
      <c r="O887" s="221"/>
      <c r="P887" s="221"/>
      <c r="Q887" s="221"/>
      <c r="R887" s="221"/>
      <c r="S887" s="221"/>
      <c r="T887" s="221"/>
      <c r="U887" s="221"/>
      <c r="V887" s="221"/>
      <c r="W887" s="221"/>
      <c r="X887" s="221"/>
      <c r="Y887" s="221"/>
      <c r="Z887" s="221"/>
    </row>
    <row r="888" spans="1:26" ht="18.75" customHeight="1">
      <c r="A888" s="221"/>
      <c r="B888" s="221"/>
      <c r="C888" s="221"/>
      <c r="D888" s="221"/>
      <c r="E888" s="221"/>
      <c r="F888" s="221"/>
      <c r="G888" s="221"/>
      <c r="H888" s="221"/>
      <c r="I888" s="221"/>
      <c r="J888" s="221"/>
      <c r="K888" s="221"/>
      <c r="L888" s="221"/>
      <c r="M888" s="221"/>
      <c r="N888" s="221"/>
      <c r="O888" s="221"/>
      <c r="P888" s="221"/>
      <c r="Q888" s="221"/>
      <c r="R888" s="221"/>
      <c r="S888" s="221"/>
      <c r="T888" s="221"/>
      <c r="U888" s="221"/>
      <c r="V888" s="221"/>
      <c r="W888" s="221"/>
      <c r="X888" s="221"/>
      <c r="Y888" s="221"/>
      <c r="Z888" s="221"/>
    </row>
    <row r="889" spans="1:26" ht="18.75" customHeight="1">
      <c r="A889" s="221"/>
      <c r="B889" s="221"/>
      <c r="C889" s="221"/>
      <c r="D889" s="221"/>
      <c r="E889" s="221"/>
      <c r="F889" s="221"/>
      <c r="G889" s="221"/>
      <c r="H889" s="221"/>
      <c r="I889" s="221"/>
      <c r="J889" s="221"/>
      <c r="K889" s="221"/>
      <c r="L889" s="221"/>
      <c r="M889" s="221"/>
      <c r="N889" s="221"/>
      <c r="O889" s="221"/>
      <c r="P889" s="221"/>
      <c r="Q889" s="221"/>
      <c r="R889" s="221"/>
      <c r="S889" s="221"/>
      <c r="T889" s="221"/>
      <c r="U889" s="221"/>
      <c r="V889" s="221"/>
      <c r="W889" s="221"/>
      <c r="X889" s="221"/>
      <c r="Y889" s="221"/>
      <c r="Z889" s="221"/>
    </row>
    <row r="890" spans="1:26" ht="18.75" customHeight="1">
      <c r="A890" s="221"/>
      <c r="B890" s="221"/>
      <c r="C890" s="221"/>
      <c r="D890" s="221"/>
      <c r="E890" s="221"/>
      <c r="F890" s="221"/>
      <c r="G890" s="221"/>
      <c r="H890" s="221"/>
      <c r="I890" s="221"/>
      <c r="J890" s="221"/>
      <c r="K890" s="221"/>
      <c r="L890" s="221"/>
      <c r="M890" s="221"/>
      <c r="N890" s="221"/>
      <c r="O890" s="221"/>
      <c r="P890" s="221"/>
      <c r="Q890" s="221"/>
      <c r="R890" s="221"/>
      <c r="S890" s="221"/>
      <c r="T890" s="221"/>
      <c r="U890" s="221"/>
      <c r="V890" s="221"/>
      <c r="W890" s="221"/>
      <c r="X890" s="221"/>
      <c r="Y890" s="221"/>
      <c r="Z890" s="221"/>
    </row>
    <row r="891" spans="1:26" ht="18.75" customHeight="1">
      <c r="A891" s="221"/>
      <c r="B891" s="221"/>
      <c r="C891" s="221"/>
      <c r="D891" s="221"/>
      <c r="E891" s="221"/>
      <c r="F891" s="221"/>
      <c r="G891" s="221"/>
      <c r="H891" s="221"/>
      <c r="I891" s="221"/>
      <c r="J891" s="221"/>
      <c r="K891" s="221"/>
      <c r="L891" s="221"/>
      <c r="M891" s="221"/>
      <c r="N891" s="221"/>
      <c r="O891" s="221"/>
      <c r="P891" s="221"/>
      <c r="Q891" s="221"/>
      <c r="R891" s="221"/>
      <c r="S891" s="221"/>
      <c r="T891" s="221"/>
      <c r="U891" s="221"/>
      <c r="V891" s="221"/>
      <c r="W891" s="221"/>
      <c r="X891" s="221"/>
      <c r="Y891" s="221"/>
      <c r="Z891" s="221"/>
    </row>
    <row r="892" spans="1:26" ht="18.75" customHeight="1">
      <c r="A892" s="221"/>
      <c r="B892" s="221"/>
      <c r="C892" s="221"/>
      <c r="D892" s="221"/>
      <c r="E892" s="221"/>
      <c r="F892" s="221"/>
      <c r="G892" s="221"/>
      <c r="H892" s="221"/>
      <c r="I892" s="221"/>
      <c r="J892" s="221"/>
      <c r="K892" s="221"/>
      <c r="L892" s="221"/>
      <c r="M892" s="221"/>
      <c r="N892" s="221"/>
      <c r="O892" s="221"/>
      <c r="P892" s="221"/>
      <c r="Q892" s="221"/>
      <c r="R892" s="221"/>
      <c r="S892" s="221"/>
      <c r="T892" s="221"/>
      <c r="U892" s="221"/>
      <c r="V892" s="221"/>
      <c r="W892" s="221"/>
      <c r="X892" s="221"/>
      <c r="Y892" s="221"/>
      <c r="Z892" s="221"/>
    </row>
    <row r="893" spans="1:26" ht="18.75" customHeight="1">
      <c r="A893" s="221"/>
      <c r="B893" s="221"/>
      <c r="C893" s="221"/>
      <c r="D893" s="221"/>
      <c r="E893" s="221"/>
      <c r="F893" s="221"/>
      <c r="G893" s="221"/>
      <c r="H893" s="221"/>
      <c r="I893" s="221"/>
      <c r="J893" s="221"/>
      <c r="K893" s="221"/>
      <c r="L893" s="221"/>
      <c r="M893" s="221"/>
      <c r="N893" s="221"/>
      <c r="O893" s="221"/>
      <c r="P893" s="221"/>
      <c r="Q893" s="221"/>
      <c r="R893" s="221"/>
      <c r="S893" s="221"/>
      <c r="T893" s="221"/>
      <c r="U893" s="221"/>
      <c r="V893" s="221"/>
      <c r="W893" s="221"/>
      <c r="X893" s="221"/>
      <c r="Y893" s="221"/>
      <c r="Z893" s="221"/>
    </row>
    <row r="894" spans="1:26" ht="18.75" customHeight="1">
      <c r="A894" s="221"/>
      <c r="B894" s="221"/>
      <c r="C894" s="221"/>
      <c r="D894" s="221"/>
      <c r="E894" s="221"/>
      <c r="F894" s="221"/>
      <c r="G894" s="221"/>
      <c r="H894" s="221"/>
      <c r="I894" s="221"/>
      <c r="J894" s="221"/>
      <c r="K894" s="221"/>
      <c r="L894" s="221"/>
      <c r="M894" s="221"/>
      <c r="N894" s="221"/>
      <c r="O894" s="221"/>
      <c r="P894" s="221"/>
      <c r="Q894" s="221"/>
      <c r="R894" s="221"/>
      <c r="S894" s="221"/>
      <c r="T894" s="221"/>
      <c r="U894" s="221"/>
      <c r="V894" s="221"/>
      <c r="W894" s="221"/>
      <c r="X894" s="221"/>
      <c r="Y894" s="221"/>
      <c r="Z894" s="221"/>
    </row>
    <row r="895" spans="1:26" ht="18.75" customHeight="1">
      <c r="A895" s="221"/>
      <c r="B895" s="221"/>
      <c r="C895" s="221"/>
      <c r="D895" s="221"/>
      <c r="E895" s="221"/>
      <c r="F895" s="221"/>
      <c r="G895" s="221"/>
      <c r="H895" s="221"/>
      <c r="I895" s="221"/>
      <c r="J895" s="221"/>
      <c r="K895" s="221"/>
      <c r="L895" s="221"/>
      <c r="M895" s="221"/>
      <c r="N895" s="221"/>
      <c r="O895" s="221"/>
      <c r="P895" s="221"/>
      <c r="Q895" s="221"/>
      <c r="R895" s="221"/>
      <c r="S895" s="221"/>
      <c r="T895" s="221"/>
      <c r="U895" s="221"/>
      <c r="V895" s="221"/>
      <c r="W895" s="221"/>
      <c r="X895" s="221"/>
      <c r="Y895" s="221"/>
      <c r="Z895" s="221"/>
    </row>
    <row r="896" spans="1:26" ht="18.75" customHeight="1">
      <c r="A896" s="221"/>
      <c r="B896" s="221"/>
      <c r="C896" s="221"/>
      <c r="D896" s="221"/>
      <c r="E896" s="221"/>
      <c r="F896" s="221"/>
      <c r="G896" s="221"/>
      <c r="H896" s="221"/>
      <c r="I896" s="221"/>
      <c r="J896" s="221"/>
      <c r="K896" s="221"/>
      <c r="L896" s="221"/>
      <c r="M896" s="221"/>
      <c r="N896" s="221"/>
      <c r="O896" s="221"/>
      <c r="P896" s="221"/>
      <c r="Q896" s="221"/>
      <c r="R896" s="221"/>
      <c r="S896" s="221"/>
      <c r="T896" s="221"/>
      <c r="U896" s="221"/>
      <c r="V896" s="221"/>
      <c r="W896" s="221"/>
      <c r="X896" s="221"/>
      <c r="Y896" s="221"/>
      <c r="Z896" s="221"/>
    </row>
    <row r="897" spans="1:26" ht="18.75" customHeight="1">
      <c r="A897" s="221"/>
      <c r="B897" s="221"/>
      <c r="C897" s="221"/>
      <c r="D897" s="221"/>
      <c r="E897" s="221"/>
      <c r="F897" s="221"/>
      <c r="G897" s="221"/>
      <c r="H897" s="221"/>
      <c r="I897" s="221"/>
      <c r="J897" s="221"/>
      <c r="K897" s="221"/>
      <c r="L897" s="221"/>
      <c r="M897" s="221"/>
      <c r="N897" s="221"/>
      <c r="O897" s="221"/>
      <c r="P897" s="221"/>
      <c r="Q897" s="221"/>
      <c r="R897" s="221"/>
      <c r="S897" s="221"/>
      <c r="T897" s="221"/>
      <c r="U897" s="221"/>
      <c r="V897" s="221"/>
      <c r="W897" s="221"/>
      <c r="X897" s="221"/>
      <c r="Y897" s="221"/>
      <c r="Z897" s="221"/>
    </row>
    <row r="898" spans="1:26" ht="18.75" customHeight="1">
      <c r="A898" s="221"/>
      <c r="B898" s="221"/>
      <c r="C898" s="221"/>
      <c r="D898" s="221"/>
      <c r="E898" s="221"/>
      <c r="F898" s="221"/>
      <c r="G898" s="221"/>
      <c r="H898" s="221"/>
      <c r="I898" s="221"/>
      <c r="J898" s="221"/>
      <c r="K898" s="221"/>
      <c r="L898" s="221"/>
      <c r="M898" s="221"/>
      <c r="N898" s="221"/>
      <c r="O898" s="221"/>
      <c r="P898" s="221"/>
      <c r="Q898" s="221"/>
      <c r="R898" s="221"/>
      <c r="S898" s="221"/>
      <c r="T898" s="221"/>
      <c r="U898" s="221"/>
      <c r="V898" s="221"/>
      <c r="W898" s="221"/>
      <c r="X898" s="221"/>
      <c r="Y898" s="221"/>
      <c r="Z898" s="221"/>
    </row>
    <row r="899" spans="1:26" ht="18.75" customHeight="1">
      <c r="A899" s="221"/>
      <c r="B899" s="221"/>
      <c r="C899" s="221"/>
      <c r="D899" s="221"/>
      <c r="E899" s="221"/>
      <c r="F899" s="221"/>
      <c r="G899" s="221"/>
      <c r="H899" s="221"/>
      <c r="I899" s="221"/>
      <c r="J899" s="221"/>
      <c r="K899" s="221"/>
      <c r="L899" s="221"/>
      <c r="M899" s="221"/>
      <c r="N899" s="221"/>
      <c r="O899" s="221"/>
      <c r="P899" s="221"/>
      <c r="Q899" s="221"/>
      <c r="R899" s="221"/>
      <c r="S899" s="221"/>
      <c r="T899" s="221"/>
      <c r="U899" s="221"/>
      <c r="V899" s="221"/>
      <c r="W899" s="221"/>
      <c r="X899" s="221"/>
      <c r="Y899" s="221"/>
      <c r="Z899" s="221"/>
    </row>
    <row r="900" spans="1:26" ht="18.75" customHeight="1">
      <c r="A900" s="221"/>
      <c r="B900" s="221"/>
      <c r="C900" s="221"/>
      <c r="D900" s="221"/>
      <c r="E900" s="221"/>
      <c r="F900" s="221"/>
      <c r="G900" s="221"/>
      <c r="H900" s="221"/>
      <c r="I900" s="221"/>
      <c r="J900" s="221"/>
      <c r="K900" s="221"/>
      <c r="L900" s="221"/>
      <c r="M900" s="221"/>
      <c r="N900" s="221"/>
      <c r="O900" s="221"/>
      <c r="P900" s="221"/>
      <c r="Q900" s="221"/>
      <c r="R900" s="221"/>
      <c r="S900" s="221"/>
      <c r="T900" s="221"/>
      <c r="U900" s="221"/>
      <c r="V900" s="221"/>
      <c r="W900" s="221"/>
      <c r="X900" s="221"/>
      <c r="Y900" s="221"/>
      <c r="Z900" s="221"/>
    </row>
    <row r="901" spans="1:26" ht="18.75" customHeight="1">
      <c r="A901" s="221"/>
      <c r="B901" s="221"/>
      <c r="C901" s="221"/>
      <c r="D901" s="221"/>
      <c r="E901" s="221"/>
      <c r="F901" s="221"/>
      <c r="G901" s="221"/>
      <c r="H901" s="221"/>
      <c r="I901" s="221"/>
      <c r="J901" s="221"/>
      <c r="K901" s="221"/>
      <c r="L901" s="221"/>
      <c r="M901" s="221"/>
      <c r="N901" s="221"/>
      <c r="O901" s="221"/>
      <c r="P901" s="221"/>
      <c r="Q901" s="221"/>
      <c r="R901" s="221"/>
      <c r="S901" s="221"/>
      <c r="T901" s="221"/>
      <c r="U901" s="221"/>
      <c r="V901" s="221"/>
      <c r="W901" s="221"/>
      <c r="X901" s="221"/>
      <c r="Y901" s="221"/>
      <c r="Z901" s="221"/>
    </row>
    <row r="902" spans="1:26" ht="18.75" customHeight="1">
      <c r="A902" s="221"/>
      <c r="B902" s="221"/>
      <c r="C902" s="221"/>
      <c r="D902" s="221"/>
      <c r="E902" s="221"/>
      <c r="F902" s="221"/>
      <c r="G902" s="221"/>
      <c r="H902" s="221"/>
      <c r="I902" s="221"/>
      <c r="J902" s="221"/>
      <c r="K902" s="221"/>
      <c r="L902" s="221"/>
      <c r="M902" s="221"/>
      <c r="N902" s="221"/>
      <c r="O902" s="221"/>
      <c r="P902" s="221"/>
      <c r="Q902" s="221"/>
      <c r="R902" s="221"/>
      <c r="S902" s="221"/>
      <c r="T902" s="221"/>
      <c r="U902" s="221"/>
      <c r="V902" s="221"/>
      <c r="W902" s="221"/>
      <c r="X902" s="221"/>
      <c r="Y902" s="221"/>
      <c r="Z902" s="221"/>
    </row>
    <row r="903" spans="1:26" ht="18.75" customHeight="1">
      <c r="A903" s="221"/>
      <c r="B903" s="221"/>
      <c r="C903" s="221"/>
      <c r="D903" s="221"/>
      <c r="E903" s="221"/>
      <c r="F903" s="221"/>
      <c r="G903" s="221"/>
      <c r="H903" s="221"/>
      <c r="I903" s="221"/>
      <c r="J903" s="221"/>
      <c r="K903" s="221"/>
      <c r="L903" s="221"/>
      <c r="M903" s="221"/>
      <c r="N903" s="221"/>
      <c r="O903" s="221"/>
      <c r="P903" s="221"/>
      <c r="Q903" s="221"/>
      <c r="R903" s="221"/>
      <c r="S903" s="221"/>
      <c r="T903" s="221"/>
      <c r="U903" s="221"/>
      <c r="V903" s="221"/>
      <c r="W903" s="221"/>
      <c r="X903" s="221"/>
      <c r="Y903" s="221"/>
      <c r="Z903" s="221"/>
    </row>
    <row r="904" spans="1:26" ht="18.75" customHeight="1">
      <c r="A904" s="221"/>
      <c r="B904" s="221"/>
      <c r="C904" s="221"/>
      <c r="D904" s="221"/>
      <c r="E904" s="221"/>
      <c r="F904" s="221"/>
      <c r="G904" s="221"/>
      <c r="H904" s="221"/>
      <c r="I904" s="221"/>
      <c r="J904" s="221"/>
      <c r="K904" s="221"/>
      <c r="L904" s="221"/>
      <c r="M904" s="221"/>
      <c r="N904" s="221"/>
      <c r="O904" s="221"/>
      <c r="P904" s="221"/>
      <c r="Q904" s="221"/>
      <c r="R904" s="221"/>
      <c r="S904" s="221"/>
      <c r="T904" s="221"/>
      <c r="U904" s="221"/>
      <c r="V904" s="221"/>
      <c r="W904" s="221"/>
      <c r="X904" s="221"/>
      <c r="Y904" s="221"/>
      <c r="Z904" s="221"/>
    </row>
    <row r="905" spans="1:26" ht="18.75" customHeight="1">
      <c r="A905" s="221"/>
      <c r="B905" s="221"/>
      <c r="C905" s="221"/>
      <c r="D905" s="221"/>
      <c r="E905" s="221"/>
      <c r="F905" s="221"/>
      <c r="G905" s="221"/>
      <c r="H905" s="221"/>
      <c r="I905" s="221"/>
      <c r="J905" s="221"/>
      <c r="K905" s="221"/>
      <c r="L905" s="221"/>
      <c r="M905" s="221"/>
      <c r="N905" s="221"/>
      <c r="O905" s="221"/>
      <c r="P905" s="221"/>
      <c r="Q905" s="221"/>
      <c r="R905" s="221"/>
      <c r="S905" s="221"/>
      <c r="T905" s="221"/>
      <c r="U905" s="221"/>
      <c r="V905" s="221"/>
      <c r="W905" s="221"/>
      <c r="X905" s="221"/>
      <c r="Y905" s="221"/>
      <c r="Z905" s="221"/>
    </row>
    <row r="906" spans="1:26" ht="18.75" customHeight="1">
      <c r="A906" s="221"/>
      <c r="B906" s="221"/>
      <c r="C906" s="221"/>
      <c r="D906" s="221"/>
      <c r="E906" s="221"/>
      <c r="F906" s="221"/>
      <c r="G906" s="221"/>
      <c r="H906" s="221"/>
      <c r="I906" s="221"/>
      <c r="J906" s="221"/>
      <c r="K906" s="221"/>
      <c r="L906" s="221"/>
      <c r="M906" s="221"/>
      <c r="N906" s="221"/>
      <c r="O906" s="221"/>
      <c r="P906" s="221"/>
      <c r="Q906" s="221"/>
      <c r="R906" s="221"/>
      <c r="S906" s="221"/>
      <c r="T906" s="221"/>
      <c r="U906" s="221"/>
      <c r="V906" s="221"/>
      <c r="W906" s="221"/>
      <c r="X906" s="221"/>
      <c r="Y906" s="221"/>
      <c r="Z906" s="221"/>
    </row>
    <row r="907" spans="1:26" ht="18.75" customHeight="1">
      <c r="A907" s="221"/>
      <c r="B907" s="221"/>
      <c r="C907" s="221"/>
      <c r="D907" s="221"/>
      <c r="E907" s="221"/>
      <c r="F907" s="221"/>
      <c r="G907" s="221"/>
      <c r="H907" s="221"/>
      <c r="I907" s="221"/>
      <c r="J907" s="221"/>
      <c r="K907" s="221"/>
      <c r="L907" s="221"/>
      <c r="M907" s="221"/>
      <c r="N907" s="221"/>
      <c r="O907" s="221"/>
      <c r="P907" s="221"/>
      <c r="Q907" s="221"/>
      <c r="R907" s="221"/>
      <c r="S907" s="221"/>
      <c r="T907" s="221"/>
      <c r="U907" s="221"/>
      <c r="V907" s="221"/>
      <c r="W907" s="221"/>
      <c r="X907" s="221"/>
      <c r="Y907" s="221"/>
      <c r="Z907" s="221"/>
    </row>
    <row r="908" spans="1:26" ht="18.75" customHeight="1">
      <c r="A908" s="221"/>
      <c r="B908" s="221"/>
      <c r="C908" s="221"/>
      <c r="D908" s="221"/>
      <c r="E908" s="221"/>
      <c r="F908" s="221"/>
      <c r="G908" s="221"/>
      <c r="H908" s="221"/>
      <c r="I908" s="221"/>
      <c r="J908" s="221"/>
      <c r="K908" s="221"/>
      <c r="L908" s="221"/>
      <c r="M908" s="221"/>
      <c r="N908" s="221"/>
      <c r="O908" s="221"/>
      <c r="P908" s="221"/>
      <c r="Q908" s="221"/>
      <c r="R908" s="221"/>
      <c r="S908" s="221"/>
      <c r="T908" s="221"/>
      <c r="U908" s="221"/>
      <c r="V908" s="221"/>
      <c r="W908" s="221"/>
      <c r="X908" s="221"/>
      <c r="Y908" s="221"/>
      <c r="Z908" s="221"/>
    </row>
    <row r="909" spans="1:26" ht="18.75" customHeight="1">
      <c r="A909" s="221"/>
      <c r="B909" s="221"/>
      <c r="C909" s="221"/>
      <c r="D909" s="221"/>
      <c r="E909" s="221"/>
      <c r="F909" s="221"/>
      <c r="G909" s="221"/>
      <c r="H909" s="221"/>
      <c r="I909" s="221"/>
      <c r="J909" s="221"/>
      <c r="K909" s="221"/>
      <c r="L909" s="221"/>
      <c r="M909" s="221"/>
      <c r="N909" s="221"/>
      <c r="O909" s="221"/>
      <c r="P909" s="221"/>
      <c r="Q909" s="221"/>
      <c r="R909" s="221"/>
      <c r="S909" s="221"/>
      <c r="T909" s="221"/>
      <c r="U909" s="221"/>
      <c r="V909" s="221"/>
      <c r="W909" s="221"/>
      <c r="X909" s="221"/>
      <c r="Y909" s="221"/>
      <c r="Z909" s="221"/>
    </row>
    <row r="910" spans="1:26" ht="18.75" customHeight="1">
      <c r="A910" s="221"/>
      <c r="B910" s="221"/>
      <c r="C910" s="221"/>
      <c r="D910" s="221"/>
      <c r="E910" s="221"/>
      <c r="F910" s="221"/>
      <c r="G910" s="221"/>
      <c r="H910" s="221"/>
      <c r="I910" s="221"/>
      <c r="J910" s="221"/>
      <c r="K910" s="221"/>
      <c r="L910" s="221"/>
      <c r="M910" s="221"/>
      <c r="N910" s="221"/>
      <c r="O910" s="221"/>
      <c r="P910" s="221"/>
      <c r="Q910" s="221"/>
      <c r="R910" s="221"/>
      <c r="S910" s="221"/>
      <c r="T910" s="221"/>
      <c r="U910" s="221"/>
      <c r="V910" s="221"/>
      <c r="W910" s="221"/>
      <c r="X910" s="221"/>
      <c r="Y910" s="221"/>
      <c r="Z910" s="221"/>
    </row>
    <row r="911" spans="1:26" ht="18.75" customHeight="1">
      <c r="A911" s="221"/>
      <c r="B911" s="221"/>
      <c r="C911" s="221"/>
      <c r="D911" s="221"/>
      <c r="E911" s="221"/>
      <c r="F911" s="221"/>
      <c r="G911" s="221"/>
      <c r="H911" s="221"/>
      <c r="I911" s="221"/>
      <c r="J911" s="221"/>
      <c r="K911" s="221"/>
      <c r="L911" s="221"/>
      <c r="M911" s="221"/>
      <c r="N911" s="221"/>
      <c r="O911" s="221"/>
      <c r="P911" s="221"/>
      <c r="Q911" s="221"/>
      <c r="R911" s="221"/>
      <c r="S911" s="221"/>
      <c r="T911" s="221"/>
      <c r="U911" s="221"/>
      <c r="V911" s="221"/>
      <c r="W911" s="221"/>
      <c r="X911" s="221"/>
      <c r="Y911" s="221"/>
      <c r="Z911" s="221"/>
    </row>
    <row r="912" spans="1:26" ht="18.75" customHeight="1">
      <c r="A912" s="221"/>
      <c r="B912" s="221"/>
      <c r="C912" s="221"/>
      <c r="D912" s="221"/>
      <c r="E912" s="221"/>
      <c r="F912" s="221"/>
      <c r="G912" s="221"/>
      <c r="H912" s="221"/>
      <c r="I912" s="221"/>
      <c r="J912" s="221"/>
      <c r="K912" s="221"/>
      <c r="L912" s="221"/>
      <c r="M912" s="221"/>
      <c r="N912" s="221"/>
      <c r="O912" s="221"/>
      <c r="P912" s="221"/>
      <c r="Q912" s="221"/>
      <c r="R912" s="221"/>
      <c r="S912" s="221"/>
      <c r="T912" s="221"/>
      <c r="U912" s="221"/>
      <c r="V912" s="221"/>
      <c r="W912" s="221"/>
      <c r="X912" s="221"/>
      <c r="Y912" s="221"/>
      <c r="Z912" s="221"/>
    </row>
    <row r="913" spans="1:26" ht="18.75" customHeight="1">
      <c r="A913" s="221"/>
      <c r="B913" s="221"/>
      <c r="C913" s="221"/>
      <c r="D913" s="221"/>
      <c r="E913" s="221"/>
      <c r="F913" s="221"/>
      <c r="G913" s="221"/>
      <c r="H913" s="221"/>
      <c r="I913" s="221"/>
      <c r="J913" s="221"/>
      <c r="K913" s="221"/>
      <c r="L913" s="221"/>
      <c r="M913" s="221"/>
      <c r="N913" s="221"/>
      <c r="O913" s="221"/>
      <c r="P913" s="221"/>
      <c r="Q913" s="221"/>
      <c r="R913" s="221"/>
      <c r="S913" s="221"/>
      <c r="T913" s="221"/>
      <c r="U913" s="221"/>
      <c r="V913" s="221"/>
      <c r="W913" s="221"/>
      <c r="X913" s="221"/>
      <c r="Y913" s="221"/>
      <c r="Z913" s="221"/>
    </row>
    <row r="914" spans="1:26" ht="18.75" customHeight="1">
      <c r="A914" s="221"/>
      <c r="B914" s="221"/>
      <c r="C914" s="221"/>
      <c r="D914" s="221"/>
      <c r="E914" s="221"/>
      <c r="F914" s="221"/>
      <c r="G914" s="221"/>
      <c r="H914" s="221"/>
      <c r="I914" s="221"/>
      <c r="J914" s="221"/>
      <c r="K914" s="221"/>
      <c r="L914" s="221"/>
      <c r="M914" s="221"/>
      <c r="N914" s="221"/>
      <c r="O914" s="221"/>
      <c r="P914" s="221"/>
      <c r="Q914" s="221"/>
      <c r="R914" s="221"/>
      <c r="S914" s="221"/>
      <c r="T914" s="221"/>
      <c r="U914" s="221"/>
      <c r="V914" s="221"/>
      <c r="W914" s="221"/>
      <c r="X914" s="221"/>
      <c r="Y914" s="221"/>
      <c r="Z914" s="221"/>
    </row>
    <row r="915" spans="1:26" ht="18.75" customHeight="1">
      <c r="A915" s="221"/>
      <c r="B915" s="221"/>
      <c r="C915" s="221"/>
      <c r="D915" s="221"/>
      <c r="E915" s="221"/>
      <c r="F915" s="221"/>
      <c r="G915" s="221"/>
      <c r="H915" s="221"/>
      <c r="I915" s="221"/>
      <c r="J915" s="221"/>
      <c r="K915" s="221"/>
      <c r="L915" s="221"/>
      <c r="M915" s="221"/>
      <c r="N915" s="221"/>
      <c r="O915" s="221"/>
      <c r="P915" s="221"/>
      <c r="Q915" s="221"/>
      <c r="R915" s="221"/>
      <c r="S915" s="221"/>
      <c r="T915" s="221"/>
      <c r="U915" s="221"/>
      <c r="V915" s="221"/>
      <c r="W915" s="221"/>
      <c r="X915" s="221"/>
      <c r="Y915" s="221"/>
      <c r="Z915" s="221"/>
    </row>
    <row r="916" spans="1:26" ht="18.75" customHeight="1">
      <c r="A916" s="221"/>
      <c r="B916" s="221"/>
      <c r="C916" s="221"/>
      <c r="D916" s="221"/>
      <c r="E916" s="221"/>
      <c r="F916" s="221"/>
      <c r="G916" s="221"/>
      <c r="H916" s="221"/>
      <c r="I916" s="221"/>
      <c r="J916" s="221"/>
      <c r="K916" s="221"/>
      <c r="L916" s="221"/>
      <c r="M916" s="221"/>
      <c r="N916" s="221"/>
      <c r="O916" s="221"/>
      <c r="P916" s="221"/>
      <c r="Q916" s="221"/>
      <c r="R916" s="221"/>
      <c r="S916" s="221"/>
      <c r="T916" s="221"/>
      <c r="U916" s="221"/>
      <c r="V916" s="221"/>
      <c r="W916" s="221"/>
      <c r="X916" s="221"/>
      <c r="Y916" s="221"/>
      <c r="Z916" s="221"/>
    </row>
    <row r="917" spans="1:26" ht="18.75" customHeight="1">
      <c r="A917" s="221"/>
      <c r="B917" s="221"/>
      <c r="C917" s="221"/>
      <c r="D917" s="221"/>
      <c r="E917" s="221"/>
      <c r="F917" s="221"/>
      <c r="G917" s="221"/>
      <c r="H917" s="221"/>
      <c r="I917" s="221"/>
      <c r="J917" s="221"/>
      <c r="K917" s="221"/>
      <c r="L917" s="221"/>
      <c r="M917" s="221"/>
      <c r="N917" s="221"/>
      <c r="O917" s="221"/>
      <c r="P917" s="221"/>
      <c r="Q917" s="221"/>
      <c r="R917" s="221"/>
      <c r="S917" s="221"/>
      <c r="T917" s="221"/>
      <c r="U917" s="221"/>
      <c r="V917" s="221"/>
      <c r="W917" s="221"/>
      <c r="X917" s="221"/>
      <c r="Y917" s="221"/>
      <c r="Z917" s="221"/>
    </row>
    <row r="918" spans="1:26" ht="18.75" customHeight="1">
      <c r="A918" s="221"/>
      <c r="B918" s="221"/>
      <c r="C918" s="221"/>
      <c r="D918" s="221"/>
      <c r="E918" s="221"/>
      <c r="F918" s="221"/>
      <c r="G918" s="221"/>
      <c r="H918" s="221"/>
      <c r="I918" s="221"/>
      <c r="J918" s="221"/>
      <c r="K918" s="221"/>
      <c r="L918" s="221"/>
      <c r="M918" s="221"/>
      <c r="N918" s="221"/>
      <c r="O918" s="221"/>
      <c r="P918" s="221"/>
      <c r="Q918" s="221"/>
      <c r="R918" s="221"/>
      <c r="S918" s="221"/>
      <c r="T918" s="221"/>
      <c r="U918" s="221"/>
      <c r="V918" s="221"/>
      <c r="W918" s="221"/>
      <c r="X918" s="221"/>
      <c r="Y918" s="221"/>
      <c r="Z918" s="221"/>
    </row>
    <row r="919" spans="1:26" ht="18.75" customHeight="1">
      <c r="A919" s="221"/>
      <c r="B919" s="221"/>
      <c r="C919" s="221"/>
      <c r="D919" s="221"/>
      <c r="E919" s="221"/>
      <c r="F919" s="221"/>
      <c r="G919" s="221"/>
      <c r="H919" s="221"/>
      <c r="I919" s="221"/>
      <c r="J919" s="221"/>
      <c r="K919" s="221"/>
      <c r="L919" s="221"/>
      <c r="M919" s="221"/>
      <c r="N919" s="221"/>
      <c r="O919" s="221"/>
      <c r="P919" s="221"/>
      <c r="Q919" s="221"/>
      <c r="R919" s="221"/>
      <c r="S919" s="221"/>
      <c r="T919" s="221"/>
      <c r="U919" s="221"/>
      <c r="V919" s="221"/>
      <c r="W919" s="221"/>
      <c r="X919" s="221"/>
      <c r="Y919" s="221"/>
      <c r="Z919" s="221"/>
    </row>
    <row r="920" spans="1:26" ht="18.75" customHeight="1">
      <c r="A920" s="221"/>
      <c r="B920" s="221"/>
      <c r="C920" s="221"/>
      <c r="D920" s="221"/>
      <c r="E920" s="221"/>
      <c r="F920" s="221"/>
      <c r="G920" s="221"/>
      <c r="H920" s="221"/>
      <c r="I920" s="221"/>
      <c r="J920" s="221"/>
      <c r="K920" s="221"/>
      <c r="L920" s="221"/>
      <c r="M920" s="221"/>
      <c r="N920" s="221"/>
      <c r="O920" s="221"/>
      <c r="P920" s="221"/>
      <c r="Q920" s="221"/>
      <c r="R920" s="221"/>
      <c r="S920" s="221"/>
      <c r="T920" s="221"/>
      <c r="U920" s="221"/>
      <c r="V920" s="221"/>
      <c r="W920" s="221"/>
      <c r="X920" s="221"/>
      <c r="Y920" s="221"/>
      <c r="Z920" s="221"/>
    </row>
    <row r="921" spans="1:26" ht="18.75" customHeight="1">
      <c r="A921" s="221"/>
      <c r="B921" s="221"/>
      <c r="C921" s="221"/>
      <c r="D921" s="221"/>
      <c r="E921" s="221"/>
      <c r="F921" s="221"/>
      <c r="G921" s="221"/>
      <c r="H921" s="221"/>
      <c r="I921" s="221"/>
      <c r="J921" s="221"/>
      <c r="K921" s="221"/>
      <c r="L921" s="221"/>
      <c r="M921" s="221"/>
      <c r="N921" s="221"/>
      <c r="O921" s="221"/>
      <c r="P921" s="221"/>
      <c r="Q921" s="221"/>
      <c r="R921" s="221"/>
      <c r="S921" s="221"/>
      <c r="T921" s="221"/>
      <c r="U921" s="221"/>
      <c r="V921" s="221"/>
      <c r="W921" s="221"/>
      <c r="X921" s="221"/>
      <c r="Y921" s="221"/>
      <c r="Z921" s="221"/>
    </row>
    <row r="922" spans="1:26" ht="18.75" customHeight="1">
      <c r="A922" s="221"/>
      <c r="B922" s="221"/>
      <c r="C922" s="221"/>
      <c r="D922" s="221"/>
      <c r="E922" s="221"/>
      <c r="F922" s="221"/>
      <c r="G922" s="221"/>
      <c r="H922" s="221"/>
      <c r="I922" s="221"/>
      <c r="J922" s="221"/>
      <c r="K922" s="221"/>
      <c r="L922" s="221"/>
      <c r="M922" s="221"/>
      <c r="N922" s="221"/>
      <c r="O922" s="221"/>
      <c r="P922" s="221"/>
      <c r="Q922" s="221"/>
      <c r="R922" s="221"/>
      <c r="S922" s="221"/>
      <c r="T922" s="221"/>
      <c r="U922" s="221"/>
      <c r="V922" s="221"/>
      <c r="W922" s="221"/>
      <c r="X922" s="221"/>
      <c r="Y922" s="221"/>
      <c r="Z922" s="221"/>
    </row>
    <row r="923" spans="1:26" ht="18.75" customHeight="1">
      <c r="A923" s="221"/>
      <c r="B923" s="221"/>
      <c r="C923" s="221"/>
      <c r="D923" s="221"/>
      <c r="E923" s="221"/>
      <c r="F923" s="221"/>
      <c r="G923" s="221"/>
      <c r="H923" s="221"/>
      <c r="I923" s="221"/>
      <c r="J923" s="221"/>
      <c r="K923" s="221"/>
      <c r="L923" s="221"/>
      <c r="M923" s="221"/>
      <c r="N923" s="221"/>
      <c r="O923" s="221"/>
      <c r="P923" s="221"/>
      <c r="Q923" s="221"/>
      <c r="R923" s="221"/>
      <c r="S923" s="221"/>
      <c r="T923" s="221"/>
      <c r="U923" s="221"/>
      <c r="V923" s="221"/>
      <c r="W923" s="221"/>
      <c r="X923" s="221"/>
      <c r="Y923" s="221"/>
      <c r="Z923" s="221"/>
    </row>
    <row r="924" spans="1:26" ht="18.75" customHeight="1">
      <c r="A924" s="221"/>
      <c r="B924" s="221"/>
      <c r="C924" s="221"/>
      <c r="D924" s="221"/>
      <c r="E924" s="221"/>
      <c r="F924" s="221"/>
      <c r="G924" s="221"/>
      <c r="H924" s="221"/>
      <c r="I924" s="221"/>
      <c r="J924" s="221"/>
      <c r="K924" s="221"/>
      <c r="L924" s="221"/>
      <c r="M924" s="221"/>
      <c r="N924" s="221"/>
      <c r="O924" s="221"/>
      <c r="P924" s="221"/>
      <c r="Q924" s="221"/>
      <c r="R924" s="221"/>
      <c r="S924" s="221"/>
      <c r="T924" s="221"/>
      <c r="U924" s="221"/>
      <c r="V924" s="221"/>
      <c r="W924" s="221"/>
      <c r="X924" s="221"/>
      <c r="Y924" s="221"/>
      <c r="Z924" s="221"/>
    </row>
    <row r="925" spans="1:26" ht="18.75" customHeight="1">
      <c r="A925" s="221"/>
      <c r="B925" s="221"/>
      <c r="C925" s="221"/>
      <c r="D925" s="221"/>
      <c r="E925" s="221"/>
      <c r="F925" s="221"/>
      <c r="G925" s="221"/>
      <c r="H925" s="221"/>
      <c r="I925" s="221"/>
      <c r="J925" s="221"/>
      <c r="K925" s="221"/>
      <c r="L925" s="221"/>
      <c r="M925" s="221"/>
      <c r="N925" s="221"/>
      <c r="O925" s="221"/>
      <c r="P925" s="221"/>
      <c r="Q925" s="221"/>
      <c r="R925" s="221"/>
      <c r="S925" s="221"/>
      <c r="T925" s="221"/>
      <c r="U925" s="221"/>
      <c r="V925" s="221"/>
      <c r="W925" s="221"/>
      <c r="X925" s="221"/>
      <c r="Y925" s="221"/>
      <c r="Z925" s="221"/>
    </row>
    <row r="926" spans="1:26" ht="18.75" customHeight="1">
      <c r="A926" s="221"/>
      <c r="B926" s="221"/>
      <c r="C926" s="221"/>
      <c r="D926" s="221"/>
      <c r="E926" s="221"/>
      <c r="F926" s="221"/>
      <c r="G926" s="221"/>
      <c r="H926" s="221"/>
      <c r="I926" s="221"/>
      <c r="J926" s="221"/>
      <c r="K926" s="221"/>
      <c r="L926" s="221"/>
      <c r="M926" s="221"/>
      <c r="N926" s="221"/>
      <c r="O926" s="221"/>
      <c r="P926" s="221"/>
      <c r="Q926" s="221"/>
      <c r="R926" s="221"/>
      <c r="S926" s="221"/>
      <c r="T926" s="221"/>
      <c r="U926" s="221"/>
      <c r="V926" s="221"/>
      <c r="W926" s="221"/>
      <c r="X926" s="221"/>
      <c r="Y926" s="221"/>
      <c r="Z926" s="221"/>
    </row>
    <row r="927" spans="1:26" ht="18.75" customHeight="1">
      <c r="A927" s="221"/>
      <c r="B927" s="221"/>
      <c r="C927" s="221"/>
      <c r="D927" s="221"/>
      <c r="E927" s="221"/>
      <c r="F927" s="221"/>
      <c r="G927" s="221"/>
      <c r="H927" s="221"/>
      <c r="I927" s="221"/>
      <c r="J927" s="221"/>
      <c r="K927" s="221"/>
      <c r="L927" s="221"/>
      <c r="M927" s="221"/>
      <c r="N927" s="221"/>
      <c r="O927" s="221"/>
      <c r="P927" s="221"/>
      <c r="Q927" s="221"/>
      <c r="R927" s="221"/>
      <c r="S927" s="221"/>
      <c r="T927" s="221"/>
      <c r="U927" s="221"/>
      <c r="V927" s="221"/>
      <c r="W927" s="221"/>
      <c r="X927" s="221"/>
      <c r="Y927" s="221"/>
      <c r="Z927" s="221"/>
    </row>
    <row r="928" spans="1:26" ht="18.75" customHeight="1">
      <c r="A928" s="221"/>
      <c r="B928" s="221"/>
      <c r="C928" s="221"/>
      <c r="D928" s="221"/>
      <c r="E928" s="221"/>
      <c r="F928" s="221"/>
      <c r="G928" s="221"/>
      <c r="H928" s="221"/>
      <c r="I928" s="221"/>
      <c r="J928" s="221"/>
      <c r="K928" s="221"/>
      <c r="L928" s="221"/>
      <c r="M928" s="221"/>
      <c r="N928" s="221"/>
      <c r="O928" s="221"/>
      <c r="P928" s="221"/>
      <c r="Q928" s="221"/>
      <c r="R928" s="221"/>
      <c r="S928" s="221"/>
      <c r="T928" s="221"/>
      <c r="U928" s="221"/>
      <c r="V928" s="221"/>
      <c r="W928" s="221"/>
      <c r="X928" s="221"/>
      <c r="Y928" s="221"/>
      <c r="Z928" s="221"/>
    </row>
    <row r="929" spans="1:26" ht="18.75" customHeight="1">
      <c r="A929" s="221"/>
      <c r="B929" s="221"/>
      <c r="C929" s="221"/>
      <c r="D929" s="221"/>
      <c r="E929" s="221"/>
      <c r="F929" s="221"/>
      <c r="G929" s="221"/>
      <c r="H929" s="221"/>
      <c r="I929" s="221"/>
      <c r="J929" s="221"/>
      <c r="K929" s="221"/>
      <c r="L929" s="221"/>
      <c r="M929" s="221"/>
      <c r="N929" s="221"/>
      <c r="O929" s="221"/>
      <c r="P929" s="221"/>
      <c r="Q929" s="221"/>
      <c r="R929" s="221"/>
      <c r="S929" s="221"/>
      <c r="T929" s="221"/>
      <c r="U929" s="221"/>
      <c r="V929" s="221"/>
      <c r="W929" s="221"/>
      <c r="X929" s="221"/>
      <c r="Y929" s="221"/>
      <c r="Z929" s="221"/>
    </row>
    <row r="930" spans="1:26" ht="18.75" customHeight="1">
      <c r="A930" s="221"/>
      <c r="B930" s="221"/>
      <c r="C930" s="221"/>
      <c r="D930" s="221"/>
      <c r="E930" s="221"/>
      <c r="F930" s="221"/>
      <c r="G930" s="221"/>
      <c r="H930" s="221"/>
      <c r="I930" s="221"/>
      <c r="J930" s="221"/>
      <c r="K930" s="221"/>
      <c r="L930" s="221"/>
      <c r="M930" s="221"/>
      <c r="N930" s="221"/>
      <c r="O930" s="221"/>
      <c r="P930" s="221"/>
      <c r="Q930" s="221"/>
      <c r="R930" s="221"/>
      <c r="S930" s="221"/>
      <c r="T930" s="221"/>
      <c r="U930" s="221"/>
      <c r="V930" s="221"/>
      <c r="W930" s="221"/>
      <c r="X930" s="221"/>
      <c r="Y930" s="221"/>
      <c r="Z930" s="221"/>
    </row>
    <row r="931" spans="1:26" ht="18.75" customHeight="1">
      <c r="A931" s="221"/>
      <c r="B931" s="221"/>
      <c r="C931" s="221"/>
      <c r="D931" s="221"/>
      <c r="E931" s="221"/>
      <c r="F931" s="221"/>
      <c r="G931" s="221"/>
      <c r="H931" s="221"/>
      <c r="I931" s="221"/>
      <c r="J931" s="221"/>
      <c r="K931" s="221"/>
      <c r="L931" s="221"/>
      <c r="M931" s="221"/>
      <c r="N931" s="221"/>
      <c r="O931" s="221"/>
      <c r="P931" s="221"/>
      <c r="Q931" s="221"/>
      <c r="R931" s="221"/>
      <c r="S931" s="221"/>
      <c r="T931" s="221"/>
      <c r="U931" s="221"/>
      <c r="V931" s="221"/>
      <c r="W931" s="221"/>
      <c r="X931" s="221"/>
      <c r="Y931" s="221"/>
      <c r="Z931" s="221"/>
    </row>
    <row r="932" spans="1:26" ht="18.75" customHeight="1">
      <c r="A932" s="221"/>
      <c r="B932" s="221"/>
      <c r="C932" s="221"/>
      <c r="D932" s="221"/>
      <c r="E932" s="221"/>
      <c r="F932" s="221"/>
      <c r="G932" s="221"/>
      <c r="H932" s="221"/>
      <c r="I932" s="221"/>
      <c r="J932" s="221"/>
      <c r="K932" s="221"/>
      <c r="L932" s="221"/>
      <c r="M932" s="221"/>
      <c r="N932" s="221"/>
      <c r="O932" s="221"/>
      <c r="P932" s="221"/>
      <c r="Q932" s="221"/>
      <c r="R932" s="221"/>
      <c r="S932" s="221"/>
      <c r="T932" s="221"/>
      <c r="U932" s="221"/>
      <c r="V932" s="221"/>
      <c r="W932" s="221"/>
      <c r="X932" s="221"/>
      <c r="Y932" s="221"/>
      <c r="Z932" s="221"/>
    </row>
    <row r="933" spans="1:26" ht="18.75" customHeight="1">
      <c r="A933" s="221"/>
      <c r="B933" s="221"/>
      <c r="C933" s="221"/>
      <c r="D933" s="221"/>
      <c r="E933" s="221"/>
      <c r="F933" s="221"/>
      <c r="G933" s="221"/>
      <c r="H933" s="221"/>
      <c r="I933" s="221"/>
      <c r="J933" s="221"/>
      <c r="K933" s="221"/>
      <c r="L933" s="221"/>
      <c r="M933" s="221"/>
      <c r="N933" s="221"/>
      <c r="O933" s="221"/>
      <c r="P933" s="221"/>
      <c r="Q933" s="221"/>
      <c r="R933" s="221"/>
      <c r="S933" s="221"/>
      <c r="T933" s="221"/>
      <c r="U933" s="221"/>
      <c r="V933" s="221"/>
      <c r="W933" s="221"/>
      <c r="X933" s="221"/>
      <c r="Y933" s="221"/>
      <c r="Z933" s="221"/>
    </row>
    <row r="934" spans="1:26" ht="18.75" customHeight="1">
      <c r="A934" s="221"/>
      <c r="B934" s="221"/>
      <c r="C934" s="221"/>
      <c r="D934" s="221"/>
      <c r="E934" s="221"/>
      <c r="F934" s="221"/>
      <c r="G934" s="221"/>
      <c r="H934" s="221"/>
      <c r="I934" s="221"/>
      <c r="J934" s="221"/>
      <c r="K934" s="221"/>
      <c r="L934" s="221"/>
      <c r="M934" s="221"/>
      <c r="N934" s="221"/>
      <c r="O934" s="221"/>
      <c r="P934" s="221"/>
      <c r="Q934" s="221"/>
      <c r="R934" s="221"/>
      <c r="S934" s="221"/>
      <c r="T934" s="221"/>
      <c r="U934" s="221"/>
      <c r="V934" s="221"/>
      <c r="W934" s="221"/>
      <c r="X934" s="221"/>
      <c r="Y934" s="221"/>
      <c r="Z934" s="221"/>
    </row>
    <row r="935" spans="1:26" ht="18.75" customHeight="1">
      <c r="A935" s="221"/>
      <c r="B935" s="221"/>
      <c r="C935" s="221"/>
      <c r="D935" s="221"/>
      <c r="E935" s="221"/>
      <c r="F935" s="221"/>
      <c r="G935" s="221"/>
      <c r="H935" s="221"/>
      <c r="I935" s="221"/>
      <c r="J935" s="221"/>
      <c r="K935" s="221"/>
      <c r="L935" s="221"/>
      <c r="M935" s="221"/>
      <c r="N935" s="221"/>
      <c r="O935" s="221"/>
      <c r="P935" s="221"/>
      <c r="Q935" s="221"/>
      <c r="R935" s="221"/>
      <c r="S935" s="221"/>
      <c r="T935" s="221"/>
      <c r="U935" s="221"/>
      <c r="V935" s="221"/>
      <c r="W935" s="221"/>
      <c r="X935" s="221"/>
      <c r="Y935" s="221"/>
      <c r="Z935" s="221"/>
    </row>
    <row r="936" spans="1:26" ht="18.75" customHeight="1">
      <c r="A936" s="221"/>
      <c r="B936" s="221"/>
      <c r="C936" s="221"/>
      <c r="D936" s="221"/>
      <c r="E936" s="221"/>
      <c r="F936" s="221"/>
      <c r="G936" s="221"/>
      <c r="H936" s="221"/>
      <c r="I936" s="221"/>
      <c r="J936" s="221"/>
      <c r="K936" s="221"/>
      <c r="L936" s="221"/>
      <c r="M936" s="221"/>
      <c r="N936" s="221"/>
      <c r="O936" s="221"/>
      <c r="P936" s="221"/>
      <c r="Q936" s="221"/>
      <c r="R936" s="221"/>
      <c r="S936" s="221"/>
      <c r="T936" s="221"/>
      <c r="U936" s="221"/>
      <c r="V936" s="221"/>
      <c r="W936" s="221"/>
      <c r="X936" s="221"/>
      <c r="Y936" s="221"/>
      <c r="Z936" s="221"/>
    </row>
    <row r="937" spans="1:26" ht="18.75" customHeight="1">
      <c r="A937" s="221"/>
      <c r="B937" s="221"/>
      <c r="C937" s="221"/>
      <c r="D937" s="221"/>
      <c r="E937" s="221"/>
      <c r="F937" s="221"/>
      <c r="G937" s="221"/>
      <c r="H937" s="221"/>
      <c r="I937" s="221"/>
      <c r="J937" s="221"/>
      <c r="K937" s="221"/>
      <c r="L937" s="221"/>
      <c r="M937" s="221"/>
      <c r="N937" s="221"/>
      <c r="O937" s="221"/>
      <c r="P937" s="221"/>
      <c r="Q937" s="221"/>
      <c r="R937" s="221"/>
      <c r="S937" s="221"/>
      <c r="T937" s="221"/>
      <c r="U937" s="221"/>
      <c r="V937" s="221"/>
      <c r="W937" s="221"/>
      <c r="X937" s="221"/>
      <c r="Y937" s="221"/>
      <c r="Z937" s="221"/>
    </row>
    <row r="938" spans="1:26" ht="18.75" customHeight="1">
      <c r="A938" s="221"/>
      <c r="B938" s="221"/>
      <c r="C938" s="221"/>
      <c r="D938" s="221"/>
      <c r="E938" s="221"/>
      <c r="F938" s="221"/>
      <c r="G938" s="221"/>
      <c r="H938" s="221"/>
      <c r="I938" s="221"/>
      <c r="J938" s="221"/>
      <c r="K938" s="221"/>
      <c r="L938" s="221"/>
      <c r="M938" s="221"/>
      <c r="N938" s="221"/>
      <c r="O938" s="221"/>
      <c r="P938" s="221"/>
      <c r="Q938" s="221"/>
      <c r="R938" s="221"/>
      <c r="S938" s="221"/>
      <c r="T938" s="221"/>
      <c r="U938" s="221"/>
      <c r="V938" s="221"/>
      <c r="W938" s="221"/>
      <c r="X938" s="221"/>
      <c r="Y938" s="221"/>
      <c r="Z938" s="221"/>
    </row>
    <row r="939" spans="1:26" ht="18.75" customHeight="1">
      <c r="A939" s="221"/>
      <c r="B939" s="221"/>
      <c r="C939" s="221"/>
      <c r="D939" s="221"/>
      <c r="E939" s="221"/>
      <c r="F939" s="221"/>
      <c r="G939" s="221"/>
      <c r="H939" s="221"/>
      <c r="I939" s="221"/>
      <c r="J939" s="221"/>
      <c r="K939" s="221"/>
      <c r="L939" s="221"/>
      <c r="M939" s="221"/>
      <c r="N939" s="221"/>
      <c r="O939" s="221"/>
      <c r="P939" s="221"/>
      <c r="Q939" s="221"/>
      <c r="R939" s="221"/>
      <c r="S939" s="221"/>
      <c r="T939" s="221"/>
      <c r="U939" s="221"/>
      <c r="V939" s="221"/>
      <c r="W939" s="221"/>
      <c r="X939" s="221"/>
      <c r="Y939" s="221"/>
      <c r="Z939" s="221"/>
    </row>
    <row r="940" spans="1:26" ht="18.75" customHeight="1">
      <c r="A940" s="221"/>
      <c r="B940" s="221"/>
      <c r="C940" s="221"/>
      <c r="D940" s="221"/>
      <c r="E940" s="221"/>
      <c r="F940" s="221"/>
      <c r="G940" s="221"/>
      <c r="H940" s="221"/>
      <c r="I940" s="221"/>
      <c r="J940" s="221"/>
      <c r="K940" s="221"/>
      <c r="L940" s="221"/>
      <c r="M940" s="221"/>
      <c r="N940" s="221"/>
      <c r="O940" s="221"/>
      <c r="P940" s="221"/>
      <c r="Q940" s="221"/>
      <c r="R940" s="221"/>
      <c r="S940" s="221"/>
      <c r="T940" s="221"/>
      <c r="U940" s="221"/>
      <c r="V940" s="221"/>
      <c r="W940" s="221"/>
      <c r="X940" s="221"/>
      <c r="Y940" s="221"/>
      <c r="Z940" s="221"/>
    </row>
    <row r="941" spans="1:26" ht="18.75" customHeight="1">
      <c r="A941" s="221"/>
      <c r="B941" s="221"/>
      <c r="C941" s="221"/>
      <c r="D941" s="221"/>
      <c r="E941" s="221"/>
      <c r="F941" s="221"/>
      <c r="G941" s="221"/>
      <c r="H941" s="221"/>
      <c r="I941" s="221"/>
      <c r="J941" s="221"/>
      <c r="K941" s="221"/>
      <c r="L941" s="221"/>
      <c r="M941" s="221"/>
      <c r="N941" s="221"/>
      <c r="O941" s="221"/>
      <c r="P941" s="221"/>
      <c r="Q941" s="221"/>
      <c r="R941" s="221"/>
      <c r="S941" s="221"/>
      <c r="T941" s="221"/>
      <c r="U941" s="221"/>
      <c r="V941" s="221"/>
      <c r="W941" s="221"/>
      <c r="X941" s="221"/>
      <c r="Y941" s="221"/>
      <c r="Z941" s="221"/>
    </row>
    <row r="942" spans="1:26" ht="18.75" customHeight="1">
      <c r="A942" s="221"/>
      <c r="B942" s="221"/>
      <c r="C942" s="221"/>
      <c r="D942" s="221"/>
      <c r="E942" s="221"/>
      <c r="F942" s="221"/>
      <c r="G942" s="221"/>
      <c r="H942" s="221"/>
      <c r="I942" s="221"/>
      <c r="J942" s="221"/>
      <c r="K942" s="221"/>
      <c r="L942" s="221"/>
      <c r="M942" s="221"/>
      <c r="N942" s="221"/>
      <c r="O942" s="221"/>
      <c r="P942" s="221"/>
      <c r="Q942" s="221"/>
      <c r="R942" s="221"/>
      <c r="S942" s="221"/>
      <c r="T942" s="221"/>
      <c r="U942" s="221"/>
      <c r="V942" s="221"/>
      <c r="W942" s="221"/>
      <c r="X942" s="221"/>
      <c r="Y942" s="221"/>
      <c r="Z942" s="221"/>
    </row>
    <row r="943" spans="1:26" ht="18.75" customHeight="1">
      <c r="A943" s="221"/>
      <c r="B943" s="221"/>
      <c r="C943" s="221"/>
      <c r="D943" s="221"/>
      <c r="E943" s="221"/>
      <c r="F943" s="221"/>
      <c r="G943" s="221"/>
      <c r="H943" s="221"/>
      <c r="I943" s="221"/>
      <c r="J943" s="221"/>
      <c r="K943" s="221"/>
      <c r="L943" s="221"/>
      <c r="M943" s="221"/>
      <c r="N943" s="221"/>
      <c r="O943" s="221"/>
      <c r="P943" s="221"/>
      <c r="Q943" s="221"/>
      <c r="R943" s="221"/>
      <c r="S943" s="221"/>
      <c r="T943" s="221"/>
      <c r="U943" s="221"/>
      <c r="V943" s="221"/>
      <c r="W943" s="221"/>
      <c r="X943" s="221"/>
      <c r="Y943" s="221"/>
      <c r="Z943" s="221"/>
    </row>
    <row r="944" spans="1:26" ht="18.75" customHeight="1">
      <c r="A944" s="221"/>
      <c r="B944" s="221"/>
      <c r="C944" s="221"/>
      <c r="D944" s="221"/>
      <c r="E944" s="221"/>
      <c r="F944" s="221"/>
      <c r="G944" s="221"/>
      <c r="H944" s="221"/>
      <c r="I944" s="221"/>
      <c r="J944" s="221"/>
      <c r="K944" s="221"/>
      <c r="L944" s="221"/>
      <c r="M944" s="221"/>
      <c r="N944" s="221"/>
      <c r="O944" s="221"/>
      <c r="P944" s="221"/>
      <c r="Q944" s="221"/>
      <c r="R944" s="221"/>
      <c r="S944" s="221"/>
      <c r="T944" s="221"/>
      <c r="U944" s="221"/>
      <c r="V944" s="221"/>
      <c r="W944" s="221"/>
      <c r="X944" s="221"/>
      <c r="Y944" s="221"/>
      <c r="Z944" s="221"/>
    </row>
    <row r="945" spans="1:26" ht="18.75" customHeight="1">
      <c r="A945" s="221"/>
      <c r="B945" s="221"/>
      <c r="C945" s="221"/>
      <c r="D945" s="221"/>
      <c r="E945" s="221"/>
      <c r="F945" s="221"/>
      <c r="G945" s="221"/>
      <c r="H945" s="221"/>
      <c r="I945" s="221"/>
      <c r="J945" s="221"/>
      <c r="K945" s="221"/>
      <c r="L945" s="221"/>
      <c r="M945" s="221"/>
      <c r="N945" s="221"/>
      <c r="O945" s="221"/>
      <c r="P945" s="221"/>
      <c r="Q945" s="221"/>
      <c r="R945" s="221"/>
      <c r="S945" s="221"/>
      <c r="T945" s="221"/>
      <c r="U945" s="221"/>
      <c r="V945" s="221"/>
      <c r="W945" s="221"/>
      <c r="X945" s="221"/>
      <c r="Y945" s="221"/>
      <c r="Z945" s="221"/>
    </row>
    <row r="946" spans="1:26" ht="18.75" customHeight="1">
      <c r="A946" s="221"/>
      <c r="B946" s="221"/>
      <c r="C946" s="221"/>
      <c r="D946" s="221"/>
      <c r="E946" s="221"/>
      <c r="F946" s="221"/>
      <c r="G946" s="221"/>
      <c r="H946" s="221"/>
      <c r="I946" s="221"/>
      <c r="J946" s="221"/>
      <c r="K946" s="221"/>
      <c r="L946" s="221"/>
      <c r="M946" s="221"/>
      <c r="N946" s="221"/>
      <c r="O946" s="221"/>
      <c r="P946" s="221"/>
      <c r="Q946" s="221"/>
      <c r="R946" s="221"/>
      <c r="S946" s="221"/>
      <c r="T946" s="221"/>
      <c r="U946" s="221"/>
      <c r="V946" s="221"/>
      <c r="W946" s="221"/>
      <c r="X946" s="221"/>
      <c r="Y946" s="221"/>
      <c r="Z946" s="221"/>
    </row>
    <row r="947" spans="1:26" ht="18.75" customHeight="1">
      <c r="A947" s="221"/>
      <c r="B947" s="221"/>
      <c r="C947" s="221"/>
      <c r="D947" s="221"/>
      <c r="E947" s="221"/>
      <c r="F947" s="221"/>
      <c r="G947" s="221"/>
      <c r="H947" s="221"/>
      <c r="I947" s="221"/>
      <c r="J947" s="221"/>
      <c r="K947" s="221"/>
      <c r="L947" s="221"/>
      <c r="M947" s="221"/>
      <c r="N947" s="221"/>
      <c r="O947" s="221"/>
      <c r="P947" s="221"/>
      <c r="Q947" s="221"/>
      <c r="R947" s="221"/>
      <c r="S947" s="221"/>
      <c r="T947" s="221"/>
      <c r="U947" s="221"/>
      <c r="V947" s="221"/>
      <c r="W947" s="221"/>
      <c r="X947" s="221"/>
      <c r="Y947" s="221"/>
      <c r="Z947" s="221"/>
    </row>
    <row r="948" spans="1:26" ht="18.75" customHeight="1">
      <c r="A948" s="221"/>
      <c r="B948" s="221"/>
      <c r="C948" s="221"/>
      <c r="D948" s="221"/>
      <c r="E948" s="221"/>
      <c r="F948" s="221"/>
      <c r="G948" s="221"/>
      <c r="H948" s="221"/>
      <c r="I948" s="221"/>
      <c r="J948" s="221"/>
      <c r="K948" s="221"/>
      <c r="L948" s="221"/>
      <c r="M948" s="221"/>
      <c r="N948" s="221"/>
      <c r="O948" s="221"/>
      <c r="P948" s="221"/>
      <c r="Q948" s="221"/>
      <c r="R948" s="221"/>
      <c r="S948" s="221"/>
      <c r="T948" s="221"/>
      <c r="U948" s="221"/>
      <c r="V948" s="221"/>
      <c r="W948" s="221"/>
      <c r="X948" s="221"/>
      <c r="Y948" s="221"/>
      <c r="Z948" s="221"/>
    </row>
    <row r="949" spans="1:26" ht="18.75" customHeight="1">
      <c r="A949" s="221"/>
      <c r="B949" s="221"/>
      <c r="C949" s="221"/>
      <c r="D949" s="221"/>
      <c r="E949" s="221"/>
      <c r="F949" s="221"/>
      <c r="G949" s="221"/>
      <c r="H949" s="221"/>
      <c r="I949" s="221"/>
      <c r="J949" s="221"/>
      <c r="K949" s="221"/>
      <c r="L949" s="221"/>
      <c r="M949" s="221"/>
      <c r="N949" s="221"/>
      <c r="O949" s="221"/>
      <c r="P949" s="221"/>
      <c r="Q949" s="221"/>
      <c r="R949" s="221"/>
      <c r="S949" s="221"/>
      <c r="T949" s="221"/>
      <c r="U949" s="221"/>
      <c r="V949" s="221"/>
      <c r="W949" s="221"/>
      <c r="X949" s="221"/>
      <c r="Y949" s="221"/>
      <c r="Z949" s="221"/>
    </row>
    <row r="950" spans="1:26" ht="18.75" customHeight="1">
      <c r="A950" s="221"/>
      <c r="B950" s="221"/>
      <c r="C950" s="221"/>
      <c r="D950" s="221"/>
      <c r="E950" s="221"/>
      <c r="F950" s="221"/>
      <c r="G950" s="221"/>
      <c r="H950" s="221"/>
      <c r="I950" s="221"/>
      <c r="J950" s="221"/>
      <c r="K950" s="221"/>
      <c r="L950" s="221"/>
      <c r="M950" s="221"/>
      <c r="N950" s="221"/>
      <c r="O950" s="221"/>
      <c r="P950" s="221"/>
      <c r="Q950" s="221"/>
      <c r="R950" s="221"/>
      <c r="S950" s="221"/>
      <c r="T950" s="221"/>
      <c r="U950" s="221"/>
      <c r="V950" s="221"/>
      <c r="W950" s="221"/>
      <c r="X950" s="221"/>
      <c r="Y950" s="221"/>
      <c r="Z950" s="221"/>
    </row>
    <row r="951" spans="1:26" ht="18.75" customHeight="1">
      <c r="A951" s="221"/>
      <c r="B951" s="221"/>
      <c r="C951" s="221"/>
      <c r="D951" s="221"/>
      <c r="E951" s="221"/>
      <c r="F951" s="221"/>
      <c r="G951" s="221"/>
      <c r="H951" s="221"/>
      <c r="I951" s="221"/>
      <c r="J951" s="221"/>
      <c r="K951" s="221"/>
      <c r="L951" s="221"/>
      <c r="M951" s="221"/>
      <c r="N951" s="221"/>
      <c r="O951" s="221"/>
      <c r="P951" s="221"/>
      <c r="Q951" s="221"/>
      <c r="R951" s="221"/>
      <c r="S951" s="221"/>
      <c r="T951" s="221"/>
      <c r="U951" s="221"/>
      <c r="V951" s="221"/>
      <c r="W951" s="221"/>
      <c r="X951" s="221"/>
      <c r="Y951" s="221"/>
      <c r="Z951" s="221"/>
    </row>
    <row r="952" spans="1:26" ht="18.75" customHeight="1">
      <c r="A952" s="221"/>
      <c r="B952" s="221"/>
      <c r="C952" s="221"/>
      <c r="D952" s="221"/>
      <c r="E952" s="221"/>
      <c r="F952" s="221"/>
      <c r="G952" s="221"/>
      <c r="H952" s="221"/>
      <c r="I952" s="221"/>
      <c r="J952" s="221"/>
      <c r="K952" s="221"/>
      <c r="L952" s="221"/>
      <c r="M952" s="221"/>
      <c r="N952" s="221"/>
      <c r="O952" s="221"/>
      <c r="P952" s="221"/>
      <c r="Q952" s="221"/>
      <c r="R952" s="221"/>
      <c r="S952" s="221"/>
      <c r="T952" s="221"/>
      <c r="U952" s="221"/>
      <c r="V952" s="221"/>
      <c r="W952" s="221"/>
      <c r="X952" s="221"/>
      <c r="Y952" s="221"/>
      <c r="Z952" s="221"/>
    </row>
    <row r="953" spans="1:26" ht="18.75" customHeight="1">
      <c r="A953" s="221"/>
      <c r="B953" s="221"/>
      <c r="C953" s="221"/>
      <c r="D953" s="221"/>
      <c r="E953" s="221"/>
      <c r="F953" s="221"/>
      <c r="G953" s="221"/>
      <c r="H953" s="221"/>
      <c r="I953" s="221"/>
      <c r="J953" s="221"/>
      <c r="K953" s="221"/>
      <c r="L953" s="221"/>
      <c r="M953" s="221"/>
      <c r="N953" s="221"/>
      <c r="O953" s="221"/>
      <c r="P953" s="221"/>
      <c r="Q953" s="221"/>
      <c r="R953" s="221"/>
      <c r="S953" s="221"/>
      <c r="T953" s="221"/>
      <c r="U953" s="221"/>
      <c r="V953" s="221"/>
      <c r="W953" s="221"/>
      <c r="X953" s="221"/>
      <c r="Y953" s="221"/>
      <c r="Z953" s="221"/>
    </row>
    <row r="954" spans="1:26" ht="18.75" customHeight="1">
      <c r="A954" s="221"/>
      <c r="B954" s="221"/>
      <c r="C954" s="221"/>
      <c r="D954" s="221"/>
      <c r="E954" s="221"/>
      <c r="F954" s="221"/>
      <c r="G954" s="221"/>
      <c r="H954" s="221"/>
      <c r="I954" s="221"/>
      <c r="J954" s="221"/>
      <c r="K954" s="221"/>
      <c r="L954" s="221"/>
      <c r="M954" s="221"/>
      <c r="N954" s="221"/>
      <c r="O954" s="221"/>
      <c r="P954" s="221"/>
      <c r="Q954" s="221"/>
      <c r="R954" s="221"/>
      <c r="S954" s="221"/>
      <c r="T954" s="221"/>
      <c r="U954" s="221"/>
      <c r="V954" s="221"/>
      <c r="W954" s="221"/>
      <c r="X954" s="221"/>
      <c r="Y954" s="221"/>
      <c r="Z954" s="221"/>
    </row>
    <row r="955" spans="1:26" ht="18.75" customHeight="1">
      <c r="A955" s="221"/>
      <c r="B955" s="221"/>
      <c r="C955" s="221"/>
      <c r="D955" s="221"/>
      <c r="E955" s="221"/>
      <c r="F955" s="221"/>
      <c r="G955" s="221"/>
      <c r="H955" s="221"/>
      <c r="I955" s="221"/>
      <c r="J955" s="221"/>
      <c r="K955" s="221"/>
      <c r="L955" s="221"/>
      <c r="M955" s="221"/>
      <c r="N955" s="221"/>
      <c r="O955" s="221"/>
      <c r="P955" s="221"/>
      <c r="Q955" s="221"/>
      <c r="R955" s="221"/>
      <c r="S955" s="221"/>
      <c r="T955" s="221"/>
      <c r="U955" s="221"/>
      <c r="V955" s="221"/>
      <c r="W955" s="221"/>
      <c r="X955" s="221"/>
      <c r="Y955" s="221"/>
      <c r="Z955" s="221"/>
    </row>
    <row r="956" spans="1:26" ht="18.75" customHeight="1">
      <c r="A956" s="221"/>
      <c r="B956" s="221"/>
      <c r="C956" s="221"/>
      <c r="D956" s="221"/>
      <c r="E956" s="221"/>
      <c r="F956" s="221"/>
      <c r="G956" s="221"/>
      <c r="H956" s="221"/>
      <c r="I956" s="221"/>
      <c r="J956" s="221"/>
      <c r="K956" s="221"/>
      <c r="L956" s="221"/>
      <c r="M956" s="221"/>
      <c r="N956" s="221"/>
      <c r="O956" s="221"/>
      <c r="P956" s="221"/>
      <c r="Q956" s="221"/>
      <c r="R956" s="221"/>
      <c r="S956" s="221"/>
      <c r="T956" s="221"/>
      <c r="U956" s="221"/>
      <c r="V956" s="221"/>
      <c r="W956" s="221"/>
      <c r="X956" s="221"/>
      <c r="Y956" s="221"/>
      <c r="Z956" s="221"/>
    </row>
    <row r="957" spans="1:26" ht="18.75" customHeight="1">
      <c r="A957" s="221"/>
      <c r="B957" s="221"/>
      <c r="C957" s="221"/>
      <c r="D957" s="221"/>
      <c r="E957" s="221"/>
      <c r="F957" s="221"/>
      <c r="G957" s="221"/>
      <c r="H957" s="221"/>
      <c r="I957" s="221"/>
      <c r="J957" s="221"/>
      <c r="K957" s="221"/>
      <c r="L957" s="221"/>
      <c r="M957" s="221"/>
      <c r="N957" s="221"/>
      <c r="O957" s="221"/>
      <c r="P957" s="221"/>
      <c r="Q957" s="221"/>
      <c r="R957" s="221"/>
      <c r="S957" s="221"/>
      <c r="T957" s="221"/>
      <c r="U957" s="221"/>
      <c r="V957" s="221"/>
      <c r="W957" s="221"/>
      <c r="X957" s="221"/>
      <c r="Y957" s="221"/>
      <c r="Z957" s="221"/>
    </row>
    <row r="958" spans="1:26" ht="18.75" customHeight="1">
      <c r="A958" s="221"/>
      <c r="B958" s="221"/>
      <c r="C958" s="221"/>
      <c r="D958" s="221"/>
      <c r="E958" s="221"/>
      <c r="F958" s="221"/>
      <c r="G958" s="221"/>
      <c r="H958" s="221"/>
      <c r="I958" s="221"/>
      <c r="J958" s="221"/>
      <c r="K958" s="221"/>
      <c r="L958" s="221"/>
      <c r="M958" s="221"/>
      <c r="N958" s="221"/>
      <c r="O958" s="221"/>
      <c r="P958" s="221"/>
      <c r="Q958" s="221"/>
      <c r="R958" s="221"/>
      <c r="S958" s="221"/>
      <c r="T958" s="221"/>
      <c r="U958" s="221"/>
      <c r="V958" s="221"/>
      <c r="W958" s="221"/>
      <c r="X958" s="221"/>
      <c r="Y958" s="221"/>
      <c r="Z958" s="221"/>
    </row>
    <row r="959" spans="1:26" ht="18.75" customHeight="1">
      <c r="A959" s="221"/>
      <c r="B959" s="221"/>
      <c r="C959" s="221"/>
      <c r="D959" s="221"/>
      <c r="E959" s="221"/>
      <c r="F959" s="221"/>
      <c r="G959" s="221"/>
      <c r="H959" s="221"/>
      <c r="I959" s="221"/>
      <c r="J959" s="221"/>
      <c r="K959" s="221"/>
      <c r="L959" s="221"/>
      <c r="M959" s="221"/>
      <c r="N959" s="221"/>
      <c r="O959" s="221"/>
      <c r="P959" s="221"/>
      <c r="Q959" s="221"/>
      <c r="R959" s="221"/>
      <c r="S959" s="221"/>
      <c r="T959" s="221"/>
      <c r="U959" s="221"/>
      <c r="V959" s="221"/>
      <c r="W959" s="221"/>
      <c r="X959" s="221"/>
      <c r="Y959" s="221"/>
      <c r="Z959" s="221"/>
    </row>
    <row r="960" spans="1:26" ht="18.75" customHeight="1">
      <c r="A960" s="221"/>
      <c r="B960" s="221"/>
      <c r="C960" s="221"/>
      <c r="D960" s="221"/>
      <c r="E960" s="221"/>
      <c r="F960" s="221"/>
      <c r="G960" s="221"/>
      <c r="H960" s="221"/>
      <c r="I960" s="221"/>
      <c r="J960" s="221"/>
      <c r="K960" s="221"/>
      <c r="L960" s="221"/>
      <c r="M960" s="221"/>
      <c r="N960" s="221"/>
      <c r="O960" s="221"/>
      <c r="P960" s="221"/>
      <c r="Q960" s="221"/>
      <c r="R960" s="221"/>
      <c r="S960" s="221"/>
      <c r="T960" s="221"/>
      <c r="U960" s="221"/>
      <c r="V960" s="221"/>
      <c r="W960" s="221"/>
      <c r="X960" s="221"/>
      <c r="Y960" s="221"/>
      <c r="Z960" s="221"/>
    </row>
    <row r="961" spans="1:26" ht="18.75" customHeight="1">
      <c r="A961" s="221"/>
      <c r="B961" s="221"/>
      <c r="C961" s="221"/>
      <c r="D961" s="221"/>
      <c r="E961" s="221"/>
      <c r="F961" s="221"/>
      <c r="G961" s="221"/>
      <c r="H961" s="221"/>
      <c r="I961" s="221"/>
      <c r="J961" s="221"/>
      <c r="K961" s="221"/>
      <c r="L961" s="221"/>
      <c r="M961" s="221"/>
      <c r="N961" s="221"/>
      <c r="O961" s="221"/>
      <c r="P961" s="221"/>
      <c r="Q961" s="221"/>
      <c r="R961" s="221"/>
      <c r="S961" s="221"/>
      <c r="T961" s="221"/>
      <c r="U961" s="221"/>
      <c r="V961" s="221"/>
      <c r="W961" s="221"/>
      <c r="X961" s="221"/>
      <c r="Y961" s="221"/>
      <c r="Z961" s="221"/>
    </row>
    <row r="962" spans="1:26" ht="18.75" customHeight="1">
      <c r="A962" s="221"/>
      <c r="B962" s="221"/>
      <c r="C962" s="221"/>
      <c r="D962" s="221"/>
      <c r="E962" s="221"/>
      <c r="F962" s="221"/>
      <c r="G962" s="221"/>
      <c r="H962" s="221"/>
      <c r="I962" s="221"/>
      <c r="J962" s="221"/>
      <c r="K962" s="221"/>
      <c r="L962" s="221"/>
      <c r="M962" s="221"/>
      <c r="N962" s="221"/>
      <c r="O962" s="221"/>
      <c r="P962" s="221"/>
      <c r="Q962" s="221"/>
      <c r="R962" s="221"/>
      <c r="S962" s="221"/>
      <c r="T962" s="221"/>
      <c r="U962" s="221"/>
      <c r="V962" s="221"/>
      <c r="W962" s="221"/>
      <c r="X962" s="221"/>
      <c r="Y962" s="221"/>
      <c r="Z962" s="221"/>
    </row>
    <row r="963" spans="1:26" ht="18.75" customHeight="1">
      <c r="A963" s="221"/>
      <c r="B963" s="221"/>
      <c r="C963" s="221"/>
      <c r="D963" s="221"/>
      <c r="E963" s="221"/>
      <c r="F963" s="221"/>
      <c r="G963" s="221"/>
      <c r="H963" s="221"/>
      <c r="I963" s="221"/>
      <c r="J963" s="221"/>
      <c r="K963" s="221"/>
      <c r="L963" s="221"/>
      <c r="M963" s="221"/>
      <c r="N963" s="221"/>
      <c r="O963" s="221"/>
      <c r="P963" s="221"/>
      <c r="Q963" s="221"/>
      <c r="R963" s="221"/>
      <c r="S963" s="221"/>
      <c r="T963" s="221"/>
      <c r="U963" s="221"/>
      <c r="V963" s="221"/>
      <c r="W963" s="221"/>
      <c r="X963" s="221"/>
      <c r="Y963" s="221"/>
      <c r="Z963" s="221"/>
    </row>
    <row r="964" spans="1:26" ht="18.75" customHeight="1">
      <c r="A964" s="221"/>
      <c r="B964" s="221"/>
      <c r="C964" s="221"/>
      <c r="D964" s="221"/>
      <c r="E964" s="221"/>
      <c r="F964" s="221"/>
      <c r="G964" s="221"/>
      <c r="H964" s="221"/>
      <c r="I964" s="221"/>
      <c r="J964" s="221"/>
      <c r="K964" s="221"/>
      <c r="L964" s="221"/>
      <c r="M964" s="221"/>
      <c r="N964" s="221"/>
      <c r="O964" s="221"/>
      <c r="P964" s="221"/>
      <c r="Q964" s="221"/>
      <c r="R964" s="221"/>
      <c r="S964" s="221"/>
      <c r="T964" s="221"/>
      <c r="U964" s="221"/>
      <c r="V964" s="221"/>
      <c r="W964" s="221"/>
      <c r="X964" s="221"/>
      <c r="Y964" s="221"/>
      <c r="Z964" s="221"/>
    </row>
    <row r="965" spans="1:26" ht="18.75" customHeight="1">
      <c r="A965" s="221"/>
      <c r="B965" s="221"/>
      <c r="C965" s="221"/>
      <c r="D965" s="221"/>
      <c r="E965" s="221"/>
      <c r="F965" s="221"/>
      <c r="G965" s="221"/>
      <c r="H965" s="221"/>
      <c r="I965" s="221"/>
      <c r="J965" s="221"/>
      <c r="K965" s="221"/>
      <c r="L965" s="221"/>
      <c r="M965" s="221"/>
      <c r="N965" s="221"/>
      <c r="O965" s="221"/>
      <c r="P965" s="221"/>
      <c r="Q965" s="221"/>
      <c r="R965" s="221"/>
      <c r="S965" s="221"/>
      <c r="T965" s="221"/>
      <c r="U965" s="221"/>
      <c r="V965" s="221"/>
      <c r="W965" s="221"/>
      <c r="X965" s="221"/>
      <c r="Y965" s="221"/>
      <c r="Z965" s="221"/>
    </row>
    <row r="966" spans="1:26" ht="18.75" customHeight="1">
      <c r="A966" s="221"/>
      <c r="B966" s="221"/>
      <c r="C966" s="221"/>
      <c r="D966" s="221"/>
      <c r="E966" s="221"/>
      <c r="F966" s="221"/>
      <c r="G966" s="221"/>
      <c r="H966" s="221"/>
      <c r="I966" s="221"/>
      <c r="J966" s="221"/>
      <c r="K966" s="221"/>
      <c r="L966" s="221"/>
      <c r="M966" s="221"/>
      <c r="N966" s="221"/>
      <c r="O966" s="221"/>
      <c r="P966" s="221"/>
      <c r="Q966" s="221"/>
      <c r="R966" s="221"/>
      <c r="S966" s="221"/>
      <c r="T966" s="221"/>
      <c r="U966" s="221"/>
      <c r="V966" s="221"/>
      <c r="W966" s="221"/>
      <c r="X966" s="221"/>
      <c r="Y966" s="221"/>
      <c r="Z966" s="221"/>
    </row>
    <row r="967" spans="1:26" ht="18.75" customHeight="1">
      <c r="A967" s="221"/>
      <c r="B967" s="221"/>
      <c r="C967" s="221"/>
      <c r="D967" s="221"/>
      <c r="E967" s="221"/>
      <c r="F967" s="221"/>
      <c r="G967" s="221"/>
      <c r="H967" s="221"/>
      <c r="I967" s="221"/>
      <c r="J967" s="221"/>
      <c r="K967" s="221"/>
      <c r="L967" s="221"/>
      <c r="M967" s="221"/>
      <c r="N967" s="221"/>
      <c r="O967" s="221"/>
      <c r="P967" s="221"/>
      <c r="Q967" s="221"/>
      <c r="R967" s="221"/>
      <c r="S967" s="221"/>
      <c r="T967" s="221"/>
      <c r="U967" s="221"/>
      <c r="V967" s="221"/>
      <c r="W967" s="221"/>
      <c r="X967" s="221"/>
      <c r="Y967" s="221"/>
      <c r="Z967" s="221"/>
    </row>
    <row r="968" spans="1:26" ht="18.75" customHeight="1">
      <c r="A968" s="221"/>
      <c r="B968" s="221"/>
      <c r="C968" s="221"/>
      <c r="D968" s="221"/>
      <c r="E968" s="221"/>
      <c r="F968" s="221"/>
      <c r="G968" s="221"/>
      <c r="H968" s="221"/>
      <c r="I968" s="221"/>
      <c r="J968" s="221"/>
      <c r="K968" s="221"/>
      <c r="L968" s="221"/>
      <c r="M968" s="221"/>
      <c r="N968" s="221"/>
      <c r="O968" s="221"/>
      <c r="P968" s="221"/>
      <c r="Q968" s="221"/>
      <c r="R968" s="221"/>
      <c r="S968" s="221"/>
      <c r="T968" s="221"/>
      <c r="U968" s="221"/>
      <c r="V968" s="221"/>
      <c r="W968" s="221"/>
      <c r="X968" s="221"/>
      <c r="Y968" s="221"/>
      <c r="Z968" s="221"/>
    </row>
    <row r="969" spans="1:26" ht="18.75" customHeight="1">
      <c r="A969" s="221"/>
      <c r="B969" s="221"/>
      <c r="C969" s="221"/>
      <c r="D969" s="221"/>
      <c r="E969" s="221"/>
      <c r="F969" s="221"/>
      <c r="G969" s="221"/>
      <c r="H969" s="221"/>
      <c r="I969" s="221"/>
      <c r="J969" s="221"/>
      <c r="K969" s="221"/>
      <c r="L969" s="221"/>
      <c r="M969" s="221"/>
      <c r="N969" s="221"/>
      <c r="O969" s="221"/>
      <c r="P969" s="221"/>
      <c r="Q969" s="221"/>
      <c r="R969" s="221"/>
      <c r="S969" s="221"/>
      <c r="T969" s="221"/>
      <c r="U969" s="221"/>
      <c r="V969" s="221"/>
      <c r="W969" s="221"/>
      <c r="X969" s="221"/>
      <c r="Y969" s="221"/>
      <c r="Z969" s="221"/>
    </row>
    <row r="970" spans="1:26" ht="18.75" customHeight="1">
      <c r="A970" s="221"/>
      <c r="B970" s="221"/>
      <c r="C970" s="221"/>
      <c r="D970" s="221"/>
      <c r="E970" s="221"/>
      <c r="F970" s="221"/>
      <c r="G970" s="221"/>
      <c r="H970" s="221"/>
      <c r="I970" s="221"/>
      <c r="J970" s="221"/>
      <c r="K970" s="221"/>
      <c r="L970" s="221"/>
      <c r="M970" s="221"/>
      <c r="N970" s="221"/>
      <c r="O970" s="221"/>
      <c r="P970" s="221"/>
      <c r="Q970" s="221"/>
      <c r="R970" s="221"/>
      <c r="S970" s="221"/>
      <c r="T970" s="221"/>
      <c r="U970" s="221"/>
      <c r="V970" s="221"/>
      <c r="W970" s="221"/>
      <c r="X970" s="221"/>
      <c r="Y970" s="221"/>
      <c r="Z970" s="221"/>
    </row>
    <row r="971" spans="1:26" ht="18.75" customHeight="1">
      <c r="A971" s="221"/>
      <c r="B971" s="221"/>
      <c r="C971" s="221"/>
      <c r="D971" s="221"/>
      <c r="E971" s="221"/>
      <c r="F971" s="221"/>
      <c r="G971" s="221"/>
      <c r="H971" s="221"/>
      <c r="I971" s="221"/>
      <c r="J971" s="221"/>
      <c r="K971" s="221"/>
      <c r="L971" s="221"/>
      <c r="M971" s="221"/>
      <c r="N971" s="221"/>
      <c r="O971" s="221"/>
      <c r="P971" s="221"/>
      <c r="Q971" s="221"/>
      <c r="R971" s="221"/>
      <c r="S971" s="221"/>
      <c r="T971" s="221"/>
      <c r="U971" s="221"/>
      <c r="V971" s="221"/>
      <c r="W971" s="221"/>
      <c r="X971" s="221"/>
      <c r="Y971" s="221"/>
      <c r="Z971" s="221"/>
    </row>
    <row r="972" spans="1:26" ht="18.75" customHeight="1">
      <c r="A972" s="221"/>
      <c r="B972" s="221"/>
      <c r="C972" s="221"/>
      <c r="D972" s="221"/>
      <c r="E972" s="221"/>
      <c r="F972" s="221"/>
      <c r="G972" s="221"/>
      <c r="H972" s="221"/>
      <c r="I972" s="221"/>
      <c r="J972" s="221"/>
      <c r="K972" s="221"/>
      <c r="L972" s="221"/>
      <c r="M972" s="221"/>
      <c r="N972" s="221"/>
      <c r="O972" s="221"/>
      <c r="P972" s="221"/>
      <c r="Q972" s="221"/>
      <c r="R972" s="221"/>
      <c r="S972" s="221"/>
      <c r="T972" s="221"/>
      <c r="U972" s="221"/>
      <c r="V972" s="221"/>
      <c r="W972" s="221"/>
      <c r="X972" s="221"/>
      <c r="Y972" s="221"/>
      <c r="Z972" s="221"/>
    </row>
    <row r="973" spans="1:26" ht="18.75" customHeight="1">
      <c r="A973" s="221"/>
      <c r="B973" s="221"/>
      <c r="C973" s="221"/>
      <c r="D973" s="221"/>
      <c r="E973" s="221"/>
      <c r="F973" s="221"/>
      <c r="G973" s="221"/>
      <c r="H973" s="221"/>
      <c r="I973" s="221"/>
      <c r="J973" s="221"/>
      <c r="K973" s="221"/>
      <c r="L973" s="221"/>
      <c r="M973" s="221"/>
      <c r="N973" s="221"/>
      <c r="O973" s="221"/>
      <c r="P973" s="221"/>
      <c r="Q973" s="221"/>
      <c r="R973" s="221"/>
      <c r="S973" s="221"/>
      <c r="T973" s="221"/>
      <c r="U973" s="221"/>
      <c r="V973" s="221"/>
      <c r="W973" s="221"/>
      <c r="X973" s="221"/>
      <c r="Y973" s="221"/>
      <c r="Z973" s="221"/>
    </row>
    <row r="974" spans="1:26" ht="18.75" customHeight="1">
      <c r="A974" s="221"/>
      <c r="B974" s="221"/>
      <c r="C974" s="221"/>
      <c r="D974" s="221"/>
      <c r="E974" s="221"/>
      <c r="F974" s="221"/>
      <c r="G974" s="221"/>
      <c r="H974" s="221"/>
      <c r="I974" s="221"/>
      <c r="J974" s="221"/>
      <c r="K974" s="221"/>
      <c r="L974" s="221"/>
      <c r="M974" s="221"/>
      <c r="N974" s="221"/>
      <c r="O974" s="221"/>
      <c r="P974" s="221"/>
      <c r="Q974" s="221"/>
      <c r="R974" s="221"/>
      <c r="S974" s="221"/>
      <c r="T974" s="221"/>
      <c r="U974" s="221"/>
      <c r="V974" s="221"/>
      <c r="W974" s="221"/>
      <c r="X974" s="221"/>
      <c r="Y974" s="221"/>
      <c r="Z974" s="221"/>
    </row>
    <row r="975" spans="1:26" ht="18.75" customHeight="1">
      <c r="A975" s="221"/>
      <c r="B975" s="221"/>
      <c r="C975" s="221"/>
      <c r="D975" s="221"/>
      <c r="E975" s="221"/>
      <c r="F975" s="221"/>
      <c r="G975" s="221"/>
      <c r="H975" s="221"/>
      <c r="I975" s="221"/>
      <c r="J975" s="221"/>
      <c r="K975" s="221"/>
      <c r="L975" s="221"/>
      <c r="M975" s="221"/>
      <c r="N975" s="221"/>
      <c r="O975" s="221"/>
      <c r="P975" s="221"/>
      <c r="Q975" s="221"/>
      <c r="R975" s="221"/>
      <c r="S975" s="221"/>
      <c r="T975" s="221"/>
      <c r="U975" s="221"/>
      <c r="V975" s="221"/>
      <c r="W975" s="221"/>
      <c r="X975" s="221"/>
      <c r="Y975" s="221"/>
      <c r="Z975" s="221"/>
    </row>
    <row r="976" spans="1:26" ht="18.75" customHeight="1">
      <c r="A976" s="221"/>
      <c r="B976" s="221"/>
      <c r="C976" s="221"/>
      <c r="D976" s="221"/>
      <c r="E976" s="221"/>
      <c r="F976" s="221"/>
      <c r="G976" s="221"/>
      <c r="H976" s="221"/>
      <c r="I976" s="221"/>
      <c r="J976" s="221"/>
      <c r="K976" s="221"/>
      <c r="L976" s="221"/>
      <c r="M976" s="221"/>
      <c r="N976" s="221"/>
      <c r="O976" s="221"/>
      <c r="P976" s="221"/>
      <c r="Q976" s="221"/>
      <c r="R976" s="221"/>
      <c r="S976" s="221"/>
      <c r="T976" s="221"/>
      <c r="U976" s="221"/>
      <c r="V976" s="221"/>
      <c r="W976" s="221"/>
      <c r="X976" s="221"/>
      <c r="Y976" s="221"/>
      <c r="Z976" s="221"/>
    </row>
    <row r="977" spans="1:26" ht="18.75" customHeight="1">
      <c r="A977" s="221"/>
      <c r="B977" s="221"/>
      <c r="C977" s="221"/>
      <c r="D977" s="221"/>
      <c r="E977" s="221"/>
      <c r="F977" s="221"/>
      <c r="G977" s="221"/>
      <c r="H977" s="221"/>
      <c r="I977" s="221"/>
      <c r="J977" s="221"/>
      <c r="K977" s="221"/>
      <c r="L977" s="221"/>
      <c r="M977" s="221"/>
      <c r="N977" s="221"/>
      <c r="O977" s="221"/>
      <c r="P977" s="221"/>
      <c r="Q977" s="221"/>
      <c r="R977" s="221"/>
      <c r="S977" s="221"/>
      <c r="T977" s="221"/>
      <c r="U977" s="221"/>
      <c r="V977" s="221"/>
      <c r="W977" s="221"/>
      <c r="X977" s="221"/>
      <c r="Y977" s="221"/>
      <c r="Z977" s="221"/>
    </row>
    <row r="978" spans="1:26" ht="18.75" customHeight="1">
      <c r="A978" s="221"/>
      <c r="B978" s="221"/>
      <c r="C978" s="221"/>
      <c r="D978" s="221"/>
      <c r="E978" s="221"/>
      <c r="F978" s="221"/>
      <c r="G978" s="221"/>
      <c r="H978" s="221"/>
      <c r="I978" s="221"/>
      <c r="J978" s="221"/>
      <c r="K978" s="221"/>
      <c r="L978" s="221"/>
      <c r="M978" s="221"/>
      <c r="N978" s="221"/>
      <c r="O978" s="221"/>
      <c r="P978" s="221"/>
      <c r="Q978" s="221"/>
      <c r="R978" s="221"/>
      <c r="S978" s="221"/>
      <c r="T978" s="221"/>
      <c r="U978" s="221"/>
      <c r="V978" s="221"/>
      <c r="W978" s="221"/>
      <c r="X978" s="221"/>
      <c r="Y978" s="221"/>
      <c r="Z978" s="221"/>
    </row>
    <row r="979" spans="1:26" ht="18.75" customHeight="1">
      <c r="A979" s="221"/>
      <c r="B979" s="221"/>
      <c r="C979" s="221"/>
      <c r="D979" s="221"/>
      <c r="E979" s="221"/>
      <c r="F979" s="221"/>
      <c r="G979" s="221"/>
      <c r="H979" s="221"/>
      <c r="I979" s="221"/>
      <c r="J979" s="221"/>
      <c r="K979" s="221"/>
      <c r="L979" s="221"/>
      <c r="M979" s="221"/>
      <c r="N979" s="221"/>
      <c r="O979" s="221"/>
      <c r="P979" s="221"/>
      <c r="Q979" s="221"/>
      <c r="R979" s="221"/>
      <c r="S979" s="221"/>
      <c r="T979" s="221"/>
      <c r="U979" s="221"/>
      <c r="V979" s="221"/>
      <c r="W979" s="221"/>
      <c r="X979" s="221"/>
      <c r="Y979" s="221"/>
      <c r="Z979" s="221"/>
    </row>
    <row r="980" spans="1:26" ht="18.75" customHeight="1">
      <c r="A980" s="221"/>
      <c r="B980" s="221"/>
      <c r="C980" s="221"/>
      <c r="D980" s="221"/>
      <c r="E980" s="221"/>
      <c r="F980" s="221"/>
      <c r="G980" s="221"/>
      <c r="H980" s="221"/>
      <c r="I980" s="221"/>
      <c r="J980" s="221"/>
      <c r="K980" s="221"/>
      <c r="L980" s="221"/>
      <c r="M980" s="221"/>
      <c r="N980" s="221"/>
      <c r="O980" s="221"/>
      <c r="P980" s="221"/>
      <c r="Q980" s="221"/>
      <c r="R980" s="221"/>
      <c r="S980" s="221"/>
      <c r="T980" s="221"/>
      <c r="U980" s="221"/>
      <c r="V980" s="221"/>
      <c r="W980" s="221"/>
      <c r="X980" s="221"/>
      <c r="Y980" s="221"/>
      <c r="Z980" s="221"/>
    </row>
    <row r="981" spans="1:26" ht="18.75" customHeight="1">
      <c r="A981" s="221"/>
      <c r="B981" s="221"/>
      <c r="C981" s="221"/>
      <c r="D981" s="221"/>
      <c r="E981" s="221"/>
      <c r="F981" s="221"/>
      <c r="G981" s="221"/>
      <c r="H981" s="221"/>
      <c r="I981" s="221"/>
      <c r="J981" s="221"/>
      <c r="K981" s="221"/>
      <c r="L981" s="221"/>
      <c r="M981" s="221"/>
      <c r="N981" s="221"/>
      <c r="O981" s="221"/>
      <c r="P981" s="221"/>
      <c r="Q981" s="221"/>
      <c r="R981" s="221"/>
      <c r="S981" s="221"/>
      <c r="T981" s="221"/>
      <c r="U981" s="221"/>
      <c r="V981" s="221"/>
      <c r="W981" s="221"/>
      <c r="X981" s="221"/>
      <c r="Y981" s="221"/>
      <c r="Z981" s="221"/>
    </row>
    <row r="982" spans="1:26" ht="18.75" customHeight="1">
      <c r="A982" s="221"/>
      <c r="B982" s="221"/>
      <c r="C982" s="221"/>
      <c r="D982" s="221"/>
      <c r="E982" s="221"/>
      <c r="F982" s="221"/>
      <c r="G982" s="221"/>
      <c r="H982" s="221"/>
      <c r="I982" s="221"/>
      <c r="J982" s="221"/>
      <c r="K982" s="221"/>
      <c r="L982" s="221"/>
      <c r="M982" s="221"/>
      <c r="N982" s="221"/>
      <c r="O982" s="221"/>
      <c r="P982" s="221"/>
      <c r="Q982" s="221"/>
      <c r="R982" s="221"/>
      <c r="S982" s="221"/>
      <c r="T982" s="221"/>
      <c r="U982" s="221"/>
      <c r="V982" s="221"/>
      <c r="W982" s="221"/>
      <c r="X982" s="221"/>
      <c r="Y982" s="221"/>
      <c r="Z982" s="221"/>
    </row>
    <row r="983" spans="1:26" ht="18.75" customHeight="1">
      <c r="A983" s="221"/>
      <c r="B983" s="221"/>
      <c r="C983" s="221"/>
      <c r="D983" s="221"/>
      <c r="E983" s="221"/>
      <c r="F983" s="221"/>
      <c r="G983" s="221"/>
      <c r="H983" s="221"/>
      <c r="I983" s="221"/>
      <c r="J983" s="221"/>
      <c r="K983" s="221"/>
      <c r="L983" s="221"/>
      <c r="M983" s="221"/>
      <c r="N983" s="221"/>
      <c r="O983" s="221"/>
      <c r="P983" s="221"/>
      <c r="Q983" s="221"/>
      <c r="R983" s="221"/>
      <c r="S983" s="221"/>
      <c r="T983" s="221"/>
      <c r="U983" s="221"/>
      <c r="V983" s="221"/>
      <c r="W983" s="221"/>
      <c r="X983" s="221"/>
      <c r="Y983" s="221"/>
      <c r="Z983" s="221"/>
    </row>
    <row r="984" spans="1:26" ht="18.75" customHeight="1">
      <c r="A984" s="221"/>
      <c r="B984" s="221"/>
      <c r="C984" s="221"/>
      <c r="D984" s="221"/>
      <c r="E984" s="221"/>
      <c r="F984" s="221"/>
      <c r="G984" s="221"/>
      <c r="H984" s="221"/>
      <c r="I984" s="221"/>
      <c r="J984" s="221"/>
      <c r="K984" s="221"/>
      <c r="L984" s="221"/>
      <c r="M984" s="221"/>
      <c r="N984" s="221"/>
      <c r="O984" s="221"/>
      <c r="P984" s="221"/>
      <c r="Q984" s="221"/>
      <c r="R984" s="221"/>
      <c r="S984" s="221"/>
      <c r="T984" s="221"/>
      <c r="U984" s="221"/>
      <c r="V984" s="221"/>
      <c r="W984" s="221"/>
      <c r="X984" s="221"/>
      <c r="Y984" s="221"/>
      <c r="Z984" s="221"/>
    </row>
    <row r="985" spans="1:26" ht="18.75" customHeight="1">
      <c r="A985" s="221"/>
      <c r="B985" s="221"/>
      <c r="C985" s="221"/>
      <c r="D985" s="221"/>
      <c r="E985" s="221"/>
      <c r="F985" s="221"/>
      <c r="G985" s="221"/>
      <c r="H985" s="221"/>
      <c r="I985" s="221"/>
      <c r="J985" s="221"/>
      <c r="K985" s="221"/>
      <c r="L985" s="221"/>
      <c r="M985" s="221"/>
      <c r="N985" s="221"/>
      <c r="O985" s="221"/>
      <c r="P985" s="221"/>
      <c r="Q985" s="221"/>
      <c r="R985" s="221"/>
      <c r="S985" s="221"/>
      <c r="T985" s="221"/>
      <c r="U985" s="221"/>
      <c r="V985" s="221"/>
      <c r="W985" s="221"/>
      <c r="X985" s="221"/>
      <c r="Y985" s="221"/>
      <c r="Z985" s="221"/>
    </row>
    <row r="986" spans="1:26" ht="18.75" customHeight="1">
      <c r="A986" s="221"/>
      <c r="B986" s="221"/>
      <c r="C986" s="221"/>
      <c r="D986" s="221"/>
      <c r="E986" s="221"/>
      <c r="F986" s="221"/>
      <c r="G986" s="221"/>
      <c r="H986" s="221"/>
      <c r="I986" s="221"/>
      <c r="J986" s="221"/>
      <c r="K986" s="221"/>
      <c r="L986" s="221"/>
      <c r="M986" s="221"/>
      <c r="N986" s="221"/>
      <c r="O986" s="221"/>
      <c r="P986" s="221"/>
      <c r="Q986" s="221"/>
      <c r="R986" s="221"/>
      <c r="S986" s="221"/>
      <c r="T986" s="221"/>
      <c r="U986" s="221"/>
      <c r="V986" s="221"/>
      <c r="W986" s="221"/>
      <c r="X986" s="221"/>
      <c r="Y986" s="221"/>
      <c r="Z986" s="221"/>
    </row>
    <row r="987" spans="1:26" ht="18.75" customHeight="1">
      <c r="A987" s="221"/>
      <c r="B987" s="221"/>
      <c r="C987" s="221"/>
      <c r="D987" s="221"/>
      <c r="E987" s="221"/>
      <c r="F987" s="221"/>
      <c r="G987" s="221"/>
      <c r="H987" s="221"/>
      <c r="I987" s="221"/>
      <c r="J987" s="221"/>
      <c r="K987" s="221"/>
      <c r="L987" s="221"/>
      <c r="M987" s="221"/>
      <c r="N987" s="221"/>
      <c r="O987" s="221"/>
      <c r="P987" s="221"/>
      <c r="Q987" s="221"/>
      <c r="R987" s="221"/>
      <c r="S987" s="221"/>
      <c r="T987" s="221"/>
      <c r="U987" s="221"/>
      <c r="V987" s="221"/>
      <c r="W987" s="221"/>
      <c r="X987" s="221"/>
      <c r="Y987" s="221"/>
      <c r="Z987" s="221"/>
    </row>
    <row r="988" spans="1:26" ht="18.75" customHeight="1">
      <c r="A988" s="221"/>
      <c r="B988" s="221"/>
      <c r="C988" s="221"/>
      <c r="D988" s="221"/>
      <c r="E988" s="221"/>
      <c r="F988" s="221"/>
      <c r="G988" s="221"/>
      <c r="H988" s="221"/>
      <c r="I988" s="221"/>
      <c r="J988" s="221"/>
      <c r="K988" s="221"/>
      <c r="L988" s="221"/>
      <c r="M988" s="221"/>
      <c r="N988" s="221"/>
      <c r="O988" s="221"/>
      <c r="P988" s="221"/>
      <c r="Q988" s="221"/>
      <c r="R988" s="221"/>
      <c r="S988" s="221"/>
      <c r="T988" s="221"/>
      <c r="U988" s="221"/>
      <c r="V988" s="221"/>
      <c r="W988" s="221"/>
      <c r="X988" s="221"/>
      <c r="Y988" s="221"/>
      <c r="Z988" s="221"/>
    </row>
    <row r="989" spans="1:26" ht="18.75" customHeight="1">
      <c r="A989" s="221"/>
      <c r="B989" s="221"/>
      <c r="C989" s="221"/>
      <c r="D989" s="221"/>
      <c r="E989" s="221"/>
      <c r="F989" s="221"/>
      <c r="G989" s="221"/>
      <c r="H989" s="221"/>
      <c r="I989" s="221"/>
      <c r="J989" s="221"/>
      <c r="K989" s="221"/>
      <c r="L989" s="221"/>
      <c r="M989" s="221"/>
      <c r="N989" s="221"/>
      <c r="O989" s="221"/>
      <c r="P989" s="221"/>
      <c r="Q989" s="221"/>
      <c r="R989" s="221"/>
      <c r="S989" s="221"/>
      <c r="T989" s="221"/>
      <c r="U989" s="221"/>
      <c r="V989" s="221"/>
      <c r="W989" s="221"/>
      <c r="X989" s="221"/>
      <c r="Y989" s="221"/>
      <c r="Z989" s="221"/>
    </row>
    <row r="990" spans="1:26" ht="18.75" customHeight="1">
      <c r="A990" s="221"/>
      <c r="B990" s="221"/>
      <c r="C990" s="221"/>
      <c r="D990" s="221"/>
      <c r="E990" s="221"/>
      <c r="F990" s="221"/>
      <c r="G990" s="221"/>
      <c r="H990" s="221"/>
      <c r="I990" s="221"/>
      <c r="J990" s="221"/>
      <c r="K990" s="221"/>
      <c r="L990" s="221"/>
      <c r="M990" s="221"/>
      <c r="N990" s="221"/>
      <c r="O990" s="221"/>
      <c r="P990" s="221"/>
      <c r="Q990" s="221"/>
      <c r="R990" s="221"/>
      <c r="S990" s="221"/>
      <c r="T990" s="221"/>
      <c r="U990" s="221"/>
      <c r="V990" s="221"/>
      <c r="W990" s="221"/>
      <c r="X990" s="221"/>
      <c r="Y990" s="221"/>
      <c r="Z990" s="221"/>
    </row>
    <row r="991" spans="1:26" ht="18.75" customHeight="1">
      <c r="A991" s="221"/>
      <c r="B991" s="221"/>
      <c r="C991" s="221"/>
      <c r="D991" s="221"/>
      <c r="E991" s="221"/>
      <c r="F991" s="221"/>
      <c r="G991" s="221"/>
      <c r="H991" s="221"/>
      <c r="I991" s="221"/>
      <c r="J991" s="221"/>
      <c r="K991" s="221"/>
      <c r="L991" s="221"/>
      <c r="M991" s="221"/>
      <c r="N991" s="221"/>
      <c r="O991" s="221"/>
      <c r="P991" s="221"/>
      <c r="Q991" s="221"/>
      <c r="R991" s="221"/>
      <c r="S991" s="221"/>
      <c r="T991" s="221"/>
      <c r="U991" s="221"/>
      <c r="V991" s="221"/>
      <c r="W991" s="221"/>
      <c r="X991" s="221"/>
      <c r="Y991" s="221"/>
      <c r="Z991" s="221"/>
    </row>
    <row r="992" spans="1:26" ht="18.75" customHeight="1">
      <c r="A992" s="221"/>
      <c r="B992" s="221"/>
      <c r="C992" s="221"/>
      <c r="D992" s="221"/>
      <c r="E992" s="221"/>
      <c r="F992" s="221"/>
      <c r="G992" s="221"/>
      <c r="H992" s="221"/>
      <c r="I992" s="221"/>
      <c r="J992" s="221"/>
      <c r="K992" s="221"/>
      <c r="L992" s="221"/>
      <c r="M992" s="221"/>
      <c r="N992" s="221"/>
      <c r="O992" s="221"/>
      <c r="P992" s="221"/>
      <c r="Q992" s="221"/>
      <c r="R992" s="221"/>
      <c r="S992" s="221"/>
      <c r="T992" s="221"/>
      <c r="U992" s="221"/>
      <c r="V992" s="221"/>
      <c r="W992" s="221"/>
      <c r="X992" s="221"/>
      <c r="Y992" s="221"/>
      <c r="Z992" s="221"/>
    </row>
    <row r="993" spans="1:26" ht="18.75" customHeight="1">
      <c r="A993" s="221"/>
      <c r="B993" s="221"/>
      <c r="C993" s="221"/>
      <c r="D993" s="221"/>
      <c r="E993" s="221"/>
      <c r="F993" s="221"/>
      <c r="G993" s="221"/>
      <c r="H993" s="221"/>
      <c r="I993" s="221"/>
      <c r="J993" s="221"/>
      <c r="K993" s="221"/>
      <c r="L993" s="221"/>
      <c r="M993" s="221"/>
      <c r="N993" s="221"/>
      <c r="O993" s="221"/>
      <c r="P993" s="221"/>
      <c r="Q993" s="221"/>
      <c r="R993" s="221"/>
      <c r="S993" s="221"/>
      <c r="T993" s="221"/>
      <c r="U993" s="221"/>
      <c r="V993" s="221"/>
      <c r="W993" s="221"/>
      <c r="X993" s="221"/>
      <c r="Y993" s="221"/>
      <c r="Z993" s="221"/>
    </row>
    <row r="994" spans="1:26" ht="18.75" customHeight="1">
      <c r="A994" s="221"/>
      <c r="B994" s="221"/>
      <c r="C994" s="221"/>
      <c r="D994" s="221"/>
      <c r="E994" s="221"/>
      <c r="F994" s="221"/>
      <c r="G994" s="221"/>
      <c r="H994" s="221"/>
      <c r="I994" s="221"/>
      <c r="J994" s="221"/>
      <c r="K994" s="221"/>
      <c r="L994" s="221"/>
      <c r="M994" s="221"/>
      <c r="N994" s="221"/>
      <c r="O994" s="221"/>
      <c r="P994" s="221"/>
      <c r="Q994" s="221"/>
      <c r="R994" s="221"/>
      <c r="S994" s="221"/>
      <c r="T994" s="221"/>
      <c r="U994" s="221"/>
      <c r="V994" s="221"/>
      <c r="W994" s="221"/>
      <c r="X994" s="221"/>
      <c r="Y994" s="221"/>
      <c r="Z994" s="221"/>
    </row>
    <row r="995" spans="1:26" ht="18.75" customHeight="1">
      <c r="A995" s="221"/>
      <c r="B995" s="221"/>
      <c r="C995" s="221"/>
      <c r="D995" s="221"/>
      <c r="E995" s="221"/>
      <c r="F995" s="221"/>
      <c r="G995" s="221"/>
      <c r="H995" s="221"/>
      <c r="I995" s="221"/>
      <c r="J995" s="221"/>
      <c r="K995" s="221"/>
      <c r="L995" s="221"/>
      <c r="M995" s="221"/>
      <c r="N995" s="221"/>
      <c r="O995" s="221"/>
      <c r="P995" s="221"/>
      <c r="Q995" s="221"/>
      <c r="R995" s="221"/>
      <c r="S995" s="221"/>
      <c r="T995" s="221"/>
      <c r="U995" s="221"/>
      <c r="V995" s="221"/>
      <c r="W995" s="221"/>
      <c r="X995" s="221"/>
      <c r="Y995" s="221"/>
      <c r="Z995" s="221"/>
    </row>
    <row r="996" spans="1:26" ht="18.75" customHeight="1">
      <c r="A996" s="221"/>
      <c r="B996" s="221"/>
      <c r="C996" s="221"/>
      <c r="D996" s="221"/>
      <c r="E996" s="221"/>
      <c r="F996" s="221"/>
      <c r="G996" s="221"/>
      <c r="H996" s="221"/>
      <c r="I996" s="221"/>
      <c r="J996" s="221"/>
      <c r="K996" s="221"/>
      <c r="L996" s="221"/>
      <c r="M996" s="221"/>
      <c r="N996" s="221"/>
      <c r="O996" s="221"/>
      <c r="P996" s="221"/>
      <c r="Q996" s="221"/>
      <c r="R996" s="221"/>
      <c r="S996" s="221"/>
      <c r="T996" s="221"/>
      <c r="U996" s="221"/>
      <c r="V996" s="221"/>
      <c r="W996" s="221"/>
      <c r="X996" s="221"/>
      <c r="Y996" s="221"/>
      <c r="Z996" s="221"/>
    </row>
    <row r="997" spans="1:26" ht="18.75" customHeight="1">
      <c r="A997" s="221"/>
      <c r="B997" s="221"/>
      <c r="C997" s="221"/>
      <c r="D997" s="221"/>
      <c r="E997" s="221"/>
      <c r="F997" s="221"/>
      <c r="G997" s="221"/>
      <c r="H997" s="221"/>
      <c r="I997" s="221"/>
      <c r="J997" s="221"/>
      <c r="K997" s="221"/>
      <c r="L997" s="221"/>
      <c r="M997" s="221"/>
      <c r="N997" s="221"/>
      <c r="O997" s="221"/>
      <c r="P997" s="221"/>
      <c r="Q997" s="221"/>
      <c r="R997" s="221"/>
      <c r="S997" s="221"/>
      <c r="T997" s="221"/>
      <c r="U997" s="221"/>
      <c r="V997" s="221"/>
      <c r="W997" s="221"/>
      <c r="X997" s="221"/>
      <c r="Y997" s="221"/>
      <c r="Z997" s="221"/>
    </row>
    <row r="998" spans="1:26" ht="18.75" customHeight="1">
      <c r="A998" s="221"/>
      <c r="B998" s="221"/>
      <c r="C998" s="221"/>
      <c r="D998" s="221"/>
      <c r="E998" s="221"/>
      <c r="F998" s="221"/>
      <c r="G998" s="221"/>
      <c r="H998" s="221"/>
      <c r="I998" s="221"/>
      <c r="J998" s="221"/>
      <c r="K998" s="221"/>
      <c r="L998" s="221"/>
      <c r="M998" s="221"/>
      <c r="N998" s="221"/>
      <c r="O998" s="221"/>
      <c r="P998" s="221"/>
      <c r="Q998" s="221"/>
      <c r="R998" s="221"/>
      <c r="S998" s="221"/>
      <c r="T998" s="221"/>
      <c r="U998" s="221"/>
      <c r="V998" s="221"/>
      <c r="W998" s="221"/>
      <c r="X998" s="221"/>
      <c r="Y998" s="221"/>
      <c r="Z998" s="221"/>
    </row>
    <row r="999" spans="1:26" ht="18.75" customHeight="1">
      <c r="A999" s="221"/>
      <c r="B999" s="221"/>
      <c r="C999" s="221"/>
      <c r="D999" s="221"/>
      <c r="E999" s="221"/>
      <c r="F999" s="221"/>
      <c r="G999" s="221"/>
      <c r="H999" s="221"/>
      <c r="I999" s="221"/>
      <c r="J999" s="221"/>
      <c r="K999" s="221"/>
      <c r="L999" s="221"/>
      <c r="M999" s="221"/>
      <c r="N999" s="221"/>
      <c r="O999" s="221"/>
      <c r="P999" s="221"/>
      <c r="Q999" s="221"/>
      <c r="R999" s="221"/>
      <c r="S999" s="221"/>
      <c r="T999" s="221"/>
      <c r="U999" s="221"/>
      <c r="V999" s="221"/>
      <c r="W999" s="221"/>
      <c r="X999" s="221"/>
      <c r="Y999" s="221"/>
      <c r="Z999" s="221"/>
    </row>
    <row r="1000" spans="1:26" ht="18.75" customHeight="1">
      <c r="A1000" s="221"/>
      <c r="B1000" s="221"/>
      <c r="C1000" s="221"/>
      <c r="D1000" s="221"/>
      <c r="E1000" s="221"/>
      <c r="F1000" s="221"/>
      <c r="G1000" s="221"/>
      <c r="H1000" s="221"/>
      <c r="I1000" s="221"/>
      <c r="J1000" s="221"/>
      <c r="K1000" s="221"/>
      <c r="L1000" s="221"/>
      <c r="M1000" s="221"/>
      <c r="N1000" s="221"/>
      <c r="O1000" s="221"/>
      <c r="P1000" s="221"/>
      <c r="Q1000" s="221"/>
      <c r="R1000" s="221"/>
      <c r="S1000" s="221"/>
      <c r="T1000" s="221"/>
      <c r="U1000" s="221"/>
      <c r="V1000" s="221"/>
      <c r="W1000" s="221"/>
      <c r="X1000" s="221"/>
      <c r="Y1000" s="221"/>
      <c r="Z1000" s="221"/>
    </row>
  </sheetData>
  <mergeCells count="15">
    <mergeCell ref="B5:E5"/>
    <mergeCell ref="F5:I5"/>
    <mergeCell ref="A1:B1"/>
    <mergeCell ref="B3:E3"/>
    <mergeCell ref="F3:I3"/>
    <mergeCell ref="B4:E4"/>
    <mergeCell ref="F4:I4"/>
    <mergeCell ref="B8:C8"/>
    <mergeCell ref="D8:F8"/>
    <mergeCell ref="G8:I8"/>
    <mergeCell ref="B9:C10"/>
    <mergeCell ref="D9:F9"/>
    <mergeCell ref="G9:I9"/>
    <mergeCell ref="D10:F10"/>
    <mergeCell ref="G10:I10"/>
  </mergeCells>
  <phoneticPr fontId="82"/>
  <printOptions horizontalCentered="1"/>
  <pageMargins left="0.39370078740157483" right="0.39370078740157483" top="0.39370078740157483" bottom="0.39370078740157483" header="0" footer="0"/>
  <pageSetup paperSize="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pane ySplit="1" topLeftCell="A2" activePane="bottomLeft" state="frozen"/>
      <selection pane="bottomLeft" activeCell="B3" sqref="B3"/>
    </sheetView>
  </sheetViews>
  <sheetFormatPr baseColWidth="10" defaultColWidth="11.1640625" defaultRowHeight="15" customHeight="1" outlineLevelRow="1" outlineLevelCol="1"/>
  <cols>
    <col min="1" max="1" width="6.1640625" customWidth="1"/>
    <col min="2" max="2" width="7" customWidth="1"/>
    <col min="3" max="3" width="3.5" customWidth="1"/>
    <col min="4" max="4" width="3.6640625" customWidth="1"/>
    <col min="5" max="5" width="9.83203125" customWidth="1"/>
    <col min="6" max="6" width="9.1640625" customWidth="1"/>
    <col min="7" max="7" width="10.1640625" customWidth="1"/>
    <col min="8" max="9" width="10.5" customWidth="1"/>
    <col min="10" max="10" width="2.5" customWidth="1"/>
    <col min="11" max="11" width="6.5" customWidth="1"/>
    <col min="12" max="12" width="3.83203125" customWidth="1"/>
    <col min="13" max="13" width="3.6640625" customWidth="1"/>
    <col min="14" max="14" width="10.5" customWidth="1"/>
    <col min="15" max="15" width="10.1640625" customWidth="1"/>
    <col min="16" max="16" width="9.83203125" customWidth="1"/>
    <col min="17" max="18" width="10.5" customWidth="1"/>
    <col min="19" max="19" width="7.1640625" customWidth="1"/>
    <col min="20" max="20" width="7.83203125" hidden="1" customWidth="1" outlineLevel="1"/>
    <col min="21" max="26" width="7.1640625" customWidth="1"/>
  </cols>
  <sheetData>
    <row r="1" spans="1:26" ht="34.5" customHeight="1">
      <c r="A1" s="229">
        <v>45658</v>
      </c>
      <c r="B1" s="563" t="s">
        <v>166</v>
      </c>
      <c r="C1" s="496"/>
      <c r="D1" s="496"/>
      <c r="E1" s="496"/>
      <c r="F1" s="496"/>
      <c r="G1" s="496"/>
      <c r="H1" s="496"/>
      <c r="I1" s="497"/>
      <c r="J1" s="230"/>
      <c r="K1" s="563" t="s">
        <v>167</v>
      </c>
      <c r="L1" s="496"/>
      <c r="M1" s="496"/>
      <c r="N1" s="496"/>
      <c r="O1" s="496"/>
      <c r="P1" s="496"/>
      <c r="Q1" s="496"/>
      <c r="R1" s="497"/>
      <c r="S1" s="221"/>
      <c r="T1" s="221"/>
      <c r="U1" s="221"/>
      <c r="V1" s="221"/>
      <c r="W1" s="221"/>
      <c r="X1" s="221"/>
      <c r="Y1" s="221"/>
      <c r="Z1" s="221"/>
    </row>
    <row r="2" spans="1:26" ht="18.75" customHeight="1">
      <c r="A2" s="221"/>
      <c r="B2" s="231"/>
      <c r="C2" s="231"/>
      <c r="D2" s="231"/>
      <c r="E2" s="231"/>
      <c r="F2" s="231"/>
      <c r="G2" s="231"/>
      <c r="H2" s="231"/>
      <c r="I2" s="231"/>
      <c r="J2" s="230"/>
      <c r="K2" s="231"/>
      <c r="L2" s="231"/>
      <c r="M2" s="231"/>
      <c r="N2" s="231"/>
      <c r="O2" s="231"/>
      <c r="P2" s="231"/>
      <c r="Q2" s="231"/>
      <c r="R2" s="231"/>
      <c r="S2" s="221"/>
      <c r="T2" s="221"/>
      <c r="U2" s="221"/>
      <c r="V2" s="221"/>
      <c r="W2" s="221"/>
      <c r="X2" s="221"/>
      <c r="Y2" s="221"/>
      <c r="Z2" s="221"/>
    </row>
    <row r="3" spans="1:26" ht="18.75" customHeight="1">
      <c r="A3" s="232"/>
      <c r="B3" s="564" t="s">
        <v>20</v>
      </c>
      <c r="C3" s="565"/>
      <c r="D3" s="504"/>
      <c r="E3" s="233" t="s">
        <v>168</v>
      </c>
      <c r="F3" s="234" t="s">
        <v>169</v>
      </c>
      <c r="G3" s="234" t="s">
        <v>170</v>
      </c>
      <c r="H3" s="234" t="s">
        <v>171</v>
      </c>
      <c r="I3" s="235" t="s">
        <v>19</v>
      </c>
      <c r="J3" s="236"/>
      <c r="K3" s="564" t="str">
        <f t="shared" ref="K3:K4" si="0">B3</f>
        <v>1月</v>
      </c>
      <c r="L3" s="565"/>
      <c r="M3" s="504"/>
      <c r="N3" s="233" t="s">
        <v>172</v>
      </c>
      <c r="O3" s="234" t="s">
        <v>173</v>
      </c>
      <c r="P3" s="234" t="s">
        <v>174</v>
      </c>
      <c r="Q3" s="234" t="s">
        <v>175</v>
      </c>
      <c r="R3" s="234" t="s">
        <v>19</v>
      </c>
      <c r="S3" s="232"/>
      <c r="T3" s="232"/>
      <c r="U3" s="232"/>
      <c r="V3" s="232"/>
      <c r="W3" s="232"/>
      <c r="X3" s="232"/>
      <c r="Y3" s="232"/>
      <c r="Z3" s="232"/>
    </row>
    <row r="4" spans="1:26" ht="18.75" customHeight="1" outlineLevel="1">
      <c r="A4" s="221"/>
      <c r="B4" s="237">
        <f>A1</f>
        <v>45658</v>
      </c>
      <c r="C4" s="238">
        <f t="shared" ref="C4:C34" si="1">B4</f>
        <v>45658</v>
      </c>
      <c r="D4" s="239">
        <f>目標_2025R7!D21</f>
        <v>0</v>
      </c>
      <c r="E4" s="240">
        <f>IF(D4=1,'適正原価率表(仕入れお小遣い制度)'!$J$4,0)</f>
        <v>0</v>
      </c>
      <c r="F4" s="240">
        <f>IF(D4=1,E4,0)</f>
        <v>0</v>
      </c>
      <c r="G4" s="241"/>
      <c r="H4" s="240">
        <f>IF(D4=1,G4,0)</f>
        <v>0</v>
      </c>
      <c r="I4" s="242">
        <f t="shared" ref="I4:I34" si="2">IF(D4=1,F4-H4,0)</f>
        <v>0</v>
      </c>
      <c r="J4" s="230"/>
      <c r="K4" s="237">
        <f t="shared" si="0"/>
        <v>45658</v>
      </c>
      <c r="L4" s="243">
        <f t="shared" ref="L4:M4" si="3">C4</f>
        <v>45658</v>
      </c>
      <c r="M4" s="244">
        <f t="shared" si="3"/>
        <v>0</v>
      </c>
      <c r="N4" s="240">
        <f>IF(M4=1,'適正原価率表(仕入れお小遣い制度)'!$J$5,0)</f>
        <v>0</v>
      </c>
      <c r="O4" s="240">
        <f>IF(M4=1,N4,0)</f>
        <v>0</v>
      </c>
      <c r="P4" s="225"/>
      <c r="Q4" s="240">
        <f>IF(M4=1,P4,0)</f>
        <v>0</v>
      </c>
      <c r="R4" s="242">
        <f t="shared" ref="R4:R34" si="4">IF(D4=1,O4-Q4,0)</f>
        <v>0</v>
      </c>
      <c r="S4" s="221"/>
      <c r="T4" s="245">
        <f>A1</f>
        <v>45658</v>
      </c>
      <c r="U4" s="221"/>
      <c r="V4" s="221"/>
      <c r="W4" s="221"/>
      <c r="X4" s="221"/>
      <c r="Y4" s="221"/>
      <c r="Z4" s="221"/>
    </row>
    <row r="5" spans="1:26" ht="18.75" customHeight="1" outlineLevel="1">
      <c r="A5" s="221"/>
      <c r="B5" s="237">
        <f t="shared" ref="B5:B34" si="5">B4+1</f>
        <v>45659</v>
      </c>
      <c r="C5" s="238">
        <f t="shared" si="1"/>
        <v>45659</v>
      </c>
      <c r="D5" s="239">
        <f>目標_2025R7!D22</f>
        <v>0</v>
      </c>
      <c r="E5" s="240">
        <f>IF(D5=1,'適正原価率表(仕入れお小遣い制度)'!$J$4,0)</f>
        <v>0</v>
      </c>
      <c r="F5" s="240">
        <f t="shared" ref="F5:F34" si="6">IF(D5=1,SUM($E$4:E5),0)</f>
        <v>0</v>
      </c>
      <c r="G5" s="241"/>
      <c r="H5" s="240">
        <f t="shared" ref="H5:H34" si="7">IF(D5=1,SUM($G$4:G5),0)</f>
        <v>0</v>
      </c>
      <c r="I5" s="242">
        <f t="shared" si="2"/>
        <v>0</v>
      </c>
      <c r="J5" s="230"/>
      <c r="K5" s="237">
        <v>45659</v>
      </c>
      <c r="L5" s="243">
        <f t="shared" ref="L5:M5" si="8">C5</f>
        <v>45659</v>
      </c>
      <c r="M5" s="244">
        <f t="shared" si="8"/>
        <v>0</v>
      </c>
      <c r="N5" s="240">
        <f>IF(M5=1,'適正原価率表(仕入れお小遣い制度)'!$J$5,0)</f>
        <v>0</v>
      </c>
      <c r="O5" s="240">
        <f t="shared" ref="O5:O34" si="9">IF(M5=1,SUM($N$4:N5),0)</f>
        <v>0</v>
      </c>
      <c r="P5" s="225"/>
      <c r="Q5" s="240">
        <f t="shared" ref="Q5:Q34" si="10">IF(M5=1,SUM($P$4:P5),0)</f>
        <v>0</v>
      </c>
      <c r="R5" s="242">
        <f t="shared" si="4"/>
        <v>0</v>
      </c>
      <c r="S5" s="221"/>
      <c r="T5" s="245">
        <f t="shared" ref="T5:T34" si="11">T4+1</f>
        <v>45659</v>
      </c>
      <c r="U5" s="221"/>
      <c r="V5" s="221"/>
      <c r="W5" s="221"/>
      <c r="X5" s="221"/>
      <c r="Y5" s="221"/>
      <c r="Z5" s="221"/>
    </row>
    <row r="6" spans="1:26" ht="18.75" customHeight="1" outlineLevel="1">
      <c r="A6" s="221"/>
      <c r="B6" s="237">
        <f t="shared" si="5"/>
        <v>45660</v>
      </c>
      <c r="C6" s="238">
        <f t="shared" si="1"/>
        <v>45660</v>
      </c>
      <c r="D6" s="239">
        <f>目標_2025R7!D23</f>
        <v>0</v>
      </c>
      <c r="E6" s="240">
        <f>IF(D6=1,'適正原価率表(仕入れお小遣い制度)'!$J$4,0)</f>
        <v>0</v>
      </c>
      <c r="F6" s="240">
        <f t="shared" si="6"/>
        <v>0</v>
      </c>
      <c r="G6" s="241"/>
      <c r="H6" s="240">
        <f t="shared" si="7"/>
        <v>0</v>
      </c>
      <c r="I6" s="242">
        <f t="shared" si="2"/>
        <v>0</v>
      </c>
      <c r="J6" s="230"/>
      <c r="K6" s="237">
        <v>45660</v>
      </c>
      <c r="L6" s="243">
        <f t="shared" ref="L6:M6" si="12">C6</f>
        <v>45660</v>
      </c>
      <c r="M6" s="244">
        <f t="shared" si="12"/>
        <v>0</v>
      </c>
      <c r="N6" s="240">
        <f>IF(M6=1,'適正原価率表(仕入れお小遣い制度)'!$J$5,0)</f>
        <v>0</v>
      </c>
      <c r="O6" s="240">
        <f t="shared" si="9"/>
        <v>0</v>
      </c>
      <c r="P6" s="225"/>
      <c r="Q6" s="240">
        <f t="shared" si="10"/>
        <v>0</v>
      </c>
      <c r="R6" s="242">
        <f t="shared" si="4"/>
        <v>0</v>
      </c>
      <c r="S6" s="221"/>
      <c r="T6" s="245">
        <f t="shared" si="11"/>
        <v>45660</v>
      </c>
      <c r="U6" s="221"/>
      <c r="V6" s="221"/>
      <c r="W6" s="221"/>
      <c r="X6" s="221"/>
      <c r="Y6" s="221"/>
      <c r="Z6" s="221"/>
    </row>
    <row r="7" spans="1:26" ht="18.75" customHeight="1" outlineLevel="1">
      <c r="A7" s="221"/>
      <c r="B7" s="237">
        <f t="shared" si="5"/>
        <v>45661</v>
      </c>
      <c r="C7" s="238">
        <f t="shared" si="1"/>
        <v>45661</v>
      </c>
      <c r="D7" s="239">
        <f>目標_2025R7!D24</f>
        <v>0</v>
      </c>
      <c r="E7" s="240">
        <f>IF(D7=1,'適正原価率表(仕入れお小遣い制度)'!$J$4,0)</f>
        <v>0</v>
      </c>
      <c r="F7" s="240">
        <f t="shared" si="6"/>
        <v>0</v>
      </c>
      <c r="G7" s="246"/>
      <c r="H7" s="240">
        <f t="shared" si="7"/>
        <v>0</v>
      </c>
      <c r="I7" s="242">
        <f t="shared" si="2"/>
        <v>0</v>
      </c>
      <c r="J7" s="230"/>
      <c r="K7" s="237">
        <v>45661</v>
      </c>
      <c r="L7" s="243">
        <f t="shared" ref="L7:M7" si="13">C7</f>
        <v>45661</v>
      </c>
      <c r="M7" s="244">
        <f t="shared" si="13"/>
        <v>0</v>
      </c>
      <c r="N7" s="240">
        <f>IF(M7=1,'適正原価率表(仕入れお小遣い制度)'!$J$5,0)</f>
        <v>0</v>
      </c>
      <c r="O7" s="240">
        <f t="shared" si="9"/>
        <v>0</v>
      </c>
      <c r="P7" s="225"/>
      <c r="Q7" s="240">
        <f t="shared" si="10"/>
        <v>0</v>
      </c>
      <c r="R7" s="242">
        <f t="shared" si="4"/>
        <v>0</v>
      </c>
      <c r="S7" s="221"/>
      <c r="T7" s="245">
        <f t="shared" si="11"/>
        <v>45661</v>
      </c>
      <c r="U7" s="221"/>
      <c r="V7" s="221"/>
      <c r="W7" s="221"/>
      <c r="X7" s="221"/>
      <c r="Y7" s="221"/>
      <c r="Z7" s="221"/>
    </row>
    <row r="8" spans="1:26" ht="18.75" customHeight="1" outlineLevel="1">
      <c r="A8" s="221"/>
      <c r="B8" s="237">
        <f t="shared" si="5"/>
        <v>45662</v>
      </c>
      <c r="C8" s="238">
        <f t="shared" si="1"/>
        <v>45662</v>
      </c>
      <c r="D8" s="239">
        <f>目標_2025R7!D25</f>
        <v>0</v>
      </c>
      <c r="E8" s="240">
        <f>IF(D8=1,'適正原価率表(仕入れお小遣い制度)'!$J$4,0)</f>
        <v>0</v>
      </c>
      <c r="F8" s="240">
        <f t="shared" si="6"/>
        <v>0</v>
      </c>
      <c r="G8" s="246"/>
      <c r="H8" s="240">
        <f t="shared" si="7"/>
        <v>0</v>
      </c>
      <c r="I8" s="242">
        <f t="shared" si="2"/>
        <v>0</v>
      </c>
      <c r="J8" s="230"/>
      <c r="K8" s="237">
        <v>45662</v>
      </c>
      <c r="L8" s="243">
        <f t="shared" ref="L8:M8" si="14">C8</f>
        <v>45662</v>
      </c>
      <c r="M8" s="244">
        <f t="shared" si="14"/>
        <v>0</v>
      </c>
      <c r="N8" s="240">
        <f>IF(M8=1,'適正原価率表(仕入れお小遣い制度)'!$J$5,0)</f>
        <v>0</v>
      </c>
      <c r="O8" s="240">
        <f t="shared" si="9"/>
        <v>0</v>
      </c>
      <c r="P8" s="225"/>
      <c r="Q8" s="240">
        <f t="shared" si="10"/>
        <v>0</v>
      </c>
      <c r="R8" s="242">
        <f t="shared" si="4"/>
        <v>0</v>
      </c>
      <c r="S8" s="221"/>
      <c r="T8" s="245">
        <f t="shared" si="11"/>
        <v>45662</v>
      </c>
      <c r="U8" s="221"/>
      <c r="V8" s="221"/>
      <c r="W8" s="221"/>
      <c r="X8" s="221"/>
      <c r="Y8" s="221"/>
      <c r="Z8" s="221"/>
    </row>
    <row r="9" spans="1:26" ht="18.75" customHeight="1" outlineLevel="1">
      <c r="A9" s="221"/>
      <c r="B9" s="237">
        <f t="shared" si="5"/>
        <v>45663</v>
      </c>
      <c r="C9" s="238">
        <f t="shared" si="1"/>
        <v>45663</v>
      </c>
      <c r="D9" s="239">
        <f>目標_2025R7!D26</f>
        <v>0</v>
      </c>
      <c r="E9" s="240">
        <f>IF(D9=1,'適正原価率表(仕入れお小遣い制度)'!$J$4,0)</f>
        <v>0</v>
      </c>
      <c r="F9" s="240">
        <f t="shared" si="6"/>
        <v>0</v>
      </c>
      <c r="G9" s="246"/>
      <c r="H9" s="240">
        <f t="shared" si="7"/>
        <v>0</v>
      </c>
      <c r="I9" s="242">
        <f t="shared" si="2"/>
        <v>0</v>
      </c>
      <c r="J9" s="230"/>
      <c r="K9" s="237">
        <v>45663</v>
      </c>
      <c r="L9" s="243">
        <f t="shared" ref="L9:M9" si="15">C9</f>
        <v>45663</v>
      </c>
      <c r="M9" s="244">
        <f t="shared" si="15"/>
        <v>0</v>
      </c>
      <c r="N9" s="240">
        <f>IF(M9=1,'適正原価率表(仕入れお小遣い制度)'!$J$5,0)</f>
        <v>0</v>
      </c>
      <c r="O9" s="240">
        <f t="shared" si="9"/>
        <v>0</v>
      </c>
      <c r="P9" s="225"/>
      <c r="Q9" s="240">
        <f t="shared" si="10"/>
        <v>0</v>
      </c>
      <c r="R9" s="242">
        <f t="shared" si="4"/>
        <v>0</v>
      </c>
      <c r="S9" s="221"/>
      <c r="T9" s="245">
        <f t="shared" si="11"/>
        <v>45663</v>
      </c>
      <c r="U9" s="221"/>
      <c r="V9" s="221"/>
      <c r="W9" s="221"/>
      <c r="X9" s="221"/>
      <c r="Y9" s="221"/>
      <c r="Z9" s="221"/>
    </row>
    <row r="10" spans="1:26" ht="18.75" customHeight="1" outlineLevel="1">
      <c r="A10" s="221"/>
      <c r="B10" s="237">
        <f t="shared" si="5"/>
        <v>45664</v>
      </c>
      <c r="C10" s="238">
        <f t="shared" si="1"/>
        <v>45664</v>
      </c>
      <c r="D10" s="239">
        <f>目標_2025R7!D27</f>
        <v>1</v>
      </c>
      <c r="E10" s="240">
        <f>IF(D10=1,'適正原価率表(仕入れお小遣い制度)'!$J$4,0)</f>
        <v>11755.810307545426</v>
      </c>
      <c r="F10" s="240">
        <f t="shared" si="6"/>
        <v>11755.810307545426</v>
      </c>
      <c r="G10" s="246"/>
      <c r="H10" s="240">
        <f t="shared" si="7"/>
        <v>0</v>
      </c>
      <c r="I10" s="242">
        <f t="shared" si="2"/>
        <v>11755.810307545426</v>
      </c>
      <c r="J10" s="230"/>
      <c r="K10" s="237">
        <v>45664</v>
      </c>
      <c r="L10" s="243">
        <f t="shared" ref="L10:M10" si="16">C10</f>
        <v>45664</v>
      </c>
      <c r="M10" s="244">
        <f t="shared" si="16"/>
        <v>1</v>
      </c>
      <c r="N10" s="240">
        <f>IF(M10=1,'適正原価率表(仕入れお小遣い制度)'!$J$5,0)</f>
        <v>9688.5663241793391</v>
      </c>
      <c r="O10" s="240">
        <f t="shared" si="9"/>
        <v>9688.5663241793391</v>
      </c>
      <c r="P10" s="225"/>
      <c r="Q10" s="240">
        <f t="shared" si="10"/>
        <v>0</v>
      </c>
      <c r="R10" s="242">
        <f t="shared" si="4"/>
        <v>9688.5663241793391</v>
      </c>
      <c r="S10" s="221"/>
      <c r="T10" s="245">
        <f t="shared" si="11"/>
        <v>45664</v>
      </c>
      <c r="U10" s="221"/>
      <c r="V10" s="221"/>
      <c r="W10" s="221"/>
      <c r="X10" s="221"/>
      <c r="Y10" s="221"/>
      <c r="Z10" s="221"/>
    </row>
    <row r="11" spans="1:26" ht="18.75" customHeight="1" outlineLevel="1">
      <c r="A11" s="221"/>
      <c r="B11" s="237">
        <f t="shared" si="5"/>
        <v>45665</v>
      </c>
      <c r="C11" s="238">
        <f t="shared" si="1"/>
        <v>45665</v>
      </c>
      <c r="D11" s="239">
        <f>目標_2025R7!D28</f>
        <v>1</v>
      </c>
      <c r="E11" s="240">
        <f>IF(D11=1,'適正原価率表(仕入れお小遣い制度)'!$J$4,0)</f>
        <v>11755.810307545426</v>
      </c>
      <c r="F11" s="240">
        <f t="shared" si="6"/>
        <v>23511.620615090851</v>
      </c>
      <c r="G11" s="246"/>
      <c r="H11" s="240">
        <f t="shared" si="7"/>
        <v>0</v>
      </c>
      <c r="I11" s="242">
        <f t="shared" si="2"/>
        <v>23511.620615090851</v>
      </c>
      <c r="J11" s="230"/>
      <c r="K11" s="237">
        <v>45665</v>
      </c>
      <c r="L11" s="243">
        <f t="shared" ref="L11:M11" si="17">C11</f>
        <v>45665</v>
      </c>
      <c r="M11" s="244">
        <f t="shared" si="17"/>
        <v>1</v>
      </c>
      <c r="N11" s="240">
        <f>IF(M11=1,'適正原価率表(仕入れお小遣い制度)'!$J$5,0)</f>
        <v>9688.5663241793391</v>
      </c>
      <c r="O11" s="240">
        <f t="shared" si="9"/>
        <v>19377.132648358678</v>
      </c>
      <c r="P11" s="225"/>
      <c r="Q11" s="240">
        <f t="shared" si="10"/>
        <v>0</v>
      </c>
      <c r="R11" s="242">
        <f t="shared" si="4"/>
        <v>19377.132648358678</v>
      </c>
      <c r="S11" s="221"/>
      <c r="T11" s="245">
        <f t="shared" si="11"/>
        <v>45665</v>
      </c>
      <c r="U11" s="221"/>
      <c r="V11" s="221"/>
      <c r="W11" s="221"/>
      <c r="X11" s="221"/>
      <c r="Y11" s="221"/>
      <c r="Z11" s="221"/>
    </row>
    <row r="12" spans="1:26" ht="18.75" customHeight="1" outlineLevel="1">
      <c r="A12" s="221"/>
      <c r="B12" s="237">
        <f t="shared" si="5"/>
        <v>45666</v>
      </c>
      <c r="C12" s="238">
        <f t="shared" si="1"/>
        <v>45666</v>
      </c>
      <c r="D12" s="239">
        <f>目標_2025R7!D29</f>
        <v>1</v>
      </c>
      <c r="E12" s="240">
        <f>IF(D12=1,'適正原価率表(仕入れお小遣い制度)'!$J$4,0)</f>
        <v>11755.810307545426</v>
      </c>
      <c r="F12" s="240">
        <f t="shared" si="6"/>
        <v>35267.430922636275</v>
      </c>
      <c r="G12" s="246"/>
      <c r="H12" s="240">
        <f t="shared" si="7"/>
        <v>0</v>
      </c>
      <c r="I12" s="242">
        <f t="shared" si="2"/>
        <v>35267.430922636275</v>
      </c>
      <c r="J12" s="230"/>
      <c r="K12" s="237">
        <v>45666</v>
      </c>
      <c r="L12" s="243">
        <f t="shared" ref="L12:M12" si="18">C12</f>
        <v>45666</v>
      </c>
      <c r="M12" s="244">
        <f t="shared" si="18"/>
        <v>1</v>
      </c>
      <c r="N12" s="240">
        <f>IF(M12=1,'適正原価率表(仕入れお小遣い制度)'!$J$5,0)</f>
        <v>9688.5663241793391</v>
      </c>
      <c r="O12" s="240">
        <f t="shared" si="9"/>
        <v>29065.698972538019</v>
      </c>
      <c r="P12" s="225"/>
      <c r="Q12" s="240">
        <f t="shared" si="10"/>
        <v>0</v>
      </c>
      <c r="R12" s="242">
        <f t="shared" si="4"/>
        <v>29065.698972538019</v>
      </c>
      <c r="S12" s="221"/>
      <c r="T12" s="245">
        <f t="shared" si="11"/>
        <v>45666</v>
      </c>
      <c r="U12" s="221"/>
      <c r="V12" s="221"/>
      <c r="W12" s="221"/>
      <c r="X12" s="221"/>
      <c r="Y12" s="221"/>
      <c r="Z12" s="221"/>
    </row>
    <row r="13" spans="1:26" ht="18.75" customHeight="1" outlineLevel="1">
      <c r="A13" s="221"/>
      <c r="B13" s="237">
        <f t="shared" si="5"/>
        <v>45667</v>
      </c>
      <c r="C13" s="238">
        <f t="shared" si="1"/>
        <v>45667</v>
      </c>
      <c r="D13" s="239">
        <f>目標_2025R7!D30</f>
        <v>1</v>
      </c>
      <c r="E13" s="240">
        <f>IF(D13=1,'適正原価率表(仕入れお小遣い制度)'!$J$4,0)</f>
        <v>11755.810307545426</v>
      </c>
      <c r="F13" s="240">
        <f t="shared" si="6"/>
        <v>47023.241230181702</v>
      </c>
      <c r="G13" s="246"/>
      <c r="H13" s="240">
        <f t="shared" si="7"/>
        <v>0</v>
      </c>
      <c r="I13" s="242">
        <f t="shared" si="2"/>
        <v>47023.241230181702</v>
      </c>
      <c r="J13" s="230"/>
      <c r="K13" s="237">
        <v>45667</v>
      </c>
      <c r="L13" s="243">
        <f t="shared" ref="L13:M13" si="19">C13</f>
        <v>45667</v>
      </c>
      <c r="M13" s="244">
        <f t="shared" si="19"/>
        <v>1</v>
      </c>
      <c r="N13" s="240">
        <f>IF(M13=1,'適正原価率表(仕入れお小遣い制度)'!$J$5,0)</f>
        <v>9688.5663241793391</v>
      </c>
      <c r="O13" s="240">
        <f t="shared" si="9"/>
        <v>38754.265296717356</v>
      </c>
      <c r="P13" s="225"/>
      <c r="Q13" s="240">
        <f t="shared" si="10"/>
        <v>0</v>
      </c>
      <c r="R13" s="242">
        <f t="shared" si="4"/>
        <v>38754.265296717356</v>
      </c>
      <c r="S13" s="221"/>
      <c r="T13" s="245">
        <f t="shared" si="11"/>
        <v>45667</v>
      </c>
      <c r="U13" s="221"/>
      <c r="V13" s="221"/>
      <c r="W13" s="221"/>
      <c r="X13" s="221"/>
      <c r="Y13" s="221"/>
      <c r="Z13" s="221"/>
    </row>
    <row r="14" spans="1:26" ht="18.75" customHeight="1" outlineLevel="1">
      <c r="A14" s="221"/>
      <c r="B14" s="237">
        <f t="shared" si="5"/>
        <v>45668</v>
      </c>
      <c r="C14" s="238">
        <f t="shared" si="1"/>
        <v>45668</v>
      </c>
      <c r="D14" s="239">
        <f>目標_2025R7!D31</f>
        <v>1</v>
      </c>
      <c r="E14" s="240">
        <f>IF(D14=1,'適正原価率表(仕入れお小遣い制度)'!$J$4,0)</f>
        <v>11755.810307545426</v>
      </c>
      <c r="F14" s="240">
        <f t="shared" si="6"/>
        <v>58779.051537727129</v>
      </c>
      <c r="G14" s="246"/>
      <c r="H14" s="240">
        <f t="shared" si="7"/>
        <v>0</v>
      </c>
      <c r="I14" s="242">
        <f t="shared" si="2"/>
        <v>58779.051537727129</v>
      </c>
      <c r="J14" s="230"/>
      <c r="K14" s="237">
        <v>45668</v>
      </c>
      <c r="L14" s="243">
        <f t="shared" ref="L14:M14" si="20">C14</f>
        <v>45668</v>
      </c>
      <c r="M14" s="244">
        <f t="shared" si="20"/>
        <v>1</v>
      </c>
      <c r="N14" s="240">
        <f>IF(M14=1,'適正原価率表(仕入れお小遣い制度)'!$J$5,0)</f>
        <v>9688.5663241793391</v>
      </c>
      <c r="O14" s="240">
        <f t="shared" si="9"/>
        <v>48442.831620896693</v>
      </c>
      <c r="P14" s="225"/>
      <c r="Q14" s="240">
        <f t="shared" si="10"/>
        <v>0</v>
      </c>
      <c r="R14" s="242">
        <f t="shared" si="4"/>
        <v>48442.831620896693</v>
      </c>
      <c r="S14" s="221"/>
      <c r="T14" s="245">
        <f t="shared" si="11"/>
        <v>45668</v>
      </c>
      <c r="U14" s="221"/>
      <c r="V14" s="221"/>
      <c r="W14" s="221"/>
      <c r="X14" s="221"/>
      <c r="Y14" s="221"/>
      <c r="Z14" s="221"/>
    </row>
    <row r="15" spans="1:26" ht="18.75" customHeight="1" outlineLevel="1">
      <c r="A15" s="221"/>
      <c r="B15" s="237">
        <f t="shared" si="5"/>
        <v>45669</v>
      </c>
      <c r="C15" s="238">
        <f t="shared" si="1"/>
        <v>45669</v>
      </c>
      <c r="D15" s="239">
        <f>目標_2025R7!D32</f>
        <v>0</v>
      </c>
      <c r="E15" s="240">
        <f>IF(D15=1,'適正原価率表(仕入れお小遣い制度)'!$J$4,0)</f>
        <v>0</v>
      </c>
      <c r="F15" s="240">
        <f t="shared" si="6"/>
        <v>0</v>
      </c>
      <c r="G15" s="246"/>
      <c r="H15" s="240">
        <f t="shared" si="7"/>
        <v>0</v>
      </c>
      <c r="I15" s="242">
        <f t="shared" si="2"/>
        <v>0</v>
      </c>
      <c r="J15" s="230"/>
      <c r="K15" s="237">
        <v>45669</v>
      </c>
      <c r="L15" s="243">
        <f t="shared" ref="L15:M15" si="21">C15</f>
        <v>45669</v>
      </c>
      <c r="M15" s="244">
        <f t="shared" si="21"/>
        <v>0</v>
      </c>
      <c r="N15" s="240">
        <f>IF(M15=1,'適正原価率表(仕入れお小遣い制度)'!$J$5,0)</f>
        <v>0</v>
      </c>
      <c r="O15" s="240">
        <f t="shared" si="9"/>
        <v>0</v>
      </c>
      <c r="P15" s="225"/>
      <c r="Q15" s="240">
        <f t="shared" si="10"/>
        <v>0</v>
      </c>
      <c r="R15" s="242">
        <f t="shared" si="4"/>
        <v>0</v>
      </c>
      <c r="S15" s="221"/>
      <c r="T15" s="245">
        <f t="shared" si="11"/>
        <v>45669</v>
      </c>
      <c r="U15" s="221"/>
      <c r="V15" s="221"/>
      <c r="W15" s="221"/>
      <c r="X15" s="221"/>
      <c r="Y15" s="221"/>
      <c r="Z15" s="221"/>
    </row>
    <row r="16" spans="1:26" ht="18.75" customHeight="1" outlineLevel="1">
      <c r="A16" s="221"/>
      <c r="B16" s="237">
        <f t="shared" si="5"/>
        <v>45670</v>
      </c>
      <c r="C16" s="238">
        <f t="shared" si="1"/>
        <v>45670</v>
      </c>
      <c r="D16" s="239">
        <f>目標_2025R7!D33</f>
        <v>0</v>
      </c>
      <c r="E16" s="240">
        <f>IF(D16=1,'適正原価率表(仕入れお小遣い制度)'!$J$4,0)</f>
        <v>0</v>
      </c>
      <c r="F16" s="240">
        <f t="shared" si="6"/>
        <v>0</v>
      </c>
      <c r="G16" s="246"/>
      <c r="H16" s="240">
        <f t="shared" si="7"/>
        <v>0</v>
      </c>
      <c r="I16" s="242">
        <f t="shared" si="2"/>
        <v>0</v>
      </c>
      <c r="J16" s="230"/>
      <c r="K16" s="237">
        <v>45670</v>
      </c>
      <c r="L16" s="243">
        <f t="shared" ref="L16:M16" si="22">C16</f>
        <v>45670</v>
      </c>
      <c r="M16" s="244">
        <f t="shared" si="22"/>
        <v>0</v>
      </c>
      <c r="N16" s="240">
        <f>IF(M16=1,'適正原価率表(仕入れお小遣い制度)'!$J$5,0)</f>
        <v>0</v>
      </c>
      <c r="O16" s="240">
        <f t="shared" si="9"/>
        <v>0</v>
      </c>
      <c r="P16" s="225"/>
      <c r="Q16" s="240">
        <f t="shared" si="10"/>
        <v>0</v>
      </c>
      <c r="R16" s="242">
        <f t="shared" si="4"/>
        <v>0</v>
      </c>
      <c r="S16" s="221"/>
      <c r="T16" s="245">
        <f t="shared" si="11"/>
        <v>45670</v>
      </c>
      <c r="U16" s="221"/>
      <c r="V16" s="221"/>
      <c r="W16" s="221"/>
      <c r="X16" s="221"/>
      <c r="Y16" s="221"/>
      <c r="Z16" s="221"/>
    </row>
    <row r="17" spans="1:26" ht="18.75" customHeight="1" outlineLevel="1">
      <c r="A17" s="221"/>
      <c r="B17" s="237">
        <f t="shared" si="5"/>
        <v>45671</v>
      </c>
      <c r="C17" s="238">
        <f t="shared" si="1"/>
        <v>45671</v>
      </c>
      <c r="D17" s="239">
        <f>目標_2025R7!D34</f>
        <v>1</v>
      </c>
      <c r="E17" s="240">
        <f>IF(D17=1,'適正原価率表(仕入れお小遣い制度)'!$J$4,0)</f>
        <v>11755.810307545426</v>
      </c>
      <c r="F17" s="240">
        <f t="shared" si="6"/>
        <v>70534.86184527255</v>
      </c>
      <c r="G17" s="246"/>
      <c r="H17" s="240">
        <f t="shared" si="7"/>
        <v>0</v>
      </c>
      <c r="I17" s="242">
        <f t="shared" si="2"/>
        <v>70534.86184527255</v>
      </c>
      <c r="J17" s="230"/>
      <c r="K17" s="237">
        <v>45671</v>
      </c>
      <c r="L17" s="243">
        <f t="shared" ref="L17:M17" si="23">C17</f>
        <v>45671</v>
      </c>
      <c r="M17" s="244">
        <f t="shared" si="23"/>
        <v>1</v>
      </c>
      <c r="N17" s="240">
        <f>IF(M17=1,'適正原価率表(仕入れお小遣い制度)'!$J$5,0)</f>
        <v>9688.5663241793391</v>
      </c>
      <c r="O17" s="240">
        <f t="shared" si="9"/>
        <v>58131.397945076031</v>
      </c>
      <c r="P17" s="225"/>
      <c r="Q17" s="240">
        <f t="shared" si="10"/>
        <v>0</v>
      </c>
      <c r="R17" s="242">
        <f t="shared" si="4"/>
        <v>58131.397945076031</v>
      </c>
      <c r="S17" s="221"/>
      <c r="T17" s="245">
        <f t="shared" si="11"/>
        <v>45671</v>
      </c>
      <c r="U17" s="221"/>
      <c r="V17" s="221"/>
      <c r="W17" s="221"/>
      <c r="X17" s="221"/>
      <c r="Y17" s="221"/>
      <c r="Z17" s="221"/>
    </row>
    <row r="18" spans="1:26" ht="18.75" customHeight="1" outlineLevel="1">
      <c r="A18" s="221"/>
      <c r="B18" s="237">
        <f t="shared" si="5"/>
        <v>45672</v>
      </c>
      <c r="C18" s="238">
        <f t="shared" si="1"/>
        <v>45672</v>
      </c>
      <c r="D18" s="239">
        <f>目標_2025R7!D35</f>
        <v>1</v>
      </c>
      <c r="E18" s="240">
        <f>IF(D18=1,'適正原価率表(仕入れお小遣い制度)'!$J$4,0)</f>
        <v>11755.810307545426</v>
      </c>
      <c r="F18" s="240">
        <f t="shared" si="6"/>
        <v>82290.672152817977</v>
      </c>
      <c r="G18" s="246"/>
      <c r="H18" s="240">
        <f t="shared" si="7"/>
        <v>0</v>
      </c>
      <c r="I18" s="242">
        <f t="shared" si="2"/>
        <v>82290.672152817977</v>
      </c>
      <c r="J18" s="230"/>
      <c r="K18" s="237">
        <v>45672</v>
      </c>
      <c r="L18" s="243">
        <f t="shared" ref="L18:M18" si="24">C18</f>
        <v>45672</v>
      </c>
      <c r="M18" s="244">
        <f t="shared" si="24"/>
        <v>1</v>
      </c>
      <c r="N18" s="240">
        <f>IF(M18=1,'適正原価率表(仕入れお小遣い制度)'!$J$5,0)</f>
        <v>9688.5663241793391</v>
      </c>
      <c r="O18" s="240">
        <f t="shared" si="9"/>
        <v>67819.964269255375</v>
      </c>
      <c r="P18" s="225"/>
      <c r="Q18" s="240">
        <f t="shared" si="10"/>
        <v>0</v>
      </c>
      <c r="R18" s="242">
        <f t="shared" si="4"/>
        <v>67819.964269255375</v>
      </c>
      <c r="S18" s="221"/>
      <c r="T18" s="245">
        <f t="shared" si="11"/>
        <v>45672</v>
      </c>
      <c r="U18" s="221"/>
      <c r="V18" s="221"/>
      <c r="W18" s="221"/>
      <c r="X18" s="221"/>
      <c r="Y18" s="221"/>
      <c r="Z18" s="221"/>
    </row>
    <row r="19" spans="1:26" ht="18.75" customHeight="1" outlineLevel="1">
      <c r="A19" s="221"/>
      <c r="B19" s="237">
        <f t="shared" si="5"/>
        <v>45673</v>
      </c>
      <c r="C19" s="238">
        <f t="shared" si="1"/>
        <v>45673</v>
      </c>
      <c r="D19" s="239">
        <f>目標_2025R7!D36</f>
        <v>1</v>
      </c>
      <c r="E19" s="240">
        <f>IF(D19=1,'適正原価率表(仕入れお小遣い制度)'!$J$4,0)</f>
        <v>11755.810307545426</v>
      </c>
      <c r="F19" s="240">
        <f t="shared" si="6"/>
        <v>94046.482460363404</v>
      </c>
      <c r="G19" s="246"/>
      <c r="H19" s="240">
        <f t="shared" si="7"/>
        <v>0</v>
      </c>
      <c r="I19" s="242">
        <f t="shared" si="2"/>
        <v>94046.482460363404</v>
      </c>
      <c r="J19" s="230"/>
      <c r="K19" s="237">
        <v>45673</v>
      </c>
      <c r="L19" s="243">
        <f t="shared" ref="L19:M19" si="25">C19</f>
        <v>45673</v>
      </c>
      <c r="M19" s="244">
        <f t="shared" si="25"/>
        <v>1</v>
      </c>
      <c r="N19" s="240">
        <f>IF(M19=1,'適正原価率表(仕入れお小遣い制度)'!$J$5,0)</f>
        <v>9688.5663241793391</v>
      </c>
      <c r="O19" s="240">
        <f t="shared" si="9"/>
        <v>77508.530593434713</v>
      </c>
      <c r="P19" s="225"/>
      <c r="Q19" s="240">
        <f t="shared" si="10"/>
        <v>0</v>
      </c>
      <c r="R19" s="242">
        <f t="shared" si="4"/>
        <v>77508.530593434713</v>
      </c>
      <c r="S19" s="221"/>
      <c r="T19" s="245">
        <f t="shared" si="11"/>
        <v>45673</v>
      </c>
      <c r="U19" s="221"/>
      <c r="V19" s="221"/>
      <c r="W19" s="221"/>
      <c r="X19" s="221"/>
      <c r="Y19" s="221"/>
      <c r="Z19" s="221"/>
    </row>
    <row r="20" spans="1:26" ht="18.75" customHeight="1" outlineLevel="1">
      <c r="A20" s="221"/>
      <c r="B20" s="237">
        <f t="shared" si="5"/>
        <v>45674</v>
      </c>
      <c r="C20" s="238">
        <f t="shared" si="1"/>
        <v>45674</v>
      </c>
      <c r="D20" s="239">
        <f>目標_2025R7!D37</f>
        <v>1</v>
      </c>
      <c r="E20" s="240">
        <f>IF(D20=1,'適正原価率表(仕入れお小遣い制度)'!$J$4,0)</f>
        <v>11755.810307545426</v>
      </c>
      <c r="F20" s="240">
        <f t="shared" si="6"/>
        <v>105802.29276790883</v>
      </c>
      <c r="G20" s="246"/>
      <c r="H20" s="240">
        <f t="shared" si="7"/>
        <v>0</v>
      </c>
      <c r="I20" s="242">
        <f t="shared" si="2"/>
        <v>105802.29276790883</v>
      </c>
      <c r="J20" s="230"/>
      <c r="K20" s="237">
        <v>45674</v>
      </c>
      <c r="L20" s="243">
        <f t="shared" ref="L20:M20" si="26">C20</f>
        <v>45674</v>
      </c>
      <c r="M20" s="244">
        <f t="shared" si="26"/>
        <v>1</v>
      </c>
      <c r="N20" s="240">
        <f>IF(M20=1,'適正原価率表(仕入れお小遣い制度)'!$J$5,0)</f>
        <v>9688.5663241793391</v>
      </c>
      <c r="O20" s="240">
        <f t="shared" si="9"/>
        <v>87197.09691761405</v>
      </c>
      <c r="P20" s="225"/>
      <c r="Q20" s="240">
        <f t="shared" si="10"/>
        <v>0</v>
      </c>
      <c r="R20" s="242">
        <f t="shared" si="4"/>
        <v>87197.09691761405</v>
      </c>
      <c r="S20" s="221"/>
      <c r="T20" s="245">
        <f t="shared" si="11"/>
        <v>45674</v>
      </c>
      <c r="U20" s="221"/>
      <c r="V20" s="221"/>
      <c r="W20" s="221"/>
      <c r="X20" s="221"/>
      <c r="Y20" s="221"/>
      <c r="Z20" s="221"/>
    </row>
    <row r="21" spans="1:26" ht="18.75" customHeight="1" outlineLevel="1">
      <c r="A21" s="221"/>
      <c r="B21" s="237">
        <f t="shared" si="5"/>
        <v>45675</v>
      </c>
      <c r="C21" s="238">
        <f t="shared" si="1"/>
        <v>45675</v>
      </c>
      <c r="D21" s="239">
        <f>目標_2025R7!D38</f>
        <v>1</v>
      </c>
      <c r="E21" s="240">
        <f>IF(D21=1,'適正原価率表(仕入れお小遣い制度)'!$J$4,0)</f>
        <v>11755.810307545426</v>
      </c>
      <c r="F21" s="240">
        <f t="shared" si="6"/>
        <v>117558.10307545426</v>
      </c>
      <c r="G21" s="246"/>
      <c r="H21" s="240">
        <f t="shared" si="7"/>
        <v>0</v>
      </c>
      <c r="I21" s="242">
        <f t="shared" si="2"/>
        <v>117558.10307545426</v>
      </c>
      <c r="J21" s="230"/>
      <c r="K21" s="237">
        <v>45675</v>
      </c>
      <c r="L21" s="243">
        <f t="shared" ref="L21:M21" si="27">C21</f>
        <v>45675</v>
      </c>
      <c r="M21" s="244">
        <f t="shared" si="27"/>
        <v>1</v>
      </c>
      <c r="N21" s="240">
        <f>IF(M21=1,'適正原価率表(仕入れお小遣い制度)'!$J$5,0)</f>
        <v>9688.5663241793391</v>
      </c>
      <c r="O21" s="240">
        <f t="shared" si="9"/>
        <v>96885.663241793387</v>
      </c>
      <c r="P21" s="225"/>
      <c r="Q21" s="240">
        <f t="shared" si="10"/>
        <v>0</v>
      </c>
      <c r="R21" s="242">
        <f t="shared" si="4"/>
        <v>96885.663241793387</v>
      </c>
      <c r="S21" s="221"/>
      <c r="T21" s="245">
        <f t="shared" si="11"/>
        <v>45675</v>
      </c>
      <c r="U21" s="221"/>
      <c r="V21" s="221"/>
      <c r="W21" s="221"/>
      <c r="X21" s="221"/>
      <c r="Y21" s="221"/>
      <c r="Z21" s="221"/>
    </row>
    <row r="22" spans="1:26" ht="18.75" customHeight="1" outlineLevel="1">
      <c r="A22" s="221"/>
      <c r="B22" s="237">
        <f t="shared" si="5"/>
        <v>45676</v>
      </c>
      <c r="C22" s="238">
        <f t="shared" si="1"/>
        <v>45676</v>
      </c>
      <c r="D22" s="239">
        <f>目標_2025R7!D39</f>
        <v>1</v>
      </c>
      <c r="E22" s="240">
        <f>IF(D22=1,'適正原価率表(仕入れお小遣い制度)'!$J$4,0)</f>
        <v>11755.810307545426</v>
      </c>
      <c r="F22" s="240">
        <f t="shared" si="6"/>
        <v>129313.91338299969</v>
      </c>
      <c r="G22" s="246"/>
      <c r="H22" s="240">
        <f t="shared" si="7"/>
        <v>0</v>
      </c>
      <c r="I22" s="242">
        <f t="shared" si="2"/>
        <v>129313.91338299969</v>
      </c>
      <c r="J22" s="230"/>
      <c r="K22" s="237">
        <v>45676</v>
      </c>
      <c r="L22" s="243">
        <f t="shared" ref="L22:M22" si="28">C22</f>
        <v>45676</v>
      </c>
      <c r="M22" s="244">
        <f t="shared" si="28"/>
        <v>1</v>
      </c>
      <c r="N22" s="240">
        <f>IF(M22=1,'適正原価率表(仕入れお小遣い制度)'!$J$5,0)</f>
        <v>9688.5663241793391</v>
      </c>
      <c r="O22" s="240">
        <f t="shared" si="9"/>
        <v>106574.22956597272</v>
      </c>
      <c r="P22" s="225"/>
      <c r="Q22" s="240">
        <f t="shared" si="10"/>
        <v>0</v>
      </c>
      <c r="R22" s="242">
        <f t="shared" si="4"/>
        <v>106574.22956597272</v>
      </c>
      <c r="S22" s="221"/>
      <c r="T22" s="245">
        <f t="shared" si="11"/>
        <v>45676</v>
      </c>
      <c r="U22" s="221"/>
      <c r="V22" s="221"/>
      <c r="W22" s="221"/>
      <c r="X22" s="221"/>
      <c r="Y22" s="221"/>
      <c r="Z22" s="221"/>
    </row>
    <row r="23" spans="1:26" ht="18.75" customHeight="1" outlineLevel="1">
      <c r="A23" s="221"/>
      <c r="B23" s="237">
        <f t="shared" si="5"/>
        <v>45677</v>
      </c>
      <c r="C23" s="238">
        <f t="shared" si="1"/>
        <v>45677</v>
      </c>
      <c r="D23" s="239">
        <f>目標_2025R7!D40</f>
        <v>1</v>
      </c>
      <c r="E23" s="240">
        <f>IF(D23=1,'適正原価率表(仕入れお小遣い制度)'!$J$4,0)</f>
        <v>11755.810307545426</v>
      </c>
      <c r="F23" s="240">
        <f t="shared" si="6"/>
        <v>141069.7236905451</v>
      </c>
      <c r="G23" s="246"/>
      <c r="H23" s="240">
        <f t="shared" si="7"/>
        <v>0</v>
      </c>
      <c r="I23" s="242">
        <f t="shared" si="2"/>
        <v>141069.7236905451</v>
      </c>
      <c r="J23" s="230"/>
      <c r="K23" s="237">
        <v>45677</v>
      </c>
      <c r="L23" s="243">
        <f t="shared" ref="L23:M23" si="29">C23</f>
        <v>45677</v>
      </c>
      <c r="M23" s="244">
        <f t="shared" si="29"/>
        <v>1</v>
      </c>
      <c r="N23" s="240">
        <f>IF(M23=1,'適正原価率表(仕入れお小遣い制度)'!$J$5,0)</f>
        <v>9688.5663241793391</v>
      </c>
      <c r="O23" s="240">
        <f t="shared" si="9"/>
        <v>116262.79589015206</v>
      </c>
      <c r="P23" s="225"/>
      <c r="Q23" s="240">
        <f t="shared" si="10"/>
        <v>0</v>
      </c>
      <c r="R23" s="242">
        <f t="shared" si="4"/>
        <v>116262.79589015206</v>
      </c>
      <c r="S23" s="221"/>
      <c r="T23" s="245">
        <f t="shared" si="11"/>
        <v>45677</v>
      </c>
      <c r="U23" s="221"/>
      <c r="V23" s="221"/>
      <c r="W23" s="221"/>
      <c r="X23" s="221"/>
      <c r="Y23" s="221"/>
      <c r="Z23" s="221"/>
    </row>
    <row r="24" spans="1:26" ht="18.75" customHeight="1" outlineLevel="1">
      <c r="A24" s="221"/>
      <c r="B24" s="237">
        <f t="shared" si="5"/>
        <v>45678</v>
      </c>
      <c r="C24" s="238">
        <f t="shared" si="1"/>
        <v>45678</v>
      </c>
      <c r="D24" s="239">
        <f>目標_2025R7!D41</f>
        <v>1</v>
      </c>
      <c r="E24" s="240">
        <f>IF(D24=1,'適正原価率表(仕入れお小遣い制度)'!$J$4,0)</f>
        <v>11755.810307545426</v>
      </c>
      <c r="F24" s="240">
        <f t="shared" si="6"/>
        <v>152825.53399809051</v>
      </c>
      <c r="G24" s="246"/>
      <c r="H24" s="240">
        <f t="shared" si="7"/>
        <v>0</v>
      </c>
      <c r="I24" s="242">
        <f t="shared" si="2"/>
        <v>152825.53399809051</v>
      </c>
      <c r="J24" s="230"/>
      <c r="K24" s="237">
        <v>45678</v>
      </c>
      <c r="L24" s="243">
        <f t="shared" ref="L24:M24" si="30">C24</f>
        <v>45678</v>
      </c>
      <c r="M24" s="244">
        <f t="shared" si="30"/>
        <v>1</v>
      </c>
      <c r="N24" s="240">
        <f>IF(M24=1,'適正原価率表(仕入れお小遣い制度)'!$J$5,0)</f>
        <v>9688.5663241793391</v>
      </c>
      <c r="O24" s="240">
        <f t="shared" si="9"/>
        <v>125951.3622143314</v>
      </c>
      <c r="P24" s="225"/>
      <c r="Q24" s="240">
        <f t="shared" si="10"/>
        <v>0</v>
      </c>
      <c r="R24" s="242">
        <f t="shared" si="4"/>
        <v>125951.3622143314</v>
      </c>
      <c r="S24" s="221"/>
      <c r="T24" s="245">
        <f t="shared" si="11"/>
        <v>45678</v>
      </c>
      <c r="U24" s="221"/>
      <c r="V24" s="221"/>
      <c r="W24" s="221"/>
      <c r="X24" s="221"/>
      <c r="Y24" s="221"/>
      <c r="Z24" s="221"/>
    </row>
    <row r="25" spans="1:26" ht="18.75" customHeight="1" outlineLevel="1">
      <c r="A25" s="221"/>
      <c r="B25" s="237">
        <f t="shared" si="5"/>
        <v>45679</v>
      </c>
      <c r="C25" s="238">
        <f t="shared" si="1"/>
        <v>45679</v>
      </c>
      <c r="D25" s="239">
        <f>目標_2025R7!D42</f>
        <v>1</v>
      </c>
      <c r="E25" s="240">
        <f>IF(D25=1,'適正原価率表(仕入れお小遣い制度)'!$J$4,0)</f>
        <v>11755.810307545426</v>
      </c>
      <c r="F25" s="240">
        <f t="shared" si="6"/>
        <v>164581.34430563592</v>
      </c>
      <c r="G25" s="246"/>
      <c r="H25" s="240">
        <f t="shared" si="7"/>
        <v>0</v>
      </c>
      <c r="I25" s="242">
        <f t="shared" si="2"/>
        <v>164581.34430563592</v>
      </c>
      <c r="J25" s="230"/>
      <c r="K25" s="237">
        <v>45679</v>
      </c>
      <c r="L25" s="243">
        <f t="shared" ref="L25:M25" si="31">C25</f>
        <v>45679</v>
      </c>
      <c r="M25" s="244">
        <f t="shared" si="31"/>
        <v>1</v>
      </c>
      <c r="N25" s="240">
        <f>IF(M25=1,'適正原価率表(仕入れお小遣い制度)'!$J$5,0)</f>
        <v>9688.5663241793391</v>
      </c>
      <c r="O25" s="240">
        <f t="shared" si="9"/>
        <v>135639.92853851075</v>
      </c>
      <c r="P25" s="225"/>
      <c r="Q25" s="240">
        <f t="shared" si="10"/>
        <v>0</v>
      </c>
      <c r="R25" s="242">
        <f t="shared" si="4"/>
        <v>135639.92853851075</v>
      </c>
      <c r="S25" s="221"/>
      <c r="T25" s="245">
        <f t="shared" si="11"/>
        <v>45679</v>
      </c>
      <c r="U25" s="221"/>
      <c r="V25" s="221"/>
      <c r="W25" s="221"/>
      <c r="X25" s="221"/>
      <c r="Y25" s="221"/>
      <c r="Z25" s="221"/>
    </row>
    <row r="26" spans="1:26" ht="18.75" customHeight="1" outlineLevel="1">
      <c r="A26" s="221"/>
      <c r="B26" s="237">
        <f t="shared" si="5"/>
        <v>45680</v>
      </c>
      <c r="C26" s="238">
        <f t="shared" si="1"/>
        <v>45680</v>
      </c>
      <c r="D26" s="239">
        <f>目標_2025R7!D43</f>
        <v>1</v>
      </c>
      <c r="E26" s="240">
        <f>IF(D26=1,'適正原価率表(仕入れお小遣い制度)'!$J$4,0)</f>
        <v>11755.810307545426</v>
      </c>
      <c r="F26" s="240">
        <f t="shared" si="6"/>
        <v>176337.15461318134</v>
      </c>
      <c r="G26" s="246"/>
      <c r="H26" s="240">
        <f t="shared" si="7"/>
        <v>0</v>
      </c>
      <c r="I26" s="242">
        <f t="shared" si="2"/>
        <v>176337.15461318134</v>
      </c>
      <c r="J26" s="230"/>
      <c r="K26" s="237">
        <v>45680</v>
      </c>
      <c r="L26" s="243">
        <f t="shared" ref="L26:M26" si="32">C26</f>
        <v>45680</v>
      </c>
      <c r="M26" s="244">
        <f t="shared" si="32"/>
        <v>1</v>
      </c>
      <c r="N26" s="240">
        <f>IF(M26=1,'適正原価率表(仕入れお小遣い制度)'!$J$5,0)</f>
        <v>9688.5663241793391</v>
      </c>
      <c r="O26" s="240">
        <f t="shared" si="9"/>
        <v>145328.4948626901</v>
      </c>
      <c r="P26" s="225"/>
      <c r="Q26" s="240">
        <f t="shared" si="10"/>
        <v>0</v>
      </c>
      <c r="R26" s="242">
        <f t="shared" si="4"/>
        <v>145328.4948626901</v>
      </c>
      <c r="S26" s="221"/>
      <c r="T26" s="245">
        <f t="shared" si="11"/>
        <v>45680</v>
      </c>
      <c r="U26" s="221"/>
      <c r="V26" s="221"/>
      <c r="W26" s="221"/>
      <c r="X26" s="221"/>
      <c r="Y26" s="221"/>
      <c r="Z26" s="221"/>
    </row>
    <row r="27" spans="1:26" ht="18.75" customHeight="1" outlineLevel="1">
      <c r="A27" s="221"/>
      <c r="B27" s="237">
        <f t="shared" si="5"/>
        <v>45681</v>
      </c>
      <c r="C27" s="238">
        <f t="shared" si="1"/>
        <v>45681</v>
      </c>
      <c r="D27" s="239">
        <f>目標_2025R7!D44</f>
        <v>1</v>
      </c>
      <c r="E27" s="240">
        <f>IF(D27=1,'適正原価率表(仕入れお小遣い制度)'!$J$4,0)</f>
        <v>11755.810307545426</v>
      </c>
      <c r="F27" s="240">
        <f t="shared" si="6"/>
        <v>188092.96492072675</v>
      </c>
      <c r="G27" s="246"/>
      <c r="H27" s="240">
        <f t="shared" si="7"/>
        <v>0</v>
      </c>
      <c r="I27" s="242">
        <f t="shared" si="2"/>
        <v>188092.96492072675</v>
      </c>
      <c r="J27" s="230"/>
      <c r="K27" s="237">
        <v>45681</v>
      </c>
      <c r="L27" s="243">
        <f t="shared" ref="L27:M27" si="33">C27</f>
        <v>45681</v>
      </c>
      <c r="M27" s="244">
        <f t="shared" si="33"/>
        <v>1</v>
      </c>
      <c r="N27" s="240">
        <f>IF(M27=1,'適正原価率表(仕入れお小遣い制度)'!$J$5,0)</f>
        <v>9688.5663241793391</v>
      </c>
      <c r="O27" s="240">
        <f t="shared" si="9"/>
        <v>155017.06118686945</v>
      </c>
      <c r="P27" s="225"/>
      <c r="Q27" s="240">
        <f t="shared" si="10"/>
        <v>0</v>
      </c>
      <c r="R27" s="242">
        <f t="shared" si="4"/>
        <v>155017.06118686945</v>
      </c>
      <c r="S27" s="221"/>
      <c r="T27" s="245">
        <f t="shared" si="11"/>
        <v>45681</v>
      </c>
      <c r="U27" s="221"/>
      <c r="V27" s="221"/>
      <c r="W27" s="221"/>
      <c r="X27" s="221"/>
      <c r="Y27" s="221"/>
      <c r="Z27" s="221"/>
    </row>
    <row r="28" spans="1:26" ht="18.75" customHeight="1" outlineLevel="1">
      <c r="A28" s="221"/>
      <c r="B28" s="237">
        <f t="shared" si="5"/>
        <v>45682</v>
      </c>
      <c r="C28" s="238">
        <f t="shared" si="1"/>
        <v>45682</v>
      </c>
      <c r="D28" s="239">
        <f>目標_2025R7!D45</f>
        <v>1</v>
      </c>
      <c r="E28" s="240">
        <f>IF(D28=1,'適正原価率表(仕入れお小遣い制度)'!$J$4,0)</f>
        <v>11755.810307545426</v>
      </c>
      <c r="F28" s="240">
        <f t="shared" si="6"/>
        <v>199848.77522827216</v>
      </c>
      <c r="G28" s="246"/>
      <c r="H28" s="240">
        <f t="shared" si="7"/>
        <v>0</v>
      </c>
      <c r="I28" s="242">
        <f t="shared" si="2"/>
        <v>199848.77522827216</v>
      </c>
      <c r="J28" s="230"/>
      <c r="K28" s="237">
        <v>45682</v>
      </c>
      <c r="L28" s="243">
        <f t="shared" ref="L28:M28" si="34">C28</f>
        <v>45682</v>
      </c>
      <c r="M28" s="244">
        <f t="shared" si="34"/>
        <v>1</v>
      </c>
      <c r="N28" s="240">
        <f>IF(M28=1,'適正原価率表(仕入れお小遣い制度)'!$J$5,0)</f>
        <v>9688.5663241793391</v>
      </c>
      <c r="O28" s="240">
        <f t="shared" si="9"/>
        <v>164705.62751104881</v>
      </c>
      <c r="P28" s="225"/>
      <c r="Q28" s="240">
        <f t="shared" si="10"/>
        <v>0</v>
      </c>
      <c r="R28" s="242">
        <f t="shared" si="4"/>
        <v>164705.62751104881</v>
      </c>
      <c r="S28" s="221"/>
      <c r="T28" s="245">
        <f t="shared" si="11"/>
        <v>45682</v>
      </c>
      <c r="U28" s="221"/>
      <c r="V28" s="221"/>
      <c r="W28" s="221"/>
      <c r="X28" s="221"/>
      <c r="Y28" s="221"/>
      <c r="Z28" s="221"/>
    </row>
    <row r="29" spans="1:26" ht="18.75" customHeight="1" outlineLevel="1">
      <c r="A29" s="221"/>
      <c r="B29" s="237">
        <f t="shared" si="5"/>
        <v>45683</v>
      </c>
      <c r="C29" s="238">
        <f t="shared" si="1"/>
        <v>45683</v>
      </c>
      <c r="D29" s="239">
        <f>目標_2025R7!D46</f>
        <v>1</v>
      </c>
      <c r="E29" s="240">
        <f>IF(D29=1,'適正原価率表(仕入れお小遣い制度)'!$J$4,0)</f>
        <v>11755.810307545426</v>
      </c>
      <c r="F29" s="240">
        <f t="shared" si="6"/>
        <v>211604.58553581758</v>
      </c>
      <c r="G29" s="246"/>
      <c r="H29" s="240">
        <f t="shared" si="7"/>
        <v>0</v>
      </c>
      <c r="I29" s="242">
        <f t="shared" si="2"/>
        <v>211604.58553581758</v>
      </c>
      <c r="J29" s="230"/>
      <c r="K29" s="237">
        <v>45683</v>
      </c>
      <c r="L29" s="243">
        <f t="shared" ref="L29:M29" si="35">C29</f>
        <v>45683</v>
      </c>
      <c r="M29" s="244">
        <f t="shared" si="35"/>
        <v>1</v>
      </c>
      <c r="N29" s="240">
        <f>IF(M29=1,'適正原価率表(仕入れお小遣い制度)'!$J$5,0)</f>
        <v>9688.5663241793391</v>
      </c>
      <c r="O29" s="240">
        <f t="shared" si="9"/>
        <v>174394.19383522816</v>
      </c>
      <c r="P29" s="225"/>
      <c r="Q29" s="240">
        <f t="shared" si="10"/>
        <v>0</v>
      </c>
      <c r="R29" s="242">
        <f t="shared" si="4"/>
        <v>174394.19383522816</v>
      </c>
      <c r="S29" s="221"/>
      <c r="T29" s="245">
        <f t="shared" si="11"/>
        <v>45683</v>
      </c>
      <c r="U29" s="221"/>
      <c r="V29" s="221"/>
      <c r="W29" s="221"/>
      <c r="X29" s="221"/>
      <c r="Y29" s="221"/>
      <c r="Z29" s="221"/>
    </row>
    <row r="30" spans="1:26" ht="18.75" customHeight="1" outlineLevel="1">
      <c r="A30" s="221"/>
      <c r="B30" s="237">
        <f t="shared" si="5"/>
        <v>45684</v>
      </c>
      <c r="C30" s="238">
        <f t="shared" si="1"/>
        <v>45684</v>
      </c>
      <c r="D30" s="239">
        <f>目標_2025R7!D47</f>
        <v>0</v>
      </c>
      <c r="E30" s="240">
        <f>IF(D30=1,'適正原価率表(仕入れお小遣い制度)'!$J$4,0)</f>
        <v>0</v>
      </c>
      <c r="F30" s="240">
        <f t="shared" si="6"/>
        <v>0</v>
      </c>
      <c r="G30" s="246"/>
      <c r="H30" s="240">
        <f t="shared" si="7"/>
        <v>0</v>
      </c>
      <c r="I30" s="242">
        <f t="shared" si="2"/>
        <v>0</v>
      </c>
      <c r="J30" s="230"/>
      <c r="K30" s="237">
        <v>45684</v>
      </c>
      <c r="L30" s="243">
        <f t="shared" ref="L30:M30" si="36">C30</f>
        <v>45684</v>
      </c>
      <c r="M30" s="244">
        <f t="shared" si="36"/>
        <v>0</v>
      </c>
      <c r="N30" s="240">
        <f>IF(M30=1,'適正原価率表(仕入れお小遣い制度)'!$J$5,0)</f>
        <v>0</v>
      </c>
      <c r="O30" s="240">
        <f t="shared" si="9"/>
        <v>0</v>
      </c>
      <c r="P30" s="225"/>
      <c r="Q30" s="240">
        <f t="shared" si="10"/>
        <v>0</v>
      </c>
      <c r="R30" s="242">
        <f t="shared" si="4"/>
        <v>0</v>
      </c>
      <c r="S30" s="221"/>
      <c r="T30" s="245">
        <f t="shared" si="11"/>
        <v>45684</v>
      </c>
      <c r="U30" s="221"/>
      <c r="V30" s="221"/>
      <c r="W30" s="221"/>
      <c r="X30" s="221"/>
      <c r="Y30" s="221"/>
      <c r="Z30" s="221"/>
    </row>
    <row r="31" spans="1:26" ht="18.75" customHeight="1" outlineLevel="1">
      <c r="A31" s="221"/>
      <c r="B31" s="237">
        <f t="shared" si="5"/>
        <v>45685</v>
      </c>
      <c r="C31" s="238">
        <f t="shared" si="1"/>
        <v>45685</v>
      </c>
      <c r="D31" s="239">
        <f>目標_2025R7!D48</f>
        <v>1</v>
      </c>
      <c r="E31" s="240">
        <f>IF(D31=1,'適正原価率表(仕入れお小遣い制度)'!$J$4,0)</f>
        <v>11755.810307545426</v>
      </c>
      <c r="F31" s="240">
        <f t="shared" si="6"/>
        <v>223360.39584336299</v>
      </c>
      <c r="G31" s="246"/>
      <c r="H31" s="240">
        <f t="shared" si="7"/>
        <v>0</v>
      </c>
      <c r="I31" s="242">
        <f t="shared" si="2"/>
        <v>223360.39584336299</v>
      </c>
      <c r="J31" s="230"/>
      <c r="K31" s="237">
        <v>45685</v>
      </c>
      <c r="L31" s="243">
        <f t="shared" ref="L31:M31" si="37">C31</f>
        <v>45685</v>
      </c>
      <c r="M31" s="244">
        <f t="shared" si="37"/>
        <v>1</v>
      </c>
      <c r="N31" s="240">
        <f>IF(M31=1,'適正原価率表(仕入れお小遣い制度)'!$J$5,0)</f>
        <v>9688.5663241793391</v>
      </c>
      <c r="O31" s="240">
        <f t="shared" si="9"/>
        <v>184082.76015940751</v>
      </c>
      <c r="P31" s="225"/>
      <c r="Q31" s="240">
        <f t="shared" si="10"/>
        <v>0</v>
      </c>
      <c r="R31" s="242">
        <f t="shared" si="4"/>
        <v>184082.76015940751</v>
      </c>
      <c r="S31" s="221"/>
      <c r="T31" s="245">
        <f t="shared" si="11"/>
        <v>45685</v>
      </c>
      <c r="U31" s="221"/>
      <c r="V31" s="221"/>
      <c r="W31" s="221"/>
      <c r="X31" s="221"/>
      <c r="Y31" s="221"/>
      <c r="Z31" s="221"/>
    </row>
    <row r="32" spans="1:26" ht="18.75" customHeight="1" outlineLevel="1">
      <c r="A32" s="221"/>
      <c r="B32" s="237">
        <f t="shared" si="5"/>
        <v>45686</v>
      </c>
      <c r="C32" s="238">
        <f t="shared" si="1"/>
        <v>45686</v>
      </c>
      <c r="D32" s="239">
        <f>目標_2025R7!D49</f>
        <v>1</v>
      </c>
      <c r="E32" s="240">
        <f>IF(D32=1,'適正原価率表(仕入れお小遣い制度)'!$J$4,0)</f>
        <v>11755.810307545426</v>
      </c>
      <c r="F32" s="240">
        <f t="shared" si="6"/>
        <v>235116.2061509084</v>
      </c>
      <c r="G32" s="246"/>
      <c r="H32" s="240">
        <f t="shared" si="7"/>
        <v>0</v>
      </c>
      <c r="I32" s="242">
        <f t="shared" si="2"/>
        <v>235116.2061509084</v>
      </c>
      <c r="J32" s="230"/>
      <c r="K32" s="237">
        <v>45686</v>
      </c>
      <c r="L32" s="243">
        <f t="shared" ref="L32:M32" si="38">C32</f>
        <v>45686</v>
      </c>
      <c r="M32" s="244">
        <f t="shared" si="38"/>
        <v>1</v>
      </c>
      <c r="N32" s="240">
        <f>IF(M32=1,'適正原価率表(仕入れお小遣い制度)'!$J$5,0)</f>
        <v>9688.5663241793391</v>
      </c>
      <c r="O32" s="240">
        <f t="shared" si="9"/>
        <v>193771.32648358686</v>
      </c>
      <c r="P32" s="225"/>
      <c r="Q32" s="240">
        <f t="shared" si="10"/>
        <v>0</v>
      </c>
      <c r="R32" s="242">
        <f t="shared" si="4"/>
        <v>193771.32648358686</v>
      </c>
      <c r="S32" s="221"/>
      <c r="T32" s="245">
        <f t="shared" si="11"/>
        <v>45686</v>
      </c>
      <c r="U32" s="221"/>
      <c r="V32" s="221"/>
      <c r="W32" s="221"/>
      <c r="X32" s="221"/>
      <c r="Y32" s="221"/>
      <c r="Z32" s="221"/>
    </row>
    <row r="33" spans="1:26" ht="18.75" customHeight="1" outlineLevel="1">
      <c r="A33" s="221"/>
      <c r="B33" s="237">
        <f t="shared" si="5"/>
        <v>45687</v>
      </c>
      <c r="C33" s="238">
        <f t="shared" si="1"/>
        <v>45687</v>
      </c>
      <c r="D33" s="239">
        <f>目標_2025R7!D50</f>
        <v>1</v>
      </c>
      <c r="E33" s="240">
        <f>IF(D33=1,'適正原価率表(仕入れお小遣い制度)'!$J$4,0)</f>
        <v>11755.810307545426</v>
      </c>
      <c r="F33" s="240">
        <f t="shared" si="6"/>
        <v>246872.01645845381</v>
      </c>
      <c r="G33" s="246"/>
      <c r="H33" s="240">
        <f t="shared" si="7"/>
        <v>0</v>
      </c>
      <c r="I33" s="242">
        <f t="shared" si="2"/>
        <v>246872.01645845381</v>
      </c>
      <c r="J33" s="230"/>
      <c r="K33" s="237">
        <v>45687</v>
      </c>
      <c r="L33" s="243">
        <f t="shared" ref="L33:M33" si="39">C33</f>
        <v>45687</v>
      </c>
      <c r="M33" s="244">
        <f t="shared" si="39"/>
        <v>1</v>
      </c>
      <c r="N33" s="240">
        <f>IF(M33=1,'適正原価率表(仕入れお小遣い制度)'!$J$5,0)</f>
        <v>9688.5663241793391</v>
      </c>
      <c r="O33" s="240">
        <f t="shared" si="9"/>
        <v>203459.89280776621</v>
      </c>
      <c r="P33" s="225"/>
      <c r="Q33" s="240">
        <f t="shared" si="10"/>
        <v>0</v>
      </c>
      <c r="R33" s="242">
        <f t="shared" si="4"/>
        <v>203459.89280776621</v>
      </c>
      <c r="S33" s="221"/>
      <c r="T33" s="245">
        <f t="shared" si="11"/>
        <v>45687</v>
      </c>
      <c r="U33" s="221"/>
      <c r="V33" s="221"/>
      <c r="W33" s="221"/>
      <c r="X33" s="221"/>
      <c r="Y33" s="221"/>
      <c r="Z33" s="221"/>
    </row>
    <row r="34" spans="1:26" ht="18.75" customHeight="1" outlineLevel="1">
      <c r="A34" s="221"/>
      <c r="B34" s="237">
        <f t="shared" si="5"/>
        <v>45688</v>
      </c>
      <c r="C34" s="238">
        <f t="shared" si="1"/>
        <v>45688</v>
      </c>
      <c r="D34" s="239">
        <f>目標_2025R7!D51</f>
        <v>1</v>
      </c>
      <c r="E34" s="240">
        <f>IF(D34=1,'適正原価率表(仕入れお小遣い制度)'!$J$4,0)</f>
        <v>11755.810307545426</v>
      </c>
      <c r="F34" s="240">
        <f t="shared" si="6"/>
        <v>258627.82676599923</v>
      </c>
      <c r="G34" s="246"/>
      <c r="H34" s="240">
        <f t="shared" si="7"/>
        <v>0</v>
      </c>
      <c r="I34" s="242">
        <f t="shared" si="2"/>
        <v>258627.82676599923</v>
      </c>
      <c r="J34" s="230"/>
      <c r="K34" s="237">
        <v>45688</v>
      </c>
      <c r="L34" s="243">
        <f t="shared" ref="L34:M34" si="40">C34</f>
        <v>45688</v>
      </c>
      <c r="M34" s="244">
        <f t="shared" si="40"/>
        <v>1</v>
      </c>
      <c r="N34" s="240">
        <f>IF(M34=1,'適正原価率表(仕入れお小遣い制度)'!$J$5,0)</f>
        <v>9688.5663241793391</v>
      </c>
      <c r="O34" s="240">
        <f t="shared" si="9"/>
        <v>213148.45913194556</v>
      </c>
      <c r="P34" s="225"/>
      <c r="Q34" s="240">
        <f t="shared" si="10"/>
        <v>0</v>
      </c>
      <c r="R34" s="242">
        <f t="shared" si="4"/>
        <v>213148.45913194556</v>
      </c>
      <c r="S34" s="221"/>
      <c r="T34" s="245">
        <f t="shared" si="11"/>
        <v>45688</v>
      </c>
      <c r="U34" s="221"/>
      <c r="V34" s="221"/>
      <c r="W34" s="221"/>
      <c r="X34" s="221"/>
      <c r="Y34" s="221"/>
      <c r="Z34" s="221"/>
    </row>
    <row r="35" spans="1:26" ht="18.75" customHeight="1" outlineLevel="1">
      <c r="A35" s="221"/>
      <c r="B35" s="561" t="s">
        <v>176</v>
      </c>
      <c r="C35" s="486"/>
      <c r="D35" s="483"/>
      <c r="E35" s="247">
        <f>SUM(E4:E34)</f>
        <v>258627.82676599923</v>
      </c>
      <c r="F35" s="248"/>
      <c r="G35" s="249"/>
      <c r="H35" s="249"/>
      <c r="I35" s="249"/>
      <c r="J35" s="230"/>
      <c r="K35" s="561" t="s">
        <v>176</v>
      </c>
      <c r="L35" s="486"/>
      <c r="M35" s="483"/>
      <c r="N35" s="247">
        <f>SUM(N4:N34)</f>
        <v>213148.45913194556</v>
      </c>
      <c r="O35" s="248"/>
      <c r="P35" s="249"/>
      <c r="Q35" s="249"/>
      <c r="R35" s="249"/>
      <c r="S35" s="221"/>
      <c r="T35" s="221"/>
      <c r="U35" s="221"/>
      <c r="V35" s="221"/>
      <c r="W35" s="221"/>
      <c r="X35" s="221"/>
      <c r="Y35" s="221"/>
      <c r="Z35" s="221"/>
    </row>
    <row r="36" spans="1:26" ht="18.75" customHeight="1">
      <c r="A36" s="221"/>
      <c r="B36" s="231"/>
      <c r="C36" s="231"/>
      <c r="D36" s="231"/>
      <c r="E36" s="231"/>
      <c r="F36" s="231"/>
      <c r="G36" s="231"/>
      <c r="H36" s="231"/>
      <c r="I36" s="231"/>
      <c r="J36" s="230"/>
      <c r="K36" s="231"/>
      <c r="L36" s="231"/>
      <c r="M36" s="231"/>
      <c r="N36" s="231"/>
      <c r="O36" s="231"/>
      <c r="P36" s="231"/>
      <c r="Q36" s="231"/>
      <c r="R36" s="231"/>
      <c r="S36" s="221"/>
      <c r="T36" s="221"/>
      <c r="U36" s="221"/>
      <c r="V36" s="221"/>
      <c r="W36" s="221"/>
      <c r="X36" s="221"/>
      <c r="Y36" s="221"/>
      <c r="Z36" s="221"/>
    </row>
    <row r="37" spans="1:26" ht="18.75" customHeight="1">
      <c r="A37" s="232"/>
      <c r="B37" s="564" t="s">
        <v>23</v>
      </c>
      <c r="C37" s="565"/>
      <c r="D37" s="504"/>
      <c r="E37" s="233" t="s">
        <v>168</v>
      </c>
      <c r="F37" s="234" t="s">
        <v>169</v>
      </c>
      <c r="G37" s="234" t="s">
        <v>170</v>
      </c>
      <c r="H37" s="234" t="s">
        <v>171</v>
      </c>
      <c r="I37" s="235" t="s">
        <v>19</v>
      </c>
      <c r="J37" s="236"/>
      <c r="K37" s="564" t="str">
        <f t="shared" ref="K37:K65" si="41">B37</f>
        <v>2月</v>
      </c>
      <c r="L37" s="565"/>
      <c r="M37" s="504"/>
      <c r="N37" s="233" t="s">
        <v>172</v>
      </c>
      <c r="O37" s="234" t="s">
        <v>173</v>
      </c>
      <c r="P37" s="234" t="s">
        <v>174</v>
      </c>
      <c r="Q37" s="234" t="s">
        <v>175</v>
      </c>
      <c r="R37" s="234" t="s">
        <v>19</v>
      </c>
      <c r="S37" s="232"/>
      <c r="T37" s="232"/>
      <c r="U37" s="232"/>
      <c r="V37" s="232"/>
      <c r="W37" s="232"/>
      <c r="X37" s="232"/>
      <c r="Y37" s="232"/>
      <c r="Z37" s="232"/>
    </row>
    <row r="38" spans="1:26" ht="18.75" customHeight="1" outlineLevel="1">
      <c r="A38" s="221"/>
      <c r="B38" s="237">
        <f>B34+1</f>
        <v>45689</v>
      </c>
      <c r="C38" s="238">
        <f t="shared" ref="C38:C65" si="42">B38</f>
        <v>45689</v>
      </c>
      <c r="D38" s="239">
        <f>目標_2025R7!D52</f>
        <v>1</v>
      </c>
      <c r="E38" s="240">
        <f>IF(D38=1,'適正原価率表(仕入れお小遣い制度)'!$J$6,0)</f>
        <v>11579.452297131131</v>
      </c>
      <c r="F38" s="240">
        <f>IF(D38=1,E38,0)</f>
        <v>11579.452297131131</v>
      </c>
      <c r="G38" s="241"/>
      <c r="H38" s="240">
        <f>IF(D38=1,G38,0)</f>
        <v>0</v>
      </c>
      <c r="I38" s="242">
        <f t="shared" ref="I38:I65" si="43">IF(D38=1,F38-H38,0)</f>
        <v>11579.452297131131</v>
      </c>
      <c r="J38" s="230"/>
      <c r="K38" s="237">
        <f t="shared" si="41"/>
        <v>45689</v>
      </c>
      <c r="L38" s="243">
        <f t="shared" ref="L38:M38" si="44">C38</f>
        <v>45689</v>
      </c>
      <c r="M38" s="244">
        <f t="shared" si="44"/>
        <v>1</v>
      </c>
      <c r="N38" s="240">
        <f>IF(M38=1,'適正原価率表(仕入れお小遣い制度)'!$J$7,0)</f>
        <v>9806.1383311222035</v>
      </c>
      <c r="O38" s="240">
        <f>IF(M38=1,N38,0)</f>
        <v>9806.1383311222035</v>
      </c>
      <c r="P38" s="225"/>
      <c r="Q38" s="240">
        <f>IF(M38=1,P38,0)</f>
        <v>0</v>
      </c>
      <c r="R38" s="242">
        <f t="shared" ref="R38:R65" si="45">IF(D38=1,O38-Q38,0)</f>
        <v>9806.1383311222035</v>
      </c>
      <c r="S38" s="221"/>
      <c r="T38" s="245">
        <f>T34+1</f>
        <v>45689</v>
      </c>
      <c r="U38" s="221"/>
      <c r="V38" s="221"/>
      <c r="W38" s="221"/>
      <c r="X38" s="221"/>
      <c r="Y38" s="221"/>
      <c r="Z38" s="221"/>
    </row>
    <row r="39" spans="1:26" ht="18.75" customHeight="1" outlineLevel="1">
      <c r="A39" s="221"/>
      <c r="B39" s="237">
        <f t="shared" ref="B39:B65" si="46">B38+1</f>
        <v>45690</v>
      </c>
      <c r="C39" s="238">
        <f t="shared" si="42"/>
        <v>45690</v>
      </c>
      <c r="D39" s="239">
        <f>目標_2025R7!D53</f>
        <v>1</v>
      </c>
      <c r="E39" s="240">
        <f>IF(D39=1,'適正原価率表(仕入れお小遣い制度)'!$J$6,0)</f>
        <v>11579.452297131131</v>
      </c>
      <c r="F39" s="240">
        <f t="shared" ref="F39:F65" si="47">IF(D39=1,SUM($E$38:E39),0)</f>
        <v>23158.904594262262</v>
      </c>
      <c r="G39" s="241"/>
      <c r="H39" s="240">
        <f t="shared" ref="H39:H65" si="48">IF(D39=1,SUM($G$38:G39),0)</f>
        <v>0</v>
      </c>
      <c r="I39" s="242">
        <f t="shared" si="43"/>
        <v>23158.904594262262</v>
      </c>
      <c r="J39" s="230"/>
      <c r="K39" s="237">
        <f t="shared" si="41"/>
        <v>45690</v>
      </c>
      <c r="L39" s="243">
        <f t="shared" ref="L39:M39" si="49">C39</f>
        <v>45690</v>
      </c>
      <c r="M39" s="244">
        <f t="shared" si="49"/>
        <v>1</v>
      </c>
      <c r="N39" s="240">
        <f>IF(M39=1,'適正原価率表(仕入れお小遣い制度)'!$J$7,0)</f>
        <v>9806.1383311222035</v>
      </c>
      <c r="O39" s="240">
        <f t="shared" ref="O39:O65" si="50">IF(M39=1,SUM($N$38:N39),0)</f>
        <v>19612.276662244407</v>
      </c>
      <c r="P39" s="225"/>
      <c r="Q39" s="240">
        <f t="shared" ref="Q39:Q65" si="51">IF(M39=1,SUM($P$38:P39),0)</f>
        <v>0</v>
      </c>
      <c r="R39" s="242">
        <f t="shared" si="45"/>
        <v>19612.276662244407</v>
      </c>
      <c r="S39" s="221"/>
      <c r="T39" s="245">
        <f t="shared" ref="T39:T65" si="52">T38+1</f>
        <v>45690</v>
      </c>
      <c r="U39" s="221"/>
      <c r="V39" s="221"/>
      <c r="W39" s="221"/>
      <c r="X39" s="221"/>
      <c r="Y39" s="221"/>
      <c r="Z39" s="221"/>
    </row>
    <row r="40" spans="1:26" ht="18.75" customHeight="1" outlineLevel="1">
      <c r="A40" s="221"/>
      <c r="B40" s="237">
        <f t="shared" si="46"/>
        <v>45691</v>
      </c>
      <c r="C40" s="238">
        <f t="shared" si="42"/>
        <v>45691</v>
      </c>
      <c r="D40" s="239">
        <f>目標_2025R7!D54</f>
        <v>0</v>
      </c>
      <c r="E40" s="240">
        <f>IF(D40=1,'適正原価率表(仕入れお小遣い制度)'!$J$6,0)</f>
        <v>0</v>
      </c>
      <c r="F40" s="240">
        <f t="shared" si="47"/>
        <v>0</v>
      </c>
      <c r="G40" s="241"/>
      <c r="H40" s="240">
        <f t="shared" si="48"/>
        <v>0</v>
      </c>
      <c r="I40" s="242">
        <f t="shared" si="43"/>
        <v>0</v>
      </c>
      <c r="J40" s="230"/>
      <c r="K40" s="237">
        <f t="shared" si="41"/>
        <v>45691</v>
      </c>
      <c r="L40" s="243">
        <f t="shared" ref="L40:M40" si="53">C40</f>
        <v>45691</v>
      </c>
      <c r="M40" s="244">
        <f t="shared" si="53"/>
        <v>0</v>
      </c>
      <c r="N40" s="240">
        <f>IF(M40=1,'適正原価率表(仕入れお小遣い制度)'!$J$7,0)</f>
        <v>0</v>
      </c>
      <c r="O40" s="240">
        <f t="shared" si="50"/>
        <v>0</v>
      </c>
      <c r="P40" s="225"/>
      <c r="Q40" s="240">
        <f t="shared" si="51"/>
        <v>0</v>
      </c>
      <c r="R40" s="242">
        <f t="shared" si="45"/>
        <v>0</v>
      </c>
      <c r="S40" s="221"/>
      <c r="T40" s="245">
        <f t="shared" si="52"/>
        <v>45691</v>
      </c>
      <c r="U40" s="221"/>
      <c r="V40" s="221"/>
      <c r="W40" s="221"/>
      <c r="X40" s="221"/>
      <c r="Y40" s="221"/>
      <c r="Z40" s="221"/>
    </row>
    <row r="41" spans="1:26" ht="18.75" customHeight="1" outlineLevel="1">
      <c r="A41" s="221"/>
      <c r="B41" s="237">
        <f t="shared" si="46"/>
        <v>45692</v>
      </c>
      <c r="C41" s="238">
        <f t="shared" si="42"/>
        <v>45692</v>
      </c>
      <c r="D41" s="239">
        <f>目標_2025R7!D55</f>
        <v>1</v>
      </c>
      <c r="E41" s="240">
        <f>IF(D41=1,'適正原価率表(仕入れお小遣い制度)'!$J$6,0)</f>
        <v>11579.452297131131</v>
      </c>
      <c r="F41" s="240">
        <f t="shared" si="47"/>
        <v>34738.356891393392</v>
      </c>
      <c r="G41" s="241"/>
      <c r="H41" s="240">
        <f t="shared" si="48"/>
        <v>0</v>
      </c>
      <c r="I41" s="242">
        <f t="shared" si="43"/>
        <v>34738.356891393392</v>
      </c>
      <c r="J41" s="230"/>
      <c r="K41" s="237">
        <f t="shared" si="41"/>
        <v>45692</v>
      </c>
      <c r="L41" s="243">
        <f t="shared" ref="L41:M41" si="54">C41</f>
        <v>45692</v>
      </c>
      <c r="M41" s="244">
        <f t="shared" si="54"/>
        <v>1</v>
      </c>
      <c r="N41" s="240">
        <f>IF(M41=1,'適正原価率表(仕入れお小遣い制度)'!$J$7,0)</f>
        <v>9806.1383311222035</v>
      </c>
      <c r="O41" s="240">
        <f t="shared" si="50"/>
        <v>29418.414993366612</v>
      </c>
      <c r="P41" s="225"/>
      <c r="Q41" s="240">
        <f t="shared" si="51"/>
        <v>0</v>
      </c>
      <c r="R41" s="242">
        <f t="shared" si="45"/>
        <v>29418.414993366612</v>
      </c>
      <c r="S41" s="221"/>
      <c r="T41" s="245">
        <f t="shared" si="52"/>
        <v>45692</v>
      </c>
      <c r="U41" s="221"/>
      <c r="V41" s="221"/>
      <c r="W41" s="221"/>
      <c r="X41" s="221"/>
      <c r="Y41" s="221"/>
      <c r="Z41" s="221"/>
    </row>
    <row r="42" spans="1:26" ht="18.75" customHeight="1" outlineLevel="1">
      <c r="A42" s="221"/>
      <c r="B42" s="237">
        <f t="shared" si="46"/>
        <v>45693</v>
      </c>
      <c r="C42" s="238">
        <f t="shared" si="42"/>
        <v>45693</v>
      </c>
      <c r="D42" s="239">
        <f>目標_2025R7!D56</f>
        <v>1</v>
      </c>
      <c r="E42" s="240">
        <f>IF(D42=1,'適正原価率表(仕入れお小遣い制度)'!$J$6,0)</f>
        <v>11579.452297131131</v>
      </c>
      <c r="F42" s="240">
        <f t="shared" si="47"/>
        <v>46317.809188524523</v>
      </c>
      <c r="G42" s="241"/>
      <c r="H42" s="240">
        <f t="shared" si="48"/>
        <v>0</v>
      </c>
      <c r="I42" s="242">
        <f t="shared" si="43"/>
        <v>46317.809188524523</v>
      </c>
      <c r="J42" s="230"/>
      <c r="K42" s="237">
        <f t="shared" si="41"/>
        <v>45693</v>
      </c>
      <c r="L42" s="243">
        <f t="shared" ref="L42:M42" si="55">C42</f>
        <v>45693</v>
      </c>
      <c r="M42" s="244">
        <f t="shared" si="55"/>
        <v>1</v>
      </c>
      <c r="N42" s="240">
        <f>IF(M42=1,'適正原価率表(仕入れお小遣い制度)'!$J$7,0)</f>
        <v>9806.1383311222035</v>
      </c>
      <c r="O42" s="240">
        <f t="shared" si="50"/>
        <v>39224.553324488814</v>
      </c>
      <c r="P42" s="225"/>
      <c r="Q42" s="240">
        <f t="shared" si="51"/>
        <v>0</v>
      </c>
      <c r="R42" s="242">
        <f t="shared" si="45"/>
        <v>39224.553324488814</v>
      </c>
      <c r="S42" s="221"/>
      <c r="T42" s="245">
        <f t="shared" si="52"/>
        <v>45693</v>
      </c>
      <c r="U42" s="221"/>
      <c r="V42" s="221"/>
      <c r="W42" s="221"/>
      <c r="X42" s="221"/>
      <c r="Y42" s="221"/>
      <c r="Z42" s="221"/>
    </row>
    <row r="43" spans="1:26" ht="18.75" customHeight="1" outlineLevel="1">
      <c r="A43" s="221"/>
      <c r="B43" s="237">
        <f t="shared" si="46"/>
        <v>45694</v>
      </c>
      <c r="C43" s="238">
        <f t="shared" si="42"/>
        <v>45694</v>
      </c>
      <c r="D43" s="239">
        <f>目標_2025R7!D57</f>
        <v>1</v>
      </c>
      <c r="E43" s="240">
        <f>IF(D43=1,'適正原価率表(仕入れお小遣い制度)'!$J$6,0)</f>
        <v>11579.452297131131</v>
      </c>
      <c r="F43" s="240">
        <f t="shared" si="47"/>
        <v>57897.261485655654</v>
      </c>
      <c r="G43" s="241"/>
      <c r="H43" s="240">
        <f t="shared" si="48"/>
        <v>0</v>
      </c>
      <c r="I43" s="242">
        <f t="shared" si="43"/>
        <v>57897.261485655654</v>
      </c>
      <c r="J43" s="230"/>
      <c r="K43" s="237">
        <f t="shared" si="41"/>
        <v>45694</v>
      </c>
      <c r="L43" s="243">
        <f t="shared" ref="L43:M43" si="56">C43</f>
        <v>45694</v>
      </c>
      <c r="M43" s="244">
        <f t="shared" si="56"/>
        <v>1</v>
      </c>
      <c r="N43" s="240">
        <f>IF(M43=1,'適正原価率表(仕入れお小遣い制度)'!$J$7,0)</f>
        <v>9806.1383311222035</v>
      </c>
      <c r="O43" s="240">
        <f t="shared" si="50"/>
        <v>49030.691655611015</v>
      </c>
      <c r="P43" s="225"/>
      <c r="Q43" s="240">
        <f t="shared" si="51"/>
        <v>0</v>
      </c>
      <c r="R43" s="242">
        <f t="shared" si="45"/>
        <v>49030.691655611015</v>
      </c>
      <c r="S43" s="221"/>
      <c r="T43" s="245">
        <f t="shared" si="52"/>
        <v>45694</v>
      </c>
      <c r="U43" s="221"/>
      <c r="V43" s="221"/>
      <c r="W43" s="221"/>
      <c r="X43" s="221"/>
      <c r="Y43" s="221"/>
      <c r="Z43" s="221"/>
    </row>
    <row r="44" spans="1:26" ht="18.75" customHeight="1" outlineLevel="1">
      <c r="A44" s="221"/>
      <c r="B44" s="237">
        <f t="shared" si="46"/>
        <v>45695</v>
      </c>
      <c r="C44" s="238">
        <f t="shared" si="42"/>
        <v>45695</v>
      </c>
      <c r="D44" s="239">
        <f>目標_2025R7!D58</f>
        <v>1</v>
      </c>
      <c r="E44" s="240">
        <f>IF(D44=1,'適正原価率表(仕入れお小遣い制度)'!$J$6,0)</f>
        <v>11579.452297131131</v>
      </c>
      <c r="F44" s="240">
        <f t="shared" si="47"/>
        <v>69476.713782786785</v>
      </c>
      <c r="G44" s="241"/>
      <c r="H44" s="240">
        <f t="shared" si="48"/>
        <v>0</v>
      </c>
      <c r="I44" s="242">
        <f t="shared" si="43"/>
        <v>69476.713782786785</v>
      </c>
      <c r="J44" s="230"/>
      <c r="K44" s="237">
        <f t="shared" si="41"/>
        <v>45695</v>
      </c>
      <c r="L44" s="243">
        <f t="shared" ref="L44:M44" si="57">C44</f>
        <v>45695</v>
      </c>
      <c r="M44" s="244">
        <f t="shared" si="57"/>
        <v>1</v>
      </c>
      <c r="N44" s="240">
        <f>IF(M44=1,'適正原価率表(仕入れお小遣い制度)'!$J$7,0)</f>
        <v>9806.1383311222035</v>
      </c>
      <c r="O44" s="240">
        <f t="shared" si="50"/>
        <v>58836.829986733217</v>
      </c>
      <c r="P44" s="225"/>
      <c r="Q44" s="240">
        <f t="shared" si="51"/>
        <v>0</v>
      </c>
      <c r="R44" s="242">
        <f t="shared" si="45"/>
        <v>58836.829986733217</v>
      </c>
      <c r="S44" s="221"/>
      <c r="T44" s="245">
        <f t="shared" si="52"/>
        <v>45695</v>
      </c>
      <c r="U44" s="221"/>
      <c r="V44" s="221"/>
      <c r="W44" s="221"/>
      <c r="X44" s="221"/>
      <c r="Y44" s="221"/>
      <c r="Z44" s="221"/>
    </row>
    <row r="45" spans="1:26" ht="18.75" customHeight="1" outlineLevel="1">
      <c r="A45" s="221"/>
      <c r="B45" s="237">
        <f t="shared" si="46"/>
        <v>45696</v>
      </c>
      <c r="C45" s="238">
        <f t="shared" si="42"/>
        <v>45696</v>
      </c>
      <c r="D45" s="239">
        <f>目標_2025R7!D59</f>
        <v>1</v>
      </c>
      <c r="E45" s="240">
        <f>IF(D45=1,'適正原価率表(仕入れお小遣い制度)'!$J$6,0)</f>
        <v>11579.452297131131</v>
      </c>
      <c r="F45" s="240">
        <f t="shared" si="47"/>
        <v>81056.166079917923</v>
      </c>
      <c r="G45" s="241"/>
      <c r="H45" s="240">
        <f t="shared" si="48"/>
        <v>0</v>
      </c>
      <c r="I45" s="242">
        <f t="shared" si="43"/>
        <v>81056.166079917923</v>
      </c>
      <c r="J45" s="230"/>
      <c r="K45" s="237">
        <f t="shared" si="41"/>
        <v>45696</v>
      </c>
      <c r="L45" s="243">
        <f t="shared" ref="L45:M45" si="58">C45</f>
        <v>45696</v>
      </c>
      <c r="M45" s="244">
        <f t="shared" si="58"/>
        <v>1</v>
      </c>
      <c r="N45" s="240">
        <f>IF(M45=1,'適正原価率表(仕入れお小遣い制度)'!$J$7,0)</f>
        <v>9806.1383311222035</v>
      </c>
      <c r="O45" s="240">
        <f t="shared" si="50"/>
        <v>68642.968317855426</v>
      </c>
      <c r="P45" s="225"/>
      <c r="Q45" s="240">
        <f t="shared" si="51"/>
        <v>0</v>
      </c>
      <c r="R45" s="242">
        <f t="shared" si="45"/>
        <v>68642.968317855426</v>
      </c>
      <c r="S45" s="221"/>
      <c r="T45" s="245">
        <f t="shared" si="52"/>
        <v>45696</v>
      </c>
      <c r="U45" s="221"/>
      <c r="V45" s="221"/>
      <c r="W45" s="221"/>
      <c r="X45" s="221"/>
      <c r="Y45" s="221"/>
      <c r="Z45" s="221"/>
    </row>
    <row r="46" spans="1:26" ht="18.75" customHeight="1" outlineLevel="1">
      <c r="A46" s="221"/>
      <c r="B46" s="237">
        <f t="shared" si="46"/>
        <v>45697</v>
      </c>
      <c r="C46" s="238">
        <f t="shared" si="42"/>
        <v>45697</v>
      </c>
      <c r="D46" s="239">
        <f>目標_2025R7!D60</f>
        <v>1</v>
      </c>
      <c r="E46" s="240">
        <f>IF(D46=1,'適正原価率表(仕入れお小遣い制度)'!$J$6,0)</f>
        <v>11579.452297131131</v>
      </c>
      <c r="F46" s="240">
        <f t="shared" si="47"/>
        <v>92635.618377049046</v>
      </c>
      <c r="G46" s="241"/>
      <c r="H46" s="240">
        <f t="shared" si="48"/>
        <v>0</v>
      </c>
      <c r="I46" s="242">
        <f t="shared" si="43"/>
        <v>92635.618377049046</v>
      </c>
      <c r="J46" s="230"/>
      <c r="K46" s="237">
        <f t="shared" si="41"/>
        <v>45697</v>
      </c>
      <c r="L46" s="243">
        <f t="shared" ref="L46:M46" si="59">C46</f>
        <v>45697</v>
      </c>
      <c r="M46" s="244">
        <f t="shared" si="59"/>
        <v>1</v>
      </c>
      <c r="N46" s="240">
        <f>IF(M46=1,'適正原価率表(仕入れお小遣い制度)'!$J$7,0)</f>
        <v>9806.1383311222035</v>
      </c>
      <c r="O46" s="240">
        <f t="shared" si="50"/>
        <v>78449.106648977628</v>
      </c>
      <c r="P46" s="225"/>
      <c r="Q46" s="240">
        <f t="shared" si="51"/>
        <v>0</v>
      </c>
      <c r="R46" s="242">
        <f t="shared" si="45"/>
        <v>78449.106648977628</v>
      </c>
      <c r="S46" s="221"/>
      <c r="T46" s="245">
        <f t="shared" si="52"/>
        <v>45697</v>
      </c>
      <c r="U46" s="221"/>
      <c r="V46" s="221"/>
      <c r="W46" s="221"/>
      <c r="X46" s="221"/>
      <c r="Y46" s="221"/>
      <c r="Z46" s="221"/>
    </row>
    <row r="47" spans="1:26" ht="18.75" customHeight="1" outlineLevel="1">
      <c r="A47" s="221"/>
      <c r="B47" s="237">
        <f t="shared" si="46"/>
        <v>45698</v>
      </c>
      <c r="C47" s="238">
        <f t="shared" si="42"/>
        <v>45698</v>
      </c>
      <c r="D47" s="239">
        <f>目標_2025R7!D61</f>
        <v>0</v>
      </c>
      <c r="E47" s="240">
        <f>IF(D47=1,'適正原価率表(仕入れお小遣い制度)'!$J$6,0)</f>
        <v>0</v>
      </c>
      <c r="F47" s="240">
        <f t="shared" si="47"/>
        <v>0</v>
      </c>
      <c r="G47" s="241"/>
      <c r="H47" s="240">
        <f t="shared" si="48"/>
        <v>0</v>
      </c>
      <c r="I47" s="242">
        <f t="shared" si="43"/>
        <v>0</v>
      </c>
      <c r="J47" s="230"/>
      <c r="K47" s="237">
        <f t="shared" si="41"/>
        <v>45698</v>
      </c>
      <c r="L47" s="243">
        <f t="shared" ref="L47:M47" si="60">C47</f>
        <v>45698</v>
      </c>
      <c r="M47" s="244">
        <f t="shared" si="60"/>
        <v>0</v>
      </c>
      <c r="N47" s="240">
        <f>IF(M47=1,'適正原価率表(仕入れお小遣い制度)'!$J$7,0)</f>
        <v>0</v>
      </c>
      <c r="O47" s="240">
        <f t="shared" si="50"/>
        <v>0</v>
      </c>
      <c r="P47" s="225"/>
      <c r="Q47" s="240">
        <f t="shared" si="51"/>
        <v>0</v>
      </c>
      <c r="R47" s="242">
        <f t="shared" si="45"/>
        <v>0</v>
      </c>
      <c r="S47" s="221"/>
      <c r="T47" s="245">
        <f t="shared" si="52"/>
        <v>45698</v>
      </c>
      <c r="U47" s="221"/>
      <c r="V47" s="221"/>
      <c r="W47" s="221"/>
      <c r="X47" s="221"/>
      <c r="Y47" s="221"/>
      <c r="Z47" s="221"/>
    </row>
    <row r="48" spans="1:26" ht="18.75" customHeight="1" outlineLevel="1">
      <c r="A48" s="221"/>
      <c r="B48" s="237">
        <f t="shared" si="46"/>
        <v>45699</v>
      </c>
      <c r="C48" s="238">
        <f t="shared" si="42"/>
        <v>45699</v>
      </c>
      <c r="D48" s="239">
        <f>目標_2025R7!D62</f>
        <v>0</v>
      </c>
      <c r="E48" s="240">
        <f>IF(D48=1,'適正原価率表(仕入れお小遣い制度)'!$J$6,0)</f>
        <v>0</v>
      </c>
      <c r="F48" s="240">
        <f t="shared" si="47"/>
        <v>0</v>
      </c>
      <c r="G48" s="241"/>
      <c r="H48" s="240">
        <f t="shared" si="48"/>
        <v>0</v>
      </c>
      <c r="I48" s="242">
        <f t="shared" si="43"/>
        <v>0</v>
      </c>
      <c r="J48" s="230"/>
      <c r="K48" s="237">
        <f t="shared" si="41"/>
        <v>45699</v>
      </c>
      <c r="L48" s="243">
        <f t="shared" ref="L48:M48" si="61">C48</f>
        <v>45699</v>
      </c>
      <c r="M48" s="244">
        <f t="shared" si="61"/>
        <v>0</v>
      </c>
      <c r="N48" s="240">
        <f>IF(M48=1,'適正原価率表(仕入れお小遣い制度)'!$J$7,0)</f>
        <v>0</v>
      </c>
      <c r="O48" s="240">
        <f t="shared" si="50"/>
        <v>0</v>
      </c>
      <c r="P48" s="225"/>
      <c r="Q48" s="240">
        <f t="shared" si="51"/>
        <v>0</v>
      </c>
      <c r="R48" s="242">
        <f t="shared" si="45"/>
        <v>0</v>
      </c>
      <c r="S48" s="221"/>
      <c r="T48" s="245">
        <f t="shared" si="52"/>
        <v>45699</v>
      </c>
      <c r="U48" s="221"/>
      <c r="V48" s="221"/>
      <c r="W48" s="221"/>
      <c r="X48" s="221"/>
      <c r="Y48" s="221"/>
      <c r="Z48" s="221"/>
    </row>
    <row r="49" spans="1:26" ht="18.75" customHeight="1" outlineLevel="1">
      <c r="A49" s="221"/>
      <c r="B49" s="237">
        <f t="shared" si="46"/>
        <v>45700</v>
      </c>
      <c r="C49" s="238">
        <f t="shared" si="42"/>
        <v>45700</v>
      </c>
      <c r="D49" s="239">
        <f>目標_2025R7!D63</f>
        <v>1</v>
      </c>
      <c r="E49" s="240">
        <f>IF(D49=1,'適正原価率表(仕入れお小遣い制度)'!$J$6,0)</f>
        <v>11579.452297131131</v>
      </c>
      <c r="F49" s="240">
        <f t="shared" si="47"/>
        <v>104215.07067418017</v>
      </c>
      <c r="G49" s="241"/>
      <c r="H49" s="240">
        <f t="shared" si="48"/>
        <v>0</v>
      </c>
      <c r="I49" s="242">
        <f t="shared" si="43"/>
        <v>104215.07067418017</v>
      </c>
      <c r="J49" s="230"/>
      <c r="K49" s="237">
        <f t="shared" si="41"/>
        <v>45700</v>
      </c>
      <c r="L49" s="243">
        <f t="shared" ref="L49:M49" si="62">C49</f>
        <v>45700</v>
      </c>
      <c r="M49" s="244">
        <f t="shared" si="62"/>
        <v>1</v>
      </c>
      <c r="N49" s="240">
        <f>IF(M49=1,'適正原価率表(仕入れお小遣い制度)'!$J$7,0)</f>
        <v>9806.1383311222035</v>
      </c>
      <c r="O49" s="240">
        <f t="shared" si="50"/>
        <v>88255.244980099829</v>
      </c>
      <c r="P49" s="225"/>
      <c r="Q49" s="240">
        <f t="shared" si="51"/>
        <v>0</v>
      </c>
      <c r="R49" s="242">
        <f t="shared" si="45"/>
        <v>88255.244980099829</v>
      </c>
      <c r="S49" s="221"/>
      <c r="T49" s="245">
        <f t="shared" si="52"/>
        <v>45700</v>
      </c>
      <c r="U49" s="221"/>
      <c r="V49" s="221"/>
      <c r="W49" s="221"/>
      <c r="X49" s="221"/>
      <c r="Y49" s="221"/>
      <c r="Z49" s="221"/>
    </row>
    <row r="50" spans="1:26" ht="18.75" customHeight="1" outlineLevel="1">
      <c r="A50" s="221"/>
      <c r="B50" s="237">
        <f t="shared" si="46"/>
        <v>45701</v>
      </c>
      <c r="C50" s="238">
        <f t="shared" si="42"/>
        <v>45701</v>
      </c>
      <c r="D50" s="239">
        <f>目標_2025R7!D64</f>
        <v>1</v>
      </c>
      <c r="E50" s="240">
        <f>IF(D50=1,'適正原価率表(仕入れお小遣い制度)'!$J$6,0)</f>
        <v>11579.452297131131</v>
      </c>
      <c r="F50" s="240">
        <f t="shared" si="47"/>
        <v>115794.52297131129</v>
      </c>
      <c r="G50" s="241"/>
      <c r="H50" s="240">
        <f t="shared" si="48"/>
        <v>0</v>
      </c>
      <c r="I50" s="242">
        <f t="shared" si="43"/>
        <v>115794.52297131129</v>
      </c>
      <c r="J50" s="230"/>
      <c r="K50" s="237">
        <f t="shared" si="41"/>
        <v>45701</v>
      </c>
      <c r="L50" s="243">
        <f t="shared" ref="L50:M50" si="63">C50</f>
        <v>45701</v>
      </c>
      <c r="M50" s="244">
        <f t="shared" si="63"/>
        <v>1</v>
      </c>
      <c r="N50" s="240">
        <f>IF(M50=1,'適正原価率表(仕入れお小遣い制度)'!$J$7,0)</f>
        <v>9806.1383311222035</v>
      </c>
      <c r="O50" s="240">
        <f t="shared" si="50"/>
        <v>98061.383311222031</v>
      </c>
      <c r="P50" s="225"/>
      <c r="Q50" s="240">
        <f t="shared" si="51"/>
        <v>0</v>
      </c>
      <c r="R50" s="242">
        <f t="shared" si="45"/>
        <v>98061.383311222031</v>
      </c>
      <c r="S50" s="221"/>
      <c r="T50" s="245">
        <f t="shared" si="52"/>
        <v>45701</v>
      </c>
      <c r="U50" s="221"/>
      <c r="V50" s="221"/>
      <c r="W50" s="221"/>
      <c r="X50" s="221"/>
      <c r="Y50" s="221"/>
      <c r="Z50" s="221"/>
    </row>
    <row r="51" spans="1:26" ht="18.75" customHeight="1" outlineLevel="1">
      <c r="A51" s="221"/>
      <c r="B51" s="237">
        <f t="shared" si="46"/>
        <v>45702</v>
      </c>
      <c r="C51" s="238">
        <f t="shared" si="42"/>
        <v>45702</v>
      </c>
      <c r="D51" s="239">
        <f>目標_2025R7!D65</f>
        <v>1</v>
      </c>
      <c r="E51" s="240">
        <f>IF(D51=1,'適正原価率表(仕入れお小遣い制度)'!$J$6,0)</f>
        <v>11579.452297131131</v>
      </c>
      <c r="F51" s="240">
        <f t="shared" si="47"/>
        <v>127373.97526844242</v>
      </c>
      <c r="G51" s="241"/>
      <c r="H51" s="240">
        <f t="shared" si="48"/>
        <v>0</v>
      </c>
      <c r="I51" s="242">
        <f t="shared" si="43"/>
        <v>127373.97526844242</v>
      </c>
      <c r="J51" s="230"/>
      <c r="K51" s="237">
        <f t="shared" si="41"/>
        <v>45702</v>
      </c>
      <c r="L51" s="243">
        <f t="shared" ref="L51:M51" si="64">C51</f>
        <v>45702</v>
      </c>
      <c r="M51" s="244">
        <f t="shared" si="64"/>
        <v>1</v>
      </c>
      <c r="N51" s="240">
        <f>IF(M51=1,'適正原価率表(仕入れお小遣い制度)'!$J$7,0)</f>
        <v>9806.1383311222035</v>
      </c>
      <c r="O51" s="240">
        <f t="shared" si="50"/>
        <v>107867.52164234423</v>
      </c>
      <c r="P51" s="225"/>
      <c r="Q51" s="240">
        <f t="shared" si="51"/>
        <v>0</v>
      </c>
      <c r="R51" s="242">
        <f t="shared" si="45"/>
        <v>107867.52164234423</v>
      </c>
      <c r="S51" s="221"/>
      <c r="T51" s="245">
        <f t="shared" si="52"/>
        <v>45702</v>
      </c>
      <c r="U51" s="221"/>
      <c r="V51" s="221"/>
      <c r="W51" s="221"/>
      <c r="X51" s="221"/>
      <c r="Y51" s="221"/>
      <c r="Z51" s="221"/>
    </row>
    <row r="52" spans="1:26" ht="18.75" customHeight="1" outlineLevel="1">
      <c r="A52" s="221"/>
      <c r="B52" s="237">
        <f t="shared" si="46"/>
        <v>45703</v>
      </c>
      <c r="C52" s="238">
        <f t="shared" si="42"/>
        <v>45703</v>
      </c>
      <c r="D52" s="239">
        <f>目標_2025R7!D66</f>
        <v>1</v>
      </c>
      <c r="E52" s="240">
        <f>IF(D52=1,'適正原価率表(仕入れお小遣い制度)'!$J$6,0)</f>
        <v>11579.452297131131</v>
      </c>
      <c r="F52" s="240">
        <f t="shared" si="47"/>
        <v>138953.42756557354</v>
      </c>
      <c r="G52" s="241"/>
      <c r="H52" s="240">
        <f t="shared" si="48"/>
        <v>0</v>
      </c>
      <c r="I52" s="242">
        <f t="shared" si="43"/>
        <v>138953.42756557354</v>
      </c>
      <c r="J52" s="230"/>
      <c r="K52" s="237">
        <f t="shared" si="41"/>
        <v>45703</v>
      </c>
      <c r="L52" s="243">
        <f t="shared" ref="L52:M52" si="65">C52</f>
        <v>45703</v>
      </c>
      <c r="M52" s="244">
        <f t="shared" si="65"/>
        <v>1</v>
      </c>
      <c r="N52" s="240">
        <f>IF(M52=1,'適正原価率表(仕入れお小遣い制度)'!$J$7,0)</f>
        <v>9806.1383311222035</v>
      </c>
      <c r="O52" s="240">
        <f t="shared" si="50"/>
        <v>117673.65997346643</v>
      </c>
      <c r="P52" s="225"/>
      <c r="Q52" s="240">
        <f t="shared" si="51"/>
        <v>0</v>
      </c>
      <c r="R52" s="242">
        <f t="shared" si="45"/>
        <v>117673.65997346643</v>
      </c>
      <c r="S52" s="221"/>
      <c r="T52" s="245">
        <f t="shared" si="52"/>
        <v>45703</v>
      </c>
      <c r="U52" s="221"/>
      <c r="V52" s="221"/>
      <c r="W52" s="221"/>
      <c r="X52" s="221"/>
      <c r="Y52" s="221"/>
      <c r="Z52" s="221"/>
    </row>
    <row r="53" spans="1:26" ht="18.75" customHeight="1" outlineLevel="1">
      <c r="A53" s="221"/>
      <c r="B53" s="237">
        <f t="shared" si="46"/>
        <v>45704</v>
      </c>
      <c r="C53" s="238">
        <f t="shared" si="42"/>
        <v>45704</v>
      </c>
      <c r="D53" s="239">
        <f>目標_2025R7!D67</f>
        <v>1</v>
      </c>
      <c r="E53" s="240">
        <f>IF(D53=1,'適正原価率表(仕入れお小遣い制度)'!$J$6,0)</f>
        <v>11579.452297131131</v>
      </c>
      <c r="F53" s="240">
        <f t="shared" si="47"/>
        <v>150532.87986270466</v>
      </c>
      <c r="G53" s="241"/>
      <c r="H53" s="240">
        <f t="shared" si="48"/>
        <v>0</v>
      </c>
      <c r="I53" s="242">
        <f t="shared" si="43"/>
        <v>150532.87986270466</v>
      </c>
      <c r="J53" s="230"/>
      <c r="K53" s="237">
        <f t="shared" si="41"/>
        <v>45704</v>
      </c>
      <c r="L53" s="243">
        <f t="shared" ref="L53:M53" si="66">C53</f>
        <v>45704</v>
      </c>
      <c r="M53" s="244">
        <f t="shared" si="66"/>
        <v>1</v>
      </c>
      <c r="N53" s="240">
        <f>IF(M53=1,'適正原価率表(仕入れお小遣い制度)'!$J$7,0)</f>
        <v>9806.1383311222035</v>
      </c>
      <c r="O53" s="240">
        <f t="shared" si="50"/>
        <v>127479.79830458864</v>
      </c>
      <c r="P53" s="225"/>
      <c r="Q53" s="240">
        <f t="shared" si="51"/>
        <v>0</v>
      </c>
      <c r="R53" s="242">
        <f t="shared" si="45"/>
        <v>127479.79830458864</v>
      </c>
      <c r="S53" s="221"/>
      <c r="T53" s="245">
        <f t="shared" si="52"/>
        <v>45704</v>
      </c>
      <c r="U53" s="221"/>
      <c r="V53" s="221"/>
      <c r="W53" s="221"/>
      <c r="X53" s="221"/>
      <c r="Y53" s="221"/>
      <c r="Z53" s="221"/>
    </row>
    <row r="54" spans="1:26" ht="18.75" customHeight="1" outlineLevel="1">
      <c r="A54" s="221"/>
      <c r="B54" s="237">
        <f t="shared" si="46"/>
        <v>45705</v>
      </c>
      <c r="C54" s="238">
        <f t="shared" si="42"/>
        <v>45705</v>
      </c>
      <c r="D54" s="239">
        <f>目標_2025R7!D68</f>
        <v>0</v>
      </c>
      <c r="E54" s="240">
        <f>IF(D54=1,'適正原価率表(仕入れお小遣い制度)'!$J$6,0)</f>
        <v>0</v>
      </c>
      <c r="F54" s="240">
        <f t="shared" si="47"/>
        <v>0</v>
      </c>
      <c r="G54" s="241"/>
      <c r="H54" s="240">
        <f t="shared" si="48"/>
        <v>0</v>
      </c>
      <c r="I54" s="242">
        <f t="shared" si="43"/>
        <v>0</v>
      </c>
      <c r="J54" s="230"/>
      <c r="K54" s="237">
        <f t="shared" si="41"/>
        <v>45705</v>
      </c>
      <c r="L54" s="243">
        <f t="shared" ref="L54:M54" si="67">C54</f>
        <v>45705</v>
      </c>
      <c r="M54" s="244">
        <f t="shared" si="67"/>
        <v>0</v>
      </c>
      <c r="N54" s="240">
        <f>IF(M54=1,'適正原価率表(仕入れお小遣い制度)'!$J$7,0)</f>
        <v>0</v>
      </c>
      <c r="O54" s="240">
        <f t="shared" si="50"/>
        <v>0</v>
      </c>
      <c r="P54" s="225"/>
      <c r="Q54" s="240">
        <f t="shared" si="51"/>
        <v>0</v>
      </c>
      <c r="R54" s="242">
        <f t="shared" si="45"/>
        <v>0</v>
      </c>
      <c r="S54" s="221"/>
      <c r="T54" s="245">
        <f t="shared" si="52"/>
        <v>45705</v>
      </c>
      <c r="U54" s="221"/>
      <c r="V54" s="221"/>
      <c r="W54" s="221"/>
      <c r="X54" s="221"/>
      <c r="Y54" s="221"/>
      <c r="Z54" s="221"/>
    </row>
    <row r="55" spans="1:26" ht="18.75" customHeight="1" outlineLevel="1">
      <c r="A55" s="221"/>
      <c r="B55" s="237">
        <f t="shared" si="46"/>
        <v>45706</v>
      </c>
      <c r="C55" s="238">
        <f t="shared" si="42"/>
        <v>45706</v>
      </c>
      <c r="D55" s="239">
        <f>目標_2025R7!D69</f>
        <v>1</v>
      </c>
      <c r="E55" s="240">
        <f>IF(D55=1,'適正原価率表(仕入れお小遣い制度)'!$J$6,0)</f>
        <v>11579.452297131131</v>
      </c>
      <c r="F55" s="240">
        <f t="shared" si="47"/>
        <v>162112.33215983579</v>
      </c>
      <c r="G55" s="241"/>
      <c r="H55" s="240">
        <f t="shared" si="48"/>
        <v>0</v>
      </c>
      <c r="I55" s="242">
        <f t="shared" si="43"/>
        <v>162112.33215983579</v>
      </c>
      <c r="J55" s="230"/>
      <c r="K55" s="237">
        <f t="shared" si="41"/>
        <v>45706</v>
      </c>
      <c r="L55" s="243">
        <f t="shared" ref="L55:M55" si="68">C55</f>
        <v>45706</v>
      </c>
      <c r="M55" s="244">
        <f t="shared" si="68"/>
        <v>1</v>
      </c>
      <c r="N55" s="240">
        <f>IF(M55=1,'適正原価率表(仕入れお小遣い制度)'!$J$7,0)</f>
        <v>9806.1383311222035</v>
      </c>
      <c r="O55" s="240">
        <f t="shared" si="50"/>
        <v>137285.93663571085</v>
      </c>
      <c r="P55" s="225"/>
      <c r="Q55" s="240">
        <f t="shared" si="51"/>
        <v>0</v>
      </c>
      <c r="R55" s="242">
        <f t="shared" si="45"/>
        <v>137285.93663571085</v>
      </c>
      <c r="S55" s="221"/>
      <c r="T55" s="245">
        <f t="shared" si="52"/>
        <v>45706</v>
      </c>
      <c r="U55" s="221"/>
      <c r="V55" s="221"/>
      <c r="W55" s="221"/>
      <c r="X55" s="221"/>
      <c r="Y55" s="221"/>
      <c r="Z55" s="221"/>
    </row>
    <row r="56" spans="1:26" ht="18.75" customHeight="1" outlineLevel="1">
      <c r="A56" s="221"/>
      <c r="B56" s="237">
        <f t="shared" si="46"/>
        <v>45707</v>
      </c>
      <c r="C56" s="238">
        <f t="shared" si="42"/>
        <v>45707</v>
      </c>
      <c r="D56" s="239">
        <f>目標_2025R7!D70</f>
        <v>1</v>
      </c>
      <c r="E56" s="240">
        <f>IF(D56=1,'適正原価率表(仕入れお小遣い制度)'!$J$6,0)</f>
        <v>11579.452297131131</v>
      </c>
      <c r="F56" s="240">
        <f t="shared" si="47"/>
        <v>173691.78445696691</v>
      </c>
      <c r="G56" s="241"/>
      <c r="H56" s="240">
        <f t="shared" si="48"/>
        <v>0</v>
      </c>
      <c r="I56" s="242">
        <f t="shared" si="43"/>
        <v>173691.78445696691</v>
      </c>
      <c r="J56" s="230"/>
      <c r="K56" s="237">
        <f t="shared" si="41"/>
        <v>45707</v>
      </c>
      <c r="L56" s="243">
        <f t="shared" ref="L56:M56" si="69">C56</f>
        <v>45707</v>
      </c>
      <c r="M56" s="244">
        <f t="shared" si="69"/>
        <v>1</v>
      </c>
      <c r="N56" s="240">
        <f>IF(M56=1,'適正原価率表(仕入れお小遣い制度)'!$J$7,0)</f>
        <v>9806.1383311222035</v>
      </c>
      <c r="O56" s="240">
        <f t="shared" si="50"/>
        <v>147092.07496683305</v>
      </c>
      <c r="P56" s="225"/>
      <c r="Q56" s="240">
        <f t="shared" si="51"/>
        <v>0</v>
      </c>
      <c r="R56" s="242">
        <f t="shared" si="45"/>
        <v>147092.07496683305</v>
      </c>
      <c r="S56" s="221"/>
      <c r="T56" s="245">
        <f t="shared" si="52"/>
        <v>45707</v>
      </c>
      <c r="U56" s="221"/>
      <c r="V56" s="221"/>
      <c r="W56" s="221"/>
      <c r="X56" s="221"/>
      <c r="Y56" s="221"/>
      <c r="Z56" s="221"/>
    </row>
    <row r="57" spans="1:26" ht="18.75" customHeight="1" outlineLevel="1">
      <c r="A57" s="221"/>
      <c r="B57" s="237">
        <f t="shared" si="46"/>
        <v>45708</v>
      </c>
      <c r="C57" s="238">
        <f t="shared" si="42"/>
        <v>45708</v>
      </c>
      <c r="D57" s="239">
        <f>目標_2025R7!D71</f>
        <v>1</v>
      </c>
      <c r="E57" s="240">
        <f>IF(D57=1,'適正原価率表(仕入れお小遣い制度)'!$J$6,0)</f>
        <v>11579.452297131131</v>
      </c>
      <c r="F57" s="240">
        <f t="shared" si="47"/>
        <v>185271.23675409803</v>
      </c>
      <c r="G57" s="241"/>
      <c r="H57" s="240">
        <f t="shared" si="48"/>
        <v>0</v>
      </c>
      <c r="I57" s="242">
        <f t="shared" si="43"/>
        <v>185271.23675409803</v>
      </c>
      <c r="J57" s="230"/>
      <c r="K57" s="237">
        <f t="shared" si="41"/>
        <v>45708</v>
      </c>
      <c r="L57" s="243">
        <f t="shared" ref="L57:M57" si="70">C57</f>
        <v>45708</v>
      </c>
      <c r="M57" s="244">
        <f t="shared" si="70"/>
        <v>1</v>
      </c>
      <c r="N57" s="240">
        <f>IF(M57=1,'適正原価率表(仕入れお小遣い制度)'!$J$7,0)</f>
        <v>9806.1383311222035</v>
      </c>
      <c r="O57" s="240">
        <f t="shared" si="50"/>
        <v>156898.21329795526</v>
      </c>
      <c r="P57" s="225"/>
      <c r="Q57" s="240">
        <f t="shared" si="51"/>
        <v>0</v>
      </c>
      <c r="R57" s="242">
        <f t="shared" si="45"/>
        <v>156898.21329795526</v>
      </c>
      <c r="S57" s="221"/>
      <c r="T57" s="245">
        <f t="shared" si="52"/>
        <v>45708</v>
      </c>
      <c r="U57" s="221"/>
      <c r="V57" s="221"/>
      <c r="W57" s="221"/>
      <c r="X57" s="221"/>
      <c r="Y57" s="221"/>
      <c r="Z57" s="221"/>
    </row>
    <row r="58" spans="1:26" ht="18.75" customHeight="1" outlineLevel="1">
      <c r="A58" s="221"/>
      <c r="B58" s="237">
        <f t="shared" si="46"/>
        <v>45709</v>
      </c>
      <c r="C58" s="238">
        <f t="shared" si="42"/>
        <v>45709</v>
      </c>
      <c r="D58" s="239">
        <f>目標_2025R7!D72</f>
        <v>1</v>
      </c>
      <c r="E58" s="240">
        <f>IF(D58=1,'適正原価率表(仕入れお小遣い制度)'!$J$6,0)</f>
        <v>11579.452297131131</v>
      </c>
      <c r="F58" s="240">
        <f t="shared" si="47"/>
        <v>196850.68905122916</v>
      </c>
      <c r="G58" s="241"/>
      <c r="H58" s="240">
        <f t="shared" si="48"/>
        <v>0</v>
      </c>
      <c r="I58" s="242">
        <f t="shared" si="43"/>
        <v>196850.68905122916</v>
      </c>
      <c r="J58" s="230"/>
      <c r="K58" s="237">
        <f t="shared" si="41"/>
        <v>45709</v>
      </c>
      <c r="L58" s="243">
        <f t="shared" ref="L58:M58" si="71">C58</f>
        <v>45709</v>
      </c>
      <c r="M58" s="244">
        <f t="shared" si="71"/>
        <v>1</v>
      </c>
      <c r="N58" s="240">
        <f>IF(M58=1,'適正原価率表(仕入れお小遣い制度)'!$J$7,0)</f>
        <v>9806.1383311222035</v>
      </c>
      <c r="O58" s="240">
        <f t="shared" si="50"/>
        <v>166704.35162907746</v>
      </c>
      <c r="P58" s="225"/>
      <c r="Q58" s="240">
        <f t="shared" si="51"/>
        <v>0</v>
      </c>
      <c r="R58" s="242">
        <f t="shared" si="45"/>
        <v>166704.35162907746</v>
      </c>
      <c r="S58" s="221"/>
      <c r="T58" s="245">
        <f t="shared" si="52"/>
        <v>45709</v>
      </c>
      <c r="U58" s="221"/>
      <c r="V58" s="221"/>
      <c r="W58" s="221"/>
      <c r="X58" s="221"/>
      <c r="Y58" s="221"/>
      <c r="Z58" s="221"/>
    </row>
    <row r="59" spans="1:26" ht="18.75" customHeight="1" outlineLevel="1">
      <c r="A59" s="221"/>
      <c r="B59" s="237">
        <f t="shared" si="46"/>
        <v>45710</v>
      </c>
      <c r="C59" s="238">
        <f t="shared" si="42"/>
        <v>45710</v>
      </c>
      <c r="D59" s="239">
        <f>目標_2025R7!D73</f>
        <v>1</v>
      </c>
      <c r="E59" s="240">
        <f>IF(D59=1,'適正原価率表(仕入れお小遣い制度)'!$J$6,0)</f>
        <v>11579.452297131131</v>
      </c>
      <c r="F59" s="240">
        <f t="shared" si="47"/>
        <v>208430.14134836028</v>
      </c>
      <c r="G59" s="241"/>
      <c r="H59" s="240">
        <f t="shared" si="48"/>
        <v>0</v>
      </c>
      <c r="I59" s="242">
        <f t="shared" si="43"/>
        <v>208430.14134836028</v>
      </c>
      <c r="J59" s="230"/>
      <c r="K59" s="237">
        <f t="shared" si="41"/>
        <v>45710</v>
      </c>
      <c r="L59" s="243">
        <f t="shared" ref="L59:M59" si="72">C59</f>
        <v>45710</v>
      </c>
      <c r="M59" s="244">
        <f t="shared" si="72"/>
        <v>1</v>
      </c>
      <c r="N59" s="240">
        <f>IF(M59=1,'適正原価率表(仕入れお小遣い制度)'!$J$7,0)</f>
        <v>9806.1383311222035</v>
      </c>
      <c r="O59" s="240">
        <f t="shared" si="50"/>
        <v>176510.48996019966</v>
      </c>
      <c r="P59" s="225"/>
      <c r="Q59" s="240">
        <f t="shared" si="51"/>
        <v>0</v>
      </c>
      <c r="R59" s="242">
        <f t="shared" si="45"/>
        <v>176510.48996019966</v>
      </c>
      <c r="S59" s="221"/>
      <c r="T59" s="245">
        <f t="shared" si="52"/>
        <v>45710</v>
      </c>
      <c r="U59" s="221"/>
      <c r="V59" s="221"/>
      <c r="W59" s="221"/>
      <c r="X59" s="221"/>
      <c r="Y59" s="221"/>
      <c r="Z59" s="221"/>
    </row>
    <row r="60" spans="1:26" ht="18.75" customHeight="1" outlineLevel="1">
      <c r="A60" s="221"/>
      <c r="B60" s="237">
        <f t="shared" si="46"/>
        <v>45711</v>
      </c>
      <c r="C60" s="238">
        <f t="shared" si="42"/>
        <v>45711</v>
      </c>
      <c r="D60" s="239">
        <f>目標_2025R7!D74</f>
        <v>1</v>
      </c>
      <c r="E60" s="240">
        <f>IF(D60=1,'適正原価率表(仕入れお小遣い制度)'!$J$6,0)</f>
        <v>11579.452297131131</v>
      </c>
      <c r="F60" s="240">
        <f t="shared" si="47"/>
        <v>220009.5936454914</v>
      </c>
      <c r="G60" s="241"/>
      <c r="H60" s="240">
        <f t="shared" si="48"/>
        <v>0</v>
      </c>
      <c r="I60" s="242">
        <f t="shared" si="43"/>
        <v>220009.5936454914</v>
      </c>
      <c r="J60" s="230"/>
      <c r="K60" s="237">
        <f t="shared" si="41"/>
        <v>45711</v>
      </c>
      <c r="L60" s="243">
        <f t="shared" ref="L60:M60" si="73">C60</f>
        <v>45711</v>
      </c>
      <c r="M60" s="244">
        <f t="shared" si="73"/>
        <v>1</v>
      </c>
      <c r="N60" s="240">
        <f>IF(M60=1,'適正原価率表(仕入れお小遣い制度)'!$J$7,0)</f>
        <v>9806.1383311222035</v>
      </c>
      <c r="O60" s="240">
        <f t="shared" si="50"/>
        <v>186316.62829132186</v>
      </c>
      <c r="P60" s="225"/>
      <c r="Q60" s="240">
        <f t="shared" si="51"/>
        <v>0</v>
      </c>
      <c r="R60" s="242">
        <f t="shared" si="45"/>
        <v>186316.62829132186</v>
      </c>
      <c r="S60" s="221"/>
      <c r="T60" s="245">
        <f t="shared" si="52"/>
        <v>45711</v>
      </c>
      <c r="U60" s="221"/>
      <c r="V60" s="221"/>
      <c r="W60" s="221"/>
      <c r="X60" s="221"/>
      <c r="Y60" s="221"/>
      <c r="Z60" s="221"/>
    </row>
    <row r="61" spans="1:26" ht="18.75" customHeight="1" outlineLevel="1">
      <c r="A61" s="221"/>
      <c r="B61" s="237">
        <f t="shared" si="46"/>
        <v>45712</v>
      </c>
      <c r="C61" s="238">
        <f t="shared" si="42"/>
        <v>45712</v>
      </c>
      <c r="D61" s="239">
        <f>目標_2025R7!D75</f>
        <v>0</v>
      </c>
      <c r="E61" s="240">
        <f>IF(D61=1,'適正原価率表(仕入れお小遣い制度)'!$J$6,0)</f>
        <v>0</v>
      </c>
      <c r="F61" s="240">
        <f t="shared" si="47"/>
        <v>0</v>
      </c>
      <c r="G61" s="241"/>
      <c r="H61" s="240">
        <f t="shared" si="48"/>
        <v>0</v>
      </c>
      <c r="I61" s="242">
        <f t="shared" si="43"/>
        <v>0</v>
      </c>
      <c r="J61" s="230"/>
      <c r="K61" s="237">
        <f t="shared" si="41"/>
        <v>45712</v>
      </c>
      <c r="L61" s="243">
        <f t="shared" ref="L61:M61" si="74">C61</f>
        <v>45712</v>
      </c>
      <c r="M61" s="244">
        <f t="shared" si="74"/>
        <v>0</v>
      </c>
      <c r="N61" s="240">
        <f>IF(M61=1,'適正原価率表(仕入れお小遣い制度)'!$J$7,0)</f>
        <v>0</v>
      </c>
      <c r="O61" s="240">
        <f t="shared" si="50"/>
        <v>0</v>
      </c>
      <c r="P61" s="225"/>
      <c r="Q61" s="240">
        <f t="shared" si="51"/>
        <v>0</v>
      </c>
      <c r="R61" s="242">
        <f t="shared" si="45"/>
        <v>0</v>
      </c>
      <c r="S61" s="221"/>
      <c r="T61" s="245">
        <f t="shared" si="52"/>
        <v>45712</v>
      </c>
      <c r="U61" s="221"/>
      <c r="V61" s="221"/>
      <c r="W61" s="221"/>
      <c r="X61" s="221"/>
      <c r="Y61" s="221"/>
      <c r="Z61" s="221"/>
    </row>
    <row r="62" spans="1:26" ht="18.75" customHeight="1" outlineLevel="1">
      <c r="A62" s="221"/>
      <c r="B62" s="237">
        <f t="shared" si="46"/>
        <v>45713</v>
      </c>
      <c r="C62" s="238">
        <f t="shared" si="42"/>
        <v>45713</v>
      </c>
      <c r="D62" s="239">
        <f>目標_2025R7!D76</f>
        <v>1</v>
      </c>
      <c r="E62" s="240">
        <f>IF(D62=1,'適正原価率表(仕入れお小遣い制度)'!$J$6,0)</f>
        <v>11579.452297131131</v>
      </c>
      <c r="F62" s="240">
        <f t="shared" si="47"/>
        <v>231589.04594262253</v>
      </c>
      <c r="G62" s="241"/>
      <c r="H62" s="240">
        <f t="shared" si="48"/>
        <v>0</v>
      </c>
      <c r="I62" s="242">
        <f t="shared" si="43"/>
        <v>231589.04594262253</v>
      </c>
      <c r="J62" s="230"/>
      <c r="K62" s="237">
        <f t="shared" si="41"/>
        <v>45713</v>
      </c>
      <c r="L62" s="243">
        <f t="shared" ref="L62:M62" si="75">C62</f>
        <v>45713</v>
      </c>
      <c r="M62" s="244">
        <f t="shared" si="75"/>
        <v>1</v>
      </c>
      <c r="N62" s="240">
        <f>IF(M62=1,'適正原価率表(仕入れお小遣い制度)'!$J$7,0)</f>
        <v>9806.1383311222035</v>
      </c>
      <c r="O62" s="240">
        <f t="shared" si="50"/>
        <v>196122.76662244406</v>
      </c>
      <c r="P62" s="225"/>
      <c r="Q62" s="240">
        <f t="shared" si="51"/>
        <v>0</v>
      </c>
      <c r="R62" s="242">
        <f t="shared" si="45"/>
        <v>196122.76662244406</v>
      </c>
      <c r="S62" s="221"/>
      <c r="T62" s="245">
        <f t="shared" si="52"/>
        <v>45713</v>
      </c>
      <c r="U62" s="221"/>
      <c r="V62" s="221"/>
      <c r="W62" s="221"/>
      <c r="X62" s="221"/>
      <c r="Y62" s="221"/>
      <c r="Z62" s="221"/>
    </row>
    <row r="63" spans="1:26" ht="18.75" customHeight="1" outlineLevel="1">
      <c r="A63" s="221"/>
      <c r="B63" s="237">
        <f t="shared" si="46"/>
        <v>45714</v>
      </c>
      <c r="C63" s="238">
        <f t="shared" si="42"/>
        <v>45714</v>
      </c>
      <c r="D63" s="239">
        <f>目標_2025R7!D77</f>
        <v>1</v>
      </c>
      <c r="E63" s="240">
        <f>IF(D63=1,'適正原価率表(仕入れお小遣い制度)'!$J$6,0)</f>
        <v>11579.452297131131</v>
      </c>
      <c r="F63" s="240">
        <f t="shared" si="47"/>
        <v>243168.49823975365</v>
      </c>
      <c r="G63" s="241"/>
      <c r="H63" s="240">
        <f t="shared" si="48"/>
        <v>0</v>
      </c>
      <c r="I63" s="242">
        <f t="shared" si="43"/>
        <v>243168.49823975365</v>
      </c>
      <c r="J63" s="230"/>
      <c r="K63" s="237">
        <f t="shared" si="41"/>
        <v>45714</v>
      </c>
      <c r="L63" s="243">
        <f t="shared" ref="L63:M63" si="76">C63</f>
        <v>45714</v>
      </c>
      <c r="M63" s="244">
        <f t="shared" si="76"/>
        <v>1</v>
      </c>
      <c r="N63" s="240">
        <f>IF(M63=1,'適正原価率表(仕入れお小遣い制度)'!$J$7,0)</f>
        <v>9806.1383311222035</v>
      </c>
      <c r="O63" s="240">
        <f t="shared" si="50"/>
        <v>205928.90495356626</v>
      </c>
      <c r="P63" s="225"/>
      <c r="Q63" s="240">
        <f t="shared" si="51"/>
        <v>0</v>
      </c>
      <c r="R63" s="242">
        <f t="shared" si="45"/>
        <v>205928.90495356626</v>
      </c>
      <c r="S63" s="221"/>
      <c r="T63" s="245">
        <f t="shared" si="52"/>
        <v>45714</v>
      </c>
      <c r="U63" s="221"/>
      <c r="V63" s="221"/>
      <c r="W63" s="221"/>
      <c r="X63" s="221"/>
      <c r="Y63" s="221"/>
      <c r="Z63" s="221"/>
    </row>
    <row r="64" spans="1:26" ht="18.75" customHeight="1" outlineLevel="1">
      <c r="A64" s="221"/>
      <c r="B64" s="237">
        <f t="shared" si="46"/>
        <v>45715</v>
      </c>
      <c r="C64" s="238">
        <f t="shared" si="42"/>
        <v>45715</v>
      </c>
      <c r="D64" s="239">
        <f>目標_2025R7!D78</f>
        <v>1</v>
      </c>
      <c r="E64" s="240">
        <f>IF(D64=1,'適正原価率表(仕入れお小遣い制度)'!$J$6,0)</f>
        <v>11579.452297131131</v>
      </c>
      <c r="F64" s="240">
        <f t="shared" si="47"/>
        <v>254747.95053688477</v>
      </c>
      <c r="G64" s="241"/>
      <c r="H64" s="240">
        <f t="shared" si="48"/>
        <v>0</v>
      </c>
      <c r="I64" s="242">
        <f t="shared" si="43"/>
        <v>254747.95053688477</v>
      </c>
      <c r="J64" s="230"/>
      <c r="K64" s="237">
        <f t="shared" si="41"/>
        <v>45715</v>
      </c>
      <c r="L64" s="243">
        <f t="shared" ref="L64:M64" si="77">C64</f>
        <v>45715</v>
      </c>
      <c r="M64" s="244">
        <f t="shared" si="77"/>
        <v>1</v>
      </c>
      <c r="N64" s="240">
        <f>IF(M64=1,'適正原価率表(仕入れお小遣い制度)'!$J$7,0)</f>
        <v>9806.1383311222035</v>
      </c>
      <c r="O64" s="240">
        <f t="shared" si="50"/>
        <v>215735.04328468847</v>
      </c>
      <c r="P64" s="225"/>
      <c r="Q64" s="240">
        <f t="shared" si="51"/>
        <v>0</v>
      </c>
      <c r="R64" s="242">
        <f t="shared" si="45"/>
        <v>215735.04328468847</v>
      </c>
      <c r="S64" s="221"/>
      <c r="T64" s="245">
        <f t="shared" si="52"/>
        <v>45715</v>
      </c>
      <c r="U64" s="221"/>
      <c r="V64" s="221"/>
      <c r="W64" s="221"/>
      <c r="X64" s="221"/>
      <c r="Y64" s="221"/>
      <c r="Z64" s="221"/>
    </row>
    <row r="65" spans="1:26" ht="18.75" customHeight="1" outlineLevel="1">
      <c r="A65" s="221"/>
      <c r="B65" s="237">
        <f t="shared" si="46"/>
        <v>45716</v>
      </c>
      <c r="C65" s="238">
        <f t="shared" si="42"/>
        <v>45716</v>
      </c>
      <c r="D65" s="239">
        <f>目標_2025R7!D79</f>
        <v>1</v>
      </c>
      <c r="E65" s="240">
        <f>IF(D65=1,'適正原価率表(仕入れお小遣い制度)'!$J$6,0)</f>
        <v>11579.452297131131</v>
      </c>
      <c r="F65" s="240">
        <f t="shared" si="47"/>
        <v>266327.4028340159</v>
      </c>
      <c r="G65" s="241"/>
      <c r="H65" s="240">
        <f t="shared" si="48"/>
        <v>0</v>
      </c>
      <c r="I65" s="242">
        <f t="shared" si="43"/>
        <v>266327.4028340159</v>
      </c>
      <c r="J65" s="230"/>
      <c r="K65" s="237">
        <f t="shared" si="41"/>
        <v>45716</v>
      </c>
      <c r="L65" s="243">
        <f t="shared" ref="L65:M65" si="78">C65</f>
        <v>45716</v>
      </c>
      <c r="M65" s="244">
        <f t="shared" si="78"/>
        <v>1</v>
      </c>
      <c r="N65" s="240">
        <f>IF(M65=1,'適正原価率表(仕入れお小遣い制度)'!$J$7,0)</f>
        <v>9806.1383311222035</v>
      </c>
      <c r="O65" s="240">
        <f t="shared" si="50"/>
        <v>225541.18161581067</v>
      </c>
      <c r="P65" s="225"/>
      <c r="Q65" s="240">
        <f t="shared" si="51"/>
        <v>0</v>
      </c>
      <c r="R65" s="242">
        <f t="shared" si="45"/>
        <v>225541.18161581067</v>
      </c>
      <c r="S65" s="221"/>
      <c r="T65" s="245">
        <f t="shared" si="52"/>
        <v>45716</v>
      </c>
      <c r="U65" s="221"/>
      <c r="V65" s="221"/>
      <c r="W65" s="221"/>
      <c r="X65" s="221"/>
      <c r="Y65" s="221"/>
      <c r="Z65" s="221"/>
    </row>
    <row r="66" spans="1:26" ht="18.75" customHeight="1" outlineLevel="1">
      <c r="A66" s="221"/>
      <c r="B66" s="561" t="s">
        <v>176</v>
      </c>
      <c r="C66" s="486"/>
      <c r="D66" s="483"/>
      <c r="E66" s="247">
        <f>SUM(E38:E65)</f>
        <v>266327.4028340159</v>
      </c>
      <c r="F66" s="248"/>
      <c r="G66" s="249"/>
      <c r="H66" s="249"/>
      <c r="I66" s="249"/>
      <c r="J66" s="230"/>
      <c r="K66" s="561" t="s">
        <v>176</v>
      </c>
      <c r="L66" s="486"/>
      <c r="M66" s="483"/>
      <c r="N66" s="247">
        <f>SUM(N38:N65)</f>
        <v>225541.18161581067</v>
      </c>
      <c r="O66" s="248"/>
      <c r="P66" s="249"/>
      <c r="Q66" s="249"/>
      <c r="R66" s="249"/>
      <c r="S66" s="221"/>
      <c r="T66" s="221"/>
      <c r="U66" s="221"/>
      <c r="V66" s="221"/>
      <c r="W66" s="221"/>
      <c r="X66" s="221"/>
      <c r="Y66" s="221"/>
      <c r="Z66" s="221"/>
    </row>
    <row r="67" spans="1:26" ht="18.75" customHeight="1">
      <c r="A67" s="221"/>
      <c r="B67" s="250"/>
      <c r="C67" s="251"/>
      <c r="D67" s="230"/>
      <c r="E67" s="230"/>
      <c r="F67" s="230"/>
      <c r="G67" s="230"/>
      <c r="H67" s="230"/>
      <c r="I67" s="230"/>
      <c r="J67" s="230"/>
      <c r="K67" s="250"/>
      <c r="L67" s="251"/>
      <c r="M67" s="230"/>
      <c r="N67" s="230"/>
      <c r="O67" s="230"/>
      <c r="P67" s="230"/>
      <c r="Q67" s="230"/>
      <c r="R67" s="230"/>
      <c r="S67" s="221"/>
      <c r="T67" s="221"/>
      <c r="U67" s="221"/>
      <c r="V67" s="221"/>
      <c r="W67" s="221"/>
      <c r="X67" s="221"/>
      <c r="Y67" s="221"/>
      <c r="Z67" s="221"/>
    </row>
    <row r="68" spans="1:26" ht="18.75" customHeight="1">
      <c r="A68" s="232"/>
      <c r="B68" s="562" t="s">
        <v>27</v>
      </c>
      <c r="C68" s="486"/>
      <c r="D68" s="483"/>
      <c r="E68" s="252" t="s">
        <v>168</v>
      </c>
      <c r="F68" s="253" t="s">
        <v>169</v>
      </c>
      <c r="G68" s="253" t="s">
        <v>170</v>
      </c>
      <c r="H68" s="253" t="s">
        <v>171</v>
      </c>
      <c r="I68" s="253" t="s">
        <v>19</v>
      </c>
      <c r="J68" s="236"/>
      <c r="K68" s="562" t="str">
        <f t="shared" ref="K68:K99" si="79">B68</f>
        <v>3月</v>
      </c>
      <c r="L68" s="486"/>
      <c r="M68" s="483"/>
      <c r="N68" s="252" t="s">
        <v>172</v>
      </c>
      <c r="O68" s="253" t="s">
        <v>173</v>
      </c>
      <c r="P68" s="253" t="s">
        <v>174</v>
      </c>
      <c r="Q68" s="253" t="s">
        <v>175</v>
      </c>
      <c r="R68" s="253" t="s">
        <v>19</v>
      </c>
      <c r="S68" s="232"/>
      <c r="T68" s="232"/>
      <c r="U68" s="232"/>
      <c r="V68" s="232"/>
      <c r="W68" s="232"/>
      <c r="X68" s="232"/>
      <c r="Y68" s="232"/>
      <c r="Z68" s="232"/>
    </row>
    <row r="69" spans="1:26" ht="18.75" customHeight="1" outlineLevel="1">
      <c r="A69" s="221"/>
      <c r="B69" s="237">
        <f>B65+1</f>
        <v>45717</v>
      </c>
      <c r="C69" s="238">
        <f t="shared" ref="C69:C99" si="80">B69</f>
        <v>45717</v>
      </c>
      <c r="D69" s="239">
        <f>目標_2025R7!D80</f>
        <v>1</v>
      </c>
      <c r="E69" s="240">
        <f>IF(D69=1,'適正原価率表(仕入れお小遣い制度)'!$J$8,0)</f>
        <v>14371.258966573245</v>
      </c>
      <c r="F69" s="240">
        <f>IF(D69=1,E69,0)</f>
        <v>14371.258966573245</v>
      </c>
      <c r="G69" s="241"/>
      <c r="H69" s="240">
        <f>IF(D69=1,G69,0)</f>
        <v>0</v>
      </c>
      <c r="I69" s="242">
        <f t="shared" ref="I69:I99" si="81">IF(D69=1,F69-H69,0)</f>
        <v>14371.258966573245</v>
      </c>
      <c r="J69" s="230"/>
      <c r="K69" s="237">
        <f t="shared" si="79"/>
        <v>45717</v>
      </c>
      <c r="L69" s="243">
        <f t="shared" ref="L69:M69" si="82">C69</f>
        <v>45717</v>
      </c>
      <c r="M69" s="244">
        <f t="shared" si="82"/>
        <v>1</v>
      </c>
      <c r="N69" s="240">
        <f>IF(M69=1,'適正原価率表(仕入れお小遣い制度)'!$J$9,0)</f>
        <v>11037.717389982099</v>
      </c>
      <c r="O69" s="240">
        <f>IF(M69=1,N69,0)</f>
        <v>11037.717389982099</v>
      </c>
      <c r="P69" s="241"/>
      <c r="Q69" s="240">
        <f>IF(M69=1,P69,0)</f>
        <v>0</v>
      </c>
      <c r="R69" s="242">
        <f t="shared" ref="R69:R99" si="83">IF(D69=1,O69-Q69,0)</f>
        <v>11037.717389982099</v>
      </c>
      <c r="S69" s="221"/>
      <c r="T69" s="245">
        <f>T65+1</f>
        <v>45717</v>
      </c>
      <c r="U69" s="221"/>
      <c r="V69" s="221"/>
      <c r="W69" s="221"/>
      <c r="X69" s="221"/>
      <c r="Y69" s="221"/>
      <c r="Z69" s="221"/>
    </row>
    <row r="70" spans="1:26" ht="18.75" customHeight="1" outlineLevel="1">
      <c r="A70" s="221"/>
      <c r="B70" s="237">
        <f t="shared" ref="B70:B99" si="84">B69+1</f>
        <v>45718</v>
      </c>
      <c r="C70" s="238">
        <f t="shared" si="80"/>
        <v>45718</v>
      </c>
      <c r="D70" s="239">
        <f>目標_2025R7!D81</f>
        <v>1</v>
      </c>
      <c r="E70" s="240">
        <f>IF(D70=1,'適正原価率表(仕入れお小遣い制度)'!$J$8,0)</f>
        <v>14371.258966573245</v>
      </c>
      <c r="F70" s="240">
        <f t="shared" ref="F70:F99" si="85">IF(D70=1,SUM($E$69:E70),0)</f>
        <v>28742.51793314649</v>
      </c>
      <c r="G70" s="241"/>
      <c r="H70" s="240">
        <f t="shared" ref="H70:H99" si="86">IF(D70=1,SUM($G$69:G70),0)</f>
        <v>0</v>
      </c>
      <c r="I70" s="242">
        <f t="shared" si="81"/>
        <v>28742.51793314649</v>
      </c>
      <c r="J70" s="230"/>
      <c r="K70" s="237">
        <f t="shared" si="79"/>
        <v>45718</v>
      </c>
      <c r="L70" s="243">
        <f t="shared" ref="L70:M70" si="87">C70</f>
        <v>45718</v>
      </c>
      <c r="M70" s="244">
        <f t="shared" si="87"/>
        <v>1</v>
      </c>
      <c r="N70" s="240">
        <f>IF(M70=1,'適正原価率表(仕入れお小遣い制度)'!$J$9,0)</f>
        <v>11037.717389982099</v>
      </c>
      <c r="O70" s="240">
        <f t="shared" ref="O70:O99" si="88">IF(M70=1,SUM($N$69:N70),0)</f>
        <v>22075.434779964198</v>
      </c>
      <c r="P70" s="241"/>
      <c r="Q70" s="240">
        <f t="shared" ref="Q70:Q99" si="89">IF(M70=1,SUM($P$69:P70),0)</f>
        <v>0</v>
      </c>
      <c r="R70" s="242">
        <f t="shared" si="83"/>
        <v>22075.434779964198</v>
      </c>
      <c r="S70" s="221"/>
      <c r="T70" s="245">
        <f t="shared" ref="T70:T99" si="90">T69+1</f>
        <v>45718</v>
      </c>
      <c r="U70" s="221"/>
      <c r="V70" s="221"/>
      <c r="W70" s="221"/>
      <c r="X70" s="221"/>
      <c r="Y70" s="221"/>
      <c r="Z70" s="221"/>
    </row>
    <row r="71" spans="1:26" ht="18.75" customHeight="1" outlineLevel="1">
      <c r="A71" s="221"/>
      <c r="B71" s="237">
        <f t="shared" si="84"/>
        <v>45719</v>
      </c>
      <c r="C71" s="238">
        <f t="shared" si="80"/>
        <v>45719</v>
      </c>
      <c r="D71" s="239">
        <f>目標_2025R7!D82</f>
        <v>0</v>
      </c>
      <c r="E71" s="240">
        <f>IF(D71=1,'適正原価率表(仕入れお小遣い制度)'!$J$8,0)</f>
        <v>0</v>
      </c>
      <c r="F71" s="240">
        <f t="shared" si="85"/>
        <v>0</v>
      </c>
      <c r="G71" s="241"/>
      <c r="H71" s="240">
        <f t="shared" si="86"/>
        <v>0</v>
      </c>
      <c r="I71" s="242">
        <f t="shared" si="81"/>
        <v>0</v>
      </c>
      <c r="J71" s="230"/>
      <c r="K71" s="237">
        <f t="shared" si="79"/>
        <v>45719</v>
      </c>
      <c r="L71" s="243">
        <f t="shared" ref="L71:M71" si="91">C71</f>
        <v>45719</v>
      </c>
      <c r="M71" s="244">
        <f t="shared" si="91"/>
        <v>0</v>
      </c>
      <c r="N71" s="240">
        <f>IF(M71=1,'適正原価率表(仕入れお小遣い制度)'!$J$9,0)</f>
        <v>0</v>
      </c>
      <c r="O71" s="240">
        <f t="shared" si="88"/>
        <v>0</v>
      </c>
      <c r="P71" s="241"/>
      <c r="Q71" s="240">
        <f t="shared" si="89"/>
        <v>0</v>
      </c>
      <c r="R71" s="242">
        <f t="shared" si="83"/>
        <v>0</v>
      </c>
      <c r="S71" s="221"/>
      <c r="T71" s="245">
        <f t="shared" si="90"/>
        <v>45719</v>
      </c>
      <c r="U71" s="221"/>
      <c r="V71" s="221"/>
      <c r="W71" s="221"/>
      <c r="X71" s="221"/>
      <c r="Y71" s="221"/>
      <c r="Z71" s="221"/>
    </row>
    <row r="72" spans="1:26" ht="18.75" customHeight="1" outlineLevel="1">
      <c r="A72" s="221"/>
      <c r="B72" s="237">
        <f t="shared" si="84"/>
        <v>45720</v>
      </c>
      <c r="C72" s="238">
        <f t="shared" si="80"/>
        <v>45720</v>
      </c>
      <c r="D72" s="239">
        <f>目標_2025R7!D83</f>
        <v>1</v>
      </c>
      <c r="E72" s="240">
        <f>IF(D72=1,'適正原価率表(仕入れお小遣い制度)'!$J$8,0)</f>
        <v>14371.258966573245</v>
      </c>
      <c r="F72" s="240">
        <f t="shared" si="85"/>
        <v>43113.776899719735</v>
      </c>
      <c r="G72" s="241"/>
      <c r="H72" s="240">
        <f t="shared" si="86"/>
        <v>0</v>
      </c>
      <c r="I72" s="242">
        <f t="shared" si="81"/>
        <v>43113.776899719735</v>
      </c>
      <c r="J72" s="230"/>
      <c r="K72" s="237">
        <f t="shared" si="79"/>
        <v>45720</v>
      </c>
      <c r="L72" s="243">
        <f t="shared" ref="L72:M72" si="92">C72</f>
        <v>45720</v>
      </c>
      <c r="M72" s="244">
        <f t="shared" si="92"/>
        <v>1</v>
      </c>
      <c r="N72" s="240">
        <f>IF(M72=1,'適正原価率表(仕入れお小遣い制度)'!$J$9,0)</f>
        <v>11037.717389982099</v>
      </c>
      <c r="O72" s="240">
        <f t="shared" si="88"/>
        <v>33113.152169946297</v>
      </c>
      <c r="P72" s="241"/>
      <c r="Q72" s="240">
        <f t="shared" si="89"/>
        <v>0</v>
      </c>
      <c r="R72" s="242">
        <f t="shared" si="83"/>
        <v>33113.152169946297</v>
      </c>
      <c r="S72" s="221"/>
      <c r="T72" s="245">
        <f t="shared" si="90"/>
        <v>45720</v>
      </c>
      <c r="U72" s="221"/>
      <c r="V72" s="221"/>
      <c r="W72" s="221"/>
      <c r="X72" s="221"/>
      <c r="Y72" s="221"/>
      <c r="Z72" s="221"/>
    </row>
    <row r="73" spans="1:26" ht="18.75" customHeight="1" outlineLevel="1">
      <c r="A73" s="221"/>
      <c r="B73" s="237">
        <f t="shared" si="84"/>
        <v>45721</v>
      </c>
      <c r="C73" s="238">
        <f t="shared" si="80"/>
        <v>45721</v>
      </c>
      <c r="D73" s="239">
        <f>目標_2025R7!D84</f>
        <v>1</v>
      </c>
      <c r="E73" s="240">
        <f>IF(D73=1,'適正原価率表(仕入れお小遣い制度)'!$J$8,0)</f>
        <v>14371.258966573245</v>
      </c>
      <c r="F73" s="240">
        <f t="shared" si="85"/>
        <v>57485.035866292979</v>
      </c>
      <c r="G73" s="241"/>
      <c r="H73" s="240">
        <f t="shared" si="86"/>
        <v>0</v>
      </c>
      <c r="I73" s="242">
        <f t="shared" si="81"/>
        <v>57485.035866292979</v>
      </c>
      <c r="J73" s="230"/>
      <c r="K73" s="237">
        <f t="shared" si="79"/>
        <v>45721</v>
      </c>
      <c r="L73" s="243">
        <f t="shared" ref="L73:M73" si="93">C73</f>
        <v>45721</v>
      </c>
      <c r="M73" s="244">
        <f t="shared" si="93"/>
        <v>1</v>
      </c>
      <c r="N73" s="240">
        <f>IF(M73=1,'適正原価率表(仕入れお小遣い制度)'!$J$9,0)</f>
        <v>11037.717389982099</v>
      </c>
      <c r="O73" s="240">
        <f t="shared" si="88"/>
        <v>44150.869559928396</v>
      </c>
      <c r="P73" s="241"/>
      <c r="Q73" s="240">
        <f t="shared" si="89"/>
        <v>0</v>
      </c>
      <c r="R73" s="242">
        <f t="shared" si="83"/>
        <v>44150.869559928396</v>
      </c>
      <c r="S73" s="221"/>
      <c r="T73" s="245">
        <f t="shared" si="90"/>
        <v>45721</v>
      </c>
      <c r="U73" s="221"/>
      <c r="V73" s="221"/>
      <c r="W73" s="221"/>
      <c r="X73" s="221"/>
      <c r="Y73" s="221"/>
      <c r="Z73" s="221"/>
    </row>
    <row r="74" spans="1:26" ht="18.75" customHeight="1" outlineLevel="1">
      <c r="A74" s="221"/>
      <c r="B74" s="237">
        <f t="shared" si="84"/>
        <v>45722</v>
      </c>
      <c r="C74" s="238">
        <f t="shared" si="80"/>
        <v>45722</v>
      </c>
      <c r="D74" s="239">
        <f>目標_2025R7!D85</f>
        <v>1</v>
      </c>
      <c r="E74" s="240">
        <f>IF(D74=1,'適正原価率表(仕入れお小遣い制度)'!$J$8,0)</f>
        <v>14371.258966573245</v>
      </c>
      <c r="F74" s="240">
        <f t="shared" si="85"/>
        <v>71856.294832866231</v>
      </c>
      <c r="G74" s="241"/>
      <c r="H74" s="240">
        <f t="shared" si="86"/>
        <v>0</v>
      </c>
      <c r="I74" s="242">
        <f t="shared" si="81"/>
        <v>71856.294832866231</v>
      </c>
      <c r="J74" s="230"/>
      <c r="K74" s="237">
        <f t="shared" si="79"/>
        <v>45722</v>
      </c>
      <c r="L74" s="243">
        <f t="shared" ref="L74:M74" si="94">C74</f>
        <v>45722</v>
      </c>
      <c r="M74" s="244">
        <f t="shared" si="94"/>
        <v>1</v>
      </c>
      <c r="N74" s="240">
        <f>IF(M74=1,'適正原価率表(仕入れお小遣い制度)'!$J$9,0)</f>
        <v>11037.717389982099</v>
      </c>
      <c r="O74" s="240">
        <f t="shared" si="88"/>
        <v>55188.586949910496</v>
      </c>
      <c r="P74" s="241"/>
      <c r="Q74" s="240">
        <f t="shared" si="89"/>
        <v>0</v>
      </c>
      <c r="R74" s="242">
        <f t="shared" si="83"/>
        <v>55188.586949910496</v>
      </c>
      <c r="S74" s="221"/>
      <c r="T74" s="245">
        <f t="shared" si="90"/>
        <v>45722</v>
      </c>
      <c r="U74" s="221"/>
      <c r="V74" s="221"/>
      <c r="W74" s="221"/>
      <c r="X74" s="221"/>
      <c r="Y74" s="221"/>
      <c r="Z74" s="221"/>
    </row>
    <row r="75" spans="1:26" ht="18.75" customHeight="1" outlineLevel="1">
      <c r="A75" s="221"/>
      <c r="B75" s="237">
        <f t="shared" si="84"/>
        <v>45723</v>
      </c>
      <c r="C75" s="238">
        <f t="shared" si="80"/>
        <v>45723</v>
      </c>
      <c r="D75" s="239">
        <f>目標_2025R7!D86</f>
        <v>1</v>
      </c>
      <c r="E75" s="240">
        <f>IF(D75=1,'適正原価率表(仕入れお小遣い制度)'!$J$8,0)</f>
        <v>14371.258966573245</v>
      </c>
      <c r="F75" s="240">
        <f t="shared" si="85"/>
        <v>86227.553799439484</v>
      </c>
      <c r="G75" s="241"/>
      <c r="H75" s="240">
        <f t="shared" si="86"/>
        <v>0</v>
      </c>
      <c r="I75" s="242">
        <f t="shared" si="81"/>
        <v>86227.553799439484</v>
      </c>
      <c r="J75" s="230"/>
      <c r="K75" s="237">
        <f t="shared" si="79"/>
        <v>45723</v>
      </c>
      <c r="L75" s="243">
        <f t="shared" ref="L75:M75" si="95">C75</f>
        <v>45723</v>
      </c>
      <c r="M75" s="244">
        <f t="shared" si="95"/>
        <v>1</v>
      </c>
      <c r="N75" s="240">
        <f>IF(M75=1,'適正原価率表(仕入れお小遣い制度)'!$J$9,0)</f>
        <v>11037.717389982099</v>
      </c>
      <c r="O75" s="240">
        <f t="shared" si="88"/>
        <v>66226.304339892595</v>
      </c>
      <c r="P75" s="241"/>
      <c r="Q75" s="240">
        <f t="shared" si="89"/>
        <v>0</v>
      </c>
      <c r="R75" s="242">
        <f t="shared" si="83"/>
        <v>66226.304339892595</v>
      </c>
      <c r="S75" s="221"/>
      <c r="T75" s="245">
        <f t="shared" si="90"/>
        <v>45723</v>
      </c>
      <c r="U75" s="221"/>
      <c r="V75" s="221"/>
      <c r="W75" s="221"/>
      <c r="X75" s="221"/>
      <c r="Y75" s="221"/>
      <c r="Z75" s="221"/>
    </row>
    <row r="76" spans="1:26" ht="18.75" customHeight="1" outlineLevel="1">
      <c r="A76" s="221"/>
      <c r="B76" s="237">
        <f t="shared" si="84"/>
        <v>45724</v>
      </c>
      <c r="C76" s="238">
        <f t="shared" si="80"/>
        <v>45724</v>
      </c>
      <c r="D76" s="239">
        <f>目標_2025R7!D87</f>
        <v>1</v>
      </c>
      <c r="E76" s="240">
        <f>IF(D76=1,'適正原価率表(仕入れお小遣い制度)'!$J$8,0)</f>
        <v>14371.258966573245</v>
      </c>
      <c r="F76" s="240">
        <f t="shared" si="85"/>
        <v>100598.81276601274</v>
      </c>
      <c r="G76" s="241"/>
      <c r="H76" s="240">
        <f t="shared" si="86"/>
        <v>0</v>
      </c>
      <c r="I76" s="242">
        <f t="shared" si="81"/>
        <v>100598.81276601274</v>
      </c>
      <c r="J76" s="230"/>
      <c r="K76" s="237">
        <f t="shared" si="79"/>
        <v>45724</v>
      </c>
      <c r="L76" s="243">
        <f t="shared" ref="L76:M76" si="96">C76</f>
        <v>45724</v>
      </c>
      <c r="M76" s="244">
        <f t="shared" si="96"/>
        <v>1</v>
      </c>
      <c r="N76" s="240">
        <f>IF(M76=1,'適正原価率表(仕入れお小遣い制度)'!$J$9,0)</f>
        <v>11037.717389982099</v>
      </c>
      <c r="O76" s="240">
        <f t="shared" si="88"/>
        <v>77264.021729874687</v>
      </c>
      <c r="P76" s="241"/>
      <c r="Q76" s="240">
        <f t="shared" si="89"/>
        <v>0</v>
      </c>
      <c r="R76" s="242">
        <f t="shared" si="83"/>
        <v>77264.021729874687</v>
      </c>
      <c r="S76" s="221"/>
      <c r="T76" s="245">
        <f t="shared" si="90"/>
        <v>45724</v>
      </c>
      <c r="U76" s="221"/>
      <c r="V76" s="221"/>
      <c r="W76" s="221"/>
      <c r="X76" s="221"/>
      <c r="Y76" s="221"/>
      <c r="Z76" s="221"/>
    </row>
    <row r="77" spans="1:26" ht="18.75" customHeight="1" outlineLevel="1">
      <c r="A77" s="221"/>
      <c r="B77" s="237">
        <f t="shared" si="84"/>
        <v>45725</v>
      </c>
      <c r="C77" s="238">
        <f t="shared" si="80"/>
        <v>45725</v>
      </c>
      <c r="D77" s="239">
        <f>目標_2025R7!D88</f>
        <v>1</v>
      </c>
      <c r="E77" s="240">
        <f>IF(D77=1,'適正原価率表(仕入れお小遣い制度)'!$J$8,0)</f>
        <v>14371.258966573245</v>
      </c>
      <c r="F77" s="240">
        <f t="shared" si="85"/>
        <v>114970.07173258599</v>
      </c>
      <c r="G77" s="241"/>
      <c r="H77" s="240">
        <f t="shared" si="86"/>
        <v>0</v>
      </c>
      <c r="I77" s="242">
        <f t="shared" si="81"/>
        <v>114970.07173258599</v>
      </c>
      <c r="J77" s="230"/>
      <c r="K77" s="237">
        <f t="shared" si="79"/>
        <v>45725</v>
      </c>
      <c r="L77" s="243">
        <f t="shared" ref="L77:M77" si="97">C77</f>
        <v>45725</v>
      </c>
      <c r="M77" s="244">
        <f t="shared" si="97"/>
        <v>1</v>
      </c>
      <c r="N77" s="240">
        <f>IF(M77=1,'適正原価率表(仕入れお小遣い制度)'!$J$9,0)</f>
        <v>11037.717389982099</v>
      </c>
      <c r="O77" s="240">
        <f t="shared" si="88"/>
        <v>88301.739119856793</v>
      </c>
      <c r="P77" s="241"/>
      <c r="Q77" s="240">
        <f t="shared" si="89"/>
        <v>0</v>
      </c>
      <c r="R77" s="242">
        <f t="shared" si="83"/>
        <v>88301.739119856793</v>
      </c>
      <c r="S77" s="221"/>
      <c r="T77" s="245">
        <f t="shared" si="90"/>
        <v>45725</v>
      </c>
      <c r="U77" s="221"/>
      <c r="V77" s="221"/>
      <c r="W77" s="221"/>
      <c r="X77" s="221"/>
      <c r="Y77" s="221"/>
      <c r="Z77" s="221"/>
    </row>
    <row r="78" spans="1:26" ht="18.75" customHeight="1" outlineLevel="1">
      <c r="A78" s="221"/>
      <c r="B78" s="237">
        <f t="shared" si="84"/>
        <v>45726</v>
      </c>
      <c r="C78" s="238">
        <f t="shared" si="80"/>
        <v>45726</v>
      </c>
      <c r="D78" s="239">
        <f>目標_2025R7!D89</f>
        <v>0</v>
      </c>
      <c r="E78" s="240">
        <f>IF(D78=1,'適正原価率表(仕入れお小遣い制度)'!$J$8,0)</f>
        <v>0</v>
      </c>
      <c r="F78" s="240">
        <f t="shared" si="85"/>
        <v>0</v>
      </c>
      <c r="G78" s="241"/>
      <c r="H78" s="240">
        <f t="shared" si="86"/>
        <v>0</v>
      </c>
      <c r="I78" s="242">
        <f t="shared" si="81"/>
        <v>0</v>
      </c>
      <c r="J78" s="230"/>
      <c r="K78" s="237">
        <f t="shared" si="79"/>
        <v>45726</v>
      </c>
      <c r="L78" s="243">
        <f t="shared" ref="L78:M78" si="98">C78</f>
        <v>45726</v>
      </c>
      <c r="M78" s="244">
        <f t="shared" si="98"/>
        <v>0</v>
      </c>
      <c r="N78" s="240">
        <f>IF(M78=1,'適正原価率表(仕入れお小遣い制度)'!$J$9,0)</f>
        <v>0</v>
      </c>
      <c r="O78" s="240">
        <f t="shared" si="88"/>
        <v>0</v>
      </c>
      <c r="P78" s="241"/>
      <c r="Q78" s="240">
        <f t="shared" si="89"/>
        <v>0</v>
      </c>
      <c r="R78" s="242">
        <f t="shared" si="83"/>
        <v>0</v>
      </c>
      <c r="S78" s="221"/>
      <c r="T78" s="245">
        <f t="shared" si="90"/>
        <v>45726</v>
      </c>
      <c r="U78" s="221"/>
      <c r="V78" s="221"/>
      <c r="W78" s="221"/>
      <c r="X78" s="221"/>
      <c r="Y78" s="221"/>
      <c r="Z78" s="221"/>
    </row>
    <row r="79" spans="1:26" ht="18.75" customHeight="1" outlineLevel="1">
      <c r="A79" s="221"/>
      <c r="B79" s="237">
        <f t="shared" si="84"/>
        <v>45727</v>
      </c>
      <c r="C79" s="238">
        <f t="shared" si="80"/>
        <v>45727</v>
      </c>
      <c r="D79" s="239">
        <f>目標_2025R7!D90</f>
        <v>1</v>
      </c>
      <c r="E79" s="240">
        <f>IF(D79=1,'適正原価率表(仕入れお小遣い制度)'!$J$8,0)</f>
        <v>14371.258966573245</v>
      </c>
      <c r="F79" s="240">
        <f t="shared" si="85"/>
        <v>129341.33069915924</v>
      </c>
      <c r="G79" s="241"/>
      <c r="H79" s="240">
        <f t="shared" si="86"/>
        <v>0</v>
      </c>
      <c r="I79" s="242">
        <f t="shared" si="81"/>
        <v>129341.33069915924</v>
      </c>
      <c r="J79" s="230"/>
      <c r="K79" s="237">
        <f t="shared" si="79"/>
        <v>45727</v>
      </c>
      <c r="L79" s="243">
        <f t="shared" ref="L79:M79" si="99">C79</f>
        <v>45727</v>
      </c>
      <c r="M79" s="244">
        <f t="shared" si="99"/>
        <v>1</v>
      </c>
      <c r="N79" s="240">
        <f>IF(M79=1,'適正原価率表(仕入れお小遣い制度)'!$J$9,0)</f>
        <v>11037.717389982099</v>
      </c>
      <c r="O79" s="240">
        <f t="shared" si="88"/>
        <v>99339.456509838899</v>
      </c>
      <c r="P79" s="241"/>
      <c r="Q79" s="240">
        <f t="shared" si="89"/>
        <v>0</v>
      </c>
      <c r="R79" s="242">
        <f t="shared" si="83"/>
        <v>99339.456509838899</v>
      </c>
      <c r="S79" s="221"/>
      <c r="T79" s="245">
        <f t="shared" si="90"/>
        <v>45727</v>
      </c>
      <c r="U79" s="221"/>
      <c r="V79" s="221"/>
      <c r="W79" s="221"/>
      <c r="X79" s="221"/>
      <c r="Y79" s="221"/>
      <c r="Z79" s="221"/>
    </row>
    <row r="80" spans="1:26" ht="18.75" customHeight="1" outlineLevel="1">
      <c r="A80" s="221"/>
      <c r="B80" s="237">
        <f t="shared" si="84"/>
        <v>45728</v>
      </c>
      <c r="C80" s="238">
        <f t="shared" si="80"/>
        <v>45728</v>
      </c>
      <c r="D80" s="239">
        <f>目標_2025R7!D91</f>
        <v>1</v>
      </c>
      <c r="E80" s="240">
        <f>IF(D80=1,'適正原価率表(仕入れお小遣い制度)'!$J$8,0)</f>
        <v>14371.258966573245</v>
      </c>
      <c r="F80" s="240">
        <f t="shared" si="85"/>
        <v>143712.58966573249</v>
      </c>
      <c r="G80" s="241"/>
      <c r="H80" s="240">
        <f t="shared" si="86"/>
        <v>0</v>
      </c>
      <c r="I80" s="242">
        <f t="shared" si="81"/>
        <v>143712.58966573249</v>
      </c>
      <c r="J80" s="230"/>
      <c r="K80" s="237">
        <f t="shared" si="79"/>
        <v>45728</v>
      </c>
      <c r="L80" s="243">
        <f t="shared" ref="L80:M80" si="100">C80</f>
        <v>45728</v>
      </c>
      <c r="M80" s="244">
        <f t="shared" si="100"/>
        <v>1</v>
      </c>
      <c r="N80" s="240">
        <f>IF(M80=1,'適正原価率表(仕入れお小遣い制度)'!$J$9,0)</f>
        <v>11037.717389982099</v>
      </c>
      <c r="O80" s="240">
        <f t="shared" si="88"/>
        <v>110377.17389982101</v>
      </c>
      <c r="P80" s="241"/>
      <c r="Q80" s="240">
        <f t="shared" si="89"/>
        <v>0</v>
      </c>
      <c r="R80" s="242">
        <f t="shared" si="83"/>
        <v>110377.17389982101</v>
      </c>
      <c r="S80" s="221"/>
      <c r="T80" s="245">
        <f t="shared" si="90"/>
        <v>45728</v>
      </c>
      <c r="U80" s="221"/>
      <c r="V80" s="221"/>
      <c r="W80" s="221"/>
      <c r="X80" s="221"/>
      <c r="Y80" s="221"/>
      <c r="Z80" s="221"/>
    </row>
    <row r="81" spans="1:26" ht="18.75" customHeight="1" outlineLevel="1">
      <c r="A81" s="221"/>
      <c r="B81" s="237">
        <f t="shared" si="84"/>
        <v>45729</v>
      </c>
      <c r="C81" s="238">
        <f t="shared" si="80"/>
        <v>45729</v>
      </c>
      <c r="D81" s="239">
        <f>目標_2025R7!D92</f>
        <v>1</v>
      </c>
      <c r="E81" s="240">
        <f>IF(D81=1,'適正原価率表(仕入れお小遣い制度)'!$J$8,0)</f>
        <v>14371.258966573245</v>
      </c>
      <c r="F81" s="240">
        <f t="shared" si="85"/>
        <v>158083.84863230574</v>
      </c>
      <c r="G81" s="241"/>
      <c r="H81" s="240">
        <f t="shared" si="86"/>
        <v>0</v>
      </c>
      <c r="I81" s="242">
        <f t="shared" si="81"/>
        <v>158083.84863230574</v>
      </c>
      <c r="J81" s="230"/>
      <c r="K81" s="237">
        <f t="shared" si="79"/>
        <v>45729</v>
      </c>
      <c r="L81" s="243">
        <f t="shared" ref="L81:M81" si="101">C81</f>
        <v>45729</v>
      </c>
      <c r="M81" s="244">
        <f t="shared" si="101"/>
        <v>1</v>
      </c>
      <c r="N81" s="240">
        <f>IF(M81=1,'適正原価率表(仕入れお小遣い制度)'!$J$9,0)</f>
        <v>11037.717389982099</v>
      </c>
      <c r="O81" s="240">
        <f t="shared" si="88"/>
        <v>121414.89128980311</v>
      </c>
      <c r="P81" s="241"/>
      <c r="Q81" s="240">
        <f t="shared" si="89"/>
        <v>0</v>
      </c>
      <c r="R81" s="242">
        <f t="shared" si="83"/>
        <v>121414.89128980311</v>
      </c>
      <c r="S81" s="221"/>
      <c r="T81" s="245">
        <f t="shared" si="90"/>
        <v>45729</v>
      </c>
      <c r="U81" s="221"/>
      <c r="V81" s="221"/>
      <c r="W81" s="221"/>
      <c r="X81" s="221"/>
      <c r="Y81" s="221"/>
      <c r="Z81" s="221"/>
    </row>
    <row r="82" spans="1:26" ht="18.75" customHeight="1" outlineLevel="1">
      <c r="A82" s="221"/>
      <c r="B82" s="237">
        <f t="shared" si="84"/>
        <v>45730</v>
      </c>
      <c r="C82" s="238">
        <f t="shared" si="80"/>
        <v>45730</v>
      </c>
      <c r="D82" s="239">
        <f>目標_2025R7!D93</f>
        <v>1</v>
      </c>
      <c r="E82" s="240">
        <f>IF(D82=1,'適正原価率表(仕入れお小遣い制度)'!$J$8,0)</f>
        <v>14371.258966573245</v>
      </c>
      <c r="F82" s="240">
        <f t="shared" si="85"/>
        <v>172455.107598879</v>
      </c>
      <c r="G82" s="241"/>
      <c r="H82" s="240">
        <f t="shared" si="86"/>
        <v>0</v>
      </c>
      <c r="I82" s="242">
        <f t="shared" si="81"/>
        <v>172455.107598879</v>
      </c>
      <c r="J82" s="230"/>
      <c r="K82" s="237">
        <f t="shared" si="79"/>
        <v>45730</v>
      </c>
      <c r="L82" s="243">
        <f t="shared" ref="L82:M82" si="102">C82</f>
        <v>45730</v>
      </c>
      <c r="M82" s="244">
        <f t="shared" si="102"/>
        <v>1</v>
      </c>
      <c r="N82" s="240">
        <f>IF(M82=1,'適正原価率表(仕入れお小遣い制度)'!$J$9,0)</f>
        <v>11037.717389982099</v>
      </c>
      <c r="O82" s="240">
        <f t="shared" si="88"/>
        <v>132452.60867978522</v>
      </c>
      <c r="P82" s="241"/>
      <c r="Q82" s="240">
        <f t="shared" si="89"/>
        <v>0</v>
      </c>
      <c r="R82" s="242">
        <f t="shared" si="83"/>
        <v>132452.60867978522</v>
      </c>
      <c r="S82" s="221"/>
      <c r="T82" s="245">
        <f t="shared" si="90"/>
        <v>45730</v>
      </c>
      <c r="U82" s="221"/>
      <c r="V82" s="221"/>
      <c r="W82" s="221"/>
      <c r="X82" s="221"/>
      <c r="Y82" s="221"/>
      <c r="Z82" s="221"/>
    </row>
    <row r="83" spans="1:26" ht="18.75" customHeight="1" outlineLevel="1">
      <c r="A83" s="221"/>
      <c r="B83" s="237">
        <f t="shared" si="84"/>
        <v>45731</v>
      </c>
      <c r="C83" s="238">
        <f t="shared" si="80"/>
        <v>45731</v>
      </c>
      <c r="D83" s="239">
        <f>目標_2025R7!D94</f>
        <v>1</v>
      </c>
      <c r="E83" s="240">
        <f>IF(D83=1,'適正原価率表(仕入れお小遣い制度)'!$J$8,0)</f>
        <v>14371.258966573245</v>
      </c>
      <c r="F83" s="240">
        <f t="shared" si="85"/>
        <v>186826.36656545225</v>
      </c>
      <c r="G83" s="241"/>
      <c r="H83" s="240">
        <f t="shared" si="86"/>
        <v>0</v>
      </c>
      <c r="I83" s="242">
        <f t="shared" si="81"/>
        <v>186826.36656545225</v>
      </c>
      <c r="J83" s="230"/>
      <c r="K83" s="237">
        <f t="shared" si="79"/>
        <v>45731</v>
      </c>
      <c r="L83" s="243">
        <f t="shared" ref="L83:M83" si="103">C83</f>
        <v>45731</v>
      </c>
      <c r="M83" s="244">
        <f t="shared" si="103"/>
        <v>1</v>
      </c>
      <c r="N83" s="240">
        <f>IF(M83=1,'適正原価率表(仕入れお小遣い制度)'!$J$9,0)</f>
        <v>11037.717389982099</v>
      </c>
      <c r="O83" s="240">
        <f t="shared" si="88"/>
        <v>143490.32606976732</v>
      </c>
      <c r="P83" s="241"/>
      <c r="Q83" s="240">
        <f t="shared" si="89"/>
        <v>0</v>
      </c>
      <c r="R83" s="242">
        <f t="shared" si="83"/>
        <v>143490.32606976732</v>
      </c>
      <c r="S83" s="221"/>
      <c r="T83" s="245">
        <f t="shared" si="90"/>
        <v>45731</v>
      </c>
      <c r="U83" s="221"/>
      <c r="V83" s="221"/>
      <c r="W83" s="221"/>
      <c r="X83" s="221"/>
      <c r="Y83" s="221"/>
      <c r="Z83" s="221"/>
    </row>
    <row r="84" spans="1:26" ht="18.75" customHeight="1" outlineLevel="1">
      <c r="A84" s="221"/>
      <c r="B84" s="237">
        <f t="shared" si="84"/>
        <v>45732</v>
      </c>
      <c r="C84" s="238">
        <f t="shared" si="80"/>
        <v>45732</v>
      </c>
      <c r="D84" s="239">
        <f>目標_2025R7!D95</f>
        <v>1</v>
      </c>
      <c r="E84" s="240">
        <f>IF(D84=1,'適正原価率表(仕入れお小遣い制度)'!$J$8,0)</f>
        <v>14371.258966573245</v>
      </c>
      <c r="F84" s="240">
        <f t="shared" si="85"/>
        <v>201197.6255320255</v>
      </c>
      <c r="G84" s="241"/>
      <c r="H84" s="240">
        <f t="shared" si="86"/>
        <v>0</v>
      </c>
      <c r="I84" s="242">
        <f t="shared" si="81"/>
        <v>201197.6255320255</v>
      </c>
      <c r="J84" s="230"/>
      <c r="K84" s="237">
        <f t="shared" si="79"/>
        <v>45732</v>
      </c>
      <c r="L84" s="243">
        <f t="shared" ref="L84:M84" si="104">C84</f>
        <v>45732</v>
      </c>
      <c r="M84" s="244">
        <f t="shared" si="104"/>
        <v>1</v>
      </c>
      <c r="N84" s="240">
        <f>IF(M84=1,'適正原価率表(仕入れお小遣い制度)'!$J$9,0)</f>
        <v>11037.717389982099</v>
      </c>
      <c r="O84" s="240">
        <f t="shared" si="88"/>
        <v>154528.04345974943</v>
      </c>
      <c r="P84" s="241"/>
      <c r="Q84" s="240">
        <f t="shared" si="89"/>
        <v>0</v>
      </c>
      <c r="R84" s="242">
        <f t="shared" si="83"/>
        <v>154528.04345974943</v>
      </c>
      <c r="S84" s="221"/>
      <c r="T84" s="245">
        <f t="shared" si="90"/>
        <v>45732</v>
      </c>
      <c r="U84" s="221"/>
      <c r="V84" s="221"/>
      <c r="W84" s="221"/>
      <c r="X84" s="221"/>
      <c r="Y84" s="221"/>
      <c r="Z84" s="221"/>
    </row>
    <row r="85" spans="1:26" ht="18.75" customHeight="1" outlineLevel="1">
      <c r="A85" s="221"/>
      <c r="B85" s="237">
        <f t="shared" si="84"/>
        <v>45733</v>
      </c>
      <c r="C85" s="238">
        <f t="shared" si="80"/>
        <v>45733</v>
      </c>
      <c r="D85" s="239">
        <f>目標_2025R7!D96</f>
        <v>0</v>
      </c>
      <c r="E85" s="240">
        <f>IF(D85=1,'適正原価率表(仕入れお小遣い制度)'!$J$8,0)</f>
        <v>0</v>
      </c>
      <c r="F85" s="240">
        <f t="shared" si="85"/>
        <v>0</v>
      </c>
      <c r="G85" s="241"/>
      <c r="H85" s="240">
        <f t="shared" si="86"/>
        <v>0</v>
      </c>
      <c r="I85" s="242">
        <f t="shared" si="81"/>
        <v>0</v>
      </c>
      <c r="J85" s="230"/>
      <c r="K85" s="237">
        <f t="shared" si="79"/>
        <v>45733</v>
      </c>
      <c r="L85" s="243">
        <f t="shared" ref="L85:M85" si="105">C85</f>
        <v>45733</v>
      </c>
      <c r="M85" s="244">
        <f t="shared" si="105"/>
        <v>0</v>
      </c>
      <c r="N85" s="240">
        <f>IF(M85=1,'適正原価率表(仕入れお小遣い制度)'!$J$9,0)</f>
        <v>0</v>
      </c>
      <c r="O85" s="240">
        <f t="shared" si="88"/>
        <v>0</v>
      </c>
      <c r="P85" s="241"/>
      <c r="Q85" s="240">
        <f t="shared" si="89"/>
        <v>0</v>
      </c>
      <c r="R85" s="242">
        <f t="shared" si="83"/>
        <v>0</v>
      </c>
      <c r="S85" s="221"/>
      <c r="T85" s="245">
        <f t="shared" si="90"/>
        <v>45733</v>
      </c>
      <c r="U85" s="221"/>
      <c r="V85" s="221"/>
      <c r="W85" s="221"/>
      <c r="X85" s="221"/>
      <c r="Y85" s="221"/>
      <c r="Z85" s="221"/>
    </row>
    <row r="86" spans="1:26" ht="18.75" customHeight="1" outlineLevel="1">
      <c r="A86" s="221"/>
      <c r="B86" s="237">
        <f t="shared" si="84"/>
        <v>45734</v>
      </c>
      <c r="C86" s="238">
        <f t="shared" si="80"/>
        <v>45734</v>
      </c>
      <c r="D86" s="239">
        <f>目標_2025R7!D97</f>
        <v>1</v>
      </c>
      <c r="E86" s="240">
        <f>IF(D86=1,'適正原価率表(仕入れお小遣い制度)'!$J$8,0)</f>
        <v>14371.258966573245</v>
      </c>
      <c r="F86" s="240">
        <f t="shared" si="85"/>
        <v>215568.88449859875</v>
      </c>
      <c r="G86" s="241"/>
      <c r="H86" s="240">
        <f t="shared" si="86"/>
        <v>0</v>
      </c>
      <c r="I86" s="242">
        <f t="shared" si="81"/>
        <v>215568.88449859875</v>
      </c>
      <c r="J86" s="230"/>
      <c r="K86" s="237">
        <f t="shared" si="79"/>
        <v>45734</v>
      </c>
      <c r="L86" s="243">
        <f t="shared" ref="L86:M86" si="106">C86</f>
        <v>45734</v>
      </c>
      <c r="M86" s="244">
        <f t="shared" si="106"/>
        <v>1</v>
      </c>
      <c r="N86" s="240">
        <f>IF(M86=1,'適正原価率表(仕入れお小遣い制度)'!$J$9,0)</f>
        <v>11037.717389982099</v>
      </c>
      <c r="O86" s="240">
        <f t="shared" si="88"/>
        <v>165565.76084973154</v>
      </c>
      <c r="P86" s="241"/>
      <c r="Q86" s="240">
        <f t="shared" si="89"/>
        <v>0</v>
      </c>
      <c r="R86" s="242">
        <f t="shared" si="83"/>
        <v>165565.76084973154</v>
      </c>
      <c r="S86" s="221"/>
      <c r="T86" s="245">
        <f t="shared" si="90"/>
        <v>45734</v>
      </c>
      <c r="U86" s="221"/>
      <c r="V86" s="221"/>
      <c r="W86" s="221"/>
      <c r="X86" s="221"/>
      <c r="Y86" s="221"/>
      <c r="Z86" s="221"/>
    </row>
    <row r="87" spans="1:26" ht="18.75" customHeight="1" outlineLevel="1">
      <c r="A87" s="221"/>
      <c r="B87" s="237">
        <f t="shared" si="84"/>
        <v>45735</v>
      </c>
      <c r="C87" s="238">
        <f t="shared" si="80"/>
        <v>45735</v>
      </c>
      <c r="D87" s="239">
        <f>目標_2025R7!D98</f>
        <v>1</v>
      </c>
      <c r="E87" s="240">
        <f>IF(D87=1,'適正原価率表(仕入れお小遣い制度)'!$J$8,0)</f>
        <v>14371.258966573245</v>
      </c>
      <c r="F87" s="240">
        <f t="shared" si="85"/>
        <v>229940.143465172</v>
      </c>
      <c r="G87" s="241"/>
      <c r="H87" s="240">
        <f t="shared" si="86"/>
        <v>0</v>
      </c>
      <c r="I87" s="242">
        <f t="shared" si="81"/>
        <v>229940.143465172</v>
      </c>
      <c r="J87" s="230"/>
      <c r="K87" s="237">
        <f t="shared" si="79"/>
        <v>45735</v>
      </c>
      <c r="L87" s="243">
        <f t="shared" ref="L87:M87" si="107">C87</f>
        <v>45735</v>
      </c>
      <c r="M87" s="244">
        <f t="shared" si="107"/>
        <v>1</v>
      </c>
      <c r="N87" s="240">
        <f>IF(M87=1,'適正原価率表(仕入れお小遣い制度)'!$J$9,0)</f>
        <v>11037.717389982099</v>
      </c>
      <c r="O87" s="240">
        <f t="shared" si="88"/>
        <v>176603.47823971364</v>
      </c>
      <c r="P87" s="241"/>
      <c r="Q87" s="240">
        <f t="shared" si="89"/>
        <v>0</v>
      </c>
      <c r="R87" s="242">
        <f t="shared" si="83"/>
        <v>176603.47823971364</v>
      </c>
      <c r="S87" s="221"/>
      <c r="T87" s="245">
        <f t="shared" si="90"/>
        <v>45735</v>
      </c>
      <c r="U87" s="221"/>
      <c r="V87" s="221"/>
      <c r="W87" s="221"/>
      <c r="X87" s="221"/>
      <c r="Y87" s="221"/>
      <c r="Z87" s="221"/>
    </row>
    <row r="88" spans="1:26" ht="18.75" customHeight="1" outlineLevel="1">
      <c r="A88" s="221"/>
      <c r="B88" s="237">
        <f t="shared" si="84"/>
        <v>45736</v>
      </c>
      <c r="C88" s="238">
        <f t="shared" si="80"/>
        <v>45736</v>
      </c>
      <c r="D88" s="239">
        <f>目標_2025R7!D99</f>
        <v>1</v>
      </c>
      <c r="E88" s="240">
        <f>IF(D88=1,'適正原価率表(仕入れお小遣い制度)'!$J$8,0)</f>
        <v>14371.258966573245</v>
      </c>
      <c r="F88" s="240">
        <f t="shared" si="85"/>
        <v>244311.40243174526</v>
      </c>
      <c r="G88" s="241"/>
      <c r="H88" s="240">
        <f t="shared" si="86"/>
        <v>0</v>
      </c>
      <c r="I88" s="242">
        <f t="shared" si="81"/>
        <v>244311.40243174526</v>
      </c>
      <c r="J88" s="230"/>
      <c r="K88" s="237">
        <f t="shared" si="79"/>
        <v>45736</v>
      </c>
      <c r="L88" s="243">
        <f t="shared" ref="L88:M88" si="108">C88</f>
        <v>45736</v>
      </c>
      <c r="M88" s="244">
        <f t="shared" si="108"/>
        <v>1</v>
      </c>
      <c r="N88" s="240">
        <f>IF(M88=1,'適正原価率表(仕入れお小遣い制度)'!$J$9,0)</f>
        <v>11037.717389982099</v>
      </c>
      <c r="O88" s="240">
        <f t="shared" si="88"/>
        <v>187641.19562969575</v>
      </c>
      <c r="P88" s="241"/>
      <c r="Q88" s="240">
        <f t="shared" si="89"/>
        <v>0</v>
      </c>
      <c r="R88" s="242">
        <f t="shared" si="83"/>
        <v>187641.19562969575</v>
      </c>
      <c r="S88" s="221"/>
      <c r="T88" s="245">
        <f t="shared" si="90"/>
        <v>45736</v>
      </c>
      <c r="U88" s="221"/>
      <c r="V88" s="221"/>
      <c r="W88" s="221"/>
      <c r="X88" s="221"/>
      <c r="Y88" s="221"/>
      <c r="Z88" s="221"/>
    </row>
    <row r="89" spans="1:26" ht="18.75" customHeight="1" outlineLevel="1">
      <c r="A89" s="221"/>
      <c r="B89" s="237">
        <f t="shared" si="84"/>
        <v>45737</v>
      </c>
      <c r="C89" s="238">
        <f t="shared" si="80"/>
        <v>45737</v>
      </c>
      <c r="D89" s="239">
        <f>目標_2025R7!D100</f>
        <v>1</v>
      </c>
      <c r="E89" s="240">
        <f>IF(D89=1,'適正原価率表(仕入れお小遣い制度)'!$J$8,0)</f>
        <v>14371.258966573245</v>
      </c>
      <c r="F89" s="240">
        <f t="shared" si="85"/>
        <v>258682.66139831851</v>
      </c>
      <c r="G89" s="241"/>
      <c r="H89" s="240">
        <f t="shared" si="86"/>
        <v>0</v>
      </c>
      <c r="I89" s="242">
        <f t="shared" si="81"/>
        <v>258682.66139831851</v>
      </c>
      <c r="J89" s="230"/>
      <c r="K89" s="237">
        <f t="shared" si="79"/>
        <v>45737</v>
      </c>
      <c r="L89" s="243">
        <f t="shared" ref="L89:M89" si="109">C89</f>
        <v>45737</v>
      </c>
      <c r="M89" s="244">
        <f t="shared" si="109"/>
        <v>1</v>
      </c>
      <c r="N89" s="240">
        <f>IF(M89=1,'適正原価率表(仕入れお小遣い制度)'!$J$9,0)</f>
        <v>11037.717389982099</v>
      </c>
      <c r="O89" s="240">
        <f t="shared" si="88"/>
        <v>198678.91301967786</v>
      </c>
      <c r="P89" s="241"/>
      <c r="Q89" s="240">
        <f t="shared" si="89"/>
        <v>0</v>
      </c>
      <c r="R89" s="242">
        <f t="shared" si="83"/>
        <v>198678.91301967786</v>
      </c>
      <c r="S89" s="221"/>
      <c r="T89" s="245">
        <f t="shared" si="90"/>
        <v>45737</v>
      </c>
      <c r="U89" s="221"/>
      <c r="V89" s="221"/>
      <c r="W89" s="221"/>
      <c r="X89" s="221"/>
      <c r="Y89" s="221"/>
      <c r="Z89" s="221"/>
    </row>
    <row r="90" spans="1:26" ht="18.75" customHeight="1" outlineLevel="1">
      <c r="A90" s="221"/>
      <c r="B90" s="237">
        <f t="shared" si="84"/>
        <v>45738</v>
      </c>
      <c r="C90" s="238">
        <f t="shared" si="80"/>
        <v>45738</v>
      </c>
      <c r="D90" s="239">
        <f>目標_2025R7!D101</f>
        <v>1</v>
      </c>
      <c r="E90" s="240">
        <f>IF(D90=1,'適正原価率表(仕入れお小遣い制度)'!$J$8,0)</f>
        <v>14371.258966573245</v>
      </c>
      <c r="F90" s="240">
        <f t="shared" si="85"/>
        <v>273053.92036489176</v>
      </c>
      <c r="G90" s="241"/>
      <c r="H90" s="240">
        <f t="shared" si="86"/>
        <v>0</v>
      </c>
      <c r="I90" s="242">
        <f t="shared" si="81"/>
        <v>273053.92036489176</v>
      </c>
      <c r="J90" s="230"/>
      <c r="K90" s="237">
        <f t="shared" si="79"/>
        <v>45738</v>
      </c>
      <c r="L90" s="243">
        <f t="shared" ref="L90:M90" si="110">C90</f>
        <v>45738</v>
      </c>
      <c r="M90" s="244">
        <f t="shared" si="110"/>
        <v>1</v>
      </c>
      <c r="N90" s="240">
        <f>IF(M90=1,'適正原価率表(仕入れお小遣い制度)'!$J$9,0)</f>
        <v>11037.717389982099</v>
      </c>
      <c r="O90" s="240">
        <f t="shared" si="88"/>
        <v>209716.63040965996</v>
      </c>
      <c r="P90" s="241"/>
      <c r="Q90" s="240">
        <f t="shared" si="89"/>
        <v>0</v>
      </c>
      <c r="R90" s="242">
        <f t="shared" si="83"/>
        <v>209716.63040965996</v>
      </c>
      <c r="S90" s="221"/>
      <c r="T90" s="245">
        <f t="shared" si="90"/>
        <v>45738</v>
      </c>
      <c r="U90" s="221"/>
      <c r="V90" s="221"/>
      <c r="W90" s="221"/>
      <c r="X90" s="221"/>
      <c r="Y90" s="221"/>
      <c r="Z90" s="221"/>
    </row>
    <row r="91" spans="1:26" ht="18.75" customHeight="1" outlineLevel="1">
      <c r="A91" s="221"/>
      <c r="B91" s="237">
        <f t="shared" si="84"/>
        <v>45739</v>
      </c>
      <c r="C91" s="238">
        <f t="shared" si="80"/>
        <v>45739</v>
      </c>
      <c r="D91" s="239">
        <f>目標_2025R7!D102</f>
        <v>1</v>
      </c>
      <c r="E91" s="240">
        <f>IF(D91=1,'適正原価率表(仕入れお小遣い制度)'!$J$8,0)</f>
        <v>14371.258966573245</v>
      </c>
      <c r="F91" s="240">
        <f t="shared" si="85"/>
        <v>287425.17933146498</v>
      </c>
      <c r="G91" s="241"/>
      <c r="H91" s="240">
        <f t="shared" si="86"/>
        <v>0</v>
      </c>
      <c r="I91" s="242">
        <f t="shared" si="81"/>
        <v>287425.17933146498</v>
      </c>
      <c r="J91" s="230"/>
      <c r="K91" s="237">
        <f t="shared" si="79"/>
        <v>45739</v>
      </c>
      <c r="L91" s="243">
        <f t="shared" ref="L91:M91" si="111">C91</f>
        <v>45739</v>
      </c>
      <c r="M91" s="244">
        <f t="shared" si="111"/>
        <v>1</v>
      </c>
      <c r="N91" s="240">
        <f>IF(M91=1,'適正原価率表(仕入れお小遣い制度)'!$J$9,0)</f>
        <v>11037.717389982099</v>
      </c>
      <c r="O91" s="240">
        <f t="shared" si="88"/>
        <v>220754.34779964207</v>
      </c>
      <c r="P91" s="241"/>
      <c r="Q91" s="240">
        <f t="shared" si="89"/>
        <v>0</v>
      </c>
      <c r="R91" s="242">
        <f t="shared" si="83"/>
        <v>220754.34779964207</v>
      </c>
      <c r="S91" s="221"/>
      <c r="T91" s="245">
        <f t="shared" si="90"/>
        <v>45739</v>
      </c>
      <c r="U91" s="221"/>
      <c r="V91" s="221"/>
      <c r="W91" s="221"/>
      <c r="X91" s="221"/>
      <c r="Y91" s="221"/>
      <c r="Z91" s="221"/>
    </row>
    <row r="92" spans="1:26" ht="18.75" customHeight="1" outlineLevel="1">
      <c r="A92" s="221"/>
      <c r="B92" s="237">
        <f t="shared" si="84"/>
        <v>45740</v>
      </c>
      <c r="C92" s="238">
        <f t="shared" si="80"/>
        <v>45740</v>
      </c>
      <c r="D92" s="239">
        <f>目標_2025R7!D103</f>
        <v>0</v>
      </c>
      <c r="E92" s="240">
        <f>IF(D92=1,'適正原価率表(仕入れお小遣い制度)'!$J$8,0)</f>
        <v>0</v>
      </c>
      <c r="F92" s="240">
        <f t="shared" si="85"/>
        <v>0</v>
      </c>
      <c r="G92" s="241"/>
      <c r="H92" s="240">
        <f t="shared" si="86"/>
        <v>0</v>
      </c>
      <c r="I92" s="242">
        <f t="shared" si="81"/>
        <v>0</v>
      </c>
      <c r="J92" s="230"/>
      <c r="K92" s="237">
        <f t="shared" si="79"/>
        <v>45740</v>
      </c>
      <c r="L92" s="243">
        <f t="shared" ref="L92:M92" si="112">C92</f>
        <v>45740</v>
      </c>
      <c r="M92" s="244">
        <f t="shared" si="112"/>
        <v>0</v>
      </c>
      <c r="N92" s="240">
        <f>IF(M92=1,'適正原価率表(仕入れお小遣い制度)'!$J$9,0)</f>
        <v>0</v>
      </c>
      <c r="O92" s="240">
        <f t="shared" si="88"/>
        <v>0</v>
      </c>
      <c r="P92" s="241"/>
      <c r="Q92" s="240">
        <f t="shared" si="89"/>
        <v>0</v>
      </c>
      <c r="R92" s="242">
        <f t="shared" si="83"/>
        <v>0</v>
      </c>
      <c r="S92" s="221"/>
      <c r="T92" s="245">
        <f t="shared" si="90"/>
        <v>45740</v>
      </c>
      <c r="U92" s="221"/>
      <c r="V92" s="221"/>
      <c r="W92" s="221"/>
      <c r="X92" s="221"/>
      <c r="Y92" s="221"/>
      <c r="Z92" s="221"/>
    </row>
    <row r="93" spans="1:26" ht="18.75" customHeight="1" outlineLevel="1">
      <c r="A93" s="221"/>
      <c r="B93" s="237">
        <f t="shared" si="84"/>
        <v>45741</v>
      </c>
      <c r="C93" s="238">
        <f t="shared" si="80"/>
        <v>45741</v>
      </c>
      <c r="D93" s="239">
        <f>目標_2025R7!D104</f>
        <v>1</v>
      </c>
      <c r="E93" s="240">
        <f>IF(D93=1,'適正原価率表(仕入れお小遣い制度)'!$J$8,0)</f>
        <v>14371.258966573245</v>
      </c>
      <c r="F93" s="240">
        <f t="shared" si="85"/>
        <v>301796.43829803821</v>
      </c>
      <c r="G93" s="241"/>
      <c r="H93" s="240">
        <f t="shared" si="86"/>
        <v>0</v>
      </c>
      <c r="I93" s="242">
        <f t="shared" si="81"/>
        <v>301796.43829803821</v>
      </c>
      <c r="J93" s="230"/>
      <c r="K93" s="237">
        <f t="shared" si="79"/>
        <v>45741</v>
      </c>
      <c r="L93" s="243">
        <f t="shared" ref="L93:M93" si="113">C93</f>
        <v>45741</v>
      </c>
      <c r="M93" s="244">
        <f t="shared" si="113"/>
        <v>1</v>
      </c>
      <c r="N93" s="240">
        <f>IF(M93=1,'適正原価率表(仕入れお小遣い制度)'!$J$9,0)</f>
        <v>11037.717389982099</v>
      </c>
      <c r="O93" s="240">
        <f t="shared" si="88"/>
        <v>231792.06518962418</v>
      </c>
      <c r="P93" s="241"/>
      <c r="Q93" s="240">
        <f t="shared" si="89"/>
        <v>0</v>
      </c>
      <c r="R93" s="242">
        <f t="shared" si="83"/>
        <v>231792.06518962418</v>
      </c>
      <c r="S93" s="221"/>
      <c r="T93" s="245">
        <f t="shared" si="90"/>
        <v>45741</v>
      </c>
      <c r="U93" s="221"/>
      <c r="V93" s="221"/>
      <c r="W93" s="221"/>
      <c r="X93" s="221"/>
      <c r="Y93" s="221"/>
      <c r="Z93" s="221"/>
    </row>
    <row r="94" spans="1:26" ht="18.75" customHeight="1" outlineLevel="1">
      <c r="A94" s="221"/>
      <c r="B94" s="237">
        <f t="shared" si="84"/>
        <v>45742</v>
      </c>
      <c r="C94" s="238">
        <f t="shared" si="80"/>
        <v>45742</v>
      </c>
      <c r="D94" s="239">
        <f>目標_2025R7!D105</f>
        <v>1</v>
      </c>
      <c r="E94" s="240">
        <f>IF(D94=1,'適正原価率表(仕入れお小遣い制度)'!$J$8,0)</f>
        <v>14371.258966573245</v>
      </c>
      <c r="F94" s="240">
        <f t="shared" si="85"/>
        <v>316167.69726461143</v>
      </c>
      <c r="G94" s="241"/>
      <c r="H94" s="240">
        <f t="shared" si="86"/>
        <v>0</v>
      </c>
      <c r="I94" s="242">
        <f t="shared" si="81"/>
        <v>316167.69726461143</v>
      </c>
      <c r="J94" s="230"/>
      <c r="K94" s="237">
        <f t="shared" si="79"/>
        <v>45742</v>
      </c>
      <c r="L94" s="243">
        <f t="shared" ref="L94:M94" si="114">C94</f>
        <v>45742</v>
      </c>
      <c r="M94" s="244">
        <f t="shared" si="114"/>
        <v>1</v>
      </c>
      <c r="N94" s="240">
        <f>IF(M94=1,'適正原価率表(仕入れお小遣い制度)'!$J$9,0)</f>
        <v>11037.717389982099</v>
      </c>
      <c r="O94" s="240">
        <f t="shared" si="88"/>
        <v>242829.78257960628</v>
      </c>
      <c r="P94" s="241"/>
      <c r="Q94" s="240">
        <f t="shared" si="89"/>
        <v>0</v>
      </c>
      <c r="R94" s="242">
        <f t="shared" si="83"/>
        <v>242829.78257960628</v>
      </c>
      <c r="S94" s="221"/>
      <c r="T94" s="245">
        <f t="shared" si="90"/>
        <v>45742</v>
      </c>
      <c r="U94" s="221"/>
      <c r="V94" s="221"/>
      <c r="W94" s="221"/>
      <c r="X94" s="221"/>
      <c r="Y94" s="221"/>
      <c r="Z94" s="221"/>
    </row>
    <row r="95" spans="1:26" ht="18.75" customHeight="1" outlineLevel="1">
      <c r="A95" s="221"/>
      <c r="B95" s="237">
        <f t="shared" si="84"/>
        <v>45743</v>
      </c>
      <c r="C95" s="238">
        <f t="shared" si="80"/>
        <v>45743</v>
      </c>
      <c r="D95" s="239">
        <f>目標_2025R7!D106</f>
        <v>1</v>
      </c>
      <c r="E95" s="240">
        <f>IF(D95=1,'適正原価率表(仕入れお小遣い制度)'!$J$8,0)</f>
        <v>14371.258966573245</v>
      </c>
      <c r="F95" s="240">
        <f t="shared" si="85"/>
        <v>330538.95623118465</v>
      </c>
      <c r="G95" s="241"/>
      <c r="H95" s="240">
        <f t="shared" si="86"/>
        <v>0</v>
      </c>
      <c r="I95" s="242">
        <f t="shared" si="81"/>
        <v>330538.95623118465</v>
      </c>
      <c r="J95" s="230"/>
      <c r="K95" s="237">
        <f t="shared" si="79"/>
        <v>45743</v>
      </c>
      <c r="L95" s="243">
        <f t="shared" ref="L95:M95" si="115">C95</f>
        <v>45743</v>
      </c>
      <c r="M95" s="244">
        <f t="shared" si="115"/>
        <v>1</v>
      </c>
      <c r="N95" s="240">
        <f>IF(M95=1,'適正原価率表(仕入れお小遣い制度)'!$J$9,0)</f>
        <v>11037.717389982099</v>
      </c>
      <c r="O95" s="240">
        <f t="shared" si="88"/>
        <v>253867.49996958839</v>
      </c>
      <c r="P95" s="241"/>
      <c r="Q95" s="240">
        <f t="shared" si="89"/>
        <v>0</v>
      </c>
      <c r="R95" s="242">
        <f t="shared" si="83"/>
        <v>253867.49996958839</v>
      </c>
      <c r="S95" s="221"/>
      <c r="T95" s="245">
        <f t="shared" si="90"/>
        <v>45743</v>
      </c>
      <c r="U95" s="221"/>
      <c r="V95" s="221"/>
      <c r="W95" s="221"/>
      <c r="X95" s="221"/>
      <c r="Y95" s="221"/>
      <c r="Z95" s="221"/>
    </row>
    <row r="96" spans="1:26" ht="18.75" customHeight="1" outlineLevel="1">
      <c r="A96" s="221"/>
      <c r="B96" s="237">
        <f t="shared" si="84"/>
        <v>45744</v>
      </c>
      <c r="C96" s="238">
        <f t="shared" si="80"/>
        <v>45744</v>
      </c>
      <c r="D96" s="239">
        <f>目標_2025R7!D107</f>
        <v>1</v>
      </c>
      <c r="E96" s="240">
        <f>IF(D96=1,'適正原価率表(仕入れお小遣い制度)'!$J$8,0)</f>
        <v>14371.258966573245</v>
      </c>
      <c r="F96" s="240">
        <f t="shared" si="85"/>
        <v>344910.21519775788</v>
      </c>
      <c r="G96" s="241"/>
      <c r="H96" s="240">
        <f t="shared" si="86"/>
        <v>0</v>
      </c>
      <c r="I96" s="242">
        <f t="shared" si="81"/>
        <v>344910.21519775788</v>
      </c>
      <c r="J96" s="230"/>
      <c r="K96" s="237">
        <f t="shared" si="79"/>
        <v>45744</v>
      </c>
      <c r="L96" s="243">
        <f t="shared" ref="L96:M96" si="116">C96</f>
        <v>45744</v>
      </c>
      <c r="M96" s="244">
        <f t="shared" si="116"/>
        <v>1</v>
      </c>
      <c r="N96" s="240">
        <f>IF(M96=1,'適正原価率表(仕入れお小遣い制度)'!$J$9,0)</f>
        <v>11037.717389982099</v>
      </c>
      <c r="O96" s="240">
        <f t="shared" si="88"/>
        <v>264905.2173595705</v>
      </c>
      <c r="P96" s="241"/>
      <c r="Q96" s="240">
        <f t="shared" si="89"/>
        <v>0</v>
      </c>
      <c r="R96" s="242">
        <f t="shared" si="83"/>
        <v>264905.2173595705</v>
      </c>
      <c r="S96" s="221"/>
      <c r="T96" s="245">
        <f t="shared" si="90"/>
        <v>45744</v>
      </c>
      <c r="U96" s="221"/>
      <c r="V96" s="221"/>
      <c r="W96" s="221"/>
      <c r="X96" s="221"/>
      <c r="Y96" s="221"/>
      <c r="Z96" s="221"/>
    </row>
    <row r="97" spans="1:26" ht="18.75" customHeight="1" outlineLevel="1">
      <c r="A97" s="221"/>
      <c r="B97" s="237">
        <f t="shared" si="84"/>
        <v>45745</v>
      </c>
      <c r="C97" s="238">
        <f t="shared" si="80"/>
        <v>45745</v>
      </c>
      <c r="D97" s="239">
        <f>目標_2025R7!D108</f>
        <v>1</v>
      </c>
      <c r="E97" s="240">
        <f>IF(D97=1,'適正原価率表(仕入れお小遣い制度)'!$J$8,0)</f>
        <v>14371.258966573245</v>
      </c>
      <c r="F97" s="240">
        <f t="shared" si="85"/>
        <v>359281.4741643311</v>
      </c>
      <c r="G97" s="241"/>
      <c r="H97" s="240">
        <f t="shared" si="86"/>
        <v>0</v>
      </c>
      <c r="I97" s="242">
        <f t="shared" si="81"/>
        <v>359281.4741643311</v>
      </c>
      <c r="J97" s="230"/>
      <c r="K97" s="237">
        <f t="shared" si="79"/>
        <v>45745</v>
      </c>
      <c r="L97" s="243">
        <f t="shared" ref="L97:M97" si="117">C97</f>
        <v>45745</v>
      </c>
      <c r="M97" s="244">
        <f t="shared" si="117"/>
        <v>1</v>
      </c>
      <c r="N97" s="240">
        <f>IF(M97=1,'適正原価率表(仕入れお小遣い制度)'!$J$9,0)</f>
        <v>11037.717389982099</v>
      </c>
      <c r="O97" s="240">
        <f t="shared" si="88"/>
        <v>275942.93474955257</v>
      </c>
      <c r="P97" s="241"/>
      <c r="Q97" s="240">
        <f t="shared" si="89"/>
        <v>0</v>
      </c>
      <c r="R97" s="242">
        <f t="shared" si="83"/>
        <v>275942.93474955257</v>
      </c>
      <c r="S97" s="221"/>
      <c r="T97" s="245">
        <f t="shared" si="90"/>
        <v>45745</v>
      </c>
      <c r="U97" s="221"/>
      <c r="V97" s="221"/>
      <c r="W97" s="221"/>
      <c r="X97" s="221"/>
      <c r="Y97" s="221"/>
      <c r="Z97" s="221"/>
    </row>
    <row r="98" spans="1:26" ht="18.75" customHeight="1" outlineLevel="1">
      <c r="A98" s="221"/>
      <c r="B98" s="237">
        <f t="shared" si="84"/>
        <v>45746</v>
      </c>
      <c r="C98" s="238">
        <f t="shared" si="80"/>
        <v>45746</v>
      </c>
      <c r="D98" s="239">
        <f>目標_2025R7!D109</f>
        <v>1</v>
      </c>
      <c r="E98" s="240">
        <f>IF(D98=1,'適正原価率表(仕入れお小遣い制度)'!$J$8,0)</f>
        <v>14371.258966573245</v>
      </c>
      <c r="F98" s="240">
        <f t="shared" si="85"/>
        <v>373652.73313090432</v>
      </c>
      <c r="G98" s="241"/>
      <c r="H98" s="240">
        <f t="shared" si="86"/>
        <v>0</v>
      </c>
      <c r="I98" s="242">
        <f t="shared" si="81"/>
        <v>373652.73313090432</v>
      </c>
      <c r="J98" s="230"/>
      <c r="K98" s="237">
        <f t="shared" si="79"/>
        <v>45746</v>
      </c>
      <c r="L98" s="243">
        <f t="shared" ref="L98:M98" si="118">C98</f>
        <v>45746</v>
      </c>
      <c r="M98" s="244">
        <f t="shared" si="118"/>
        <v>1</v>
      </c>
      <c r="N98" s="240">
        <f>IF(M98=1,'適正原価率表(仕入れお小遣い制度)'!$J$9,0)</f>
        <v>11037.717389982099</v>
      </c>
      <c r="O98" s="240">
        <f t="shared" si="88"/>
        <v>286980.65213953465</v>
      </c>
      <c r="P98" s="241"/>
      <c r="Q98" s="240">
        <f t="shared" si="89"/>
        <v>0</v>
      </c>
      <c r="R98" s="242">
        <f t="shared" si="83"/>
        <v>286980.65213953465</v>
      </c>
      <c r="S98" s="221"/>
      <c r="T98" s="245">
        <f t="shared" si="90"/>
        <v>45746</v>
      </c>
      <c r="U98" s="221"/>
      <c r="V98" s="221"/>
      <c r="W98" s="221"/>
      <c r="X98" s="221"/>
      <c r="Y98" s="221"/>
      <c r="Z98" s="221"/>
    </row>
    <row r="99" spans="1:26" ht="18.75" customHeight="1" outlineLevel="1">
      <c r="A99" s="221"/>
      <c r="B99" s="237">
        <f t="shared" si="84"/>
        <v>45747</v>
      </c>
      <c r="C99" s="238">
        <f t="shared" si="80"/>
        <v>45747</v>
      </c>
      <c r="D99" s="239">
        <f>目標_2025R7!D110</f>
        <v>0</v>
      </c>
      <c r="E99" s="240">
        <f>IF(D99=1,'適正原価率表(仕入れお小遣い制度)'!$J$8,0)</f>
        <v>0</v>
      </c>
      <c r="F99" s="240">
        <f t="shared" si="85"/>
        <v>0</v>
      </c>
      <c r="G99" s="241"/>
      <c r="H99" s="240">
        <f t="shared" si="86"/>
        <v>0</v>
      </c>
      <c r="I99" s="242">
        <f t="shared" si="81"/>
        <v>0</v>
      </c>
      <c r="J99" s="230"/>
      <c r="K99" s="237">
        <f t="shared" si="79"/>
        <v>45747</v>
      </c>
      <c r="L99" s="243">
        <f t="shared" ref="L99:M99" si="119">C99</f>
        <v>45747</v>
      </c>
      <c r="M99" s="244">
        <f t="shared" si="119"/>
        <v>0</v>
      </c>
      <c r="N99" s="240">
        <f>IF(M99=1,'適正原価率表(仕入れお小遣い制度)'!$J$9,0)</f>
        <v>0</v>
      </c>
      <c r="O99" s="240">
        <f t="shared" si="88"/>
        <v>0</v>
      </c>
      <c r="P99" s="241"/>
      <c r="Q99" s="240">
        <f t="shared" si="89"/>
        <v>0</v>
      </c>
      <c r="R99" s="242">
        <f t="shared" si="83"/>
        <v>0</v>
      </c>
      <c r="S99" s="221"/>
      <c r="T99" s="245">
        <f t="shared" si="90"/>
        <v>45747</v>
      </c>
      <c r="U99" s="221"/>
      <c r="V99" s="221"/>
      <c r="W99" s="221"/>
      <c r="X99" s="221"/>
      <c r="Y99" s="221"/>
      <c r="Z99" s="221"/>
    </row>
    <row r="100" spans="1:26" ht="18.75" customHeight="1" outlineLevel="1">
      <c r="A100" s="221"/>
      <c r="B100" s="561" t="s">
        <v>176</v>
      </c>
      <c r="C100" s="486"/>
      <c r="D100" s="483"/>
      <c r="E100" s="247">
        <f>SUM(E69:E99)</f>
        <v>373652.73313090432</v>
      </c>
      <c r="F100" s="248"/>
      <c r="G100" s="249"/>
      <c r="H100" s="249"/>
      <c r="I100" s="249"/>
      <c r="J100" s="230"/>
      <c r="K100" s="561" t="s">
        <v>176</v>
      </c>
      <c r="L100" s="486"/>
      <c r="M100" s="483"/>
      <c r="N100" s="247">
        <f>SUM(N69:N99)</f>
        <v>286980.65213953465</v>
      </c>
      <c r="O100" s="248"/>
      <c r="P100" s="249"/>
      <c r="Q100" s="249"/>
      <c r="R100" s="249"/>
      <c r="S100" s="221"/>
      <c r="T100" s="221"/>
      <c r="U100" s="221"/>
      <c r="V100" s="221"/>
      <c r="W100" s="221"/>
      <c r="X100" s="221"/>
      <c r="Y100" s="221"/>
      <c r="Z100" s="221"/>
    </row>
    <row r="101" spans="1:26" ht="18.75" customHeight="1">
      <c r="A101" s="221"/>
      <c r="B101" s="231"/>
      <c r="C101" s="231"/>
      <c r="D101" s="231"/>
      <c r="E101" s="231"/>
      <c r="F101" s="231"/>
      <c r="G101" s="231"/>
      <c r="H101" s="231"/>
      <c r="I101" s="231"/>
      <c r="J101" s="230"/>
      <c r="K101" s="231"/>
      <c r="L101" s="231"/>
      <c r="M101" s="231"/>
      <c r="N101" s="231"/>
      <c r="O101" s="231"/>
      <c r="P101" s="231"/>
      <c r="Q101" s="231"/>
      <c r="R101" s="231"/>
      <c r="S101" s="221"/>
      <c r="T101" s="221"/>
      <c r="U101" s="221"/>
      <c r="V101" s="221"/>
      <c r="W101" s="221"/>
      <c r="X101" s="221"/>
      <c r="Y101" s="221"/>
      <c r="Z101" s="221"/>
    </row>
    <row r="102" spans="1:26" ht="18.75" customHeight="1">
      <c r="A102" s="232"/>
      <c r="B102" s="562" t="s">
        <v>29</v>
      </c>
      <c r="C102" s="486"/>
      <c r="D102" s="483"/>
      <c r="E102" s="252" t="s">
        <v>168</v>
      </c>
      <c r="F102" s="253" t="s">
        <v>169</v>
      </c>
      <c r="G102" s="253" t="s">
        <v>170</v>
      </c>
      <c r="H102" s="253" t="s">
        <v>171</v>
      </c>
      <c r="I102" s="253" t="s">
        <v>19</v>
      </c>
      <c r="J102" s="236"/>
      <c r="K102" s="562" t="str">
        <f t="shared" ref="K102:K132" si="120">B102</f>
        <v>4月</v>
      </c>
      <c r="L102" s="486"/>
      <c r="M102" s="483"/>
      <c r="N102" s="252" t="s">
        <v>172</v>
      </c>
      <c r="O102" s="253" t="s">
        <v>173</v>
      </c>
      <c r="P102" s="253" t="s">
        <v>174</v>
      </c>
      <c r="Q102" s="253" t="s">
        <v>175</v>
      </c>
      <c r="R102" s="253" t="s">
        <v>19</v>
      </c>
      <c r="S102" s="232"/>
      <c r="T102" s="232"/>
      <c r="U102" s="232"/>
      <c r="V102" s="232"/>
      <c r="W102" s="232"/>
      <c r="X102" s="232"/>
      <c r="Y102" s="232"/>
      <c r="Z102" s="232"/>
    </row>
    <row r="103" spans="1:26" ht="18.75" customHeight="1" outlineLevel="1">
      <c r="A103" s="221"/>
      <c r="B103" s="237">
        <f>B99+1</f>
        <v>45748</v>
      </c>
      <c r="C103" s="238">
        <f t="shared" ref="C103:C132" si="121">B103</f>
        <v>45748</v>
      </c>
      <c r="D103" s="239">
        <f>目標_2025R7!D111</f>
        <v>1</v>
      </c>
      <c r="E103" s="240">
        <f>IF(D103=1,'適正原価率表(仕入れお小遣い制度)'!$J$10,0)</f>
        <v>15534.995182262881</v>
      </c>
      <c r="F103" s="240">
        <f>IF(D103=1,E103,0)</f>
        <v>15534.995182262881</v>
      </c>
      <c r="G103" s="241"/>
      <c r="H103" s="240">
        <f>IF(D103=1,G103,0)</f>
        <v>0</v>
      </c>
      <c r="I103" s="242">
        <f t="shared" ref="I103:I132" si="122">IF(D103=1,F103-H103,0)</f>
        <v>15534.995182262881</v>
      </c>
      <c r="J103" s="230"/>
      <c r="K103" s="237">
        <f t="shared" si="120"/>
        <v>45748</v>
      </c>
      <c r="L103" s="243">
        <f t="shared" ref="L103:M103" si="123">C103</f>
        <v>45748</v>
      </c>
      <c r="M103" s="244">
        <f t="shared" si="123"/>
        <v>1</v>
      </c>
      <c r="N103" s="240">
        <f>IF(M103=1,'適正原価率表(仕入れお小遣い制度)'!$J$11,0)</f>
        <v>12323.748916292105</v>
      </c>
      <c r="O103" s="240">
        <f>IF(M103=1,N103,0)</f>
        <v>12323.748916292105</v>
      </c>
      <c r="P103" s="241"/>
      <c r="Q103" s="240">
        <f>IF(M103=1,P103,0)</f>
        <v>0</v>
      </c>
      <c r="R103" s="242">
        <f t="shared" ref="R103:R132" si="124">IF(D103=1,O103-Q103,0)</f>
        <v>12323.748916292105</v>
      </c>
      <c r="S103" s="221"/>
      <c r="T103" s="245">
        <f>T99+1</f>
        <v>45748</v>
      </c>
      <c r="U103" s="221"/>
      <c r="V103" s="221"/>
      <c r="W103" s="221"/>
      <c r="X103" s="221"/>
      <c r="Y103" s="221"/>
      <c r="Z103" s="221"/>
    </row>
    <row r="104" spans="1:26" ht="18.75" customHeight="1" outlineLevel="1">
      <c r="A104" s="221"/>
      <c r="B104" s="237">
        <f t="shared" ref="B104:B132" si="125">B103+1</f>
        <v>45749</v>
      </c>
      <c r="C104" s="238">
        <f t="shared" si="121"/>
        <v>45749</v>
      </c>
      <c r="D104" s="239">
        <f>目標_2025R7!D112</f>
        <v>1</v>
      </c>
      <c r="E104" s="240">
        <f>IF(D104=1,'適正原価率表(仕入れお小遣い制度)'!$J$10,0)</f>
        <v>15534.995182262881</v>
      </c>
      <c r="F104" s="240">
        <f t="shared" ref="F104:F132" si="126">IF(D104=1,SUM($E$103:E104),0)</f>
        <v>31069.990364525762</v>
      </c>
      <c r="G104" s="241"/>
      <c r="H104" s="240">
        <f t="shared" ref="H104:H132" si="127">IF(D104=1,SUM($G$103:G104),0)</f>
        <v>0</v>
      </c>
      <c r="I104" s="242">
        <f t="shared" si="122"/>
        <v>31069.990364525762</v>
      </c>
      <c r="J104" s="230"/>
      <c r="K104" s="237">
        <f t="shared" si="120"/>
        <v>45749</v>
      </c>
      <c r="L104" s="243">
        <f t="shared" ref="L104:M104" si="128">C104</f>
        <v>45749</v>
      </c>
      <c r="M104" s="244">
        <f t="shared" si="128"/>
        <v>1</v>
      </c>
      <c r="N104" s="240">
        <f>IF(M104=1,'適正原価率表(仕入れお小遣い制度)'!$J$11,0)</f>
        <v>12323.748916292105</v>
      </c>
      <c r="O104" s="240">
        <f t="shared" ref="O104:O132" si="129">IF(M104=1,SUM($N$103:N104),0)</f>
        <v>24647.497832584209</v>
      </c>
      <c r="P104" s="241"/>
      <c r="Q104" s="240">
        <f t="shared" ref="Q104:Q132" si="130">IF(M104=1,SUM($P$103:P104),0)</f>
        <v>0</v>
      </c>
      <c r="R104" s="242">
        <f t="shared" si="124"/>
        <v>24647.497832584209</v>
      </c>
      <c r="S104" s="221"/>
      <c r="T104" s="245">
        <f t="shared" ref="T104:T132" si="131">T103+1</f>
        <v>45749</v>
      </c>
      <c r="U104" s="221"/>
      <c r="V104" s="221"/>
      <c r="W104" s="221"/>
      <c r="X104" s="221"/>
      <c r="Y104" s="221"/>
      <c r="Z104" s="221"/>
    </row>
    <row r="105" spans="1:26" ht="18.75" customHeight="1" outlineLevel="1">
      <c r="A105" s="221"/>
      <c r="B105" s="237">
        <f t="shared" si="125"/>
        <v>45750</v>
      </c>
      <c r="C105" s="238">
        <f t="shared" si="121"/>
        <v>45750</v>
      </c>
      <c r="D105" s="239">
        <f>目標_2025R7!D113</f>
        <v>1</v>
      </c>
      <c r="E105" s="240">
        <f>IF(D105=1,'適正原価率表(仕入れお小遣い制度)'!$J$10,0)</f>
        <v>15534.995182262881</v>
      </c>
      <c r="F105" s="240">
        <f t="shared" si="126"/>
        <v>46604.985546788645</v>
      </c>
      <c r="G105" s="241"/>
      <c r="H105" s="240">
        <f t="shared" si="127"/>
        <v>0</v>
      </c>
      <c r="I105" s="242">
        <f t="shared" si="122"/>
        <v>46604.985546788645</v>
      </c>
      <c r="J105" s="230"/>
      <c r="K105" s="237">
        <f t="shared" si="120"/>
        <v>45750</v>
      </c>
      <c r="L105" s="243">
        <f t="shared" ref="L105:M105" si="132">C105</f>
        <v>45750</v>
      </c>
      <c r="M105" s="244">
        <f t="shared" si="132"/>
        <v>1</v>
      </c>
      <c r="N105" s="240">
        <f>IF(M105=1,'適正原価率表(仕入れお小遣い制度)'!$J$11,0)</f>
        <v>12323.748916292105</v>
      </c>
      <c r="O105" s="240">
        <f t="shared" si="129"/>
        <v>36971.246748876314</v>
      </c>
      <c r="P105" s="241"/>
      <c r="Q105" s="240">
        <f t="shared" si="130"/>
        <v>0</v>
      </c>
      <c r="R105" s="242">
        <f t="shared" si="124"/>
        <v>36971.246748876314</v>
      </c>
      <c r="S105" s="221"/>
      <c r="T105" s="245">
        <f t="shared" si="131"/>
        <v>45750</v>
      </c>
      <c r="U105" s="221"/>
      <c r="V105" s="221"/>
      <c r="W105" s="221"/>
      <c r="X105" s="221"/>
      <c r="Y105" s="221"/>
      <c r="Z105" s="221"/>
    </row>
    <row r="106" spans="1:26" ht="18.75" customHeight="1" outlineLevel="1">
      <c r="A106" s="221"/>
      <c r="B106" s="237">
        <f t="shared" si="125"/>
        <v>45751</v>
      </c>
      <c r="C106" s="238">
        <f t="shared" si="121"/>
        <v>45751</v>
      </c>
      <c r="D106" s="239">
        <f>目標_2025R7!D114</f>
        <v>1</v>
      </c>
      <c r="E106" s="240">
        <f>IF(D106=1,'適正原価率表(仕入れお小遣い制度)'!$J$10,0)</f>
        <v>15534.995182262881</v>
      </c>
      <c r="F106" s="240">
        <f t="shared" si="126"/>
        <v>62139.980729051524</v>
      </c>
      <c r="G106" s="241"/>
      <c r="H106" s="240">
        <f t="shared" si="127"/>
        <v>0</v>
      </c>
      <c r="I106" s="242">
        <f t="shared" si="122"/>
        <v>62139.980729051524</v>
      </c>
      <c r="J106" s="230"/>
      <c r="K106" s="237">
        <f t="shared" si="120"/>
        <v>45751</v>
      </c>
      <c r="L106" s="243">
        <f t="shared" ref="L106:M106" si="133">C106</f>
        <v>45751</v>
      </c>
      <c r="M106" s="244">
        <f t="shared" si="133"/>
        <v>1</v>
      </c>
      <c r="N106" s="240">
        <f>IF(M106=1,'適正原価率表(仕入れお小遣い制度)'!$J$11,0)</f>
        <v>12323.748916292105</v>
      </c>
      <c r="O106" s="240">
        <f t="shared" si="129"/>
        <v>49294.995665168419</v>
      </c>
      <c r="P106" s="241"/>
      <c r="Q106" s="240">
        <f t="shared" si="130"/>
        <v>0</v>
      </c>
      <c r="R106" s="242">
        <f t="shared" si="124"/>
        <v>49294.995665168419</v>
      </c>
      <c r="S106" s="221"/>
      <c r="T106" s="245">
        <f t="shared" si="131"/>
        <v>45751</v>
      </c>
      <c r="U106" s="221"/>
      <c r="V106" s="221"/>
      <c r="W106" s="221"/>
      <c r="X106" s="221"/>
      <c r="Y106" s="221"/>
      <c r="Z106" s="221"/>
    </row>
    <row r="107" spans="1:26" ht="18.75" customHeight="1" outlineLevel="1">
      <c r="A107" s="221"/>
      <c r="B107" s="237">
        <f t="shared" si="125"/>
        <v>45752</v>
      </c>
      <c r="C107" s="238">
        <f t="shared" si="121"/>
        <v>45752</v>
      </c>
      <c r="D107" s="239">
        <f>目標_2025R7!D115</f>
        <v>1</v>
      </c>
      <c r="E107" s="240">
        <f>IF(D107=1,'適正原価率表(仕入れお小遣い制度)'!$J$10,0)</f>
        <v>15534.995182262881</v>
      </c>
      <c r="F107" s="240">
        <f t="shared" si="126"/>
        <v>77674.97591131441</v>
      </c>
      <c r="G107" s="241"/>
      <c r="H107" s="240">
        <f t="shared" si="127"/>
        <v>0</v>
      </c>
      <c r="I107" s="242">
        <f t="shared" si="122"/>
        <v>77674.97591131441</v>
      </c>
      <c r="J107" s="230"/>
      <c r="K107" s="237">
        <f t="shared" si="120"/>
        <v>45752</v>
      </c>
      <c r="L107" s="243">
        <f t="shared" ref="L107:M107" si="134">C107</f>
        <v>45752</v>
      </c>
      <c r="M107" s="244">
        <f t="shared" si="134"/>
        <v>1</v>
      </c>
      <c r="N107" s="240">
        <f>IF(M107=1,'適正原価率表(仕入れお小遣い制度)'!$J$11,0)</f>
        <v>12323.748916292105</v>
      </c>
      <c r="O107" s="240">
        <f t="shared" si="129"/>
        <v>61618.744581460523</v>
      </c>
      <c r="P107" s="241"/>
      <c r="Q107" s="240">
        <f t="shared" si="130"/>
        <v>0</v>
      </c>
      <c r="R107" s="242">
        <f t="shared" si="124"/>
        <v>61618.744581460523</v>
      </c>
      <c r="S107" s="221"/>
      <c r="T107" s="245">
        <f t="shared" si="131"/>
        <v>45752</v>
      </c>
      <c r="U107" s="221"/>
      <c r="V107" s="221"/>
      <c r="W107" s="221"/>
      <c r="X107" s="221"/>
      <c r="Y107" s="221"/>
      <c r="Z107" s="221"/>
    </row>
    <row r="108" spans="1:26" ht="18.75" customHeight="1" outlineLevel="1">
      <c r="A108" s="221"/>
      <c r="B108" s="237">
        <f t="shared" si="125"/>
        <v>45753</v>
      </c>
      <c r="C108" s="238">
        <f t="shared" si="121"/>
        <v>45753</v>
      </c>
      <c r="D108" s="239">
        <f>目標_2025R7!D116</f>
        <v>1</v>
      </c>
      <c r="E108" s="240">
        <f>IF(D108=1,'適正原価率表(仕入れお小遣い制度)'!$J$10,0)</f>
        <v>15534.995182262881</v>
      </c>
      <c r="F108" s="240">
        <f t="shared" si="126"/>
        <v>93209.971093577289</v>
      </c>
      <c r="G108" s="241"/>
      <c r="H108" s="240">
        <f t="shared" si="127"/>
        <v>0</v>
      </c>
      <c r="I108" s="242">
        <f t="shared" si="122"/>
        <v>93209.971093577289</v>
      </c>
      <c r="J108" s="230"/>
      <c r="K108" s="237">
        <f t="shared" si="120"/>
        <v>45753</v>
      </c>
      <c r="L108" s="243">
        <f t="shared" ref="L108:M108" si="135">C108</f>
        <v>45753</v>
      </c>
      <c r="M108" s="244">
        <f t="shared" si="135"/>
        <v>1</v>
      </c>
      <c r="N108" s="240">
        <f>IF(M108=1,'適正原価率表(仕入れお小遣い制度)'!$J$11,0)</f>
        <v>12323.748916292105</v>
      </c>
      <c r="O108" s="240">
        <f t="shared" si="129"/>
        <v>73942.493497752628</v>
      </c>
      <c r="P108" s="241"/>
      <c r="Q108" s="240">
        <f t="shared" si="130"/>
        <v>0</v>
      </c>
      <c r="R108" s="242">
        <f t="shared" si="124"/>
        <v>73942.493497752628</v>
      </c>
      <c r="S108" s="221"/>
      <c r="T108" s="245">
        <f t="shared" si="131"/>
        <v>45753</v>
      </c>
      <c r="U108" s="221"/>
      <c r="V108" s="221"/>
      <c r="W108" s="221"/>
      <c r="X108" s="221"/>
      <c r="Y108" s="221"/>
      <c r="Z108" s="221"/>
    </row>
    <row r="109" spans="1:26" ht="18.75" customHeight="1" outlineLevel="1">
      <c r="A109" s="221"/>
      <c r="B109" s="237">
        <f t="shared" si="125"/>
        <v>45754</v>
      </c>
      <c r="C109" s="238">
        <f t="shared" si="121"/>
        <v>45754</v>
      </c>
      <c r="D109" s="239">
        <f>目標_2025R7!D117</f>
        <v>0</v>
      </c>
      <c r="E109" s="240">
        <f>IF(D109=1,'適正原価率表(仕入れお小遣い制度)'!$J$10,0)</f>
        <v>0</v>
      </c>
      <c r="F109" s="240">
        <f t="shared" si="126"/>
        <v>0</v>
      </c>
      <c r="G109" s="241"/>
      <c r="H109" s="240">
        <f t="shared" si="127"/>
        <v>0</v>
      </c>
      <c r="I109" s="242">
        <f t="shared" si="122"/>
        <v>0</v>
      </c>
      <c r="J109" s="230"/>
      <c r="K109" s="237">
        <f t="shared" si="120"/>
        <v>45754</v>
      </c>
      <c r="L109" s="243">
        <f t="shared" ref="L109:M109" si="136">C109</f>
        <v>45754</v>
      </c>
      <c r="M109" s="244">
        <f t="shared" si="136"/>
        <v>0</v>
      </c>
      <c r="N109" s="240">
        <f>IF(M109=1,'適正原価率表(仕入れお小遣い制度)'!$J$11,0)</f>
        <v>0</v>
      </c>
      <c r="O109" s="240">
        <f t="shared" si="129"/>
        <v>0</v>
      </c>
      <c r="P109" s="241"/>
      <c r="Q109" s="240">
        <f t="shared" si="130"/>
        <v>0</v>
      </c>
      <c r="R109" s="242">
        <f t="shared" si="124"/>
        <v>0</v>
      </c>
      <c r="S109" s="221"/>
      <c r="T109" s="245">
        <f t="shared" si="131"/>
        <v>45754</v>
      </c>
      <c r="U109" s="221"/>
      <c r="V109" s="221"/>
      <c r="W109" s="221"/>
      <c r="X109" s="221"/>
      <c r="Y109" s="221"/>
      <c r="Z109" s="221"/>
    </row>
    <row r="110" spans="1:26" ht="18.75" customHeight="1" outlineLevel="1">
      <c r="A110" s="221"/>
      <c r="B110" s="237">
        <f t="shared" si="125"/>
        <v>45755</v>
      </c>
      <c r="C110" s="238">
        <f t="shared" si="121"/>
        <v>45755</v>
      </c>
      <c r="D110" s="239">
        <f>目標_2025R7!D118</f>
        <v>1</v>
      </c>
      <c r="E110" s="240">
        <f>IF(D110=1,'適正原価率表(仕入れお小遣い制度)'!$J$10,0)</f>
        <v>15534.995182262881</v>
      </c>
      <c r="F110" s="240">
        <f t="shared" si="126"/>
        <v>108744.96627584017</v>
      </c>
      <c r="G110" s="241"/>
      <c r="H110" s="240">
        <f t="shared" si="127"/>
        <v>0</v>
      </c>
      <c r="I110" s="242">
        <f t="shared" si="122"/>
        <v>108744.96627584017</v>
      </c>
      <c r="J110" s="230"/>
      <c r="K110" s="237">
        <f t="shared" si="120"/>
        <v>45755</v>
      </c>
      <c r="L110" s="243">
        <f t="shared" ref="L110:M110" si="137">C110</f>
        <v>45755</v>
      </c>
      <c r="M110" s="244">
        <f t="shared" si="137"/>
        <v>1</v>
      </c>
      <c r="N110" s="240">
        <f>IF(M110=1,'適正原価率表(仕入れお小遣い制度)'!$J$11,0)</f>
        <v>12323.748916292105</v>
      </c>
      <c r="O110" s="240">
        <f t="shared" si="129"/>
        <v>86266.24241404474</v>
      </c>
      <c r="P110" s="241"/>
      <c r="Q110" s="240">
        <f t="shared" si="130"/>
        <v>0</v>
      </c>
      <c r="R110" s="242">
        <f t="shared" si="124"/>
        <v>86266.24241404474</v>
      </c>
      <c r="S110" s="221"/>
      <c r="T110" s="245">
        <f t="shared" si="131"/>
        <v>45755</v>
      </c>
      <c r="U110" s="221"/>
      <c r="V110" s="221"/>
      <c r="W110" s="221"/>
      <c r="X110" s="221"/>
      <c r="Y110" s="221"/>
      <c r="Z110" s="221"/>
    </row>
    <row r="111" spans="1:26" ht="18.75" customHeight="1" outlineLevel="1">
      <c r="A111" s="221"/>
      <c r="B111" s="237">
        <f t="shared" si="125"/>
        <v>45756</v>
      </c>
      <c r="C111" s="238">
        <f t="shared" si="121"/>
        <v>45756</v>
      </c>
      <c r="D111" s="239">
        <f>目標_2025R7!D119</f>
        <v>1</v>
      </c>
      <c r="E111" s="240">
        <f>IF(D111=1,'適正原価率表(仕入れお小遣い制度)'!$J$10,0)</f>
        <v>15534.995182262881</v>
      </c>
      <c r="F111" s="240">
        <f t="shared" si="126"/>
        <v>124279.96145810305</v>
      </c>
      <c r="G111" s="241"/>
      <c r="H111" s="240">
        <f t="shared" si="127"/>
        <v>0</v>
      </c>
      <c r="I111" s="242">
        <f t="shared" si="122"/>
        <v>124279.96145810305</v>
      </c>
      <c r="J111" s="230"/>
      <c r="K111" s="237">
        <f t="shared" si="120"/>
        <v>45756</v>
      </c>
      <c r="L111" s="243">
        <f t="shared" ref="L111:M111" si="138">C111</f>
        <v>45756</v>
      </c>
      <c r="M111" s="244">
        <f t="shared" si="138"/>
        <v>1</v>
      </c>
      <c r="N111" s="240">
        <f>IF(M111=1,'適正原価率表(仕入れお小遣い制度)'!$J$11,0)</f>
        <v>12323.748916292105</v>
      </c>
      <c r="O111" s="240">
        <f t="shared" si="129"/>
        <v>98589.991330336838</v>
      </c>
      <c r="P111" s="241"/>
      <c r="Q111" s="240">
        <f t="shared" si="130"/>
        <v>0</v>
      </c>
      <c r="R111" s="242">
        <f t="shared" si="124"/>
        <v>98589.991330336838</v>
      </c>
      <c r="S111" s="221"/>
      <c r="T111" s="245">
        <f t="shared" si="131"/>
        <v>45756</v>
      </c>
      <c r="U111" s="221"/>
      <c r="V111" s="221"/>
      <c r="W111" s="221"/>
      <c r="X111" s="221"/>
      <c r="Y111" s="221"/>
      <c r="Z111" s="221"/>
    </row>
    <row r="112" spans="1:26" ht="18.75" customHeight="1" outlineLevel="1">
      <c r="A112" s="221"/>
      <c r="B112" s="237">
        <f t="shared" si="125"/>
        <v>45757</v>
      </c>
      <c r="C112" s="238">
        <f t="shared" si="121"/>
        <v>45757</v>
      </c>
      <c r="D112" s="239">
        <f>目標_2025R7!D120</f>
        <v>1</v>
      </c>
      <c r="E112" s="240">
        <f>IF(D112=1,'適正原価率表(仕入れお小遣い制度)'!$J$10,0)</f>
        <v>15534.995182262881</v>
      </c>
      <c r="F112" s="240">
        <f t="shared" si="126"/>
        <v>139814.95664036594</v>
      </c>
      <c r="G112" s="241"/>
      <c r="H112" s="240">
        <f t="shared" si="127"/>
        <v>0</v>
      </c>
      <c r="I112" s="242">
        <f t="shared" si="122"/>
        <v>139814.95664036594</v>
      </c>
      <c r="J112" s="230"/>
      <c r="K112" s="237">
        <f t="shared" si="120"/>
        <v>45757</v>
      </c>
      <c r="L112" s="243">
        <f t="shared" ref="L112:M112" si="139">C112</f>
        <v>45757</v>
      </c>
      <c r="M112" s="244">
        <f t="shared" si="139"/>
        <v>1</v>
      </c>
      <c r="N112" s="240">
        <f>IF(M112=1,'適正原価率表(仕入れお小遣い制度)'!$J$11,0)</f>
        <v>12323.748916292105</v>
      </c>
      <c r="O112" s="240">
        <f t="shared" si="129"/>
        <v>110913.74024662893</v>
      </c>
      <c r="P112" s="241"/>
      <c r="Q112" s="240">
        <f t="shared" si="130"/>
        <v>0</v>
      </c>
      <c r="R112" s="242">
        <f t="shared" si="124"/>
        <v>110913.74024662893</v>
      </c>
      <c r="S112" s="221"/>
      <c r="T112" s="245">
        <f t="shared" si="131"/>
        <v>45757</v>
      </c>
      <c r="U112" s="221"/>
      <c r="V112" s="221"/>
      <c r="W112" s="221"/>
      <c r="X112" s="221"/>
      <c r="Y112" s="221"/>
      <c r="Z112" s="221"/>
    </row>
    <row r="113" spans="1:26" ht="18.75" customHeight="1" outlineLevel="1">
      <c r="A113" s="221"/>
      <c r="B113" s="237">
        <f t="shared" si="125"/>
        <v>45758</v>
      </c>
      <c r="C113" s="238">
        <f t="shared" si="121"/>
        <v>45758</v>
      </c>
      <c r="D113" s="239">
        <f>目標_2025R7!D121</f>
        <v>1</v>
      </c>
      <c r="E113" s="240">
        <f>IF(D113=1,'適正原価率表(仕入れお小遣い制度)'!$J$10,0)</f>
        <v>15534.995182262881</v>
      </c>
      <c r="F113" s="240">
        <f t="shared" si="126"/>
        <v>155349.95182262882</v>
      </c>
      <c r="G113" s="241"/>
      <c r="H113" s="240">
        <f t="shared" si="127"/>
        <v>0</v>
      </c>
      <c r="I113" s="242">
        <f t="shared" si="122"/>
        <v>155349.95182262882</v>
      </c>
      <c r="J113" s="230"/>
      <c r="K113" s="237">
        <f t="shared" si="120"/>
        <v>45758</v>
      </c>
      <c r="L113" s="243">
        <f t="shared" ref="L113:M113" si="140">C113</f>
        <v>45758</v>
      </c>
      <c r="M113" s="244">
        <f t="shared" si="140"/>
        <v>1</v>
      </c>
      <c r="N113" s="240">
        <f>IF(M113=1,'適正原価率表(仕入れお小遣い制度)'!$J$11,0)</f>
        <v>12323.748916292105</v>
      </c>
      <c r="O113" s="240">
        <f t="shared" si="129"/>
        <v>123237.48916292103</v>
      </c>
      <c r="P113" s="241"/>
      <c r="Q113" s="240">
        <f t="shared" si="130"/>
        <v>0</v>
      </c>
      <c r="R113" s="242">
        <f t="shared" si="124"/>
        <v>123237.48916292103</v>
      </c>
      <c r="S113" s="221"/>
      <c r="T113" s="245">
        <f t="shared" si="131"/>
        <v>45758</v>
      </c>
      <c r="U113" s="221"/>
      <c r="V113" s="221"/>
      <c r="W113" s="221"/>
      <c r="X113" s="221"/>
      <c r="Y113" s="221"/>
      <c r="Z113" s="221"/>
    </row>
    <row r="114" spans="1:26" ht="18.75" customHeight="1" outlineLevel="1">
      <c r="A114" s="221"/>
      <c r="B114" s="237">
        <f t="shared" si="125"/>
        <v>45759</v>
      </c>
      <c r="C114" s="238">
        <f t="shared" si="121"/>
        <v>45759</v>
      </c>
      <c r="D114" s="239">
        <f>目標_2025R7!D122</f>
        <v>1</v>
      </c>
      <c r="E114" s="240">
        <f>IF(D114=1,'適正原価率表(仕入れお小遣い制度)'!$J$10,0)</f>
        <v>15534.995182262881</v>
      </c>
      <c r="F114" s="240">
        <f t="shared" si="126"/>
        <v>170884.9470048917</v>
      </c>
      <c r="G114" s="241"/>
      <c r="H114" s="240">
        <f t="shared" si="127"/>
        <v>0</v>
      </c>
      <c r="I114" s="242">
        <f t="shared" si="122"/>
        <v>170884.9470048917</v>
      </c>
      <c r="J114" s="230"/>
      <c r="K114" s="237">
        <f t="shared" si="120"/>
        <v>45759</v>
      </c>
      <c r="L114" s="243">
        <f t="shared" ref="L114:M114" si="141">C114</f>
        <v>45759</v>
      </c>
      <c r="M114" s="244">
        <f t="shared" si="141"/>
        <v>1</v>
      </c>
      <c r="N114" s="240">
        <f>IF(M114=1,'適正原価率表(仕入れお小遣い制度)'!$J$11,0)</f>
        <v>12323.748916292105</v>
      </c>
      <c r="O114" s="240">
        <f t="shared" si="129"/>
        <v>135561.23807921313</v>
      </c>
      <c r="P114" s="241"/>
      <c r="Q114" s="240">
        <f t="shared" si="130"/>
        <v>0</v>
      </c>
      <c r="R114" s="242">
        <f t="shared" si="124"/>
        <v>135561.23807921313</v>
      </c>
      <c r="S114" s="221"/>
      <c r="T114" s="245">
        <f t="shared" si="131"/>
        <v>45759</v>
      </c>
      <c r="U114" s="221"/>
      <c r="V114" s="221"/>
      <c r="W114" s="221"/>
      <c r="X114" s="221"/>
      <c r="Y114" s="221"/>
      <c r="Z114" s="221"/>
    </row>
    <row r="115" spans="1:26" ht="18.75" customHeight="1" outlineLevel="1">
      <c r="A115" s="221"/>
      <c r="B115" s="237">
        <f t="shared" si="125"/>
        <v>45760</v>
      </c>
      <c r="C115" s="238">
        <f t="shared" si="121"/>
        <v>45760</v>
      </c>
      <c r="D115" s="239">
        <f>目標_2025R7!D123</f>
        <v>1</v>
      </c>
      <c r="E115" s="240">
        <f>IF(D115=1,'適正原価率表(仕入れお小遣い制度)'!$J$10,0)</f>
        <v>15534.995182262881</v>
      </c>
      <c r="F115" s="240">
        <f t="shared" si="126"/>
        <v>186419.94218715458</v>
      </c>
      <c r="G115" s="241"/>
      <c r="H115" s="240">
        <f t="shared" si="127"/>
        <v>0</v>
      </c>
      <c r="I115" s="242">
        <f t="shared" si="122"/>
        <v>186419.94218715458</v>
      </c>
      <c r="J115" s="230"/>
      <c r="K115" s="237">
        <f t="shared" si="120"/>
        <v>45760</v>
      </c>
      <c r="L115" s="243">
        <f t="shared" ref="L115:M115" si="142">C115</f>
        <v>45760</v>
      </c>
      <c r="M115" s="244">
        <f t="shared" si="142"/>
        <v>1</v>
      </c>
      <c r="N115" s="240">
        <f>IF(M115=1,'適正原価率表(仕入れお小遣い制度)'!$J$11,0)</f>
        <v>12323.748916292105</v>
      </c>
      <c r="O115" s="240">
        <f t="shared" si="129"/>
        <v>147884.98699550523</v>
      </c>
      <c r="P115" s="241"/>
      <c r="Q115" s="240">
        <f t="shared" si="130"/>
        <v>0</v>
      </c>
      <c r="R115" s="242">
        <f t="shared" si="124"/>
        <v>147884.98699550523</v>
      </c>
      <c r="S115" s="221"/>
      <c r="T115" s="245">
        <f t="shared" si="131"/>
        <v>45760</v>
      </c>
      <c r="U115" s="221"/>
      <c r="V115" s="221"/>
      <c r="W115" s="221"/>
      <c r="X115" s="221"/>
      <c r="Y115" s="221"/>
      <c r="Z115" s="221"/>
    </row>
    <row r="116" spans="1:26" ht="18.75" customHeight="1" outlineLevel="1">
      <c r="A116" s="221"/>
      <c r="B116" s="237">
        <f t="shared" si="125"/>
        <v>45761</v>
      </c>
      <c r="C116" s="238">
        <f t="shared" si="121"/>
        <v>45761</v>
      </c>
      <c r="D116" s="239">
        <f>目標_2025R7!D124</f>
        <v>0</v>
      </c>
      <c r="E116" s="240">
        <f>IF(D116=1,'適正原価率表(仕入れお小遣い制度)'!$J$10,0)</f>
        <v>0</v>
      </c>
      <c r="F116" s="240">
        <f t="shared" si="126"/>
        <v>0</v>
      </c>
      <c r="G116" s="241"/>
      <c r="H116" s="240">
        <f t="shared" si="127"/>
        <v>0</v>
      </c>
      <c r="I116" s="242">
        <f t="shared" si="122"/>
        <v>0</v>
      </c>
      <c r="J116" s="230"/>
      <c r="K116" s="237">
        <f t="shared" si="120"/>
        <v>45761</v>
      </c>
      <c r="L116" s="243">
        <f t="shared" ref="L116:M116" si="143">C116</f>
        <v>45761</v>
      </c>
      <c r="M116" s="244">
        <f t="shared" si="143"/>
        <v>0</v>
      </c>
      <c r="N116" s="240">
        <f>IF(M116=1,'適正原価率表(仕入れお小遣い制度)'!$J$11,0)</f>
        <v>0</v>
      </c>
      <c r="O116" s="240">
        <f t="shared" si="129"/>
        <v>0</v>
      </c>
      <c r="P116" s="241"/>
      <c r="Q116" s="240">
        <f t="shared" si="130"/>
        <v>0</v>
      </c>
      <c r="R116" s="242">
        <f t="shared" si="124"/>
        <v>0</v>
      </c>
      <c r="S116" s="221"/>
      <c r="T116" s="245">
        <f t="shared" si="131"/>
        <v>45761</v>
      </c>
      <c r="U116" s="221"/>
      <c r="V116" s="221"/>
      <c r="W116" s="221"/>
      <c r="X116" s="221"/>
      <c r="Y116" s="221"/>
      <c r="Z116" s="221"/>
    </row>
    <row r="117" spans="1:26" ht="18.75" customHeight="1" outlineLevel="1">
      <c r="A117" s="221"/>
      <c r="B117" s="237">
        <f t="shared" si="125"/>
        <v>45762</v>
      </c>
      <c r="C117" s="238">
        <f t="shared" si="121"/>
        <v>45762</v>
      </c>
      <c r="D117" s="239">
        <f>目標_2025R7!D125</f>
        <v>1</v>
      </c>
      <c r="E117" s="240">
        <f>IF(D117=1,'適正原価率表(仕入れお小遣い制度)'!$J$10,0)</f>
        <v>15534.995182262881</v>
      </c>
      <c r="F117" s="240">
        <f t="shared" si="126"/>
        <v>201954.93736941746</v>
      </c>
      <c r="G117" s="241"/>
      <c r="H117" s="240">
        <f t="shared" si="127"/>
        <v>0</v>
      </c>
      <c r="I117" s="242">
        <f t="shared" si="122"/>
        <v>201954.93736941746</v>
      </c>
      <c r="J117" s="230"/>
      <c r="K117" s="237">
        <f t="shared" si="120"/>
        <v>45762</v>
      </c>
      <c r="L117" s="243">
        <f t="shared" ref="L117:M117" si="144">C117</f>
        <v>45762</v>
      </c>
      <c r="M117" s="244">
        <f t="shared" si="144"/>
        <v>1</v>
      </c>
      <c r="N117" s="240">
        <f>IF(M117=1,'適正原価率表(仕入れお小遣い制度)'!$J$11,0)</f>
        <v>12323.748916292105</v>
      </c>
      <c r="O117" s="240">
        <f t="shared" si="129"/>
        <v>160208.73591179732</v>
      </c>
      <c r="P117" s="241"/>
      <c r="Q117" s="240">
        <f t="shared" si="130"/>
        <v>0</v>
      </c>
      <c r="R117" s="242">
        <f t="shared" si="124"/>
        <v>160208.73591179732</v>
      </c>
      <c r="S117" s="221"/>
      <c r="T117" s="245">
        <f t="shared" si="131"/>
        <v>45762</v>
      </c>
      <c r="U117" s="221"/>
      <c r="V117" s="221"/>
      <c r="W117" s="221"/>
      <c r="X117" s="221"/>
      <c r="Y117" s="221"/>
      <c r="Z117" s="221"/>
    </row>
    <row r="118" spans="1:26" ht="18.75" customHeight="1" outlineLevel="1">
      <c r="A118" s="221"/>
      <c r="B118" s="237">
        <f t="shared" si="125"/>
        <v>45763</v>
      </c>
      <c r="C118" s="238">
        <f t="shared" si="121"/>
        <v>45763</v>
      </c>
      <c r="D118" s="239">
        <f>目標_2025R7!D126</f>
        <v>1</v>
      </c>
      <c r="E118" s="240">
        <f>IF(D118=1,'適正原価率表(仕入れお小遣い制度)'!$J$10,0)</f>
        <v>15534.995182262881</v>
      </c>
      <c r="F118" s="240">
        <f t="shared" si="126"/>
        <v>217489.93255168034</v>
      </c>
      <c r="G118" s="241"/>
      <c r="H118" s="240">
        <f t="shared" si="127"/>
        <v>0</v>
      </c>
      <c r="I118" s="242">
        <f t="shared" si="122"/>
        <v>217489.93255168034</v>
      </c>
      <c r="J118" s="230"/>
      <c r="K118" s="237">
        <f t="shared" si="120"/>
        <v>45763</v>
      </c>
      <c r="L118" s="243">
        <f t="shared" ref="L118:M118" si="145">C118</f>
        <v>45763</v>
      </c>
      <c r="M118" s="244">
        <f t="shared" si="145"/>
        <v>1</v>
      </c>
      <c r="N118" s="240">
        <f>IF(M118=1,'適正原価率表(仕入れお小遣い制度)'!$J$11,0)</f>
        <v>12323.748916292105</v>
      </c>
      <c r="O118" s="240">
        <f t="shared" si="129"/>
        <v>172532.48482808942</v>
      </c>
      <c r="P118" s="241"/>
      <c r="Q118" s="240">
        <f t="shared" si="130"/>
        <v>0</v>
      </c>
      <c r="R118" s="242">
        <f t="shared" si="124"/>
        <v>172532.48482808942</v>
      </c>
      <c r="S118" s="221"/>
      <c r="T118" s="245">
        <f t="shared" si="131"/>
        <v>45763</v>
      </c>
      <c r="U118" s="221"/>
      <c r="V118" s="221"/>
      <c r="W118" s="221"/>
      <c r="X118" s="221"/>
      <c r="Y118" s="221"/>
      <c r="Z118" s="221"/>
    </row>
    <row r="119" spans="1:26" ht="18.75" customHeight="1" outlineLevel="1">
      <c r="A119" s="221"/>
      <c r="B119" s="237">
        <f t="shared" si="125"/>
        <v>45764</v>
      </c>
      <c r="C119" s="238">
        <f t="shared" si="121"/>
        <v>45764</v>
      </c>
      <c r="D119" s="239">
        <f>目標_2025R7!D127</f>
        <v>1</v>
      </c>
      <c r="E119" s="240">
        <f>IF(D119=1,'適正原価率表(仕入れお小遣い制度)'!$J$10,0)</f>
        <v>15534.995182262881</v>
      </c>
      <c r="F119" s="240">
        <f t="shared" si="126"/>
        <v>233024.92773394322</v>
      </c>
      <c r="G119" s="241"/>
      <c r="H119" s="240">
        <f t="shared" si="127"/>
        <v>0</v>
      </c>
      <c r="I119" s="242">
        <f t="shared" si="122"/>
        <v>233024.92773394322</v>
      </c>
      <c r="J119" s="230"/>
      <c r="K119" s="237">
        <f t="shared" si="120"/>
        <v>45764</v>
      </c>
      <c r="L119" s="243">
        <f t="shared" ref="L119:M119" si="146">C119</f>
        <v>45764</v>
      </c>
      <c r="M119" s="244">
        <f t="shared" si="146"/>
        <v>1</v>
      </c>
      <c r="N119" s="240">
        <f>IF(M119=1,'適正原価率表(仕入れお小遣い制度)'!$J$11,0)</f>
        <v>12323.748916292105</v>
      </c>
      <c r="O119" s="240">
        <f t="shared" si="129"/>
        <v>184856.23374438152</v>
      </c>
      <c r="P119" s="241"/>
      <c r="Q119" s="240">
        <f t="shared" si="130"/>
        <v>0</v>
      </c>
      <c r="R119" s="242">
        <f t="shared" si="124"/>
        <v>184856.23374438152</v>
      </c>
      <c r="S119" s="221"/>
      <c r="T119" s="245">
        <f t="shared" si="131"/>
        <v>45764</v>
      </c>
      <c r="U119" s="221"/>
      <c r="V119" s="221"/>
      <c r="W119" s="221"/>
      <c r="X119" s="221"/>
      <c r="Y119" s="221"/>
      <c r="Z119" s="221"/>
    </row>
    <row r="120" spans="1:26" ht="18.75" customHeight="1" outlineLevel="1">
      <c r="A120" s="221"/>
      <c r="B120" s="237">
        <f t="shared" si="125"/>
        <v>45765</v>
      </c>
      <c r="C120" s="238">
        <f t="shared" si="121"/>
        <v>45765</v>
      </c>
      <c r="D120" s="239">
        <f>目標_2025R7!D128</f>
        <v>1</v>
      </c>
      <c r="E120" s="240">
        <f>IF(D120=1,'適正原価率表(仕入れお小遣い制度)'!$J$10,0)</f>
        <v>15534.995182262881</v>
      </c>
      <c r="F120" s="240">
        <f t="shared" si="126"/>
        <v>248559.92291620609</v>
      </c>
      <c r="G120" s="241"/>
      <c r="H120" s="240">
        <f t="shared" si="127"/>
        <v>0</v>
      </c>
      <c r="I120" s="242">
        <f t="shared" si="122"/>
        <v>248559.92291620609</v>
      </c>
      <c r="J120" s="230"/>
      <c r="K120" s="237">
        <f t="shared" si="120"/>
        <v>45765</v>
      </c>
      <c r="L120" s="243">
        <f t="shared" ref="L120:M120" si="147">C120</f>
        <v>45765</v>
      </c>
      <c r="M120" s="244">
        <f t="shared" si="147"/>
        <v>1</v>
      </c>
      <c r="N120" s="240">
        <f>IF(M120=1,'適正原価率表(仕入れお小遣い制度)'!$J$11,0)</f>
        <v>12323.748916292105</v>
      </c>
      <c r="O120" s="240">
        <f t="shared" si="129"/>
        <v>197179.98266067362</v>
      </c>
      <c r="P120" s="241"/>
      <c r="Q120" s="240">
        <f t="shared" si="130"/>
        <v>0</v>
      </c>
      <c r="R120" s="242">
        <f t="shared" si="124"/>
        <v>197179.98266067362</v>
      </c>
      <c r="S120" s="221"/>
      <c r="T120" s="245">
        <f t="shared" si="131"/>
        <v>45765</v>
      </c>
      <c r="U120" s="221"/>
      <c r="V120" s="221"/>
      <c r="W120" s="221"/>
      <c r="X120" s="221"/>
      <c r="Y120" s="221"/>
      <c r="Z120" s="221"/>
    </row>
    <row r="121" spans="1:26" ht="18.75" customHeight="1" outlineLevel="1">
      <c r="A121" s="221"/>
      <c r="B121" s="237">
        <f t="shared" si="125"/>
        <v>45766</v>
      </c>
      <c r="C121" s="238">
        <f t="shared" si="121"/>
        <v>45766</v>
      </c>
      <c r="D121" s="239">
        <f>目標_2025R7!D129</f>
        <v>1</v>
      </c>
      <c r="E121" s="240">
        <f>IF(D121=1,'適正原価率表(仕入れお小遣い制度)'!$J$10,0)</f>
        <v>15534.995182262881</v>
      </c>
      <c r="F121" s="240">
        <f t="shared" si="126"/>
        <v>264094.91809846897</v>
      </c>
      <c r="G121" s="241"/>
      <c r="H121" s="240">
        <f t="shared" si="127"/>
        <v>0</v>
      </c>
      <c r="I121" s="242">
        <f t="shared" si="122"/>
        <v>264094.91809846897</v>
      </c>
      <c r="J121" s="230"/>
      <c r="K121" s="237">
        <f t="shared" si="120"/>
        <v>45766</v>
      </c>
      <c r="L121" s="243">
        <f t="shared" ref="L121:M121" si="148">C121</f>
        <v>45766</v>
      </c>
      <c r="M121" s="244">
        <f t="shared" si="148"/>
        <v>1</v>
      </c>
      <c r="N121" s="240">
        <f>IF(M121=1,'適正原価率表(仕入れお小遣い制度)'!$J$11,0)</f>
        <v>12323.748916292105</v>
      </c>
      <c r="O121" s="240">
        <f t="shared" si="129"/>
        <v>209503.73157696571</v>
      </c>
      <c r="P121" s="241"/>
      <c r="Q121" s="240">
        <f t="shared" si="130"/>
        <v>0</v>
      </c>
      <c r="R121" s="242">
        <f t="shared" si="124"/>
        <v>209503.73157696571</v>
      </c>
      <c r="S121" s="221"/>
      <c r="T121" s="245">
        <f t="shared" si="131"/>
        <v>45766</v>
      </c>
      <c r="U121" s="221"/>
      <c r="V121" s="221"/>
      <c r="W121" s="221"/>
      <c r="X121" s="221"/>
      <c r="Y121" s="221"/>
      <c r="Z121" s="221"/>
    </row>
    <row r="122" spans="1:26" ht="18.75" customHeight="1" outlineLevel="1">
      <c r="A122" s="221"/>
      <c r="B122" s="237">
        <f t="shared" si="125"/>
        <v>45767</v>
      </c>
      <c r="C122" s="238">
        <f t="shared" si="121"/>
        <v>45767</v>
      </c>
      <c r="D122" s="239">
        <f>目標_2025R7!D130</f>
        <v>1</v>
      </c>
      <c r="E122" s="240">
        <f>IF(D122=1,'適正原価率表(仕入れお小遣い制度)'!$J$10,0)</f>
        <v>15534.995182262881</v>
      </c>
      <c r="F122" s="240">
        <f t="shared" si="126"/>
        <v>279629.91328073188</v>
      </c>
      <c r="G122" s="241"/>
      <c r="H122" s="240">
        <f t="shared" si="127"/>
        <v>0</v>
      </c>
      <c r="I122" s="242">
        <f t="shared" si="122"/>
        <v>279629.91328073188</v>
      </c>
      <c r="J122" s="230"/>
      <c r="K122" s="237">
        <f t="shared" si="120"/>
        <v>45767</v>
      </c>
      <c r="L122" s="243">
        <f t="shared" ref="L122:M122" si="149">C122</f>
        <v>45767</v>
      </c>
      <c r="M122" s="244">
        <f t="shared" si="149"/>
        <v>1</v>
      </c>
      <c r="N122" s="240">
        <f>IF(M122=1,'適正原価率表(仕入れお小遣い制度)'!$J$11,0)</f>
        <v>12323.748916292105</v>
      </c>
      <c r="O122" s="240">
        <f t="shared" si="129"/>
        <v>221827.48049325781</v>
      </c>
      <c r="P122" s="241"/>
      <c r="Q122" s="240">
        <f t="shared" si="130"/>
        <v>0</v>
      </c>
      <c r="R122" s="242">
        <f t="shared" si="124"/>
        <v>221827.48049325781</v>
      </c>
      <c r="S122" s="221"/>
      <c r="T122" s="245">
        <f t="shared" si="131"/>
        <v>45767</v>
      </c>
      <c r="U122" s="221"/>
      <c r="V122" s="221"/>
      <c r="W122" s="221"/>
      <c r="X122" s="221"/>
      <c r="Y122" s="221"/>
      <c r="Z122" s="221"/>
    </row>
    <row r="123" spans="1:26" ht="18.75" customHeight="1" outlineLevel="1">
      <c r="A123" s="221"/>
      <c r="B123" s="237">
        <f t="shared" si="125"/>
        <v>45768</v>
      </c>
      <c r="C123" s="238">
        <f t="shared" si="121"/>
        <v>45768</v>
      </c>
      <c r="D123" s="239">
        <f>目標_2025R7!D131</f>
        <v>0</v>
      </c>
      <c r="E123" s="240">
        <f>IF(D123=1,'適正原価率表(仕入れお小遣い制度)'!$J$10,0)</f>
        <v>0</v>
      </c>
      <c r="F123" s="240">
        <f t="shared" si="126"/>
        <v>0</v>
      </c>
      <c r="G123" s="241"/>
      <c r="H123" s="240">
        <f t="shared" si="127"/>
        <v>0</v>
      </c>
      <c r="I123" s="242">
        <f t="shared" si="122"/>
        <v>0</v>
      </c>
      <c r="J123" s="230"/>
      <c r="K123" s="237">
        <f t="shared" si="120"/>
        <v>45768</v>
      </c>
      <c r="L123" s="243">
        <f t="shared" ref="L123:M123" si="150">C123</f>
        <v>45768</v>
      </c>
      <c r="M123" s="244">
        <f t="shared" si="150"/>
        <v>0</v>
      </c>
      <c r="N123" s="240">
        <f>IF(M123=1,'適正原価率表(仕入れお小遣い制度)'!$J$11,0)</f>
        <v>0</v>
      </c>
      <c r="O123" s="240">
        <f t="shared" si="129"/>
        <v>0</v>
      </c>
      <c r="P123" s="241"/>
      <c r="Q123" s="240">
        <f t="shared" si="130"/>
        <v>0</v>
      </c>
      <c r="R123" s="242">
        <f t="shared" si="124"/>
        <v>0</v>
      </c>
      <c r="S123" s="221"/>
      <c r="T123" s="245">
        <f t="shared" si="131"/>
        <v>45768</v>
      </c>
      <c r="U123" s="221"/>
      <c r="V123" s="221"/>
      <c r="W123" s="221"/>
      <c r="X123" s="221"/>
      <c r="Y123" s="221"/>
      <c r="Z123" s="221"/>
    </row>
    <row r="124" spans="1:26" ht="18.75" customHeight="1" outlineLevel="1">
      <c r="A124" s="221"/>
      <c r="B124" s="237">
        <f t="shared" si="125"/>
        <v>45769</v>
      </c>
      <c r="C124" s="238">
        <f t="shared" si="121"/>
        <v>45769</v>
      </c>
      <c r="D124" s="239">
        <f>目標_2025R7!D132</f>
        <v>1</v>
      </c>
      <c r="E124" s="240">
        <f>IF(D124=1,'適正原価率表(仕入れお小遣い制度)'!$J$10,0)</f>
        <v>15534.995182262881</v>
      </c>
      <c r="F124" s="240">
        <f t="shared" si="126"/>
        <v>295164.90846299479</v>
      </c>
      <c r="G124" s="241"/>
      <c r="H124" s="240">
        <f t="shared" si="127"/>
        <v>0</v>
      </c>
      <c r="I124" s="242">
        <f t="shared" si="122"/>
        <v>295164.90846299479</v>
      </c>
      <c r="J124" s="230"/>
      <c r="K124" s="237">
        <f t="shared" si="120"/>
        <v>45769</v>
      </c>
      <c r="L124" s="243">
        <f t="shared" ref="L124:M124" si="151">C124</f>
        <v>45769</v>
      </c>
      <c r="M124" s="244">
        <f t="shared" si="151"/>
        <v>1</v>
      </c>
      <c r="N124" s="240">
        <f>IF(M124=1,'適正原価率表(仕入れお小遣い制度)'!$J$11,0)</f>
        <v>12323.748916292105</v>
      </c>
      <c r="O124" s="240">
        <f t="shared" si="129"/>
        <v>234151.22940954991</v>
      </c>
      <c r="P124" s="241"/>
      <c r="Q124" s="240">
        <f t="shared" si="130"/>
        <v>0</v>
      </c>
      <c r="R124" s="242">
        <f t="shared" si="124"/>
        <v>234151.22940954991</v>
      </c>
      <c r="S124" s="221"/>
      <c r="T124" s="245">
        <f t="shared" si="131"/>
        <v>45769</v>
      </c>
      <c r="U124" s="221"/>
      <c r="V124" s="221"/>
      <c r="W124" s="221"/>
      <c r="X124" s="221"/>
      <c r="Y124" s="221"/>
      <c r="Z124" s="221"/>
    </row>
    <row r="125" spans="1:26" ht="18.75" customHeight="1" outlineLevel="1">
      <c r="A125" s="221"/>
      <c r="B125" s="237">
        <f t="shared" si="125"/>
        <v>45770</v>
      </c>
      <c r="C125" s="238">
        <f t="shared" si="121"/>
        <v>45770</v>
      </c>
      <c r="D125" s="239">
        <f>目標_2025R7!D133</f>
        <v>1</v>
      </c>
      <c r="E125" s="240">
        <f>IF(D125=1,'適正原価率表(仕入れお小遣い制度)'!$J$10,0)</f>
        <v>15534.995182262881</v>
      </c>
      <c r="F125" s="240">
        <f t="shared" si="126"/>
        <v>310699.9036452577</v>
      </c>
      <c r="G125" s="241"/>
      <c r="H125" s="240">
        <f t="shared" si="127"/>
        <v>0</v>
      </c>
      <c r="I125" s="242">
        <f t="shared" si="122"/>
        <v>310699.9036452577</v>
      </c>
      <c r="J125" s="230"/>
      <c r="K125" s="237">
        <f t="shared" si="120"/>
        <v>45770</v>
      </c>
      <c r="L125" s="243">
        <f t="shared" ref="L125:M125" si="152">C125</f>
        <v>45770</v>
      </c>
      <c r="M125" s="244">
        <f t="shared" si="152"/>
        <v>1</v>
      </c>
      <c r="N125" s="240">
        <f>IF(M125=1,'適正原価率表(仕入れお小遣い制度)'!$J$11,0)</f>
        <v>12323.748916292105</v>
      </c>
      <c r="O125" s="240">
        <f t="shared" si="129"/>
        <v>246474.97832584201</v>
      </c>
      <c r="P125" s="241"/>
      <c r="Q125" s="240">
        <f t="shared" si="130"/>
        <v>0</v>
      </c>
      <c r="R125" s="242">
        <f t="shared" si="124"/>
        <v>246474.97832584201</v>
      </c>
      <c r="S125" s="221"/>
      <c r="T125" s="245">
        <f t="shared" si="131"/>
        <v>45770</v>
      </c>
      <c r="U125" s="221"/>
      <c r="V125" s="221"/>
      <c r="W125" s="221"/>
      <c r="X125" s="221"/>
      <c r="Y125" s="221"/>
      <c r="Z125" s="221"/>
    </row>
    <row r="126" spans="1:26" ht="18.75" customHeight="1" outlineLevel="1">
      <c r="A126" s="221"/>
      <c r="B126" s="237">
        <f t="shared" si="125"/>
        <v>45771</v>
      </c>
      <c r="C126" s="238">
        <f t="shared" si="121"/>
        <v>45771</v>
      </c>
      <c r="D126" s="239">
        <f>目標_2025R7!D134</f>
        <v>1</v>
      </c>
      <c r="E126" s="240">
        <f>IF(D126=1,'適正原価率表(仕入れお小遣い制度)'!$J$10,0)</f>
        <v>15534.995182262881</v>
      </c>
      <c r="F126" s="240">
        <f t="shared" si="126"/>
        <v>326234.89882752061</v>
      </c>
      <c r="G126" s="241"/>
      <c r="H126" s="240">
        <f t="shared" si="127"/>
        <v>0</v>
      </c>
      <c r="I126" s="242">
        <f t="shared" si="122"/>
        <v>326234.89882752061</v>
      </c>
      <c r="J126" s="230"/>
      <c r="K126" s="237">
        <f t="shared" si="120"/>
        <v>45771</v>
      </c>
      <c r="L126" s="243">
        <f t="shared" ref="L126:M126" si="153">C126</f>
        <v>45771</v>
      </c>
      <c r="M126" s="244">
        <f t="shared" si="153"/>
        <v>1</v>
      </c>
      <c r="N126" s="240">
        <f>IF(M126=1,'適正原価率表(仕入れお小遣い制度)'!$J$11,0)</f>
        <v>12323.748916292105</v>
      </c>
      <c r="O126" s="240">
        <f t="shared" si="129"/>
        <v>258798.7272421341</v>
      </c>
      <c r="P126" s="241"/>
      <c r="Q126" s="240">
        <f t="shared" si="130"/>
        <v>0</v>
      </c>
      <c r="R126" s="242">
        <f t="shared" si="124"/>
        <v>258798.7272421341</v>
      </c>
      <c r="S126" s="221"/>
      <c r="T126" s="245">
        <f t="shared" si="131"/>
        <v>45771</v>
      </c>
      <c r="U126" s="221"/>
      <c r="V126" s="221"/>
      <c r="W126" s="221"/>
      <c r="X126" s="221"/>
      <c r="Y126" s="221"/>
      <c r="Z126" s="221"/>
    </row>
    <row r="127" spans="1:26" ht="18.75" customHeight="1" outlineLevel="1">
      <c r="A127" s="221"/>
      <c r="B127" s="237">
        <f t="shared" si="125"/>
        <v>45772</v>
      </c>
      <c r="C127" s="238">
        <f t="shared" si="121"/>
        <v>45772</v>
      </c>
      <c r="D127" s="239">
        <f>目標_2025R7!D135</f>
        <v>1</v>
      </c>
      <c r="E127" s="240">
        <f>IF(D127=1,'適正原価率表(仕入れお小遣い制度)'!$J$10,0)</f>
        <v>15534.995182262881</v>
      </c>
      <c r="F127" s="240">
        <f t="shared" si="126"/>
        <v>341769.89400978351</v>
      </c>
      <c r="G127" s="241"/>
      <c r="H127" s="240">
        <f t="shared" si="127"/>
        <v>0</v>
      </c>
      <c r="I127" s="242">
        <f t="shared" si="122"/>
        <v>341769.89400978351</v>
      </c>
      <c r="J127" s="230"/>
      <c r="K127" s="237">
        <f t="shared" si="120"/>
        <v>45772</v>
      </c>
      <c r="L127" s="243">
        <f t="shared" ref="L127:M127" si="154">C127</f>
        <v>45772</v>
      </c>
      <c r="M127" s="244">
        <f t="shared" si="154"/>
        <v>1</v>
      </c>
      <c r="N127" s="240">
        <f>IF(M127=1,'適正原価率表(仕入れお小遣い制度)'!$J$11,0)</f>
        <v>12323.748916292105</v>
      </c>
      <c r="O127" s="240">
        <f t="shared" si="129"/>
        <v>271122.4761584262</v>
      </c>
      <c r="P127" s="241"/>
      <c r="Q127" s="240">
        <f t="shared" si="130"/>
        <v>0</v>
      </c>
      <c r="R127" s="242">
        <f t="shared" si="124"/>
        <v>271122.4761584262</v>
      </c>
      <c r="S127" s="221"/>
      <c r="T127" s="245">
        <f t="shared" si="131"/>
        <v>45772</v>
      </c>
      <c r="U127" s="221"/>
      <c r="V127" s="221"/>
      <c r="W127" s="221"/>
      <c r="X127" s="221"/>
      <c r="Y127" s="221"/>
      <c r="Z127" s="221"/>
    </row>
    <row r="128" spans="1:26" ht="18.75" customHeight="1" outlineLevel="1">
      <c r="A128" s="221"/>
      <c r="B128" s="237">
        <f t="shared" si="125"/>
        <v>45773</v>
      </c>
      <c r="C128" s="238">
        <f t="shared" si="121"/>
        <v>45773</v>
      </c>
      <c r="D128" s="239">
        <f>目標_2025R7!D136</f>
        <v>1</v>
      </c>
      <c r="E128" s="240">
        <f>IF(D128=1,'適正原価率表(仕入れお小遣い制度)'!$J$10,0)</f>
        <v>15534.995182262881</v>
      </c>
      <c r="F128" s="240">
        <f t="shared" si="126"/>
        <v>357304.88919204642</v>
      </c>
      <c r="G128" s="241"/>
      <c r="H128" s="240">
        <f t="shared" si="127"/>
        <v>0</v>
      </c>
      <c r="I128" s="242">
        <f t="shared" si="122"/>
        <v>357304.88919204642</v>
      </c>
      <c r="J128" s="230"/>
      <c r="K128" s="237">
        <f t="shared" si="120"/>
        <v>45773</v>
      </c>
      <c r="L128" s="243">
        <f t="shared" ref="L128:M128" si="155">C128</f>
        <v>45773</v>
      </c>
      <c r="M128" s="244">
        <f t="shared" si="155"/>
        <v>1</v>
      </c>
      <c r="N128" s="240">
        <f>IF(M128=1,'適正原価率表(仕入れお小遣い制度)'!$J$11,0)</f>
        <v>12323.748916292105</v>
      </c>
      <c r="O128" s="240">
        <f t="shared" si="129"/>
        <v>283446.2250747183</v>
      </c>
      <c r="P128" s="241"/>
      <c r="Q128" s="240">
        <f t="shared" si="130"/>
        <v>0</v>
      </c>
      <c r="R128" s="242">
        <f t="shared" si="124"/>
        <v>283446.2250747183</v>
      </c>
      <c r="S128" s="221"/>
      <c r="T128" s="245">
        <f t="shared" si="131"/>
        <v>45773</v>
      </c>
      <c r="U128" s="221"/>
      <c r="V128" s="221"/>
      <c r="W128" s="221"/>
      <c r="X128" s="221"/>
      <c r="Y128" s="221"/>
      <c r="Z128" s="221"/>
    </row>
    <row r="129" spans="1:26" ht="18.75" customHeight="1" outlineLevel="1">
      <c r="A129" s="221"/>
      <c r="B129" s="237">
        <f t="shared" si="125"/>
        <v>45774</v>
      </c>
      <c r="C129" s="238">
        <f t="shared" si="121"/>
        <v>45774</v>
      </c>
      <c r="D129" s="239">
        <f>目標_2025R7!D137</f>
        <v>1</v>
      </c>
      <c r="E129" s="240">
        <f>IF(D129=1,'適正原価率表(仕入れお小遣い制度)'!$J$10,0)</f>
        <v>15534.995182262881</v>
      </c>
      <c r="F129" s="240">
        <f t="shared" si="126"/>
        <v>372839.88437430933</v>
      </c>
      <c r="G129" s="241"/>
      <c r="H129" s="240">
        <f t="shared" si="127"/>
        <v>0</v>
      </c>
      <c r="I129" s="242">
        <f t="shared" si="122"/>
        <v>372839.88437430933</v>
      </c>
      <c r="J129" s="230"/>
      <c r="K129" s="237">
        <f t="shared" si="120"/>
        <v>45774</v>
      </c>
      <c r="L129" s="243">
        <f t="shared" ref="L129:M129" si="156">C129</f>
        <v>45774</v>
      </c>
      <c r="M129" s="244">
        <f t="shared" si="156"/>
        <v>1</v>
      </c>
      <c r="N129" s="240">
        <f>IF(M129=1,'適正原価率表(仕入れお小遣い制度)'!$J$11,0)</f>
        <v>12323.748916292105</v>
      </c>
      <c r="O129" s="240">
        <f t="shared" si="129"/>
        <v>295769.9739910104</v>
      </c>
      <c r="P129" s="241"/>
      <c r="Q129" s="240">
        <f t="shared" si="130"/>
        <v>0</v>
      </c>
      <c r="R129" s="242">
        <f t="shared" si="124"/>
        <v>295769.9739910104</v>
      </c>
      <c r="S129" s="221"/>
      <c r="T129" s="245">
        <f t="shared" si="131"/>
        <v>45774</v>
      </c>
      <c r="U129" s="221"/>
      <c r="V129" s="221"/>
      <c r="W129" s="221"/>
      <c r="X129" s="221"/>
      <c r="Y129" s="221"/>
      <c r="Z129" s="221"/>
    </row>
    <row r="130" spans="1:26" ht="18.75" customHeight="1" outlineLevel="1">
      <c r="A130" s="221"/>
      <c r="B130" s="237">
        <f t="shared" si="125"/>
        <v>45775</v>
      </c>
      <c r="C130" s="238">
        <f t="shared" si="121"/>
        <v>45775</v>
      </c>
      <c r="D130" s="239">
        <f>目標_2025R7!D138</f>
        <v>0</v>
      </c>
      <c r="E130" s="240">
        <f>IF(D130=1,'適正原価率表(仕入れお小遣い制度)'!$J$10,0)</f>
        <v>0</v>
      </c>
      <c r="F130" s="240">
        <f t="shared" si="126"/>
        <v>0</v>
      </c>
      <c r="G130" s="241"/>
      <c r="H130" s="240">
        <f t="shared" si="127"/>
        <v>0</v>
      </c>
      <c r="I130" s="242">
        <f t="shared" si="122"/>
        <v>0</v>
      </c>
      <c r="J130" s="230"/>
      <c r="K130" s="237">
        <f t="shared" si="120"/>
        <v>45775</v>
      </c>
      <c r="L130" s="243">
        <f t="shared" ref="L130:M130" si="157">C130</f>
        <v>45775</v>
      </c>
      <c r="M130" s="244">
        <f t="shared" si="157"/>
        <v>0</v>
      </c>
      <c r="N130" s="240">
        <f>IF(M130=1,'適正原価率表(仕入れお小遣い制度)'!$J$11,0)</f>
        <v>0</v>
      </c>
      <c r="O130" s="240">
        <f t="shared" si="129"/>
        <v>0</v>
      </c>
      <c r="P130" s="241"/>
      <c r="Q130" s="240">
        <f t="shared" si="130"/>
        <v>0</v>
      </c>
      <c r="R130" s="242">
        <f t="shared" si="124"/>
        <v>0</v>
      </c>
      <c r="S130" s="221"/>
      <c r="T130" s="245">
        <f t="shared" si="131"/>
        <v>45775</v>
      </c>
      <c r="U130" s="221"/>
      <c r="V130" s="221"/>
      <c r="W130" s="221"/>
      <c r="X130" s="221"/>
      <c r="Y130" s="221"/>
      <c r="Z130" s="221"/>
    </row>
    <row r="131" spans="1:26" ht="18.75" customHeight="1" outlineLevel="1">
      <c r="A131" s="221"/>
      <c r="B131" s="237">
        <f t="shared" si="125"/>
        <v>45776</v>
      </c>
      <c r="C131" s="238">
        <f t="shared" si="121"/>
        <v>45776</v>
      </c>
      <c r="D131" s="239">
        <f>目標_2025R7!D139</f>
        <v>0</v>
      </c>
      <c r="E131" s="240">
        <f>IF(D131=1,'適正原価率表(仕入れお小遣い制度)'!$J$10,0)</f>
        <v>0</v>
      </c>
      <c r="F131" s="240">
        <f t="shared" si="126"/>
        <v>0</v>
      </c>
      <c r="G131" s="241"/>
      <c r="H131" s="240">
        <f t="shared" si="127"/>
        <v>0</v>
      </c>
      <c r="I131" s="242">
        <f t="shared" si="122"/>
        <v>0</v>
      </c>
      <c r="J131" s="230"/>
      <c r="K131" s="237">
        <f t="shared" si="120"/>
        <v>45776</v>
      </c>
      <c r="L131" s="243">
        <f t="shared" ref="L131:M131" si="158">C131</f>
        <v>45776</v>
      </c>
      <c r="M131" s="244">
        <f t="shared" si="158"/>
        <v>0</v>
      </c>
      <c r="N131" s="240">
        <f>IF(M131=1,'適正原価率表(仕入れお小遣い制度)'!$J$11,0)</f>
        <v>0</v>
      </c>
      <c r="O131" s="240">
        <f t="shared" si="129"/>
        <v>0</v>
      </c>
      <c r="P131" s="241"/>
      <c r="Q131" s="240">
        <f t="shared" si="130"/>
        <v>0</v>
      </c>
      <c r="R131" s="242">
        <f t="shared" si="124"/>
        <v>0</v>
      </c>
      <c r="S131" s="221"/>
      <c r="T131" s="245">
        <f t="shared" si="131"/>
        <v>45776</v>
      </c>
      <c r="U131" s="221"/>
      <c r="V131" s="221"/>
      <c r="W131" s="221"/>
      <c r="X131" s="221"/>
      <c r="Y131" s="221"/>
      <c r="Z131" s="221"/>
    </row>
    <row r="132" spans="1:26" ht="18.75" customHeight="1" outlineLevel="1">
      <c r="A132" s="221"/>
      <c r="B132" s="237">
        <f t="shared" si="125"/>
        <v>45777</v>
      </c>
      <c r="C132" s="238">
        <f t="shared" si="121"/>
        <v>45777</v>
      </c>
      <c r="D132" s="239">
        <f>目標_2025R7!D140</f>
        <v>1</v>
      </c>
      <c r="E132" s="240">
        <f>IF(D132=1,'適正原価率表(仕入れお小遣い制度)'!$J$10,0)</f>
        <v>15534.995182262881</v>
      </c>
      <c r="F132" s="240">
        <f t="shared" si="126"/>
        <v>388374.87955657224</v>
      </c>
      <c r="G132" s="241"/>
      <c r="H132" s="240">
        <f t="shared" si="127"/>
        <v>0</v>
      </c>
      <c r="I132" s="242">
        <f t="shared" si="122"/>
        <v>388374.87955657224</v>
      </c>
      <c r="J132" s="230"/>
      <c r="K132" s="237">
        <f t="shared" si="120"/>
        <v>45777</v>
      </c>
      <c r="L132" s="243">
        <f t="shared" ref="L132:M132" si="159">C132</f>
        <v>45777</v>
      </c>
      <c r="M132" s="244">
        <f t="shared" si="159"/>
        <v>1</v>
      </c>
      <c r="N132" s="240">
        <f>IF(M132=1,'適正原価率表(仕入れお小遣い制度)'!$J$11,0)</f>
        <v>12323.748916292105</v>
      </c>
      <c r="O132" s="240">
        <f t="shared" si="129"/>
        <v>308093.72290730249</v>
      </c>
      <c r="P132" s="241"/>
      <c r="Q132" s="240">
        <f t="shared" si="130"/>
        <v>0</v>
      </c>
      <c r="R132" s="242">
        <f t="shared" si="124"/>
        <v>308093.72290730249</v>
      </c>
      <c r="S132" s="221"/>
      <c r="T132" s="245">
        <f t="shared" si="131"/>
        <v>45777</v>
      </c>
      <c r="U132" s="221"/>
      <c r="V132" s="221"/>
      <c r="W132" s="221"/>
      <c r="X132" s="221"/>
      <c r="Y132" s="221"/>
      <c r="Z132" s="221"/>
    </row>
    <row r="133" spans="1:26" ht="18.75" customHeight="1" outlineLevel="1">
      <c r="A133" s="221"/>
      <c r="B133" s="561" t="s">
        <v>176</v>
      </c>
      <c r="C133" s="486"/>
      <c r="D133" s="483"/>
      <c r="E133" s="247">
        <f>SUM(E103:E132)</f>
        <v>388374.87955657224</v>
      </c>
      <c r="F133" s="248"/>
      <c r="G133" s="249"/>
      <c r="H133" s="249"/>
      <c r="I133" s="249"/>
      <c r="J133" s="230"/>
      <c r="K133" s="561" t="s">
        <v>176</v>
      </c>
      <c r="L133" s="486"/>
      <c r="M133" s="483"/>
      <c r="N133" s="247">
        <f>SUM(N103:N132)</f>
        <v>308093.72290730249</v>
      </c>
      <c r="O133" s="248"/>
      <c r="P133" s="249"/>
      <c r="Q133" s="249"/>
      <c r="R133" s="249"/>
      <c r="S133" s="221"/>
      <c r="T133" s="221"/>
      <c r="U133" s="221"/>
      <c r="V133" s="221"/>
      <c r="W133" s="221"/>
      <c r="X133" s="221"/>
      <c r="Y133" s="221"/>
      <c r="Z133" s="221"/>
    </row>
    <row r="134" spans="1:26" ht="18.75" customHeight="1">
      <c r="A134" s="221"/>
      <c r="B134" s="231"/>
      <c r="C134" s="231"/>
      <c r="D134" s="231"/>
      <c r="E134" s="231"/>
      <c r="F134" s="231"/>
      <c r="G134" s="231"/>
      <c r="H134" s="231"/>
      <c r="I134" s="231"/>
      <c r="J134" s="230"/>
      <c r="K134" s="231"/>
      <c r="L134" s="231"/>
      <c r="M134" s="231"/>
      <c r="N134" s="231"/>
      <c r="O134" s="231"/>
      <c r="P134" s="231"/>
      <c r="Q134" s="231"/>
      <c r="R134" s="231"/>
      <c r="S134" s="221"/>
      <c r="T134" s="221"/>
      <c r="U134" s="221"/>
      <c r="V134" s="221"/>
      <c r="W134" s="221"/>
      <c r="X134" s="221"/>
      <c r="Y134" s="221"/>
      <c r="Z134" s="221"/>
    </row>
    <row r="135" spans="1:26" ht="18.75" customHeight="1">
      <c r="A135" s="232"/>
      <c r="B135" s="564">
        <v>5</v>
      </c>
      <c r="C135" s="565"/>
      <c r="D135" s="504"/>
      <c r="E135" s="233" t="s">
        <v>168</v>
      </c>
      <c r="F135" s="234" t="s">
        <v>169</v>
      </c>
      <c r="G135" s="234" t="s">
        <v>170</v>
      </c>
      <c r="H135" s="234" t="s">
        <v>171</v>
      </c>
      <c r="I135" s="235" t="s">
        <v>19</v>
      </c>
      <c r="J135" s="236"/>
      <c r="K135" s="564">
        <f t="shared" ref="K135:K166" si="160">B135</f>
        <v>5</v>
      </c>
      <c r="L135" s="565"/>
      <c r="M135" s="504"/>
      <c r="N135" s="233" t="s">
        <v>172</v>
      </c>
      <c r="O135" s="234" t="s">
        <v>173</v>
      </c>
      <c r="P135" s="234" t="s">
        <v>174</v>
      </c>
      <c r="Q135" s="234" t="s">
        <v>175</v>
      </c>
      <c r="R135" s="234" t="s">
        <v>19</v>
      </c>
      <c r="S135" s="232"/>
      <c r="T135" s="232"/>
      <c r="U135" s="232"/>
      <c r="V135" s="232"/>
      <c r="W135" s="232"/>
      <c r="X135" s="232"/>
      <c r="Y135" s="232"/>
      <c r="Z135" s="232"/>
    </row>
    <row r="136" spans="1:26" ht="18.75" customHeight="1" outlineLevel="1">
      <c r="A136" s="221"/>
      <c r="B136" s="254">
        <f>B132+1</f>
        <v>45778</v>
      </c>
      <c r="C136" s="238">
        <f t="shared" ref="C136:C166" si="161">B136</f>
        <v>45778</v>
      </c>
      <c r="D136" s="239">
        <f>目標_2025R7!D141</f>
        <v>1</v>
      </c>
      <c r="E136" s="240">
        <f>IF(D136=1,'適正原価率表(仕入れお小遣い制度)'!$J$12,0)</f>
        <v>13486.80894975915</v>
      </c>
      <c r="F136" s="240">
        <f>IF(D136=1,E136,0)</f>
        <v>13486.80894975915</v>
      </c>
      <c r="G136" s="241">
        <v>31875</v>
      </c>
      <c r="H136" s="240">
        <f>IF(D136=1,G136,0)</f>
        <v>31875</v>
      </c>
      <c r="I136" s="242">
        <f t="shared" ref="I136:I166" si="162">IF(D136=1,F136-H136,0)</f>
        <v>-18388.19105024085</v>
      </c>
      <c r="J136" s="221"/>
      <c r="K136" s="254">
        <f t="shared" si="160"/>
        <v>45778</v>
      </c>
      <c r="L136" s="238">
        <f t="shared" ref="L136:M136" si="163">C136</f>
        <v>45778</v>
      </c>
      <c r="M136" s="239">
        <f t="shared" si="163"/>
        <v>1</v>
      </c>
      <c r="N136" s="240">
        <f>IF(M136=1,'適正原価率表(仕入れお小遣い制度)'!$J$13,0)</f>
        <v>11627.350734524829</v>
      </c>
      <c r="O136" s="240">
        <f>IF(M136=1,N136,0)</f>
        <v>11627.350734524829</v>
      </c>
      <c r="P136" s="241">
        <v>0</v>
      </c>
      <c r="Q136" s="240">
        <f>IF(M136=1,P136,0)</f>
        <v>0</v>
      </c>
      <c r="R136" s="242">
        <f t="shared" ref="R136:R166" si="164">IF(D136=1,O136-Q136,0)</f>
        <v>11627.350734524829</v>
      </c>
      <c r="S136" s="221"/>
      <c r="T136" s="245">
        <f>T132+1</f>
        <v>45778</v>
      </c>
      <c r="U136" s="221"/>
      <c r="V136" s="221"/>
      <c r="W136" s="221"/>
      <c r="X136" s="221"/>
      <c r="Y136" s="221"/>
      <c r="Z136" s="221"/>
    </row>
    <row r="137" spans="1:26" ht="18.75" customHeight="1" outlineLevel="1">
      <c r="A137" s="221"/>
      <c r="B137" s="254">
        <f t="shared" ref="B137:B166" si="165">B136+1</f>
        <v>45779</v>
      </c>
      <c r="C137" s="238">
        <f t="shared" si="161"/>
        <v>45779</v>
      </c>
      <c r="D137" s="239">
        <f>目標_2025R7!D142</f>
        <v>1</v>
      </c>
      <c r="E137" s="240">
        <f>IF(D137=1,'適正原価率表(仕入れお小遣い制度)'!$J$12,0)</f>
        <v>13486.80894975915</v>
      </c>
      <c r="F137" s="240">
        <f t="shared" ref="F137:F166" si="166">IF(D137=1,SUM($E$136:E137),0)</f>
        <v>26973.6178995183</v>
      </c>
      <c r="G137" s="241">
        <v>14971</v>
      </c>
      <c r="H137" s="240">
        <f t="shared" ref="H137:H166" si="167">IF(D137=1,SUM($G$136:G137),0)</f>
        <v>46846</v>
      </c>
      <c r="I137" s="242">
        <f t="shared" si="162"/>
        <v>-19872.3821004817</v>
      </c>
      <c r="J137" s="221"/>
      <c r="K137" s="254">
        <f t="shared" si="160"/>
        <v>45779</v>
      </c>
      <c r="L137" s="238">
        <f t="shared" ref="L137:M137" si="168">C137</f>
        <v>45779</v>
      </c>
      <c r="M137" s="239">
        <f t="shared" si="168"/>
        <v>1</v>
      </c>
      <c r="N137" s="240">
        <f>IF(M137=1,'適正原価率表(仕入れお小遣い制度)'!$J$13,0)</f>
        <v>11627.350734524829</v>
      </c>
      <c r="O137" s="240">
        <f t="shared" ref="O137:O166" si="169">IF(M137=1,SUM($N$136:N137),0)</f>
        <v>23254.701469049658</v>
      </c>
      <c r="P137" s="241">
        <v>0</v>
      </c>
      <c r="Q137" s="240">
        <f t="shared" ref="Q137:Q166" si="170">IF(M137=1,SUM($P$136:P137),0)</f>
        <v>0</v>
      </c>
      <c r="R137" s="242">
        <f t="shared" si="164"/>
        <v>23254.701469049658</v>
      </c>
      <c r="S137" s="221"/>
      <c r="T137" s="245">
        <f t="shared" ref="T137:T166" si="171">T136+1</f>
        <v>45779</v>
      </c>
      <c r="U137" s="221"/>
      <c r="V137" s="221"/>
      <c r="W137" s="221"/>
      <c r="X137" s="221"/>
      <c r="Y137" s="221"/>
      <c r="Z137" s="221"/>
    </row>
    <row r="138" spans="1:26" ht="18.75" customHeight="1" outlineLevel="1">
      <c r="A138" s="221"/>
      <c r="B138" s="254">
        <f t="shared" si="165"/>
        <v>45780</v>
      </c>
      <c r="C138" s="238">
        <f t="shared" si="161"/>
        <v>45780</v>
      </c>
      <c r="D138" s="239">
        <f>目標_2025R7!D143</f>
        <v>1</v>
      </c>
      <c r="E138" s="240">
        <f>IF(D138=1,'適正原価率表(仕入れお小遣い制度)'!$J$12,0)</f>
        <v>13486.80894975915</v>
      </c>
      <c r="F138" s="240">
        <f t="shared" si="166"/>
        <v>40460.42684927745</v>
      </c>
      <c r="G138" s="241">
        <v>3404</v>
      </c>
      <c r="H138" s="240">
        <f t="shared" si="167"/>
        <v>50250</v>
      </c>
      <c r="I138" s="242">
        <f t="shared" si="162"/>
        <v>-9789.5731507225501</v>
      </c>
      <c r="J138" s="221"/>
      <c r="K138" s="254">
        <f t="shared" si="160"/>
        <v>45780</v>
      </c>
      <c r="L138" s="238">
        <f t="shared" ref="L138:M138" si="172">C138</f>
        <v>45780</v>
      </c>
      <c r="M138" s="239">
        <f t="shared" si="172"/>
        <v>1</v>
      </c>
      <c r="N138" s="240">
        <f>IF(M138=1,'適正原価率表(仕入れお小遣い制度)'!$J$13,0)</f>
        <v>11627.350734524829</v>
      </c>
      <c r="O138" s="240">
        <f t="shared" si="169"/>
        <v>34882.052203574487</v>
      </c>
      <c r="P138" s="241">
        <v>0</v>
      </c>
      <c r="Q138" s="240">
        <f t="shared" si="170"/>
        <v>0</v>
      </c>
      <c r="R138" s="242">
        <f t="shared" si="164"/>
        <v>34882.052203574487</v>
      </c>
      <c r="S138" s="221"/>
      <c r="T138" s="245">
        <f t="shared" si="171"/>
        <v>45780</v>
      </c>
      <c r="U138" s="221"/>
      <c r="V138" s="221"/>
      <c r="W138" s="221"/>
      <c r="X138" s="221"/>
      <c r="Y138" s="221"/>
      <c r="Z138" s="221"/>
    </row>
    <row r="139" spans="1:26" ht="18.75" customHeight="1" outlineLevel="1">
      <c r="A139" s="221"/>
      <c r="B139" s="254">
        <f t="shared" si="165"/>
        <v>45781</v>
      </c>
      <c r="C139" s="238">
        <f t="shared" si="161"/>
        <v>45781</v>
      </c>
      <c r="D139" s="239">
        <f>目標_2025R7!D144</f>
        <v>1</v>
      </c>
      <c r="E139" s="240">
        <f>IF(D139=1,'適正原価率表(仕入れお小遣い制度)'!$J$12,0)</f>
        <v>13486.80894975915</v>
      </c>
      <c r="F139" s="240">
        <f t="shared" si="166"/>
        <v>53947.2357990366</v>
      </c>
      <c r="G139" s="241">
        <v>14848</v>
      </c>
      <c r="H139" s="240">
        <f t="shared" si="167"/>
        <v>65098</v>
      </c>
      <c r="I139" s="242">
        <f t="shared" si="162"/>
        <v>-11150.7642009634</v>
      </c>
      <c r="J139" s="221"/>
      <c r="K139" s="254">
        <f t="shared" si="160"/>
        <v>45781</v>
      </c>
      <c r="L139" s="238">
        <f t="shared" ref="L139:M139" si="173">C139</f>
        <v>45781</v>
      </c>
      <c r="M139" s="239">
        <f t="shared" si="173"/>
        <v>1</v>
      </c>
      <c r="N139" s="240">
        <f>IF(M139=1,'適正原価率表(仕入れお小遣い制度)'!$J$13,0)</f>
        <v>11627.350734524829</v>
      </c>
      <c r="O139" s="240">
        <f t="shared" si="169"/>
        <v>46509.402938099316</v>
      </c>
      <c r="P139" s="241">
        <v>0</v>
      </c>
      <c r="Q139" s="240">
        <f t="shared" si="170"/>
        <v>0</v>
      </c>
      <c r="R139" s="242">
        <f t="shared" si="164"/>
        <v>46509.402938099316</v>
      </c>
      <c r="S139" s="221"/>
      <c r="T139" s="245">
        <f t="shared" si="171"/>
        <v>45781</v>
      </c>
      <c r="U139" s="221"/>
      <c r="V139" s="221"/>
      <c r="W139" s="221"/>
      <c r="X139" s="221"/>
      <c r="Y139" s="221"/>
      <c r="Z139" s="221"/>
    </row>
    <row r="140" spans="1:26" ht="18.75" customHeight="1" outlineLevel="1">
      <c r="A140" s="221"/>
      <c r="B140" s="254">
        <f t="shared" si="165"/>
        <v>45782</v>
      </c>
      <c r="C140" s="238">
        <f t="shared" si="161"/>
        <v>45782</v>
      </c>
      <c r="D140" s="239">
        <f>目標_2025R7!D145</f>
        <v>0</v>
      </c>
      <c r="E140" s="240">
        <f>IF(D140=1,'適正原価率表(仕入れお小遣い制度)'!$J$12,0)</f>
        <v>0</v>
      </c>
      <c r="F140" s="240">
        <f t="shared" si="166"/>
        <v>0</v>
      </c>
      <c r="G140" s="241">
        <v>0</v>
      </c>
      <c r="H140" s="240">
        <f t="shared" si="167"/>
        <v>0</v>
      </c>
      <c r="I140" s="242">
        <f t="shared" si="162"/>
        <v>0</v>
      </c>
      <c r="J140" s="221"/>
      <c r="K140" s="254">
        <f t="shared" si="160"/>
        <v>45782</v>
      </c>
      <c r="L140" s="238">
        <f t="shared" ref="L140:M140" si="174">C140</f>
        <v>45782</v>
      </c>
      <c r="M140" s="239">
        <f t="shared" si="174"/>
        <v>0</v>
      </c>
      <c r="N140" s="240">
        <f>IF(M140=1,'適正原価率表(仕入れお小遣い制度)'!$J$13,0)</f>
        <v>0</v>
      </c>
      <c r="O140" s="240">
        <f t="shared" si="169"/>
        <v>0</v>
      </c>
      <c r="P140" s="241">
        <v>0</v>
      </c>
      <c r="Q140" s="240">
        <f t="shared" si="170"/>
        <v>0</v>
      </c>
      <c r="R140" s="242">
        <f t="shared" si="164"/>
        <v>0</v>
      </c>
      <c r="S140" s="221"/>
      <c r="T140" s="245">
        <f t="shared" si="171"/>
        <v>45782</v>
      </c>
      <c r="U140" s="221"/>
      <c r="V140" s="221"/>
      <c r="W140" s="221"/>
      <c r="X140" s="221"/>
      <c r="Y140" s="221"/>
      <c r="Z140" s="221"/>
    </row>
    <row r="141" spans="1:26" ht="18.75" customHeight="1" outlineLevel="1">
      <c r="A141" s="221"/>
      <c r="B141" s="254">
        <f t="shared" si="165"/>
        <v>45783</v>
      </c>
      <c r="C141" s="238">
        <f t="shared" si="161"/>
        <v>45783</v>
      </c>
      <c r="D141" s="239">
        <f>目標_2025R7!D146</f>
        <v>0</v>
      </c>
      <c r="E141" s="240">
        <f>IF(D141=1,'適正原価率表(仕入れお小遣い制度)'!$J$12,0)</f>
        <v>0</v>
      </c>
      <c r="F141" s="240">
        <f t="shared" si="166"/>
        <v>0</v>
      </c>
      <c r="G141" s="241">
        <v>0</v>
      </c>
      <c r="H141" s="240">
        <f t="shared" si="167"/>
        <v>0</v>
      </c>
      <c r="I141" s="242">
        <f t="shared" si="162"/>
        <v>0</v>
      </c>
      <c r="J141" s="221"/>
      <c r="K141" s="254">
        <f t="shared" si="160"/>
        <v>45783</v>
      </c>
      <c r="L141" s="238">
        <f t="shared" ref="L141:M141" si="175">C141</f>
        <v>45783</v>
      </c>
      <c r="M141" s="239">
        <f t="shared" si="175"/>
        <v>0</v>
      </c>
      <c r="N141" s="240">
        <f>IF(M141=1,'適正原価率表(仕入れお小遣い制度)'!$J$13,0)</f>
        <v>0</v>
      </c>
      <c r="O141" s="240">
        <f t="shared" si="169"/>
        <v>0</v>
      </c>
      <c r="P141" s="241">
        <v>0</v>
      </c>
      <c r="Q141" s="240">
        <f t="shared" si="170"/>
        <v>0</v>
      </c>
      <c r="R141" s="242">
        <f t="shared" si="164"/>
        <v>0</v>
      </c>
      <c r="S141" s="221"/>
      <c r="T141" s="245">
        <f t="shared" si="171"/>
        <v>45783</v>
      </c>
      <c r="U141" s="221"/>
      <c r="V141" s="221"/>
      <c r="W141" s="221"/>
      <c r="X141" s="221"/>
      <c r="Y141" s="221"/>
      <c r="Z141" s="221"/>
    </row>
    <row r="142" spans="1:26" ht="18.75" customHeight="1" outlineLevel="1">
      <c r="A142" s="221"/>
      <c r="B142" s="254">
        <f t="shared" si="165"/>
        <v>45784</v>
      </c>
      <c r="C142" s="238">
        <f t="shared" si="161"/>
        <v>45784</v>
      </c>
      <c r="D142" s="239">
        <f>目標_2025R7!D147</f>
        <v>1</v>
      </c>
      <c r="E142" s="240">
        <f>IF(D142=1,'適正原価率表(仕入れお小遣い制度)'!$J$12,0)</f>
        <v>13486.80894975915</v>
      </c>
      <c r="F142" s="240">
        <f t="shared" si="166"/>
        <v>67434.044748795743</v>
      </c>
      <c r="G142" s="241">
        <v>3793</v>
      </c>
      <c r="H142" s="240">
        <f t="shared" si="167"/>
        <v>68891</v>
      </c>
      <c r="I142" s="242">
        <f t="shared" si="162"/>
        <v>-1456.9552512042574</v>
      </c>
      <c r="J142" s="221"/>
      <c r="K142" s="254">
        <f t="shared" si="160"/>
        <v>45784</v>
      </c>
      <c r="L142" s="238">
        <f t="shared" ref="L142:M142" si="176">C142</f>
        <v>45784</v>
      </c>
      <c r="M142" s="239">
        <f t="shared" si="176"/>
        <v>1</v>
      </c>
      <c r="N142" s="240">
        <f>IF(M142=1,'適正原価率表(仕入れお小遣い制度)'!$J$13,0)</f>
        <v>11627.350734524829</v>
      </c>
      <c r="O142" s="240">
        <f t="shared" si="169"/>
        <v>58136.753672624145</v>
      </c>
      <c r="P142" s="241">
        <v>508</v>
      </c>
      <c r="Q142" s="240">
        <f t="shared" si="170"/>
        <v>508</v>
      </c>
      <c r="R142" s="242">
        <f t="shared" si="164"/>
        <v>57628.753672624145</v>
      </c>
      <c r="S142" s="221"/>
      <c r="T142" s="245">
        <f t="shared" si="171"/>
        <v>45784</v>
      </c>
      <c r="U142" s="221"/>
      <c r="V142" s="221"/>
      <c r="W142" s="221"/>
      <c r="X142" s="221"/>
      <c r="Y142" s="221"/>
      <c r="Z142" s="221"/>
    </row>
    <row r="143" spans="1:26" ht="18.75" customHeight="1" outlineLevel="1">
      <c r="A143" s="221"/>
      <c r="B143" s="254">
        <f t="shared" si="165"/>
        <v>45785</v>
      </c>
      <c r="C143" s="238">
        <f t="shared" si="161"/>
        <v>45785</v>
      </c>
      <c r="D143" s="239">
        <f>目標_2025R7!D148</f>
        <v>1</v>
      </c>
      <c r="E143" s="240">
        <f>IF(D143=1,'適正原価率表(仕入れお小遣い制度)'!$J$12,0)</f>
        <v>13486.80894975915</v>
      </c>
      <c r="F143" s="240">
        <f t="shared" si="166"/>
        <v>80920.853698554885</v>
      </c>
      <c r="G143" s="241">
        <v>23120</v>
      </c>
      <c r="H143" s="240">
        <f t="shared" si="167"/>
        <v>92011</v>
      </c>
      <c r="I143" s="242">
        <f t="shared" si="162"/>
        <v>-11090.146301445115</v>
      </c>
      <c r="J143" s="221"/>
      <c r="K143" s="254">
        <f t="shared" si="160"/>
        <v>45785</v>
      </c>
      <c r="L143" s="238">
        <f t="shared" ref="L143:M143" si="177">C143</f>
        <v>45785</v>
      </c>
      <c r="M143" s="239">
        <f t="shared" si="177"/>
        <v>1</v>
      </c>
      <c r="N143" s="240">
        <f>IF(M143=1,'適正原価率表(仕入れお小遣い制度)'!$J$13,0)</f>
        <v>11627.350734524829</v>
      </c>
      <c r="O143" s="240">
        <f t="shared" si="169"/>
        <v>69764.104407148974</v>
      </c>
      <c r="P143" s="241">
        <v>0</v>
      </c>
      <c r="Q143" s="240">
        <f t="shared" si="170"/>
        <v>508</v>
      </c>
      <c r="R143" s="242">
        <f t="shared" si="164"/>
        <v>69256.104407148974</v>
      </c>
      <c r="S143" s="221"/>
      <c r="T143" s="245">
        <f t="shared" si="171"/>
        <v>45785</v>
      </c>
      <c r="U143" s="221"/>
      <c r="V143" s="221"/>
      <c r="W143" s="221"/>
      <c r="X143" s="221"/>
      <c r="Y143" s="221"/>
      <c r="Z143" s="221"/>
    </row>
    <row r="144" spans="1:26" ht="18.75" customHeight="1" outlineLevel="1">
      <c r="A144" s="221"/>
      <c r="B144" s="254">
        <f t="shared" si="165"/>
        <v>45786</v>
      </c>
      <c r="C144" s="238">
        <f t="shared" si="161"/>
        <v>45786</v>
      </c>
      <c r="D144" s="239">
        <f>目標_2025R7!D149</f>
        <v>1</v>
      </c>
      <c r="E144" s="240">
        <f>IF(D144=1,'適正原価率表(仕入れお小遣い制度)'!$J$12,0)</f>
        <v>13486.80894975915</v>
      </c>
      <c r="F144" s="240">
        <f t="shared" si="166"/>
        <v>94407.662648314028</v>
      </c>
      <c r="G144" s="241">
        <v>7561</v>
      </c>
      <c r="H144" s="240">
        <f t="shared" si="167"/>
        <v>99572</v>
      </c>
      <c r="I144" s="242">
        <f t="shared" si="162"/>
        <v>-5164.337351685972</v>
      </c>
      <c r="J144" s="221"/>
      <c r="K144" s="254">
        <f t="shared" si="160"/>
        <v>45786</v>
      </c>
      <c r="L144" s="238">
        <f t="shared" ref="L144:M144" si="178">C144</f>
        <v>45786</v>
      </c>
      <c r="M144" s="239">
        <f t="shared" si="178"/>
        <v>1</v>
      </c>
      <c r="N144" s="240">
        <f>IF(M144=1,'適正原価率表(仕入れお小遣い制度)'!$J$13,0)</f>
        <v>11627.350734524829</v>
      </c>
      <c r="O144" s="240">
        <f t="shared" si="169"/>
        <v>81391.455141673796</v>
      </c>
      <c r="P144" s="241">
        <v>0</v>
      </c>
      <c r="Q144" s="240">
        <f t="shared" si="170"/>
        <v>508</v>
      </c>
      <c r="R144" s="242">
        <f t="shared" si="164"/>
        <v>80883.455141673796</v>
      </c>
      <c r="S144" s="221"/>
      <c r="T144" s="245">
        <f t="shared" si="171"/>
        <v>45786</v>
      </c>
      <c r="U144" s="221"/>
      <c r="V144" s="221"/>
      <c r="W144" s="221"/>
      <c r="X144" s="221"/>
      <c r="Y144" s="221"/>
      <c r="Z144" s="221"/>
    </row>
    <row r="145" spans="1:26" ht="18.75" customHeight="1" outlineLevel="1">
      <c r="A145" s="221"/>
      <c r="B145" s="254">
        <f t="shared" si="165"/>
        <v>45787</v>
      </c>
      <c r="C145" s="238">
        <f t="shared" si="161"/>
        <v>45787</v>
      </c>
      <c r="D145" s="239">
        <f>目標_2025R7!D150</f>
        <v>1</v>
      </c>
      <c r="E145" s="240">
        <f>IF(D145=1,'適正原価率表(仕入れお小遣い制度)'!$J$12,0)</f>
        <v>13486.80894975915</v>
      </c>
      <c r="F145" s="240">
        <f t="shared" si="166"/>
        <v>107894.47159807317</v>
      </c>
      <c r="G145" s="241">
        <v>0</v>
      </c>
      <c r="H145" s="240">
        <f t="shared" si="167"/>
        <v>99572</v>
      </c>
      <c r="I145" s="242">
        <f t="shared" si="162"/>
        <v>8322.4715980731708</v>
      </c>
      <c r="J145" s="221"/>
      <c r="K145" s="254">
        <f t="shared" si="160"/>
        <v>45787</v>
      </c>
      <c r="L145" s="238">
        <f t="shared" ref="L145:M145" si="179">C145</f>
        <v>45787</v>
      </c>
      <c r="M145" s="239">
        <f t="shared" si="179"/>
        <v>1</v>
      </c>
      <c r="N145" s="240">
        <f>IF(M145=1,'適正原価率表(仕入れお小遣い制度)'!$J$13,0)</f>
        <v>11627.350734524829</v>
      </c>
      <c r="O145" s="240">
        <f t="shared" si="169"/>
        <v>93018.805876198632</v>
      </c>
      <c r="P145" s="241">
        <v>0</v>
      </c>
      <c r="Q145" s="240">
        <f t="shared" si="170"/>
        <v>508</v>
      </c>
      <c r="R145" s="242">
        <f t="shared" si="164"/>
        <v>92510.805876198632</v>
      </c>
      <c r="S145" s="221"/>
      <c r="T145" s="245">
        <f t="shared" si="171"/>
        <v>45787</v>
      </c>
      <c r="U145" s="221"/>
      <c r="V145" s="221"/>
      <c r="W145" s="221"/>
      <c r="X145" s="221"/>
      <c r="Y145" s="221"/>
      <c r="Z145" s="221"/>
    </row>
    <row r="146" spans="1:26" ht="18.75" customHeight="1" outlineLevel="1">
      <c r="A146" s="221"/>
      <c r="B146" s="254">
        <f t="shared" si="165"/>
        <v>45788</v>
      </c>
      <c r="C146" s="238">
        <f t="shared" si="161"/>
        <v>45788</v>
      </c>
      <c r="D146" s="239">
        <f>目標_2025R7!D151</f>
        <v>1</v>
      </c>
      <c r="E146" s="240">
        <f>IF(D146=1,'適正原価率表(仕入れお小遣い制度)'!$J$12,0)</f>
        <v>13486.80894975915</v>
      </c>
      <c r="F146" s="240">
        <f t="shared" si="166"/>
        <v>121381.28054783231</v>
      </c>
      <c r="G146" s="241">
        <v>0</v>
      </c>
      <c r="H146" s="240">
        <f t="shared" si="167"/>
        <v>99572</v>
      </c>
      <c r="I146" s="242">
        <f t="shared" si="162"/>
        <v>21809.280547832313</v>
      </c>
      <c r="J146" s="221"/>
      <c r="K146" s="254">
        <f t="shared" si="160"/>
        <v>45788</v>
      </c>
      <c r="L146" s="238">
        <f t="shared" ref="L146:M146" si="180">C146</f>
        <v>45788</v>
      </c>
      <c r="M146" s="239">
        <f t="shared" si="180"/>
        <v>1</v>
      </c>
      <c r="N146" s="240">
        <f>IF(M146=1,'適正原価率表(仕入れお小遣い制度)'!$J$13,0)</f>
        <v>11627.350734524829</v>
      </c>
      <c r="O146" s="240">
        <f t="shared" si="169"/>
        <v>104646.15661072347</v>
      </c>
      <c r="P146" s="241">
        <v>0</v>
      </c>
      <c r="Q146" s="240">
        <f t="shared" si="170"/>
        <v>508</v>
      </c>
      <c r="R146" s="242">
        <f t="shared" si="164"/>
        <v>104138.15661072347</v>
      </c>
      <c r="S146" s="221"/>
      <c r="T146" s="245">
        <f t="shared" si="171"/>
        <v>45788</v>
      </c>
      <c r="U146" s="221"/>
      <c r="V146" s="221"/>
      <c r="W146" s="221"/>
      <c r="X146" s="221"/>
      <c r="Y146" s="221"/>
      <c r="Z146" s="221"/>
    </row>
    <row r="147" spans="1:26" ht="18.75" customHeight="1" outlineLevel="1">
      <c r="A147" s="221"/>
      <c r="B147" s="254">
        <f t="shared" si="165"/>
        <v>45789</v>
      </c>
      <c r="C147" s="238">
        <f t="shared" si="161"/>
        <v>45789</v>
      </c>
      <c r="D147" s="239">
        <f>目標_2025R7!D152</f>
        <v>0</v>
      </c>
      <c r="E147" s="240">
        <f>IF(D147=1,'適正原価率表(仕入れお小遣い制度)'!$J$12,0)</f>
        <v>0</v>
      </c>
      <c r="F147" s="240">
        <f t="shared" si="166"/>
        <v>0</v>
      </c>
      <c r="G147" s="241">
        <v>0</v>
      </c>
      <c r="H147" s="240">
        <f t="shared" si="167"/>
        <v>0</v>
      </c>
      <c r="I147" s="242">
        <f t="shared" si="162"/>
        <v>0</v>
      </c>
      <c r="J147" s="221"/>
      <c r="K147" s="254">
        <f t="shared" si="160"/>
        <v>45789</v>
      </c>
      <c r="L147" s="238">
        <f t="shared" ref="L147:M147" si="181">C147</f>
        <v>45789</v>
      </c>
      <c r="M147" s="239">
        <f t="shared" si="181"/>
        <v>0</v>
      </c>
      <c r="N147" s="240">
        <f>IF(M147=1,'適正原価率表(仕入れお小遣い制度)'!$J$13,0)</f>
        <v>0</v>
      </c>
      <c r="O147" s="240">
        <f t="shared" si="169"/>
        <v>0</v>
      </c>
      <c r="P147" s="241">
        <v>0</v>
      </c>
      <c r="Q147" s="240">
        <f t="shared" si="170"/>
        <v>0</v>
      </c>
      <c r="R147" s="242">
        <f t="shared" si="164"/>
        <v>0</v>
      </c>
      <c r="S147" s="221"/>
      <c r="T147" s="245">
        <f t="shared" si="171"/>
        <v>45789</v>
      </c>
      <c r="U147" s="221"/>
      <c r="V147" s="221"/>
      <c r="W147" s="221"/>
      <c r="X147" s="221"/>
      <c r="Y147" s="221"/>
      <c r="Z147" s="221"/>
    </row>
    <row r="148" spans="1:26" ht="18.75" customHeight="1" outlineLevel="1">
      <c r="A148" s="221"/>
      <c r="B148" s="254">
        <f t="shared" si="165"/>
        <v>45790</v>
      </c>
      <c r="C148" s="238">
        <f t="shared" si="161"/>
        <v>45790</v>
      </c>
      <c r="D148" s="239">
        <f>目標_2025R7!D153</f>
        <v>1</v>
      </c>
      <c r="E148" s="240">
        <f>IF(D148=1,'適正原価率表(仕入れお小遣い制度)'!$J$12,0)</f>
        <v>13486.80894975915</v>
      </c>
      <c r="F148" s="240">
        <f t="shared" si="166"/>
        <v>134868.08949759146</v>
      </c>
      <c r="G148" s="241">
        <v>11627</v>
      </c>
      <c r="H148" s="240">
        <f t="shared" si="167"/>
        <v>111199</v>
      </c>
      <c r="I148" s="242">
        <f t="shared" si="162"/>
        <v>23669.089497591456</v>
      </c>
      <c r="J148" s="221"/>
      <c r="K148" s="254">
        <f t="shared" si="160"/>
        <v>45790</v>
      </c>
      <c r="L148" s="238">
        <f t="shared" ref="L148:M148" si="182">C148</f>
        <v>45790</v>
      </c>
      <c r="M148" s="239">
        <f t="shared" si="182"/>
        <v>1</v>
      </c>
      <c r="N148" s="240">
        <f>IF(M148=1,'適正原価率表(仕入れお小遣い制度)'!$J$13,0)</f>
        <v>11627.350734524829</v>
      </c>
      <c r="O148" s="240">
        <f t="shared" si="169"/>
        <v>116273.5073452483</v>
      </c>
      <c r="P148" s="241">
        <v>163</v>
      </c>
      <c r="Q148" s="240">
        <f t="shared" si="170"/>
        <v>671</v>
      </c>
      <c r="R148" s="242">
        <f t="shared" si="164"/>
        <v>115602.5073452483</v>
      </c>
      <c r="S148" s="221"/>
      <c r="T148" s="245">
        <f t="shared" si="171"/>
        <v>45790</v>
      </c>
      <c r="U148" s="221"/>
      <c r="V148" s="221"/>
      <c r="W148" s="221"/>
      <c r="X148" s="221"/>
      <c r="Y148" s="221"/>
      <c r="Z148" s="221"/>
    </row>
    <row r="149" spans="1:26" ht="18.75" customHeight="1" outlineLevel="1">
      <c r="A149" s="221"/>
      <c r="B149" s="254">
        <f t="shared" si="165"/>
        <v>45791</v>
      </c>
      <c r="C149" s="238">
        <f t="shared" si="161"/>
        <v>45791</v>
      </c>
      <c r="D149" s="239">
        <f>目標_2025R7!D154</f>
        <v>1</v>
      </c>
      <c r="E149" s="240">
        <f>IF(D149=1,'適正原価率表(仕入れお小遣い制度)'!$J$12,0)</f>
        <v>13486.80894975915</v>
      </c>
      <c r="F149" s="240">
        <f t="shared" si="166"/>
        <v>148354.8984473506</v>
      </c>
      <c r="G149" s="241">
        <v>9765</v>
      </c>
      <c r="H149" s="240">
        <f t="shared" si="167"/>
        <v>120964</v>
      </c>
      <c r="I149" s="242">
        <f t="shared" si="162"/>
        <v>27390.898447350599</v>
      </c>
      <c r="J149" s="221"/>
      <c r="K149" s="254">
        <f t="shared" si="160"/>
        <v>45791</v>
      </c>
      <c r="L149" s="238">
        <f t="shared" ref="L149:M149" si="183">C149</f>
        <v>45791</v>
      </c>
      <c r="M149" s="239">
        <f t="shared" si="183"/>
        <v>1</v>
      </c>
      <c r="N149" s="240">
        <f>IF(M149=1,'適正原価率表(仕入れお小遣い制度)'!$J$13,0)</f>
        <v>11627.350734524829</v>
      </c>
      <c r="O149" s="240">
        <f t="shared" si="169"/>
        <v>127900.85807977314</v>
      </c>
      <c r="P149" s="241">
        <v>4040</v>
      </c>
      <c r="Q149" s="240">
        <f t="shared" si="170"/>
        <v>4711</v>
      </c>
      <c r="R149" s="242">
        <f t="shared" si="164"/>
        <v>123189.85807977314</v>
      </c>
      <c r="S149" s="221"/>
      <c r="T149" s="245">
        <f t="shared" si="171"/>
        <v>45791</v>
      </c>
      <c r="U149" s="221"/>
      <c r="V149" s="221"/>
      <c r="W149" s="221"/>
      <c r="X149" s="221"/>
      <c r="Y149" s="221"/>
      <c r="Z149" s="221"/>
    </row>
    <row r="150" spans="1:26" ht="18.75" customHeight="1" outlineLevel="1">
      <c r="A150" s="221"/>
      <c r="B150" s="254">
        <f t="shared" si="165"/>
        <v>45792</v>
      </c>
      <c r="C150" s="238">
        <f t="shared" si="161"/>
        <v>45792</v>
      </c>
      <c r="D150" s="239">
        <f>目標_2025R7!D155</f>
        <v>1</v>
      </c>
      <c r="E150" s="240">
        <f>IF(D150=1,'適正原価率表(仕入れお小遣い制度)'!$J$12,0)</f>
        <v>13486.80894975915</v>
      </c>
      <c r="F150" s="240">
        <f t="shared" si="166"/>
        <v>161841.70739710974</v>
      </c>
      <c r="G150" s="241">
        <v>13403</v>
      </c>
      <c r="H150" s="240">
        <f t="shared" si="167"/>
        <v>134367</v>
      </c>
      <c r="I150" s="242">
        <f t="shared" si="162"/>
        <v>27474.707397109742</v>
      </c>
      <c r="J150" s="221"/>
      <c r="K150" s="254">
        <f t="shared" si="160"/>
        <v>45792</v>
      </c>
      <c r="L150" s="238">
        <f t="shared" ref="L150:M150" si="184">C150</f>
        <v>45792</v>
      </c>
      <c r="M150" s="239">
        <f t="shared" si="184"/>
        <v>1</v>
      </c>
      <c r="N150" s="240">
        <f>IF(M150=1,'適正原価率表(仕入れお小遣い制度)'!$J$13,0)</f>
        <v>11627.350734524829</v>
      </c>
      <c r="O150" s="240">
        <f t="shared" si="169"/>
        <v>139528.20881429798</v>
      </c>
      <c r="P150" s="241">
        <v>0</v>
      </c>
      <c r="Q150" s="240">
        <f t="shared" si="170"/>
        <v>4711</v>
      </c>
      <c r="R150" s="242">
        <f t="shared" si="164"/>
        <v>134817.20881429798</v>
      </c>
      <c r="S150" s="221"/>
      <c r="T150" s="245">
        <f t="shared" si="171"/>
        <v>45792</v>
      </c>
      <c r="U150" s="221"/>
      <c r="V150" s="221"/>
      <c r="W150" s="221"/>
      <c r="X150" s="221"/>
      <c r="Y150" s="221"/>
      <c r="Z150" s="221"/>
    </row>
    <row r="151" spans="1:26" ht="18.75" customHeight="1" outlineLevel="1">
      <c r="A151" s="221"/>
      <c r="B151" s="254">
        <f t="shared" si="165"/>
        <v>45793</v>
      </c>
      <c r="C151" s="238">
        <f t="shared" si="161"/>
        <v>45793</v>
      </c>
      <c r="D151" s="239">
        <f>目標_2025R7!D156</f>
        <v>1</v>
      </c>
      <c r="E151" s="240">
        <f>IF(D151=1,'適正原価率表(仕入れお小遣い制度)'!$J$12,0)</f>
        <v>13486.80894975915</v>
      </c>
      <c r="F151" s="240">
        <f t="shared" si="166"/>
        <v>175328.51634686888</v>
      </c>
      <c r="G151" s="241">
        <v>7634</v>
      </c>
      <c r="H151" s="240">
        <f t="shared" si="167"/>
        <v>142001</v>
      </c>
      <c r="I151" s="242">
        <f t="shared" si="162"/>
        <v>33327.516346868884</v>
      </c>
      <c r="J151" s="221"/>
      <c r="K151" s="254">
        <f t="shared" si="160"/>
        <v>45793</v>
      </c>
      <c r="L151" s="238">
        <f t="shared" ref="L151:M151" si="185">C151</f>
        <v>45793</v>
      </c>
      <c r="M151" s="239">
        <f t="shared" si="185"/>
        <v>1</v>
      </c>
      <c r="N151" s="240">
        <f>IF(M151=1,'適正原価率表(仕入れお小遣い制度)'!$J$13,0)</f>
        <v>11627.350734524829</v>
      </c>
      <c r="O151" s="240">
        <f t="shared" si="169"/>
        <v>151155.55954882281</v>
      </c>
      <c r="P151" s="241">
        <v>0</v>
      </c>
      <c r="Q151" s="240">
        <f t="shared" si="170"/>
        <v>4711</v>
      </c>
      <c r="R151" s="242">
        <f t="shared" si="164"/>
        <v>146444.55954882281</v>
      </c>
      <c r="S151" s="221"/>
      <c r="T151" s="245">
        <f t="shared" si="171"/>
        <v>45793</v>
      </c>
      <c r="U151" s="221"/>
      <c r="V151" s="221"/>
      <c r="W151" s="221"/>
      <c r="X151" s="221"/>
      <c r="Y151" s="221"/>
      <c r="Z151" s="221"/>
    </row>
    <row r="152" spans="1:26" ht="18.75" customHeight="1" outlineLevel="1">
      <c r="A152" s="221"/>
      <c r="B152" s="254">
        <f t="shared" si="165"/>
        <v>45794</v>
      </c>
      <c r="C152" s="238">
        <f t="shared" si="161"/>
        <v>45794</v>
      </c>
      <c r="D152" s="239">
        <f>目標_2025R7!D157</f>
        <v>1</v>
      </c>
      <c r="E152" s="240">
        <f>IF(D152=1,'適正原価率表(仕入れお小遣い制度)'!$J$12,0)</f>
        <v>13486.80894975915</v>
      </c>
      <c r="F152" s="240">
        <f t="shared" si="166"/>
        <v>188815.32529662803</v>
      </c>
      <c r="G152" s="241">
        <v>6915</v>
      </c>
      <c r="H152" s="240">
        <f t="shared" si="167"/>
        <v>148916</v>
      </c>
      <c r="I152" s="242">
        <f t="shared" si="162"/>
        <v>39899.325296628027</v>
      </c>
      <c r="J152" s="221"/>
      <c r="K152" s="254">
        <f t="shared" si="160"/>
        <v>45794</v>
      </c>
      <c r="L152" s="238">
        <f t="shared" ref="L152:M152" si="186">C152</f>
        <v>45794</v>
      </c>
      <c r="M152" s="239">
        <f t="shared" si="186"/>
        <v>1</v>
      </c>
      <c r="N152" s="240">
        <f>IF(M152=1,'適正原価率表(仕入れお小遣い制度)'!$J$13,0)</f>
        <v>11627.350734524829</v>
      </c>
      <c r="O152" s="240">
        <f t="shared" si="169"/>
        <v>162782.91028334765</v>
      </c>
      <c r="P152" s="241">
        <v>0</v>
      </c>
      <c r="Q152" s="240">
        <f t="shared" si="170"/>
        <v>4711</v>
      </c>
      <c r="R152" s="242">
        <f t="shared" si="164"/>
        <v>158071.91028334765</v>
      </c>
      <c r="S152" s="221"/>
      <c r="T152" s="245">
        <f t="shared" si="171"/>
        <v>45794</v>
      </c>
      <c r="U152" s="221"/>
      <c r="V152" s="221"/>
      <c r="W152" s="221"/>
      <c r="X152" s="221"/>
      <c r="Y152" s="221"/>
      <c r="Z152" s="221"/>
    </row>
    <row r="153" spans="1:26" ht="18.75" customHeight="1" outlineLevel="1">
      <c r="A153" s="221"/>
      <c r="B153" s="254">
        <f t="shared" si="165"/>
        <v>45795</v>
      </c>
      <c r="C153" s="238">
        <f t="shared" si="161"/>
        <v>45795</v>
      </c>
      <c r="D153" s="239">
        <f>目標_2025R7!D158</f>
        <v>1</v>
      </c>
      <c r="E153" s="240">
        <f>IF(D153=1,'適正原価率表(仕入れお小遣い制度)'!$J$12,0)</f>
        <v>13486.80894975915</v>
      </c>
      <c r="F153" s="240">
        <f t="shared" si="166"/>
        <v>202302.13424638717</v>
      </c>
      <c r="G153" s="241">
        <v>6980</v>
      </c>
      <c r="H153" s="240">
        <f t="shared" si="167"/>
        <v>155896</v>
      </c>
      <c r="I153" s="242">
        <f t="shared" si="162"/>
        <v>46406.13424638717</v>
      </c>
      <c r="J153" s="221"/>
      <c r="K153" s="254">
        <f t="shared" si="160"/>
        <v>45795</v>
      </c>
      <c r="L153" s="238">
        <f t="shared" ref="L153:M153" si="187">C153</f>
        <v>45795</v>
      </c>
      <c r="M153" s="239">
        <f t="shared" si="187"/>
        <v>1</v>
      </c>
      <c r="N153" s="240">
        <f>IF(M153=1,'適正原価率表(仕入れお小遣い制度)'!$J$13,0)</f>
        <v>11627.350734524829</v>
      </c>
      <c r="O153" s="240">
        <f t="shared" si="169"/>
        <v>174410.26101787249</v>
      </c>
      <c r="P153" s="241">
        <v>0</v>
      </c>
      <c r="Q153" s="240">
        <f t="shared" si="170"/>
        <v>4711</v>
      </c>
      <c r="R153" s="242">
        <f t="shared" si="164"/>
        <v>169699.26101787249</v>
      </c>
      <c r="S153" s="221"/>
      <c r="T153" s="245">
        <f t="shared" si="171"/>
        <v>45795</v>
      </c>
      <c r="U153" s="221"/>
      <c r="V153" s="221"/>
      <c r="W153" s="221"/>
      <c r="X153" s="221"/>
      <c r="Y153" s="221"/>
      <c r="Z153" s="221"/>
    </row>
    <row r="154" spans="1:26" ht="18.75" customHeight="1" outlineLevel="1">
      <c r="A154" s="221"/>
      <c r="B154" s="254">
        <f t="shared" si="165"/>
        <v>45796</v>
      </c>
      <c r="C154" s="238">
        <f t="shared" si="161"/>
        <v>45796</v>
      </c>
      <c r="D154" s="239">
        <f>目標_2025R7!D159</f>
        <v>0</v>
      </c>
      <c r="E154" s="240">
        <f>IF(D154=1,'適正原価率表(仕入れお小遣い制度)'!$J$12,0)</f>
        <v>0</v>
      </c>
      <c r="F154" s="240">
        <f t="shared" si="166"/>
        <v>0</v>
      </c>
      <c r="G154" s="241">
        <v>0</v>
      </c>
      <c r="H154" s="240">
        <f t="shared" si="167"/>
        <v>0</v>
      </c>
      <c r="I154" s="242">
        <f t="shared" si="162"/>
        <v>0</v>
      </c>
      <c r="J154" s="221"/>
      <c r="K154" s="254">
        <f t="shared" si="160"/>
        <v>45796</v>
      </c>
      <c r="L154" s="238">
        <f t="shared" ref="L154:M154" si="188">C154</f>
        <v>45796</v>
      </c>
      <c r="M154" s="239">
        <f t="shared" si="188"/>
        <v>0</v>
      </c>
      <c r="N154" s="240">
        <f>IF(M154=1,'適正原価率表(仕入れお小遣い制度)'!$J$13,0)</f>
        <v>0</v>
      </c>
      <c r="O154" s="240">
        <f t="shared" si="169"/>
        <v>0</v>
      </c>
      <c r="P154" s="241">
        <v>0</v>
      </c>
      <c r="Q154" s="240">
        <f t="shared" si="170"/>
        <v>0</v>
      </c>
      <c r="R154" s="242">
        <f t="shared" si="164"/>
        <v>0</v>
      </c>
      <c r="S154" s="221"/>
      <c r="T154" s="245">
        <f t="shared" si="171"/>
        <v>45796</v>
      </c>
      <c r="U154" s="221"/>
      <c r="V154" s="221"/>
      <c r="W154" s="221"/>
      <c r="X154" s="221"/>
      <c r="Y154" s="221"/>
      <c r="Z154" s="221"/>
    </row>
    <row r="155" spans="1:26" ht="18.75" customHeight="1" outlineLevel="1">
      <c r="A155" s="221"/>
      <c r="B155" s="254">
        <f t="shared" si="165"/>
        <v>45797</v>
      </c>
      <c r="C155" s="238">
        <f t="shared" si="161"/>
        <v>45797</v>
      </c>
      <c r="D155" s="239">
        <f>目標_2025R7!D160</f>
        <v>1</v>
      </c>
      <c r="E155" s="240">
        <f>IF(D155=1,'適正原価率表(仕入れお小遣い制度)'!$J$12,0)</f>
        <v>13486.80894975915</v>
      </c>
      <c r="F155" s="240">
        <f t="shared" si="166"/>
        <v>215788.94319614631</v>
      </c>
      <c r="G155" s="241">
        <v>18214</v>
      </c>
      <c r="H155" s="240">
        <f t="shared" si="167"/>
        <v>174110</v>
      </c>
      <c r="I155" s="242">
        <f t="shared" si="162"/>
        <v>41678.943196146312</v>
      </c>
      <c r="J155" s="221"/>
      <c r="K155" s="254">
        <f t="shared" si="160"/>
        <v>45797</v>
      </c>
      <c r="L155" s="238">
        <f t="shared" ref="L155:M155" si="189">C155</f>
        <v>45797</v>
      </c>
      <c r="M155" s="239">
        <f t="shared" si="189"/>
        <v>1</v>
      </c>
      <c r="N155" s="240">
        <f>IF(M155=1,'適正原価率表(仕入れお小遣い制度)'!$J$13,0)</f>
        <v>11627.350734524829</v>
      </c>
      <c r="O155" s="240">
        <f t="shared" si="169"/>
        <v>186037.61175239732</v>
      </c>
      <c r="P155" s="241">
        <v>0</v>
      </c>
      <c r="Q155" s="240">
        <f t="shared" si="170"/>
        <v>4711</v>
      </c>
      <c r="R155" s="242">
        <f t="shared" si="164"/>
        <v>181326.61175239732</v>
      </c>
      <c r="S155" s="221"/>
      <c r="T155" s="245">
        <f t="shared" si="171"/>
        <v>45797</v>
      </c>
      <c r="U155" s="221"/>
      <c r="V155" s="221"/>
      <c r="W155" s="221"/>
      <c r="X155" s="221"/>
      <c r="Y155" s="221"/>
      <c r="Z155" s="221"/>
    </row>
    <row r="156" spans="1:26" ht="18.75" customHeight="1" outlineLevel="1">
      <c r="A156" s="221"/>
      <c r="B156" s="254">
        <f t="shared" si="165"/>
        <v>45798</v>
      </c>
      <c r="C156" s="238">
        <f t="shared" si="161"/>
        <v>45798</v>
      </c>
      <c r="D156" s="239">
        <f>目標_2025R7!D161</f>
        <v>1</v>
      </c>
      <c r="E156" s="240">
        <f>IF(D156=1,'適正原価率表(仕入れお小遣い制度)'!$J$12,0)</f>
        <v>13486.80894975915</v>
      </c>
      <c r="F156" s="240">
        <f t="shared" si="166"/>
        <v>229275.75214590546</v>
      </c>
      <c r="G156" s="241">
        <v>2290</v>
      </c>
      <c r="H156" s="240">
        <f t="shared" si="167"/>
        <v>176400</v>
      </c>
      <c r="I156" s="242">
        <f t="shared" si="162"/>
        <v>52875.752145905455</v>
      </c>
      <c r="J156" s="221"/>
      <c r="K156" s="254">
        <f t="shared" si="160"/>
        <v>45798</v>
      </c>
      <c r="L156" s="238">
        <f t="shared" ref="L156:M156" si="190">C156</f>
        <v>45798</v>
      </c>
      <c r="M156" s="239">
        <f t="shared" si="190"/>
        <v>1</v>
      </c>
      <c r="N156" s="240">
        <f>IF(M156=1,'適正原価率表(仕入れお小遣い制度)'!$J$13,0)</f>
        <v>11627.350734524829</v>
      </c>
      <c r="O156" s="240">
        <f t="shared" si="169"/>
        <v>197664.96248692216</v>
      </c>
      <c r="P156" s="241">
        <v>254</v>
      </c>
      <c r="Q156" s="240">
        <f t="shared" si="170"/>
        <v>4965</v>
      </c>
      <c r="R156" s="242">
        <f t="shared" si="164"/>
        <v>192699.96248692216</v>
      </c>
      <c r="S156" s="221"/>
      <c r="T156" s="245">
        <f t="shared" si="171"/>
        <v>45798</v>
      </c>
      <c r="U156" s="221"/>
      <c r="V156" s="221"/>
      <c r="W156" s="221"/>
      <c r="X156" s="221"/>
      <c r="Y156" s="221"/>
      <c r="Z156" s="221"/>
    </row>
    <row r="157" spans="1:26" ht="18.75" customHeight="1" outlineLevel="1">
      <c r="A157" s="221"/>
      <c r="B157" s="254">
        <f t="shared" si="165"/>
        <v>45799</v>
      </c>
      <c r="C157" s="238">
        <f t="shared" si="161"/>
        <v>45799</v>
      </c>
      <c r="D157" s="239">
        <f>目標_2025R7!D162</f>
        <v>1</v>
      </c>
      <c r="E157" s="240">
        <f>IF(D157=1,'適正原価率表(仕入れお小遣い制度)'!$J$12,0)</f>
        <v>13486.80894975915</v>
      </c>
      <c r="F157" s="240">
        <f t="shared" si="166"/>
        <v>242762.5610956646</v>
      </c>
      <c r="G157" s="241">
        <v>14234</v>
      </c>
      <c r="H157" s="240">
        <f t="shared" si="167"/>
        <v>190634</v>
      </c>
      <c r="I157" s="242">
        <f t="shared" si="162"/>
        <v>52128.561095664598</v>
      </c>
      <c r="J157" s="221"/>
      <c r="K157" s="254">
        <f t="shared" si="160"/>
        <v>45799</v>
      </c>
      <c r="L157" s="238">
        <f t="shared" ref="L157:M157" si="191">C157</f>
        <v>45799</v>
      </c>
      <c r="M157" s="239">
        <f t="shared" si="191"/>
        <v>1</v>
      </c>
      <c r="N157" s="240">
        <f>IF(M157=1,'適正原価率表(仕入れお小遣い制度)'!$J$13,0)</f>
        <v>11627.350734524829</v>
      </c>
      <c r="O157" s="240">
        <f t="shared" si="169"/>
        <v>209292.313221447</v>
      </c>
      <c r="P157" s="241">
        <v>0</v>
      </c>
      <c r="Q157" s="240">
        <f t="shared" si="170"/>
        <v>4965</v>
      </c>
      <c r="R157" s="242">
        <f t="shared" si="164"/>
        <v>204327.313221447</v>
      </c>
      <c r="S157" s="221"/>
      <c r="T157" s="245">
        <f t="shared" si="171"/>
        <v>45799</v>
      </c>
      <c r="U157" s="221"/>
      <c r="V157" s="221"/>
      <c r="W157" s="221"/>
      <c r="X157" s="221"/>
      <c r="Y157" s="221"/>
      <c r="Z157" s="221"/>
    </row>
    <row r="158" spans="1:26" ht="18.75" customHeight="1" outlineLevel="1">
      <c r="A158" s="221"/>
      <c r="B158" s="254">
        <f t="shared" si="165"/>
        <v>45800</v>
      </c>
      <c r="C158" s="238">
        <f t="shared" si="161"/>
        <v>45800</v>
      </c>
      <c r="D158" s="239">
        <f>目標_2025R7!D163</f>
        <v>1</v>
      </c>
      <c r="E158" s="240">
        <f>IF(D158=1,'適正原価率表(仕入れお小遣い制度)'!$J$12,0)</f>
        <v>13486.80894975915</v>
      </c>
      <c r="F158" s="240">
        <f t="shared" si="166"/>
        <v>256249.37004542374</v>
      </c>
      <c r="G158" s="241">
        <v>15392</v>
      </c>
      <c r="H158" s="240">
        <f t="shared" si="167"/>
        <v>206026</v>
      </c>
      <c r="I158" s="242">
        <f t="shared" si="162"/>
        <v>50223.370045423741</v>
      </c>
      <c r="J158" s="221"/>
      <c r="K158" s="254">
        <f t="shared" si="160"/>
        <v>45800</v>
      </c>
      <c r="L158" s="238">
        <f t="shared" ref="L158:M158" si="192">C158</f>
        <v>45800</v>
      </c>
      <c r="M158" s="239">
        <f t="shared" si="192"/>
        <v>1</v>
      </c>
      <c r="N158" s="240">
        <f>IF(M158=1,'適正原価率表(仕入れお小遣い制度)'!$J$13,0)</f>
        <v>11627.350734524829</v>
      </c>
      <c r="O158" s="240">
        <f t="shared" si="169"/>
        <v>220919.66395597183</v>
      </c>
      <c r="P158" s="241">
        <v>0</v>
      </c>
      <c r="Q158" s="240">
        <f t="shared" si="170"/>
        <v>4965</v>
      </c>
      <c r="R158" s="242">
        <f t="shared" si="164"/>
        <v>215954.66395597183</v>
      </c>
      <c r="S158" s="221"/>
      <c r="T158" s="245">
        <f t="shared" si="171"/>
        <v>45800</v>
      </c>
      <c r="U158" s="221"/>
      <c r="V158" s="221"/>
      <c r="W158" s="221"/>
      <c r="X158" s="221"/>
      <c r="Y158" s="221"/>
      <c r="Z158" s="221"/>
    </row>
    <row r="159" spans="1:26" ht="18.75" customHeight="1" outlineLevel="1">
      <c r="A159" s="221"/>
      <c r="B159" s="254">
        <f t="shared" si="165"/>
        <v>45801</v>
      </c>
      <c r="C159" s="238">
        <f t="shared" si="161"/>
        <v>45801</v>
      </c>
      <c r="D159" s="239">
        <f>目標_2025R7!D164</f>
        <v>1</v>
      </c>
      <c r="E159" s="240">
        <f>IF(D159=1,'適正原価率表(仕入れお小遣い制度)'!$J$12,0)</f>
        <v>13486.80894975915</v>
      </c>
      <c r="F159" s="240">
        <f t="shared" si="166"/>
        <v>269736.17899518291</v>
      </c>
      <c r="G159" s="241">
        <v>8461</v>
      </c>
      <c r="H159" s="240">
        <f t="shared" si="167"/>
        <v>214487</v>
      </c>
      <c r="I159" s="242">
        <f t="shared" si="162"/>
        <v>55249.178995182912</v>
      </c>
      <c r="J159" s="221"/>
      <c r="K159" s="254">
        <f t="shared" si="160"/>
        <v>45801</v>
      </c>
      <c r="L159" s="238">
        <f t="shared" ref="L159:M159" si="193">C159</f>
        <v>45801</v>
      </c>
      <c r="M159" s="239">
        <f t="shared" si="193"/>
        <v>1</v>
      </c>
      <c r="N159" s="240">
        <f>IF(M159=1,'適正原価率表(仕入れお小遣い制度)'!$J$13,0)</f>
        <v>11627.350734524829</v>
      </c>
      <c r="O159" s="240">
        <f t="shared" si="169"/>
        <v>232547.01469049667</v>
      </c>
      <c r="P159" s="241">
        <v>0</v>
      </c>
      <c r="Q159" s="240">
        <f t="shared" si="170"/>
        <v>4965</v>
      </c>
      <c r="R159" s="242">
        <f t="shared" si="164"/>
        <v>227582.01469049667</v>
      </c>
      <c r="S159" s="221"/>
      <c r="T159" s="245">
        <f t="shared" si="171"/>
        <v>45801</v>
      </c>
      <c r="U159" s="221"/>
      <c r="V159" s="221"/>
      <c r="W159" s="221"/>
      <c r="X159" s="221"/>
      <c r="Y159" s="221"/>
      <c r="Z159" s="221"/>
    </row>
    <row r="160" spans="1:26" ht="18.75" customHeight="1" outlineLevel="1">
      <c r="A160" s="221"/>
      <c r="B160" s="254">
        <f t="shared" si="165"/>
        <v>45802</v>
      </c>
      <c r="C160" s="238">
        <f t="shared" si="161"/>
        <v>45802</v>
      </c>
      <c r="D160" s="239">
        <f>目標_2025R7!D165</f>
        <v>1</v>
      </c>
      <c r="E160" s="240">
        <f>IF(D160=1,'適正原価率表(仕入れお小遣い制度)'!$J$12,0)</f>
        <v>13486.80894975915</v>
      </c>
      <c r="F160" s="240">
        <f t="shared" si="166"/>
        <v>283222.98794494208</v>
      </c>
      <c r="G160" s="241">
        <v>5020</v>
      </c>
      <c r="H160" s="240">
        <f t="shared" si="167"/>
        <v>219507</v>
      </c>
      <c r="I160" s="242">
        <f t="shared" si="162"/>
        <v>63715.987944942084</v>
      </c>
      <c r="J160" s="221"/>
      <c r="K160" s="254">
        <f t="shared" si="160"/>
        <v>45802</v>
      </c>
      <c r="L160" s="238">
        <f t="shared" ref="L160:M160" si="194">C160</f>
        <v>45802</v>
      </c>
      <c r="M160" s="239">
        <f t="shared" si="194"/>
        <v>1</v>
      </c>
      <c r="N160" s="240">
        <f>IF(M160=1,'適正原価率表(仕入れお小遣い制度)'!$J$13,0)</f>
        <v>11627.350734524829</v>
      </c>
      <c r="O160" s="240">
        <f t="shared" si="169"/>
        <v>244174.3654250215</v>
      </c>
      <c r="P160" s="241">
        <v>5130</v>
      </c>
      <c r="Q160" s="240">
        <f t="shared" si="170"/>
        <v>10095</v>
      </c>
      <c r="R160" s="242">
        <f t="shared" si="164"/>
        <v>234079.3654250215</v>
      </c>
      <c r="S160" s="221"/>
      <c r="T160" s="245">
        <f t="shared" si="171"/>
        <v>45802</v>
      </c>
      <c r="U160" s="221"/>
      <c r="V160" s="221"/>
      <c r="W160" s="221"/>
      <c r="X160" s="221"/>
      <c r="Y160" s="221"/>
      <c r="Z160" s="221"/>
    </row>
    <row r="161" spans="1:26" ht="18.75" customHeight="1" outlineLevel="1">
      <c r="A161" s="221"/>
      <c r="B161" s="254">
        <f t="shared" si="165"/>
        <v>45803</v>
      </c>
      <c r="C161" s="238">
        <f t="shared" si="161"/>
        <v>45803</v>
      </c>
      <c r="D161" s="239">
        <f>目標_2025R7!D166</f>
        <v>0</v>
      </c>
      <c r="E161" s="240">
        <f>IF(D161=1,'適正原価率表(仕入れお小遣い制度)'!$J$12,0)</f>
        <v>0</v>
      </c>
      <c r="F161" s="240">
        <f t="shared" si="166"/>
        <v>0</v>
      </c>
      <c r="G161" s="241">
        <v>0</v>
      </c>
      <c r="H161" s="240">
        <f t="shared" si="167"/>
        <v>0</v>
      </c>
      <c r="I161" s="242">
        <f t="shared" si="162"/>
        <v>0</v>
      </c>
      <c r="J161" s="221"/>
      <c r="K161" s="254">
        <f t="shared" si="160"/>
        <v>45803</v>
      </c>
      <c r="L161" s="238">
        <f t="shared" ref="L161:M161" si="195">C161</f>
        <v>45803</v>
      </c>
      <c r="M161" s="239">
        <f t="shared" si="195"/>
        <v>0</v>
      </c>
      <c r="N161" s="240">
        <f>IF(M161=1,'適正原価率表(仕入れお小遣い制度)'!$J$13,0)</f>
        <v>0</v>
      </c>
      <c r="O161" s="240">
        <f t="shared" si="169"/>
        <v>0</v>
      </c>
      <c r="P161" s="241">
        <v>0</v>
      </c>
      <c r="Q161" s="240">
        <f t="shared" si="170"/>
        <v>0</v>
      </c>
      <c r="R161" s="242">
        <f t="shared" si="164"/>
        <v>0</v>
      </c>
      <c r="S161" s="221"/>
      <c r="T161" s="245">
        <f t="shared" si="171"/>
        <v>45803</v>
      </c>
      <c r="U161" s="221"/>
      <c r="V161" s="221"/>
      <c r="W161" s="221"/>
      <c r="X161" s="221"/>
      <c r="Y161" s="221"/>
      <c r="Z161" s="221"/>
    </row>
    <row r="162" spans="1:26" ht="18.75" customHeight="1" outlineLevel="1">
      <c r="A162" s="221"/>
      <c r="B162" s="254">
        <f t="shared" si="165"/>
        <v>45804</v>
      </c>
      <c r="C162" s="238">
        <f t="shared" si="161"/>
        <v>45804</v>
      </c>
      <c r="D162" s="239">
        <f>目標_2025R7!D167</f>
        <v>1</v>
      </c>
      <c r="E162" s="240">
        <f>IF(D162=1,'適正原価率表(仕入れお小遣い制度)'!$J$12,0)</f>
        <v>13486.80894975915</v>
      </c>
      <c r="F162" s="240">
        <f t="shared" si="166"/>
        <v>296709.79689470126</v>
      </c>
      <c r="G162" s="241">
        <v>9163</v>
      </c>
      <c r="H162" s="240">
        <f t="shared" si="167"/>
        <v>228670</v>
      </c>
      <c r="I162" s="242">
        <f t="shared" si="162"/>
        <v>68039.796894701256</v>
      </c>
      <c r="J162" s="221"/>
      <c r="K162" s="254">
        <f t="shared" si="160"/>
        <v>45804</v>
      </c>
      <c r="L162" s="238">
        <f t="shared" ref="L162:M162" si="196">C162</f>
        <v>45804</v>
      </c>
      <c r="M162" s="239">
        <f t="shared" si="196"/>
        <v>1</v>
      </c>
      <c r="N162" s="240">
        <f>IF(M162=1,'適正原価率表(仕入れお小遣い制度)'!$J$13,0)</f>
        <v>11627.350734524829</v>
      </c>
      <c r="O162" s="240">
        <f t="shared" si="169"/>
        <v>255801.71615954634</v>
      </c>
      <c r="P162" s="241">
        <v>1820</v>
      </c>
      <c r="Q162" s="240">
        <f t="shared" si="170"/>
        <v>11915</v>
      </c>
      <c r="R162" s="242">
        <f t="shared" si="164"/>
        <v>243886.71615954634</v>
      </c>
      <c r="S162" s="221"/>
      <c r="T162" s="245">
        <f t="shared" si="171"/>
        <v>45804</v>
      </c>
      <c r="U162" s="221"/>
      <c r="V162" s="221"/>
      <c r="W162" s="221"/>
      <c r="X162" s="221"/>
      <c r="Y162" s="221"/>
      <c r="Z162" s="221"/>
    </row>
    <row r="163" spans="1:26" ht="18.75" customHeight="1" outlineLevel="1">
      <c r="A163" s="221"/>
      <c r="B163" s="254">
        <f t="shared" si="165"/>
        <v>45805</v>
      </c>
      <c r="C163" s="238">
        <f t="shared" si="161"/>
        <v>45805</v>
      </c>
      <c r="D163" s="239">
        <f>目標_2025R7!D168</f>
        <v>1</v>
      </c>
      <c r="E163" s="240">
        <f>IF(D163=1,'適正原価率表(仕入れお小遣い制度)'!$J$12,0)</f>
        <v>13486.80894975915</v>
      </c>
      <c r="F163" s="240">
        <f t="shared" si="166"/>
        <v>310196.60584446043</v>
      </c>
      <c r="G163" s="241">
        <v>0</v>
      </c>
      <c r="H163" s="240">
        <f t="shared" si="167"/>
        <v>228670</v>
      </c>
      <c r="I163" s="242">
        <f t="shared" si="162"/>
        <v>81526.605844460428</v>
      </c>
      <c r="J163" s="221"/>
      <c r="K163" s="254">
        <f t="shared" si="160"/>
        <v>45805</v>
      </c>
      <c r="L163" s="238">
        <f t="shared" ref="L163:M163" si="197">C163</f>
        <v>45805</v>
      </c>
      <c r="M163" s="239">
        <f t="shared" si="197"/>
        <v>1</v>
      </c>
      <c r="N163" s="240">
        <f>IF(M163=1,'適正原価率表(仕入れお小遣い制度)'!$J$13,0)</f>
        <v>11627.350734524829</v>
      </c>
      <c r="O163" s="240">
        <f t="shared" si="169"/>
        <v>267429.06689407118</v>
      </c>
      <c r="P163" s="241">
        <v>0</v>
      </c>
      <c r="Q163" s="240">
        <f t="shared" si="170"/>
        <v>11915</v>
      </c>
      <c r="R163" s="242">
        <f t="shared" si="164"/>
        <v>255514.06689407118</v>
      </c>
      <c r="S163" s="221"/>
      <c r="T163" s="245">
        <f t="shared" si="171"/>
        <v>45805</v>
      </c>
      <c r="U163" s="221"/>
      <c r="V163" s="221"/>
      <c r="W163" s="221"/>
      <c r="X163" s="221"/>
      <c r="Y163" s="221"/>
      <c r="Z163" s="221"/>
    </row>
    <row r="164" spans="1:26" ht="18.75" customHeight="1" outlineLevel="1">
      <c r="A164" s="221"/>
      <c r="B164" s="254">
        <f t="shared" si="165"/>
        <v>45806</v>
      </c>
      <c r="C164" s="238">
        <f t="shared" si="161"/>
        <v>45806</v>
      </c>
      <c r="D164" s="239">
        <f>目標_2025R7!D169</f>
        <v>1</v>
      </c>
      <c r="E164" s="240">
        <f>IF(D164=1,'適正原価率表(仕入れお小遣い制度)'!$J$12,0)</f>
        <v>13486.80894975915</v>
      </c>
      <c r="F164" s="240">
        <f t="shared" si="166"/>
        <v>323683.4147942196</v>
      </c>
      <c r="G164" s="241">
        <v>0</v>
      </c>
      <c r="H164" s="240">
        <f t="shared" si="167"/>
        <v>228670</v>
      </c>
      <c r="I164" s="242">
        <f t="shared" si="162"/>
        <v>95013.4147942196</v>
      </c>
      <c r="J164" s="221"/>
      <c r="K164" s="254">
        <f t="shared" si="160"/>
        <v>45806</v>
      </c>
      <c r="L164" s="238">
        <f t="shared" ref="L164:M164" si="198">C164</f>
        <v>45806</v>
      </c>
      <c r="M164" s="239">
        <f t="shared" si="198"/>
        <v>1</v>
      </c>
      <c r="N164" s="240">
        <f>IF(M164=1,'適正原価率表(仕入れお小遣い制度)'!$J$13,0)</f>
        <v>11627.350734524829</v>
      </c>
      <c r="O164" s="240">
        <f t="shared" si="169"/>
        <v>279056.41762859601</v>
      </c>
      <c r="P164" s="241">
        <v>0</v>
      </c>
      <c r="Q164" s="240">
        <f t="shared" si="170"/>
        <v>11915</v>
      </c>
      <c r="R164" s="242">
        <f t="shared" si="164"/>
        <v>267141.41762859601</v>
      </c>
      <c r="S164" s="221"/>
      <c r="T164" s="245">
        <f t="shared" si="171"/>
        <v>45806</v>
      </c>
      <c r="U164" s="221"/>
      <c r="V164" s="221"/>
      <c r="W164" s="221"/>
      <c r="X164" s="221"/>
      <c r="Y164" s="221"/>
      <c r="Z164" s="221"/>
    </row>
    <row r="165" spans="1:26" ht="18.75" customHeight="1" outlineLevel="1">
      <c r="A165" s="221"/>
      <c r="B165" s="254">
        <f t="shared" si="165"/>
        <v>45807</v>
      </c>
      <c r="C165" s="238">
        <f t="shared" si="161"/>
        <v>45807</v>
      </c>
      <c r="D165" s="239">
        <f>目標_2025R7!D170</f>
        <v>1</v>
      </c>
      <c r="E165" s="240">
        <f>IF(D165=1,'適正原価率表(仕入れお小遣い制度)'!$J$12,0)</f>
        <v>13486.80894975915</v>
      </c>
      <c r="F165" s="240">
        <f t="shared" si="166"/>
        <v>337170.22374397877</v>
      </c>
      <c r="G165" s="241">
        <v>0</v>
      </c>
      <c r="H165" s="240">
        <f t="shared" si="167"/>
        <v>228670</v>
      </c>
      <c r="I165" s="242">
        <f t="shared" si="162"/>
        <v>108500.22374397877</v>
      </c>
      <c r="J165" s="221"/>
      <c r="K165" s="254">
        <f t="shared" si="160"/>
        <v>45807</v>
      </c>
      <c r="L165" s="238">
        <f t="shared" ref="L165:M165" si="199">C165</f>
        <v>45807</v>
      </c>
      <c r="M165" s="239">
        <f t="shared" si="199"/>
        <v>1</v>
      </c>
      <c r="N165" s="240">
        <f>IF(M165=1,'適正原価率表(仕入れお小遣い制度)'!$J$13,0)</f>
        <v>11627.350734524829</v>
      </c>
      <c r="O165" s="240">
        <f t="shared" si="169"/>
        <v>290683.76836312085</v>
      </c>
      <c r="P165" s="241">
        <v>0</v>
      </c>
      <c r="Q165" s="240">
        <f t="shared" si="170"/>
        <v>11915</v>
      </c>
      <c r="R165" s="242">
        <f t="shared" si="164"/>
        <v>278768.76836312085</v>
      </c>
      <c r="S165" s="221"/>
      <c r="T165" s="245">
        <f t="shared" si="171"/>
        <v>45807</v>
      </c>
      <c r="U165" s="221"/>
      <c r="V165" s="221"/>
      <c r="W165" s="221"/>
      <c r="X165" s="221"/>
      <c r="Y165" s="221"/>
      <c r="Z165" s="221"/>
    </row>
    <row r="166" spans="1:26" ht="18.75" customHeight="1" outlineLevel="1">
      <c r="A166" s="221"/>
      <c r="B166" s="254">
        <f t="shared" si="165"/>
        <v>45808</v>
      </c>
      <c r="C166" s="238">
        <f t="shared" si="161"/>
        <v>45808</v>
      </c>
      <c r="D166" s="239">
        <f>目標_2025R7!D171</f>
        <v>1</v>
      </c>
      <c r="E166" s="240">
        <f>IF(D166=1,'適正原価率表(仕入れお小遣い制度)'!$J$12,0)</f>
        <v>13486.80894975915</v>
      </c>
      <c r="F166" s="240">
        <f t="shared" si="166"/>
        <v>350657.03269373794</v>
      </c>
      <c r="G166" s="241">
        <v>0</v>
      </c>
      <c r="H166" s="240">
        <f t="shared" si="167"/>
        <v>228670</v>
      </c>
      <c r="I166" s="242">
        <f t="shared" si="162"/>
        <v>121987.03269373794</v>
      </c>
      <c r="J166" s="221"/>
      <c r="K166" s="254">
        <f t="shared" si="160"/>
        <v>45808</v>
      </c>
      <c r="L166" s="238">
        <f t="shared" ref="L166:M166" si="200">C166</f>
        <v>45808</v>
      </c>
      <c r="M166" s="239">
        <f t="shared" si="200"/>
        <v>1</v>
      </c>
      <c r="N166" s="240">
        <f>IF(M166=1,'適正原価率表(仕入れお小遣い制度)'!$J$13,0)</f>
        <v>11627.350734524829</v>
      </c>
      <c r="O166" s="240">
        <f t="shared" si="169"/>
        <v>302311.11909764569</v>
      </c>
      <c r="P166" s="241">
        <v>0</v>
      </c>
      <c r="Q166" s="240">
        <f t="shared" si="170"/>
        <v>11915</v>
      </c>
      <c r="R166" s="242">
        <f t="shared" si="164"/>
        <v>290396.11909764569</v>
      </c>
      <c r="S166" s="221"/>
      <c r="T166" s="245">
        <f t="shared" si="171"/>
        <v>45808</v>
      </c>
      <c r="U166" s="221"/>
      <c r="V166" s="221"/>
      <c r="W166" s="221"/>
      <c r="X166" s="221"/>
      <c r="Y166" s="221"/>
      <c r="Z166" s="221"/>
    </row>
    <row r="167" spans="1:26" ht="18.75" customHeight="1" outlineLevel="1">
      <c r="A167" s="221"/>
      <c r="B167" s="561" t="s">
        <v>176</v>
      </c>
      <c r="C167" s="486"/>
      <c r="D167" s="483"/>
      <c r="E167" s="247">
        <f>SUM(E136:E166)</f>
        <v>350657.03269373794</v>
      </c>
      <c r="F167" s="221"/>
      <c r="G167" s="221"/>
      <c r="H167" s="221"/>
      <c r="I167" s="221"/>
      <c r="J167" s="221"/>
      <c r="K167" s="561" t="s">
        <v>176</v>
      </c>
      <c r="L167" s="486"/>
      <c r="M167" s="483"/>
      <c r="N167" s="247">
        <f>SUM(N136:N166)</f>
        <v>302311.11909764569</v>
      </c>
      <c r="O167" s="221"/>
      <c r="P167" s="221"/>
      <c r="Q167" s="221"/>
      <c r="R167" s="221"/>
      <c r="S167" s="221"/>
      <c r="T167" s="221"/>
      <c r="U167" s="221"/>
      <c r="V167" s="221"/>
      <c r="W167" s="221"/>
      <c r="X167" s="221"/>
      <c r="Y167" s="221"/>
      <c r="Z167" s="221"/>
    </row>
    <row r="168" spans="1:26" ht="18.75" customHeight="1">
      <c r="A168" s="221"/>
      <c r="B168" s="221"/>
      <c r="C168" s="255"/>
      <c r="D168" s="255"/>
      <c r="E168" s="221"/>
      <c r="F168" s="221"/>
      <c r="G168" s="221"/>
      <c r="H168" s="221"/>
      <c r="I168" s="221"/>
      <c r="J168" s="221"/>
      <c r="K168" s="221"/>
      <c r="L168" s="255"/>
      <c r="M168" s="255"/>
      <c r="N168" s="221"/>
      <c r="O168" s="221"/>
      <c r="P168" s="221"/>
      <c r="Q168" s="221"/>
      <c r="R168" s="221"/>
      <c r="S168" s="221"/>
      <c r="T168" s="221"/>
      <c r="U168" s="221"/>
      <c r="V168" s="221"/>
      <c r="W168" s="221"/>
      <c r="X168" s="221"/>
      <c r="Y168" s="221"/>
      <c r="Z168" s="221"/>
    </row>
    <row r="169" spans="1:26" ht="18.75" customHeight="1">
      <c r="A169" s="232"/>
      <c r="B169" s="562" t="s">
        <v>57</v>
      </c>
      <c r="C169" s="486"/>
      <c r="D169" s="483"/>
      <c r="E169" s="252" t="s">
        <v>168</v>
      </c>
      <c r="F169" s="253" t="s">
        <v>169</v>
      </c>
      <c r="G169" s="253" t="s">
        <v>170</v>
      </c>
      <c r="H169" s="253" t="s">
        <v>171</v>
      </c>
      <c r="I169" s="253" t="s">
        <v>19</v>
      </c>
      <c r="J169" s="236"/>
      <c r="K169" s="562" t="str">
        <f t="shared" ref="K169:K199" si="201">B169</f>
        <v>6月</v>
      </c>
      <c r="L169" s="486"/>
      <c r="M169" s="483"/>
      <c r="N169" s="252" t="s">
        <v>172</v>
      </c>
      <c r="O169" s="253" t="s">
        <v>173</v>
      </c>
      <c r="P169" s="253" t="s">
        <v>174</v>
      </c>
      <c r="Q169" s="253" t="s">
        <v>175</v>
      </c>
      <c r="R169" s="253" t="s">
        <v>19</v>
      </c>
      <c r="S169" s="232"/>
      <c r="T169" s="232"/>
      <c r="U169" s="232"/>
      <c r="V169" s="232"/>
      <c r="W169" s="232"/>
      <c r="X169" s="232"/>
      <c r="Y169" s="232"/>
      <c r="Z169" s="232"/>
    </row>
    <row r="170" spans="1:26" ht="18.75" customHeight="1" outlineLevel="1">
      <c r="A170" s="221"/>
      <c r="B170" s="237">
        <f>B166+1</f>
        <v>45809</v>
      </c>
      <c r="C170" s="238">
        <f t="shared" ref="C170:C199" si="202">B170</f>
        <v>45809</v>
      </c>
      <c r="D170" s="239">
        <f>目標_2025R7!D172</f>
        <v>1</v>
      </c>
      <c r="E170" s="240">
        <f>IF(D170=1,'適正原価率表(仕入れお小遣い制度)'!$J$14,0)</f>
        <v>11748.908411539449</v>
      </c>
      <c r="F170" s="240">
        <f>IF(D170=1,E170,0)</f>
        <v>11748.908411539449</v>
      </c>
      <c r="G170" s="241">
        <v>16325</v>
      </c>
      <c r="H170" s="240">
        <f>IF(D170=1,G170,0)</f>
        <v>16325</v>
      </c>
      <c r="I170" s="242">
        <f t="shared" ref="I170:I199" si="203">IF(D170=1,F170-H170,0)</f>
        <v>-4576.0915884605511</v>
      </c>
      <c r="J170" s="230"/>
      <c r="K170" s="237">
        <f t="shared" si="201"/>
        <v>45809</v>
      </c>
      <c r="L170" s="243">
        <f t="shared" ref="L170:M170" si="204">C170</f>
        <v>45809</v>
      </c>
      <c r="M170" s="244">
        <f t="shared" si="204"/>
        <v>1</v>
      </c>
      <c r="N170" s="240">
        <f>IF(M170=1,'適正原価率表(仕入れお小遣い制度)'!$J$15,0)</f>
        <v>9693.1675881833235</v>
      </c>
      <c r="O170" s="240">
        <f>IF(M170=1,N170,0)</f>
        <v>9693.1675881833235</v>
      </c>
      <c r="P170" s="241">
        <v>0</v>
      </c>
      <c r="Q170" s="240">
        <f>IF(M170=1,P170,0)</f>
        <v>0</v>
      </c>
      <c r="R170" s="242">
        <f t="shared" ref="R170:R199" si="205">IF(D170=1,O170-Q170,0)</f>
        <v>9693.1675881833235</v>
      </c>
      <c r="S170" s="221"/>
      <c r="T170" s="245">
        <f>T166+1</f>
        <v>45809</v>
      </c>
      <c r="U170" s="221"/>
      <c r="V170" s="221"/>
      <c r="W170" s="221"/>
      <c r="X170" s="221"/>
      <c r="Y170" s="221"/>
      <c r="Z170" s="221"/>
    </row>
    <row r="171" spans="1:26" ht="18.75" customHeight="1" outlineLevel="1">
      <c r="A171" s="221"/>
      <c r="B171" s="237">
        <f t="shared" ref="B171:B199" si="206">B170+1</f>
        <v>45810</v>
      </c>
      <c r="C171" s="238">
        <f t="shared" si="202"/>
        <v>45810</v>
      </c>
      <c r="D171" s="239">
        <f>目標_2025R7!D173</f>
        <v>0</v>
      </c>
      <c r="E171" s="240">
        <f>IF(D171=1,'適正原価率表(仕入れお小遣い制度)'!$J$14,0)</f>
        <v>0</v>
      </c>
      <c r="F171" s="240">
        <f t="shared" ref="F171:F199" si="207">IF(D171=1,SUM($E$170:E171),0)</f>
        <v>0</v>
      </c>
      <c r="G171" s="241">
        <v>0</v>
      </c>
      <c r="H171" s="240">
        <f t="shared" ref="H171:H199" si="208">IF(D171=1,SUM($G$170:G171),0)</f>
        <v>0</v>
      </c>
      <c r="I171" s="242">
        <f t="shared" si="203"/>
        <v>0</v>
      </c>
      <c r="J171" s="230"/>
      <c r="K171" s="237">
        <f t="shared" si="201"/>
        <v>45810</v>
      </c>
      <c r="L171" s="243">
        <f t="shared" ref="L171:M171" si="209">C171</f>
        <v>45810</v>
      </c>
      <c r="M171" s="244">
        <f t="shared" si="209"/>
        <v>0</v>
      </c>
      <c r="N171" s="240">
        <f>IF(M171=1,'適正原価率表(仕入れお小遣い制度)'!$J$15,0)</f>
        <v>0</v>
      </c>
      <c r="O171" s="240">
        <f t="shared" ref="O171:O199" si="210">IF(M171=1,SUM($N$170:N171),0)</f>
        <v>0</v>
      </c>
      <c r="P171" s="241">
        <v>0</v>
      </c>
      <c r="Q171" s="240">
        <f t="shared" ref="Q171:Q199" si="211">IF(M171=1,SUM($P$170:P171),0)</f>
        <v>0</v>
      </c>
      <c r="R171" s="242">
        <f t="shared" si="205"/>
        <v>0</v>
      </c>
      <c r="S171" s="221"/>
      <c r="T171" s="245">
        <f t="shared" ref="T171:T199" si="212">T170+1</f>
        <v>45810</v>
      </c>
      <c r="U171" s="221"/>
      <c r="V171" s="221"/>
      <c r="W171" s="221"/>
      <c r="X171" s="221"/>
      <c r="Y171" s="221"/>
      <c r="Z171" s="221"/>
    </row>
    <row r="172" spans="1:26" ht="18.75" customHeight="1" outlineLevel="1">
      <c r="A172" s="221"/>
      <c r="B172" s="237">
        <f t="shared" si="206"/>
        <v>45811</v>
      </c>
      <c r="C172" s="238">
        <f t="shared" si="202"/>
        <v>45811</v>
      </c>
      <c r="D172" s="239">
        <f>目標_2025R7!D174</f>
        <v>1</v>
      </c>
      <c r="E172" s="240">
        <f>IF(D172=1,'適正原価率表(仕入れお小遣い制度)'!$J$14,0)</f>
        <v>11748.908411539449</v>
      </c>
      <c r="F172" s="240">
        <f t="shared" si="207"/>
        <v>23497.816823078898</v>
      </c>
      <c r="G172" s="241">
        <v>11871</v>
      </c>
      <c r="H172" s="240">
        <f t="shared" si="208"/>
        <v>28196</v>
      </c>
      <c r="I172" s="242">
        <f t="shared" si="203"/>
        <v>-4698.1831769211021</v>
      </c>
      <c r="J172" s="230"/>
      <c r="K172" s="237">
        <f t="shared" si="201"/>
        <v>45811</v>
      </c>
      <c r="L172" s="243">
        <f t="shared" ref="L172:M172" si="213">C172</f>
        <v>45811</v>
      </c>
      <c r="M172" s="244">
        <f t="shared" si="213"/>
        <v>1</v>
      </c>
      <c r="N172" s="240">
        <f>IF(M172=1,'適正原価率表(仕入れお小遣い制度)'!$J$15,0)</f>
        <v>9693.1675881833235</v>
      </c>
      <c r="O172" s="240">
        <f t="shared" si="210"/>
        <v>19386.335176366647</v>
      </c>
      <c r="P172" s="241">
        <v>49672</v>
      </c>
      <c r="Q172" s="240">
        <f t="shared" si="211"/>
        <v>49672</v>
      </c>
      <c r="R172" s="242">
        <f t="shared" si="205"/>
        <v>-30285.664823633353</v>
      </c>
      <c r="S172" s="221"/>
      <c r="T172" s="245">
        <f t="shared" si="212"/>
        <v>45811</v>
      </c>
      <c r="U172" s="221"/>
      <c r="V172" s="221"/>
      <c r="W172" s="221"/>
      <c r="X172" s="221"/>
      <c r="Y172" s="221"/>
      <c r="Z172" s="221"/>
    </row>
    <row r="173" spans="1:26" ht="18.75" customHeight="1" outlineLevel="1">
      <c r="A173" s="221"/>
      <c r="B173" s="237">
        <f t="shared" si="206"/>
        <v>45812</v>
      </c>
      <c r="C173" s="238">
        <f t="shared" si="202"/>
        <v>45812</v>
      </c>
      <c r="D173" s="239">
        <f>目標_2025R7!D175</f>
        <v>1</v>
      </c>
      <c r="E173" s="240">
        <f>IF(D173=1,'適正原価率表(仕入れお小遣い制度)'!$J$14,0)</f>
        <v>11748.908411539449</v>
      </c>
      <c r="F173" s="240">
        <f t="shared" si="207"/>
        <v>35246.725234618345</v>
      </c>
      <c r="G173" s="241">
        <v>73353</v>
      </c>
      <c r="H173" s="240">
        <f t="shared" si="208"/>
        <v>101549</v>
      </c>
      <c r="I173" s="242">
        <f t="shared" si="203"/>
        <v>-66302.274765381648</v>
      </c>
      <c r="J173" s="230"/>
      <c r="K173" s="237">
        <f t="shared" si="201"/>
        <v>45812</v>
      </c>
      <c r="L173" s="243">
        <f t="shared" ref="L173:M173" si="214">C173</f>
        <v>45812</v>
      </c>
      <c r="M173" s="244">
        <f t="shared" si="214"/>
        <v>1</v>
      </c>
      <c r="N173" s="240">
        <f>IF(M173=1,'適正原価率表(仕入れお小遣い制度)'!$J$15,0)</f>
        <v>9693.1675881833235</v>
      </c>
      <c r="O173" s="240">
        <f t="shared" si="210"/>
        <v>29079.502764549972</v>
      </c>
      <c r="P173" s="241">
        <v>14168</v>
      </c>
      <c r="Q173" s="240">
        <f t="shared" si="211"/>
        <v>63840</v>
      </c>
      <c r="R173" s="242">
        <f t="shared" si="205"/>
        <v>-34760.497235450028</v>
      </c>
      <c r="S173" s="221"/>
      <c r="T173" s="245">
        <f t="shared" si="212"/>
        <v>45812</v>
      </c>
      <c r="U173" s="221"/>
      <c r="V173" s="221"/>
      <c r="W173" s="221"/>
      <c r="X173" s="221"/>
      <c r="Y173" s="221"/>
      <c r="Z173" s="221"/>
    </row>
    <row r="174" spans="1:26" ht="18.75" customHeight="1" outlineLevel="1">
      <c r="A174" s="221"/>
      <c r="B174" s="237">
        <f t="shared" si="206"/>
        <v>45813</v>
      </c>
      <c r="C174" s="238">
        <f t="shared" si="202"/>
        <v>45813</v>
      </c>
      <c r="D174" s="239">
        <f>目標_2025R7!D176</f>
        <v>1</v>
      </c>
      <c r="E174" s="240">
        <f>IF(D174=1,'適正原価率表(仕入れお小遣い制度)'!$J$14,0)</f>
        <v>11748.908411539449</v>
      </c>
      <c r="F174" s="240">
        <f t="shared" si="207"/>
        <v>46995.633646157796</v>
      </c>
      <c r="G174" s="241">
        <v>28016</v>
      </c>
      <c r="H174" s="240">
        <f t="shared" si="208"/>
        <v>129565</v>
      </c>
      <c r="I174" s="242">
        <f t="shared" si="203"/>
        <v>-82569.366353842197</v>
      </c>
      <c r="J174" s="230"/>
      <c r="K174" s="237">
        <f t="shared" si="201"/>
        <v>45813</v>
      </c>
      <c r="L174" s="243">
        <f t="shared" ref="L174:M174" si="215">C174</f>
        <v>45813</v>
      </c>
      <c r="M174" s="244">
        <f t="shared" si="215"/>
        <v>1</v>
      </c>
      <c r="N174" s="240">
        <f>IF(M174=1,'適正原価率表(仕入れお小遣い制度)'!$J$15,0)</f>
        <v>9693.1675881833235</v>
      </c>
      <c r="O174" s="240">
        <f t="shared" si="210"/>
        <v>38772.670352733294</v>
      </c>
      <c r="P174" s="241">
        <v>3234</v>
      </c>
      <c r="Q174" s="240">
        <f t="shared" si="211"/>
        <v>67074</v>
      </c>
      <c r="R174" s="242">
        <f t="shared" si="205"/>
        <v>-28301.329647266706</v>
      </c>
      <c r="S174" s="221"/>
      <c r="T174" s="245">
        <f t="shared" si="212"/>
        <v>45813</v>
      </c>
      <c r="U174" s="221"/>
      <c r="V174" s="221"/>
      <c r="W174" s="221"/>
      <c r="X174" s="221"/>
      <c r="Y174" s="221"/>
      <c r="Z174" s="221"/>
    </row>
    <row r="175" spans="1:26" ht="18.75" customHeight="1" outlineLevel="1">
      <c r="A175" s="221"/>
      <c r="B175" s="237">
        <f t="shared" si="206"/>
        <v>45814</v>
      </c>
      <c r="C175" s="238">
        <f t="shared" si="202"/>
        <v>45814</v>
      </c>
      <c r="D175" s="239">
        <f>目標_2025R7!D177</f>
        <v>1</v>
      </c>
      <c r="E175" s="240">
        <f>IF(D175=1,'適正原価率表(仕入れお小遣い制度)'!$J$14,0)</f>
        <v>11748.908411539449</v>
      </c>
      <c r="F175" s="240">
        <f t="shared" si="207"/>
        <v>58744.542057697246</v>
      </c>
      <c r="G175" s="241">
        <v>8367</v>
      </c>
      <c r="H175" s="240">
        <f t="shared" si="208"/>
        <v>137932</v>
      </c>
      <c r="I175" s="242">
        <f t="shared" si="203"/>
        <v>-79187.457942302746</v>
      </c>
      <c r="J175" s="230"/>
      <c r="K175" s="237">
        <f t="shared" si="201"/>
        <v>45814</v>
      </c>
      <c r="L175" s="243">
        <f t="shared" ref="L175:M175" si="216">C175</f>
        <v>45814</v>
      </c>
      <c r="M175" s="244">
        <f t="shared" si="216"/>
        <v>1</v>
      </c>
      <c r="N175" s="240">
        <f>IF(M175=1,'適正原価率表(仕入れお小遣い制度)'!$J$15,0)</f>
        <v>9693.1675881833235</v>
      </c>
      <c r="O175" s="240">
        <f t="shared" si="210"/>
        <v>48465.837940916615</v>
      </c>
      <c r="P175" s="241">
        <v>49436</v>
      </c>
      <c r="Q175" s="240">
        <f t="shared" si="211"/>
        <v>116510</v>
      </c>
      <c r="R175" s="242">
        <f t="shared" si="205"/>
        <v>-68044.162059083377</v>
      </c>
      <c r="S175" s="221"/>
      <c r="T175" s="245">
        <f t="shared" si="212"/>
        <v>45814</v>
      </c>
      <c r="U175" s="221"/>
      <c r="V175" s="221"/>
      <c r="W175" s="221"/>
      <c r="X175" s="221"/>
      <c r="Y175" s="221"/>
      <c r="Z175" s="221"/>
    </row>
    <row r="176" spans="1:26" ht="18.75" customHeight="1" outlineLevel="1">
      <c r="A176" s="221"/>
      <c r="B176" s="237">
        <f t="shared" si="206"/>
        <v>45815</v>
      </c>
      <c r="C176" s="238">
        <f t="shared" si="202"/>
        <v>45815</v>
      </c>
      <c r="D176" s="239">
        <f>目標_2025R7!D178</f>
        <v>1</v>
      </c>
      <c r="E176" s="240">
        <f>IF(D176=1,'適正原価率表(仕入れお小遣い制度)'!$J$14,0)</f>
        <v>11748.908411539449</v>
      </c>
      <c r="F176" s="240">
        <f t="shared" si="207"/>
        <v>70493.45046923669</v>
      </c>
      <c r="G176" s="241">
        <v>17188</v>
      </c>
      <c r="H176" s="240">
        <f t="shared" si="208"/>
        <v>155120</v>
      </c>
      <c r="I176" s="242">
        <f t="shared" si="203"/>
        <v>-84626.54953076331</v>
      </c>
      <c r="J176" s="230"/>
      <c r="K176" s="237">
        <f t="shared" si="201"/>
        <v>45815</v>
      </c>
      <c r="L176" s="243">
        <f t="shared" ref="L176:M176" si="217">C176</f>
        <v>45815</v>
      </c>
      <c r="M176" s="244">
        <f t="shared" si="217"/>
        <v>1</v>
      </c>
      <c r="N176" s="240">
        <f>IF(M176=1,'適正原価率表(仕入れお小遣い制度)'!$J$15,0)</f>
        <v>9693.1675881833235</v>
      </c>
      <c r="O176" s="240">
        <f t="shared" si="210"/>
        <v>58159.005529099937</v>
      </c>
      <c r="P176" s="241">
        <v>45640</v>
      </c>
      <c r="Q176" s="240">
        <f t="shared" si="211"/>
        <v>162150</v>
      </c>
      <c r="R176" s="242">
        <f t="shared" si="205"/>
        <v>-103990.99447090007</v>
      </c>
      <c r="S176" s="221"/>
      <c r="T176" s="245">
        <f t="shared" si="212"/>
        <v>45815</v>
      </c>
      <c r="U176" s="221"/>
      <c r="V176" s="221"/>
      <c r="W176" s="221"/>
      <c r="X176" s="221"/>
      <c r="Y176" s="221"/>
      <c r="Z176" s="221"/>
    </row>
    <row r="177" spans="1:26" ht="18.75" customHeight="1" outlineLevel="1">
      <c r="A177" s="221"/>
      <c r="B177" s="237">
        <f t="shared" si="206"/>
        <v>45816</v>
      </c>
      <c r="C177" s="238">
        <f t="shared" si="202"/>
        <v>45816</v>
      </c>
      <c r="D177" s="239">
        <f>目標_2025R7!D179</f>
        <v>1</v>
      </c>
      <c r="E177" s="240">
        <f>IF(D177=1,'適正原価率表(仕入れお小遣い制度)'!$J$14,0)</f>
        <v>11748.908411539449</v>
      </c>
      <c r="F177" s="240">
        <f t="shared" si="207"/>
        <v>82242.358880776141</v>
      </c>
      <c r="G177" s="241">
        <v>7930</v>
      </c>
      <c r="H177" s="240">
        <f t="shared" si="208"/>
        <v>163050</v>
      </c>
      <c r="I177" s="242">
        <f t="shared" si="203"/>
        <v>-80807.641119223859</v>
      </c>
      <c r="J177" s="230"/>
      <c r="K177" s="237">
        <f t="shared" si="201"/>
        <v>45816</v>
      </c>
      <c r="L177" s="243">
        <f t="shared" ref="L177:M177" si="218">C177</f>
        <v>45816</v>
      </c>
      <c r="M177" s="244">
        <f t="shared" si="218"/>
        <v>1</v>
      </c>
      <c r="N177" s="240">
        <f>IF(M177=1,'適正原価率表(仕入れお小遣い制度)'!$J$15,0)</f>
        <v>9693.1675881833235</v>
      </c>
      <c r="O177" s="240">
        <f t="shared" si="210"/>
        <v>67852.173117283266</v>
      </c>
      <c r="P177" s="241">
        <v>0</v>
      </c>
      <c r="Q177" s="240">
        <f t="shared" si="211"/>
        <v>162150</v>
      </c>
      <c r="R177" s="242">
        <f t="shared" si="205"/>
        <v>-94297.826882716734</v>
      </c>
      <c r="S177" s="221"/>
      <c r="T177" s="245">
        <f t="shared" si="212"/>
        <v>45816</v>
      </c>
      <c r="U177" s="221"/>
      <c r="V177" s="221"/>
      <c r="W177" s="221"/>
      <c r="X177" s="221"/>
      <c r="Y177" s="221"/>
      <c r="Z177" s="221"/>
    </row>
    <row r="178" spans="1:26" ht="18.75" customHeight="1" outlineLevel="1">
      <c r="A178" s="221"/>
      <c r="B178" s="237">
        <f t="shared" si="206"/>
        <v>45817</v>
      </c>
      <c r="C178" s="238">
        <f t="shared" si="202"/>
        <v>45817</v>
      </c>
      <c r="D178" s="239">
        <f>目標_2025R7!D180</f>
        <v>0</v>
      </c>
      <c r="E178" s="240">
        <f>IF(D178=1,'適正原価率表(仕入れお小遣い制度)'!$J$14,0)</f>
        <v>0</v>
      </c>
      <c r="F178" s="240">
        <f t="shared" si="207"/>
        <v>0</v>
      </c>
      <c r="G178" s="241">
        <v>0</v>
      </c>
      <c r="H178" s="240">
        <f t="shared" si="208"/>
        <v>0</v>
      </c>
      <c r="I178" s="242">
        <f t="shared" si="203"/>
        <v>0</v>
      </c>
      <c r="J178" s="230"/>
      <c r="K178" s="237">
        <f t="shared" si="201"/>
        <v>45817</v>
      </c>
      <c r="L178" s="243">
        <f t="shared" ref="L178:M178" si="219">C178</f>
        <v>45817</v>
      </c>
      <c r="M178" s="244">
        <f t="shared" si="219"/>
        <v>0</v>
      </c>
      <c r="N178" s="240">
        <f>IF(M178=1,'適正原価率表(仕入れお小遣い制度)'!$J$15,0)</f>
        <v>0</v>
      </c>
      <c r="O178" s="240">
        <f t="shared" si="210"/>
        <v>0</v>
      </c>
      <c r="P178" s="241">
        <v>0</v>
      </c>
      <c r="Q178" s="240">
        <f t="shared" si="211"/>
        <v>0</v>
      </c>
      <c r="R178" s="242">
        <f t="shared" si="205"/>
        <v>0</v>
      </c>
      <c r="S178" s="221"/>
      <c r="T178" s="245">
        <f t="shared" si="212"/>
        <v>45817</v>
      </c>
      <c r="U178" s="221"/>
      <c r="V178" s="221"/>
      <c r="W178" s="221"/>
      <c r="X178" s="221"/>
      <c r="Y178" s="221"/>
      <c r="Z178" s="221"/>
    </row>
    <row r="179" spans="1:26" ht="18.75" customHeight="1" outlineLevel="1">
      <c r="A179" s="221"/>
      <c r="B179" s="237">
        <f t="shared" si="206"/>
        <v>45818</v>
      </c>
      <c r="C179" s="238">
        <f t="shared" si="202"/>
        <v>45818</v>
      </c>
      <c r="D179" s="239">
        <f>目標_2025R7!D181</f>
        <v>1</v>
      </c>
      <c r="E179" s="240">
        <f>IF(D179=1,'適正原価率表(仕入れお小遣い制度)'!$J$14,0)</f>
        <v>11748.908411539449</v>
      </c>
      <c r="F179" s="240">
        <f t="shared" si="207"/>
        <v>93991.267292315591</v>
      </c>
      <c r="G179" s="241">
        <v>39838</v>
      </c>
      <c r="H179" s="240">
        <f t="shared" si="208"/>
        <v>202888</v>
      </c>
      <c r="I179" s="242">
        <f t="shared" si="203"/>
        <v>-108896.73270768441</v>
      </c>
      <c r="J179" s="230"/>
      <c r="K179" s="237">
        <f t="shared" si="201"/>
        <v>45818</v>
      </c>
      <c r="L179" s="243">
        <f t="shared" ref="L179:M179" si="220">C179</f>
        <v>45818</v>
      </c>
      <c r="M179" s="244">
        <f t="shared" si="220"/>
        <v>1</v>
      </c>
      <c r="N179" s="240">
        <f>IF(M179=1,'適正原価率表(仕入れお小遣い制度)'!$J$15,0)</f>
        <v>9693.1675881833235</v>
      </c>
      <c r="O179" s="240">
        <f t="shared" si="210"/>
        <v>77545.340705466588</v>
      </c>
      <c r="P179" s="241">
        <v>32220</v>
      </c>
      <c r="Q179" s="240">
        <f t="shared" si="211"/>
        <v>194370</v>
      </c>
      <c r="R179" s="242">
        <f t="shared" si="205"/>
        <v>-116824.65929453341</v>
      </c>
      <c r="S179" s="221"/>
      <c r="T179" s="245">
        <f t="shared" si="212"/>
        <v>45818</v>
      </c>
      <c r="U179" s="221"/>
      <c r="V179" s="221"/>
      <c r="W179" s="221"/>
      <c r="X179" s="221"/>
      <c r="Y179" s="221"/>
      <c r="Z179" s="221"/>
    </row>
    <row r="180" spans="1:26" ht="18.75" customHeight="1" outlineLevel="1">
      <c r="A180" s="221"/>
      <c r="B180" s="237">
        <f t="shared" si="206"/>
        <v>45819</v>
      </c>
      <c r="C180" s="238">
        <f t="shared" si="202"/>
        <v>45819</v>
      </c>
      <c r="D180" s="239">
        <f>目標_2025R7!D182</f>
        <v>1</v>
      </c>
      <c r="E180" s="240">
        <f>IF(D180=1,'適正原価率表(仕入れお小遣い制度)'!$J$14,0)</f>
        <v>11748.908411539449</v>
      </c>
      <c r="F180" s="240">
        <f t="shared" si="207"/>
        <v>105740.17570385504</v>
      </c>
      <c r="G180" s="241">
        <v>7593</v>
      </c>
      <c r="H180" s="240">
        <f t="shared" si="208"/>
        <v>210481</v>
      </c>
      <c r="I180" s="242">
        <f t="shared" si="203"/>
        <v>-104740.82429614496</v>
      </c>
      <c r="J180" s="230"/>
      <c r="K180" s="237">
        <f t="shared" si="201"/>
        <v>45819</v>
      </c>
      <c r="L180" s="243">
        <f t="shared" ref="L180:M180" si="221">C180</f>
        <v>45819</v>
      </c>
      <c r="M180" s="244">
        <f t="shared" si="221"/>
        <v>1</v>
      </c>
      <c r="N180" s="240">
        <f>IF(M180=1,'適正原価率表(仕入れお小遣い制度)'!$J$15,0)</f>
        <v>9693.1675881833235</v>
      </c>
      <c r="O180" s="240">
        <f t="shared" si="210"/>
        <v>87238.508293649909</v>
      </c>
      <c r="P180" s="241">
        <v>14999</v>
      </c>
      <c r="Q180" s="240">
        <f t="shared" si="211"/>
        <v>209369</v>
      </c>
      <c r="R180" s="242">
        <f t="shared" si="205"/>
        <v>-122130.49170635009</v>
      </c>
      <c r="S180" s="221"/>
      <c r="T180" s="245">
        <f t="shared" si="212"/>
        <v>45819</v>
      </c>
      <c r="U180" s="221"/>
      <c r="V180" s="221"/>
      <c r="W180" s="221"/>
      <c r="X180" s="221"/>
      <c r="Y180" s="221"/>
      <c r="Z180" s="221"/>
    </row>
    <row r="181" spans="1:26" ht="18.75" customHeight="1" outlineLevel="1">
      <c r="A181" s="221"/>
      <c r="B181" s="237">
        <f t="shared" si="206"/>
        <v>45820</v>
      </c>
      <c r="C181" s="238">
        <f t="shared" si="202"/>
        <v>45820</v>
      </c>
      <c r="D181" s="239">
        <f>目標_2025R7!D183</f>
        <v>1</v>
      </c>
      <c r="E181" s="240">
        <f>IF(D181=1,'適正原価率表(仕入れお小遣い制度)'!$J$14,0)</f>
        <v>11748.908411539449</v>
      </c>
      <c r="F181" s="240">
        <f t="shared" si="207"/>
        <v>117489.08411539449</v>
      </c>
      <c r="G181" s="241">
        <v>23442</v>
      </c>
      <c r="H181" s="240">
        <f t="shared" si="208"/>
        <v>233923</v>
      </c>
      <c r="I181" s="242">
        <f t="shared" si="203"/>
        <v>-116433.91588460551</v>
      </c>
      <c r="J181" s="230"/>
      <c r="K181" s="237">
        <f t="shared" si="201"/>
        <v>45820</v>
      </c>
      <c r="L181" s="243">
        <f t="shared" ref="L181:M181" si="222">C181</f>
        <v>45820</v>
      </c>
      <c r="M181" s="244">
        <f t="shared" si="222"/>
        <v>1</v>
      </c>
      <c r="N181" s="240">
        <f>IF(M181=1,'適正原価率表(仕入れお小遣い制度)'!$J$15,0)</f>
        <v>9693.1675881833235</v>
      </c>
      <c r="O181" s="240">
        <f t="shared" si="210"/>
        <v>96931.675881833231</v>
      </c>
      <c r="P181" s="241">
        <v>14784</v>
      </c>
      <c r="Q181" s="240">
        <f t="shared" si="211"/>
        <v>224153</v>
      </c>
      <c r="R181" s="242">
        <f t="shared" si="205"/>
        <v>-127221.32411816677</v>
      </c>
      <c r="S181" s="221"/>
      <c r="T181" s="245">
        <f t="shared" si="212"/>
        <v>45820</v>
      </c>
      <c r="U181" s="221"/>
      <c r="V181" s="221"/>
      <c r="W181" s="221"/>
      <c r="X181" s="221"/>
      <c r="Y181" s="221"/>
      <c r="Z181" s="221"/>
    </row>
    <row r="182" spans="1:26" ht="18.75" customHeight="1" outlineLevel="1">
      <c r="A182" s="221"/>
      <c r="B182" s="237">
        <f t="shared" si="206"/>
        <v>45821</v>
      </c>
      <c r="C182" s="238">
        <f t="shared" si="202"/>
        <v>45821</v>
      </c>
      <c r="D182" s="239">
        <f>目標_2025R7!D184</f>
        <v>1</v>
      </c>
      <c r="E182" s="240">
        <f>IF(D182=1,'適正原価率表(仕入れお小遣い制度)'!$J$14,0)</f>
        <v>11748.908411539449</v>
      </c>
      <c r="F182" s="240">
        <f t="shared" si="207"/>
        <v>129237.99252693394</v>
      </c>
      <c r="G182" s="241">
        <v>9634</v>
      </c>
      <c r="H182" s="240">
        <f t="shared" si="208"/>
        <v>243557</v>
      </c>
      <c r="I182" s="242">
        <f t="shared" si="203"/>
        <v>-114319.00747306606</v>
      </c>
      <c r="J182" s="230"/>
      <c r="K182" s="237">
        <f t="shared" si="201"/>
        <v>45821</v>
      </c>
      <c r="L182" s="243">
        <f t="shared" ref="L182:M182" si="223">C182</f>
        <v>45821</v>
      </c>
      <c r="M182" s="244">
        <f t="shared" si="223"/>
        <v>1</v>
      </c>
      <c r="N182" s="240">
        <f>IF(M182=1,'適正原価率表(仕入れお小遣い制度)'!$J$15,0)</f>
        <v>9693.1675881833235</v>
      </c>
      <c r="O182" s="240">
        <f t="shared" si="210"/>
        <v>106624.84347001655</v>
      </c>
      <c r="P182" s="241">
        <v>11396</v>
      </c>
      <c r="Q182" s="240">
        <f t="shared" si="211"/>
        <v>235549</v>
      </c>
      <c r="R182" s="242">
        <f t="shared" si="205"/>
        <v>-128924.15652998345</v>
      </c>
      <c r="S182" s="221"/>
      <c r="T182" s="245">
        <f t="shared" si="212"/>
        <v>45821</v>
      </c>
      <c r="U182" s="221"/>
      <c r="V182" s="221"/>
      <c r="W182" s="221"/>
      <c r="X182" s="221"/>
      <c r="Y182" s="221"/>
      <c r="Z182" s="221"/>
    </row>
    <row r="183" spans="1:26" ht="18.75" customHeight="1" outlineLevel="1">
      <c r="A183" s="221"/>
      <c r="B183" s="237">
        <f t="shared" si="206"/>
        <v>45822</v>
      </c>
      <c r="C183" s="238">
        <f t="shared" si="202"/>
        <v>45822</v>
      </c>
      <c r="D183" s="239">
        <f>目標_2025R7!D185</f>
        <v>1</v>
      </c>
      <c r="E183" s="240">
        <f>IF(D183=1,'適正原価率表(仕入れお小遣い制度)'!$J$14,0)</f>
        <v>11748.908411539449</v>
      </c>
      <c r="F183" s="240">
        <f t="shared" si="207"/>
        <v>140986.90093847338</v>
      </c>
      <c r="G183" s="241">
        <v>25389</v>
      </c>
      <c r="H183" s="240">
        <f t="shared" si="208"/>
        <v>268946</v>
      </c>
      <c r="I183" s="242">
        <f t="shared" si="203"/>
        <v>-127959.09906152662</v>
      </c>
      <c r="J183" s="230"/>
      <c r="K183" s="237">
        <f t="shared" si="201"/>
        <v>45822</v>
      </c>
      <c r="L183" s="243">
        <f t="shared" ref="L183:M183" si="224">C183</f>
        <v>45822</v>
      </c>
      <c r="M183" s="244">
        <f t="shared" si="224"/>
        <v>1</v>
      </c>
      <c r="N183" s="240">
        <f>IF(M183=1,'適正原価率表(仕入れお小遣い制度)'!$J$15,0)</f>
        <v>9693.1675881833235</v>
      </c>
      <c r="O183" s="240">
        <f t="shared" si="210"/>
        <v>116318.01105819987</v>
      </c>
      <c r="P183" s="241">
        <v>15654</v>
      </c>
      <c r="Q183" s="240">
        <f t="shared" si="211"/>
        <v>251203</v>
      </c>
      <c r="R183" s="242">
        <f t="shared" si="205"/>
        <v>-134884.98894180014</v>
      </c>
      <c r="S183" s="221"/>
      <c r="T183" s="245">
        <f t="shared" si="212"/>
        <v>45822</v>
      </c>
      <c r="U183" s="221"/>
      <c r="V183" s="221"/>
      <c r="W183" s="221"/>
      <c r="X183" s="221"/>
      <c r="Y183" s="221"/>
      <c r="Z183" s="221"/>
    </row>
    <row r="184" spans="1:26" ht="18.75" customHeight="1" outlineLevel="1">
      <c r="A184" s="221"/>
      <c r="B184" s="237">
        <f t="shared" si="206"/>
        <v>45823</v>
      </c>
      <c r="C184" s="238">
        <f t="shared" si="202"/>
        <v>45823</v>
      </c>
      <c r="D184" s="239">
        <f>目標_2025R7!D186</f>
        <v>1</v>
      </c>
      <c r="E184" s="240">
        <f>IF(D184=1,'適正原価率表(仕入れお小遣い制度)'!$J$14,0)</f>
        <v>11748.908411539449</v>
      </c>
      <c r="F184" s="240">
        <f t="shared" si="207"/>
        <v>152735.80935001283</v>
      </c>
      <c r="G184" s="241">
        <v>6306</v>
      </c>
      <c r="H184" s="240">
        <f t="shared" si="208"/>
        <v>275252</v>
      </c>
      <c r="I184" s="242">
        <f t="shared" si="203"/>
        <v>-122516.19064998717</v>
      </c>
      <c r="J184" s="230"/>
      <c r="K184" s="237">
        <f t="shared" si="201"/>
        <v>45823</v>
      </c>
      <c r="L184" s="243">
        <f t="shared" ref="L184:M184" si="225">C184</f>
        <v>45823</v>
      </c>
      <c r="M184" s="244">
        <f t="shared" si="225"/>
        <v>1</v>
      </c>
      <c r="N184" s="240">
        <f>IF(M184=1,'適正原価率表(仕入れお小遣い制度)'!$J$15,0)</f>
        <v>9693.1675881833235</v>
      </c>
      <c r="O184" s="240">
        <f t="shared" si="210"/>
        <v>126011.1786463832</v>
      </c>
      <c r="P184" s="241">
        <v>0</v>
      </c>
      <c r="Q184" s="240">
        <f t="shared" si="211"/>
        <v>251203</v>
      </c>
      <c r="R184" s="242">
        <f t="shared" si="205"/>
        <v>-125191.8213536168</v>
      </c>
      <c r="S184" s="221"/>
      <c r="T184" s="245">
        <f t="shared" si="212"/>
        <v>45823</v>
      </c>
      <c r="U184" s="221"/>
      <c r="V184" s="221"/>
      <c r="W184" s="221"/>
      <c r="X184" s="221"/>
      <c r="Y184" s="221"/>
      <c r="Z184" s="221"/>
    </row>
    <row r="185" spans="1:26" ht="18.75" customHeight="1" outlineLevel="1">
      <c r="A185" s="221"/>
      <c r="B185" s="237">
        <f t="shared" si="206"/>
        <v>45824</v>
      </c>
      <c r="C185" s="238">
        <f t="shared" si="202"/>
        <v>45824</v>
      </c>
      <c r="D185" s="239">
        <f>目標_2025R7!D187</f>
        <v>0</v>
      </c>
      <c r="E185" s="240">
        <f>IF(D185=1,'適正原価率表(仕入れお小遣い制度)'!$J$14,0)</f>
        <v>0</v>
      </c>
      <c r="F185" s="240">
        <f t="shared" si="207"/>
        <v>0</v>
      </c>
      <c r="G185" s="241">
        <v>0</v>
      </c>
      <c r="H185" s="240">
        <f t="shared" si="208"/>
        <v>0</v>
      </c>
      <c r="I185" s="242">
        <f t="shared" si="203"/>
        <v>0</v>
      </c>
      <c r="J185" s="230"/>
      <c r="K185" s="237">
        <f t="shared" si="201"/>
        <v>45824</v>
      </c>
      <c r="L185" s="243">
        <f t="shared" ref="L185:M185" si="226">C185</f>
        <v>45824</v>
      </c>
      <c r="M185" s="244">
        <f t="shared" si="226"/>
        <v>0</v>
      </c>
      <c r="N185" s="240">
        <f>IF(M185=1,'適正原価率表(仕入れお小遣い制度)'!$J$15,0)</f>
        <v>0</v>
      </c>
      <c r="O185" s="240">
        <f t="shared" si="210"/>
        <v>0</v>
      </c>
      <c r="P185" s="241">
        <v>11935</v>
      </c>
      <c r="Q185" s="240">
        <f t="shared" si="211"/>
        <v>0</v>
      </c>
      <c r="R185" s="242">
        <f t="shared" si="205"/>
        <v>0</v>
      </c>
      <c r="S185" s="221"/>
      <c r="T185" s="245">
        <f t="shared" si="212"/>
        <v>45824</v>
      </c>
      <c r="U185" s="221"/>
      <c r="V185" s="221"/>
      <c r="W185" s="221"/>
      <c r="X185" s="221"/>
      <c r="Y185" s="221"/>
      <c r="Z185" s="221"/>
    </row>
    <row r="186" spans="1:26" ht="18.75" customHeight="1" outlineLevel="1">
      <c r="A186" s="221"/>
      <c r="B186" s="237">
        <f t="shared" si="206"/>
        <v>45825</v>
      </c>
      <c r="C186" s="238">
        <f t="shared" si="202"/>
        <v>45825</v>
      </c>
      <c r="D186" s="239">
        <f>目標_2025R7!D188</f>
        <v>1</v>
      </c>
      <c r="E186" s="240">
        <f>IF(D186=1,'適正原価率表(仕入れお小遣い制度)'!$J$14,0)</f>
        <v>11748.908411539449</v>
      </c>
      <c r="F186" s="240">
        <f t="shared" si="207"/>
        <v>164484.71776155228</v>
      </c>
      <c r="G186" s="241">
        <v>17817</v>
      </c>
      <c r="H186" s="240">
        <f t="shared" si="208"/>
        <v>293069</v>
      </c>
      <c r="I186" s="242">
        <f t="shared" si="203"/>
        <v>-128584.28223844772</v>
      </c>
      <c r="J186" s="230"/>
      <c r="K186" s="237">
        <f t="shared" si="201"/>
        <v>45825</v>
      </c>
      <c r="L186" s="243">
        <f t="shared" ref="L186:M186" si="227">C186</f>
        <v>45825</v>
      </c>
      <c r="M186" s="244">
        <f t="shared" si="227"/>
        <v>1</v>
      </c>
      <c r="N186" s="240">
        <f>IF(M186=1,'適正原価率表(仕入れお小遣い制度)'!$J$15,0)</f>
        <v>9693.1675881833235</v>
      </c>
      <c r="O186" s="240">
        <f t="shared" si="210"/>
        <v>135704.34623456653</v>
      </c>
      <c r="P186" s="241">
        <v>4353</v>
      </c>
      <c r="Q186" s="240">
        <f t="shared" si="211"/>
        <v>267491</v>
      </c>
      <c r="R186" s="242">
        <f t="shared" si="205"/>
        <v>-131786.65376543347</v>
      </c>
      <c r="S186" s="221"/>
      <c r="T186" s="245">
        <f t="shared" si="212"/>
        <v>45825</v>
      </c>
      <c r="U186" s="221"/>
      <c r="V186" s="221"/>
      <c r="W186" s="221"/>
      <c r="X186" s="221"/>
      <c r="Y186" s="221"/>
      <c r="Z186" s="221"/>
    </row>
    <row r="187" spans="1:26" ht="18.75" customHeight="1" outlineLevel="1">
      <c r="A187" s="221"/>
      <c r="B187" s="237">
        <f t="shared" si="206"/>
        <v>45826</v>
      </c>
      <c r="C187" s="238">
        <f t="shared" si="202"/>
        <v>45826</v>
      </c>
      <c r="D187" s="239">
        <f>目標_2025R7!D189</f>
        <v>1</v>
      </c>
      <c r="E187" s="240">
        <f>IF(D187=1,'適正原価率表(仕入れお小遣い制度)'!$J$14,0)</f>
        <v>11748.908411539449</v>
      </c>
      <c r="F187" s="240">
        <f t="shared" si="207"/>
        <v>176233.62617309173</v>
      </c>
      <c r="G187" s="241">
        <v>15922</v>
      </c>
      <c r="H187" s="240">
        <f t="shared" si="208"/>
        <v>308991</v>
      </c>
      <c r="I187" s="242">
        <f t="shared" si="203"/>
        <v>-132757.37382690827</v>
      </c>
      <c r="J187" s="230"/>
      <c r="K187" s="237">
        <f t="shared" si="201"/>
        <v>45826</v>
      </c>
      <c r="L187" s="243">
        <f t="shared" ref="L187:M187" si="228">C187</f>
        <v>45826</v>
      </c>
      <c r="M187" s="244">
        <f t="shared" si="228"/>
        <v>1</v>
      </c>
      <c r="N187" s="240">
        <f>IF(M187=1,'適正原価率表(仕入れお小遣い制度)'!$J$15,0)</f>
        <v>9693.1675881833235</v>
      </c>
      <c r="O187" s="240">
        <f t="shared" si="210"/>
        <v>145397.51382274987</v>
      </c>
      <c r="P187" s="241">
        <v>1694</v>
      </c>
      <c r="Q187" s="240">
        <f t="shared" si="211"/>
        <v>269185</v>
      </c>
      <c r="R187" s="242">
        <f t="shared" si="205"/>
        <v>-123787.48617725013</v>
      </c>
      <c r="S187" s="221"/>
      <c r="T187" s="245">
        <f t="shared" si="212"/>
        <v>45826</v>
      </c>
      <c r="U187" s="221"/>
      <c r="V187" s="221"/>
      <c r="W187" s="221"/>
      <c r="X187" s="221"/>
      <c r="Y187" s="221"/>
      <c r="Z187" s="221"/>
    </row>
    <row r="188" spans="1:26" ht="18.75" customHeight="1" outlineLevel="1">
      <c r="A188" s="221"/>
      <c r="B188" s="237">
        <f t="shared" si="206"/>
        <v>45827</v>
      </c>
      <c r="C188" s="238">
        <f t="shared" si="202"/>
        <v>45827</v>
      </c>
      <c r="D188" s="239">
        <f>目標_2025R7!D190</f>
        <v>1</v>
      </c>
      <c r="E188" s="240">
        <f>IF(D188=1,'適正原価率表(仕入れお小遣い制度)'!$J$14,0)</f>
        <v>11748.908411539449</v>
      </c>
      <c r="F188" s="240">
        <f t="shared" si="207"/>
        <v>187982.53458463118</v>
      </c>
      <c r="G188" s="241">
        <v>18787</v>
      </c>
      <c r="H188" s="240">
        <f t="shared" si="208"/>
        <v>327778</v>
      </c>
      <c r="I188" s="242">
        <f t="shared" si="203"/>
        <v>-139795.46541536882</v>
      </c>
      <c r="J188" s="230"/>
      <c r="K188" s="237">
        <f t="shared" si="201"/>
        <v>45827</v>
      </c>
      <c r="L188" s="243">
        <f t="shared" ref="L188:M188" si="229">C188</f>
        <v>45827</v>
      </c>
      <c r="M188" s="244">
        <f t="shared" si="229"/>
        <v>1</v>
      </c>
      <c r="N188" s="240">
        <f>IF(M188=1,'適正原価率表(仕入れお小遣い制度)'!$J$15,0)</f>
        <v>9693.1675881833235</v>
      </c>
      <c r="O188" s="240">
        <f t="shared" si="210"/>
        <v>155090.6814109332</v>
      </c>
      <c r="P188" s="241">
        <v>42697</v>
      </c>
      <c r="Q188" s="240">
        <f t="shared" si="211"/>
        <v>311882</v>
      </c>
      <c r="R188" s="242">
        <f t="shared" si="205"/>
        <v>-156791.3185890668</v>
      </c>
      <c r="S188" s="221"/>
      <c r="T188" s="245">
        <f t="shared" si="212"/>
        <v>45827</v>
      </c>
      <c r="U188" s="221"/>
      <c r="V188" s="221"/>
      <c r="W188" s="221"/>
      <c r="X188" s="221"/>
      <c r="Y188" s="221"/>
      <c r="Z188" s="221"/>
    </row>
    <row r="189" spans="1:26" ht="18.75" customHeight="1" outlineLevel="1">
      <c r="A189" s="221"/>
      <c r="B189" s="237">
        <f t="shared" si="206"/>
        <v>45828</v>
      </c>
      <c r="C189" s="238">
        <f t="shared" si="202"/>
        <v>45828</v>
      </c>
      <c r="D189" s="239">
        <f>目標_2025R7!D191</f>
        <v>1</v>
      </c>
      <c r="E189" s="240">
        <f>IF(D189=1,'適正原価率表(仕入れお小遣い制度)'!$J$14,0)</f>
        <v>11748.908411539449</v>
      </c>
      <c r="F189" s="240">
        <f t="shared" si="207"/>
        <v>199731.44299617063</v>
      </c>
      <c r="G189" s="241">
        <v>29047</v>
      </c>
      <c r="H189" s="240">
        <f t="shared" si="208"/>
        <v>356825</v>
      </c>
      <c r="I189" s="242">
        <f t="shared" si="203"/>
        <v>-157093.55700382937</v>
      </c>
      <c r="J189" s="230"/>
      <c r="K189" s="237">
        <f t="shared" si="201"/>
        <v>45828</v>
      </c>
      <c r="L189" s="243">
        <f t="shared" ref="L189:M189" si="230">C189</f>
        <v>45828</v>
      </c>
      <c r="M189" s="244">
        <f t="shared" si="230"/>
        <v>1</v>
      </c>
      <c r="N189" s="240">
        <f>IF(M189=1,'適正原価率表(仕入れお小遣い制度)'!$J$15,0)</f>
        <v>9693.1675881833235</v>
      </c>
      <c r="O189" s="240">
        <f t="shared" si="210"/>
        <v>164783.84899911654</v>
      </c>
      <c r="P189" s="241">
        <v>44347</v>
      </c>
      <c r="Q189" s="240">
        <f t="shared" si="211"/>
        <v>356229</v>
      </c>
      <c r="R189" s="242">
        <f t="shared" si="205"/>
        <v>-191445.15100088346</v>
      </c>
      <c r="S189" s="221"/>
      <c r="T189" s="245">
        <f t="shared" si="212"/>
        <v>45828</v>
      </c>
      <c r="U189" s="221"/>
      <c r="V189" s="221"/>
      <c r="W189" s="221"/>
      <c r="X189" s="221"/>
      <c r="Y189" s="221"/>
      <c r="Z189" s="221"/>
    </row>
    <row r="190" spans="1:26" ht="18.75" customHeight="1" outlineLevel="1">
      <c r="A190" s="221"/>
      <c r="B190" s="237">
        <f t="shared" si="206"/>
        <v>45829</v>
      </c>
      <c r="C190" s="238">
        <f t="shared" si="202"/>
        <v>45829</v>
      </c>
      <c r="D190" s="239">
        <f>目標_2025R7!D192</f>
        <v>1</v>
      </c>
      <c r="E190" s="240">
        <f>IF(D190=1,'適正原価率表(仕入れお小遣い制度)'!$J$14,0)</f>
        <v>11748.908411539449</v>
      </c>
      <c r="F190" s="240">
        <f t="shared" si="207"/>
        <v>211480.35140771008</v>
      </c>
      <c r="G190" s="241">
        <v>10201</v>
      </c>
      <c r="H190" s="240">
        <f t="shared" si="208"/>
        <v>367026</v>
      </c>
      <c r="I190" s="242">
        <f t="shared" si="203"/>
        <v>-155545.64859228992</v>
      </c>
      <c r="J190" s="230"/>
      <c r="K190" s="237">
        <f t="shared" si="201"/>
        <v>45829</v>
      </c>
      <c r="L190" s="243">
        <f t="shared" ref="L190:M190" si="231">C190</f>
        <v>45829</v>
      </c>
      <c r="M190" s="244">
        <f t="shared" si="231"/>
        <v>1</v>
      </c>
      <c r="N190" s="240">
        <f>IF(M190=1,'適正原価率表(仕入れお小遣い制度)'!$J$15,0)</f>
        <v>9693.1675881833235</v>
      </c>
      <c r="O190" s="240">
        <f t="shared" si="210"/>
        <v>174477.01658729988</v>
      </c>
      <c r="P190" s="241">
        <v>24366</v>
      </c>
      <c r="Q190" s="240">
        <f t="shared" si="211"/>
        <v>380595</v>
      </c>
      <c r="R190" s="242">
        <f t="shared" si="205"/>
        <v>-206117.98341270012</v>
      </c>
      <c r="S190" s="221"/>
      <c r="T190" s="245">
        <f t="shared" si="212"/>
        <v>45829</v>
      </c>
      <c r="U190" s="221"/>
      <c r="V190" s="221"/>
      <c r="W190" s="221"/>
      <c r="X190" s="221"/>
      <c r="Y190" s="221"/>
      <c r="Z190" s="221"/>
    </row>
    <row r="191" spans="1:26" ht="18.75" customHeight="1" outlineLevel="1">
      <c r="A191" s="221"/>
      <c r="B191" s="237">
        <f t="shared" si="206"/>
        <v>45830</v>
      </c>
      <c r="C191" s="238">
        <f t="shared" si="202"/>
        <v>45830</v>
      </c>
      <c r="D191" s="239">
        <f>目標_2025R7!D193</f>
        <v>1</v>
      </c>
      <c r="E191" s="240">
        <f>IF(D191=1,'適正原価率表(仕入れお小遣い制度)'!$J$14,0)</f>
        <v>11748.908411539449</v>
      </c>
      <c r="F191" s="240">
        <f t="shared" si="207"/>
        <v>223229.25981924954</v>
      </c>
      <c r="G191" s="241">
        <v>3899</v>
      </c>
      <c r="H191" s="240">
        <f t="shared" si="208"/>
        <v>370925</v>
      </c>
      <c r="I191" s="242">
        <f t="shared" si="203"/>
        <v>-147695.74018075046</v>
      </c>
      <c r="J191" s="230"/>
      <c r="K191" s="237">
        <f t="shared" si="201"/>
        <v>45830</v>
      </c>
      <c r="L191" s="243">
        <f t="shared" ref="L191:M191" si="232">C191</f>
        <v>45830</v>
      </c>
      <c r="M191" s="244">
        <f t="shared" si="232"/>
        <v>1</v>
      </c>
      <c r="N191" s="240">
        <f>IF(M191=1,'適正原価率表(仕入れお小遣い制度)'!$J$15,0)</f>
        <v>9693.1675881833235</v>
      </c>
      <c r="O191" s="240">
        <f t="shared" si="210"/>
        <v>184170.18417548321</v>
      </c>
      <c r="P191" s="241">
        <v>0</v>
      </c>
      <c r="Q191" s="240">
        <f t="shared" si="211"/>
        <v>380595</v>
      </c>
      <c r="R191" s="242">
        <f t="shared" si="205"/>
        <v>-196424.81582451679</v>
      </c>
      <c r="S191" s="221"/>
      <c r="T191" s="245">
        <f t="shared" si="212"/>
        <v>45830</v>
      </c>
      <c r="U191" s="221"/>
      <c r="V191" s="221"/>
      <c r="W191" s="221"/>
      <c r="X191" s="221"/>
      <c r="Y191" s="221"/>
      <c r="Z191" s="221"/>
    </row>
    <row r="192" spans="1:26" ht="18.75" customHeight="1" outlineLevel="1">
      <c r="A192" s="221"/>
      <c r="B192" s="237">
        <f t="shared" si="206"/>
        <v>45831</v>
      </c>
      <c r="C192" s="238">
        <f t="shared" si="202"/>
        <v>45831</v>
      </c>
      <c r="D192" s="239">
        <f>目標_2025R7!D194</f>
        <v>0</v>
      </c>
      <c r="E192" s="240">
        <f>IF(D192=1,'適正原価率表(仕入れお小遣い制度)'!$J$14,0)</f>
        <v>0</v>
      </c>
      <c r="F192" s="240">
        <f t="shared" si="207"/>
        <v>0</v>
      </c>
      <c r="G192" s="241">
        <v>0</v>
      </c>
      <c r="H192" s="240">
        <f t="shared" si="208"/>
        <v>0</v>
      </c>
      <c r="I192" s="242">
        <f t="shared" si="203"/>
        <v>0</v>
      </c>
      <c r="J192" s="230"/>
      <c r="K192" s="237">
        <f t="shared" si="201"/>
        <v>45831</v>
      </c>
      <c r="L192" s="243">
        <f t="shared" ref="L192:M192" si="233">C192</f>
        <v>45831</v>
      </c>
      <c r="M192" s="244">
        <f t="shared" si="233"/>
        <v>0</v>
      </c>
      <c r="N192" s="240">
        <f>IF(M192=1,'適正原価率表(仕入れお小遣い制度)'!$J$15,0)</f>
        <v>0</v>
      </c>
      <c r="O192" s="240">
        <f t="shared" si="210"/>
        <v>0</v>
      </c>
      <c r="P192" s="241">
        <v>0</v>
      </c>
      <c r="Q192" s="240">
        <f t="shared" si="211"/>
        <v>0</v>
      </c>
      <c r="R192" s="242">
        <f t="shared" si="205"/>
        <v>0</v>
      </c>
      <c r="S192" s="221"/>
      <c r="T192" s="245">
        <f t="shared" si="212"/>
        <v>45831</v>
      </c>
      <c r="U192" s="221"/>
      <c r="V192" s="221"/>
      <c r="W192" s="221"/>
      <c r="X192" s="221"/>
      <c r="Y192" s="221"/>
      <c r="Z192" s="221"/>
    </row>
    <row r="193" spans="1:26" ht="18.75" customHeight="1" outlineLevel="1">
      <c r="A193" s="221"/>
      <c r="B193" s="237">
        <f t="shared" si="206"/>
        <v>45832</v>
      </c>
      <c r="C193" s="238">
        <f t="shared" si="202"/>
        <v>45832</v>
      </c>
      <c r="D193" s="239">
        <f>目標_2025R7!D195</f>
        <v>1</v>
      </c>
      <c r="E193" s="240">
        <f>IF(D193=1,'適正原価率表(仕入れお小遣い制度)'!$J$14,0)</f>
        <v>11748.908411539449</v>
      </c>
      <c r="F193" s="240">
        <f t="shared" si="207"/>
        <v>234978.16823078899</v>
      </c>
      <c r="G193" s="241">
        <v>22601</v>
      </c>
      <c r="H193" s="240">
        <f t="shared" si="208"/>
        <v>393526</v>
      </c>
      <c r="I193" s="242">
        <f t="shared" si="203"/>
        <v>-158547.83176921101</v>
      </c>
      <c r="J193" s="230"/>
      <c r="K193" s="237">
        <f t="shared" si="201"/>
        <v>45832</v>
      </c>
      <c r="L193" s="243">
        <f t="shared" ref="L193:M193" si="234">C193</f>
        <v>45832</v>
      </c>
      <c r="M193" s="244">
        <f t="shared" si="234"/>
        <v>1</v>
      </c>
      <c r="N193" s="240">
        <f>IF(M193=1,'適正原価率表(仕入れお小遣い制度)'!$J$15,0)</f>
        <v>9693.1675881833235</v>
      </c>
      <c r="O193" s="240">
        <f t="shared" si="210"/>
        <v>193863.35176366655</v>
      </c>
      <c r="P193" s="241">
        <v>18264</v>
      </c>
      <c r="Q193" s="240">
        <f t="shared" si="211"/>
        <v>398859</v>
      </c>
      <c r="R193" s="242">
        <f t="shared" si="205"/>
        <v>-204995.64823633345</v>
      </c>
      <c r="S193" s="221"/>
      <c r="T193" s="245">
        <f t="shared" si="212"/>
        <v>45832</v>
      </c>
      <c r="U193" s="221"/>
      <c r="V193" s="221"/>
      <c r="W193" s="221"/>
      <c r="X193" s="221"/>
      <c r="Y193" s="221"/>
      <c r="Z193" s="221"/>
    </row>
    <row r="194" spans="1:26" ht="18.75" customHeight="1" outlineLevel="1">
      <c r="A194" s="221"/>
      <c r="B194" s="237">
        <f t="shared" si="206"/>
        <v>45833</v>
      </c>
      <c r="C194" s="238">
        <f t="shared" si="202"/>
        <v>45833</v>
      </c>
      <c r="D194" s="239">
        <f>目標_2025R7!D196</f>
        <v>1</v>
      </c>
      <c r="E194" s="240">
        <f>IF(D194=1,'適正原価率表(仕入れお小遣い制度)'!$J$14,0)</f>
        <v>11748.908411539449</v>
      </c>
      <c r="F194" s="240">
        <f t="shared" si="207"/>
        <v>246727.07664232844</v>
      </c>
      <c r="G194" s="241">
        <v>1980</v>
      </c>
      <c r="H194" s="240">
        <f t="shared" si="208"/>
        <v>395506</v>
      </c>
      <c r="I194" s="242">
        <f t="shared" si="203"/>
        <v>-148778.92335767156</v>
      </c>
      <c r="J194" s="230"/>
      <c r="K194" s="237">
        <f t="shared" si="201"/>
        <v>45833</v>
      </c>
      <c r="L194" s="243">
        <f t="shared" ref="L194:M194" si="235">C194</f>
        <v>45833</v>
      </c>
      <c r="M194" s="244">
        <f t="shared" si="235"/>
        <v>1</v>
      </c>
      <c r="N194" s="240">
        <f>IF(M194=1,'適正原価率表(仕入れお小遣い制度)'!$J$15,0)</f>
        <v>9693.1675881833235</v>
      </c>
      <c r="O194" s="240">
        <f t="shared" si="210"/>
        <v>203556.51935184989</v>
      </c>
      <c r="P194" s="241">
        <v>0</v>
      </c>
      <c r="Q194" s="240">
        <f t="shared" si="211"/>
        <v>398859</v>
      </c>
      <c r="R194" s="242">
        <f t="shared" si="205"/>
        <v>-195302.48064815011</v>
      </c>
      <c r="S194" s="221"/>
      <c r="T194" s="245">
        <f t="shared" si="212"/>
        <v>45833</v>
      </c>
      <c r="U194" s="221"/>
      <c r="V194" s="221"/>
      <c r="W194" s="221"/>
      <c r="X194" s="221"/>
      <c r="Y194" s="221"/>
      <c r="Z194" s="221"/>
    </row>
    <row r="195" spans="1:26" ht="18.75" customHeight="1" outlineLevel="1">
      <c r="A195" s="221"/>
      <c r="B195" s="237">
        <f t="shared" si="206"/>
        <v>45834</v>
      </c>
      <c r="C195" s="238">
        <f t="shared" si="202"/>
        <v>45834</v>
      </c>
      <c r="D195" s="239">
        <f>目標_2025R7!D197</f>
        <v>1</v>
      </c>
      <c r="E195" s="240">
        <f>IF(D195=1,'適正原価率表(仕入れお小遣い制度)'!$J$14,0)</f>
        <v>11748.908411539449</v>
      </c>
      <c r="F195" s="240">
        <f t="shared" si="207"/>
        <v>258475.98505386789</v>
      </c>
      <c r="G195" s="241">
        <v>14074</v>
      </c>
      <c r="H195" s="240">
        <f t="shared" si="208"/>
        <v>409580</v>
      </c>
      <c r="I195" s="242">
        <f t="shared" si="203"/>
        <v>-151104.01494613211</v>
      </c>
      <c r="J195" s="230"/>
      <c r="K195" s="237">
        <f t="shared" si="201"/>
        <v>45834</v>
      </c>
      <c r="L195" s="243">
        <f t="shared" ref="L195:M195" si="236">C195</f>
        <v>45834</v>
      </c>
      <c r="M195" s="244">
        <f t="shared" si="236"/>
        <v>1</v>
      </c>
      <c r="N195" s="240">
        <f>IF(M195=1,'適正原価率表(仕入れお小遣い制度)'!$J$15,0)</f>
        <v>9693.1675881833235</v>
      </c>
      <c r="O195" s="240">
        <f t="shared" si="210"/>
        <v>213249.68694003322</v>
      </c>
      <c r="P195" s="241">
        <v>4331</v>
      </c>
      <c r="Q195" s="240">
        <f t="shared" si="211"/>
        <v>403190</v>
      </c>
      <c r="R195" s="242">
        <f t="shared" si="205"/>
        <v>-189940.31305996678</v>
      </c>
      <c r="S195" s="221"/>
      <c r="T195" s="245">
        <f t="shared" si="212"/>
        <v>45834</v>
      </c>
      <c r="U195" s="221"/>
      <c r="V195" s="221"/>
      <c r="W195" s="221"/>
      <c r="X195" s="221"/>
      <c r="Y195" s="221"/>
      <c r="Z195" s="221"/>
    </row>
    <row r="196" spans="1:26" ht="18.75" customHeight="1" outlineLevel="1">
      <c r="A196" s="221"/>
      <c r="B196" s="237">
        <f t="shared" si="206"/>
        <v>45835</v>
      </c>
      <c r="C196" s="238">
        <f t="shared" si="202"/>
        <v>45835</v>
      </c>
      <c r="D196" s="239">
        <f>目標_2025R7!D198</f>
        <v>1</v>
      </c>
      <c r="E196" s="240">
        <f>IF(D196=1,'適正原価率表(仕入れお小遣い制度)'!$J$14,0)</f>
        <v>11748.908411539449</v>
      </c>
      <c r="F196" s="240">
        <f t="shared" si="207"/>
        <v>270224.89346540731</v>
      </c>
      <c r="G196" s="241">
        <v>18848</v>
      </c>
      <c r="H196" s="240">
        <f t="shared" si="208"/>
        <v>428428</v>
      </c>
      <c r="I196" s="242">
        <f t="shared" si="203"/>
        <v>-158203.10653459269</v>
      </c>
      <c r="J196" s="230"/>
      <c r="K196" s="237">
        <f t="shared" si="201"/>
        <v>45835</v>
      </c>
      <c r="L196" s="243">
        <f t="shared" ref="L196:M196" si="237">C196</f>
        <v>45835</v>
      </c>
      <c r="M196" s="244">
        <f t="shared" si="237"/>
        <v>1</v>
      </c>
      <c r="N196" s="240">
        <f>IF(M196=1,'適正原価率表(仕入れお小遣い制度)'!$J$15,0)</f>
        <v>9693.1675881833235</v>
      </c>
      <c r="O196" s="240">
        <f t="shared" si="210"/>
        <v>222942.85452821656</v>
      </c>
      <c r="P196" s="241">
        <v>0</v>
      </c>
      <c r="Q196" s="240">
        <f t="shared" si="211"/>
        <v>403190</v>
      </c>
      <c r="R196" s="242">
        <f t="shared" si="205"/>
        <v>-180247.14547178344</v>
      </c>
      <c r="S196" s="221"/>
      <c r="T196" s="245">
        <f t="shared" si="212"/>
        <v>45835</v>
      </c>
      <c r="U196" s="221"/>
      <c r="V196" s="221"/>
      <c r="W196" s="221"/>
      <c r="X196" s="221"/>
      <c r="Y196" s="221"/>
      <c r="Z196" s="221"/>
    </row>
    <row r="197" spans="1:26" ht="18.75" customHeight="1" outlineLevel="1">
      <c r="A197" s="221"/>
      <c r="B197" s="237">
        <f t="shared" si="206"/>
        <v>45836</v>
      </c>
      <c r="C197" s="238">
        <f t="shared" si="202"/>
        <v>45836</v>
      </c>
      <c r="D197" s="239">
        <f>目標_2025R7!D199</f>
        <v>1</v>
      </c>
      <c r="E197" s="240">
        <f>IF(D197=1,'適正原価率表(仕入れお小遣い制度)'!$J$14,0)</f>
        <v>11748.908411539449</v>
      </c>
      <c r="F197" s="240">
        <f t="shared" si="207"/>
        <v>281973.80187694676</v>
      </c>
      <c r="G197" s="241">
        <v>7816</v>
      </c>
      <c r="H197" s="240">
        <f t="shared" si="208"/>
        <v>436244</v>
      </c>
      <c r="I197" s="242">
        <f t="shared" si="203"/>
        <v>-154270.19812305324</v>
      </c>
      <c r="J197" s="230"/>
      <c r="K197" s="237">
        <f t="shared" si="201"/>
        <v>45836</v>
      </c>
      <c r="L197" s="243">
        <f t="shared" ref="L197:M197" si="238">C197</f>
        <v>45836</v>
      </c>
      <c r="M197" s="244">
        <f t="shared" si="238"/>
        <v>1</v>
      </c>
      <c r="N197" s="240">
        <f>IF(M197=1,'適正原価率表(仕入れお小遣い制度)'!$J$15,0)</f>
        <v>9693.1675881833235</v>
      </c>
      <c r="O197" s="240">
        <f t="shared" si="210"/>
        <v>232636.02211639989</v>
      </c>
      <c r="P197" s="241">
        <v>244</v>
      </c>
      <c r="Q197" s="240">
        <f t="shared" si="211"/>
        <v>403434</v>
      </c>
      <c r="R197" s="242">
        <f t="shared" si="205"/>
        <v>-170797.97788360011</v>
      </c>
      <c r="S197" s="221"/>
      <c r="T197" s="245">
        <f t="shared" si="212"/>
        <v>45836</v>
      </c>
      <c r="U197" s="221"/>
      <c r="V197" s="221"/>
      <c r="W197" s="221"/>
      <c r="X197" s="221"/>
      <c r="Y197" s="221"/>
      <c r="Z197" s="221"/>
    </row>
    <row r="198" spans="1:26" ht="18.75" customHeight="1" outlineLevel="1">
      <c r="A198" s="221"/>
      <c r="B198" s="237">
        <f t="shared" si="206"/>
        <v>45837</v>
      </c>
      <c r="C198" s="238">
        <f t="shared" si="202"/>
        <v>45837</v>
      </c>
      <c r="D198" s="239">
        <f>目標_2025R7!D200</f>
        <v>1</v>
      </c>
      <c r="E198" s="240">
        <f>IF(D198=1,'適正原価率表(仕入れお小遣い制度)'!$J$14,0)</f>
        <v>11748.908411539449</v>
      </c>
      <c r="F198" s="240">
        <f t="shared" si="207"/>
        <v>293722.71028848621</v>
      </c>
      <c r="G198" s="241">
        <v>0</v>
      </c>
      <c r="H198" s="240">
        <f t="shared" si="208"/>
        <v>436244</v>
      </c>
      <c r="I198" s="242">
        <f t="shared" si="203"/>
        <v>-142521.28971151379</v>
      </c>
      <c r="J198" s="230"/>
      <c r="K198" s="237">
        <f t="shared" si="201"/>
        <v>45837</v>
      </c>
      <c r="L198" s="243">
        <f t="shared" ref="L198:M198" si="239">C198</f>
        <v>45837</v>
      </c>
      <c r="M198" s="244">
        <f t="shared" si="239"/>
        <v>1</v>
      </c>
      <c r="N198" s="240">
        <f>IF(M198=1,'適正原価率表(仕入れお小遣い制度)'!$J$15,0)</f>
        <v>9693.1675881833235</v>
      </c>
      <c r="O198" s="240">
        <f t="shared" si="210"/>
        <v>242329.18970458323</v>
      </c>
      <c r="P198" s="241">
        <v>0</v>
      </c>
      <c r="Q198" s="240">
        <f t="shared" si="211"/>
        <v>403434</v>
      </c>
      <c r="R198" s="242">
        <f t="shared" si="205"/>
        <v>-161104.81029541677</v>
      </c>
      <c r="S198" s="221"/>
      <c r="T198" s="245">
        <f t="shared" si="212"/>
        <v>45837</v>
      </c>
      <c r="U198" s="221"/>
      <c r="V198" s="221"/>
      <c r="W198" s="221"/>
      <c r="X198" s="221"/>
      <c r="Y198" s="221"/>
      <c r="Z198" s="221"/>
    </row>
    <row r="199" spans="1:26" ht="18.75" customHeight="1" outlineLevel="1">
      <c r="A199" s="221"/>
      <c r="B199" s="237">
        <f t="shared" si="206"/>
        <v>45838</v>
      </c>
      <c r="C199" s="238">
        <f t="shared" si="202"/>
        <v>45838</v>
      </c>
      <c r="D199" s="239">
        <f>目標_2025R7!D201</f>
        <v>0</v>
      </c>
      <c r="E199" s="240">
        <f>IF(D199=1,'適正原価率表(仕入れお小遣い制度)'!$J$14,0)</f>
        <v>0</v>
      </c>
      <c r="F199" s="240">
        <f t="shared" si="207"/>
        <v>0</v>
      </c>
      <c r="G199" s="241">
        <v>0</v>
      </c>
      <c r="H199" s="240">
        <f t="shared" si="208"/>
        <v>0</v>
      </c>
      <c r="I199" s="242">
        <f t="shared" si="203"/>
        <v>0</v>
      </c>
      <c r="J199" s="230"/>
      <c r="K199" s="237">
        <f t="shared" si="201"/>
        <v>45838</v>
      </c>
      <c r="L199" s="243">
        <f t="shared" ref="L199:M199" si="240">C199</f>
        <v>45838</v>
      </c>
      <c r="M199" s="244">
        <f t="shared" si="240"/>
        <v>0</v>
      </c>
      <c r="N199" s="240">
        <f>IF(M199=1,'適正原価率表(仕入れお小遣い制度)'!$J$15,0)</f>
        <v>0</v>
      </c>
      <c r="O199" s="240">
        <f t="shared" si="210"/>
        <v>0</v>
      </c>
      <c r="P199" s="241">
        <v>0</v>
      </c>
      <c r="Q199" s="240">
        <f t="shared" si="211"/>
        <v>0</v>
      </c>
      <c r="R199" s="242">
        <f t="shared" si="205"/>
        <v>0</v>
      </c>
      <c r="S199" s="221"/>
      <c r="T199" s="245">
        <f t="shared" si="212"/>
        <v>45838</v>
      </c>
      <c r="U199" s="221"/>
      <c r="V199" s="221"/>
      <c r="W199" s="221"/>
      <c r="X199" s="221"/>
      <c r="Y199" s="221"/>
      <c r="Z199" s="221"/>
    </row>
    <row r="200" spans="1:26" ht="18.75" customHeight="1" outlineLevel="1">
      <c r="A200" s="221"/>
      <c r="B200" s="561" t="s">
        <v>176</v>
      </c>
      <c r="C200" s="486"/>
      <c r="D200" s="483"/>
      <c r="E200" s="247">
        <f>SUM(E170:E199)</f>
        <v>293722.71028848621</v>
      </c>
      <c r="F200" s="248"/>
      <c r="G200" s="249">
        <v>0</v>
      </c>
      <c r="H200" s="249"/>
      <c r="I200" s="249"/>
      <c r="J200" s="230"/>
      <c r="K200" s="561" t="s">
        <v>176</v>
      </c>
      <c r="L200" s="486"/>
      <c r="M200" s="483"/>
      <c r="N200" s="247">
        <f>SUM(N170:N199)</f>
        <v>242329.18970458323</v>
      </c>
      <c r="O200" s="248"/>
      <c r="P200" s="249">
        <v>0</v>
      </c>
      <c r="Q200" s="249"/>
      <c r="R200" s="249"/>
      <c r="S200" s="221"/>
      <c r="T200" s="221"/>
      <c r="U200" s="221"/>
      <c r="V200" s="221"/>
      <c r="W200" s="221"/>
      <c r="X200" s="221"/>
      <c r="Y200" s="221"/>
      <c r="Z200" s="221"/>
    </row>
    <row r="201" spans="1:26" ht="18.75" customHeight="1">
      <c r="A201" s="221"/>
      <c r="B201" s="221"/>
      <c r="C201" s="255"/>
      <c r="D201" s="255"/>
      <c r="E201" s="221"/>
      <c r="F201" s="221"/>
      <c r="G201" s="221"/>
      <c r="H201" s="221"/>
      <c r="I201" s="221"/>
      <c r="J201" s="221"/>
      <c r="K201" s="221"/>
      <c r="L201" s="255"/>
      <c r="M201" s="255"/>
      <c r="N201" s="221"/>
      <c r="O201" s="221"/>
      <c r="P201" s="221"/>
      <c r="Q201" s="221"/>
      <c r="R201" s="221"/>
      <c r="S201" s="221"/>
      <c r="T201" s="221"/>
      <c r="U201" s="221"/>
      <c r="V201" s="221"/>
      <c r="W201" s="221"/>
      <c r="X201" s="221"/>
      <c r="Y201" s="221"/>
      <c r="Z201" s="221"/>
    </row>
    <row r="202" spans="1:26" ht="18.75" customHeight="1">
      <c r="A202" s="232"/>
      <c r="B202" s="562" t="s">
        <v>58</v>
      </c>
      <c r="C202" s="486"/>
      <c r="D202" s="483"/>
      <c r="E202" s="252" t="s">
        <v>168</v>
      </c>
      <c r="F202" s="253" t="s">
        <v>169</v>
      </c>
      <c r="G202" s="253" t="s">
        <v>170</v>
      </c>
      <c r="H202" s="253" t="s">
        <v>171</v>
      </c>
      <c r="I202" s="253" t="s">
        <v>19</v>
      </c>
      <c r="J202" s="236"/>
      <c r="K202" s="562" t="str">
        <f t="shared" ref="K202:K233" si="241">B202</f>
        <v>7月</v>
      </c>
      <c r="L202" s="486"/>
      <c r="M202" s="483"/>
      <c r="N202" s="252" t="s">
        <v>172</v>
      </c>
      <c r="O202" s="253" t="s">
        <v>173</v>
      </c>
      <c r="P202" s="253" t="s">
        <v>174</v>
      </c>
      <c r="Q202" s="253" t="s">
        <v>175</v>
      </c>
      <c r="R202" s="253" t="s">
        <v>19</v>
      </c>
      <c r="S202" s="232"/>
      <c r="T202" s="232"/>
      <c r="U202" s="232"/>
      <c r="V202" s="232"/>
      <c r="W202" s="232"/>
      <c r="X202" s="232"/>
      <c r="Y202" s="232"/>
      <c r="Z202" s="232"/>
    </row>
    <row r="203" spans="1:26" ht="18.75" customHeight="1" outlineLevel="1">
      <c r="A203" s="221"/>
      <c r="B203" s="237">
        <f>B199+1</f>
        <v>45839</v>
      </c>
      <c r="C203" s="238">
        <f t="shared" ref="C203:C233" si="242">B203</f>
        <v>45839</v>
      </c>
      <c r="D203" s="239">
        <f>目標_2025R7!D202</f>
        <v>1</v>
      </c>
      <c r="E203" s="240">
        <f>IF(D203=1,'適正原価率表(仕入れお小遣い制度)'!$J$16,0)</f>
        <v>14374.548682200515</v>
      </c>
      <c r="F203" s="240">
        <f>IF(D203=1,E203,0)</f>
        <v>14374.548682200515</v>
      </c>
      <c r="G203" s="241">
        <v>104444</v>
      </c>
      <c r="H203" s="240">
        <f>IF(D203=1,G203,0)</f>
        <v>104444</v>
      </c>
      <c r="I203" s="242">
        <f t="shared" ref="I203:I233" si="243">IF(D203=1,F203-H203,0)</f>
        <v>-90069.451317799481</v>
      </c>
      <c r="J203" s="230"/>
      <c r="K203" s="237">
        <f t="shared" si="241"/>
        <v>45839</v>
      </c>
      <c r="L203" s="243">
        <f t="shared" ref="L203:M203" si="244">C203</f>
        <v>45839</v>
      </c>
      <c r="M203" s="244">
        <f t="shared" si="244"/>
        <v>1</v>
      </c>
      <c r="N203" s="240">
        <f>IF(M203=1,'適正原価率表(仕入れお小遣い制度)'!$J$17,0)</f>
        <v>13097.379916333683</v>
      </c>
      <c r="O203" s="240">
        <f>IF(M203=1,N203,0)</f>
        <v>13097.379916333683</v>
      </c>
      <c r="P203" s="241">
        <v>102252</v>
      </c>
      <c r="Q203" s="240">
        <f>IF(M203=1,P203,0)</f>
        <v>102252</v>
      </c>
      <c r="R203" s="242">
        <f t="shared" ref="R203:R233" si="245">IF(D203=1,O203-Q203,0)</f>
        <v>-89154.620083666319</v>
      </c>
      <c r="S203" s="221"/>
      <c r="T203" s="245">
        <f>T199+1</f>
        <v>45839</v>
      </c>
      <c r="U203" s="221"/>
      <c r="V203" s="221"/>
      <c r="W203" s="221"/>
      <c r="X203" s="221"/>
      <c r="Y203" s="221"/>
      <c r="Z203" s="221"/>
    </row>
    <row r="204" spans="1:26" ht="18.75" customHeight="1" outlineLevel="1">
      <c r="A204" s="221"/>
      <c r="B204" s="237">
        <f t="shared" ref="B204:B233" si="246">B203+1</f>
        <v>45840</v>
      </c>
      <c r="C204" s="238">
        <f t="shared" si="242"/>
        <v>45840</v>
      </c>
      <c r="D204" s="239">
        <f>目標_2025R7!D203</f>
        <v>1</v>
      </c>
      <c r="E204" s="240">
        <f>IF(D204=1,'適正原価率表(仕入れお小遣い制度)'!$J$16,0)</f>
        <v>14374.548682200515</v>
      </c>
      <c r="F204" s="240">
        <f t="shared" ref="F204:F233" si="247">IF(D204=1,SUM($E$203:E204),0)</f>
        <v>28749.09736440103</v>
      </c>
      <c r="G204" s="241">
        <v>18947</v>
      </c>
      <c r="H204" s="240">
        <f t="shared" ref="H204:H233" si="248">IF(D204=1,SUM($G$203:G204),0)</f>
        <v>123391</v>
      </c>
      <c r="I204" s="242">
        <f t="shared" si="243"/>
        <v>-94641.902635598963</v>
      </c>
      <c r="J204" s="230"/>
      <c r="K204" s="237">
        <f t="shared" si="241"/>
        <v>45840</v>
      </c>
      <c r="L204" s="243">
        <f t="shared" ref="L204:M204" si="249">C204</f>
        <v>45840</v>
      </c>
      <c r="M204" s="244">
        <f t="shared" si="249"/>
        <v>1</v>
      </c>
      <c r="N204" s="240">
        <f>IF(M204=1,'適正原価率表(仕入れお小遣い制度)'!$J$17,0)</f>
        <v>13097.379916333683</v>
      </c>
      <c r="O204" s="240">
        <f t="shared" ref="O204:O233" si="250">IF(M204=1,SUM($N$203:N204),0)</f>
        <v>26194.759832667365</v>
      </c>
      <c r="P204" s="241">
        <v>1531</v>
      </c>
      <c r="Q204" s="240">
        <f t="shared" ref="Q204:Q233" si="251">IF(M204=1,SUM($P$203:P204),0)</f>
        <v>103783</v>
      </c>
      <c r="R204" s="242">
        <f t="shared" si="245"/>
        <v>-77588.240167332639</v>
      </c>
      <c r="S204" s="221"/>
      <c r="T204" s="245">
        <f t="shared" ref="T204:T233" si="252">T203+1</f>
        <v>45840</v>
      </c>
      <c r="U204" s="221"/>
      <c r="V204" s="221"/>
      <c r="W204" s="221"/>
      <c r="X204" s="221"/>
      <c r="Y204" s="221"/>
      <c r="Z204" s="221"/>
    </row>
    <row r="205" spans="1:26" ht="18.75" customHeight="1" outlineLevel="1">
      <c r="A205" s="221"/>
      <c r="B205" s="237">
        <f t="shared" si="246"/>
        <v>45841</v>
      </c>
      <c r="C205" s="238">
        <f t="shared" si="242"/>
        <v>45841</v>
      </c>
      <c r="D205" s="239">
        <f>目標_2025R7!D204</f>
        <v>1</v>
      </c>
      <c r="E205" s="240">
        <f>IF(D205=1,'適正原価率表(仕入れお小遣い制度)'!$J$16,0)</f>
        <v>14374.548682200515</v>
      </c>
      <c r="F205" s="240">
        <f t="shared" si="247"/>
        <v>43123.646046601541</v>
      </c>
      <c r="G205" s="241">
        <v>19587</v>
      </c>
      <c r="H205" s="240">
        <f t="shared" si="248"/>
        <v>142978</v>
      </c>
      <c r="I205" s="242">
        <f t="shared" si="243"/>
        <v>-99854.353953398459</v>
      </c>
      <c r="J205" s="230"/>
      <c r="K205" s="237">
        <f t="shared" si="241"/>
        <v>45841</v>
      </c>
      <c r="L205" s="243">
        <f t="shared" ref="L205:M205" si="253">C205</f>
        <v>45841</v>
      </c>
      <c r="M205" s="244">
        <f t="shared" si="253"/>
        <v>1</v>
      </c>
      <c r="N205" s="240">
        <f>IF(M205=1,'適正原価率表(仕入れお小遣い制度)'!$J$17,0)</f>
        <v>13097.379916333683</v>
      </c>
      <c r="O205" s="240">
        <f t="shared" si="250"/>
        <v>39292.139749001049</v>
      </c>
      <c r="P205" s="241">
        <v>12705</v>
      </c>
      <c r="Q205" s="240">
        <f t="shared" si="251"/>
        <v>116488</v>
      </c>
      <c r="R205" s="242">
        <f t="shared" si="245"/>
        <v>-77195.860250998958</v>
      </c>
      <c r="S205" s="221"/>
      <c r="T205" s="245">
        <f t="shared" si="252"/>
        <v>45841</v>
      </c>
      <c r="U205" s="221"/>
      <c r="V205" s="221"/>
      <c r="W205" s="221"/>
      <c r="X205" s="221"/>
      <c r="Y205" s="221"/>
      <c r="Z205" s="221"/>
    </row>
    <row r="206" spans="1:26" ht="18.75" customHeight="1" outlineLevel="1">
      <c r="A206" s="221"/>
      <c r="B206" s="237">
        <f t="shared" si="246"/>
        <v>45842</v>
      </c>
      <c r="C206" s="238">
        <f t="shared" si="242"/>
        <v>45842</v>
      </c>
      <c r="D206" s="239">
        <f>目標_2025R7!D205</f>
        <v>1</v>
      </c>
      <c r="E206" s="240">
        <f>IF(D206=1,'適正原価率表(仕入れお小遣い制度)'!$J$16,0)</f>
        <v>14374.548682200515</v>
      </c>
      <c r="F206" s="240">
        <f t="shared" si="247"/>
        <v>57498.19472880206</v>
      </c>
      <c r="G206" s="241">
        <v>18891</v>
      </c>
      <c r="H206" s="240">
        <f t="shared" si="248"/>
        <v>161869</v>
      </c>
      <c r="I206" s="242">
        <f t="shared" si="243"/>
        <v>-104370.80527119794</v>
      </c>
      <c r="J206" s="230"/>
      <c r="K206" s="237">
        <f t="shared" si="241"/>
        <v>45842</v>
      </c>
      <c r="L206" s="243">
        <f t="shared" ref="L206:M206" si="254">C206</f>
        <v>45842</v>
      </c>
      <c r="M206" s="244">
        <f t="shared" si="254"/>
        <v>1</v>
      </c>
      <c r="N206" s="240">
        <f>IF(M206=1,'適正原価率表(仕入れお小遣い制度)'!$J$17,0)</f>
        <v>13097.379916333683</v>
      </c>
      <c r="O206" s="240">
        <f t="shared" si="250"/>
        <v>52389.51966533473</v>
      </c>
      <c r="P206" s="241">
        <v>121481</v>
      </c>
      <c r="Q206" s="240">
        <f t="shared" si="251"/>
        <v>237969</v>
      </c>
      <c r="R206" s="242">
        <f t="shared" si="245"/>
        <v>-185579.48033466528</v>
      </c>
      <c r="S206" s="221"/>
      <c r="T206" s="245">
        <f t="shared" si="252"/>
        <v>45842</v>
      </c>
      <c r="U206" s="221"/>
      <c r="V206" s="221"/>
      <c r="W206" s="221"/>
      <c r="X206" s="221"/>
      <c r="Y206" s="221"/>
      <c r="Z206" s="221"/>
    </row>
    <row r="207" spans="1:26" ht="18.75" customHeight="1" outlineLevel="1">
      <c r="A207" s="221"/>
      <c r="B207" s="237">
        <f t="shared" si="246"/>
        <v>45843</v>
      </c>
      <c r="C207" s="238">
        <f t="shared" si="242"/>
        <v>45843</v>
      </c>
      <c r="D207" s="239">
        <f>目標_2025R7!D206</f>
        <v>1</v>
      </c>
      <c r="E207" s="240">
        <f>IF(D207=1,'適正原価率表(仕入れお小遣い制度)'!$J$16,0)</f>
        <v>14374.548682200515</v>
      </c>
      <c r="F207" s="240">
        <f t="shared" si="247"/>
        <v>71872.743411002579</v>
      </c>
      <c r="G207" s="241">
        <v>0</v>
      </c>
      <c r="H207" s="240">
        <f t="shared" si="248"/>
        <v>161869</v>
      </c>
      <c r="I207" s="242">
        <f t="shared" si="243"/>
        <v>-89996.256588997421</v>
      </c>
      <c r="J207" s="230"/>
      <c r="K207" s="237">
        <f t="shared" si="241"/>
        <v>45843</v>
      </c>
      <c r="L207" s="243">
        <f t="shared" ref="L207:M207" si="255">C207</f>
        <v>45843</v>
      </c>
      <c r="M207" s="244">
        <f t="shared" si="255"/>
        <v>1</v>
      </c>
      <c r="N207" s="240">
        <f>IF(M207=1,'適正原価率表(仕入れお小遣い制度)'!$J$17,0)</f>
        <v>13097.379916333683</v>
      </c>
      <c r="O207" s="240">
        <f t="shared" si="250"/>
        <v>65486.899581668411</v>
      </c>
      <c r="P207" s="241">
        <v>10917</v>
      </c>
      <c r="Q207" s="240">
        <f t="shared" si="251"/>
        <v>248886</v>
      </c>
      <c r="R207" s="242">
        <f t="shared" si="245"/>
        <v>-183399.1004183316</v>
      </c>
      <c r="S207" s="221"/>
      <c r="T207" s="245">
        <f t="shared" si="252"/>
        <v>45843</v>
      </c>
      <c r="U207" s="221"/>
      <c r="V207" s="221"/>
      <c r="W207" s="221"/>
      <c r="X207" s="221"/>
      <c r="Y207" s="221"/>
      <c r="Z207" s="221"/>
    </row>
    <row r="208" spans="1:26" ht="18.75" customHeight="1" outlineLevel="1">
      <c r="A208" s="221"/>
      <c r="B208" s="237">
        <f t="shared" si="246"/>
        <v>45844</v>
      </c>
      <c r="C208" s="238">
        <f t="shared" si="242"/>
        <v>45844</v>
      </c>
      <c r="D208" s="239">
        <f>目標_2025R7!D207</f>
        <v>1</v>
      </c>
      <c r="E208" s="240">
        <f>IF(D208=1,'適正原価率表(仕入れお小遣い制度)'!$J$16,0)</f>
        <v>14374.548682200515</v>
      </c>
      <c r="F208" s="240">
        <f t="shared" si="247"/>
        <v>86247.292093203097</v>
      </c>
      <c r="G208" s="241">
        <v>5487</v>
      </c>
      <c r="H208" s="240">
        <f t="shared" si="248"/>
        <v>167356</v>
      </c>
      <c r="I208" s="242">
        <f t="shared" si="243"/>
        <v>-81108.707906796903</v>
      </c>
      <c r="J208" s="230"/>
      <c r="K208" s="237">
        <f t="shared" si="241"/>
        <v>45844</v>
      </c>
      <c r="L208" s="243">
        <f t="shared" ref="L208:M208" si="256">C208</f>
        <v>45844</v>
      </c>
      <c r="M208" s="244">
        <f t="shared" si="256"/>
        <v>1</v>
      </c>
      <c r="N208" s="240">
        <f>IF(M208=1,'適正原価率表(仕入れお小遣い制度)'!$J$17,0)</f>
        <v>13097.379916333683</v>
      </c>
      <c r="O208" s="240">
        <f t="shared" si="250"/>
        <v>78584.279498002099</v>
      </c>
      <c r="P208" s="241">
        <v>0</v>
      </c>
      <c r="Q208" s="240">
        <f t="shared" si="251"/>
        <v>248886</v>
      </c>
      <c r="R208" s="242">
        <f t="shared" si="245"/>
        <v>-170301.72050199792</v>
      </c>
      <c r="S208" s="221"/>
      <c r="T208" s="245">
        <f t="shared" si="252"/>
        <v>45844</v>
      </c>
      <c r="U208" s="221"/>
      <c r="V208" s="221"/>
      <c r="W208" s="221"/>
      <c r="X208" s="221"/>
      <c r="Y208" s="221"/>
      <c r="Z208" s="221"/>
    </row>
    <row r="209" spans="1:26" ht="18.75" customHeight="1" outlineLevel="1">
      <c r="A209" s="221"/>
      <c r="B209" s="237">
        <f t="shared" si="246"/>
        <v>45845</v>
      </c>
      <c r="C209" s="238">
        <f t="shared" si="242"/>
        <v>45845</v>
      </c>
      <c r="D209" s="239">
        <f>目標_2025R7!D208</f>
        <v>0</v>
      </c>
      <c r="E209" s="240">
        <f>IF(D209=1,'適正原価率表(仕入れお小遣い制度)'!$J$16,0)</f>
        <v>0</v>
      </c>
      <c r="F209" s="240">
        <f t="shared" si="247"/>
        <v>0</v>
      </c>
      <c r="G209" s="241">
        <v>0</v>
      </c>
      <c r="H209" s="240">
        <f t="shared" si="248"/>
        <v>0</v>
      </c>
      <c r="I209" s="242">
        <f t="shared" si="243"/>
        <v>0</v>
      </c>
      <c r="J209" s="230"/>
      <c r="K209" s="237">
        <f t="shared" si="241"/>
        <v>45845</v>
      </c>
      <c r="L209" s="243">
        <f t="shared" ref="L209:M209" si="257">C209</f>
        <v>45845</v>
      </c>
      <c r="M209" s="244">
        <f t="shared" si="257"/>
        <v>0</v>
      </c>
      <c r="N209" s="240">
        <f>IF(M209=1,'適正原価率表(仕入れお小遣い制度)'!$J$17,0)</f>
        <v>0</v>
      </c>
      <c r="O209" s="240">
        <f t="shared" si="250"/>
        <v>0</v>
      </c>
      <c r="P209" s="241">
        <v>0</v>
      </c>
      <c r="Q209" s="240">
        <f t="shared" si="251"/>
        <v>0</v>
      </c>
      <c r="R209" s="242">
        <f t="shared" si="245"/>
        <v>0</v>
      </c>
      <c r="S209" s="221"/>
      <c r="T209" s="245">
        <f t="shared" si="252"/>
        <v>45845</v>
      </c>
      <c r="U209" s="221"/>
      <c r="V209" s="221"/>
      <c r="W209" s="221"/>
      <c r="X209" s="221"/>
      <c r="Y209" s="221"/>
      <c r="Z209" s="221"/>
    </row>
    <row r="210" spans="1:26" ht="18.75" customHeight="1" outlineLevel="1">
      <c r="A210" s="221"/>
      <c r="B210" s="237">
        <f t="shared" si="246"/>
        <v>45846</v>
      </c>
      <c r="C210" s="238">
        <f t="shared" si="242"/>
        <v>45846</v>
      </c>
      <c r="D210" s="239">
        <f>目標_2025R7!D209</f>
        <v>1</v>
      </c>
      <c r="E210" s="240">
        <f>IF(D210=1,'適正原価率表(仕入れお小遣い制度)'!$J$16,0)</f>
        <v>14374.548682200515</v>
      </c>
      <c r="F210" s="240">
        <f t="shared" si="247"/>
        <v>100621.84077540362</v>
      </c>
      <c r="G210" s="241">
        <v>0</v>
      </c>
      <c r="H210" s="240">
        <f t="shared" si="248"/>
        <v>167356</v>
      </c>
      <c r="I210" s="242">
        <f t="shared" si="243"/>
        <v>-66734.159224596384</v>
      </c>
      <c r="J210" s="230"/>
      <c r="K210" s="237">
        <f t="shared" si="241"/>
        <v>45846</v>
      </c>
      <c r="L210" s="243">
        <f t="shared" ref="L210:M210" si="258">C210</f>
        <v>45846</v>
      </c>
      <c r="M210" s="244">
        <f t="shared" si="258"/>
        <v>1</v>
      </c>
      <c r="N210" s="240">
        <f>IF(M210=1,'適正原価率表(仕入れお小遣い制度)'!$J$17,0)</f>
        <v>13097.379916333683</v>
      </c>
      <c r="O210" s="240">
        <f t="shared" si="250"/>
        <v>91681.65941433578</v>
      </c>
      <c r="P210" s="241">
        <v>0</v>
      </c>
      <c r="Q210" s="240">
        <f t="shared" si="251"/>
        <v>248886</v>
      </c>
      <c r="R210" s="242">
        <f t="shared" si="245"/>
        <v>-157204.34058566421</v>
      </c>
      <c r="S210" s="221"/>
      <c r="T210" s="245">
        <f t="shared" si="252"/>
        <v>45846</v>
      </c>
      <c r="U210" s="221"/>
      <c r="V210" s="221"/>
      <c r="W210" s="221"/>
      <c r="X210" s="221"/>
      <c r="Y210" s="221"/>
      <c r="Z210" s="221"/>
    </row>
    <row r="211" spans="1:26" ht="18.75" customHeight="1" outlineLevel="1">
      <c r="A211" s="221"/>
      <c r="B211" s="237">
        <f t="shared" si="246"/>
        <v>45847</v>
      </c>
      <c r="C211" s="238">
        <f t="shared" si="242"/>
        <v>45847</v>
      </c>
      <c r="D211" s="239">
        <f>目標_2025R7!D210</f>
        <v>1</v>
      </c>
      <c r="E211" s="240">
        <f>IF(D211=1,'適正原価率表(仕入れお小遣い制度)'!$J$16,0)</f>
        <v>14374.548682200515</v>
      </c>
      <c r="F211" s="240">
        <f t="shared" si="247"/>
        <v>114996.38945760413</v>
      </c>
      <c r="G211" s="241">
        <v>0</v>
      </c>
      <c r="H211" s="240">
        <f t="shared" si="248"/>
        <v>167356</v>
      </c>
      <c r="I211" s="242">
        <f t="shared" si="243"/>
        <v>-52359.610542395865</v>
      </c>
      <c r="J211" s="230"/>
      <c r="K211" s="237">
        <f t="shared" si="241"/>
        <v>45847</v>
      </c>
      <c r="L211" s="243">
        <f t="shared" ref="L211:M211" si="259">C211</f>
        <v>45847</v>
      </c>
      <c r="M211" s="244">
        <f t="shared" si="259"/>
        <v>1</v>
      </c>
      <c r="N211" s="240">
        <f>IF(M211=1,'適正原価率表(仕入れお小遣い制度)'!$J$17,0)</f>
        <v>13097.379916333683</v>
      </c>
      <c r="O211" s="240">
        <f t="shared" si="250"/>
        <v>104779.03933066946</v>
      </c>
      <c r="P211" s="241">
        <v>0</v>
      </c>
      <c r="Q211" s="240">
        <f t="shared" si="251"/>
        <v>248886</v>
      </c>
      <c r="R211" s="242">
        <f t="shared" si="245"/>
        <v>-144106.96066933055</v>
      </c>
      <c r="S211" s="221"/>
      <c r="T211" s="245">
        <f t="shared" si="252"/>
        <v>45847</v>
      </c>
      <c r="U211" s="221"/>
      <c r="V211" s="221"/>
      <c r="W211" s="221"/>
      <c r="X211" s="221"/>
      <c r="Y211" s="221"/>
      <c r="Z211" s="221"/>
    </row>
    <row r="212" spans="1:26" ht="18.75" customHeight="1" outlineLevel="1">
      <c r="A212" s="221"/>
      <c r="B212" s="237">
        <f t="shared" si="246"/>
        <v>45848</v>
      </c>
      <c r="C212" s="238">
        <f t="shared" si="242"/>
        <v>45848</v>
      </c>
      <c r="D212" s="239">
        <f>目標_2025R7!D211</f>
        <v>1</v>
      </c>
      <c r="E212" s="240">
        <f>IF(D212=1,'適正原価率表(仕入れお小遣い制度)'!$J$16,0)</f>
        <v>14374.548682200515</v>
      </c>
      <c r="F212" s="240">
        <f t="shared" si="247"/>
        <v>129370.93813980465</v>
      </c>
      <c r="G212" s="241">
        <v>0</v>
      </c>
      <c r="H212" s="240">
        <f t="shared" si="248"/>
        <v>167356</v>
      </c>
      <c r="I212" s="242">
        <f t="shared" si="243"/>
        <v>-37985.061860195347</v>
      </c>
      <c r="J212" s="230"/>
      <c r="K212" s="237">
        <f t="shared" si="241"/>
        <v>45848</v>
      </c>
      <c r="L212" s="243">
        <f t="shared" ref="L212:M212" si="260">C212</f>
        <v>45848</v>
      </c>
      <c r="M212" s="244">
        <f t="shared" si="260"/>
        <v>1</v>
      </c>
      <c r="N212" s="240">
        <f>IF(M212=1,'適正原価率表(仕入れお小遣い制度)'!$J$17,0)</f>
        <v>13097.379916333683</v>
      </c>
      <c r="O212" s="240">
        <f t="shared" si="250"/>
        <v>117876.41924700314</v>
      </c>
      <c r="P212" s="241">
        <v>0</v>
      </c>
      <c r="Q212" s="240">
        <f t="shared" si="251"/>
        <v>248886</v>
      </c>
      <c r="R212" s="242">
        <f t="shared" si="245"/>
        <v>-131009.58075299686</v>
      </c>
      <c r="S212" s="221"/>
      <c r="T212" s="245">
        <f t="shared" si="252"/>
        <v>45848</v>
      </c>
      <c r="U212" s="221"/>
      <c r="V212" s="221"/>
      <c r="W212" s="221"/>
      <c r="X212" s="221"/>
      <c r="Y212" s="221"/>
      <c r="Z212" s="221"/>
    </row>
    <row r="213" spans="1:26" ht="18.75" customHeight="1" outlineLevel="1">
      <c r="A213" s="221"/>
      <c r="B213" s="237">
        <f t="shared" si="246"/>
        <v>45849</v>
      </c>
      <c r="C213" s="238">
        <f t="shared" si="242"/>
        <v>45849</v>
      </c>
      <c r="D213" s="239">
        <f>目標_2025R7!D212</f>
        <v>1</v>
      </c>
      <c r="E213" s="240">
        <f>IF(D213=1,'適正原価率表(仕入れお小遣い制度)'!$J$16,0)</f>
        <v>14374.548682200515</v>
      </c>
      <c r="F213" s="240">
        <f t="shared" si="247"/>
        <v>143745.48682200516</v>
      </c>
      <c r="G213" s="241">
        <v>0</v>
      </c>
      <c r="H213" s="240">
        <f t="shared" si="248"/>
        <v>167356</v>
      </c>
      <c r="I213" s="242">
        <f t="shared" si="243"/>
        <v>-23610.513177994842</v>
      </c>
      <c r="J213" s="230"/>
      <c r="K213" s="237">
        <f t="shared" si="241"/>
        <v>45849</v>
      </c>
      <c r="L213" s="243">
        <f t="shared" ref="L213:M213" si="261">C213</f>
        <v>45849</v>
      </c>
      <c r="M213" s="244">
        <f t="shared" si="261"/>
        <v>1</v>
      </c>
      <c r="N213" s="240">
        <f>IF(M213=1,'適正原価率表(仕入れお小遣い制度)'!$J$17,0)</f>
        <v>13097.379916333683</v>
      </c>
      <c r="O213" s="240">
        <f t="shared" si="250"/>
        <v>130973.79916333682</v>
      </c>
      <c r="P213" s="241">
        <v>0</v>
      </c>
      <c r="Q213" s="240">
        <f t="shared" si="251"/>
        <v>248886</v>
      </c>
      <c r="R213" s="242">
        <f t="shared" si="245"/>
        <v>-117912.20083666318</v>
      </c>
      <c r="S213" s="221"/>
      <c r="T213" s="245">
        <f t="shared" si="252"/>
        <v>45849</v>
      </c>
      <c r="U213" s="221"/>
      <c r="V213" s="221"/>
      <c r="W213" s="221"/>
      <c r="X213" s="221"/>
      <c r="Y213" s="221"/>
      <c r="Z213" s="221"/>
    </row>
    <row r="214" spans="1:26" ht="18.75" customHeight="1" outlineLevel="1">
      <c r="A214" s="221"/>
      <c r="B214" s="237">
        <f t="shared" si="246"/>
        <v>45850</v>
      </c>
      <c r="C214" s="238">
        <f t="shared" si="242"/>
        <v>45850</v>
      </c>
      <c r="D214" s="239">
        <f>目標_2025R7!D213</f>
        <v>1</v>
      </c>
      <c r="E214" s="240">
        <f>IF(D214=1,'適正原価率表(仕入れお小遣い制度)'!$J$16,0)</f>
        <v>14374.548682200515</v>
      </c>
      <c r="F214" s="240">
        <f t="shared" si="247"/>
        <v>158120.03550420568</v>
      </c>
      <c r="G214" s="241">
        <v>0</v>
      </c>
      <c r="H214" s="240">
        <f t="shared" si="248"/>
        <v>167356</v>
      </c>
      <c r="I214" s="242">
        <f t="shared" si="243"/>
        <v>-9235.9644957943237</v>
      </c>
      <c r="J214" s="230"/>
      <c r="K214" s="237">
        <f t="shared" si="241"/>
        <v>45850</v>
      </c>
      <c r="L214" s="243">
        <f t="shared" ref="L214:M214" si="262">C214</f>
        <v>45850</v>
      </c>
      <c r="M214" s="244">
        <f t="shared" si="262"/>
        <v>1</v>
      </c>
      <c r="N214" s="240">
        <f>IF(M214=1,'適正原価率表(仕入れお小遣い制度)'!$J$17,0)</f>
        <v>13097.379916333683</v>
      </c>
      <c r="O214" s="240">
        <f t="shared" si="250"/>
        <v>144071.17907967052</v>
      </c>
      <c r="P214" s="241">
        <v>0</v>
      </c>
      <c r="Q214" s="240">
        <f t="shared" si="251"/>
        <v>248886</v>
      </c>
      <c r="R214" s="242">
        <f t="shared" si="245"/>
        <v>-104814.82092032948</v>
      </c>
      <c r="S214" s="221"/>
      <c r="T214" s="245">
        <f t="shared" si="252"/>
        <v>45850</v>
      </c>
      <c r="U214" s="221"/>
      <c r="V214" s="221"/>
      <c r="W214" s="221"/>
      <c r="X214" s="221"/>
      <c r="Y214" s="221"/>
      <c r="Z214" s="221"/>
    </row>
    <row r="215" spans="1:26" ht="18.75" customHeight="1" outlineLevel="1">
      <c r="A215" s="221"/>
      <c r="B215" s="237">
        <f t="shared" si="246"/>
        <v>45851</v>
      </c>
      <c r="C215" s="238">
        <f t="shared" si="242"/>
        <v>45851</v>
      </c>
      <c r="D215" s="239">
        <f>目標_2025R7!D214</f>
        <v>1</v>
      </c>
      <c r="E215" s="240">
        <f>IF(D215=1,'適正原価率表(仕入れお小遣い制度)'!$J$16,0)</f>
        <v>14374.548682200515</v>
      </c>
      <c r="F215" s="240">
        <f t="shared" si="247"/>
        <v>172494.58418640619</v>
      </c>
      <c r="G215" s="241">
        <v>0</v>
      </c>
      <c r="H215" s="240">
        <f t="shared" si="248"/>
        <v>167356</v>
      </c>
      <c r="I215" s="242">
        <f t="shared" si="243"/>
        <v>5138.5841864061949</v>
      </c>
      <c r="J215" s="230"/>
      <c r="K215" s="237">
        <f t="shared" si="241"/>
        <v>45851</v>
      </c>
      <c r="L215" s="243">
        <f t="shared" ref="L215:M215" si="263">C215</f>
        <v>45851</v>
      </c>
      <c r="M215" s="244">
        <f t="shared" si="263"/>
        <v>1</v>
      </c>
      <c r="N215" s="240">
        <f>IF(M215=1,'適正原価率表(仕入れお小遣い制度)'!$J$17,0)</f>
        <v>13097.379916333683</v>
      </c>
      <c r="O215" s="240">
        <f t="shared" si="250"/>
        <v>157168.5589960042</v>
      </c>
      <c r="P215" s="241">
        <v>0</v>
      </c>
      <c r="Q215" s="240">
        <f t="shared" si="251"/>
        <v>248886</v>
      </c>
      <c r="R215" s="242">
        <f t="shared" si="245"/>
        <v>-91717.441003995802</v>
      </c>
      <c r="S215" s="221"/>
      <c r="T215" s="245">
        <f t="shared" si="252"/>
        <v>45851</v>
      </c>
      <c r="U215" s="221"/>
      <c r="V215" s="221"/>
      <c r="W215" s="221"/>
      <c r="X215" s="221"/>
      <c r="Y215" s="221"/>
      <c r="Z215" s="221"/>
    </row>
    <row r="216" spans="1:26" ht="18.75" customHeight="1" outlineLevel="1">
      <c r="A216" s="221"/>
      <c r="B216" s="237">
        <f t="shared" si="246"/>
        <v>45852</v>
      </c>
      <c r="C216" s="238">
        <f t="shared" si="242"/>
        <v>45852</v>
      </c>
      <c r="D216" s="239">
        <f>目標_2025R7!D215</f>
        <v>0</v>
      </c>
      <c r="E216" s="240">
        <f>IF(D216=1,'適正原価率表(仕入れお小遣い制度)'!$J$16,0)</f>
        <v>0</v>
      </c>
      <c r="F216" s="240">
        <f t="shared" si="247"/>
        <v>0</v>
      </c>
      <c r="G216" s="241">
        <v>0</v>
      </c>
      <c r="H216" s="240">
        <f t="shared" si="248"/>
        <v>0</v>
      </c>
      <c r="I216" s="242">
        <f t="shared" si="243"/>
        <v>0</v>
      </c>
      <c r="J216" s="230"/>
      <c r="K216" s="237">
        <f t="shared" si="241"/>
        <v>45852</v>
      </c>
      <c r="L216" s="243">
        <f t="shared" ref="L216:M216" si="264">C216</f>
        <v>45852</v>
      </c>
      <c r="M216" s="244">
        <f t="shared" si="264"/>
        <v>0</v>
      </c>
      <c r="N216" s="240">
        <f>IF(M216=1,'適正原価率表(仕入れお小遣い制度)'!$J$17,0)</f>
        <v>0</v>
      </c>
      <c r="O216" s="240">
        <f t="shared" si="250"/>
        <v>0</v>
      </c>
      <c r="P216" s="241">
        <v>0</v>
      </c>
      <c r="Q216" s="240">
        <f t="shared" si="251"/>
        <v>0</v>
      </c>
      <c r="R216" s="242">
        <f t="shared" si="245"/>
        <v>0</v>
      </c>
      <c r="S216" s="221"/>
      <c r="T216" s="245">
        <f t="shared" si="252"/>
        <v>45852</v>
      </c>
      <c r="U216" s="221"/>
      <c r="V216" s="221"/>
      <c r="W216" s="221"/>
      <c r="X216" s="221"/>
      <c r="Y216" s="221"/>
      <c r="Z216" s="221"/>
    </row>
    <row r="217" spans="1:26" ht="18.75" customHeight="1" outlineLevel="1">
      <c r="A217" s="221"/>
      <c r="B217" s="237">
        <f t="shared" si="246"/>
        <v>45853</v>
      </c>
      <c r="C217" s="238">
        <f t="shared" si="242"/>
        <v>45853</v>
      </c>
      <c r="D217" s="239">
        <f>目標_2025R7!D216</f>
        <v>1</v>
      </c>
      <c r="E217" s="240">
        <f>IF(D217=1,'適正原価率表(仕入れお小遣い制度)'!$J$16,0)</f>
        <v>14374.548682200515</v>
      </c>
      <c r="F217" s="240">
        <f t="shared" si="247"/>
        <v>186869.13286860671</v>
      </c>
      <c r="G217" s="241">
        <v>0</v>
      </c>
      <c r="H217" s="240">
        <f t="shared" si="248"/>
        <v>167356</v>
      </c>
      <c r="I217" s="242">
        <f t="shared" si="243"/>
        <v>19513.132868606714</v>
      </c>
      <c r="J217" s="230"/>
      <c r="K217" s="237">
        <f t="shared" si="241"/>
        <v>45853</v>
      </c>
      <c r="L217" s="243">
        <f t="shared" ref="L217:M217" si="265">C217</f>
        <v>45853</v>
      </c>
      <c r="M217" s="244">
        <f t="shared" si="265"/>
        <v>1</v>
      </c>
      <c r="N217" s="240">
        <f>IF(M217=1,'適正原価率表(仕入れお小遣い制度)'!$J$17,0)</f>
        <v>13097.379916333683</v>
      </c>
      <c r="O217" s="240">
        <f t="shared" si="250"/>
        <v>170265.93891233788</v>
      </c>
      <c r="P217" s="241">
        <v>0</v>
      </c>
      <c r="Q217" s="240">
        <f t="shared" si="251"/>
        <v>248886</v>
      </c>
      <c r="R217" s="242">
        <f t="shared" si="245"/>
        <v>-78620.061087662121</v>
      </c>
      <c r="S217" s="221"/>
      <c r="T217" s="245">
        <f t="shared" si="252"/>
        <v>45853</v>
      </c>
      <c r="U217" s="221"/>
      <c r="V217" s="221"/>
      <c r="W217" s="221"/>
      <c r="X217" s="221"/>
      <c r="Y217" s="221"/>
      <c r="Z217" s="221"/>
    </row>
    <row r="218" spans="1:26" ht="18.75" customHeight="1" outlineLevel="1">
      <c r="A218" s="221"/>
      <c r="B218" s="237">
        <f t="shared" si="246"/>
        <v>45854</v>
      </c>
      <c r="C218" s="238">
        <f t="shared" si="242"/>
        <v>45854</v>
      </c>
      <c r="D218" s="239">
        <f>目標_2025R7!D217</f>
        <v>1</v>
      </c>
      <c r="E218" s="240">
        <f>IF(D218=1,'適正原価率表(仕入れお小遣い制度)'!$J$16,0)</f>
        <v>14374.548682200515</v>
      </c>
      <c r="F218" s="240">
        <f t="shared" si="247"/>
        <v>201243.68155080723</v>
      </c>
      <c r="G218" s="241">
        <v>0</v>
      </c>
      <c r="H218" s="240">
        <f t="shared" si="248"/>
        <v>167356</v>
      </c>
      <c r="I218" s="242">
        <f t="shared" si="243"/>
        <v>33887.681550807232</v>
      </c>
      <c r="J218" s="230"/>
      <c r="K218" s="237">
        <f t="shared" si="241"/>
        <v>45854</v>
      </c>
      <c r="L218" s="243">
        <f t="shared" ref="L218:M218" si="266">C218</f>
        <v>45854</v>
      </c>
      <c r="M218" s="244">
        <f t="shared" si="266"/>
        <v>1</v>
      </c>
      <c r="N218" s="240">
        <f>IF(M218=1,'適正原価率表(仕入れお小遣い制度)'!$J$17,0)</f>
        <v>13097.379916333683</v>
      </c>
      <c r="O218" s="240">
        <f t="shared" si="250"/>
        <v>183363.31882867156</v>
      </c>
      <c r="P218" s="241">
        <v>0</v>
      </c>
      <c r="Q218" s="240">
        <f t="shared" si="251"/>
        <v>248886</v>
      </c>
      <c r="R218" s="242">
        <f t="shared" si="245"/>
        <v>-65522.681171328441</v>
      </c>
      <c r="S218" s="221"/>
      <c r="T218" s="245">
        <f t="shared" si="252"/>
        <v>45854</v>
      </c>
      <c r="U218" s="221"/>
      <c r="V218" s="221"/>
      <c r="W218" s="221"/>
      <c r="X218" s="221"/>
      <c r="Y218" s="221"/>
      <c r="Z218" s="221"/>
    </row>
    <row r="219" spans="1:26" ht="18.75" customHeight="1" outlineLevel="1">
      <c r="A219" s="221"/>
      <c r="B219" s="237">
        <f t="shared" si="246"/>
        <v>45855</v>
      </c>
      <c r="C219" s="238">
        <f t="shared" si="242"/>
        <v>45855</v>
      </c>
      <c r="D219" s="239">
        <f>目標_2025R7!D218</f>
        <v>1</v>
      </c>
      <c r="E219" s="240">
        <f>IF(D219=1,'適正原価率表(仕入れお小遣い制度)'!$J$16,0)</f>
        <v>14374.548682200515</v>
      </c>
      <c r="F219" s="240">
        <f t="shared" si="247"/>
        <v>215618.23023300775</v>
      </c>
      <c r="G219" s="241">
        <v>0</v>
      </c>
      <c r="H219" s="240">
        <f t="shared" si="248"/>
        <v>167356</v>
      </c>
      <c r="I219" s="242">
        <f t="shared" si="243"/>
        <v>48262.230233007751</v>
      </c>
      <c r="J219" s="230"/>
      <c r="K219" s="237">
        <f t="shared" si="241"/>
        <v>45855</v>
      </c>
      <c r="L219" s="243">
        <f t="shared" ref="L219:M219" si="267">C219</f>
        <v>45855</v>
      </c>
      <c r="M219" s="244">
        <f t="shared" si="267"/>
        <v>1</v>
      </c>
      <c r="N219" s="240">
        <f>IF(M219=1,'適正原価率表(仕入れお小遣い制度)'!$J$17,0)</f>
        <v>13097.379916333683</v>
      </c>
      <c r="O219" s="240">
        <f t="shared" si="250"/>
        <v>196460.69874500524</v>
      </c>
      <c r="P219" s="241">
        <v>0</v>
      </c>
      <c r="Q219" s="240">
        <f t="shared" si="251"/>
        <v>248886</v>
      </c>
      <c r="R219" s="242">
        <f t="shared" si="245"/>
        <v>-52425.30125499476</v>
      </c>
      <c r="S219" s="221"/>
      <c r="T219" s="245">
        <f t="shared" si="252"/>
        <v>45855</v>
      </c>
      <c r="U219" s="221"/>
      <c r="V219" s="221"/>
      <c r="W219" s="221"/>
      <c r="X219" s="221"/>
      <c r="Y219" s="221"/>
      <c r="Z219" s="221"/>
    </row>
    <row r="220" spans="1:26" ht="18.75" customHeight="1" outlineLevel="1">
      <c r="A220" s="221"/>
      <c r="B220" s="237">
        <f t="shared" si="246"/>
        <v>45856</v>
      </c>
      <c r="C220" s="238">
        <f t="shared" si="242"/>
        <v>45856</v>
      </c>
      <c r="D220" s="239">
        <f>目標_2025R7!D219</f>
        <v>1</v>
      </c>
      <c r="E220" s="240">
        <f>IF(D220=1,'適正原価率表(仕入れお小遣い制度)'!$J$16,0)</f>
        <v>14374.548682200515</v>
      </c>
      <c r="F220" s="240">
        <f t="shared" si="247"/>
        <v>229992.77891520827</v>
      </c>
      <c r="G220" s="241">
        <v>0</v>
      </c>
      <c r="H220" s="240">
        <f t="shared" si="248"/>
        <v>167356</v>
      </c>
      <c r="I220" s="242">
        <f t="shared" si="243"/>
        <v>62636.77891520827</v>
      </c>
      <c r="J220" s="230"/>
      <c r="K220" s="237">
        <f t="shared" si="241"/>
        <v>45856</v>
      </c>
      <c r="L220" s="243">
        <f t="shared" ref="L220:M220" si="268">C220</f>
        <v>45856</v>
      </c>
      <c r="M220" s="244">
        <f t="shared" si="268"/>
        <v>1</v>
      </c>
      <c r="N220" s="240">
        <f>IF(M220=1,'適正原価率表(仕入れお小遣い制度)'!$J$17,0)</f>
        <v>13097.379916333683</v>
      </c>
      <c r="O220" s="240">
        <f t="shared" si="250"/>
        <v>209558.07866133892</v>
      </c>
      <c r="P220" s="241">
        <v>0</v>
      </c>
      <c r="Q220" s="240">
        <f t="shared" si="251"/>
        <v>248886</v>
      </c>
      <c r="R220" s="242">
        <f t="shared" si="245"/>
        <v>-39327.921338661079</v>
      </c>
      <c r="S220" s="221"/>
      <c r="T220" s="245">
        <f t="shared" si="252"/>
        <v>45856</v>
      </c>
      <c r="U220" s="221"/>
      <c r="V220" s="221"/>
      <c r="W220" s="221"/>
      <c r="X220" s="221"/>
      <c r="Y220" s="221"/>
      <c r="Z220" s="221"/>
    </row>
    <row r="221" spans="1:26" ht="18.75" customHeight="1" outlineLevel="1">
      <c r="A221" s="221"/>
      <c r="B221" s="237">
        <f t="shared" si="246"/>
        <v>45857</v>
      </c>
      <c r="C221" s="238">
        <f t="shared" si="242"/>
        <v>45857</v>
      </c>
      <c r="D221" s="239">
        <f>目標_2025R7!D220</f>
        <v>1</v>
      </c>
      <c r="E221" s="240">
        <f>IF(D221=1,'適正原価率表(仕入れお小遣い制度)'!$J$16,0)</f>
        <v>14374.548682200515</v>
      </c>
      <c r="F221" s="240">
        <f t="shared" si="247"/>
        <v>244367.32759740879</v>
      </c>
      <c r="G221" s="241">
        <v>0</v>
      </c>
      <c r="H221" s="240">
        <f t="shared" si="248"/>
        <v>167356</v>
      </c>
      <c r="I221" s="242">
        <f t="shared" si="243"/>
        <v>77011.327597408788</v>
      </c>
      <c r="J221" s="230"/>
      <c r="K221" s="237">
        <f t="shared" si="241"/>
        <v>45857</v>
      </c>
      <c r="L221" s="243">
        <f t="shared" ref="L221:M221" si="269">C221</f>
        <v>45857</v>
      </c>
      <c r="M221" s="244">
        <f t="shared" si="269"/>
        <v>1</v>
      </c>
      <c r="N221" s="240">
        <f>IF(M221=1,'適正原価率表(仕入れお小遣い制度)'!$J$17,0)</f>
        <v>13097.379916333683</v>
      </c>
      <c r="O221" s="240">
        <f t="shared" si="250"/>
        <v>222655.4585776726</v>
      </c>
      <c r="P221" s="241">
        <v>0</v>
      </c>
      <c r="Q221" s="240">
        <f t="shared" si="251"/>
        <v>248886</v>
      </c>
      <c r="R221" s="242">
        <f t="shared" si="245"/>
        <v>-26230.541422327398</v>
      </c>
      <c r="S221" s="221"/>
      <c r="T221" s="245">
        <f t="shared" si="252"/>
        <v>45857</v>
      </c>
      <c r="U221" s="221"/>
      <c r="V221" s="221"/>
      <c r="W221" s="221"/>
      <c r="X221" s="221"/>
      <c r="Y221" s="221"/>
      <c r="Z221" s="221"/>
    </row>
    <row r="222" spans="1:26" ht="18.75" customHeight="1" outlineLevel="1">
      <c r="A222" s="221"/>
      <c r="B222" s="237">
        <f t="shared" si="246"/>
        <v>45858</v>
      </c>
      <c r="C222" s="238">
        <f t="shared" si="242"/>
        <v>45858</v>
      </c>
      <c r="D222" s="239">
        <f>目標_2025R7!D221</f>
        <v>1</v>
      </c>
      <c r="E222" s="240">
        <f>IF(D222=1,'適正原価率表(仕入れお小遣い制度)'!$J$16,0)</f>
        <v>14374.548682200515</v>
      </c>
      <c r="F222" s="240">
        <f t="shared" si="247"/>
        <v>258741.87627960931</v>
      </c>
      <c r="G222" s="241">
        <v>0</v>
      </c>
      <c r="H222" s="240">
        <f t="shared" si="248"/>
        <v>167356</v>
      </c>
      <c r="I222" s="242">
        <f t="shared" si="243"/>
        <v>91385.876279609307</v>
      </c>
      <c r="J222" s="230"/>
      <c r="K222" s="237">
        <f t="shared" si="241"/>
        <v>45858</v>
      </c>
      <c r="L222" s="243">
        <f t="shared" ref="L222:M222" si="270">C222</f>
        <v>45858</v>
      </c>
      <c r="M222" s="244">
        <f t="shared" si="270"/>
        <v>1</v>
      </c>
      <c r="N222" s="240">
        <f>IF(M222=1,'適正原価率表(仕入れお小遣い制度)'!$J$17,0)</f>
        <v>13097.379916333683</v>
      </c>
      <c r="O222" s="240">
        <f t="shared" si="250"/>
        <v>235752.83849400628</v>
      </c>
      <c r="P222" s="241">
        <v>0</v>
      </c>
      <c r="Q222" s="240">
        <f t="shared" si="251"/>
        <v>248886</v>
      </c>
      <c r="R222" s="242">
        <f t="shared" si="245"/>
        <v>-13133.161505993718</v>
      </c>
      <c r="S222" s="221"/>
      <c r="T222" s="245">
        <f t="shared" si="252"/>
        <v>45858</v>
      </c>
      <c r="U222" s="221"/>
      <c r="V222" s="221"/>
      <c r="W222" s="221"/>
      <c r="X222" s="221"/>
      <c r="Y222" s="221"/>
      <c r="Z222" s="221"/>
    </row>
    <row r="223" spans="1:26" ht="18.75" customHeight="1" outlineLevel="1">
      <c r="A223" s="221"/>
      <c r="B223" s="237">
        <f t="shared" si="246"/>
        <v>45859</v>
      </c>
      <c r="C223" s="238">
        <f t="shared" si="242"/>
        <v>45859</v>
      </c>
      <c r="D223" s="239">
        <f>目標_2025R7!D222</f>
        <v>0</v>
      </c>
      <c r="E223" s="240">
        <f>IF(D223=1,'適正原価率表(仕入れお小遣い制度)'!$J$16,0)</f>
        <v>0</v>
      </c>
      <c r="F223" s="240">
        <f t="shared" si="247"/>
        <v>0</v>
      </c>
      <c r="G223" s="241">
        <v>0</v>
      </c>
      <c r="H223" s="240">
        <f t="shared" si="248"/>
        <v>0</v>
      </c>
      <c r="I223" s="242">
        <f t="shared" si="243"/>
        <v>0</v>
      </c>
      <c r="J223" s="230"/>
      <c r="K223" s="237">
        <f t="shared" si="241"/>
        <v>45859</v>
      </c>
      <c r="L223" s="243">
        <f t="shared" ref="L223:M223" si="271">C223</f>
        <v>45859</v>
      </c>
      <c r="M223" s="244">
        <f t="shared" si="271"/>
        <v>0</v>
      </c>
      <c r="N223" s="240">
        <f>IF(M223=1,'適正原価率表(仕入れお小遣い制度)'!$J$17,0)</f>
        <v>0</v>
      </c>
      <c r="O223" s="240">
        <f t="shared" si="250"/>
        <v>0</v>
      </c>
      <c r="P223" s="241">
        <v>0</v>
      </c>
      <c r="Q223" s="240">
        <f t="shared" si="251"/>
        <v>0</v>
      </c>
      <c r="R223" s="242">
        <f t="shared" si="245"/>
        <v>0</v>
      </c>
      <c r="S223" s="221"/>
      <c r="T223" s="245">
        <f t="shared" si="252"/>
        <v>45859</v>
      </c>
      <c r="U223" s="221"/>
      <c r="V223" s="221"/>
      <c r="W223" s="221"/>
      <c r="X223" s="221"/>
      <c r="Y223" s="221"/>
      <c r="Z223" s="221"/>
    </row>
    <row r="224" spans="1:26" ht="18.75" customHeight="1" outlineLevel="1">
      <c r="A224" s="221"/>
      <c r="B224" s="237">
        <f t="shared" si="246"/>
        <v>45860</v>
      </c>
      <c r="C224" s="238">
        <f t="shared" si="242"/>
        <v>45860</v>
      </c>
      <c r="D224" s="239">
        <f>目標_2025R7!D223</f>
        <v>0</v>
      </c>
      <c r="E224" s="240">
        <f>IF(D224=1,'適正原価率表(仕入れお小遣い制度)'!$J$16,0)</f>
        <v>0</v>
      </c>
      <c r="F224" s="240">
        <f t="shared" si="247"/>
        <v>0</v>
      </c>
      <c r="G224" s="241">
        <v>0</v>
      </c>
      <c r="H224" s="240">
        <f t="shared" si="248"/>
        <v>0</v>
      </c>
      <c r="I224" s="242">
        <f t="shared" si="243"/>
        <v>0</v>
      </c>
      <c r="J224" s="230"/>
      <c r="K224" s="237">
        <f t="shared" si="241"/>
        <v>45860</v>
      </c>
      <c r="L224" s="243">
        <f t="shared" ref="L224:M224" si="272">C224</f>
        <v>45860</v>
      </c>
      <c r="M224" s="244">
        <f t="shared" si="272"/>
        <v>0</v>
      </c>
      <c r="N224" s="240">
        <f>IF(M224=1,'適正原価率表(仕入れお小遣い制度)'!$J$17,0)</f>
        <v>0</v>
      </c>
      <c r="O224" s="240">
        <f t="shared" si="250"/>
        <v>0</v>
      </c>
      <c r="P224" s="241">
        <v>0</v>
      </c>
      <c r="Q224" s="240">
        <f t="shared" si="251"/>
        <v>0</v>
      </c>
      <c r="R224" s="242">
        <f t="shared" si="245"/>
        <v>0</v>
      </c>
      <c r="S224" s="221"/>
      <c r="T224" s="245">
        <f t="shared" si="252"/>
        <v>45860</v>
      </c>
      <c r="U224" s="221"/>
      <c r="V224" s="221"/>
      <c r="W224" s="221"/>
      <c r="X224" s="221"/>
      <c r="Y224" s="221"/>
      <c r="Z224" s="221"/>
    </row>
    <row r="225" spans="1:26" ht="18.75" customHeight="1" outlineLevel="1">
      <c r="A225" s="221"/>
      <c r="B225" s="237">
        <f t="shared" si="246"/>
        <v>45861</v>
      </c>
      <c r="C225" s="238">
        <f t="shared" si="242"/>
        <v>45861</v>
      </c>
      <c r="D225" s="239">
        <f>目標_2025R7!D224</f>
        <v>0</v>
      </c>
      <c r="E225" s="240">
        <f>IF(D225=1,'適正原価率表(仕入れお小遣い制度)'!$J$16,0)</f>
        <v>0</v>
      </c>
      <c r="F225" s="240">
        <f t="shared" si="247"/>
        <v>0</v>
      </c>
      <c r="G225" s="241">
        <v>0</v>
      </c>
      <c r="H225" s="240">
        <f t="shared" si="248"/>
        <v>0</v>
      </c>
      <c r="I225" s="242">
        <f t="shared" si="243"/>
        <v>0</v>
      </c>
      <c r="J225" s="230"/>
      <c r="K225" s="237">
        <f t="shared" si="241"/>
        <v>45861</v>
      </c>
      <c r="L225" s="243">
        <f t="shared" ref="L225:M225" si="273">C225</f>
        <v>45861</v>
      </c>
      <c r="M225" s="244">
        <f t="shared" si="273"/>
        <v>0</v>
      </c>
      <c r="N225" s="240">
        <f>IF(M225=1,'適正原価率表(仕入れお小遣い制度)'!$J$17,0)</f>
        <v>0</v>
      </c>
      <c r="O225" s="240">
        <f t="shared" si="250"/>
        <v>0</v>
      </c>
      <c r="P225" s="241">
        <v>0</v>
      </c>
      <c r="Q225" s="240">
        <f t="shared" si="251"/>
        <v>0</v>
      </c>
      <c r="R225" s="242">
        <f t="shared" si="245"/>
        <v>0</v>
      </c>
      <c r="S225" s="221"/>
      <c r="T225" s="245">
        <f t="shared" si="252"/>
        <v>45861</v>
      </c>
      <c r="U225" s="221"/>
      <c r="V225" s="221"/>
      <c r="W225" s="221"/>
      <c r="X225" s="221"/>
      <c r="Y225" s="221"/>
      <c r="Z225" s="221"/>
    </row>
    <row r="226" spans="1:26" ht="18.75" customHeight="1" outlineLevel="1">
      <c r="A226" s="221"/>
      <c r="B226" s="237">
        <f t="shared" si="246"/>
        <v>45862</v>
      </c>
      <c r="C226" s="238">
        <f t="shared" si="242"/>
        <v>45862</v>
      </c>
      <c r="D226" s="239">
        <f>目標_2025R7!D225</f>
        <v>1</v>
      </c>
      <c r="E226" s="240">
        <f>IF(D226=1,'適正原価率表(仕入れお小遣い制度)'!$J$16,0)</f>
        <v>14374.548682200515</v>
      </c>
      <c r="F226" s="240">
        <f t="shared" si="247"/>
        <v>273116.42496180983</v>
      </c>
      <c r="G226" s="241">
        <v>0</v>
      </c>
      <c r="H226" s="240">
        <f t="shared" si="248"/>
        <v>167356</v>
      </c>
      <c r="I226" s="242">
        <f t="shared" si="243"/>
        <v>105760.42496180983</v>
      </c>
      <c r="J226" s="230"/>
      <c r="K226" s="237">
        <f t="shared" si="241"/>
        <v>45862</v>
      </c>
      <c r="L226" s="243">
        <f t="shared" ref="L226:M226" si="274">C226</f>
        <v>45862</v>
      </c>
      <c r="M226" s="244">
        <f t="shared" si="274"/>
        <v>1</v>
      </c>
      <c r="N226" s="240">
        <f>IF(M226=1,'適正原価率表(仕入れお小遣い制度)'!$J$17,0)</f>
        <v>13097.379916333683</v>
      </c>
      <c r="O226" s="240">
        <f t="shared" si="250"/>
        <v>248850.21841033996</v>
      </c>
      <c r="P226" s="241">
        <v>0</v>
      </c>
      <c r="Q226" s="240">
        <f t="shared" si="251"/>
        <v>248886</v>
      </c>
      <c r="R226" s="242">
        <f t="shared" si="245"/>
        <v>-35.781589660036843</v>
      </c>
      <c r="S226" s="221"/>
      <c r="T226" s="245">
        <f t="shared" si="252"/>
        <v>45862</v>
      </c>
      <c r="U226" s="221"/>
      <c r="V226" s="221"/>
      <c r="W226" s="221"/>
      <c r="X226" s="221"/>
      <c r="Y226" s="221"/>
      <c r="Z226" s="221"/>
    </row>
    <row r="227" spans="1:26" ht="18.75" customHeight="1" outlineLevel="1">
      <c r="A227" s="221"/>
      <c r="B227" s="237">
        <f t="shared" si="246"/>
        <v>45863</v>
      </c>
      <c r="C227" s="238">
        <f t="shared" si="242"/>
        <v>45863</v>
      </c>
      <c r="D227" s="239">
        <f>目標_2025R7!D226</f>
        <v>1</v>
      </c>
      <c r="E227" s="240">
        <f>IF(D227=1,'適正原価率表(仕入れお小遣い制度)'!$J$16,0)</f>
        <v>14374.548682200515</v>
      </c>
      <c r="F227" s="240">
        <f t="shared" si="247"/>
        <v>287490.97364401032</v>
      </c>
      <c r="G227" s="241">
        <v>0</v>
      </c>
      <c r="H227" s="240">
        <f t="shared" si="248"/>
        <v>167356</v>
      </c>
      <c r="I227" s="242">
        <f t="shared" si="243"/>
        <v>120134.97364401032</v>
      </c>
      <c r="J227" s="230"/>
      <c r="K227" s="237">
        <f t="shared" si="241"/>
        <v>45863</v>
      </c>
      <c r="L227" s="243">
        <f t="shared" ref="L227:M227" si="275">C227</f>
        <v>45863</v>
      </c>
      <c r="M227" s="244">
        <f t="shared" si="275"/>
        <v>1</v>
      </c>
      <c r="N227" s="240">
        <f>IF(M227=1,'適正原価率表(仕入れお小遣い制度)'!$J$17,0)</f>
        <v>13097.379916333683</v>
      </c>
      <c r="O227" s="240">
        <f t="shared" si="250"/>
        <v>261947.59832667364</v>
      </c>
      <c r="P227" s="241">
        <v>0</v>
      </c>
      <c r="Q227" s="240">
        <f t="shared" si="251"/>
        <v>248886</v>
      </c>
      <c r="R227" s="242">
        <f t="shared" si="245"/>
        <v>13061.598326673644</v>
      </c>
      <c r="S227" s="221"/>
      <c r="T227" s="245">
        <f t="shared" si="252"/>
        <v>45863</v>
      </c>
      <c r="U227" s="221"/>
      <c r="V227" s="221"/>
      <c r="W227" s="221"/>
      <c r="X227" s="221"/>
      <c r="Y227" s="221"/>
      <c r="Z227" s="221"/>
    </row>
    <row r="228" spans="1:26" ht="18.75" customHeight="1" outlineLevel="1">
      <c r="A228" s="221"/>
      <c r="B228" s="237">
        <f t="shared" si="246"/>
        <v>45864</v>
      </c>
      <c r="C228" s="238">
        <f t="shared" si="242"/>
        <v>45864</v>
      </c>
      <c r="D228" s="239">
        <f>目標_2025R7!D227</f>
        <v>1</v>
      </c>
      <c r="E228" s="240">
        <f>IF(D228=1,'適正原価率表(仕入れお小遣い制度)'!$J$16,0)</f>
        <v>14374.548682200515</v>
      </c>
      <c r="F228" s="240">
        <f t="shared" si="247"/>
        <v>301865.5223262108</v>
      </c>
      <c r="G228" s="241">
        <v>0</v>
      </c>
      <c r="H228" s="240">
        <f t="shared" si="248"/>
        <v>167356</v>
      </c>
      <c r="I228" s="242">
        <f t="shared" si="243"/>
        <v>134509.5223262108</v>
      </c>
      <c r="J228" s="230"/>
      <c r="K228" s="237">
        <f t="shared" si="241"/>
        <v>45864</v>
      </c>
      <c r="L228" s="243">
        <f t="shared" ref="L228:M228" si="276">C228</f>
        <v>45864</v>
      </c>
      <c r="M228" s="244">
        <f t="shared" si="276"/>
        <v>1</v>
      </c>
      <c r="N228" s="240">
        <f>IF(M228=1,'適正原価率表(仕入れお小遣い制度)'!$J$17,0)</f>
        <v>13097.379916333683</v>
      </c>
      <c r="O228" s="240">
        <f t="shared" si="250"/>
        <v>275044.97824300732</v>
      </c>
      <c r="P228" s="241">
        <v>0</v>
      </c>
      <c r="Q228" s="240">
        <f t="shared" si="251"/>
        <v>248886</v>
      </c>
      <c r="R228" s="242">
        <f t="shared" si="245"/>
        <v>26158.978243007325</v>
      </c>
      <c r="S228" s="221"/>
      <c r="T228" s="245">
        <f t="shared" si="252"/>
        <v>45864</v>
      </c>
      <c r="U228" s="221"/>
      <c r="V228" s="221"/>
      <c r="W228" s="221"/>
      <c r="X228" s="221"/>
      <c r="Y228" s="221"/>
      <c r="Z228" s="221"/>
    </row>
    <row r="229" spans="1:26" ht="18.75" customHeight="1" outlineLevel="1">
      <c r="A229" s="221"/>
      <c r="B229" s="237">
        <f t="shared" si="246"/>
        <v>45865</v>
      </c>
      <c r="C229" s="238">
        <f t="shared" si="242"/>
        <v>45865</v>
      </c>
      <c r="D229" s="239">
        <f>目標_2025R7!D228</f>
        <v>1</v>
      </c>
      <c r="E229" s="240">
        <f>IF(D229=1,'適正原価率表(仕入れお小遣い制度)'!$J$16,0)</f>
        <v>14374.548682200515</v>
      </c>
      <c r="F229" s="240">
        <f t="shared" si="247"/>
        <v>316240.07100841129</v>
      </c>
      <c r="G229" s="241">
        <v>0</v>
      </c>
      <c r="H229" s="240">
        <f t="shared" si="248"/>
        <v>167356</v>
      </c>
      <c r="I229" s="242">
        <f t="shared" si="243"/>
        <v>148884.07100841129</v>
      </c>
      <c r="J229" s="230"/>
      <c r="K229" s="237">
        <f t="shared" si="241"/>
        <v>45865</v>
      </c>
      <c r="L229" s="243">
        <f t="shared" ref="L229:M229" si="277">C229</f>
        <v>45865</v>
      </c>
      <c r="M229" s="244">
        <f t="shared" si="277"/>
        <v>1</v>
      </c>
      <c r="N229" s="240">
        <f>IF(M229=1,'適正原価率表(仕入れお小遣い制度)'!$J$17,0)</f>
        <v>13097.379916333683</v>
      </c>
      <c r="O229" s="240">
        <f t="shared" si="250"/>
        <v>288142.35815934103</v>
      </c>
      <c r="P229" s="241">
        <v>0</v>
      </c>
      <c r="Q229" s="240">
        <f t="shared" si="251"/>
        <v>248886</v>
      </c>
      <c r="R229" s="242">
        <f t="shared" si="245"/>
        <v>39256.358159341034</v>
      </c>
      <c r="S229" s="221"/>
      <c r="T229" s="245">
        <f t="shared" si="252"/>
        <v>45865</v>
      </c>
      <c r="U229" s="221"/>
      <c r="V229" s="221"/>
      <c r="W229" s="221"/>
      <c r="X229" s="221"/>
      <c r="Y229" s="221"/>
      <c r="Z229" s="221"/>
    </row>
    <row r="230" spans="1:26" ht="18.75" customHeight="1" outlineLevel="1">
      <c r="A230" s="221"/>
      <c r="B230" s="237">
        <f t="shared" si="246"/>
        <v>45866</v>
      </c>
      <c r="C230" s="238">
        <f t="shared" si="242"/>
        <v>45866</v>
      </c>
      <c r="D230" s="239">
        <f>目標_2025R7!D229</f>
        <v>0</v>
      </c>
      <c r="E230" s="240">
        <f>IF(D230=1,'適正原価率表(仕入れお小遣い制度)'!$J$16,0)</f>
        <v>0</v>
      </c>
      <c r="F230" s="240">
        <f t="shared" si="247"/>
        <v>0</v>
      </c>
      <c r="G230" s="241">
        <v>0</v>
      </c>
      <c r="H230" s="240">
        <f t="shared" si="248"/>
        <v>0</v>
      </c>
      <c r="I230" s="242">
        <f t="shared" si="243"/>
        <v>0</v>
      </c>
      <c r="J230" s="230"/>
      <c r="K230" s="237">
        <f t="shared" si="241"/>
        <v>45866</v>
      </c>
      <c r="L230" s="243">
        <f t="shared" ref="L230:M230" si="278">C230</f>
        <v>45866</v>
      </c>
      <c r="M230" s="244">
        <f t="shared" si="278"/>
        <v>0</v>
      </c>
      <c r="N230" s="240">
        <f>IF(M230=1,'適正原価率表(仕入れお小遣い制度)'!$J$17,0)</f>
        <v>0</v>
      </c>
      <c r="O230" s="240">
        <f t="shared" si="250"/>
        <v>0</v>
      </c>
      <c r="P230" s="241">
        <v>0</v>
      </c>
      <c r="Q230" s="240">
        <f t="shared" si="251"/>
        <v>0</v>
      </c>
      <c r="R230" s="242">
        <f t="shared" si="245"/>
        <v>0</v>
      </c>
      <c r="S230" s="221"/>
      <c r="T230" s="245">
        <f t="shared" si="252"/>
        <v>45866</v>
      </c>
      <c r="U230" s="221"/>
      <c r="V230" s="221"/>
      <c r="W230" s="221"/>
      <c r="X230" s="221"/>
      <c r="Y230" s="221"/>
      <c r="Z230" s="221"/>
    </row>
    <row r="231" spans="1:26" ht="18.75" customHeight="1" outlineLevel="1">
      <c r="A231" s="221"/>
      <c r="B231" s="237">
        <f t="shared" si="246"/>
        <v>45867</v>
      </c>
      <c r="C231" s="238">
        <f t="shared" si="242"/>
        <v>45867</v>
      </c>
      <c r="D231" s="239">
        <f>目標_2025R7!D230</f>
        <v>1</v>
      </c>
      <c r="E231" s="240">
        <f>IF(D231=1,'適正原価率表(仕入れお小遣い制度)'!$J$16,0)</f>
        <v>14374.548682200515</v>
      </c>
      <c r="F231" s="240">
        <f t="shared" si="247"/>
        <v>330614.61969061178</v>
      </c>
      <c r="G231" s="241">
        <v>0</v>
      </c>
      <c r="H231" s="240">
        <f t="shared" si="248"/>
        <v>167356</v>
      </c>
      <c r="I231" s="242">
        <f t="shared" si="243"/>
        <v>163258.61969061178</v>
      </c>
      <c r="J231" s="230"/>
      <c r="K231" s="237">
        <f t="shared" si="241"/>
        <v>45867</v>
      </c>
      <c r="L231" s="243">
        <f t="shared" ref="L231:M231" si="279">C231</f>
        <v>45867</v>
      </c>
      <c r="M231" s="244">
        <f t="shared" si="279"/>
        <v>1</v>
      </c>
      <c r="N231" s="240">
        <f>IF(M231=1,'適正原価率表(仕入れお小遣い制度)'!$J$17,0)</f>
        <v>13097.379916333683</v>
      </c>
      <c r="O231" s="240">
        <f t="shared" si="250"/>
        <v>301239.73807567474</v>
      </c>
      <c r="P231" s="241">
        <v>0</v>
      </c>
      <c r="Q231" s="240">
        <f t="shared" si="251"/>
        <v>248886</v>
      </c>
      <c r="R231" s="242">
        <f t="shared" si="245"/>
        <v>52353.738075674744</v>
      </c>
      <c r="S231" s="221"/>
      <c r="T231" s="245">
        <f t="shared" si="252"/>
        <v>45867</v>
      </c>
      <c r="U231" s="221"/>
      <c r="V231" s="221"/>
      <c r="W231" s="221"/>
      <c r="X231" s="221"/>
      <c r="Y231" s="221"/>
      <c r="Z231" s="221"/>
    </row>
    <row r="232" spans="1:26" ht="18.75" customHeight="1" outlineLevel="1">
      <c r="A232" s="221"/>
      <c r="B232" s="237">
        <f t="shared" si="246"/>
        <v>45868</v>
      </c>
      <c r="C232" s="238">
        <f t="shared" si="242"/>
        <v>45868</v>
      </c>
      <c r="D232" s="239">
        <f>目標_2025R7!D231</f>
        <v>1</v>
      </c>
      <c r="E232" s="240">
        <f>IF(D232=1,'適正原価率表(仕入れお小遣い制度)'!$J$16,0)</f>
        <v>14374.548682200515</v>
      </c>
      <c r="F232" s="240">
        <f t="shared" si="247"/>
        <v>344989.16837281227</v>
      </c>
      <c r="G232" s="241">
        <v>0</v>
      </c>
      <c r="H232" s="240">
        <f t="shared" si="248"/>
        <v>167356</v>
      </c>
      <c r="I232" s="242">
        <f t="shared" si="243"/>
        <v>177633.16837281227</v>
      </c>
      <c r="J232" s="230"/>
      <c r="K232" s="237">
        <f t="shared" si="241"/>
        <v>45868</v>
      </c>
      <c r="L232" s="243">
        <f t="shared" ref="L232:M232" si="280">C232</f>
        <v>45868</v>
      </c>
      <c r="M232" s="244">
        <f t="shared" si="280"/>
        <v>1</v>
      </c>
      <c r="N232" s="240">
        <f>IF(M232=1,'適正原価率表(仕入れお小遣い制度)'!$J$17,0)</f>
        <v>13097.379916333683</v>
      </c>
      <c r="O232" s="240">
        <f t="shared" si="250"/>
        <v>314337.11799200845</v>
      </c>
      <c r="P232" s="241">
        <v>0</v>
      </c>
      <c r="Q232" s="240">
        <f t="shared" si="251"/>
        <v>248886</v>
      </c>
      <c r="R232" s="242">
        <f t="shared" si="245"/>
        <v>65451.117992008454</v>
      </c>
      <c r="S232" s="221"/>
      <c r="T232" s="245">
        <f t="shared" si="252"/>
        <v>45868</v>
      </c>
      <c r="U232" s="221"/>
      <c r="V232" s="221"/>
      <c r="W232" s="221"/>
      <c r="X232" s="221"/>
      <c r="Y232" s="221"/>
      <c r="Z232" s="221"/>
    </row>
    <row r="233" spans="1:26" ht="18.75" customHeight="1" outlineLevel="1">
      <c r="A233" s="221"/>
      <c r="B233" s="237">
        <f t="shared" si="246"/>
        <v>45869</v>
      </c>
      <c r="C233" s="238">
        <f t="shared" si="242"/>
        <v>45869</v>
      </c>
      <c r="D233" s="239">
        <f>目標_2025R7!D232</f>
        <v>1</v>
      </c>
      <c r="E233" s="240">
        <f>IF(D233=1,'適正原価率表(仕入れお小遣い制度)'!$J$16,0)</f>
        <v>14374.548682200515</v>
      </c>
      <c r="F233" s="240">
        <f t="shared" si="247"/>
        <v>359363.71705501276</v>
      </c>
      <c r="G233" s="241">
        <v>0</v>
      </c>
      <c r="H233" s="240">
        <f t="shared" si="248"/>
        <v>167356</v>
      </c>
      <c r="I233" s="242">
        <f t="shared" si="243"/>
        <v>192007.71705501276</v>
      </c>
      <c r="J233" s="230"/>
      <c r="K233" s="237">
        <f t="shared" si="241"/>
        <v>45869</v>
      </c>
      <c r="L233" s="243">
        <f t="shared" ref="L233:M233" si="281">C233</f>
        <v>45869</v>
      </c>
      <c r="M233" s="244">
        <f t="shared" si="281"/>
        <v>1</v>
      </c>
      <c r="N233" s="240">
        <f>IF(M233=1,'適正原価率表(仕入れお小遣い制度)'!$J$17,0)</f>
        <v>13097.379916333683</v>
      </c>
      <c r="O233" s="240">
        <f t="shared" si="250"/>
        <v>327434.49790834216</v>
      </c>
      <c r="P233" s="241">
        <v>0</v>
      </c>
      <c r="Q233" s="240">
        <f t="shared" si="251"/>
        <v>248886</v>
      </c>
      <c r="R233" s="242">
        <f t="shared" si="245"/>
        <v>78548.497908342164</v>
      </c>
      <c r="S233" s="221"/>
      <c r="T233" s="245">
        <f t="shared" si="252"/>
        <v>45869</v>
      </c>
      <c r="U233" s="221"/>
      <c r="V233" s="221"/>
      <c r="W233" s="221"/>
      <c r="X233" s="221"/>
      <c r="Y233" s="221"/>
      <c r="Z233" s="221"/>
    </row>
    <row r="234" spans="1:26" ht="18.75" customHeight="1" outlineLevel="1">
      <c r="A234" s="221"/>
      <c r="B234" s="561" t="s">
        <v>176</v>
      </c>
      <c r="C234" s="486"/>
      <c r="D234" s="483"/>
      <c r="E234" s="247">
        <f>SUM(E203:E233)</f>
        <v>359363.71705501276</v>
      </c>
      <c r="F234" s="248"/>
      <c r="G234" s="249"/>
      <c r="H234" s="249"/>
      <c r="I234" s="249"/>
      <c r="J234" s="230"/>
      <c r="K234" s="561" t="s">
        <v>176</v>
      </c>
      <c r="L234" s="486"/>
      <c r="M234" s="483"/>
      <c r="N234" s="247">
        <f>SUM(N203:N233)</f>
        <v>327434.49790834216</v>
      </c>
      <c r="O234" s="248"/>
      <c r="P234" s="249"/>
      <c r="Q234" s="249"/>
      <c r="R234" s="249"/>
      <c r="S234" s="221"/>
      <c r="T234" s="221"/>
      <c r="U234" s="221"/>
      <c r="V234" s="221"/>
      <c r="W234" s="221"/>
      <c r="X234" s="221"/>
      <c r="Y234" s="221"/>
      <c r="Z234" s="221"/>
    </row>
    <row r="235" spans="1:26" ht="18.75" customHeight="1">
      <c r="A235" s="221"/>
      <c r="B235" s="221"/>
      <c r="C235" s="255"/>
      <c r="D235" s="255"/>
      <c r="E235" s="221"/>
      <c r="F235" s="221"/>
      <c r="G235" s="221"/>
      <c r="H235" s="221"/>
      <c r="I235" s="221"/>
      <c r="J235" s="221"/>
      <c r="K235" s="221"/>
      <c r="L235" s="255"/>
      <c r="M235" s="255"/>
      <c r="N235" s="221"/>
      <c r="O235" s="221"/>
      <c r="P235" s="221"/>
      <c r="Q235" s="221"/>
      <c r="R235" s="221"/>
      <c r="S235" s="221"/>
      <c r="T235" s="221"/>
      <c r="U235" s="221"/>
      <c r="V235" s="221"/>
      <c r="W235" s="221"/>
      <c r="X235" s="221"/>
      <c r="Y235" s="221"/>
      <c r="Z235" s="221"/>
    </row>
    <row r="236" spans="1:26" ht="18.75" customHeight="1">
      <c r="A236" s="232"/>
      <c r="B236" s="562" t="s">
        <v>59</v>
      </c>
      <c r="C236" s="486"/>
      <c r="D236" s="483"/>
      <c r="E236" s="252" t="s">
        <v>168</v>
      </c>
      <c r="F236" s="253" t="s">
        <v>169</v>
      </c>
      <c r="G236" s="253" t="s">
        <v>170</v>
      </c>
      <c r="H236" s="253" t="s">
        <v>171</v>
      </c>
      <c r="I236" s="253" t="s">
        <v>19</v>
      </c>
      <c r="J236" s="236"/>
      <c r="K236" s="562" t="str">
        <f t="shared" ref="K236:K267" si="282">B236</f>
        <v>8月</v>
      </c>
      <c r="L236" s="486"/>
      <c r="M236" s="483"/>
      <c r="N236" s="252" t="s">
        <v>172</v>
      </c>
      <c r="O236" s="253" t="s">
        <v>173</v>
      </c>
      <c r="P236" s="253" t="s">
        <v>174</v>
      </c>
      <c r="Q236" s="253" t="s">
        <v>175</v>
      </c>
      <c r="R236" s="253" t="s">
        <v>19</v>
      </c>
      <c r="S236" s="232"/>
      <c r="T236" s="232"/>
      <c r="U236" s="232"/>
      <c r="V236" s="232"/>
      <c r="W236" s="232"/>
      <c r="X236" s="232"/>
      <c r="Y236" s="232"/>
      <c r="Z236" s="232"/>
    </row>
    <row r="237" spans="1:26" ht="18.75" customHeight="1" outlineLevel="1">
      <c r="A237" s="221"/>
      <c r="B237" s="237">
        <f>B233+1</f>
        <v>45870</v>
      </c>
      <c r="C237" s="238">
        <f t="shared" ref="C237:C267" si="283">B237</f>
        <v>45870</v>
      </c>
      <c r="D237" s="239">
        <f>目標_2025R7!D233</f>
        <v>1</v>
      </c>
      <c r="E237" s="240">
        <f>IF(D237=1,'適正原価率表(仕入れお小遣い制度)'!$J$18,0)</f>
        <v>13106.200602508516</v>
      </c>
      <c r="F237" s="240">
        <f>IF(D237=1,E237,0)</f>
        <v>13106.200602508516</v>
      </c>
      <c r="G237" s="241">
        <v>102384</v>
      </c>
      <c r="H237" s="240">
        <f>IF(D237=1,G237,0)</f>
        <v>102384</v>
      </c>
      <c r="I237" s="242">
        <f t="shared" ref="I237:I267" si="284">IF(D237=1,F237-H237,0)</f>
        <v>-89277.799397491486</v>
      </c>
      <c r="J237" s="230"/>
      <c r="K237" s="237">
        <f t="shared" si="282"/>
        <v>45870</v>
      </c>
      <c r="L237" s="243">
        <f t="shared" ref="L237:M237" si="285">C237</f>
        <v>45870</v>
      </c>
      <c r="M237" s="244">
        <f t="shared" si="285"/>
        <v>1</v>
      </c>
      <c r="N237" s="240">
        <f>IF(M237=1,'適正原価率表(仕入れお小遣い制度)'!$J$19,0)</f>
        <v>11881.089632691919</v>
      </c>
      <c r="O237" s="240">
        <f>IF(M237=1,N237,0)</f>
        <v>11881.089632691919</v>
      </c>
      <c r="P237" s="241">
        <v>69836</v>
      </c>
      <c r="Q237" s="240">
        <f>IF(M237=1,P237,0)</f>
        <v>69836</v>
      </c>
      <c r="R237" s="242">
        <f t="shared" ref="R237:R267" si="286">IF(D237=1,O237-Q237,0)</f>
        <v>-57954.910367308083</v>
      </c>
      <c r="S237" s="221"/>
      <c r="T237" s="245">
        <f>T233+1</f>
        <v>45870</v>
      </c>
      <c r="U237" s="221"/>
      <c r="V237" s="221"/>
      <c r="W237" s="221"/>
      <c r="X237" s="221"/>
      <c r="Y237" s="221"/>
      <c r="Z237" s="221"/>
    </row>
    <row r="238" spans="1:26" ht="18.75" customHeight="1" outlineLevel="1">
      <c r="A238" s="221"/>
      <c r="B238" s="237">
        <f t="shared" ref="B238:B267" si="287">B237+1</f>
        <v>45871</v>
      </c>
      <c r="C238" s="238">
        <f t="shared" si="283"/>
        <v>45871</v>
      </c>
      <c r="D238" s="239">
        <f>目標_2025R7!D234</f>
        <v>1</v>
      </c>
      <c r="E238" s="240">
        <f>IF(D238=1,'適正原価率表(仕入れお小遣い制度)'!$J$18,0)</f>
        <v>13106.200602508516</v>
      </c>
      <c r="F238" s="240">
        <f t="shared" ref="F238:F267" si="288">IF(D238=1,SUM($E$237:E238),0)</f>
        <v>26212.401205017031</v>
      </c>
      <c r="G238" s="241">
        <v>17920</v>
      </c>
      <c r="H238" s="240">
        <f t="shared" ref="H238:H267" si="289">IF(D238=1,SUM($G$237:G238),0)</f>
        <v>120304</v>
      </c>
      <c r="I238" s="242">
        <f t="shared" si="284"/>
        <v>-94091.598794982972</v>
      </c>
      <c r="J238" s="230"/>
      <c r="K238" s="237">
        <f t="shared" si="282"/>
        <v>45871</v>
      </c>
      <c r="L238" s="243">
        <f t="shared" ref="L238:M238" si="290">C238</f>
        <v>45871</v>
      </c>
      <c r="M238" s="244">
        <f t="shared" si="290"/>
        <v>1</v>
      </c>
      <c r="N238" s="240">
        <f>IF(M238=1,'適正原価率表(仕入れお小遣い制度)'!$J$19,0)</f>
        <v>11881.089632691919</v>
      </c>
      <c r="O238" s="240">
        <f t="shared" ref="O238:O267" si="291">IF(M238=1,SUM($N$237:N238),0)</f>
        <v>23762.179265383838</v>
      </c>
      <c r="P238" s="241">
        <v>31350</v>
      </c>
      <c r="Q238" s="240">
        <f t="shared" ref="Q238:Q267" si="292">IF(M238=1,SUM($P$237:P238),0)</f>
        <v>101186</v>
      </c>
      <c r="R238" s="242">
        <f t="shared" si="286"/>
        <v>-77423.820734616165</v>
      </c>
      <c r="S238" s="221"/>
      <c r="T238" s="245">
        <f t="shared" ref="T238:T267" si="293">T237+1</f>
        <v>45871</v>
      </c>
      <c r="U238" s="221"/>
      <c r="V238" s="221"/>
      <c r="W238" s="221"/>
      <c r="X238" s="221"/>
      <c r="Y238" s="221"/>
      <c r="Z238" s="221"/>
    </row>
    <row r="239" spans="1:26" ht="18.75" customHeight="1" outlineLevel="1">
      <c r="A239" s="221"/>
      <c r="B239" s="237">
        <f t="shared" si="287"/>
        <v>45872</v>
      </c>
      <c r="C239" s="238">
        <f t="shared" si="283"/>
        <v>45872</v>
      </c>
      <c r="D239" s="239">
        <f>目標_2025R7!D235</f>
        <v>0</v>
      </c>
      <c r="E239" s="240">
        <f>IF(D239=1,'適正原価率表(仕入れお小遣い制度)'!$J$18,0)</f>
        <v>0</v>
      </c>
      <c r="F239" s="240">
        <f t="shared" si="288"/>
        <v>0</v>
      </c>
      <c r="G239" s="241">
        <v>0</v>
      </c>
      <c r="H239" s="240">
        <f t="shared" si="289"/>
        <v>0</v>
      </c>
      <c r="I239" s="242">
        <f t="shared" si="284"/>
        <v>0</v>
      </c>
      <c r="J239" s="230"/>
      <c r="K239" s="237">
        <f t="shared" si="282"/>
        <v>45872</v>
      </c>
      <c r="L239" s="243">
        <f t="shared" ref="L239:M239" si="294">C239</f>
        <v>45872</v>
      </c>
      <c r="M239" s="244">
        <f t="shared" si="294"/>
        <v>0</v>
      </c>
      <c r="N239" s="240">
        <f>IF(M239=1,'適正原価率表(仕入れお小遣い制度)'!$J$19,0)</f>
        <v>0</v>
      </c>
      <c r="O239" s="240">
        <f t="shared" si="291"/>
        <v>0</v>
      </c>
      <c r="P239" s="241">
        <v>0</v>
      </c>
      <c r="Q239" s="240">
        <f t="shared" si="292"/>
        <v>0</v>
      </c>
      <c r="R239" s="242">
        <f t="shared" si="286"/>
        <v>0</v>
      </c>
      <c r="S239" s="221"/>
      <c r="T239" s="245">
        <f t="shared" si="293"/>
        <v>45872</v>
      </c>
      <c r="U239" s="221"/>
      <c r="V239" s="221"/>
      <c r="W239" s="221"/>
      <c r="X239" s="221"/>
      <c r="Y239" s="221"/>
      <c r="Z239" s="221"/>
    </row>
    <row r="240" spans="1:26" ht="18.75" customHeight="1" outlineLevel="1">
      <c r="A240" s="221"/>
      <c r="B240" s="237">
        <f t="shared" si="287"/>
        <v>45873</v>
      </c>
      <c r="C240" s="238">
        <f t="shared" si="283"/>
        <v>45873</v>
      </c>
      <c r="D240" s="239">
        <f>目標_2025R7!D236</f>
        <v>1</v>
      </c>
      <c r="E240" s="240">
        <f>IF(D240=1,'適正原価率表(仕入れお小遣い制度)'!$J$18,0)</f>
        <v>13106.200602508516</v>
      </c>
      <c r="F240" s="240">
        <f t="shared" si="288"/>
        <v>39318.601807525549</v>
      </c>
      <c r="G240" s="241">
        <v>29908</v>
      </c>
      <c r="H240" s="240">
        <f t="shared" si="289"/>
        <v>150212</v>
      </c>
      <c r="I240" s="242">
        <f t="shared" si="284"/>
        <v>-110893.39819247444</v>
      </c>
      <c r="J240" s="230"/>
      <c r="K240" s="237">
        <f t="shared" si="282"/>
        <v>45873</v>
      </c>
      <c r="L240" s="243">
        <f t="shared" ref="L240:M240" si="295">C240</f>
        <v>45873</v>
      </c>
      <c r="M240" s="244">
        <f t="shared" si="295"/>
        <v>1</v>
      </c>
      <c r="N240" s="240">
        <f>IF(M240=1,'適正原価率表(仕入れお小遣い制度)'!$J$19,0)</f>
        <v>11881.089632691919</v>
      </c>
      <c r="O240" s="240">
        <f t="shared" si="291"/>
        <v>35643.268898075759</v>
      </c>
      <c r="P240" s="241">
        <v>448</v>
      </c>
      <c r="Q240" s="240">
        <f t="shared" si="292"/>
        <v>101634</v>
      </c>
      <c r="R240" s="242">
        <f t="shared" si="286"/>
        <v>-65990.731101924233</v>
      </c>
      <c r="S240" s="221"/>
      <c r="T240" s="245">
        <f t="shared" si="293"/>
        <v>45873</v>
      </c>
      <c r="U240" s="221"/>
      <c r="V240" s="221"/>
      <c r="W240" s="221"/>
      <c r="X240" s="221"/>
      <c r="Y240" s="221"/>
      <c r="Z240" s="221"/>
    </row>
    <row r="241" spans="1:26" ht="18.75" customHeight="1" outlineLevel="1">
      <c r="A241" s="221"/>
      <c r="B241" s="237">
        <f t="shared" si="287"/>
        <v>45874</v>
      </c>
      <c r="C241" s="238">
        <f t="shared" si="283"/>
        <v>45874</v>
      </c>
      <c r="D241" s="239">
        <f>目標_2025R7!D237</f>
        <v>1</v>
      </c>
      <c r="E241" s="240">
        <f>IF(D241=1,'適正原価率表(仕入れお小遣い制度)'!$J$18,0)</f>
        <v>13106.200602508516</v>
      </c>
      <c r="F241" s="240">
        <f t="shared" si="288"/>
        <v>52424.802410034063</v>
      </c>
      <c r="G241" s="241">
        <v>11022</v>
      </c>
      <c r="H241" s="240">
        <f t="shared" si="289"/>
        <v>161234</v>
      </c>
      <c r="I241" s="242">
        <f t="shared" si="284"/>
        <v>-108809.19758996594</v>
      </c>
      <c r="J241" s="230"/>
      <c r="K241" s="237">
        <f t="shared" si="282"/>
        <v>45874</v>
      </c>
      <c r="L241" s="243">
        <f t="shared" ref="L241:M241" si="296">C241</f>
        <v>45874</v>
      </c>
      <c r="M241" s="244">
        <f t="shared" si="296"/>
        <v>1</v>
      </c>
      <c r="N241" s="240">
        <f>IF(M241=1,'適正原価率表(仕入れお小遣い制度)'!$J$19,0)</f>
        <v>11881.089632691919</v>
      </c>
      <c r="O241" s="240">
        <f t="shared" si="291"/>
        <v>47524.358530767677</v>
      </c>
      <c r="P241" s="241">
        <v>56925</v>
      </c>
      <c r="Q241" s="240">
        <f t="shared" si="292"/>
        <v>158559</v>
      </c>
      <c r="R241" s="242">
        <f t="shared" si="286"/>
        <v>-111034.64146923233</v>
      </c>
      <c r="S241" s="221"/>
      <c r="T241" s="245">
        <f t="shared" si="293"/>
        <v>45874</v>
      </c>
      <c r="U241" s="221"/>
      <c r="V241" s="221"/>
      <c r="W241" s="221"/>
      <c r="X241" s="221"/>
      <c r="Y241" s="221"/>
      <c r="Z241" s="221"/>
    </row>
    <row r="242" spans="1:26" ht="18.75" customHeight="1" outlineLevel="1">
      <c r="A242" s="221"/>
      <c r="B242" s="237">
        <f t="shared" si="287"/>
        <v>45875</v>
      </c>
      <c r="C242" s="238">
        <f t="shared" si="283"/>
        <v>45875</v>
      </c>
      <c r="D242" s="239">
        <f>目標_2025R7!D238</f>
        <v>1</v>
      </c>
      <c r="E242" s="240">
        <f>IF(D242=1,'適正原価率表(仕入れお小遣い制度)'!$J$18,0)</f>
        <v>13106.200602508516</v>
      </c>
      <c r="F242" s="240">
        <f t="shared" si="288"/>
        <v>65531.003012542576</v>
      </c>
      <c r="G242" s="241">
        <v>12439</v>
      </c>
      <c r="H242" s="240">
        <f t="shared" si="289"/>
        <v>173673</v>
      </c>
      <c r="I242" s="242">
        <f t="shared" si="284"/>
        <v>-108141.99698745742</v>
      </c>
      <c r="J242" s="230"/>
      <c r="K242" s="237">
        <f t="shared" si="282"/>
        <v>45875</v>
      </c>
      <c r="L242" s="243">
        <f t="shared" ref="L242:M242" si="297">C242</f>
        <v>45875</v>
      </c>
      <c r="M242" s="244">
        <f t="shared" si="297"/>
        <v>1</v>
      </c>
      <c r="N242" s="240">
        <f>IF(M242=1,'適正原価率表(仕入れお小遣い制度)'!$J$19,0)</f>
        <v>11881.089632691919</v>
      </c>
      <c r="O242" s="240">
        <f t="shared" si="291"/>
        <v>59405.448163459594</v>
      </c>
      <c r="P242" s="241">
        <v>11517</v>
      </c>
      <c r="Q242" s="240">
        <f t="shared" si="292"/>
        <v>170076</v>
      </c>
      <c r="R242" s="242">
        <f t="shared" si="286"/>
        <v>-110670.5518365404</v>
      </c>
      <c r="S242" s="221"/>
      <c r="T242" s="245">
        <f t="shared" si="293"/>
        <v>45875</v>
      </c>
      <c r="U242" s="221"/>
      <c r="V242" s="221"/>
      <c r="W242" s="221"/>
      <c r="X242" s="221"/>
      <c r="Y242" s="221"/>
      <c r="Z242" s="221"/>
    </row>
    <row r="243" spans="1:26" ht="18.75" customHeight="1" outlineLevel="1">
      <c r="A243" s="221"/>
      <c r="B243" s="237">
        <f t="shared" si="287"/>
        <v>45876</v>
      </c>
      <c r="C243" s="238">
        <f t="shared" si="283"/>
        <v>45876</v>
      </c>
      <c r="D243" s="239">
        <f>目標_2025R7!D239</f>
        <v>1</v>
      </c>
      <c r="E243" s="240">
        <f>IF(D243=1,'適正原価率表(仕入れお小遣い制度)'!$J$18,0)</f>
        <v>13106.200602508516</v>
      </c>
      <c r="F243" s="240">
        <f t="shared" si="288"/>
        <v>78637.203615051098</v>
      </c>
      <c r="G243" s="241">
        <v>32123</v>
      </c>
      <c r="H243" s="240">
        <f t="shared" si="289"/>
        <v>205796</v>
      </c>
      <c r="I243" s="242">
        <f t="shared" si="284"/>
        <v>-127158.7963849489</v>
      </c>
      <c r="J243" s="230"/>
      <c r="K243" s="237">
        <f t="shared" si="282"/>
        <v>45876</v>
      </c>
      <c r="L243" s="243">
        <f t="shared" ref="L243:M243" si="298">C243</f>
        <v>45876</v>
      </c>
      <c r="M243" s="244">
        <f t="shared" si="298"/>
        <v>1</v>
      </c>
      <c r="N243" s="240">
        <f>IF(M243=1,'適正原価率表(仕入れお小遣い制度)'!$J$19,0)</f>
        <v>11881.089632691919</v>
      </c>
      <c r="O243" s="240">
        <f t="shared" si="291"/>
        <v>71286.537796151519</v>
      </c>
      <c r="P243" s="241">
        <v>33655</v>
      </c>
      <c r="Q243" s="240">
        <f t="shared" si="292"/>
        <v>203731</v>
      </c>
      <c r="R243" s="242">
        <f t="shared" si="286"/>
        <v>-132444.46220384847</v>
      </c>
      <c r="S243" s="221"/>
      <c r="T243" s="245">
        <f t="shared" si="293"/>
        <v>45876</v>
      </c>
      <c r="U243" s="221"/>
      <c r="V243" s="221"/>
      <c r="W243" s="221"/>
      <c r="X243" s="221"/>
      <c r="Y243" s="221"/>
      <c r="Z243" s="221"/>
    </row>
    <row r="244" spans="1:26" ht="18.75" customHeight="1" outlineLevel="1">
      <c r="A244" s="221"/>
      <c r="B244" s="237">
        <f t="shared" si="287"/>
        <v>45877</v>
      </c>
      <c r="C244" s="238">
        <f t="shared" si="283"/>
        <v>45877</v>
      </c>
      <c r="D244" s="239">
        <f>目標_2025R7!D240</f>
        <v>1</v>
      </c>
      <c r="E244" s="240">
        <f>IF(D244=1,'適正原価率表(仕入れお小遣い制度)'!$J$18,0)</f>
        <v>13106.200602508516</v>
      </c>
      <c r="F244" s="240">
        <f t="shared" si="288"/>
        <v>91743.404217559611</v>
      </c>
      <c r="G244" s="241">
        <v>23187</v>
      </c>
      <c r="H244" s="240">
        <f t="shared" si="289"/>
        <v>228983</v>
      </c>
      <c r="I244" s="242">
        <f t="shared" si="284"/>
        <v>-137239.59578244039</v>
      </c>
      <c r="J244" s="230"/>
      <c r="K244" s="237">
        <f t="shared" si="282"/>
        <v>45877</v>
      </c>
      <c r="L244" s="243">
        <f t="shared" ref="L244:M244" si="299">C244</f>
        <v>45877</v>
      </c>
      <c r="M244" s="244">
        <f t="shared" si="299"/>
        <v>1</v>
      </c>
      <c r="N244" s="240">
        <f>IF(M244=1,'適正原価率表(仕入れお小遣い制度)'!$J$19,0)</f>
        <v>11881.089632691919</v>
      </c>
      <c r="O244" s="240">
        <f t="shared" si="291"/>
        <v>83167.627428843436</v>
      </c>
      <c r="P244" s="241">
        <v>31825</v>
      </c>
      <c r="Q244" s="240">
        <f t="shared" si="292"/>
        <v>235556</v>
      </c>
      <c r="R244" s="242">
        <f t="shared" si="286"/>
        <v>-152388.37257115656</v>
      </c>
      <c r="S244" s="221"/>
      <c r="T244" s="245">
        <f t="shared" si="293"/>
        <v>45877</v>
      </c>
      <c r="U244" s="221"/>
      <c r="V244" s="221"/>
      <c r="W244" s="221"/>
      <c r="X244" s="221"/>
      <c r="Y244" s="221"/>
      <c r="Z244" s="221"/>
    </row>
    <row r="245" spans="1:26" ht="18.75" customHeight="1" outlineLevel="1">
      <c r="A245" s="221"/>
      <c r="B245" s="237">
        <f t="shared" si="287"/>
        <v>45878</v>
      </c>
      <c r="C245" s="238">
        <f t="shared" si="283"/>
        <v>45878</v>
      </c>
      <c r="D245" s="239">
        <f>目標_2025R7!D241</f>
        <v>1</v>
      </c>
      <c r="E245" s="240">
        <f>IF(D245=1,'適正原価率表(仕入れお小遣い制度)'!$J$18,0)</f>
        <v>13106.200602508516</v>
      </c>
      <c r="F245" s="240">
        <f t="shared" si="288"/>
        <v>104849.60482006813</v>
      </c>
      <c r="G245" s="241">
        <v>0</v>
      </c>
      <c r="H245" s="240">
        <f t="shared" si="289"/>
        <v>228983</v>
      </c>
      <c r="I245" s="242">
        <f t="shared" si="284"/>
        <v>-124133.39517993187</v>
      </c>
      <c r="J245" s="230"/>
      <c r="K245" s="237">
        <f t="shared" si="282"/>
        <v>45878</v>
      </c>
      <c r="L245" s="243">
        <f t="shared" ref="L245:M245" si="300">C245</f>
        <v>45878</v>
      </c>
      <c r="M245" s="244">
        <f t="shared" si="300"/>
        <v>1</v>
      </c>
      <c r="N245" s="240">
        <f>IF(M245=1,'適正原価率表(仕入れお小遣い制度)'!$J$19,0)</f>
        <v>11881.089632691919</v>
      </c>
      <c r="O245" s="240">
        <f t="shared" si="291"/>
        <v>95048.717061535353</v>
      </c>
      <c r="P245" s="241">
        <v>16325</v>
      </c>
      <c r="Q245" s="240">
        <f t="shared" si="292"/>
        <v>251881</v>
      </c>
      <c r="R245" s="242">
        <f t="shared" si="286"/>
        <v>-156832.28293846466</v>
      </c>
      <c r="S245" s="221"/>
      <c r="T245" s="245">
        <f t="shared" si="293"/>
        <v>45878</v>
      </c>
      <c r="U245" s="221"/>
      <c r="V245" s="221"/>
      <c r="W245" s="221"/>
      <c r="X245" s="221"/>
      <c r="Y245" s="221"/>
      <c r="Z245" s="221"/>
    </row>
    <row r="246" spans="1:26" ht="18.75" customHeight="1" outlineLevel="1">
      <c r="A246" s="221"/>
      <c r="B246" s="237">
        <f t="shared" si="287"/>
        <v>45879</v>
      </c>
      <c r="C246" s="238">
        <f t="shared" si="283"/>
        <v>45879</v>
      </c>
      <c r="D246" s="239">
        <f>目標_2025R7!D242</f>
        <v>1</v>
      </c>
      <c r="E246" s="240">
        <f>IF(D246=1,'適正原価率表(仕入れお小遣い制度)'!$J$18,0)</f>
        <v>13106.200602508516</v>
      </c>
      <c r="F246" s="240">
        <f t="shared" si="288"/>
        <v>117955.80542257664</v>
      </c>
      <c r="G246" s="241">
        <v>0</v>
      </c>
      <c r="H246" s="240">
        <f t="shared" si="289"/>
        <v>228983</v>
      </c>
      <c r="I246" s="242">
        <f t="shared" si="284"/>
        <v>-111027.19457742336</v>
      </c>
      <c r="J246" s="230"/>
      <c r="K246" s="237">
        <f t="shared" si="282"/>
        <v>45879</v>
      </c>
      <c r="L246" s="243">
        <f t="shared" ref="L246:M246" si="301">C246</f>
        <v>45879</v>
      </c>
      <c r="M246" s="244">
        <f t="shared" si="301"/>
        <v>1</v>
      </c>
      <c r="N246" s="240">
        <f>IF(M246=1,'適正原価率表(仕入れお小遣い制度)'!$J$19,0)</f>
        <v>11881.089632691919</v>
      </c>
      <c r="O246" s="240">
        <f t="shared" si="291"/>
        <v>106929.80669422727</v>
      </c>
      <c r="P246" s="241">
        <v>0</v>
      </c>
      <c r="Q246" s="240">
        <f t="shared" si="292"/>
        <v>251881</v>
      </c>
      <c r="R246" s="242">
        <f t="shared" si="286"/>
        <v>-144951.19330577273</v>
      </c>
      <c r="S246" s="221"/>
      <c r="T246" s="245">
        <f t="shared" si="293"/>
        <v>45879</v>
      </c>
      <c r="U246" s="221"/>
      <c r="V246" s="221"/>
      <c r="W246" s="221"/>
      <c r="X246" s="221"/>
      <c r="Y246" s="221"/>
      <c r="Z246" s="221"/>
    </row>
    <row r="247" spans="1:26" ht="18.75" customHeight="1" outlineLevel="1">
      <c r="A247" s="221"/>
      <c r="B247" s="237">
        <f t="shared" si="287"/>
        <v>45880</v>
      </c>
      <c r="C247" s="238">
        <f t="shared" si="283"/>
        <v>45880</v>
      </c>
      <c r="D247" s="239">
        <f>目標_2025R7!D243</f>
        <v>0</v>
      </c>
      <c r="E247" s="240">
        <f>IF(D247=1,'適正原価率表(仕入れお小遣い制度)'!$J$18,0)</f>
        <v>0</v>
      </c>
      <c r="F247" s="240">
        <f t="shared" si="288"/>
        <v>0</v>
      </c>
      <c r="G247" s="241">
        <v>0</v>
      </c>
      <c r="H247" s="240">
        <f t="shared" si="289"/>
        <v>0</v>
      </c>
      <c r="I247" s="242">
        <f t="shared" si="284"/>
        <v>0</v>
      </c>
      <c r="J247" s="230"/>
      <c r="K247" s="237">
        <f t="shared" si="282"/>
        <v>45880</v>
      </c>
      <c r="L247" s="243">
        <f t="shared" ref="L247:M247" si="302">C247</f>
        <v>45880</v>
      </c>
      <c r="M247" s="244">
        <f t="shared" si="302"/>
        <v>0</v>
      </c>
      <c r="N247" s="240">
        <f>IF(M247=1,'適正原価率表(仕入れお小遣い制度)'!$J$19,0)</f>
        <v>0</v>
      </c>
      <c r="O247" s="240">
        <f t="shared" si="291"/>
        <v>0</v>
      </c>
      <c r="P247" s="241">
        <v>0</v>
      </c>
      <c r="Q247" s="240">
        <f t="shared" si="292"/>
        <v>0</v>
      </c>
      <c r="R247" s="242">
        <f t="shared" si="286"/>
        <v>0</v>
      </c>
      <c r="S247" s="221"/>
      <c r="T247" s="245">
        <f t="shared" si="293"/>
        <v>45880</v>
      </c>
      <c r="U247" s="221"/>
      <c r="V247" s="221"/>
      <c r="W247" s="221"/>
      <c r="X247" s="221"/>
      <c r="Y247" s="221"/>
      <c r="Z247" s="221"/>
    </row>
    <row r="248" spans="1:26" ht="18.75" customHeight="1" outlineLevel="1">
      <c r="A248" s="221"/>
      <c r="B248" s="237">
        <f t="shared" si="287"/>
        <v>45881</v>
      </c>
      <c r="C248" s="238">
        <f t="shared" si="283"/>
        <v>45881</v>
      </c>
      <c r="D248" s="239">
        <f>目標_2025R7!D244</f>
        <v>0</v>
      </c>
      <c r="E248" s="240">
        <f>IF(D248=1,'適正原価率表(仕入れお小遣い制度)'!$J$18,0)</f>
        <v>0</v>
      </c>
      <c r="F248" s="240">
        <f t="shared" si="288"/>
        <v>0</v>
      </c>
      <c r="G248" s="241">
        <v>0</v>
      </c>
      <c r="H248" s="240">
        <f t="shared" si="289"/>
        <v>0</v>
      </c>
      <c r="I248" s="242">
        <f t="shared" si="284"/>
        <v>0</v>
      </c>
      <c r="J248" s="230"/>
      <c r="K248" s="237">
        <f t="shared" si="282"/>
        <v>45881</v>
      </c>
      <c r="L248" s="243">
        <f t="shared" ref="L248:M248" si="303">C248</f>
        <v>45881</v>
      </c>
      <c r="M248" s="244">
        <f t="shared" si="303"/>
        <v>0</v>
      </c>
      <c r="N248" s="240">
        <f>IF(M248=1,'適正原価率表(仕入れお小遣い制度)'!$J$19,0)</f>
        <v>0</v>
      </c>
      <c r="O248" s="240">
        <f t="shared" si="291"/>
        <v>0</v>
      </c>
      <c r="P248" s="241">
        <v>0</v>
      </c>
      <c r="Q248" s="240">
        <f t="shared" si="292"/>
        <v>0</v>
      </c>
      <c r="R248" s="242">
        <f t="shared" si="286"/>
        <v>0</v>
      </c>
      <c r="S248" s="221"/>
      <c r="T248" s="245">
        <f t="shared" si="293"/>
        <v>45881</v>
      </c>
      <c r="U248" s="221"/>
      <c r="V248" s="221"/>
      <c r="W248" s="221"/>
      <c r="X248" s="221"/>
      <c r="Y248" s="221"/>
      <c r="Z248" s="221"/>
    </row>
    <row r="249" spans="1:26" ht="18.75" customHeight="1" outlineLevel="1">
      <c r="A249" s="221"/>
      <c r="B249" s="237">
        <f t="shared" si="287"/>
        <v>45882</v>
      </c>
      <c r="C249" s="238">
        <f t="shared" si="283"/>
        <v>45882</v>
      </c>
      <c r="D249" s="239">
        <f>目標_2025R7!D245</f>
        <v>1</v>
      </c>
      <c r="E249" s="240">
        <f>IF(D249=1,'適正原価率表(仕入れお小遣い制度)'!$J$18,0)</f>
        <v>13106.200602508516</v>
      </c>
      <c r="F249" s="240">
        <f t="shared" si="288"/>
        <v>131062.00602508515</v>
      </c>
      <c r="G249" s="241">
        <v>20300</v>
      </c>
      <c r="H249" s="240">
        <f t="shared" si="289"/>
        <v>249283</v>
      </c>
      <c r="I249" s="242">
        <f t="shared" si="284"/>
        <v>-118220.99397491485</v>
      </c>
      <c r="J249" s="230"/>
      <c r="K249" s="237">
        <f t="shared" si="282"/>
        <v>45882</v>
      </c>
      <c r="L249" s="243">
        <f t="shared" ref="L249:M249" si="304">C249</f>
        <v>45882</v>
      </c>
      <c r="M249" s="244">
        <f t="shared" si="304"/>
        <v>1</v>
      </c>
      <c r="N249" s="240">
        <f>IF(M249=1,'適正原価率表(仕入れお小遣い制度)'!$J$19,0)</f>
        <v>11881.089632691919</v>
      </c>
      <c r="O249" s="240">
        <f t="shared" si="291"/>
        <v>118810.89632691919</v>
      </c>
      <c r="P249" s="241">
        <v>13750</v>
      </c>
      <c r="Q249" s="240">
        <f t="shared" si="292"/>
        <v>265631</v>
      </c>
      <c r="R249" s="242">
        <f t="shared" si="286"/>
        <v>-146820.1036730808</v>
      </c>
      <c r="S249" s="221"/>
      <c r="T249" s="245">
        <f t="shared" si="293"/>
        <v>45882</v>
      </c>
      <c r="U249" s="221"/>
      <c r="V249" s="221"/>
      <c r="W249" s="221"/>
      <c r="X249" s="221"/>
      <c r="Y249" s="221"/>
      <c r="Z249" s="221"/>
    </row>
    <row r="250" spans="1:26" ht="18.75" customHeight="1" outlineLevel="1">
      <c r="A250" s="221"/>
      <c r="B250" s="237">
        <f t="shared" si="287"/>
        <v>45883</v>
      </c>
      <c r="C250" s="238">
        <f t="shared" si="283"/>
        <v>45883</v>
      </c>
      <c r="D250" s="239">
        <f>目標_2025R7!D246</f>
        <v>1</v>
      </c>
      <c r="E250" s="240">
        <f>IF(D250=1,'適正原価率表(仕入れお小遣い制度)'!$J$18,0)</f>
        <v>13106.200602508516</v>
      </c>
      <c r="F250" s="240">
        <f t="shared" si="288"/>
        <v>144168.20662759367</v>
      </c>
      <c r="G250" s="241">
        <v>2981</v>
      </c>
      <c r="H250" s="240">
        <f t="shared" si="289"/>
        <v>252264</v>
      </c>
      <c r="I250" s="242">
        <f t="shared" si="284"/>
        <v>-108095.79337240633</v>
      </c>
      <c r="J250" s="230"/>
      <c r="K250" s="237">
        <f t="shared" si="282"/>
        <v>45883</v>
      </c>
      <c r="L250" s="243">
        <f t="shared" ref="L250:M250" si="305">C250</f>
        <v>45883</v>
      </c>
      <c r="M250" s="244">
        <f t="shared" si="305"/>
        <v>1</v>
      </c>
      <c r="N250" s="240">
        <f>IF(M250=1,'適正原価率表(仕入れお小遣い制度)'!$J$19,0)</f>
        <v>11881.089632691919</v>
      </c>
      <c r="O250" s="240">
        <f t="shared" si="291"/>
        <v>130691.98595961111</v>
      </c>
      <c r="P250" s="241">
        <v>13117</v>
      </c>
      <c r="Q250" s="240">
        <f t="shared" si="292"/>
        <v>278748</v>
      </c>
      <c r="R250" s="242">
        <f t="shared" si="286"/>
        <v>-148056.01404038889</v>
      </c>
      <c r="S250" s="221"/>
      <c r="T250" s="245">
        <f t="shared" si="293"/>
        <v>45883</v>
      </c>
      <c r="U250" s="221"/>
      <c r="V250" s="221"/>
      <c r="W250" s="221"/>
      <c r="X250" s="221"/>
      <c r="Y250" s="221"/>
      <c r="Z250" s="221"/>
    </row>
    <row r="251" spans="1:26" ht="18.75" customHeight="1" outlineLevel="1">
      <c r="A251" s="221"/>
      <c r="B251" s="237">
        <f t="shared" si="287"/>
        <v>45884</v>
      </c>
      <c r="C251" s="238">
        <f t="shared" si="283"/>
        <v>45884</v>
      </c>
      <c r="D251" s="239">
        <f>目標_2025R7!D247</f>
        <v>1</v>
      </c>
      <c r="E251" s="240">
        <f>IF(D251=1,'適正原価率表(仕入れお小遣い制度)'!$J$18,0)</f>
        <v>13106.200602508516</v>
      </c>
      <c r="F251" s="240">
        <f t="shared" si="288"/>
        <v>157274.4072301022</v>
      </c>
      <c r="G251" s="241">
        <v>9935</v>
      </c>
      <c r="H251" s="240">
        <f t="shared" si="289"/>
        <v>262199</v>
      </c>
      <c r="I251" s="242">
        <f t="shared" si="284"/>
        <v>-104924.5927698978</v>
      </c>
      <c r="J251" s="230"/>
      <c r="K251" s="237">
        <f t="shared" si="282"/>
        <v>45884</v>
      </c>
      <c r="L251" s="243">
        <f t="shared" ref="L251:M251" si="306">C251</f>
        <v>45884</v>
      </c>
      <c r="M251" s="244">
        <f t="shared" si="306"/>
        <v>1</v>
      </c>
      <c r="N251" s="240">
        <f>IF(M251=1,'適正原価率表(仕入れお小遣い制度)'!$J$19,0)</f>
        <v>11881.089632691919</v>
      </c>
      <c r="O251" s="240">
        <f t="shared" si="291"/>
        <v>142573.07559230304</v>
      </c>
      <c r="P251" s="241">
        <v>13972</v>
      </c>
      <c r="Q251" s="240">
        <f t="shared" si="292"/>
        <v>292720</v>
      </c>
      <c r="R251" s="242">
        <f t="shared" si="286"/>
        <v>-150146.92440769696</v>
      </c>
      <c r="S251" s="221"/>
      <c r="T251" s="245">
        <f t="shared" si="293"/>
        <v>45884</v>
      </c>
      <c r="U251" s="221"/>
      <c r="V251" s="221"/>
      <c r="W251" s="221"/>
      <c r="X251" s="221"/>
      <c r="Y251" s="221"/>
      <c r="Z251" s="221"/>
    </row>
    <row r="252" spans="1:26" ht="18.75" customHeight="1" outlineLevel="1">
      <c r="A252" s="221"/>
      <c r="B252" s="237">
        <f t="shared" si="287"/>
        <v>45885</v>
      </c>
      <c r="C252" s="238">
        <f t="shared" si="283"/>
        <v>45885</v>
      </c>
      <c r="D252" s="239">
        <f>目標_2025R7!D248</f>
        <v>1</v>
      </c>
      <c r="E252" s="240">
        <f>IF(D252=1,'適正原価率表(仕入れお小遣い制度)'!$J$18,0)</f>
        <v>13106.200602508516</v>
      </c>
      <c r="F252" s="240">
        <f t="shared" si="288"/>
        <v>170380.60783261072</v>
      </c>
      <c r="G252" s="241">
        <v>8534</v>
      </c>
      <c r="H252" s="240">
        <f t="shared" si="289"/>
        <v>270733</v>
      </c>
      <c r="I252" s="242">
        <f t="shared" si="284"/>
        <v>-100352.39216738928</v>
      </c>
      <c r="J252" s="230"/>
      <c r="K252" s="237">
        <f t="shared" si="282"/>
        <v>45885</v>
      </c>
      <c r="L252" s="243">
        <f t="shared" ref="L252:M252" si="307">C252</f>
        <v>45885</v>
      </c>
      <c r="M252" s="244">
        <f t="shared" si="307"/>
        <v>1</v>
      </c>
      <c r="N252" s="240">
        <f>IF(M252=1,'適正原価率表(仕入れお小遣い制度)'!$J$19,0)</f>
        <v>11881.089632691919</v>
      </c>
      <c r="O252" s="240">
        <f t="shared" si="291"/>
        <v>154454.16522499497</v>
      </c>
      <c r="P252" s="241">
        <v>3036</v>
      </c>
      <c r="Q252" s="240">
        <f t="shared" si="292"/>
        <v>295756</v>
      </c>
      <c r="R252" s="242">
        <f t="shared" si="286"/>
        <v>-141301.83477500503</v>
      </c>
      <c r="S252" s="221"/>
      <c r="T252" s="245">
        <f t="shared" si="293"/>
        <v>45885</v>
      </c>
      <c r="U252" s="221"/>
      <c r="V252" s="221"/>
      <c r="W252" s="221"/>
      <c r="X252" s="221"/>
      <c r="Y252" s="221"/>
      <c r="Z252" s="221"/>
    </row>
    <row r="253" spans="1:26" ht="18.75" customHeight="1" outlineLevel="1">
      <c r="A253" s="221"/>
      <c r="B253" s="237">
        <f t="shared" si="287"/>
        <v>45886</v>
      </c>
      <c r="C253" s="238">
        <f t="shared" si="283"/>
        <v>45886</v>
      </c>
      <c r="D253" s="239">
        <f>目標_2025R7!D249</f>
        <v>0</v>
      </c>
      <c r="E253" s="240">
        <f>IF(D253=1,'適正原価率表(仕入れお小遣い制度)'!$J$18,0)</f>
        <v>0</v>
      </c>
      <c r="F253" s="240">
        <f t="shared" si="288"/>
        <v>0</v>
      </c>
      <c r="G253" s="241">
        <v>0</v>
      </c>
      <c r="H253" s="240">
        <f t="shared" si="289"/>
        <v>0</v>
      </c>
      <c r="I253" s="242">
        <f t="shared" si="284"/>
        <v>0</v>
      </c>
      <c r="J253" s="230"/>
      <c r="K253" s="237">
        <f t="shared" si="282"/>
        <v>45886</v>
      </c>
      <c r="L253" s="243">
        <f t="shared" ref="L253:M253" si="308">C253</f>
        <v>45886</v>
      </c>
      <c r="M253" s="244">
        <f t="shared" si="308"/>
        <v>0</v>
      </c>
      <c r="N253" s="240">
        <f>IF(M253=1,'適正原価率表(仕入れお小遣い制度)'!$J$19,0)</f>
        <v>0</v>
      </c>
      <c r="O253" s="240">
        <f t="shared" si="291"/>
        <v>0</v>
      </c>
      <c r="P253" s="241">
        <v>0</v>
      </c>
      <c r="Q253" s="240">
        <f t="shared" si="292"/>
        <v>0</v>
      </c>
      <c r="R253" s="242">
        <f t="shared" si="286"/>
        <v>0</v>
      </c>
      <c r="S253" s="221"/>
      <c r="T253" s="245">
        <f t="shared" si="293"/>
        <v>45886</v>
      </c>
      <c r="U253" s="221"/>
      <c r="V253" s="221"/>
      <c r="W253" s="221"/>
      <c r="X253" s="221"/>
      <c r="Y253" s="221"/>
      <c r="Z253" s="221"/>
    </row>
    <row r="254" spans="1:26" ht="18.75" customHeight="1" outlineLevel="1">
      <c r="A254" s="221"/>
      <c r="B254" s="237">
        <f t="shared" si="287"/>
        <v>45887</v>
      </c>
      <c r="C254" s="238">
        <f t="shared" si="283"/>
        <v>45887</v>
      </c>
      <c r="D254" s="239">
        <f>目標_2025R7!D250</f>
        <v>0</v>
      </c>
      <c r="E254" s="240">
        <f>IF(D254=1,'適正原価率表(仕入れお小遣い制度)'!$J$18,0)</f>
        <v>0</v>
      </c>
      <c r="F254" s="240">
        <f t="shared" si="288"/>
        <v>0</v>
      </c>
      <c r="G254" s="241">
        <v>0</v>
      </c>
      <c r="H254" s="240">
        <f t="shared" si="289"/>
        <v>0</v>
      </c>
      <c r="I254" s="242">
        <f t="shared" si="284"/>
        <v>0</v>
      </c>
      <c r="J254" s="230"/>
      <c r="K254" s="237">
        <f t="shared" si="282"/>
        <v>45887</v>
      </c>
      <c r="L254" s="243">
        <f t="shared" ref="L254:M254" si="309">C254</f>
        <v>45887</v>
      </c>
      <c r="M254" s="244">
        <f t="shared" si="309"/>
        <v>0</v>
      </c>
      <c r="N254" s="240">
        <f>IF(M254=1,'適正原価率表(仕入れお小遣い制度)'!$J$19,0)</f>
        <v>0</v>
      </c>
      <c r="O254" s="240">
        <f t="shared" si="291"/>
        <v>0</v>
      </c>
      <c r="P254" s="241">
        <v>0</v>
      </c>
      <c r="Q254" s="240">
        <f t="shared" si="292"/>
        <v>0</v>
      </c>
      <c r="R254" s="242">
        <f t="shared" si="286"/>
        <v>0</v>
      </c>
      <c r="S254" s="221"/>
      <c r="T254" s="245">
        <f t="shared" si="293"/>
        <v>45887</v>
      </c>
      <c r="U254" s="221"/>
      <c r="V254" s="221"/>
      <c r="W254" s="221"/>
      <c r="X254" s="221"/>
      <c r="Y254" s="221"/>
      <c r="Z254" s="221"/>
    </row>
    <row r="255" spans="1:26" ht="18.75" customHeight="1" outlineLevel="1">
      <c r="A255" s="221"/>
      <c r="B255" s="237">
        <f t="shared" si="287"/>
        <v>45888</v>
      </c>
      <c r="C255" s="238">
        <f t="shared" si="283"/>
        <v>45888</v>
      </c>
      <c r="D255" s="239">
        <f>目標_2025R7!D251</f>
        <v>0</v>
      </c>
      <c r="E255" s="240">
        <f>IF(D255=1,'適正原価率表(仕入れお小遣い制度)'!$J$18,0)</f>
        <v>0</v>
      </c>
      <c r="F255" s="240">
        <f t="shared" si="288"/>
        <v>0</v>
      </c>
      <c r="G255" s="241">
        <v>23190</v>
      </c>
      <c r="H255" s="240">
        <f t="shared" si="289"/>
        <v>0</v>
      </c>
      <c r="I255" s="242">
        <f t="shared" si="284"/>
        <v>0</v>
      </c>
      <c r="J255" s="230"/>
      <c r="K255" s="237">
        <f t="shared" si="282"/>
        <v>45888</v>
      </c>
      <c r="L255" s="243">
        <f t="shared" ref="L255:M255" si="310">C255</f>
        <v>45888</v>
      </c>
      <c r="M255" s="244">
        <f t="shared" si="310"/>
        <v>0</v>
      </c>
      <c r="N255" s="240">
        <f>IF(M255=1,'適正原価率表(仕入れお小遣い制度)'!$J$19,0)</f>
        <v>0</v>
      </c>
      <c r="O255" s="240">
        <f t="shared" si="291"/>
        <v>0</v>
      </c>
      <c r="P255" s="241">
        <v>0</v>
      </c>
      <c r="Q255" s="240">
        <f t="shared" si="292"/>
        <v>0</v>
      </c>
      <c r="R255" s="242">
        <f t="shared" si="286"/>
        <v>0</v>
      </c>
      <c r="S255" s="221"/>
      <c r="T255" s="245">
        <f t="shared" si="293"/>
        <v>45888</v>
      </c>
      <c r="U255" s="221"/>
      <c r="V255" s="221"/>
      <c r="W255" s="221"/>
      <c r="X255" s="221"/>
      <c r="Y255" s="221"/>
      <c r="Z255" s="221"/>
    </row>
    <row r="256" spans="1:26" ht="18.75" customHeight="1" outlineLevel="1">
      <c r="A256" s="221"/>
      <c r="B256" s="237">
        <f t="shared" si="287"/>
        <v>45889</v>
      </c>
      <c r="C256" s="238">
        <f t="shared" si="283"/>
        <v>45889</v>
      </c>
      <c r="D256" s="239">
        <f>目標_2025R7!D252</f>
        <v>1</v>
      </c>
      <c r="E256" s="240">
        <f>IF(D256=1,'適正原価率表(仕入れお小遣い制度)'!$J$18,0)</f>
        <v>13106.200602508516</v>
      </c>
      <c r="F256" s="240">
        <f t="shared" si="288"/>
        <v>183486.80843511925</v>
      </c>
      <c r="G256" s="241">
        <v>21523</v>
      </c>
      <c r="H256" s="240">
        <f t="shared" si="289"/>
        <v>315446</v>
      </c>
      <c r="I256" s="242">
        <f t="shared" si="284"/>
        <v>-131959.19156488075</v>
      </c>
      <c r="J256" s="230"/>
      <c r="K256" s="237">
        <f t="shared" si="282"/>
        <v>45889</v>
      </c>
      <c r="L256" s="243">
        <f t="shared" ref="L256:M256" si="311">C256</f>
        <v>45889</v>
      </c>
      <c r="M256" s="244">
        <f t="shared" si="311"/>
        <v>1</v>
      </c>
      <c r="N256" s="240">
        <f>IF(M256=1,'適正原価率表(仕入れお小遣い制度)'!$J$19,0)</f>
        <v>11881.089632691919</v>
      </c>
      <c r="O256" s="240">
        <f t="shared" si="291"/>
        <v>166335.2548576869</v>
      </c>
      <c r="P256" s="241">
        <v>19635</v>
      </c>
      <c r="Q256" s="240">
        <f t="shared" si="292"/>
        <v>315391</v>
      </c>
      <c r="R256" s="242">
        <f t="shared" si="286"/>
        <v>-149055.7451423131</v>
      </c>
      <c r="S256" s="221"/>
      <c r="T256" s="245">
        <f t="shared" si="293"/>
        <v>45889</v>
      </c>
      <c r="U256" s="221"/>
      <c r="V256" s="221"/>
      <c r="W256" s="221"/>
      <c r="X256" s="221"/>
      <c r="Y256" s="221"/>
      <c r="Z256" s="221"/>
    </row>
    <row r="257" spans="1:26" ht="18.75" customHeight="1" outlineLevel="1">
      <c r="A257" s="221"/>
      <c r="B257" s="237">
        <f t="shared" si="287"/>
        <v>45890</v>
      </c>
      <c r="C257" s="238">
        <f t="shared" si="283"/>
        <v>45890</v>
      </c>
      <c r="D257" s="239">
        <f>目標_2025R7!D253</f>
        <v>1</v>
      </c>
      <c r="E257" s="240">
        <f>IF(D257=1,'適正原価率表(仕入れお小遣い制度)'!$J$18,0)</f>
        <v>13106.200602508516</v>
      </c>
      <c r="F257" s="240">
        <f t="shared" si="288"/>
        <v>196593.00903762778</v>
      </c>
      <c r="G257" s="241">
        <v>5494</v>
      </c>
      <c r="H257" s="240">
        <f t="shared" si="289"/>
        <v>320940</v>
      </c>
      <c r="I257" s="242">
        <f t="shared" si="284"/>
        <v>-124346.99096237222</v>
      </c>
      <c r="J257" s="230"/>
      <c r="K257" s="237">
        <f t="shared" si="282"/>
        <v>45890</v>
      </c>
      <c r="L257" s="243">
        <f t="shared" ref="L257:M257" si="312">C257</f>
        <v>45890</v>
      </c>
      <c r="M257" s="244">
        <f t="shared" si="312"/>
        <v>1</v>
      </c>
      <c r="N257" s="240">
        <f>IF(M257=1,'適正原価率表(仕入れお小遣い制度)'!$J$19,0)</f>
        <v>11881.089632691919</v>
      </c>
      <c r="O257" s="240">
        <f t="shared" si="291"/>
        <v>178216.34449037883</v>
      </c>
      <c r="P257" s="241">
        <v>11151</v>
      </c>
      <c r="Q257" s="240">
        <f t="shared" si="292"/>
        <v>326542</v>
      </c>
      <c r="R257" s="242">
        <f t="shared" si="286"/>
        <v>-148325.65550962117</v>
      </c>
      <c r="S257" s="221"/>
      <c r="T257" s="245">
        <f t="shared" si="293"/>
        <v>45890</v>
      </c>
      <c r="U257" s="221"/>
      <c r="V257" s="221"/>
      <c r="W257" s="221"/>
      <c r="X257" s="221"/>
      <c r="Y257" s="221"/>
      <c r="Z257" s="221"/>
    </row>
    <row r="258" spans="1:26" ht="18.75" customHeight="1" outlineLevel="1">
      <c r="A258" s="221"/>
      <c r="B258" s="237">
        <f t="shared" si="287"/>
        <v>45891</v>
      </c>
      <c r="C258" s="238">
        <f t="shared" si="283"/>
        <v>45891</v>
      </c>
      <c r="D258" s="239">
        <f>目標_2025R7!D254</f>
        <v>1</v>
      </c>
      <c r="E258" s="240">
        <f>IF(D258=1,'適正原価率表(仕入れお小遣い制度)'!$J$18,0)</f>
        <v>13106.200602508516</v>
      </c>
      <c r="F258" s="240">
        <f t="shared" si="288"/>
        <v>209699.20964013631</v>
      </c>
      <c r="G258" s="241">
        <v>7930</v>
      </c>
      <c r="H258" s="240">
        <f t="shared" si="289"/>
        <v>328870</v>
      </c>
      <c r="I258" s="242">
        <f t="shared" si="284"/>
        <v>-119170.79035986369</v>
      </c>
      <c r="J258" s="230"/>
      <c r="K258" s="237">
        <f t="shared" si="282"/>
        <v>45891</v>
      </c>
      <c r="L258" s="243">
        <f t="shared" ref="L258:M258" si="313">C258</f>
        <v>45891</v>
      </c>
      <c r="M258" s="244">
        <f t="shared" si="313"/>
        <v>1</v>
      </c>
      <c r="N258" s="240">
        <f>IF(M258=1,'適正原価率表(仕入れお小遣い制度)'!$J$19,0)</f>
        <v>11881.089632691919</v>
      </c>
      <c r="O258" s="240">
        <f t="shared" si="291"/>
        <v>190097.43412307077</v>
      </c>
      <c r="P258" s="241">
        <v>15474</v>
      </c>
      <c r="Q258" s="240">
        <f t="shared" si="292"/>
        <v>342016</v>
      </c>
      <c r="R258" s="242">
        <f t="shared" si="286"/>
        <v>-151918.56587692923</v>
      </c>
      <c r="S258" s="221"/>
      <c r="T258" s="245">
        <f t="shared" si="293"/>
        <v>45891</v>
      </c>
      <c r="U258" s="221"/>
      <c r="V258" s="221"/>
      <c r="W258" s="221"/>
      <c r="X258" s="221"/>
      <c r="Y258" s="221"/>
      <c r="Z258" s="221"/>
    </row>
    <row r="259" spans="1:26" ht="18.75" customHeight="1" outlineLevel="1">
      <c r="A259" s="221"/>
      <c r="B259" s="237">
        <f t="shared" si="287"/>
        <v>45892</v>
      </c>
      <c r="C259" s="238">
        <f t="shared" si="283"/>
        <v>45892</v>
      </c>
      <c r="D259" s="239">
        <f>目標_2025R7!D255</f>
        <v>1</v>
      </c>
      <c r="E259" s="240">
        <f>IF(D259=1,'適正原価率表(仕入れお小遣い制度)'!$J$18,0)</f>
        <v>13106.200602508516</v>
      </c>
      <c r="F259" s="240">
        <f t="shared" si="288"/>
        <v>222805.41024264484</v>
      </c>
      <c r="G259" s="241">
        <v>8083</v>
      </c>
      <c r="H259" s="240">
        <f t="shared" si="289"/>
        <v>336953</v>
      </c>
      <c r="I259" s="242">
        <f t="shared" si="284"/>
        <v>-114147.58975735516</v>
      </c>
      <c r="J259" s="230"/>
      <c r="K259" s="237">
        <f t="shared" si="282"/>
        <v>45892</v>
      </c>
      <c r="L259" s="243">
        <f t="shared" ref="L259:M259" si="314">C259</f>
        <v>45892</v>
      </c>
      <c r="M259" s="244">
        <f t="shared" si="314"/>
        <v>1</v>
      </c>
      <c r="N259" s="240">
        <f>IF(M259=1,'適正原価率表(仕入れお小遣い制度)'!$J$19,0)</f>
        <v>11881.089632691919</v>
      </c>
      <c r="O259" s="240">
        <f t="shared" si="291"/>
        <v>201978.5237557627</v>
      </c>
      <c r="P259" s="241">
        <v>0</v>
      </c>
      <c r="Q259" s="240">
        <f t="shared" si="292"/>
        <v>342016</v>
      </c>
      <c r="R259" s="242">
        <f t="shared" si="286"/>
        <v>-140037.4762442373</v>
      </c>
      <c r="S259" s="221"/>
      <c r="T259" s="245">
        <f t="shared" si="293"/>
        <v>45892</v>
      </c>
      <c r="U259" s="221"/>
      <c r="V259" s="221"/>
      <c r="W259" s="221"/>
      <c r="X259" s="221"/>
      <c r="Y259" s="221"/>
      <c r="Z259" s="221"/>
    </row>
    <row r="260" spans="1:26" ht="18.75" customHeight="1" outlineLevel="1">
      <c r="A260" s="221"/>
      <c r="B260" s="237">
        <f t="shared" si="287"/>
        <v>45893</v>
      </c>
      <c r="C260" s="238">
        <f t="shared" si="283"/>
        <v>45893</v>
      </c>
      <c r="D260" s="239">
        <f>目標_2025R7!D256</f>
        <v>1</v>
      </c>
      <c r="E260" s="240">
        <f>IF(D260=1,'適正原価率表(仕入れお小遣い制度)'!$J$18,0)</f>
        <v>13106.200602508516</v>
      </c>
      <c r="F260" s="240">
        <f t="shared" si="288"/>
        <v>235911.61084515337</v>
      </c>
      <c r="G260" s="241">
        <v>0</v>
      </c>
      <c r="H260" s="240">
        <f t="shared" si="289"/>
        <v>336953</v>
      </c>
      <c r="I260" s="242">
        <f t="shared" si="284"/>
        <v>-101041.38915484663</v>
      </c>
      <c r="J260" s="230"/>
      <c r="K260" s="237">
        <f t="shared" si="282"/>
        <v>45893</v>
      </c>
      <c r="L260" s="243">
        <f t="shared" ref="L260:M260" si="315">C260</f>
        <v>45893</v>
      </c>
      <c r="M260" s="244">
        <f t="shared" si="315"/>
        <v>1</v>
      </c>
      <c r="N260" s="240">
        <f>IF(M260=1,'適正原価率表(仕入れお小遣い制度)'!$J$19,0)</f>
        <v>11881.089632691919</v>
      </c>
      <c r="O260" s="240">
        <f t="shared" si="291"/>
        <v>213859.61338845463</v>
      </c>
      <c r="P260" s="241">
        <v>0</v>
      </c>
      <c r="Q260" s="240">
        <f t="shared" si="292"/>
        <v>342016</v>
      </c>
      <c r="R260" s="242">
        <f t="shared" si="286"/>
        <v>-128156.38661154537</v>
      </c>
      <c r="S260" s="221"/>
      <c r="T260" s="245">
        <f t="shared" si="293"/>
        <v>45893</v>
      </c>
      <c r="U260" s="221"/>
      <c r="V260" s="221"/>
      <c r="W260" s="221"/>
      <c r="X260" s="221"/>
      <c r="Y260" s="221"/>
      <c r="Z260" s="221"/>
    </row>
    <row r="261" spans="1:26" ht="18.75" customHeight="1" outlineLevel="1">
      <c r="A261" s="221"/>
      <c r="B261" s="237">
        <f t="shared" si="287"/>
        <v>45894</v>
      </c>
      <c r="C261" s="238">
        <f t="shared" si="283"/>
        <v>45894</v>
      </c>
      <c r="D261" s="239">
        <f>目標_2025R7!D257</f>
        <v>0</v>
      </c>
      <c r="E261" s="240">
        <f>IF(D261=1,'適正原価率表(仕入れお小遣い制度)'!$J$18,0)</f>
        <v>0</v>
      </c>
      <c r="F261" s="240">
        <f t="shared" si="288"/>
        <v>0</v>
      </c>
      <c r="G261" s="241">
        <v>0</v>
      </c>
      <c r="H261" s="240">
        <f t="shared" si="289"/>
        <v>0</v>
      </c>
      <c r="I261" s="242">
        <f t="shared" si="284"/>
        <v>0</v>
      </c>
      <c r="J261" s="230"/>
      <c r="K261" s="237">
        <f t="shared" si="282"/>
        <v>45894</v>
      </c>
      <c r="L261" s="243">
        <f t="shared" ref="L261:M261" si="316">C261</f>
        <v>45894</v>
      </c>
      <c r="M261" s="244">
        <f t="shared" si="316"/>
        <v>0</v>
      </c>
      <c r="N261" s="240">
        <f>IF(M261=1,'適正原価率表(仕入れお小遣い制度)'!$J$19,0)</f>
        <v>0</v>
      </c>
      <c r="O261" s="240">
        <f t="shared" si="291"/>
        <v>0</v>
      </c>
      <c r="P261" s="241">
        <v>0</v>
      </c>
      <c r="Q261" s="240">
        <f t="shared" si="292"/>
        <v>0</v>
      </c>
      <c r="R261" s="242">
        <f t="shared" si="286"/>
        <v>0</v>
      </c>
      <c r="S261" s="221"/>
      <c r="T261" s="245">
        <f t="shared" si="293"/>
        <v>45894</v>
      </c>
      <c r="U261" s="221"/>
      <c r="V261" s="221"/>
      <c r="W261" s="221"/>
      <c r="X261" s="221"/>
      <c r="Y261" s="221"/>
      <c r="Z261" s="221"/>
    </row>
    <row r="262" spans="1:26" ht="18.75" customHeight="1" outlineLevel="1">
      <c r="A262" s="221"/>
      <c r="B262" s="237">
        <f t="shared" si="287"/>
        <v>45895</v>
      </c>
      <c r="C262" s="238">
        <f t="shared" si="283"/>
        <v>45895</v>
      </c>
      <c r="D262" s="239">
        <f>目標_2025R7!D258</f>
        <v>1</v>
      </c>
      <c r="E262" s="240">
        <f>IF(D262=1,'適正原価率表(仕入れお小遣い制度)'!$J$18,0)</f>
        <v>13106.200602508516</v>
      </c>
      <c r="F262" s="240">
        <f t="shared" si="288"/>
        <v>249017.81144766189</v>
      </c>
      <c r="G262" s="241">
        <v>0</v>
      </c>
      <c r="H262" s="240">
        <f t="shared" si="289"/>
        <v>336953</v>
      </c>
      <c r="I262" s="242">
        <f t="shared" si="284"/>
        <v>-87935.188552338106</v>
      </c>
      <c r="J262" s="230"/>
      <c r="K262" s="237">
        <f t="shared" si="282"/>
        <v>45895</v>
      </c>
      <c r="L262" s="243">
        <f t="shared" ref="L262:M262" si="317">C262</f>
        <v>45895</v>
      </c>
      <c r="M262" s="244">
        <f t="shared" si="317"/>
        <v>1</v>
      </c>
      <c r="N262" s="240">
        <f>IF(M262=1,'適正原価率表(仕入れお小遣い制度)'!$J$19,0)</f>
        <v>11881.089632691919</v>
      </c>
      <c r="O262" s="240">
        <f t="shared" si="291"/>
        <v>225740.70302114656</v>
      </c>
      <c r="P262" s="241">
        <v>0</v>
      </c>
      <c r="Q262" s="240">
        <f t="shared" si="292"/>
        <v>342016</v>
      </c>
      <c r="R262" s="242">
        <f t="shared" si="286"/>
        <v>-116275.29697885344</v>
      </c>
      <c r="S262" s="221"/>
      <c r="T262" s="245">
        <f t="shared" si="293"/>
        <v>45895</v>
      </c>
      <c r="U262" s="221"/>
      <c r="V262" s="221"/>
      <c r="W262" s="221"/>
      <c r="X262" s="221"/>
      <c r="Y262" s="221"/>
      <c r="Z262" s="221"/>
    </row>
    <row r="263" spans="1:26" ht="18.75" customHeight="1" outlineLevel="1">
      <c r="A263" s="221"/>
      <c r="B263" s="237">
        <f t="shared" si="287"/>
        <v>45896</v>
      </c>
      <c r="C263" s="238">
        <f t="shared" si="283"/>
        <v>45896</v>
      </c>
      <c r="D263" s="239">
        <f>目標_2025R7!D259</f>
        <v>1</v>
      </c>
      <c r="E263" s="240">
        <f>IF(D263=1,'適正原価率表(仕入れお小遣い制度)'!$J$18,0)</f>
        <v>13106.200602508516</v>
      </c>
      <c r="F263" s="240">
        <f t="shared" si="288"/>
        <v>262124.01205017042</v>
      </c>
      <c r="G263" s="241">
        <v>12304</v>
      </c>
      <c r="H263" s="240">
        <f t="shared" si="289"/>
        <v>349257</v>
      </c>
      <c r="I263" s="242">
        <f t="shared" si="284"/>
        <v>-87132.987949829578</v>
      </c>
      <c r="J263" s="230"/>
      <c r="K263" s="237">
        <f t="shared" si="282"/>
        <v>45896</v>
      </c>
      <c r="L263" s="243">
        <f t="shared" ref="L263:M263" si="318">C263</f>
        <v>45896</v>
      </c>
      <c r="M263" s="244">
        <f t="shared" si="318"/>
        <v>1</v>
      </c>
      <c r="N263" s="240">
        <f>IF(M263=1,'適正原価率表(仕入れお小遣い制度)'!$J$19,0)</f>
        <v>11881.089632691919</v>
      </c>
      <c r="O263" s="240">
        <f t="shared" si="291"/>
        <v>237621.79265383849</v>
      </c>
      <c r="P263" s="241">
        <v>0</v>
      </c>
      <c r="Q263" s="240">
        <f t="shared" si="292"/>
        <v>342016</v>
      </c>
      <c r="R263" s="242">
        <f t="shared" si="286"/>
        <v>-104394.20734616151</v>
      </c>
      <c r="S263" s="221"/>
      <c r="T263" s="245">
        <f t="shared" si="293"/>
        <v>45896</v>
      </c>
      <c r="U263" s="221"/>
      <c r="V263" s="221"/>
      <c r="W263" s="221"/>
      <c r="X263" s="221"/>
      <c r="Y263" s="221"/>
      <c r="Z263" s="221"/>
    </row>
    <row r="264" spans="1:26" ht="18.75" customHeight="1" outlineLevel="1">
      <c r="A264" s="221"/>
      <c r="B264" s="237">
        <f t="shared" si="287"/>
        <v>45897</v>
      </c>
      <c r="C264" s="238">
        <f t="shared" si="283"/>
        <v>45897</v>
      </c>
      <c r="D264" s="239">
        <f>目標_2025R7!D260</f>
        <v>1</v>
      </c>
      <c r="E264" s="240">
        <f>IF(D264=1,'適正原価率表(仕入れお小遣い制度)'!$J$18,0)</f>
        <v>13106.200602508516</v>
      </c>
      <c r="F264" s="240">
        <f t="shared" si="288"/>
        <v>275230.21265267895</v>
      </c>
      <c r="G264" s="241">
        <v>12304</v>
      </c>
      <c r="H264" s="240">
        <f t="shared" si="289"/>
        <v>361561</v>
      </c>
      <c r="I264" s="242">
        <f t="shared" si="284"/>
        <v>-86330.787347321049</v>
      </c>
      <c r="J264" s="230"/>
      <c r="K264" s="237">
        <f t="shared" si="282"/>
        <v>45897</v>
      </c>
      <c r="L264" s="243">
        <f t="shared" ref="L264:M264" si="319">C264</f>
        <v>45897</v>
      </c>
      <c r="M264" s="244">
        <f t="shared" si="319"/>
        <v>1</v>
      </c>
      <c r="N264" s="240">
        <f>IF(M264=1,'適正原価率表(仕入れお小遣い制度)'!$J$19,0)</f>
        <v>11881.089632691919</v>
      </c>
      <c r="O264" s="240">
        <f t="shared" si="291"/>
        <v>249502.88228653042</v>
      </c>
      <c r="P264" s="241">
        <v>0</v>
      </c>
      <c r="Q264" s="240">
        <f t="shared" si="292"/>
        <v>342016</v>
      </c>
      <c r="R264" s="242">
        <f t="shared" si="286"/>
        <v>-92513.117713469575</v>
      </c>
      <c r="S264" s="221"/>
      <c r="T264" s="245">
        <f t="shared" si="293"/>
        <v>45897</v>
      </c>
      <c r="U264" s="221"/>
      <c r="V264" s="221"/>
      <c r="W264" s="221"/>
      <c r="X264" s="221"/>
      <c r="Y264" s="221"/>
      <c r="Z264" s="221"/>
    </row>
    <row r="265" spans="1:26" ht="18.75" customHeight="1" outlineLevel="1">
      <c r="A265" s="221"/>
      <c r="B265" s="237">
        <f t="shared" si="287"/>
        <v>45898</v>
      </c>
      <c r="C265" s="238">
        <f t="shared" si="283"/>
        <v>45898</v>
      </c>
      <c r="D265" s="239">
        <f>目標_2025R7!D261</f>
        <v>1</v>
      </c>
      <c r="E265" s="240">
        <f>IF(D265=1,'適正原価率表(仕入れお小遣い制度)'!$J$18,0)</f>
        <v>13106.200602508516</v>
      </c>
      <c r="F265" s="240">
        <f t="shared" si="288"/>
        <v>288336.41325518745</v>
      </c>
      <c r="G265" s="241">
        <v>0</v>
      </c>
      <c r="H265" s="240">
        <f t="shared" si="289"/>
        <v>361561</v>
      </c>
      <c r="I265" s="242">
        <f t="shared" si="284"/>
        <v>-73224.58674481255</v>
      </c>
      <c r="J265" s="230"/>
      <c r="K265" s="237">
        <f t="shared" si="282"/>
        <v>45898</v>
      </c>
      <c r="L265" s="243">
        <f t="shared" ref="L265:M265" si="320">C265</f>
        <v>45898</v>
      </c>
      <c r="M265" s="244">
        <f t="shared" si="320"/>
        <v>1</v>
      </c>
      <c r="N265" s="240">
        <f>IF(M265=1,'適正原価率表(仕入れお小遣い制度)'!$J$19,0)</f>
        <v>11881.089632691919</v>
      </c>
      <c r="O265" s="240">
        <f t="shared" si="291"/>
        <v>261383.97191922236</v>
      </c>
      <c r="P265" s="241">
        <v>0</v>
      </c>
      <c r="Q265" s="240">
        <f t="shared" si="292"/>
        <v>342016</v>
      </c>
      <c r="R265" s="242">
        <f t="shared" si="286"/>
        <v>-80632.028080777643</v>
      </c>
      <c r="S265" s="221"/>
      <c r="T265" s="245">
        <f t="shared" si="293"/>
        <v>45898</v>
      </c>
      <c r="U265" s="221"/>
      <c r="V265" s="221"/>
      <c r="W265" s="221"/>
      <c r="X265" s="221"/>
      <c r="Y265" s="221"/>
      <c r="Z265" s="221"/>
    </row>
    <row r="266" spans="1:26" ht="18.75" customHeight="1" outlineLevel="1">
      <c r="A266" s="221"/>
      <c r="B266" s="237">
        <f t="shared" si="287"/>
        <v>45899</v>
      </c>
      <c r="C266" s="238">
        <f t="shared" si="283"/>
        <v>45899</v>
      </c>
      <c r="D266" s="239">
        <f>目標_2025R7!D262</f>
        <v>1</v>
      </c>
      <c r="E266" s="240">
        <f>IF(D266=1,'適正原価率表(仕入れお小遣い制度)'!$J$18,0)</f>
        <v>13106.200602508516</v>
      </c>
      <c r="F266" s="240">
        <f t="shared" si="288"/>
        <v>301442.61385769595</v>
      </c>
      <c r="G266" s="241">
        <v>0</v>
      </c>
      <c r="H266" s="240">
        <f t="shared" si="289"/>
        <v>361561</v>
      </c>
      <c r="I266" s="242">
        <f t="shared" si="284"/>
        <v>-60118.386142304051</v>
      </c>
      <c r="J266" s="230"/>
      <c r="K266" s="237">
        <f t="shared" si="282"/>
        <v>45899</v>
      </c>
      <c r="L266" s="243">
        <f t="shared" ref="L266:M266" si="321">C266</f>
        <v>45899</v>
      </c>
      <c r="M266" s="244">
        <f t="shared" si="321"/>
        <v>1</v>
      </c>
      <c r="N266" s="240">
        <f>IF(M266=1,'適正原価率表(仕入れお小遣い制度)'!$J$19,0)</f>
        <v>11881.089632691919</v>
      </c>
      <c r="O266" s="240">
        <f t="shared" si="291"/>
        <v>273265.06155191426</v>
      </c>
      <c r="P266" s="241">
        <v>0</v>
      </c>
      <c r="Q266" s="240">
        <f t="shared" si="292"/>
        <v>342016</v>
      </c>
      <c r="R266" s="242">
        <f t="shared" si="286"/>
        <v>-68750.938448085741</v>
      </c>
      <c r="S266" s="221"/>
      <c r="T266" s="245">
        <f t="shared" si="293"/>
        <v>45899</v>
      </c>
      <c r="U266" s="221"/>
      <c r="V266" s="221"/>
      <c r="W266" s="221"/>
      <c r="X266" s="221"/>
      <c r="Y266" s="221"/>
      <c r="Z266" s="221"/>
    </row>
    <row r="267" spans="1:26" ht="18.75" customHeight="1" outlineLevel="1">
      <c r="A267" s="221"/>
      <c r="B267" s="237">
        <f t="shared" si="287"/>
        <v>45900</v>
      </c>
      <c r="C267" s="238">
        <f t="shared" si="283"/>
        <v>45900</v>
      </c>
      <c r="D267" s="239">
        <f>目標_2025R7!D263</f>
        <v>1</v>
      </c>
      <c r="E267" s="240">
        <f>IF(D267=1,'適正原価率表(仕入れお小遣い制度)'!$J$18,0)</f>
        <v>13106.200602508516</v>
      </c>
      <c r="F267" s="240">
        <f t="shared" si="288"/>
        <v>314548.81446020445</v>
      </c>
      <c r="G267" s="241">
        <v>0</v>
      </c>
      <c r="H267" s="240">
        <f t="shared" si="289"/>
        <v>361561</v>
      </c>
      <c r="I267" s="242">
        <f t="shared" si="284"/>
        <v>-47012.185539795551</v>
      </c>
      <c r="J267" s="230"/>
      <c r="K267" s="237">
        <f t="shared" si="282"/>
        <v>45900</v>
      </c>
      <c r="L267" s="243">
        <f t="shared" ref="L267:M267" si="322">C267</f>
        <v>45900</v>
      </c>
      <c r="M267" s="244">
        <f t="shared" si="322"/>
        <v>1</v>
      </c>
      <c r="N267" s="240">
        <f>IF(M267=1,'適正原価率表(仕入れお小遣い制度)'!$J$19,0)</f>
        <v>11881.089632691919</v>
      </c>
      <c r="O267" s="240">
        <f t="shared" si="291"/>
        <v>285146.15118460619</v>
      </c>
      <c r="P267" s="241">
        <v>0</v>
      </c>
      <c r="Q267" s="240">
        <f t="shared" si="292"/>
        <v>342016</v>
      </c>
      <c r="R267" s="242">
        <f t="shared" si="286"/>
        <v>-56869.848815393809</v>
      </c>
      <c r="S267" s="221"/>
      <c r="T267" s="245">
        <f t="shared" si="293"/>
        <v>45900</v>
      </c>
      <c r="U267" s="221"/>
      <c r="V267" s="221"/>
      <c r="W267" s="221"/>
      <c r="X267" s="221"/>
      <c r="Y267" s="221"/>
      <c r="Z267" s="221"/>
    </row>
    <row r="268" spans="1:26" ht="18.75" customHeight="1" outlineLevel="1">
      <c r="A268" s="221"/>
      <c r="B268" s="561" t="s">
        <v>176</v>
      </c>
      <c r="C268" s="486"/>
      <c r="D268" s="483"/>
      <c r="E268" s="247">
        <f>SUM(E237:E267)</f>
        <v>314548.81446020445</v>
      </c>
      <c r="F268" s="248"/>
      <c r="G268" s="249"/>
      <c r="H268" s="249"/>
      <c r="I268" s="249"/>
      <c r="J268" s="230"/>
      <c r="K268" s="561" t="s">
        <v>176</v>
      </c>
      <c r="L268" s="486"/>
      <c r="M268" s="483"/>
      <c r="N268" s="247">
        <f>SUM(N237:N267)</f>
        <v>285146.15118460619</v>
      </c>
      <c r="O268" s="248"/>
      <c r="P268" s="249"/>
      <c r="Q268" s="249"/>
      <c r="R268" s="249"/>
      <c r="S268" s="221"/>
      <c r="T268" s="221"/>
      <c r="U268" s="221"/>
      <c r="V268" s="221"/>
      <c r="W268" s="221"/>
      <c r="X268" s="221"/>
      <c r="Y268" s="221"/>
      <c r="Z268" s="221"/>
    </row>
    <row r="269" spans="1:26" ht="18.75" customHeight="1">
      <c r="A269" s="221"/>
      <c r="B269" s="221"/>
      <c r="C269" s="255"/>
      <c r="D269" s="255"/>
      <c r="E269" s="221"/>
      <c r="F269" s="221"/>
      <c r="G269" s="221"/>
      <c r="H269" s="221"/>
      <c r="I269" s="221"/>
      <c r="J269" s="221"/>
      <c r="K269" s="221"/>
      <c r="L269" s="255"/>
      <c r="M269" s="255"/>
      <c r="N269" s="221"/>
      <c r="O269" s="221"/>
      <c r="P269" s="221"/>
      <c r="Q269" s="221"/>
      <c r="R269" s="221"/>
      <c r="S269" s="221"/>
      <c r="T269" s="221"/>
      <c r="U269" s="221"/>
      <c r="V269" s="221"/>
      <c r="W269" s="221"/>
      <c r="X269" s="221"/>
      <c r="Y269" s="221"/>
      <c r="Z269" s="221"/>
    </row>
    <row r="270" spans="1:26" ht="18.75" customHeight="1">
      <c r="A270" s="232"/>
      <c r="B270" s="562" t="s">
        <v>60</v>
      </c>
      <c r="C270" s="486"/>
      <c r="D270" s="483"/>
      <c r="E270" s="252" t="s">
        <v>168</v>
      </c>
      <c r="F270" s="253" t="s">
        <v>169</v>
      </c>
      <c r="G270" s="253" t="s">
        <v>170</v>
      </c>
      <c r="H270" s="253" t="s">
        <v>171</v>
      </c>
      <c r="I270" s="253" t="s">
        <v>19</v>
      </c>
      <c r="J270" s="236"/>
      <c r="K270" s="562" t="str">
        <f t="shared" ref="K270:K300" si="323">B270</f>
        <v>9月</v>
      </c>
      <c r="L270" s="486"/>
      <c r="M270" s="483"/>
      <c r="N270" s="252" t="s">
        <v>172</v>
      </c>
      <c r="O270" s="253" t="s">
        <v>173</v>
      </c>
      <c r="P270" s="253" t="s">
        <v>174</v>
      </c>
      <c r="Q270" s="253" t="s">
        <v>175</v>
      </c>
      <c r="R270" s="253" t="s">
        <v>19</v>
      </c>
      <c r="S270" s="232"/>
      <c r="T270" s="232"/>
      <c r="U270" s="232"/>
      <c r="V270" s="232"/>
      <c r="W270" s="232"/>
      <c r="X270" s="232"/>
      <c r="Y270" s="232"/>
      <c r="Z270" s="232"/>
    </row>
    <row r="271" spans="1:26" ht="18.75" customHeight="1" outlineLevel="1">
      <c r="A271" s="221"/>
      <c r="B271" s="237">
        <f>B267+1</f>
        <v>45901</v>
      </c>
      <c r="C271" s="238">
        <f t="shared" ref="C271:C300" si="324">B271</f>
        <v>45901</v>
      </c>
      <c r="D271" s="239">
        <f>目標_2025R7!D264</f>
        <v>0</v>
      </c>
      <c r="E271" s="240">
        <f>IF(D271=1,'適正原価率表(仕入れお小遣い制度)'!$J$20,0)</f>
        <v>0</v>
      </c>
      <c r="F271" s="240">
        <f>IF(D271=1,E271,0)</f>
        <v>0</v>
      </c>
      <c r="G271" s="241">
        <v>0</v>
      </c>
      <c r="H271" s="240">
        <f>IF(D271=1,G271,0)</f>
        <v>0</v>
      </c>
      <c r="I271" s="242">
        <f t="shared" ref="I271:I300" si="325">IF(D271=1,F271-H271,0)</f>
        <v>0</v>
      </c>
      <c r="J271" s="230"/>
      <c r="K271" s="237">
        <f t="shared" si="323"/>
        <v>45901</v>
      </c>
      <c r="L271" s="243">
        <f t="shared" ref="L271:M271" si="326">C271</f>
        <v>45901</v>
      </c>
      <c r="M271" s="244">
        <f t="shared" si="326"/>
        <v>0</v>
      </c>
      <c r="N271" s="240">
        <f>IF(M271=1,'適正原価率表(仕入れお小遣い制度)'!$J$21,0)</f>
        <v>0</v>
      </c>
      <c r="O271" s="240">
        <f>IF(M271=1,N271,0)</f>
        <v>0</v>
      </c>
      <c r="P271" s="241">
        <v>0</v>
      </c>
      <c r="Q271" s="240">
        <f>IF(M271=1,P271,0)</f>
        <v>0</v>
      </c>
      <c r="R271" s="242">
        <f t="shared" ref="R271:R300" si="327">IF(D271=1,O271-Q271,0)</f>
        <v>0</v>
      </c>
      <c r="S271" s="221"/>
      <c r="T271" s="245">
        <f>T267+1</f>
        <v>45901</v>
      </c>
      <c r="U271" s="221"/>
      <c r="V271" s="221"/>
      <c r="W271" s="221"/>
      <c r="X271" s="221"/>
      <c r="Y271" s="221"/>
      <c r="Z271" s="221"/>
    </row>
    <row r="272" spans="1:26" ht="18.75" customHeight="1" outlineLevel="1">
      <c r="A272" s="221"/>
      <c r="B272" s="237">
        <f t="shared" ref="B272:B300" si="328">B271+1</f>
        <v>45902</v>
      </c>
      <c r="C272" s="238">
        <f t="shared" si="324"/>
        <v>45902</v>
      </c>
      <c r="D272" s="239">
        <f>目標_2025R7!D265</f>
        <v>1</v>
      </c>
      <c r="E272" s="240">
        <f>IF(D272=1,'適正原価率表(仕入れお小遣い制度)'!$J$20,0)</f>
        <v>13630.300163040061</v>
      </c>
      <c r="F272" s="240">
        <f t="shared" ref="F272:F300" si="329">IF(D272=1,SUM($E$271:E272),0)</f>
        <v>13630.300163040061</v>
      </c>
      <c r="G272" s="241">
        <v>60044</v>
      </c>
      <c r="H272" s="240">
        <f t="shared" ref="H272:H300" si="330">IF(D272=1,SUM($G$271:G272),0)</f>
        <v>60044</v>
      </c>
      <c r="I272" s="242">
        <f t="shared" si="325"/>
        <v>-46413.699836959939</v>
      </c>
      <c r="J272" s="230"/>
      <c r="K272" s="237">
        <f t="shared" si="323"/>
        <v>45902</v>
      </c>
      <c r="L272" s="243">
        <f t="shared" ref="L272:M272" si="331">C272</f>
        <v>45902</v>
      </c>
      <c r="M272" s="244">
        <f t="shared" si="331"/>
        <v>1</v>
      </c>
      <c r="N272" s="240">
        <f>IF(M272=1,'適正原価率表(仕入れお小遣い制度)'!$J$21,0)</f>
        <v>11531.689925670889</v>
      </c>
      <c r="O272" s="240">
        <f t="shared" ref="O272:O300" si="332">IF(M272=1,SUM($N$271:N272),0)</f>
        <v>11531.689925670889</v>
      </c>
      <c r="P272" s="241">
        <v>80679</v>
      </c>
      <c r="Q272" s="240">
        <f t="shared" ref="Q272:Q300" si="333">IF(M272=1,SUM($P$271:P272),0)</f>
        <v>80679</v>
      </c>
      <c r="R272" s="242">
        <f t="shared" si="327"/>
        <v>-69147.310074329114</v>
      </c>
      <c r="S272" s="221"/>
      <c r="T272" s="245">
        <f t="shared" ref="T272:T300" si="334">T271+1</f>
        <v>45902</v>
      </c>
      <c r="U272" s="221"/>
      <c r="V272" s="221"/>
      <c r="W272" s="221"/>
      <c r="X272" s="221"/>
      <c r="Y272" s="221"/>
      <c r="Z272" s="221"/>
    </row>
    <row r="273" spans="1:26" ht="18.75" customHeight="1" outlineLevel="1">
      <c r="A273" s="221"/>
      <c r="B273" s="237">
        <f t="shared" si="328"/>
        <v>45903</v>
      </c>
      <c r="C273" s="238">
        <f t="shared" si="324"/>
        <v>45903</v>
      </c>
      <c r="D273" s="239">
        <f>目標_2025R7!D266</f>
        <v>1</v>
      </c>
      <c r="E273" s="240">
        <f>IF(D273=1,'適正原価率表(仕入れお小遣い制度)'!$J$20,0)</f>
        <v>13630.300163040061</v>
      </c>
      <c r="F273" s="240">
        <f t="shared" si="329"/>
        <v>27260.600326080123</v>
      </c>
      <c r="G273" s="241">
        <v>1326</v>
      </c>
      <c r="H273" s="240">
        <f t="shared" si="330"/>
        <v>61370</v>
      </c>
      <c r="I273" s="242">
        <f t="shared" si="325"/>
        <v>-34109.399673919877</v>
      </c>
      <c r="J273" s="230"/>
      <c r="K273" s="237">
        <f t="shared" si="323"/>
        <v>45903</v>
      </c>
      <c r="L273" s="243">
        <f t="shared" ref="L273:M273" si="335">C273</f>
        <v>45903</v>
      </c>
      <c r="M273" s="244">
        <f t="shared" si="335"/>
        <v>1</v>
      </c>
      <c r="N273" s="240">
        <f>IF(M273=1,'適正原価率表(仕入れお小遣い制度)'!$J$21,0)</f>
        <v>11531.689925670889</v>
      </c>
      <c r="O273" s="240">
        <f t="shared" si="332"/>
        <v>23063.379851341779</v>
      </c>
      <c r="P273" s="241">
        <v>11198</v>
      </c>
      <c r="Q273" s="240">
        <f t="shared" si="333"/>
        <v>91877</v>
      </c>
      <c r="R273" s="242">
        <f t="shared" si="327"/>
        <v>-68813.620148658229</v>
      </c>
      <c r="S273" s="221"/>
      <c r="T273" s="245">
        <f t="shared" si="334"/>
        <v>45903</v>
      </c>
      <c r="U273" s="221"/>
      <c r="V273" s="221"/>
      <c r="W273" s="221"/>
      <c r="X273" s="221"/>
      <c r="Y273" s="221"/>
      <c r="Z273" s="221"/>
    </row>
    <row r="274" spans="1:26" ht="18.75" customHeight="1" outlineLevel="1">
      <c r="A274" s="221"/>
      <c r="B274" s="237">
        <f t="shared" si="328"/>
        <v>45904</v>
      </c>
      <c r="C274" s="238">
        <f t="shared" si="324"/>
        <v>45904</v>
      </c>
      <c r="D274" s="239">
        <f>目標_2025R7!D267</f>
        <v>1</v>
      </c>
      <c r="E274" s="240">
        <f>IF(D274=1,'適正原価率表(仕入れお小遣い制度)'!$J$20,0)</f>
        <v>13630.300163040061</v>
      </c>
      <c r="F274" s="240">
        <f t="shared" si="329"/>
        <v>40890.900489120184</v>
      </c>
      <c r="G274" s="241">
        <v>0</v>
      </c>
      <c r="H274" s="240">
        <f t="shared" si="330"/>
        <v>61370</v>
      </c>
      <c r="I274" s="242">
        <f t="shared" si="325"/>
        <v>-20479.099510879816</v>
      </c>
      <c r="J274" s="230"/>
      <c r="K274" s="237">
        <f t="shared" si="323"/>
        <v>45904</v>
      </c>
      <c r="L274" s="243">
        <f t="shared" ref="L274:M274" si="336">C274</f>
        <v>45904</v>
      </c>
      <c r="M274" s="244">
        <f t="shared" si="336"/>
        <v>1</v>
      </c>
      <c r="N274" s="240">
        <f>IF(M274=1,'適正原価率表(仕入れお小遣い制度)'!$J$21,0)</f>
        <v>11531.689925670889</v>
      </c>
      <c r="O274" s="240">
        <f t="shared" si="332"/>
        <v>34595.069777012672</v>
      </c>
      <c r="P274" s="241">
        <v>0</v>
      </c>
      <c r="Q274" s="240">
        <f t="shared" si="333"/>
        <v>91877</v>
      </c>
      <c r="R274" s="242">
        <f t="shared" si="327"/>
        <v>-57281.930222987328</v>
      </c>
      <c r="S274" s="221"/>
      <c r="T274" s="245">
        <f t="shared" si="334"/>
        <v>45904</v>
      </c>
      <c r="U274" s="221"/>
      <c r="V274" s="221"/>
      <c r="W274" s="221"/>
      <c r="X274" s="221"/>
      <c r="Y274" s="221"/>
      <c r="Z274" s="221"/>
    </row>
    <row r="275" spans="1:26" ht="18.75" customHeight="1" outlineLevel="1">
      <c r="A275" s="221"/>
      <c r="B275" s="237">
        <f t="shared" si="328"/>
        <v>45905</v>
      </c>
      <c r="C275" s="238">
        <f t="shared" si="324"/>
        <v>45905</v>
      </c>
      <c r="D275" s="239">
        <f>目標_2025R7!D268</f>
        <v>1</v>
      </c>
      <c r="E275" s="240">
        <f>IF(D275=1,'適正原価率表(仕入れお小遣い制度)'!$J$20,0)</f>
        <v>13630.300163040061</v>
      </c>
      <c r="F275" s="240">
        <f t="shared" si="329"/>
        <v>54521.200652160245</v>
      </c>
      <c r="G275" s="241">
        <v>2699</v>
      </c>
      <c r="H275" s="240">
        <f t="shared" si="330"/>
        <v>64069</v>
      </c>
      <c r="I275" s="242">
        <f t="shared" si="325"/>
        <v>-9547.7993478397548</v>
      </c>
      <c r="J275" s="230"/>
      <c r="K275" s="237">
        <f t="shared" si="323"/>
        <v>45905</v>
      </c>
      <c r="L275" s="243">
        <f t="shared" ref="L275:M275" si="337">C275</f>
        <v>45905</v>
      </c>
      <c r="M275" s="244">
        <f t="shared" si="337"/>
        <v>1</v>
      </c>
      <c r="N275" s="240">
        <f>IF(M275=1,'適正原価率表(仕入れお小遣い制度)'!$J$21,0)</f>
        <v>11531.689925670889</v>
      </c>
      <c r="O275" s="240">
        <f t="shared" si="332"/>
        <v>46126.759702683557</v>
      </c>
      <c r="P275" s="241">
        <v>31235</v>
      </c>
      <c r="Q275" s="240">
        <f t="shared" si="333"/>
        <v>123112</v>
      </c>
      <c r="R275" s="242">
        <f t="shared" si="327"/>
        <v>-76985.240297316443</v>
      </c>
      <c r="S275" s="221"/>
      <c r="T275" s="245">
        <f t="shared" si="334"/>
        <v>45905</v>
      </c>
      <c r="U275" s="221"/>
      <c r="V275" s="221"/>
      <c r="W275" s="221"/>
      <c r="X275" s="221"/>
      <c r="Y275" s="221"/>
      <c r="Z275" s="221"/>
    </row>
    <row r="276" spans="1:26" ht="18.75" customHeight="1" outlineLevel="1">
      <c r="A276" s="221"/>
      <c r="B276" s="237">
        <f t="shared" si="328"/>
        <v>45906</v>
      </c>
      <c r="C276" s="238">
        <f t="shared" si="324"/>
        <v>45906</v>
      </c>
      <c r="D276" s="239">
        <f>目標_2025R7!D269</f>
        <v>1</v>
      </c>
      <c r="E276" s="240">
        <f>IF(D276=1,'適正原価率表(仕入れお小遣い制度)'!$J$20,0)</f>
        <v>13630.300163040061</v>
      </c>
      <c r="F276" s="240">
        <f t="shared" si="329"/>
        <v>68151.500815200299</v>
      </c>
      <c r="G276" s="241">
        <v>9993</v>
      </c>
      <c r="H276" s="240">
        <f t="shared" si="330"/>
        <v>74062</v>
      </c>
      <c r="I276" s="242">
        <f t="shared" si="325"/>
        <v>-5910.4991847997007</v>
      </c>
      <c r="J276" s="230"/>
      <c r="K276" s="237">
        <f t="shared" si="323"/>
        <v>45906</v>
      </c>
      <c r="L276" s="243">
        <f t="shared" ref="L276:M276" si="338">C276</f>
        <v>45906</v>
      </c>
      <c r="M276" s="244">
        <f t="shared" si="338"/>
        <v>1</v>
      </c>
      <c r="N276" s="240">
        <f>IF(M276=1,'適正原価率表(仕入れお小遣い制度)'!$J$21,0)</f>
        <v>11531.689925670889</v>
      </c>
      <c r="O276" s="240">
        <f t="shared" si="332"/>
        <v>57658.449628354443</v>
      </c>
      <c r="P276" s="241">
        <v>1981</v>
      </c>
      <c r="Q276" s="240">
        <f t="shared" si="333"/>
        <v>125093</v>
      </c>
      <c r="R276" s="242">
        <f t="shared" si="327"/>
        <v>-67434.550371645557</v>
      </c>
      <c r="S276" s="221"/>
      <c r="T276" s="245">
        <f t="shared" si="334"/>
        <v>45906</v>
      </c>
      <c r="U276" s="221"/>
      <c r="V276" s="221"/>
      <c r="W276" s="221"/>
      <c r="X276" s="221"/>
      <c r="Y276" s="221"/>
      <c r="Z276" s="221"/>
    </row>
    <row r="277" spans="1:26" ht="18.75" customHeight="1" outlineLevel="1">
      <c r="A277" s="221"/>
      <c r="B277" s="237">
        <f t="shared" si="328"/>
        <v>45907</v>
      </c>
      <c r="C277" s="238">
        <f t="shared" si="324"/>
        <v>45907</v>
      </c>
      <c r="D277" s="239">
        <f>目標_2025R7!D270</f>
        <v>1</v>
      </c>
      <c r="E277" s="240">
        <f>IF(D277=1,'適正原価率表(仕入れお小遣い制度)'!$J$20,0)</f>
        <v>13630.300163040061</v>
      </c>
      <c r="F277" s="240">
        <f t="shared" si="329"/>
        <v>81781.800978240353</v>
      </c>
      <c r="G277" s="241">
        <v>3275</v>
      </c>
      <c r="H277" s="240">
        <f t="shared" si="330"/>
        <v>77337</v>
      </c>
      <c r="I277" s="242">
        <f t="shared" si="325"/>
        <v>4444.8009782403533</v>
      </c>
      <c r="J277" s="230"/>
      <c r="K277" s="237">
        <f t="shared" si="323"/>
        <v>45907</v>
      </c>
      <c r="L277" s="243">
        <f t="shared" ref="L277:M277" si="339">C277</f>
        <v>45907</v>
      </c>
      <c r="M277" s="244">
        <f t="shared" si="339"/>
        <v>1</v>
      </c>
      <c r="N277" s="240">
        <f>IF(M277=1,'適正原価率表(仕入れお小遣い制度)'!$J$21,0)</f>
        <v>11531.689925670889</v>
      </c>
      <c r="O277" s="240">
        <f t="shared" si="332"/>
        <v>69190.139554025329</v>
      </c>
      <c r="P277" s="241">
        <v>254</v>
      </c>
      <c r="Q277" s="240">
        <f t="shared" si="333"/>
        <v>125347</v>
      </c>
      <c r="R277" s="242">
        <f t="shared" si="327"/>
        <v>-56156.860445974671</v>
      </c>
      <c r="S277" s="221"/>
      <c r="T277" s="245">
        <f t="shared" si="334"/>
        <v>45907</v>
      </c>
      <c r="U277" s="221"/>
      <c r="V277" s="221"/>
      <c r="W277" s="221"/>
      <c r="X277" s="221"/>
      <c r="Y277" s="221"/>
      <c r="Z277" s="221"/>
    </row>
    <row r="278" spans="1:26" ht="18.75" customHeight="1" outlineLevel="1">
      <c r="A278" s="221"/>
      <c r="B278" s="237">
        <f t="shared" si="328"/>
        <v>45908</v>
      </c>
      <c r="C278" s="238">
        <f t="shared" si="324"/>
        <v>45908</v>
      </c>
      <c r="D278" s="239">
        <f>目標_2025R7!D271</f>
        <v>0</v>
      </c>
      <c r="E278" s="240">
        <f>IF(D278=1,'適正原価率表(仕入れお小遣い制度)'!$J$20,0)</f>
        <v>0</v>
      </c>
      <c r="F278" s="240">
        <f t="shared" si="329"/>
        <v>0</v>
      </c>
      <c r="G278" s="241">
        <v>0</v>
      </c>
      <c r="H278" s="240">
        <f t="shared" si="330"/>
        <v>0</v>
      </c>
      <c r="I278" s="242">
        <f t="shared" si="325"/>
        <v>0</v>
      </c>
      <c r="J278" s="230"/>
      <c r="K278" s="237">
        <f t="shared" si="323"/>
        <v>45908</v>
      </c>
      <c r="L278" s="243">
        <f t="shared" ref="L278:M278" si="340">C278</f>
        <v>45908</v>
      </c>
      <c r="M278" s="244">
        <f t="shared" si="340"/>
        <v>0</v>
      </c>
      <c r="N278" s="240">
        <f>IF(M278=1,'適正原価率表(仕入れお小遣い制度)'!$J$21,0)</f>
        <v>0</v>
      </c>
      <c r="O278" s="240">
        <f t="shared" si="332"/>
        <v>0</v>
      </c>
      <c r="P278" s="241">
        <v>0</v>
      </c>
      <c r="Q278" s="240">
        <f t="shared" si="333"/>
        <v>0</v>
      </c>
      <c r="R278" s="242">
        <f t="shared" si="327"/>
        <v>0</v>
      </c>
      <c r="S278" s="221"/>
      <c r="T278" s="245">
        <f t="shared" si="334"/>
        <v>45908</v>
      </c>
      <c r="U278" s="221"/>
      <c r="V278" s="221"/>
      <c r="W278" s="221"/>
      <c r="X278" s="221"/>
      <c r="Y278" s="221"/>
      <c r="Z278" s="221"/>
    </row>
    <row r="279" spans="1:26" ht="18.75" customHeight="1" outlineLevel="1">
      <c r="A279" s="221"/>
      <c r="B279" s="237">
        <f t="shared" si="328"/>
        <v>45909</v>
      </c>
      <c r="C279" s="238">
        <f t="shared" si="324"/>
        <v>45909</v>
      </c>
      <c r="D279" s="239">
        <f>目標_2025R7!D272</f>
        <v>1</v>
      </c>
      <c r="E279" s="240">
        <f>IF(D279=1,'適正原価率表(仕入れお小遣い制度)'!$J$20,0)</f>
        <v>13630.300163040061</v>
      </c>
      <c r="F279" s="240">
        <f t="shared" si="329"/>
        <v>95412.101141280407</v>
      </c>
      <c r="G279" s="241">
        <v>14357</v>
      </c>
      <c r="H279" s="240">
        <f t="shared" si="330"/>
        <v>91694</v>
      </c>
      <c r="I279" s="242">
        <f t="shared" si="325"/>
        <v>3718.1011412804073</v>
      </c>
      <c r="J279" s="230"/>
      <c r="K279" s="237">
        <f t="shared" si="323"/>
        <v>45909</v>
      </c>
      <c r="L279" s="243">
        <f t="shared" ref="L279:M279" si="341">C279</f>
        <v>45909</v>
      </c>
      <c r="M279" s="244">
        <f t="shared" si="341"/>
        <v>1</v>
      </c>
      <c r="N279" s="240">
        <f>IF(M279=1,'適正原価率表(仕入れお小遣い制度)'!$J$21,0)</f>
        <v>11531.689925670889</v>
      </c>
      <c r="O279" s="240">
        <f t="shared" si="332"/>
        <v>80721.829479696215</v>
      </c>
      <c r="P279" s="241">
        <v>0</v>
      </c>
      <c r="Q279" s="240">
        <f t="shared" si="333"/>
        <v>125347</v>
      </c>
      <c r="R279" s="242">
        <f t="shared" si="327"/>
        <v>-44625.170520303785</v>
      </c>
      <c r="S279" s="221"/>
      <c r="T279" s="245">
        <f t="shared" si="334"/>
        <v>45909</v>
      </c>
      <c r="U279" s="221"/>
      <c r="V279" s="221"/>
      <c r="W279" s="221"/>
      <c r="X279" s="221"/>
      <c r="Y279" s="221"/>
      <c r="Z279" s="221"/>
    </row>
    <row r="280" spans="1:26" ht="18.75" customHeight="1" outlineLevel="1">
      <c r="A280" s="221"/>
      <c r="B280" s="237">
        <f t="shared" si="328"/>
        <v>45910</v>
      </c>
      <c r="C280" s="238">
        <f t="shared" si="324"/>
        <v>45910</v>
      </c>
      <c r="D280" s="239">
        <f>目標_2025R7!D273</f>
        <v>1</v>
      </c>
      <c r="E280" s="240">
        <f>IF(D280=1,'適正原価率表(仕入れお小遣い制度)'!$J$20,0)</f>
        <v>13630.300163040061</v>
      </c>
      <c r="F280" s="240">
        <f t="shared" si="329"/>
        <v>109042.40130432046</v>
      </c>
      <c r="G280" s="241">
        <v>5901</v>
      </c>
      <c r="H280" s="240">
        <f t="shared" si="330"/>
        <v>97595</v>
      </c>
      <c r="I280" s="242">
        <f t="shared" si="325"/>
        <v>11447.401304320461</v>
      </c>
      <c r="J280" s="230"/>
      <c r="K280" s="237">
        <f t="shared" si="323"/>
        <v>45910</v>
      </c>
      <c r="L280" s="243">
        <f t="shared" ref="L280:M280" si="342">C280</f>
        <v>45910</v>
      </c>
      <c r="M280" s="244">
        <f t="shared" si="342"/>
        <v>1</v>
      </c>
      <c r="N280" s="240">
        <f>IF(M280=1,'適正原価率表(仕入れお小遣い制度)'!$J$21,0)</f>
        <v>11531.689925670889</v>
      </c>
      <c r="O280" s="240">
        <f t="shared" si="332"/>
        <v>92253.5194053671</v>
      </c>
      <c r="P280" s="241">
        <v>0</v>
      </c>
      <c r="Q280" s="240">
        <f t="shared" si="333"/>
        <v>125347</v>
      </c>
      <c r="R280" s="242">
        <f t="shared" si="327"/>
        <v>-33093.4805946329</v>
      </c>
      <c r="S280" s="221"/>
      <c r="T280" s="245">
        <f t="shared" si="334"/>
        <v>45910</v>
      </c>
      <c r="U280" s="221"/>
      <c r="V280" s="221"/>
      <c r="W280" s="221"/>
      <c r="X280" s="221"/>
      <c r="Y280" s="221"/>
      <c r="Z280" s="221"/>
    </row>
    <row r="281" spans="1:26" ht="18.75" customHeight="1" outlineLevel="1">
      <c r="A281" s="221"/>
      <c r="B281" s="237">
        <f t="shared" si="328"/>
        <v>45911</v>
      </c>
      <c r="C281" s="238">
        <f t="shared" si="324"/>
        <v>45911</v>
      </c>
      <c r="D281" s="239">
        <f>目標_2025R7!D274</f>
        <v>1</v>
      </c>
      <c r="E281" s="240">
        <f>IF(D281=1,'適正原価率表(仕入れお小遣い制度)'!$J$20,0)</f>
        <v>13630.300163040061</v>
      </c>
      <c r="F281" s="240">
        <f t="shared" si="329"/>
        <v>122672.70146736052</v>
      </c>
      <c r="G281" s="241">
        <v>16830</v>
      </c>
      <c r="H281" s="240">
        <f t="shared" si="330"/>
        <v>114425</v>
      </c>
      <c r="I281" s="242">
        <f t="shared" si="325"/>
        <v>8247.7014673605154</v>
      </c>
      <c r="J281" s="230"/>
      <c r="K281" s="237">
        <f t="shared" si="323"/>
        <v>45911</v>
      </c>
      <c r="L281" s="243">
        <f t="shared" ref="L281:M281" si="343">C281</f>
        <v>45911</v>
      </c>
      <c r="M281" s="244">
        <f t="shared" si="343"/>
        <v>1</v>
      </c>
      <c r="N281" s="240">
        <f>IF(M281=1,'適正原価率表(仕入れお小遣い制度)'!$J$21,0)</f>
        <v>11531.689925670889</v>
      </c>
      <c r="O281" s="240">
        <f t="shared" si="332"/>
        <v>103785.20933103799</v>
      </c>
      <c r="P281" s="241">
        <v>4703</v>
      </c>
      <c r="Q281" s="240">
        <f t="shared" si="333"/>
        <v>130050</v>
      </c>
      <c r="R281" s="242">
        <f t="shared" si="327"/>
        <v>-26264.790668962014</v>
      </c>
      <c r="S281" s="221"/>
      <c r="T281" s="245">
        <f t="shared" si="334"/>
        <v>45911</v>
      </c>
      <c r="U281" s="221"/>
      <c r="V281" s="221"/>
      <c r="W281" s="221"/>
      <c r="X281" s="221"/>
      <c r="Y281" s="221"/>
      <c r="Z281" s="221"/>
    </row>
    <row r="282" spans="1:26" ht="18.75" customHeight="1" outlineLevel="1">
      <c r="A282" s="221"/>
      <c r="B282" s="237">
        <f t="shared" si="328"/>
        <v>45912</v>
      </c>
      <c r="C282" s="238">
        <f t="shared" si="324"/>
        <v>45912</v>
      </c>
      <c r="D282" s="239">
        <f>目標_2025R7!D275</f>
        <v>1</v>
      </c>
      <c r="E282" s="240">
        <f>IF(D282=1,'適正原価率表(仕入れお小遣い制度)'!$J$20,0)</f>
        <v>13630.300163040061</v>
      </c>
      <c r="F282" s="240">
        <f t="shared" si="329"/>
        <v>136303.00163040057</v>
      </c>
      <c r="G282" s="241">
        <v>4690</v>
      </c>
      <c r="H282" s="240">
        <f t="shared" si="330"/>
        <v>119115</v>
      </c>
      <c r="I282" s="242">
        <f t="shared" si="325"/>
        <v>17188.001630400569</v>
      </c>
      <c r="J282" s="230"/>
      <c r="K282" s="237">
        <f t="shared" si="323"/>
        <v>45912</v>
      </c>
      <c r="L282" s="243">
        <f t="shared" ref="L282:M282" si="344">C282</f>
        <v>45912</v>
      </c>
      <c r="M282" s="244">
        <f t="shared" si="344"/>
        <v>1</v>
      </c>
      <c r="N282" s="240">
        <f>IF(M282=1,'適正原価率表(仕入れお小遣い制度)'!$J$21,0)</f>
        <v>11531.689925670889</v>
      </c>
      <c r="O282" s="240">
        <f t="shared" si="332"/>
        <v>115316.89925670887</v>
      </c>
      <c r="P282" s="241">
        <v>0</v>
      </c>
      <c r="Q282" s="240">
        <f t="shared" si="333"/>
        <v>130050</v>
      </c>
      <c r="R282" s="242">
        <f t="shared" si="327"/>
        <v>-14733.100743291128</v>
      </c>
      <c r="S282" s="221"/>
      <c r="T282" s="245">
        <f t="shared" si="334"/>
        <v>45912</v>
      </c>
      <c r="U282" s="221"/>
      <c r="V282" s="221"/>
      <c r="W282" s="221"/>
      <c r="X282" s="221"/>
      <c r="Y282" s="221"/>
      <c r="Z282" s="221"/>
    </row>
    <row r="283" spans="1:26" ht="18.75" customHeight="1" outlineLevel="1">
      <c r="A283" s="221"/>
      <c r="B283" s="237">
        <f t="shared" si="328"/>
        <v>45913</v>
      </c>
      <c r="C283" s="238">
        <f t="shared" si="324"/>
        <v>45913</v>
      </c>
      <c r="D283" s="239">
        <f>目標_2025R7!D276</f>
        <v>1</v>
      </c>
      <c r="E283" s="240">
        <f>IF(D283=1,'適正原価率表(仕入れお小遣い制度)'!$J$20,0)</f>
        <v>13630.300163040061</v>
      </c>
      <c r="F283" s="240">
        <f t="shared" si="329"/>
        <v>149933.30179344062</v>
      </c>
      <c r="G283" s="241">
        <v>35958</v>
      </c>
      <c r="H283" s="240">
        <f t="shared" si="330"/>
        <v>155073</v>
      </c>
      <c r="I283" s="242">
        <f t="shared" si="325"/>
        <v>-5139.6982065593766</v>
      </c>
      <c r="J283" s="230"/>
      <c r="K283" s="237">
        <f t="shared" si="323"/>
        <v>45913</v>
      </c>
      <c r="L283" s="243">
        <f t="shared" ref="L283:M283" si="345">C283</f>
        <v>45913</v>
      </c>
      <c r="M283" s="244">
        <f t="shared" si="345"/>
        <v>1</v>
      </c>
      <c r="N283" s="240">
        <f>IF(M283=1,'適正原価率表(仕入れお小遣い制度)'!$J$21,0)</f>
        <v>11531.689925670889</v>
      </c>
      <c r="O283" s="240">
        <f t="shared" si="332"/>
        <v>126848.58918237976</v>
      </c>
      <c r="P283" s="241">
        <v>7693</v>
      </c>
      <c r="Q283" s="240">
        <f t="shared" si="333"/>
        <v>137743</v>
      </c>
      <c r="R283" s="242">
        <f t="shared" si="327"/>
        <v>-10894.410817620243</v>
      </c>
      <c r="S283" s="221"/>
      <c r="T283" s="245">
        <f t="shared" si="334"/>
        <v>45913</v>
      </c>
      <c r="U283" s="221"/>
      <c r="V283" s="221"/>
      <c r="W283" s="221"/>
      <c r="X283" s="221"/>
      <c r="Y283" s="221"/>
      <c r="Z283" s="221"/>
    </row>
    <row r="284" spans="1:26" ht="18.75" customHeight="1" outlineLevel="1">
      <c r="A284" s="221"/>
      <c r="B284" s="237">
        <f t="shared" si="328"/>
        <v>45914</v>
      </c>
      <c r="C284" s="238">
        <f t="shared" si="324"/>
        <v>45914</v>
      </c>
      <c r="D284" s="239">
        <f>目標_2025R7!D277</f>
        <v>0</v>
      </c>
      <c r="E284" s="240">
        <f>IF(D284=1,'適正原価率表(仕入れお小遣い制度)'!$J$20,0)</f>
        <v>0</v>
      </c>
      <c r="F284" s="240">
        <f t="shared" si="329"/>
        <v>0</v>
      </c>
      <c r="G284" s="241">
        <v>14796</v>
      </c>
      <c r="H284" s="240">
        <f t="shared" si="330"/>
        <v>0</v>
      </c>
      <c r="I284" s="242">
        <f t="shared" si="325"/>
        <v>0</v>
      </c>
      <c r="J284" s="230"/>
      <c r="K284" s="237">
        <f t="shared" si="323"/>
        <v>45914</v>
      </c>
      <c r="L284" s="243">
        <f t="shared" ref="L284:M284" si="346">C284</f>
        <v>45914</v>
      </c>
      <c r="M284" s="244">
        <f t="shared" si="346"/>
        <v>0</v>
      </c>
      <c r="N284" s="240">
        <f>IF(M284=1,'適正原価率表(仕入れお小遣い制度)'!$J$21,0)</f>
        <v>0</v>
      </c>
      <c r="O284" s="240">
        <f t="shared" si="332"/>
        <v>0</v>
      </c>
      <c r="P284" s="241">
        <v>0</v>
      </c>
      <c r="Q284" s="240">
        <f t="shared" si="333"/>
        <v>0</v>
      </c>
      <c r="R284" s="242">
        <f t="shared" si="327"/>
        <v>0</v>
      </c>
      <c r="S284" s="221"/>
      <c r="T284" s="245">
        <f t="shared" si="334"/>
        <v>45914</v>
      </c>
      <c r="U284" s="221"/>
      <c r="V284" s="221"/>
      <c r="W284" s="221"/>
      <c r="X284" s="221"/>
      <c r="Y284" s="221"/>
      <c r="Z284" s="221"/>
    </row>
    <row r="285" spans="1:26" ht="18.75" customHeight="1" outlineLevel="1">
      <c r="A285" s="221"/>
      <c r="B285" s="237">
        <f t="shared" si="328"/>
        <v>45915</v>
      </c>
      <c r="C285" s="238">
        <f t="shared" si="324"/>
        <v>45915</v>
      </c>
      <c r="D285" s="239">
        <f>目標_2025R7!D278</f>
        <v>0</v>
      </c>
      <c r="E285" s="240">
        <f>IF(D285=1,'適正原価率表(仕入れお小遣い制度)'!$J$20,0)</f>
        <v>0</v>
      </c>
      <c r="F285" s="240">
        <f t="shared" si="329"/>
        <v>0</v>
      </c>
      <c r="G285" s="241">
        <v>0</v>
      </c>
      <c r="H285" s="240">
        <f t="shared" si="330"/>
        <v>0</v>
      </c>
      <c r="I285" s="242">
        <f t="shared" si="325"/>
        <v>0</v>
      </c>
      <c r="J285" s="230"/>
      <c r="K285" s="237">
        <f t="shared" si="323"/>
        <v>45915</v>
      </c>
      <c r="L285" s="243">
        <f t="shared" ref="L285:M285" si="347">C285</f>
        <v>45915</v>
      </c>
      <c r="M285" s="244">
        <f t="shared" si="347"/>
        <v>0</v>
      </c>
      <c r="N285" s="240">
        <f>IF(M285=1,'適正原価率表(仕入れお小遣い制度)'!$J$21,0)</f>
        <v>0</v>
      </c>
      <c r="O285" s="240">
        <f t="shared" si="332"/>
        <v>0</v>
      </c>
      <c r="P285" s="241">
        <v>0</v>
      </c>
      <c r="Q285" s="240">
        <f t="shared" si="333"/>
        <v>0</v>
      </c>
      <c r="R285" s="242">
        <f t="shared" si="327"/>
        <v>0</v>
      </c>
      <c r="S285" s="221"/>
      <c r="T285" s="245">
        <f t="shared" si="334"/>
        <v>45915</v>
      </c>
      <c r="U285" s="221"/>
      <c r="V285" s="221"/>
      <c r="W285" s="221"/>
      <c r="X285" s="221"/>
      <c r="Y285" s="221"/>
      <c r="Z285" s="221"/>
    </row>
    <row r="286" spans="1:26" ht="18.75" customHeight="1" outlineLevel="1">
      <c r="A286" s="221"/>
      <c r="B286" s="237">
        <f t="shared" si="328"/>
        <v>45916</v>
      </c>
      <c r="C286" s="238">
        <f t="shared" si="324"/>
        <v>45916</v>
      </c>
      <c r="D286" s="239">
        <f>目標_2025R7!D279</f>
        <v>1</v>
      </c>
      <c r="E286" s="240">
        <f>IF(D286=1,'適正原価率表(仕入れお小遣い制度)'!$J$20,0)</f>
        <v>13630.300163040061</v>
      </c>
      <c r="F286" s="240">
        <f t="shared" si="329"/>
        <v>163563.60195648068</v>
      </c>
      <c r="G286" s="241">
        <v>7474</v>
      </c>
      <c r="H286" s="240">
        <f t="shared" si="330"/>
        <v>177343</v>
      </c>
      <c r="I286" s="242">
        <f t="shared" si="325"/>
        <v>-13779.398043519323</v>
      </c>
      <c r="J286" s="230"/>
      <c r="K286" s="237">
        <f t="shared" si="323"/>
        <v>45916</v>
      </c>
      <c r="L286" s="243">
        <f t="shared" ref="L286:M286" si="348">C286</f>
        <v>45916</v>
      </c>
      <c r="M286" s="244">
        <f t="shared" si="348"/>
        <v>1</v>
      </c>
      <c r="N286" s="240">
        <f>IF(M286=1,'適正原価率表(仕入れお小遣い制度)'!$J$21,0)</f>
        <v>11531.689925670889</v>
      </c>
      <c r="O286" s="240">
        <f t="shared" si="332"/>
        <v>138380.27910805066</v>
      </c>
      <c r="P286" s="241">
        <v>18437</v>
      </c>
      <c r="Q286" s="240">
        <f t="shared" si="333"/>
        <v>156180</v>
      </c>
      <c r="R286" s="242">
        <f t="shared" si="327"/>
        <v>-17799.720891949342</v>
      </c>
      <c r="S286" s="221"/>
      <c r="T286" s="245">
        <f t="shared" si="334"/>
        <v>45916</v>
      </c>
      <c r="U286" s="221"/>
      <c r="V286" s="221"/>
      <c r="W286" s="221"/>
      <c r="X286" s="221"/>
      <c r="Y286" s="221"/>
      <c r="Z286" s="221"/>
    </row>
    <row r="287" spans="1:26" ht="18.75" customHeight="1" outlineLevel="1">
      <c r="A287" s="221"/>
      <c r="B287" s="237">
        <f t="shared" si="328"/>
        <v>45917</v>
      </c>
      <c r="C287" s="238">
        <f t="shared" si="324"/>
        <v>45917</v>
      </c>
      <c r="D287" s="239">
        <f>目標_2025R7!D280</f>
        <v>1</v>
      </c>
      <c r="E287" s="240">
        <f>IF(D287=1,'適正原価率表(仕入れお小遣い制度)'!$J$20,0)</f>
        <v>13630.300163040061</v>
      </c>
      <c r="F287" s="240">
        <f t="shared" si="329"/>
        <v>177193.90211952073</v>
      </c>
      <c r="G287" s="241">
        <v>5949</v>
      </c>
      <c r="H287" s="240">
        <f t="shared" si="330"/>
        <v>183292</v>
      </c>
      <c r="I287" s="242">
        <f t="shared" si="325"/>
        <v>-6098.0978804792685</v>
      </c>
      <c r="J287" s="230"/>
      <c r="K287" s="237">
        <f t="shared" si="323"/>
        <v>45917</v>
      </c>
      <c r="L287" s="243">
        <f t="shared" ref="L287:M287" si="349">C287</f>
        <v>45917</v>
      </c>
      <c r="M287" s="244">
        <f t="shared" si="349"/>
        <v>1</v>
      </c>
      <c r="N287" s="240">
        <f>IF(M287=1,'適正原価率表(仕入れお小遣い制度)'!$J$21,0)</f>
        <v>11531.689925670889</v>
      </c>
      <c r="O287" s="240">
        <f t="shared" si="332"/>
        <v>149911.96903372154</v>
      </c>
      <c r="P287" s="241">
        <v>4620</v>
      </c>
      <c r="Q287" s="240">
        <f t="shared" si="333"/>
        <v>160800</v>
      </c>
      <c r="R287" s="242">
        <f t="shared" si="327"/>
        <v>-10888.030966278457</v>
      </c>
      <c r="S287" s="221"/>
      <c r="T287" s="245">
        <f t="shared" si="334"/>
        <v>45917</v>
      </c>
      <c r="U287" s="221"/>
      <c r="V287" s="221"/>
      <c r="W287" s="221"/>
      <c r="X287" s="221"/>
      <c r="Y287" s="221"/>
      <c r="Z287" s="221"/>
    </row>
    <row r="288" spans="1:26" ht="18.75" customHeight="1" outlineLevel="1">
      <c r="A288" s="221"/>
      <c r="B288" s="237">
        <f t="shared" si="328"/>
        <v>45918</v>
      </c>
      <c r="C288" s="238">
        <f t="shared" si="324"/>
        <v>45918</v>
      </c>
      <c r="D288" s="239">
        <f>目標_2025R7!D281</f>
        <v>1</v>
      </c>
      <c r="E288" s="240">
        <f>IF(D288=1,'適正原価率表(仕入れお小遣い制度)'!$J$20,0)</f>
        <v>13630.300163040061</v>
      </c>
      <c r="F288" s="240">
        <f t="shared" si="329"/>
        <v>190824.20228256079</v>
      </c>
      <c r="G288" s="241">
        <v>13909</v>
      </c>
      <c r="H288" s="240">
        <f t="shared" si="330"/>
        <v>197201</v>
      </c>
      <c r="I288" s="242">
        <f t="shared" si="325"/>
        <v>-6376.7977174392145</v>
      </c>
      <c r="J288" s="230"/>
      <c r="K288" s="237">
        <f t="shared" si="323"/>
        <v>45918</v>
      </c>
      <c r="L288" s="243">
        <f t="shared" ref="L288:M288" si="350">C288</f>
        <v>45918</v>
      </c>
      <c r="M288" s="244">
        <f t="shared" si="350"/>
        <v>1</v>
      </c>
      <c r="N288" s="240">
        <f>IF(M288=1,'適正原価率表(仕入れお小遣い制度)'!$J$21,0)</f>
        <v>11531.689925670889</v>
      </c>
      <c r="O288" s="240">
        <f t="shared" si="332"/>
        <v>161443.65895939243</v>
      </c>
      <c r="P288" s="241">
        <v>15408</v>
      </c>
      <c r="Q288" s="240">
        <f t="shared" si="333"/>
        <v>176208</v>
      </c>
      <c r="R288" s="242">
        <f t="shared" si="327"/>
        <v>-14764.341040607571</v>
      </c>
      <c r="S288" s="221"/>
      <c r="T288" s="245">
        <f t="shared" si="334"/>
        <v>45918</v>
      </c>
      <c r="U288" s="221"/>
      <c r="V288" s="221"/>
      <c r="W288" s="221"/>
      <c r="X288" s="221"/>
      <c r="Y288" s="221"/>
      <c r="Z288" s="221"/>
    </row>
    <row r="289" spans="1:26" ht="18.75" customHeight="1" outlineLevel="1">
      <c r="A289" s="221"/>
      <c r="B289" s="237">
        <f t="shared" si="328"/>
        <v>45919</v>
      </c>
      <c r="C289" s="238">
        <f t="shared" si="324"/>
        <v>45919</v>
      </c>
      <c r="D289" s="239">
        <f>目標_2025R7!D282</f>
        <v>1</v>
      </c>
      <c r="E289" s="240">
        <f>IF(D289=1,'適正原価率表(仕入れお小遣い制度)'!$J$20,0)</f>
        <v>13630.300163040061</v>
      </c>
      <c r="F289" s="240">
        <f t="shared" si="329"/>
        <v>204454.50244560084</v>
      </c>
      <c r="G289" s="241">
        <v>0</v>
      </c>
      <c r="H289" s="240">
        <f t="shared" si="330"/>
        <v>197201</v>
      </c>
      <c r="I289" s="242">
        <f t="shared" si="325"/>
        <v>7253.5024456008396</v>
      </c>
      <c r="J289" s="230"/>
      <c r="K289" s="237">
        <f t="shared" si="323"/>
        <v>45919</v>
      </c>
      <c r="L289" s="243">
        <f t="shared" ref="L289:M289" si="351">C289</f>
        <v>45919</v>
      </c>
      <c r="M289" s="244">
        <f t="shared" si="351"/>
        <v>1</v>
      </c>
      <c r="N289" s="240">
        <f>IF(M289=1,'適正原価率表(仕入れお小遣い制度)'!$J$21,0)</f>
        <v>11531.689925670889</v>
      </c>
      <c r="O289" s="240">
        <f t="shared" si="332"/>
        <v>172975.34888506331</v>
      </c>
      <c r="P289" s="241">
        <v>35613</v>
      </c>
      <c r="Q289" s="240">
        <f t="shared" si="333"/>
        <v>211821</v>
      </c>
      <c r="R289" s="242">
        <f t="shared" si="327"/>
        <v>-38845.651114936685</v>
      </c>
      <c r="S289" s="221"/>
      <c r="T289" s="245">
        <f t="shared" si="334"/>
        <v>45919</v>
      </c>
      <c r="U289" s="221"/>
      <c r="V289" s="221"/>
      <c r="W289" s="221"/>
      <c r="X289" s="221"/>
      <c r="Y289" s="221"/>
      <c r="Z289" s="221"/>
    </row>
    <row r="290" spans="1:26" ht="18.75" customHeight="1" outlineLevel="1">
      <c r="A290" s="221"/>
      <c r="B290" s="237">
        <f t="shared" si="328"/>
        <v>45920</v>
      </c>
      <c r="C290" s="238">
        <f t="shared" si="324"/>
        <v>45920</v>
      </c>
      <c r="D290" s="239">
        <f>目標_2025R7!D283</f>
        <v>1</v>
      </c>
      <c r="E290" s="240">
        <f>IF(D290=1,'適正原価率表(仕入れお小遣い制度)'!$J$20,0)</f>
        <v>13630.300163040061</v>
      </c>
      <c r="F290" s="240">
        <f t="shared" si="329"/>
        <v>218084.80260864089</v>
      </c>
      <c r="G290" s="241">
        <v>386</v>
      </c>
      <c r="H290" s="240">
        <f t="shared" si="330"/>
        <v>197587</v>
      </c>
      <c r="I290" s="242">
        <f t="shared" si="325"/>
        <v>20497.802608640894</v>
      </c>
      <c r="J290" s="230"/>
      <c r="K290" s="237">
        <f t="shared" si="323"/>
        <v>45920</v>
      </c>
      <c r="L290" s="243">
        <f t="shared" ref="L290:M290" si="352">C290</f>
        <v>45920</v>
      </c>
      <c r="M290" s="244">
        <f t="shared" si="352"/>
        <v>1</v>
      </c>
      <c r="N290" s="240">
        <f>IF(M290=1,'適正原価率表(仕入れお小遣い制度)'!$J$21,0)</f>
        <v>11531.689925670889</v>
      </c>
      <c r="O290" s="240">
        <f t="shared" si="332"/>
        <v>184507.0388107342</v>
      </c>
      <c r="P290" s="241">
        <v>5713</v>
      </c>
      <c r="Q290" s="240">
        <f t="shared" si="333"/>
        <v>217534</v>
      </c>
      <c r="R290" s="242">
        <f t="shared" si="327"/>
        <v>-33026.961189265799</v>
      </c>
      <c r="S290" s="221"/>
      <c r="T290" s="245">
        <f t="shared" si="334"/>
        <v>45920</v>
      </c>
      <c r="U290" s="221"/>
      <c r="V290" s="221"/>
      <c r="W290" s="221"/>
      <c r="X290" s="221"/>
      <c r="Y290" s="221"/>
      <c r="Z290" s="221"/>
    </row>
    <row r="291" spans="1:26" ht="18.75" customHeight="1" outlineLevel="1">
      <c r="A291" s="221"/>
      <c r="B291" s="237">
        <f t="shared" si="328"/>
        <v>45921</v>
      </c>
      <c r="C291" s="238">
        <f t="shared" si="324"/>
        <v>45921</v>
      </c>
      <c r="D291" s="239">
        <f>目標_2025R7!D284</f>
        <v>1</v>
      </c>
      <c r="E291" s="240">
        <f>IF(D291=1,'適正原価率表(仕入れお小遣い制度)'!$J$20,0)</f>
        <v>13630.300163040061</v>
      </c>
      <c r="F291" s="240">
        <f t="shared" si="329"/>
        <v>231715.10277168095</v>
      </c>
      <c r="G291" s="241">
        <v>3490</v>
      </c>
      <c r="H291" s="240">
        <f t="shared" si="330"/>
        <v>201077</v>
      </c>
      <c r="I291" s="242">
        <f t="shared" si="325"/>
        <v>30638.102771680948</v>
      </c>
      <c r="J291" s="230"/>
      <c r="K291" s="237">
        <f t="shared" si="323"/>
        <v>45921</v>
      </c>
      <c r="L291" s="243">
        <f t="shared" ref="L291:M291" si="353">C291</f>
        <v>45921</v>
      </c>
      <c r="M291" s="244">
        <f t="shared" si="353"/>
        <v>1</v>
      </c>
      <c r="N291" s="240">
        <f>IF(M291=1,'適正原価率表(仕入れお小遣い制度)'!$J$21,0)</f>
        <v>11531.689925670889</v>
      </c>
      <c r="O291" s="240">
        <f t="shared" si="332"/>
        <v>196038.72873640509</v>
      </c>
      <c r="P291" s="241">
        <v>0</v>
      </c>
      <c r="Q291" s="240">
        <f t="shared" si="333"/>
        <v>217534</v>
      </c>
      <c r="R291" s="242">
        <f t="shared" si="327"/>
        <v>-21495.271263594914</v>
      </c>
      <c r="S291" s="221"/>
      <c r="T291" s="245">
        <f t="shared" si="334"/>
        <v>45921</v>
      </c>
      <c r="U291" s="221"/>
      <c r="V291" s="221"/>
      <c r="W291" s="221"/>
      <c r="X291" s="221"/>
      <c r="Y291" s="221"/>
      <c r="Z291" s="221"/>
    </row>
    <row r="292" spans="1:26" ht="18.75" customHeight="1" outlineLevel="1">
      <c r="A292" s="221"/>
      <c r="B292" s="237">
        <f t="shared" si="328"/>
        <v>45922</v>
      </c>
      <c r="C292" s="238">
        <f t="shared" si="324"/>
        <v>45922</v>
      </c>
      <c r="D292" s="239">
        <f>目標_2025R7!D285</f>
        <v>0</v>
      </c>
      <c r="E292" s="240">
        <f>IF(D292=1,'適正原価率表(仕入れお小遣い制度)'!$J$20,0)</f>
        <v>0</v>
      </c>
      <c r="F292" s="240">
        <f t="shared" si="329"/>
        <v>0</v>
      </c>
      <c r="G292" s="241">
        <v>0</v>
      </c>
      <c r="H292" s="240">
        <f t="shared" si="330"/>
        <v>0</v>
      </c>
      <c r="I292" s="242">
        <f t="shared" si="325"/>
        <v>0</v>
      </c>
      <c r="J292" s="230"/>
      <c r="K292" s="237">
        <f t="shared" si="323"/>
        <v>45922</v>
      </c>
      <c r="L292" s="243">
        <f t="shared" ref="L292:M292" si="354">C292</f>
        <v>45922</v>
      </c>
      <c r="M292" s="244">
        <f t="shared" si="354"/>
        <v>0</v>
      </c>
      <c r="N292" s="240">
        <f>IF(M292=1,'適正原価率表(仕入れお小遣い制度)'!$J$21,0)</f>
        <v>0</v>
      </c>
      <c r="O292" s="240">
        <f t="shared" si="332"/>
        <v>0</v>
      </c>
      <c r="P292" s="241">
        <v>0</v>
      </c>
      <c r="Q292" s="240">
        <f t="shared" si="333"/>
        <v>0</v>
      </c>
      <c r="R292" s="242">
        <f t="shared" si="327"/>
        <v>0</v>
      </c>
      <c r="S292" s="221"/>
      <c r="T292" s="245">
        <f t="shared" si="334"/>
        <v>45922</v>
      </c>
      <c r="U292" s="221"/>
      <c r="V292" s="221"/>
      <c r="W292" s="221"/>
      <c r="X292" s="221"/>
      <c r="Y292" s="221"/>
      <c r="Z292" s="221"/>
    </row>
    <row r="293" spans="1:26" ht="18.75" customHeight="1" outlineLevel="1">
      <c r="A293" s="221"/>
      <c r="B293" s="237">
        <f t="shared" si="328"/>
        <v>45923</v>
      </c>
      <c r="C293" s="238">
        <f t="shared" si="324"/>
        <v>45923</v>
      </c>
      <c r="D293" s="239">
        <f>目標_2025R7!D286</f>
        <v>0</v>
      </c>
      <c r="E293" s="240">
        <f>IF(D293=1,'適正原価率表(仕入れお小遣い制度)'!$J$20,0)</f>
        <v>0</v>
      </c>
      <c r="F293" s="240">
        <f t="shared" si="329"/>
        <v>0</v>
      </c>
      <c r="G293" s="241">
        <v>0</v>
      </c>
      <c r="H293" s="240">
        <f t="shared" si="330"/>
        <v>0</v>
      </c>
      <c r="I293" s="242">
        <f t="shared" si="325"/>
        <v>0</v>
      </c>
      <c r="J293" s="230"/>
      <c r="K293" s="237">
        <f t="shared" si="323"/>
        <v>45923</v>
      </c>
      <c r="L293" s="243">
        <f t="shared" ref="L293:M293" si="355">C293</f>
        <v>45923</v>
      </c>
      <c r="M293" s="244">
        <f t="shared" si="355"/>
        <v>0</v>
      </c>
      <c r="N293" s="240">
        <f>IF(M293=1,'適正原価率表(仕入れお小遣い制度)'!$J$21,0)</f>
        <v>0</v>
      </c>
      <c r="O293" s="240">
        <f t="shared" si="332"/>
        <v>0</v>
      </c>
      <c r="P293" s="241">
        <v>0</v>
      </c>
      <c r="Q293" s="240">
        <f t="shared" si="333"/>
        <v>0</v>
      </c>
      <c r="R293" s="242">
        <f t="shared" si="327"/>
        <v>0</v>
      </c>
      <c r="S293" s="221"/>
      <c r="T293" s="245">
        <f t="shared" si="334"/>
        <v>45923</v>
      </c>
      <c r="U293" s="221"/>
      <c r="V293" s="221"/>
      <c r="W293" s="221"/>
      <c r="X293" s="221"/>
      <c r="Y293" s="221"/>
      <c r="Z293" s="221"/>
    </row>
    <row r="294" spans="1:26" ht="18.75" customHeight="1" outlineLevel="1">
      <c r="A294" s="221"/>
      <c r="B294" s="237">
        <f t="shared" si="328"/>
        <v>45924</v>
      </c>
      <c r="C294" s="238">
        <f t="shared" si="324"/>
        <v>45924</v>
      </c>
      <c r="D294" s="239">
        <f>目標_2025R7!D287</f>
        <v>1</v>
      </c>
      <c r="E294" s="240">
        <f>IF(D294=1,'適正原価率表(仕入れお小遣い制度)'!$J$20,0)</f>
        <v>13630.300163040061</v>
      </c>
      <c r="F294" s="240">
        <f t="shared" si="329"/>
        <v>245345.402934721</v>
      </c>
      <c r="G294" s="241">
        <v>31734</v>
      </c>
      <c r="H294" s="240">
        <f t="shared" si="330"/>
        <v>232811</v>
      </c>
      <c r="I294" s="242">
        <f t="shared" si="325"/>
        <v>12534.402934721002</v>
      </c>
      <c r="J294" s="230"/>
      <c r="K294" s="237">
        <f t="shared" si="323"/>
        <v>45924</v>
      </c>
      <c r="L294" s="243">
        <f t="shared" ref="L294:M294" si="356">C294</f>
        <v>45924</v>
      </c>
      <c r="M294" s="244">
        <f t="shared" si="356"/>
        <v>1</v>
      </c>
      <c r="N294" s="240">
        <f>IF(M294=1,'適正原価率表(仕入れお小遣い制度)'!$J$21,0)</f>
        <v>11531.689925670889</v>
      </c>
      <c r="O294" s="240">
        <f t="shared" si="332"/>
        <v>207570.41866207597</v>
      </c>
      <c r="P294" s="241">
        <v>32987</v>
      </c>
      <c r="Q294" s="240">
        <f t="shared" si="333"/>
        <v>250521</v>
      </c>
      <c r="R294" s="242">
        <f t="shared" si="327"/>
        <v>-42950.581337924028</v>
      </c>
      <c r="S294" s="221"/>
      <c r="T294" s="245">
        <f t="shared" si="334"/>
        <v>45924</v>
      </c>
      <c r="U294" s="221"/>
      <c r="V294" s="221"/>
      <c r="W294" s="221"/>
      <c r="X294" s="221"/>
      <c r="Y294" s="221"/>
      <c r="Z294" s="221"/>
    </row>
    <row r="295" spans="1:26" ht="18.75" customHeight="1" outlineLevel="1">
      <c r="A295" s="221"/>
      <c r="B295" s="237">
        <f t="shared" si="328"/>
        <v>45925</v>
      </c>
      <c r="C295" s="238">
        <f t="shared" si="324"/>
        <v>45925</v>
      </c>
      <c r="D295" s="239">
        <f>目標_2025R7!D288</f>
        <v>1</v>
      </c>
      <c r="E295" s="240">
        <f>IF(D295=1,'適正原価率表(仕入れお小遣い制度)'!$J$20,0)</f>
        <v>13630.300163040061</v>
      </c>
      <c r="F295" s="240">
        <f t="shared" si="329"/>
        <v>258975.70309776106</v>
      </c>
      <c r="G295" s="241">
        <v>3990</v>
      </c>
      <c r="H295" s="240">
        <f t="shared" si="330"/>
        <v>236801</v>
      </c>
      <c r="I295" s="242">
        <f t="shared" si="325"/>
        <v>22174.703097761056</v>
      </c>
      <c r="J295" s="230"/>
      <c r="K295" s="237">
        <f t="shared" si="323"/>
        <v>45925</v>
      </c>
      <c r="L295" s="243">
        <f t="shared" ref="L295:M295" si="357">C295</f>
        <v>45925</v>
      </c>
      <c r="M295" s="244">
        <f t="shared" si="357"/>
        <v>1</v>
      </c>
      <c r="N295" s="240">
        <f>IF(M295=1,'適正原価率表(仕入れお小遣い制度)'!$J$21,0)</f>
        <v>11531.689925670889</v>
      </c>
      <c r="O295" s="240">
        <f t="shared" si="332"/>
        <v>219102.10858774686</v>
      </c>
      <c r="P295" s="241">
        <v>3795</v>
      </c>
      <c r="Q295" s="240">
        <f t="shared" si="333"/>
        <v>254316</v>
      </c>
      <c r="R295" s="242">
        <f t="shared" si="327"/>
        <v>-35213.891412253142</v>
      </c>
      <c r="S295" s="221"/>
      <c r="T295" s="245">
        <f t="shared" si="334"/>
        <v>45925</v>
      </c>
      <c r="U295" s="221"/>
      <c r="V295" s="221"/>
      <c r="W295" s="221"/>
      <c r="X295" s="221"/>
      <c r="Y295" s="221"/>
      <c r="Z295" s="221"/>
    </row>
    <row r="296" spans="1:26" ht="18.75" customHeight="1" outlineLevel="1">
      <c r="A296" s="221"/>
      <c r="B296" s="237">
        <f t="shared" si="328"/>
        <v>45926</v>
      </c>
      <c r="C296" s="238">
        <f t="shared" si="324"/>
        <v>45926</v>
      </c>
      <c r="D296" s="239">
        <f>目標_2025R7!D289</f>
        <v>1</v>
      </c>
      <c r="E296" s="240">
        <f>IF(D296=1,'適正原価率表(仕入れお小遣い制度)'!$J$20,0)</f>
        <v>13630.300163040061</v>
      </c>
      <c r="F296" s="240">
        <f t="shared" si="329"/>
        <v>272606.00326080114</v>
      </c>
      <c r="G296" s="241">
        <v>13532</v>
      </c>
      <c r="H296" s="240">
        <f t="shared" si="330"/>
        <v>250333</v>
      </c>
      <c r="I296" s="242">
        <f t="shared" si="325"/>
        <v>22273.003260801139</v>
      </c>
      <c r="J296" s="230"/>
      <c r="K296" s="237">
        <f t="shared" si="323"/>
        <v>45926</v>
      </c>
      <c r="L296" s="243">
        <f t="shared" ref="L296:M296" si="358">C296</f>
        <v>45926</v>
      </c>
      <c r="M296" s="244">
        <f t="shared" si="358"/>
        <v>1</v>
      </c>
      <c r="N296" s="240">
        <f>IF(M296=1,'適正原価率表(仕入れお小遣い制度)'!$J$21,0)</f>
        <v>11531.689925670889</v>
      </c>
      <c r="O296" s="240">
        <f t="shared" si="332"/>
        <v>230633.79851341774</v>
      </c>
      <c r="P296" s="241">
        <v>28568</v>
      </c>
      <c r="Q296" s="240">
        <f t="shared" si="333"/>
        <v>282884</v>
      </c>
      <c r="R296" s="242">
        <f t="shared" si="327"/>
        <v>-52250.201486582257</v>
      </c>
      <c r="S296" s="221"/>
      <c r="T296" s="245">
        <f t="shared" si="334"/>
        <v>45926</v>
      </c>
      <c r="U296" s="221"/>
      <c r="V296" s="221"/>
      <c r="W296" s="221"/>
      <c r="X296" s="221"/>
      <c r="Y296" s="221"/>
      <c r="Z296" s="221"/>
    </row>
    <row r="297" spans="1:26" ht="18.75" customHeight="1" outlineLevel="1">
      <c r="A297" s="221"/>
      <c r="B297" s="237">
        <f t="shared" si="328"/>
        <v>45927</v>
      </c>
      <c r="C297" s="238">
        <f t="shared" si="324"/>
        <v>45927</v>
      </c>
      <c r="D297" s="239">
        <f>目標_2025R7!D290</f>
        <v>1</v>
      </c>
      <c r="E297" s="240">
        <f>IF(D297=1,'適正原価率表(仕入れお小遣い制度)'!$J$20,0)</f>
        <v>13630.300163040061</v>
      </c>
      <c r="F297" s="240">
        <f t="shared" si="329"/>
        <v>286236.30342384119</v>
      </c>
      <c r="G297" s="241">
        <v>14874</v>
      </c>
      <c r="H297" s="240">
        <f t="shared" si="330"/>
        <v>265207</v>
      </c>
      <c r="I297" s="242">
        <f t="shared" si="325"/>
        <v>21029.303423841193</v>
      </c>
      <c r="J297" s="230"/>
      <c r="K297" s="237">
        <f t="shared" si="323"/>
        <v>45927</v>
      </c>
      <c r="L297" s="243">
        <f t="shared" ref="L297:M297" si="359">C297</f>
        <v>45927</v>
      </c>
      <c r="M297" s="244">
        <f t="shared" si="359"/>
        <v>1</v>
      </c>
      <c r="N297" s="240">
        <f>IF(M297=1,'適正原価率表(仕入れお小遣い制度)'!$J$21,0)</f>
        <v>11531.689925670889</v>
      </c>
      <c r="O297" s="240">
        <f t="shared" si="332"/>
        <v>242165.48843908863</v>
      </c>
      <c r="P297" s="241">
        <v>1755</v>
      </c>
      <c r="Q297" s="240">
        <f t="shared" si="333"/>
        <v>284639</v>
      </c>
      <c r="R297" s="242">
        <f t="shared" si="327"/>
        <v>-42473.511560911371</v>
      </c>
      <c r="S297" s="221"/>
      <c r="T297" s="245">
        <f t="shared" si="334"/>
        <v>45927</v>
      </c>
      <c r="U297" s="221"/>
      <c r="V297" s="221"/>
      <c r="W297" s="221"/>
      <c r="X297" s="221"/>
      <c r="Y297" s="221"/>
      <c r="Z297" s="221"/>
    </row>
    <row r="298" spans="1:26" ht="18.75" customHeight="1" outlineLevel="1">
      <c r="A298" s="221"/>
      <c r="B298" s="237">
        <f t="shared" si="328"/>
        <v>45928</v>
      </c>
      <c r="C298" s="238">
        <f t="shared" si="324"/>
        <v>45928</v>
      </c>
      <c r="D298" s="239">
        <f>目標_2025R7!D291</f>
        <v>1</v>
      </c>
      <c r="E298" s="240">
        <f>IF(D298=1,'適正原価率表(仕入れお小遣い制度)'!$J$20,0)</f>
        <v>13630.300163040061</v>
      </c>
      <c r="F298" s="240">
        <f t="shared" si="329"/>
        <v>299866.60358688125</v>
      </c>
      <c r="G298" s="241">
        <v>7299</v>
      </c>
      <c r="H298" s="240">
        <f t="shared" si="330"/>
        <v>272506</v>
      </c>
      <c r="I298" s="242">
        <f t="shared" si="325"/>
        <v>27360.603586881247</v>
      </c>
      <c r="J298" s="230"/>
      <c r="K298" s="237">
        <f t="shared" si="323"/>
        <v>45928</v>
      </c>
      <c r="L298" s="243">
        <f t="shared" ref="L298:M298" si="360">C298</f>
        <v>45928</v>
      </c>
      <c r="M298" s="244">
        <f t="shared" si="360"/>
        <v>1</v>
      </c>
      <c r="N298" s="240">
        <f>IF(M298=1,'適正原価率表(仕入れお小遣い制度)'!$J$21,0)</f>
        <v>11531.689925670889</v>
      </c>
      <c r="O298" s="240">
        <f t="shared" si="332"/>
        <v>253697.17836475951</v>
      </c>
      <c r="P298" s="241">
        <v>0</v>
      </c>
      <c r="Q298" s="240">
        <f t="shared" si="333"/>
        <v>284639</v>
      </c>
      <c r="R298" s="242">
        <f t="shared" si="327"/>
        <v>-30941.821635240485</v>
      </c>
      <c r="S298" s="221"/>
      <c r="T298" s="245">
        <f t="shared" si="334"/>
        <v>45928</v>
      </c>
      <c r="U298" s="221"/>
      <c r="V298" s="221"/>
      <c r="W298" s="221"/>
      <c r="X298" s="221"/>
      <c r="Y298" s="221"/>
      <c r="Z298" s="221"/>
    </row>
    <row r="299" spans="1:26" ht="18.75" customHeight="1" outlineLevel="1">
      <c r="A299" s="221"/>
      <c r="B299" s="237">
        <f t="shared" si="328"/>
        <v>45929</v>
      </c>
      <c r="C299" s="238">
        <f t="shared" si="324"/>
        <v>45929</v>
      </c>
      <c r="D299" s="239">
        <f>目標_2025R7!D292</f>
        <v>0</v>
      </c>
      <c r="E299" s="240">
        <f>IF(D299=1,'適正原価率表(仕入れお小遣い制度)'!$J$20,0)</f>
        <v>0</v>
      </c>
      <c r="F299" s="240">
        <f t="shared" si="329"/>
        <v>0</v>
      </c>
      <c r="G299" s="241">
        <v>0</v>
      </c>
      <c r="H299" s="240">
        <f t="shared" si="330"/>
        <v>0</v>
      </c>
      <c r="I299" s="242">
        <f t="shared" si="325"/>
        <v>0</v>
      </c>
      <c r="J299" s="230"/>
      <c r="K299" s="237">
        <f t="shared" si="323"/>
        <v>45929</v>
      </c>
      <c r="L299" s="243">
        <f t="shared" ref="L299:M299" si="361">C299</f>
        <v>45929</v>
      </c>
      <c r="M299" s="244">
        <f t="shared" si="361"/>
        <v>0</v>
      </c>
      <c r="N299" s="240">
        <f>IF(M299=1,'適正原価率表(仕入れお小遣い制度)'!$J$21,0)</f>
        <v>0</v>
      </c>
      <c r="O299" s="240">
        <f t="shared" si="332"/>
        <v>0</v>
      </c>
      <c r="P299" s="241">
        <v>0</v>
      </c>
      <c r="Q299" s="240">
        <f t="shared" si="333"/>
        <v>0</v>
      </c>
      <c r="R299" s="242">
        <f t="shared" si="327"/>
        <v>0</v>
      </c>
      <c r="S299" s="221"/>
      <c r="T299" s="245">
        <f t="shared" si="334"/>
        <v>45929</v>
      </c>
      <c r="U299" s="221"/>
      <c r="V299" s="221"/>
      <c r="W299" s="221"/>
      <c r="X299" s="221"/>
      <c r="Y299" s="221"/>
      <c r="Z299" s="221"/>
    </row>
    <row r="300" spans="1:26" ht="18.75" customHeight="1" outlineLevel="1">
      <c r="A300" s="221"/>
      <c r="B300" s="237">
        <f t="shared" si="328"/>
        <v>45930</v>
      </c>
      <c r="C300" s="238">
        <f t="shared" si="324"/>
        <v>45930</v>
      </c>
      <c r="D300" s="239">
        <f>目標_2025R7!D293</f>
        <v>1</v>
      </c>
      <c r="E300" s="240">
        <f>IF(D300=1,'適正原価率表(仕入れお小遣い制度)'!$J$20,0)</f>
        <v>13630.300163040061</v>
      </c>
      <c r="F300" s="240">
        <f t="shared" si="329"/>
        <v>313496.9037499213</v>
      </c>
      <c r="G300" s="241">
        <v>0</v>
      </c>
      <c r="H300" s="240">
        <f t="shared" si="330"/>
        <v>272506</v>
      </c>
      <c r="I300" s="242">
        <f t="shared" si="325"/>
        <v>40990.903749921301</v>
      </c>
      <c r="J300" s="230"/>
      <c r="K300" s="237">
        <f t="shared" si="323"/>
        <v>45930</v>
      </c>
      <c r="L300" s="243">
        <f t="shared" ref="L300:M300" si="362">C300</f>
        <v>45930</v>
      </c>
      <c r="M300" s="244">
        <f t="shared" si="362"/>
        <v>1</v>
      </c>
      <c r="N300" s="240">
        <f>IF(M300=1,'適正原価率表(仕入れお小遣い制度)'!$J$21,0)</f>
        <v>11531.689925670889</v>
      </c>
      <c r="O300" s="240">
        <f t="shared" si="332"/>
        <v>265228.8682904304</v>
      </c>
      <c r="P300" s="241">
        <v>16291</v>
      </c>
      <c r="Q300" s="240">
        <f t="shared" si="333"/>
        <v>300930</v>
      </c>
      <c r="R300" s="242">
        <f t="shared" si="327"/>
        <v>-35701.131709569599</v>
      </c>
      <c r="S300" s="221"/>
      <c r="T300" s="245">
        <f t="shared" si="334"/>
        <v>45930</v>
      </c>
      <c r="U300" s="221"/>
      <c r="V300" s="221"/>
      <c r="W300" s="221"/>
      <c r="X300" s="221"/>
      <c r="Y300" s="221"/>
      <c r="Z300" s="221"/>
    </row>
    <row r="301" spans="1:26" ht="18.75" customHeight="1" outlineLevel="1">
      <c r="A301" s="221"/>
      <c r="B301" s="561" t="s">
        <v>176</v>
      </c>
      <c r="C301" s="486"/>
      <c r="D301" s="483"/>
      <c r="E301" s="247">
        <f>SUM(E271:E300)</f>
        <v>313496.9037499213</v>
      </c>
      <c r="F301" s="248"/>
      <c r="G301" s="249">
        <v>0</v>
      </c>
      <c r="H301" s="249"/>
      <c r="I301" s="249"/>
      <c r="J301" s="230"/>
      <c r="K301" s="561" t="s">
        <v>176</v>
      </c>
      <c r="L301" s="486"/>
      <c r="M301" s="483"/>
      <c r="N301" s="247">
        <f>SUM(N271:N300)</f>
        <v>265228.8682904304</v>
      </c>
      <c r="O301" s="248"/>
      <c r="P301" s="249">
        <v>0</v>
      </c>
      <c r="Q301" s="249"/>
      <c r="R301" s="249"/>
      <c r="S301" s="221"/>
      <c r="T301" s="221"/>
      <c r="U301" s="221"/>
      <c r="V301" s="221"/>
      <c r="W301" s="221"/>
      <c r="X301" s="221"/>
      <c r="Y301" s="221"/>
      <c r="Z301" s="221"/>
    </row>
    <row r="302" spans="1:26" ht="18.75" customHeight="1">
      <c r="A302" s="221"/>
      <c r="B302" s="221"/>
      <c r="C302" s="255"/>
      <c r="D302" s="255"/>
      <c r="E302" s="221"/>
      <c r="F302" s="221"/>
      <c r="G302" s="221"/>
      <c r="H302" s="221"/>
      <c r="I302" s="221"/>
      <c r="J302" s="221"/>
      <c r="K302" s="221"/>
      <c r="L302" s="255"/>
      <c r="M302" s="255"/>
      <c r="N302" s="221"/>
      <c r="O302" s="221"/>
      <c r="P302" s="221"/>
      <c r="Q302" s="221"/>
      <c r="R302" s="221"/>
      <c r="S302" s="221"/>
      <c r="T302" s="221"/>
      <c r="U302" s="221"/>
      <c r="V302" s="221"/>
      <c r="W302" s="221"/>
      <c r="X302" s="221"/>
      <c r="Y302" s="221"/>
      <c r="Z302" s="221"/>
    </row>
    <row r="303" spans="1:26" ht="18.75" customHeight="1">
      <c r="A303" s="232"/>
      <c r="B303" s="562" t="s">
        <v>61</v>
      </c>
      <c r="C303" s="486"/>
      <c r="D303" s="483"/>
      <c r="E303" s="252" t="s">
        <v>168</v>
      </c>
      <c r="F303" s="253" t="s">
        <v>169</v>
      </c>
      <c r="G303" s="253" t="s">
        <v>170</v>
      </c>
      <c r="H303" s="253" t="s">
        <v>171</v>
      </c>
      <c r="I303" s="253" t="s">
        <v>19</v>
      </c>
      <c r="J303" s="236"/>
      <c r="K303" s="562" t="str">
        <f t="shared" ref="K303:K334" si="363">B303</f>
        <v>10月</v>
      </c>
      <c r="L303" s="486"/>
      <c r="M303" s="483"/>
      <c r="N303" s="252" t="s">
        <v>172</v>
      </c>
      <c r="O303" s="253" t="s">
        <v>173</v>
      </c>
      <c r="P303" s="253" t="s">
        <v>174</v>
      </c>
      <c r="Q303" s="253" t="s">
        <v>175</v>
      </c>
      <c r="R303" s="253" t="s">
        <v>19</v>
      </c>
      <c r="S303" s="232"/>
      <c r="T303" s="232"/>
      <c r="U303" s="232"/>
      <c r="V303" s="232"/>
      <c r="W303" s="232"/>
      <c r="X303" s="232"/>
      <c r="Y303" s="232"/>
      <c r="Z303" s="232"/>
    </row>
    <row r="304" spans="1:26" ht="18.75" customHeight="1" outlineLevel="1">
      <c r="A304" s="221"/>
      <c r="B304" s="237">
        <f>B300+1</f>
        <v>45931</v>
      </c>
      <c r="C304" s="238">
        <f t="shared" ref="C304:C334" si="364">B304</f>
        <v>45931</v>
      </c>
      <c r="D304" s="239">
        <f>目標_2025R7!D294</f>
        <v>1</v>
      </c>
      <c r="E304" s="240">
        <f>IF(D304=1,'適正原価率表(仕入れお小遣い制度)'!$J$22,0)</f>
        <v>14170.377029446263</v>
      </c>
      <c r="F304" s="240">
        <f>IF(D304=1,E304,0)</f>
        <v>14170.377029446263</v>
      </c>
      <c r="G304" s="241">
        <v>46593</v>
      </c>
      <c r="H304" s="240">
        <f>IF(D304=1,G304,0)</f>
        <v>46593</v>
      </c>
      <c r="I304" s="242">
        <f t="shared" ref="I304:I334" si="365">IF(D304=1,F304-H304,0)</f>
        <v>-32422.622970553737</v>
      </c>
      <c r="J304" s="230"/>
      <c r="K304" s="237">
        <f t="shared" si="363"/>
        <v>45931</v>
      </c>
      <c r="L304" s="243">
        <f t="shared" ref="L304:M304" si="366">C304</f>
        <v>45931</v>
      </c>
      <c r="M304" s="244">
        <f t="shared" si="366"/>
        <v>1</v>
      </c>
      <c r="N304" s="240">
        <f>IF(M304=1,'適正原価率表(仕入れお小遣い制度)'!$J$23,0)</f>
        <v>13233.494351503181</v>
      </c>
      <c r="O304" s="240">
        <f>IF(M304=1,N304,0)</f>
        <v>13233.494351503181</v>
      </c>
      <c r="P304" s="241">
        <v>56116</v>
      </c>
      <c r="Q304" s="240">
        <f>IF(M304=1,P304,0)</f>
        <v>56116</v>
      </c>
      <c r="R304" s="242">
        <f t="shared" ref="R304:R334" si="367">IF(D304=1,O304-Q304,0)</f>
        <v>-42882.505648496823</v>
      </c>
      <c r="S304" s="221"/>
      <c r="T304" s="245">
        <f>T300+1</f>
        <v>45931</v>
      </c>
      <c r="U304" s="221"/>
      <c r="V304" s="221"/>
      <c r="W304" s="221"/>
      <c r="X304" s="221"/>
      <c r="Y304" s="221"/>
      <c r="Z304" s="221"/>
    </row>
    <row r="305" spans="1:26" ht="18.75" customHeight="1" outlineLevel="1">
      <c r="A305" s="221"/>
      <c r="B305" s="237">
        <f t="shared" ref="B305:B334" si="368">B304+1</f>
        <v>45932</v>
      </c>
      <c r="C305" s="238">
        <f t="shared" si="364"/>
        <v>45932</v>
      </c>
      <c r="D305" s="239">
        <f>目標_2025R7!D295</f>
        <v>1</v>
      </c>
      <c r="E305" s="240">
        <f>IF(D305=1,'適正原価率表(仕入れお小遣い制度)'!$J$22,0)</f>
        <v>14170.377029446263</v>
      </c>
      <c r="F305" s="240">
        <f t="shared" ref="F305:F334" si="369">IF(D305=1,SUM($E$304:E305),0)</f>
        <v>28340.754058892526</v>
      </c>
      <c r="G305" s="241">
        <v>28571</v>
      </c>
      <c r="H305" s="240">
        <f t="shared" ref="H305:H334" si="370">IF(D305=1,SUM($G$304:G305),0)</f>
        <v>75164</v>
      </c>
      <c r="I305" s="242">
        <f t="shared" si="365"/>
        <v>-46823.245941107474</v>
      </c>
      <c r="J305" s="230"/>
      <c r="K305" s="237">
        <f t="shared" si="363"/>
        <v>45932</v>
      </c>
      <c r="L305" s="243">
        <f t="shared" ref="L305:M305" si="371">C305</f>
        <v>45932</v>
      </c>
      <c r="M305" s="244">
        <f t="shared" si="371"/>
        <v>1</v>
      </c>
      <c r="N305" s="240">
        <f>IF(M305=1,'適正原価率表(仕入れお小遣い制度)'!$J$23,0)</f>
        <v>13233.494351503181</v>
      </c>
      <c r="O305" s="240">
        <f t="shared" ref="O305:O334" si="372">IF(M305=1,SUM($N$304:N305),0)</f>
        <v>26466.988703006362</v>
      </c>
      <c r="P305" s="241">
        <v>16376</v>
      </c>
      <c r="Q305" s="240">
        <f t="shared" ref="Q305:Q334" si="373">IF(M305=1,SUM($P$304:P305),0)</f>
        <v>72492</v>
      </c>
      <c r="R305" s="242">
        <f t="shared" si="367"/>
        <v>-46025.011296993638</v>
      </c>
      <c r="S305" s="221"/>
      <c r="T305" s="245">
        <f t="shared" ref="T305:T334" si="374">T304+1</f>
        <v>45932</v>
      </c>
      <c r="U305" s="221"/>
      <c r="V305" s="221"/>
      <c r="W305" s="221"/>
      <c r="X305" s="221"/>
      <c r="Y305" s="221"/>
      <c r="Z305" s="221"/>
    </row>
    <row r="306" spans="1:26" ht="18.75" customHeight="1" outlineLevel="1">
      <c r="A306" s="221"/>
      <c r="B306" s="237">
        <f t="shared" si="368"/>
        <v>45933</v>
      </c>
      <c r="C306" s="238">
        <f t="shared" si="364"/>
        <v>45933</v>
      </c>
      <c r="D306" s="239">
        <f>目標_2025R7!D296</f>
        <v>1</v>
      </c>
      <c r="E306" s="240">
        <f>IF(D306=1,'適正原価率表(仕入れお小遣い制度)'!$J$22,0)</f>
        <v>14170.377029446263</v>
      </c>
      <c r="F306" s="240">
        <f t="shared" si="369"/>
        <v>42511.131088338792</v>
      </c>
      <c r="G306" s="241">
        <v>22600</v>
      </c>
      <c r="H306" s="240">
        <f t="shared" si="370"/>
        <v>97764</v>
      </c>
      <c r="I306" s="242">
        <f t="shared" si="365"/>
        <v>-55252.868911661208</v>
      </c>
      <c r="J306" s="230"/>
      <c r="K306" s="237">
        <f t="shared" si="363"/>
        <v>45933</v>
      </c>
      <c r="L306" s="243">
        <f t="shared" ref="L306:M306" si="375">C306</f>
        <v>45933</v>
      </c>
      <c r="M306" s="244">
        <f t="shared" si="375"/>
        <v>1</v>
      </c>
      <c r="N306" s="240">
        <f>IF(M306=1,'適正原価率表(仕入れお小遣い制度)'!$J$23,0)</f>
        <v>13233.494351503181</v>
      </c>
      <c r="O306" s="240">
        <f t="shared" si="372"/>
        <v>39700.483054509546</v>
      </c>
      <c r="P306" s="241">
        <v>46552</v>
      </c>
      <c r="Q306" s="240">
        <f t="shared" si="373"/>
        <v>119044</v>
      </c>
      <c r="R306" s="242">
        <f t="shared" si="367"/>
        <v>-79343.516945490454</v>
      </c>
      <c r="S306" s="221"/>
      <c r="T306" s="245">
        <f t="shared" si="374"/>
        <v>45933</v>
      </c>
      <c r="U306" s="221"/>
      <c r="V306" s="221"/>
      <c r="W306" s="221"/>
      <c r="X306" s="221"/>
      <c r="Y306" s="221"/>
      <c r="Z306" s="221"/>
    </row>
    <row r="307" spans="1:26" ht="18.75" customHeight="1" outlineLevel="1">
      <c r="A307" s="221"/>
      <c r="B307" s="237">
        <f t="shared" si="368"/>
        <v>45934</v>
      </c>
      <c r="C307" s="238">
        <f t="shared" si="364"/>
        <v>45934</v>
      </c>
      <c r="D307" s="239">
        <f>目標_2025R7!D297</f>
        <v>1</v>
      </c>
      <c r="E307" s="240">
        <f>IF(D307=1,'適正原価率表(仕入れお小遣い制度)'!$J$22,0)</f>
        <v>14170.377029446263</v>
      </c>
      <c r="F307" s="240">
        <f t="shared" si="369"/>
        <v>56681.508117785052</v>
      </c>
      <c r="G307" s="241">
        <v>13162</v>
      </c>
      <c r="H307" s="240">
        <f t="shared" si="370"/>
        <v>110926</v>
      </c>
      <c r="I307" s="242">
        <f t="shared" si="365"/>
        <v>-54244.491882214948</v>
      </c>
      <c r="J307" s="230"/>
      <c r="K307" s="237">
        <f t="shared" si="363"/>
        <v>45934</v>
      </c>
      <c r="L307" s="243">
        <f t="shared" ref="L307:M307" si="376">C307</f>
        <v>45934</v>
      </c>
      <c r="M307" s="244">
        <f t="shared" si="376"/>
        <v>1</v>
      </c>
      <c r="N307" s="240">
        <f>IF(M307=1,'適正原価率表(仕入れお小遣い制度)'!$J$23,0)</f>
        <v>13233.494351503181</v>
      </c>
      <c r="O307" s="240">
        <f t="shared" si="372"/>
        <v>52933.977406012724</v>
      </c>
      <c r="P307" s="241">
        <v>0</v>
      </c>
      <c r="Q307" s="240">
        <f t="shared" si="373"/>
        <v>119044</v>
      </c>
      <c r="R307" s="242">
        <f t="shared" si="367"/>
        <v>-66110.022593987276</v>
      </c>
      <c r="S307" s="221"/>
      <c r="T307" s="245">
        <f t="shared" si="374"/>
        <v>45934</v>
      </c>
      <c r="U307" s="221"/>
      <c r="V307" s="221"/>
      <c r="W307" s="221"/>
      <c r="X307" s="221"/>
      <c r="Y307" s="221"/>
      <c r="Z307" s="221"/>
    </row>
    <row r="308" spans="1:26" ht="18.75" customHeight="1" outlineLevel="1">
      <c r="A308" s="221"/>
      <c r="B308" s="237">
        <f t="shared" si="368"/>
        <v>45935</v>
      </c>
      <c r="C308" s="238">
        <f t="shared" si="364"/>
        <v>45935</v>
      </c>
      <c r="D308" s="239">
        <f>目標_2025R7!D298</f>
        <v>1</v>
      </c>
      <c r="E308" s="240">
        <f>IF(D308=1,'適正原価率表(仕入れお小遣い制度)'!$J$22,0)</f>
        <v>14170.377029446263</v>
      </c>
      <c r="F308" s="240">
        <f t="shared" si="369"/>
        <v>70851.885147231311</v>
      </c>
      <c r="G308" s="241">
        <v>2139</v>
      </c>
      <c r="H308" s="240">
        <f t="shared" si="370"/>
        <v>113065</v>
      </c>
      <c r="I308" s="242">
        <f t="shared" si="365"/>
        <v>-42213.114852768689</v>
      </c>
      <c r="J308" s="230"/>
      <c r="K308" s="237">
        <f t="shared" si="363"/>
        <v>45935</v>
      </c>
      <c r="L308" s="243">
        <f t="shared" ref="L308:M308" si="377">C308</f>
        <v>45935</v>
      </c>
      <c r="M308" s="244">
        <f t="shared" si="377"/>
        <v>1</v>
      </c>
      <c r="N308" s="240">
        <f>IF(M308=1,'適正原価率表(仕入れお小遣い制度)'!$J$23,0)</f>
        <v>13233.494351503181</v>
      </c>
      <c r="O308" s="240">
        <f t="shared" si="372"/>
        <v>66167.471757515901</v>
      </c>
      <c r="P308" s="241">
        <v>381</v>
      </c>
      <c r="Q308" s="240">
        <f t="shared" si="373"/>
        <v>119425</v>
      </c>
      <c r="R308" s="242">
        <f t="shared" si="367"/>
        <v>-53257.528242484099</v>
      </c>
      <c r="S308" s="221"/>
      <c r="T308" s="245">
        <f t="shared" si="374"/>
        <v>45935</v>
      </c>
      <c r="U308" s="221"/>
      <c r="V308" s="221"/>
      <c r="W308" s="221"/>
      <c r="X308" s="221"/>
      <c r="Y308" s="221"/>
      <c r="Z308" s="221"/>
    </row>
    <row r="309" spans="1:26" ht="18.75" customHeight="1" outlineLevel="1">
      <c r="A309" s="221"/>
      <c r="B309" s="237">
        <f t="shared" si="368"/>
        <v>45936</v>
      </c>
      <c r="C309" s="238">
        <f t="shared" si="364"/>
        <v>45936</v>
      </c>
      <c r="D309" s="239">
        <f>目標_2025R7!D299</f>
        <v>0</v>
      </c>
      <c r="E309" s="240">
        <f>IF(D309=1,'適正原価率表(仕入れお小遣い制度)'!$J$22,0)</f>
        <v>0</v>
      </c>
      <c r="F309" s="240">
        <f t="shared" si="369"/>
        <v>0</v>
      </c>
      <c r="G309" s="241">
        <v>0</v>
      </c>
      <c r="H309" s="240">
        <f t="shared" si="370"/>
        <v>0</v>
      </c>
      <c r="I309" s="242">
        <f t="shared" si="365"/>
        <v>0</v>
      </c>
      <c r="J309" s="230"/>
      <c r="K309" s="237">
        <f t="shared" si="363"/>
        <v>45936</v>
      </c>
      <c r="L309" s="243">
        <f t="shared" ref="L309:M309" si="378">C309</f>
        <v>45936</v>
      </c>
      <c r="M309" s="244">
        <f t="shared" si="378"/>
        <v>0</v>
      </c>
      <c r="N309" s="240">
        <f>IF(M309=1,'適正原価率表(仕入れお小遣い制度)'!$J$23,0)</f>
        <v>0</v>
      </c>
      <c r="O309" s="240">
        <f t="shared" si="372"/>
        <v>0</v>
      </c>
      <c r="P309" s="241">
        <v>11328</v>
      </c>
      <c r="Q309" s="240">
        <f t="shared" si="373"/>
        <v>0</v>
      </c>
      <c r="R309" s="242">
        <f t="shared" si="367"/>
        <v>0</v>
      </c>
      <c r="S309" s="221"/>
      <c r="T309" s="245">
        <f t="shared" si="374"/>
        <v>45936</v>
      </c>
      <c r="U309" s="221"/>
      <c r="V309" s="221"/>
      <c r="W309" s="221"/>
      <c r="X309" s="221"/>
      <c r="Y309" s="221"/>
      <c r="Z309" s="221"/>
    </row>
    <row r="310" spans="1:26" ht="18.75" customHeight="1" outlineLevel="1">
      <c r="A310" s="221"/>
      <c r="B310" s="237">
        <f t="shared" si="368"/>
        <v>45937</v>
      </c>
      <c r="C310" s="238">
        <f t="shared" si="364"/>
        <v>45937</v>
      </c>
      <c r="D310" s="239">
        <f>目標_2025R7!D300</f>
        <v>1</v>
      </c>
      <c r="E310" s="240">
        <f>IF(D310=1,'適正原価率表(仕入れお小遣い制度)'!$J$22,0)</f>
        <v>14170.377029446263</v>
      </c>
      <c r="F310" s="240">
        <f t="shared" si="369"/>
        <v>85022.26217667757</v>
      </c>
      <c r="G310" s="241">
        <v>25741</v>
      </c>
      <c r="H310" s="240">
        <f t="shared" si="370"/>
        <v>138806</v>
      </c>
      <c r="I310" s="242">
        <f t="shared" si="365"/>
        <v>-53783.73782332243</v>
      </c>
      <c r="J310" s="230"/>
      <c r="K310" s="237">
        <f t="shared" si="363"/>
        <v>45937</v>
      </c>
      <c r="L310" s="243">
        <f t="shared" ref="L310:M310" si="379">C310</f>
        <v>45937</v>
      </c>
      <c r="M310" s="244">
        <f t="shared" si="379"/>
        <v>1</v>
      </c>
      <c r="N310" s="240">
        <f>IF(M310=1,'適正原価率表(仕入れお小遣い制度)'!$J$23,0)</f>
        <v>13233.494351503181</v>
      </c>
      <c r="O310" s="240">
        <f t="shared" si="372"/>
        <v>79400.966109019078</v>
      </c>
      <c r="P310" s="241">
        <v>20482</v>
      </c>
      <c r="Q310" s="240">
        <f t="shared" si="373"/>
        <v>151235</v>
      </c>
      <c r="R310" s="242">
        <f t="shared" si="367"/>
        <v>-71834.033890980922</v>
      </c>
      <c r="S310" s="221"/>
      <c r="T310" s="245">
        <f t="shared" si="374"/>
        <v>45937</v>
      </c>
      <c r="U310" s="221"/>
      <c r="V310" s="221"/>
      <c r="W310" s="221"/>
      <c r="X310" s="221"/>
      <c r="Y310" s="221"/>
      <c r="Z310" s="221"/>
    </row>
    <row r="311" spans="1:26" ht="18.75" customHeight="1" outlineLevel="1">
      <c r="A311" s="221"/>
      <c r="B311" s="237">
        <f t="shared" si="368"/>
        <v>45938</v>
      </c>
      <c r="C311" s="238">
        <f t="shared" si="364"/>
        <v>45938</v>
      </c>
      <c r="D311" s="239">
        <f>目標_2025R7!D301</f>
        <v>1</v>
      </c>
      <c r="E311" s="240">
        <f>IF(D311=1,'適正原価率表(仕入れお小遣い制度)'!$J$22,0)</f>
        <v>14170.377029446263</v>
      </c>
      <c r="F311" s="240">
        <f t="shared" si="369"/>
        <v>99192.639206123829</v>
      </c>
      <c r="G311" s="241">
        <v>8179</v>
      </c>
      <c r="H311" s="240">
        <f t="shared" si="370"/>
        <v>146985</v>
      </c>
      <c r="I311" s="242">
        <f t="shared" si="365"/>
        <v>-47792.360793876171</v>
      </c>
      <c r="J311" s="230"/>
      <c r="K311" s="237">
        <f t="shared" si="363"/>
        <v>45938</v>
      </c>
      <c r="L311" s="243">
        <f t="shared" ref="L311:M311" si="380">C311</f>
        <v>45938</v>
      </c>
      <c r="M311" s="244">
        <f t="shared" si="380"/>
        <v>1</v>
      </c>
      <c r="N311" s="240">
        <f>IF(M311=1,'適正原価率表(仕入れお小遣い制度)'!$J$23,0)</f>
        <v>13233.494351503181</v>
      </c>
      <c r="O311" s="240">
        <f t="shared" si="372"/>
        <v>92634.460460522256</v>
      </c>
      <c r="P311" s="241">
        <v>29277</v>
      </c>
      <c r="Q311" s="240">
        <f t="shared" si="373"/>
        <v>180512</v>
      </c>
      <c r="R311" s="242">
        <f t="shared" si="367"/>
        <v>-87877.539539477744</v>
      </c>
      <c r="S311" s="221"/>
      <c r="T311" s="245">
        <f t="shared" si="374"/>
        <v>45938</v>
      </c>
      <c r="U311" s="221"/>
      <c r="V311" s="221"/>
      <c r="W311" s="221"/>
      <c r="X311" s="221"/>
      <c r="Y311" s="221"/>
      <c r="Z311" s="221"/>
    </row>
    <row r="312" spans="1:26" ht="18.75" customHeight="1" outlineLevel="1">
      <c r="A312" s="221"/>
      <c r="B312" s="237">
        <f t="shared" si="368"/>
        <v>45939</v>
      </c>
      <c r="C312" s="238">
        <f t="shared" si="364"/>
        <v>45939</v>
      </c>
      <c r="D312" s="239">
        <f>目標_2025R7!D302</f>
        <v>1</v>
      </c>
      <c r="E312" s="240">
        <f>IF(D312=1,'適正原価率表(仕入れお小遣い制度)'!$J$22,0)</f>
        <v>14170.377029446263</v>
      </c>
      <c r="F312" s="240">
        <f t="shared" si="369"/>
        <v>113363.01623557009</v>
      </c>
      <c r="G312" s="241">
        <v>19022</v>
      </c>
      <c r="H312" s="240">
        <f t="shared" si="370"/>
        <v>166007</v>
      </c>
      <c r="I312" s="242">
        <f t="shared" si="365"/>
        <v>-52643.983764429911</v>
      </c>
      <c r="J312" s="230"/>
      <c r="K312" s="237">
        <f t="shared" si="363"/>
        <v>45939</v>
      </c>
      <c r="L312" s="243">
        <f t="shared" ref="L312:M312" si="381">C312</f>
        <v>45939</v>
      </c>
      <c r="M312" s="244">
        <f t="shared" si="381"/>
        <v>1</v>
      </c>
      <c r="N312" s="240">
        <f>IF(M312=1,'適正原価率表(仕入れお小遣い制度)'!$J$23,0)</f>
        <v>13233.494351503181</v>
      </c>
      <c r="O312" s="240">
        <f t="shared" si="372"/>
        <v>105867.95481202543</v>
      </c>
      <c r="P312" s="241">
        <v>19228</v>
      </c>
      <c r="Q312" s="240">
        <f t="shared" si="373"/>
        <v>199740</v>
      </c>
      <c r="R312" s="242">
        <f t="shared" si="367"/>
        <v>-93872.045187974567</v>
      </c>
      <c r="S312" s="221"/>
      <c r="T312" s="245">
        <f t="shared" si="374"/>
        <v>45939</v>
      </c>
      <c r="U312" s="221"/>
      <c r="V312" s="221"/>
      <c r="W312" s="221"/>
      <c r="X312" s="221"/>
      <c r="Y312" s="221"/>
      <c r="Z312" s="221"/>
    </row>
    <row r="313" spans="1:26" ht="18.75" customHeight="1" outlineLevel="1">
      <c r="A313" s="221"/>
      <c r="B313" s="237">
        <f t="shared" si="368"/>
        <v>45940</v>
      </c>
      <c r="C313" s="238">
        <f t="shared" si="364"/>
        <v>45940</v>
      </c>
      <c r="D313" s="239">
        <f>目標_2025R7!D303</f>
        <v>1</v>
      </c>
      <c r="E313" s="240">
        <f>IF(D313=1,'適正原価率表(仕入れお小遣い制度)'!$J$22,0)</f>
        <v>14170.377029446263</v>
      </c>
      <c r="F313" s="240">
        <f t="shared" si="369"/>
        <v>127533.39326501635</v>
      </c>
      <c r="G313" s="241">
        <v>20153</v>
      </c>
      <c r="H313" s="240">
        <f t="shared" si="370"/>
        <v>186160</v>
      </c>
      <c r="I313" s="242">
        <f t="shared" si="365"/>
        <v>-58626.606734983652</v>
      </c>
      <c r="J313" s="230"/>
      <c r="K313" s="237">
        <f t="shared" si="363"/>
        <v>45940</v>
      </c>
      <c r="L313" s="243">
        <f t="shared" ref="L313:M313" si="382">C313</f>
        <v>45940</v>
      </c>
      <c r="M313" s="244">
        <f t="shared" si="382"/>
        <v>1</v>
      </c>
      <c r="N313" s="240">
        <f>IF(M313=1,'適正原価率表(仕入れお小遣い制度)'!$J$23,0)</f>
        <v>13233.494351503181</v>
      </c>
      <c r="O313" s="240">
        <f t="shared" si="372"/>
        <v>119101.44916352861</v>
      </c>
      <c r="P313" s="241">
        <v>45114</v>
      </c>
      <c r="Q313" s="240">
        <f t="shared" si="373"/>
        <v>244854</v>
      </c>
      <c r="R313" s="242">
        <f t="shared" si="367"/>
        <v>-125752.55083647139</v>
      </c>
      <c r="S313" s="221"/>
      <c r="T313" s="245">
        <f t="shared" si="374"/>
        <v>45940</v>
      </c>
      <c r="U313" s="221"/>
      <c r="V313" s="221"/>
      <c r="W313" s="221"/>
      <c r="X313" s="221"/>
      <c r="Y313" s="221"/>
      <c r="Z313" s="221"/>
    </row>
    <row r="314" spans="1:26" ht="18.75" customHeight="1" outlineLevel="1">
      <c r="A314" s="221"/>
      <c r="B314" s="237">
        <f t="shared" si="368"/>
        <v>45941</v>
      </c>
      <c r="C314" s="238">
        <f t="shared" si="364"/>
        <v>45941</v>
      </c>
      <c r="D314" s="239">
        <f>目標_2025R7!D304</f>
        <v>1</v>
      </c>
      <c r="E314" s="240">
        <f>IF(D314=1,'適正原価率表(仕入れお小遣い制度)'!$J$22,0)</f>
        <v>14170.377029446263</v>
      </c>
      <c r="F314" s="240">
        <f t="shared" si="369"/>
        <v>141703.77029446262</v>
      </c>
      <c r="G314" s="241">
        <v>3241</v>
      </c>
      <c r="H314" s="240">
        <f t="shared" si="370"/>
        <v>189401</v>
      </c>
      <c r="I314" s="242">
        <f t="shared" si="365"/>
        <v>-47697.229705537378</v>
      </c>
      <c r="J314" s="230"/>
      <c r="K314" s="237">
        <f t="shared" si="363"/>
        <v>45941</v>
      </c>
      <c r="L314" s="243">
        <f t="shared" ref="L314:M314" si="383">C314</f>
        <v>45941</v>
      </c>
      <c r="M314" s="244">
        <f t="shared" si="383"/>
        <v>1</v>
      </c>
      <c r="N314" s="240">
        <f>IF(M314=1,'適正原価率表(仕入れお小遣い制度)'!$J$23,0)</f>
        <v>13233.494351503181</v>
      </c>
      <c r="O314" s="240">
        <f t="shared" si="372"/>
        <v>132334.9435150318</v>
      </c>
      <c r="P314" s="241">
        <v>0</v>
      </c>
      <c r="Q314" s="240">
        <f t="shared" si="373"/>
        <v>244854</v>
      </c>
      <c r="R314" s="242">
        <f t="shared" si="367"/>
        <v>-112519.0564849682</v>
      </c>
      <c r="S314" s="221"/>
      <c r="T314" s="245">
        <f t="shared" si="374"/>
        <v>45941</v>
      </c>
      <c r="U314" s="221"/>
      <c r="V314" s="221"/>
      <c r="W314" s="221"/>
      <c r="X314" s="221"/>
      <c r="Y314" s="221"/>
      <c r="Z314" s="221"/>
    </row>
    <row r="315" spans="1:26" ht="18.75" customHeight="1" outlineLevel="1">
      <c r="A315" s="221"/>
      <c r="B315" s="237">
        <f t="shared" si="368"/>
        <v>45942</v>
      </c>
      <c r="C315" s="238">
        <f t="shared" si="364"/>
        <v>45942</v>
      </c>
      <c r="D315" s="239">
        <f>目標_2025R7!D305</f>
        <v>1</v>
      </c>
      <c r="E315" s="240">
        <f>IF(D315=1,'適正原価率表(仕入れお小遣い制度)'!$J$22,0)</f>
        <v>14170.377029446263</v>
      </c>
      <c r="F315" s="240">
        <f t="shared" si="369"/>
        <v>155874.1473239089</v>
      </c>
      <c r="G315" s="241">
        <v>7415</v>
      </c>
      <c r="H315" s="240">
        <f t="shared" si="370"/>
        <v>196816</v>
      </c>
      <c r="I315" s="242">
        <f t="shared" si="365"/>
        <v>-40941.852676091105</v>
      </c>
      <c r="J315" s="230"/>
      <c r="K315" s="237">
        <f t="shared" si="363"/>
        <v>45942</v>
      </c>
      <c r="L315" s="243">
        <f t="shared" ref="L315:M315" si="384">C315</f>
        <v>45942</v>
      </c>
      <c r="M315" s="244">
        <f t="shared" si="384"/>
        <v>1</v>
      </c>
      <c r="N315" s="240">
        <f>IF(M315=1,'適正原価率表(仕入れお小遣い制度)'!$J$23,0)</f>
        <v>13233.494351503181</v>
      </c>
      <c r="O315" s="240">
        <f t="shared" si="372"/>
        <v>145568.43786653498</v>
      </c>
      <c r="P315" s="241">
        <v>0</v>
      </c>
      <c r="Q315" s="240">
        <f t="shared" si="373"/>
        <v>244854</v>
      </c>
      <c r="R315" s="242">
        <f t="shared" si="367"/>
        <v>-99285.56213346502</v>
      </c>
      <c r="S315" s="221"/>
      <c r="T315" s="245">
        <f t="shared" si="374"/>
        <v>45942</v>
      </c>
      <c r="U315" s="221"/>
      <c r="V315" s="221"/>
      <c r="W315" s="221"/>
      <c r="X315" s="221"/>
      <c r="Y315" s="221"/>
      <c r="Z315" s="221"/>
    </row>
    <row r="316" spans="1:26" ht="18.75" customHeight="1" outlineLevel="1">
      <c r="A316" s="221"/>
      <c r="B316" s="237">
        <f t="shared" si="368"/>
        <v>45943</v>
      </c>
      <c r="C316" s="238">
        <f t="shared" si="364"/>
        <v>45943</v>
      </c>
      <c r="D316" s="239">
        <f>目標_2025R7!D306</f>
        <v>0</v>
      </c>
      <c r="E316" s="240">
        <f>IF(D316=1,'適正原価率表(仕入れお小遣い制度)'!$J$22,0)</f>
        <v>0</v>
      </c>
      <c r="F316" s="240">
        <f t="shared" si="369"/>
        <v>0</v>
      </c>
      <c r="G316" s="241">
        <v>4319</v>
      </c>
      <c r="H316" s="240">
        <f t="shared" si="370"/>
        <v>0</v>
      </c>
      <c r="I316" s="242">
        <f t="shared" si="365"/>
        <v>0</v>
      </c>
      <c r="J316" s="230"/>
      <c r="K316" s="237">
        <f t="shared" si="363"/>
        <v>45943</v>
      </c>
      <c r="L316" s="243">
        <f t="shared" ref="L316:M316" si="385">C316</f>
        <v>45943</v>
      </c>
      <c r="M316" s="244">
        <f t="shared" si="385"/>
        <v>0</v>
      </c>
      <c r="N316" s="240">
        <f>IF(M316=1,'適正原価率表(仕入れお小遣い制度)'!$J$23,0)</f>
        <v>0</v>
      </c>
      <c r="O316" s="240">
        <f t="shared" si="372"/>
        <v>0</v>
      </c>
      <c r="P316" s="241">
        <v>0</v>
      </c>
      <c r="Q316" s="240">
        <f t="shared" si="373"/>
        <v>0</v>
      </c>
      <c r="R316" s="242">
        <f t="shared" si="367"/>
        <v>0</v>
      </c>
      <c r="S316" s="221"/>
      <c r="T316" s="245">
        <f t="shared" si="374"/>
        <v>45943</v>
      </c>
      <c r="U316" s="221"/>
      <c r="V316" s="221"/>
      <c r="W316" s="221"/>
      <c r="X316" s="221"/>
      <c r="Y316" s="221"/>
      <c r="Z316" s="221"/>
    </row>
    <row r="317" spans="1:26" ht="18.75" customHeight="1" outlineLevel="1">
      <c r="A317" s="221"/>
      <c r="B317" s="237">
        <f t="shared" si="368"/>
        <v>45944</v>
      </c>
      <c r="C317" s="238">
        <f t="shared" si="364"/>
        <v>45944</v>
      </c>
      <c r="D317" s="239">
        <f>目標_2025R7!D307</f>
        <v>0</v>
      </c>
      <c r="E317" s="240">
        <f>IF(D317=1,'適正原価率表(仕入れお小遣い制度)'!$J$22,0)</f>
        <v>0</v>
      </c>
      <c r="F317" s="240">
        <f t="shared" si="369"/>
        <v>0</v>
      </c>
      <c r="G317" s="241">
        <v>0</v>
      </c>
      <c r="H317" s="240">
        <f t="shared" si="370"/>
        <v>0</v>
      </c>
      <c r="I317" s="242">
        <f t="shared" si="365"/>
        <v>0</v>
      </c>
      <c r="J317" s="230"/>
      <c r="K317" s="237">
        <f t="shared" si="363"/>
        <v>45944</v>
      </c>
      <c r="L317" s="243">
        <f t="shared" ref="L317:M317" si="386">C317</f>
        <v>45944</v>
      </c>
      <c r="M317" s="244">
        <f t="shared" si="386"/>
        <v>0</v>
      </c>
      <c r="N317" s="240">
        <f>IF(M317=1,'適正原価率表(仕入れお小遣い制度)'!$J$23,0)</f>
        <v>0</v>
      </c>
      <c r="O317" s="240">
        <f t="shared" si="372"/>
        <v>0</v>
      </c>
      <c r="P317" s="241">
        <v>0</v>
      </c>
      <c r="Q317" s="240">
        <f t="shared" si="373"/>
        <v>0</v>
      </c>
      <c r="R317" s="242">
        <f t="shared" si="367"/>
        <v>0</v>
      </c>
      <c r="S317" s="221"/>
      <c r="T317" s="245">
        <f t="shared" si="374"/>
        <v>45944</v>
      </c>
      <c r="U317" s="221"/>
      <c r="V317" s="221"/>
      <c r="W317" s="221"/>
      <c r="X317" s="221"/>
      <c r="Y317" s="221"/>
      <c r="Z317" s="221"/>
    </row>
    <row r="318" spans="1:26" ht="18.75" customHeight="1" outlineLevel="1">
      <c r="A318" s="221"/>
      <c r="B318" s="237">
        <f t="shared" si="368"/>
        <v>45945</v>
      </c>
      <c r="C318" s="238">
        <f t="shared" si="364"/>
        <v>45945</v>
      </c>
      <c r="D318" s="239">
        <f>目標_2025R7!D308</f>
        <v>1</v>
      </c>
      <c r="E318" s="240">
        <f>IF(D318=1,'適正原価率表(仕入れお小遣い制度)'!$J$22,0)</f>
        <v>14170.377029446263</v>
      </c>
      <c r="F318" s="240">
        <f t="shared" si="369"/>
        <v>170044.52435335517</v>
      </c>
      <c r="G318" s="241">
        <v>7232</v>
      </c>
      <c r="H318" s="240">
        <f t="shared" si="370"/>
        <v>208367</v>
      </c>
      <c r="I318" s="242">
        <f t="shared" si="365"/>
        <v>-38322.475646644831</v>
      </c>
      <c r="J318" s="230"/>
      <c r="K318" s="237">
        <f t="shared" si="363"/>
        <v>45945</v>
      </c>
      <c r="L318" s="243">
        <f t="shared" ref="L318:M318" si="387">C318</f>
        <v>45945</v>
      </c>
      <c r="M318" s="244">
        <f t="shared" si="387"/>
        <v>1</v>
      </c>
      <c r="N318" s="240">
        <f>IF(M318=1,'適正原価率表(仕入れお小遣い制度)'!$J$23,0)</f>
        <v>13233.494351503181</v>
      </c>
      <c r="O318" s="240">
        <f t="shared" si="372"/>
        <v>158801.93221803816</v>
      </c>
      <c r="P318" s="241">
        <v>49654</v>
      </c>
      <c r="Q318" s="240">
        <f t="shared" si="373"/>
        <v>294508</v>
      </c>
      <c r="R318" s="242">
        <f t="shared" si="367"/>
        <v>-135706.06778196184</v>
      </c>
      <c r="S318" s="221"/>
      <c r="T318" s="245">
        <f t="shared" si="374"/>
        <v>45945</v>
      </c>
      <c r="U318" s="221"/>
      <c r="V318" s="221"/>
      <c r="W318" s="221"/>
      <c r="X318" s="221"/>
      <c r="Y318" s="221"/>
      <c r="Z318" s="221"/>
    </row>
    <row r="319" spans="1:26" ht="18.75" customHeight="1" outlineLevel="1">
      <c r="A319" s="221"/>
      <c r="B319" s="237">
        <f t="shared" si="368"/>
        <v>45946</v>
      </c>
      <c r="C319" s="238">
        <f t="shared" si="364"/>
        <v>45946</v>
      </c>
      <c r="D319" s="239">
        <f>目標_2025R7!D309</f>
        <v>1</v>
      </c>
      <c r="E319" s="240">
        <f>IF(D319=1,'適正原価率表(仕入れお小遣い制度)'!$J$22,0)</f>
        <v>14170.377029446263</v>
      </c>
      <c r="F319" s="240">
        <f t="shared" si="369"/>
        <v>184214.90138280144</v>
      </c>
      <c r="G319" s="241">
        <v>24441</v>
      </c>
      <c r="H319" s="240">
        <f t="shared" si="370"/>
        <v>232808</v>
      </c>
      <c r="I319" s="242">
        <f t="shared" si="365"/>
        <v>-48593.098617198557</v>
      </c>
      <c r="J319" s="230"/>
      <c r="K319" s="237">
        <f t="shared" si="363"/>
        <v>45946</v>
      </c>
      <c r="L319" s="243">
        <f t="shared" ref="L319:M319" si="388">C319</f>
        <v>45946</v>
      </c>
      <c r="M319" s="244">
        <f t="shared" si="388"/>
        <v>1</v>
      </c>
      <c r="N319" s="240">
        <f>IF(M319=1,'適正原価率表(仕入れお小遣い制度)'!$J$23,0)</f>
        <v>13233.494351503181</v>
      </c>
      <c r="O319" s="240">
        <f t="shared" si="372"/>
        <v>172035.42656954133</v>
      </c>
      <c r="P319" s="241">
        <v>21838</v>
      </c>
      <c r="Q319" s="240">
        <f t="shared" si="373"/>
        <v>316346</v>
      </c>
      <c r="R319" s="242">
        <f t="shared" si="367"/>
        <v>-144310.57343045867</v>
      </c>
      <c r="S319" s="221"/>
      <c r="T319" s="245">
        <f t="shared" si="374"/>
        <v>45946</v>
      </c>
      <c r="U319" s="221"/>
      <c r="V319" s="221"/>
      <c r="W319" s="221"/>
      <c r="X319" s="221"/>
      <c r="Y319" s="221"/>
      <c r="Z319" s="221"/>
    </row>
    <row r="320" spans="1:26" ht="18.75" customHeight="1" outlineLevel="1">
      <c r="A320" s="221"/>
      <c r="B320" s="237">
        <f t="shared" si="368"/>
        <v>45947</v>
      </c>
      <c r="C320" s="238">
        <f t="shared" si="364"/>
        <v>45947</v>
      </c>
      <c r="D320" s="239">
        <f>目標_2025R7!D310</f>
        <v>1</v>
      </c>
      <c r="E320" s="240">
        <f>IF(D320=1,'適正原価率表(仕入れお小遣い制度)'!$J$22,0)</f>
        <v>14170.377029446263</v>
      </c>
      <c r="F320" s="240">
        <f t="shared" si="369"/>
        <v>198385.27841224772</v>
      </c>
      <c r="G320" s="241">
        <v>9858</v>
      </c>
      <c r="H320" s="240">
        <f t="shared" si="370"/>
        <v>242666</v>
      </c>
      <c r="I320" s="242">
        <f t="shared" si="365"/>
        <v>-44280.721587752283</v>
      </c>
      <c r="J320" s="230"/>
      <c r="K320" s="237">
        <f t="shared" si="363"/>
        <v>45947</v>
      </c>
      <c r="L320" s="243">
        <f t="shared" ref="L320:M320" si="389">C320</f>
        <v>45947</v>
      </c>
      <c r="M320" s="244">
        <f t="shared" si="389"/>
        <v>1</v>
      </c>
      <c r="N320" s="240">
        <f>IF(M320=1,'適正原価率表(仕入れお小遣い制度)'!$J$23,0)</f>
        <v>13233.494351503181</v>
      </c>
      <c r="O320" s="240">
        <f t="shared" si="372"/>
        <v>185268.92092104451</v>
      </c>
      <c r="P320" s="241">
        <v>24255</v>
      </c>
      <c r="Q320" s="240">
        <f t="shared" si="373"/>
        <v>340601</v>
      </c>
      <c r="R320" s="242">
        <f t="shared" si="367"/>
        <v>-155332.07907895549</v>
      </c>
      <c r="S320" s="221"/>
      <c r="T320" s="245">
        <f t="shared" si="374"/>
        <v>45947</v>
      </c>
      <c r="U320" s="221"/>
      <c r="V320" s="221"/>
      <c r="W320" s="221"/>
      <c r="X320" s="221"/>
      <c r="Y320" s="221"/>
      <c r="Z320" s="221"/>
    </row>
    <row r="321" spans="1:26" ht="18.75" customHeight="1" outlineLevel="1">
      <c r="A321" s="221"/>
      <c r="B321" s="237">
        <f t="shared" si="368"/>
        <v>45948</v>
      </c>
      <c r="C321" s="238">
        <f t="shared" si="364"/>
        <v>45948</v>
      </c>
      <c r="D321" s="239">
        <f>目標_2025R7!D311</f>
        <v>1</v>
      </c>
      <c r="E321" s="240">
        <f>IF(D321=1,'適正原価率表(仕入れお小遣い制度)'!$J$22,0)</f>
        <v>14170.377029446263</v>
      </c>
      <c r="F321" s="240">
        <f t="shared" si="369"/>
        <v>212555.65544169399</v>
      </c>
      <c r="G321" s="241">
        <v>6812</v>
      </c>
      <c r="H321" s="240">
        <f t="shared" si="370"/>
        <v>249478</v>
      </c>
      <c r="I321" s="242">
        <f t="shared" si="365"/>
        <v>-36922.344558306009</v>
      </c>
      <c r="J321" s="230"/>
      <c r="K321" s="237">
        <f t="shared" si="363"/>
        <v>45948</v>
      </c>
      <c r="L321" s="243">
        <f t="shared" ref="L321:M321" si="390">C321</f>
        <v>45948</v>
      </c>
      <c r="M321" s="244">
        <f t="shared" si="390"/>
        <v>1</v>
      </c>
      <c r="N321" s="240">
        <f>IF(M321=1,'適正原価率表(仕入れお小遣い制度)'!$J$23,0)</f>
        <v>13233.494351503181</v>
      </c>
      <c r="O321" s="240">
        <f t="shared" si="372"/>
        <v>198502.41527254769</v>
      </c>
      <c r="P321" s="241">
        <v>3772</v>
      </c>
      <c r="Q321" s="240">
        <f t="shared" si="373"/>
        <v>344373</v>
      </c>
      <c r="R321" s="242">
        <f t="shared" si="367"/>
        <v>-145870.58472745231</v>
      </c>
      <c r="S321" s="221"/>
      <c r="T321" s="245">
        <f t="shared" si="374"/>
        <v>45948</v>
      </c>
      <c r="U321" s="221"/>
      <c r="V321" s="221"/>
      <c r="W321" s="221"/>
      <c r="X321" s="221"/>
      <c r="Y321" s="221"/>
      <c r="Z321" s="221"/>
    </row>
    <row r="322" spans="1:26" ht="18.75" customHeight="1" outlineLevel="1">
      <c r="A322" s="221"/>
      <c r="B322" s="237">
        <f t="shared" si="368"/>
        <v>45949</v>
      </c>
      <c r="C322" s="238">
        <f t="shared" si="364"/>
        <v>45949</v>
      </c>
      <c r="D322" s="239">
        <f>目標_2025R7!D312</f>
        <v>1</v>
      </c>
      <c r="E322" s="240">
        <f>IF(D322=1,'適正原価率表(仕入れお小遣い制度)'!$J$22,0)</f>
        <v>14170.377029446263</v>
      </c>
      <c r="F322" s="240">
        <f t="shared" si="369"/>
        <v>226726.03247114026</v>
      </c>
      <c r="G322" s="241">
        <v>0</v>
      </c>
      <c r="H322" s="240">
        <f t="shared" si="370"/>
        <v>249478</v>
      </c>
      <c r="I322" s="242">
        <f t="shared" si="365"/>
        <v>-22751.967528859735</v>
      </c>
      <c r="J322" s="230"/>
      <c r="K322" s="237">
        <f t="shared" si="363"/>
        <v>45949</v>
      </c>
      <c r="L322" s="243">
        <f t="shared" ref="L322:M322" si="391">C322</f>
        <v>45949</v>
      </c>
      <c r="M322" s="244">
        <f t="shared" si="391"/>
        <v>1</v>
      </c>
      <c r="N322" s="240">
        <f>IF(M322=1,'適正原価率表(仕入れお小遣い制度)'!$J$23,0)</f>
        <v>13233.494351503181</v>
      </c>
      <c r="O322" s="240">
        <f t="shared" si="372"/>
        <v>211735.90962405087</v>
      </c>
      <c r="P322" s="241">
        <v>0</v>
      </c>
      <c r="Q322" s="240">
        <f t="shared" si="373"/>
        <v>344373</v>
      </c>
      <c r="R322" s="242">
        <f t="shared" si="367"/>
        <v>-132637.09037594913</v>
      </c>
      <c r="S322" s="221"/>
      <c r="T322" s="245">
        <f t="shared" si="374"/>
        <v>45949</v>
      </c>
      <c r="U322" s="221"/>
      <c r="V322" s="221"/>
      <c r="W322" s="221"/>
      <c r="X322" s="221"/>
      <c r="Y322" s="221"/>
      <c r="Z322" s="221"/>
    </row>
    <row r="323" spans="1:26" ht="18.75" customHeight="1" outlineLevel="1">
      <c r="A323" s="221"/>
      <c r="B323" s="237">
        <f t="shared" si="368"/>
        <v>45950</v>
      </c>
      <c r="C323" s="238">
        <f t="shared" si="364"/>
        <v>45950</v>
      </c>
      <c r="D323" s="239">
        <f>目標_2025R7!D313</f>
        <v>0</v>
      </c>
      <c r="E323" s="240">
        <f>IF(D323=1,'適正原価率表(仕入れお小遣い制度)'!$J$22,0)</f>
        <v>0</v>
      </c>
      <c r="F323" s="240">
        <f t="shared" si="369"/>
        <v>0</v>
      </c>
      <c r="G323" s="241">
        <v>0</v>
      </c>
      <c r="H323" s="240">
        <f t="shared" si="370"/>
        <v>0</v>
      </c>
      <c r="I323" s="242">
        <f t="shared" si="365"/>
        <v>0</v>
      </c>
      <c r="J323" s="230"/>
      <c r="K323" s="237">
        <f t="shared" si="363"/>
        <v>45950</v>
      </c>
      <c r="L323" s="243">
        <f t="shared" ref="L323:M323" si="392">C323</f>
        <v>45950</v>
      </c>
      <c r="M323" s="244">
        <f t="shared" si="392"/>
        <v>0</v>
      </c>
      <c r="N323" s="240">
        <f>IF(M323=1,'適正原価率表(仕入れお小遣い制度)'!$J$23,0)</f>
        <v>0</v>
      </c>
      <c r="O323" s="240">
        <f t="shared" si="372"/>
        <v>0</v>
      </c>
      <c r="P323" s="241">
        <v>0</v>
      </c>
      <c r="Q323" s="240">
        <f t="shared" si="373"/>
        <v>0</v>
      </c>
      <c r="R323" s="242">
        <f t="shared" si="367"/>
        <v>0</v>
      </c>
      <c r="S323" s="221"/>
      <c r="T323" s="245">
        <f t="shared" si="374"/>
        <v>45950</v>
      </c>
      <c r="U323" s="221"/>
      <c r="V323" s="221"/>
      <c r="W323" s="221"/>
      <c r="X323" s="221"/>
      <c r="Y323" s="221"/>
      <c r="Z323" s="221"/>
    </row>
    <row r="324" spans="1:26" ht="18.75" customHeight="1" outlineLevel="1">
      <c r="A324" s="221"/>
      <c r="B324" s="237">
        <f t="shared" si="368"/>
        <v>45951</v>
      </c>
      <c r="C324" s="238">
        <f t="shared" si="364"/>
        <v>45951</v>
      </c>
      <c r="D324" s="239">
        <f>目標_2025R7!D314</f>
        <v>1</v>
      </c>
      <c r="E324" s="240">
        <f>IF(D324=1,'適正原価率表(仕入れお小遣い制度)'!$J$22,0)</f>
        <v>14170.377029446263</v>
      </c>
      <c r="F324" s="240">
        <f t="shared" si="369"/>
        <v>240896.40950058654</v>
      </c>
      <c r="G324" s="241">
        <v>5452</v>
      </c>
      <c r="H324" s="240">
        <f t="shared" si="370"/>
        <v>254930</v>
      </c>
      <c r="I324" s="242">
        <f t="shared" si="365"/>
        <v>-14033.590499413462</v>
      </c>
      <c r="J324" s="230"/>
      <c r="K324" s="237">
        <f t="shared" si="363"/>
        <v>45951</v>
      </c>
      <c r="L324" s="243">
        <f t="shared" ref="L324:M324" si="393">C324</f>
        <v>45951</v>
      </c>
      <c r="M324" s="244">
        <f t="shared" si="393"/>
        <v>1</v>
      </c>
      <c r="N324" s="240">
        <f>IF(M324=1,'適正原価率表(仕入れお小遣い制度)'!$J$23,0)</f>
        <v>13233.494351503181</v>
      </c>
      <c r="O324" s="240">
        <f t="shared" si="372"/>
        <v>224969.40397555404</v>
      </c>
      <c r="P324" s="241">
        <v>36245</v>
      </c>
      <c r="Q324" s="240">
        <f t="shared" si="373"/>
        <v>380618</v>
      </c>
      <c r="R324" s="242">
        <f t="shared" si="367"/>
        <v>-155648.59602444596</v>
      </c>
      <c r="S324" s="221"/>
      <c r="T324" s="245">
        <f t="shared" si="374"/>
        <v>45951</v>
      </c>
      <c r="U324" s="221"/>
      <c r="V324" s="221"/>
      <c r="W324" s="221"/>
      <c r="X324" s="221"/>
      <c r="Y324" s="221"/>
      <c r="Z324" s="221"/>
    </row>
    <row r="325" spans="1:26" ht="18.75" customHeight="1" outlineLevel="1">
      <c r="A325" s="221"/>
      <c r="B325" s="237">
        <f t="shared" si="368"/>
        <v>45952</v>
      </c>
      <c r="C325" s="238">
        <f t="shared" si="364"/>
        <v>45952</v>
      </c>
      <c r="D325" s="239">
        <f>目標_2025R7!D315</f>
        <v>1</v>
      </c>
      <c r="E325" s="240">
        <f>IF(D325=1,'適正原価率表(仕入れお小遣い制度)'!$J$22,0)</f>
        <v>14170.377029446263</v>
      </c>
      <c r="F325" s="240">
        <f t="shared" si="369"/>
        <v>255066.78653003281</v>
      </c>
      <c r="G325" s="241">
        <v>13198</v>
      </c>
      <c r="H325" s="240">
        <f t="shared" si="370"/>
        <v>268128</v>
      </c>
      <c r="I325" s="242">
        <f t="shared" si="365"/>
        <v>-13061.213469967188</v>
      </c>
      <c r="J325" s="230"/>
      <c r="K325" s="237">
        <f t="shared" si="363"/>
        <v>45952</v>
      </c>
      <c r="L325" s="243">
        <f t="shared" ref="L325:M325" si="394">C325</f>
        <v>45952</v>
      </c>
      <c r="M325" s="244">
        <f t="shared" si="394"/>
        <v>1</v>
      </c>
      <c r="N325" s="240">
        <f>IF(M325=1,'適正原価率表(仕入れお小遣い制度)'!$J$23,0)</f>
        <v>13233.494351503181</v>
      </c>
      <c r="O325" s="240">
        <f t="shared" si="372"/>
        <v>238202.89832705722</v>
      </c>
      <c r="P325" s="241">
        <v>4602</v>
      </c>
      <c r="Q325" s="240">
        <f t="shared" si="373"/>
        <v>385220</v>
      </c>
      <c r="R325" s="242">
        <f t="shared" si="367"/>
        <v>-147017.10167294278</v>
      </c>
      <c r="S325" s="221"/>
      <c r="T325" s="245">
        <f t="shared" si="374"/>
        <v>45952</v>
      </c>
      <c r="U325" s="221"/>
      <c r="V325" s="221"/>
      <c r="W325" s="221"/>
      <c r="X325" s="221"/>
      <c r="Y325" s="221"/>
      <c r="Z325" s="221"/>
    </row>
    <row r="326" spans="1:26" ht="18.75" customHeight="1" outlineLevel="1">
      <c r="A326" s="221"/>
      <c r="B326" s="237">
        <f t="shared" si="368"/>
        <v>45953</v>
      </c>
      <c r="C326" s="238">
        <f t="shared" si="364"/>
        <v>45953</v>
      </c>
      <c r="D326" s="239">
        <f>目標_2025R7!D316</f>
        <v>1</v>
      </c>
      <c r="E326" s="240">
        <f>IF(D326=1,'適正原価率表(仕入れお小遣い制度)'!$J$22,0)</f>
        <v>14170.377029446263</v>
      </c>
      <c r="F326" s="240">
        <f t="shared" si="369"/>
        <v>269237.16355947906</v>
      </c>
      <c r="G326" s="241">
        <v>21149</v>
      </c>
      <c r="H326" s="240">
        <f t="shared" si="370"/>
        <v>289277</v>
      </c>
      <c r="I326" s="242">
        <f t="shared" si="365"/>
        <v>-20039.836440520943</v>
      </c>
      <c r="J326" s="230"/>
      <c r="K326" s="237">
        <f t="shared" si="363"/>
        <v>45953</v>
      </c>
      <c r="L326" s="243">
        <f t="shared" ref="L326:M326" si="395">C326</f>
        <v>45953</v>
      </c>
      <c r="M326" s="244">
        <f t="shared" si="395"/>
        <v>1</v>
      </c>
      <c r="N326" s="240">
        <f>IF(M326=1,'適正原価率表(仕入れお小遣い制度)'!$J$23,0)</f>
        <v>13233.494351503181</v>
      </c>
      <c r="O326" s="240">
        <f t="shared" si="372"/>
        <v>251436.3926785604</v>
      </c>
      <c r="P326" s="241">
        <v>12144</v>
      </c>
      <c r="Q326" s="240">
        <f t="shared" si="373"/>
        <v>397364</v>
      </c>
      <c r="R326" s="242">
        <f t="shared" si="367"/>
        <v>-145927.6073214396</v>
      </c>
      <c r="S326" s="221"/>
      <c r="T326" s="245">
        <f t="shared" si="374"/>
        <v>45953</v>
      </c>
      <c r="U326" s="221"/>
      <c r="V326" s="221"/>
      <c r="W326" s="221"/>
      <c r="X326" s="221"/>
      <c r="Y326" s="221"/>
      <c r="Z326" s="221"/>
    </row>
    <row r="327" spans="1:26" ht="18.75" customHeight="1" outlineLevel="1">
      <c r="A327" s="221"/>
      <c r="B327" s="237">
        <f t="shared" si="368"/>
        <v>45954</v>
      </c>
      <c r="C327" s="238">
        <f t="shared" si="364"/>
        <v>45954</v>
      </c>
      <c r="D327" s="239">
        <f>目標_2025R7!D317</f>
        <v>1</v>
      </c>
      <c r="E327" s="240">
        <f>IF(D327=1,'適正原価率表(仕入れお小遣い制度)'!$J$22,0)</f>
        <v>14170.377029446263</v>
      </c>
      <c r="F327" s="240">
        <f t="shared" si="369"/>
        <v>283407.5405889253</v>
      </c>
      <c r="G327" s="241">
        <v>14929</v>
      </c>
      <c r="H327" s="240">
        <f t="shared" si="370"/>
        <v>304206</v>
      </c>
      <c r="I327" s="242">
        <f t="shared" si="365"/>
        <v>-20798.459411074698</v>
      </c>
      <c r="J327" s="230"/>
      <c r="K327" s="237">
        <f t="shared" si="363"/>
        <v>45954</v>
      </c>
      <c r="L327" s="243">
        <f t="shared" ref="L327:M327" si="396">C327</f>
        <v>45954</v>
      </c>
      <c r="M327" s="244">
        <f t="shared" si="396"/>
        <v>1</v>
      </c>
      <c r="N327" s="240">
        <f>IF(M327=1,'適正原価率表(仕入れお小遣い制度)'!$J$23,0)</f>
        <v>13233.494351503181</v>
      </c>
      <c r="O327" s="240">
        <f t="shared" si="372"/>
        <v>264669.8870300636</v>
      </c>
      <c r="P327" s="241">
        <v>27849</v>
      </c>
      <c r="Q327" s="240">
        <f t="shared" si="373"/>
        <v>425213</v>
      </c>
      <c r="R327" s="242">
        <f t="shared" si="367"/>
        <v>-160543.1129699364</v>
      </c>
      <c r="S327" s="221"/>
      <c r="T327" s="245">
        <f t="shared" si="374"/>
        <v>45954</v>
      </c>
      <c r="U327" s="221"/>
      <c r="V327" s="221"/>
      <c r="W327" s="221"/>
      <c r="X327" s="221"/>
      <c r="Y327" s="221"/>
      <c r="Z327" s="221"/>
    </row>
    <row r="328" spans="1:26" ht="18.75" customHeight="1" outlineLevel="1">
      <c r="A328" s="221"/>
      <c r="B328" s="237">
        <f t="shared" si="368"/>
        <v>45955</v>
      </c>
      <c r="C328" s="238">
        <f t="shared" si="364"/>
        <v>45955</v>
      </c>
      <c r="D328" s="239">
        <f>目標_2025R7!D318</f>
        <v>1</v>
      </c>
      <c r="E328" s="240">
        <f>IF(D328=1,'適正原価率表(仕入れお小遣い制度)'!$J$22,0)</f>
        <v>14170.377029446263</v>
      </c>
      <c r="F328" s="240">
        <f t="shared" si="369"/>
        <v>297577.91761837155</v>
      </c>
      <c r="G328" s="241">
        <v>11444</v>
      </c>
      <c r="H328" s="240">
        <f t="shared" si="370"/>
        <v>315650</v>
      </c>
      <c r="I328" s="242">
        <f t="shared" si="365"/>
        <v>-18072.082381628454</v>
      </c>
      <c r="J328" s="230"/>
      <c r="K328" s="237">
        <f t="shared" si="363"/>
        <v>45955</v>
      </c>
      <c r="L328" s="243">
        <f t="shared" ref="L328:M328" si="397">C328</f>
        <v>45955</v>
      </c>
      <c r="M328" s="244">
        <f t="shared" si="397"/>
        <v>1</v>
      </c>
      <c r="N328" s="240">
        <f>IF(M328=1,'適正原価率表(仕入れお小遣い制度)'!$J$23,0)</f>
        <v>13233.494351503181</v>
      </c>
      <c r="O328" s="240">
        <f t="shared" si="372"/>
        <v>277903.38138156681</v>
      </c>
      <c r="P328" s="241">
        <v>12100</v>
      </c>
      <c r="Q328" s="240">
        <f t="shared" si="373"/>
        <v>437313</v>
      </c>
      <c r="R328" s="242">
        <f t="shared" si="367"/>
        <v>-159409.61861843319</v>
      </c>
      <c r="S328" s="221"/>
      <c r="T328" s="245">
        <f t="shared" si="374"/>
        <v>45955</v>
      </c>
      <c r="U328" s="221"/>
      <c r="V328" s="221"/>
      <c r="W328" s="221"/>
      <c r="X328" s="221"/>
      <c r="Y328" s="221"/>
      <c r="Z328" s="221"/>
    </row>
    <row r="329" spans="1:26" ht="18.75" customHeight="1" outlineLevel="1">
      <c r="A329" s="221"/>
      <c r="B329" s="237">
        <f t="shared" si="368"/>
        <v>45956</v>
      </c>
      <c r="C329" s="238">
        <f t="shared" si="364"/>
        <v>45956</v>
      </c>
      <c r="D329" s="239">
        <f>目標_2025R7!D319</f>
        <v>1</v>
      </c>
      <c r="E329" s="240">
        <f>IF(D329=1,'適正原価率表(仕入れお小遣い制度)'!$J$22,0)</f>
        <v>14170.377029446263</v>
      </c>
      <c r="F329" s="240">
        <f t="shared" si="369"/>
        <v>311748.29464781779</v>
      </c>
      <c r="G329" s="241">
        <v>3674</v>
      </c>
      <c r="H329" s="240">
        <f t="shared" si="370"/>
        <v>319324</v>
      </c>
      <c r="I329" s="242">
        <f t="shared" si="365"/>
        <v>-7575.705352182209</v>
      </c>
      <c r="J329" s="230"/>
      <c r="K329" s="237">
        <f t="shared" si="363"/>
        <v>45956</v>
      </c>
      <c r="L329" s="243">
        <f t="shared" ref="L329:M329" si="398">C329</f>
        <v>45956</v>
      </c>
      <c r="M329" s="244">
        <f t="shared" si="398"/>
        <v>1</v>
      </c>
      <c r="N329" s="240">
        <f>IF(M329=1,'適正原価率表(仕入れお小遣い制度)'!$J$23,0)</f>
        <v>13233.494351503181</v>
      </c>
      <c r="O329" s="240">
        <f t="shared" si="372"/>
        <v>291136.87573307002</v>
      </c>
      <c r="P329" s="241">
        <v>0</v>
      </c>
      <c r="Q329" s="240">
        <f t="shared" si="373"/>
        <v>437313</v>
      </c>
      <c r="R329" s="242">
        <f t="shared" si="367"/>
        <v>-146176.12426692998</v>
      </c>
      <c r="S329" s="221"/>
      <c r="T329" s="245">
        <f t="shared" si="374"/>
        <v>45956</v>
      </c>
      <c r="U329" s="221"/>
      <c r="V329" s="221"/>
      <c r="W329" s="221"/>
      <c r="X329" s="221"/>
      <c r="Y329" s="221"/>
      <c r="Z329" s="221"/>
    </row>
    <row r="330" spans="1:26" ht="18.75" customHeight="1" outlineLevel="1">
      <c r="A330" s="221"/>
      <c r="B330" s="237">
        <f t="shared" si="368"/>
        <v>45957</v>
      </c>
      <c r="C330" s="238">
        <f t="shared" si="364"/>
        <v>45957</v>
      </c>
      <c r="D330" s="239">
        <f>目標_2025R7!D320</f>
        <v>0</v>
      </c>
      <c r="E330" s="240">
        <f>IF(D330=1,'適正原価率表(仕入れお小遣い制度)'!$J$22,0)</f>
        <v>0</v>
      </c>
      <c r="F330" s="240">
        <f t="shared" si="369"/>
        <v>0</v>
      </c>
      <c r="G330" s="241">
        <v>0</v>
      </c>
      <c r="H330" s="240">
        <f t="shared" si="370"/>
        <v>0</v>
      </c>
      <c r="I330" s="242">
        <f t="shared" si="365"/>
        <v>0</v>
      </c>
      <c r="J330" s="230"/>
      <c r="K330" s="237">
        <f t="shared" si="363"/>
        <v>45957</v>
      </c>
      <c r="L330" s="243">
        <f t="shared" ref="L330:M330" si="399">C330</f>
        <v>45957</v>
      </c>
      <c r="M330" s="244">
        <f t="shared" si="399"/>
        <v>0</v>
      </c>
      <c r="N330" s="240">
        <f>IF(M330=1,'適正原価率表(仕入れお小遣い制度)'!$J$23,0)</f>
        <v>0</v>
      </c>
      <c r="O330" s="240">
        <f t="shared" si="372"/>
        <v>0</v>
      </c>
      <c r="P330" s="241">
        <v>0</v>
      </c>
      <c r="Q330" s="240">
        <f t="shared" si="373"/>
        <v>0</v>
      </c>
      <c r="R330" s="242">
        <f t="shared" si="367"/>
        <v>0</v>
      </c>
      <c r="S330" s="221"/>
      <c r="T330" s="245">
        <f t="shared" si="374"/>
        <v>45957</v>
      </c>
      <c r="U330" s="221"/>
      <c r="V330" s="221"/>
      <c r="W330" s="221"/>
      <c r="X330" s="221"/>
      <c r="Y330" s="221"/>
      <c r="Z330" s="221"/>
    </row>
    <row r="331" spans="1:26" ht="18.75" customHeight="1" outlineLevel="1">
      <c r="A331" s="221"/>
      <c r="B331" s="237">
        <f t="shared" si="368"/>
        <v>45958</v>
      </c>
      <c r="C331" s="238">
        <f t="shared" si="364"/>
        <v>45958</v>
      </c>
      <c r="D331" s="239">
        <f>目標_2025R7!D321</f>
        <v>1</v>
      </c>
      <c r="E331" s="240">
        <f>IF(D331=1,'適正原価率表(仕入れお小遣い制度)'!$J$22,0)</f>
        <v>14170.377029446263</v>
      </c>
      <c r="F331" s="240">
        <f t="shared" si="369"/>
        <v>325918.67167726404</v>
      </c>
      <c r="G331" s="241">
        <v>18891</v>
      </c>
      <c r="H331" s="240">
        <f t="shared" si="370"/>
        <v>338215</v>
      </c>
      <c r="I331" s="242">
        <f t="shared" si="365"/>
        <v>-12296.328322735964</v>
      </c>
      <c r="J331" s="230"/>
      <c r="K331" s="237">
        <f t="shared" si="363"/>
        <v>45958</v>
      </c>
      <c r="L331" s="243">
        <f t="shared" ref="L331:M331" si="400">C331</f>
        <v>45958</v>
      </c>
      <c r="M331" s="244">
        <f t="shared" si="400"/>
        <v>1</v>
      </c>
      <c r="N331" s="240">
        <f>IF(M331=1,'適正原価率表(仕入れお小遣い制度)'!$J$23,0)</f>
        <v>13233.494351503181</v>
      </c>
      <c r="O331" s="240">
        <f t="shared" si="372"/>
        <v>304370.37008457322</v>
      </c>
      <c r="P331" s="241">
        <v>41778</v>
      </c>
      <c r="Q331" s="240">
        <f t="shared" si="373"/>
        <v>479091</v>
      </c>
      <c r="R331" s="242">
        <f t="shared" si="367"/>
        <v>-174720.62991542678</v>
      </c>
      <c r="S331" s="221"/>
      <c r="T331" s="245">
        <f t="shared" si="374"/>
        <v>45958</v>
      </c>
      <c r="U331" s="221"/>
      <c r="V331" s="221"/>
      <c r="W331" s="221"/>
      <c r="X331" s="221"/>
      <c r="Y331" s="221"/>
      <c r="Z331" s="221"/>
    </row>
    <row r="332" spans="1:26" ht="18.75" customHeight="1" outlineLevel="1">
      <c r="A332" s="221"/>
      <c r="B332" s="237">
        <f t="shared" si="368"/>
        <v>45959</v>
      </c>
      <c r="C332" s="238">
        <f t="shared" si="364"/>
        <v>45959</v>
      </c>
      <c r="D332" s="239">
        <f>目標_2025R7!D322</f>
        <v>1</v>
      </c>
      <c r="E332" s="240">
        <f>IF(D332=1,'適正原価率表(仕入れお小遣い制度)'!$J$22,0)</f>
        <v>14170.377029446263</v>
      </c>
      <c r="F332" s="240">
        <f t="shared" si="369"/>
        <v>340089.04870671028</v>
      </c>
      <c r="G332" s="241">
        <v>5156</v>
      </c>
      <c r="H332" s="240">
        <f t="shared" si="370"/>
        <v>343371</v>
      </c>
      <c r="I332" s="242">
        <f t="shared" si="365"/>
        <v>-3281.9512932897196</v>
      </c>
      <c r="J332" s="230"/>
      <c r="K332" s="237">
        <f t="shared" si="363"/>
        <v>45959</v>
      </c>
      <c r="L332" s="243">
        <f t="shared" ref="L332:M332" si="401">C332</f>
        <v>45959</v>
      </c>
      <c r="M332" s="244">
        <f t="shared" si="401"/>
        <v>1</v>
      </c>
      <c r="N332" s="240">
        <f>IF(M332=1,'適正原価率表(仕入れお小遣い制度)'!$J$23,0)</f>
        <v>13233.494351503181</v>
      </c>
      <c r="O332" s="240">
        <f t="shared" si="372"/>
        <v>317603.86443607643</v>
      </c>
      <c r="P332" s="241">
        <v>4841</v>
      </c>
      <c r="Q332" s="240">
        <f t="shared" si="373"/>
        <v>483932</v>
      </c>
      <c r="R332" s="242">
        <f t="shared" si="367"/>
        <v>-166328.13556392357</v>
      </c>
      <c r="S332" s="221"/>
      <c r="T332" s="245">
        <f t="shared" si="374"/>
        <v>45959</v>
      </c>
      <c r="U332" s="221"/>
      <c r="V332" s="221"/>
      <c r="W332" s="221"/>
      <c r="X332" s="221"/>
      <c r="Y332" s="221"/>
      <c r="Z332" s="221"/>
    </row>
    <row r="333" spans="1:26" ht="18.75" customHeight="1" outlineLevel="1">
      <c r="A333" s="221"/>
      <c r="B333" s="237">
        <f t="shared" si="368"/>
        <v>45960</v>
      </c>
      <c r="C333" s="238">
        <f t="shared" si="364"/>
        <v>45960</v>
      </c>
      <c r="D333" s="239">
        <f>目標_2025R7!D323</f>
        <v>1</v>
      </c>
      <c r="E333" s="240">
        <f>IF(D333=1,'適正原価率表(仕入れお小遣い制度)'!$J$22,0)</f>
        <v>14170.377029446263</v>
      </c>
      <c r="F333" s="240">
        <f t="shared" si="369"/>
        <v>354259.42573615653</v>
      </c>
      <c r="G333" s="241">
        <v>5302</v>
      </c>
      <c r="H333" s="240">
        <f t="shared" si="370"/>
        <v>348673</v>
      </c>
      <c r="I333" s="242">
        <f t="shared" si="365"/>
        <v>5586.4257361565251</v>
      </c>
      <c r="J333" s="230"/>
      <c r="K333" s="237">
        <f t="shared" si="363"/>
        <v>45960</v>
      </c>
      <c r="L333" s="243">
        <f t="shared" ref="L333:M333" si="402">C333</f>
        <v>45960</v>
      </c>
      <c r="M333" s="244">
        <f t="shared" si="402"/>
        <v>1</v>
      </c>
      <c r="N333" s="240">
        <f>IF(M333=1,'適正原価率表(仕入れお小遣い制度)'!$J$23,0)</f>
        <v>13233.494351503181</v>
      </c>
      <c r="O333" s="240">
        <f t="shared" si="372"/>
        <v>330837.35878757964</v>
      </c>
      <c r="P333" s="241">
        <v>15543</v>
      </c>
      <c r="Q333" s="240">
        <f t="shared" si="373"/>
        <v>499475</v>
      </c>
      <c r="R333" s="242">
        <f t="shared" si="367"/>
        <v>-168637.64121242036</v>
      </c>
      <c r="S333" s="221"/>
      <c r="T333" s="245">
        <f t="shared" si="374"/>
        <v>45960</v>
      </c>
      <c r="U333" s="221"/>
      <c r="V333" s="221"/>
      <c r="W333" s="221"/>
      <c r="X333" s="221"/>
      <c r="Y333" s="221"/>
      <c r="Z333" s="221"/>
    </row>
    <row r="334" spans="1:26" ht="18.75" customHeight="1" outlineLevel="1">
      <c r="A334" s="221"/>
      <c r="B334" s="237">
        <f t="shared" si="368"/>
        <v>45961</v>
      </c>
      <c r="C334" s="238">
        <f t="shared" si="364"/>
        <v>45961</v>
      </c>
      <c r="D334" s="239">
        <f>目標_2025R7!D324</f>
        <v>1</v>
      </c>
      <c r="E334" s="240">
        <f>IF(D334=1,'適正原価率表(仕入れお小遣い制度)'!$J$22,0)</f>
        <v>14170.377029446263</v>
      </c>
      <c r="F334" s="240">
        <f t="shared" si="369"/>
        <v>368429.80276560277</v>
      </c>
      <c r="G334" s="241">
        <v>0</v>
      </c>
      <c r="H334" s="240">
        <f t="shared" si="370"/>
        <v>348673</v>
      </c>
      <c r="I334" s="242">
        <f t="shared" si="365"/>
        <v>19756.80276560277</v>
      </c>
      <c r="J334" s="230"/>
      <c r="K334" s="237">
        <f t="shared" si="363"/>
        <v>45961</v>
      </c>
      <c r="L334" s="243">
        <f t="shared" ref="L334:M334" si="403">C334</f>
        <v>45961</v>
      </c>
      <c r="M334" s="244">
        <f t="shared" si="403"/>
        <v>1</v>
      </c>
      <c r="N334" s="240">
        <f>IF(M334=1,'適正原価率表(仕入れお小遣い制度)'!$J$23,0)</f>
        <v>13233.494351503181</v>
      </c>
      <c r="O334" s="240">
        <f t="shared" si="372"/>
        <v>344070.85313908284</v>
      </c>
      <c r="P334" s="241">
        <v>17985</v>
      </c>
      <c r="Q334" s="240">
        <f t="shared" si="373"/>
        <v>517460</v>
      </c>
      <c r="R334" s="242">
        <f t="shared" si="367"/>
        <v>-173389.14686091716</v>
      </c>
      <c r="S334" s="221"/>
      <c r="T334" s="245">
        <f t="shared" si="374"/>
        <v>45961</v>
      </c>
      <c r="U334" s="221"/>
      <c r="V334" s="221"/>
      <c r="W334" s="221"/>
      <c r="X334" s="221"/>
      <c r="Y334" s="221"/>
      <c r="Z334" s="221"/>
    </row>
    <row r="335" spans="1:26" ht="18.75" customHeight="1" outlineLevel="1">
      <c r="A335" s="221"/>
      <c r="B335" s="561" t="s">
        <v>176</v>
      </c>
      <c r="C335" s="486"/>
      <c r="D335" s="483"/>
      <c r="E335" s="247">
        <f>SUM(E304:E334)</f>
        <v>368429.80276560277</v>
      </c>
      <c r="F335" s="248"/>
      <c r="G335" s="249"/>
      <c r="H335" s="249"/>
      <c r="I335" s="249"/>
      <c r="J335" s="230"/>
      <c r="K335" s="561" t="s">
        <v>176</v>
      </c>
      <c r="L335" s="486"/>
      <c r="M335" s="483"/>
      <c r="N335" s="247">
        <f>SUM(N304:N334)</f>
        <v>344070.85313908284</v>
      </c>
      <c r="O335" s="248"/>
      <c r="P335" s="249"/>
      <c r="Q335" s="249"/>
      <c r="R335" s="249"/>
      <c r="S335" s="221"/>
      <c r="T335" s="221"/>
      <c r="U335" s="221"/>
      <c r="V335" s="221"/>
      <c r="W335" s="221"/>
      <c r="X335" s="221"/>
      <c r="Y335" s="221"/>
      <c r="Z335" s="221"/>
    </row>
    <row r="336" spans="1:26" ht="18.75" customHeight="1">
      <c r="A336" s="221"/>
      <c r="B336" s="221"/>
      <c r="C336" s="255"/>
      <c r="D336" s="255"/>
      <c r="E336" s="221"/>
      <c r="F336" s="221"/>
      <c r="G336" s="221"/>
      <c r="H336" s="221"/>
      <c r="I336" s="221"/>
      <c r="J336" s="221"/>
      <c r="K336" s="221"/>
      <c r="L336" s="255"/>
      <c r="M336" s="255"/>
      <c r="N336" s="221"/>
      <c r="O336" s="221"/>
      <c r="P336" s="221"/>
      <c r="Q336" s="221"/>
      <c r="R336" s="221"/>
      <c r="S336" s="221"/>
      <c r="T336" s="221"/>
      <c r="U336" s="221"/>
      <c r="V336" s="221"/>
      <c r="W336" s="221"/>
      <c r="X336" s="221"/>
      <c r="Y336" s="221"/>
      <c r="Z336" s="221"/>
    </row>
    <row r="337" spans="1:26" ht="18.75" customHeight="1">
      <c r="A337" s="232"/>
      <c r="B337" s="562" t="s">
        <v>62</v>
      </c>
      <c r="C337" s="486"/>
      <c r="D337" s="483"/>
      <c r="E337" s="252" t="s">
        <v>168</v>
      </c>
      <c r="F337" s="253" t="s">
        <v>169</v>
      </c>
      <c r="G337" s="253" t="s">
        <v>170</v>
      </c>
      <c r="H337" s="253" t="s">
        <v>171</v>
      </c>
      <c r="I337" s="253" t="s">
        <v>19</v>
      </c>
      <c r="J337" s="236"/>
      <c r="K337" s="562" t="str">
        <f t="shared" ref="K337:K367" si="404">B337</f>
        <v>11月</v>
      </c>
      <c r="L337" s="486"/>
      <c r="M337" s="483"/>
      <c r="N337" s="252" t="s">
        <v>172</v>
      </c>
      <c r="O337" s="253" t="s">
        <v>173</v>
      </c>
      <c r="P337" s="253" t="s">
        <v>174</v>
      </c>
      <c r="Q337" s="253" t="s">
        <v>175</v>
      </c>
      <c r="R337" s="253" t="s">
        <v>19</v>
      </c>
      <c r="S337" s="232"/>
      <c r="T337" s="232"/>
      <c r="U337" s="232"/>
      <c r="V337" s="232"/>
      <c r="W337" s="232"/>
      <c r="X337" s="232"/>
      <c r="Y337" s="232"/>
      <c r="Z337" s="232"/>
    </row>
    <row r="338" spans="1:26" ht="18.75" customHeight="1" outlineLevel="1">
      <c r="A338" s="221"/>
      <c r="B338" s="237">
        <f>B334+1</f>
        <v>45962</v>
      </c>
      <c r="C338" s="238">
        <f t="shared" ref="C338:C367" si="405">B338</f>
        <v>45962</v>
      </c>
      <c r="D338" s="239">
        <f>目標_2025R7!D325</f>
        <v>1</v>
      </c>
      <c r="E338" s="240">
        <f>IF(D338=1,'適正原価率表(仕入れお小遣い制度)'!$J$24,0)</f>
        <v>13435.295023070816</v>
      </c>
      <c r="F338" s="240">
        <f>IF(D338=1,E338,0)</f>
        <v>13435.295023070816</v>
      </c>
      <c r="G338" s="241">
        <v>41986</v>
      </c>
      <c r="H338" s="240">
        <f>IF(D338=1,G338,0)</f>
        <v>41986</v>
      </c>
      <c r="I338" s="242">
        <f t="shared" ref="I338:I367" si="406">IF(D338=1,F338-H338,0)</f>
        <v>-28550.704976929184</v>
      </c>
      <c r="J338" s="230"/>
      <c r="K338" s="237">
        <f t="shared" si="404"/>
        <v>45962</v>
      </c>
      <c r="L338" s="243">
        <f t="shared" ref="L338:M338" si="407">C338</f>
        <v>45962</v>
      </c>
      <c r="M338" s="244">
        <f t="shared" si="407"/>
        <v>1</v>
      </c>
      <c r="N338" s="240">
        <f>IF(M338=1,'適正原価率表(仕入れお小遣い制度)'!$J$25,0)</f>
        <v>11661.693352317052</v>
      </c>
      <c r="O338" s="240">
        <f>IF(M338=1,N338,0)</f>
        <v>11661.693352317052</v>
      </c>
      <c r="P338" s="241">
        <v>14901</v>
      </c>
      <c r="Q338" s="240">
        <f>IF(M338=1,P338,0)</f>
        <v>14901</v>
      </c>
      <c r="R338" s="242">
        <f t="shared" ref="R338:R367" si="408">IF(D338=1,O338-Q338,0)</f>
        <v>-3239.3066476829481</v>
      </c>
      <c r="S338" s="221"/>
      <c r="T338" s="245">
        <f>T334+1</f>
        <v>45962</v>
      </c>
      <c r="U338" s="221"/>
      <c r="V338" s="221"/>
      <c r="W338" s="221"/>
      <c r="X338" s="221"/>
      <c r="Y338" s="221"/>
      <c r="Z338" s="221"/>
    </row>
    <row r="339" spans="1:26" ht="18.75" customHeight="1" outlineLevel="1">
      <c r="A339" s="221"/>
      <c r="B339" s="237">
        <f t="shared" ref="B339:B367" si="409">B338+1</f>
        <v>45963</v>
      </c>
      <c r="C339" s="238">
        <f t="shared" si="405"/>
        <v>45963</v>
      </c>
      <c r="D339" s="239">
        <f>目標_2025R7!D326</f>
        <v>1</v>
      </c>
      <c r="E339" s="240">
        <f>IF(D339=1,'適正原価率表(仕入れお小遣い制度)'!$J$24,0)</f>
        <v>13435.295023070816</v>
      </c>
      <c r="F339" s="240">
        <f t="shared" ref="F339:F367" si="410">IF(D339=1,SUM($E$338:E339),0)</f>
        <v>26870.590046141631</v>
      </c>
      <c r="G339" s="241">
        <v>10302</v>
      </c>
      <c r="H339" s="240">
        <f t="shared" ref="H339:H367" si="411">IF(D339=1,SUM($G$338:G339),0)</f>
        <v>52288</v>
      </c>
      <c r="I339" s="242">
        <f t="shared" si="406"/>
        <v>-25417.409953858369</v>
      </c>
      <c r="J339" s="230"/>
      <c r="K339" s="237">
        <f t="shared" si="404"/>
        <v>45963</v>
      </c>
      <c r="L339" s="243">
        <f t="shared" ref="L339:M339" si="412">C339</f>
        <v>45963</v>
      </c>
      <c r="M339" s="244">
        <f t="shared" si="412"/>
        <v>1</v>
      </c>
      <c r="N339" s="240">
        <f>IF(M339=1,'適正原価率表(仕入れお小遣い制度)'!$J$25,0)</f>
        <v>11661.693352317052</v>
      </c>
      <c r="O339" s="240">
        <f t="shared" ref="O339:O367" si="413">IF(M339=1,SUM($N$338:N339),0)</f>
        <v>23323.386704634104</v>
      </c>
      <c r="P339" s="241">
        <v>0</v>
      </c>
      <c r="Q339" s="240">
        <f t="shared" ref="Q339:Q367" si="414">IF(M339=1,SUM($P$338:P339),0)</f>
        <v>14901</v>
      </c>
      <c r="R339" s="242">
        <f t="shared" si="408"/>
        <v>8422.3867046341038</v>
      </c>
      <c r="S339" s="221"/>
      <c r="T339" s="245">
        <f t="shared" ref="T339:T367" si="415">T338+1</f>
        <v>45963</v>
      </c>
      <c r="U339" s="221"/>
      <c r="V339" s="221"/>
      <c r="W339" s="221"/>
      <c r="X339" s="221"/>
      <c r="Y339" s="221"/>
      <c r="Z339" s="221"/>
    </row>
    <row r="340" spans="1:26" ht="18.75" customHeight="1" outlineLevel="1">
      <c r="A340" s="221"/>
      <c r="B340" s="237">
        <f t="shared" si="409"/>
        <v>45964</v>
      </c>
      <c r="C340" s="238">
        <f t="shared" si="405"/>
        <v>45964</v>
      </c>
      <c r="D340" s="239">
        <f>目標_2025R7!D327</f>
        <v>0</v>
      </c>
      <c r="E340" s="240">
        <f>IF(D340=1,'適正原価率表(仕入れお小遣い制度)'!$J$24,0)</f>
        <v>0</v>
      </c>
      <c r="F340" s="240">
        <f t="shared" si="410"/>
        <v>0</v>
      </c>
      <c r="G340" s="241">
        <v>0</v>
      </c>
      <c r="H340" s="240">
        <f t="shared" si="411"/>
        <v>0</v>
      </c>
      <c r="I340" s="242">
        <f t="shared" si="406"/>
        <v>0</v>
      </c>
      <c r="J340" s="230"/>
      <c r="K340" s="237">
        <f t="shared" si="404"/>
        <v>45964</v>
      </c>
      <c r="L340" s="243">
        <f t="shared" ref="L340:M340" si="416">C340</f>
        <v>45964</v>
      </c>
      <c r="M340" s="244">
        <f t="shared" si="416"/>
        <v>0</v>
      </c>
      <c r="N340" s="240">
        <f>IF(M340=1,'適正原価率表(仕入れお小遣い制度)'!$J$25,0)</f>
        <v>0</v>
      </c>
      <c r="O340" s="240">
        <f t="shared" si="413"/>
        <v>0</v>
      </c>
      <c r="P340" s="241">
        <v>0</v>
      </c>
      <c r="Q340" s="240">
        <f t="shared" si="414"/>
        <v>0</v>
      </c>
      <c r="R340" s="242">
        <f t="shared" si="408"/>
        <v>0</v>
      </c>
      <c r="S340" s="221"/>
      <c r="T340" s="245">
        <f t="shared" si="415"/>
        <v>45964</v>
      </c>
      <c r="U340" s="221"/>
      <c r="V340" s="221"/>
      <c r="W340" s="221"/>
      <c r="X340" s="221"/>
      <c r="Y340" s="221"/>
      <c r="Z340" s="221"/>
    </row>
    <row r="341" spans="1:26" ht="18.75" customHeight="1" outlineLevel="1">
      <c r="A341" s="221"/>
      <c r="B341" s="237">
        <f t="shared" si="409"/>
        <v>45965</v>
      </c>
      <c r="C341" s="238">
        <f t="shared" si="405"/>
        <v>45965</v>
      </c>
      <c r="D341" s="239">
        <f>目標_2025R7!D328</f>
        <v>0</v>
      </c>
      <c r="E341" s="240">
        <f>IF(D341=1,'適正原価率表(仕入れお小遣い制度)'!$J$24,0)</f>
        <v>0</v>
      </c>
      <c r="F341" s="240">
        <f t="shared" si="410"/>
        <v>0</v>
      </c>
      <c r="G341" s="241">
        <v>0</v>
      </c>
      <c r="H341" s="240">
        <f t="shared" si="411"/>
        <v>0</v>
      </c>
      <c r="I341" s="242">
        <f t="shared" si="406"/>
        <v>0</v>
      </c>
      <c r="J341" s="230"/>
      <c r="K341" s="237">
        <f t="shared" si="404"/>
        <v>45965</v>
      </c>
      <c r="L341" s="243">
        <f t="shared" ref="L341:M341" si="417">C341</f>
        <v>45965</v>
      </c>
      <c r="M341" s="244">
        <f t="shared" si="417"/>
        <v>0</v>
      </c>
      <c r="N341" s="240">
        <f>IF(M341=1,'適正原価率表(仕入れお小遣い制度)'!$J$25,0)</f>
        <v>0</v>
      </c>
      <c r="O341" s="240">
        <f t="shared" si="413"/>
        <v>0</v>
      </c>
      <c r="P341" s="241">
        <v>0</v>
      </c>
      <c r="Q341" s="240">
        <f t="shared" si="414"/>
        <v>0</v>
      </c>
      <c r="R341" s="242">
        <f t="shared" si="408"/>
        <v>0</v>
      </c>
      <c r="S341" s="221"/>
      <c r="T341" s="245">
        <f t="shared" si="415"/>
        <v>45965</v>
      </c>
      <c r="U341" s="221"/>
      <c r="V341" s="221"/>
      <c r="W341" s="221"/>
      <c r="X341" s="221"/>
      <c r="Y341" s="221"/>
      <c r="Z341" s="221"/>
    </row>
    <row r="342" spans="1:26" ht="18.75" customHeight="1" outlineLevel="1">
      <c r="A342" s="221"/>
      <c r="B342" s="237">
        <f t="shared" si="409"/>
        <v>45966</v>
      </c>
      <c r="C342" s="238">
        <f t="shared" si="405"/>
        <v>45966</v>
      </c>
      <c r="D342" s="239">
        <f>目標_2025R7!D329</f>
        <v>1</v>
      </c>
      <c r="E342" s="240">
        <f>IF(D342=1,'適正原価率表(仕入れお小遣い制度)'!$J$24,0)</f>
        <v>13435.295023070816</v>
      </c>
      <c r="F342" s="240">
        <f t="shared" si="410"/>
        <v>40305.885069212447</v>
      </c>
      <c r="G342" s="241">
        <v>8652</v>
      </c>
      <c r="H342" s="240">
        <f t="shared" si="411"/>
        <v>60940</v>
      </c>
      <c r="I342" s="242">
        <f t="shared" si="406"/>
        <v>-20634.114930787553</v>
      </c>
      <c r="J342" s="230"/>
      <c r="K342" s="237">
        <f t="shared" si="404"/>
        <v>45966</v>
      </c>
      <c r="L342" s="243">
        <f t="shared" ref="L342:M342" si="418">C342</f>
        <v>45966</v>
      </c>
      <c r="M342" s="244">
        <f t="shared" si="418"/>
        <v>1</v>
      </c>
      <c r="N342" s="240">
        <f>IF(M342=1,'適正原価率表(仕入れお小遣い制度)'!$J$25,0)</f>
        <v>11661.693352317052</v>
      </c>
      <c r="O342" s="240">
        <f t="shared" si="413"/>
        <v>34985.080056951156</v>
      </c>
      <c r="P342" s="241">
        <v>0</v>
      </c>
      <c r="Q342" s="240">
        <f t="shared" si="414"/>
        <v>14901</v>
      </c>
      <c r="R342" s="242">
        <f t="shared" si="408"/>
        <v>20084.080056951156</v>
      </c>
      <c r="S342" s="221"/>
      <c r="T342" s="245">
        <f t="shared" si="415"/>
        <v>45966</v>
      </c>
      <c r="U342" s="221"/>
      <c r="V342" s="221"/>
      <c r="W342" s="221"/>
      <c r="X342" s="221"/>
      <c r="Y342" s="221"/>
      <c r="Z342" s="221"/>
    </row>
    <row r="343" spans="1:26" ht="18.75" customHeight="1" outlineLevel="1">
      <c r="A343" s="221"/>
      <c r="B343" s="237">
        <f t="shared" si="409"/>
        <v>45967</v>
      </c>
      <c r="C343" s="238">
        <f t="shared" si="405"/>
        <v>45967</v>
      </c>
      <c r="D343" s="239">
        <f>目標_2025R7!D330</f>
        <v>1</v>
      </c>
      <c r="E343" s="240">
        <f>IF(D343=1,'適正原価率表(仕入れお小遣い制度)'!$J$24,0)</f>
        <v>13435.295023070816</v>
      </c>
      <c r="F343" s="240">
        <f t="shared" si="410"/>
        <v>53741.180092283263</v>
      </c>
      <c r="G343" s="241">
        <v>5524</v>
      </c>
      <c r="H343" s="240">
        <f t="shared" si="411"/>
        <v>66464</v>
      </c>
      <c r="I343" s="242">
        <f t="shared" si="406"/>
        <v>-12722.819907716737</v>
      </c>
      <c r="J343" s="230"/>
      <c r="K343" s="237">
        <f t="shared" si="404"/>
        <v>45967</v>
      </c>
      <c r="L343" s="243">
        <f t="shared" ref="L343:M343" si="419">C343</f>
        <v>45967</v>
      </c>
      <c r="M343" s="244">
        <f t="shared" si="419"/>
        <v>1</v>
      </c>
      <c r="N343" s="240">
        <f>IF(M343=1,'適正原価率表(仕入れお小遣い制度)'!$J$25,0)</f>
        <v>11661.693352317052</v>
      </c>
      <c r="O343" s="240">
        <f t="shared" si="413"/>
        <v>46646.773409268208</v>
      </c>
      <c r="P343" s="241">
        <v>0</v>
      </c>
      <c r="Q343" s="240">
        <f t="shared" si="414"/>
        <v>14901</v>
      </c>
      <c r="R343" s="242">
        <f t="shared" si="408"/>
        <v>31745.773409268208</v>
      </c>
      <c r="S343" s="221"/>
      <c r="T343" s="245">
        <f t="shared" si="415"/>
        <v>45967</v>
      </c>
      <c r="U343" s="221"/>
      <c r="V343" s="221"/>
      <c r="W343" s="221"/>
      <c r="X343" s="221"/>
      <c r="Y343" s="221"/>
      <c r="Z343" s="221"/>
    </row>
    <row r="344" spans="1:26" ht="18.75" customHeight="1" outlineLevel="1">
      <c r="A344" s="221"/>
      <c r="B344" s="237">
        <f t="shared" si="409"/>
        <v>45968</v>
      </c>
      <c r="C344" s="238">
        <f t="shared" si="405"/>
        <v>45968</v>
      </c>
      <c r="D344" s="239">
        <f>目標_2025R7!D331</f>
        <v>1</v>
      </c>
      <c r="E344" s="240">
        <f>IF(D344=1,'適正原価率表(仕入れお小遣い制度)'!$J$24,0)</f>
        <v>13435.295023070816</v>
      </c>
      <c r="F344" s="240">
        <f t="shared" si="410"/>
        <v>67176.475115354086</v>
      </c>
      <c r="G344" s="241">
        <v>4458</v>
      </c>
      <c r="H344" s="240">
        <f t="shared" si="411"/>
        <v>70922</v>
      </c>
      <c r="I344" s="242">
        <f t="shared" si="406"/>
        <v>-3745.5248846459144</v>
      </c>
      <c r="J344" s="230"/>
      <c r="K344" s="237">
        <f t="shared" si="404"/>
        <v>45968</v>
      </c>
      <c r="L344" s="243">
        <f t="shared" ref="L344:M344" si="420">C344</f>
        <v>45968</v>
      </c>
      <c r="M344" s="244">
        <f t="shared" si="420"/>
        <v>1</v>
      </c>
      <c r="N344" s="240">
        <f>IF(M344=1,'適正原価率表(仕入れお小遣い制度)'!$J$25,0)</f>
        <v>11661.693352317052</v>
      </c>
      <c r="O344" s="240">
        <f t="shared" si="413"/>
        <v>58308.46676158526</v>
      </c>
      <c r="P344" s="241">
        <v>0</v>
      </c>
      <c r="Q344" s="240">
        <f t="shared" si="414"/>
        <v>14901</v>
      </c>
      <c r="R344" s="242">
        <f t="shared" si="408"/>
        <v>43407.46676158526</v>
      </c>
      <c r="S344" s="221"/>
      <c r="T344" s="245">
        <f t="shared" si="415"/>
        <v>45968</v>
      </c>
      <c r="U344" s="221"/>
      <c r="V344" s="221"/>
      <c r="W344" s="221"/>
      <c r="X344" s="221"/>
      <c r="Y344" s="221"/>
      <c r="Z344" s="221"/>
    </row>
    <row r="345" spans="1:26" ht="18.75" customHeight="1" outlineLevel="1">
      <c r="A345" s="221"/>
      <c r="B345" s="237">
        <f t="shared" si="409"/>
        <v>45969</v>
      </c>
      <c r="C345" s="238">
        <f t="shared" si="405"/>
        <v>45969</v>
      </c>
      <c r="D345" s="239">
        <f>目標_2025R7!D332</f>
        <v>1</v>
      </c>
      <c r="E345" s="240">
        <f>IF(D345=1,'適正原価率表(仕入れお小遣い制度)'!$J$24,0)</f>
        <v>13435.295023070816</v>
      </c>
      <c r="F345" s="240">
        <f t="shared" si="410"/>
        <v>80611.770138424909</v>
      </c>
      <c r="G345" s="241">
        <v>5879</v>
      </c>
      <c r="H345" s="240">
        <f t="shared" si="411"/>
        <v>76801</v>
      </c>
      <c r="I345" s="242">
        <f t="shared" si="406"/>
        <v>3810.7701384249085</v>
      </c>
      <c r="J345" s="230"/>
      <c r="K345" s="237">
        <f t="shared" si="404"/>
        <v>45969</v>
      </c>
      <c r="L345" s="243">
        <f t="shared" ref="L345:M345" si="421">C345</f>
        <v>45969</v>
      </c>
      <c r="M345" s="244">
        <f t="shared" si="421"/>
        <v>1</v>
      </c>
      <c r="N345" s="240">
        <f>IF(M345=1,'適正原価率表(仕入れお小遣い制度)'!$J$25,0)</f>
        <v>11661.693352317052</v>
      </c>
      <c r="O345" s="240">
        <f t="shared" si="413"/>
        <v>69970.160113902311</v>
      </c>
      <c r="P345" s="241">
        <v>0</v>
      </c>
      <c r="Q345" s="240">
        <f t="shared" si="414"/>
        <v>14901</v>
      </c>
      <c r="R345" s="242">
        <f t="shared" si="408"/>
        <v>55069.160113902311</v>
      </c>
      <c r="S345" s="221"/>
      <c r="T345" s="245">
        <f t="shared" si="415"/>
        <v>45969</v>
      </c>
      <c r="U345" s="221"/>
      <c r="V345" s="221"/>
      <c r="W345" s="221"/>
      <c r="X345" s="221"/>
      <c r="Y345" s="221"/>
      <c r="Z345" s="221"/>
    </row>
    <row r="346" spans="1:26" ht="18.75" customHeight="1" outlineLevel="1">
      <c r="A346" s="221"/>
      <c r="B346" s="237">
        <f t="shared" si="409"/>
        <v>45970</v>
      </c>
      <c r="C346" s="238">
        <f t="shared" si="405"/>
        <v>45970</v>
      </c>
      <c r="D346" s="239">
        <f>目標_2025R7!D333</f>
        <v>1</v>
      </c>
      <c r="E346" s="240">
        <f>IF(D346=1,'適正原価率表(仕入れお小遣い制度)'!$J$24,0)</f>
        <v>13435.295023070816</v>
      </c>
      <c r="F346" s="240">
        <f t="shared" si="410"/>
        <v>94047.065161495731</v>
      </c>
      <c r="G346" s="241">
        <v>0</v>
      </c>
      <c r="H346" s="240">
        <f t="shared" si="411"/>
        <v>76801</v>
      </c>
      <c r="I346" s="242">
        <f t="shared" si="406"/>
        <v>17246.065161495731</v>
      </c>
      <c r="J346" s="230"/>
      <c r="K346" s="237">
        <f t="shared" si="404"/>
        <v>45970</v>
      </c>
      <c r="L346" s="243">
        <f t="shared" ref="L346:M346" si="422">C346</f>
        <v>45970</v>
      </c>
      <c r="M346" s="244">
        <f t="shared" si="422"/>
        <v>1</v>
      </c>
      <c r="N346" s="240">
        <f>IF(M346=1,'適正原価率表(仕入れお小遣い制度)'!$J$25,0)</f>
        <v>11661.693352317052</v>
      </c>
      <c r="O346" s="240">
        <f t="shared" si="413"/>
        <v>81631.853466219356</v>
      </c>
      <c r="P346" s="241">
        <v>0</v>
      </c>
      <c r="Q346" s="240">
        <f t="shared" si="414"/>
        <v>14901</v>
      </c>
      <c r="R346" s="242">
        <f t="shared" si="408"/>
        <v>66730.853466219356</v>
      </c>
      <c r="S346" s="221"/>
      <c r="T346" s="245">
        <f t="shared" si="415"/>
        <v>45970</v>
      </c>
      <c r="U346" s="221"/>
      <c r="V346" s="221"/>
      <c r="W346" s="221"/>
      <c r="X346" s="221"/>
      <c r="Y346" s="221"/>
      <c r="Z346" s="221"/>
    </row>
    <row r="347" spans="1:26" ht="18.75" customHeight="1" outlineLevel="1">
      <c r="A347" s="221"/>
      <c r="B347" s="237">
        <f t="shared" si="409"/>
        <v>45971</v>
      </c>
      <c r="C347" s="238">
        <f t="shared" si="405"/>
        <v>45971</v>
      </c>
      <c r="D347" s="239">
        <f>目標_2025R7!D334</f>
        <v>0</v>
      </c>
      <c r="E347" s="240">
        <f>IF(D347=1,'適正原価率表(仕入れお小遣い制度)'!$J$24,0)</f>
        <v>0</v>
      </c>
      <c r="F347" s="240">
        <f t="shared" si="410"/>
        <v>0</v>
      </c>
      <c r="G347" s="241">
        <v>0</v>
      </c>
      <c r="H347" s="240">
        <f t="shared" si="411"/>
        <v>0</v>
      </c>
      <c r="I347" s="242">
        <f t="shared" si="406"/>
        <v>0</v>
      </c>
      <c r="J347" s="230"/>
      <c r="K347" s="237">
        <f t="shared" si="404"/>
        <v>45971</v>
      </c>
      <c r="L347" s="243">
        <f t="shared" ref="L347:M347" si="423">C347</f>
        <v>45971</v>
      </c>
      <c r="M347" s="244">
        <f t="shared" si="423"/>
        <v>0</v>
      </c>
      <c r="N347" s="240">
        <f>IF(M347=1,'適正原価率表(仕入れお小遣い制度)'!$J$25,0)</f>
        <v>0</v>
      </c>
      <c r="O347" s="240">
        <f t="shared" si="413"/>
        <v>0</v>
      </c>
      <c r="P347" s="241">
        <v>0</v>
      </c>
      <c r="Q347" s="240">
        <f t="shared" si="414"/>
        <v>0</v>
      </c>
      <c r="R347" s="242">
        <f t="shared" si="408"/>
        <v>0</v>
      </c>
      <c r="S347" s="221"/>
      <c r="T347" s="245">
        <f t="shared" si="415"/>
        <v>45971</v>
      </c>
      <c r="U347" s="221"/>
      <c r="V347" s="221"/>
      <c r="W347" s="221"/>
      <c r="X347" s="221"/>
      <c r="Y347" s="221"/>
      <c r="Z347" s="221"/>
    </row>
    <row r="348" spans="1:26" ht="18.75" customHeight="1" outlineLevel="1">
      <c r="A348" s="221"/>
      <c r="B348" s="237">
        <f t="shared" si="409"/>
        <v>45972</v>
      </c>
      <c r="C348" s="238">
        <f t="shared" si="405"/>
        <v>45972</v>
      </c>
      <c r="D348" s="239">
        <f>目標_2025R7!D335</f>
        <v>0</v>
      </c>
      <c r="E348" s="240">
        <f>IF(D348=1,'適正原価率表(仕入れお小遣い制度)'!$J$24,0)</f>
        <v>0</v>
      </c>
      <c r="F348" s="240">
        <f t="shared" si="410"/>
        <v>0</v>
      </c>
      <c r="G348" s="241">
        <v>0</v>
      </c>
      <c r="H348" s="240">
        <f t="shared" si="411"/>
        <v>0</v>
      </c>
      <c r="I348" s="242">
        <f t="shared" si="406"/>
        <v>0</v>
      </c>
      <c r="J348" s="230"/>
      <c r="K348" s="237">
        <f t="shared" si="404"/>
        <v>45972</v>
      </c>
      <c r="L348" s="243">
        <f t="shared" ref="L348:M348" si="424">C348</f>
        <v>45972</v>
      </c>
      <c r="M348" s="244">
        <f t="shared" si="424"/>
        <v>0</v>
      </c>
      <c r="N348" s="240">
        <f>IF(M348=1,'適正原価率表(仕入れお小遣い制度)'!$J$25,0)</f>
        <v>0</v>
      </c>
      <c r="O348" s="240">
        <f t="shared" si="413"/>
        <v>0</v>
      </c>
      <c r="P348" s="241">
        <v>0</v>
      </c>
      <c r="Q348" s="240">
        <f t="shared" si="414"/>
        <v>0</v>
      </c>
      <c r="R348" s="242">
        <f t="shared" si="408"/>
        <v>0</v>
      </c>
      <c r="S348" s="221"/>
      <c r="T348" s="245">
        <f t="shared" si="415"/>
        <v>45972</v>
      </c>
      <c r="U348" s="221"/>
      <c r="V348" s="221"/>
      <c r="W348" s="221"/>
      <c r="X348" s="221"/>
      <c r="Y348" s="221"/>
      <c r="Z348" s="221"/>
    </row>
    <row r="349" spans="1:26" ht="18.75" customHeight="1" outlineLevel="1">
      <c r="A349" s="221"/>
      <c r="B349" s="237">
        <f t="shared" si="409"/>
        <v>45973</v>
      </c>
      <c r="C349" s="238">
        <f t="shared" si="405"/>
        <v>45973</v>
      </c>
      <c r="D349" s="239">
        <f>目標_2025R7!D336</f>
        <v>0</v>
      </c>
      <c r="E349" s="240">
        <f>IF(D349=1,'適正原価率表(仕入れお小遣い制度)'!$J$24,0)</f>
        <v>0</v>
      </c>
      <c r="F349" s="240">
        <f t="shared" si="410"/>
        <v>0</v>
      </c>
      <c r="G349" s="241">
        <v>0</v>
      </c>
      <c r="H349" s="240">
        <f t="shared" si="411"/>
        <v>0</v>
      </c>
      <c r="I349" s="242">
        <f t="shared" si="406"/>
        <v>0</v>
      </c>
      <c r="J349" s="230"/>
      <c r="K349" s="237">
        <f t="shared" si="404"/>
        <v>45973</v>
      </c>
      <c r="L349" s="243">
        <f t="shared" ref="L349:M349" si="425">C349</f>
        <v>45973</v>
      </c>
      <c r="M349" s="244">
        <f t="shared" si="425"/>
        <v>0</v>
      </c>
      <c r="N349" s="240">
        <f>IF(M349=1,'適正原価率表(仕入れお小遣い制度)'!$J$25,0)</f>
        <v>0</v>
      </c>
      <c r="O349" s="240">
        <f t="shared" si="413"/>
        <v>0</v>
      </c>
      <c r="P349" s="241">
        <v>0</v>
      </c>
      <c r="Q349" s="240">
        <f t="shared" si="414"/>
        <v>0</v>
      </c>
      <c r="R349" s="242">
        <f t="shared" si="408"/>
        <v>0</v>
      </c>
      <c r="S349" s="221"/>
      <c r="T349" s="245">
        <f t="shared" si="415"/>
        <v>45973</v>
      </c>
      <c r="U349" s="221"/>
      <c r="V349" s="221"/>
      <c r="W349" s="221"/>
      <c r="X349" s="221"/>
      <c r="Y349" s="221"/>
      <c r="Z349" s="221"/>
    </row>
    <row r="350" spans="1:26" ht="18.75" customHeight="1" outlineLevel="1">
      <c r="A350" s="221"/>
      <c r="B350" s="237">
        <f t="shared" si="409"/>
        <v>45974</v>
      </c>
      <c r="C350" s="238">
        <f t="shared" si="405"/>
        <v>45974</v>
      </c>
      <c r="D350" s="239">
        <f>目標_2025R7!D337</f>
        <v>1</v>
      </c>
      <c r="E350" s="240">
        <f>IF(D350=1,'適正原価率表(仕入れお小遣い制度)'!$J$24,0)</f>
        <v>13435.295023070816</v>
      </c>
      <c r="F350" s="240">
        <f t="shared" si="410"/>
        <v>107482.36018456655</v>
      </c>
      <c r="G350" s="241">
        <v>0</v>
      </c>
      <c r="H350" s="240">
        <f t="shared" si="411"/>
        <v>76801</v>
      </c>
      <c r="I350" s="242">
        <f t="shared" si="406"/>
        <v>30681.360184566554</v>
      </c>
      <c r="J350" s="230"/>
      <c r="K350" s="237">
        <f t="shared" si="404"/>
        <v>45974</v>
      </c>
      <c r="L350" s="243">
        <f t="shared" ref="L350:M350" si="426">C350</f>
        <v>45974</v>
      </c>
      <c r="M350" s="244">
        <f t="shared" si="426"/>
        <v>1</v>
      </c>
      <c r="N350" s="240">
        <f>IF(M350=1,'適正原価率表(仕入れお小遣い制度)'!$J$25,0)</f>
        <v>11661.693352317052</v>
      </c>
      <c r="O350" s="240">
        <f t="shared" si="413"/>
        <v>93293.546818536415</v>
      </c>
      <c r="P350" s="241">
        <v>0</v>
      </c>
      <c r="Q350" s="240">
        <f t="shared" si="414"/>
        <v>14901</v>
      </c>
      <c r="R350" s="242">
        <f t="shared" si="408"/>
        <v>78392.546818536415</v>
      </c>
      <c r="S350" s="221"/>
      <c r="T350" s="245">
        <f t="shared" si="415"/>
        <v>45974</v>
      </c>
      <c r="U350" s="221"/>
      <c r="V350" s="221"/>
      <c r="W350" s="221"/>
      <c r="X350" s="221"/>
      <c r="Y350" s="221"/>
      <c r="Z350" s="221"/>
    </row>
    <row r="351" spans="1:26" ht="18.75" customHeight="1" outlineLevel="1">
      <c r="A351" s="221"/>
      <c r="B351" s="237">
        <f t="shared" si="409"/>
        <v>45975</v>
      </c>
      <c r="C351" s="238">
        <f t="shared" si="405"/>
        <v>45975</v>
      </c>
      <c r="D351" s="239">
        <f>目標_2025R7!D338</f>
        <v>1</v>
      </c>
      <c r="E351" s="240">
        <f>IF(D351=1,'適正原価率表(仕入れお小遣い制度)'!$J$24,0)</f>
        <v>13435.295023070816</v>
      </c>
      <c r="F351" s="240">
        <f t="shared" si="410"/>
        <v>120917.65520763738</v>
      </c>
      <c r="G351" s="241">
        <v>0</v>
      </c>
      <c r="H351" s="240">
        <f t="shared" si="411"/>
        <v>76801</v>
      </c>
      <c r="I351" s="242">
        <f t="shared" si="406"/>
        <v>44116.655207637377</v>
      </c>
      <c r="J351" s="230"/>
      <c r="K351" s="237">
        <f t="shared" si="404"/>
        <v>45975</v>
      </c>
      <c r="L351" s="243">
        <f t="shared" ref="L351:M351" si="427">C351</f>
        <v>45975</v>
      </c>
      <c r="M351" s="244">
        <f t="shared" si="427"/>
        <v>1</v>
      </c>
      <c r="N351" s="240">
        <f>IF(M351=1,'適正原価率表(仕入れお小遣い制度)'!$J$25,0)</f>
        <v>11661.693352317052</v>
      </c>
      <c r="O351" s="240">
        <f t="shared" si="413"/>
        <v>104955.24017085347</v>
      </c>
      <c r="P351" s="241">
        <v>0</v>
      </c>
      <c r="Q351" s="240">
        <f t="shared" si="414"/>
        <v>14901</v>
      </c>
      <c r="R351" s="242">
        <f t="shared" si="408"/>
        <v>90054.240170853474</v>
      </c>
      <c r="S351" s="221"/>
      <c r="T351" s="245">
        <f t="shared" si="415"/>
        <v>45975</v>
      </c>
      <c r="U351" s="221"/>
      <c r="V351" s="221"/>
      <c r="W351" s="221"/>
      <c r="X351" s="221"/>
      <c r="Y351" s="221"/>
      <c r="Z351" s="221"/>
    </row>
    <row r="352" spans="1:26" ht="18.75" customHeight="1" outlineLevel="1">
      <c r="A352" s="221"/>
      <c r="B352" s="237">
        <f t="shared" si="409"/>
        <v>45976</v>
      </c>
      <c r="C352" s="238">
        <f t="shared" si="405"/>
        <v>45976</v>
      </c>
      <c r="D352" s="239">
        <f>目標_2025R7!D339</f>
        <v>1</v>
      </c>
      <c r="E352" s="240">
        <f>IF(D352=1,'適正原価率表(仕入れお小遣い制度)'!$J$24,0)</f>
        <v>13435.295023070816</v>
      </c>
      <c r="F352" s="240">
        <f t="shared" si="410"/>
        <v>134352.9502307082</v>
      </c>
      <c r="G352" s="241">
        <v>0</v>
      </c>
      <c r="H352" s="240">
        <f t="shared" si="411"/>
        <v>76801</v>
      </c>
      <c r="I352" s="242">
        <f t="shared" si="406"/>
        <v>57551.9502307082</v>
      </c>
      <c r="J352" s="230"/>
      <c r="K352" s="237">
        <f t="shared" si="404"/>
        <v>45976</v>
      </c>
      <c r="L352" s="243">
        <f t="shared" ref="L352:M352" si="428">C352</f>
        <v>45976</v>
      </c>
      <c r="M352" s="244">
        <f t="shared" si="428"/>
        <v>1</v>
      </c>
      <c r="N352" s="240">
        <f>IF(M352=1,'適正原価率表(仕入れお小遣い制度)'!$J$25,0)</f>
        <v>11661.693352317052</v>
      </c>
      <c r="O352" s="240">
        <f t="shared" si="413"/>
        <v>116616.93352317053</v>
      </c>
      <c r="P352" s="241">
        <v>0</v>
      </c>
      <c r="Q352" s="240">
        <f t="shared" si="414"/>
        <v>14901</v>
      </c>
      <c r="R352" s="242">
        <f t="shared" si="408"/>
        <v>101715.93352317053</v>
      </c>
      <c r="S352" s="221"/>
      <c r="T352" s="245">
        <f t="shared" si="415"/>
        <v>45976</v>
      </c>
      <c r="U352" s="221"/>
      <c r="V352" s="221"/>
      <c r="W352" s="221"/>
      <c r="X352" s="221"/>
      <c r="Y352" s="221"/>
      <c r="Z352" s="221"/>
    </row>
    <row r="353" spans="1:26" ht="18.75" customHeight="1" outlineLevel="1">
      <c r="A353" s="221"/>
      <c r="B353" s="237">
        <f t="shared" si="409"/>
        <v>45977</v>
      </c>
      <c r="C353" s="238">
        <f t="shared" si="405"/>
        <v>45977</v>
      </c>
      <c r="D353" s="239">
        <f>目標_2025R7!D340</f>
        <v>1</v>
      </c>
      <c r="E353" s="240">
        <f>IF(D353=1,'適正原価率表(仕入れお小遣い制度)'!$J$24,0)</f>
        <v>13435.295023070816</v>
      </c>
      <c r="F353" s="240">
        <f t="shared" si="410"/>
        <v>147788.24525377902</v>
      </c>
      <c r="G353" s="241">
        <v>0</v>
      </c>
      <c r="H353" s="240">
        <f t="shared" si="411"/>
        <v>76801</v>
      </c>
      <c r="I353" s="242">
        <f t="shared" si="406"/>
        <v>70987.245253779023</v>
      </c>
      <c r="J353" s="230"/>
      <c r="K353" s="237">
        <f t="shared" si="404"/>
        <v>45977</v>
      </c>
      <c r="L353" s="243">
        <f t="shared" ref="L353:M353" si="429">C353</f>
        <v>45977</v>
      </c>
      <c r="M353" s="244">
        <f t="shared" si="429"/>
        <v>1</v>
      </c>
      <c r="N353" s="240">
        <f>IF(M353=1,'適正原価率表(仕入れお小遣い制度)'!$J$25,0)</f>
        <v>11661.693352317052</v>
      </c>
      <c r="O353" s="240">
        <f t="shared" si="413"/>
        <v>128278.62687548759</v>
      </c>
      <c r="P353" s="241">
        <v>0</v>
      </c>
      <c r="Q353" s="240">
        <f t="shared" si="414"/>
        <v>14901</v>
      </c>
      <c r="R353" s="242">
        <f t="shared" si="408"/>
        <v>113377.62687548759</v>
      </c>
      <c r="S353" s="221"/>
      <c r="T353" s="245">
        <f t="shared" si="415"/>
        <v>45977</v>
      </c>
      <c r="U353" s="221"/>
      <c r="V353" s="221"/>
      <c r="W353" s="221"/>
      <c r="X353" s="221"/>
      <c r="Y353" s="221"/>
      <c r="Z353" s="221"/>
    </row>
    <row r="354" spans="1:26" ht="18.75" customHeight="1" outlineLevel="1">
      <c r="A354" s="221"/>
      <c r="B354" s="237">
        <f t="shared" si="409"/>
        <v>45978</v>
      </c>
      <c r="C354" s="238">
        <f t="shared" si="405"/>
        <v>45978</v>
      </c>
      <c r="D354" s="239">
        <f>目標_2025R7!D341</f>
        <v>0</v>
      </c>
      <c r="E354" s="240">
        <f>IF(D354=1,'適正原価率表(仕入れお小遣い制度)'!$J$24,0)</f>
        <v>0</v>
      </c>
      <c r="F354" s="240">
        <f t="shared" si="410"/>
        <v>0</v>
      </c>
      <c r="G354" s="241">
        <v>0</v>
      </c>
      <c r="H354" s="240">
        <f t="shared" si="411"/>
        <v>0</v>
      </c>
      <c r="I354" s="242">
        <f t="shared" si="406"/>
        <v>0</v>
      </c>
      <c r="J354" s="230"/>
      <c r="K354" s="237">
        <f t="shared" si="404"/>
        <v>45978</v>
      </c>
      <c r="L354" s="243">
        <f t="shared" ref="L354:M354" si="430">C354</f>
        <v>45978</v>
      </c>
      <c r="M354" s="244">
        <f t="shared" si="430"/>
        <v>0</v>
      </c>
      <c r="N354" s="240">
        <f>IF(M354=1,'適正原価率表(仕入れお小遣い制度)'!$J$25,0)</f>
        <v>0</v>
      </c>
      <c r="O354" s="240">
        <f t="shared" si="413"/>
        <v>0</v>
      </c>
      <c r="P354" s="241">
        <v>0</v>
      </c>
      <c r="Q354" s="240">
        <f t="shared" si="414"/>
        <v>0</v>
      </c>
      <c r="R354" s="242">
        <f t="shared" si="408"/>
        <v>0</v>
      </c>
      <c r="S354" s="221"/>
      <c r="T354" s="245">
        <f t="shared" si="415"/>
        <v>45978</v>
      </c>
      <c r="U354" s="221"/>
      <c r="V354" s="221"/>
      <c r="W354" s="221"/>
      <c r="X354" s="221"/>
      <c r="Y354" s="221"/>
      <c r="Z354" s="221"/>
    </row>
    <row r="355" spans="1:26" ht="18.75" customHeight="1" outlineLevel="1">
      <c r="A355" s="221"/>
      <c r="B355" s="237">
        <f t="shared" si="409"/>
        <v>45979</v>
      </c>
      <c r="C355" s="238">
        <f t="shared" si="405"/>
        <v>45979</v>
      </c>
      <c r="D355" s="239">
        <f>目標_2025R7!D342</f>
        <v>1</v>
      </c>
      <c r="E355" s="240">
        <f>IF(D355=1,'適正原価率表(仕入れお小遣い制度)'!$J$24,0)</f>
        <v>13435.295023070816</v>
      </c>
      <c r="F355" s="240">
        <f t="shared" si="410"/>
        <v>161223.54027684985</v>
      </c>
      <c r="G355" s="241">
        <v>0</v>
      </c>
      <c r="H355" s="240">
        <f t="shared" si="411"/>
        <v>76801</v>
      </c>
      <c r="I355" s="242">
        <f t="shared" si="406"/>
        <v>84422.540276849846</v>
      </c>
      <c r="J355" s="230"/>
      <c r="K355" s="237">
        <f t="shared" si="404"/>
        <v>45979</v>
      </c>
      <c r="L355" s="243">
        <f t="shared" ref="L355:M355" si="431">C355</f>
        <v>45979</v>
      </c>
      <c r="M355" s="244">
        <f t="shared" si="431"/>
        <v>1</v>
      </c>
      <c r="N355" s="240">
        <f>IF(M355=1,'適正原価率表(仕入れお小遣い制度)'!$J$25,0)</f>
        <v>11661.693352317052</v>
      </c>
      <c r="O355" s="240">
        <f t="shared" si="413"/>
        <v>139940.32022780465</v>
      </c>
      <c r="P355" s="241">
        <v>0</v>
      </c>
      <c r="Q355" s="240">
        <f t="shared" si="414"/>
        <v>14901</v>
      </c>
      <c r="R355" s="242">
        <f t="shared" si="408"/>
        <v>125039.32022780465</v>
      </c>
      <c r="S355" s="221"/>
      <c r="T355" s="245">
        <f t="shared" si="415"/>
        <v>45979</v>
      </c>
      <c r="U355" s="221"/>
      <c r="V355" s="221"/>
      <c r="W355" s="221"/>
      <c r="X355" s="221"/>
      <c r="Y355" s="221"/>
      <c r="Z355" s="221"/>
    </row>
    <row r="356" spans="1:26" ht="18.75" customHeight="1" outlineLevel="1">
      <c r="A356" s="221"/>
      <c r="B356" s="237">
        <f t="shared" si="409"/>
        <v>45980</v>
      </c>
      <c r="C356" s="238">
        <f t="shared" si="405"/>
        <v>45980</v>
      </c>
      <c r="D356" s="239">
        <f>目標_2025R7!D343</f>
        <v>1</v>
      </c>
      <c r="E356" s="240">
        <f>IF(D356=1,'適正原価率表(仕入れお小遣い制度)'!$J$24,0)</f>
        <v>13435.295023070816</v>
      </c>
      <c r="F356" s="240">
        <f t="shared" si="410"/>
        <v>174658.83529992067</v>
      </c>
      <c r="G356" s="241">
        <v>0</v>
      </c>
      <c r="H356" s="240">
        <f t="shared" si="411"/>
        <v>76801</v>
      </c>
      <c r="I356" s="242">
        <f t="shared" si="406"/>
        <v>97857.835299920669</v>
      </c>
      <c r="J356" s="230"/>
      <c r="K356" s="237">
        <f t="shared" si="404"/>
        <v>45980</v>
      </c>
      <c r="L356" s="243">
        <f t="shared" ref="L356:M356" si="432">C356</f>
        <v>45980</v>
      </c>
      <c r="M356" s="244">
        <f t="shared" si="432"/>
        <v>1</v>
      </c>
      <c r="N356" s="240">
        <f>IF(M356=1,'適正原価率表(仕入れお小遣い制度)'!$J$25,0)</f>
        <v>11661.693352317052</v>
      </c>
      <c r="O356" s="240">
        <f t="shared" si="413"/>
        <v>151602.01358012171</v>
      </c>
      <c r="P356" s="241">
        <v>0</v>
      </c>
      <c r="Q356" s="240">
        <f t="shared" si="414"/>
        <v>14901</v>
      </c>
      <c r="R356" s="242">
        <f t="shared" si="408"/>
        <v>136701.01358012171</v>
      </c>
      <c r="S356" s="221"/>
      <c r="T356" s="245">
        <f t="shared" si="415"/>
        <v>45980</v>
      </c>
      <c r="U356" s="221"/>
      <c r="V356" s="221"/>
      <c r="W356" s="221"/>
      <c r="X356" s="221"/>
      <c r="Y356" s="221"/>
      <c r="Z356" s="221"/>
    </row>
    <row r="357" spans="1:26" ht="18.75" customHeight="1" outlineLevel="1">
      <c r="A357" s="221"/>
      <c r="B357" s="237">
        <f t="shared" si="409"/>
        <v>45981</v>
      </c>
      <c r="C357" s="238">
        <f t="shared" si="405"/>
        <v>45981</v>
      </c>
      <c r="D357" s="239">
        <f>目標_2025R7!D344</f>
        <v>1</v>
      </c>
      <c r="E357" s="240">
        <f>IF(D357=1,'適正原価率表(仕入れお小遣い制度)'!$J$24,0)</f>
        <v>13435.295023070816</v>
      </c>
      <c r="F357" s="240">
        <f t="shared" si="410"/>
        <v>188094.13032299149</v>
      </c>
      <c r="G357" s="241">
        <v>0</v>
      </c>
      <c r="H357" s="240">
        <f t="shared" si="411"/>
        <v>76801</v>
      </c>
      <c r="I357" s="242">
        <f t="shared" si="406"/>
        <v>111293.13032299149</v>
      </c>
      <c r="J357" s="230"/>
      <c r="K357" s="237">
        <f t="shared" si="404"/>
        <v>45981</v>
      </c>
      <c r="L357" s="243">
        <f t="shared" ref="L357:M357" si="433">C357</f>
        <v>45981</v>
      </c>
      <c r="M357" s="244">
        <f t="shared" si="433"/>
        <v>1</v>
      </c>
      <c r="N357" s="240">
        <f>IF(M357=1,'適正原価率表(仕入れお小遣い制度)'!$J$25,0)</f>
        <v>11661.693352317052</v>
      </c>
      <c r="O357" s="240">
        <f t="shared" si="413"/>
        <v>163263.70693243877</v>
      </c>
      <c r="P357" s="241">
        <v>0</v>
      </c>
      <c r="Q357" s="240">
        <f t="shared" si="414"/>
        <v>14901</v>
      </c>
      <c r="R357" s="242">
        <f t="shared" si="408"/>
        <v>148362.70693243877</v>
      </c>
      <c r="S357" s="221"/>
      <c r="T357" s="245">
        <f t="shared" si="415"/>
        <v>45981</v>
      </c>
      <c r="U357" s="221"/>
      <c r="V357" s="221"/>
      <c r="W357" s="221"/>
      <c r="X357" s="221"/>
      <c r="Y357" s="221"/>
      <c r="Z357" s="221"/>
    </row>
    <row r="358" spans="1:26" ht="18.75" customHeight="1" outlineLevel="1">
      <c r="A358" s="221"/>
      <c r="B358" s="237">
        <f t="shared" si="409"/>
        <v>45982</v>
      </c>
      <c r="C358" s="238">
        <f t="shared" si="405"/>
        <v>45982</v>
      </c>
      <c r="D358" s="239">
        <f>目標_2025R7!D345</f>
        <v>1</v>
      </c>
      <c r="E358" s="240">
        <f>IF(D358=1,'適正原価率表(仕入れお小遣い制度)'!$J$24,0)</f>
        <v>13435.295023070816</v>
      </c>
      <c r="F358" s="240">
        <f t="shared" si="410"/>
        <v>201529.42534606231</v>
      </c>
      <c r="G358" s="241">
        <v>0</v>
      </c>
      <c r="H358" s="240">
        <f t="shared" si="411"/>
        <v>76801</v>
      </c>
      <c r="I358" s="242">
        <f t="shared" si="406"/>
        <v>124728.42534606231</v>
      </c>
      <c r="J358" s="230"/>
      <c r="K358" s="237">
        <f t="shared" si="404"/>
        <v>45982</v>
      </c>
      <c r="L358" s="243">
        <f t="shared" ref="L358:M358" si="434">C358</f>
        <v>45982</v>
      </c>
      <c r="M358" s="244">
        <f t="shared" si="434"/>
        <v>1</v>
      </c>
      <c r="N358" s="240">
        <f>IF(M358=1,'適正原価率表(仕入れお小遣い制度)'!$J$25,0)</f>
        <v>11661.693352317052</v>
      </c>
      <c r="O358" s="240">
        <f t="shared" si="413"/>
        <v>174925.40028475583</v>
      </c>
      <c r="P358" s="241">
        <v>0</v>
      </c>
      <c r="Q358" s="240">
        <f t="shared" si="414"/>
        <v>14901</v>
      </c>
      <c r="R358" s="242">
        <f t="shared" si="408"/>
        <v>160024.40028475583</v>
      </c>
      <c r="S358" s="221"/>
      <c r="T358" s="245">
        <f t="shared" si="415"/>
        <v>45982</v>
      </c>
      <c r="U358" s="221"/>
      <c r="V358" s="221"/>
      <c r="W358" s="221"/>
      <c r="X358" s="221"/>
      <c r="Y358" s="221"/>
      <c r="Z358" s="221"/>
    </row>
    <row r="359" spans="1:26" ht="18.75" customHeight="1" outlineLevel="1">
      <c r="A359" s="221"/>
      <c r="B359" s="237">
        <f t="shared" si="409"/>
        <v>45983</v>
      </c>
      <c r="C359" s="238">
        <f t="shared" si="405"/>
        <v>45983</v>
      </c>
      <c r="D359" s="239">
        <f>目標_2025R7!D346</f>
        <v>1</v>
      </c>
      <c r="E359" s="240">
        <f>IF(D359=1,'適正原価率表(仕入れお小遣い制度)'!$J$24,0)</f>
        <v>13435.295023070816</v>
      </c>
      <c r="F359" s="240">
        <f t="shared" si="410"/>
        <v>214964.72036913314</v>
      </c>
      <c r="G359" s="241">
        <v>0</v>
      </c>
      <c r="H359" s="240">
        <f t="shared" si="411"/>
        <v>76801</v>
      </c>
      <c r="I359" s="242">
        <f t="shared" si="406"/>
        <v>138163.72036913314</v>
      </c>
      <c r="J359" s="230"/>
      <c r="K359" s="237">
        <f t="shared" si="404"/>
        <v>45983</v>
      </c>
      <c r="L359" s="243">
        <f t="shared" ref="L359:M359" si="435">C359</f>
        <v>45983</v>
      </c>
      <c r="M359" s="244">
        <f t="shared" si="435"/>
        <v>1</v>
      </c>
      <c r="N359" s="240">
        <f>IF(M359=1,'適正原価率表(仕入れお小遣い制度)'!$J$25,0)</f>
        <v>11661.693352317052</v>
      </c>
      <c r="O359" s="240">
        <f t="shared" si="413"/>
        <v>186587.09363707289</v>
      </c>
      <c r="P359" s="241">
        <v>0</v>
      </c>
      <c r="Q359" s="240">
        <f t="shared" si="414"/>
        <v>14901</v>
      </c>
      <c r="R359" s="242">
        <f t="shared" si="408"/>
        <v>171686.09363707289</v>
      </c>
      <c r="S359" s="221"/>
      <c r="T359" s="245">
        <f t="shared" si="415"/>
        <v>45983</v>
      </c>
      <c r="U359" s="221"/>
      <c r="V359" s="221"/>
      <c r="W359" s="221"/>
      <c r="X359" s="221"/>
      <c r="Y359" s="221"/>
      <c r="Z359" s="221"/>
    </row>
    <row r="360" spans="1:26" ht="18.75" customHeight="1" outlineLevel="1">
      <c r="A360" s="221"/>
      <c r="B360" s="237">
        <f t="shared" si="409"/>
        <v>45984</v>
      </c>
      <c r="C360" s="238">
        <f t="shared" si="405"/>
        <v>45984</v>
      </c>
      <c r="D360" s="239">
        <f>目標_2025R7!D347</f>
        <v>0</v>
      </c>
      <c r="E360" s="240">
        <f>IF(D360=1,'適正原価率表(仕入れお小遣い制度)'!$J$24,0)</f>
        <v>0</v>
      </c>
      <c r="F360" s="240">
        <f t="shared" si="410"/>
        <v>0</v>
      </c>
      <c r="G360" s="241">
        <v>0</v>
      </c>
      <c r="H360" s="240">
        <f t="shared" si="411"/>
        <v>0</v>
      </c>
      <c r="I360" s="242">
        <f t="shared" si="406"/>
        <v>0</v>
      </c>
      <c r="J360" s="230"/>
      <c r="K360" s="237">
        <f t="shared" si="404"/>
        <v>45984</v>
      </c>
      <c r="L360" s="243">
        <f t="shared" ref="L360:M360" si="436">C360</f>
        <v>45984</v>
      </c>
      <c r="M360" s="244">
        <f t="shared" si="436"/>
        <v>0</v>
      </c>
      <c r="N360" s="240">
        <f>IF(M360=1,'適正原価率表(仕入れお小遣い制度)'!$J$25,0)</f>
        <v>0</v>
      </c>
      <c r="O360" s="240">
        <f t="shared" si="413"/>
        <v>0</v>
      </c>
      <c r="P360" s="241">
        <v>0</v>
      </c>
      <c r="Q360" s="240">
        <f t="shared" si="414"/>
        <v>0</v>
      </c>
      <c r="R360" s="242">
        <f t="shared" si="408"/>
        <v>0</v>
      </c>
      <c r="S360" s="221"/>
      <c r="T360" s="245">
        <f t="shared" si="415"/>
        <v>45984</v>
      </c>
      <c r="U360" s="221"/>
      <c r="V360" s="221"/>
      <c r="W360" s="221"/>
      <c r="X360" s="221"/>
      <c r="Y360" s="221"/>
      <c r="Z360" s="221"/>
    </row>
    <row r="361" spans="1:26" ht="18.75" customHeight="1" outlineLevel="1">
      <c r="A361" s="221"/>
      <c r="B361" s="237">
        <f t="shared" si="409"/>
        <v>45985</v>
      </c>
      <c r="C361" s="238">
        <f t="shared" si="405"/>
        <v>45985</v>
      </c>
      <c r="D361" s="239">
        <f>目標_2025R7!D348</f>
        <v>0</v>
      </c>
      <c r="E361" s="240">
        <f>IF(D361=1,'適正原価率表(仕入れお小遣い制度)'!$J$24,0)</f>
        <v>0</v>
      </c>
      <c r="F361" s="240">
        <f t="shared" si="410"/>
        <v>0</v>
      </c>
      <c r="G361" s="241">
        <v>0</v>
      </c>
      <c r="H361" s="240">
        <f t="shared" si="411"/>
        <v>0</v>
      </c>
      <c r="I361" s="242">
        <f t="shared" si="406"/>
        <v>0</v>
      </c>
      <c r="J361" s="230"/>
      <c r="K361" s="237">
        <f t="shared" si="404"/>
        <v>45985</v>
      </c>
      <c r="L361" s="243">
        <f t="shared" ref="L361:M361" si="437">C361</f>
        <v>45985</v>
      </c>
      <c r="M361" s="244">
        <f t="shared" si="437"/>
        <v>0</v>
      </c>
      <c r="N361" s="240">
        <f>IF(M361=1,'適正原価率表(仕入れお小遣い制度)'!$J$25,0)</f>
        <v>0</v>
      </c>
      <c r="O361" s="240">
        <f t="shared" si="413"/>
        <v>0</v>
      </c>
      <c r="P361" s="241">
        <v>0</v>
      </c>
      <c r="Q361" s="240">
        <f t="shared" si="414"/>
        <v>0</v>
      </c>
      <c r="R361" s="242">
        <f t="shared" si="408"/>
        <v>0</v>
      </c>
      <c r="S361" s="221"/>
      <c r="T361" s="245">
        <f t="shared" si="415"/>
        <v>45985</v>
      </c>
      <c r="U361" s="221"/>
      <c r="V361" s="221"/>
      <c r="W361" s="221"/>
      <c r="X361" s="221"/>
      <c r="Y361" s="221"/>
      <c r="Z361" s="221"/>
    </row>
    <row r="362" spans="1:26" ht="18.75" customHeight="1" outlineLevel="1">
      <c r="A362" s="221"/>
      <c r="B362" s="237">
        <f t="shared" si="409"/>
        <v>45986</v>
      </c>
      <c r="C362" s="238">
        <f t="shared" si="405"/>
        <v>45986</v>
      </c>
      <c r="D362" s="239">
        <f>目標_2025R7!D349</f>
        <v>1</v>
      </c>
      <c r="E362" s="240">
        <f>IF(D362=1,'適正原価率表(仕入れお小遣い制度)'!$J$24,0)</f>
        <v>13435.295023070816</v>
      </c>
      <c r="F362" s="240">
        <f t="shared" si="410"/>
        <v>228400.01539220396</v>
      </c>
      <c r="G362" s="241">
        <v>0</v>
      </c>
      <c r="H362" s="240">
        <f t="shared" si="411"/>
        <v>76801</v>
      </c>
      <c r="I362" s="242">
        <f t="shared" si="406"/>
        <v>151599.01539220396</v>
      </c>
      <c r="J362" s="230"/>
      <c r="K362" s="237">
        <f t="shared" si="404"/>
        <v>45986</v>
      </c>
      <c r="L362" s="243">
        <f t="shared" ref="L362:M362" si="438">C362</f>
        <v>45986</v>
      </c>
      <c r="M362" s="244">
        <f t="shared" si="438"/>
        <v>1</v>
      </c>
      <c r="N362" s="240">
        <f>IF(M362=1,'適正原価率表(仕入れお小遣い制度)'!$J$25,0)</f>
        <v>11661.693352317052</v>
      </c>
      <c r="O362" s="240">
        <f t="shared" si="413"/>
        <v>198248.78698938995</v>
      </c>
      <c r="P362" s="241">
        <v>0</v>
      </c>
      <c r="Q362" s="240">
        <f t="shared" si="414"/>
        <v>14901</v>
      </c>
      <c r="R362" s="242">
        <f t="shared" si="408"/>
        <v>183347.78698938995</v>
      </c>
      <c r="S362" s="221"/>
      <c r="T362" s="245">
        <f t="shared" si="415"/>
        <v>45986</v>
      </c>
      <c r="U362" s="221"/>
      <c r="V362" s="221"/>
      <c r="W362" s="221"/>
      <c r="X362" s="221"/>
      <c r="Y362" s="221"/>
      <c r="Z362" s="221"/>
    </row>
    <row r="363" spans="1:26" ht="18.75" customHeight="1" outlineLevel="1">
      <c r="A363" s="221"/>
      <c r="B363" s="237">
        <f t="shared" si="409"/>
        <v>45987</v>
      </c>
      <c r="C363" s="238">
        <f t="shared" si="405"/>
        <v>45987</v>
      </c>
      <c r="D363" s="239">
        <f>目標_2025R7!D350</f>
        <v>1</v>
      </c>
      <c r="E363" s="240">
        <f>IF(D363=1,'適正原価率表(仕入れお小遣い制度)'!$J$24,0)</f>
        <v>13435.295023070816</v>
      </c>
      <c r="F363" s="240">
        <f t="shared" si="410"/>
        <v>241835.31041527478</v>
      </c>
      <c r="G363" s="241">
        <v>0</v>
      </c>
      <c r="H363" s="240">
        <f t="shared" si="411"/>
        <v>76801</v>
      </c>
      <c r="I363" s="242">
        <f t="shared" si="406"/>
        <v>165034.31041527478</v>
      </c>
      <c r="J363" s="230"/>
      <c r="K363" s="237">
        <f t="shared" si="404"/>
        <v>45987</v>
      </c>
      <c r="L363" s="243">
        <f t="shared" ref="L363:M363" si="439">C363</f>
        <v>45987</v>
      </c>
      <c r="M363" s="244">
        <f t="shared" si="439"/>
        <v>1</v>
      </c>
      <c r="N363" s="240">
        <f>IF(M363=1,'適正原価率表(仕入れお小遣い制度)'!$J$25,0)</f>
        <v>11661.693352317052</v>
      </c>
      <c r="O363" s="240">
        <f t="shared" si="413"/>
        <v>209910.48034170701</v>
      </c>
      <c r="P363" s="241">
        <v>0</v>
      </c>
      <c r="Q363" s="240">
        <f t="shared" si="414"/>
        <v>14901</v>
      </c>
      <c r="R363" s="242">
        <f t="shared" si="408"/>
        <v>195009.48034170701</v>
      </c>
      <c r="S363" s="221"/>
      <c r="T363" s="245">
        <f t="shared" si="415"/>
        <v>45987</v>
      </c>
      <c r="U363" s="221"/>
      <c r="V363" s="221"/>
      <c r="W363" s="221"/>
      <c r="X363" s="221"/>
      <c r="Y363" s="221"/>
      <c r="Z363" s="221"/>
    </row>
    <row r="364" spans="1:26" ht="18.75" customHeight="1" outlineLevel="1">
      <c r="A364" s="221"/>
      <c r="B364" s="237">
        <f t="shared" si="409"/>
        <v>45988</v>
      </c>
      <c r="C364" s="238">
        <f t="shared" si="405"/>
        <v>45988</v>
      </c>
      <c r="D364" s="239">
        <f>目標_2025R7!D351</f>
        <v>1</v>
      </c>
      <c r="E364" s="240">
        <f>IF(D364=1,'適正原価率表(仕入れお小遣い制度)'!$J$24,0)</f>
        <v>13435.295023070816</v>
      </c>
      <c r="F364" s="240">
        <f t="shared" si="410"/>
        <v>255270.60543834561</v>
      </c>
      <c r="G364" s="241">
        <v>0</v>
      </c>
      <c r="H364" s="240">
        <f t="shared" si="411"/>
        <v>76801</v>
      </c>
      <c r="I364" s="242">
        <f t="shared" si="406"/>
        <v>178469.60543834561</v>
      </c>
      <c r="J364" s="230"/>
      <c r="K364" s="237">
        <f t="shared" si="404"/>
        <v>45988</v>
      </c>
      <c r="L364" s="243">
        <f t="shared" ref="L364:M364" si="440">C364</f>
        <v>45988</v>
      </c>
      <c r="M364" s="244">
        <f t="shared" si="440"/>
        <v>1</v>
      </c>
      <c r="N364" s="240">
        <f>IF(M364=1,'適正原価率表(仕入れお小遣い制度)'!$J$25,0)</f>
        <v>11661.693352317052</v>
      </c>
      <c r="O364" s="240">
        <f t="shared" si="413"/>
        <v>221572.17369402407</v>
      </c>
      <c r="P364" s="241">
        <v>0</v>
      </c>
      <c r="Q364" s="240">
        <f t="shared" si="414"/>
        <v>14901</v>
      </c>
      <c r="R364" s="242">
        <f t="shared" si="408"/>
        <v>206671.17369402407</v>
      </c>
      <c r="S364" s="221"/>
      <c r="T364" s="245">
        <f t="shared" si="415"/>
        <v>45988</v>
      </c>
      <c r="U364" s="221"/>
      <c r="V364" s="221"/>
      <c r="W364" s="221"/>
      <c r="X364" s="221"/>
      <c r="Y364" s="221"/>
      <c r="Z364" s="221"/>
    </row>
    <row r="365" spans="1:26" ht="18.75" customHeight="1" outlineLevel="1">
      <c r="A365" s="221"/>
      <c r="B365" s="237">
        <f t="shared" si="409"/>
        <v>45989</v>
      </c>
      <c r="C365" s="238">
        <f t="shared" si="405"/>
        <v>45989</v>
      </c>
      <c r="D365" s="239">
        <f>目標_2025R7!D352</f>
        <v>1</v>
      </c>
      <c r="E365" s="240">
        <f>IF(D365=1,'適正原価率表(仕入れお小遣い制度)'!$J$24,0)</f>
        <v>13435.295023070816</v>
      </c>
      <c r="F365" s="240">
        <f t="shared" si="410"/>
        <v>268705.9004614164</v>
      </c>
      <c r="G365" s="241">
        <v>0</v>
      </c>
      <c r="H365" s="240">
        <f t="shared" si="411"/>
        <v>76801</v>
      </c>
      <c r="I365" s="242">
        <f t="shared" si="406"/>
        <v>191904.9004614164</v>
      </c>
      <c r="J365" s="230"/>
      <c r="K365" s="237">
        <f t="shared" si="404"/>
        <v>45989</v>
      </c>
      <c r="L365" s="243">
        <f t="shared" ref="L365:M365" si="441">C365</f>
        <v>45989</v>
      </c>
      <c r="M365" s="244">
        <f t="shared" si="441"/>
        <v>1</v>
      </c>
      <c r="N365" s="240">
        <f>IF(M365=1,'適正原価率表(仕入れお小遣い制度)'!$J$25,0)</f>
        <v>11661.693352317052</v>
      </c>
      <c r="O365" s="240">
        <f t="shared" si="413"/>
        <v>233233.86704634113</v>
      </c>
      <c r="P365" s="241">
        <v>0</v>
      </c>
      <c r="Q365" s="240">
        <f t="shared" si="414"/>
        <v>14901</v>
      </c>
      <c r="R365" s="242">
        <f t="shared" si="408"/>
        <v>218332.86704634113</v>
      </c>
      <c r="S365" s="221"/>
      <c r="T365" s="245">
        <f t="shared" si="415"/>
        <v>45989</v>
      </c>
      <c r="U365" s="221"/>
      <c r="V365" s="221"/>
      <c r="W365" s="221"/>
      <c r="X365" s="221"/>
      <c r="Y365" s="221"/>
      <c r="Z365" s="221"/>
    </row>
    <row r="366" spans="1:26" ht="18.75" customHeight="1" outlineLevel="1">
      <c r="A366" s="221"/>
      <c r="B366" s="237">
        <f t="shared" si="409"/>
        <v>45990</v>
      </c>
      <c r="C366" s="238">
        <f t="shared" si="405"/>
        <v>45990</v>
      </c>
      <c r="D366" s="239">
        <f>目標_2025R7!D353</f>
        <v>1</v>
      </c>
      <c r="E366" s="240">
        <f>IF(D366=1,'適正原価率表(仕入れお小遣い制度)'!$J$24,0)</f>
        <v>13435.295023070816</v>
      </c>
      <c r="F366" s="240">
        <f t="shared" si="410"/>
        <v>282141.19548448722</v>
      </c>
      <c r="G366" s="241">
        <v>0</v>
      </c>
      <c r="H366" s="240">
        <f t="shared" si="411"/>
        <v>76801</v>
      </c>
      <c r="I366" s="242">
        <f t="shared" si="406"/>
        <v>205340.19548448722</v>
      </c>
      <c r="J366" s="230"/>
      <c r="K366" s="237">
        <f t="shared" si="404"/>
        <v>45990</v>
      </c>
      <c r="L366" s="243">
        <f t="shared" ref="L366:M366" si="442">C366</f>
        <v>45990</v>
      </c>
      <c r="M366" s="244">
        <f t="shared" si="442"/>
        <v>1</v>
      </c>
      <c r="N366" s="240">
        <f>IF(M366=1,'適正原価率表(仕入れお小遣い制度)'!$J$25,0)</f>
        <v>11661.693352317052</v>
      </c>
      <c r="O366" s="240">
        <f t="shared" si="413"/>
        <v>244895.56039865818</v>
      </c>
      <c r="P366" s="241">
        <v>0</v>
      </c>
      <c r="Q366" s="240">
        <f t="shared" si="414"/>
        <v>14901</v>
      </c>
      <c r="R366" s="242">
        <f t="shared" si="408"/>
        <v>229994.56039865818</v>
      </c>
      <c r="S366" s="221"/>
      <c r="T366" s="245">
        <f t="shared" si="415"/>
        <v>45990</v>
      </c>
      <c r="U366" s="221"/>
      <c r="V366" s="221"/>
      <c r="W366" s="221"/>
      <c r="X366" s="221"/>
      <c r="Y366" s="221"/>
      <c r="Z366" s="221"/>
    </row>
    <row r="367" spans="1:26" ht="18.75" customHeight="1" outlineLevel="1">
      <c r="A367" s="221"/>
      <c r="B367" s="237">
        <f t="shared" si="409"/>
        <v>45991</v>
      </c>
      <c r="C367" s="238">
        <f t="shared" si="405"/>
        <v>45991</v>
      </c>
      <c r="D367" s="239">
        <f>目標_2025R7!D354</f>
        <v>1</v>
      </c>
      <c r="E367" s="240">
        <f>IF(D367=1,'適正原価率表(仕入れお小遣い制度)'!$J$24,0)</f>
        <v>13435.295023070816</v>
      </c>
      <c r="F367" s="240">
        <f t="shared" si="410"/>
        <v>295576.49050755805</v>
      </c>
      <c r="G367" s="241">
        <v>0</v>
      </c>
      <c r="H367" s="240">
        <f t="shared" si="411"/>
        <v>76801</v>
      </c>
      <c r="I367" s="242">
        <f t="shared" si="406"/>
        <v>218775.49050755805</v>
      </c>
      <c r="J367" s="230"/>
      <c r="K367" s="237">
        <f t="shared" si="404"/>
        <v>45991</v>
      </c>
      <c r="L367" s="243">
        <f t="shared" ref="L367:M367" si="443">C367</f>
        <v>45991</v>
      </c>
      <c r="M367" s="244">
        <f t="shared" si="443"/>
        <v>1</v>
      </c>
      <c r="N367" s="240">
        <f>IF(M367=1,'適正原価率表(仕入れお小遣い制度)'!$J$25,0)</f>
        <v>11661.693352317052</v>
      </c>
      <c r="O367" s="240">
        <f t="shared" si="413"/>
        <v>256557.25375097524</v>
      </c>
      <c r="P367" s="241">
        <v>0</v>
      </c>
      <c r="Q367" s="240">
        <f t="shared" si="414"/>
        <v>14901</v>
      </c>
      <c r="R367" s="242">
        <f t="shared" si="408"/>
        <v>241656.25375097524</v>
      </c>
      <c r="S367" s="221"/>
      <c r="T367" s="245">
        <f t="shared" si="415"/>
        <v>45991</v>
      </c>
      <c r="U367" s="221"/>
      <c r="V367" s="221"/>
      <c r="W367" s="221"/>
      <c r="X367" s="221"/>
      <c r="Y367" s="221"/>
      <c r="Z367" s="221"/>
    </row>
    <row r="368" spans="1:26" ht="18.75" customHeight="1" outlineLevel="1">
      <c r="A368" s="221"/>
      <c r="B368" s="561" t="s">
        <v>176</v>
      </c>
      <c r="C368" s="486"/>
      <c r="D368" s="483"/>
      <c r="E368" s="247">
        <f>SUM(E338:E367)</f>
        <v>295576.49050755805</v>
      </c>
      <c r="F368" s="248"/>
      <c r="G368" s="249">
        <v>0</v>
      </c>
      <c r="H368" s="249"/>
      <c r="I368" s="249"/>
      <c r="J368" s="230"/>
      <c r="K368" s="561" t="s">
        <v>176</v>
      </c>
      <c r="L368" s="486"/>
      <c r="M368" s="483"/>
      <c r="N368" s="247">
        <f>SUM(N338:N367)</f>
        <v>256557.25375097524</v>
      </c>
      <c r="O368" s="248"/>
      <c r="P368" s="249">
        <v>0</v>
      </c>
      <c r="Q368" s="249"/>
      <c r="R368" s="249"/>
      <c r="S368" s="221"/>
      <c r="T368" s="221"/>
      <c r="U368" s="221"/>
      <c r="V368" s="221"/>
      <c r="W368" s="221"/>
      <c r="X368" s="221"/>
      <c r="Y368" s="221"/>
      <c r="Z368" s="221"/>
    </row>
    <row r="369" spans="1:26" ht="18.75" customHeight="1">
      <c r="A369" s="221"/>
      <c r="B369" s="221"/>
      <c r="C369" s="255"/>
      <c r="D369" s="255"/>
      <c r="E369" s="221"/>
      <c r="F369" s="221"/>
      <c r="G369" s="221"/>
      <c r="H369" s="221"/>
      <c r="I369" s="221"/>
      <c r="J369" s="221"/>
      <c r="K369" s="221"/>
      <c r="L369" s="255"/>
      <c r="M369" s="255"/>
      <c r="N369" s="221"/>
      <c r="O369" s="221"/>
      <c r="P369" s="221"/>
      <c r="Q369" s="221"/>
      <c r="R369" s="221"/>
      <c r="S369" s="221"/>
      <c r="T369" s="221"/>
      <c r="U369" s="221"/>
      <c r="V369" s="221"/>
      <c r="W369" s="221"/>
      <c r="X369" s="221"/>
      <c r="Y369" s="221"/>
      <c r="Z369" s="221"/>
    </row>
    <row r="370" spans="1:26" ht="18.75" customHeight="1">
      <c r="A370" s="232"/>
      <c r="B370" s="562" t="s">
        <v>63</v>
      </c>
      <c r="C370" s="486"/>
      <c r="D370" s="483"/>
      <c r="E370" s="252" t="s">
        <v>168</v>
      </c>
      <c r="F370" s="253" t="s">
        <v>169</v>
      </c>
      <c r="G370" s="253" t="s">
        <v>170</v>
      </c>
      <c r="H370" s="253" t="s">
        <v>171</v>
      </c>
      <c r="I370" s="253" t="s">
        <v>19</v>
      </c>
      <c r="J370" s="236"/>
      <c r="K370" s="562" t="str">
        <f t="shared" ref="K370:K401" si="444">B370</f>
        <v>12月</v>
      </c>
      <c r="L370" s="486"/>
      <c r="M370" s="483"/>
      <c r="N370" s="252" t="s">
        <v>172</v>
      </c>
      <c r="O370" s="253" t="s">
        <v>173</v>
      </c>
      <c r="P370" s="253" t="s">
        <v>174</v>
      </c>
      <c r="Q370" s="253" t="s">
        <v>175</v>
      </c>
      <c r="R370" s="253" t="s">
        <v>19</v>
      </c>
      <c r="S370" s="232"/>
      <c r="T370" s="232"/>
      <c r="U370" s="232"/>
      <c r="V370" s="232"/>
      <c r="W370" s="232"/>
      <c r="X370" s="232"/>
      <c r="Y370" s="232"/>
      <c r="Z370" s="232"/>
    </row>
    <row r="371" spans="1:26" ht="18.75" customHeight="1" outlineLevel="1">
      <c r="A371" s="221"/>
      <c r="B371" s="237">
        <f>B367+1</f>
        <v>45992</v>
      </c>
      <c r="C371" s="238">
        <f t="shared" ref="C371:C401" si="445">B371</f>
        <v>45992</v>
      </c>
      <c r="D371" s="239">
        <f>目標_2025R7!D355</f>
        <v>0</v>
      </c>
      <c r="E371" s="240">
        <f>IF(D371=1,'適正原価率表(仕入れお小遣い制度)'!$J$26,0)</f>
        <v>0</v>
      </c>
      <c r="F371" s="240">
        <f>IF(D371=1,E371,0)</f>
        <v>0</v>
      </c>
      <c r="G371" s="241"/>
      <c r="H371" s="240">
        <f>IF(D371=1,G371,0)</f>
        <v>0</v>
      </c>
      <c r="I371" s="242">
        <f t="shared" ref="I371:I401" si="446">IF(D371=1,F371-H371,0)</f>
        <v>0</v>
      </c>
      <c r="J371" s="230"/>
      <c r="K371" s="237">
        <f t="shared" si="444"/>
        <v>45992</v>
      </c>
      <c r="L371" s="243">
        <f t="shared" ref="L371:M371" si="447">C371</f>
        <v>45992</v>
      </c>
      <c r="M371" s="244">
        <f t="shared" si="447"/>
        <v>0</v>
      </c>
      <c r="N371" s="240">
        <f>IF(M371=1,'適正原価率表(仕入れお小遣い制度)'!$J$27,0)</f>
        <v>0</v>
      </c>
      <c r="O371" s="240">
        <f>IF(M371=1,N371,0)</f>
        <v>0</v>
      </c>
      <c r="P371" s="241"/>
      <c r="Q371" s="240">
        <f>IF(M371=1,P371,0)</f>
        <v>0</v>
      </c>
      <c r="R371" s="242">
        <f t="shared" ref="R371:R401" si="448">IF(D371=1,O371-Q371,0)</f>
        <v>0</v>
      </c>
      <c r="S371" s="221"/>
      <c r="T371" s="245">
        <f>T367+1</f>
        <v>45992</v>
      </c>
      <c r="U371" s="221"/>
      <c r="V371" s="221"/>
      <c r="W371" s="221"/>
      <c r="X371" s="221"/>
      <c r="Y371" s="221"/>
      <c r="Z371" s="221"/>
    </row>
    <row r="372" spans="1:26" ht="18.75" customHeight="1" outlineLevel="1">
      <c r="A372" s="221"/>
      <c r="B372" s="237">
        <f t="shared" ref="B372:B401" si="449">B371+1</f>
        <v>45993</v>
      </c>
      <c r="C372" s="238">
        <f t="shared" si="445"/>
        <v>45993</v>
      </c>
      <c r="D372" s="239">
        <f>目標_2025R7!D356</f>
        <v>1</v>
      </c>
      <c r="E372" s="240">
        <f>IF(D372=1,'適正原価率表(仕入れお小遣い制度)'!$J$26,0)</f>
        <v>16029.767837012105</v>
      </c>
      <c r="F372" s="240">
        <f t="shared" ref="F372:F401" si="450">IF(D372=1,SUM($E$371:E372),0)</f>
        <v>16029.767837012105</v>
      </c>
      <c r="G372" s="241"/>
      <c r="H372" s="240">
        <f t="shared" ref="H372:H401" si="451">IF(D372=1,SUM($G$371:G372),0)</f>
        <v>0</v>
      </c>
      <c r="I372" s="242">
        <f t="shared" si="446"/>
        <v>16029.767837012105</v>
      </c>
      <c r="J372" s="230"/>
      <c r="K372" s="237">
        <f t="shared" si="444"/>
        <v>45993</v>
      </c>
      <c r="L372" s="243">
        <f t="shared" ref="L372:M372" si="452">C372</f>
        <v>45993</v>
      </c>
      <c r="M372" s="244">
        <f t="shared" si="452"/>
        <v>1</v>
      </c>
      <c r="N372" s="240">
        <f>IF(M372=1,'適正原価率表(仕入れお小遣い制度)'!$J$27,0)</f>
        <v>13024.828314844162</v>
      </c>
      <c r="O372" s="240">
        <f t="shared" ref="O372:O401" si="453">IF(M372=1,SUM($N$371:N372),0)</f>
        <v>13024.828314844162</v>
      </c>
      <c r="P372" s="241"/>
      <c r="Q372" s="240">
        <f t="shared" ref="Q372:Q401" si="454">IF(M372=1,SUM($P$371:P372),0)</f>
        <v>0</v>
      </c>
      <c r="R372" s="242">
        <f t="shared" si="448"/>
        <v>13024.828314844162</v>
      </c>
      <c r="S372" s="221"/>
      <c r="T372" s="245">
        <f t="shared" ref="T372:T401" si="455">T371+1</f>
        <v>45993</v>
      </c>
      <c r="U372" s="221"/>
      <c r="V372" s="221"/>
      <c r="W372" s="221"/>
      <c r="X372" s="221"/>
      <c r="Y372" s="221"/>
      <c r="Z372" s="221"/>
    </row>
    <row r="373" spans="1:26" ht="18.75" customHeight="1" outlineLevel="1">
      <c r="A373" s="221"/>
      <c r="B373" s="237">
        <f t="shared" si="449"/>
        <v>45994</v>
      </c>
      <c r="C373" s="238">
        <f t="shared" si="445"/>
        <v>45994</v>
      </c>
      <c r="D373" s="239">
        <f>目標_2025R7!D357</f>
        <v>1</v>
      </c>
      <c r="E373" s="240">
        <f>IF(D373=1,'適正原価率表(仕入れお小遣い制度)'!$J$26,0)</f>
        <v>16029.767837012105</v>
      </c>
      <c r="F373" s="240">
        <f t="shared" si="450"/>
        <v>32059.53567402421</v>
      </c>
      <c r="G373" s="241"/>
      <c r="H373" s="240">
        <f t="shared" si="451"/>
        <v>0</v>
      </c>
      <c r="I373" s="242">
        <f t="shared" si="446"/>
        <v>32059.53567402421</v>
      </c>
      <c r="J373" s="230"/>
      <c r="K373" s="237">
        <f t="shared" si="444"/>
        <v>45994</v>
      </c>
      <c r="L373" s="243">
        <f t="shared" ref="L373:M373" si="456">C373</f>
        <v>45994</v>
      </c>
      <c r="M373" s="244">
        <f t="shared" si="456"/>
        <v>1</v>
      </c>
      <c r="N373" s="240">
        <f>IF(M373=1,'適正原価率表(仕入れお小遣い制度)'!$J$27,0)</f>
        <v>13024.828314844162</v>
      </c>
      <c r="O373" s="240">
        <f t="shared" si="453"/>
        <v>26049.656629688325</v>
      </c>
      <c r="P373" s="241"/>
      <c r="Q373" s="240">
        <f t="shared" si="454"/>
        <v>0</v>
      </c>
      <c r="R373" s="242">
        <f t="shared" si="448"/>
        <v>26049.656629688325</v>
      </c>
      <c r="S373" s="221"/>
      <c r="T373" s="245">
        <f t="shared" si="455"/>
        <v>45994</v>
      </c>
      <c r="U373" s="221"/>
      <c r="V373" s="221"/>
      <c r="W373" s="221"/>
      <c r="X373" s="221"/>
      <c r="Y373" s="221"/>
      <c r="Z373" s="221"/>
    </row>
    <row r="374" spans="1:26" ht="18.75" customHeight="1" outlineLevel="1">
      <c r="A374" s="221"/>
      <c r="B374" s="237">
        <f t="shared" si="449"/>
        <v>45995</v>
      </c>
      <c r="C374" s="238">
        <f t="shared" si="445"/>
        <v>45995</v>
      </c>
      <c r="D374" s="239">
        <f>目標_2025R7!D358</f>
        <v>1</v>
      </c>
      <c r="E374" s="240">
        <f>IF(D374=1,'適正原価率表(仕入れお小遣い制度)'!$J$26,0)</f>
        <v>16029.767837012105</v>
      </c>
      <c r="F374" s="240">
        <f t="shared" si="450"/>
        <v>48089.303511036313</v>
      </c>
      <c r="G374" s="241"/>
      <c r="H374" s="240">
        <f t="shared" si="451"/>
        <v>0</v>
      </c>
      <c r="I374" s="242">
        <f t="shared" si="446"/>
        <v>48089.303511036313</v>
      </c>
      <c r="J374" s="230"/>
      <c r="K374" s="237">
        <f t="shared" si="444"/>
        <v>45995</v>
      </c>
      <c r="L374" s="243">
        <f t="shared" ref="L374:M374" si="457">C374</f>
        <v>45995</v>
      </c>
      <c r="M374" s="244">
        <f t="shared" si="457"/>
        <v>1</v>
      </c>
      <c r="N374" s="240">
        <f>IF(M374=1,'適正原価率表(仕入れお小遣い制度)'!$J$27,0)</f>
        <v>13024.828314844162</v>
      </c>
      <c r="O374" s="240">
        <f t="shared" si="453"/>
        <v>39074.484944532487</v>
      </c>
      <c r="P374" s="241"/>
      <c r="Q374" s="240">
        <f t="shared" si="454"/>
        <v>0</v>
      </c>
      <c r="R374" s="242">
        <f t="shared" si="448"/>
        <v>39074.484944532487</v>
      </c>
      <c r="S374" s="221"/>
      <c r="T374" s="245">
        <f t="shared" si="455"/>
        <v>45995</v>
      </c>
      <c r="U374" s="221"/>
      <c r="V374" s="221"/>
      <c r="W374" s="221"/>
      <c r="X374" s="221"/>
      <c r="Y374" s="221"/>
      <c r="Z374" s="221"/>
    </row>
    <row r="375" spans="1:26" ht="18.75" customHeight="1" outlineLevel="1">
      <c r="A375" s="221"/>
      <c r="B375" s="237">
        <f t="shared" si="449"/>
        <v>45996</v>
      </c>
      <c r="C375" s="238">
        <f t="shared" si="445"/>
        <v>45996</v>
      </c>
      <c r="D375" s="239">
        <f>目標_2025R7!D359</f>
        <v>1</v>
      </c>
      <c r="E375" s="240">
        <f>IF(D375=1,'適正原価率表(仕入れお小遣い制度)'!$J$26,0)</f>
        <v>16029.767837012105</v>
      </c>
      <c r="F375" s="240">
        <f t="shared" si="450"/>
        <v>64119.071348048419</v>
      </c>
      <c r="G375" s="241"/>
      <c r="H375" s="240">
        <f t="shared" si="451"/>
        <v>0</v>
      </c>
      <c r="I375" s="242">
        <f t="shared" si="446"/>
        <v>64119.071348048419</v>
      </c>
      <c r="J375" s="230"/>
      <c r="K375" s="237">
        <f t="shared" si="444"/>
        <v>45996</v>
      </c>
      <c r="L375" s="243">
        <f t="shared" ref="L375:M375" si="458">C375</f>
        <v>45996</v>
      </c>
      <c r="M375" s="244">
        <f t="shared" si="458"/>
        <v>1</v>
      </c>
      <c r="N375" s="240">
        <f>IF(M375=1,'適正原価率表(仕入れお小遣い制度)'!$J$27,0)</f>
        <v>13024.828314844162</v>
      </c>
      <c r="O375" s="240">
        <f t="shared" si="453"/>
        <v>52099.31325937665</v>
      </c>
      <c r="P375" s="241"/>
      <c r="Q375" s="240">
        <f t="shared" si="454"/>
        <v>0</v>
      </c>
      <c r="R375" s="242">
        <f t="shared" si="448"/>
        <v>52099.31325937665</v>
      </c>
      <c r="S375" s="221"/>
      <c r="T375" s="245">
        <f t="shared" si="455"/>
        <v>45996</v>
      </c>
      <c r="U375" s="221"/>
      <c r="V375" s="221"/>
      <c r="W375" s="221"/>
      <c r="X375" s="221"/>
      <c r="Y375" s="221"/>
      <c r="Z375" s="221"/>
    </row>
    <row r="376" spans="1:26" ht="18.75" customHeight="1" outlineLevel="1">
      <c r="A376" s="221"/>
      <c r="B376" s="237">
        <f t="shared" si="449"/>
        <v>45997</v>
      </c>
      <c r="C376" s="238">
        <f t="shared" si="445"/>
        <v>45997</v>
      </c>
      <c r="D376" s="239">
        <f>目標_2025R7!D360</f>
        <v>1</v>
      </c>
      <c r="E376" s="240">
        <f>IF(D376=1,'適正原価率表(仕入れお小遣い制度)'!$J$26,0)</f>
        <v>16029.767837012105</v>
      </c>
      <c r="F376" s="240">
        <f t="shared" si="450"/>
        <v>80148.839185060526</v>
      </c>
      <c r="G376" s="241"/>
      <c r="H376" s="240">
        <f t="shared" si="451"/>
        <v>0</v>
      </c>
      <c r="I376" s="242">
        <f t="shared" si="446"/>
        <v>80148.839185060526</v>
      </c>
      <c r="J376" s="230"/>
      <c r="K376" s="237">
        <f t="shared" si="444"/>
        <v>45997</v>
      </c>
      <c r="L376" s="243">
        <f t="shared" ref="L376:M376" si="459">C376</f>
        <v>45997</v>
      </c>
      <c r="M376" s="244">
        <f t="shared" si="459"/>
        <v>1</v>
      </c>
      <c r="N376" s="240">
        <f>IF(M376=1,'適正原価率表(仕入れお小遣い制度)'!$J$27,0)</f>
        <v>13024.828314844162</v>
      </c>
      <c r="O376" s="240">
        <f t="shared" si="453"/>
        <v>65124.141574220812</v>
      </c>
      <c r="P376" s="241"/>
      <c r="Q376" s="240">
        <f t="shared" si="454"/>
        <v>0</v>
      </c>
      <c r="R376" s="242">
        <f t="shared" si="448"/>
        <v>65124.141574220812</v>
      </c>
      <c r="S376" s="221"/>
      <c r="T376" s="245">
        <f t="shared" si="455"/>
        <v>45997</v>
      </c>
      <c r="U376" s="221"/>
      <c r="V376" s="221"/>
      <c r="W376" s="221"/>
      <c r="X376" s="221"/>
      <c r="Y376" s="221"/>
      <c r="Z376" s="221"/>
    </row>
    <row r="377" spans="1:26" ht="18.75" customHeight="1" outlineLevel="1">
      <c r="A377" s="221"/>
      <c r="B377" s="237">
        <f t="shared" si="449"/>
        <v>45998</v>
      </c>
      <c r="C377" s="238">
        <f t="shared" si="445"/>
        <v>45998</v>
      </c>
      <c r="D377" s="239">
        <f>目標_2025R7!D361</f>
        <v>1</v>
      </c>
      <c r="E377" s="240">
        <f>IF(D377=1,'適正原価率表(仕入れお小遣い制度)'!$J$26,0)</f>
        <v>16029.767837012105</v>
      </c>
      <c r="F377" s="240">
        <f t="shared" si="450"/>
        <v>96178.607022072625</v>
      </c>
      <c r="G377" s="241"/>
      <c r="H377" s="240">
        <f t="shared" si="451"/>
        <v>0</v>
      </c>
      <c r="I377" s="242">
        <f t="shared" si="446"/>
        <v>96178.607022072625</v>
      </c>
      <c r="J377" s="230"/>
      <c r="K377" s="237">
        <f t="shared" si="444"/>
        <v>45998</v>
      </c>
      <c r="L377" s="243">
        <f t="shared" ref="L377:M377" si="460">C377</f>
        <v>45998</v>
      </c>
      <c r="M377" s="244">
        <f t="shared" si="460"/>
        <v>1</v>
      </c>
      <c r="N377" s="240">
        <f>IF(M377=1,'適正原価率表(仕入れお小遣い制度)'!$J$27,0)</f>
        <v>13024.828314844162</v>
      </c>
      <c r="O377" s="240">
        <f t="shared" si="453"/>
        <v>78148.969889064974</v>
      </c>
      <c r="P377" s="241"/>
      <c r="Q377" s="240">
        <f t="shared" si="454"/>
        <v>0</v>
      </c>
      <c r="R377" s="242">
        <f t="shared" si="448"/>
        <v>78148.969889064974</v>
      </c>
      <c r="S377" s="221"/>
      <c r="T377" s="245">
        <f t="shared" si="455"/>
        <v>45998</v>
      </c>
      <c r="U377" s="221"/>
      <c r="V377" s="221"/>
      <c r="W377" s="221"/>
      <c r="X377" s="221"/>
      <c r="Y377" s="221"/>
      <c r="Z377" s="221"/>
    </row>
    <row r="378" spans="1:26" ht="18.75" customHeight="1" outlineLevel="1">
      <c r="A378" s="221"/>
      <c r="B378" s="237">
        <f t="shared" si="449"/>
        <v>45999</v>
      </c>
      <c r="C378" s="238">
        <f t="shared" si="445"/>
        <v>45999</v>
      </c>
      <c r="D378" s="239">
        <f>目標_2025R7!D362</f>
        <v>0</v>
      </c>
      <c r="E378" s="240">
        <f>IF(D378=1,'適正原価率表(仕入れお小遣い制度)'!$J$26,0)</f>
        <v>0</v>
      </c>
      <c r="F378" s="240">
        <f t="shared" si="450"/>
        <v>0</v>
      </c>
      <c r="G378" s="241"/>
      <c r="H378" s="240">
        <f t="shared" si="451"/>
        <v>0</v>
      </c>
      <c r="I378" s="242">
        <f t="shared" si="446"/>
        <v>0</v>
      </c>
      <c r="J378" s="230"/>
      <c r="K378" s="237">
        <f t="shared" si="444"/>
        <v>45999</v>
      </c>
      <c r="L378" s="243">
        <f t="shared" ref="L378:M378" si="461">C378</f>
        <v>45999</v>
      </c>
      <c r="M378" s="244">
        <f t="shared" si="461"/>
        <v>0</v>
      </c>
      <c r="N378" s="240">
        <f>IF(M378=1,'適正原価率表(仕入れお小遣い制度)'!$J$27,0)</f>
        <v>0</v>
      </c>
      <c r="O378" s="240">
        <f t="shared" si="453"/>
        <v>0</v>
      </c>
      <c r="P378" s="241"/>
      <c r="Q378" s="240">
        <f t="shared" si="454"/>
        <v>0</v>
      </c>
      <c r="R378" s="242">
        <f t="shared" si="448"/>
        <v>0</v>
      </c>
      <c r="S378" s="221"/>
      <c r="T378" s="245">
        <f t="shared" si="455"/>
        <v>45999</v>
      </c>
      <c r="U378" s="221"/>
      <c r="V378" s="221"/>
      <c r="W378" s="221"/>
      <c r="X378" s="221"/>
      <c r="Y378" s="221"/>
      <c r="Z378" s="221"/>
    </row>
    <row r="379" spans="1:26" ht="18.75" customHeight="1" outlineLevel="1">
      <c r="A379" s="221"/>
      <c r="B379" s="237">
        <f t="shared" si="449"/>
        <v>46000</v>
      </c>
      <c r="C379" s="238">
        <f t="shared" si="445"/>
        <v>46000</v>
      </c>
      <c r="D379" s="239">
        <f>目標_2025R7!D363</f>
        <v>1</v>
      </c>
      <c r="E379" s="240">
        <f>IF(D379=1,'適正原価率表(仕入れお小遣い制度)'!$J$26,0)</f>
        <v>16029.767837012105</v>
      </c>
      <c r="F379" s="240">
        <f t="shared" si="450"/>
        <v>112208.37485908472</v>
      </c>
      <c r="G379" s="241"/>
      <c r="H379" s="240">
        <f t="shared" si="451"/>
        <v>0</v>
      </c>
      <c r="I379" s="242">
        <f t="shared" si="446"/>
        <v>112208.37485908472</v>
      </c>
      <c r="J379" s="230"/>
      <c r="K379" s="237">
        <f t="shared" si="444"/>
        <v>46000</v>
      </c>
      <c r="L379" s="243">
        <f t="shared" ref="L379:M379" si="462">C379</f>
        <v>46000</v>
      </c>
      <c r="M379" s="244">
        <f t="shared" si="462"/>
        <v>1</v>
      </c>
      <c r="N379" s="240">
        <f>IF(M379=1,'適正原価率表(仕入れお小遣い制度)'!$J$27,0)</f>
        <v>13024.828314844162</v>
      </c>
      <c r="O379" s="240">
        <f t="shared" si="453"/>
        <v>91173.798203909129</v>
      </c>
      <c r="P379" s="241"/>
      <c r="Q379" s="240">
        <f t="shared" si="454"/>
        <v>0</v>
      </c>
      <c r="R379" s="242">
        <f t="shared" si="448"/>
        <v>91173.798203909129</v>
      </c>
      <c r="S379" s="221"/>
      <c r="T379" s="245">
        <f t="shared" si="455"/>
        <v>46000</v>
      </c>
      <c r="U379" s="221"/>
      <c r="V379" s="221"/>
      <c r="W379" s="221"/>
      <c r="X379" s="221"/>
      <c r="Y379" s="221"/>
      <c r="Z379" s="221"/>
    </row>
    <row r="380" spans="1:26" ht="18.75" customHeight="1" outlineLevel="1">
      <c r="A380" s="221"/>
      <c r="B380" s="237">
        <f t="shared" si="449"/>
        <v>46001</v>
      </c>
      <c r="C380" s="238">
        <f t="shared" si="445"/>
        <v>46001</v>
      </c>
      <c r="D380" s="239">
        <f>目標_2025R7!D364</f>
        <v>1</v>
      </c>
      <c r="E380" s="240">
        <f>IF(D380=1,'適正原価率表(仕入れお小遣い制度)'!$J$26,0)</f>
        <v>16029.767837012105</v>
      </c>
      <c r="F380" s="240">
        <f t="shared" si="450"/>
        <v>128238.14269609682</v>
      </c>
      <c r="G380" s="241"/>
      <c r="H380" s="240">
        <f t="shared" si="451"/>
        <v>0</v>
      </c>
      <c r="I380" s="242">
        <f t="shared" si="446"/>
        <v>128238.14269609682</v>
      </c>
      <c r="J380" s="230"/>
      <c r="K380" s="237">
        <f t="shared" si="444"/>
        <v>46001</v>
      </c>
      <c r="L380" s="243">
        <f t="shared" ref="L380:M380" si="463">C380</f>
        <v>46001</v>
      </c>
      <c r="M380" s="244">
        <f t="shared" si="463"/>
        <v>1</v>
      </c>
      <c r="N380" s="240">
        <f>IF(M380=1,'適正原価率表(仕入れお小遣い制度)'!$J$27,0)</f>
        <v>13024.828314844162</v>
      </c>
      <c r="O380" s="240">
        <f t="shared" si="453"/>
        <v>104198.6265187533</v>
      </c>
      <c r="P380" s="241"/>
      <c r="Q380" s="240">
        <f t="shared" si="454"/>
        <v>0</v>
      </c>
      <c r="R380" s="242">
        <f t="shared" si="448"/>
        <v>104198.6265187533</v>
      </c>
      <c r="S380" s="221"/>
      <c r="T380" s="245">
        <f t="shared" si="455"/>
        <v>46001</v>
      </c>
      <c r="U380" s="221"/>
      <c r="V380" s="221"/>
      <c r="W380" s="221"/>
      <c r="X380" s="221"/>
      <c r="Y380" s="221"/>
      <c r="Z380" s="221"/>
    </row>
    <row r="381" spans="1:26" ht="18.75" customHeight="1" outlineLevel="1">
      <c r="A381" s="221"/>
      <c r="B381" s="237">
        <f t="shared" si="449"/>
        <v>46002</v>
      </c>
      <c r="C381" s="238">
        <f t="shared" si="445"/>
        <v>46002</v>
      </c>
      <c r="D381" s="239">
        <f>目標_2025R7!D365</f>
        <v>1</v>
      </c>
      <c r="E381" s="240">
        <f>IF(D381=1,'適正原価率表(仕入れお小遣い制度)'!$J$26,0)</f>
        <v>16029.767837012105</v>
      </c>
      <c r="F381" s="240">
        <f t="shared" si="450"/>
        <v>144267.91053310892</v>
      </c>
      <c r="G381" s="241"/>
      <c r="H381" s="240">
        <f t="shared" si="451"/>
        <v>0</v>
      </c>
      <c r="I381" s="242">
        <f t="shared" si="446"/>
        <v>144267.91053310892</v>
      </c>
      <c r="J381" s="230"/>
      <c r="K381" s="237">
        <f t="shared" si="444"/>
        <v>46002</v>
      </c>
      <c r="L381" s="243">
        <f t="shared" ref="L381:M381" si="464">C381</f>
        <v>46002</v>
      </c>
      <c r="M381" s="244">
        <f t="shared" si="464"/>
        <v>1</v>
      </c>
      <c r="N381" s="240">
        <f>IF(M381=1,'適正原価率表(仕入れお小遣い制度)'!$J$27,0)</f>
        <v>13024.828314844162</v>
      </c>
      <c r="O381" s="240">
        <f t="shared" si="453"/>
        <v>117223.45483359747</v>
      </c>
      <c r="P381" s="241"/>
      <c r="Q381" s="240">
        <f t="shared" si="454"/>
        <v>0</v>
      </c>
      <c r="R381" s="242">
        <f t="shared" si="448"/>
        <v>117223.45483359747</v>
      </c>
      <c r="S381" s="221"/>
      <c r="T381" s="245">
        <f t="shared" si="455"/>
        <v>46002</v>
      </c>
      <c r="U381" s="221"/>
      <c r="V381" s="221"/>
      <c r="W381" s="221"/>
      <c r="X381" s="221"/>
      <c r="Y381" s="221"/>
      <c r="Z381" s="221"/>
    </row>
    <row r="382" spans="1:26" ht="18.75" customHeight="1" outlineLevel="1">
      <c r="A382" s="221"/>
      <c r="B382" s="237">
        <f t="shared" si="449"/>
        <v>46003</v>
      </c>
      <c r="C382" s="238">
        <f t="shared" si="445"/>
        <v>46003</v>
      </c>
      <c r="D382" s="239">
        <f>目標_2025R7!D366</f>
        <v>1</v>
      </c>
      <c r="E382" s="240">
        <f>IF(D382=1,'適正原価率表(仕入れお小遣い制度)'!$J$26,0)</f>
        <v>16029.767837012105</v>
      </c>
      <c r="F382" s="240">
        <f t="shared" si="450"/>
        <v>160297.67837012102</v>
      </c>
      <c r="G382" s="241"/>
      <c r="H382" s="240">
        <f t="shared" si="451"/>
        <v>0</v>
      </c>
      <c r="I382" s="242">
        <f t="shared" si="446"/>
        <v>160297.67837012102</v>
      </c>
      <c r="J382" s="230"/>
      <c r="K382" s="237">
        <f t="shared" si="444"/>
        <v>46003</v>
      </c>
      <c r="L382" s="243">
        <f t="shared" ref="L382:M382" si="465">C382</f>
        <v>46003</v>
      </c>
      <c r="M382" s="244">
        <f t="shared" si="465"/>
        <v>1</v>
      </c>
      <c r="N382" s="240">
        <f>IF(M382=1,'適正原価率表(仕入れお小遣い制度)'!$J$27,0)</f>
        <v>13024.828314844162</v>
      </c>
      <c r="O382" s="240">
        <f t="shared" si="453"/>
        <v>130248.28314844164</v>
      </c>
      <c r="P382" s="241"/>
      <c r="Q382" s="240">
        <f t="shared" si="454"/>
        <v>0</v>
      </c>
      <c r="R382" s="242">
        <f t="shared" si="448"/>
        <v>130248.28314844164</v>
      </c>
      <c r="S382" s="221"/>
      <c r="T382" s="245">
        <f t="shared" si="455"/>
        <v>46003</v>
      </c>
      <c r="U382" s="221"/>
      <c r="V382" s="221"/>
      <c r="W382" s="221"/>
      <c r="X382" s="221"/>
      <c r="Y382" s="221"/>
      <c r="Z382" s="221"/>
    </row>
    <row r="383" spans="1:26" ht="18.75" customHeight="1" outlineLevel="1">
      <c r="A383" s="221"/>
      <c r="B383" s="237">
        <f t="shared" si="449"/>
        <v>46004</v>
      </c>
      <c r="C383" s="238">
        <f t="shared" si="445"/>
        <v>46004</v>
      </c>
      <c r="D383" s="239">
        <f>目標_2025R7!D367</f>
        <v>1</v>
      </c>
      <c r="E383" s="240">
        <f>IF(D383=1,'適正原価率表(仕入れお小遣い制度)'!$J$26,0)</f>
        <v>16029.767837012105</v>
      </c>
      <c r="F383" s="240">
        <f t="shared" si="450"/>
        <v>176327.44620713312</v>
      </c>
      <c r="G383" s="241"/>
      <c r="H383" s="240">
        <f t="shared" si="451"/>
        <v>0</v>
      </c>
      <c r="I383" s="242">
        <f t="shared" si="446"/>
        <v>176327.44620713312</v>
      </c>
      <c r="J383" s="230"/>
      <c r="K383" s="237">
        <f t="shared" si="444"/>
        <v>46004</v>
      </c>
      <c r="L383" s="243">
        <f t="shared" ref="L383:M383" si="466">C383</f>
        <v>46004</v>
      </c>
      <c r="M383" s="244">
        <f t="shared" si="466"/>
        <v>1</v>
      </c>
      <c r="N383" s="240">
        <f>IF(M383=1,'適正原価率表(仕入れお小遣い制度)'!$J$27,0)</f>
        <v>13024.828314844162</v>
      </c>
      <c r="O383" s="240">
        <f t="shared" si="453"/>
        <v>143273.11146328581</v>
      </c>
      <c r="P383" s="241"/>
      <c r="Q383" s="240">
        <f t="shared" si="454"/>
        <v>0</v>
      </c>
      <c r="R383" s="242">
        <f t="shared" si="448"/>
        <v>143273.11146328581</v>
      </c>
      <c r="S383" s="221"/>
      <c r="T383" s="245">
        <f t="shared" si="455"/>
        <v>46004</v>
      </c>
      <c r="U383" s="221"/>
      <c r="V383" s="221"/>
      <c r="W383" s="221"/>
      <c r="X383" s="221"/>
      <c r="Y383" s="221"/>
      <c r="Z383" s="221"/>
    </row>
    <row r="384" spans="1:26" ht="18.75" customHeight="1" outlineLevel="1">
      <c r="A384" s="221"/>
      <c r="B384" s="237">
        <f t="shared" si="449"/>
        <v>46005</v>
      </c>
      <c r="C384" s="238">
        <f t="shared" si="445"/>
        <v>46005</v>
      </c>
      <c r="D384" s="239">
        <f>目標_2025R7!D368</f>
        <v>1</v>
      </c>
      <c r="E384" s="240">
        <f>IF(D384=1,'適正原価率表(仕入れお小遣い制度)'!$J$26,0)</f>
        <v>16029.767837012105</v>
      </c>
      <c r="F384" s="240">
        <f t="shared" si="450"/>
        <v>192357.21404414522</v>
      </c>
      <c r="G384" s="241"/>
      <c r="H384" s="240">
        <f t="shared" si="451"/>
        <v>0</v>
      </c>
      <c r="I384" s="242">
        <f t="shared" si="446"/>
        <v>192357.21404414522</v>
      </c>
      <c r="J384" s="230"/>
      <c r="K384" s="237">
        <f t="shared" si="444"/>
        <v>46005</v>
      </c>
      <c r="L384" s="243">
        <f t="shared" ref="L384:M384" si="467">C384</f>
        <v>46005</v>
      </c>
      <c r="M384" s="244">
        <f t="shared" si="467"/>
        <v>1</v>
      </c>
      <c r="N384" s="240">
        <f>IF(M384=1,'適正原価率表(仕入れお小遣い制度)'!$J$27,0)</f>
        <v>13024.828314844162</v>
      </c>
      <c r="O384" s="240">
        <f t="shared" si="453"/>
        <v>156297.93977812998</v>
      </c>
      <c r="P384" s="241"/>
      <c r="Q384" s="240">
        <f t="shared" si="454"/>
        <v>0</v>
      </c>
      <c r="R384" s="242">
        <f t="shared" si="448"/>
        <v>156297.93977812998</v>
      </c>
      <c r="S384" s="221"/>
      <c r="T384" s="245">
        <f t="shared" si="455"/>
        <v>46005</v>
      </c>
      <c r="U384" s="221"/>
      <c r="V384" s="221"/>
      <c r="W384" s="221"/>
      <c r="X384" s="221"/>
      <c r="Y384" s="221"/>
      <c r="Z384" s="221"/>
    </row>
    <row r="385" spans="1:26" ht="18.75" customHeight="1" outlineLevel="1">
      <c r="A385" s="221"/>
      <c r="B385" s="237">
        <f t="shared" si="449"/>
        <v>46006</v>
      </c>
      <c r="C385" s="238">
        <f t="shared" si="445"/>
        <v>46006</v>
      </c>
      <c r="D385" s="239">
        <f>目標_2025R7!D369</f>
        <v>0</v>
      </c>
      <c r="E385" s="240">
        <f>IF(D385=1,'適正原価率表(仕入れお小遣い制度)'!$J$26,0)</f>
        <v>0</v>
      </c>
      <c r="F385" s="240">
        <f t="shared" si="450"/>
        <v>0</v>
      </c>
      <c r="G385" s="241"/>
      <c r="H385" s="240">
        <f t="shared" si="451"/>
        <v>0</v>
      </c>
      <c r="I385" s="242">
        <f t="shared" si="446"/>
        <v>0</v>
      </c>
      <c r="J385" s="230"/>
      <c r="K385" s="237">
        <f t="shared" si="444"/>
        <v>46006</v>
      </c>
      <c r="L385" s="243">
        <f t="shared" ref="L385:M385" si="468">C385</f>
        <v>46006</v>
      </c>
      <c r="M385" s="244">
        <f t="shared" si="468"/>
        <v>0</v>
      </c>
      <c r="N385" s="240">
        <f>IF(M385=1,'適正原価率表(仕入れお小遣い制度)'!$J$27,0)</f>
        <v>0</v>
      </c>
      <c r="O385" s="240">
        <f t="shared" si="453"/>
        <v>0</v>
      </c>
      <c r="P385" s="241"/>
      <c r="Q385" s="240">
        <f t="shared" si="454"/>
        <v>0</v>
      </c>
      <c r="R385" s="242">
        <f t="shared" si="448"/>
        <v>0</v>
      </c>
      <c r="S385" s="221"/>
      <c r="T385" s="245">
        <f t="shared" si="455"/>
        <v>46006</v>
      </c>
      <c r="U385" s="221"/>
      <c r="V385" s="221"/>
      <c r="W385" s="221"/>
      <c r="X385" s="221"/>
      <c r="Y385" s="221"/>
      <c r="Z385" s="221"/>
    </row>
    <row r="386" spans="1:26" ht="18.75" customHeight="1" outlineLevel="1">
      <c r="A386" s="221"/>
      <c r="B386" s="237">
        <f t="shared" si="449"/>
        <v>46007</v>
      </c>
      <c r="C386" s="238">
        <f t="shared" si="445"/>
        <v>46007</v>
      </c>
      <c r="D386" s="239">
        <f>目標_2025R7!D370</f>
        <v>1</v>
      </c>
      <c r="E386" s="240">
        <f>IF(D386=1,'適正原価率表(仕入れお小遣い制度)'!$J$26,0)</f>
        <v>16029.767837012105</v>
      </c>
      <c r="F386" s="240">
        <f t="shared" si="450"/>
        <v>208386.98188115732</v>
      </c>
      <c r="G386" s="241"/>
      <c r="H386" s="240">
        <f t="shared" si="451"/>
        <v>0</v>
      </c>
      <c r="I386" s="242">
        <f t="shared" si="446"/>
        <v>208386.98188115732</v>
      </c>
      <c r="J386" s="230"/>
      <c r="K386" s="237">
        <f t="shared" si="444"/>
        <v>46007</v>
      </c>
      <c r="L386" s="243">
        <f t="shared" ref="L386:M386" si="469">C386</f>
        <v>46007</v>
      </c>
      <c r="M386" s="244">
        <f t="shared" si="469"/>
        <v>1</v>
      </c>
      <c r="N386" s="240">
        <f>IF(M386=1,'適正原価率表(仕入れお小遣い制度)'!$J$27,0)</f>
        <v>13024.828314844162</v>
      </c>
      <c r="O386" s="240">
        <f t="shared" si="453"/>
        <v>169322.76809297415</v>
      </c>
      <c r="P386" s="241"/>
      <c r="Q386" s="240">
        <f t="shared" si="454"/>
        <v>0</v>
      </c>
      <c r="R386" s="242">
        <f t="shared" si="448"/>
        <v>169322.76809297415</v>
      </c>
      <c r="S386" s="221"/>
      <c r="T386" s="245">
        <f t="shared" si="455"/>
        <v>46007</v>
      </c>
      <c r="U386" s="221"/>
      <c r="V386" s="221"/>
      <c r="W386" s="221"/>
      <c r="X386" s="221"/>
      <c r="Y386" s="221"/>
      <c r="Z386" s="221"/>
    </row>
    <row r="387" spans="1:26" ht="18.75" customHeight="1" outlineLevel="1">
      <c r="A387" s="221"/>
      <c r="B387" s="237">
        <f t="shared" si="449"/>
        <v>46008</v>
      </c>
      <c r="C387" s="238">
        <f t="shared" si="445"/>
        <v>46008</v>
      </c>
      <c r="D387" s="239">
        <f>目標_2025R7!D371</f>
        <v>1</v>
      </c>
      <c r="E387" s="240">
        <f>IF(D387=1,'適正原価率表(仕入れお小遣い制度)'!$J$26,0)</f>
        <v>16029.767837012105</v>
      </c>
      <c r="F387" s="240">
        <f t="shared" si="450"/>
        <v>224416.74971816942</v>
      </c>
      <c r="G387" s="241"/>
      <c r="H387" s="240">
        <f t="shared" si="451"/>
        <v>0</v>
      </c>
      <c r="I387" s="242">
        <f t="shared" si="446"/>
        <v>224416.74971816942</v>
      </c>
      <c r="J387" s="230"/>
      <c r="K387" s="237">
        <f t="shared" si="444"/>
        <v>46008</v>
      </c>
      <c r="L387" s="243">
        <f t="shared" ref="L387:M387" si="470">C387</f>
        <v>46008</v>
      </c>
      <c r="M387" s="244">
        <f t="shared" si="470"/>
        <v>1</v>
      </c>
      <c r="N387" s="240">
        <f>IF(M387=1,'適正原価率表(仕入れお小遣い制度)'!$J$27,0)</f>
        <v>13024.828314844162</v>
      </c>
      <c r="O387" s="240">
        <f t="shared" si="453"/>
        <v>182347.59640781832</v>
      </c>
      <c r="P387" s="241"/>
      <c r="Q387" s="240">
        <f t="shared" si="454"/>
        <v>0</v>
      </c>
      <c r="R387" s="242">
        <f t="shared" si="448"/>
        <v>182347.59640781832</v>
      </c>
      <c r="S387" s="221"/>
      <c r="T387" s="245">
        <f t="shared" si="455"/>
        <v>46008</v>
      </c>
      <c r="U387" s="221"/>
      <c r="V387" s="221"/>
      <c r="W387" s="221"/>
      <c r="X387" s="221"/>
      <c r="Y387" s="221"/>
      <c r="Z387" s="221"/>
    </row>
    <row r="388" spans="1:26" ht="18.75" customHeight="1" outlineLevel="1">
      <c r="A388" s="221"/>
      <c r="B388" s="237">
        <f t="shared" si="449"/>
        <v>46009</v>
      </c>
      <c r="C388" s="238">
        <f t="shared" si="445"/>
        <v>46009</v>
      </c>
      <c r="D388" s="239">
        <f>目標_2025R7!D372</f>
        <v>1</v>
      </c>
      <c r="E388" s="240">
        <f>IF(D388=1,'適正原価率表(仕入れお小遣い制度)'!$J$26,0)</f>
        <v>16029.767837012105</v>
      </c>
      <c r="F388" s="240">
        <f t="shared" si="450"/>
        <v>240446.51755518152</v>
      </c>
      <c r="G388" s="241"/>
      <c r="H388" s="240">
        <f t="shared" si="451"/>
        <v>0</v>
      </c>
      <c r="I388" s="242">
        <f t="shared" si="446"/>
        <v>240446.51755518152</v>
      </c>
      <c r="J388" s="230"/>
      <c r="K388" s="237">
        <f t="shared" si="444"/>
        <v>46009</v>
      </c>
      <c r="L388" s="243">
        <f t="shared" ref="L388:M388" si="471">C388</f>
        <v>46009</v>
      </c>
      <c r="M388" s="244">
        <f t="shared" si="471"/>
        <v>1</v>
      </c>
      <c r="N388" s="240">
        <f>IF(M388=1,'適正原価率表(仕入れお小遣い制度)'!$J$27,0)</f>
        <v>13024.828314844162</v>
      </c>
      <c r="O388" s="240">
        <f t="shared" si="453"/>
        <v>195372.42472266249</v>
      </c>
      <c r="P388" s="241"/>
      <c r="Q388" s="240">
        <f t="shared" si="454"/>
        <v>0</v>
      </c>
      <c r="R388" s="242">
        <f t="shared" si="448"/>
        <v>195372.42472266249</v>
      </c>
      <c r="S388" s="221"/>
      <c r="T388" s="245">
        <f t="shared" si="455"/>
        <v>46009</v>
      </c>
      <c r="U388" s="221"/>
      <c r="V388" s="221"/>
      <c r="W388" s="221"/>
      <c r="X388" s="221"/>
      <c r="Y388" s="221"/>
      <c r="Z388" s="221"/>
    </row>
    <row r="389" spans="1:26" ht="18.75" customHeight="1" outlineLevel="1">
      <c r="A389" s="221"/>
      <c r="B389" s="237">
        <f t="shared" si="449"/>
        <v>46010</v>
      </c>
      <c r="C389" s="238">
        <f t="shared" si="445"/>
        <v>46010</v>
      </c>
      <c r="D389" s="239">
        <f>目標_2025R7!D373</f>
        <v>1</v>
      </c>
      <c r="E389" s="240">
        <f>IF(D389=1,'適正原価率表(仕入れお小遣い制度)'!$J$26,0)</f>
        <v>16029.767837012105</v>
      </c>
      <c r="F389" s="240">
        <f t="shared" si="450"/>
        <v>256476.28539219362</v>
      </c>
      <c r="G389" s="241"/>
      <c r="H389" s="240">
        <f t="shared" si="451"/>
        <v>0</v>
      </c>
      <c r="I389" s="242">
        <f t="shared" si="446"/>
        <v>256476.28539219362</v>
      </c>
      <c r="J389" s="230"/>
      <c r="K389" s="237">
        <f t="shared" si="444"/>
        <v>46010</v>
      </c>
      <c r="L389" s="243">
        <f t="shared" ref="L389:M389" si="472">C389</f>
        <v>46010</v>
      </c>
      <c r="M389" s="244">
        <f t="shared" si="472"/>
        <v>1</v>
      </c>
      <c r="N389" s="240">
        <f>IF(M389=1,'適正原価率表(仕入れお小遣い制度)'!$J$27,0)</f>
        <v>13024.828314844162</v>
      </c>
      <c r="O389" s="240">
        <f t="shared" si="453"/>
        <v>208397.25303750666</v>
      </c>
      <c r="P389" s="241"/>
      <c r="Q389" s="240">
        <f t="shared" si="454"/>
        <v>0</v>
      </c>
      <c r="R389" s="242">
        <f t="shared" si="448"/>
        <v>208397.25303750666</v>
      </c>
      <c r="S389" s="221"/>
      <c r="T389" s="245">
        <f t="shared" si="455"/>
        <v>46010</v>
      </c>
      <c r="U389" s="221"/>
      <c r="V389" s="221"/>
      <c r="W389" s="221"/>
      <c r="X389" s="221"/>
      <c r="Y389" s="221"/>
      <c r="Z389" s="221"/>
    </row>
    <row r="390" spans="1:26" ht="18.75" customHeight="1" outlineLevel="1">
      <c r="A390" s="221"/>
      <c r="B390" s="237">
        <f t="shared" si="449"/>
        <v>46011</v>
      </c>
      <c r="C390" s="238">
        <f t="shared" si="445"/>
        <v>46011</v>
      </c>
      <c r="D390" s="239">
        <f>目標_2025R7!D374</f>
        <v>1</v>
      </c>
      <c r="E390" s="240">
        <f>IF(D390=1,'適正原価率表(仕入れお小遣い制度)'!$J$26,0)</f>
        <v>16029.767837012105</v>
      </c>
      <c r="F390" s="240">
        <f t="shared" si="450"/>
        <v>272506.05322920572</v>
      </c>
      <c r="G390" s="241"/>
      <c r="H390" s="240">
        <f t="shared" si="451"/>
        <v>0</v>
      </c>
      <c r="I390" s="242">
        <f t="shared" si="446"/>
        <v>272506.05322920572</v>
      </c>
      <c r="J390" s="230"/>
      <c r="K390" s="237">
        <f t="shared" si="444"/>
        <v>46011</v>
      </c>
      <c r="L390" s="243">
        <f t="shared" ref="L390:M390" si="473">C390</f>
        <v>46011</v>
      </c>
      <c r="M390" s="244">
        <f t="shared" si="473"/>
        <v>1</v>
      </c>
      <c r="N390" s="240">
        <f>IF(M390=1,'適正原価率表(仕入れお小遣い制度)'!$J$27,0)</f>
        <v>13024.828314844162</v>
      </c>
      <c r="O390" s="240">
        <f t="shared" si="453"/>
        <v>221422.08135235083</v>
      </c>
      <c r="P390" s="241"/>
      <c r="Q390" s="240">
        <f t="shared" si="454"/>
        <v>0</v>
      </c>
      <c r="R390" s="242">
        <f t="shared" si="448"/>
        <v>221422.08135235083</v>
      </c>
      <c r="S390" s="221"/>
      <c r="T390" s="245">
        <f t="shared" si="455"/>
        <v>46011</v>
      </c>
      <c r="U390" s="221"/>
      <c r="V390" s="221"/>
      <c r="W390" s="221"/>
      <c r="X390" s="221"/>
      <c r="Y390" s="221"/>
      <c r="Z390" s="221"/>
    </row>
    <row r="391" spans="1:26" ht="18.75" customHeight="1" outlineLevel="1">
      <c r="A391" s="221"/>
      <c r="B391" s="237">
        <f t="shared" si="449"/>
        <v>46012</v>
      </c>
      <c r="C391" s="238">
        <f t="shared" si="445"/>
        <v>46012</v>
      </c>
      <c r="D391" s="239">
        <f>目標_2025R7!D375</f>
        <v>1</v>
      </c>
      <c r="E391" s="240">
        <f>IF(D391=1,'適正原価率表(仕入れお小遣い制度)'!$J$26,0)</f>
        <v>16029.767837012105</v>
      </c>
      <c r="F391" s="240">
        <f t="shared" si="450"/>
        <v>288535.82106621785</v>
      </c>
      <c r="G391" s="241"/>
      <c r="H391" s="240">
        <f t="shared" si="451"/>
        <v>0</v>
      </c>
      <c r="I391" s="242">
        <f t="shared" si="446"/>
        <v>288535.82106621785</v>
      </c>
      <c r="J391" s="230"/>
      <c r="K391" s="237">
        <f t="shared" si="444"/>
        <v>46012</v>
      </c>
      <c r="L391" s="243">
        <f t="shared" ref="L391:M391" si="474">C391</f>
        <v>46012</v>
      </c>
      <c r="M391" s="244">
        <f t="shared" si="474"/>
        <v>1</v>
      </c>
      <c r="N391" s="240">
        <f>IF(M391=1,'適正原価率表(仕入れお小遣い制度)'!$J$27,0)</f>
        <v>13024.828314844162</v>
      </c>
      <c r="O391" s="240">
        <f t="shared" si="453"/>
        <v>234446.909667195</v>
      </c>
      <c r="P391" s="241"/>
      <c r="Q391" s="240">
        <f t="shared" si="454"/>
        <v>0</v>
      </c>
      <c r="R391" s="242">
        <f t="shared" si="448"/>
        <v>234446.909667195</v>
      </c>
      <c r="S391" s="221"/>
      <c r="T391" s="245">
        <f t="shared" si="455"/>
        <v>46012</v>
      </c>
      <c r="U391" s="221"/>
      <c r="V391" s="221"/>
      <c r="W391" s="221"/>
      <c r="X391" s="221"/>
      <c r="Y391" s="221"/>
      <c r="Z391" s="221"/>
    </row>
    <row r="392" spans="1:26" ht="18.75" customHeight="1" outlineLevel="1">
      <c r="A392" s="221"/>
      <c r="B392" s="237">
        <f t="shared" si="449"/>
        <v>46013</v>
      </c>
      <c r="C392" s="238">
        <f t="shared" si="445"/>
        <v>46013</v>
      </c>
      <c r="D392" s="239">
        <f>目標_2025R7!D376</f>
        <v>0</v>
      </c>
      <c r="E392" s="240">
        <f>IF(D392=1,'適正原価率表(仕入れお小遣い制度)'!$J$26,0)</f>
        <v>0</v>
      </c>
      <c r="F392" s="240">
        <f t="shared" si="450"/>
        <v>0</v>
      </c>
      <c r="G392" s="241"/>
      <c r="H392" s="240">
        <f t="shared" si="451"/>
        <v>0</v>
      </c>
      <c r="I392" s="242">
        <f t="shared" si="446"/>
        <v>0</v>
      </c>
      <c r="J392" s="230"/>
      <c r="K392" s="237">
        <f t="shared" si="444"/>
        <v>46013</v>
      </c>
      <c r="L392" s="243">
        <f t="shared" ref="L392:M392" si="475">C392</f>
        <v>46013</v>
      </c>
      <c r="M392" s="244">
        <f t="shared" si="475"/>
        <v>0</v>
      </c>
      <c r="N392" s="240">
        <f>IF(M392=1,'適正原価率表(仕入れお小遣い制度)'!$J$27,0)</f>
        <v>0</v>
      </c>
      <c r="O392" s="240">
        <f t="shared" si="453"/>
        <v>0</v>
      </c>
      <c r="P392" s="241"/>
      <c r="Q392" s="240">
        <f t="shared" si="454"/>
        <v>0</v>
      </c>
      <c r="R392" s="242">
        <f t="shared" si="448"/>
        <v>0</v>
      </c>
      <c r="S392" s="221"/>
      <c r="T392" s="245">
        <f t="shared" si="455"/>
        <v>46013</v>
      </c>
      <c r="U392" s="221"/>
      <c r="V392" s="221"/>
      <c r="W392" s="221"/>
      <c r="X392" s="221"/>
      <c r="Y392" s="221"/>
      <c r="Z392" s="221"/>
    </row>
    <row r="393" spans="1:26" ht="18.75" customHeight="1" outlineLevel="1">
      <c r="A393" s="221"/>
      <c r="B393" s="237">
        <f t="shared" si="449"/>
        <v>46014</v>
      </c>
      <c r="C393" s="238">
        <f t="shared" si="445"/>
        <v>46014</v>
      </c>
      <c r="D393" s="239">
        <f>目標_2025R7!D377</f>
        <v>1</v>
      </c>
      <c r="E393" s="240">
        <f>IF(D393=1,'適正原価率表(仕入れお小遣い制度)'!$J$26,0)</f>
        <v>16029.767837012105</v>
      </c>
      <c r="F393" s="240">
        <f t="shared" si="450"/>
        <v>304565.58890322997</v>
      </c>
      <c r="G393" s="241"/>
      <c r="H393" s="240">
        <f t="shared" si="451"/>
        <v>0</v>
      </c>
      <c r="I393" s="242">
        <f t="shared" si="446"/>
        <v>304565.58890322997</v>
      </c>
      <c r="J393" s="230"/>
      <c r="K393" s="237">
        <f t="shared" si="444"/>
        <v>46014</v>
      </c>
      <c r="L393" s="243">
        <f t="shared" ref="L393:M393" si="476">C393</f>
        <v>46014</v>
      </c>
      <c r="M393" s="244">
        <f t="shared" si="476"/>
        <v>1</v>
      </c>
      <c r="N393" s="240">
        <f>IF(M393=1,'適正原価率表(仕入れお小遣い制度)'!$J$27,0)</f>
        <v>13024.828314844162</v>
      </c>
      <c r="O393" s="240">
        <f t="shared" si="453"/>
        <v>247471.73798203917</v>
      </c>
      <c r="P393" s="241"/>
      <c r="Q393" s="240">
        <f t="shared" si="454"/>
        <v>0</v>
      </c>
      <c r="R393" s="242">
        <f t="shared" si="448"/>
        <v>247471.73798203917</v>
      </c>
      <c r="S393" s="221"/>
      <c r="T393" s="245">
        <f t="shared" si="455"/>
        <v>46014</v>
      </c>
      <c r="U393" s="221"/>
      <c r="V393" s="221"/>
      <c r="W393" s="221"/>
      <c r="X393" s="221"/>
      <c r="Y393" s="221"/>
      <c r="Z393" s="221"/>
    </row>
    <row r="394" spans="1:26" ht="18.75" customHeight="1" outlineLevel="1">
      <c r="A394" s="221"/>
      <c r="B394" s="237">
        <f t="shared" si="449"/>
        <v>46015</v>
      </c>
      <c r="C394" s="238">
        <f t="shared" si="445"/>
        <v>46015</v>
      </c>
      <c r="D394" s="239">
        <f>目標_2025R7!D378</f>
        <v>1</v>
      </c>
      <c r="E394" s="240">
        <f>IF(D394=1,'適正原価率表(仕入れお小遣い制度)'!$J$26,0)</f>
        <v>16029.767837012105</v>
      </c>
      <c r="F394" s="240">
        <f t="shared" si="450"/>
        <v>320595.3567402421</v>
      </c>
      <c r="G394" s="241"/>
      <c r="H394" s="240">
        <f t="shared" si="451"/>
        <v>0</v>
      </c>
      <c r="I394" s="242">
        <f t="shared" si="446"/>
        <v>320595.3567402421</v>
      </c>
      <c r="J394" s="230"/>
      <c r="K394" s="237">
        <f t="shared" si="444"/>
        <v>46015</v>
      </c>
      <c r="L394" s="243">
        <f t="shared" ref="L394:M394" si="477">C394</f>
        <v>46015</v>
      </c>
      <c r="M394" s="244">
        <f t="shared" si="477"/>
        <v>1</v>
      </c>
      <c r="N394" s="240">
        <f>IF(M394=1,'適正原価率表(仕入れお小遣い制度)'!$J$27,0)</f>
        <v>13024.828314844162</v>
      </c>
      <c r="O394" s="240">
        <f t="shared" si="453"/>
        <v>260496.56629688333</v>
      </c>
      <c r="P394" s="241"/>
      <c r="Q394" s="240">
        <f t="shared" si="454"/>
        <v>0</v>
      </c>
      <c r="R394" s="242">
        <f t="shared" si="448"/>
        <v>260496.56629688333</v>
      </c>
      <c r="S394" s="221"/>
      <c r="T394" s="245">
        <f t="shared" si="455"/>
        <v>46015</v>
      </c>
      <c r="U394" s="221"/>
      <c r="V394" s="221"/>
      <c r="W394" s="221"/>
      <c r="X394" s="221"/>
      <c r="Y394" s="221"/>
      <c r="Z394" s="221"/>
    </row>
    <row r="395" spans="1:26" ht="18.75" customHeight="1" outlineLevel="1">
      <c r="A395" s="221"/>
      <c r="B395" s="237">
        <f t="shared" si="449"/>
        <v>46016</v>
      </c>
      <c r="C395" s="238">
        <f t="shared" si="445"/>
        <v>46016</v>
      </c>
      <c r="D395" s="239">
        <f>目標_2025R7!D379</f>
        <v>1</v>
      </c>
      <c r="E395" s="240">
        <f>IF(D395=1,'適正原価率表(仕入れお小遣い制度)'!$J$26,0)</f>
        <v>16029.767837012105</v>
      </c>
      <c r="F395" s="240">
        <f t="shared" si="450"/>
        <v>336625.12457725423</v>
      </c>
      <c r="G395" s="241"/>
      <c r="H395" s="240">
        <f t="shared" si="451"/>
        <v>0</v>
      </c>
      <c r="I395" s="242">
        <f t="shared" si="446"/>
        <v>336625.12457725423</v>
      </c>
      <c r="J395" s="230"/>
      <c r="K395" s="237">
        <f t="shared" si="444"/>
        <v>46016</v>
      </c>
      <c r="L395" s="243">
        <f t="shared" ref="L395:M395" si="478">C395</f>
        <v>46016</v>
      </c>
      <c r="M395" s="244">
        <f t="shared" si="478"/>
        <v>1</v>
      </c>
      <c r="N395" s="240">
        <f>IF(M395=1,'適正原価率表(仕入れお小遣い制度)'!$J$27,0)</f>
        <v>13024.828314844162</v>
      </c>
      <c r="O395" s="240">
        <f t="shared" si="453"/>
        <v>273521.3946117275</v>
      </c>
      <c r="P395" s="241"/>
      <c r="Q395" s="240">
        <f t="shared" si="454"/>
        <v>0</v>
      </c>
      <c r="R395" s="242">
        <f t="shared" si="448"/>
        <v>273521.3946117275</v>
      </c>
      <c r="S395" s="221"/>
      <c r="T395" s="245">
        <f t="shared" si="455"/>
        <v>46016</v>
      </c>
      <c r="U395" s="221"/>
      <c r="V395" s="221"/>
      <c r="W395" s="221"/>
      <c r="X395" s="221"/>
      <c r="Y395" s="221"/>
      <c r="Z395" s="221"/>
    </row>
    <row r="396" spans="1:26" ht="18.75" customHeight="1" outlineLevel="1">
      <c r="A396" s="221"/>
      <c r="B396" s="237">
        <f t="shared" si="449"/>
        <v>46017</v>
      </c>
      <c r="C396" s="238">
        <f t="shared" si="445"/>
        <v>46017</v>
      </c>
      <c r="D396" s="239">
        <f>目標_2025R7!D380</f>
        <v>1</v>
      </c>
      <c r="E396" s="240">
        <f>IF(D396=1,'適正原価率表(仕入れお小遣い制度)'!$J$26,0)</f>
        <v>16029.767837012105</v>
      </c>
      <c r="F396" s="240">
        <f t="shared" si="450"/>
        <v>352654.89241426636</v>
      </c>
      <c r="G396" s="241"/>
      <c r="H396" s="240">
        <f t="shared" si="451"/>
        <v>0</v>
      </c>
      <c r="I396" s="242">
        <f t="shared" si="446"/>
        <v>352654.89241426636</v>
      </c>
      <c r="J396" s="230"/>
      <c r="K396" s="237">
        <f t="shared" si="444"/>
        <v>46017</v>
      </c>
      <c r="L396" s="243">
        <f t="shared" ref="L396:M396" si="479">C396</f>
        <v>46017</v>
      </c>
      <c r="M396" s="244">
        <f t="shared" si="479"/>
        <v>1</v>
      </c>
      <c r="N396" s="240">
        <f>IF(M396=1,'適正原価率表(仕入れお小遣い制度)'!$J$27,0)</f>
        <v>13024.828314844162</v>
      </c>
      <c r="O396" s="240">
        <f t="shared" si="453"/>
        <v>286546.22292657167</v>
      </c>
      <c r="P396" s="241"/>
      <c r="Q396" s="240">
        <f t="shared" si="454"/>
        <v>0</v>
      </c>
      <c r="R396" s="242">
        <f t="shared" si="448"/>
        <v>286546.22292657167</v>
      </c>
      <c r="S396" s="221"/>
      <c r="T396" s="245">
        <f t="shared" si="455"/>
        <v>46017</v>
      </c>
      <c r="U396" s="221"/>
      <c r="V396" s="221"/>
      <c r="W396" s="221"/>
      <c r="X396" s="221"/>
      <c r="Y396" s="221"/>
      <c r="Z396" s="221"/>
    </row>
    <row r="397" spans="1:26" ht="18.75" customHeight="1" outlineLevel="1">
      <c r="A397" s="221"/>
      <c r="B397" s="237">
        <f t="shared" si="449"/>
        <v>46018</v>
      </c>
      <c r="C397" s="238">
        <f t="shared" si="445"/>
        <v>46018</v>
      </c>
      <c r="D397" s="239">
        <f>目標_2025R7!D381</f>
        <v>1</v>
      </c>
      <c r="E397" s="240">
        <f>IF(D397=1,'適正原価率表(仕入れお小遣い制度)'!$J$26,0)</f>
        <v>16029.767837012105</v>
      </c>
      <c r="F397" s="240">
        <f t="shared" si="450"/>
        <v>368684.66025127849</v>
      </c>
      <c r="G397" s="241"/>
      <c r="H397" s="240">
        <f t="shared" si="451"/>
        <v>0</v>
      </c>
      <c r="I397" s="242">
        <f t="shared" si="446"/>
        <v>368684.66025127849</v>
      </c>
      <c r="J397" s="230"/>
      <c r="K397" s="237">
        <f t="shared" si="444"/>
        <v>46018</v>
      </c>
      <c r="L397" s="243">
        <f t="shared" ref="L397:M397" si="480">C397</f>
        <v>46018</v>
      </c>
      <c r="M397" s="244">
        <f t="shared" si="480"/>
        <v>1</v>
      </c>
      <c r="N397" s="240">
        <f>IF(M397=1,'適正原価率表(仕入れお小遣い制度)'!$J$27,0)</f>
        <v>13024.828314844162</v>
      </c>
      <c r="O397" s="240">
        <f t="shared" si="453"/>
        <v>299571.05124141584</v>
      </c>
      <c r="P397" s="241"/>
      <c r="Q397" s="240">
        <f t="shared" si="454"/>
        <v>0</v>
      </c>
      <c r="R397" s="242">
        <f t="shared" si="448"/>
        <v>299571.05124141584</v>
      </c>
      <c r="S397" s="221"/>
      <c r="T397" s="245">
        <f t="shared" si="455"/>
        <v>46018</v>
      </c>
      <c r="U397" s="221"/>
      <c r="V397" s="221"/>
      <c r="W397" s="221"/>
      <c r="X397" s="221"/>
      <c r="Y397" s="221"/>
      <c r="Z397" s="221"/>
    </row>
    <row r="398" spans="1:26" ht="18.75" customHeight="1" outlineLevel="1">
      <c r="A398" s="221"/>
      <c r="B398" s="237">
        <f t="shared" si="449"/>
        <v>46019</v>
      </c>
      <c r="C398" s="238">
        <f t="shared" si="445"/>
        <v>46019</v>
      </c>
      <c r="D398" s="239">
        <f>目標_2025R7!D382</f>
        <v>1</v>
      </c>
      <c r="E398" s="240">
        <f>IF(D398=1,'適正原価率表(仕入れお小遣い制度)'!$J$26,0)</f>
        <v>16029.767837012105</v>
      </c>
      <c r="F398" s="240">
        <f t="shared" si="450"/>
        <v>384714.42808829062</v>
      </c>
      <c r="G398" s="241"/>
      <c r="H398" s="240">
        <f t="shared" si="451"/>
        <v>0</v>
      </c>
      <c r="I398" s="242">
        <f t="shared" si="446"/>
        <v>384714.42808829062</v>
      </c>
      <c r="J398" s="230"/>
      <c r="K398" s="237">
        <f t="shared" si="444"/>
        <v>46019</v>
      </c>
      <c r="L398" s="243">
        <f t="shared" ref="L398:M398" si="481">C398</f>
        <v>46019</v>
      </c>
      <c r="M398" s="244">
        <f t="shared" si="481"/>
        <v>1</v>
      </c>
      <c r="N398" s="240">
        <f>IF(M398=1,'適正原価率表(仕入れお小遣い制度)'!$J$27,0)</f>
        <v>13024.828314844162</v>
      </c>
      <c r="O398" s="240">
        <f t="shared" si="453"/>
        <v>312595.87955626001</v>
      </c>
      <c r="P398" s="241"/>
      <c r="Q398" s="240">
        <f t="shared" si="454"/>
        <v>0</v>
      </c>
      <c r="R398" s="242">
        <f t="shared" si="448"/>
        <v>312595.87955626001</v>
      </c>
      <c r="S398" s="221"/>
      <c r="T398" s="245">
        <f t="shared" si="455"/>
        <v>46019</v>
      </c>
      <c r="U398" s="221"/>
      <c r="V398" s="221"/>
      <c r="W398" s="221"/>
      <c r="X398" s="221"/>
      <c r="Y398" s="221"/>
      <c r="Z398" s="221"/>
    </row>
    <row r="399" spans="1:26" ht="18.75" customHeight="1" outlineLevel="1">
      <c r="A399" s="221"/>
      <c r="B399" s="237">
        <f t="shared" si="449"/>
        <v>46020</v>
      </c>
      <c r="C399" s="238">
        <f t="shared" si="445"/>
        <v>46020</v>
      </c>
      <c r="D399" s="239">
        <f>目標_2025R7!D383</f>
        <v>0</v>
      </c>
      <c r="E399" s="240">
        <f>IF(D399=1,'適正原価率表(仕入れお小遣い制度)'!$J$26,0)</f>
        <v>0</v>
      </c>
      <c r="F399" s="240">
        <f t="shared" si="450"/>
        <v>0</v>
      </c>
      <c r="G399" s="241"/>
      <c r="H399" s="240">
        <f t="shared" si="451"/>
        <v>0</v>
      </c>
      <c r="I399" s="242">
        <f t="shared" si="446"/>
        <v>0</v>
      </c>
      <c r="J399" s="230"/>
      <c r="K399" s="237">
        <f t="shared" si="444"/>
        <v>46020</v>
      </c>
      <c r="L399" s="243">
        <f t="shared" ref="L399:M399" si="482">C399</f>
        <v>46020</v>
      </c>
      <c r="M399" s="244">
        <f t="shared" si="482"/>
        <v>0</v>
      </c>
      <c r="N399" s="240">
        <f>IF(M399=1,'適正原価率表(仕入れお小遣い制度)'!$J$27,0)</f>
        <v>0</v>
      </c>
      <c r="O399" s="240">
        <f t="shared" si="453"/>
        <v>0</v>
      </c>
      <c r="P399" s="241"/>
      <c r="Q399" s="240">
        <f t="shared" si="454"/>
        <v>0</v>
      </c>
      <c r="R399" s="242">
        <f t="shared" si="448"/>
        <v>0</v>
      </c>
      <c r="S399" s="221"/>
      <c r="T399" s="245">
        <f t="shared" si="455"/>
        <v>46020</v>
      </c>
      <c r="U399" s="221"/>
      <c r="V399" s="221"/>
      <c r="W399" s="221"/>
      <c r="X399" s="221"/>
      <c r="Y399" s="221"/>
      <c r="Z399" s="221"/>
    </row>
    <row r="400" spans="1:26" ht="18.75" customHeight="1" outlineLevel="1">
      <c r="A400" s="221"/>
      <c r="B400" s="237">
        <f t="shared" si="449"/>
        <v>46021</v>
      </c>
      <c r="C400" s="238">
        <f t="shared" si="445"/>
        <v>46021</v>
      </c>
      <c r="D400" s="239">
        <f>目標_2025R7!D384</f>
        <v>0</v>
      </c>
      <c r="E400" s="240">
        <f>IF(D400=1,'適正原価率表(仕入れお小遣い制度)'!$J$26,0)</f>
        <v>0</v>
      </c>
      <c r="F400" s="240">
        <f t="shared" si="450"/>
        <v>0</v>
      </c>
      <c r="G400" s="241"/>
      <c r="H400" s="240">
        <f t="shared" si="451"/>
        <v>0</v>
      </c>
      <c r="I400" s="242">
        <f t="shared" si="446"/>
        <v>0</v>
      </c>
      <c r="J400" s="230"/>
      <c r="K400" s="237">
        <f t="shared" si="444"/>
        <v>46021</v>
      </c>
      <c r="L400" s="243">
        <f t="shared" ref="L400:M400" si="483">C400</f>
        <v>46021</v>
      </c>
      <c r="M400" s="244">
        <f t="shared" si="483"/>
        <v>0</v>
      </c>
      <c r="N400" s="240">
        <f>IF(M400=1,'適正原価率表(仕入れお小遣い制度)'!$J$27,0)</f>
        <v>0</v>
      </c>
      <c r="O400" s="240">
        <f t="shared" si="453"/>
        <v>0</v>
      </c>
      <c r="P400" s="241"/>
      <c r="Q400" s="240">
        <f t="shared" si="454"/>
        <v>0</v>
      </c>
      <c r="R400" s="242">
        <f t="shared" si="448"/>
        <v>0</v>
      </c>
      <c r="S400" s="221"/>
      <c r="T400" s="245">
        <f t="shared" si="455"/>
        <v>46021</v>
      </c>
      <c r="U400" s="221"/>
      <c r="V400" s="221"/>
      <c r="W400" s="221"/>
      <c r="X400" s="221"/>
      <c r="Y400" s="221"/>
      <c r="Z400" s="221"/>
    </row>
    <row r="401" spans="1:26" ht="18.75" customHeight="1" outlineLevel="1">
      <c r="A401" s="221"/>
      <c r="B401" s="237">
        <f t="shared" si="449"/>
        <v>46022</v>
      </c>
      <c r="C401" s="238">
        <f t="shared" si="445"/>
        <v>46022</v>
      </c>
      <c r="D401" s="239">
        <f>目標_2025R7!D385</f>
        <v>0</v>
      </c>
      <c r="E401" s="240">
        <f>IF(D401=1,'適正原価率表(仕入れお小遣い制度)'!$J$26,0)</f>
        <v>0</v>
      </c>
      <c r="F401" s="240">
        <f t="shared" si="450"/>
        <v>0</v>
      </c>
      <c r="G401" s="241"/>
      <c r="H401" s="240">
        <f t="shared" si="451"/>
        <v>0</v>
      </c>
      <c r="I401" s="242">
        <f t="shared" si="446"/>
        <v>0</v>
      </c>
      <c r="J401" s="230"/>
      <c r="K401" s="237">
        <f t="shared" si="444"/>
        <v>46022</v>
      </c>
      <c r="L401" s="243">
        <f t="shared" ref="L401:M401" si="484">C401</f>
        <v>46022</v>
      </c>
      <c r="M401" s="244">
        <f t="shared" si="484"/>
        <v>0</v>
      </c>
      <c r="N401" s="240">
        <f>IF(M401=1,'適正原価率表(仕入れお小遣い制度)'!$J$27,0)</f>
        <v>0</v>
      </c>
      <c r="O401" s="240">
        <f t="shared" si="453"/>
        <v>0</v>
      </c>
      <c r="P401" s="241"/>
      <c r="Q401" s="240">
        <f t="shared" si="454"/>
        <v>0</v>
      </c>
      <c r="R401" s="242">
        <f t="shared" si="448"/>
        <v>0</v>
      </c>
      <c r="S401" s="221"/>
      <c r="T401" s="245">
        <f t="shared" si="455"/>
        <v>46022</v>
      </c>
      <c r="U401" s="221"/>
      <c r="V401" s="221"/>
      <c r="W401" s="221"/>
      <c r="X401" s="221"/>
      <c r="Y401" s="221"/>
      <c r="Z401" s="221"/>
    </row>
    <row r="402" spans="1:26" ht="18.75" customHeight="1" outlineLevel="1">
      <c r="A402" s="221"/>
      <c r="B402" s="561" t="s">
        <v>176</v>
      </c>
      <c r="C402" s="486"/>
      <c r="D402" s="483"/>
      <c r="E402" s="247">
        <f>SUM(E371:E401)</f>
        <v>384714.42808829062</v>
      </c>
      <c r="F402" s="248"/>
      <c r="G402" s="249"/>
      <c r="H402" s="249"/>
      <c r="I402" s="249"/>
      <c r="J402" s="230"/>
      <c r="K402" s="561" t="s">
        <v>176</v>
      </c>
      <c r="L402" s="486"/>
      <c r="M402" s="483"/>
      <c r="N402" s="247">
        <f>SUM(N371:N401)</f>
        <v>312595.87955626001</v>
      </c>
      <c r="O402" s="248"/>
      <c r="P402" s="249"/>
      <c r="Q402" s="249"/>
      <c r="R402" s="249"/>
      <c r="S402" s="221"/>
      <c r="T402" s="221"/>
      <c r="U402" s="221"/>
      <c r="V402" s="221"/>
      <c r="W402" s="221"/>
      <c r="X402" s="221"/>
      <c r="Y402" s="221"/>
      <c r="Z402" s="221"/>
    </row>
    <row r="403" spans="1:26" ht="18.75" customHeight="1">
      <c r="A403" s="221"/>
      <c r="B403" s="221"/>
      <c r="C403" s="255"/>
      <c r="D403" s="255"/>
      <c r="E403" s="221"/>
      <c r="F403" s="221"/>
      <c r="G403" s="221"/>
      <c r="H403" s="221"/>
      <c r="I403" s="221"/>
      <c r="J403" s="221"/>
      <c r="K403" s="221"/>
      <c r="L403" s="255"/>
      <c r="M403" s="255"/>
      <c r="N403" s="221"/>
      <c r="O403" s="221"/>
      <c r="P403" s="221"/>
      <c r="Q403" s="221"/>
      <c r="R403" s="221"/>
      <c r="S403" s="221"/>
      <c r="T403" s="221"/>
      <c r="U403" s="221"/>
      <c r="V403" s="221"/>
      <c r="W403" s="221"/>
      <c r="X403" s="221"/>
      <c r="Y403" s="221"/>
      <c r="Z403" s="221"/>
    </row>
    <row r="404" spans="1:26" ht="18.75" customHeight="1">
      <c r="A404" s="221"/>
      <c r="B404" s="221"/>
      <c r="C404" s="255"/>
      <c r="D404" s="255"/>
      <c r="E404" s="221"/>
      <c r="F404" s="221"/>
      <c r="G404" s="221"/>
      <c r="H404" s="221"/>
      <c r="I404" s="221"/>
      <c r="J404" s="221"/>
      <c r="K404" s="221"/>
      <c r="L404" s="255"/>
      <c r="M404" s="255"/>
      <c r="N404" s="221"/>
      <c r="O404" s="221"/>
      <c r="P404" s="221"/>
      <c r="Q404" s="221"/>
      <c r="R404" s="221"/>
      <c r="S404" s="221"/>
      <c r="T404" s="221"/>
      <c r="U404" s="221"/>
      <c r="V404" s="221"/>
      <c r="W404" s="221"/>
      <c r="X404" s="221"/>
      <c r="Y404" s="221"/>
      <c r="Z404" s="221"/>
    </row>
    <row r="405" spans="1:26" ht="18.75" customHeight="1">
      <c r="A405" s="221"/>
      <c r="B405" s="221"/>
      <c r="C405" s="255"/>
      <c r="D405" s="255"/>
      <c r="E405" s="221"/>
      <c r="F405" s="221"/>
      <c r="G405" s="221"/>
      <c r="H405" s="221"/>
      <c r="I405" s="221"/>
      <c r="J405" s="221"/>
      <c r="K405" s="221"/>
      <c r="L405" s="255"/>
      <c r="M405" s="255"/>
      <c r="N405" s="221"/>
      <c r="O405" s="221"/>
      <c r="P405" s="221"/>
      <c r="Q405" s="221"/>
      <c r="R405" s="221"/>
      <c r="S405" s="221"/>
      <c r="T405" s="221"/>
      <c r="U405" s="221"/>
      <c r="V405" s="221"/>
      <c r="W405" s="221"/>
      <c r="X405" s="221"/>
      <c r="Y405" s="221"/>
      <c r="Z405" s="221"/>
    </row>
    <row r="406" spans="1:26" ht="18.75" customHeight="1">
      <c r="A406" s="221"/>
      <c r="B406" s="221"/>
      <c r="C406" s="255"/>
      <c r="D406" s="255"/>
      <c r="E406" s="221"/>
      <c r="F406" s="221"/>
      <c r="G406" s="221"/>
      <c r="H406" s="221"/>
      <c r="I406" s="221"/>
      <c r="J406" s="221"/>
      <c r="K406" s="221"/>
      <c r="L406" s="255"/>
      <c r="M406" s="255"/>
      <c r="N406" s="221"/>
      <c r="O406" s="221"/>
      <c r="P406" s="221"/>
      <c r="Q406" s="221"/>
      <c r="R406" s="221"/>
      <c r="S406" s="221"/>
      <c r="T406" s="221"/>
      <c r="U406" s="221"/>
      <c r="V406" s="221"/>
      <c r="W406" s="221"/>
      <c r="X406" s="221"/>
      <c r="Y406" s="221"/>
      <c r="Z406" s="221"/>
    </row>
    <row r="407" spans="1:26" ht="18.75" customHeight="1">
      <c r="A407" s="221"/>
      <c r="B407" s="221"/>
      <c r="C407" s="255"/>
      <c r="D407" s="255"/>
      <c r="E407" s="221"/>
      <c r="F407" s="221"/>
      <c r="G407" s="221"/>
      <c r="H407" s="221"/>
      <c r="I407" s="221"/>
      <c r="J407" s="221"/>
      <c r="K407" s="221"/>
      <c r="L407" s="255"/>
      <c r="M407" s="255"/>
      <c r="N407" s="221"/>
      <c r="O407" s="221"/>
      <c r="P407" s="221"/>
      <c r="Q407" s="221"/>
      <c r="R407" s="221"/>
      <c r="S407" s="221"/>
      <c r="T407" s="221"/>
      <c r="U407" s="221"/>
      <c r="V407" s="221"/>
      <c r="W407" s="221"/>
      <c r="X407" s="221"/>
      <c r="Y407" s="221"/>
      <c r="Z407" s="221"/>
    </row>
    <row r="408" spans="1:26" ht="18.75" customHeight="1">
      <c r="A408" s="221"/>
      <c r="B408" s="221"/>
      <c r="C408" s="255"/>
      <c r="D408" s="255"/>
      <c r="E408" s="221"/>
      <c r="F408" s="221"/>
      <c r="G408" s="221"/>
      <c r="H408" s="221"/>
      <c r="I408" s="221"/>
      <c r="J408" s="221"/>
      <c r="K408" s="221"/>
      <c r="L408" s="255"/>
      <c r="M408" s="255"/>
      <c r="N408" s="221"/>
      <c r="O408" s="221"/>
      <c r="P408" s="221"/>
      <c r="Q408" s="221"/>
      <c r="R408" s="221"/>
      <c r="S408" s="221"/>
      <c r="T408" s="221"/>
      <c r="U408" s="221"/>
      <c r="V408" s="221"/>
      <c r="W408" s="221"/>
      <c r="X408" s="221"/>
      <c r="Y408" s="221"/>
      <c r="Z408" s="221"/>
    </row>
    <row r="409" spans="1:26" ht="18.75" customHeight="1">
      <c r="A409" s="221"/>
      <c r="B409" s="221"/>
      <c r="C409" s="255"/>
      <c r="D409" s="255"/>
      <c r="E409" s="221"/>
      <c r="F409" s="221"/>
      <c r="G409" s="221"/>
      <c r="H409" s="221"/>
      <c r="I409" s="221"/>
      <c r="J409" s="221"/>
      <c r="K409" s="221"/>
      <c r="L409" s="255"/>
      <c r="M409" s="255"/>
      <c r="N409" s="221"/>
      <c r="O409" s="221"/>
      <c r="P409" s="221"/>
      <c r="Q409" s="221"/>
      <c r="R409" s="221"/>
      <c r="S409" s="221"/>
      <c r="T409" s="221"/>
      <c r="U409" s="221"/>
      <c r="V409" s="221"/>
      <c r="W409" s="221"/>
      <c r="X409" s="221"/>
      <c r="Y409" s="221"/>
      <c r="Z409" s="221"/>
    </row>
    <row r="410" spans="1:26" ht="18.75" customHeight="1">
      <c r="A410" s="221"/>
      <c r="B410" s="221"/>
      <c r="C410" s="255"/>
      <c r="D410" s="255"/>
      <c r="E410" s="221"/>
      <c r="F410" s="221"/>
      <c r="G410" s="221"/>
      <c r="H410" s="221"/>
      <c r="I410" s="221"/>
      <c r="J410" s="221"/>
      <c r="K410" s="221"/>
      <c r="L410" s="255"/>
      <c r="M410" s="255"/>
      <c r="N410" s="221"/>
      <c r="O410" s="221"/>
      <c r="P410" s="221"/>
      <c r="Q410" s="221"/>
      <c r="R410" s="221"/>
      <c r="S410" s="221"/>
      <c r="T410" s="221"/>
      <c r="U410" s="221"/>
      <c r="V410" s="221"/>
      <c r="W410" s="221"/>
      <c r="X410" s="221"/>
      <c r="Y410" s="221"/>
      <c r="Z410" s="221"/>
    </row>
    <row r="411" spans="1:26" ht="18.75" customHeight="1">
      <c r="A411" s="221"/>
      <c r="B411" s="221"/>
      <c r="C411" s="255"/>
      <c r="D411" s="255"/>
      <c r="E411" s="221"/>
      <c r="F411" s="221"/>
      <c r="G411" s="221"/>
      <c r="H411" s="221"/>
      <c r="I411" s="221"/>
      <c r="J411" s="221"/>
      <c r="K411" s="221"/>
      <c r="L411" s="255"/>
      <c r="M411" s="255"/>
      <c r="N411" s="221"/>
      <c r="O411" s="221"/>
      <c r="P411" s="221"/>
      <c r="Q411" s="221"/>
      <c r="R411" s="221"/>
      <c r="S411" s="221"/>
      <c r="T411" s="221"/>
      <c r="U411" s="221"/>
      <c r="V411" s="221"/>
      <c r="W411" s="221"/>
      <c r="X411" s="221"/>
      <c r="Y411" s="221"/>
      <c r="Z411" s="221"/>
    </row>
    <row r="412" spans="1:26" ht="18.75" customHeight="1">
      <c r="A412" s="221"/>
      <c r="B412" s="221"/>
      <c r="C412" s="255"/>
      <c r="D412" s="255"/>
      <c r="E412" s="221"/>
      <c r="F412" s="221"/>
      <c r="G412" s="221"/>
      <c r="H412" s="221"/>
      <c r="I412" s="221"/>
      <c r="J412" s="221"/>
      <c r="K412" s="221"/>
      <c r="L412" s="255"/>
      <c r="M412" s="255"/>
      <c r="N412" s="221"/>
      <c r="O412" s="221"/>
      <c r="P412" s="221"/>
      <c r="Q412" s="221"/>
      <c r="R412" s="221"/>
      <c r="S412" s="221"/>
      <c r="T412" s="221"/>
      <c r="U412" s="221"/>
      <c r="V412" s="221"/>
      <c r="W412" s="221"/>
      <c r="X412" s="221"/>
      <c r="Y412" s="221"/>
      <c r="Z412" s="221"/>
    </row>
    <row r="413" spans="1:26" ht="18.75" customHeight="1">
      <c r="A413" s="221"/>
      <c r="B413" s="221"/>
      <c r="C413" s="255"/>
      <c r="D413" s="255"/>
      <c r="E413" s="221"/>
      <c r="F413" s="221"/>
      <c r="G413" s="221"/>
      <c r="H413" s="221"/>
      <c r="I413" s="221"/>
      <c r="J413" s="221"/>
      <c r="K413" s="221"/>
      <c r="L413" s="255"/>
      <c r="M413" s="255"/>
      <c r="N413" s="221"/>
      <c r="O413" s="221"/>
      <c r="P413" s="221"/>
      <c r="Q413" s="221"/>
      <c r="R413" s="221"/>
      <c r="S413" s="221"/>
      <c r="T413" s="221"/>
      <c r="U413" s="221"/>
      <c r="V413" s="221"/>
      <c r="W413" s="221"/>
      <c r="X413" s="221"/>
      <c r="Y413" s="221"/>
      <c r="Z413" s="221"/>
    </row>
    <row r="414" spans="1:26" ht="18.75" customHeight="1">
      <c r="A414" s="221"/>
      <c r="B414" s="221"/>
      <c r="C414" s="255"/>
      <c r="D414" s="255"/>
      <c r="E414" s="221"/>
      <c r="F414" s="221"/>
      <c r="G414" s="221"/>
      <c r="H414" s="221"/>
      <c r="I414" s="221"/>
      <c r="J414" s="221"/>
      <c r="K414" s="221"/>
      <c r="L414" s="255"/>
      <c r="M414" s="255"/>
      <c r="N414" s="221"/>
      <c r="O414" s="221"/>
      <c r="P414" s="221"/>
      <c r="Q414" s="221"/>
      <c r="R414" s="221"/>
      <c r="S414" s="221"/>
      <c r="T414" s="221"/>
      <c r="U414" s="221"/>
      <c r="V414" s="221"/>
      <c r="W414" s="221"/>
      <c r="X414" s="221"/>
      <c r="Y414" s="221"/>
      <c r="Z414" s="221"/>
    </row>
    <row r="415" spans="1:26" ht="18.75" customHeight="1">
      <c r="A415" s="221"/>
      <c r="B415" s="221"/>
      <c r="C415" s="255"/>
      <c r="D415" s="255"/>
      <c r="E415" s="221"/>
      <c r="F415" s="221"/>
      <c r="G415" s="221"/>
      <c r="H415" s="221"/>
      <c r="I415" s="221"/>
      <c r="J415" s="221"/>
      <c r="K415" s="221"/>
      <c r="L415" s="255"/>
      <c r="M415" s="255"/>
      <c r="N415" s="221"/>
      <c r="O415" s="221"/>
      <c r="P415" s="221"/>
      <c r="Q415" s="221"/>
      <c r="R415" s="221"/>
      <c r="S415" s="221"/>
      <c r="T415" s="221"/>
      <c r="U415" s="221"/>
      <c r="V415" s="221"/>
      <c r="W415" s="221"/>
      <c r="X415" s="221"/>
      <c r="Y415" s="221"/>
      <c r="Z415" s="221"/>
    </row>
    <row r="416" spans="1:26" ht="18.75" customHeight="1">
      <c r="A416" s="221"/>
      <c r="B416" s="221"/>
      <c r="C416" s="255"/>
      <c r="D416" s="255"/>
      <c r="E416" s="221"/>
      <c r="F416" s="221"/>
      <c r="G416" s="221"/>
      <c r="H416" s="221"/>
      <c r="I416" s="221"/>
      <c r="J416" s="221"/>
      <c r="K416" s="221"/>
      <c r="L416" s="255"/>
      <c r="M416" s="255"/>
      <c r="N416" s="221"/>
      <c r="O416" s="221"/>
      <c r="P416" s="221"/>
      <c r="Q416" s="221"/>
      <c r="R416" s="221"/>
      <c r="S416" s="221"/>
      <c r="T416" s="221"/>
      <c r="U416" s="221"/>
      <c r="V416" s="221"/>
      <c r="W416" s="221"/>
      <c r="X416" s="221"/>
      <c r="Y416" s="221"/>
      <c r="Z416" s="221"/>
    </row>
    <row r="417" spans="1:26" ht="18.75" customHeight="1">
      <c r="A417" s="221"/>
      <c r="B417" s="221"/>
      <c r="C417" s="255"/>
      <c r="D417" s="255"/>
      <c r="E417" s="221"/>
      <c r="F417" s="221"/>
      <c r="G417" s="221"/>
      <c r="H417" s="221"/>
      <c r="I417" s="221"/>
      <c r="J417" s="221"/>
      <c r="K417" s="221"/>
      <c r="L417" s="255"/>
      <c r="M417" s="255"/>
      <c r="N417" s="221"/>
      <c r="O417" s="221"/>
      <c r="P417" s="221"/>
      <c r="Q417" s="221"/>
      <c r="R417" s="221"/>
      <c r="S417" s="221"/>
      <c r="T417" s="221"/>
      <c r="U417" s="221"/>
      <c r="V417" s="221"/>
      <c r="W417" s="221"/>
      <c r="X417" s="221"/>
      <c r="Y417" s="221"/>
      <c r="Z417" s="221"/>
    </row>
    <row r="418" spans="1:26" ht="18.75" customHeight="1">
      <c r="A418" s="221"/>
      <c r="B418" s="221"/>
      <c r="C418" s="255"/>
      <c r="D418" s="255"/>
      <c r="E418" s="221"/>
      <c r="F418" s="221"/>
      <c r="G418" s="221"/>
      <c r="H418" s="221"/>
      <c r="I418" s="221"/>
      <c r="J418" s="221"/>
      <c r="K418" s="221"/>
      <c r="L418" s="255"/>
      <c r="M418" s="255"/>
      <c r="N418" s="221"/>
      <c r="O418" s="221"/>
      <c r="P418" s="221"/>
      <c r="Q418" s="221"/>
      <c r="R418" s="221"/>
      <c r="S418" s="221"/>
      <c r="T418" s="221"/>
      <c r="U418" s="221"/>
      <c r="V418" s="221"/>
      <c r="W418" s="221"/>
      <c r="X418" s="221"/>
      <c r="Y418" s="221"/>
      <c r="Z418" s="221"/>
    </row>
    <row r="419" spans="1:26" ht="18.75" customHeight="1">
      <c r="A419" s="221"/>
      <c r="B419" s="221"/>
      <c r="C419" s="255"/>
      <c r="D419" s="255"/>
      <c r="E419" s="221"/>
      <c r="F419" s="221"/>
      <c r="G419" s="221"/>
      <c r="H419" s="221"/>
      <c r="I419" s="221"/>
      <c r="J419" s="221"/>
      <c r="K419" s="221"/>
      <c r="L419" s="255"/>
      <c r="M419" s="255"/>
      <c r="N419" s="221"/>
      <c r="O419" s="221"/>
      <c r="P419" s="221"/>
      <c r="Q419" s="221"/>
      <c r="R419" s="221"/>
      <c r="S419" s="221"/>
      <c r="T419" s="221"/>
      <c r="U419" s="221"/>
      <c r="V419" s="221"/>
      <c r="W419" s="221"/>
      <c r="X419" s="221"/>
      <c r="Y419" s="221"/>
      <c r="Z419" s="221"/>
    </row>
    <row r="420" spans="1:26" ht="18.75" customHeight="1">
      <c r="A420" s="221"/>
      <c r="B420" s="221"/>
      <c r="C420" s="255"/>
      <c r="D420" s="255"/>
      <c r="E420" s="221"/>
      <c r="F420" s="221"/>
      <c r="G420" s="221"/>
      <c r="H420" s="221"/>
      <c r="I420" s="221"/>
      <c r="J420" s="221"/>
      <c r="K420" s="221"/>
      <c r="L420" s="255"/>
      <c r="M420" s="255"/>
      <c r="N420" s="221"/>
      <c r="O420" s="221"/>
      <c r="P420" s="221"/>
      <c r="Q420" s="221"/>
      <c r="R420" s="221"/>
      <c r="S420" s="221"/>
      <c r="T420" s="221"/>
      <c r="U420" s="221"/>
      <c r="V420" s="221"/>
      <c r="W420" s="221"/>
      <c r="X420" s="221"/>
      <c r="Y420" s="221"/>
      <c r="Z420" s="221"/>
    </row>
    <row r="421" spans="1:26" ht="18.75" customHeight="1">
      <c r="A421" s="221"/>
      <c r="B421" s="221"/>
      <c r="C421" s="255"/>
      <c r="D421" s="255"/>
      <c r="E421" s="221"/>
      <c r="F421" s="221"/>
      <c r="G421" s="221"/>
      <c r="H421" s="221"/>
      <c r="I421" s="221"/>
      <c r="J421" s="221"/>
      <c r="K421" s="221"/>
      <c r="L421" s="255"/>
      <c r="M421" s="255"/>
      <c r="N421" s="221"/>
      <c r="O421" s="221"/>
      <c r="P421" s="221"/>
      <c r="Q421" s="221"/>
      <c r="R421" s="221"/>
      <c r="S421" s="221"/>
      <c r="T421" s="221"/>
      <c r="U421" s="221"/>
      <c r="V421" s="221"/>
      <c r="W421" s="221"/>
      <c r="X421" s="221"/>
      <c r="Y421" s="221"/>
      <c r="Z421" s="221"/>
    </row>
    <row r="422" spans="1:26" ht="18.75" customHeight="1">
      <c r="A422" s="221"/>
      <c r="B422" s="221"/>
      <c r="C422" s="255"/>
      <c r="D422" s="255"/>
      <c r="E422" s="221"/>
      <c r="F422" s="221"/>
      <c r="G422" s="221"/>
      <c r="H422" s="221"/>
      <c r="I422" s="221"/>
      <c r="J422" s="221"/>
      <c r="K422" s="221"/>
      <c r="L422" s="255"/>
      <c r="M422" s="255"/>
      <c r="N422" s="221"/>
      <c r="O422" s="221"/>
      <c r="P422" s="221"/>
      <c r="Q422" s="221"/>
      <c r="R422" s="221"/>
      <c r="S422" s="221"/>
      <c r="T422" s="221"/>
      <c r="U422" s="221"/>
      <c r="V422" s="221"/>
      <c r="W422" s="221"/>
      <c r="X422" s="221"/>
      <c r="Y422" s="221"/>
      <c r="Z422" s="221"/>
    </row>
    <row r="423" spans="1:26" ht="18.75" customHeight="1">
      <c r="A423" s="221"/>
      <c r="B423" s="221"/>
      <c r="C423" s="255"/>
      <c r="D423" s="255"/>
      <c r="E423" s="221"/>
      <c r="F423" s="221"/>
      <c r="G423" s="221"/>
      <c r="H423" s="221"/>
      <c r="I423" s="221"/>
      <c r="J423" s="221"/>
      <c r="K423" s="221"/>
      <c r="L423" s="255"/>
      <c r="M423" s="255"/>
      <c r="N423" s="221"/>
      <c r="O423" s="221"/>
      <c r="P423" s="221"/>
      <c r="Q423" s="221"/>
      <c r="R423" s="221"/>
      <c r="S423" s="221"/>
      <c r="T423" s="221"/>
      <c r="U423" s="221"/>
      <c r="V423" s="221"/>
      <c r="W423" s="221"/>
      <c r="X423" s="221"/>
      <c r="Y423" s="221"/>
      <c r="Z423" s="221"/>
    </row>
    <row r="424" spans="1:26" ht="18.75" customHeight="1">
      <c r="A424" s="221"/>
      <c r="B424" s="221"/>
      <c r="C424" s="255"/>
      <c r="D424" s="255"/>
      <c r="E424" s="221"/>
      <c r="F424" s="221"/>
      <c r="G424" s="221"/>
      <c r="H424" s="221"/>
      <c r="I424" s="221"/>
      <c r="J424" s="221"/>
      <c r="K424" s="221"/>
      <c r="L424" s="255"/>
      <c r="M424" s="255"/>
      <c r="N424" s="221"/>
      <c r="O424" s="221"/>
      <c r="P424" s="221"/>
      <c r="Q424" s="221"/>
      <c r="R424" s="221"/>
      <c r="S424" s="221"/>
      <c r="T424" s="221"/>
      <c r="U424" s="221"/>
      <c r="V424" s="221"/>
      <c r="W424" s="221"/>
      <c r="X424" s="221"/>
      <c r="Y424" s="221"/>
      <c r="Z424" s="221"/>
    </row>
    <row r="425" spans="1:26" ht="18.75" customHeight="1">
      <c r="A425" s="221"/>
      <c r="B425" s="221"/>
      <c r="C425" s="255"/>
      <c r="D425" s="255"/>
      <c r="E425" s="221"/>
      <c r="F425" s="221"/>
      <c r="G425" s="221"/>
      <c r="H425" s="221"/>
      <c r="I425" s="221"/>
      <c r="J425" s="221"/>
      <c r="K425" s="221"/>
      <c r="L425" s="255"/>
      <c r="M425" s="255"/>
      <c r="N425" s="221"/>
      <c r="O425" s="221"/>
      <c r="P425" s="221"/>
      <c r="Q425" s="221"/>
      <c r="R425" s="221"/>
      <c r="S425" s="221"/>
      <c r="T425" s="221"/>
      <c r="U425" s="221"/>
      <c r="V425" s="221"/>
      <c r="W425" s="221"/>
      <c r="X425" s="221"/>
      <c r="Y425" s="221"/>
      <c r="Z425" s="221"/>
    </row>
    <row r="426" spans="1:26" ht="18.75" customHeight="1">
      <c r="A426" s="221"/>
      <c r="B426" s="221"/>
      <c r="C426" s="255"/>
      <c r="D426" s="255"/>
      <c r="E426" s="221"/>
      <c r="F426" s="221"/>
      <c r="G426" s="221"/>
      <c r="H426" s="221"/>
      <c r="I426" s="221"/>
      <c r="J426" s="221"/>
      <c r="K426" s="221"/>
      <c r="L426" s="255"/>
      <c r="M426" s="255"/>
      <c r="N426" s="221"/>
      <c r="O426" s="221"/>
      <c r="P426" s="221"/>
      <c r="Q426" s="221"/>
      <c r="R426" s="221"/>
      <c r="S426" s="221"/>
      <c r="T426" s="221"/>
      <c r="U426" s="221"/>
      <c r="V426" s="221"/>
      <c r="W426" s="221"/>
      <c r="X426" s="221"/>
      <c r="Y426" s="221"/>
      <c r="Z426" s="221"/>
    </row>
    <row r="427" spans="1:26" ht="18.75" customHeight="1">
      <c r="A427" s="221"/>
      <c r="B427" s="221"/>
      <c r="C427" s="255"/>
      <c r="D427" s="255"/>
      <c r="E427" s="221"/>
      <c r="F427" s="221"/>
      <c r="G427" s="221"/>
      <c r="H427" s="221"/>
      <c r="I427" s="221"/>
      <c r="J427" s="221"/>
      <c r="K427" s="221"/>
      <c r="L427" s="255"/>
      <c r="M427" s="255"/>
      <c r="N427" s="221"/>
      <c r="O427" s="221"/>
      <c r="P427" s="221"/>
      <c r="Q427" s="221"/>
      <c r="R427" s="221"/>
      <c r="S427" s="221"/>
      <c r="T427" s="221"/>
      <c r="U427" s="221"/>
      <c r="V427" s="221"/>
      <c r="W427" s="221"/>
      <c r="X427" s="221"/>
      <c r="Y427" s="221"/>
      <c r="Z427" s="221"/>
    </row>
    <row r="428" spans="1:26" ht="18.75" customHeight="1">
      <c r="A428" s="221"/>
      <c r="B428" s="221"/>
      <c r="C428" s="255"/>
      <c r="D428" s="255"/>
      <c r="E428" s="221"/>
      <c r="F428" s="221"/>
      <c r="G428" s="221"/>
      <c r="H428" s="221"/>
      <c r="I428" s="221"/>
      <c r="J428" s="221"/>
      <c r="K428" s="221"/>
      <c r="L428" s="255"/>
      <c r="M428" s="255"/>
      <c r="N428" s="221"/>
      <c r="O428" s="221"/>
      <c r="P428" s="221"/>
      <c r="Q428" s="221"/>
      <c r="R428" s="221"/>
      <c r="S428" s="221"/>
      <c r="T428" s="221"/>
      <c r="U428" s="221"/>
      <c r="V428" s="221"/>
      <c r="W428" s="221"/>
      <c r="X428" s="221"/>
      <c r="Y428" s="221"/>
      <c r="Z428" s="221"/>
    </row>
    <row r="429" spans="1:26" ht="18.75" customHeight="1">
      <c r="A429" s="221"/>
      <c r="B429" s="221"/>
      <c r="C429" s="255"/>
      <c r="D429" s="255"/>
      <c r="E429" s="221"/>
      <c r="F429" s="221"/>
      <c r="G429" s="221"/>
      <c r="H429" s="221"/>
      <c r="I429" s="221"/>
      <c r="J429" s="221"/>
      <c r="K429" s="221"/>
      <c r="L429" s="255"/>
      <c r="M429" s="255"/>
      <c r="N429" s="221"/>
      <c r="O429" s="221"/>
      <c r="P429" s="221"/>
      <c r="Q429" s="221"/>
      <c r="R429" s="221"/>
      <c r="S429" s="221"/>
      <c r="T429" s="221"/>
      <c r="U429" s="221"/>
      <c r="V429" s="221"/>
      <c r="W429" s="221"/>
      <c r="X429" s="221"/>
      <c r="Y429" s="221"/>
      <c r="Z429" s="221"/>
    </row>
    <row r="430" spans="1:26" ht="18.75" customHeight="1">
      <c r="A430" s="221"/>
      <c r="B430" s="221"/>
      <c r="C430" s="255"/>
      <c r="D430" s="255"/>
      <c r="E430" s="221"/>
      <c r="F430" s="221"/>
      <c r="G430" s="221"/>
      <c r="H430" s="221"/>
      <c r="I430" s="221"/>
      <c r="J430" s="221"/>
      <c r="K430" s="221"/>
      <c r="L430" s="255"/>
      <c r="M430" s="255"/>
      <c r="N430" s="221"/>
      <c r="O430" s="221"/>
      <c r="P430" s="221"/>
      <c r="Q430" s="221"/>
      <c r="R430" s="221"/>
      <c r="S430" s="221"/>
      <c r="T430" s="221"/>
      <c r="U430" s="221"/>
      <c r="V430" s="221"/>
      <c r="W430" s="221"/>
      <c r="X430" s="221"/>
      <c r="Y430" s="221"/>
      <c r="Z430" s="221"/>
    </row>
    <row r="431" spans="1:26" ht="18.75" customHeight="1">
      <c r="A431" s="221"/>
      <c r="B431" s="221"/>
      <c r="C431" s="255"/>
      <c r="D431" s="255"/>
      <c r="E431" s="221"/>
      <c r="F431" s="221"/>
      <c r="G431" s="221"/>
      <c r="H431" s="221"/>
      <c r="I431" s="221"/>
      <c r="J431" s="221"/>
      <c r="K431" s="221"/>
      <c r="L431" s="255"/>
      <c r="M431" s="255"/>
      <c r="N431" s="221"/>
      <c r="O431" s="221"/>
      <c r="P431" s="221"/>
      <c r="Q431" s="221"/>
      <c r="R431" s="221"/>
      <c r="S431" s="221"/>
      <c r="T431" s="221"/>
      <c r="U431" s="221"/>
      <c r="V431" s="221"/>
      <c r="W431" s="221"/>
      <c r="X431" s="221"/>
      <c r="Y431" s="221"/>
      <c r="Z431" s="221"/>
    </row>
    <row r="432" spans="1:26" ht="18.75" customHeight="1">
      <c r="A432" s="221"/>
      <c r="B432" s="221"/>
      <c r="C432" s="255"/>
      <c r="D432" s="255"/>
      <c r="E432" s="221"/>
      <c r="F432" s="221"/>
      <c r="G432" s="221"/>
      <c r="H432" s="221"/>
      <c r="I432" s="221"/>
      <c r="J432" s="221"/>
      <c r="K432" s="221"/>
      <c r="L432" s="255"/>
      <c r="M432" s="255"/>
      <c r="N432" s="221"/>
      <c r="O432" s="221"/>
      <c r="P432" s="221"/>
      <c r="Q432" s="221"/>
      <c r="R432" s="221"/>
      <c r="S432" s="221"/>
      <c r="T432" s="221"/>
      <c r="U432" s="221"/>
      <c r="V432" s="221"/>
      <c r="W432" s="221"/>
      <c r="X432" s="221"/>
      <c r="Y432" s="221"/>
      <c r="Z432" s="221"/>
    </row>
    <row r="433" spans="1:26" ht="18.75" customHeight="1">
      <c r="A433" s="221"/>
      <c r="B433" s="221"/>
      <c r="C433" s="255"/>
      <c r="D433" s="255"/>
      <c r="E433" s="221"/>
      <c r="F433" s="221"/>
      <c r="G433" s="221"/>
      <c r="H433" s="221"/>
      <c r="I433" s="221"/>
      <c r="J433" s="221"/>
      <c r="K433" s="221"/>
      <c r="L433" s="255"/>
      <c r="M433" s="255"/>
      <c r="N433" s="221"/>
      <c r="O433" s="221"/>
      <c r="P433" s="221"/>
      <c r="Q433" s="221"/>
      <c r="R433" s="221"/>
      <c r="S433" s="221"/>
      <c r="T433" s="221"/>
      <c r="U433" s="221"/>
      <c r="V433" s="221"/>
      <c r="W433" s="221"/>
      <c r="X433" s="221"/>
      <c r="Y433" s="221"/>
      <c r="Z433" s="221"/>
    </row>
    <row r="434" spans="1:26" ht="18.75" customHeight="1">
      <c r="A434" s="221"/>
      <c r="B434" s="221"/>
      <c r="C434" s="255"/>
      <c r="D434" s="255"/>
      <c r="E434" s="221"/>
      <c r="F434" s="221"/>
      <c r="G434" s="221"/>
      <c r="H434" s="221"/>
      <c r="I434" s="221"/>
      <c r="J434" s="221"/>
      <c r="K434" s="221"/>
      <c r="L434" s="255"/>
      <c r="M434" s="255"/>
      <c r="N434" s="221"/>
      <c r="O434" s="221"/>
      <c r="P434" s="221"/>
      <c r="Q434" s="221"/>
      <c r="R434" s="221"/>
      <c r="S434" s="221"/>
      <c r="T434" s="221"/>
      <c r="U434" s="221"/>
      <c r="V434" s="221"/>
      <c r="W434" s="221"/>
      <c r="X434" s="221"/>
      <c r="Y434" s="221"/>
      <c r="Z434" s="221"/>
    </row>
    <row r="435" spans="1:26" ht="18.75" customHeight="1">
      <c r="A435" s="221"/>
      <c r="B435" s="221"/>
      <c r="C435" s="255"/>
      <c r="D435" s="255"/>
      <c r="E435" s="221"/>
      <c r="F435" s="221"/>
      <c r="G435" s="221"/>
      <c r="H435" s="221"/>
      <c r="I435" s="221"/>
      <c r="J435" s="221"/>
      <c r="K435" s="221"/>
      <c r="L435" s="255"/>
      <c r="M435" s="255"/>
      <c r="N435" s="221"/>
      <c r="O435" s="221"/>
      <c r="P435" s="221"/>
      <c r="Q435" s="221"/>
      <c r="R435" s="221"/>
      <c r="S435" s="221"/>
      <c r="T435" s="221"/>
      <c r="U435" s="221"/>
      <c r="V435" s="221"/>
      <c r="W435" s="221"/>
      <c r="X435" s="221"/>
      <c r="Y435" s="221"/>
      <c r="Z435" s="221"/>
    </row>
    <row r="436" spans="1:26" ht="18.75" customHeight="1">
      <c r="A436" s="221"/>
      <c r="B436" s="221"/>
      <c r="C436" s="255"/>
      <c r="D436" s="255"/>
      <c r="E436" s="221"/>
      <c r="F436" s="221"/>
      <c r="G436" s="221"/>
      <c r="H436" s="221"/>
      <c r="I436" s="221"/>
      <c r="J436" s="221"/>
      <c r="K436" s="221"/>
      <c r="L436" s="255"/>
      <c r="M436" s="255"/>
      <c r="N436" s="221"/>
      <c r="O436" s="221"/>
      <c r="P436" s="221"/>
      <c r="Q436" s="221"/>
      <c r="R436" s="221"/>
      <c r="S436" s="221"/>
      <c r="T436" s="221"/>
      <c r="U436" s="221"/>
      <c r="V436" s="221"/>
      <c r="W436" s="221"/>
      <c r="X436" s="221"/>
      <c r="Y436" s="221"/>
      <c r="Z436" s="221"/>
    </row>
    <row r="437" spans="1:26" ht="18.75" customHeight="1">
      <c r="A437" s="221"/>
      <c r="B437" s="221"/>
      <c r="C437" s="255"/>
      <c r="D437" s="255"/>
      <c r="E437" s="221"/>
      <c r="F437" s="221"/>
      <c r="G437" s="221"/>
      <c r="H437" s="221"/>
      <c r="I437" s="221"/>
      <c r="J437" s="221"/>
      <c r="K437" s="221"/>
      <c r="L437" s="255"/>
      <c r="M437" s="255"/>
      <c r="N437" s="221"/>
      <c r="O437" s="221"/>
      <c r="P437" s="221"/>
      <c r="Q437" s="221"/>
      <c r="R437" s="221"/>
      <c r="S437" s="221"/>
      <c r="T437" s="221"/>
      <c r="U437" s="221"/>
      <c r="V437" s="221"/>
      <c r="W437" s="221"/>
      <c r="X437" s="221"/>
      <c r="Y437" s="221"/>
      <c r="Z437" s="221"/>
    </row>
    <row r="438" spans="1:26" ht="18.75" customHeight="1">
      <c r="A438" s="221"/>
      <c r="B438" s="221"/>
      <c r="C438" s="255"/>
      <c r="D438" s="255"/>
      <c r="E438" s="221"/>
      <c r="F438" s="221"/>
      <c r="G438" s="221"/>
      <c r="H438" s="221"/>
      <c r="I438" s="221"/>
      <c r="J438" s="221"/>
      <c r="K438" s="221"/>
      <c r="L438" s="255"/>
      <c r="M438" s="255"/>
      <c r="N438" s="221"/>
      <c r="O438" s="221"/>
      <c r="P438" s="221"/>
      <c r="Q438" s="221"/>
      <c r="R438" s="221"/>
      <c r="S438" s="221"/>
      <c r="T438" s="221"/>
      <c r="U438" s="221"/>
      <c r="V438" s="221"/>
      <c r="W438" s="221"/>
      <c r="X438" s="221"/>
      <c r="Y438" s="221"/>
      <c r="Z438" s="221"/>
    </row>
    <row r="439" spans="1:26" ht="18.75" customHeight="1">
      <c r="A439" s="221"/>
      <c r="B439" s="221"/>
      <c r="C439" s="255"/>
      <c r="D439" s="255"/>
      <c r="E439" s="221"/>
      <c r="F439" s="221"/>
      <c r="G439" s="221"/>
      <c r="H439" s="221"/>
      <c r="I439" s="221"/>
      <c r="J439" s="221"/>
      <c r="K439" s="221"/>
      <c r="L439" s="255"/>
      <c r="M439" s="255"/>
      <c r="N439" s="221"/>
      <c r="O439" s="221"/>
      <c r="P439" s="221"/>
      <c r="Q439" s="221"/>
      <c r="R439" s="221"/>
      <c r="S439" s="221"/>
      <c r="T439" s="221"/>
      <c r="U439" s="221"/>
      <c r="V439" s="221"/>
      <c r="W439" s="221"/>
      <c r="X439" s="221"/>
      <c r="Y439" s="221"/>
      <c r="Z439" s="221"/>
    </row>
    <row r="440" spans="1:26" ht="18.75" customHeight="1">
      <c r="A440" s="221"/>
      <c r="B440" s="221"/>
      <c r="C440" s="255"/>
      <c r="D440" s="255"/>
      <c r="E440" s="221"/>
      <c r="F440" s="221"/>
      <c r="G440" s="221"/>
      <c r="H440" s="221"/>
      <c r="I440" s="221"/>
      <c r="J440" s="221"/>
      <c r="K440" s="221"/>
      <c r="L440" s="255"/>
      <c r="M440" s="255"/>
      <c r="N440" s="221"/>
      <c r="O440" s="221"/>
      <c r="P440" s="221"/>
      <c r="Q440" s="221"/>
      <c r="R440" s="221"/>
      <c r="S440" s="221"/>
      <c r="T440" s="221"/>
      <c r="U440" s="221"/>
      <c r="V440" s="221"/>
      <c r="W440" s="221"/>
      <c r="X440" s="221"/>
      <c r="Y440" s="221"/>
      <c r="Z440" s="221"/>
    </row>
    <row r="441" spans="1:26" ht="18.75" customHeight="1">
      <c r="A441" s="221"/>
      <c r="B441" s="221"/>
      <c r="C441" s="255"/>
      <c r="D441" s="255"/>
      <c r="E441" s="221"/>
      <c r="F441" s="221"/>
      <c r="G441" s="221"/>
      <c r="H441" s="221"/>
      <c r="I441" s="221"/>
      <c r="J441" s="221"/>
      <c r="K441" s="221"/>
      <c r="L441" s="255"/>
      <c r="M441" s="255"/>
      <c r="N441" s="221"/>
      <c r="O441" s="221"/>
      <c r="P441" s="221"/>
      <c r="Q441" s="221"/>
      <c r="R441" s="221"/>
      <c r="S441" s="221"/>
      <c r="T441" s="221"/>
      <c r="U441" s="221"/>
      <c r="V441" s="221"/>
      <c r="W441" s="221"/>
      <c r="X441" s="221"/>
      <c r="Y441" s="221"/>
      <c r="Z441" s="221"/>
    </row>
    <row r="442" spans="1:26" ht="18.75" customHeight="1">
      <c r="A442" s="221"/>
      <c r="B442" s="221"/>
      <c r="C442" s="255"/>
      <c r="D442" s="255"/>
      <c r="E442" s="221"/>
      <c r="F442" s="221"/>
      <c r="G442" s="221"/>
      <c r="H442" s="221"/>
      <c r="I442" s="221"/>
      <c r="J442" s="221"/>
      <c r="K442" s="221"/>
      <c r="L442" s="255"/>
      <c r="M442" s="255"/>
      <c r="N442" s="221"/>
      <c r="O442" s="221"/>
      <c r="P442" s="221"/>
      <c r="Q442" s="221"/>
      <c r="R442" s="221"/>
      <c r="S442" s="221"/>
      <c r="T442" s="221"/>
      <c r="U442" s="221"/>
      <c r="V442" s="221"/>
      <c r="W442" s="221"/>
      <c r="X442" s="221"/>
      <c r="Y442" s="221"/>
      <c r="Z442" s="221"/>
    </row>
    <row r="443" spans="1:26" ht="18.75" customHeight="1">
      <c r="A443" s="221"/>
      <c r="B443" s="221"/>
      <c r="C443" s="255"/>
      <c r="D443" s="255"/>
      <c r="E443" s="221"/>
      <c r="F443" s="221"/>
      <c r="G443" s="221"/>
      <c r="H443" s="221"/>
      <c r="I443" s="221"/>
      <c r="J443" s="221"/>
      <c r="K443" s="221"/>
      <c r="L443" s="255"/>
      <c r="M443" s="255"/>
      <c r="N443" s="221"/>
      <c r="O443" s="221"/>
      <c r="P443" s="221"/>
      <c r="Q443" s="221"/>
      <c r="R443" s="221"/>
      <c r="S443" s="221"/>
      <c r="T443" s="221"/>
      <c r="U443" s="221"/>
      <c r="V443" s="221"/>
      <c r="W443" s="221"/>
      <c r="X443" s="221"/>
      <c r="Y443" s="221"/>
      <c r="Z443" s="221"/>
    </row>
    <row r="444" spans="1:26" ht="18.75" customHeight="1">
      <c r="A444" s="221"/>
      <c r="B444" s="221"/>
      <c r="C444" s="255"/>
      <c r="D444" s="255"/>
      <c r="E444" s="221"/>
      <c r="F444" s="221"/>
      <c r="G444" s="221"/>
      <c r="H444" s="221"/>
      <c r="I444" s="221"/>
      <c r="J444" s="221"/>
      <c r="K444" s="221"/>
      <c r="L444" s="255"/>
      <c r="M444" s="255"/>
      <c r="N444" s="221"/>
      <c r="O444" s="221"/>
      <c r="P444" s="221"/>
      <c r="Q444" s="221"/>
      <c r="R444" s="221"/>
      <c r="S444" s="221"/>
      <c r="T444" s="221"/>
      <c r="U444" s="221"/>
      <c r="V444" s="221"/>
      <c r="W444" s="221"/>
      <c r="X444" s="221"/>
      <c r="Y444" s="221"/>
      <c r="Z444" s="221"/>
    </row>
    <row r="445" spans="1:26" ht="18.75" customHeight="1">
      <c r="A445" s="221"/>
      <c r="B445" s="221"/>
      <c r="C445" s="255"/>
      <c r="D445" s="255"/>
      <c r="E445" s="221"/>
      <c r="F445" s="221"/>
      <c r="G445" s="221"/>
      <c r="H445" s="221"/>
      <c r="I445" s="221"/>
      <c r="J445" s="221"/>
      <c r="K445" s="221"/>
      <c r="L445" s="255"/>
      <c r="M445" s="255"/>
      <c r="N445" s="221"/>
      <c r="O445" s="221"/>
      <c r="P445" s="221"/>
      <c r="Q445" s="221"/>
      <c r="R445" s="221"/>
      <c r="S445" s="221"/>
      <c r="T445" s="221"/>
      <c r="U445" s="221"/>
      <c r="V445" s="221"/>
      <c r="W445" s="221"/>
      <c r="X445" s="221"/>
      <c r="Y445" s="221"/>
      <c r="Z445" s="221"/>
    </row>
    <row r="446" spans="1:26" ht="18.75" customHeight="1">
      <c r="A446" s="221"/>
      <c r="B446" s="221"/>
      <c r="C446" s="255"/>
      <c r="D446" s="255"/>
      <c r="E446" s="221"/>
      <c r="F446" s="221"/>
      <c r="G446" s="221"/>
      <c r="H446" s="221"/>
      <c r="I446" s="221"/>
      <c r="J446" s="221"/>
      <c r="K446" s="221"/>
      <c r="L446" s="255"/>
      <c r="M446" s="255"/>
      <c r="N446" s="221"/>
      <c r="O446" s="221"/>
      <c r="P446" s="221"/>
      <c r="Q446" s="221"/>
      <c r="R446" s="221"/>
      <c r="S446" s="221"/>
      <c r="T446" s="221"/>
      <c r="U446" s="221"/>
      <c r="V446" s="221"/>
      <c r="W446" s="221"/>
      <c r="X446" s="221"/>
      <c r="Y446" s="221"/>
      <c r="Z446" s="221"/>
    </row>
    <row r="447" spans="1:26" ht="18.75" customHeight="1">
      <c r="A447" s="221"/>
      <c r="B447" s="221"/>
      <c r="C447" s="255"/>
      <c r="D447" s="255"/>
      <c r="E447" s="221"/>
      <c r="F447" s="221"/>
      <c r="G447" s="221"/>
      <c r="H447" s="221"/>
      <c r="I447" s="221"/>
      <c r="J447" s="221"/>
      <c r="K447" s="221"/>
      <c r="L447" s="255"/>
      <c r="M447" s="255"/>
      <c r="N447" s="221"/>
      <c r="O447" s="221"/>
      <c r="P447" s="221"/>
      <c r="Q447" s="221"/>
      <c r="R447" s="221"/>
      <c r="S447" s="221"/>
      <c r="T447" s="221"/>
      <c r="U447" s="221"/>
      <c r="V447" s="221"/>
      <c r="W447" s="221"/>
      <c r="X447" s="221"/>
      <c r="Y447" s="221"/>
      <c r="Z447" s="221"/>
    </row>
    <row r="448" spans="1:26" ht="18.75" customHeight="1">
      <c r="A448" s="221"/>
      <c r="B448" s="221"/>
      <c r="C448" s="255"/>
      <c r="D448" s="255"/>
      <c r="E448" s="221"/>
      <c r="F448" s="221"/>
      <c r="G448" s="221"/>
      <c r="H448" s="221"/>
      <c r="I448" s="221"/>
      <c r="J448" s="221"/>
      <c r="K448" s="221"/>
      <c r="L448" s="255"/>
      <c r="M448" s="255"/>
      <c r="N448" s="221"/>
      <c r="O448" s="221"/>
      <c r="P448" s="221"/>
      <c r="Q448" s="221"/>
      <c r="R448" s="221"/>
      <c r="S448" s="221"/>
      <c r="T448" s="221"/>
      <c r="U448" s="221"/>
      <c r="V448" s="221"/>
      <c r="W448" s="221"/>
      <c r="X448" s="221"/>
      <c r="Y448" s="221"/>
      <c r="Z448" s="221"/>
    </row>
    <row r="449" spans="1:26" ht="18.75" customHeight="1">
      <c r="A449" s="221"/>
      <c r="B449" s="221"/>
      <c r="C449" s="255"/>
      <c r="D449" s="255"/>
      <c r="E449" s="221"/>
      <c r="F449" s="221"/>
      <c r="G449" s="221"/>
      <c r="H449" s="221"/>
      <c r="I449" s="221"/>
      <c r="J449" s="221"/>
      <c r="K449" s="221"/>
      <c r="L449" s="255"/>
      <c r="M449" s="255"/>
      <c r="N449" s="221"/>
      <c r="O449" s="221"/>
      <c r="P449" s="221"/>
      <c r="Q449" s="221"/>
      <c r="R449" s="221"/>
      <c r="S449" s="221"/>
      <c r="T449" s="221"/>
      <c r="U449" s="221"/>
      <c r="V449" s="221"/>
      <c r="W449" s="221"/>
      <c r="X449" s="221"/>
      <c r="Y449" s="221"/>
      <c r="Z449" s="221"/>
    </row>
    <row r="450" spans="1:26" ht="18.75" customHeight="1">
      <c r="A450" s="221"/>
      <c r="B450" s="221"/>
      <c r="C450" s="255"/>
      <c r="D450" s="255"/>
      <c r="E450" s="221"/>
      <c r="F450" s="221"/>
      <c r="G450" s="221"/>
      <c r="H450" s="221"/>
      <c r="I450" s="221"/>
      <c r="J450" s="221"/>
      <c r="K450" s="221"/>
      <c r="L450" s="255"/>
      <c r="M450" s="255"/>
      <c r="N450" s="221"/>
      <c r="O450" s="221"/>
      <c r="P450" s="221"/>
      <c r="Q450" s="221"/>
      <c r="R450" s="221"/>
      <c r="S450" s="221"/>
      <c r="T450" s="221"/>
      <c r="U450" s="221"/>
      <c r="V450" s="221"/>
      <c r="W450" s="221"/>
      <c r="X450" s="221"/>
      <c r="Y450" s="221"/>
      <c r="Z450" s="221"/>
    </row>
    <row r="451" spans="1:26" ht="18.75" customHeight="1">
      <c r="A451" s="221"/>
      <c r="B451" s="221"/>
      <c r="C451" s="255"/>
      <c r="D451" s="255"/>
      <c r="E451" s="221"/>
      <c r="F451" s="221"/>
      <c r="G451" s="221"/>
      <c r="H451" s="221"/>
      <c r="I451" s="221"/>
      <c r="J451" s="221"/>
      <c r="K451" s="221"/>
      <c r="L451" s="255"/>
      <c r="M451" s="255"/>
      <c r="N451" s="221"/>
      <c r="O451" s="221"/>
      <c r="P451" s="221"/>
      <c r="Q451" s="221"/>
      <c r="R451" s="221"/>
      <c r="S451" s="221"/>
      <c r="T451" s="221"/>
      <c r="U451" s="221"/>
      <c r="V451" s="221"/>
      <c r="W451" s="221"/>
      <c r="X451" s="221"/>
      <c r="Y451" s="221"/>
      <c r="Z451" s="221"/>
    </row>
    <row r="452" spans="1:26" ht="18.75" customHeight="1">
      <c r="A452" s="221"/>
      <c r="B452" s="221"/>
      <c r="C452" s="255"/>
      <c r="D452" s="255"/>
      <c r="E452" s="221"/>
      <c r="F452" s="221"/>
      <c r="G452" s="221"/>
      <c r="H452" s="221"/>
      <c r="I452" s="221"/>
      <c r="J452" s="221"/>
      <c r="K452" s="221"/>
      <c r="L452" s="255"/>
      <c r="M452" s="255"/>
      <c r="N452" s="221"/>
      <c r="O452" s="221"/>
      <c r="P452" s="221"/>
      <c r="Q452" s="221"/>
      <c r="R452" s="221"/>
      <c r="S452" s="221"/>
      <c r="T452" s="221"/>
      <c r="U452" s="221"/>
      <c r="V452" s="221"/>
      <c r="W452" s="221"/>
      <c r="X452" s="221"/>
      <c r="Y452" s="221"/>
      <c r="Z452" s="221"/>
    </row>
    <row r="453" spans="1:26" ht="18.75" customHeight="1">
      <c r="A453" s="221"/>
      <c r="B453" s="221"/>
      <c r="C453" s="255"/>
      <c r="D453" s="255"/>
      <c r="E453" s="221"/>
      <c r="F453" s="221"/>
      <c r="G453" s="221"/>
      <c r="H453" s="221"/>
      <c r="I453" s="221"/>
      <c r="J453" s="221"/>
      <c r="K453" s="221"/>
      <c r="L453" s="255"/>
      <c r="M453" s="255"/>
      <c r="N453" s="221"/>
      <c r="O453" s="221"/>
      <c r="P453" s="221"/>
      <c r="Q453" s="221"/>
      <c r="R453" s="221"/>
      <c r="S453" s="221"/>
      <c r="T453" s="221"/>
      <c r="U453" s="221"/>
      <c r="V453" s="221"/>
      <c r="W453" s="221"/>
      <c r="X453" s="221"/>
      <c r="Y453" s="221"/>
      <c r="Z453" s="221"/>
    </row>
    <row r="454" spans="1:26" ht="18.75" customHeight="1">
      <c r="A454" s="221"/>
      <c r="B454" s="221"/>
      <c r="C454" s="255"/>
      <c r="D454" s="255"/>
      <c r="E454" s="221"/>
      <c r="F454" s="221"/>
      <c r="G454" s="221"/>
      <c r="H454" s="221"/>
      <c r="I454" s="221"/>
      <c r="J454" s="221"/>
      <c r="K454" s="221"/>
      <c r="L454" s="255"/>
      <c r="M454" s="255"/>
      <c r="N454" s="221"/>
      <c r="O454" s="221"/>
      <c r="P454" s="221"/>
      <c r="Q454" s="221"/>
      <c r="R454" s="221"/>
      <c r="S454" s="221"/>
      <c r="T454" s="221"/>
      <c r="U454" s="221"/>
      <c r="V454" s="221"/>
      <c r="W454" s="221"/>
      <c r="X454" s="221"/>
      <c r="Y454" s="221"/>
      <c r="Z454" s="221"/>
    </row>
    <row r="455" spans="1:26" ht="18.75" customHeight="1">
      <c r="A455" s="221"/>
      <c r="B455" s="221"/>
      <c r="C455" s="255"/>
      <c r="D455" s="255"/>
      <c r="E455" s="221"/>
      <c r="F455" s="221"/>
      <c r="G455" s="221"/>
      <c r="H455" s="221"/>
      <c r="I455" s="221"/>
      <c r="J455" s="221"/>
      <c r="K455" s="221"/>
      <c r="L455" s="255"/>
      <c r="M455" s="255"/>
      <c r="N455" s="221"/>
      <c r="O455" s="221"/>
      <c r="P455" s="221"/>
      <c r="Q455" s="221"/>
      <c r="R455" s="221"/>
      <c r="S455" s="221"/>
      <c r="T455" s="221"/>
      <c r="U455" s="221"/>
      <c r="V455" s="221"/>
      <c r="W455" s="221"/>
      <c r="X455" s="221"/>
      <c r="Y455" s="221"/>
      <c r="Z455" s="221"/>
    </row>
    <row r="456" spans="1:26" ht="18.75" customHeight="1">
      <c r="A456" s="221"/>
      <c r="B456" s="221"/>
      <c r="C456" s="255"/>
      <c r="D456" s="255"/>
      <c r="E456" s="221"/>
      <c r="F456" s="221"/>
      <c r="G456" s="221"/>
      <c r="H456" s="221"/>
      <c r="I456" s="221"/>
      <c r="J456" s="221"/>
      <c r="K456" s="221"/>
      <c r="L456" s="255"/>
      <c r="M456" s="255"/>
      <c r="N456" s="221"/>
      <c r="O456" s="221"/>
      <c r="P456" s="221"/>
      <c r="Q456" s="221"/>
      <c r="R456" s="221"/>
      <c r="S456" s="221"/>
      <c r="T456" s="221"/>
      <c r="U456" s="221"/>
      <c r="V456" s="221"/>
      <c r="W456" s="221"/>
      <c r="X456" s="221"/>
      <c r="Y456" s="221"/>
      <c r="Z456" s="221"/>
    </row>
    <row r="457" spans="1:26" ht="18.75" customHeight="1">
      <c r="A457" s="221"/>
      <c r="B457" s="221"/>
      <c r="C457" s="255"/>
      <c r="D457" s="255"/>
      <c r="E457" s="221"/>
      <c r="F457" s="221"/>
      <c r="G457" s="221"/>
      <c r="H457" s="221"/>
      <c r="I457" s="221"/>
      <c r="J457" s="221"/>
      <c r="K457" s="221"/>
      <c r="L457" s="255"/>
      <c r="M457" s="255"/>
      <c r="N457" s="221"/>
      <c r="O457" s="221"/>
      <c r="P457" s="221"/>
      <c r="Q457" s="221"/>
      <c r="R457" s="221"/>
      <c r="S457" s="221"/>
      <c r="T457" s="221"/>
      <c r="U457" s="221"/>
      <c r="V457" s="221"/>
      <c r="W457" s="221"/>
      <c r="X457" s="221"/>
      <c r="Y457" s="221"/>
      <c r="Z457" s="221"/>
    </row>
    <row r="458" spans="1:26" ht="18.75" customHeight="1">
      <c r="A458" s="221"/>
      <c r="B458" s="221"/>
      <c r="C458" s="255"/>
      <c r="D458" s="255"/>
      <c r="E458" s="221"/>
      <c r="F458" s="221"/>
      <c r="G458" s="221"/>
      <c r="H458" s="221"/>
      <c r="I458" s="221"/>
      <c r="J458" s="221"/>
      <c r="K458" s="221"/>
      <c r="L458" s="255"/>
      <c r="M458" s="255"/>
      <c r="N458" s="221"/>
      <c r="O458" s="221"/>
      <c r="P458" s="221"/>
      <c r="Q458" s="221"/>
      <c r="R458" s="221"/>
      <c r="S458" s="221"/>
      <c r="T458" s="221"/>
      <c r="U458" s="221"/>
      <c r="V458" s="221"/>
      <c r="W458" s="221"/>
      <c r="X458" s="221"/>
      <c r="Y458" s="221"/>
      <c r="Z458" s="221"/>
    </row>
    <row r="459" spans="1:26" ht="18.75" customHeight="1">
      <c r="A459" s="221"/>
      <c r="B459" s="221"/>
      <c r="C459" s="255"/>
      <c r="D459" s="255"/>
      <c r="E459" s="221"/>
      <c r="F459" s="221"/>
      <c r="G459" s="221"/>
      <c r="H459" s="221"/>
      <c r="I459" s="221"/>
      <c r="J459" s="221"/>
      <c r="K459" s="221"/>
      <c r="L459" s="255"/>
      <c r="M459" s="255"/>
      <c r="N459" s="221"/>
      <c r="O459" s="221"/>
      <c r="P459" s="221"/>
      <c r="Q459" s="221"/>
      <c r="R459" s="221"/>
      <c r="S459" s="221"/>
      <c r="T459" s="221"/>
      <c r="U459" s="221"/>
      <c r="V459" s="221"/>
      <c r="W459" s="221"/>
      <c r="X459" s="221"/>
      <c r="Y459" s="221"/>
      <c r="Z459" s="221"/>
    </row>
    <row r="460" spans="1:26" ht="18.75" customHeight="1">
      <c r="A460" s="221"/>
      <c r="B460" s="221"/>
      <c r="C460" s="255"/>
      <c r="D460" s="255"/>
      <c r="E460" s="221"/>
      <c r="F460" s="221"/>
      <c r="G460" s="221"/>
      <c r="H460" s="221"/>
      <c r="I460" s="221"/>
      <c r="J460" s="221"/>
      <c r="K460" s="221"/>
      <c r="L460" s="255"/>
      <c r="M460" s="255"/>
      <c r="N460" s="221"/>
      <c r="O460" s="221"/>
      <c r="P460" s="221"/>
      <c r="Q460" s="221"/>
      <c r="R460" s="221"/>
      <c r="S460" s="221"/>
      <c r="T460" s="221"/>
      <c r="U460" s="221"/>
      <c r="V460" s="221"/>
      <c r="W460" s="221"/>
      <c r="X460" s="221"/>
      <c r="Y460" s="221"/>
      <c r="Z460" s="221"/>
    </row>
    <row r="461" spans="1:26" ht="18.75" customHeight="1">
      <c r="A461" s="221"/>
      <c r="B461" s="221"/>
      <c r="C461" s="255"/>
      <c r="D461" s="255"/>
      <c r="E461" s="221"/>
      <c r="F461" s="221"/>
      <c r="G461" s="221"/>
      <c r="H461" s="221"/>
      <c r="I461" s="221"/>
      <c r="J461" s="221"/>
      <c r="K461" s="221"/>
      <c r="L461" s="255"/>
      <c r="M461" s="255"/>
      <c r="N461" s="221"/>
      <c r="O461" s="221"/>
      <c r="P461" s="221"/>
      <c r="Q461" s="221"/>
      <c r="R461" s="221"/>
      <c r="S461" s="221"/>
      <c r="T461" s="221"/>
      <c r="U461" s="221"/>
      <c r="V461" s="221"/>
      <c r="W461" s="221"/>
      <c r="X461" s="221"/>
      <c r="Y461" s="221"/>
      <c r="Z461" s="221"/>
    </row>
    <row r="462" spans="1:26" ht="18.75" customHeight="1">
      <c r="A462" s="221"/>
      <c r="B462" s="221"/>
      <c r="C462" s="255"/>
      <c r="D462" s="255"/>
      <c r="E462" s="221"/>
      <c r="F462" s="221"/>
      <c r="G462" s="221"/>
      <c r="H462" s="221"/>
      <c r="I462" s="221"/>
      <c r="J462" s="221"/>
      <c r="K462" s="221"/>
      <c r="L462" s="255"/>
      <c r="M462" s="255"/>
      <c r="N462" s="221"/>
      <c r="O462" s="221"/>
      <c r="P462" s="221"/>
      <c r="Q462" s="221"/>
      <c r="R462" s="221"/>
      <c r="S462" s="221"/>
      <c r="T462" s="221"/>
      <c r="U462" s="221"/>
      <c r="V462" s="221"/>
      <c r="W462" s="221"/>
      <c r="X462" s="221"/>
      <c r="Y462" s="221"/>
      <c r="Z462" s="221"/>
    </row>
    <row r="463" spans="1:26" ht="18.75" customHeight="1">
      <c r="A463" s="221"/>
      <c r="B463" s="221"/>
      <c r="C463" s="255"/>
      <c r="D463" s="255"/>
      <c r="E463" s="221"/>
      <c r="F463" s="221"/>
      <c r="G463" s="221"/>
      <c r="H463" s="221"/>
      <c r="I463" s="221"/>
      <c r="J463" s="221"/>
      <c r="K463" s="221"/>
      <c r="L463" s="255"/>
      <c r="M463" s="255"/>
      <c r="N463" s="221"/>
      <c r="O463" s="221"/>
      <c r="P463" s="221"/>
      <c r="Q463" s="221"/>
      <c r="R463" s="221"/>
      <c r="S463" s="221"/>
      <c r="T463" s="221"/>
      <c r="U463" s="221"/>
      <c r="V463" s="221"/>
      <c r="W463" s="221"/>
      <c r="X463" s="221"/>
      <c r="Y463" s="221"/>
      <c r="Z463" s="221"/>
    </row>
    <row r="464" spans="1:26" ht="18.75" customHeight="1">
      <c r="A464" s="221"/>
      <c r="B464" s="221"/>
      <c r="C464" s="255"/>
      <c r="D464" s="255"/>
      <c r="E464" s="221"/>
      <c r="F464" s="221"/>
      <c r="G464" s="221"/>
      <c r="H464" s="221"/>
      <c r="I464" s="221"/>
      <c r="J464" s="221"/>
      <c r="K464" s="221"/>
      <c r="L464" s="255"/>
      <c r="M464" s="255"/>
      <c r="N464" s="221"/>
      <c r="O464" s="221"/>
      <c r="P464" s="221"/>
      <c r="Q464" s="221"/>
      <c r="R464" s="221"/>
      <c r="S464" s="221"/>
      <c r="T464" s="221"/>
      <c r="U464" s="221"/>
      <c r="V464" s="221"/>
      <c r="W464" s="221"/>
      <c r="X464" s="221"/>
      <c r="Y464" s="221"/>
      <c r="Z464" s="221"/>
    </row>
    <row r="465" spans="1:26" ht="18.75" customHeight="1">
      <c r="A465" s="221"/>
      <c r="B465" s="221"/>
      <c r="C465" s="255"/>
      <c r="D465" s="255"/>
      <c r="E465" s="221"/>
      <c r="F465" s="221"/>
      <c r="G465" s="221"/>
      <c r="H465" s="221"/>
      <c r="I465" s="221"/>
      <c r="J465" s="221"/>
      <c r="K465" s="221"/>
      <c r="L465" s="255"/>
      <c r="M465" s="255"/>
      <c r="N465" s="221"/>
      <c r="O465" s="221"/>
      <c r="P465" s="221"/>
      <c r="Q465" s="221"/>
      <c r="R465" s="221"/>
      <c r="S465" s="221"/>
      <c r="T465" s="221"/>
      <c r="U465" s="221"/>
      <c r="V465" s="221"/>
      <c r="W465" s="221"/>
      <c r="X465" s="221"/>
      <c r="Y465" s="221"/>
      <c r="Z465" s="221"/>
    </row>
    <row r="466" spans="1:26" ht="18.75" customHeight="1">
      <c r="A466" s="221"/>
      <c r="B466" s="221"/>
      <c r="C466" s="255"/>
      <c r="D466" s="255"/>
      <c r="E466" s="221"/>
      <c r="F466" s="221"/>
      <c r="G466" s="221"/>
      <c r="H466" s="221"/>
      <c r="I466" s="221"/>
      <c r="J466" s="221"/>
      <c r="K466" s="221"/>
      <c r="L466" s="255"/>
      <c r="M466" s="255"/>
      <c r="N466" s="221"/>
      <c r="O466" s="221"/>
      <c r="P466" s="221"/>
      <c r="Q466" s="221"/>
      <c r="R466" s="221"/>
      <c r="S466" s="221"/>
      <c r="T466" s="221"/>
      <c r="U466" s="221"/>
      <c r="V466" s="221"/>
      <c r="W466" s="221"/>
      <c r="X466" s="221"/>
      <c r="Y466" s="221"/>
      <c r="Z466" s="221"/>
    </row>
    <row r="467" spans="1:26" ht="18.75" customHeight="1">
      <c r="A467" s="221"/>
      <c r="B467" s="221"/>
      <c r="C467" s="255"/>
      <c r="D467" s="255"/>
      <c r="E467" s="221"/>
      <c r="F467" s="221"/>
      <c r="G467" s="221"/>
      <c r="H467" s="221"/>
      <c r="I467" s="221"/>
      <c r="J467" s="221"/>
      <c r="K467" s="221"/>
      <c r="L467" s="255"/>
      <c r="M467" s="255"/>
      <c r="N467" s="221"/>
      <c r="O467" s="221"/>
      <c r="P467" s="221"/>
      <c r="Q467" s="221"/>
      <c r="R467" s="221"/>
      <c r="S467" s="221"/>
      <c r="T467" s="221"/>
      <c r="U467" s="221"/>
      <c r="V467" s="221"/>
      <c r="W467" s="221"/>
      <c r="X467" s="221"/>
      <c r="Y467" s="221"/>
      <c r="Z467" s="221"/>
    </row>
    <row r="468" spans="1:26" ht="18.75" customHeight="1">
      <c r="A468" s="221"/>
      <c r="B468" s="221"/>
      <c r="C468" s="255"/>
      <c r="D468" s="255"/>
      <c r="E468" s="221"/>
      <c r="F468" s="221"/>
      <c r="G468" s="221"/>
      <c r="H468" s="221"/>
      <c r="I468" s="221"/>
      <c r="J468" s="221"/>
      <c r="K468" s="221"/>
      <c r="L468" s="255"/>
      <c r="M468" s="255"/>
      <c r="N468" s="221"/>
      <c r="O468" s="221"/>
      <c r="P468" s="221"/>
      <c r="Q468" s="221"/>
      <c r="R468" s="221"/>
      <c r="S468" s="221"/>
      <c r="T468" s="221"/>
      <c r="U468" s="221"/>
      <c r="V468" s="221"/>
      <c r="W468" s="221"/>
      <c r="X468" s="221"/>
      <c r="Y468" s="221"/>
      <c r="Z468" s="221"/>
    </row>
    <row r="469" spans="1:26" ht="18.75" customHeight="1">
      <c r="A469" s="221"/>
      <c r="B469" s="221"/>
      <c r="C469" s="255"/>
      <c r="D469" s="255"/>
      <c r="E469" s="221"/>
      <c r="F469" s="221"/>
      <c r="G469" s="221"/>
      <c r="H469" s="221"/>
      <c r="I469" s="221"/>
      <c r="J469" s="221"/>
      <c r="K469" s="221"/>
      <c r="L469" s="255"/>
      <c r="M469" s="255"/>
      <c r="N469" s="221"/>
      <c r="O469" s="221"/>
      <c r="P469" s="221"/>
      <c r="Q469" s="221"/>
      <c r="R469" s="221"/>
      <c r="S469" s="221"/>
      <c r="T469" s="221"/>
      <c r="U469" s="221"/>
      <c r="V469" s="221"/>
      <c r="W469" s="221"/>
      <c r="X469" s="221"/>
      <c r="Y469" s="221"/>
      <c r="Z469" s="221"/>
    </row>
    <row r="470" spans="1:26" ht="18.75" customHeight="1">
      <c r="A470" s="221"/>
      <c r="B470" s="221"/>
      <c r="C470" s="255"/>
      <c r="D470" s="255"/>
      <c r="E470" s="221"/>
      <c r="F470" s="221"/>
      <c r="G470" s="221"/>
      <c r="H470" s="221"/>
      <c r="I470" s="221"/>
      <c r="J470" s="221"/>
      <c r="K470" s="221"/>
      <c r="L470" s="255"/>
      <c r="M470" s="255"/>
      <c r="N470" s="221"/>
      <c r="O470" s="221"/>
      <c r="P470" s="221"/>
      <c r="Q470" s="221"/>
      <c r="R470" s="221"/>
      <c r="S470" s="221"/>
      <c r="T470" s="221"/>
      <c r="U470" s="221"/>
      <c r="V470" s="221"/>
      <c r="W470" s="221"/>
      <c r="X470" s="221"/>
      <c r="Y470" s="221"/>
      <c r="Z470" s="221"/>
    </row>
    <row r="471" spans="1:26" ht="18.75" customHeight="1">
      <c r="A471" s="221"/>
      <c r="B471" s="221"/>
      <c r="C471" s="255"/>
      <c r="D471" s="255"/>
      <c r="E471" s="221"/>
      <c r="F471" s="221"/>
      <c r="G471" s="221"/>
      <c r="H471" s="221"/>
      <c r="I471" s="221"/>
      <c r="J471" s="221"/>
      <c r="K471" s="221"/>
      <c r="L471" s="255"/>
      <c r="M471" s="255"/>
      <c r="N471" s="221"/>
      <c r="O471" s="221"/>
      <c r="P471" s="221"/>
      <c r="Q471" s="221"/>
      <c r="R471" s="221"/>
      <c r="S471" s="221"/>
      <c r="T471" s="221"/>
      <c r="U471" s="221"/>
      <c r="V471" s="221"/>
      <c r="W471" s="221"/>
      <c r="X471" s="221"/>
      <c r="Y471" s="221"/>
      <c r="Z471" s="221"/>
    </row>
    <row r="472" spans="1:26" ht="18.75" customHeight="1">
      <c r="A472" s="221"/>
      <c r="B472" s="221"/>
      <c r="C472" s="255"/>
      <c r="D472" s="255"/>
      <c r="E472" s="221"/>
      <c r="F472" s="221"/>
      <c r="G472" s="221"/>
      <c r="H472" s="221"/>
      <c r="I472" s="221"/>
      <c r="J472" s="221"/>
      <c r="K472" s="221"/>
      <c r="L472" s="255"/>
      <c r="M472" s="255"/>
      <c r="N472" s="221"/>
      <c r="O472" s="221"/>
      <c r="P472" s="221"/>
      <c r="Q472" s="221"/>
      <c r="R472" s="221"/>
      <c r="S472" s="221"/>
      <c r="T472" s="221"/>
      <c r="U472" s="221"/>
      <c r="V472" s="221"/>
      <c r="W472" s="221"/>
      <c r="X472" s="221"/>
      <c r="Y472" s="221"/>
      <c r="Z472" s="221"/>
    </row>
    <row r="473" spans="1:26" ht="18.75" customHeight="1">
      <c r="A473" s="221"/>
      <c r="B473" s="221"/>
      <c r="C473" s="255"/>
      <c r="D473" s="255"/>
      <c r="E473" s="221"/>
      <c r="F473" s="221"/>
      <c r="G473" s="221"/>
      <c r="H473" s="221"/>
      <c r="I473" s="221"/>
      <c r="J473" s="221"/>
      <c r="K473" s="221"/>
      <c r="L473" s="255"/>
      <c r="M473" s="255"/>
      <c r="N473" s="221"/>
      <c r="O473" s="221"/>
      <c r="P473" s="221"/>
      <c r="Q473" s="221"/>
      <c r="R473" s="221"/>
      <c r="S473" s="221"/>
      <c r="T473" s="221"/>
      <c r="U473" s="221"/>
      <c r="V473" s="221"/>
      <c r="W473" s="221"/>
      <c r="X473" s="221"/>
      <c r="Y473" s="221"/>
      <c r="Z473" s="221"/>
    </row>
    <row r="474" spans="1:26" ht="18.75" customHeight="1">
      <c r="A474" s="221"/>
      <c r="B474" s="221"/>
      <c r="C474" s="255"/>
      <c r="D474" s="255"/>
      <c r="E474" s="221"/>
      <c r="F474" s="221"/>
      <c r="G474" s="221"/>
      <c r="H474" s="221"/>
      <c r="I474" s="221"/>
      <c r="J474" s="221"/>
      <c r="K474" s="221"/>
      <c r="L474" s="255"/>
      <c r="M474" s="255"/>
      <c r="N474" s="221"/>
      <c r="O474" s="221"/>
      <c r="P474" s="221"/>
      <c r="Q474" s="221"/>
      <c r="R474" s="221"/>
      <c r="S474" s="221"/>
      <c r="T474" s="221"/>
      <c r="U474" s="221"/>
      <c r="V474" s="221"/>
      <c r="W474" s="221"/>
      <c r="X474" s="221"/>
      <c r="Y474" s="221"/>
      <c r="Z474" s="221"/>
    </row>
    <row r="475" spans="1:26" ht="18.75" customHeight="1">
      <c r="A475" s="221"/>
      <c r="B475" s="221"/>
      <c r="C475" s="255"/>
      <c r="D475" s="255"/>
      <c r="E475" s="221"/>
      <c r="F475" s="221"/>
      <c r="G475" s="221"/>
      <c r="H475" s="221"/>
      <c r="I475" s="221"/>
      <c r="J475" s="221"/>
      <c r="K475" s="221"/>
      <c r="L475" s="255"/>
      <c r="M475" s="255"/>
      <c r="N475" s="221"/>
      <c r="O475" s="221"/>
      <c r="P475" s="221"/>
      <c r="Q475" s="221"/>
      <c r="R475" s="221"/>
      <c r="S475" s="221"/>
      <c r="T475" s="221"/>
      <c r="U475" s="221"/>
      <c r="V475" s="221"/>
      <c r="W475" s="221"/>
      <c r="X475" s="221"/>
      <c r="Y475" s="221"/>
      <c r="Z475" s="221"/>
    </row>
    <row r="476" spans="1:26" ht="18.75" customHeight="1">
      <c r="A476" s="221"/>
      <c r="B476" s="221"/>
      <c r="C476" s="255"/>
      <c r="D476" s="255"/>
      <c r="E476" s="221"/>
      <c r="F476" s="221"/>
      <c r="G476" s="221"/>
      <c r="H476" s="221"/>
      <c r="I476" s="221"/>
      <c r="J476" s="221"/>
      <c r="K476" s="221"/>
      <c r="L476" s="255"/>
      <c r="M476" s="255"/>
      <c r="N476" s="221"/>
      <c r="O476" s="221"/>
      <c r="P476" s="221"/>
      <c r="Q476" s="221"/>
      <c r="R476" s="221"/>
      <c r="S476" s="221"/>
      <c r="T476" s="221"/>
      <c r="U476" s="221"/>
      <c r="V476" s="221"/>
      <c r="W476" s="221"/>
      <c r="X476" s="221"/>
      <c r="Y476" s="221"/>
      <c r="Z476" s="221"/>
    </row>
    <row r="477" spans="1:26" ht="18.75" customHeight="1">
      <c r="A477" s="221"/>
      <c r="B477" s="221"/>
      <c r="C477" s="255"/>
      <c r="D477" s="255"/>
      <c r="E477" s="221"/>
      <c r="F477" s="221"/>
      <c r="G477" s="221"/>
      <c r="H477" s="221"/>
      <c r="I477" s="221"/>
      <c r="J477" s="221"/>
      <c r="K477" s="221"/>
      <c r="L477" s="255"/>
      <c r="M477" s="255"/>
      <c r="N477" s="221"/>
      <c r="O477" s="221"/>
      <c r="P477" s="221"/>
      <c r="Q477" s="221"/>
      <c r="R477" s="221"/>
      <c r="S477" s="221"/>
      <c r="T477" s="221"/>
      <c r="U477" s="221"/>
      <c r="V477" s="221"/>
      <c r="W477" s="221"/>
      <c r="X477" s="221"/>
      <c r="Y477" s="221"/>
      <c r="Z477" s="221"/>
    </row>
    <row r="478" spans="1:26" ht="18.75" customHeight="1">
      <c r="A478" s="221"/>
      <c r="B478" s="221"/>
      <c r="C478" s="255"/>
      <c r="D478" s="255"/>
      <c r="E478" s="221"/>
      <c r="F478" s="221"/>
      <c r="G478" s="221"/>
      <c r="H478" s="221"/>
      <c r="I478" s="221"/>
      <c r="J478" s="221"/>
      <c r="K478" s="221"/>
      <c r="L478" s="255"/>
      <c r="M478" s="255"/>
      <c r="N478" s="221"/>
      <c r="O478" s="221"/>
      <c r="P478" s="221"/>
      <c r="Q478" s="221"/>
      <c r="R478" s="221"/>
      <c r="S478" s="221"/>
      <c r="T478" s="221"/>
      <c r="U478" s="221"/>
      <c r="V478" s="221"/>
      <c r="W478" s="221"/>
      <c r="X478" s="221"/>
      <c r="Y478" s="221"/>
      <c r="Z478" s="221"/>
    </row>
    <row r="479" spans="1:26" ht="18.75" customHeight="1">
      <c r="A479" s="221"/>
      <c r="B479" s="221"/>
      <c r="C479" s="255"/>
      <c r="D479" s="255"/>
      <c r="E479" s="221"/>
      <c r="F479" s="221"/>
      <c r="G479" s="221"/>
      <c r="H479" s="221"/>
      <c r="I479" s="221"/>
      <c r="J479" s="221"/>
      <c r="K479" s="221"/>
      <c r="L479" s="255"/>
      <c r="M479" s="255"/>
      <c r="N479" s="221"/>
      <c r="O479" s="221"/>
      <c r="P479" s="221"/>
      <c r="Q479" s="221"/>
      <c r="R479" s="221"/>
      <c r="S479" s="221"/>
      <c r="T479" s="221"/>
      <c r="U479" s="221"/>
      <c r="V479" s="221"/>
      <c r="W479" s="221"/>
      <c r="X479" s="221"/>
      <c r="Y479" s="221"/>
      <c r="Z479" s="221"/>
    </row>
    <row r="480" spans="1:26" ht="18.75" customHeight="1">
      <c r="A480" s="221"/>
      <c r="B480" s="221"/>
      <c r="C480" s="255"/>
      <c r="D480" s="255"/>
      <c r="E480" s="221"/>
      <c r="F480" s="221"/>
      <c r="G480" s="221"/>
      <c r="H480" s="221"/>
      <c r="I480" s="221"/>
      <c r="J480" s="221"/>
      <c r="K480" s="221"/>
      <c r="L480" s="255"/>
      <c r="M480" s="255"/>
      <c r="N480" s="221"/>
      <c r="O480" s="221"/>
      <c r="P480" s="221"/>
      <c r="Q480" s="221"/>
      <c r="R480" s="221"/>
      <c r="S480" s="221"/>
      <c r="T480" s="221"/>
      <c r="U480" s="221"/>
      <c r="V480" s="221"/>
      <c r="W480" s="221"/>
      <c r="X480" s="221"/>
      <c r="Y480" s="221"/>
      <c r="Z480" s="221"/>
    </row>
    <row r="481" spans="1:26" ht="18.75" customHeight="1">
      <c r="A481" s="221"/>
      <c r="B481" s="221"/>
      <c r="C481" s="255"/>
      <c r="D481" s="255"/>
      <c r="E481" s="221"/>
      <c r="F481" s="221"/>
      <c r="G481" s="221"/>
      <c r="H481" s="221"/>
      <c r="I481" s="221"/>
      <c r="J481" s="221"/>
      <c r="K481" s="221"/>
      <c r="L481" s="255"/>
      <c r="M481" s="255"/>
      <c r="N481" s="221"/>
      <c r="O481" s="221"/>
      <c r="P481" s="221"/>
      <c r="Q481" s="221"/>
      <c r="R481" s="221"/>
      <c r="S481" s="221"/>
      <c r="T481" s="221"/>
      <c r="U481" s="221"/>
      <c r="V481" s="221"/>
      <c r="W481" s="221"/>
      <c r="X481" s="221"/>
      <c r="Y481" s="221"/>
      <c r="Z481" s="221"/>
    </row>
    <row r="482" spans="1:26" ht="18.75" customHeight="1">
      <c r="A482" s="221"/>
      <c r="B482" s="221"/>
      <c r="C482" s="255"/>
      <c r="D482" s="255"/>
      <c r="E482" s="221"/>
      <c r="F482" s="221"/>
      <c r="G482" s="221"/>
      <c r="H482" s="221"/>
      <c r="I482" s="221"/>
      <c r="J482" s="221"/>
      <c r="K482" s="221"/>
      <c r="L482" s="255"/>
      <c r="M482" s="255"/>
      <c r="N482" s="221"/>
      <c r="O482" s="221"/>
      <c r="P482" s="221"/>
      <c r="Q482" s="221"/>
      <c r="R482" s="221"/>
      <c r="S482" s="221"/>
      <c r="T482" s="221"/>
      <c r="U482" s="221"/>
      <c r="V482" s="221"/>
      <c r="W482" s="221"/>
      <c r="X482" s="221"/>
      <c r="Y482" s="221"/>
      <c r="Z482" s="221"/>
    </row>
    <row r="483" spans="1:26" ht="18.75" customHeight="1">
      <c r="A483" s="221"/>
      <c r="B483" s="221"/>
      <c r="C483" s="255"/>
      <c r="D483" s="255"/>
      <c r="E483" s="221"/>
      <c r="F483" s="221"/>
      <c r="G483" s="221"/>
      <c r="H483" s="221"/>
      <c r="I483" s="221"/>
      <c r="J483" s="221"/>
      <c r="K483" s="221"/>
      <c r="L483" s="255"/>
      <c r="M483" s="255"/>
      <c r="N483" s="221"/>
      <c r="O483" s="221"/>
      <c r="P483" s="221"/>
      <c r="Q483" s="221"/>
      <c r="R483" s="221"/>
      <c r="S483" s="221"/>
      <c r="T483" s="221"/>
      <c r="U483" s="221"/>
      <c r="V483" s="221"/>
      <c r="W483" s="221"/>
      <c r="X483" s="221"/>
      <c r="Y483" s="221"/>
      <c r="Z483" s="221"/>
    </row>
    <row r="484" spans="1:26" ht="18.75" customHeight="1">
      <c r="A484" s="221"/>
      <c r="B484" s="221"/>
      <c r="C484" s="255"/>
      <c r="D484" s="255"/>
      <c r="E484" s="221"/>
      <c r="F484" s="221"/>
      <c r="G484" s="221"/>
      <c r="H484" s="221"/>
      <c r="I484" s="221"/>
      <c r="J484" s="221"/>
      <c r="K484" s="221"/>
      <c r="L484" s="255"/>
      <c r="M484" s="255"/>
      <c r="N484" s="221"/>
      <c r="O484" s="221"/>
      <c r="P484" s="221"/>
      <c r="Q484" s="221"/>
      <c r="R484" s="221"/>
      <c r="S484" s="221"/>
      <c r="T484" s="221"/>
      <c r="U484" s="221"/>
      <c r="V484" s="221"/>
      <c r="W484" s="221"/>
      <c r="X484" s="221"/>
      <c r="Y484" s="221"/>
      <c r="Z484" s="221"/>
    </row>
    <row r="485" spans="1:26" ht="18.75" customHeight="1">
      <c r="A485" s="221"/>
      <c r="B485" s="221"/>
      <c r="C485" s="255"/>
      <c r="D485" s="255"/>
      <c r="E485" s="221"/>
      <c r="F485" s="221"/>
      <c r="G485" s="221"/>
      <c r="H485" s="221"/>
      <c r="I485" s="221"/>
      <c r="J485" s="221"/>
      <c r="K485" s="221"/>
      <c r="L485" s="255"/>
      <c r="M485" s="255"/>
      <c r="N485" s="221"/>
      <c r="O485" s="221"/>
      <c r="P485" s="221"/>
      <c r="Q485" s="221"/>
      <c r="R485" s="221"/>
      <c r="S485" s="221"/>
      <c r="T485" s="221"/>
      <c r="U485" s="221"/>
      <c r="V485" s="221"/>
      <c r="W485" s="221"/>
      <c r="X485" s="221"/>
      <c r="Y485" s="221"/>
      <c r="Z485" s="221"/>
    </row>
    <row r="486" spans="1:26" ht="18.75" customHeight="1">
      <c r="A486" s="221"/>
      <c r="B486" s="221"/>
      <c r="C486" s="255"/>
      <c r="D486" s="255"/>
      <c r="E486" s="221"/>
      <c r="F486" s="221"/>
      <c r="G486" s="221"/>
      <c r="H486" s="221"/>
      <c r="I486" s="221"/>
      <c r="J486" s="221"/>
      <c r="K486" s="221"/>
      <c r="L486" s="255"/>
      <c r="M486" s="255"/>
      <c r="N486" s="221"/>
      <c r="O486" s="221"/>
      <c r="P486" s="221"/>
      <c r="Q486" s="221"/>
      <c r="R486" s="221"/>
      <c r="S486" s="221"/>
      <c r="T486" s="221"/>
      <c r="U486" s="221"/>
      <c r="V486" s="221"/>
      <c r="W486" s="221"/>
      <c r="X486" s="221"/>
      <c r="Y486" s="221"/>
      <c r="Z486" s="221"/>
    </row>
    <row r="487" spans="1:26" ht="18.75" customHeight="1">
      <c r="A487" s="221"/>
      <c r="B487" s="221"/>
      <c r="C487" s="255"/>
      <c r="D487" s="255"/>
      <c r="E487" s="221"/>
      <c r="F487" s="221"/>
      <c r="G487" s="221"/>
      <c r="H487" s="221"/>
      <c r="I487" s="221"/>
      <c r="J487" s="221"/>
      <c r="K487" s="221"/>
      <c r="L487" s="255"/>
      <c r="M487" s="255"/>
      <c r="N487" s="221"/>
      <c r="O487" s="221"/>
      <c r="P487" s="221"/>
      <c r="Q487" s="221"/>
      <c r="R487" s="221"/>
      <c r="S487" s="221"/>
      <c r="T487" s="221"/>
      <c r="U487" s="221"/>
      <c r="V487" s="221"/>
      <c r="W487" s="221"/>
      <c r="X487" s="221"/>
      <c r="Y487" s="221"/>
      <c r="Z487" s="221"/>
    </row>
    <row r="488" spans="1:26" ht="18.75" customHeight="1">
      <c r="A488" s="221"/>
      <c r="B488" s="221"/>
      <c r="C488" s="255"/>
      <c r="D488" s="255"/>
      <c r="E488" s="221"/>
      <c r="F488" s="221"/>
      <c r="G488" s="221"/>
      <c r="H488" s="221"/>
      <c r="I488" s="221"/>
      <c r="J488" s="221"/>
      <c r="K488" s="221"/>
      <c r="L488" s="255"/>
      <c r="M488" s="255"/>
      <c r="N488" s="221"/>
      <c r="O488" s="221"/>
      <c r="P488" s="221"/>
      <c r="Q488" s="221"/>
      <c r="R488" s="221"/>
      <c r="S488" s="221"/>
      <c r="T488" s="221"/>
      <c r="U488" s="221"/>
      <c r="V488" s="221"/>
      <c r="W488" s="221"/>
      <c r="X488" s="221"/>
      <c r="Y488" s="221"/>
      <c r="Z488" s="221"/>
    </row>
    <row r="489" spans="1:26" ht="18.75" customHeight="1">
      <c r="A489" s="221"/>
      <c r="B489" s="221"/>
      <c r="C489" s="255"/>
      <c r="D489" s="255"/>
      <c r="E489" s="221"/>
      <c r="F489" s="221"/>
      <c r="G489" s="221"/>
      <c r="H489" s="221"/>
      <c r="I489" s="221"/>
      <c r="J489" s="221"/>
      <c r="K489" s="221"/>
      <c r="L489" s="255"/>
      <c r="M489" s="255"/>
      <c r="N489" s="221"/>
      <c r="O489" s="221"/>
      <c r="P489" s="221"/>
      <c r="Q489" s="221"/>
      <c r="R489" s="221"/>
      <c r="S489" s="221"/>
      <c r="T489" s="221"/>
      <c r="U489" s="221"/>
      <c r="V489" s="221"/>
      <c r="W489" s="221"/>
      <c r="X489" s="221"/>
      <c r="Y489" s="221"/>
      <c r="Z489" s="221"/>
    </row>
    <row r="490" spans="1:26" ht="18.75" customHeight="1">
      <c r="A490" s="221"/>
      <c r="B490" s="221"/>
      <c r="C490" s="255"/>
      <c r="D490" s="255"/>
      <c r="E490" s="221"/>
      <c r="F490" s="221"/>
      <c r="G490" s="221"/>
      <c r="H490" s="221"/>
      <c r="I490" s="221"/>
      <c r="J490" s="221"/>
      <c r="K490" s="221"/>
      <c r="L490" s="255"/>
      <c r="M490" s="255"/>
      <c r="N490" s="221"/>
      <c r="O490" s="221"/>
      <c r="P490" s="221"/>
      <c r="Q490" s="221"/>
      <c r="R490" s="221"/>
      <c r="S490" s="221"/>
      <c r="T490" s="221"/>
      <c r="U490" s="221"/>
      <c r="V490" s="221"/>
      <c r="W490" s="221"/>
      <c r="X490" s="221"/>
      <c r="Y490" s="221"/>
      <c r="Z490" s="221"/>
    </row>
    <row r="491" spans="1:26" ht="18.75" customHeight="1">
      <c r="A491" s="221"/>
      <c r="B491" s="221"/>
      <c r="C491" s="255"/>
      <c r="D491" s="255"/>
      <c r="E491" s="221"/>
      <c r="F491" s="221"/>
      <c r="G491" s="221"/>
      <c r="H491" s="221"/>
      <c r="I491" s="221"/>
      <c r="J491" s="221"/>
      <c r="K491" s="221"/>
      <c r="L491" s="255"/>
      <c r="M491" s="255"/>
      <c r="N491" s="221"/>
      <c r="O491" s="221"/>
      <c r="P491" s="221"/>
      <c r="Q491" s="221"/>
      <c r="R491" s="221"/>
      <c r="S491" s="221"/>
      <c r="T491" s="221"/>
      <c r="U491" s="221"/>
      <c r="V491" s="221"/>
      <c r="W491" s="221"/>
      <c r="X491" s="221"/>
      <c r="Y491" s="221"/>
      <c r="Z491" s="221"/>
    </row>
    <row r="492" spans="1:26" ht="18.75" customHeight="1">
      <c r="A492" s="221"/>
      <c r="B492" s="221"/>
      <c r="C492" s="255"/>
      <c r="D492" s="255"/>
      <c r="E492" s="221"/>
      <c r="F492" s="221"/>
      <c r="G492" s="221"/>
      <c r="H492" s="221"/>
      <c r="I492" s="221"/>
      <c r="J492" s="221"/>
      <c r="K492" s="221"/>
      <c r="L492" s="255"/>
      <c r="M492" s="255"/>
      <c r="N492" s="221"/>
      <c r="O492" s="221"/>
      <c r="P492" s="221"/>
      <c r="Q492" s="221"/>
      <c r="R492" s="221"/>
      <c r="S492" s="221"/>
      <c r="T492" s="221"/>
      <c r="U492" s="221"/>
      <c r="V492" s="221"/>
      <c r="W492" s="221"/>
      <c r="X492" s="221"/>
      <c r="Y492" s="221"/>
      <c r="Z492" s="221"/>
    </row>
    <row r="493" spans="1:26" ht="18.75" customHeight="1">
      <c r="A493" s="221"/>
      <c r="B493" s="221"/>
      <c r="C493" s="255"/>
      <c r="D493" s="255"/>
      <c r="E493" s="221"/>
      <c r="F493" s="221"/>
      <c r="G493" s="221"/>
      <c r="H493" s="221"/>
      <c r="I493" s="221"/>
      <c r="J493" s="221"/>
      <c r="K493" s="221"/>
      <c r="L493" s="255"/>
      <c r="M493" s="255"/>
      <c r="N493" s="221"/>
      <c r="O493" s="221"/>
      <c r="P493" s="221"/>
      <c r="Q493" s="221"/>
      <c r="R493" s="221"/>
      <c r="S493" s="221"/>
      <c r="T493" s="221"/>
      <c r="U493" s="221"/>
      <c r="V493" s="221"/>
      <c r="W493" s="221"/>
      <c r="X493" s="221"/>
      <c r="Y493" s="221"/>
      <c r="Z493" s="221"/>
    </row>
    <row r="494" spans="1:26" ht="18.75" customHeight="1">
      <c r="A494" s="221"/>
      <c r="B494" s="221"/>
      <c r="C494" s="255"/>
      <c r="D494" s="255"/>
      <c r="E494" s="221"/>
      <c r="F494" s="221"/>
      <c r="G494" s="221"/>
      <c r="H494" s="221"/>
      <c r="I494" s="221"/>
      <c r="J494" s="221"/>
      <c r="K494" s="221"/>
      <c r="L494" s="255"/>
      <c r="M494" s="255"/>
      <c r="N494" s="221"/>
      <c r="O494" s="221"/>
      <c r="P494" s="221"/>
      <c r="Q494" s="221"/>
      <c r="R494" s="221"/>
      <c r="S494" s="221"/>
      <c r="T494" s="221"/>
      <c r="U494" s="221"/>
      <c r="V494" s="221"/>
      <c r="W494" s="221"/>
      <c r="X494" s="221"/>
      <c r="Y494" s="221"/>
      <c r="Z494" s="221"/>
    </row>
    <row r="495" spans="1:26" ht="18.75" customHeight="1">
      <c r="A495" s="221"/>
      <c r="B495" s="221"/>
      <c r="C495" s="255"/>
      <c r="D495" s="255"/>
      <c r="E495" s="221"/>
      <c r="F495" s="221"/>
      <c r="G495" s="221"/>
      <c r="H495" s="221"/>
      <c r="I495" s="221"/>
      <c r="J495" s="221"/>
      <c r="K495" s="221"/>
      <c r="L495" s="255"/>
      <c r="M495" s="255"/>
      <c r="N495" s="221"/>
      <c r="O495" s="221"/>
      <c r="P495" s="221"/>
      <c r="Q495" s="221"/>
      <c r="R495" s="221"/>
      <c r="S495" s="221"/>
      <c r="T495" s="221"/>
      <c r="U495" s="221"/>
      <c r="V495" s="221"/>
      <c r="W495" s="221"/>
      <c r="X495" s="221"/>
      <c r="Y495" s="221"/>
      <c r="Z495" s="221"/>
    </row>
    <row r="496" spans="1:26" ht="18.75" customHeight="1">
      <c r="A496" s="221"/>
      <c r="B496" s="221"/>
      <c r="C496" s="255"/>
      <c r="D496" s="255"/>
      <c r="E496" s="221"/>
      <c r="F496" s="221"/>
      <c r="G496" s="221"/>
      <c r="H496" s="221"/>
      <c r="I496" s="221"/>
      <c r="J496" s="221"/>
      <c r="K496" s="221"/>
      <c r="L496" s="255"/>
      <c r="M496" s="255"/>
      <c r="N496" s="221"/>
      <c r="O496" s="221"/>
      <c r="P496" s="221"/>
      <c r="Q496" s="221"/>
      <c r="R496" s="221"/>
      <c r="S496" s="221"/>
      <c r="T496" s="221"/>
      <c r="U496" s="221"/>
      <c r="V496" s="221"/>
      <c r="W496" s="221"/>
      <c r="X496" s="221"/>
      <c r="Y496" s="221"/>
      <c r="Z496" s="221"/>
    </row>
    <row r="497" spans="1:26" ht="18.75" customHeight="1">
      <c r="A497" s="221"/>
      <c r="B497" s="221"/>
      <c r="C497" s="255"/>
      <c r="D497" s="255"/>
      <c r="E497" s="221"/>
      <c r="F497" s="221"/>
      <c r="G497" s="221"/>
      <c r="H497" s="221"/>
      <c r="I497" s="221"/>
      <c r="J497" s="221"/>
      <c r="K497" s="221"/>
      <c r="L497" s="255"/>
      <c r="M497" s="255"/>
      <c r="N497" s="221"/>
      <c r="O497" s="221"/>
      <c r="P497" s="221"/>
      <c r="Q497" s="221"/>
      <c r="R497" s="221"/>
      <c r="S497" s="221"/>
      <c r="T497" s="221"/>
      <c r="U497" s="221"/>
      <c r="V497" s="221"/>
      <c r="W497" s="221"/>
      <c r="X497" s="221"/>
      <c r="Y497" s="221"/>
      <c r="Z497" s="221"/>
    </row>
    <row r="498" spans="1:26" ht="18.75" customHeight="1">
      <c r="A498" s="221"/>
      <c r="B498" s="221"/>
      <c r="C498" s="255"/>
      <c r="D498" s="255"/>
      <c r="E498" s="221"/>
      <c r="F498" s="221"/>
      <c r="G498" s="221"/>
      <c r="H498" s="221"/>
      <c r="I498" s="221"/>
      <c r="J498" s="221"/>
      <c r="K498" s="221"/>
      <c r="L498" s="255"/>
      <c r="M498" s="255"/>
      <c r="N498" s="221"/>
      <c r="O498" s="221"/>
      <c r="P498" s="221"/>
      <c r="Q498" s="221"/>
      <c r="R498" s="221"/>
      <c r="S498" s="221"/>
      <c r="T498" s="221"/>
      <c r="U498" s="221"/>
      <c r="V498" s="221"/>
      <c r="W498" s="221"/>
      <c r="X498" s="221"/>
      <c r="Y498" s="221"/>
      <c r="Z498" s="221"/>
    </row>
    <row r="499" spans="1:26" ht="18.75" customHeight="1">
      <c r="A499" s="221"/>
      <c r="B499" s="221"/>
      <c r="C499" s="255"/>
      <c r="D499" s="255"/>
      <c r="E499" s="221"/>
      <c r="F499" s="221"/>
      <c r="G499" s="221"/>
      <c r="H499" s="221"/>
      <c r="I499" s="221"/>
      <c r="J499" s="221"/>
      <c r="K499" s="221"/>
      <c r="L499" s="255"/>
      <c r="M499" s="255"/>
      <c r="N499" s="221"/>
      <c r="O499" s="221"/>
      <c r="P499" s="221"/>
      <c r="Q499" s="221"/>
      <c r="R499" s="221"/>
      <c r="S499" s="221"/>
      <c r="T499" s="221"/>
      <c r="U499" s="221"/>
      <c r="V499" s="221"/>
      <c r="W499" s="221"/>
      <c r="X499" s="221"/>
      <c r="Y499" s="221"/>
      <c r="Z499" s="221"/>
    </row>
    <row r="500" spans="1:26" ht="18.75" customHeight="1">
      <c r="A500" s="221"/>
      <c r="B500" s="221"/>
      <c r="C500" s="255"/>
      <c r="D500" s="255"/>
      <c r="E500" s="221"/>
      <c r="F500" s="221"/>
      <c r="G500" s="221"/>
      <c r="H500" s="221"/>
      <c r="I500" s="221"/>
      <c r="J500" s="221"/>
      <c r="K500" s="221"/>
      <c r="L500" s="255"/>
      <c r="M500" s="255"/>
      <c r="N500" s="221"/>
      <c r="O500" s="221"/>
      <c r="P500" s="221"/>
      <c r="Q500" s="221"/>
      <c r="R500" s="221"/>
      <c r="S500" s="221"/>
      <c r="T500" s="221"/>
      <c r="U500" s="221"/>
      <c r="V500" s="221"/>
      <c r="W500" s="221"/>
      <c r="X500" s="221"/>
      <c r="Y500" s="221"/>
      <c r="Z500" s="221"/>
    </row>
    <row r="501" spans="1:26" ht="18.75" customHeight="1">
      <c r="A501" s="221"/>
      <c r="B501" s="221"/>
      <c r="C501" s="255"/>
      <c r="D501" s="255"/>
      <c r="E501" s="221"/>
      <c r="F501" s="221"/>
      <c r="G501" s="221"/>
      <c r="H501" s="221"/>
      <c r="I501" s="221"/>
      <c r="J501" s="221"/>
      <c r="K501" s="221"/>
      <c r="L501" s="255"/>
      <c r="M501" s="255"/>
      <c r="N501" s="221"/>
      <c r="O501" s="221"/>
      <c r="P501" s="221"/>
      <c r="Q501" s="221"/>
      <c r="R501" s="221"/>
      <c r="S501" s="221"/>
      <c r="T501" s="221"/>
      <c r="U501" s="221"/>
      <c r="V501" s="221"/>
      <c r="W501" s="221"/>
      <c r="X501" s="221"/>
      <c r="Y501" s="221"/>
      <c r="Z501" s="221"/>
    </row>
    <row r="502" spans="1:26" ht="18.75" customHeight="1">
      <c r="A502" s="221"/>
      <c r="B502" s="221"/>
      <c r="C502" s="255"/>
      <c r="D502" s="255"/>
      <c r="E502" s="221"/>
      <c r="F502" s="221"/>
      <c r="G502" s="221"/>
      <c r="H502" s="221"/>
      <c r="I502" s="221"/>
      <c r="J502" s="221"/>
      <c r="K502" s="221"/>
      <c r="L502" s="255"/>
      <c r="M502" s="255"/>
      <c r="N502" s="221"/>
      <c r="O502" s="221"/>
      <c r="P502" s="221"/>
      <c r="Q502" s="221"/>
      <c r="R502" s="221"/>
      <c r="S502" s="221"/>
      <c r="T502" s="221"/>
      <c r="U502" s="221"/>
      <c r="V502" s="221"/>
      <c r="W502" s="221"/>
      <c r="X502" s="221"/>
      <c r="Y502" s="221"/>
      <c r="Z502" s="221"/>
    </row>
    <row r="503" spans="1:26" ht="18.75" customHeight="1">
      <c r="A503" s="221"/>
      <c r="B503" s="221"/>
      <c r="C503" s="255"/>
      <c r="D503" s="255"/>
      <c r="E503" s="221"/>
      <c r="F503" s="221"/>
      <c r="G503" s="221"/>
      <c r="H503" s="221"/>
      <c r="I503" s="221"/>
      <c r="J503" s="221"/>
      <c r="K503" s="221"/>
      <c r="L503" s="255"/>
      <c r="M503" s="255"/>
      <c r="N503" s="221"/>
      <c r="O503" s="221"/>
      <c r="P503" s="221"/>
      <c r="Q503" s="221"/>
      <c r="R503" s="221"/>
      <c r="S503" s="221"/>
      <c r="T503" s="221"/>
      <c r="U503" s="221"/>
      <c r="V503" s="221"/>
      <c r="W503" s="221"/>
      <c r="X503" s="221"/>
      <c r="Y503" s="221"/>
      <c r="Z503" s="221"/>
    </row>
    <row r="504" spans="1:26" ht="18.75" customHeight="1">
      <c r="A504" s="221"/>
      <c r="B504" s="221"/>
      <c r="C504" s="255"/>
      <c r="D504" s="255"/>
      <c r="E504" s="221"/>
      <c r="F504" s="221"/>
      <c r="G504" s="221"/>
      <c r="H504" s="221"/>
      <c r="I504" s="221"/>
      <c r="J504" s="221"/>
      <c r="K504" s="221"/>
      <c r="L504" s="255"/>
      <c r="M504" s="255"/>
      <c r="N504" s="221"/>
      <c r="O504" s="221"/>
      <c r="P504" s="221"/>
      <c r="Q504" s="221"/>
      <c r="R504" s="221"/>
      <c r="S504" s="221"/>
      <c r="T504" s="221"/>
      <c r="U504" s="221"/>
      <c r="V504" s="221"/>
      <c r="W504" s="221"/>
      <c r="X504" s="221"/>
      <c r="Y504" s="221"/>
      <c r="Z504" s="221"/>
    </row>
    <row r="505" spans="1:26" ht="18.75" customHeight="1">
      <c r="A505" s="221"/>
      <c r="B505" s="221"/>
      <c r="C505" s="255"/>
      <c r="D505" s="255"/>
      <c r="E505" s="221"/>
      <c r="F505" s="221"/>
      <c r="G505" s="221"/>
      <c r="H505" s="221"/>
      <c r="I505" s="221"/>
      <c r="J505" s="221"/>
      <c r="K505" s="221"/>
      <c r="L505" s="255"/>
      <c r="M505" s="255"/>
      <c r="N505" s="221"/>
      <c r="O505" s="221"/>
      <c r="P505" s="221"/>
      <c r="Q505" s="221"/>
      <c r="R505" s="221"/>
      <c r="S505" s="221"/>
      <c r="T505" s="221"/>
      <c r="U505" s="221"/>
      <c r="V505" s="221"/>
      <c r="W505" s="221"/>
      <c r="X505" s="221"/>
      <c r="Y505" s="221"/>
      <c r="Z505" s="221"/>
    </row>
    <row r="506" spans="1:26" ht="18.75" customHeight="1">
      <c r="A506" s="221"/>
      <c r="B506" s="221"/>
      <c r="C506" s="255"/>
      <c r="D506" s="255"/>
      <c r="E506" s="221"/>
      <c r="F506" s="221"/>
      <c r="G506" s="221"/>
      <c r="H506" s="221"/>
      <c r="I506" s="221"/>
      <c r="J506" s="221"/>
      <c r="K506" s="221"/>
      <c r="L506" s="255"/>
      <c r="M506" s="255"/>
      <c r="N506" s="221"/>
      <c r="O506" s="221"/>
      <c r="P506" s="221"/>
      <c r="Q506" s="221"/>
      <c r="R506" s="221"/>
      <c r="S506" s="221"/>
      <c r="T506" s="221"/>
      <c r="U506" s="221"/>
      <c r="V506" s="221"/>
      <c r="W506" s="221"/>
      <c r="X506" s="221"/>
      <c r="Y506" s="221"/>
      <c r="Z506" s="221"/>
    </row>
    <row r="507" spans="1:26" ht="18.75" customHeight="1">
      <c r="A507" s="221"/>
      <c r="B507" s="221"/>
      <c r="C507" s="255"/>
      <c r="D507" s="255"/>
      <c r="E507" s="221"/>
      <c r="F507" s="221"/>
      <c r="G507" s="221"/>
      <c r="H507" s="221"/>
      <c r="I507" s="221"/>
      <c r="J507" s="221"/>
      <c r="K507" s="221"/>
      <c r="L507" s="255"/>
      <c r="M507" s="255"/>
      <c r="N507" s="221"/>
      <c r="O507" s="221"/>
      <c r="P507" s="221"/>
      <c r="Q507" s="221"/>
      <c r="R507" s="221"/>
      <c r="S507" s="221"/>
      <c r="T507" s="221"/>
      <c r="U507" s="221"/>
      <c r="V507" s="221"/>
      <c r="W507" s="221"/>
      <c r="X507" s="221"/>
      <c r="Y507" s="221"/>
      <c r="Z507" s="221"/>
    </row>
    <row r="508" spans="1:26" ht="18.75" customHeight="1">
      <c r="A508" s="221"/>
      <c r="B508" s="221"/>
      <c r="C508" s="255"/>
      <c r="D508" s="255"/>
      <c r="E508" s="221"/>
      <c r="F508" s="221"/>
      <c r="G508" s="221"/>
      <c r="H508" s="221"/>
      <c r="I508" s="221"/>
      <c r="J508" s="221"/>
      <c r="K508" s="221"/>
      <c r="L508" s="255"/>
      <c r="M508" s="255"/>
      <c r="N508" s="221"/>
      <c r="O508" s="221"/>
      <c r="P508" s="221"/>
      <c r="Q508" s="221"/>
      <c r="R508" s="221"/>
      <c r="S508" s="221"/>
      <c r="T508" s="221"/>
      <c r="U508" s="221"/>
      <c r="V508" s="221"/>
      <c r="W508" s="221"/>
      <c r="X508" s="221"/>
      <c r="Y508" s="221"/>
      <c r="Z508" s="221"/>
    </row>
    <row r="509" spans="1:26" ht="18.75" customHeight="1">
      <c r="A509" s="221"/>
      <c r="B509" s="221"/>
      <c r="C509" s="255"/>
      <c r="D509" s="255"/>
      <c r="E509" s="221"/>
      <c r="F509" s="221"/>
      <c r="G509" s="221"/>
      <c r="H509" s="221"/>
      <c r="I509" s="221"/>
      <c r="J509" s="221"/>
      <c r="K509" s="221"/>
      <c r="L509" s="255"/>
      <c r="M509" s="255"/>
      <c r="N509" s="221"/>
      <c r="O509" s="221"/>
      <c r="P509" s="221"/>
      <c r="Q509" s="221"/>
      <c r="R509" s="221"/>
      <c r="S509" s="221"/>
      <c r="T509" s="221"/>
      <c r="U509" s="221"/>
      <c r="V509" s="221"/>
      <c r="W509" s="221"/>
      <c r="X509" s="221"/>
      <c r="Y509" s="221"/>
      <c r="Z509" s="221"/>
    </row>
    <row r="510" spans="1:26" ht="18.75" customHeight="1">
      <c r="A510" s="221"/>
      <c r="B510" s="221"/>
      <c r="C510" s="255"/>
      <c r="D510" s="255"/>
      <c r="E510" s="221"/>
      <c r="F510" s="221"/>
      <c r="G510" s="221"/>
      <c r="H510" s="221"/>
      <c r="I510" s="221"/>
      <c r="J510" s="221"/>
      <c r="K510" s="221"/>
      <c r="L510" s="255"/>
      <c r="M510" s="255"/>
      <c r="N510" s="221"/>
      <c r="O510" s="221"/>
      <c r="P510" s="221"/>
      <c r="Q510" s="221"/>
      <c r="R510" s="221"/>
      <c r="S510" s="221"/>
      <c r="T510" s="221"/>
      <c r="U510" s="221"/>
      <c r="V510" s="221"/>
      <c r="W510" s="221"/>
      <c r="X510" s="221"/>
      <c r="Y510" s="221"/>
      <c r="Z510" s="221"/>
    </row>
    <row r="511" spans="1:26" ht="18.75" customHeight="1">
      <c r="A511" s="221"/>
      <c r="B511" s="221"/>
      <c r="C511" s="255"/>
      <c r="D511" s="255"/>
      <c r="E511" s="221"/>
      <c r="F511" s="221"/>
      <c r="G511" s="221"/>
      <c r="H511" s="221"/>
      <c r="I511" s="221"/>
      <c r="J511" s="221"/>
      <c r="K511" s="221"/>
      <c r="L511" s="255"/>
      <c r="M511" s="255"/>
      <c r="N511" s="221"/>
      <c r="O511" s="221"/>
      <c r="P511" s="221"/>
      <c r="Q511" s="221"/>
      <c r="R511" s="221"/>
      <c r="S511" s="221"/>
      <c r="T511" s="221"/>
      <c r="U511" s="221"/>
      <c r="V511" s="221"/>
      <c r="W511" s="221"/>
      <c r="X511" s="221"/>
      <c r="Y511" s="221"/>
      <c r="Z511" s="221"/>
    </row>
    <row r="512" spans="1:26" ht="18.75" customHeight="1">
      <c r="A512" s="221"/>
      <c r="B512" s="221"/>
      <c r="C512" s="255"/>
      <c r="D512" s="255"/>
      <c r="E512" s="221"/>
      <c r="F512" s="221"/>
      <c r="G512" s="221"/>
      <c r="H512" s="221"/>
      <c r="I512" s="221"/>
      <c r="J512" s="221"/>
      <c r="K512" s="221"/>
      <c r="L512" s="255"/>
      <c r="M512" s="255"/>
      <c r="N512" s="221"/>
      <c r="O512" s="221"/>
      <c r="P512" s="221"/>
      <c r="Q512" s="221"/>
      <c r="R512" s="221"/>
      <c r="S512" s="221"/>
      <c r="T512" s="221"/>
      <c r="U512" s="221"/>
      <c r="V512" s="221"/>
      <c r="W512" s="221"/>
      <c r="X512" s="221"/>
      <c r="Y512" s="221"/>
      <c r="Z512" s="221"/>
    </row>
    <row r="513" spans="1:26" ht="18.75" customHeight="1">
      <c r="A513" s="221"/>
      <c r="B513" s="221"/>
      <c r="C513" s="255"/>
      <c r="D513" s="255"/>
      <c r="E513" s="221"/>
      <c r="F513" s="221"/>
      <c r="G513" s="221"/>
      <c r="H513" s="221"/>
      <c r="I513" s="221"/>
      <c r="J513" s="221"/>
      <c r="K513" s="221"/>
      <c r="L513" s="255"/>
      <c r="M513" s="255"/>
      <c r="N513" s="221"/>
      <c r="O513" s="221"/>
      <c r="P513" s="221"/>
      <c r="Q513" s="221"/>
      <c r="R513" s="221"/>
      <c r="S513" s="221"/>
      <c r="T513" s="221"/>
      <c r="U513" s="221"/>
      <c r="V513" s="221"/>
      <c r="W513" s="221"/>
      <c r="X513" s="221"/>
      <c r="Y513" s="221"/>
      <c r="Z513" s="221"/>
    </row>
    <row r="514" spans="1:26" ht="18.75" customHeight="1">
      <c r="A514" s="221"/>
      <c r="B514" s="221"/>
      <c r="C514" s="255"/>
      <c r="D514" s="255"/>
      <c r="E514" s="221"/>
      <c r="F514" s="221"/>
      <c r="G514" s="221"/>
      <c r="H514" s="221"/>
      <c r="I514" s="221"/>
      <c r="J514" s="221"/>
      <c r="K514" s="221"/>
      <c r="L514" s="255"/>
      <c r="M514" s="255"/>
      <c r="N514" s="221"/>
      <c r="O514" s="221"/>
      <c r="P514" s="221"/>
      <c r="Q514" s="221"/>
      <c r="R514" s="221"/>
      <c r="S514" s="221"/>
      <c r="T514" s="221"/>
      <c r="U514" s="221"/>
      <c r="V514" s="221"/>
      <c r="W514" s="221"/>
      <c r="X514" s="221"/>
      <c r="Y514" s="221"/>
      <c r="Z514" s="221"/>
    </row>
    <row r="515" spans="1:26" ht="18.75" customHeight="1">
      <c r="A515" s="221"/>
      <c r="B515" s="221"/>
      <c r="C515" s="255"/>
      <c r="D515" s="255"/>
      <c r="E515" s="221"/>
      <c r="F515" s="221"/>
      <c r="G515" s="221"/>
      <c r="H515" s="221"/>
      <c r="I515" s="221"/>
      <c r="J515" s="221"/>
      <c r="K515" s="221"/>
      <c r="L515" s="255"/>
      <c r="M515" s="255"/>
      <c r="N515" s="221"/>
      <c r="O515" s="221"/>
      <c r="P515" s="221"/>
      <c r="Q515" s="221"/>
      <c r="R515" s="221"/>
      <c r="S515" s="221"/>
      <c r="T515" s="221"/>
      <c r="U515" s="221"/>
      <c r="V515" s="221"/>
      <c r="W515" s="221"/>
      <c r="X515" s="221"/>
      <c r="Y515" s="221"/>
      <c r="Z515" s="221"/>
    </row>
    <row r="516" spans="1:26" ht="18.75" customHeight="1">
      <c r="A516" s="221"/>
      <c r="B516" s="221"/>
      <c r="C516" s="255"/>
      <c r="D516" s="255"/>
      <c r="E516" s="221"/>
      <c r="F516" s="221"/>
      <c r="G516" s="221"/>
      <c r="H516" s="221"/>
      <c r="I516" s="221"/>
      <c r="J516" s="221"/>
      <c r="K516" s="221"/>
      <c r="L516" s="255"/>
      <c r="M516" s="255"/>
      <c r="N516" s="221"/>
      <c r="O516" s="221"/>
      <c r="P516" s="221"/>
      <c r="Q516" s="221"/>
      <c r="R516" s="221"/>
      <c r="S516" s="221"/>
      <c r="T516" s="221"/>
      <c r="U516" s="221"/>
      <c r="V516" s="221"/>
      <c r="W516" s="221"/>
      <c r="X516" s="221"/>
      <c r="Y516" s="221"/>
      <c r="Z516" s="221"/>
    </row>
    <row r="517" spans="1:26" ht="18.75" customHeight="1">
      <c r="A517" s="221"/>
      <c r="B517" s="221"/>
      <c r="C517" s="255"/>
      <c r="D517" s="255"/>
      <c r="E517" s="221"/>
      <c r="F517" s="221"/>
      <c r="G517" s="221"/>
      <c r="H517" s="221"/>
      <c r="I517" s="221"/>
      <c r="J517" s="221"/>
      <c r="K517" s="221"/>
      <c r="L517" s="255"/>
      <c r="M517" s="255"/>
      <c r="N517" s="221"/>
      <c r="O517" s="221"/>
      <c r="P517" s="221"/>
      <c r="Q517" s="221"/>
      <c r="R517" s="221"/>
      <c r="S517" s="221"/>
      <c r="T517" s="221"/>
      <c r="U517" s="221"/>
      <c r="V517" s="221"/>
      <c r="W517" s="221"/>
      <c r="X517" s="221"/>
      <c r="Y517" s="221"/>
      <c r="Z517" s="221"/>
    </row>
    <row r="518" spans="1:26" ht="18.75" customHeight="1">
      <c r="A518" s="221"/>
      <c r="B518" s="221"/>
      <c r="C518" s="255"/>
      <c r="D518" s="255"/>
      <c r="E518" s="221"/>
      <c r="F518" s="221"/>
      <c r="G518" s="221"/>
      <c r="H518" s="221"/>
      <c r="I518" s="221"/>
      <c r="J518" s="221"/>
      <c r="K518" s="221"/>
      <c r="L518" s="255"/>
      <c r="M518" s="255"/>
      <c r="N518" s="221"/>
      <c r="O518" s="221"/>
      <c r="P518" s="221"/>
      <c r="Q518" s="221"/>
      <c r="R518" s="221"/>
      <c r="S518" s="221"/>
      <c r="T518" s="221"/>
      <c r="U518" s="221"/>
      <c r="V518" s="221"/>
      <c r="W518" s="221"/>
      <c r="X518" s="221"/>
      <c r="Y518" s="221"/>
      <c r="Z518" s="221"/>
    </row>
    <row r="519" spans="1:26" ht="18.75" customHeight="1">
      <c r="A519" s="221"/>
      <c r="B519" s="221"/>
      <c r="C519" s="255"/>
      <c r="D519" s="255"/>
      <c r="E519" s="221"/>
      <c r="F519" s="221"/>
      <c r="G519" s="221"/>
      <c r="H519" s="221"/>
      <c r="I519" s="221"/>
      <c r="J519" s="221"/>
      <c r="K519" s="221"/>
      <c r="L519" s="255"/>
      <c r="M519" s="255"/>
      <c r="N519" s="221"/>
      <c r="O519" s="221"/>
      <c r="P519" s="221"/>
      <c r="Q519" s="221"/>
      <c r="R519" s="221"/>
      <c r="S519" s="221"/>
      <c r="T519" s="221"/>
      <c r="U519" s="221"/>
      <c r="V519" s="221"/>
      <c r="W519" s="221"/>
      <c r="X519" s="221"/>
      <c r="Y519" s="221"/>
      <c r="Z519" s="221"/>
    </row>
    <row r="520" spans="1:26" ht="18.75" customHeight="1">
      <c r="A520" s="221"/>
      <c r="B520" s="221"/>
      <c r="C520" s="255"/>
      <c r="D520" s="255"/>
      <c r="E520" s="221"/>
      <c r="F520" s="221"/>
      <c r="G520" s="221"/>
      <c r="H520" s="221"/>
      <c r="I520" s="221"/>
      <c r="J520" s="221"/>
      <c r="K520" s="221"/>
      <c r="L520" s="255"/>
      <c r="M520" s="255"/>
      <c r="N520" s="221"/>
      <c r="O520" s="221"/>
      <c r="P520" s="221"/>
      <c r="Q520" s="221"/>
      <c r="R520" s="221"/>
      <c r="S520" s="221"/>
      <c r="T520" s="221"/>
      <c r="U520" s="221"/>
      <c r="V520" s="221"/>
      <c r="W520" s="221"/>
      <c r="X520" s="221"/>
      <c r="Y520" s="221"/>
      <c r="Z520" s="221"/>
    </row>
    <row r="521" spans="1:26" ht="18.75" customHeight="1">
      <c r="A521" s="221"/>
      <c r="B521" s="221"/>
      <c r="C521" s="255"/>
      <c r="D521" s="255"/>
      <c r="E521" s="221"/>
      <c r="F521" s="221"/>
      <c r="G521" s="221"/>
      <c r="H521" s="221"/>
      <c r="I521" s="221"/>
      <c r="J521" s="221"/>
      <c r="K521" s="221"/>
      <c r="L521" s="255"/>
      <c r="M521" s="255"/>
      <c r="N521" s="221"/>
      <c r="O521" s="221"/>
      <c r="P521" s="221"/>
      <c r="Q521" s="221"/>
      <c r="R521" s="221"/>
      <c r="S521" s="221"/>
      <c r="T521" s="221"/>
      <c r="U521" s="221"/>
      <c r="V521" s="221"/>
      <c r="W521" s="221"/>
      <c r="X521" s="221"/>
      <c r="Y521" s="221"/>
      <c r="Z521" s="221"/>
    </row>
    <row r="522" spans="1:26" ht="18.75" customHeight="1">
      <c r="A522" s="221"/>
      <c r="B522" s="221"/>
      <c r="C522" s="255"/>
      <c r="D522" s="255"/>
      <c r="E522" s="221"/>
      <c r="F522" s="221"/>
      <c r="G522" s="221"/>
      <c r="H522" s="221"/>
      <c r="I522" s="221"/>
      <c r="J522" s="221"/>
      <c r="K522" s="221"/>
      <c r="L522" s="255"/>
      <c r="M522" s="255"/>
      <c r="N522" s="221"/>
      <c r="O522" s="221"/>
      <c r="P522" s="221"/>
      <c r="Q522" s="221"/>
      <c r="R522" s="221"/>
      <c r="S522" s="221"/>
      <c r="T522" s="221"/>
      <c r="U522" s="221"/>
      <c r="V522" s="221"/>
      <c r="W522" s="221"/>
      <c r="X522" s="221"/>
      <c r="Y522" s="221"/>
      <c r="Z522" s="221"/>
    </row>
    <row r="523" spans="1:26" ht="18.75" customHeight="1">
      <c r="A523" s="221"/>
      <c r="B523" s="221"/>
      <c r="C523" s="255"/>
      <c r="D523" s="255"/>
      <c r="E523" s="221"/>
      <c r="F523" s="221"/>
      <c r="G523" s="221"/>
      <c r="H523" s="221"/>
      <c r="I523" s="221"/>
      <c r="J523" s="221"/>
      <c r="K523" s="221"/>
      <c r="L523" s="255"/>
      <c r="M523" s="255"/>
      <c r="N523" s="221"/>
      <c r="O523" s="221"/>
      <c r="P523" s="221"/>
      <c r="Q523" s="221"/>
      <c r="R523" s="221"/>
      <c r="S523" s="221"/>
      <c r="T523" s="221"/>
      <c r="U523" s="221"/>
      <c r="V523" s="221"/>
      <c r="W523" s="221"/>
      <c r="X523" s="221"/>
      <c r="Y523" s="221"/>
      <c r="Z523" s="221"/>
    </row>
    <row r="524" spans="1:26" ht="18.75" customHeight="1">
      <c r="A524" s="221"/>
      <c r="B524" s="221"/>
      <c r="C524" s="255"/>
      <c r="D524" s="255"/>
      <c r="E524" s="221"/>
      <c r="F524" s="221"/>
      <c r="G524" s="221"/>
      <c r="H524" s="221"/>
      <c r="I524" s="221"/>
      <c r="J524" s="221"/>
      <c r="K524" s="221"/>
      <c r="L524" s="255"/>
      <c r="M524" s="255"/>
      <c r="N524" s="221"/>
      <c r="O524" s="221"/>
      <c r="P524" s="221"/>
      <c r="Q524" s="221"/>
      <c r="R524" s="221"/>
      <c r="S524" s="221"/>
      <c r="T524" s="221"/>
      <c r="U524" s="221"/>
      <c r="V524" s="221"/>
      <c r="W524" s="221"/>
      <c r="X524" s="221"/>
      <c r="Y524" s="221"/>
      <c r="Z524" s="221"/>
    </row>
    <row r="525" spans="1:26" ht="18.75" customHeight="1">
      <c r="A525" s="221"/>
      <c r="B525" s="221"/>
      <c r="C525" s="255"/>
      <c r="D525" s="255"/>
      <c r="E525" s="221"/>
      <c r="F525" s="221"/>
      <c r="G525" s="221"/>
      <c r="H525" s="221"/>
      <c r="I525" s="221"/>
      <c r="J525" s="221"/>
      <c r="K525" s="221"/>
      <c r="L525" s="255"/>
      <c r="M525" s="255"/>
      <c r="N525" s="221"/>
      <c r="O525" s="221"/>
      <c r="P525" s="221"/>
      <c r="Q525" s="221"/>
      <c r="R525" s="221"/>
      <c r="S525" s="221"/>
      <c r="T525" s="221"/>
      <c r="U525" s="221"/>
      <c r="V525" s="221"/>
      <c r="W525" s="221"/>
      <c r="X525" s="221"/>
      <c r="Y525" s="221"/>
      <c r="Z525" s="221"/>
    </row>
    <row r="526" spans="1:26" ht="18.75" customHeight="1">
      <c r="A526" s="221"/>
      <c r="B526" s="221"/>
      <c r="C526" s="255"/>
      <c r="D526" s="255"/>
      <c r="E526" s="221"/>
      <c r="F526" s="221"/>
      <c r="G526" s="221"/>
      <c r="H526" s="221"/>
      <c r="I526" s="221"/>
      <c r="J526" s="221"/>
      <c r="K526" s="221"/>
      <c r="L526" s="255"/>
      <c r="M526" s="255"/>
      <c r="N526" s="221"/>
      <c r="O526" s="221"/>
      <c r="P526" s="221"/>
      <c r="Q526" s="221"/>
      <c r="R526" s="221"/>
      <c r="S526" s="221"/>
      <c r="T526" s="221"/>
      <c r="U526" s="221"/>
      <c r="V526" s="221"/>
      <c r="W526" s="221"/>
      <c r="X526" s="221"/>
      <c r="Y526" s="221"/>
      <c r="Z526" s="221"/>
    </row>
    <row r="527" spans="1:26" ht="18.75" customHeight="1">
      <c r="A527" s="221"/>
      <c r="B527" s="221"/>
      <c r="C527" s="255"/>
      <c r="D527" s="255"/>
      <c r="E527" s="221"/>
      <c r="F527" s="221"/>
      <c r="G527" s="221"/>
      <c r="H527" s="221"/>
      <c r="I527" s="221"/>
      <c r="J527" s="221"/>
      <c r="K527" s="221"/>
      <c r="L527" s="255"/>
      <c r="M527" s="255"/>
      <c r="N527" s="221"/>
      <c r="O527" s="221"/>
      <c r="P527" s="221"/>
      <c r="Q527" s="221"/>
      <c r="R527" s="221"/>
      <c r="S527" s="221"/>
      <c r="T527" s="221"/>
      <c r="U527" s="221"/>
      <c r="V527" s="221"/>
      <c r="W527" s="221"/>
      <c r="X527" s="221"/>
      <c r="Y527" s="221"/>
      <c r="Z527" s="221"/>
    </row>
    <row r="528" spans="1:26" ht="18.75" customHeight="1">
      <c r="A528" s="221"/>
      <c r="B528" s="221"/>
      <c r="C528" s="255"/>
      <c r="D528" s="255"/>
      <c r="E528" s="221"/>
      <c r="F528" s="221"/>
      <c r="G528" s="221"/>
      <c r="H528" s="221"/>
      <c r="I528" s="221"/>
      <c r="J528" s="221"/>
      <c r="K528" s="221"/>
      <c r="L528" s="255"/>
      <c r="M528" s="255"/>
      <c r="N528" s="221"/>
      <c r="O528" s="221"/>
      <c r="P528" s="221"/>
      <c r="Q528" s="221"/>
      <c r="R528" s="221"/>
      <c r="S528" s="221"/>
      <c r="T528" s="221"/>
      <c r="U528" s="221"/>
      <c r="V528" s="221"/>
      <c r="W528" s="221"/>
      <c r="X528" s="221"/>
      <c r="Y528" s="221"/>
      <c r="Z528" s="221"/>
    </row>
    <row r="529" spans="1:26" ht="18.75" customHeight="1">
      <c r="A529" s="221"/>
      <c r="B529" s="221"/>
      <c r="C529" s="255"/>
      <c r="D529" s="255"/>
      <c r="E529" s="221"/>
      <c r="F529" s="221"/>
      <c r="G529" s="221"/>
      <c r="H529" s="221"/>
      <c r="I529" s="221"/>
      <c r="J529" s="221"/>
      <c r="K529" s="221"/>
      <c r="L529" s="255"/>
      <c r="M529" s="255"/>
      <c r="N529" s="221"/>
      <c r="O529" s="221"/>
      <c r="P529" s="221"/>
      <c r="Q529" s="221"/>
      <c r="R529" s="221"/>
      <c r="S529" s="221"/>
      <c r="T529" s="221"/>
      <c r="U529" s="221"/>
      <c r="V529" s="221"/>
      <c r="W529" s="221"/>
      <c r="X529" s="221"/>
      <c r="Y529" s="221"/>
      <c r="Z529" s="221"/>
    </row>
    <row r="530" spans="1:26" ht="18.75" customHeight="1">
      <c r="A530" s="221"/>
      <c r="B530" s="221"/>
      <c r="C530" s="255"/>
      <c r="D530" s="255"/>
      <c r="E530" s="221"/>
      <c r="F530" s="221"/>
      <c r="G530" s="221"/>
      <c r="H530" s="221"/>
      <c r="I530" s="221"/>
      <c r="J530" s="221"/>
      <c r="K530" s="221"/>
      <c r="L530" s="255"/>
      <c r="M530" s="255"/>
      <c r="N530" s="221"/>
      <c r="O530" s="221"/>
      <c r="P530" s="221"/>
      <c r="Q530" s="221"/>
      <c r="R530" s="221"/>
      <c r="S530" s="221"/>
      <c r="T530" s="221"/>
      <c r="U530" s="221"/>
      <c r="V530" s="221"/>
      <c r="W530" s="221"/>
      <c r="X530" s="221"/>
      <c r="Y530" s="221"/>
      <c r="Z530" s="221"/>
    </row>
    <row r="531" spans="1:26" ht="18.75" customHeight="1">
      <c r="A531" s="221"/>
      <c r="B531" s="221"/>
      <c r="C531" s="255"/>
      <c r="D531" s="255"/>
      <c r="E531" s="221"/>
      <c r="F531" s="221"/>
      <c r="G531" s="221"/>
      <c r="H531" s="221"/>
      <c r="I531" s="221"/>
      <c r="J531" s="221"/>
      <c r="K531" s="221"/>
      <c r="L531" s="255"/>
      <c r="M531" s="255"/>
      <c r="N531" s="221"/>
      <c r="O531" s="221"/>
      <c r="P531" s="221"/>
      <c r="Q531" s="221"/>
      <c r="R531" s="221"/>
      <c r="S531" s="221"/>
      <c r="T531" s="221"/>
      <c r="U531" s="221"/>
      <c r="V531" s="221"/>
      <c r="W531" s="221"/>
      <c r="X531" s="221"/>
      <c r="Y531" s="221"/>
      <c r="Z531" s="221"/>
    </row>
    <row r="532" spans="1:26" ht="18.75" customHeight="1">
      <c r="A532" s="221"/>
      <c r="B532" s="221"/>
      <c r="C532" s="255"/>
      <c r="D532" s="255"/>
      <c r="E532" s="221"/>
      <c r="F532" s="221"/>
      <c r="G532" s="221"/>
      <c r="H532" s="221"/>
      <c r="I532" s="221"/>
      <c r="J532" s="221"/>
      <c r="K532" s="221"/>
      <c r="L532" s="255"/>
      <c r="M532" s="255"/>
      <c r="N532" s="221"/>
      <c r="O532" s="221"/>
      <c r="P532" s="221"/>
      <c r="Q532" s="221"/>
      <c r="R532" s="221"/>
      <c r="S532" s="221"/>
      <c r="T532" s="221"/>
      <c r="U532" s="221"/>
      <c r="V532" s="221"/>
      <c r="W532" s="221"/>
      <c r="X532" s="221"/>
      <c r="Y532" s="221"/>
      <c r="Z532" s="221"/>
    </row>
    <row r="533" spans="1:26" ht="18.75" customHeight="1">
      <c r="A533" s="221"/>
      <c r="B533" s="221"/>
      <c r="C533" s="255"/>
      <c r="D533" s="255"/>
      <c r="E533" s="221"/>
      <c r="F533" s="221"/>
      <c r="G533" s="221"/>
      <c r="H533" s="221"/>
      <c r="I533" s="221"/>
      <c r="J533" s="221"/>
      <c r="K533" s="221"/>
      <c r="L533" s="255"/>
      <c r="M533" s="255"/>
      <c r="N533" s="221"/>
      <c r="O533" s="221"/>
      <c r="P533" s="221"/>
      <c r="Q533" s="221"/>
      <c r="R533" s="221"/>
      <c r="S533" s="221"/>
      <c r="T533" s="221"/>
      <c r="U533" s="221"/>
      <c r="V533" s="221"/>
      <c r="W533" s="221"/>
      <c r="X533" s="221"/>
      <c r="Y533" s="221"/>
      <c r="Z533" s="221"/>
    </row>
    <row r="534" spans="1:26" ht="18.75" customHeight="1">
      <c r="A534" s="221"/>
      <c r="B534" s="221"/>
      <c r="C534" s="255"/>
      <c r="D534" s="255"/>
      <c r="E534" s="221"/>
      <c r="F534" s="221"/>
      <c r="G534" s="221"/>
      <c r="H534" s="221"/>
      <c r="I534" s="221"/>
      <c r="J534" s="221"/>
      <c r="K534" s="221"/>
      <c r="L534" s="255"/>
      <c r="M534" s="255"/>
      <c r="N534" s="221"/>
      <c r="O534" s="221"/>
      <c r="P534" s="221"/>
      <c r="Q534" s="221"/>
      <c r="R534" s="221"/>
      <c r="S534" s="221"/>
      <c r="T534" s="221"/>
      <c r="U534" s="221"/>
      <c r="V534" s="221"/>
      <c r="W534" s="221"/>
      <c r="X534" s="221"/>
      <c r="Y534" s="221"/>
      <c r="Z534" s="221"/>
    </row>
    <row r="535" spans="1:26" ht="18.75" customHeight="1">
      <c r="A535" s="221"/>
      <c r="B535" s="221"/>
      <c r="C535" s="255"/>
      <c r="D535" s="255"/>
      <c r="E535" s="221"/>
      <c r="F535" s="221"/>
      <c r="G535" s="221"/>
      <c r="H535" s="221"/>
      <c r="I535" s="221"/>
      <c r="J535" s="221"/>
      <c r="K535" s="221"/>
      <c r="L535" s="255"/>
      <c r="M535" s="255"/>
      <c r="N535" s="221"/>
      <c r="O535" s="221"/>
      <c r="P535" s="221"/>
      <c r="Q535" s="221"/>
      <c r="R535" s="221"/>
      <c r="S535" s="221"/>
      <c r="T535" s="221"/>
      <c r="U535" s="221"/>
      <c r="V535" s="221"/>
      <c r="W535" s="221"/>
      <c r="X535" s="221"/>
      <c r="Y535" s="221"/>
      <c r="Z535" s="221"/>
    </row>
    <row r="536" spans="1:26" ht="18.75" customHeight="1">
      <c r="A536" s="221"/>
      <c r="B536" s="221"/>
      <c r="C536" s="255"/>
      <c r="D536" s="255"/>
      <c r="E536" s="221"/>
      <c r="F536" s="221"/>
      <c r="G536" s="221"/>
      <c r="H536" s="221"/>
      <c r="I536" s="221"/>
      <c r="J536" s="221"/>
      <c r="K536" s="221"/>
      <c r="L536" s="255"/>
      <c r="M536" s="255"/>
      <c r="N536" s="221"/>
      <c r="O536" s="221"/>
      <c r="P536" s="221"/>
      <c r="Q536" s="221"/>
      <c r="R536" s="221"/>
      <c r="S536" s="221"/>
      <c r="T536" s="221"/>
      <c r="U536" s="221"/>
      <c r="V536" s="221"/>
      <c r="W536" s="221"/>
      <c r="X536" s="221"/>
      <c r="Y536" s="221"/>
      <c r="Z536" s="221"/>
    </row>
    <row r="537" spans="1:26" ht="18.75" customHeight="1">
      <c r="A537" s="221"/>
      <c r="B537" s="221"/>
      <c r="C537" s="255"/>
      <c r="D537" s="255"/>
      <c r="E537" s="221"/>
      <c r="F537" s="221"/>
      <c r="G537" s="221"/>
      <c r="H537" s="221"/>
      <c r="I537" s="221"/>
      <c r="J537" s="221"/>
      <c r="K537" s="221"/>
      <c r="L537" s="255"/>
      <c r="M537" s="255"/>
      <c r="N537" s="221"/>
      <c r="O537" s="221"/>
      <c r="P537" s="221"/>
      <c r="Q537" s="221"/>
      <c r="R537" s="221"/>
      <c r="S537" s="221"/>
      <c r="T537" s="221"/>
      <c r="U537" s="221"/>
      <c r="V537" s="221"/>
      <c r="W537" s="221"/>
      <c r="X537" s="221"/>
      <c r="Y537" s="221"/>
      <c r="Z537" s="221"/>
    </row>
    <row r="538" spans="1:26" ht="18.75" customHeight="1">
      <c r="A538" s="221"/>
      <c r="B538" s="221"/>
      <c r="C538" s="255"/>
      <c r="D538" s="255"/>
      <c r="E538" s="221"/>
      <c r="F538" s="221"/>
      <c r="G538" s="221"/>
      <c r="H538" s="221"/>
      <c r="I538" s="221"/>
      <c r="J538" s="221"/>
      <c r="K538" s="221"/>
      <c r="L538" s="255"/>
      <c r="M538" s="255"/>
      <c r="N538" s="221"/>
      <c r="O538" s="221"/>
      <c r="P538" s="221"/>
      <c r="Q538" s="221"/>
      <c r="R538" s="221"/>
      <c r="S538" s="221"/>
      <c r="T538" s="221"/>
      <c r="U538" s="221"/>
      <c r="V538" s="221"/>
      <c r="W538" s="221"/>
      <c r="X538" s="221"/>
      <c r="Y538" s="221"/>
      <c r="Z538" s="221"/>
    </row>
    <row r="539" spans="1:26" ht="18.75" customHeight="1">
      <c r="A539" s="221"/>
      <c r="B539" s="221"/>
      <c r="C539" s="255"/>
      <c r="D539" s="255"/>
      <c r="E539" s="221"/>
      <c r="F539" s="221"/>
      <c r="G539" s="221"/>
      <c r="H539" s="221"/>
      <c r="I539" s="221"/>
      <c r="J539" s="221"/>
      <c r="K539" s="221"/>
      <c r="L539" s="255"/>
      <c r="M539" s="255"/>
      <c r="N539" s="221"/>
      <c r="O539" s="221"/>
      <c r="P539" s="221"/>
      <c r="Q539" s="221"/>
      <c r="R539" s="221"/>
      <c r="S539" s="221"/>
      <c r="T539" s="221"/>
      <c r="U539" s="221"/>
      <c r="V539" s="221"/>
      <c r="W539" s="221"/>
      <c r="X539" s="221"/>
      <c r="Y539" s="221"/>
      <c r="Z539" s="221"/>
    </row>
    <row r="540" spans="1:26" ht="18.75" customHeight="1">
      <c r="A540" s="221"/>
      <c r="B540" s="221"/>
      <c r="C540" s="255"/>
      <c r="D540" s="255"/>
      <c r="E540" s="221"/>
      <c r="F540" s="221"/>
      <c r="G540" s="221"/>
      <c r="H540" s="221"/>
      <c r="I540" s="221"/>
      <c r="J540" s="221"/>
      <c r="K540" s="221"/>
      <c r="L540" s="255"/>
      <c r="M540" s="255"/>
      <c r="N540" s="221"/>
      <c r="O540" s="221"/>
      <c r="P540" s="221"/>
      <c r="Q540" s="221"/>
      <c r="R540" s="221"/>
      <c r="S540" s="221"/>
      <c r="T540" s="221"/>
      <c r="U540" s="221"/>
      <c r="V540" s="221"/>
      <c r="W540" s="221"/>
      <c r="X540" s="221"/>
      <c r="Y540" s="221"/>
      <c r="Z540" s="221"/>
    </row>
    <row r="541" spans="1:26" ht="18.75" customHeight="1">
      <c r="A541" s="221"/>
      <c r="B541" s="221"/>
      <c r="C541" s="255"/>
      <c r="D541" s="255"/>
      <c r="E541" s="221"/>
      <c r="F541" s="221"/>
      <c r="G541" s="221"/>
      <c r="H541" s="221"/>
      <c r="I541" s="221"/>
      <c r="J541" s="221"/>
      <c r="K541" s="221"/>
      <c r="L541" s="255"/>
      <c r="M541" s="255"/>
      <c r="N541" s="221"/>
      <c r="O541" s="221"/>
      <c r="P541" s="221"/>
      <c r="Q541" s="221"/>
      <c r="R541" s="221"/>
      <c r="S541" s="221"/>
      <c r="T541" s="221"/>
      <c r="U541" s="221"/>
      <c r="V541" s="221"/>
      <c r="W541" s="221"/>
      <c r="X541" s="221"/>
      <c r="Y541" s="221"/>
      <c r="Z541" s="221"/>
    </row>
    <row r="542" spans="1:26" ht="18.75" customHeight="1">
      <c r="A542" s="221"/>
      <c r="B542" s="221"/>
      <c r="C542" s="255"/>
      <c r="D542" s="255"/>
      <c r="E542" s="221"/>
      <c r="F542" s="221"/>
      <c r="G542" s="221"/>
      <c r="H542" s="221"/>
      <c r="I542" s="221"/>
      <c r="J542" s="221"/>
      <c r="K542" s="221"/>
      <c r="L542" s="255"/>
      <c r="M542" s="255"/>
      <c r="N542" s="221"/>
      <c r="O542" s="221"/>
      <c r="P542" s="221"/>
      <c r="Q542" s="221"/>
      <c r="R542" s="221"/>
      <c r="S542" s="221"/>
      <c r="T542" s="221"/>
      <c r="U542" s="221"/>
      <c r="V542" s="221"/>
      <c r="W542" s="221"/>
      <c r="X542" s="221"/>
      <c r="Y542" s="221"/>
      <c r="Z542" s="221"/>
    </row>
    <row r="543" spans="1:26" ht="18.75" customHeight="1">
      <c r="A543" s="221"/>
      <c r="B543" s="221"/>
      <c r="C543" s="255"/>
      <c r="D543" s="255"/>
      <c r="E543" s="221"/>
      <c r="F543" s="221"/>
      <c r="G543" s="221"/>
      <c r="H543" s="221"/>
      <c r="I543" s="221"/>
      <c r="J543" s="221"/>
      <c r="K543" s="221"/>
      <c r="L543" s="255"/>
      <c r="M543" s="255"/>
      <c r="N543" s="221"/>
      <c r="O543" s="221"/>
      <c r="P543" s="221"/>
      <c r="Q543" s="221"/>
      <c r="R543" s="221"/>
      <c r="S543" s="221"/>
      <c r="T543" s="221"/>
      <c r="U543" s="221"/>
      <c r="V543" s="221"/>
      <c r="W543" s="221"/>
      <c r="X543" s="221"/>
      <c r="Y543" s="221"/>
      <c r="Z543" s="221"/>
    </row>
    <row r="544" spans="1:26" ht="18.75" customHeight="1">
      <c r="A544" s="221"/>
      <c r="B544" s="221"/>
      <c r="C544" s="255"/>
      <c r="D544" s="255"/>
      <c r="E544" s="221"/>
      <c r="F544" s="221"/>
      <c r="G544" s="221"/>
      <c r="H544" s="221"/>
      <c r="I544" s="221"/>
      <c r="J544" s="221"/>
      <c r="K544" s="221"/>
      <c r="L544" s="255"/>
      <c r="M544" s="255"/>
      <c r="N544" s="221"/>
      <c r="O544" s="221"/>
      <c r="P544" s="221"/>
      <c r="Q544" s="221"/>
      <c r="R544" s="221"/>
      <c r="S544" s="221"/>
      <c r="T544" s="221"/>
      <c r="U544" s="221"/>
      <c r="V544" s="221"/>
      <c r="W544" s="221"/>
      <c r="X544" s="221"/>
      <c r="Y544" s="221"/>
      <c r="Z544" s="221"/>
    </row>
    <row r="545" spans="1:26" ht="18.75" customHeight="1">
      <c r="A545" s="221"/>
      <c r="B545" s="221"/>
      <c r="C545" s="255"/>
      <c r="D545" s="255"/>
      <c r="E545" s="221"/>
      <c r="F545" s="221"/>
      <c r="G545" s="221"/>
      <c r="H545" s="221"/>
      <c r="I545" s="221"/>
      <c r="J545" s="221"/>
      <c r="K545" s="221"/>
      <c r="L545" s="255"/>
      <c r="M545" s="255"/>
      <c r="N545" s="221"/>
      <c r="O545" s="221"/>
      <c r="P545" s="221"/>
      <c r="Q545" s="221"/>
      <c r="R545" s="221"/>
      <c r="S545" s="221"/>
      <c r="T545" s="221"/>
      <c r="U545" s="221"/>
      <c r="V545" s="221"/>
      <c r="W545" s="221"/>
      <c r="X545" s="221"/>
      <c r="Y545" s="221"/>
      <c r="Z545" s="221"/>
    </row>
    <row r="546" spans="1:26" ht="18.75" customHeight="1">
      <c r="A546" s="221"/>
      <c r="B546" s="221"/>
      <c r="C546" s="255"/>
      <c r="D546" s="255"/>
      <c r="E546" s="221"/>
      <c r="F546" s="221"/>
      <c r="G546" s="221"/>
      <c r="H546" s="221"/>
      <c r="I546" s="221"/>
      <c r="J546" s="221"/>
      <c r="K546" s="221"/>
      <c r="L546" s="255"/>
      <c r="M546" s="255"/>
      <c r="N546" s="221"/>
      <c r="O546" s="221"/>
      <c r="P546" s="221"/>
      <c r="Q546" s="221"/>
      <c r="R546" s="221"/>
      <c r="S546" s="221"/>
      <c r="T546" s="221"/>
      <c r="U546" s="221"/>
      <c r="V546" s="221"/>
      <c r="W546" s="221"/>
      <c r="X546" s="221"/>
      <c r="Y546" s="221"/>
      <c r="Z546" s="221"/>
    </row>
    <row r="547" spans="1:26" ht="18.75" customHeight="1">
      <c r="A547" s="221"/>
      <c r="B547" s="221"/>
      <c r="C547" s="255"/>
      <c r="D547" s="255"/>
      <c r="E547" s="221"/>
      <c r="F547" s="221"/>
      <c r="G547" s="221"/>
      <c r="H547" s="221"/>
      <c r="I547" s="221"/>
      <c r="J547" s="221"/>
      <c r="K547" s="221"/>
      <c r="L547" s="255"/>
      <c r="M547" s="255"/>
      <c r="N547" s="221"/>
      <c r="O547" s="221"/>
      <c r="P547" s="221"/>
      <c r="Q547" s="221"/>
      <c r="R547" s="221"/>
      <c r="S547" s="221"/>
      <c r="T547" s="221"/>
      <c r="U547" s="221"/>
      <c r="V547" s="221"/>
      <c r="W547" s="221"/>
      <c r="X547" s="221"/>
      <c r="Y547" s="221"/>
      <c r="Z547" s="221"/>
    </row>
    <row r="548" spans="1:26" ht="18.75" customHeight="1">
      <c r="A548" s="221"/>
      <c r="B548" s="221"/>
      <c r="C548" s="255"/>
      <c r="D548" s="255"/>
      <c r="E548" s="221"/>
      <c r="F548" s="221"/>
      <c r="G548" s="221"/>
      <c r="H548" s="221"/>
      <c r="I548" s="221"/>
      <c r="J548" s="221"/>
      <c r="K548" s="221"/>
      <c r="L548" s="255"/>
      <c r="M548" s="255"/>
      <c r="N548" s="221"/>
      <c r="O548" s="221"/>
      <c r="P548" s="221"/>
      <c r="Q548" s="221"/>
      <c r="R548" s="221"/>
      <c r="S548" s="221"/>
      <c r="T548" s="221"/>
      <c r="U548" s="221"/>
      <c r="V548" s="221"/>
      <c r="W548" s="221"/>
      <c r="X548" s="221"/>
      <c r="Y548" s="221"/>
      <c r="Z548" s="221"/>
    </row>
    <row r="549" spans="1:26" ht="18.75" customHeight="1">
      <c r="A549" s="221"/>
      <c r="B549" s="221"/>
      <c r="C549" s="255"/>
      <c r="D549" s="255"/>
      <c r="E549" s="221"/>
      <c r="F549" s="221"/>
      <c r="G549" s="221"/>
      <c r="H549" s="221"/>
      <c r="I549" s="221"/>
      <c r="J549" s="221"/>
      <c r="K549" s="221"/>
      <c r="L549" s="255"/>
      <c r="M549" s="255"/>
      <c r="N549" s="221"/>
      <c r="O549" s="221"/>
      <c r="P549" s="221"/>
      <c r="Q549" s="221"/>
      <c r="R549" s="221"/>
      <c r="S549" s="221"/>
      <c r="T549" s="221"/>
      <c r="U549" s="221"/>
      <c r="V549" s="221"/>
      <c r="W549" s="221"/>
      <c r="X549" s="221"/>
      <c r="Y549" s="221"/>
      <c r="Z549" s="221"/>
    </row>
    <row r="550" spans="1:26" ht="18.75" customHeight="1">
      <c r="A550" s="221"/>
      <c r="B550" s="221"/>
      <c r="C550" s="255"/>
      <c r="D550" s="255"/>
      <c r="E550" s="221"/>
      <c r="F550" s="221"/>
      <c r="G550" s="221"/>
      <c r="H550" s="221"/>
      <c r="I550" s="221"/>
      <c r="J550" s="221"/>
      <c r="K550" s="221"/>
      <c r="L550" s="255"/>
      <c r="M550" s="255"/>
      <c r="N550" s="221"/>
      <c r="O550" s="221"/>
      <c r="P550" s="221"/>
      <c r="Q550" s="221"/>
      <c r="R550" s="221"/>
      <c r="S550" s="221"/>
      <c r="T550" s="221"/>
      <c r="U550" s="221"/>
      <c r="V550" s="221"/>
      <c r="W550" s="221"/>
      <c r="X550" s="221"/>
      <c r="Y550" s="221"/>
      <c r="Z550" s="221"/>
    </row>
    <row r="551" spans="1:26" ht="18.75" customHeight="1">
      <c r="A551" s="221"/>
      <c r="B551" s="221"/>
      <c r="C551" s="255"/>
      <c r="D551" s="255"/>
      <c r="E551" s="221"/>
      <c r="F551" s="221"/>
      <c r="G551" s="221"/>
      <c r="H551" s="221"/>
      <c r="I551" s="221"/>
      <c r="J551" s="221"/>
      <c r="K551" s="221"/>
      <c r="L551" s="255"/>
      <c r="M551" s="255"/>
      <c r="N551" s="221"/>
      <c r="O551" s="221"/>
      <c r="P551" s="221"/>
      <c r="Q551" s="221"/>
      <c r="R551" s="221"/>
      <c r="S551" s="221"/>
      <c r="T551" s="221"/>
      <c r="U551" s="221"/>
      <c r="V551" s="221"/>
      <c r="W551" s="221"/>
      <c r="X551" s="221"/>
      <c r="Y551" s="221"/>
      <c r="Z551" s="221"/>
    </row>
    <row r="552" spans="1:26" ht="18.75" customHeight="1">
      <c r="A552" s="221"/>
      <c r="B552" s="221"/>
      <c r="C552" s="255"/>
      <c r="D552" s="255"/>
      <c r="E552" s="221"/>
      <c r="F552" s="221"/>
      <c r="G552" s="221"/>
      <c r="H552" s="221"/>
      <c r="I552" s="221"/>
      <c r="J552" s="221"/>
      <c r="K552" s="221"/>
      <c r="L552" s="255"/>
      <c r="M552" s="255"/>
      <c r="N552" s="221"/>
      <c r="O552" s="221"/>
      <c r="P552" s="221"/>
      <c r="Q552" s="221"/>
      <c r="R552" s="221"/>
      <c r="S552" s="221"/>
      <c r="T552" s="221"/>
      <c r="U552" s="221"/>
      <c r="V552" s="221"/>
      <c r="W552" s="221"/>
      <c r="X552" s="221"/>
      <c r="Y552" s="221"/>
      <c r="Z552" s="221"/>
    </row>
    <row r="553" spans="1:26" ht="18.75" customHeight="1">
      <c r="A553" s="221"/>
      <c r="B553" s="221"/>
      <c r="C553" s="255"/>
      <c r="D553" s="255"/>
      <c r="E553" s="221"/>
      <c r="F553" s="221"/>
      <c r="G553" s="221"/>
      <c r="H553" s="221"/>
      <c r="I553" s="221"/>
      <c r="J553" s="221"/>
      <c r="K553" s="221"/>
      <c r="L553" s="255"/>
      <c r="M553" s="255"/>
      <c r="N553" s="221"/>
      <c r="O553" s="221"/>
      <c r="P553" s="221"/>
      <c r="Q553" s="221"/>
      <c r="R553" s="221"/>
      <c r="S553" s="221"/>
      <c r="T553" s="221"/>
      <c r="U553" s="221"/>
      <c r="V553" s="221"/>
      <c r="W553" s="221"/>
      <c r="X553" s="221"/>
      <c r="Y553" s="221"/>
      <c r="Z553" s="221"/>
    </row>
    <row r="554" spans="1:26" ht="18.75" customHeight="1">
      <c r="A554" s="221"/>
      <c r="B554" s="221"/>
      <c r="C554" s="255"/>
      <c r="D554" s="255"/>
      <c r="E554" s="221"/>
      <c r="F554" s="221"/>
      <c r="G554" s="221"/>
      <c r="H554" s="221"/>
      <c r="I554" s="221"/>
      <c r="J554" s="221"/>
      <c r="K554" s="221"/>
      <c r="L554" s="255"/>
      <c r="M554" s="255"/>
      <c r="N554" s="221"/>
      <c r="O554" s="221"/>
      <c r="P554" s="221"/>
      <c r="Q554" s="221"/>
      <c r="R554" s="221"/>
      <c r="S554" s="221"/>
      <c r="T554" s="221"/>
      <c r="U554" s="221"/>
      <c r="V554" s="221"/>
      <c r="W554" s="221"/>
      <c r="X554" s="221"/>
      <c r="Y554" s="221"/>
      <c r="Z554" s="221"/>
    </row>
    <row r="555" spans="1:26" ht="18.75" customHeight="1">
      <c r="A555" s="221"/>
      <c r="B555" s="221"/>
      <c r="C555" s="255"/>
      <c r="D555" s="255"/>
      <c r="E555" s="221"/>
      <c r="F555" s="221"/>
      <c r="G555" s="221"/>
      <c r="H555" s="221"/>
      <c r="I555" s="221"/>
      <c r="J555" s="221"/>
      <c r="K555" s="221"/>
      <c r="L555" s="255"/>
      <c r="M555" s="255"/>
      <c r="N555" s="221"/>
      <c r="O555" s="221"/>
      <c r="P555" s="221"/>
      <c r="Q555" s="221"/>
      <c r="R555" s="221"/>
      <c r="S555" s="221"/>
      <c r="T555" s="221"/>
      <c r="U555" s="221"/>
      <c r="V555" s="221"/>
      <c r="W555" s="221"/>
      <c r="X555" s="221"/>
      <c r="Y555" s="221"/>
      <c r="Z555" s="221"/>
    </row>
    <row r="556" spans="1:26" ht="18.75" customHeight="1">
      <c r="A556" s="221"/>
      <c r="B556" s="221"/>
      <c r="C556" s="255"/>
      <c r="D556" s="255"/>
      <c r="E556" s="221"/>
      <c r="F556" s="221"/>
      <c r="G556" s="221"/>
      <c r="H556" s="221"/>
      <c r="I556" s="221"/>
      <c r="J556" s="221"/>
      <c r="K556" s="221"/>
      <c r="L556" s="255"/>
      <c r="M556" s="255"/>
      <c r="N556" s="221"/>
      <c r="O556" s="221"/>
      <c r="P556" s="221"/>
      <c r="Q556" s="221"/>
      <c r="R556" s="221"/>
      <c r="S556" s="221"/>
      <c r="T556" s="221"/>
      <c r="U556" s="221"/>
      <c r="V556" s="221"/>
      <c r="W556" s="221"/>
      <c r="X556" s="221"/>
      <c r="Y556" s="221"/>
      <c r="Z556" s="221"/>
    </row>
    <row r="557" spans="1:26" ht="18.75" customHeight="1">
      <c r="A557" s="221"/>
      <c r="B557" s="221"/>
      <c r="C557" s="255"/>
      <c r="D557" s="255"/>
      <c r="E557" s="221"/>
      <c r="F557" s="221"/>
      <c r="G557" s="221"/>
      <c r="H557" s="221"/>
      <c r="I557" s="221"/>
      <c r="J557" s="221"/>
      <c r="K557" s="221"/>
      <c r="L557" s="255"/>
      <c r="M557" s="255"/>
      <c r="N557" s="221"/>
      <c r="O557" s="221"/>
      <c r="P557" s="221"/>
      <c r="Q557" s="221"/>
      <c r="R557" s="221"/>
      <c r="S557" s="221"/>
      <c r="T557" s="221"/>
      <c r="U557" s="221"/>
      <c r="V557" s="221"/>
      <c r="W557" s="221"/>
      <c r="X557" s="221"/>
      <c r="Y557" s="221"/>
      <c r="Z557" s="221"/>
    </row>
    <row r="558" spans="1:26" ht="18.75" customHeight="1">
      <c r="A558" s="221"/>
      <c r="B558" s="221"/>
      <c r="C558" s="255"/>
      <c r="D558" s="255"/>
      <c r="E558" s="221"/>
      <c r="F558" s="221"/>
      <c r="G558" s="221"/>
      <c r="H558" s="221"/>
      <c r="I558" s="221"/>
      <c r="J558" s="221"/>
      <c r="K558" s="221"/>
      <c r="L558" s="255"/>
      <c r="M558" s="255"/>
      <c r="N558" s="221"/>
      <c r="O558" s="221"/>
      <c r="P558" s="221"/>
      <c r="Q558" s="221"/>
      <c r="R558" s="221"/>
      <c r="S558" s="221"/>
      <c r="T558" s="221"/>
      <c r="U558" s="221"/>
      <c r="V558" s="221"/>
      <c r="W558" s="221"/>
      <c r="X558" s="221"/>
      <c r="Y558" s="221"/>
      <c r="Z558" s="221"/>
    </row>
    <row r="559" spans="1:26" ht="18.75" customHeight="1">
      <c r="A559" s="221"/>
      <c r="B559" s="221"/>
      <c r="C559" s="255"/>
      <c r="D559" s="255"/>
      <c r="E559" s="221"/>
      <c r="F559" s="221"/>
      <c r="G559" s="221"/>
      <c r="H559" s="221"/>
      <c r="I559" s="221"/>
      <c r="J559" s="221"/>
      <c r="K559" s="221"/>
      <c r="L559" s="255"/>
      <c r="M559" s="255"/>
      <c r="N559" s="221"/>
      <c r="O559" s="221"/>
      <c r="P559" s="221"/>
      <c r="Q559" s="221"/>
      <c r="R559" s="221"/>
      <c r="S559" s="221"/>
      <c r="T559" s="221"/>
      <c r="U559" s="221"/>
      <c r="V559" s="221"/>
      <c r="W559" s="221"/>
      <c r="X559" s="221"/>
      <c r="Y559" s="221"/>
      <c r="Z559" s="221"/>
    </row>
    <row r="560" spans="1:26" ht="18.75" customHeight="1">
      <c r="A560" s="221"/>
      <c r="B560" s="221"/>
      <c r="C560" s="255"/>
      <c r="D560" s="255"/>
      <c r="E560" s="221"/>
      <c r="F560" s="221"/>
      <c r="G560" s="221"/>
      <c r="H560" s="221"/>
      <c r="I560" s="221"/>
      <c r="J560" s="221"/>
      <c r="K560" s="221"/>
      <c r="L560" s="255"/>
      <c r="M560" s="255"/>
      <c r="N560" s="221"/>
      <c r="O560" s="221"/>
      <c r="P560" s="221"/>
      <c r="Q560" s="221"/>
      <c r="R560" s="221"/>
      <c r="S560" s="221"/>
      <c r="T560" s="221"/>
      <c r="U560" s="221"/>
      <c r="V560" s="221"/>
      <c r="W560" s="221"/>
      <c r="X560" s="221"/>
      <c r="Y560" s="221"/>
      <c r="Z560" s="221"/>
    </row>
    <row r="561" spans="1:26" ht="18.75" customHeight="1">
      <c r="A561" s="221"/>
      <c r="B561" s="221"/>
      <c r="C561" s="255"/>
      <c r="D561" s="255"/>
      <c r="E561" s="221"/>
      <c r="F561" s="221"/>
      <c r="G561" s="221"/>
      <c r="H561" s="221"/>
      <c r="I561" s="221"/>
      <c r="J561" s="221"/>
      <c r="K561" s="221"/>
      <c r="L561" s="255"/>
      <c r="M561" s="255"/>
      <c r="N561" s="221"/>
      <c r="O561" s="221"/>
      <c r="P561" s="221"/>
      <c r="Q561" s="221"/>
      <c r="R561" s="221"/>
      <c r="S561" s="221"/>
      <c r="T561" s="221"/>
      <c r="U561" s="221"/>
      <c r="V561" s="221"/>
      <c r="W561" s="221"/>
      <c r="X561" s="221"/>
      <c r="Y561" s="221"/>
      <c r="Z561" s="221"/>
    </row>
    <row r="562" spans="1:26" ht="18.75" customHeight="1">
      <c r="A562" s="221"/>
      <c r="B562" s="221"/>
      <c r="C562" s="255"/>
      <c r="D562" s="255"/>
      <c r="E562" s="221"/>
      <c r="F562" s="221"/>
      <c r="G562" s="221"/>
      <c r="H562" s="221"/>
      <c r="I562" s="221"/>
      <c r="J562" s="221"/>
      <c r="K562" s="221"/>
      <c r="L562" s="255"/>
      <c r="M562" s="255"/>
      <c r="N562" s="221"/>
      <c r="O562" s="221"/>
      <c r="P562" s="221"/>
      <c r="Q562" s="221"/>
      <c r="R562" s="221"/>
      <c r="S562" s="221"/>
      <c r="T562" s="221"/>
      <c r="U562" s="221"/>
      <c r="V562" s="221"/>
      <c r="W562" s="221"/>
      <c r="X562" s="221"/>
      <c r="Y562" s="221"/>
      <c r="Z562" s="221"/>
    </row>
    <row r="563" spans="1:26" ht="18.75" customHeight="1">
      <c r="A563" s="221"/>
      <c r="B563" s="221"/>
      <c r="C563" s="255"/>
      <c r="D563" s="255"/>
      <c r="E563" s="221"/>
      <c r="F563" s="221"/>
      <c r="G563" s="221"/>
      <c r="H563" s="221"/>
      <c r="I563" s="221"/>
      <c r="J563" s="221"/>
      <c r="K563" s="221"/>
      <c r="L563" s="255"/>
      <c r="M563" s="255"/>
      <c r="N563" s="221"/>
      <c r="O563" s="221"/>
      <c r="P563" s="221"/>
      <c r="Q563" s="221"/>
      <c r="R563" s="221"/>
      <c r="S563" s="221"/>
      <c r="T563" s="221"/>
      <c r="U563" s="221"/>
      <c r="V563" s="221"/>
      <c r="W563" s="221"/>
      <c r="X563" s="221"/>
      <c r="Y563" s="221"/>
      <c r="Z563" s="221"/>
    </row>
    <row r="564" spans="1:26" ht="18.75" customHeight="1">
      <c r="A564" s="221"/>
      <c r="B564" s="221"/>
      <c r="C564" s="255"/>
      <c r="D564" s="255"/>
      <c r="E564" s="221"/>
      <c r="F564" s="221"/>
      <c r="G564" s="221"/>
      <c r="H564" s="221"/>
      <c r="I564" s="221"/>
      <c r="J564" s="221"/>
      <c r="K564" s="221"/>
      <c r="L564" s="255"/>
      <c r="M564" s="255"/>
      <c r="N564" s="221"/>
      <c r="O564" s="221"/>
      <c r="P564" s="221"/>
      <c r="Q564" s="221"/>
      <c r="R564" s="221"/>
      <c r="S564" s="221"/>
      <c r="T564" s="221"/>
      <c r="U564" s="221"/>
      <c r="V564" s="221"/>
      <c r="W564" s="221"/>
      <c r="X564" s="221"/>
      <c r="Y564" s="221"/>
      <c r="Z564" s="221"/>
    </row>
    <row r="565" spans="1:26" ht="18.75" customHeight="1">
      <c r="A565" s="221"/>
      <c r="B565" s="221"/>
      <c r="C565" s="255"/>
      <c r="D565" s="255"/>
      <c r="E565" s="221"/>
      <c r="F565" s="221"/>
      <c r="G565" s="221"/>
      <c r="H565" s="221"/>
      <c r="I565" s="221"/>
      <c r="J565" s="221"/>
      <c r="K565" s="221"/>
      <c r="L565" s="255"/>
      <c r="M565" s="255"/>
      <c r="N565" s="221"/>
      <c r="O565" s="221"/>
      <c r="P565" s="221"/>
      <c r="Q565" s="221"/>
      <c r="R565" s="221"/>
      <c r="S565" s="221"/>
      <c r="T565" s="221"/>
      <c r="U565" s="221"/>
      <c r="V565" s="221"/>
      <c r="W565" s="221"/>
      <c r="X565" s="221"/>
      <c r="Y565" s="221"/>
      <c r="Z565" s="221"/>
    </row>
    <row r="566" spans="1:26" ht="18.75" customHeight="1">
      <c r="A566" s="221"/>
      <c r="B566" s="221"/>
      <c r="C566" s="255"/>
      <c r="D566" s="255"/>
      <c r="E566" s="221"/>
      <c r="F566" s="221"/>
      <c r="G566" s="221"/>
      <c r="H566" s="221"/>
      <c r="I566" s="221"/>
      <c r="J566" s="221"/>
      <c r="K566" s="221"/>
      <c r="L566" s="255"/>
      <c r="M566" s="255"/>
      <c r="N566" s="221"/>
      <c r="O566" s="221"/>
      <c r="P566" s="221"/>
      <c r="Q566" s="221"/>
      <c r="R566" s="221"/>
      <c r="S566" s="221"/>
      <c r="T566" s="221"/>
      <c r="U566" s="221"/>
      <c r="V566" s="221"/>
      <c r="W566" s="221"/>
      <c r="X566" s="221"/>
      <c r="Y566" s="221"/>
      <c r="Z566" s="221"/>
    </row>
    <row r="567" spans="1:26" ht="18.75" customHeight="1">
      <c r="A567" s="221"/>
      <c r="B567" s="221"/>
      <c r="C567" s="255"/>
      <c r="D567" s="255"/>
      <c r="E567" s="221"/>
      <c r="F567" s="221"/>
      <c r="G567" s="221"/>
      <c r="H567" s="221"/>
      <c r="I567" s="221"/>
      <c r="J567" s="221"/>
      <c r="K567" s="221"/>
      <c r="L567" s="255"/>
      <c r="M567" s="255"/>
      <c r="N567" s="221"/>
      <c r="O567" s="221"/>
      <c r="P567" s="221"/>
      <c r="Q567" s="221"/>
      <c r="R567" s="221"/>
      <c r="S567" s="221"/>
      <c r="T567" s="221"/>
      <c r="U567" s="221"/>
      <c r="V567" s="221"/>
      <c r="W567" s="221"/>
      <c r="X567" s="221"/>
      <c r="Y567" s="221"/>
      <c r="Z567" s="221"/>
    </row>
    <row r="568" spans="1:26" ht="18.75" customHeight="1">
      <c r="A568" s="221"/>
      <c r="B568" s="221"/>
      <c r="C568" s="255"/>
      <c r="D568" s="255"/>
      <c r="E568" s="221"/>
      <c r="F568" s="221"/>
      <c r="G568" s="221"/>
      <c r="H568" s="221"/>
      <c r="I568" s="221"/>
      <c r="J568" s="221"/>
      <c r="K568" s="221"/>
      <c r="L568" s="255"/>
      <c r="M568" s="255"/>
      <c r="N568" s="221"/>
      <c r="O568" s="221"/>
      <c r="P568" s="221"/>
      <c r="Q568" s="221"/>
      <c r="R568" s="221"/>
      <c r="S568" s="221"/>
      <c r="T568" s="221"/>
      <c r="U568" s="221"/>
      <c r="V568" s="221"/>
      <c r="W568" s="221"/>
      <c r="X568" s="221"/>
      <c r="Y568" s="221"/>
      <c r="Z568" s="221"/>
    </row>
    <row r="569" spans="1:26" ht="18.75" customHeight="1">
      <c r="A569" s="221"/>
      <c r="B569" s="221"/>
      <c r="C569" s="255"/>
      <c r="D569" s="255"/>
      <c r="E569" s="221"/>
      <c r="F569" s="221"/>
      <c r="G569" s="221"/>
      <c r="H569" s="221"/>
      <c r="I569" s="221"/>
      <c r="J569" s="221"/>
      <c r="K569" s="221"/>
      <c r="L569" s="255"/>
      <c r="M569" s="255"/>
      <c r="N569" s="221"/>
      <c r="O569" s="221"/>
      <c r="P569" s="221"/>
      <c r="Q569" s="221"/>
      <c r="R569" s="221"/>
      <c r="S569" s="221"/>
      <c r="T569" s="221"/>
      <c r="U569" s="221"/>
      <c r="V569" s="221"/>
      <c r="W569" s="221"/>
      <c r="X569" s="221"/>
      <c r="Y569" s="221"/>
      <c r="Z569" s="221"/>
    </row>
    <row r="570" spans="1:26" ht="18.75" customHeight="1">
      <c r="A570" s="221"/>
      <c r="B570" s="221"/>
      <c r="C570" s="255"/>
      <c r="D570" s="255"/>
      <c r="E570" s="221"/>
      <c r="F570" s="221"/>
      <c r="G570" s="221"/>
      <c r="H570" s="221"/>
      <c r="I570" s="221"/>
      <c r="J570" s="221"/>
      <c r="K570" s="221"/>
      <c r="L570" s="255"/>
      <c r="M570" s="255"/>
      <c r="N570" s="221"/>
      <c r="O570" s="221"/>
      <c r="P570" s="221"/>
      <c r="Q570" s="221"/>
      <c r="R570" s="221"/>
      <c r="S570" s="221"/>
      <c r="T570" s="221"/>
      <c r="U570" s="221"/>
      <c r="V570" s="221"/>
      <c r="W570" s="221"/>
      <c r="X570" s="221"/>
      <c r="Y570" s="221"/>
      <c r="Z570" s="221"/>
    </row>
    <row r="571" spans="1:26" ht="18.75" customHeight="1">
      <c r="A571" s="221"/>
      <c r="B571" s="221"/>
      <c r="C571" s="255"/>
      <c r="D571" s="255"/>
      <c r="E571" s="221"/>
      <c r="F571" s="221"/>
      <c r="G571" s="221"/>
      <c r="H571" s="221"/>
      <c r="I571" s="221"/>
      <c r="J571" s="221"/>
      <c r="K571" s="221"/>
      <c r="L571" s="255"/>
      <c r="M571" s="255"/>
      <c r="N571" s="221"/>
      <c r="O571" s="221"/>
      <c r="P571" s="221"/>
      <c r="Q571" s="221"/>
      <c r="R571" s="221"/>
      <c r="S571" s="221"/>
      <c r="T571" s="221"/>
      <c r="U571" s="221"/>
      <c r="V571" s="221"/>
      <c r="W571" s="221"/>
      <c r="X571" s="221"/>
      <c r="Y571" s="221"/>
      <c r="Z571" s="221"/>
    </row>
    <row r="572" spans="1:26" ht="18.75" customHeight="1">
      <c r="A572" s="221"/>
      <c r="B572" s="221"/>
      <c r="C572" s="255"/>
      <c r="D572" s="255"/>
      <c r="E572" s="221"/>
      <c r="F572" s="221"/>
      <c r="G572" s="221"/>
      <c r="H572" s="221"/>
      <c r="I572" s="221"/>
      <c r="J572" s="221"/>
      <c r="K572" s="221"/>
      <c r="L572" s="255"/>
      <c r="M572" s="255"/>
      <c r="N572" s="221"/>
      <c r="O572" s="221"/>
      <c r="P572" s="221"/>
      <c r="Q572" s="221"/>
      <c r="R572" s="221"/>
      <c r="S572" s="221"/>
      <c r="T572" s="221"/>
      <c r="U572" s="221"/>
      <c r="V572" s="221"/>
      <c r="W572" s="221"/>
      <c r="X572" s="221"/>
      <c r="Y572" s="221"/>
      <c r="Z572" s="221"/>
    </row>
    <row r="573" spans="1:26" ht="18.75" customHeight="1">
      <c r="A573" s="221"/>
      <c r="B573" s="221"/>
      <c r="C573" s="255"/>
      <c r="D573" s="255"/>
      <c r="E573" s="221"/>
      <c r="F573" s="221"/>
      <c r="G573" s="221"/>
      <c r="H573" s="221"/>
      <c r="I573" s="221"/>
      <c r="J573" s="221"/>
      <c r="K573" s="221"/>
      <c r="L573" s="255"/>
      <c r="M573" s="255"/>
      <c r="N573" s="221"/>
      <c r="O573" s="221"/>
      <c r="P573" s="221"/>
      <c r="Q573" s="221"/>
      <c r="R573" s="221"/>
      <c r="S573" s="221"/>
      <c r="T573" s="221"/>
      <c r="U573" s="221"/>
      <c r="V573" s="221"/>
      <c r="W573" s="221"/>
      <c r="X573" s="221"/>
      <c r="Y573" s="221"/>
      <c r="Z573" s="221"/>
    </row>
    <row r="574" spans="1:26" ht="18.75" customHeight="1">
      <c r="A574" s="221"/>
      <c r="B574" s="221"/>
      <c r="C574" s="255"/>
      <c r="D574" s="255"/>
      <c r="E574" s="221"/>
      <c r="F574" s="221"/>
      <c r="G574" s="221"/>
      <c r="H574" s="221"/>
      <c r="I574" s="221"/>
      <c r="J574" s="221"/>
      <c r="K574" s="221"/>
      <c r="L574" s="255"/>
      <c r="M574" s="255"/>
      <c r="N574" s="221"/>
      <c r="O574" s="221"/>
      <c r="P574" s="221"/>
      <c r="Q574" s="221"/>
      <c r="R574" s="221"/>
      <c r="S574" s="221"/>
      <c r="T574" s="221"/>
      <c r="U574" s="221"/>
      <c r="V574" s="221"/>
      <c r="W574" s="221"/>
      <c r="X574" s="221"/>
      <c r="Y574" s="221"/>
      <c r="Z574" s="221"/>
    </row>
    <row r="575" spans="1:26" ht="18.75" customHeight="1">
      <c r="A575" s="221"/>
      <c r="B575" s="221"/>
      <c r="C575" s="255"/>
      <c r="D575" s="255"/>
      <c r="E575" s="221"/>
      <c r="F575" s="221"/>
      <c r="G575" s="221"/>
      <c r="H575" s="221"/>
      <c r="I575" s="221"/>
      <c r="J575" s="221"/>
      <c r="K575" s="221"/>
      <c r="L575" s="255"/>
      <c r="M575" s="255"/>
      <c r="N575" s="221"/>
      <c r="O575" s="221"/>
      <c r="P575" s="221"/>
      <c r="Q575" s="221"/>
      <c r="R575" s="221"/>
      <c r="S575" s="221"/>
      <c r="T575" s="221"/>
      <c r="U575" s="221"/>
      <c r="V575" s="221"/>
      <c r="W575" s="221"/>
      <c r="X575" s="221"/>
      <c r="Y575" s="221"/>
      <c r="Z575" s="221"/>
    </row>
    <row r="576" spans="1:26" ht="18.75" customHeight="1">
      <c r="A576" s="221"/>
      <c r="B576" s="221"/>
      <c r="C576" s="255"/>
      <c r="D576" s="255"/>
      <c r="E576" s="221"/>
      <c r="F576" s="221"/>
      <c r="G576" s="221"/>
      <c r="H576" s="221"/>
      <c r="I576" s="221"/>
      <c r="J576" s="221"/>
      <c r="K576" s="221"/>
      <c r="L576" s="255"/>
      <c r="M576" s="255"/>
      <c r="N576" s="221"/>
      <c r="O576" s="221"/>
      <c r="P576" s="221"/>
      <c r="Q576" s="221"/>
      <c r="R576" s="221"/>
      <c r="S576" s="221"/>
      <c r="T576" s="221"/>
      <c r="U576" s="221"/>
      <c r="V576" s="221"/>
      <c r="W576" s="221"/>
      <c r="X576" s="221"/>
      <c r="Y576" s="221"/>
      <c r="Z576" s="221"/>
    </row>
    <row r="577" spans="1:26" ht="18.75" customHeight="1">
      <c r="A577" s="221"/>
      <c r="B577" s="221"/>
      <c r="C577" s="255"/>
      <c r="D577" s="255"/>
      <c r="E577" s="221"/>
      <c r="F577" s="221"/>
      <c r="G577" s="221"/>
      <c r="H577" s="221"/>
      <c r="I577" s="221"/>
      <c r="J577" s="221"/>
      <c r="K577" s="221"/>
      <c r="L577" s="255"/>
      <c r="M577" s="255"/>
      <c r="N577" s="221"/>
      <c r="O577" s="221"/>
      <c r="P577" s="221"/>
      <c r="Q577" s="221"/>
      <c r="R577" s="221"/>
      <c r="S577" s="221"/>
      <c r="T577" s="221"/>
      <c r="U577" s="221"/>
      <c r="V577" s="221"/>
      <c r="W577" s="221"/>
      <c r="X577" s="221"/>
      <c r="Y577" s="221"/>
      <c r="Z577" s="221"/>
    </row>
    <row r="578" spans="1:26" ht="18.75" customHeight="1">
      <c r="A578" s="221"/>
      <c r="B578" s="221"/>
      <c r="C578" s="255"/>
      <c r="D578" s="255"/>
      <c r="E578" s="221"/>
      <c r="F578" s="221"/>
      <c r="G578" s="221"/>
      <c r="H578" s="221"/>
      <c r="I578" s="221"/>
      <c r="J578" s="221"/>
      <c r="K578" s="221"/>
      <c r="L578" s="255"/>
      <c r="M578" s="255"/>
      <c r="N578" s="221"/>
      <c r="O578" s="221"/>
      <c r="P578" s="221"/>
      <c r="Q578" s="221"/>
      <c r="R578" s="221"/>
      <c r="S578" s="221"/>
      <c r="T578" s="221"/>
      <c r="U578" s="221"/>
      <c r="V578" s="221"/>
      <c r="W578" s="221"/>
      <c r="X578" s="221"/>
      <c r="Y578" s="221"/>
      <c r="Z578" s="221"/>
    </row>
    <row r="579" spans="1:26" ht="18.75" customHeight="1">
      <c r="A579" s="221"/>
      <c r="B579" s="221"/>
      <c r="C579" s="255"/>
      <c r="D579" s="255"/>
      <c r="E579" s="221"/>
      <c r="F579" s="221"/>
      <c r="G579" s="221"/>
      <c r="H579" s="221"/>
      <c r="I579" s="221"/>
      <c r="J579" s="221"/>
      <c r="K579" s="221"/>
      <c r="L579" s="255"/>
      <c r="M579" s="255"/>
      <c r="N579" s="221"/>
      <c r="O579" s="221"/>
      <c r="P579" s="221"/>
      <c r="Q579" s="221"/>
      <c r="R579" s="221"/>
      <c r="S579" s="221"/>
      <c r="T579" s="221"/>
      <c r="U579" s="221"/>
      <c r="V579" s="221"/>
      <c r="W579" s="221"/>
      <c r="X579" s="221"/>
      <c r="Y579" s="221"/>
      <c r="Z579" s="221"/>
    </row>
    <row r="580" spans="1:26" ht="18.75" customHeight="1">
      <c r="A580" s="221"/>
      <c r="B580" s="221"/>
      <c r="C580" s="255"/>
      <c r="D580" s="255"/>
      <c r="E580" s="221"/>
      <c r="F580" s="221"/>
      <c r="G580" s="221"/>
      <c r="H580" s="221"/>
      <c r="I580" s="221"/>
      <c r="J580" s="221"/>
      <c r="K580" s="221"/>
      <c r="L580" s="255"/>
      <c r="M580" s="255"/>
      <c r="N580" s="221"/>
      <c r="O580" s="221"/>
      <c r="P580" s="221"/>
      <c r="Q580" s="221"/>
      <c r="R580" s="221"/>
      <c r="S580" s="221"/>
      <c r="T580" s="221"/>
      <c r="U580" s="221"/>
      <c r="V580" s="221"/>
      <c r="W580" s="221"/>
      <c r="X580" s="221"/>
      <c r="Y580" s="221"/>
      <c r="Z580" s="221"/>
    </row>
    <row r="581" spans="1:26" ht="18.75" customHeight="1">
      <c r="A581" s="221"/>
      <c r="B581" s="221"/>
      <c r="C581" s="255"/>
      <c r="D581" s="255"/>
      <c r="E581" s="221"/>
      <c r="F581" s="221"/>
      <c r="G581" s="221"/>
      <c r="H581" s="221"/>
      <c r="I581" s="221"/>
      <c r="J581" s="221"/>
      <c r="K581" s="221"/>
      <c r="L581" s="255"/>
      <c r="M581" s="255"/>
      <c r="N581" s="221"/>
      <c r="O581" s="221"/>
      <c r="P581" s="221"/>
      <c r="Q581" s="221"/>
      <c r="R581" s="221"/>
      <c r="S581" s="221"/>
      <c r="T581" s="221"/>
      <c r="U581" s="221"/>
      <c r="V581" s="221"/>
      <c r="W581" s="221"/>
      <c r="X581" s="221"/>
      <c r="Y581" s="221"/>
      <c r="Z581" s="221"/>
    </row>
    <row r="582" spans="1:26" ht="18.75" customHeight="1">
      <c r="A582" s="221"/>
      <c r="B582" s="221"/>
      <c r="C582" s="255"/>
      <c r="D582" s="255"/>
      <c r="E582" s="221"/>
      <c r="F582" s="221"/>
      <c r="G582" s="221"/>
      <c r="H582" s="221"/>
      <c r="I582" s="221"/>
      <c r="J582" s="221"/>
      <c r="K582" s="221"/>
      <c r="L582" s="255"/>
      <c r="M582" s="255"/>
      <c r="N582" s="221"/>
      <c r="O582" s="221"/>
      <c r="P582" s="221"/>
      <c r="Q582" s="221"/>
      <c r="R582" s="221"/>
      <c r="S582" s="221"/>
      <c r="T582" s="221"/>
      <c r="U582" s="221"/>
      <c r="V582" s="221"/>
      <c r="W582" s="221"/>
      <c r="X582" s="221"/>
      <c r="Y582" s="221"/>
      <c r="Z582" s="221"/>
    </row>
    <row r="583" spans="1:26" ht="18.75" customHeight="1">
      <c r="A583" s="221"/>
      <c r="B583" s="221"/>
      <c r="C583" s="255"/>
      <c r="D583" s="255"/>
      <c r="E583" s="221"/>
      <c r="F583" s="221"/>
      <c r="G583" s="221"/>
      <c r="H583" s="221"/>
      <c r="I583" s="221"/>
      <c r="J583" s="221"/>
      <c r="K583" s="221"/>
      <c r="L583" s="255"/>
      <c r="M583" s="255"/>
      <c r="N583" s="221"/>
      <c r="O583" s="221"/>
      <c r="P583" s="221"/>
      <c r="Q583" s="221"/>
      <c r="R583" s="221"/>
      <c r="S583" s="221"/>
      <c r="T583" s="221"/>
      <c r="U583" s="221"/>
      <c r="V583" s="221"/>
      <c r="W583" s="221"/>
      <c r="X583" s="221"/>
      <c r="Y583" s="221"/>
      <c r="Z583" s="221"/>
    </row>
    <row r="584" spans="1:26" ht="18.75" customHeight="1">
      <c r="A584" s="221"/>
      <c r="B584" s="221"/>
      <c r="C584" s="255"/>
      <c r="D584" s="255"/>
      <c r="E584" s="221"/>
      <c r="F584" s="221"/>
      <c r="G584" s="221"/>
      <c r="H584" s="221"/>
      <c r="I584" s="221"/>
      <c r="J584" s="221"/>
      <c r="K584" s="221"/>
      <c r="L584" s="255"/>
      <c r="M584" s="255"/>
      <c r="N584" s="221"/>
      <c r="O584" s="221"/>
      <c r="P584" s="221"/>
      <c r="Q584" s="221"/>
      <c r="R584" s="221"/>
      <c r="S584" s="221"/>
      <c r="T584" s="221"/>
      <c r="U584" s="221"/>
      <c r="V584" s="221"/>
      <c r="W584" s="221"/>
      <c r="X584" s="221"/>
      <c r="Y584" s="221"/>
      <c r="Z584" s="221"/>
    </row>
    <row r="585" spans="1:26" ht="18.75" customHeight="1">
      <c r="A585" s="221"/>
      <c r="B585" s="221"/>
      <c r="C585" s="255"/>
      <c r="D585" s="255"/>
      <c r="E585" s="221"/>
      <c r="F585" s="221"/>
      <c r="G585" s="221"/>
      <c r="H585" s="221"/>
      <c r="I585" s="221"/>
      <c r="J585" s="221"/>
      <c r="K585" s="221"/>
      <c r="L585" s="255"/>
      <c r="M585" s="255"/>
      <c r="N585" s="221"/>
      <c r="O585" s="221"/>
      <c r="P585" s="221"/>
      <c r="Q585" s="221"/>
      <c r="R585" s="221"/>
      <c r="S585" s="221"/>
      <c r="T585" s="221"/>
      <c r="U585" s="221"/>
      <c r="V585" s="221"/>
      <c r="W585" s="221"/>
      <c r="X585" s="221"/>
      <c r="Y585" s="221"/>
      <c r="Z585" s="221"/>
    </row>
    <row r="586" spans="1:26" ht="18.75" customHeight="1">
      <c r="A586" s="221"/>
      <c r="B586" s="221"/>
      <c r="C586" s="255"/>
      <c r="D586" s="255"/>
      <c r="E586" s="221"/>
      <c r="F586" s="221"/>
      <c r="G586" s="221"/>
      <c r="H586" s="221"/>
      <c r="I586" s="221"/>
      <c r="J586" s="221"/>
      <c r="K586" s="221"/>
      <c r="L586" s="255"/>
      <c r="M586" s="255"/>
      <c r="N586" s="221"/>
      <c r="O586" s="221"/>
      <c r="P586" s="221"/>
      <c r="Q586" s="221"/>
      <c r="R586" s="221"/>
      <c r="S586" s="221"/>
      <c r="T586" s="221"/>
      <c r="U586" s="221"/>
      <c r="V586" s="221"/>
      <c r="W586" s="221"/>
      <c r="X586" s="221"/>
      <c r="Y586" s="221"/>
      <c r="Z586" s="221"/>
    </row>
    <row r="587" spans="1:26" ht="18.75" customHeight="1">
      <c r="A587" s="221"/>
      <c r="B587" s="221"/>
      <c r="C587" s="255"/>
      <c r="D587" s="255"/>
      <c r="E587" s="221"/>
      <c r="F587" s="221"/>
      <c r="G587" s="221"/>
      <c r="H587" s="221"/>
      <c r="I587" s="221"/>
      <c r="J587" s="221"/>
      <c r="K587" s="221"/>
      <c r="L587" s="255"/>
      <c r="M587" s="255"/>
      <c r="N587" s="221"/>
      <c r="O587" s="221"/>
      <c r="P587" s="221"/>
      <c r="Q587" s="221"/>
      <c r="R587" s="221"/>
      <c r="S587" s="221"/>
      <c r="T587" s="221"/>
      <c r="U587" s="221"/>
      <c r="V587" s="221"/>
      <c r="W587" s="221"/>
      <c r="X587" s="221"/>
      <c r="Y587" s="221"/>
      <c r="Z587" s="221"/>
    </row>
    <row r="588" spans="1:26" ht="18.75" customHeight="1">
      <c r="A588" s="221"/>
      <c r="B588" s="221"/>
      <c r="C588" s="255"/>
      <c r="D588" s="255"/>
      <c r="E588" s="221"/>
      <c r="F588" s="221"/>
      <c r="G588" s="221"/>
      <c r="H588" s="221"/>
      <c r="I588" s="221"/>
      <c r="J588" s="221"/>
      <c r="K588" s="221"/>
      <c r="L588" s="255"/>
      <c r="M588" s="255"/>
      <c r="N588" s="221"/>
      <c r="O588" s="221"/>
      <c r="P588" s="221"/>
      <c r="Q588" s="221"/>
      <c r="R588" s="221"/>
      <c r="S588" s="221"/>
      <c r="T588" s="221"/>
      <c r="U588" s="221"/>
      <c r="V588" s="221"/>
      <c r="W588" s="221"/>
      <c r="X588" s="221"/>
      <c r="Y588" s="221"/>
      <c r="Z588" s="221"/>
    </row>
    <row r="589" spans="1:26" ht="18.75" customHeight="1">
      <c r="A589" s="221"/>
      <c r="B589" s="221"/>
      <c r="C589" s="255"/>
      <c r="D589" s="255"/>
      <c r="E589" s="221"/>
      <c r="F589" s="221"/>
      <c r="G589" s="221"/>
      <c r="H589" s="221"/>
      <c r="I589" s="221"/>
      <c r="J589" s="221"/>
      <c r="K589" s="221"/>
      <c r="L589" s="255"/>
      <c r="M589" s="255"/>
      <c r="N589" s="221"/>
      <c r="O589" s="221"/>
      <c r="P589" s="221"/>
      <c r="Q589" s="221"/>
      <c r="R589" s="221"/>
      <c r="S589" s="221"/>
      <c r="T589" s="221"/>
      <c r="U589" s="221"/>
      <c r="V589" s="221"/>
      <c r="W589" s="221"/>
      <c r="X589" s="221"/>
      <c r="Y589" s="221"/>
      <c r="Z589" s="221"/>
    </row>
    <row r="590" spans="1:26" ht="18.75" customHeight="1">
      <c r="A590" s="221"/>
      <c r="B590" s="221"/>
      <c r="C590" s="255"/>
      <c r="D590" s="255"/>
      <c r="E590" s="221"/>
      <c r="F590" s="221"/>
      <c r="G590" s="221"/>
      <c r="H590" s="221"/>
      <c r="I590" s="221"/>
      <c r="J590" s="221"/>
      <c r="K590" s="221"/>
      <c r="L590" s="255"/>
      <c r="M590" s="255"/>
      <c r="N590" s="221"/>
      <c r="O590" s="221"/>
      <c r="P590" s="221"/>
      <c r="Q590" s="221"/>
      <c r="R590" s="221"/>
      <c r="S590" s="221"/>
      <c r="T590" s="221"/>
      <c r="U590" s="221"/>
      <c r="V590" s="221"/>
      <c r="W590" s="221"/>
      <c r="X590" s="221"/>
      <c r="Y590" s="221"/>
      <c r="Z590" s="221"/>
    </row>
    <row r="591" spans="1:26" ht="18.75" customHeight="1">
      <c r="A591" s="221"/>
      <c r="B591" s="221"/>
      <c r="C591" s="255"/>
      <c r="D591" s="255"/>
      <c r="E591" s="221"/>
      <c r="F591" s="221"/>
      <c r="G591" s="221"/>
      <c r="H591" s="221"/>
      <c r="I591" s="221"/>
      <c r="J591" s="221"/>
      <c r="K591" s="221"/>
      <c r="L591" s="255"/>
      <c r="M591" s="255"/>
      <c r="N591" s="221"/>
      <c r="O591" s="221"/>
      <c r="P591" s="221"/>
      <c r="Q591" s="221"/>
      <c r="R591" s="221"/>
      <c r="S591" s="221"/>
      <c r="T591" s="221"/>
      <c r="U591" s="221"/>
      <c r="V591" s="221"/>
      <c r="W591" s="221"/>
      <c r="X591" s="221"/>
      <c r="Y591" s="221"/>
      <c r="Z591" s="221"/>
    </row>
    <row r="592" spans="1:26" ht="18.75" customHeight="1">
      <c r="A592" s="221"/>
      <c r="B592" s="221"/>
      <c r="C592" s="255"/>
      <c r="D592" s="255"/>
      <c r="E592" s="221"/>
      <c r="F592" s="221"/>
      <c r="G592" s="221"/>
      <c r="H592" s="221"/>
      <c r="I592" s="221"/>
      <c r="J592" s="221"/>
      <c r="K592" s="221"/>
      <c r="L592" s="255"/>
      <c r="M592" s="255"/>
      <c r="N592" s="221"/>
      <c r="O592" s="221"/>
      <c r="P592" s="221"/>
      <c r="Q592" s="221"/>
      <c r="R592" s="221"/>
      <c r="S592" s="221"/>
      <c r="T592" s="221"/>
      <c r="U592" s="221"/>
      <c r="V592" s="221"/>
      <c r="W592" s="221"/>
      <c r="X592" s="221"/>
      <c r="Y592" s="221"/>
      <c r="Z592" s="221"/>
    </row>
    <row r="593" spans="1:26" ht="18.75" customHeight="1">
      <c r="A593" s="221"/>
      <c r="B593" s="221"/>
      <c r="C593" s="255"/>
      <c r="D593" s="255"/>
      <c r="E593" s="221"/>
      <c r="F593" s="221"/>
      <c r="G593" s="221"/>
      <c r="H593" s="221"/>
      <c r="I593" s="221"/>
      <c r="J593" s="221"/>
      <c r="K593" s="221"/>
      <c r="L593" s="255"/>
      <c r="M593" s="255"/>
      <c r="N593" s="221"/>
      <c r="O593" s="221"/>
      <c r="P593" s="221"/>
      <c r="Q593" s="221"/>
      <c r="R593" s="221"/>
      <c r="S593" s="221"/>
      <c r="T593" s="221"/>
      <c r="U593" s="221"/>
      <c r="V593" s="221"/>
      <c r="W593" s="221"/>
      <c r="X593" s="221"/>
      <c r="Y593" s="221"/>
      <c r="Z593" s="221"/>
    </row>
    <row r="594" spans="1:26" ht="18.75" customHeight="1">
      <c r="A594" s="221"/>
      <c r="B594" s="221"/>
      <c r="C594" s="255"/>
      <c r="D594" s="255"/>
      <c r="E594" s="221"/>
      <c r="F594" s="221"/>
      <c r="G594" s="221"/>
      <c r="H594" s="221"/>
      <c r="I594" s="221"/>
      <c r="J594" s="221"/>
      <c r="K594" s="221"/>
      <c r="L594" s="255"/>
      <c r="M594" s="255"/>
      <c r="N594" s="221"/>
      <c r="O594" s="221"/>
      <c r="P594" s="221"/>
      <c r="Q594" s="221"/>
      <c r="R594" s="221"/>
      <c r="S594" s="221"/>
      <c r="T594" s="221"/>
      <c r="U594" s="221"/>
      <c r="V594" s="221"/>
      <c r="W594" s="221"/>
      <c r="X594" s="221"/>
      <c r="Y594" s="221"/>
      <c r="Z594" s="221"/>
    </row>
    <row r="595" spans="1:26" ht="18.75" customHeight="1">
      <c r="A595" s="221"/>
      <c r="B595" s="221"/>
      <c r="C595" s="255"/>
      <c r="D595" s="255"/>
      <c r="E595" s="221"/>
      <c r="F595" s="221"/>
      <c r="G595" s="221"/>
      <c r="H595" s="221"/>
      <c r="I595" s="221"/>
      <c r="J595" s="221"/>
      <c r="K595" s="221"/>
      <c r="L595" s="255"/>
      <c r="M595" s="255"/>
      <c r="N595" s="221"/>
      <c r="O595" s="221"/>
      <c r="P595" s="221"/>
      <c r="Q595" s="221"/>
      <c r="R595" s="221"/>
      <c r="S595" s="221"/>
      <c r="T595" s="221"/>
      <c r="U595" s="221"/>
      <c r="V595" s="221"/>
      <c r="W595" s="221"/>
      <c r="X595" s="221"/>
      <c r="Y595" s="221"/>
      <c r="Z595" s="221"/>
    </row>
    <row r="596" spans="1:26" ht="18.75" customHeight="1">
      <c r="A596" s="221"/>
      <c r="B596" s="221"/>
      <c r="C596" s="255"/>
      <c r="D596" s="255"/>
      <c r="E596" s="221"/>
      <c r="F596" s="221"/>
      <c r="G596" s="221"/>
      <c r="H596" s="221"/>
      <c r="I596" s="221"/>
      <c r="J596" s="221"/>
      <c r="K596" s="221"/>
      <c r="L596" s="255"/>
      <c r="M596" s="255"/>
      <c r="N596" s="221"/>
      <c r="O596" s="221"/>
      <c r="P596" s="221"/>
      <c r="Q596" s="221"/>
      <c r="R596" s="221"/>
      <c r="S596" s="221"/>
      <c r="T596" s="221"/>
      <c r="U596" s="221"/>
      <c r="V596" s="221"/>
      <c r="W596" s="221"/>
      <c r="X596" s="221"/>
      <c r="Y596" s="221"/>
      <c r="Z596" s="221"/>
    </row>
    <row r="597" spans="1:26" ht="18.75" customHeight="1">
      <c r="A597" s="221"/>
      <c r="B597" s="221"/>
      <c r="C597" s="255"/>
      <c r="D597" s="255"/>
      <c r="E597" s="221"/>
      <c r="F597" s="221"/>
      <c r="G597" s="221"/>
      <c r="H597" s="221"/>
      <c r="I597" s="221"/>
      <c r="J597" s="221"/>
      <c r="K597" s="221"/>
      <c r="L597" s="255"/>
      <c r="M597" s="255"/>
      <c r="N597" s="221"/>
      <c r="O597" s="221"/>
      <c r="P597" s="221"/>
      <c r="Q597" s="221"/>
      <c r="R597" s="221"/>
      <c r="S597" s="221"/>
      <c r="T597" s="221"/>
      <c r="U597" s="221"/>
      <c r="V597" s="221"/>
      <c r="W597" s="221"/>
      <c r="X597" s="221"/>
      <c r="Y597" s="221"/>
      <c r="Z597" s="221"/>
    </row>
    <row r="598" spans="1:26" ht="18.75" customHeight="1">
      <c r="A598" s="221"/>
      <c r="B598" s="221"/>
      <c r="C598" s="255"/>
      <c r="D598" s="255"/>
      <c r="E598" s="221"/>
      <c r="F598" s="221"/>
      <c r="G598" s="221"/>
      <c r="H598" s="221"/>
      <c r="I598" s="221"/>
      <c r="J598" s="221"/>
      <c r="K598" s="221"/>
      <c r="L598" s="255"/>
      <c r="M598" s="255"/>
      <c r="N598" s="221"/>
      <c r="O598" s="221"/>
      <c r="P598" s="221"/>
      <c r="Q598" s="221"/>
      <c r="R598" s="221"/>
      <c r="S598" s="221"/>
      <c r="T598" s="221"/>
      <c r="U598" s="221"/>
      <c r="V598" s="221"/>
      <c r="W598" s="221"/>
      <c r="X598" s="221"/>
      <c r="Y598" s="221"/>
      <c r="Z598" s="221"/>
    </row>
    <row r="599" spans="1:26" ht="18.75" customHeight="1">
      <c r="A599" s="221"/>
      <c r="B599" s="221"/>
      <c r="C599" s="255"/>
      <c r="D599" s="255"/>
      <c r="E599" s="221"/>
      <c r="F599" s="221"/>
      <c r="G599" s="221"/>
      <c r="H599" s="221"/>
      <c r="I599" s="221"/>
      <c r="J599" s="221"/>
      <c r="K599" s="221"/>
      <c r="L599" s="255"/>
      <c r="M599" s="255"/>
      <c r="N599" s="221"/>
      <c r="O599" s="221"/>
      <c r="P599" s="221"/>
      <c r="Q599" s="221"/>
      <c r="R599" s="221"/>
      <c r="S599" s="221"/>
      <c r="T599" s="221"/>
      <c r="U599" s="221"/>
      <c r="V599" s="221"/>
      <c r="W599" s="221"/>
      <c r="X599" s="221"/>
      <c r="Y599" s="221"/>
      <c r="Z599" s="221"/>
    </row>
    <row r="600" spans="1:26" ht="18.75" customHeight="1">
      <c r="A600" s="221"/>
      <c r="B600" s="221"/>
      <c r="C600" s="255"/>
      <c r="D600" s="255"/>
      <c r="E600" s="221"/>
      <c r="F600" s="221"/>
      <c r="G600" s="221"/>
      <c r="H600" s="221"/>
      <c r="I600" s="221"/>
      <c r="J600" s="221"/>
      <c r="K600" s="221"/>
      <c r="L600" s="255"/>
      <c r="M600" s="255"/>
      <c r="N600" s="221"/>
      <c r="O600" s="221"/>
      <c r="P600" s="221"/>
      <c r="Q600" s="221"/>
      <c r="R600" s="221"/>
      <c r="S600" s="221"/>
      <c r="T600" s="221"/>
      <c r="U600" s="221"/>
      <c r="V600" s="221"/>
      <c r="W600" s="221"/>
      <c r="X600" s="221"/>
      <c r="Y600" s="221"/>
      <c r="Z600" s="221"/>
    </row>
    <row r="601" spans="1:26" ht="18.75" customHeight="1">
      <c r="A601" s="221"/>
      <c r="B601" s="221"/>
      <c r="C601" s="255"/>
      <c r="D601" s="255"/>
      <c r="E601" s="221"/>
      <c r="F601" s="221"/>
      <c r="G601" s="221"/>
      <c r="H601" s="221"/>
      <c r="I601" s="221"/>
      <c r="J601" s="221"/>
      <c r="K601" s="221"/>
      <c r="L601" s="255"/>
      <c r="M601" s="255"/>
      <c r="N601" s="221"/>
      <c r="O601" s="221"/>
      <c r="P601" s="221"/>
      <c r="Q601" s="221"/>
      <c r="R601" s="221"/>
      <c r="S601" s="221"/>
      <c r="T601" s="221"/>
      <c r="U601" s="221"/>
      <c r="V601" s="221"/>
      <c r="W601" s="221"/>
      <c r="X601" s="221"/>
      <c r="Y601" s="221"/>
      <c r="Z601" s="221"/>
    </row>
    <row r="602" spans="1:26" ht="18.75" customHeight="1">
      <c r="A602" s="221"/>
      <c r="B602" s="221"/>
      <c r="C602" s="255"/>
      <c r="D602" s="255"/>
      <c r="E602" s="221"/>
      <c r="F602" s="221"/>
      <c r="G602" s="221"/>
      <c r="H602" s="221"/>
      <c r="I602" s="221"/>
      <c r="J602" s="221"/>
      <c r="K602" s="221"/>
      <c r="L602" s="255"/>
      <c r="M602" s="255"/>
      <c r="N602" s="221"/>
      <c r="O602" s="221"/>
      <c r="P602" s="221"/>
      <c r="Q602" s="221"/>
      <c r="R602" s="221"/>
      <c r="S602" s="221"/>
      <c r="T602" s="221"/>
      <c r="U602" s="221"/>
      <c r="V602" s="221"/>
      <c r="W602" s="221"/>
      <c r="X602" s="221"/>
      <c r="Y602" s="221"/>
      <c r="Z602" s="221"/>
    </row>
    <row r="603" spans="1:26" ht="18.75" customHeight="1">
      <c r="A603" s="221"/>
      <c r="B603" s="221"/>
      <c r="C603" s="255"/>
      <c r="D603" s="255"/>
      <c r="E603" s="221"/>
      <c r="F603" s="221"/>
      <c r="G603" s="221"/>
      <c r="H603" s="221"/>
      <c r="I603" s="221"/>
      <c r="J603" s="221"/>
      <c r="K603" s="221"/>
      <c r="L603" s="255"/>
      <c r="M603" s="255"/>
      <c r="N603" s="221"/>
      <c r="O603" s="221"/>
      <c r="P603" s="221"/>
      <c r="Q603" s="221"/>
      <c r="R603" s="221"/>
      <c r="S603" s="221"/>
      <c r="T603" s="221"/>
      <c r="U603" s="221"/>
      <c r="V603" s="221"/>
      <c r="W603" s="221"/>
      <c r="X603" s="221"/>
      <c r="Y603" s="221"/>
      <c r="Z603" s="221"/>
    </row>
    <row r="604" spans="1:26" ht="18.75" customHeight="1">
      <c r="A604" s="221"/>
      <c r="B604" s="221"/>
      <c r="C604" s="255"/>
      <c r="D604" s="255"/>
      <c r="E604" s="221"/>
      <c r="F604" s="221"/>
      <c r="G604" s="221"/>
      <c r="H604" s="221"/>
      <c r="I604" s="221"/>
      <c r="J604" s="221"/>
      <c r="K604" s="221"/>
      <c r="L604" s="255"/>
      <c r="M604" s="255"/>
      <c r="N604" s="221"/>
      <c r="O604" s="221"/>
      <c r="P604" s="221"/>
      <c r="Q604" s="221"/>
      <c r="R604" s="221"/>
      <c r="S604" s="221"/>
      <c r="T604" s="221"/>
      <c r="U604" s="221"/>
      <c r="V604" s="221"/>
      <c r="W604" s="221"/>
      <c r="X604" s="221"/>
      <c r="Y604" s="221"/>
      <c r="Z604" s="221"/>
    </row>
    <row r="605" spans="1:26" ht="18.75" customHeight="1">
      <c r="A605" s="221"/>
      <c r="B605" s="221"/>
      <c r="C605" s="255"/>
      <c r="D605" s="255"/>
      <c r="E605" s="221"/>
      <c r="F605" s="221"/>
      <c r="G605" s="221"/>
      <c r="H605" s="221"/>
      <c r="I605" s="221"/>
      <c r="J605" s="221"/>
      <c r="K605" s="221"/>
      <c r="L605" s="255"/>
      <c r="M605" s="255"/>
      <c r="N605" s="221"/>
      <c r="O605" s="221"/>
      <c r="P605" s="221"/>
      <c r="Q605" s="221"/>
      <c r="R605" s="221"/>
      <c r="S605" s="221"/>
      <c r="T605" s="221"/>
      <c r="U605" s="221"/>
      <c r="V605" s="221"/>
      <c r="W605" s="221"/>
      <c r="X605" s="221"/>
      <c r="Y605" s="221"/>
      <c r="Z605" s="221"/>
    </row>
    <row r="606" spans="1:26" ht="18.75" customHeight="1">
      <c r="A606" s="221"/>
      <c r="B606" s="221"/>
      <c r="C606" s="255"/>
      <c r="D606" s="255"/>
      <c r="E606" s="221"/>
      <c r="F606" s="221"/>
      <c r="G606" s="221"/>
      <c r="H606" s="221"/>
      <c r="I606" s="221"/>
      <c r="J606" s="221"/>
      <c r="K606" s="221"/>
      <c r="L606" s="255"/>
      <c r="M606" s="255"/>
      <c r="N606" s="221"/>
      <c r="O606" s="221"/>
      <c r="P606" s="221"/>
      <c r="Q606" s="221"/>
      <c r="R606" s="221"/>
      <c r="S606" s="221"/>
      <c r="T606" s="221"/>
      <c r="U606" s="221"/>
      <c r="V606" s="221"/>
      <c r="W606" s="221"/>
      <c r="X606" s="221"/>
      <c r="Y606" s="221"/>
      <c r="Z606" s="221"/>
    </row>
    <row r="607" spans="1:26" ht="18.75" customHeight="1">
      <c r="A607" s="221"/>
      <c r="B607" s="221"/>
      <c r="C607" s="255"/>
      <c r="D607" s="255"/>
      <c r="E607" s="221"/>
      <c r="F607" s="221"/>
      <c r="G607" s="221"/>
      <c r="H607" s="221"/>
      <c r="I607" s="221"/>
      <c r="J607" s="221"/>
      <c r="K607" s="221"/>
      <c r="L607" s="255"/>
      <c r="M607" s="255"/>
      <c r="N607" s="221"/>
      <c r="O607" s="221"/>
      <c r="P607" s="221"/>
      <c r="Q607" s="221"/>
      <c r="R607" s="221"/>
      <c r="S607" s="221"/>
      <c r="T607" s="221"/>
      <c r="U607" s="221"/>
      <c r="V607" s="221"/>
      <c r="W607" s="221"/>
      <c r="X607" s="221"/>
      <c r="Y607" s="221"/>
      <c r="Z607" s="221"/>
    </row>
    <row r="608" spans="1:26" ht="18.75" customHeight="1">
      <c r="A608" s="221"/>
      <c r="B608" s="221"/>
      <c r="C608" s="255"/>
      <c r="D608" s="255"/>
      <c r="E608" s="221"/>
      <c r="F608" s="221"/>
      <c r="G608" s="221"/>
      <c r="H608" s="221"/>
      <c r="I608" s="221"/>
      <c r="J608" s="221"/>
      <c r="K608" s="221"/>
      <c r="L608" s="255"/>
      <c r="M608" s="255"/>
      <c r="N608" s="221"/>
      <c r="O608" s="221"/>
      <c r="P608" s="221"/>
      <c r="Q608" s="221"/>
      <c r="R608" s="221"/>
      <c r="S608" s="221"/>
      <c r="T608" s="221"/>
      <c r="U608" s="221"/>
      <c r="V608" s="221"/>
      <c r="W608" s="221"/>
      <c r="X608" s="221"/>
      <c r="Y608" s="221"/>
      <c r="Z608" s="221"/>
    </row>
    <row r="609" spans="1:26" ht="18.75" customHeight="1">
      <c r="A609" s="221"/>
      <c r="B609" s="221"/>
      <c r="C609" s="255"/>
      <c r="D609" s="255"/>
      <c r="E609" s="221"/>
      <c r="F609" s="221"/>
      <c r="G609" s="221"/>
      <c r="H609" s="221"/>
      <c r="I609" s="221"/>
      <c r="J609" s="221"/>
      <c r="K609" s="221"/>
      <c r="L609" s="255"/>
      <c r="M609" s="255"/>
      <c r="N609" s="221"/>
      <c r="O609" s="221"/>
      <c r="P609" s="221"/>
      <c r="Q609" s="221"/>
      <c r="R609" s="221"/>
      <c r="S609" s="221"/>
      <c r="T609" s="221"/>
      <c r="U609" s="221"/>
      <c r="V609" s="221"/>
      <c r="W609" s="221"/>
      <c r="X609" s="221"/>
      <c r="Y609" s="221"/>
      <c r="Z609" s="221"/>
    </row>
    <row r="610" spans="1:26" ht="18.75" customHeight="1">
      <c r="A610" s="221"/>
      <c r="B610" s="221"/>
      <c r="C610" s="255"/>
      <c r="D610" s="255"/>
      <c r="E610" s="221"/>
      <c r="F610" s="221"/>
      <c r="G610" s="221"/>
      <c r="H610" s="221"/>
      <c r="I610" s="221"/>
      <c r="J610" s="221"/>
      <c r="K610" s="221"/>
      <c r="L610" s="255"/>
      <c r="M610" s="255"/>
      <c r="N610" s="221"/>
      <c r="O610" s="221"/>
      <c r="P610" s="221"/>
      <c r="Q610" s="221"/>
      <c r="R610" s="221"/>
      <c r="S610" s="221"/>
      <c r="T610" s="221"/>
      <c r="U610" s="221"/>
      <c r="V610" s="221"/>
      <c r="W610" s="221"/>
      <c r="X610" s="221"/>
      <c r="Y610" s="221"/>
      <c r="Z610" s="221"/>
    </row>
    <row r="611" spans="1:26" ht="18.75" customHeight="1">
      <c r="A611" s="221"/>
      <c r="B611" s="221"/>
      <c r="C611" s="255"/>
      <c r="D611" s="255"/>
      <c r="E611" s="221"/>
      <c r="F611" s="221"/>
      <c r="G611" s="221"/>
      <c r="H611" s="221"/>
      <c r="I611" s="221"/>
      <c r="J611" s="221"/>
      <c r="K611" s="221"/>
      <c r="L611" s="255"/>
      <c r="M611" s="255"/>
      <c r="N611" s="221"/>
      <c r="O611" s="221"/>
      <c r="P611" s="221"/>
      <c r="Q611" s="221"/>
      <c r="R611" s="221"/>
      <c r="S611" s="221"/>
      <c r="T611" s="221"/>
      <c r="U611" s="221"/>
      <c r="V611" s="221"/>
      <c r="W611" s="221"/>
      <c r="X611" s="221"/>
      <c r="Y611" s="221"/>
      <c r="Z611" s="221"/>
    </row>
    <row r="612" spans="1:26" ht="18.75" customHeight="1">
      <c r="A612" s="221"/>
      <c r="B612" s="221"/>
      <c r="C612" s="255"/>
      <c r="D612" s="255"/>
      <c r="E612" s="221"/>
      <c r="F612" s="221"/>
      <c r="G612" s="221"/>
      <c r="H612" s="221"/>
      <c r="I612" s="221"/>
      <c r="J612" s="221"/>
      <c r="K612" s="221"/>
      <c r="L612" s="255"/>
      <c r="M612" s="255"/>
      <c r="N612" s="221"/>
      <c r="O612" s="221"/>
      <c r="P612" s="221"/>
      <c r="Q612" s="221"/>
      <c r="R612" s="221"/>
      <c r="S612" s="221"/>
      <c r="T612" s="221"/>
      <c r="U612" s="221"/>
      <c r="V612" s="221"/>
      <c r="W612" s="221"/>
      <c r="X612" s="221"/>
      <c r="Y612" s="221"/>
      <c r="Z612" s="221"/>
    </row>
    <row r="613" spans="1:26" ht="18.75" customHeight="1">
      <c r="A613" s="221"/>
      <c r="B613" s="221"/>
      <c r="C613" s="255"/>
      <c r="D613" s="255"/>
      <c r="E613" s="221"/>
      <c r="F613" s="221"/>
      <c r="G613" s="221"/>
      <c r="H613" s="221"/>
      <c r="I613" s="221"/>
      <c r="J613" s="221"/>
      <c r="K613" s="221"/>
      <c r="L613" s="255"/>
      <c r="M613" s="255"/>
      <c r="N613" s="221"/>
      <c r="O613" s="221"/>
      <c r="P613" s="221"/>
      <c r="Q613" s="221"/>
      <c r="R613" s="221"/>
      <c r="S613" s="221"/>
      <c r="T613" s="221"/>
      <c r="U613" s="221"/>
      <c r="V613" s="221"/>
      <c r="W613" s="221"/>
      <c r="X613" s="221"/>
      <c r="Y613" s="221"/>
      <c r="Z613" s="221"/>
    </row>
    <row r="614" spans="1:26" ht="18.75" customHeight="1">
      <c r="A614" s="221"/>
      <c r="B614" s="221"/>
      <c r="C614" s="255"/>
      <c r="D614" s="255"/>
      <c r="E614" s="221"/>
      <c r="F614" s="221"/>
      <c r="G614" s="221"/>
      <c r="H614" s="221"/>
      <c r="I614" s="221"/>
      <c r="J614" s="221"/>
      <c r="K614" s="221"/>
      <c r="L614" s="255"/>
      <c r="M614" s="255"/>
      <c r="N614" s="221"/>
      <c r="O614" s="221"/>
      <c r="P614" s="221"/>
      <c r="Q614" s="221"/>
      <c r="R614" s="221"/>
      <c r="S614" s="221"/>
      <c r="T614" s="221"/>
      <c r="U614" s="221"/>
      <c r="V614" s="221"/>
      <c r="W614" s="221"/>
      <c r="X614" s="221"/>
      <c r="Y614" s="221"/>
      <c r="Z614" s="221"/>
    </row>
    <row r="615" spans="1:26" ht="18.75" customHeight="1">
      <c r="A615" s="221"/>
      <c r="B615" s="221"/>
      <c r="C615" s="255"/>
      <c r="D615" s="255"/>
      <c r="E615" s="221"/>
      <c r="F615" s="221"/>
      <c r="G615" s="221"/>
      <c r="H615" s="221"/>
      <c r="I615" s="221"/>
      <c r="J615" s="221"/>
      <c r="K615" s="221"/>
      <c r="L615" s="255"/>
      <c r="M615" s="255"/>
      <c r="N615" s="221"/>
      <c r="O615" s="221"/>
      <c r="P615" s="221"/>
      <c r="Q615" s="221"/>
      <c r="R615" s="221"/>
      <c r="S615" s="221"/>
      <c r="T615" s="221"/>
      <c r="U615" s="221"/>
      <c r="V615" s="221"/>
      <c r="W615" s="221"/>
      <c r="X615" s="221"/>
      <c r="Y615" s="221"/>
      <c r="Z615" s="221"/>
    </row>
    <row r="616" spans="1:26" ht="18.75" customHeight="1">
      <c r="A616" s="221"/>
      <c r="B616" s="221"/>
      <c r="C616" s="255"/>
      <c r="D616" s="255"/>
      <c r="E616" s="221"/>
      <c r="F616" s="221"/>
      <c r="G616" s="221"/>
      <c r="H616" s="221"/>
      <c r="I616" s="221"/>
      <c r="J616" s="221"/>
      <c r="K616" s="221"/>
      <c r="L616" s="255"/>
      <c r="M616" s="255"/>
      <c r="N616" s="221"/>
      <c r="O616" s="221"/>
      <c r="P616" s="221"/>
      <c r="Q616" s="221"/>
      <c r="R616" s="221"/>
      <c r="S616" s="221"/>
      <c r="T616" s="221"/>
      <c r="U616" s="221"/>
      <c r="V616" s="221"/>
      <c r="W616" s="221"/>
      <c r="X616" s="221"/>
      <c r="Y616" s="221"/>
      <c r="Z616" s="221"/>
    </row>
    <row r="617" spans="1:26" ht="18.75" customHeight="1">
      <c r="A617" s="221"/>
      <c r="B617" s="221"/>
      <c r="C617" s="255"/>
      <c r="D617" s="255"/>
      <c r="E617" s="221"/>
      <c r="F617" s="221"/>
      <c r="G617" s="221"/>
      <c r="H617" s="221"/>
      <c r="I617" s="221"/>
      <c r="J617" s="221"/>
      <c r="K617" s="221"/>
      <c r="L617" s="255"/>
      <c r="M617" s="255"/>
      <c r="N617" s="221"/>
      <c r="O617" s="221"/>
      <c r="P617" s="221"/>
      <c r="Q617" s="221"/>
      <c r="R617" s="221"/>
      <c r="S617" s="221"/>
      <c r="T617" s="221"/>
      <c r="U617" s="221"/>
      <c r="V617" s="221"/>
      <c r="W617" s="221"/>
      <c r="X617" s="221"/>
      <c r="Y617" s="221"/>
      <c r="Z617" s="221"/>
    </row>
    <row r="618" spans="1:26" ht="18.75" customHeight="1">
      <c r="A618" s="221"/>
      <c r="B618" s="221"/>
      <c r="C618" s="255"/>
      <c r="D618" s="255"/>
      <c r="E618" s="221"/>
      <c r="F618" s="221"/>
      <c r="G618" s="221"/>
      <c r="H618" s="221"/>
      <c r="I618" s="221"/>
      <c r="J618" s="221"/>
      <c r="K618" s="221"/>
      <c r="L618" s="255"/>
      <c r="M618" s="255"/>
      <c r="N618" s="221"/>
      <c r="O618" s="221"/>
      <c r="P618" s="221"/>
      <c r="Q618" s="221"/>
      <c r="R618" s="221"/>
      <c r="S618" s="221"/>
      <c r="T618" s="221"/>
      <c r="U618" s="221"/>
      <c r="V618" s="221"/>
      <c r="W618" s="221"/>
      <c r="X618" s="221"/>
      <c r="Y618" s="221"/>
      <c r="Z618" s="221"/>
    </row>
    <row r="619" spans="1:26" ht="18.75" customHeight="1">
      <c r="A619" s="221"/>
      <c r="B619" s="221"/>
      <c r="C619" s="255"/>
      <c r="D619" s="255"/>
      <c r="E619" s="221"/>
      <c r="F619" s="221"/>
      <c r="G619" s="221"/>
      <c r="H619" s="221"/>
      <c r="I619" s="221"/>
      <c r="J619" s="221"/>
      <c r="K619" s="221"/>
      <c r="L619" s="255"/>
      <c r="M619" s="255"/>
      <c r="N619" s="221"/>
      <c r="O619" s="221"/>
      <c r="P619" s="221"/>
      <c r="Q619" s="221"/>
      <c r="R619" s="221"/>
      <c r="S619" s="221"/>
      <c r="T619" s="221"/>
      <c r="U619" s="221"/>
      <c r="V619" s="221"/>
      <c r="W619" s="221"/>
      <c r="X619" s="221"/>
      <c r="Y619" s="221"/>
      <c r="Z619" s="221"/>
    </row>
    <row r="620" spans="1:26" ht="18.75" customHeight="1">
      <c r="A620" s="221"/>
      <c r="B620" s="221"/>
      <c r="C620" s="255"/>
      <c r="D620" s="255"/>
      <c r="E620" s="221"/>
      <c r="F620" s="221"/>
      <c r="G620" s="221"/>
      <c r="H620" s="221"/>
      <c r="I620" s="221"/>
      <c r="J620" s="221"/>
      <c r="K620" s="221"/>
      <c r="L620" s="255"/>
      <c r="M620" s="255"/>
      <c r="N620" s="221"/>
      <c r="O620" s="221"/>
      <c r="P620" s="221"/>
      <c r="Q620" s="221"/>
      <c r="R620" s="221"/>
      <c r="S620" s="221"/>
      <c r="T620" s="221"/>
      <c r="U620" s="221"/>
      <c r="V620" s="221"/>
      <c r="W620" s="221"/>
      <c r="X620" s="221"/>
      <c r="Y620" s="221"/>
      <c r="Z620" s="221"/>
    </row>
    <row r="621" spans="1:26" ht="18.75" customHeight="1">
      <c r="A621" s="221"/>
      <c r="B621" s="221"/>
      <c r="C621" s="255"/>
      <c r="D621" s="255"/>
      <c r="E621" s="221"/>
      <c r="F621" s="221"/>
      <c r="G621" s="221"/>
      <c r="H621" s="221"/>
      <c r="I621" s="221"/>
      <c r="J621" s="221"/>
      <c r="K621" s="221"/>
      <c r="L621" s="255"/>
      <c r="M621" s="255"/>
      <c r="N621" s="221"/>
      <c r="O621" s="221"/>
      <c r="P621" s="221"/>
      <c r="Q621" s="221"/>
      <c r="R621" s="221"/>
      <c r="S621" s="221"/>
      <c r="T621" s="221"/>
      <c r="U621" s="221"/>
      <c r="V621" s="221"/>
      <c r="W621" s="221"/>
      <c r="X621" s="221"/>
      <c r="Y621" s="221"/>
      <c r="Z621" s="221"/>
    </row>
    <row r="622" spans="1:26" ht="18.75" customHeight="1">
      <c r="A622" s="221"/>
      <c r="B622" s="221"/>
      <c r="C622" s="255"/>
      <c r="D622" s="255"/>
      <c r="E622" s="221"/>
      <c r="F622" s="221"/>
      <c r="G622" s="221"/>
      <c r="H622" s="221"/>
      <c r="I622" s="221"/>
      <c r="J622" s="221"/>
      <c r="K622" s="221"/>
      <c r="L622" s="255"/>
      <c r="M622" s="255"/>
      <c r="N622" s="221"/>
      <c r="O622" s="221"/>
      <c r="P622" s="221"/>
      <c r="Q622" s="221"/>
      <c r="R622" s="221"/>
      <c r="S622" s="221"/>
      <c r="T622" s="221"/>
      <c r="U622" s="221"/>
      <c r="V622" s="221"/>
      <c r="W622" s="221"/>
      <c r="X622" s="221"/>
      <c r="Y622" s="221"/>
      <c r="Z622" s="221"/>
    </row>
    <row r="623" spans="1:26" ht="18.75" customHeight="1">
      <c r="A623" s="221"/>
      <c r="B623" s="221"/>
      <c r="C623" s="255"/>
      <c r="D623" s="255"/>
      <c r="E623" s="221"/>
      <c r="F623" s="221"/>
      <c r="G623" s="221"/>
      <c r="H623" s="221"/>
      <c r="I623" s="221"/>
      <c r="J623" s="221"/>
      <c r="K623" s="221"/>
      <c r="L623" s="255"/>
      <c r="M623" s="255"/>
      <c r="N623" s="221"/>
      <c r="O623" s="221"/>
      <c r="P623" s="221"/>
      <c r="Q623" s="221"/>
      <c r="R623" s="221"/>
      <c r="S623" s="221"/>
      <c r="T623" s="221"/>
      <c r="U623" s="221"/>
      <c r="V623" s="221"/>
      <c r="W623" s="221"/>
      <c r="X623" s="221"/>
      <c r="Y623" s="221"/>
      <c r="Z623" s="221"/>
    </row>
    <row r="624" spans="1:26" ht="18.75" customHeight="1">
      <c r="A624" s="221"/>
      <c r="B624" s="221"/>
      <c r="C624" s="255"/>
      <c r="D624" s="255"/>
      <c r="E624" s="221"/>
      <c r="F624" s="221"/>
      <c r="G624" s="221"/>
      <c r="H624" s="221"/>
      <c r="I624" s="221"/>
      <c r="J624" s="221"/>
      <c r="K624" s="221"/>
      <c r="L624" s="255"/>
      <c r="M624" s="255"/>
      <c r="N624" s="221"/>
      <c r="O624" s="221"/>
      <c r="P624" s="221"/>
      <c r="Q624" s="221"/>
      <c r="R624" s="221"/>
      <c r="S624" s="221"/>
      <c r="T624" s="221"/>
      <c r="U624" s="221"/>
      <c r="V624" s="221"/>
      <c r="W624" s="221"/>
      <c r="X624" s="221"/>
      <c r="Y624" s="221"/>
      <c r="Z624" s="221"/>
    </row>
    <row r="625" spans="1:26" ht="18.75" customHeight="1">
      <c r="A625" s="221"/>
      <c r="B625" s="221"/>
      <c r="C625" s="255"/>
      <c r="D625" s="255"/>
      <c r="E625" s="221"/>
      <c r="F625" s="221"/>
      <c r="G625" s="221"/>
      <c r="H625" s="221"/>
      <c r="I625" s="221"/>
      <c r="J625" s="221"/>
      <c r="K625" s="221"/>
      <c r="L625" s="255"/>
      <c r="M625" s="255"/>
      <c r="N625" s="221"/>
      <c r="O625" s="221"/>
      <c r="P625" s="221"/>
      <c r="Q625" s="221"/>
      <c r="R625" s="221"/>
      <c r="S625" s="221"/>
      <c r="T625" s="221"/>
      <c r="U625" s="221"/>
      <c r="V625" s="221"/>
      <c r="W625" s="221"/>
      <c r="X625" s="221"/>
      <c r="Y625" s="221"/>
      <c r="Z625" s="221"/>
    </row>
    <row r="626" spans="1:26" ht="18.75" customHeight="1">
      <c r="A626" s="221"/>
      <c r="B626" s="221"/>
      <c r="C626" s="255"/>
      <c r="D626" s="255"/>
      <c r="E626" s="221"/>
      <c r="F626" s="221"/>
      <c r="G626" s="221"/>
      <c r="H626" s="221"/>
      <c r="I626" s="221"/>
      <c r="J626" s="221"/>
      <c r="K626" s="221"/>
      <c r="L626" s="255"/>
      <c r="M626" s="255"/>
      <c r="N626" s="221"/>
      <c r="O626" s="221"/>
      <c r="P626" s="221"/>
      <c r="Q626" s="221"/>
      <c r="R626" s="221"/>
      <c r="S626" s="221"/>
      <c r="T626" s="221"/>
      <c r="U626" s="221"/>
      <c r="V626" s="221"/>
      <c r="W626" s="221"/>
      <c r="X626" s="221"/>
      <c r="Y626" s="221"/>
      <c r="Z626" s="221"/>
    </row>
    <row r="627" spans="1:26" ht="18.75" customHeight="1">
      <c r="A627" s="221"/>
      <c r="B627" s="221"/>
      <c r="C627" s="255"/>
      <c r="D627" s="255"/>
      <c r="E627" s="221"/>
      <c r="F627" s="221"/>
      <c r="G627" s="221"/>
      <c r="H627" s="221"/>
      <c r="I627" s="221"/>
      <c r="J627" s="221"/>
      <c r="K627" s="221"/>
      <c r="L627" s="255"/>
      <c r="M627" s="255"/>
      <c r="N627" s="221"/>
      <c r="O627" s="221"/>
      <c r="P627" s="221"/>
      <c r="Q627" s="221"/>
      <c r="R627" s="221"/>
      <c r="S627" s="221"/>
      <c r="T627" s="221"/>
      <c r="U627" s="221"/>
      <c r="V627" s="221"/>
      <c r="W627" s="221"/>
      <c r="X627" s="221"/>
      <c r="Y627" s="221"/>
      <c r="Z627" s="221"/>
    </row>
    <row r="628" spans="1:26" ht="18.75" customHeight="1">
      <c r="A628" s="221"/>
      <c r="B628" s="221"/>
      <c r="C628" s="255"/>
      <c r="D628" s="255"/>
      <c r="E628" s="221"/>
      <c r="F628" s="221"/>
      <c r="G628" s="221"/>
      <c r="H628" s="221"/>
      <c r="I628" s="221"/>
      <c r="J628" s="221"/>
      <c r="K628" s="221"/>
      <c r="L628" s="255"/>
      <c r="M628" s="255"/>
      <c r="N628" s="221"/>
      <c r="O628" s="221"/>
      <c r="P628" s="221"/>
      <c r="Q628" s="221"/>
      <c r="R628" s="221"/>
      <c r="S628" s="221"/>
      <c r="T628" s="221"/>
      <c r="U628" s="221"/>
      <c r="V628" s="221"/>
      <c r="W628" s="221"/>
      <c r="X628" s="221"/>
      <c r="Y628" s="221"/>
      <c r="Z628" s="221"/>
    </row>
    <row r="629" spans="1:26" ht="18.75" customHeight="1">
      <c r="A629" s="221"/>
      <c r="B629" s="221"/>
      <c r="C629" s="255"/>
      <c r="D629" s="255"/>
      <c r="E629" s="221"/>
      <c r="F629" s="221"/>
      <c r="G629" s="221"/>
      <c r="H629" s="221"/>
      <c r="I629" s="221"/>
      <c r="J629" s="221"/>
      <c r="K629" s="221"/>
      <c r="L629" s="255"/>
      <c r="M629" s="255"/>
      <c r="N629" s="221"/>
      <c r="O629" s="221"/>
      <c r="P629" s="221"/>
      <c r="Q629" s="221"/>
      <c r="R629" s="221"/>
      <c r="S629" s="221"/>
      <c r="T629" s="221"/>
      <c r="U629" s="221"/>
      <c r="V629" s="221"/>
      <c r="W629" s="221"/>
      <c r="X629" s="221"/>
      <c r="Y629" s="221"/>
      <c r="Z629" s="221"/>
    </row>
    <row r="630" spans="1:26" ht="18.75" customHeight="1">
      <c r="A630" s="221"/>
      <c r="B630" s="221"/>
      <c r="C630" s="255"/>
      <c r="D630" s="255"/>
      <c r="E630" s="221"/>
      <c r="F630" s="221"/>
      <c r="G630" s="221"/>
      <c r="H630" s="221"/>
      <c r="I630" s="221"/>
      <c r="J630" s="221"/>
      <c r="K630" s="221"/>
      <c r="L630" s="255"/>
      <c r="M630" s="255"/>
      <c r="N630" s="221"/>
      <c r="O630" s="221"/>
      <c r="P630" s="221"/>
      <c r="Q630" s="221"/>
      <c r="R630" s="221"/>
      <c r="S630" s="221"/>
      <c r="T630" s="221"/>
      <c r="U630" s="221"/>
      <c r="V630" s="221"/>
      <c r="W630" s="221"/>
      <c r="X630" s="221"/>
      <c r="Y630" s="221"/>
      <c r="Z630" s="221"/>
    </row>
    <row r="631" spans="1:26" ht="18.75" customHeight="1">
      <c r="A631" s="221"/>
      <c r="B631" s="221"/>
      <c r="C631" s="255"/>
      <c r="D631" s="255"/>
      <c r="E631" s="221"/>
      <c r="F631" s="221"/>
      <c r="G631" s="221"/>
      <c r="H631" s="221"/>
      <c r="I631" s="221"/>
      <c r="J631" s="221"/>
      <c r="K631" s="221"/>
      <c r="L631" s="255"/>
      <c r="M631" s="255"/>
      <c r="N631" s="221"/>
      <c r="O631" s="221"/>
      <c r="P631" s="221"/>
      <c r="Q631" s="221"/>
      <c r="R631" s="221"/>
      <c r="S631" s="221"/>
      <c r="T631" s="221"/>
      <c r="U631" s="221"/>
      <c r="V631" s="221"/>
      <c r="W631" s="221"/>
      <c r="X631" s="221"/>
      <c r="Y631" s="221"/>
      <c r="Z631" s="221"/>
    </row>
    <row r="632" spans="1:26" ht="18.75" customHeight="1">
      <c r="A632" s="221"/>
      <c r="B632" s="221"/>
      <c r="C632" s="255"/>
      <c r="D632" s="255"/>
      <c r="E632" s="221"/>
      <c r="F632" s="221"/>
      <c r="G632" s="221"/>
      <c r="H632" s="221"/>
      <c r="I632" s="221"/>
      <c r="J632" s="221"/>
      <c r="K632" s="221"/>
      <c r="L632" s="255"/>
      <c r="M632" s="255"/>
      <c r="N632" s="221"/>
      <c r="O632" s="221"/>
      <c r="P632" s="221"/>
      <c r="Q632" s="221"/>
      <c r="R632" s="221"/>
      <c r="S632" s="221"/>
      <c r="T632" s="221"/>
      <c r="U632" s="221"/>
      <c r="V632" s="221"/>
      <c r="W632" s="221"/>
      <c r="X632" s="221"/>
      <c r="Y632" s="221"/>
      <c r="Z632" s="221"/>
    </row>
    <row r="633" spans="1:26" ht="18.75" customHeight="1">
      <c r="A633" s="221"/>
      <c r="B633" s="221"/>
      <c r="C633" s="255"/>
      <c r="D633" s="255"/>
      <c r="E633" s="221"/>
      <c r="F633" s="221"/>
      <c r="G633" s="221"/>
      <c r="H633" s="221"/>
      <c r="I633" s="221"/>
      <c r="J633" s="221"/>
      <c r="K633" s="221"/>
      <c r="L633" s="255"/>
      <c r="M633" s="255"/>
      <c r="N633" s="221"/>
      <c r="O633" s="221"/>
      <c r="P633" s="221"/>
      <c r="Q633" s="221"/>
      <c r="R633" s="221"/>
      <c r="S633" s="221"/>
      <c r="T633" s="221"/>
      <c r="U633" s="221"/>
      <c r="V633" s="221"/>
      <c r="W633" s="221"/>
      <c r="X633" s="221"/>
      <c r="Y633" s="221"/>
      <c r="Z633" s="221"/>
    </row>
    <row r="634" spans="1:26" ht="18.75" customHeight="1">
      <c r="A634" s="221"/>
      <c r="B634" s="221"/>
      <c r="C634" s="255"/>
      <c r="D634" s="255"/>
      <c r="E634" s="221"/>
      <c r="F634" s="221"/>
      <c r="G634" s="221"/>
      <c r="H634" s="221"/>
      <c r="I634" s="221"/>
      <c r="J634" s="221"/>
      <c r="K634" s="221"/>
      <c r="L634" s="255"/>
      <c r="M634" s="255"/>
      <c r="N634" s="221"/>
      <c r="O634" s="221"/>
      <c r="P634" s="221"/>
      <c r="Q634" s="221"/>
      <c r="R634" s="221"/>
      <c r="S634" s="221"/>
      <c r="T634" s="221"/>
      <c r="U634" s="221"/>
      <c r="V634" s="221"/>
      <c r="W634" s="221"/>
      <c r="X634" s="221"/>
      <c r="Y634" s="221"/>
      <c r="Z634" s="221"/>
    </row>
    <row r="635" spans="1:26" ht="18.75" customHeight="1">
      <c r="A635" s="221"/>
      <c r="B635" s="221"/>
      <c r="C635" s="255"/>
      <c r="D635" s="255"/>
      <c r="E635" s="221"/>
      <c r="F635" s="221"/>
      <c r="G635" s="221"/>
      <c r="H635" s="221"/>
      <c r="I635" s="221"/>
      <c r="J635" s="221"/>
      <c r="K635" s="221"/>
      <c r="L635" s="255"/>
      <c r="M635" s="255"/>
      <c r="N635" s="221"/>
      <c r="O635" s="221"/>
      <c r="P635" s="221"/>
      <c r="Q635" s="221"/>
      <c r="R635" s="221"/>
      <c r="S635" s="221"/>
      <c r="T635" s="221"/>
      <c r="U635" s="221"/>
      <c r="V635" s="221"/>
      <c r="W635" s="221"/>
      <c r="X635" s="221"/>
      <c r="Y635" s="221"/>
      <c r="Z635" s="221"/>
    </row>
    <row r="636" spans="1:26" ht="18.75" customHeight="1">
      <c r="A636" s="221"/>
      <c r="B636" s="221"/>
      <c r="C636" s="255"/>
      <c r="D636" s="255"/>
      <c r="E636" s="221"/>
      <c r="F636" s="221"/>
      <c r="G636" s="221"/>
      <c r="H636" s="221"/>
      <c r="I636" s="221"/>
      <c r="J636" s="221"/>
      <c r="K636" s="221"/>
      <c r="L636" s="255"/>
      <c r="M636" s="255"/>
      <c r="N636" s="221"/>
      <c r="O636" s="221"/>
      <c r="P636" s="221"/>
      <c r="Q636" s="221"/>
      <c r="R636" s="221"/>
      <c r="S636" s="221"/>
      <c r="T636" s="221"/>
      <c r="U636" s="221"/>
      <c r="V636" s="221"/>
      <c r="W636" s="221"/>
      <c r="X636" s="221"/>
      <c r="Y636" s="221"/>
      <c r="Z636" s="221"/>
    </row>
    <row r="637" spans="1:26" ht="18.75" customHeight="1">
      <c r="A637" s="221"/>
      <c r="B637" s="221"/>
      <c r="C637" s="255"/>
      <c r="D637" s="255"/>
      <c r="E637" s="221"/>
      <c r="F637" s="221"/>
      <c r="G637" s="221"/>
      <c r="H637" s="221"/>
      <c r="I637" s="221"/>
      <c r="J637" s="221"/>
      <c r="K637" s="221"/>
      <c r="L637" s="255"/>
      <c r="M637" s="255"/>
      <c r="N637" s="221"/>
      <c r="O637" s="221"/>
      <c r="P637" s="221"/>
      <c r="Q637" s="221"/>
      <c r="R637" s="221"/>
      <c r="S637" s="221"/>
      <c r="T637" s="221"/>
      <c r="U637" s="221"/>
      <c r="V637" s="221"/>
      <c r="W637" s="221"/>
      <c r="X637" s="221"/>
      <c r="Y637" s="221"/>
      <c r="Z637" s="221"/>
    </row>
    <row r="638" spans="1:26" ht="18.75" customHeight="1">
      <c r="A638" s="221"/>
      <c r="B638" s="221"/>
      <c r="C638" s="255"/>
      <c r="D638" s="255"/>
      <c r="E638" s="221"/>
      <c r="F638" s="221"/>
      <c r="G638" s="221"/>
      <c r="H638" s="221"/>
      <c r="I638" s="221"/>
      <c r="J638" s="221"/>
      <c r="K638" s="221"/>
      <c r="L638" s="255"/>
      <c r="M638" s="255"/>
      <c r="N638" s="221"/>
      <c r="O638" s="221"/>
      <c r="P638" s="221"/>
      <c r="Q638" s="221"/>
      <c r="R638" s="221"/>
      <c r="S638" s="221"/>
      <c r="T638" s="221"/>
      <c r="U638" s="221"/>
      <c r="V638" s="221"/>
      <c r="W638" s="221"/>
      <c r="X638" s="221"/>
      <c r="Y638" s="221"/>
      <c r="Z638" s="221"/>
    </row>
    <row r="639" spans="1:26" ht="18.75" customHeight="1">
      <c r="A639" s="221"/>
      <c r="B639" s="221"/>
      <c r="C639" s="255"/>
      <c r="D639" s="255"/>
      <c r="E639" s="221"/>
      <c r="F639" s="221"/>
      <c r="G639" s="221"/>
      <c r="H639" s="221"/>
      <c r="I639" s="221"/>
      <c r="J639" s="221"/>
      <c r="K639" s="221"/>
      <c r="L639" s="255"/>
      <c r="M639" s="255"/>
      <c r="N639" s="221"/>
      <c r="O639" s="221"/>
      <c r="P639" s="221"/>
      <c r="Q639" s="221"/>
      <c r="R639" s="221"/>
      <c r="S639" s="221"/>
      <c r="T639" s="221"/>
      <c r="U639" s="221"/>
      <c r="V639" s="221"/>
      <c r="W639" s="221"/>
      <c r="X639" s="221"/>
      <c r="Y639" s="221"/>
      <c r="Z639" s="221"/>
    </row>
    <row r="640" spans="1:26" ht="18.75" customHeight="1">
      <c r="A640" s="221"/>
      <c r="B640" s="221"/>
      <c r="C640" s="255"/>
      <c r="D640" s="255"/>
      <c r="E640" s="221"/>
      <c r="F640" s="221"/>
      <c r="G640" s="221"/>
      <c r="H640" s="221"/>
      <c r="I640" s="221"/>
      <c r="J640" s="221"/>
      <c r="K640" s="221"/>
      <c r="L640" s="255"/>
      <c r="M640" s="255"/>
      <c r="N640" s="221"/>
      <c r="O640" s="221"/>
      <c r="P640" s="221"/>
      <c r="Q640" s="221"/>
      <c r="R640" s="221"/>
      <c r="S640" s="221"/>
      <c r="T640" s="221"/>
      <c r="U640" s="221"/>
      <c r="V640" s="221"/>
      <c r="W640" s="221"/>
      <c r="X640" s="221"/>
      <c r="Y640" s="221"/>
      <c r="Z640" s="221"/>
    </row>
    <row r="641" spans="1:26" ht="18.75" customHeight="1">
      <c r="A641" s="221"/>
      <c r="B641" s="221"/>
      <c r="C641" s="255"/>
      <c r="D641" s="255"/>
      <c r="E641" s="221"/>
      <c r="F641" s="221"/>
      <c r="G641" s="221"/>
      <c r="H641" s="221"/>
      <c r="I641" s="221"/>
      <c r="J641" s="221"/>
      <c r="K641" s="221"/>
      <c r="L641" s="255"/>
      <c r="M641" s="255"/>
      <c r="N641" s="221"/>
      <c r="O641" s="221"/>
      <c r="P641" s="221"/>
      <c r="Q641" s="221"/>
      <c r="R641" s="221"/>
      <c r="S641" s="221"/>
      <c r="T641" s="221"/>
      <c r="U641" s="221"/>
      <c r="V641" s="221"/>
      <c r="W641" s="221"/>
      <c r="X641" s="221"/>
      <c r="Y641" s="221"/>
      <c r="Z641" s="221"/>
    </row>
    <row r="642" spans="1:26" ht="18.75" customHeight="1">
      <c r="A642" s="221"/>
      <c r="B642" s="221"/>
      <c r="C642" s="255"/>
      <c r="D642" s="255"/>
      <c r="E642" s="221"/>
      <c r="F642" s="221"/>
      <c r="G642" s="221"/>
      <c r="H642" s="221"/>
      <c r="I642" s="221"/>
      <c r="J642" s="221"/>
      <c r="K642" s="221"/>
      <c r="L642" s="255"/>
      <c r="M642" s="255"/>
      <c r="N642" s="221"/>
      <c r="O642" s="221"/>
      <c r="P642" s="221"/>
      <c r="Q642" s="221"/>
      <c r="R642" s="221"/>
      <c r="S642" s="221"/>
      <c r="T642" s="221"/>
      <c r="U642" s="221"/>
      <c r="V642" s="221"/>
      <c r="W642" s="221"/>
      <c r="X642" s="221"/>
      <c r="Y642" s="221"/>
      <c r="Z642" s="221"/>
    </row>
    <row r="643" spans="1:26" ht="18.75" customHeight="1">
      <c r="A643" s="221"/>
      <c r="B643" s="221"/>
      <c r="C643" s="255"/>
      <c r="D643" s="255"/>
      <c r="E643" s="221"/>
      <c r="F643" s="221"/>
      <c r="G643" s="221"/>
      <c r="H643" s="221"/>
      <c r="I643" s="221"/>
      <c r="J643" s="221"/>
      <c r="K643" s="221"/>
      <c r="L643" s="255"/>
      <c r="M643" s="255"/>
      <c r="N643" s="221"/>
      <c r="O643" s="221"/>
      <c r="P643" s="221"/>
      <c r="Q643" s="221"/>
      <c r="R643" s="221"/>
      <c r="S643" s="221"/>
      <c r="T643" s="221"/>
      <c r="U643" s="221"/>
      <c r="V643" s="221"/>
      <c r="W643" s="221"/>
      <c r="X643" s="221"/>
      <c r="Y643" s="221"/>
      <c r="Z643" s="221"/>
    </row>
    <row r="644" spans="1:26" ht="18.75" customHeight="1">
      <c r="A644" s="221"/>
      <c r="B644" s="221"/>
      <c r="C644" s="255"/>
      <c r="D644" s="255"/>
      <c r="E644" s="221"/>
      <c r="F644" s="221"/>
      <c r="G644" s="221"/>
      <c r="H644" s="221"/>
      <c r="I644" s="221"/>
      <c r="J644" s="221"/>
      <c r="K644" s="221"/>
      <c r="L644" s="255"/>
      <c r="M644" s="255"/>
      <c r="N644" s="221"/>
      <c r="O644" s="221"/>
      <c r="P644" s="221"/>
      <c r="Q644" s="221"/>
      <c r="R644" s="221"/>
      <c r="S644" s="221"/>
      <c r="T644" s="221"/>
      <c r="U644" s="221"/>
      <c r="V644" s="221"/>
      <c r="W644" s="221"/>
      <c r="X644" s="221"/>
      <c r="Y644" s="221"/>
      <c r="Z644" s="221"/>
    </row>
    <row r="645" spans="1:26" ht="18.75" customHeight="1">
      <c r="A645" s="221"/>
      <c r="B645" s="221"/>
      <c r="C645" s="255"/>
      <c r="D645" s="255"/>
      <c r="E645" s="221"/>
      <c r="F645" s="221"/>
      <c r="G645" s="221"/>
      <c r="H645" s="221"/>
      <c r="I645" s="221"/>
      <c r="J645" s="221"/>
      <c r="K645" s="221"/>
      <c r="L645" s="255"/>
      <c r="M645" s="255"/>
      <c r="N645" s="221"/>
      <c r="O645" s="221"/>
      <c r="P645" s="221"/>
      <c r="Q645" s="221"/>
      <c r="R645" s="221"/>
      <c r="S645" s="221"/>
      <c r="T645" s="221"/>
      <c r="U645" s="221"/>
      <c r="V645" s="221"/>
      <c r="W645" s="221"/>
      <c r="X645" s="221"/>
      <c r="Y645" s="221"/>
      <c r="Z645" s="221"/>
    </row>
    <row r="646" spans="1:26" ht="18.75" customHeight="1">
      <c r="A646" s="221"/>
      <c r="B646" s="221"/>
      <c r="C646" s="255"/>
      <c r="D646" s="255"/>
      <c r="E646" s="221"/>
      <c r="F646" s="221"/>
      <c r="G646" s="221"/>
      <c r="H646" s="221"/>
      <c r="I646" s="221"/>
      <c r="J646" s="221"/>
      <c r="K646" s="221"/>
      <c r="L646" s="255"/>
      <c r="M646" s="255"/>
      <c r="N646" s="221"/>
      <c r="O646" s="221"/>
      <c r="P646" s="221"/>
      <c r="Q646" s="221"/>
      <c r="R646" s="221"/>
      <c r="S646" s="221"/>
      <c r="T646" s="221"/>
      <c r="U646" s="221"/>
      <c r="V646" s="221"/>
      <c r="W646" s="221"/>
      <c r="X646" s="221"/>
      <c r="Y646" s="221"/>
      <c r="Z646" s="221"/>
    </row>
    <row r="647" spans="1:26" ht="18.75" customHeight="1">
      <c r="A647" s="221"/>
      <c r="B647" s="221"/>
      <c r="C647" s="255"/>
      <c r="D647" s="255"/>
      <c r="E647" s="221"/>
      <c r="F647" s="221"/>
      <c r="G647" s="221"/>
      <c r="H647" s="221"/>
      <c r="I647" s="221"/>
      <c r="J647" s="221"/>
      <c r="K647" s="221"/>
      <c r="L647" s="255"/>
      <c r="M647" s="255"/>
      <c r="N647" s="221"/>
      <c r="O647" s="221"/>
      <c r="P647" s="221"/>
      <c r="Q647" s="221"/>
      <c r="R647" s="221"/>
      <c r="S647" s="221"/>
      <c r="T647" s="221"/>
      <c r="U647" s="221"/>
      <c r="V647" s="221"/>
      <c r="W647" s="221"/>
      <c r="X647" s="221"/>
      <c r="Y647" s="221"/>
      <c r="Z647" s="221"/>
    </row>
    <row r="648" spans="1:26" ht="18.75" customHeight="1">
      <c r="A648" s="221"/>
      <c r="B648" s="221"/>
      <c r="C648" s="255"/>
      <c r="D648" s="255"/>
      <c r="E648" s="221"/>
      <c r="F648" s="221"/>
      <c r="G648" s="221"/>
      <c r="H648" s="221"/>
      <c r="I648" s="221"/>
      <c r="J648" s="221"/>
      <c r="K648" s="221"/>
      <c r="L648" s="255"/>
      <c r="M648" s="255"/>
      <c r="N648" s="221"/>
      <c r="O648" s="221"/>
      <c r="P648" s="221"/>
      <c r="Q648" s="221"/>
      <c r="R648" s="221"/>
      <c r="S648" s="221"/>
      <c r="T648" s="221"/>
      <c r="U648" s="221"/>
      <c r="V648" s="221"/>
      <c r="W648" s="221"/>
      <c r="X648" s="221"/>
      <c r="Y648" s="221"/>
      <c r="Z648" s="221"/>
    </row>
    <row r="649" spans="1:26" ht="18.75" customHeight="1">
      <c r="A649" s="221"/>
      <c r="B649" s="221"/>
      <c r="C649" s="255"/>
      <c r="D649" s="255"/>
      <c r="E649" s="221"/>
      <c r="F649" s="221"/>
      <c r="G649" s="221"/>
      <c r="H649" s="221"/>
      <c r="I649" s="221"/>
      <c r="J649" s="221"/>
      <c r="K649" s="221"/>
      <c r="L649" s="255"/>
      <c r="M649" s="255"/>
      <c r="N649" s="221"/>
      <c r="O649" s="221"/>
      <c r="P649" s="221"/>
      <c r="Q649" s="221"/>
      <c r="R649" s="221"/>
      <c r="S649" s="221"/>
      <c r="T649" s="221"/>
      <c r="U649" s="221"/>
      <c r="V649" s="221"/>
      <c r="W649" s="221"/>
      <c r="X649" s="221"/>
      <c r="Y649" s="221"/>
      <c r="Z649" s="221"/>
    </row>
    <row r="650" spans="1:26" ht="18.75" customHeight="1">
      <c r="A650" s="221"/>
      <c r="B650" s="221"/>
      <c r="C650" s="255"/>
      <c r="D650" s="255"/>
      <c r="E650" s="221"/>
      <c r="F650" s="221"/>
      <c r="G650" s="221"/>
      <c r="H650" s="221"/>
      <c r="I650" s="221"/>
      <c r="J650" s="221"/>
      <c r="K650" s="221"/>
      <c r="L650" s="255"/>
      <c r="M650" s="255"/>
      <c r="N650" s="221"/>
      <c r="O650" s="221"/>
      <c r="P650" s="221"/>
      <c r="Q650" s="221"/>
      <c r="R650" s="221"/>
      <c r="S650" s="221"/>
      <c r="T650" s="221"/>
      <c r="U650" s="221"/>
      <c r="V650" s="221"/>
      <c r="W650" s="221"/>
      <c r="X650" s="221"/>
      <c r="Y650" s="221"/>
      <c r="Z650" s="221"/>
    </row>
    <row r="651" spans="1:26" ht="18.75" customHeight="1">
      <c r="A651" s="221"/>
      <c r="B651" s="221"/>
      <c r="C651" s="255"/>
      <c r="D651" s="255"/>
      <c r="E651" s="221"/>
      <c r="F651" s="221"/>
      <c r="G651" s="221"/>
      <c r="H651" s="221"/>
      <c r="I651" s="221"/>
      <c r="J651" s="221"/>
      <c r="K651" s="221"/>
      <c r="L651" s="255"/>
      <c r="M651" s="255"/>
      <c r="N651" s="221"/>
      <c r="O651" s="221"/>
      <c r="P651" s="221"/>
      <c r="Q651" s="221"/>
      <c r="R651" s="221"/>
      <c r="S651" s="221"/>
      <c r="T651" s="221"/>
      <c r="U651" s="221"/>
      <c r="V651" s="221"/>
      <c r="W651" s="221"/>
      <c r="X651" s="221"/>
      <c r="Y651" s="221"/>
      <c r="Z651" s="221"/>
    </row>
    <row r="652" spans="1:26" ht="18.75" customHeight="1">
      <c r="A652" s="221"/>
      <c r="B652" s="221"/>
      <c r="C652" s="255"/>
      <c r="D652" s="255"/>
      <c r="E652" s="221"/>
      <c r="F652" s="221"/>
      <c r="G652" s="221"/>
      <c r="H652" s="221"/>
      <c r="I652" s="221"/>
      <c r="J652" s="221"/>
      <c r="K652" s="221"/>
      <c r="L652" s="255"/>
      <c r="M652" s="255"/>
      <c r="N652" s="221"/>
      <c r="O652" s="221"/>
      <c r="P652" s="221"/>
      <c r="Q652" s="221"/>
      <c r="R652" s="221"/>
      <c r="S652" s="221"/>
      <c r="T652" s="221"/>
      <c r="U652" s="221"/>
      <c r="V652" s="221"/>
      <c r="W652" s="221"/>
      <c r="X652" s="221"/>
      <c r="Y652" s="221"/>
      <c r="Z652" s="221"/>
    </row>
    <row r="653" spans="1:26" ht="18.75" customHeight="1">
      <c r="A653" s="221"/>
      <c r="B653" s="221"/>
      <c r="C653" s="255"/>
      <c r="D653" s="255"/>
      <c r="E653" s="221"/>
      <c r="F653" s="221"/>
      <c r="G653" s="221"/>
      <c r="H653" s="221"/>
      <c r="I653" s="221"/>
      <c r="J653" s="221"/>
      <c r="K653" s="221"/>
      <c r="L653" s="255"/>
      <c r="M653" s="255"/>
      <c r="N653" s="221"/>
      <c r="O653" s="221"/>
      <c r="P653" s="221"/>
      <c r="Q653" s="221"/>
      <c r="R653" s="221"/>
      <c r="S653" s="221"/>
      <c r="T653" s="221"/>
      <c r="U653" s="221"/>
      <c r="V653" s="221"/>
      <c r="W653" s="221"/>
      <c r="X653" s="221"/>
      <c r="Y653" s="221"/>
      <c r="Z653" s="221"/>
    </row>
    <row r="654" spans="1:26" ht="18.75" customHeight="1">
      <c r="A654" s="221"/>
      <c r="B654" s="221"/>
      <c r="C654" s="255"/>
      <c r="D654" s="255"/>
      <c r="E654" s="221"/>
      <c r="F654" s="221"/>
      <c r="G654" s="221"/>
      <c r="H654" s="221"/>
      <c r="I654" s="221"/>
      <c r="J654" s="221"/>
      <c r="K654" s="221"/>
      <c r="L654" s="255"/>
      <c r="M654" s="255"/>
      <c r="N654" s="221"/>
      <c r="O654" s="221"/>
      <c r="P654" s="221"/>
      <c r="Q654" s="221"/>
      <c r="R654" s="221"/>
      <c r="S654" s="221"/>
      <c r="T654" s="221"/>
      <c r="U654" s="221"/>
      <c r="V654" s="221"/>
      <c r="W654" s="221"/>
      <c r="X654" s="221"/>
      <c r="Y654" s="221"/>
      <c r="Z654" s="221"/>
    </row>
    <row r="655" spans="1:26" ht="18.75" customHeight="1">
      <c r="A655" s="221"/>
      <c r="B655" s="221"/>
      <c r="C655" s="255"/>
      <c r="D655" s="255"/>
      <c r="E655" s="221"/>
      <c r="F655" s="221"/>
      <c r="G655" s="221"/>
      <c r="H655" s="221"/>
      <c r="I655" s="221"/>
      <c r="J655" s="221"/>
      <c r="K655" s="221"/>
      <c r="L655" s="255"/>
      <c r="M655" s="255"/>
      <c r="N655" s="221"/>
      <c r="O655" s="221"/>
      <c r="P655" s="221"/>
      <c r="Q655" s="221"/>
      <c r="R655" s="221"/>
      <c r="S655" s="221"/>
      <c r="T655" s="221"/>
      <c r="U655" s="221"/>
      <c r="V655" s="221"/>
      <c r="W655" s="221"/>
      <c r="X655" s="221"/>
      <c r="Y655" s="221"/>
      <c r="Z655" s="221"/>
    </row>
    <row r="656" spans="1:26" ht="18.75" customHeight="1">
      <c r="A656" s="221"/>
      <c r="B656" s="221"/>
      <c r="C656" s="255"/>
      <c r="D656" s="255"/>
      <c r="E656" s="221"/>
      <c r="F656" s="221"/>
      <c r="G656" s="221"/>
      <c r="H656" s="221"/>
      <c r="I656" s="221"/>
      <c r="J656" s="221"/>
      <c r="K656" s="221"/>
      <c r="L656" s="255"/>
      <c r="M656" s="255"/>
      <c r="N656" s="221"/>
      <c r="O656" s="221"/>
      <c r="P656" s="221"/>
      <c r="Q656" s="221"/>
      <c r="R656" s="221"/>
      <c r="S656" s="221"/>
      <c r="T656" s="221"/>
      <c r="U656" s="221"/>
      <c r="V656" s="221"/>
      <c r="W656" s="221"/>
      <c r="X656" s="221"/>
      <c r="Y656" s="221"/>
      <c r="Z656" s="221"/>
    </row>
    <row r="657" spans="1:26" ht="18.75" customHeight="1">
      <c r="A657" s="221"/>
      <c r="B657" s="221"/>
      <c r="C657" s="255"/>
      <c r="D657" s="255"/>
      <c r="E657" s="221"/>
      <c r="F657" s="221"/>
      <c r="G657" s="221"/>
      <c r="H657" s="221"/>
      <c r="I657" s="221"/>
      <c r="J657" s="221"/>
      <c r="K657" s="221"/>
      <c r="L657" s="255"/>
      <c r="M657" s="255"/>
      <c r="N657" s="221"/>
      <c r="O657" s="221"/>
      <c r="P657" s="221"/>
      <c r="Q657" s="221"/>
      <c r="R657" s="221"/>
      <c r="S657" s="221"/>
      <c r="T657" s="221"/>
      <c r="U657" s="221"/>
      <c r="V657" s="221"/>
      <c r="W657" s="221"/>
      <c r="X657" s="221"/>
      <c r="Y657" s="221"/>
      <c r="Z657" s="221"/>
    </row>
    <row r="658" spans="1:26" ht="18.75" customHeight="1">
      <c r="A658" s="221"/>
      <c r="B658" s="221"/>
      <c r="C658" s="255"/>
      <c r="D658" s="255"/>
      <c r="E658" s="221"/>
      <c r="F658" s="221"/>
      <c r="G658" s="221"/>
      <c r="H658" s="221"/>
      <c r="I658" s="221"/>
      <c r="J658" s="221"/>
      <c r="K658" s="221"/>
      <c r="L658" s="255"/>
      <c r="M658" s="255"/>
      <c r="N658" s="221"/>
      <c r="O658" s="221"/>
      <c r="P658" s="221"/>
      <c r="Q658" s="221"/>
      <c r="R658" s="221"/>
      <c r="S658" s="221"/>
      <c r="T658" s="221"/>
      <c r="U658" s="221"/>
      <c r="V658" s="221"/>
      <c r="W658" s="221"/>
      <c r="X658" s="221"/>
      <c r="Y658" s="221"/>
      <c r="Z658" s="221"/>
    </row>
    <row r="659" spans="1:26" ht="18.75" customHeight="1">
      <c r="A659" s="221"/>
      <c r="B659" s="221"/>
      <c r="C659" s="255"/>
      <c r="D659" s="255"/>
      <c r="E659" s="221"/>
      <c r="F659" s="221"/>
      <c r="G659" s="221"/>
      <c r="H659" s="221"/>
      <c r="I659" s="221"/>
      <c r="J659" s="221"/>
      <c r="K659" s="221"/>
      <c r="L659" s="255"/>
      <c r="M659" s="255"/>
      <c r="N659" s="221"/>
      <c r="O659" s="221"/>
      <c r="P659" s="221"/>
      <c r="Q659" s="221"/>
      <c r="R659" s="221"/>
      <c r="S659" s="221"/>
      <c r="T659" s="221"/>
      <c r="U659" s="221"/>
      <c r="V659" s="221"/>
      <c r="W659" s="221"/>
      <c r="X659" s="221"/>
      <c r="Y659" s="221"/>
      <c r="Z659" s="221"/>
    </row>
    <row r="660" spans="1:26" ht="18.75" customHeight="1">
      <c r="A660" s="221"/>
      <c r="B660" s="221"/>
      <c r="C660" s="255"/>
      <c r="D660" s="255"/>
      <c r="E660" s="221"/>
      <c r="F660" s="221"/>
      <c r="G660" s="221"/>
      <c r="H660" s="221"/>
      <c r="I660" s="221"/>
      <c r="J660" s="221"/>
      <c r="K660" s="221"/>
      <c r="L660" s="255"/>
      <c r="M660" s="255"/>
      <c r="N660" s="221"/>
      <c r="O660" s="221"/>
      <c r="P660" s="221"/>
      <c r="Q660" s="221"/>
      <c r="R660" s="221"/>
      <c r="S660" s="221"/>
      <c r="T660" s="221"/>
      <c r="U660" s="221"/>
      <c r="V660" s="221"/>
      <c r="W660" s="221"/>
      <c r="X660" s="221"/>
      <c r="Y660" s="221"/>
      <c r="Z660" s="221"/>
    </row>
    <row r="661" spans="1:26" ht="18.75" customHeight="1">
      <c r="A661" s="221"/>
      <c r="B661" s="221"/>
      <c r="C661" s="255"/>
      <c r="D661" s="255"/>
      <c r="E661" s="221"/>
      <c r="F661" s="221"/>
      <c r="G661" s="221"/>
      <c r="H661" s="221"/>
      <c r="I661" s="221"/>
      <c r="J661" s="221"/>
      <c r="K661" s="221"/>
      <c r="L661" s="255"/>
      <c r="M661" s="255"/>
      <c r="N661" s="221"/>
      <c r="O661" s="221"/>
      <c r="P661" s="221"/>
      <c r="Q661" s="221"/>
      <c r="R661" s="221"/>
      <c r="S661" s="221"/>
      <c r="T661" s="221"/>
      <c r="U661" s="221"/>
      <c r="V661" s="221"/>
      <c r="W661" s="221"/>
      <c r="X661" s="221"/>
      <c r="Y661" s="221"/>
      <c r="Z661" s="221"/>
    </row>
    <row r="662" spans="1:26" ht="18.75" customHeight="1">
      <c r="A662" s="221"/>
      <c r="B662" s="221"/>
      <c r="C662" s="255"/>
      <c r="D662" s="255"/>
      <c r="E662" s="221"/>
      <c r="F662" s="221"/>
      <c r="G662" s="221"/>
      <c r="H662" s="221"/>
      <c r="I662" s="221"/>
      <c r="J662" s="221"/>
      <c r="K662" s="221"/>
      <c r="L662" s="255"/>
      <c r="M662" s="255"/>
      <c r="N662" s="221"/>
      <c r="O662" s="221"/>
      <c r="P662" s="221"/>
      <c r="Q662" s="221"/>
      <c r="R662" s="221"/>
      <c r="S662" s="221"/>
      <c r="T662" s="221"/>
      <c r="U662" s="221"/>
      <c r="V662" s="221"/>
      <c r="W662" s="221"/>
      <c r="X662" s="221"/>
      <c r="Y662" s="221"/>
      <c r="Z662" s="221"/>
    </row>
    <row r="663" spans="1:26" ht="18.75" customHeight="1">
      <c r="A663" s="221"/>
      <c r="B663" s="221"/>
      <c r="C663" s="255"/>
      <c r="D663" s="255"/>
      <c r="E663" s="221"/>
      <c r="F663" s="221"/>
      <c r="G663" s="221"/>
      <c r="H663" s="221"/>
      <c r="I663" s="221"/>
      <c r="J663" s="221"/>
      <c r="K663" s="221"/>
      <c r="L663" s="255"/>
      <c r="M663" s="255"/>
      <c r="N663" s="221"/>
      <c r="O663" s="221"/>
      <c r="P663" s="221"/>
      <c r="Q663" s="221"/>
      <c r="R663" s="221"/>
      <c r="S663" s="221"/>
      <c r="T663" s="221"/>
      <c r="U663" s="221"/>
      <c r="V663" s="221"/>
      <c r="W663" s="221"/>
      <c r="X663" s="221"/>
      <c r="Y663" s="221"/>
      <c r="Z663" s="221"/>
    </row>
    <row r="664" spans="1:26" ht="18.75" customHeight="1">
      <c r="A664" s="221"/>
      <c r="B664" s="221"/>
      <c r="C664" s="255"/>
      <c r="D664" s="255"/>
      <c r="E664" s="221"/>
      <c r="F664" s="221"/>
      <c r="G664" s="221"/>
      <c r="H664" s="221"/>
      <c r="I664" s="221"/>
      <c r="J664" s="221"/>
      <c r="K664" s="221"/>
      <c r="L664" s="255"/>
      <c r="M664" s="255"/>
      <c r="N664" s="221"/>
      <c r="O664" s="221"/>
      <c r="P664" s="221"/>
      <c r="Q664" s="221"/>
      <c r="R664" s="221"/>
      <c r="S664" s="221"/>
      <c r="T664" s="221"/>
      <c r="U664" s="221"/>
      <c r="V664" s="221"/>
      <c r="W664" s="221"/>
      <c r="X664" s="221"/>
      <c r="Y664" s="221"/>
      <c r="Z664" s="221"/>
    </row>
    <row r="665" spans="1:26" ht="18.75" customHeight="1">
      <c r="A665" s="221"/>
      <c r="B665" s="221"/>
      <c r="C665" s="255"/>
      <c r="D665" s="255"/>
      <c r="E665" s="221"/>
      <c r="F665" s="221"/>
      <c r="G665" s="221"/>
      <c r="H665" s="221"/>
      <c r="I665" s="221"/>
      <c r="J665" s="221"/>
      <c r="K665" s="221"/>
      <c r="L665" s="255"/>
      <c r="M665" s="255"/>
      <c r="N665" s="221"/>
      <c r="O665" s="221"/>
      <c r="P665" s="221"/>
      <c r="Q665" s="221"/>
      <c r="R665" s="221"/>
      <c r="S665" s="221"/>
      <c r="T665" s="221"/>
      <c r="U665" s="221"/>
      <c r="V665" s="221"/>
      <c r="W665" s="221"/>
      <c r="X665" s="221"/>
      <c r="Y665" s="221"/>
      <c r="Z665" s="221"/>
    </row>
    <row r="666" spans="1:26" ht="18.75" customHeight="1">
      <c r="A666" s="221"/>
      <c r="B666" s="221"/>
      <c r="C666" s="255"/>
      <c r="D666" s="255"/>
      <c r="E666" s="221"/>
      <c r="F666" s="221"/>
      <c r="G666" s="221"/>
      <c r="H666" s="221"/>
      <c r="I666" s="221"/>
      <c r="J666" s="221"/>
      <c r="K666" s="221"/>
      <c r="L666" s="255"/>
      <c r="M666" s="255"/>
      <c r="N666" s="221"/>
      <c r="O666" s="221"/>
      <c r="P666" s="221"/>
      <c r="Q666" s="221"/>
      <c r="R666" s="221"/>
      <c r="S666" s="221"/>
      <c r="T666" s="221"/>
      <c r="U666" s="221"/>
      <c r="V666" s="221"/>
      <c r="W666" s="221"/>
      <c r="X666" s="221"/>
      <c r="Y666" s="221"/>
      <c r="Z666" s="221"/>
    </row>
    <row r="667" spans="1:26" ht="18.75" customHeight="1">
      <c r="A667" s="221"/>
      <c r="B667" s="221"/>
      <c r="C667" s="255"/>
      <c r="D667" s="255"/>
      <c r="E667" s="221"/>
      <c r="F667" s="221"/>
      <c r="G667" s="221"/>
      <c r="H667" s="221"/>
      <c r="I667" s="221"/>
      <c r="J667" s="221"/>
      <c r="K667" s="221"/>
      <c r="L667" s="255"/>
      <c r="M667" s="255"/>
      <c r="N667" s="221"/>
      <c r="O667" s="221"/>
      <c r="P667" s="221"/>
      <c r="Q667" s="221"/>
      <c r="R667" s="221"/>
      <c r="S667" s="221"/>
      <c r="T667" s="221"/>
      <c r="U667" s="221"/>
      <c r="V667" s="221"/>
      <c r="W667" s="221"/>
      <c r="X667" s="221"/>
      <c r="Y667" s="221"/>
      <c r="Z667" s="221"/>
    </row>
    <row r="668" spans="1:26" ht="18.75" customHeight="1">
      <c r="A668" s="221"/>
      <c r="B668" s="221"/>
      <c r="C668" s="255"/>
      <c r="D668" s="255"/>
      <c r="E668" s="221"/>
      <c r="F668" s="221"/>
      <c r="G668" s="221"/>
      <c r="H668" s="221"/>
      <c r="I668" s="221"/>
      <c r="J668" s="221"/>
      <c r="K668" s="221"/>
      <c r="L668" s="255"/>
      <c r="M668" s="255"/>
      <c r="N668" s="221"/>
      <c r="O668" s="221"/>
      <c r="P668" s="221"/>
      <c r="Q668" s="221"/>
      <c r="R668" s="221"/>
      <c r="S668" s="221"/>
      <c r="T668" s="221"/>
      <c r="U668" s="221"/>
      <c r="V668" s="221"/>
      <c r="W668" s="221"/>
      <c r="X668" s="221"/>
      <c r="Y668" s="221"/>
      <c r="Z668" s="221"/>
    </row>
    <row r="669" spans="1:26" ht="18.75" customHeight="1">
      <c r="A669" s="221"/>
      <c r="B669" s="221"/>
      <c r="C669" s="255"/>
      <c r="D669" s="255"/>
      <c r="E669" s="221"/>
      <c r="F669" s="221"/>
      <c r="G669" s="221"/>
      <c r="H669" s="221"/>
      <c r="I669" s="221"/>
      <c r="J669" s="221"/>
      <c r="K669" s="221"/>
      <c r="L669" s="255"/>
      <c r="M669" s="255"/>
      <c r="N669" s="221"/>
      <c r="O669" s="221"/>
      <c r="P669" s="221"/>
      <c r="Q669" s="221"/>
      <c r="R669" s="221"/>
      <c r="S669" s="221"/>
      <c r="T669" s="221"/>
      <c r="U669" s="221"/>
      <c r="V669" s="221"/>
      <c r="W669" s="221"/>
      <c r="X669" s="221"/>
      <c r="Y669" s="221"/>
      <c r="Z669" s="221"/>
    </row>
    <row r="670" spans="1:26" ht="18.75" customHeight="1">
      <c r="A670" s="221"/>
      <c r="B670" s="221"/>
      <c r="C670" s="255"/>
      <c r="D670" s="255"/>
      <c r="E670" s="221"/>
      <c r="F670" s="221"/>
      <c r="G670" s="221"/>
      <c r="H670" s="221"/>
      <c r="I670" s="221"/>
      <c r="J670" s="221"/>
      <c r="K670" s="221"/>
      <c r="L670" s="255"/>
      <c r="M670" s="255"/>
      <c r="N670" s="221"/>
      <c r="O670" s="221"/>
      <c r="P670" s="221"/>
      <c r="Q670" s="221"/>
      <c r="R670" s="221"/>
      <c r="S670" s="221"/>
      <c r="T670" s="221"/>
      <c r="U670" s="221"/>
      <c r="V670" s="221"/>
      <c r="W670" s="221"/>
      <c r="X670" s="221"/>
      <c r="Y670" s="221"/>
      <c r="Z670" s="221"/>
    </row>
    <row r="671" spans="1:26" ht="18.75" customHeight="1">
      <c r="A671" s="221"/>
      <c r="B671" s="221"/>
      <c r="C671" s="255"/>
      <c r="D671" s="255"/>
      <c r="E671" s="221"/>
      <c r="F671" s="221"/>
      <c r="G671" s="221"/>
      <c r="H671" s="221"/>
      <c r="I671" s="221"/>
      <c r="J671" s="221"/>
      <c r="K671" s="221"/>
      <c r="L671" s="255"/>
      <c r="M671" s="255"/>
      <c r="N671" s="221"/>
      <c r="O671" s="221"/>
      <c r="P671" s="221"/>
      <c r="Q671" s="221"/>
      <c r="R671" s="221"/>
      <c r="S671" s="221"/>
      <c r="T671" s="221"/>
      <c r="U671" s="221"/>
      <c r="V671" s="221"/>
      <c r="W671" s="221"/>
      <c r="X671" s="221"/>
      <c r="Y671" s="221"/>
      <c r="Z671" s="221"/>
    </row>
    <row r="672" spans="1:26" ht="18.75" customHeight="1">
      <c r="A672" s="221"/>
      <c r="B672" s="221"/>
      <c r="C672" s="255"/>
      <c r="D672" s="255"/>
      <c r="E672" s="221"/>
      <c r="F672" s="221"/>
      <c r="G672" s="221"/>
      <c r="H672" s="221"/>
      <c r="I672" s="221"/>
      <c r="J672" s="221"/>
      <c r="K672" s="221"/>
      <c r="L672" s="255"/>
      <c r="M672" s="255"/>
      <c r="N672" s="221"/>
      <c r="O672" s="221"/>
      <c r="P672" s="221"/>
      <c r="Q672" s="221"/>
      <c r="R672" s="221"/>
      <c r="S672" s="221"/>
      <c r="T672" s="221"/>
      <c r="U672" s="221"/>
      <c r="V672" s="221"/>
      <c r="W672" s="221"/>
      <c r="X672" s="221"/>
      <c r="Y672" s="221"/>
      <c r="Z672" s="221"/>
    </row>
    <row r="673" spans="1:26" ht="18.75" customHeight="1">
      <c r="A673" s="221"/>
      <c r="B673" s="221"/>
      <c r="C673" s="255"/>
      <c r="D673" s="255"/>
      <c r="E673" s="221"/>
      <c r="F673" s="221"/>
      <c r="G673" s="221"/>
      <c r="H673" s="221"/>
      <c r="I673" s="221"/>
      <c r="J673" s="221"/>
      <c r="K673" s="221"/>
      <c r="L673" s="255"/>
      <c r="M673" s="255"/>
      <c r="N673" s="221"/>
      <c r="O673" s="221"/>
      <c r="P673" s="221"/>
      <c r="Q673" s="221"/>
      <c r="R673" s="221"/>
      <c r="S673" s="221"/>
      <c r="T673" s="221"/>
      <c r="U673" s="221"/>
      <c r="V673" s="221"/>
      <c r="W673" s="221"/>
      <c r="X673" s="221"/>
      <c r="Y673" s="221"/>
      <c r="Z673" s="221"/>
    </row>
    <row r="674" spans="1:26" ht="18.75" customHeight="1">
      <c r="A674" s="221"/>
      <c r="B674" s="221"/>
      <c r="C674" s="255"/>
      <c r="D674" s="255"/>
      <c r="E674" s="221"/>
      <c r="F674" s="221"/>
      <c r="G674" s="221"/>
      <c r="H674" s="221"/>
      <c r="I674" s="221"/>
      <c r="J674" s="221"/>
      <c r="K674" s="221"/>
      <c r="L674" s="255"/>
      <c r="M674" s="255"/>
      <c r="N674" s="221"/>
      <c r="O674" s="221"/>
      <c r="P674" s="221"/>
      <c r="Q674" s="221"/>
      <c r="R674" s="221"/>
      <c r="S674" s="221"/>
      <c r="T674" s="221"/>
      <c r="U674" s="221"/>
      <c r="V674" s="221"/>
      <c r="W674" s="221"/>
      <c r="X674" s="221"/>
      <c r="Y674" s="221"/>
      <c r="Z674" s="221"/>
    </row>
    <row r="675" spans="1:26" ht="18.75" customHeight="1">
      <c r="A675" s="221"/>
      <c r="B675" s="221"/>
      <c r="C675" s="255"/>
      <c r="D675" s="255"/>
      <c r="E675" s="221"/>
      <c r="F675" s="221"/>
      <c r="G675" s="221"/>
      <c r="H675" s="221"/>
      <c r="I675" s="221"/>
      <c r="J675" s="221"/>
      <c r="K675" s="221"/>
      <c r="L675" s="255"/>
      <c r="M675" s="255"/>
      <c r="N675" s="221"/>
      <c r="O675" s="221"/>
      <c r="P675" s="221"/>
      <c r="Q675" s="221"/>
      <c r="R675" s="221"/>
      <c r="S675" s="221"/>
      <c r="T675" s="221"/>
      <c r="U675" s="221"/>
      <c r="V675" s="221"/>
      <c r="W675" s="221"/>
      <c r="X675" s="221"/>
      <c r="Y675" s="221"/>
      <c r="Z675" s="221"/>
    </row>
    <row r="676" spans="1:26" ht="18.75" customHeight="1">
      <c r="A676" s="221"/>
      <c r="B676" s="221"/>
      <c r="C676" s="255"/>
      <c r="D676" s="255"/>
      <c r="E676" s="221"/>
      <c r="F676" s="221"/>
      <c r="G676" s="221"/>
      <c r="H676" s="221"/>
      <c r="I676" s="221"/>
      <c r="J676" s="221"/>
      <c r="K676" s="221"/>
      <c r="L676" s="255"/>
      <c r="M676" s="255"/>
      <c r="N676" s="221"/>
      <c r="O676" s="221"/>
      <c r="P676" s="221"/>
      <c r="Q676" s="221"/>
      <c r="R676" s="221"/>
      <c r="S676" s="221"/>
      <c r="T676" s="221"/>
      <c r="U676" s="221"/>
      <c r="V676" s="221"/>
      <c r="W676" s="221"/>
      <c r="X676" s="221"/>
      <c r="Y676" s="221"/>
      <c r="Z676" s="221"/>
    </row>
    <row r="677" spans="1:26" ht="18.75" customHeight="1">
      <c r="A677" s="221"/>
      <c r="B677" s="221"/>
      <c r="C677" s="255"/>
      <c r="D677" s="255"/>
      <c r="E677" s="221"/>
      <c r="F677" s="221"/>
      <c r="G677" s="221"/>
      <c r="H677" s="221"/>
      <c r="I677" s="221"/>
      <c r="J677" s="221"/>
      <c r="K677" s="221"/>
      <c r="L677" s="255"/>
      <c r="M677" s="255"/>
      <c r="N677" s="221"/>
      <c r="O677" s="221"/>
      <c r="P677" s="221"/>
      <c r="Q677" s="221"/>
      <c r="R677" s="221"/>
      <c r="S677" s="221"/>
      <c r="T677" s="221"/>
      <c r="U677" s="221"/>
      <c r="V677" s="221"/>
      <c r="W677" s="221"/>
      <c r="X677" s="221"/>
      <c r="Y677" s="221"/>
      <c r="Z677" s="221"/>
    </row>
    <row r="678" spans="1:26" ht="18.75" customHeight="1">
      <c r="A678" s="221"/>
      <c r="B678" s="221"/>
      <c r="C678" s="255"/>
      <c r="D678" s="255"/>
      <c r="E678" s="221"/>
      <c r="F678" s="221"/>
      <c r="G678" s="221"/>
      <c r="H678" s="221"/>
      <c r="I678" s="221"/>
      <c r="J678" s="221"/>
      <c r="K678" s="221"/>
      <c r="L678" s="255"/>
      <c r="M678" s="255"/>
      <c r="N678" s="221"/>
      <c r="O678" s="221"/>
      <c r="P678" s="221"/>
      <c r="Q678" s="221"/>
      <c r="R678" s="221"/>
      <c r="S678" s="221"/>
      <c r="T678" s="221"/>
      <c r="U678" s="221"/>
      <c r="V678" s="221"/>
      <c r="W678" s="221"/>
      <c r="X678" s="221"/>
      <c r="Y678" s="221"/>
      <c r="Z678" s="221"/>
    </row>
    <row r="679" spans="1:26" ht="18.75" customHeight="1">
      <c r="A679" s="221"/>
      <c r="B679" s="221"/>
      <c r="C679" s="255"/>
      <c r="D679" s="255"/>
      <c r="E679" s="221"/>
      <c r="F679" s="221"/>
      <c r="G679" s="221"/>
      <c r="H679" s="221"/>
      <c r="I679" s="221"/>
      <c r="J679" s="221"/>
      <c r="K679" s="221"/>
      <c r="L679" s="255"/>
      <c r="M679" s="255"/>
      <c r="N679" s="221"/>
      <c r="O679" s="221"/>
      <c r="P679" s="221"/>
      <c r="Q679" s="221"/>
      <c r="R679" s="221"/>
      <c r="S679" s="221"/>
      <c r="T679" s="221"/>
      <c r="U679" s="221"/>
      <c r="V679" s="221"/>
      <c r="W679" s="221"/>
      <c r="X679" s="221"/>
      <c r="Y679" s="221"/>
      <c r="Z679" s="221"/>
    </row>
    <row r="680" spans="1:26" ht="18.75" customHeight="1">
      <c r="A680" s="221"/>
      <c r="B680" s="221"/>
      <c r="C680" s="255"/>
      <c r="D680" s="255"/>
      <c r="E680" s="221"/>
      <c r="F680" s="221"/>
      <c r="G680" s="221"/>
      <c r="H680" s="221"/>
      <c r="I680" s="221"/>
      <c r="J680" s="221"/>
      <c r="K680" s="221"/>
      <c r="L680" s="255"/>
      <c r="M680" s="255"/>
      <c r="N680" s="221"/>
      <c r="O680" s="221"/>
      <c r="P680" s="221"/>
      <c r="Q680" s="221"/>
      <c r="R680" s="221"/>
      <c r="S680" s="221"/>
      <c r="T680" s="221"/>
      <c r="U680" s="221"/>
      <c r="V680" s="221"/>
      <c r="W680" s="221"/>
      <c r="X680" s="221"/>
      <c r="Y680" s="221"/>
      <c r="Z680" s="221"/>
    </row>
    <row r="681" spans="1:26" ht="18.75" customHeight="1">
      <c r="A681" s="221"/>
      <c r="B681" s="221"/>
      <c r="C681" s="255"/>
      <c r="D681" s="255"/>
      <c r="E681" s="221"/>
      <c r="F681" s="221"/>
      <c r="G681" s="221"/>
      <c r="H681" s="221"/>
      <c r="I681" s="221"/>
      <c r="J681" s="221"/>
      <c r="K681" s="221"/>
      <c r="L681" s="255"/>
      <c r="M681" s="255"/>
      <c r="N681" s="221"/>
      <c r="O681" s="221"/>
      <c r="P681" s="221"/>
      <c r="Q681" s="221"/>
      <c r="R681" s="221"/>
      <c r="S681" s="221"/>
      <c r="T681" s="221"/>
      <c r="U681" s="221"/>
      <c r="V681" s="221"/>
      <c r="W681" s="221"/>
      <c r="X681" s="221"/>
      <c r="Y681" s="221"/>
      <c r="Z681" s="221"/>
    </row>
    <row r="682" spans="1:26" ht="18.75" customHeight="1">
      <c r="A682" s="221"/>
      <c r="B682" s="221"/>
      <c r="C682" s="255"/>
      <c r="D682" s="255"/>
      <c r="E682" s="221"/>
      <c r="F682" s="221"/>
      <c r="G682" s="221"/>
      <c r="H682" s="221"/>
      <c r="I682" s="221"/>
      <c r="J682" s="221"/>
      <c r="K682" s="221"/>
      <c r="L682" s="255"/>
      <c r="M682" s="255"/>
      <c r="N682" s="221"/>
      <c r="O682" s="221"/>
      <c r="P682" s="221"/>
      <c r="Q682" s="221"/>
      <c r="R682" s="221"/>
      <c r="S682" s="221"/>
      <c r="T682" s="221"/>
      <c r="U682" s="221"/>
      <c r="V682" s="221"/>
      <c r="W682" s="221"/>
      <c r="X682" s="221"/>
      <c r="Y682" s="221"/>
      <c r="Z682" s="221"/>
    </row>
    <row r="683" spans="1:26" ht="18.75" customHeight="1">
      <c r="A683" s="221"/>
      <c r="B683" s="221"/>
      <c r="C683" s="255"/>
      <c r="D683" s="255"/>
      <c r="E683" s="221"/>
      <c r="F683" s="221"/>
      <c r="G683" s="221"/>
      <c r="H683" s="221"/>
      <c r="I683" s="221"/>
      <c r="J683" s="221"/>
      <c r="K683" s="221"/>
      <c r="L683" s="255"/>
      <c r="M683" s="255"/>
      <c r="N683" s="221"/>
      <c r="O683" s="221"/>
      <c r="P683" s="221"/>
      <c r="Q683" s="221"/>
      <c r="R683" s="221"/>
      <c r="S683" s="221"/>
      <c r="T683" s="221"/>
      <c r="U683" s="221"/>
      <c r="V683" s="221"/>
      <c r="W683" s="221"/>
      <c r="X683" s="221"/>
      <c r="Y683" s="221"/>
      <c r="Z683" s="221"/>
    </row>
    <row r="684" spans="1:26" ht="18.75" customHeight="1">
      <c r="A684" s="221"/>
      <c r="B684" s="221"/>
      <c r="C684" s="255"/>
      <c r="D684" s="255"/>
      <c r="E684" s="221"/>
      <c r="F684" s="221"/>
      <c r="G684" s="221"/>
      <c r="H684" s="221"/>
      <c r="I684" s="221"/>
      <c r="J684" s="221"/>
      <c r="K684" s="221"/>
      <c r="L684" s="255"/>
      <c r="M684" s="255"/>
      <c r="N684" s="221"/>
      <c r="O684" s="221"/>
      <c r="P684" s="221"/>
      <c r="Q684" s="221"/>
      <c r="R684" s="221"/>
      <c r="S684" s="221"/>
      <c r="T684" s="221"/>
      <c r="U684" s="221"/>
      <c r="V684" s="221"/>
      <c r="W684" s="221"/>
      <c r="X684" s="221"/>
      <c r="Y684" s="221"/>
      <c r="Z684" s="221"/>
    </row>
    <row r="685" spans="1:26" ht="18.75" customHeight="1">
      <c r="A685" s="221"/>
      <c r="B685" s="221"/>
      <c r="C685" s="255"/>
      <c r="D685" s="255"/>
      <c r="E685" s="221"/>
      <c r="F685" s="221"/>
      <c r="G685" s="221"/>
      <c r="H685" s="221"/>
      <c r="I685" s="221"/>
      <c r="J685" s="221"/>
      <c r="K685" s="221"/>
      <c r="L685" s="255"/>
      <c r="M685" s="255"/>
      <c r="N685" s="221"/>
      <c r="O685" s="221"/>
      <c r="P685" s="221"/>
      <c r="Q685" s="221"/>
      <c r="R685" s="221"/>
      <c r="S685" s="221"/>
      <c r="T685" s="221"/>
      <c r="U685" s="221"/>
      <c r="V685" s="221"/>
      <c r="W685" s="221"/>
      <c r="X685" s="221"/>
      <c r="Y685" s="221"/>
      <c r="Z685" s="221"/>
    </row>
    <row r="686" spans="1:26" ht="18.75" customHeight="1">
      <c r="A686" s="221"/>
      <c r="B686" s="221"/>
      <c r="C686" s="255"/>
      <c r="D686" s="255"/>
      <c r="E686" s="221"/>
      <c r="F686" s="221"/>
      <c r="G686" s="221"/>
      <c r="H686" s="221"/>
      <c r="I686" s="221"/>
      <c r="J686" s="221"/>
      <c r="K686" s="221"/>
      <c r="L686" s="255"/>
      <c r="M686" s="255"/>
      <c r="N686" s="221"/>
      <c r="O686" s="221"/>
      <c r="P686" s="221"/>
      <c r="Q686" s="221"/>
      <c r="R686" s="221"/>
      <c r="S686" s="221"/>
      <c r="T686" s="221"/>
      <c r="U686" s="221"/>
      <c r="V686" s="221"/>
      <c r="W686" s="221"/>
      <c r="X686" s="221"/>
      <c r="Y686" s="221"/>
      <c r="Z686" s="221"/>
    </row>
    <row r="687" spans="1:26" ht="18.75" customHeight="1">
      <c r="A687" s="221"/>
      <c r="B687" s="221"/>
      <c r="C687" s="255"/>
      <c r="D687" s="255"/>
      <c r="E687" s="221"/>
      <c r="F687" s="221"/>
      <c r="G687" s="221"/>
      <c r="H687" s="221"/>
      <c r="I687" s="221"/>
      <c r="J687" s="221"/>
      <c r="K687" s="221"/>
      <c r="L687" s="255"/>
      <c r="M687" s="255"/>
      <c r="N687" s="221"/>
      <c r="O687" s="221"/>
      <c r="P687" s="221"/>
      <c r="Q687" s="221"/>
      <c r="R687" s="221"/>
      <c r="S687" s="221"/>
      <c r="T687" s="221"/>
      <c r="U687" s="221"/>
      <c r="V687" s="221"/>
      <c r="W687" s="221"/>
      <c r="X687" s="221"/>
      <c r="Y687" s="221"/>
      <c r="Z687" s="221"/>
    </row>
    <row r="688" spans="1:26" ht="18.75" customHeight="1">
      <c r="A688" s="221"/>
      <c r="B688" s="221"/>
      <c r="C688" s="255"/>
      <c r="D688" s="255"/>
      <c r="E688" s="221"/>
      <c r="F688" s="221"/>
      <c r="G688" s="221"/>
      <c r="H688" s="221"/>
      <c r="I688" s="221"/>
      <c r="J688" s="221"/>
      <c r="K688" s="221"/>
      <c r="L688" s="255"/>
      <c r="M688" s="255"/>
      <c r="N688" s="221"/>
      <c r="O688" s="221"/>
      <c r="P688" s="221"/>
      <c r="Q688" s="221"/>
      <c r="R688" s="221"/>
      <c r="S688" s="221"/>
      <c r="T688" s="221"/>
      <c r="U688" s="221"/>
      <c r="V688" s="221"/>
      <c r="W688" s="221"/>
      <c r="X688" s="221"/>
      <c r="Y688" s="221"/>
      <c r="Z688" s="221"/>
    </row>
    <row r="689" spans="1:26" ht="18.75" customHeight="1">
      <c r="A689" s="221"/>
      <c r="B689" s="221"/>
      <c r="C689" s="255"/>
      <c r="D689" s="255"/>
      <c r="E689" s="221"/>
      <c r="F689" s="221"/>
      <c r="G689" s="221"/>
      <c r="H689" s="221"/>
      <c r="I689" s="221"/>
      <c r="J689" s="221"/>
      <c r="K689" s="221"/>
      <c r="L689" s="255"/>
      <c r="M689" s="255"/>
      <c r="N689" s="221"/>
      <c r="O689" s="221"/>
      <c r="P689" s="221"/>
      <c r="Q689" s="221"/>
      <c r="R689" s="221"/>
      <c r="S689" s="221"/>
      <c r="T689" s="221"/>
      <c r="U689" s="221"/>
      <c r="V689" s="221"/>
      <c r="W689" s="221"/>
      <c r="X689" s="221"/>
      <c r="Y689" s="221"/>
      <c r="Z689" s="221"/>
    </row>
    <row r="690" spans="1:26" ht="18.75" customHeight="1">
      <c r="A690" s="221"/>
      <c r="B690" s="221"/>
      <c r="C690" s="255"/>
      <c r="D690" s="255"/>
      <c r="E690" s="221"/>
      <c r="F690" s="221"/>
      <c r="G690" s="221"/>
      <c r="H690" s="221"/>
      <c r="I690" s="221"/>
      <c r="J690" s="221"/>
      <c r="K690" s="221"/>
      <c r="L690" s="255"/>
      <c r="M690" s="255"/>
      <c r="N690" s="221"/>
      <c r="O690" s="221"/>
      <c r="P690" s="221"/>
      <c r="Q690" s="221"/>
      <c r="R690" s="221"/>
      <c r="S690" s="221"/>
      <c r="T690" s="221"/>
      <c r="U690" s="221"/>
      <c r="V690" s="221"/>
      <c r="W690" s="221"/>
      <c r="X690" s="221"/>
      <c r="Y690" s="221"/>
      <c r="Z690" s="221"/>
    </row>
    <row r="691" spans="1:26" ht="18.75" customHeight="1">
      <c r="A691" s="221"/>
      <c r="B691" s="221"/>
      <c r="C691" s="255"/>
      <c r="D691" s="255"/>
      <c r="E691" s="221"/>
      <c r="F691" s="221"/>
      <c r="G691" s="221"/>
      <c r="H691" s="221"/>
      <c r="I691" s="221"/>
      <c r="J691" s="221"/>
      <c r="K691" s="221"/>
      <c r="L691" s="255"/>
      <c r="M691" s="255"/>
      <c r="N691" s="221"/>
      <c r="O691" s="221"/>
      <c r="P691" s="221"/>
      <c r="Q691" s="221"/>
      <c r="R691" s="221"/>
      <c r="S691" s="221"/>
      <c r="T691" s="221"/>
      <c r="U691" s="221"/>
      <c r="V691" s="221"/>
      <c r="W691" s="221"/>
      <c r="X691" s="221"/>
      <c r="Y691" s="221"/>
      <c r="Z691" s="221"/>
    </row>
    <row r="692" spans="1:26" ht="18.75" customHeight="1">
      <c r="A692" s="221"/>
      <c r="B692" s="221"/>
      <c r="C692" s="255"/>
      <c r="D692" s="255"/>
      <c r="E692" s="221"/>
      <c r="F692" s="221"/>
      <c r="G692" s="221"/>
      <c r="H692" s="221"/>
      <c r="I692" s="221"/>
      <c r="J692" s="221"/>
      <c r="K692" s="221"/>
      <c r="L692" s="255"/>
      <c r="M692" s="255"/>
      <c r="N692" s="221"/>
      <c r="O692" s="221"/>
      <c r="P692" s="221"/>
      <c r="Q692" s="221"/>
      <c r="R692" s="221"/>
      <c r="S692" s="221"/>
      <c r="T692" s="221"/>
      <c r="U692" s="221"/>
      <c r="V692" s="221"/>
      <c r="W692" s="221"/>
      <c r="X692" s="221"/>
      <c r="Y692" s="221"/>
      <c r="Z692" s="221"/>
    </row>
    <row r="693" spans="1:26" ht="18.75" customHeight="1">
      <c r="A693" s="221"/>
      <c r="B693" s="221"/>
      <c r="C693" s="255"/>
      <c r="D693" s="255"/>
      <c r="E693" s="221"/>
      <c r="F693" s="221"/>
      <c r="G693" s="221"/>
      <c r="H693" s="221"/>
      <c r="I693" s="221"/>
      <c r="J693" s="221"/>
      <c r="K693" s="221"/>
      <c r="L693" s="255"/>
      <c r="M693" s="255"/>
      <c r="N693" s="221"/>
      <c r="O693" s="221"/>
      <c r="P693" s="221"/>
      <c r="Q693" s="221"/>
      <c r="R693" s="221"/>
      <c r="S693" s="221"/>
      <c r="T693" s="221"/>
      <c r="U693" s="221"/>
      <c r="V693" s="221"/>
      <c r="W693" s="221"/>
      <c r="X693" s="221"/>
      <c r="Y693" s="221"/>
      <c r="Z693" s="221"/>
    </row>
    <row r="694" spans="1:26" ht="18.75" customHeight="1">
      <c r="A694" s="221"/>
      <c r="B694" s="221"/>
      <c r="C694" s="255"/>
      <c r="D694" s="255"/>
      <c r="E694" s="221"/>
      <c r="F694" s="221"/>
      <c r="G694" s="221"/>
      <c r="H694" s="221"/>
      <c r="I694" s="221"/>
      <c r="J694" s="221"/>
      <c r="K694" s="221"/>
      <c r="L694" s="255"/>
      <c r="M694" s="255"/>
      <c r="N694" s="221"/>
      <c r="O694" s="221"/>
      <c r="P694" s="221"/>
      <c r="Q694" s="221"/>
      <c r="R694" s="221"/>
      <c r="S694" s="221"/>
      <c r="T694" s="221"/>
      <c r="U694" s="221"/>
      <c r="V694" s="221"/>
      <c r="W694" s="221"/>
      <c r="X694" s="221"/>
      <c r="Y694" s="221"/>
      <c r="Z694" s="221"/>
    </row>
    <row r="695" spans="1:26" ht="18.75" customHeight="1">
      <c r="A695" s="221"/>
      <c r="B695" s="221"/>
      <c r="C695" s="255"/>
      <c r="D695" s="255"/>
      <c r="E695" s="221"/>
      <c r="F695" s="221"/>
      <c r="G695" s="221"/>
      <c r="H695" s="221"/>
      <c r="I695" s="221"/>
      <c r="J695" s="221"/>
      <c r="K695" s="221"/>
      <c r="L695" s="255"/>
      <c r="M695" s="255"/>
      <c r="N695" s="221"/>
      <c r="O695" s="221"/>
      <c r="P695" s="221"/>
      <c r="Q695" s="221"/>
      <c r="R695" s="221"/>
      <c r="S695" s="221"/>
      <c r="T695" s="221"/>
      <c r="U695" s="221"/>
      <c r="V695" s="221"/>
      <c r="W695" s="221"/>
      <c r="X695" s="221"/>
      <c r="Y695" s="221"/>
      <c r="Z695" s="221"/>
    </row>
    <row r="696" spans="1:26" ht="18.75" customHeight="1">
      <c r="A696" s="221"/>
      <c r="B696" s="221"/>
      <c r="C696" s="255"/>
      <c r="D696" s="255"/>
      <c r="E696" s="221"/>
      <c r="F696" s="221"/>
      <c r="G696" s="221"/>
      <c r="H696" s="221"/>
      <c r="I696" s="221"/>
      <c r="J696" s="221"/>
      <c r="K696" s="221"/>
      <c r="L696" s="255"/>
      <c r="M696" s="255"/>
      <c r="N696" s="221"/>
      <c r="O696" s="221"/>
      <c r="P696" s="221"/>
      <c r="Q696" s="221"/>
      <c r="R696" s="221"/>
      <c r="S696" s="221"/>
      <c r="T696" s="221"/>
      <c r="U696" s="221"/>
      <c r="V696" s="221"/>
      <c r="W696" s="221"/>
      <c r="X696" s="221"/>
      <c r="Y696" s="221"/>
      <c r="Z696" s="221"/>
    </row>
    <row r="697" spans="1:26" ht="18.75" customHeight="1">
      <c r="A697" s="221"/>
      <c r="B697" s="221"/>
      <c r="C697" s="255"/>
      <c r="D697" s="255"/>
      <c r="E697" s="221"/>
      <c r="F697" s="221"/>
      <c r="G697" s="221"/>
      <c r="H697" s="221"/>
      <c r="I697" s="221"/>
      <c r="J697" s="221"/>
      <c r="K697" s="221"/>
      <c r="L697" s="255"/>
      <c r="M697" s="255"/>
      <c r="N697" s="221"/>
      <c r="O697" s="221"/>
      <c r="P697" s="221"/>
      <c r="Q697" s="221"/>
      <c r="R697" s="221"/>
      <c r="S697" s="221"/>
      <c r="T697" s="221"/>
      <c r="U697" s="221"/>
      <c r="V697" s="221"/>
      <c r="W697" s="221"/>
      <c r="X697" s="221"/>
      <c r="Y697" s="221"/>
      <c r="Z697" s="221"/>
    </row>
    <row r="698" spans="1:26" ht="18.75" customHeight="1">
      <c r="A698" s="221"/>
      <c r="B698" s="221"/>
      <c r="C698" s="255"/>
      <c r="D698" s="255"/>
      <c r="E698" s="221"/>
      <c r="F698" s="221"/>
      <c r="G698" s="221"/>
      <c r="H698" s="221"/>
      <c r="I698" s="221"/>
      <c r="J698" s="221"/>
      <c r="K698" s="221"/>
      <c r="L698" s="255"/>
      <c r="M698" s="255"/>
      <c r="N698" s="221"/>
      <c r="O698" s="221"/>
      <c r="P698" s="221"/>
      <c r="Q698" s="221"/>
      <c r="R698" s="221"/>
      <c r="S698" s="221"/>
      <c r="T698" s="221"/>
      <c r="U698" s="221"/>
      <c r="V698" s="221"/>
      <c r="W698" s="221"/>
      <c r="X698" s="221"/>
      <c r="Y698" s="221"/>
      <c r="Z698" s="221"/>
    </row>
    <row r="699" spans="1:26" ht="18.75" customHeight="1">
      <c r="A699" s="221"/>
      <c r="B699" s="221"/>
      <c r="C699" s="255"/>
      <c r="D699" s="255"/>
      <c r="E699" s="221"/>
      <c r="F699" s="221"/>
      <c r="G699" s="221"/>
      <c r="H699" s="221"/>
      <c r="I699" s="221"/>
      <c r="J699" s="221"/>
      <c r="K699" s="221"/>
      <c r="L699" s="255"/>
      <c r="M699" s="255"/>
      <c r="N699" s="221"/>
      <c r="O699" s="221"/>
      <c r="P699" s="221"/>
      <c r="Q699" s="221"/>
      <c r="R699" s="221"/>
      <c r="S699" s="221"/>
      <c r="T699" s="221"/>
      <c r="U699" s="221"/>
      <c r="V699" s="221"/>
      <c r="W699" s="221"/>
      <c r="X699" s="221"/>
      <c r="Y699" s="221"/>
      <c r="Z699" s="221"/>
    </row>
    <row r="700" spans="1:26" ht="18.75" customHeight="1">
      <c r="A700" s="221"/>
      <c r="B700" s="221"/>
      <c r="C700" s="255"/>
      <c r="D700" s="255"/>
      <c r="E700" s="221"/>
      <c r="F700" s="221"/>
      <c r="G700" s="221"/>
      <c r="H700" s="221"/>
      <c r="I700" s="221"/>
      <c r="J700" s="221"/>
      <c r="K700" s="221"/>
      <c r="L700" s="255"/>
      <c r="M700" s="255"/>
      <c r="N700" s="221"/>
      <c r="O700" s="221"/>
      <c r="P700" s="221"/>
      <c r="Q700" s="221"/>
      <c r="R700" s="221"/>
      <c r="S700" s="221"/>
      <c r="T700" s="221"/>
      <c r="U700" s="221"/>
      <c r="V700" s="221"/>
      <c r="W700" s="221"/>
      <c r="X700" s="221"/>
      <c r="Y700" s="221"/>
      <c r="Z700" s="221"/>
    </row>
    <row r="701" spans="1:26" ht="18.75" customHeight="1">
      <c r="A701" s="221"/>
      <c r="B701" s="221"/>
      <c r="C701" s="255"/>
      <c r="D701" s="255"/>
      <c r="E701" s="221"/>
      <c r="F701" s="221"/>
      <c r="G701" s="221"/>
      <c r="H701" s="221"/>
      <c r="I701" s="221"/>
      <c r="J701" s="221"/>
      <c r="K701" s="221"/>
      <c r="L701" s="255"/>
      <c r="M701" s="255"/>
      <c r="N701" s="221"/>
      <c r="O701" s="221"/>
      <c r="P701" s="221"/>
      <c r="Q701" s="221"/>
      <c r="R701" s="221"/>
      <c r="S701" s="221"/>
      <c r="T701" s="221"/>
      <c r="U701" s="221"/>
      <c r="V701" s="221"/>
      <c r="W701" s="221"/>
      <c r="X701" s="221"/>
      <c r="Y701" s="221"/>
      <c r="Z701" s="221"/>
    </row>
    <row r="702" spans="1:26" ht="18.75" customHeight="1">
      <c r="A702" s="221"/>
      <c r="B702" s="221"/>
      <c r="C702" s="255"/>
      <c r="D702" s="255"/>
      <c r="E702" s="221"/>
      <c r="F702" s="221"/>
      <c r="G702" s="221"/>
      <c r="H702" s="221"/>
      <c r="I702" s="221"/>
      <c r="J702" s="221"/>
      <c r="K702" s="221"/>
      <c r="L702" s="255"/>
      <c r="M702" s="255"/>
      <c r="N702" s="221"/>
      <c r="O702" s="221"/>
      <c r="P702" s="221"/>
      <c r="Q702" s="221"/>
      <c r="R702" s="221"/>
      <c r="S702" s="221"/>
      <c r="T702" s="221"/>
      <c r="U702" s="221"/>
      <c r="V702" s="221"/>
      <c r="W702" s="221"/>
      <c r="X702" s="221"/>
      <c r="Y702" s="221"/>
      <c r="Z702" s="221"/>
    </row>
    <row r="703" spans="1:26" ht="18.75" customHeight="1">
      <c r="A703" s="221"/>
      <c r="B703" s="221"/>
      <c r="C703" s="255"/>
      <c r="D703" s="255"/>
      <c r="E703" s="221"/>
      <c r="F703" s="221"/>
      <c r="G703" s="221"/>
      <c r="H703" s="221"/>
      <c r="I703" s="221"/>
      <c r="J703" s="221"/>
      <c r="K703" s="221"/>
      <c r="L703" s="255"/>
      <c r="M703" s="255"/>
      <c r="N703" s="221"/>
      <c r="O703" s="221"/>
      <c r="P703" s="221"/>
      <c r="Q703" s="221"/>
      <c r="R703" s="221"/>
      <c r="S703" s="221"/>
      <c r="T703" s="221"/>
      <c r="U703" s="221"/>
      <c r="V703" s="221"/>
      <c r="W703" s="221"/>
      <c r="X703" s="221"/>
      <c r="Y703" s="221"/>
      <c r="Z703" s="221"/>
    </row>
    <row r="704" spans="1:26" ht="18.75" customHeight="1">
      <c r="A704" s="221"/>
      <c r="B704" s="221"/>
      <c r="C704" s="255"/>
      <c r="D704" s="255"/>
      <c r="E704" s="221"/>
      <c r="F704" s="221"/>
      <c r="G704" s="221"/>
      <c r="H704" s="221"/>
      <c r="I704" s="221"/>
      <c r="J704" s="221"/>
      <c r="K704" s="221"/>
      <c r="L704" s="255"/>
      <c r="M704" s="255"/>
      <c r="N704" s="221"/>
      <c r="O704" s="221"/>
      <c r="P704" s="221"/>
      <c r="Q704" s="221"/>
      <c r="R704" s="221"/>
      <c r="S704" s="221"/>
      <c r="T704" s="221"/>
      <c r="U704" s="221"/>
      <c r="V704" s="221"/>
      <c r="W704" s="221"/>
      <c r="X704" s="221"/>
      <c r="Y704" s="221"/>
      <c r="Z704" s="221"/>
    </row>
    <row r="705" spans="1:26" ht="18.75" customHeight="1">
      <c r="A705" s="221"/>
      <c r="B705" s="221"/>
      <c r="C705" s="255"/>
      <c r="D705" s="255"/>
      <c r="E705" s="221"/>
      <c r="F705" s="221"/>
      <c r="G705" s="221"/>
      <c r="H705" s="221"/>
      <c r="I705" s="221"/>
      <c r="J705" s="221"/>
      <c r="K705" s="221"/>
      <c r="L705" s="255"/>
      <c r="M705" s="255"/>
      <c r="N705" s="221"/>
      <c r="O705" s="221"/>
      <c r="P705" s="221"/>
      <c r="Q705" s="221"/>
      <c r="R705" s="221"/>
      <c r="S705" s="221"/>
      <c r="T705" s="221"/>
      <c r="U705" s="221"/>
      <c r="V705" s="221"/>
      <c r="W705" s="221"/>
      <c r="X705" s="221"/>
      <c r="Y705" s="221"/>
      <c r="Z705" s="221"/>
    </row>
    <row r="706" spans="1:26" ht="18.75" customHeight="1">
      <c r="A706" s="221"/>
      <c r="B706" s="221"/>
      <c r="C706" s="255"/>
      <c r="D706" s="255"/>
      <c r="E706" s="221"/>
      <c r="F706" s="221"/>
      <c r="G706" s="221"/>
      <c r="H706" s="221"/>
      <c r="I706" s="221"/>
      <c r="J706" s="221"/>
      <c r="K706" s="221"/>
      <c r="L706" s="255"/>
      <c r="M706" s="255"/>
      <c r="N706" s="221"/>
      <c r="O706" s="221"/>
      <c r="P706" s="221"/>
      <c r="Q706" s="221"/>
      <c r="R706" s="221"/>
      <c r="S706" s="221"/>
      <c r="T706" s="221"/>
      <c r="U706" s="221"/>
      <c r="V706" s="221"/>
      <c r="W706" s="221"/>
      <c r="X706" s="221"/>
      <c r="Y706" s="221"/>
      <c r="Z706" s="221"/>
    </row>
    <row r="707" spans="1:26" ht="18.75" customHeight="1">
      <c r="A707" s="221"/>
      <c r="B707" s="221"/>
      <c r="C707" s="255"/>
      <c r="D707" s="255"/>
      <c r="E707" s="221"/>
      <c r="F707" s="221"/>
      <c r="G707" s="221"/>
      <c r="H707" s="221"/>
      <c r="I707" s="221"/>
      <c r="J707" s="221"/>
      <c r="K707" s="221"/>
      <c r="L707" s="255"/>
      <c r="M707" s="255"/>
      <c r="N707" s="221"/>
      <c r="O707" s="221"/>
      <c r="P707" s="221"/>
      <c r="Q707" s="221"/>
      <c r="R707" s="221"/>
      <c r="S707" s="221"/>
      <c r="T707" s="221"/>
      <c r="U707" s="221"/>
      <c r="V707" s="221"/>
      <c r="W707" s="221"/>
      <c r="X707" s="221"/>
      <c r="Y707" s="221"/>
      <c r="Z707" s="221"/>
    </row>
    <row r="708" spans="1:26" ht="18.75" customHeight="1">
      <c r="A708" s="221"/>
      <c r="B708" s="221"/>
      <c r="C708" s="255"/>
      <c r="D708" s="255"/>
      <c r="E708" s="221"/>
      <c r="F708" s="221"/>
      <c r="G708" s="221"/>
      <c r="H708" s="221"/>
      <c r="I708" s="221"/>
      <c r="J708" s="221"/>
      <c r="K708" s="221"/>
      <c r="L708" s="255"/>
      <c r="M708" s="255"/>
      <c r="N708" s="221"/>
      <c r="O708" s="221"/>
      <c r="P708" s="221"/>
      <c r="Q708" s="221"/>
      <c r="R708" s="221"/>
      <c r="S708" s="221"/>
      <c r="T708" s="221"/>
      <c r="U708" s="221"/>
      <c r="V708" s="221"/>
      <c r="W708" s="221"/>
      <c r="X708" s="221"/>
      <c r="Y708" s="221"/>
      <c r="Z708" s="221"/>
    </row>
    <row r="709" spans="1:26" ht="18.75" customHeight="1">
      <c r="A709" s="221"/>
      <c r="B709" s="221"/>
      <c r="C709" s="255"/>
      <c r="D709" s="255"/>
      <c r="E709" s="221"/>
      <c r="F709" s="221"/>
      <c r="G709" s="221"/>
      <c r="H709" s="221"/>
      <c r="I709" s="221"/>
      <c r="J709" s="221"/>
      <c r="K709" s="221"/>
      <c r="L709" s="255"/>
      <c r="M709" s="255"/>
      <c r="N709" s="221"/>
      <c r="O709" s="221"/>
      <c r="P709" s="221"/>
      <c r="Q709" s="221"/>
      <c r="R709" s="221"/>
      <c r="S709" s="221"/>
      <c r="T709" s="221"/>
      <c r="U709" s="221"/>
      <c r="V709" s="221"/>
      <c r="W709" s="221"/>
      <c r="X709" s="221"/>
      <c r="Y709" s="221"/>
      <c r="Z709" s="221"/>
    </row>
    <row r="710" spans="1:26" ht="18.75" customHeight="1">
      <c r="A710" s="221"/>
      <c r="B710" s="221"/>
      <c r="C710" s="255"/>
      <c r="D710" s="255"/>
      <c r="E710" s="221"/>
      <c r="F710" s="221"/>
      <c r="G710" s="221"/>
      <c r="H710" s="221"/>
      <c r="I710" s="221"/>
      <c r="J710" s="221"/>
      <c r="K710" s="221"/>
      <c r="L710" s="255"/>
      <c r="M710" s="255"/>
      <c r="N710" s="221"/>
      <c r="O710" s="221"/>
      <c r="P710" s="221"/>
      <c r="Q710" s="221"/>
      <c r="R710" s="221"/>
      <c r="S710" s="221"/>
      <c r="T710" s="221"/>
      <c r="U710" s="221"/>
      <c r="V710" s="221"/>
      <c r="W710" s="221"/>
      <c r="X710" s="221"/>
      <c r="Y710" s="221"/>
      <c r="Z710" s="221"/>
    </row>
    <row r="711" spans="1:26" ht="18.75" customHeight="1">
      <c r="A711" s="221"/>
      <c r="B711" s="221"/>
      <c r="C711" s="255"/>
      <c r="D711" s="255"/>
      <c r="E711" s="221"/>
      <c r="F711" s="221"/>
      <c r="G711" s="221"/>
      <c r="H711" s="221"/>
      <c r="I711" s="221"/>
      <c r="J711" s="221"/>
      <c r="K711" s="221"/>
      <c r="L711" s="255"/>
      <c r="M711" s="255"/>
      <c r="N711" s="221"/>
      <c r="O711" s="221"/>
      <c r="P711" s="221"/>
      <c r="Q711" s="221"/>
      <c r="R711" s="221"/>
      <c r="S711" s="221"/>
      <c r="T711" s="221"/>
      <c r="U711" s="221"/>
      <c r="V711" s="221"/>
      <c r="W711" s="221"/>
      <c r="X711" s="221"/>
      <c r="Y711" s="221"/>
      <c r="Z711" s="221"/>
    </row>
    <row r="712" spans="1:26" ht="18.75" customHeight="1">
      <c r="A712" s="221"/>
      <c r="B712" s="221"/>
      <c r="C712" s="255"/>
      <c r="D712" s="255"/>
      <c r="E712" s="221"/>
      <c r="F712" s="221"/>
      <c r="G712" s="221"/>
      <c r="H712" s="221"/>
      <c r="I712" s="221"/>
      <c r="J712" s="221"/>
      <c r="K712" s="221"/>
      <c r="L712" s="255"/>
      <c r="M712" s="255"/>
      <c r="N712" s="221"/>
      <c r="O712" s="221"/>
      <c r="P712" s="221"/>
      <c r="Q712" s="221"/>
      <c r="R712" s="221"/>
      <c r="S712" s="221"/>
      <c r="T712" s="221"/>
      <c r="U712" s="221"/>
      <c r="V712" s="221"/>
      <c r="W712" s="221"/>
      <c r="X712" s="221"/>
      <c r="Y712" s="221"/>
      <c r="Z712" s="221"/>
    </row>
    <row r="713" spans="1:26" ht="18.75" customHeight="1">
      <c r="A713" s="221"/>
      <c r="B713" s="221"/>
      <c r="C713" s="255"/>
      <c r="D713" s="255"/>
      <c r="E713" s="221"/>
      <c r="F713" s="221"/>
      <c r="G713" s="221"/>
      <c r="H713" s="221"/>
      <c r="I713" s="221"/>
      <c r="J713" s="221"/>
      <c r="K713" s="221"/>
      <c r="L713" s="255"/>
      <c r="M713" s="255"/>
      <c r="N713" s="221"/>
      <c r="O713" s="221"/>
      <c r="P713" s="221"/>
      <c r="Q713" s="221"/>
      <c r="R713" s="221"/>
      <c r="S713" s="221"/>
      <c r="T713" s="221"/>
      <c r="U713" s="221"/>
      <c r="V713" s="221"/>
      <c r="W713" s="221"/>
      <c r="X713" s="221"/>
      <c r="Y713" s="221"/>
      <c r="Z713" s="221"/>
    </row>
    <row r="714" spans="1:26" ht="18.75" customHeight="1">
      <c r="A714" s="221"/>
      <c r="B714" s="221"/>
      <c r="C714" s="255"/>
      <c r="D714" s="255"/>
      <c r="E714" s="221"/>
      <c r="F714" s="221"/>
      <c r="G714" s="221"/>
      <c r="H714" s="221"/>
      <c r="I714" s="221"/>
      <c r="J714" s="221"/>
      <c r="K714" s="221"/>
      <c r="L714" s="255"/>
      <c r="M714" s="255"/>
      <c r="N714" s="221"/>
      <c r="O714" s="221"/>
      <c r="P714" s="221"/>
      <c r="Q714" s="221"/>
      <c r="R714" s="221"/>
      <c r="S714" s="221"/>
      <c r="T714" s="221"/>
      <c r="U714" s="221"/>
      <c r="V714" s="221"/>
      <c r="W714" s="221"/>
      <c r="X714" s="221"/>
      <c r="Y714" s="221"/>
      <c r="Z714" s="221"/>
    </row>
    <row r="715" spans="1:26" ht="18.75" customHeight="1">
      <c r="A715" s="221"/>
      <c r="B715" s="221"/>
      <c r="C715" s="255"/>
      <c r="D715" s="255"/>
      <c r="E715" s="221"/>
      <c r="F715" s="221"/>
      <c r="G715" s="221"/>
      <c r="H715" s="221"/>
      <c r="I715" s="221"/>
      <c r="J715" s="221"/>
      <c r="K715" s="221"/>
      <c r="L715" s="255"/>
      <c r="M715" s="255"/>
      <c r="N715" s="221"/>
      <c r="O715" s="221"/>
      <c r="P715" s="221"/>
      <c r="Q715" s="221"/>
      <c r="R715" s="221"/>
      <c r="S715" s="221"/>
      <c r="T715" s="221"/>
      <c r="U715" s="221"/>
      <c r="V715" s="221"/>
      <c r="W715" s="221"/>
      <c r="X715" s="221"/>
      <c r="Y715" s="221"/>
      <c r="Z715" s="221"/>
    </row>
    <row r="716" spans="1:26" ht="18.75" customHeight="1">
      <c r="A716" s="221"/>
      <c r="B716" s="221"/>
      <c r="C716" s="255"/>
      <c r="D716" s="255"/>
      <c r="E716" s="221"/>
      <c r="F716" s="221"/>
      <c r="G716" s="221"/>
      <c r="H716" s="221"/>
      <c r="I716" s="221"/>
      <c r="J716" s="221"/>
      <c r="K716" s="221"/>
      <c r="L716" s="255"/>
      <c r="M716" s="255"/>
      <c r="N716" s="221"/>
      <c r="O716" s="221"/>
      <c r="P716" s="221"/>
      <c r="Q716" s="221"/>
      <c r="R716" s="221"/>
      <c r="S716" s="221"/>
      <c r="T716" s="221"/>
      <c r="U716" s="221"/>
      <c r="V716" s="221"/>
      <c r="W716" s="221"/>
      <c r="X716" s="221"/>
      <c r="Y716" s="221"/>
      <c r="Z716" s="221"/>
    </row>
    <row r="717" spans="1:26" ht="18.75" customHeight="1">
      <c r="A717" s="221"/>
      <c r="B717" s="221"/>
      <c r="C717" s="255"/>
      <c r="D717" s="255"/>
      <c r="E717" s="221"/>
      <c r="F717" s="221"/>
      <c r="G717" s="221"/>
      <c r="H717" s="221"/>
      <c r="I717" s="221"/>
      <c r="J717" s="221"/>
      <c r="K717" s="221"/>
      <c r="L717" s="255"/>
      <c r="M717" s="255"/>
      <c r="N717" s="221"/>
      <c r="O717" s="221"/>
      <c r="P717" s="221"/>
      <c r="Q717" s="221"/>
      <c r="R717" s="221"/>
      <c r="S717" s="221"/>
      <c r="T717" s="221"/>
      <c r="U717" s="221"/>
      <c r="V717" s="221"/>
      <c r="W717" s="221"/>
      <c r="X717" s="221"/>
      <c r="Y717" s="221"/>
      <c r="Z717" s="221"/>
    </row>
    <row r="718" spans="1:26" ht="18.75" customHeight="1">
      <c r="A718" s="221"/>
      <c r="B718" s="221"/>
      <c r="C718" s="255"/>
      <c r="D718" s="255"/>
      <c r="E718" s="221"/>
      <c r="F718" s="221"/>
      <c r="G718" s="221"/>
      <c r="H718" s="221"/>
      <c r="I718" s="221"/>
      <c r="J718" s="221"/>
      <c r="K718" s="221"/>
      <c r="L718" s="255"/>
      <c r="M718" s="255"/>
      <c r="N718" s="221"/>
      <c r="O718" s="221"/>
      <c r="P718" s="221"/>
      <c r="Q718" s="221"/>
      <c r="R718" s="221"/>
      <c r="S718" s="221"/>
      <c r="T718" s="221"/>
      <c r="U718" s="221"/>
      <c r="V718" s="221"/>
      <c r="W718" s="221"/>
      <c r="X718" s="221"/>
      <c r="Y718" s="221"/>
      <c r="Z718" s="221"/>
    </row>
    <row r="719" spans="1:26" ht="18.75" customHeight="1">
      <c r="A719" s="221"/>
      <c r="B719" s="221"/>
      <c r="C719" s="255"/>
      <c r="D719" s="255"/>
      <c r="E719" s="221"/>
      <c r="F719" s="221"/>
      <c r="G719" s="221"/>
      <c r="H719" s="221"/>
      <c r="I719" s="221"/>
      <c r="J719" s="221"/>
      <c r="K719" s="221"/>
      <c r="L719" s="255"/>
      <c r="M719" s="255"/>
      <c r="N719" s="221"/>
      <c r="O719" s="221"/>
      <c r="P719" s="221"/>
      <c r="Q719" s="221"/>
      <c r="R719" s="221"/>
      <c r="S719" s="221"/>
      <c r="T719" s="221"/>
      <c r="U719" s="221"/>
      <c r="V719" s="221"/>
      <c r="W719" s="221"/>
      <c r="X719" s="221"/>
      <c r="Y719" s="221"/>
      <c r="Z719" s="221"/>
    </row>
    <row r="720" spans="1:26" ht="18.75" customHeight="1">
      <c r="A720" s="221"/>
      <c r="B720" s="221"/>
      <c r="C720" s="255"/>
      <c r="D720" s="255"/>
      <c r="E720" s="221"/>
      <c r="F720" s="221"/>
      <c r="G720" s="221"/>
      <c r="H720" s="221"/>
      <c r="I720" s="221"/>
      <c r="J720" s="221"/>
      <c r="K720" s="221"/>
      <c r="L720" s="255"/>
      <c r="M720" s="255"/>
      <c r="N720" s="221"/>
      <c r="O720" s="221"/>
      <c r="P720" s="221"/>
      <c r="Q720" s="221"/>
      <c r="R720" s="221"/>
      <c r="S720" s="221"/>
      <c r="T720" s="221"/>
      <c r="U720" s="221"/>
      <c r="V720" s="221"/>
      <c r="W720" s="221"/>
      <c r="X720" s="221"/>
      <c r="Y720" s="221"/>
      <c r="Z720" s="221"/>
    </row>
    <row r="721" spans="1:26" ht="18.75" customHeight="1">
      <c r="A721" s="221"/>
      <c r="B721" s="221"/>
      <c r="C721" s="255"/>
      <c r="D721" s="255"/>
      <c r="E721" s="221"/>
      <c r="F721" s="221"/>
      <c r="G721" s="221"/>
      <c r="H721" s="221"/>
      <c r="I721" s="221"/>
      <c r="J721" s="221"/>
      <c r="K721" s="221"/>
      <c r="L721" s="255"/>
      <c r="M721" s="255"/>
      <c r="N721" s="221"/>
      <c r="O721" s="221"/>
      <c r="P721" s="221"/>
      <c r="Q721" s="221"/>
      <c r="R721" s="221"/>
      <c r="S721" s="221"/>
      <c r="T721" s="221"/>
      <c r="U721" s="221"/>
      <c r="V721" s="221"/>
      <c r="W721" s="221"/>
      <c r="X721" s="221"/>
      <c r="Y721" s="221"/>
      <c r="Z721" s="221"/>
    </row>
    <row r="722" spans="1:26" ht="18.75" customHeight="1">
      <c r="A722" s="221"/>
      <c r="B722" s="221"/>
      <c r="C722" s="255"/>
      <c r="D722" s="255"/>
      <c r="E722" s="221"/>
      <c r="F722" s="221"/>
      <c r="G722" s="221"/>
      <c r="H722" s="221"/>
      <c r="I722" s="221"/>
      <c r="J722" s="221"/>
      <c r="K722" s="221"/>
      <c r="L722" s="255"/>
      <c r="M722" s="255"/>
      <c r="N722" s="221"/>
      <c r="O722" s="221"/>
      <c r="P722" s="221"/>
      <c r="Q722" s="221"/>
      <c r="R722" s="221"/>
      <c r="S722" s="221"/>
      <c r="T722" s="221"/>
      <c r="U722" s="221"/>
      <c r="V722" s="221"/>
      <c r="W722" s="221"/>
      <c r="X722" s="221"/>
      <c r="Y722" s="221"/>
      <c r="Z722" s="221"/>
    </row>
    <row r="723" spans="1:26" ht="18.75" customHeight="1">
      <c r="A723" s="221"/>
      <c r="B723" s="221"/>
      <c r="C723" s="255"/>
      <c r="D723" s="255"/>
      <c r="E723" s="221"/>
      <c r="F723" s="221"/>
      <c r="G723" s="221"/>
      <c r="H723" s="221"/>
      <c r="I723" s="221"/>
      <c r="J723" s="221"/>
      <c r="K723" s="221"/>
      <c r="L723" s="255"/>
      <c r="M723" s="255"/>
      <c r="N723" s="221"/>
      <c r="O723" s="221"/>
      <c r="P723" s="221"/>
      <c r="Q723" s="221"/>
      <c r="R723" s="221"/>
      <c r="S723" s="221"/>
      <c r="T723" s="221"/>
      <c r="U723" s="221"/>
      <c r="V723" s="221"/>
      <c r="W723" s="221"/>
      <c r="X723" s="221"/>
      <c r="Y723" s="221"/>
      <c r="Z723" s="221"/>
    </row>
    <row r="724" spans="1:26" ht="18.75" customHeight="1">
      <c r="A724" s="221"/>
      <c r="B724" s="221"/>
      <c r="C724" s="255"/>
      <c r="D724" s="255"/>
      <c r="E724" s="221"/>
      <c r="F724" s="221"/>
      <c r="G724" s="221"/>
      <c r="H724" s="221"/>
      <c r="I724" s="221"/>
      <c r="J724" s="221"/>
      <c r="K724" s="221"/>
      <c r="L724" s="255"/>
      <c r="M724" s="255"/>
      <c r="N724" s="221"/>
      <c r="O724" s="221"/>
      <c r="P724" s="221"/>
      <c r="Q724" s="221"/>
      <c r="R724" s="221"/>
      <c r="S724" s="221"/>
      <c r="T724" s="221"/>
      <c r="U724" s="221"/>
      <c r="V724" s="221"/>
      <c r="W724" s="221"/>
      <c r="X724" s="221"/>
      <c r="Y724" s="221"/>
      <c r="Z724" s="221"/>
    </row>
    <row r="725" spans="1:26" ht="18.75" customHeight="1">
      <c r="A725" s="221"/>
      <c r="B725" s="221"/>
      <c r="C725" s="255"/>
      <c r="D725" s="255"/>
      <c r="E725" s="221"/>
      <c r="F725" s="221"/>
      <c r="G725" s="221"/>
      <c r="H725" s="221"/>
      <c r="I725" s="221"/>
      <c r="J725" s="221"/>
      <c r="K725" s="221"/>
      <c r="L725" s="255"/>
      <c r="M725" s="255"/>
      <c r="N725" s="221"/>
      <c r="O725" s="221"/>
      <c r="P725" s="221"/>
      <c r="Q725" s="221"/>
      <c r="R725" s="221"/>
      <c r="S725" s="221"/>
      <c r="T725" s="221"/>
      <c r="U725" s="221"/>
      <c r="V725" s="221"/>
      <c r="W725" s="221"/>
      <c r="X725" s="221"/>
      <c r="Y725" s="221"/>
      <c r="Z725" s="221"/>
    </row>
    <row r="726" spans="1:26" ht="18.75" customHeight="1">
      <c r="A726" s="221"/>
      <c r="B726" s="221"/>
      <c r="C726" s="255"/>
      <c r="D726" s="255"/>
      <c r="E726" s="221"/>
      <c r="F726" s="221"/>
      <c r="G726" s="221"/>
      <c r="H726" s="221"/>
      <c r="I726" s="221"/>
      <c r="J726" s="221"/>
      <c r="K726" s="221"/>
      <c r="L726" s="255"/>
      <c r="M726" s="255"/>
      <c r="N726" s="221"/>
      <c r="O726" s="221"/>
      <c r="P726" s="221"/>
      <c r="Q726" s="221"/>
      <c r="R726" s="221"/>
      <c r="S726" s="221"/>
      <c r="T726" s="221"/>
      <c r="U726" s="221"/>
      <c r="V726" s="221"/>
      <c r="W726" s="221"/>
      <c r="X726" s="221"/>
      <c r="Y726" s="221"/>
      <c r="Z726" s="221"/>
    </row>
    <row r="727" spans="1:26" ht="18.75" customHeight="1">
      <c r="A727" s="221"/>
      <c r="B727" s="221"/>
      <c r="C727" s="255"/>
      <c r="D727" s="255"/>
      <c r="E727" s="221"/>
      <c r="F727" s="221"/>
      <c r="G727" s="221"/>
      <c r="H727" s="221"/>
      <c r="I727" s="221"/>
      <c r="J727" s="221"/>
      <c r="K727" s="221"/>
      <c r="L727" s="255"/>
      <c r="M727" s="255"/>
      <c r="N727" s="221"/>
      <c r="O727" s="221"/>
      <c r="P727" s="221"/>
      <c r="Q727" s="221"/>
      <c r="R727" s="221"/>
      <c r="S727" s="221"/>
      <c r="T727" s="221"/>
      <c r="U727" s="221"/>
      <c r="V727" s="221"/>
      <c r="W727" s="221"/>
      <c r="X727" s="221"/>
      <c r="Y727" s="221"/>
      <c r="Z727" s="221"/>
    </row>
    <row r="728" spans="1:26" ht="18.75" customHeight="1">
      <c r="A728" s="221"/>
      <c r="B728" s="221"/>
      <c r="C728" s="255"/>
      <c r="D728" s="255"/>
      <c r="E728" s="221"/>
      <c r="F728" s="221"/>
      <c r="G728" s="221"/>
      <c r="H728" s="221"/>
      <c r="I728" s="221"/>
      <c r="J728" s="221"/>
      <c r="K728" s="221"/>
      <c r="L728" s="255"/>
      <c r="M728" s="255"/>
      <c r="N728" s="221"/>
      <c r="O728" s="221"/>
      <c r="P728" s="221"/>
      <c r="Q728" s="221"/>
      <c r="R728" s="221"/>
      <c r="S728" s="221"/>
      <c r="T728" s="221"/>
      <c r="U728" s="221"/>
      <c r="V728" s="221"/>
      <c r="W728" s="221"/>
      <c r="X728" s="221"/>
      <c r="Y728" s="221"/>
      <c r="Z728" s="221"/>
    </row>
    <row r="729" spans="1:26" ht="18.75" customHeight="1">
      <c r="A729" s="221"/>
      <c r="B729" s="221"/>
      <c r="C729" s="255"/>
      <c r="D729" s="255"/>
      <c r="E729" s="221"/>
      <c r="F729" s="221"/>
      <c r="G729" s="221"/>
      <c r="H729" s="221"/>
      <c r="I729" s="221"/>
      <c r="J729" s="221"/>
      <c r="K729" s="221"/>
      <c r="L729" s="255"/>
      <c r="M729" s="255"/>
      <c r="N729" s="221"/>
      <c r="O729" s="221"/>
      <c r="P729" s="221"/>
      <c r="Q729" s="221"/>
      <c r="R729" s="221"/>
      <c r="S729" s="221"/>
      <c r="T729" s="221"/>
      <c r="U729" s="221"/>
      <c r="V729" s="221"/>
      <c r="W729" s="221"/>
      <c r="X729" s="221"/>
      <c r="Y729" s="221"/>
      <c r="Z729" s="221"/>
    </row>
    <row r="730" spans="1:26" ht="18.75" customHeight="1">
      <c r="A730" s="221"/>
      <c r="B730" s="221"/>
      <c r="C730" s="255"/>
      <c r="D730" s="255"/>
      <c r="E730" s="221"/>
      <c r="F730" s="221"/>
      <c r="G730" s="221"/>
      <c r="H730" s="221"/>
      <c r="I730" s="221"/>
      <c r="J730" s="221"/>
      <c r="K730" s="221"/>
      <c r="L730" s="255"/>
      <c r="M730" s="255"/>
      <c r="N730" s="221"/>
      <c r="O730" s="221"/>
      <c r="P730" s="221"/>
      <c r="Q730" s="221"/>
      <c r="R730" s="221"/>
      <c r="S730" s="221"/>
      <c r="T730" s="221"/>
      <c r="U730" s="221"/>
      <c r="V730" s="221"/>
      <c r="W730" s="221"/>
      <c r="X730" s="221"/>
      <c r="Y730" s="221"/>
      <c r="Z730" s="221"/>
    </row>
    <row r="731" spans="1:26" ht="18.75" customHeight="1">
      <c r="A731" s="221"/>
      <c r="B731" s="221"/>
      <c r="C731" s="255"/>
      <c r="D731" s="255"/>
      <c r="E731" s="221"/>
      <c r="F731" s="221"/>
      <c r="G731" s="221"/>
      <c r="H731" s="221"/>
      <c r="I731" s="221"/>
      <c r="J731" s="221"/>
      <c r="K731" s="221"/>
      <c r="L731" s="255"/>
      <c r="M731" s="255"/>
      <c r="N731" s="221"/>
      <c r="O731" s="221"/>
      <c r="P731" s="221"/>
      <c r="Q731" s="221"/>
      <c r="R731" s="221"/>
      <c r="S731" s="221"/>
      <c r="T731" s="221"/>
      <c r="U731" s="221"/>
      <c r="V731" s="221"/>
      <c r="W731" s="221"/>
      <c r="X731" s="221"/>
      <c r="Y731" s="221"/>
      <c r="Z731" s="221"/>
    </row>
    <row r="732" spans="1:26" ht="18.75" customHeight="1">
      <c r="A732" s="221"/>
      <c r="B732" s="221"/>
      <c r="C732" s="255"/>
      <c r="D732" s="255"/>
      <c r="E732" s="221"/>
      <c r="F732" s="221"/>
      <c r="G732" s="221"/>
      <c r="H732" s="221"/>
      <c r="I732" s="221"/>
      <c r="J732" s="221"/>
      <c r="K732" s="221"/>
      <c r="L732" s="255"/>
      <c r="M732" s="255"/>
      <c r="N732" s="221"/>
      <c r="O732" s="221"/>
      <c r="P732" s="221"/>
      <c r="Q732" s="221"/>
      <c r="R732" s="221"/>
      <c r="S732" s="221"/>
      <c r="T732" s="221"/>
      <c r="U732" s="221"/>
      <c r="V732" s="221"/>
      <c r="W732" s="221"/>
      <c r="X732" s="221"/>
      <c r="Y732" s="221"/>
      <c r="Z732" s="221"/>
    </row>
    <row r="733" spans="1:26" ht="18.75" customHeight="1">
      <c r="A733" s="221"/>
      <c r="B733" s="221"/>
      <c r="C733" s="255"/>
      <c r="D733" s="255"/>
      <c r="E733" s="221"/>
      <c r="F733" s="221"/>
      <c r="G733" s="221"/>
      <c r="H733" s="221"/>
      <c r="I733" s="221"/>
      <c r="J733" s="221"/>
      <c r="K733" s="221"/>
      <c r="L733" s="255"/>
      <c r="M733" s="255"/>
      <c r="N733" s="221"/>
      <c r="O733" s="221"/>
      <c r="P733" s="221"/>
      <c r="Q733" s="221"/>
      <c r="R733" s="221"/>
      <c r="S733" s="221"/>
      <c r="T733" s="221"/>
      <c r="U733" s="221"/>
      <c r="V733" s="221"/>
      <c r="W733" s="221"/>
      <c r="X733" s="221"/>
      <c r="Y733" s="221"/>
      <c r="Z733" s="221"/>
    </row>
    <row r="734" spans="1:26" ht="18.75" customHeight="1">
      <c r="A734" s="221"/>
      <c r="B734" s="221"/>
      <c r="C734" s="255"/>
      <c r="D734" s="255"/>
      <c r="E734" s="221"/>
      <c r="F734" s="221"/>
      <c r="G734" s="221"/>
      <c r="H734" s="221"/>
      <c r="I734" s="221"/>
      <c r="J734" s="221"/>
      <c r="K734" s="221"/>
      <c r="L734" s="255"/>
      <c r="M734" s="255"/>
      <c r="N734" s="221"/>
      <c r="O734" s="221"/>
      <c r="P734" s="221"/>
      <c r="Q734" s="221"/>
      <c r="R734" s="221"/>
      <c r="S734" s="221"/>
      <c r="T734" s="221"/>
      <c r="U734" s="221"/>
      <c r="V734" s="221"/>
      <c r="W734" s="221"/>
      <c r="X734" s="221"/>
      <c r="Y734" s="221"/>
      <c r="Z734" s="221"/>
    </row>
    <row r="735" spans="1:26" ht="18.75" customHeight="1">
      <c r="A735" s="221"/>
      <c r="B735" s="221"/>
      <c r="C735" s="255"/>
      <c r="D735" s="255"/>
      <c r="E735" s="221"/>
      <c r="F735" s="221"/>
      <c r="G735" s="221"/>
      <c r="H735" s="221"/>
      <c r="I735" s="221"/>
      <c r="J735" s="221"/>
      <c r="K735" s="221"/>
      <c r="L735" s="255"/>
      <c r="M735" s="255"/>
      <c r="N735" s="221"/>
      <c r="O735" s="221"/>
      <c r="P735" s="221"/>
      <c r="Q735" s="221"/>
      <c r="R735" s="221"/>
      <c r="S735" s="221"/>
      <c r="T735" s="221"/>
      <c r="U735" s="221"/>
      <c r="V735" s="221"/>
      <c r="W735" s="221"/>
      <c r="X735" s="221"/>
      <c r="Y735" s="221"/>
      <c r="Z735" s="221"/>
    </row>
    <row r="736" spans="1:26" ht="18.75" customHeight="1">
      <c r="A736" s="221"/>
      <c r="B736" s="221"/>
      <c r="C736" s="255"/>
      <c r="D736" s="255"/>
      <c r="E736" s="221"/>
      <c r="F736" s="221"/>
      <c r="G736" s="221"/>
      <c r="H736" s="221"/>
      <c r="I736" s="221"/>
      <c r="J736" s="221"/>
      <c r="K736" s="221"/>
      <c r="L736" s="255"/>
      <c r="M736" s="255"/>
      <c r="N736" s="221"/>
      <c r="O736" s="221"/>
      <c r="P736" s="221"/>
      <c r="Q736" s="221"/>
      <c r="R736" s="221"/>
      <c r="S736" s="221"/>
      <c r="T736" s="221"/>
      <c r="U736" s="221"/>
      <c r="V736" s="221"/>
      <c r="W736" s="221"/>
      <c r="X736" s="221"/>
      <c r="Y736" s="221"/>
      <c r="Z736" s="221"/>
    </row>
    <row r="737" spans="1:26" ht="18.75" customHeight="1">
      <c r="A737" s="221"/>
      <c r="B737" s="221"/>
      <c r="C737" s="255"/>
      <c r="D737" s="255"/>
      <c r="E737" s="221"/>
      <c r="F737" s="221"/>
      <c r="G737" s="221"/>
      <c r="H737" s="221"/>
      <c r="I737" s="221"/>
      <c r="J737" s="221"/>
      <c r="K737" s="221"/>
      <c r="L737" s="255"/>
      <c r="M737" s="255"/>
      <c r="N737" s="221"/>
      <c r="O737" s="221"/>
      <c r="P737" s="221"/>
      <c r="Q737" s="221"/>
      <c r="R737" s="221"/>
      <c r="S737" s="221"/>
      <c r="T737" s="221"/>
      <c r="U737" s="221"/>
      <c r="V737" s="221"/>
      <c r="W737" s="221"/>
      <c r="X737" s="221"/>
      <c r="Y737" s="221"/>
      <c r="Z737" s="221"/>
    </row>
    <row r="738" spans="1:26" ht="18.75" customHeight="1">
      <c r="A738" s="221"/>
      <c r="B738" s="221"/>
      <c r="C738" s="255"/>
      <c r="D738" s="255"/>
      <c r="E738" s="221"/>
      <c r="F738" s="221"/>
      <c r="G738" s="221"/>
      <c r="H738" s="221"/>
      <c r="I738" s="221"/>
      <c r="J738" s="221"/>
      <c r="K738" s="221"/>
      <c r="L738" s="255"/>
      <c r="M738" s="255"/>
      <c r="N738" s="221"/>
      <c r="O738" s="221"/>
      <c r="P738" s="221"/>
      <c r="Q738" s="221"/>
      <c r="R738" s="221"/>
      <c r="S738" s="221"/>
      <c r="T738" s="221"/>
      <c r="U738" s="221"/>
      <c r="V738" s="221"/>
      <c r="W738" s="221"/>
      <c r="X738" s="221"/>
      <c r="Y738" s="221"/>
      <c r="Z738" s="221"/>
    </row>
    <row r="739" spans="1:26" ht="18.75" customHeight="1">
      <c r="A739" s="221"/>
      <c r="B739" s="221"/>
      <c r="C739" s="255"/>
      <c r="D739" s="255"/>
      <c r="E739" s="221"/>
      <c r="F739" s="221"/>
      <c r="G739" s="221"/>
      <c r="H739" s="221"/>
      <c r="I739" s="221"/>
      <c r="J739" s="221"/>
      <c r="K739" s="221"/>
      <c r="L739" s="255"/>
      <c r="M739" s="255"/>
      <c r="N739" s="221"/>
      <c r="O739" s="221"/>
      <c r="P739" s="221"/>
      <c r="Q739" s="221"/>
      <c r="R739" s="221"/>
      <c r="S739" s="221"/>
      <c r="T739" s="221"/>
      <c r="U739" s="221"/>
      <c r="V739" s="221"/>
      <c r="W739" s="221"/>
      <c r="X739" s="221"/>
      <c r="Y739" s="221"/>
      <c r="Z739" s="221"/>
    </row>
    <row r="740" spans="1:26" ht="18.75" customHeight="1">
      <c r="A740" s="221"/>
      <c r="B740" s="221"/>
      <c r="C740" s="255"/>
      <c r="D740" s="255"/>
      <c r="E740" s="221"/>
      <c r="F740" s="221"/>
      <c r="G740" s="221"/>
      <c r="H740" s="221"/>
      <c r="I740" s="221"/>
      <c r="J740" s="221"/>
      <c r="K740" s="221"/>
      <c r="L740" s="255"/>
      <c r="M740" s="255"/>
      <c r="N740" s="221"/>
      <c r="O740" s="221"/>
      <c r="P740" s="221"/>
      <c r="Q740" s="221"/>
      <c r="R740" s="221"/>
      <c r="S740" s="221"/>
      <c r="T740" s="221"/>
      <c r="U740" s="221"/>
      <c r="V740" s="221"/>
      <c r="W740" s="221"/>
      <c r="X740" s="221"/>
      <c r="Y740" s="221"/>
      <c r="Z740" s="221"/>
    </row>
    <row r="741" spans="1:26" ht="18.75" customHeight="1">
      <c r="A741" s="221"/>
      <c r="B741" s="221"/>
      <c r="C741" s="255"/>
      <c r="D741" s="255"/>
      <c r="E741" s="221"/>
      <c r="F741" s="221"/>
      <c r="G741" s="221"/>
      <c r="H741" s="221"/>
      <c r="I741" s="221"/>
      <c r="J741" s="221"/>
      <c r="K741" s="221"/>
      <c r="L741" s="255"/>
      <c r="M741" s="255"/>
      <c r="N741" s="221"/>
      <c r="O741" s="221"/>
      <c r="P741" s="221"/>
      <c r="Q741" s="221"/>
      <c r="R741" s="221"/>
      <c r="S741" s="221"/>
      <c r="T741" s="221"/>
      <c r="U741" s="221"/>
      <c r="V741" s="221"/>
      <c r="W741" s="221"/>
      <c r="X741" s="221"/>
      <c r="Y741" s="221"/>
      <c r="Z741" s="221"/>
    </row>
    <row r="742" spans="1:26" ht="18.75" customHeight="1">
      <c r="A742" s="221"/>
      <c r="B742" s="221"/>
      <c r="C742" s="255"/>
      <c r="D742" s="255"/>
      <c r="E742" s="221"/>
      <c r="F742" s="221"/>
      <c r="G742" s="221"/>
      <c r="H742" s="221"/>
      <c r="I742" s="221"/>
      <c r="J742" s="221"/>
      <c r="K742" s="221"/>
      <c r="L742" s="255"/>
      <c r="M742" s="255"/>
      <c r="N742" s="221"/>
      <c r="O742" s="221"/>
      <c r="P742" s="221"/>
      <c r="Q742" s="221"/>
      <c r="R742" s="221"/>
      <c r="S742" s="221"/>
      <c r="T742" s="221"/>
      <c r="U742" s="221"/>
      <c r="V742" s="221"/>
      <c r="W742" s="221"/>
      <c r="X742" s="221"/>
      <c r="Y742" s="221"/>
      <c r="Z742" s="221"/>
    </row>
    <row r="743" spans="1:26" ht="18.75" customHeight="1">
      <c r="A743" s="221"/>
      <c r="B743" s="221"/>
      <c r="C743" s="255"/>
      <c r="D743" s="255"/>
      <c r="E743" s="221"/>
      <c r="F743" s="221"/>
      <c r="G743" s="221"/>
      <c r="H743" s="221"/>
      <c r="I743" s="221"/>
      <c r="J743" s="221"/>
      <c r="K743" s="221"/>
      <c r="L743" s="255"/>
      <c r="M743" s="255"/>
      <c r="N743" s="221"/>
      <c r="O743" s="221"/>
      <c r="P743" s="221"/>
      <c r="Q743" s="221"/>
      <c r="R743" s="221"/>
      <c r="S743" s="221"/>
      <c r="T743" s="221"/>
      <c r="U743" s="221"/>
      <c r="V743" s="221"/>
      <c r="W743" s="221"/>
      <c r="X743" s="221"/>
      <c r="Y743" s="221"/>
      <c r="Z743" s="221"/>
    </row>
    <row r="744" spans="1:26" ht="18.75" customHeight="1">
      <c r="A744" s="221"/>
      <c r="B744" s="221"/>
      <c r="C744" s="255"/>
      <c r="D744" s="255"/>
      <c r="E744" s="221"/>
      <c r="F744" s="221"/>
      <c r="G744" s="221"/>
      <c r="H744" s="221"/>
      <c r="I744" s="221"/>
      <c r="J744" s="221"/>
      <c r="K744" s="221"/>
      <c r="L744" s="255"/>
      <c r="M744" s="255"/>
      <c r="N744" s="221"/>
      <c r="O744" s="221"/>
      <c r="P744" s="221"/>
      <c r="Q744" s="221"/>
      <c r="R744" s="221"/>
      <c r="S744" s="221"/>
      <c r="T744" s="221"/>
      <c r="U744" s="221"/>
      <c r="V744" s="221"/>
      <c r="W744" s="221"/>
      <c r="X744" s="221"/>
      <c r="Y744" s="221"/>
      <c r="Z744" s="221"/>
    </row>
    <row r="745" spans="1:26" ht="18.75" customHeight="1">
      <c r="A745" s="221"/>
      <c r="B745" s="221"/>
      <c r="C745" s="255"/>
      <c r="D745" s="255"/>
      <c r="E745" s="221"/>
      <c r="F745" s="221"/>
      <c r="G745" s="221"/>
      <c r="H745" s="221"/>
      <c r="I745" s="221"/>
      <c r="J745" s="221"/>
      <c r="K745" s="221"/>
      <c r="L745" s="255"/>
      <c r="M745" s="255"/>
      <c r="N745" s="221"/>
      <c r="O745" s="221"/>
      <c r="P745" s="221"/>
      <c r="Q745" s="221"/>
      <c r="R745" s="221"/>
      <c r="S745" s="221"/>
      <c r="T745" s="221"/>
      <c r="U745" s="221"/>
      <c r="V745" s="221"/>
      <c r="W745" s="221"/>
      <c r="X745" s="221"/>
      <c r="Y745" s="221"/>
      <c r="Z745" s="221"/>
    </row>
    <row r="746" spans="1:26" ht="18.75" customHeight="1">
      <c r="A746" s="221"/>
      <c r="B746" s="221"/>
      <c r="C746" s="255"/>
      <c r="D746" s="255"/>
      <c r="E746" s="221"/>
      <c r="F746" s="221"/>
      <c r="G746" s="221"/>
      <c r="H746" s="221"/>
      <c r="I746" s="221"/>
      <c r="J746" s="221"/>
      <c r="K746" s="221"/>
      <c r="L746" s="255"/>
      <c r="M746" s="255"/>
      <c r="N746" s="221"/>
      <c r="O746" s="221"/>
      <c r="P746" s="221"/>
      <c r="Q746" s="221"/>
      <c r="R746" s="221"/>
      <c r="S746" s="221"/>
      <c r="T746" s="221"/>
      <c r="U746" s="221"/>
      <c r="V746" s="221"/>
      <c r="W746" s="221"/>
      <c r="X746" s="221"/>
      <c r="Y746" s="221"/>
      <c r="Z746" s="221"/>
    </row>
    <row r="747" spans="1:26" ht="18.75" customHeight="1">
      <c r="A747" s="221"/>
      <c r="B747" s="221"/>
      <c r="C747" s="255"/>
      <c r="D747" s="255"/>
      <c r="E747" s="221"/>
      <c r="F747" s="221"/>
      <c r="G747" s="221"/>
      <c r="H747" s="221"/>
      <c r="I747" s="221"/>
      <c r="J747" s="221"/>
      <c r="K747" s="221"/>
      <c r="L747" s="255"/>
      <c r="M747" s="255"/>
      <c r="N747" s="221"/>
      <c r="O747" s="221"/>
      <c r="P747" s="221"/>
      <c r="Q747" s="221"/>
      <c r="R747" s="221"/>
      <c r="S747" s="221"/>
      <c r="T747" s="221"/>
      <c r="U747" s="221"/>
      <c r="V747" s="221"/>
      <c r="W747" s="221"/>
      <c r="X747" s="221"/>
      <c r="Y747" s="221"/>
      <c r="Z747" s="221"/>
    </row>
    <row r="748" spans="1:26" ht="18.75" customHeight="1">
      <c r="A748" s="221"/>
      <c r="B748" s="221"/>
      <c r="C748" s="255"/>
      <c r="D748" s="255"/>
      <c r="E748" s="221"/>
      <c r="F748" s="221"/>
      <c r="G748" s="221"/>
      <c r="H748" s="221"/>
      <c r="I748" s="221"/>
      <c r="J748" s="221"/>
      <c r="K748" s="221"/>
      <c r="L748" s="255"/>
      <c r="M748" s="255"/>
      <c r="N748" s="221"/>
      <c r="O748" s="221"/>
      <c r="P748" s="221"/>
      <c r="Q748" s="221"/>
      <c r="R748" s="221"/>
      <c r="S748" s="221"/>
      <c r="T748" s="221"/>
      <c r="U748" s="221"/>
      <c r="V748" s="221"/>
      <c r="W748" s="221"/>
      <c r="X748" s="221"/>
      <c r="Y748" s="221"/>
      <c r="Z748" s="221"/>
    </row>
    <row r="749" spans="1:26" ht="18.75" customHeight="1">
      <c r="A749" s="221"/>
      <c r="B749" s="221"/>
      <c r="C749" s="255"/>
      <c r="D749" s="255"/>
      <c r="E749" s="221"/>
      <c r="F749" s="221"/>
      <c r="G749" s="221"/>
      <c r="H749" s="221"/>
      <c r="I749" s="221"/>
      <c r="J749" s="221"/>
      <c r="K749" s="221"/>
      <c r="L749" s="255"/>
      <c r="M749" s="255"/>
      <c r="N749" s="221"/>
      <c r="O749" s="221"/>
      <c r="P749" s="221"/>
      <c r="Q749" s="221"/>
      <c r="R749" s="221"/>
      <c r="S749" s="221"/>
      <c r="T749" s="221"/>
      <c r="U749" s="221"/>
      <c r="V749" s="221"/>
      <c r="W749" s="221"/>
      <c r="X749" s="221"/>
      <c r="Y749" s="221"/>
      <c r="Z749" s="221"/>
    </row>
    <row r="750" spans="1:26" ht="18.75" customHeight="1">
      <c r="A750" s="221"/>
      <c r="B750" s="221"/>
      <c r="C750" s="255"/>
      <c r="D750" s="255"/>
      <c r="E750" s="221"/>
      <c r="F750" s="221"/>
      <c r="G750" s="221"/>
      <c r="H750" s="221"/>
      <c r="I750" s="221"/>
      <c r="J750" s="221"/>
      <c r="K750" s="221"/>
      <c r="L750" s="255"/>
      <c r="M750" s="255"/>
      <c r="N750" s="221"/>
      <c r="O750" s="221"/>
      <c r="P750" s="221"/>
      <c r="Q750" s="221"/>
      <c r="R750" s="221"/>
      <c r="S750" s="221"/>
      <c r="T750" s="221"/>
      <c r="U750" s="221"/>
      <c r="V750" s="221"/>
      <c r="W750" s="221"/>
      <c r="X750" s="221"/>
      <c r="Y750" s="221"/>
      <c r="Z750" s="221"/>
    </row>
    <row r="751" spans="1:26" ht="18.75" customHeight="1">
      <c r="A751" s="221"/>
      <c r="B751" s="221"/>
      <c r="C751" s="255"/>
      <c r="D751" s="255"/>
      <c r="E751" s="221"/>
      <c r="F751" s="221"/>
      <c r="G751" s="221"/>
      <c r="H751" s="221"/>
      <c r="I751" s="221"/>
      <c r="J751" s="221"/>
      <c r="K751" s="221"/>
      <c r="L751" s="255"/>
      <c r="M751" s="255"/>
      <c r="N751" s="221"/>
      <c r="O751" s="221"/>
      <c r="P751" s="221"/>
      <c r="Q751" s="221"/>
      <c r="R751" s="221"/>
      <c r="S751" s="221"/>
      <c r="T751" s="221"/>
      <c r="U751" s="221"/>
      <c r="V751" s="221"/>
      <c r="W751" s="221"/>
      <c r="X751" s="221"/>
      <c r="Y751" s="221"/>
      <c r="Z751" s="221"/>
    </row>
    <row r="752" spans="1:26" ht="18.75" customHeight="1">
      <c r="A752" s="221"/>
      <c r="B752" s="221"/>
      <c r="C752" s="255"/>
      <c r="D752" s="255"/>
      <c r="E752" s="221"/>
      <c r="F752" s="221"/>
      <c r="G752" s="221"/>
      <c r="H752" s="221"/>
      <c r="I752" s="221"/>
      <c r="J752" s="221"/>
      <c r="K752" s="221"/>
      <c r="L752" s="255"/>
      <c r="M752" s="255"/>
      <c r="N752" s="221"/>
      <c r="O752" s="221"/>
      <c r="P752" s="221"/>
      <c r="Q752" s="221"/>
      <c r="R752" s="221"/>
      <c r="S752" s="221"/>
      <c r="T752" s="221"/>
      <c r="U752" s="221"/>
      <c r="V752" s="221"/>
      <c r="W752" s="221"/>
      <c r="X752" s="221"/>
      <c r="Y752" s="221"/>
      <c r="Z752" s="221"/>
    </row>
    <row r="753" spans="1:26" ht="18.75" customHeight="1">
      <c r="A753" s="221"/>
      <c r="B753" s="221"/>
      <c r="C753" s="255"/>
      <c r="D753" s="255"/>
      <c r="E753" s="221"/>
      <c r="F753" s="221"/>
      <c r="G753" s="221"/>
      <c r="H753" s="221"/>
      <c r="I753" s="221"/>
      <c r="J753" s="221"/>
      <c r="K753" s="221"/>
      <c r="L753" s="255"/>
      <c r="M753" s="255"/>
      <c r="N753" s="221"/>
      <c r="O753" s="221"/>
      <c r="P753" s="221"/>
      <c r="Q753" s="221"/>
      <c r="R753" s="221"/>
      <c r="S753" s="221"/>
      <c r="T753" s="221"/>
      <c r="U753" s="221"/>
      <c r="V753" s="221"/>
      <c r="W753" s="221"/>
      <c r="X753" s="221"/>
      <c r="Y753" s="221"/>
      <c r="Z753" s="221"/>
    </row>
    <row r="754" spans="1:26" ht="18.75" customHeight="1">
      <c r="A754" s="221"/>
      <c r="B754" s="221"/>
      <c r="C754" s="255"/>
      <c r="D754" s="255"/>
      <c r="E754" s="221"/>
      <c r="F754" s="221"/>
      <c r="G754" s="221"/>
      <c r="H754" s="221"/>
      <c r="I754" s="221"/>
      <c r="J754" s="221"/>
      <c r="K754" s="221"/>
      <c r="L754" s="255"/>
      <c r="M754" s="255"/>
      <c r="N754" s="221"/>
      <c r="O754" s="221"/>
      <c r="P754" s="221"/>
      <c r="Q754" s="221"/>
      <c r="R754" s="221"/>
      <c r="S754" s="221"/>
      <c r="T754" s="221"/>
      <c r="U754" s="221"/>
      <c r="V754" s="221"/>
      <c r="W754" s="221"/>
      <c r="X754" s="221"/>
      <c r="Y754" s="221"/>
      <c r="Z754" s="221"/>
    </row>
    <row r="755" spans="1:26" ht="18.75" customHeight="1">
      <c r="A755" s="221"/>
      <c r="B755" s="221"/>
      <c r="C755" s="255"/>
      <c r="D755" s="255"/>
      <c r="E755" s="221"/>
      <c r="F755" s="221"/>
      <c r="G755" s="221"/>
      <c r="H755" s="221"/>
      <c r="I755" s="221"/>
      <c r="J755" s="221"/>
      <c r="K755" s="221"/>
      <c r="L755" s="255"/>
      <c r="M755" s="255"/>
      <c r="N755" s="221"/>
      <c r="O755" s="221"/>
      <c r="P755" s="221"/>
      <c r="Q755" s="221"/>
      <c r="R755" s="221"/>
      <c r="S755" s="221"/>
      <c r="T755" s="221"/>
      <c r="U755" s="221"/>
      <c r="V755" s="221"/>
      <c r="W755" s="221"/>
      <c r="X755" s="221"/>
      <c r="Y755" s="221"/>
      <c r="Z755" s="221"/>
    </row>
    <row r="756" spans="1:26" ht="18.75" customHeight="1">
      <c r="A756" s="221"/>
      <c r="B756" s="221"/>
      <c r="C756" s="255"/>
      <c r="D756" s="255"/>
      <c r="E756" s="221"/>
      <c r="F756" s="221"/>
      <c r="G756" s="221"/>
      <c r="H756" s="221"/>
      <c r="I756" s="221"/>
      <c r="J756" s="221"/>
      <c r="K756" s="221"/>
      <c r="L756" s="255"/>
      <c r="M756" s="255"/>
      <c r="N756" s="221"/>
      <c r="O756" s="221"/>
      <c r="P756" s="221"/>
      <c r="Q756" s="221"/>
      <c r="R756" s="221"/>
      <c r="S756" s="221"/>
      <c r="T756" s="221"/>
      <c r="U756" s="221"/>
      <c r="V756" s="221"/>
      <c r="W756" s="221"/>
      <c r="X756" s="221"/>
      <c r="Y756" s="221"/>
      <c r="Z756" s="221"/>
    </row>
    <row r="757" spans="1:26" ht="18.75" customHeight="1">
      <c r="A757" s="221"/>
      <c r="B757" s="221"/>
      <c r="C757" s="255"/>
      <c r="D757" s="255"/>
      <c r="E757" s="221"/>
      <c r="F757" s="221"/>
      <c r="G757" s="221"/>
      <c r="H757" s="221"/>
      <c r="I757" s="221"/>
      <c r="J757" s="221"/>
      <c r="K757" s="221"/>
      <c r="L757" s="255"/>
      <c r="M757" s="255"/>
      <c r="N757" s="221"/>
      <c r="O757" s="221"/>
      <c r="P757" s="221"/>
      <c r="Q757" s="221"/>
      <c r="R757" s="221"/>
      <c r="S757" s="221"/>
      <c r="T757" s="221"/>
      <c r="U757" s="221"/>
      <c r="V757" s="221"/>
      <c r="W757" s="221"/>
      <c r="X757" s="221"/>
      <c r="Y757" s="221"/>
      <c r="Z757" s="221"/>
    </row>
    <row r="758" spans="1:26" ht="18.75" customHeight="1">
      <c r="A758" s="221"/>
      <c r="B758" s="221"/>
      <c r="C758" s="255"/>
      <c r="D758" s="255"/>
      <c r="E758" s="221"/>
      <c r="F758" s="221"/>
      <c r="G758" s="221"/>
      <c r="H758" s="221"/>
      <c r="I758" s="221"/>
      <c r="J758" s="221"/>
      <c r="K758" s="221"/>
      <c r="L758" s="255"/>
      <c r="M758" s="255"/>
      <c r="N758" s="221"/>
      <c r="O758" s="221"/>
      <c r="P758" s="221"/>
      <c r="Q758" s="221"/>
      <c r="R758" s="221"/>
      <c r="S758" s="221"/>
      <c r="T758" s="221"/>
      <c r="U758" s="221"/>
      <c r="V758" s="221"/>
      <c r="W758" s="221"/>
      <c r="X758" s="221"/>
      <c r="Y758" s="221"/>
      <c r="Z758" s="221"/>
    </row>
    <row r="759" spans="1:26" ht="18.75" customHeight="1">
      <c r="A759" s="221"/>
      <c r="B759" s="221"/>
      <c r="C759" s="255"/>
      <c r="D759" s="255"/>
      <c r="E759" s="221"/>
      <c r="F759" s="221"/>
      <c r="G759" s="221"/>
      <c r="H759" s="221"/>
      <c r="I759" s="221"/>
      <c r="J759" s="221"/>
      <c r="K759" s="221"/>
      <c r="L759" s="255"/>
      <c r="M759" s="255"/>
      <c r="N759" s="221"/>
      <c r="O759" s="221"/>
      <c r="P759" s="221"/>
      <c r="Q759" s="221"/>
      <c r="R759" s="221"/>
      <c r="S759" s="221"/>
      <c r="T759" s="221"/>
      <c r="U759" s="221"/>
      <c r="V759" s="221"/>
      <c r="W759" s="221"/>
      <c r="X759" s="221"/>
      <c r="Y759" s="221"/>
      <c r="Z759" s="221"/>
    </row>
    <row r="760" spans="1:26" ht="18.75" customHeight="1">
      <c r="A760" s="221"/>
      <c r="B760" s="221"/>
      <c r="C760" s="255"/>
      <c r="D760" s="255"/>
      <c r="E760" s="221"/>
      <c r="F760" s="221"/>
      <c r="G760" s="221"/>
      <c r="H760" s="221"/>
      <c r="I760" s="221"/>
      <c r="J760" s="221"/>
      <c r="K760" s="221"/>
      <c r="L760" s="255"/>
      <c r="M760" s="255"/>
      <c r="N760" s="221"/>
      <c r="O760" s="221"/>
      <c r="P760" s="221"/>
      <c r="Q760" s="221"/>
      <c r="R760" s="221"/>
      <c r="S760" s="221"/>
      <c r="T760" s="221"/>
      <c r="U760" s="221"/>
      <c r="V760" s="221"/>
      <c r="W760" s="221"/>
      <c r="X760" s="221"/>
      <c r="Y760" s="221"/>
      <c r="Z760" s="221"/>
    </row>
    <row r="761" spans="1:26" ht="18.75" customHeight="1">
      <c r="A761" s="221"/>
      <c r="B761" s="221"/>
      <c r="C761" s="255"/>
      <c r="D761" s="255"/>
      <c r="E761" s="221"/>
      <c r="F761" s="221"/>
      <c r="G761" s="221"/>
      <c r="H761" s="221"/>
      <c r="I761" s="221"/>
      <c r="J761" s="221"/>
      <c r="K761" s="221"/>
      <c r="L761" s="255"/>
      <c r="M761" s="255"/>
      <c r="N761" s="221"/>
      <c r="O761" s="221"/>
      <c r="P761" s="221"/>
      <c r="Q761" s="221"/>
      <c r="R761" s="221"/>
      <c r="S761" s="221"/>
      <c r="T761" s="221"/>
      <c r="U761" s="221"/>
      <c r="V761" s="221"/>
      <c r="W761" s="221"/>
      <c r="X761" s="221"/>
      <c r="Y761" s="221"/>
      <c r="Z761" s="221"/>
    </row>
    <row r="762" spans="1:26" ht="18.75" customHeight="1">
      <c r="A762" s="221"/>
      <c r="B762" s="221"/>
      <c r="C762" s="255"/>
      <c r="D762" s="255"/>
      <c r="E762" s="221"/>
      <c r="F762" s="221"/>
      <c r="G762" s="221"/>
      <c r="H762" s="221"/>
      <c r="I762" s="221"/>
      <c r="J762" s="221"/>
      <c r="K762" s="221"/>
      <c r="L762" s="255"/>
      <c r="M762" s="255"/>
      <c r="N762" s="221"/>
      <c r="O762" s="221"/>
      <c r="P762" s="221"/>
      <c r="Q762" s="221"/>
      <c r="R762" s="221"/>
      <c r="S762" s="221"/>
      <c r="T762" s="221"/>
      <c r="U762" s="221"/>
      <c r="V762" s="221"/>
      <c r="W762" s="221"/>
      <c r="X762" s="221"/>
      <c r="Y762" s="221"/>
      <c r="Z762" s="221"/>
    </row>
    <row r="763" spans="1:26" ht="18.75" customHeight="1">
      <c r="A763" s="221"/>
      <c r="B763" s="221"/>
      <c r="C763" s="255"/>
      <c r="D763" s="255"/>
      <c r="E763" s="221"/>
      <c r="F763" s="221"/>
      <c r="G763" s="221"/>
      <c r="H763" s="221"/>
      <c r="I763" s="221"/>
      <c r="J763" s="221"/>
      <c r="K763" s="221"/>
      <c r="L763" s="255"/>
      <c r="M763" s="255"/>
      <c r="N763" s="221"/>
      <c r="O763" s="221"/>
      <c r="P763" s="221"/>
      <c r="Q763" s="221"/>
      <c r="R763" s="221"/>
      <c r="S763" s="221"/>
      <c r="T763" s="221"/>
      <c r="U763" s="221"/>
      <c r="V763" s="221"/>
      <c r="W763" s="221"/>
      <c r="X763" s="221"/>
      <c r="Y763" s="221"/>
      <c r="Z763" s="221"/>
    </row>
    <row r="764" spans="1:26" ht="18.75" customHeight="1">
      <c r="A764" s="221"/>
      <c r="B764" s="221"/>
      <c r="C764" s="255"/>
      <c r="D764" s="255"/>
      <c r="E764" s="221"/>
      <c r="F764" s="221"/>
      <c r="G764" s="221"/>
      <c r="H764" s="221"/>
      <c r="I764" s="221"/>
      <c r="J764" s="221"/>
      <c r="K764" s="221"/>
      <c r="L764" s="255"/>
      <c r="M764" s="255"/>
      <c r="N764" s="221"/>
      <c r="O764" s="221"/>
      <c r="P764" s="221"/>
      <c r="Q764" s="221"/>
      <c r="R764" s="221"/>
      <c r="S764" s="221"/>
      <c r="T764" s="221"/>
      <c r="U764" s="221"/>
      <c r="V764" s="221"/>
      <c r="W764" s="221"/>
      <c r="X764" s="221"/>
      <c r="Y764" s="221"/>
      <c r="Z764" s="221"/>
    </row>
    <row r="765" spans="1:26" ht="18.75" customHeight="1">
      <c r="A765" s="221"/>
      <c r="B765" s="221"/>
      <c r="C765" s="255"/>
      <c r="D765" s="255"/>
      <c r="E765" s="221"/>
      <c r="F765" s="221"/>
      <c r="G765" s="221"/>
      <c r="H765" s="221"/>
      <c r="I765" s="221"/>
      <c r="J765" s="221"/>
      <c r="K765" s="221"/>
      <c r="L765" s="255"/>
      <c r="M765" s="255"/>
      <c r="N765" s="221"/>
      <c r="O765" s="221"/>
      <c r="P765" s="221"/>
      <c r="Q765" s="221"/>
      <c r="R765" s="221"/>
      <c r="S765" s="221"/>
      <c r="T765" s="221"/>
      <c r="U765" s="221"/>
      <c r="V765" s="221"/>
      <c r="W765" s="221"/>
      <c r="X765" s="221"/>
      <c r="Y765" s="221"/>
      <c r="Z765" s="221"/>
    </row>
    <row r="766" spans="1:26" ht="18.75" customHeight="1">
      <c r="A766" s="221"/>
      <c r="B766" s="221"/>
      <c r="C766" s="255"/>
      <c r="D766" s="255"/>
      <c r="E766" s="221"/>
      <c r="F766" s="221"/>
      <c r="G766" s="221"/>
      <c r="H766" s="221"/>
      <c r="I766" s="221"/>
      <c r="J766" s="221"/>
      <c r="K766" s="221"/>
      <c r="L766" s="255"/>
      <c r="M766" s="255"/>
      <c r="N766" s="221"/>
      <c r="O766" s="221"/>
      <c r="P766" s="221"/>
      <c r="Q766" s="221"/>
      <c r="R766" s="221"/>
      <c r="S766" s="221"/>
      <c r="T766" s="221"/>
      <c r="U766" s="221"/>
      <c r="V766" s="221"/>
      <c r="W766" s="221"/>
      <c r="X766" s="221"/>
      <c r="Y766" s="221"/>
      <c r="Z766" s="221"/>
    </row>
    <row r="767" spans="1:26" ht="18.75" customHeight="1">
      <c r="A767" s="221"/>
      <c r="B767" s="221"/>
      <c r="C767" s="255"/>
      <c r="D767" s="255"/>
      <c r="E767" s="221"/>
      <c r="F767" s="221"/>
      <c r="G767" s="221"/>
      <c r="H767" s="221"/>
      <c r="I767" s="221"/>
      <c r="J767" s="221"/>
      <c r="K767" s="221"/>
      <c r="L767" s="255"/>
      <c r="M767" s="255"/>
      <c r="N767" s="221"/>
      <c r="O767" s="221"/>
      <c r="P767" s="221"/>
      <c r="Q767" s="221"/>
      <c r="R767" s="221"/>
      <c r="S767" s="221"/>
      <c r="T767" s="221"/>
      <c r="U767" s="221"/>
      <c r="V767" s="221"/>
      <c r="W767" s="221"/>
      <c r="X767" s="221"/>
      <c r="Y767" s="221"/>
      <c r="Z767" s="221"/>
    </row>
    <row r="768" spans="1:26" ht="18.75" customHeight="1">
      <c r="A768" s="221"/>
      <c r="B768" s="221"/>
      <c r="C768" s="255"/>
      <c r="D768" s="255"/>
      <c r="E768" s="221"/>
      <c r="F768" s="221"/>
      <c r="G768" s="221"/>
      <c r="H768" s="221"/>
      <c r="I768" s="221"/>
      <c r="J768" s="221"/>
      <c r="K768" s="221"/>
      <c r="L768" s="255"/>
      <c r="M768" s="255"/>
      <c r="N768" s="221"/>
      <c r="O768" s="221"/>
      <c r="P768" s="221"/>
      <c r="Q768" s="221"/>
      <c r="R768" s="221"/>
      <c r="S768" s="221"/>
      <c r="T768" s="221"/>
      <c r="U768" s="221"/>
      <c r="V768" s="221"/>
      <c r="W768" s="221"/>
      <c r="X768" s="221"/>
      <c r="Y768" s="221"/>
      <c r="Z768" s="221"/>
    </row>
    <row r="769" spans="1:26" ht="18.75" customHeight="1">
      <c r="A769" s="221"/>
      <c r="B769" s="221"/>
      <c r="C769" s="255"/>
      <c r="D769" s="255"/>
      <c r="E769" s="221"/>
      <c r="F769" s="221"/>
      <c r="G769" s="221"/>
      <c r="H769" s="221"/>
      <c r="I769" s="221"/>
      <c r="J769" s="221"/>
      <c r="K769" s="221"/>
      <c r="L769" s="255"/>
      <c r="M769" s="255"/>
      <c r="N769" s="221"/>
      <c r="O769" s="221"/>
      <c r="P769" s="221"/>
      <c r="Q769" s="221"/>
      <c r="R769" s="221"/>
      <c r="S769" s="221"/>
      <c r="T769" s="221"/>
      <c r="U769" s="221"/>
      <c r="V769" s="221"/>
      <c r="W769" s="221"/>
      <c r="X769" s="221"/>
      <c r="Y769" s="221"/>
      <c r="Z769" s="221"/>
    </row>
    <row r="770" spans="1:26" ht="18.75" customHeight="1">
      <c r="A770" s="221"/>
      <c r="B770" s="221"/>
      <c r="C770" s="255"/>
      <c r="D770" s="255"/>
      <c r="E770" s="221"/>
      <c r="F770" s="221"/>
      <c r="G770" s="221"/>
      <c r="H770" s="221"/>
      <c r="I770" s="221"/>
      <c r="J770" s="221"/>
      <c r="K770" s="221"/>
      <c r="L770" s="255"/>
      <c r="M770" s="255"/>
      <c r="N770" s="221"/>
      <c r="O770" s="221"/>
      <c r="P770" s="221"/>
      <c r="Q770" s="221"/>
      <c r="R770" s="221"/>
      <c r="S770" s="221"/>
      <c r="T770" s="221"/>
      <c r="U770" s="221"/>
      <c r="V770" s="221"/>
      <c r="W770" s="221"/>
      <c r="X770" s="221"/>
      <c r="Y770" s="221"/>
      <c r="Z770" s="221"/>
    </row>
    <row r="771" spans="1:26" ht="18.75" customHeight="1">
      <c r="A771" s="221"/>
      <c r="B771" s="221"/>
      <c r="C771" s="255"/>
      <c r="D771" s="255"/>
      <c r="E771" s="221"/>
      <c r="F771" s="221"/>
      <c r="G771" s="221"/>
      <c r="H771" s="221"/>
      <c r="I771" s="221"/>
      <c r="J771" s="221"/>
      <c r="K771" s="221"/>
      <c r="L771" s="255"/>
      <c r="M771" s="255"/>
      <c r="N771" s="221"/>
      <c r="O771" s="221"/>
      <c r="P771" s="221"/>
      <c r="Q771" s="221"/>
      <c r="R771" s="221"/>
      <c r="S771" s="221"/>
      <c r="T771" s="221"/>
      <c r="U771" s="221"/>
      <c r="V771" s="221"/>
      <c r="W771" s="221"/>
      <c r="X771" s="221"/>
      <c r="Y771" s="221"/>
      <c r="Z771" s="221"/>
    </row>
    <row r="772" spans="1:26" ht="18.75" customHeight="1">
      <c r="A772" s="221"/>
      <c r="B772" s="221"/>
      <c r="C772" s="255"/>
      <c r="D772" s="255"/>
      <c r="E772" s="221"/>
      <c r="F772" s="221"/>
      <c r="G772" s="221"/>
      <c r="H772" s="221"/>
      <c r="I772" s="221"/>
      <c r="J772" s="221"/>
      <c r="K772" s="221"/>
      <c r="L772" s="255"/>
      <c r="M772" s="255"/>
      <c r="N772" s="221"/>
      <c r="O772" s="221"/>
      <c r="P772" s="221"/>
      <c r="Q772" s="221"/>
      <c r="R772" s="221"/>
      <c r="S772" s="221"/>
      <c r="T772" s="221"/>
      <c r="U772" s="221"/>
      <c r="V772" s="221"/>
      <c r="W772" s="221"/>
      <c r="X772" s="221"/>
      <c r="Y772" s="221"/>
      <c r="Z772" s="221"/>
    </row>
    <row r="773" spans="1:26" ht="18.75" customHeight="1">
      <c r="A773" s="221"/>
      <c r="B773" s="221"/>
      <c r="C773" s="255"/>
      <c r="D773" s="255"/>
      <c r="E773" s="221"/>
      <c r="F773" s="221"/>
      <c r="G773" s="221"/>
      <c r="H773" s="221"/>
      <c r="I773" s="221"/>
      <c r="J773" s="221"/>
      <c r="K773" s="221"/>
      <c r="L773" s="255"/>
      <c r="M773" s="255"/>
      <c r="N773" s="221"/>
      <c r="O773" s="221"/>
      <c r="P773" s="221"/>
      <c r="Q773" s="221"/>
      <c r="R773" s="221"/>
      <c r="S773" s="221"/>
      <c r="T773" s="221"/>
      <c r="U773" s="221"/>
      <c r="V773" s="221"/>
      <c r="W773" s="221"/>
      <c r="X773" s="221"/>
      <c r="Y773" s="221"/>
      <c r="Z773" s="221"/>
    </row>
    <row r="774" spans="1:26" ht="18.75" customHeight="1">
      <c r="A774" s="221"/>
      <c r="B774" s="221"/>
      <c r="C774" s="255"/>
      <c r="D774" s="255"/>
      <c r="E774" s="221"/>
      <c r="F774" s="221"/>
      <c r="G774" s="221"/>
      <c r="H774" s="221"/>
      <c r="I774" s="221"/>
      <c r="J774" s="221"/>
      <c r="K774" s="221"/>
      <c r="L774" s="255"/>
      <c r="M774" s="255"/>
      <c r="N774" s="221"/>
      <c r="O774" s="221"/>
      <c r="P774" s="221"/>
      <c r="Q774" s="221"/>
      <c r="R774" s="221"/>
      <c r="S774" s="221"/>
      <c r="T774" s="221"/>
      <c r="U774" s="221"/>
      <c r="V774" s="221"/>
      <c r="W774" s="221"/>
      <c r="X774" s="221"/>
      <c r="Y774" s="221"/>
      <c r="Z774" s="221"/>
    </row>
    <row r="775" spans="1:26" ht="18.75" customHeight="1">
      <c r="A775" s="221"/>
      <c r="B775" s="221"/>
      <c r="C775" s="255"/>
      <c r="D775" s="255"/>
      <c r="E775" s="221"/>
      <c r="F775" s="221"/>
      <c r="G775" s="221"/>
      <c r="H775" s="221"/>
      <c r="I775" s="221"/>
      <c r="J775" s="221"/>
      <c r="K775" s="221"/>
      <c r="L775" s="255"/>
      <c r="M775" s="255"/>
      <c r="N775" s="221"/>
      <c r="O775" s="221"/>
      <c r="P775" s="221"/>
      <c r="Q775" s="221"/>
      <c r="R775" s="221"/>
      <c r="S775" s="221"/>
      <c r="T775" s="221"/>
      <c r="U775" s="221"/>
      <c r="V775" s="221"/>
      <c r="W775" s="221"/>
      <c r="X775" s="221"/>
      <c r="Y775" s="221"/>
      <c r="Z775" s="221"/>
    </row>
    <row r="776" spans="1:26" ht="18.75" customHeight="1">
      <c r="A776" s="221"/>
      <c r="B776" s="221"/>
      <c r="C776" s="255"/>
      <c r="D776" s="255"/>
      <c r="E776" s="221"/>
      <c r="F776" s="221"/>
      <c r="G776" s="221"/>
      <c r="H776" s="221"/>
      <c r="I776" s="221"/>
      <c r="J776" s="221"/>
      <c r="K776" s="221"/>
      <c r="L776" s="255"/>
      <c r="M776" s="255"/>
      <c r="N776" s="221"/>
      <c r="O776" s="221"/>
      <c r="P776" s="221"/>
      <c r="Q776" s="221"/>
      <c r="R776" s="221"/>
      <c r="S776" s="221"/>
      <c r="T776" s="221"/>
      <c r="U776" s="221"/>
      <c r="V776" s="221"/>
      <c r="W776" s="221"/>
      <c r="X776" s="221"/>
      <c r="Y776" s="221"/>
      <c r="Z776" s="221"/>
    </row>
    <row r="777" spans="1:26" ht="18.75" customHeight="1">
      <c r="A777" s="221"/>
      <c r="B777" s="221"/>
      <c r="C777" s="255"/>
      <c r="D777" s="255"/>
      <c r="E777" s="221"/>
      <c r="F777" s="221"/>
      <c r="G777" s="221"/>
      <c r="H777" s="221"/>
      <c r="I777" s="221"/>
      <c r="J777" s="221"/>
      <c r="K777" s="221"/>
      <c r="L777" s="255"/>
      <c r="M777" s="255"/>
      <c r="N777" s="221"/>
      <c r="O777" s="221"/>
      <c r="P777" s="221"/>
      <c r="Q777" s="221"/>
      <c r="R777" s="221"/>
      <c r="S777" s="221"/>
      <c r="T777" s="221"/>
      <c r="U777" s="221"/>
      <c r="V777" s="221"/>
      <c r="W777" s="221"/>
      <c r="X777" s="221"/>
      <c r="Y777" s="221"/>
      <c r="Z777" s="221"/>
    </row>
    <row r="778" spans="1:26" ht="18.75" customHeight="1">
      <c r="A778" s="221"/>
      <c r="B778" s="221"/>
      <c r="C778" s="255"/>
      <c r="D778" s="255"/>
      <c r="E778" s="221"/>
      <c r="F778" s="221"/>
      <c r="G778" s="221"/>
      <c r="H778" s="221"/>
      <c r="I778" s="221"/>
      <c r="J778" s="221"/>
      <c r="K778" s="221"/>
      <c r="L778" s="255"/>
      <c r="M778" s="255"/>
      <c r="N778" s="221"/>
      <c r="O778" s="221"/>
      <c r="P778" s="221"/>
      <c r="Q778" s="221"/>
      <c r="R778" s="221"/>
      <c r="S778" s="221"/>
      <c r="T778" s="221"/>
      <c r="U778" s="221"/>
      <c r="V778" s="221"/>
      <c r="W778" s="221"/>
      <c r="X778" s="221"/>
      <c r="Y778" s="221"/>
      <c r="Z778" s="221"/>
    </row>
    <row r="779" spans="1:26" ht="18.75" customHeight="1">
      <c r="A779" s="221"/>
      <c r="B779" s="221"/>
      <c r="C779" s="255"/>
      <c r="D779" s="255"/>
      <c r="E779" s="221"/>
      <c r="F779" s="221"/>
      <c r="G779" s="221"/>
      <c r="H779" s="221"/>
      <c r="I779" s="221"/>
      <c r="J779" s="221"/>
      <c r="K779" s="221"/>
      <c r="L779" s="255"/>
      <c r="M779" s="255"/>
      <c r="N779" s="221"/>
      <c r="O779" s="221"/>
      <c r="P779" s="221"/>
      <c r="Q779" s="221"/>
      <c r="R779" s="221"/>
      <c r="S779" s="221"/>
      <c r="T779" s="221"/>
      <c r="U779" s="221"/>
      <c r="V779" s="221"/>
      <c r="W779" s="221"/>
      <c r="X779" s="221"/>
      <c r="Y779" s="221"/>
      <c r="Z779" s="221"/>
    </row>
    <row r="780" spans="1:26" ht="18.75" customHeight="1">
      <c r="A780" s="221"/>
      <c r="B780" s="221"/>
      <c r="C780" s="255"/>
      <c r="D780" s="255"/>
      <c r="E780" s="221"/>
      <c r="F780" s="221"/>
      <c r="G780" s="221"/>
      <c r="H780" s="221"/>
      <c r="I780" s="221"/>
      <c r="J780" s="221"/>
      <c r="K780" s="221"/>
      <c r="L780" s="255"/>
      <c r="M780" s="255"/>
      <c r="N780" s="221"/>
      <c r="O780" s="221"/>
      <c r="P780" s="221"/>
      <c r="Q780" s="221"/>
      <c r="R780" s="221"/>
      <c r="S780" s="221"/>
      <c r="T780" s="221"/>
      <c r="U780" s="221"/>
      <c r="V780" s="221"/>
      <c r="W780" s="221"/>
      <c r="X780" s="221"/>
      <c r="Y780" s="221"/>
      <c r="Z780" s="221"/>
    </row>
    <row r="781" spans="1:26" ht="18.75" customHeight="1">
      <c r="A781" s="221"/>
      <c r="B781" s="221"/>
      <c r="C781" s="255"/>
      <c r="D781" s="255"/>
      <c r="E781" s="221"/>
      <c r="F781" s="221"/>
      <c r="G781" s="221"/>
      <c r="H781" s="221"/>
      <c r="I781" s="221"/>
      <c r="J781" s="221"/>
      <c r="K781" s="221"/>
      <c r="L781" s="255"/>
      <c r="M781" s="255"/>
      <c r="N781" s="221"/>
      <c r="O781" s="221"/>
      <c r="P781" s="221"/>
      <c r="Q781" s="221"/>
      <c r="R781" s="221"/>
      <c r="S781" s="221"/>
      <c r="T781" s="221"/>
      <c r="U781" s="221"/>
      <c r="V781" s="221"/>
      <c r="W781" s="221"/>
      <c r="X781" s="221"/>
      <c r="Y781" s="221"/>
      <c r="Z781" s="221"/>
    </row>
    <row r="782" spans="1:26" ht="18.75" customHeight="1">
      <c r="A782" s="221"/>
      <c r="B782" s="221"/>
      <c r="C782" s="255"/>
      <c r="D782" s="255"/>
      <c r="E782" s="221"/>
      <c r="F782" s="221"/>
      <c r="G782" s="221"/>
      <c r="H782" s="221"/>
      <c r="I782" s="221"/>
      <c r="J782" s="221"/>
      <c r="K782" s="221"/>
      <c r="L782" s="255"/>
      <c r="M782" s="255"/>
      <c r="N782" s="221"/>
      <c r="O782" s="221"/>
      <c r="P782" s="221"/>
      <c r="Q782" s="221"/>
      <c r="R782" s="221"/>
      <c r="S782" s="221"/>
      <c r="T782" s="221"/>
      <c r="U782" s="221"/>
      <c r="V782" s="221"/>
      <c r="W782" s="221"/>
      <c r="X782" s="221"/>
      <c r="Y782" s="221"/>
      <c r="Z782" s="221"/>
    </row>
    <row r="783" spans="1:26" ht="18.75" customHeight="1">
      <c r="A783" s="221"/>
      <c r="B783" s="221"/>
      <c r="C783" s="255"/>
      <c r="D783" s="255"/>
      <c r="E783" s="221"/>
      <c r="F783" s="221"/>
      <c r="G783" s="221"/>
      <c r="H783" s="221"/>
      <c r="I783" s="221"/>
      <c r="J783" s="221"/>
      <c r="K783" s="221"/>
      <c r="L783" s="255"/>
      <c r="M783" s="255"/>
      <c r="N783" s="221"/>
      <c r="O783" s="221"/>
      <c r="P783" s="221"/>
      <c r="Q783" s="221"/>
      <c r="R783" s="221"/>
      <c r="S783" s="221"/>
      <c r="T783" s="221"/>
      <c r="U783" s="221"/>
      <c r="V783" s="221"/>
      <c r="W783" s="221"/>
      <c r="X783" s="221"/>
      <c r="Y783" s="221"/>
      <c r="Z783" s="221"/>
    </row>
    <row r="784" spans="1:26" ht="18.75" customHeight="1">
      <c r="A784" s="221"/>
      <c r="B784" s="221"/>
      <c r="C784" s="255"/>
      <c r="D784" s="255"/>
      <c r="E784" s="221"/>
      <c r="F784" s="221"/>
      <c r="G784" s="221"/>
      <c r="H784" s="221"/>
      <c r="I784" s="221"/>
      <c r="J784" s="221"/>
      <c r="K784" s="221"/>
      <c r="L784" s="255"/>
      <c r="M784" s="255"/>
      <c r="N784" s="221"/>
      <c r="O784" s="221"/>
      <c r="P784" s="221"/>
      <c r="Q784" s="221"/>
      <c r="R784" s="221"/>
      <c r="S784" s="221"/>
      <c r="T784" s="221"/>
      <c r="U784" s="221"/>
      <c r="V784" s="221"/>
      <c r="W784" s="221"/>
      <c r="X784" s="221"/>
      <c r="Y784" s="221"/>
      <c r="Z784" s="221"/>
    </row>
    <row r="785" spans="1:26" ht="18.75" customHeight="1">
      <c r="A785" s="221"/>
      <c r="B785" s="221"/>
      <c r="C785" s="255"/>
      <c r="D785" s="255"/>
      <c r="E785" s="221"/>
      <c r="F785" s="221"/>
      <c r="G785" s="221"/>
      <c r="H785" s="221"/>
      <c r="I785" s="221"/>
      <c r="J785" s="221"/>
      <c r="K785" s="221"/>
      <c r="L785" s="255"/>
      <c r="M785" s="255"/>
      <c r="N785" s="221"/>
      <c r="O785" s="221"/>
      <c r="P785" s="221"/>
      <c r="Q785" s="221"/>
      <c r="R785" s="221"/>
      <c r="S785" s="221"/>
      <c r="T785" s="221"/>
      <c r="U785" s="221"/>
      <c r="V785" s="221"/>
      <c r="W785" s="221"/>
      <c r="X785" s="221"/>
      <c r="Y785" s="221"/>
      <c r="Z785" s="221"/>
    </row>
    <row r="786" spans="1:26" ht="18.75" customHeight="1">
      <c r="A786" s="221"/>
      <c r="B786" s="221"/>
      <c r="C786" s="255"/>
      <c r="D786" s="255"/>
      <c r="E786" s="221"/>
      <c r="F786" s="221"/>
      <c r="G786" s="221"/>
      <c r="H786" s="221"/>
      <c r="I786" s="221"/>
      <c r="J786" s="221"/>
      <c r="K786" s="221"/>
      <c r="L786" s="255"/>
      <c r="M786" s="255"/>
      <c r="N786" s="221"/>
      <c r="O786" s="221"/>
      <c r="P786" s="221"/>
      <c r="Q786" s="221"/>
      <c r="R786" s="221"/>
      <c r="S786" s="221"/>
      <c r="T786" s="221"/>
      <c r="U786" s="221"/>
      <c r="V786" s="221"/>
      <c r="W786" s="221"/>
      <c r="X786" s="221"/>
      <c r="Y786" s="221"/>
      <c r="Z786" s="221"/>
    </row>
    <row r="787" spans="1:26" ht="18.75" customHeight="1">
      <c r="A787" s="221"/>
      <c r="B787" s="221"/>
      <c r="C787" s="255"/>
      <c r="D787" s="255"/>
      <c r="E787" s="221"/>
      <c r="F787" s="221"/>
      <c r="G787" s="221"/>
      <c r="H787" s="221"/>
      <c r="I787" s="221"/>
      <c r="J787" s="221"/>
      <c r="K787" s="221"/>
      <c r="L787" s="255"/>
      <c r="M787" s="255"/>
      <c r="N787" s="221"/>
      <c r="O787" s="221"/>
      <c r="P787" s="221"/>
      <c r="Q787" s="221"/>
      <c r="R787" s="221"/>
      <c r="S787" s="221"/>
      <c r="T787" s="221"/>
      <c r="U787" s="221"/>
      <c r="V787" s="221"/>
      <c r="W787" s="221"/>
      <c r="X787" s="221"/>
      <c r="Y787" s="221"/>
      <c r="Z787" s="221"/>
    </row>
    <row r="788" spans="1:26" ht="18.75" customHeight="1">
      <c r="A788" s="221"/>
      <c r="B788" s="221"/>
      <c r="C788" s="255"/>
      <c r="D788" s="255"/>
      <c r="E788" s="221"/>
      <c r="F788" s="221"/>
      <c r="G788" s="221"/>
      <c r="H788" s="221"/>
      <c r="I788" s="221"/>
      <c r="J788" s="221"/>
      <c r="K788" s="221"/>
      <c r="L788" s="255"/>
      <c r="M788" s="255"/>
      <c r="N788" s="221"/>
      <c r="O788" s="221"/>
      <c r="P788" s="221"/>
      <c r="Q788" s="221"/>
      <c r="R788" s="221"/>
      <c r="S788" s="221"/>
      <c r="T788" s="221"/>
      <c r="U788" s="221"/>
      <c r="V788" s="221"/>
      <c r="W788" s="221"/>
      <c r="X788" s="221"/>
      <c r="Y788" s="221"/>
      <c r="Z788" s="221"/>
    </row>
    <row r="789" spans="1:26" ht="18.75" customHeight="1">
      <c r="A789" s="221"/>
      <c r="B789" s="221"/>
      <c r="C789" s="255"/>
      <c r="D789" s="255"/>
      <c r="E789" s="221"/>
      <c r="F789" s="221"/>
      <c r="G789" s="221"/>
      <c r="H789" s="221"/>
      <c r="I789" s="221"/>
      <c r="J789" s="221"/>
      <c r="K789" s="221"/>
      <c r="L789" s="255"/>
      <c r="M789" s="255"/>
      <c r="N789" s="221"/>
      <c r="O789" s="221"/>
      <c r="P789" s="221"/>
      <c r="Q789" s="221"/>
      <c r="R789" s="221"/>
      <c r="S789" s="221"/>
      <c r="T789" s="221"/>
      <c r="U789" s="221"/>
      <c r="V789" s="221"/>
      <c r="W789" s="221"/>
      <c r="X789" s="221"/>
      <c r="Y789" s="221"/>
      <c r="Z789" s="221"/>
    </row>
    <row r="790" spans="1:26" ht="18.75" customHeight="1">
      <c r="A790" s="221"/>
      <c r="B790" s="221"/>
      <c r="C790" s="255"/>
      <c r="D790" s="255"/>
      <c r="E790" s="221"/>
      <c r="F790" s="221"/>
      <c r="G790" s="221"/>
      <c r="H790" s="221"/>
      <c r="I790" s="221"/>
      <c r="J790" s="221"/>
      <c r="K790" s="221"/>
      <c r="L790" s="255"/>
      <c r="M790" s="255"/>
      <c r="N790" s="221"/>
      <c r="O790" s="221"/>
      <c r="P790" s="221"/>
      <c r="Q790" s="221"/>
      <c r="R790" s="221"/>
      <c r="S790" s="221"/>
      <c r="T790" s="221"/>
      <c r="U790" s="221"/>
      <c r="V790" s="221"/>
      <c r="W790" s="221"/>
      <c r="X790" s="221"/>
      <c r="Y790" s="221"/>
      <c r="Z790" s="221"/>
    </row>
    <row r="791" spans="1:26" ht="18.75" customHeight="1">
      <c r="A791" s="221"/>
      <c r="B791" s="221"/>
      <c r="C791" s="255"/>
      <c r="D791" s="255"/>
      <c r="E791" s="221"/>
      <c r="F791" s="221"/>
      <c r="G791" s="221"/>
      <c r="H791" s="221"/>
      <c r="I791" s="221"/>
      <c r="J791" s="221"/>
      <c r="K791" s="221"/>
      <c r="L791" s="255"/>
      <c r="M791" s="255"/>
      <c r="N791" s="221"/>
      <c r="O791" s="221"/>
      <c r="P791" s="221"/>
      <c r="Q791" s="221"/>
      <c r="R791" s="221"/>
      <c r="S791" s="221"/>
      <c r="T791" s="221"/>
      <c r="U791" s="221"/>
      <c r="V791" s="221"/>
      <c r="W791" s="221"/>
      <c r="X791" s="221"/>
      <c r="Y791" s="221"/>
      <c r="Z791" s="221"/>
    </row>
    <row r="792" spans="1:26" ht="18.75" customHeight="1">
      <c r="A792" s="221"/>
      <c r="B792" s="221"/>
      <c r="C792" s="255"/>
      <c r="D792" s="255"/>
      <c r="E792" s="221"/>
      <c r="F792" s="221"/>
      <c r="G792" s="221"/>
      <c r="H792" s="221"/>
      <c r="I792" s="221"/>
      <c r="J792" s="221"/>
      <c r="K792" s="221"/>
      <c r="L792" s="255"/>
      <c r="M792" s="255"/>
      <c r="N792" s="221"/>
      <c r="O792" s="221"/>
      <c r="P792" s="221"/>
      <c r="Q792" s="221"/>
      <c r="R792" s="221"/>
      <c r="S792" s="221"/>
      <c r="T792" s="221"/>
      <c r="U792" s="221"/>
      <c r="V792" s="221"/>
      <c r="W792" s="221"/>
      <c r="X792" s="221"/>
      <c r="Y792" s="221"/>
      <c r="Z792" s="221"/>
    </row>
    <row r="793" spans="1:26" ht="18.75" customHeight="1">
      <c r="A793" s="221"/>
      <c r="B793" s="221"/>
      <c r="C793" s="255"/>
      <c r="D793" s="255"/>
      <c r="E793" s="221"/>
      <c r="F793" s="221"/>
      <c r="G793" s="221"/>
      <c r="H793" s="221"/>
      <c r="I793" s="221"/>
      <c r="J793" s="221"/>
      <c r="K793" s="221"/>
      <c r="L793" s="255"/>
      <c r="M793" s="255"/>
      <c r="N793" s="221"/>
      <c r="O793" s="221"/>
      <c r="P793" s="221"/>
      <c r="Q793" s="221"/>
      <c r="R793" s="221"/>
      <c r="S793" s="221"/>
      <c r="T793" s="221"/>
      <c r="U793" s="221"/>
      <c r="V793" s="221"/>
      <c r="W793" s="221"/>
      <c r="X793" s="221"/>
      <c r="Y793" s="221"/>
      <c r="Z793" s="221"/>
    </row>
    <row r="794" spans="1:26" ht="18.75" customHeight="1">
      <c r="A794" s="221"/>
      <c r="B794" s="221"/>
      <c r="C794" s="255"/>
      <c r="D794" s="255"/>
      <c r="E794" s="221"/>
      <c r="F794" s="221"/>
      <c r="G794" s="221"/>
      <c r="H794" s="221"/>
      <c r="I794" s="221"/>
      <c r="J794" s="221"/>
      <c r="K794" s="221"/>
      <c r="L794" s="255"/>
      <c r="M794" s="255"/>
      <c r="N794" s="221"/>
      <c r="O794" s="221"/>
      <c r="P794" s="221"/>
      <c r="Q794" s="221"/>
      <c r="R794" s="221"/>
      <c r="S794" s="221"/>
      <c r="T794" s="221"/>
      <c r="U794" s="221"/>
      <c r="V794" s="221"/>
      <c r="W794" s="221"/>
      <c r="X794" s="221"/>
      <c r="Y794" s="221"/>
      <c r="Z794" s="221"/>
    </row>
    <row r="795" spans="1:26" ht="18.75" customHeight="1">
      <c r="A795" s="221"/>
      <c r="B795" s="221"/>
      <c r="C795" s="255"/>
      <c r="D795" s="255"/>
      <c r="E795" s="221"/>
      <c r="F795" s="221"/>
      <c r="G795" s="221"/>
      <c r="H795" s="221"/>
      <c r="I795" s="221"/>
      <c r="J795" s="221"/>
      <c r="K795" s="221"/>
      <c r="L795" s="255"/>
      <c r="M795" s="255"/>
      <c r="N795" s="221"/>
      <c r="O795" s="221"/>
      <c r="P795" s="221"/>
      <c r="Q795" s="221"/>
      <c r="R795" s="221"/>
      <c r="S795" s="221"/>
      <c r="T795" s="221"/>
      <c r="U795" s="221"/>
      <c r="V795" s="221"/>
      <c r="W795" s="221"/>
      <c r="X795" s="221"/>
      <c r="Y795" s="221"/>
      <c r="Z795" s="221"/>
    </row>
    <row r="796" spans="1:26" ht="18.75" customHeight="1">
      <c r="A796" s="221"/>
      <c r="B796" s="221"/>
      <c r="C796" s="255"/>
      <c r="D796" s="255"/>
      <c r="E796" s="221"/>
      <c r="F796" s="221"/>
      <c r="G796" s="221"/>
      <c r="H796" s="221"/>
      <c r="I796" s="221"/>
      <c r="J796" s="221"/>
      <c r="K796" s="221"/>
      <c r="L796" s="255"/>
      <c r="M796" s="255"/>
      <c r="N796" s="221"/>
      <c r="O796" s="221"/>
      <c r="P796" s="221"/>
      <c r="Q796" s="221"/>
      <c r="R796" s="221"/>
      <c r="S796" s="221"/>
      <c r="T796" s="221"/>
      <c r="U796" s="221"/>
      <c r="V796" s="221"/>
      <c r="W796" s="221"/>
      <c r="X796" s="221"/>
      <c r="Y796" s="221"/>
      <c r="Z796" s="221"/>
    </row>
    <row r="797" spans="1:26" ht="18.75" customHeight="1">
      <c r="A797" s="221"/>
      <c r="B797" s="221"/>
      <c r="C797" s="255"/>
      <c r="D797" s="255"/>
      <c r="E797" s="221"/>
      <c r="F797" s="221"/>
      <c r="G797" s="221"/>
      <c r="H797" s="221"/>
      <c r="I797" s="221"/>
      <c r="J797" s="221"/>
      <c r="K797" s="221"/>
      <c r="L797" s="255"/>
      <c r="M797" s="255"/>
      <c r="N797" s="221"/>
      <c r="O797" s="221"/>
      <c r="P797" s="221"/>
      <c r="Q797" s="221"/>
      <c r="R797" s="221"/>
      <c r="S797" s="221"/>
      <c r="T797" s="221"/>
      <c r="U797" s="221"/>
      <c r="V797" s="221"/>
      <c r="W797" s="221"/>
      <c r="X797" s="221"/>
      <c r="Y797" s="221"/>
      <c r="Z797" s="221"/>
    </row>
    <row r="798" spans="1:26" ht="18.75" customHeight="1">
      <c r="A798" s="221"/>
      <c r="B798" s="221"/>
      <c r="C798" s="255"/>
      <c r="D798" s="255"/>
      <c r="E798" s="221"/>
      <c r="F798" s="221"/>
      <c r="G798" s="221"/>
      <c r="H798" s="221"/>
      <c r="I798" s="221"/>
      <c r="J798" s="221"/>
      <c r="K798" s="221"/>
      <c r="L798" s="255"/>
      <c r="M798" s="255"/>
      <c r="N798" s="221"/>
      <c r="O798" s="221"/>
      <c r="P798" s="221"/>
      <c r="Q798" s="221"/>
      <c r="R798" s="221"/>
      <c r="S798" s="221"/>
      <c r="T798" s="221"/>
      <c r="U798" s="221"/>
      <c r="V798" s="221"/>
      <c r="W798" s="221"/>
      <c r="X798" s="221"/>
      <c r="Y798" s="221"/>
      <c r="Z798" s="221"/>
    </row>
    <row r="799" spans="1:26" ht="18.75" customHeight="1">
      <c r="A799" s="221"/>
      <c r="B799" s="221"/>
      <c r="C799" s="255"/>
      <c r="D799" s="255"/>
      <c r="E799" s="221"/>
      <c r="F799" s="221"/>
      <c r="G799" s="221"/>
      <c r="H799" s="221"/>
      <c r="I799" s="221"/>
      <c r="J799" s="221"/>
      <c r="K799" s="221"/>
      <c r="L799" s="255"/>
      <c r="M799" s="255"/>
      <c r="N799" s="221"/>
      <c r="O799" s="221"/>
      <c r="P799" s="221"/>
      <c r="Q799" s="221"/>
      <c r="R799" s="221"/>
      <c r="S799" s="221"/>
      <c r="T799" s="221"/>
      <c r="U799" s="221"/>
      <c r="V799" s="221"/>
      <c r="W799" s="221"/>
      <c r="X799" s="221"/>
      <c r="Y799" s="221"/>
      <c r="Z799" s="221"/>
    </row>
    <row r="800" spans="1:26" ht="18.75" customHeight="1">
      <c r="A800" s="221"/>
      <c r="B800" s="221"/>
      <c r="C800" s="255"/>
      <c r="D800" s="255"/>
      <c r="E800" s="221"/>
      <c r="F800" s="221"/>
      <c r="G800" s="221"/>
      <c r="H800" s="221"/>
      <c r="I800" s="221"/>
      <c r="J800" s="221"/>
      <c r="K800" s="221"/>
      <c r="L800" s="255"/>
      <c r="M800" s="255"/>
      <c r="N800" s="221"/>
      <c r="O800" s="221"/>
      <c r="P800" s="221"/>
      <c r="Q800" s="221"/>
      <c r="R800" s="221"/>
      <c r="S800" s="221"/>
      <c r="T800" s="221"/>
      <c r="U800" s="221"/>
      <c r="V800" s="221"/>
      <c r="W800" s="221"/>
      <c r="X800" s="221"/>
      <c r="Y800" s="221"/>
      <c r="Z800" s="221"/>
    </row>
    <row r="801" spans="1:26" ht="18.75" customHeight="1">
      <c r="A801" s="221"/>
      <c r="B801" s="221"/>
      <c r="C801" s="255"/>
      <c r="D801" s="255"/>
      <c r="E801" s="221"/>
      <c r="F801" s="221"/>
      <c r="G801" s="221"/>
      <c r="H801" s="221"/>
      <c r="I801" s="221"/>
      <c r="J801" s="221"/>
      <c r="K801" s="221"/>
      <c r="L801" s="255"/>
      <c r="M801" s="255"/>
      <c r="N801" s="221"/>
      <c r="O801" s="221"/>
      <c r="P801" s="221"/>
      <c r="Q801" s="221"/>
      <c r="R801" s="221"/>
      <c r="S801" s="221"/>
      <c r="T801" s="221"/>
      <c r="U801" s="221"/>
      <c r="V801" s="221"/>
      <c r="W801" s="221"/>
      <c r="X801" s="221"/>
      <c r="Y801" s="221"/>
      <c r="Z801" s="221"/>
    </row>
    <row r="802" spans="1:26" ht="18.75" customHeight="1">
      <c r="A802" s="221"/>
      <c r="B802" s="221"/>
      <c r="C802" s="255"/>
      <c r="D802" s="255"/>
      <c r="E802" s="221"/>
      <c r="F802" s="221"/>
      <c r="G802" s="221"/>
      <c r="H802" s="221"/>
      <c r="I802" s="221"/>
      <c r="J802" s="221"/>
      <c r="K802" s="221"/>
      <c r="L802" s="255"/>
      <c r="M802" s="255"/>
      <c r="N802" s="221"/>
      <c r="O802" s="221"/>
      <c r="P802" s="221"/>
      <c r="Q802" s="221"/>
      <c r="R802" s="221"/>
      <c r="S802" s="221"/>
      <c r="T802" s="221"/>
      <c r="U802" s="221"/>
      <c r="V802" s="221"/>
      <c r="W802" s="221"/>
      <c r="X802" s="221"/>
      <c r="Y802" s="221"/>
      <c r="Z802" s="221"/>
    </row>
    <row r="803" spans="1:26" ht="18.75" customHeight="1">
      <c r="A803" s="221"/>
      <c r="B803" s="221"/>
      <c r="C803" s="255"/>
      <c r="D803" s="255"/>
      <c r="E803" s="221"/>
      <c r="F803" s="221"/>
      <c r="G803" s="221"/>
      <c r="H803" s="221"/>
      <c r="I803" s="221"/>
      <c r="J803" s="221"/>
      <c r="K803" s="221"/>
      <c r="L803" s="255"/>
      <c r="M803" s="255"/>
      <c r="N803" s="221"/>
      <c r="O803" s="221"/>
      <c r="P803" s="221"/>
      <c r="Q803" s="221"/>
      <c r="R803" s="221"/>
      <c r="S803" s="221"/>
      <c r="T803" s="221"/>
      <c r="U803" s="221"/>
      <c r="V803" s="221"/>
      <c r="W803" s="221"/>
      <c r="X803" s="221"/>
      <c r="Y803" s="221"/>
      <c r="Z803" s="221"/>
    </row>
    <row r="804" spans="1:26" ht="18.75" customHeight="1">
      <c r="A804" s="221"/>
      <c r="B804" s="221"/>
      <c r="C804" s="255"/>
      <c r="D804" s="255"/>
      <c r="E804" s="221"/>
      <c r="F804" s="221"/>
      <c r="G804" s="221"/>
      <c r="H804" s="221"/>
      <c r="I804" s="221"/>
      <c r="J804" s="221"/>
      <c r="K804" s="221"/>
      <c r="L804" s="255"/>
      <c r="M804" s="255"/>
      <c r="N804" s="221"/>
      <c r="O804" s="221"/>
      <c r="P804" s="221"/>
      <c r="Q804" s="221"/>
      <c r="R804" s="221"/>
      <c r="S804" s="221"/>
      <c r="T804" s="221"/>
      <c r="U804" s="221"/>
      <c r="V804" s="221"/>
      <c r="W804" s="221"/>
      <c r="X804" s="221"/>
      <c r="Y804" s="221"/>
      <c r="Z804" s="221"/>
    </row>
    <row r="805" spans="1:26" ht="18.75" customHeight="1">
      <c r="A805" s="221"/>
      <c r="B805" s="221"/>
      <c r="C805" s="255"/>
      <c r="D805" s="255"/>
      <c r="E805" s="221"/>
      <c r="F805" s="221"/>
      <c r="G805" s="221"/>
      <c r="H805" s="221"/>
      <c r="I805" s="221"/>
      <c r="J805" s="221"/>
      <c r="K805" s="221"/>
      <c r="L805" s="255"/>
      <c r="M805" s="255"/>
      <c r="N805" s="221"/>
      <c r="O805" s="221"/>
      <c r="P805" s="221"/>
      <c r="Q805" s="221"/>
      <c r="R805" s="221"/>
      <c r="S805" s="221"/>
      <c r="T805" s="221"/>
      <c r="U805" s="221"/>
      <c r="V805" s="221"/>
      <c r="W805" s="221"/>
      <c r="X805" s="221"/>
      <c r="Y805" s="221"/>
      <c r="Z805" s="221"/>
    </row>
    <row r="806" spans="1:26" ht="18.75" customHeight="1">
      <c r="A806" s="221"/>
      <c r="B806" s="221"/>
      <c r="C806" s="255"/>
      <c r="D806" s="255"/>
      <c r="E806" s="221"/>
      <c r="F806" s="221"/>
      <c r="G806" s="221"/>
      <c r="H806" s="221"/>
      <c r="I806" s="221"/>
      <c r="J806" s="221"/>
      <c r="K806" s="221"/>
      <c r="L806" s="255"/>
      <c r="M806" s="255"/>
      <c r="N806" s="221"/>
      <c r="O806" s="221"/>
      <c r="P806" s="221"/>
      <c r="Q806" s="221"/>
      <c r="R806" s="221"/>
      <c r="S806" s="221"/>
      <c r="T806" s="221"/>
      <c r="U806" s="221"/>
      <c r="V806" s="221"/>
      <c r="W806" s="221"/>
      <c r="X806" s="221"/>
      <c r="Y806" s="221"/>
      <c r="Z806" s="221"/>
    </row>
    <row r="807" spans="1:26" ht="18.75" customHeight="1">
      <c r="A807" s="221"/>
      <c r="B807" s="221"/>
      <c r="C807" s="255"/>
      <c r="D807" s="255"/>
      <c r="E807" s="221"/>
      <c r="F807" s="221"/>
      <c r="G807" s="221"/>
      <c r="H807" s="221"/>
      <c r="I807" s="221"/>
      <c r="J807" s="221"/>
      <c r="K807" s="221"/>
      <c r="L807" s="255"/>
      <c r="M807" s="255"/>
      <c r="N807" s="221"/>
      <c r="O807" s="221"/>
      <c r="P807" s="221"/>
      <c r="Q807" s="221"/>
      <c r="R807" s="221"/>
      <c r="S807" s="221"/>
      <c r="T807" s="221"/>
      <c r="U807" s="221"/>
      <c r="V807" s="221"/>
      <c r="W807" s="221"/>
      <c r="X807" s="221"/>
      <c r="Y807" s="221"/>
      <c r="Z807" s="221"/>
    </row>
    <row r="808" spans="1:26" ht="18.75" customHeight="1">
      <c r="A808" s="221"/>
      <c r="B808" s="221"/>
      <c r="C808" s="255"/>
      <c r="D808" s="255"/>
      <c r="E808" s="221"/>
      <c r="F808" s="221"/>
      <c r="G808" s="221"/>
      <c r="H808" s="221"/>
      <c r="I808" s="221"/>
      <c r="J808" s="221"/>
      <c r="K808" s="221"/>
      <c r="L808" s="255"/>
      <c r="M808" s="255"/>
      <c r="N808" s="221"/>
      <c r="O808" s="221"/>
      <c r="P808" s="221"/>
      <c r="Q808" s="221"/>
      <c r="R808" s="221"/>
      <c r="S808" s="221"/>
      <c r="T808" s="221"/>
      <c r="U808" s="221"/>
      <c r="V808" s="221"/>
      <c r="W808" s="221"/>
      <c r="X808" s="221"/>
      <c r="Y808" s="221"/>
      <c r="Z808" s="221"/>
    </row>
    <row r="809" spans="1:26" ht="18.75" customHeight="1">
      <c r="A809" s="221"/>
      <c r="B809" s="221"/>
      <c r="C809" s="255"/>
      <c r="D809" s="255"/>
      <c r="E809" s="221"/>
      <c r="F809" s="221"/>
      <c r="G809" s="221"/>
      <c r="H809" s="221"/>
      <c r="I809" s="221"/>
      <c r="J809" s="221"/>
      <c r="K809" s="221"/>
      <c r="L809" s="255"/>
      <c r="M809" s="255"/>
      <c r="N809" s="221"/>
      <c r="O809" s="221"/>
      <c r="P809" s="221"/>
      <c r="Q809" s="221"/>
      <c r="R809" s="221"/>
      <c r="S809" s="221"/>
      <c r="T809" s="221"/>
      <c r="U809" s="221"/>
      <c r="V809" s="221"/>
      <c r="W809" s="221"/>
      <c r="X809" s="221"/>
      <c r="Y809" s="221"/>
      <c r="Z809" s="221"/>
    </row>
    <row r="810" spans="1:26" ht="18.75" customHeight="1">
      <c r="A810" s="221"/>
      <c r="B810" s="221"/>
      <c r="C810" s="255"/>
      <c r="D810" s="255"/>
      <c r="E810" s="221"/>
      <c r="F810" s="221"/>
      <c r="G810" s="221"/>
      <c r="H810" s="221"/>
      <c r="I810" s="221"/>
      <c r="J810" s="221"/>
      <c r="K810" s="221"/>
      <c r="L810" s="255"/>
      <c r="M810" s="255"/>
      <c r="N810" s="221"/>
      <c r="O810" s="221"/>
      <c r="P810" s="221"/>
      <c r="Q810" s="221"/>
      <c r="R810" s="221"/>
      <c r="S810" s="221"/>
      <c r="T810" s="221"/>
      <c r="U810" s="221"/>
      <c r="V810" s="221"/>
      <c r="W810" s="221"/>
      <c r="X810" s="221"/>
      <c r="Y810" s="221"/>
      <c r="Z810" s="221"/>
    </row>
    <row r="811" spans="1:26" ht="18.75" customHeight="1">
      <c r="A811" s="221"/>
      <c r="B811" s="221"/>
      <c r="C811" s="255"/>
      <c r="D811" s="255"/>
      <c r="E811" s="221"/>
      <c r="F811" s="221"/>
      <c r="G811" s="221"/>
      <c r="H811" s="221"/>
      <c r="I811" s="221"/>
      <c r="J811" s="221"/>
      <c r="K811" s="221"/>
      <c r="L811" s="255"/>
      <c r="M811" s="255"/>
      <c r="N811" s="221"/>
      <c r="O811" s="221"/>
      <c r="P811" s="221"/>
      <c r="Q811" s="221"/>
      <c r="R811" s="221"/>
      <c r="S811" s="221"/>
      <c r="T811" s="221"/>
      <c r="U811" s="221"/>
      <c r="V811" s="221"/>
      <c r="W811" s="221"/>
      <c r="X811" s="221"/>
      <c r="Y811" s="221"/>
      <c r="Z811" s="221"/>
    </row>
    <row r="812" spans="1:26" ht="18.75" customHeight="1">
      <c r="A812" s="221"/>
      <c r="B812" s="221"/>
      <c r="C812" s="255"/>
      <c r="D812" s="255"/>
      <c r="E812" s="221"/>
      <c r="F812" s="221"/>
      <c r="G812" s="221"/>
      <c r="H812" s="221"/>
      <c r="I812" s="221"/>
      <c r="J812" s="221"/>
      <c r="K812" s="221"/>
      <c r="L812" s="255"/>
      <c r="M812" s="255"/>
      <c r="N812" s="221"/>
      <c r="O812" s="221"/>
      <c r="P812" s="221"/>
      <c r="Q812" s="221"/>
      <c r="R812" s="221"/>
      <c r="S812" s="221"/>
      <c r="T812" s="221"/>
      <c r="U812" s="221"/>
      <c r="V812" s="221"/>
      <c r="W812" s="221"/>
      <c r="X812" s="221"/>
      <c r="Y812" s="221"/>
      <c r="Z812" s="221"/>
    </row>
    <row r="813" spans="1:26" ht="18.75" customHeight="1">
      <c r="A813" s="221"/>
      <c r="B813" s="221"/>
      <c r="C813" s="255"/>
      <c r="D813" s="255"/>
      <c r="E813" s="221"/>
      <c r="F813" s="221"/>
      <c r="G813" s="221"/>
      <c r="H813" s="221"/>
      <c r="I813" s="221"/>
      <c r="J813" s="221"/>
      <c r="K813" s="221"/>
      <c r="L813" s="255"/>
      <c r="M813" s="255"/>
      <c r="N813" s="221"/>
      <c r="O813" s="221"/>
      <c r="P813" s="221"/>
      <c r="Q813" s="221"/>
      <c r="R813" s="221"/>
      <c r="S813" s="221"/>
      <c r="T813" s="221"/>
      <c r="U813" s="221"/>
      <c r="V813" s="221"/>
      <c r="W813" s="221"/>
      <c r="X813" s="221"/>
      <c r="Y813" s="221"/>
      <c r="Z813" s="221"/>
    </row>
    <row r="814" spans="1:26" ht="18.75" customHeight="1">
      <c r="A814" s="221"/>
      <c r="B814" s="221"/>
      <c r="C814" s="255"/>
      <c r="D814" s="255"/>
      <c r="E814" s="221"/>
      <c r="F814" s="221"/>
      <c r="G814" s="221"/>
      <c r="H814" s="221"/>
      <c r="I814" s="221"/>
      <c r="J814" s="221"/>
      <c r="K814" s="221"/>
      <c r="L814" s="255"/>
      <c r="M814" s="255"/>
      <c r="N814" s="221"/>
      <c r="O814" s="221"/>
      <c r="P814" s="221"/>
      <c r="Q814" s="221"/>
      <c r="R814" s="221"/>
      <c r="S814" s="221"/>
      <c r="T814" s="221"/>
      <c r="U814" s="221"/>
      <c r="V814" s="221"/>
      <c r="W814" s="221"/>
      <c r="X814" s="221"/>
      <c r="Y814" s="221"/>
      <c r="Z814" s="221"/>
    </row>
    <row r="815" spans="1:26" ht="18.75" customHeight="1">
      <c r="A815" s="221"/>
      <c r="B815" s="221"/>
      <c r="C815" s="255"/>
      <c r="D815" s="255"/>
      <c r="E815" s="221"/>
      <c r="F815" s="221"/>
      <c r="G815" s="221"/>
      <c r="H815" s="221"/>
      <c r="I815" s="221"/>
      <c r="J815" s="221"/>
      <c r="K815" s="221"/>
      <c r="L815" s="255"/>
      <c r="M815" s="255"/>
      <c r="N815" s="221"/>
      <c r="O815" s="221"/>
      <c r="P815" s="221"/>
      <c r="Q815" s="221"/>
      <c r="R815" s="221"/>
      <c r="S815" s="221"/>
      <c r="T815" s="221"/>
      <c r="U815" s="221"/>
      <c r="V815" s="221"/>
      <c r="W815" s="221"/>
      <c r="X815" s="221"/>
      <c r="Y815" s="221"/>
      <c r="Z815" s="221"/>
    </row>
    <row r="816" spans="1:26" ht="18.75" customHeight="1">
      <c r="A816" s="221"/>
      <c r="B816" s="221"/>
      <c r="C816" s="255"/>
      <c r="D816" s="255"/>
      <c r="E816" s="221"/>
      <c r="F816" s="221"/>
      <c r="G816" s="221"/>
      <c r="H816" s="221"/>
      <c r="I816" s="221"/>
      <c r="J816" s="221"/>
      <c r="K816" s="221"/>
      <c r="L816" s="255"/>
      <c r="M816" s="255"/>
      <c r="N816" s="221"/>
      <c r="O816" s="221"/>
      <c r="P816" s="221"/>
      <c r="Q816" s="221"/>
      <c r="R816" s="221"/>
      <c r="S816" s="221"/>
      <c r="T816" s="221"/>
      <c r="U816" s="221"/>
      <c r="V816" s="221"/>
      <c r="W816" s="221"/>
      <c r="X816" s="221"/>
      <c r="Y816" s="221"/>
      <c r="Z816" s="221"/>
    </row>
    <row r="817" spans="1:26" ht="18.75" customHeight="1">
      <c r="A817" s="221"/>
      <c r="B817" s="221"/>
      <c r="C817" s="255"/>
      <c r="D817" s="255"/>
      <c r="E817" s="221"/>
      <c r="F817" s="221"/>
      <c r="G817" s="221"/>
      <c r="H817" s="221"/>
      <c r="I817" s="221"/>
      <c r="J817" s="221"/>
      <c r="K817" s="221"/>
      <c r="L817" s="255"/>
      <c r="M817" s="255"/>
      <c r="N817" s="221"/>
      <c r="O817" s="221"/>
      <c r="P817" s="221"/>
      <c r="Q817" s="221"/>
      <c r="R817" s="221"/>
      <c r="S817" s="221"/>
      <c r="T817" s="221"/>
      <c r="U817" s="221"/>
      <c r="V817" s="221"/>
      <c r="W817" s="221"/>
      <c r="X817" s="221"/>
      <c r="Y817" s="221"/>
      <c r="Z817" s="221"/>
    </row>
    <row r="818" spans="1:26" ht="18.75" customHeight="1">
      <c r="A818" s="221"/>
      <c r="B818" s="221"/>
      <c r="C818" s="255"/>
      <c r="D818" s="255"/>
      <c r="E818" s="221"/>
      <c r="F818" s="221"/>
      <c r="G818" s="221"/>
      <c r="H818" s="221"/>
      <c r="I818" s="221"/>
      <c r="J818" s="221"/>
      <c r="K818" s="221"/>
      <c r="L818" s="255"/>
      <c r="M818" s="255"/>
      <c r="N818" s="221"/>
      <c r="O818" s="221"/>
      <c r="P818" s="221"/>
      <c r="Q818" s="221"/>
      <c r="R818" s="221"/>
      <c r="S818" s="221"/>
      <c r="T818" s="221"/>
      <c r="U818" s="221"/>
      <c r="V818" s="221"/>
      <c r="W818" s="221"/>
      <c r="X818" s="221"/>
      <c r="Y818" s="221"/>
      <c r="Z818" s="221"/>
    </row>
    <row r="819" spans="1:26" ht="18.75" customHeight="1">
      <c r="A819" s="221"/>
      <c r="B819" s="221"/>
      <c r="C819" s="255"/>
      <c r="D819" s="255"/>
      <c r="E819" s="221"/>
      <c r="F819" s="221"/>
      <c r="G819" s="221"/>
      <c r="H819" s="221"/>
      <c r="I819" s="221"/>
      <c r="J819" s="221"/>
      <c r="K819" s="221"/>
      <c r="L819" s="255"/>
      <c r="M819" s="255"/>
      <c r="N819" s="221"/>
      <c r="O819" s="221"/>
      <c r="P819" s="221"/>
      <c r="Q819" s="221"/>
      <c r="R819" s="221"/>
      <c r="S819" s="221"/>
      <c r="T819" s="221"/>
      <c r="U819" s="221"/>
      <c r="V819" s="221"/>
      <c r="W819" s="221"/>
      <c r="X819" s="221"/>
      <c r="Y819" s="221"/>
      <c r="Z819" s="221"/>
    </row>
    <row r="820" spans="1:26" ht="18.75" customHeight="1">
      <c r="A820" s="221"/>
      <c r="B820" s="221"/>
      <c r="C820" s="255"/>
      <c r="D820" s="255"/>
      <c r="E820" s="221"/>
      <c r="F820" s="221"/>
      <c r="G820" s="221"/>
      <c r="H820" s="221"/>
      <c r="I820" s="221"/>
      <c r="J820" s="221"/>
      <c r="K820" s="221"/>
      <c r="L820" s="255"/>
      <c r="M820" s="255"/>
      <c r="N820" s="221"/>
      <c r="O820" s="221"/>
      <c r="P820" s="221"/>
      <c r="Q820" s="221"/>
      <c r="R820" s="221"/>
      <c r="S820" s="221"/>
      <c r="T820" s="221"/>
      <c r="U820" s="221"/>
      <c r="V820" s="221"/>
      <c r="W820" s="221"/>
      <c r="X820" s="221"/>
      <c r="Y820" s="221"/>
      <c r="Z820" s="221"/>
    </row>
    <row r="821" spans="1:26" ht="18.75" customHeight="1">
      <c r="A821" s="221"/>
      <c r="B821" s="221"/>
      <c r="C821" s="255"/>
      <c r="D821" s="255"/>
      <c r="E821" s="221"/>
      <c r="F821" s="221"/>
      <c r="G821" s="221"/>
      <c r="H821" s="221"/>
      <c r="I821" s="221"/>
      <c r="J821" s="221"/>
      <c r="K821" s="221"/>
      <c r="L821" s="255"/>
      <c r="M821" s="255"/>
      <c r="N821" s="221"/>
      <c r="O821" s="221"/>
      <c r="P821" s="221"/>
      <c r="Q821" s="221"/>
      <c r="R821" s="221"/>
      <c r="S821" s="221"/>
      <c r="T821" s="221"/>
      <c r="U821" s="221"/>
      <c r="V821" s="221"/>
      <c r="W821" s="221"/>
      <c r="X821" s="221"/>
      <c r="Y821" s="221"/>
      <c r="Z821" s="221"/>
    </row>
    <row r="822" spans="1:26" ht="18.75" customHeight="1">
      <c r="A822" s="221"/>
      <c r="B822" s="221"/>
      <c r="C822" s="255"/>
      <c r="D822" s="255"/>
      <c r="E822" s="221"/>
      <c r="F822" s="221"/>
      <c r="G822" s="221"/>
      <c r="H822" s="221"/>
      <c r="I822" s="221"/>
      <c r="J822" s="221"/>
      <c r="K822" s="221"/>
      <c r="L822" s="255"/>
      <c r="M822" s="255"/>
      <c r="N822" s="221"/>
      <c r="O822" s="221"/>
      <c r="P822" s="221"/>
      <c r="Q822" s="221"/>
      <c r="R822" s="221"/>
      <c r="S822" s="221"/>
      <c r="T822" s="221"/>
      <c r="U822" s="221"/>
      <c r="V822" s="221"/>
      <c r="W822" s="221"/>
      <c r="X822" s="221"/>
      <c r="Y822" s="221"/>
      <c r="Z822" s="221"/>
    </row>
    <row r="823" spans="1:26" ht="18.75" customHeight="1">
      <c r="A823" s="221"/>
      <c r="B823" s="221"/>
      <c r="C823" s="255"/>
      <c r="D823" s="255"/>
      <c r="E823" s="221"/>
      <c r="F823" s="221"/>
      <c r="G823" s="221"/>
      <c r="H823" s="221"/>
      <c r="I823" s="221"/>
      <c r="J823" s="221"/>
      <c r="K823" s="221"/>
      <c r="L823" s="255"/>
      <c r="M823" s="255"/>
      <c r="N823" s="221"/>
      <c r="O823" s="221"/>
      <c r="P823" s="221"/>
      <c r="Q823" s="221"/>
      <c r="R823" s="221"/>
      <c r="S823" s="221"/>
      <c r="T823" s="221"/>
      <c r="U823" s="221"/>
      <c r="V823" s="221"/>
      <c r="W823" s="221"/>
      <c r="X823" s="221"/>
      <c r="Y823" s="221"/>
      <c r="Z823" s="221"/>
    </row>
    <row r="824" spans="1:26" ht="18.75" customHeight="1">
      <c r="A824" s="221"/>
      <c r="B824" s="221"/>
      <c r="C824" s="255"/>
      <c r="D824" s="255"/>
      <c r="E824" s="221"/>
      <c r="F824" s="221"/>
      <c r="G824" s="221"/>
      <c r="H824" s="221"/>
      <c r="I824" s="221"/>
      <c r="J824" s="221"/>
      <c r="K824" s="221"/>
      <c r="L824" s="255"/>
      <c r="M824" s="255"/>
      <c r="N824" s="221"/>
      <c r="O824" s="221"/>
      <c r="P824" s="221"/>
      <c r="Q824" s="221"/>
      <c r="R824" s="221"/>
      <c r="S824" s="221"/>
      <c r="T824" s="221"/>
      <c r="U824" s="221"/>
      <c r="V824" s="221"/>
      <c r="W824" s="221"/>
      <c r="X824" s="221"/>
      <c r="Y824" s="221"/>
      <c r="Z824" s="221"/>
    </row>
    <row r="825" spans="1:26" ht="18.75" customHeight="1">
      <c r="A825" s="221"/>
      <c r="B825" s="221"/>
      <c r="C825" s="255"/>
      <c r="D825" s="255"/>
      <c r="E825" s="221"/>
      <c r="F825" s="221"/>
      <c r="G825" s="221"/>
      <c r="H825" s="221"/>
      <c r="I825" s="221"/>
      <c r="J825" s="221"/>
      <c r="K825" s="221"/>
      <c r="L825" s="255"/>
      <c r="M825" s="255"/>
      <c r="N825" s="221"/>
      <c r="O825" s="221"/>
      <c r="P825" s="221"/>
      <c r="Q825" s="221"/>
      <c r="R825" s="221"/>
      <c r="S825" s="221"/>
      <c r="T825" s="221"/>
      <c r="U825" s="221"/>
      <c r="V825" s="221"/>
      <c r="W825" s="221"/>
      <c r="X825" s="221"/>
      <c r="Y825" s="221"/>
      <c r="Z825" s="221"/>
    </row>
    <row r="826" spans="1:26" ht="18.75" customHeight="1">
      <c r="A826" s="221"/>
      <c r="B826" s="221"/>
      <c r="C826" s="255"/>
      <c r="D826" s="255"/>
      <c r="E826" s="221"/>
      <c r="F826" s="221"/>
      <c r="G826" s="221"/>
      <c r="H826" s="221"/>
      <c r="I826" s="221"/>
      <c r="J826" s="221"/>
      <c r="K826" s="221"/>
      <c r="L826" s="255"/>
      <c r="M826" s="255"/>
      <c r="N826" s="221"/>
      <c r="O826" s="221"/>
      <c r="P826" s="221"/>
      <c r="Q826" s="221"/>
      <c r="R826" s="221"/>
      <c r="S826" s="221"/>
      <c r="T826" s="221"/>
      <c r="U826" s="221"/>
      <c r="V826" s="221"/>
      <c r="W826" s="221"/>
      <c r="X826" s="221"/>
      <c r="Y826" s="221"/>
      <c r="Z826" s="221"/>
    </row>
    <row r="827" spans="1:26" ht="18.75" customHeight="1">
      <c r="A827" s="221"/>
      <c r="B827" s="221"/>
      <c r="C827" s="255"/>
      <c r="D827" s="255"/>
      <c r="E827" s="221"/>
      <c r="F827" s="221"/>
      <c r="G827" s="221"/>
      <c r="H827" s="221"/>
      <c r="I827" s="221"/>
      <c r="J827" s="221"/>
      <c r="K827" s="221"/>
      <c r="L827" s="255"/>
      <c r="M827" s="255"/>
      <c r="N827" s="221"/>
      <c r="O827" s="221"/>
      <c r="P827" s="221"/>
      <c r="Q827" s="221"/>
      <c r="R827" s="221"/>
      <c r="S827" s="221"/>
      <c r="T827" s="221"/>
      <c r="U827" s="221"/>
      <c r="V827" s="221"/>
      <c r="W827" s="221"/>
      <c r="X827" s="221"/>
      <c r="Y827" s="221"/>
      <c r="Z827" s="221"/>
    </row>
    <row r="828" spans="1:26" ht="18.75" customHeight="1">
      <c r="A828" s="221"/>
      <c r="B828" s="221"/>
      <c r="C828" s="255"/>
      <c r="D828" s="255"/>
      <c r="E828" s="221"/>
      <c r="F828" s="221"/>
      <c r="G828" s="221"/>
      <c r="H828" s="221"/>
      <c r="I828" s="221"/>
      <c r="J828" s="221"/>
      <c r="K828" s="221"/>
      <c r="L828" s="255"/>
      <c r="M828" s="255"/>
      <c r="N828" s="221"/>
      <c r="O828" s="221"/>
      <c r="P828" s="221"/>
      <c r="Q828" s="221"/>
      <c r="R828" s="221"/>
      <c r="S828" s="221"/>
      <c r="T828" s="221"/>
      <c r="U828" s="221"/>
      <c r="V828" s="221"/>
      <c r="W828" s="221"/>
      <c r="X828" s="221"/>
      <c r="Y828" s="221"/>
      <c r="Z828" s="221"/>
    </row>
    <row r="829" spans="1:26" ht="18.75" customHeight="1">
      <c r="A829" s="221"/>
      <c r="B829" s="221"/>
      <c r="C829" s="255"/>
      <c r="D829" s="255"/>
      <c r="E829" s="221"/>
      <c r="F829" s="221"/>
      <c r="G829" s="221"/>
      <c r="H829" s="221"/>
      <c r="I829" s="221"/>
      <c r="J829" s="221"/>
      <c r="K829" s="221"/>
      <c r="L829" s="255"/>
      <c r="M829" s="255"/>
      <c r="N829" s="221"/>
      <c r="O829" s="221"/>
      <c r="P829" s="221"/>
      <c r="Q829" s="221"/>
      <c r="R829" s="221"/>
      <c r="S829" s="221"/>
      <c r="T829" s="221"/>
      <c r="U829" s="221"/>
      <c r="V829" s="221"/>
      <c r="W829" s="221"/>
      <c r="X829" s="221"/>
      <c r="Y829" s="221"/>
      <c r="Z829" s="221"/>
    </row>
    <row r="830" spans="1:26" ht="18.75" customHeight="1">
      <c r="A830" s="221"/>
      <c r="B830" s="221"/>
      <c r="C830" s="255"/>
      <c r="D830" s="255"/>
      <c r="E830" s="221"/>
      <c r="F830" s="221"/>
      <c r="G830" s="221"/>
      <c r="H830" s="221"/>
      <c r="I830" s="221"/>
      <c r="J830" s="221"/>
      <c r="K830" s="221"/>
      <c r="L830" s="255"/>
      <c r="M830" s="255"/>
      <c r="N830" s="221"/>
      <c r="O830" s="221"/>
      <c r="P830" s="221"/>
      <c r="Q830" s="221"/>
      <c r="R830" s="221"/>
      <c r="S830" s="221"/>
      <c r="T830" s="221"/>
      <c r="U830" s="221"/>
      <c r="V830" s="221"/>
      <c r="W830" s="221"/>
      <c r="X830" s="221"/>
      <c r="Y830" s="221"/>
      <c r="Z830" s="221"/>
    </row>
    <row r="831" spans="1:26" ht="18.75" customHeight="1">
      <c r="A831" s="221"/>
      <c r="B831" s="221"/>
      <c r="C831" s="255"/>
      <c r="D831" s="255"/>
      <c r="E831" s="221"/>
      <c r="F831" s="221"/>
      <c r="G831" s="221"/>
      <c r="H831" s="221"/>
      <c r="I831" s="221"/>
      <c r="J831" s="221"/>
      <c r="K831" s="221"/>
      <c r="L831" s="255"/>
      <c r="M831" s="255"/>
      <c r="N831" s="221"/>
      <c r="O831" s="221"/>
      <c r="P831" s="221"/>
      <c r="Q831" s="221"/>
      <c r="R831" s="221"/>
      <c r="S831" s="221"/>
      <c r="T831" s="221"/>
      <c r="U831" s="221"/>
      <c r="V831" s="221"/>
      <c r="W831" s="221"/>
      <c r="X831" s="221"/>
      <c r="Y831" s="221"/>
      <c r="Z831" s="221"/>
    </row>
    <row r="832" spans="1:26" ht="18.75" customHeight="1">
      <c r="A832" s="221"/>
      <c r="B832" s="221"/>
      <c r="C832" s="255"/>
      <c r="D832" s="255"/>
      <c r="E832" s="221"/>
      <c r="F832" s="221"/>
      <c r="G832" s="221"/>
      <c r="H832" s="221"/>
      <c r="I832" s="221"/>
      <c r="J832" s="221"/>
      <c r="K832" s="221"/>
      <c r="L832" s="255"/>
      <c r="M832" s="255"/>
      <c r="N832" s="221"/>
      <c r="O832" s="221"/>
      <c r="P832" s="221"/>
      <c r="Q832" s="221"/>
      <c r="R832" s="221"/>
      <c r="S832" s="221"/>
      <c r="T832" s="221"/>
      <c r="U832" s="221"/>
      <c r="V832" s="221"/>
      <c r="W832" s="221"/>
      <c r="X832" s="221"/>
      <c r="Y832" s="221"/>
      <c r="Z832" s="221"/>
    </row>
    <row r="833" spans="1:26" ht="18.75" customHeight="1">
      <c r="A833" s="221"/>
      <c r="B833" s="221"/>
      <c r="C833" s="255"/>
      <c r="D833" s="255"/>
      <c r="E833" s="221"/>
      <c r="F833" s="221"/>
      <c r="G833" s="221"/>
      <c r="H833" s="221"/>
      <c r="I833" s="221"/>
      <c r="J833" s="221"/>
      <c r="K833" s="221"/>
      <c r="L833" s="255"/>
      <c r="M833" s="255"/>
      <c r="N833" s="221"/>
      <c r="O833" s="221"/>
      <c r="P833" s="221"/>
      <c r="Q833" s="221"/>
      <c r="R833" s="221"/>
      <c r="S833" s="221"/>
      <c r="T833" s="221"/>
      <c r="U833" s="221"/>
      <c r="V833" s="221"/>
      <c r="W833" s="221"/>
      <c r="X833" s="221"/>
      <c r="Y833" s="221"/>
      <c r="Z833" s="221"/>
    </row>
    <row r="834" spans="1:26" ht="18.75" customHeight="1">
      <c r="A834" s="221"/>
      <c r="B834" s="221"/>
      <c r="C834" s="255"/>
      <c r="D834" s="255"/>
      <c r="E834" s="221"/>
      <c r="F834" s="221"/>
      <c r="G834" s="221"/>
      <c r="H834" s="221"/>
      <c r="I834" s="221"/>
      <c r="J834" s="221"/>
      <c r="K834" s="221"/>
      <c r="L834" s="255"/>
      <c r="M834" s="255"/>
      <c r="N834" s="221"/>
      <c r="O834" s="221"/>
      <c r="P834" s="221"/>
      <c r="Q834" s="221"/>
      <c r="R834" s="221"/>
      <c r="S834" s="221"/>
      <c r="T834" s="221"/>
      <c r="U834" s="221"/>
      <c r="V834" s="221"/>
      <c r="W834" s="221"/>
      <c r="X834" s="221"/>
      <c r="Y834" s="221"/>
      <c r="Z834" s="221"/>
    </row>
    <row r="835" spans="1:26" ht="18.75" customHeight="1">
      <c r="A835" s="221"/>
      <c r="B835" s="221"/>
      <c r="C835" s="255"/>
      <c r="D835" s="255"/>
      <c r="E835" s="221"/>
      <c r="F835" s="221"/>
      <c r="G835" s="221"/>
      <c r="H835" s="221"/>
      <c r="I835" s="221"/>
      <c r="J835" s="221"/>
      <c r="K835" s="221"/>
      <c r="L835" s="255"/>
      <c r="M835" s="255"/>
      <c r="N835" s="221"/>
      <c r="O835" s="221"/>
      <c r="P835" s="221"/>
      <c r="Q835" s="221"/>
      <c r="R835" s="221"/>
      <c r="S835" s="221"/>
      <c r="T835" s="221"/>
      <c r="U835" s="221"/>
      <c r="V835" s="221"/>
      <c r="W835" s="221"/>
      <c r="X835" s="221"/>
      <c r="Y835" s="221"/>
      <c r="Z835" s="221"/>
    </row>
    <row r="836" spans="1:26" ht="18.75" customHeight="1">
      <c r="A836" s="221"/>
      <c r="B836" s="221"/>
      <c r="C836" s="255"/>
      <c r="D836" s="255"/>
      <c r="E836" s="221"/>
      <c r="F836" s="221"/>
      <c r="G836" s="221"/>
      <c r="H836" s="221"/>
      <c r="I836" s="221"/>
      <c r="J836" s="221"/>
      <c r="K836" s="221"/>
      <c r="L836" s="255"/>
      <c r="M836" s="255"/>
      <c r="N836" s="221"/>
      <c r="O836" s="221"/>
      <c r="P836" s="221"/>
      <c r="Q836" s="221"/>
      <c r="R836" s="221"/>
      <c r="S836" s="221"/>
      <c r="T836" s="221"/>
      <c r="U836" s="221"/>
      <c r="V836" s="221"/>
      <c r="W836" s="221"/>
      <c r="X836" s="221"/>
      <c r="Y836" s="221"/>
      <c r="Z836" s="221"/>
    </row>
    <row r="837" spans="1:26" ht="18.75" customHeight="1">
      <c r="A837" s="221"/>
      <c r="B837" s="221"/>
      <c r="C837" s="255"/>
      <c r="D837" s="255"/>
      <c r="E837" s="221"/>
      <c r="F837" s="221"/>
      <c r="G837" s="221"/>
      <c r="H837" s="221"/>
      <c r="I837" s="221"/>
      <c r="J837" s="221"/>
      <c r="K837" s="221"/>
      <c r="L837" s="255"/>
      <c r="M837" s="255"/>
      <c r="N837" s="221"/>
      <c r="O837" s="221"/>
      <c r="P837" s="221"/>
      <c r="Q837" s="221"/>
      <c r="R837" s="221"/>
      <c r="S837" s="221"/>
      <c r="T837" s="221"/>
      <c r="U837" s="221"/>
      <c r="V837" s="221"/>
      <c r="W837" s="221"/>
      <c r="X837" s="221"/>
      <c r="Y837" s="221"/>
      <c r="Z837" s="221"/>
    </row>
    <row r="838" spans="1:26" ht="18.75" customHeight="1">
      <c r="A838" s="221"/>
      <c r="B838" s="221"/>
      <c r="C838" s="255"/>
      <c r="D838" s="255"/>
      <c r="E838" s="221"/>
      <c r="F838" s="221"/>
      <c r="G838" s="221"/>
      <c r="H838" s="221"/>
      <c r="I838" s="221"/>
      <c r="J838" s="221"/>
      <c r="K838" s="221"/>
      <c r="L838" s="255"/>
      <c r="M838" s="255"/>
      <c r="N838" s="221"/>
      <c r="O838" s="221"/>
      <c r="P838" s="221"/>
      <c r="Q838" s="221"/>
      <c r="R838" s="221"/>
      <c r="S838" s="221"/>
      <c r="T838" s="221"/>
      <c r="U838" s="221"/>
      <c r="V838" s="221"/>
      <c r="W838" s="221"/>
      <c r="X838" s="221"/>
      <c r="Y838" s="221"/>
      <c r="Z838" s="221"/>
    </row>
    <row r="839" spans="1:26" ht="18.75" customHeight="1">
      <c r="A839" s="221"/>
      <c r="B839" s="221"/>
      <c r="C839" s="255"/>
      <c r="D839" s="255"/>
      <c r="E839" s="221"/>
      <c r="F839" s="221"/>
      <c r="G839" s="221"/>
      <c r="H839" s="221"/>
      <c r="I839" s="221"/>
      <c r="J839" s="221"/>
      <c r="K839" s="221"/>
      <c r="L839" s="255"/>
      <c r="M839" s="255"/>
      <c r="N839" s="221"/>
      <c r="O839" s="221"/>
      <c r="P839" s="221"/>
      <c r="Q839" s="221"/>
      <c r="R839" s="221"/>
      <c r="S839" s="221"/>
      <c r="T839" s="221"/>
      <c r="U839" s="221"/>
      <c r="V839" s="221"/>
      <c r="W839" s="221"/>
      <c r="X839" s="221"/>
      <c r="Y839" s="221"/>
      <c r="Z839" s="221"/>
    </row>
    <row r="840" spans="1:26" ht="18.75" customHeight="1">
      <c r="A840" s="221"/>
      <c r="B840" s="221"/>
      <c r="C840" s="255"/>
      <c r="D840" s="255"/>
      <c r="E840" s="221"/>
      <c r="F840" s="221"/>
      <c r="G840" s="221"/>
      <c r="H840" s="221"/>
      <c r="I840" s="221"/>
      <c r="J840" s="221"/>
      <c r="K840" s="221"/>
      <c r="L840" s="255"/>
      <c r="M840" s="255"/>
      <c r="N840" s="221"/>
      <c r="O840" s="221"/>
      <c r="P840" s="221"/>
      <c r="Q840" s="221"/>
      <c r="R840" s="221"/>
      <c r="S840" s="221"/>
      <c r="T840" s="221"/>
      <c r="U840" s="221"/>
      <c r="V840" s="221"/>
      <c r="W840" s="221"/>
      <c r="X840" s="221"/>
      <c r="Y840" s="221"/>
      <c r="Z840" s="221"/>
    </row>
    <row r="841" spans="1:26" ht="18.75" customHeight="1">
      <c r="A841" s="221"/>
      <c r="B841" s="221"/>
      <c r="C841" s="255"/>
      <c r="D841" s="255"/>
      <c r="E841" s="221"/>
      <c r="F841" s="221"/>
      <c r="G841" s="221"/>
      <c r="H841" s="221"/>
      <c r="I841" s="221"/>
      <c r="J841" s="221"/>
      <c r="K841" s="221"/>
      <c r="L841" s="255"/>
      <c r="M841" s="255"/>
      <c r="N841" s="221"/>
      <c r="O841" s="221"/>
      <c r="P841" s="221"/>
      <c r="Q841" s="221"/>
      <c r="R841" s="221"/>
      <c r="S841" s="221"/>
      <c r="T841" s="221"/>
      <c r="U841" s="221"/>
      <c r="V841" s="221"/>
      <c r="W841" s="221"/>
      <c r="X841" s="221"/>
      <c r="Y841" s="221"/>
      <c r="Z841" s="221"/>
    </row>
    <row r="842" spans="1:26" ht="18.75" customHeight="1">
      <c r="A842" s="221"/>
      <c r="B842" s="221"/>
      <c r="C842" s="255"/>
      <c r="D842" s="255"/>
      <c r="E842" s="221"/>
      <c r="F842" s="221"/>
      <c r="G842" s="221"/>
      <c r="H842" s="221"/>
      <c r="I842" s="221"/>
      <c r="J842" s="221"/>
      <c r="K842" s="221"/>
      <c r="L842" s="255"/>
      <c r="M842" s="255"/>
      <c r="N842" s="221"/>
      <c r="O842" s="221"/>
      <c r="P842" s="221"/>
      <c r="Q842" s="221"/>
      <c r="R842" s="221"/>
      <c r="S842" s="221"/>
      <c r="T842" s="221"/>
      <c r="U842" s="221"/>
      <c r="V842" s="221"/>
      <c r="W842" s="221"/>
      <c r="X842" s="221"/>
      <c r="Y842" s="221"/>
      <c r="Z842" s="221"/>
    </row>
    <row r="843" spans="1:26" ht="18.75" customHeight="1">
      <c r="A843" s="221"/>
      <c r="B843" s="221"/>
      <c r="C843" s="255"/>
      <c r="D843" s="255"/>
      <c r="E843" s="221"/>
      <c r="F843" s="221"/>
      <c r="G843" s="221"/>
      <c r="H843" s="221"/>
      <c r="I843" s="221"/>
      <c r="J843" s="221"/>
      <c r="K843" s="221"/>
      <c r="L843" s="255"/>
      <c r="M843" s="255"/>
      <c r="N843" s="221"/>
      <c r="O843" s="221"/>
      <c r="P843" s="221"/>
      <c r="Q843" s="221"/>
      <c r="R843" s="221"/>
      <c r="S843" s="221"/>
      <c r="T843" s="221"/>
      <c r="U843" s="221"/>
      <c r="V843" s="221"/>
      <c r="W843" s="221"/>
      <c r="X843" s="221"/>
      <c r="Y843" s="221"/>
      <c r="Z843" s="221"/>
    </row>
    <row r="844" spans="1:26" ht="18.75" customHeight="1">
      <c r="A844" s="221"/>
      <c r="B844" s="221"/>
      <c r="C844" s="255"/>
      <c r="D844" s="255"/>
      <c r="E844" s="221"/>
      <c r="F844" s="221"/>
      <c r="G844" s="221"/>
      <c r="H844" s="221"/>
      <c r="I844" s="221"/>
      <c r="J844" s="221"/>
      <c r="K844" s="221"/>
      <c r="L844" s="255"/>
      <c r="M844" s="255"/>
      <c r="N844" s="221"/>
      <c r="O844" s="221"/>
      <c r="P844" s="221"/>
      <c r="Q844" s="221"/>
      <c r="R844" s="221"/>
      <c r="S844" s="221"/>
      <c r="T844" s="221"/>
      <c r="U844" s="221"/>
      <c r="V844" s="221"/>
      <c r="W844" s="221"/>
      <c r="X844" s="221"/>
      <c r="Y844" s="221"/>
      <c r="Z844" s="221"/>
    </row>
    <row r="845" spans="1:26" ht="18.75" customHeight="1">
      <c r="A845" s="221"/>
      <c r="B845" s="221"/>
      <c r="C845" s="255"/>
      <c r="D845" s="255"/>
      <c r="E845" s="221"/>
      <c r="F845" s="221"/>
      <c r="G845" s="221"/>
      <c r="H845" s="221"/>
      <c r="I845" s="221"/>
      <c r="J845" s="221"/>
      <c r="K845" s="221"/>
      <c r="L845" s="255"/>
      <c r="M845" s="255"/>
      <c r="N845" s="221"/>
      <c r="O845" s="221"/>
      <c r="P845" s="221"/>
      <c r="Q845" s="221"/>
      <c r="R845" s="221"/>
      <c r="S845" s="221"/>
      <c r="T845" s="221"/>
      <c r="U845" s="221"/>
      <c r="V845" s="221"/>
      <c r="W845" s="221"/>
      <c r="X845" s="221"/>
      <c r="Y845" s="221"/>
      <c r="Z845" s="221"/>
    </row>
    <row r="846" spans="1:26" ht="18.75" customHeight="1">
      <c r="A846" s="221"/>
      <c r="B846" s="221"/>
      <c r="C846" s="255"/>
      <c r="D846" s="255"/>
      <c r="E846" s="221"/>
      <c r="F846" s="221"/>
      <c r="G846" s="221"/>
      <c r="H846" s="221"/>
      <c r="I846" s="221"/>
      <c r="J846" s="221"/>
      <c r="K846" s="221"/>
      <c r="L846" s="255"/>
      <c r="M846" s="255"/>
      <c r="N846" s="221"/>
      <c r="O846" s="221"/>
      <c r="P846" s="221"/>
      <c r="Q846" s="221"/>
      <c r="R846" s="221"/>
      <c r="S846" s="221"/>
      <c r="T846" s="221"/>
      <c r="U846" s="221"/>
      <c r="V846" s="221"/>
      <c r="W846" s="221"/>
      <c r="X846" s="221"/>
      <c r="Y846" s="221"/>
      <c r="Z846" s="221"/>
    </row>
    <row r="847" spans="1:26" ht="18.75" customHeight="1">
      <c r="A847" s="221"/>
      <c r="B847" s="221"/>
      <c r="C847" s="255"/>
      <c r="D847" s="255"/>
      <c r="E847" s="221"/>
      <c r="F847" s="221"/>
      <c r="G847" s="221"/>
      <c r="H847" s="221"/>
      <c r="I847" s="221"/>
      <c r="J847" s="221"/>
      <c r="K847" s="221"/>
      <c r="L847" s="255"/>
      <c r="M847" s="255"/>
      <c r="N847" s="221"/>
      <c r="O847" s="221"/>
      <c r="P847" s="221"/>
      <c r="Q847" s="221"/>
      <c r="R847" s="221"/>
      <c r="S847" s="221"/>
      <c r="T847" s="221"/>
      <c r="U847" s="221"/>
      <c r="V847" s="221"/>
      <c r="W847" s="221"/>
      <c r="X847" s="221"/>
      <c r="Y847" s="221"/>
      <c r="Z847" s="221"/>
    </row>
    <row r="848" spans="1:26" ht="18.75" customHeight="1">
      <c r="A848" s="221"/>
      <c r="B848" s="221"/>
      <c r="C848" s="255"/>
      <c r="D848" s="255"/>
      <c r="E848" s="221"/>
      <c r="F848" s="221"/>
      <c r="G848" s="221"/>
      <c r="H848" s="221"/>
      <c r="I848" s="221"/>
      <c r="J848" s="221"/>
      <c r="K848" s="221"/>
      <c r="L848" s="255"/>
      <c r="M848" s="255"/>
      <c r="N848" s="221"/>
      <c r="O848" s="221"/>
      <c r="P848" s="221"/>
      <c r="Q848" s="221"/>
      <c r="R848" s="221"/>
      <c r="S848" s="221"/>
      <c r="T848" s="221"/>
      <c r="U848" s="221"/>
      <c r="V848" s="221"/>
      <c r="W848" s="221"/>
      <c r="X848" s="221"/>
      <c r="Y848" s="221"/>
      <c r="Z848" s="221"/>
    </row>
    <row r="849" spans="1:26" ht="18.75" customHeight="1">
      <c r="A849" s="221"/>
      <c r="B849" s="221"/>
      <c r="C849" s="255"/>
      <c r="D849" s="255"/>
      <c r="E849" s="221"/>
      <c r="F849" s="221"/>
      <c r="G849" s="221"/>
      <c r="H849" s="221"/>
      <c r="I849" s="221"/>
      <c r="J849" s="221"/>
      <c r="K849" s="221"/>
      <c r="L849" s="255"/>
      <c r="M849" s="255"/>
      <c r="N849" s="221"/>
      <c r="O849" s="221"/>
      <c r="P849" s="221"/>
      <c r="Q849" s="221"/>
      <c r="R849" s="221"/>
      <c r="S849" s="221"/>
      <c r="T849" s="221"/>
      <c r="U849" s="221"/>
      <c r="V849" s="221"/>
      <c r="W849" s="221"/>
      <c r="X849" s="221"/>
      <c r="Y849" s="221"/>
      <c r="Z849" s="221"/>
    </row>
    <row r="850" spans="1:26" ht="18.75" customHeight="1">
      <c r="A850" s="221"/>
      <c r="B850" s="221"/>
      <c r="C850" s="255"/>
      <c r="D850" s="255"/>
      <c r="E850" s="221"/>
      <c r="F850" s="221"/>
      <c r="G850" s="221"/>
      <c r="H850" s="221"/>
      <c r="I850" s="221"/>
      <c r="J850" s="221"/>
      <c r="K850" s="221"/>
      <c r="L850" s="255"/>
      <c r="M850" s="255"/>
      <c r="N850" s="221"/>
      <c r="O850" s="221"/>
      <c r="P850" s="221"/>
      <c r="Q850" s="221"/>
      <c r="R850" s="221"/>
      <c r="S850" s="221"/>
      <c r="T850" s="221"/>
      <c r="U850" s="221"/>
      <c r="V850" s="221"/>
      <c r="W850" s="221"/>
      <c r="X850" s="221"/>
      <c r="Y850" s="221"/>
      <c r="Z850" s="221"/>
    </row>
    <row r="851" spans="1:26" ht="18.75" customHeight="1">
      <c r="A851" s="221"/>
      <c r="B851" s="221"/>
      <c r="C851" s="255"/>
      <c r="D851" s="255"/>
      <c r="E851" s="221"/>
      <c r="F851" s="221"/>
      <c r="G851" s="221"/>
      <c r="H851" s="221"/>
      <c r="I851" s="221"/>
      <c r="J851" s="221"/>
      <c r="K851" s="221"/>
      <c r="L851" s="255"/>
      <c r="M851" s="255"/>
      <c r="N851" s="221"/>
      <c r="O851" s="221"/>
      <c r="P851" s="221"/>
      <c r="Q851" s="221"/>
      <c r="R851" s="221"/>
      <c r="S851" s="221"/>
      <c r="T851" s="221"/>
      <c r="U851" s="221"/>
      <c r="V851" s="221"/>
      <c r="W851" s="221"/>
      <c r="X851" s="221"/>
      <c r="Y851" s="221"/>
      <c r="Z851" s="221"/>
    </row>
    <row r="852" spans="1:26" ht="18.75" customHeight="1">
      <c r="A852" s="221"/>
      <c r="B852" s="221"/>
      <c r="C852" s="255"/>
      <c r="D852" s="255"/>
      <c r="E852" s="221"/>
      <c r="F852" s="221"/>
      <c r="G852" s="221"/>
      <c r="H852" s="221"/>
      <c r="I852" s="221"/>
      <c r="J852" s="221"/>
      <c r="K852" s="221"/>
      <c r="L852" s="255"/>
      <c r="M852" s="255"/>
      <c r="N852" s="221"/>
      <c r="O852" s="221"/>
      <c r="P852" s="221"/>
      <c r="Q852" s="221"/>
      <c r="R852" s="221"/>
      <c r="S852" s="221"/>
      <c r="T852" s="221"/>
      <c r="U852" s="221"/>
      <c r="V852" s="221"/>
      <c r="W852" s="221"/>
      <c r="X852" s="221"/>
      <c r="Y852" s="221"/>
      <c r="Z852" s="221"/>
    </row>
    <row r="853" spans="1:26" ht="18.75" customHeight="1">
      <c r="A853" s="221"/>
      <c r="B853" s="221"/>
      <c r="C853" s="255"/>
      <c r="D853" s="255"/>
      <c r="E853" s="221"/>
      <c r="F853" s="221"/>
      <c r="G853" s="221"/>
      <c r="H853" s="221"/>
      <c r="I853" s="221"/>
      <c r="J853" s="221"/>
      <c r="K853" s="221"/>
      <c r="L853" s="255"/>
      <c r="M853" s="255"/>
      <c r="N853" s="221"/>
      <c r="O853" s="221"/>
      <c r="P853" s="221"/>
      <c r="Q853" s="221"/>
      <c r="R853" s="221"/>
      <c r="S853" s="221"/>
      <c r="T853" s="221"/>
      <c r="U853" s="221"/>
      <c r="V853" s="221"/>
      <c r="W853" s="221"/>
      <c r="X853" s="221"/>
      <c r="Y853" s="221"/>
      <c r="Z853" s="221"/>
    </row>
    <row r="854" spans="1:26" ht="18.75" customHeight="1">
      <c r="A854" s="221"/>
      <c r="B854" s="221"/>
      <c r="C854" s="255"/>
      <c r="D854" s="255"/>
      <c r="E854" s="221"/>
      <c r="F854" s="221"/>
      <c r="G854" s="221"/>
      <c r="H854" s="221"/>
      <c r="I854" s="221"/>
      <c r="J854" s="221"/>
      <c r="K854" s="221"/>
      <c r="L854" s="255"/>
      <c r="M854" s="255"/>
      <c r="N854" s="221"/>
      <c r="O854" s="221"/>
      <c r="P854" s="221"/>
      <c r="Q854" s="221"/>
      <c r="R854" s="221"/>
      <c r="S854" s="221"/>
      <c r="T854" s="221"/>
      <c r="U854" s="221"/>
      <c r="V854" s="221"/>
      <c r="W854" s="221"/>
      <c r="X854" s="221"/>
      <c r="Y854" s="221"/>
      <c r="Z854" s="221"/>
    </row>
    <row r="855" spans="1:26" ht="18.75" customHeight="1">
      <c r="A855" s="221"/>
      <c r="B855" s="221"/>
      <c r="C855" s="255"/>
      <c r="D855" s="255"/>
      <c r="E855" s="221"/>
      <c r="F855" s="221"/>
      <c r="G855" s="221"/>
      <c r="H855" s="221"/>
      <c r="I855" s="221"/>
      <c r="J855" s="221"/>
      <c r="K855" s="221"/>
      <c r="L855" s="255"/>
      <c r="M855" s="255"/>
      <c r="N855" s="221"/>
      <c r="O855" s="221"/>
      <c r="P855" s="221"/>
      <c r="Q855" s="221"/>
      <c r="R855" s="221"/>
      <c r="S855" s="221"/>
      <c r="T855" s="221"/>
      <c r="U855" s="221"/>
      <c r="V855" s="221"/>
      <c r="W855" s="221"/>
      <c r="X855" s="221"/>
      <c r="Y855" s="221"/>
      <c r="Z855" s="221"/>
    </row>
    <row r="856" spans="1:26" ht="18.75" customHeight="1">
      <c r="A856" s="221"/>
      <c r="B856" s="221"/>
      <c r="C856" s="255"/>
      <c r="D856" s="255"/>
      <c r="E856" s="221"/>
      <c r="F856" s="221"/>
      <c r="G856" s="221"/>
      <c r="H856" s="221"/>
      <c r="I856" s="221"/>
      <c r="J856" s="221"/>
      <c r="K856" s="221"/>
      <c r="L856" s="255"/>
      <c r="M856" s="255"/>
      <c r="N856" s="221"/>
      <c r="O856" s="221"/>
      <c r="P856" s="221"/>
      <c r="Q856" s="221"/>
      <c r="R856" s="221"/>
      <c r="S856" s="221"/>
      <c r="T856" s="221"/>
      <c r="U856" s="221"/>
      <c r="V856" s="221"/>
      <c r="W856" s="221"/>
      <c r="X856" s="221"/>
      <c r="Y856" s="221"/>
      <c r="Z856" s="221"/>
    </row>
    <row r="857" spans="1:26" ht="18.75" customHeight="1">
      <c r="A857" s="221"/>
      <c r="B857" s="221"/>
      <c r="C857" s="255"/>
      <c r="D857" s="255"/>
      <c r="E857" s="221"/>
      <c r="F857" s="221"/>
      <c r="G857" s="221"/>
      <c r="H857" s="221"/>
      <c r="I857" s="221"/>
      <c r="J857" s="221"/>
      <c r="K857" s="221"/>
      <c r="L857" s="255"/>
      <c r="M857" s="255"/>
      <c r="N857" s="221"/>
      <c r="O857" s="221"/>
      <c r="P857" s="221"/>
      <c r="Q857" s="221"/>
      <c r="R857" s="221"/>
      <c r="S857" s="221"/>
      <c r="T857" s="221"/>
      <c r="U857" s="221"/>
      <c r="V857" s="221"/>
      <c r="W857" s="221"/>
      <c r="X857" s="221"/>
      <c r="Y857" s="221"/>
      <c r="Z857" s="221"/>
    </row>
    <row r="858" spans="1:26" ht="18.75" customHeight="1">
      <c r="A858" s="221"/>
      <c r="B858" s="221"/>
      <c r="C858" s="255"/>
      <c r="D858" s="255"/>
      <c r="E858" s="221"/>
      <c r="F858" s="221"/>
      <c r="G858" s="221"/>
      <c r="H858" s="221"/>
      <c r="I858" s="221"/>
      <c r="J858" s="221"/>
      <c r="K858" s="221"/>
      <c r="L858" s="255"/>
      <c r="M858" s="255"/>
      <c r="N858" s="221"/>
      <c r="O858" s="221"/>
      <c r="P858" s="221"/>
      <c r="Q858" s="221"/>
      <c r="R858" s="221"/>
      <c r="S858" s="221"/>
      <c r="T858" s="221"/>
      <c r="U858" s="221"/>
      <c r="V858" s="221"/>
      <c r="W858" s="221"/>
      <c r="X858" s="221"/>
      <c r="Y858" s="221"/>
      <c r="Z858" s="221"/>
    </row>
    <row r="859" spans="1:26" ht="18.75" customHeight="1">
      <c r="A859" s="221"/>
      <c r="B859" s="221"/>
      <c r="C859" s="255"/>
      <c r="D859" s="255"/>
      <c r="E859" s="221"/>
      <c r="F859" s="221"/>
      <c r="G859" s="221"/>
      <c r="H859" s="221"/>
      <c r="I859" s="221"/>
      <c r="J859" s="221"/>
      <c r="K859" s="221"/>
      <c r="L859" s="255"/>
      <c r="M859" s="255"/>
      <c r="N859" s="221"/>
      <c r="O859" s="221"/>
      <c r="P859" s="221"/>
      <c r="Q859" s="221"/>
      <c r="R859" s="221"/>
      <c r="S859" s="221"/>
      <c r="T859" s="221"/>
      <c r="U859" s="221"/>
      <c r="V859" s="221"/>
      <c r="W859" s="221"/>
      <c r="X859" s="221"/>
      <c r="Y859" s="221"/>
      <c r="Z859" s="221"/>
    </row>
    <row r="860" spans="1:26" ht="18.75" customHeight="1">
      <c r="A860" s="221"/>
      <c r="B860" s="221"/>
      <c r="C860" s="255"/>
      <c r="D860" s="255"/>
      <c r="E860" s="221"/>
      <c r="F860" s="221"/>
      <c r="G860" s="221"/>
      <c r="H860" s="221"/>
      <c r="I860" s="221"/>
      <c r="J860" s="221"/>
      <c r="K860" s="221"/>
      <c r="L860" s="255"/>
      <c r="M860" s="255"/>
      <c r="N860" s="221"/>
      <c r="O860" s="221"/>
      <c r="P860" s="221"/>
      <c r="Q860" s="221"/>
      <c r="R860" s="221"/>
      <c r="S860" s="221"/>
      <c r="T860" s="221"/>
      <c r="U860" s="221"/>
      <c r="V860" s="221"/>
      <c r="W860" s="221"/>
      <c r="X860" s="221"/>
      <c r="Y860" s="221"/>
      <c r="Z860" s="221"/>
    </row>
    <row r="861" spans="1:26" ht="18.75" customHeight="1">
      <c r="A861" s="221"/>
      <c r="B861" s="221"/>
      <c r="C861" s="255"/>
      <c r="D861" s="255"/>
      <c r="E861" s="221"/>
      <c r="F861" s="221"/>
      <c r="G861" s="221"/>
      <c r="H861" s="221"/>
      <c r="I861" s="221"/>
      <c r="J861" s="221"/>
      <c r="K861" s="221"/>
      <c r="L861" s="255"/>
      <c r="M861" s="255"/>
      <c r="N861" s="221"/>
      <c r="O861" s="221"/>
      <c r="P861" s="221"/>
      <c r="Q861" s="221"/>
      <c r="R861" s="221"/>
      <c r="S861" s="221"/>
      <c r="T861" s="221"/>
      <c r="U861" s="221"/>
      <c r="V861" s="221"/>
      <c r="W861" s="221"/>
      <c r="X861" s="221"/>
      <c r="Y861" s="221"/>
      <c r="Z861" s="221"/>
    </row>
    <row r="862" spans="1:26" ht="18.75" customHeight="1">
      <c r="A862" s="221"/>
      <c r="B862" s="221"/>
      <c r="C862" s="255"/>
      <c r="D862" s="255"/>
      <c r="E862" s="221"/>
      <c r="F862" s="221"/>
      <c r="G862" s="221"/>
      <c r="H862" s="221"/>
      <c r="I862" s="221"/>
      <c r="J862" s="221"/>
      <c r="K862" s="221"/>
      <c r="L862" s="255"/>
      <c r="M862" s="255"/>
      <c r="N862" s="221"/>
      <c r="O862" s="221"/>
      <c r="P862" s="221"/>
      <c r="Q862" s="221"/>
      <c r="R862" s="221"/>
      <c r="S862" s="221"/>
      <c r="T862" s="221"/>
      <c r="U862" s="221"/>
      <c r="V862" s="221"/>
      <c r="W862" s="221"/>
      <c r="X862" s="221"/>
      <c r="Y862" s="221"/>
      <c r="Z862" s="221"/>
    </row>
    <row r="863" spans="1:26" ht="18.75" customHeight="1">
      <c r="A863" s="221"/>
      <c r="B863" s="221"/>
      <c r="C863" s="255"/>
      <c r="D863" s="255"/>
      <c r="E863" s="221"/>
      <c r="F863" s="221"/>
      <c r="G863" s="221"/>
      <c r="H863" s="221"/>
      <c r="I863" s="221"/>
      <c r="J863" s="221"/>
      <c r="K863" s="221"/>
      <c r="L863" s="255"/>
      <c r="M863" s="255"/>
      <c r="N863" s="221"/>
      <c r="O863" s="221"/>
      <c r="P863" s="221"/>
      <c r="Q863" s="221"/>
      <c r="R863" s="221"/>
      <c r="S863" s="221"/>
      <c r="T863" s="221"/>
      <c r="U863" s="221"/>
      <c r="V863" s="221"/>
      <c r="W863" s="221"/>
      <c r="X863" s="221"/>
      <c r="Y863" s="221"/>
      <c r="Z863" s="221"/>
    </row>
    <row r="864" spans="1:26" ht="18.75" customHeight="1">
      <c r="A864" s="221"/>
      <c r="B864" s="221"/>
      <c r="C864" s="255"/>
      <c r="D864" s="255"/>
      <c r="E864" s="221"/>
      <c r="F864" s="221"/>
      <c r="G864" s="221"/>
      <c r="H864" s="221"/>
      <c r="I864" s="221"/>
      <c r="J864" s="221"/>
      <c r="K864" s="221"/>
      <c r="L864" s="255"/>
      <c r="M864" s="255"/>
      <c r="N864" s="221"/>
      <c r="O864" s="221"/>
      <c r="P864" s="221"/>
      <c r="Q864" s="221"/>
      <c r="R864" s="221"/>
      <c r="S864" s="221"/>
      <c r="T864" s="221"/>
      <c r="U864" s="221"/>
      <c r="V864" s="221"/>
      <c r="W864" s="221"/>
      <c r="X864" s="221"/>
      <c r="Y864" s="221"/>
      <c r="Z864" s="221"/>
    </row>
    <row r="865" spans="1:26" ht="18.75" customHeight="1">
      <c r="A865" s="221"/>
      <c r="B865" s="221"/>
      <c r="C865" s="255"/>
      <c r="D865" s="255"/>
      <c r="E865" s="221"/>
      <c r="F865" s="221"/>
      <c r="G865" s="221"/>
      <c r="H865" s="221"/>
      <c r="I865" s="221"/>
      <c r="J865" s="221"/>
      <c r="K865" s="221"/>
      <c r="L865" s="255"/>
      <c r="M865" s="255"/>
      <c r="N865" s="221"/>
      <c r="O865" s="221"/>
      <c r="P865" s="221"/>
      <c r="Q865" s="221"/>
      <c r="R865" s="221"/>
      <c r="S865" s="221"/>
      <c r="T865" s="221"/>
      <c r="U865" s="221"/>
      <c r="V865" s="221"/>
      <c r="W865" s="221"/>
      <c r="X865" s="221"/>
      <c r="Y865" s="221"/>
      <c r="Z865" s="221"/>
    </row>
    <row r="866" spans="1:26" ht="18.75" customHeight="1">
      <c r="A866" s="221"/>
      <c r="B866" s="221"/>
      <c r="C866" s="255"/>
      <c r="D866" s="255"/>
      <c r="E866" s="221"/>
      <c r="F866" s="221"/>
      <c r="G866" s="221"/>
      <c r="H866" s="221"/>
      <c r="I866" s="221"/>
      <c r="J866" s="221"/>
      <c r="K866" s="221"/>
      <c r="L866" s="255"/>
      <c r="M866" s="255"/>
      <c r="N866" s="221"/>
      <c r="O866" s="221"/>
      <c r="P866" s="221"/>
      <c r="Q866" s="221"/>
      <c r="R866" s="221"/>
      <c r="S866" s="221"/>
      <c r="T866" s="221"/>
      <c r="U866" s="221"/>
      <c r="V866" s="221"/>
      <c r="W866" s="221"/>
      <c r="X866" s="221"/>
      <c r="Y866" s="221"/>
      <c r="Z866" s="221"/>
    </row>
    <row r="867" spans="1:26" ht="18.75" customHeight="1">
      <c r="A867" s="221"/>
      <c r="B867" s="221"/>
      <c r="C867" s="255"/>
      <c r="D867" s="255"/>
      <c r="E867" s="221"/>
      <c r="F867" s="221"/>
      <c r="G867" s="221"/>
      <c r="H867" s="221"/>
      <c r="I867" s="221"/>
      <c r="J867" s="221"/>
      <c r="K867" s="221"/>
      <c r="L867" s="255"/>
      <c r="M867" s="255"/>
      <c r="N867" s="221"/>
      <c r="O867" s="221"/>
      <c r="P867" s="221"/>
      <c r="Q867" s="221"/>
      <c r="R867" s="221"/>
      <c r="S867" s="221"/>
      <c r="T867" s="221"/>
      <c r="U867" s="221"/>
      <c r="V867" s="221"/>
      <c r="W867" s="221"/>
      <c r="X867" s="221"/>
      <c r="Y867" s="221"/>
      <c r="Z867" s="221"/>
    </row>
    <row r="868" spans="1:26" ht="18.75" customHeight="1">
      <c r="A868" s="221"/>
      <c r="B868" s="221"/>
      <c r="C868" s="255"/>
      <c r="D868" s="255"/>
      <c r="E868" s="221"/>
      <c r="F868" s="221"/>
      <c r="G868" s="221"/>
      <c r="H868" s="221"/>
      <c r="I868" s="221"/>
      <c r="J868" s="221"/>
      <c r="K868" s="221"/>
      <c r="L868" s="255"/>
      <c r="M868" s="255"/>
      <c r="N868" s="221"/>
      <c r="O868" s="221"/>
      <c r="P868" s="221"/>
      <c r="Q868" s="221"/>
      <c r="R868" s="221"/>
      <c r="S868" s="221"/>
      <c r="T868" s="221"/>
      <c r="U868" s="221"/>
      <c r="V868" s="221"/>
      <c r="W868" s="221"/>
      <c r="X868" s="221"/>
      <c r="Y868" s="221"/>
      <c r="Z868" s="221"/>
    </row>
    <row r="869" spans="1:26" ht="18.75" customHeight="1">
      <c r="A869" s="221"/>
      <c r="B869" s="221"/>
      <c r="C869" s="255"/>
      <c r="D869" s="255"/>
      <c r="E869" s="221"/>
      <c r="F869" s="221"/>
      <c r="G869" s="221"/>
      <c r="H869" s="221"/>
      <c r="I869" s="221"/>
      <c r="J869" s="221"/>
      <c r="K869" s="221"/>
      <c r="L869" s="255"/>
      <c r="M869" s="255"/>
      <c r="N869" s="221"/>
      <c r="O869" s="221"/>
      <c r="P869" s="221"/>
      <c r="Q869" s="221"/>
      <c r="R869" s="221"/>
      <c r="S869" s="221"/>
      <c r="T869" s="221"/>
      <c r="U869" s="221"/>
      <c r="V869" s="221"/>
      <c r="W869" s="221"/>
      <c r="X869" s="221"/>
      <c r="Y869" s="221"/>
      <c r="Z869" s="221"/>
    </row>
    <row r="870" spans="1:26" ht="18.75" customHeight="1">
      <c r="A870" s="221"/>
      <c r="B870" s="221"/>
      <c r="C870" s="255"/>
      <c r="D870" s="255"/>
      <c r="E870" s="221"/>
      <c r="F870" s="221"/>
      <c r="G870" s="221"/>
      <c r="H870" s="221"/>
      <c r="I870" s="221"/>
      <c r="J870" s="221"/>
      <c r="K870" s="221"/>
      <c r="L870" s="255"/>
      <c r="M870" s="255"/>
      <c r="N870" s="221"/>
      <c r="O870" s="221"/>
      <c r="P870" s="221"/>
      <c r="Q870" s="221"/>
      <c r="R870" s="221"/>
      <c r="S870" s="221"/>
      <c r="T870" s="221"/>
      <c r="U870" s="221"/>
      <c r="V870" s="221"/>
      <c r="W870" s="221"/>
      <c r="X870" s="221"/>
      <c r="Y870" s="221"/>
      <c r="Z870" s="221"/>
    </row>
    <row r="871" spans="1:26" ht="18.75" customHeight="1">
      <c r="A871" s="221"/>
      <c r="B871" s="221"/>
      <c r="C871" s="255"/>
      <c r="D871" s="255"/>
      <c r="E871" s="221"/>
      <c r="F871" s="221"/>
      <c r="G871" s="221"/>
      <c r="H871" s="221"/>
      <c r="I871" s="221"/>
      <c r="J871" s="221"/>
      <c r="K871" s="221"/>
      <c r="L871" s="255"/>
      <c r="M871" s="255"/>
      <c r="N871" s="221"/>
      <c r="O871" s="221"/>
      <c r="P871" s="221"/>
      <c r="Q871" s="221"/>
      <c r="R871" s="221"/>
      <c r="S871" s="221"/>
      <c r="T871" s="221"/>
      <c r="U871" s="221"/>
      <c r="V871" s="221"/>
      <c r="W871" s="221"/>
      <c r="X871" s="221"/>
      <c r="Y871" s="221"/>
      <c r="Z871" s="221"/>
    </row>
    <row r="872" spans="1:26" ht="18.75" customHeight="1">
      <c r="A872" s="221"/>
      <c r="B872" s="221"/>
      <c r="C872" s="255"/>
      <c r="D872" s="255"/>
      <c r="E872" s="221"/>
      <c r="F872" s="221"/>
      <c r="G872" s="221"/>
      <c r="H872" s="221"/>
      <c r="I872" s="221"/>
      <c r="J872" s="221"/>
      <c r="K872" s="221"/>
      <c r="L872" s="255"/>
      <c r="M872" s="255"/>
      <c r="N872" s="221"/>
      <c r="O872" s="221"/>
      <c r="P872" s="221"/>
      <c r="Q872" s="221"/>
      <c r="R872" s="221"/>
      <c r="S872" s="221"/>
      <c r="T872" s="221"/>
      <c r="U872" s="221"/>
      <c r="V872" s="221"/>
      <c r="W872" s="221"/>
      <c r="X872" s="221"/>
      <c r="Y872" s="221"/>
      <c r="Z872" s="221"/>
    </row>
    <row r="873" spans="1:26" ht="18.75" customHeight="1">
      <c r="A873" s="221"/>
      <c r="B873" s="221"/>
      <c r="C873" s="255"/>
      <c r="D873" s="255"/>
      <c r="E873" s="221"/>
      <c r="F873" s="221"/>
      <c r="G873" s="221"/>
      <c r="H873" s="221"/>
      <c r="I873" s="221"/>
      <c r="J873" s="221"/>
      <c r="K873" s="221"/>
      <c r="L873" s="255"/>
      <c r="M873" s="255"/>
      <c r="N873" s="221"/>
      <c r="O873" s="221"/>
      <c r="P873" s="221"/>
      <c r="Q873" s="221"/>
      <c r="R873" s="221"/>
      <c r="S873" s="221"/>
      <c r="T873" s="221"/>
      <c r="U873" s="221"/>
      <c r="V873" s="221"/>
      <c r="W873" s="221"/>
      <c r="X873" s="221"/>
      <c r="Y873" s="221"/>
      <c r="Z873" s="221"/>
    </row>
    <row r="874" spans="1:26" ht="18.75" customHeight="1">
      <c r="A874" s="221"/>
      <c r="B874" s="221"/>
      <c r="C874" s="255"/>
      <c r="D874" s="255"/>
      <c r="E874" s="221"/>
      <c r="F874" s="221"/>
      <c r="G874" s="221"/>
      <c r="H874" s="221"/>
      <c r="I874" s="221"/>
      <c r="J874" s="221"/>
      <c r="K874" s="221"/>
      <c r="L874" s="255"/>
      <c r="M874" s="255"/>
      <c r="N874" s="221"/>
      <c r="O874" s="221"/>
      <c r="P874" s="221"/>
      <c r="Q874" s="221"/>
      <c r="R874" s="221"/>
      <c r="S874" s="221"/>
      <c r="T874" s="221"/>
      <c r="U874" s="221"/>
      <c r="V874" s="221"/>
      <c r="W874" s="221"/>
      <c r="X874" s="221"/>
      <c r="Y874" s="221"/>
      <c r="Z874" s="221"/>
    </row>
    <row r="875" spans="1:26" ht="18.75" customHeight="1">
      <c r="A875" s="221"/>
      <c r="B875" s="221"/>
      <c r="C875" s="255"/>
      <c r="D875" s="255"/>
      <c r="E875" s="221"/>
      <c r="F875" s="221"/>
      <c r="G875" s="221"/>
      <c r="H875" s="221"/>
      <c r="I875" s="221"/>
      <c r="J875" s="221"/>
      <c r="K875" s="221"/>
      <c r="L875" s="255"/>
      <c r="M875" s="255"/>
      <c r="N875" s="221"/>
      <c r="O875" s="221"/>
      <c r="P875" s="221"/>
      <c r="Q875" s="221"/>
      <c r="R875" s="221"/>
      <c r="S875" s="221"/>
      <c r="T875" s="221"/>
      <c r="U875" s="221"/>
      <c r="V875" s="221"/>
      <c r="W875" s="221"/>
      <c r="X875" s="221"/>
      <c r="Y875" s="221"/>
      <c r="Z875" s="221"/>
    </row>
    <row r="876" spans="1:26" ht="18.75" customHeight="1">
      <c r="A876" s="221"/>
      <c r="B876" s="221"/>
      <c r="C876" s="255"/>
      <c r="D876" s="255"/>
      <c r="E876" s="221"/>
      <c r="F876" s="221"/>
      <c r="G876" s="221"/>
      <c r="H876" s="221"/>
      <c r="I876" s="221"/>
      <c r="J876" s="221"/>
      <c r="K876" s="221"/>
      <c r="L876" s="255"/>
      <c r="M876" s="255"/>
      <c r="N876" s="221"/>
      <c r="O876" s="221"/>
      <c r="P876" s="221"/>
      <c r="Q876" s="221"/>
      <c r="R876" s="221"/>
      <c r="S876" s="221"/>
      <c r="T876" s="221"/>
      <c r="U876" s="221"/>
      <c r="V876" s="221"/>
      <c r="W876" s="221"/>
      <c r="X876" s="221"/>
      <c r="Y876" s="221"/>
      <c r="Z876" s="221"/>
    </row>
    <row r="877" spans="1:26" ht="18.75" customHeight="1">
      <c r="A877" s="221"/>
      <c r="B877" s="221"/>
      <c r="C877" s="255"/>
      <c r="D877" s="255"/>
      <c r="E877" s="221"/>
      <c r="F877" s="221"/>
      <c r="G877" s="221"/>
      <c r="H877" s="221"/>
      <c r="I877" s="221"/>
      <c r="J877" s="221"/>
      <c r="K877" s="221"/>
      <c r="L877" s="255"/>
      <c r="M877" s="255"/>
      <c r="N877" s="221"/>
      <c r="O877" s="221"/>
      <c r="P877" s="221"/>
      <c r="Q877" s="221"/>
      <c r="R877" s="221"/>
      <c r="S877" s="221"/>
      <c r="T877" s="221"/>
      <c r="U877" s="221"/>
      <c r="V877" s="221"/>
      <c r="W877" s="221"/>
      <c r="X877" s="221"/>
      <c r="Y877" s="221"/>
      <c r="Z877" s="221"/>
    </row>
    <row r="878" spans="1:26" ht="18.75" customHeight="1">
      <c r="A878" s="221"/>
      <c r="B878" s="221"/>
      <c r="C878" s="255"/>
      <c r="D878" s="255"/>
      <c r="E878" s="221"/>
      <c r="F878" s="221"/>
      <c r="G878" s="221"/>
      <c r="H878" s="221"/>
      <c r="I878" s="221"/>
      <c r="J878" s="221"/>
      <c r="K878" s="221"/>
      <c r="L878" s="255"/>
      <c r="M878" s="255"/>
      <c r="N878" s="221"/>
      <c r="O878" s="221"/>
      <c r="P878" s="221"/>
      <c r="Q878" s="221"/>
      <c r="R878" s="221"/>
      <c r="S878" s="221"/>
      <c r="T878" s="221"/>
      <c r="U878" s="221"/>
      <c r="V878" s="221"/>
      <c r="W878" s="221"/>
      <c r="X878" s="221"/>
      <c r="Y878" s="221"/>
      <c r="Z878" s="221"/>
    </row>
    <row r="879" spans="1:26" ht="18.75" customHeight="1">
      <c r="A879" s="221"/>
      <c r="B879" s="221"/>
      <c r="C879" s="255"/>
      <c r="D879" s="255"/>
      <c r="E879" s="221"/>
      <c r="F879" s="221"/>
      <c r="G879" s="221"/>
      <c r="H879" s="221"/>
      <c r="I879" s="221"/>
      <c r="J879" s="221"/>
      <c r="K879" s="221"/>
      <c r="L879" s="255"/>
      <c r="M879" s="255"/>
      <c r="N879" s="221"/>
      <c r="O879" s="221"/>
      <c r="P879" s="221"/>
      <c r="Q879" s="221"/>
      <c r="R879" s="221"/>
      <c r="S879" s="221"/>
      <c r="T879" s="221"/>
      <c r="U879" s="221"/>
      <c r="V879" s="221"/>
      <c r="W879" s="221"/>
      <c r="X879" s="221"/>
      <c r="Y879" s="221"/>
      <c r="Z879" s="221"/>
    </row>
    <row r="880" spans="1:26" ht="18.75" customHeight="1">
      <c r="A880" s="221"/>
      <c r="B880" s="221"/>
      <c r="C880" s="255"/>
      <c r="D880" s="255"/>
      <c r="E880" s="221"/>
      <c r="F880" s="221"/>
      <c r="G880" s="221"/>
      <c r="H880" s="221"/>
      <c r="I880" s="221"/>
      <c r="J880" s="221"/>
      <c r="K880" s="221"/>
      <c r="L880" s="255"/>
      <c r="M880" s="255"/>
      <c r="N880" s="221"/>
      <c r="O880" s="221"/>
      <c r="P880" s="221"/>
      <c r="Q880" s="221"/>
      <c r="R880" s="221"/>
      <c r="S880" s="221"/>
      <c r="T880" s="221"/>
      <c r="U880" s="221"/>
      <c r="V880" s="221"/>
      <c r="W880" s="221"/>
      <c r="X880" s="221"/>
      <c r="Y880" s="221"/>
      <c r="Z880" s="221"/>
    </row>
    <row r="881" spans="1:26" ht="18.75" customHeight="1">
      <c r="A881" s="221"/>
      <c r="B881" s="221"/>
      <c r="C881" s="255"/>
      <c r="D881" s="255"/>
      <c r="E881" s="221"/>
      <c r="F881" s="221"/>
      <c r="G881" s="221"/>
      <c r="H881" s="221"/>
      <c r="I881" s="221"/>
      <c r="J881" s="221"/>
      <c r="K881" s="221"/>
      <c r="L881" s="255"/>
      <c r="M881" s="255"/>
      <c r="N881" s="221"/>
      <c r="O881" s="221"/>
      <c r="P881" s="221"/>
      <c r="Q881" s="221"/>
      <c r="R881" s="221"/>
      <c r="S881" s="221"/>
      <c r="T881" s="221"/>
      <c r="U881" s="221"/>
      <c r="V881" s="221"/>
      <c r="W881" s="221"/>
      <c r="X881" s="221"/>
      <c r="Y881" s="221"/>
      <c r="Z881" s="221"/>
    </row>
    <row r="882" spans="1:26" ht="18.75" customHeight="1">
      <c r="A882" s="221"/>
      <c r="B882" s="221"/>
      <c r="C882" s="255"/>
      <c r="D882" s="255"/>
      <c r="E882" s="221"/>
      <c r="F882" s="221"/>
      <c r="G882" s="221"/>
      <c r="H882" s="221"/>
      <c r="I882" s="221"/>
      <c r="J882" s="221"/>
      <c r="K882" s="221"/>
      <c r="L882" s="255"/>
      <c r="M882" s="255"/>
      <c r="N882" s="221"/>
      <c r="O882" s="221"/>
      <c r="P882" s="221"/>
      <c r="Q882" s="221"/>
      <c r="R882" s="221"/>
      <c r="S882" s="221"/>
      <c r="T882" s="221"/>
      <c r="U882" s="221"/>
      <c r="V882" s="221"/>
      <c r="W882" s="221"/>
      <c r="X882" s="221"/>
      <c r="Y882" s="221"/>
      <c r="Z882" s="221"/>
    </row>
    <row r="883" spans="1:26" ht="18.75" customHeight="1">
      <c r="A883" s="221"/>
      <c r="B883" s="221"/>
      <c r="C883" s="255"/>
      <c r="D883" s="255"/>
      <c r="E883" s="221"/>
      <c r="F883" s="221"/>
      <c r="G883" s="221"/>
      <c r="H883" s="221"/>
      <c r="I883" s="221"/>
      <c r="J883" s="221"/>
      <c r="K883" s="221"/>
      <c r="L883" s="255"/>
      <c r="M883" s="255"/>
      <c r="N883" s="221"/>
      <c r="O883" s="221"/>
      <c r="P883" s="221"/>
      <c r="Q883" s="221"/>
      <c r="R883" s="221"/>
      <c r="S883" s="221"/>
      <c r="T883" s="221"/>
      <c r="U883" s="221"/>
      <c r="V883" s="221"/>
      <c r="W883" s="221"/>
      <c r="X883" s="221"/>
      <c r="Y883" s="221"/>
      <c r="Z883" s="221"/>
    </row>
    <row r="884" spans="1:26" ht="18.75" customHeight="1">
      <c r="A884" s="221"/>
      <c r="B884" s="221"/>
      <c r="C884" s="255"/>
      <c r="D884" s="255"/>
      <c r="E884" s="221"/>
      <c r="F884" s="221"/>
      <c r="G884" s="221"/>
      <c r="H884" s="221"/>
      <c r="I884" s="221"/>
      <c r="J884" s="221"/>
      <c r="K884" s="221"/>
      <c r="L884" s="255"/>
      <c r="M884" s="255"/>
      <c r="N884" s="221"/>
      <c r="O884" s="221"/>
      <c r="P884" s="221"/>
      <c r="Q884" s="221"/>
      <c r="R884" s="221"/>
      <c r="S884" s="221"/>
      <c r="T884" s="221"/>
      <c r="U884" s="221"/>
      <c r="V884" s="221"/>
      <c r="W884" s="221"/>
      <c r="X884" s="221"/>
      <c r="Y884" s="221"/>
      <c r="Z884" s="221"/>
    </row>
    <row r="885" spans="1:26" ht="18.75" customHeight="1">
      <c r="A885" s="221"/>
      <c r="B885" s="221"/>
      <c r="C885" s="255"/>
      <c r="D885" s="255"/>
      <c r="E885" s="221"/>
      <c r="F885" s="221"/>
      <c r="G885" s="221"/>
      <c r="H885" s="221"/>
      <c r="I885" s="221"/>
      <c r="J885" s="221"/>
      <c r="K885" s="221"/>
      <c r="L885" s="255"/>
      <c r="M885" s="255"/>
      <c r="N885" s="221"/>
      <c r="O885" s="221"/>
      <c r="P885" s="221"/>
      <c r="Q885" s="221"/>
      <c r="R885" s="221"/>
      <c r="S885" s="221"/>
      <c r="T885" s="221"/>
      <c r="U885" s="221"/>
      <c r="V885" s="221"/>
      <c r="W885" s="221"/>
      <c r="X885" s="221"/>
      <c r="Y885" s="221"/>
      <c r="Z885" s="221"/>
    </row>
    <row r="886" spans="1:26" ht="18.75" customHeight="1">
      <c r="A886" s="221"/>
      <c r="B886" s="221"/>
      <c r="C886" s="255"/>
      <c r="D886" s="255"/>
      <c r="E886" s="221"/>
      <c r="F886" s="221"/>
      <c r="G886" s="221"/>
      <c r="H886" s="221"/>
      <c r="I886" s="221"/>
      <c r="J886" s="221"/>
      <c r="K886" s="221"/>
      <c r="L886" s="255"/>
      <c r="M886" s="255"/>
      <c r="N886" s="221"/>
      <c r="O886" s="221"/>
      <c r="P886" s="221"/>
      <c r="Q886" s="221"/>
      <c r="R886" s="221"/>
      <c r="S886" s="221"/>
      <c r="T886" s="221"/>
      <c r="U886" s="221"/>
      <c r="V886" s="221"/>
      <c r="W886" s="221"/>
      <c r="X886" s="221"/>
      <c r="Y886" s="221"/>
      <c r="Z886" s="221"/>
    </row>
    <row r="887" spans="1:26" ht="18.75" customHeight="1">
      <c r="A887" s="221"/>
      <c r="B887" s="221"/>
      <c r="C887" s="255"/>
      <c r="D887" s="255"/>
      <c r="E887" s="221"/>
      <c r="F887" s="221"/>
      <c r="G887" s="221"/>
      <c r="H887" s="221"/>
      <c r="I887" s="221"/>
      <c r="J887" s="221"/>
      <c r="K887" s="221"/>
      <c r="L887" s="255"/>
      <c r="M887" s="255"/>
      <c r="N887" s="221"/>
      <c r="O887" s="221"/>
      <c r="P887" s="221"/>
      <c r="Q887" s="221"/>
      <c r="R887" s="221"/>
      <c r="S887" s="221"/>
      <c r="T887" s="221"/>
      <c r="U887" s="221"/>
      <c r="V887" s="221"/>
      <c r="W887" s="221"/>
      <c r="X887" s="221"/>
      <c r="Y887" s="221"/>
      <c r="Z887" s="221"/>
    </row>
    <row r="888" spans="1:26" ht="18.75" customHeight="1">
      <c r="A888" s="221"/>
      <c r="B888" s="221"/>
      <c r="C888" s="255"/>
      <c r="D888" s="255"/>
      <c r="E888" s="221"/>
      <c r="F888" s="221"/>
      <c r="G888" s="221"/>
      <c r="H888" s="221"/>
      <c r="I888" s="221"/>
      <c r="J888" s="221"/>
      <c r="K888" s="221"/>
      <c r="L888" s="255"/>
      <c r="M888" s="255"/>
      <c r="N888" s="221"/>
      <c r="O888" s="221"/>
      <c r="P888" s="221"/>
      <c r="Q888" s="221"/>
      <c r="R888" s="221"/>
      <c r="S888" s="221"/>
      <c r="T888" s="221"/>
      <c r="U888" s="221"/>
      <c r="V888" s="221"/>
      <c r="W888" s="221"/>
      <c r="X888" s="221"/>
      <c r="Y888" s="221"/>
      <c r="Z888" s="221"/>
    </row>
    <row r="889" spans="1:26" ht="18.75" customHeight="1">
      <c r="A889" s="221"/>
      <c r="B889" s="221"/>
      <c r="C889" s="255"/>
      <c r="D889" s="255"/>
      <c r="E889" s="221"/>
      <c r="F889" s="221"/>
      <c r="G889" s="221"/>
      <c r="H889" s="221"/>
      <c r="I889" s="221"/>
      <c r="J889" s="221"/>
      <c r="K889" s="221"/>
      <c r="L889" s="255"/>
      <c r="M889" s="255"/>
      <c r="N889" s="221"/>
      <c r="O889" s="221"/>
      <c r="P889" s="221"/>
      <c r="Q889" s="221"/>
      <c r="R889" s="221"/>
      <c r="S889" s="221"/>
      <c r="T889" s="221"/>
      <c r="U889" s="221"/>
      <c r="V889" s="221"/>
      <c r="W889" s="221"/>
      <c r="X889" s="221"/>
      <c r="Y889" s="221"/>
      <c r="Z889" s="221"/>
    </row>
    <row r="890" spans="1:26" ht="18.75" customHeight="1">
      <c r="A890" s="221"/>
      <c r="B890" s="221"/>
      <c r="C890" s="255"/>
      <c r="D890" s="255"/>
      <c r="E890" s="221"/>
      <c r="F890" s="221"/>
      <c r="G890" s="221"/>
      <c r="H890" s="221"/>
      <c r="I890" s="221"/>
      <c r="J890" s="221"/>
      <c r="K890" s="221"/>
      <c r="L890" s="255"/>
      <c r="M890" s="255"/>
      <c r="N890" s="221"/>
      <c r="O890" s="221"/>
      <c r="P890" s="221"/>
      <c r="Q890" s="221"/>
      <c r="R890" s="221"/>
      <c r="S890" s="221"/>
      <c r="T890" s="221"/>
      <c r="U890" s="221"/>
      <c r="V890" s="221"/>
      <c r="W890" s="221"/>
      <c r="X890" s="221"/>
      <c r="Y890" s="221"/>
      <c r="Z890" s="221"/>
    </row>
    <row r="891" spans="1:26" ht="18.75" customHeight="1">
      <c r="A891" s="221"/>
      <c r="B891" s="221"/>
      <c r="C891" s="255"/>
      <c r="D891" s="255"/>
      <c r="E891" s="221"/>
      <c r="F891" s="221"/>
      <c r="G891" s="221"/>
      <c r="H891" s="221"/>
      <c r="I891" s="221"/>
      <c r="J891" s="221"/>
      <c r="K891" s="221"/>
      <c r="L891" s="255"/>
      <c r="M891" s="255"/>
      <c r="N891" s="221"/>
      <c r="O891" s="221"/>
      <c r="P891" s="221"/>
      <c r="Q891" s="221"/>
      <c r="R891" s="221"/>
      <c r="S891" s="221"/>
      <c r="T891" s="221"/>
      <c r="U891" s="221"/>
      <c r="V891" s="221"/>
      <c r="W891" s="221"/>
      <c r="X891" s="221"/>
      <c r="Y891" s="221"/>
      <c r="Z891" s="221"/>
    </row>
    <row r="892" spans="1:26" ht="18.75" customHeight="1">
      <c r="A892" s="221"/>
      <c r="B892" s="221"/>
      <c r="C892" s="255"/>
      <c r="D892" s="255"/>
      <c r="E892" s="221"/>
      <c r="F892" s="221"/>
      <c r="G892" s="221"/>
      <c r="H892" s="221"/>
      <c r="I892" s="221"/>
      <c r="J892" s="221"/>
      <c r="K892" s="221"/>
      <c r="L892" s="255"/>
      <c r="M892" s="255"/>
      <c r="N892" s="221"/>
      <c r="O892" s="221"/>
      <c r="P892" s="221"/>
      <c r="Q892" s="221"/>
      <c r="R892" s="221"/>
      <c r="S892" s="221"/>
      <c r="T892" s="221"/>
      <c r="U892" s="221"/>
      <c r="V892" s="221"/>
      <c r="W892" s="221"/>
      <c r="X892" s="221"/>
      <c r="Y892" s="221"/>
      <c r="Z892" s="221"/>
    </row>
    <row r="893" spans="1:26" ht="18.75" customHeight="1">
      <c r="A893" s="221"/>
      <c r="B893" s="221"/>
      <c r="C893" s="255"/>
      <c r="D893" s="255"/>
      <c r="E893" s="221"/>
      <c r="F893" s="221"/>
      <c r="G893" s="221"/>
      <c r="H893" s="221"/>
      <c r="I893" s="221"/>
      <c r="J893" s="221"/>
      <c r="K893" s="221"/>
      <c r="L893" s="255"/>
      <c r="M893" s="255"/>
      <c r="N893" s="221"/>
      <c r="O893" s="221"/>
      <c r="P893" s="221"/>
      <c r="Q893" s="221"/>
      <c r="R893" s="221"/>
      <c r="S893" s="221"/>
      <c r="T893" s="221"/>
      <c r="U893" s="221"/>
      <c r="V893" s="221"/>
      <c r="W893" s="221"/>
      <c r="X893" s="221"/>
      <c r="Y893" s="221"/>
      <c r="Z893" s="221"/>
    </row>
    <row r="894" spans="1:26" ht="18.75" customHeight="1">
      <c r="A894" s="221"/>
      <c r="B894" s="221"/>
      <c r="C894" s="255"/>
      <c r="D894" s="255"/>
      <c r="E894" s="221"/>
      <c r="F894" s="221"/>
      <c r="G894" s="221"/>
      <c r="H894" s="221"/>
      <c r="I894" s="221"/>
      <c r="J894" s="221"/>
      <c r="K894" s="221"/>
      <c r="L894" s="255"/>
      <c r="M894" s="255"/>
      <c r="N894" s="221"/>
      <c r="O894" s="221"/>
      <c r="P894" s="221"/>
      <c r="Q894" s="221"/>
      <c r="R894" s="221"/>
      <c r="S894" s="221"/>
      <c r="T894" s="221"/>
      <c r="U894" s="221"/>
      <c r="V894" s="221"/>
      <c r="W894" s="221"/>
      <c r="X894" s="221"/>
      <c r="Y894" s="221"/>
      <c r="Z894" s="221"/>
    </row>
    <row r="895" spans="1:26" ht="18.75" customHeight="1">
      <c r="A895" s="221"/>
      <c r="B895" s="221"/>
      <c r="C895" s="255"/>
      <c r="D895" s="255"/>
      <c r="E895" s="221"/>
      <c r="F895" s="221"/>
      <c r="G895" s="221"/>
      <c r="H895" s="221"/>
      <c r="I895" s="221"/>
      <c r="J895" s="221"/>
      <c r="K895" s="221"/>
      <c r="L895" s="255"/>
      <c r="M895" s="255"/>
      <c r="N895" s="221"/>
      <c r="O895" s="221"/>
      <c r="P895" s="221"/>
      <c r="Q895" s="221"/>
      <c r="R895" s="221"/>
      <c r="S895" s="221"/>
      <c r="T895" s="221"/>
      <c r="U895" s="221"/>
      <c r="V895" s="221"/>
      <c r="W895" s="221"/>
      <c r="X895" s="221"/>
      <c r="Y895" s="221"/>
      <c r="Z895" s="221"/>
    </row>
    <row r="896" spans="1:26" ht="18.75" customHeight="1">
      <c r="A896" s="221"/>
      <c r="B896" s="221"/>
      <c r="C896" s="255"/>
      <c r="D896" s="255"/>
      <c r="E896" s="221"/>
      <c r="F896" s="221"/>
      <c r="G896" s="221"/>
      <c r="H896" s="221"/>
      <c r="I896" s="221"/>
      <c r="J896" s="221"/>
      <c r="K896" s="221"/>
      <c r="L896" s="255"/>
      <c r="M896" s="255"/>
      <c r="N896" s="221"/>
      <c r="O896" s="221"/>
      <c r="P896" s="221"/>
      <c r="Q896" s="221"/>
      <c r="R896" s="221"/>
      <c r="S896" s="221"/>
      <c r="T896" s="221"/>
      <c r="U896" s="221"/>
      <c r="V896" s="221"/>
      <c r="W896" s="221"/>
      <c r="X896" s="221"/>
      <c r="Y896" s="221"/>
      <c r="Z896" s="221"/>
    </row>
    <row r="897" spans="1:26" ht="18.75" customHeight="1">
      <c r="A897" s="221"/>
      <c r="B897" s="221"/>
      <c r="C897" s="255"/>
      <c r="D897" s="255"/>
      <c r="E897" s="221"/>
      <c r="F897" s="221"/>
      <c r="G897" s="221"/>
      <c r="H897" s="221"/>
      <c r="I897" s="221"/>
      <c r="J897" s="221"/>
      <c r="K897" s="221"/>
      <c r="L897" s="255"/>
      <c r="M897" s="255"/>
      <c r="N897" s="221"/>
      <c r="O897" s="221"/>
      <c r="P897" s="221"/>
      <c r="Q897" s="221"/>
      <c r="R897" s="221"/>
      <c r="S897" s="221"/>
      <c r="T897" s="221"/>
      <c r="U897" s="221"/>
      <c r="V897" s="221"/>
      <c r="W897" s="221"/>
      <c r="X897" s="221"/>
      <c r="Y897" s="221"/>
      <c r="Z897" s="221"/>
    </row>
    <row r="898" spans="1:26" ht="18.75" customHeight="1">
      <c r="A898" s="221"/>
      <c r="B898" s="221"/>
      <c r="C898" s="255"/>
      <c r="D898" s="255"/>
      <c r="E898" s="221"/>
      <c r="F898" s="221"/>
      <c r="G898" s="221"/>
      <c r="H898" s="221"/>
      <c r="I898" s="221"/>
      <c r="J898" s="221"/>
      <c r="K898" s="221"/>
      <c r="L898" s="255"/>
      <c r="M898" s="255"/>
      <c r="N898" s="221"/>
      <c r="O898" s="221"/>
      <c r="P898" s="221"/>
      <c r="Q898" s="221"/>
      <c r="R898" s="221"/>
      <c r="S898" s="221"/>
      <c r="T898" s="221"/>
      <c r="U898" s="221"/>
      <c r="V898" s="221"/>
      <c r="W898" s="221"/>
      <c r="X898" s="221"/>
      <c r="Y898" s="221"/>
      <c r="Z898" s="221"/>
    </row>
    <row r="899" spans="1:26" ht="18.75" customHeight="1">
      <c r="A899" s="221"/>
      <c r="B899" s="221"/>
      <c r="C899" s="255"/>
      <c r="D899" s="255"/>
      <c r="E899" s="221"/>
      <c r="F899" s="221"/>
      <c r="G899" s="221"/>
      <c r="H899" s="221"/>
      <c r="I899" s="221"/>
      <c r="J899" s="221"/>
      <c r="K899" s="221"/>
      <c r="L899" s="255"/>
      <c r="M899" s="255"/>
      <c r="N899" s="221"/>
      <c r="O899" s="221"/>
      <c r="P899" s="221"/>
      <c r="Q899" s="221"/>
      <c r="R899" s="221"/>
      <c r="S899" s="221"/>
      <c r="T899" s="221"/>
      <c r="U899" s="221"/>
      <c r="V899" s="221"/>
      <c r="W899" s="221"/>
      <c r="X899" s="221"/>
      <c r="Y899" s="221"/>
      <c r="Z899" s="221"/>
    </row>
    <row r="900" spans="1:26" ht="18.75" customHeight="1">
      <c r="A900" s="221"/>
      <c r="B900" s="221"/>
      <c r="C900" s="255"/>
      <c r="D900" s="255"/>
      <c r="E900" s="221"/>
      <c r="F900" s="221"/>
      <c r="G900" s="221"/>
      <c r="H900" s="221"/>
      <c r="I900" s="221"/>
      <c r="J900" s="221"/>
      <c r="K900" s="221"/>
      <c r="L900" s="255"/>
      <c r="M900" s="255"/>
      <c r="N900" s="221"/>
      <c r="O900" s="221"/>
      <c r="P900" s="221"/>
      <c r="Q900" s="221"/>
      <c r="R900" s="221"/>
      <c r="S900" s="221"/>
      <c r="T900" s="221"/>
      <c r="U900" s="221"/>
      <c r="V900" s="221"/>
      <c r="W900" s="221"/>
      <c r="X900" s="221"/>
      <c r="Y900" s="221"/>
      <c r="Z900" s="221"/>
    </row>
    <row r="901" spans="1:26" ht="18.75" customHeight="1">
      <c r="A901" s="221"/>
      <c r="B901" s="221"/>
      <c r="C901" s="255"/>
      <c r="D901" s="255"/>
      <c r="E901" s="221"/>
      <c r="F901" s="221"/>
      <c r="G901" s="221"/>
      <c r="H901" s="221"/>
      <c r="I901" s="221"/>
      <c r="J901" s="221"/>
      <c r="K901" s="221"/>
      <c r="L901" s="255"/>
      <c r="M901" s="255"/>
      <c r="N901" s="221"/>
      <c r="O901" s="221"/>
      <c r="P901" s="221"/>
      <c r="Q901" s="221"/>
      <c r="R901" s="221"/>
      <c r="S901" s="221"/>
      <c r="T901" s="221"/>
      <c r="U901" s="221"/>
      <c r="V901" s="221"/>
      <c r="W901" s="221"/>
      <c r="X901" s="221"/>
      <c r="Y901" s="221"/>
      <c r="Z901" s="221"/>
    </row>
    <row r="902" spans="1:26" ht="18.75" customHeight="1">
      <c r="A902" s="221"/>
      <c r="B902" s="221"/>
      <c r="C902" s="255"/>
      <c r="D902" s="255"/>
      <c r="E902" s="221"/>
      <c r="F902" s="221"/>
      <c r="G902" s="221"/>
      <c r="H902" s="221"/>
      <c r="I902" s="221"/>
      <c r="J902" s="221"/>
      <c r="K902" s="221"/>
      <c r="L902" s="255"/>
      <c r="M902" s="255"/>
      <c r="N902" s="221"/>
      <c r="O902" s="221"/>
      <c r="P902" s="221"/>
      <c r="Q902" s="221"/>
      <c r="R902" s="221"/>
      <c r="S902" s="221"/>
      <c r="T902" s="221"/>
      <c r="U902" s="221"/>
      <c r="V902" s="221"/>
      <c r="W902" s="221"/>
      <c r="X902" s="221"/>
      <c r="Y902" s="221"/>
      <c r="Z902" s="221"/>
    </row>
    <row r="903" spans="1:26" ht="18.75" customHeight="1">
      <c r="A903" s="221"/>
      <c r="B903" s="221"/>
      <c r="C903" s="255"/>
      <c r="D903" s="255"/>
      <c r="E903" s="221"/>
      <c r="F903" s="221"/>
      <c r="G903" s="221"/>
      <c r="H903" s="221"/>
      <c r="I903" s="221"/>
      <c r="J903" s="221"/>
      <c r="K903" s="221"/>
      <c r="L903" s="255"/>
      <c r="M903" s="255"/>
      <c r="N903" s="221"/>
      <c r="O903" s="221"/>
      <c r="P903" s="221"/>
      <c r="Q903" s="221"/>
      <c r="R903" s="221"/>
      <c r="S903" s="221"/>
      <c r="T903" s="221"/>
      <c r="U903" s="221"/>
      <c r="V903" s="221"/>
      <c r="W903" s="221"/>
      <c r="X903" s="221"/>
      <c r="Y903" s="221"/>
      <c r="Z903" s="221"/>
    </row>
    <row r="904" spans="1:26" ht="18.75" customHeight="1">
      <c r="A904" s="221"/>
      <c r="B904" s="221"/>
      <c r="C904" s="255"/>
      <c r="D904" s="255"/>
      <c r="E904" s="221"/>
      <c r="F904" s="221"/>
      <c r="G904" s="221"/>
      <c r="H904" s="221"/>
      <c r="I904" s="221"/>
      <c r="J904" s="221"/>
      <c r="K904" s="221"/>
      <c r="L904" s="255"/>
      <c r="M904" s="255"/>
      <c r="N904" s="221"/>
      <c r="O904" s="221"/>
      <c r="P904" s="221"/>
      <c r="Q904" s="221"/>
      <c r="R904" s="221"/>
      <c r="S904" s="221"/>
      <c r="T904" s="221"/>
      <c r="U904" s="221"/>
      <c r="V904" s="221"/>
      <c r="W904" s="221"/>
      <c r="X904" s="221"/>
      <c r="Y904" s="221"/>
      <c r="Z904" s="221"/>
    </row>
    <row r="905" spans="1:26" ht="18.75" customHeight="1">
      <c r="A905" s="221"/>
      <c r="B905" s="221"/>
      <c r="C905" s="255"/>
      <c r="D905" s="255"/>
      <c r="E905" s="221"/>
      <c r="F905" s="221"/>
      <c r="G905" s="221"/>
      <c r="H905" s="221"/>
      <c r="I905" s="221"/>
      <c r="J905" s="221"/>
      <c r="K905" s="221"/>
      <c r="L905" s="255"/>
      <c r="M905" s="255"/>
      <c r="N905" s="221"/>
      <c r="O905" s="221"/>
      <c r="P905" s="221"/>
      <c r="Q905" s="221"/>
      <c r="R905" s="221"/>
      <c r="S905" s="221"/>
      <c r="T905" s="221"/>
      <c r="U905" s="221"/>
      <c r="V905" s="221"/>
      <c r="W905" s="221"/>
      <c r="X905" s="221"/>
      <c r="Y905" s="221"/>
      <c r="Z905" s="221"/>
    </row>
    <row r="906" spans="1:26" ht="18.75" customHeight="1">
      <c r="A906" s="221"/>
      <c r="B906" s="221"/>
      <c r="C906" s="255"/>
      <c r="D906" s="255"/>
      <c r="E906" s="221"/>
      <c r="F906" s="221"/>
      <c r="G906" s="221"/>
      <c r="H906" s="221"/>
      <c r="I906" s="221"/>
      <c r="J906" s="221"/>
      <c r="K906" s="221"/>
      <c r="L906" s="255"/>
      <c r="M906" s="255"/>
      <c r="N906" s="221"/>
      <c r="O906" s="221"/>
      <c r="P906" s="221"/>
      <c r="Q906" s="221"/>
      <c r="R906" s="221"/>
      <c r="S906" s="221"/>
      <c r="T906" s="221"/>
      <c r="U906" s="221"/>
      <c r="V906" s="221"/>
      <c r="W906" s="221"/>
      <c r="X906" s="221"/>
      <c r="Y906" s="221"/>
      <c r="Z906" s="221"/>
    </row>
    <row r="907" spans="1:26" ht="18.75" customHeight="1">
      <c r="A907" s="221"/>
      <c r="B907" s="221"/>
      <c r="C907" s="255"/>
      <c r="D907" s="255"/>
      <c r="E907" s="221"/>
      <c r="F907" s="221"/>
      <c r="G907" s="221"/>
      <c r="H907" s="221"/>
      <c r="I907" s="221"/>
      <c r="J907" s="221"/>
      <c r="K907" s="221"/>
      <c r="L907" s="255"/>
      <c r="M907" s="255"/>
      <c r="N907" s="221"/>
      <c r="O907" s="221"/>
      <c r="P907" s="221"/>
      <c r="Q907" s="221"/>
      <c r="R907" s="221"/>
      <c r="S907" s="221"/>
      <c r="T907" s="221"/>
      <c r="U907" s="221"/>
      <c r="V907" s="221"/>
      <c r="W907" s="221"/>
      <c r="X907" s="221"/>
      <c r="Y907" s="221"/>
      <c r="Z907" s="221"/>
    </row>
    <row r="908" spans="1:26" ht="18.75" customHeight="1">
      <c r="A908" s="221"/>
      <c r="B908" s="221"/>
      <c r="C908" s="255"/>
      <c r="D908" s="255"/>
      <c r="E908" s="221"/>
      <c r="F908" s="221"/>
      <c r="G908" s="221"/>
      <c r="H908" s="221"/>
      <c r="I908" s="221"/>
      <c r="J908" s="221"/>
      <c r="K908" s="221"/>
      <c r="L908" s="255"/>
      <c r="M908" s="255"/>
      <c r="N908" s="221"/>
      <c r="O908" s="221"/>
      <c r="P908" s="221"/>
      <c r="Q908" s="221"/>
      <c r="R908" s="221"/>
      <c r="S908" s="221"/>
      <c r="T908" s="221"/>
      <c r="U908" s="221"/>
      <c r="V908" s="221"/>
      <c r="W908" s="221"/>
      <c r="X908" s="221"/>
      <c r="Y908" s="221"/>
      <c r="Z908" s="221"/>
    </row>
    <row r="909" spans="1:26" ht="18.75" customHeight="1">
      <c r="A909" s="221"/>
      <c r="B909" s="221"/>
      <c r="C909" s="255"/>
      <c r="D909" s="255"/>
      <c r="E909" s="221"/>
      <c r="F909" s="221"/>
      <c r="G909" s="221"/>
      <c r="H909" s="221"/>
      <c r="I909" s="221"/>
      <c r="J909" s="221"/>
      <c r="K909" s="221"/>
      <c r="L909" s="255"/>
      <c r="M909" s="255"/>
      <c r="N909" s="221"/>
      <c r="O909" s="221"/>
      <c r="P909" s="221"/>
      <c r="Q909" s="221"/>
      <c r="R909" s="221"/>
      <c r="S909" s="221"/>
      <c r="T909" s="221"/>
      <c r="U909" s="221"/>
      <c r="V909" s="221"/>
      <c r="W909" s="221"/>
      <c r="X909" s="221"/>
      <c r="Y909" s="221"/>
      <c r="Z909" s="221"/>
    </row>
    <row r="910" spans="1:26" ht="18.75" customHeight="1">
      <c r="A910" s="221"/>
      <c r="B910" s="221"/>
      <c r="C910" s="255"/>
      <c r="D910" s="255"/>
      <c r="E910" s="221"/>
      <c r="F910" s="221"/>
      <c r="G910" s="221"/>
      <c r="H910" s="221"/>
      <c r="I910" s="221"/>
      <c r="J910" s="221"/>
      <c r="K910" s="221"/>
      <c r="L910" s="255"/>
      <c r="M910" s="255"/>
      <c r="N910" s="221"/>
      <c r="O910" s="221"/>
      <c r="P910" s="221"/>
      <c r="Q910" s="221"/>
      <c r="R910" s="221"/>
      <c r="S910" s="221"/>
      <c r="T910" s="221"/>
      <c r="U910" s="221"/>
      <c r="V910" s="221"/>
      <c r="W910" s="221"/>
      <c r="X910" s="221"/>
      <c r="Y910" s="221"/>
      <c r="Z910" s="221"/>
    </row>
    <row r="911" spans="1:26" ht="18.75" customHeight="1">
      <c r="A911" s="221"/>
      <c r="B911" s="221"/>
      <c r="C911" s="255"/>
      <c r="D911" s="255"/>
      <c r="E911" s="221"/>
      <c r="F911" s="221"/>
      <c r="G911" s="221"/>
      <c r="H911" s="221"/>
      <c r="I911" s="221"/>
      <c r="J911" s="221"/>
      <c r="K911" s="221"/>
      <c r="L911" s="255"/>
      <c r="M911" s="255"/>
      <c r="N911" s="221"/>
      <c r="O911" s="221"/>
      <c r="P911" s="221"/>
      <c r="Q911" s="221"/>
      <c r="R911" s="221"/>
      <c r="S911" s="221"/>
      <c r="T911" s="221"/>
      <c r="U911" s="221"/>
      <c r="V911" s="221"/>
      <c r="W911" s="221"/>
      <c r="X911" s="221"/>
      <c r="Y911" s="221"/>
      <c r="Z911" s="221"/>
    </row>
    <row r="912" spans="1:26" ht="18.75" customHeight="1">
      <c r="A912" s="221"/>
      <c r="B912" s="221"/>
      <c r="C912" s="255"/>
      <c r="D912" s="255"/>
      <c r="E912" s="221"/>
      <c r="F912" s="221"/>
      <c r="G912" s="221"/>
      <c r="H912" s="221"/>
      <c r="I912" s="221"/>
      <c r="J912" s="221"/>
      <c r="K912" s="221"/>
      <c r="L912" s="255"/>
      <c r="M912" s="255"/>
      <c r="N912" s="221"/>
      <c r="O912" s="221"/>
      <c r="P912" s="221"/>
      <c r="Q912" s="221"/>
      <c r="R912" s="221"/>
      <c r="S912" s="221"/>
      <c r="T912" s="221"/>
      <c r="U912" s="221"/>
      <c r="V912" s="221"/>
      <c r="W912" s="221"/>
      <c r="X912" s="221"/>
      <c r="Y912" s="221"/>
      <c r="Z912" s="221"/>
    </row>
    <row r="913" spans="1:26" ht="18.75" customHeight="1">
      <c r="A913" s="221"/>
      <c r="B913" s="221"/>
      <c r="C913" s="255"/>
      <c r="D913" s="255"/>
      <c r="E913" s="221"/>
      <c r="F913" s="221"/>
      <c r="G913" s="221"/>
      <c r="H913" s="221"/>
      <c r="I913" s="221"/>
      <c r="J913" s="221"/>
      <c r="K913" s="221"/>
      <c r="L913" s="255"/>
      <c r="M913" s="255"/>
      <c r="N913" s="221"/>
      <c r="O913" s="221"/>
      <c r="P913" s="221"/>
      <c r="Q913" s="221"/>
      <c r="R913" s="221"/>
      <c r="S913" s="221"/>
      <c r="T913" s="221"/>
      <c r="U913" s="221"/>
      <c r="V913" s="221"/>
      <c r="W913" s="221"/>
      <c r="X913" s="221"/>
      <c r="Y913" s="221"/>
      <c r="Z913" s="221"/>
    </row>
    <row r="914" spans="1:26" ht="18.75" customHeight="1">
      <c r="A914" s="221"/>
      <c r="B914" s="221"/>
      <c r="C914" s="255"/>
      <c r="D914" s="255"/>
      <c r="E914" s="221"/>
      <c r="F914" s="221"/>
      <c r="G914" s="221"/>
      <c r="H914" s="221"/>
      <c r="I914" s="221"/>
      <c r="J914" s="221"/>
      <c r="K914" s="221"/>
      <c r="L914" s="255"/>
      <c r="M914" s="255"/>
      <c r="N914" s="221"/>
      <c r="O914" s="221"/>
      <c r="P914" s="221"/>
      <c r="Q914" s="221"/>
      <c r="R914" s="221"/>
      <c r="S914" s="221"/>
      <c r="T914" s="221"/>
      <c r="U914" s="221"/>
      <c r="V914" s="221"/>
      <c r="W914" s="221"/>
      <c r="X914" s="221"/>
      <c r="Y914" s="221"/>
      <c r="Z914" s="221"/>
    </row>
    <row r="915" spans="1:26" ht="18.75" customHeight="1">
      <c r="A915" s="221"/>
      <c r="B915" s="221"/>
      <c r="C915" s="255"/>
      <c r="D915" s="255"/>
      <c r="E915" s="221"/>
      <c r="F915" s="221"/>
      <c r="G915" s="221"/>
      <c r="H915" s="221"/>
      <c r="I915" s="221"/>
      <c r="J915" s="221"/>
      <c r="K915" s="221"/>
      <c r="L915" s="255"/>
      <c r="M915" s="255"/>
      <c r="N915" s="221"/>
      <c r="O915" s="221"/>
      <c r="P915" s="221"/>
      <c r="Q915" s="221"/>
      <c r="R915" s="221"/>
      <c r="S915" s="221"/>
      <c r="T915" s="221"/>
      <c r="U915" s="221"/>
      <c r="V915" s="221"/>
      <c r="W915" s="221"/>
      <c r="X915" s="221"/>
      <c r="Y915" s="221"/>
      <c r="Z915" s="221"/>
    </row>
    <row r="916" spans="1:26" ht="18.75" customHeight="1">
      <c r="A916" s="221"/>
      <c r="B916" s="221"/>
      <c r="C916" s="255"/>
      <c r="D916" s="255"/>
      <c r="E916" s="221"/>
      <c r="F916" s="221"/>
      <c r="G916" s="221"/>
      <c r="H916" s="221"/>
      <c r="I916" s="221"/>
      <c r="J916" s="221"/>
      <c r="K916" s="221"/>
      <c r="L916" s="255"/>
      <c r="M916" s="255"/>
      <c r="N916" s="221"/>
      <c r="O916" s="221"/>
      <c r="P916" s="221"/>
      <c r="Q916" s="221"/>
      <c r="R916" s="221"/>
      <c r="S916" s="221"/>
      <c r="T916" s="221"/>
      <c r="U916" s="221"/>
      <c r="V916" s="221"/>
      <c r="W916" s="221"/>
      <c r="X916" s="221"/>
      <c r="Y916" s="221"/>
      <c r="Z916" s="221"/>
    </row>
    <row r="917" spans="1:26" ht="18.75" customHeight="1">
      <c r="A917" s="221"/>
      <c r="B917" s="221"/>
      <c r="C917" s="255"/>
      <c r="D917" s="255"/>
      <c r="E917" s="221"/>
      <c r="F917" s="221"/>
      <c r="G917" s="221"/>
      <c r="H917" s="221"/>
      <c r="I917" s="221"/>
      <c r="J917" s="221"/>
      <c r="K917" s="221"/>
      <c r="L917" s="255"/>
      <c r="M917" s="255"/>
      <c r="N917" s="221"/>
      <c r="O917" s="221"/>
      <c r="P917" s="221"/>
      <c r="Q917" s="221"/>
      <c r="R917" s="221"/>
      <c r="S917" s="221"/>
      <c r="T917" s="221"/>
      <c r="U917" s="221"/>
      <c r="V917" s="221"/>
      <c r="W917" s="221"/>
      <c r="X917" s="221"/>
      <c r="Y917" s="221"/>
      <c r="Z917" s="221"/>
    </row>
    <row r="918" spans="1:26" ht="18.75" customHeight="1">
      <c r="A918" s="221"/>
      <c r="B918" s="221"/>
      <c r="C918" s="255"/>
      <c r="D918" s="255"/>
      <c r="E918" s="221"/>
      <c r="F918" s="221"/>
      <c r="G918" s="221"/>
      <c r="H918" s="221"/>
      <c r="I918" s="221"/>
      <c r="J918" s="221"/>
      <c r="K918" s="221"/>
      <c r="L918" s="255"/>
      <c r="M918" s="255"/>
      <c r="N918" s="221"/>
      <c r="O918" s="221"/>
      <c r="P918" s="221"/>
      <c r="Q918" s="221"/>
      <c r="R918" s="221"/>
      <c r="S918" s="221"/>
      <c r="T918" s="221"/>
      <c r="U918" s="221"/>
      <c r="V918" s="221"/>
      <c r="W918" s="221"/>
      <c r="X918" s="221"/>
      <c r="Y918" s="221"/>
      <c r="Z918" s="221"/>
    </row>
    <row r="919" spans="1:26" ht="18.75" customHeight="1">
      <c r="A919" s="221"/>
      <c r="B919" s="221"/>
      <c r="C919" s="255"/>
      <c r="D919" s="255"/>
      <c r="E919" s="221"/>
      <c r="F919" s="221"/>
      <c r="G919" s="221"/>
      <c r="H919" s="221"/>
      <c r="I919" s="221"/>
      <c r="J919" s="221"/>
      <c r="K919" s="221"/>
      <c r="L919" s="255"/>
      <c r="M919" s="255"/>
      <c r="N919" s="221"/>
      <c r="O919" s="221"/>
      <c r="P919" s="221"/>
      <c r="Q919" s="221"/>
      <c r="R919" s="221"/>
      <c r="S919" s="221"/>
      <c r="T919" s="221"/>
      <c r="U919" s="221"/>
      <c r="V919" s="221"/>
      <c r="W919" s="221"/>
      <c r="X919" s="221"/>
      <c r="Y919" s="221"/>
      <c r="Z919" s="221"/>
    </row>
    <row r="920" spans="1:26" ht="18.75" customHeight="1">
      <c r="A920" s="221"/>
      <c r="B920" s="221"/>
      <c r="C920" s="255"/>
      <c r="D920" s="255"/>
      <c r="E920" s="221"/>
      <c r="F920" s="221"/>
      <c r="G920" s="221"/>
      <c r="H920" s="221"/>
      <c r="I920" s="221"/>
      <c r="J920" s="221"/>
      <c r="K920" s="221"/>
      <c r="L920" s="255"/>
      <c r="M920" s="255"/>
      <c r="N920" s="221"/>
      <c r="O920" s="221"/>
      <c r="P920" s="221"/>
      <c r="Q920" s="221"/>
      <c r="R920" s="221"/>
      <c r="S920" s="221"/>
      <c r="T920" s="221"/>
      <c r="U920" s="221"/>
      <c r="V920" s="221"/>
      <c r="W920" s="221"/>
      <c r="X920" s="221"/>
      <c r="Y920" s="221"/>
      <c r="Z920" s="221"/>
    </row>
    <row r="921" spans="1:26" ht="18.75" customHeight="1">
      <c r="A921" s="221"/>
      <c r="B921" s="221"/>
      <c r="C921" s="255"/>
      <c r="D921" s="255"/>
      <c r="E921" s="221"/>
      <c r="F921" s="221"/>
      <c r="G921" s="221"/>
      <c r="H921" s="221"/>
      <c r="I921" s="221"/>
      <c r="J921" s="221"/>
      <c r="K921" s="221"/>
      <c r="L921" s="255"/>
      <c r="M921" s="255"/>
      <c r="N921" s="221"/>
      <c r="O921" s="221"/>
      <c r="P921" s="221"/>
      <c r="Q921" s="221"/>
      <c r="R921" s="221"/>
      <c r="S921" s="221"/>
      <c r="T921" s="221"/>
      <c r="U921" s="221"/>
      <c r="V921" s="221"/>
      <c r="W921" s="221"/>
      <c r="X921" s="221"/>
      <c r="Y921" s="221"/>
      <c r="Z921" s="221"/>
    </row>
    <row r="922" spans="1:26" ht="18.75" customHeight="1">
      <c r="A922" s="221"/>
      <c r="B922" s="221"/>
      <c r="C922" s="255"/>
      <c r="D922" s="255"/>
      <c r="E922" s="221"/>
      <c r="F922" s="221"/>
      <c r="G922" s="221"/>
      <c r="H922" s="221"/>
      <c r="I922" s="221"/>
      <c r="J922" s="221"/>
      <c r="K922" s="221"/>
      <c r="L922" s="255"/>
      <c r="M922" s="255"/>
      <c r="N922" s="221"/>
      <c r="O922" s="221"/>
      <c r="P922" s="221"/>
      <c r="Q922" s="221"/>
      <c r="R922" s="221"/>
      <c r="S922" s="221"/>
      <c r="T922" s="221"/>
      <c r="U922" s="221"/>
      <c r="V922" s="221"/>
      <c r="W922" s="221"/>
      <c r="X922" s="221"/>
      <c r="Y922" s="221"/>
      <c r="Z922" s="221"/>
    </row>
    <row r="923" spans="1:26" ht="18.75" customHeight="1">
      <c r="A923" s="221"/>
      <c r="B923" s="221"/>
      <c r="C923" s="255"/>
      <c r="D923" s="255"/>
      <c r="E923" s="221"/>
      <c r="F923" s="221"/>
      <c r="G923" s="221"/>
      <c r="H923" s="221"/>
      <c r="I923" s="221"/>
      <c r="J923" s="221"/>
      <c r="K923" s="221"/>
      <c r="L923" s="255"/>
      <c r="M923" s="255"/>
      <c r="N923" s="221"/>
      <c r="O923" s="221"/>
      <c r="P923" s="221"/>
      <c r="Q923" s="221"/>
      <c r="R923" s="221"/>
      <c r="S923" s="221"/>
      <c r="T923" s="221"/>
      <c r="U923" s="221"/>
      <c r="V923" s="221"/>
      <c r="W923" s="221"/>
      <c r="X923" s="221"/>
      <c r="Y923" s="221"/>
      <c r="Z923" s="221"/>
    </row>
    <row r="924" spans="1:26" ht="18.75" customHeight="1">
      <c r="A924" s="221"/>
      <c r="B924" s="221"/>
      <c r="C924" s="255"/>
      <c r="D924" s="255"/>
      <c r="E924" s="221"/>
      <c r="F924" s="221"/>
      <c r="G924" s="221"/>
      <c r="H924" s="221"/>
      <c r="I924" s="221"/>
      <c r="J924" s="221"/>
      <c r="K924" s="221"/>
      <c r="L924" s="255"/>
      <c r="M924" s="255"/>
      <c r="N924" s="221"/>
      <c r="O924" s="221"/>
      <c r="P924" s="221"/>
      <c r="Q924" s="221"/>
      <c r="R924" s="221"/>
      <c r="S924" s="221"/>
      <c r="T924" s="221"/>
      <c r="U924" s="221"/>
      <c r="V924" s="221"/>
      <c r="W924" s="221"/>
      <c r="X924" s="221"/>
      <c r="Y924" s="221"/>
      <c r="Z924" s="221"/>
    </row>
    <row r="925" spans="1:26" ht="18.75" customHeight="1">
      <c r="A925" s="221"/>
      <c r="B925" s="221"/>
      <c r="C925" s="255"/>
      <c r="D925" s="255"/>
      <c r="E925" s="221"/>
      <c r="F925" s="221"/>
      <c r="G925" s="221"/>
      <c r="H925" s="221"/>
      <c r="I925" s="221"/>
      <c r="J925" s="221"/>
      <c r="K925" s="221"/>
      <c r="L925" s="255"/>
      <c r="M925" s="255"/>
      <c r="N925" s="221"/>
      <c r="O925" s="221"/>
      <c r="P925" s="221"/>
      <c r="Q925" s="221"/>
      <c r="R925" s="221"/>
      <c r="S925" s="221"/>
      <c r="T925" s="221"/>
      <c r="U925" s="221"/>
      <c r="V925" s="221"/>
      <c r="W925" s="221"/>
      <c r="X925" s="221"/>
      <c r="Y925" s="221"/>
      <c r="Z925" s="221"/>
    </row>
    <row r="926" spans="1:26" ht="18.75" customHeight="1">
      <c r="A926" s="221"/>
      <c r="B926" s="221"/>
      <c r="C926" s="255"/>
      <c r="D926" s="255"/>
      <c r="E926" s="221"/>
      <c r="F926" s="221"/>
      <c r="G926" s="221"/>
      <c r="H926" s="221"/>
      <c r="I926" s="221"/>
      <c r="J926" s="221"/>
      <c r="K926" s="221"/>
      <c r="L926" s="255"/>
      <c r="M926" s="255"/>
      <c r="N926" s="221"/>
      <c r="O926" s="221"/>
      <c r="P926" s="221"/>
      <c r="Q926" s="221"/>
      <c r="R926" s="221"/>
      <c r="S926" s="221"/>
      <c r="T926" s="221"/>
      <c r="U926" s="221"/>
      <c r="V926" s="221"/>
      <c r="W926" s="221"/>
      <c r="X926" s="221"/>
      <c r="Y926" s="221"/>
      <c r="Z926" s="221"/>
    </row>
    <row r="927" spans="1:26" ht="18.75" customHeight="1">
      <c r="A927" s="221"/>
      <c r="B927" s="221"/>
      <c r="C927" s="255"/>
      <c r="D927" s="255"/>
      <c r="E927" s="221"/>
      <c r="F927" s="221"/>
      <c r="G927" s="221"/>
      <c r="H927" s="221"/>
      <c r="I927" s="221"/>
      <c r="J927" s="221"/>
      <c r="K927" s="221"/>
      <c r="L927" s="255"/>
      <c r="M927" s="255"/>
      <c r="N927" s="221"/>
      <c r="O927" s="221"/>
      <c r="P927" s="221"/>
      <c r="Q927" s="221"/>
      <c r="R927" s="221"/>
      <c r="S927" s="221"/>
      <c r="T927" s="221"/>
      <c r="U927" s="221"/>
      <c r="V927" s="221"/>
      <c r="W927" s="221"/>
      <c r="X927" s="221"/>
      <c r="Y927" s="221"/>
      <c r="Z927" s="221"/>
    </row>
    <row r="928" spans="1:26" ht="18.75" customHeight="1">
      <c r="A928" s="221"/>
      <c r="B928" s="221"/>
      <c r="C928" s="255"/>
      <c r="D928" s="255"/>
      <c r="E928" s="221"/>
      <c r="F928" s="221"/>
      <c r="G928" s="221"/>
      <c r="H928" s="221"/>
      <c r="I928" s="221"/>
      <c r="J928" s="221"/>
      <c r="K928" s="221"/>
      <c r="L928" s="255"/>
      <c r="M928" s="255"/>
      <c r="N928" s="221"/>
      <c r="O928" s="221"/>
      <c r="P928" s="221"/>
      <c r="Q928" s="221"/>
      <c r="R928" s="221"/>
      <c r="S928" s="221"/>
      <c r="T928" s="221"/>
      <c r="U928" s="221"/>
      <c r="V928" s="221"/>
      <c r="W928" s="221"/>
      <c r="X928" s="221"/>
      <c r="Y928" s="221"/>
      <c r="Z928" s="221"/>
    </row>
    <row r="929" spans="1:26" ht="18.75" customHeight="1">
      <c r="A929" s="221"/>
      <c r="B929" s="221"/>
      <c r="C929" s="255"/>
      <c r="D929" s="255"/>
      <c r="E929" s="221"/>
      <c r="F929" s="221"/>
      <c r="G929" s="221"/>
      <c r="H929" s="221"/>
      <c r="I929" s="221"/>
      <c r="J929" s="221"/>
      <c r="K929" s="221"/>
      <c r="L929" s="255"/>
      <c r="M929" s="255"/>
      <c r="N929" s="221"/>
      <c r="O929" s="221"/>
      <c r="P929" s="221"/>
      <c r="Q929" s="221"/>
      <c r="R929" s="221"/>
      <c r="S929" s="221"/>
      <c r="T929" s="221"/>
      <c r="U929" s="221"/>
      <c r="V929" s="221"/>
      <c r="W929" s="221"/>
      <c r="X929" s="221"/>
      <c r="Y929" s="221"/>
      <c r="Z929" s="221"/>
    </row>
    <row r="930" spans="1:26" ht="18.75" customHeight="1">
      <c r="A930" s="221"/>
      <c r="B930" s="221"/>
      <c r="C930" s="255"/>
      <c r="D930" s="255"/>
      <c r="E930" s="221"/>
      <c r="F930" s="221"/>
      <c r="G930" s="221"/>
      <c r="H930" s="221"/>
      <c r="I930" s="221"/>
      <c r="J930" s="221"/>
      <c r="K930" s="221"/>
      <c r="L930" s="255"/>
      <c r="M930" s="255"/>
      <c r="N930" s="221"/>
      <c r="O930" s="221"/>
      <c r="P930" s="221"/>
      <c r="Q930" s="221"/>
      <c r="R930" s="221"/>
      <c r="S930" s="221"/>
      <c r="T930" s="221"/>
      <c r="U930" s="221"/>
      <c r="V930" s="221"/>
      <c r="W930" s="221"/>
      <c r="X930" s="221"/>
      <c r="Y930" s="221"/>
      <c r="Z930" s="221"/>
    </row>
    <row r="931" spans="1:26" ht="18.75" customHeight="1">
      <c r="A931" s="221"/>
      <c r="B931" s="221"/>
      <c r="C931" s="255"/>
      <c r="D931" s="255"/>
      <c r="E931" s="221"/>
      <c r="F931" s="221"/>
      <c r="G931" s="221"/>
      <c r="H931" s="221"/>
      <c r="I931" s="221"/>
      <c r="J931" s="221"/>
      <c r="K931" s="221"/>
      <c r="L931" s="255"/>
      <c r="M931" s="255"/>
      <c r="N931" s="221"/>
      <c r="O931" s="221"/>
      <c r="P931" s="221"/>
      <c r="Q931" s="221"/>
      <c r="R931" s="221"/>
      <c r="S931" s="221"/>
      <c r="T931" s="221"/>
      <c r="U931" s="221"/>
      <c r="V931" s="221"/>
      <c r="W931" s="221"/>
      <c r="X931" s="221"/>
      <c r="Y931" s="221"/>
      <c r="Z931" s="221"/>
    </row>
    <row r="932" spans="1:26" ht="18.75" customHeight="1">
      <c r="A932" s="221"/>
      <c r="B932" s="221"/>
      <c r="C932" s="255"/>
      <c r="D932" s="255"/>
      <c r="E932" s="221"/>
      <c r="F932" s="221"/>
      <c r="G932" s="221"/>
      <c r="H932" s="221"/>
      <c r="I932" s="221"/>
      <c r="J932" s="221"/>
      <c r="K932" s="221"/>
      <c r="L932" s="255"/>
      <c r="M932" s="255"/>
      <c r="N932" s="221"/>
      <c r="O932" s="221"/>
      <c r="P932" s="221"/>
      <c r="Q932" s="221"/>
      <c r="R932" s="221"/>
      <c r="S932" s="221"/>
      <c r="T932" s="221"/>
      <c r="U932" s="221"/>
      <c r="V932" s="221"/>
      <c r="W932" s="221"/>
      <c r="X932" s="221"/>
      <c r="Y932" s="221"/>
      <c r="Z932" s="221"/>
    </row>
    <row r="933" spans="1:26" ht="18.75" customHeight="1">
      <c r="A933" s="221"/>
      <c r="B933" s="221"/>
      <c r="C933" s="255"/>
      <c r="D933" s="255"/>
      <c r="E933" s="221"/>
      <c r="F933" s="221"/>
      <c r="G933" s="221"/>
      <c r="H933" s="221"/>
      <c r="I933" s="221"/>
      <c r="J933" s="221"/>
      <c r="K933" s="221"/>
      <c r="L933" s="255"/>
      <c r="M933" s="255"/>
      <c r="N933" s="221"/>
      <c r="O933" s="221"/>
      <c r="P933" s="221"/>
      <c r="Q933" s="221"/>
      <c r="R933" s="221"/>
      <c r="S933" s="221"/>
      <c r="T933" s="221"/>
      <c r="U933" s="221"/>
      <c r="V933" s="221"/>
      <c r="W933" s="221"/>
      <c r="X933" s="221"/>
      <c r="Y933" s="221"/>
      <c r="Z933" s="221"/>
    </row>
    <row r="934" spans="1:26" ht="18.75" customHeight="1">
      <c r="A934" s="221"/>
      <c r="B934" s="221"/>
      <c r="C934" s="255"/>
      <c r="D934" s="255"/>
      <c r="E934" s="221"/>
      <c r="F934" s="221"/>
      <c r="G934" s="221"/>
      <c r="H934" s="221"/>
      <c r="I934" s="221"/>
      <c r="J934" s="221"/>
      <c r="K934" s="221"/>
      <c r="L934" s="255"/>
      <c r="M934" s="255"/>
      <c r="N934" s="221"/>
      <c r="O934" s="221"/>
      <c r="P934" s="221"/>
      <c r="Q934" s="221"/>
      <c r="R934" s="221"/>
      <c r="S934" s="221"/>
      <c r="T934" s="221"/>
      <c r="U934" s="221"/>
      <c r="V934" s="221"/>
      <c r="W934" s="221"/>
      <c r="X934" s="221"/>
      <c r="Y934" s="221"/>
      <c r="Z934" s="221"/>
    </row>
    <row r="935" spans="1:26" ht="18.75" customHeight="1">
      <c r="A935" s="221"/>
      <c r="B935" s="221"/>
      <c r="C935" s="255"/>
      <c r="D935" s="255"/>
      <c r="E935" s="221"/>
      <c r="F935" s="221"/>
      <c r="G935" s="221"/>
      <c r="H935" s="221"/>
      <c r="I935" s="221"/>
      <c r="J935" s="221"/>
      <c r="K935" s="221"/>
      <c r="L935" s="255"/>
      <c r="M935" s="255"/>
      <c r="N935" s="221"/>
      <c r="O935" s="221"/>
      <c r="P935" s="221"/>
      <c r="Q935" s="221"/>
      <c r="R935" s="221"/>
      <c r="S935" s="221"/>
      <c r="T935" s="221"/>
      <c r="U935" s="221"/>
      <c r="V935" s="221"/>
      <c r="W935" s="221"/>
      <c r="X935" s="221"/>
      <c r="Y935" s="221"/>
      <c r="Z935" s="221"/>
    </row>
    <row r="936" spans="1:26" ht="18.75" customHeight="1">
      <c r="A936" s="221"/>
      <c r="B936" s="221"/>
      <c r="C936" s="255"/>
      <c r="D936" s="255"/>
      <c r="E936" s="221"/>
      <c r="F936" s="221"/>
      <c r="G936" s="221"/>
      <c r="H936" s="221"/>
      <c r="I936" s="221"/>
      <c r="J936" s="221"/>
      <c r="K936" s="221"/>
      <c r="L936" s="255"/>
      <c r="M936" s="255"/>
      <c r="N936" s="221"/>
      <c r="O936" s="221"/>
      <c r="P936" s="221"/>
      <c r="Q936" s="221"/>
      <c r="R936" s="221"/>
      <c r="S936" s="221"/>
      <c r="T936" s="221"/>
      <c r="U936" s="221"/>
      <c r="V936" s="221"/>
      <c r="W936" s="221"/>
      <c r="X936" s="221"/>
      <c r="Y936" s="221"/>
      <c r="Z936" s="221"/>
    </row>
    <row r="937" spans="1:26" ht="18.75" customHeight="1">
      <c r="A937" s="221"/>
      <c r="B937" s="221"/>
      <c r="C937" s="255"/>
      <c r="D937" s="255"/>
      <c r="E937" s="221"/>
      <c r="F937" s="221"/>
      <c r="G937" s="221"/>
      <c r="H937" s="221"/>
      <c r="I937" s="221"/>
      <c r="J937" s="221"/>
      <c r="K937" s="221"/>
      <c r="L937" s="255"/>
      <c r="M937" s="255"/>
      <c r="N937" s="221"/>
      <c r="O937" s="221"/>
      <c r="P937" s="221"/>
      <c r="Q937" s="221"/>
      <c r="R937" s="221"/>
      <c r="S937" s="221"/>
      <c r="T937" s="221"/>
      <c r="U937" s="221"/>
      <c r="V937" s="221"/>
      <c r="W937" s="221"/>
      <c r="X937" s="221"/>
      <c r="Y937" s="221"/>
      <c r="Z937" s="221"/>
    </row>
    <row r="938" spans="1:26" ht="18.75" customHeight="1">
      <c r="A938" s="221"/>
      <c r="B938" s="221"/>
      <c r="C938" s="255"/>
      <c r="D938" s="255"/>
      <c r="E938" s="221"/>
      <c r="F938" s="221"/>
      <c r="G938" s="221"/>
      <c r="H938" s="221"/>
      <c r="I938" s="221"/>
      <c r="J938" s="221"/>
      <c r="K938" s="221"/>
      <c r="L938" s="255"/>
      <c r="M938" s="255"/>
      <c r="N938" s="221"/>
      <c r="O938" s="221"/>
      <c r="P938" s="221"/>
      <c r="Q938" s="221"/>
      <c r="R938" s="221"/>
      <c r="S938" s="221"/>
      <c r="T938" s="221"/>
      <c r="U938" s="221"/>
      <c r="V938" s="221"/>
      <c r="W938" s="221"/>
      <c r="X938" s="221"/>
      <c r="Y938" s="221"/>
      <c r="Z938" s="221"/>
    </row>
    <row r="939" spans="1:26" ht="18.75" customHeight="1">
      <c r="A939" s="221"/>
      <c r="B939" s="221"/>
      <c r="C939" s="255"/>
      <c r="D939" s="255"/>
      <c r="E939" s="221"/>
      <c r="F939" s="221"/>
      <c r="G939" s="221"/>
      <c r="H939" s="221"/>
      <c r="I939" s="221"/>
      <c r="J939" s="221"/>
      <c r="K939" s="221"/>
      <c r="L939" s="255"/>
      <c r="M939" s="255"/>
      <c r="N939" s="221"/>
      <c r="O939" s="221"/>
      <c r="P939" s="221"/>
      <c r="Q939" s="221"/>
      <c r="R939" s="221"/>
      <c r="S939" s="221"/>
      <c r="T939" s="221"/>
      <c r="U939" s="221"/>
      <c r="V939" s="221"/>
      <c r="W939" s="221"/>
      <c r="X939" s="221"/>
      <c r="Y939" s="221"/>
      <c r="Z939" s="221"/>
    </row>
    <row r="940" spans="1:26" ht="18.75" customHeight="1">
      <c r="A940" s="221"/>
      <c r="B940" s="221"/>
      <c r="C940" s="255"/>
      <c r="D940" s="255"/>
      <c r="E940" s="221"/>
      <c r="F940" s="221"/>
      <c r="G940" s="221"/>
      <c r="H940" s="221"/>
      <c r="I940" s="221"/>
      <c r="J940" s="221"/>
      <c r="K940" s="221"/>
      <c r="L940" s="255"/>
      <c r="M940" s="255"/>
      <c r="N940" s="221"/>
      <c r="O940" s="221"/>
      <c r="P940" s="221"/>
      <c r="Q940" s="221"/>
      <c r="R940" s="221"/>
      <c r="S940" s="221"/>
      <c r="T940" s="221"/>
      <c r="U940" s="221"/>
      <c r="V940" s="221"/>
      <c r="W940" s="221"/>
      <c r="X940" s="221"/>
      <c r="Y940" s="221"/>
      <c r="Z940" s="221"/>
    </row>
    <row r="941" spans="1:26" ht="18.75" customHeight="1">
      <c r="A941" s="221"/>
      <c r="B941" s="221"/>
      <c r="C941" s="255"/>
      <c r="D941" s="255"/>
      <c r="E941" s="221"/>
      <c r="F941" s="221"/>
      <c r="G941" s="221"/>
      <c r="H941" s="221"/>
      <c r="I941" s="221"/>
      <c r="J941" s="221"/>
      <c r="K941" s="221"/>
      <c r="L941" s="255"/>
      <c r="M941" s="255"/>
      <c r="N941" s="221"/>
      <c r="O941" s="221"/>
      <c r="P941" s="221"/>
      <c r="Q941" s="221"/>
      <c r="R941" s="221"/>
      <c r="S941" s="221"/>
      <c r="T941" s="221"/>
      <c r="U941" s="221"/>
      <c r="V941" s="221"/>
      <c r="W941" s="221"/>
      <c r="X941" s="221"/>
      <c r="Y941" s="221"/>
      <c r="Z941" s="221"/>
    </row>
    <row r="942" spans="1:26" ht="18.75" customHeight="1">
      <c r="A942" s="221"/>
      <c r="B942" s="221"/>
      <c r="C942" s="255"/>
      <c r="D942" s="255"/>
      <c r="E942" s="221"/>
      <c r="F942" s="221"/>
      <c r="G942" s="221"/>
      <c r="H942" s="221"/>
      <c r="I942" s="221"/>
      <c r="J942" s="221"/>
      <c r="K942" s="221"/>
      <c r="L942" s="255"/>
      <c r="M942" s="255"/>
      <c r="N942" s="221"/>
      <c r="O942" s="221"/>
      <c r="P942" s="221"/>
      <c r="Q942" s="221"/>
      <c r="R942" s="221"/>
      <c r="S942" s="221"/>
      <c r="T942" s="221"/>
      <c r="U942" s="221"/>
      <c r="V942" s="221"/>
      <c r="W942" s="221"/>
      <c r="X942" s="221"/>
      <c r="Y942" s="221"/>
      <c r="Z942" s="221"/>
    </row>
    <row r="943" spans="1:26" ht="18.75" customHeight="1">
      <c r="A943" s="221"/>
      <c r="B943" s="221"/>
      <c r="C943" s="255"/>
      <c r="D943" s="255"/>
      <c r="E943" s="221"/>
      <c r="F943" s="221"/>
      <c r="G943" s="221"/>
      <c r="H943" s="221"/>
      <c r="I943" s="221"/>
      <c r="J943" s="221"/>
      <c r="K943" s="221"/>
      <c r="L943" s="255"/>
      <c r="M943" s="255"/>
      <c r="N943" s="221"/>
      <c r="O943" s="221"/>
      <c r="P943" s="221"/>
      <c r="Q943" s="221"/>
      <c r="R943" s="221"/>
      <c r="S943" s="221"/>
      <c r="T943" s="221"/>
      <c r="U943" s="221"/>
      <c r="V943" s="221"/>
      <c r="W943" s="221"/>
      <c r="X943" s="221"/>
      <c r="Y943" s="221"/>
      <c r="Z943" s="221"/>
    </row>
    <row r="944" spans="1:26" ht="18.75" customHeight="1">
      <c r="A944" s="221"/>
      <c r="B944" s="221"/>
      <c r="C944" s="255"/>
      <c r="D944" s="255"/>
      <c r="E944" s="221"/>
      <c r="F944" s="221"/>
      <c r="G944" s="221"/>
      <c r="H944" s="221"/>
      <c r="I944" s="221"/>
      <c r="J944" s="221"/>
      <c r="K944" s="221"/>
      <c r="L944" s="255"/>
      <c r="M944" s="255"/>
      <c r="N944" s="221"/>
      <c r="O944" s="221"/>
      <c r="P944" s="221"/>
      <c r="Q944" s="221"/>
      <c r="R944" s="221"/>
      <c r="S944" s="221"/>
      <c r="T944" s="221"/>
      <c r="U944" s="221"/>
      <c r="V944" s="221"/>
      <c r="W944" s="221"/>
      <c r="X944" s="221"/>
      <c r="Y944" s="221"/>
      <c r="Z944" s="221"/>
    </row>
    <row r="945" spans="1:26" ht="18.75" customHeight="1">
      <c r="A945" s="221"/>
      <c r="B945" s="221"/>
      <c r="C945" s="255"/>
      <c r="D945" s="255"/>
      <c r="E945" s="221"/>
      <c r="F945" s="221"/>
      <c r="G945" s="221"/>
      <c r="H945" s="221"/>
      <c r="I945" s="221"/>
      <c r="J945" s="221"/>
      <c r="K945" s="221"/>
      <c r="L945" s="255"/>
      <c r="M945" s="255"/>
      <c r="N945" s="221"/>
      <c r="O945" s="221"/>
      <c r="P945" s="221"/>
      <c r="Q945" s="221"/>
      <c r="R945" s="221"/>
      <c r="S945" s="221"/>
      <c r="T945" s="221"/>
      <c r="U945" s="221"/>
      <c r="V945" s="221"/>
      <c r="W945" s="221"/>
      <c r="X945" s="221"/>
      <c r="Y945" s="221"/>
      <c r="Z945" s="221"/>
    </row>
    <row r="946" spans="1:26" ht="18.75" customHeight="1">
      <c r="A946" s="221"/>
      <c r="B946" s="221"/>
      <c r="C946" s="255"/>
      <c r="D946" s="255"/>
      <c r="E946" s="221"/>
      <c r="F946" s="221"/>
      <c r="G946" s="221"/>
      <c r="H946" s="221"/>
      <c r="I946" s="221"/>
      <c r="J946" s="221"/>
      <c r="K946" s="221"/>
      <c r="L946" s="255"/>
      <c r="M946" s="255"/>
      <c r="N946" s="221"/>
      <c r="O946" s="221"/>
      <c r="P946" s="221"/>
      <c r="Q946" s="221"/>
      <c r="R946" s="221"/>
      <c r="S946" s="221"/>
      <c r="T946" s="221"/>
      <c r="U946" s="221"/>
      <c r="V946" s="221"/>
      <c r="W946" s="221"/>
      <c r="X946" s="221"/>
      <c r="Y946" s="221"/>
      <c r="Z946" s="221"/>
    </row>
    <row r="947" spans="1:26" ht="18.75" customHeight="1">
      <c r="A947" s="221"/>
      <c r="B947" s="221"/>
      <c r="C947" s="255"/>
      <c r="D947" s="255"/>
      <c r="E947" s="221"/>
      <c r="F947" s="221"/>
      <c r="G947" s="221"/>
      <c r="H947" s="221"/>
      <c r="I947" s="221"/>
      <c r="J947" s="221"/>
      <c r="K947" s="221"/>
      <c r="L947" s="255"/>
      <c r="M947" s="255"/>
      <c r="N947" s="221"/>
      <c r="O947" s="221"/>
      <c r="P947" s="221"/>
      <c r="Q947" s="221"/>
      <c r="R947" s="221"/>
      <c r="S947" s="221"/>
      <c r="T947" s="221"/>
      <c r="U947" s="221"/>
      <c r="V947" s="221"/>
      <c r="W947" s="221"/>
      <c r="X947" s="221"/>
      <c r="Y947" s="221"/>
      <c r="Z947" s="221"/>
    </row>
    <row r="948" spans="1:26" ht="18.75" customHeight="1">
      <c r="A948" s="221"/>
      <c r="B948" s="221"/>
      <c r="C948" s="255"/>
      <c r="D948" s="255"/>
      <c r="E948" s="221"/>
      <c r="F948" s="221"/>
      <c r="G948" s="221"/>
      <c r="H948" s="221"/>
      <c r="I948" s="221"/>
      <c r="J948" s="221"/>
      <c r="K948" s="221"/>
      <c r="L948" s="255"/>
      <c r="M948" s="255"/>
      <c r="N948" s="221"/>
      <c r="O948" s="221"/>
      <c r="P948" s="221"/>
      <c r="Q948" s="221"/>
      <c r="R948" s="221"/>
      <c r="S948" s="221"/>
      <c r="T948" s="221"/>
      <c r="U948" s="221"/>
      <c r="V948" s="221"/>
      <c r="W948" s="221"/>
      <c r="X948" s="221"/>
      <c r="Y948" s="221"/>
      <c r="Z948" s="221"/>
    </row>
    <row r="949" spans="1:26" ht="18.75" customHeight="1">
      <c r="A949" s="221"/>
      <c r="B949" s="221"/>
      <c r="C949" s="255"/>
      <c r="D949" s="255"/>
      <c r="E949" s="221"/>
      <c r="F949" s="221"/>
      <c r="G949" s="221"/>
      <c r="H949" s="221"/>
      <c r="I949" s="221"/>
      <c r="J949" s="221"/>
      <c r="K949" s="221"/>
      <c r="L949" s="255"/>
      <c r="M949" s="255"/>
      <c r="N949" s="221"/>
      <c r="O949" s="221"/>
      <c r="P949" s="221"/>
      <c r="Q949" s="221"/>
      <c r="R949" s="221"/>
      <c r="S949" s="221"/>
      <c r="T949" s="221"/>
      <c r="U949" s="221"/>
      <c r="V949" s="221"/>
      <c r="W949" s="221"/>
      <c r="X949" s="221"/>
      <c r="Y949" s="221"/>
      <c r="Z949" s="221"/>
    </row>
    <row r="950" spans="1:26" ht="18.75" customHeight="1">
      <c r="A950" s="221"/>
      <c r="B950" s="221"/>
      <c r="C950" s="255"/>
      <c r="D950" s="255"/>
      <c r="E950" s="221"/>
      <c r="F950" s="221"/>
      <c r="G950" s="221"/>
      <c r="H950" s="221"/>
      <c r="I950" s="221"/>
      <c r="J950" s="221"/>
      <c r="K950" s="221"/>
      <c r="L950" s="255"/>
      <c r="M950" s="255"/>
      <c r="N950" s="221"/>
      <c r="O950" s="221"/>
      <c r="P950" s="221"/>
      <c r="Q950" s="221"/>
      <c r="R950" s="221"/>
      <c r="S950" s="221"/>
      <c r="T950" s="221"/>
      <c r="U950" s="221"/>
      <c r="V950" s="221"/>
      <c r="W950" s="221"/>
      <c r="X950" s="221"/>
      <c r="Y950" s="221"/>
      <c r="Z950" s="221"/>
    </row>
    <row r="951" spans="1:26" ht="18.75" customHeight="1">
      <c r="A951" s="221"/>
      <c r="B951" s="221"/>
      <c r="C951" s="255"/>
      <c r="D951" s="255"/>
      <c r="E951" s="221"/>
      <c r="F951" s="221"/>
      <c r="G951" s="221"/>
      <c r="H951" s="221"/>
      <c r="I951" s="221"/>
      <c r="J951" s="221"/>
      <c r="K951" s="221"/>
      <c r="L951" s="255"/>
      <c r="M951" s="255"/>
      <c r="N951" s="221"/>
      <c r="O951" s="221"/>
      <c r="P951" s="221"/>
      <c r="Q951" s="221"/>
      <c r="R951" s="221"/>
      <c r="S951" s="221"/>
      <c r="T951" s="221"/>
      <c r="U951" s="221"/>
      <c r="V951" s="221"/>
      <c r="W951" s="221"/>
      <c r="X951" s="221"/>
      <c r="Y951" s="221"/>
      <c r="Z951" s="221"/>
    </row>
    <row r="952" spans="1:26" ht="18.75" customHeight="1">
      <c r="A952" s="221"/>
      <c r="B952" s="221"/>
      <c r="C952" s="255"/>
      <c r="D952" s="255"/>
      <c r="E952" s="221"/>
      <c r="F952" s="221"/>
      <c r="G952" s="221"/>
      <c r="H952" s="221"/>
      <c r="I952" s="221"/>
      <c r="J952" s="221"/>
      <c r="K952" s="221"/>
      <c r="L952" s="255"/>
      <c r="M952" s="255"/>
      <c r="N952" s="221"/>
      <c r="O952" s="221"/>
      <c r="P952" s="221"/>
      <c r="Q952" s="221"/>
      <c r="R952" s="221"/>
      <c r="S952" s="221"/>
      <c r="T952" s="221"/>
      <c r="U952" s="221"/>
      <c r="V952" s="221"/>
      <c r="W952" s="221"/>
      <c r="X952" s="221"/>
      <c r="Y952" s="221"/>
      <c r="Z952" s="221"/>
    </row>
    <row r="953" spans="1:26" ht="18.75" customHeight="1">
      <c r="A953" s="221"/>
      <c r="B953" s="221"/>
      <c r="C953" s="255"/>
      <c r="D953" s="255"/>
      <c r="E953" s="221"/>
      <c r="F953" s="221"/>
      <c r="G953" s="221"/>
      <c r="H953" s="221"/>
      <c r="I953" s="221"/>
      <c r="J953" s="221"/>
      <c r="K953" s="221"/>
      <c r="L953" s="255"/>
      <c r="M953" s="255"/>
      <c r="N953" s="221"/>
      <c r="O953" s="221"/>
      <c r="P953" s="221"/>
      <c r="Q953" s="221"/>
      <c r="R953" s="221"/>
      <c r="S953" s="221"/>
      <c r="T953" s="221"/>
      <c r="U953" s="221"/>
      <c r="V953" s="221"/>
      <c r="W953" s="221"/>
      <c r="X953" s="221"/>
      <c r="Y953" s="221"/>
      <c r="Z953" s="221"/>
    </row>
    <row r="954" spans="1:26" ht="18.75" customHeight="1">
      <c r="A954" s="221"/>
      <c r="B954" s="221"/>
      <c r="C954" s="255"/>
      <c r="D954" s="255"/>
      <c r="E954" s="221"/>
      <c r="F954" s="221"/>
      <c r="G954" s="221"/>
      <c r="H954" s="221"/>
      <c r="I954" s="221"/>
      <c r="J954" s="221"/>
      <c r="K954" s="221"/>
      <c r="L954" s="255"/>
      <c r="M954" s="255"/>
      <c r="N954" s="221"/>
      <c r="O954" s="221"/>
      <c r="P954" s="221"/>
      <c r="Q954" s="221"/>
      <c r="R954" s="221"/>
      <c r="S954" s="221"/>
      <c r="T954" s="221"/>
      <c r="U954" s="221"/>
      <c r="V954" s="221"/>
      <c r="W954" s="221"/>
      <c r="X954" s="221"/>
      <c r="Y954" s="221"/>
      <c r="Z954" s="221"/>
    </row>
    <row r="955" spans="1:26" ht="18.75" customHeight="1">
      <c r="A955" s="221"/>
      <c r="B955" s="221"/>
      <c r="C955" s="255"/>
      <c r="D955" s="255"/>
      <c r="E955" s="221"/>
      <c r="F955" s="221"/>
      <c r="G955" s="221"/>
      <c r="H955" s="221"/>
      <c r="I955" s="221"/>
      <c r="J955" s="221"/>
      <c r="K955" s="221"/>
      <c r="L955" s="255"/>
      <c r="M955" s="255"/>
      <c r="N955" s="221"/>
      <c r="O955" s="221"/>
      <c r="P955" s="221"/>
      <c r="Q955" s="221"/>
      <c r="R955" s="221"/>
      <c r="S955" s="221"/>
      <c r="T955" s="221"/>
      <c r="U955" s="221"/>
      <c r="V955" s="221"/>
      <c r="W955" s="221"/>
      <c r="X955" s="221"/>
      <c r="Y955" s="221"/>
      <c r="Z955" s="221"/>
    </row>
    <row r="956" spans="1:26" ht="18.75" customHeight="1">
      <c r="A956" s="221"/>
      <c r="B956" s="221"/>
      <c r="C956" s="255"/>
      <c r="D956" s="255"/>
      <c r="E956" s="221"/>
      <c r="F956" s="221"/>
      <c r="G956" s="221"/>
      <c r="H956" s="221"/>
      <c r="I956" s="221"/>
      <c r="J956" s="221"/>
      <c r="K956" s="221"/>
      <c r="L956" s="255"/>
      <c r="M956" s="255"/>
      <c r="N956" s="221"/>
      <c r="O956" s="221"/>
      <c r="P956" s="221"/>
      <c r="Q956" s="221"/>
      <c r="R956" s="221"/>
      <c r="S956" s="221"/>
      <c r="T956" s="221"/>
      <c r="U956" s="221"/>
      <c r="V956" s="221"/>
      <c r="W956" s="221"/>
      <c r="X956" s="221"/>
      <c r="Y956" s="221"/>
      <c r="Z956" s="221"/>
    </row>
    <row r="957" spans="1:26" ht="18.75" customHeight="1">
      <c r="A957" s="221"/>
      <c r="B957" s="221"/>
      <c r="C957" s="255"/>
      <c r="D957" s="255"/>
      <c r="E957" s="221"/>
      <c r="F957" s="221"/>
      <c r="G957" s="221"/>
      <c r="H957" s="221"/>
      <c r="I957" s="221"/>
      <c r="J957" s="221"/>
      <c r="K957" s="221"/>
      <c r="L957" s="255"/>
      <c r="M957" s="255"/>
      <c r="N957" s="221"/>
      <c r="O957" s="221"/>
      <c r="P957" s="221"/>
      <c r="Q957" s="221"/>
      <c r="R957" s="221"/>
      <c r="S957" s="221"/>
      <c r="T957" s="221"/>
      <c r="U957" s="221"/>
      <c r="V957" s="221"/>
      <c r="W957" s="221"/>
      <c r="X957" s="221"/>
      <c r="Y957" s="221"/>
      <c r="Z957" s="221"/>
    </row>
    <row r="958" spans="1:26" ht="18.75" customHeight="1">
      <c r="A958" s="221"/>
      <c r="B958" s="221"/>
      <c r="C958" s="255"/>
      <c r="D958" s="255"/>
      <c r="E958" s="221"/>
      <c r="F958" s="221"/>
      <c r="G958" s="221"/>
      <c r="H958" s="221"/>
      <c r="I958" s="221"/>
      <c r="J958" s="221"/>
      <c r="K958" s="221"/>
      <c r="L958" s="255"/>
      <c r="M958" s="255"/>
      <c r="N958" s="221"/>
      <c r="O958" s="221"/>
      <c r="P958" s="221"/>
      <c r="Q958" s="221"/>
      <c r="R958" s="221"/>
      <c r="S958" s="221"/>
      <c r="T958" s="221"/>
      <c r="U958" s="221"/>
      <c r="V958" s="221"/>
      <c r="W958" s="221"/>
      <c r="X958" s="221"/>
      <c r="Y958" s="221"/>
      <c r="Z958" s="221"/>
    </row>
    <row r="959" spans="1:26" ht="18.75" customHeight="1">
      <c r="A959" s="221"/>
      <c r="B959" s="221"/>
      <c r="C959" s="255"/>
      <c r="D959" s="255"/>
      <c r="E959" s="221"/>
      <c r="F959" s="221"/>
      <c r="G959" s="221"/>
      <c r="H959" s="221"/>
      <c r="I959" s="221"/>
      <c r="J959" s="221"/>
      <c r="K959" s="221"/>
      <c r="L959" s="255"/>
      <c r="M959" s="255"/>
      <c r="N959" s="221"/>
      <c r="O959" s="221"/>
      <c r="P959" s="221"/>
      <c r="Q959" s="221"/>
      <c r="R959" s="221"/>
      <c r="S959" s="221"/>
      <c r="T959" s="221"/>
      <c r="U959" s="221"/>
      <c r="V959" s="221"/>
      <c r="W959" s="221"/>
      <c r="X959" s="221"/>
      <c r="Y959" s="221"/>
      <c r="Z959" s="221"/>
    </row>
    <row r="960" spans="1:26" ht="18.75" customHeight="1">
      <c r="A960" s="221"/>
      <c r="B960" s="221"/>
      <c r="C960" s="255"/>
      <c r="D960" s="255"/>
      <c r="E960" s="221"/>
      <c r="F960" s="221"/>
      <c r="G960" s="221"/>
      <c r="H960" s="221"/>
      <c r="I960" s="221"/>
      <c r="J960" s="221"/>
      <c r="K960" s="221"/>
      <c r="L960" s="255"/>
      <c r="M960" s="255"/>
      <c r="N960" s="221"/>
      <c r="O960" s="221"/>
      <c r="P960" s="221"/>
      <c r="Q960" s="221"/>
      <c r="R960" s="221"/>
      <c r="S960" s="221"/>
      <c r="T960" s="221"/>
      <c r="U960" s="221"/>
      <c r="V960" s="221"/>
      <c r="W960" s="221"/>
      <c r="X960" s="221"/>
      <c r="Y960" s="221"/>
      <c r="Z960" s="221"/>
    </row>
    <row r="961" spans="1:26" ht="18.75" customHeight="1">
      <c r="A961" s="221"/>
      <c r="B961" s="221"/>
      <c r="C961" s="255"/>
      <c r="D961" s="255"/>
      <c r="E961" s="221"/>
      <c r="F961" s="221"/>
      <c r="G961" s="221"/>
      <c r="H961" s="221"/>
      <c r="I961" s="221"/>
      <c r="J961" s="221"/>
      <c r="K961" s="221"/>
      <c r="L961" s="255"/>
      <c r="M961" s="255"/>
      <c r="N961" s="221"/>
      <c r="O961" s="221"/>
      <c r="P961" s="221"/>
      <c r="Q961" s="221"/>
      <c r="R961" s="221"/>
      <c r="S961" s="221"/>
      <c r="T961" s="221"/>
      <c r="U961" s="221"/>
      <c r="V961" s="221"/>
      <c r="W961" s="221"/>
      <c r="X961" s="221"/>
      <c r="Y961" s="221"/>
      <c r="Z961" s="221"/>
    </row>
    <row r="962" spans="1:26" ht="18.75" customHeight="1">
      <c r="A962" s="221"/>
      <c r="B962" s="221"/>
      <c r="C962" s="255"/>
      <c r="D962" s="255"/>
      <c r="E962" s="221"/>
      <c r="F962" s="221"/>
      <c r="G962" s="221"/>
      <c r="H962" s="221"/>
      <c r="I962" s="221"/>
      <c r="J962" s="221"/>
      <c r="K962" s="221"/>
      <c r="L962" s="255"/>
      <c r="M962" s="255"/>
      <c r="N962" s="221"/>
      <c r="O962" s="221"/>
      <c r="P962" s="221"/>
      <c r="Q962" s="221"/>
      <c r="R962" s="221"/>
      <c r="S962" s="221"/>
      <c r="T962" s="221"/>
      <c r="U962" s="221"/>
      <c r="V962" s="221"/>
      <c r="W962" s="221"/>
      <c r="X962" s="221"/>
      <c r="Y962" s="221"/>
      <c r="Z962" s="221"/>
    </row>
    <row r="963" spans="1:26" ht="18.75" customHeight="1">
      <c r="A963" s="221"/>
      <c r="B963" s="221"/>
      <c r="C963" s="255"/>
      <c r="D963" s="255"/>
      <c r="E963" s="221"/>
      <c r="F963" s="221"/>
      <c r="G963" s="221"/>
      <c r="H963" s="221"/>
      <c r="I963" s="221"/>
      <c r="J963" s="221"/>
      <c r="K963" s="221"/>
      <c r="L963" s="255"/>
      <c r="M963" s="255"/>
      <c r="N963" s="221"/>
      <c r="O963" s="221"/>
      <c r="P963" s="221"/>
      <c r="Q963" s="221"/>
      <c r="R963" s="221"/>
      <c r="S963" s="221"/>
      <c r="T963" s="221"/>
      <c r="U963" s="221"/>
      <c r="V963" s="221"/>
      <c r="W963" s="221"/>
      <c r="X963" s="221"/>
      <c r="Y963" s="221"/>
      <c r="Z963" s="221"/>
    </row>
    <row r="964" spans="1:26" ht="18.75" customHeight="1">
      <c r="A964" s="221"/>
      <c r="B964" s="221"/>
      <c r="C964" s="255"/>
      <c r="D964" s="255"/>
      <c r="E964" s="221"/>
      <c r="F964" s="221"/>
      <c r="G964" s="221"/>
      <c r="H964" s="221"/>
      <c r="I964" s="221"/>
      <c r="J964" s="221"/>
      <c r="K964" s="221"/>
      <c r="L964" s="255"/>
      <c r="M964" s="255"/>
      <c r="N964" s="221"/>
      <c r="O964" s="221"/>
      <c r="P964" s="221"/>
      <c r="Q964" s="221"/>
      <c r="R964" s="221"/>
      <c r="S964" s="221"/>
      <c r="T964" s="221"/>
      <c r="U964" s="221"/>
      <c r="V964" s="221"/>
      <c r="W964" s="221"/>
      <c r="X964" s="221"/>
      <c r="Y964" s="221"/>
      <c r="Z964" s="221"/>
    </row>
    <row r="965" spans="1:26" ht="18.75" customHeight="1">
      <c r="A965" s="221"/>
      <c r="B965" s="221"/>
      <c r="C965" s="255"/>
      <c r="D965" s="255"/>
      <c r="E965" s="221"/>
      <c r="F965" s="221"/>
      <c r="G965" s="221"/>
      <c r="H965" s="221"/>
      <c r="I965" s="221"/>
      <c r="J965" s="221"/>
      <c r="K965" s="221"/>
      <c r="L965" s="255"/>
      <c r="M965" s="255"/>
      <c r="N965" s="221"/>
      <c r="O965" s="221"/>
      <c r="P965" s="221"/>
      <c r="Q965" s="221"/>
      <c r="R965" s="221"/>
      <c r="S965" s="221"/>
      <c r="T965" s="221"/>
      <c r="U965" s="221"/>
      <c r="V965" s="221"/>
      <c r="W965" s="221"/>
      <c r="X965" s="221"/>
      <c r="Y965" s="221"/>
      <c r="Z965" s="221"/>
    </row>
    <row r="966" spans="1:26" ht="18.75" customHeight="1">
      <c r="A966" s="221"/>
      <c r="B966" s="221"/>
      <c r="C966" s="255"/>
      <c r="D966" s="255"/>
      <c r="E966" s="221"/>
      <c r="F966" s="221"/>
      <c r="G966" s="221"/>
      <c r="H966" s="221"/>
      <c r="I966" s="221"/>
      <c r="J966" s="221"/>
      <c r="K966" s="221"/>
      <c r="L966" s="255"/>
      <c r="M966" s="255"/>
      <c r="N966" s="221"/>
      <c r="O966" s="221"/>
      <c r="P966" s="221"/>
      <c r="Q966" s="221"/>
      <c r="R966" s="221"/>
      <c r="S966" s="221"/>
      <c r="T966" s="221"/>
      <c r="U966" s="221"/>
      <c r="V966" s="221"/>
      <c r="W966" s="221"/>
      <c r="X966" s="221"/>
      <c r="Y966" s="221"/>
      <c r="Z966" s="221"/>
    </row>
    <row r="967" spans="1:26" ht="18.75" customHeight="1">
      <c r="A967" s="221"/>
      <c r="B967" s="221"/>
      <c r="C967" s="255"/>
      <c r="D967" s="255"/>
      <c r="E967" s="221"/>
      <c r="F967" s="221"/>
      <c r="G967" s="221"/>
      <c r="H967" s="221"/>
      <c r="I967" s="221"/>
      <c r="J967" s="221"/>
      <c r="K967" s="221"/>
      <c r="L967" s="255"/>
      <c r="M967" s="255"/>
      <c r="N967" s="221"/>
      <c r="O967" s="221"/>
      <c r="P967" s="221"/>
      <c r="Q967" s="221"/>
      <c r="R967" s="221"/>
      <c r="S967" s="221"/>
      <c r="T967" s="221"/>
      <c r="U967" s="221"/>
      <c r="V967" s="221"/>
      <c r="W967" s="221"/>
      <c r="X967" s="221"/>
      <c r="Y967" s="221"/>
      <c r="Z967" s="221"/>
    </row>
    <row r="968" spans="1:26" ht="18.75" customHeight="1">
      <c r="A968" s="221"/>
      <c r="B968" s="221"/>
      <c r="C968" s="255"/>
      <c r="D968" s="255"/>
      <c r="E968" s="221"/>
      <c r="F968" s="221"/>
      <c r="G968" s="221"/>
      <c r="H968" s="221"/>
      <c r="I968" s="221"/>
      <c r="J968" s="221"/>
      <c r="K968" s="221"/>
      <c r="L968" s="255"/>
      <c r="M968" s="255"/>
      <c r="N968" s="221"/>
      <c r="O968" s="221"/>
      <c r="P968" s="221"/>
      <c r="Q968" s="221"/>
      <c r="R968" s="221"/>
      <c r="S968" s="221"/>
      <c r="T968" s="221"/>
      <c r="U968" s="221"/>
      <c r="V968" s="221"/>
      <c r="W968" s="221"/>
      <c r="X968" s="221"/>
      <c r="Y968" s="221"/>
      <c r="Z968" s="221"/>
    </row>
    <row r="969" spans="1:26" ht="18.75" customHeight="1">
      <c r="A969" s="221"/>
      <c r="B969" s="221"/>
      <c r="C969" s="255"/>
      <c r="D969" s="255"/>
      <c r="E969" s="221"/>
      <c r="F969" s="221"/>
      <c r="G969" s="221"/>
      <c r="H969" s="221"/>
      <c r="I969" s="221"/>
      <c r="J969" s="221"/>
      <c r="K969" s="221"/>
      <c r="L969" s="255"/>
      <c r="M969" s="255"/>
      <c r="N969" s="221"/>
      <c r="O969" s="221"/>
      <c r="P969" s="221"/>
      <c r="Q969" s="221"/>
      <c r="R969" s="221"/>
      <c r="S969" s="221"/>
      <c r="T969" s="221"/>
      <c r="U969" s="221"/>
      <c r="V969" s="221"/>
      <c r="W969" s="221"/>
      <c r="X969" s="221"/>
      <c r="Y969" s="221"/>
      <c r="Z969" s="221"/>
    </row>
    <row r="970" spans="1:26" ht="18.75" customHeight="1">
      <c r="A970" s="221"/>
      <c r="B970" s="221"/>
      <c r="C970" s="255"/>
      <c r="D970" s="255"/>
      <c r="E970" s="221"/>
      <c r="F970" s="221"/>
      <c r="G970" s="221"/>
      <c r="H970" s="221"/>
      <c r="I970" s="221"/>
      <c r="J970" s="221"/>
      <c r="K970" s="221"/>
      <c r="L970" s="255"/>
      <c r="M970" s="255"/>
      <c r="N970" s="221"/>
      <c r="O970" s="221"/>
      <c r="P970" s="221"/>
      <c r="Q970" s="221"/>
      <c r="R970" s="221"/>
      <c r="S970" s="221"/>
      <c r="T970" s="221"/>
      <c r="U970" s="221"/>
      <c r="V970" s="221"/>
      <c r="W970" s="221"/>
      <c r="X970" s="221"/>
      <c r="Y970" s="221"/>
      <c r="Z970" s="221"/>
    </row>
    <row r="971" spans="1:26" ht="18.75" customHeight="1">
      <c r="A971" s="221"/>
      <c r="B971" s="221"/>
      <c r="C971" s="255"/>
      <c r="D971" s="255"/>
      <c r="E971" s="221"/>
      <c r="F971" s="221"/>
      <c r="G971" s="221"/>
      <c r="H971" s="221"/>
      <c r="I971" s="221"/>
      <c r="J971" s="221"/>
      <c r="K971" s="221"/>
      <c r="L971" s="255"/>
      <c r="M971" s="255"/>
      <c r="N971" s="221"/>
      <c r="O971" s="221"/>
      <c r="P971" s="221"/>
      <c r="Q971" s="221"/>
      <c r="R971" s="221"/>
      <c r="S971" s="221"/>
      <c r="T971" s="221"/>
      <c r="U971" s="221"/>
      <c r="V971" s="221"/>
      <c r="W971" s="221"/>
      <c r="X971" s="221"/>
      <c r="Y971" s="221"/>
      <c r="Z971" s="221"/>
    </row>
    <row r="972" spans="1:26" ht="18.75" customHeight="1">
      <c r="A972" s="221"/>
      <c r="B972" s="221"/>
      <c r="C972" s="255"/>
      <c r="D972" s="255"/>
      <c r="E972" s="221"/>
      <c r="F972" s="221"/>
      <c r="G972" s="221"/>
      <c r="H972" s="221"/>
      <c r="I972" s="221"/>
      <c r="J972" s="221"/>
      <c r="K972" s="221"/>
      <c r="L972" s="255"/>
      <c r="M972" s="255"/>
      <c r="N972" s="221"/>
      <c r="O972" s="221"/>
      <c r="P972" s="221"/>
      <c r="Q972" s="221"/>
      <c r="R972" s="221"/>
      <c r="S972" s="221"/>
      <c r="T972" s="221"/>
      <c r="U972" s="221"/>
      <c r="V972" s="221"/>
      <c r="W972" s="221"/>
      <c r="X972" s="221"/>
      <c r="Y972" s="221"/>
      <c r="Z972" s="221"/>
    </row>
    <row r="973" spans="1:26" ht="18.75" customHeight="1">
      <c r="A973" s="221"/>
      <c r="B973" s="221"/>
      <c r="C973" s="255"/>
      <c r="D973" s="255"/>
      <c r="E973" s="221"/>
      <c r="F973" s="221"/>
      <c r="G973" s="221"/>
      <c r="H973" s="221"/>
      <c r="I973" s="221"/>
      <c r="J973" s="221"/>
      <c r="K973" s="221"/>
      <c r="L973" s="255"/>
      <c r="M973" s="255"/>
      <c r="N973" s="221"/>
      <c r="O973" s="221"/>
      <c r="P973" s="221"/>
      <c r="Q973" s="221"/>
      <c r="R973" s="221"/>
      <c r="S973" s="221"/>
      <c r="T973" s="221"/>
      <c r="U973" s="221"/>
      <c r="V973" s="221"/>
      <c r="W973" s="221"/>
      <c r="X973" s="221"/>
      <c r="Y973" s="221"/>
      <c r="Z973" s="221"/>
    </row>
    <row r="974" spans="1:26" ht="18.75" customHeight="1">
      <c r="A974" s="221"/>
      <c r="B974" s="221"/>
      <c r="C974" s="255"/>
      <c r="D974" s="255"/>
      <c r="E974" s="221"/>
      <c r="F974" s="221"/>
      <c r="G974" s="221"/>
      <c r="H974" s="221"/>
      <c r="I974" s="221"/>
      <c r="J974" s="221"/>
      <c r="K974" s="221"/>
      <c r="L974" s="255"/>
      <c r="M974" s="255"/>
      <c r="N974" s="221"/>
      <c r="O974" s="221"/>
      <c r="P974" s="221"/>
      <c r="Q974" s="221"/>
      <c r="R974" s="221"/>
      <c r="S974" s="221"/>
      <c r="T974" s="221"/>
      <c r="U974" s="221"/>
      <c r="V974" s="221"/>
      <c r="W974" s="221"/>
      <c r="X974" s="221"/>
      <c r="Y974" s="221"/>
      <c r="Z974" s="221"/>
    </row>
    <row r="975" spans="1:26" ht="18.75" customHeight="1">
      <c r="A975" s="221"/>
      <c r="B975" s="221"/>
      <c r="C975" s="255"/>
      <c r="D975" s="255"/>
      <c r="E975" s="221"/>
      <c r="F975" s="221"/>
      <c r="G975" s="221"/>
      <c r="H975" s="221"/>
      <c r="I975" s="221"/>
      <c r="J975" s="221"/>
      <c r="K975" s="221"/>
      <c r="L975" s="255"/>
      <c r="M975" s="255"/>
      <c r="N975" s="221"/>
      <c r="O975" s="221"/>
      <c r="P975" s="221"/>
      <c r="Q975" s="221"/>
      <c r="R975" s="221"/>
      <c r="S975" s="221"/>
      <c r="T975" s="221"/>
      <c r="U975" s="221"/>
      <c r="V975" s="221"/>
      <c r="W975" s="221"/>
      <c r="X975" s="221"/>
      <c r="Y975" s="221"/>
      <c r="Z975" s="221"/>
    </row>
    <row r="976" spans="1:26" ht="18.75" customHeight="1">
      <c r="A976" s="221"/>
      <c r="B976" s="221"/>
      <c r="C976" s="255"/>
      <c r="D976" s="255"/>
      <c r="E976" s="221"/>
      <c r="F976" s="221"/>
      <c r="G976" s="221"/>
      <c r="H976" s="221"/>
      <c r="I976" s="221"/>
      <c r="J976" s="221"/>
      <c r="K976" s="221"/>
      <c r="L976" s="255"/>
      <c r="M976" s="255"/>
      <c r="N976" s="221"/>
      <c r="O976" s="221"/>
      <c r="P976" s="221"/>
      <c r="Q976" s="221"/>
      <c r="R976" s="221"/>
      <c r="S976" s="221"/>
      <c r="T976" s="221"/>
      <c r="U976" s="221"/>
      <c r="V976" s="221"/>
      <c r="W976" s="221"/>
      <c r="X976" s="221"/>
      <c r="Y976" s="221"/>
      <c r="Z976" s="221"/>
    </row>
    <row r="977" spans="1:26" ht="18.75" customHeight="1">
      <c r="A977" s="221"/>
      <c r="B977" s="221"/>
      <c r="C977" s="255"/>
      <c r="D977" s="255"/>
      <c r="E977" s="221"/>
      <c r="F977" s="221"/>
      <c r="G977" s="221"/>
      <c r="H977" s="221"/>
      <c r="I977" s="221"/>
      <c r="J977" s="221"/>
      <c r="K977" s="221"/>
      <c r="L977" s="255"/>
      <c r="M977" s="255"/>
      <c r="N977" s="221"/>
      <c r="O977" s="221"/>
      <c r="P977" s="221"/>
      <c r="Q977" s="221"/>
      <c r="R977" s="221"/>
      <c r="S977" s="221"/>
      <c r="T977" s="221"/>
      <c r="U977" s="221"/>
      <c r="V977" s="221"/>
      <c r="W977" s="221"/>
      <c r="X977" s="221"/>
      <c r="Y977" s="221"/>
      <c r="Z977" s="221"/>
    </row>
    <row r="978" spans="1:26" ht="18.75" customHeight="1">
      <c r="A978" s="221"/>
      <c r="B978" s="221"/>
      <c r="C978" s="255"/>
      <c r="D978" s="255"/>
      <c r="E978" s="221"/>
      <c r="F978" s="221"/>
      <c r="G978" s="221"/>
      <c r="H978" s="221"/>
      <c r="I978" s="221"/>
      <c r="J978" s="221"/>
      <c r="K978" s="221"/>
      <c r="L978" s="255"/>
      <c r="M978" s="255"/>
      <c r="N978" s="221"/>
      <c r="O978" s="221"/>
      <c r="P978" s="221"/>
      <c r="Q978" s="221"/>
      <c r="R978" s="221"/>
      <c r="S978" s="221"/>
      <c r="T978" s="221"/>
      <c r="U978" s="221"/>
      <c r="V978" s="221"/>
      <c r="W978" s="221"/>
      <c r="X978" s="221"/>
      <c r="Y978" s="221"/>
      <c r="Z978" s="221"/>
    </row>
    <row r="979" spans="1:26" ht="18.75" customHeight="1">
      <c r="A979" s="221"/>
      <c r="B979" s="221"/>
      <c r="C979" s="255"/>
      <c r="D979" s="255"/>
      <c r="E979" s="221"/>
      <c r="F979" s="221"/>
      <c r="G979" s="221"/>
      <c r="H979" s="221"/>
      <c r="I979" s="221"/>
      <c r="J979" s="221"/>
      <c r="K979" s="221"/>
      <c r="L979" s="255"/>
      <c r="M979" s="255"/>
      <c r="N979" s="221"/>
      <c r="O979" s="221"/>
      <c r="P979" s="221"/>
      <c r="Q979" s="221"/>
      <c r="R979" s="221"/>
      <c r="S979" s="221"/>
      <c r="T979" s="221"/>
      <c r="U979" s="221"/>
      <c r="V979" s="221"/>
      <c r="W979" s="221"/>
      <c r="X979" s="221"/>
      <c r="Y979" s="221"/>
      <c r="Z979" s="221"/>
    </row>
    <row r="980" spans="1:26" ht="18.75" customHeight="1">
      <c r="A980" s="221"/>
      <c r="B980" s="221"/>
      <c r="C980" s="255"/>
      <c r="D980" s="255"/>
      <c r="E980" s="221"/>
      <c r="F980" s="221"/>
      <c r="G980" s="221"/>
      <c r="H980" s="221"/>
      <c r="I980" s="221"/>
      <c r="J980" s="221"/>
      <c r="K980" s="221"/>
      <c r="L980" s="255"/>
      <c r="M980" s="255"/>
      <c r="N980" s="221"/>
      <c r="O980" s="221"/>
      <c r="P980" s="221"/>
      <c r="Q980" s="221"/>
      <c r="R980" s="221"/>
      <c r="S980" s="221"/>
      <c r="T980" s="221"/>
      <c r="U980" s="221"/>
      <c r="V980" s="221"/>
      <c r="W980" s="221"/>
      <c r="X980" s="221"/>
      <c r="Y980" s="221"/>
      <c r="Z980" s="221"/>
    </row>
    <row r="981" spans="1:26" ht="18.75" customHeight="1">
      <c r="A981" s="221"/>
      <c r="B981" s="221"/>
      <c r="C981" s="255"/>
      <c r="D981" s="255"/>
      <c r="E981" s="221"/>
      <c r="F981" s="221"/>
      <c r="G981" s="221"/>
      <c r="H981" s="221"/>
      <c r="I981" s="221"/>
      <c r="J981" s="221"/>
      <c r="K981" s="221"/>
      <c r="L981" s="255"/>
      <c r="M981" s="255"/>
      <c r="N981" s="221"/>
      <c r="O981" s="221"/>
      <c r="P981" s="221"/>
      <c r="Q981" s="221"/>
      <c r="R981" s="221"/>
      <c r="S981" s="221"/>
      <c r="T981" s="221"/>
      <c r="U981" s="221"/>
      <c r="V981" s="221"/>
      <c r="W981" s="221"/>
      <c r="X981" s="221"/>
      <c r="Y981" s="221"/>
      <c r="Z981" s="221"/>
    </row>
    <row r="982" spans="1:26" ht="18.75" customHeight="1">
      <c r="A982" s="221"/>
      <c r="B982" s="221"/>
      <c r="C982" s="255"/>
      <c r="D982" s="255"/>
      <c r="E982" s="221"/>
      <c r="F982" s="221"/>
      <c r="G982" s="221"/>
      <c r="H982" s="221"/>
      <c r="I982" s="221"/>
      <c r="J982" s="221"/>
      <c r="K982" s="221"/>
      <c r="L982" s="255"/>
      <c r="M982" s="255"/>
      <c r="N982" s="221"/>
      <c r="O982" s="221"/>
      <c r="P982" s="221"/>
      <c r="Q982" s="221"/>
      <c r="R982" s="221"/>
      <c r="S982" s="221"/>
      <c r="T982" s="221"/>
      <c r="U982" s="221"/>
      <c r="V982" s="221"/>
      <c r="W982" s="221"/>
      <c r="X982" s="221"/>
      <c r="Y982" s="221"/>
      <c r="Z982" s="221"/>
    </row>
    <row r="983" spans="1:26" ht="18.75" customHeight="1">
      <c r="A983" s="221"/>
      <c r="B983" s="221"/>
      <c r="C983" s="255"/>
      <c r="D983" s="255"/>
      <c r="E983" s="221"/>
      <c r="F983" s="221"/>
      <c r="G983" s="221"/>
      <c r="H983" s="221"/>
      <c r="I983" s="221"/>
      <c r="J983" s="221"/>
      <c r="K983" s="221"/>
      <c r="L983" s="255"/>
      <c r="M983" s="255"/>
      <c r="N983" s="221"/>
      <c r="O983" s="221"/>
      <c r="P983" s="221"/>
      <c r="Q983" s="221"/>
      <c r="R983" s="221"/>
      <c r="S983" s="221"/>
      <c r="T983" s="221"/>
      <c r="U983" s="221"/>
      <c r="V983" s="221"/>
      <c r="W983" s="221"/>
      <c r="X983" s="221"/>
      <c r="Y983" s="221"/>
      <c r="Z983" s="221"/>
    </row>
    <row r="984" spans="1:26" ht="18.75" customHeight="1">
      <c r="A984" s="221"/>
      <c r="B984" s="221"/>
      <c r="C984" s="255"/>
      <c r="D984" s="255"/>
      <c r="E984" s="221"/>
      <c r="F984" s="221"/>
      <c r="G984" s="221"/>
      <c r="H984" s="221"/>
      <c r="I984" s="221"/>
      <c r="J984" s="221"/>
      <c r="K984" s="221"/>
      <c r="L984" s="255"/>
      <c r="M984" s="255"/>
      <c r="N984" s="221"/>
      <c r="O984" s="221"/>
      <c r="P984" s="221"/>
      <c r="Q984" s="221"/>
      <c r="R984" s="221"/>
      <c r="S984" s="221"/>
      <c r="T984" s="221"/>
      <c r="U984" s="221"/>
      <c r="V984" s="221"/>
      <c r="W984" s="221"/>
      <c r="X984" s="221"/>
      <c r="Y984" s="221"/>
      <c r="Z984" s="221"/>
    </row>
    <row r="985" spans="1:26" ht="18.75" customHeight="1">
      <c r="A985" s="221"/>
      <c r="B985" s="221"/>
      <c r="C985" s="255"/>
      <c r="D985" s="255"/>
      <c r="E985" s="221"/>
      <c r="F985" s="221"/>
      <c r="G985" s="221"/>
      <c r="H985" s="221"/>
      <c r="I985" s="221"/>
      <c r="J985" s="221"/>
      <c r="K985" s="221"/>
      <c r="L985" s="255"/>
      <c r="M985" s="255"/>
      <c r="N985" s="221"/>
      <c r="O985" s="221"/>
      <c r="P985" s="221"/>
      <c r="Q985" s="221"/>
      <c r="R985" s="221"/>
      <c r="S985" s="221"/>
      <c r="T985" s="221"/>
      <c r="U985" s="221"/>
      <c r="V985" s="221"/>
      <c r="W985" s="221"/>
      <c r="X985" s="221"/>
      <c r="Y985" s="221"/>
      <c r="Z985" s="221"/>
    </row>
    <row r="986" spans="1:26" ht="18.75" customHeight="1">
      <c r="A986" s="221"/>
      <c r="B986" s="221"/>
      <c r="C986" s="255"/>
      <c r="D986" s="255"/>
      <c r="E986" s="221"/>
      <c r="F986" s="221"/>
      <c r="G986" s="221"/>
      <c r="H986" s="221"/>
      <c r="I986" s="221"/>
      <c r="J986" s="221"/>
      <c r="K986" s="221"/>
      <c r="L986" s="255"/>
      <c r="M986" s="255"/>
      <c r="N986" s="221"/>
      <c r="O986" s="221"/>
      <c r="P986" s="221"/>
      <c r="Q986" s="221"/>
      <c r="R986" s="221"/>
      <c r="S986" s="221"/>
      <c r="T986" s="221"/>
      <c r="U986" s="221"/>
      <c r="V986" s="221"/>
      <c r="W986" s="221"/>
      <c r="X986" s="221"/>
      <c r="Y986" s="221"/>
      <c r="Z986" s="221"/>
    </row>
    <row r="987" spans="1:26" ht="18.75" customHeight="1">
      <c r="A987" s="221"/>
      <c r="B987" s="221"/>
      <c r="C987" s="255"/>
      <c r="D987" s="255"/>
      <c r="E987" s="221"/>
      <c r="F987" s="221"/>
      <c r="G987" s="221"/>
      <c r="H987" s="221"/>
      <c r="I987" s="221"/>
      <c r="J987" s="221"/>
      <c r="K987" s="221"/>
      <c r="L987" s="255"/>
      <c r="M987" s="255"/>
      <c r="N987" s="221"/>
      <c r="O987" s="221"/>
      <c r="P987" s="221"/>
      <c r="Q987" s="221"/>
      <c r="R987" s="221"/>
      <c r="S987" s="221"/>
      <c r="T987" s="221"/>
      <c r="U987" s="221"/>
      <c r="V987" s="221"/>
      <c r="W987" s="221"/>
      <c r="X987" s="221"/>
      <c r="Y987" s="221"/>
      <c r="Z987" s="221"/>
    </row>
    <row r="988" spans="1:26" ht="18.75" customHeight="1">
      <c r="A988" s="221"/>
      <c r="B988" s="221"/>
      <c r="C988" s="255"/>
      <c r="D988" s="255"/>
      <c r="E988" s="221"/>
      <c r="F988" s="221"/>
      <c r="G988" s="221"/>
      <c r="H988" s="221"/>
      <c r="I988" s="221"/>
      <c r="J988" s="221"/>
      <c r="K988" s="221"/>
      <c r="L988" s="255"/>
      <c r="M988" s="255"/>
      <c r="N988" s="221"/>
      <c r="O988" s="221"/>
      <c r="P988" s="221"/>
      <c r="Q988" s="221"/>
      <c r="R988" s="221"/>
      <c r="S988" s="221"/>
      <c r="T988" s="221"/>
      <c r="U988" s="221"/>
      <c r="V988" s="221"/>
      <c r="W988" s="221"/>
      <c r="X988" s="221"/>
      <c r="Y988" s="221"/>
      <c r="Z988" s="221"/>
    </row>
    <row r="989" spans="1:26" ht="18.75" customHeight="1">
      <c r="A989" s="221"/>
      <c r="B989" s="221"/>
      <c r="C989" s="255"/>
      <c r="D989" s="255"/>
      <c r="E989" s="221"/>
      <c r="F989" s="221"/>
      <c r="G989" s="221"/>
      <c r="H989" s="221"/>
      <c r="I989" s="221"/>
      <c r="J989" s="221"/>
      <c r="K989" s="221"/>
      <c r="L989" s="255"/>
      <c r="M989" s="255"/>
      <c r="N989" s="221"/>
      <c r="O989" s="221"/>
      <c r="P989" s="221"/>
      <c r="Q989" s="221"/>
      <c r="R989" s="221"/>
      <c r="S989" s="221"/>
      <c r="T989" s="221"/>
      <c r="U989" s="221"/>
      <c r="V989" s="221"/>
      <c r="W989" s="221"/>
      <c r="X989" s="221"/>
      <c r="Y989" s="221"/>
      <c r="Z989" s="221"/>
    </row>
    <row r="990" spans="1:26" ht="18.75" customHeight="1">
      <c r="A990" s="221"/>
      <c r="B990" s="221"/>
      <c r="C990" s="255"/>
      <c r="D990" s="255"/>
      <c r="E990" s="221"/>
      <c r="F990" s="221"/>
      <c r="G990" s="221"/>
      <c r="H990" s="221"/>
      <c r="I990" s="221"/>
      <c r="J990" s="221"/>
      <c r="K990" s="221"/>
      <c r="L990" s="255"/>
      <c r="M990" s="255"/>
      <c r="N990" s="221"/>
      <c r="O990" s="221"/>
      <c r="P990" s="221"/>
      <c r="Q990" s="221"/>
      <c r="R990" s="221"/>
      <c r="S990" s="221"/>
      <c r="T990" s="221"/>
      <c r="U990" s="221"/>
      <c r="V990" s="221"/>
      <c r="W990" s="221"/>
      <c r="X990" s="221"/>
      <c r="Y990" s="221"/>
      <c r="Z990" s="221"/>
    </row>
    <row r="991" spans="1:26" ht="18.75" customHeight="1">
      <c r="A991" s="221"/>
      <c r="B991" s="221"/>
      <c r="C991" s="255"/>
      <c r="D991" s="255"/>
      <c r="E991" s="221"/>
      <c r="F991" s="221"/>
      <c r="G991" s="221"/>
      <c r="H991" s="221"/>
      <c r="I991" s="221"/>
      <c r="J991" s="221"/>
      <c r="K991" s="221"/>
      <c r="L991" s="255"/>
      <c r="M991" s="255"/>
      <c r="N991" s="221"/>
      <c r="O991" s="221"/>
      <c r="P991" s="221"/>
      <c r="Q991" s="221"/>
      <c r="R991" s="221"/>
      <c r="S991" s="221"/>
      <c r="T991" s="221"/>
      <c r="U991" s="221"/>
      <c r="V991" s="221"/>
      <c r="W991" s="221"/>
      <c r="X991" s="221"/>
      <c r="Y991" s="221"/>
      <c r="Z991" s="221"/>
    </row>
    <row r="992" spans="1:26" ht="18.75" customHeight="1">
      <c r="A992" s="221"/>
      <c r="B992" s="221"/>
      <c r="C992" s="255"/>
      <c r="D992" s="255"/>
      <c r="E992" s="221"/>
      <c r="F992" s="221"/>
      <c r="G992" s="221"/>
      <c r="H992" s="221"/>
      <c r="I992" s="221"/>
      <c r="J992" s="221"/>
      <c r="K992" s="221"/>
      <c r="L992" s="255"/>
      <c r="M992" s="255"/>
      <c r="N992" s="221"/>
      <c r="O992" s="221"/>
      <c r="P992" s="221"/>
      <c r="Q992" s="221"/>
      <c r="R992" s="221"/>
      <c r="S992" s="221"/>
      <c r="T992" s="221"/>
      <c r="U992" s="221"/>
      <c r="V992" s="221"/>
      <c r="W992" s="221"/>
      <c r="X992" s="221"/>
      <c r="Y992" s="221"/>
      <c r="Z992" s="221"/>
    </row>
    <row r="993" spans="1:26" ht="18.75" customHeight="1">
      <c r="A993" s="221"/>
      <c r="B993" s="221"/>
      <c r="C993" s="255"/>
      <c r="D993" s="255"/>
      <c r="E993" s="221"/>
      <c r="F993" s="221"/>
      <c r="G993" s="221"/>
      <c r="H993" s="221"/>
      <c r="I993" s="221"/>
      <c r="J993" s="221"/>
      <c r="K993" s="221"/>
      <c r="L993" s="255"/>
      <c r="M993" s="255"/>
      <c r="N993" s="221"/>
      <c r="O993" s="221"/>
      <c r="P993" s="221"/>
      <c r="Q993" s="221"/>
      <c r="R993" s="221"/>
      <c r="S993" s="221"/>
      <c r="T993" s="221"/>
      <c r="U993" s="221"/>
      <c r="V993" s="221"/>
      <c r="W993" s="221"/>
      <c r="X993" s="221"/>
      <c r="Y993" s="221"/>
      <c r="Z993" s="221"/>
    </row>
    <row r="994" spans="1:26" ht="18.75" customHeight="1">
      <c r="A994" s="221"/>
      <c r="B994" s="221"/>
      <c r="C994" s="255"/>
      <c r="D994" s="255"/>
      <c r="E994" s="221"/>
      <c r="F994" s="221"/>
      <c r="G994" s="221"/>
      <c r="H994" s="221"/>
      <c r="I994" s="221"/>
      <c r="J994" s="221"/>
      <c r="K994" s="221"/>
      <c r="L994" s="255"/>
      <c r="M994" s="255"/>
      <c r="N994" s="221"/>
      <c r="O994" s="221"/>
      <c r="P994" s="221"/>
      <c r="Q994" s="221"/>
      <c r="R994" s="221"/>
      <c r="S994" s="221"/>
      <c r="T994" s="221"/>
      <c r="U994" s="221"/>
      <c r="V994" s="221"/>
      <c r="W994" s="221"/>
      <c r="X994" s="221"/>
      <c r="Y994" s="221"/>
      <c r="Z994" s="221"/>
    </row>
    <row r="995" spans="1:26" ht="18.75" customHeight="1">
      <c r="A995" s="221"/>
      <c r="B995" s="221"/>
      <c r="C995" s="255"/>
      <c r="D995" s="255"/>
      <c r="E995" s="221"/>
      <c r="F995" s="221"/>
      <c r="G995" s="221"/>
      <c r="H995" s="221"/>
      <c r="I995" s="221"/>
      <c r="J995" s="221"/>
      <c r="K995" s="221"/>
      <c r="L995" s="255"/>
      <c r="M995" s="255"/>
      <c r="N995" s="221"/>
      <c r="O995" s="221"/>
      <c r="P995" s="221"/>
      <c r="Q995" s="221"/>
      <c r="R995" s="221"/>
      <c r="S995" s="221"/>
      <c r="T995" s="221"/>
      <c r="U995" s="221"/>
      <c r="V995" s="221"/>
      <c r="W995" s="221"/>
      <c r="X995" s="221"/>
      <c r="Y995" s="221"/>
      <c r="Z995" s="221"/>
    </row>
    <row r="996" spans="1:26" ht="18.75" customHeight="1">
      <c r="A996" s="221"/>
      <c r="B996" s="221"/>
      <c r="C996" s="255"/>
      <c r="D996" s="255"/>
      <c r="E996" s="221"/>
      <c r="F996" s="221"/>
      <c r="G996" s="221"/>
      <c r="H996" s="221"/>
      <c r="I996" s="221"/>
      <c r="J996" s="221"/>
      <c r="K996" s="221"/>
      <c r="L996" s="255"/>
      <c r="M996" s="255"/>
      <c r="N996" s="221"/>
      <c r="O996" s="221"/>
      <c r="P996" s="221"/>
      <c r="Q996" s="221"/>
      <c r="R996" s="221"/>
      <c r="S996" s="221"/>
      <c r="T996" s="221"/>
      <c r="U996" s="221"/>
      <c r="V996" s="221"/>
      <c r="W996" s="221"/>
      <c r="X996" s="221"/>
      <c r="Y996" s="221"/>
      <c r="Z996" s="221"/>
    </row>
    <row r="997" spans="1:26" ht="18.75" customHeight="1">
      <c r="A997" s="221"/>
      <c r="B997" s="221"/>
      <c r="C997" s="255"/>
      <c r="D997" s="255"/>
      <c r="E997" s="221"/>
      <c r="F997" s="221"/>
      <c r="G997" s="221"/>
      <c r="H997" s="221"/>
      <c r="I997" s="221"/>
      <c r="J997" s="221"/>
      <c r="K997" s="221"/>
      <c r="L997" s="255"/>
      <c r="M997" s="255"/>
      <c r="N997" s="221"/>
      <c r="O997" s="221"/>
      <c r="P997" s="221"/>
      <c r="Q997" s="221"/>
      <c r="R997" s="221"/>
      <c r="S997" s="221"/>
      <c r="T997" s="221"/>
      <c r="U997" s="221"/>
      <c r="V997" s="221"/>
      <c r="W997" s="221"/>
      <c r="X997" s="221"/>
      <c r="Y997" s="221"/>
      <c r="Z997" s="221"/>
    </row>
    <row r="998" spans="1:26" ht="18.75" customHeight="1">
      <c r="A998" s="221"/>
      <c r="B998" s="221"/>
      <c r="C998" s="255"/>
      <c r="D998" s="255"/>
      <c r="E998" s="221"/>
      <c r="F998" s="221"/>
      <c r="G998" s="221"/>
      <c r="H998" s="221"/>
      <c r="I998" s="221"/>
      <c r="J998" s="221"/>
      <c r="K998" s="221"/>
      <c r="L998" s="255"/>
      <c r="M998" s="255"/>
      <c r="N998" s="221"/>
      <c r="O998" s="221"/>
      <c r="P998" s="221"/>
      <c r="Q998" s="221"/>
      <c r="R998" s="221"/>
      <c r="S998" s="221"/>
      <c r="T998" s="221"/>
      <c r="U998" s="221"/>
      <c r="V998" s="221"/>
      <c r="W998" s="221"/>
      <c r="X998" s="221"/>
      <c r="Y998" s="221"/>
      <c r="Z998" s="221"/>
    </row>
    <row r="999" spans="1:26" ht="18.75" customHeight="1">
      <c r="A999" s="221"/>
      <c r="B999" s="221"/>
      <c r="C999" s="255"/>
      <c r="D999" s="255"/>
      <c r="E999" s="221"/>
      <c r="F999" s="221"/>
      <c r="G999" s="221"/>
      <c r="H999" s="221"/>
      <c r="I999" s="221"/>
      <c r="J999" s="221"/>
      <c r="K999" s="221"/>
      <c r="L999" s="255"/>
      <c r="M999" s="255"/>
      <c r="N999" s="221"/>
      <c r="O999" s="221"/>
      <c r="P999" s="221"/>
      <c r="Q999" s="221"/>
      <c r="R999" s="221"/>
      <c r="S999" s="221"/>
      <c r="T999" s="221"/>
      <c r="U999" s="221"/>
      <c r="V999" s="221"/>
      <c r="W999" s="221"/>
      <c r="X999" s="221"/>
      <c r="Y999" s="221"/>
      <c r="Z999" s="221"/>
    </row>
    <row r="1000" spans="1:26" ht="18.75" customHeight="1">
      <c r="A1000" s="221"/>
      <c r="B1000" s="221"/>
      <c r="C1000" s="255"/>
      <c r="D1000" s="255"/>
      <c r="E1000" s="221"/>
      <c r="F1000" s="221"/>
      <c r="G1000" s="221"/>
      <c r="H1000" s="221"/>
      <c r="I1000" s="221"/>
      <c r="J1000" s="221"/>
      <c r="K1000" s="221"/>
      <c r="L1000" s="255"/>
      <c r="M1000" s="255"/>
      <c r="N1000" s="221"/>
      <c r="O1000" s="221"/>
      <c r="P1000" s="221"/>
      <c r="Q1000" s="221"/>
      <c r="R1000" s="221"/>
      <c r="S1000" s="221"/>
      <c r="T1000" s="221"/>
      <c r="U1000" s="221"/>
      <c r="V1000" s="221"/>
      <c r="W1000" s="221"/>
      <c r="X1000" s="221"/>
      <c r="Y1000" s="221"/>
      <c r="Z1000" s="221"/>
    </row>
  </sheetData>
  <mergeCells count="50">
    <mergeCell ref="K169:M169"/>
    <mergeCell ref="K234:M234"/>
    <mergeCell ref="K236:M236"/>
    <mergeCell ref="B169:D169"/>
    <mergeCell ref="B200:D200"/>
    <mergeCell ref="K200:M200"/>
    <mergeCell ref="B202:D202"/>
    <mergeCell ref="K202:M202"/>
    <mergeCell ref="B234:D234"/>
    <mergeCell ref="B236:D236"/>
    <mergeCell ref="B133:D133"/>
    <mergeCell ref="K133:M133"/>
    <mergeCell ref="B135:D135"/>
    <mergeCell ref="K135:M135"/>
    <mergeCell ref="B167:D167"/>
    <mergeCell ref="K167:M167"/>
    <mergeCell ref="K37:M37"/>
    <mergeCell ref="K100:M100"/>
    <mergeCell ref="K102:M102"/>
    <mergeCell ref="B37:D37"/>
    <mergeCell ref="B66:D66"/>
    <mergeCell ref="K66:M66"/>
    <mergeCell ref="B68:D68"/>
    <mergeCell ref="K68:M68"/>
    <mergeCell ref="B100:D100"/>
    <mergeCell ref="B102:D102"/>
    <mergeCell ref="B1:I1"/>
    <mergeCell ref="K1:R1"/>
    <mergeCell ref="B3:D3"/>
    <mergeCell ref="K3:M3"/>
    <mergeCell ref="B35:D35"/>
    <mergeCell ref="K35:M35"/>
    <mergeCell ref="K303:M303"/>
    <mergeCell ref="B402:D402"/>
    <mergeCell ref="K402:M402"/>
    <mergeCell ref="B303:D303"/>
    <mergeCell ref="B335:D335"/>
    <mergeCell ref="K335:M335"/>
    <mergeCell ref="B337:D337"/>
    <mergeCell ref="K337:M337"/>
    <mergeCell ref="B368:D368"/>
    <mergeCell ref="B370:D370"/>
    <mergeCell ref="K368:M368"/>
    <mergeCell ref="K370:M370"/>
    <mergeCell ref="B268:D268"/>
    <mergeCell ref="K268:M268"/>
    <mergeCell ref="B270:D270"/>
    <mergeCell ref="K270:M270"/>
    <mergeCell ref="B301:D301"/>
    <mergeCell ref="K301:M301"/>
  </mergeCells>
  <phoneticPr fontId="82"/>
  <printOptions horizontalCentered="1"/>
  <pageMargins left="0.19685039370078741" right="0.19685039370078741" top="0.39370078740157483" bottom="0.39370078740157483"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sheetViews>
  <sheetFormatPr baseColWidth="10" defaultColWidth="11.1640625" defaultRowHeight="15" customHeight="1"/>
  <cols>
    <col min="1" max="1" width="7.1640625" customWidth="1"/>
    <col min="2" max="2" width="12.1640625" customWidth="1"/>
    <col min="3" max="3" width="12.6640625" customWidth="1"/>
    <col min="4" max="4" width="11.83203125" customWidth="1"/>
    <col min="5" max="8" width="12.1640625" customWidth="1"/>
    <col min="9" max="9" width="10.6640625" customWidth="1"/>
    <col min="10" max="10" width="11.5" customWidth="1"/>
    <col min="11" max="26" width="7.1640625" customWidth="1"/>
  </cols>
  <sheetData>
    <row r="1" spans="1:26" ht="30.75" customHeight="1">
      <c r="A1" s="256" t="s">
        <v>177</v>
      </c>
      <c r="B1" s="257"/>
      <c r="C1" s="257"/>
      <c r="D1" s="257"/>
      <c r="E1" s="257"/>
      <c r="F1" s="257"/>
      <c r="G1" s="257"/>
      <c r="H1" s="257"/>
      <c r="I1" s="257"/>
      <c r="J1" s="257"/>
      <c r="K1" s="257"/>
      <c r="L1" s="257"/>
      <c r="M1" s="257"/>
      <c r="N1" s="257"/>
      <c r="O1" s="257"/>
      <c r="P1" s="257"/>
      <c r="Q1" s="257"/>
      <c r="R1" s="257"/>
      <c r="S1" s="257"/>
      <c r="T1" s="257"/>
      <c r="U1" s="257"/>
      <c r="V1" s="257"/>
      <c r="W1" s="257"/>
      <c r="X1" s="257"/>
      <c r="Y1" s="257"/>
      <c r="Z1" s="257"/>
    </row>
    <row r="2" spans="1:26" ht="21" customHeight="1">
      <c r="A2" s="258"/>
      <c r="B2" s="259" t="s">
        <v>178</v>
      </c>
      <c r="C2" s="259" t="s">
        <v>179</v>
      </c>
      <c r="D2" s="259" t="s">
        <v>180</v>
      </c>
      <c r="E2" s="259" t="s">
        <v>181</v>
      </c>
      <c r="F2" s="259" t="s">
        <v>182</v>
      </c>
      <c r="G2" s="259" t="s">
        <v>183</v>
      </c>
      <c r="H2" s="259" t="s">
        <v>184</v>
      </c>
      <c r="I2" s="259" t="s">
        <v>157</v>
      </c>
      <c r="J2" s="257"/>
      <c r="K2" s="257"/>
      <c r="L2" s="257"/>
      <c r="M2" s="257"/>
      <c r="N2" s="257"/>
      <c r="O2" s="257"/>
      <c r="P2" s="257"/>
      <c r="Q2" s="257"/>
      <c r="R2" s="257"/>
      <c r="S2" s="257"/>
      <c r="T2" s="257"/>
      <c r="U2" s="257"/>
      <c r="V2" s="257"/>
      <c r="W2" s="257"/>
      <c r="X2" s="257"/>
      <c r="Y2" s="257"/>
      <c r="Z2" s="257"/>
    </row>
    <row r="3" spans="1:26" ht="21" customHeight="1">
      <c r="A3" s="567" t="s">
        <v>20</v>
      </c>
      <c r="B3" s="566">
        <v>221795</v>
      </c>
      <c r="C3" s="260">
        <v>253025</v>
      </c>
      <c r="D3" s="260">
        <v>214411</v>
      </c>
      <c r="E3" s="260">
        <v>241500</v>
      </c>
      <c r="F3" s="260">
        <v>223707</v>
      </c>
      <c r="G3" s="260">
        <v>292928</v>
      </c>
      <c r="H3" s="260">
        <v>101267</v>
      </c>
      <c r="I3" s="260">
        <v>0</v>
      </c>
      <c r="J3" s="257"/>
      <c r="K3" s="257"/>
      <c r="L3" s="257"/>
      <c r="M3" s="257"/>
      <c r="N3" s="257"/>
      <c r="O3" s="257"/>
      <c r="P3" s="257"/>
      <c r="Q3" s="257"/>
      <c r="R3" s="257"/>
      <c r="S3" s="257"/>
      <c r="T3" s="257"/>
      <c r="U3" s="257"/>
      <c r="V3" s="257"/>
      <c r="W3" s="257"/>
      <c r="X3" s="257"/>
      <c r="Y3" s="257"/>
      <c r="Z3" s="257"/>
    </row>
    <row r="4" spans="1:26" ht="21" customHeight="1">
      <c r="A4" s="526"/>
      <c r="B4" s="526"/>
      <c r="C4" s="261">
        <v>1.1408</v>
      </c>
      <c r="D4" s="261">
        <v>0.9667</v>
      </c>
      <c r="E4" s="261">
        <v>1.0888</v>
      </c>
      <c r="F4" s="261">
        <v>1.0085999999999999</v>
      </c>
      <c r="G4" s="261">
        <v>1.3207</v>
      </c>
      <c r="H4" s="261">
        <v>0.45660000000000001</v>
      </c>
      <c r="I4" s="261">
        <v>0</v>
      </c>
      <c r="J4" s="257"/>
      <c r="K4" s="257"/>
      <c r="L4" s="257"/>
      <c r="M4" s="257"/>
      <c r="N4" s="257"/>
      <c r="O4" s="257"/>
      <c r="P4" s="257"/>
      <c r="Q4" s="257"/>
      <c r="R4" s="257"/>
      <c r="S4" s="257"/>
      <c r="T4" s="257"/>
      <c r="U4" s="257"/>
      <c r="V4" s="257"/>
      <c r="W4" s="257"/>
      <c r="X4" s="257"/>
      <c r="Y4" s="257"/>
      <c r="Z4" s="257"/>
    </row>
    <row r="5" spans="1:26" ht="21" customHeight="1">
      <c r="A5" s="567" t="s">
        <v>23</v>
      </c>
      <c r="B5" s="566">
        <v>209473</v>
      </c>
      <c r="C5" s="260">
        <v>231250</v>
      </c>
      <c r="D5" s="260">
        <v>214245</v>
      </c>
      <c r="E5" s="260">
        <v>221718</v>
      </c>
      <c r="F5" s="260">
        <v>233396</v>
      </c>
      <c r="G5" s="260">
        <v>283893</v>
      </c>
      <c r="H5" s="260">
        <v>136393</v>
      </c>
      <c r="I5" s="260">
        <v>0</v>
      </c>
      <c r="J5" s="257"/>
      <c r="K5" s="257"/>
      <c r="L5" s="257"/>
      <c r="M5" s="257"/>
      <c r="N5" s="257"/>
      <c r="O5" s="257"/>
      <c r="P5" s="257"/>
      <c r="Q5" s="257"/>
      <c r="R5" s="257"/>
      <c r="S5" s="257"/>
      <c r="T5" s="257"/>
      <c r="U5" s="257"/>
      <c r="V5" s="257"/>
      <c r="W5" s="257"/>
      <c r="X5" s="257"/>
      <c r="Y5" s="257"/>
      <c r="Z5" s="257"/>
    </row>
    <row r="6" spans="1:26" ht="21" customHeight="1">
      <c r="A6" s="526"/>
      <c r="B6" s="526"/>
      <c r="C6" s="261">
        <v>1.1040000000000001</v>
      </c>
      <c r="D6" s="261">
        <v>1.0227999999999999</v>
      </c>
      <c r="E6" s="261">
        <v>1.0585</v>
      </c>
      <c r="F6" s="261">
        <v>1.1142000000000001</v>
      </c>
      <c r="G6" s="261">
        <v>1.3552999999999999</v>
      </c>
      <c r="H6" s="261">
        <v>0.65110000000000001</v>
      </c>
      <c r="I6" s="261">
        <v>0</v>
      </c>
      <c r="J6" s="257"/>
      <c r="K6" s="257"/>
      <c r="L6" s="257"/>
      <c r="M6" s="257"/>
      <c r="N6" s="257"/>
      <c r="O6" s="257"/>
      <c r="P6" s="257"/>
      <c r="Q6" s="257"/>
      <c r="R6" s="257"/>
      <c r="S6" s="257"/>
      <c r="T6" s="257"/>
      <c r="U6" s="257"/>
      <c r="V6" s="257"/>
      <c r="W6" s="257"/>
      <c r="X6" s="257"/>
      <c r="Y6" s="257"/>
      <c r="Z6" s="257"/>
    </row>
    <row r="7" spans="1:26" ht="21" customHeight="1">
      <c r="A7" s="567" t="s">
        <v>27</v>
      </c>
      <c r="B7" s="566">
        <v>246439</v>
      </c>
      <c r="C7" s="260">
        <v>228963</v>
      </c>
      <c r="D7" s="260">
        <v>263968</v>
      </c>
      <c r="E7" s="260">
        <v>293950</v>
      </c>
      <c r="F7" s="260">
        <v>308608</v>
      </c>
      <c r="G7" s="260">
        <v>322626</v>
      </c>
      <c r="H7" s="260">
        <v>151896</v>
      </c>
      <c r="I7" s="260">
        <v>0</v>
      </c>
      <c r="J7" s="257"/>
      <c r="K7" s="257"/>
      <c r="L7" s="257"/>
      <c r="M7" s="257"/>
      <c r="N7" s="257"/>
      <c r="O7" s="257"/>
      <c r="P7" s="257"/>
      <c r="Q7" s="257"/>
      <c r="R7" s="257"/>
      <c r="S7" s="257"/>
      <c r="T7" s="257"/>
      <c r="U7" s="257"/>
      <c r="V7" s="257"/>
      <c r="W7" s="257"/>
      <c r="X7" s="257"/>
      <c r="Y7" s="257"/>
      <c r="Z7" s="257"/>
    </row>
    <row r="8" spans="1:26" ht="21" customHeight="1">
      <c r="A8" s="526"/>
      <c r="B8" s="526"/>
      <c r="C8" s="261">
        <v>0.92910000000000004</v>
      </c>
      <c r="D8" s="261">
        <v>1.0710999999999999</v>
      </c>
      <c r="E8" s="261">
        <v>1.1928000000000001</v>
      </c>
      <c r="F8" s="261">
        <v>1.2523</v>
      </c>
      <c r="G8" s="261">
        <v>1.3091999999999999</v>
      </c>
      <c r="H8" s="261">
        <v>0.61639999999999995</v>
      </c>
      <c r="I8" s="261">
        <v>0</v>
      </c>
      <c r="J8" s="257"/>
      <c r="K8" s="257"/>
      <c r="L8" s="257"/>
      <c r="M8" s="257"/>
      <c r="N8" s="257"/>
      <c r="O8" s="257"/>
      <c r="P8" s="257"/>
      <c r="Q8" s="257"/>
      <c r="R8" s="257"/>
      <c r="S8" s="257"/>
      <c r="T8" s="257"/>
      <c r="U8" s="257"/>
      <c r="V8" s="257"/>
      <c r="W8" s="257"/>
      <c r="X8" s="257"/>
      <c r="Y8" s="257"/>
      <c r="Z8" s="257"/>
    </row>
    <row r="9" spans="1:26" ht="21" customHeight="1">
      <c r="A9" s="567" t="s">
        <v>29</v>
      </c>
      <c r="B9" s="566">
        <v>258761</v>
      </c>
      <c r="C9" s="260">
        <v>228365</v>
      </c>
      <c r="D9" s="260">
        <v>269807</v>
      </c>
      <c r="E9" s="260">
        <v>292710</v>
      </c>
      <c r="F9" s="260">
        <v>278043</v>
      </c>
      <c r="G9" s="260">
        <v>331130</v>
      </c>
      <c r="H9" s="260">
        <v>201658</v>
      </c>
      <c r="I9" s="260">
        <v>0</v>
      </c>
      <c r="J9" s="257"/>
      <c r="K9" s="257"/>
      <c r="L9" s="257"/>
      <c r="M9" s="257"/>
      <c r="N9" s="257"/>
      <c r="O9" s="257"/>
      <c r="P9" s="257"/>
      <c r="Q9" s="257"/>
      <c r="R9" s="257"/>
      <c r="S9" s="257"/>
      <c r="T9" s="257"/>
      <c r="U9" s="257"/>
      <c r="V9" s="257"/>
      <c r="W9" s="257"/>
      <c r="X9" s="257"/>
      <c r="Y9" s="257"/>
      <c r="Z9" s="257"/>
    </row>
    <row r="10" spans="1:26" ht="21" customHeight="1">
      <c r="A10" s="526"/>
      <c r="B10" s="526"/>
      <c r="C10" s="261">
        <v>0.88249999999999995</v>
      </c>
      <c r="D10" s="261">
        <v>1.0427</v>
      </c>
      <c r="E10" s="261">
        <v>1.1312</v>
      </c>
      <c r="F10" s="261">
        <v>1.0745</v>
      </c>
      <c r="G10" s="261">
        <v>1.2797000000000001</v>
      </c>
      <c r="H10" s="261">
        <v>0.77929999999999999</v>
      </c>
      <c r="I10" s="261">
        <v>0</v>
      </c>
      <c r="J10" s="257"/>
      <c r="K10" s="257"/>
      <c r="L10" s="257"/>
      <c r="M10" s="257"/>
      <c r="N10" s="257"/>
      <c r="O10" s="257"/>
      <c r="P10" s="257"/>
      <c r="Q10" s="257"/>
      <c r="R10" s="257"/>
      <c r="S10" s="257"/>
      <c r="T10" s="257"/>
      <c r="U10" s="257"/>
      <c r="V10" s="257"/>
      <c r="W10" s="257"/>
      <c r="X10" s="257"/>
      <c r="Y10" s="257"/>
      <c r="Z10" s="257"/>
    </row>
    <row r="11" spans="1:26" ht="21" customHeight="1">
      <c r="A11" s="567" t="s">
        <v>33</v>
      </c>
      <c r="B11" s="566">
        <v>246439</v>
      </c>
      <c r="C11" s="260">
        <v>238610</v>
      </c>
      <c r="D11" s="260">
        <v>232011</v>
      </c>
      <c r="E11" s="260">
        <v>320767</v>
      </c>
      <c r="F11" s="260">
        <v>220418</v>
      </c>
      <c r="G11" s="260">
        <v>350013</v>
      </c>
      <c r="H11" s="260">
        <v>138387</v>
      </c>
      <c r="I11" s="260">
        <v>0</v>
      </c>
      <c r="J11" s="257"/>
      <c r="K11" s="257"/>
      <c r="L11" s="257"/>
      <c r="M11" s="257"/>
      <c r="N11" s="257"/>
      <c r="O11" s="257"/>
      <c r="P11" s="257"/>
      <c r="Q11" s="257"/>
      <c r="R11" s="257"/>
      <c r="S11" s="257"/>
      <c r="T11" s="257"/>
      <c r="U11" s="257"/>
      <c r="V11" s="257"/>
      <c r="W11" s="257"/>
      <c r="X11" s="257"/>
      <c r="Y11" s="257"/>
      <c r="Z11" s="257"/>
    </row>
    <row r="12" spans="1:26" ht="21" customHeight="1">
      <c r="A12" s="526"/>
      <c r="B12" s="526"/>
      <c r="C12" s="261">
        <v>0.96819999999999995</v>
      </c>
      <c r="D12" s="261">
        <v>0.9415</v>
      </c>
      <c r="E12" s="261">
        <v>1.3016000000000001</v>
      </c>
      <c r="F12" s="261">
        <v>0.89439999999999997</v>
      </c>
      <c r="G12" s="261">
        <v>1.4202999999999999</v>
      </c>
      <c r="H12" s="261">
        <v>0.5615</v>
      </c>
      <c r="I12" s="261">
        <v>0</v>
      </c>
      <c r="J12" s="257"/>
      <c r="K12" s="257"/>
      <c r="L12" s="257"/>
      <c r="M12" s="257"/>
      <c r="N12" s="257"/>
      <c r="O12" s="257"/>
      <c r="P12" s="257"/>
      <c r="Q12" s="257"/>
      <c r="R12" s="257"/>
      <c r="S12" s="257"/>
      <c r="T12" s="257"/>
      <c r="U12" s="257"/>
      <c r="V12" s="257"/>
      <c r="W12" s="257"/>
      <c r="X12" s="257"/>
      <c r="Y12" s="257"/>
      <c r="Z12" s="257"/>
    </row>
    <row r="13" spans="1:26" ht="21" customHeight="1">
      <c r="A13" s="567" t="s">
        <v>57</v>
      </c>
      <c r="B13" s="566">
        <v>197151</v>
      </c>
      <c r="C13" s="260">
        <v>192255</v>
      </c>
      <c r="D13" s="260">
        <v>204713</v>
      </c>
      <c r="E13" s="260">
        <v>308408</v>
      </c>
      <c r="F13" s="260">
        <v>279470</v>
      </c>
      <c r="G13" s="260">
        <v>322748</v>
      </c>
      <c r="H13" s="260">
        <v>135516</v>
      </c>
      <c r="I13" s="260">
        <v>0</v>
      </c>
      <c r="J13" s="257"/>
      <c r="K13" s="257"/>
      <c r="L13" s="257"/>
      <c r="M13" s="257"/>
      <c r="N13" s="257"/>
      <c r="O13" s="257"/>
      <c r="P13" s="257"/>
      <c r="Q13" s="257"/>
      <c r="R13" s="257"/>
      <c r="S13" s="257"/>
      <c r="T13" s="257"/>
      <c r="U13" s="257"/>
      <c r="V13" s="257"/>
      <c r="W13" s="257"/>
      <c r="X13" s="257"/>
      <c r="Y13" s="257"/>
      <c r="Z13" s="257"/>
    </row>
    <row r="14" spans="1:26" ht="21" customHeight="1">
      <c r="A14" s="526"/>
      <c r="B14" s="526"/>
      <c r="C14" s="261">
        <v>0.97519999999999996</v>
      </c>
      <c r="D14" s="261">
        <v>1.0384</v>
      </c>
      <c r="E14" s="261">
        <v>1.5643</v>
      </c>
      <c r="F14" s="261">
        <v>1.4175</v>
      </c>
      <c r="G14" s="261">
        <v>1.6371</v>
      </c>
      <c r="H14" s="261">
        <v>0.68740000000000001</v>
      </c>
      <c r="I14" s="261">
        <v>0</v>
      </c>
      <c r="J14" s="257"/>
      <c r="K14" s="257"/>
      <c r="L14" s="257"/>
      <c r="M14" s="257"/>
      <c r="N14" s="257"/>
      <c r="O14" s="257"/>
      <c r="P14" s="257"/>
      <c r="Q14" s="257"/>
      <c r="R14" s="257"/>
      <c r="S14" s="257"/>
      <c r="T14" s="257"/>
      <c r="U14" s="257"/>
      <c r="V14" s="257"/>
      <c r="W14" s="257"/>
      <c r="X14" s="257"/>
      <c r="Y14" s="257"/>
      <c r="Z14" s="257"/>
    </row>
    <row r="15" spans="1:26" ht="21" customHeight="1">
      <c r="A15" s="567" t="s">
        <v>58</v>
      </c>
      <c r="B15" s="566">
        <v>197151</v>
      </c>
      <c r="C15" s="260">
        <v>247005</v>
      </c>
      <c r="D15" s="260">
        <v>186148</v>
      </c>
      <c r="E15" s="260">
        <v>269772</v>
      </c>
      <c r="F15" s="260">
        <v>302283</v>
      </c>
      <c r="G15" s="260">
        <v>362763</v>
      </c>
      <c r="H15" s="260">
        <v>148596</v>
      </c>
      <c r="I15" s="260">
        <v>0</v>
      </c>
      <c r="J15" s="257"/>
      <c r="K15" s="257"/>
      <c r="L15" s="257"/>
      <c r="M15" s="257"/>
      <c r="N15" s="257"/>
      <c r="O15" s="257"/>
      <c r="P15" s="257"/>
      <c r="Q15" s="257"/>
      <c r="R15" s="257"/>
      <c r="S15" s="257"/>
      <c r="T15" s="257"/>
      <c r="U15" s="257"/>
      <c r="V15" s="257"/>
      <c r="W15" s="257"/>
      <c r="X15" s="257"/>
      <c r="Y15" s="257"/>
      <c r="Z15" s="257"/>
    </row>
    <row r="16" spans="1:26" ht="21" customHeight="1">
      <c r="A16" s="526"/>
      <c r="B16" s="526"/>
      <c r="C16" s="261">
        <v>1.2528999999999999</v>
      </c>
      <c r="D16" s="261">
        <v>0.94420000000000004</v>
      </c>
      <c r="E16" s="261">
        <v>1.3684000000000001</v>
      </c>
      <c r="F16" s="261">
        <v>1.5333000000000001</v>
      </c>
      <c r="G16" s="261">
        <v>1.84</v>
      </c>
      <c r="H16" s="261">
        <v>0.75370000000000004</v>
      </c>
      <c r="I16" s="261">
        <v>0</v>
      </c>
      <c r="J16" s="257"/>
      <c r="K16" s="257"/>
      <c r="L16" s="257"/>
      <c r="M16" s="257"/>
      <c r="N16" s="257"/>
      <c r="O16" s="257"/>
      <c r="P16" s="257"/>
      <c r="Q16" s="257"/>
      <c r="R16" s="257"/>
      <c r="S16" s="257"/>
      <c r="T16" s="257"/>
      <c r="U16" s="257"/>
      <c r="V16" s="257"/>
      <c r="W16" s="257"/>
      <c r="X16" s="257"/>
      <c r="Y16" s="257"/>
      <c r="Z16" s="257"/>
    </row>
    <row r="17" spans="1:26" ht="21" customHeight="1">
      <c r="A17" s="567" t="s">
        <v>59</v>
      </c>
      <c r="B17" s="566">
        <v>246439</v>
      </c>
      <c r="C17" s="260">
        <v>187033</v>
      </c>
      <c r="D17" s="260">
        <v>156850</v>
      </c>
      <c r="E17" s="260">
        <v>294026</v>
      </c>
      <c r="F17" s="260">
        <v>205528</v>
      </c>
      <c r="G17" s="260">
        <v>287530</v>
      </c>
      <c r="H17" s="260">
        <v>125208</v>
      </c>
      <c r="I17" s="260">
        <v>0</v>
      </c>
      <c r="J17" s="257"/>
      <c r="K17" s="257"/>
      <c r="L17" s="257"/>
      <c r="M17" s="257"/>
      <c r="N17" s="257"/>
      <c r="O17" s="257"/>
      <c r="P17" s="257"/>
      <c r="Q17" s="257"/>
      <c r="R17" s="257"/>
      <c r="S17" s="257"/>
      <c r="T17" s="257"/>
      <c r="U17" s="257"/>
      <c r="V17" s="257"/>
      <c r="W17" s="257"/>
      <c r="X17" s="257"/>
      <c r="Y17" s="257"/>
      <c r="Z17" s="257"/>
    </row>
    <row r="18" spans="1:26" ht="21" customHeight="1">
      <c r="A18" s="526"/>
      <c r="B18" s="526"/>
      <c r="C18" s="261">
        <v>0.75890000000000002</v>
      </c>
      <c r="D18" s="261">
        <v>0.63649999999999995</v>
      </c>
      <c r="E18" s="261">
        <v>1.1931</v>
      </c>
      <c r="F18" s="261">
        <v>0.83399999999999996</v>
      </c>
      <c r="G18" s="261">
        <v>1.1667000000000001</v>
      </c>
      <c r="H18" s="261">
        <v>0.5081</v>
      </c>
      <c r="I18" s="261">
        <v>0</v>
      </c>
      <c r="J18" s="257"/>
      <c r="K18" s="257"/>
      <c r="L18" s="257"/>
      <c r="M18" s="257"/>
      <c r="N18" s="257"/>
      <c r="O18" s="257"/>
      <c r="P18" s="257"/>
      <c r="Q18" s="257"/>
      <c r="R18" s="257"/>
      <c r="S18" s="257"/>
      <c r="T18" s="257"/>
      <c r="U18" s="257"/>
      <c r="V18" s="257"/>
      <c r="W18" s="257"/>
      <c r="X18" s="257"/>
      <c r="Y18" s="257"/>
      <c r="Z18" s="257"/>
    </row>
    <row r="19" spans="1:26" ht="21" customHeight="1">
      <c r="A19" s="567" t="s">
        <v>60</v>
      </c>
      <c r="B19" s="566">
        <v>246439</v>
      </c>
      <c r="C19" s="260">
        <v>236500</v>
      </c>
      <c r="D19" s="260">
        <v>293290</v>
      </c>
      <c r="E19" s="260">
        <v>197823</v>
      </c>
      <c r="F19" s="260">
        <v>222968</v>
      </c>
      <c r="G19" s="260">
        <v>331241</v>
      </c>
      <c r="H19" s="260">
        <v>133573</v>
      </c>
      <c r="I19" s="260">
        <v>0</v>
      </c>
      <c r="J19" s="257"/>
      <c r="K19" s="257"/>
      <c r="L19" s="257"/>
      <c r="M19" s="257"/>
      <c r="N19" s="257"/>
      <c r="O19" s="257"/>
      <c r="P19" s="257"/>
      <c r="Q19" s="257"/>
      <c r="R19" s="257"/>
      <c r="S19" s="257"/>
      <c r="T19" s="257"/>
      <c r="U19" s="257"/>
      <c r="V19" s="257"/>
      <c r="W19" s="257"/>
      <c r="X19" s="257"/>
      <c r="Y19" s="257"/>
      <c r="Z19" s="257"/>
    </row>
    <row r="20" spans="1:26" ht="21" customHeight="1">
      <c r="A20" s="526"/>
      <c r="B20" s="526"/>
      <c r="C20" s="261">
        <v>0.9597</v>
      </c>
      <c r="D20" s="261">
        <v>1.1900999999999999</v>
      </c>
      <c r="E20" s="261">
        <v>0.80269999999999997</v>
      </c>
      <c r="F20" s="261">
        <v>0.90480000000000005</v>
      </c>
      <c r="G20" s="261">
        <v>1.3441000000000001</v>
      </c>
      <c r="H20" s="261">
        <v>0.54200000000000004</v>
      </c>
      <c r="I20" s="261">
        <v>0</v>
      </c>
      <c r="J20" s="257"/>
      <c r="K20" s="257"/>
      <c r="L20" s="257"/>
      <c r="M20" s="257"/>
      <c r="N20" s="257"/>
      <c r="O20" s="257"/>
      <c r="P20" s="257"/>
      <c r="Q20" s="257"/>
      <c r="R20" s="257"/>
      <c r="S20" s="257"/>
      <c r="T20" s="257"/>
      <c r="U20" s="257"/>
      <c r="V20" s="257"/>
      <c r="W20" s="257"/>
      <c r="X20" s="257"/>
      <c r="Y20" s="257"/>
      <c r="Z20" s="257"/>
    </row>
    <row r="21" spans="1:26" ht="21" customHeight="1">
      <c r="A21" s="567" t="s">
        <v>61</v>
      </c>
      <c r="B21" s="566">
        <v>320370</v>
      </c>
      <c r="C21" s="260">
        <v>234683</v>
      </c>
      <c r="D21" s="260">
        <v>197950</v>
      </c>
      <c r="E21" s="260">
        <v>213546</v>
      </c>
      <c r="F21" s="260">
        <v>249020</v>
      </c>
      <c r="G21" s="260">
        <v>450795</v>
      </c>
      <c r="H21" s="260">
        <v>136293</v>
      </c>
      <c r="I21" s="260">
        <v>0</v>
      </c>
      <c r="J21" s="257"/>
      <c r="K21" s="257"/>
      <c r="L21" s="257"/>
      <c r="M21" s="257"/>
      <c r="N21" s="257"/>
      <c r="O21" s="257"/>
      <c r="P21" s="257"/>
      <c r="Q21" s="257"/>
      <c r="R21" s="257"/>
      <c r="S21" s="257"/>
      <c r="T21" s="257"/>
      <c r="U21" s="257"/>
      <c r="V21" s="257"/>
      <c r="W21" s="257"/>
      <c r="X21" s="257"/>
      <c r="Y21" s="257"/>
      <c r="Z21" s="257"/>
    </row>
    <row r="22" spans="1:26" ht="21" customHeight="1">
      <c r="A22" s="526"/>
      <c r="B22" s="526"/>
      <c r="C22" s="261">
        <v>0.73250000000000004</v>
      </c>
      <c r="D22" s="261">
        <v>0.6179</v>
      </c>
      <c r="E22" s="261">
        <v>0.66659999999999997</v>
      </c>
      <c r="F22" s="261">
        <v>0.77729999999999999</v>
      </c>
      <c r="G22" s="261">
        <v>1.4071</v>
      </c>
      <c r="H22" s="261">
        <v>0.4254</v>
      </c>
      <c r="I22" s="261">
        <v>0</v>
      </c>
      <c r="J22" s="257"/>
      <c r="K22" s="257"/>
      <c r="L22" s="257"/>
      <c r="M22" s="257"/>
      <c r="N22" s="257"/>
      <c r="O22" s="257"/>
      <c r="P22" s="257"/>
      <c r="Q22" s="257"/>
      <c r="R22" s="257"/>
      <c r="S22" s="257"/>
      <c r="T22" s="257"/>
      <c r="U22" s="257"/>
      <c r="V22" s="257"/>
      <c r="W22" s="257"/>
      <c r="X22" s="257"/>
      <c r="Y22" s="257"/>
      <c r="Z22" s="257"/>
    </row>
    <row r="23" spans="1:26" ht="21" customHeight="1">
      <c r="A23" s="567" t="s">
        <v>62</v>
      </c>
      <c r="B23" s="566">
        <v>246439</v>
      </c>
      <c r="C23" s="260">
        <v>176317</v>
      </c>
      <c r="D23" s="260">
        <v>231565</v>
      </c>
      <c r="E23" s="260">
        <v>267003</v>
      </c>
      <c r="F23" s="260">
        <v>260103</v>
      </c>
      <c r="G23" s="260">
        <v>333106</v>
      </c>
      <c r="H23" s="260">
        <v>220748</v>
      </c>
      <c r="I23" s="260">
        <v>0</v>
      </c>
      <c r="J23" s="257"/>
      <c r="K23" s="257"/>
      <c r="L23" s="257"/>
      <c r="M23" s="257"/>
      <c r="N23" s="257"/>
      <c r="O23" s="257"/>
      <c r="P23" s="257"/>
      <c r="Q23" s="257"/>
      <c r="R23" s="257"/>
      <c r="S23" s="257"/>
      <c r="T23" s="257"/>
      <c r="U23" s="257"/>
      <c r="V23" s="257"/>
      <c r="W23" s="257"/>
      <c r="X23" s="257"/>
      <c r="Y23" s="257"/>
      <c r="Z23" s="257"/>
    </row>
    <row r="24" spans="1:26" ht="21" customHeight="1">
      <c r="A24" s="526"/>
      <c r="B24" s="526"/>
      <c r="C24" s="261">
        <v>0.71550000000000002</v>
      </c>
      <c r="D24" s="261">
        <v>0.93959999999999999</v>
      </c>
      <c r="E24" s="261">
        <v>1.0833999999999999</v>
      </c>
      <c r="F24" s="261">
        <v>1.0553999999999999</v>
      </c>
      <c r="G24" s="261">
        <v>1.3516999999999999</v>
      </c>
      <c r="H24" s="261">
        <v>0.89570000000000005</v>
      </c>
      <c r="I24" s="261">
        <v>0</v>
      </c>
      <c r="J24" s="257"/>
      <c r="K24" s="257"/>
      <c r="L24" s="257"/>
      <c r="M24" s="257"/>
      <c r="N24" s="257"/>
      <c r="O24" s="257"/>
      <c r="P24" s="257"/>
      <c r="Q24" s="257"/>
      <c r="R24" s="257"/>
      <c r="S24" s="257"/>
      <c r="T24" s="257"/>
      <c r="U24" s="257"/>
      <c r="V24" s="257"/>
      <c r="W24" s="257"/>
      <c r="X24" s="257"/>
      <c r="Y24" s="257"/>
      <c r="Z24" s="257"/>
    </row>
    <row r="25" spans="1:26" ht="21" customHeight="1">
      <c r="A25" s="567" t="s">
        <v>63</v>
      </c>
      <c r="B25" s="566">
        <v>320370</v>
      </c>
      <c r="C25" s="260">
        <v>283835</v>
      </c>
      <c r="D25" s="260">
        <v>312370</v>
      </c>
      <c r="E25" s="260">
        <v>388308</v>
      </c>
      <c r="F25" s="260">
        <v>336158</v>
      </c>
      <c r="G25" s="260">
        <v>418530</v>
      </c>
      <c r="H25" s="260">
        <v>235663</v>
      </c>
      <c r="I25" s="260">
        <v>0</v>
      </c>
      <c r="J25" s="257"/>
      <c r="K25" s="257"/>
      <c r="L25" s="257"/>
      <c r="M25" s="257"/>
      <c r="N25" s="257"/>
      <c r="O25" s="257"/>
      <c r="P25" s="257"/>
      <c r="Q25" s="257"/>
      <c r="R25" s="257"/>
      <c r="S25" s="257"/>
      <c r="T25" s="257"/>
      <c r="U25" s="257"/>
      <c r="V25" s="257"/>
      <c r="W25" s="257"/>
      <c r="X25" s="257"/>
      <c r="Y25" s="257"/>
      <c r="Z25" s="257"/>
    </row>
    <row r="26" spans="1:26" ht="21" customHeight="1">
      <c r="A26" s="526"/>
      <c r="B26" s="526"/>
      <c r="C26" s="261">
        <v>0.88600000000000001</v>
      </c>
      <c r="D26" s="261">
        <v>0.97499999999999998</v>
      </c>
      <c r="E26" s="261">
        <v>1.2121</v>
      </c>
      <c r="F26" s="261">
        <v>1.0492999999999999</v>
      </c>
      <c r="G26" s="261">
        <v>1.3064</v>
      </c>
      <c r="H26" s="261">
        <v>0.73560000000000003</v>
      </c>
      <c r="I26" s="261">
        <v>0</v>
      </c>
      <c r="J26" s="257"/>
      <c r="K26" s="257"/>
      <c r="L26" s="257"/>
      <c r="M26" s="257"/>
      <c r="N26" s="257"/>
      <c r="O26" s="257"/>
      <c r="P26" s="257"/>
      <c r="Q26" s="257"/>
      <c r="R26" s="257"/>
      <c r="S26" s="257"/>
      <c r="T26" s="257"/>
      <c r="U26" s="257"/>
      <c r="V26" s="257"/>
      <c r="W26" s="257"/>
      <c r="X26" s="257"/>
      <c r="Y26" s="257"/>
      <c r="Z26" s="257"/>
    </row>
    <row r="27" spans="1:26" ht="21" customHeight="1">
      <c r="A27" s="568" t="s">
        <v>185</v>
      </c>
      <c r="B27" s="483"/>
      <c r="C27" s="262">
        <v>119037</v>
      </c>
      <c r="D27" s="262">
        <v>120754</v>
      </c>
      <c r="E27" s="262">
        <v>143893</v>
      </c>
      <c r="F27" s="262">
        <v>135640</v>
      </c>
      <c r="G27" s="262">
        <v>177709</v>
      </c>
      <c r="H27" s="262">
        <v>81096</v>
      </c>
      <c r="I27" s="262">
        <v>0</v>
      </c>
      <c r="J27" s="257"/>
      <c r="K27" s="257"/>
      <c r="L27" s="257"/>
      <c r="M27" s="257"/>
      <c r="N27" s="257"/>
      <c r="O27" s="257"/>
      <c r="P27" s="257"/>
      <c r="Q27" s="257"/>
      <c r="R27" s="257"/>
      <c r="S27" s="257"/>
      <c r="T27" s="257"/>
      <c r="U27" s="257"/>
      <c r="V27" s="257"/>
      <c r="W27" s="257"/>
      <c r="X27" s="257"/>
      <c r="Y27" s="257"/>
      <c r="Z27" s="257"/>
    </row>
    <row r="28" spans="1:26" ht="21" customHeight="1">
      <c r="A28" s="257"/>
      <c r="B28" s="257"/>
      <c r="C28" s="257"/>
      <c r="D28" s="257"/>
      <c r="E28" s="257"/>
      <c r="F28" s="257"/>
      <c r="G28" s="257"/>
      <c r="H28" s="257"/>
      <c r="I28" s="257"/>
      <c r="J28" s="257"/>
      <c r="K28" s="257"/>
      <c r="L28" s="257"/>
      <c r="M28" s="257"/>
      <c r="N28" s="257"/>
      <c r="O28" s="257"/>
      <c r="P28" s="257"/>
      <c r="Q28" s="257"/>
      <c r="R28" s="257"/>
      <c r="S28" s="257"/>
      <c r="T28" s="257"/>
      <c r="U28" s="257"/>
      <c r="V28" s="257"/>
      <c r="W28" s="257"/>
      <c r="X28" s="257"/>
      <c r="Y28" s="257"/>
      <c r="Z28" s="257"/>
    </row>
    <row r="29" spans="1:26" ht="48.75" customHeight="1">
      <c r="A29" s="257"/>
      <c r="B29" s="263"/>
      <c r="C29" s="264" t="s">
        <v>148</v>
      </c>
      <c r="D29" s="264" t="s">
        <v>186</v>
      </c>
      <c r="E29" s="264" t="s">
        <v>187</v>
      </c>
      <c r="F29" s="264" t="s">
        <v>188</v>
      </c>
      <c r="G29" s="264" t="s">
        <v>189</v>
      </c>
      <c r="H29" s="265" t="s">
        <v>190</v>
      </c>
      <c r="I29" s="264" t="s">
        <v>191</v>
      </c>
      <c r="J29" s="264" t="s">
        <v>192</v>
      </c>
      <c r="K29" s="257"/>
      <c r="L29" s="257"/>
      <c r="M29" s="257"/>
      <c r="N29" s="257"/>
      <c r="O29" s="257"/>
      <c r="P29" s="257"/>
      <c r="Q29" s="257"/>
      <c r="R29" s="257"/>
      <c r="S29" s="257"/>
      <c r="T29" s="257"/>
      <c r="U29" s="257"/>
      <c r="V29" s="257"/>
      <c r="W29" s="257"/>
      <c r="X29" s="257"/>
      <c r="Y29" s="257"/>
      <c r="Z29" s="257"/>
    </row>
    <row r="30" spans="1:26" ht="48.75" customHeight="1">
      <c r="A30" s="257"/>
      <c r="B30" s="266" t="s">
        <v>193</v>
      </c>
      <c r="C30" s="267">
        <f>AVERAGEA(C40,C50,C60,C70,C80,C90,C100,C110,C120,C130,C140,C150)</f>
        <v>248567.91666666666</v>
      </c>
      <c r="D30" s="268">
        <f>AVERAGE(D40,D50,D60,D70,D80,D90,D100,D110,D120,D130,D140,D150)</f>
        <v>1.0313749999999999</v>
      </c>
      <c r="E30" s="267">
        <f t="shared" ref="E30:J30" si="0">AVERAGEA(E40,E50,E60,E70,E80,E90,E100,E110,E120,E130,E140,E150)</f>
        <v>82783.166666666672</v>
      </c>
      <c r="F30" s="267">
        <f t="shared" si="0"/>
        <v>165784.75</v>
      </c>
      <c r="G30" s="267">
        <f t="shared" si="0"/>
        <v>1275.1666666666667</v>
      </c>
      <c r="H30" s="269">
        <f t="shared" si="0"/>
        <v>6274.416666666667</v>
      </c>
      <c r="I30" s="270">
        <f t="shared" si="0"/>
        <v>66.678333333333327</v>
      </c>
      <c r="J30" s="270">
        <f t="shared" si="0"/>
        <v>27.490000000000006</v>
      </c>
      <c r="K30" s="257"/>
      <c r="L30" s="257"/>
      <c r="M30" s="257"/>
      <c r="N30" s="257"/>
      <c r="O30" s="257"/>
      <c r="P30" s="257"/>
      <c r="Q30" s="257"/>
      <c r="R30" s="257"/>
      <c r="S30" s="257"/>
      <c r="T30" s="257"/>
      <c r="U30" s="257"/>
      <c r="V30" s="257"/>
      <c r="W30" s="257"/>
      <c r="X30" s="257"/>
      <c r="Y30" s="257"/>
      <c r="Z30" s="257"/>
    </row>
    <row r="31" spans="1:26" ht="21" customHeight="1">
      <c r="A31" s="257"/>
      <c r="B31" s="257"/>
      <c r="C31" s="257"/>
      <c r="D31" s="257"/>
      <c r="E31" s="257"/>
      <c r="F31" s="257"/>
      <c r="G31" s="257"/>
      <c r="H31" s="257"/>
      <c r="I31" s="257"/>
      <c r="J31" s="257"/>
      <c r="K31" s="257"/>
      <c r="L31" s="257"/>
      <c r="M31" s="257"/>
      <c r="N31" s="257"/>
      <c r="O31" s="257"/>
      <c r="P31" s="257"/>
      <c r="Q31" s="257"/>
      <c r="R31" s="257"/>
      <c r="S31" s="257"/>
      <c r="T31" s="257"/>
      <c r="U31" s="257"/>
      <c r="V31" s="257"/>
      <c r="W31" s="257"/>
      <c r="X31" s="257"/>
      <c r="Y31" s="257"/>
      <c r="Z31" s="257"/>
    </row>
    <row r="32" spans="1:26" ht="21" customHeight="1">
      <c r="A32" s="257"/>
      <c r="B32" s="271" t="s">
        <v>194</v>
      </c>
      <c r="C32" s="264" t="s">
        <v>148</v>
      </c>
      <c r="D32" s="264" t="s">
        <v>186</v>
      </c>
      <c r="E32" s="264" t="s">
        <v>187</v>
      </c>
      <c r="F32" s="264" t="s">
        <v>188</v>
      </c>
      <c r="G32" s="264" t="s">
        <v>189</v>
      </c>
      <c r="H32" s="264" t="s">
        <v>190</v>
      </c>
      <c r="I32" s="264" t="s">
        <v>191</v>
      </c>
      <c r="J32" s="264" t="s">
        <v>192</v>
      </c>
      <c r="K32" s="257"/>
      <c r="L32" s="257"/>
      <c r="M32" s="257"/>
      <c r="N32" s="257"/>
      <c r="O32" s="257"/>
      <c r="P32" s="257"/>
      <c r="Q32" s="257"/>
      <c r="R32" s="257"/>
      <c r="S32" s="257"/>
      <c r="T32" s="257"/>
      <c r="U32" s="257"/>
      <c r="V32" s="257"/>
      <c r="W32" s="257"/>
      <c r="X32" s="257"/>
      <c r="Y32" s="257"/>
      <c r="Z32" s="257"/>
    </row>
    <row r="33" spans="1:26" ht="21" customHeight="1">
      <c r="A33" s="257"/>
      <c r="B33" s="259" t="s">
        <v>179</v>
      </c>
      <c r="C33" s="272">
        <v>253025</v>
      </c>
      <c r="D33" s="261">
        <v>1.1408</v>
      </c>
      <c r="E33" s="272">
        <v>56650</v>
      </c>
      <c r="F33" s="272">
        <v>196375</v>
      </c>
      <c r="G33" s="272">
        <v>912</v>
      </c>
      <c r="H33" s="272">
        <v>6139</v>
      </c>
      <c r="I33" s="259">
        <v>46.75</v>
      </c>
      <c r="J33" s="259">
        <v>32.75</v>
      </c>
      <c r="K33" s="257"/>
      <c r="L33" s="257"/>
      <c r="M33" s="257"/>
      <c r="N33" s="257"/>
      <c r="O33" s="257"/>
      <c r="P33" s="257"/>
      <c r="Q33" s="257"/>
      <c r="R33" s="257"/>
      <c r="S33" s="257"/>
      <c r="T33" s="257"/>
      <c r="U33" s="257"/>
      <c r="V33" s="257"/>
      <c r="W33" s="257"/>
      <c r="X33" s="257"/>
      <c r="Y33" s="257"/>
      <c r="Z33" s="257"/>
    </row>
    <row r="34" spans="1:26" ht="21" customHeight="1">
      <c r="A34" s="257"/>
      <c r="B34" s="259" t="s">
        <v>180</v>
      </c>
      <c r="C34" s="272">
        <v>214411</v>
      </c>
      <c r="D34" s="261">
        <v>0.9667</v>
      </c>
      <c r="E34" s="272">
        <v>77175</v>
      </c>
      <c r="F34" s="272">
        <v>137236</v>
      </c>
      <c r="G34" s="272">
        <v>1139</v>
      </c>
      <c r="H34" s="272">
        <v>8042</v>
      </c>
      <c r="I34" s="259">
        <v>67.5</v>
      </c>
      <c r="J34" s="259">
        <v>18</v>
      </c>
      <c r="K34" s="257"/>
      <c r="L34" s="257"/>
      <c r="M34" s="257"/>
      <c r="N34" s="257"/>
      <c r="O34" s="257"/>
      <c r="P34" s="257"/>
      <c r="Q34" s="257"/>
      <c r="R34" s="257"/>
      <c r="S34" s="257"/>
      <c r="T34" s="257"/>
      <c r="U34" s="257"/>
      <c r="V34" s="257"/>
      <c r="W34" s="257"/>
      <c r="X34" s="257"/>
      <c r="Y34" s="257"/>
      <c r="Z34" s="257"/>
    </row>
    <row r="35" spans="1:26" ht="21" customHeight="1">
      <c r="A35" s="257"/>
      <c r="B35" s="259" t="s">
        <v>181</v>
      </c>
      <c r="C35" s="272">
        <v>241500</v>
      </c>
      <c r="D35" s="261">
        <v>1.0888</v>
      </c>
      <c r="E35" s="272">
        <v>72175</v>
      </c>
      <c r="F35" s="272">
        <v>169325</v>
      </c>
      <c r="G35" s="272">
        <v>1210</v>
      </c>
      <c r="H35" s="272">
        <v>6137</v>
      </c>
      <c r="I35" s="259">
        <v>59.75</v>
      </c>
      <c r="J35" s="259">
        <v>27.25</v>
      </c>
      <c r="K35" s="257"/>
      <c r="L35" s="257"/>
      <c r="M35" s="257"/>
      <c r="N35" s="257"/>
      <c r="O35" s="257"/>
      <c r="P35" s="257"/>
      <c r="Q35" s="257"/>
      <c r="R35" s="257"/>
      <c r="S35" s="257"/>
      <c r="T35" s="257"/>
      <c r="U35" s="257"/>
      <c r="V35" s="257"/>
      <c r="W35" s="257"/>
      <c r="X35" s="257"/>
      <c r="Y35" s="257"/>
      <c r="Z35" s="257"/>
    </row>
    <row r="36" spans="1:26" ht="21" customHeight="1">
      <c r="A36" s="257"/>
      <c r="B36" s="259" t="s">
        <v>182</v>
      </c>
      <c r="C36" s="272">
        <v>223707</v>
      </c>
      <c r="D36" s="261">
        <v>1.0085999999999999</v>
      </c>
      <c r="E36" s="272">
        <v>89083</v>
      </c>
      <c r="F36" s="272">
        <v>134623</v>
      </c>
      <c r="G36" s="272">
        <v>1186</v>
      </c>
      <c r="H36" s="272">
        <v>6400</v>
      </c>
      <c r="I36" s="259">
        <v>74.67</v>
      </c>
      <c r="J36" s="259">
        <v>21</v>
      </c>
      <c r="K36" s="257"/>
      <c r="L36" s="257"/>
      <c r="M36" s="257"/>
      <c r="N36" s="257"/>
      <c r="O36" s="257"/>
      <c r="P36" s="257"/>
      <c r="Q36" s="257"/>
      <c r="R36" s="257"/>
      <c r="S36" s="257"/>
      <c r="T36" s="257"/>
      <c r="U36" s="257"/>
      <c r="V36" s="257"/>
      <c r="W36" s="257"/>
      <c r="X36" s="257"/>
      <c r="Y36" s="257"/>
      <c r="Z36" s="257"/>
    </row>
    <row r="37" spans="1:26" ht="21" customHeight="1">
      <c r="A37" s="257"/>
      <c r="B37" s="259" t="s">
        <v>183</v>
      </c>
      <c r="C37" s="272">
        <v>292928</v>
      </c>
      <c r="D37" s="261">
        <v>1.3207</v>
      </c>
      <c r="E37" s="272">
        <v>88388</v>
      </c>
      <c r="F37" s="272">
        <v>204540</v>
      </c>
      <c r="G37" s="272">
        <v>1202</v>
      </c>
      <c r="H37" s="272">
        <v>6032</v>
      </c>
      <c r="I37" s="259">
        <v>73.75</v>
      </c>
      <c r="J37" s="259">
        <v>35</v>
      </c>
      <c r="K37" s="257"/>
      <c r="L37" s="257"/>
      <c r="M37" s="257"/>
      <c r="N37" s="257"/>
      <c r="O37" s="257"/>
      <c r="P37" s="257"/>
      <c r="Q37" s="257"/>
      <c r="R37" s="257"/>
      <c r="S37" s="257"/>
      <c r="T37" s="257"/>
      <c r="U37" s="257"/>
      <c r="V37" s="257"/>
      <c r="W37" s="257"/>
      <c r="X37" s="257"/>
      <c r="Y37" s="257"/>
      <c r="Z37" s="257"/>
    </row>
    <row r="38" spans="1:26" ht="21" customHeight="1">
      <c r="A38" s="257"/>
      <c r="B38" s="259" t="s">
        <v>184</v>
      </c>
      <c r="C38" s="272">
        <v>101267</v>
      </c>
      <c r="D38" s="261">
        <v>0.45660000000000001</v>
      </c>
      <c r="E38" s="272">
        <v>32417</v>
      </c>
      <c r="F38" s="272">
        <v>68850</v>
      </c>
      <c r="G38" s="272">
        <v>1386</v>
      </c>
      <c r="H38" s="272">
        <v>4965</v>
      </c>
      <c r="I38" s="259">
        <v>23.33</v>
      </c>
      <c r="J38" s="259">
        <v>14.67</v>
      </c>
      <c r="K38" s="257"/>
      <c r="L38" s="257"/>
      <c r="M38" s="257"/>
      <c r="N38" s="257"/>
      <c r="O38" s="257"/>
      <c r="P38" s="257"/>
      <c r="Q38" s="257"/>
      <c r="R38" s="257"/>
      <c r="S38" s="257"/>
      <c r="T38" s="257"/>
      <c r="U38" s="257"/>
      <c r="V38" s="257"/>
      <c r="W38" s="257"/>
      <c r="X38" s="257"/>
      <c r="Y38" s="257"/>
      <c r="Z38" s="257"/>
    </row>
    <row r="39" spans="1:26" ht="21" customHeight="1">
      <c r="A39" s="257"/>
      <c r="B39" s="259" t="s">
        <v>157</v>
      </c>
      <c r="C39" s="272">
        <v>0</v>
      </c>
      <c r="D39" s="261">
        <v>0</v>
      </c>
      <c r="E39" s="272">
        <v>0</v>
      </c>
      <c r="F39" s="272">
        <v>0</v>
      </c>
      <c r="G39" s="272">
        <v>0</v>
      </c>
      <c r="H39" s="272">
        <v>0</v>
      </c>
      <c r="I39" s="259">
        <v>0</v>
      </c>
      <c r="J39" s="259">
        <v>0</v>
      </c>
      <c r="K39" s="257"/>
      <c r="L39" s="257"/>
      <c r="M39" s="257"/>
      <c r="N39" s="257"/>
      <c r="O39" s="257"/>
      <c r="P39" s="257"/>
      <c r="Q39" s="257"/>
      <c r="R39" s="257"/>
      <c r="S39" s="257"/>
      <c r="T39" s="257"/>
      <c r="U39" s="257"/>
      <c r="V39" s="257"/>
      <c r="W39" s="257"/>
      <c r="X39" s="257"/>
      <c r="Y39" s="257"/>
      <c r="Z39" s="257"/>
    </row>
    <row r="40" spans="1:26" ht="21" customHeight="1">
      <c r="A40" s="257"/>
      <c r="B40" s="259" t="s">
        <v>195</v>
      </c>
      <c r="C40" s="273">
        <v>221139</v>
      </c>
      <c r="D40" s="274">
        <v>0.997</v>
      </c>
      <c r="E40" s="273">
        <v>69315</v>
      </c>
      <c r="F40" s="273">
        <v>151825</v>
      </c>
      <c r="G40" s="273">
        <v>1173</v>
      </c>
      <c r="H40" s="273">
        <v>6286</v>
      </c>
      <c r="I40" s="275">
        <v>57.63</v>
      </c>
      <c r="J40" s="275">
        <v>24.78</v>
      </c>
      <c r="K40" s="257"/>
      <c r="L40" s="257"/>
      <c r="M40" s="257"/>
      <c r="N40" s="257"/>
      <c r="O40" s="257"/>
      <c r="P40" s="257"/>
      <c r="Q40" s="257"/>
      <c r="R40" s="257"/>
      <c r="S40" s="257"/>
      <c r="T40" s="257"/>
      <c r="U40" s="257"/>
      <c r="V40" s="257"/>
      <c r="W40" s="257"/>
      <c r="X40" s="257"/>
      <c r="Y40" s="257"/>
      <c r="Z40" s="257"/>
    </row>
    <row r="41" spans="1:26" ht="21" customHeight="1">
      <c r="A41" s="257"/>
      <c r="B41" s="257"/>
      <c r="C41" s="257"/>
      <c r="D41" s="257"/>
      <c r="E41" s="257"/>
      <c r="F41" s="257"/>
      <c r="G41" s="257"/>
      <c r="H41" s="257"/>
      <c r="I41" s="257"/>
      <c r="J41" s="257"/>
      <c r="K41" s="257"/>
      <c r="L41" s="257"/>
      <c r="M41" s="257"/>
      <c r="N41" s="257"/>
      <c r="O41" s="257"/>
      <c r="P41" s="257"/>
      <c r="Q41" s="257"/>
      <c r="R41" s="257"/>
      <c r="S41" s="257"/>
      <c r="T41" s="257"/>
      <c r="U41" s="257"/>
      <c r="V41" s="257"/>
      <c r="W41" s="257"/>
      <c r="X41" s="257"/>
      <c r="Y41" s="257"/>
      <c r="Z41" s="257"/>
    </row>
    <row r="42" spans="1:26" ht="21" customHeight="1">
      <c r="A42" s="257"/>
      <c r="B42" s="271" t="s">
        <v>23</v>
      </c>
      <c r="C42" s="264" t="s">
        <v>148</v>
      </c>
      <c r="D42" s="264" t="s">
        <v>186</v>
      </c>
      <c r="E42" s="264" t="s">
        <v>187</v>
      </c>
      <c r="F42" s="264" t="s">
        <v>188</v>
      </c>
      <c r="G42" s="264" t="s">
        <v>189</v>
      </c>
      <c r="H42" s="264" t="s">
        <v>190</v>
      </c>
      <c r="I42" s="264" t="s">
        <v>191</v>
      </c>
      <c r="J42" s="264" t="s">
        <v>192</v>
      </c>
      <c r="K42" s="257"/>
      <c r="L42" s="257"/>
      <c r="M42" s="257"/>
      <c r="N42" s="257"/>
      <c r="O42" s="257"/>
      <c r="P42" s="257"/>
      <c r="Q42" s="257"/>
      <c r="R42" s="257"/>
      <c r="S42" s="257"/>
      <c r="T42" s="257"/>
      <c r="U42" s="257"/>
      <c r="V42" s="257"/>
      <c r="W42" s="257"/>
      <c r="X42" s="257"/>
      <c r="Y42" s="257"/>
      <c r="Z42" s="257"/>
    </row>
    <row r="43" spans="1:26" ht="21" customHeight="1">
      <c r="A43" s="257"/>
      <c r="B43" s="259" t="s">
        <v>179</v>
      </c>
      <c r="C43" s="272">
        <v>231250</v>
      </c>
      <c r="D43" s="261">
        <v>1.1040000000000001</v>
      </c>
      <c r="E43" s="272">
        <v>93067</v>
      </c>
      <c r="F43" s="272">
        <v>138183</v>
      </c>
      <c r="G43" s="272">
        <v>1409</v>
      </c>
      <c r="H43" s="272">
        <v>8227</v>
      </c>
      <c r="I43" s="259">
        <v>65.67</v>
      </c>
      <c r="J43" s="259">
        <v>18</v>
      </c>
      <c r="K43" s="257"/>
      <c r="L43" s="257"/>
      <c r="M43" s="257"/>
      <c r="N43" s="257"/>
      <c r="O43" s="257"/>
      <c r="P43" s="257"/>
      <c r="Q43" s="257"/>
      <c r="R43" s="257"/>
      <c r="S43" s="257"/>
      <c r="T43" s="257"/>
      <c r="U43" s="257"/>
      <c r="V43" s="257"/>
      <c r="W43" s="257"/>
      <c r="X43" s="257"/>
      <c r="Y43" s="257"/>
      <c r="Z43" s="257"/>
    </row>
    <row r="44" spans="1:26" ht="21" customHeight="1">
      <c r="A44" s="257"/>
      <c r="B44" s="259" t="s">
        <v>180</v>
      </c>
      <c r="C44" s="272">
        <v>214245</v>
      </c>
      <c r="D44" s="261">
        <v>1.0227999999999999</v>
      </c>
      <c r="E44" s="272">
        <v>72038</v>
      </c>
      <c r="F44" s="272">
        <v>142208</v>
      </c>
      <c r="G44" s="272">
        <v>1120</v>
      </c>
      <c r="H44" s="272">
        <v>6162</v>
      </c>
      <c r="I44" s="259">
        <v>64.25</v>
      </c>
      <c r="J44" s="259">
        <v>23</v>
      </c>
      <c r="K44" s="257"/>
      <c r="L44" s="257"/>
      <c r="M44" s="257"/>
      <c r="N44" s="257"/>
      <c r="O44" s="257"/>
      <c r="P44" s="257"/>
      <c r="Q44" s="257"/>
      <c r="R44" s="257"/>
      <c r="S44" s="257"/>
      <c r="T44" s="257"/>
      <c r="U44" s="257"/>
      <c r="V44" s="257"/>
      <c r="W44" s="257"/>
      <c r="X44" s="257"/>
      <c r="Y44" s="257"/>
      <c r="Z44" s="257"/>
    </row>
    <row r="45" spans="1:26" ht="21" customHeight="1">
      <c r="A45" s="257"/>
      <c r="B45" s="259" t="s">
        <v>181</v>
      </c>
      <c r="C45" s="272">
        <v>221718</v>
      </c>
      <c r="D45" s="261">
        <v>1.0585</v>
      </c>
      <c r="E45" s="272">
        <v>82825</v>
      </c>
      <c r="F45" s="272">
        <v>138893</v>
      </c>
      <c r="G45" s="272">
        <v>1176</v>
      </c>
      <c r="H45" s="272">
        <v>5740</v>
      </c>
      <c r="I45" s="259">
        <v>70.5</v>
      </c>
      <c r="J45" s="259">
        <v>23.5</v>
      </c>
      <c r="K45" s="257"/>
      <c r="L45" s="257"/>
      <c r="M45" s="257"/>
      <c r="N45" s="257"/>
      <c r="O45" s="257"/>
      <c r="P45" s="257"/>
      <c r="Q45" s="257"/>
      <c r="R45" s="257"/>
      <c r="S45" s="257"/>
      <c r="T45" s="257"/>
      <c r="U45" s="257"/>
      <c r="V45" s="257"/>
      <c r="W45" s="257"/>
      <c r="X45" s="257"/>
      <c r="Y45" s="257"/>
      <c r="Z45" s="257"/>
    </row>
    <row r="46" spans="1:26" ht="21" customHeight="1">
      <c r="A46" s="257"/>
      <c r="B46" s="259" t="s">
        <v>182</v>
      </c>
      <c r="C46" s="272">
        <v>233396</v>
      </c>
      <c r="D46" s="261">
        <v>1.1142000000000001</v>
      </c>
      <c r="E46" s="272">
        <v>83440</v>
      </c>
      <c r="F46" s="272">
        <v>149956</v>
      </c>
      <c r="G46" s="272">
        <v>1248</v>
      </c>
      <c r="H46" s="272">
        <v>6151</v>
      </c>
      <c r="I46" s="259">
        <v>67</v>
      </c>
      <c r="J46" s="259">
        <v>25</v>
      </c>
      <c r="K46" s="257"/>
      <c r="L46" s="257"/>
      <c r="M46" s="257"/>
      <c r="N46" s="257"/>
      <c r="O46" s="257"/>
      <c r="P46" s="257"/>
      <c r="Q46" s="257"/>
      <c r="R46" s="257"/>
      <c r="S46" s="257"/>
      <c r="T46" s="257"/>
      <c r="U46" s="257"/>
      <c r="V46" s="257"/>
      <c r="W46" s="257"/>
      <c r="X46" s="257"/>
      <c r="Y46" s="257"/>
      <c r="Z46" s="257"/>
    </row>
    <row r="47" spans="1:26" ht="21" customHeight="1">
      <c r="A47" s="257"/>
      <c r="B47" s="259" t="s">
        <v>183</v>
      </c>
      <c r="C47" s="272">
        <v>283893</v>
      </c>
      <c r="D47" s="261">
        <v>1.3552999999999999</v>
      </c>
      <c r="E47" s="272">
        <v>75933</v>
      </c>
      <c r="F47" s="272">
        <v>207960</v>
      </c>
      <c r="G47" s="272">
        <v>1170</v>
      </c>
      <c r="H47" s="272">
        <v>5696</v>
      </c>
      <c r="I47" s="259">
        <v>65.33</v>
      </c>
      <c r="J47" s="259">
        <v>37</v>
      </c>
      <c r="K47" s="257"/>
      <c r="L47" s="257"/>
      <c r="M47" s="257"/>
      <c r="N47" s="257"/>
      <c r="O47" s="257"/>
      <c r="P47" s="257"/>
      <c r="Q47" s="257"/>
      <c r="R47" s="257"/>
      <c r="S47" s="257"/>
      <c r="T47" s="257"/>
      <c r="U47" s="257"/>
      <c r="V47" s="257"/>
      <c r="W47" s="257"/>
      <c r="X47" s="257"/>
      <c r="Y47" s="257"/>
      <c r="Z47" s="257"/>
    </row>
    <row r="48" spans="1:26" ht="21" customHeight="1">
      <c r="A48" s="257"/>
      <c r="B48" s="259" t="s">
        <v>184</v>
      </c>
      <c r="C48" s="272">
        <v>136393</v>
      </c>
      <c r="D48" s="261">
        <v>0.65110000000000001</v>
      </c>
      <c r="E48" s="272">
        <v>45750</v>
      </c>
      <c r="F48" s="272">
        <v>90643</v>
      </c>
      <c r="G48" s="272">
        <v>1618</v>
      </c>
      <c r="H48" s="272">
        <v>5237</v>
      </c>
      <c r="I48" s="259">
        <v>28.25</v>
      </c>
      <c r="J48" s="259">
        <v>18</v>
      </c>
      <c r="K48" s="257"/>
      <c r="L48" s="257"/>
      <c r="M48" s="257"/>
      <c r="N48" s="257"/>
      <c r="O48" s="257"/>
      <c r="P48" s="257"/>
      <c r="Q48" s="257"/>
      <c r="R48" s="257"/>
      <c r="S48" s="257"/>
      <c r="T48" s="257"/>
      <c r="U48" s="257"/>
      <c r="V48" s="257"/>
      <c r="W48" s="257"/>
      <c r="X48" s="257"/>
      <c r="Y48" s="257"/>
      <c r="Z48" s="257"/>
    </row>
    <row r="49" spans="1:26" ht="21" customHeight="1">
      <c r="A49" s="257"/>
      <c r="B49" s="259" t="s">
        <v>157</v>
      </c>
      <c r="C49" s="272">
        <v>0</v>
      </c>
      <c r="D49" s="261">
        <v>0</v>
      </c>
      <c r="E49" s="272">
        <v>0</v>
      </c>
      <c r="F49" s="272">
        <v>0</v>
      </c>
      <c r="G49" s="272">
        <v>0</v>
      </c>
      <c r="H49" s="272">
        <v>0</v>
      </c>
      <c r="I49" s="259">
        <v>0</v>
      </c>
      <c r="J49" s="259">
        <v>0</v>
      </c>
      <c r="K49" s="257"/>
      <c r="L49" s="257"/>
      <c r="M49" s="257"/>
      <c r="N49" s="257"/>
      <c r="O49" s="257"/>
      <c r="P49" s="257"/>
      <c r="Q49" s="257"/>
      <c r="R49" s="257"/>
      <c r="S49" s="257"/>
      <c r="T49" s="257"/>
      <c r="U49" s="257"/>
      <c r="V49" s="257"/>
      <c r="W49" s="257"/>
      <c r="X49" s="257"/>
      <c r="Y49" s="257"/>
      <c r="Z49" s="257"/>
    </row>
    <row r="50" spans="1:26" ht="21" customHeight="1">
      <c r="A50" s="257"/>
      <c r="B50" s="259" t="s">
        <v>196</v>
      </c>
      <c r="C50" s="273">
        <v>220149</v>
      </c>
      <c r="D50" s="274">
        <v>1.0509999999999999</v>
      </c>
      <c r="E50" s="273">
        <v>75509</v>
      </c>
      <c r="F50" s="273">
        <v>144640</v>
      </c>
      <c r="G50" s="273">
        <v>1290</v>
      </c>
      <c r="H50" s="273">
        <v>6202</v>
      </c>
      <c r="I50" s="275">
        <v>60.17</v>
      </c>
      <c r="J50" s="275">
        <v>24.08</v>
      </c>
      <c r="K50" s="257"/>
      <c r="L50" s="257"/>
      <c r="M50" s="257"/>
      <c r="N50" s="257"/>
      <c r="O50" s="257"/>
      <c r="P50" s="257"/>
      <c r="Q50" s="257"/>
      <c r="R50" s="257"/>
      <c r="S50" s="257"/>
      <c r="T50" s="257"/>
      <c r="U50" s="257"/>
      <c r="V50" s="257"/>
      <c r="W50" s="257"/>
      <c r="X50" s="257"/>
      <c r="Y50" s="257"/>
      <c r="Z50" s="257"/>
    </row>
    <row r="51" spans="1:26" ht="21" customHeight="1">
      <c r="A51" s="257"/>
      <c r="B51" s="257"/>
      <c r="C51" s="257"/>
      <c r="D51" s="257"/>
      <c r="E51" s="257"/>
      <c r="F51" s="257"/>
      <c r="G51" s="257"/>
      <c r="H51" s="257"/>
      <c r="I51" s="257"/>
      <c r="J51" s="257"/>
      <c r="K51" s="257"/>
      <c r="L51" s="257"/>
      <c r="M51" s="257"/>
      <c r="N51" s="257"/>
      <c r="O51" s="257"/>
      <c r="P51" s="257"/>
      <c r="Q51" s="257"/>
      <c r="R51" s="257"/>
      <c r="S51" s="257"/>
      <c r="T51" s="257"/>
      <c r="U51" s="257"/>
      <c r="V51" s="257"/>
      <c r="W51" s="257"/>
      <c r="X51" s="257"/>
      <c r="Y51" s="257"/>
      <c r="Z51" s="257"/>
    </row>
    <row r="52" spans="1:26" ht="21" customHeight="1">
      <c r="A52" s="257"/>
      <c r="B52" s="271" t="s">
        <v>27</v>
      </c>
      <c r="C52" s="264" t="s">
        <v>148</v>
      </c>
      <c r="D52" s="264" t="s">
        <v>186</v>
      </c>
      <c r="E52" s="264" t="s">
        <v>187</v>
      </c>
      <c r="F52" s="264" t="s">
        <v>188</v>
      </c>
      <c r="G52" s="264" t="s">
        <v>189</v>
      </c>
      <c r="H52" s="264" t="s">
        <v>190</v>
      </c>
      <c r="I52" s="264" t="s">
        <v>191</v>
      </c>
      <c r="J52" s="264" t="s">
        <v>192</v>
      </c>
      <c r="K52" s="257"/>
      <c r="L52" s="257"/>
      <c r="M52" s="257"/>
      <c r="N52" s="257"/>
      <c r="O52" s="257"/>
      <c r="P52" s="257"/>
      <c r="Q52" s="257"/>
      <c r="R52" s="257"/>
      <c r="S52" s="257"/>
      <c r="T52" s="257"/>
      <c r="U52" s="257"/>
      <c r="V52" s="257"/>
      <c r="W52" s="257"/>
      <c r="X52" s="257"/>
      <c r="Y52" s="257"/>
      <c r="Z52" s="257"/>
    </row>
    <row r="53" spans="1:26" ht="21" customHeight="1">
      <c r="A53" s="257"/>
      <c r="B53" s="259" t="s">
        <v>179</v>
      </c>
      <c r="C53" s="272">
        <v>228963</v>
      </c>
      <c r="D53" s="261">
        <v>1.1364000000000001</v>
      </c>
      <c r="E53" s="272">
        <v>85213</v>
      </c>
      <c r="F53" s="272">
        <v>143750</v>
      </c>
      <c r="G53" s="272">
        <v>1170</v>
      </c>
      <c r="H53" s="272">
        <v>15751</v>
      </c>
      <c r="I53" s="259">
        <v>72.5</v>
      </c>
      <c r="J53" s="259">
        <v>15.75</v>
      </c>
      <c r="K53" s="257"/>
      <c r="L53" s="257"/>
      <c r="M53" s="257"/>
      <c r="N53" s="257"/>
      <c r="O53" s="257"/>
      <c r="P53" s="257"/>
      <c r="Q53" s="257"/>
      <c r="R53" s="257"/>
      <c r="S53" s="257"/>
      <c r="T53" s="257"/>
      <c r="U53" s="257"/>
      <c r="V53" s="257"/>
      <c r="W53" s="257"/>
      <c r="X53" s="257"/>
      <c r="Y53" s="257"/>
      <c r="Z53" s="257"/>
    </row>
    <row r="54" spans="1:26" ht="21" customHeight="1">
      <c r="A54" s="257"/>
      <c r="B54" s="259" t="s">
        <v>180</v>
      </c>
      <c r="C54" s="272">
        <v>263968</v>
      </c>
      <c r="D54" s="261">
        <v>0.95909999999999995</v>
      </c>
      <c r="E54" s="272">
        <v>72725</v>
      </c>
      <c r="F54" s="272">
        <v>191243</v>
      </c>
      <c r="G54" s="272">
        <v>1234</v>
      </c>
      <c r="H54" s="272">
        <v>6263</v>
      </c>
      <c r="I54" s="259">
        <v>59.5</v>
      </c>
      <c r="J54" s="259">
        <v>30.5</v>
      </c>
      <c r="K54" s="257"/>
      <c r="L54" s="257"/>
      <c r="M54" s="257"/>
      <c r="N54" s="257"/>
      <c r="O54" s="257"/>
      <c r="P54" s="257"/>
      <c r="Q54" s="257"/>
      <c r="R54" s="257"/>
      <c r="S54" s="257"/>
      <c r="T54" s="257"/>
      <c r="U54" s="257"/>
      <c r="V54" s="257"/>
      <c r="W54" s="257"/>
      <c r="X54" s="257"/>
      <c r="Y54" s="257"/>
      <c r="Z54" s="257"/>
    </row>
    <row r="55" spans="1:26" ht="21" customHeight="1">
      <c r="A55" s="257"/>
      <c r="B55" s="259" t="s">
        <v>181</v>
      </c>
      <c r="C55" s="272">
        <v>293950</v>
      </c>
      <c r="D55" s="261">
        <v>1.0192000000000001</v>
      </c>
      <c r="E55" s="272">
        <v>86700</v>
      </c>
      <c r="F55" s="272">
        <v>207250</v>
      </c>
      <c r="G55" s="272">
        <v>1230</v>
      </c>
      <c r="H55" s="272">
        <v>5874</v>
      </c>
      <c r="I55" s="259">
        <v>70</v>
      </c>
      <c r="J55" s="259">
        <v>36.33</v>
      </c>
      <c r="K55" s="257"/>
      <c r="L55" s="257"/>
      <c r="M55" s="257"/>
      <c r="N55" s="257"/>
      <c r="O55" s="257"/>
      <c r="P55" s="257"/>
      <c r="Q55" s="257"/>
      <c r="R55" s="257"/>
      <c r="S55" s="257"/>
      <c r="T55" s="257"/>
      <c r="U55" s="257"/>
      <c r="V55" s="257"/>
      <c r="W55" s="257"/>
      <c r="X55" s="257"/>
      <c r="Y55" s="257"/>
      <c r="Z55" s="257"/>
    </row>
    <row r="56" spans="1:26" ht="21" customHeight="1">
      <c r="A56" s="257"/>
      <c r="B56" s="259" t="s">
        <v>182</v>
      </c>
      <c r="C56" s="272">
        <v>308608</v>
      </c>
      <c r="D56" s="261">
        <v>0.82909999999999995</v>
      </c>
      <c r="E56" s="272">
        <v>94525</v>
      </c>
      <c r="F56" s="272">
        <v>214083</v>
      </c>
      <c r="G56" s="272">
        <v>1189</v>
      </c>
      <c r="H56" s="272">
        <v>6220</v>
      </c>
      <c r="I56" s="259">
        <v>79.5</v>
      </c>
      <c r="J56" s="259">
        <v>36</v>
      </c>
      <c r="K56" s="257"/>
      <c r="L56" s="257"/>
      <c r="M56" s="257"/>
      <c r="N56" s="257"/>
      <c r="O56" s="257"/>
      <c r="P56" s="257"/>
      <c r="Q56" s="257"/>
      <c r="R56" s="257"/>
      <c r="S56" s="257"/>
      <c r="T56" s="257"/>
      <c r="U56" s="257"/>
      <c r="V56" s="257"/>
      <c r="W56" s="257"/>
      <c r="X56" s="257"/>
      <c r="Y56" s="257"/>
      <c r="Z56" s="257"/>
    </row>
    <row r="57" spans="1:26" ht="21" customHeight="1">
      <c r="A57" s="257"/>
      <c r="B57" s="259" t="s">
        <v>183</v>
      </c>
      <c r="C57" s="272">
        <v>322626</v>
      </c>
      <c r="D57" s="261">
        <v>0.77280000000000004</v>
      </c>
      <c r="E57" s="272">
        <v>93650</v>
      </c>
      <c r="F57" s="272">
        <v>228976</v>
      </c>
      <c r="G57" s="272">
        <v>1237</v>
      </c>
      <c r="H57" s="272">
        <v>5940</v>
      </c>
      <c r="I57" s="259">
        <v>76.2</v>
      </c>
      <c r="J57" s="259">
        <v>38.6</v>
      </c>
      <c r="K57" s="257"/>
      <c r="L57" s="257"/>
      <c r="M57" s="257"/>
      <c r="N57" s="257"/>
      <c r="O57" s="257"/>
      <c r="P57" s="257"/>
      <c r="Q57" s="257"/>
      <c r="R57" s="257"/>
      <c r="S57" s="257"/>
      <c r="T57" s="257"/>
      <c r="U57" s="257"/>
      <c r="V57" s="257"/>
      <c r="W57" s="257"/>
      <c r="X57" s="257"/>
      <c r="Y57" s="257"/>
      <c r="Z57" s="257"/>
    </row>
    <row r="58" spans="1:26" ht="21" customHeight="1">
      <c r="A58" s="257"/>
      <c r="B58" s="259" t="s">
        <v>184</v>
      </c>
      <c r="C58" s="272">
        <v>151896</v>
      </c>
      <c r="D58" s="261">
        <v>1.7049000000000001</v>
      </c>
      <c r="E58" s="272">
        <v>41290</v>
      </c>
      <c r="F58" s="272">
        <v>110606</v>
      </c>
      <c r="G58" s="272">
        <v>1328</v>
      </c>
      <c r="H58" s="272">
        <v>5094</v>
      </c>
      <c r="I58" s="259">
        <v>31.6</v>
      </c>
      <c r="J58" s="259">
        <v>21.4</v>
      </c>
      <c r="K58" s="257"/>
      <c r="L58" s="257"/>
      <c r="M58" s="257"/>
      <c r="N58" s="257"/>
      <c r="O58" s="257"/>
      <c r="P58" s="257"/>
      <c r="Q58" s="257"/>
      <c r="R58" s="257"/>
      <c r="S58" s="257"/>
      <c r="T58" s="257"/>
      <c r="U58" s="257"/>
      <c r="V58" s="257"/>
      <c r="W58" s="257"/>
      <c r="X58" s="257"/>
      <c r="Y58" s="257"/>
      <c r="Z58" s="257"/>
    </row>
    <row r="59" spans="1:26" ht="21" customHeight="1">
      <c r="A59" s="257"/>
      <c r="B59" s="259" t="s">
        <v>157</v>
      </c>
      <c r="C59" s="272">
        <v>0</v>
      </c>
      <c r="D59" s="261">
        <v>0</v>
      </c>
      <c r="E59" s="272">
        <v>0</v>
      </c>
      <c r="F59" s="272">
        <v>0</v>
      </c>
      <c r="G59" s="272">
        <v>0</v>
      </c>
      <c r="H59" s="272">
        <v>0</v>
      </c>
      <c r="I59" s="259">
        <v>0</v>
      </c>
      <c r="J59" s="259">
        <v>0</v>
      </c>
      <c r="K59" s="257"/>
      <c r="L59" s="257"/>
      <c r="M59" s="257"/>
      <c r="N59" s="257"/>
      <c r="O59" s="257"/>
      <c r="P59" s="257"/>
      <c r="Q59" s="257"/>
      <c r="R59" s="257"/>
      <c r="S59" s="257"/>
      <c r="T59" s="257"/>
      <c r="U59" s="257"/>
      <c r="V59" s="257"/>
      <c r="W59" s="257"/>
      <c r="X59" s="257"/>
      <c r="Y59" s="257"/>
      <c r="Z59" s="257"/>
    </row>
    <row r="60" spans="1:26" ht="21" customHeight="1">
      <c r="A60" s="257"/>
      <c r="B60" s="259" t="s">
        <v>197</v>
      </c>
      <c r="C60" s="273">
        <v>261668</v>
      </c>
      <c r="D60" s="274">
        <v>1.0703</v>
      </c>
      <c r="E60" s="273">
        <v>79017</v>
      </c>
      <c r="F60" s="273">
        <v>182651</v>
      </c>
      <c r="G60" s="273">
        <v>1231</v>
      </c>
      <c r="H60" s="273">
        <v>7524</v>
      </c>
      <c r="I60" s="275">
        <v>64.88</v>
      </c>
      <c r="J60" s="275">
        <v>29.76</v>
      </c>
      <c r="K60" s="257"/>
      <c r="L60" s="257"/>
      <c r="M60" s="257"/>
      <c r="N60" s="257"/>
      <c r="O60" s="257"/>
      <c r="P60" s="257"/>
      <c r="Q60" s="257"/>
      <c r="R60" s="257"/>
      <c r="S60" s="257"/>
      <c r="T60" s="257"/>
      <c r="U60" s="257"/>
      <c r="V60" s="257"/>
      <c r="W60" s="257"/>
      <c r="X60" s="257"/>
      <c r="Y60" s="257"/>
      <c r="Z60" s="257"/>
    </row>
    <row r="61" spans="1:26" ht="21" customHeight="1">
      <c r="A61" s="257"/>
      <c r="B61" s="257"/>
      <c r="C61" s="257"/>
      <c r="D61" s="257"/>
      <c r="E61" s="257"/>
      <c r="F61" s="257"/>
      <c r="G61" s="257"/>
      <c r="H61" s="257"/>
      <c r="I61" s="257"/>
      <c r="J61" s="257"/>
      <c r="K61" s="257"/>
      <c r="L61" s="257"/>
      <c r="M61" s="257"/>
      <c r="N61" s="257"/>
      <c r="O61" s="257"/>
      <c r="P61" s="257"/>
      <c r="Q61" s="257"/>
      <c r="R61" s="257"/>
      <c r="S61" s="257"/>
      <c r="T61" s="257"/>
      <c r="U61" s="257"/>
      <c r="V61" s="257"/>
      <c r="W61" s="257"/>
      <c r="X61" s="257"/>
      <c r="Y61" s="257"/>
      <c r="Z61" s="257"/>
    </row>
    <row r="62" spans="1:26" ht="21" customHeight="1">
      <c r="A62" s="257"/>
      <c r="B62" s="271" t="s">
        <v>29</v>
      </c>
      <c r="C62" s="264" t="s">
        <v>148</v>
      </c>
      <c r="D62" s="264" t="s">
        <v>186</v>
      </c>
      <c r="E62" s="264" t="s">
        <v>187</v>
      </c>
      <c r="F62" s="264" t="s">
        <v>188</v>
      </c>
      <c r="G62" s="264" t="s">
        <v>189</v>
      </c>
      <c r="H62" s="264" t="s">
        <v>190</v>
      </c>
      <c r="I62" s="264" t="s">
        <v>191</v>
      </c>
      <c r="J62" s="264" t="s">
        <v>192</v>
      </c>
      <c r="K62" s="257"/>
      <c r="L62" s="257"/>
      <c r="M62" s="257"/>
      <c r="N62" s="257"/>
      <c r="O62" s="257"/>
      <c r="P62" s="257"/>
      <c r="Q62" s="257"/>
      <c r="R62" s="257"/>
      <c r="S62" s="257"/>
      <c r="T62" s="257"/>
      <c r="U62" s="257"/>
      <c r="V62" s="257"/>
      <c r="W62" s="257"/>
      <c r="X62" s="257"/>
      <c r="Y62" s="257"/>
      <c r="Z62" s="257"/>
    </row>
    <row r="63" spans="1:26" ht="21" customHeight="1">
      <c r="A63" s="257"/>
      <c r="B63" s="259" t="s">
        <v>179</v>
      </c>
      <c r="C63" s="272">
        <v>228365</v>
      </c>
      <c r="D63" s="261">
        <v>1.2275</v>
      </c>
      <c r="E63" s="272">
        <v>101325</v>
      </c>
      <c r="F63" s="272">
        <v>127040</v>
      </c>
      <c r="G63" s="272">
        <v>1166</v>
      </c>
      <c r="H63" s="272">
        <v>5011</v>
      </c>
      <c r="I63" s="259">
        <v>87.25</v>
      </c>
      <c r="J63" s="259">
        <v>23.75</v>
      </c>
      <c r="K63" s="257"/>
      <c r="L63" s="257"/>
      <c r="M63" s="257"/>
      <c r="N63" s="257"/>
      <c r="O63" s="257"/>
      <c r="P63" s="257"/>
      <c r="Q63" s="257"/>
      <c r="R63" s="257"/>
      <c r="S63" s="257"/>
      <c r="T63" s="257"/>
      <c r="U63" s="257"/>
      <c r="V63" s="257"/>
      <c r="W63" s="257"/>
      <c r="X63" s="257"/>
      <c r="Y63" s="257"/>
      <c r="Z63" s="257"/>
    </row>
    <row r="64" spans="1:26" ht="21" customHeight="1">
      <c r="A64" s="257"/>
      <c r="B64" s="259" t="s">
        <v>180</v>
      </c>
      <c r="C64" s="272">
        <v>269807</v>
      </c>
      <c r="D64" s="261">
        <v>0.97960000000000003</v>
      </c>
      <c r="E64" s="272">
        <v>90117</v>
      </c>
      <c r="F64" s="272">
        <v>179690</v>
      </c>
      <c r="G64" s="272">
        <v>1228</v>
      </c>
      <c r="H64" s="272">
        <v>5527</v>
      </c>
      <c r="I64" s="259">
        <v>72.8</v>
      </c>
      <c r="J64" s="259">
        <v>33.200000000000003</v>
      </c>
      <c r="K64" s="257"/>
      <c r="L64" s="257"/>
      <c r="M64" s="257"/>
      <c r="N64" s="257"/>
      <c r="O64" s="257"/>
      <c r="P64" s="257"/>
      <c r="Q64" s="257"/>
      <c r="R64" s="257"/>
      <c r="S64" s="257"/>
      <c r="T64" s="257"/>
      <c r="U64" s="257"/>
      <c r="V64" s="257"/>
      <c r="W64" s="257"/>
      <c r="X64" s="257"/>
      <c r="Y64" s="257"/>
      <c r="Z64" s="257"/>
    </row>
    <row r="65" spans="1:26" ht="21" customHeight="1">
      <c r="A65" s="257"/>
      <c r="B65" s="259" t="s">
        <v>181</v>
      </c>
      <c r="C65" s="272">
        <v>292710</v>
      </c>
      <c r="D65" s="261">
        <v>0.9587</v>
      </c>
      <c r="E65" s="272">
        <v>100858</v>
      </c>
      <c r="F65" s="272">
        <v>191853</v>
      </c>
      <c r="G65" s="272">
        <v>1179</v>
      </c>
      <c r="H65" s="272">
        <v>6188</v>
      </c>
      <c r="I65" s="259">
        <v>85.75</v>
      </c>
      <c r="J65" s="259">
        <v>31.25</v>
      </c>
      <c r="K65" s="257"/>
      <c r="L65" s="257"/>
      <c r="M65" s="257"/>
      <c r="N65" s="257"/>
      <c r="O65" s="257"/>
      <c r="P65" s="257"/>
      <c r="Q65" s="257"/>
      <c r="R65" s="257"/>
      <c r="S65" s="257"/>
      <c r="T65" s="257"/>
      <c r="U65" s="257"/>
      <c r="V65" s="257"/>
      <c r="W65" s="257"/>
      <c r="X65" s="257"/>
      <c r="Y65" s="257"/>
      <c r="Z65" s="257"/>
    </row>
    <row r="66" spans="1:26" ht="21" customHeight="1">
      <c r="A66" s="257"/>
      <c r="B66" s="259" t="s">
        <v>182</v>
      </c>
      <c r="C66" s="272">
        <v>278043</v>
      </c>
      <c r="D66" s="261">
        <v>1.0605</v>
      </c>
      <c r="E66" s="272">
        <v>95838</v>
      </c>
      <c r="F66" s="272">
        <v>182205</v>
      </c>
      <c r="G66" s="272">
        <v>1239</v>
      </c>
      <c r="H66" s="272">
        <v>6760</v>
      </c>
      <c r="I66" s="259">
        <v>77.25</v>
      </c>
      <c r="J66" s="259">
        <v>28</v>
      </c>
      <c r="K66" s="257"/>
      <c r="L66" s="257"/>
      <c r="M66" s="257"/>
      <c r="N66" s="257"/>
      <c r="O66" s="257"/>
      <c r="P66" s="257"/>
      <c r="Q66" s="257"/>
      <c r="R66" s="257"/>
      <c r="S66" s="257"/>
      <c r="T66" s="257"/>
      <c r="U66" s="257"/>
      <c r="V66" s="257"/>
      <c r="W66" s="257"/>
      <c r="X66" s="257"/>
      <c r="Y66" s="257"/>
      <c r="Z66" s="257"/>
    </row>
    <row r="67" spans="1:26" ht="21" customHeight="1">
      <c r="A67" s="257"/>
      <c r="B67" s="259" t="s">
        <v>183</v>
      </c>
      <c r="C67" s="272">
        <v>331130</v>
      </c>
      <c r="D67" s="261">
        <v>0.79830000000000001</v>
      </c>
      <c r="E67" s="272">
        <v>90775</v>
      </c>
      <c r="F67" s="272">
        <v>240355</v>
      </c>
      <c r="G67" s="272">
        <v>1164</v>
      </c>
      <c r="H67" s="272">
        <v>4958</v>
      </c>
      <c r="I67" s="259">
        <v>78</v>
      </c>
      <c r="J67" s="259">
        <v>48.75</v>
      </c>
      <c r="K67" s="257"/>
      <c r="L67" s="257"/>
      <c r="M67" s="257"/>
      <c r="N67" s="257"/>
      <c r="O67" s="257"/>
      <c r="P67" s="257"/>
      <c r="Q67" s="257"/>
      <c r="R67" s="257"/>
      <c r="S67" s="257"/>
      <c r="T67" s="257"/>
      <c r="U67" s="257"/>
      <c r="V67" s="257"/>
      <c r="W67" s="257"/>
      <c r="X67" s="257"/>
      <c r="Y67" s="257"/>
      <c r="Z67" s="257"/>
    </row>
    <row r="68" spans="1:26" ht="21" customHeight="1">
      <c r="A68" s="257"/>
      <c r="B68" s="259" t="s">
        <v>184</v>
      </c>
      <c r="C68" s="272">
        <v>201658</v>
      </c>
      <c r="D68" s="261">
        <v>1.7509999999999999</v>
      </c>
      <c r="E68" s="272">
        <v>85100</v>
      </c>
      <c r="F68" s="272">
        <v>116558</v>
      </c>
      <c r="G68" s="272">
        <v>2899</v>
      </c>
      <c r="H68" s="272">
        <v>5283</v>
      </c>
      <c r="I68" s="259">
        <v>25</v>
      </c>
      <c r="J68" s="259">
        <v>24.25</v>
      </c>
      <c r="K68" s="257"/>
      <c r="L68" s="257"/>
      <c r="M68" s="257"/>
      <c r="N68" s="257"/>
      <c r="O68" s="257"/>
      <c r="P68" s="257"/>
      <c r="Q68" s="257"/>
      <c r="R68" s="257"/>
      <c r="S68" s="257"/>
      <c r="T68" s="257"/>
      <c r="U68" s="257"/>
      <c r="V68" s="257"/>
      <c r="W68" s="257"/>
      <c r="X68" s="257"/>
      <c r="Y68" s="257"/>
      <c r="Z68" s="257"/>
    </row>
    <row r="69" spans="1:26" ht="21" customHeight="1">
      <c r="A69" s="257"/>
      <c r="B69" s="259" t="s">
        <v>157</v>
      </c>
      <c r="C69" s="272">
        <v>0</v>
      </c>
      <c r="D69" s="261">
        <v>0</v>
      </c>
      <c r="E69" s="272">
        <v>0</v>
      </c>
      <c r="F69" s="272">
        <v>0</v>
      </c>
      <c r="G69" s="272">
        <v>0</v>
      </c>
      <c r="H69" s="272">
        <v>0</v>
      </c>
      <c r="I69" s="259">
        <v>0</v>
      </c>
      <c r="J69" s="259">
        <v>0</v>
      </c>
      <c r="K69" s="257"/>
      <c r="L69" s="257"/>
      <c r="M69" s="257"/>
      <c r="N69" s="257"/>
      <c r="O69" s="257"/>
      <c r="P69" s="257"/>
      <c r="Q69" s="257"/>
      <c r="R69" s="257"/>
      <c r="S69" s="257"/>
      <c r="T69" s="257"/>
      <c r="U69" s="257"/>
      <c r="V69" s="257"/>
      <c r="W69" s="257"/>
      <c r="X69" s="257"/>
      <c r="Y69" s="257"/>
      <c r="Z69" s="257"/>
    </row>
    <row r="70" spans="1:26" ht="21" customHeight="1">
      <c r="A70" s="257"/>
      <c r="B70" s="259" t="s">
        <v>198</v>
      </c>
      <c r="C70" s="273">
        <v>266952</v>
      </c>
      <c r="D70" s="274">
        <v>1.1293</v>
      </c>
      <c r="E70" s="273">
        <v>94002</v>
      </c>
      <c r="F70" s="273">
        <v>172950</v>
      </c>
      <c r="G70" s="273">
        <v>1479</v>
      </c>
      <c r="H70" s="273">
        <v>5621</v>
      </c>
      <c r="I70" s="275">
        <v>71.010000000000005</v>
      </c>
      <c r="J70" s="275">
        <v>31.53</v>
      </c>
      <c r="K70" s="257"/>
      <c r="L70" s="257"/>
      <c r="M70" s="257"/>
      <c r="N70" s="257"/>
      <c r="O70" s="257"/>
      <c r="P70" s="257"/>
      <c r="Q70" s="257"/>
      <c r="R70" s="257"/>
      <c r="S70" s="257"/>
      <c r="T70" s="257"/>
      <c r="U70" s="257"/>
      <c r="V70" s="257"/>
      <c r="W70" s="257"/>
      <c r="X70" s="257"/>
      <c r="Y70" s="257"/>
      <c r="Z70" s="257"/>
    </row>
    <row r="71" spans="1:26" ht="21" customHeight="1">
      <c r="A71" s="257"/>
      <c r="B71" s="257"/>
      <c r="C71" s="257"/>
      <c r="D71" s="257"/>
      <c r="E71" s="257"/>
      <c r="F71" s="257"/>
      <c r="G71" s="257"/>
      <c r="H71" s="257"/>
      <c r="I71" s="257"/>
      <c r="J71" s="257"/>
      <c r="K71" s="257"/>
      <c r="L71" s="257"/>
      <c r="M71" s="257"/>
      <c r="N71" s="257"/>
      <c r="O71" s="257"/>
      <c r="P71" s="257"/>
      <c r="Q71" s="257"/>
      <c r="R71" s="257"/>
      <c r="S71" s="257"/>
      <c r="T71" s="257"/>
      <c r="U71" s="257"/>
      <c r="V71" s="257"/>
      <c r="W71" s="257"/>
      <c r="X71" s="257"/>
      <c r="Y71" s="257"/>
      <c r="Z71" s="257"/>
    </row>
    <row r="72" spans="1:26" ht="21" customHeight="1">
      <c r="A72" s="257"/>
      <c r="B72" s="271" t="s">
        <v>33</v>
      </c>
      <c r="C72" s="264" t="s">
        <v>148</v>
      </c>
      <c r="D72" s="264" t="s">
        <v>186</v>
      </c>
      <c r="E72" s="264" t="s">
        <v>187</v>
      </c>
      <c r="F72" s="264" t="s">
        <v>188</v>
      </c>
      <c r="G72" s="264" t="s">
        <v>189</v>
      </c>
      <c r="H72" s="264" t="s">
        <v>190</v>
      </c>
      <c r="I72" s="264" t="s">
        <v>191</v>
      </c>
      <c r="J72" s="264" t="s">
        <v>192</v>
      </c>
      <c r="K72" s="257"/>
      <c r="L72" s="257"/>
      <c r="M72" s="257"/>
      <c r="N72" s="257"/>
      <c r="O72" s="257"/>
      <c r="P72" s="257"/>
      <c r="Q72" s="257"/>
      <c r="R72" s="257"/>
      <c r="S72" s="257"/>
      <c r="T72" s="257"/>
      <c r="U72" s="257"/>
      <c r="V72" s="257"/>
      <c r="W72" s="257"/>
      <c r="X72" s="257"/>
      <c r="Y72" s="257"/>
      <c r="Z72" s="257"/>
    </row>
    <row r="73" spans="1:26" ht="21" customHeight="1">
      <c r="A73" s="257"/>
      <c r="B73" s="259" t="s">
        <v>179</v>
      </c>
      <c r="C73" s="272">
        <v>238610</v>
      </c>
      <c r="D73" s="261">
        <v>0.96819999999999995</v>
      </c>
      <c r="E73" s="272">
        <v>78467</v>
      </c>
      <c r="F73" s="272">
        <v>160143</v>
      </c>
      <c r="G73" s="272">
        <v>1175</v>
      </c>
      <c r="H73" s="272">
        <v>4783</v>
      </c>
      <c r="I73" s="259">
        <v>67</v>
      </c>
      <c r="J73" s="259">
        <v>33.67</v>
      </c>
      <c r="K73" s="257"/>
      <c r="L73" s="257"/>
      <c r="M73" s="257"/>
      <c r="N73" s="257"/>
      <c r="O73" s="257"/>
      <c r="P73" s="257"/>
      <c r="Q73" s="257"/>
      <c r="R73" s="257"/>
      <c r="S73" s="257"/>
      <c r="T73" s="257"/>
      <c r="U73" s="257"/>
      <c r="V73" s="257"/>
      <c r="W73" s="257"/>
      <c r="X73" s="257"/>
      <c r="Y73" s="257"/>
      <c r="Z73" s="257"/>
    </row>
    <row r="74" spans="1:26" ht="21" customHeight="1">
      <c r="A74" s="257"/>
      <c r="B74" s="259" t="s">
        <v>180</v>
      </c>
      <c r="C74" s="272">
        <v>232011</v>
      </c>
      <c r="D74" s="261">
        <v>0.9415</v>
      </c>
      <c r="E74" s="272">
        <v>87338</v>
      </c>
      <c r="F74" s="272">
        <v>144674</v>
      </c>
      <c r="G74" s="272">
        <v>1195</v>
      </c>
      <c r="H74" s="272">
        <v>7723</v>
      </c>
      <c r="I74" s="259">
        <v>73.75</v>
      </c>
      <c r="J74" s="259">
        <v>19.25</v>
      </c>
      <c r="K74" s="257"/>
      <c r="L74" s="257"/>
      <c r="M74" s="257"/>
      <c r="N74" s="257"/>
      <c r="O74" s="257"/>
      <c r="P74" s="257"/>
      <c r="Q74" s="257"/>
      <c r="R74" s="257"/>
      <c r="S74" s="257"/>
      <c r="T74" s="257"/>
      <c r="U74" s="257"/>
      <c r="V74" s="257"/>
      <c r="W74" s="257"/>
      <c r="X74" s="257"/>
      <c r="Y74" s="257"/>
      <c r="Z74" s="257"/>
    </row>
    <row r="75" spans="1:26" ht="21" customHeight="1">
      <c r="A75" s="257"/>
      <c r="B75" s="259" t="s">
        <v>181</v>
      </c>
      <c r="C75" s="272">
        <v>320767</v>
      </c>
      <c r="D75" s="261">
        <v>1.3016000000000001</v>
      </c>
      <c r="E75" s="272">
        <v>97796</v>
      </c>
      <c r="F75" s="272">
        <v>222971</v>
      </c>
      <c r="G75" s="272">
        <v>1177</v>
      </c>
      <c r="H75" s="272">
        <v>6330</v>
      </c>
      <c r="I75" s="259">
        <v>82.6</v>
      </c>
      <c r="J75" s="259">
        <v>34.200000000000003</v>
      </c>
      <c r="K75" s="257"/>
      <c r="L75" s="257"/>
      <c r="M75" s="257"/>
      <c r="N75" s="257"/>
      <c r="O75" s="257"/>
      <c r="P75" s="257"/>
      <c r="Q75" s="257"/>
      <c r="R75" s="257"/>
      <c r="S75" s="257"/>
      <c r="T75" s="257"/>
      <c r="U75" s="257"/>
      <c r="V75" s="257"/>
      <c r="W75" s="257"/>
      <c r="X75" s="257"/>
      <c r="Y75" s="257"/>
      <c r="Z75" s="257"/>
    </row>
    <row r="76" spans="1:26" ht="21" customHeight="1">
      <c r="A76" s="257"/>
      <c r="B76" s="259" t="s">
        <v>182</v>
      </c>
      <c r="C76" s="272">
        <v>220418</v>
      </c>
      <c r="D76" s="261">
        <v>0.89439999999999997</v>
      </c>
      <c r="E76" s="272">
        <v>101310</v>
      </c>
      <c r="F76" s="272">
        <v>119108</v>
      </c>
      <c r="G76" s="272">
        <v>1283</v>
      </c>
      <c r="H76" s="272">
        <v>5355</v>
      </c>
      <c r="I76" s="259">
        <v>78.8</v>
      </c>
      <c r="J76" s="259">
        <v>20.6</v>
      </c>
      <c r="K76" s="257"/>
      <c r="L76" s="257"/>
      <c r="M76" s="257"/>
      <c r="N76" s="257"/>
      <c r="O76" s="257"/>
      <c r="P76" s="257"/>
      <c r="Q76" s="257"/>
      <c r="R76" s="257"/>
      <c r="S76" s="257"/>
      <c r="T76" s="257"/>
      <c r="U76" s="257"/>
      <c r="V76" s="257"/>
      <c r="W76" s="257"/>
      <c r="X76" s="257"/>
      <c r="Y76" s="257"/>
      <c r="Z76" s="257"/>
    </row>
    <row r="77" spans="1:26" ht="21" customHeight="1">
      <c r="A77" s="257"/>
      <c r="B77" s="259" t="s">
        <v>183</v>
      </c>
      <c r="C77" s="272">
        <v>350013</v>
      </c>
      <c r="D77" s="261">
        <v>1.4202999999999999</v>
      </c>
      <c r="E77" s="272">
        <v>98800</v>
      </c>
      <c r="F77" s="272">
        <v>251213</v>
      </c>
      <c r="G77" s="272">
        <v>1188</v>
      </c>
      <c r="H77" s="272">
        <v>5833</v>
      </c>
      <c r="I77" s="259">
        <v>83.25</v>
      </c>
      <c r="J77" s="259">
        <v>43.25</v>
      </c>
      <c r="K77" s="257"/>
      <c r="L77" s="257"/>
      <c r="M77" s="257"/>
      <c r="N77" s="257"/>
      <c r="O77" s="257"/>
      <c r="P77" s="257"/>
      <c r="Q77" s="257"/>
      <c r="R77" s="257"/>
      <c r="S77" s="257"/>
      <c r="T77" s="257"/>
      <c r="U77" s="257"/>
      <c r="V77" s="257"/>
      <c r="W77" s="257"/>
      <c r="X77" s="257"/>
      <c r="Y77" s="257"/>
      <c r="Z77" s="257"/>
    </row>
    <row r="78" spans="1:26" ht="21" customHeight="1">
      <c r="A78" s="257"/>
      <c r="B78" s="259" t="s">
        <v>184</v>
      </c>
      <c r="C78" s="272">
        <v>138387</v>
      </c>
      <c r="D78" s="261">
        <v>0.5615</v>
      </c>
      <c r="E78" s="272">
        <v>38933</v>
      </c>
      <c r="F78" s="272">
        <v>99453</v>
      </c>
      <c r="G78" s="272">
        <v>1347</v>
      </c>
      <c r="H78" s="272">
        <v>4630</v>
      </c>
      <c r="I78" s="259">
        <v>29.33</v>
      </c>
      <c r="J78" s="259">
        <v>21</v>
      </c>
      <c r="K78" s="257"/>
      <c r="L78" s="257"/>
      <c r="M78" s="257"/>
      <c r="N78" s="257"/>
      <c r="O78" s="257"/>
      <c r="P78" s="257"/>
      <c r="Q78" s="257"/>
      <c r="R78" s="257"/>
      <c r="S78" s="257"/>
      <c r="T78" s="257"/>
      <c r="U78" s="257"/>
      <c r="V78" s="257"/>
      <c r="W78" s="257"/>
      <c r="X78" s="257"/>
      <c r="Y78" s="257"/>
      <c r="Z78" s="257"/>
    </row>
    <row r="79" spans="1:26" ht="21" customHeight="1">
      <c r="A79" s="257"/>
      <c r="B79" s="259" t="s">
        <v>157</v>
      </c>
      <c r="C79" s="272">
        <v>0</v>
      </c>
      <c r="D79" s="261">
        <v>0</v>
      </c>
      <c r="E79" s="272">
        <v>0</v>
      </c>
      <c r="F79" s="272">
        <v>0</v>
      </c>
      <c r="G79" s="272">
        <v>0</v>
      </c>
      <c r="H79" s="272">
        <v>0</v>
      </c>
      <c r="I79" s="259">
        <v>0</v>
      </c>
      <c r="J79" s="259">
        <v>0</v>
      </c>
      <c r="K79" s="257"/>
      <c r="L79" s="257"/>
      <c r="M79" s="257"/>
      <c r="N79" s="257"/>
      <c r="O79" s="257"/>
      <c r="P79" s="257"/>
      <c r="Q79" s="257"/>
      <c r="R79" s="257"/>
      <c r="S79" s="257"/>
      <c r="T79" s="257"/>
      <c r="U79" s="257"/>
      <c r="V79" s="257"/>
      <c r="W79" s="257"/>
      <c r="X79" s="257"/>
      <c r="Y79" s="257"/>
      <c r="Z79" s="257"/>
    </row>
    <row r="80" spans="1:26" ht="21" customHeight="1">
      <c r="A80" s="257"/>
      <c r="B80" s="259" t="s">
        <v>199</v>
      </c>
      <c r="C80" s="273">
        <v>250034</v>
      </c>
      <c r="D80" s="274">
        <v>1.0145999999999999</v>
      </c>
      <c r="E80" s="273">
        <v>83774</v>
      </c>
      <c r="F80" s="273">
        <v>166260</v>
      </c>
      <c r="G80" s="273">
        <v>1228</v>
      </c>
      <c r="H80" s="273">
        <v>5776</v>
      </c>
      <c r="I80" s="275">
        <v>69.12</v>
      </c>
      <c r="J80" s="275">
        <v>28.66</v>
      </c>
      <c r="K80" s="257"/>
      <c r="L80" s="257"/>
      <c r="M80" s="257"/>
      <c r="N80" s="257"/>
      <c r="O80" s="257"/>
      <c r="P80" s="257"/>
      <c r="Q80" s="257"/>
      <c r="R80" s="257"/>
      <c r="S80" s="257"/>
      <c r="T80" s="257"/>
      <c r="U80" s="257"/>
      <c r="V80" s="257"/>
      <c r="W80" s="257"/>
      <c r="X80" s="257"/>
      <c r="Y80" s="257"/>
      <c r="Z80" s="257"/>
    </row>
    <row r="81" spans="1:26" ht="21" customHeight="1">
      <c r="A81" s="257"/>
      <c r="B81" s="257"/>
      <c r="C81" s="257"/>
      <c r="D81" s="257"/>
      <c r="E81" s="257"/>
      <c r="F81" s="257"/>
      <c r="G81" s="257"/>
      <c r="H81" s="257"/>
      <c r="I81" s="257"/>
      <c r="J81" s="257"/>
      <c r="K81" s="257"/>
      <c r="L81" s="257"/>
      <c r="M81" s="257"/>
      <c r="N81" s="257"/>
      <c r="O81" s="257"/>
      <c r="P81" s="257"/>
      <c r="Q81" s="257"/>
      <c r="R81" s="257"/>
      <c r="S81" s="257"/>
      <c r="T81" s="257"/>
      <c r="U81" s="257"/>
      <c r="V81" s="257"/>
      <c r="W81" s="257"/>
      <c r="X81" s="257"/>
      <c r="Y81" s="257"/>
      <c r="Z81" s="257"/>
    </row>
    <row r="82" spans="1:26" ht="21" customHeight="1">
      <c r="A82" s="257"/>
      <c r="B82" s="271" t="s">
        <v>57</v>
      </c>
      <c r="C82" s="264" t="s">
        <v>148</v>
      </c>
      <c r="D82" s="264" t="s">
        <v>186</v>
      </c>
      <c r="E82" s="264" t="s">
        <v>187</v>
      </c>
      <c r="F82" s="264" t="s">
        <v>188</v>
      </c>
      <c r="G82" s="264" t="s">
        <v>189</v>
      </c>
      <c r="H82" s="264" t="s">
        <v>190</v>
      </c>
      <c r="I82" s="264" t="s">
        <v>191</v>
      </c>
      <c r="J82" s="264" t="s">
        <v>192</v>
      </c>
      <c r="K82" s="257"/>
      <c r="L82" s="257"/>
      <c r="M82" s="257"/>
      <c r="N82" s="257"/>
      <c r="O82" s="257"/>
      <c r="P82" s="257"/>
      <c r="Q82" s="257"/>
      <c r="R82" s="257"/>
      <c r="S82" s="257"/>
      <c r="T82" s="257"/>
      <c r="U82" s="257"/>
      <c r="V82" s="257"/>
      <c r="W82" s="257"/>
      <c r="X82" s="257"/>
      <c r="Y82" s="257"/>
      <c r="Z82" s="257"/>
    </row>
    <row r="83" spans="1:26" ht="21" customHeight="1">
      <c r="A83" s="257"/>
      <c r="B83" s="259" t="s">
        <v>179</v>
      </c>
      <c r="C83" s="272">
        <v>192255</v>
      </c>
      <c r="D83" s="261">
        <v>0.97519999999999996</v>
      </c>
      <c r="E83" s="272">
        <v>87488</v>
      </c>
      <c r="F83" s="272">
        <v>104768</v>
      </c>
      <c r="G83" s="272">
        <v>1181</v>
      </c>
      <c r="H83" s="272">
        <v>3966</v>
      </c>
      <c r="I83" s="259">
        <v>74.25</v>
      </c>
      <c r="J83" s="259">
        <v>22.5</v>
      </c>
      <c r="K83" s="257"/>
      <c r="L83" s="257"/>
      <c r="M83" s="257"/>
      <c r="N83" s="257"/>
      <c r="O83" s="257"/>
      <c r="P83" s="257"/>
      <c r="Q83" s="257"/>
      <c r="R83" s="257"/>
      <c r="S83" s="257"/>
      <c r="T83" s="257"/>
      <c r="U83" s="257"/>
      <c r="V83" s="257"/>
      <c r="W83" s="257"/>
      <c r="X83" s="257"/>
      <c r="Y83" s="257"/>
      <c r="Z83" s="257"/>
    </row>
    <row r="84" spans="1:26" ht="21" customHeight="1">
      <c r="A84" s="257"/>
      <c r="B84" s="259" t="s">
        <v>180</v>
      </c>
      <c r="C84" s="272">
        <v>204713</v>
      </c>
      <c r="D84" s="261">
        <v>1.0384</v>
      </c>
      <c r="E84" s="272">
        <v>83488</v>
      </c>
      <c r="F84" s="272">
        <v>121225</v>
      </c>
      <c r="G84" s="272">
        <v>1207</v>
      </c>
      <c r="H84" s="272">
        <v>5407</v>
      </c>
      <c r="I84" s="259">
        <v>68.75</v>
      </c>
      <c r="J84" s="259">
        <v>20.5</v>
      </c>
      <c r="K84" s="257"/>
      <c r="L84" s="257"/>
      <c r="M84" s="257"/>
      <c r="N84" s="257"/>
      <c r="O84" s="257"/>
      <c r="P84" s="257"/>
      <c r="Q84" s="257"/>
      <c r="R84" s="257"/>
      <c r="S84" s="257"/>
      <c r="T84" s="257"/>
      <c r="U84" s="257"/>
      <c r="V84" s="257"/>
      <c r="W84" s="257"/>
      <c r="X84" s="257"/>
      <c r="Y84" s="257"/>
      <c r="Z84" s="257"/>
    </row>
    <row r="85" spans="1:26" ht="21" customHeight="1">
      <c r="A85" s="257"/>
      <c r="B85" s="259" t="s">
        <v>181</v>
      </c>
      <c r="C85" s="272">
        <v>308408</v>
      </c>
      <c r="D85" s="261">
        <v>1.5643</v>
      </c>
      <c r="E85" s="272">
        <v>101950</v>
      </c>
      <c r="F85" s="272">
        <v>206458</v>
      </c>
      <c r="G85" s="272">
        <v>1197</v>
      </c>
      <c r="H85" s="272">
        <v>5331</v>
      </c>
      <c r="I85" s="259">
        <v>85</v>
      </c>
      <c r="J85" s="259">
        <v>38.75</v>
      </c>
      <c r="K85" s="257"/>
      <c r="L85" s="257"/>
      <c r="M85" s="257"/>
      <c r="N85" s="257"/>
      <c r="O85" s="257"/>
      <c r="P85" s="257"/>
      <c r="Q85" s="257"/>
      <c r="R85" s="257"/>
      <c r="S85" s="257"/>
      <c r="T85" s="257"/>
      <c r="U85" s="257"/>
      <c r="V85" s="257"/>
      <c r="W85" s="257"/>
      <c r="X85" s="257"/>
      <c r="Y85" s="257"/>
      <c r="Z85" s="257"/>
    </row>
    <row r="86" spans="1:26" ht="21" customHeight="1">
      <c r="A86" s="257"/>
      <c r="B86" s="259" t="s">
        <v>182</v>
      </c>
      <c r="C86" s="272">
        <v>279470</v>
      </c>
      <c r="D86" s="261">
        <v>1.4175</v>
      </c>
      <c r="E86" s="272">
        <v>106575</v>
      </c>
      <c r="F86" s="272">
        <v>172895</v>
      </c>
      <c r="G86" s="272">
        <v>1290</v>
      </c>
      <c r="H86" s="272">
        <v>6475</v>
      </c>
      <c r="I86" s="259">
        <v>83</v>
      </c>
      <c r="J86" s="259">
        <v>27.25</v>
      </c>
      <c r="K86" s="257"/>
      <c r="L86" s="257"/>
      <c r="M86" s="257"/>
      <c r="N86" s="257"/>
      <c r="O86" s="257"/>
      <c r="P86" s="257"/>
      <c r="Q86" s="257"/>
      <c r="R86" s="257"/>
      <c r="S86" s="257"/>
      <c r="T86" s="257"/>
      <c r="U86" s="257"/>
      <c r="V86" s="257"/>
      <c r="W86" s="257"/>
      <c r="X86" s="257"/>
      <c r="Y86" s="257"/>
      <c r="Z86" s="257"/>
    </row>
    <row r="87" spans="1:26" ht="21" customHeight="1">
      <c r="A87" s="257"/>
      <c r="B87" s="259" t="s">
        <v>183</v>
      </c>
      <c r="C87" s="272">
        <v>322748</v>
      </c>
      <c r="D87" s="261">
        <v>1.6371</v>
      </c>
      <c r="E87" s="272">
        <v>101988</v>
      </c>
      <c r="F87" s="272">
        <v>220760</v>
      </c>
      <c r="G87" s="272">
        <v>1152</v>
      </c>
      <c r="H87" s="272">
        <v>6221</v>
      </c>
      <c r="I87" s="259">
        <v>88.5</v>
      </c>
      <c r="J87" s="259">
        <v>35.25</v>
      </c>
      <c r="K87" s="257"/>
      <c r="L87" s="257"/>
      <c r="M87" s="257"/>
      <c r="N87" s="257"/>
      <c r="O87" s="257"/>
      <c r="P87" s="257"/>
      <c r="Q87" s="257"/>
      <c r="R87" s="257"/>
      <c r="S87" s="257"/>
      <c r="T87" s="257"/>
      <c r="U87" s="257"/>
      <c r="V87" s="257"/>
      <c r="W87" s="257"/>
      <c r="X87" s="257"/>
      <c r="Y87" s="257"/>
      <c r="Z87" s="257"/>
    </row>
    <row r="88" spans="1:26" ht="21" customHeight="1">
      <c r="A88" s="257"/>
      <c r="B88" s="259" t="s">
        <v>184</v>
      </c>
      <c r="C88" s="272">
        <v>135516</v>
      </c>
      <c r="D88" s="261">
        <v>0.68740000000000001</v>
      </c>
      <c r="E88" s="272">
        <v>29260</v>
      </c>
      <c r="F88" s="272">
        <v>106256</v>
      </c>
      <c r="G88" s="272">
        <v>1290</v>
      </c>
      <c r="H88" s="272">
        <v>5199</v>
      </c>
      <c r="I88" s="259">
        <v>22.8</v>
      </c>
      <c r="J88" s="259">
        <v>20.2</v>
      </c>
      <c r="K88" s="257"/>
      <c r="L88" s="257"/>
      <c r="M88" s="257"/>
      <c r="N88" s="257"/>
      <c r="O88" s="257"/>
      <c r="P88" s="257"/>
      <c r="Q88" s="257"/>
      <c r="R88" s="257"/>
      <c r="S88" s="257"/>
      <c r="T88" s="257"/>
      <c r="U88" s="257"/>
      <c r="V88" s="257"/>
      <c r="W88" s="257"/>
      <c r="X88" s="257"/>
      <c r="Y88" s="257"/>
      <c r="Z88" s="257"/>
    </row>
    <row r="89" spans="1:26" ht="21" customHeight="1">
      <c r="A89" s="257"/>
      <c r="B89" s="259" t="s">
        <v>157</v>
      </c>
      <c r="C89" s="272">
        <v>0</v>
      </c>
      <c r="D89" s="261">
        <v>0</v>
      </c>
      <c r="E89" s="272">
        <v>0</v>
      </c>
      <c r="F89" s="272">
        <v>0</v>
      </c>
      <c r="G89" s="272">
        <v>0</v>
      </c>
      <c r="H89" s="272">
        <v>0</v>
      </c>
      <c r="I89" s="259">
        <v>0</v>
      </c>
      <c r="J89" s="259">
        <v>0</v>
      </c>
      <c r="K89" s="257"/>
      <c r="L89" s="257"/>
      <c r="M89" s="257"/>
      <c r="N89" s="257"/>
      <c r="O89" s="257"/>
      <c r="P89" s="257"/>
      <c r="Q89" s="257"/>
      <c r="R89" s="257"/>
      <c r="S89" s="257"/>
      <c r="T89" s="257"/>
      <c r="U89" s="257"/>
      <c r="V89" s="257"/>
      <c r="W89" s="257"/>
      <c r="X89" s="257"/>
      <c r="Y89" s="257"/>
      <c r="Z89" s="257"/>
    </row>
    <row r="90" spans="1:26" ht="21" customHeight="1">
      <c r="A90" s="257"/>
      <c r="B90" s="259" t="s">
        <v>200</v>
      </c>
      <c r="C90" s="273">
        <v>240518</v>
      </c>
      <c r="D90" s="274">
        <v>1.22</v>
      </c>
      <c r="E90" s="273">
        <v>85125</v>
      </c>
      <c r="F90" s="273">
        <v>155394</v>
      </c>
      <c r="G90" s="273">
        <v>1219</v>
      </c>
      <c r="H90" s="273">
        <v>5433</v>
      </c>
      <c r="I90" s="275">
        <v>70.38</v>
      </c>
      <c r="J90" s="275">
        <v>27.41</v>
      </c>
      <c r="K90" s="257"/>
      <c r="L90" s="257"/>
      <c r="M90" s="257"/>
      <c r="N90" s="257"/>
      <c r="O90" s="257"/>
      <c r="P90" s="257"/>
      <c r="Q90" s="257"/>
      <c r="R90" s="257"/>
      <c r="S90" s="257"/>
      <c r="T90" s="257"/>
      <c r="U90" s="257"/>
      <c r="V90" s="257"/>
      <c r="W90" s="257"/>
      <c r="X90" s="257"/>
      <c r="Y90" s="257"/>
      <c r="Z90" s="257"/>
    </row>
    <row r="91" spans="1:26" ht="21" customHeight="1">
      <c r="A91" s="257"/>
      <c r="B91" s="257"/>
      <c r="C91" s="257"/>
      <c r="D91" s="257"/>
      <c r="E91" s="257"/>
      <c r="F91" s="257"/>
      <c r="G91" s="257"/>
      <c r="H91" s="257"/>
      <c r="I91" s="257"/>
      <c r="J91" s="257"/>
      <c r="K91" s="257"/>
      <c r="L91" s="257"/>
      <c r="M91" s="257"/>
      <c r="N91" s="257"/>
      <c r="O91" s="257"/>
      <c r="P91" s="257"/>
      <c r="Q91" s="257"/>
      <c r="R91" s="257"/>
      <c r="S91" s="257"/>
      <c r="T91" s="257"/>
      <c r="U91" s="257"/>
      <c r="V91" s="257"/>
      <c r="W91" s="257"/>
      <c r="X91" s="257"/>
      <c r="Y91" s="257"/>
      <c r="Z91" s="257"/>
    </row>
    <row r="92" spans="1:26" ht="21" customHeight="1">
      <c r="A92" s="257"/>
      <c r="B92" s="271" t="s">
        <v>58</v>
      </c>
      <c r="C92" s="264" t="s">
        <v>148</v>
      </c>
      <c r="D92" s="264" t="s">
        <v>186</v>
      </c>
      <c r="E92" s="264" t="s">
        <v>187</v>
      </c>
      <c r="F92" s="264" t="s">
        <v>188</v>
      </c>
      <c r="G92" s="264" t="s">
        <v>189</v>
      </c>
      <c r="H92" s="264" t="s">
        <v>190</v>
      </c>
      <c r="I92" s="264" t="s">
        <v>191</v>
      </c>
      <c r="J92" s="264" t="s">
        <v>192</v>
      </c>
      <c r="K92" s="257"/>
      <c r="L92" s="257"/>
      <c r="M92" s="257"/>
      <c r="N92" s="257"/>
      <c r="O92" s="257"/>
      <c r="P92" s="257"/>
      <c r="Q92" s="257"/>
      <c r="R92" s="257"/>
      <c r="S92" s="257"/>
      <c r="T92" s="257"/>
      <c r="U92" s="257"/>
      <c r="V92" s="257"/>
      <c r="W92" s="257"/>
      <c r="X92" s="257"/>
      <c r="Y92" s="257"/>
      <c r="Z92" s="257"/>
    </row>
    <row r="93" spans="1:26" ht="21" customHeight="1">
      <c r="A93" s="257"/>
      <c r="B93" s="259" t="s">
        <v>179</v>
      </c>
      <c r="C93" s="272">
        <v>247005</v>
      </c>
      <c r="D93" s="261">
        <v>1.2528999999999999</v>
      </c>
      <c r="E93" s="272">
        <v>82375</v>
      </c>
      <c r="F93" s="272">
        <v>164630</v>
      </c>
      <c r="G93" s="272">
        <v>1175</v>
      </c>
      <c r="H93" s="272">
        <v>6747</v>
      </c>
      <c r="I93" s="259">
        <v>70</v>
      </c>
      <c r="J93" s="259">
        <v>25</v>
      </c>
      <c r="K93" s="257"/>
      <c r="L93" s="257"/>
      <c r="M93" s="257"/>
      <c r="N93" s="257"/>
      <c r="O93" s="257"/>
      <c r="P93" s="257"/>
      <c r="Q93" s="257"/>
      <c r="R93" s="257"/>
      <c r="S93" s="257"/>
      <c r="T93" s="257"/>
      <c r="U93" s="257"/>
      <c r="V93" s="257"/>
      <c r="W93" s="257"/>
      <c r="X93" s="257"/>
      <c r="Y93" s="257"/>
      <c r="Z93" s="257"/>
    </row>
    <row r="94" spans="1:26" ht="21" customHeight="1">
      <c r="A94" s="257"/>
      <c r="B94" s="259" t="s">
        <v>180</v>
      </c>
      <c r="C94" s="272">
        <v>186148</v>
      </c>
      <c r="D94" s="261">
        <v>0.94420000000000004</v>
      </c>
      <c r="E94" s="272">
        <v>85610</v>
      </c>
      <c r="F94" s="272">
        <v>100538</v>
      </c>
      <c r="G94" s="272">
        <v>1146</v>
      </c>
      <c r="H94" s="272">
        <v>6174</v>
      </c>
      <c r="I94" s="259">
        <v>74.599999999999994</v>
      </c>
      <c r="J94" s="259">
        <v>17.8</v>
      </c>
      <c r="K94" s="257"/>
      <c r="L94" s="257"/>
      <c r="M94" s="257"/>
      <c r="N94" s="257"/>
      <c r="O94" s="257"/>
      <c r="P94" s="257"/>
      <c r="Q94" s="257"/>
      <c r="R94" s="257"/>
      <c r="S94" s="257"/>
      <c r="T94" s="257"/>
      <c r="U94" s="257"/>
      <c r="V94" s="257"/>
      <c r="W94" s="257"/>
      <c r="X94" s="257"/>
      <c r="Y94" s="257"/>
      <c r="Z94" s="257"/>
    </row>
    <row r="95" spans="1:26" ht="21" customHeight="1">
      <c r="A95" s="257"/>
      <c r="B95" s="259" t="s">
        <v>181</v>
      </c>
      <c r="C95" s="272">
        <v>269772</v>
      </c>
      <c r="D95" s="261">
        <v>1.3684000000000001</v>
      </c>
      <c r="E95" s="272">
        <v>88530</v>
      </c>
      <c r="F95" s="272">
        <v>181242</v>
      </c>
      <c r="G95" s="272">
        <v>1269</v>
      </c>
      <c r="H95" s="272">
        <v>6091</v>
      </c>
      <c r="I95" s="259">
        <v>69.8</v>
      </c>
      <c r="J95" s="259">
        <v>30.6</v>
      </c>
      <c r="K95" s="257"/>
      <c r="L95" s="257"/>
      <c r="M95" s="257"/>
      <c r="N95" s="257"/>
      <c r="O95" s="257"/>
      <c r="P95" s="257"/>
      <c r="Q95" s="257"/>
      <c r="R95" s="257"/>
      <c r="S95" s="257"/>
      <c r="T95" s="257"/>
      <c r="U95" s="257"/>
      <c r="V95" s="257"/>
      <c r="W95" s="257"/>
      <c r="X95" s="257"/>
      <c r="Y95" s="257"/>
      <c r="Z95" s="257"/>
    </row>
    <row r="96" spans="1:26" ht="21" customHeight="1">
      <c r="A96" s="257"/>
      <c r="B96" s="259" t="s">
        <v>182</v>
      </c>
      <c r="C96" s="272">
        <v>302283</v>
      </c>
      <c r="D96" s="261">
        <v>1.5333000000000001</v>
      </c>
      <c r="E96" s="272">
        <v>93963</v>
      </c>
      <c r="F96" s="272">
        <v>208320</v>
      </c>
      <c r="G96" s="272">
        <v>1176</v>
      </c>
      <c r="H96" s="272">
        <v>6445</v>
      </c>
      <c r="I96" s="259">
        <v>80</v>
      </c>
      <c r="J96" s="259">
        <v>31.25</v>
      </c>
      <c r="K96" s="257"/>
      <c r="L96" s="257"/>
      <c r="M96" s="257"/>
      <c r="N96" s="257"/>
      <c r="O96" s="257"/>
      <c r="P96" s="257"/>
      <c r="Q96" s="257"/>
      <c r="R96" s="257"/>
      <c r="S96" s="257"/>
      <c r="T96" s="257"/>
      <c r="U96" s="257"/>
      <c r="V96" s="257"/>
      <c r="W96" s="257"/>
      <c r="X96" s="257"/>
      <c r="Y96" s="257"/>
      <c r="Z96" s="257"/>
    </row>
    <row r="97" spans="1:26" ht="21" customHeight="1">
      <c r="A97" s="257"/>
      <c r="B97" s="259" t="s">
        <v>183</v>
      </c>
      <c r="C97" s="272">
        <v>362763</v>
      </c>
      <c r="D97" s="261">
        <v>1.84</v>
      </c>
      <c r="E97" s="272">
        <v>94463</v>
      </c>
      <c r="F97" s="272">
        <v>268300</v>
      </c>
      <c r="G97" s="272">
        <v>1236</v>
      </c>
      <c r="H97" s="272">
        <v>6201</v>
      </c>
      <c r="I97" s="259">
        <v>76.5</v>
      </c>
      <c r="J97" s="259">
        <v>43.25</v>
      </c>
      <c r="K97" s="257"/>
      <c r="L97" s="257"/>
      <c r="M97" s="257"/>
      <c r="N97" s="257"/>
      <c r="O97" s="257"/>
      <c r="P97" s="257"/>
      <c r="Q97" s="257"/>
      <c r="R97" s="257"/>
      <c r="S97" s="257"/>
      <c r="T97" s="257"/>
      <c r="U97" s="257"/>
      <c r="V97" s="257"/>
      <c r="W97" s="257"/>
      <c r="X97" s="257"/>
      <c r="Y97" s="257"/>
      <c r="Z97" s="257"/>
    </row>
    <row r="98" spans="1:26" ht="21" customHeight="1">
      <c r="A98" s="257"/>
      <c r="B98" s="259" t="s">
        <v>184</v>
      </c>
      <c r="C98" s="272">
        <v>148596</v>
      </c>
      <c r="D98" s="261">
        <v>0.75370000000000004</v>
      </c>
      <c r="E98" s="272">
        <v>35513</v>
      </c>
      <c r="F98" s="272">
        <v>113084</v>
      </c>
      <c r="G98" s="272">
        <v>2019</v>
      </c>
      <c r="H98" s="272">
        <v>5156</v>
      </c>
      <c r="I98" s="259">
        <v>20.75</v>
      </c>
      <c r="J98" s="259">
        <v>21.5</v>
      </c>
      <c r="K98" s="257"/>
      <c r="L98" s="257"/>
      <c r="M98" s="257"/>
      <c r="N98" s="257"/>
      <c r="O98" s="257"/>
      <c r="P98" s="257"/>
      <c r="Q98" s="257"/>
      <c r="R98" s="257"/>
      <c r="S98" s="257"/>
      <c r="T98" s="257"/>
      <c r="U98" s="257"/>
      <c r="V98" s="257"/>
      <c r="W98" s="257"/>
      <c r="X98" s="257"/>
      <c r="Y98" s="257"/>
      <c r="Z98" s="257"/>
    </row>
    <row r="99" spans="1:26" ht="21" customHeight="1">
      <c r="A99" s="257"/>
      <c r="B99" s="259" t="s">
        <v>157</v>
      </c>
      <c r="C99" s="272">
        <v>0</v>
      </c>
      <c r="D99" s="261">
        <v>0</v>
      </c>
      <c r="E99" s="272">
        <v>0</v>
      </c>
      <c r="F99" s="272">
        <v>0</v>
      </c>
      <c r="G99" s="272">
        <v>0</v>
      </c>
      <c r="H99" s="272">
        <v>0</v>
      </c>
      <c r="I99" s="259">
        <v>0</v>
      </c>
      <c r="J99" s="259">
        <v>0</v>
      </c>
      <c r="K99" s="257"/>
      <c r="L99" s="257"/>
      <c r="M99" s="257"/>
      <c r="N99" s="257"/>
      <c r="O99" s="257"/>
      <c r="P99" s="257"/>
      <c r="Q99" s="257"/>
      <c r="R99" s="257"/>
      <c r="S99" s="257"/>
      <c r="T99" s="257"/>
      <c r="U99" s="257"/>
      <c r="V99" s="257"/>
      <c r="W99" s="257"/>
      <c r="X99" s="257"/>
      <c r="Y99" s="257"/>
      <c r="Z99" s="257"/>
    </row>
    <row r="100" spans="1:26" ht="21" customHeight="1">
      <c r="A100" s="257"/>
      <c r="B100" s="259" t="s">
        <v>201</v>
      </c>
      <c r="C100" s="273">
        <v>252761</v>
      </c>
      <c r="D100" s="274">
        <v>1.2821</v>
      </c>
      <c r="E100" s="273">
        <v>80075</v>
      </c>
      <c r="F100" s="273">
        <v>172686</v>
      </c>
      <c r="G100" s="273">
        <v>1337</v>
      </c>
      <c r="H100" s="273">
        <v>6136</v>
      </c>
      <c r="I100" s="275">
        <v>65.28</v>
      </c>
      <c r="J100" s="275">
        <v>28.23</v>
      </c>
      <c r="K100" s="257"/>
      <c r="L100" s="257"/>
      <c r="M100" s="257"/>
      <c r="N100" s="257"/>
      <c r="O100" s="257"/>
      <c r="P100" s="257"/>
      <c r="Q100" s="257"/>
      <c r="R100" s="257"/>
      <c r="S100" s="257"/>
      <c r="T100" s="257"/>
      <c r="U100" s="257"/>
      <c r="V100" s="257"/>
      <c r="W100" s="257"/>
      <c r="X100" s="257"/>
      <c r="Y100" s="257"/>
      <c r="Z100" s="257"/>
    </row>
    <row r="101" spans="1:26" ht="21" customHeight="1">
      <c r="A101" s="257"/>
      <c r="B101" s="257"/>
      <c r="C101" s="257"/>
      <c r="D101" s="257"/>
      <c r="E101" s="257"/>
      <c r="F101" s="257"/>
      <c r="G101" s="257"/>
      <c r="H101" s="257"/>
      <c r="I101" s="257"/>
      <c r="J101" s="257"/>
      <c r="K101" s="257"/>
      <c r="L101" s="257"/>
      <c r="M101" s="257"/>
      <c r="N101" s="257"/>
      <c r="O101" s="257"/>
      <c r="P101" s="257"/>
      <c r="Q101" s="257"/>
      <c r="R101" s="257"/>
      <c r="S101" s="257"/>
      <c r="T101" s="257"/>
      <c r="U101" s="257"/>
      <c r="V101" s="257"/>
      <c r="W101" s="257"/>
      <c r="X101" s="257"/>
      <c r="Y101" s="257"/>
      <c r="Z101" s="257"/>
    </row>
    <row r="102" spans="1:26" ht="21" customHeight="1">
      <c r="A102" s="257"/>
      <c r="B102" s="271" t="s">
        <v>59</v>
      </c>
      <c r="C102" s="264" t="s">
        <v>148</v>
      </c>
      <c r="D102" s="264" t="s">
        <v>186</v>
      </c>
      <c r="E102" s="264" t="s">
        <v>187</v>
      </c>
      <c r="F102" s="264" t="s">
        <v>188</v>
      </c>
      <c r="G102" s="264" t="s">
        <v>189</v>
      </c>
      <c r="H102" s="264" t="s">
        <v>190</v>
      </c>
      <c r="I102" s="264" t="s">
        <v>191</v>
      </c>
      <c r="J102" s="264" t="s">
        <v>192</v>
      </c>
      <c r="K102" s="257"/>
      <c r="L102" s="257"/>
      <c r="M102" s="257"/>
      <c r="N102" s="257"/>
      <c r="O102" s="257"/>
      <c r="P102" s="257"/>
      <c r="Q102" s="257"/>
      <c r="R102" s="257"/>
      <c r="S102" s="257"/>
      <c r="T102" s="257"/>
      <c r="U102" s="257"/>
      <c r="V102" s="257"/>
      <c r="W102" s="257"/>
      <c r="X102" s="257"/>
      <c r="Y102" s="257"/>
      <c r="Z102" s="257"/>
    </row>
    <row r="103" spans="1:26" ht="21" customHeight="1">
      <c r="A103" s="257"/>
      <c r="B103" s="259" t="s">
        <v>179</v>
      </c>
      <c r="C103" s="272">
        <v>187033</v>
      </c>
      <c r="D103" s="261">
        <v>0.75890000000000002</v>
      </c>
      <c r="E103" s="272">
        <v>88750</v>
      </c>
      <c r="F103" s="272">
        <v>98283</v>
      </c>
      <c r="G103" s="272">
        <v>1163</v>
      </c>
      <c r="H103" s="272">
        <v>6249</v>
      </c>
      <c r="I103" s="259">
        <v>76.33</v>
      </c>
      <c r="J103" s="259">
        <v>16.670000000000002</v>
      </c>
      <c r="K103" s="257"/>
      <c r="L103" s="257"/>
      <c r="M103" s="257"/>
      <c r="N103" s="257"/>
      <c r="O103" s="257"/>
      <c r="P103" s="257"/>
      <c r="Q103" s="257"/>
      <c r="R103" s="257"/>
      <c r="S103" s="257"/>
      <c r="T103" s="257"/>
      <c r="U103" s="257"/>
      <c r="V103" s="257"/>
      <c r="W103" s="257"/>
      <c r="X103" s="257"/>
      <c r="Y103" s="257"/>
      <c r="Z103" s="257"/>
    </row>
    <row r="104" spans="1:26" ht="21" customHeight="1">
      <c r="A104" s="257"/>
      <c r="B104" s="259" t="s">
        <v>180</v>
      </c>
      <c r="C104" s="272">
        <v>156850</v>
      </c>
      <c r="D104" s="261">
        <v>0.63649999999999995</v>
      </c>
      <c r="E104" s="272">
        <v>88050</v>
      </c>
      <c r="F104" s="272">
        <v>68800</v>
      </c>
      <c r="G104" s="272">
        <v>1188</v>
      </c>
      <c r="H104" s="272">
        <v>4972</v>
      </c>
      <c r="I104" s="259">
        <v>74.67</v>
      </c>
      <c r="J104" s="259">
        <v>14.33</v>
      </c>
      <c r="K104" s="257"/>
      <c r="L104" s="257"/>
      <c r="M104" s="257"/>
      <c r="N104" s="257"/>
      <c r="O104" s="257"/>
      <c r="P104" s="257"/>
      <c r="Q104" s="257"/>
      <c r="R104" s="257"/>
      <c r="S104" s="257"/>
      <c r="T104" s="257"/>
      <c r="U104" s="257"/>
      <c r="V104" s="257"/>
      <c r="W104" s="257"/>
      <c r="X104" s="257"/>
      <c r="Y104" s="257"/>
      <c r="Z104" s="257"/>
    </row>
    <row r="105" spans="1:26" ht="21" customHeight="1">
      <c r="A105" s="257"/>
      <c r="B105" s="259" t="s">
        <v>181</v>
      </c>
      <c r="C105" s="272">
        <v>294026</v>
      </c>
      <c r="D105" s="261">
        <v>1.1931</v>
      </c>
      <c r="E105" s="272">
        <v>103533</v>
      </c>
      <c r="F105" s="272">
        <v>190493</v>
      </c>
      <c r="G105" s="272">
        <v>1286</v>
      </c>
      <c r="H105" s="272">
        <v>6727</v>
      </c>
      <c r="I105" s="259">
        <v>81.33</v>
      </c>
      <c r="J105" s="259">
        <v>27.67</v>
      </c>
      <c r="K105" s="257"/>
      <c r="L105" s="257"/>
      <c r="M105" s="257"/>
      <c r="N105" s="257"/>
      <c r="O105" s="257"/>
      <c r="P105" s="257"/>
      <c r="Q105" s="257"/>
      <c r="R105" s="257"/>
      <c r="S105" s="257"/>
      <c r="T105" s="257"/>
      <c r="U105" s="257"/>
      <c r="V105" s="257"/>
      <c r="W105" s="257"/>
      <c r="X105" s="257"/>
      <c r="Y105" s="257"/>
      <c r="Z105" s="257"/>
    </row>
    <row r="106" spans="1:26" ht="21" customHeight="1">
      <c r="A106" s="257"/>
      <c r="B106" s="259" t="s">
        <v>182</v>
      </c>
      <c r="C106" s="272">
        <v>205528</v>
      </c>
      <c r="D106" s="261">
        <v>0.83399999999999996</v>
      </c>
      <c r="E106" s="272">
        <v>97500</v>
      </c>
      <c r="F106" s="272">
        <v>108028</v>
      </c>
      <c r="G106" s="272">
        <v>1205</v>
      </c>
      <c r="H106" s="272">
        <v>5343</v>
      </c>
      <c r="I106" s="259">
        <v>81</v>
      </c>
      <c r="J106" s="259">
        <v>18.75</v>
      </c>
      <c r="K106" s="257"/>
      <c r="L106" s="257"/>
      <c r="M106" s="257"/>
      <c r="N106" s="257"/>
      <c r="O106" s="257"/>
      <c r="P106" s="257"/>
      <c r="Q106" s="257"/>
      <c r="R106" s="257"/>
      <c r="S106" s="257"/>
      <c r="T106" s="257"/>
      <c r="U106" s="257"/>
      <c r="V106" s="257"/>
      <c r="W106" s="257"/>
      <c r="X106" s="257"/>
      <c r="Y106" s="257"/>
      <c r="Z106" s="257"/>
    </row>
    <row r="107" spans="1:26" ht="21" customHeight="1">
      <c r="A107" s="257"/>
      <c r="B107" s="259" t="s">
        <v>183</v>
      </c>
      <c r="C107" s="272">
        <v>287530</v>
      </c>
      <c r="D107" s="261">
        <v>1.1667000000000001</v>
      </c>
      <c r="E107" s="272">
        <v>89875</v>
      </c>
      <c r="F107" s="272">
        <v>197655</v>
      </c>
      <c r="G107" s="272">
        <v>1244</v>
      </c>
      <c r="H107" s="272">
        <v>5466</v>
      </c>
      <c r="I107" s="259">
        <v>71.25</v>
      </c>
      <c r="J107" s="259">
        <v>35.5</v>
      </c>
      <c r="K107" s="257"/>
      <c r="L107" s="257"/>
      <c r="M107" s="257"/>
      <c r="N107" s="257"/>
      <c r="O107" s="257"/>
      <c r="P107" s="257"/>
      <c r="Q107" s="257"/>
      <c r="R107" s="257"/>
      <c r="S107" s="257"/>
      <c r="T107" s="257"/>
      <c r="U107" s="257"/>
      <c r="V107" s="257"/>
      <c r="W107" s="257"/>
      <c r="X107" s="257"/>
      <c r="Y107" s="257"/>
      <c r="Z107" s="257"/>
    </row>
    <row r="108" spans="1:26" ht="21" customHeight="1">
      <c r="A108" s="257"/>
      <c r="B108" s="259" t="s">
        <v>184</v>
      </c>
      <c r="C108" s="272">
        <v>125208</v>
      </c>
      <c r="D108" s="261">
        <v>0.5081</v>
      </c>
      <c r="E108" s="272">
        <v>37650</v>
      </c>
      <c r="F108" s="272">
        <v>87558</v>
      </c>
      <c r="G108" s="272">
        <v>1756</v>
      </c>
      <c r="H108" s="272">
        <v>4581</v>
      </c>
      <c r="I108" s="259">
        <v>21.2</v>
      </c>
      <c r="J108" s="259">
        <v>17.8</v>
      </c>
      <c r="K108" s="257"/>
      <c r="L108" s="257"/>
      <c r="M108" s="257"/>
      <c r="N108" s="257"/>
      <c r="O108" s="257"/>
      <c r="P108" s="257"/>
      <c r="Q108" s="257"/>
      <c r="R108" s="257"/>
      <c r="S108" s="257"/>
      <c r="T108" s="257"/>
      <c r="U108" s="257"/>
      <c r="V108" s="257"/>
      <c r="W108" s="257"/>
      <c r="X108" s="257"/>
      <c r="Y108" s="257"/>
      <c r="Z108" s="257"/>
    </row>
    <row r="109" spans="1:26" ht="21" customHeight="1">
      <c r="A109" s="257"/>
      <c r="B109" s="259" t="s">
        <v>157</v>
      </c>
      <c r="C109" s="272">
        <v>0</v>
      </c>
      <c r="D109" s="261">
        <v>0</v>
      </c>
      <c r="E109" s="272">
        <v>0</v>
      </c>
      <c r="F109" s="272">
        <v>0</v>
      </c>
      <c r="G109" s="272">
        <v>0</v>
      </c>
      <c r="H109" s="272">
        <v>0</v>
      </c>
      <c r="I109" s="259">
        <v>0</v>
      </c>
      <c r="J109" s="259">
        <v>0</v>
      </c>
      <c r="K109" s="257"/>
      <c r="L109" s="257"/>
      <c r="M109" s="257"/>
      <c r="N109" s="257"/>
      <c r="O109" s="257"/>
      <c r="P109" s="257"/>
      <c r="Q109" s="257"/>
      <c r="R109" s="257"/>
      <c r="S109" s="257"/>
      <c r="T109" s="257"/>
      <c r="U109" s="257"/>
      <c r="V109" s="257"/>
      <c r="W109" s="257"/>
      <c r="X109" s="257"/>
      <c r="Y109" s="257"/>
      <c r="Z109" s="257"/>
    </row>
    <row r="110" spans="1:26" ht="21" customHeight="1">
      <c r="A110" s="257"/>
      <c r="B110" s="259" t="s">
        <v>202</v>
      </c>
      <c r="C110" s="273">
        <v>209363</v>
      </c>
      <c r="D110" s="274">
        <v>0.84960000000000002</v>
      </c>
      <c r="E110" s="273">
        <v>84226</v>
      </c>
      <c r="F110" s="273">
        <v>125136</v>
      </c>
      <c r="G110" s="273">
        <v>1307</v>
      </c>
      <c r="H110" s="273">
        <v>5556</v>
      </c>
      <c r="I110" s="275">
        <v>67.63</v>
      </c>
      <c r="J110" s="275">
        <v>21.79</v>
      </c>
      <c r="K110" s="257"/>
      <c r="L110" s="257"/>
      <c r="M110" s="257"/>
      <c r="N110" s="257"/>
      <c r="O110" s="257"/>
      <c r="P110" s="257"/>
      <c r="Q110" s="257"/>
      <c r="R110" s="257"/>
      <c r="S110" s="257"/>
      <c r="T110" s="257"/>
      <c r="U110" s="257"/>
      <c r="V110" s="257"/>
      <c r="W110" s="257"/>
      <c r="X110" s="257"/>
      <c r="Y110" s="257"/>
      <c r="Z110" s="257"/>
    </row>
    <row r="111" spans="1:26" ht="21" customHeight="1">
      <c r="A111" s="257"/>
      <c r="B111" s="257"/>
      <c r="C111" s="257"/>
      <c r="D111" s="257"/>
      <c r="E111" s="257"/>
      <c r="F111" s="257"/>
      <c r="G111" s="257"/>
      <c r="H111" s="257"/>
      <c r="I111" s="257"/>
      <c r="J111" s="257"/>
      <c r="K111" s="257"/>
      <c r="L111" s="257"/>
      <c r="M111" s="257"/>
      <c r="N111" s="257"/>
      <c r="O111" s="257"/>
      <c r="P111" s="257"/>
      <c r="Q111" s="257"/>
      <c r="R111" s="257"/>
      <c r="S111" s="257"/>
      <c r="T111" s="257"/>
      <c r="U111" s="257"/>
      <c r="V111" s="257"/>
      <c r="W111" s="257"/>
      <c r="X111" s="257"/>
      <c r="Y111" s="257"/>
      <c r="Z111" s="257"/>
    </row>
    <row r="112" spans="1:26" ht="21" customHeight="1">
      <c r="A112" s="257"/>
      <c r="B112" s="271" t="s">
        <v>60</v>
      </c>
      <c r="C112" s="264" t="s">
        <v>148</v>
      </c>
      <c r="D112" s="264" t="s">
        <v>186</v>
      </c>
      <c r="E112" s="264" t="s">
        <v>187</v>
      </c>
      <c r="F112" s="264" t="s">
        <v>188</v>
      </c>
      <c r="G112" s="264" t="s">
        <v>189</v>
      </c>
      <c r="H112" s="264" t="s">
        <v>190</v>
      </c>
      <c r="I112" s="264" t="s">
        <v>191</v>
      </c>
      <c r="J112" s="264" t="s">
        <v>192</v>
      </c>
      <c r="K112" s="257"/>
      <c r="L112" s="257"/>
      <c r="M112" s="257"/>
      <c r="N112" s="257"/>
      <c r="O112" s="257"/>
      <c r="P112" s="257"/>
      <c r="Q112" s="257"/>
      <c r="R112" s="257"/>
      <c r="S112" s="257"/>
      <c r="T112" s="257"/>
      <c r="U112" s="257"/>
      <c r="V112" s="257"/>
      <c r="W112" s="257"/>
      <c r="X112" s="257"/>
      <c r="Y112" s="257"/>
      <c r="Z112" s="257"/>
    </row>
    <row r="113" spans="1:26" ht="21" customHeight="1">
      <c r="A113" s="257"/>
      <c r="B113" s="259" t="s">
        <v>179</v>
      </c>
      <c r="C113" s="272">
        <v>236500</v>
      </c>
      <c r="D113" s="261">
        <v>0.9597</v>
      </c>
      <c r="E113" s="272">
        <v>106650</v>
      </c>
      <c r="F113" s="272">
        <v>129850</v>
      </c>
      <c r="G113" s="272">
        <v>1177</v>
      </c>
      <c r="H113" s="272">
        <v>7001</v>
      </c>
      <c r="I113" s="259">
        <v>90.67</v>
      </c>
      <c r="J113" s="259">
        <v>18.329999999999998</v>
      </c>
      <c r="K113" s="257"/>
      <c r="L113" s="257"/>
      <c r="M113" s="257"/>
      <c r="N113" s="257"/>
      <c r="O113" s="257"/>
      <c r="P113" s="257"/>
      <c r="Q113" s="257"/>
      <c r="R113" s="257"/>
      <c r="S113" s="257"/>
      <c r="T113" s="257"/>
      <c r="U113" s="257"/>
      <c r="V113" s="257"/>
      <c r="W113" s="257"/>
      <c r="X113" s="257"/>
      <c r="Y113" s="257"/>
      <c r="Z113" s="257"/>
    </row>
    <row r="114" spans="1:26" ht="21" customHeight="1">
      <c r="A114" s="257"/>
      <c r="B114" s="259" t="s">
        <v>180</v>
      </c>
      <c r="C114" s="272">
        <v>293290</v>
      </c>
      <c r="D114" s="261">
        <v>1.1900999999999999</v>
      </c>
      <c r="E114" s="272">
        <v>96038</v>
      </c>
      <c r="F114" s="272">
        <v>197253</v>
      </c>
      <c r="G114" s="272">
        <v>1198</v>
      </c>
      <c r="H114" s="272">
        <v>5537</v>
      </c>
      <c r="I114" s="259">
        <v>80.25</v>
      </c>
      <c r="J114" s="259">
        <v>34.75</v>
      </c>
      <c r="K114" s="257"/>
      <c r="L114" s="257"/>
      <c r="M114" s="257"/>
      <c r="N114" s="257"/>
      <c r="O114" s="257"/>
      <c r="P114" s="257"/>
      <c r="Q114" s="257"/>
      <c r="R114" s="257"/>
      <c r="S114" s="257"/>
      <c r="T114" s="257"/>
      <c r="U114" s="257"/>
      <c r="V114" s="257"/>
      <c r="W114" s="257"/>
      <c r="X114" s="257"/>
      <c r="Y114" s="257"/>
      <c r="Z114" s="257"/>
    </row>
    <row r="115" spans="1:26" ht="21" customHeight="1">
      <c r="A115" s="257"/>
      <c r="B115" s="259" t="s">
        <v>181</v>
      </c>
      <c r="C115" s="272">
        <v>197823</v>
      </c>
      <c r="D115" s="261">
        <v>0.80269999999999997</v>
      </c>
      <c r="E115" s="272">
        <v>99550</v>
      </c>
      <c r="F115" s="272">
        <v>98273</v>
      </c>
      <c r="G115" s="272">
        <v>1246</v>
      </c>
      <c r="H115" s="272">
        <v>5765</v>
      </c>
      <c r="I115" s="259">
        <v>80</v>
      </c>
      <c r="J115" s="259">
        <v>16</v>
      </c>
      <c r="K115" s="257"/>
      <c r="L115" s="257"/>
      <c r="M115" s="257"/>
      <c r="N115" s="257"/>
      <c r="O115" s="257"/>
      <c r="P115" s="257"/>
      <c r="Q115" s="257"/>
      <c r="R115" s="257"/>
      <c r="S115" s="257"/>
      <c r="T115" s="257"/>
      <c r="U115" s="257"/>
      <c r="V115" s="257"/>
      <c r="W115" s="257"/>
      <c r="X115" s="257"/>
      <c r="Y115" s="257"/>
      <c r="Z115" s="257"/>
    </row>
    <row r="116" spans="1:26" ht="21" customHeight="1">
      <c r="A116" s="257"/>
      <c r="B116" s="259" t="s">
        <v>182</v>
      </c>
      <c r="C116" s="272">
        <v>222968</v>
      </c>
      <c r="D116" s="261">
        <v>0.90480000000000005</v>
      </c>
      <c r="E116" s="272">
        <v>99575</v>
      </c>
      <c r="F116" s="272">
        <v>123393</v>
      </c>
      <c r="G116" s="272">
        <v>1206</v>
      </c>
      <c r="H116" s="272">
        <v>5373</v>
      </c>
      <c r="I116" s="259">
        <v>82.75</v>
      </c>
      <c r="J116" s="259">
        <v>23.25</v>
      </c>
      <c r="K116" s="257"/>
      <c r="L116" s="257"/>
      <c r="M116" s="257"/>
      <c r="N116" s="257"/>
      <c r="O116" s="257"/>
      <c r="P116" s="257"/>
      <c r="Q116" s="257"/>
      <c r="R116" s="257"/>
      <c r="S116" s="257"/>
      <c r="T116" s="257"/>
      <c r="U116" s="257"/>
      <c r="V116" s="257"/>
      <c r="W116" s="257"/>
      <c r="X116" s="257"/>
      <c r="Y116" s="257"/>
      <c r="Z116" s="257"/>
    </row>
    <row r="117" spans="1:26" ht="21" customHeight="1">
      <c r="A117" s="257"/>
      <c r="B117" s="259" t="s">
        <v>183</v>
      </c>
      <c r="C117" s="272">
        <v>331241</v>
      </c>
      <c r="D117" s="261">
        <v>1.3441000000000001</v>
      </c>
      <c r="E117" s="272">
        <v>91500</v>
      </c>
      <c r="F117" s="272">
        <v>239741</v>
      </c>
      <c r="G117" s="272">
        <v>1256</v>
      </c>
      <c r="H117" s="272">
        <v>6005</v>
      </c>
      <c r="I117" s="259">
        <v>71.75</v>
      </c>
      <c r="J117" s="259">
        <v>40.75</v>
      </c>
      <c r="K117" s="257"/>
      <c r="L117" s="257"/>
      <c r="M117" s="257"/>
      <c r="N117" s="257"/>
      <c r="O117" s="257"/>
      <c r="P117" s="257"/>
      <c r="Q117" s="257"/>
      <c r="R117" s="257"/>
      <c r="S117" s="257"/>
      <c r="T117" s="257"/>
      <c r="U117" s="257"/>
      <c r="V117" s="257"/>
      <c r="W117" s="257"/>
      <c r="X117" s="257"/>
      <c r="Y117" s="257"/>
      <c r="Z117" s="257"/>
    </row>
    <row r="118" spans="1:26" ht="21" customHeight="1">
      <c r="A118" s="257"/>
      <c r="B118" s="259" t="s">
        <v>184</v>
      </c>
      <c r="C118" s="272">
        <v>133573</v>
      </c>
      <c r="D118" s="261">
        <v>0.54200000000000004</v>
      </c>
      <c r="E118" s="272">
        <v>41963</v>
      </c>
      <c r="F118" s="272">
        <v>91610</v>
      </c>
      <c r="G118" s="272">
        <v>1395</v>
      </c>
      <c r="H118" s="272">
        <v>4418</v>
      </c>
      <c r="I118" s="259">
        <v>30.5</v>
      </c>
      <c r="J118" s="259">
        <v>20.75</v>
      </c>
      <c r="K118" s="257"/>
      <c r="L118" s="257"/>
      <c r="M118" s="257"/>
      <c r="N118" s="257"/>
      <c r="O118" s="257"/>
      <c r="P118" s="257"/>
      <c r="Q118" s="257"/>
      <c r="R118" s="257"/>
      <c r="S118" s="257"/>
      <c r="T118" s="257"/>
      <c r="U118" s="257"/>
      <c r="V118" s="257"/>
      <c r="W118" s="257"/>
      <c r="X118" s="257"/>
      <c r="Y118" s="257"/>
      <c r="Z118" s="257"/>
    </row>
    <row r="119" spans="1:26" ht="21" customHeight="1">
      <c r="A119" s="257"/>
      <c r="B119" s="259" t="s">
        <v>157</v>
      </c>
      <c r="C119" s="272">
        <v>0</v>
      </c>
      <c r="D119" s="261">
        <v>0</v>
      </c>
      <c r="E119" s="272">
        <v>0</v>
      </c>
      <c r="F119" s="272">
        <v>0</v>
      </c>
      <c r="G119" s="272">
        <v>0</v>
      </c>
      <c r="H119" s="272">
        <v>0</v>
      </c>
      <c r="I119" s="259">
        <v>0</v>
      </c>
      <c r="J119" s="259">
        <v>0</v>
      </c>
      <c r="K119" s="257"/>
      <c r="L119" s="257"/>
      <c r="M119" s="257"/>
      <c r="N119" s="257"/>
      <c r="O119" s="257"/>
      <c r="P119" s="257"/>
      <c r="Q119" s="257"/>
      <c r="R119" s="257"/>
      <c r="S119" s="257"/>
      <c r="T119" s="257"/>
      <c r="U119" s="257"/>
      <c r="V119" s="257"/>
      <c r="W119" s="257"/>
      <c r="X119" s="257"/>
      <c r="Y119" s="257"/>
      <c r="Z119" s="257"/>
    </row>
    <row r="120" spans="1:26" ht="21" customHeight="1">
      <c r="A120" s="257"/>
      <c r="B120" s="259" t="s">
        <v>203</v>
      </c>
      <c r="C120" s="273">
        <v>235899</v>
      </c>
      <c r="D120" s="274">
        <v>0.95720000000000005</v>
      </c>
      <c r="E120" s="273">
        <v>89213</v>
      </c>
      <c r="F120" s="273">
        <v>146686</v>
      </c>
      <c r="G120" s="273">
        <v>1246</v>
      </c>
      <c r="H120" s="273">
        <v>5683</v>
      </c>
      <c r="I120" s="275">
        <v>72.650000000000006</v>
      </c>
      <c r="J120" s="275">
        <v>25.64</v>
      </c>
      <c r="K120" s="257"/>
      <c r="L120" s="257"/>
      <c r="M120" s="257"/>
      <c r="N120" s="257"/>
      <c r="O120" s="257"/>
      <c r="P120" s="257"/>
      <c r="Q120" s="257"/>
      <c r="R120" s="257"/>
      <c r="S120" s="257"/>
      <c r="T120" s="257"/>
      <c r="U120" s="257"/>
      <c r="V120" s="257"/>
      <c r="W120" s="257"/>
      <c r="X120" s="257"/>
      <c r="Y120" s="257"/>
      <c r="Z120" s="257"/>
    </row>
    <row r="121" spans="1:26" ht="21" customHeight="1">
      <c r="A121" s="257"/>
      <c r="B121" s="257"/>
      <c r="C121" s="257"/>
      <c r="D121" s="257"/>
      <c r="E121" s="257"/>
      <c r="F121" s="257"/>
      <c r="G121" s="257"/>
      <c r="H121" s="257"/>
      <c r="I121" s="257"/>
      <c r="J121" s="257"/>
      <c r="K121" s="257"/>
      <c r="L121" s="257"/>
      <c r="M121" s="257"/>
      <c r="N121" s="257"/>
      <c r="O121" s="257"/>
      <c r="P121" s="257"/>
      <c r="Q121" s="257"/>
      <c r="R121" s="257"/>
      <c r="S121" s="257"/>
      <c r="T121" s="257"/>
      <c r="U121" s="257"/>
      <c r="V121" s="257"/>
      <c r="W121" s="257"/>
      <c r="X121" s="257"/>
      <c r="Y121" s="257"/>
      <c r="Z121" s="257"/>
    </row>
    <row r="122" spans="1:26" ht="21" customHeight="1">
      <c r="A122" s="257"/>
      <c r="B122" s="271" t="s">
        <v>61</v>
      </c>
      <c r="C122" s="264" t="s">
        <v>148</v>
      </c>
      <c r="D122" s="264" t="s">
        <v>186</v>
      </c>
      <c r="E122" s="264" t="s">
        <v>187</v>
      </c>
      <c r="F122" s="264" t="s">
        <v>188</v>
      </c>
      <c r="G122" s="264" t="s">
        <v>189</v>
      </c>
      <c r="H122" s="264" t="s">
        <v>190</v>
      </c>
      <c r="I122" s="264" t="s">
        <v>191</v>
      </c>
      <c r="J122" s="264" t="s">
        <v>192</v>
      </c>
      <c r="K122" s="257"/>
      <c r="L122" s="257"/>
      <c r="M122" s="257"/>
      <c r="N122" s="257"/>
      <c r="O122" s="257"/>
      <c r="P122" s="257"/>
      <c r="Q122" s="257"/>
      <c r="R122" s="257"/>
      <c r="S122" s="257"/>
      <c r="T122" s="257"/>
      <c r="U122" s="257"/>
      <c r="V122" s="257"/>
      <c r="W122" s="257"/>
      <c r="X122" s="257"/>
      <c r="Y122" s="257"/>
      <c r="Z122" s="257"/>
    </row>
    <row r="123" spans="1:26" ht="21" customHeight="1">
      <c r="A123" s="257"/>
      <c r="B123" s="259" t="s">
        <v>179</v>
      </c>
      <c r="C123" s="272">
        <v>234683</v>
      </c>
      <c r="D123" s="261">
        <v>0.73250000000000004</v>
      </c>
      <c r="E123" s="272">
        <v>91567</v>
      </c>
      <c r="F123" s="272">
        <v>143117</v>
      </c>
      <c r="G123" s="272">
        <v>1180</v>
      </c>
      <c r="H123" s="272">
        <v>6004</v>
      </c>
      <c r="I123" s="259">
        <v>77.67</v>
      </c>
      <c r="J123" s="259">
        <v>23.67</v>
      </c>
      <c r="K123" s="257"/>
      <c r="L123" s="257"/>
      <c r="M123" s="257"/>
      <c r="N123" s="257"/>
      <c r="O123" s="257"/>
      <c r="P123" s="257"/>
      <c r="Q123" s="257"/>
      <c r="R123" s="257"/>
      <c r="S123" s="257"/>
      <c r="T123" s="257"/>
      <c r="U123" s="257"/>
      <c r="V123" s="257"/>
      <c r="W123" s="257"/>
      <c r="X123" s="257"/>
      <c r="Y123" s="257"/>
      <c r="Z123" s="257"/>
    </row>
    <row r="124" spans="1:26" ht="21" customHeight="1">
      <c r="A124" s="257"/>
      <c r="B124" s="259" t="s">
        <v>180</v>
      </c>
      <c r="C124" s="272">
        <v>197950</v>
      </c>
      <c r="D124" s="261">
        <v>0.6179</v>
      </c>
      <c r="E124" s="272">
        <v>87410</v>
      </c>
      <c r="F124" s="272">
        <v>110540</v>
      </c>
      <c r="G124" s="272">
        <v>1167</v>
      </c>
      <c r="H124" s="272">
        <v>4654</v>
      </c>
      <c r="I124" s="259">
        <v>74.599999999999994</v>
      </c>
      <c r="J124" s="259">
        <v>23.2</v>
      </c>
      <c r="K124" s="257"/>
      <c r="L124" s="257"/>
      <c r="M124" s="257"/>
      <c r="N124" s="257"/>
      <c r="O124" s="257"/>
      <c r="P124" s="257"/>
      <c r="Q124" s="257"/>
      <c r="R124" s="257"/>
      <c r="S124" s="257"/>
      <c r="T124" s="257"/>
      <c r="U124" s="257"/>
      <c r="V124" s="257"/>
      <c r="W124" s="257"/>
      <c r="X124" s="257"/>
      <c r="Y124" s="257"/>
      <c r="Z124" s="257"/>
    </row>
    <row r="125" spans="1:26" ht="21" customHeight="1">
      <c r="A125" s="257"/>
      <c r="B125" s="259" t="s">
        <v>181</v>
      </c>
      <c r="C125" s="272">
        <v>213546</v>
      </c>
      <c r="D125" s="261">
        <v>0.66659999999999997</v>
      </c>
      <c r="E125" s="272">
        <v>87980</v>
      </c>
      <c r="F125" s="272">
        <v>125566</v>
      </c>
      <c r="G125" s="272">
        <v>1231</v>
      </c>
      <c r="H125" s="272">
        <v>5432</v>
      </c>
      <c r="I125" s="259">
        <v>71.599999999999994</v>
      </c>
      <c r="J125" s="259">
        <v>24</v>
      </c>
      <c r="K125" s="257"/>
      <c r="L125" s="257"/>
      <c r="M125" s="257"/>
      <c r="N125" s="257"/>
      <c r="O125" s="257"/>
      <c r="P125" s="257"/>
      <c r="Q125" s="257"/>
      <c r="R125" s="257"/>
      <c r="S125" s="257"/>
      <c r="T125" s="257"/>
      <c r="U125" s="257"/>
      <c r="V125" s="257"/>
      <c r="W125" s="257"/>
      <c r="X125" s="257"/>
      <c r="Y125" s="257"/>
      <c r="Z125" s="257"/>
    </row>
    <row r="126" spans="1:26" ht="21" customHeight="1">
      <c r="A126" s="257"/>
      <c r="B126" s="259" t="s">
        <v>182</v>
      </c>
      <c r="C126" s="272">
        <v>249020</v>
      </c>
      <c r="D126" s="261">
        <v>0.77729999999999999</v>
      </c>
      <c r="E126" s="272">
        <v>86740</v>
      </c>
      <c r="F126" s="272">
        <v>162280</v>
      </c>
      <c r="G126" s="272">
        <v>1174</v>
      </c>
      <c r="H126" s="272">
        <v>6124</v>
      </c>
      <c r="I126" s="259">
        <v>73.2</v>
      </c>
      <c r="J126" s="259">
        <v>27.2</v>
      </c>
      <c r="K126" s="257"/>
      <c r="L126" s="257"/>
      <c r="M126" s="257"/>
      <c r="N126" s="257"/>
      <c r="O126" s="257"/>
      <c r="P126" s="257"/>
      <c r="Q126" s="257"/>
      <c r="R126" s="257"/>
      <c r="S126" s="257"/>
      <c r="T126" s="257"/>
      <c r="U126" s="257"/>
      <c r="V126" s="257"/>
      <c r="W126" s="257"/>
      <c r="X126" s="257"/>
      <c r="Y126" s="257"/>
      <c r="Z126" s="257"/>
    </row>
    <row r="127" spans="1:26" ht="21" customHeight="1">
      <c r="A127" s="257"/>
      <c r="B127" s="259" t="s">
        <v>183</v>
      </c>
      <c r="C127" s="272">
        <v>450795</v>
      </c>
      <c r="D127" s="261">
        <v>1.4071</v>
      </c>
      <c r="E127" s="272">
        <v>120225</v>
      </c>
      <c r="F127" s="272">
        <v>330570</v>
      </c>
      <c r="G127" s="272">
        <v>1552</v>
      </c>
      <c r="H127" s="272">
        <v>19922</v>
      </c>
      <c r="I127" s="259">
        <v>75.25</v>
      </c>
      <c r="J127" s="259">
        <v>24.75</v>
      </c>
      <c r="K127" s="257"/>
      <c r="L127" s="257"/>
      <c r="M127" s="257"/>
      <c r="N127" s="257"/>
      <c r="O127" s="257"/>
      <c r="P127" s="257"/>
      <c r="Q127" s="257"/>
      <c r="R127" s="257"/>
      <c r="S127" s="257"/>
      <c r="T127" s="257"/>
      <c r="U127" s="257"/>
      <c r="V127" s="257"/>
      <c r="W127" s="257"/>
      <c r="X127" s="257"/>
      <c r="Y127" s="257"/>
      <c r="Z127" s="257"/>
    </row>
    <row r="128" spans="1:26" ht="21" customHeight="1">
      <c r="A128" s="257"/>
      <c r="B128" s="259" t="s">
        <v>184</v>
      </c>
      <c r="C128" s="272">
        <v>136293</v>
      </c>
      <c r="D128" s="261">
        <v>0.4254</v>
      </c>
      <c r="E128" s="272">
        <v>34950</v>
      </c>
      <c r="F128" s="272">
        <v>101343</v>
      </c>
      <c r="G128" s="272">
        <v>1358</v>
      </c>
      <c r="H128" s="272">
        <v>4446</v>
      </c>
      <c r="I128" s="259">
        <v>26</v>
      </c>
      <c r="J128" s="259">
        <v>22.5</v>
      </c>
      <c r="K128" s="257"/>
      <c r="L128" s="257"/>
      <c r="M128" s="257"/>
      <c r="N128" s="257"/>
      <c r="O128" s="257"/>
      <c r="P128" s="257"/>
      <c r="Q128" s="257"/>
      <c r="R128" s="257"/>
      <c r="S128" s="257"/>
      <c r="T128" s="257"/>
      <c r="U128" s="257"/>
      <c r="V128" s="257"/>
      <c r="W128" s="257"/>
      <c r="X128" s="257"/>
      <c r="Y128" s="257"/>
      <c r="Z128" s="257"/>
    </row>
    <row r="129" spans="1:26" ht="21" customHeight="1">
      <c r="A129" s="257"/>
      <c r="B129" s="259" t="s">
        <v>157</v>
      </c>
      <c r="C129" s="272">
        <v>0</v>
      </c>
      <c r="D129" s="261">
        <v>0</v>
      </c>
      <c r="E129" s="272">
        <v>0</v>
      </c>
      <c r="F129" s="272">
        <v>0</v>
      </c>
      <c r="G129" s="272">
        <v>0</v>
      </c>
      <c r="H129" s="272">
        <v>0</v>
      </c>
      <c r="I129" s="259">
        <v>0</v>
      </c>
      <c r="J129" s="259">
        <v>0</v>
      </c>
      <c r="K129" s="257"/>
      <c r="L129" s="257"/>
      <c r="M129" s="257"/>
      <c r="N129" s="257"/>
      <c r="O129" s="257"/>
      <c r="P129" s="257"/>
      <c r="Q129" s="257"/>
      <c r="R129" s="257"/>
      <c r="S129" s="257"/>
      <c r="T129" s="257"/>
      <c r="U129" s="257"/>
      <c r="V129" s="257"/>
      <c r="W129" s="257"/>
      <c r="X129" s="257"/>
      <c r="Y129" s="257"/>
      <c r="Z129" s="257"/>
    </row>
    <row r="130" spans="1:26" ht="21" customHeight="1">
      <c r="A130" s="257"/>
      <c r="B130" s="259" t="s">
        <v>204</v>
      </c>
      <c r="C130" s="273">
        <v>247048</v>
      </c>
      <c r="D130" s="274">
        <v>0.77110000000000001</v>
      </c>
      <c r="E130" s="273">
        <v>84812</v>
      </c>
      <c r="F130" s="273">
        <v>162236</v>
      </c>
      <c r="G130" s="273">
        <v>1277</v>
      </c>
      <c r="H130" s="273">
        <v>7764</v>
      </c>
      <c r="I130" s="275">
        <v>66.39</v>
      </c>
      <c r="J130" s="275">
        <v>24.22</v>
      </c>
      <c r="K130" s="257"/>
      <c r="L130" s="257"/>
      <c r="M130" s="257"/>
      <c r="N130" s="257"/>
      <c r="O130" s="257"/>
      <c r="P130" s="257"/>
      <c r="Q130" s="257"/>
      <c r="R130" s="257"/>
      <c r="S130" s="257"/>
      <c r="T130" s="257"/>
      <c r="U130" s="257"/>
      <c r="V130" s="257"/>
      <c r="W130" s="257"/>
      <c r="X130" s="257"/>
      <c r="Y130" s="257"/>
      <c r="Z130" s="257"/>
    </row>
    <row r="131" spans="1:26" ht="21" customHeight="1">
      <c r="A131" s="257"/>
      <c r="B131" s="257"/>
      <c r="C131" s="257"/>
      <c r="D131" s="257"/>
      <c r="E131" s="257"/>
      <c r="F131" s="257"/>
      <c r="G131" s="257"/>
      <c r="H131" s="257"/>
      <c r="I131" s="257"/>
      <c r="J131" s="257"/>
      <c r="K131" s="257"/>
      <c r="L131" s="257"/>
      <c r="M131" s="257"/>
      <c r="N131" s="257"/>
      <c r="O131" s="257"/>
      <c r="P131" s="257"/>
      <c r="Q131" s="257"/>
      <c r="R131" s="257"/>
      <c r="S131" s="257"/>
      <c r="T131" s="257"/>
      <c r="U131" s="257"/>
      <c r="V131" s="257"/>
      <c r="W131" s="257"/>
      <c r="X131" s="257"/>
      <c r="Y131" s="257"/>
      <c r="Z131" s="257"/>
    </row>
    <row r="132" spans="1:26" ht="21" customHeight="1">
      <c r="A132" s="257"/>
      <c r="B132" s="271" t="s">
        <v>62</v>
      </c>
      <c r="C132" s="264" t="s">
        <v>148</v>
      </c>
      <c r="D132" s="264" t="s">
        <v>186</v>
      </c>
      <c r="E132" s="264" t="s">
        <v>187</v>
      </c>
      <c r="F132" s="264" t="s">
        <v>188</v>
      </c>
      <c r="G132" s="264" t="s">
        <v>189</v>
      </c>
      <c r="H132" s="264" t="s">
        <v>190</v>
      </c>
      <c r="I132" s="264" t="s">
        <v>191</v>
      </c>
      <c r="J132" s="264" t="s">
        <v>192</v>
      </c>
      <c r="K132" s="257"/>
      <c r="L132" s="257"/>
      <c r="M132" s="257"/>
      <c r="N132" s="257"/>
      <c r="O132" s="257"/>
      <c r="P132" s="257"/>
      <c r="Q132" s="257"/>
      <c r="R132" s="257"/>
      <c r="S132" s="257"/>
      <c r="T132" s="257"/>
      <c r="U132" s="257"/>
      <c r="V132" s="257"/>
      <c r="W132" s="257"/>
      <c r="X132" s="257"/>
      <c r="Y132" s="257"/>
      <c r="Z132" s="257"/>
    </row>
    <row r="133" spans="1:26" ht="21" customHeight="1">
      <c r="A133" s="257"/>
      <c r="B133" s="259" t="s">
        <v>179</v>
      </c>
      <c r="C133" s="272">
        <v>176317</v>
      </c>
      <c r="D133" s="261">
        <v>0.71550000000000002</v>
      </c>
      <c r="E133" s="272">
        <v>66267</v>
      </c>
      <c r="F133" s="272">
        <v>110050</v>
      </c>
      <c r="G133" s="272">
        <v>1173</v>
      </c>
      <c r="H133" s="272">
        <v>8868</v>
      </c>
      <c r="I133" s="259">
        <v>56.33</v>
      </c>
      <c r="J133" s="259">
        <v>13.67</v>
      </c>
      <c r="K133" s="257"/>
      <c r="L133" s="257"/>
      <c r="M133" s="257"/>
      <c r="N133" s="257"/>
      <c r="O133" s="257"/>
      <c r="P133" s="257"/>
      <c r="Q133" s="257"/>
      <c r="R133" s="257"/>
      <c r="S133" s="257"/>
      <c r="T133" s="257"/>
      <c r="U133" s="257"/>
      <c r="V133" s="257"/>
      <c r="W133" s="257"/>
      <c r="X133" s="257"/>
      <c r="Y133" s="257"/>
      <c r="Z133" s="257"/>
    </row>
    <row r="134" spans="1:26" ht="21" customHeight="1">
      <c r="A134" s="257"/>
      <c r="B134" s="259" t="s">
        <v>180</v>
      </c>
      <c r="C134" s="272">
        <v>231565</v>
      </c>
      <c r="D134" s="261">
        <v>0.93959999999999999</v>
      </c>
      <c r="E134" s="272">
        <v>86650</v>
      </c>
      <c r="F134" s="272">
        <v>144915</v>
      </c>
      <c r="G134" s="272">
        <v>1176</v>
      </c>
      <c r="H134" s="272">
        <v>5985</v>
      </c>
      <c r="I134" s="259">
        <v>73.5</v>
      </c>
      <c r="J134" s="259">
        <v>24.25</v>
      </c>
      <c r="K134" s="257"/>
      <c r="L134" s="257"/>
      <c r="M134" s="257"/>
      <c r="N134" s="257"/>
      <c r="O134" s="257"/>
      <c r="P134" s="257"/>
      <c r="Q134" s="257"/>
      <c r="R134" s="257"/>
      <c r="S134" s="257"/>
      <c r="T134" s="257"/>
      <c r="U134" s="257"/>
      <c r="V134" s="257"/>
      <c r="W134" s="257"/>
      <c r="X134" s="257"/>
      <c r="Y134" s="257"/>
      <c r="Z134" s="257"/>
    </row>
    <row r="135" spans="1:26" ht="21" customHeight="1">
      <c r="A135" s="257"/>
      <c r="B135" s="259" t="s">
        <v>181</v>
      </c>
      <c r="C135" s="272">
        <v>267003</v>
      </c>
      <c r="D135" s="261">
        <v>1.0833999999999999</v>
      </c>
      <c r="E135" s="272">
        <v>91825</v>
      </c>
      <c r="F135" s="272">
        <v>175178</v>
      </c>
      <c r="G135" s="272">
        <v>1183</v>
      </c>
      <c r="H135" s="272">
        <v>6198</v>
      </c>
      <c r="I135" s="259">
        <v>77</v>
      </c>
      <c r="J135" s="259">
        <v>28.5</v>
      </c>
      <c r="K135" s="257"/>
      <c r="L135" s="257"/>
      <c r="M135" s="257"/>
      <c r="N135" s="257"/>
      <c r="O135" s="257"/>
      <c r="P135" s="257"/>
      <c r="Q135" s="257"/>
      <c r="R135" s="257"/>
      <c r="S135" s="257"/>
      <c r="T135" s="257"/>
      <c r="U135" s="257"/>
      <c r="V135" s="257"/>
      <c r="W135" s="257"/>
      <c r="X135" s="257"/>
      <c r="Y135" s="257"/>
      <c r="Z135" s="257"/>
    </row>
    <row r="136" spans="1:26" ht="21" customHeight="1">
      <c r="A136" s="257"/>
      <c r="B136" s="259" t="s">
        <v>182</v>
      </c>
      <c r="C136" s="272">
        <v>260103</v>
      </c>
      <c r="D136" s="261">
        <v>1.0553999999999999</v>
      </c>
      <c r="E136" s="272">
        <v>98675</v>
      </c>
      <c r="F136" s="272">
        <v>161428</v>
      </c>
      <c r="G136" s="272">
        <v>1231</v>
      </c>
      <c r="H136" s="272">
        <v>5337</v>
      </c>
      <c r="I136" s="259">
        <v>80.75</v>
      </c>
      <c r="J136" s="259">
        <v>29.5</v>
      </c>
      <c r="K136" s="257"/>
      <c r="L136" s="257"/>
      <c r="M136" s="257"/>
      <c r="N136" s="257"/>
      <c r="O136" s="257"/>
      <c r="P136" s="257"/>
      <c r="Q136" s="257"/>
      <c r="R136" s="257"/>
      <c r="S136" s="257"/>
      <c r="T136" s="257"/>
      <c r="U136" s="257"/>
      <c r="V136" s="257"/>
      <c r="W136" s="257"/>
      <c r="X136" s="257"/>
      <c r="Y136" s="257"/>
      <c r="Z136" s="257"/>
    </row>
    <row r="137" spans="1:26" ht="21" customHeight="1">
      <c r="A137" s="257"/>
      <c r="B137" s="259" t="s">
        <v>183</v>
      </c>
      <c r="C137" s="272">
        <v>333106</v>
      </c>
      <c r="D137" s="261">
        <v>1.3516999999999999</v>
      </c>
      <c r="E137" s="272">
        <v>91380</v>
      </c>
      <c r="F137" s="272">
        <v>241726</v>
      </c>
      <c r="G137" s="272">
        <v>1230</v>
      </c>
      <c r="H137" s="272">
        <v>6678</v>
      </c>
      <c r="I137" s="259">
        <v>74.400000000000006</v>
      </c>
      <c r="J137" s="259">
        <v>36</v>
      </c>
      <c r="K137" s="257"/>
      <c r="L137" s="257"/>
      <c r="M137" s="257"/>
      <c r="N137" s="257"/>
      <c r="O137" s="257"/>
      <c r="P137" s="257"/>
      <c r="Q137" s="257"/>
      <c r="R137" s="257"/>
      <c r="S137" s="257"/>
      <c r="T137" s="257"/>
      <c r="U137" s="257"/>
      <c r="V137" s="257"/>
      <c r="W137" s="257"/>
      <c r="X137" s="257"/>
      <c r="Y137" s="257"/>
      <c r="Z137" s="257"/>
    </row>
    <row r="138" spans="1:26" ht="21" customHeight="1">
      <c r="A138" s="257"/>
      <c r="B138" s="259" t="s">
        <v>184</v>
      </c>
      <c r="C138" s="272">
        <v>220748</v>
      </c>
      <c r="D138" s="261">
        <v>0.89570000000000005</v>
      </c>
      <c r="E138" s="272">
        <v>40238</v>
      </c>
      <c r="F138" s="272">
        <v>180510</v>
      </c>
      <c r="G138" s="272">
        <v>1437</v>
      </c>
      <c r="H138" s="272">
        <v>6089</v>
      </c>
      <c r="I138" s="259">
        <v>27.25</v>
      </c>
      <c r="J138" s="259">
        <v>30.75</v>
      </c>
      <c r="K138" s="257"/>
      <c r="L138" s="257"/>
      <c r="M138" s="257"/>
      <c r="N138" s="257"/>
      <c r="O138" s="257"/>
      <c r="P138" s="257"/>
      <c r="Q138" s="257"/>
      <c r="R138" s="257"/>
      <c r="S138" s="257"/>
      <c r="T138" s="257"/>
      <c r="U138" s="257"/>
      <c r="V138" s="257"/>
      <c r="W138" s="257"/>
      <c r="X138" s="257"/>
      <c r="Y138" s="257"/>
      <c r="Z138" s="257"/>
    </row>
    <row r="139" spans="1:26" ht="21" customHeight="1">
      <c r="A139" s="257"/>
      <c r="B139" s="259" t="s">
        <v>157</v>
      </c>
      <c r="C139" s="272">
        <v>0</v>
      </c>
      <c r="D139" s="261">
        <v>0</v>
      </c>
      <c r="E139" s="272">
        <v>0</v>
      </c>
      <c r="F139" s="272">
        <v>0</v>
      </c>
      <c r="G139" s="272">
        <v>0</v>
      </c>
      <c r="H139" s="272">
        <v>0</v>
      </c>
      <c r="I139" s="259">
        <v>0</v>
      </c>
      <c r="J139" s="259">
        <v>0</v>
      </c>
      <c r="K139" s="257"/>
      <c r="L139" s="257"/>
      <c r="M139" s="257"/>
      <c r="N139" s="257"/>
      <c r="O139" s="257"/>
      <c r="P139" s="257"/>
      <c r="Q139" s="257"/>
      <c r="R139" s="257"/>
      <c r="S139" s="257"/>
      <c r="T139" s="257"/>
      <c r="U139" s="257"/>
      <c r="V139" s="257"/>
      <c r="W139" s="257"/>
      <c r="X139" s="257"/>
      <c r="Y139" s="257"/>
      <c r="Z139" s="257"/>
    </row>
    <row r="140" spans="1:26" ht="21" customHeight="1">
      <c r="A140" s="257"/>
      <c r="B140" s="259" t="s">
        <v>205</v>
      </c>
      <c r="C140" s="273">
        <v>248140</v>
      </c>
      <c r="D140" s="274">
        <v>1.0068999999999999</v>
      </c>
      <c r="E140" s="273">
        <v>79172</v>
      </c>
      <c r="F140" s="273">
        <v>168968</v>
      </c>
      <c r="G140" s="273">
        <v>1239</v>
      </c>
      <c r="H140" s="273">
        <v>6526</v>
      </c>
      <c r="I140" s="275">
        <v>64.87</v>
      </c>
      <c r="J140" s="275">
        <v>27.11</v>
      </c>
      <c r="K140" s="257"/>
      <c r="L140" s="257"/>
      <c r="M140" s="257"/>
      <c r="N140" s="257"/>
      <c r="O140" s="257"/>
      <c r="P140" s="257"/>
      <c r="Q140" s="257"/>
      <c r="R140" s="257"/>
      <c r="S140" s="257"/>
      <c r="T140" s="257"/>
      <c r="U140" s="257"/>
      <c r="V140" s="257"/>
      <c r="W140" s="257"/>
      <c r="X140" s="257"/>
      <c r="Y140" s="257"/>
      <c r="Z140" s="257"/>
    </row>
    <row r="141" spans="1:26" ht="21" customHeight="1">
      <c r="A141" s="257"/>
      <c r="B141" s="257"/>
      <c r="C141" s="257"/>
      <c r="D141" s="257"/>
      <c r="E141" s="257"/>
      <c r="F141" s="257"/>
      <c r="G141" s="257"/>
      <c r="H141" s="257"/>
      <c r="I141" s="257"/>
      <c r="J141" s="257"/>
      <c r="K141" s="257"/>
      <c r="L141" s="257"/>
      <c r="M141" s="257"/>
      <c r="N141" s="257"/>
      <c r="O141" s="257"/>
      <c r="P141" s="257"/>
      <c r="Q141" s="257"/>
      <c r="R141" s="257"/>
      <c r="S141" s="257"/>
      <c r="T141" s="257"/>
      <c r="U141" s="257"/>
      <c r="V141" s="257"/>
      <c r="W141" s="257"/>
      <c r="X141" s="257"/>
      <c r="Y141" s="257"/>
      <c r="Z141" s="257"/>
    </row>
    <row r="142" spans="1:26" ht="21" customHeight="1">
      <c r="A142" s="257"/>
      <c r="B142" s="271" t="s">
        <v>63</v>
      </c>
      <c r="C142" s="264" t="s">
        <v>148</v>
      </c>
      <c r="D142" s="264" t="s">
        <v>186</v>
      </c>
      <c r="E142" s="264" t="s">
        <v>187</v>
      </c>
      <c r="F142" s="264" t="s">
        <v>188</v>
      </c>
      <c r="G142" s="264" t="s">
        <v>189</v>
      </c>
      <c r="H142" s="264" t="s">
        <v>190</v>
      </c>
      <c r="I142" s="264" t="s">
        <v>191</v>
      </c>
      <c r="J142" s="264" t="s">
        <v>192</v>
      </c>
      <c r="K142" s="257"/>
      <c r="L142" s="257"/>
      <c r="M142" s="257"/>
      <c r="N142" s="257"/>
      <c r="O142" s="257"/>
      <c r="P142" s="257"/>
      <c r="Q142" s="257"/>
      <c r="R142" s="257"/>
      <c r="S142" s="257"/>
      <c r="T142" s="257"/>
      <c r="U142" s="257"/>
      <c r="V142" s="257"/>
      <c r="W142" s="257"/>
      <c r="X142" s="257"/>
      <c r="Y142" s="257"/>
      <c r="Z142" s="257"/>
    </row>
    <row r="143" spans="1:26" ht="21" customHeight="1">
      <c r="A143" s="257"/>
      <c r="B143" s="259" t="s">
        <v>179</v>
      </c>
      <c r="C143" s="272">
        <v>283835</v>
      </c>
      <c r="D143" s="261">
        <v>0.88600000000000001</v>
      </c>
      <c r="E143" s="272">
        <v>94363</v>
      </c>
      <c r="F143" s="272">
        <v>189473</v>
      </c>
      <c r="G143" s="272">
        <v>1176</v>
      </c>
      <c r="H143" s="272">
        <v>6747</v>
      </c>
      <c r="I143" s="259">
        <v>80</v>
      </c>
      <c r="J143" s="259">
        <v>30.5</v>
      </c>
      <c r="K143" s="257"/>
      <c r="L143" s="257"/>
      <c r="M143" s="257"/>
      <c r="N143" s="257"/>
      <c r="O143" s="257"/>
      <c r="P143" s="257"/>
      <c r="Q143" s="257"/>
      <c r="R143" s="257"/>
      <c r="S143" s="257"/>
      <c r="T143" s="257"/>
      <c r="U143" s="257"/>
      <c r="V143" s="257"/>
      <c r="W143" s="257"/>
      <c r="X143" s="257"/>
      <c r="Y143" s="257"/>
      <c r="Z143" s="257"/>
    </row>
    <row r="144" spans="1:26" ht="21" customHeight="1">
      <c r="A144" s="257"/>
      <c r="B144" s="259" t="s">
        <v>180</v>
      </c>
      <c r="C144" s="272">
        <v>312370</v>
      </c>
      <c r="D144" s="261">
        <v>0.97499999999999998</v>
      </c>
      <c r="E144" s="272">
        <v>91813</v>
      </c>
      <c r="F144" s="272">
        <v>220558</v>
      </c>
      <c r="G144" s="272">
        <v>1217</v>
      </c>
      <c r="H144" s="272">
        <v>5626</v>
      </c>
      <c r="I144" s="259">
        <v>75.25</v>
      </c>
      <c r="J144" s="259">
        <v>39.25</v>
      </c>
      <c r="K144" s="257"/>
      <c r="L144" s="257"/>
      <c r="M144" s="257"/>
      <c r="N144" s="257"/>
      <c r="O144" s="257"/>
      <c r="P144" s="257"/>
      <c r="Q144" s="257"/>
      <c r="R144" s="257"/>
      <c r="S144" s="257"/>
      <c r="T144" s="257"/>
      <c r="U144" s="257"/>
      <c r="V144" s="257"/>
      <c r="W144" s="257"/>
      <c r="X144" s="257"/>
      <c r="Y144" s="257"/>
      <c r="Z144" s="257"/>
    </row>
    <row r="145" spans="1:26" ht="21" customHeight="1">
      <c r="A145" s="257"/>
      <c r="B145" s="259" t="s">
        <v>181</v>
      </c>
      <c r="C145" s="272">
        <v>388308</v>
      </c>
      <c r="D145" s="261">
        <v>1.2121</v>
      </c>
      <c r="E145" s="272">
        <v>105088</v>
      </c>
      <c r="F145" s="272">
        <v>283220</v>
      </c>
      <c r="G145" s="272">
        <v>1245</v>
      </c>
      <c r="H145" s="272">
        <v>7298</v>
      </c>
      <c r="I145" s="259">
        <v>84.25</v>
      </c>
      <c r="J145" s="259">
        <v>40.25</v>
      </c>
      <c r="K145" s="257"/>
      <c r="L145" s="257"/>
      <c r="M145" s="257"/>
      <c r="N145" s="257"/>
      <c r="O145" s="257"/>
      <c r="P145" s="257"/>
      <c r="Q145" s="257"/>
      <c r="R145" s="257"/>
      <c r="S145" s="257"/>
      <c r="T145" s="257"/>
      <c r="U145" s="257"/>
      <c r="V145" s="257"/>
      <c r="W145" s="257"/>
      <c r="X145" s="257"/>
      <c r="Y145" s="257"/>
      <c r="Z145" s="257"/>
    </row>
    <row r="146" spans="1:26" ht="21" customHeight="1">
      <c r="A146" s="257"/>
      <c r="B146" s="259" t="s">
        <v>182</v>
      </c>
      <c r="C146" s="272">
        <v>336158</v>
      </c>
      <c r="D146" s="261">
        <v>1.0492999999999999</v>
      </c>
      <c r="E146" s="272">
        <v>91625</v>
      </c>
      <c r="F146" s="272">
        <v>244533</v>
      </c>
      <c r="G146" s="272">
        <v>1228</v>
      </c>
      <c r="H146" s="272">
        <v>8605</v>
      </c>
      <c r="I146" s="259">
        <v>74.75</v>
      </c>
      <c r="J146" s="259">
        <v>31.25</v>
      </c>
      <c r="K146" s="257"/>
      <c r="L146" s="257"/>
      <c r="M146" s="257"/>
      <c r="N146" s="257"/>
      <c r="O146" s="257"/>
      <c r="P146" s="257"/>
      <c r="Q146" s="257"/>
      <c r="R146" s="257"/>
      <c r="S146" s="257"/>
      <c r="T146" s="257"/>
      <c r="U146" s="257"/>
      <c r="V146" s="257"/>
      <c r="W146" s="257"/>
      <c r="X146" s="257"/>
      <c r="Y146" s="257"/>
      <c r="Z146" s="257"/>
    </row>
    <row r="147" spans="1:26" ht="21" customHeight="1">
      <c r="A147" s="257"/>
      <c r="B147" s="259" t="s">
        <v>183</v>
      </c>
      <c r="C147" s="272">
        <v>418530</v>
      </c>
      <c r="D147" s="261">
        <v>1.3064</v>
      </c>
      <c r="E147" s="272">
        <v>114688</v>
      </c>
      <c r="F147" s="272">
        <v>303843</v>
      </c>
      <c r="G147" s="272">
        <v>1349</v>
      </c>
      <c r="H147" s="272">
        <v>6155</v>
      </c>
      <c r="I147" s="259">
        <v>82.25</v>
      </c>
      <c r="J147" s="259">
        <v>48.25</v>
      </c>
      <c r="K147" s="257"/>
      <c r="L147" s="257"/>
      <c r="M147" s="257"/>
      <c r="N147" s="257"/>
      <c r="O147" s="257"/>
      <c r="P147" s="257"/>
      <c r="Q147" s="257"/>
      <c r="R147" s="257"/>
      <c r="S147" s="257"/>
      <c r="T147" s="257"/>
      <c r="U147" s="257"/>
      <c r="V147" s="257"/>
      <c r="W147" s="257"/>
      <c r="X147" s="257"/>
      <c r="Y147" s="257"/>
      <c r="Z147" s="257"/>
    </row>
    <row r="148" spans="1:26" ht="21" customHeight="1">
      <c r="A148" s="257"/>
      <c r="B148" s="259" t="s">
        <v>184</v>
      </c>
      <c r="C148" s="272">
        <v>235663</v>
      </c>
      <c r="D148" s="261">
        <v>0.73560000000000003</v>
      </c>
      <c r="E148" s="272">
        <v>37375</v>
      </c>
      <c r="F148" s="272">
        <v>198288</v>
      </c>
      <c r="G148" s="272">
        <v>1444</v>
      </c>
      <c r="H148" s="272">
        <v>6288</v>
      </c>
      <c r="I148" s="259">
        <v>24.25</v>
      </c>
      <c r="J148" s="259">
        <v>30.5</v>
      </c>
      <c r="K148" s="257"/>
      <c r="L148" s="257"/>
      <c r="M148" s="257"/>
      <c r="N148" s="257"/>
      <c r="O148" s="257"/>
      <c r="P148" s="257"/>
      <c r="Q148" s="257"/>
      <c r="R148" s="257"/>
      <c r="S148" s="257"/>
      <c r="T148" s="257"/>
      <c r="U148" s="257"/>
      <c r="V148" s="257"/>
      <c r="W148" s="257"/>
      <c r="X148" s="257"/>
      <c r="Y148" s="257"/>
      <c r="Z148" s="257"/>
    </row>
    <row r="149" spans="1:26" ht="21" customHeight="1">
      <c r="A149" s="257"/>
      <c r="B149" s="259" t="s">
        <v>157</v>
      </c>
      <c r="C149" s="272">
        <v>0</v>
      </c>
      <c r="D149" s="261">
        <v>0</v>
      </c>
      <c r="E149" s="272">
        <v>0</v>
      </c>
      <c r="F149" s="272">
        <v>0</v>
      </c>
      <c r="G149" s="272">
        <v>0</v>
      </c>
      <c r="H149" s="272">
        <v>0</v>
      </c>
      <c r="I149" s="259">
        <v>0</v>
      </c>
      <c r="J149" s="259">
        <v>0</v>
      </c>
      <c r="K149" s="257"/>
      <c r="L149" s="257"/>
      <c r="M149" s="257"/>
      <c r="N149" s="257"/>
      <c r="O149" s="257"/>
      <c r="P149" s="257"/>
      <c r="Q149" s="257"/>
      <c r="R149" s="257"/>
      <c r="S149" s="257"/>
      <c r="T149" s="257"/>
      <c r="U149" s="257"/>
      <c r="V149" s="257"/>
      <c r="W149" s="257"/>
      <c r="X149" s="257"/>
      <c r="Y149" s="257"/>
      <c r="Z149" s="257"/>
    </row>
    <row r="150" spans="1:26" ht="21" customHeight="1">
      <c r="A150" s="257"/>
      <c r="B150" s="259" t="s">
        <v>206</v>
      </c>
      <c r="C150" s="273">
        <v>329144</v>
      </c>
      <c r="D150" s="274">
        <v>1.0274000000000001</v>
      </c>
      <c r="E150" s="273">
        <v>89158</v>
      </c>
      <c r="F150" s="273">
        <v>239985</v>
      </c>
      <c r="G150" s="273">
        <v>1276</v>
      </c>
      <c r="H150" s="273">
        <v>6786</v>
      </c>
      <c r="I150" s="275">
        <v>70.13</v>
      </c>
      <c r="J150" s="275">
        <v>36.67</v>
      </c>
      <c r="K150" s="257"/>
      <c r="L150" s="257"/>
      <c r="M150" s="257"/>
      <c r="N150" s="257"/>
      <c r="O150" s="257"/>
      <c r="P150" s="257"/>
      <c r="Q150" s="257"/>
      <c r="R150" s="257"/>
      <c r="S150" s="257"/>
      <c r="T150" s="257"/>
      <c r="U150" s="257"/>
      <c r="V150" s="257"/>
      <c r="W150" s="257"/>
      <c r="X150" s="257"/>
      <c r="Y150" s="257"/>
      <c r="Z150" s="257"/>
    </row>
    <row r="151" spans="1:26" ht="21" customHeight="1">
      <c r="A151" s="257"/>
      <c r="B151" s="257"/>
      <c r="C151" s="257"/>
      <c r="D151" s="257"/>
      <c r="E151" s="257"/>
      <c r="F151" s="257"/>
      <c r="G151" s="257"/>
      <c r="H151" s="257"/>
      <c r="I151" s="257"/>
      <c r="J151" s="257"/>
      <c r="K151" s="257"/>
      <c r="L151" s="257"/>
      <c r="M151" s="257"/>
      <c r="N151" s="257"/>
      <c r="O151" s="257"/>
      <c r="P151" s="257"/>
      <c r="Q151" s="257"/>
      <c r="R151" s="257"/>
      <c r="S151" s="257"/>
      <c r="T151" s="257"/>
      <c r="U151" s="257"/>
      <c r="V151" s="257"/>
      <c r="W151" s="257"/>
      <c r="X151" s="257"/>
      <c r="Y151" s="257"/>
      <c r="Z151" s="257"/>
    </row>
    <row r="152" spans="1:26" ht="21" customHeight="1">
      <c r="A152" s="257"/>
      <c r="B152" s="257"/>
      <c r="C152" s="257"/>
      <c r="D152" s="257"/>
      <c r="E152" s="257"/>
      <c r="F152" s="257"/>
      <c r="G152" s="257"/>
      <c r="H152" s="257"/>
      <c r="I152" s="257"/>
      <c r="J152" s="257"/>
      <c r="K152" s="257"/>
      <c r="L152" s="257"/>
      <c r="M152" s="257"/>
      <c r="N152" s="257"/>
      <c r="O152" s="257"/>
      <c r="P152" s="257"/>
      <c r="Q152" s="257"/>
      <c r="R152" s="257"/>
      <c r="S152" s="257"/>
      <c r="T152" s="257"/>
      <c r="U152" s="257"/>
      <c r="V152" s="257"/>
      <c r="W152" s="257"/>
      <c r="X152" s="257"/>
      <c r="Y152" s="257"/>
      <c r="Z152" s="257"/>
    </row>
    <row r="153" spans="1:26" ht="21" customHeight="1">
      <c r="A153" s="257"/>
      <c r="B153" s="257"/>
      <c r="C153" s="257"/>
      <c r="D153" s="257"/>
      <c r="E153" s="257"/>
      <c r="F153" s="257"/>
      <c r="G153" s="257"/>
      <c r="H153" s="257"/>
      <c r="I153" s="257"/>
      <c r="J153" s="257"/>
      <c r="K153" s="257"/>
      <c r="L153" s="257"/>
      <c r="M153" s="257"/>
      <c r="N153" s="257"/>
      <c r="O153" s="257"/>
      <c r="P153" s="257"/>
      <c r="Q153" s="257"/>
      <c r="R153" s="257"/>
      <c r="S153" s="257"/>
      <c r="T153" s="257"/>
      <c r="U153" s="257"/>
      <c r="V153" s="257"/>
      <c r="W153" s="257"/>
      <c r="X153" s="257"/>
      <c r="Y153" s="257"/>
      <c r="Z153" s="257"/>
    </row>
    <row r="154" spans="1:26" ht="21" customHeight="1">
      <c r="A154" s="257"/>
      <c r="B154" s="257"/>
      <c r="C154" s="257"/>
      <c r="D154" s="257"/>
      <c r="E154" s="257"/>
      <c r="F154" s="257"/>
      <c r="G154" s="257"/>
      <c r="H154" s="257"/>
      <c r="I154" s="257"/>
      <c r="J154" s="257"/>
      <c r="K154" s="257"/>
      <c r="L154" s="257"/>
      <c r="M154" s="257"/>
      <c r="N154" s="257"/>
      <c r="O154" s="257"/>
      <c r="P154" s="257"/>
      <c r="Q154" s="257"/>
      <c r="R154" s="257"/>
      <c r="S154" s="257"/>
      <c r="T154" s="257"/>
      <c r="U154" s="257"/>
      <c r="V154" s="257"/>
      <c r="W154" s="257"/>
      <c r="X154" s="257"/>
      <c r="Y154" s="257"/>
      <c r="Z154" s="257"/>
    </row>
    <row r="155" spans="1:26" ht="21" customHeight="1">
      <c r="A155" s="257"/>
      <c r="B155" s="257"/>
      <c r="C155" s="257"/>
      <c r="D155" s="257"/>
      <c r="E155" s="257"/>
      <c r="F155" s="257"/>
      <c r="G155" s="257"/>
      <c r="H155" s="257"/>
      <c r="I155" s="257"/>
      <c r="J155" s="257"/>
      <c r="K155" s="257"/>
      <c r="L155" s="257"/>
      <c r="M155" s="257"/>
      <c r="N155" s="257"/>
      <c r="O155" s="257"/>
      <c r="P155" s="257"/>
      <c r="Q155" s="257"/>
      <c r="R155" s="257"/>
      <c r="S155" s="257"/>
      <c r="T155" s="257"/>
      <c r="U155" s="257"/>
      <c r="V155" s="257"/>
      <c r="W155" s="257"/>
      <c r="X155" s="257"/>
      <c r="Y155" s="257"/>
      <c r="Z155" s="257"/>
    </row>
    <row r="156" spans="1:26" ht="21" customHeight="1">
      <c r="A156" s="257"/>
      <c r="B156" s="257"/>
      <c r="C156" s="257"/>
      <c r="D156" s="257"/>
      <c r="E156" s="257"/>
      <c r="F156" s="257"/>
      <c r="G156" s="257"/>
      <c r="H156" s="257"/>
      <c r="I156" s="257"/>
      <c r="J156" s="257"/>
      <c r="K156" s="257"/>
      <c r="L156" s="257"/>
      <c r="M156" s="257"/>
      <c r="N156" s="257"/>
      <c r="O156" s="257"/>
      <c r="P156" s="257"/>
      <c r="Q156" s="257"/>
      <c r="R156" s="257"/>
      <c r="S156" s="257"/>
      <c r="T156" s="257"/>
      <c r="U156" s="257"/>
      <c r="V156" s="257"/>
      <c r="W156" s="257"/>
      <c r="X156" s="257"/>
      <c r="Y156" s="257"/>
      <c r="Z156" s="257"/>
    </row>
    <row r="157" spans="1:26" ht="21" customHeight="1">
      <c r="A157" s="257"/>
      <c r="B157" s="257"/>
      <c r="C157" s="257"/>
      <c r="D157" s="257"/>
      <c r="E157" s="257"/>
      <c r="F157" s="257"/>
      <c r="G157" s="257"/>
      <c r="H157" s="257"/>
      <c r="I157" s="257"/>
      <c r="J157" s="257"/>
      <c r="K157" s="257"/>
      <c r="L157" s="257"/>
      <c r="M157" s="257"/>
      <c r="N157" s="257"/>
      <c r="O157" s="257"/>
      <c r="P157" s="257"/>
      <c r="Q157" s="257"/>
      <c r="R157" s="257"/>
      <c r="S157" s="257"/>
      <c r="T157" s="257"/>
      <c r="U157" s="257"/>
      <c r="V157" s="257"/>
      <c r="W157" s="257"/>
      <c r="X157" s="257"/>
      <c r="Y157" s="257"/>
      <c r="Z157" s="257"/>
    </row>
    <row r="158" spans="1:26" ht="21" customHeight="1">
      <c r="A158" s="257"/>
      <c r="B158" s="257"/>
      <c r="C158" s="257"/>
      <c r="D158" s="257"/>
      <c r="E158" s="257"/>
      <c r="F158" s="257"/>
      <c r="G158" s="257"/>
      <c r="H158" s="257"/>
      <c r="I158" s="257"/>
      <c r="J158" s="257"/>
      <c r="K158" s="257"/>
      <c r="L158" s="257"/>
      <c r="M158" s="257"/>
      <c r="N158" s="257"/>
      <c r="O158" s="257"/>
      <c r="P158" s="257"/>
      <c r="Q158" s="257"/>
      <c r="R158" s="257"/>
      <c r="S158" s="257"/>
      <c r="T158" s="257"/>
      <c r="U158" s="257"/>
      <c r="V158" s="257"/>
      <c r="W158" s="257"/>
      <c r="X158" s="257"/>
      <c r="Y158" s="257"/>
      <c r="Z158" s="257"/>
    </row>
    <row r="159" spans="1:26" ht="21" customHeight="1">
      <c r="A159" s="257"/>
      <c r="B159" s="257"/>
      <c r="C159" s="257"/>
      <c r="D159" s="257"/>
      <c r="E159" s="257"/>
      <c r="F159" s="257"/>
      <c r="G159" s="257"/>
      <c r="H159" s="257"/>
      <c r="I159" s="257"/>
      <c r="J159" s="257"/>
      <c r="K159" s="257"/>
      <c r="L159" s="257"/>
      <c r="M159" s="257"/>
      <c r="N159" s="257"/>
      <c r="O159" s="257"/>
      <c r="P159" s="257"/>
      <c r="Q159" s="257"/>
      <c r="R159" s="257"/>
      <c r="S159" s="257"/>
      <c r="T159" s="257"/>
      <c r="U159" s="257"/>
      <c r="V159" s="257"/>
      <c r="W159" s="257"/>
      <c r="X159" s="257"/>
      <c r="Y159" s="257"/>
      <c r="Z159" s="257"/>
    </row>
    <row r="160" spans="1:26" ht="21" customHeight="1">
      <c r="A160" s="257"/>
      <c r="B160" s="257"/>
      <c r="C160" s="257"/>
      <c r="D160" s="257"/>
      <c r="E160" s="257"/>
      <c r="F160" s="257"/>
      <c r="G160" s="257"/>
      <c r="H160" s="257"/>
      <c r="I160" s="257"/>
      <c r="J160" s="257"/>
      <c r="K160" s="257"/>
      <c r="L160" s="257"/>
      <c r="M160" s="257"/>
      <c r="N160" s="257"/>
      <c r="O160" s="257"/>
      <c r="P160" s="257"/>
      <c r="Q160" s="257"/>
      <c r="R160" s="257"/>
      <c r="S160" s="257"/>
      <c r="T160" s="257"/>
      <c r="U160" s="257"/>
      <c r="V160" s="257"/>
      <c r="W160" s="257"/>
      <c r="X160" s="257"/>
      <c r="Y160" s="257"/>
      <c r="Z160" s="257"/>
    </row>
    <row r="161" spans="1:26" ht="21" customHeight="1">
      <c r="A161" s="257"/>
      <c r="B161" s="257"/>
      <c r="C161" s="257"/>
      <c r="D161" s="257"/>
      <c r="E161" s="257"/>
      <c r="F161" s="257"/>
      <c r="G161" s="257"/>
      <c r="H161" s="257"/>
      <c r="I161" s="257"/>
      <c r="J161" s="257"/>
      <c r="K161" s="257"/>
      <c r="L161" s="257"/>
      <c r="M161" s="257"/>
      <c r="N161" s="257"/>
      <c r="O161" s="257"/>
      <c r="P161" s="257"/>
      <c r="Q161" s="257"/>
      <c r="R161" s="257"/>
      <c r="S161" s="257"/>
      <c r="T161" s="257"/>
      <c r="U161" s="257"/>
      <c r="V161" s="257"/>
      <c r="W161" s="257"/>
      <c r="X161" s="257"/>
      <c r="Y161" s="257"/>
      <c r="Z161" s="257"/>
    </row>
    <row r="162" spans="1:26" ht="21" customHeight="1">
      <c r="A162" s="257"/>
      <c r="B162" s="257"/>
      <c r="C162" s="257"/>
      <c r="D162" s="257"/>
      <c r="E162" s="257"/>
      <c r="F162" s="257"/>
      <c r="G162" s="257"/>
      <c r="H162" s="257"/>
      <c r="I162" s="257"/>
      <c r="J162" s="257"/>
      <c r="K162" s="257"/>
      <c r="L162" s="257"/>
      <c r="M162" s="257"/>
      <c r="N162" s="257"/>
      <c r="O162" s="257"/>
      <c r="P162" s="257"/>
      <c r="Q162" s="257"/>
      <c r="R162" s="257"/>
      <c r="S162" s="257"/>
      <c r="T162" s="257"/>
      <c r="U162" s="257"/>
      <c r="V162" s="257"/>
      <c r="W162" s="257"/>
      <c r="X162" s="257"/>
      <c r="Y162" s="257"/>
      <c r="Z162" s="257"/>
    </row>
    <row r="163" spans="1:26" ht="21" customHeight="1">
      <c r="A163" s="257"/>
      <c r="B163" s="257"/>
      <c r="C163" s="257"/>
      <c r="D163" s="257"/>
      <c r="E163" s="257"/>
      <c r="F163" s="257"/>
      <c r="G163" s="257"/>
      <c r="H163" s="257"/>
      <c r="I163" s="257"/>
      <c r="J163" s="257"/>
      <c r="K163" s="257"/>
      <c r="L163" s="257"/>
      <c r="M163" s="257"/>
      <c r="N163" s="257"/>
      <c r="O163" s="257"/>
      <c r="P163" s="257"/>
      <c r="Q163" s="257"/>
      <c r="R163" s="257"/>
      <c r="S163" s="257"/>
      <c r="T163" s="257"/>
      <c r="U163" s="257"/>
      <c r="V163" s="257"/>
      <c r="W163" s="257"/>
      <c r="X163" s="257"/>
      <c r="Y163" s="257"/>
      <c r="Z163" s="257"/>
    </row>
    <row r="164" spans="1:26" ht="21" customHeight="1">
      <c r="A164" s="257"/>
      <c r="B164" s="257"/>
      <c r="C164" s="257"/>
      <c r="D164" s="257"/>
      <c r="E164" s="257"/>
      <c r="F164" s="257"/>
      <c r="G164" s="257"/>
      <c r="H164" s="257"/>
      <c r="I164" s="257"/>
      <c r="J164" s="257"/>
      <c r="K164" s="257"/>
      <c r="L164" s="257"/>
      <c r="M164" s="257"/>
      <c r="N164" s="257"/>
      <c r="O164" s="257"/>
      <c r="P164" s="257"/>
      <c r="Q164" s="257"/>
      <c r="R164" s="257"/>
      <c r="S164" s="257"/>
      <c r="T164" s="257"/>
      <c r="U164" s="257"/>
      <c r="V164" s="257"/>
      <c r="W164" s="257"/>
      <c r="X164" s="257"/>
      <c r="Y164" s="257"/>
      <c r="Z164" s="257"/>
    </row>
    <row r="165" spans="1:26" ht="21" customHeight="1">
      <c r="A165" s="257"/>
      <c r="B165" s="257"/>
      <c r="C165" s="257"/>
      <c r="D165" s="257"/>
      <c r="E165" s="257"/>
      <c r="F165" s="257"/>
      <c r="G165" s="257"/>
      <c r="H165" s="257"/>
      <c r="I165" s="257"/>
      <c r="J165" s="257"/>
      <c r="K165" s="257"/>
      <c r="L165" s="257"/>
      <c r="M165" s="257"/>
      <c r="N165" s="257"/>
      <c r="O165" s="257"/>
      <c r="P165" s="257"/>
      <c r="Q165" s="257"/>
      <c r="R165" s="257"/>
      <c r="S165" s="257"/>
      <c r="T165" s="257"/>
      <c r="U165" s="257"/>
      <c r="V165" s="257"/>
      <c r="W165" s="257"/>
      <c r="X165" s="257"/>
      <c r="Y165" s="257"/>
      <c r="Z165" s="257"/>
    </row>
    <row r="166" spans="1:26" ht="21" customHeight="1">
      <c r="A166" s="257"/>
      <c r="B166" s="257"/>
      <c r="C166" s="257"/>
      <c r="D166" s="257"/>
      <c r="E166" s="257"/>
      <c r="F166" s="257"/>
      <c r="G166" s="257"/>
      <c r="H166" s="257"/>
      <c r="I166" s="257"/>
      <c r="J166" s="257"/>
      <c r="K166" s="257"/>
      <c r="L166" s="257"/>
      <c r="M166" s="257"/>
      <c r="N166" s="257"/>
      <c r="O166" s="257"/>
      <c r="P166" s="257"/>
      <c r="Q166" s="257"/>
      <c r="R166" s="257"/>
      <c r="S166" s="257"/>
      <c r="T166" s="257"/>
      <c r="U166" s="257"/>
      <c r="V166" s="257"/>
      <c r="W166" s="257"/>
      <c r="X166" s="257"/>
      <c r="Y166" s="257"/>
      <c r="Z166" s="257"/>
    </row>
    <row r="167" spans="1:26" ht="21" customHeight="1">
      <c r="A167" s="257"/>
      <c r="B167" s="257"/>
      <c r="C167" s="257"/>
      <c r="D167" s="257"/>
      <c r="E167" s="257"/>
      <c r="F167" s="257"/>
      <c r="G167" s="257"/>
      <c r="H167" s="257"/>
      <c r="I167" s="257"/>
      <c r="J167" s="257"/>
      <c r="K167" s="257"/>
      <c r="L167" s="257"/>
      <c r="M167" s="257"/>
      <c r="N167" s="257"/>
      <c r="O167" s="257"/>
      <c r="P167" s="257"/>
      <c r="Q167" s="257"/>
      <c r="R167" s="257"/>
      <c r="S167" s="257"/>
      <c r="T167" s="257"/>
      <c r="U167" s="257"/>
      <c r="V167" s="257"/>
      <c r="W167" s="257"/>
      <c r="X167" s="257"/>
      <c r="Y167" s="257"/>
      <c r="Z167" s="257"/>
    </row>
    <row r="168" spans="1:26" ht="21" customHeight="1">
      <c r="A168" s="257"/>
      <c r="B168" s="257"/>
      <c r="C168" s="257"/>
      <c r="D168" s="257"/>
      <c r="E168" s="257"/>
      <c r="F168" s="257"/>
      <c r="G168" s="257"/>
      <c r="H168" s="257"/>
      <c r="I168" s="257"/>
      <c r="J168" s="257"/>
      <c r="K168" s="257"/>
      <c r="L168" s="257"/>
      <c r="M168" s="257"/>
      <c r="N168" s="257"/>
      <c r="O168" s="257"/>
      <c r="P168" s="257"/>
      <c r="Q168" s="257"/>
      <c r="R168" s="257"/>
      <c r="S168" s="257"/>
      <c r="T168" s="257"/>
      <c r="U168" s="257"/>
      <c r="V168" s="257"/>
      <c r="W168" s="257"/>
      <c r="X168" s="257"/>
      <c r="Y168" s="257"/>
      <c r="Z168" s="257"/>
    </row>
    <row r="169" spans="1:26" ht="21" customHeight="1">
      <c r="A169" s="257"/>
      <c r="B169" s="257"/>
      <c r="C169" s="257"/>
      <c r="D169" s="257"/>
      <c r="E169" s="257"/>
      <c r="F169" s="257"/>
      <c r="G169" s="257"/>
      <c r="H169" s="257"/>
      <c r="I169" s="257"/>
      <c r="J169" s="257"/>
      <c r="K169" s="257"/>
      <c r="L169" s="257"/>
      <c r="M169" s="257"/>
      <c r="N169" s="257"/>
      <c r="O169" s="257"/>
      <c r="P169" s="257"/>
      <c r="Q169" s="257"/>
      <c r="R169" s="257"/>
      <c r="S169" s="257"/>
      <c r="T169" s="257"/>
      <c r="U169" s="257"/>
      <c r="V169" s="257"/>
      <c r="W169" s="257"/>
      <c r="X169" s="257"/>
      <c r="Y169" s="257"/>
      <c r="Z169" s="257"/>
    </row>
    <row r="170" spans="1:26" ht="21" customHeight="1">
      <c r="A170" s="257"/>
      <c r="B170" s="257"/>
      <c r="C170" s="257"/>
      <c r="D170" s="257"/>
      <c r="E170" s="257"/>
      <c r="F170" s="257"/>
      <c r="G170" s="257"/>
      <c r="H170" s="257"/>
      <c r="I170" s="257"/>
      <c r="J170" s="257"/>
      <c r="K170" s="257"/>
      <c r="L170" s="257"/>
      <c r="M170" s="257"/>
      <c r="N170" s="257"/>
      <c r="O170" s="257"/>
      <c r="P170" s="257"/>
      <c r="Q170" s="257"/>
      <c r="R170" s="257"/>
      <c r="S170" s="257"/>
      <c r="T170" s="257"/>
      <c r="U170" s="257"/>
      <c r="V170" s="257"/>
      <c r="W170" s="257"/>
      <c r="X170" s="257"/>
      <c r="Y170" s="257"/>
      <c r="Z170" s="257"/>
    </row>
    <row r="171" spans="1:26" ht="21" customHeight="1">
      <c r="A171" s="257"/>
      <c r="B171" s="257"/>
      <c r="C171" s="257"/>
      <c r="D171" s="257"/>
      <c r="E171" s="257"/>
      <c r="F171" s="257"/>
      <c r="G171" s="257"/>
      <c r="H171" s="257"/>
      <c r="I171" s="257"/>
      <c r="J171" s="257"/>
      <c r="K171" s="257"/>
      <c r="L171" s="257"/>
      <c r="M171" s="257"/>
      <c r="N171" s="257"/>
      <c r="O171" s="257"/>
      <c r="P171" s="257"/>
      <c r="Q171" s="257"/>
      <c r="R171" s="257"/>
      <c r="S171" s="257"/>
      <c r="T171" s="257"/>
      <c r="U171" s="257"/>
      <c r="V171" s="257"/>
      <c r="W171" s="257"/>
      <c r="X171" s="257"/>
      <c r="Y171" s="257"/>
      <c r="Z171" s="257"/>
    </row>
    <row r="172" spans="1:26" ht="21" customHeight="1">
      <c r="A172" s="257"/>
      <c r="B172" s="257"/>
      <c r="C172" s="257"/>
      <c r="D172" s="257"/>
      <c r="E172" s="257"/>
      <c r="F172" s="257"/>
      <c r="G172" s="257"/>
      <c r="H172" s="257"/>
      <c r="I172" s="257"/>
      <c r="J172" s="257"/>
      <c r="K172" s="257"/>
      <c r="L172" s="257"/>
      <c r="M172" s="257"/>
      <c r="N172" s="257"/>
      <c r="O172" s="257"/>
      <c r="P172" s="257"/>
      <c r="Q172" s="257"/>
      <c r="R172" s="257"/>
      <c r="S172" s="257"/>
      <c r="T172" s="257"/>
      <c r="U172" s="257"/>
      <c r="V172" s="257"/>
      <c r="W172" s="257"/>
      <c r="X172" s="257"/>
      <c r="Y172" s="257"/>
      <c r="Z172" s="257"/>
    </row>
    <row r="173" spans="1:26" ht="21" customHeight="1">
      <c r="A173" s="257"/>
      <c r="B173" s="257"/>
      <c r="C173" s="257"/>
      <c r="D173" s="257"/>
      <c r="E173" s="257"/>
      <c r="F173" s="257"/>
      <c r="G173" s="257"/>
      <c r="H173" s="257"/>
      <c r="I173" s="257"/>
      <c r="J173" s="257"/>
      <c r="K173" s="257"/>
      <c r="L173" s="257"/>
      <c r="M173" s="257"/>
      <c r="N173" s="257"/>
      <c r="O173" s="257"/>
      <c r="P173" s="257"/>
      <c r="Q173" s="257"/>
      <c r="R173" s="257"/>
      <c r="S173" s="257"/>
      <c r="T173" s="257"/>
      <c r="U173" s="257"/>
      <c r="V173" s="257"/>
      <c r="W173" s="257"/>
      <c r="X173" s="257"/>
      <c r="Y173" s="257"/>
      <c r="Z173" s="257"/>
    </row>
    <row r="174" spans="1:26" ht="21" customHeight="1">
      <c r="A174" s="257"/>
      <c r="B174" s="257"/>
      <c r="C174" s="257"/>
      <c r="D174" s="257"/>
      <c r="E174" s="257"/>
      <c r="F174" s="257"/>
      <c r="G174" s="257"/>
      <c r="H174" s="257"/>
      <c r="I174" s="257"/>
      <c r="J174" s="257"/>
      <c r="K174" s="257"/>
      <c r="L174" s="257"/>
      <c r="M174" s="257"/>
      <c r="N174" s="257"/>
      <c r="O174" s="257"/>
      <c r="P174" s="257"/>
      <c r="Q174" s="257"/>
      <c r="R174" s="257"/>
      <c r="S174" s="257"/>
      <c r="T174" s="257"/>
      <c r="U174" s="257"/>
      <c r="V174" s="257"/>
      <c r="W174" s="257"/>
      <c r="X174" s="257"/>
      <c r="Y174" s="257"/>
      <c r="Z174" s="257"/>
    </row>
    <row r="175" spans="1:26" ht="21" customHeight="1">
      <c r="A175" s="257"/>
      <c r="B175" s="257"/>
      <c r="C175" s="257"/>
      <c r="D175" s="257"/>
      <c r="E175" s="257"/>
      <c r="F175" s="257"/>
      <c r="G175" s="257"/>
      <c r="H175" s="257"/>
      <c r="I175" s="257"/>
      <c r="J175" s="257"/>
      <c r="K175" s="257"/>
      <c r="L175" s="257"/>
      <c r="M175" s="257"/>
      <c r="N175" s="257"/>
      <c r="O175" s="257"/>
      <c r="P175" s="257"/>
      <c r="Q175" s="257"/>
      <c r="R175" s="257"/>
      <c r="S175" s="257"/>
      <c r="T175" s="257"/>
      <c r="U175" s="257"/>
      <c r="V175" s="257"/>
      <c r="W175" s="257"/>
      <c r="X175" s="257"/>
      <c r="Y175" s="257"/>
      <c r="Z175" s="257"/>
    </row>
    <row r="176" spans="1:26" ht="21" customHeight="1">
      <c r="A176" s="257"/>
      <c r="B176" s="257"/>
      <c r="C176" s="257"/>
      <c r="D176" s="257"/>
      <c r="E176" s="257"/>
      <c r="F176" s="257"/>
      <c r="G176" s="257"/>
      <c r="H176" s="257"/>
      <c r="I176" s="257"/>
      <c r="J176" s="257"/>
      <c r="K176" s="257"/>
      <c r="L176" s="257"/>
      <c r="M176" s="257"/>
      <c r="N176" s="257"/>
      <c r="O176" s="257"/>
      <c r="P176" s="257"/>
      <c r="Q176" s="257"/>
      <c r="R176" s="257"/>
      <c r="S176" s="257"/>
      <c r="T176" s="257"/>
      <c r="U176" s="257"/>
      <c r="V176" s="257"/>
      <c r="W176" s="257"/>
      <c r="X176" s="257"/>
      <c r="Y176" s="257"/>
      <c r="Z176" s="257"/>
    </row>
    <row r="177" spans="1:26" ht="21" customHeight="1">
      <c r="A177" s="257"/>
      <c r="B177" s="257"/>
      <c r="C177" s="257"/>
      <c r="D177" s="257"/>
      <c r="E177" s="257"/>
      <c r="F177" s="257"/>
      <c r="G177" s="257"/>
      <c r="H177" s="257"/>
      <c r="I177" s="257"/>
      <c r="J177" s="257"/>
      <c r="K177" s="257"/>
      <c r="L177" s="257"/>
      <c r="M177" s="257"/>
      <c r="N177" s="257"/>
      <c r="O177" s="257"/>
      <c r="P177" s="257"/>
      <c r="Q177" s="257"/>
      <c r="R177" s="257"/>
      <c r="S177" s="257"/>
      <c r="T177" s="257"/>
      <c r="U177" s="257"/>
      <c r="V177" s="257"/>
      <c r="W177" s="257"/>
      <c r="X177" s="257"/>
      <c r="Y177" s="257"/>
      <c r="Z177" s="257"/>
    </row>
    <row r="178" spans="1:26" ht="21" customHeight="1">
      <c r="A178" s="257"/>
      <c r="B178" s="257"/>
      <c r="C178" s="257"/>
      <c r="D178" s="257"/>
      <c r="E178" s="257"/>
      <c r="F178" s="257"/>
      <c r="G178" s="257"/>
      <c r="H178" s="257"/>
      <c r="I178" s="257"/>
      <c r="J178" s="257"/>
      <c r="K178" s="257"/>
      <c r="L178" s="257"/>
      <c r="M178" s="257"/>
      <c r="N178" s="257"/>
      <c r="O178" s="257"/>
      <c r="P178" s="257"/>
      <c r="Q178" s="257"/>
      <c r="R178" s="257"/>
      <c r="S178" s="257"/>
      <c r="T178" s="257"/>
      <c r="U178" s="257"/>
      <c r="V178" s="257"/>
      <c r="W178" s="257"/>
      <c r="X178" s="257"/>
      <c r="Y178" s="257"/>
      <c r="Z178" s="257"/>
    </row>
    <row r="179" spans="1:26" ht="21" customHeight="1">
      <c r="A179" s="257"/>
      <c r="B179" s="257"/>
      <c r="C179" s="257"/>
      <c r="D179" s="257"/>
      <c r="E179" s="257"/>
      <c r="F179" s="257"/>
      <c r="G179" s="257"/>
      <c r="H179" s="257"/>
      <c r="I179" s="257"/>
      <c r="J179" s="257"/>
      <c r="K179" s="257"/>
      <c r="L179" s="257"/>
      <c r="M179" s="257"/>
      <c r="N179" s="257"/>
      <c r="O179" s="257"/>
      <c r="P179" s="257"/>
      <c r="Q179" s="257"/>
      <c r="R179" s="257"/>
      <c r="S179" s="257"/>
      <c r="T179" s="257"/>
      <c r="U179" s="257"/>
      <c r="V179" s="257"/>
      <c r="W179" s="257"/>
      <c r="X179" s="257"/>
      <c r="Y179" s="257"/>
      <c r="Z179" s="257"/>
    </row>
    <row r="180" spans="1:26" ht="21" customHeight="1">
      <c r="A180" s="257"/>
      <c r="B180" s="257"/>
      <c r="C180" s="257"/>
      <c r="D180" s="257"/>
      <c r="E180" s="257"/>
      <c r="F180" s="257"/>
      <c r="G180" s="257"/>
      <c r="H180" s="257"/>
      <c r="I180" s="257"/>
      <c r="J180" s="257"/>
      <c r="K180" s="257"/>
      <c r="L180" s="257"/>
      <c r="M180" s="257"/>
      <c r="N180" s="257"/>
      <c r="O180" s="257"/>
      <c r="P180" s="257"/>
      <c r="Q180" s="257"/>
      <c r="R180" s="257"/>
      <c r="S180" s="257"/>
      <c r="T180" s="257"/>
      <c r="U180" s="257"/>
      <c r="V180" s="257"/>
      <c r="W180" s="257"/>
      <c r="X180" s="257"/>
      <c r="Y180" s="257"/>
      <c r="Z180" s="257"/>
    </row>
    <row r="181" spans="1:26" ht="21" customHeight="1">
      <c r="A181" s="257"/>
      <c r="B181" s="257"/>
      <c r="C181" s="257"/>
      <c r="D181" s="257"/>
      <c r="E181" s="257"/>
      <c r="F181" s="257"/>
      <c r="G181" s="257"/>
      <c r="H181" s="257"/>
      <c r="I181" s="257"/>
      <c r="J181" s="257"/>
      <c r="K181" s="257"/>
      <c r="L181" s="257"/>
      <c r="M181" s="257"/>
      <c r="N181" s="257"/>
      <c r="O181" s="257"/>
      <c r="P181" s="257"/>
      <c r="Q181" s="257"/>
      <c r="R181" s="257"/>
      <c r="S181" s="257"/>
      <c r="T181" s="257"/>
      <c r="U181" s="257"/>
      <c r="V181" s="257"/>
      <c r="W181" s="257"/>
      <c r="X181" s="257"/>
      <c r="Y181" s="257"/>
      <c r="Z181" s="257"/>
    </row>
    <row r="182" spans="1:26" ht="21" customHeight="1">
      <c r="A182" s="257"/>
      <c r="B182" s="257"/>
      <c r="C182" s="257"/>
      <c r="D182" s="257"/>
      <c r="E182" s="257"/>
      <c r="F182" s="257"/>
      <c r="G182" s="257"/>
      <c r="H182" s="257"/>
      <c r="I182" s="257"/>
      <c r="J182" s="257"/>
      <c r="K182" s="257"/>
      <c r="L182" s="257"/>
      <c r="M182" s="257"/>
      <c r="N182" s="257"/>
      <c r="O182" s="257"/>
      <c r="P182" s="257"/>
      <c r="Q182" s="257"/>
      <c r="R182" s="257"/>
      <c r="S182" s="257"/>
      <c r="T182" s="257"/>
      <c r="U182" s="257"/>
      <c r="V182" s="257"/>
      <c r="W182" s="257"/>
      <c r="X182" s="257"/>
      <c r="Y182" s="257"/>
      <c r="Z182" s="257"/>
    </row>
    <row r="183" spans="1:26" ht="21" customHeight="1">
      <c r="A183" s="257"/>
      <c r="B183" s="257"/>
      <c r="C183" s="257"/>
      <c r="D183" s="257"/>
      <c r="E183" s="257"/>
      <c r="F183" s="257"/>
      <c r="G183" s="257"/>
      <c r="H183" s="257"/>
      <c r="I183" s="257"/>
      <c r="J183" s="257"/>
      <c r="K183" s="257"/>
      <c r="L183" s="257"/>
      <c r="M183" s="257"/>
      <c r="N183" s="257"/>
      <c r="O183" s="257"/>
      <c r="P183" s="257"/>
      <c r="Q183" s="257"/>
      <c r="R183" s="257"/>
      <c r="S183" s="257"/>
      <c r="T183" s="257"/>
      <c r="U183" s="257"/>
      <c r="V183" s="257"/>
      <c r="W183" s="257"/>
      <c r="X183" s="257"/>
      <c r="Y183" s="257"/>
      <c r="Z183" s="257"/>
    </row>
    <row r="184" spans="1:26" ht="21" customHeight="1">
      <c r="A184" s="257"/>
      <c r="B184" s="257"/>
      <c r="C184" s="257"/>
      <c r="D184" s="257"/>
      <c r="E184" s="257"/>
      <c r="F184" s="257"/>
      <c r="G184" s="257"/>
      <c r="H184" s="257"/>
      <c r="I184" s="257"/>
      <c r="J184" s="257"/>
      <c r="K184" s="257"/>
      <c r="L184" s="257"/>
      <c r="M184" s="257"/>
      <c r="N184" s="257"/>
      <c r="O184" s="257"/>
      <c r="P184" s="257"/>
      <c r="Q184" s="257"/>
      <c r="R184" s="257"/>
      <c r="S184" s="257"/>
      <c r="T184" s="257"/>
      <c r="U184" s="257"/>
      <c r="V184" s="257"/>
      <c r="W184" s="257"/>
      <c r="X184" s="257"/>
      <c r="Y184" s="257"/>
      <c r="Z184" s="257"/>
    </row>
    <row r="185" spans="1:26" ht="21" customHeight="1">
      <c r="A185" s="257"/>
      <c r="B185" s="257"/>
      <c r="C185" s="257"/>
      <c r="D185" s="257"/>
      <c r="E185" s="257"/>
      <c r="F185" s="257"/>
      <c r="G185" s="257"/>
      <c r="H185" s="257"/>
      <c r="I185" s="257"/>
      <c r="J185" s="257"/>
      <c r="K185" s="257"/>
      <c r="L185" s="257"/>
      <c r="M185" s="257"/>
      <c r="N185" s="257"/>
      <c r="O185" s="257"/>
      <c r="P185" s="257"/>
      <c r="Q185" s="257"/>
      <c r="R185" s="257"/>
      <c r="S185" s="257"/>
      <c r="T185" s="257"/>
      <c r="U185" s="257"/>
      <c r="V185" s="257"/>
      <c r="W185" s="257"/>
      <c r="X185" s="257"/>
      <c r="Y185" s="257"/>
      <c r="Z185" s="257"/>
    </row>
    <row r="186" spans="1:26" ht="21" customHeight="1">
      <c r="A186" s="257"/>
      <c r="B186" s="257"/>
      <c r="C186" s="257"/>
      <c r="D186" s="257"/>
      <c r="E186" s="257"/>
      <c r="F186" s="257"/>
      <c r="G186" s="257"/>
      <c r="H186" s="257"/>
      <c r="I186" s="257"/>
      <c r="J186" s="257"/>
      <c r="K186" s="257"/>
      <c r="L186" s="257"/>
      <c r="M186" s="257"/>
      <c r="N186" s="257"/>
      <c r="O186" s="257"/>
      <c r="P186" s="257"/>
      <c r="Q186" s="257"/>
      <c r="R186" s="257"/>
      <c r="S186" s="257"/>
      <c r="T186" s="257"/>
      <c r="U186" s="257"/>
      <c r="V186" s="257"/>
      <c r="W186" s="257"/>
      <c r="X186" s="257"/>
      <c r="Y186" s="257"/>
      <c r="Z186" s="257"/>
    </row>
    <row r="187" spans="1:26" ht="21" customHeight="1">
      <c r="A187" s="257"/>
      <c r="B187" s="257"/>
      <c r="C187" s="257"/>
      <c r="D187" s="257"/>
      <c r="E187" s="257"/>
      <c r="F187" s="257"/>
      <c r="G187" s="257"/>
      <c r="H187" s="257"/>
      <c r="I187" s="257"/>
      <c r="J187" s="257"/>
      <c r="K187" s="257"/>
      <c r="L187" s="257"/>
      <c r="M187" s="257"/>
      <c r="N187" s="257"/>
      <c r="O187" s="257"/>
      <c r="P187" s="257"/>
      <c r="Q187" s="257"/>
      <c r="R187" s="257"/>
      <c r="S187" s="257"/>
      <c r="T187" s="257"/>
      <c r="U187" s="257"/>
      <c r="V187" s="257"/>
      <c r="W187" s="257"/>
      <c r="X187" s="257"/>
      <c r="Y187" s="257"/>
      <c r="Z187" s="257"/>
    </row>
    <row r="188" spans="1:26" ht="21" customHeight="1">
      <c r="A188" s="257"/>
      <c r="B188" s="257"/>
      <c r="C188" s="257"/>
      <c r="D188" s="257"/>
      <c r="E188" s="257"/>
      <c r="F188" s="257"/>
      <c r="G188" s="257"/>
      <c r="H188" s="257"/>
      <c r="I188" s="257"/>
      <c r="J188" s="257"/>
      <c r="K188" s="257"/>
      <c r="L188" s="257"/>
      <c r="M188" s="257"/>
      <c r="N188" s="257"/>
      <c r="O188" s="257"/>
      <c r="P188" s="257"/>
      <c r="Q188" s="257"/>
      <c r="R188" s="257"/>
      <c r="S188" s="257"/>
      <c r="T188" s="257"/>
      <c r="U188" s="257"/>
      <c r="V188" s="257"/>
      <c r="W188" s="257"/>
      <c r="X188" s="257"/>
      <c r="Y188" s="257"/>
      <c r="Z188" s="257"/>
    </row>
    <row r="189" spans="1:26" ht="21" customHeight="1">
      <c r="A189" s="257"/>
      <c r="B189" s="257"/>
      <c r="C189" s="257"/>
      <c r="D189" s="257"/>
      <c r="E189" s="257"/>
      <c r="F189" s="257"/>
      <c r="G189" s="257"/>
      <c r="H189" s="257"/>
      <c r="I189" s="257"/>
      <c r="J189" s="257"/>
      <c r="K189" s="257"/>
      <c r="L189" s="257"/>
      <c r="M189" s="257"/>
      <c r="N189" s="257"/>
      <c r="O189" s="257"/>
      <c r="P189" s="257"/>
      <c r="Q189" s="257"/>
      <c r="R189" s="257"/>
      <c r="S189" s="257"/>
      <c r="T189" s="257"/>
      <c r="U189" s="257"/>
      <c r="V189" s="257"/>
      <c r="W189" s="257"/>
      <c r="X189" s="257"/>
      <c r="Y189" s="257"/>
      <c r="Z189" s="257"/>
    </row>
    <row r="190" spans="1:26" ht="21" customHeight="1">
      <c r="A190" s="257"/>
      <c r="B190" s="257"/>
      <c r="C190" s="257"/>
      <c r="D190" s="257"/>
      <c r="E190" s="257"/>
      <c r="F190" s="257"/>
      <c r="G190" s="257"/>
      <c r="H190" s="257"/>
      <c r="I190" s="257"/>
      <c r="J190" s="257"/>
      <c r="K190" s="257"/>
      <c r="L190" s="257"/>
      <c r="M190" s="257"/>
      <c r="N190" s="257"/>
      <c r="O190" s="257"/>
      <c r="P190" s="257"/>
      <c r="Q190" s="257"/>
      <c r="R190" s="257"/>
      <c r="S190" s="257"/>
      <c r="T190" s="257"/>
      <c r="U190" s="257"/>
      <c r="V190" s="257"/>
      <c r="W190" s="257"/>
      <c r="X190" s="257"/>
      <c r="Y190" s="257"/>
      <c r="Z190" s="257"/>
    </row>
    <row r="191" spans="1:26" ht="21" customHeight="1">
      <c r="A191" s="257"/>
      <c r="B191" s="257"/>
      <c r="C191" s="257"/>
      <c r="D191" s="257"/>
      <c r="E191" s="257"/>
      <c r="F191" s="257"/>
      <c r="G191" s="257"/>
      <c r="H191" s="257"/>
      <c r="I191" s="257"/>
      <c r="J191" s="257"/>
      <c r="K191" s="257"/>
      <c r="L191" s="257"/>
      <c r="M191" s="257"/>
      <c r="N191" s="257"/>
      <c r="O191" s="257"/>
      <c r="P191" s="257"/>
      <c r="Q191" s="257"/>
      <c r="R191" s="257"/>
      <c r="S191" s="257"/>
      <c r="T191" s="257"/>
      <c r="U191" s="257"/>
      <c r="V191" s="257"/>
      <c r="W191" s="257"/>
      <c r="X191" s="257"/>
      <c r="Y191" s="257"/>
      <c r="Z191" s="257"/>
    </row>
    <row r="192" spans="1:26" ht="21" customHeight="1">
      <c r="A192" s="257"/>
      <c r="B192" s="257"/>
      <c r="C192" s="257"/>
      <c r="D192" s="257"/>
      <c r="E192" s="257"/>
      <c r="F192" s="257"/>
      <c r="G192" s="257"/>
      <c r="H192" s="257"/>
      <c r="I192" s="257"/>
      <c r="J192" s="257"/>
      <c r="K192" s="257"/>
      <c r="L192" s="257"/>
      <c r="M192" s="257"/>
      <c r="N192" s="257"/>
      <c r="O192" s="257"/>
      <c r="P192" s="257"/>
      <c r="Q192" s="257"/>
      <c r="R192" s="257"/>
      <c r="S192" s="257"/>
      <c r="T192" s="257"/>
      <c r="U192" s="257"/>
      <c r="V192" s="257"/>
      <c r="W192" s="257"/>
      <c r="X192" s="257"/>
      <c r="Y192" s="257"/>
      <c r="Z192" s="257"/>
    </row>
    <row r="193" spans="1:26" ht="21" customHeight="1">
      <c r="A193" s="257"/>
      <c r="B193" s="257"/>
      <c r="C193" s="257"/>
      <c r="D193" s="257"/>
      <c r="E193" s="257"/>
      <c r="F193" s="257"/>
      <c r="G193" s="257"/>
      <c r="H193" s="257"/>
      <c r="I193" s="257"/>
      <c r="J193" s="257"/>
      <c r="K193" s="257"/>
      <c r="L193" s="257"/>
      <c r="M193" s="257"/>
      <c r="N193" s="257"/>
      <c r="O193" s="257"/>
      <c r="P193" s="257"/>
      <c r="Q193" s="257"/>
      <c r="R193" s="257"/>
      <c r="S193" s="257"/>
      <c r="T193" s="257"/>
      <c r="U193" s="257"/>
      <c r="V193" s="257"/>
      <c r="W193" s="257"/>
      <c r="X193" s="257"/>
      <c r="Y193" s="257"/>
      <c r="Z193" s="257"/>
    </row>
    <row r="194" spans="1:26" ht="21" customHeight="1">
      <c r="A194" s="257"/>
      <c r="B194" s="257"/>
      <c r="C194" s="257"/>
      <c r="D194" s="257"/>
      <c r="E194" s="257"/>
      <c r="F194" s="257"/>
      <c r="G194" s="257"/>
      <c r="H194" s="257"/>
      <c r="I194" s="257"/>
      <c r="J194" s="257"/>
      <c r="K194" s="257"/>
      <c r="L194" s="257"/>
      <c r="M194" s="257"/>
      <c r="N194" s="257"/>
      <c r="O194" s="257"/>
      <c r="P194" s="257"/>
      <c r="Q194" s="257"/>
      <c r="R194" s="257"/>
      <c r="S194" s="257"/>
      <c r="T194" s="257"/>
      <c r="U194" s="257"/>
      <c r="V194" s="257"/>
      <c r="W194" s="257"/>
      <c r="X194" s="257"/>
      <c r="Y194" s="257"/>
      <c r="Z194" s="257"/>
    </row>
    <row r="195" spans="1:26" ht="21" customHeight="1">
      <c r="A195" s="257"/>
      <c r="B195" s="257"/>
      <c r="C195" s="257"/>
      <c r="D195" s="257"/>
      <c r="E195" s="257"/>
      <c r="F195" s="257"/>
      <c r="G195" s="257"/>
      <c r="H195" s="257"/>
      <c r="I195" s="257"/>
      <c r="J195" s="257"/>
      <c r="K195" s="257"/>
      <c r="L195" s="257"/>
      <c r="M195" s="257"/>
      <c r="N195" s="257"/>
      <c r="O195" s="257"/>
      <c r="P195" s="257"/>
      <c r="Q195" s="257"/>
      <c r="R195" s="257"/>
      <c r="S195" s="257"/>
      <c r="T195" s="257"/>
      <c r="U195" s="257"/>
      <c r="V195" s="257"/>
      <c r="W195" s="257"/>
      <c r="X195" s="257"/>
      <c r="Y195" s="257"/>
      <c r="Z195" s="257"/>
    </row>
    <row r="196" spans="1:26" ht="21" customHeight="1">
      <c r="A196" s="257"/>
      <c r="B196" s="257"/>
      <c r="C196" s="257"/>
      <c r="D196" s="257"/>
      <c r="E196" s="257"/>
      <c r="F196" s="257"/>
      <c r="G196" s="257"/>
      <c r="H196" s="257"/>
      <c r="I196" s="257"/>
      <c r="J196" s="257"/>
      <c r="K196" s="257"/>
      <c r="L196" s="257"/>
      <c r="M196" s="257"/>
      <c r="N196" s="257"/>
      <c r="O196" s="257"/>
      <c r="P196" s="257"/>
      <c r="Q196" s="257"/>
      <c r="R196" s="257"/>
      <c r="S196" s="257"/>
      <c r="T196" s="257"/>
      <c r="U196" s="257"/>
      <c r="V196" s="257"/>
      <c r="W196" s="257"/>
      <c r="X196" s="257"/>
      <c r="Y196" s="257"/>
      <c r="Z196" s="257"/>
    </row>
    <row r="197" spans="1:26" ht="21" customHeight="1">
      <c r="A197" s="257"/>
      <c r="B197" s="257"/>
      <c r="C197" s="257"/>
      <c r="D197" s="257"/>
      <c r="E197" s="257"/>
      <c r="F197" s="257"/>
      <c r="G197" s="257"/>
      <c r="H197" s="257"/>
      <c r="I197" s="257"/>
      <c r="J197" s="257"/>
      <c r="K197" s="257"/>
      <c r="L197" s="257"/>
      <c r="M197" s="257"/>
      <c r="N197" s="257"/>
      <c r="O197" s="257"/>
      <c r="P197" s="257"/>
      <c r="Q197" s="257"/>
      <c r="R197" s="257"/>
      <c r="S197" s="257"/>
      <c r="T197" s="257"/>
      <c r="U197" s="257"/>
      <c r="V197" s="257"/>
      <c r="W197" s="257"/>
      <c r="X197" s="257"/>
      <c r="Y197" s="257"/>
      <c r="Z197" s="257"/>
    </row>
    <row r="198" spans="1:26" ht="21" customHeight="1">
      <c r="A198" s="257"/>
      <c r="B198" s="257"/>
      <c r="C198" s="257"/>
      <c r="D198" s="257"/>
      <c r="E198" s="257"/>
      <c r="F198" s="257"/>
      <c r="G198" s="257"/>
      <c r="H198" s="257"/>
      <c r="I198" s="257"/>
      <c r="J198" s="257"/>
      <c r="K198" s="257"/>
      <c r="L198" s="257"/>
      <c r="M198" s="257"/>
      <c r="N198" s="257"/>
      <c r="O198" s="257"/>
      <c r="P198" s="257"/>
      <c r="Q198" s="257"/>
      <c r="R198" s="257"/>
      <c r="S198" s="257"/>
      <c r="T198" s="257"/>
      <c r="U198" s="257"/>
      <c r="V198" s="257"/>
      <c r="W198" s="257"/>
      <c r="X198" s="257"/>
      <c r="Y198" s="257"/>
      <c r="Z198" s="257"/>
    </row>
    <row r="199" spans="1:26" ht="21" customHeight="1">
      <c r="A199" s="257"/>
      <c r="B199" s="257"/>
      <c r="C199" s="257"/>
      <c r="D199" s="257"/>
      <c r="E199" s="257"/>
      <c r="F199" s="257"/>
      <c r="G199" s="257"/>
      <c r="H199" s="257"/>
      <c r="I199" s="257"/>
      <c r="J199" s="257"/>
      <c r="K199" s="257"/>
      <c r="L199" s="257"/>
      <c r="M199" s="257"/>
      <c r="N199" s="257"/>
      <c r="O199" s="257"/>
      <c r="P199" s="257"/>
      <c r="Q199" s="257"/>
      <c r="R199" s="257"/>
      <c r="S199" s="257"/>
      <c r="T199" s="257"/>
      <c r="U199" s="257"/>
      <c r="V199" s="257"/>
      <c r="W199" s="257"/>
      <c r="X199" s="257"/>
      <c r="Y199" s="257"/>
      <c r="Z199" s="257"/>
    </row>
    <row r="200" spans="1:26" ht="21" customHeight="1">
      <c r="A200" s="257"/>
      <c r="B200" s="257"/>
      <c r="C200" s="257"/>
      <c r="D200" s="257"/>
      <c r="E200" s="257"/>
      <c r="F200" s="257"/>
      <c r="G200" s="257"/>
      <c r="H200" s="257"/>
      <c r="I200" s="257"/>
      <c r="J200" s="257"/>
      <c r="K200" s="257"/>
      <c r="L200" s="257"/>
      <c r="M200" s="257"/>
      <c r="N200" s="257"/>
      <c r="O200" s="257"/>
      <c r="P200" s="257"/>
      <c r="Q200" s="257"/>
      <c r="R200" s="257"/>
      <c r="S200" s="257"/>
      <c r="T200" s="257"/>
      <c r="U200" s="257"/>
      <c r="V200" s="257"/>
      <c r="W200" s="257"/>
      <c r="X200" s="257"/>
      <c r="Y200" s="257"/>
      <c r="Z200" s="257"/>
    </row>
    <row r="201" spans="1:26" ht="21" customHeight="1">
      <c r="A201" s="257"/>
      <c r="B201" s="257"/>
      <c r="C201" s="257"/>
      <c r="D201" s="257"/>
      <c r="E201" s="257"/>
      <c r="F201" s="257"/>
      <c r="G201" s="257"/>
      <c r="H201" s="257"/>
      <c r="I201" s="257"/>
      <c r="J201" s="257"/>
      <c r="K201" s="257"/>
      <c r="L201" s="257"/>
      <c r="M201" s="257"/>
      <c r="N201" s="257"/>
      <c r="O201" s="257"/>
      <c r="P201" s="257"/>
      <c r="Q201" s="257"/>
      <c r="R201" s="257"/>
      <c r="S201" s="257"/>
      <c r="T201" s="257"/>
      <c r="U201" s="257"/>
      <c r="V201" s="257"/>
      <c r="W201" s="257"/>
      <c r="X201" s="257"/>
      <c r="Y201" s="257"/>
      <c r="Z201" s="257"/>
    </row>
    <row r="202" spans="1:26" ht="21" customHeight="1">
      <c r="A202" s="257"/>
      <c r="B202" s="257"/>
      <c r="C202" s="257"/>
      <c r="D202" s="257"/>
      <c r="E202" s="257"/>
      <c r="F202" s="257"/>
      <c r="G202" s="257"/>
      <c r="H202" s="257"/>
      <c r="I202" s="257"/>
      <c r="J202" s="257"/>
      <c r="K202" s="257"/>
      <c r="L202" s="257"/>
      <c r="M202" s="257"/>
      <c r="N202" s="257"/>
      <c r="O202" s="257"/>
      <c r="P202" s="257"/>
      <c r="Q202" s="257"/>
      <c r="R202" s="257"/>
      <c r="S202" s="257"/>
      <c r="T202" s="257"/>
      <c r="U202" s="257"/>
      <c r="V202" s="257"/>
      <c r="W202" s="257"/>
      <c r="X202" s="257"/>
      <c r="Y202" s="257"/>
      <c r="Z202" s="257"/>
    </row>
    <row r="203" spans="1:26" ht="21" customHeight="1">
      <c r="A203" s="257"/>
      <c r="B203" s="257"/>
      <c r="C203" s="257"/>
      <c r="D203" s="257"/>
      <c r="E203" s="257"/>
      <c r="F203" s="257"/>
      <c r="G203" s="257"/>
      <c r="H203" s="257"/>
      <c r="I203" s="257"/>
      <c r="J203" s="257"/>
      <c r="K203" s="257"/>
      <c r="L203" s="257"/>
      <c r="M203" s="257"/>
      <c r="N203" s="257"/>
      <c r="O203" s="257"/>
      <c r="P203" s="257"/>
      <c r="Q203" s="257"/>
      <c r="R203" s="257"/>
      <c r="S203" s="257"/>
      <c r="T203" s="257"/>
      <c r="U203" s="257"/>
      <c r="V203" s="257"/>
      <c r="W203" s="257"/>
      <c r="X203" s="257"/>
      <c r="Y203" s="257"/>
      <c r="Z203" s="257"/>
    </row>
    <row r="204" spans="1:26" ht="21" customHeight="1">
      <c r="A204" s="257"/>
      <c r="B204" s="257"/>
      <c r="C204" s="257"/>
      <c r="D204" s="257"/>
      <c r="E204" s="257"/>
      <c r="F204" s="257"/>
      <c r="G204" s="257"/>
      <c r="H204" s="257"/>
      <c r="I204" s="257"/>
      <c r="J204" s="257"/>
      <c r="K204" s="257"/>
      <c r="L204" s="257"/>
      <c r="M204" s="257"/>
      <c r="N204" s="257"/>
      <c r="O204" s="257"/>
      <c r="P204" s="257"/>
      <c r="Q204" s="257"/>
      <c r="R204" s="257"/>
      <c r="S204" s="257"/>
      <c r="T204" s="257"/>
      <c r="U204" s="257"/>
      <c r="V204" s="257"/>
      <c r="W204" s="257"/>
      <c r="X204" s="257"/>
      <c r="Y204" s="257"/>
      <c r="Z204" s="257"/>
    </row>
    <row r="205" spans="1:26" ht="21" customHeight="1">
      <c r="A205" s="257"/>
      <c r="B205" s="257"/>
      <c r="C205" s="257"/>
      <c r="D205" s="257"/>
      <c r="E205" s="257"/>
      <c r="F205" s="257"/>
      <c r="G205" s="257"/>
      <c r="H205" s="257"/>
      <c r="I205" s="257"/>
      <c r="J205" s="257"/>
      <c r="K205" s="257"/>
      <c r="L205" s="257"/>
      <c r="M205" s="257"/>
      <c r="N205" s="257"/>
      <c r="O205" s="257"/>
      <c r="P205" s="257"/>
      <c r="Q205" s="257"/>
      <c r="R205" s="257"/>
      <c r="S205" s="257"/>
      <c r="T205" s="257"/>
      <c r="U205" s="257"/>
      <c r="V205" s="257"/>
      <c r="W205" s="257"/>
      <c r="X205" s="257"/>
      <c r="Y205" s="257"/>
      <c r="Z205" s="257"/>
    </row>
    <row r="206" spans="1:26" ht="21" customHeight="1">
      <c r="A206" s="257"/>
      <c r="B206" s="257"/>
      <c r="C206" s="257"/>
      <c r="D206" s="257"/>
      <c r="E206" s="257"/>
      <c r="F206" s="257"/>
      <c r="G206" s="257"/>
      <c r="H206" s="257"/>
      <c r="I206" s="257"/>
      <c r="J206" s="257"/>
      <c r="K206" s="257"/>
      <c r="L206" s="257"/>
      <c r="M206" s="257"/>
      <c r="N206" s="257"/>
      <c r="O206" s="257"/>
      <c r="P206" s="257"/>
      <c r="Q206" s="257"/>
      <c r="R206" s="257"/>
      <c r="S206" s="257"/>
      <c r="T206" s="257"/>
      <c r="U206" s="257"/>
      <c r="V206" s="257"/>
      <c r="W206" s="257"/>
      <c r="X206" s="257"/>
      <c r="Y206" s="257"/>
      <c r="Z206" s="257"/>
    </row>
    <row r="207" spans="1:26" ht="21" customHeight="1">
      <c r="A207" s="257"/>
      <c r="B207" s="257"/>
      <c r="C207" s="257"/>
      <c r="D207" s="257"/>
      <c r="E207" s="257"/>
      <c r="F207" s="257"/>
      <c r="G207" s="257"/>
      <c r="H207" s="257"/>
      <c r="I207" s="257"/>
      <c r="J207" s="257"/>
      <c r="K207" s="257"/>
      <c r="L207" s="257"/>
      <c r="M207" s="257"/>
      <c r="N207" s="257"/>
      <c r="O207" s="257"/>
      <c r="P207" s="257"/>
      <c r="Q207" s="257"/>
      <c r="R207" s="257"/>
      <c r="S207" s="257"/>
      <c r="T207" s="257"/>
      <c r="U207" s="257"/>
      <c r="V207" s="257"/>
      <c r="W207" s="257"/>
      <c r="X207" s="257"/>
      <c r="Y207" s="257"/>
      <c r="Z207" s="257"/>
    </row>
    <row r="208" spans="1:26" ht="21" customHeight="1">
      <c r="A208" s="257"/>
      <c r="B208" s="257"/>
      <c r="C208" s="257"/>
      <c r="D208" s="257"/>
      <c r="E208" s="257"/>
      <c r="F208" s="257"/>
      <c r="G208" s="257"/>
      <c r="H208" s="257"/>
      <c r="I208" s="257"/>
      <c r="J208" s="257"/>
      <c r="K208" s="257"/>
      <c r="L208" s="257"/>
      <c r="M208" s="257"/>
      <c r="N208" s="257"/>
      <c r="O208" s="257"/>
      <c r="P208" s="257"/>
      <c r="Q208" s="257"/>
      <c r="R208" s="257"/>
      <c r="S208" s="257"/>
      <c r="T208" s="257"/>
      <c r="U208" s="257"/>
      <c r="V208" s="257"/>
      <c r="W208" s="257"/>
      <c r="X208" s="257"/>
      <c r="Y208" s="257"/>
      <c r="Z208" s="257"/>
    </row>
    <row r="209" spans="1:26" ht="21" customHeight="1">
      <c r="A209" s="257"/>
      <c r="B209" s="257"/>
      <c r="C209" s="257"/>
      <c r="D209" s="257"/>
      <c r="E209" s="257"/>
      <c r="F209" s="257"/>
      <c r="G209" s="257"/>
      <c r="H209" s="257"/>
      <c r="I209" s="257"/>
      <c r="J209" s="257"/>
      <c r="K209" s="257"/>
      <c r="L209" s="257"/>
      <c r="M209" s="257"/>
      <c r="N209" s="257"/>
      <c r="O209" s="257"/>
      <c r="P209" s="257"/>
      <c r="Q209" s="257"/>
      <c r="R209" s="257"/>
      <c r="S209" s="257"/>
      <c r="T209" s="257"/>
      <c r="U209" s="257"/>
      <c r="V209" s="257"/>
      <c r="W209" s="257"/>
      <c r="X209" s="257"/>
      <c r="Y209" s="257"/>
      <c r="Z209" s="257"/>
    </row>
    <row r="210" spans="1:26" ht="21" customHeight="1">
      <c r="A210" s="257"/>
      <c r="B210" s="257"/>
      <c r="C210" s="257"/>
      <c r="D210" s="257"/>
      <c r="E210" s="257"/>
      <c r="F210" s="257"/>
      <c r="G210" s="257"/>
      <c r="H210" s="257"/>
      <c r="I210" s="257"/>
      <c r="J210" s="257"/>
      <c r="K210" s="257"/>
      <c r="L210" s="257"/>
      <c r="M210" s="257"/>
      <c r="N210" s="257"/>
      <c r="O210" s="257"/>
      <c r="P210" s="257"/>
      <c r="Q210" s="257"/>
      <c r="R210" s="257"/>
      <c r="S210" s="257"/>
      <c r="T210" s="257"/>
      <c r="U210" s="257"/>
      <c r="V210" s="257"/>
      <c r="W210" s="257"/>
      <c r="X210" s="257"/>
      <c r="Y210" s="257"/>
      <c r="Z210" s="257"/>
    </row>
    <row r="211" spans="1:26" ht="21" customHeight="1">
      <c r="A211" s="257"/>
      <c r="B211" s="257"/>
      <c r="C211" s="257"/>
      <c r="D211" s="257"/>
      <c r="E211" s="257"/>
      <c r="F211" s="257"/>
      <c r="G211" s="257"/>
      <c r="H211" s="257"/>
      <c r="I211" s="257"/>
      <c r="J211" s="257"/>
      <c r="K211" s="257"/>
      <c r="L211" s="257"/>
      <c r="M211" s="257"/>
      <c r="N211" s="257"/>
      <c r="O211" s="257"/>
      <c r="P211" s="257"/>
      <c r="Q211" s="257"/>
      <c r="R211" s="257"/>
      <c r="S211" s="257"/>
      <c r="T211" s="257"/>
      <c r="U211" s="257"/>
      <c r="V211" s="257"/>
      <c r="W211" s="257"/>
      <c r="X211" s="257"/>
      <c r="Y211" s="257"/>
      <c r="Z211" s="257"/>
    </row>
    <row r="212" spans="1:26" ht="21" customHeight="1">
      <c r="A212" s="257"/>
      <c r="B212" s="257"/>
      <c r="C212" s="257"/>
      <c r="D212" s="257"/>
      <c r="E212" s="257"/>
      <c r="F212" s="257"/>
      <c r="G212" s="257"/>
      <c r="H212" s="257"/>
      <c r="I212" s="257"/>
      <c r="J212" s="257"/>
      <c r="K212" s="257"/>
      <c r="L212" s="257"/>
      <c r="M212" s="257"/>
      <c r="N212" s="257"/>
      <c r="O212" s="257"/>
      <c r="P212" s="257"/>
      <c r="Q212" s="257"/>
      <c r="R212" s="257"/>
      <c r="S212" s="257"/>
      <c r="T212" s="257"/>
      <c r="U212" s="257"/>
      <c r="V212" s="257"/>
      <c r="W212" s="257"/>
      <c r="X212" s="257"/>
      <c r="Y212" s="257"/>
      <c r="Z212" s="257"/>
    </row>
    <row r="213" spans="1:26" ht="21" customHeight="1">
      <c r="A213" s="257"/>
      <c r="B213" s="257"/>
      <c r="C213" s="257"/>
      <c r="D213" s="257"/>
      <c r="E213" s="257"/>
      <c r="F213" s="257"/>
      <c r="G213" s="257"/>
      <c r="H213" s="257"/>
      <c r="I213" s="257"/>
      <c r="J213" s="257"/>
      <c r="K213" s="257"/>
      <c r="L213" s="257"/>
      <c r="M213" s="257"/>
      <c r="N213" s="257"/>
      <c r="O213" s="257"/>
      <c r="P213" s="257"/>
      <c r="Q213" s="257"/>
      <c r="R213" s="257"/>
      <c r="S213" s="257"/>
      <c r="T213" s="257"/>
      <c r="U213" s="257"/>
      <c r="V213" s="257"/>
      <c r="W213" s="257"/>
      <c r="X213" s="257"/>
      <c r="Y213" s="257"/>
      <c r="Z213" s="257"/>
    </row>
    <row r="214" spans="1:26" ht="21" customHeight="1">
      <c r="A214" s="257"/>
      <c r="B214" s="257"/>
      <c r="C214" s="257"/>
      <c r="D214" s="257"/>
      <c r="E214" s="257"/>
      <c r="F214" s="257"/>
      <c r="G214" s="257"/>
      <c r="H214" s="257"/>
      <c r="I214" s="257"/>
      <c r="J214" s="257"/>
      <c r="K214" s="257"/>
      <c r="L214" s="257"/>
      <c r="M214" s="257"/>
      <c r="N214" s="257"/>
      <c r="O214" s="257"/>
      <c r="P214" s="257"/>
      <c r="Q214" s="257"/>
      <c r="R214" s="257"/>
      <c r="S214" s="257"/>
      <c r="T214" s="257"/>
      <c r="U214" s="257"/>
      <c r="V214" s="257"/>
      <c r="W214" s="257"/>
      <c r="X214" s="257"/>
      <c r="Y214" s="257"/>
      <c r="Z214" s="257"/>
    </row>
    <row r="215" spans="1:26" ht="21" customHeight="1">
      <c r="A215" s="257"/>
      <c r="B215" s="257"/>
      <c r="C215" s="257"/>
      <c r="D215" s="257"/>
      <c r="E215" s="257"/>
      <c r="F215" s="257"/>
      <c r="G215" s="257"/>
      <c r="H215" s="257"/>
      <c r="I215" s="257"/>
      <c r="J215" s="257"/>
      <c r="K215" s="257"/>
      <c r="L215" s="257"/>
      <c r="M215" s="257"/>
      <c r="N215" s="257"/>
      <c r="O215" s="257"/>
      <c r="P215" s="257"/>
      <c r="Q215" s="257"/>
      <c r="R215" s="257"/>
      <c r="S215" s="257"/>
      <c r="T215" s="257"/>
      <c r="U215" s="257"/>
      <c r="V215" s="257"/>
      <c r="W215" s="257"/>
      <c r="X215" s="257"/>
      <c r="Y215" s="257"/>
      <c r="Z215" s="257"/>
    </row>
    <row r="216" spans="1:26" ht="21" customHeight="1">
      <c r="A216" s="257"/>
      <c r="B216" s="257"/>
      <c r="C216" s="257"/>
      <c r="D216" s="257"/>
      <c r="E216" s="257"/>
      <c r="F216" s="257"/>
      <c r="G216" s="257"/>
      <c r="H216" s="257"/>
      <c r="I216" s="257"/>
      <c r="J216" s="257"/>
      <c r="K216" s="257"/>
      <c r="L216" s="257"/>
      <c r="M216" s="257"/>
      <c r="N216" s="257"/>
      <c r="O216" s="257"/>
      <c r="P216" s="257"/>
      <c r="Q216" s="257"/>
      <c r="R216" s="257"/>
      <c r="S216" s="257"/>
      <c r="T216" s="257"/>
      <c r="U216" s="257"/>
      <c r="V216" s="257"/>
      <c r="W216" s="257"/>
      <c r="X216" s="257"/>
      <c r="Y216" s="257"/>
      <c r="Z216" s="257"/>
    </row>
    <row r="217" spans="1:26" ht="21" customHeight="1">
      <c r="A217" s="257"/>
      <c r="B217" s="257"/>
      <c r="C217" s="257"/>
      <c r="D217" s="257"/>
      <c r="E217" s="257"/>
      <c r="F217" s="257"/>
      <c r="G217" s="257"/>
      <c r="H217" s="257"/>
      <c r="I217" s="257"/>
      <c r="J217" s="257"/>
      <c r="K217" s="257"/>
      <c r="L217" s="257"/>
      <c r="M217" s="257"/>
      <c r="N217" s="257"/>
      <c r="O217" s="257"/>
      <c r="P217" s="257"/>
      <c r="Q217" s="257"/>
      <c r="R217" s="257"/>
      <c r="S217" s="257"/>
      <c r="T217" s="257"/>
      <c r="U217" s="257"/>
      <c r="V217" s="257"/>
      <c r="W217" s="257"/>
      <c r="X217" s="257"/>
      <c r="Y217" s="257"/>
      <c r="Z217" s="257"/>
    </row>
    <row r="218" spans="1:26" ht="21" customHeight="1">
      <c r="A218" s="257"/>
      <c r="B218" s="257"/>
      <c r="C218" s="257"/>
      <c r="D218" s="257"/>
      <c r="E218" s="257"/>
      <c r="F218" s="257"/>
      <c r="G218" s="257"/>
      <c r="H218" s="257"/>
      <c r="I218" s="257"/>
      <c r="J218" s="257"/>
      <c r="K218" s="257"/>
      <c r="L218" s="257"/>
      <c r="M218" s="257"/>
      <c r="N218" s="257"/>
      <c r="O218" s="257"/>
      <c r="P218" s="257"/>
      <c r="Q218" s="257"/>
      <c r="R218" s="257"/>
      <c r="S218" s="257"/>
      <c r="T218" s="257"/>
      <c r="U218" s="257"/>
      <c r="V218" s="257"/>
      <c r="W218" s="257"/>
      <c r="X218" s="257"/>
      <c r="Y218" s="257"/>
      <c r="Z218" s="257"/>
    </row>
    <row r="219" spans="1:26" ht="21" customHeight="1">
      <c r="A219" s="257"/>
      <c r="B219" s="257"/>
      <c r="C219" s="257"/>
      <c r="D219" s="257"/>
      <c r="E219" s="257"/>
      <c r="F219" s="257"/>
      <c r="G219" s="257"/>
      <c r="H219" s="257"/>
      <c r="I219" s="257"/>
      <c r="J219" s="257"/>
      <c r="K219" s="257"/>
      <c r="L219" s="257"/>
      <c r="M219" s="257"/>
      <c r="N219" s="257"/>
      <c r="O219" s="257"/>
      <c r="P219" s="257"/>
      <c r="Q219" s="257"/>
      <c r="R219" s="257"/>
      <c r="S219" s="257"/>
      <c r="T219" s="257"/>
      <c r="U219" s="257"/>
      <c r="V219" s="257"/>
      <c r="W219" s="257"/>
      <c r="X219" s="257"/>
      <c r="Y219" s="257"/>
      <c r="Z219" s="257"/>
    </row>
    <row r="220" spans="1:26" ht="21" customHeight="1">
      <c r="A220" s="257"/>
      <c r="B220" s="257"/>
      <c r="C220" s="257"/>
      <c r="D220" s="257"/>
      <c r="E220" s="257"/>
      <c r="F220" s="257"/>
      <c r="G220" s="257"/>
      <c r="H220" s="257"/>
      <c r="I220" s="257"/>
      <c r="J220" s="257"/>
      <c r="K220" s="257"/>
      <c r="L220" s="257"/>
      <c r="M220" s="257"/>
      <c r="N220" s="257"/>
      <c r="O220" s="257"/>
      <c r="P220" s="257"/>
      <c r="Q220" s="257"/>
      <c r="R220" s="257"/>
      <c r="S220" s="257"/>
      <c r="T220" s="257"/>
      <c r="U220" s="257"/>
      <c r="V220" s="257"/>
      <c r="W220" s="257"/>
      <c r="X220" s="257"/>
      <c r="Y220" s="257"/>
      <c r="Z220" s="257"/>
    </row>
    <row r="221" spans="1:26" ht="21" customHeight="1">
      <c r="A221" s="257"/>
      <c r="B221" s="257"/>
      <c r="C221" s="257"/>
      <c r="D221" s="257"/>
      <c r="E221" s="257"/>
      <c r="F221" s="257"/>
      <c r="G221" s="257"/>
      <c r="H221" s="257"/>
      <c r="I221" s="257"/>
      <c r="J221" s="257"/>
      <c r="K221" s="257"/>
      <c r="L221" s="257"/>
      <c r="M221" s="257"/>
      <c r="N221" s="257"/>
      <c r="O221" s="257"/>
      <c r="P221" s="257"/>
      <c r="Q221" s="257"/>
      <c r="R221" s="257"/>
      <c r="S221" s="257"/>
      <c r="T221" s="257"/>
      <c r="U221" s="257"/>
      <c r="V221" s="257"/>
      <c r="W221" s="257"/>
      <c r="X221" s="257"/>
      <c r="Y221" s="257"/>
      <c r="Z221" s="257"/>
    </row>
    <row r="222" spans="1:26" ht="21" customHeight="1">
      <c r="A222" s="257"/>
      <c r="B222" s="257"/>
      <c r="C222" s="257"/>
      <c r="D222" s="257"/>
      <c r="E222" s="257"/>
      <c r="F222" s="257"/>
      <c r="G222" s="257"/>
      <c r="H222" s="257"/>
      <c r="I222" s="257"/>
      <c r="J222" s="257"/>
      <c r="K222" s="257"/>
      <c r="L222" s="257"/>
      <c r="M222" s="257"/>
      <c r="N222" s="257"/>
      <c r="O222" s="257"/>
      <c r="P222" s="257"/>
      <c r="Q222" s="257"/>
      <c r="R222" s="257"/>
      <c r="S222" s="257"/>
      <c r="T222" s="257"/>
      <c r="U222" s="257"/>
      <c r="V222" s="257"/>
      <c r="W222" s="257"/>
      <c r="X222" s="257"/>
      <c r="Y222" s="257"/>
      <c r="Z222" s="257"/>
    </row>
    <row r="223" spans="1:26" ht="21" customHeight="1">
      <c r="A223" s="257"/>
      <c r="B223" s="257"/>
      <c r="C223" s="257"/>
      <c r="D223" s="257"/>
      <c r="E223" s="257"/>
      <c r="F223" s="257"/>
      <c r="G223" s="257"/>
      <c r="H223" s="257"/>
      <c r="I223" s="257"/>
      <c r="J223" s="257"/>
      <c r="K223" s="257"/>
      <c r="L223" s="257"/>
      <c r="M223" s="257"/>
      <c r="N223" s="257"/>
      <c r="O223" s="257"/>
      <c r="P223" s="257"/>
      <c r="Q223" s="257"/>
      <c r="R223" s="257"/>
      <c r="S223" s="257"/>
      <c r="T223" s="257"/>
      <c r="U223" s="257"/>
      <c r="V223" s="257"/>
      <c r="W223" s="257"/>
      <c r="X223" s="257"/>
      <c r="Y223" s="257"/>
      <c r="Z223" s="257"/>
    </row>
    <row r="224" spans="1:26" ht="21" customHeight="1">
      <c r="A224" s="257"/>
      <c r="B224" s="257"/>
      <c r="C224" s="257"/>
      <c r="D224" s="257"/>
      <c r="E224" s="257"/>
      <c r="F224" s="257"/>
      <c r="G224" s="257"/>
      <c r="H224" s="257"/>
      <c r="I224" s="257"/>
      <c r="J224" s="257"/>
      <c r="K224" s="257"/>
      <c r="L224" s="257"/>
      <c r="M224" s="257"/>
      <c r="N224" s="257"/>
      <c r="O224" s="257"/>
      <c r="P224" s="257"/>
      <c r="Q224" s="257"/>
      <c r="R224" s="257"/>
      <c r="S224" s="257"/>
      <c r="T224" s="257"/>
      <c r="U224" s="257"/>
      <c r="V224" s="257"/>
      <c r="W224" s="257"/>
      <c r="X224" s="257"/>
      <c r="Y224" s="257"/>
      <c r="Z224" s="257"/>
    </row>
    <row r="225" spans="1:26" ht="21" customHeight="1">
      <c r="A225" s="257"/>
      <c r="B225" s="257"/>
      <c r="C225" s="257"/>
      <c r="D225" s="257"/>
      <c r="E225" s="257"/>
      <c r="F225" s="257"/>
      <c r="G225" s="257"/>
      <c r="H225" s="257"/>
      <c r="I225" s="257"/>
      <c r="J225" s="257"/>
      <c r="K225" s="257"/>
      <c r="L225" s="257"/>
      <c r="M225" s="257"/>
      <c r="N225" s="257"/>
      <c r="O225" s="257"/>
      <c r="P225" s="257"/>
      <c r="Q225" s="257"/>
      <c r="R225" s="257"/>
      <c r="S225" s="257"/>
      <c r="T225" s="257"/>
      <c r="U225" s="257"/>
      <c r="V225" s="257"/>
      <c r="W225" s="257"/>
      <c r="X225" s="257"/>
      <c r="Y225" s="257"/>
      <c r="Z225" s="257"/>
    </row>
    <row r="226" spans="1:26" ht="21" customHeight="1">
      <c r="A226" s="257"/>
      <c r="B226" s="257"/>
      <c r="C226" s="257"/>
      <c r="D226" s="257"/>
      <c r="E226" s="257"/>
      <c r="F226" s="257"/>
      <c r="G226" s="257"/>
      <c r="H226" s="257"/>
      <c r="I226" s="257"/>
      <c r="J226" s="257"/>
      <c r="K226" s="257"/>
      <c r="L226" s="257"/>
      <c r="M226" s="257"/>
      <c r="N226" s="257"/>
      <c r="O226" s="257"/>
      <c r="P226" s="257"/>
      <c r="Q226" s="257"/>
      <c r="R226" s="257"/>
      <c r="S226" s="257"/>
      <c r="T226" s="257"/>
      <c r="U226" s="257"/>
      <c r="V226" s="257"/>
      <c r="W226" s="257"/>
      <c r="X226" s="257"/>
      <c r="Y226" s="257"/>
      <c r="Z226" s="257"/>
    </row>
    <row r="227" spans="1:26" ht="21" customHeight="1">
      <c r="A227" s="257"/>
      <c r="B227" s="257"/>
      <c r="C227" s="257"/>
      <c r="D227" s="257"/>
      <c r="E227" s="257"/>
      <c r="F227" s="257"/>
      <c r="G227" s="257"/>
      <c r="H227" s="257"/>
      <c r="I227" s="257"/>
      <c r="J227" s="257"/>
      <c r="K227" s="257"/>
      <c r="L227" s="257"/>
      <c r="M227" s="257"/>
      <c r="N227" s="257"/>
      <c r="O227" s="257"/>
      <c r="P227" s="257"/>
      <c r="Q227" s="257"/>
      <c r="R227" s="257"/>
      <c r="S227" s="257"/>
      <c r="T227" s="257"/>
      <c r="U227" s="257"/>
      <c r="V227" s="257"/>
      <c r="W227" s="257"/>
      <c r="X227" s="257"/>
      <c r="Y227" s="257"/>
      <c r="Z227" s="257"/>
    </row>
    <row r="228" spans="1:26" ht="21" customHeight="1">
      <c r="A228" s="257"/>
      <c r="B228" s="257"/>
      <c r="C228" s="257"/>
      <c r="D228" s="257"/>
      <c r="E228" s="257"/>
      <c r="F228" s="257"/>
      <c r="G228" s="257"/>
      <c r="H228" s="257"/>
      <c r="I228" s="257"/>
      <c r="J228" s="257"/>
      <c r="K228" s="257"/>
      <c r="L228" s="257"/>
      <c r="M228" s="257"/>
      <c r="N228" s="257"/>
      <c r="O228" s="257"/>
      <c r="P228" s="257"/>
      <c r="Q228" s="257"/>
      <c r="R228" s="257"/>
      <c r="S228" s="257"/>
      <c r="T228" s="257"/>
      <c r="U228" s="257"/>
      <c r="V228" s="257"/>
      <c r="W228" s="257"/>
      <c r="X228" s="257"/>
      <c r="Y228" s="257"/>
      <c r="Z228" s="257"/>
    </row>
    <row r="229" spans="1:26" ht="21" customHeight="1">
      <c r="A229" s="257"/>
      <c r="B229" s="257"/>
      <c r="C229" s="257"/>
      <c r="D229" s="257"/>
      <c r="E229" s="257"/>
      <c r="F229" s="257"/>
      <c r="G229" s="257"/>
      <c r="H229" s="257"/>
      <c r="I229" s="257"/>
      <c r="J229" s="257"/>
      <c r="K229" s="257"/>
      <c r="L229" s="257"/>
      <c r="M229" s="257"/>
      <c r="N229" s="257"/>
      <c r="O229" s="257"/>
      <c r="P229" s="257"/>
      <c r="Q229" s="257"/>
      <c r="R229" s="257"/>
      <c r="S229" s="257"/>
      <c r="T229" s="257"/>
      <c r="U229" s="257"/>
      <c r="V229" s="257"/>
      <c r="W229" s="257"/>
      <c r="X229" s="257"/>
      <c r="Y229" s="257"/>
      <c r="Z229" s="257"/>
    </row>
    <row r="230" spans="1:26" ht="21" customHeight="1">
      <c r="A230" s="257"/>
      <c r="B230" s="257"/>
      <c r="C230" s="257"/>
      <c r="D230" s="257"/>
      <c r="E230" s="257"/>
      <c r="F230" s="257"/>
      <c r="G230" s="257"/>
      <c r="H230" s="257"/>
      <c r="I230" s="257"/>
      <c r="J230" s="257"/>
      <c r="K230" s="257"/>
      <c r="L230" s="257"/>
      <c r="M230" s="257"/>
      <c r="N230" s="257"/>
      <c r="O230" s="257"/>
      <c r="P230" s="257"/>
      <c r="Q230" s="257"/>
      <c r="R230" s="257"/>
      <c r="S230" s="257"/>
      <c r="T230" s="257"/>
      <c r="U230" s="257"/>
      <c r="V230" s="257"/>
      <c r="W230" s="257"/>
      <c r="X230" s="257"/>
      <c r="Y230" s="257"/>
      <c r="Z230" s="257"/>
    </row>
    <row r="231" spans="1:26" ht="21" customHeight="1">
      <c r="A231" s="257"/>
      <c r="B231" s="257"/>
      <c r="C231" s="257"/>
      <c r="D231" s="257"/>
      <c r="E231" s="257"/>
      <c r="F231" s="257"/>
      <c r="G231" s="257"/>
      <c r="H231" s="257"/>
      <c r="I231" s="257"/>
      <c r="J231" s="257"/>
      <c r="K231" s="257"/>
      <c r="L231" s="257"/>
      <c r="M231" s="257"/>
      <c r="N231" s="257"/>
      <c r="O231" s="257"/>
      <c r="P231" s="257"/>
      <c r="Q231" s="257"/>
      <c r="R231" s="257"/>
      <c r="S231" s="257"/>
      <c r="T231" s="257"/>
      <c r="U231" s="257"/>
      <c r="V231" s="257"/>
      <c r="W231" s="257"/>
      <c r="X231" s="257"/>
      <c r="Y231" s="257"/>
      <c r="Z231" s="257"/>
    </row>
    <row r="232" spans="1:26" ht="21" customHeight="1">
      <c r="A232" s="257"/>
      <c r="B232" s="257"/>
      <c r="C232" s="257"/>
      <c r="D232" s="257"/>
      <c r="E232" s="257"/>
      <c r="F232" s="257"/>
      <c r="G232" s="257"/>
      <c r="H232" s="257"/>
      <c r="I232" s="257"/>
      <c r="J232" s="257"/>
      <c r="K232" s="257"/>
      <c r="L232" s="257"/>
      <c r="M232" s="257"/>
      <c r="N232" s="257"/>
      <c r="O232" s="257"/>
      <c r="P232" s="257"/>
      <c r="Q232" s="257"/>
      <c r="R232" s="257"/>
      <c r="S232" s="257"/>
      <c r="T232" s="257"/>
      <c r="U232" s="257"/>
      <c r="V232" s="257"/>
      <c r="W232" s="257"/>
      <c r="X232" s="257"/>
      <c r="Y232" s="257"/>
      <c r="Z232" s="257"/>
    </row>
    <row r="233" spans="1:26" ht="21" customHeight="1">
      <c r="A233" s="257"/>
      <c r="B233" s="257"/>
      <c r="C233" s="257"/>
      <c r="D233" s="257"/>
      <c r="E233" s="257"/>
      <c r="F233" s="257"/>
      <c r="G233" s="257"/>
      <c r="H233" s="257"/>
      <c r="I233" s="257"/>
      <c r="J233" s="257"/>
      <c r="K233" s="257"/>
      <c r="L233" s="257"/>
      <c r="M233" s="257"/>
      <c r="N233" s="257"/>
      <c r="O233" s="257"/>
      <c r="P233" s="257"/>
      <c r="Q233" s="257"/>
      <c r="R233" s="257"/>
      <c r="S233" s="257"/>
      <c r="T233" s="257"/>
      <c r="U233" s="257"/>
      <c r="V233" s="257"/>
      <c r="W233" s="257"/>
      <c r="X233" s="257"/>
      <c r="Y233" s="257"/>
      <c r="Z233" s="257"/>
    </row>
    <row r="234" spans="1:26" ht="21" customHeight="1">
      <c r="A234" s="257"/>
      <c r="B234" s="257"/>
      <c r="C234" s="257"/>
      <c r="D234" s="257"/>
      <c r="E234" s="257"/>
      <c r="F234" s="257"/>
      <c r="G234" s="257"/>
      <c r="H234" s="257"/>
      <c r="I234" s="257"/>
      <c r="J234" s="257"/>
      <c r="K234" s="257"/>
      <c r="L234" s="257"/>
      <c r="M234" s="257"/>
      <c r="N234" s="257"/>
      <c r="O234" s="257"/>
      <c r="P234" s="257"/>
      <c r="Q234" s="257"/>
      <c r="R234" s="257"/>
      <c r="S234" s="257"/>
      <c r="T234" s="257"/>
      <c r="U234" s="257"/>
      <c r="V234" s="257"/>
      <c r="W234" s="257"/>
      <c r="X234" s="257"/>
      <c r="Y234" s="257"/>
      <c r="Z234" s="257"/>
    </row>
    <row r="235" spans="1:26" ht="21" customHeight="1">
      <c r="A235" s="257"/>
      <c r="B235" s="257"/>
      <c r="C235" s="257"/>
      <c r="D235" s="257"/>
      <c r="E235" s="257"/>
      <c r="F235" s="257"/>
      <c r="G235" s="257"/>
      <c r="H235" s="257"/>
      <c r="I235" s="257"/>
      <c r="J235" s="257"/>
      <c r="K235" s="257"/>
      <c r="L235" s="257"/>
      <c r="M235" s="257"/>
      <c r="N235" s="257"/>
      <c r="O235" s="257"/>
      <c r="P235" s="257"/>
      <c r="Q235" s="257"/>
      <c r="R235" s="257"/>
      <c r="S235" s="257"/>
      <c r="T235" s="257"/>
      <c r="U235" s="257"/>
      <c r="V235" s="257"/>
      <c r="W235" s="257"/>
      <c r="X235" s="257"/>
      <c r="Y235" s="257"/>
      <c r="Z235" s="257"/>
    </row>
    <row r="236" spans="1:26" ht="21" customHeight="1">
      <c r="A236" s="257"/>
      <c r="B236" s="257"/>
      <c r="C236" s="257"/>
      <c r="D236" s="257"/>
      <c r="E236" s="257"/>
      <c r="F236" s="257"/>
      <c r="G236" s="257"/>
      <c r="H236" s="257"/>
      <c r="I236" s="257"/>
      <c r="J236" s="257"/>
      <c r="K236" s="257"/>
      <c r="L236" s="257"/>
      <c r="M236" s="257"/>
      <c r="N236" s="257"/>
      <c r="O236" s="257"/>
      <c r="P236" s="257"/>
      <c r="Q236" s="257"/>
      <c r="R236" s="257"/>
      <c r="S236" s="257"/>
      <c r="T236" s="257"/>
      <c r="U236" s="257"/>
      <c r="V236" s="257"/>
      <c r="W236" s="257"/>
      <c r="X236" s="257"/>
      <c r="Y236" s="257"/>
      <c r="Z236" s="257"/>
    </row>
    <row r="237" spans="1:26" ht="21" customHeight="1">
      <c r="A237" s="257"/>
      <c r="B237" s="257"/>
      <c r="C237" s="257"/>
      <c r="D237" s="257"/>
      <c r="E237" s="257"/>
      <c r="F237" s="257"/>
      <c r="G237" s="257"/>
      <c r="H237" s="257"/>
      <c r="I237" s="257"/>
      <c r="J237" s="257"/>
      <c r="K237" s="257"/>
      <c r="L237" s="257"/>
      <c r="M237" s="257"/>
      <c r="N237" s="257"/>
      <c r="O237" s="257"/>
      <c r="P237" s="257"/>
      <c r="Q237" s="257"/>
      <c r="R237" s="257"/>
      <c r="S237" s="257"/>
      <c r="T237" s="257"/>
      <c r="U237" s="257"/>
      <c r="V237" s="257"/>
      <c r="W237" s="257"/>
      <c r="X237" s="257"/>
      <c r="Y237" s="257"/>
      <c r="Z237" s="257"/>
    </row>
    <row r="238" spans="1:26" ht="21" customHeight="1">
      <c r="A238" s="257"/>
      <c r="B238" s="257"/>
      <c r="C238" s="257"/>
      <c r="D238" s="257"/>
      <c r="E238" s="257"/>
      <c r="F238" s="257"/>
      <c r="G238" s="257"/>
      <c r="H238" s="257"/>
      <c r="I238" s="257"/>
      <c r="J238" s="257"/>
      <c r="K238" s="257"/>
      <c r="L238" s="257"/>
      <c r="M238" s="257"/>
      <c r="N238" s="257"/>
      <c r="O238" s="257"/>
      <c r="P238" s="257"/>
      <c r="Q238" s="257"/>
      <c r="R238" s="257"/>
      <c r="S238" s="257"/>
      <c r="T238" s="257"/>
      <c r="U238" s="257"/>
      <c r="V238" s="257"/>
      <c r="W238" s="257"/>
      <c r="X238" s="257"/>
      <c r="Y238" s="257"/>
      <c r="Z238" s="257"/>
    </row>
    <row r="239" spans="1:26" ht="21" customHeight="1">
      <c r="A239" s="257"/>
      <c r="B239" s="257"/>
      <c r="C239" s="257"/>
      <c r="D239" s="257"/>
      <c r="E239" s="257"/>
      <c r="F239" s="257"/>
      <c r="G239" s="257"/>
      <c r="H239" s="257"/>
      <c r="I239" s="257"/>
      <c r="J239" s="257"/>
      <c r="K239" s="257"/>
      <c r="L239" s="257"/>
      <c r="M239" s="257"/>
      <c r="N239" s="257"/>
      <c r="O239" s="257"/>
      <c r="P239" s="257"/>
      <c r="Q239" s="257"/>
      <c r="R239" s="257"/>
      <c r="S239" s="257"/>
      <c r="T239" s="257"/>
      <c r="U239" s="257"/>
      <c r="V239" s="257"/>
      <c r="W239" s="257"/>
      <c r="X239" s="257"/>
      <c r="Y239" s="257"/>
      <c r="Z239" s="257"/>
    </row>
    <row r="240" spans="1:26" ht="21" customHeight="1">
      <c r="A240" s="257"/>
      <c r="B240" s="257"/>
      <c r="C240" s="257"/>
      <c r="D240" s="257"/>
      <c r="E240" s="257"/>
      <c r="F240" s="257"/>
      <c r="G240" s="257"/>
      <c r="H240" s="257"/>
      <c r="I240" s="257"/>
      <c r="J240" s="257"/>
      <c r="K240" s="257"/>
      <c r="L240" s="257"/>
      <c r="M240" s="257"/>
      <c r="N240" s="257"/>
      <c r="O240" s="257"/>
      <c r="P240" s="257"/>
      <c r="Q240" s="257"/>
      <c r="R240" s="257"/>
      <c r="S240" s="257"/>
      <c r="T240" s="257"/>
      <c r="U240" s="257"/>
      <c r="V240" s="257"/>
      <c r="W240" s="257"/>
      <c r="X240" s="257"/>
      <c r="Y240" s="257"/>
      <c r="Z240" s="257"/>
    </row>
    <row r="241" spans="1:26" ht="21" customHeight="1">
      <c r="A241" s="257"/>
      <c r="B241" s="257"/>
      <c r="C241" s="257"/>
      <c r="D241" s="257"/>
      <c r="E241" s="257"/>
      <c r="F241" s="257"/>
      <c r="G241" s="257"/>
      <c r="H241" s="257"/>
      <c r="I241" s="257"/>
      <c r="J241" s="257"/>
      <c r="K241" s="257"/>
      <c r="L241" s="257"/>
      <c r="M241" s="257"/>
      <c r="N241" s="257"/>
      <c r="O241" s="257"/>
      <c r="P241" s="257"/>
      <c r="Q241" s="257"/>
      <c r="R241" s="257"/>
      <c r="S241" s="257"/>
      <c r="T241" s="257"/>
      <c r="U241" s="257"/>
      <c r="V241" s="257"/>
      <c r="W241" s="257"/>
      <c r="X241" s="257"/>
      <c r="Y241" s="257"/>
      <c r="Z241" s="257"/>
    </row>
    <row r="242" spans="1:26" ht="21" customHeight="1">
      <c r="A242" s="257"/>
      <c r="B242" s="257"/>
      <c r="C242" s="257"/>
      <c r="D242" s="257"/>
      <c r="E242" s="257"/>
      <c r="F242" s="257"/>
      <c r="G242" s="257"/>
      <c r="H242" s="257"/>
      <c r="I242" s="257"/>
      <c r="J242" s="257"/>
      <c r="K242" s="257"/>
      <c r="L242" s="257"/>
      <c r="M242" s="257"/>
      <c r="N242" s="257"/>
      <c r="O242" s="257"/>
      <c r="P242" s="257"/>
      <c r="Q242" s="257"/>
      <c r="R242" s="257"/>
      <c r="S242" s="257"/>
      <c r="T242" s="257"/>
      <c r="U242" s="257"/>
      <c r="V242" s="257"/>
      <c r="W242" s="257"/>
      <c r="X242" s="257"/>
      <c r="Y242" s="257"/>
      <c r="Z242" s="257"/>
    </row>
    <row r="243" spans="1:26" ht="21" customHeight="1">
      <c r="A243" s="257"/>
      <c r="B243" s="257"/>
      <c r="C243" s="257"/>
      <c r="D243" s="257"/>
      <c r="E243" s="257"/>
      <c r="F243" s="257"/>
      <c r="G243" s="257"/>
      <c r="H243" s="257"/>
      <c r="I243" s="257"/>
      <c r="J243" s="257"/>
      <c r="K243" s="257"/>
      <c r="L243" s="257"/>
      <c r="M243" s="257"/>
      <c r="N243" s="257"/>
      <c r="O243" s="257"/>
      <c r="P243" s="257"/>
      <c r="Q243" s="257"/>
      <c r="R243" s="257"/>
      <c r="S243" s="257"/>
      <c r="T243" s="257"/>
      <c r="U243" s="257"/>
      <c r="V243" s="257"/>
      <c r="W243" s="257"/>
      <c r="X243" s="257"/>
      <c r="Y243" s="257"/>
      <c r="Z243" s="257"/>
    </row>
    <row r="244" spans="1:26" ht="21" customHeight="1">
      <c r="A244" s="257"/>
      <c r="B244" s="257"/>
      <c r="C244" s="257"/>
      <c r="D244" s="257"/>
      <c r="E244" s="257"/>
      <c r="F244" s="257"/>
      <c r="G244" s="257"/>
      <c r="H244" s="257"/>
      <c r="I244" s="257"/>
      <c r="J244" s="257"/>
      <c r="K244" s="257"/>
      <c r="L244" s="257"/>
      <c r="M244" s="257"/>
      <c r="N244" s="257"/>
      <c r="O244" s="257"/>
      <c r="P244" s="257"/>
      <c r="Q244" s="257"/>
      <c r="R244" s="257"/>
      <c r="S244" s="257"/>
      <c r="T244" s="257"/>
      <c r="U244" s="257"/>
      <c r="V244" s="257"/>
      <c r="W244" s="257"/>
      <c r="X244" s="257"/>
      <c r="Y244" s="257"/>
      <c r="Z244" s="257"/>
    </row>
    <row r="245" spans="1:26" ht="21" customHeight="1">
      <c r="A245" s="257"/>
      <c r="B245" s="257"/>
      <c r="C245" s="257"/>
      <c r="D245" s="257"/>
      <c r="E245" s="257"/>
      <c r="F245" s="257"/>
      <c r="G245" s="257"/>
      <c r="H245" s="257"/>
      <c r="I245" s="257"/>
      <c r="J245" s="257"/>
      <c r="K245" s="257"/>
      <c r="L245" s="257"/>
      <c r="M245" s="257"/>
      <c r="N245" s="257"/>
      <c r="O245" s="257"/>
      <c r="P245" s="257"/>
      <c r="Q245" s="257"/>
      <c r="R245" s="257"/>
      <c r="S245" s="257"/>
      <c r="T245" s="257"/>
      <c r="U245" s="257"/>
      <c r="V245" s="257"/>
      <c r="W245" s="257"/>
      <c r="X245" s="257"/>
      <c r="Y245" s="257"/>
      <c r="Z245" s="257"/>
    </row>
    <row r="246" spans="1:26" ht="21" customHeight="1">
      <c r="A246" s="257"/>
      <c r="B246" s="257"/>
      <c r="C246" s="257"/>
      <c r="D246" s="257"/>
      <c r="E246" s="257"/>
      <c r="F246" s="257"/>
      <c r="G246" s="257"/>
      <c r="H246" s="257"/>
      <c r="I246" s="257"/>
      <c r="J246" s="257"/>
      <c r="K246" s="257"/>
      <c r="L246" s="257"/>
      <c r="M246" s="257"/>
      <c r="N246" s="257"/>
      <c r="O246" s="257"/>
      <c r="P246" s="257"/>
      <c r="Q246" s="257"/>
      <c r="R246" s="257"/>
      <c r="S246" s="257"/>
      <c r="T246" s="257"/>
      <c r="U246" s="257"/>
      <c r="V246" s="257"/>
      <c r="W246" s="257"/>
      <c r="X246" s="257"/>
      <c r="Y246" s="257"/>
      <c r="Z246" s="257"/>
    </row>
    <row r="247" spans="1:26" ht="21" customHeight="1">
      <c r="A247" s="257"/>
      <c r="B247" s="257"/>
      <c r="C247" s="257"/>
      <c r="D247" s="257"/>
      <c r="E247" s="257"/>
      <c r="F247" s="257"/>
      <c r="G247" s="257"/>
      <c r="H247" s="257"/>
      <c r="I247" s="257"/>
      <c r="J247" s="257"/>
      <c r="K247" s="257"/>
      <c r="L247" s="257"/>
      <c r="M247" s="257"/>
      <c r="N247" s="257"/>
      <c r="O247" s="257"/>
      <c r="P247" s="257"/>
      <c r="Q247" s="257"/>
      <c r="R247" s="257"/>
      <c r="S247" s="257"/>
      <c r="T247" s="257"/>
      <c r="U247" s="257"/>
      <c r="V247" s="257"/>
      <c r="W247" s="257"/>
      <c r="X247" s="257"/>
      <c r="Y247" s="257"/>
      <c r="Z247" s="257"/>
    </row>
    <row r="248" spans="1:26" ht="21" customHeight="1">
      <c r="A248" s="257"/>
      <c r="B248" s="257"/>
      <c r="C248" s="257"/>
      <c r="D248" s="257"/>
      <c r="E248" s="257"/>
      <c r="F248" s="257"/>
      <c r="G248" s="257"/>
      <c r="H248" s="257"/>
      <c r="I248" s="257"/>
      <c r="J248" s="257"/>
      <c r="K248" s="257"/>
      <c r="L248" s="257"/>
      <c r="M248" s="257"/>
      <c r="N248" s="257"/>
      <c r="O248" s="257"/>
      <c r="P248" s="257"/>
      <c r="Q248" s="257"/>
      <c r="R248" s="257"/>
      <c r="S248" s="257"/>
      <c r="T248" s="257"/>
      <c r="U248" s="257"/>
      <c r="V248" s="257"/>
      <c r="W248" s="257"/>
      <c r="X248" s="257"/>
      <c r="Y248" s="257"/>
      <c r="Z248" s="257"/>
    </row>
    <row r="249" spans="1:26" ht="21" customHeight="1">
      <c r="A249" s="257"/>
      <c r="B249" s="257"/>
      <c r="C249" s="257"/>
      <c r="D249" s="257"/>
      <c r="E249" s="257"/>
      <c r="F249" s="257"/>
      <c r="G249" s="257"/>
      <c r="H249" s="257"/>
      <c r="I249" s="257"/>
      <c r="J249" s="257"/>
      <c r="K249" s="257"/>
      <c r="L249" s="257"/>
      <c r="M249" s="257"/>
      <c r="N249" s="257"/>
      <c r="O249" s="257"/>
      <c r="P249" s="257"/>
      <c r="Q249" s="257"/>
      <c r="R249" s="257"/>
      <c r="S249" s="257"/>
      <c r="T249" s="257"/>
      <c r="U249" s="257"/>
      <c r="V249" s="257"/>
      <c r="W249" s="257"/>
      <c r="X249" s="257"/>
      <c r="Y249" s="257"/>
      <c r="Z249" s="257"/>
    </row>
    <row r="250" spans="1:26" ht="21" customHeight="1">
      <c r="A250" s="257"/>
      <c r="B250" s="257"/>
      <c r="C250" s="257"/>
      <c r="D250" s="257"/>
      <c r="E250" s="257"/>
      <c r="F250" s="257"/>
      <c r="G250" s="257"/>
      <c r="H250" s="257"/>
      <c r="I250" s="257"/>
      <c r="J250" s="257"/>
      <c r="K250" s="257"/>
      <c r="L250" s="257"/>
      <c r="M250" s="257"/>
      <c r="N250" s="257"/>
      <c r="O250" s="257"/>
      <c r="P250" s="257"/>
      <c r="Q250" s="257"/>
      <c r="R250" s="257"/>
      <c r="S250" s="257"/>
      <c r="T250" s="257"/>
      <c r="U250" s="257"/>
      <c r="V250" s="257"/>
      <c r="W250" s="257"/>
      <c r="X250" s="257"/>
      <c r="Y250" s="257"/>
      <c r="Z250" s="257"/>
    </row>
    <row r="251" spans="1:26" ht="21" customHeight="1">
      <c r="A251" s="257"/>
      <c r="B251" s="257"/>
      <c r="C251" s="257"/>
      <c r="D251" s="257"/>
      <c r="E251" s="257"/>
      <c r="F251" s="257"/>
      <c r="G251" s="257"/>
      <c r="H251" s="257"/>
      <c r="I251" s="257"/>
      <c r="J251" s="257"/>
      <c r="K251" s="257"/>
      <c r="L251" s="257"/>
      <c r="M251" s="257"/>
      <c r="N251" s="257"/>
      <c r="O251" s="257"/>
      <c r="P251" s="257"/>
      <c r="Q251" s="257"/>
      <c r="R251" s="257"/>
      <c r="S251" s="257"/>
      <c r="T251" s="257"/>
      <c r="U251" s="257"/>
      <c r="V251" s="257"/>
      <c r="W251" s="257"/>
      <c r="X251" s="257"/>
      <c r="Y251" s="257"/>
      <c r="Z251" s="257"/>
    </row>
    <row r="252" spans="1:26" ht="21" customHeight="1">
      <c r="A252" s="257"/>
      <c r="B252" s="257"/>
      <c r="C252" s="257"/>
      <c r="D252" s="257"/>
      <c r="E252" s="257"/>
      <c r="F252" s="257"/>
      <c r="G252" s="257"/>
      <c r="H252" s="257"/>
      <c r="I252" s="257"/>
      <c r="J252" s="257"/>
      <c r="K252" s="257"/>
      <c r="L252" s="257"/>
      <c r="M252" s="257"/>
      <c r="N252" s="257"/>
      <c r="O252" s="257"/>
      <c r="P252" s="257"/>
      <c r="Q252" s="257"/>
      <c r="R252" s="257"/>
      <c r="S252" s="257"/>
      <c r="T252" s="257"/>
      <c r="U252" s="257"/>
      <c r="V252" s="257"/>
      <c r="W252" s="257"/>
      <c r="X252" s="257"/>
      <c r="Y252" s="257"/>
      <c r="Z252" s="257"/>
    </row>
    <row r="253" spans="1:26" ht="21" customHeight="1">
      <c r="A253" s="257"/>
      <c r="B253" s="257"/>
      <c r="C253" s="257"/>
      <c r="D253" s="257"/>
      <c r="E253" s="257"/>
      <c r="F253" s="257"/>
      <c r="G253" s="257"/>
      <c r="H253" s="257"/>
      <c r="I253" s="257"/>
      <c r="J253" s="257"/>
      <c r="K253" s="257"/>
      <c r="L253" s="257"/>
      <c r="M253" s="257"/>
      <c r="N253" s="257"/>
      <c r="O253" s="257"/>
      <c r="P253" s="257"/>
      <c r="Q253" s="257"/>
      <c r="R253" s="257"/>
      <c r="S253" s="257"/>
      <c r="T253" s="257"/>
      <c r="U253" s="257"/>
      <c r="V253" s="257"/>
      <c r="W253" s="257"/>
      <c r="X253" s="257"/>
      <c r="Y253" s="257"/>
      <c r="Z253" s="257"/>
    </row>
    <row r="254" spans="1:26" ht="21" customHeight="1">
      <c r="A254" s="257"/>
      <c r="B254" s="257"/>
      <c r="C254" s="257"/>
      <c r="D254" s="257"/>
      <c r="E254" s="257"/>
      <c r="F254" s="257"/>
      <c r="G254" s="257"/>
      <c r="H254" s="257"/>
      <c r="I254" s="257"/>
      <c r="J254" s="257"/>
      <c r="K254" s="257"/>
      <c r="L254" s="257"/>
      <c r="M254" s="257"/>
      <c r="N254" s="257"/>
      <c r="O254" s="257"/>
      <c r="P254" s="257"/>
      <c r="Q254" s="257"/>
      <c r="R254" s="257"/>
      <c r="S254" s="257"/>
      <c r="T254" s="257"/>
      <c r="U254" s="257"/>
      <c r="V254" s="257"/>
      <c r="W254" s="257"/>
      <c r="X254" s="257"/>
      <c r="Y254" s="257"/>
      <c r="Z254" s="257"/>
    </row>
    <row r="255" spans="1:26" ht="21" customHeight="1">
      <c r="A255" s="257"/>
      <c r="B255" s="257"/>
      <c r="C255" s="257"/>
      <c r="D255" s="257"/>
      <c r="E255" s="257"/>
      <c r="F255" s="257"/>
      <c r="G255" s="257"/>
      <c r="H255" s="257"/>
      <c r="I255" s="257"/>
      <c r="J255" s="257"/>
      <c r="K255" s="257"/>
      <c r="L255" s="257"/>
      <c r="M255" s="257"/>
      <c r="N255" s="257"/>
      <c r="O255" s="257"/>
      <c r="P255" s="257"/>
      <c r="Q255" s="257"/>
      <c r="R255" s="257"/>
      <c r="S255" s="257"/>
      <c r="T255" s="257"/>
      <c r="U255" s="257"/>
      <c r="V255" s="257"/>
      <c r="W255" s="257"/>
      <c r="X255" s="257"/>
      <c r="Y255" s="257"/>
      <c r="Z255" s="257"/>
    </row>
    <row r="256" spans="1:26" ht="21" customHeight="1">
      <c r="A256" s="257"/>
      <c r="B256" s="257"/>
      <c r="C256" s="257"/>
      <c r="D256" s="257"/>
      <c r="E256" s="257"/>
      <c r="F256" s="257"/>
      <c r="G256" s="257"/>
      <c r="H256" s="257"/>
      <c r="I256" s="257"/>
      <c r="J256" s="257"/>
      <c r="K256" s="257"/>
      <c r="L256" s="257"/>
      <c r="M256" s="257"/>
      <c r="N256" s="257"/>
      <c r="O256" s="257"/>
      <c r="P256" s="257"/>
      <c r="Q256" s="257"/>
      <c r="R256" s="257"/>
      <c r="S256" s="257"/>
      <c r="T256" s="257"/>
      <c r="U256" s="257"/>
      <c r="V256" s="257"/>
      <c r="W256" s="257"/>
      <c r="X256" s="257"/>
      <c r="Y256" s="257"/>
      <c r="Z256" s="257"/>
    </row>
    <row r="257" spans="1:26" ht="21" customHeight="1">
      <c r="A257" s="257"/>
      <c r="B257" s="257"/>
      <c r="C257" s="257"/>
      <c r="D257" s="257"/>
      <c r="E257" s="257"/>
      <c r="F257" s="257"/>
      <c r="G257" s="257"/>
      <c r="H257" s="257"/>
      <c r="I257" s="257"/>
      <c r="J257" s="257"/>
      <c r="K257" s="257"/>
      <c r="L257" s="257"/>
      <c r="M257" s="257"/>
      <c r="N257" s="257"/>
      <c r="O257" s="257"/>
      <c r="P257" s="257"/>
      <c r="Q257" s="257"/>
      <c r="R257" s="257"/>
      <c r="S257" s="257"/>
      <c r="T257" s="257"/>
      <c r="U257" s="257"/>
      <c r="V257" s="257"/>
      <c r="W257" s="257"/>
      <c r="X257" s="257"/>
      <c r="Y257" s="257"/>
      <c r="Z257" s="257"/>
    </row>
    <row r="258" spans="1:26" ht="21" customHeight="1">
      <c r="A258" s="257"/>
      <c r="B258" s="257"/>
      <c r="C258" s="257"/>
      <c r="D258" s="257"/>
      <c r="E258" s="257"/>
      <c r="F258" s="257"/>
      <c r="G258" s="257"/>
      <c r="H258" s="257"/>
      <c r="I258" s="257"/>
      <c r="J258" s="257"/>
      <c r="K258" s="257"/>
      <c r="L258" s="257"/>
      <c r="M258" s="257"/>
      <c r="N258" s="257"/>
      <c r="O258" s="257"/>
      <c r="P258" s="257"/>
      <c r="Q258" s="257"/>
      <c r="R258" s="257"/>
      <c r="S258" s="257"/>
      <c r="T258" s="257"/>
      <c r="U258" s="257"/>
      <c r="V258" s="257"/>
      <c r="W258" s="257"/>
      <c r="X258" s="257"/>
      <c r="Y258" s="257"/>
      <c r="Z258" s="257"/>
    </row>
    <row r="259" spans="1:26" ht="21" customHeight="1">
      <c r="A259" s="257"/>
      <c r="B259" s="257"/>
      <c r="C259" s="257"/>
      <c r="D259" s="257"/>
      <c r="E259" s="257"/>
      <c r="F259" s="257"/>
      <c r="G259" s="257"/>
      <c r="H259" s="257"/>
      <c r="I259" s="257"/>
      <c r="J259" s="257"/>
      <c r="K259" s="257"/>
      <c r="L259" s="257"/>
      <c r="M259" s="257"/>
      <c r="N259" s="257"/>
      <c r="O259" s="257"/>
      <c r="P259" s="257"/>
      <c r="Q259" s="257"/>
      <c r="R259" s="257"/>
      <c r="S259" s="257"/>
      <c r="T259" s="257"/>
      <c r="U259" s="257"/>
      <c r="V259" s="257"/>
      <c r="W259" s="257"/>
      <c r="X259" s="257"/>
      <c r="Y259" s="257"/>
      <c r="Z259" s="257"/>
    </row>
    <row r="260" spans="1:26" ht="21" customHeight="1">
      <c r="A260" s="257"/>
      <c r="B260" s="257"/>
      <c r="C260" s="257"/>
      <c r="D260" s="257"/>
      <c r="E260" s="257"/>
      <c r="F260" s="257"/>
      <c r="G260" s="257"/>
      <c r="H260" s="257"/>
      <c r="I260" s="257"/>
      <c r="J260" s="257"/>
      <c r="K260" s="257"/>
      <c r="L260" s="257"/>
      <c r="M260" s="257"/>
      <c r="N260" s="257"/>
      <c r="O260" s="257"/>
      <c r="P260" s="257"/>
      <c r="Q260" s="257"/>
      <c r="R260" s="257"/>
      <c r="S260" s="257"/>
      <c r="T260" s="257"/>
      <c r="U260" s="257"/>
      <c r="V260" s="257"/>
      <c r="W260" s="257"/>
      <c r="X260" s="257"/>
      <c r="Y260" s="257"/>
      <c r="Z260" s="257"/>
    </row>
    <row r="261" spans="1:26" ht="21" customHeight="1">
      <c r="A261" s="257"/>
      <c r="B261" s="257"/>
      <c r="C261" s="257"/>
      <c r="D261" s="257"/>
      <c r="E261" s="257"/>
      <c r="F261" s="257"/>
      <c r="G261" s="257"/>
      <c r="H261" s="257"/>
      <c r="I261" s="257"/>
      <c r="J261" s="257"/>
      <c r="K261" s="257"/>
      <c r="L261" s="257"/>
      <c r="M261" s="257"/>
      <c r="N261" s="257"/>
      <c r="O261" s="257"/>
      <c r="P261" s="257"/>
      <c r="Q261" s="257"/>
      <c r="R261" s="257"/>
      <c r="S261" s="257"/>
      <c r="T261" s="257"/>
      <c r="U261" s="257"/>
      <c r="V261" s="257"/>
      <c r="W261" s="257"/>
      <c r="X261" s="257"/>
      <c r="Y261" s="257"/>
      <c r="Z261" s="257"/>
    </row>
    <row r="262" spans="1:26" ht="21" customHeight="1">
      <c r="A262" s="257"/>
      <c r="B262" s="257"/>
      <c r="C262" s="257"/>
      <c r="D262" s="257"/>
      <c r="E262" s="257"/>
      <c r="F262" s="257"/>
      <c r="G262" s="257"/>
      <c r="H262" s="257"/>
      <c r="I262" s="257"/>
      <c r="J262" s="257"/>
      <c r="K262" s="257"/>
      <c r="L262" s="257"/>
      <c r="M262" s="257"/>
      <c r="N262" s="257"/>
      <c r="O262" s="257"/>
      <c r="P262" s="257"/>
      <c r="Q262" s="257"/>
      <c r="R262" s="257"/>
      <c r="S262" s="257"/>
      <c r="T262" s="257"/>
      <c r="U262" s="257"/>
      <c r="V262" s="257"/>
      <c r="W262" s="257"/>
      <c r="X262" s="257"/>
      <c r="Y262" s="257"/>
      <c r="Z262" s="257"/>
    </row>
    <row r="263" spans="1:26" ht="21" customHeight="1">
      <c r="A263" s="257"/>
      <c r="B263" s="257"/>
      <c r="C263" s="257"/>
      <c r="D263" s="257"/>
      <c r="E263" s="257"/>
      <c r="F263" s="257"/>
      <c r="G263" s="257"/>
      <c r="H263" s="257"/>
      <c r="I263" s="257"/>
      <c r="J263" s="257"/>
      <c r="K263" s="257"/>
      <c r="L263" s="257"/>
      <c r="M263" s="257"/>
      <c r="N263" s="257"/>
      <c r="O263" s="257"/>
      <c r="P263" s="257"/>
      <c r="Q263" s="257"/>
      <c r="R263" s="257"/>
      <c r="S263" s="257"/>
      <c r="T263" s="257"/>
      <c r="U263" s="257"/>
      <c r="V263" s="257"/>
      <c r="W263" s="257"/>
      <c r="X263" s="257"/>
      <c r="Y263" s="257"/>
      <c r="Z263" s="257"/>
    </row>
    <row r="264" spans="1:26" ht="21" customHeight="1">
      <c r="A264" s="257"/>
      <c r="B264" s="257"/>
      <c r="C264" s="257"/>
      <c r="D264" s="257"/>
      <c r="E264" s="257"/>
      <c r="F264" s="257"/>
      <c r="G264" s="257"/>
      <c r="H264" s="257"/>
      <c r="I264" s="257"/>
      <c r="J264" s="257"/>
      <c r="K264" s="257"/>
      <c r="L264" s="257"/>
      <c r="M264" s="257"/>
      <c r="N264" s="257"/>
      <c r="O264" s="257"/>
      <c r="P264" s="257"/>
      <c r="Q264" s="257"/>
      <c r="R264" s="257"/>
      <c r="S264" s="257"/>
      <c r="T264" s="257"/>
      <c r="U264" s="257"/>
      <c r="V264" s="257"/>
      <c r="W264" s="257"/>
      <c r="X264" s="257"/>
      <c r="Y264" s="257"/>
      <c r="Z264" s="257"/>
    </row>
    <row r="265" spans="1:26" ht="21" customHeight="1">
      <c r="A265" s="257"/>
      <c r="B265" s="257"/>
      <c r="C265" s="257"/>
      <c r="D265" s="257"/>
      <c r="E265" s="257"/>
      <c r="F265" s="257"/>
      <c r="G265" s="257"/>
      <c r="H265" s="257"/>
      <c r="I265" s="257"/>
      <c r="J265" s="257"/>
      <c r="K265" s="257"/>
      <c r="L265" s="257"/>
      <c r="M265" s="257"/>
      <c r="N265" s="257"/>
      <c r="O265" s="257"/>
      <c r="P265" s="257"/>
      <c r="Q265" s="257"/>
      <c r="R265" s="257"/>
      <c r="S265" s="257"/>
      <c r="T265" s="257"/>
      <c r="U265" s="257"/>
      <c r="V265" s="257"/>
      <c r="W265" s="257"/>
      <c r="X265" s="257"/>
      <c r="Y265" s="257"/>
      <c r="Z265" s="257"/>
    </row>
    <row r="266" spans="1:26" ht="21" customHeight="1">
      <c r="A266" s="257"/>
      <c r="B266" s="257"/>
      <c r="C266" s="257"/>
      <c r="D266" s="257"/>
      <c r="E266" s="257"/>
      <c r="F266" s="257"/>
      <c r="G266" s="257"/>
      <c r="H266" s="257"/>
      <c r="I266" s="257"/>
      <c r="J266" s="257"/>
      <c r="K266" s="257"/>
      <c r="L266" s="257"/>
      <c r="M266" s="257"/>
      <c r="N266" s="257"/>
      <c r="O266" s="257"/>
      <c r="P266" s="257"/>
      <c r="Q266" s="257"/>
      <c r="R266" s="257"/>
      <c r="S266" s="257"/>
      <c r="T266" s="257"/>
      <c r="U266" s="257"/>
      <c r="V266" s="257"/>
      <c r="W266" s="257"/>
      <c r="X266" s="257"/>
      <c r="Y266" s="257"/>
      <c r="Z266" s="257"/>
    </row>
    <row r="267" spans="1:26" ht="21" customHeight="1">
      <c r="A267" s="257"/>
      <c r="B267" s="257"/>
      <c r="C267" s="257"/>
      <c r="D267" s="257"/>
      <c r="E267" s="257"/>
      <c r="F267" s="257"/>
      <c r="G267" s="257"/>
      <c r="H267" s="257"/>
      <c r="I267" s="257"/>
      <c r="J267" s="257"/>
      <c r="K267" s="257"/>
      <c r="L267" s="257"/>
      <c r="M267" s="257"/>
      <c r="N267" s="257"/>
      <c r="O267" s="257"/>
      <c r="P267" s="257"/>
      <c r="Q267" s="257"/>
      <c r="R267" s="257"/>
      <c r="S267" s="257"/>
      <c r="T267" s="257"/>
      <c r="U267" s="257"/>
      <c r="V267" s="257"/>
      <c r="W267" s="257"/>
      <c r="X267" s="257"/>
      <c r="Y267" s="257"/>
      <c r="Z267" s="257"/>
    </row>
    <row r="268" spans="1:26" ht="21" customHeight="1">
      <c r="A268" s="257"/>
      <c r="B268" s="257"/>
      <c r="C268" s="257"/>
      <c r="D268" s="257"/>
      <c r="E268" s="257"/>
      <c r="F268" s="257"/>
      <c r="G268" s="257"/>
      <c r="H268" s="257"/>
      <c r="I268" s="257"/>
      <c r="J268" s="257"/>
      <c r="K268" s="257"/>
      <c r="L268" s="257"/>
      <c r="M268" s="257"/>
      <c r="N268" s="257"/>
      <c r="O268" s="257"/>
      <c r="P268" s="257"/>
      <c r="Q268" s="257"/>
      <c r="R268" s="257"/>
      <c r="S268" s="257"/>
      <c r="T268" s="257"/>
      <c r="U268" s="257"/>
      <c r="V268" s="257"/>
      <c r="W268" s="257"/>
      <c r="X268" s="257"/>
      <c r="Y268" s="257"/>
      <c r="Z268" s="257"/>
    </row>
    <row r="269" spans="1:26" ht="21" customHeight="1">
      <c r="A269" s="257"/>
      <c r="B269" s="257"/>
      <c r="C269" s="257"/>
      <c r="D269" s="257"/>
      <c r="E269" s="257"/>
      <c r="F269" s="257"/>
      <c r="G269" s="257"/>
      <c r="H269" s="257"/>
      <c r="I269" s="257"/>
      <c r="J269" s="257"/>
      <c r="K269" s="257"/>
      <c r="L269" s="257"/>
      <c r="M269" s="257"/>
      <c r="N269" s="257"/>
      <c r="O269" s="257"/>
      <c r="P269" s="257"/>
      <c r="Q269" s="257"/>
      <c r="R269" s="257"/>
      <c r="S269" s="257"/>
      <c r="T269" s="257"/>
      <c r="U269" s="257"/>
      <c r="V269" s="257"/>
      <c r="W269" s="257"/>
      <c r="X269" s="257"/>
      <c r="Y269" s="257"/>
      <c r="Z269" s="257"/>
    </row>
    <row r="270" spans="1:26" ht="21" customHeight="1">
      <c r="A270" s="257"/>
      <c r="B270" s="257"/>
      <c r="C270" s="257"/>
      <c r="D270" s="257"/>
      <c r="E270" s="257"/>
      <c r="F270" s="257"/>
      <c r="G270" s="257"/>
      <c r="H270" s="257"/>
      <c r="I270" s="257"/>
      <c r="J270" s="257"/>
      <c r="K270" s="257"/>
      <c r="L270" s="257"/>
      <c r="M270" s="257"/>
      <c r="N270" s="257"/>
      <c r="O270" s="257"/>
      <c r="P270" s="257"/>
      <c r="Q270" s="257"/>
      <c r="R270" s="257"/>
      <c r="S270" s="257"/>
      <c r="T270" s="257"/>
      <c r="U270" s="257"/>
      <c r="V270" s="257"/>
      <c r="W270" s="257"/>
      <c r="X270" s="257"/>
      <c r="Y270" s="257"/>
      <c r="Z270" s="257"/>
    </row>
    <row r="271" spans="1:26" ht="21" customHeight="1">
      <c r="A271" s="257"/>
      <c r="B271" s="257"/>
      <c r="C271" s="257"/>
      <c r="D271" s="257"/>
      <c r="E271" s="257"/>
      <c r="F271" s="257"/>
      <c r="G271" s="257"/>
      <c r="H271" s="257"/>
      <c r="I271" s="257"/>
      <c r="J271" s="257"/>
      <c r="K271" s="257"/>
      <c r="L271" s="257"/>
      <c r="M271" s="257"/>
      <c r="N271" s="257"/>
      <c r="O271" s="257"/>
      <c r="P271" s="257"/>
      <c r="Q271" s="257"/>
      <c r="R271" s="257"/>
      <c r="S271" s="257"/>
      <c r="T271" s="257"/>
      <c r="U271" s="257"/>
      <c r="V271" s="257"/>
      <c r="W271" s="257"/>
      <c r="X271" s="257"/>
      <c r="Y271" s="257"/>
      <c r="Z271" s="257"/>
    </row>
    <row r="272" spans="1:26" ht="21" customHeight="1">
      <c r="A272" s="257"/>
      <c r="B272" s="257"/>
      <c r="C272" s="257"/>
      <c r="D272" s="257"/>
      <c r="E272" s="257"/>
      <c r="F272" s="257"/>
      <c r="G272" s="257"/>
      <c r="H272" s="257"/>
      <c r="I272" s="257"/>
      <c r="J272" s="257"/>
      <c r="K272" s="257"/>
      <c r="L272" s="257"/>
      <c r="M272" s="257"/>
      <c r="N272" s="257"/>
      <c r="O272" s="257"/>
      <c r="P272" s="257"/>
      <c r="Q272" s="257"/>
      <c r="R272" s="257"/>
      <c r="S272" s="257"/>
      <c r="T272" s="257"/>
      <c r="U272" s="257"/>
      <c r="V272" s="257"/>
      <c r="W272" s="257"/>
      <c r="X272" s="257"/>
      <c r="Y272" s="257"/>
      <c r="Z272" s="257"/>
    </row>
    <row r="273" spans="1:26" ht="21" customHeight="1">
      <c r="A273" s="257"/>
      <c r="B273" s="257"/>
      <c r="C273" s="257"/>
      <c r="D273" s="257"/>
      <c r="E273" s="257"/>
      <c r="F273" s="257"/>
      <c r="G273" s="257"/>
      <c r="H273" s="257"/>
      <c r="I273" s="257"/>
      <c r="J273" s="257"/>
      <c r="K273" s="257"/>
      <c r="L273" s="257"/>
      <c r="M273" s="257"/>
      <c r="N273" s="257"/>
      <c r="O273" s="257"/>
      <c r="P273" s="257"/>
      <c r="Q273" s="257"/>
      <c r="R273" s="257"/>
      <c r="S273" s="257"/>
      <c r="T273" s="257"/>
      <c r="U273" s="257"/>
      <c r="V273" s="257"/>
      <c r="W273" s="257"/>
      <c r="X273" s="257"/>
      <c r="Y273" s="257"/>
      <c r="Z273" s="257"/>
    </row>
    <row r="274" spans="1:26" ht="21" customHeight="1">
      <c r="A274" s="257"/>
      <c r="B274" s="257"/>
      <c r="C274" s="257"/>
      <c r="D274" s="257"/>
      <c r="E274" s="257"/>
      <c r="F274" s="257"/>
      <c r="G274" s="257"/>
      <c r="H274" s="257"/>
      <c r="I274" s="257"/>
      <c r="J274" s="257"/>
      <c r="K274" s="257"/>
      <c r="L274" s="257"/>
      <c r="M274" s="257"/>
      <c r="N274" s="257"/>
      <c r="O274" s="257"/>
      <c r="P274" s="257"/>
      <c r="Q274" s="257"/>
      <c r="R274" s="257"/>
      <c r="S274" s="257"/>
      <c r="T274" s="257"/>
      <c r="U274" s="257"/>
      <c r="V274" s="257"/>
      <c r="W274" s="257"/>
      <c r="X274" s="257"/>
      <c r="Y274" s="257"/>
      <c r="Z274" s="257"/>
    </row>
    <row r="275" spans="1:26" ht="21" customHeight="1">
      <c r="A275" s="257"/>
      <c r="B275" s="257"/>
      <c r="C275" s="257"/>
      <c r="D275" s="257"/>
      <c r="E275" s="257"/>
      <c r="F275" s="257"/>
      <c r="G275" s="257"/>
      <c r="H275" s="257"/>
      <c r="I275" s="257"/>
      <c r="J275" s="257"/>
      <c r="K275" s="257"/>
      <c r="L275" s="257"/>
      <c r="M275" s="257"/>
      <c r="N275" s="257"/>
      <c r="O275" s="257"/>
      <c r="P275" s="257"/>
      <c r="Q275" s="257"/>
      <c r="R275" s="257"/>
      <c r="S275" s="257"/>
      <c r="T275" s="257"/>
      <c r="U275" s="257"/>
      <c r="V275" s="257"/>
      <c r="W275" s="257"/>
      <c r="X275" s="257"/>
      <c r="Y275" s="257"/>
      <c r="Z275" s="257"/>
    </row>
    <row r="276" spans="1:26" ht="21" customHeight="1">
      <c r="A276" s="257"/>
      <c r="B276" s="257"/>
      <c r="C276" s="257"/>
      <c r="D276" s="257"/>
      <c r="E276" s="257"/>
      <c r="F276" s="257"/>
      <c r="G276" s="257"/>
      <c r="H276" s="257"/>
      <c r="I276" s="257"/>
      <c r="J276" s="257"/>
      <c r="K276" s="257"/>
      <c r="L276" s="257"/>
      <c r="M276" s="257"/>
      <c r="N276" s="257"/>
      <c r="O276" s="257"/>
      <c r="P276" s="257"/>
      <c r="Q276" s="257"/>
      <c r="R276" s="257"/>
      <c r="S276" s="257"/>
      <c r="T276" s="257"/>
      <c r="U276" s="257"/>
      <c r="V276" s="257"/>
      <c r="W276" s="257"/>
      <c r="X276" s="257"/>
      <c r="Y276" s="257"/>
      <c r="Z276" s="257"/>
    </row>
    <row r="277" spans="1:26" ht="21" customHeight="1">
      <c r="A277" s="257"/>
      <c r="B277" s="257"/>
      <c r="C277" s="257"/>
      <c r="D277" s="257"/>
      <c r="E277" s="257"/>
      <c r="F277" s="257"/>
      <c r="G277" s="257"/>
      <c r="H277" s="257"/>
      <c r="I277" s="257"/>
      <c r="J277" s="257"/>
      <c r="K277" s="257"/>
      <c r="L277" s="257"/>
      <c r="M277" s="257"/>
      <c r="N277" s="257"/>
      <c r="O277" s="257"/>
      <c r="P277" s="257"/>
      <c r="Q277" s="257"/>
      <c r="R277" s="257"/>
      <c r="S277" s="257"/>
      <c r="T277" s="257"/>
      <c r="U277" s="257"/>
      <c r="V277" s="257"/>
      <c r="W277" s="257"/>
      <c r="X277" s="257"/>
      <c r="Y277" s="257"/>
      <c r="Z277" s="257"/>
    </row>
    <row r="278" spans="1:26" ht="21" customHeight="1">
      <c r="A278" s="257"/>
      <c r="B278" s="257"/>
      <c r="C278" s="257"/>
      <c r="D278" s="257"/>
      <c r="E278" s="257"/>
      <c r="F278" s="257"/>
      <c r="G278" s="257"/>
      <c r="H278" s="257"/>
      <c r="I278" s="257"/>
      <c r="J278" s="257"/>
      <c r="K278" s="257"/>
      <c r="L278" s="257"/>
      <c r="M278" s="257"/>
      <c r="N278" s="257"/>
      <c r="O278" s="257"/>
      <c r="P278" s="257"/>
      <c r="Q278" s="257"/>
      <c r="R278" s="257"/>
      <c r="S278" s="257"/>
      <c r="T278" s="257"/>
      <c r="U278" s="257"/>
      <c r="V278" s="257"/>
      <c r="W278" s="257"/>
      <c r="X278" s="257"/>
      <c r="Y278" s="257"/>
      <c r="Z278" s="257"/>
    </row>
    <row r="279" spans="1:26" ht="21" customHeight="1">
      <c r="A279" s="257"/>
      <c r="B279" s="257"/>
      <c r="C279" s="257"/>
      <c r="D279" s="257"/>
      <c r="E279" s="257"/>
      <c r="F279" s="257"/>
      <c r="G279" s="257"/>
      <c r="H279" s="257"/>
      <c r="I279" s="257"/>
      <c r="J279" s="257"/>
      <c r="K279" s="257"/>
      <c r="L279" s="257"/>
      <c r="M279" s="257"/>
      <c r="N279" s="257"/>
      <c r="O279" s="257"/>
      <c r="P279" s="257"/>
      <c r="Q279" s="257"/>
      <c r="R279" s="257"/>
      <c r="S279" s="257"/>
      <c r="T279" s="257"/>
      <c r="U279" s="257"/>
      <c r="V279" s="257"/>
      <c r="W279" s="257"/>
      <c r="X279" s="257"/>
      <c r="Y279" s="257"/>
      <c r="Z279" s="257"/>
    </row>
    <row r="280" spans="1:26" ht="21" customHeight="1">
      <c r="A280" s="257"/>
      <c r="B280" s="257"/>
      <c r="C280" s="257"/>
      <c r="D280" s="257"/>
      <c r="E280" s="257"/>
      <c r="F280" s="257"/>
      <c r="G280" s="257"/>
      <c r="H280" s="257"/>
      <c r="I280" s="257"/>
      <c r="J280" s="257"/>
      <c r="K280" s="257"/>
      <c r="L280" s="257"/>
      <c r="M280" s="257"/>
      <c r="N280" s="257"/>
      <c r="O280" s="257"/>
      <c r="P280" s="257"/>
      <c r="Q280" s="257"/>
      <c r="R280" s="257"/>
      <c r="S280" s="257"/>
      <c r="T280" s="257"/>
      <c r="U280" s="257"/>
      <c r="V280" s="257"/>
      <c r="W280" s="257"/>
      <c r="X280" s="257"/>
      <c r="Y280" s="257"/>
      <c r="Z280" s="257"/>
    </row>
    <row r="281" spans="1:26" ht="21" customHeight="1">
      <c r="A281" s="257"/>
      <c r="B281" s="257"/>
      <c r="C281" s="257"/>
      <c r="D281" s="257"/>
      <c r="E281" s="257"/>
      <c r="F281" s="257"/>
      <c r="G281" s="257"/>
      <c r="H281" s="257"/>
      <c r="I281" s="257"/>
      <c r="J281" s="257"/>
      <c r="K281" s="257"/>
      <c r="L281" s="257"/>
      <c r="M281" s="257"/>
      <c r="N281" s="257"/>
      <c r="O281" s="257"/>
      <c r="P281" s="257"/>
      <c r="Q281" s="257"/>
      <c r="R281" s="257"/>
      <c r="S281" s="257"/>
      <c r="T281" s="257"/>
      <c r="U281" s="257"/>
      <c r="V281" s="257"/>
      <c r="W281" s="257"/>
      <c r="X281" s="257"/>
      <c r="Y281" s="257"/>
      <c r="Z281" s="257"/>
    </row>
    <row r="282" spans="1:26" ht="21" customHeight="1">
      <c r="A282" s="257"/>
      <c r="B282" s="257"/>
      <c r="C282" s="257"/>
      <c r="D282" s="257"/>
      <c r="E282" s="257"/>
      <c r="F282" s="257"/>
      <c r="G282" s="257"/>
      <c r="H282" s="257"/>
      <c r="I282" s="257"/>
      <c r="J282" s="257"/>
      <c r="K282" s="257"/>
      <c r="L282" s="257"/>
      <c r="M282" s="257"/>
      <c r="N282" s="257"/>
      <c r="O282" s="257"/>
      <c r="P282" s="257"/>
      <c r="Q282" s="257"/>
      <c r="R282" s="257"/>
      <c r="S282" s="257"/>
      <c r="T282" s="257"/>
      <c r="U282" s="257"/>
      <c r="V282" s="257"/>
      <c r="W282" s="257"/>
      <c r="X282" s="257"/>
      <c r="Y282" s="257"/>
      <c r="Z282" s="257"/>
    </row>
    <row r="283" spans="1:26" ht="21" customHeight="1">
      <c r="A283" s="257"/>
      <c r="B283" s="257"/>
      <c r="C283" s="257"/>
      <c r="D283" s="257"/>
      <c r="E283" s="257"/>
      <c r="F283" s="257"/>
      <c r="G283" s="257"/>
      <c r="H283" s="257"/>
      <c r="I283" s="257"/>
      <c r="J283" s="257"/>
      <c r="K283" s="257"/>
      <c r="L283" s="257"/>
      <c r="M283" s="257"/>
      <c r="N283" s="257"/>
      <c r="O283" s="257"/>
      <c r="P283" s="257"/>
      <c r="Q283" s="257"/>
      <c r="R283" s="257"/>
      <c r="S283" s="257"/>
      <c r="T283" s="257"/>
      <c r="U283" s="257"/>
      <c r="V283" s="257"/>
      <c r="W283" s="257"/>
      <c r="X283" s="257"/>
      <c r="Y283" s="257"/>
      <c r="Z283" s="257"/>
    </row>
    <row r="284" spans="1:26" ht="21" customHeight="1">
      <c r="A284" s="257"/>
      <c r="B284" s="257"/>
      <c r="C284" s="257"/>
      <c r="D284" s="257"/>
      <c r="E284" s="257"/>
      <c r="F284" s="257"/>
      <c r="G284" s="257"/>
      <c r="H284" s="257"/>
      <c r="I284" s="257"/>
      <c r="J284" s="257"/>
      <c r="K284" s="257"/>
      <c r="L284" s="257"/>
      <c r="M284" s="257"/>
      <c r="N284" s="257"/>
      <c r="O284" s="257"/>
      <c r="P284" s="257"/>
      <c r="Q284" s="257"/>
      <c r="R284" s="257"/>
      <c r="S284" s="257"/>
      <c r="T284" s="257"/>
      <c r="U284" s="257"/>
      <c r="V284" s="257"/>
      <c r="W284" s="257"/>
      <c r="X284" s="257"/>
      <c r="Y284" s="257"/>
      <c r="Z284" s="257"/>
    </row>
    <row r="285" spans="1:26" ht="21" customHeight="1">
      <c r="A285" s="257"/>
      <c r="B285" s="257"/>
      <c r="C285" s="257"/>
      <c r="D285" s="257"/>
      <c r="E285" s="257"/>
      <c r="F285" s="257"/>
      <c r="G285" s="257"/>
      <c r="H285" s="257"/>
      <c r="I285" s="257"/>
      <c r="J285" s="257"/>
      <c r="K285" s="257"/>
      <c r="L285" s="257"/>
      <c r="M285" s="257"/>
      <c r="N285" s="257"/>
      <c r="O285" s="257"/>
      <c r="P285" s="257"/>
      <c r="Q285" s="257"/>
      <c r="R285" s="257"/>
      <c r="S285" s="257"/>
      <c r="T285" s="257"/>
      <c r="U285" s="257"/>
      <c r="V285" s="257"/>
      <c r="W285" s="257"/>
      <c r="X285" s="257"/>
      <c r="Y285" s="257"/>
      <c r="Z285" s="257"/>
    </row>
    <row r="286" spans="1:26" ht="21" customHeight="1">
      <c r="A286" s="257"/>
      <c r="B286" s="257"/>
      <c r="C286" s="257"/>
      <c r="D286" s="257"/>
      <c r="E286" s="257"/>
      <c r="F286" s="257"/>
      <c r="G286" s="257"/>
      <c r="H286" s="257"/>
      <c r="I286" s="257"/>
      <c r="J286" s="257"/>
      <c r="K286" s="257"/>
      <c r="L286" s="257"/>
      <c r="M286" s="257"/>
      <c r="N286" s="257"/>
      <c r="O286" s="257"/>
      <c r="P286" s="257"/>
      <c r="Q286" s="257"/>
      <c r="R286" s="257"/>
      <c r="S286" s="257"/>
      <c r="T286" s="257"/>
      <c r="U286" s="257"/>
      <c r="V286" s="257"/>
      <c r="W286" s="257"/>
      <c r="X286" s="257"/>
      <c r="Y286" s="257"/>
      <c r="Z286" s="257"/>
    </row>
    <row r="287" spans="1:26" ht="21" customHeight="1">
      <c r="A287" s="257"/>
      <c r="B287" s="257"/>
      <c r="C287" s="257"/>
      <c r="D287" s="257"/>
      <c r="E287" s="257"/>
      <c r="F287" s="257"/>
      <c r="G287" s="257"/>
      <c r="H287" s="257"/>
      <c r="I287" s="257"/>
      <c r="J287" s="257"/>
      <c r="K287" s="257"/>
      <c r="L287" s="257"/>
      <c r="M287" s="257"/>
      <c r="N287" s="257"/>
      <c r="O287" s="257"/>
      <c r="P287" s="257"/>
      <c r="Q287" s="257"/>
      <c r="R287" s="257"/>
      <c r="S287" s="257"/>
      <c r="T287" s="257"/>
      <c r="U287" s="257"/>
      <c r="V287" s="257"/>
      <c r="W287" s="257"/>
      <c r="X287" s="257"/>
      <c r="Y287" s="257"/>
      <c r="Z287" s="257"/>
    </row>
    <row r="288" spans="1:26" ht="21" customHeight="1">
      <c r="A288" s="257"/>
      <c r="B288" s="257"/>
      <c r="C288" s="257"/>
      <c r="D288" s="257"/>
      <c r="E288" s="257"/>
      <c r="F288" s="257"/>
      <c r="G288" s="257"/>
      <c r="H288" s="257"/>
      <c r="I288" s="257"/>
      <c r="J288" s="257"/>
      <c r="K288" s="257"/>
      <c r="L288" s="257"/>
      <c r="M288" s="257"/>
      <c r="N288" s="257"/>
      <c r="O288" s="257"/>
      <c r="P288" s="257"/>
      <c r="Q288" s="257"/>
      <c r="R288" s="257"/>
      <c r="S288" s="257"/>
      <c r="T288" s="257"/>
      <c r="U288" s="257"/>
      <c r="V288" s="257"/>
      <c r="W288" s="257"/>
      <c r="X288" s="257"/>
      <c r="Y288" s="257"/>
      <c r="Z288" s="257"/>
    </row>
    <row r="289" spans="1:26" ht="21" customHeight="1">
      <c r="A289" s="257"/>
      <c r="B289" s="257"/>
      <c r="C289" s="257"/>
      <c r="D289" s="257"/>
      <c r="E289" s="257"/>
      <c r="F289" s="257"/>
      <c r="G289" s="257"/>
      <c r="H289" s="257"/>
      <c r="I289" s="257"/>
      <c r="J289" s="257"/>
      <c r="K289" s="257"/>
      <c r="L289" s="257"/>
      <c r="M289" s="257"/>
      <c r="N289" s="257"/>
      <c r="O289" s="257"/>
      <c r="P289" s="257"/>
      <c r="Q289" s="257"/>
      <c r="R289" s="257"/>
      <c r="S289" s="257"/>
      <c r="T289" s="257"/>
      <c r="U289" s="257"/>
      <c r="V289" s="257"/>
      <c r="W289" s="257"/>
      <c r="X289" s="257"/>
      <c r="Y289" s="257"/>
      <c r="Z289" s="257"/>
    </row>
    <row r="290" spans="1:26" ht="21" customHeight="1">
      <c r="A290" s="257"/>
      <c r="B290" s="257"/>
      <c r="C290" s="257"/>
      <c r="D290" s="257"/>
      <c r="E290" s="257"/>
      <c r="F290" s="257"/>
      <c r="G290" s="257"/>
      <c r="H290" s="257"/>
      <c r="I290" s="257"/>
      <c r="J290" s="257"/>
      <c r="K290" s="257"/>
      <c r="L290" s="257"/>
      <c r="M290" s="257"/>
      <c r="N290" s="257"/>
      <c r="O290" s="257"/>
      <c r="P290" s="257"/>
      <c r="Q290" s="257"/>
      <c r="R290" s="257"/>
      <c r="S290" s="257"/>
      <c r="T290" s="257"/>
      <c r="U290" s="257"/>
      <c r="V290" s="257"/>
      <c r="W290" s="257"/>
      <c r="X290" s="257"/>
      <c r="Y290" s="257"/>
      <c r="Z290" s="257"/>
    </row>
    <row r="291" spans="1:26" ht="21" customHeight="1">
      <c r="A291" s="257"/>
      <c r="B291" s="257"/>
      <c r="C291" s="257"/>
      <c r="D291" s="257"/>
      <c r="E291" s="257"/>
      <c r="F291" s="257"/>
      <c r="G291" s="257"/>
      <c r="H291" s="257"/>
      <c r="I291" s="257"/>
      <c r="J291" s="257"/>
      <c r="K291" s="257"/>
      <c r="L291" s="257"/>
      <c r="M291" s="257"/>
      <c r="N291" s="257"/>
      <c r="O291" s="257"/>
      <c r="P291" s="257"/>
      <c r="Q291" s="257"/>
      <c r="R291" s="257"/>
      <c r="S291" s="257"/>
      <c r="T291" s="257"/>
      <c r="U291" s="257"/>
      <c r="V291" s="257"/>
      <c r="W291" s="257"/>
      <c r="X291" s="257"/>
      <c r="Y291" s="257"/>
      <c r="Z291" s="257"/>
    </row>
    <row r="292" spans="1:26" ht="21" customHeight="1">
      <c r="A292" s="257"/>
      <c r="B292" s="257"/>
      <c r="C292" s="257"/>
      <c r="D292" s="257"/>
      <c r="E292" s="257"/>
      <c r="F292" s="257"/>
      <c r="G292" s="257"/>
      <c r="H292" s="257"/>
      <c r="I292" s="257"/>
      <c r="J292" s="257"/>
      <c r="K292" s="257"/>
      <c r="L292" s="257"/>
      <c r="M292" s="257"/>
      <c r="N292" s="257"/>
      <c r="O292" s="257"/>
      <c r="P292" s="257"/>
      <c r="Q292" s="257"/>
      <c r="R292" s="257"/>
      <c r="S292" s="257"/>
      <c r="T292" s="257"/>
      <c r="U292" s="257"/>
      <c r="V292" s="257"/>
      <c r="W292" s="257"/>
      <c r="X292" s="257"/>
      <c r="Y292" s="257"/>
      <c r="Z292" s="257"/>
    </row>
    <row r="293" spans="1:26" ht="21" customHeight="1">
      <c r="A293" s="257"/>
      <c r="B293" s="257"/>
      <c r="C293" s="257"/>
      <c r="D293" s="257"/>
      <c r="E293" s="257"/>
      <c r="F293" s="257"/>
      <c r="G293" s="257"/>
      <c r="H293" s="257"/>
      <c r="I293" s="257"/>
      <c r="J293" s="257"/>
      <c r="K293" s="257"/>
      <c r="L293" s="257"/>
      <c r="M293" s="257"/>
      <c r="N293" s="257"/>
      <c r="O293" s="257"/>
      <c r="P293" s="257"/>
      <c r="Q293" s="257"/>
      <c r="R293" s="257"/>
      <c r="S293" s="257"/>
      <c r="T293" s="257"/>
      <c r="U293" s="257"/>
      <c r="V293" s="257"/>
      <c r="W293" s="257"/>
      <c r="X293" s="257"/>
      <c r="Y293" s="257"/>
      <c r="Z293" s="257"/>
    </row>
    <row r="294" spans="1:26" ht="21" customHeight="1">
      <c r="A294" s="257"/>
      <c r="B294" s="257"/>
      <c r="C294" s="257"/>
      <c r="D294" s="257"/>
      <c r="E294" s="257"/>
      <c r="F294" s="257"/>
      <c r="G294" s="257"/>
      <c r="H294" s="257"/>
      <c r="I294" s="257"/>
      <c r="J294" s="257"/>
      <c r="K294" s="257"/>
      <c r="L294" s="257"/>
      <c r="M294" s="257"/>
      <c r="N294" s="257"/>
      <c r="O294" s="257"/>
      <c r="P294" s="257"/>
      <c r="Q294" s="257"/>
      <c r="R294" s="257"/>
      <c r="S294" s="257"/>
      <c r="T294" s="257"/>
      <c r="U294" s="257"/>
      <c r="V294" s="257"/>
      <c r="W294" s="257"/>
      <c r="X294" s="257"/>
      <c r="Y294" s="257"/>
      <c r="Z294" s="257"/>
    </row>
    <row r="295" spans="1:26" ht="21" customHeight="1">
      <c r="A295" s="257"/>
      <c r="B295" s="257"/>
      <c r="C295" s="257"/>
      <c r="D295" s="257"/>
      <c r="E295" s="257"/>
      <c r="F295" s="257"/>
      <c r="G295" s="257"/>
      <c r="H295" s="257"/>
      <c r="I295" s="257"/>
      <c r="J295" s="257"/>
      <c r="K295" s="257"/>
      <c r="L295" s="257"/>
      <c r="M295" s="257"/>
      <c r="N295" s="257"/>
      <c r="O295" s="257"/>
      <c r="P295" s="257"/>
      <c r="Q295" s="257"/>
      <c r="R295" s="257"/>
      <c r="S295" s="257"/>
      <c r="T295" s="257"/>
      <c r="U295" s="257"/>
      <c r="V295" s="257"/>
      <c r="W295" s="257"/>
      <c r="X295" s="257"/>
      <c r="Y295" s="257"/>
      <c r="Z295" s="257"/>
    </row>
    <row r="296" spans="1:26" ht="21" customHeight="1">
      <c r="A296" s="257"/>
      <c r="B296" s="257"/>
      <c r="C296" s="257"/>
      <c r="D296" s="257"/>
      <c r="E296" s="257"/>
      <c r="F296" s="257"/>
      <c r="G296" s="257"/>
      <c r="H296" s="257"/>
      <c r="I296" s="257"/>
      <c r="J296" s="257"/>
      <c r="K296" s="257"/>
      <c r="L296" s="257"/>
      <c r="M296" s="257"/>
      <c r="N296" s="257"/>
      <c r="O296" s="257"/>
      <c r="P296" s="257"/>
      <c r="Q296" s="257"/>
      <c r="R296" s="257"/>
      <c r="S296" s="257"/>
      <c r="T296" s="257"/>
      <c r="U296" s="257"/>
      <c r="V296" s="257"/>
      <c r="W296" s="257"/>
      <c r="X296" s="257"/>
      <c r="Y296" s="257"/>
      <c r="Z296" s="257"/>
    </row>
    <row r="297" spans="1:26" ht="21" customHeight="1">
      <c r="A297" s="257"/>
      <c r="B297" s="257"/>
      <c r="C297" s="257"/>
      <c r="D297" s="257"/>
      <c r="E297" s="257"/>
      <c r="F297" s="257"/>
      <c r="G297" s="257"/>
      <c r="H297" s="257"/>
      <c r="I297" s="257"/>
      <c r="J297" s="257"/>
      <c r="K297" s="257"/>
      <c r="L297" s="257"/>
      <c r="M297" s="257"/>
      <c r="N297" s="257"/>
      <c r="O297" s="257"/>
      <c r="P297" s="257"/>
      <c r="Q297" s="257"/>
      <c r="R297" s="257"/>
      <c r="S297" s="257"/>
      <c r="T297" s="257"/>
      <c r="U297" s="257"/>
      <c r="V297" s="257"/>
      <c r="W297" s="257"/>
      <c r="X297" s="257"/>
      <c r="Y297" s="257"/>
      <c r="Z297" s="257"/>
    </row>
    <row r="298" spans="1:26" ht="21" customHeight="1">
      <c r="A298" s="257"/>
      <c r="B298" s="257"/>
      <c r="C298" s="257"/>
      <c r="D298" s="257"/>
      <c r="E298" s="257"/>
      <c r="F298" s="257"/>
      <c r="G298" s="257"/>
      <c r="H298" s="257"/>
      <c r="I298" s="257"/>
      <c r="J298" s="257"/>
      <c r="K298" s="257"/>
      <c r="L298" s="257"/>
      <c r="M298" s="257"/>
      <c r="N298" s="257"/>
      <c r="O298" s="257"/>
      <c r="P298" s="257"/>
      <c r="Q298" s="257"/>
      <c r="R298" s="257"/>
      <c r="S298" s="257"/>
      <c r="T298" s="257"/>
      <c r="U298" s="257"/>
      <c r="V298" s="257"/>
      <c r="W298" s="257"/>
      <c r="X298" s="257"/>
      <c r="Y298" s="257"/>
      <c r="Z298" s="257"/>
    </row>
    <row r="299" spans="1:26" ht="21" customHeight="1">
      <c r="A299" s="257"/>
      <c r="B299" s="257"/>
      <c r="C299" s="257"/>
      <c r="D299" s="257"/>
      <c r="E299" s="257"/>
      <c r="F299" s="257"/>
      <c r="G299" s="257"/>
      <c r="H299" s="257"/>
      <c r="I299" s="257"/>
      <c r="J299" s="257"/>
      <c r="K299" s="257"/>
      <c r="L299" s="257"/>
      <c r="M299" s="257"/>
      <c r="N299" s="257"/>
      <c r="O299" s="257"/>
      <c r="P299" s="257"/>
      <c r="Q299" s="257"/>
      <c r="R299" s="257"/>
      <c r="S299" s="257"/>
      <c r="T299" s="257"/>
      <c r="U299" s="257"/>
      <c r="V299" s="257"/>
      <c r="W299" s="257"/>
      <c r="X299" s="257"/>
      <c r="Y299" s="257"/>
      <c r="Z299" s="257"/>
    </row>
    <row r="300" spans="1:26" ht="21" customHeight="1">
      <c r="A300" s="257"/>
      <c r="B300" s="257"/>
      <c r="C300" s="257"/>
      <c r="D300" s="257"/>
      <c r="E300" s="257"/>
      <c r="F300" s="257"/>
      <c r="G300" s="257"/>
      <c r="H300" s="257"/>
      <c r="I300" s="257"/>
      <c r="J300" s="257"/>
      <c r="K300" s="257"/>
      <c r="L300" s="257"/>
      <c r="M300" s="257"/>
      <c r="N300" s="257"/>
      <c r="O300" s="257"/>
      <c r="P300" s="257"/>
      <c r="Q300" s="257"/>
      <c r="R300" s="257"/>
      <c r="S300" s="257"/>
      <c r="T300" s="257"/>
      <c r="U300" s="257"/>
      <c r="V300" s="257"/>
      <c r="W300" s="257"/>
      <c r="X300" s="257"/>
      <c r="Y300" s="257"/>
      <c r="Z300" s="257"/>
    </row>
    <row r="301" spans="1:26" ht="21" customHeight="1">
      <c r="A301" s="257"/>
      <c r="B301" s="257"/>
      <c r="C301" s="257"/>
      <c r="D301" s="257"/>
      <c r="E301" s="257"/>
      <c r="F301" s="257"/>
      <c r="G301" s="257"/>
      <c r="H301" s="257"/>
      <c r="I301" s="257"/>
      <c r="J301" s="257"/>
      <c r="K301" s="257"/>
      <c r="L301" s="257"/>
      <c r="M301" s="257"/>
      <c r="N301" s="257"/>
      <c r="O301" s="257"/>
      <c r="P301" s="257"/>
      <c r="Q301" s="257"/>
      <c r="R301" s="257"/>
      <c r="S301" s="257"/>
      <c r="T301" s="257"/>
      <c r="U301" s="257"/>
      <c r="V301" s="257"/>
      <c r="W301" s="257"/>
      <c r="X301" s="257"/>
      <c r="Y301" s="257"/>
      <c r="Z301" s="257"/>
    </row>
    <row r="302" spans="1:26" ht="21" customHeight="1">
      <c r="A302" s="257"/>
      <c r="B302" s="257"/>
      <c r="C302" s="257"/>
      <c r="D302" s="257"/>
      <c r="E302" s="257"/>
      <c r="F302" s="257"/>
      <c r="G302" s="257"/>
      <c r="H302" s="257"/>
      <c r="I302" s="257"/>
      <c r="J302" s="257"/>
      <c r="K302" s="257"/>
      <c r="L302" s="257"/>
      <c r="M302" s="257"/>
      <c r="N302" s="257"/>
      <c r="O302" s="257"/>
      <c r="P302" s="257"/>
      <c r="Q302" s="257"/>
      <c r="R302" s="257"/>
      <c r="S302" s="257"/>
      <c r="T302" s="257"/>
      <c r="U302" s="257"/>
      <c r="V302" s="257"/>
      <c r="W302" s="257"/>
      <c r="X302" s="257"/>
      <c r="Y302" s="257"/>
      <c r="Z302" s="257"/>
    </row>
    <row r="303" spans="1:26" ht="21" customHeight="1">
      <c r="A303" s="257"/>
      <c r="B303" s="257"/>
      <c r="C303" s="257"/>
      <c r="D303" s="257"/>
      <c r="E303" s="257"/>
      <c r="F303" s="257"/>
      <c r="G303" s="257"/>
      <c r="H303" s="257"/>
      <c r="I303" s="257"/>
      <c r="J303" s="257"/>
      <c r="K303" s="257"/>
      <c r="L303" s="257"/>
      <c r="M303" s="257"/>
      <c r="N303" s="257"/>
      <c r="O303" s="257"/>
      <c r="P303" s="257"/>
      <c r="Q303" s="257"/>
      <c r="R303" s="257"/>
      <c r="S303" s="257"/>
      <c r="T303" s="257"/>
      <c r="U303" s="257"/>
      <c r="V303" s="257"/>
      <c r="W303" s="257"/>
      <c r="X303" s="257"/>
      <c r="Y303" s="257"/>
      <c r="Z303" s="257"/>
    </row>
    <row r="304" spans="1:26" ht="21" customHeight="1">
      <c r="A304" s="257"/>
      <c r="B304" s="257"/>
      <c r="C304" s="257"/>
      <c r="D304" s="257"/>
      <c r="E304" s="257"/>
      <c r="F304" s="257"/>
      <c r="G304" s="257"/>
      <c r="H304" s="257"/>
      <c r="I304" s="257"/>
      <c r="J304" s="257"/>
      <c r="K304" s="257"/>
      <c r="L304" s="257"/>
      <c r="M304" s="257"/>
      <c r="N304" s="257"/>
      <c r="O304" s="257"/>
      <c r="P304" s="257"/>
      <c r="Q304" s="257"/>
      <c r="R304" s="257"/>
      <c r="S304" s="257"/>
      <c r="T304" s="257"/>
      <c r="U304" s="257"/>
      <c r="V304" s="257"/>
      <c r="W304" s="257"/>
      <c r="X304" s="257"/>
      <c r="Y304" s="257"/>
      <c r="Z304" s="257"/>
    </row>
    <row r="305" spans="1:26" ht="21" customHeight="1">
      <c r="A305" s="257"/>
      <c r="B305" s="257"/>
      <c r="C305" s="257"/>
      <c r="D305" s="257"/>
      <c r="E305" s="257"/>
      <c r="F305" s="257"/>
      <c r="G305" s="257"/>
      <c r="H305" s="257"/>
      <c r="I305" s="257"/>
      <c r="J305" s="257"/>
      <c r="K305" s="257"/>
      <c r="L305" s="257"/>
      <c r="M305" s="257"/>
      <c r="N305" s="257"/>
      <c r="O305" s="257"/>
      <c r="P305" s="257"/>
      <c r="Q305" s="257"/>
      <c r="R305" s="257"/>
      <c r="S305" s="257"/>
      <c r="T305" s="257"/>
      <c r="U305" s="257"/>
      <c r="V305" s="257"/>
      <c r="W305" s="257"/>
      <c r="X305" s="257"/>
      <c r="Y305" s="257"/>
      <c r="Z305" s="257"/>
    </row>
    <row r="306" spans="1:26" ht="21" customHeight="1">
      <c r="A306" s="257"/>
      <c r="B306" s="257"/>
      <c r="C306" s="257"/>
      <c r="D306" s="257"/>
      <c r="E306" s="257"/>
      <c r="F306" s="257"/>
      <c r="G306" s="257"/>
      <c r="H306" s="257"/>
      <c r="I306" s="257"/>
      <c r="J306" s="257"/>
      <c r="K306" s="257"/>
      <c r="L306" s="257"/>
      <c r="M306" s="257"/>
      <c r="N306" s="257"/>
      <c r="O306" s="257"/>
      <c r="P306" s="257"/>
      <c r="Q306" s="257"/>
      <c r="R306" s="257"/>
      <c r="S306" s="257"/>
      <c r="T306" s="257"/>
      <c r="U306" s="257"/>
      <c r="V306" s="257"/>
      <c r="W306" s="257"/>
      <c r="X306" s="257"/>
      <c r="Y306" s="257"/>
      <c r="Z306" s="257"/>
    </row>
    <row r="307" spans="1:26" ht="21" customHeight="1">
      <c r="A307" s="257"/>
      <c r="B307" s="257"/>
      <c r="C307" s="257"/>
      <c r="D307" s="257"/>
      <c r="E307" s="257"/>
      <c r="F307" s="257"/>
      <c r="G307" s="257"/>
      <c r="H307" s="257"/>
      <c r="I307" s="257"/>
      <c r="J307" s="257"/>
      <c r="K307" s="257"/>
      <c r="L307" s="257"/>
      <c r="M307" s="257"/>
      <c r="N307" s="257"/>
      <c r="O307" s="257"/>
      <c r="P307" s="257"/>
      <c r="Q307" s="257"/>
      <c r="R307" s="257"/>
      <c r="S307" s="257"/>
      <c r="T307" s="257"/>
      <c r="U307" s="257"/>
      <c r="V307" s="257"/>
      <c r="W307" s="257"/>
      <c r="X307" s="257"/>
      <c r="Y307" s="257"/>
      <c r="Z307" s="257"/>
    </row>
    <row r="308" spans="1:26" ht="21" customHeight="1">
      <c r="A308" s="257"/>
      <c r="B308" s="257"/>
      <c r="C308" s="257"/>
      <c r="D308" s="257"/>
      <c r="E308" s="257"/>
      <c r="F308" s="257"/>
      <c r="G308" s="257"/>
      <c r="H308" s="257"/>
      <c r="I308" s="257"/>
      <c r="J308" s="257"/>
      <c r="K308" s="257"/>
      <c r="L308" s="257"/>
      <c r="M308" s="257"/>
      <c r="N308" s="257"/>
      <c r="O308" s="257"/>
      <c r="P308" s="257"/>
      <c r="Q308" s="257"/>
      <c r="R308" s="257"/>
      <c r="S308" s="257"/>
      <c r="T308" s="257"/>
      <c r="U308" s="257"/>
      <c r="V308" s="257"/>
      <c r="W308" s="257"/>
      <c r="X308" s="257"/>
      <c r="Y308" s="257"/>
      <c r="Z308" s="257"/>
    </row>
    <row r="309" spans="1:26" ht="21" customHeight="1">
      <c r="A309" s="257"/>
      <c r="B309" s="257"/>
      <c r="C309" s="257"/>
      <c r="D309" s="257"/>
      <c r="E309" s="257"/>
      <c r="F309" s="257"/>
      <c r="G309" s="257"/>
      <c r="H309" s="257"/>
      <c r="I309" s="257"/>
      <c r="J309" s="257"/>
      <c r="K309" s="257"/>
      <c r="L309" s="257"/>
      <c r="M309" s="257"/>
      <c r="N309" s="257"/>
      <c r="O309" s="257"/>
      <c r="P309" s="257"/>
      <c r="Q309" s="257"/>
      <c r="R309" s="257"/>
      <c r="S309" s="257"/>
      <c r="T309" s="257"/>
      <c r="U309" s="257"/>
      <c r="V309" s="257"/>
      <c r="W309" s="257"/>
      <c r="X309" s="257"/>
      <c r="Y309" s="257"/>
      <c r="Z309" s="257"/>
    </row>
    <row r="310" spans="1:26" ht="21" customHeight="1">
      <c r="A310" s="257"/>
      <c r="B310" s="257"/>
      <c r="C310" s="257"/>
      <c r="D310" s="257"/>
      <c r="E310" s="257"/>
      <c r="F310" s="257"/>
      <c r="G310" s="257"/>
      <c r="H310" s="257"/>
      <c r="I310" s="257"/>
      <c r="J310" s="257"/>
      <c r="K310" s="257"/>
      <c r="L310" s="257"/>
      <c r="M310" s="257"/>
      <c r="N310" s="257"/>
      <c r="O310" s="257"/>
      <c r="P310" s="257"/>
      <c r="Q310" s="257"/>
      <c r="R310" s="257"/>
      <c r="S310" s="257"/>
      <c r="T310" s="257"/>
      <c r="U310" s="257"/>
      <c r="V310" s="257"/>
      <c r="W310" s="257"/>
      <c r="X310" s="257"/>
      <c r="Y310" s="257"/>
      <c r="Z310" s="257"/>
    </row>
    <row r="311" spans="1:26" ht="21" customHeight="1">
      <c r="A311" s="257"/>
      <c r="B311" s="257"/>
      <c r="C311" s="257"/>
      <c r="D311" s="257"/>
      <c r="E311" s="257"/>
      <c r="F311" s="257"/>
      <c r="G311" s="257"/>
      <c r="H311" s="257"/>
      <c r="I311" s="257"/>
      <c r="J311" s="257"/>
      <c r="K311" s="257"/>
      <c r="L311" s="257"/>
      <c r="M311" s="257"/>
      <c r="N311" s="257"/>
      <c r="O311" s="257"/>
      <c r="P311" s="257"/>
      <c r="Q311" s="257"/>
      <c r="R311" s="257"/>
      <c r="S311" s="257"/>
      <c r="T311" s="257"/>
      <c r="U311" s="257"/>
      <c r="V311" s="257"/>
      <c r="W311" s="257"/>
      <c r="X311" s="257"/>
      <c r="Y311" s="257"/>
      <c r="Z311" s="257"/>
    </row>
    <row r="312" spans="1:26" ht="21" customHeight="1">
      <c r="A312" s="257"/>
      <c r="B312" s="257"/>
      <c r="C312" s="257"/>
      <c r="D312" s="257"/>
      <c r="E312" s="257"/>
      <c r="F312" s="257"/>
      <c r="G312" s="257"/>
      <c r="H312" s="257"/>
      <c r="I312" s="257"/>
      <c r="J312" s="257"/>
      <c r="K312" s="257"/>
      <c r="L312" s="257"/>
      <c r="M312" s="257"/>
      <c r="N312" s="257"/>
      <c r="O312" s="257"/>
      <c r="P312" s="257"/>
      <c r="Q312" s="257"/>
      <c r="R312" s="257"/>
      <c r="S312" s="257"/>
      <c r="T312" s="257"/>
      <c r="U312" s="257"/>
      <c r="V312" s="257"/>
      <c r="W312" s="257"/>
      <c r="X312" s="257"/>
      <c r="Y312" s="257"/>
      <c r="Z312" s="257"/>
    </row>
    <row r="313" spans="1:26" ht="21" customHeight="1">
      <c r="A313" s="257"/>
      <c r="B313" s="257"/>
      <c r="C313" s="257"/>
      <c r="D313" s="257"/>
      <c r="E313" s="257"/>
      <c r="F313" s="257"/>
      <c r="G313" s="257"/>
      <c r="H313" s="257"/>
      <c r="I313" s="257"/>
      <c r="J313" s="257"/>
      <c r="K313" s="257"/>
      <c r="L313" s="257"/>
      <c r="M313" s="257"/>
      <c r="N313" s="257"/>
      <c r="O313" s="257"/>
      <c r="P313" s="257"/>
      <c r="Q313" s="257"/>
      <c r="R313" s="257"/>
      <c r="S313" s="257"/>
      <c r="T313" s="257"/>
      <c r="U313" s="257"/>
      <c r="V313" s="257"/>
      <c r="W313" s="257"/>
      <c r="X313" s="257"/>
      <c r="Y313" s="257"/>
      <c r="Z313" s="257"/>
    </row>
    <row r="314" spans="1:26" ht="21" customHeight="1">
      <c r="A314" s="257"/>
      <c r="B314" s="257"/>
      <c r="C314" s="257"/>
      <c r="D314" s="257"/>
      <c r="E314" s="257"/>
      <c r="F314" s="257"/>
      <c r="G314" s="257"/>
      <c r="H314" s="257"/>
      <c r="I314" s="257"/>
      <c r="J314" s="257"/>
      <c r="K314" s="257"/>
      <c r="L314" s="257"/>
      <c r="M314" s="257"/>
      <c r="N314" s="257"/>
      <c r="O314" s="257"/>
      <c r="P314" s="257"/>
      <c r="Q314" s="257"/>
      <c r="R314" s="257"/>
      <c r="S314" s="257"/>
      <c r="T314" s="257"/>
      <c r="U314" s="257"/>
      <c r="V314" s="257"/>
      <c r="W314" s="257"/>
      <c r="X314" s="257"/>
      <c r="Y314" s="257"/>
      <c r="Z314" s="257"/>
    </row>
    <row r="315" spans="1:26" ht="21" customHeight="1">
      <c r="A315" s="257"/>
      <c r="B315" s="257"/>
      <c r="C315" s="257"/>
      <c r="D315" s="257"/>
      <c r="E315" s="257"/>
      <c r="F315" s="257"/>
      <c r="G315" s="257"/>
      <c r="H315" s="257"/>
      <c r="I315" s="257"/>
      <c r="J315" s="257"/>
      <c r="K315" s="257"/>
      <c r="L315" s="257"/>
      <c r="M315" s="257"/>
      <c r="N315" s="257"/>
      <c r="O315" s="257"/>
      <c r="P315" s="257"/>
      <c r="Q315" s="257"/>
      <c r="R315" s="257"/>
      <c r="S315" s="257"/>
      <c r="T315" s="257"/>
      <c r="U315" s="257"/>
      <c r="V315" s="257"/>
      <c r="W315" s="257"/>
      <c r="X315" s="257"/>
      <c r="Y315" s="257"/>
      <c r="Z315" s="257"/>
    </row>
    <row r="316" spans="1:26" ht="21" customHeight="1">
      <c r="A316" s="257"/>
      <c r="B316" s="257"/>
      <c r="C316" s="257"/>
      <c r="D316" s="257"/>
      <c r="E316" s="257"/>
      <c r="F316" s="257"/>
      <c r="G316" s="257"/>
      <c r="H316" s="257"/>
      <c r="I316" s="257"/>
      <c r="J316" s="257"/>
      <c r="K316" s="257"/>
      <c r="L316" s="257"/>
      <c r="M316" s="257"/>
      <c r="N316" s="257"/>
      <c r="O316" s="257"/>
      <c r="P316" s="257"/>
      <c r="Q316" s="257"/>
      <c r="R316" s="257"/>
      <c r="S316" s="257"/>
      <c r="T316" s="257"/>
      <c r="U316" s="257"/>
      <c r="V316" s="257"/>
      <c r="W316" s="257"/>
      <c r="X316" s="257"/>
      <c r="Y316" s="257"/>
      <c r="Z316" s="257"/>
    </row>
    <row r="317" spans="1:26" ht="21" customHeight="1">
      <c r="A317" s="257"/>
      <c r="B317" s="257"/>
      <c r="C317" s="257"/>
      <c r="D317" s="257"/>
      <c r="E317" s="257"/>
      <c r="F317" s="257"/>
      <c r="G317" s="257"/>
      <c r="H317" s="257"/>
      <c r="I317" s="257"/>
      <c r="J317" s="257"/>
      <c r="K317" s="257"/>
      <c r="L317" s="257"/>
      <c r="M317" s="257"/>
      <c r="N317" s="257"/>
      <c r="O317" s="257"/>
      <c r="P317" s="257"/>
      <c r="Q317" s="257"/>
      <c r="R317" s="257"/>
      <c r="S317" s="257"/>
      <c r="T317" s="257"/>
      <c r="U317" s="257"/>
      <c r="V317" s="257"/>
      <c r="W317" s="257"/>
      <c r="X317" s="257"/>
      <c r="Y317" s="257"/>
      <c r="Z317" s="257"/>
    </row>
    <row r="318" spans="1:26" ht="21" customHeight="1">
      <c r="A318" s="257"/>
      <c r="B318" s="257"/>
      <c r="C318" s="257"/>
      <c r="D318" s="257"/>
      <c r="E318" s="257"/>
      <c r="F318" s="257"/>
      <c r="G318" s="257"/>
      <c r="H318" s="257"/>
      <c r="I318" s="257"/>
      <c r="J318" s="257"/>
      <c r="K318" s="257"/>
      <c r="L318" s="257"/>
      <c r="M318" s="257"/>
      <c r="N318" s="257"/>
      <c r="O318" s="257"/>
      <c r="P318" s="257"/>
      <c r="Q318" s="257"/>
      <c r="R318" s="257"/>
      <c r="S318" s="257"/>
      <c r="T318" s="257"/>
      <c r="U318" s="257"/>
      <c r="V318" s="257"/>
      <c r="W318" s="257"/>
      <c r="X318" s="257"/>
      <c r="Y318" s="257"/>
      <c r="Z318" s="257"/>
    </row>
    <row r="319" spans="1:26" ht="21" customHeight="1">
      <c r="A319" s="257"/>
      <c r="B319" s="257"/>
      <c r="C319" s="257"/>
      <c r="D319" s="257"/>
      <c r="E319" s="257"/>
      <c r="F319" s="257"/>
      <c r="G319" s="257"/>
      <c r="H319" s="257"/>
      <c r="I319" s="257"/>
      <c r="J319" s="257"/>
      <c r="K319" s="257"/>
      <c r="L319" s="257"/>
      <c r="M319" s="257"/>
      <c r="N319" s="257"/>
      <c r="O319" s="257"/>
      <c r="P319" s="257"/>
      <c r="Q319" s="257"/>
      <c r="R319" s="257"/>
      <c r="S319" s="257"/>
      <c r="T319" s="257"/>
      <c r="U319" s="257"/>
      <c r="V319" s="257"/>
      <c r="W319" s="257"/>
      <c r="X319" s="257"/>
      <c r="Y319" s="257"/>
      <c r="Z319" s="257"/>
    </row>
    <row r="320" spans="1:26" ht="21" customHeight="1">
      <c r="A320" s="257"/>
      <c r="B320" s="257"/>
      <c r="C320" s="257"/>
      <c r="D320" s="257"/>
      <c r="E320" s="257"/>
      <c r="F320" s="257"/>
      <c r="G320" s="257"/>
      <c r="H320" s="257"/>
      <c r="I320" s="257"/>
      <c r="J320" s="257"/>
      <c r="K320" s="257"/>
      <c r="L320" s="257"/>
      <c r="M320" s="257"/>
      <c r="N320" s="257"/>
      <c r="O320" s="257"/>
      <c r="P320" s="257"/>
      <c r="Q320" s="257"/>
      <c r="R320" s="257"/>
      <c r="S320" s="257"/>
      <c r="T320" s="257"/>
      <c r="U320" s="257"/>
      <c r="V320" s="257"/>
      <c r="W320" s="257"/>
      <c r="X320" s="257"/>
      <c r="Y320" s="257"/>
      <c r="Z320" s="257"/>
    </row>
    <row r="321" spans="1:26" ht="21" customHeight="1">
      <c r="A321" s="257"/>
      <c r="B321" s="257"/>
      <c r="C321" s="257"/>
      <c r="D321" s="257"/>
      <c r="E321" s="257"/>
      <c r="F321" s="257"/>
      <c r="G321" s="257"/>
      <c r="H321" s="257"/>
      <c r="I321" s="257"/>
      <c r="J321" s="257"/>
      <c r="K321" s="257"/>
      <c r="L321" s="257"/>
      <c r="M321" s="257"/>
      <c r="N321" s="257"/>
      <c r="O321" s="257"/>
      <c r="P321" s="257"/>
      <c r="Q321" s="257"/>
      <c r="R321" s="257"/>
      <c r="S321" s="257"/>
      <c r="T321" s="257"/>
      <c r="U321" s="257"/>
      <c r="V321" s="257"/>
      <c r="W321" s="257"/>
      <c r="X321" s="257"/>
      <c r="Y321" s="257"/>
      <c r="Z321" s="257"/>
    </row>
    <row r="322" spans="1:26" ht="21" customHeight="1">
      <c r="A322" s="257"/>
      <c r="B322" s="257"/>
      <c r="C322" s="257"/>
      <c r="D322" s="257"/>
      <c r="E322" s="257"/>
      <c r="F322" s="257"/>
      <c r="G322" s="257"/>
      <c r="H322" s="257"/>
      <c r="I322" s="257"/>
      <c r="J322" s="257"/>
      <c r="K322" s="257"/>
      <c r="L322" s="257"/>
      <c r="M322" s="257"/>
      <c r="N322" s="257"/>
      <c r="O322" s="257"/>
      <c r="P322" s="257"/>
      <c r="Q322" s="257"/>
      <c r="R322" s="257"/>
      <c r="S322" s="257"/>
      <c r="T322" s="257"/>
      <c r="U322" s="257"/>
      <c r="V322" s="257"/>
      <c r="W322" s="257"/>
      <c r="X322" s="257"/>
      <c r="Y322" s="257"/>
      <c r="Z322" s="257"/>
    </row>
    <row r="323" spans="1:26" ht="21" customHeight="1">
      <c r="A323" s="257"/>
      <c r="B323" s="257"/>
      <c r="C323" s="257"/>
      <c r="D323" s="257"/>
      <c r="E323" s="257"/>
      <c r="F323" s="257"/>
      <c r="G323" s="257"/>
      <c r="H323" s="257"/>
      <c r="I323" s="257"/>
      <c r="J323" s="257"/>
      <c r="K323" s="257"/>
      <c r="L323" s="257"/>
      <c r="M323" s="257"/>
      <c r="N323" s="257"/>
      <c r="O323" s="257"/>
      <c r="P323" s="257"/>
      <c r="Q323" s="257"/>
      <c r="R323" s="257"/>
      <c r="S323" s="257"/>
      <c r="T323" s="257"/>
      <c r="U323" s="257"/>
      <c r="V323" s="257"/>
      <c r="W323" s="257"/>
      <c r="X323" s="257"/>
      <c r="Y323" s="257"/>
      <c r="Z323" s="257"/>
    </row>
    <row r="324" spans="1:26" ht="21" customHeight="1">
      <c r="A324" s="257"/>
      <c r="B324" s="257"/>
      <c r="C324" s="257"/>
      <c r="D324" s="257"/>
      <c r="E324" s="257"/>
      <c r="F324" s="257"/>
      <c r="G324" s="257"/>
      <c r="H324" s="257"/>
      <c r="I324" s="257"/>
      <c r="J324" s="257"/>
      <c r="K324" s="257"/>
      <c r="L324" s="257"/>
      <c r="M324" s="257"/>
      <c r="N324" s="257"/>
      <c r="O324" s="257"/>
      <c r="P324" s="257"/>
      <c r="Q324" s="257"/>
      <c r="R324" s="257"/>
      <c r="S324" s="257"/>
      <c r="T324" s="257"/>
      <c r="U324" s="257"/>
      <c r="V324" s="257"/>
      <c r="W324" s="257"/>
      <c r="X324" s="257"/>
      <c r="Y324" s="257"/>
      <c r="Z324" s="257"/>
    </row>
    <row r="325" spans="1:26" ht="21" customHeight="1">
      <c r="A325" s="257"/>
      <c r="B325" s="257"/>
      <c r="C325" s="257"/>
      <c r="D325" s="257"/>
      <c r="E325" s="257"/>
      <c r="F325" s="257"/>
      <c r="G325" s="257"/>
      <c r="H325" s="257"/>
      <c r="I325" s="257"/>
      <c r="J325" s="257"/>
      <c r="K325" s="257"/>
      <c r="L325" s="257"/>
      <c r="M325" s="257"/>
      <c r="N325" s="257"/>
      <c r="O325" s="257"/>
      <c r="P325" s="257"/>
      <c r="Q325" s="257"/>
      <c r="R325" s="257"/>
      <c r="S325" s="257"/>
      <c r="T325" s="257"/>
      <c r="U325" s="257"/>
      <c r="V325" s="257"/>
      <c r="W325" s="257"/>
      <c r="X325" s="257"/>
      <c r="Y325" s="257"/>
      <c r="Z325" s="257"/>
    </row>
    <row r="326" spans="1:26" ht="21" customHeight="1">
      <c r="A326" s="257"/>
      <c r="B326" s="257"/>
      <c r="C326" s="257"/>
      <c r="D326" s="257"/>
      <c r="E326" s="257"/>
      <c r="F326" s="257"/>
      <c r="G326" s="257"/>
      <c r="H326" s="257"/>
      <c r="I326" s="257"/>
      <c r="J326" s="257"/>
      <c r="K326" s="257"/>
      <c r="L326" s="257"/>
      <c r="M326" s="257"/>
      <c r="N326" s="257"/>
      <c r="O326" s="257"/>
      <c r="P326" s="257"/>
      <c r="Q326" s="257"/>
      <c r="R326" s="257"/>
      <c r="S326" s="257"/>
      <c r="T326" s="257"/>
      <c r="U326" s="257"/>
      <c r="V326" s="257"/>
      <c r="W326" s="257"/>
      <c r="X326" s="257"/>
      <c r="Y326" s="257"/>
      <c r="Z326" s="257"/>
    </row>
    <row r="327" spans="1:26" ht="21" customHeight="1">
      <c r="A327" s="257"/>
      <c r="B327" s="257"/>
      <c r="C327" s="257"/>
      <c r="D327" s="257"/>
      <c r="E327" s="257"/>
      <c r="F327" s="257"/>
      <c r="G327" s="257"/>
      <c r="H327" s="257"/>
      <c r="I327" s="257"/>
      <c r="J327" s="257"/>
      <c r="K327" s="257"/>
      <c r="L327" s="257"/>
      <c r="M327" s="257"/>
      <c r="N327" s="257"/>
      <c r="O327" s="257"/>
      <c r="P327" s="257"/>
      <c r="Q327" s="257"/>
      <c r="R327" s="257"/>
      <c r="S327" s="257"/>
      <c r="T327" s="257"/>
      <c r="U327" s="257"/>
      <c r="V327" s="257"/>
      <c r="W327" s="257"/>
      <c r="X327" s="257"/>
      <c r="Y327" s="257"/>
      <c r="Z327" s="257"/>
    </row>
    <row r="328" spans="1:26" ht="21" customHeight="1">
      <c r="A328" s="257"/>
      <c r="B328" s="257"/>
      <c r="C328" s="257"/>
      <c r="D328" s="257"/>
      <c r="E328" s="257"/>
      <c r="F328" s="257"/>
      <c r="G328" s="257"/>
      <c r="H328" s="257"/>
      <c r="I328" s="257"/>
      <c r="J328" s="257"/>
      <c r="K328" s="257"/>
      <c r="L328" s="257"/>
      <c r="M328" s="257"/>
      <c r="N328" s="257"/>
      <c r="O328" s="257"/>
      <c r="P328" s="257"/>
      <c r="Q328" s="257"/>
      <c r="R328" s="257"/>
      <c r="S328" s="257"/>
      <c r="T328" s="257"/>
      <c r="U328" s="257"/>
      <c r="V328" s="257"/>
      <c r="W328" s="257"/>
      <c r="X328" s="257"/>
      <c r="Y328" s="257"/>
      <c r="Z328" s="257"/>
    </row>
    <row r="329" spans="1:26" ht="21" customHeight="1">
      <c r="A329" s="257"/>
      <c r="B329" s="257"/>
      <c r="C329" s="257"/>
      <c r="D329" s="257"/>
      <c r="E329" s="257"/>
      <c r="F329" s="257"/>
      <c r="G329" s="257"/>
      <c r="H329" s="257"/>
      <c r="I329" s="257"/>
      <c r="J329" s="257"/>
      <c r="K329" s="257"/>
      <c r="L329" s="257"/>
      <c r="M329" s="257"/>
      <c r="N329" s="257"/>
      <c r="O329" s="257"/>
      <c r="P329" s="257"/>
      <c r="Q329" s="257"/>
      <c r="R329" s="257"/>
      <c r="S329" s="257"/>
      <c r="T329" s="257"/>
      <c r="U329" s="257"/>
      <c r="V329" s="257"/>
      <c r="W329" s="257"/>
      <c r="X329" s="257"/>
      <c r="Y329" s="257"/>
      <c r="Z329" s="257"/>
    </row>
    <row r="330" spans="1:26" ht="21" customHeight="1">
      <c r="A330" s="257"/>
      <c r="B330" s="257"/>
      <c r="C330" s="257"/>
      <c r="D330" s="257"/>
      <c r="E330" s="257"/>
      <c r="F330" s="257"/>
      <c r="G330" s="257"/>
      <c r="H330" s="257"/>
      <c r="I330" s="257"/>
      <c r="J330" s="257"/>
      <c r="K330" s="257"/>
      <c r="L330" s="257"/>
      <c r="M330" s="257"/>
      <c r="N330" s="257"/>
      <c r="O330" s="257"/>
      <c r="P330" s="257"/>
      <c r="Q330" s="257"/>
      <c r="R330" s="257"/>
      <c r="S330" s="257"/>
      <c r="T330" s="257"/>
      <c r="U330" s="257"/>
      <c r="V330" s="257"/>
      <c r="W330" s="257"/>
      <c r="X330" s="257"/>
      <c r="Y330" s="257"/>
      <c r="Z330" s="257"/>
    </row>
    <row r="331" spans="1:26" ht="21" customHeight="1">
      <c r="A331" s="257"/>
      <c r="B331" s="257"/>
      <c r="C331" s="257"/>
      <c r="D331" s="257"/>
      <c r="E331" s="257"/>
      <c r="F331" s="257"/>
      <c r="G331" s="257"/>
      <c r="H331" s="257"/>
      <c r="I331" s="257"/>
      <c r="J331" s="257"/>
      <c r="K331" s="257"/>
      <c r="L331" s="257"/>
      <c r="M331" s="257"/>
      <c r="N331" s="257"/>
      <c r="O331" s="257"/>
      <c r="P331" s="257"/>
      <c r="Q331" s="257"/>
      <c r="R331" s="257"/>
      <c r="S331" s="257"/>
      <c r="T331" s="257"/>
      <c r="U331" s="257"/>
      <c r="V331" s="257"/>
      <c r="W331" s="257"/>
      <c r="X331" s="257"/>
      <c r="Y331" s="257"/>
      <c r="Z331" s="257"/>
    </row>
    <row r="332" spans="1:26" ht="21" customHeight="1">
      <c r="A332" s="257"/>
      <c r="B332" s="257"/>
      <c r="C332" s="257"/>
      <c r="D332" s="257"/>
      <c r="E332" s="257"/>
      <c r="F332" s="257"/>
      <c r="G332" s="257"/>
      <c r="H332" s="257"/>
      <c r="I332" s="257"/>
      <c r="J332" s="257"/>
      <c r="K332" s="257"/>
      <c r="L332" s="257"/>
      <c r="M332" s="257"/>
      <c r="N332" s="257"/>
      <c r="O332" s="257"/>
      <c r="P332" s="257"/>
      <c r="Q332" s="257"/>
      <c r="R332" s="257"/>
      <c r="S332" s="257"/>
      <c r="T332" s="257"/>
      <c r="U332" s="257"/>
      <c r="V332" s="257"/>
      <c r="W332" s="257"/>
      <c r="X332" s="257"/>
      <c r="Y332" s="257"/>
      <c r="Z332" s="257"/>
    </row>
    <row r="333" spans="1:26" ht="21" customHeight="1">
      <c r="A333" s="257"/>
      <c r="B333" s="257"/>
      <c r="C333" s="257"/>
      <c r="D333" s="257"/>
      <c r="E333" s="257"/>
      <c r="F333" s="257"/>
      <c r="G333" s="257"/>
      <c r="H333" s="257"/>
      <c r="I333" s="257"/>
      <c r="J333" s="257"/>
      <c r="K333" s="257"/>
      <c r="L333" s="257"/>
      <c r="M333" s="257"/>
      <c r="N333" s="257"/>
      <c r="O333" s="257"/>
      <c r="P333" s="257"/>
      <c r="Q333" s="257"/>
      <c r="R333" s="257"/>
      <c r="S333" s="257"/>
      <c r="T333" s="257"/>
      <c r="U333" s="257"/>
      <c r="V333" s="257"/>
      <c r="W333" s="257"/>
      <c r="X333" s="257"/>
      <c r="Y333" s="257"/>
      <c r="Z333" s="257"/>
    </row>
    <row r="334" spans="1:26" ht="21" customHeight="1">
      <c r="A334" s="257"/>
      <c r="B334" s="257"/>
      <c r="C334" s="257"/>
      <c r="D334" s="257"/>
      <c r="E334" s="257"/>
      <c r="F334" s="257"/>
      <c r="G334" s="257"/>
      <c r="H334" s="257"/>
      <c r="I334" s="257"/>
      <c r="J334" s="257"/>
      <c r="K334" s="257"/>
      <c r="L334" s="257"/>
      <c r="M334" s="257"/>
      <c r="N334" s="257"/>
      <c r="O334" s="257"/>
      <c r="P334" s="257"/>
      <c r="Q334" s="257"/>
      <c r="R334" s="257"/>
      <c r="S334" s="257"/>
      <c r="T334" s="257"/>
      <c r="U334" s="257"/>
      <c r="V334" s="257"/>
      <c r="W334" s="257"/>
      <c r="X334" s="257"/>
      <c r="Y334" s="257"/>
      <c r="Z334" s="257"/>
    </row>
    <row r="335" spans="1:26" ht="21" customHeight="1">
      <c r="A335" s="257"/>
      <c r="B335" s="257"/>
      <c r="C335" s="257"/>
      <c r="D335" s="257"/>
      <c r="E335" s="257"/>
      <c r="F335" s="257"/>
      <c r="G335" s="257"/>
      <c r="H335" s="257"/>
      <c r="I335" s="257"/>
      <c r="J335" s="257"/>
      <c r="K335" s="257"/>
      <c r="L335" s="257"/>
      <c r="M335" s="257"/>
      <c r="N335" s="257"/>
      <c r="O335" s="257"/>
      <c r="P335" s="257"/>
      <c r="Q335" s="257"/>
      <c r="R335" s="257"/>
      <c r="S335" s="257"/>
      <c r="T335" s="257"/>
      <c r="U335" s="257"/>
      <c r="V335" s="257"/>
      <c r="W335" s="257"/>
      <c r="X335" s="257"/>
      <c r="Y335" s="257"/>
      <c r="Z335" s="257"/>
    </row>
    <row r="336" spans="1:26" ht="21" customHeight="1">
      <c r="A336" s="257"/>
      <c r="B336" s="257"/>
      <c r="C336" s="257"/>
      <c r="D336" s="257"/>
      <c r="E336" s="257"/>
      <c r="F336" s="257"/>
      <c r="G336" s="257"/>
      <c r="H336" s="257"/>
      <c r="I336" s="257"/>
      <c r="J336" s="257"/>
      <c r="K336" s="257"/>
      <c r="L336" s="257"/>
      <c r="M336" s="257"/>
      <c r="N336" s="257"/>
      <c r="O336" s="257"/>
      <c r="P336" s="257"/>
      <c r="Q336" s="257"/>
      <c r="R336" s="257"/>
      <c r="S336" s="257"/>
      <c r="T336" s="257"/>
      <c r="U336" s="257"/>
      <c r="V336" s="257"/>
      <c r="W336" s="257"/>
      <c r="X336" s="257"/>
      <c r="Y336" s="257"/>
      <c r="Z336" s="257"/>
    </row>
    <row r="337" spans="1:26" ht="21" customHeight="1">
      <c r="A337" s="257"/>
      <c r="B337" s="257"/>
      <c r="C337" s="257"/>
      <c r="D337" s="257"/>
      <c r="E337" s="257"/>
      <c r="F337" s="257"/>
      <c r="G337" s="257"/>
      <c r="H337" s="257"/>
      <c r="I337" s="257"/>
      <c r="J337" s="257"/>
      <c r="K337" s="257"/>
      <c r="L337" s="257"/>
      <c r="M337" s="257"/>
      <c r="N337" s="257"/>
      <c r="O337" s="257"/>
      <c r="P337" s="257"/>
      <c r="Q337" s="257"/>
      <c r="R337" s="257"/>
      <c r="S337" s="257"/>
      <c r="T337" s="257"/>
      <c r="U337" s="257"/>
      <c r="V337" s="257"/>
      <c r="W337" s="257"/>
      <c r="X337" s="257"/>
      <c r="Y337" s="257"/>
      <c r="Z337" s="257"/>
    </row>
    <row r="338" spans="1:26" ht="21" customHeight="1">
      <c r="A338" s="257"/>
      <c r="B338" s="257"/>
      <c r="C338" s="257"/>
      <c r="D338" s="257"/>
      <c r="E338" s="257"/>
      <c r="F338" s="257"/>
      <c r="G338" s="257"/>
      <c r="H338" s="257"/>
      <c r="I338" s="257"/>
      <c r="J338" s="257"/>
      <c r="K338" s="257"/>
      <c r="L338" s="257"/>
      <c r="M338" s="257"/>
      <c r="N338" s="257"/>
      <c r="O338" s="257"/>
      <c r="P338" s="257"/>
      <c r="Q338" s="257"/>
      <c r="R338" s="257"/>
      <c r="S338" s="257"/>
      <c r="T338" s="257"/>
      <c r="U338" s="257"/>
      <c r="V338" s="257"/>
      <c r="W338" s="257"/>
      <c r="X338" s="257"/>
      <c r="Y338" s="257"/>
      <c r="Z338" s="257"/>
    </row>
    <row r="339" spans="1:26" ht="21" customHeight="1">
      <c r="A339" s="257"/>
      <c r="B339" s="257"/>
      <c r="C339" s="257"/>
      <c r="D339" s="257"/>
      <c r="E339" s="257"/>
      <c r="F339" s="257"/>
      <c r="G339" s="257"/>
      <c r="H339" s="257"/>
      <c r="I339" s="257"/>
      <c r="J339" s="257"/>
      <c r="K339" s="257"/>
      <c r="L339" s="257"/>
      <c r="M339" s="257"/>
      <c r="N339" s="257"/>
      <c r="O339" s="257"/>
      <c r="P339" s="257"/>
      <c r="Q339" s="257"/>
      <c r="R339" s="257"/>
      <c r="S339" s="257"/>
      <c r="T339" s="257"/>
      <c r="U339" s="257"/>
      <c r="V339" s="257"/>
      <c r="W339" s="257"/>
      <c r="X339" s="257"/>
      <c r="Y339" s="257"/>
      <c r="Z339" s="257"/>
    </row>
    <row r="340" spans="1:26" ht="21" customHeight="1">
      <c r="A340" s="257"/>
      <c r="B340" s="257"/>
      <c r="C340" s="257"/>
      <c r="D340" s="257"/>
      <c r="E340" s="257"/>
      <c r="F340" s="257"/>
      <c r="G340" s="257"/>
      <c r="H340" s="257"/>
      <c r="I340" s="257"/>
      <c r="J340" s="257"/>
      <c r="K340" s="257"/>
      <c r="L340" s="257"/>
      <c r="M340" s="257"/>
      <c r="N340" s="257"/>
      <c r="O340" s="257"/>
      <c r="P340" s="257"/>
      <c r="Q340" s="257"/>
      <c r="R340" s="257"/>
      <c r="S340" s="257"/>
      <c r="T340" s="257"/>
      <c r="U340" s="257"/>
      <c r="V340" s="257"/>
      <c r="W340" s="257"/>
      <c r="X340" s="257"/>
      <c r="Y340" s="257"/>
      <c r="Z340" s="257"/>
    </row>
    <row r="341" spans="1:26" ht="21" customHeight="1">
      <c r="A341" s="257"/>
      <c r="B341" s="257"/>
      <c r="C341" s="257"/>
      <c r="D341" s="257"/>
      <c r="E341" s="257"/>
      <c r="F341" s="257"/>
      <c r="G341" s="257"/>
      <c r="H341" s="257"/>
      <c r="I341" s="257"/>
      <c r="J341" s="257"/>
      <c r="K341" s="257"/>
      <c r="L341" s="257"/>
      <c r="M341" s="257"/>
      <c r="N341" s="257"/>
      <c r="O341" s="257"/>
      <c r="P341" s="257"/>
      <c r="Q341" s="257"/>
      <c r="R341" s="257"/>
      <c r="S341" s="257"/>
      <c r="T341" s="257"/>
      <c r="U341" s="257"/>
      <c r="V341" s="257"/>
      <c r="W341" s="257"/>
      <c r="X341" s="257"/>
      <c r="Y341" s="257"/>
      <c r="Z341" s="257"/>
    </row>
    <row r="342" spans="1:26" ht="21" customHeight="1">
      <c r="A342" s="257"/>
      <c r="B342" s="257"/>
      <c r="C342" s="257"/>
      <c r="D342" s="257"/>
      <c r="E342" s="257"/>
      <c r="F342" s="257"/>
      <c r="G342" s="257"/>
      <c r="H342" s="257"/>
      <c r="I342" s="257"/>
      <c r="J342" s="257"/>
      <c r="K342" s="257"/>
      <c r="L342" s="257"/>
      <c r="M342" s="257"/>
      <c r="N342" s="257"/>
      <c r="O342" s="257"/>
      <c r="P342" s="257"/>
      <c r="Q342" s="257"/>
      <c r="R342" s="257"/>
      <c r="S342" s="257"/>
      <c r="T342" s="257"/>
      <c r="U342" s="257"/>
      <c r="V342" s="257"/>
      <c r="W342" s="257"/>
      <c r="X342" s="257"/>
      <c r="Y342" s="257"/>
      <c r="Z342" s="257"/>
    </row>
    <row r="343" spans="1:26" ht="21" customHeight="1">
      <c r="A343" s="257"/>
      <c r="B343" s="257"/>
      <c r="C343" s="257"/>
      <c r="D343" s="257"/>
      <c r="E343" s="257"/>
      <c r="F343" s="257"/>
      <c r="G343" s="257"/>
      <c r="H343" s="257"/>
      <c r="I343" s="257"/>
      <c r="J343" s="257"/>
      <c r="K343" s="257"/>
      <c r="L343" s="257"/>
      <c r="M343" s="257"/>
      <c r="N343" s="257"/>
      <c r="O343" s="257"/>
      <c r="P343" s="257"/>
      <c r="Q343" s="257"/>
      <c r="R343" s="257"/>
      <c r="S343" s="257"/>
      <c r="T343" s="257"/>
      <c r="U343" s="257"/>
      <c r="V343" s="257"/>
      <c r="W343" s="257"/>
      <c r="X343" s="257"/>
      <c r="Y343" s="257"/>
      <c r="Z343" s="257"/>
    </row>
    <row r="344" spans="1:26" ht="21" customHeight="1">
      <c r="A344" s="257"/>
      <c r="B344" s="257"/>
      <c r="C344" s="257"/>
      <c r="D344" s="257"/>
      <c r="E344" s="257"/>
      <c r="F344" s="257"/>
      <c r="G344" s="257"/>
      <c r="H344" s="257"/>
      <c r="I344" s="257"/>
      <c r="J344" s="257"/>
      <c r="K344" s="257"/>
      <c r="L344" s="257"/>
      <c r="M344" s="257"/>
      <c r="N344" s="257"/>
      <c r="O344" s="257"/>
      <c r="P344" s="257"/>
      <c r="Q344" s="257"/>
      <c r="R344" s="257"/>
      <c r="S344" s="257"/>
      <c r="T344" s="257"/>
      <c r="U344" s="257"/>
      <c r="V344" s="257"/>
      <c r="W344" s="257"/>
      <c r="X344" s="257"/>
      <c r="Y344" s="257"/>
      <c r="Z344" s="257"/>
    </row>
    <row r="345" spans="1:26" ht="21" customHeight="1">
      <c r="A345" s="257"/>
      <c r="B345" s="257"/>
      <c r="C345" s="257"/>
      <c r="D345" s="257"/>
      <c r="E345" s="257"/>
      <c r="F345" s="257"/>
      <c r="G345" s="257"/>
      <c r="H345" s="257"/>
      <c r="I345" s="257"/>
      <c r="J345" s="257"/>
      <c r="K345" s="257"/>
      <c r="L345" s="257"/>
      <c r="M345" s="257"/>
      <c r="N345" s="257"/>
      <c r="O345" s="257"/>
      <c r="P345" s="257"/>
      <c r="Q345" s="257"/>
      <c r="R345" s="257"/>
      <c r="S345" s="257"/>
      <c r="T345" s="257"/>
      <c r="U345" s="257"/>
      <c r="V345" s="257"/>
      <c r="W345" s="257"/>
      <c r="X345" s="257"/>
      <c r="Y345" s="257"/>
      <c r="Z345" s="257"/>
    </row>
    <row r="346" spans="1:26" ht="21" customHeight="1">
      <c r="A346" s="257"/>
      <c r="B346" s="257"/>
      <c r="C346" s="257"/>
      <c r="D346" s="257"/>
      <c r="E346" s="257"/>
      <c r="F346" s="257"/>
      <c r="G346" s="257"/>
      <c r="H346" s="257"/>
      <c r="I346" s="257"/>
      <c r="J346" s="257"/>
      <c r="K346" s="257"/>
      <c r="L346" s="257"/>
      <c r="M346" s="257"/>
      <c r="N346" s="257"/>
      <c r="O346" s="257"/>
      <c r="P346" s="257"/>
      <c r="Q346" s="257"/>
      <c r="R346" s="257"/>
      <c r="S346" s="257"/>
      <c r="T346" s="257"/>
      <c r="U346" s="257"/>
      <c r="V346" s="257"/>
      <c r="W346" s="257"/>
      <c r="X346" s="257"/>
      <c r="Y346" s="257"/>
      <c r="Z346" s="257"/>
    </row>
    <row r="347" spans="1:26" ht="21" customHeight="1">
      <c r="A347" s="257"/>
      <c r="B347" s="257"/>
      <c r="C347" s="257"/>
      <c r="D347" s="257"/>
      <c r="E347" s="257"/>
      <c r="F347" s="257"/>
      <c r="G347" s="257"/>
      <c r="H347" s="257"/>
      <c r="I347" s="257"/>
      <c r="J347" s="257"/>
      <c r="K347" s="257"/>
      <c r="L347" s="257"/>
      <c r="M347" s="257"/>
      <c r="N347" s="257"/>
      <c r="O347" s="257"/>
      <c r="P347" s="257"/>
      <c r="Q347" s="257"/>
      <c r="R347" s="257"/>
      <c r="S347" s="257"/>
      <c r="T347" s="257"/>
      <c r="U347" s="257"/>
      <c r="V347" s="257"/>
      <c r="W347" s="257"/>
      <c r="X347" s="257"/>
      <c r="Y347" s="257"/>
      <c r="Z347" s="257"/>
    </row>
    <row r="348" spans="1:26" ht="21" customHeight="1">
      <c r="A348" s="257"/>
      <c r="B348" s="257"/>
      <c r="C348" s="257"/>
      <c r="D348" s="257"/>
      <c r="E348" s="257"/>
      <c r="F348" s="257"/>
      <c r="G348" s="257"/>
      <c r="H348" s="257"/>
      <c r="I348" s="257"/>
      <c r="J348" s="257"/>
      <c r="K348" s="257"/>
      <c r="L348" s="257"/>
      <c r="M348" s="257"/>
      <c r="N348" s="257"/>
      <c r="O348" s="257"/>
      <c r="P348" s="257"/>
      <c r="Q348" s="257"/>
      <c r="R348" s="257"/>
      <c r="S348" s="257"/>
      <c r="T348" s="257"/>
      <c r="U348" s="257"/>
      <c r="V348" s="257"/>
      <c r="W348" s="257"/>
      <c r="X348" s="257"/>
      <c r="Y348" s="257"/>
      <c r="Z348" s="257"/>
    </row>
    <row r="349" spans="1:26" ht="21" customHeight="1">
      <c r="A349" s="257"/>
      <c r="B349" s="257"/>
      <c r="C349" s="257"/>
      <c r="D349" s="257"/>
      <c r="E349" s="257"/>
      <c r="F349" s="257"/>
      <c r="G349" s="257"/>
      <c r="H349" s="257"/>
      <c r="I349" s="257"/>
      <c r="J349" s="257"/>
      <c r="K349" s="257"/>
      <c r="L349" s="257"/>
      <c r="M349" s="257"/>
      <c r="N349" s="257"/>
      <c r="O349" s="257"/>
      <c r="P349" s="257"/>
      <c r="Q349" s="257"/>
      <c r="R349" s="257"/>
      <c r="S349" s="257"/>
      <c r="T349" s="257"/>
      <c r="U349" s="257"/>
      <c r="V349" s="257"/>
      <c r="W349" s="257"/>
      <c r="X349" s="257"/>
      <c r="Y349" s="257"/>
      <c r="Z349" s="257"/>
    </row>
    <row r="350" spans="1:26" ht="21" customHeight="1">
      <c r="A350" s="257"/>
      <c r="B350" s="257"/>
      <c r="C350" s="257"/>
      <c r="D350" s="257"/>
      <c r="E350" s="257"/>
      <c r="F350" s="257"/>
      <c r="G350" s="257"/>
      <c r="H350" s="257"/>
      <c r="I350" s="257"/>
      <c r="J350" s="257"/>
      <c r="K350" s="257"/>
      <c r="L350" s="257"/>
      <c r="M350" s="257"/>
      <c r="N350" s="257"/>
      <c r="O350" s="257"/>
      <c r="P350" s="257"/>
      <c r="Q350" s="257"/>
      <c r="R350" s="257"/>
      <c r="S350" s="257"/>
      <c r="T350" s="257"/>
      <c r="U350" s="257"/>
      <c r="V350" s="257"/>
      <c r="W350" s="257"/>
      <c r="X350" s="257"/>
      <c r="Y350" s="257"/>
      <c r="Z350" s="257"/>
    </row>
    <row r="351" spans="1:26" ht="21" customHeight="1">
      <c r="A351" s="257"/>
      <c r="B351" s="257"/>
      <c r="C351" s="257"/>
      <c r="D351" s="257"/>
      <c r="E351" s="257"/>
      <c r="F351" s="257"/>
      <c r="G351" s="257"/>
      <c r="H351" s="257"/>
      <c r="I351" s="257"/>
      <c r="J351" s="257"/>
      <c r="K351" s="257"/>
      <c r="L351" s="257"/>
      <c r="M351" s="257"/>
      <c r="N351" s="257"/>
      <c r="O351" s="257"/>
      <c r="P351" s="257"/>
      <c r="Q351" s="257"/>
      <c r="R351" s="257"/>
      <c r="S351" s="257"/>
      <c r="T351" s="257"/>
      <c r="U351" s="257"/>
      <c r="V351" s="257"/>
      <c r="W351" s="257"/>
      <c r="X351" s="257"/>
      <c r="Y351" s="257"/>
      <c r="Z351" s="257"/>
    </row>
    <row r="352" spans="1:26" ht="21" customHeight="1">
      <c r="A352" s="257"/>
      <c r="B352" s="257"/>
      <c r="C352" s="257"/>
      <c r="D352" s="257"/>
      <c r="E352" s="257"/>
      <c r="F352" s="257"/>
      <c r="G352" s="257"/>
      <c r="H352" s="257"/>
      <c r="I352" s="257"/>
      <c r="J352" s="257"/>
      <c r="K352" s="257"/>
      <c r="L352" s="257"/>
      <c r="M352" s="257"/>
      <c r="N352" s="257"/>
      <c r="O352" s="257"/>
      <c r="P352" s="257"/>
      <c r="Q352" s="257"/>
      <c r="R352" s="257"/>
      <c r="S352" s="257"/>
      <c r="T352" s="257"/>
      <c r="U352" s="257"/>
      <c r="V352" s="257"/>
      <c r="W352" s="257"/>
      <c r="X352" s="257"/>
      <c r="Y352" s="257"/>
      <c r="Z352" s="257"/>
    </row>
    <row r="353" spans="1:26" ht="21" customHeight="1">
      <c r="A353" s="257"/>
      <c r="B353" s="257"/>
      <c r="C353" s="257"/>
      <c r="D353" s="257"/>
      <c r="E353" s="257"/>
      <c r="F353" s="257"/>
      <c r="G353" s="257"/>
      <c r="H353" s="257"/>
      <c r="I353" s="257"/>
      <c r="J353" s="257"/>
      <c r="K353" s="257"/>
      <c r="L353" s="257"/>
      <c r="M353" s="257"/>
      <c r="N353" s="257"/>
      <c r="O353" s="257"/>
      <c r="P353" s="257"/>
      <c r="Q353" s="257"/>
      <c r="R353" s="257"/>
      <c r="S353" s="257"/>
      <c r="T353" s="257"/>
      <c r="U353" s="257"/>
      <c r="V353" s="257"/>
      <c r="W353" s="257"/>
      <c r="X353" s="257"/>
      <c r="Y353" s="257"/>
      <c r="Z353" s="257"/>
    </row>
    <row r="354" spans="1:26" ht="21" customHeight="1">
      <c r="A354" s="257"/>
      <c r="B354" s="257"/>
      <c r="C354" s="257"/>
      <c r="D354" s="257"/>
      <c r="E354" s="257"/>
      <c r="F354" s="257"/>
      <c r="G354" s="257"/>
      <c r="H354" s="257"/>
      <c r="I354" s="257"/>
      <c r="J354" s="257"/>
      <c r="K354" s="257"/>
      <c r="L354" s="257"/>
      <c r="M354" s="257"/>
      <c r="N354" s="257"/>
      <c r="O354" s="257"/>
      <c r="P354" s="257"/>
      <c r="Q354" s="257"/>
      <c r="R354" s="257"/>
      <c r="S354" s="257"/>
      <c r="T354" s="257"/>
      <c r="U354" s="257"/>
      <c r="V354" s="257"/>
      <c r="W354" s="257"/>
      <c r="X354" s="257"/>
      <c r="Y354" s="257"/>
      <c r="Z354" s="257"/>
    </row>
    <row r="355" spans="1:26" ht="21" customHeight="1">
      <c r="A355" s="257"/>
      <c r="B355" s="257"/>
      <c r="C355" s="257"/>
      <c r="D355" s="257"/>
      <c r="E355" s="257"/>
      <c r="F355" s="257"/>
      <c r="G355" s="257"/>
      <c r="H355" s="257"/>
      <c r="I355" s="257"/>
      <c r="J355" s="257"/>
      <c r="K355" s="257"/>
      <c r="L355" s="257"/>
      <c r="M355" s="257"/>
      <c r="N355" s="257"/>
      <c r="O355" s="257"/>
      <c r="P355" s="257"/>
      <c r="Q355" s="257"/>
      <c r="R355" s="257"/>
      <c r="S355" s="257"/>
      <c r="T355" s="257"/>
      <c r="U355" s="257"/>
      <c r="V355" s="257"/>
      <c r="W355" s="257"/>
      <c r="X355" s="257"/>
      <c r="Y355" s="257"/>
      <c r="Z355" s="257"/>
    </row>
    <row r="356" spans="1:26" ht="21" customHeight="1">
      <c r="A356" s="257"/>
      <c r="B356" s="257"/>
      <c r="C356" s="257"/>
      <c r="D356" s="257"/>
      <c r="E356" s="257"/>
      <c r="F356" s="257"/>
      <c r="G356" s="257"/>
      <c r="H356" s="257"/>
      <c r="I356" s="257"/>
      <c r="J356" s="257"/>
      <c r="K356" s="257"/>
      <c r="L356" s="257"/>
      <c r="M356" s="257"/>
      <c r="N356" s="257"/>
      <c r="O356" s="257"/>
      <c r="P356" s="257"/>
      <c r="Q356" s="257"/>
      <c r="R356" s="257"/>
      <c r="S356" s="257"/>
      <c r="T356" s="257"/>
      <c r="U356" s="257"/>
      <c r="V356" s="257"/>
      <c r="W356" s="257"/>
      <c r="X356" s="257"/>
      <c r="Y356" s="257"/>
      <c r="Z356" s="257"/>
    </row>
    <row r="357" spans="1:26" ht="21" customHeight="1">
      <c r="A357" s="257"/>
      <c r="B357" s="257"/>
      <c r="C357" s="257"/>
      <c r="D357" s="257"/>
      <c r="E357" s="257"/>
      <c r="F357" s="257"/>
      <c r="G357" s="257"/>
      <c r="H357" s="257"/>
      <c r="I357" s="257"/>
      <c r="J357" s="257"/>
      <c r="K357" s="257"/>
      <c r="L357" s="257"/>
      <c r="M357" s="257"/>
      <c r="N357" s="257"/>
      <c r="O357" s="257"/>
      <c r="P357" s="257"/>
      <c r="Q357" s="257"/>
      <c r="R357" s="257"/>
      <c r="S357" s="257"/>
      <c r="T357" s="257"/>
      <c r="U357" s="257"/>
      <c r="V357" s="257"/>
      <c r="W357" s="257"/>
      <c r="X357" s="257"/>
      <c r="Y357" s="257"/>
      <c r="Z357" s="257"/>
    </row>
    <row r="358" spans="1:26" ht="21" customHeight="1">
      <c r="A358" s="257"/>
      <c r="B358" s="257"/>
      <c r="C358" s="257"/>
      <c r="D358" s="257"/>
      <c r="E358" s="257"/>
      <c r="F358" s="257"/>
      <c r="G358" s="257"/>
      <c r="H358" s="257"/>
      <c r="I358" s="257"/>
      <c r="J358" s="257"/>
      <c r="K358" s="257"/>
      <c r="L358" s="257"/>
      <c r="M358" s="257"/>
      <c r="N358" s="257"/>
      <c r="O358" s="257"/>
      <c r="P358" s="257"/>
      <c r="Q358" s="257"/>
      <c r="R358" s="257"/>
      <c r="S358" s="257"/>
      <c r="T358" s="257"/>
      <c r="U358" s="257"/>
      <c r="V358" s="257"/>
      <c r="W358" s="257"/>
      <c r="X358" s="257"/>
      <c r="Y358" s="257"/>
      <c r="Z358" s="257"/>
    </row>
    <row r="359" spans="1:26" ht="21" customHeight="1">
      <c r="A359" s="257"/>
      <c r="B359" s="257"/>
      <c r="C359" s="257"/>
      <c r="D359" s="257"/>
      <c r="E359" s="257"/>
      <c r="F359" s="257"/>
      <c r="G359" s="257"/>
      <c r="H359" s="257"/>
      <c r="I359" s="257"/>
      <c r="J359" s="257"/>
      <c r="K359" s="257"/>
      <c r="L359" s="257"/>
      <c r="M359" s="257"/>
      <c r="N359" s="257"/>
      <c r="O359" s="257"/>
      <c r="P359" s="257"/>
      <c r="Q359" s="257"/>
      <c r="R359" s="257"/>
      <c r="S359" s="257"/>
      <c r="T359" s="257"/>
      <c r="U359" s="257"/>
      <c r="V359" s="257"/>
      <c r="W359" s="257"/>
      <c r="X359" s="257"/>
      <c r="Y359" s="257"/>
      <c r="Z359" s="257"/>
    </row>
    <row r="360" spans="1:26" ht="21" customHeight="1">
      <c r="A360" s="257"/>
      <c r="B360" s="257"/>
      <c r="C360" s="257"/>
      <c r="D360" s="257"/>
      <c r="E360" s="257"/>
      <c r="F360" s="257"/>
      <c r="G360" s="257"/>
      <c r="H360" s="257"/>
      <c r="I360" s="257"/>
      <c r="J360" s="257"/>
      <c r="K360" s="257"/>
      <c r="L360" s="257"/>
      <c r="M360" s="257"/>
      <c r="N360" s="257"/>
      <c r="O360" s="257"/>
      <c r="P360" s="257"/>
      <c r="Q360" s="257"/>
      <c r="R360" s="257"/>
      <c r="S360" s="257"/>
      <c r="T360" s="257"/>
      <c r="U360" s="257"/>
      <c r="V360" s="257"/>
      <c r="W360" s="257"/>
      <c r="X360" s="257"/>
      <c r="Y360" s="257"/>
      <c r="Z360" s="257"/>
    </row>
    <row r="361" spans="1:26" ht="21" customHeight="1">
      <c r="A361" s="257"/>
      <c r="B361" s="257"/>
      <c r="C361" s="257"/>
      <c r="D361" s="257"/>
      <c r="E361" s="257"/>
      <c r="F361" s="257"/>
      <c r="G361" s="257"/>
      <c r="H361" s="257"/>
      <c r="I361" s="257"/>
      <c r="J361" s="257"/>
      <c r="K361" s="257"/>
      <c r="L361" s="257"/>
      <c r="M361" s="257"/>
      <c r="N361" s="257"/>
      <c r="O361" s="257"/>
      <c r="P361" s="257"/>
      <c r="Q361" s="257"/>
      <c r="R361" s="257"/>
      <c r="S361" s="257"/>
      <c r="T361" s="257"/>
      <c r="U361" s="257"/>
      <c r="V361" s="257"/>
      <c r="W361" s="257"/>
      <c r="X361" s="257"/>
      <c r="Y361" s="257"/>
      <c r="Z361" s="257"/>
    </row>
    <row r="362" spans="1:26" ht="21" customHeight="1">
      <c r="A362" s="257"/>
      <c r="B362" s="257"/>
      <c r="C362" s="257"/>
      <c r="D362" s="257"/>
      <c r="E362" s="257"/>
      <c r="F362" s="257"/>
      <c r="G362" s="257"/>
      <c r="H362" s="257"/>
      <c r="I362" s="257"/>
      <c r="J362" s="257"/>
      <c r="K362" s="257"/>
      <c r="L362" s="257"/>
      <c r="M362" s="257"/>
      <c r="N362" s="257"/>
      <c r="O362" s="257"/>
      <c r="P362" s="257"/>
      <c r="Q362" s="257"/>
      <c r="R362" s="257"/>
      <c r="S362" s="257"/>
      <c r="T362" s="257"/>
      <c r="U362" s="257"/>
      <c r="V362" s="257"/>
      <c r="W362" s="257"/>
      <c r="X362" s="257"/>
      <c r="Y362" s="257"/>
      <c r="Z362" s="257"/>
    </row>
    <row r="363" spans="1:26" ht="21" customHeight="1">
      <c r="A363" s="257"/>
      <c r="B363" s="257"/>
      <c r="C363" s="257"/>
      <c r="D363" s="257"/>
      <c r="E363" s="257"/>
      <c r="F363" s="257"/>
      <c r="G363" s="257"/>
      <c r="H363" s="257"/>
      <c r="I363" s="257"/>
      <c r="J363" s="257"/>
      <c r="K363" s="257"/>
      <c r="L363" s="257"/>
      <c r="M363" s="257"/>
      <c r="N363" s="257"/>
      <c r="O363" s="257"/>
      <c r="P363" s="257"/>
      <c r="Q363" s="257"/>
      <c r="R363" s="257"/>
      <c r="S363" s="257"/>
      <c r="T363" s="257"/>
      <c r="U363" s="257"/>
      <c r="V363" s="257"/>
      <c r="W363" s="257"/>
      <c r="X363" s="257"/>
      <c r="Y363" s="257"/>
      <c r="Z363" s="257"/>
    </row>
    <row r="364" spans="1:26" ht="21" customHeight="1">
      <c r="A364" s="257"/>
      <c r="B364" s="257"/>
      <c r="C364" s="257"/>
      <c r="D364" s="257"/>
      <c r="E364" s="257"/>
      <c r="F364" s="257"/>
      <c r="G364" s="257"/>
      <c r="H364" s="257"/>
      <c r="I364" s="257"/>
      <c r="J364" s="257"/>
      <c r="K364" s="257"/>
      <c r="L364" s="257"/>
      <c r="M364" s="257"/>
      <c r="N364" s="257"/>
      <c r="O364" s="257"/>
      <c r="P364" s="257"/>
      <c r="Q364" s="257"/>
      <c r="R364" s="257"/>
      <c r="S364" s="257"/>
      <c r="T364" s="257"/>
      <c r="U364" s="257"/>
      <c r="V364" s="257"/>
      <c r="W364" s="257"/>
      <c r="X364" s="257"/>
      <c r="Y364" s="257"/>
      <c r="Z364" s="257"/>
    </row>
    <row r="365" spans="1:26" ht="21" customHeight="1">
      <c r="A365" s="257"/>
      <c r="B365" s="257"/>
      <c r="C365" s="257"/>
      <c r="D365" s="257"/>
      <c r="E365" s="257"/>
      <c r="F365" s="257"/>
      <c r="G365" s="257"/>
      <c r="H365" s="257"/>
      <c r="I365" s="257"/>
      <c r="J365" s="257"/>
      <c r="K365" s="257"/>
      <c r="L365" s="257"/>
      <c r="M365" s="257"/>
      <c r="N365" s="257"/>
      <c r="O365" s="257"/>
      <c r="P365" s="257"/>
      <c r="Q365" s="257"/>
      <c r="R365" s="257"/>
      <c r="S365" s="257"/>
      <c r="T365" s="257"/>
      <c r="U365" s="257"/>
      <c r="V365" s="257"/>
      <c r="W365" s="257"/>
      <c r="X365" s="257"/>
      <c r="Y365" s="257"/>
      <c r="Z365" s="257"/>
    </row>
    <row r="366" spans="1:26" ht="21" customHeight="1">
      <c r="A366" s="257"/>
      <c r="B366" s="257"/>
      <c r="C366" s="257"/>
      <c r="D366" s="257"/>
      <c r="E366" s="257"/>
      <c r="F366" s="257"/>
      <c r="G366" s="257"/>
      <c r="H366" s="257"/>
      <c r="I366" s="257"/>
      <c r="J366" s="257"/>
      <c r="K366" s="257"/>
      <c r="L366" s="257"/>
      <c r="M366" s="257"/>
      <c r="N366" s="257"/>
      <c r="O366" s="257"/>
      <c r="P366" s="257"/>
      <c r="Q366" s="257"/>
      <c r="R366" s="257"/>
      <c r="S366" s="257"/>
      <c r="T366" s="257"/>
      <c r="U366" s="257"/>
      <c r="V366" s="257"/>
      <c r="W366" s="257"/>
      <c r="X366" s="257"/>
      <c r="Y366" s="257"/>
      <c r="Z366" s="257"/>
    </row>
    <row r="367" spans="1:26" ht="21" customHeight="1">
      <c r="A367" s="257"/>
      <c r="B367" s="257"/>
      <c r="C367" s="257"/>
      <c r="D367" s="257"/>
      <c r="E367" s="257"/>
      <c r="F367" s="257"/>
      <c r="G367" s="257"/>
      <c r="H367" s="257"/>
      <c r="I367" s="257"/>
      <c r="J367" s="257"/>
      <c r="K367" s="257"/>
      <c r="L367" s="257"/>
      <c r="M367" s="257"/>
      <c r="N367" s="257"/>
      <c r="O367" s="257"/>
      <c r="P367" s="257"/>
      <c r="Q367" s="257"/>
      <c r="R367" s="257"/>
      <c r="S367" s="257"/>
      <c r="T367" s="257"/>
      <c r="U367" s="257"/>
      <c r="V367" s="257"/>
      <c r="W367" s="257"/>
      <c r="X367" s="257"/>
      <c r="Y367" s="257"/>
      <c r="Z367" s="257"/>
    </row>
    <row r="368" spans="1:26" ht="21" customHeight="1">
      <c r="A368" s="257"/>
      <c r="B368" s="257"/>
      <c r="C368" s="257"/>
      <c r="D368" s="257"/>
      <c r="E368" s="257"/>
      <c r="F368" s="257"/>
      <c r="G368" s="257"/>
      <c r="H368" s="257"/>
      <c r="I368" s="257"/>
      <c r="J368" s="257"/>
      <c r="K368" s="257"/>
      <c r="L368" s="257"/>
      <c r="M368" s="257"/>
      <c r="N368" s="257"/>
      <c r="O368" s="257"/>
      <c r="P368" s="257"/>
      <c r="Q368" s="257"/>
      <c r="R368" s="257"/>
      <c r="S368" s="257"/>
      <c r="T368" s="257"/>
      <c r="U368" s="257"/>
      <c r="V368" s="257"/>
      <c r="W368" s="257"/>
      <c r="X368" s="257"/>
      <c r="Y368" s="257"/>
      <c r="Z368" s="257"/>
    </row>
    <row r="369" spans="1:26" ht="21" customHeight="1">
      <c r="A369" s="257"/>
      <c r="B369" s="257"/>
      <c r="C369" s="257"/>
      <c r="D369" s="257"/>
      <c r="E369" s="257"/>
      <c r="F369" s="257"/>
      <c r="G369" s="257"/>
      <c r="H369" s="257"/>
      <c r="I369" s="257"/>
      <c r="J369" s="257"/>
      <c r="K369" s="257"/>
      <c r="L369" s="257"/>
      <c r="M369" s="257"/>
      <c r="N369" s="257"/>
      <c r="O369" s="257"/>
      <c r="P369" s="257"/>
      <c r="Q369" s="257"/>
      <c r="R369" s="257"/>
      <c r="S369" s="257"/>
      <c r="T369" s="257"/>
      <c r="U369" s="257"/>
      <c r="V369" s="257"/>
      <c r="W369" s="257"/>
      <c r="X369" s="257"/>
      <c r="Y369" s="257"/>
      <c r="Z369" s="257"/>
    </row>
    <row r="370" spans="1:26" ht="21" customHeight="1">
      <c r="A370" s="257"/>
      <c r="B370" s="257"/>
      <c r="C370" s="257"/>
      <c r="D370" s="257"/>
      <c r="E370" s="257"/>
      <c r="F370" s="257"/>
      <c r="G370" s="257"/>
      <c r="H370" s="257"/>
      <c r="I370" s="257"/>
      <c r="J370" s="257"/>
      <c r="K370" s="257"/>
      <c r="L370" s="257"/>
      <c r="M370" s="257"/>
      <c r="N370" s="257"/>
      <c r="O370" s="257"/>
      <c r="P370" s="257"/>
      <c r="Q370" s="257"/>
      <c r="R370" s="257"/>
      <c r="S370" s="257"/>
      <c r="T370" s="257"/>
      <c r="U370" s="257"/>
      <c r="V370" s="257"/>
      <c r="W370" s="257"/>
      <c r="X370" s="257"/>
      <c r="Y370" s="257"/>
      <c r="Z370" s="257"/>
    </row>
    <row r="371" spans="1:26" ht="21" customHeight="1">
      <c r="A371" s="257"/>
      <c r="B371" s="257"/>
      <c r="C371" s="257"/>
      <c r="D371" s="257"/>
      <c r="E371" s="257"/>
      <c r="F371" s="257"/>
      <c r="G371" s="257"/>
      <c r="H371" s="257"/>
      <c r="I371" s="257"/>
      <c r="J371" s="257"/>
      <c r="K371" s="257"/>
      <c r="L371" s="257"/>
      <c r="M371" s="257"/>
      <c r="N371" s="257"/>
      <c r="O371" s="257"/>
      <c r="P371" s="257"/>
      <c r="Q371" s="257"/>
      <c r="R371" s="257"/>
      <c r="S371" s="257"/>
      <c r="T371" s="257"/>
      <c r="U371" s="257"/>
      <c r="V371" s="257"/>
      <c r="W371" s="257"/>
      <c r="X371" s="257"/>
      <c r="Y371" s="257"/>
      <c r="Z371" s="257"/>
    </row>
    <row r="372" spans="1:26" ht="21" customHeight="1">
      <c r="A372" s="257"/>
      <c r="B372" s="257"/>
      <c r="C372" s="257"/>
      <c r="D372" s="257"/>
      <c r="E372" s="257"/>
      <c r="F372" s="257"/>
      <c r="G372" s="257"/>
      <c r="H372" s="257"/>
      <c r="I372" s="257"/>
      <c r="J372" s="257"/>
      <c r="K372" s="257"/>
      <c r="L372" s="257"/>
      <c r="M372" s="257"/>
      <c r="N372" s="257"/>
      <c r="O372" s="257"/>
      <c r="P372" s="257"/>
      <c r="Q372" s="257"/>
      <c r="R372" s="257"/>
      <c r="S372" s="257"/>
      <c r="T372" s="257"/>
      <c r="U372" s="257"/>
      <c r="V372" s="257"/>
      <c r="W372" s="257"/>
      <c r="X372" s="257"/>
      <c r="Y372" s="257"/>
      <c r="Z372" s="257"/>
    </row>
    <row r="373" spans="1:26" ht="21" customHeight="1">
      <c r="A373" s="257"/>
      <c r="B373" s="257"/>
      <c r="C373" s="257"/>
      <c r="D373" s="257"/>
      <c r="E373" s="257"/>
      <c r="F373" s="257"/>
      <c r="G373" s="257"/>
      <c r="H373" s="257"/>
      <c r="I373" s="257"/>
      <c r="J373" s="257"/>
      <c r="K373" s="257"/>
      <c r="L373" s="257"/>
      <c r="M373" s="257"/>
      <c r="N373" s="257"/>
      <c r="O373" s="257"/>
      <c r="P373" s="257"/>
      <c r="Q373" s="257"/>
      <c r="R373" s="257"/>
      <c r="S373" s="257"/>
      <c r="T373" s="257"/>
      <c r="U373" s="257"/>
      <c r="V373" s="257"/>
      <c r="W373" s="257"/>
      <c r="X373" s="257"/>
      <c r="Y373" s="257"/>
      <c r="Z373" s="257"/>
    </row>
    <row r="374" spans="1:26" ht="21" customHeight="1">
      <c r="A374" s="257"/>
      <c r="B374" s="257"/>
      <c r="C374" s="257"/>
      <c r="D374" s="257"/>
      <c r="E374" s="257"/>
      <c r="F374" s="257"/>
      <c r="G374" s="257"/>
      <c r="H374" s="257"/>
      <c r="I374" s="257"/>
      <c r="J374" s="257"/>
      <c r="K374" s="257"/>
      <c r="L374" s="257"/>
      <c r="M374" s="257"/>
      <c r="N374" s="257"/>
      <c r="O374" s="257"/>
      <c r="P374" s="257"/>
      <c r="Q374" s="257"/>
      <c r="R374" s="257"/>
      <c r="S374" s="257"/>
      <c r="T374" s="257"/>
      <c r="U374" s="257"/>
      <c r="V374" s="257"/>
      <c r="W374" s="257"/>
      <c r="X374" s="257"/>
      <c r="Y374" s="257"/>
      <c r="Z374" s="257"/>
    </row>
    <row r="375" spans="1:26" ht="21" customHeight="1">
      <c r="A375" s="257"/>
      <c r="B375" s="257"/>
      <c r="C375" s="257"/>
      <c r="D375" s="257"/>
      <c r="E375" s="257"/>
      <c r="F375" s="257"/>
      <c r="G375" s="257"/>
      <c r="H375" s="257"/>
      <c r="I375" s="257"/>
      <c r="J375" s="257"/>
      <c r="K375" s="257"/>
      <c r="L375" s="257"/>
      <c r="M375" s="257"/>
      <c r="N375" s="257"/>
      <c r="O375" s="257"/>
      <c r="P375" s="257"/>
      <c r="Q375" s="257"/>
      <c r="R375" s="257"/>
      <c r="S375" s="257"/>
      <c r="T375" s="257"/>
      <c r="U375" s="257"/>
      <c r="V375" s="257"/>
      <c r="W375" s="257"/>
      <c r="X375" s="257"/>
      <c r="Y375" s="257"/>
      <c r="Z375" s="257"/>
    </row>
    <row r="376" spans="1:26" ht="21" customHeight="1">
      <c r="A376" s="257"/>
      <c r="B376" s="257"/>
      <c r="C376" s="257"/>
      <c r="D376" s="257"/>
      <c r="E376" s="257"/>
      <c r="F376" s="257"/>
      <c r="G376" s="257"/>
      <c r="H376" s="257"/>
      <c r="I376" s="257"/>
      <c r="J376" s="257"/>
      <c r="K376" s="257"/>
      <c r="L376" s="257"/>
      <c r="M376" s="257"/>
      <c r="N376" s="257"/>
      <c r="O376" s="257"/>
      <c r="P376" s="257"/>
      <c r="Q376" s="257"/>
      <c r="R376" s="257"/>
      <c r="S376" s="257"/>
      <c r="T376" s="257"/>
      <c r="U376" s="257"/>
      <c r="V376" s="257"/>
      <c r="W376" s="257"/>
      <c r="X376" s="257"/>
      <c r="Y376" s="257"/>
      <c r="Z376" s="257"/>
    </row>
    <row r="377" spans="1:26" ht="21" customHeight="1">
      <c r="A377" s="257"/>
      <c r="B377" s="257"/>
      <c r="C377" s="257"/>
      <c r="D377" s="257"/>
      <c r="E377" s="257"/>
      <c r="F377" s="257"/>
      <c r="G377" s="257"/>
      <c r="H377" s="257"/>
      <c r="I377" s="257"/>
      <c r="J377" s="257"/>
      <c r="K377" s="257"/>
      <c r="L377" s="257"/>
      <c r="M377" s="257"/>
      <c r="N377" s="257"/>
      <c r="O377" s="257"/>
      <c r="P377" s="257"/>
      <c r="Q377" s="257"/>
      <c r="R377" s="257"/>
      <c r="S377" s="257"/>
      <c r="T377" s="257"/>
      <c r="U377" s="257"/>
      <c r="V377" s="257"/>
      <c r="W377" s="257"/>
      <c r="X377" s="257"/>
      <c r="Y377" s="257"/>
      <c r="Z377" s="257"/>
    </row>
    <row r="378" spans="1:26" ht="21" customHeight="1">
      <c r="A378" s="257"/>
      <c r="B378" s="257"/>
      <c r="C378" s="257"/>
      <c r="D378" s="257"/>
      <c r="E378" s="257"/>
      <c r="F378" s="257"/>
      <c r="G378" s="257"/>
      <c r="H378" s="257"/>
      <c r="I378" s="257"/>
      <c r="J378" s="257"/>
      <c r="K378" s="257"/>
      <c r="L378" s="257"/>
      <c r="M378" s="257"/>
      <c r="N378" s="257"/>
      <c r="O378" s="257"/>
      <c r="P378" s="257"/>
      <c r="Q378" s="257"/>
      <c r="R378" s="257"/>
      <c r="S378" s="257"/>
      <c r="T378" s="257"/>
      <c r="U378" s="257"/>
      <c r="V378" s="257"/>
      <c r="W378" s="257"/>
      <c r="X378" s="257"/>
      <c r="Y378" s="257"/>
      <c r="Z378" s="257"/>
    </row>
    <row r="379" spans="1:26" ht="21" customHeight="1">
      <c r="A379" s="257"/>
      <c r="B379" s="257"/>
      <c r="C379" s="257"/>
      <c r="D379" s="257"/>
      <c r="E379" s="257"/>
      <c r="F379" s="257"/>
      <c r="G379" s="257"/>
      <c r="H379" s="257"/>
      <c r="I379" s="257"/>
      <c r="J379" s="257"/>
      <c r="K379" s="257"/>
      <c r="L379" s="257"/>
      <c r="M379" s="257"/>
      <c r="N379" s="257"/>
      <c r="O379" s="257"/>
      <c r="P379" s="257"/>
      <c r="Q379" s="257"/>
      <c r="R379" s="257"/>
      <c r="S379" s="257"/>
      <c r="T379" s="257"/>
      <c r="U379" s="257"/>
      <c r="V379" s="257"/>
      <c r="W379" s="257"/>
      <c r="X379" s="257"/>
      <c r="Y379" s="257"/>
      <c r="Z379" s="257"/>
    </row>
    <row r="380" spans="1:26" ht="21" customHeight="1">
      <c r="A380" s="257"/>
      <c r="B380" s="257"/>
      <c r="C380" s="257"/>
      <c r="D380" s="257"/>
      <c r="E380" s="257"/>
      <c r="F380" s="257"/>
      <c r="G380" s="257"/>
      <c r="H380" s="257"/>
      <c r="I380" s="257"/>
      <c r="J380" s="257"/>
      <c r="K380" s="257"/>
      <c r="L380" s="257"/>
      <c r="M380" s="257"/>
      <c r="N380" s="257"/>
      <c r="O380" s="257"/>
      <c r="P380" s="257"/>
      <c r="Q380" s="257"/>
      <c r="R380" s="257"/>
      <c r="S380" s="257"/>
      <c r="T380" s="257"/>
      <c r="U380" s="257"/>
      <c r="V380" s="257"/>
      <c r="W380" s="257"/>
      <c r="X380" s="257"/>
      <c r="Y380" s="257"/>
      <c r="Z380" s="257"/>
    </row>
    <row r="381" spans="1:26" ht="21" customHeight="1">
      <c r="A381" s="257"/>
      <c r="B381" s="257"/>
      <c r="C381" s="257"/>
      <c r="D381" s="257"/>
      <c r="E381" s="257"/>
      <c r="F381" s="257"/>
      <c r="G381" s="257"/>
      <c r="H381" s="257"/>
      <c r="I381" s="257"/>
      <c r="J381" s="257"/>
      <c r="K381" s="257"/>
      <c r="L381" s="257"/>
      <c r="M381" s="257"/>
      <c r="N381" s="257"/>
      <c r="O381" s="257"/>
      <c r="P381" s="257"/>
      <c r="Q381" s="257"/>
      <c r="R381" s="257"/>
      <c r="S381" s="257"/>
      <c r="T381" s="257"/>
      <c r="U381" s="257"/>
      <c r="V381" s="257"/>
      <c r="W381" s="257"/>
      <c r="X381" s="257"/>
      <c r="Y381" s="257"/>
      <c r="Z381" s="257"/>
    </row>
    <row r="382" spans="1:26" ht="21" customHeight="1">
      <c r="A382" s="257"/>
      <c r="B382" s="257"/>
      <c r="C382" s="257"/>
      <c r="D382" s="257"/>
      <c r="E382" s="257"/>
      <c r="F382" s="257"/>
      <c r="G382" s="257"/>
      <c r="H382" s="257"/>
      <c r="I382" s="257"/>
      <c r="J382" s="257"/>
      <c r="K382" s="257"/>
      <c r="L382" s="257"/>
      <c r="M382" s="257"/>
      <c r="N382" s="257"/>
      <c r="O382" s="257"/>
      <c r="P382" s="257"/>
      <c r="Q382" s="257"/>
      <c r="R382" s="257"/>
      <c r="S382" s="257"/>
      <c r="T382" s="257"/>
      <c r="U382" s="257"/>
      <c r="V382" s="257"/>
      <c r="W382" s="257"/>
      <c r="X382" s="257"/>
      <c r="Y382" s="257"/>
      <c r="Z382" s="257"/>
    </row>
    <row r="383" spans="1:26" ht="21" customHeight="1">
      <c r="A383" s="257"/>
      <c r="B383" s="257"/>
      <c r="C383" s="257"/>
      <c r="D383" s="257"/>
      <c r="E383" s="257"/>
      <c r="F383" s="257"/>
      <c r="G383" s="257"/>
      <c r="H383" s="257"/>
      <c r="I383" s="257"/>
      <c r="J383" s="257"/>
      <c r="K383" s="257"/>
      <c r="L383" s="257"/>
      <c r="M383" s="257"/>
      <c r="N383" s="257"/>
      <c r="O383" s="257"/>
      <c r="P383" s="257"/>
      <c r="Q383" s="257"/>
      <c r="R383" s="257"/>
      <c r="S383" s="257"/>
      <c r="T383" s="257"/>
      <c r="U383" s="257"/>
      <c r="V383" s="257"/>
      <c r="W383" s="257"/>
      <c r="X383" s="257"/>
      <c r="Y383" s="257"/>
      <c r="Z383" s="257"/>
    </row>
    <row r="384" spans="1:26" ht="21" customHeight="1">
      <c r="A384" s="257"/>
      <c r="B384" s="257"/>
      <c r="C384" s="257"/>
      <c r="D384" s="257"/>
      <c r="E384" s="257"/>
      <c r="F384" s="257"/>
      <c r="G384" s="257"/>
      <c r="H384" s="257"/>
      <c r="I384" s="257"/>
      <c r="J384" s="257"/>
      <c r="K384" s="257"/>
      <c r="L384" s="257"/>
      <c r="M384" s="257"/>
      <c r="N384" s="257"/>
      <c r="O384" s="257"/>
      <c r="P384" s="257"/>
      <c r="Q384" s="257"/>
      <c r="R384" s="257"/>
      <c r="S384" s="257"/>
      <c r="T384" s="257"/>
      <c r="U384" s="257"/>
      <c r="V384" s="257"/>
      <c r="W384" s="257"/>
      <c r="X384" s="257"/>
      <c r="Y384" s="257"/>
      <c r="Z384" s="257"/>
    </row>
    <row r="385" spans="1:26" ht="21" customHeight="1">
      <c r="A385" s="257"/>
      <c r="B385" s="257"/>
      <c r="C385" s="257"/>
      <c r="D385" s="257"/>
      <c r="E385" s="257"/>
      <c r="F385" s="257"/>
      <c r="G385" s="257"/>
      <c r="H385" s="257"/>
      <c r="I385" s="257"/>
      <c r="J385" s="257"/>
      <c r="K385" s="257"/>
      <c r="L385" s="257"/>
      <c r="M385" s="257"/>
      <c r="N385" s="257"/>
      <c r="O385" s="257"/>
      <c r="P385" s="257"/>
      <c r="Q385" s="257"/>
      <c r="R385" s="257"/>
      <c r="S385" s="257"/>
      <c r="T385" s="257"/>
      <c r="U385" s="257"/>
      <c r="V385" s="257"/>
      <c r="W385" s="257"/>
      <c r="X385" s="257"/>
      <c r="Y385" s="257"/>
      <c r="Z385" s="257"/>
    </row>
    <row r="386" spans="1:26" ht="21" customHeight="1">
      <c r="A386" s="257"/>
      <c r="B386" s="257"/>
      <c r="C386" s="257"/>
      <c r="D386" s="257"/>
      <c r="E386" s="257"/>
      <c r="F386" s="257"/>
      <c r="G386" s="257"/>
      <c r="H386" s="257"/>
      <c r="I386" s="257"/>
      <c r="J386" s="257"/>
      <c r="K386" s="257"/>
      <c r="L386" s="257"/>
      <c r="M386" s="257"/>
      <c r="N386" s="257"/>
      <c r="O386" s="257"/>
      <c r="P386" s="257"/>
      <c r="Q386" s="257"/>
      <c r="R386" s="257"/>
      <c r="S386" s="257"/>
      <c r="T386" s="257"/>
      <c r="U386" s="257"/>
      <c r="V386" s="257"/>
      <c r="W386" s="257"/>
      <c r="X386" s="257"/>
      <c r="Y386" s="257"/>
      <c r="Z386" s="257"/>
    </row>
    <row r="387" spans="1:26" ht="21" customHeight="1">
      <c r="A387" s="257"/>
      <c r="B387" s="257"/>
      <c r="C387" s="257"/>
      <c r="D387" s="257"/>
      <c r="E387" s="257"/>
      <c r="F387" s="257"/>
      <c r="G387" s="257"/>
      <c r="H387" s="257"/>
      <c r="I387" s="257"/>
      <c r="J387" s="257"/>
      <c r="K387" s="257"/>
      <c r="L387" s="257"/>
      <c r="M387" s="257"/>
      <c r="N387" s="257"/>
      <c r="O387" s="257"/>
      <c r="P387" s="257"/>
      <c r="Q387" s="257"/>
      <c r="R387" s="257"/>
      <c r="S387" s="257"/>
      <c r="T387" s="257"/>
      <c r="U387" s="257"/>
      <c r="V387" s="257"/>
      <c r="W387" s="257"/>
      <c r="X387" s="257"/>
      <c r="Y387" s="257"/>
      <c r="Z387" s="257"/>
    </row>
    <row r="388" spans="1:26" ht="21" customHeight="1">
      <c r="A388" s="257"/>
      <c r="B388" s="257"/>
      <c r="C388" s="257"/>
      <c r="D388" s="257"/>
      <c r="E388" s="257"/>
      <c r="F388" s="257"/>
      <c r="G388" s="257"/>
      <c r="H388" s="257"/>
      <c r="I388" s="257"/>
      <c r="J388" s="257"/>
      <c r="K388" s="257"/>
      <c r="L388" s="257"/>
      <c r="M388" s="257"/>
      <c r="N388" s="257"/>
      <c r="O388" s="257"/>
      <c r="P388" s="257"/>
      <c r="Q388" s="257"/>
      <c r="R388" s="257"/>
      <c r="S388" s="257"/>
      <c r="T388" s="257"/>
      <c r="U388" s="257"/>
      <c r="V388" s="257"/>
      <c r="W388" s="257"/>
      <c r="X388" s="257"/>
      <c r="Y388" s="257"/>
      <c r="Z388" s="257"/>
    </row>
    <row r="389" spans="1:26" ht="21" customHeight="1">
      <c r="A389" s="257"/>
      <c r="B389" s="257"/>
      <c r="C389" s="257"/>
      <c r="D389" s="257"/>
      <c r="E389" s="257"/>
      <c r="F389" s="257"/>
      <c r="G389" s="257"/>
      <c r="H389" s="257"/>
      <c r="I389" s="257"/>
      <c r="J389" s="257"/>
      <c r="K389" s="257"/>
      <c r="L389" s="257"/>
      <c r="M389" s="257"/>
      <c r="N389" s="257"/>
      <c r="O389" s="257"/>
      <c r="P389" s="257"/>
      <c r="Q389" s="257"/>
      <c r="R389" s="257"/>
      <c r="S389" s="257"/>
      <c r="T389" s="257"/>
      <c r="U389" s="257"/>
      <c r="V389" s="257"/>
      <c r="W389" s="257"/>
      <c r="X389" s="257"/>
      <c r="Y389" s="257"/>
      <c r="Z389" s="257"/>
    </row>
    <row r="390" spans="1:26" ht="21" customHeight="1">
      <c r="A390" s="257"/>
      <c r="B390" s="257"/>
      <c r="C390" s="257"/>
      <c r="D390" s="257"/>
      <c r="E390" s="257"/>
      <c r="F390" s="257"/>
      <c r="G390" s="257"/>
      <c r="H390" s="257"/>
      <c r="I390" s="257"/>
      <c r="J390" s="257"/>
      <c r="K390" s="257"/>
      <c r="L390" s="257"/>
      <c r="M390" s="257"/>
      <c r="N390" s="257"/>
      <c r="O390" s="257"/>
      <c r="P390" s="257"/>
      <c r="Q390" s="257"/>
      <c r="R390" s="257"/>
      <c r="S390" s="257"/>
      <c r="T390" s="257"/>
      <c r="U390" s="257"/>
      <c r="V390" s="257"/>
      <c r="W390" s="257"/>
      <c r="X390" s="257"/>
      <c r="Y390" s="257"/>
      <c r="Z390" s="257"/>
    </row>
    <row r="391" spans="1:26" ht="21" customHeight="1">
      <c r="A391" s="257"/>
      <c r="B391" s="257"/>
      <c r="C391" s="257"/>
      <c r="D391" s="257"/>
      <c r="E391" s="257"/>
      <c r="F391" s="257"/>
      <c r="G391" s="257"/>
      <c r="H391" s="257"/>
      <c r="I391" s="257"/>
      <c r="J391" s="257"/>
      <c r="K391" s="257"/>
      <c r="L391" s="257"/>
      <c r="M391" s="257"/>
      <c r="N391" s="257"/>
      <c r="O391" s="257"/>
      <c r="P391" s="257"/>
      <c r="Q391" s="257"/>
      <c r="R391" s="257"/>
      <c r="S391" s="257"/>
      <c r="T391" s="257"/>
      <c r="U391" s="257"/>
      <c r="V391" s="257"/>
      <c r="W391" s="257"/>
      <c r="X391" s="257"/>
      <c r="Y391" s="257"/>
      <c r="Z391" s="257"/>
    </row>
    <row r="392" spans="1:26" ht="21" customHeight="1">
      <c r="A392" s="257"/>
      <c r="B392" s="257"/>
      <c r="C392" s="257"/>
      <c r="D392" s="257"/>
      <c r="E392" s="257"/>
      <c r="F392" s="257"/>
      <c r="G392" s="257"/>
      <c r="H392" s="257"/>
      <c r="I392" s="257"/>
      <c r="J392" s="257"/>
      <c r="K392" s="257"/>
      <c r="L392" s="257"/>
      <c r="M392" s="257"/>
      <c r="N392" s="257"/>
      <c r="O392" s="257"/>
      <c r="P392" s="257"/>
      <c r="Q392" s="257"/>
      <c r="R392" s="257"/>
      <c r="S392" s="257"/>
      <c r="T392" s="257"/>
      <c r="U392" s="257"/>
      <c r="V392" s="257"/>
      <c r="W392" s="257"/>
      <c r="X392" s="257"/>
      <c r="Y392" s="257"/>
      <c r="Z392" s="257"/>
    </row>
    <row r="393" spans="1:26" ht="21" customHeight="1">
      <c r="A393" s="257"/>
      <c r="B393" s="257"/>
      <c r="C393" s="257"/>
      <c r="D393" s="257"/>
      <c r="E393" s="257"/>
      <c r="F393" s="257"/>
      <c r="G393" s="257"/>
      <c r="H393" s="257"/>
      <c r="I393" s="257"/>
      <c r="J393" s="257"/>
      <c r="K393" s="257"/>
      <c r="L393" s="257"/>
      <c r="M393" s="257"/>
      <c r="N393" s="257"/>
      <c r="O393" s="257"/>
      <c r="P393" s="257"/>
      <c r="Q393" s="257"/>
      <c r="R393" s="257"/>
      <c r="S393" s="257"/>
      <c r="T393" s="257"/>
      <c r="U393" s="257"/>
      <c r="V393" s="257"/>
      <c r="W393" s="257"/>
      <c r="X393" s="257"/>
      <c r="Y393" s="257"/>
      <c r="Z393" s="257"/>
    </row>
    <row r="394" spans="1:26" ht="21" customHeight="1">
      <c r="A394" s="257"/>
      <c r="B394" s="257"/>
      <c r="C394" s="257"/>
      <c r="D394" s="257"/>
      <c r="E394" s="257"/>
      <c r="F394" s="257"/>
      <c r="G394" s="257"/>
      <c r="H394" s="257"/>
      <c r="I394" s="257"/>
      <c r="J394" s="257"/>
      <c r="K394" s="257"/>
      <c r="L394" s="257"/>
      <c r="M394" s="257"/>
      <c r="N394" s="257"/>
      <c r="O394" s="257"/>
      <c r="P394" s="257"/>
      <c r="Q394" s="257"/>
      <c r="R394" s="257"/>
      <c r="S394" s="257"/>
      <c r="T394" s="257"/>
      <c r="U394" s="257"/>
      <c r="V394" s="257"/>
      <c r="W394" s="257"/>
      <c r="X394" s="257"/>
      <c r="Y394" s="257"/>
      <c r="Z394" s="257"/>
    </row>
    <row r="395" spans="1:26" ht="21" customHeight="1">
      <c r="A395" s="257"/>
      <c r="B395" s="257"/>
      <c r="C395" s="257"/>
      <c r="D395" s="257"/>
      <c r="E395" s="257"/>
      <c r="F395" s="257"/>
      <c r="G395" s="257"/>
      <c r="H395" s="257"/>
      <c r="I395" s="257"/>
      <c r="J395" s="257"/>
      <c r="K395" s="257"/>
      <c r="L395" s="257"/>
      <c r="M395" s="257"/>
      <c r="N395" s="257"/>
      <c r="O395" s="257"/>
      <c r="P395" s="257"/>
      <c r="Q395" s="257"/>
      <c r="R395" s="257"/>
      <c r="S395" s="257"/>
      <c r="T395" s="257"/>
      <c r="U395" s="257"/>
      <c r="V395" s="257"/>
      <c r="W395" s="257"/>
      <c r="X395" s="257"/>
      <c r="Y395" s="257"/>
      <c r="Z395" s="257"/>
    </row>
    <row r="396" spans="1:26" ht="21" customHeight="1">
      <c r="A396" s="257"/>
      <c r="B396" s="257"/>
      <c r="C396" s="257"/>
      <c r="D396" s="257"/>
      <c r="E396" s="257"/>
      <c r="F396" s="257"/>
      <c r="G396" s="257"/>
      <c r="H396" s="257"/>
      <c r="I396" s="257"/>
      <c r="J396" s="257"/>
      <c r="K396" s="257"/>
      <c r="L396" s="257"/>
      <c r="M396" s="257"/>
      <c r="N396" s="257"/>
      <c r="O396" s="257"/>
      <c r="P396" s="257"/>
      <c r="Q396" s="257"/>
      <c r="R396" s="257"/>
      <c r="S396" s="257"/>
      <c r="T396" s="257"/>
      <c r="U396" s="257"/>
      <c r="V396" s="257"/>
      <c r="W396" s="257"/>
      <c r="X396" s="257"/>
      <c r="Y396" s="257"/>
      <c r="Z396" s="257"/>
    </row>
    <row r="397" spans="1:26" ht="21" customHeight="1">
      <c r="A397" s="257"/>
      <c r="B397" s="257"/>
      <c r="C397" s="257"/>
      <c r="D397" s="257"/>
      <c r="E397" s="257"/>
      <c r="F397" s="257"/>
      <c r="G397" s="257"/>
      <c r="H397" s="257"/>
      <c r="I397" s="257"/>
      <c r="J397" s="257"/>
      <c r="K397" s="257"/>
      <c r="L397" s="257"/>
      <c r="M397" s="257"/>
      <c r="N397" s="257"/>
      <c r="O397" s="257"/>
      <c r="P397" s="257"/>
      <c r="Q397" s="257"/>
      <c r="R397" s="257"/>
      <c r="S397" s="257"/>
      <c r="T397" s="257"/>
      <c r="U397" s="257"/>
      <c r="V397" s="257"/>
      <c r="W397" s="257"/>
      <c r="X397" s="257"/>
      <c r="Y397" s="257"/>
      <c r="Z397" s="257"/>
    </row>
    <row r="398" spans="1:26" ht="21" customHeight="1">
      <c r="A398" s="257"/>
      <c r="B398" s="257"/>
      <c r="C398" s="257"/>
      <c r="D398" s="257"/>
      <c r="E398" s="257"/>
      <c r="F398" s="257"/>
      <c r="G398" s="257"/>
      <c r="H398" s="257"/>
      <c r="I398" s="257"/>
      <c r="J398" s="257"/>
      <c r="K398" s="257"/>
      <c r="L398" s="257"/>
      <c r="M398" s="257"/>
      <c r="N398" s="257"/>
      <c r="O398" s="257"/>
      <c r="P398" s="257"/>
      <c r="Q398" s="257"/>
      <c r="R398" s="257"/>
      <c r="S398" s="257"/>
      <c r="T398" s="257"/>
      <c r="U398" s="257"/>
      <c r="V398" s="257"/>
      <c r="W398" s="257"/>
      <c r="X398" s="257"/>
      <c r="Y398" s="257"/>
      <c r="Z398" s="257"/>
    </row>
    <row r="399" spans="1:26" ht="21" customHeight="1">
      <c r="A399" s="257"/>
      <c r="B399" s="257"/>
      <c r="C399" s="257"/>
      <c r="D399" s="257"/>
      <c r="E399" s="257"/>
      <c r="F399" s="257"/>
      <c r="G399" s="257"/>
      <c r="H399" s="257"/>
      <c r="I399" s="257"/>
      <c r="J399" s="257"/>
      <c r="K399" s="257"/>
      <c r="L399" s="257"/>
      <c r="M399" s="257"/>
      <c r="N399" s="257"/>
      <c r="O399" s="257"/>
      <c r="P399" s="257"/>
      <c r="Q399" s="257"/>
      <c r="R399" s="257"/>
      <c r="S399" s="257"/>
      <c r="T399" s="257"/>
      <c r="U399" s="257"/>
      <c r="V399" s="257"/>
      <c r="W399" s="257"/>
      <c r="X399" s="257"/>
      <c r="Y399" s="257"/>
      <c r="Z399" s="257"/>
    </row>
    <row r="400" spans="1:26" ht="21" customHeight="1">
      <c r="A400" s="257"/>
      <c r="B400" s="257"/>
      <c r="C400" s="257"/>
      <c r="D400" s="257"/>
      <c r="E400" s="257"/>
      <c r="F400" s="257"/>
      <c r="G400" s="257"/>
      <c r="H400" s="257"/>
      <c r="I400" s="257"/>
      <c r="J400" s="257"/>
      <c r="K400" s="257"/>
      <c r="L400" s="257"/>
      <c r="M400" s="257"/>
      <c r="N400" s="257"/>
      <c r="O400" s="257"/>
      <c r="P400" s="257"/>
      <c r="Q400" s="257"/>
      <c r="R400" s="257"/>
      <c r="S400" s="257"/>
      <c r="T400" s="257"/>
      <c r="U400" s="257"/>
      <c r="V400" s="257"/>
      <c r="W400" s="257"/>
      <c r="X400" s="257"/>
      <c r="Y400" s="257"/>
      <c r="Z400" s="257"/>
    </row>
    <row r="401" spans="1:26" ht="21" customHeight="1">
      <c r="A401" s="257"/>
      <c r="B401" s="257"/>
      <c r="C401" s="257"/>
      <c r="D401" s="257"/>
      <c r="E401" s="257"/>
      <c r="F401" s="257"/>
      <c r="G401" s="257"/>
      <c r="H401" s="257"/>
      <c r="I401" s="257"/>
      <c r="J401" s="257"/>
      <c r="K401" s="257"/>
      <c r="L401" s="257"/>
      <c r="M401" s="257"/>
      <c r="N401" s="257"/>
      <c r="O401" s="257"/>
      <c r="P401" s="257"/>
      <c r="Q401" s="257"/>
      <c r="R401" s="257"/>
      <c r="S401" s="257"/>
      <c r="T401" s="257"/>
      <c r="U401" s="257"/>
      <c r="V401" s="257"/>
      <c r="W401" s="257"/>
      <c r="X401" s="257"/>
      <c r="Y401" s="257"/>
      <c r="Z401" s="257"/>
    </row>
    <row r="402" spans="1:26" ht="21" customHeight="1">
      <c r="A402" s="257"/>
      <c r="B402" s="257"/>
      <c r="C402" s="257"/>
      <c r="D402" s="257"/>
      <c r="E402" s="257"/>
      <c r="F402" s="257"/>
      <c r="G402" s="257"/>
      <c r="H402" s="257"/>
      <c r="I402" s="257"/>
      <c r="J402" s="257"/>
      <c r="K402" s="257"/>
      <c r="L402" s="257"/>
      <c r="M402" s="257"/>
      <c r="N402" s="257"/>
      <c r="O402" s="257"/>
      <c r="P402" s="257"/>
      <c r="Q402" s="257"/>
      <c r="R402" s="257"/>
      <c r="S402" s="257"/>
      <c r="T402" s="257"/>
      <c r="U402" s="257"/>
      <c r="V402" s="257"/>
      <c r="W402" s="257"/>
      <c r="X402" s="257"/>
      <c r="Y402" s="257"/>
      <c r="Z402" s="257"/>
    </row>
    <row r="403" spans="1:26" ht="21" customHeight="1">
      <c r="A403" s="257"/>
      <c r="B403" s="257"/>
      <c r="C403" s="257"/>
      <c r="D403" s="257"/>
      <c r="E403" s="257"/>
      <c r="F403" s="257"/>
      <c r="G403" s="257"/>
      <c r="H403" s="257"/>
      <c r="I403" s="257"/>
      <c r="J403" s="257"/>
      <c r="K403" s="257"/>
      <c r="L403" s="257"/>
      <c r="M403" s="257"/>
      <c r="N403" s="257"/>
      <c r="O403" s="257"/>
      <c r="P403" s="257"/>
      <c r="Q403" s="257"/>
      <c r="R403" s="257"/>
      <c r="S403" s="257"/>
      <c r="T403" s="257"/>
      <c r="U403" s="257"/>
      <c r="V403" s="257"/>
      <c r="W403" s="257"/>
      <c r="X403" s="257"/>
      <c r="Y403" s="257"/>
      <c r="Z403" s="257"/>
    </row>
    <row r="404" spans="1:26" ht="21" customHeight="1">
      <c r="A404" s="257"/>
      <c r="B404" s="257"/>
      <c r="C404" s="257"/>
      <c r="D404" s="257"/>
      <c r="E404" s="257"/>
      <c r="F404" s="257"/>
      <c r="G404" s="257"/>
      <c r="H404" s="257"/>
      <c r="I404" s="257"/>
      <c r="J404" s="257"/>
      <c r="K404" s="257"/>
      <c r="L404" s="257"/>
      <c r="M404" s="257"/>
      <c r="N404" s="257"/>
      <c r="O404" s="257"/>
      <c r="P404" s="257"/>
      <c r="Q404" s="257"/>
      <c r="R404" s="257"/>
      <c r="S404" s="257"/>
      <c r="T404" s="257"/>
      <c r="U404" s="257"/>
      <c r="V404" s="257"/>
      <c r="W404" s="257"/>
      <c r="X404" s="257"/>
      <c r="Y404" s="257"/>
      <c r="Z404" s="257"/>
    </row>
    <row r="405" spans="1:26" ht="21" customHeight="1">
      <c r="A405" s="257"/>
      <c r="B405" s="257"/>
      <c r="C405" s="257"/>
      <c r="D405" s="257"/>
      <c r="E405" s="257"/>
      <c r="F405" s="257"/>
      <c r="G405" s="257"/>
      <c r="H405" s="257"/>
      <c r="I405" s="257"/>
      <c r="J405" s="257"/>
      <c r="K405" s="257"/>
      <c r="L405" s="257"/>
      <c r="M405" s="257"/>
      <c r="N405" s="257"/>
      <c r="O405" s="257"/>
      <c r="P405" s="257"/>
      <c r="Q405" s="257"/>
      <c r="R405" s="257"/>
      <c r="S405" s="257"/>
      <c r="T405" s="257"/>
      <c r="U405" s="257"/>
      <c r="V405" s="257"/>
      <c r="W405" s="257"/>
      <c r="X405" s="257"/>
      <c r="Y405" s="257"/>
      <c r="Z405" s="257"/>
    </row>
    <row r="406" spans="1:26" ht="21" customHeight="1">
      <c r="A406" s="257"/>
      <c r="B406" s="257"/>
      <c r="C406" s="257"/>
      <c r="D406" s="257"/>
      <c r="E406" s="257"/>
      <c r="F406" s="257"/>
      <c r="G406" s="257"/>
      <c r="H406" s="257"/>
      <c r="I406" s="257"/>
      <c r="J406" s="257"/>
      <c r="K406" s="257"/>
      <c r="L406" s="257"/>
      <c r="M406" s="257"/>
      <c r="N406" s="257"/>
      <c r="O406" s="257"/>
      <c r="P406" s="257"/>
      <c r="Q406" s="257"/>
      <c r="R406" s="257"/>
      <c r="S406" s="257"/>
      <c r="T406" s="257"/>
      <c r="U406" s="257"/>
      <c r="V406" s="257"/>
      <c r="W406" s="257"/>
      <c r="X406" s="257"/>
      <c r="Y406" s="257"/>
      <c r="Z406" s="257"/>
    </row>
    <row r="407" spans="1:26" ht="21" customHeight="1">
      <c r="A407" s="257"/>
      <c r="B407" s="257"/>
      <c r="C407" s="257"/>
      <c r="D407" s="257"/>
      <c r="E407" s="257"/>
      <c r="F407" s="257"/>
      <c r="G407" s="257"/>
      <c r="H407" s="257"/>
      <c r="I407" s="257"/>
      <c r="J407" s="257"/>
      <c r="K407" s="257"/>
      <c r="L407" s="257"/>
      <c r="M407" s="257"/>
      <c r="N407" s="257"/>
      <c r="O407" s="257"/>
      <c r="P407" s="257"/>
      <c r="Q407" s="257"/>
      <c r="R407" s="257"/>
      <c r="S407" s="257"/>
      <c r="T407" s="257"/>
      <c r="U407" s="257"/>
      <c r="V407" s="257"/>
      <c r="W407" s="257"/>
      <c r="X407" s="257"/>
      <c r="Y407" s="257"/>
      <c r="Z407" s="257"/>
    </row>
    <row r="408" spans="1:26" ht="21" customHeight="1">
      <c r="A408" s="257"/>
      <c r="B408" s="257"/>
      <c r="C408" s="257"/>
      <c r="D408" s="257"/>
      <c r="E408" s="257"/>
      <c r="F408" s="257"/>
      <c r="G408" s="257"/>
      <c r="H408" s="257"/>
      <c r="I408" s="257"/>
      <c r="J408" s="257"/>
      <c r="K408" s="257"/>
      <c r="L408" s="257"/>
      <c r="M408" s="257"/>
      <c r="N408" s="257"/>
      <c r="O408" s="257"/>
      <c r="P408" s="257"/>
      <c r="Q408" s="257"/>
      <c r="R408" s="257"/>
      <c r="S408" s="257"/>
      <c r="T408" s="257"/>
      <c r="U408" s="257"/>
      <c r="V408" s="257"/>
      <c r="W408" s="257"/>
      <c r="X408" s="257"/>
      <c r="Y408" s="257"/>
      <c r="Z408" s="257"/>
    </row>
    <row r="409" spans="1:26" ht="21" customHeight="1">
      <c r="A409" s="257"/>
      <c r="B409" s="257"/>
      <c r="C409" s="257"/>
      <c r="D409" s="257"/>
      <c r="E409" s="257"/>
      <c r="F409" s="257"/>
      <c r="G409" s="257"/>
      <c r="H409" s="257"/>
      <c r="I409" s="257"/>
      <c r="J409" s="257"/>
      <c r="K409" s="257"/>
      <c r="L409" s="257"/>
      <c r="M409" s="257"/>
      <c r="N409" s="257"/>
      <c r="O409" s="257"/>
      <c r="P409" s="257"/>
      <c r="Q409" s="257"/>
      <c r="R409" s="257"/>
      <c r="S409" s="257"/>
      <c r="T409" s="257"/>
      <c r="U409" s="257"/>
      <c r="V409" s="257"/>
      <c r="W409" s="257"/>
      <c r="X409" s="257"/>
      <c r="Y409" s="257"/>
      <c r="Z409" s="257"/>
    </row>
    <row r="410" spans="1:26" ht="21" customHeight="1">
      <c r="A410" s="257"/>
      <c r="B410" s="257"/>
      <c r="C410" s="257"/>
      <c r="D410" s="257"/>
      <c r="E410" s="257"/>
      <c r="F410" s="257"/>
      <c r="G410" s="257"/>
      <c r="H410" s="257"/>
      <c r="I410" s="257"/>
      <c r="J410" s="257"/>
      <c r="K410" s="257"/>
      <c r="L410" s="257"/>
      <c r="M410" s="257"/>
      <c r="N410" s="257"/>
      <c r="O410" s="257"/>
      <c r="P410" s="257"/>
      <c r="Q410" s="257"/>
      <c r="R410" s="257"/>
      <c r="S410" s="257"/>
      <c r="T410" s="257"/>
      <c r="U410" s="257"/>
      <c r="V410" s="257"/>
      <c r="W410" s="257"/>
      <c r="X410" s="257"/>
      <c r="Y410" s="257"/>
      <c r="Z410" s="257"/>
    </row>
    <row r="411" spans="1:26" ht="21" customHeight="1">
      <c r="A411" s="257"/>
      <c r="B411" s="257"/>
      <c r="C411" s="257"/>
      <c r="D411" s="257"/>
      <c r="E411" s="257"/>
      <c r="F411" s="257"/>
      <c r="G411" s="257"/>
      <c r="H411" s="257"/>
      <c r="I411" s="257"/>
      <c r="J411" s="257"/>
      <c r="K411" s="257"/>
      <c r="L411" s="257"/>
      <c r="M411" s="257"/>
      <c r="N411" s="257"/>
      <c r="O411" s="257"/>
      <c r="P411" s="257"/>
      <c r="Q411" s="257"/>
      <c r="R411" s="257"/>
      <c r="S411" s="257"/>
      <c r="T411" s="257"/>
      <c r="U411" s="257"/>
      <c r="V411" s="257"/>
      <c r="W411" s="257"/>
      <c r="X411" s="257"/>
      <c r="Y411" s="257"/>
      <c r="Z411" s="257"/>
    </row>
    <row r="412" spans="1:26" ht="21" customHeight="1">
      <c r="A412" s="257"/>
      <c r="B412" s="257"/>
      <c r="C412" s="257"/>
      <c r="D412" s="257"/>
      <c r="E412" s="257"/>
      <c r="F412" s="257"/>
      <c r="G412" s="257"/>
      <c r="H412" s="257"/>
      <c r="I412" s="257"/>
      <c r="J412" s="257"/>
      <c r="K412" s="257"/>
      <c r="L412" s="257"/>
      <c r="M412" s="257"/>
      <c r="N412" s="257"/>
      <c r="O412" s="257"/>
      <c r="P412" s="257"/>
      <c r="Q412" s="257"/>
      <c r="R412" s="257"/>
      <c r="S412" s="257"/>
      <c r="T412" s="257"/>
      <c r="U412" s="257"/>
      <c r="V412" s="257"/>
      <c r="W412" s="257"/>
      <c r="X412" s="257"/>
      <c r="Y412" s="257"/>
      <c r="Z412" s="257"/>
    </row>
    <row r="413" spans="1:26" ht="21" customHeight="1">
      <c r="A413" s="257"/>
      <c r="B413" s="257"/>
      <c r="C413" s="257"/>
      <c r="D413" s="257"/>
      <c r="E413" s="257"/>
      <c r="F413" s="257"/>
      <c r="G413" s="257"/>
      <c r="H413" s="257"/>
      <c r="I413" s="257"/>
      <c r="J413" s="257"/>
      <c r="K413" s="257"/>
      <c r="L413" s="257"/>
      <c r="M413" s="257"/>
      <c r="N413" s="257"/>
      <c r="O413" s="257"/>
      <c r="P413" s="257"/>
      <c r="Q413" s="257"/>
      <c r="R413" s="257"/>
      <c r="S413" s="257"/>
      <c r="T413" s="257"/>
      <c r="U413" s="257"/>
      <c r="V413" s="257"/>
      <c r="W413" s="257"/>
      <c r="X413" s="257"/>
      <c r="Y413" s="257"/>
      <c r="Z413" s="257"/>
    </row>
    <row r="414" spans="1:26" ht="21" customHeight="1">
      <c r="A414" s="257"/>
      <c r="B414" s="257"/>
      <c r="C414" s="257"/>
      <c r="D414" s="257"/>
      <c r="E414" s="257"/>
      <c r="F414" s="257"/>
      <c r="G414" s="257"/>
      <c r="H414" s="257"/>
      <c r="I414" s="257"/>
      <c r="J414" s="257"/>
      <c r="K414" s="257"/>
      <c r="L414" s="257"/>
      <c r="M414" s="257"/>
      <c r="N414" s="257"/>
      <c r="O414" s="257"/>
      <c r="P414" s="257"/>
      <c r="Q414" s="257"/>
      <c r="R414" s="257"/>
      <c r="S414" s="257"/>
      <c r="T414" s="257"/>
      <c r="U414" s="257"/>
      <c r="V414" s="257"/>
      <c r="W414" s="257"/>
      <c r="X414" s="257"/>
      <c r="Y414" s="257"/>
      <c r="Z414" s="257"/>
    </row>
    <row r="415" spans="1:26" ht="21" customHeight="1">
      <c r="A415" s="257"/>
      <c r="B415" s="257"/>
      <c r="C415" s="257"/>
      <c r="D415" s="257"/>
      <c r="E415" s="257"/>
      <c r="F415" s="257"/>
      <c r="G415" s="257"/>
      <c r="H415" s="257"/>
      <c r="I415" s="257"/>
      <c r="J415" s="257"/>
      <c r="K415" s="257"/>
      <c r="L415" s="257"/>
      <c r="M415" s="257"/>
      <c r="N415" s="257"/>
      <c r="O415" s="257"/>
      <c r="P415" s="257"/>
      <c r="Q415" s="257"/>
      <c r="R415" s="257"/>
      <c r="S415" s="257"/>
      <c r="T415" s="257"/>
      <c r="U415" s="257"/>
      <c r="V415" s="257"/>
      <c r="W415" s="257"/>
      <c r="X415" s="257"/>
      <c r="Y415" s="257"/>
      <c r="Z415" s="257"/>
    </row>
    <row r="416" spans="1:26" ht="21" customHeight="1">
      <c r="A416" s="257"/>
      <c r="B416" s="257"/>
      <c r="C416" s="257"/>
      <c r="D416" s="257"/>
      <c r="E416" s="257"/>
      <c r="F416" s="257"/>
      <c r="G416" s="257"/>
      <c r="H416" s="257"/>
      <c r="I416" s="257"/>
      <c r="J416" s="257"/>
      <c r="K416" s="257"/>
      <c r="L416" s="257"/>
      <c r="M416" s="257"/>
      <c r="N416" s="257"/>
      <c r="O416" s="257"/>
      <c r="P416" s="257"/>
      <c r="Q416" s="257"/>
      <c r="R416" s="257"/>
      <c r="S416" s="257"/>
      <c r="T416" s="257"/>
      <c r="U416" s="257"/>
      <c r="V416" s="257"/>
      <c r="W416" s="257"/>
      <c r="X416" s="257"/>
      <c r="Y416" s="257"/>
      <c r="Z416" s="257"/>
    </row>
    <row r="417" spans="1:26" ht="21" customHeight="1">
      <c r="A417" s="257"/>
      <c r="B417" s="257"/>
      <c r="C417" s="257"/>
      <c r="D417" s="257"/>
      <c r="E417" s="257"/>
      <c r="F417" s="257"/>
      <c r="G417" s="257"/>
      <c r="H417" s="257"/>
      <c r="I417" s="257"/>
      <c r="J417" s="257"/>
      <c r="K417" s="257"/>
      <c r="L417" s="257"/>
      <c r="M417" s="257"/>
      <c r="N417" s="257"/>
      <c r="O417" s="257"/>
      <c r="P417" s="257"/>
      <c r="Q417" s="257"/>
      <c r="R417" s="257"/>
      <c r="S417" s="257"/>
      <c r="T417" s="257"/>
      <c r="U417" s="257"/>
      <c r="V417" s="257"/>
      <c r="W417" s="257"/>
      <c r="X417" s="257"/>
      <c r="Y417" s="257"/>
      <c r="Z417" s="257"/>
    </row>
    <row r="418" spans="1:26" ht="21" customHeight="1">
      <c r="A418" s="257"/>
      <c r="B418" s="257"/>
      <c r="C418" s="257"/>
      <c r="D418" s="257"/>
      <c r="E418" s="257"/>
      <c r="F418" s="257"/>
      <c r="G418" s="257"/>
      <c r="H418" s="257"/>
      <c r="I418" s="257"/>
      <c r="J418" s="257"/>
      <c r="K418" s="257"/>
      <c r="L418" s="257"/>
      <c r="M418" s="257"/>
      <c r="N418" s="257"/>
      <c r="O418" s="257"/>
      <c r="P418" s="257"/>
      <c r="Q418" s="257"/>
      <c r="R418" s="257"/>
      <c r="S418" s="257"/>
      <c r="T418" s="257"/>
      <c r="U418" s="257"/>
      <c r="V418" s="257"/>
      <c r="W418" s="257"/>
      <c r="X418" s="257"/>
      <c r="Y418" s="257"/>
      <c r="Z418" s="257"/>
    </row>
    <row r="419" spans="1:26" ht="21" customHeight="1">
      <c r="A419" s="257"/>
      <c r="B419" s="257"/>
      <c r="C419" s="257"/>
      <c r="D419" s="257"/>
      <c r="E419" s="257"/>
      <c r="F419" s="257"/>
      <c r="G419" s="257"/>
      <c r="H419" s="257"/>
      <c r="I419" s="257"/>
      <c r="J419" s="257"/>
      <c r="K419" s="257"/>
      <c r="L419" s="257"/>
      <c r="M419" s="257"/>
      <c r="N419" s="257"/>
      <c r="O419" s="257"/>
      <c r="P419" s="257"/>
      <c r="Q419" s="257"/>
      <c r="R419" s="257"/>
      <c r="S419" s="257"/>
      <c r="T419" s="257"/>
      <c r="U419" s="257"/>
      <c r="V419" s="257"/>
      <c r="W419" s="257"/>
      <c r="X419" s="257"/>
      <c r="Y419" s="257"/>
      <c r="Z419" s="257"/>
    </row>
    <row r="420" spans="1:26" ht="21" customHeight="1">
      <c r="A420" s="257"/>
      <c r="B420" s="257"/>
      <c r="C420" s="257"/>
      <c r="D420" s="257"/>
      <c r="E420" s="257"/>
      <c r="F420" s="257"/>
      <c r="G420" s="257"/>
      <c r="H420" s="257"/>
      <c r="I420" s="257"/>
      <c r="J420" s="257"/>
      <c r="K420" s="257"/>
      <c r="L420" s="257"/>
      <c r="M420" s="257"/>
      <c r="N420" s="257"/>
      <c r="O420" s="257"/>
      <c r="P420" s="257"/>
      <c r="Q420" s="257"/>
      <c r="R420" s="257"/>
      <c r="S420" s="257"/>
      <c r="T420" s="257"/>
      <c r="U420" s="257"/>
      <c r="V420" s="257"/>
      <c r="W420" s="257"/>
      <c r="X420" s="257"/>
      <c r="Y420" s="257"/>
      <c r="Z420" s="257"/>
    </row>
    <row r="421" spans="1:26" ht="21" customHeight="1">
      <c r="A421" s="257"/>
      <c r="B421" s="257"/>
      <c r="C421" s="257"/>
      <c r="D421" s="257"/>
      <c r="E421" s="257"/>
      <c r="F421" s="257"/>
      <c r="G421" s="257"/>
      <c r="H421" s="257"/>
      <c r="I421" s="257"/>
      <c r="J421" s="257"/>
      <c r="K421" s="257"/>
      <c r="L421" s="257"/>
      <c r="M421" s="257"/>
      <c r="N421" s="257"/>
      <c r="O421" s="257"/>
      <c r="P421" s="257"/>
      <c r="Q421" s="257"/>
      <c r="R421" s="257"/>
      <c r="S421" s="257"/>
      <c r="T421" s="257"/>
      <c r="U421" s="257"/>
      <c r="V421" s="257"/>
      <c r="W421" s="257"/>
      <c r="X421" s="257"/>
      <c r="Y421" s="257"/>
      <c r="Z421" s="257"/>
    </row>
    <row r="422" spans="1:26" ht="21" customHeight="1">
      <c r="A422" s="257"/>
      <c r="B422" s="257"/>
      <c r="C422" s="257"/>
      <c r="D422" s="257"/>
      <c r="E422" s="257"/>
      <c r="F422" s="257"/>
      <c r="G422" s="257"/>
      <c r="H422" s="257"/>
      <c r="I422" s="257"/>
      <c r="J422" s="257"/>
      <c r="K422" s="257"/>
      <c r="L422" s="257"/>
      <c r="M422" s="257"/>
      <c r="N422" s="257"/>
      <c r="O422" s="257"/>
      <c r="P422" s="257"/>
      <c r="Q422" s="257"/>
      <c r="R422" s="257"/>
      <c r="S422" s="257"/>
      <c r="T422" s="257"/>
      <c r="U422" s="257"/>
      <c r="V422" s="257"/>
      <c r="W422" s="257"/>
      <c r="X422" s="257"/>
      <c r="Y422" s="257"/>
      <c r="Z422" s="257"/>
    </row>
    <row r="423" spans="1:26" ht="21" customHeight="1">
      <c r="A423" s="257"/>
      <c r="B423" s="257"/>
      <c r="C423" s="257"/>
      <c r="D423" s="257"/>
      <c r="E423" s="257"/>
      <c r="F423" s="257"/>
      <c r="G423" s="257"/>
      <c r="H423" s="257"/>
      <c r="I423" s="257"/>
      <c r="J423" s="257"/>
      <c r="K423" s="257"/>
      <c r="L423" s="257"/>
      <c r="M423" s="257"/>
      <c r="N423" s="257"/>
      <c r="O423" s="257"/>
      <c r="P423" s="257"/>
      <c r="Q423" s="257"/>
      <c r="R423" s="257"/>
      <c r="S423" s="257"/>
      <c r="T423" s="257"/>
      <c r="U423" s="257"/>
      <c r="V423" s="257"/>
      <c r="W423" s="257"/>
      <c r="X423" s="257"/>
      <c r="Y423" s="257"/>
      <c r="Z423" s="257"/>
    </row>
    <row r="424" spans="1:26" ht="21" customHeight="1">
      <c r="A424" s="257"/>
      <c r="B424" s="257"/>
      <c r="C424" s="257"/>
      <c r="D424" s="257"/>
      <c r="E424" s="257"/>
      <c r="F424" s="257"/>
      <c r="G424" s="257"/>
      <c r="H424" s="257"/>
      <c r="I424" s="257"/>
      <c r="J424" s="257"/>
      <c r="K424" s="257"/>
      <c r="L424" s="257"/>
      <c r="M424" s="257"/>
      <c r="N424" s="257"/>
      <c r="O424" s="257"/>
      <c r="P424" s="257"/>
      <c r="Q424" s="257"/>
      <c r="R424" s="257"/>
      <c r="S424" s="257"/>
      <c r="T424" s="257"/>
      <c r="U424" s="257"/>
      <c r="V424" s="257"/>
      <c r="W424" s="257"/>
      <c r="X424" s="257"/>
      <c r="Y424" s="257"/>
      <c r="Z424" s="257"/>
    </row>
    <row r="425" spans="1:26" ht="21" customHeight="1">
      <c r="A425" s="257"/>
      <c r="B425" s="257"/>
      <c r="C425" s="257"/>
      <c r="D425" s="257"/>
      <c r="E425" s="257"/>
      <c r="F425" s="257"/>
      <c r="G425" s="257"/>
      <c r="H425" s="257"/>
      <c r="I425" s="257"/>
      <c r="J425" s="257"/>
      <c r="K425" s="257"/>
      <c r="L425" s="257"/>
      <c r="M425" s="257"/>
      <c r="N425" s="257"/>
      <c r="O425" s="257"/>
      <c r="P425" s="257"/>
      <c r="Q425" s="257"/>
      <c r="R425" s="257"/>
      <c r="S425" s="257"/>
      <c r="T425" s="257"/>
      <c r="U425" s="257"/>
      <c r="V425" s="257"/>
      <c r="W425" s="257"/>
      <c r="X425" s="257"/>
      <c r="Y425" s="257"/>
      <c r="Z425" s="257"/>
    </row>
    <row r="426" spans="1:26" ht="21" customHeight="1">
      <c r="A426" s="257"/>
      <c r="B426" s="257"/>
      <c r="C426" s="257"/>
      <c r="D426" s="257"/>
      <c r="E426" s="257"/>
      <c r="F426" s="257"/>
      <c r="G426" s="257"/>
      <c r="H426" s="257"/>
      <c r="I426" s="257"/>
      <c r="J426" s="257"/>
      <c r="K426" s="257"/>
      <c r="L426" s="257"/>
      <c r="M426" s="257"/>
      <c r="N426" s="257"/>
      <c r="O426" s="257"/>
      <c r="P426" s="257"/>
      <c r="Q426" s="257"/>
      <c r="R426" s="257"/>
      <c r="S426" s="257"/>
      <c r="T426" s="257"/>
      <c r="U426" s="257"/>
      <c r="V426" s="257"/>
      <c r="W426" s="257"/>
      <c r="X426" s="257"/>
      <c r="Y426" s="257"/>
      <c r="Z426" s="257"/>
    </row>
    <row r="427" spans="1:26" ht="21" customHeight="1">
      <c r="A427" s="257"/>
      <c r="B427" s="257"/>
      <c r="C427" s="257"/>
      <c r="D427" s="257"/>
      <c r="E427" s="257"/>
      <c r="F427" s="257"/>
      <c r="G427" s="257"/>
      <c r="H427" s="257"/>
      <c r="I427" s="257"/>
      <c r="J427" s="257"/>
      <c r="K427" s="257"/>
      <c r="L427" s="257"/>
      <c r="M427" s="257"/>
      <c r="N427" s="257"/>
      <c r="O427" s="257"/>
      <c r="P427" s="257"/>
      <c r="Q427" s="257"/>
      <c r="R427" s="257"/>
      <c r="S427" s="257"/>
      <c r="T427" s="257"/>
      <c r="U427" s="257"/>
      <c r="V427" s="257"/>
      <c r="W427" s="257"/>
      <c r="X427" s="257"/>
      <c r="Y427" s="257"/>
      <c r="Z427" s="257"/>
    </row>
    <row r="428" spans="1:26" ht="21" customHeight="1">
      <c r="A428" s="257"/>
      <c r="B428" s="257"/>
      <c r="C428" s="257"/>
      <c r="D428" s="257"/>
      <c r="E428" s="257"/>
      <c r="F428" s="257"/>
      <c r="G428" s="257"/>
      <c r="H428" s="257"/>
      <c r="I428" s="257"/>
      <c r="J428" s="257"/>
      <c r="K428" s="257"/>
      <c r="L428" s="257"/>
      <c r="M428" s="257"/>
      <c r="N428" s="257"/>
      <c r="O428" s="257"/>
      <c r="P428" s="257"/>
      <c r="Q428" s="257"/>
      <c r="R428" s="257"/>
      <c r="S428" s="257"/>
      <c r="T428" s="257"/>
      <c r="U428" s="257"/>
      <c r="V428" s="257"/>
      <c r="W428" s="257"/>
      <c r="X428" s="257"/>
      <c r="Y428" s="257"/>
      <c r="Z428" s="257"/>
    </row>
    <row r="429" spans="1:26" ht="21" customHeight="1">
      <c r="A429" s="257"/>
      <c r="B429" s="257"/>
      <c r="C429" s="257"/>
      <c r="D429" s="257"/>
      <c r="E429" s="257"/>
      <c r="F429" s="257"/>
      <c r="G429" s="257"/>
      <c r="H429" s="257"/>
      <c r="I429" s="257"/>
      <c r="J429" s="257"/>
      <c r="K429" s="257"/>
      <c r="L429" s="257"/>
      <c r="M429" s="257"/>
      <c r="N429" s="257"/>
      <c r="O429" s="257"/>
      <c r="P429" s="257"/>
      <c r="Q429" s="257"/>
      <c r="R429" s="257"/>
      <c r="S429" s="257"/>
      <c r="T429" s="257"/>
      <c r="U429" s="257"/>
      <c r="V429" s="257"/>
      <c r="W429" s="257"/>
      <c r="X429" s="257"/>
      <c r="Y429" s="257"/>
      <c r="Z429" s="257"/>
    </row>
    <row r="430" spans="1:26" ht="21" customHeight="1">
      <c r="A430" s="257"/>
      <c r="B430" s="257"/>
      <c r="C430" s="257"/>
      <c r="D430" s="257"/>
      <c r="E430" s="257"/>
      <c r="F430" s="257"/>
      <c r="G430" s="257"/>
      <c r="H430" s="257"/>
      <c r="I430" s="257"/>
      <c r="J430" s="257"/>
      <c r="K430" s="257"/>
      <c r="L430" s="257"/>
      <c r="M430" s="257"/>
      <c r="N430" s="257"/>
      <c r="O430" s="257"/>
      <c r="P430" s="257"/>
      <c r="Q430" s="257"/>
      <c r="R430" s="257"/>
      <c r="S430" s="257"/>
      <c r="T430" s="257"/>
      <c r="U430" s="257"/>
      <c r="V430" s="257"/>
      <c r="W430" s="257"/>
      <c r="X430" s="257"/>
      <c r="Y430" s="257"/>
      <c r="Z430" s="257"/>
    </row>
    <row r="431" spans="1:26" ht="21" customHeight="1">
      <c r="A431" s="257"/>
      <c r="B431" s="257"/>
      <c r="C431" s="257"/>
      <c r="D431" s="257"/>
      <c r="E431" s="257"/>
      <c r="F431" s="257"/>
      <c r="G431" s="257"/>
      <c r="H431" s="257"/>
      <c r="I431" s="257"/>
      <c r="J431" s="257"/>
      <c r="K431" s="257"/>
      <c r="L431" s="257"/>
      <c r="M431" s="257"/>
      <c r="N431" s="257"/>
      <c r="O431" s="257"/>
      <c r="P431" s="257"/>
      <c r="Q431" s="257"/>
      <c r="R431" s="257"/>
      <c r="S431" s="257"/>
      <c r="T431" s="257"/>
      <c r="U431" s="257"/>
      <c r="V431" s="257"/>
      <c r="W431" s="257"/>
      <c r="X431" s="257"/>
      <c r="Y431" s="257"/>
      <c r="Z431" s="257"/>
    </row>
    <row r="432" spans="1:26" ht="21" customHeight="1">
      <c r="A432" s="257"/>
      <c r="B432" s="257"/>
      <c r="C432" s="257"/>
      <c r="D432" s="257"/>
      <c r="E432" s="257"/>
      <c r="F432" s="257"/>
      <c r="G432" s="257"/>
      <c r="H432" s="257"/>
      <c r="I432" s="257"/>
      <c r="J432" s="257"/>
      <c r="K432" s="257"/>
      <c r="L432" s="257"/>
      <c r="M432" s="257"/>
      <c r="N432" s="257"/>
      <c r="O432" s="257"/>
      <c r="P432" s="257"/>
      <c r="Q432" s="257"/>
      <c r="R432" s="257"/>
      <c r="S432" s="257"/>
      <c r="T432" s="257"/>
      <c r="U432" s="257"/>
      <c r="V432" s="257"/>
      <c r="W432" s="257"/>
      <c r="X432" s="257"/>
      <c r="Y432" s="257"/>
      <c r="Z432" s="257"/>
    </row>
    <row r="433" spans="1:26" ht="21" customHeight="1">
      <c r="A433" s="257"/>
      <c r="B433" s="257"/>
      <c r="C433" s="257"/>
      <c r="D433" s="257"/>
      <c r="E433" s="257"/>
      <c r="F433" s="257"/>
      <c r="G433" s="257"/>
      <c r="H433" s="257"/>
      <c r="I433" s="257"/>
      <c r="J433" s="257"/>
      <c r="K433" s="257"/>
      <c r="L433" s="257"/>
      <c r="M433" s="257"/>
      <c r="N433" s="257"/>
      <c r="O433" s="257"/>
      <c r="P433" s="257"/>
      <c r="Q433" s="257"/>
      <c r="R433" s="257"/>
      <c r="S433" s="257"/>
      <c r="T433" s="257"/>
      <c r="U433" s="257"/>
      <c r="V433" s="257"/>
      <c r="W433" s="257"/>
      <c r="X433" s="257"/>
      <c r="Y433" s="257"/>
      <c r="Z433" s="257"/>
    </row>
    <row r="434" spans="1:26" ht="21" customHeight="1">
      <c r="A434" s="257"/>
      <c r="B434" s="257"/>
      <c r="C434" s="257"/>
      <c r="D434" s="257"/>
      <c r="E434" s="257"/>
      <c r="F434" s="257"/>
      <c r="G434" s="257"/>
      <c r="H434" s="257"/>
      <c r="I434" s="257"/>
      <c r="J434" s="257"/>
      <c r="K434" s="257"/>
      <c r="L434" s="257"/>
      <c r="M434" s="257"/>
      <c r="N434" s="257"/>
      <c r="O434" s="257"/>
      <c r="P434" s="257"/>
      <c r="Q434" s="257"/>
      <c r="R434" s="257"/>
      <c r="S434" s="257"/>
      <c r="T434" s="257"/>
      <c r="U434" s="257"/>
      <c r="V434" s="257"/>
      <c r="W434" s="257"/>
      <c r="X434" s="257"/>
      <c r="Y434" s="257"/>
      <c r="Z434" s="257"/>
    </row>
    <row r="435" spans="1:26" ht="21" customHeight="1">
      <c r="A435" s="257"/>
      <c r="B435" s="257"/>
      <c r="C435" s="257"/>
      <c r="D435" s="257"/>
      <c r="E435" s="257"/>
      <c r="F435" s="257"/>
      <c r="G435" s="257"/>
      <c r="H435" s="257"/>
      <c r="I435" s="257"/>
      <c r="J435" s="257"/>
      <c r="K435" s="257"/>
      <c r="L435" s="257"/>
      <c r="M435" s="257"/>
      <c r="N435" s="257"/>
      <c r="O435" s="257"/>
      <c r="P435" s="257"/>
      <c r="Q435" s="257"/>
      <c r="R435" s="257"/>
      <c r="S435" s="257"/>
      <c r="T435" s="257"/>
      <c r="U435" s="257"/>
      <c r="V435" s="257"/>
      <c r="W435" s="257"/>
      <c r="X435" s="257"/>
      <c r="Y435" s="257"/>
      <c r="Z435" s="257"/>
    </row>
    <row r="436" spans="1:26" ht="21" customHeight="1">
      <c r="A436" s="257"/>
      <c r="B436" s="257"/>
      <c r="C436" s="257"/>
      <c r="D436" s="257"/>
      <c r="E436" s="257"/>
      <c r="F436" s="257"/>
      <c r="G436" s="257"/>
      <c r="H436" s="257"/>
      <c r="I436" s="257"/>
      <c r="J436" s="257"/>
      <c r="K436" s="257"/>
      <c r="L436" s="257"/>
      <c r="M436" s="257"/>
      <c r="N436" s="257"/>
      <c r="O436" s="257"/>
      <c r="P436" s="257"/>
      <c r="Q436" s="257"/>
      <c r="R436" s="257"/>
      <c r="S436" s="257"/>
      <c r="T436" s="257"/>
      <c r="U436" s="257"/>
      <c r="V436" s="257"/>
      <c r="W436" s="257"/>
      <c r="X436" s="257"/>
      <c r="Y436" s="257"/>
      <c r="Z436" s="257"/>
    </row>
    <row r="437" spans="1:26" ht="21" customHeight="1">
      <c r="A437" s="257"/>
      <c r="B437" s="257"/>
      <c r="C437" s="257"/>
      <c r="D437" s="257"/>
      <c r="E437" s="257"/>
      <c r="F437" s="257"/>
      <c r="G437" s="257"/>
      <c r="H437" s="257"/>
      <c r="I437" s="257"/>
      <c r="J437" s="257"/>
      <c r="K437" s="257"/>
      <c r="L437" s="257"/>
      <c r="M437" s="257"/>
      <c r="N437" s="257"/>
      <c r="O437" s="257"/>
      <c r="P437" s="257"/>
      <c r="Q437" s="257"/>
      <c r="R437" s="257"/>
      <c r="S437" s="257"/>
      <c r="T437" s="257"/>
      <c r="U437" s="257"/>
      <c r="V437" s="257"/>
      <c r="W437" s="257"/>
      <c r="X437" s="257"/>
      <c r="Y437" s="257"/>
      <c r="Z437" s="257"/>
    </row>
    <row r="438" spans="1:26" ht="21" customHeight="1">
      <c r="A438" s="257"/>
      <c r="B438" s="257"/>
      <c r="C438" s="257"/>
      <c r="D438" s="257"/>
      <c r="E438" s="257"/>
      <c r="F438" s="257"/>
      <c r="G438" s="257"/>
      <c r="H438" s="257"/>
      <c r="I438" s="257"/>
      <c r="J438" s="257"/>
      <c r="K438" s="257"/>
      <c r="L438" s="257"/>
      <c r="M438" s="257"/>
      <c r="N438" s="257"/>
      <c r="O438" s="257"/>
      <c r="P438" s="257"/>
      <c r="Q438" s="257"/>
      <c r="R438" s="257"/>
      <c r="S438" s="257"/>
      <c r="T438" s="257"/>
      <c r="U438" s="257"/>
      <c r="V438" s="257"/>
      <c r="W438" s="257"/>
      <c r="X438" s="257"/>
      <c r="Y438" s="257"/>
      <c r="Z438" s="257"/>
    </row>
    <row r="439" spans="1:26" ht="21" customHeight="1">
      <c r="A439" s="257"/>
      <c r="B439" s="257"/>
      <c r="C439" s="257"/>
      <c r="D439" s="257"/>
      <c r="E439" s="257"/>
      <c r="F439" s="257"/>
      <c r="G439" s="257"/>
      <c r="H439" s="257"/>
      <c r="I439" s="257"/>
      <c r="J439" s="257"/>
      <c r="K439" s="257"/>
      <c r="L439" s="257"/>
      <c r="M439" s="257"/>
      <c r="N439" s="257"/>
      <c r="O439" s="257"/>
      <c r="P439" s="257"/>
      <c r="Q439" s="257"/>
      <c r="R439" s="257"/>
      <c r="S439" s="257"/>
      <c r="T439" s="257"/>
      <c r="U439" s="257"/>
      <c r="V439" s="257"/>
      <c r="W439" s="257"/>
      <c r="X439" s="257"/>
      <c r="Y439" s="257"/>
      <c r="Z439" s="257"/>
    </row>
    <row r="440" spans="1:26" ht="21" customHeight="1">
      <c r="A440" s="257"/>
      <c r="B440" s="257"/>
      <c r="C440" s="257"/>
      <c r="D440" s="257"/>
      <c r="E440" s="257"/>
      <c r="F440" s="257"/>
      <c r="G440" s="257"/>
      <c r="H440" s="257"/>
      <c r="I440" s="257"/>
      <c r="J440" s="257"/>
      <c r="K440" s="257"/>
      <c r="L440" s="257"/>
      <c r="M440" s="257"/>
      <c r="N440" s="257"/>
      <c r="O440" s="257"/>
      <c r="P440" s="257"/>
      <c r="Q440" s="257"/>
      <c r="R440" s="257"/>
      <c r="S440" s="257"/>
      <c r="T440" s="257"/>
      <c r="U440" s="257"/>
      <c r="V440" s="257"/>
      <c r="W440" s="257"/>
      <c r="X440" s="257"/>
      <c r="Y440" s="257"/>
      <c r="Z440" s="257"/>
    </row>
    <row r="441" spans="1:26" ht="21" customHeight="1">
      <c r="A441" s="257"/>
      <c r="B441" s="257"/>
      <c r="C441" s="257"/>
      <c r="D441" s="257"/>
      <c r="E441" s="257"/>
      <c r="F441" s="257"/>
      <c r="G441" s="257"/>
      <c r="H441" s="257"/>
      <c r="I441" s="257"/>
      <c r="J441" s="257"/>
      <c r="K441" s="257"/>
      <c r="L441" s="257"/>
      <c r="M441" s="257"/>
      <c r="N441" s="257"/>
      <c r="O441" s="257"/>
      <c r="P441" s="257"/>
      <c r="Q441" s="257"/>
      <c r="R441" s="257"/>
      <c r="S441" s="257"/>
      <c r="T441" s="257"/>
      <c r="U441" s="257"/>
      <c r="V441" s="257"/>
      <c r="W441" s="257"/>
      <c r="X441" s="257"/>
      <c r="Y441" s="257"/>
      <c r="Z441" s="257"/>
    </row>
    <row r="442" spans="1:26" ht="21" customHeight="1">
      <c r="A442" s="257"/>
      <c r="B442" s="257"/>
      <c r="C442" s="257"/>
      <c r="D442" s="257"/>
      <c r="E442" s="257"/>
      <c r="F442" s="257"/>
      <c r="G442" s="257"/>
      <c r="H442" s="257"/>
      <c r="I442" s="257"/>
      <c r="J442" s="257"/>
      <c r="K442" s="257"/>
      <c r="L442" s="257"/>
      <c r="M442" s="257"/>
      <c r="N442" s="257"/>
      <c r="O442" s="257"/>
      <c r="P442" s="257"/>
      <c r="Q442" s="257"/>
      <c r="R442" s="257"/>
      <c r="S442" s="257"/>
      <c r="T442" s="257"/>
      <c r="U442" s="257"/>
      <c r="V442" s="257"/>
      <c r="W442" s="257"/>
      <c r="X442" s="257"/>
      <c r="Y442" s="257"/>
      <c r="Z442" s="257"/>
    </row>
    <row r="443" spans="1:26" ht="21" customHeight="1">
      <c r="A443" s="257"/>
      <c r="B443" s="257"/>
      <c r="C443" s="257"/>
      <c r="D443" s="257"/>
      <c r="E443" s="257"/>
      <c r="F443" s="257"/>
      <c r="G443" s="257"/>
      <c r="H443" s="257"/>
      <c r="I443" s="257"/>
      <c r="J443" s="257"/>
      <c r="K443" s="257"/>
      <c r="L443" s="257"/>
      <c r="M443" s="257"/>
      <c r="N443" s="257"/>
      <c r="O443" s="257"/>
      <c r="P443" s="257"/>
      <c r="Q443" s="257"/>
      <c r="R443" s="257"/>
      <c r="S443" s="257"/>
      <c r="T443" s="257"/>
      <c r="U443" s="257"/>
      <c r="V443" s="257"/>
      <c r="W443" s="257"/>
      <c r="X443" s="257"/>
      <c r="Y443" s="257"/>
      <c r="Z443" s="257"/>
    </row>
    <row r="444" spans="1:26" ht="21" customHeight="1">
      <c r="A444" s="257"/>
      <c r="B444" s="257"/>
      <c r="C444" s="257"/>
      <c r="D444" s="257"/>
      <c r="E444" s="257"/>
      <c r="F444" s="257"/>
      <c r="G444" s="257"/>
      <c r="H444" s="257"/>
      <c r="I444" s="257"/>
      <c r="J444" s="257"/>
      <c r="K444" s="257"/>
      <c r="L444" s="257"/>
      <c r="M444" s="257"/>
      <c r="N444" s="257"/>
      <c r="O444" s="257"/>
      <c r="P444" s="257"/>
      <c r="Q444" s="257"/>
      <c r="R444" s="257"/>
      <c r="S444" s="257"/>
      <c r="T444" s="257"/>
      <c r="U444" s="257"/>
      <c r="V444" s="257"/>
      <c r="W444" s="257"/>
      <c r="X444" s="257"/>
      <c r="Y444" s="257"/>
      <c r="Z444" s="257"/>
    </row>
    <row r="445" spans="1:26" ht="21" customHeight="1">
      <c r="A445" s="257"/>
      <c r="B445" s="257"/>
      <c r="C445" s="257"/>
      <c r="D445" s="257"/>
      <c r="E445" s="257"/>
      <c r="F445" s="257"/>
      <c r="G445" s="257"/>
      <c r="H445" s="257"/>
      <c r="I445" s="257"/>
      <c r="J445" s="257"/>
      <c r="K445" s="257"/>
      <c r="L445" s="257"/>
      <c r="M445" s="257"/>
      <c r="N445" s="257"/>
      <c r="O445" s="257"/>
      <c r="P445" s="257"/>
      <c r="Q445" s="257"/>
      <c r="R445" s="257"/>
      <c r="S445" s="257"/>
      <c r="T445" s="257"/>
      <c r="U445" s="257"/>
      <c r="V445" s="257"/>
      <c r="W445" s="257"/>
      <c r="X445" s="257"/>
      <c r="Y445" s="257"/>
      <c r="Z445" s="257"/>
    </row>
    <row r="446" spans="1:26" ht="21" customHeight="1">
      <c r="A446" s="257"/>
      <c r="B446" s="257"/>
      <c r="C446" s="257"/>
      <c r="D446" s="257"/>
      <c r="E446" s="257"/>
      <c r="F446" s="257"/>
      <c r="G446" s="257"/>
      <c r="H446" s="257"/>
      <c r="I446" s="257"/>
      <c r="J446" s="257"/>
      <c r="K446" s="257"/>
      <c r="L446" s="257"/>
      <c r="M446" s="257"/>
      <c r="N446" s="257"/>
      <c r="O446" s="257"/>
      <c r="P446" s="257"/>
      <c r="Q446" s="257"/>
      <c r="R446" s="257"/>
      <c r="S446" s="257"/>
      <c r="T446" s="257"/>
      <c r="U446" s="257"/>
      <c r="V446" s="257"/>
      <c r="W446" s="257"/>
      <c r="X446" s="257"/>
      <c r="Y446" s="257"/>
      <c r="Z446" s="257"/>
    </row>
    <row r="447" spans="1:26" ht="21" customHeight="1">
      <c r="A447" s="257"/>
      <c r="B447" s="257"/>
      <c r="C447" s="257"/>
      <c r="D447" s="257"/>
      <c r="E447" s="257"/>
      <c r="F447" s="257"/>
      <c r="G447" s="257"/>
      <c r="H447" s="257"/>
      <c r="I447" s="257"/>
      <c r="J447" s="257"/>
      <c r="K447" s="257"/>
      <c r="L447" s="257"/>
      <c r="M447" s="257"/>
      <c r="N447" s="257"/>
      <c r="O447" s="257"/>
      <c r="P447" s="257"/>
      <c r="Q447" s="257"/>
      <c r="R447" s="257"/>
      <c r="S447" s="257"/>
      <c r="T447" s="257"/>
      <c r="U447" s="257"/>
      <c r="V447" s="257"/>
      <c r="W447" s="257"/>
      <c r="X447" s="257"/>
      <c r="Y447" s="257"/>
      <c r="Z447" s="257"/>
    </row>
    <row r="448" spans="1:26" ht="21" customHeight="1">
      <c r="A448" s="257"/>
      <c r="B448" s="257"/>
      <c r="C448" s="257"/>
      <c r="D448" s="257"/>
      <c r="E448" s="257"/>
      <c r="F448" s="257"/>
      <c r="G448" s="257"/>
      <c r="H448" s="257"/>
      <c r="I448" s="257"/>
      <c r="J448" s="257"/>
      <c r="K448" s="257"/>
      <c r="L448" s="257"/>
      <c r="M448" s="257"/>
      <c r="N448" s="257"/>
      <c r="O448" s="257"/>
      <c r="P448" s="257"/>
      <c r="Q448" s="257"/>
      <c r="R448" s="257"/>
      <c r="S448" s="257"/>
      <c r="T448" s="257"/>
      <c r="U448" s="257"/>
      <c r="V448" s="257"/>
      <c r="W448" s="257"/>
      <c r="X448" s="257"/>
      <c r="Y448" s="257"/>
      <c r="Z448" s="257"/>
    </row>
    <row r="449" spans="1:26" ht="21" customHeight="1">
      <c r="A449" s="257"/>
      <c r="B449" s="257"/>
      <c r="C449" s="257"/>
      <c r="D449" s="257"/>
      <c r="E449" s="257"/>
      <c r="F449" s="257"/>
      <c r="G449" s="257"/>
      <c r="H449" s="257"/>
      <c r="I449" s="257"/>
      <c r="J449" s="257"/>
      <c r="K449" s="257"/>
      <c r="L449" s="257"/>
      <c r="M449" s="257"/>
      <c r="N449" s="257"/>
      <c r="O449" s="257"/>
      <c r="P449" s="257"/>
      <c r="Q449" s="257"/>
      <c r="R449" s="257"/>
      <c r="S449" s="257"/>
      <c r="T449" s="257"/>
      <c r="U449" s="257"/>
      <c r="V449" s="257"/>
      <c r="W449" s="257"/>
      <c r="X449" s="257"/>
      <c r="Y449" s="257"/>
      <c r="Z449" s="257"/>
    </row>
    <row r="450" spans="1:26" ht="21" customHeight="1">
      <c r="A450" s="257"/>
      <c r="B450" s="257"/>
      <c r="C450" s="257"/>
      <c r="D450" s="257"/>
      <c r="E450" s="257"/>
      <c r="F450" s="257"/>
      <c r="G450" s="257"/>
      <c r="H450" s="257"/>
      <c r="I450" s="257"/>
      <c r="J450" s="257"/>
      <c r="K450" s="257"/>
      <c r="L450" s="257"/>
      <c r="M450" s="257"/>
      <c r="N450" s="257"/>
      <c r="O450" s="257"/>
      <c r="P450" s="257"/>
      <c r="Q450" s="257"/>
      <c r="R450" s="257"/>
      <c r="S450" s="257"/>
      <c r="T450" s="257"/>
      <c r="U450" s="257"/>
      <c r="V450" s="257"/>
      <c r="W450" s="257"/>
      <c r="X450" s="257"/>
      <c r="Y450" s="257"/>
      <c r="Z450" s="257"/>
    </row>
    <row r="451" spans="1:26" ht="21" customHeight="1">
      <c r="A451" s="257"/>
      <c r="B451" s="257"/>
      <c r="C451" s="257"/>
      <c r="D451" s="257"/>
      <c r="E451" s="257"/>
      <c r="F451" s="257"/>
      <c r="G451" s="257"/>
      <c r="H451" s="257"/>
      <c r="I451" s="257"/>
      <c r="J451" s="257"/>
      <c r="K451" s="257"/>
      <c r="L451" s="257"/>
      <c r="M451" s="257"/>
      <c r="N451" s="257"/>
      <c r="O451" s="257"/>
      <c r="P451" s="257"/>
      <c r="Q451" s="257"/>
      <c r="R451" s="257"/>
      <c r="S451" s="257"/>
      <c r="T451" s="257"/>
      <c r="U451" s="257"/>
      <c r="V451" s="257"/>
      <c r="W451" s="257"/>
      <c r="X451" s="257"/>
      <c r="Y451" s="257"/>
      <c r="Z451" s="257"/>
    </row>
    <row r="452" spans="1:26" ht="21" customHeight="1">
      <c r="A452" s="257"/>
      <c r="B452" s="257"/>
      <c r="C452" s="257"/>
      <c r="D452" s="257"/>
      <c r="E452" s="257"/>
      <c r="F452" s="257"/>
      <c r="G452" s="257"/>
      <c r="H452" s="257"/>
      <c r="I452" s="257"/>
      <c r="J452" s="257"/>
      <c r="K452" s="257"/>
      <c r="L452" s="257"/>
      <c r="M452" s="257"/>
      <c r="N452" s="257"/>
      <c r="O452" s="257"/>
      <c r="P452" s="257"/>
      <c r="Q452" s="257"/>
      <c r="R452" s="257"/>
      <c r="S452" s="257"/>
      <c r="T452" s="257"/>
      <c r="U452" s="257"/>
      <c r="V452" s="257"/>
      <c r="W452" s="257"/>
      <c r="X452" s="257"/>
      <c r="Y452" s="257"/>
      <c r="Z452" s="257"/>
    </row>
    <row r="453" spans="1:26" ht="21" customHeight="1">
      <c r="A453" s="257"/>
      <c r="B453" s="257"/>
      <c r="C453" s="257"/>
      <c r="D453" s="257"/>
      <c r="E453" s="257"/>
      <c r="F453" s="257"/>
      <c r="G453" s="257"/>
      <c r="H453" s="257"/>
      <c r="I453" s="257"/>
      <c r="J453" s="257"/>
      <c r="K453" s="257"/>
      <c r="L453" s="257"/>
      <c r="M453" s="257"/>
      <c r="N453" s="257"/>
      <c r="O453" s="257"/>
      <c r="P453" s="257"/>
      <c r="Q453" s="257"/>
      <c r="R453" s="257"/>
      <c r="S453" s="257"/>
      <c r="T453" s="257"/>
      <c r="U453" s="257"/>
      <c r="V453" s="257"/>
      <c r="W453" s="257"/>
      <c r="X453" s="257"/>
      <c r="Y453" s="257"/>
      <c r="Z453" s="257"/>
    </row>
    <row r="454" spans="1:26" ht="21" customHeight="1">
      <c r="A454" s="257"/>
      <c r="B454" s="257"/>
      <c r="C454" s="257"/>
      <c r="D454" s="257"/>
      <c r="E454" s="257"/>
      <c r="F454" s="257"/>
      <c r="G454" s="257"/>
      <c r="H454" s="257"/>
      <c r="I454" s="257"/>
      <c r="J454" s="257"/>
      <c r="K454" s="257"/>
      <c r="L454" s="257"/>
      <c r="M454" s="257"/>
      <c r="N454" s="257"/>
      <c r="O454" s="257"/>
      <c r="P454" s="257"/>
      <c r="Q454" s="257"/>
      <c r="R454" s="257"/>
      <c r="S454" s="257"/>
      <c r="T454" s="257"/>
      <c r="U454" s="257"/>
      <c r="V454" s="257"/>
      <c r="W454" s="257"/>
      <c r="X454" s="257"/>
      <c r="Y454" s="257"/>
      <c r="Z454" s="257"/>
    </row>
    <row r="455" spans="1:26" ht="21" customHeight="1">
      <c r="A455" s="257"/>
      <c r="B455" s="257"/>
      <c r="C455" s="257"/>
      <c r="D455" s="257"/>
      <c r="E455" s="257"/>
      <c r="F455" s="257"/>
      <c r="G455" s="257"/>
      <c r="H455" s="257"/>
      <c r="I455" s="257"/>
      <c r="J455" s="257"/>
      <c r="K455" s="257"/>
      <c r="L455" s="257"/>
      <c r="M455" s="257"/>
      <c r="N455" s="257"/>
      <c r="O455" s="257"/>
      <c r="P455" s="257"/>
      <c r="Q455" s="257"/>
      <c r="R455" s="257"/>
      <c r="S455" s="257"/>
      <c r="T455" s="257"/>
      <c r="U455" s="257"/>
      <c r="V455" s="257"/>
      <c r="W455" s="257"/>
      <c r="X455" s="257"/>
      <c r="Y455" s="257"/>
      <c r="Z455" s="257"/>
    </row>
    <row r="456" spans="1:26" ht="21" customHeight="1">
      <c r="A456" s="257"/>
      <c r="B456" s="257"/>
      <c r="C456" s="257"/>
      <c r="D456" s="257"/>
      <c r="E456" s="257"/>
      <c r="F456" s="257"/>
      <c r="G456" s="257"/>
      <c r="H456" s="257"/>
      <c r="I456" s="257"/>
      <c r="J456" s="257"/>
      <c r="K456" s="257"/>
      <c r="L456" s="257"/>
      <c r="M456" s="257"/>
      <c r="N456" s="257"/>
      <c r="O456" s="257"/>
      <c r="P456" s="257"/>
      <c r="Q456" s="257"/>
      <c r="R456" s="257"/>
      <c r="S456" s="257"/>
      <c r="T456" s="257"/>
      <c r="U456" s="257"/>
      <c r="V456" s="257"/>
      <c r="W456" s="257"/>
      <c r="X456" s="257"/>
      <c r="Y456" s="257"/>
      <c r="Z456" s="257"/>
    </row>
    <row r="457" spans="1:26" ht="21" customHeight="1">
      <c r="A457" s="257"/>
      <c r="B457" s="257"/>
      <c r="C457" s="257"/>
      <c r="D457" s="257"/>
      <c r="E457" s="257"/>
      <c r="F457" s="257"/>
      <c r="G457" s="257"/>
      <c r="H457" s="257"/>
      <c r="I457" s="257"/>
      <c r="J457" s="257"/>
      <c r="K457" s="257"/>
      <c r="L457" s="257"/>
      <c r="M457" s="257"/>
      <c r="N457" s="257"/>
      <c r="O457" s="257"/>
      <c r="P457" s="257"/>
      <c r="Q457" s="257"/>
      <c r="R457" s="257"/>
      <c r="S457" s="257"/>
      <c r="T457" s="257"/>
      <c r="U457" s="257"/>
      <c r="V457" s="257"/>
      <c r="W457" s="257"/>
      <c r="X457" s="257"/>
      <c r="Y457" s="257"/>
      <c r="Z457" s="257"/>
    </row>
    <row r="458" spans="1:26" ht="21" customHeight="1">
      <c r="A458" s="257"/>
      <c r="B458" s="257"/>
      <c r="C458" s="257"/>
      <c r="D458" s="257"/>
      <c r="E458" s="257"/>
      <c r="F458" s="257"/>
      <c r="G458" s="257"/>
      <c r="H458" s="257"/>
      <c r="I458" s="257"/>
      <c r="J458" s="257"/>
      <c r="K458" s="257"/>
      <c r="L458" s="257"/>
      <c r="M458" s="257"/>
      <c r="N458" s="257"/>
      <c r="O458" s="257"/>
      <c r="P458" s="257"/>
      <c r="Q458" s="257"/>
      <c r="R458" s="257"/>
      <c r="S458" s="257"/>
      <c r="T458" s="257"/>
      <c r="U458" s="257"/>
      <c r="V458" s="257"/>
      <c r="W458" s="257"/>
      <c r="X458" s="257"/>
      <c r="Y458" s="257"/>
      <c r="Z458" s="257"/>
    </row>
    <row r="459" spans="1:26" ht="21" customHeight="1">
      <c r="A459" s="257"/>
      <c r="B459" s="257"/>
      <c r="C459" s="257"/>
      <c r="D459" s="257"/>
      <c r="E459" s="257"/>
      <c r="F459" s="257"/>
      <c r="G459" s="257"/>
      <c r="H459" s="257"/>
      <c r="I459" s="257"/>
      <c r="J459" s="257"/>
      <c r="K459" s="257"/>
      <c r="L459" s="257"/>
      <c r="M459" s="257"/>
      <c r="N459" s="257"/>
      <c r="O459" s="257"/>
      <c r="P459" s="257"/>
      <c r="Q459" s="257"/>
      <c r="R459" s="257"/>
      <c r="S459" s="257"/>
      <c r="T459" s="257"/>
      <c r="U459" s="257"/>
      <c r="V459" s="257"/>
      <c r="W459" s="257"/>
      <c r="X459" s="257"/>
      <c r="Y459" s="257"/>
      <c r="Z459" s="257"/>
    </row>
    <row r="460" spans="1:26" ht="21" customHeight="1">
      <c r="A460" s="257"/>
      <c r="B460" s="257"/>
      <c r="C460" s="257"/>
      <c r="D460" s="257"/>
      <c r="E460" s="257"/>
      <c r="F460" s="257"/>
      <c r="G460" s="257"/>
      <c r="H460" s="257"/>
      <c r="I460" s="257"/>
      <c r="J460" s="257"/>
      <c r="K460" s="257"/>
      <c r="L460" s="257"/>
      <c r="M460" s="257"/>
      <c r="N460" s="257"/>
      <c r="O460" s="257"/>
      <c r="P460" s="257"/>
      <c r="Q460" s="257"/>
      <c r="R460" s="257"/>
      <c r="S460" s="257"/>
      <c r="T460" s="257"/>
      <c r="U460" s="257"/>
      <c r="V460" s="257"/>
      <c r="W460" s="257"/>
      <c r="X460" s="257"/>
      <c r="Y460" s="257"/>
      <c r="Z460" s="257"/>
    </row>
    <row r="461" spans="1:26" ht="21" customHeight="1">
      <c r="A461" s="257"/>
      <c r="B461" s="257"/>
      <c r="C461" s="257"/>
      <c r="D461" s="257"/>
      <c r="E461" s="257"/>
      <c r="F461" s="257"/>
      <c r="G461" s="257"/>
      <c r="H461" s="257"/>
      <c r="I461" s="257"/>
      <c r="J461" s="257"/>
      <c r="K461" s="257"/>
      <c r="L461" s="257"/>
      <c r="M461" s="257"/>
      <c r="N461" s="257"/>
      <c r="O461" s="257"/>
      <c r="P461" s="257"/>
      <c r="Q461" s="257"/>
      <c r="R461" s="257"/>
      <c r="S461" s="257"/>
      <c r="T461" s="257"/>
      <c r="U461" s="257"/>
      <c r="V461" s="257"/>
      <c r="W461" s="257"/>
      <c r="X461" s="257"/>
      <c r="Y461" s="257"/>
      <c r="Z461" s="257"/>
    </row>
    <row r="462" spans="1:26" ht="21" customHeight="1">
      <c r="A462" s="257"/>
      <c r="B462" s="257"/>
      <c r="C462" s="257"/>
      <c r="D462" s="257"/>
      <c r="E462" s="257"/>
      <c r="F462" s="257"/>
      <c r="G462" s="257"/>
      <c r="H462" s="257"/>
      <c r="I462" s="257"/>
      <c r="J462" s="257"/>
      <c r="K462" s="257"/>
      <c r="L462" s="257"/>
      <c r="M462" s="257"/>
      <c r="N462" s="257"/>
      <c r="O462" s="257"/>
      <c r="P462" s="257"/>
      <c r="Q462" s="257"/>
      <c r="R462" s="257"/>
      <c r="S462" s="257"/>
      <c r="T462" s="257"/>
      <c r="U462" s="257"/>
      <c r="V462" s="257"/>
      <c r="W462" s="257"/>
      <c r="X462" s="257"/>
      <c r="Y462" s="257"/>
      <c r="Z462" s="257"/>
    </row>
    <row r="463" spans="1:26" ht="21" customHeight="1">
      <c r="A463" s="257"/>
      <c r="B463" s="257"/>
      <c r="C463" s="257"/>
      <c r="D463" s="257"/>
      <c r="E463" s="257"/>
      <c r="F463" s="257"/>
      <c r="G463" s="257"/>
      <c r="H463" s="257"/>
      <c r="I463" s="257"/>
      <c r="J463" s="257"/>
      <c r="K463" s="257"/>
      <c r="L463" s="257"/>
      <c r="M463" s="257"/>
      <c r="N463" s="257"/>
      <c r="O463" s="257"/>
      <c r="P463" s="257"/>
      <c r="Q463" s="257"/>
      <c r="R463" s="257"/>
      <c r="S463" s="257"/>
      <c r="T463" s="257"/>
      <c r="U463" s="257"/>
      <c r="V463" s="257"/>
      <c r="W463" s="257"/>
      <c r="X463" s="257"/>
      <c r="Y463" s="257"/>
      <c r="Z463" s="257"/>
    </row>
    <row r="464" spans="1:26" ht="21" customHeight="1">
      <c r="A464" s="257"/>
      <c r="B464" s="257"/>
      <c r="C464" s="257"/>
      <c r="D464" s="257"/>
      <c r="E464" s="257"/>
      <c r="F464" s="257"/>
      <c r="G464" s="257"/>
      <c r="H464" s="257"/>
      <c r="I464" s="257"/>
      <c r="J464" s="257"/>
      <c r="K464" s="257"/>
      <c r="L464" s="257"/>
      <c r="M464" s="257"/>
      <c r="N464" s="257"/>
      <c r="O464" s="257"/>
      <c r="P464" s="257"/>
      <c r="Q464" s="257"/>
      <c r="R464" s="257"/>
      <c r="S464" s="257"/>
      <c r="T464" s="257"/>
      <c r="U464" s="257"/>
      <c r="V464" s="257"/>
      <c r="W464" s="257"/>
      <c r="X464" s="257"/>
      <c r="Y464" s="257"/>
      <c r="Z464" s="257"/>
    </row>
    <row r="465" spans="1:26" ht="21" customHeight="1">
      <c r="A465" s="257"/>
      <c r="B465" s="257"/>
      <c r="C465" s="257"/>
      <c r="D465" s="257"/>
      <c r="E465" s="257"/>
      <c r="F465" s="257"/>
      <c r="G465" s="257"/>
      <c r="H465" s="257"/>
      <c r="I465" s="257"/>
      <c r="J465" s="257"/>
      <c r="K465" s="257"/>
      <c r="L465" s="257"/>
      <c r="M465" s="257"/>
      <c r="N465" s="257"/>
      <c r="O465" s="257"/>
      <c r="P465" s="257"/>
      <c r="Q465" s="257"/>
      <c r="R465" s="257"/>
      <c r="S465" s="257"/>
      <c r="T465" s="257"/>
      <c r="U465" s="257"/>
      <c r="V465" s="257"/>
      <c r="W465" s="257"/>
      <c r="X465" s="257"/>
      <c r="Y465" s="257"/>
      <c r="Z465" s="257"/>
    </row>
    <row r="466" spans="1:26" ht="21" customHeight="1">
      <c r="A466" s="257"/>
      <c r="B466" s="257"/>
      <c r="C466" s="257"/>
      <c r="D466" s="257"/>
      <c r="E466" s="257"/>
      <c r="F466" s="257"/>
      <c r="G466" s="257"/>
      <c r="H466" s="257"/>
      <c r="I466" s="257"/>
      <c r="J466" s="257"/>
      <c r="K466" s="257"/>
      <c r="L466" s="257"/>
      <c r="M466" s="257"/>
      <c r="N466" s="257"/>
      <c r="O466" s="257"/>
      <c r="P466" s="257"/>
      <c r="Q466" s="257"/>
      <c r="R466" s="257"/>
      <c r="S466" s="257"/>
      <c r="T466" s="257"/>
      <c r="U466" s="257"/>
      <c r="V466" s="257"/>
      <c r="W466" s="257"/>
      <c r="X466" s="257"/>
      <c r="Y466" s="257"/>
      <c r="Z466" s="257"/>
    </row>
    <row r="467" spans="1:26" ht="21" customHeight="1">
      <c r="A467" s="257"/>
      <c r="B467" s="257"/>
      <c r="C467" s="257"/>
      <c r="D467" s="257"/>
      <c r="E467" s="257"/>
      <c r="F467" s="257"/>
      <c r="G467" s="257"/>
      <c r="H467" s="257"/>
      <c r="I467" s="257"/>
      <c r="J467" s="257"/>
      <c r="K467" s="257"/>
      <c r="L467" s="257"/>
      <c r="M467" s="257"/>
      <c r="N467" s="257"/>
      <c r="O467" s="257"/>
      <c r="P467" s="257"/>
      <c r="Q467" s="257"/>
      <c r="R467" s="257"/>
      <c r="S467" s="257"/>
      <c r="T467" s="257"/>
      <c r="U467" s="257"/>
      <c r="V467" s="257"/>
      <c r="W467" s="257"/>
      <c r="X467" s="257"/>
      <c r="Y467" s="257"/>
      <c r="Z467" s="257"/>
    </row>
    <row r="468" spans="1:26" ht="21" customHeight="1">
      <c r="A468" s="257"/>
      <c r="B468" s="257"/>
      <c r="C468" s="257"/>
      <c r="D468" s="257"/>
      <c r="E468" s="257"/>
      <c r="F468" s="257"/>
      <c r="G468" s="257"/>
      <c r="H468" s="257"/>
      <c r="I468" s="257"/>
      <c r="J468" s="257"/>
      <c r="K468" s="257"/>
      <c r="L468" s="257"/>
      <c r="M468" s="257"/>
      <c r="N468" s="257"/>
      <c r="O468" s="257"/>
      <c r="P468" s="257"/>
      <c r="Q468" s="257"/>
      <c r="R468" s="257"/>
      <c r="S468" s="257"/>
      <c r="T468" s="257"/>
      <c r="U468" s="257"/>
      <c r="V468" s="257"/>
      <c r="W468" s="257"/>
      <c r="X468" s="257"/>
      <c r="Y468" s="257"/>
      <c r="Z468" s="257"/>
    </row>
    <row r="469" spans="1:26" ht="21" customHeight="1">
      <c r="A469" s="257"/>
      <c r="B469" s="257"/>
      <c r="C469" s="257"/>
      <c r="D469" s="257"/>
      <c r="E469" s="257"/>
      <c r="F469" s="257"/>
      <c r="G469" s="257"/>
      <c r="H469" s="257"/>
      <c r="I469" s="257"/>
      <c r="J469" s="257"/>
      <c r="K469" s="257"/>
      <c r="L469" s="257"/>
      <c r="M469" s="257"/>
      <c r="N469" s="257"/>
      <c r="O469" s="257"/>
      <c r="P469" s="257"/>
      <c r="Q469" s="257"/>
      <c r="R469" s="257"/>
      <c r="S469" s="257"/>
      <c r="T469" s="257"/>
      <c r="U469" s="257"/>
      <c r="V469" s="257"/>
      <c r="W469" s="257"/>
      <c r="X469" s="257"/>
      <c r="Y469" s="257"/>
      <c r="Z469" s="257"/>
    </row>
    <row r="470" spans="1:26" ht="21" customHeight="1">
      <c r="A470" s="257"/>
      <c r="B470" s="257"/>
      <c r="C470" s="257"/>
      <c r="D470" s="257"/>
      <c r="E470" s="257"/>
      <c r="F470" s="257"/>
      <c r="G470" s="257"/>
      <c r="H470" s="257"/>
      <c r="I470" s="257"/>
      <c r="J470" s="257"/>
      <c r="K470" s="257"/>
      <c r="L470" s="257"/>
      <c r="M470" s="257"/>
      <c r="N470" s="257"/>
      <c r="O470" s="257"/>
      <c r="P470" s="257"/>
      <c r="Q470" s="257"/>
      <c r="R470" s="257"/>
      <c r="S470" s="257"/>
      <c r="T470" s="257"/>
      <c r="U470" s="257"/>
      <c r="V470" s="257"/>
      <c r="W470" s="257"/>
      <c r="X470" s="257"/>
      <c r="Y470" s="257"/>
      <c r="Z470" s="257"/>
    </row>
    <row r="471" spans="1:26" ht="21" customHeight="1">
      <c r="A471" s="257"/>
      <c r="B471" s="257"/>
      <c r="C471" s="257"/>
      <c r="D471" s="257"/>
      <c r="E471" s="257"/>
      <c r="F471" s="257"/>
      <c r="G471" s="257"/>
      <c r="H471" s="257"/>
      <c r="I471" s="257"/>
      <c r="J471" s="257"/>
      <c r="K471" s="257"/>
      <c r="L471" s="257"/>
      <c r="M471" s="257"/>
      <c r="N471" s="257"/>
      <c r="O471" s="257"/>
      <c r="P471" s="257"/>
      <c r="Q471" s="257"/>
      <c r="R471" s="257"/>
      <c r="S471" s="257"/>
      <c r="T471" s="257"/>
      <c r="U471" s="257"/>
      <c r="V471" s="257"/>
      <c r="W471" s="257"/>
      <c r="X471" s="257"/>
      <c r="Y471" s="257"/>
      <c r="Z471" s="257"/>
    </row>
    <row r="472" spans="1:26" ht="21" customHeight="1">
      <c r="A472" s="257"/>
      <c r="B472" s="257"/>
      <c r="C472" s="257"/>
      <c r="D472" s="257"/>
      <c r="E472" s="257"/>
      <c r="F472" s="257"/>
      <c r="G472" s="257"/>
      <c r="H472" s="257"/>
      <c r="I472" s="257"/>
      <c r="J472" s="257"/>
      <c r="K472" s="257"/>
      <c r="L472" s="257"/>
      <c r="M472" s="257"/>
      <c r="N472" s="257"/>
      <c r="O472" s="257"/>
      <c r="P472" s="257"/>
      <c r="Q472" s="257"/>
      <c r="R472" s="257"/>
      <c r="S472" s="257"/>
      <c r="T472" s="257"/>
      <c r="U472" s="257"/>
      <c r="V472" s="257"/>
      <c r="W472" s="257"/>
      <c r="X472" s="257"/>
      <c r="Y472" s="257"/>
      <c r="Z472" s="257"/>
    </row>
    <row r="473" spans="1:26" ht="21" customHeight="1">
      <c r="A473" s="257"/>
      <c r="B473" s="257"/>
      <c r="C473" s="257"/>
      <c r="D473" s="257"/>
      <c r="E473" s="257"/>
      <c r="F473" s="257"/>
      <c r="G473" s="257"/>
      <c r="H473" s="257"/>
      <c r="I473" s="257"/>
      <c r="J473" s="257"/>
      <c r="K473" s="257"/>
      <c r="L473" s="257"/>
      <c r="M473" s="257"/>
      <c r="N473" s="257"/>
      <c r="O473" s="257"/>
      <c r="P473" s="257"/>
      <c r="Q473" s="257"/>
      <c r="R473" s="257"/>
      <c r="S473" s="257"/>
      <c r="T473" s="257"/>
      <c r="U473" s="257"/>
      <c r="V473" s="257"/>
      <c r="W473" s="257"/>
      <c r="X473" s="257"/>
      <c r="Y473" s="257"/>
      <c r="Z473" s="257"/>
    </row>
    <row r="474" spans="1:26" ht="21" customHeight="1">
      <c r="A474" s="257"/>
      <c r="B474" s="257"/>
      <c r="C474" s="257"/>
      <c r="D474" s="257"/>
      <c r="E474" s="257"/>
      <c r="F474" s="257"/>
      <c r="G474" s="257"/>
      <c r="H474" s="257"/>
      <c r="I474" s="257"/>
      <c r="J474" s="257"/>
      <c r="K474" s="257"/>
      <c r="L474" s="257"/>
      <c r="M474" s="257"/>
      <c r="N474" s="257"/>
      <c r="O474" s="257"/>
      <c r="P474" s="257"/>
      <c r="Q474" s="257"/>
      <c r="R474" s="257"/>
      <c r="S474" s="257"/>
      <c r="T474" s="257"/>
      <c r="U474" s="257"/>
      <c r="V474" s="257"/>
      <c r="W474" s="257"/>
      <c r="X474" s="257"/>
      <c r="Y474" s="257"/>
      <c r="Z474" s="257"/>
    </row>
    <row r="475" spans="1:26" ht="21" customHeight="1">
      <c r="A475" s="257"/>
      <c r="B475" s="257"/>
      <c r="C475" s="257"/>
      <c r="D475" s="257"/>
      <c r="E475" s="257"/>
      <c r="F475" s="257"/>
      <c r="G475" s="257"/>
      <c r="H475" s="257"/>
      <c r="I475" s="257"/>
      <c r="J475" s="257"/>
      <c r="K475" s="257"/>
      <c r="L475" s="257"/>
      <c r="M475" s="257"/>
      <c r="N475" s="257"/>
      <c r="O475" s="257"/>
      <c r="P475" s="257"/>
      <c r="Q475" s="257"/>
      <c r="R475" s="257"/>
      <c r="S475" s="257"/>
      <c r="T475" s="257"/>
      <c r="U475" s="257"/>
      <c r="V475" s="257"/>
      <c r="W475" s="257"/>
      <c r="X475" s="257"/>
      <c r="Y475" s="257"/>
      <c r="Z475" s="257"/>
    </row>
    <row r="476" spans="1:26" ht="21" customHeight="1">
      <c r="A476" s="257"/>
      <c r="B476" s="257"/>
      <c r="C476" s="257"/>
      <c r="D476" s="257"/>
      <c r="E476" s="257"/>
      <c r="F476" s="257"/>
      <c r="G476" s="257"/>
      <c r="H476" s="257"/>
      <c r="I476" s="257"/>
      <c r="J476" s="257"/>
      <c r="K476" s="257"/>
      <c r="L476" s="257"/>
      <c r="M476" s="257"/>
      <c r="N476" s="257"/>
      <c r="O476" s="257"/>
      <c r="P476" s="257"/>
      <c r="Q476" s="257"/>
      <c r="R476" s="257"/>
      <c r="S476" s="257"/>
      <c r="T476" s="257"/>
      <c r="U476" s="257"/>
      <c r="V476" s="257"/>
      <c r="W476" s="257"/>
      <c r="X476" s="257"/>
      <c r="Y476" s="257"/>
      <c r="Z476" s="257"/>
    </row>
    <row r="477" spans="1:26" ht="21" customHeight="1">
      <c r="A477" s="257"/>
      <c r="B477" s="257"/>
      <c r="C477" s="257"/>
      <c r="D477" s="257"/>
      <c r="E477" s="257"/>
      <c r="F477" s="257"/>
      <c r="G477" s="257"/>
      <c r="H477" s="257"/>
      <c r="I477" s="257"/>
      <c r="J477" s="257"/>
      <c r="K477" s="257"/>
      <c r="L477" s="257"/>
      <c r="M477" s="257"/>
      <c r="N477" s="257"/>
      <c r="O477" s="257"/>
      <c r="P477" s="257"/>
      <c r="Q477" s="257"/>
      <c r="R477" s="257"/>
      <c r="S477" s="257"/>
      <c r="T477" s="257"/>
      <c r="U477" s="257"/>
      <c r="V477" s="257"/>
      <c r="W477" s="257"/>
      <c r="X477" s="257"/>
      <c r="Y477" s="257"/>
      <c r="Z477" s="257"/>
    </row>
    <row r="478" spans="1:26" ht="21" customHeight="1">
      <c r="A478" s="257"/>
      <c r="B478" s="257"/>
      <c r="C478" s="257"/>
      <c r="D478" s="257"/>
      <c r="E478" s="257"/>
      <c r="F478" s="257"/>
      <c r="G478" s="257"/>
      <c r="H478" s="257"/>
      <c r="I478" s="257"/>
      <c r="J478" s="257"/>
      <c r="K478" s="257"/>
      <c r="L478" s="257"/>
      <c r="M478" s="257"/>
      <c r="N478" s="257"/>
      <c r="O478" s="257"/>
      <c r="P478" s="257"/>
      <c r="Q478" s="257"/>
      <c r="R478" s="257"/>
      <c r="S478" s="257"/>
      <c r="T478" s="257"/>
      <c r="U478" s="257"/>
      <c r="V478" s="257"/>
      <c r="W478" s="257"/>
      <c r="X478" s="257"/>
      <c r="Y478" s="257"/>
      <c r="Z478" s="257"/>
    </row>
    <row r="479" spans="1:26" ht="21" customHeight="1">
      <c r="A479" s="257"/>
      <c r="B479" s="257"/>
      <c r="C479" s="257"/>
      <c r="D479" s="257"/>
      <c r="E479" s="257"/>
      <c r="F479" s="257"/>
      <c r="G479" s="257"/>
      <c r="H479" s="257"/>
      <c r="I479" s="257"/>
      <c r="J479" s="257"/>
      <c r="K479" s="257"/>
      <c r="L479" s="257"/>
      <c r="M479" s="257"/>
      <c r="N479" s="257"/>
      <c r="O479" s="257"/>
      <c r="P479" s="257"/>
      <c r="Q479" s="257"/>
      <c r="R479" s="257"/>
      <c r="S479" s="257"/>
      <c r="T479" s="257"/>
      <c r="U479" s="257"/>
      <c r="V479" s="257"/>
      <c r="W479" s="257"/>
      <c r="X479" s="257"/>
      <c r="Y479" s="257"/>
      <c r="Z479" s="257"/>
    </row>
    <row r="480" spans="1:26" ht="21" customHeight="1">
      <c r="A480" s="257"/>
      <c r="B480" s="257"/>
      <c r="C480" s="257"/>
      <c r="D480" s="257"/>
      <c r="E480" s="257"/>
      <c r="F480" s="257"/>
      <c r="G480" s="257"/>
      <c r="H480" s="257"/>
      <c r="I480" s="257"/>
      <c r="J480" s="257"/>
      <c r="K480" s="257"/>
      <c r="L480" s="257"/>
      <c r="M480" s="257"/>
      <c r="N480" s="257"/>
      <c r="O480" s="257"/>
      <c r="P480" s="257"/>
      <c r="Q480" s="257"/>
      <c r="R480" s="257"/>
      <c r="S480" s="257"/>
      <c r="T480" s="257"/>
      <c r="U480" s="257"/>
      <c r="V480" s="257"/>
      <c r="W480" s="257"/>
      <c r="X480" s="257"/>
      <c r="Y480" s="257"/>
      <c r="Z480" s="257"/>
    </row>
    <row r="481" spans="1:26" ht="21" customHeight="1">
      <c r="A481" s="257"/>
      <c r="B481" s="257"/>
      <c r="C481" s="257"/>
      <c r="D481" s="257"/>
      <c r="E481" s="257"/>
      <c r="F481" s="257"/>
      <c r="G481" s="257"/>
      <c r="H481" s="257"/>
      <c r="I481" s="257"/>
      <c r="J481" s="257"/>
      <c r="K481" s="257"/>
      <c r="L481" s="257"/>
      <c r="M481" s="257"/>
      <c r="N481" s="257"/>
      <c r="O481" s="257"/>
      <c r="P481" s="257"/>
      <c r="Q481" s="257"/>
      <c r="R481" s="257"/>
      <c r="S481" s="257"/>
      <c r="T481" s="257"/>
      <c r="U481" s="257"/>
      <c r="V481" s="257"/>
      <c r="W481" s="257"/>
      <c r="X481" s="257"/>
      <c r="Y481" s="257"/>
      <c r="Z481" s="257"/>
    </row>
    <row r="482" spans="1:26" ht="21" customHeight="1">
      <c r="A482" s="257"/>
      <c r="B482" s="257"/>
      <c r="C482" s="257"/>
      <c r="D482" s="257"/>
      <c r="E482" s="257"/>
      <c r="F482" s="257"/>
      <c r="G482" s="257"/>
      <c r="H482" s="257"/>
      <c r="I482" s="257"/>
      <c r="J482" s="257"/>
      <c r="K482" s="257"/>
      <c r="L482" s="257"/>
      <c r="M482" s="257"/>
      <c r="N482" s="257"/>
      <c r="O482" s="257"/>
      <c r="P482" s="257"/>
      <c r="Q482" s="257"/>
      <c r="R482" s="257"/>
      <c r="S482" s="257"/>
      <c r="T482" s="257"/>
      <c r="U482" s="257"/>
      <c r="V482" s="257"/>
      <c r="W482" s="257"/>
      <c r="X482" s="257"/>
      <c r="Y482" s="257"/>
      <c r="Z482" s="257"/>
    </row>
    <row r="483" spans="1:26" ht="21" customHeight="1">
      <c r="A483" s="257"/>
      <c r="B483" s="257"/>
      <c r="C483" s="257"/>
      <c r="D483" s="257"/>
      <c r="E483" s="257"/>
      <c r="F483" s="257"/>
      <c r="G483" s="257"/>
      <c r="H483" s="257"/>
      <c r="I483" s="257"/>
      <c r="J483" s="257"/>
      <c r="K483" s="257"/>
      <c r="L483" s="257"/>
      <c r="M483" s="257"/>
      <c r="N483" s="257"/>
      <c r="O483" s="257"/>
      <c r="P483" s="257"/>
      <c r="Q483" s="257"/>
      <c r="R483" s="257"/>
      <c r="S483" s="257"/>
      <c r="T483" s="257"/>
      <c r="U483" s="257"/>
      <c r="V483" s="257"/>
      <c r="W483" s="257"/>
      <c r="X483" s="257"/>
      <c r="Y483" s="257"/>
      <c r="Z483" s="257"/>
    </row>
    <row r="484" spans="1:26" ht="21" customHeight="1">
      <c r="A484" s="257"/>
      <c r="B484" s="257"/>
      <c r="C484" s="257"/>
      <c r="D484" s="257"/>
      <c r="E484" s="257"/>
      <c r="F484" s="257"/>
      <c r="G484" s="257"/>
      <c r="H484" s="257"/>
      <c r="I484" s="257"/>
      <c r="J484" s="257"/>
      <c r="K484" s="257"/>
      <c r="L484" s="257"/>
      <c r="M484" s="257"/>
      <c r="N484" s="257"/>
      <c r="O484" s="257"/>
      <c r="P484" s="257"/>
      <c r="Q484" s="257"/>
      <c r="R484" s="257"/>
      <c r="S484" s="257"/>
      <c r="T484" s="257"/>
      <c r="U484" s="257"/>
      <c r="V484" s="257"/>
      <c r="W484" s="257"/>
      <c r="X484" s="257"/>
      <c r="Y484" s="257"/>
      <c r="Z484" s="257"/>
    </row>
    <row r="485" spans="1:26" ht="21" customHeight="1">
      <c r="A485" s="257"/>
      <c r="B485" s="257"/>
      <c r="C485" s="257"/>
      <c r="D485" s="257"/>
      <c r="E485" s="257"/>
      <c r="F485" s="257"/>
      <c r="G485" s="257"/>
      <c r="H485" s="257"/>
      <c r="I485" s="257"/>
      <c r="J485" s="257"/>
      <c r="K485" s="257"/>
      <c r="L485" s="257"/>
      <c r="M485" s="257"/>
      <c r="N485" s="257"/>
      <c r="O485" s="257"/>
      <c r="P485" s="257"/>
      <c r="Q485" s="257"/>
      <c r="R485" s="257"/>
      <c r="S485" s="257"/>
      <c r="T485" s="257"/>
      <c r="U485" s="257"/>
      <c r="V485" s="257"/>
      <c r="W485" s="257"/>
      <c r="X485" s="257"/>
      <c r="Y485" s="257"/>
      <c r="Z485" s="257"/>
    </row>
    <row r="486" spans="1:26" ht="21" customHeight="1">
      <c r="A486" s="257"/>
      <c r="B486" s="257"/>
      <c r="C486" s="257"/>
      <c r="D486" s="257"/>
      <c r="E486" s="257"/>
      <c r="F486" s="257"/>
      <c r="G486" s="257"/>
      <c r="H486" s="257"/>
      <c r="I486" s="257"/>
      <c r="J486" s="257"/>
      <c r="K486" s="257"/>
      <c r="L486" s="257"/>
      <c r="M486" s="257"/>
      <c r="N486" s="257"/>
      <c r="O486" s="257"/>
      <c r="P486" s="257"/>
      <c r="Q486" s="257"/>
      <c r="R486" s="257"/>
      <c r="S486" s="257"/>
      <c r="T486" s="257"/>
      <c r="U486" s="257"/>
      <c r="V486" s="257"/>
      <c r="W486" s="257"/>
      <c r="X486" s="257"/>
      <c r="Y486" s="257"/>
      <c r="Z486" s="257"/>
    </row>
    <row r="487" spans="1:26" ht="21" customHeight="1">
      <c r="A487" s="257"/>
      <c r="B487" s="257"/>
      <c r="C487" s="257"/>
      <c r="D487" s="257"/>
      <c r="E487" s="257"/>
      <c r="F487" s="257"/>
      <c r="G487" s="257"/>
      <c r="H487" s="257"/>
      <c r="I487" s="257"/>
      <c r="J487" s="257"/>
      <c r="K487" s="257"/>
      <c r="L487" s="257"/>
      <c r="M487" s="257"/>
      <c r="N487" s="257"/>
      <c r="O487" s="257"/>
      <c r="P487" s="257"/>
      <c r="Q487" s="257"/>
      <c r="R487" s="257"/>
      <c r="S487" s="257"/>
      <c r="T487" s="257"/>
      <c r="U487" s="257"/>
      <c r="V487" s="257"/>
      <c r="W487" s="257"/>
      <c r="X487" s="257"/>
      <c r="Y487" s="257"/>
      <c r="Z487" s="257"/>
    </row>
    <row r="488" spans="1:26" ht="21" customHeight="1">
      <c r="A488" s="257"/>
      <c r="B488" s="257"/>
      <c r="C488" s="257"/>
      <c r="D488" s="257"/>
      <c r="E488" s="257"/>
      <c r="F488" s="257"/>
      <c r="G488" s="257"/>
      <c r="H488" s="257"/>
      <c r="I488" s="257"/>
      <c r="J488" s="257"/>
      <c r="K488" s="257"/>
      <c r="L488" s="257"/>
      <c r="M488" s="257"/>
      <c r="N488" s="257"/>
      <c r="O488" s="257"/>
      <c r="P488" s="257"/>
      <c r="Q488" s="257"/>
      <c r="R488" s="257"/>
      <c r="S488" s="257"/>
      <c r="T488" s="257"/>
      <c r="U488" s="257"/>
      <c r="V488" s="257"/>
      <c r="W488" s="257"/>
      <c r="X488" s="257"/>
      <c r="Y488" s="257"/>
      <c r="Z488" s="257"/>
    </row>
    <row r="489" spans="1:26" ht="21" customHeight="1">
      <c r="A489" s="257"/>
      <c r="B489" s="257"/>
      <c r="C489" s="257"/>
      <c r="D489" s="257"/>
      <c r="E489" s="257"/>
      <c r="F489" s="257"/>
      <c r="G489" s="257"/>
      <c r="H489" s="257"/>
      <c r="I489" s="257"/>
      <c r="J489" s="257"/>
      <c r="K489" s="257"/>
      <c r="L489" s="257"/>
      <c r="M489" s="257"/>
      <c r="N489" s="257"/>
      <c r="O489" s="257"/>
      <c r="P489" s="257"/>
      <c r="Q489" s="257"/>
      <c r="R489" s="257"/>
      <c r="S489" s="257"/>
      <c r="T489" s="257"/>
      <c r="U489" s="257"/>
      <c r="V489" s="257"/>
      <c r="W489" s="257"/>
      <c r="X489" s="257"/>
      <c r="Y489" s="257"/>
      <c r="Z489" s="257"/>
    </row>
    <row r="490" spans="1:26" ht="21" customHeight="1">
      <c r="A490" s="257"/>
      <c r="B490" s="257"/>
      <c r="C490" s="257"/>
      <c r="D490" s="257"/>
      <c r="E490" s="257"/>
      <c r="F490" s="257"/>
      <c r="G490" s="257"/>
      <c r="H490" s="257"/>
      <c r="I490" s="257"/>
      <c r="J490" s="257"/>
      <c r="K490" s="257"/>
      <c r="L490" s="257"/>
      <c r="M490" s="257"/>
      <c r="N490" s="257"/>
      <c r="O490" s="257"/>
      <c r="P490" s="257"/>
      <c r="Q490" s="257"/>
      <c r="R490" s="257"/>
      <c r="S490" s="257"/>
      <c r="T490" s="257"/>
      <c r="U490" s="257"/>
      <c r="V490" s="257"/>
      <c r="W490" s="257"/>
      <c r="X490" s="257"/>
      <c r="Y490" s="257"/>
      <c r="Z490" s="257"/>
    </row>
    <row r="491" spans="1:26" ht="21" customHeight="1">
      <c r="A491" s="257"/>
      <c r="B491" s="257"/>
      <c r="C491" s="257"/>
      <c r="D491" s="257"/>
      <c r="E491" s="257"/>
      <c r="F491" s="257"/>
      <c r="G491" s="257"/>
      <c r="H491" s="257"/>
      <c r="I491" s="257"/>
      <c r="J491" s="257"/>
      <c r="K491" s="257"/>
      <c r="L491" s="257"/>
      <c r="M491" s="257"/>
      <c r="N491" s="257"/>
      <c r="O491" s="257"/>
      <c r="P491" s="257"/>
      <c r="Q491" s="257"/>
      <c r="R491" s="257"/>
      <c r="S491" s="257"/>
      <c r="T491" s="257"/>
      <c r="U491" s="257"/>
      <c r="V491" s="257"/>
      <c r="W491" s="257"/>
      <c r="X491" s="257"/>
      <c r="Y491" s="257"/>
      <c r="Z491" s="257"/>
    </row>
    <row r="492" spans="1:26" ht="21" customHeight="1">
      <c r="A492" s="257"/>
      <c r="B492" s="257"/>
      <c r="C492" s="257"/>
      <c r="D492" s="257"/>
      <c r="E492" s="257"/>
      <c r="F492" s="257"/>
      <c r="G492" s="257"/>
      <c r="H492" s="257"/>
      <c r="I492" s="257"/>
      <c r="J492" s="257"/>
      <c r="K492" s="257"/>
      <c r="L492" s="257"/>
      <c r="M492" s="257"/>
      <c r="N492" s="257"/>
      <c r="O492" s="257"/>
      <c r="P492" s="257"/>
      <c r="Q492" s="257"/>
      <c r="R492" s="257"/>
      <c r="S492" s="257"/>
      <c r="T492" s="257"/>
      <c r="U492" s="257"/>
      <c r="V492" s="257"/>
      <c r="W492" s="257"/>
      <c r="X492" s="257"/>
      <c r="Y492" s="257"/>
      <c r="Z492" s="257"/>
    </row>
    <row r="493" spans="1:26" ht="21" customHeight="1">
      <c r="A493" s="257"/>
      <c r="B493" s="257"/>
      <c r="C493" s="257"/>
      <c r="D493" s="257"/>
      <c r="E493" s="257"/>
      <c r="F493" s="257"/>
      <c r="G493" s="257"/>
      <c r="H493" s="257"/>
      <c r="I493" s="257"/>
      <c r="J493" s="257"/>
      <c r="K493" s="257"/>
      <c r="L493" s="257"/>
      <c r="M493" s="257"/>
      <c r="N493" s="257"/>
      <c r="O493" s="257"/>
      <c r="P493" s="257"/>
      <c r="Q493" s="257"/>
      <c r="R493" s="257"/>
      <c r="S493" s="257"/>
      <c r="T493" s="257"/>
      <c r="U493" s="257"/>
      <c r="V493" s="257"/>
      <c r="W493" s="257"/>
      <c r="X493" s="257"/>
      <c r="Y493" s="257"/>
      <c r="Z493" s="257"/>
    </row>
    <row r="494" spans="1:26" ht="21" customHeight="1">
      <c r="A494" s="257"/>
      <c r="B494" s="257"/>
      <c r="C494" s="257"/>
      <c r="D494" s="257"/>
      <c r="E494" s="257"/>
      <c r="F494" s="257"/>
      <c r="G494" s="257"/>
      <c r="H494" s="257"/>
      <c r="I494" s="257"/>
      <c r="J494" s="257"/>
      <c r="K494" s="257"/>
      <c r="L494" s="257"/>
      <c r="M494" s="257"/>
      <c r="N494" s="257"/>
      <c r="O494" s="257"/>
      <c r="P494" s="257"/>
      <c r="Q494" s="257"/>
      <c r="R494" s="257"/>
      <c r="S494" s="257"/>
      <c r="T494" s="257"/>
      <c r="U494" s="257"/>
      <c r="V494" s="257"/>
      <c r="W494" s="257"/>
      <c r="X494" s="257"/>
      <c r="Y494" s="257"/>
      <c r="Z494" s="257"/>
    </row>
    <row r="495" spans="1:26" ht="21" customHeight="1">
      <c r="A495" s="257"/>
      <c r="B495" s="257"/>
      <c r="C495" s="257"/>
      <c r="D495" s="257"/>
      <c r="E495" s="257"/>
      <c r="F495" s="257"/>
      <c r="G495" s="257"/>
      <c r="H495" s="257"/>
      <c r="I495" s="257"/>
      <c r="J495" s="257"/>
      <c r="K495" s="257"/>
      <c r="L495" s="257"/>
      <c r="M495" s="257"/>
      <c r="N495" s="257"/>
      <c r="O495" s="257"/>
      <c r="P495" s="257"/>
      <c r="Q495" s="257"/>
      <c r="R495" s="257"/>
      <c r="S495" s="257"/>
      <c r="T495" s="257"/>
      <c r="U495" s="257"/>
      <c r="V495" s="257"/>
      <c r="W495" s="257"/>
      <c r="X495" s="257"/>
      <c r="Y495" s="257"/>
      <c r="Z495" s="257"/>
    </row>
    <row r="496" spans="1:26" ht="21" customHeight="1">
      <c r="A496" s="257"/>
      <c r="B496" s="257"/>
      <c r="C496" s="257"/>
      <c r="D496" s="257"/>
      <c r="E496" s="257"/>
      <c r="F496" s="257"/>
      <c r="G496" s="257"/>
      <c r="H496" s="257"/>
      <c r="I496" s="257"/>
      <c r="J496" s="257"/>
      <c r="K496" s="257"/>
      <c r="L496" s="257"/>
      <c r="M496" s="257"/>
      <c r="N496" s="257"/>
      <c r="O496" s="257"/>
      <c r="P496" s="257"/>
      <c r="Q496" s="257"/>
      <c r="R496" s="257"/>
      <c r="S496" s="257"/>
      <c r="T496" s="257"/>
      <c r="U496" s="257"/>
      <c r="V496" s="257"/>
      <c r="W496" s="257"/>
      <c r="X496" s="257"/>
      <c r="Y496" s="257"/>
      <c r="Z496" s="257"/>
    </row>
    <row r="497" spans="1:26" ht="21" customHeight="1">
      <c r="A497" s="257"/>
      <c r="B497" s="257"/>
      <c r="C497" s="257"/>
      <c r="D497" s="257"/>
      <c r="E497" s="257"/>
      <c r="F497" s="257"/>
      <c r="G497" s="257"/>
      <c r="H497" s="257"/>
      <c r="I497" s="257"/>
      <c r="J497" s="257"/>
      <c r="K497" s="257"/>
      <c r="L497" s="257"/>
      <c r="M497" s="257"/>
      <c r="N497" s="257"/>
      <c r="O497" s="257"/>
      <c r="P497" s="257"/>
      <c r="Q497" s="257"/>
      <c r="R497" s="257"/>
      <c r="S497" s="257"/>
      <c r="T497" s="257"/>
      <c r="U497" s="257"/>
      <c r="V497" s="257"/>
      <c r="W497" s="257"/>
      <c r="X497" s="257"/>
      <c r="Y497" s="257"/>
      <c r="Z497" s="257"/>
    </row>
    <row r="498" spans="1:26" ht="21" customHeight="1">
      <c r="A498" s="257"/>
      <c r="B498" s="257"/>
      <c r="C498" s="257"/>
      <c r="D498" s="257"/>
      <c r="E498" s="257"/>
      <c r="F498" s="257"/>
      <c r="G498" s="257"/>
      <c r="H498" s="257"/>
      <c r="I498" s="257"/>
      <c r="J498" s="257"/>
      <c r="K498" s="257"/>
      <c r="L498" s="257"/>
      <c r="M498" s="257"/>
      <c r="N498" s="257"/>
      <c r="O498" s="257"/>
      <c r="P498" s="257"/>
      <c r="Q498" s="257"/>
      <c r="R498" s="257"/>
      <c r="S498" s="257"/>
      <c r="T498" s="257"/>
      <c r="U498" s="257"/>
      <c r="V498" s="257"/>
      <c r="W498" s="257"/>
      <c r="X498" s="257"/>
      <c r="Y498" s="257"/>
      <c r="Z498" s="257"/>
    </row>
    <row r="499" spans="1:26" ht="21" customHeight="1">
      <c r="A499" s="257"/>
      <c r="B499" s="257"/>
      <c r="C499" s="257"/>
      <c r="D499" s="257"/>
      <c r="E499" s="257"/>
      <c r="F499" s="257"/>
      <c r="G499" s="257"/>
      <c r="H499" s="257"/>
      <c r="I499" s="257"/>
      <c r="J499" s="257"/>
      <c r="K499" s="257"/>
      <c r="L499" s="257"/>
      <c r="M499" s="257"/>
      <c r="N499" s="257"/>
      <c r="O499" s="257"/>
      <c r="P499" s="257"/>
      <c r="Q499" s="257"/>
      <c r="R499" s="257"/>
      <c r="S499" s="257"/>
      <c r="T499" s="257"/>
      <c r="U499" s="257"/>
      <c r="V499" s="257"/>
      <c r="W499" s="257"/>
      <c r="X499" s="257"/>
      <c r="Y499" s="257"/>
      <c r="Z499" s="257"/>
    </row>
    <row r="500" spans="1:26" ht="21" customHeight="1">
      <c r="A500" s="257"/>
      <c r="B500" s="257"/>
      <c r="C500" s="257"/>
      <c r="D500" s="257"/>
      <c r="E500" s="257"/>
      <c r="F500" s="257"/>
      <c r="G500" s="257"/>
      <c r="H500" s="257"/>
      <c r="I500" s="257"/>
      <c r="J500" s="257"/>
      <c r="K500" s="257"/>
      <c r="L500" s="257"/>
      <c r="M500" s="257"/>
      <c r="N500" s="257"/>
      <c r="O500" s="257"/>
      <c r="P500" s="257"/>
      <c r="Q500" s="257"/>
      <c r="R500" s="257"/>
      <c r="S500" s="257"/>
      <c r="T500" s="257"/>
      <c r="U500" s="257"/>
      <c r="V500" s="257"/>
      <c r="W500" s="257"/>
      <c r="X500" s="257"/>
      <c r="Y500" s="257"/>
      <c r="Z500" s="257"/>
    </row>
    <row r="501" spans="1:26" ht="21" customHeight="1">
      <c r="A501" s="257"/>
      <c r="B501" s="257"/>
      <c r="C501" s="257"/>
      <c r="D501" s="257"/>
      <c r="E501" s="257"/>
      <c r="F501" s="257"/>
      <c r="G501" s="257"/>
      <c r="H501" s="257"/>
      <c r="I501" s="257"/>
      <c r="J501" s="257"/>
      <c r="K501" s="257"/>
      <c r="L501" s="257"/>
      <c r="M501" s="257"/>
      <c r="N501" s="257"/>
      <c r="O501" s="257"/>
      <c r="P501" s="257"/>
      <c r="Q501" s="257"/>
      <c r="R501" s="257"/>
      <c r="S501" s="257"/>
      <c r="T501" s="257"/>
      <c r="U501" s="257"/>
      <c r="V501" s="257"/>
      <c r="W501" s="257"/>
      <c r="X501" s="257"/>
      <c r="Y501" s="257"/>
      <c r="Z501" s="257"/>
    </row>
    <row r="502" spans="1:26" ht="21" customHeight="1">
      <c r="A502" s="257"/>
      <c r="B502" s="257"/>
      <c r="C502" s="257"/>
      <c r="D502" s="257"/>
      <c r="E502" s="257"/>
      <c r="F502" s="257"/>
      <c r="G502" s="257"/>
      <c r="H502" s="257"/>
      <c r="I502" s="257"/>
      <c r="J502" s="257"/>
      <c r="K502" s="257"/>
      <c r="L502" s="257"/>
      <c r="M502" s="257"/>
      <c r="N502" s="257"/>
      <c r="O502" s="257"/>
      <c r="P502" s="257"/>
      <c r="Q502" s="257"/>
      <c r="R502" s="257"/>
      <c r="S502" s="257"/>
      <c r="T502" s="257"/>
      <c r="U502" s="257"/>
      <c r="V502" s="257"/>
      <c r="W502" s="257"/>
      <c r="X502" s="257"/>
      <c r="Y502" s="257"/>
      <c r="Z502" s="257"/>
    </row>
    <row r="503" spans="1:26" ht="21" customHeight="1">
      <c r="A503" s="257"/>
      <c r="B503" s="257"/>
      <c r="C503" s="257"/>
      <c r="D503" s="257"/>
      <c r="E503" s="257"/>
      <c r="F503" s="257"/>
      <c r="G503" s="257"/>
      <c r="H503" s="257"/>
      <c r="I503" s="257"/>
      <c r="J503" s="257"/>
      <c r="K503" s="257"/>
      <c r="L503" s="257"/>
      <c r="M503" s="257"/>
      <c r="N503" s="257"/>
      <c r="O503" s="257"/>
      <c r="P503" s="257"/>
      <c r="Q503" s="257"/>
      <c r="R503" s="257"/>
      <c r="S503" s="257"/>
      <c r="T503" s="257"/>
      <c r="U503" s="257"/>
      <c r="V503" s="257"/>
      <c r="W503" s="257"/>
      <c r="X503" s="257"/>
      <c r="Y503" s="257"/>
      <c r="Z503" s="257"/>
    </row>
    <row r="504" spans="1:26" ht="21" customHeight="1">
      <c r="A504" s="257"/>
      <c r="B504" s="257"/>
      <c r="C504" s="257"/>
      <c r="D504" s="257"/>
      <c r="E504" s="257"/>
      <c r="F504" s="257"/>
      <c r="G504" s="257"/>
      <c r="H504" s="257"/>
      <c r="I504" s="257"/>
      <c r="J504" s="257"/>
      <c r="K504" s="257"/>
      <c r="L504" s="257"/>
      <c r="M504" s="257"/>
      <c r="N504" s="257"/>
      <c r="O504" s="257"/>
      <c r="P504" s="257"/>
      <c r="Q504" s="257"/>
      <c r="R504" s="257"/>
      <c r="S504" s="257"/>
      <c r="T504" s="257"/>
      <c r="U504" s="257"/>
      <c r="V504" s="257"/>
      <c r="W504" s="257"/>
      <c r="X504" s="257"/>
      <c r="Y504" s="257"/>
      <c r="Z504" s="257"/>
    </row>
    <row r="505" spans="1:26" ht="21" customHeight="1">
      <c r="A505" s="257"/>
      <c r="B505" s="257"/>
      <c r="C505" s="257"/>
      <c r="D505" s="257"/>
      <c r="E505" s="257"/>
      <c r="F505" s="257"/>
      <c r="G505" s="257"/>
      <c r="H505" s="257"/>
      <c r="I505" s="257"/>
      <c r="J505" s="257"/>
      <c r="K505" s="257"/>
      <c r="L505" s="257"/>
      <c r="M505" s="257"/>
      <c r="N505" s="257"/>
      <c r="O505" s="257"/>
      <c r="P505" s="257"/>
      <c r="Q505" s="257"/>
      <c r="R505" s="257"/>
      <c r="S505" s="257"/>
      <c r="T505" s="257"/>
      <c r="U505" s="257"/>
      <c r="V505" s="257"/>
      <c r="W505" s="257"/>
      <c r="X505" s="257"/>
      <c r="Y505" s="257"/>
      <c r="Z505" s="257"/>
    </row>
    <row r="506" spans="1:26" ht="21" customHeight="1">
      <c r="A506" s="257"/>
      <c r="B506" s="257"/>
      <c r="C506" s="257"/>
      <c r="D506" s="257"/>
      <c r="E506" s="257"/>
      <c r="F506" s="257"/>
      <c r="G506" s="257"/>
      <c r="H506" s="257"/>
      <c r="I506" s="257"/>
      <c r="J506" s="257"/>
      <c r="K506" s="257"/>
      <c r="L506" s="257"/>
      <c r="M506" s="257"/>
      <c r="N506" s="257"/>
      <c r="O506" s="257"/>
      <c r="P506" s="257"/>
      <c r="Q506" s="257"/>
      <c r="R506" s="257"/>
      <c r="S506" s="257"/>
      <c r="T506" s="257"/>
      <c r="U506" s="257"/>
      <c r="V506" s="257"/>
      <c r="W506" s="257"/>
      <c r="X506" s="257"/>
      <c r="Y506" s="257"/>
      <c r="Z506" s="257"/>
    </row>
    <row r="507" spans="1:26" ht="21" customHeight="1">
      <c r="A507" s="257"/>
      <c r="B507" s="257"/>
      <c r="C507" s="257"/>
      <c r="D507" s="257"/>
      <c r="E507" s="257"/>
      <c r="F507" s="257"/>
      <c r="G507" s="257"/>
      <c r="H507" s="257"/>
      <c r="I507" s="257"/>
      <c r="J507" s="257"/>
      <c r="K507" s="257"/>
      <c r="L507" s="257"/>
      <c r="M507" s="257"/>
      <c r="N507" s="257"/>
      <c r="O507" s="257"/>
      <c r="P507" s="257"/>
      <c r="Q507" s="257"/>
      <c r="R507" s="257"/>
      <c r="S507" s="257"/>
      <c r="T507" s="257"/>
      <c r="U507" s="257"/>
      <c r="V507" s="257"/>
      <c r="W507" s="257"/>
      <c r="X507" s="257"/>
      <c r="Y507" s="257"/>
      <c r="Z507" s="257"/>
    </row>
    <row r="508" spans="1:26" ht="21" customHeight="1">
      <c r="A508" s="257"/>
      <c r="B508" s="257"/>
      <c r="C508" s="257"/>
      <c r="D508" s="257"/>
      <c r="E508" s="257"/>
      <c r="F508" s="257"/>
      <c r="G508" s="257"/>
      <c r="H508" s="257"/>
      <c r="I508" s="257"/>
      <c r="J508" s="257"/>
      <c r="K508" s="257"/>
      <c r="L508" s="257"/>
      <c r="M508" s="257"/>
      <c r="N508" s="257"/>
      <c r="O508" s="257"/>
      <c r="P508" s="257"/>
      <c r="Q508" s="257"/>
      <c r="R508" s="257"/>
      <c r="S508" s="257"/>
      <c r="T508" s="257"/>
      <c r="U508" s="257"/>
      <c r="V508" s="257"/>
      <c r="W508" s="257"/>
      <c r="X508" s="257"/>
      <c r="Y508" s="257"/>
      <c r="Z508" s="257"/>
    </row>
    <row r="509" spans="1:26" ht="21" customHeight="1">
      <c r="A509" s="257"/>
      <c r="B509" s="257"/>
      <c r="C509" s="257"/>
      <c r="D509" s="257"/>
      <c r="E509" s="257"/>
      <c r="F509" s="257"/>
      <c r="G509" s="257"/>
      <c r="H509" s="257"/>
      <c r="I509" s="257"/>
      <c r="J509" s="257"/>
      <c r="K509" s="257"/>
      <c r="L509" s="257"/>
      <c r="M509" s="257"/>
      <c r="N509" s="257"/>
      <c r="O509" s="257"/>
      <c r="P509" s="257"/>
      <c r="Q509" s="257"/>
      <c r="R509" s="257"/>
      <c r="S509" s="257"/>
      <c r="T509" s="257"/>
      <c r="U509" s="257"/>
      <c r="V509" s="257"/>
      <c r="W509" s="257"/>
      <c r="X509" s="257"/>
      <c r="Y509" s="257"/>
      <c r="Z509" s="257"/>
    </row>
    <row r="510" spans="1:26" ht="21" customHeight="1">
      <c r="A510" s="257"/>
      <c r="B510" s="257"/>
      <c r="C510" s="257"/>
      <c r="D510" s="257"/>
      <c r="E510" s="257"/>
      <c r="F510" s="257"/>
      <c r="G510" s="257"/>
      <c r="H510" s="257"/>
      <c r="I510" s="257"/>
      <c r="J510" s="257"/>
      <c r="K510" s="257"/>
      <c r="L510" s="257"/>
      <c r="M510" s="257"/>
      <c r="N510" s="257"/>
      <c r="O510" s="257"/>
      <c r="P510" s="257"/>
      <c r="Q510" s="257"/>
      <c r="R510" s="257"/>
      <c r="S510" s="257"/>
      <c r="T510" s="257"/>
      <c r="U510" s="257"/>
      <c r="V510" s="257"/>
      <c r="W510" s="257"/>
      <c r="X510" s="257"/>
      <c r="Y510" s="257"/>
      <c r="Z510" s="257"/>
    </row>
    <row r="511" spans="1:26" ht="21" customHeight="1">
      <c r="A511" s="257"/>
      <c r="B511" s="257"/>
      <c r="C511" s="257"/>
      <c r="D511" s="257"/>
      <c r="E511" s="257"/>
      <c r="F511" s="257"/>
      <c r="G511" s="257"/>
      <c r="H511" s="257"/>
      <c r="I511" s="257"/>
      <c r="J511" s="257"/>
      <c r="K511" s="257"/>
      <c r="L511" s="257"/>
      <c r="M511" s="257"/>
      <c r="N511" s="257"/>
      <c r="O511" s="257"/>
      <c r="P511" s="257"/>
      <c r="Q511" s="257"/>
      <c r="R511" s="257"/>
      <c r="S511" s="257"/>
      <c r="T511" s="257"/>
      <c r="U511" s="257"/>
      <c r="V511" s="257"/>
      <c r="W511" s="257"/>
      <c r="X511" s="257"/>
      <c r="Y511" s="257"/>
      <c r="Z511" s="257"/>
    </row>
    <row r="512" spans="1:26" ht="21" customHeight="1">
      <c r="A512" s="257"/>
      <c r="B512" s="257"/>
      <c r="C512" s="257"/>
      <c r="D512" s="257"/>
      <c r="E512" s="257"/>
      <c r="F512" s="257"/>
      <c r="G512" s="257"/>
      <c r="H512" s="257"/>
      <c r="I512" s="257"/>
      <c r="J512" s="257"/>
      <c r="K512" s="257"/>
      <c r="L512" s="257"/>
      <c r="M512" s="257"/>
      <c r="N512" s="257"/>
      <c r="O512" s="257"/>
      <c r="P512" s="257"/>
      <c r="Q512" s="257"/>
      <c r="R512" s="257"/>
      <c r="S512" s="257"/>
      <c r="T512" s="257"/>
      <c r="U512" s="257"/>
      <c r="V512" s="257"/>
      <c r="W512" s="257"/>
      <c r="X512" s="257"/>
      <c r="Y512" s="257"/>
      <c r="Z512" s="257"/>
    </row>
    <row r="513" spans="1:26" ht="21" customHeight="1">
      <c r="A513" s="257"/>
      <c r="B513" s="257"/>
      <c r="C513" s="257"/>
      <c r="D513" s="257"/>
      <c r="E513" s="257"/>
      <c r="F513" s="257"/>
      <c r="G513" s="257"/>
      <c r="H513" s="257"/>
      <c r="I513" s="257"/>
      <c r="J513" s="257"/>
      <c r="K513" s="257"/>
      <c r="L513" s="257"/>
      <c r="M513" s="257"/>
      <c r="N513" s="257"/>
      <c r="O513" s="257"/>
      <c r="P513" s="257"/>
      <c r="Q513" s="257"/>
      <c r="R513" s="257"/>
      <c r="S513" s="257"/>
      <c r="T513" s="257"/>
      <c r="U513" s="257"/>
      <c r="V513" s="257"/>
      <c r="W513" s="257"/>
      <c r="X513" s="257"/>
      <c r="Y513" s="257"/>
      <c r="Z513" s="257"/>
    </row>
    <row r="514" spans="1:26" ht="21" customHeight="1">
      <c r="A514" s="257"/>
      <c r="B514" s="257"/>
      <c r="C514" s="257"/>
      <c r="D514" s="257"/>
      <c r="E514" s="257"/>
      <c r="F514" s="257"/>
      <c r="G514" s="257"/>
      <c r="H514" s="257"/>
      <c r="I514" s="257"/>
      <c r="J514" s="257"/>
      <c r="K514" s="257"/>
      <c r="L514" s="257"/>
      <c r="M514" s="257"/>
      <c r="N514" s="257"/>
      <c r="O514" s="257"/>
      <c r="P514" s="257"/>
      <c r="Q514" s="257"/>
      <c r="R514" s="257"/>
      <c r="S514" s="257"/>
      <c r="T514" s="257"/>
      <c r="U514" s="257"/>
      <c r="V514" s="257"/>
      <c r="W514" s="257"/>
      <c r="X514" s="257"/>
      <c r="Y514" s="257"/>
      <c r="Z514" s="257"/>
    </row>
    <row r="515" spans="1:26" ht="21" customHeight="1">
      <c r="A515" s="257"/>
      <c r="B515" s="257"/>
      <c r="C515" s="257"/>
      <c r="D515" s="257"/>
      <c r="E515" s="257"/>
      <c r="F515" s="257"/>
      <c r="G515" s="257"/>
      <c r="H515" s="257"/>
      <c r="I515" s="257"/>
      <c r="J515" s="257"/>
      <c r="K515" s="257"/>
      <c r="L515" s="257"/>
      <c r="M515" s="257"/>
      <c r="N515" s="257"/>
      <c r="O515" s="257"/>
      <c r="P515" s="257"/>
      <c r="Q515" s="257"/>
      <c r="R515" s="257"/>
      <c r="S515" s="257"/>
      <c r="T515" s="257"/>
      <c r="U515" s="257"/>
      <c r="V515" s="257"/>
      <c r="W515" s="257"/>
      <c r="X515" s="257"/>
      <c r="Y515" s="257"/>
      <c r="Z515" s="257"/>
    </row>
    <row r="516" spans="1:26" ht="21" customHeight="1">
      <c r="A516" s="257"/>
      <c r="B516" s="257"/>
      <c r="C516" s="257"/>
      <c r="D516" s="257"/>
      <c r="E516" s="257"/>
      <c r="F516" s="257"/>
      <c r="G516" s="257"/>
      <c r="H516" s="257"/>
      <c r="I516" s="257"/>
      <c r="J516" s="257"/>
      <c r="K516" s="257"/>
      <c r="L516" s="257"/>
      <c r="M516" s="257"/>
      <c r="N516" s="257"/>
      <c r="O516" s="257"/>
      <c r="P516" s="257"/>
      <c r="Q516" s="257"/>
      <c r="R516" s="257"/>
      <c r="S516" s="257"/>
      <c r="T516" s="257"/>
      <c r="U516" s="257"/>
      <c r="V516" s="257"/>
      <c r="W516" s="257"/>
      <c r="X516" s="257"/>
      <c r="Y516" s="257"/>
      <c r="Z516" s="257"/>
    </row>
    <row r="517" spans="1:26" ht="21" customHeight="1">
      <c r="A517" s="257"/>
      <c r="B517" s="257"/>
      <c r="C517" s="257"/>
      <c r="D517" s="257"/>
      <c r="E517" s="257"/>
      <c r="F517" s="257"/>
      <c r="G517" s="257"/>
      <c r="H517" s="257"/>
      <c r="I517" s="257"/>
      <c r="J517" s="257"/>
      <c r="K517" s="257"/>
      <c r="L517" s="257"/>
      <c r="M517" s="257"/>
      <c r="N517" s="257"/>
      <c r="O517" s="257"/>
      <c r="P517" s="257"/>
      <c r="Q517" s="257"/>
      <c r="R517" s="257"/>
      <c r="S517" s="257"/>
      <c r="T517" s="257"/>
      <c r="U517" s="257"/>
      <c r="V517" s="257"/>
      <c r="W517" s="257"/>
      <c r="X517" s="257"/>
      <c r="Y517" s="257"/>
      <c r="Z517" s="257"/>
    </row>
    <row r="518" spans="1:26" ht="21" customHeight="1">
      <c r="A518" s="257"/>
      <c r="B518" s="257"/>
      <c r="C518" s="257"/>
      <c r="D518" s="257"/>
      <c r="E518" s="257"/>
      <c r="F518" s="257"/>
      <c r="G518" s="257"/>
      <c r="H518" s="257"/>
      <c r="I518" s="257"/>
      <c r="J518" s="257"/>
      <c r="K518" s="257"/>
      <c r="L518" s="257"/>
      <c r="M518" s="257"/>
      <c r="N518" s="257"/>
      <c r="O518" s="257"/>
      <c r="P518" s="257"/>
      <c r="Q518" s="257"/>
      <c r="R518" s="257"/>
      <c r="S518" s="257"/>
      <c r="T518" s="257"/>
      <c r="U518" s="257"/>
      <c r="V518" s="257"/>
      <c r="W518" s="257"/>
      <c r="X518" s="257"/>
      <c r="Y518" s="257"/>
      <c r="Z518" s="257"/>
    </row>
    <row r="519" spans="1:26" ht="21" customHeight="1">
      <c r="A519" s="257"/>
      <c r="B519" s="257"/>
      <c r="C519" s="257"/>
      <c r="D519" s="257"/>
      <c r="E519" s="257"/>
      <c r="F519" s="257"/>
      <c r="G519" s="257"/>
      <c r="H519" s="257"/>
      <c r="I519" s="257"/>
      <c r="J519" s="257"/>
      <c r="K519" s="257"/>
      <c r="L519" s="257"/>
      <c r="M519" s="257"/>
      <c r="N519" s="257"/>
      <c r="O519" s="257"/>
      <c r="P519" s="257"/>
      <c r="Q519" s="257"/>
      <c r="R519" s="257"/>
      <c r="S519" s="257"/>
      <c r="T519" s="257"/>
      <c r="U519" s="257"/>
      <c r="V519" s="257"/>
      <c r="W519" s="257"/>
      <c r="X519" s="257"/>
      <c r="Y519" s="257"/>
      <c r="Z519" s="257"/>
    </row>
    <row r="520" spans="1:26" ht="21" customHeight="1">
      <c r="A520" s="257"/>
      <c r="B520" s="257"/>
      <c r="C520" s="257"/>
      <c r="D520" s="257"/>
      <c r="E520" s="257"/>
      <c r="F520" s="257"/>
      <c r="G520" s="257"/>
      <c r="H520" s="257"/>
      <c r="I520" s="257"/>
      <c r="J520" s="257"/>
      <c r="K520" s="257"/>
      <c r="L520" s="257"/>
      <c r="M520" s="257"/>
      <c r="N520" s="257"/>
      <c r="O520" s="257"/>
      <c r="P520" s="257"/>
      <c r="Q520" s="257"/>
      <c r="R520" s="257"/>
      <c r="S520" s="257"/>
      <c r="T520" s="257"/>
      <c r="U520" s="257"/>
      <c r="V520" s="257"/>
      <c r="W520" s="257"/>
      <c r="X520" s="257"/>
      <c r="Y520" s="257"/>
      <c r="Z520" s="257"/>
    </row>
    <row r="521" spans="1:26" ht="21" customHeight="1">
      <c r="A521" s="257"/>
      <c r="B521" s="257"/>
      <c r="C521" s="257"/>
      <c r="D521" s="257"/>
      <c r="E521" s="257"/>
      <c r="F521" s="257"/>
      <c r="G521" s="257"/>
      <c r="H521" s="257"/>
      <c r="I521" s="257"/>
      <c r="J521" s="257"/>
      <c r="K521" s="257"/>
      <c r="L521" s="257"/>
      <c r="M521" s="257"/>
      <c r="N521" s="257"/>
      <c r="O521" s="257"/>
      <c r="P521" s="257"/>
      <c r="Q521" s="257"/>
      <c r="R521" s="257"/>
      <c r="S521" s="257"/>
      <c r="T521" s="257"/>
      <c r="U521" s="257"/>
      <c r="V521" s="257"/>
      <c r="W521" s="257"/>
      <c r="X521" s="257"/>
      <c r="Y521" s="257"/>
      <c r="Z521" s="257"/>
    </row>
    <row r="522" spans="1:26" ht="21" customHeight="1">
      <c r="A522" s="257"/>
      <c r="B522" s="257"/>
      <c r="C522" s="257"/>
      <c r="D522" s="257"/>
      <c r="E522" s="257"/>
      <c r="F522" s="257"/>
      <c r="G522" s="257"/>
      <c r="H522" s="257"/>
      <c r="I522" s="257"/>
      <c r="J522" s="257"/>
      <c r="K522" s="257"/>
      <c r="L522" s="257"/>
      <c r="M522" s="257"/>
      <c r="N522" s="257"/>
      <c r="O522" s="257"/>
      <c r="P522" s="257"/>
      <c r="Q522" s="257"/>
      <c r="R522" s="257"/>
      <c r="S522" s="257"/>
      <c r="T522" s="257"/>
      <c r="U522" s="257"/>
      <c r="V522" s="257"/>
      <c r="W522" s="257"/>
      <c r="X522" s="257"/>
      <c r="Y522" s="257"/>
      <c r="Z522" s="257"/>
    </row>
    <row r="523" spans="1:26" ht="21" customHeight="1">
      <c r="A523" s="257"/>
      <c r="B523" s="257"/>
      <c r="C523" s="257"/>
      <c r="D523" s="257"/>
      <c r="E523" s="257"/>
      <c r="F523" s="257"/>
      <c r="G523" s="257"/>
      <c r="H523" s="257"/>
      <c r="I523" s="257"/>
      <c r="J523" s="257"/>
      <c r="K523" s="257"/>
      <c r="L523" s="257"/>
      <c r="M523" s="257"/>
      <c r="N523" s="257"/>
      <c r="O523" s="257"/>
      <c r="P523" s="257"/>
      <c r="Q523" s="257"/>
      <c r="R523" s="257"/>
      <c r="S523" s="257"/>
      <c r="T523" s="257"/>
      <c r="U523" s="257"/>
      <c r="V523" s="257"/>
      <c r="W523" s="257"/>
      <c r="X523" s="257"/>
      <c r="Y523" s="257"/>
      <c r="Z523" s="257"/>
    </row>
    <row r="524" spans="1:26" ht="21" customHeight="1">
      <c r="A524" s="257"/>
      <c r="B524" s="257"/>
      <c r="C524" s="257"/>
      <c r="D524" s="257"/>
      <c r="E524" s="257"/>
      <c r="F524" s="257"/>
      <c r="G524" s="257"/>
      <c r="H524" s="257"/>
      <c r="I524" s="257"/>
      <c r="J524" s="257"/>
      <c r="K524" s="257"/>
      <c r="L524" s="257"/>
      <c r="M524" s="257"/>
      <c r="N524" s="257"/>
      <c r="O524" s="257"/>
      <c r="P524" s="257"/>
      <c r="Q524" s="257"/>
      <c r="R524" s="257"/>
      <c r="S524" s="257"/>
      <c r="T524" s="257"/>
      <c r="U524" s="257"/>
      <c r="V524" s="257"/>
      <c r="W524" s="257"/>
      <c r="X524" s="257"/>
      <c r="Y524" s="257"/>
      <c r="Z524" s="257"/>
    </row>
    <row r="525" spans="1:26" ht="21" customHeight="1">
      <c r="A525" s="257"/>
      <c r="B525" s="257"/>
      <c r="C525" s="257"/>
      <c r="D525" s="257"/>
      <c r="E525" s="257"/>
      <c r="F525" s="257"/>
      <c r="G525" s="257"/>
      <c r="H525" s="257"/>
      <c r="I525" s="257"/>
      <c r="J525" s="257"/>
      <c r="K525" s="257"/>
      <c r="L525" s="257"/>
      <c r="M525" s="257"/>
      <c r="N525" s="257"/>
      <c r="O525" s="257"/>
      <c r="P525" s="257"/>
      <c r="Q525" s="257"/>
      <c r="R525" s="257"/>
      <c r="S525" s="257"/>
      <c r="T525" s="257"/>
      <c r="U525" s="257"/>
      <c r="V525" s="257"/>
      <c r="W525" s="257"/>
      <c r="X525" s="257"/>
      <c r="Y525" s="257"/>
      <c r="Z525" s="257"/>
    </row>
    <row r="526" spans="1:26" ht="21" customHeight="1">
      <c r="A526" s="257"/>
      <c r="B526" s="257"/>
      <c r="C526" s="257"/>
      <c r="D526" s="257"/>
      <c r="E526" s="257"/>
      <c r="F526" s="257"/>
      <c r="G526" s="257"/>
      <c r="H526" s="257"/>
      <c r="I526" s="257"/>
      <c r="J526" s="257"/>
      <c r="K526" s="257"/>
      <c r="L526" s="257"/>
      <c r="M526" s="257"/>
      <c r="N526" s="257"/>
      <c r="O526" s="257"/>
      <c r="P526" s="257"/>
      <c r="Q526" s="257"/>
      <c r="R526" s="257"/>
      <c r="S526" s="257"/>
      <c r="T526" s="257"/>
      <c r="U526" s="257"/>
      <c r="V526" s="257"/>
      <c r="W526" s="257"/>
      <c r="X526" s="257"/>
      <c r="Y526" s="257"/>
      <c r="Z526" s="257"/>
    </row>
    <row r="527" spans="1:26" ht="21" customHeight="1">
      <c r="A527" s="257"/>
      <c r="B527" s="257"/>
      <c r="C527" s="257"/>
      <c r="D527" s="257"/>
      <c r="E527" s="257"/>
      <c r="F527" s="257"/>
      <c r="G527" s="257"/>
      <c r="H527" s="257"/>
      <c r="I527" s="257"/>
      <c r="J527" s="257"/>
      <c r="K527" s="257"/>
      <c r="L527" s="257"/>
      <c r="M527" s="257"/>
      <c r="N527" s="257"/>
      <c r="O527" s="257"/>
      <c r="P527" s="257"/>
      <c r="Q527" s="257"/>
      <c r="R527" s="257"/>
      <c r="S527" s="257"/>
      <c r="T527" s="257"/>
      <c r="U527" s="257"/>
      <c r="V527" s="257"/>
      <c r="W527" s="257"/>
      <c r="X527" s="257"/>
      <c r="Y527" s="257"/>
      <c r="Z527" s="257"/>
    </row>
    <row r="528" spans="1:26" ht="21" customHeight="1">
      <c r="A528" s="257"/>
      <c r="B528" s="257"/>
      <c r="C528" s="257"/>
      <c r="D528" s="257"/>
      <c r="E528" s="257"/>
      <c r="F528" s="257"/>
      <c r="G528" s="257"/>
      <c r="H528" s="257"/>
      <c r="I528" s="257"/>
      <c r="J528" s="257"/>
      <c r="K528" s="257"/>
      <c r="L528" s="257"/>
      <c r="M528" s="257"/>
      <c r="N528" s="257"/>
      <c r="O528" s="257"/>
      <c r="P528" s="257"/>
      <c r="Q528" s="257"/>
      <c r="R528" s="257"/>
      <c r="S528" s="257"/>
      <c r="T528" s="257"/>
      <c r="U528" s="257"/>
      <c r="V528" s="257"/>
      <c r="W528" s="257"/>
      <c r="X528" s="257"/>
      <c r="Y528" s="257"/>
      <c r="Z528" s="257"/>
    </row>
    <row r="529" spans="1:26" ht="21" customHeight="1">
      <c r="A529" s="257"/>
      <c r="B529" s="257"/>
      <c r="C529" s="257"/>
      <c r="D529" s="257"/>
      <c r="E529" s="257"/>
      <c r="F529" s="257"/>
      <c r="G529" s="257"/>
      <c r="H529" s="257"/>
      <c r="I529" s="257"/>
      <c r="J529" s="257"/>
      <c r="K529" s="257"/>
      <c r="L529" s="257"/>
      <c r="M529" s="257"/>
      <c r="N529" s="257"/>
      <c r="O529" s="257"/>
      <c r="P529" s="257"/>
      <c r="Q529" s="257"/>
      <c r="R529" s="257"/>
      <c r="S529" s="257"/>
      <c r="T529" s="257"/>
      <c r="U529" s="257"/>
      <c r="V529" s="257"/>
      <c r="W529" s="257"/>
      <c r="X529" s="257"/>
      <c r="Y529" s="257"/>
      <c r="Z529" s="257"/>
    </row>
    <row r="530" spans="1:26" ht="21" customHeight="1">
      <c r="A530" s="257"/>
      <c r="B530" s="257"/>
      <c r="C530" s="257"/>
      <c r="D530" s="257"/>
      <c r="E530" s="257"/>
      <c r="F530" s="257"/>
      <c r="G530" s="257"/>
      <c r="H530" s="257"/>
      <c r="I530" s="257"/>
      <c r="J530" s="257"/>
      <c r="K530" s="257"/>
      <c r="L530" s="257"/>
      <c r="M530" s="257"/>
      <c r="N530" s="257"/>
      <c r="O530" s="257"/>
      <c r="P530" s="257"/>
      <c r="Q530" s="257"/>
      <c r="R530" s="257"/>
      <c r="S530" s="257"/>
      <c r="T530" s="257"/>
      <c r="U530" s="257"/>
      <c r="V530" s="257"/>
      <c r="W530" s="257"/>
      <c r="X530" s="257"/>
      <c r="Y530" s="257"/>
      <c r="Z530" s="257"/>
    </row>
    <row r="531" spans="1:26" ht="21" customHeight="1">
      <c r="A531" s="257"/>
      <c r="B531" s="257"/>
      <c r="C531" s="257"/>
      <c r="D531" s="257"/>
      <c r="E531" s="257"/>
      <c r="F531" s="257"/>
      <c r="G531" s="257"/>
      <c r="H531" s="257"/>
      <c r="I531" s="257"/>
      <c r="J531" s="257"/>
      <c r="K531" s="257"/>
      <c r="L531" s="257"/>
      <c r="M531" s="257"/>
      <c r="N531" s="257"/>
      <c r="O531" s="257"/>
      <c r="P531" s="257"/>
      <c r="Q531" s="257"/>
      <c r="R531" s="257"/>
      <c r="S531" s="257"/>
      <c r="T531" s="257"/>
      <c r="U531" s="257"/>
      <c r="V531" s="257"/>
      <c r="W531" s="257"/>
      <c r="X531" s="257"/>
      <c r="Y531" s="257"/>
      <c r="Z531" s="257"/>
    </row>
    <row r="532" spans="1:26" ht="21" customHeight="1">
      <c r="A532" s="257"/>
      <c r="B532" s="257"/>
      <c r="C532" s="257"/>
      <c r="D532" s="257"/>
      <c r="E532" s="257"/>
      <c r="F532" s="257"/>
      <c r="G532" s="257"/>
      <c r="H532" s="257"/>
      <c r="I532" s="257"/>
      <c r="J532" s="257"/>
      <c r="K532" s="257"/>
      <c r="L532" s="257"/>
      <c r="M532" s="257"/>
      <c r="N532" s="257"/>
      <c r="O532" s="257"/>
      <c r="P532" s="257"/>
      <c r="Q532" s="257"/>
      <c r="R532" s="257"/>
      <c r="S532" s="257"/>
      <c r="T532" s="257"/>
      <c r="U532" s="257"/>
      <c r="V532" s="257"/>
      <c r="W532" s="257"/>
      <c r="X532" s="257"/>
      <c r="Y532" s="257"/>
      <c r="Z532" s="257"/>
    </row>
    <row r="533" spans="1:26" ht="21" customHeight="1">
      <c r="A533" s="257"/>
      <c r="B533" s="257"/>
      <c r="C533" s="257"/>
      <c r="D533" s="257"/>
      <c r="E533" s="257"/>
      <c r="F533" s="257"/>
      <c r="G533" s="257"/>
      <c r="H533" s="257"/>
      <c r="I533" s="257"/>
      <c r="J533" s="257"/>
      <c r="K533" s="257"/>
      <c r="L533" s="257"/>
      <c r="M533" s="257"/>
      <c r="N533" s="257"/>
      <c r="O533" s="257"/>
      <c r="P533" s="257"/>
      <c r="Q533" s="257"/>
      <c r="R533" s="257"/>
      <c r="S533" s="257"/>
      <c r="T533" s="257"/>
      <c r="U533" s="257"/>
      <c r="V533" s="257"/>
      <c r="W533" s="257"/>
      <c r="X533" s="257"/>
      <c r="Y533" s="257"/>
      <c r="Z533" s="257"/>
    </row>
    <row r="534" spans="1:26" ht="21" customHeight="1">
      <c r="A534" s="257"/>
      <c r="B534" s="257"/>
      <c r="C534" s="257"/>
      <c r="D534" s="257"/>
      <c r="E534" s="257"/>
      <c r="F534" s="257"/>
      <c r="G534" s="257"/>
      <c r="H534" s="257"/>
      <c r="I534" s="257"/>
      <c r="J534" s="257"/>
      <c r="K534" s="257"/>
      <c r="L534" s="257"/>
      <c r="M534" s="257"/>
      <c r="N534" s="257"/>
      <c r="O534" s="257"/>
      <c r="P534" s="257"/>
      <c r="Q534" s="257"/>
      <c r="R534" s="257"/>
      <c r="S534" s="257"/>
      <c r="T534" s="257"/>
      <c r="U534" s="257"/>
      <c r="V534" s="257"/>
      <c r="W534" s="257"/>
      <c r="X534" s="257"/>
      <c r="Y534" s="257"/>
      <c r="Z534" s="257"/>
    </row>
    <row r="535" spans="1:26" ht="21" customHeight="1">
      <c r="A535" s="257"/>
      <c r="B535" s="257"/>
      <c r="C535" s="257"/>
      <c r="D535" s="257"/>
      <c r="E535" s="257"/>
      <c r="F535" s="257"/>
      <c r="G535" s="257"/>
      <c r="H535" s="257"/>
      <c r="I535" s="257"/>
      <c r="J535" s="257"/>
      <c r="K535" s="257"/>
      <c r="L535" s="257"/>
      <c r="M535" s="257"/>
      <c r="N535" s="257"/>
      <c r="O535" s="257"/>
      <c r="P535" s="257"/>
      <c r="Q535" s="257"/>
      <c r="R535" s="257"/>
      <c r="S535" s="257"/>
      <c r="T535" s="257"/>
      <c r="U535" s="257"/>
      <c r="V535" s="257"/>
      <c r="W535" s="257"/>
      <c r="X535" s="257"/>
      <c r="Y535" s="257"/>
      <c r="Z535" s="257"/>
    </row>
    <row r="536" spans="1:26" ht="21" customHeight="1">
      <c r="A536" s="257"/>
      <c r="B536" s="257"/>
      <c r="C536" s="257"/>
      <c r="D536" s="257"/>
      <c r="E536" s="257"/>
      <c r="F536" s="257"/>
      <c r="G536" s="257"/>
      <c r="H536" s="257"/>
      <c r="I536" s="257"/>
      <c r="J536" s="257"/>
      <c r="K536" s="257"/>
      <c r="L536" s="257"/>
      <c r="M536" s="257"/>
      <c r="N536" s="257"/>
      <c r="O536" s="257"/>
      <c r="P536" s="257"/>
      <c r="Q536" s="257"/>
      <c r="R536" s="257"/>
      <c r="S536" s="257"/>
      <c r="T536" s="257"/>
      <c r="U536" s="257"/>
      <c r="V536" s="257"/>
      <c r="W536" s="257"/>
      <c r="X536" s="257"/>
      <c r="Y536" s="257"/>
      <c r="Z536" s="257"/>
    </row>
    <row r="537" spans="1:26" ht="21" customHeight="1">
      <c r="A537" s="257"/>
      <c r="B537" s="257"/>
      <c r="C537" s="257"/>
      <c r="D537" s="257"/>
      <c r="E537" s="257"/>
      <c r="F537" s="257"/>
      <c r="G537" s="257"/>
      <c r="H537" s="257"/>
      <c r="I537" s="257"/>
      <c r="J537" s="257"/>
      <c r="K537" s="257"/>
      <c r="L537" s="257"/>
      <c r="M537" s="257"/>
      <c r="N537" s="257"/>
      <c r="O537" s="257"/>
      <c r="P537" s="257"/>
      <c r="Q537" s="257"/>
      <c r="R537" s="257"/>
      <c r="S537" s="257"/>
      <c r="T537" s="257"/>
      <c r="U537" s="257"/>
      <c r="V537" s="257"/>
      <c r="W537" s="257"/>
      <c r="X537" s="257"/>
      <c r="Y537" s="257"/>
      <c r="Z537" s="257"/>
    </row>
    <row r="538" spans="1:26" ht="21" customHeight="1">
      <c r="A538" s="257"/>
      <c r="B538" s="257"/>
      <c r="C538" s="257"/>
      <c r="D538" s="257"/>
      <c r="E538" s="257"/>
      <c r="F538" s="257"/>
      <c r="G538" s="257"/>
      <c r="H538" s="257"/>
      <c r="I538" s="257"/>
      <c r="J538" s="257"/>
      <c r="K538" s="257"/>
      <c r="L538" s="257"/>
      <c r="M538" s="257"/>
      <c r="N538" s="257"/>
      <c r="O538" s="257"/>
      <c r="P538" s="257"/>
      <c r="Q538" s="257"/>
      <c r="R538" s="257"/>
      <c r="S538" s="257"/>
      <c r="T538" s="257"/>
      <c r="U538" s="257"/>
      <c r="V538" s="257"/>
      <c r="W538" s="257"/>
      <c r="X538" s="257"/>
      <c r="Y538" s="257"/>
      <c r="Z538" s="257"/>
    </row>
    <row r="539" spans="1:26" ht="21" customHeight="1">
      <c r="A539" s="257"/>
      <c r="B539" s="257"/>
      <c r="C539" s="257"/>
      <c r="D539" s="257"/>
      <c r="E539" s="257"/>
      <c r="F539" s="257"/>
      <c r="G539" s="257"/>
      <c r="H539" s="257"/>
      <c r="I539" s="257"/>
      <c r="J539" s="257"/>
      <c r="K539" s="257"/>
      <c r="L539" s="257"/>
      <c r="M539" s="257"/>
      <c r="N539" s="257"/>
      <c r="O539" s="257"/>
      <c r="P539" s="257"/>
      <c r="Q539" s="257"/>
      <c r="R539" s="257"/>
      <c r="S539" s="257"/>
      <c r="T539" s="257"/>
      <c r="U539" s="257"/>
      <c r="V539" s="257"/>
      <c r="W539" s="257"/>
      <c r="X539" s="257"/>
      <c r="Y539" s="257"/>
      <c r="Z539" s="257"/>
    </row>
    <row r="540" spans="1:26" ht="21" customHeight="1">
      <c r="A540" s="257"/>
      <c r="B540" s="257"/>
      <c r="C540" s="257"/>
      <c r="D540" s="257"/>
      <c r="E540" s="257"/>
      <c r="F540" s="257"/>
      <c r="G540" s="257"/>
      <c r="H540" s="257"/>
      <c r="I540" s="257"/>
      <c r="J540" s="257"/>
      <c r="K540" s="257"/>
      <c r="L540" s="257"/>
      <c r="M540" s="257"/>
      <c r="N540" s="257"/>
      <c r="O540" s="257"/>
      <c r="P540" s="257"/>
      <c r="Q540" s="257"/>
      <c r="R540" s="257"/>
      <c r="S540" s="257"/>
      <c r="T540" s="257"/>
      <c r="U540" s="257"/>
      <c r="V540" s="257"/>
      <c r="W540" s="257"/>
      <c r="X540" s="257"/>
      <c r="Y540" s="257"/>
      <c r="Z540" s="257"/>
    </row>
    <row r="541" spans="1:26" ht="21" customHeight="1">
      <c r="A541" s="257"/>
      <c r="B541" s="257"/>
      <c r="C541" s="257"/>
      <c r="D541" s="257"/>
      <c r="E541" s="257"/>
      <c r="F541" s="257"/>
      <c r="G541" s="257"/>
      <c r="H541" s="257"/>
      <c r="I541" s="257"/>
      <c r="J541" s="257"/>
      <c r="K541" s="257"/>
      <c r="L541" s="257"/>
      <c r="M541" s="257"/>
      <c r="N541" s="257"/>
      <c r="O541" s="257"/>
      <c r="P541" s="257"/>
      <c r="Q541" s="257"/>
      <c r="R541" s="257"/>
      <c r="S541" s="257"/>
      <c r="T541" s="257"/>
      <c r="U541" s="257"/>
      <c r="V541" s="257"/>
      <c r="W541" s="257"/>
      <c r="X541" s="257"/>
      <c r="Y541" s="257"/>
      <c r="Z541" s="257"/>
    </row>
    <row r="542" spans="1:26" ht="21" customHeight="1">
      <c r="A542" s="257"/>
      <c r="B542" s="257"/>
      <c r="C542" s="257"/>
      <c r="D542" s="257"/>
      <c r="E542" s="257"/>
      <c r="F542" s="257"/>
      <c r="G542" s="257"/>
      <c r="H542" s="257"/>
      <c r="I542" s="257"/>
      <c r="J542" s="257"/>
      <c r="K542" s="257"/>
      <c r="L542" s="257"/>
      <c r="M542" s="257"/>
      <c r="N542" s="257"/>
      <c r="O542" s="257"/>
      <c r="P542" s="257"/>
      <c r="Q542" s="257"/>
      <c r="R542" s="257"/>
      <c r="S542" s="257"/>
      <c r="T542" s="257"/>
      <c r="U542" s="257"/>
      <c r="V542" s="257"/>
      <c r="W542" s="257"/>
      <c r="X542" s="257"/>
      <c r="Y542" s="257"/>
      <c r="Z542" s="257"/>
    </row>
    <row r="543" spans="1:26" ht="21" customHeight="1">
      <c r="A543" s="257"/>
      <c r="B543" s="257"/>
      <c r="C543" s="257"/>
      <c r="D543" s="257"/>
      <c r="E543" s="257"/>
      <c r="F543" s="257"/>
      <c r="G543" s="257"/>
      <c r="H543" s="257"/>
      <c r="I543" s="257"/>
      <c r="J543" s="257"/>
      <c r="K543" s="257"/>
      <c r="L543" s="257"/>
      <c r="M543" s="257"/>
      <c r="N543" s="257"/>
      <c r="O543" s="257"/>
      <c r="P543" s="257"/>
      <c r="Q543" s="257"/>
      <c r="R543" s="257"/>
      <c r="S543" s="257"/>
      <c r="T543" s="257"/>
      <c r="U543" s="257"/>
      <c r="V543" s="257"/>
      <c r="W543" s="257"/>
      <c r="X543" s="257"/>
      <c r="Y543" s="257"/>
      <c r="Z543" s="257"/>
    </row>
    <row r="544" spans="1:26" ht="21" customHeight="1">
      <c r="A544" s="257"/>
      <c r="B544" s="257"/>
      <c r="C544" s="257"/>
      <c r="D544" s="257"/>
      <c r="E544" s="257"/>
      <c r="F544" s="257"/>
      <c r="G544" s="257"/>
      <c r="H544" s="257"/>
      <c r="I544" s="257"/>
      <c r="J544" s="257"/>
      <c r="K544" s="257"/>
      <c r="L544" s="257"/>
      <c r="M544" s="257"/>
      <c r="N544" s="257"/>
      <c r="O544" s="257"/>
      <c r="P544" s="257"/>
      <c r="Q544" s="257"/>
      <c r="R544" s="257"/>
      <c r="S544" s="257"/>
      <c r="T544" s="257"/>
      <c r="U544" s="257"/>
      <c r="V544" s="257"/>
      <c r="W544" s="257"/>
      <c r="X544" s="257"/>
      <c r="Y544" s="257"/>
      <c r="Z544" s="257"/>
    </row>
    <row r="545" spans="1:26" ht="21" customHeight="1">
      <c r="A545" s="257"/>
      <c r="B545" s="257"/>
      <c r="C545" s="257"/>
      <c r="D545" s="257"/>
      <c r="E545" s="257"/>
      <c r="F545" s="257"/>
      <c r="G545" s="257"/>
      <c r="H545" s="257"/>
      <c r="I545" s="257"/>
      <c r="J545" s="257"/>
      <c r="K545" s="257"/>
      <c r="L545" s="257"/>
      <c r="M545" s="257"/>
      <c r="N545" s="257"/>
      <c r="O545" s="257"/>
      <c r="P545" s="257"/>
      <c r="Q545" s="257"/>
      <c r="R545" s="257"/>
      <c r="S545" s="257"/>
      <c r="T545" s="257"/>
      <c r="U545" s="257"/>
      <c r="V545" s="257"/>
      <c r="W545" s="257"/>
      <c r="X545" s="257"/>
      <c r="Y545" s="257"/>
      <c r="Z545" s="257"/>
    </row>
    <row r="546" spans="1:26" ht="21" customHeight="1">
      <c r="A546" s="257"/>
      <c r="B546" s="257"/>
      <c r="C546" s="257"/>
      <c r="D546" s="257"/>
      <c r="E546" s="257"/>
      <c r="F546" s="257"/>
      <c r="G546" s="257"/>
      <c r="H546" s="257"/>
      <c r="I546" s="257"/>
      <c r="J546" s="257"/>
      <c r="K546" s="257"/>
      <c r="L546" s="257"/>
      <c r="M546" s="257"/>
      <c r="N546" s="257"/>
      <c r="O546" s="257"/>
      <c r="P546" s="257"/>
      <c r="Q546" s="257"/>
      <c r="R546" s="257"/>
      <c r="S546" s="257"/>
      <c r="T546" s="257"/>
      <c r="U546" s="257"/>
      <c r="V546" s="257"/>
      <c r="W546" s="257"/>
      <c r="X546" s="257"/>
      <c r="Y546" s="257"/>
      <c r="Z546" s="257"/>
    </row>
    <row r="547" spans="1:26" ht="21" customHeight="1">
      <c r="A547" s="257"/>
      <c r="B547" s="257"/>
      <c r="C547" s="257"/>
      <c r="D547" s="257"/>
      <c r="E547" s="257"/>
      <c r="F547" s="257"/>
      <c r="G547" s="257"/>
      <c r="H547" s="257"/>
      <c r="I547" s="257"/>
      <c r="J547" s="257"/>
      <c r="K547" s="257"/>
      <c r="L547" s="257"/>
      <c r="M547" s="257"/>
      <c r="N547" s="257"/>
      <c r="O547" s="257"/>
      <c r="P547" s="257"/>
      <c r="Q547" s="257"/>
      <c r="R547" s="257"/>
      <c r="S547" s="257"/>
      <c r="T547" s="257"/>
      <c r="U547" s="257"/>
      <c r="V547" s="257"/>
      <c r="W547" s="257"/>
      <c r="X547" s="257"/>
      <c r="Y547" s="257"/>
      <c r="Z547" s="257"/>
    </row>
    <row r="548" spans="1:26" ht="21" customHeight="1">
      <c r="A548" s="257"/>
      <c r="B548" s="257"/>
      <c r="C548" s="257"/>
      <c r="D548" s="257"/>
      <c r="E548" s="257"/>
      <c r="F548" s="257"/>
      <c r="G548" s="257"/>
      <c r="H548" s="257"/>
      <c r="I548" s="257"/>
      <c r="J548" s="257"/>
      <c r="K548" s="257"/>
      <c r="L548" s="257"/>
      <c r="M548" s="257"/>
      <c r="N548" s="257"/>
      <c r="O548" s="257"/>
      <c r="P548" s="257"/>
      <c r="Q548" s="257"/>
      <c r="R548" s="257"/>
      <c r="S548" s="257"/>
      <c r="T548" s="257"/>
      <c r="U548" s="257"/>
      <c r="V548" s="257"/>
      <c r="W548" s="257"/>
      <c r="X548" s="257"/>
      <c r="Y548" s="257"/>
      <c r="Z548" s="257"/>
    </row>
    <row r="549" spans="1:26" ht="21" customHeight="1">
      <c r="A549" s="257"/>
      <c r="B549" s="257"/>
      <c r="C549" s="257"/>
      <c r="D549" s="257"/>
      <c r="E549" s="257"/>
      <c r="F549" s="257"/>
      <c r="G549" s="257"/>
      <c r="H549" s="257"/>
      <c r="I549" s="257"/>
      <c r="J549" s="257"/>
      <c r="K549" s="257"/>
      <c r="L549" s="257"/>
      <c r="M549" s="257"/>
      <c r="N549" s="257"/>
      <c r="O549" s="257"/>
      <c r="P549" s="257"/>
      <c r="Q549" s="257"/>
      <c r="R549" s="257"/>
      <c r="S549" s="257"/>
      <c r="T549" s="257"/>
      <c r="U549" s="257"/>
      <c r="V549" s="257"/>
      <c r="W549" s="257"/>
      <c r="X549" s="257"/>
      <c r="Y549" s="257"/>
      <c r="Z549" s="257"/>
    </row>
    <row r="550" spans="1:26" ht="21" customHeight="1">
      <c r="A550" s="257"/>
      <c r="B550" s="257"/>
      <c r="C550" s="257"/>
      <c r="D550" s="257"/>
      <c r="E550" s="257"/>
      <c r="F550" s="257"/>
      <c r="G550" s="257"/>
      <c r="H550" s="257"/>
      <c r="I550" s="257"/>
      <c r="J550" s="257"/>
      <c r="K550" s="257"/>
      <c r="L550" s="257"/>
      <c r="M550" s="257"/>
      <c r="N550" s="257"/>
      <c r="O550" s="257"/>
      <c r="P550" s="257"/>
      <c r="Q550" s="257"/>
      <c r="R550" s="257"/>
      <c r="S550" s="257"/>
      <c r="T550" s="257"/>
      <c r="U550" s="257"/>
      <c r="V550" s="257"/>
      <c r="W550" s="257"/>
      <c r="X550" s="257"/>
      <c r="Y550" s="257"/>
      <c r="Z550" s="257"/>
    </row>
    <row r="551" spans="1:26" ht="21" customHeight="1">
      <c r="A551" s="257"/>
      <c r="B551" s="257"/>
      <c r="C551" s="257"/>
      <c r="D551" s="257"/>
      <c r="E551" s="257"/>
      <c r="F551" s="257"/>
      <c r="G551" s="257"/>
      <c r="H551" s="257"/>
      <c r="I551" s="257"/>
      <c r="J551" s="257"/>
      <c r="K551" s="257"/>
      <c r="L551" s="257"/>
      <c r="M551" s="257"/>
      <c r="N551" s="257"/>
      <c r="O551" s="257"/>
      <c r="P551" s="257"/>
      <c r="Q551" s="257"/>
      <c r="R551" s="257"/>
      <c r="S551" s="257"/>
      <c r="T551" s="257"/>
      <c r="U551" s="257"/>
      <c r="V551" s="257"/>
      <c r="W551" s="257"/>
      <c r="X551" s="257"/>
      <c r="Y551" s="257"/>
      <c r="Z551" s="257"/>
    </row>
    <row r="552" spans="1:26" ht="21" customHeight="1">
      <c r="A552" s="257"/>
      <c r="B552" s="257"/>
      <c r="C552" s="257"/>
      <c r="D552" s="257"/>
      <c r="E552" s="257"/>
      <c r="F552" s="257"/>
      <c r="G552" s="257"/>
      <c r="H552" s="257"/>
      <c r="I552" s="257"/>
      <c r="J552" s="257"/>
      <c r="K552" s="257"/>
      <c r="L552" s="257"/>
      <c r="M552" s="257"/>
      <c r="N552" s="257"/>
      <c r="O552" s="257"/>
      <c r="P552" s="257"/>
      <c r="Q552" s="257"/>
      <c r="R552" s="257"/>
      <c r="S552" s="257"/>
      <c r="T552" s="257"/>
      <c r="U552" s="257"/>
      <c r="V552" s="257"/>
      <c r="W552" s="257"/>
      <c r="X552" s="257"/>
      <c r="Y552" s="257"/>
      <c r="Z552" s="257"/>
    </row>
    <row r="553" spans="1:26" ht="21" customHeight="1">
      <c r="A553" s="257"/>
      <c r="B553" s="257"/>
      <c r="C553" s="257"/>
      <c r="D553" s="257"/>
      <c r="E553" s="257"/>
      <c r="F553" s="257"/>
      <c r="G553" s="257"/>
      <c r="H553" s="257"/>
      <c r="I553" s="257"/>
      <c r="J553" s="257"/>
      <c r="K553" s="257"/>
      <c r="L553" s="257"/>
      <c r="M553" s="257"/>
      <c r="N553" s="257"/>
      <c r="O553" s="257"/>
      <c r="P553" s="257"/>
      <c r="Q553" s="257"/>
      <c r="R553" s="257"/>
      <c r="S553" s="257"/>
      <c r="T553" s="257"/>
      <c r="U553" s="257"/>
      <c r="V553" s="257"/>
      <c r="W553" s="257"/>
      <c r="X553" s="257"/>
      <c r="Y553" s="257"/>
      <c r="Z553" s="257"/>
    </row>
    <row r="554" spans="1:26" ht="21" customHeight="1">
      <c r="A554" s="257"/>
      <c r="B554" s="257"/>
      <c r="C554" s="257"/>
      <c r="D554" s="257"/>
      <c r="E554" s="257"/>
      <c r="F554" s="257"/>
      <c r="G554" s="257"/>
      <c r="H554" s="257"/>
      <c r="I554" s="257"/>
      <c r="J554" s="257"/>
      <c r="K554" s="257"/>
      <c r="L554" s="257"/>
      <c r="M554" s="257"/>
      <c r="N554" s="257"/>
      <c r="O554" s="257"/>
      <c r="P554" s="257"/>
      <c r="Q554" s="257"/>
      <c r="R554" s="257"/>
      <c r="S554" s="257"/>
      <c r="T554" s="257"/>
      <c r="U554" s="257"/>
      <c r="V554" s="257"/>
      <c r="W554" s="257"/>
      <c r="X554" s="257"/>
      <c r="Y554" s="257"/>
      <c r="Z554" s="257"/>
    </row>
    <row r="555" spans="1:26" ht="21" customHeight="1">
      <c r="A555" s="257"/>
      <c r="B555" s="257"/>
      <c r="C555" s="257"/>
      <c r="D555" s="257"/>
      <c r="E555" s="257"/>
      <c r="F555" s="257"/>
      <c r="G555" s="257"/>
      <c r="H555" s="257"/>
      <c r="I555" s="257"/>
      <c r="J555" s="257"/>
      <c r="K555" s="257"/>
      <c r="L555" s="257"/>
      <c r="M555" s="257"/>
      <c r="N555" s="257"/>
      <c r="O555" s="257"/>
      <c r="P555" s="257"/>
      <c r="Q555" s="257"/>
      <c r="R555" s="257"/>
      <c r="S555" s="257"/>
      <c r="T555" s="257"/>
      <c r="U555" s="257"/>
      <c r="V555" s="257"/>
      <c r="W555" s="257"/>
      <c r="X555" s="257"/>
      <c r="Y555" s="257"/>
      <c r="Z555" s="257"/>
    </row>
    <row r="556" spans="1:26" ht="21" customHeight="1">
      <c r="A556" s="257"/>
      <c r="B556" s="257"/>
      <c r="C556" s="257"/>
      <c r="D556" s="257"/>
      <c r="E556" s="257"/>
      <c r="F556" s="257"/>
      <c r="G556" s="257"/>
      <c r="H556" s="257"/>
      <c r="I556" s="257"/>
      <c r="J556" s="257"/>
      <c r="K556" s="257"/>
      <c r="L556" s="257"/>
      <c r="M556" s="257"/>
      <c r="N556" s="257"/>
      <c r="O556" s="257"/>
      <c r="P556" s="257"/>
      <c r="Q556" s="257"/>
      <c r="R556" s="257"/>
      <c r="S556" s="257"/>
      <c r="T556" s="257"/>
      <c r="U556" s="257"/>
      <c r="V556" s="257"/>
      <c r="W556" s="257"/>
      <c r="X556" s="257"/>
      <c r="Y556" s="257"/>
      <c r="Z556" s="257"/>
    </row>
    <row r="557" spans="1:26" ht="21" customHeight="1">
      <c r="A557" s="257"/>
      <c r="B557" s="257"/>
      <c r="C557" s="257"/>
      <c r="D557" s="257"/>
      <c r="E557" s="257"/>
      <c r="F557" s="257"/>
      <c r="G557" s="257"/>
      <c r="H557" s="257"/>
      <c r="I557" s="257"/>
      <c r="J557" s="257"/>
      <c r="K557" s="257"/>
      <c r="L557" s="257"/>
      <c r="M557" s="257"/>
      <c r="N557" s="257"/>
      <c r="O557" s="257"/>
      <c r="P557" s="257"/>
      <c r="Q557" s="257"/>
      <c r="R557" s="257"/>
      <c r="S557" s="257"/>
      <c r="T557" s="257"/>
      <c r="U557" s="257"/>
      <c r="V557" s="257"/>
      <c r="W557" s="257"/>
      <c r="X557" s="257"/>
      <c r="Y557" s="257"/>
      <c r="Z557" s="257"/>
    </row>
    <row r="558" spans="1:26" ht="21" customHeight="1">
      <c r="A558" s="257"/>
      <c r="B558" s="257"/>
      <c r="C558" s="257"/>
      <c r="D558" s="257"/>
      <c r="E558" s="257"/>
      <c r="F558" s="257"/>
      <c r="G558" s="257"/>
      <c r="H558" s="257"/>
      <c r="I558" s="257"/>
      <c r="J558" s="257"/>
      <c r="K558" s="257"/>
      <c r="L558" s="257"/>
      <c r="M558" s="257"/>
      <c r="N558" s="257"/>
      <c r="O558" s="257"/>
      <c r="P558" s="257"/>
      <c r="Q558" s="257"/>
      <c r="R558" s="257"/>
      <c r="S558" s="257"/>
      <c r="T558" s="257"/>
      <c r="U558" s="257"/>
      <c r="V558" s="257"/>
      <c r="W558" s="257"/>
      <c r="X558" s="257"/>
      <c r="Y558" s="257"/>
      <c r="Z558" s="257"/>
    </row>
    <row r="559" spans="1:26" ht="21" customHeight="1">
      <c r="A559" s="257"/>
      <c r="B559" s="257"/>
      <c r="C559" s="257"/>
      <c r="D559" s="257"/>
      <c r="E559" s="257"/>
      <c r="F559" s="257"/>
      <c r="G559" s="257"/>
      <c r="H559" s="257"/>
      <c r="I559" s="257"/>
      <c r="J559" s="257"/>
      <c r="K559" s="257"/>
      <c r="L559" s="257"/>
      <c r="M559" s="257"/>
      <c r="N559" s="257"/>
      <c r="O559" s="257"/>
      <c r="P559" s="257"/>
      <c r="Q559" s="257"/>
      <c r="R559" s="257"/>
      <c r="S559" s="257"/>
      <c r="T559" s="257"/>
      <c r="U559" s="257"/>
      <c r="V559" s="257"/>
      <c r="W559" s="257"/>
      <c r="X559" s="257"/>
      <c r="Y559" s="257"/>
      <c r="Z559" s="257"/>
    </row>
    <row r="560" spans="1:26" ht="21" customHeight="1">
      <c r="A560" s="257"/>
      <c r="B560" s="257"/>
      <c r="C560" s="257"/>
      <c r="D560" s="257"/>
      <c r="E560" s="257"/>
      <c r="F560" s="257"/>
      <c r="G560" s="257"/>
      <c r="H560" s="257"/>
      <c r="I560" s="257"/>
      <c r="J560" s="257"/>
      <c r="K560" s="257"/>
      <c r="L560" s="257"/>
      <c r="M560" s="257"/>
      <c r="N560" s="257"/>
      <c r="O560" s="257"/>
      <c r="P560" s="257"/>
      <c r="Q560" s="257"/>
      <c r="R560" s="257"/>
      <c r="S560" s="257"/>
      <c r="T560" s="257"/>
      <c r="U560" s="257"/>
      <c r="V560" s="257"/>
      <c r="W560" s="257"/>
      <c r="X560" s="257"/>
      <c r="Y560" s="257"/>
      <c r="Z560" s="257"/>
    </row>
    <row r="561" spans="1:26" ht="21" customHeight="1">
      <c r="A561" s="257"/>
      <c r="B561" s="257"/>
      <c r="C561" s="257"/>
      <c r="D561" s="257"/>
      <c r="E561" s="257"/>
      <c r="F561" s="257"/>
      <c r="G561" s="257"/>
      <c r="H561" s="257"/>
      <c r="I561" s="257"/>
      <c r="J561" s="257"/>
      <c r="K561" s="257"/>
      <c r="L561" s="257"/>
      <c r="M561" s="257"/>
      <c r="N561" s="257"/>
      <c r="O561" s="257"/>
      <c r="P561" s="257"/>
      <c r="Q561" s="257"/>
      <c r="R561" s="257"/>
      <c r="S561" s="257"/>
      <c r="T561" s="257"/>
      <c r="U561" s="257"/>
      <c r="V561" s="257"/>
      <c r="W561" s="257"/>
      <c r="X561" s="257"/>
      <c r="Y561" s="257"/>
      <c r="Z561" s="257"/>
    </row>
    <row r="562" spans="1:26" ht="21" customHeight="1">
      <c r="A562" s="257"/>
      <c r="B562" s="257"/>
      <c r="C562" s="257"/>
      <c r="D562" s="257"/>
      <c r="E562" s="257"/>
      <c r="F562" s="257"/>
      <c r="G562" s="257"/>
      <c r="H562" s="257"/>
      <c r="I562" s="257"/>
      <c r="J562" s="257"/>
      <c r="K562" s="257"/>
      <c r="L562" s="257"/>
      <c r="M562" s="257"/>
      <c r="N562" s="257"/>
      <c r="O562" s="257"/>
      <c r="P562" s="257"/>
      <c r="Q562" s="257"/>
      <c r="R562" s="257"/>
      <c r="S562" s="257"/>
      <c r="T562" s="257"/>
      <c r="U562" s="257"/>
      <c r="V562" s="257"/>
      <c r="W562" s="257"/>
      <c r="X562" s="257"/>
      <c r="Y562" s="257"/>
      <c r="Z562" s="257"/>
    </row>
    <row r="563" spans="1:26" ht="21" customHeight="1">
      <c r="A563" s="257"/>
      <c r="B563" s="257"/>
      <c r="C563" s="257"/>
      <c r="D563" s="257"/>
      <c r="E563" s="257"/>
      <c r="F563" s="257"/>
      <c r="G563" s="257"/>
      <c r="H563" s="257"/>
      <c r="I563" s="257"/>
      <c r="J563" s="257"/>
      <c r="K563" s="257"/>
      <c r="L563" s="257"/>
      <c r="M563" s="257"/>
      <c r="N563" s="257"/>
      <c r="O563" s="257"/>
      <c r="P563" s="257"/>
      <c r="Q563" s="257"/>
      <c r="R563" s="257"/>
      <c r="S563" s="257"/>
      <c r="T563" s="257"/>
      <c r="U563" s="257"/>
      <c r="V563" s="257"/>
      <c r="W563" s="257"/>
      <c r="X563" s="257"/>
      <c r="Y563" s="257"/>
      <c r="Z563" s="257"/>
    </row>
    <row r="564" spans="1:26" ht="21" customHeight="1">
      <c r="A564" s="257"/>
      <c r="B564" s="257"/>
      <c r="C564" s="257"/>
      <c r="D564" s="257"/>
      <c r="E564" s="257"/>
      <c r="F564" s="257"/>
      <c r="G564" s="257"/>
      <c r="H564" s="257"/>
      <c r="I564" s="257"/>
      <c r="J564" s="257"/>
      <c r="K564" s="257"/>
      <c r="L564" s="257"/>
      <c r="M564" s="257"/>
      <c r="N564" s="257"/>
      <c r="O564" s="257"/>
      <c r="P564" s="257"/>
      <c r="Q564" s="257"/>
      <c r="R564" s="257"/>
      <c r="S564" s="257"/>
      <c r="T564" s="257"/>
      <c r="U564" s="257"/>
      <c r="V564" s="257"/>
      <c r="W564" s="257"/>
      <c r="X564" s="257"/>
      <c r="Y564" s="257"/>
      <c r="Z564" s="257"/>
    </row>
    <row r="565" spans="1:26" ht="21" customHeight="1">
      <c r="A565" s="257"/>
      <c r="B565" s="257"/>
      <c r="C565" s="257"/>
      <c r="D565" s="257"/>
      <c r="E565" s="257"/>
      <c r="F565" s="257"/>
      <c r="G565" s="257"/>
      <c r="H565" s="257"/>
      <c r="I565" s="257"/>
      <c r="J565" s="257"/>
      <c r="K565" s="257"/>
      <c r="L565" s="257"/>
      <c r="M565" s="257"/>
      <c r="N565" s="257"/>
      <c r="O565" s="257"/>
      <c r="P565" s="257"/>
      <c r="Q565" s="257"/>
      <c r="R565" s="257"/>
      <c r="S565" s="257"/>
      <c r="T565" s="257"/>
      <c r="U565" s="257"/>
      <c r="V565" s="257"/>
      <c r="W565" s="257"/>
      <c r="X565" s="257"/>
      <c r="Y565" s="257"/>
      <c r="Z565" s="257"/>
    </row>
    <row r="566" spans="1:26" ht="21" customHeight="1">
      <c r="A566" s="257"/>
      <c r="B566" s="257"/>
      <c r="C566" s="257"/>
      <c r="D566" s="257"/>
      <c r="E566" s="257"/>
      <c r="F566" s="257"/>
      <c r="G566" s="257"/>
      <c r="H566" s="257"/>
      <c r="I566" s="257"/>
      <c r="J566" s="257"/>
      <c r="K566" s="257"/>
      <c r="L566" s="257"/>
      <c r="M566" s="257"/>
      <c r="N566" s="257"/>
      <c r="O566" s="257"/>
      <c r="P566" s="257"/>
      <c r="Q566" s="257"/>
      <c r="R566" s="257"/>
      <c r="S566" s="257"/>
      <c r="T566" s="257"/>
      <c r="U566" s="257"/>
      <c r="V566" s="257"/>
      <c r="W566" s="257"/>
      <c r="X566" s="257"/>
      <c r="Y566" s="257"/>
      <c r="Z566" s="257"/>
    </row>
    <row r="567" spans="1:26" ht="21" customHeight="1">
      <c r="A567" s="257"/>
      <c r="B567" s="257"/>
      <c r="C567" s="257"/>
      <c r="D567" s="257"/>
      <c r="E567" s="257"/>
      <c r="F567" s="257"/>
      <c r="G567" s="257"/>
      <c r="H567" s="257"/>
      <c r="I567" s="257"/>
      <c r="J567" s="257"/>
      <c r="K567" s="257"/>
      <c r="L567" s="257"/>
      <c r="M567" s="257"/>
      <c r="N567" s="257"/>
      <c r="O567" s="257"/>
      <c r="P567" s="257"/>
      <c r="Q567" s="257"/>
      <c r="R567" s="257"/>
      <c r="S567" s="257"/>
      <c r="T567" s="257"/>
      <c r="U567" s="257"/>
      <c r="V567" s="257"/>
      <c r="W567" s="257"/>
      <c r="X567" s="257"/>
      <c r="Y567" s="257"/>
      <c r="Z567" s="257"/>
    </row>
    <row r="568" spans="1:26" ht="21" customHeight="1">
      <c r="A568" s="257"/>
      <c r="B568" s="257"/>
      <c r="C568" s="257"/>
      <c r="D568" s="257"/>
      <c r="E568" s="257"/>
      <c r="F568" s="257"/>
      <c r="G568" s="257"/>
      <c r="H568" s="257"/>
      <c r="I568" s="257"/>
      <c r="J568" s="257"/>
      <c r="K568" s="257"/>
      <c r="L568" s="257"/>
      <c r="M568" s="257"/>
      <c r="N568" s="257"/>
      <c r="O568" s="257"/>
      <c r="P568" s="257"/>
      <c r="Q568" s="257"/>
      <c r="R568" s="257"/>
      <c r="S568" s="257"/>
      <c r="T568" s="257"/>
      <c r="U568" s="257"/>
      <c r="V568" s="257"/>
      <c r="W568" s="257"/>
      <c r="X568" s="257"/>
      <c r="Y568" s="257"/>
      <c r="Z568" s="257"/>
    </row>
    <row r="569" spans="1:26" ht="21" customHeight="1">
      <c r="A569" s="257"/>
      <c r="B569" s="257"/>
      <c r="C569" s="257"/>
      <c r="D569" s="257"/>
      <c r="E569" s="257"/>
      <c r="F569" s="257"/>
      <c r="G569" s="257"/>
      <c r="H569" s="257"/>
      <c r="I569" s="257"/>
      <c r="J569" s="257"/>
      <c r="K569" s="257"/>
      <c r="L569" s="257"/>
      <c r="M569" s="257"/>
      <c r="N569" s="257"/>
      <c r="O569" s="257"/>
      <c r="P569" s="257"/>
      <c r="Q569" s="257"/>
      <c r="R569" s="257"/>
      <c r="S569" s="257"/>
      <c r="T569" s="257"/>
      <c r="U569" s="257"/>
      <c r="V569" s="257"/>
      <c r="W569" s="257"/>
      <c r="X569" s="257"/>
      <c r="Y569" s="257"/>
      <c r="Z569" s="257"/>
    </row>
    <row r="570" spans="1:26" ht="21" customHeight="1">
      <c r="A570" s="257"/>
      <c r="B570" s="257"/>
      <c r="C570" s="257"/>
      <c r="D570" s="257"/>
      <c r="E570" s="257"/>
      <c r="F570" s="257"/>
      <c r="G570" s="257"/>
      <c r="H570" s="257"/>
      <c r="I570" s="257"/>
      <c r="J570" s="257"/>
      <c r="K570" s="257"/>
      <c r="L570" s="257"/>
      <c r="M570" s="257"/>
      <c r="N570" s="257"/>
      <c r="O570" s="257"/>
      <c r="P570" s="257"/>
      <c r="Q570" s="257"/>
      <c r="R570" s="257"/>
      <c r="S570" s="257"/>
      <c r="T570" s="257"/>
      <c r="U570" s="257"/>
      <c r="V570" s="257"/>
      <c r="W570" s="257"/>
      <c r="X570" s="257"/>
      <c r="Y570" s="257"/>
      <c r="Z570" s="257"/>
    </row>
    <row r="571" spans="1:26" ht="21" customHeight="1">
      <c r="A571" s="257"/>
      <c r="B571" s="257"/>
      <c r="C571" s="257"/>
      <c r="D571" s="257"/>
      <c r="E571" s="257"/>
      <c r="F571" s="257"/>
      <c r="G571" s="257"/>
      <c r="H571" s="257"/>
      <c r="I571" s="257"/>
      <c r="J571" s="257"/>
      <c r="K571" s="257"/>
      <c r="L571" s="257"/>
      <c r="M571" s="257"/>
      <c r="N571" s="257"/>
      <c r="O571" s="257"/>
      <c r="P571" s="257"/>
      <c r="Q571" s="257"/>
      <c r="R571" s="257"/>
      <c r="S571" s="257"/>
      <c r="T571" s="257"/>
      <c r="U571" s="257"/>
      <c r="V571" s="257"/>
      <c r="W571" s="257"/>
      <c r="X571" s="257"/>
      <c r="Y571" s="257"/>
      <c r="Z571" s="257"/>
    </row>
    <row r="572" spans="1:26" ht="21" customHeight="1">
      <c r="A572" s="257"/>
      <c r="B572" s="257"/>
      <c r="C572" s="257"/>
      <c r="D572" s="257"/>
      <c r="E572" s="257"/>
      <c r="F572" s="257"/>
      <c r="G572" s="257"/>
      <c r="H572" s="257"/>
      <c r="I572" s="257"/>
      <c r="J572" s="257"/>
      <c r="K572" s="257"/>
      <c r="L572" s="257"/>
      <c r="M572" s="257"/>
      <c r="N572" s="257"/>
      <c r="O572" s="257"/>
      <c r="P572" s="257"/>
      <c r="Q572" s="257"/>
      <c r="R572" s="257"/>
      <c r="S572" s="257"/>
      <c r="T572" s="257"/>
      <c r="U572" s="257"/>
      <c r="V572" s="257"/>
      <c r="W572" s="257"/>
      <c r="X572" s="257"/>
      <c r="Y572" s="257"/>
      <c r="Z572" s="257"/>
    </row>
    <row r="573" spans="1:26" ht="21" customHeight="1">
      <c r="A573" s="257"/>
      <c r="B573" s="257"/>
      <c r="C573" s="257"/>
      <c r="D573" s="257"/>
      <c r="E573" s="257"/>
      <c r="F573" s="257"/>
      <c r="G573" s="257"/>
      <c r="H573" s="257"/>
      <c r="I573" s="257"/>
      <c r="J573" s="257"/>
      <c r="K573" s="257"/>
      <c r="L573" s="257"/>
      <c r="M573" s="257"/>
      <c r="N573" s="257"/>
      <c r="O573" s="257"/>
      <c r="P573" s="257"/>
      <c r="Q573" s="257"/>
      <c r="R573" s="257"/>
      <c r="S573" s="257"/>
      <c r="T573" s="257"/>
      <c r="U573" s="257"/>
      <c r="V573" s="257"/>
      <c r="W573" s="257"/>
      <c r="X573" s="257"/>
      <c r="Y573" s="257"/>
      <c r="Z573" s="257"/>
    </row>
    <row r="574" spans="1:26" ht="21" customHeight="1">
      <c r="A574" s="257"/>
      <c r="B574" s="257"/>
      <c r="C574" s="257"/>
      <c r="D574" s="257"/>
      <c r="E574" s="257"/>
      <c r="F574" s="257"/>
      <c r="G574" s="257"/>
      <c r="H574" s="257"/>
      <c r="I574" s="257"/>
      <c r="J574" s="257"/>
      <c r="K574" s="257"/>
      <c r="L574" s="257"/>
      <c r="M574" s="257"/>
      <c r="N574" s="257"/>
      <c r="O574" s="257"/>
      <c r="P574" s="257"/>
      <c r="Q574" s="257"/>
      <c r="R574" s="257"/>
      <c r="S574" s="257"/>
      <c r="T574" s="257"/>
      <c r="U574" s="257"/>
      <c r="V574" s="257"/>
      <c r="W574" s="257"/>
      <c r="X574" s="257"/>
      <c r="Y574" s="257"/>
      <c r="Z574" s="257"/>
    </row>
    <row r="575" spans="1:26" ht="21" customHeight="1">
      <c r="A575" s="257"/>
      <c r="B575" s="257"/>
      <c r="C575" s="257"/>
      <c r="D575" s="257"/>
      <c r="E575" s="257"/>
      <c r="F575" s="257"/>
      <c r="G575" s="257"/>
      <c r="H575" s="257"/>
      <c r="I575" s="257"/>
      <c r="J575" s="257"/>
      <c r="K575" s="257"/>
      <c r="L575" s="257"/>
      <c r="M575" s="257"/>
      <c r="N575" s="257"/>
      <c r="O575" s="257"/>
      <c r="P575" s="257"/>
      <c r="Q575" s="257"/>
      <c r="R575" s="257"/>
      <c r="S575" s="257"/>
      <c r="T575" s="257"/>
      <c r="U575" s="257"/>
      <c r="V575" s="257"/>
      <c r="W575" s="257"/>
      <c r="X575" s="257"/>
      <c r="Y575" s="257"/>
      <c r="Z575" s="257"/>
    </row>
    <row r="576" spans="1:26" ht="21" customHeight="1">
      <c r="A576" s="257"/>
      <c r="B576" s="257"/>
      <c r="C576" s="257"/>
      <c r="D576" s="257"/>
      <c r="E576" s="257"/>
      <c r="F576" s="257"/>
      <c r="G576" s="257"/>
      <c r="H576" s="257"/>
      <c r="I576" s="257"/>
      <c r="J576" s="257"/>
      <c r="K576" s="257"/>
      <c r="L576" s="257"/>
      <c r="M576" s="257"/>
      <c r="N576" s="257"/>
      <c r="O576" s="257"/>
      <c r="P576" s="257"/>
      <c r="Q576" s="257"/>
      <c r="R576" s="257"/>
      <c r="S576" s="257"/>
      <c r="T576" s="257"/>
      <c r="U576" s="257"/>
      <c r="V576" s="257"/>
      <c r="W576" s="257"/>
      <c r="X576" s="257"/>
      <c r="Y576" s="257"/>
      <c r="Z576" s="257"/>
    </row>
    <row r="577" spans="1:26" ht="21" customHeight="1">
      <c r="A577" s="257"/>
      <c r="B577" s="257"/>
      <c r="C577" s="257"/>
      <c r="D577" s="257"/>
      <c r="E577" s="257"/>
      <c r="F577" s="257"/>
      <c r="G577" s="257"/>
      <c r="H577" s="257"/>
      <c r="I577" s="257"/>
      <c r="J577" s="257"/>
      <c r="K577" s="257"/>
      <c r="L577" s="257"/>
      <c r="M577" s="257"/>
      <c r="N577" s="257"/>
      <c r="O577" s="257"/>
      <c r="P577" s="257"/>
      <c r="Q577" s="257"/>
      <c r="R577" s="257"/>
      <c r="S577" s="257"/>
      <c r="T577" s="257"/>
      <c r="U577" s="257"/>
      <c r="V577" s="257"/>
      <c r="W577" s="257"/>
      <c r="X577" s="257"/>
      <c r="Y577" s="257"/>
      <c r="Z577" s="257"/>
    </row>
    <row r="578" spans="1:26" ht="21" customHeight="1">
      <c r="A578" s="257"/>
      <c r="B578" s="257"/>
      <c r="C578" s="257"/>
      <c r="D578" s="257"/>
      <c r="E578" s="257"/>
      <c r="F578" s="257"/>
      <c r="G578" s="257"/>
      <c r="H578" s="257"/>
      <c r="I578" s="257"/>
      <c r="J578" s="257"/>
      <c r="K578" s="257"/>
      <c r="L578" s="257"/>
      <c r="M578" s="257"/>
      <c r="N578" s="257"/>
      <c r="O578" s="257"/>
      <c r="P578" s="257"/>
      <c r="Q578" s="257"/>
      <c r="R578" s="257"/>
      <c r="S578" s="257"/>
      <c r="T578" s="257"/>
      <c r="U578" s="257"/>
      <c r="V578" s="257"/>
      <c r="W578" s="257"/>
      <c r="X578" s="257"/>
      <c r="Y578" s="257"/>
      <c r="Z578" s="257"/>
    </row>
    <row r="579" spans="1:26" ht="21" customHeight="1">
      <c r="A579" s="257"/>
      <c r="B579" s="257"/>
      <c r="C579" s="257"/>
      <c r="D579" s="257"/>
      <c r="E579" s="257"/>
      <c r="F579" s="257"/>
      <c r="G579" s="257"/>
      <c r="H579" s="257"/>
      <c r="I579" s="257"/>
      <c r="J579" s="257"/>
      <c r="K579" s="257"/>
      <c r="L579" s="257"/>
      <c r="M579" s="257"/>
      <c r="N579" s="257"/>
      <c r="O579" s="257"/>
      <c r="P579" s="257"/>
      <c r="Q579" s="257"/>
      <c r="R579" s="257"/>
      <c r="S579" s="257"/>
      <c r="T579" s="257"/>
      <c r="U579" s="257"/>
      <c r="V579" s="257"/>
      <c r="W579" s="257"/>
      <c r="X579" s="257"/>
      <c r="Y579" s="257"/>
      <c r="Z579" s="257"/>
    </row>
    <row r="580" spans="1:26" ht="21" customHeight="1">
      <c r="A580" s="257"/>
      <c r="B580" s="257"/>
      <c r="C580" s="257"/>
      <c r="D580" s="257"/>
      <c r="E580" s="257"/>
      <c r="F580" s="257"/>
      <c r="G580" s="257"/>
      <c r="H580" s="257"/>
      <c r="I580" s="257"/>
      <c r="J580" s="257"/>
      <c r="K580" s="257"/>
      <c r="L580" s="257"/>
      <c r="M580" s="257"/>
      <c r="N580" s="257"/>
      <c r="O580" s="257"/>
      <c r="P580" s="257"/>
      <c r="Q580" s="257"/>
      <c r="R580" s="257"/>
      <c r="S580" s="257"/>
      <c r="T580" s="257"/>
      <c r="U580" s="257"/>
      <c r="V580" s="257"/>
      <c r="W580" s="257"/>
      <c r="X580" s="257"/>
      <c r="Y580" s="257"/>
      <c r="Z580" s="257"/>
    </row>
    <row r="581" spans="1:26" ht="21" customHeight="1">
      <c r="A581" s="257"/>
      <c r="B581" s="257"/>
      <c r="C581" s="257"/>
      <c r="D581" s="257"/>
      <c r="E581" s="257"/>
      <c r="F581" s="257"/>
      <c r="G581" s="257"/>
      <c r="H581" s="257"/>
      <c r="I581" s="257"/>
      <c r="J581" s="257"/>
      <c r="K581" s="257"/>
      <c r="L581" s="257"/>
      <c r="M581" s="257"/>
      <c r="N581" s="257"/>
      <c r="O581" s="257"/>
      <c r="P581" s="257"/>
      <c r="Q581" s="257"/>
      <c r="R581" s="257"/>
      <c r="S581" s="257"/>
      <c r="T581" s="257"/>
      <c r="U581" s="257"/>
      <c r="V581" s="257"/>
      <c r="W581" s="257"/>
      <c r="X581" s="257"/>
      <c r="Y581" s="257"/>
      <c r="Z581" s="257"/>
    </row>
    <row r="582" spans="1:26" ht="21" customHeight="1">
      <c r="A582" s="257"/>
      <c r="B582" s="257"/>
      <c r="C582" s="257"/>
      <c r="D582" s="257"/>
      <c r="E582" s="257"/>
      <c r="F582" s="257"/>
      <c r="G582" s="257"/>
      <c r="H582" s="257"/>
      <c r="I582" s="257"/>
      <c r="J582" s="257"/>
      <c r="K582" s="257"/>
      <c r="L582" s="257"/>
      <c r="M582" s="257"/>
      <c r="N582" s="257"/>
      <c r="O582" s="257"/>
      <c r="P582" s="257"/>
      <c r="Q582" s="257"/>
      <c r="R582" s="257"/>
      <c r="S582" s="257"/>
      <c r="T582" s="257"/>
      <c r="U582" s="257"/>
      <c r="V582" s="257"/>
      <c r="W582" s="257"/>
      <c r="X582" s="257"/>
      <c r="Y582" s="257"/>
      <c r="Z582" s="257"/>
    </row>
    <row r="583" spans="1:26" ht="21" customHeight="1">
      <c r="A583" s="257"/>
      <c r="B583" s="257"/>
      <c r="C583" s="257"/>
      <c r="D583" s="257"/>
      <c r="E583" s="257"/>
      <c r="F583" s="257"/>
      <c r="G583" s="257"/>
      <c r="H583" s="257"/>
      <c r="I583" s="257"/>
      <c r="J583" s="257"/>
      <c r="K583" s="257"/>
      <c r="L583" s="257"/>
      <c r="M583" s="257"/>
      <c r="N583" s="257"/>
      <c r="O583" s="257"/>
      <c r="P583" s="257"/>
      <c r="Q583" s="257"/>
      <c r="R583" s="257"/>
      <c r="S583" s="257"/>
      <c r="T583" s="257"/>
      <c r="U583" s="257"/>
      <c r="V583" s="257"/>
      <c r="W583" s="257"/>
      <c r="X583" s="257"/>
      <c r="Y583" s="257"/>
      <c r="Z583" s="257"/>
    </row>
    <row r="584" spans="1:26" ht="21" customHeight="1">
      <c r="A584" s="257"/>
      <c r="B584" s="257"/>
      <c r="C584" s="257"/>
      <c r="D584" s="257"/>
      <c r="E584" s="257"/>
      <c r="F584" s="257"/>
      <c r="G584" s="257"/>
      <c r="H584" s="257"/>
      <c r="I584" s="257"/>
      <c r="J584" s="257"/>
      <c r="K584" s="257"/>
      <c r="L584" s="257"/>
      <c r="M584" s="257"/>
      <c r="N584" s="257"/>
      <c r="O584" s="257"/>
      <c r="P584" s="257"/>
      <c r="Q584" s="257"/>
      <c r="R584" s="257"/>
      <c r="S584" s="257"/>
      <c r="T584" s="257"/>
      <c r="U584" s="257"/>
      <c r="V584" s="257"/>
      <c r="W584" s="257"/>
      <c r="X584" s="257"/>
      <c r="Y584" s="257"/>
      <c r="Z584" s="257"/>
    </row>
    <row r="585" spans="1:26" ht="21" customHeight="1">
      <c r="A585" s="257"/>
      <c r="B585" s="257"/>
      <c r="C585" s="257"/>
      <c r="D585" s="257"/>
      <c r="E585" s="257"/>
      <c r="F585" s="257"/>
      <c r="G585" s="257"/>
      <c r="H585" s="257"/>
      <c r="I585" s="257"/>
      <c r="J585" s="257"/>
      <c r="K585" s="257"/>
      <c r="L585" s="257"/>
      <c r="M585" s="257"/>
      <c r="N585" s="257"/>
      <c r="O585" s="257"/>
      <c r="P585" s="257"/>
      <c r="Q585" s="257"/>
      <c r="R585" s="257"/>
      <c r="S585" s="257"/>
      <c r="T585" s="257"/>
      <c r="U585" s="257"/>
      <c r="V585" s="257"/>
      <c r="W585" s="257"/>
      <c r="X585" s="257"/>
      <c r="Y585" s="257"/>
      <c r="Z585" s="257"/>
    </row>
    <row r="586" spans="1:26" ht="21" customHeight="1">
      <c r="A586" s="257"/>
      <c r="B586" s="257"/>
      <c r="C586" s="257"/>
      <c r="D586" s="257"/>
      <c r="E586" s="257"/>
      <c r="F586" s="257"/>
      <c r="G586" s="257"/>
      <c r="H586" s="257"/>
      <c r="I586" s="257"/>
      <c r="J586" s="257"/>
      <c r="K586" s="257"/>
      <c r="L586" s="257"/>
      <c r="M586" s="257"/>
      <c r="N586" s="257"/>
      <c r="O586" s="257"/>
      <c r="P586" s="257"/>
      <c r="Q586" s="257"/>
      <c r="R586" s="257"/>
      <c r="S586" s="257"/>
      <c r="T586" s="257"/>
      <c r="U586" s="257"/>
      <c r="V586" s="257"/>
      <c r="W586" s="257"/>
      <c r="X586" s="257"/>
      <c r="Y586" s="257"/>
      <c r="Z586" s="257"/>
    </row>
    <row r="587" spans="1:26" ht="21" customHeight="1">
      <c r="A587" s="257"/>
      <c r="B587" s="257"/>
      <c r="C587" s="257"/>
      <c r="D587" s="257"/>
      <c r="E587" s="257"/>
      <c r="F587" s="257"/>
      <c r="G587" s="257"/>
      <c r="H587" s="257"/>
      <c r="I587" s="257"/>
      <c r="J587" s="257"/>
      <c r="K587" s="257"/>
      <c r="L587" s="257"/>
      <c r="M587" s="257"/>
      <c r="N587" s="257"/>
      <c r="O587" s="257"/>
      <c r="P587" s="257"/>
      <c r="Q587" s="257"/>
      <c r="R587" s="257"/>
      <c r="S587" s="257"/>
      <c r="T587" s="257"/>
      <c r="U587" s="257"/>
      <c r="V587" s="257"/>
      <c r="W587" s="257"/>
      <c r="X587" s="257"/>
      <c r="Y587" s="257"/>
      <c r="Z587" s="257"/>
    </row>
    <row r="588" spans="1:26" ht="21" customHeight="1">
      <c r="A588" s="257"/>
      <c r="B588" s="257"/>
      <c r="C588" s="257"/>
      <c r="D588" s="257"/>
      <c r="E588" s="257"/>
      <c r="F588" s="257"/>
      <c r="G588" s="257"/>
      <c r="H588" s="257"/>
      <c r="I588" s="257"/>
      <c r="J588" s="257"/>
      <c r="K588" s="257"/>
      <c r="L588" s="257"/>
      <c r="M588" s="257"/>
      <c r="N588" s="257"/>
      <c r="O588" s="257"/>
      <c r="P588" s="257"/>
      <c r="Q588" s="257"/>
      <c r="R588" s="257"/>
      <c r="S588" s="257"/>
      <c r="T588" s="257"/>
      <c r="U588" s="257"/>
      <c r="V588" s="257"/>
      <c r="W588" s="257"/>
      <c r="X588" s="257"/>
      <c r="Y588" s="257"/>
      <c r="Z588" s="257"/>
    </row>
    <row r="589" spans="1:26" ht="21" customHeight="1">
      <c r="A589" s="257"/>
      <c r="B589" s="257"/>
      <c r="C589" s="257"/>
      <c r="D589" s="257"/>
      <c r="E589" s="257"/>
      <c r="F589" s="257"/>
      <c r="G589" s="257"/>
      <c r="H589" s="257"/>
      <c r="I589" s="257"/>
      <c r="J589" s="257"/>
      <c r="K589" s="257"/>
      <c r="L589" s="257"/>
      <c r="M589" s="257"/>
      <c r="N589" s="257"/>
      <c r="O589" s="257"/>
      <c r="P589" s="257"/>
      <c r="Q589" s="257"/>
      <c r="R589" s="257"/>
      <c r="S589" s="257"/>
      <c r="T589" s="257"/>
      <c r="U589" s="257"/>
      <c r="V589" s="257"/>
      <c r="W589" s="257"/>
      <c r="X589" s="257"/>
      <c r="Y589" s="257"/>
      <c r="Z589" s="257"/>
    </row>
    <row r="590" spans="1:26" ht="21" customHeight="1">
      <c r="A590" s="257"/>
      <c r="B590" s="257"/>
      <c r="C590" s="257"/>
      <c r="D590" s="257"/>
      <c r="E590" s="257"/>
      <c r="F590" s="257"/>
      <c r="G590" s="257"/>
      <c r="H590" s="257"/>
      <c r="I590" s="257"/>
      <c r="J590" s="257"/>
      <c r="K590" s="257"/>
      <c r="L590" s="257"/>
      <c r="M590" s="257"/>
      <c r="N590" s="257"/>
      <c r="O590" s="257"/>
      <c r="P590" s="257"/>
      <c r="Q590" s="257"/>
      <c r="R590" s="257"/>
      <c r="S590" s="257"/>
      <c r="T590" s="257"/>
      <c r="U590" s="257"/>
      <c r="V590" s="257"/>
      <c r="W590" s="257"/>
      <c r="X590" s="257"/>
      <c r="Y590" s="257"/>
      <c r="Z590" s="257"/>
    </row>
    <row r="591" spans="1:26" ht="21" customHeight="1">
      <c r="A591" s="257"/>
      <c r="B591" s="257"/>
      <c r="C591" s="257"/>
      <c r="D591" s="257"/>
      <c r="E591" s="257"/>
      <c r="F591" s="257"/>
      <c r="G591" s="257"/>
      <c r="H591" s="257"/>
      <c r="I591" s="257"/>
      <c r="J591" s="257"/>
      <c r="K591" s="257"/>
      <c r="L591" s="257"/>
      <c r="M591" s="257"/>
      <c r="N591" s="257"/>
      <c r="O591" s="257"/>
      <c r="P591" s="257"/>
      <c r="Q591" s="257"/>
      <c r="R591" s="257"/>
      <c r="S591" s="257"/>
      <c r="T591" s="257"/>
      <c r="U591" s="257"/>
      <c r="V591" s="257"/>
      <c r="W591" s="257"/>
      <c r="X591" s="257"/>
      <c r="Y591" s="257"/>
      <c r="Z591" s="257"/>
    </row>
    <row r="592" spans="1:26" ht="21" customHeight="1">
      <c r="A592" s="257"/>
      <c r="B592" s="257"/>
      <c r="C592" s="257"/>
      <c r="D592" s="257"/>
      <c r="E592" s="257"/>
      <c r="F592" s="257"/>
      <c r="G592" s="257"/>
      <c r="H592" s="257"/>
      <c r="I592" s="257"/>
      <c r="J592" s="257"/>
      <c r="K592" s="257"/>
      <c r="L592" s="257"/>
      <c r="M592" s="257"/>
      <c r="N592" s="257"/>
      <c r="O592" s="257"/>
      <c r="P592" s="257"/>
      <c r="Q592" s="257"/>
      <c r="R592" s="257"/>
      <c r="S592" s="257"/>
      <c r="T592" s="257"/>
      <c r="U592" s="257"/>
      <c r="V592" s="257"/>
      <c r="W592" s="257"/>
      <c r="X592" s="257"/>
      <c r="Y592" s="257"/>
      <c r="Z592" s="257"/>
    </row>
    <row r="593" spans="1:26" ht="21" customHeight="1">
      <c r="A593" s="257"/>
      <c r="B593" s="257"/>
      <c r="C593" s="257"/>
      <c r="D593" s="257"/>
      <c r="E593" s="257"/>
      <c r="F593" s="257"/>
      <c r="G593" s="257"/>
      <c r="H593" s="257"/>
      <c r="I593" s="257"/>
      <c r="J593" s="257"/>
      <c r="K593" s="257"/>
      <c r="L593" s="257"/>
      <c r="M593" s="257"/>
      <c r="N593" s="257"/>
      <c r="O593" s="257"/>
      <c r="P593" s="257"/>
      <c r="Q593" s="257"/>
      <c r="R593" s="257"/>
      <c r="S593" s="257"/>
      <c r="T593" s="257"/>
      <c r="U593" s="257"/>
      <c r="V593" s="257"/>
      <c r="W593" s="257"/>
      <c r="X593" s="257"/>
      <c r="Y593" s="257"/>
      <c r="Z593" s="257"/>
    </row>
    <row r="594" spans="1:26" ht="21" customHeight="1">
      <c r="A594" s="257"/>
      <c r="B594" s="257"/>
      <c r="C594" s="257"/>
      <c r="D594" s="257"/>
      <c r="E594" s="257"/>
      <c r="F594" s="257"/>
      <c r="G594" s="257"/>
      <c r="H594" s="257"/>
      <c r="I594" s="257"/>
      <c r="J594" s="257"/>
      <c r="K594" s="257"/>
      <c r="L594" s="257"/>
      <c r="M594" s="257"/>
      <c r="N594" s="257"/>
      <c r="O594" s="257"/>
      <c r="P594" s="257"/>
      <c r="Q594" s="257"/>
      <c r="R594" s="257"/>
      <c r="S594" s="257"/>
      <c r="T594" s="257"/>
      <c r="U594" s="257"/>
      <c r="V594" s="257"/>
      <c r="W594" s="257"/>
      <c r="X594" s="257"/>
      <c r="Y594" s="257"/>
      <c r="Z594" s="257"/>
    </row>
    <row r="595" spans="1:26" ht="21" customHeight="1">
      <c r="A595" s="257"/>
      <c r="B595" s="257"/>
      <c r="C595" s="257"/>
      <c r="D595" s="257"/>
      <c r="E595" s="257"/>
      <c r="F595" s="257"/>
      <c r="G595" s="257"/>
      <c r="H595" s="257"/>
      <c r="I595" s="257"/>
      <c r="J595" s="257"/>
      <c r="K595" s="257"/>
      <c r="L595" s="257"/>
      <c r="M595" s="257"/>
      <c r="N595" s="257"/>
      <c r="O595" s="257"/>
      <c r="P595" s="257"/>
      <c r="Q595" s="257"/>
      <c r="R595" s="257"/>
      <c r="S595" s="257"/>
      <c r="T595" s="257"/>
      <c r="U595" s="257"/>
      <c r="V595" s="257"/>
      <c r="W595" s="257"/>
      <c r="X595" s="257"/>
      <c r="Y595" s="257"/>
      <c r="Z595" s="257"/>
    </row>
    <row r="596" spans="1:26" ht="21" customHeight="1">
      <c r="A596" s="257"/>
      <c r="B596" s="257"/>
      <c r="C596" s="257"/>
      <c r="D596" s="257"/>
      <c r="E596" s="257"/>
      <c r="F596" s="257"/>
      <c r="G596" s="257"/>
      <c r="H596" s="257"/>
      <c r="I596" s="257"/>
      <c r="J596" s="257"/>
      <c r="K596" s="257"/>
      <c r="L596" s="257"/>
      <c r="M596" s="257"/>
      <c r="N596" s="257"/>
      <c r="O596" s="257"/>
      <c r="P596" s="257"/>
      <c r="Q596" s="257"/>
      <c r="R596" s="257"/>
      <c r="S596" s="257"/>
      <c r="T596" s="257"/>
      <c r="U596" s="257"/>
      <c r="V596" s="257"/>
      <c r="W596" s="257"/>
      <c r="X596" s="257"/>
      <c r="Y596" s="257"/>
      <c r="Z596" s="257"/>
    </row>
    <row r="597" spans="1:26" ht="21" customHeight="1">
      <c r="A597" s="257"/>
      <c r="B597" s="257"/>
      <c r="C597" s="257"/>
      <c r="D597" s="257"/>
      <c r="E597" s="257"/>
      <c r="F597" s="257"/>
      <c r="G597" s="257"/>
      <c r="H597" s="257"/>
      <c r="I597" s="257"/>
      <c r="J597" s="257"/>
      <c r="K597" s="257"/>
      <c r="L597" s="257"/>
      <c r="M597" s="257"/>
      <c r="N597" s="257"/>
      <c r="O597" s="257"/>
      <c r="P597" s="257"/>
      <c r="Q597" s="257"/>
      <c r="R597" s="257"/>
      <c r="S597" s="257"/>
      <c r="T597" s="257"/>
      <c r="U597" s="257"/>
      <c r="V597" s="257"/>
      <c r="W597" s="257"/>
      <c r="X597" s="257"/>
      <c r="Y597" s="257"/>
      <c r="Z597" s="257"/>
    </row>
    <row r="598" spans="1:26" ht="21" customHeight="1">
      <c r="A598" s="257"/>
      <c r="B598" s="257"/>
      <c r="C598" s="257"/>
      <c r="D598" s="257"/>
      <c r="E598" s="257"/>
      <c r="F598" s="257"/>
      <c r="G598" s="257"/>
      <c r="H598" s="257"/>
      <c r="I598" s="257"/>
      <c r="J598" s="257"/>
      <c r="K598" s="257"/>
      <c r="L598" s="257"/>
      <c r="M598" s="257"/>
      <c r="N598" s="257"/>
      <c r="O598" s="257"/>
      <c r="P598" s="257"/>
      <c r="Q598" s="257"/>
      <c r="R598" s="257"/>
      <c r="S598" s="257"/>
      <c r="T598" s="257"/>
      <c r="U598" s="257"/>
      <c r="V598" s="257"/>
      <c r="W598" s="257"/>
      <c r="X598" s="257"/>
      <c r="Y598" s="257"/>
      <c r="Z598" s="257"/>
    </row>
    <row r="599" spans="1:26" ht="21" customHeight="1">
      <c r="A599" s="257"/>
      <c r="B599" s="257"/>
      <c r="C599" s="257"/>
      <c r="D599" s="257"/>
      <c r="E599" s="257"/>
      <c r="F599" s="257"/>
      <c r="G599" s="257"/>
      <c r="H599" s="257"/>
      <c r="I599" s="257"/>
      <c r="J599" s="257"/>
      <c r="K599" s="257"/>
      <c r="L599" s="257"/>
      <c r="M599" s="257"/>
      <c r="N599" s="257"/>
      <c r="O599" s="257"/>
      <c r="P599" s="257"/>
      <c r="Q599" s="257"/>
      <c r="R599" s="257"/>
      <c r="S599" s="257"/>
      <c r="T599" s="257"/>
      <c r="U599" s="257"/>
      <c r="V599" s="257"/>
      <c r="W599" s="257"/>
      <c r="X599" s="257"/>
      <c r="Y599" s="257"/>
      <c r="Z599" s="257"/>
    </row>
    <row r="600" spans="1:26" ht="21" customHeight="1">
      <c r="A600" s="257"/>
      <c r="B600" s="257"/>
      <c r="C600" s="257"/>
      <c r="D600" s="257"/>
      <c r="E600" s="257"/>
      <c r="F600" s="257"/>
      <c r="G600" s="257"/>
      <c r="H600" s="257"/>
      <c r="I600" s="257"/>
      <c r="J600" s="257"/>
      <c r="K600" s="257"/>
      <c r="L600" s="257"/>
      <c r="M600" s="257"/>
      <c r="N600" s="257"/>
      <c r="O600" s="257"/>
      <c r="P600" s="257"/>
      <c r="Q600" s="257"/>
      <c r="R600" s="257"/>
      <c r="S600" s="257"/>
      <c r="T600" s="257"/>
      <c r="U600" s="257"/>
      <c r="V600" s="257"/>
      <c r="W600" s="257"/>
      <c r="X600" s="257"/>
      <c r="Y600" s="257"/>
      <c r="Z600" s="257"/>
    </row>
    <row r="601" spans="1:26" ht="21" customHeight="1">
      <c r="A601" s="257"/>
      <c r="B601" s="257"/>
      <c r="C601" s="257"/>
      <c r="D601" s="257"/>
      <c r="E601" s="257"/>
      <c r="F601" s="257"/>
      <c r="G601" s="257"/>
      <c r="H601" s="257"/>
      <c r="I601" s="257"/>
      <c r="J601" s="257"/>
      <c r="K601" s="257"/>
      <c r="L601" s="257"/>
      <c r="M601" s="257"/>
      <c r="N601" s="257"/>
      <c r="O601" s="257"/>
      <c r="P601" s="257"/>
      <c r="Q601" s="257"/>
      <c r="R601" s="257"/>
      <c r="S601" s="257"/>
      <c r="T601" s="257"/>
      <c r="U601" s="257"/>
      <c r="V601" s="257"/>
      <c r="W601" s="257"/>
      <c r="X601" s="257"/>
      <c r="Y601" s="257"/>
      <c r="Z601" s="257"/>
    </row>
    <row r="602" spans="1:26" ht="21" customHeight="1">
      <c r="A602" s="257"/>
      <c r="B602" s="257"/>
      <c r="C602" s="257"/>
      <c r="D602" s="257"/>
      <c r="E602" s="257"/>
      <c r="F602" s="257"/>
      <c r="G602" s="257"/>
      <c r="H602" s="257"/>
      <c r="I602" s="257"/>
      <c r="J602" s="257"/>
      <c r="K602" s="257"/>
      <c r="L602" s="257"/>
      <c r="M602" s="257"/>
      <c r="N602" s="257"/>
      <c r="O602" s="257"/>
      <c r="P602" s="257"/>
      <c r="Q602" s="257"/>
      <c r="R602" s="257"/>
      <c r="S602" s="257"/>
      <c r="T602" s="257"/>
      <c r="U602" s="257"/>
      <c r="V602" s="257"/>
      <c r="W602" s="257"/>
      <c r="X602" s="257"/>
      <c r="Y602" s="257"/>
      <c r="Z602" s="257"/>
    </row>
    <row r="603" spans="1:26" ht="21" customHeight="1">
      <c r="A603" s="257"/>
      <c r="B603" s="257"/>
      <c r="C603" s="257"/>
      <c r="D603" s="257"/>
      <c r="E603" s="257"/>
      <c r="F603" s="257"/>
      <c r="G603" s="257"/>
      <c r="H603" s="257"/>
      <c r="I603" s="257"/>
      <c r="J603" s="257"/>
      <c r="K603" s="257"/>
      <c r="L603" s="257"/>
      <c r="M603" s="257"/>
      <c r="N603" s="257"/>
      <c r="O603" s="257"/>
      <c r="P603" s="257"/>
      <c r="Q603" s="257"/>
      <c r="R603" s="257"/>
      <c r="S603" s="257"/>
      <c r="T603" s="257"/>
      <c r="U603" s="257"/>
      <c r="V603" s="257"/>
      <c r="W603" s="257"/>
      <c r="X603" s="257"/>
      <c r="Y603" s="257"/>
      <c r="Z603" s="257"/>
    </row>
    <row r="604" spans="1:26" ht="21" customHeight="1">
      <c r="A604" s="257"/>
      <c r="B604" s="257"/>
      <c r="C604" s="257"/>
      <c r="D604" s="257"/>
      <c r="E604" s="257"/>
      <c r="F604" s="257"/>
      <c r="G604" s="257"/>
      <c r="H604" s="257"/>
      <c r="I604" s="257"/>
      <c r="J604" s="257"/>
      <c r="K604" s="257"/>
      <c r="L604" s="257"/>
      <c r="M604" s="257"/>
      <c r="N604" s="257"/>
      <c r="O604" s="257"/>
      <c r="P604" s="257"/>
      <c r="Q604" s="257"/>
      <c r="R604" s="257"/>
      <c r="S604" s="257"/>
      <c r="T604" s="257"/>
      <c r="U604" s="257"/>
      <c r="V604" s="257"/>
      <c r="W604" s="257"/>
      <c r="X604" s="257"/>
      <c r="Y604" s="257"/>
      <c r="Z604" s="257"/>
    </row>
    <row r="605" spans="1:26" ht="21" customHeight="1">
      <c r="A605" s="257"/>
      <c r="B605" s="257"/>
      <c r="C605" s="257"/>
      <c r="D605" s="257"/>
      <c r="E605" s="257"/>
      <c r="F605" s="257"/>
      <c r="G605" s="257"/>
      <c r="H605" s="257"/>
      <c r="I605" s="257"/>
      <c r="J605" s="257"/>
      <c r="K605" s="257"/>
      <c r="L605" s="257"/>
      <c r="M605" s="257"/>
      <c r="N605" s="257"/>
      <c r="O605" s="257"/>
      <c r="P605" s="257"/>
      <c r="Q605" s="257"/>
      <c r="R605" s="257"/>
      <c r="S605" s="257"/>
      <c r="T605" s="257"/>
      <c r="U605" s="257"/>
      <c r="V605" s="257"/>
      <c r="W605" s="257"/>
      <c r="X605" s="257"/>
      <c r="Y605" s="257"/>
      <c r="Z605" s="257"/>
    </row>
    <row r="606" spans="1:26" ht="21" customHeight="1">
      <c r="A606" s="257"/>
      <c r="B606" s="257"/>
      <c r="C606" s="257"/>
      <c r="D606" s="257"/>
      <c r="E606" s="257"/>
      <c r="F606" s="257"/>
      <c r="G606" s="257"/>
      <c r="H606" s="257"/>
      <c r="I606" s="257"/>
      <c r="J606" s="257"/>
      <c r="K606" s="257"/>
      <c r="L606" s="257"/>
      <c r="M606" s="257"/>
      <c r="N606" s="257"/>
      <c r="O606" s="257"/>
      <c r="P606" s="257"/>
      <c r="Q606" s="257"/>
      <c r="R606" s="257"/>
      <c r="S606" s="257"/>
      <c r="T606" s="257"/>
      <c r="U606" s="257"/>
      <c r="V606" s="257"/>
      <c r="W606" s="257"/>
      <c r="X606" s="257"/>
      <c r="Y606" s="257"/>
      <c r="Z606" s="257"/>
    </row>
    <row r="607" spans="1:26" ht="21" customHeight="1">
      <c r="A607" s="257"/>
      <c r="B607" s="257"/>
      <c r="C607" s="257"/>
      <c r="D607" s="257"/>
      <c r="E607" s="257"/>
      <c r="F607" s="257"/>
      <c r="G607" s="257"/>
      <c r="H607" s="257"/>
      <c r="I607" s="257"/>
      <c r="J607" s="257"/>
      <c r="K607" s="257"/>
      <c r="L607" s="257"/>
      <c r="M607" s="257"/>
      <c r="N607" s="257"/>
      <c r="O607" s="257"/>
      <c r="P607" s="257"/>
      <c r="Q607" s="257"/>
      <c r="R607" s="257"/>
      <c r="S607" s="257"/>
      <c r="T607" s="257"/>
      <c r="U607" s="257"/>
      <c r="V607" s="257"/>
      <c r="W607" s="257"/>
      <c r="X607" s="257"/>
      <c r="Y607" s="257"/>
      <c r="Z607" s="257"/>
    </row>
    <row r="608" spans="1:26" ht="21" customHeight="1">
      <c r="A608" s="257"/>
      <c r="B608" s="257"/>
      <c r="C608" s="257"/>
      <c r="D608" s="257"/>
      <c r="E608" s="257"/>
      <c r="F608" s="257"/>
      <c r="G608" s="257"/>
      <c r="H608" s="257"/>
      <c r="I608" s="257"/>
      <c r="J608" s="257"/>
      <c r="K608" s="257"/>
      <c r="L608" s="257"/>
      <c r="M608" s="257"/>
      <c r="N608" s="257"/>
      <c r="O608" s="257"/>
      <c r="P608" s="257"/>
      <c r="Q608" s="257"/>
      <c r="R608" s="257"/>
      <c r="S608" s="257"/>
      <c r="T608" s="257"/>
      <c r="U608" s="257"/>
      <c r="V608" s="257"/>
      <c r="W608" s="257"/>
      <c r="X608" s="257"/>
      <c r="Y608" s="257"/>
      <c r="Z608" s="257"/>
    </row>
    <row r="609" spans="1:26" ht="21" customHeight="1">
      <c r="A609" s="257"/>
      <c r="B609" s="257"/>
      <c r="C609" s="257"/>
      <c r="D609" s="257"/>
      <c r="E609" s="257"/>
      <c r="F609" s="257"/>
      <c r="G609" s="257"/>
      <c r="H609" s="257"/>
      <c r="I609" s="257"/>
      <c r="J609" s="257"/>
      <c r="K609" s="257"/>
      <c r="L609" s="257"/>
      <c r="M609" s="257"/>
      <c r="N609" s="257"/>
      <c r="O609" s="257"/>
      <c r="P609" s="257"/>
      <c r="Q609" s="257"/>
      <c r="R609" s="257"/>
      <c r="S609" s="257"/>
      <c r="T609" s="257"/>
      <c r="U609" s="257"/>
      <c r="V609" s="257"/>
      <c r="W609" s="257"/>
      <c r="X609" s="257"/>
      <c r="Y609" s="257"/>
      <c r="Z609" s="257"/>
    </row>
    <row r="610" spans="1:26" ht="21" customHeight="1">
      <c r="A610" s="257"/>
      <c r="B610" s="257"/>
      <c r="C610" s="257"/>
      <c r="D610" s="257"/>
      <c r="E610" s="257"/>
      <c r="F610" s="257"/>
      <c r="G610" s="257"/>
      <c r="H610" s="257"/>
      <c r="I610" s="257"/>
      <c r="J610" s="257"/>
      <c r="K610" s="257"/>
      <c r="L610" s="257"/>
      <c r="M610" s="257"/>
      <c r="N610" s="257"/>
      <c r="O610" s="257"/>
      <c r="P610" s="257"/>
      <c r="Q610" s="257"/>
      <c r="R610" s="257"/>
      <c r="S610" s="257"/>
      <c r="T610" s="257"/>
      <c r="U610" s="257"/>
      <c r="V610" s="257"/>
      <c r="W610" s="257"/>
      <c r="X610" s="257"/>
      <c r="Y610" s="257"/>
      <c r="Z610" s="257"/>
    </row>
    <row r="611" spans="1:26" ht="21" customHeight="1">
      <c r="A611" s="257"/>
      <c r="B611" s="257"/>
      <c r="C611" s="257"/>
      <c r="D611" s="257"/>
      <c r="E611" s="257"/>
      <c r="F611" s="257"/>
      <c r="G611" s="257"/>
      <c r="H611" s="257"/>
      <c r="I611" s="257"/>
      <c r="J611" s="257"/>
      <c r="K611" s="257"/>
      <c r="L611" s="257"/>
      <c r="M611" s="257"/>
      <c r="N611" s="257"/>
      <c r="O611" s="257"/>
      <c r="P611" s="257"/>
      <c r="Q611" s="257"/>
      <c r="R611" s="257"/>
      <c r="S611" s="257"/>
      <c r="T611" s="257"/>
      <c r="U611" s="257"/>
      <c r="V611" s="257"/>
      <c r="W611" s="257"/>
      <c r="X611" s="257"/>
      <c r="Y611" s="257"/>
      <c r="Z611" s="257"/>
    </row>
    <row r="612" spans="1:26" ht="21" customHeight="1">
      <c r="A612" s="257"/>
      <c r="B612" s="257"/>
      <c r="C612" s="257"/>
      <c r="D612" s="257"/>
      <c r="E612" s="257"/>
      <c r="F612" s="257"/>
      <c r="G612" s="257"/>
      <c r="H612" s="257"/>
      <c r="I612" s="257"/>
      <c r="J612" s="257"/>
      <c r="K612" s="257"/>
      <c r="L612" s="257"/>
      <c r="M612" s="257"/>
      <c r="N612" s="257"/>
      <c r="O612" s="257"/>
      <c r="P612" s="257"/>
      <c r="Q612" s="257"/>
      <c r="R612" s="257"/>
      <c r="S612" s="257"/>
      <c r="T612" s="257"/>
      <c r="U612" s="257"/>
      <c r="V612" s="257"/>
      <c r="W612" s="257"/>
      <c r="X612" s="257"/>
      <c r="Y612" s="257"/>
      <c r="Z612" s="257"/>
    </row>
    <row r="613" spans="1:26" ht="21" customHeight="1">
      <c r="A613" s="257"/>
      <c r="B613" s="257"/>
      <c r="C613" s="257"/>
      <c r="D613" s="257"/>
      <c r="E613" s="257"/>
      <c r="F613" s="257"/>
      <c r="G613" s="257"/>
      <c r="H613" s="257"/>
      <c r="I613" s="257"/>
      <c r="J613" s="257"/>
      <c r="K613" s="257"/>
      <c r="L613" s="257"/>
      <c r="M613" s="257"/>
      <c r="N613" s="257"/>
      <c r="O613" s="257"/>
      <c r="P613" s="257"/>
      <c r="Q613" s="257"/>
      <c r="R613" s="257"/>
      <c r="S613" s="257"/>
      <c r="T613" s="257"/>
      <c r="U613" s="257"/>
      <c r="V613" s="257"/>
      <c r="W613" s="257"/>
      <c r="X613" s="257"/>
      <c r="Y613" s="257"/>
      <c r="Z613" s="257"/>
    </row>
    <row r="614" spans="1:26" ht="21" customHeight="1">
      <c r="A614" s="257"/>
      <c r="B614" s="257"/>
      <c r="C614" s="257"/>
      <c r="D614" s="257"/>
      <c r="E614" s="257"/>
      <c r="F614" s="257"/>
      <c r="G614" s="257"/>
      <c r="H614" s="257"/>
      <c r="I614" s="257"/>
      <c r="J614" s="257"/>
      <c r="K614" s="257"/>
      <c r="L614" s="257"/>
      <c r="M614" s="257"/>
      <c r="N614" s="257"/>
      <c r="O614" s="257"/>
      <c r="P614" s="257"/>
      <c r="Q614" s="257"/>
      <c r="R614" s="257"/>
      <c r="S614" s="257"/>
      <c r="T614" s="257"/>
      <c r="U614" s="257"/>
      <c r="V614" s="257"/>
      <c r="W614" s="257"/>
      <c r="X614" s="257"/>
      <c r="Y614" s="257"/>
      <c r="Z614" s="257"/>
    </row>
    <row r="615" spans="1:26" ht="21" customHeight="1">
      <c r="A615" s="257"/>
      <c r="B615" s="257"/>
      <c r="C615" s="257"/>
      <c r="D615" s="257"/>
      <c r="E615" s="257"/>
      <c r="F615" s="257"/>
      <c r="G615" s="257"/>
      <c r="H615" s="257"/>
      <c r="I615" s="257"/>
      <c r="J615" s="257"/>
      <c r="K615" s="257"/>
      <c r="L615" s="257"/>
      <c r="M615" s="257"/>
      <c r="N615" s="257"/>
      <c r="O615" s="257"/>
      <c r="P615" s="257"/>
      <c r="Q615" s="257"/>
      <c r="R615" s="257"/>
      <c r="S615" s="257"/>
      <c r="T615" s="257"/>
      <c r="U615" s="257"/>
      <c r="V615" s="257"/>
      <c r="W615" s="257"/>
      <c r="X615" s="257"/>
      <c r="Y615" s="257"/>
      <c r="Z615" s="257"/>
    </row>
    <row r="616" spans="1:26" ht="21" customHeight="1">
      <c r="A616" s="257"/>
      <c r="B616" s="257"/>
      <c r="C616" s="257"/>
      <c r="D616" s="257"/>
      <c r="E616" s="257"/>
      <c r="F616" s="257"/>
      <c r="G616" s="257"/>
      <c r="H616" s="257"/>
      <c r="I616" s="257"/>
      <c r="J616" s="257"/>
      <c r="K616" s="257"/>
      <c r="L616" s="257"/>
      <c r="M616" s="257"/>
      <c r="N616" s="257"/>
      <c r="O616" s="257"/>
      <c r="P616" s="257"/>
      <c r="Q616" s="257"/>
      <c r="R616" s="257"/>
      <c r="S616" s="257"/>
      <c r="T616" s="257"/>
      <c r="U616" s="257"/>
      <c r="V616" s="257"/>
      <c r="W616" s="257"/>
      <c r="X616" s="257"/>
      <c r="Y616" s="257"/>
      <c r="Z616" s="257"/>
    </row>
    <row r="617" spans="1:26" ht="21" customHeight="1">
      <c r="A617" s="257"/>
      <c r="B617" s="257"/>
      <c r="C617" s="257"/>
      <c r="D617" s="257"/>
      <c r="E617" s="257"/>
      <c r="F617" s="257"/>
      <c r="G617" s="257"/>
      <c r="H617" s="257"/>
      <c r="I617" s="257"/>
      <c r="J617" s="257"/>
      <c r="K617" s="257"/>
      <c r="L617" s="257"/>
      <c r="M617" s="257"/>
      <c r="N617" s="257"/>
      <c r="O617" s="257"/>
      <c r="P617" s="257"/>
      <c r="Q617" s="257"/>
      <c r="R617" s="257"/>
      <c r="S617" s="257"/>
      <c r="T617" s="257"/>
      <c r="U617" s="257"/>
      <c r="V617" s="257"/>
      <c r="W617" s="257"/>
      <c r="X617" s="257"/>
      <c r="Y617" s="257"/>
      <c r="Z617" s="257"/>
    </row>
    <row r="618" spans="1:26" ht="21" customHeight="1">
      <c r="A618" s="257"/>
      <c r="B618" s="257"/>
      <c r="C618" s="257"/>
      <c r="D618" s="257"/>
      <c r="E618" s="257"/>
      <c r="F618" s="257"/>
      <c r="G618" s="257"/>
      <c r="H618" s="257"/>
      <c r="I618" s="257"/>
      <c r="J618" s="257"/>
      <c r="K618" s="257"/>
      <c r="L618" s="257"/>
      <c r="M618" s="257"/>
      <c r="N618" s="257"/>
      <c r="O618" s="257"/>
      <c r="P618" s="257"/>
      <c r="Q618" s="257"/>
      <c r="R618" s="257"/>
      <c r="S618" s="257"/>
      <c r="T618" s="257"/>
      <c r="U618" s="257"/>
      <c r="V618" s="257"/>
      <c r="W618" s="257"/>
      <c r="X618" s="257"/>
      <c r="Y618" s="257"/>
      <c r="Z618" s="257"/>
    </row>
    <row r="619" spans="1:26" ht="21" customHeight="1">
      <c r="A619" s="257"/>
      <c r="B619" s="257"/>
      <c r="C619" s="257"/>
      <c r="D619" s="257"/>
      <c r="E619" s="257"/>
      <c r="F619" s="257"/>
      <c r="G619" s="257"/>
      <c r="H619" s="257"/>
      <c r="I619" s="257"/>
      <c r="J619" s="257"/>
      <c r="K619" s="257"/>
      <c r="L619" s="257"/>
      <c r="M619" s="257"/>
      <c r="N619" s="257"/>
      <c r="O619" s="257"/>
      <c r="P619" s="257"/>
      <c r="Q619" s="257"/>
      <c r="R619" s="257"/>
      <c r="S619" s="257"/>
      <c r="T619" s="257"/>
      <c r="U619" s="257"/>
      <c r="V619" s="257"/>
      <c r="W619" s="257"/>
      <c r="X619" s="257"/>
      <c r="Y619" s="257"/>
      <c r="Z619" s="257"/>
    </row>
    <row r="620" spans="1:26" ht="21" customHeight="1">
      <c r="A620" s="257"/>
      <c r="B620" s="257"/>
      <c r="C620" s="257"/>
      <c r="D620" s="257"/>
      <c r="E620" s="257"/>
      <c r="F620" s="257"/>
      <c r="G620" s="257"/>
      <c r="H620" s="257"/>
      <c r="I620" s="257"/>
      <c r="J620" s="257"/>
      <c r="K620" s="257"/>
      <c r="L620" s="257"/>
      <c r="M620" s="257"/>
      <c r="N620" s="257"/>
      <c r="O620" s="257"/>
      <c r="P620" s="257"/>
      <c r="Q620" s="257"/>
      <c r="R620" s="257"/>
      <c r="S620" s="257"/>
      <c r="T620" s="257"/>
      <c r="U620" s="257"/>
      <c r="V620" s="257"/>
      <c r="W620" s="257"/>
      <c r="X620" s="257"/>
      <c r="Y620" s="257"/>
      <c r="Z620" s="257"/>
    </row>
    <row r="621" spans="1:26" ht="21" customHeight="1">
      <c r="A621" s="257"/>
      <c r="B621" s="257"/>
      <c r="C621" s="257"/>
      <c r="D621" s="257"/>
      <c r="E621" s="257"/>
      <c r="F621" s="257"/>
      <c r="G621" s="257"/>
      <c r="H621" s="257"/>
      <c r="I621" s="257"/>
      <c r="J621" s="257"/>
      <c r="K621" s="257"/>
      <c r="L621" s="257"/>
      <c r="M621" s="257"/>
      <c r="N621" s="257"/>
      <c r="O621" s="257"/>
      <c r="P621" s="257"/>
      <c r="Q621" s="257"/>
      <c r="R621" s="257"/>
      <c r="S621" s="257"/>
      <c r="T621" s="257"/>
      <c r="U621" s="257"/>
      <c r="V621" s="257"/>
      <c r="W621" s="257"/>
      <c r="X621" s="257"/>
      <c r="Y621" s="257"/>
      <c r="Z621" s="257"/>
    </row>
    <row r="622" spans="1:26" ht="21" customHeight="1">
      <c r="A622" s="257"/>
      <c r="B622" s="257"/>
      <c r="C622" s="257"/>
      <c r="D622" s="257"/>
      <c r="E622" s="257"/>
      <c r="F622" s="257"/>
      <c r="G622" s="257"/>
      <c r="H622" s="257"/>
      <c r="I622" s="257"/>
      <c r="J622" s="257"/>
      <c r="K622" s="257"/>
      <c r="L622" s="257"/>
      <c r="M622" s="257"/>
      <c r="N622" s="257"/>
      <c r="O622" s="257"/>
      <c r="P622" s="257"/>
      <c r="Q622" s="257"/>
      <c r="R622" s="257"/>
      <c r="S622" s="257"/>
      <c r="T622" s="257"/>
      <c r="U622" s="257"/>
      <c r="V622" s="257"/>
      <c r="W622" s="257"/>
      <c r="X622" s="257"/>
      <c r="Y622" s="257"/>
      <c r="Z622" s="257"/>
    </row>
    <row r="623" spans="1:26" ht="21" customHeight="1">
      <c r="A623" s="257"/>
      <c r="B623" s="257"/>
      <c r="C623" s="257"/>
      <c r="D623" s="257"/>
      <c r="E623" s="257"/>
      <c r="F623" s="257"/>
      <c r="G623" s="257"/>
      <c r="H623" s="257"/>
      <c r="I623" s="257"/>
      <c r="J623" s="257"/>
      <c r="K623" s="257"/>
      <c r="L623" s="257"/>
      <c r="M623" s="257"/>
      <c r="N623" s="257"/>
      <c r="O623" s="257"/>
      <c r="P623" s="257"/>
      <c r="Q623" s="257"/>
      <c r="R623" s="257"/>
      <c r="S623" s="257"/>
      <c r="T623" s="257"/>
      <c r="U623" s="257"/>
      <c r="V623" s="257"/>
      <c r="W623" s="257"/>
      <c r="X623" s="257"/>
      <c r="Y623" s="257"/>
      <c r="Z623" s="257"/>
    </row>
    <row r="624" spans="1:26" ht="21" customHeight="1">
      <c r="A624" s="257"/>
      <c r="B624" s="257"/>
      <c r="C624" s="257"/>
      <c r="D624" s="257"/>
      <c r="E624" s="257"/>
      <c r="F624" s="257"/>
      <c r="G624" s="257"/>
      <c r="H624" s="257"/>
      <c r="I624" s="257"/>
      <c r="J624" s="257"/>
      <c r="K624" s="257"/>
      <c r="L624" s="257"/>
      <c r="M624" s="257"/>
      <c r="N624" s="257"/>
      <c r="O624" s="257"/>
      <c r="P624" s="257"/>
      <c r="Q624" s="257"/>
      <c r="R624" s="257"/>
      <c r="S624" s="257"/>
      <c r="T624" s="257"/>
      <c r="U624" s="257"/>
      <c r="V624" s="257"/>
      <c r="W624" s="257"/>
      <c r="X624" s="257"/>
      <c r="Y624" s="257"/>
      <c r="Z624" s="257"/>
    </row>
    <row r="625" spans="1:26" ht="21" customHeight="1">
      <c r="A625" s="257"/>
      <c r="B625" s="257"/>
      <c r="C625" s="257"/>
      <c r="D625" s="257"/>
      <c r="E625" s="257"/>
      <c r="F625" s="257"/>
      <c r="G625" s="257"/>
      <c r="H625" s="257"/>
      <c r="I625" s="257"/>
      <c r="J625" s="257"/>
      <c r="K625" s="257"/>
      <c r="L625" s="257"/>
      <c r="M625" s="257"/>
      <c r="N625" s="257"/>
      <c r="O625" s="257"/>
      <c r="P625" s="257"/>
      <c r="Q625" s="257"/>
      <c r="R625" s="257"/>
      <c r="S625" s="257"/>
      <c r="T625" s="257"/>
      <c r="U625" s="257"/>
      <c r="V625" s="257"/>
      <c r="W625" s="257"/>
      <c r="X625" s="257"/>
      <c r="Y625" s="257"/>
      <c r="Z625" s="257"/>
    </row>
    <row r="626" spans="1:26" ht="21" customHeight="1">
      <c r="A626" s="257"/>
      <c r="B626" s="257"/>
      <c r="C626" s="257"/>
      <c r="D626" s="257"/>
      <c r="E626" s="257"/>
      <c r="F626" s="257"/>
      <c r="G626" s="257"/>
      <c r="H626" s="257"/>
      <c r="I626" s="257"/>
      <c r="J626" s="257"/>
      <c r="K626" s="257"/>
      <c r="L626" s="257"/>
      <c r="M626" s="257"/>
      <c r="N626" s="257"/>
      <c r="O626" s="257"/>
      <c r="P626" s="257"/>
      <c r="Q626" s="257"/>
      <c r="R626" s="257"/>
      <c r="S626" s="257"/>
      <c r="T626" s="257"/>
      <c r="U626" s="257"/>
      <c r="V626" s="257"/>
      <c r="W626" s="257"/>
      <c r="X626" s="257"/>
      <c r="Y626" s="257"/>
      <c r="Z626" s="257"/>
    </row>
    <row r="627" spans="1:26" ht="21" customHeight="1">
      <c r="A627" s="257"/>
      <c r="B627" s="257"/>
      <c r="C627" s="257"/>
      <c r="D627" s="257"/>
      <c r="E627" s="257"/>
      <c r="F627" s="257"/>
      <c r="G627" s="257"/>
      <c r="H627" s="257"/>
      <c r="I627" s="257"/>
      <c r="J627" s="257"/>
      <c r="K627" s="257"/>
      <c r="L627" s="257"/>
      <c r="M627" s="257"/>
      <c r="N627" s="257"/>
      <c r="O627" s="257"/>
      <c r="P627" s="257"/>
      <c r="Q627" s="257"/>
      <c r="R627" s="257"/>
      <c r="S627" s="257"/>
      <c r="T627" s="257"/>
      <c r="U627" s="257"/>
      <c r="V627" s="257"/>
      <c r="W627" s="257"/>
      <c r="X627" s="257"/>
      <c r="Y627" s="257"/>
      <c r="Z627" s="257"/>
    </row>
    <row r="628" spans="1:26" ht="21" customHeight="1">
      <c r="A628" s="257"/>
      <c r="B628" s="257"/>
      <c r="C628" s="257"/>
      <c r="D628" s="257"/>
      <c r="E628" s="257"/>
      <c r="F628" s="257"/>
      <c r="G628" s="257"/>
      <c r="H628" s="257"/>
      <c r="I628" s="257"/>
      <c r="J628" s="257"/>
      <c r="K628" s="257"/>
      <c r="L628" s="257"/>
      <c r="M628" s="257"/>
      <c r="N628" s="257"/>
      <c r="O628" s="257"/>
      <c r="P628" s="257"/>
      <c r="Q628" s="257"/>
      <c r="R628" s="257"/>
      <c r="S628" s="257"/>
      <c r="T628" s="257"/>
      <c r="U628" s="257"/>
      <c r="V628" s="257"/>
      <c r="W628" s="257"/>
      <c r="X628" s="257"/>
      <c r="Y628" s="257"/>
      <c r="Z628" s="257"/>
    </row>
    <row r="629" spans="1:26" ht="21" customHeight="1">
      <c r="A629" s="257"/>
      <c r="B629" s="257"/>
      <c r="C629" s="257"/>
      <c r="D629" s="257"/>
      <c r="E629" s="257"/>
      <c r="F629" s="257"/>
      <c r="G629" s="257"/>
      <c r="H629" s="257"/>
      <c r="I629" s="257"/>
      <c r="J629" s="257"/>
      <c r="K629" s="257"/>
      <c r="L629" s="257"/>
      <c r="M629" s="257"/>
      <c r="N629" s="257"/>
      <c r="O629" s="257"/>
      <c r="P629" s="257"/>
      <c r="Q629" s="257"/>
      <c r="R629" s="257"/>
      <c r="S629" s="257"/>
      <c r="T629" s="257"/>
      <c r="U629" s="257"/>
      <c r="V629" s="257"/>
      <c r="W629" s="257"/>
      <c r="X629" s="257"/>
      <c r="Y629" s="257"/>
      <c r="Z629" s="257"/>
    </row>
    <row r="630" spans="1:26" ht="21" customHeight="1">
      <c r="A630" s="257"/>
      <c r="B630" s="257"/>
      <c r="C630" s="257"/>
      <c r="D630" s="257"/>
      <c r="E630" s="257"/>
      <c r="F630" s="257"/>
      <c r="G630" s="257"/>
      <c r="H630" s="257"/>
      <c r="I630" s="257"/>
      <c r="J630" s="257"/>
      <c r="K630" s="257"/>
      <c r="L630" s="257"/>
      <c r="M630" s="257"/>
      <c r="N630" s="257"/>
      <c r="O630" s="257"/>
      <c r="P630" s="257"/>
      <c r="Q630" s="257"/>
      <c r="R630" s="257"/>
      <c r="S630" s="257"/>
      <c r="T630" s="257"/>
      <c r="U630" s="257"/>
      <c r="V630" s="257"/>
      <c r="W630" s="257"/>
      <c r="X630" s="257"/>
      <c r="Y630" s="257"/>
      <c r="Z630" s="257"/>
    </row>
    <row r="631" spans="1:26" ht="21" customHeight="1">
      <c r="A631" s="257"/>
      <c r="B631" s="257"/>
      <c r="C631" s="257"/>
      <c r="D631" s="257"/>
      <c r="E631" s="257"/>
      <c r="F631" s="257"/>
      <c r="G631" s="257"/>
      <c r="H631" s="257"/>
      <c r="I631" s="257"/>
      <c r="J631" s="257"/>
      <c r="K631" s="257"/>
      <c r="L631" s="257"/>
      <c r="M631" s="257"/>
      <c r="N631" s="257"/>
      <c r="O631" s="257"/>
      <c r="P631" s="257"/>
      <c r="Q631" s="257"/>
      <c r="R631" s="257"/>
      <c r="S631" s="257"/>
      <c r="T631" s="257"/>
      <c r="U631" s="257"/>
      <c r="V631" s="257"/>
      <c r="W631" s="257"/>
      <c r="X631" s="257"/>
      <c r="Y631" s="257"/>
      <c r="Z631" s="257"/>
    </row>
    <row r="632" spans="1:26" ht="21" customHeight="1">
      <c r="A632" s="257"/>
      <c r="B632" s="257"/>
      <c r="C632" s="257"/>
      <c r="D632" s="257"/>
      <c r="E632" s="257"/>
      <c r="F632" s="257"/>
      <c r="G632" s="257"/>
      <c r="H632" s="257"/>
      <c r="I632" s="257"/>
      <c r="J632" s="257"/>
      <c r="K632" s="257"/>
      <c r="L632" s="257"/>
      <c r="M632" s="257"/>
      <c r="N632" s="257"/>
      <c r="O632" s="257"/>
      <c r="P632" s="257"/>
      <c r="Q632" s="257"/>
      <c r="R632" s="257"/>
      <c r="S632" s="257"/>
      <c r="T632" s="257"/>
      <c r="U632" s="257"/>
      <c r="V632" s="257"/>
      <c r="W632" s="257"/>
      <c r="X632" s="257"/>
      <c r="Y632" s="257"/>
      <c r="Z632" s="257"/>
    </row>
    <row r="633" spans="1:26" ht="21" customHeight="1">
      <c r="A633" s="257"/>
      <c r="B633" s="257"/>
      <c r="C633" s="257"/>
      <c r="D633" s="257"/>
      <c r="E633" s="257"/>
      <c r="F633" s="257"/>
      <c r="G633" s="257"/>
      <c r="H633" s="257"/>
      <c r="I633" s="257"/>
      <c r="J633" s="257"/>
      <c r="K633" s="257"/>
      <c r="L633" s="257"/>
      <c r="M633" s="257"/>
      <c r="N633" s="257"/>
      <c r="O633" s="257"/>
      <c r="P633" s="257"/>
      <c r="Q633" s="257"/>
      <c r="R633" s="257"/>
      <c r="S633" s="257"/>
      <c r="T633" s="257"/>
      <c r="U633" s="257"/>
      <c r="V633" s="257"/>
      <c r="W633" s="257"/>
      <c r="X633" s="257"/>
      <c r="Y633" s="257"/>
      <c r="Z633" s="257"/>
    </row>
    <row r="634" spans="1:26" ht="21" customHeight="1">
      <c r="A634" s="257"/>
      <c r="B634" s="257"/>
      <c r="C634" s="257"/>
      <c r="D634" s="257"/>
      <c r="E634" s="257"/>
      <c r="F634" s="257"/>
      <c r="G634" s="257"/>
      <c r="H634" s="257"/>
      <c r="I634" s="257"/>
      <c r="J634" s="257"/>
      <c r="K634" s="257"/>
      <c r="L634" s="257"/>
      <c r="M634" s="257"/>
      <c r="N634" s="257"/>
      <c r="O634" s="257"/>
      <c r="P634" s="257"/>
      <c r="Q634" s="257"/>
      <c r="R634" s="257"/>
      <c r="S634" s="257"/>
      <c r="T634" s="257"/>
      <c r="U634" s="257"/>
      <c r="V634" s="257"/>
      <c r="W634" s="257"/>
      <c r="X634" s="257"/>
      <c r="Y634" s="257"/>
      <c r="Z634" s="257"/>
    </row>
    <row r="635" spans="1:26" ht="21" customHeight="1">
      <c r="A635" s="257"/>
      <c r="B635" s="257"/>
      <c r="C635" s="257"/>
      <c r="D635" s="257"/>
      <c r="E635" s="257"/>
      <c r="F635" s="257"/>
      <c r="G635" s="257"/>
      <c r="H635" s="257"/>
      <c r="I635" s="257"/>
      <c r="J635" s="257"/>
      <c r="K635" s="257"/>
      <c r="L635" s="257"/>
      <c r="M635" s="257"/>
      <c r="N635" s="257"/>
      <c r="O635" s="257"/>
      <c r="P635" s="257"/>
      <c r="Q635" s="257"/>
      <c r="R635" s="257"/>
      <c r="S635" s="257"/>
      <c r="T635" s="257"/>
      <c r="U635" s="257"/>
      <c r="V635" s="257"/>
      <c r="W635" s="257"/>
      <c r="X635" s="257"/>
      <c r="Y635" s="257"/>
      <c r="Z635" s="257"/>
    </row>
    <row r="636" spans="1:26" ht="21" customHeight="1">
      <c r="A636" s="257"/>
      <c r="B636" s="257"/>
      <c r="C636" s="257"/>
      <c r="D636" s="257"/>
      <c r="E636" s="257"/>
      <c r="F636" s="257"/>
      <c r="G636" s="257"/>
      <c r="H636" s="257"/>
      <c r="I636" s="257"/>
      <c r="J636" s="257"/>
      <c r="K636" s="257"/>
      <c r="L636" s="257"/>
      <c r="M636" s="257"/>
      <c r="N636" s="257"/>
      <c r="O636" s="257"/>
      <c r="P636" s="257"/>
      <c r="Q636" s="257"/>
      <c r="R636" s="257"/>
      <c r="S636" s="257"/>
      <c r="T636" s="257"/>
      <c r="U636" s="257"/>
      <c r="V636" s="257"/>
      <c r="W636" s="257"/>
      <c r="X636" s="257"/>
      <c r="Y636" s="257"/>
      <c r="Z636" s="257"/>
    </row>
    <row r="637" spans="1:26" ht="21" customHeight="1">
      <c r="A637" s="257"/>
      <c r="B637" s="257"/>
      <c r="C637" s="257"/>
      <c r="D637" s="257"/>
      <c r="E637" s="257"/>
      <c r="F637" s="257"/>
      <c r="G637" s="257"/>
      <c r="H637" s="257"/>
      <c r="I637" s="257"/>
      <c r="J637" s="257"/>
      <c r="K637" s="257"/>
      <c r="L637" s="257"/>
      <c r="M637" s="257"/>
      <c r="N637" s="257"/>
      <c r="O637" s="257"/>
      <c r="P637" s="257"/>
      <c r="Q637" s="257"/>
      <c r="R637" s="257"/>
      <c r="S637" s="257"/>
      <c r="T637" s="257"/>
      <c r="U637" s="257"/>
      <c r="V637" s="257"/>
      <c r="W637" s="257"/>
      <c r="X637" s="257"/>
      <c r="Y637" s="257"/>
      <c r="Z637" s="257"/>
    </row>
    <row r="638" spans="1:26" ht="21" customHeight="1">
      <c r="A638" s="257"/>
      <c r="B638" s="257"/>
      <c r="C638" s="257"/>
      <c r="D638" s="257"/>
      <c r="E638" s="257"/>
      <c r="F638" s="257"/>
      <c r="G638" s="257"/>
      <c r="H638" s="257"/>
      <c r="I638" s="257"/>
      <c r="J638" s="257"/>
      <c r="K638" s="257"/>
      <c r="L638" s="257"/>
      <c r="M638" s="257"/>
      <c r="N638" s="257"/>
      <c r="O638" s="257"/>
      <c r="P638" s="257"/>
      <c r="Q638" s="257"/>
      <c r="R638" s="257"/>
      <c r="S638" s="257"/>
      <c r="T638" s="257"/>
      <c r="U638" s="257"/>
      <c r="V638" s="257"/>
      <c r="W638" s="257"/>
      <c r="X638" s="257"/>
      <c r="Y638" s="257"/>
      <c r="Z638" s="257"/>
    </row>
    <row r="639" spans="1:26" ht="21" customHeight="1">
      <c r="A639" s="257"/>
      <c r="B639" s="257"/>
      <c r="C639" s="257"/>
      <c r="D639" s="257"/>
      <c r="E639" s="257"/>
      <c r="F639" s="257"/>
      <c r="G639" s="257"/>
      <c r="H639" s="257"/>
      <c r="I639" s="257"/>
      <c r="J639" s="257"/>
      <c r="K639" s="257"/>
      <c r="L639" s="257"/>
      <c r="M639" s="257"/>
      <c r="N639" s="257"/>
      <c r="O639" s="257"/>
      <c r="P639" s="257"/>
      <c r="Q639" s="257"/>
      <c r="R639" s="257"/>
      <c r="S639" s="257"/>
      <c r="T639" s="257"/>
      <c r="U639" s="257"/>
      <c r="V639" s="257"/>
      <c r="W639" s="257"/>
      <c r="X639" s="257"/>
      <c r="Y639" s="257"/>
      <c r="Z639" s="257"/>
    </row>
    <row r="640" spans="1:26" ht="21" customHeight="1">
      <c r="A640" s="257"/>
      <c r="B640" s="257"/>
      <c r="C640" s="257"/>
      <c r="D640" s="257"/>
      <c r="E640" s="257"/>
      <c r="F640" s="257"/>
      <c r="G640" s="257"/>
      <c r="H640" s="257"/>
      <c r="I640" s="257"/>
      <c r="J640" s="257"/>
      <c r="K640" s="257"/>
      <c r="L640" s="257"/>
      <c r="M640" s="257"/>
      <c r="N640" s="257"/>
      <c r="O640" s="257"/>
      <c r="P640" s="257"/>
      <c r="Q640" s="257"/>
      <c r="R640" s="257"/>
      <c r="S640" s="257"/>
      <c r="T640" s="257"/>
      <c r="U640" s="257"/>
      <c r="V640" s="257"/>
      <c r="W640" s="257"/>
      <c r="X640" s="257"/>
      <c r="Y640" s="257"/>
      <c r="Z640" s="257"/>
    </row>
    <row r="641" spans="1:26" ht="21" customHeight="1">
      <c r="A641" s="257"/>
      <c r="B641" s="257"/>
      <c r="C641" s="257"/>
      <c r="D641" s="257"/>
      <c r="E641" s="257"/>
      <c r="F641" s="257"/>
      <c r="G641" s="257"/>
      <c r="H641" s="257"/>
      <c r="I641" s="257"/>
      <c r="J641" s="257"/>
      <c r="K641" s="257"/>
      <c r="L641" s="257"/>
      <c r="M641" s="257"/>
      <c r="N641" s="257"/>
      <c r="O641" s="257"/>
      <c r="P641" s="257"/>
      <c r="Q641" s="257"/>
      <c r="R641" s="257"/>
      <c r="S641" s="257"/>
      <c r="T641" s="257"/>
      <c r="U641" s="257"/>
      <c r="V641" s="257"/>
      <c r="W641" s="257"/>
      <c r="X641" s="257"/>
      <c r="Y641" s="257"/>
      <c r="Z641" s="257"/>
    </row>
    <row r="642" spans="1:26" ht="21" customHeight="1">
      <c r="A642" s="257"/>
      <c r="B642" s="257"/>
      <c r="C642" s="257"/>
      <c r="D642" s="257"/>
      <c r="E642" s="257"/>
      <c r="F642" s="257"/>
      <c r="G642" s="257"/>
      <c r="H642" s="257"/>
      <c r="I642" s="257"/>
      <c r="J642" s="257"/>
      <c r="K642" s="257"/>
      <c r="L642" s="257"/>
      <c r="M642" s="257"/>
      <c r="N642" s="257"/>
      <c r="O642" s="257"/>
      <c r="P642" s="257"/>
      <c r="Q642" s="257"/>
      <c r="R642" s="257"/>
      <c r="S642" s="257"/>
      <c r="T642" s="257"/>
      <c r="U642" s="257"/>
      <c r="V642" s="257"/>
      <c r="W642" s="257"/>
      <c r="X642" s="257"/>
      <c r="Y642" s="257"/>
      <c r="Z642" s="257"/>
    </row>
    <row r="643" spans="1:26" ht="21" customHeight="1">
      <c r="A643" s="257"/>
      <c r="B643" s="257"/>
      <c r="C643" s="257"/>
      <c r="D643" s="257"/>
      <c r="E643" s="257"/>
      <c r="F643" s="257"/>
      <c r="G643" s="257"/>
      <c r="H643" s="257"/>
      <c r="I643" s="257"/>
      <c r="J643" s="257"/>
      <c r="K643" s="257"/>
      <c r="L643" s="257"/>
      <c r="M643" s="257"/>
      <c r="N643" s="257"/>
      <c r="O643" s="257"/>
      <c r="P643" s="257"/>
      <c r="Q643" s="257"/>
      <c r="R643" s="257"/>
      <c r="S643" s="257"/>
      <c r="T643" s="257"/>
      <c r="U643" s="257"/>
      <c r="V643" s="257"/>
      <c r="W643" s="257"/>
      <c r="X643" s="257"/>
      <c r="Y643" s="257"/>
      <c r="Z643" s="257"/>
    </row>
    <row r="644" spans="1:26" ht="21" customHeight="1">
      <c r="A644" s="257"/>
      <c r="B644" s="257"/>
      <c r="C644" s="257"/>
      <c r="D644" s="257"/>
      <c r="E644" s="257"/>
      <c r="F644" s="257"/>
      <c r="G644" s="257"/>
      <c r="H644" s="257"/>
      <c r="I644" s="257"/>
      <c r="J644" s="257"/>
      <c r="K644" s="257"/>
      <c r="L644" s="257"/>
      <c r="M644" s="257"/>
      <c r="N644" s="257"/>
      <c r="O644" s="257"/>
      <c r="P644" s="257"/>
      <c r="Q644" s="257"/>
      <c r="R644" s="257"/>
      <c r="S644" s="257"/>
      <c r="T644" s="257"/>
      <c r="U644" s="257"/>
      <c r="V644" s="257"/>
      <c r="W644" s="257"/>
      <c r="X644" s="257"/>
      <c r="Y644" s="257"/>
      <c r="Z644" s="257"/>
    </row>
    <row r="645" spans="1:26" ht="21" customHeight="1">
      <c r="A645" s="257"/>
      <c r="B645" s="257"/>
      <c r="C645" s="257"/>
      <c r="D645" s="257"/>
      <c r="E645" s="257"/>
      <c r="F645" s="257"/>
      <c r="G645" s="257"/>
      <c r="H645" s="257"/>
      <c r="I645" s="257"/>
      <c r="J645" s="257"/>
      <c r="K645" s="257"/>
      <c r="L645" s="257"/>
      <c r="M645" s="257"/>
      <c r="N645" s="257"/>
      <c r="O645" s="257"/>
      <c r="P645" s="257"/>
      <c r="Q645" s="257"/>
      <c r="R645" s="257"/>
      <c r="S645" s="257"/>
      <c r="T645" s="257"/>
      <c r="U645" s="257"/>
      <c r="V645" s="257"/>
      <c r="W645" s="257"/>
      <c r="X645" s="257"/>
      <c r="Y645" s="257"/>
      <c r="Z645" s="257"/>
    </row>
    <row r="646" spans="1:26" ht="21" customHeight="1">
      <c r="A646" s="257"/>
      <c r="B646" s="257"/>
      <c r="C646" s="257"/>
      <c r="D646" s="257"/>
      <c r="E646" s="257"/>
      <c r="F646" s="257"/>
      <c r="G646" s="257"/>
      <c r="H646" s="257"/>
      <c r="I646" s="257"/>
      <c r="J646" s="257"/>
      <c r="K646" s="257"/>
      <c r="L646" s="257"/>
      <c r="M646" s="257"/>
      <c r="N646" s="257"/>
      <c r="O646" s="257"/>
      <c r="P646" s="257"/>
      <c r="Q646" s="257"/>
      <c r="R646" s="257"/>
      <c r="S646" s="257"/>
      <c r="T646" s="257"/>
      <c r="U646" s="257"/>
      <c r="V646" s="257"/>
      <c r="W646" s="257"/>
      <c r="X646" s="257"/>
      <c r="Y646" s="257"/>
      <c r="Z646" s="257"/>
    </row>
    <row r="647" spans="1:26" ht="21" customHeight="1">
      <c r="A647" s="257"/>
      <c r="B647" s="257"/>
      <c r="C647" s="257"/>
      <c r="D647" s="257"/>
      <c r="E647" s="257"/>
      <c r="F647" s="257"/>
      <c r="G647" s="257"/>
      <c r="H647" s="257"/>
      <c r="I647" s="257"/>
      <c r="J647" s="257"/>
      <c r="K647" s="257"/>
      <c r="L647" s="257"/>
      <c r="M647" s="257"/>
      <c r="N647" s="257"/>
      <c r="O647" s="257"/>
      <c r="P647" s="257"/>
      <c r="Q647" s="257"/>
      <c r="R647" s="257"/>
      <c r="S647" s="257"/>
      <c r="T647" s="257"/>
      <c r="U647" s="257"/>
      <c r="V647" s="257"/>
      <c r="W647" s="257"/>
      <c r="X647" s="257"/>
      <c r="Y647" s="257"/>
      <c r="Z647" s="257"/>
    </row>
    <row r="648" spans="1:26" ht="21" customHeight="1">
      <c r="A648" s="257"/>
      <c r="B648" s="257"/>
      <c r="C648" s="257"/>
      <c r="D648" s="257"/>
      <c r="E648" s="257"/>
      <c r="F648" s="257"/>
      <c r="G648" s="257"/>
      <c r="H648" s="257"/>
      <c r="I648" s="257"/>
      <c r="J648" s="257"/>
      <c r="K648" s="257"/>
      <c r="L648" s="257"/>
      <c r="M648" s="257"/>
      <c r="N648" s="257"/>
      <c r="O648" s="257"/>
      <c r="P648" s="257"/>
      <c r="Q648" s="257"/>
      <c r="R648" s="257"/>
      <c r="S648" s="257"/>
      <c r="T648" s="257"/>
      <c r="U648" s="257"/>
      <c r="V648" s="257"/>
      <c r="W648" s="257"/>
      <c r="X648" s="257"/>
      <c r="Y648" s="257"/>
      <c r="Z648" s="257"/>
    </row>
    <row r="649" spans="1:26" ht="21" customHeight="1">
      <c r="A649" s="257"/>
      <c r="B649" s="257"/>
      <c r="C649" s="257"/>
      <c r="D649" s="257"/>
      <c r="E649" s="257"/>
      <c r="F649" s="257"/>
      <c r="G649" s="257"/>
      <c r="H649" s="257"/>
      <c r="I649" s="257"/>
      <c r="J649" s="257"/>
      <c r="K649" s="257"/>
      <c r="L649" s="257"/>
      <c r="M649" s="257"/>
      <c r="N649" s="257"/>
      <c r="O649" s="257"/>
      <c r="P649" s="257"/>
      <c r="Q649" s="257"/>
      <c r="R649" s="257"/>
      <c r="S649" s="257"/>
      <c r="T649" s="257"/>
      <c r="U649" s="257"/>
      <c r="V649" s="257"/>
      <c r="W649" s="257"/>
      <c r="X649" s="257"/>
      <c r="Y649" s="257"/>
      <c r="Z649" s="257"/>
    </row>
    <row r="650" spans="1:26" ht="21" customHeight="1">
      <c r="A650" s="257"/>
      <c r="B650" s="257"/>
      <c r="C650" s="257"/>
      <c r="D650" s="257"/>
      <c r="E650" s="257"/>
      <c r="F650" s="257"/>
      <c r="G650" s="257"/>
      <c r="H650" s="257"/>
      <c r="I650" s="257"/>
      <c r="J650" s="257"/>
      <c r="K650" s="257"/>
      <c r="L650" s="257"/>
      <c r="M650" s="257"/>
      <c r="N650" s="257"/>
      <c r="O650" s="257"/>
      <c r="P650" s="257"/>
      <c r="Q650" s="257"/>
      <c r="R650" s="257"/>
      <c r="S650" s="257"/>
      <c r="T650" s="257"/>
      <c r="U650" s="257"/>
      <c r="V650" s="257"/>
      <c r="W650" s="257"/>
      <c r="X650" s="257"/>
      <c r="Y650" s="257"/>
      <c r="Z650" s="257"/>
    </row>
    <row r="651" spans="1:26" ht="21" customHeight="1">
      <c r="A651" s="257"/>
      <c r="B651" s="257"/>
      <c r="C651" s="257"/>
      <c r="D651" s="257"/>
      <c r="E651" s="257"/>
      <c r="F651" s="257"/>
      <c r="G651" s="257"/>
      <c r="H651" s="257"/>
      <c r="I651" s="257"/>
      <c r="J651" s="257"/>
      <c r="K651" s="257"/>
      <c r="L651" s="257"/>
      <c r="M651" s="257"/>
      <c r="N651" s="257"/>
      <c r="O651" s="257"/>
      <c r="P651" s="257"/>
      <c r="Q651" s="257"/>
      <c r="R651" s="257"/>
      <c r="S651" s="257"/>
      <c r="T651" s="257"/>
      <c r="U651" s="257"/>
      <c r="V651" s="257"/>
      <c r="W651" s="257"/>
      <c r="X651" s="257"/>
      <c r="Y651" s="257"/>
      <c r="Z651" s="257"/>
    </row>
    <row r="652" spans="1:26" ht="21" customHeight="1">
      <c r="A652" s="257"/>
      <c r="B652" s="257"/>
      <c r="C652" s="257"/>
      <c r="D652" s="257"/>
      <c r="E652" s="257"/>
      <c r="F652" s="257"/>
      <c r="G652" s="257"/>
      <c r="H652" s="257"/>
      <c r="I652" s="257"/>
      <c r="J652" s="257"/>
      <c r="K652" s="257"/>
      <c r="L652" s="257"/>
      <c r="M652" s="257"/>
      <c r="N652" s="257"/>
      <c r="O652" s="257"/>
      <c r="P652" s="257"/>
      <c r="Q652" s="257"/>
      <c r="R652" s="257"/>
      <c r="S652" s="257"/>
      <c r="T652" s="257"/>
      <c r="U652" s="257"/>
      <c r="V652" s="257"/>
      <c r="W652" s="257"/>
      <c r="X652" s="257"/>
      <c r="Y652" s="257"/>
      <c r="Z652" s="257"/>
    </row>
    <row r="653" spans="1:26" ht="21" customHeight="1">
      <c r="A653" s="257"/>
      <c r="B653" s="257"/>
      <c r="C653" s="257"/>
      <c r="D653" s="257"/>
      <c r="E653" s="257"/>
      <c r="F653" s="257"/>
      <c r="G653" s="257"/>
      <c r="H653" s="257"/>
      <c r="I653" s="257"/>
      <c r="J653" s="257"/>
      <c r="K653" s="257"/>
      <c r="L653" s="257"/>
      <c r="M653" s="257"/>
      <c r="N653" s="257"/>
      <c r="O653" s="257"/>
      <c r="P653" s="257"/>
      <c r="Q653" s="257"/>
      <c r="R653" s="257"/>
      <c r="S653" s="257"/>
      <c r="T653" s="257"/>
      <c r="U653" s="257"/>
      <c r="V653" s="257"/>
      <c r="W653" s="257"/>
      <c r="X653" s="257"/>
      <c r="Y653" s="257"/>
      <c r="Z653" s="257"/>
    </row>
    <row r="654" spans="1:26" ht="21" customHeight="1">
      <c r="A654" s="257"/>
      <c r="B654" s="257"/>
      <c r="C654" s="257"/>
      <c r="D654" s="257"/>
      <c r="E654" s="257"/>
      <c r="F654" s="257"/>
      <c r="G654" s="257"/>
      <c r="H654" s="257"/>
      <c r="I654" s="257"/>
      <c r="J654" s="257"/>
      <c r="K654" s="257"/>
      <c r="L654" s="257"/>
      <c r="M654" s="257"/>
      <c r="N654" s="257"/>
      <c r="O654" s="257"/>
      <c r="P654" s="257"/>
      <c r="Q654" s="257"/>
      <c r="R654" s="257"/>
      <c r="S654" s="257"/>
      <c r="T654" s="257"/>
      <c r="U654" s="257"/>
      <c r="V654" s="257"/>
      <c r="W654" s="257"/>
      <c r="X654" s="257"/>
      <c r="Y654" s="257"/>
      <c r="Z654" s="257"/>
    </row>
    <row r="655" spans="1:26" ht="21" customHeight="1">
      <c r="A655" s="257"/>
      <c r="B655" s="257"/>
      <c r="C655" s="257"/>
      <c r="D655" s="257"/>
      <c r="E655" s="257"/>
      <c r="F655" s="257"/>
      <c r="G655" s="257"/>
      <c r="H655" s="257"/>
      <c r="I655" s="257"/>
      <c r="J655" s="257"/>
      <c r="K655" s="257"/>
      <c r="L655" s="257"/>
      <c r="M655" s="257"/>
      <c r="N655" s="257"/>
      <c r="O655" s="257"/>
      <c r="P655" s="257"/>
      <c r="Q655" s="257"/>
      <c r="R655" s="257"/>
      <c r="S655" s="257"/>
      <c r="T655" s="257"/>
      <c r="U655" s="257"/>
      <c r="V655" s="257"/>
      <c r="W655" s="257"/>
      <c r="X655" s="257"/>
      <c r="Y655" s="257"/>
      <c r="Z655" s="257"/>
    </row>
    <row r="656" spans="1:26" ht="21" customHeight="1">
      <c r="A656" s="257"/>
      <c r="B656" s="257"/>
      <c r="C656" s="257"/>
      <c r="D656" s="257"/>
      <c r="E656" s="257"/>
      <c r="F656" s="257"/>
      <c r="G656" s="257"/>
      <c r="H656" s="257"/>
      <c r="I656" s="257"/>
      <c r="J656" s="257"/>
      <c r="K656" s="257"/>
      <c r="L656" s="257"/>
      <c r="M656" s="257"/>
      <c r="N656" s="257"/>
      <c r="O656" s="257"/>
      <c r="P656" s="257"/>
      <c r="Q656" s="257"/>
      <c r="R656" s="257"/>
      <c r="S656" s="257"/>
      <c r="T656" s="257"/>
      <c r="U656" s="257"/>
      <c r="V656" s="257"/>
      <c r="W656" s="257"/>
      <c r="X656" s="257"/>
      <c r="Y656" s="257"/>
      <c r="Z656" s="257"/>
    </row>
    <row r="657" spans="1:26" ht="21" customHeight="1">
      <c r="A657" s="257"/>
      <c r="B657" s="257"/>
      <c r="C657" s="257"/>
      <c r="D657" s="257"/>
      <c r="E657" s="257"/>
      <c r="F657" s="257"/>
      <c r="G657" s="257"/>
      <c r="H657" s="257"/>
      <c r="I657" s="257"/>
      <c r="J657" s="257"/>
      <c r="K657" s="257"/>
      <c r="L657" s="257"/>
      <c r="M657" s="257"/>
      <c r="N657" s="257"/>
      <c r="O657" s="257"/>
      <c r="P657" s="257"/>
      <c r="Q657" s="257"/>
      <c r="R657" s="257"/>
      <c r="S657" s="257"/>
      <c r="T657" s="257"/>
      <c r="U657" s="257"/>
      <c r="V657" s="257"/>
      <c r="W657" s="257"/>
      <c r="X657" s="257"/>
      <c r="Y657" s="257"/>
      <c r="Z657" s="257"/>
    </row>
    <row r="658" spans="1:26" ht="21" customHeight="1">
      <c r="A658" s="257"/>
      <c r="B658" s="257"/>
      <c r="C658" s="257"/>
      <c r="D658" s="257"/>
      <c r="E658" s="257"/>
      <c r="F658" s="257"/>
      <c r="G658" s="257"/>
      <c r="H658" s="257"/>
      <c r="I658" s="257"/>
      <c r="J658" s="257"/>
      <c r="K658" s="257"/>
      <c r="L658" s="257"/>
      <c r="M658" s="257"/>
      <c r="N658" s="257"/>
      <c r="O658" s="257"/>
      <c r="P658" s="257"/>
      <c r="Q658" s="257"/>
      <c r="R658" s="257"/>
      <c r="S658" s="257"/>
      <c r="T658" s="257"/>
      <c r="U658" s="257"/>
      <c r="V658" s="257"/>
      <c r="W658" s="257"/>
      <c r="X658" s="257"/>
      <c r="Y658" s="257"/>
      <c r="Z658" s="257"/>
    </row>
    <row r="659" spans="1:26" ht="21" customHeight="1">
      <c r="A659" s="257"/>
      <c r="B659" s="257"/>
      <c r="C659" s="257"/>
      <c r="D659" s="257"/>
      <c r="E659" s="257"/>
      <c r="F659" s="257"/>
      <c r="G659" s="257"/>
      <c r="H659" s="257"/>
      <c r="I659" s="257"/>
      <c r="J659" s="257"/>
      <c r="K659" s="257"/>
      <c r="L659" s="257"/>
      <c r="M659" s="257"/>
      <c r="N659" s="257"/>
      <c r="O659" s="257"/>
      <c r="P659" s="257"/>
      <c r="Q659" s="257"/>
      <c r="R659" s="257"/>
      <c r="S659" s="257"/>
      <c r="T659" s="257"/>
      <c r="U659" s="257"/>
      <c r="V659" s="257"/>
      <c r="W659" s="257"/>
      <c r="X659" s="257"/>
      <c r="Y659" s="257"/>
      <c r="Z659" s="257"/>
    </row>
    <row r="660" spans="1:26" ht="21" customHeight="1">
      <c r="A660" s="257"/>
      <c r="B660" s="257"/>
      <c r="C660" s="257"/>
      <c r="D660" s="257"/>
      <c r="E660" s="257"/>
      <c r="F660" s="257"/>
      <c r="G660" s="257"/>
      <c r="H660" s="257"/>
      <c r="I660" s="257"/>
      <c r="J660" s="257"/>
      <c r="K660" s="257"/>
      <c r="L660" s="257"/>
      <c r="M660" s="257"/>
      <c r="N660" s="257"/>
      <c r="O660" s="257"/>
      <c r="P660" s="257"/>
      <c r="Q660" s="257"/>
      <c r="R660" s="257"/>
      <c r="S660" s="257"/>
      <c r="T660" s="257"/>
      <c r="U660" s="257"/>
      <c r="V660" s="257"/>
      <c r="W660" s="257"/>
      <c r="X660" s="257"/>
      <c r="Y660" s="257"/>
      <c r="Z660" s="257"/>
    </row>
    <row r="661" spans="1:26" ht="21" customHeight="1">
      <c r="A661" s="257"/>
      <c r="B661" s="257"/>
      <c r="C661" s="257"/>
      <c r="D661" s="257"/>
      <c r="E661" s="257"/>
      <c r="F661" s="257"/>
      <c r="G661" s="257"/>
      <c r="H661" s="257"/>
      <c r="I661" s="257"/>
      <c r="J661" s="257"/>
      <c r="K661" s="257"/>
      <c r="L661" s="257"/>
      <c r="M661" s="257"/>
      <c r="N661" s="257"/>
      <c r="O661" s="257"/>
      <c r="P661" s="257"/>
      <c r="Q661" s="257"/>
      <c r="R661" s="257"/>
      <c r="S661" s="257"/>
      <c r="T661" s="257"/>
      <c r="U661" s="257"/>
      <c r="V661" s="257"/>
      <c r="W661" s="257"/>
      <c r="X661" s="257"/>
      <c r="Y661" s="257"/>
      <c r="Z661" s="257"/>
    </row>
    <row r="662" spans="1:26" ht="21" customHeight="1">
      <c r="A662" s="257"/>
      <c r="B662" s="257"/>
      <c r="C662" s="257"/>
      <c r="D662" s="257"/>
      <c r="E662" s="257"/>
      <c r="F662" s="257"/>
      <c r="G662" s="257"/>
      <c r="H662" s="257"/>
      <c r="I662" s="257"/>
      <c r="J662" s="257"/>
      <c r="K662" s="257"/>
      <c r="L662" s="257"/>
      <c r="M662" s="257"/>
      <c r="N662" s="257"/>
      <c r="O662" s="257"/>
      <c r="P662" s="257"/>
      <c r="Q662" s="257"/>
      <c r="R662" s="257"/>
      <c r="S662" s="257"/>
      <c r="T662" s="257"/>
      <c r="U662" s="257"/>
      <c r="V662" s="257"/>
      <c r="W662" s="257"/>
      <c r="X662" s="257"/>
      <c r="Y662" s="257"/>
      <c r="Z662" s="257"/>
    </row>
    <row r="663" spans="1:26" ht="21" customHeight="1">
      <c r="A663" s="257"/>
      <c r="B663" s="257"/>
      <c r="C663" s="257"/>
      <c r="D663" s="257"/>
      <c r="E663" s="257"/>
      <c r="F663" s="257"/>
      <c r="G663" s="257"/>
      <c r="H663" s="257"/>
      <c r="I663" s="257"/>
      <c r="J663" s="257"/>
      <c r="K663" s="257"/>
      <c r="L663" s="257"/>
      <c r="M663" s="257"/>
      <c r="N663" s="257"/>
      <c r="O663" s="257"/>
      <c r="P663" s="257"/>
      <c r="Q663" s="257"/>
      <c r="R663" s="257"/>
      <c r="S663" s="257"/>
      <c r="T663" s="257"/>
      <c r="U663" s="257"/>
      <c r="V663" s="257"/>
      <c r="W663" s="257"/>
      <c r="X663" s="257"/>
      <c r="Y663" s="257"/>
      <c r="Z663" s="257"/>
    </row>
    <row r="664" spans="1:26" ht="21" customHeight="1">
      <c r="A664" s="257"/>
      <c r="B664" s="257"/>
      <c r="C664" s="257"/>
      <c r="D664" s="257"/>
      <c r="E664" s="257"/>
      <c r="F664" s="257"/>
      <c r="G664" s="257"/>
      <c r="H664" s="257"/>
      <c r="I664" s="257"/>
      <c r="J664" s="257"/>
      <c r="K664" s="257"/>
      <c r="L664" s="257"/>
      <c r="M664" s="257"/>
      <c r="N664" s="257"/>
      <c r="O664" s="257"/>
      <c r="P664" s="257"/>
      <c r="Q664" s="257"/>
      <c r="R664" s="257"/>
      <c r="S664" s="257"/>
      <c r="T664" s="257"/>
      <c r="U664" s="257"/>
      <c r="V664" s="257"/>
      <c r="W664" s="257"/>
      <c r="X664" s="257"/>
      <c r="Y664" s="257"/>
      <c r="Z664" s="257"/>
    </row>
    <row r="665" spans="1:26" ht="21" customHeight="1">
      <c r="A665" s="257"/>
      <c r="B665" s="257"/>
      <c r="C665" s="257"/>
      <c r="D665" s="257"/>
      <c r="E665" s="257"/>
      <c r="F665" s="257"/>
      <c r="G665" s="257"/>
      <c r="H665" s="257"/>
      <c r="I665" s="257"/>
      <c r="J665" s="257"/>
      <c r="K665" s="257"/>
      <c r="L665" s="257"/>
      <c r="M665" s="257"/>
      <c r="N665" s="257"/>
      <c r="O665" s="257"/>
      <c r="P665" s="257"/>
      <c r="Q665" s="257"/>
      <c r="R665" s="257"/>
      <c r="S665" s="257"/>
      <c r="T665" s="257"/>
      <c r="U665" s="257"/>
      <c r="V665" s="257"/>
      <c r="W665" s="257"/>
      <c r="X665" s="257"/>
      <c r="Y665" s="257"/>
      <c r="Z665" s="257"/>
    </row>
    <row r="666" spans="1:26" ht="21" customHeight="1">
      <c r="A666" s="257"/>
      <c r="B666" s="257"/>
      <c r="C666" s="257"/>
      <c r="D666" s="257"/>
      <c r="E666" s="257"/>
      <c r="F666" s="257"/>
      <c r="G666" s="257"/>
      <c r="H666" s="257"/>
      <c r="I666" s="257"/>
      <c r="J666" s="257"/>
      <c r="K666" s="257"/>
      <c r="L666" s="257"/>
      <c r="M666" s="257"/>
      <c r="N666" s="257"/>
      <c r="O666" s="257"/>
      <c r="P666" s="257"/>
      <c r="Q666" s="257"/>
      <c r="R666" s="257"/>
      <c r="S666" s="257"/>
      <c r="T666" s="257"/>
      <c r="U666" s="257"/>
      <c r="V666" s="257"/>
      <c r="W666" s="257"/>
      <c r="X666" s="257"/>
      <c r="Y666" s="257"/>
      <c r="Z666" s="257"/>
    </row>
    <row r="667" spans="1:26" ht="21" customHeight="1">
      <c r="A667" s="257"/>
      <c r="B667" s="257"/>
      <c r="C667" s="257"/>
      <c r="D667" s="257"/>
      <c r="E667" s="257"/>
      <c r="F667" s="257"/>
      <c r="G667" s="257"/>
      <c r="H667" s="257"/>
      <c r="I667" s="257"/>
      <c r="J667" s="257"/>
      <c r="K667" s="257"/>
      <c r="L667" s="257"/>
      <c r="M667" s="257"/>
      <c r="N667" s="257"/>
      <c r="O667" s="257"/>
      <c r="P667" s="257"/>
      <c r="Q667" s="257"/>
      <c r="R667" s="257"/>
      <c r="S667" s="257"/>
      <c r="T667" s="257"/>
      <c r="U667" s="257"/>
      <c r="V667" s="257"/>
      <c r="W667" s="257"/>
      <c r="X667" s="257"/>
      <c r="Y667" s="257"/>
      <c r="Z667" s="257"/>
    </row>
    <row r="668" spans="1:26" ht="21" customHeight="1">
      <c r="A668" s="257"/>
      <c r="B668" s="257"/>
      <c r="C668" s="257"/>
      <c r="D668" s="257"/>
      <c r="E668" s="257"/>
      <c r="F668" s="257"/>
      <c r="G668" s="257"/>
      <c r="H668" s="257"/>
      <c r="I668" s="257"/>
      <c r="J668" s="257"/>
      <c r="K668" s="257"/>
      <c r="L668" s="257"/>
      <c r="M668" s="257"/>
      <c r="N668" s="257"/>
      <c r="O668" s="257"/>
      <c r="P668" s="257"/>
      <c r="Q668" s="257"/>
      <c r="R668" s="257"/>
      <c r="S668" s="257"/>
      <c r="T668" s="257"/>
      <c r="U668" s="257"/>
      <c r="V668" s="257"/>
      <c r="W668" s="257"/>
      <c r="X668" s="257"/>
      <c r="Y668" s="257"/>
      <c r="Z668" s="257"/>
    </row>
    <row r="669" spans="1:26" ht="21" customHeight="1">
      <c r="A669" s="257"/>
      <c r="B669" s="257"/>
      <c r="C669" s="257"/>
      <c r="D669" s="257"/>
      <c r="E669" s="257"/>
      <c r="F669" s="257"/>
      <c r="G669" s="257"/>
      <c r="H669" s="257"/>
      <c r="I669" s="257"/>
      <c r="J669" s="257"/>
      <c r="K669" s="257"/>
      <c r="L669" s="257"/>
      <c r="M669" s="257"/>
      <c r="N669" s="257"/>
      <c r="O669" s="257"/>
      <c r="P669" s="257"/>
      <c r="Q669" s="257"/>
      <c r="R669" s="257"/>
      <c r="S669" s="257"/>
      <c r="T669" s="257"/>
      <c r="U669" s="257"/>
      <c r="V669" s="257"/>
      <c r="W669" s="257"/>
      <c r="X669" s="257"/>
      <c r="Y669" s="257"/>
      <c r="Z669" s="257"/>
    </row>
    <row r="670" spans="1:26" ht="21" customHeight="1">
      <c r="A670" s="257"/>
      <c r="B670" s="257"/>
      <c r="C670" s="257"/>
      <c r="D670" s="257"/>
      <c r="E670" s="257"/>
      <c r="F670" s="257"/>
      <c r="G670" s="257"/>
      <c r="H670" s="257"/>
      <c r="I670" s="257"/>
      <c r="J670" s="257"/>
      <c r="K670" s="257"/>
      <c r="L670" s="257"/>
      <c r="M670" s="257"/>
      <c r="N670" s="257"/>
      <c r="O670" s="257"/>
      <c r="P670" s="257"/>
      <c r="Q670" s="257"/>
      <c r="R670" s="257"/>
      <c r="S670" s="257"/>
      <c r="T670" s="257"/>
      <c r="U670" s="257"/>
      <c r="V670" s="257"/>
      <c r="W670" s="257"/>
      <c r="X670" s="257"/>
      <c r="Y670" s="257"/>
      <c r="Z670" s="257"/>
    </row>
    <row r="671" spans="1:26" ht="21" customHeight="1">
      <c r="A671" s="257"/>
      <c r="B671" s="257"/>
      <c r="C671" s="257"/>
      <c r="D671" s="257"/>
      <c r="E671" s="257"/>
      <c r="F671" s="257"/>
      <c r="G671" s="257"/>
      <c r="H671" s="257"/>
      <c r="I671" s="257"/>
      <c r="J671" s="257"/>
      <c r="K671" s="257"/>
      <c r="L671" s="257"/>
      <c r="M671" s="257"/>
      <c r="N671" s="257"/>
      <c r="O671" s="257"/>
      <c r="P671" s="257"/>
      <c r="Q671" s="257"/>
      <c r="R671" s="257"/>
      <c r="S671" s="257"/>
      <c r="T671" s="257"/>
      <c r="U671" s="257"/>
      <c r="V671" s="257"/>
      <c r="W671" s="257"/>
      <c r="X671" s="257"/>
      <c r="Y671" s="257"/>
      <c r="Z671" s="257"/>
    </row>
    <row r="672" spans="1:26" ht="21" customHeight="1">
      <c r="A672" s="257"/>
      <c r="B672" s="257"/>
      <c r="C672" s="257"/>
      <c r="D672" s="257"/>
      <c r="E672" s="257"/>
      <c r="F672" s="257"/>
      <c r="G672" s="257"/>
      <c r="H672" s="257"/>
      <c r="I672" s="257"/>
      <c r="J672" s="257"/>
      <c r="K672" s="257"/>
      <c r="L672" s="257"/>
      <c r="M672" s="257"/>
      <c r="N672" s="257"/>
      <c r="O672" s="257"/>
      <c r="P672" s="257"/>
      <c r="Q672" s="257"/>
      <c r="R672" s="257"/>
      <c r="S672" s="257"/>
      <c r="T672" s="257"/>
      <c r="U672" s="257"/>
      <c r="V672" s="257"/>
      <c r="W672" s="257"/>
      <c r="X672" s="257"/>
      <c r="Y672" s="257"/>
      <c r="Z672" s="257"/>
    </row>
    <row r="673" spans="1:26" ht="21" customHeight="1">
      <c r="A673" s="257"/>
      <c r="B673" s="257"/>
      <c r="C673" s="257"/>
      <c r="D673" s="257"/>
      <c r="E673" s="257"/>
      <c r="F673" s="257"/>
      <c r="G673" s="257"/>
      <c r="H673" s="257"/>
      <c r="I673" s="257"/>
      <c r="J673" s="257"/>
      <c r="K673" s="257"/>
      <c r="L673" s="257"/>
      <c r="M673" s="257"/>
      <c r="N673" s="257"/>
      <c r="O673" s="257"/>
      <c r="P673" s="257"/>
      <c r="Q673" s="257"/>
      <c r="R673" s="257"/>
      <c r="S673" s="257"/>
      <c r="T673" s="257"/>
      <c r="U673" s="257"/>
      <c r="V673" s="257"/>
      <c r="W673" s="257"/>
      <c r="X673" s="257"/>
      <c r="Y673" s="257"/>
      <c r="Z673" s="257"/>
    </row>
    <row r="674" spans="1:26" ht="21" customHeight="1">
      <c r="A674" s="257"/>
      <c r="B674" s="257"/>
      <c r="C674" s="257"/>
      <c r="D674" s="257"/>
      <c r="E674" s="257"/>
      <c r="F674" s="257"/>
      <c r="G674" s="257"/>
      <c r="H674" s="257"/>
      <c r="I674" s="257"/>
      <c r="J674" s="257"/>
      <c r="K674" s="257"/>
      <c r="L674" s="257"/>
      <c r="M674" s="257"/>
      <c r="N674" s="257"/>
      <c r="O674" s="257"/>
      <c r="P674" s="257"/>
      <c r="Q674" s="257"/>
      <c r="R674" s="257"/>
      <c r="S674" s="257"/>
      <c r="T674" s="257"/>
      <c r="U674" s="257"/>
      <c r="V674" s="257"/>
      <c r="W674" s="257"/>
      <c r="X674" s="257"/>
      <c r="Y674" s="257"/>
      <c r="Z674" s="257"/>
    </row>
    <row r="675" spans="1:26" ht="21" customHeight="1">
      <c r="A675" s="257"/>
      <c r="B675" s="257"/>
      <c r="C675" s="257"/>
      <c r="D675" s="257"/>
      <c r="E675" s="257"/>
      <c r="F675" s="257"/>
      <c r="G675" s="257"/>
      <c r="H675" s="257"/>
      <c r="I675" s="257"/>
      <c r="J675" s="257"/>
      <c r="K675" s="257"/>
      <c r="L675" s="257"/>
      <c r="M675" s="257"/>
      <c r="N675" s="257"/>
      <c r="O675" s="257"/>
      <c r="P675" s="257"/>
      <c r="Q675" s="257"/>
      <c r="R675" s="257"/>
      <c r="S675" s="257"/>
      <c r="T675" s="257"/>
      <c r="U675" s="257"/>
      <c r="V675" s="257"/>
      <c r="W675" s="257"/>
      <c r="X675" s="257"/>
      <c r="Y675" s="257"/>
      <c r="Z675" s="257"/>
    </row>
    <row r="676" spans="1:26" ht="21" customHeight="1">
      <c r="A676" s="257"/>
      <c r="B676" s="257"/>
      <c r="C676" s="257"/>
      <c r="D676" s="257"/>
      <c r="E676" s="257"/>
      <c r="F676" s="257"/>
      <c r="G676" s="257"/>
      <c r="H676" s="257"/>
      <c r="I676" s="257"/>
      <c r="J676" s="257"/>
      <c r="K676" s="257"/>
      <c r="L676" s="257"/>
      <c r="M676" s="257"/>
      <c r="N676" s="257"/>
      <c r="O676" s="257"/>
      <c r="P676" s="257"/>
      <c r="Q676" s="257"/>
      <c r="R676" s="257"/>
      <c r="S676" s="257"/>
      <c r="T676" s="257"/>
      <c r="U676" s="257"/>
      <c r="V676" s="257"/>
      <c r="W676" s="257"/>
      <c r="X676" s="257"/>
      <c r="Y676" s="257"/>
      <c r="Z676" s="257"/>
    </row>
    <row r="677" spans="1:26" ht="21" customHeight="1">
      <c r="A677" s="257"/>
      <c r="B677" s="257"/>
      <c r="C677" s="257"/>
      <c r="D677" s="257"/>
      <c r="E677" s="257"/>
      <c r="F677" s="257"/>
      <c r="G677" s="257"/>
      <c r="H677" s="257"/>
      <c r="I677" s="257"/>
      <c r="J677" s="257"/>
      <c r="K677" s="257"/>
      <c r="L677" s="257"/>
      <c r="M677" s="257"/>
      <c r="N677" s="257"/>
      <c r="O677" s="257"/>
      <c r="P677" s="257"/>
      <c r="Q677" s="257"/>
      <c r="R677" s="257"/>
      <c r="S677" s="257"/>
      <c r="T677" s="257"/>
      <c r="U677" s="257"/>
      <c r="V677" s="257"/>
      <c r="W677" s="257"/>
      <c r="X677" s="257"/>
      <c r="Y677" s="257"/>
      <c r="Z677" s="257"/>
    </row>
    <row r="678" spans="1:26" ht="21" customHeight="1">
      <c r="A678" s="257"/>
      <c r="B678" s="257"/>
      <c r="C678" s="257"/>
      <c r="D678" s="257"/>
      <c r="E678" s="257"/>
      <c r="F678" s="257"/>
      <c r="G678" s="257"/>
      <c r="H678" s="257"/>
      <c r="I678" s="257"/>
      <c r="J678" s="257"/>
      <c r="K678" s="257"/>
      <c r="L678" s="257"/>
      <c r="M678" s="257"/>
      <c r="N678" s="257"/>
      <c r="O678" s="257"/>
      <c r="P678" s="257"/>
      <c r="Q678" s="257"/>
      <c r="R678" s="257"/>
      <c r="S678" s="257"/>
      <c r="T678" s="257"/>
      <c r="U678" s="257"/>
      <c r="V678" s="257"/>
      <c r="W678" s="257"/>
      <c r="X678" s="257"/>
      <c r="Y678" s="257"/>
      <c r="Z678" s="257"/>
    </row>
    <row r="679" spans="1:26" ht="21" customHeight="1">
      <c r="A679" s="257"/>
      <c r="B679" s="257"/>
      <c r="C679" s="257"/>
      <c r="D679" s="257"/>
      <c r="E679" s="257"/>
      <c r="F679" s="257"/>
      <c r="G679" s="257"/>
      <c r="H679" s="257"/>
      <c r="I679" s="257"/>
      <c r="J679" s="257"/>
      <c r="K679" s="257"/>
      <c r="L679" s="257"/>
      <c r="M679" s="257"/>
      <c r="N679" s="257"/>
      <c r="O679" s="257"/>
      <c r="P679" s="257"/>
      <c r="Q679" s="257"/>
      <c r="R679" s="257"/>
      <c r="S679" s="257"/>
      <c r="T679" s="257"/>
      <c r="U679" s="257"/>
      <c r="V679" s="257"/>
      <c r="W679" s="257"/>
      <c r="X679" s="257"/>
      <c r="Y679" s="257"/>
      <c r="Z679" s="257"/>
    </row>
    <row r="680" spans="1:26" ht="21" customHeight="1">
      <c r="A680" s="257"/>
      <c r="B680" s="257"/>
      <c r="C680" s="257"/>
      <c r="D680" s="257"/>
      <c r="E680" s="257"/>
      <c r="F680" s="257"/>
      <c r="G680" s="257"/>
      <c r="H680" s="257"/>
      <c r="I680" s="257"/>
      <c r="J680" s="257"/>
      <c r="K680" s="257"/>
      <c r="L680" s="257"/>
      <c r="M680" s="257"/>
      <c r="N680" s="257"/>
      <c r="O680" s="257"/>
      <c r="P680" s="257"/>
      <c r="Q680" s="257"/>
      <c r="R680" s="257"/>
      <c r="S680" s="257"/>
      <c r="T680" s="257"/>
      <c r="U680" s="257"/>
      <c r="V680" s="257"/>
      <c r="W680" s="257"/>
      <c r="X680" s="257"/>
      <c r="Y680" s="257"/>
      <c r="Z680" s="257"/>
    </row>
    <row r="681" spans="1:26" ht="21" customHeight="1">
      <c r="A681" s="257"/>
      <c r="B681" s="257"/>
      <c r="C681" s="257"/>
      <c r="D681" s="257"/>
      <c r="E681" s="257"/>
      <c r="F681" s="257"/>
      <c r="G681" s="257"/>
      <c r="H681" s="257"/>
      <c r="I681" s="257"/>
      <c r="J681" s="257"/>
      <c r="K681" s="257"/>
      <c r="L681" s="257"/>
      <c r="M681" s="257"/>
      <c r="N681" s="257"/>
      <c r="O681" s="257"/>
      <c r="P681" s="257"/>
      <c r="Q681" s="257"/>
      <c r="R681" s="257"/>
      <c r="S681" s="257"/>
      <c r="T681" s="257"/>
      <c r="U681" s="257"/>
      <c r="V681" s="257"/>
      <c r="W681" s="257"/>
      <c r="X681" s="257"/>
      <c r="Y681" s="257"/>
      <c r="Z681" s="257"/>
    </row>
    <row r="682" spans="1:26" ht="21" customHeight="1">
      <c r="A682" s="257"/>
      <c r="B682" s="257"/>
      <c r="C682" s="257"/>
      <c r="D682" s="257"/>
      <c r="E682" s="257"/>
      <c r="F682" s="257"/>
      <c r="G682" s="257"/>
      <c r="H682" s="257"/>
      <c r="I682" s="257"/>
      <c r="J682" s="257"/>
      <c r="K682" s="257"/>
      <c r="L682" s="257"/>
      <c r="M682" s="257"/>
      <c r="N682" s="257"/>
      <c r="O682" s="257"/>
      <c r="P682" s="257"/>
      <c r="Q682" s="257"/>
      <c r="R682" s="257"/>
      <c r="S682" s="257"/>
      <c r="T682" s="257"/>
      <c r="U682" s="257"/>
      <c r="V682" s="257"/>
      <c r="W682" s="257"/>
      <c r="X682" s="257"/>
      <c r="Y682" s="257"/>
      <c r="Z682" s="257"/>
    </row>
    <row r="683" spans="1:26" ht="21" customHeight="1">
      <c r="A683" s="257"/>
      <c r="B683" s="257"/>
      <c r="C683" s="257"/>
      <c r="D683" s="257"/>
      <c r="E683" s="257"/>
      <c r="F683" s="257"/>
      <c r="G683" s="257"/>
      <c r="H683" s="257"/>
      <c r="I683" s="257"/>
      <c r="J683" s="257"/>
      <c r="K683" s="257"/>
      <c r="L683" s="257"/>
      <c r="M683" s="257"/>
      <c r="N683" s="257"/>
      <c r="O683" s="257"/>
      <c r="P683" s="257"/>
      <c r="Q683" s="257"/>
      <c r="R683" s="257"/>
      <c r="S683" s="257"/>
      <c r="T683" s="257"/>
      <c r="U683" s="257"/>
      <c r="V683" s="257"/>
      <c r="W683" s="257"/>
      <c r="X683" s="257"/>
      <c r="Y683" s="257"/>
      <c r="Z683" s="257"/>
    </row>
    <row r="684" spans="1:26" ht="21" customHeight="1">
      <c r="A684" s="257"/>
      <c r="B684" s="257"/>
      <c r="C684" s="257"/>
      <c r="D684" s="257"/>
      <c r="E684" s="257"/>
      <c r="F684" s="257"/>
      <c r="G684" s="257"/>
      <c r="H684" s="257"/>
      <c r="I684" s="257"/>
      <c r="J684" s="257"/>
      <c r="K684" s="257"/>
      <c r="L684" s="257"/>
      <c r="M684" s="257"/>
      <c r="N684" s="257"/>
      <c r="O684" s="257"/>
      <c r="P684" s="257"/>
      <c r="Q684" s="257"/>
      <c r="R684" s="257"/>
      <c r="S684" s="257"/>
      <c r="T684" s="257"/>
      <c r="U684" s="257"/>
      <c r="V684" s="257"/>
      <c r="W684" s="257"/>
      <c r="X684" s="257"/>
      <c r="Y684" s="257"/>
      <c r="Z684" s="257"/>
    </row>
    <row r="685" spans="1:26" ht="21" customHeight="1">
      <c r="A685" s="257"/>
      <c r="B685" s="257"/>
      <c r="C685" s="257"/>
      <c r="D685" s="257"/>
      <c r="E685" s="257"/>
      <c r="F685" s="257"/>
      <c r="G685" s="257"/>
      <c r="H685" s="257"/>
      <c r="I685" s="257"/>
      <c r="J685" s="257"/>
      <c r="K685" s="257"/>
      <c r="L685" s="257"/>
      <c r="M685" s="257"/>
      <c r="N685" s="257"/>
      <c r="O685" s="257"/>
      <c r="P685" s="257"/>
      <c r="Q685" s="257"/>
      <c r="R685" s="257"/>
      <c r="S685" s="257"/>
      <c r="T685" s="257"/>
      <c r="U685" s="257"/>
      <c r="V685" s="257"/>
      <c r="W685" s="257"/>
      <c r="X685" s="257"/>
      <c r="Y685" s="257"/>
      <c r="Z685" s="257"/>
    </row>
    <row r="686" spans="1:26" ht="21" customHeight="1">
      <c r="A686" s="257"/>
      <c r="B686" s="257"/>
      <c r="C686" s="257"/>
      <c r="D686" s="257"/>
      <c r="E686" s="257"/>
      <c r="F686" s="257"/>
      <c r="G686" s="257"/>
      <c r="H686" s="257"/>
      <c r="I686" s="257"/>
      <c r="J686" s="257"/>
      <c r="K686" s="257"/>
      <c r="L686" s="257"/>
      <c r="M686" s="257"/>
      <c r="N686" s="257"/>
      <c r="O686" s="257"/>
      <c r="P686" s="257"/>
      <c r="Q686" s="257"/>
      <c r="R686" s="257"/>
      <c r="S686" s="257"/>
      <c r="T686" s="257"/>
      <c r="U686" s="257"/>
      <c r="V686" s="257"/>
      <c r="W686" s="257"/>
      <c r="X686" s="257"/>
      <c r="Y686" s="257"/>
      <c r="Z686" s="257"/>
    </row>
    <row r="687" spans="1:26" ht="21" customHeight="1">
      <c r="A687" s="257"/>
      <c r="B687" s="257"/>
      <c r="C687" s="257"/>
      <c r="D687" s="257"/>
      <c r="E687" s="257"/>
      <c r="F687" s="257"/>
      <c r="G687" s="257"/>
      <c r="H687" s="257"/>
      <c r="I687" s="257"/>
      <c r="J687" s="257"/>
      <c r="K687" s="257"/>
      <c r="L687" s="257"/>
      <c r="M687" s="257"/>
      <c r="N687" s="257"/>
      <c r="O687" s="257"/>
      <c r="P687" s="257"/>
      <c r="Q687" s="257"/>
      <c r="R687" s="257"/>
      <c r="S687" s="257"/>
      <c r="T687" s="257"/>
      <c r="U687" s="257"/>
      <c r="V687" s="257"/>
      <c r="W687" s="257"/>
      <c r="X687" s="257"/>
      <c r="Y687" s="257"/>
      <c r="Z687" s="257"/>
    </row>
    <row r="688" spans="1:26" ht="21" customHeight="1">
      <c r="A688" s="257"/>
      <c r="B688" s="257"/>
      <c r="C688" s="257"/>
      <c r="D688" s="257"/>
      <c r="E688" s="257"/>
      <c r="F688" s="257"/>
      <c r="G688" s="257"/>
      <c r="H688" s="257"/>
      <c r="I688" s="257"/>
      <c r="J688" s="257"/>
      <c r="K688" s="257"/>
      <c r="L688" s="257"/>
      <c r="M688" s="257"/>
      <c r="N688" s="257"/>
      <c r="O688" s="257"/>
      <c r="P688" s="257"/>
      <c r="Q688" s="257"/>
      <c r="R688" s="257"/>
      <c r="S688" s="257"/>
      <c r="T688" s="257"/>
      <c r="U688" s="257"/>
      <c r="V688" s="257"/>
      <c r="W688" s="257"/>
      <c r="X688" s="257"/>
      <c r="Y688" s="257"/>
      <c r="Z688" s="257"/>
    </row>
    <row r="689" spans="1:26" ht="21" customHeight="1">
      <c r="A689" s="257"/>
      <c r="B689" s="257"/>
      <c r="C689" s="257"/>
      <c r="D689" s="257"/>
      <c r="E689" s="257"/>
      <c r="F689" s="257"/>
      <c r="G689" s="257"/>
      <c r="H689" s="257"/>
      <c r="I689" s="257"/>
      <c r="J689" s="257"/>
      <c r="K689" s="257"/>
      <c r="L689" s="257"/>
      <c r="M689" s="257"/>
      <c r="N689" s="257"/>
      <c r="O689" s="257"/>
      <c r="P689" s="257"/>
      <c r="Q689" s="257"/>
      <c r="R689" s="257"/>
      <c r="S689" s="257"/>
      <c r="T689" s="257"/>
      <c r="U689" s="257"/>
      <c r="V689" s="257"/>
      <c r="W689" s="257"/>
      <c r="X689" s="257"/>
      <c r="Y689" s="257"/>
      <c r="Z689" s="257"/>
    </row>
    <row r="690" spans="1:26" ht="21" customHeight="1">
      <c r="A690" s="257"/>
      <c r="B690" s="257"/>
      <c r="C690" s="257"/>
      <c r="D690" s="257"/>
      <c r="E690" s="257"/>
      <c r="F690" s="257"/>
      <c r="G690" s="257"/>
      <c r="H690" s="257"/>
      <c r="I690" s="257"/>
      <c r="J690" s="257"/>
      <c r="K690" s="257"/>
      <c r="L690" s="257"/>
      <c r="M690" s="257"/>
      <c r="N690" s="257"/>
      <c r="O690" s="257"/>
      <c r="P690" s="257"/>
      <c r="Q690" s="257"/>
      <c r="R690" s="257"/>
      <c r="S690" s="257"/>
      <c r="T690" s="257"/>
      <c r="U690" s="257"/>
      <c r="V690" s="257"/>
      <c r="W690" s="257"/>
      <c r="X690" s="257"/>
      <c r="Y690" s="257"/>
      <c r="Z690" s="257"/>
    </row>
    <row r="691" spans="1:26" ht="21" customHeight="1">
      <c r="A691" s="257"/>
      <c r="B691" s="257"/>
      <c r="C691" s="257"/>
      <c r="D691" s="257"/>
      <c r="E691" s="257"/>
      <c r="F691" s="257"/>
      <c r="G691" s="257"/>
      <c r="H691" s="257"/>
      <c r="I691" s="257"/>
      <c r="J691" s="257"/>
      <c r="K691" s="257"/>
      <c r="L691" s="257"/>
      <c r="M691" s="257"/>
      <c r="N691" s="257"/>
      <c r="O691" s="257"/>
      <c r="P691" s="257"/>
      <c r="Q691" s="257"/>
      <c r="R691" s="257"/>
      <c r="S691" s="257"/>
      <c r="T691" s="257"/>
      <c r="U691" s="257"/>
      <c r="V691" s="257"/>
      <c r="W691" s="257"/>
      <c r="X691" s="257"/>
      <c r="Y691" s="257"/>
      <c r="Z691" s="257"/>
    </row>
    <row r="692" spans="1:26" ht="21" customHeight="1">
      <c r="A692" s="257"/>
      <c r="B692" s="257"/>
      <c r="C692" s="257"/>
      <c r="D692" s="257"/>
      <c r="E692" s="257"/>
      <c r="F692" s="257"/>
      <c r="G692" s="257"/>
      <c r="H692" s="257"/>
      <c r="I692" s="257"/>
      <c r="J692" s="257"/>
      <c r="K692" s="257"/>
      <c r="L692" s="257"/>
      <c r="M692" s="257"/>
      <c r="N692" s="257"/>
      <c r="O692" s="257"/>
      <c r="P692" s="257"/>
      <c r="Q692" s="257"/>
      <c r="R692" s="257"/>
      <c r="S692" s="257"/>
      <c r="T692" s="257"/>
      <c r="U692" s="257"/>
      <c r="V692" s="257"/>
      <c r="W692" s="257"/>
      <c r="X692" s="257"/>
      <c r="Y692" s="257"/>
      <c r="Z692" s="257"/>
    </row>
    <row r="693" spans="1:26" ht="21" customHeight="1">
      <c r="A693" s="257"/>
      <c r="B693" s="257"/>
      <c r="C693" s="257"/>
      <c r="D693" s="257"/>
      <c r="E693" s="257"/>
      <c r="F693" s="257"/>
      <c r="G693" s="257"/>
      <c r="H693" s="257"/>
      <c r="I693" s="257"/>
      <c r="J693" s="257"/>
      <c r="K693" s="257"/>
      <c r="L693" s="257"/>
      <c r="M693" s="257"/>
      <c r="N693" s="257"/>
      <c r="O693" s="257"/>
      <c r="P693" s="257"/>
      <c r="Q693" s="257"/>
      <c r="R693" s="257"/>
      <c r="S693" s="257"/>
      <c r="T693" s="257"/>
      <c r="U693" s="257"/>
      <c r="V693" s="257"/>
      <c r="W693" s="257"/>
      <c r="X693" s="257"/>
      <c r="Y693" s="257"/>
      <c r="Z693" s="257"/>
    </row>
    <row r="694" spans="1:26" ht="21" customHeight="1">
      <c r="A694" s="257"/>
      <c r="B694" s="257"/>
      <c r="C694" s="257"/>
      <c r="D694" s="257"/>
      <c r="E694" s="257"/>
      <c r="F694" s="257"/>
      <c r="G694" s="257"/>
      <c r="H694" s="257"/>
      <c r="I694" s="257"/>
      <c r="J694" s="257"/>
      <c r="K694" s="257"/>
      <c r="L694" s="257"/>
      <c r="M694" s="257"/>
      <c r="N694" s="257"/>
      <c r="O694" s="257"/>
      <c r="P694" s="257"/>
      <c r="Q694" s="257"/>
      <c r="R694" s="257"/>
      <c r="S694" s="257"/>
      <c r="T694" s="257"/>
      <c r="U694" s="257"/>
      <c r="V694" s="257"/>
      <c r="W694" s="257"/>
      <c r="X694" s="257"/>
      <c r="Y694" s="257"/>
      <c r="Z694" s="257"/>
    </row>
    <row r="695" spans="1:26" ht="21" customHeight="1">
      <c r="A695" s="257"/>
      <c r="B695" s="257"/>
      <c r="C695" s="257"/>
      <c r="D695" s="257"/>
      <c r="E695" s="257"/>
      <c r="F695" s="257"/>
      <c r="G695" s="257"/>
      <c r="H695" s="257"/>
      <c r="I695" s="257"/>
      <c r="J695" s="257"/>
      <c r="K695" s="257"/>
      <c r="L695" s="257"/>
      <c r="M695" s="257"/>
      <c r="N695" s="257"/>
      <c r="O695" s="257"/>
      <c r="P695" s="257"/>
      <c r="Q695" s="257"/>
      <c r="R695" s="257"/>
      <c r="S695" s="257"/>
      <c r="T695" s="257"/>
      <c r="U695" s="257"/>
      <c r="V695" s="257"/>
      <c r="W695" s="257"/>
      <c r="X695" s="257"/>
      <c r="Y695" s="257"/>
      <c r="Z695" s="257"/>
    </row>
    <row r="696" spans="1:26" ht="21" customHeight="1">
      <c r="A696" s="257"/>
      <c r="B696" s="257"/>
      <c r="C696" s="257"/>
      <c r="D696" s="257"/>
      <c r="E696" s="257"/>
      <c r="F696" s="257"/>
      <c r="G696" s="257"/>
      <c r="H696" s="257"/>
      <c r="I696" s="257"/>
      <c r="J696" s="257"/>
      <c r="K696" s="257"/>
      <c r="L696" s="257"/>
      <c r="M696" s="257"/>
      <c r="N696" s="257"/>
      <c r="O696" s="257"/>
      <c r="P696" s="257"/>
      <c r="Q696" s="257"/>
      <c r="R696" s="257"/>
      <c r="S696" s="257"/>
      <c r="T696" s="257"/>
      <c r="U696" s="257"/>
      <c r="V696" s="257"/>
      <c r="W696" s="257"/>
      <c r="X696" s="257"/>
      <c r="Y696" s="257"/>
      <c r="Z696" s="257"/>
    </row>
    <row r="697" spans="1:26" ht="21" customHeight="1">
      <c r="A697" s="257"/>
      <c r="B697" s="257"/>
      <c r="C697" s="257"/>
      <c r="D697" s="257"/>
      <c r="E697" s="257"/>
      <c r="F697" s="257"/>
      <c r="G697" s="257"/>
      <c r="H697" s="257"/>
      <c r="I697" s="257"/>
      <c r="J697" s="257"/>
      <c r="K697" s="257"/>
      <c r="L697" s="257"/>
      <c r="M697" s="257"/>
      <c r="N697" s="257"/>
      <c r="O697" s="257"/>
      <c r="P697" s="257"/>
      <c r="Q697" s="257"/>
      <c r="R697" s="257"/>
      <c r="S697" s="257"/>
      <c r="T697" s="257"/>
      <c r="U697" s="257"/>
      <c r="V697" s="257"/>
      <c r="W697" s="257"/>
      <c r="X697" s="257"/>
      <c r="Y697" s="257"/>
      <c r="Z697" s="257"/>
    </row>
    <row r="698" spans="1:26" ht="21" customHeight="1">
      <c r="A698" s="257"/>
      <c r="B698" s="257"/>
      <c r="C698" s="257"/>
      <c r="D698" s="257"/>
      <c r="E698" s="257"/>
      <c r="F698" s="257"/>
      <c r="G698" s="257"/>
      <c r="H698" s="257"/>
      <c r="I698" s="257"/>
      <c r="J698" s="257"/>
      <c r="K698" s="257"/>
      <c r="L698" s="257"/>
      <c r="M698" s="257"/>
      <c r="N698" s="257"/>
      <c r="O698" s="257"/>
      <c r="P698" s="257"/>
      <c r="Q698" s="257"/>
      <c r="R698" s="257"/>
      <c r="S698" s="257"/>
      <c r="T698" s="257"/>
      <c r="U698" s="257"/>
      <c r="V698" s="257"/>
      <c r="W698" s="257"/>
      <c r="X698" s="257"/>
      <c r="Y698" s="257"/>
      <c r="Z698" s="257"/>
    </row>
    <row r="699" spans="1:26" ht="21" customHeight="1">
      <c r="A699" s="257"/>
      <c r="B699" s="257"/>
      <c r="C699" s="257"/>
      <c r="D699" s="257"/>
      <c r="E699" s="257"/>
      <c r="F699" s="257"/>
      <c r="G699" s="257"/>
      <c r="H699" s="257"/>
      <c r="I699" s="257"/>
      <c r="J699" s="257"/>
      <c r="K699" s="257"/>
      <c r="L699" s="257"/>
      <c r="M699" s="257"/>
      <c r="N699" s="257"/>
      <c r="O699" s="257"/>
      <c r="P699" s="257"/>
      <c r="Q699" s="257"/>
      <c r="R699" s="257"/>
      <c r="S699" s="257"/>
      <c r="T699" s="257"/>
      <c r="U699" s="257"/>
      <c r="V699" s="257"/>
      <c r="W699" s="257"/>
      <c r="X699" s="257"/>
      <c r="Y699" s="257"/>
      <c r="Z699" s="257"/>
    </row>
    <row r="700" spans="1:26" ht="21" customHeight="1">
      <c r="A700" s="257"/>
      <c r="B700" s="257"/>
      <c r="C700" s="257"/>
      <c r="D700" s="257"/>
      <c r="E700" s="257"/>
      <c r="F700" s="257"/>
      <c r="G700" s="257"/>
      <c r="H700" s="257"/>
      <c r="I700" s="257"/>
      <c r="J700" s="257"/>
      <c r="K700" s="257"/>
      <c r="L700" s="257"/>
      <c r="M700" s="257"/>
      <c r="N700" s="257"/>
      <c r="O700" s="257"/>
      <c r="P700" s="257"/>
      <c r="Q700" s="257"/>
      <c r="R700" s="257"/>
      <c r="S700" s="257"/>
      <c r="T700" s="257"/>
      <c r="U700" s="257"/>
      <c r="V700" s="257"/>
      <c r="W700" s="257"/>
      <c r="X700" s="257"/>
      <c r="Y700" s="257"/>
      <c r="Z700" s="257"/>
    </row>
    <row r="701" spans="1:26" ht="21" customHeight="1">
      <c r="A701" s="257"/>
      <c r="B701" s="257"/>
      <c r="C701" s="257"/>
      <c r="D701" s="257"/>
      <c r="E701" s="257"/>
      <c r="F701" s="257"/>
      <c r="G701" s="257"/>
      <c r="H701" s="257"/>
      <c r="I701" s="257"/>
      <c r="J701" s="257"/>
      <c r="K701" s="257"/>
      <c r="L701" s="257"/>
      <c r="M701" s="257"/>
      <c r="N701" s="257"/>
      <c r="O701" s="257"/>
      <c r="P701" s="257"/>
      <c r="Q701" s="257"/>
      <c r="R701" s="257"/>
      <c r="S701" s="257"/>
      <c r="T701" s="257"/>
      <c r="U701" s="257"/>
      <c r="V701" s="257"/>
      <c r="W701" s="257"/>
      <c r="X701" s="257"/>
      <c r="Y701" s="257"/>
      <c r="Z701" s="257"/>
    </row>
    <row r="702" spans="1:26" ht="21" customHeight="1">
      <c r="A702" s="257"/>
      <c r="B702" s="257"/>
      <c r="C702" s="257"/>
      <c r="D702" s="257"/>
      <c r="E702" s="257"/>
      <c r="F702" s="257"/>
      <c r="G702" s="257"/>
      <c r="H702" s="257"/>
      <c r="I702" s="257"/>
      <c r="J702" s="257"/>
      <c r="K702" s="257"/>
      <c r="L702" s="257"/>
      <c r="M702" s="257"/>
      <c r="N702" s="257"/>
      <c r="O702" s="257"/>
      <c r="P702" s="257"/>
      <c r="Q702" s="257"/>
      <c r="R702" s="257"/>
      <c r="S702" s="257"/>
      <c r="T702" s="257"/>
      <c r="U702" s="257"/>
      <c r="V702" s="257"/>
      <c r="W702" s="257"/>
      <c r="X702" s="257"/>
      <c r="Y702" s="257"/>
      <c r="Z702" s="257"/>
    </row>
    <row r="703" spans="1:26" ht="21" customHeight="1">
      <c r="A703" s="257"/>
      <c r="B703" s="257"/>
      <c r="C703" s="257"/>
      <c r="D703" s="257"/>
      <c r="E703" s="257"/>
      <c r="F703" s="257"/>
      <c r="G703" s="257"/>
      <c r="H703" s="257"/>
      <c r="I703" s="257"/>
      <c r="J703" s="257"/>
      <c r="K703" s="257"/>
      <c r="L703" s="257"/>
      <c r="M703" s="257"/>
      <c r="N703" s="257"/>
      <c r="O703" s="257"/>
      <c r="P703" s="257"/>
      <c r="Q703" s="257"/>
      <c r="R703" s="257"/>
      <c r="S703" s="257"/>
      <c r="T703" s="257"/>
      <c r="U703" s="257"/>
      <c r="V703" s="257"/>
      <c r="W703" s="257"/>
      <c r="X703" s="257"/>
      <c r="Y703" s="257"/>
      <c r="Z703" s="257"/>
    </row>
    <row r="704" spans="1:26" ht="21" customHeight="1">
      <c r="A704" s="257"/>
      <c r="B704" s="257"/>
      <c r="C704" s="257"/>
      <c r="D704" s="257"/>
      <c r="E704" s="257"/>
      <c r="F704" s="257"/>
      <c r="G704" s="257"/>
      <c r="H704" s="257"/>
      <c r="I704" s="257"/>
      <c r="J704" s="257"/>
      <c r="K704" s="257"/>
      <c r="L704" s="257"/>
      <c r="M704" s="257"/>
      <c r="N704" s="257"/>
      <c r="O704" s="257"/>
      <c r="P704" s="257"/>
      <c r="Q704" s="257"/>
      <c r="R704" s="257"/>
      <c r="S704" s="257"/>
      <c r="T704" s="257"/>
      <c r="U704" s="257"/>
      <c r="V704" s="257"/>
      <c r="W704" s="257"/>
      <c r="X704" s="257"/>
      <c r="Y704" s="257"/>
      <c r="Z704" s="257"/>
    </row>
    <row r="705" spans="1:26" ht="21" customHeight="1">
      <c r="A705" s="257"/>
      <c r="B705" s="257"/>
      <c r="C705" s="257"/>
      <c r="D705" s="257"/>
      <c r="E705" s="257"/>
      <c r="F705" s="257"/>
      <c r="G705" s="257"/>
      <c r="H705" s="257"/>
      <c r="I705" s="257"/>
      <c r="J705" s="257"/>
      <c r="K705" s="257"/>
      <c r="L705" s="257"/>
      <c r="M705" s="257"/>
      <c r="N705" s="257"/>
      <c r="O705" s="257"/>
      <c r="P705" s="257"/>
      <c r="Q705" s="257"/>
      <c r="R705" s="257"/>
      <c r="S705" s="257"/>
      <c r="T705" s="257"/>
      <c r="U705" s="257"/>
      <c r="V705" s="257"/>
      <c r="W705" s="257"/>
      <c r="X705" s="257"/>
      <c r="Y705" s="257"/>
      <c r="Z705" s="257"/>
    </row>
    <row r="706" spans="1:26" ht="21" customHeight="1">
      <c r="A706" s="257"/>
      <c r="B706" s="257"/>
      <c r="C706" s="257"/>
      <c r="D706" s="257"/>
      <c r="E706" s="257"/>
      <c r="F706" s="257"/>
      <c r="G706" s="257"/>
      <c r="H706" s="257"/>
      <c r="I706" s="257"/>
      <c r="J706" s="257"/>
      <c r="K706" s="257"/>
      <c r="L706" s="257"/>
      <c r="M706" s="257"/>
      <c r="N706" s="257"/>
      <c r="O706" s="257"/>
      <c r="P706" s="257"/>
      <c r="Q706" s="257"/>
      <c r="R706" s="257"/>
      <c r="S706" s="257"/>
      <c r="T706" s="257"/>
      <c r="U706" s="257"/>
      <c r="V706" s="257"/>
      <c r="W706" s="257"/>
      <c r="X706" s="257"/>
      <c r="Y706" s="257"/>
      <c r="Z706" s="257"/>
    </row>
    <row r="707" spans="1:26" ht="21" customHeight="1">
      <c r="A707" s="257"/>
      <c r="B707" s="257"/>
      <c r="C707" s="257"/>
      <c r="D707" s="257"/>
      <c r="E707" s="257"/>
      <c r="F707" s="257"/>
      <c r="G707" s="257"/>
      <c r="H707" s="257"/>
      <c r="I707" s="257"/>
      <c r="J707" s="257"/>
      <c r="K707" s="257"/>
      <c r="L707" s="257"/>
      <c r="M707" s="257"/>
      <c r="N707" s="257"/>
      <c r="O707" s="257"/>
      <c r="P707" s="257"/>
      <c r="Q707" s="257"/>
      <c r="R707" s="257"/>
      <c r="S707" s="257"/>
      <c r="T707" s="257"/>
      <c r="U707" s="257"/>
      <c r="V707" s="257"/>
      <c r="W707" s="257"/>
      <c r="X707" s="257"/>
      <c r="Y707" s="257"/>
      <c r="Z707" s="257"/>
    </row>
    <row r="708" spans="1:26" ht="21" customHeight="1">
      <c r="A708" s="257"/>
      <c r="B708" s="257"/>
      <c r="C708" s="257"/>
      <c r="D708" s="257"/>
      <c r="E708" s="257"/>
      <c r="F708" s="257"/>
      <c r="G708" s="257"/>
      <c r="H708" s="257"/>
      <c r="I708" s="257"/>
      <c r="J708" s="257"/>
      <c r="K708" s="257"/>
      <c r="L708" s="257"/>
      <c r="M708" s="257"/>
      <c r="N708" s="257"/>
      <c r="O708" s="257"/>
      <c r="P708" s="257"/>
      <c r="Q708" s="257"/>
      <c r="R708" s="257"/>
      <c r="S708" s="257"/>
      <c r="T708" s="257"/>
      <c r="U708" s="257"/>
      <c r="V708" s="257"/>
      <c r="W708" s="257"/>
      <c r="X708" s="257"/>
      <c r="Y708" s="257"/>
      <c r="Z708" s="257"/>
    </row>
    <row r="709" spans="1:26" ht="21" customHeight="1">
      <c r="A709" s="257"/>
      <c r="B709" s="257"/>
      <c r="C709" s="257"/>
      <c r="D709" s="257"/>
      <c r="E709" s="257"/>
      <c r="F709" s="257"/>
      <c r="G709" s="257"/>
      <c r="H709" s="257"/>
      <c r="I709" s="257"/>
      <c r="J709" s="257"/>
      <c r="K709" s="257"/>
      <c r="L709" s="257"/>
      <c r="M709" s="257"/>
      <c r="N709" s="257"/>
      <c r="O709" s="257"/>
      <c r="P709" s="257"/>
      <c r="Q709" s="257"/>
      <c r="R709" s="257"/>
      <c r="S709" s="257"/>
      <c r="T709" s="257"/>
      <c r="U709" s="257"/>
      <c r="V709" s="257"/>
      <c r="W709" s="257"/>
      <c r="X709" s="257"/>
      <c r="Y709" s="257"/>
      <c r="Z709" s="257"/>
    </row>
    <row r="710" spans="1:26" ht="21" customHeight="1">
      <c r="A710" s="257"/>
      <c r="B710" s="257"/>
      <c r="C710" s="257"/>
      <c r="D710" s="257"/>
      <c r="E710" s="257"/>
      <c r="F710" s="257"/>
      <c r="G710" s="257"/>
      <c r="H710" s="257"/>
      <c r="I710" s="257"/>
      <c r="J710" s="257"/>
      <c r="K710" s="257"/>
      <c r="L710" s="257"/>
      <c r="M710" s="257"/>
      <c r="N710" s="257"/>
      <c r="O710" s="257"/>
      <c r="P710" s="257"/>
      <c r="Q710" s="257"/>
      <c r="R710" s="257"/>
      <c r="S710" s="257"/>
      <c r="T710" s="257"/>
      <c r="U710" s="257"/>
      <c r="V710" s="257"/>
      <c r="W710" s="257"/>
      <c r="X710" s="257"/>
      <c r="Y710" s="257"/>
      <c r="Z710" s="257"/>
    </row>
    <row r="711" spans="1:26" ht="21" customHeight="1">
      <c r="A711" s="257"/>
      <c r="B711" s="257"/>
      <c r="C711" s="257"/>
      <c r="D711" s="257"/>
      <c r="E711" s="257"/>
      <c r="F711" s="257"/>
      <c r="G711" s="257"/>
      <c r="H711" s="257"/>
      <c r="I711" s="257"/>
      <c r="J711" s="257"/>
      <c r="K711" s="257"/>
      <c r="L711" s="257"/>
      <c r="M711" s="257"/>
      <c r="N711" s="257"/>
      <c r="O711" s="257"/>
      <c r="P711" s="257"/>
      <c r="Q711" s="257"/>
      <c r="R711" s="257"/>
      <c r="S711" s="257"/>
      <c r="T711" s="257"/>
      <c r="U711" s="257"/>
      <c r="V711" s="257"/>
      <c r="W711" s="257"/>
      <c r="X711" s="257"/>
      <c r="Y711" s="257"/>
      <c r="Z711" s="257"/>
    </row>
    <row r="712" spans="1:26" ht="21" customHeight="1">
      <c r="A712" s="257"/>
      <c r="B712" s="257"/>
      <c r="C712" s="257"/>
      <c r="D712" s="257"/>
      <c r="E712" s="257"/>
      <c r="F712" s="257"/>
      <c r="G712" s="257"/>
      <c r="H712" s="257"/>
      <c r="I712" s="257"/>
      <c r="J712" s="257"/>
      <c r="K712" s="257"/>
      <c r="L712" s="257"/>
      <c r="M712" s="257"/>
      <c r="N712" s="257"/>
      <c r="O712" s="257"/>
      <c r="P712" s="257"/>
      <c r="Q712" s="257"/>
      <c r="R712" s="257"/>
      <c r="S712" s="257"/>
      <c r="T712" s="257"/>
      <c r="U712" s="257"/>
      <c r="V712" s="257"/>
      <c r="W712" s="257"/>
      <c r="X712" s="257"/>
      <c r="Y712" s="257"/>
      <c r="Z712" s="257"/>
    </row>
    <row r="713" spans="1:26" ht="21" customHeight="1">
      <c r="A713" s="257"/>
      <c r="B713" s="257"/>
      <c r="C713" s="257"/>
      <c r="D713" s="257"/>
      <c r="E713" s="257"/>
      <c r="F713" s="257"/>
      <c r="G713" s="257"/>
      <c r="H713" s="257"/>
      <c r="I713" s="257"/>
      <c r="J713" s="257"/>
      <c r="K713" s="257"/>
      <c r="L713" s="257"/>
      <c r="M713" s="257"/>
      <c r="N713" s="257"/>
      <c r="O713" s="257"/>
      <c r="P713" s="257"/>
      <c r="Q713" s="257"/>
      <c r="R713" s="257"/>
      <c r="S713" s="257"/>
      <c r="T713" s="257"/>
      <c r="U713" s="257"/>
      <c r="V713" s="257"/>
      <c r="W713" s="257"/>
      <c r="X713" s="257"/>
      <c r="Y713" s="257"/>
      <c r="Z713" s="257"/>
    </row>
    <row r="714" spans="1:26" ht="21" customHeight="1">
      <c r="A714" s="257"/>
      <c r="B714" s="257"/>
      <c r="C714" s="257"/>
      <c r="D714" s="257"/>
      <c r="E714" s="257"/>
      <c r="F714" s="257"/>
      <c r="G714" s="257"/>
      <c r="H714" s="257"/>
      <c r="I714" s="257"/>
      <c r="J714" s="257"/>
      <c r="K714" s="257"/>
      <c r="L714" s="257"/>
      <c r="M714" s="257"/>
      <c r="N714" s="257"/>
      <c r="O714" s="257"/>
      <c r="P714" s="257"/>
      <c r="Q714" s="257"/>
      <c r="R714" s="257"/>
      <c r="S714" s="257"/>
      <c r="T714" s="257"/>
      <c r="U714" s="257"/>
      <c r="V714" s="257"/>
      <c r="W714" s="257"/>
      <c r="X714" s="257"/>
      <c r="Y714" s="257"/>
      <c r="Z714" s="257"/>
    </row>
    <row r="715" spans="1:26" ht="21" customHeight="1">
      <c r="A715" s="257"/>
      <c r="B715" s="257"/>
      <c r="C715" s="257"/>
      <c r="D715" s="257"/>
      <c r="E715" s="257"/>
      <c r="F715" s="257"/>
      <c r="G715" s="257"/>
      <c r="H715" s="257"/>
      <c r="I715" s="257"/>
      <c r="J715" s="257"/>
      <c r="K715" s="257"/>
      <c r="L715" s="257"/>
      <c r="M715" s="257"/>
      <c r="N715" s="257"/>
      <c r="O715" s="257"/>
      <c r="P715" s="257"/>
      <c r="Q715" s="257"/>
      <c r="R715" s="257"/>
      <c r="S715" s="257"/>
      <c r="T715" s="257"/>
      <c r="U715" s="257"/>
      <c r="V715" s="257"/>
      <c r="W715" s="257"/>
      <c r="X715" s="257"/>
      <c r="Y715" s="257"/>
      <c r="Z715" s="257"/>
    </row>
    <row r="716" spans="1:26" ht="21" customHeight="1">
      <c r="A716" s="257"/>
      <c r="B716" s="257"/>
      <c r="C716" s="257"/>
      <c r="D716" s="257"/>
      <c r="E716" s="257"/>
      <c r="F716" s="257"/>
      <c r="G716" s="257"/>
      <c r="H716" s="257"/>
      <c r="I716" s="257"/>
      <c r="J716" s="257"/>
      <c r="K716" s="257"/>
      <c r="L716" s="257"/>
      <c r="M716" s="257"/>
      <c r="N716" s="257"/>
      <c r="O716" s="257"/>
      <c r="P716" s="257"/>
      <c r="Q716" s="257"/>
      <c r="R716" s="257"/>
      <c r="S716" s="257"/>
      <c r="T716" s="257"/>
      <c r="U716" s="257"/>
      <c r="V716" s="257"/>
      <c r="W716" s="257"/>
      <c r="X716" s="257"/>
      <c r="Y716" s="257"/>
      <c r="Z716" s="257"/>
    </row>
    <row r="717" spans="1:26" ht="21" customHeight="1">
      <c r="A717" s="257"/>
      <c r="B717" s="257"/>
      <c r="C717" s="257"/>
      <c r="D717" s="257"/>
      <c r="E717" s="257"/>
      <c r="F717" s="257"/>
      <c r="G717" s="257"/>
      <c r="H717" s="257"/>
      <c r="I717" s="257"/>
      <c r="J717" s="257"/>
      <c r="K717" s="257"/>
      <c r="L717" s="257"/>
      <c r="M717" s="257"/>
      <c r="N717" s="257"/>
      <c r="O717" s="257"/>
      <c r="P717" s="257"/>
      <c r="Q717" s="257"/>
      <c r="R717" s="257"/>
      <c r="S717" s="257"/>
      <c r="T717" s="257"/>
      <c r="U717" s="257"/>
      <c r="V717" s="257"/>
      <c r="W717" s="257"/>
      <c r="X717" s="257"/>
      <c r="Y717" s="257"/>
      <c r="Z717" s="257"/>
    </row>
    <row r="718" spans="1:26" ht="21" customHeight="1">
      <c r="A718" s="257"/>
      <c r="B718" s="257"/>
      <c r="C718" s="257"/>
      <c r="D718" s="257"/>
      <c r="E718" s="257"/>
      <c r="F718" s="257"/>
      <c r="G718" s="257"/>
      <c r="H718" s="257"/>
      <c r="I718" s="257"/>
      <c r="J718" s="257"/>
      <c r="K718" s="257"/>
      <c r="L718" s="257"/>
      <c r="M718" s="257"/>
      <c r="N718" s="257"/>
      <c r="O718" s="257"/>
      <c r="P718" s="257"/>
      <c r="Q718" s="257"/>
      <c r="R718" s="257"/>
      <c r="S718" s="257"/>
      <c r="T718" s="257"/>
      <c r="U718" s="257"/>
      <c r="V718" s="257"/>
      <c r="W718" s="257"/>
      <c r="X718" s="257"/>
      <c r="Y718" s="257"/>
      <c r="Z718" s="257"/>
    </row>
    <row r="719" spans="1:26" ht="21" customHeight="1">
      <c r="A719" s="257"/>
      <c r="B719" s="257"/>
      <c r="C719" s="257"/>
      <c r="D719" s="257"/>
      <c r="E719" s="257"/>
      <c r="F719" s="257"/>
      <c r="G719" s="257"/>
      <c r="H719" s="257"/>
      <c r="I719" s="257"/>
      <c r="J719" s="257"/>
      <c r="K719" s="257"/>
      <c r="L719" s="257"/>
      <c r="M719" s="257"/>
      <c r="N719" s="257"/>
      <c r="O719" s="257"/>
      <c r="P719" s="257"/>
      <c r="Q719" s="257"/>
      <c r="R719" s="257"/>
      <c r="S719" s="257"/>
      <c r="T719" s="257"/>
      <c r="U719" s="257"/>
      <c r="V719" s="257"/>
      <c r="W719" s="257"/>
      <c r="X719" s="257"/>
      <c r="Y719" s="257"/>
      <c r="Z719" s="257"/>
    </row>
    <row r="720" spans="1:26" ht="21" customHeight="1">
      <c r="A720" s="257"/>
      <c r="B720" s="257"/>
      <c r="C720" s="257"/>
      <c r="D720" s="257"/>
      <c r="E720" s="257"/>
      <c r="F720" s="257"/>
      <c r="G720" s="257"/>
      <c r="H720" s="257"/>
      <c r="I720" s="257"/>
      <c r="J720" s="257"/>
      <c r="K720" s="257"/>
      <c r="L720" s="257"/>
      <c r="M720" s="257"/>
      <c r="N720" s="257"/>
      <c r="O720" s="257"/>
      <c r="P720" s="257"/>
      <c r="Q720" s="257"/>
      <c r="R720" s="257"/>
      <c r="S720" s="257"/>
      <c r="T720" s="257"/>
      <c r="U720" s="257"/>
      <c r="V720" s="257"/>
      <c r="W720" s="257"/>
      <c r="X720" s="257"/>
      <c r="Y720" s="257"/>
      <c r="Z720" s="257"/>
    </row>
    <row r="721" spans="1:26" ht="21" customHeight="1">
      <c r="A721" s="257"/>
      <c r="B721" s="257"/>
      <c r="C721" s="257"/>
      <c r="D721" s="257"/>
      <c r="E721" s="257"/>
      <c r="F721" s="257"/>
      <c r="G721" s="257"/>
      <c r="H721" s="257"/>
      <c r="I721" s="257"/>
      <c r="J721" s="257"/>
      <c r="K721" s="257"/>
      <c r="L721" s="257"/>
      <c r="M721" s="257"/>
      <c r="N721" s="257"/>
      <c r="O721" s="257"/>
      <c r="P721" s="257"/>
      <c r="Q721" s="257"/>
      <c r="R721" s="257"/>
      <c r="S721" s="257"/>
      <c r="T721" s="257"/>
      <c r="U721" s="257"/>
      <c r="V721" s="257"/>
      <c r="W721" s="257"/>
      <c r="X721" s="257"/>
      <c r="Y721" s="257"/>
      <c r="Z721" s="257"/>
    </row>
    <row r="722" spans="1:26" ht="21" customHeight="1">
      <c r="A722" s="257"/>
      <c r="B722" s="257"/>
      <c r="C722" s="257"/>
      <c r="D722" s="257"/>
      <c r="E722" s="257"/>
      <c r="F722" s="257"/>
      <c r="G722" s="257"/>
      <c r="H722" s="257"/>
      <c r="I722" s="257"/>
      <c r="J722" s="257"/>
      <c r="K722" s="257"/>
      <c r="L722" s="257"/>
      <c r="M722" s="257"/>
      <c r="N722" s="257"/>
      <c r="O722" s="257"/>
      <c r="P722" s="257"/>
      <c r="Q722" s="257"/>
      <c r="R722" s="257"/>
      <c r="S722" s="257"/>
      <c r="T722" s="257"/>
      <c r="U722" s="257"/>
      <c r="V722" s="257"/>
      <c r="W722" s="257"/>
      <c r="X722" s="257"/>
      <c r="Y722" s="257"/>
      <c r="Z722" s="257"/>
    </row>
    <row r="723" spans="1:26" ht="21" customHeight="1">
      <c r="A723" s="257"/>
      <c r="B723" s="257"/>
      <c r="C723" s="257"/>
      <c r="D723" s="257"/>
      <c r="E723" s="257"/>
      <c r="F723" s="257"/>
      <c r="G723" s="257"/>
      <c r="H723" s="257"/>
      <c r="I723" s="257"/>
      <c r="J723" s="257"/>
      <c r="K723" s="257"/>
      <c r="L723" s="257"/>
      <c r="M723" s="257"/>
      <c r="N723" s="257"/>
      <c r="O723" s="257"/>
      <c r="P723" s="257"/>
      <c r="Q723" s="257"/>
      <c r="R723" s="257"/>
      <c r="S723" s="257"/>
      <c r="T723" s="257"/>
      <c r="U723" s="257"/>
      <c r="V723" s="257"/>
      <c r="W723" s="257"/>
      <c r="X723" s="257"/>
      <c r="Y723" s="257"/>
      <c r="Z723" s="257"/>
    </row>
    <row r="724" spans="1:26" ht="21" customHeight="1">
      <c r="A724" s="257"/>
      <c r="B724" s="257"/>
      <c r="C724" s="257"/>
      <c r="D724" s="257"/>
      <c r="E724" s="257"/>
      <c r="F724" s="257"/>
      <c r="G724" s="257"/>
      <c r="H724" s="257"/>
      <c r="I724" s="257"/>
      <c r="J724" s="257"/>
      <c r="K724" s="257"/>
      <c r="L724" s="257"/>
      <c r="M724" s="257"/>
      <c r="N724" s="257"/>
      <c r="O724" s="257"/>
      <c r="P724" s="257"/>
      <c r="Q724" s="257"/>
      <c r="R724" s="257"/>
      <c r="S724" s="257"/>
      <c r="T724" s="257"/>
      <c r="U724" s="257"/>
      <c r="V724" s="257"/>
      <c r="W724" s="257"/>
      <c r="X724" s="257"/>
      <c r="Y724" s="257"/>
      <c r="Z724" s="257"/>
    </row>
    <row r="725" spans="1:26" ht="21" customHeight="1">
      <c r="A725" s="257"/>
      <c r="B725" s="257"/>
      <c r="C725" s="257"/>
      <c r="D725" s="257"/>
      <c r="E725" s="257"/>
      <c r="F725" s="257"/>
      <c r="G725" s="257"/>
      <c r="H725" s="257"/>
      <c r="I725" s="257"/>
      <c r="J725" s="257"/>
      <c r="K725" s="257"/>
      <c r="L725" s="257"/>
      <c r="M725" s="257"/>
      <c r="N725" s="257"/>
      <c r="O725" s="257"/>
      <c r="P725" s="257"/>
      <c r="Q725" s="257"/>
      <c r="R725" s="257"/>
      <c r="S725" s="257"/>
      <c r="T725" s="257"/>
      <c r="U725" s="257"/>
      <c r="V725" s="257"/>
      <c r="W725" s="257"/>
      <c r="X725" s="257"/>
      <c r="Y725" s="257"/>
      <c r="Z725" s="257"/>
    </row>
    <row r="726" spans="1:26" ht="21" customHeight="1">
      <c r="A726" s="257"/>
      <c r="B726" s="257"/>
      <c r="C726" s="257"/>
      <c r="D726" s="257"/>
      <c r="E726" s="257"/>
      <c r="F726" s="257"/>
      <c r="G726" s="257"/>
      <c r="H726" s="257"/>
      <c r="I726" s="257"/>
      <c r="J726" s="257"/>
      <c r="K726" s="257"/>
      <c r="L726" s="257"/>
      <c r="M726" s="257"/>
      <c r="N726" s="257"/>
      <c r="O726" s="257"/>
      <c r="P726" s="257"/>
      <c r="Q726" s="257"/>
      <c r="R726" s="257"/>
      <c r="S726" s="257"/>
      <c r="T726" s="257"/>
      <c r="U726" s="257"/>
      <c r="V726" s="257"/>
      <c r="W726" s="257"/>
      <c r="X726" s="257"/>
      <c r="Y726" s="257"/>
      <c r="Z726" s="257"/>
    </row>
    <row r="727" spans="1:26" ht="21" customHeight="1">
      <c r="A727" s="257"/>
      <c r="B727" s="257"/>
      <c r="C727" s="257"/>
      <c r="D727" s="257"/>
      <c r="E727" s="257"/>
      <c r="F727" s="257"/>
      <c r="G727" s="257"/>
      <c r="H727" s="257"/>
      <c r="I727" s="257"/>
      <c r="J727" s="257"/>
      <c r="K727" s="257"/>
      <c r="L727" s="257"/>
      <c r="M727" s="257"/>
      <c r="N727" s="257"/>
      <c r="O727" s="257"/>
      <c r="P727" s="257"/>
      <c r="Q727" s="257"/>
      <c r="R727" s="257"/>
      <c r="S727" s="257"/>
      <c r="T727" s="257"/>
      <c r="U727" s="257"/>
      <c r="V727" s="257"/>
      <c r="W727" s="257"/>
      <c r="X727" s="257"/>
      <c r="Y727" s="257"/>
      <c r="Z727" s="257"/>
    </row>
    <row r="728" spans="1:26" ht="21" customHeight="1">
      <c r="A728" s="257"/>
      <c r="B728" s="257"/>
      <c r="C728" s="257"/>
      <c r="D728" s="257"/>
      <c r="E728" s="257"/>
      <c r="F728" s="257"/>
      <c r="G728" s="257"/>
      <c r="H728" s="257"/>
      <c r="I728" s="257"/>
      <c r="J728" s="257"/>
      <c r="K728" s="257"/>
      <c r="L728" s="257"/>
      <c r="M728" s="257"/>
      <c r="N728" s="257"/>
      <c r="O728" s="257"/>
      <c r="P728" s="257"/>
      <c r="Q728" s="257"/>
      <c r="R728" s="257"/>
      <c r="S728" s="257"/>
      <c r="T728" s="257"/>
      <c r="U728" s="257"/>
      <c r="V728" s="257"/>
      <c r="W728" s="257"/>
      <c r="X728" s="257"/>
      <c r="Y728" s="257"/>
      <c r="Z728" s="257"/>
    </row>
    <row r="729" spans="1:26" ht="21" customHeight="1">
      <c r="A729" s="257"/>
      <c r="B729" s="257"/>
      <c r="C729" s="257"/>
      <c r="D729" s="257"/>
      <c r="E729" s="257"/>
      <c r="F729" s="257"/>
      <c r="G729" s="257"/>
      <c r="H729" s="257"/>
      <c r="I729" s="257"/>
      <c r="J729" s="257"/>
      <c r="K729" s="257"/>
      <c r="L729" s="257"/>
      <c r="M729" s="257"/>
      <c r="N729" s="257"/>
      <c r="O729" s="257"/>
      <c r="P729" s="257"/>
      <c r="Q729" s="257"/>
      <c r="R729" s="257"/>
      <c r="S729" s="257"/>
      <c r="T729" s="257"/>
      <c r="U729" s="257"/>
      <c r="V729" s="257"/>
      <c r="W729" s="257"/>
      <c r="X729" s="257"/>
      <c r="Y729" s="257"/>
      <c r="Z729" s="257"/>
    </row>
    <row r="730" spans="1:26" ht="21" customHeight="1">
      <c r="A730" s="257"/>
      <c r="B730" s="257"/>
      <c r="C730" s="257"/>
      <c r="D730" s="257"/>
      <c r="E730" s="257"/>
      <c r="F730" s="257"/>
      <c r="G730" s="257"/>
      <c r="H730" s="257"/>
      <c r="I730" s="257"/>
      <c r="J730" s="257"/>
      <c r="K730" s="257"/>
      <c r="L730" s="257"/>
      <c r="M730" s="257"/>
      <c r="N730" s="257"/>
      <c r="O730" s="257"/>
      <c r="P730" s="257"/>
      <c r="Q730" s="257"/>
      <c r="R730" s="257"/>
      <c r="S730" s="257"/>
      <c r="T730" s="257"/>
      <c r="U730" s="257"/>
      <c r="V730" s="257"/>
      <c r="W730" s="257"/>
      <c r="X730" s="257"/>
      <c r="Y730" s="257"/>
      <c r="Z730" s="257"/>
    </row>
    <row r="731" spans="1:26" ht="21" customHeight="1">
      <c r="A731" s="257"/>
      <c r="B731" s="257"/>
      <c r="C731" s="257"/>
      <c r="D731" s="257"/>
      <c r="E731" s="257"/>
      <c r="F731" s="257"/>
      <c r="G731" s="257"/>
      <c r="H731" s="257"/>
      <c r="I731" s="257"/>
      <c r="J731" s="257"/>
      <c r="K731" s="257"/>
      <c r="L731" s="257"/>
      <c r="M731" s="257"/>
      <c r="N731" s="257"/>
      <c r="O731" s="257"/>
      <c r="P731" s="257"/>
      <c r="Q731" s="257"/>
      <c r="R731" s="257"/>
      <c r="S731" s="257"/>
      <c r="T731" s="257"/>
      <c r="U731" s="257"/>
      <c r="V731" s="257"/>
      <c r="W731" s="257"/>
      <c r="X731" s="257"/>
      <c r="Y731" s="257"/>
      <c r="Z731" s="257"/>
    </row>
    <row r="732" spans="1:26" ht="21" customHeight="1">
      <c r="A732" s="257"/>
      <c r="B732" s="257"/>
      <c r="C732" s="257"/>
      <c r="D732" s="257"/>
      <c r="E732" s="257"/>
      <c r="F732" s="257"/>
      <c r="G732" s="257"/>
      <c r="H732" s="257"/>
      <c r="I732" s="257"/>
      <c r="J732" s="257"/>
      <c r="K732" s="257"/>
      <c r="L732" s="257"/>
      <c r="M732" s="257"/>
      <c r="N732" s="257"/>
      <c r="O732" s="257"/>
      <c r="P732" s="257"/>
      <c r="Q732" s="257"/>
      <c r="R732" s="257"/>
      <c r="S732" s="257"/>
      <c r="T732" s="257"/>
      <c r="U732" s="257"/>
      <c r="V732" s="257"/>
      <c r="W732" s="257"/>
      <c r="X732" s="257"/>
      <c r="Y732" s="257"/>
      <c r="Z732" s="257"/>
    </row>
    <row r="733" spans="1:26" ht="21" customHeight="1">
      <c r="A733" s="257"/>
      <c r="B733" s="257"/>
      <c r="C733" s="257"/>
      <c r="D733" s="257"/>
      <c r="E733" s="257"/>
      <c r="F733" s="257"/>
      <c r="G733" s="257"/>
      <c r="H733" s="257"/>
      <c r="I733" s="257"/>
      <c r="J733" s="257"/>
      <c r="K733" s="257"/>
      <c r="L733" s="257"/>
      <c r="M733" s="257"/>
      <c r="N733" s="257"/>
      <c r="O733" s="257"/>
      <c r="P733" s="257"/>
      <c r="Q733" s="257"/>
      <c r="R733" s="257"/>
      <c r="S733" s="257"/>
      <c r="T733" s="257"/>
      <c r="U733" s="257"/>
      <c r="V733" s="257"/>
      <c r="W733" s="257"/>
      <c r="X733" s="257"/>
      <c r="Y733" s="257"/>
      <c r="Z733" s="257"/>
    </row>
    <row r="734" spans="1:26" ht="21" customHeight="1">
      <c r="A734" s="257"/>
      <c r="B734" s="257"/>
      <c r="C734" s="257"/>
      <c r="D734" s="257"/>
      <c r="E734" s="257"/>
      <c r="F734" s="257"/>
      <c r="G734" s="257"/>
      <c r="H734" s="257"/>
      <c r="I734" s="257"/>
      <c r="J734" s="257"/>
      <c r="K734" s="257"/>
      <c r="L734" s="257"/>
      <c r="M734" s="257"/>
      <c r="N734" s="257"/>
      <c r="O734" s="257"/>
      <c r="P734" s="257"/>
      <c r="Q734" s="257"/>
      <c r="R734" s="257"/>
      <c r="S734" s="257"/>
      <c r="T734" s="257"/>
      <c r="U734" s="257"/>
      <c r="V734" s="257"/>
      <c r="W734" s="257"/>
      <c r="X734" s="257"/>
      <c r="Y734" s="257"/>
      <c r="Z734" s="257"/>
    </row>
    <row r="735" spans="1:26" ht="21" customHeight="1">
      <c r="A735" s="257"/>
      <c r="B735" s="257"/>
      <c r="C735" s="257"/>
      <c r="D735" s="257"/>
      <c r="E735" s="257"/>
      <c r="F735" s="257"/>
      <c r="G735" s="257"/>
      <c r="H735" s="257"/>
      <c r="I735" s="257"/>
      <c r="J735" s="257"/>
      <c r="K735" s="257"/>
      <c r="L735" s="257"/>
      <c r="M735" s="257"/>
      <c r="N735" s="257"/>
      <c r="O735" s="257"/>
      <c r="P735" s="257"/>
      <c r="Q735" s="257"/>
      <c r="R735" s="257"/>
      <c r="S735" s="257"/>
      <c r="T735" s="257"/>
      <c r="U735" s="257"/>
      <c r="V735" s="257"/>
      <c r="W735" s="257"/>
      <c r="X735" s="257"/>
      <c r="Y735" s="257"/>
      <c r="Z735" s="257"/>
    </row>
    <row r="736" spans="1:26" ht="21" customHeight="1">
      <c r="A736" s="257"/>
      <c r="B736" s="257"/>
      <c r="C736" s="257"/>
      <c r="D736" s="257"/>
      <c r="E736" s="257"/>
      <c r="F736" s="257"/>
      <c r="G736" s="257"/>
      <c r="H736" s="257"/>
      <c r="I736" s="257"/>
      <c r="J736" s="257"/>
      <c r="K736" s="257"/>
      <c r="L736" s="257"/>
      <c r="M736" s="257"/>
      <c r="N736" s="257"/>
      <c r="O736" s="257"/>
      <c r="P736" s="257"/>
      <c r="Q736" s="257"/>
      <c r="R736" s="257"/>
      <c r="S736" s="257"/>
      <c r="T736" s="257"/>
      <c r="U736" s="257"/>
      <c r="V736" s="257"/>
      <c r="W736" s="257"/>
      <c r="X736" s="257"/>
      <c r="Y736" s="257"/>
      <c r="Z736" s="257"/>
    </row>
    <row r="737" spans="1:26" ht="21" customHeight="1">
      <c r="A737" s="257"/>
      <c r="B737" s="257"/>
      <c r="C737" s="257"/>
      <c r="D737" s="257"/>
      <c r="E737" s="257"/>
      <c r="F737" s="257"/>
      <c r="G737" s="257"/>
      <c r="H737" s="257"/>
      <c r="I737" s="257"/>
      <c r="J737" s="257"/>
      <c r="K737" s="257"/>
      <c r="L737" s="257"/>
      <c r="M737" s="257"/>
      <c r="N737" s="257"/>
      <c r="O737" s="257"/>
      <c r="P737" s="257"/>
      <c r="Q737" s="257"/>
      <c r="R737" s="257"/>
      <c r="S737" s="257"/>
      <c r="T737" s="257"/>
      <c r="U737" s="257"/>
      <c r="V737" s="257"/>
      <c r="W737" s="257"/>
      <c r="X737" s="257"/>
      <c r="Y737" s="257"/>
      <c r="Z737" s="257"/>
    </row>
    <row r="738" spans="1:26" ht="21" customHeight="1">
      <c r="A738" s="257"/>
      <c r="B738" s="257"/>
      <c r="C738" s="257"/>
      <c r="D738" s="257"/>
      <c r="E738" s="257"/>
      <c r="F738" s="257"/>
      <c r="G738" s="257"/>
      <c r="H738" s="257"/>
      <c r="I738" s="257"/>
      <c r="J738" s="257"/>
      <c r="K738" s="257"/>
      <c r="L738" s="257"/>
      <c r="M738" s="257"/>
      <c r="N738" s="257"/>
      <c r="O738" s="257"/>
      <c r="P738" s="257"/>
      <c r="Q738" s="257"/>
      <c r="R738" s="257"/>
      <c r="S738" s="257"/>
      <c r="T738" s="257"/>
      <c r="U738" s="257"/>
      <c r="V738" s="257"/>
      <c r="W738" s="257"/>
      <c r="X738" s="257"/>
      <c r="Y738" s="257"/>
      <c r="Z738" s="257"/>
    </row>
    <row r="739" spans="1:26" ht="21" customHeight="1">
      <c r="A739" s="257"/>
      <c r="B739" s="257"/>
      <c r="C739" s="257"/>
      <c r="D739" s="257"/>
      <c r="E739" s="257"/>
      <c r="F739" s="257"/>
      <c r="G739" s="257"/>
      <c r="H739" s="257"/>
      <c r="I739" s="257"/>
      <c r="J739" s="257"/>
      <c r="K739" s="257"/>
      <c r="L739" s="257"/>
      <c r="M739" s="257"/>
      <c r="N739" s="257"/>
      <c r="O739" s="257"/>
      <c r="P739" s="257"/>
      <c r="Q739" s="257"/>
      <c r="R739" s="257"/>
      <c r="S739" s="257"/>
      <c r="T739" s="257"/>
      <c r="U739" s="257"/>
      <c r="V739" s="257"/>
      <c r="W739" s="257"/>
      <c r="X739" s="257"/>
      <c r="Y739" s="257"/>
      <c r="Z739" s="257"/>
    </row>
    <row r="740" spans="1:26" ht="21" customHeight="1">
      <c r="A740" s="257"/>
      <c r="B740" s="257"/>
      <c r="C740" s="257"/>
      <c r="D740" s="257"/>
      <c r="E740" s="257"/>
      <c r="F740" s="257"/>
      <c r="G740" s="257"/>
      <c r="H740" s="257"/>
      <c r="I740" s="257"/>
      <c r="J740" s="257"/>
      <c r="K740" s="257"/>
      <c r="L740" s="257"/>
      <c r="M740" s="257"/>
      <c r="N740" s="257"/>
      <c r="O740" s="257"/>
      <c r="P740" s="257"/>
      <c r="Q740" s="257"/>
      <c r="R740" s="257"/>
      <c r="S740" s="257"/>
      <c r="T740" s="257"/>
      <c r="U740" s="257"/>
      <c r="V740" s="257"/>
      <c r="W740" s="257"/>
      <c r="X740" s="257"/>
      <c r="Y740" s="257"/>
      <c r="Z740" s="257"/>
    </row>
    <row r="741" spans="1:26" ht="21" customHeight="1">
      <c r="A741" s="257"/>
      <c r="B741" s="257"/>
      <c r="C741" s="257"/>
      <c r="D741" s="257"/>
      <c r="E741" s="257"/>
      <c r="F741" s="257"/>
      <c r="G741" s="257"/>
      <c r="H741" s="257"/>
      <c r="I741" s="257"/>
      <c r="J741" s="257"/>
      <c r="K741" s="257"/>
      <c r="L741" s="257"/>
      <c r="M741" s="257"/>
      <c r="N741" s="257"/>
      <c r="O741" s="257"/>
      <c r="P741" s="257"/>
      <c r="Q741" s="257"/>
      <c r="R741" s="257"/>
      <c r="S741" s="257"/>
      <c r="T741" s="257"/>
      <c r="U741" s="257"/>
      <c r="V741" s="257"/>
      <c r="W741" s="257"/>
      <c r="X741" s="257"/>
      <c r="Y741" s="257"/>
      <c r="Z741" s="257"/>
    </row>
    <row r="742" spans="1:26" ht="21" customHeight="1">
      <c r="A742" s="257"/>
      <c r="B742" s="257"/>
      <c r="C742" s="257"/>
      <c r="D742" s="257"/>
      <c r="E742" s="257"/>
      <c r="F742" s="257"/>
      <c r="G742" s="257"/>
      <c r="H742" s="257"/>
      <c r="I742" s="257"/>
      <c r="J742" s="257"/>
      <c r="K742" s="257"/>
      <c r="L742" s="257"/>
      <c r="M742" s="257"/>
      <c r="N742" s="257"/>
      <c r="O742" s="257"/>
      <c r="P742" s="257"/>
      <c r="Q742" s="257"/>
      <c r="R742" s="257"/>
      <c r="S742" s="257"/>
      <c r="T742" s="257"/>
      <c r="U742" s="257"/>
      <c r="V742" s="257"/>
      <c r="W742" s="257"/>
      <c r="X742" s="257"/>
      <c r="Y742" s="257"/>
      <c r="Z742" s="257"/>
    </row>
    <row r="743" spans="1:26" ht="21" customHeight="1">
      <c r="A743" s="257"/>
      <c r="B743" s="257"/>
      <c r="C743" s="257"/>
      <c r="D743" s="257"/>
      <c r="E743" s="257"/>
      <c r="F743" s="257"/>
      <c r="G743" s="257"/>
      <c r="H743" s="257"/>
      <c r="I743" s="257"/>
      <c r="J743" s="257"/>
      <c r="K743" s="257"/>
      <c r="L743" s="257"/>
      <c r="M743" s="257"/>
      <c r="N743" s="257"/>
      <c r="O743" s="257"/>
      <c r="P743" s="257"/>
      <c r="Q743" s="257"/>
      <c r="R743" s="257"/>
      <c r="S743" s="257"/>
      <c r="T743" s="257"/>
      <c r="U743" s="257"/>
      <c r="V743" s="257"/>
      <c r="W743" s="257"/>
      <c r="X743" s="257"/>
      <c r="Y743" s="257"/>
      <c r="Z743" s="257"/>
    </row>
    <row r="744" spans="1:26" ht="21" customHeight="1">
      <c r="A744" s="257"/>
      <c r="B744" s="257"/>
      <c r="C744" s="257"/>
      <c r="D744" s="257"/>
      <c r="E744" s="257"/>
      <c r="F744" s="257"/>
      <c r="G744" s="257"/>
      <c r="H744" s="257"/>
      <c r="I744" s="257"/>
      <c r="J744" s="257"/>
      <c r="K744" s="257"/>
      <c r="L744" s="257"/>
      <c r="M744" s="257"/>
      <c r="N744" s="257"/>
      <c r="O744" s="257"/>
      <c r="P744" s="257"/>
      <c r="Q744" s="257"/>
      <c r="R744" s="257"/>
      <c r="S744" s="257"/>
      <c r="T744" s="257"/>
      <c r="U744" s="257"/>
      <c r="V744" s="257"/>
      <c r="W744" s="257"/>
      <c r="X744" s="257"/>
      <c r="Y744" s="257"/>
      <c r="Z744" s="257"/>
    </row>
    <row r="745" spans="1:26" ht="21" customHeight="1">
      <c r="A745" s="257"/>
      <c r="B745" s="257"/>
      <c r="C745" s="257"/>
      <c r="D745" s="257"/>
      <c r="E745" s="257"/>
      <c r="F745" s="257"/>
      <c r="G745" s="257"/>
      <c r="H745" s="257"/>
      <c r="I745" s="257"/>
      <c r="J745" s="257"/>
      <c r="K745" s="257"/>
      <c r="L745" s="257"/>
      <c r="M745" s="257"/>
      <c r="N745" s="257"/>
      <c r="O745" s="257"/>
      <c r="P745" s="257"/>
      <c r="Q745" s="257"/>
      <c r="R745" s="257"/>
      <c r="S745" s="257"/>
      <c r="T745" s="257"/>
      <c r="U745" s="257"/>
      <c r="V745" s="257"/>
      <c r="W745" s="257"/>
      <c r="X745" s="257"/>
      <c r="Y745" s="257"/>
      <c r="Z745" s="257"/>
    </row>
    <row r="746" spans="1:26" ht="21" customHeight="1">
      <c r="A746" s="257"/>
      <c r="B746" s="257"/>
      <c r="C746" s="257"/>
      <c r="D746" s="257"/>
      <c r="E746" s="257"/>
      <c r="F746" s="257"/>
      <c r="G746" s="257"/>
      <c r="H746" s="257"/>
      <c r="I746" s="257"/>
      <c r="J746" s="257"/>
      <c r="K746" s="257"/>
      <c r="L746" s="257"/>
      <c r="M746" s="257"/>
      <c r="N746" s="257"/>
      <c r="O746" s="257"/>
      <c r="P746" s="257"/>
      <c r="Q746" s="257"/>
      <c r="R746" s="257"/>
      <c r="S746" s="257"/>
      <c r="T746" s="257"/>
      <c r="U746" s="257"/>
      <c r="V746" s="257"/>
      <c r="W746" s="257"/>
      <c r="X746" s="257"/>
      <c r="Y746" s="257"/>
      <c r="Z746" s="257"/>
    </row>
    <row r="747" spans="1:26" ht="21" customHeight="1">
      <c r="A747" s="257"/>
      <c r="B747" s="257"/>
      <c r="C747" s="257"/>
      <c r="D747" s="257"/>
      <c r="E747" s="257"/>
      <c r="F747" s="257"/>
      <c r="G747" s="257"/>
      <c r="H747" s="257"/>
      <c r="I747" s="257"/>
      <c r="J747" s="257"/>
      <c r="K747" s="257"/>
      <c r="L747" s="257"/>
      <c r="M747" s="257"/>
      <c r="N747" s="257"/>
      <c r="O747" s="257"/>
      <c r="P747" s="257"/>
      <c r="Q747" s="257"/>
      <c r="R747" s="257"/>
      <c r="S747" s="257"/>
      <c r="T747" s="257"/>
      <c r="U747" s="257"/>
      <c r="V747" s="257"/>
      <c r="W747" s="257"/>
      <c r="X747" s="257"/>
      <c r="Y747" s="257"/>
      <c r="Z747" s="257"/>
    </row>
    <row r="748" spans="1:26" ht="21" customHeight="1">
      <c r="A748" s="257"/>
      <c r="B748" s="257"/>
      <c r="C748" s="257"/>
      <c r="D748" s="257"/>
      <c r="E748" s="257"/>
      <c r="F748" s="257"/>
      <c r="G748" s="257"/>
      <c r="H748" s="257"/>
      <c r="I748" s="257"/>
      <c r="J748" s="257"/>
      <c r="K748" s="257"/>
      <c r="L748" s="257"/>
      <c r="M748" s="257"/>
      <c r="N748" s="257"/>
      <c r="O748" s="257"/>
      <c r="P748" s="257"/>
      <c r="Q748" s="257"/>
      <c r="R748" s="257"/>
      <c r="S748" s="257"/>
      <c r="T748" s="257"/>
      <c r="U748" s="257"/>
      <c r="V748" s="257"/>
      <c r="W748" s="257"/>
      <c r="X748" s="257"/>
      <c r="Y748" s="257"/>
      <c r="Z748" s="257"/>
    </row>
    <row r="749" spans="1:26" ht="21" customHeight="1">
      <c r="A749" s="257"/>
      <c r="B749" s="257"/>
      <c r="C749" s="257"/>
      <c r="D749" s="257"/>
      <c r="E749" s="257"/>
      <c r="F749" s="257"/>
      <c r="G749" s="257"/>
      <c r="H749" s="257"/>
      <c r="I749" s="257"/>
      <c r="J749" s="257"/>
      <c r="K749" s="257"/>
      <c r="L749" s="257"/>
      <c r="M749" s="257"/>
      <c r="N749" s="257"/>
      <c r="O749" s="257"/>
      <c r="P749" s="257"/>
      <c r="Q749" s="257"/>
      <c r="R749" s="257"/>
      <c r="S749" s="257"/>
      <c r="T749" s="257"/>
      <c r="U749" s="257"/>
      <c r="V749" s="257"/>
      <c r="W749" s="257"/>
      <c r="X749" s="257"/>
      <c r="Y749" s="257"/>
      <c r="Z749" s="257"/>
    </row>
    <row r="750" spans="1:26" ht="21" customHeight="1">
      <c r="A750" s="257"/>
      <c r="B750" s="257"/>
      <c r="C750" s="257"/>
      <c r="D750" s="257"/>
      <c r="E750" s="257"/>
      <c r="F750" s="257"/>
      <c r="G750" s="257"/>
      <c r="H750" s="257"/>
      <c r="I750" s="257"/>
      <c r="J750" s="257"/>
      <c r="K750" s="257"/>
      <c r="L750" s="257"/>
      <c r="M750" s="257"/>
      <c r="N750" s="257"/>
      <c r="O750" s="257"/>
      <c r="P750" s="257"/>
      <c r="Q750" s="257"/>
      <c r="R750" s="257"/>
      <c r="S750" s="257"/>
      <c r="T750" s="257"/>
      <c r="U750" s="257"/>
      <c r="V750" s="257"/>
      <c r="W750" s="257"/>
      <c r="X750" s="257"/>
      <c r="Y750" s="257"/>
      <c r="Z750" s="257"/>
    </row>
    <row r="751" spans="1:26" ht="21" customHeight="1">
      <c r="A751" s="257"/>
      <c r="B751" s="257"/>
      <c r="C751" s="257"/>
      <c r="D751" s="257"/>
      <c r="E751" s="257"/>
      <c r="F751" s="257"/>
      <c r="G751" s="257"/>
      <c r="H751" s="257"/>
      <c r="I751" s="257"/>
      <c r="J751" s="257"/>
      <c r="K751" s="257"/>
      <c r="L751" s="257"/>
      <c r="M751" s="257"/>
      <c r="N751" s="257"/>
      <c r="O751" s="257"/>
      <c r="P751" s="257"/>
      <c r="Q751" s="257"/>
      <c r="R751" s="257"/>
      <c r="S751" s="257"/>
      <c r="T751" s="257"/>
      <c r="U751" s="257"/>
      <c r="V751" s="257"/>
      <c r="W751" s="257"/>
      <c r="X751" s="257"/>
      <c r="Y751" s="257"/>
      <c r="Z751" s="257"/>
    </row>
    <row r="752" spans="1:26" ht="21" customHeight="1">
      <c r="A752" s="257"/>
      <c r="B752" s="257"/>
      <c r="C752" s="257"/>
      <c r="D752" s="257"/>
      <c r="E752" s="257"/>
      <c r="F752" s="257"/>
      <c r="G752" s="257"/>
      <c r="H752" s="257"/>
      <c r="I752" s="257"/>
      <c r="J752" s="257"/>
      <c r="K752" s="257"/>
      <c r="L752" s="257"/>
      <c r="M752" s="257"/>
      <c r="N752" s="257"/>
      <c r="O752" s="257"/>
      <c r="P752" s="257"/>
      <c r="Q752" s="257"/>
      <c r="R752" s="257"/>
      <c r="S752" s="257"/>
      <c r="T752" s="257"/>
      <c r="U752" s="257"/>
      <c r="V752" s="257"/>
      <c r="W752" s="257"/>
      <c r="X752" s="257"/>
      <c r="Y752" s="257"/>
      <c r="Z752" s="257"/>
    </row>
    <row r="753" spans="1:26" ht="21" customHeight="1">
      <c r="A753" s="257"/>
      <c r="B753" s="257"/>
      <c r="C753" s="257"/>
      <c r="D753" s="257"/>
      <c r="E753" s="257"/>
      <c r="F753" s="257"/>
      <c r="G753" s="257"/>
      <c r="H753" s="257"/>
      <c r="I753" s="257"/>
      <c r="J753" s="257"/>
      <c r="K753" s="257"/>
      <c r="L753" s="257"/>
      <c r="M753" s="257"/>
      <c r="N753" s="257"/>
      <c r="O753" s="257"/>
      <c r="P753" s="257"/>
      <c r="Q753" s="257"/>
      <c r="R753" s="257"/>
      <c r="S753" s="257"/>
      <c r="T753" s="257"/>
      <c r="U753" s="257"/>
      <c r="V753" s="257"/>
      <c r="W753" s="257"/>
      <c r="X753" s="257"/>
      <c r="Y753" s="257"/>
      <c r="Z753" s="257"/>
    </row>
    <row r="754" spans="1:26" ht="21" customHeight="1">
      <c r="A754" s="257"/>
      <c r="B754" s="257"/>
      <c r="C754" s="257"/>
      <c r="D754" s="257"/>
      <c r="E754" s="257"/>
      <c r="F754" s="257"/>
      <c r="G754" s="257"/>
      <c r="H754" s="257"/>
      <c r="I754" s="257"/>
      <c r="J754" s="257"/>
      <c r="K754" s="257"/>
      <c r="L754" s="257"/>
      <c r="M754" s="257"/>
      <c r="N754" s="257"/>
      <c r="O754" s="257"/>
      <c r="P754" s="257"/>
      <c r="Q754" s="257"/>
      <c r="R754" s="257"/>
      <c r="S754" s="257"/>
      <c r="T754" s="257"/>
      <c r="U754" s="257"/>
      <c r="V754" s="257"/>
      <c r="W754" s="257"/>
      <c r="X754" s="257"/>
      <c r="Y754" s="257"/>
      <c r="Z754" s="257"/>
    </row>
    <row r="755" spans="1:26" ht="21" customHeight="1">
      <c r="A755" s="257"/>
      <c r="B755" s="257"/>
      <c r="C755" s="257"/>
      <c r="D755" s="257"/>
      <c r="E755" s="257"/>
      <c r="F755" s="257"/>
      <c r="G755" s="257"/>
      <c r="H755" s="257"/>
      <c r="I755" s="257"/>
      <c r="J755" s="257"/>
      <c r="K755" s="257"/>
      <c r="L755" s="257"/>
      <c r="M755" s="257"/>
      <c r="N755" s="257"/>
      <c r="O755" s="257"/>
      <c r="P755" s="257"/>
      <c r="Q755" s="257"/>
      <c r="R755" s="257"/>
      <c r="S755" s="257"/>
      <c r="T755" s="257"/>
      <c r="U755" s="257"/>
      <c r="V755" s="257"/>
      <c r="W755" s="257"/>
      <c r="X755" s="257"/>
      <c r="Y755" s="257"/>
      <c r="Z755" s="257"/>
    </row>
    <row r="756" spans="1:26" ht="21" customHeight="1">
      <c r="A756" s="257"/>
      <c r="B756" s="257"/>
      <c r="C756" s="257"/>
      <c r="D756" s="257"/>
      <c r="E756" s="257"/>
      <c r="F756" s="257"/>
      <c r="G756" s="257"/>
      <c r="H756" s="257"/>
      <c r="I756" s="257"/>
      <c r="J756" s="257"/>
      <c r="K756" s="257"/>
      <c r="L756" s="257"/>
      <c r="M756" s="257"/>
      <c r="N756" s="257"/>
      <c r="O756" s="257"/>
      <c r="P756" s="257"/>
      <c r="Q756" s="257"/>
      <c r="R756" s="257"/>
      <c r="S756" s="257"/>
      <c r="T756" s="257"/>
      <c r="U756" s="257"/>
      <c r="V756" s="257"/>
      <c r="W756" s="257"/>
      <c r="X756" s="257"/>
      <c r="Y756" s="257"/>
      <c r="Z756" s="257"/>
    </row>
    <row r="757" spans="1:26" ht="21" customHeight="1">
      <c r="A757" s="257"/>
      <c r="B757" s="257"/>
      <c r="C757" s="257"/>
      <c r="D757" s="257"/>
      <c r="E757" s="257"/>
      <c r="F757" s="257"/>
      <c r="G757" s="257"/>
      <c r="H757" s="257"/>
      <c r="I757" s="257"/>
      <c r="J757" s="257"/>
      <c r="K757" s="257"/>
      <c r="L757" s="257"/>
      <c r="M757" s="257"/>
      <c r="N757" s="257"/>
      <c r="O757" s="257"/>
      <c r="P757" s="257"/>
      <c r="Q757" s="257"/>
      <c r="R757" s="257"/>
      <c r="S757" s="257"/>
      <c r="T757" s="257"/>
      <c r="U757" s="257"/>
      <c r="V757" s="257"/>
      <c r="W757" s="257"/>
      <c r="X757" s="257"/>
      <c r="Y757" s="257"/>
      <c r="Z757" s="257"/>
    </row>
    <row r="758" spans="1:26" ht="21" customHeight="1">
      <c r="A758" s="257"/>
      <c r="B758" s="257"/>
      <c r="C758" s="257"/>
      <c r="D758" s="257"/>
      <c r="E758" s="257"/>
      <c r="F758" s="257"/>
      <c r="G758" s="257"/>
      <c r="H758" s="257"/>
      <c r="I758" s="257"/>
      <c r="J758" s="257"/>
      <c r="K758" s="257"/>
      <c r="L758" s="257"/>
      <c r="M758" s="257"/>
      <c r="N758" s="257"/>
      <c r="O758" s="257"/>
      <c r="P758" s="257"/>
      <c r="Q758" s="257"/>
      <c r="R758" s="257"/>
      <c r="S758" s="257"/>
      <c r="T758" s="257"/>
      <c r="U758" s="257"/>
      <c r="V758" s="257"/>
      <c r="W758" s="257"/>
      <c r="X758" s="257"/>
      <c r="Y758" s="257"/>
      <c r="Z758" s="257"/>
    </row>
    <row r="759" spans="1:26" ht="21" customHeight="1">
      <c r="A759" s="257"/>
      <c r="B759" s="257"/>
      <c r="C759" s="257"/>
      <c r="D759" s="257"/>
      <c r="E759" s="257"/>
      <c r="F759" s="257"/>
      <c r="G759" s="257"/>
      <c r="H759" s="257"/>
      <c r="I759" s="257"/>
      <c r="J759" s="257"/>
      <c r="K759" s="257"/>
      <c r="L759" s="257"/>
      <c r="M759" s="257"/>
      <c r="N759" s="257"/>
      <c r="O759" s="257"/>
      <c r="P759" s="257"/>
      <c r="Q759" s="257"/>
      <c r="R759" s="257"/>
      <c r="S759" s="257"/>
      <c r="T759" s="257"/>
      <c r="U759" s="257"/>
      <c r="V759" s="257"/>
      <c r="W759" s="257"/>
      <c r="X759" s="257"/>
      <c r="Y759" s="257"/>
      <c r="Z759" s="257"/>
    </row>
    <row r="760" spans="1:26" ht="21" customHeight="1">
      <c r="A760" s="257"/>
      <c r="B760" s="257"/>
      <c r="C760" s="257"/>
      <c r="D760" s="257"/>
      <c r="E760" s="257"/>
      <c r="F760" s="257"/>
      <c r="G760" s="257"/>
      <c r="H760" s="257"/>
      <c r="I760" s="257"/>
      <c r="J760" s="257"/>
      <c r="K760" s="257"/>
      <c r="L760" s="257"/>
      <c r="M760" s="257"/>
      <c r="N760" s="257"/>
      <c r="O760" s="257"/>
      <c r="P760" s="257"/>
      <c r="Q760" s="257"/>
      <c r="R760" s="257"/>
      <c r="S760" s="257"/>
      <c r="T760" s="257"/>
      <c r="U760" s="257"/>
      <c r="V760" s="257"/>
      <c r="W760" s="257"/>
      <c r="X760" s="257"/>
      <c r="Y760" s="257"/>
      <c r="Z760" s="257"/>
    </row>
    <row r="761" spans="1:26" ht="21" customHeight="1">
      <c r="A761" s="257"/>
      <c r="B761" s="257"/>
      <c r="C761" s="257"/>
      <c r="D761" s="257"/>
      <c r="E761" s="257"/>
      <c r="F761" s="257"/>
      <c r="G761" s="257"/>
      <c r="H761" s="257"/>
      <c r="I761" s="257"/>
      <c r="J761" s="257"/>
      <c r="K761" s="257"/>
      <c r="L761" s="257"/>
      <c r="M761" s="257"/>
      <c r="N761" s="257"/>
      <c r="O761" s="257"/>
      <c r="P761" s="257"/>
      <c r="Q761" s="257"/>
      <c r="R761" s="257"/>
      <c r="S761" s="257"/>
      <c r="T761" s="257"/>
      <c r="U761" s="257"/>
      <c r="V761" s="257"/>
      <c r="W761" s="257"/>
      <c r="X761" s="257"/>
      <c r="Y761" s="257"/>
      <c r="Z761" s="257"/>
    </row>
    <row r="762" spans="1:26" ht="21" customHeight="1">
      <c r="A762" s="257"/>
      <c r="B762" s="257"/>
      <c r="C762" s="257"/>
      <c r="D762" s="257"/>
      <c r="E762" s="257"/>
      <c r="F762" s="257"/>
      <c r="G762" s="257"/>
      <c r="H762" s="257"/>
      <c r="I762" s="257"/>
      <c r="J762" s="257"/>
      <c r="K762" s="257"/>
      <c r="L762" s="257"/>
      <c r="M762" s="257"/>
      <c r="N762" s="257"/>
      <c r="O762" s="257"/>
      <c r="P762" s="257"/>
      <c r="Q762" s="257"/>
      <c r="R762" s="257"/>
      <c r="S762" s="257"/>
      <c r="T762" s="257"/>
      <c r="U762" s="257"/>
      <c r="V762" s="257"/>
      <c r="W762" s="257"/>
      <c r="X762" s="257"/>
      <c r="Y762" s="257"/>
      <c r="Z762" s="257"/>
    </row>
    <row r="763" spans="1:26" ht="21" customHeight="1">
      <c r="A763" s="257"/>
      <c r="B763" s="257"/>
      <c r="C763" s="257"/>
      <c r="D763" s="257"/>
      <c r="E763" s="257"/>
      <c r="F763" s="257"/>
      <c r="G763" s="257"/>
      <c r="H763" s="257"/>
      <c r="I763" s="257"/>
      <c r="J763" s="257"/>
      <c r="K763" s="257"/>
      <c r="L763" s="257"/>
      <c r="M763" s="257"/>
      <c r="N763" s="257"/>
      <c r="O763" s="257"/>
      <c r="P763" s="257"/>
      <c r="Q763" s="257"/>
      <c r="R763" s="257"/>
      <c r="S763" s="257"/>
      <c r="T763" s="257"/>
      <c r="U763" s="257"/>
      <c r="V763" s="257"/>
      <c r="W763" s="257"/>
      <c r="X763" s="257"/>
      <c r="Y763" s="257"/>
      <c r="Z763" s="257"/>
    </row>
    <row r="764" spans="1:26" ht="21" customHeight="1">
      <c r="A764" s="257"/>
      <c r="B764" s="257"/>
      <c r="C764" s="257"/>
      <c r="D764" s="257"/>
      <c r="E764" s="257"/>
      <c r="F764" s="257"/>
      <c r="G764" s="257"/>
      <c r="H764" s="257"/>
      <c r="I764" s="257"/>
      <c r="J764" s="257"/>
      <c r="K764" s="257"/>
      <c r="L764" s="257"/>
      <c r="M764" s="257"/>
      <c r="N764" s="257"/>
      <c r="O764" s="257"/>
      <c r="P764" s="257"/>
      <c r="Q764" s="257"/>
      <c r="R764" s="257"/>
      <c r="S764" s="257"/>
      <c r="T764" s="257"/>
      <c r="U764" s="257"/>
      <c r="V764" s="257"/>
      <c r="W764" s="257"/>
      <c r="X764" s="257"/>
      <c r="Y764" s="257"/>
      <c r="Z764" s="257"/>
    </row>
    <row r="765" spans="1:26" ht="21" customHeight="1">
      <c r="A765" s="257"/>
      <c r="B765" s="257"/>
      <c r="C765" s="257"/>
      <c r="D765" s="257"/>
      <c r="E765" s="257"/>
      <c r="F765" s="257"/>
      <c r="G765" s="257"/>
      <c r="H765" s="257"/>
      <c r="I765" s="257"/>
      <c r="J765" s="257"/>
      <c r="K765" s="257"/>
      <c r="L765" s="257"/>
      <c r="M765" s="257"/>
      <c r="N765" s="257"/>
      <c r="O765" s="257"/>
      <c r="P765" s="257"/>
      <c r="Q765" s="257"/>
      <c r="R765" s="257"/>
      <c r="S765" s="257"/>
      <c r="T765" s="257"/>
      <c r="U765" s="257"/>
      <c r="V765" s="257"/>
      <c r="W765" s="257"/>
      <c r="X765" s="257"/>
      <c r="Y765" s="257"/>
      <c r="Z765" s="257"/>
    </row>
    <row r="766" spans="1:26" ht="21" customHeight="1">
      <c r="A766" s="257"/>
      <c r="B766" s="257"/>
      <c r="C766" s="257"/>
      <c r="D766" s="257"/>
      <c r="E766" s="257"/>
      <c r="F766" s="257"/>
      <c r="G766" s="257"/>
      <c r="H766" s="257"/>
      <c r="I766" s="257"/>
      <c r="J766" s="257"/>
      <c r="K766" s="257"/>
      <c r="L766" s="257"/>
      <c r="M766" s="257"/>
      <c r="N766" s="257"/>
      <c r="O766" s="257"/>
      <c r="P766" s="257"/>
      <c r="Q766" s="257"/>
      <c r="R766" s="257"/>
      <c r="S766" s="257"/>
      <c r="T766" s="257"/>
      <c r="U766" s="257"/>
      <c r="V766" s="257"/>
      <c r="W766" s="257"/>
      <c r="X766" s="257"/>
      <c r="Y766" s="257"/>
      <c r="Z766" s="257"/>
    </row>
    <row r="767" spans="1:26" ht="21" customHeight="1">
      <c r="A767" s="257"/>
      <c r="B767" s="257"/>
      <c r="C767" s="257"/>
      <c r="D767" s="257"/>
      <c r="E767" s="257"/>
      <c r="F767" s="257"/>
      <c r="G767" s="257"/>
      <c r="H767" s="257"/>
      <c r="I767" s="257"/>
      <c r="J767" s="257"/>
      <c r="K767" s="257"/>
      <c r="L767" s="257"/>
      <c r="M767" s="257"/>
      <c r="N767" s="257"/>
      <c r="O767" s="257"/>
      <c r="P767" s="257"/>
      <c r="Q767" s="257"/>
      <c r="R767" s="257"/>
      <c r="S767" s="257"/>
      <c r="T767" s="257"/>
      <c r="U767" s="257"/>
      <c r="V767" s="257"/>
      <c r="W767" s="257"/>
      <c r="X767" s="257"/>
      <c r="Y767" s="257"/>
      <c r="Z767" s="257"/>
    </row>
    <row r="768" spans="1:26" ht="21" customHeight="1">
      <c r="A768" s="257"/>
      <c r="B768" s="257"/>
      <c r="C768" s="257"/>
      <c r="D768" s="257"/>
      <c r="E768" s="257"/>
      <c r="F768" s="257"/>
      <c r="G768" s="257"/>
      <c r="H768" s="257"/>
      <c r="I768" s="257"/>
      <c r="J768" s="257"/>
      <c r="K768" s="257"/>
      <c r="L768" s="257"/>
      <c r="M768" s="257"/>
      <c r="N768" s="257"/>
      <c r="O768" s="257"/>
      <c r="P768" s="257"/>
      <c r="Q768" s="257"/>
      <c r="R768" s="257"/>
      <c r="S768" s="257"/>
      <c r="T768" s="257"/>
      <c r="U768" s="257"/>
      <c r="V768" s="257"/>
      <c r="W768" s="257"/>
      <c r="X768" s="257"/>
      <c r="Y768" s="257"/>
      <c r="Z768" s="257"/>
    </row>
    <row r="769" spans="1:26" ht="21" customHeight="1">
      <c r="A769" s="257"/>
      <c r="B769" s="257"/>
      <c r="C769" s="257"/>
      <c r="D769" s="257"/>
      <c r="E769" s="257"/>
      <c r="F769" s="257"/>
      <c r="G769" s="257"/>
      <c r="H769" s="257"/>
      <c r="I769" s="257"/>
      <c r="J769" s="257"/>
      <c r="K769" s="257"/>
      <c r="L769" s="257"/>
      <c r="M769" s="257"/>
      <c r="N769" s="257"/>
      <c r="O769" s="257"/>
      <c r="P769" s="257"/>
      <c r="Q769" s="257"/>
      <c r="R769" s="257"/>
      <c r="S769" s="257"/>
      <c r="T769" s="257"/>
      <c r="U769" s="257"/>
      <c r="V769" s="257"/>
      <c r="W769" s="257"/>
      <c r="X769" s="257"/>
      <c r="Y769" s="257"/>
      <c r="Z769" s="257"/>
    </row>
    <row r="770" spans="1:26" ht="21" customHeight="1">
      <c r="A770" s="257"/>
      <c r="B770" s="257"/>
      <c r="C770" s="257"/>
      <c r="D770" s="257"/>
      <c r="E770" s="257"/>
      <c r="F770" s="257"/>
      <c r="G770" s="257"/>
      <c r="H770" s="257"/>
      <c r="I770" s="257"/>
      <c r="J770" s="257"/>
      <c r="K770" s="257"/>
      <c r="L770" s="257"/>
      <c r="M770" s="257"/>
      <c r="N770" s="257"/>
      <c r="O770" s="257"/>
      <c r="P770" s="257"/>
      <c r="Q770" s="257"/>
      <c r="R770" s="257"/>
      <c r="S770" s="257"/>
      <c r="T770" s="257"/>
      <c r="U770" s="257"/>
      <c r="V770" s="257"/>
      <c r="W770" s="257"/>
      <c r="X770" s="257"/>
      <c r="Y770" s="257"/>
      <c r="Z770" s="257"/>
    </row>
    <row r="771" spans="1:26" ht="21" customHeight="1">
      <c r="A771" s="257"/>
      <c r="B771" s="257"/>
      <c r="C771" s="257"/>
      <c r="D771" s="257"/>
      <c r="E771" s="257"/>
      <c r="F771" s="257"/>
      <c r="G771" s="257"/>
      <c r="H771" s="257"/>
      <c r="I771" s="257"/>
      <c r="J771" s="257"/>
      <c r="K771" s="257"/>
      <c r="L771" s="257"/>
      <c r="M771" s="257"/>
      <c r="N771" s="257"/>
      <c r="O771" s="257"/>
      <c r="P771" s="257"/>
      <c r="Q771" s="257"/>
      <c r="R771" s="257"/>
      <c r="S771" s="257"/>
      <c r="T771" s="257"/>
      <c r="U771" s="257"/>
      <c r="V771" s="257"/>
      <c r="W771" s="257"/>
      <c r="X771" s="257"/>
      <c r="Y771" s="257"/>
      <c r="Z771" s="257"/>
    </row>
    <row r="772" spans="1:26" ht="21" customHeight="1">
      <c r="A772" s="257"/>
      <c r="B772" s="257"/>
      <c r="C772" s="257"/>
      <c r="D772" s="257"/>
      <c r="E772" s="257"/>
      <c r="F772" s="257"/>
      <c r="G772" s="257"/>
      <c r="H772" s="257"/>
      <c r="I772" s="257"/>
      <c r="J772" s="257"/>
      <c r="K772" s="257"/>
      <c r="L772" s="257"/>
      <c r="M772" s="257"/>
      <c r="N772" s="257"/>
      <c r="O772" s="257"/>
      <c r="P772" s="257"/>
      <c r="Q772" s="257"/>
      <c r="R772" s="257"/>
      <c r="S772" s="257"/>
      <c r="T772" s="257"/>
      <c r="U772" s="257"/>
      <c r="V772" s="257"/>
      <c r="W772" s="257"/>
      <c r="X772" s="257"/>
      <c r="Y772" s="257"/>
      <c r="Z772" s="257"/>
    </row>
    <row r="773" spans="1:26" ht="21" customHeight="1">
      <c r="A773" s="257"/>
      <c r="B773" s="257"/>
      <c r="C773" s="257"/>
      <c r="D773" s="257"/>
      <c r="E773" s="257"/>
      <c r="F773" s="257"/>
      <c r="G773" s="257"/>
      <c r="H773" s="257"/>
      <c r="I773" s="257"/>
      <c r="J773" s="257"/>
      <c r="K773" s="257"/>
      <c r="L773" s="257"/>
      <c r="M773" s="257"/>
      <c r="N773" s="257"/>
      <c r="O773" s="257"/>
      <c r="P773" s="257"/>
      <c r="Q773" s="257"/>
      <c r="R773" s="257"/>
      <c r="S773" s="257"/>
      <c r="T773" s="257"/>
      <c r="U773" s="257"/>
      <c r="V773" s="257"/>
      <c r="W773" s="257"/>
      <c r="X773" s="257"/>
      <c r="Y773" s="257"/>
      <c r="Z773" s="257"/>
    </row>
    <row r="774" spans="1:26" ht="21" customHeight="1">
      <c r="A774" s="257"/>
      <c r="B774" s="257"/>
      <c r="C774" s="257"/>
      <c r="D774" s="257"/>
      <c r="E774" s="257"/>
      <c r="F774" s="257"/>
      <c r="G774" s="257"/>
      <c r="H774" s="257"/>
      <c r="I774" s="257"/>
      <c r="J774" s="257"/>
      <c r="K774" s="257"/>
      <c r="L774" s="257"/>
      <c r="M774" s="257"/>
      <c r="N774" s="257"/>
      <c r="O774" s="257"/>
      <c r="P774" s="257"/>
      <c r="Q774" s="257"/>
      <c r="R774" s="257"/>
      <c r="S774" s="257"/>
      <c r="T774" s="257"/>
      <c r="U774" s="257"/>
      <c r="V774" s="257"/>
      <c r="W774" s="257"/>
      <c r="X774" s="257"/>
      <c r="Y774" s="257"/>
      <c r="Z774" s="257"/>
    </row>
    <row r="775" spans="1:26" ht="21" customHeight="1">
      <c r="A775" s="257"/>
      <c r="B775" s="257"/>
      <c r="C775" s="257"/>
      <c r="D775" s="257"/>
      <c r="E775" s="257"/>
      <c r="F775" s="257"/>
      <c r="G775" s="257"/>
      <c r="H775" s="257"/>
      <c r="I775" s="257"/>
      <c r="J775" s="257"/>
      <c r="K775" s="257"/>
      <c r="L775" s="257"/>
      <c r="M775" s="257"/>
      <c r="N775" s="257"/>
      <c r="O775" s="257"/>
      <c r="P775" s="257"/>
      <c r="Q775" s="257"/>
      <c r="R775" s="257"/>
      <c r="S775" s="257"/>
      <c r="T775" s="257"/>
      <c r="U775" s="257"/>
      <c r="V775" s="257"/>
      <c r="W775" s="257"/>
      <c r="X775" s="257"/>
      <c r="Y775" s="257"/>
      <c r="Z775" s="257"/>
    </row>
    <row r="776" spans="1:26" ht="21" customHeight="1">
      <c r="A776" s="257"/>
      <c r="B776" s="257"/>
      <c r="C776" s="257"/>
      <c r="D776" s="257"/>
      <c r="E776" s="257"/>
      <c r="F776" s="257"/>
      <c r="G776" s="257"/>
      <c r="H776" s="257"/>
      <c r="I776" s="257"/>
      <c r="J776" s="257"/>
      <c r="K776" s="257"/>
      <c r="L776" s="257"/>
      <c r="M776" s="257"/>
      <c r="N776" s="257"/>
      <c r="O776" s="257"/>
      <c r="P776" s="257"/>
      <c r="Q776" s="257"/>
      <c r="R776" s="257"/>
      <c r="S776" s="257"/>
      <c r="T776" s="257"/>
      <c r="U776" s="257"/>
      <c r="V776" s="257"/>
      <c r="W776" s="257"/>
      <c r="X776" s="257"/>
      <c r="Y776" s="257"/>
      <c r="Z776" s="257"/>
    </row>
    <row r="777" spans="1:26" ht="21" customHeight="1">
      <c r="A777" s="257"/>
      <c r="B777" s="257"/>
      <c r="C777" s="257"/>
      <c r="D777" s="257"/>
      <c r="E777" s="257"/>
      <c r="F777" s="257"/>
      <c r="G777" s="257"/>
      <c r="H777" s="257"/>
      <c r="I777" s="257"/>
      <c r="J777" s="257"/>
      <c r="K777" s="257"/>
      <c r="L777" s="257"/>
      <c r="M777" s="257"/>
      <c r="N777" s="257"/>
      <c r="O777" s="257"/>
      <c r="P777" s="257"/>
      <c r="Q777" s="257"/>
      <c r="R777" s="257"/>
      <c r="S777" s="257"/>
      <c r="T777" s="257"/>
      <c r="U777" s="257"/>
      <c r="V777" s="257"/>
      <c r="W777" s="257"/>
      <c r="X777" s="257"/>
      <c r="Y777" s="257"/>
      <c r="Z777" s="257"/>
    </row>
    <row r="778" spans="1:26" ht="21" customHeight="1">
      <c r="A778" s="257"/>
      <c r="B778" s="257"/>
      <c r="C778" s="257"/>
      <c r="D778" s="257"/>
      <c r="E778" s="257"/>
      <c r="F778" s="257"/>
      <c r="G778" s="257"/>
      <c r="H778" s="257"/>
      <c r="I778" s="257"/>
      <c r="J778" s="257"/>
      <c r="K778" s="257"/>
      <c r="L778" s="257"/>
      <c r="M778" s="257"/>
      <c r="N778" s="257"/>
      <c r="O778" s="257"/>
      <c r="P778" s="257"/>
      <c r="Q778" s="257"/>
      <c r="R778" s="257"/>
      <c r="S778" s="257"/>
      <c r="T778" s="257"/>
      <c r="U778" s="257"/>
      <c r="V778" s="257"/>
      <c r="W778" s="257"/>
      <c r="X778" s="257"/>
      <c r="Y778" s="257"/>
      <c r="Z778" s="257"/>
    </row>
    <row r="779" spans="1:26" ht="21" customHeight="1">
      <c r="A779" s="257"/>
      <c r="B779" s="257"/>
      <c r="C779" s="257"/>
      <c r="D779" s="257"/>
      <c r="E779" s="257"/>
      <c r="F779" s="257"/>
      <c r="G779" s="257"/>
      <c r="H779" s="257"/>
      <c r="I779" s="257"/>
      <c r="J779" s="257"/>
      <c r="K779" s="257"/>
      <c r="L779" s="257"/>
      <c r="M779" s="257"/>
      <c r="N779" s="257"/>
      <c r="O779" s="257"/>
      <c r="P779" s="257"/>
      <c r="Q779" s="257"/>
      <c r="R779" s="257"/>
      <c r="S779" s="257"/>
      <c r="T779" s="257"/>
      <c r="U779" s="257"/>
      <c r="V779" s="257"/>
      <c r="W779" s="257"/>
      <c r="X779" s="257"/>
      <c r="Y779" s="257"/>
      <c r="Z779" s="257"/>
    </row>
    <row r="780" spans="1:26" ht="21" customHeight="1">
      <c r="A780" s="257"/>
      <c r="B780" s="257"/>
      <c r="C780" s="257"/>
      <c r="D780" s="257"/>
      <c r="E780" s="257"/>
      <c r="F780" s="257"/>
      <c r="G780" s="257"/>
      <c r="H780" s="257"/>
      <c r="I780" s="257"/>
      <c r="J780" s="257"/>
      <c r="K780" s="257"/>
      <c r="L780" s="257"/>
      <c r="M780" s="257"/>
      <c r="N780" s="257"/>
      <c r="O780" s="257"/>
      <c r="P780" s="257"/>
      <c r="Q780" s="257"/>
      <c r="R780" s="257"/>
      <c r="S780" s="257"/>
      <c r="T780" s="257"/>
      <c r="U780" s="257"/>
      <c r="V780" s="257"/>
      <c r="W780" s="257"/>
      <c r="X780" s="257"/>
      <c r="Y780" s="257"/>
      <c r="Z780" s="257"/>
    </row>
    <row r="781" spans="1:26" ht="21" customHeight="1">
      <c r="A781" s="257"/>
      <c r="B781" s="257"/>
      <c r="C781" s="257"/>
      <c r="D781" s="257"/>
      <c r="E781" s="257"/>
      <c r="F781" s="257"/>
      <c r="G781" s="257"/>
      <c r="H781" s="257"/>
      <c r="I781" s="257"/>
      <c r="J781" s="257"/>
      <c r="K781" s="257"/>
      <c r="L781" s="257"/>
      <c r="M781" s="257"/>
      <c r="N781" s="257"/>
      <c r="O781" s="257"/>
      <c r="P781" s="257"/>
      <c r="Q781" s="257"/>
      <c r="R781" s="257"/>
      <c r="S781" s="257"/>
      <c r="T781" s="257"/>
      <c r="U781" s="257"/>
      <c r="V781" s="257"/>
      <c r="W781" s="257"/>
      <c r="X781" s="257"/>
      <c r="Y781" s="257"/>
      <c r="Z781" s="257"/>
    </row>
    <row r="782" spans="1:26" ht="21" customHeight="1">
      <c r="A782" s="257"/>
      <c r="B782" s="257"/>
      <c r="C782" s="257"/>
      <c r="D782" s="257"/>
      <c r="E782" s="257"/>
      <c r="F782" s="257"/>
      <c r="G782" s="257"/>
      <c r="H782" s="257"/>
      <c r="I782" s="257"/>
      <c r="J782" s="257"/>
      <c r="K782" s="257"/>
      <c r="L782" s="257"/>
      <c r="M782" s="257"/>
      <c r="N782" s="257"/>
      <c r="O782" s="257"/>
      <c r="P782" s="257"/>
      <c r="Q782" s="257"/>
      <c r="R782" s="257"/>
      <c r="S782" s="257"/>
      <c r="T782" s="257"/>
      <c r="U782" s="257"/>
      <c r="V782" s="257"/>
      <c r="W782" s="257"/>
      <c r="X782" s="257"/>
      <c r="Y782" s="257"/>
      <c r="Z782" s="257"/>
    </row>
    <row r="783" spans="1:26" ht="21" customHeight="1">
      <c r="A783" s="257"/>
      <c r="B783" s="257"/>
      <c r="C783" s="257"/>
      <c r="D783" s="257"/>
      <c r="E783" s="257"/>
      <c r="F783" s="257"/>
      <c r="G783" s="257"/>
      <c r="H783" s="257"/>
      <c r="I783" s="257"/>
      <c r="J783" s="257"/>
      <c r="K783" s="257"/>
      <c r="L783" s="257"/>
      <c r="M783" s="257"/>
      <c r="N783" s="257"/>
      <c r="O783" s="257"/>
      <c r="P783" s="257"/>
      <c r="Q783" s="257"/>
      <c r="R783" s="257"/>
      <c r="S783" s="257"/>
      <c r="T783" s="257"/>
      <c r="U783" s="257"/>
      <c r="V783" s="257"/>
      <c r="W783" s="257"/>
      <c r="X783" s="257"/>
      <c r="Y783" s="257"/>
      <c r="Z783" s="257"/>
    </row>
    <row r="784" spans="1:26" ht="21" customHeight="1">
      <c r="A784" s="257"/>
      <c r="B784" s="257"/>
      <c r="C784" s="257"/>
      <c r="D784" s="257"/>
      <c r="E784" s="257"/>
      <c r="F784" s="257"/>
      <c r="G784" s="257"/>
      <c r="H784" s="257"/>
      <c r="I784" s="257"/>
      <c r="J784" s="257"/>
      <c r="K784" s="257"/>
      <c r="L784" s="257"/>
      <c r="M784" s="257"/>
      <c r="N784" s="257"/>
      <c r="O784" s="257"/>
      <c r="P784" s="257"/>
      <c r="Q784" s="257"/>
      <c r="R784" s="257"/>
      <c r="S784" s="257"/>
      <c r="T784" s="257"/>
      <c r="U784" s="257"/>
      <c r="V784" s="257"/>
      <c r="W784" s="257"/>
      <c r="X784" s="257"/>
      <c r="Y784" s="257"/>
      <c r="Z784" s="257"/>
    </row>
    <row r="785" spans="1:26" ht="21" customHeight="1">
      <c r="A785" s="257"/>
      <c r="B785" s="257"/>
      <c r="C785" s="257"/>
      <c r="D785" s="257"/>
      <c r="E785" s="257"/>
      <c r="F785" s="257"/>
      <c r="G785" s="257"/>
      <c r="H785" s="257"/>
      <c r="I785" s="257"/>
      <c r="J785" s="257"/>
      <c r="K785" s="257"/>
      <c r="L785" s="257"/>
      <c r="M785" s="257"/>
      <c r="N785" s="257"/>
      <c r="O785" s="257"/>
      <c r="P785" s="257"/>
      <c r="Q785" s="257"/>
      <c r="R785" s="257"/>
      <c r="S785" s="257"/>
      <c r="T785" s="257"/>
      <c r="U785" s="257"/>
      <c r="V785" s="257"/>
      <c r="W785" s="257"/>
      <c r="X785" s="257"/>
      <c r="Y785" s="257"/>
      <c r="Z785" s="257"/>
    </row>
    <row r="786" spans="1:26" ht="21" customHeight="1">
      <c r="A786" s="257"/>
      <c r="B786" s="257"/>
      <c r="C786" s="257"/>
      <c r="D786" s="257"/>
      <c r="E786" s="257"/>
      <c r="F786" s="257"/>
      <c r="G786" s="257"/>
      <c r="H786" s="257"/>
      <c r="I786" s="257"/>
      <c r="J786" s="257"/>
      <c r="K786" s="257"/>
      <c r="L786" s="257"/>
      <c r="M786" s="257"/>
      <c r="N786" s="257"/>
      <c r="O786" s="257"/>
      <c r="P786" s="257"/>
      <c r="Q786" s="257"/>
      <c r="R786" s="257"/>
      <c r="S786" s="257"/>
      <c r="T786" s="257"/>
      <c r="U786" s="257"/>
      <c r="V786" s="257"/>
      <c r="W786" s="257"/>
      <c r="X786" s="257"/>
      <c r="Y786" s="257"/>
      <c r="Z786" s="257"/>
    </row>
    <row r="787" spans="1:26" ht="21" customHeight="1">
      <c r="A787" s="257"/>
      <c r="B787" s="257"/>
      <c r="C787" s="257"/>
      <c r="D787" s="257"/>
      <c r="E787" s="257"/>
      <c r="F787" s="257"/>
      <c r="G787" s="257"/>
      <c r="H787" s="257"/>
      <c r="I787" s="257"/>
      <c r="J787" s="257"/>
      <c r="K787" s="257"/>
      <c r="L787" s="257"/>
      <c r="M787" s="257"/>
      <c r="N787" s="257"/>
      <c r="O787" s="257"/>
      <c r="P787" s="257"/>
      <c r="Q787" s="257"/>
      <c r="R787" s="257"/>
      <c r="S787" s="257"/>
      <c r="T787" s="257"/>
      <c r="U787" s="257"/>
      <c r="V787" s="257"/>
      <c r="W787" s="257"/>
      <c r="X787" s="257"/>
      <c r="Y787" s="257"/>
      <c r="Z787" s="257"/>
    </row>
    <row r="788" spans="1:26" ht="21" customHeight="1">
      <c r="A788" s="257"/>
      <c r="B788" s="257"/>
      <c r="C788" s="257"/>
      <c r="D788" s="257"/>
      <c r="E788" s="257"/>
      <c r="F788" s="257"/>
      <c r="G788" s="257"/>
      <c r="H788" s="257"/>
      <c r="I788" s="257"/>
      <c r="J788" s="257"/>
      <c r="K788" s="257"/>
      <c r="L788" s="257"/>
      <c r="M788" s="257"/>
      <c r="N788" s="257"/>
      <c r="O788" s="257"/>
      <c r="P788" s="257"/>
      <c r="Q788" s="257"/>
      <c r="R788" s="257"/>
      <c r="S788" s="257"/>
      <c r="T788" s="257"/>
      <c r="U788" s="257"/>
      <c r="V788" s="257"/>
      <c r="W788" s="257"/>
      <c r="X788" s="257"/>
      <c r="Y788" s="257"/>
      <c r="Z788" s="257"/>
    </row>
    <row r="789" spans="1:26" ht="21" customHeight="1">
      <c r="A789" s="257"/>
      <c r="B789" s="257"/>
      <c r="C789" s="257"/>
      <c r="D789" s="257"/>
      <c r="E789" s="257"/>
      <c r="F789" s="257"/>
      <c r="G789" s="257"/>
      <c r="H789" s="257"/>
      <c r="I789" s="257"/>
      <c r="J789" s="257"/>
      <c r="K789" s="257"/>
      <c r="L789" s="257"/>
      <c r="M789" s="257"/>
      <c r="N789" s="257"/>
      <c r="O789" s="257"/>
      <c r="P789" s="257"/>
      <c r="Q789" s="257"/>
      <c r="R789" s="257"/>
      <c r="S789" s="257"/>
      <c r="T789" s="257"/>
      <c r="U789" s="257"/>
      <c r="V789" s="257"/>
      <c r="W789" s="257"/>
      <c r="X789" s="257"/>
      <c r="Y789" s="257"/>
      <c r="Z789" s="257"/>
    </row>
    <row r="790" spans="1:26" ht="21" customHeight="1">
      <c r="A790" s="257"/>
      <c r="B790" s="257"/>
      <c r="C790" s="257"/>
      <c r="D790" s="257"/>
      <c r="E790" s="257"/>
      <c r="F790" s="257"/>
      <c r="G790" s="257"/>
      <c r="H790" s="257"/>
      <c r="I790" s="257"/>
      <c r="J790" s="257"/>
      <c r="K790" s="257"/>
      <c r="L790" s="257"/>
      <c r="M790" s="257"/>
      <c r="N790" s="257"/>
      <c r="O790" s="257"/>
      <c r="P790" s="257"/>
      <c r="Q790" s="257"/>
      <c r="R790" s="257"/>
      <c r="S790" s="257"/>
      <c r="T790" s="257"/>
      <c r="U790" s="257"/>
      <c r="V790" s="257"/>
      <c r="W790" s="257"/>
      <c r="X790" s="257"/>
      <c r="Y790" s="257"/>
      <c r="Z790" s="257"/>
    </row>
    <row r="791" spans="1:26" ht="21" customHeight="1">
      <c r="A791" s="257"/>
      <c r="B791" s="257"/>
      <c r="C791" s="257"/>
      <c r="D791" s="257"/>
      <c r="E791" s="257"/>
      <c r="F791" s="257"/>
      <c r="G791" s="257"/>
      <c r="H791" s="257"/>
      <c r="I791" s="257"/>
      <c r="J791" s="257"/>
      <c r="K791" s="257"/>
      <c r="L791" s="257"/>
      <c r="M791" s="257"/>
      <c r="N791" s="257"/>
      <c r="O791" s="257"/>
      <c r="P791" s="257"/>
      <c r="Q791" s="257"/>
      <c r="R791" s="257"/>
      <c r="S791" s="257"/>
      <c r="T791" s="257"/>
      <c r="U791" s="257"/>
      <c r="V791" s="257"/>
      <c r="W791" s="257"/>
      <c r="X791" s="257"/>
      <c r="Y791" s="257"/>
      <c r="Z791" s="257"/>
    </row>
    <row r="792" spans="1:26" ht="21" customHeight="1">
      <c r="A792" s="257"/>
      <c r="B792" s="257"/>
      <c r="C792" s="257"/>
      <c r="D792" s="257"/>
      <c r="E792" s="257"/>
      <c r="F792" s="257"/>
      <c r="G792" s="257"/>
      <c r="H792" s="257"/>
      <c r="I792" s="257"/>
      <c r="J792" s="257"/>
      <c r="K792" s="257"/>
      <c r="L792" s="257"/>
      <c r="M792" s="257"/>
      <c r="N792" s="257"/>
      <c r="O792" s="257"/>
      <c r="P792" s="257"/>
      <c r="Q792" s="257"/>
      <c r="R792" s="257"/>
      <c r="S792" s="257"/>
      <c r="T792" s="257"/>
      <c r="U792" s="257"/>
      <c r="V792" s="257"/>
      <c r="W792" s="257"/>
      <c r="X792" s="257"/>
      <c r="Y792" s="257"/>
      <c r="Z792" s="257"/>
    </row>
    <row r="793" spans="1:26" ht="21" customHeight="1">
      <c r="A793" s="257"/>
      <c r="B793" s="257"/>
      <c r="C793" s="257"/>
      <c r="D793" s="257"/>
      <c r="E793" s="257"/>
      <c r="F793" s="257"/>
      <c r="G793" s="257"/>
      <c r="H793" s="257"/>
      <c r="I793" s="257"/>
      <c r="J793" s="257"/>
      <c r="K793" s="257"/>
      <c r="L793" s="257"/>
      <c r="M793" s="257"/>
      <c r="N793" s="257"/>
      <c r="O793" s="257"/>
      <c r="P793" s="257"/>
      <c r="Q793" s="257"/>
      <c r="R793" s="257"/>
      <c r="S793" s="257"/>
      <c r="T793" s="257"/>
      <c r="U793" s="257"/>
      <c r="V793" s="257"/>
      <c r="W793" s="257"/>
      <c r="X793" s="257"/>
      <c r="Y793" s="257"/>
      <c r="Z793" s="257"/>
    </row>
    <row r="794" spans="1:26" ht="21" customHeight="1">
      <c r="A794" s="257"/>
      <c r="B794" s="257"/>
      <c r="C794" s="257"/>
      <c r="D794" s="257"/>
      <c r="E794" s="257"/>
      <c r="F794" s="257"/>
      <c r="G794" s="257"/>
      <c r="H794" s="257"/>
      <c r="I794" s="257"/>
      <c r="J794" s="257"/>
      <c r="K794" s="257"/>
      <c r="L794" s="257"/>
      <c r="M794" s="257"/>
      <c r="N794" s="257"/>
      <c r="O794" s="257"/>
      <c r="P794" s="257"/>
      <c r="Q794" s="257"/>
      <c r="R794" s="257"/>
      <c r="S794" s="257"/>
      <c r="T794" s="257"/>
      <c r="U794" s="257"/>
      <c r="V794" s="257"/>
      <c r="W794" s="257"/>
      <c r="X794" s="257"/>
      <c r="Y794" s="257"/>
      <c r="Z794" s="257"/>
    </row>
    <row r="795" spans="1:26" ht="21" customHeight="1">
      <c r="A795" s="257"/>
      <c r="B795" s="257"/>
      <c r="C795" s="257"/>
      <c r="D795" s="257"/>
      <c r="E795" s="257"/>
      <c r="F795" s="257"/>
      <c r="G795" s="257"/>
      <c r="H795" s="257"/>
      <c r="I795" s="257"/>
      <c r="J795" s="257"/>
      <c r="K795" s="257"/>
      <c r="L795" s="257"/>
      <c r="M795" s="257"/>
      <c r="N795" s="257"/>
      <c r="O795" s="257"/>
      <c r="P795" s="257"/>
      <c r="Q795" s="257"/>
      <c r="R795" s="257"/>
      <c r="S795" s="257"/>
      <c r="T795" s="257"/>
      <c r="U795" s="257"/>
      <c r="V795" s="257"/>
      <c r="W795" s="257"/>
      <c r="X795" s="257"/>
      <c r="Y795" s="257"/>
      <c r="Z795" s="257"/>
    </row>
    <row r="796" spans="1:26" ht="21" customHeight="1">
      <c r="A796" s="257"/>
      <c r="B796" s="257"/>
      <c r="C796" s="257"/>
      <c r="D796" s="257"/>
      <c r="E796" s="257"/>
      <c r="F796" s="257"/>
      <c r="G796" s="257"/>
      <c r="H796" s="257"/>
      <c r="I796" s="257"/>
      <c r="J796" s="257"/>
      <c r="K796" s="257"/>
      <c r="L796" s="257"/>
      <c r="M796" s="257"/>
      <c r="N796" s="257"/>
      <c r="O796" s="257"/>
      <c r="P796" s="257"/>
      <c r="Q796" s="257"/>
      <c r="R796" s="257"/>
      <c r="S796" s="257"/>
      <c r="T796" s="257"/>
      <c r="U796" s="257"/>
      <c r="V796" s="257"/>
      <c r="W796" s="257"/>
      <c r="X796" s="257"/>
      <c r="Y796" s="257"/>
      <c r="Z796" s="257"/>
    </row>
    <row r="797" spans="1:26" ht="21" customHeight="1">
      <c r="A797" s="257"/>
      <c r="B797" s="257"/>
      <c r="C797" s="257"/>
      <c r="D797" s="257"/>
      <c r="E797" s="257"/>
      <c r="F797" s="257"/>
      <c r="G797" s="257"/>
      <c r="H797" s="257"/>
      <c r="I797" s="257"/>
      <c r="J797" s="257"/>
      <c r="K797" s="257"/>
      <c r="L797" s="257"/>
      <c r="M797" s="257"/>
      <c r="N797" s="257"/>
      <c r="O797" s="257"/>
      <c r="P797" s="257"/>
      <c r="Q797" s="257"/>
      <c r="R797" s="257"/>
      <c r="S797" s="257"/>
      <c r="T797" s="257"/>
      <c r="U797" s="257"/>
      <c r="V797" s="257"/>
      <c r="W797" s="257"/>
      <c r="X797" s="257"/>
      <c r="Y797" s="257"/>
      <c r="Z797" s="257"/>
    </row>
    <row r="798" spans="1:26" ht="21" customHeight="1">
      <c r="A798" s="257"/>
      <c r="B798" s="257"/>
      <c r="C798" s="257"/>
      <c r="D798" s="257"/>
      <c r="E798" s="257"/>
      <c r="F798" s="257"/>
      <c r="G798" s="257"/>
      <c r="H798" s="257"/>
      <c r="I798" s="257"/>
      <c r="J798" s="257"/>
      <c r="K798" s="257"/>
      <c r="L798" s="257"/>
      <c r="M798" s="257"/>
      <c r="N798" s="257"/>
      <c r="O798" s="257"/>
      <c r="P798" s="257"/>
      <c r="Q798" s="257"/>
      <c r="R798" s="257"/>
      <c r="S798" s="257"/>
      <c r="T798" s="257"/>
      <c r="U798" s="257"/>
      <c r="V798" s="257"/>
      <c r="W798" s="257"/>
      <c r="X798" s="257"/>
      <c r="Y798" s="257"/>
      <c r="Z798" s="257"/>
    </row>
    <row r="799" spans="1:26" ht="21" customHeight="1">
      <c r="A799" s="257"/>
      <c r="B799" s="257"/>
      <c r="C799" s="257"/>
      <c r="D799" s="257"/>
      <c r="E799" s="257"/>
      <c r="F799" s="257"/>
      <c r="G799" s="257"/>
      <c r="H799" s="257"/>
      <c r="I799" s="257"/>
      <c r="J799" s="257"/>
      <c r="K799" s="257"/>
      <c r="L799" s="257"/>
      <c r="M799" s="257"/>
      <c r="N799" s="257"/>
      <c r="O799" s="257"/>
      <c r="P799" s="257"/>
      <c r="Q799" s="257"/>
      <c r="R799" s="257"/>
      <c r="S799" s="257"/>
      <c r="T799" s="257"/>
      <c r="U799" s="257"/>
      <c r="V799" s="257"/>
      <c r="W799" s="257"/>
      <c r="X799" s="257"/>
      <c r="Y799" s="257"/>
      <c r="Z799" s="257"/>
    </row>
    <row r="800" spans="1:26" ht="21" customHeight="1">
      <c r="A800" s="257"/>
      <c r="B800" s="257"/>
      <c r="C800" s="257"/>
      <c r="D800" s="257"/>
      <c r="E800" s="257"/>
      <c r="F800" s="257"/>
      <c r="G800" s="257"/>
      <c r="H800" s="257"/>
      <c r="I800" s="257"/>
      <c r="J800" s="257"/>
      <c r="K800" s="257"/>
      <c r="L800" s="257"/>
      <c r="M800" s="257"/>
      <c r="N800" s="257"/>
      <c r="O800" s="257"/>
      <c r="P800" s="257"/>
      <c r="Q800" s="257"/>
      <c r="R800" s="257"/>
      <c r="S800" s="257"/>
      <c r="T800" s="257"/>
      <c r="U800" s="257"/>
      <c r="V800" s="257"/>
      <c r="W800" s="257"/>
      <c r="X800" s="257"/>
      <c r="Y800" s="257"/>
      <c r="Z800" s="257"/>
    </row>
    <row r="801" spans="1:26" ht="21" customHeight="1">
      <c r="A801" s="257"/>
      <c r="B801" s="257"/>
      <c r="C801" s="257"/>
      <c r="D801" s="257"/>
      <c r="E801" s="257"/>
      <c r="F801" s="257"/>
      <c r="G801" s="257"/>
      <c r="H801" s="257"/>
      <c r="I801" s="257"/>
      <c r="J801" s="257"/>
      <c r="K801" s="257"/>
      <c r="L801" s="257"/>
      <c r="M801" s="257"/>
      <c r="N801" s="257"/>
      <c r="O801" s="257"/>
      <c r="P801" s="257"/>
      <c r="Q801" s="257"/>
      <c r="R801" s="257"/>
      <c r="S801" s="257"/>
      <c r="T801" s="257"/>
      <c r="U801" s="257"/>
      <c r="V801" s="257"/>
      <c r="W801" s="257"/>
      <c r="X801" s="257"/>
      <c r="Y801" s="257"/>
      <c r="Z801" s="257"/>
    </row>
    <row r="802" spans="1:26" ht="21" customHeight="1">
      <c r="A802" s="257"/>
      <c r="B802" s="257"/>
      <c r="C802" s="257"/>
      <c r="D802" s="257"/>
      <c r="E802" s="257"/>
      <c r="F802" s="257"/>
      <c r="G802" s="257"/>
      <c r="H802" s="257"/>
      <c r="I802" s="257"/>
      <c r="J802" s="257"/>
      <c r="K802" s="257"/>
      <c r="L802" s="257"/>
      <c r="M802" s="257"/>
      <c r="N802" s="257"/>
      <c r="O802" s="257"/>
      <c r="P802" s="257"/>
      <c r="Q802" s="257"/>
      <c r="R802" s="257"/>
      <c r="S802" s="257"/>
      <c r="T802" s="257"/>
      <c r="U802" s="257"/>
      <c r="V802" s="257"/>
      <c r="W802" s="257"/>
      <c r="X802" s="257"/>
      <c r="Y802" s="257"/>
      <c r="Z802" s="257"/>
    </row>
    <row r="803" spans="1:26" ht="21" customHeight="1">
      <c r="A803" s="257"/>
      <c r="B803" s="257"/>
      <c r="C803" s="257"/>
      <c r="D803" s="257"/>
      <c r="E803" s="257"/>
      <c r="F803" s="257"/>
      <c r="G803" s="257"/>
      <c r="H803" s="257"/>
      <c r="I803" s="257"/>
      <c r="J803" s="257"/>
      <c r="K803" s="257"/>
      <c r="L803" s="257"/>
      <c r="M803" s="257"/>
      <c r="N803" s="257"/>
      <c r="O803" s="257"/>
      <c r="P803" s="257"/>
      <c r="Q803" s="257"/>
      <c r="R803" s="257"/>
      <c r="S803" s="257"/>
      <c r="T803" s="257"/>
      <c r="U803" s="257"/>
      <c r="V803" s="257"/>
      <c r="W803" s="257"/>
      <c r="X803" s="257"/>
      <c r="Y803" s="257"/>
      <c r="Z803" s="257"/>
    </row>
    <row r="804" spans="1:26" ht="21" customHeight="1">
      <c r="A804" s="257"/>
      <c r="B804" s="257"/>
      <c r="C804" s="257"/>
      <c r="D804" s="257"/>
      <c r="E804" s="257"/>
      <c r="F804" s="257"/>
      <c r="G804" s="257"/>
      <c r="H804" s="257"/>
      <c r="I804" s="257"/>
      <c r="J804" s="257"/>
      <c r="K804" s="257"/>
      <c r="L804" s="257"/>
      <c r="M804" s="257"/>
      <c r="N804" s="257"/>
      <c r="O804" s="257"/>
      <c r="P804" s="257"/>
      <c r="Q804" s="257"/>
      <c r="R804" s="257"/>
      <c r="S804" s="257"/>
      <c r="T804" s="257"/>
      <c r="U804" s="257"/>
      <c r="V804" s="257"/>
      <c r="W804" s="257"/>
      <c r="X804" s="257"/>
      <c r="Y804" s="257"/>
      <c r="Z804" s="257"/>
    </row>
    <row r="805" spans="1:26" ht="21" customHeight="1">
      <c r="A805" s="257"/>
      <c r="B805" s="257"/>
      <c r="C805" s="257"/>
      <c r="D805" s="257"/>
      <c r="E805" s="257"/>
      <c r="F805" s="257"/>
      <c r="G805" s="257"/>
      <c r="H805" s="257"/>
      <c r="I805" s="257"/>
      <c r="J805" s="257"/>
      <c r="K805" s="257"/>
      <c r="L805" s="257"/>
      <c r="M805" s="257"/>
      <c r="N805" s="257"/>
      <c r="O805" s="257"/>
      <c r="P805" s="257"/>
      <c r="Q805" s="257"/>
      <c r="R805" s="257"/>
      <c r="S805" s="257"/>
      <c r="T805" s="257"/>
      <c r="U805" s="257"/>
      <c r="V805" s="257"/>
      <c r="W805" s="257"/>
      <c r="X805" s="257"/>
      <c r="Y805" s="257"/>
      <c r="Z805" s="257"/>
    </row>
    <row r="806" spans="1:26" ht="21" customHeight="1">
      <c r="A806" s="257"/>
      <c r="B806" s="257"/>
      <c r="C806" s="257"/>
      <c r="D806" s="257"/>
      <c r="E806" s="257"/>
      <c r="F806" s="257"/>
      <c r="G806" s="257"/>
      <c r="H806" s="257"/>
      <c r="I806" s="257"/>
      <c r="J806" s="257"/>
      <c r="K806" s="257"/>
      <c r="L806" s="257"/>
      <c r="M806" s="257"/>
      <c r="N806" s="257"/>
      <c r="O806" s="257"/>
      <c r="P806" s="257"/>
      <c r="Q806" s="257"/>
      <c r="R806" s="257"/>
      <c r="S806" s="257"/>
      <c r="T806" s="257"/>
      <c r="U806" s="257"/>
      <c r="V806" s="257"/>
      <c r="W806" s="257"/>
      <c r="X806" s="257"/>
      <c r="Y806" s="257"/>
      <c r="Z806" s="257"/>
    </row>
    <row r="807" spans="1:26" ht="21" customHeight="1">
      <c r="A807" s="257"/>
      <c r="B807" s="257"/>
      <c r="C807" s="257"/>
      <c r="D807" s="257"/>
      <c r="E807" s="257"/>
      <c r="F807" s="257"/>
      <c r="G807" s="257"/>
      <c r="H807" s="257"/>
      <c r="I807" s="257"/>
      <c r="J807" s="257"/>
      <c r="K807" s="257"/>
      <c r="L807" s="257"/>
      <c r="M807" s="257"/>
      <c r="N807" s="257"/>
      <c r="O807" s="257"/>
      <c r="P807" s="257"/>
      <c r="Q807" s="257"/>
      <c r="R807" s="257"/>
      <c r="S807" s="257"/>
      <c r="T807" s="257"/>
      <c r="U807" s="257"/>
      <c r="V807" s="257"/>
      <c r="W807" s="257"/>
      <c r="X807" s="257"/>
      <c r="Y807" s="257"/>
      <c r="Z807" s="257"/>
    </row>
    <row r="808" spans="1:26" ht="21" customHeight="1">
      <c r="A808" s="257"/>
      <c r="B808" s="257"/>
      <c r="C808" s="257"/>
      <c r="D808" s="257"/>
      <c r="E808" s="257"/>
      <c r="F808" s="257"/>
      <c r="G808" s="257"/>
      <c r="H808" s="257"/>
      <c r="I808" s="257"/>
      <c r="J808" s="257"/>
      <c r="K808" s="257"/>
      <c r="L808" s="257"/>
      <c r="M808" s="257"/>
      <c r="N808" s="257"/>
      <c r="O808" s="257"/>
      <c r="P808" s="257"/>
      <c r="Q808" s="257"/>
      <c r="R808" s="257"/>
      <c r="S808" s="257"/>
      <c r="T808" s="257"/>
      <c r="U808" s="257"/>
      <c r="V808" s="257"/>
      <c r="W808" s="257"/>
      <c r="X808" s="257"/>
      <c r="Y808" s="257"/>
      <c r="Z808" s="257"/>
    </row>
    <row r="809" spans="1:26" ht="21" customHeight="1">
      <c r="A809" s="257"/>
      <c r="B809" s="257"/>
      <c r="C809" s="257"/>
      <c r="D809" s="257"/>
      <c r="E809" s="257"/>
      <c r="F809" s="257"/>
      <c r="G809" s="257"/>
      <c r="H809" s="257"/>
      <c r="I809" s="257"/>
      <c r="J809" s="257"/>
      <c r="K809" s="257"/>
      <c r="L809" s="257"/>
      <c r="M809" s="257"/>
      <c r="N809" s="257"/>
      <c r="O809" s="257"/>
      <c r="P809" s="257"/>
      <c r="Q809" s="257"/>
      <c r="R809" s="257"/>
      <c r="S809" s="257"/>
      <c r="T809" s="257"/>
      <c r="U809" s="257"/>
      <c r="V809" s="257"/>
      <c r="W809" s="257"/>
      <c r="X809" s="257"/>
      <c r="Y809" s="257"/>
      <c r="Z809" s="257"/>
    </row>
    <row r="810" spans="1:26" ht="21" customHeight="1">
      <c r="A810" s="257"/>
      <c r="B810" s="257"/>
      <c r="C810" s="257"/>
      <c r="D810" s="257"/>
      <c r="E810" s="257"/>
      <c r="F810" s="257"/>
      <c r="G810" s="257"/>
      <c r="H810" s="257"/>
      <c r="I810" s="257"/>
      <c r="J810" s="257"/>
      <c r="K810" s="257"/>
      <c r="L810" s="257"/>
      <c r="M810" s="257"/>
      <c r="N810" s="257"/>
      <c r="O810" s="257"/>
      <c r="P810" s="257"/>
      <c r="Q810" s="257"/>
      <c r="R810" s="257"/>
      <c r="S810" s="257"/>
      <c r="T810" s="257"/>
      <c r="U810" s="257"/>
      <c r="V810" s="257"/>
      <c r="W810" s="257"/>
      <c r="X810" s="257"/>
      <c r="Y810" s="257"/>
      <c r="Z810" s="257"/>
    </row>
    <row r="811" spans="1:26" ht="21" customHeight="1">
      <c r="A811" s="257"/>
      <c r="B811" s="257"/>
      <c r="C811" s="257"/>
      <c r="D811" s="257"/>
      <c r="E811" s="257"/>
      <c r="F811" s="257"/>
      <c r="G811" s="257"/>
      <c r="H811" s="257"/>
      <c r="I811" s="257"/>
      <c r="J811" s="257"/>
      <c r="K811" s="257"/>
      <c r="L811" s="257"/>
      <c r="M811" s="257"/>
      <c r="N811" s="257"/>
      <c r="O811" s="257"/>
      <c r="P811" s="257"/>
      <c r="Q811" s="257"/>
      <c r="R811" s="257"/>
      <c r="S811" s="257"/>
      <c r="T811" s="257"/>
      <c r="U811" s="257"/>
      <c r="V811" s="257"/>
      <c r="W811" s="257"/>
      <c r="X811" s="257"/>
      <c r="Y811" s="257"/>
      <c r="Z811" s="257"/>
    </row>
    <row r="812" spans="1:26" ht="21" customHeight="1">
      <c r="A812" s="257"/>
      <c r="B812" s="257"/>
      <c r="C812" s="257"/>
      <c r="D812" s="257"/>
      <c r="E812" s="257"/>
      <c r="F812" s="257"/>
      <c r="G812" s="257"/>
      <c r="H812" s="257"/>
      <c r="I812" s="257"/>
      <c r="J812" s="257"/>
      <c r="K812" s="257"/>
      <c r="L812" s="257"/>
      <c r="M812" s="257"/>
      <c r="N812" s="257"/>
      <c r="O812" s="257"/>
      <c r="P812" s="257"/>
      <c r="Q812" s="257"/>
      <c r="R812" s="257"/>
      <c r="S812" s="257"/>
      <c r="T812" s="257"/>
      <c r="U812" s="257"/>
      <c r="V812" s="257"/>
      <c r="W812" s="257"/>
      <c r="X812" s="257"/>
      <c r="Y812" s="257"/>
      <c r="Z812" s="257"/>
    </row>
    <row r="813" spans="1:26" ht="21" customHeight="1">
      <c r="A813" s="257"/>
      <c r="B813" s="257"/>
      <c r="C813" s="257"/>
      <c r="D813" s="257"/>
      <c r="E813" s="257"/>
      <c r="F813" s="257"/>
      <c r="G813" s="257"/>
      <c r="H813" s="257"/>
      <c r="I813" s="257"/>
      <c r="J813" s="257"/>
      <c r="K813" s="257"/>
      <c r="L813" s="257"/>
      <c r="M813" s="257"/>
      <c r="N813" s="257"/>
      <c r="O813" s="257"/>
      <c r="P813" s="257"/>
      <c r="Q813" s="257"/>
      <c r="R813" s="257"/>
      <c r="S813" s="257"/>
      <c r="T813" s="257"/>
      <c r="U813" s="257"/>
      <c r="V813" s="257"/>
      <c r="W813" s="257"/>
      <c r="X813" s="257"/>
      <c r="Y813" s="257"/>
      <c r="Z813" s="257"/>
    </row>
    <row r="814" spans="1:26" ht="21" customHeight="1">
      <c r="A814" s="257"/>
      <c r="B814" s="257"/>
      <c r="C814" s="257"/>
      <c r="D814" s="257"/>
      <c r="E814" s="257"/>
      <c r="F814" s="257"/>
      <c r="G814" s="257"/>
      <c r="H814" s="257"/>
      <c r="I814" s="257"/>
      <c r="J814" s="257"/>
      <c r="K814" s="257"/>
      <c r="L814" s="257"/>
      <c r="M814" s="257"/>
      <c r="N814" s="257"/>
      <c r="O814" s="257"/>
      <c r="P814" s="257"/>
      <c r="Q814" s="257"/>
      <c r="R814" s="257"/>
      <c r="S814" s="257"/>
      <c r="T814" s="257"/>
      <c r="U814" s="257"/>
      <c r="V814" s="257"/>
      <c r="W814" s="257"/>
      <c r="X814" s="257"/>
      <c r="Y814" s="257"/>
      <c r="Z814" s="257"/>
    </row>
    <row r="815" spans="1:26" ht="21" customHeight="1">
      <c r="A815" s="257"/>
      <c r="B815" s="257"/>
      <c r="C815" s="257"/>
      <c r="D815" s="257"/>
      <c r="E815" s="257"/>
      <c r="F815" s="257"/>
      <c r="G815" s="257"/>
      <c r="H815" s="257"/>
      <c r="I815" s="257"/>
      <c r="J815" s="257"/>
      <c r="K815" s="257"/>
      <c r="L815" s="257"/>
      <c r="M815" s="257"/>
      <c r="N815" s="257"/>
      <c r="O815" s="257"/>
      <c r="P815" s="257"/>
      <c r="Q815" s="257"/>
      <c r="R815" s="257"/>
      <c r="S815" s="257"/>
      <c r="T815" s="257"/>
      <c r="U815" s="257"/>
      <c r="V815" s="257"/>
      <c r="W815" s="257"/>
      <c r="X815" s="257"/>
      <c r="Y815" s="257"/>
      <c r="Z815" s="257"/>
    </row>
    <row r="816" spans="1:26" ht="21" customHeight="1">
      <c r="A816" s="257"/>
      <c r="B816" s="257"/>
      <c r="C816" s="257"/>
      <c r="D816" s="257"/>
      <c r="E816" s="257"/>
      <c r="F816" s="257"/>
      <c r="G816" s="257"/>
      <c r="H816" s="257"/>
      <c r="I816" s="257"/>
      <c r="J816" s="257"/>
      <c r="K816" s="257"/>
      <c r="L816" s="257"/>
      <c r="M816" s="257"/>
      <c r="N816" s="257"/>
      <c r="O816" s="257"/>
      <c r="P816" s="257"/>
      <c r="Q816" s="257"/>
      <c r="R816" s="257"/>
      <c r="S816" s="257"/>
      <c r="T816" s="257"/>
      <c r="U816" s="257"/>
      <c r="V816" s="257"/>
      <c r="W816" s="257"/>
      <c r="X816" s="257"/>
      <c r="Y816" s="257"/>
      <c r="Z816" s="257"/>
    </row>
    <row r="817" spans="1:26" ht="21" customHeight="1">
      <c r="A817" s="257"/>
      <c r="B817" s="257"/>
      <c r="C817" s="257"/>
      <c r="D817" s="257"/>
      <c r="E817" s="257"/>
      <c r="F817" s="257"/>
      <c r="G817" s="257"/>
      <c r="H817" s="257"/>
      <c r="I817" s="257"/>
      <c r="J817" s="257"/>
      <c r="K817" s="257"/>
      <c r="L817" s="257"/>
      <c r="M817" s="257"/>
      <c r="N817" s="257"/>
      <c r="O817" s="257"/>
      <c r="P817" s="257"/>
      <c r="Q817" s="257"/>
      <c r="R817" s="257"/>
      <c r="S817" s="257"/>
      <c r="T817" s="257"/>
      <c r="U817" s="257"/>
      <c r="V817" s="257"/>
      <c r="W817" s="257"/>
      <c r="X817" s="257"/>
      <c r="Y817" s="257"/>
      <c r="Z817" s="257"/>
    </row>
    <row r="818" spans="1:26" ht="21" customHeight="1">
      <c r="A818" s="257"/>
      <c r="B818" s="257"/>
      <c r="C818" s="257"/>
      <c r="D818" s="257"/>
      <c r="E818" s="257"/>
      <c r="F818" s="257"/>
      <c r="G818" s="257"/>
      <c r="H818" s="257"/>
      <c r="I818" s="257"/>
      <c r="J818" s="257"/>
      <c r="K818" s="257"/>
      <c r="L818" s="257"/>
      <c r="M818" s="257"/>
      <c r="N818" s="257"/>
      <c r="O818" s="257"/>
      <c r="P818" s="257"/>
      <c r="Q818" s="257"/>
      <c r="R818" s="257"/>
      <c r="S818" s="257"/>
      <c r="T818" s="257"/>
      <c r="U818" s="257"/>
      <c r="V818" s="257"/>
      <c r="W818" s="257"/>
      <c r="X818" s="257"/>
      <c r="Y818" s="257"/>
      <c r="Z818" s="257"/>
    </row>
    <row r="819" spans="1:26" ht="21" customHeight="1">
      <c r="A819" s="257"/>
      <c r="B819" s="257"/>
      <c r="C819" s="257"/>
      <c r="D819" s="257"/>
      <c r="E819" s="257"/>
      <c r="F819" s="257"/>
      <c r="G819" s="257"/>
      <c r="H819" s="257"/>
      <c r="I819" s="257"/>
      <c r="J819" s="257"/>
      <c r="K819" s="257"/>
      <c r="L819" s="257"/>
      <c r="M819" s="257"/>
      <c r="N819" s="257"/>
      <c r="O819" s="257"/>
      <c r="P819" s="257"/>
      <c r="Q819" s="257"/>
      <c r="R819" s="257"/>
      <c r="S819" s="257"/>
      <c r="T819" s="257"/>
      <c r="U819" s="257"/>
      <c r="V819" s="257"/>
      <c r="W819" s="257"/>
      <c r="X819" s="257"/>
      <c r="Y819" s="257"/>
      <c r="Z819" s="257"/>
    </row>
    <row r="820" spans="1:26" ht="21" customHeight="1">
      <c r="A820" s="257"/>
      <c r="B820" s="257"/>
      <c r="C820" s="257"/>
      <c r="D820" s="257"/>
      <c r="E820" s="257"/>
      <c r="F820" s="257"/>
      <c r="G820" s="257"/>
      <c r="H820" s="257"/>
      <c r="I820" s="257"/>
      <c r="J820" s="257"/>
      <c r="K820" s="257"/>
      <c r="L820" s="257"/>
      <c r="M820" s="257"/>
      <c r="N820" s="257"/>
      <c r="O820" s="257"/>
      <c r="P820" s="257"/>
      <c r="Q820" s="257"/>
      <c r="R820" s="257"/>
      <c r="S820" s="257"/>
      <c r="T820" s="257"/>
      <c r="U820" s="257"/>
      <c r="V820" s="257"/>
      <c r="W820" s="257"/>
      <c r="X820" s="257"/>
      <c r="Y820" s="257"/>
      <c r="Z820" s="257"/>
    </row>
    <row r="821" spans="1:26" ht="21" customHeight="1">
      <c r="A821" s="257"/>
      <c r="B821" s="257"/>
      <c r="C821" s="257"/>
      <c r="D821" s="257"/>
      <c r="E821" s="257"/>
      <c r="F821" s="257"/>
      <c r="G821" s="257"/>
      <c r="H821" s="257"/>
      <c r="I821" s="257"/>
      <c r="J821" s="257"/>
      <c r="K821" s="257"/>
      <c r="L821" s="257"/>
      <c r="M821" s="257"/>
      <c r="N821" s="257"/>
      <c r="O821" s="257"/>
      <c r="P821" s="257"/>
      <c r="Q821" s="257"/>
      <c r="R821" s="257"/>
      <c r="S821" s="257"/>
      <c r="T821" s="257"/>
      <c r="U821" s="257"/>
      <c r="V821" s="257"/>
      <c r="W821" s="257"/>
      <c r="X821" s="257"/>
      <c r="Y821" s="257"/>
      <c r="Z821" s="257"/>
    </row>
    <row r="822" spans="1:26" ht="21" customHeight="1">
      <c r="A822" s="257"/>
      <c r="B822" s="257"/>
      <c r="C822" s="257"/>
      <c r="D822" s="257"/>
      <c r="E822" s="257"/>
      <c r="F822" s="257"/>
      <c r="G822" s="257"/>
      <c r="H822" s="257"/>
      <c r="I822" s="257"/>
      <c r="J822" s="257"/>
      <c r="K822" s="257"/>
      <c r="L822" s="257"/>
      <c r="M822" s="257"/>
      <c r="N822" s="257"/>
      <c r="O822" s="257"/>
      <c r="P822" s="257"/>
      <c r="Q822" s="257"/>
      <c r="R822" s="257"/>
      <c r="S822" s="257"/>
      <c r="T822" s="257"/>
      <c r="U822" s="257"/>
      <c r="V822" s="257"/>
      <c r="W822" s="257"/>
      <c r="X822" s="257"/>
      <c r="Y822" s="257"/>
      <c r="Z822" s="257"/>
    </row>
    <row r="823" spans="1:26" ht="21" customHeight="1">
      <c r="A823" s="257"/>
      <c r="B823" s="257"/>
      <c r="C823" s="257"/>
      <c r="D823" s="257"/>
      <c r="E823" s="257"/>
      <c r="F823" s="257"/>
      <c r="G823" s="257"/>
      <c r="H823" s="257"/>
      <c r="I823" s="257"/>
      <c r="J823" s="257"/>
      <c r="K823" s="257"/>
      <c r="L823" s="257"/>
      <c r="M823" s="257"/>
      <c r="N823" s="257"/>
      <c r="O823" s="257"/>
      <c r="P823" s="257"/>
      <c r="Q823" s="257"/>
      <c r="R823" s="257"/>
      <c r="S823" s="257"/>
      <c r="T823" s="257"/>
      <c r="U823" s="257"/>
      <c r="V823" s="257"/>
      <c r="W823" s="257"/>
      <c r="X823" s="257"/>
      <c r="Y823" s="257"/>
      <c r="Z823" s="257"/>
    </row>
    <row r="824" spans="1:26" ht="21" customHeight="1">
      <c r="A824" s="257"/>
      <c r="B824" s="257"/>
      <c r="C824" s="257"/>
      <c r="D824" s="257"/>
      <c r="E824" s="257"/>
      <c r="F824" s="257"/>
      <c r="G824" s="257"/>
      <c r="H824" s="257"/>
      <c r="I824" s="257"/>
      <c r="J824" s="257"/>
      <c r="K824" s="257"/>
      <c r="L824" s="257"/>
      <c r="M824" s="257"/>
      <c r="N824" s="257"/>
      <c r="O824" s="257"/>
      <c r="P824" s="257"/>
      <c r="Q824" s="257"/>
      <c r="R824" s="257"/>
      <c r="S824" s="257"/>
      <c r="T824" s="257"/>
      <c r="U824" s="257"/>
      <c r="V824" s="257"/>
      <c r="W824" s="257"/>
      <c r="X824" s="257"/>
      <c r="Y824" s="257"/>
      <c r="Z824" s="257"/>
    </row>
    <row r="825" spans="1:26" ht="21" customHeight="1">
      <c r="A825" s="257"/>
      <c r="B825" s="257"/>
      <c r="C825" s="257"/>
      <c r="D825" s="257"/>
      <c r="E825" s="257"/>
      <c r="F825" s="257"/>
      <c r="G825" s="257"/>
      <c r="H825" s="257"/>
      <c r="I825" s="257"/>
      <c r="J825" s="257"/>
      <c r="K825" s="257"/>
      <c r="L825" s="257"/>
      <c r="M825" s="257"/>
      <c r="N825" s="257"/>
      <c r="O825" s="257"/>
      <c r="P825" s="257"/>
      <c r="Q825" s="257"/>
      <c r="R825" s="257"/>
      <c r="S825" s="257"/>
      <c r="T825" s="257"/>
      <c r="U825" s="257"/>
      <c r="V825" s="257"/>
      <c r="W825" s="257"/>
      <c r="X825" s="257"/>
      <c r="Y825" s="257"/>
      <c r="Z825" s="257"/>
    </row>
    <row r="826" spans="1:26" ht="21" customHeight="1">
      <c r="A826" s="257"/>
      <c r="B826" s="257"/>
      <c r="C826" s="257"/>
      <c r="D826" s="257"/>
      <c r="E826" s="257"/>
      <c r="F826" s="257"/>
      <c r="G826" s="257"/>
      <c r="H826" s="257"/>
      <c r="I826" s="257"/>
      <c r="J826" s="257"/>
      <c r="K826" s="257"/>
      <c r="L826" s="257"/>
      <c r="M826" s="257"/>
      <c r="N826" s="257"/>
      <c r="O826" s="257"/>
      <c r="P826" s="257"/>
      <c r="Q826" s="257"/>
      <c r="R826" s="257"/>
      <c r="S826" s="257"/>
      <c r="T826" s="257"/>
      <c r="U826" s="257"/>
      <c r="V826" s="257"/>
      <c r="W826" s="257"/>
      <c r="X826" s="257"/>
      <c r="Y826" s="257"/>
      <c r="Z826" s="257"/>
    </row>
    <row r="827" spans="1:26" ht="21" customHeight="1">
      <c r="A827" s="257"/>
      <c r="B827" s="257"/>
      <c r="C827" s="257"/>
      <c r="D827" s="257"/>
      <c r="E827" s="257"/>
      <c r="F827" s="257"/>
      <c r="G827" s="257"/>
      <c r="H827" s="257"/>
      <c r="I827" s="257"/>
      <c r="J827" s="257"/>
      <c r="K827" s="257"/>
      <c r="L827" s="257"/>
      <c r="M827" s="257"/>
      <c r="N827" s="257"/>
      <c r="O827" s="257"/>
      <c r="P827" s="257"/>
      <c r="Q827" s="257"/>
      <c r="R827" s="257"/>
      <c r="S827" s="257"/>
      <c r="T827" s="257"/>
      <c r="U827" s="257"/>
      <c r="V827" s="257"/>
      <c r="W827" s="257"/>
      <c r="X827" s="257"/>
      <c r="Y827" s="257"/>
      <c r="Z827" s="257"/>
    </row>
    <row r="828" spans="1:26" ht="21" customHeight="1">
      <c r="A828" s="257"/>
      <c r="B828" s="257"/>
      <c r="C828" s="257"/>
      <c r="D828" s="257"/>
      <c r="E828" s="257"/>
      <c r="F828" s="257"/>
      <c r="G828" s="257"/>
      <c r="H828" s="257"/>
      <c r="I828" s="257"/>
      <c r="J828" s="257"/>
      <c r="K828" s="257"/>
      <c r="L828" s="257"/>
      <c r="M828" s="257"/>
      <c r="N828" s="257"/>
      <c r="O828" s="257"/>
      <c r="P828" s="257"/>
      <c r="Q828" s="257"/>
      <c r="R828" s="257"/>
      <c r="S828" s="257"/>
      <c r="T828" s="257"/>
      <c r="U828" s="257"/>
      <c r="V828" s="257"/>
      <c r="W828" s="257"/>
      <c r="X828" s="257"/>
      <c r="Y828" s="257"/>
      <c r="Z828" s="257"/>
    </row>
    <row r="829" spans="1:26" ht="21" customHeight="1">
      <c r="A829" s="257"/>
      <c r="B829" s="257"/>
      <c r="C829" s="257"/>
      <c r="D829" s="257"/>
      <c r="E829" s="257"/>
      <c r="F829" s="257"/>
      <c r="G829" s="257"/>
      <c r="H829" s="257"/>
      <c r="I829" s="257"/>
      <c r="J829" s="257"/>
      <c r="K829" s="257"/>
      <c r="L829" s="257"/>
      <c r="M829" s="257"/>
      <c r="N829" s="257"/>
      <c r="O829" s="257"/>
      <c r="P829" s="257"/>
      <c r="Q829" s="257"/>
      <c r="R829" s="257"/>
      <c r="S829" s="257"/>
      <c r="T829" s="257"/>
      <c r="U829" s="257"/>
      <c r="V829" s="257"/>
      <c r="W829" s="257"/>
      <c r="X829" s="257"/>
      <c r="Y829" s="257"/>
      <c r="Z829" s="257"/>
    </row>
    <row r="830" spans="1:26" ht="21" customHeight="1">
      <c r="A830" s="257"/>
      <c r="B830" s="257"/>
      <c r="C830" s="257"/>
      <c r="D830" s="257"/>
      <c r="E830" s="257"/>
      <c r="F830" s="257"/>
      <c r="G830" s="257"/>
      <c r="H830" s="257"/>
      <c r="I830" s="257"/>
      <c r="J830" s="257"/>
      <c r="K830" s="257"/>
      <c r="L830" s="257"/>
      <c r="M830" s="257"/>
      <c r="N830" s="257"/>
      <c r="O830" s="257"/>
      <c r="P830" s="257"/>
      <c r="Q830" s="257"/>
      <c r="R830" s="257"/>
      <c r="S830" s="257"/>
      <c r="T830" s="257"/>
      <c r="U830" s="257"/>
      <c r="V830" s="257"/>
      <c r="W830" s="257"/>
      <c r="X830" s="257"/>
      <c r="Y830" s="257"/>
      <c r="Z830" s="257"/>
    </row>
    <row r="831" spans="1:26" ht="21" customHeight="1">
      <c r="A831" s="257"/>
      <c r="B831" s="257"/>
      <c r="C831" s="257"/>
      <c r="D831" s="257"/>
      <c r="E831" s="257"/>
      <c r="F831" s="257"/>
      <c r="G831" s="257"/>
      <c r="H831" s="257"/>
      <c r="I831" s="257"/>
      <c r="J831" s="257"/>
      <c r="K831" s="257"/>
      <c r="L831" s="257"/>
      <c r="M831" s="257"/>
      <c r="N831" s="257"/>
      <c r="O831" s="257"/>
      <c r="P831" s="257"/>
      <c r="Q831" s="257"/>
      <c r="R831" s="257"/>
      <c r="S831" s="257"/>
      <c r="T831" s="257"/>
      <c r="U831" s="257"/>
      <c r="V831" s="257"/>
      <c r="W831" s="257"/>
      <c r="X831" s="257"/>
      <c r="Y831" s="257"/>
      <c r="Z831" s="257"/>
    </row>
    <row r="832" spans="1:26" ht="21" customHeight="1">
      <c r="A832" s="257"/>
      <c r="B832" s="257"/>
      <c r="C832" s="257"/>
      <c r="D832" s="257"/>
      <c r="E832" s="257"/>
      <c r="F832" s="257"/>
      <c r="G832" s="257"/>
      <c r="H832" s="257"/>
      <c r="I832" s="257"/>
      <c r="J832" s="257"/>
      <c r="K832" s="257"/>
      <c r="L832" s="257"/>
      <c r="M832" s="257"/>
      <c r="N832" s="257"/>
      <c r="O832" s="257"/>
      <c r="P832" s="257"/>
      <c r="Q832" s="257"/>
      <c r="R832" s="257"/>
      <c r="S832" s="257"/>
      <c r="T832" s="257"/>
      <c r="U832" s="257"/>
      <c r="V832" s="257"/>
      <c r="W832" s="257"/>
      <c r="X832" s="257"/>
      <c r="Y832" s="257"/>
      <c r="Z832" s="257"/>
    </row>
    <row r="833" spans="1:26" ht="21" customHeight="1">
      <c r="A833" s="257"/>
      <c r="B833" s="257"/>
      <c r="C833" s="257"/>
      <c r="D833" s="257"/>
      <c r="E833" s="257"/>
      <c r="F833" s="257"/>
      <c r="G833" s="257"/>
      <c r="H833" s="257"/>
      <c r="I833" s="257"/>
      <c r="J833" s="257"/>
      <c r="K833" s="257"/>
      <c r="L833" s="257"/>
      <c r="M833" s="257"/>
      <c r="N833" s="257"/>
      <c r="O833" s="257"/>
      <c r="P833" s="257"/>
      <c r="Q833" s="257"/>
      <c r="R833" s="257"/>
      <c r="S833" s="257"/>
      <c r="T833" s="257"/>
      <c r="U833" s="257"/>
      <c r="V833" s="257"/>
      <c r="W833" s="257"/>
      <c r="X833" s="257"/>
      <c r="Y833" s="257"/>
      <c r="Z833" s="257"/>
    </row>
    <row r="834" spans="1:26" ht="21" customHeight="1">
      <c r="A834" s="257"/>
      <c r="B834" s="257"/>
      <c r="C834" s="257"/>
      <c r="D834" s="257"/>
      <c r="E834" s="257"/>
      <c r="F834" s="257"/>
      <c r="G834" s="257"/>
      <c r="H834" s="257"/>
      <c r="I834" s="257"/>
      <c r="J834" s="257"/>
      <c r="K834" s="257"/>
      <c r="L834" s="257"/>
      <c r="M834" s="257"/>
      <c r="N834" s="257"/>
      <c r="O834" s="257"/>
      <c r="P834" s="257"/>
      <c r="Q834" s="257"/>
      <c r="R834" s="257"/>
      <c r="S834" s="257"/>
      <c r="T834" s="257"/>
      <c r="U834" s="257"/>
      <c r="V834" s="257"/>
      <c r="W834" s="257"/>
      <c r="X834" s="257"/>
      <c r="Y834" s="257"/>
      <c r="Z834" s="257"/>
    </row>
    <row r="835" spans="1:26" ht="21" customHeight="1">
      <c r="A835" s="257"/>
      <c r="B835" s="257"/>
      <c r="C835" s="257"/>
      <c r="D835" s="257"/>
      <c r="E835" s="257"/>
      <c r="F835" s="257"/>
      <c r="G835" s="257"/>
      <c r="H835" s="257"/>
      <c r="I835" s="257"/>
      <c r="J835" s="257"/>
      <c r="K835" s="257"/>
      <c r="L835" s="257"/>
      <c r="M835" s="257"/>
      <c r="N835" s="257"/>
      <c r="O835" s="257"/>
      <c r="P835" s="257"/>
      <c r="Q835" s="257"/>
      <c r="R835" s="257"/>
      <c r="S835" s="257"/>
      <c r="T835" s="257"/>
      <c r="U835" s="257"/>
      <c r="V835" s="257"/>
      <c r="W835" s="257"/>
      <c r="X835" s="257"/>
      <c r="Y835" s="257"/>
      <c r="Z835" s="257"/>
    </row>
    <row r="836" spans="1:26" ht="21" customHeight="1">
      <c r="A836" s="257"/>
      <c r="B836" s="257"/>
      <c r="C836" s="257"/>
      <c r="D836" s="257"/>
      <c r="E836" s="257"/>
      <c r="F836" s="257"/>
      <c r="G836" s="257"/>
      <c r="H836" s="257"/>
      <c r="I836" s="257"/>
      <c r="J836" s="257"/>
      <c r="K836" s="257"/>
      <c r="L836" s="257"/>
      <c r="M836" s="257"/>
      <c r="N836" s="257"/>
      <c r="O836" s="257"/>
      <c r="P836" s="257"/>
      <c r="Q836" s="257"/>
      <c r="R836" s="257"/>
      <c r="S836" s="257"/>
      <c r="T836" s="257"/>
      <c r="U836" s="257"/>
      <c r="V836" s="257"/>
      <c r="W836" s="257"/>
      <c r="X836" s="257"/>
      <c r="Y836" s="257"/>
      <c r="Z836" s="257"/>
    </row>
    <row r="837" spans="1:26" ht="21" customHeight="1">
      <c r="A837" s="257"/>
      <c r="B837" s="257"/>
      <c r="C837" s="257"/>
      <c r="D837" s="257"/>
      <c r="E837" s="257"/>
      <c r="F837" s="257"/>
      <c r="G837" s="257"/>
      <c r="H837" s="257"/>
      <c r="I837" s="257"/>
      <c r="J837" s="257"/>
      <c r="K837" s="257"/>
      <c r="L837" s="257"/>
      <c r="M837" s="257"/>
      <c r="N837" s="257"/>
      <c r="O837" s="257"/>
      <c r="P837" s="257"/>
      <c r="Q837" s="257"/>
      <c r="R837" s="257"/>
      <c r="S837" s="257"/>
      <c r="T837" s="257"/>
      <c r="U837" s="257"/>
      <c r="V837" s="257"/>
      <c r="W837" s="257"/>
      <c r="X837" s="257"/>
      <c r="Y837" s="257"/>
      <c r="Z837" s="257"/>
    </row>
    <row r="838" spans="1:26" ht="21" customHeight="1">
      <c r="A838" s="257"/>
      <c r="B838" s="257"/>
      <c r="C838" s="257"/>
      <c r="D838" s="257"/>
      <c r="E838" s="257"/>
      <c r="F838" s="257"/>
      <c r="G838" s="257"/>
      <c r="H838" s="257"/>
      <c r="I838" s="257"/>
      <c r="J838" s="257"/>
      <c r="K838" s="257"/>
      <c r="L838" s="257"/>
      <c r="M838" s="257"/>
      <c r="N838" s="257"/>
      <c r="O838" s="257"/>
      <c r="P838" s="257"/>
      <c r="Q838" s="257"/>
      <c r="R838" s="257"/>
      <c r="S838" s="257"/>
      <c r="T838" s="257"/>
      <c r="U838" s="257"/>
      <c r="V838" s="257"/>
      <c r="W838" s="257"/>
      <c r="X838" s="257"/>
      <c r="Y838" s="257"/>
      <c r="Z838" s="257"/>
    </row>
    <row r="839" spans="1:26" ht="21" customHeight="1">
      <c r="A839" s="257"/>
      <c r="B839" s="257"/>
      <c r="C839" s="257"/>
      <c r="D839" s="257"/>
      <c r="E839" s="257"/>
      <c r="F839" s="257"/>
      <c r="G839" s="257"/>
      <c r="H839" s="257"/>
      <c r="I839" s="257"/>
      <c r="J839" s="257"/>
      <c r="K839" s="257"/>
      <c r="L839" s="257"/>
      <c r="M839" s="257"/>
      <c r="N839" s="257"/>
      <c r="O839" s="257"/>
      <c r="P839" s="257"/>
      <c r="Q839" s="257"/>
      <c r="R839" s="257"/>
      <c r="S839" s="257"/>
      <c r="T839" s="257"/>
      <c r="U839" s="257"/>
      <c r="V839" s="257"/>
      <c r="W839" s="257"/>
      <c r="X839" s="257"/>
      <c r="Y839" s="257"/>
      <c r="Z839" s="257"/>
    </row>
    <row r="840" spans="1:26" ht="21" customHeight="1">
      <c r="A840" s="257"/>
      <c r="B840" s="257"/>
      <c r="C840" s="257"/>
      <c r="D840" s="257"/>
      <c r="E840" s="257"/>
      <c r="F840" s="257"/>
      <c r="G840" s="257"/>
      <c r="H840" s="257"/>
      <c r="I840" s="257"/>
      <c r="J840" s="257"/>
      <c r="K840" s="257"/>
      <c r="L840" s="257"/>
      <c r="M840" s="257"/>
      <c r="N840" s="257"/>
      <c r="O840" s="257"/>
      <c r="P840" s="257"/>
      <c r="Q840" s="257"/>
      <c r="R840" s="257"/>
      <c r="S840" s="257"/>
      <c r="T840" s="257"/>
      <c r="U840" s="257"/>
      <c r="V840" s="257"/>
      <c r="W840" s="257"/>
      <c r="X840" s="257"/>
      <c r="Y840" s="257"/>
      <c r="Z840" s="257"/>
    </row>
    <row r="841" spans="1:26" ht="21" customHeight="1">
      <c r="A841" s="257"/>
      <c r="B841" s="257"/>
      <c r="C841" s="257"/>
      <c r="D841" s="257"/>
      <c r="E841" s="257"/>
      <c r="F841" s="257"/>
      <c r="G841" s="257"/>
      <c r="H841" s="257"/>
      <c r="I841" s="257"/>
      <c r="J841" s="257"/>
      <c r="K841" s="257"/>
      <c r="L841" s="257"/>
      <c r="M841" s="257"/>
      <c r="N841" s="257"/>
      <c r="O841" s="257"/>
      <c r="P841" s="257"/>
      <c r="Q841" s="257"/>
      <c r="R841" s="257"/>
      <c r="S841" s="257"/>
      <c r="T841" s="257"/>
      <c r="U841" s="257"/>
      <c r="V841" s="257"/>
      <c r="W841" s="257"/>
      <c r="X841" s="257"/>
      <c r="Y841" s="257"/>
      <c r="Z841" s="257"/>
    </row>
    <row r="842" spans="1:26" ht="21" customHeight="1">
      <c r="A842" s="257"/>
      <c r="B842" s="257"/>
      <c r="C842" s="257"/>
      <c r="D842" s="257"/>
      <c r="E842" s="257"/>
      <c r="F842" s="257"/>
      <c r="G842" s="257"/>
      <c r="H842" s="257"/>
      <c r="I842" s="257"/>
      <c r="J842" s="257"/>
      <c r="K842" s="257"/>
      <c r="L842" s="257"/>
      <c r="M842" s="257"/>
      <c r="N842" s="257"/>
      <c r="O842" s="257"/>
      <c r="P842" s="257"/>
      <c r="Q842" s="257"/>
      <c r="R842" s="257"/>
      <c r="S842" s="257"/>
      <c r="T842" s="257"/>
      <c r="U842" s="257"/>
      <c r="V842" s="257"/>
      <c r="W842" s="257"/>
      <c r="X842" s="257"/>
      <c r="Y842" s="257"/>
      <c r="Z842" s="257"/>
    </row>
    <row r="843" spans="1:26" ht="21" customHeight="1">
      <c r="A843" s="257"/>
      <c r="B843" s="257"/>
      <c r="C843" s="257"/>
      <c r="D843" s="257"/>
      <c r="E843" s="257"/>
      <c r="F843" s="257"/>
      <c r="G843" s="257"/>
      <c r="H843" s="257"/>
      <c r="I843" s="257"/>
      <c r="J843" s="257"/>
      <c r="K843" s="257"/>
      <c r="L843" s="257"/>
      <c r="M843" s="257"/>
      <c r="N843" s="257"/>
      <c r="O843" s="257"/>
      <c r="P843" s="257"/>
      <c r="Q843" s="257"/>
      <c r="R843" s="257"/>
      <c r="S843" s="257"/>
      <c r="T843" s="257"/>
      <c r="U843" s="257"/>
      <c r="V843" s="257"/>
      <c r="W843" s="257"/>
      <c r="X843" s="257"/>
      <c r="Y843" s="257"/>
      <c r="Z843" s="257"/>
    </row>
    <row r="844" spans="1:26" ht="21" customHeight="1">
      <c r="A844" s="257"/>
      <c r="B844" s="257"/>
      <c r="C844" s="257"/>
      <c r="D844" s="257"/>
      <c r="E844" s="257"/>
      <c r="F844" s="257"/>
      <c r="G844" s="257"/>
      <c r="H844" s="257"/>
      <c r="I844" s="257"/>
      <c r="J844" s="257"/>
      <c r="K844" s="257"/>
      <c r="L844" s="257"/>
      <c r="M844" s="257"/>
      <c r="N844" s="257"/>
      <c r="O844" s="257"/>
      <c r="P844" s="257"/>
      <c r="Q844" s="257"/>
      <c r="R844" s="257"/>
      <c r="S844" s="257"/>
      <c r="T844" s="257"/>
      <c r="U844" s="257"/>
      <c r="V844" s="257"/>
      <c r="W844" s="257"/>
      <c r="X844" s="257"/>
      <c r="Y844" s="257"/>
      <c r="Z844" s="257"/>
    </row>
    <row r="845" spans="1:26" ht="21" customHeight="1">
      <c r="A845" s="257"/>
      <c r="B845" s="257"/>
      <c r="C845" s="257"/>
      <c r="D845" s="257"/>
      <c r="E845" s="257"/>
      <c r="F845" s="257"/>
      <c r="G845" s="257"/>
      <c r="H845" s="257"/>
      <c r="I845" s="257"/>
      <c r="J845" s="257"/>
      <c r="K845" s="257"/>
      <c r="L845" s="257"/>
      <c r="M845" s="257"/>
      <c r="N845" s="257"/>
      <c r="O845" s="257"/>
      <c r="P845" s="257"/>
      <c r="Q845" s="257"/>
      <c r="R845" s="257"/>
      <c r="S845" s="257"/>
      <c r="T845" s="257"/>
      <c r="U845" s="257"/>
      <c r="V845" s="257"/>
      <c r="W845" s="257"/>
      <c r="X845" s="257"/>
      <c r="Y845" s="257"/>
      <c r="Z845" s="257"/>
    </row>
    <row r="846" spans="1:26" ht="21" customHeight="1">
      <c r="A846" s="257"/>
      <c r="B846" s="257"/>
      <c r="C846" s="257"/>
      <c r="D846" s="257"/>
      <c r="E846" s="257"/>
      <c r="F846" s="257"/>
      <c r="G846" s="257"/>
      <c r="H846" s="257"/>
      <c r="I846" s="257"/>
      <c r="J846" s="257"/>
      <c r="K846" s="257"/>
      <c r="L846" s="257"/>
      <c r="M846" s="257"/>
      <c r="N846" s="257"/>
      <c r="O846" s="257"/>
      <c r="P846" s="257"/>
      <c r="Q846" s="257"/>
      <c r="R846" s="257"/>
      <c r="S846" s="257"/>
      <c r="T846" s="257"/>
      <c r="U846" s="257"/>
      <c r="V846" s="257"/>
      <c r="W846" s="257"/>
      <c r="X846" s="257"/>
      <c r="Y846" s="257"/>
      <c r="Z846" s="257"/>
    </row>
    <row r="847" spans="1:26" ht="21" customHeight="1">
      <c r="A847" s="257"/>
      <c r="B847" s="257"/>
      <c r="C847" s="257"/>
      <c r="D847" s="257"/>
      <c r="E847" s="257"/>
      <c r="F847" s="257"/>
      <c r="G847" s="257"/>
      <c r="H847" s="257"/>
      <c r="I847" s="257"/>
      <c r="J847" s="257"/>
      <c r="K847" s="257"/>
      <c r="L847" s="257"/>
      <c r="M847" s="257"/>
      <c r="N847" s="257"/>
      <c r="O847" s="257"/>
      <c r="P847" s="257"/>
      <c r="Q847" s="257"/>
      <c r="R847" s="257"/>
      <c r="S847" s="257"/>
      <c r="T847" s="257"/>
      <c r="U847" s="257"/>
      <c r="V847" s="257"/>
      <c r="W847" s="257"/>
      <c r="X847" s="257"/>
      <c r="Y847" s="257"/>
      <c r="Z847" s="257"/>
    </row>
    <row r="848" spans="1:26" ht="21" customHeight="1">
      <c r="A848" s="257"/>
      <c r="B848" s="257"/>
      <c r="C848" s="257"/>
      <c r="D848" s="257"/>
      <c r="E848" s="257"/>
      <c r="F848" s="257"/>
      <c r="G848" s="257"/>
      <c r="H848" s="257"/>
      <c r="I848" s="257"/>
      <c r="J848" s="257"/>
      <c r="K848" s="257"/>
      <c r="L848" s="257"/>
      <c r="M848" s="257"/>
      <c r="N848" s="257"/>
      <c r="O848" s="257"/>
      <c r="P848" s="257"/>
      <c r="Q848" s="257"/>
      <c r="R848" s="257"/>
      <c r="S848" s="257"/>
      <c r="T848" s="257"/>
      <c r="U848" s="257"/>
      <c r="V848" s="257"/>
      <c r="W848" s="257"/>
      <c r="X848" s="257"/>
      <c r="Y848" s="257"/>
      <c r="Z848" s="257"/>
    </row>
    <row r="849" spans="1:26" ht="21" customHeight="1">
      <c r="A849" s="257"/>
      <c r="B849" s="257"/>
      <c r="C849" s="257"/>
      <c r="D849" s="257"/>
      <c r="E849" s="257"/>
      <c r="F849" s="257"/>
      <c r="G849" s="257"/>
      <c r="H849" s="257"/>
      <c r="I849" s="257"/>
      <c r="J849" s="257"/>
      <c r="K849" s="257"/>
      <c r="L849" s="257"/>
      <c r="M849" s="257"/>
      <c r="N849" s="257"/>
      <c r="O849" s="257"/>
      <c r="P849" s="257"/>
      <c r="Q849" s="257"/>
      <c r="R849" s="257"/>
      <c r="S849" s="257"/>
      <c r="T849" s="257"/>
      <c r="U849" s="257"/>
      <c r="V849" s="257"/>
      <c r="W849" s="257"/>
      <c r="X849" s="257"/>
      <c r="Y849" s="257"/>
      <c r="Z849" s="257"/>
    </row>
    <row r="850" spans="1:26" ht="21" customHeight="1">
      <c r="A850" s="257"/>
      <c r="B850" s="257"/>
      <c r="C850" s="257"/>
      <c r="D850" s="257"/>
      <c r="E850" s="257"/>
      <c r="F850" s="257"/>
      <c r="G850" s="257"/>
      <c r="H850" s="257"/>
      <c r="I850" s="257"/>
      <c r="J850" s="257"/>
      <c r="K850" s="257"/>
      <c r="L850" s="257"/>
      <c r="M850" s="257"/>
      <c r="N850" s="257"/>
      <c r="O850" s="257"/>
      <c r="P850" s="257"/>
      <c r="Q850" s="257"/>
      <c r="R850" s="257"/>
      <c r="S850" s="257"/>
      <c r="T850" s="257"/>
      <c r="U850" s="257"/>
      <c r="V850" s="257"/>
      <c r="W850" s="257"/>
      <c r="X850" s="257"/>
      <c r="Y850" s="257"/>
      <c r="Z850" s="257"/>
    </row>
    <row r="851" spans="1:26" ht="21" customHeight="1">
      <c r="A851" s="257"/>
      <c r="B851" s="257"/>
      <c r="C851" s="257"/>
      <c r="D851" s="257"/>
      <c r="E851" s="257"/>
      <c r="F851" s="257"/>
      <c r="G851" s="257"/>
      <c r="H851" s="257"/>
      <c r="I851" s="257"/>
      <c r="J851" s="257"/>
      <c r="K851" s="257"/>
      <c r="L851" s="257"/>
      <c r="M851" s="257"/>
      <c r="N851" s="257"/>
      <c r="O851" s="257"/>
      <c r="P851" s="257"/>
      <c r="Q851" s="257"/>
      <c r="R851" s="257"/>
      <c r="S851" s="257"/>
      <c r="T851" s="257"/>
      <c r="U851" s="257"/>
      <c r="V851" s="257"/>
      <c r="W851" s="257"/>
      <c r="X851" s="257"/>
      <c r="Y851" s="257"/>
      <c r="Z851" s="257"/>
    </row>
    <row r="852" spans="1:26" ht="21" customHeight="1">
      <c r="A852" s="257"/>
      <c r="B852" s="257"/>
      <c r="C852" s="257"/>
      <c r="D852" s="257"/>
      <c r="E852" s="257"/>
      <c r="F852" s="257"/>
      <c r="G852" s="257"/>
      <c r="H852" s="257"/>
      <c r="I852" s="257"/>
      <c r="J852" s="257"/>
      <c r="K852" s="257"/>
      <c r="L852" s="257"/>
      <c r="M852" s="257"/>
      <c r="N852" s="257"/>
      <c r="O852" s="257"/>
      <c r="P852" s="257"/>
      <c r="Q852" s="257"/>
      <c r="R852" s="257"/>
      <c r="S852" s="257"/>
      <c r="T852" s="257"/>
      <c r="U852" s="257"/>
      <c r="V852" s="257"/>
      <c r="W852" s="257"/>
      <c r="X852" s="257"/>
      <c r="Y852" s="257"/>
      <c r="Z852" s="257"/>
    </row>
    <row r="853" spans="1:26" ht="21" customHeight="1">
      <c r="A853" s="257"/>
      <c r="B853" s="257"/>
      <c r="C853" s="257"/>
      <c r="D853" s="257"/>
      <c r="E853" s="257"/>
      <c r="F853" s="257"/>
      <c r="G853" s="257"/>
      <c r="H853" s="257"/>
      <c r="I853" s="257"/>
      <c r="J853" s="257"/>
      <c r="K853" s="257"/>
      <c r="L853" s="257"/>
      <c r="M853" s="257"/>
      <c r="N853" s="257"/>
      <c r="O853" s="257"/>
      <c r="P853" s="257"/>
      <c r="Q853" s="257"/>
      <c r="R853" s="257"/>
      <c r="S853" s="257"/>
      <c r="T853" s="257"/>
      <c r="U853" s="257"/>
      <c r="V853" s="257"/>
      <c r="W853" s="257"/>
      <c r="X853" s="257"/>
      <c r="Y853" s="257"/>
      <c r="Z853" s="257"/>
    </row>
    <row r="854" spans="1:26" ht="21" customHeight="1">
      <c r="A854" s="257"/>
      <c r="B854" s="257"/>
      <c r="C854" s="257"/>
      <c r="D854" s="257"/>
      <c r="E854" s="257"/>
      <c r="F854" s="257"/>
      <c r="G854" s="257"/>
      <c r="H854" s="257"/>
      <c r="I854" s="257"/>
      <c r="J854" s="257"/>
      <c r="K854" s="257"/>
      <c r="L854" s="257"/>
      <c r="M854" s="257"/>
      <c r="N854" s="257"/>
      <c r="O854" s="257"/>
      <c r="P854" s="257"/>
      <c r="Q854" s="257"/>
      <c r="R854" s="257"/>
      <c r="S854" s="257"/>
      <c r="T854" s="257"/>
      <c r="U854" s="257"/>
      <c r="V854" s="257"/>
      <c r="W854" s="257"/>
      <c r="X854" s="257"/>
      <c r="Y854" s="257"/>
      <c r="Z854" s="257"/>
    </row>
    <row r="855" spans="1:26" ht="21" customHeight="1">
      <c r="A855" s="257"/>
      <c r="B855" s="257"/>
      <c r="C855" s="257"/>
      <c r="D855" s="257"/>
      <c r="E855" s="257"/>
      <c r="F855" s="257"/>
      <c r="G855" s="257"/>
      <c r="H855" s="257"/>
      <c r="I855" s="257"/>
      <c r="J855" s="257"/>
      <c r="K855" s="257"/>
      <c r="L855" s="257"/>
      <c r="M855" s="257"/>
      <c r="N855" s="257"/>
      <c r="O855" s="257"/>
      <c r="P855" s="257"/>
      <c r="Q855" s="257"/>
      <c r="R855" s="257"/>
      <c r="S855" s="257"/>
      <c r="T855" s="257"/>
      <c r="U855" s="257"/>
      <c r="V855" s="257"/>
      <c r="W855" s="257"/>
      <c r="X855" s="257"/>
      <c r="Y855" s="257"/>
      <c r="Z855" s="257"/>
    </row>
    <row r="856" spans="1:26" ht="21" customHeight="1">
      <c r="A856" s="257"/>
      <c r="B856" s="257"/>
      <c r="C856" s="257"/>
      <c r="D856" s="257"/>
      <c r="E856" s="257"/>
      <c r="F856" s="257"/>
      <c r="G856" s="257"/>
      <c r="H856" s="257"/>
      <c r="I856" s="257"/>
      <c r="J856" s="257"/>
      <c r="K856" s="257"/>
      <c r="L856" s="257"/>
      <c r="M856" s="257"/>
      <c r="N856" s="257"/>
      <c r="O856" s="257"/>
      <c r="P856" s="257"/>
      <c r="Q856" s="257"/>
      <c r="R856" s="257"/>
      <c r="S856" s="257"/>
      <c r="T856" s="257"/>
      <c r="U856" s="257"/>
      <c r="V856" s="257"/>
      <c r="W856" s="257"/>
      <c r="X856" s="257"/>
      <c r="Y856" s="257"/>
      <c r="Z856" s="257"/>
    </row>
    <row r="857" spans="1:26" ht="21" customHeight="1">
      <c r="A857" s="257"/>
      <c r="B857" s="257"/>
      <c r="C857" s="257"/>
      <c r="D857" s="257"/>
      <c r="E857" s="257"/>
      <c r="F857" s="257"/>
      <c r="G857" s="257"/>
      <c r="H857" s="257"/>
      <c r="I857" s="257"/>
      <c r="J857" s="257"/>
      <c r="K857" s="257"/>
      <c r="L857" s="257"/>
      <c r="M857" s="257"/>
      <c r="N857" s="257"/>
      <c r="O857" s="257"/>
      <c r="P857" s="257"/>
      <c r="Q857" s="257"/>
      <c r="R857" s="257"/>
      <c r="S857" s="257"/>
      <c r="T857" s="257"/>
      <c r="U857" s="257"/>
      <c r="V857" s="257"/>
      <c r="W857" s="257"/>
      <c r="X857" s="257"/>
      <c r="Y857" s="257"/>
      <c r="Z857" s="257"/>
    </row>
    <row r="858" spans="1:26" ht="21" customHeight="1">
      <c r="A858" s="257"/>
      <c r="B858" s="257"/>
      <c r="C858" s="257"/>
      <c r="D858" s="257"/>
      <c r="E858" s="257"/>
      <c r="F858" s="257"/>
      <c r="G858" s="257"/>
      <c r="H858" s="257"/>
      <c r="I858" s="257"/>
      <c r="J858" s="257"/>
      <c r="K858" s="257"/>
      <c r="L858" s="257"/>
      <c r="M858" s="257"/>
      <c r="N858" s="257"/>
      <c r="O858" s="257"/>
      <c r="P858" s="257"/>
      <c r="Q858" s="257"/>
      <c r="R858" s="257"/>
      <c r="S858" s="257"/>
      <c r="T858" s="257"/>
      <c r="U858" s="257"/>
      <c r="V858" s="257"/>
      <c r="W858" s="257"/>
      <c r="X858" s="257"/>
      <c r="Y858" s="257"/>
      <c r="Z858" s="257"/>
    </row>
    <row r="859" spans="1:26" ht="21" customHeight="1">
      <c r="A859" s="257"/>
      <c r="B859" s="257"/>
      <c r="C859" s="257"/>
      <c r="D859" s="257"/>
      <c r="E859" s="257"/>
      <c r="F859" s="257"/>
      <c r="G859" s="257"/>
      <c r="H859" s="257"/>
      <c r="I859" s="257"/>
      <c r="J859" s="257"/>
      <c r="K859" s="257"/>
      <c r="L859" s="257"/>
      <c r="M859" s="257"/>
      <c r="N859" s="257"/>
      <c r="O859" s="257"/>
      <c r="P859" s="257"/>
      <c r="Q859" s="257"/>
      <c r="R859" s="257"/>
      <c r="S859" s="257"/>
      <c r="T859" s="257"/>
      <c r="U859" s="257"/>
      <c r="V859" s="257"/>
      <c r="W859" s="257"/>
      <c r="X859" s="257"/>
      <c r="Y859" s="257"/>
      <c r="Z859" s="257"/>
    </row>
    <row r="860" spans="1:26" ht="21" customHeight="1">
      <c r="A860" s="257"/>
      <c r="B860" s="257"/>
      <c r="C860" s="257"/>
      <c r="D860" s="257"/>
      <c r="E860" s="257"/>
      <c r="F860" s="257"/>
      <c r="G860" s="257"/>
      <c r="H860" s="257"/>
      <c r="I860" s="257"/>
      <c r="J860" s="257"/>
      <c r="K860" s="257"/>
      <c r="L860" s="257"/>
      <c r="M860" s="257"/>
      <c r="N860" s="257"/>
      <c r="O860" s="257"/>
      <c r="P860" s="257"/>
      <c r="Q860" s="257"/>
      <c r="R860" s="257"/>
      <c r="S860" s="257"/>
      <c r="T860" s="257"/>
      <c r="U860" s="257"/>
      <c r="V860" s="257"/>
      <c r="W860" s="257"/>
      <c r="X860" s="257"/>
      <c r="Y860" s="257"/>
      <c r="Z860" s="257"/>
    </row>
    <row r="861" spans="1:26" ht="21" customHeight="1">
      <c r="A861" s="257"/>
      <c r="B861" s="257"/>
      <c r="C861" s="257"/>
      <c r="D861" s="257"/>
      <c r="E861" s="257"/>
      <c r="F861" s="257"/>
      <c r="G861" s="257"/>
      <c r="H861" s="257"/>
      <c r="I861" s="257"/>
      <c r="J861" s="257"/>
      <c r="K861" s="257"/>
      <c r="L861" s="257"/>
      <c r="M861" s="257"/>
      <c r="N861" s="257"/>
      <c r="O861" s="257"/>
      <c r="P861" s="257"/>
      <c r="Q861" s="257"/>
      <c r="R861" s="257"/>
      <c r="S861" s="257"/>
      <c r="T861" s="257"/>
      <c r="U861" s="257"/>
      <c r="V861" s="257"/>
      <c r="W861" s="257"/>
      <c r="X861" s="257"/>
      <c r="Y861" s="257"/>
      <c r="Z861" s="257"/>
    </row>
    <row r="862" spans="1:26" ht="21" customHeight="1">
      <c r="A862" s="257"/>
      <c r="B862" s="257"/>
      <c r="C862" s="257"/>
      <c r="D862" s="257"/>
      <c r="E862" s="257"/>
      <c r="F862" s="257"/>
      <c r="G862" s="257"/>
      <c r="H862" s="257"/>
      <c r="I862" s="257"/>
      <c r="J862" s="257"/>
      <c r="K862" s="257"/>
      <c r="L862" s="257"/>
      <c r="M862" s="257"/>
      <c r="N862" s="257"/>
      <c r="O862" s="257"/>
      <c r="P862" s="257"/>
      <c r="Q862" s="257"/>
      <c r="R862" s="257"/>
      <c r="S862" s="257"/>
      <c r="T862" s="257"/>
      <c r="U862" s="257"/>
      <c r="V862" s="257"/>
      <c r="W862" s="257"/>
      <c r="X862" s="257"/>
      <c r="Y862" s="257"/>
      <c r="Z862" s="257"/>
    </row>
    <row r="863" spans="1:26" ht="21" customHeight="1">
      <c r="A863" s="257"/>
      <c r="B863" s="257"/>
      <c r="C863" s="257"/>
      <c r="D863" s="257"/>
      <c r="E863" s="257"/>
      <c r="F863" s="257"/>
      <c r="G863" s="257"/>
      <c r="H863" s="257"/>
      <c r="I863" s="257"/>
      <c r="J863" s="257"/>
      <c r="K863" s="257"/>
      <c r="L863" s="257"/>
      <c r="M863" s="257"/>
      <c r="N863" s="257"/>
      <c r="O863" s="257"/>
      <c r="P863" s="257"/>
      <c r="Q863" s="257"/>
      <c r="R863" s="257"/>
      <c r="S863" s="257"/>
      <c r="T863" s="257"/>
      <c r="U863" s="257"/>
      <c r="V863" s="257"/>
      <c r="W863" s="257"/>
      <c r="X863" s="257"/>
      <c r="Y863" s="257"/>
      <c r="Z863" s="257"/>
    </row>
    <row r="864" spans="1:26" ht="21" customHeight="1">
      <c r="A864" s="257"/>
      <c r="B864" s="257"/>
      <c r="C864" s="257"/>
      <c r="D864" s="257"/>
      <c r="E864" s="257"/>
      <c r="F864" s="257"/>
      <c r="G864" s="257"/>
      <c r="H864" s="257"/>
      <c r="I864" s="257"/>
      <c r="J864" s="257"/>
      <c r="K864" s="257"/>
      <c r="L864" s="257"/>
      <c r="M864" s="257"/>
      <c r="N864" s="257"/>
      <c r="O864" s="257"/>
      <c r="P864" s="257"/>
      <c r="Q864" s="257"/>
      <c r="R864" s="257"/>
      <c r="S864" s="257"/>
      <c r="T864" s="257"/>
      <c r="U864" s="257"/>
      <c r="V864" s="257"/>
      <c r="W864" s="257"/>
      <c r="X864" s="257"/>
      <c r="Y864" s="257"/>
      <c r="Z864" s="257"/>
    </row>
    <row r="865" spans="1:26" ht="21" customHeight="1">
      <c r="A865" s="257"/>
      <c r="B865" s="257"/>
      <c r="C865" s="257"/>
      <c r="D865" s="257"/>
      <c r="E865" s="257"/>
      <c r="F865" s="257"/>
      <c r="G865" s="257"/>
      <c r="H865" s="257"/>
      <c r="I865" s="257"/>
      <c r="J865" s="257"/>
      <c r="K865" s="257"/>
      <c r="L865" s="257"/>
      <c r="M865" s="257"/>
      <c r="N865" s="257"/>
      <c r="O865" s="257"/>
      <c r="P865" s="257"/>
      <c r="Q865" s="257"/>
      <c r="R865" s="257"/>
      <c r="S865" s="257"/>
      <c r="T865" s="257"/>
      <c r="U865" s="257"/>
      <c r="V865" s="257"/>
      <c r="W865" s="257"/>
      <c r="X865" s="257"/>
      <c r="Y865" s="257"/>
      <c r="Z865" s="257"/>
    </row>
    <row r="866" spans="1:26" ht="21" customHeight="1">
      <c r="A866" s="257"/>
      <c r="B866" s="257"/>
      <c r="C866" s="257"/>
      <c r="D866" s="257"/>
      <c r="E866" s="257"/>
      <c r="F866" s="257"/>
      <c r="G866" s="257"/>
      <c r="H866" s="257"/>
      <c r="I866" s="257"/>
      <c r="J866" s="257"/>
      <c r="K866" s="257"/>
      <c r="L866" s="257"/>
      <c r="M866" s="257"/>
      <c r="N866" s="257"/>
      <c r="O866" s="257"/>
      <c r="P866" s="257"/>
      <c r="Q866" s="257"/>
      <c r="R866" s="257"/>
      <c r="S866" s="257"/>
      <c r="T866" s="257"/>
      <c r="U866" s="257"/>
      <c r="V866" s="257"/>
      <c r="W866" s="257"/>
      <c r="X866" s="257"/>
      <c r="Y866" s="257"/>
      <c r="Z866" s="257"/>
    </row>
    <row r="867" spans="1:26" ht="21" customHeight="1">
      <c r="A867" s="257"/>
      <c r="B867" s="257"/>
      <c r="C867" s="257"/>
      <c r="D867" s="257"/>
      <c r="E867" s="257"/>
      <c r="F867" s="257"/>
      <c r="G867" s="257"/>
      <c r="H867" s="257"/>
      <c r="I867" s="257"/>
      <c r="J867" s="257"/>
      <c r="K867" s="257"/>
      <c r="L867" s="257"/>
      <c r="M867" s="257"/>
      <c r="N867" s="257"/>
      <c r="O867" s="257"/>
      <c r="P867" s="257"/>
      <c r="Q867" s="257"/>
      <c r="R867" s="257"/>
      <c r="S867" s="257"/>
      <c r="T867" s="257"/>
      <c r="U867" s="257"/>
      <c r="V867" s="257"/>
      <c r="W867" s="257"/>
      <c r="X867" s="257"/>
      <c r="Y867" s="257"/>
      <c r="Z867" s="257"/>
    </row>
    <row r="868" spans="1:26" ht="21" customHeight="1">
      <c r="A868" s="257"/>
      <c r="B868" s="257"/>
      <c r="C868" s="257"/>
      <c r="D868" s="257"/>
      <c r="E868" s="257"/>
      <c r="F868" s="257"/>
      <c r="G868" s="257"/>
      <c r="H868" s="257"/>
      <c r="I868" s="257"/>
      <c r="J868" s="257"/>
      <c r="K868" s="257"/>
      <c r="L868" s="257"/>
      <c r="M868" s="257"/>
      <c r="N868" s="257"/>
      <c r="O868" s="257"/>
      <c r="P868" s="257"/>
      <c r="Q868" s="257"/>
      <c r="R868" s="257"/>
      <c r="S868" s="257"/>
      <c r="T868" s="257"/>
      <c r="U868" s="257"/>
      <c r="V868" s="257"/>
      <c r="W868" s="257"/>
      <c r="X868" s="257"/>
      <c r="Y868" s="257"/>
      <c r="Z868" s="257"/>
    </row>
    <row r="869" spans="1:26" ht="21" customHeight="1">
      <c r="A869" s="257"/>
      <c r="B869" s="257"/>
      <c r="C869" s="257"/>
      <c r="D869" s="257"/>
      <c r="E869" s="257"/>
      <c r="F869" s="257"/>
      <c r="G869" s="257"/>
      <c r="H869" s="257"/>
      <c r="I869" s="257"/>
      <c r="J869" s="257"/>
      <c r="K869" s="257"/>
      <c r="L869" s="257"/>
      <c r="M869" s="257"/>
      <c r="N869" s="257"/>
      <c r="O869" s="257"/>
      <c r="P869" s="257"/>
      <c r="Q869" s="257"/>
      <c r="R869" s="257"/>
      <c r="S869" s="257"/>
      <c r="T869" s="257"/>
      <c r="U869" s="257"/>
      <c r="V869" s="257"/>
      <c r="W869" s="257"/>
      <c r="X869" s="257"/>
      <c r="Y869" s="257"/>
      <c r="Z869" s="257"/>
    </row>
    <row r="870" spans="1:26" ht="21" customHeight="1">
      <c r="A870" s="257"/>
      <c r="B870" s="257"/>
      <c r="C870" s="257"/>
      <c r="D870" s="257"/>
      <c r="E870" s="257"/>
      <c r="F870" s="257"/>
      <c r="G870" s="257"/>
      <c r="H870" s="257"/>
      <c r="I870" s="257"/>
      <c r="J870" s="257"/>
      <c r="K870" s="257"/>
      <c r="L870" s="257"/>
      <c r="M870" s="257"/>
      <c r="N870" s="257"/>
      <c r="O870" s="257"/>
      <c r="P870" s="257"/>
      <c r="Q870" s="257"/>
      <c r="R870" s="257"/>
      <c r="S870" s="257"/>
      <c r="T870" s="257"/>
      <c r="U870" s="257"/>
      <c r="V870" s="257"/>
      <c r="W870" s="257"/>
      <c r="X870" s="257"/>
      <c r="Y870" s="257"/>
      <c r="Z870" s="257"/>
    </row>
    <row r="871" spans="1:26" ht="21" customHeight="1">
      <c r="A871" s="257"/>
      <c r="B871" s="257"/>
      <c r="C871" s="257"/>
      <c r="D871" s="257"/>
      <c r="E871" s="257"/>
      <c r="F871" s="257"/>
      <c r="G871" s="257"/>
      <c r="H871" s="257"/>
      <c r="I871" s="257"/>
      <c r="J871" s="257"/>
      <c r="K871" s="257"/>
      <c r="L871" s="257"/>
      <c r="M871" s="257"/>
      <c r="N871" s="257"/>
      <c r="O871" s="257"/>
      <c r="P871" s="257"/>
      <c r="Q871" s="257"/>
      <c r="R871" s="257"/>
      <c r="S871" s="257"/>
      <c r="T871" s="257"/>
      <c r="U871" s="257"/>
      <c r="V871" s="257"/>
      <c r="W871" s="257"/>
      <c r="X871" s="257"/>
      <c r="Y871" s="257"/>
      <c r="Z871" s="257"/>
    </row>
    <row r="872" spans="1:26" ht="21" customHeight="1">
      <c r="A872" s="257"/>
      <c r="B872" s="257"/>
      <c r="C872" s="257"/>
      <c r="D872" s="257"/>
      <c r="E872" s="257"/>
      <c r="F872" s="257"/>
      <c r="G872" s="257"/>
      <c r="H872" s="257"/>
      <c r="I872" s="257"/>
      <c r="J872" s="257"/>
      <c r="K872" s="257"/>
      <c r="L872" s="257"/>
      <c r="M872" s="257"/>
      <c r="N872" s="257"/>
      <c r="O872" s="257"/>
      <c r="P872" s="257"/>
      <c r="Q872" s="257"/>
      <c r="R872" s="257"/>
      <c r="S872" s="257"/>
      <c r="T872" s="257"/>
      <c r="U872" s="257"/>
      <c r="V872" s="257"/>
      <c r="W872" s="257"/>
      <c r="X872" s="257"/>
      <c r="Y872" s="257"/>
      <c r="Z872" s="257"/>
    </row>
    <row r="873" spans="1:26" ht="21" customHeight="1">
      <c r="A873" s="257"/>
      <c r="B873" s="257"/>
      <c r="C873" s="257"/>
      <c r="D873" s="257"/>
      <c r="E873" s="257"/>
      <c r="F873" s="257"/>
      <c r="G873" s="257"/>
      <c r="H873" s="257"/>
      <c r="I873" s="257"/>
      <c r="J873" s="257"/>
      <c r="K873" s="257"/>
      <c r="L873" s="257"/>
      <c r="M873" s="257"/>
      <c r="N873" s="257"/>
      <c r="O873" s="257"/>
      <c r="P873" s="257"/>
      <c r="Q873" s="257"/>
      <c r="R873" s="257"/>
      <c r="S873" s="257"/>
      <c r="T873" s="257"/>
      <c r="U873" s="257"/>
      <c r="V873" s="257"/>
      <c r="W873" s="257"/>
      <c r="X873" s="257"/>
      <c r="Y873" s="257"/>
      <c r="Z873" s="257"/>
    </row>
    <row r="874" spans="1:26" ht="21" customHeight="1">
      <c r="A874" s="257"/>
      <c r="B874" s="257"/>
      <c r="C874" s="257"/>
      <c r="D874" s="257"/>
      <c r="E874" s="257"/>
      <c r="F874" s="257"/>
      <c r="G874" s="257"/>
      <c r="H874" s="257"/>
      <c r="I874" s="257"/>
      <c r="J874" s="257"/>
      <c r="K874" s="257"/>
      <c r="L874" s="257"/>
      <c r="M874" s="257"/>
      <c r="N874" s="257"/>
      <c r="O874" s="257"/>
      <c r="P874" s="257"/>
      <c r="Q874" s="257"/>
      <c r="R874" s="257"/>
      <c r="S874" s="257"/>
      <c r="T874" s="257"/>
      <c r="U874" s="257"/>
      <c r="V874" s="257"/>
      <c r="W874" s="257"/>
      <c r="X874" s="257"/>
      <c r="Y874" s="257"/>
      <c r="Z874" s="257"/>
    </row>
    <row r="875" spans="1:26" ht="21" customHeight="1">
      <c r="A875" s="257"/>
      <c r="B875" s="257"/>
      <c r="C875" s="257"/>
      <c r="D875" s="257"/>
      <c r="E875" s="257"/>
      <c r="F875" s="257"/>
      <c r="G875" s="257"/>
      <c r="H875" s="257"/>
      <c r="I875" s="257"/>
      <c r="J875" s="257"/>
      <c r="K875" s="257"/>
      <c r="L875" s="257"/>
      <c r="M875" s="257"/>
      <c r="N875" s="257"/>
      <c r="O875" s="257"/>
      <c r="P875" s="257"/>
      <c r="Q875" s="257"/>
      <c r="R875" s="257"/>
      <c r="S875" s="257"/>
      <c r="T875" s="257"/>
      <c r="U875" s="257"/>
      <c r="V875" s="257"/>
      <c r="W875" s="257"/>
      <c r="X875" s="257"/>
      <c r="Y875" s="257"/>
      <c r="Z875" s="257"/>
    </row>
    <row r="876" spans="1:26" ht="21" customHeight="1">
      <c r="A876" s="257"/>
      <c r="B876" s="257"/>
      <c r="C876" s="257"/>
      <c r="D876" s="257"/>
      <c r="E876" s="257"/>
      <c r="F876" s="257"/>
      <c r="G876" s="257"/>
      <c r="H876" s="257"/>
      <c r="I876" s="257"/>
      <c r="J876" s="257"/>
      <c r="K876" s="257"/>
      <c r="L876" s="257"/>
      <c r="M876" s="257"/>
      <c r="N876" s="257"/>
      <c r="O876" s="257"/>
      <c r="P876" s="257"/>
      <c r="Q876" s="257"/>
      <c r="R876" s="257"/>
      <c r="S876" s="257"/>
      <c r="T876" s="257"/>
      <c r="U876" s="257"/>
      <c r="V876" s="257"/>
      <c r="W876" s="257"/>
      <c r="X876" s="257"/>
      <c r="Y876" s="257"/>
      <c r="Z876" s="257"/>
    </row>
    <row r="877" spans="1:26" ht="21" customHeight="1">
      <c r="A877" s="257"/>
      <c r="B877" s="257"/>
      <c r="C877" s="257"/>
      <c r="D877" s="257"/>
      <c r="E877" s="257"/>
      <c r="F877" s="257"/>
      <c r="G877" s="257"/>
      <c r="H877" s="257"/>
      <c r="I877" s="257"/>
      <c r="J877" s="257"/>
      <c r="K877" s="257"/>
      <c r="L877" s="257"/>
      <c r="M877" s="257"/>
      <c r="N877" s="257"/>
      <c r="O877" s="257"/>
      <c r="P877" s="257"/>
      <c r="Q877" s="257"/>
      <c r="R877" s="257"/>
      <c r="S877" s="257"/>
      <c r="T877" s="257"/>
      <c r="U877" s="257"/>
      <c r="V877" s="257"/>
      <c r="W877" s="257"/>
      <c r="X877" s="257"/>
      <c r="Y877" s="257"/>
      <c r="Z877" s="257"/>
    </row>
    <row r="878" spans="1:26" ht="21" customHeight="1">
      <c r="A878" s="257"/>
      <c r="B878" s="257"/>
      <c r="C878" s="257"/>
      <c r="D878" s="257"/>
      <c r="E878" s="257"/>
      <c r="F878" s="257"/>
      <c r="G878" s="257"/>
      <c r="H878" s="257"/>
      <c r="I878" s="257"/>
      <c r="J878" s="257"/>
      <c r="K878" s="257"/>
      <c r="L878" s="257"/>
      <c r="M878" s="257"/>
      <c r="N878" s="257"/>
      <c r="O878" s="257"/>
      <c r="P878" s="257"/>
      <c r="Q878" s="257"/>
      <c r="R878" s="257"/>
      <c r="S878" s="257"/>
      <c r="T878" s="257"/>
      <c r="U878" s="257"/>
      <c r="V878" s="257"/>
      <c r="W878" s="257"/>
      <c r="X878" s="257"/>
      <c r="Y878" s="257"/>
      <c r="Z878" s="257"/>
    </row>
    <row r="879" spans="1:26" ht="21" customHeight="1">
      <c r="A879" s="257"/>
      <c r="B879" s="257"/>
      <c r="C879" s="257"/>
      <c r="D879" s="257"/>
      <c r="E879" s="257"/>
      <c r="F879" s="257"/>
      <c r="G879" s="257"/>
      <c r="H879" s="257"/>
      <c r="I879" s="257"/>
      <c r="J879" s="257"/>
      <c r="K879" s="257"/>
      <c r="L879" s="257"/>
      <c r="M879" s="257"/>
      <c r="N879" s="257"/>
      <c r="O879" s="257"/>
      <c r="P879" s="257"/>
      <c r="Q879" s="257"/>
      <c r="R879" s="257"/>
      <c r="S879" s="257"/>
      <c r="T879" s="257"/>
      <c r="U879" s="257"/>
      <c r="V879" s="257"/>
      <c r="W879" s="257"/>
      <c r="X879" s="257"/>
      <c r="Y879" s="257"/>
      <c r="Z879" s="257"/>
    </row>
    <row r="880" spans="1:26" ht="21" customHeight="1">
      <c r="A880" s="257"/>
      <c r="B880" s="257"/>
      <c r="C880" s="257"/>
      <c r="D880" s="257"/>
      <c r="E880" s="257"/>
      <c r="F880" s="257"/>
      <c r="G880" s="257"/>
      <c r="H880" s="257"/>
      <c r="I880" s="257"/>
      <c r="J880" s="257"/>
      <c r="K880" s="257"/>
      <c r="L880" s="257"/>
      <c r="M880" s="257"/>
      <c r="N880" s="257"/>
      <c r="O880" s="257"/>
      <c r="P880" s="257"/>
      <c r="Q880" s="257"/>
      <c r="R880" s="257"/>
      <c r="S880" s="257"/>
      <c r="T880" s="257"/>
      <c r="U880" s="257"/>
      <c r="V880" s="257"/>
      <c r="W880" s="257"/>
      <c r="X880" s="257"/>
      <c r="Y880" s="257"/>
      <c r="Z880" s="257"/>
    </row>
    <row r="881" spans="1:26" ht="21" customHeight="1">
      <c r="A881" s="257"/>
      <c r="B881" s="257"/>
      <c r="C881" s="257"/>
      <c r="D881" s="257"/>
      <c r="E881" s="257"/>
      <c r="F881" s="257"/>
      <c r="G881" s="257"/>
      <c r="H881" s="257"/>
      <c r="I881" s="257"/>
      <c r="J881" s="257"/>
      <c r="K881" s="257"/>
      <c r="L881" s="257"/>
      <c r="M881" s="257"/>
      <c r="N881" s="257"/>
      <c r="O881" s="257"/>
      <c r="P881" s="257"/>
      <c r="Q881" s="257"/>
      <c r="R881" s="257"/>
      <c r="S881" s="257"/>
      <c r="T881" s="257"/>
      <c r="U881" s="257"/>
      <c r="V881" s="257"/>
      <c r="W881" s="257"/>
      <c r="X881" s="257"/>
      <c r="Y881" s="257"/>
      <c r="Z881" s="257"/>
    </row>
    <row r="882" spans="1:26" ht="21" customHeight="1">
      <c r="A882" s="257"/>
      <c r="B882" s="257"/>
      <c r="C882" s="257"/>
      <c r="D882" s="257"/>
      <c r="E882" s="257"/>
      <c r="F882" s="257"/>
      <c r="G882" s="257"/>
      <c r="H882" s="257"/>
      <c r="I882" s="257"/>
      <c r="J882" s="257"/>
      <c r="K882" s="257"/>
      <c r="L882" s="257"/>
      <c r="M882" s="257"/>
      <c r="N882" s="257"/>
      <c r="O882" s="257"/>
      <c r="P882" s="257"/>
      <c r="Q882" s="257"/>
      <c r="R882" s="257"/>
      <c r="S882" s="257"/>
      <c r="T882" s="257"/>
      <c r="U882" s="257"/>
      <c r="V882" s="257"/>
      <c r="W882" s="257"/>
      <c r="X882" s="257"/>
      <c r="Y882" s="257"/>
      <c r="Z882" s="257"/>
    </row>
    <row r="883" spans="1:26" ht="21" customHeight="1">
      <c r="A883" s="257"/>
      <c r="B883" s="257"/>
      <c r="C883" s="257"/>
      <c r="D883" s="257"/>
      <c r="E883" s="257"/>
      <c r="F883" s="257"/>
      <c r="G883" s="257"/>
      <c r="H883" s="257"/>
      <c r="I883" s="257"/>
      <c r="J883" s="257"/>
      <c r="K883" s="257"/>
      <c r="L883" s="257"/>
      <c r="M883" s="257"/>
      <c r="N883" s="257"/>
      <c r="O883" s="257"/>
      <c r="P883" s="257"/>
      <c r="Q883" s="257"/>
      <c r="R883" s="257"/>
      <c r="S883" s="257"/>
      <c r="T883" s="257"/>
      <c r="U883" s="257"/>
      <c r="V883" s="257"/>
      <c r="W883" s="257"/>
      <c r="X883" s="257"/>
      <c r="Y883" s="257"/>
      <c r="Z883" s="257"/>
    </row>
    <row r="884" spans="1:26" ht="21" customHeight="1">
      <c r="A884" s="257"/>
      <c r="B884" s="257"/>
      <c r="C884" s="257"/>
      <c r="D884" s="257"/>
      <c r="E884" s="257"/>
      <c r="F884" s="257"/>
      <c r="G884" s="257"/>
      <c r="H884" s="257"/>
      <c r="I884" s="257"/>
      <c r="J884" s="257"/>
      <c r="K884" s="257"/>
      <c r="L884" s="257"/>
      <c r="M884" s="257"/>
      <c r="N884" s="257"/>
      <c r="O884" s="257"/>
      <c r="P884" s="257"/>
      <c r="Q884" s="257"/>
      <c r="R884" s="257"/>
      <c r="S884" s="257"/>
      <c r="T884" s="257"/>
      <c r="U884" s="257"/>
      <c r="V884" s="257"/>
      <c r="W884" s="257"/>
      <c r="X884" s="257"/>
      <c r="Y884" s="257"/>
      <c r="Z884" s="257"/>
    </row>
    <row r="885" spans="1:26" ht="21" customHeight="1">
      <c r="A885" s="257"/>
      <c r="B885" s="257"/>
      <c r="C885" s="257"/>
      <c r="D885" s="257"/>
      <c r="E885" s="257"/>
      <c r="F885" s="257"/>
      <c r="G885" s="257"/>
      <c r="H885" s="257"/>
      <c r="I885" s="257"/>
      <c r="J885" s="257"/>
      <c r="K885" s="257"/>
      <c r="L885" s="257"/>
      <c r="M885" s="257"/>
      <c r="N885" s="257"/>
      <c r="O885" s="257"/>
      <c r="P885" s="257"/>
      <c r="Q885" s="257"/>
      <c r="R885" s="257"/>
      <c r="S885" s="257"/>
      <c r="T885" s="257"/>
      <c r="U885" s="257"/>
      <c r="V885" s="257"/>
      <c r="W885" s="257"/>
      <c r="X885" s="257"/>
      <c r="Y885" s="257"/>
      <c r="Z885" s="257"/>
    </row>
    <row r="886" spans="1:26" ht="21" customHeight="1">
      <c r="A886" s="257"/>
      <c r="B886" s="257"/>
      <c r="C886" s="257"/>
      <c r="D886" s="257"/>
      <c r="E886" s="257"/>
      <c r="F886" s="257"/>
      <c r="G886" s="257"/>
      <c r="H886" s="257"/>
      <c r="I886" s="257"/>
      <c r="J886" s="257"/>
      <c r="K886" s="257"/>
      <c r="L886" s="257"/>
      <c r="M886" s="257"/>
      <c r="N886" s="257"/>
      <c r="O886" s="257"/>
      <c r="P886" s="257"/>
      <c r="Q886" s="257"/>
      <c r="R886" s="257"/>
      <c r="S886" s="257"/>
      <c r="T886" s="257"/>
      <c r="U886" s="257"/>
      <c r="V886" s="257"/>
      <c r="W886" s="257"/>
      <c r="X886" s="257"/>
      <c r="Y886" s="257"/>
      <c r="Z886" s="257"/>
    </row>
    <row r="887" spans="1:26" ht="21" customHeight="1">
      <c r="A887" s="257"/>
      <c r="B887" s="257"/>
      <c r="C887" s="257"/>
      <c r="D887" s="257"/>
      <c r="E887" s="257"/>
      <c r="F887" s="257"/>
      <c r="G887" s="257"/>
      <c r="H887" s="257"/>
      <c r="I887" s="257"/>
      <c r="J887" s="257"/>
      <c r="K887" s="257"/>
      <c r="L887" s="257"/>
      <c r="M887" s="257"/>
      <c r="N887" s="257"/>
      <c r="O887" s="257"/>
      <c r="P887" s="257"/>
      <c r="Q887" s="257"/>
      <c r="R887" s="257"/>
      <c r="S887" s="257"/>
      <c r="T887" s="257"/>
      <c r="U887" s="257"/>
      <c r="V887" s="257"/>
      <c r="W887" s="257"/>
      <c r="X887" s="257"/>
      <c r="Y887" s="257"/>
      <c r="Z887" s="257"/>
    </row>
    <row r="888" spans="1:26" ht="21" customHeight="1">
      <c r="A888" s="257"/>
      <c r="B888" s="257"/>
      <c r="C888" s="257"/>
      <c r="D888" s="257"/>
      <c r="E888" s="257"/>
      <c r="F888" s="257"/>
      <c r="G888" s="257"/>
      <c r="H888" s="257"/>
      <c r="I888" s="257"/>
      <c r="J888" s="257"/>
      <c r="K888" s="257"/>
      <c r="L888" s="257"/>
      <c r="M888" s="257"/>
      <c r="N888" s="257"/>
      <c r="O888" s="257"/>
      <c r="P888" s="257"/>
      <c r="Q888" s="257"/>
      <c r="R888" s="257"/>
      <c r="S888" s="257"/>
      <c r="T888" s="257"/>
      <c r="U888" s="257"/>
      <c r="V888" s="257"/>
      <c r="W888" s="257"/>
      <c r="X888" s="257"/>
      <c r="Y888" s="257"/>
      <c r="Z888" s="257"/>
    </row>
    <row r="889" spans="1:26" ht="21" customHeight="1">
      <c r="A889" s="257"/>
      <c r="B889" s="257"/>
      <c r="C889" s="257"/>
      <c r="D889" s="257"/>
      <c r="E889" s="257"/>
      <c r="F889" s="257"/>
      <c r="G889" s="257"/>
      <c r="H889" s="257"/>
      <c r="I889" s="257"/>
      <c r="J889" s="257"/>
      <c r="K889" s="257"/>
      <c r="L889" s="257"/>
      <c r="M889" s="257"/>
      <c r="N889" s="257"/>
      <c r="O889" s="257"/>
      <c r="P889" s="257"/>
      <c r="Q889" s="257"/>
      <c r="R889" s="257"/>
      <c r="S889" s="257"/>
      <c r="T889" s="257"/>
      <c r="U889" s="257"/>
      <c r="V889" s="257"/>
      <c r="W889" s="257"/>
      <c r="X889" s="257"/>
      <c r="Y889" s="257"/>
      <c r="Z889" s="257"/>
    </row>
    <row r="890" spans="1:26" ht="21" customHeight="1">
      <c r="A890" s="257"/>
      <c r="B890" s="257"/>
      <c r="C890" s="257"/>
      <c r="D890" s="257"/>
      <c r="E890" s="257"/>
      <c r="F890" s="257"/>
      <c r="G890" s="257"/>
      <c r="H890" s="257"/>
      <c r="I890" s="257"/>
      <c r="J890" s="257"/>
      <c r="K890" s="257"/>
      <c r="L890" s="257"/>
      <c r="M890" s="257"/>
      <c r="N890" s="257"/>
      <c r="O890" s="257"/>
      <c r="P890" s="257"/>
      <c r="Q890" s="257"/>
      <c r="R890" s="257"/>
      <c r="S890" s="257"/>
      <c r="T890" s="257"/>
      <c r="U890" s="257"/>
      <c r="V890" s="257"/>
      <c r="W890" s="257"/>
      <c r="X890" s="257"/>
      <c r="Y890" s="257"/>
      <c r="Z890" s="257"/>
    </row>
    <row r="891" spans="1:26" ht="21" customHeight="1">
      <c r="A891" s="257"/>
      <c r="B891" s="257"/>
      <c r="C891" s="257"/>
      <c r="D891" s="257"/>
      <c r="E891" s="257"/>
      <c r="F891" s="257"/>
      <c r="G891" s="257"/>
      <c r="H891" s="257"/>
      <c r="I891" s="257"/>
      <c r="J891" s="257"/>
      <c r="K891" s="257"/>
      <c r="L891" s="257"/>
      <c r="M891" s="257"/>
      <c r="N891" s="257"/>
      <c r="O891" s="257"/>
      <c r="P891" s="257"/>
      <c r="Q891" s="257"/>
      <c r="R891" s="257"/>
      <c r="S891" s="257"/>
      <c r="T891" s="257"/>
      <c r="U891" s="257"/>
      <c r="V891" s="257"/>
      <c r="W891" s="257"/>
      <c r="X891" s="257"/>
      <c r="Y891" s="257"/>
      <c r="Z891" s="257"/>
    </row>
    <row r="892" spans="1:26" ht="21" customHeight="1">
      <c r="A892" s="257"/>
      <c r="B892" s="257"/>
      <c r="C892" s="257"/>
      <c r="D892" s="257"/>
      <c r="E892" s="257"/>
      <c r="F892" s="257"/>
      <c r="G892" s="257"/>
      <c r="H892" s="257"/>
      <c r="I892" s="257"/>
      <c r="J892" s="257"/>
      <c r="K892" s="257"/>
      <c r="L892" s="257"/>
      <c r="M892" s="257"/>
      <c r="N892" s="257"/>
      <c r="O892" s="257"/>
      <c r="P892" s="257"/>
      <c r="Q892" s="257"/>
      <c r="R892" s="257"/>
      <c r="S892" s="257"/>
      <c r="T892" s="257"/>
      <c r="U892" s="257"/>
      <c r="V892" s="257"/>
      <c r="W892" s="257"/>
      <c r="X892" s="257"/>
      <c r="Y892" s="257"/>
      <c r="Z892" s="257"/>
    </row>
    <row r="893" spans="1:26" ht="21" customHeight="1">
      <c r="A893" s="257"/>
      <c r="B893" s="257"/>
      <c r="C893" s="257"/>
      <c r="D893" s="257"/>
      <c r="E893" s="257"/>
      <c r="F893" s="257"/>
      <c r="G893" s="257"/>
      <c r="H893" s="257"/>
      <c r="I893" s="257"/>
      <c r="J893" s="257"/>
      <c r="K893" s="257"/>
      <c r="L893" s="257"/>
      <c r="M893" s="257"/>
      <c r="N893" s="257"/>
      <c r="O893" s="257"/>
      <c r="P893" s="257"/>
      <c r="Q893" s="257"/>
      <c r="R893" s="257"/>
      <c r="S893" s="257"/>
      <c r="T893" s="257"/>
      <c r="U893" s="257"/>
      <c r="V893" s="257"/>
      <c r="W893" s="257"/>
      <c r="X893" s="257"/>
      <c r="Y893" s="257"/>
      <c r="Z893" s="257"/>
    </row>
    <row r="894" spans="1:26" ht="21" customHeight="1">
      <c r="A894" s="257"/>
      <c r="B894" s="257"/>
      <c r="C894" s="257"/>
      <c r="D894" s="257"/>
      <c r="E894" s="257"/>
      <c r="F894" s="257"/>
      <c r="G894" s="257"/>
      <c r="H894" s="257"/>
      <c r="I894" s="257"/>
      <c r="J894" s="257"/>
      <c r="K894" s="257"/>
      <c r="L894" s="257"/>
      <c r="M894" s="257"/>
      <c r="N894" s="257"/>
      <c r="O894" s="257"/>
      <c r="P894" s="257"/>
      <c r="Q894" s="257"/>
      <c r="R894" s="257"/>
      <c r="S894" s="257"/>
      <c r="T894" s="257"/>
      <c r="U894" s="257"/>
      <c r="V894" s="257"/>
      <c r="W894" s="257"/>
      <c r="X894" s="257"/>
      <c r="Y894" s="257"/>
      <c r="Z894" s="257"/>
    </row>
    <row r="895" spans="1:26" ht="21" customHeight="1">
      <c r="A895" s="257"/>
      <c r="B895" s="257"/>
      <c r="C895" s="257"/>
      <c r="D895" s="257"/>
      <c r="E895" s="257"/>
      <c r="F895" s="257"/>
      <c r="G895" s="257"/>
      <c r="H895" s="257"/>
      <c r="I895" s="257"/>
      <c r="J895" s="257"/>
      <c r="K895" s="257"/>
      <c r="L895" s="257"/>
      <c r="M895" s="257"/>
      <c r="N895" s="257"/>
      <c r="O895" s="257"/>
      <c r="P895" s="257"/>
      <c r="Q895" s="257"/>
      <c r="R895" s="257"/>
      <c r="S895" s="257"/>
      <c r="T895" s="257"/>
      <c r="U895" s="257"/>
      <c r="V895" s="257"/>
      <c r="W895" s="257"/>
      <c r="X895" s="257"/>
      <c r="Y895" s="257"/>
      <c r="Z895" s="257"/>
    </row>
    <row r="896" spans="1:26" ht="21" customHeight="1">
      <c r="A896" s="257"/>
      <c r="B896" s="257"/>
      <c r="C896" s="257"/>
      <c r="D896" s="257"/>
      <c r="E896" s="257"/>
      <c r="F896" s="257"/>
      <c r="G896" s="257"/>
      <c r="H896" s="257"/>
      <c r="I896" s="257"/>
      <c r="J896" s="257"/>
      <c r="K896" s="257"/>
      <c r="L896" s="257"/>
      <c r="M896" s="257"/>
      <c r="N896" s="257"/>
      <c r="O896" s="257"/>
      <c r="P896" s="257"/>
      <c r="Q896" s="257"/>
      <c r="R896" s="257"/>
      <c r="S896" s="257"/>
      <c r="T896" s="257"/>
      <c r="U896" s="257"/>
      <c r="V896" s="257"/>
      <c r="W896" s="257"/>
      <c r="X896" s="257"/>
      <c r="Y896" s="257"/>
      <c r="Z896" s="257"/>
    </row>
    <row r="897" spans="1:26" ht="21" customHeight="1">
      <c r="A897" s="257"/>
      <c r="B897" s="257"/>
      <c r="C897" s="257"/>
      <c r="D897" s="257"/>
      <c r="E897" s="257"/>
      <c r="F897" s="257"/>
      <c r="G897" s="257"/>
      <c r="H897" s="257"/>
      <c r="I897" s="257"/>
      <c r="J897" s="257"/>
      <c r="K897" s="257"/>
      <c r="L897" s="257"/>
      <c r="M897" s="257"/>
      <c r="N897" s="257"/>
      <c r="O897" s="257"/>
      <c r="P897" s="257"/>
      <c r="Q897" s="257"/>
      <c r="R897" s="257"/>
      <c r="S897" s="257"/>
      <c r="T897" s="257"/>
      <c r="U897" s="257"/>
      <c r="V897" s="257"/>
      <c r="W897" s="257"/>
      <c r="X897" s="257"/>
      <c r="Y897" s="257"/>
      <c r="Z897" s="257"/>
    </row>
    <row r="898" spans="1:26" ht="21" customHeight="1">
      <c r="A898" s="257"/>
      <c r="B898" s="257"/>
      <c r="C898" s="257"/>
      <c r="D898" s="257"/>
      <c r="E898" s="257"/>
      <c r="F898" s="257"/>
      <c r="G898" s="257"/>
      <c r="H898" s="257"/>
      <c r="I898" s="257"/>
      <c r="J898" s="257"/>
      <c r="K898" s="257"/>
      <c r="L898" s="257"/>
      <c r="M898" s="257"/>
      <c r="N898" s="257"/>
      <c r="O898" s="257"/>
      <c r="P898" s="257"/>
      <c r="Q898" s="257"/>
      <c r="R898" s="257"/>
      <c r="S898" s="257"/>
      <c r="T898" s="257"/>
      <c r="U898" s="257"/>
      <c r="V898" s="257"/>
      <c r="W898" s="257"/>
      <c r="X898" s="257"/>
      <c r="Y898" s="257"/>
      <c r="Z898" s="257"/>
    </row>
    <row r="899" spans="1:26" ht="21" customHeight="1">
      <c r="A899" s="257"/>
      <c r="B899" s="257"/>
      <c r="C899" s="257"/>
      <c r="D899" s="257"/>
      <c r="E899" s="257"/>
      <c r="F899" s="257"/>
      <c r="G899" s="257"/>
      <c r="H899" s="257"/>
      <c r="I899" s="257"/>
      <c r="J899" s="257"/>
      <c r="K899" s="257"/>
      <c r="L899" s="257"/>
      <c r="M899" s="257"/>
      <c r="N899" s="257"/>
      <c r="O899" s="257"/>
      <c r="P899" s="257"/>
      <c r="Q899" s="257"/>
      <c r="R899" s="257"/>
      <c r="S899" s="257"/>
      <c r="T899" s="257"/>
      <c r="U899" s="257"/>
      <c r="V899" s="257"/>
      <c r="W899" s="257"/>
      <c r="X899" s="257"/>
      <c r="Y899" s="257"/>
      <c r="Z899" s="257"/>
    </row>
    <row r="900" spans="1:26" ht="21" customHeight="1">
      <c r="A900" s="257"/>
      <c r="B900" s="257"/>
      <c r="C900" s="257"/>
      <c r="D900" s="257"/>
      <c r="E900" s="257"/>
      <c r="F900" s="257"/>
      <c r="G900" s="257"/>
      <c r="H900" s="257"/>
      <c r="I900" s="257"/>
      <c r="J900" s="257"/>
      <c r="K900" s="257"/>
      <c r="L900" s="257"/>
      <c r="M900" s="257"/>
      <c r="N900" s="257"/>
      <c r="O900" s="257"/>
      <c r="P900" s="257"/>
      <c r="Q900" s="257"/>
      <c r="R900" s="257"/>
      <c r="S900" s="257"/>
      <c r="T900" s="257"/>
      <c r="U900" s="257"/>
      <c r="V900" s="257"/>
      <c r="W900" s="257"/>
      <c r="X900" s="257"/>
      <c r="Y900" s="257"/>
      <c r="Z900" s="257"/>
    </row>
    <row r="901" spans="1:26" ht="21" customHeight="1">
      <c r="A901" s="257"/>
      <c r="B901" s="257"/>
      <c r="C901" s="257"/>
      <c r="D901" s="257"/>
      <c r="E901" s="257"/>
      <c r="F901" s="257"/>
      <c r="G901" s="257"/>
      <c r="H901" s="257"/>
      <c r="I901" s="257"/>
      <c r="J901" s="257"/>
      <c r="K901" s="257"/>
      <c r="L901" s="257"/>
      <c r="M901" s="257"/>
      <c r="N901" s="257"/>
      <c r="O901" s="257"/>
      <c r="P901" s="257"/>
      <c r="Q901" s="257"/>
      <c r="R901" s="257"/>
      <c r="S901" s="257"/>
      <c r="T901" s="257"/>
      <c r="U901" s="257"/>
      <c r="V901" s="257"/>
      <c r="W901" s="257"/>
      <c r="X901" s="257"/>
      <c r="Y901" s="257"/>
      <c r="Z901" s="257"/>
    </row>
    <row r="902" spans="1:26" ht="21" customHeight="1">
      <c r="A902" s="257"/>
      <c r="B902" s="257"/>
      <c r="C902" s="257"/>
      <c r="D902" s="257"/>
      <c r="E902" s="257"/>
      <c r="F902" s="257"/>
      <c r="G902" s="257"/>
      <c r="H902" s="257"/>
      <c r="I902" s="257"/>
      <c r="J902" s="257"/>
      <c r="K902" s="257"/>
      <c r="L902" s="257"/>
      <c r="M902" s="257"/>
      <c r="N902" s="257"/>
      <c r="O902" s="257"/>
      <c r="P902" s="257"/>
      <c r="Q902" s="257"/>
      <c r="R902" s="257"/>
      <c r="S902" s="257"/>
      <c r="T902" s="257"/>
      <c r="U902" s="257"/>
      <c r="V902" s="257"/>
      <c r="W902" s="257"/>
      <c r="X902" s="257"/>
      <c r="Y902" s="257"/>
      <c r="Z902" s="257"/>
    </row>
    <row r="903" spans="1:26" ht="21" customHeight="1">
      <c r="A903" s="257"/>
      <c r="B903" s="257"/>
      <c r="C903" s="257"/>
      <c r="D903" s="257"/>
      <c r="E903" s="257"/>
      <c r="F903" s="257"/>
      <c r="G903" s="257"/>
      <c r="H903" s="257"/>
      <c r="I903" s="257"/>
      <c r="J903" s="257"/>
      <c r="K903" s="257"/>
      <c r="L903" s="257"/>
      <c r="M903" s="257"/>
      <c r="N903" s="257"/>
      <c r="O903" s="257"/>
      <c r="P903" s="257"/>
      <c r="Q903" s="257"/>
      <c r="R903" s="257"/>
      <c r="S903" s="257"/>
      <c r="T903" s="257"/>
      <c r="U903" s="257"/>
      <c r="V903" s="257"/>
      <c r="W903" s="257"/>
      <c r="X903" s="257"/>
      <c r="Y903" s="257"/>
      <c r="Z903" s="257"/>
    </row>
    <row r="904" spans="1:26" ht="21" customHeight="1">
      <c r="A904" s="257"/>
      <c r="B904" s="257"/>
      <c r="C904" s="257"/>
      <c r="D904" s="257"/>
      <c r="E904" s="257"/>
      <c r="F904" s="257"/>
      <c r="G904" s="257"/>
      <c r="H904" s="257"/>
      <c r="I904" s="257"/>
      <c r="J904" s="257"/>
      <c r="K904" s="257"/>
      <c r="L904" s="257"/>
      <c r="M904" s="257"/>
      <c r="N904" s="257"/>
      <c r="O904" s="257"/>
      <c r="P904" s="257"/>
      <c r="Q904" s="257"/>
      <c r="R904" s="257"/>
      <c r="S904" s="257"/>
      <c r="T904" s="257"/>
      <c r="U904" s="257"/>
      <c r="V904" s="257"/>
      <c r="W904" s="257"/>
      <c r="X904" s="257"/>
      <c r="Y904" s="257"/>
      <c r="Z904" s="257"/>
    </row>
    <row r="905" spans="1:26" ht="21" customHeight="1">
      <c r="A905" s="257"/>
      <c r="B905" s="257"/>
      <c r="C905" s="257"/>
      <c r="D905" s="257"/>
      <c r="E905" s="257"/>
      <c r="F905" s="257"/>
      <c r="G905" s="257"/>
      <c r="H905" s="257"/>
      <c r="I905" s="257"/>
      <c r="J905" s="257"/>
      <c r="K905" s="257"/>
      <c r="L905" s="257"/>
      <c r="M905" s="257"/>
      <c r="N905" s="257"/>
      <c r="O905" s="257"/>
      <c r="P905" s="257"/>
      <c r="Q905" s="257"/>
      <c r="R905" s="257"/>
      <c r="S905" s="257"/>
      <c r="T905" s="257"/>
      <c r="U905" s="257"/>
      <c r="V905" s="257"/>
      <c r="W905" s="257"/>
      <c r="X905" s="257"/>
      <c r="Y905" s="257"/>
      <c r="Z905" s="257"/>
    </row>
    <row r="906" spans="1:26" ht="21" customHeight="1">
      <c r="A906" s="257"/>
      <c r="B906" s="257"/>
      <c r="C906" s="257"/>
      <c r="D906" s="257"/>
      <c r="E906" s="257"/>
      <c r="F906" s="257"/>
      <c r="G906" s="257"/>
      <c r="H906" s="257"/>
      <c r="I906" s="257"/>
      <c r="J906" s="257"/>
      <c r="K906" s="257"/>
      <c r="L906" s="257"/>
      <c r="M906" s="257"/>
      <c r="N906" s="257"/>
      <c r="O906" s="257"/>
      <c r="P906" s="257"/>
      <c r="Q906" s="257"/>
      <c r="R906" s="257"/>
      <c r="S906" s="257"/>
      <c r="T906" s="257"/>
      <c r="U906" s="257"/>
      <c r="V906" s="257"/>
      <c r="W906" s="257"/>
      <c r="X906" s="257"/>
      <c r="Y906" s="257"/>
      <c r="Z906" s="257"/>
    </row>
    <row r="907" spans="1:26" ht="21" customHeight="1">
      <c r="A907" s="257"/>
      <c r="B907" s="257"/>
      <c r="C907" s="257"/>
      <c r="D907" s="257"/>
      <c r="E907" s="257"/>
      <c r="F907" s="257"/>
      <c r="G907" s="257"/>
      <c r="H907" s="257"/>
      <c r="I907" s="257"/>
      <c r="J907" s="257"/>
      <c r="K907" s="257"/>
      <c r="L907" s="257"/>
      <c r="M907" s="257"/>
      <c r="N907" s="257"/>
      <c r="O907" s="257"/>
      <c r="P907" s="257"/>
      <c r="Q907" s="257"/>
      <c r="R907" s="257"/>
      <c r="S907" s="257"/>
      <c r="T907" s="257"/>
      <c r="U907" s="257"/>
      <c r="V907" s="257"/>
      <c r="W907" s="257"/>
      <c r="X907" s="257"/>
      <c r="Y907" s="257"/>
      <c r="Z907" s="257"/>
    </row>
    <row r="908" spans="1:26" ht="21" customHeight="1">
      <c r="A908" s="257"/>
      <c r="B908" s="257"/>
      <c r="C908" s="257"/>
      <c r="D908" s="257"/>
      <c r="E908" s="257"/>
      <c r="F908" s="257"/>
      <c r="G908" s="257"/>
      <c r="H908" s="257"/>
      <c r="I908" s="257"/>
      <c r="J908" s="257"/>
      <c r="K908" s="257"/>
      <c r="L908" s="257"/>
      <c r="M908" s="257"/>
      <c r="N908" s="257"/>
      <c r="O908" s="257"/>
      <c r="P908" s="257"/>
      <c r="Q908" s="257"/>
      <c r="R908" s="257"/>
      <c r="S908" s="257"/>
      <c r="T908" s="257"/>
      <c r="U908" s="257"/>
      <c r="V908" s="257"/>
      <c r="W908" s="257"/>
      <c r="X908" s="257"/>
      <c r="Y908" s="257"/>
      <c r="Z908" s="257"/>
    </row>
    <row r="909" spans="1:26" ht="21" customHeight="1">
      <c r="A909" s="257"/>
      <c r="B909" s="257"/>
      <c r="C909" s="257"/>
      <c r="D909" s="257"/>
      <c r="E909" s="257"/>
      <c r="F909" s="257"/>
      <c r="G909" s="257"/>
      <c r="H909" s="257"/>
      <c r="I909" s="257"/>
      <c r="J909" s="257"/>
      <c r="K909" s="257"/>
      <c r="L909" s="257"/>
      <c r="M909" s="257"/>
      <c r="N909" s="257"/>
      <c r="O909" s="257"/>
      <c r="P909" s="257"/>
      <c r="Q909" s="257"/>
      <c r="R909" s="257"/>
      <c r="S909" s="257"/>
      <c r="T909" s="257"/>
      <c r="U909" s="257"/>
      <c r="V909" s="257"/>
      <c r="W909" s="257"/>
      <c r="X909" s="257"/>
      <c r="Y909" s="257"/>
      <c r="Z909" s="257"/>
    </row>
    <row r="910" spans="1:26" ht="21" customHeight="1">
      <c r="A910" s="257"/>
      <c r="B910" s="257"/>
      <c r="C910" s="257"/>
      <c r="D910" s="257"/>
      <c r="E910" s="257"/>
      <c r="F910" s="257"/>
      <c r="G910" s="257"/>
      <c r="H910" s="257"/>
      <c r="I910" s="257"/>
      <c r="J910" s="257"/>
      <c r="K910" s="257"/>
      <c r="L910" s="257"/>
      <c r="M910" s="257"/>
      <c r="N910" s="257"/>
      <c r="O910" s="257"/>
      <c r="P910" s="257"/>
      <c r="Q910" s="257"/>
      <c r="R910" s="257"/>
      <c r="S910" s="257"/>
      <c r="T910" s="257"/>
      <c r="U910" s="257"/>
      <c r="V910" s="257"/>
      <c r="W910" s="257"/>
      <c r="X910" s="257"/>
      <c r="Y910" s="257"/>
      <c r="Z910" s="257"/>
    </row>
    <row r="911" spans="1:26" ht="21" customHeight="1">
      <c r="A911" s="257"/>
      <c r="B911" s="257"/>
      <c r="C911" s="257"/>
      <c r="D911" s="257"/>
      <c r="E911" s="257"/>
      <c r="F911" s="257"/>
      <c r="G911" s="257"/>
      <c r="H911" s="257"/>
      <c r="I911" s="257"/>
      <c r="J911" s="257"/>
      <c r="K911" s="257"/>
      <c r="L911" s="257"/>
      <c r="M911" s="257"/>
      <c r="N911" s="257"/>
      <c r="O911" s="257"/>
      <c r="P911" s="257"/>
      <c r="Q911" s="257"/>
      <c r="R911" s="257"/>
      <c r="S911" s="257"/>
      <c r="T911" s="257"/>
      <c r="U911" s="257"/>
      <c r="V911" s="257"/>
      <c r="W911" s="257"/>
      <c r="X911" s="257"/>
      <c r="Y911" s="257"/>
      <c r="Z911" s="257"/>
    </row>
    <row r="912" spans="1:26" ht="21" customHeight="1">
      <c r="A912" s="257"/>
      <c r="B912" s="257"/>
      <c r="C912" s="257"/>
      <c r="D912" s="257"/>
      <c r="E912" s="257"/>
      <c r="F912" s="257"/>
      <c r="G912" s="257"/>
      <c r="H912" s="257"/>
      <c r="I912" s="257"/>
      <c r="J912" s="257"/>
      <c r="K912" s="257"/>
      <c r="L912" s="257"/>
      <c r="M912" s="257"/>
      <c r="N912" s="257"/>
      <c r="O912" s="257"/>
      <c r="P912" s="257"/>
      <c r="Q912" s="257"/>
      <c r="R912" s="257"/>
      <c r="S912" s="257"/>
      <c r="T912" s="257"/>
      <c r="U912" s="257"/>
      <c r="V912" s="257"/>
      <c r="W912" s="257"/>
      <c r="X912" s="257"/>
      <c r="Y912" s="257"/>
      <c r="Z912" s="257"/>
    </row>
    <row r="913" spans="1:26" ht="21" customHeight="1">
      <c r="A913" s="257"/>
      <c r="B913" s="257"/>
      <c r="C913" s="257"/>
      <c r="D913" s="257"/>
      <c r="E913" s="257"/>
      <c r="F913" s="257"/>
      <c r="G913" s="257"/>
      <c r="H913" s="257"/>
      <c r="I913" s="257"/>
      <c r="J913" s="257"/>
      <c r="K913" s="257"/>
      <c r="L913" s="257"/>
      <c r="M913" s="257"/>
      <c r="N913" s="257"/>
      <c r="O913" s="257"/>
      <c r="P913" s="257"/>
      <c r="Q913" s="257"/>
      <c r="R913" s="257"/>
      <c r="S913" s="257"/>
      <c r="T913" s="257"/>
      <c r="U913" s="257"/>
      <c r="V913" s="257"/>
      <c r="W913" s="257"/>
      <c r="X913" s="257"/>
      <c r="Y913" s="257"/>
      <c r="Z913" s="257"/>
    </row>
    <row r="914" spans="1:26" ht="21" customHeight="1">
      <c r="A914" s="257"/>
      <c r="B914" s="257"/>
      <c r="C914" s="257"/>
      <c r="D914" s="257"/>
      <c r="E914" s="257"/>
      <c r="F914" s="257"/>
      <c r="G914" s="257"/>
      <c r="H914" s="257"/>
      <c r="I914" s="257"/>
      <c r="J914" s="257"/>
      <c r="K914" s="257"/>
      <c r="L914" s="257"/>
      <c r="M914" s="257"/>
      <c r="N914" s="257"/>
      <c r="O914" s="257"/>
      <c r="P914" s="257"/>
      <c r="Q914" s="257"/>
      <c r="R914" s="257"/>
      <c r="S914" s="257"/>
      <c r="T914" s="257"/>
      <c r="U914" s="257"/>
      <c r="V914" s="257"/>
      <c r="W914" s="257"/>
      <c r="X914" s="257"/>
      <c r="Y914" s="257"/>
      <c r="Z914" s="257"/>
    </row>
    <row r="915" spans="1:26" ht="21" customHeight="1">
      <c r="A915" s="257"/>
      <c r="B915" s="257"/>
      <c r="C915" s="257"/>
      <c r="D915" s="257"/>
      <c r="E915" s="257"/>
      <c r="F915" s="257"/>
      <c r="G915" s="257"/>
      <c r="H915" s="257"/>
      <c r="I915" s="257"/>
      <c r="J915" s="257"/>
      <c r="K915" s="257"/>
      <c r="L915" s="257"/>
      <c r="M915" s="257"/>
      <c r="N915" s="257"/>
      <c r="O915" s="257"/>
      <c r="P915" s="257"/>
      <c r="Q915" s="257"/>
      <c r="R915" s="257"/>
      <c r="S915" s="257"/>
      <c r="T915" s="257"/>
      <c r="U915" s="257"/>
      <c r="V915" s="257"/>
      <c r="W915" s="257"/>
      <c r="X915" s="257"/>
      <c r="Y915" s="257"/>
      <c r="Z915" s="257"/>
    </row>
    <row r="916" spans="1:26" ht="21" customHeight="1">
      <c r="A916" s="257"/>
      <c r="B916" s="257"/>
      <c r="C916" s="257"/>
      <c r="D916" s="257"/>
      <c r="E916" s="257"/>
      <c r="F916" s="257"/>
      <c r="G916" s="257"/>
      <c r="H916" s="257"/>
      <c r="I916" s="257"/>
      <c r="J916" s="257"/>
      <c r="K916" s="257"/>
      <c r="L916" s="257"/>
      <c r="M916" s="257"/>
      <c r="N916" s="257"/>
      <c r="O916" s="257"/>
      <c r="P916" s="257"/>
      <c r="Q916" s="257"/>
      <c r="R916" s="257"/>
      <c r="S916" s="257"/>
      <c r="T916" s="257"/>
      <c r="U916" s="257"/>
      <c r="V916" s="257"/>
      <c r="W916" s="257"/>
      <c r="X916" s="257"/>
      <c r="Y916" s="257"/>
      <c r="Z916" s="257"/>
    </row>
    <row r="917" spans="1:26" ht="21" customHeight="1">
      <c r="A917" s="257"/>
      <c r="B917" s="257"/>
      <c r="C917" s="257"/>
      <c r="D917" s="257"/>
      <c r="E917" s="257"/>
      <c r="F917" s="257"/>
      <c r="G917" s="257"/>
      <c r="H917" s="257"/>
      <c r="I917" s="257"/>
      <c r="J917" s="257"/>
      <c r="K917" s="257"/>
      <c r="L917" s="257"/>
      <c r="M917" s="257"/>
      <c r="N917" s="257"/>
      <c r="O917" s="257"/>
      <c r="P917" s="257"/>
      <c r="Q917" s="257"/>
      <c r="R917" s="257"/>
      <c r="S917" s="257"/>
      <c r="T917" s="257"/>
      <c r="U917" s="257"/>
      <c r="V917" s="257"/>
      <c r="W917" s="257"/>
      <c r="X917" s="257"/>
      <c r="Y917" s="257"/>
      <c r="Z917" s="257"/>
    </row>
    <row r="918" spans="1:26" ht="21" customHeight="1">
      <c r="A918" s="257"/>
      <c r="B918" s="257"/>
      <c r="C918" s="257"/>
      <c r="D918" s="257"/>
      <c r="E918" s="257"/>
      <c r="F918" s="257"/>
      <c r="G918" s="257"/>
      <c r="H918" s="257"/>
      <c r="I918" s="257"/>
      <c r="J918" s="257"/>
      <c r="K918" s="257"/>
      <c r="L918" s="257"/>
      <c r="M918" s="257"/>
      <c r="N918" s="257"/>
      <c r="O918" s="257"/>
      <c r="P918" s="257"/>
      <c r="Q918" s="257"/>
      <c r="R918" s="257"/>
      <c r="S918" s="257"/>
      <c r="T918" s="257"/>
      <c r="U918" s="257"/>
      <c r="V918" s="257"/>
      <c r="W918" s="257"/>
      <c r="X918" s="257"/>
      <c r="Y918" s="257"/>
      <c r="Z918" s="257"/>
    </row>
    <row r="919" spans="1:26" ht="21" customHeight="1">
      <c r="A919" s="257"/>
      <c r="B919" s="257"/>
      <c r="C919" s="257"/>
      <c r="D919" s="257"/>
      <c r="E919" s="257"/>
      <c r="F919" s="257"/>
      <c r="G919" s="257"/>
      <c r="H919" s="257"/>
      <c r="I919" s="257"/>
      <c r="J919" s="257"/>
      <c r="K919" s="257"/>
      <c r="L919" s="257"/>
      <c r="M919" s="257"/>
      <c r="N919" s="257"/>
      <c r="O919" s="257"/>
      <c r="P919" s="257"/>
      <c r="Q919" s="257"/>
      <c r="R919" s="257"/>
      <c r="S919" s="257"/>
      <c r="T919" s="257"/>
      <c r="U919" s="257"/>
      <c r="V919" s="257"/>
      <c r="W919" s="257"/>
      <c r="X919" s="257"/>
      <c r="Y919" s="257"/>
      <c r="Z919" s="257"/>
    </row>
    <row r="920" spans="1:26" ht="21" customHeight="1">
      <c r="A920" s="257"/>
      <c r="B920" s="257"/>
      <c r="C920" s="257"/>
      <c r="D920" s="257"/>
      <c r="E920" s="257"/>
      <c r="F920" s="257"/>
      <c r="G920" s="257"/>
      <c r="H920" s="257"/>
      <c r="I920" s="257"/>
      <c r="J920" s="257"/>
      <c r="K920" s="257"/>
      <c r="L920" s="257"/>
      <c r="M920" s="257"/>
      <c r="N920" s="257"/>
      <c r="O920" s="257"/>
      <c r="P920" s="257"/>
      <c r="Q920" s="257"/>
      <c r="R920" s="257"/>
      <c r="S920" s="257"/>
      <c r="T920" s="257"/>
      <c r="U920" s="257"/>
      <c r="V920" s="257"/>
      <c r="W920" s="257"/>
      <c r="X920" s="257"/>
      <c r="Y920" s="257"/>
      <c r="Z920" s="257"/>
    </row>
    <row r="921" spans="1:26" ht="21" customHeight="1">
      <c r="A921" s="257"/>
      <c r="B921" s="257"/>
      <c r="C921" s="257"/>
      <c r="D921" s="257"/>
      <c r="E921" s="257"/>
      <c r="F921" s="257"/>
      <c r="G921" s="257"/>
      <c r="H921" s="257"/>
      <c r="I921" s="257"/>
      <c r="J921" s="257"/>
      <c r="K921" s="257"/>
      <c r="L921" s="257"/>
      <c r="M921" s="257"/>
      <c r="N921" s="257"/>
      <c r="O921" s="257"/>
      <c r="P921" s="257"/>
      <c r="Q921" s="257"/>
      <c r="R921" s="257"/>
      <c r="S921" s="257"/>
      <c r="T921" s="257"/>
      <c r="U921" s="257"/>
      <c r="V921" s="257"/>
      <c r="W921" s="257"/>
      <c r="X921" s="257"/>
      <c r="Y921" s="257"/>
      <c r="Z921" s="257"/>
    </row>
    <row r="922" spans="1:26" ht="21" customHeight="1">
      <c r="A922" s="257"/>
      <c r="B922" s="257"/>
      <c r="C922" s="257"/>
      <c r="D922" s="257"/>
      <c r="E922" s="257"/>
      <c r="F922" s="257"/>
      <c r="G922" s="257"/>
      <c r="H922" s="257"/>
      <c r="I922" s="257"/>
      <c r="J922" s="257"/>
      <c r="K922" s="257"/>
      <c r="L922" s="257"/>
      <c r="M922" s="257"/>
      <c r="N922" s="257"/>
      <c r="O922" s="257"/>
      <c r="P922" s="257"/>
      <c r="Q922" s="257"/>
      <c r="R922" s="257"/>
      <c r="S922" s="257"/>
      <c r="T922" s="257"/>
      <c r="U922" s="257"/>
      <c r="V922" s="257"/>
      <c r="W922" s="257"/>
      <c r="X922" s="257"/>
      <c r="Y922" s="257"/>
      <c r="Z922" s="257"/>
    </row>
    <row r="923" spans="1:26" ht="21" customHeight="1">
      <c r="A923" s="257"/>
      <c r="B923" s="257"/>
      <c r="C923" s="257"/>
      <c r="D923" s="257"/>
      <c r="E923" s="257"/>
      <c r="F923" s="257"/>
      <c r="G923" s="257"/>
      <c r="H923" s="257"/>
      <c r="I923" s="257"/>
      <c r="J923" s="257"/>
      <c r="K923" s="257"/>
      <c r="L923" s="257"/>
      <c r="M923" s="257"/>
      <c r="N923" s="257"/>
      <c r="O923" s="257"/>
      <c r="P923" s="257"/>
      <c r="Q923" s="257"/>
      <c r="R923" s="257"/>
      <c r="S923" s="257"/>
      <c r="T923" s="257"/>
      <c r="U923" s="257"/>
      <c r="V923" s="257"/>
      <c r="W923" s="257"/>
      <c r="X923" s="257"/>
      <c r="Y923" s="257"/>
      <c r="Z923" s="257"/>
    </row>
    <row r="924" spans="1:26" ht="21" customHeight="1">
      <c r="A924" s="257"/>
      <c r="B924" s="257"/>
      <c r="C924" s="257"/>
      <c r="D924" s="257"/>
      <c r="E924" s="257"/>
      <c r="F924" s="257"/>
      <c r="G924" s="257"/>
      <c r="H924" s="257"/>
      <c r="I924" s="257"/>
      <c r="J924" s="257"/>
      <c r="K924" s="257"/>
      <c r="L924" s="257"/>
      <c r="M924" s="257"/>
      <c r="N924" s="257"/>
      <c r="O924" s="257"/>
      <c r="P924" s="257"/>
      <c r="Q924" s="257"/>
      <c r="R924" s="257"/>
      <c r="S924" s="257"/>
      <c r="T924" s="257"/>
      <c r="U924" s="257"/>
      <c r="V924" s="257"/>
      <c r="W924" s="257"/>
      <c r="X924" s="257"/>
      <c r="Y924" s="257"/>
      <c r="Z924" s="257"/>
    </row>
    <row r="925" spans="1:26" ht="21" customHeight="1">
      <c r="A925" s="257"/>
      <c r="B925" s="257"/>
      <c r="C925" s="257"/>
      <c r="D925" s="257"/>
      <c r="E925" s="257"/>
      <c r="F925" s="257"/>
      <c r="G925" s="257"/>
      <c r="H925" s="257"/>
      <c r="I925" s="257"/>
      <c r="J925" s="257"/>
      <c r="K925" s="257"/>
      <c r="L925" s="257"/>
      <c r="M925" s="257"/>
      <c r="N925" s="257"/>
      <c r="O925" s="257"/>
      <c r="P925" s="257"/>
      <c r="Q925" s="257"/>
      <c r="R925" s="257"/>
      <c r="S925" s="257"/>
      <c r="T925" s="257"/>
      <c r="U925" s="257"/>
      <c r="V925" s="257"/>
      <c r="W925" s="257"/>
      <c r="X925" s="257"/>
      <c r="Y925" s="257"/>
      <c r="Z925" s="257"/>
    </row>
    <row r="926" spans="1:26" ht="21" customHeight="1">
      <c r="A926" s="257"/>
      <c r="B926" s="257"/>
      <c r="C926" s="257"/>
      <c r="D926" s="257"/>
      <c r="E926" s="257"/>
      <c r="F926" s="257"/>
      <c r="G926" s="257"/>
      <c r="H926" s="257"/>
      <c r="I926" s="257"/>
      <c r="J926" s="257"/>
      <c r="K926" s="257"/>
      <c r="L926" s="257"/>
      <c r="M926" s="257"/>
      <c r="N926" s="257"/>
      <c r="O926" s="257"/>
      <c r="P926" s="257"/>
      <c r="Q926" s="257"/>
      <c r="R926" s="257"/>
      <c r="S926" s="257"/>
      <c r="T926" s="257"/>
      <c r="U926" s="257"/>
      <c r="V926" s="257"/>
      <c r="W926" s="257"/>
      <c r="X926" s="257"/>
      <c r="Y926" s="257"/>
      <c r="Z926" s="257"/>
    </row>
    <row r="927" spans="1:26" ht="21" customHeight="1">
      <c r="A927" s="257"/>
      <c r="B927" s="257"/>
      <c r="C927" s="257"/>
      <c r="D927" s="257"/>
      <c r="E927" s="257"/>
      <c r="F927" s="257"/>
      <c r="G927" s="257"/>
      <c r="H927" s="257"/>
      <c r="I927" s="257"/>
      <c r="J927" s="257"/>
      <c r="K927" s="257"/>
      <c r="L927" s="257"/>
      <c r="M927" s="257"/>
      <c r="N927" s="257"/>
      <c r="O927" s="257"/>
      <c r="P927" s="257"/>
      <c r="Q927" s="257"/>
      <c r="R927" s="257"/>
      <c r="S927" s="257"/>
      <c r="T927" s="257"/>
      <c r="U927" s="257"/>
      <c r="V927" s="257"/>
      <c r="W927" s="257"/>
      <c r="X927" s="257"/>
      <c r="Y927" s="257"/>
      <c r="Z927" s="257"/>
    </row>
    <row r="928" spans="1:26" ht="21" customHeight="1">
      <c r="A928" s="257"/>
      <c r="B928" s="257"/>
      <c r="C928" s="257"/>
      <c r="D928" s="257"/>
      <c r="E928" s="257"/>
      <c r="F928" s="257"/>
      <c r="G928" s="257"/>
      <c r="H928" s="257"/>
      <c r="I928" s="257"/>
      <c r="J928" s="257"/>
      <c r="K928" s="257"/>
      <c r="L928" s="257"/>
      <c r="M928" s="257"/>
      <c r="N928" s="257"/>
      <c r="O928" s="257"/>
      <c r="P928" s="257"/>
      <c r="Q928" s="257"/>
      <c r="R928" s="257"/>
      <c r="S928" s="257"/>
      <c r="T928" s="257"/>
      <c r="U928" s="257"/>
      <c r="V928" s="257"/>
      <c r="W928" s="257"/>
      <c r="X928" s="257"/>
      <c r="Y928" s="257"/>
      <c r="Z928" s="257"/>
    </row>
    <row r="929" spans="1:26" ht="21" customHeight="1">
      <c r="A929" s="257"/>
      <c r="B929" s="257"/>
      <c r="C929" s="257"/>
      <c r="D929" s="257"/>
      <c r="E929" s="257"/>
      <c r="F929" s="257"/>
      <c r="G929" s="257"/>
      <c r="H929" s="257"/>
      <c r="I929" s="257"/>
      <c r="J929" s="257"/>
      <c r="K929" s="257"/>
      <c r="L929" s="257"/>
      <c r="M929" s="257"/>
      <c r="N929" s="257"/>
      <c r="O929" s="257"/>
      <c r="P929" s="257"/>
      <c r="Q929" s="257"/>
      <c r="R929" s="257"/>
      <c r="S929" s="257"/>
      <c r="T929" s="257"/>
      <c r="U929" s="257"/>
      <c r="V929" s="257"/>
      <c r="W929" s="257"/>
      <c r="X929" s="257"/>
      <c r="Y929" s="257"/>
      <c r="Z929" s="257"/>
    </row>
    <row r="930" spans="1:26" ht="21" customHeight="1">
      <c r="A930" s="257"/>
      <c r="B930" s="257"/>
      <c r="C930" s="257"/>
      <c r="D930" s="257"/>
      <c r="E930" s="257"/>
      <c r="F930" s="257"/>
      <c r="G930" s="257"/>
      <c r="H930" s="257"/>
      <c r="I930" s="257"/>
      <c r="J930" s="257"/>
      <c r="K930" s="257"/>
      <c r="L930" s="257"/>
      <c r="M930" s="257"/>
      <c r="N930" s="257"/>
      <c r="O930" s="257"/>
      <c r="P930" s="257"/>
      <c r="Q930" s="257"/>
      <c r="R930" s="257"/>
      <c r="S930" s="257"/>
      <c r="T930" s="257"/>
      <c r="U930" s="257"/>
      <c r="V930" s="257"/>
      <c r="W930" s="257"/>
      <c r="X930" s="257"/>
      <c r="Y930" s="257"/>
      <c r="Z930" s="257"/>
    </row>
    <row r="931" spans="1:26" ht="21" customHeight="1">
      <c r="A931" s="257"/>
      <c r="B931" s="257"/>
      <c r="C931" s="257"/>
      <c r="D931" s="257"/>
      <c r="E931" s="257"/>
      <c r="F931" s="257"/>
      <c r="G931" s="257"/>
      <c r="H931" s="257"/>
      <c r="I931" s="257"/>
      <c r="J931" s="257"/>
      <c r="K931" s="257"/>
      <c r="L931" s="257"/>
      <c r="M931" s="257"/>
      <c r="N931" s="257"/>
      <c r="O931" s="257"/>
      <c r="P931" s="257"/>
      <c r="Q931" s="257"/>
      <c r="R931" s="257"/>
      <c r="S931" s="257"/>
      <c r="T931" s="257"/>
      <c r="U931" s="257"/>
      <c r="V931" s="257"/>
      <c r="W931" s="257"/>
      <c r="X931" s="257"/>
      <c r="Y931" s="257"/>
      <c r="Z931" s="257"/>
    </row>
    <row r="932" spans="1:26" ht="21" customHeight="1">
      <c r="A932" s="257"/>
      <c r="B932" s="257"/>
      <c r="C932" s="257"/>
      <c r="D932" s="257"/>
      <c r="E932" s="257"/>
      <c r="F932" s="257"/>
      <c r="G932" s="257"/>
      <c r="H932" s="257"/>
      <c r="I932" s="257"/>
      <c r="J932" s="257"/>
      <c r="K932" s="257"/>
      <c r="L932" s="257"/>
      <c r="M932" s="257"/>
      <c r="N932" s="257"/>
      <c r="O932" s="257"/>
      <c r="P932" s="257"/>
      <c r="Q932" s="257"/>
      <c r="R932" s="257"/>
      <c r="S932" s="257"/>
      <c r="T932" s="257"/>
      <c r="U932" s="257"/>
      <c r="V932" s="257"/>
      <c r="W932" s="257"/>
      <c r="X932" s="257"/>
      <c r="Y932" s="257"/>
      <c r="Z932" s="257"/>
    </row>
    <row r="933" spans="1:26" ht="21" customHeight="1">
      <c r="A933" s="257"/>
      <c r="B933" s="257"/>
      <c r="C933" s="257"/>
      <c r="D933" s="257"/>
      <c r="E933" s="257"/>
      <c r="F933" s="257"/>
      <c r="G933" s="257"/>
      <c r="H933" s="257"/>
      <c r="I933" s="257"/>
      <c r="J933" s="257"/>
      <c r="K933" s="257"/>
      <c r="L933" s="257"/>
      <c r="M933" s="257"/>
      <c r="N933" s="257"/>
      <c r="O933" s="257"/>
      <c r="P933" s="257"/>
      <c r="Q933" s="257"/>
      <c r="R933" s="257"/>
      <c r="S933" s="257"/>
      <c r="T933" s="257"/>
      <c r="U933" s="257"/>
      <c r="V933" s="257"/>
      <c r="W933" s="257"/>
      <c r="X933" s="257"/>
      <c r="Y933" s="257"/>
      <c r="Z933" s="257"/>
    </row>
    <row r="934" spans="1:26" ht="21" customHeight="1">
      <c r="A934" s="257"/>
      <c r="B934" s="257"/>
      <c r="C934" s="257"/>
      <c r="D934" s="257"/>
      <c r="E934" s="257"/>
      <c r="F934" s="257"/>
      <c r="G934" s="257"/>
      <c r="H934" s="257"/>
      <c r="I934" s="257"/>
      <c r="J934" s="257"/>
      <c r="K934" s="257"/>
      <c r="L934" s="257"/>
      <c r="M934" s="257"/>
      <c r="N934" s="257"/>
      <c r="O934" s="257"/>
      <c r="P934" s="257"/>
      <c r="Q934" s="257"/>
      <c r="R934" s="257"/>
      <c r="S934" s="257"/>
      <c r="T934" s="257"/>
      <c r="U934" s="257"/>
      <c r="V934" s="257"/>
      <c r="W934" s="257"/>
      <c r="X934" s="257"/>
      <c r="Y934" s="257"/>
      <c r="Z934" s="257"/>
    </row>
    <row r="935" spans="1:26" ht="21" customHeight="1">
      <c r="A935" s="257"/>
      <c r="B935" s="257"/>
      <c r="C935" s="257"/>
      <c r="D935" s="257"/>
      <c r="E935" s="257"/>
      <c r="F935" s="257"/>
      <c r="G935" s="257"/>
      <c r="H935" s="257"/>
      <c r="I935" s="257"/>
      <c r="J935" s="257"/>
      <c r="K935" s="257"/>
      <c r="L935" s="257"/>
      <c r="M935" s="257"/>
      <c r="N935" s="257"/>
      <c r="O935" s="257"/>
      <c r="P935" s="257"/>
      <c r="Q935" s="257"/>
      <c r="R935" s="257"/>
      <c r="S935" s="257"/>
      <c r="T935" s="257"/>
      <c r="U935" s="257"/>
      <c r="V935" s="257"/>
      <c r="W935" s="257"/>
      <c r="X935" s="257"/>
      <c r="Y935" s="257"/>
      <c r="Z935" s="257"/>
    </row>
    <row r="936" spans="1:26" ht="21" customHeight="1">
      <c r="A936" s="257"/>
      <c r="B936" s="257"/>
      <c r="C936" s="257"/>
      <c r="D936" s="257"/>
      <c r="E936" s="257"/>
      <c r="F936" s="257"/>
      <c r="G936" s="257"/>
      <c r="H936" s="257"/>
      <c r="I936" s="257"/>
      <c r="J936" s="257"/>
      <c r="K936" s="257"/>
      <c r="L936" s="257"/>
      <c r="M936" s="257"/>
      <c r="N936" s="257"/>
      <c r="O936" s="257"/>
      <c r="P936" s="257"/>
      <c r="Q936" s="257"/>
      <c r="R936" s="257"/>
      <c r="S936" s="257"/>
      <c r="T936" s="257"/>
      <c r="U936" s="257"/>
      <c r="V936" s="257"/>
      <c r="W936" s="257"/>
      <c r="X936" s="257"/>
      <c r="Y936" s="257"/>
      <c r="Z936" s="257"/>
    </row>
    <row r="937" spans="1:26" ht="21" customHeight="1">
      <c r="A937" s="257"/>
      <c r="B937" s="257"/>
      <c r="C937" s="257"/>
      <c r="D937" s="257"/>
      <c r="E937" s="257"/>
      <c r="F937" s="257"/>
      <c r="G937" s="257"/>
      <c r="H937" s="257"/>
      <c r="I937" s="257"/>
      <c r="J937" s="257"/>
      <c r="K937" s="257"/>
      <c r="L937" s="257"/>
      <c r="M937" s="257"/>
      <c r="N937" s="257"/>
      <c r="O937" s="257"/>
      <c r="P937" s="257"/>
      <c r="Q937" s="257"/>
      <c r="R937" s="257"/>
      <c r="S937" s="257"/>
      <c r="T937" s="257"/>
      <c r="U937" s="257"/>
      <c r="V937" s="257"/>
      <c r="W937" s="257"/>
      <c r="X937" s="257"/>
      <c r="Y937" s="257"/>
      <c r="Z937" s="257"/>
    </row>
    <row r="938" spans="1:26" ht="21" customHeight="1">
      <c r="A938" s="257"/>
      <c r="B938" s="257"/>
      <c r="C938" s="257"/>
      <c r="D938" s="257"/>
      <c r="E938" s="257"/>
      <c r="F938" s="257"/>
      <c r="G938" s="257"/>
      <c r="H938" s="257"/>
      <c r="I938" s="257"/>
      <c r="J938" s="257"/>
      <c r="K938" s="257"/>
      <c r="L938" s="257"/>
      <c r="M938" s="257"/>
      <c r="N938" s="257"/>
      <c r="O938" s="257"/>
      <c r="P938" s="257"/>
      <c r="Q938" s="257"/>
      <c r="R938" s="257"/>
      <c r="S938" s="257"/>
      <c r="T938" s="257"/>
      <c r="U938" s="257"/>
      <c r="V938" s="257"/>
      <c r="W938" s="257"/>
      <c r="X938" s="257"/>
      <c r="Y938" s="257"/>
      <c r="Z938" s="257"/>
    </row>
    <row r="939" spans="1:26" ht="21" customHeight="1">
      <c r="A939" s="257"/>
      <c r="B939" s="257"/>
      <c r="C939" s="257"/>
      <c r="D939" s="257"/>
      <c r="E939" s="257"/>
      <c r="F939" s="257"/>
      <c r="G939" s="257"/>
      <c r="H939" s="257"/>
      <c r="I939" s="257"/>
      <c r="J939" s="257"/>
      <c r="K939" s="257"/>
      <c r="L939" s="257"/>
      <c r="M939" s="257"/>
      <c r="N939" s="257"/>
      <c r="O939" s="257"/>
      <c r="P939" s="257"/>
      <c r="Q939" s="257"/>
      <c r="R939" s="257"/>
      <c r="S939" s="257"/>
      <c r="T939" s="257"/>
      <c r="U939" s="257"/>
      <c r="V939" s="257"/>
      <c r="W939" s="257"/>
      <c r="X939" s="257"/>
      <c r="Y939" s="257"/>
      <c r="Z939" s="257"/>
    </row>
    <row r="940" spans="1:26" ht="21" customHeight="1">
      <c r="A940" s="257"/>
      <c r="B940" s="257"/>
      <c r="C940" s="257"/>
      <c r="D940" s="257"/>
      <c r="E940" s="257"/>
      <c r="F940" s="257"/>
      <c r="G940" s="257"/>
      <c r="H940" s="257"/>
      <c r="I940" s="257"/>
      <c r="J940" s="257"/>
      <c r="K940" s="257"/>
      <c r="L940" s="257"/>
      <c r="M940" s="257"/>
      <c r="N940" s="257"/>
      <c r="O940" s="257"/>
      <c r="P940" s="257"/>
      <c r="Q940" s="257"/>
      <c r="R940" s="257"/>
      <c r="S940" s="257"/>
      <c r="T940" s="257"/>
      <c r="U940" s="257"/>
      <c r="V940" s="257"/>
      <c r="W940" s="257"/>
      <c r="X940" s="257"/>
      <c r="Y940" s="257"/>
      <c r="Z940" s="257"/>
    </row>
    <row r="941" spans="1:26" ht="21" customHeight="1">
      <c r="A941" s="257"/>
      <c r="B941" s="257"/>
      <c r="C941" s="257"/>
      <c r="D941" s="257"/>
      <c r="E941" s="257"/>
      <c r="F941" s="257"/>
      <c r="G941" s="257"/>
      <c r="H941" s="257"/>
      <c r="I941" s="257"/>
      <c r="J941" s="257"/>
      <c r="K941" s="257"/>
      <c r="L941" s="257"/>
      <c r="M941" s="257"/>
      <c r="N941" s="257"/>
      <c r="O941" s="257"/>
      <c r="P941" s="257"/>
      <c r="Q941" s="257"/>
      <c r="R941" s="257"/>
      <c r="S941" s="257"/>
      <c r="T941" s="257"/>
      <c r="U941" s="257"/>
      <c r="V941" s="257"/>
      <c r="W941" s="257"/>
      <c r="X941" s="257"/>
      <c r="Y941" s="257"/>
      <c r="Z941" s="257"/>
    </row>
    <row r="942" spans="1:26" ht="21" customHeight="1">
      <c r="A942" s="257"/>
      <c r="B942" s="257"/>
      <c r="C942" s="257"/>
      <c r="D942" s="257"/>
      <c r="E942" s="257"/>
      <c r="F942" s="257"/>
      <c r="G942" s="257"/>
      <c r="H942" s="257"/>
      <c r="I942" s="257"/>
      <c r="J942" s="257"/>
      <c r="K942" s="257"/>
      <c r="L942" s="257"/>
      <c r="M942" s="257"/>
      <c r="N942" s="257"/>
      <c r="O942" s="257"/>
      <c r="P942" s="257"/>
      <c r="Q942" s="257"/>
      <c r="R942" s="257"/>
      <c r="S942" s="257"/>
      <c r="T942" s="257"/>
      <c r="U942" s="257"/>
      <c r="V942" s="257"/>
      <c r="W942" s="257"/>
      <c r="X942" s="257"/>
      <c r="Y942" s="257"/>
      <c r="Z942" s="257"/>
    </row>
    <row r="943" spans="1:26" ht="21" customHeight="1">
      <c r="A943" s="257"/>
      <c r="B943" s="257"/>
      <c r="C943" s="257"/>
      <c r="D943" s="257"/>
      <c r="E943" s="257"/>
      <c r="F943" s="257"/>
      <c r="G943" s="257"/>
      <c r="H943" s="257"/>
      <c r="I943" s="257"/>
      <c r="J943" s="257"/>
      <c r="K943" s="257"/>
      <c r="L943" s="257"/>
      <c r="M943" s="257"/>
      <c r="N943" s="257"/>
      <c r="O943" s="257"/>
      <c r="P943" s="257"/>
      <c r="Q943" s="257"/>
      <c r="R943" s="257"/>
      <c r="S943" s="257"/>
      <c r="T943" s="257"/>
      <c r="U943" s="257"/>
      <c r="V943" s="257"/>
      <c r="W943" s="257"/>
      <c r="X943" s="257"/>
      <c r="Y943" s="257"/>
      <c r="Z943" s="257"/>
    </row>
    <row r="944" spans="1:26" ht="21" customHeight="1">
      <c r="A944" s="257"/>
      <c r="B944" s="257"/>
      <c r="C944" s="257"/>
      <c r="D944" s="257"/>
      <c r="E944" s="257"/>
      <c r="F944" s="257"/>
      <c r="G944" s="257"/>
      <c r="H944" s="257"/>
      <c r="I944" s="257"/>
      <c r="J944" s="257"/>
      <c r="K944" s="257"/>
      <c r="L944" s="257"/>
      <c r="M944" s="257"/>
      <c r="N944" s="257"/>
      <c r="O944" s="257"/>
      <c r="P944" s="257"/>
      <c r="Q944" s="257"/>
      <c r="R944" s="257"/>
      <c r="S944" s="257"/>
      <c r="T944" s="257"/>
      <c r="U944" s="257"/>
      <c r="V944" s="257"/>
      <c r="W944" s="257"/>
      <c r="X944" s="257"/>
      <c r="Y944" s="257"/>
      <c r="Z944" s="257"/>
    </row>
    <row r="945" spans="1:26" ht="21" customHeight="1">
      <c r="A945" s="257"/>
      <c r="B945" s="257"/>
      <c r="C945" s="257"/>
      <c r="D945" s="257"/>
      <c r="E945" s="257"/>
      <c r="F945" s="257"/>
      <c r="G945" s="257"/>
      <c r="H945" s="257"/>
      <c r="I945" s="257"/>
      <c r="J945" s="257"/>
      <c r="K945" s="257"/>
      <c r="L945" s="257"/>
      <c r="M945" s="257"/>
      <c r="N945" s="257"/>
      <c r="O945" s="257"/>
      <c r="P945" s="257"/>
      <c r="Q945" s="257"/>
      <c r="R945" s="257"/>
      <c r="S945" s="257"/>
      <c r="T945" s="257"/>
      <c r="U945" s="257"/>
      <c r="V945" s="257"/>
      <c r="W945" s="257"/>
      <c r="X945" s="257"/>
      <c r="Y945" s="257"/>
      <c r="Z945" s="257"/>
    </row>
    <row r="946" spans="1:26" ht="21" customHeight="1">
      <c r="A946" s="257"/>
      <c r="B946" s="257"/>
      <c r="C946" s="257"/>
      <c r="D946" s="257"/>
      <c r="E946" s="257"/>
      <c r="F946" s="257"/>
      <c r="G946" s="257"/>
      <c r="H946" s="257"/>
      <c r="I946" s="257"/>
      <c r="J946" s="257"/>
      <c r="K946" s="257"/>
      <c r="L946" s="257"/>
      <c r="M946" s="257"/>
      <c r="N946" s="257"/>
      <c r="O946" s="257"/>
      <c r="P946" s="257"/>
      <c r="Q946" s="257"/>
      <c r="R946" s="257"/>
      <c r="S946" s="257"/>
      <c r="T946" s="257"/>
      <c r="U946" s="257"/>
      <c r="V946" s="257"/>
      <c r="W946" s="257"/>
      <c r="X946" s="257"/>
      <c r="Y946" s="257"/>
      <c r="Z946" s="257"/>
    </row>
    <row r="947" spans="1:26" ht="21" customHeight="1">
      <c r="A947" s="257"/>
      <c r="B947" s="257"/>
      <c r="C947" s="257"/>
      <c r="D947" s="257"/>
      <c r="E947" s="257"/>
      <c r="F947" s="257"/>
      <c r="G947" s="257"/>
      <c r="H947" s="257"/>
      <c r="I947" s="257"/>
      <c r="J947" s="257"/>
      <c r="K947" s="257"/>
      <c r="L947" s="257"/>
      <c r="M947" s="257"/>
      <c r="N947" s="257"/>
      <c r="O947" s="257"/>
      <c r="P947" s="257"/>
      <c r="Q947" s="257"/>
      <c r="R947" s="257"/>
      <c r="S947" s="257"/>
      <c r="T947" s="257"/>
      <c r="U947" s="257"/>
      <c r="V947" s="257"/>
      <c r="W947" s="257"/>
      <c r="X947" s="257"/>
      <c r="Y947" s="257"/>
      <c r="Z947" s="257"/>
    </row>
    <row r="948" spans="1:26" ht="21" customHeight="1">
      <c r="A948" s="257"/>
      <c r="B948" s="257"/>
      <c r="C948" s="257"/>
      <c r="D948" s="257"/>
      <c r="E948" s="257"/>
      <c r="F948" s="257"/>
      <c r="G948" s="257"/>
      <c r="H948" s="257"/>
      <c r="I948" s="257"/>
      <c r="J948" s="257"/>
      <c r="K948" s="257"/>
      <c r="L948" s="257"/>
      <c r="M948" s="257"/>
      <c r="N948" s="257"/>
      <c r="O948" s="257"/>
      <c r="P948" s="257"/>
      <c r="Q948" s="257"/>
      <c r="R948" s="257"/>
      <c r="S948" s="257"/>
      <c r="T948" s="257"/>
      <c r="U948" s="257"/>
      <c r="V948" s="257"/>
      <c r="W948" s="257"/>
      <c r="X948" s="257"/>
      <c r="Y948" s="257"/>
      <c r="Z948" s="257"/>
    </row>
    <row r="949" spans="1:26" ht="21" customHeight="1">
      <c r="A949" s="257"/>
      <c r="B949" s="257"/>
      <c r="C949" s="257"/>
      <c r="D949" s="257"/>
      <c r="E949" s="257"/>
      <c r="F949" s="257"/>
      <c r="G949" s="257"/>
      <c r="H949" s="257"/>
      <c r="I949" s="257"/>
      <c r="J949" s="257"/>
      <c r="K949" s="257"/>
      <c r="L949" s="257"/>
      <c r="M949" s="257"/>
      <c r="N949" s="257"/>
      <c r="O949" s="257"/>
      <c r="P949" s="257"/>
      <c r="Q949" s="257"/>
      <c r="R949" s="257"/>
      <c r="S949" s="257"/>
      <c r="T949" s="257"/>
      <c r="U949" s="257"/>
      <c r="V949" s="257"/>
      <c r="W949" s="257"/>
      <c r="X949" s="257"/>
      <c r="Y949" s="257"/>
      <c r="Z949" s="257"/>
    </row>
    <row r="950" spans="1:26" ht="21" customHeight="1">
      <c r="A950" s="257"/>
      <c r="B950" s="257"/>
      <c r="C950" s="257"/>
      <c r="D950" s="257"/>
      <c r="E950" s="257"/>
      <c r="F950" s="257"/>
      <c r="G950" s="257"/>
      <c r="H950" s="257"/>
      <c r="I950" s="257"/>
      <c r="J950" s="257"/>
      <c r="K950" s="257"/>
      <c r="L950" s="257"/>
      <c r="M950" s="257"/>
      <c r="N950" s="257"/>
      <c r="O950" s="257"/>
      <c r="P950" s="257"/>
      <c r="Q950" s="257"/>
      <c r="R950" s="257"/>
      <c r="S950" s="257"/>
      <c r="T950" s="257"/>
      <c r="U950" s="257"/>
      <c r="V950" s="257"/>
      <c r="W950" s="257"/>
      <c r="X950" s="257"/>
      <c r="Y950" s="257"/>
      <c r="Z950" s="257"/>
    </row>
    <row r="951" spans="1:26" ht="21" customHeight="1">
      <c r="A951" s="257"/>
      <c r="B951" s="257"/>
      <c r="C951" s="257"/>
      <c r="D951" s="257"/>
      <c r="E951" s="257"/>
      <c r="F951" s="257"/>
      <c r="G951" s="257"/>
      <c r="H951" s="257"/>
      <c r="I951" s="257"/>
      <c r="J951" s="257"/>
      <c r="K951" s="257"/>
      <c r="L951" s="257"/>
      <c r="M951" s="257"/>
      <c r="N951" s="257"/>
      <c r="O951" s="257"/>
      <c r="P951" s="257"/>
      <c r="Q951" s="257"/>
      <c r="R951" s="257"/>
      <c r="S951" s="257"/>
      <c r="T951" s="257"/>
      <c r="U951" s="257"/>
      <c r="V951" s="257"/>
      <c r="W951" s="257"/>
      <c r="X951" s="257"/>
      <c r="Y951" s="257"/>
      <c r="Z951" s="257"/>
    </row>
    <row r="952" spans="1:26" ht="21" customHeight="1">
      <c r="A952" s="257"/>
      <c r="B952" s="257"/>
      <c r="C952" s="257"/>
      <c r="D952" s="257"/>
      <c r="E952" s="257"/>
      <c r="F952" s="257"/>
      <c r="G952" s="257"/>
      <c r="H952" s="257"/>
      <c r="I952" s="257"/>
      <c r="J952" s="257"/>
      <c r="K952" s="257"/>
      <c r="L952" s="257"/>
      <c r="M952" s="257"/>
      <c r="N952" s="257"/>
      <c r="O952" s="257"/>
      <c r="P952" s="257"/>
      <c r="Q952" s="257"/>
      <c r="R952" s="257"/>
      <c r="S952" s="257"/>
      <c r="T952" s="257"/>
      <c r="U952" s="257"/>
      <c r="V952" s="257"/>
      <c r="W952" s="257"/>
      <c r="X952" s="257"/>
      <c r="Y952" s="257"/>
      <c r="Z952" s="257"/>
    </row>
    <row r="953" spans="1:26" ht="21" customHeight="1">
      <c r="A953" s="257"/>
      <c r="B953" s="257"/>
      <c r="C953" s="257"/>
      <c r="D953" s="257"/>
      <c r="E953" s="257"/>
      <c r="F953" s="257"/>
      <c r="G953" s="257"/>
      <c r="H953" s="257"/>
      <c r="I953" s="257"/>
      <c r="J953" s="257"/>
      <c r="K953" s="257"/>
      <c r="L953" s="257"/>
      <c r="M953" s="257"/>
      <c r="N953" s="257"/>
      <c r="O953" s="257"/>
      <c r="P953" s="257"/>
      <c r="Q953" s="257"/>
      <c r="R953" s="257"/>
      <c r="S953" s="257"/>
      <c r="T953" s="257"/>
      <c r="U953" s="257"/>
      <c r="V953" s="257"/>
      <c r="W953" s="257"/>
      <c r="X953" s="257"/>
      <c r="Y953" s="257"/>
      <c r="Z953" s="257"/>
    </row>
    <row r="954" spans="1:26" ht="21" customHeight="1">
      <c r="A954" s="257"/>
      <c r="B954" s="257"/>
      <c r="C954" s="257"/>
      <c r="D954" s="257"/>
      <c r="E954" s="257"/>
      <c r="F954" s="257"/>
      <c r="G954" s="257"/>
      <c r="H954" s="257"/>
      <c r="I954" s="257"/>
      <c r="J954" s="257"/>
      <c r="K954" s="257"/>
      <c r="L954" s="257"/>
      <c r="M954" s="257"/>
      <c r="N954" s="257"/>
      <c r="O954" s="257"/>
      <c r="P954" s="257"/>
      <c r="Q954" s="257"/>
      <c r="R954" s="257"/>
      <c r="S954" s="257"/>
      <c r="T954" s="257"/>
      <c r="U954" s="257"/>
      <c r="V954" s="257"/>
      <c r="W954" s="257"/>
      <c r="X954" s="257"/>
      <c r="Y954" s="257"/>
      <c r="Z954" s="257"/>
    </row>
    <row r="955" spans="1:26" ht="21" customHeight="1">
      <c r="A955" s="257"/>
      <c r="B955" s="257"/>
      <c r="C955" s="257"/>
      <c r="D955" s="257"/>
      <c r="E955" s="257"/>
      <c r="F955" s="257"/>
      <c r="G955" s="257"/>
      <c r="H955" s="257"/>
      <c r="I955" s="257"/>
      <c r="J955" s="257"/>
      <c r="K955" s="257"/>
      <c r="L955" s="257"/>
      <c r="M955" s="257"/>
      <c r="N955" s="257"/>
      <c r="O955" s="257"/>
      <c r="P955" s="257"/>
      <c r="Q955" s="257"/>
      <c r="R955" s="257"/>
      <c r="S955" s="257"/>
      <c r="T955" s="257"/>
      <c r="U955" s="257"/>
      <c r="V955" s="257"/>
      <c r="W955" s="257"/>
      <c r="X955" s="257"/>
      <c r="Y955" s="257"/>
      <c r="Z955" s="257"/>
    </row>
    <row r="956" spans="1:26" ht="21" customHeight="1">
      <c r="A956" s="257"/>
      <c r="B956" s="257"/>
      <c r="C956" s="257"/>
      <c r="D956" s="257"/>
      <c r="E956" s="257"/>
      <c r="F956" s="257"/>
      <c r="G956" s="257"/>
      <c r="H956" s="257"/>
      <c r="I956" s="257"/>
      <c r="J956" s="257"/>
      <c r="K956" s="257"/>
      <c r="L956" s="257"/>
      <c r="M956" s="257"/>
      <c r="N956" s="257"/>
      <c r="O956" s="257"/>
      <c r="P956" s="257"/>
      <c r="Q956" s="257"/>
      <c r="R956" s="257"/>
      <c r="S956" s="257"/>
      <c r="T956" s="257"/>
      <c r="U956" s="257"/>
      <c r="V956" s="257"/>
      <c r="W956" s="257"/>
      <c r="X956" s="257"/>
      <c r="Y956" s="257"/>
      <c r="Z956" s="257"/>
    </row>
    <row r="957" spans="1:26" ht="21" customHeight="1">
      <c r="A957" s="257"/>
      <c r="B957" s="257"/>
      <c r="C957" s="257"/>
      <c r="D957" s="257"/>
      <c r="E957" s="257"/>
      <c r="F957" s="257"/>
      <c r="G957" s="257"/>
      <c r="H957" s="257"/>
      <c r="I957" s="257"/>
      <c r="J957" s="257"/>
      <c r="K957" s="257"/>
      <c r="L957" s="257"/>
      <c r="M957" s="257"/>
      <c r="N957" s="257"/>
      <c r="O957" s="257"/>
      <c r="P957" s="257"/>
      <c r="Q957" s="257"/>
      <c r="R957" s="257"/>
      <c r="S957" s="257"/>
      <c r="T957" s="257"/>
      <c r="U957" s="257"/>
      <c r="V957" s="257"/>
      <c r="W957" s="257"/>
      <c r="X957" s="257"/>
      <c r="Y957" s="257"/>
      <c r="Z957" s="257"/>
    </row>
    <row r="958" spans="1:26" ht="21" customHeight="1">
      <c r="A958" s="257"/>
      <c r="B958" s="257"/>
      <c r="C958" s="257"/>
      <c r="D958" s="257"/>
      <c r="E958" s="257"/>
      <c r="F958" s="257"/>
      <c r="G958" s="257"/>
      <c r="H958" s="257"/>
      <c r="I958" s="257"/>
      <c r="J958" s="257"/>
      <c r="K958" s="257"/>
      <c r="L958" s="257"/>
      <c r="M958" s="257"/>
      <c r="N958" s="257"/>
      <c r="O958" s="257"/>
      <c r="P958" s="257"/>
      <c r="Q958" s="257"/>
      <c r="R958" s="257"/>
      <c r="S958" s="257"/>
      <c r="T958" s="257"/>
      <c r="U958" s="257"/>
      <c r="V958" s="257"/>
      <c r="W958" s="257"/>
      <c r="X958" s="257"/>
      <c r="Y958" s="257"/>
      <c r="Z958" s="257"/>
    </row>
    <row r="959" spans="1:26" ht="21" customHeight="1">
      <c r="A959" s="257"/>
      <c r="B959" s="257"/>
      <c r="C959" s="257"/>
      <c r="D959" s="257"/>
      <c r="E959" s="257"/>
      <c r="F959" s="257"/>
      <c r="G959" s="257"/>
      <c r="H959" s="257"/>
      <c r="I959" s="257"/>
      <c r="J959" s="257"/>
      <c r="K959" s="257"/>
      <c r="L959" s="257"/>
      <c r="M959" s="257"/>
      <c r="N959" s="257"/>
      <c r="O959" s="257"/>
      <c r="P959" s="257"/>
      <c r="Q959" s="257"/>
      <c r="R959" s="257"/>
      <c r="S959" s="257"/>
      <c r="T959" s="257"/>
      <c r="U959" s="257"/>
      <c r="V959" s="257"/>
      <c r="W959" s="257"/>
      <c r="X959" s="257"/>
      <c r="Y959" s="257"/>
      <c r="Z959" s="257"/>
    </row>
    <row r="960" spans="1:26" ht="21" customHeight="1">
      <c r="A960" s="257"/>
      <c r="B960" s="257"/>
      <c r="C960" s="257"/>
      <c r="D960" s="257"/>
      <c r="E960" s="257"/>
      <c r="F960" s="257"/>
      <c r="G960" s="257"/>
      <c r="H960" s="257"/>
      <c r="I960" s="257"/>
      <c r="J960" s="257"/>
      <c r="K960" s="257"/>
      <c r="L960" s="257"/>
      <c r="M960" s="257"/>
      <c r="N960" s="257"/>
      <c r="O960" s="257"/>
      <c r="P960" s="257"/>
      <c r="Q960" s="257"/>
      <c r="R960" s="257"/>
      <c r="S960" s="257"/>
      <c r="T960" s="257"/>
      <c r="U960" s="257"/>
      <c r="V960" s="257"/>
      <c r="W960" s="257"/>
      <c r="X960" s="257"/>
      <c r="Y960" s="257"/>
      <c r="Z960" s="257"/>
    </row>
    <row r="961" spans="1:26" ht="21" customHeight="1">
      <c r="A961" s="257"/>
      <c r="B961" s="257"/>
      <c r="C961" s="257"/>
      <c r="D961" s="257"/>
      <c r="E961" s="257"/>
      <c r="F961" s="257"/>
      <c r="G961" s="257"/>
      <c r="H961" s="257"/>
      <c r="I961" s="257"/>
      <c r="J961" s="257"/>
      <c r="K961" s="257"/>
      <c r="L961" s="257"/>
      <c r="M961" s="257"/>
      <c r="N961" s="257"/>
      <c r="O961" s="257"/>
      <c r="P961" s="257"/>
      <c r="Q961" s="257"/>
      <c r="R961" s="257"/>
      <c r="S961" s="257"/>
      <c r="T961" s="257"/>
      <c r="U961" s="257"/>
      <c r="V961" s="257"/>
      <c r="W961" s="257"/>
      <c r="X961" s="257"/>
      <c r="Y961" s="257"/>
      <c r="Z961" s="257"/>
    </row>
    <row r="962" spans="1:26" ht="21" customHeight="1">
      <c r="A962" s="257"/>
      <c r="B962" s="257"/>
      <c r="C962" s="257"/>
      <c r="D962" s="257"/>
      <c r="E962" s="257"/>
      <c r="F962" s="257"/>
      <c r="G962" s="257"/>
      <c r="H962" s="257"/>
      <c r="I962" s="257"/>
      <c r="J962" s="257"/>
      <c r="K962" s="257"/>
      <c r="L962" s="257"/>
      <c r="M962" s="257"/>
      <c r="N962" s="257"/>
      <c r="O962" s="257"/>
      <c r="P962" s="257"/>
      <c r="Q962" s="257"/>
      <c r="R962" s="257"/>
      <c r="S962" s="257"/>
      <c r="T962" s="257"/>
      <c r="U962" s="257"/>
      <c r="V962" s="257"/>
      <c r="W962" s="257"/>
      <c r="X962" s="257"/>
      <c r="Y962" s="257"/>
      <c r="Z962" s="257"/>
    </row>
    <row r="963" spans="1:26" ht="21" customHeight="1">
      <c r="A963" s="257"/>
      <c r="B963" s="257"/>
      <c r="C963" s="257"/>
      <c r="D963" s="257"/>
      <c r="E963" s="257"/>
      <c r="F963" s="257"/>
      <c r="G963" s="257"/>
      <c r="H963" s="257"/>
      <c r="I963" s="257"/>
      <c r="J963" s="257"/>
      <c r="K963" s="257"/>
      <c r="L963" s="257"/>
      <c r="M963" s="257"/>
      <c r="N963" s="257"/>
      <c r="O963" s="257"/>
      <c r="P963" s="257"/>
      <c r="Q963" s="257"/>
      <c r="R963" s="257"/>
      <c r="S963" s="257"/>
      <c r="T963" s="257"/>
      <c r="U963" s="257"/>
      <c r="V963" s="257"/>
      <c r="W963" s="257"/>
      <c r="X963" s="257"/>
      <c r="Y963" s="257"/>
      <c r="Z963" s="257"/>
    </row>
    <row r="964" spans="1:26" ht="21" customHeight="1">
      <c r="A964" s="257"/>
      <c r="B964" s="257"/>
      <c r="C964" s="257"/>
      <c r="D964" s="257"/>
      <c r="E964" s="257"/>
      <c r="F964" s="257"/>
      <c r="G964" s="257"/>
      <c r="H964" s="257"/>
      <c r="I964" s="257"/>
      <c r="J964" s="257"/>
      <c r="K964" s="257"/>
      <c r="L964" s="257"/>
      <c r="M964" s="257"/>
      <c r="N964" s="257"/>
      <c r="O964" s="257"/>
      <c r="P964" s="257"/>
      <c r="Q964" s="257"/>
      <c r="R964" s="257"/>
      <c r="S964" s="257"/>
      <c r="T964" s="257"/>
      <c r="U964" s="257"/>
      <c r="V964" s="257"/>
      <c r="W964" s="257"/>
      <c r="X964" s="257"/>
      <c r="Y964" s="257"/>
      <c r="Z964" s="257"/>
    </row>
    <row r="965" spans="1:26" ht="21" customHeight="1">
      <c r="A965" s="257"/>
      <c r="B965" s="257"/>
      <c r="C965" s="257"/>
      <c r="D965" s="257"/>
      <c r="E965" s="257"/>
      <c r="F965" s="257"/>
      <c r="G965" s="257"/>
      <c r="H965" s="257"/>
      <c r="I965" s="257"/>
      <c r="J965" s="257"/>
      <c r="K965" s="257"/>
      <c r="L965" s="257"/>
      <c r="M965" s="257"/>
      <c r="N965" s="257"/>
      <c r="O965" s="257"/>
      <c r="P965" s="257"/>
      <c r="Q965" s="257"/>
      <c r="R965" s="257"/>
      <c r="S965" s="257"/>
      <c r="T965" s="257"/>
      <c r="U965" s="257"/>
      <c r="V965" s="257"/>
      <c r="W965" s="257"/>
      <c r="X965" s="257"/>
      <c r="Y965" s="257"/>
      <c r="Z965" s="257"/>
    </row>
    <row r="966" spans="1:26" ht="21" customHeight="1">
      <c r="A966" s="257"/>
      <c r="B966" s="257"/>
      <c r="C966" s="257"/>
      <c r="D966" s="257"/>
      <c r="E966" s="257"/>
      <c r="F966" s="257"/>
      <c r="G966" s="257"/>
      <c r="H966" s="257"/>
      <c r="I966" s="257"/>
      <c r="J966" s="257"/>
      <c r="K966" s="257"/>
      <c r="L966" s="257"/>
      <c r="M966" s="257"/>
      <c r="N966" s="257"/>
      <c r="O966" s="257"/>
      <c r="P966" s="257"/>
      <c r="Q966" s="257"/>
      <c r="R966" s="257"/>
      <c r="S966" s="257"/>
      <c r="T966" s="257"/>
      <c r="U966" s="257"/>
      <c r="V966" s="257"/>
      <c r="W966" s="257"/>
      <c r="X966" s="257"/>
      <c r="Y966" s="257"/>
      <c r="Z966" s="257"/>
    </row>
    <row r="967" spans="1:26" ht="21" customHeight="1">
      <c r="A967" s="257"/>
      <c r="B967" s="257"/>
      <c r="C967" s="257"/>
      <c r="D967" s="257"/>
      <c r="E967" s="257"/>
      <c r="F967" s="257"/>
      <c r="G967" s="257"/>
      <c r="H967" s="257"/>
      <c r="I967" s="257"/>
      <c r="J967" s="257"/>
      <c r="K967" s="257"/>
      <c r="L967" s="257"/>
      <c r="M967" s="257"/>
      <c r="N967" s="257"/>
      <c r="O967" s="257"/>
      <c r="P967" s="257"/>
      <c r="Q967" s="257"/>
      <c r="R967" s="257"/>
      <c r="S967" s="257"/>
      <c r="T967" s="257"/>
      <c r="U967" s="257"/>
      <c r="V967" s="257"/>
      <c r="W967" s="257"/>
      <c r="X967" s="257"/>
      <c r="Y967" s="257"/>
      <c r="Z967" s="257"/>
    </row>
    <row r="968" spans="1:26" ht="21" customHeight="1">
      <c r="A968" s="257"/>
      <c r="B968" s="257"/>
      <c r="C968" s="257"/>
      <c r="D968" s="257"/>
      <c r="E968" s="257"/>
      <c r="F968" s="257"/>
      <c r="G968" s="257"/>
      <c r="H968" s="257"/>
      <c r="I968" s="257"/>
      <c r="J968" s="257"/>
      <c r="K968" s="257"/>
      <c r="L968" s="257"/>
      <c r="M968" s="257"/>
      <c r="N968" s="257"/>
      <c r="O968" s="257"/>
      <c r="P968" s="257"/>
      <c r="Q968" s="257"/>
      <c r="R968" s="257"/>
      <c r="S968" s="257"/>
      <c r="T968" s="257"/>
      <c r="U968" s="257"/>
      <c r="V968" s="257"/>
      <c r="W968" s="257"/>
      <c r="X968" s="257"/>
      <c r="Y968" s="257"/>
      <c r="Z968" s="257"/>
    </row>
    <row r="969" spans="1:26" ht="21" customHeight="1">
      <c r="A969" s="257"/>
      <c r="B969" s="257"/>
      <c r="C969" s="257"/>
      <c r="D969" s="257"/>
      <c r="E969" s="257"/>
      <c r="F969" s="257"/>
      <c r="G969" s="257"/>
      <c r="H969" s="257"/>
      <c r="I969" s="257"/>
      <c r="J969" s="257"/>
      <c r="K969" s="257"/>
      <c r="L969" s="257"/>
      <c r="M969" s="257"/>
      <c r="N969" s="257"/>
      <c r="O969" s="257"/>
      <c r="P969" s="257"/>
      <c r="Q969" s="257"/>
      <c r="R969" s="257"/>
      <c r="S969" s="257"/>
      <c r="T969" s="257"/>
      <c r="U969" s="257"/>
      <c r="V969" s="257"/>
      <c r="W969" s="257"/>
      <c r="X969" s="257"/>
      <c r="Y969" s="257"/>
      <c r="Z969" s="257"/>
    </row>
    <row r="970" spans="1:26" ht="21" customHeight="1">
      <c r="A970" s="257"/>
      <c r="B970" s="257"/>
      <c r="C970" s="257"/>
      <c r="D970" s="257"/>
      <c r="E970" s="257"/>
      <c r="F970" s="257"/>
      <c r="G970" s="257"/>
      <c r="H970" s="257"/>
      <c r="I970" s="257"/>
      <c r="J970" s="257"/>
      <c r="K970" s="257"/>
      <c r="L970" s="257"/>
      <c r="M970" s="257"/>
      <c r="N970" s="257"/>
      <c r="O970" s="257"/>
      <c r="P970" s="257"/>
      <c r="Q970" s="257"/>
      <c r="R970" s="257"/>
      <c r="S970" s="257"/>
      <c r="T970" s="257"/>
      <c r="U970" s="257"/>
      <c r="V970" s="257"/>
      <c r="W970" s="257"/>
      <c r="X970" s="257"/>
      <c r="Y970" s="257"/>
      <c r="Z970" s="257"/>
    </row>
    <row r="971" spans="1:26" ht="21" customHeight="1">
      <c r="A971" s="257"/>
      <c r="B971" s="257"/>
      <c r="C971" s="257"/>
      <c r="D971" s="257"/>
      <c r="E971" s="257"/>
      <c r="F971" s="257"/>
      <c r="G971" s="257"/>
      <c r="H971" s="257"/>
      <c r="I971" s="257"/>
      <c r="J971" s="257"/>
      <c r="K971" s="257"/>
      <c r="L971" s="257"/>
      <c r="M971" s="257"/>
      <c r="N971" s="257"/>
      <c r="O971" s="257"/>
      <c r="P971" s="257"/>
      <c r="Q971" s="257"/>
      <c r="R971" s="257"/>
      <c r="S971" s="257"/>
      <c r="T971" s="257"/>
      <c r="U971" s="257"/>
      <c r="V971" s="257"/>
      <c r="W971" s="257"/>
      <c r="X971" s="257"/>
      <c r="Y971" s="257"/>
      <c r="Z971" s="257"/>
    </row>
    <row r="972" spans="1:26" ht="21" customHeight="1">
      <c r="A972" s="257"/>
      <c r="B972" s="257"/>
      <c r="C972" s="257"/>
      <c r="D972" s="257"/>
      <c r="E972" s="257"/>
      <c r="F972" s="257"/>
      <c r="G972" s="257"/>
      <c r="H972" s="257"/>
      <c r="I972" s="257"/>
      <c r="J972" s="257"/>
      <c r="K972" s="257"/>
      <c r="L972" s="257"/>
      <c r="M972" s="257"/>
      <c r="N972" s="257"/>
      <c r="O972" s="257"/>
      <c r="P972" s="257"/>
      <c r="Q972" s="257"/>
      <c r="R972" s="257"/>
      <c r="S972" s="257"/>
      <c r="T972" s="257"/>
      <c r="U972" s="257"/>
      <c r="V972" s="257"/>
      <c r="W972" s="257"/>
      <c r="X972" s="257"/>
      <c r="Y972" s="257"/>
      <c r="Z972" s="257"/>
    </row>
    <row r="973" spans="1:26" ht="21" customHeight="1">
      <c r="A973" s="257"/>
      <c r="B973" s="257"/>
      <c r="C973" s="257"/>
      <c r="D973" s="257"/>
      <c r="E973" s="257"/>
      <c r="F973" s="257"/>
      <c r="G973" s="257"/>
      <c r="H973" s="257"/>
      <c r="I973" s="257"/>
      <c r="J973" s="257"/>
      <c r="K973" s="257"/>
      <c r="L973" s="257"/>
      <c r="M973" s="257"/>
      <c r="N973" s="257"/>
      <c r="O973" s="257"/>
      <c r="P973" s="257"/>
      <c r="Q973" s="257"/>
      <c r="R973" s="257"/>
      <c r="S973" s="257"/>
      <c r="T973" s="257"/>
      <c r="U973" s="257"/>
      <c r="V973" s="257"/>
      <c r="W973" s="257"/>
      <c r="X973" s="257"/>
      <c r="Y973" s="257"/>
      <c r="Z973" s="257"/>
    </row>
    <row r="974" spans="1:26" ht="21" customHeight="1">
      <c r="A974" s="257"/>
      <c r="B974" s="257"/>
      <c r="C974" s="257"/>
      <c r="D974" s="257"/>
      <c r="E974" s="257"/>
      <c r="F974" s="257"/>
      <c r="G974" s="257"/>
      <c r="H974" s="257"/>
      <c r="I974" s="257"/>
      <c r="J974" s="257"/>
      <c r="K974" s="257"/>
      <c r="L974" s="257"/>
      <c r="M974" s="257"/>
      <c r="N974" s="257"/>
      <c r="O974" s="257"/>
      <c r="P974" s="257"/>
      <c r="Q974" s="257"/>
      <c r="R974" s="257"/>
      <c r="S974" s="257"/>
      <c r="T974" s="257"/>
      <c r="U974" s="257"/>
      <c r="V974" s="257"/>
      <c r="W974" s="257"/>
      <c r="X974" s="257"/>
      <c r="Y974" s="257"/>
      <c r="Z974" s="257"/>
    </row>
    <row r="975" spans="1:26" ht="21" customHeight="1">
      <c r="A975" s="257"/>
      <c r="B975" s="257"/>
      <c r="C975" s="257"/>
      <c r="D975" s="257"/>
      <c r="E975" s="257"/>
      <c r="F975" s="257"/>
      <c r="G975" s="257"/>
      <c r="H975" s="257"/>
      <c r="I975" s="257"/>
      <c r="J975" s="257"/>
      <c r="K975" s="257"/>
      <c r="L975" s="257"/>
      <c r="M975" s="257"/>
      <c r="N975" s="257"/>
      <c r="O975" s="257"/>
      <c r="P975" s="257"/>
      <c r="Q975" s="257"/>
      <c r="R975" s="257"/>
      <c r="S975" s="257"/>
      <c r="T975" s="257"/>
      <c r="U975" s="257"/>
      <c r="V975" s="257"/>
      <c r="W975" s="257"/>
      <c r="X975" s="257"/>
      <c r="Y975" s="257"/>
      <c r="Z975" s="257"/>
    </row>
    <row r="976" spans="1:26" ht="21" customHeight="1">
      <c r="A976" s="257"/>
      <c r="B976" s="257"/>
      <c r="C976" s="257"/>
      <c r="D976" s="257"/>
      <c r="E976" s="257"/>
      <c r="F976" s="257"/>
      <c r="G976" s="257"/>
      <c r="H976" s="257"/>
      <c r="I976" s="257"/>
      <c r="J976" s="257"/>
      <c r="K976" s="257"/>
      <c r="L976" s="257"/>
      <c r="M976" s="257"/>
      <c r="N976" s="257"/>
      <c r="O976" s="257"/>
      <c r="P976" s="257"/>
      <c r="Q976" s="257"/>
      <c r="R976" s="257"/>
      <c r="S976" s="257"/>
      <c r="T976" s="257"/>
      <c r="U976" s="257"/>
      <c r="V976" s="257"/>
      <c r="W976" s="257"/>
      <c r="X976" s="257"/>
      <c r="Y976" s="257"/>
      <c r="Z976" s="257"/>
    </row>
    <row r="977" spans="1:26" ht="21" customHeight="1">
      <c r="A977" s="257"/>
      <c r="B977" s="257"/>
      <c r="C977" s="257"/>
      <c r="D977" s="257"/>
      <c r="E977" s="257"/>
      <c r="F977" s="257"/>
      <c r="G977" s="257"/>
      <c r="H977" s="257"/>
      <c r="I977" s="257"/>
      <c r="J977" s="257"/>
      <c r="K977" s="257"/>
      <c r="L977" s="257"/>
      <c r="M977" s="257"/>
      <c r="N977" s="257"/>
      <c r="O977" s="257"/>
      <c r="P977" s="257"/>
      <c r="Q977" s="257"/>
      <c r="R977" s="257"/>
      <c r="S977" s="257"/>
      <c r="T977" s="257"/>
      <c r="U977" s="257"/>
      <c r="V977" s="257"/>
      <c r="W977" s="257"/>
      <c r="X977" s="257"/>
      <c r="Y977" s="257"/>
      <c r="Z977" s="257"/>
    </row>
    <row r="978" spans="1:26" ht="21" customHeight="1">
      <c r="A978" s="257"/>
      <c r="B978" s="257"/>
      <c r="C978" s="257"/>
      <c r="D978" s="257"/>
      <c r="E978" s="257"/>
      <c r="F978" s="257"/>
      <c r="G978" s="257"/>
      <c r="H978" s="257"/>
      <c r="I978" s="257"/>
      <c r="J978" s="257"/>
      <c r="K978" s="257"/>
      <c r="L978" s="257"/>
      <c r="M978" s="257"/>
      <c r="N978" s="257"/>
      <c r="O978" s="257"/>
      <c r="P978" s="257"/>
      <c r="Q978" s="257"/>
      <c r="R978" s="257"/>
      <c r="S978" s="257"/>
      <c r="T978" s="257"/>
      <c r="U978" s="257"/>
      <c r="V978" s="257"/>
      <c r="W978" s="257"/>
      <c r="X978" s="257"/>
      <c r="Y978" s="257"/>
      <c r="Z978" s="257"/>
    </row>
    <row r="979" spans="1:26" ht="21" customHeight="1">
      <c r="A979" s="257"/>
      <c r="B979" s="257"/>
      <c r="C979" s="257"/>
      <c r="D979" s="257"/>
      <c r="E979" s="257"/>
      <c r="F979" s="257"/>
      <c r="G979" s="257"/>
      <c r="H979" s="257"/>
      <c r="I979" s="257"/>
      <c r="J979" s="257"/>
      <c r="K979" s="257"/>
      <c r="L979" s="257"/>
      <c r="M979" s="257"/>
      <c r="N979" s="257"/>
      <c r="O979" s="257"/>
      <c r="P979" s="257"/>
      <c r="Q979" s="257"/>
      <c r="R979" s="257"/>
      <c r="S979" s="257"/>
      <c r="T979" s="257"/>
      <c r="U979" s="257"/>
      <c r="V979" s="257"/>
      <c r="W979" s="257"/>
      <c r="X979" s="257"/>
      <c r="Y979" s="257"/>
      <c r="Z979" s="257"/>
    </row>
    <row r="980" spans="1:26" ht="21" customHeight="1">
      <c r="A980" s="257"/>
      <c r="B980" s="257"/>
      <c r="C980" s="257"/>
      <c r="D980" s="257"/>
      <c r="E980" s="257"/>
      <c r="F980" s="257"/>
      <c r="G980" s="257"/>
      <c r="H980" s="257"/>
      <c r="I980" s="257"/>
      <c r="J980" s="257"/>
      <c r="K980" s="257"/>
      <c r="L980" s="257"/>
      <c r="M980" s="257"/>
      <c r="N980" s="257"/>
      <c r="O980" s="257"/>
      <c r="P980" s="257"/>
      <c r="Q980" s="257"/>
      <c r="R980" s="257"/>
      <c r="S980" s="257"/>
      <c r="T980" s="257"/>
      <c r="U980" s="257"/>
      <c r="V980" s="257"/>
      <c r="W980" s="257"/>
      <c r="X980" s="257"/>
      <c r="Y980" s="257"/>
      <c r="Z980" s="257"/>
    </row>
    <row r="981" spans="1:26" ht="21" customHeight="1">
      <c r="A981" s="257"/>
      <c r="B981" s="257"/>
      <c r="C981" s="257"/>
      <c r="D981" s="257"/>
      <c r="E981" s="257"/>
      <c r="F981" s="257"/>
      <c r="G981" s="257"/>
      <c r="H981" s="257"/>
      <c r="I981" s="257"/>
      <c r="J981" s="257"/>
      <c r="K981" s="257"/>
      <c r="L981" s="257"/>
      <c r="M981" s="257"/>
      <c r="N981" s="257"/>
      <c r="O981" s="257"/>
      <c r="P981" s="257"/>
      <c r="Q981" s="257"/>
      <c r="R981" s="257"/>
      <c r="S981" s="257"/>
      <c r="T981" s="257"/>
      <c r="U981" s="257"/>
      <c r="V981" s="257"/>
      <c r="W981" s="257"/>
      <c r="X981" s="257"/>
      <c r="Y981" s="257"/>
      <c r="Z981" s="257"/>
    </row>
    <row r="982" spans="1:26" ht="21" customHeight="1">
      <c r="A982" s="257"/>
      <c r="B982" s="257"/>
      <c r="C982" s="257"/>
      <c r="D982" s="257"/>
      <c r="E982" s="257"/>
      <c r="F982" s="257"/>
      <c r="G982" s="257"/>
      <c r="H982" s="257"/>
      <c r="I982" s="257"/>
      <c r="J982" s="257"/>
      <c r="K982" s="257"/>
      <c r="L982" s="257"/>
      <c r="M982" s="257"/>
      <c r="N982" s="257"/>
      <c r="O982" s="257"/>
      <c r="P982" s="257"/>
      <c r="Q982" s="257"/>
      <c r="R982" s="257"/>
      <c r="S982" s="257"/>
      <c r="T982" s="257"/>
      <c r="U982" s="257"/>
      <c r="V982" s="257"/>
      <c r="W982" s="257"/>
      <c r="X982" s="257"/>
      <c r="Y982" s="257"/>
      <c r="Z982" s="257"/>
    </row>
    <row r="983" spans="1:26" ht="21" customHeight="1">
      <c r="A983" s="257"/>
      <c r="B983" s="257"/>
      <c r="C983" s="257"/>
      <c r="D983" s="257"/>
      <c r="E983" s="257"/>
      <c r="F983" s="257"/>
      <c r="G983" s="257"/>
      <c r="H983" s="257"/>
      <c r="I983" s="257"/>
      <c r="J983" s="257"/>
      <c r="K983" s="257"/>
      <c r="L983" s="257"/>
      <c r="M983" s="257"/>
      <c r="N983" s="257"/>
      <c r="O983" s="257"/>
      <c r="P983" s="257"/>
      <c r="Q983" s="257"/>
      <c r="R983" s="257"/>
      <c r="S983" s="257"/>
      <c r="T983" s="257"/>
      <c r="U983" s="257"/>
      <c r="V983" s="257"/>
      <c r="W983" s="257"/>
      <c r="X983" s="257"/>
      <c r="Y983" s="257"/>
      <c r="Z983" s="257"/>
    </row>
    <row r="984" spans="1:26" ht="21" customHeight="1">
      <c r="A984" s="257"/>
      <c r="B984" s="257"/>
      <c r="C984" s="257"/>
      <c r="D984" s="257"/>
      <c r="E984" s="257"/>
      <c r="F984" s="257"/>
      <c r="G984" s="257"/>
      <c r="H984" s="257"/>
      <c r="I984" s="257"/>
      <c r="J984" s="257"/>
      <c r="K984" s="257"/>
      <c r="L984" s="257"/>
      <c r="M984" s="257"/>
      <c r="N984" s="257"/>
      <c r="O984" s="257"/>
      <c r="P984" s="257"/>
      <c r="Q984" s="257"/>
      <c r="R984" s="257"/>
      <c r="S984" s="257"/>
      <c r="T984" s="257"/>
      <c r="U984" s="257"/>
      <c r="V984" s="257"/>
      <c r="W984" s="257"/>
      <c r="X984" s="257"/>
      <c r="Y984" s="257"/>
      <c r="Z984" s="257"/>
    </row>
    <row r="985" spans="1:26" ht="21" customHeight="1">
      <c r="A985" s="257"/>
      <c r="B985" s="257"/>
      <c r="C985" s="257"/>
      <c r="D985" s="257"/>
      <c r="E985" s="257"/>
      <c r="F985" s="257"/>
      <c r="G985" s="257"/>
      <c r="H985" s="257"/>
      <c r="I985" s="257"/>
      <c r="J985" s="257"/>
      <c r="K985" s="257"/>
      <c r="L985" s="257"/>
      <c r="M985" s="257"/>
      <c r="N985" s="257"/>
      <c r="O985" s="257"/>
      <c r="P985" s="257"/>
      <c r="Q985" s="257"/>
      <c r="R985" s="257"/>
      <c r="S985" s="257"/>
      <c r="T985" s="257"/>
      <c r="U985" s="257"/>
      <c r="V985" s="257"/>
      <c r="W985" s="257"/>
      <c r="X985" s="257"/>
      <c r="Y985" s="257"/>
      <c r="Z985" s="257"/>
    </row>
    <row r="986" spans="1:26" ht="21" customHeight="1">
      <c r="A986" s="257"/>
      <c r="B986" s="257"/>
      <c r="C986" s="257"/>
      <c r="D986" s="257"/>
      <c r="E986" s="257"/>
      <c r="F986" s="257"/>
      <c r="G986" s="257"/>
      <c r="H986" s="257"/>
      <c r="I986" s="257"/>
      <c r="J986" s="257"/>
      <c r="K986" s="257"/>
      <c r="L986" s="257"/>
      <c r="M986" s="257"/>
      <c r="N986" s="257"/>
      <c r="O986" s="257"/>
      <c r="P986" s="257"/>
      <c r="Q986" s="257"/>
      <c r="R986" s="257"/>
      <c r="S986" s="257"/>
      <c r="T986" s="257"/>
      <c r="U986" s="257"/>
      <c r="V986" s="257"/>
      <c r="W986" s="257"/>
      <c r="X986" s="257"/>
      <c r="Y986" s="257"/>
      <c r="Z986" s="257"/>
    </row>
    <row r="987" spans="1:26" ht="21" customHeight="1">
      <c r="A987" s="257"/>
      <c r="B987" s="257"/>
      <c r="C987" s="257"/>
      <c r="D987" s="257"/>
      <c r="E987" s="257"/>
      <c r="F987" s="257"/>
      <c r="G987" s="257"/>
      <c r="H987" s="257"/>
      <c r="I987" s="257"/>
      <c r="J987" s="257"/>
      <c r="K987" s="257"/>
      <c r="L987" s="257"/>
      <c r="M987" s="257"/>
      <c r="N987" s="257"/>
      <c r="O987" s="257"/>
      <c r="P987" s="257"/>
      <c r="Q987" s="257"/>
      <c r="R987" s="257"/>
      <c r="S987" s="257"/>
      <c r="T987" s="257"/>
      <c r="U987" s="257"/>
      <c r="V987" s="257"/>
      <c r="W987" s="257"/>
      <c r="X987" s="257"/>
      <c r="Y987" s="257"/>
      <c r="Z987" s="257"/>
    </row>
    <row r="988" spans="1:26" ht="21" customHeight="1">
      <c r="A988" s="257"/>
      <c r="B988" s="257"/>
      <c r="C988" s="257"/>
      <c r="D988" s="257"/>
      <c r="E988" s="257"/>
      <c r="F988" s="257"/>
      <c r="G988" s="257"/>
      <c r="H988" s="257"/>
      <c r="I988" s="257"/>
      <c r="J988" s="257"/>
      <c r="K988" s="257"/>
      <c r="L988" s="257"/>
      <c r="M988" s="257"/>
      <c r="N988" s="257"/>
      <c r="O988" s="257"/>
      <c r="P988" s="257"/>
      <c r="Q988" s="257"/>
      <c r="R988" s="257"/>
      <c r="S988" s="257"/>
      <c r="T988" s="257"/>
      <c r="U988" s="257"/>
      <c r="V988" s="257"/>
      <c r="W988" s="257"/>
      <c r="X988" s="257"/>
      <c r="Y988" s="257"/>
      <c r="Z988" s="257"/>
    </row>
    <row r="989" spans="1:26" ht="21" customHeight="1">
      <c r="A989" s="257"/>
      <c r="B989" s="257"/>
      <c r="C989" s="257"/>
      <c r="D989" s="257"/>
      <c r="E989" s="257"/>
      <c r="F989" s="257"/>
      <c r="G989" s="257"/>
      <c r="H989" s="257"/>
      <c r="I989" s="257"/>
      <c r="J989" s="257"/>
      <c r="K989" s="257"/>
      <c r="L989" s="257"/>
      <c r="M989" s="257"/>
      <c r="N989" s="257"/>
      <c r="O989" s="257"/>
      <c r="P989" s="257"/>
      <c r="Q989" s="257"/>
      <c r="R989" s="257"/>
      <c r="S989" s="257"/>
      <c r="T989" s="257"/>
      <c r="U989" s="257"/>
      <c r="V989" s="257"/>
      <c r="W989" s="257"/>
      <c r="X989" s="257"/>
      <c r="Y989" s="257"/>
      <c r="Z989" s="257"/>
    </row>
    <row r="990" spans="1:26" ht="21" customHeight="1">
      <c r="A990" s="257"/>
      <c r="B990" s="257"/>
      <c r="C990" s="257"/>
      <c r="D990" s="257"/>
      <c r="E990" s="257"/>
      <c r="F990" s="257"/>
      <c r="G990" s="257"/>
      <c r="H990" s="257"/>
      <c r="I990" s="257"/>
      <c r="J990" s="257"/>
      <c r="K990" s="257"/>
      <c r="L990" s="257"/>
      <c r="M990" s="257"/>
      <c r="N990" s="257"/>
      <c r="O990" s="257"/>
      <c r="P990" s="257"/>
      <c r="Q990" s="257"/>
      <c r="R990" s="257"/>
      <c r="S990" s="257"/>
      <c r="T990" s="257"/>
      <c r="U990" s="257"/>
      <c r="V990" s="257"/>
      <c r="W990" s="257"/>
      <c r="X990" s="257"/>
      <c r="Y990" s="257"/>
      <c r="Z990" s="257"/>
    </row>
    <row r="991" spans="1:26" ht="21" customHeight="1">
      <c r="A991" s="257"/>
      <c r="B991" s="257"/>
      <c r="C991" s="257"/>
      <c r="D991" s="257"/>
      <c r="E991" s="257"/>
      <c r="F991" s="257"/>
      <c r="G991" s="257"/>
      <c r="H991" s="257"/>
      <c r="I991" s="257"/>
      <c r="J991" s="257"/>
      <c r="K991" s="257"/>
      <c r="L991" s="257"/>
      <c r="M991" s="257"/>
      <c r="N991" s="257"/>
      <c r="O991" s="257"/>
      <c r="P991" s="257"/>
      <c r="Q991" s="257"/>
      <c r="R991" s="257"/>
      <c r="S991" s="257"/>
      <c r="T991" s="257"/>
      <c r="U991" s="257"/>
      <c r="V991" s="257"/>
      <c r="W991" s="257"/>
      <c r="X991" s="257"/>
      <c r="Y991" s="257"/>
      <c r="Z991" s="257"/>
    </row>
    <row r="992" spans="1:26" ht="21" customHeight="1">
      <c r="A992" s="257"/>
      <c r="B992" s="257"/>
      <c r="C992" s="257"/>
      <c r="D992" s="257"/>
      <c r="E992" s="257"/>
      <c r="F992" s="257"/>
      <c r="G992" s="257"/>
      <c r="H992" s="257"/>
      <c r="I992" s="257"/>
      <c r="J992" s="257"/>
      <c r="K992" s="257"/>
      <c r="L992" s="257"/>
      <c r="M992" s="257"/>
      <c r="N992" s="257"/>
      <c r="O992" s="257"/>
      <c r="P992" s="257"/>
      <c r="Q992" s="257"/>
      <c r="R992" s="257"/>
      <c r="S992" s="257"/>
      <c r="T992" s="257"/>
      <c r="U992" s="257"/>
      <c r="V992" s="257"/>
      <c r="W992" s="257"/>
      <c r="X992" s="257"/>
      <c r="Y992" s="257"/>
      <c r="Z992" s="257"/>
    </row>
    <row r="993" spans="1:26" ht="21" customHeight="1">
      <c r="A993" s="257"/>
      <c r="B993" s="257"/>
      <c r="C993" s="257"/>
      <c r="D993" s="257"/>
      <c r="E993" s="257"/>
      <c r="F993" s="257"/>
      <c r="G993" s="257"/>
      <c r="H993" s="257"/>
      <c r="I993" s="257"/>
      <c r="J993" s="257"/>
      <c r="K993" s="257"/>
      <c r="L993" s="257"/>
      <c r="M993" s="257"/>
      <c r="N993" s="257"/>
      <c r="O993" s="257"/>
      <c r="P993" s="257"/>
      <c r="Q993" s="257"/>
      <c r="R993" s="257"/>
      <c r="S993" s="257"/>
      <c r="T993" s="257"/>
      <c r="U993" s="257"/>
      <c r="V993" s="257"/>
      <c r="W993" s="257"/>
      <c r="X993" s="257"/>
      <c r="Y993" s="257"/>
      <c r="Z993" s="257"/>
    </row>
    <row r="994" spans="1:26" ht="21" customHeight="1">
      <c r="A994" s="257"/>
      <c r="B994" s="257"/>
      <c r="C994" s="257"/>
      <c r="D994" s="257"/>
      <c r="E994" s="257"/>
      <c r="F994" s="257"/>
      <c r="G994" s="257"/>
      <c r="H994" s="257"/>
      <c r="I994" s="257"/>
      <c r="J994" s="257"/>
      <c r="K994" s="257"/>
      <c r="L994" s="257"/>
      <c r="M994" s="257"/>
      <c r="N994" s="257"/>
      <c r="O994" s="257"/>
      <c r="P994" s="257"/>
      <c r="Q994" s="257"/>
      <c r="R994" s="257"/>
      <c r="S994" s="257"/>
      <c r="T994" s="257"/>
      <c r="U994" s="257"/>
      <c r="V994" s="257"/>
      <c r="W994" s="257"/>
      <c r="X994" s="257"/>
      <c r="Y994" s="257"/>
      <c r="Z994" s="257"/>
    </row>
    <row r="995" spans="1:26" ht="21" customHeight="1">
      <c r="A995" s="257"/>
      <c r="B995" s="257"/>
      <c r="C995" s="257"/>
      <c r="D995" s="257"/>
      <c r="E995" s="257"/>
      <c r="F995" s="257"/>
      <c r="G995" s="257"/>
      <c r="H995" s="257"/>
      <c r="I995" s="257"/>
      <c r="J995" s="257"/>
      <c r="K995" s="257"/>
      <c r="L995" s="257"/>
      <c r="M995" s="257"/>
      <c r="N995" s="257"/>
      <c r="O995" s="257"/>
      <c r="P995" s="257"/>
      <c r="Q995" s="257"/>
      <c r="R995" s="257"/>
      <c r="S995" s="257"/>
      <c r="T995" s="257"/>
      <c r="U995" s="257"/>
      <c r="V995" s="257"/>
      <c r="W995" s="257"/>
      <c r="X995" s="257"/>
      <c r="Y995" s="257"/>
      <c r="Z995" s="257"/>
    </row>
    <row r="996" spans="1:26" ht="21" customHeight="1">
      <c r="A996" s="257"/>
      <c r="B996" s="257"/>
      <c r="C996" s="257"/>
      <c r="D996" s="257"/>
      <c r="E996" s="257"/>
      <c r="F996" s="257"/>
      <c r="G996" s="257"/>
      <c r="H996" s="257"/>
      <c r="I996" s="257"/>
      <c r="J996" s="257"/>
      <c r="K996" s="257"/>
      <c r="L996" s="257"/>
      <c r="M996" s="257"/>
      <c r="N996" s="257"/>
      <c r="O996" s="257"/>
      <c r="P996" s="257"/>
      <c r="Q996" s="257"/>
      <c r="R996" s="257"/>
      <c r="S996" s="257"/>
      <c r="T996" s="257"/>
      <c r="U996" s="257"/>
      <c r="V996" s="257"/>
      <c r="W996" s="257"/>
      <c r="X996" s="257"/>
      <c r="Y996" s="257"/>
      <c r="Z996" s="257"/>
    </row>
    <row r="997" spans="1:26" ht="21" customHeight="1">
      <c r="A997" s="257"/>
      <c r="B997" s="257"/>
      <c r="C997" s="257"/>
      <c r="D997" s="257"/>
      <c r="E997" s="257"/>
      <c r="F997" s="257"/>
      <c r="G997" s="257"/>
      <c r="H997" s="257"/>
      <c r="I997" s="257"/>
      <c r="J997" s="257"/>
      <c r="K997" s="257"/>
      <c r="L997" s="257"/>
      <c r="M997" s="257"/>
      <c r="N997" s="257"/>
      <c r="O997" s="257"/>
      <c r="P997" s="257"/>
      <c r="Q997" s="257"/>
      <c r="R997" s="257"/>
      <c r="S997" s="257"/>
      <c r="T997" s="257"/>
      <c r="U997" s="257"/>
      <c r="V997" s="257"/>
      <c r="W997" s="257"/>
      <c r="X997" s="257"/>
      <c r="Y997" s="257"/>
      <c r="Z997" s="257"/>
    </row>
    <row r="998" spans="1:26" ht="21" customHeight="1">
      <c r="A998" s="257"/>
      <c r="B998" s="257"/>
      <c r="C998" s="257"/>
      <c r="D998" s="257"/>
      <c r="E998" s="257"/>
      <c r="F998" s="257"/>
      <c r="G998" s="257"/>
      <c r="H998" s="257"/>
      <c r="I998" s="257"/>
      <c r="J998" s="257"/>
      <c r="K998" s="257"/>
      <c r="L998" s="257"/>
      <c r="M998" s="257"/>
      <c r="N998" s="257"/>
      <c r="O998" s="257"/>
      <c r="P998" s="257"/>
      <c r="Q998" s="257"/>
      <c r="R998" s="257"/>
      <c r="S998" s="257"/>
      <c r="T998" s="257"/>
      <c r="U998" s="257"/>
      <c r="V998" s="257"/>
      <c r="W998" s="257"/>
      <c r="X998" s="257"/>
      <c r="Y998" s="257"/>
      <c r="Z998" s="257"/>
    </row>
    <row r="999" spans="1:26" ht="21" customHeight="1">
      <c r="A999" s="257"/>
      <c r="B999" s="257"/>
      <c r="C999" s="257"/>
      <c r="D999" s="257"/>
      <c r="E999" s="257"/>
      <c r="F999" s="257"/>
      <c r="G999" s="257"/>
      <c r="H999" s="257"/>
      <c r="I999" s="257"/>
      <c r="J999" s="257"/>
      <c r="K999" s="257"/>
      <c r="L999" s="257"/>
      <c r="M999" s="257"/>
      <c r="N999" s="257"/>
      <c r="O999" s="257"/>
      <c r="P999" s="257"/>
      <c r="Q999" s="257"/>
      <c r="R999" s="257"/>
      <c r="S999" s="257"/>
      <c r="T999" s="257"/>
      <c r="U999" s="257"/>
      <c r="V999" s="257"/>
      <c r="W999" s="257"/>
      <c r="X999" s="257"/>
      <c r="Y999" s="257"/>
      <c r="Z999" s="257"/>
    </row>
    <row r="1000" spans="1:26" ht="21" customHeight="1">
      <c r="A1000" s="257"/>
      <c r="B1000" s="257"/>
      <c r="C1000" s="257"/>
      <c r="D1000" s="257"/>
      <c r="E1000" s="257"/>
      <c r="F1000" s="257"/>
      <c r="G1000" s="257"/>
      <c r="H1000" s="257"/>
      <c r="I1000" s="257"/>
      <c r="J1000" s="257"/>
      <c r="K1000" s="257"/>
      <c r="L1000" s="257"/>
      <c r="M1000" s="257"/>
      <c r="N1000" s="257"/>
      <c r="O1000" s="257"/>
      <c r="P1000" s="257"/>
      <c r="Q1000" s="257"/>
      <c r="R1000" s="257"/>
      <c r="S1000" s="257"/>
      <c r="T1000" s="257"/>
      <c r="U1000" s="257"/>
      <c r="V1000" s="257"/>
      <c r="W1000" s="257"/>
      <c r="X1000" s="257"/>
      <c r="Y1000" s="257"/>
      <c r="Z1000" s="257"/>
    </row>
  </sheetData>
  <mergeCells count="25">
    <mergeCell ref="A27:B27"/>
    <mergeCell ref="A9:A10"/>
    <mergeCell ref="A11:A12"/>
    <mergeCell ref="A13:A14"/>
    <mergeCell ref="A15:A16"/>
    <mergeCell ref="A17:A18"/>
    <mergeCell ref="A19:A20"/>
    <mergeCell ref="A21:A22"/>
    <mergeCell ref="B21:B22"/>
    <mergeCell ref="B23:B24"/>
    <mergeCell ref="B25:B26"/>
    <mergeCell ref="A3:A4"/>
    <mergeCell ref="B3:B4"/>
    <mergeCell ref="A5:A6"/>
    <mergeCell ref="B5:B6"/>
    <mergeCell ref="A7:A8"/>
    <mergeCell ref="B7:B8"/>
    <mergeCell ref="B9:B10"/>
    <mergeCell ref="A23:A24"/>
    <mergeCell ref="A25:A26"/>
    <mergeCell ref="B11:B12"/>
    <mergeCell ref="B13:B14"/>
    <mergeCell ref="B15:B16"/>
    <mergeCell ref="B17:B18"/>
    <mergeCell ref="B19:B20"/>
  </mergeCells>
  <phoneticPr fontId="82"/>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Z1000"/>
  <sheetViews>
    <sheetView workbookViewId="0"/>
  </sheetViews>
  <sheetFormatPr baseColWidth="10" defaultColWidth="11.1640625" defaultRowHeight="15" customHeight="1"/>
  <cols>
    <col min="1" max="1" width="7.1640625" customWidth="1"/>
    <col min="2" max="2" width="13.1640625" customWidth="1"/>
    <col min="3" max="3" width="9.6640625" customWidth="1"/>
    <col min="4" max="4" width="10" customWidth="1"/>
    <col min="5" max="5" width="11" customWidth="1"/>
    <col min="6" max="6" width="9.83203125" customWidth="1"/>
    <col min="7" max="7" width="12.83203125" customWidth="1"/>
    <col min="8" max="8" width="1.1640625" customWidth="1"/>
    <col min="9" max="10" width="12.83203125" customWidth="1"/>
    <col min="11" max="11" width="9.5" customWidth="1"/>
    <col min="12" max="12" width="11.6640625" customWidth="1"/>
    <col min="13" max="26" width="7.1640625" customWidth="1"/>
  </cols>
  <sheetData>
    <row r="1" spans="1:26" ht="18.75" customHeight="1">
      <c r="A1" s="276"/>
      <c r="B1" s="277" t="s">
        <v>207</v>
      </c>
      <c r="C1" s="278"/>
      <c r="D1" s="276"/>
      <c r="E1" s="276"/>
      <c r="F1" s="276"/>
      <c r="G1" s="276"/>
      <c r="H1" s="276"/>
      <c r="I1" s="276"/>
      <c r="J1" s="279"/>
      <c r="K1" s="279"/>
      <c r="L1" s="276"/>
      <c r="M1" s="276"/>
      <c r="N1" s="276"/>
      <c r="O1" s="276"/>
      <c r="P1" s="276"/>
      <c r="Q1" s="276"/>
      <c r="R1" s="276"/>
      <c r="S1" s="276"/>
      <c r="T1" s="276"/>
      <c r="U1" s="276"/>
      <c r="V1" s="276"/>
      <c r="W1" s="276"/>
      <c r="X1" s="276"/>
      <c r="Y1" s="276"/>
      <c r="Z1" s="276"/>
    </row>
    <row r="2" spans="1:26" ht="18.75" customHeight="1">
      <c r="A2" s="276"/>
      <c r="B2" s="280">
        <v>80000000</v>
      </c>
      <c r="C2" s="278">
        <f>SUM(B4:B27)</f>
        <v>30072164.948453609</v>
      </c>
      <c r="D2" s="276"/>
      <c r="E2" s="276"/>
      <c r="F2" s="276"/>
      <c r="G2" s="276"/>
      <c r="H2" s="276"/>
      <c r="I2" s="276"/>
      <c r="J2" s="278"/>
      <c r="K2" s="278"/>
      <c r="L2" s="276"/>
      <c r="M2" s="276"/>
      <c r="N2" s="276"/>
      <c r="O2" s="276"/>
      <c r="P2" s="276"/>
      <c r="Q2" s="276"/>
      <c r="R2" s="276"/>
      <c r="S2" s="276"/>
      <c r="T2" s="276"/>
      <c r="U2" s="276"/>
      <c r="V2" s="276"/>
      <c r="W2" s="276"/>
      <c r="X2" s="276"/>
      <c r="Y2" s="276"/>
      <c r="Z2" s="276"/>
    </row>
    <row r="3" spans="1:26" ht="22.5" customHeight="1">
      <c r="A3" s="281"/>
      <c r="B3" s="281" t="s">
        <v>208</v>
      </c>
      <c r="C3" s="281" t="s">
        <v>160</v>
      </c>
      <c r="D3" s="281" t="s">
        <v>209</v>
      </c>
      <c r="E3" s="281" t="s">
        <v>210</v>
      </c>
      <c r="F3" s="579" t="s">
        <v>211</v>
      </c>
      <c r="G3" s="483"/>
      <c r="H3" s="282"/>
      <c r="I3" s="283" t="s">
        <v>212</v>
      </c>
      <c r="J3" s="579" t="s">
        <v>213</v>
      </c>
      <c r="K3" s="486"/>
      <c r="L3" s="483"/>
      <c r="M3" s="276"/>
      <c r="N3" s="284"/>
      <c r="O3" s="276"/>
      <c r="P3" s="276"/>
      <c r="Q3" s="276"/>
      <c r="R3" s="276"/>
      <c r="S3" s="276"/>
      <c r="T3" s="276"/>
      <c r="U3" s="276"/>
      <c r="V3" s="276"/>
      <c r="W3" s="276"/>
      <c r="X3" s="276"/>
      <c r="Y3" s="276"/>
      <c r="Z3" s="276"/>
    </row>
    <row r="4" spans="1:26" ht="22.5" customHeight="1">
      <c r="A4" s="575" t="s">
        <v>20</v>
      </c>
      <c r="B4" s="576">
        <f>目標_2025R7!I7</f>
        <v>1927835.0515463918</v>
      </c>
      <c r="C4" s="577">
        <f>目標_2025R7!F7</f>
        <v>22</v>
      </c>
      <c r="D4" s="571">
        <f>IF(B4&gt;=2500000, 30%, IF(B4&gt;=2000000, 32%, IF(B4&gt;=1800000, 34%, "")))</f>
        <v>0.34</v>
      </c>
      <c r="E4" s="572">
        <f>B4*D4</f>
        <v>655463.91752577329</v>
      </c>
      <c r="F4" s="285" t="s">
        <v>214</v>
      </c>
      <c r="G4" s="286">
        <f>$G$34</f>
        <v>300000</v>
      </c>
      <c r="H4" s="287"/>
      <c r="I4" s="569">
        <f>G5/$B$33</f>
        <v>51.892542704492449</v>
      </c>
      <c r="J4" s="570">
        <f>CEILING(I4 / C4, 1)</f>
        <v>3</v>
      </c>
      <c r="K4" s="288" t="s">
        <v>139</v>
      </c>
      <c r="L4" s="289">
        <v>0</v>
      </c>
      <c r="M4" s="276"/>
      <c r="N4" s="284"/>
      <c r="O4" s="276"/>
      <c r="P4" s="276"/>
      <c r="Q4" s="276"/>
      <c r="R4" s="276"/>
      <c r="S4" s="276"/>
      <c r="T4" s="276"/>
      <c r="U4" s="276"/>
      <c r="V4" s="276"/>
      <c r="W4" s="276"/>
      <c r="X4" s="276"/>
      <c r="Y4" s="276"/>
      <c r="Z4" s="276"/>
    </row>
    <row r="5" spans="1:26" ht="22.5" customHeight="1">
      <c r="A5" s="526"/>
      <c r="B5" s="526"/>
      <c r="C5" s="526"/>
      <c r="D5" s="526"/>
      <c r="E5" s="526"/>
      <c r="F5" s="290" t="s">
        <v>215</v>
      </c>
      <c r="G5" s="291">
        <f>E4-G4</f>
        <v>355463.91752577329</v>
      </c>
      <c r="H5" s="287"/>
      <c r="I5" s="526"/>
      <c r="J5" s="526"/>
      <c r="K5" s="288" t="s">
        <v>140</v>
      </c>
      <c r="L5" s="289">
        <f>J4-L4</f>
        <v>3</v>
      </c>
      <c r="M5" s="292"/>
      <c r="N5" s="284"/>
      <c r="O5" s="276"/>
      <c r="P5" s="276"/>
      <c r="Q5" s="276"/>
      <c r="R5" s="276"/>
      <c r="S5" s="276"/>
      <c r="T5" s="276"/>
      <c r="U5" s="276"/>
      <c r="V5" s="276"/>
      <c r="W5" s="276"/>
      <c r="X5" s="276"/>
      <c r="Y5" s="276"/>
      <c r="Z5" s="276"/>
    </row>
    <row r="6" spans="1:26" ht="22.5" customHeight="1">
      <c r="A6" s="575" t="s">
        <v>23</v>
      </c>
      <c r="B6" s="576">
        <f>目標_2025R7!I8</f>
        <v>2015463.9175257734</v>
      </c>
      <c r="C6" s="577">
        <f>目標_2025R7!F8</f>
        <v>23</v>
      </c>
      <c r="D6" s="571">
        <f>IF(B6&gt;=2500000, 30%, IF(B6&gt;=2000000, 32%, IF(B6&gt;=1800000, 34%, "")))</f>
        <v>0.32</v>
      </c>
      <c r="E6" s="572">
        <f>B6*D6</f>
        <v>644948.45360824745</v>
      </c>
      <c r="F6" s="285" t="s">
        <v>214</v>
      </c>
      <c r="G6" s="286">
        <f>$G$34</f>
        <v>300000</v>
      </c>
      <c r="H6" s="287"/>
      <c r="I6" s="569">
        <f>G7/$B$33</f>
        <v>50.357438482955835</v>
      </c>
      <c r="J6" s="570">
        <f>CEILING(I6 / C6, 1)</f>
        <v>3</v>
      </c>
      <c r="K6" s="288" t="s">
        <v>139</v>
      </c>
      <c r="L6" s="289">
        <v>0</v>
      </c>
      <c r="M6" s="276"/>
      <c r="N6" s="284"/>
      <c r="O6" s="276"/>
      <c r="P6" s="276"/>
      <c r="Q6" s="276"/>
      <c r="R6" s="276"/>
      <c r="S6" s="276"/>
      <c r="T6" s="276"/>
      <c r="U6" s="276"/>
      <c r="V6" s="276"/>
      <c r="W6" s="276"/>
      <c r="X6" s="276"/>
      <c r="Y6" s="276"/>
      <c r="Z6" s="276"/>
    </row>
    <row r="7" spans="1:26" ht="22.5" customHeight="1">
      <c r="A7" s="526"/>
      <c r="B7" s="526"/>
      <c r="C7" s="526"/>
      <c r="D7" s="526"/>
      <c r="E7" s="526"/>
      <c r="F7" s="290" t="s">
        <v>215</v>
      </c>
      <c r="G7" s="291">
        <f>E6-G6</f>
        <v>344948.45360824745</v>
      </c>
      <c r="H7" s="287"/>
      <c r="I7" s="526"/>
      <c r="J7" s="526"/>
      <c r="K7" s="288" t="s">
        <v>140</v>
      </c>
      <c r="L7" s="289">
        <f>J6-L6</f>
        <v>3</v>
      </c>
      <c r="M7" s="292"/>
      <c r="N7" s="284"/>
      <c r="O7" s="276"/>
      <c r="P7" s="276"/>
      <c r="Q7" s="276"/>
      <c r="R7" s="276"/>
      <c r="S7" s="276"/>
      <c r="T7" s="276"/>
      <c r="U7" s="276"/>
      <c r="V7" s="276"/>
      <c r="W7" s="276"/>
      <c r="X7" s="276"/>
      <c r="Y7" s="276"/>
      <c r="Z7" s="276"/>
    </row>
    <row r="8" spans="1:26" ht="22.5" customHeight="1">
      <c r="A8" s="575" t="s">
        <v>27</v>
      </c>
      <c r="B8" s="576">
        <f>目標_2025R7!I9</f>
        <v>2680412.3711340209</v>
      </c>
      <c r="C8" s="577">
        <f>目標_2025R7!F9</f>
        <v>26</v>
      </c>
      <c r="D8" s="571">
        <f>IF(B8&gt;=2500000, 30%, IF(B8&gt;=2000000, 32%, IF(B8&gt;=1800000, 34%, "")))</f>
        <v>0.3</v>
      </c>
      <c r="E8" s="572">
        <f>B8*D8</f>
        <v>804123.71134020621</v>
      </c>
      <c r="F8" s="285" t="s">
        <v>214</v>
      </c>
      <c r="G8" s="286">
        <f>$G$34</f>
        <v>300000</v>
      </c>
      <c r="H8" s="287"/>
      <c r="I8" s="569">
        <f>G9/$B$33</f>
        <v>73.59470238543156</v>
      </c>
      <c r="J8" s="570">
        <f>CEILING(I8 / C8, 1)</f>
        <v>3</v>
      </c>
      <c r="K8" s="288" t="s">
        <v>139</v>
      </c>
      <c r="L8" s="289">
        <v>0</v>
      </c>
      <c r="M8" s="276"/>
      <c r="N8" s="284"/>
      <c r="O8" s="276"/>
      <c r="P8" s="276"/>
      <c r="Q8" s="276"/>
      <c r="R8" s="276"/>
      <c r="S8" s="276"/>
      <c r="T8" s="276"/>
      <c r="U8" s="276"/>
      <c r="V8" s="276"/>
      <c r="W8" s="276"/>
      <c r="X8" s="276"/>
      <c r="Y8" s="276"/>
      <c r="Z8" s="276"/>
    </row>
    <row r="9" spans="1:26" ht="22.5" customHeight="1">
      <c r="A9" s="526"/>
      <c r="B9" s="526"/>
      <c r="C9" s="526"/>
      <c r="D9" s="526"/>
      <c r="E9" s="526"/>
      <c r="F9" s="290" t="s">
        <v>215</v>
      </c>
      <c r="G9" s="291">
        <f>E8-G8</f>
        <v>504123.71134020621</v>
      </c>
      <c r="H9" s="287"/>
      <c r="I9" s="526"/>
      <c r="J9" s="526"/>
      <c r="K9" s="288" t="s">
        <v>140</v>
      </c>
      <c r="L9" s="289">
        <f>J8-L8</f>
        <v>3</v>
      </c>
      <c r="M9" s="292"/>
      <c r="N9" s="284"/>
      <c r="O9" s="276"/>
      <c r="P9" s="276"/>
      <c r="Q9" s="276"/>
      <c r="R9" s="276"/>
      <c r="S9" s="276"/>
      <c r="T9" s="276"/>
      <c r="U9" s="276"/>
      <c r="V9" s="276"/>
      <c r="W9" s="276"/>
      <c r="X9" s="276"/>
      <c r="Y9" s="276"/>
      <c r="Z9" s="276"/>
    </row>
    <row r="10" spans="1:26" ht="22.5" customHeight="1">
      <c r="A10" s="575" t="s">
        <v>29</v>
      </c>
      <c r="B10" s="576">
        <f>目標_2025R7!I10</f>
        <v>2835051.546391753</v>
      </c>
      <c r="C10" s="577">
        <f>目標_2025R7!F10</f>
        <v>25</v>
      </c>
      <c r="D10" s="571">
        <f>IF(B10&gt;=2500000, 30%, IF(B10&gt;=2000000, 32%, IF(B10&gt;=1800000, 34%, "")))</f>
        <v>0.3</v>
      </c>
      <c r="E10" s="572">
        <f>B10*D10</f>
        <v>850515.46391752583</v>
      </c>
      <c r="F10" s="285" t="s">
        <v>214</v>
      </c>
      <c r="G10" s="286">
        <f>$G$34</f>
        <v>300000</v>
      </c>
      <c r="H10" s="287"/>
      <c r="I10" s="569">
        <f>G11/$B$33</f>
        <v>80.367221009857786</v>
      </c>
      <c r="J10" s="570">
        <f>CEILING(I10 / C10, 1)</f>
        <v>4</v>
      </c>
      <c r="K10" s="288" t="s">
        <v>139</v>
      </c>
      <c r="L10" s="289">
        <v>0</v>
      </c>
      <c r="M10" s="276"/>
      <c r="N10" s="284"/>
      <c r="O10" s="276"/>
      <c r="P10" s="276"/>
      <c r="Q10" s="276"/>
      <c r="R10" s="276"/>
      <c r="S10" s="276"/>
      <c r="T10" s="276"/>
      <c r="U10" s="276"/>
      <c r="V10" s="276"/>
      <c r="W10" s="276"/>
      <c r="X10" s="276"/>
      <c r="Y10" s="276"/>
      <c r="Z10" s="276"/>
    </row>
    <row r="11" spans="1:26" ht="22.5" customHeight="1">
      <c r="A11" s="526"/>
      <c r="B11" s="526"/>
      <c r="C11" s="526"/>
      <c r="D11" s="526"/>
      <c r="E11" s="526"/>
      <c r="F11" s="290" t="s">
        <v>215</v>
      </c>
      <c r="G11" s="291">
        <f>E10-G10</f>
        <v>550515.46391752583</v>
      </c>
      <c r="H11" s="287"/>
      <c r="I11" s="526"/>
      <c r="J11" s="526"/>
      <c r="K11" s="288" t="s">
        <v>140</v>
      </c>
      <c r="L11" s="289">
        <f>J10-L10</f>
        <v>4</v>
      </c>
      <c r="M11" s="276"/>
      <c r="N11" s="284"/>
      <c r="O11" s="276"/>
      <c r="P11" s="276"/>
      <c r="Q11" s="276"/>
      <c r="R11" s="276"/>
      <c r="S11" s="276"/>
      <c r="T11" s="276"/>
      <c r="U11" s="276"/>
      <c r="V11" s="276"/>
      <c r="W11" s="276"/>
      <c r="X11" s="276"/>
      <c r="Y11" s="276"/>
      <c r="Z11" s="276"/>
    </row>
    <row r="12" spans="1:26" ht="22.5" customHeight="1">
      <c r="A12" s="575" t="s">
        <v>33</v>
      </c>
      <c r="B12" s="576">
        <f>目標_2025R7!I11</f>
        <v>2680412.3711340209</v>
      </c>
      <c r="C12" s="577">
        <f>目標_2025R7!F11</f>
        <v>26</v>
      </c>
      <c r="D12" s="571">
        <f>IF(B12&gt;=2500000, 30%, IF(B12&gt;=2000000, 32%, IF(B12&gt;=1800000, 34%, "")))</f>
        <v>0.3</v>
      </c>
      <c r="E12" s="572">
        <f>B12*D12</f>
        <v>804123.71134020621</v>
      </c>
      <c r="F12" s="285" t="s">
        <v>214</v>
      </c>
      <c r="G12" s="286">
        <f>$G$34</f>
        <v>300000</v>
      </c>
      <c r="H12" s="287"/>
      <c r="I12" s="569">
        <f>G13/$B$33</f>
        <v>73.59470238543156</v>
      </c>
      <c r="J12" s="570">
        <f>CEILING(I12 / C12, 1)</f>
        <v>3</v>
      </c>
      <c r="K12" s="288" t="s">
        <v>139</v>
      </c>
      <c r="L12" s="289">
        <v>0</v>
      </c>
      <c r="M12" s="276"/>
      <c r="N12" s="284"/>
      <c r="O12" s="276"/>
      <c r="P12" s="276"/>
      <c r="Q12" s="276"/>
      <c r="R12" s="276"/>
      <c r="S12" s="276"/>
      <c r="T12" s="276"/>
      <c r="U12" s="276"/>
      <c r="V12" s="276"/>
      <c r="W12" s="276"/>
      <c r="X12" s="276"/>
      <c r="Y12" s="276"/>
      <c r="Z12" s="276"/>
    </row>
    <row r="13" spans="1:26" ht="22.5" customHeight="1">
      <c r="A13" s="526"/>
      <c r="B13" s="526"/>
      <c r="C13" s="526"/>
      <c r="D13" s="526"/>
      <c r="E13" s="526"/>
      <c r="F13" s="290" t="s">
        <v>215</v>
      </c>
      <c r="G13" s="291">
        <f>E12-G12</f>
        <v>504123.71134020621</v>
      </c>
      <c r="H13" s="287"/>
      <c r="I13" s="526"/>
      <c r="J13" s="526"/>
      <c r="K13" s="288" t="s">
        <v>140</v>
      </c>
      <c r="L13" s="289">
        <f>J12-L12</f>
        <v>3</v>
      </c>
      <c r="M13" s="276"/>
      <c r="N13" s="284"/>
      <c r="O13" s="276"/>
      <c r="P13" s="276"/>
      <c r="Q13" s="276"/>
      <c r="R13" s="276"/>
      <c r="S13" s="276"/>
      <c r="T13" s="276"/>
      <c r="U13" s="276"/>
      <c r="V13" s="276"/>
      <c r="W13" s="276"/>
      <c r="X13" s="276"/>
      <c r="Y13" s="276"/>
      <c r="Z13" s="276"/>
    </row>
    <row r="14" spans="1:26" ht="22.5" customHeight="1">
      <c r="A14" s="575" t="s">
        <v>57</v>
      </c>
      <c r="B14" s="576">
        <f>目標_2025R7!I12</f>
        <v>2190721.6494845361</v>
      </c>
      <c r="C14" s="577">
        <f>目標_2025R7!F12</f>
        <v>25</v>
      </c>
      <c r="D14" s="571">
        <f>IF(B14&gt;=2500000, 30%, IF(B14&gt;=2000000, 32%, IF(B14&gt;=1800000, 34%, "")))</f>
        <v>0.32</v>
      </c>
      <c r="E14" s="572">
        <f>B14*D14</f>
        <v>701030.92783505155</v>
      </c>
      <c r="F14" s="285" t="s">
        <v>214</v>
      </c>
      <c r="G14" s="286">
        <f>$G$34</f>
        <v>300000</v>
      </c>
      <c r="H14" s="287"/>
      <c r="I14" s="569">
        <f>G15/$B$33</f>
        <v>58.544660997817743</v>
      </c>
      <c r="J14" s="570">
        <f>CEILING(I14 / C14, 1)</f>
        <v>3</v>
      </c>
      <c r="K14" s="288" t="s">
        <v>139</v>
      </c>
      <c r="L14" s="289">
        <v>0</v>
      </c>
      <c r="M14" s="276"/>
      <c r="N14" s="284"/>
      <c r="O14" s="276"/>
      <c r="P14" s="276"/>
      <c r="Q14" s="276"/>
      <c r="R14" s="276"/>
      <c r="S14" s="276"/>
      <c r="T14" s="276"/>
      <c r="U14" s="276"/>
      <c r="V14" s="276"/>
      <c r="W14" s="276"/>
      <c r="X14" s="276"/>
      <c r="Y14" s="276"/>
      <c r="Z14" s="276"/>
    </row>
    <row r="15" spans="1:26" ht="22.5" customHeight="1">
      <c r="A15" s="526"/>
      <c r="B15" s="526"/>
      <c r="C15" s="526"/>
      <c r="D15" s="526"/>
      <c r="E15" s="526"/>
      <c r="F15" s="290" t="s">
        <v>215</v>
      </c>
      <c r="G15" s="291">
        <f>E14-G14</f>
        <v>401030.92783505155</v>
      </c>
      <c r="H15" s="287"/>
      <c r="I15" s="526"/>
      <c r="J15" s="526"/>
      <c r="K15" s="288" t="s">
        <v>140</v>
      </c>
      <c r="L15" s="289">
        <f>J14-L14</f>
        <v>3</v>
      </c>
      <c r="M15" s="276"/>
      <c r="N15" s="276"/>
      <c r="O15" s="276"/>
      <c r="P15" s="276"/>
      <c r="Q15" s="276"/>
      <c r="R15" s="276"/>
      <c r="S15" s="276"/>
      <c r="T15" s="276"/>
      <c r="U15" s="276"/>
      <c r="V15" s="276"/>
      <c r="W15" s="276"/>
      <c r="X15" s="276"/>
      <c r="Y15" s="276"/>
      <c r="Z15" s="276"/>
    </row>
    <row r="16" spans="1:26" ht="22.5" customHeight="1">
      <c r="A16" s="575" t="s">
        <v>58</v>
      </c>
      <c r="B16" s="576">
        <f>目標_2025R7!I13</f>
        <v>2835051.546391753</v>
      </c>
      <c r="C16" s="577">
        <f>目標_2025R7!F13</f>
        <v>25</v>
      </c>
      <c r="D16" s="571">
        <f>IF(B16&gt;=2500000, 30%, IF(B16&gt;=2000000, 32%, IF(B16&gt;=1800000, 34%, "")))</f>
        <v>0.3</v>
      </c>
      <c r="E16" s="572">
        <f>B16*D16</f>
        <v>850515.46391752583</v>
      </c>
      <c r="F16" s="285" t="s">
        <v>214</v>
      </c>
      <c r="G16" s="286">
        <f>$G$34</f>
        <v>300000</v>
      </c>
      <c r="H16" s="287"/>
      <c r="I16" s="569">
        <f>G17/$B$33</f>
        <v>80.367221009857786</v>
      </c>
      <c r="J16" s="570">
        <f>CEILING(I16 / C16, 1)</f>
        <v>4</v>
      </c>
      <c r="K16" s="288" t="s">
        <v>139</v>
      </c>
      <c r="L16" s="289">
        <v>0</v>
      </c>
      <c r="M16" s="276"/>
      <c r="N16" s="276"/>
      <c r="O16" s="276"/>
      <c r="P16" s="276"/>
      <c r="Q16" s="276"/>
      <c r="R16" s="276"/>
      <c r="S16" s="276"/>
      <c r="T16" s="276"/>
      <c r="U16" s="276"/>
      <c r="V16" s="276"/>
      <c r="W16" s="276"/>
      <c r="X16" s="276"/>
      <c r="Y16" s="276"/>
      <c r="Z16" s="276"/>
    </row>
    <row r="17" spans="1:26" ht="22.5" customHeight="1">
      <c r="A17" s="526"/>
      <c r="B17" s="526"/>
      <c r="C17" s="526"/>
      <c r="D17" s="526"/>
      <c r="E17" s="526"/>
      <c r="F17" s="290" t="s">
        <v>215</v>
      </c>
      <c r="G17" s="291">
        <f>E16-G16</f>
        <v>550515.46391752583</v>
      </c>
      <c r="H17" s="287"/>
      <c r="I17" s="526"/>
      <c r="J17" s="526"/>
      <c r="K17" s="288" t="s">
        <v>140</v>
      </c>
      <c r="L17" s="289">
        <f>J16-L16</f>
        <v>4</v>
      </c>
      <c r="M17" s="276"/>
      <c r="N17" s="276"/>
      <c r="O17" s="276"/>
      <c r="P17" s="276"/>
      <c r="Q17" s="276"/>
      <c r="R17" s="276"/>
      <c r="S17" s="276"/>
      <c r="T17" s="276"/>
      <c r="U17" s="276"/>
      <c r="V17" s="276"/>
      <c r="W17" s="276"/>
      <c r="X17" s="276"/>
      <c r="Y17" s="276"/>
      <c r="Z17" s="276"/>
    </row>
    <row r="18" spans="1:26" ht="22.5" customHeight="1">
      <c r="A18" s="575" t="s">
        <v>59</v>
      </c>
      <c r="B18" s="576">
        <f>目標_2025R7!I14</f>
        <v>2474226.8041237113</v>
      </c>
      <c r="C18" s="577">
        <f>目標_2025R7!F14</f>
        <v>24</v>
      </c>
      <c r="D18" s="571">
        <f>IF(B18&gt;=2500000, 30%, IF(B18&gt;=2000000, 32%, IF(B18&gt;=1800000, 34%, "")))</f>
        <v>0.32</v>
      </c>
      <c r="E18" s="572">
        <f>B18*D18</f>
        <v>791752.57731958758</v>
      </c>
      <c r="F18" s="285" t="s">
        <v>214</v>
      </c>
      <c r="G18" s="286">
        <f>$G$34</f>
        <v>300000</v>
      </c>
      <c r="H18" s="287"/>
      <c r="I18" s="569">
        <f>G19/$B$33</f>
        <v>71.788697418917891</v>
      </c>
      <c r="J18" s="570">
        <f>CEILING(I18 / C18, 1)</f>
        <v>3</v>
      </c>
      <c r="K18" s="288" t="s">
        <v>139</v>
      </c>
      <c r="L18" s="289">
        <v>0</v>
      </c>
      <c r="M18" s="276"/>
      <c r="N18" s="276"/>
      <c r="O18" s="276"/>
      <c r="P18" s="276"/>
      <c r="Q18" s="276"/>
      <c r="R18" s="276"/>
      <c r="S18" s="276"/>
      <c r="T18" s="276"/>
      <c r="U18" s="276"/>
      <c r="V18" s="276"/>
      <c r="W18" s="276"/>
      <c r="X18" s="276"/>
      <c r="Y18" s="276"/>
      <c r="Z18" s="276"/>
    </row>
    <row r="19" spans="1:26" ht="22.5" customHeight="1">
      <c r="A19" s="526"/>
      <c r="B19" s="526"/>
      <c r="C19" s="526"/>
      <c r="D19" s="526"/>
      <c r="E19" s="526"/>
      <c r="F19" s="290" t="s">
        <v>215</v>
      </c>
      <c r="G19" s="291">
        <f>E18-G18</f>
        <v>491752.57731958758</v>
      </c>
      <c r="H19" s="287"/>
      <c r="I19" s="526"/>
      <c r="J19" s="526"/>
      <c r="K19" s="288" t="s">
        <v>140</v>
      </c>
      <c r="L19" s="289">
        <f>J18-L18</f>
        <v>3</v>
      </c>
      <c r="M19" s="276"/>
      <c r="N19" s="276"/>
      <c r="O19" s="276"/>
      <c r="P19" s="276"/>
      <c r="Q19" s="276"/>
      <c r="R19" s="276"/>
      <c r="S19" s="276"/>
      <c r="T19" s="276"/>
      <c r="U19" s="276"/>
      <c r="V19" s="276"/>
      <c r="W19" s="276"/>
      <c r="X19" s="276"/>
      <c r="Y19" s="276"/>
      <c r="Z19" s="276"/>
    </row>
    <row r="20" spans="1:26" ht="22.5" customHeight="1">
      <c r="A20" s="575" t="s">
        <v>74</v>
      </c>
      <c r="B20" s="576">
        <f>目標_2025R7!I15</f>
        <v>2371134.020618557</v>
      </c>
      <c r="C20" s="577">
        <f>目標_2025R7!F15</f>
        <v>23</v>
      </c>
      <c r="D20" s="571">
        <f>IF(B20&gt;=2500000, 30%, IF(B20&gt;=2000000, 32%, IF(B20&gt;=1800000, 34%, "")))</f>
        <v>0.32</v>
      </c>
      <c r="E20" s="572">
        <f>B20*D20</f>
        <v>758762.88659793825</v>
      </c>
      <c r="F20" s="285" t="s">
        <v>214</v>
      </c>
      <c r="G20" s="286">
        <f>$G$34</f>
        <v>300000</v>
      </c>
      <c r="H20" s="287"/>
      <c r="I20" s="569">
        <f>G21/$B$33</f>
        <v>66.972684174881493</v>
      </c>
      <c r="J20" s="570">
        <f>CEILING(I20 / C20, 1)</f>
        <v>3</v>
      </c>
      <c r="K20" s="288" t="s">
        <v>139</v>
      </c>
      <c r="L20" s="289">
        <v>0</v>
      </c>
      <c r="M20" s="276"/>
      <c r="N20" s="276"/>
      <c r="O20" s="276"/>
      <c r="P20" s="276"/>
      <c r="Q20" s="276"/>
      <c r="R20" s="276"/>
      <c r="S20" s="276"/>
      <c r="T20" s="276"/>
      <c r="U20" s="276"/>
      <c r="V20" s="276"/>
      <c r="W20" s="276"/>
      <c r="X20" s="276"/>
      <c r="Y20" s="276"/>
      <c r="Z20" s="276"/>
    </row>
    <row r="21" spans="1:26" ht="22.5" customHeight="1">
      <c r="A21" s="526"/>
      <c r="B21" s="526"/>
      <c r="C21" s="526"/>
      <c r="D21" s="526"/>
      <c r="E21" s="526"/>
      <c r="F21" s="290" t="s">
        <v>215</v>
      </c>
      <c r="G21" s="291">
        <f>E20-G20</f>
        <v>458762.88659793825</v>
      </c>
      <c r="H21" s="287"/>
      <c r="I21" s="526"/>
      <c r="J21" s="526"/>
      <c r="K21" s="288" t="s">
        <v>140</v>
      </c>
      <c r="L21" s="289">
        <f>J20-L20</f>
        <v>3</v>
      </c>
      <c r="M21" s="276"/>
      <c r="N21" s="276"/>
      <c r="O21" s="276"/>
      <c r="P21" s="276"/>
      <c r="Q21" s="276"/>
      <c r="R21" s="276"/>
      <c r="S21" s="276"/>
      <c r="T21" s="276"/>
      <c r="U21" s="276"/>
      <c r="V21" s="276"/>
      <c r="W21" s="276"/>
      <c r="X21" s="276"/>
      <c r="Y21" s="276"/>
      <c r="Z21" s="276"/>
    </row>
    <row r="22" spans="1:26" ht="22.5" customHeight="1">
      <c r="A22" s="575" t="s">
        <v>61</v>
      </c>
      <c r="B22" s="576">
        <f>目標_2025R7!I16</f>
        <v>2948453.6082474231</v>
      </c>
      <c r="C22" s="577">
        <f>目標_2025R7!F16</f>
        <v>26</v>
      </c>
      <c r="D22" s="571">
        <f>IF(B22&gt;=2500000, 30%, IF(B22&gt;=2000000, 32%, IF(B22&gt;=1800000, 34%, "")))</f>
        <v>0.3</v>
      </c>
      <c r="E22" s="572">
        <f>B22*D22</f>
        <v>884536.08247422695</v>
      </c>
      <c r="F22" s="285" t="s">
        <v>214</v>
      </c>
      <c r="G22" s="286">
        <f>$G$34</f>
        <v>300000</v>
      </c>
      <c r="H22" s="287"/>
      <c r="I22" s="569">
        <f>G23/$B$33</f>
        <v>85.333734667770358</v>
      </c>
      <c r="J22" s="570">
        <f>CEILING(I22 / C22, 1)</f>
        <v>4</v>
      </c>
      <c r="K22" s="288" t="s">
        <v>139</v>
      </c>
      <c r="L22" s="289">
        <v>0</v>
      </c>
      <c r="M22" s="276"/>
      <c r="N22" s="276"/>
      <c r="O22" s="276"/>
      <c r="P22" s="276"/>
      <c r="Q22" s="276"/>
      <c r="R22" s="276"/>
      <c r="S22" s="276"/>
      <c r="T22" s="276"/>
      <c r="U22" s="276"/>
      <c r="V22" s="276"/>
      <c r="W22" s="276"/>
      <c r="X22" s="276"/>
      <c r="Y22" s="276"/>
      <c r="Z22" s="276"/>
    </row>
    <row r="23" spans="1:26" ht="22.5" customHeight="1">
      <c r="A23" s="526"/>
      <c r="B23" s="526"/>
      <c r="C23" s="526"/>
      <c r="D23" s="526"/>
      <c r="E23" s="526"/>
      <c r="F23" s="290" t="s">
        <v>215</v>
      </c>
      <c r="G23" s="291">
        <f>E22-G22</f>
        <v>584536.08247422695</v>
      </c>
      <c r="H23" s="287"/>
      <c r="I23" s="526"/>
      <c r="J23" s="526"/>
      <c r="K23" s="288" t="s">
        <v>140</v>
      </c>
      <c r="L23" s="289">
        <f>J22-L22</f>
        <v>4</v>
      </c>
      <c r="M23" s="276"/>
      <c r="N23" s="276"/>
      <c r="O23" s="276"/>
      <c r="P23" s="276"/>
      <c r="Q23" s="276"/>
      <c r="R23" s="276"/>
      <c r="S23" s="276"/>
      <c r="T23" s="276"/>
      <c r="U23" s="276"/>
      <c r="V23" s="276"/>
      <c r="W23" s="276"/>
      <c r="X23" s="276"/>
      <c r="Y23" s="276"/>
      <c r="Z23" s="276"/>
    </row>
    <row r="24" spans="1:26" ht="22.5" customHeight="1">
      <c r="A24" s="575" t="s">
        <v>62</v>
      </c>
      <c r="B24" s="576">
        <f>目標_2025R7!I17</f>
        <v>2268041.2371134022</v>
      </c>
      <c r="C24" s="577">
        <f>目標_2025R7!F17</f>
        <v>22</v>
      </c>
      <c r="D24" s="571">
        <f>IF(B24&gt;=2500000, 30%, IF(B24&gt;=2000000, 32%, IF(B24&gt;=1800000, 34%, "")))</f>
        <v>0.32</v>
      </c>
      <c r="E24" s="572">
        <f>B24*D24</f>
        <v>725773.19587628869</v>
      </c>
      <c r="F24" s="285" t="s">
        <v>214</v>
      </c>
      <c r="G24" s="286">
        <f>$G$34</f>
        <v>300000</v>
      </c>
      <c r="H24" s="287"/>
      <c r="I24" s="569">
        <f>G25/$B$33</f>
        <v>62.156670930845067</v>
      </c>
      <c r="J24" s="570">
        <f>CEILING(I24 / C24, 1)</f>
        <v>3</v>
      </c>
      <c r="K24" s="288" t="s">
        <v>139</v>
      </c>
      <c r="L24" s="289">
        <v>0</v>
      </c>
      <c r="M24" s="276"/>
      <c r="N24" s="276"/>
      <c r="O24" s="276"/>
      <c r="P24" s="276"/>
      <c r="Q24" s="276"/>
      <c r="R24" s="276"/>
      <c r="S24" s="276"/>
      <c r="T24" s="276"/>
      <c r="U24" s="276"/>
      <c r="V24" s="276"/>
      <c r="W24" s="276"/>
      <c r="X24" s="276"/>
      <c r="Y24" s="276"/>
      <c r="Z24" s="276"/>
    </row>
    <row r="25" spans="1:26" ht="22.5" customHeight="1">
      <c r="A25" s="526"/>
      <c r="B25" s="526"/>
      <c r="C25" s="526"/>
      <c r="D25" s="526"/>
      <c r="E25" s="526"/>
      <c r="F25" s="290" t="s">
        <v>215</v>
      </c>
      <c r="G25" s="291">
        <f>E24-G24</f>
        <v>425773.19587628869</v>
      </c>
      <c r="H25" s="287"/>
      <c r="I25" s="526"/>
      <c r="J25" s="526"/>
      <c r="K25" s="288" t="s">
        <v>140</v>
      </c>
      <c r="L25" s="289">
        <f>J24-L24</f>
        <v>3</v>
      </c>
      <c r="M25" s="276"/>
      <c r="N25" s="276"/>
      <c r="O25" s="276"/>
      <c r="P25" s="276"/>
      <c r="Q25" s="276"/>
      <c r="R25" s="276"/>
      <c r="S25" s="276"/>
      <c r="T25" s="276"/>
      <c r="U25" s="276"/>
      <c r="V25" s="276"/>
      <c r="W25" s="276"/>
      <c r="X25" s="276"/>
      <c r="Y25" s="276"/>
      <c r="Z25" s="276"/>
    </row>
    <row r="26" spans="1:26" ht="22.5" customHeight="1">
      <c r="A26" s="575" t="s">
        <v>63</v>
      </c>
      <c r="B26" s="576">
        <f>目標_2025R7!I18</f>
        <v>2845360.8247422678</v>
      </c>
      <c r="C26" s="577">
        <f>目標_2025R7!F18</f>
        <v>24</v>
      </c>
      <c r="D26" s="571">
        <f>IF(B26&gt;=2500000, 30%, IF(B26&gt;=2000000, 32%, IF(B26&gt;=1800000, 34%, "")))</f>
        <v>0.3</v>
      </c>
      <c r="E26" s="572">
        <f>B26*D26</f>
        <v>853608.24742268038</v>
      </c>
      <c r="F26" s="285" t="s">
        <v>214</v>
      </c>
      <c r="G26" s="286">
        <f>$G$34</f>
        <v>300000</v>
      </c>
      <c r="H26" s="287"/>
      <c r="I26" s="569">
        <f>G27/$B$33</f>
        <v>80.818722251486193</v>
      </c>
      <c r="J26" s="570">
        <f>CEILING(I26 / C26, 1)</f>
        <v>4</v>
      </c>
      <c r="K26" s="288" t="s">
        <v>139</v>
      </c>
      <c r="L26" s="289">
        <v>0</v>
      </c>
      <c r="M26" s="276"/>
      <c r="N26" s="276"/>
      <c r="O26" s="276"/>
      <c r="P26" s="276"/>
      <c r="Q26" s="276"/>
      <c r="R26" s="276"/>
      <c r="S26" s="276"/>
      <c r="T26" s="276"/>
      <c r="U26" s="276"/>
      <c r="V26" s="276"/>
      <c r="W26" s="276"/>
      <c r="X26" s="276"/>
      <c r="Y26" s="276"/>
      <c r="Z26" s="276"/>
    </row>
    <row r="27" spans="1:26" ht="22.5" customHeight="1">
      <c r="A27" s="526"/>
      <c r="B27" s="526"/>
      <c r="C27" s="526"/>
      <c r="D27" s="526"/>
      <c r="E27" s="526"/>
      <c r="F27" s="290" t="s">
        <v>215</v>
      </c>
      <c r="G27" s="291">
        <f>E26-G26</f>
        <v>553608.24742268038</v>
      </c>
      <c r="H27" s="287"/>
      <c r="I27" s="526"/>
      <c r="J27" s="526"/>
      <c r="K27" s="288" t="s">
        <v>140</v>
      </c>
      <c r="L27" s="289">
        <f>J26-L26</f>
        <v>4</v>
      </c>
      <c r="M27" s="276"/>
      <c r="N27" s="276"/>
      <c r="O27" s="276"/>
      <c r="P27" s="276"/>
      <c r="Q27" s="276"/>
      <c r="R27" s="276"/>
      <c r="S27" s="276"/>
      <c r="T27" s="276"/>
      <c r="U27" s="276"/>
      <c r="V27" s="276"/>
      <c r="W27" s="276"/>
      <c r="X27" s="276"/>
      <c r="Y27" s="276"/>
      <c r="Z27" s="276"/>
    </row>
    <row r="28" spans="1:26" ht="12.75" customHeight="1">
      <c r="A28" s="276"/>
      <c r="B28" s="276"/>
      <c r="C28" s="276"/>
      <c r="D28" s="276"/>
      <c r="E28" s="276"/>
      <c r="F28" s="276"/>
      <c r="G28" s="276"/>
      <c r="H28" s="276"/>
      <c r="I28" s="276"/>
      <c r="J28" s="293"/>
      <c r="K28" s="293"/>
      <c r="L28" s="276"/>
      <c r="M28" s="276"/>
      <c r="N28" s="276"/>
      <c r="O28" s="276"/>
      <c r="P28" s="276"/>
      <c r="Q28" s="276"/>
      <c r="R28" s="276"/>
      <c r="S28" s="276"/>
      <c r="T28" s="276"/>
      <c r="U28" s="276"/>
      <c r="V28" s="276"/>
      <c r="W28" s="276"/>
      <c r="X28" s="276"/>
      <c r="Y28" s="276"/>
      <c r="Z28" s="276"/>
    </row>
    <row r="29" spans="1:26" ht="18.75" customHeight="1">
      <c r="A29" s="578" t="s">
        <v>216</v>
      </c>
      <c r="B29" s="483"/>
      <c r="C29" s="276"/>
      <c r="D29" s="579" t="s">
        <v>217</v>
      </c>
      <c r="E29" s="486"/>
      <c r="F29" s="486"/>
      <c r="G29" s="483"/>
      <c r="H29" s="276"/>
      <c r="I29" s="276"/>
      <c r="J29" s="276"/>
      <c r="K29" s="276"/>
      <c r="L29" s="276"/>
      <c r="M29" s="276"/>
      <c r="N29" s="276"/>
      <c r="O29" s="276"/>
      <c r="P29" s="276"/>
      <c r="Q29" s="276"/>
      <c r="R29" s="276"/>
      <c r="S29" s="276"/>
      <c r="T29" s="276"/>
      <c r="U29" s="276"/>
      <c r="V29" s="276"/>
      <c r="W29" s="276"/>
      <c r="X29" s="276"/>
      <c r="Y29" s="276"/>
      <c r="Z29" s="276"/>
    </row>
    <row r="30" spans="1:26" ht="18.75" customHeight="1">
      <c r="A30" s="294" t="s">
        <v>218</v>
      </c>
      <c r="B30" s="295">
        <v>1300</v>
      </c>
      <c r="C30" s="276"/>
      <c r="D30" s="573" t="s">
        <v>219</v>
      </c>
      <c r="E30" s="296">
        <v>400000</v>
      </c>
      <c r="F30" s="297">
        <v>0</v>
      </c>
      <c r="G30" s="295">
        <f t="shared" ref="G30:G33" si="0">E30*F30</f>
        <v>0</v>
      </c>
      <c r="H30" s="276"/>
      <c r="I30" s="276"/>
      <c r="J30" s="276"/>
      <c r="K30" s="276"/>
      <c r="L30" s="276"/>
      <c r="M30" s="276"/>
      <c r="N30" s="276"/>
      <c r="O30" s="276"/>
      <c r="P30" s="276"/>
      <c r="Q30" s="276"/>
      <c r="R30" s="276"/>
      <c r="S30" s="276"/>
      <c r="T30" s="276"/>
      <c r="U30" s="276"/>
      <c r="V30" s="276"/>
      <c r="W30" s="276"/>
      <c r="X30" s="276"/>
      <c r="Y30" s="276"/>
      <c r="Z30" s="276"/>
    </row>
    <row r="31" spans="1:26" ht="18.75" customHeight="1">
      <c r="A31" s="294" t="s">
        <v>220</v>
      </c>
      <c r="B31" s="294">
        <v>4.5</v>
      </c>
      <c r="C31" s="276"/>
      <c r="D31" s="525"/>
      <c r="E31" s="296">
        <v>350000</v>
      </c>
      <c r="F31" s="297">
        <v>0</v>
      </c>
      <c r="G31" s="295">
        <f t="shared" si="0"/>
        <v>0</v>
      </c>
      <c r="H31" s="276"/>
      <c r="I31" s="276"/>
      <c r="J31" s="276"/>
      <c r="K31" s="276"/>
      <c r="L31" s="276"/>
      <c r="M31" s="276"/>
      <c r="N31" s="276"/>
      <c r="O31" s="276"/>
      <c r="P31" s="276"/>
      <c r="Q31" s="276"/>
      <c r="R31" s="276"/>
      <c r="S31" s="276"/>
      <c r="T31" s="276"/>
      <c r="U31" s="276"/>
      <c r="V31" s="276"/>
      <c r="W31" s="276"/>
      <c r="X31" s="276"/>
      <c r="Y31" s="276"/>
      <c r="Z31" s="276"/>
    </row>
    <row r="32" spans="1:26" ht="18.75" customHeight="1">
      <c r="A32" s="294" t="s">
        <v>221</v>
      </c>
      <c r="B32" s="295">
        <v>1000</v>
      </c>
      <c r="C32" s="276"/>
      <c r="D32" s="525"/>
      <c r="E32" s="296">
        <v>300000</v>
      </c>
      <c r="F32" s="297">
        <v>1</v>
      </c>
      <c r="G32" s="295">
        <f t="shared" si="0"/>
        <v>300000</v>
      </c>
      <c r="H32" s="276"/>
      <c r="I32" s="276"/>
      <c r="J32" s="276"/>
      <c r="K32" s="276"/>
      <c r="L32" s="276"/>
      <c r="M32" s="276"/>
      <c r="N32" s="276"/>
      <c r="O32" s="276"/>
      <c r="P32" s="276"/>
      <c r="Q32" s="276"/>
      <c r="R32" s="276"/>
      <c r="S32" s="276"/>
      <c r="T32" s="276"/>
      <c r="U32" s="276"/>
      <c r="V32" s="276"/>
      <c r="W32" s="276"/>
      <c r="X32" s="276"/>
      <c r="Y32" s="276"/>
      <c r="Z32" s="276"/>
    </row>
    <row r="33" spans="1:26" ht="18.75" customHeight="1">
      <c r="A33" s="281" t="s">
        <v>176</v>
      </c>
      <c r="B33" s="298">
        <f>(B30*B31)+B32</f>
        <v>6850</v>
      </c>
      <c r="C33" s="276"/>
      <c r="D33" s="526"/>
      <c r="E33" s="296">
        <v>250000</v>
      </c>
      <c r="F33" s="297">
        <v>0</v>
      </c>
      <c r="G33" s="295">
        <f t="shared" si="0"/>
        <v>0</v>
      </c>
      <c r="H33" s="276"/>
      <c r="I33" s="276"/>
      <c r="J33" s="276"/>
      <c r="K33" s="276"/>
      <c r="L33" s="276"/>
      <c r="M33" s="276"/>
      <c r="N33" s="276"/>
      <c r="O33" s="276"/>
      <c r="P33" s="276"/>
      <c r="Q33" s="276"/>
      <c r="R33" s="276"/>
      <c r="S33" s="276"/>
      <c r="T33" s="276"/>
      <c r="U33" s="276"/>
      <c r="V33" s="276"/>
      <c r="W33" s="276"/>
      <c r="X33" s="276"/>
      <c r="Y33" s="276"/>
      <c r="Z33" s="276"/>
    </row>
    <row r="34" spans="1:26" ht="18.75" customHeight="1">
      <c r="A34" s="276"/>
      <c r="B34" s="276"/>
      <c r="C34" s="276"/>
      <c r="D34" s="574" t="s">
        <v>176</v>
      </c>
      <c r="E34" s="486"/>
      <c r="F34" s="483"/>
      <c r="G34" s="295">
        <f>SUM(G30:G33)</f>
        <v>300000</v>
      </c>
      <c r="H34" s="276"/>
      <c r="I34" s="276"/>
      <c r="J34" s="276"/>
      <c r="K34" s="276"/>
      <c r="L34" s="276"/>
      <c r="M34" s="276"/>
      <c r="N34" s="276"/>
      <c r="O34" s="276"/>
      <c r="P34" s="276"/>
      <c r="Q34" s="276"/>
      <c r="R34" s="276"/>
      <c r="S34" s="276"/>
      <c r="T34" s="276"/>
      <c r="U34" s="276"/>
      <c r="V34" s="276"/>
      <c r="W34" s="276"/>
      <c r="X34" s="276"/>
      <c r="Y34" s="276"/>
      <c r="Z34" s="276"/>
    </row>
    <row r="35" spans="1:26" ht="18.75" customHeight="1">
      <c r="A35" s="276"/>
      <c r="B35" s="276"/>
      <c r="C35" s="276"/>
      <c r="D35" s="276"/>
      <c r="E35" s="276"/>
      <c r="F35" s="276"/>
      <c r="G35" s="276"/>
      <c r="H35" s="276"/>
      <c r="I35" s="276"/>
      <c r="J35" s="276"/>
      <c r="K35" s="276"/>
      <c r="L35" s="276"/>
      <c r="M35" s="276"/>
      <c r="N35" s="276"/>
      <c r="O35" s="276"/>
      <c r="P35" s="276"/>
      <c r="Q35" s="276"/>
      <c r="R35" s="276"/>
      <c r="S35" s="276"/>
      <c r="T35" s="276"/>
      <c r="U35" s="276"/>
      <c r="V35" s="276"/>
      <c r="W35" s="276"/>
      <c r="X35" s="276"/>
      <c r="Y35" s="276"/>
      <c r="Z35" s="276"/>
    </row>
    <row r="36" spans="1:26" ht="18.75" customHeight="1">
      <c r="A36" s="276"/>
      <c r="B36" s="276"/>
      <c r="C36" s="276"/>
      <c r="D36" s="276"/>
      <c r="E36" s="276"/>
      <c r="F36" s="276"/>
      <c r="G36" s="276"/>
      <c r="H36" s="276"/>
      <c r="I36" s="276"/>
      <c r="J36" s="276"/>
      <c r="K36" s="276"/>
      <c r="L36" s="276"/>
      <c r="M36" s="276"/>
      <c r="N36" s="276"/>
      <c r="O36" s="276"/>
      <c r="P36" s="276"/>
      <c r="Q36" s="276"/>
      <c r="R36" s="276"/>
      <c r="S36" s="276"/>
      <c r="T36" s="276"/>
      <c r="U36" s="276"/>
      <c r="V36" s="276"/>
      <c r="W36" s="276"/>
      <c r="X36" s="276"/>
      <c r="Y36" s="276"/>
      <c r="Z36" s="276"/>
    </row>
    <row r="37" spans="1:26" ht="18.75" customHeight="1">
      <c r="A37" s="276"/>
      <c r="B37" s="276"/>
      <c r="C37" s="276"/>
      <c r="D37" s="276"/>
      <c r="E37" s="276"/>
      <c r="F37" s="276"/>
      <c r="G37" s="276"/>
      <c r="H37" s="276"/>
      <c r="I37" s="276"/>
      <c r="J37" s="276"/>
      <c r="K37" s="276"/>
      <c r="L37" s="276"/>
      <c r="M37" s="276"/>
      <c r="N37" s="276"/>
      <c r="O37" s="276"/>
      <c r="P37" s="276"/>
      <c r="Q37" s="276"/>
      <c r="R37" s="276"/>
      <c r="S37" s="276"/>
      <c r="T37" s="276"/>
      <c r="U37" s="276"/>
      <c r="V37" s="276"/>
      <c r="W37" s="276"/>
      <c r="X37" s="276"/>
      <c r="Y37" s="276"/>
      <c r="Z37" s="276"/>
    </row>
    <row r="38" spans="1:26" ht="18.75" customHeight="1">
      <c r="A38" s="276"/>
      <c r="B38" s="276"/>
      <c r="C38" s="276"/>
      <c r="D38" s="276"/>
      <c r="E38" s="276"/>
      <c r="F38" s="276"/>
      <c r="G38" s="276"/>
      <c r="H38" s="276"/>
      <c r="I38" s="276"/>
      <c r="J38" s="276"/>
      <c r="K38" s="276"/>
      <c r="L38" s="276"/>
      <c r="M38" s="276"/>
      <c r="N38" s="276"/>
      <c r="O38" s="276"/>
      <c r="P38" s="276"/>
      <c r="Q38" s="276"/>
      <c r="R38" s="276"/>
      <c r="S38" s="276"/>
      <c r="T38" s="276"/>
      <c r="U38" s="276"/>
      <c r="V38" s="276"/>
      <c r="W38" s="276"/>
      <c r="X38" s="276"/>
      <c r="Y38" s="276"/>
      <c r="Z38" s="276"/>
    </row>
    <row r="39" spans="1:26" ht="18.75" customHeight="1">
      <c r="A39" s="276"/>
      <c r="B39" s="276"/>
      <c r="C39" s="276"/>
      <c r="D39" s="276"/>
      <c r="E39" s="276"/>
      <c r="F39" s="276"/>
      <c r="G39" s="276"/>
      <c r="H39" s="276"/>
      <c r="I39" s="276"/>
      <c r="J39" s="276"/>
      <c r="K39" s="276"/>
      <c r="L39" s="276"/>
      <c r="M39" s="276"/>
      <c r="N39" s="276"/>
      <c r="O39" s="276"/>
      <c r="P39" s="276"/>
      <c r="Q39" s="276"/>
      <c r="R39" s="276"/>
      <c r="S39" s="276"/>
      <c r="T39" s="276"/>
      <c r="U39" s="276"/>
      <c r="V39" s="276"/>
      <c r="W39" s="276"/>
      <c r="X39" s="276"/>
      <c r="Y39" s="276"/>
      <c r="Z39" s="276"/>
    </row>
    <row r="40" spans="1:26" ht="18.75" customHeight="1">
      <c r="A40" s="276"/>
      <c r="B40" s="276"/>
      <c r="C40" s="276"/>
      <c r="D40" s="276"/>
      <c r="E40" s="276"/>
      <c r="F40" s="276"/>
      <c r="G40" s="276"/>
      <c r="H40" s="276"/>
      <c r="I40" s="276"/>
      <c r="J40" s="276"/>
      <c r="K40" s="276"/>
      <c r="L40" s="276"/>
      <c r="M40" s="276"/>
      <c r="N40" s="276"/>
      <c r="O40" s="276"/>
      <c r="P40" s="276"/>
      <c r="Q40" s="276"/>
      <c r="R40" s="276"/>
      <c r="S40" s="276"/>
      <c r="T40" s="276"/>
      <c r="U40" s="276"/>
      <c r="V40" s="276"/>
      <c r="W40" s="276"/>
      <c r="X40" s="276"/>
      <c r="Y40" s="276"/>
      <c r="Z40" s="276"/>
    </row>
    <row r="41" spans="1:26" ht="18.75" customHeight="1">
      <c r="A41" s="276"/>
      <c r="B41" s="276"/>
      <c r="C41" s="276"/>
      <c r="D41" s="276"/>
      <c r="E41" s="276"/>
      <c r="F41" s="276"/>
      <c r="G41" s="276"/>
      <c r="H41" s="276"/>
      <c r="I41" s="276"/>
      <c r="J41" s="276"/>
      <c r="K41" s="276"/>
      <c r="L41" s="276"/>
      <c r="M41" s="276"/>
      <c r="N41" s="276"/>
      <c r="O41" s="276"/>
      <c r="P41" s="276"/>
      <c r="Q41" s="276"/>
      <c r="R41" s="276"/>
      <c r="S41" s="276"/>
      <c r="T41" s="276"/>
      <c r="U41" s="276"/>
      <c r="V41" s="276"/>
      <c r="W41" s="276"/>
      <c r="X41" s="276"/>
      <c r="Y41" s="276"/>
      <c r="Z41" s="276"/>
    </row>
    <row r="42" spans="1:26" ht="18.75" customHeight="1">
      <c r="A42" s="276"/>
      <c r="B42" s="276"/>
      <c r="C42" s="276"/>
      <c r="D42" s="276"/>
      <c r="E42" s="276"/>
      <c r="F42" s="276"/>
      <c r="G42" s="276"/>
      <c r="H42" s="276"/>
      <c r="I42" s="276"/>
      <c r="J42" s="276"/>
      <c r="K42" s="276"/>
      <c r="L42" s="276"/>
      <c r="M42" s="276"/>
      <c r="N42" s="276"/>
      <c r="O42" s="276"/>
      <c r="P42" s="276"/>
      <c r="Q42" s="276"/>
      <c r="R42" s="276"/>
      <c r="S42" s="276"/>
      <c r="T42" s="276"/>
      <c r="U42" s="276"/>
      <c r="V42" s="276"/>
      <c r="W42" s="276"/>
      <c r="X42" s="276"/>
      <c r="Y42" s="276"/>
      <c r="Z42" s="276"/>
    </row>
    <row r="43" spans="1:26" ht="18.75" customHeight="1">
      <c r="A43" s="276"/>
      <c r="B43" s="276"/>
      <c r="C43" s="276"/>
      <c r="D43" s="276"/>
      <c r="E43" s="276"/>
      <c r="F43" s="276"/>
      <c r="G43" s="276"/>
      <c r="H43" s="276"/>
      <c r="I43" s="276"/>
      <c r="J43" s="276"/>
      <c r="K43" s="276"/>
      <c r="L43" s="276"/>
      <c r="M43" s="276"/>
      <c r="N43" s="276"/>
      <c r="O43" s="276"/>
      <c r="P43" s="276"/>
      <c r="Q43" s="276"/>
      <c r="R43" s="276"/>
      <c r="S43" s="276"/>
      <c r="T43" s="276"/>
      <c r="U43" s="276"/>
      <c r="V43" s="276"/>
      <c r="W43" s="276"/>
      <c r="X43" s="276"/>
      <c r="Y43" s="276"/>
      <c r="Z43" s="276"/>
    </row>
    <row r="44" spans="1:26" ht="18.75" customHeight="1">
      <c r="A44" s="276"/>
      <c r="B44" s="276"/>
      <c r="C44" s="276"/>
      <c r="D44" s="276"/>
      <c r="E44" s="276"/>
      <c r="F44" s="276"/>
      <c r="G44" s="276"/>
      <c r="H44" s="276"/>
      <c r="I44" s="276"/>
      <c r="J44" s="276"/>
      <c r="K44" s="276"/>
      <c r="L44" s="276"/>
      <c r="M44" s="276"/>
      <c r="N44" s="276"/>
      <c r="O44" s="276"/>
      <c r="P44" s="276"/>
      <c r="Q44" s="276"/>
      <c r="R44" s="276"/>
      <c r="S44" s="276"/>
      <c r="T44" s="276"/>
      <c r="U44" s="276"/>
      <c r="V44" s="276"/>
      <c r="W44" s="276"/>
      <c r="X44" s="276"/>
      <c r="Y44" s="276"/>
      <c r="Z44" s="276"/>
    </row>
    <row r="45" spans="1:26" ht="18.75" customHeight="1">
      <c r="A45" s="276"/>
      <c r="B45" s="276"/>
      <c r="C45" s="276"/>
      <c r="D45" s="276"/>
      <c r="E45" s="276"/>
      <c r="F45" s="276"/>
      <c r="G45" s="276"/>
      <c r="H45" s="276"/>
      <c r="I45" s="276"/>
      <c r="J45" s="276"/>
      <c r="K45" s="276"/>
      <c r="L45" s="276"/>
      <c r="M45" s="276"/>
      <c r="N45" s="276"/>
      <c r="O45" s="276"/>
      <c r="P45" s="276"/>
      <c r="Q45" s="276"/>
      <c r="R45" s="276"/>
      <c r="S45" s="276"/>
      <c r="T45" s="276"/>
      <c r="U45" s="276"/>
      <c r="V45" s="276"/>
      <c r="W45" s="276"/>
      <c r="X45" s="276"/>
      <c r="Y45" s="276"/>
      <c r="Z45" s="276"/>
    </row>
    <row r="46" spans="1:26" ht="18.75" customHeight="1">
      <c r="A46" s="276"/>
      <c r="B46" s="276"/>
      <c r="C46" s="276"/>
      <c r="D46" s="276"/>
      <c r="E46" s="276"/>
      <c r="F46" s="276"/>
      <c r="G46" s="276"/>
      <c r="H46" s="276"/>
      <c r="I46" s="276"/>
      <c r="J46" s="276"/>
      <c r="K46" s="276"/>
      <c r="L46" s="276"/>
      <c r="M46" s="276"/>
      <c r="N46" s="276"/>
      <c r="O46" s="276"/>
      <c r="P46" s="276"/>
      <c r="Q46" s="276"/>
      <c r="R46" s="276"/>
      <c r="S46" s="276"/>
      <c r="T46" s="276"/>
      <c r="U46" s="276"/>
      <c r="V46" s="276"/>
      <c r="W46" s="276"/>
      <c r="X46" s="276"/>
      <c r="Y46" s="276"/>
      <c r="Z46" s="276"/>
    </row>
    <row r="47" spans="1:26" ht="18.75" customHeight="1">
      <c r="A47" s="276"/>
      <c r="B47" s="276"/>
      <c r="C47" s="276"/>
      <c r="D47" s="276"/>
      <c r="E47" s="276"/>
      <c r="F47" s="276"/>
      <c r="G47" s="276"/>
      <c r="H47" s="276"/>
      <c r="I47" s="276"/>
      <c r="J47" s="276"/>
      <c r="K47" s="276"/>
      <c r="L47" s="276"/>
      <c r="M47" s="276"/>
      <c r="N47" s="276"/>
      <c r="O47" s="276"/>
      <c r="P47" s="276"/>
      <c r="Q47" s="276"/>
      <c r="R47" s="276"/>
      <c r="S47" s="276"/>
      <c r="T47" s="276"/>
      <c r="U47" s="276"/>
      <c r="V47" s="276"/>
      <c r="W47" s="276"/>
      <c r="X47" s="276"/>
      <c r="Y47" s="276"/>
      <c r="Z47" s="276"/>
    </row>
    <row r="48" spans="1:26" ht="18.75" customHeight="1">
      <c r="A48" s="276"/>
      <c r="B48" s="276"/>
      <c r="C48" s="276"/>
      <c r="D48" s="276"/>
      <c r="E48" s="276"/>
      <c r="F48" s="276"/>
      <c r="G48" s="276"/>
      <c r="H48" s="276"/>
      <c r="I48" s="276"/>
      <c r="J48" s="276"/>
      <c r="K48" s="276"/>
      <c r="L48" s="276"/>
      <c r="M48" s="276"/>
      <c r="N48" s="276"/>
      <c r="O48" s="276"/>
      <c r="P48" s="276"/>
      <c r="Q48" s="276"/>
      <c r="R48" s="276"/>
      <c r="S48" s="276"/>
      <c r="T48" s="276"/>
      <c r="U48" s="276"/>
      <c r="V48" s="276"/>
      <c r="W48" s="276"/>
      <c r="X48" s="276"/>
      <c r="Y48" s="276"/>
      <c r="Z48" s="276"/>
    </row>
    <row r="49" spans="1:26" ht="18.75" customHeight="1">
      <c r="A49" s="276"/>
      <c r="B49" s="276"/>
      <c r="C49" s="276"/>
      <c r="D49" s="276"/>
      <c r="E49" s="276"/>
      <c r="F49" s="276"/>
      <c r="G49" s="276"/>
      <c r="H49" s="276"/>
      <c r="I49" s="276"/>
      <c r="J49" s="276"/>
      <c r="K49" s="276"/>
      <c r="L49" s="276"/>
      <c r="M49" s="276"/>
      <c r="N49" s="276"/>
      <c r="O49" s="276"/>
      <c r="P49" s="276"/>
      <c r="Q49" s="276"/>
      <c r="R49" s="276"/>
      <c r="S49" s="276"/>
      <c r="T49" s="276"/>
      <c r="U49" s="276"/>
      <c r="V49" s="276"/>
      <c r="W49" s="276"/>
      <c r="X49" s="276"/>
      <c r="Y49" s="276"/>
      <c r="Z49" s="276"/>
    </row>
    <row r="50" spans="1:26" ht="18.75" customHeight="1">
      <c r="A50" s="276"/>
      <c r="B50" s="276"/>
      <c r="C50" s="276"/>
      <c r="D50" s="276"/>
      <c r="E50" s="276"/>
      <c r="F50" s="276"/>
      <c r="G50" s="276"/>
      <c r="H50" s="276"/>
      <c r="I50" s="276"/>
      <c r="J50" s="276"/>
      <c r="K50" s="276"/>
      <c r="L50" s="276"/>
      <c r="M50" s="276"/>
      <c r="N50" s="276"/>
      <c r="O50" s="276"/>
      <c r="P50" s="276"/>
      <c r="Q50" s="276"/>
      <c r="R50" s="276"/>
      <c r="S50" s="276"/>
      <c r="T50" s="276"/>
      <c r="U50" s="276"/>
      <c r="V50" s="276"/>
      <c r="W50" s="276"/>
      <c r="X50" s="276"/>
      <c r="Y50" s="276"/>
      <c r="Z50" s="276"/>
    </row>
    <row r="51" spans="1:26" ht="18.75" customHeight="1">
      <c r="A51" s="276"/>
      <c r="B51" s="276"/>
      <c r="C51" s="276"/>
      <c r="D51" s="276"/>
      <c r="E51" s="276"/>
      <c r="F51" s="276"/>
      <c r="G51" s="276"/>
      <c r="H51" s="276"/>
      <c r="I51" s="276"/>
      <c r="J51" s="276"/>
      <c r="K51" s="276"/>
      <c r="L51" s="276"/>
      <c r="M51" s="276"/>
      <c r="N51" s="276"/>
      <c r="O51" s="276"/>
      <c r="P51" s="276"/>
      <c r="Q51" s="276"/>
      <c r="R51" s="276"/>
      <c r="S51" s="276"/>
      <c r="T51" s="276"/>
      <c r="U51" s="276"/>
      <c r="V51" s="276"/>
      <c r="W51" s="276"/>
      <c r="X51" s="276"/>
      <c r="Y51" s="276"/>
      <c r="Z51" s="276"/>
    </row>
    <row r="52" spans="1:26" ht="18.75" customHeight="1">
      <c r="A52" s="276"/>
      <c r="B52" s="276"/>
      <c r="C52" s="276"/>
      <c r="D52" s="276"/>
      <c r="E52" s="276"/>
      <c r="F52" s="276"/>
      <c r="G52" s="276"/>
      <c r="H52" s="276"/>
      <c r="I52" s="276"/>
      <c r="J52" s="276"/>
      <c r="K52" s="276"/>
      <c r="L52" s="276"/>
      <c r="M52" s="276"/>
      <c r="N52" s="276"/>
      <c r="O52" s="276"/>
      <c r="P52" s="276"/>
      <c r="Q52" s="276"/>
      <c r="R52" s="276"/>
      <c r="S52" s="276"/>
      <c r="T52" s="276"/>
      <c r="U52" s="276"/>
      <c r="V52" s="276"/>
      <c r="W52" s="276"/>
      <c r="X52" s="276"/>
      <c r="Y52" s="276"/>
      <c r="Z52" s="276"/>
    </row>
    <row r="53" spans="1:26" ht="18.75" customHeight="1">
      <c r="A53" s="276"/>
      <c r="B53" s="276"/>
      <c r="C53" s="276"/>
      <c r="D53" s="276"/>
      <c r="E53" s="276"/>
      <c r="F53" s="276"/>
      <c r="G53" s="276"/>
      <c r="H53" s="276"/>
      <c r="I53" s="276"/>
      <c r="J53" s="276"/>
      <c r="K53" s="276"/>
      <c r="L53" s="276"/>
      <c r="M53" s="276"/>
      <c r="N53" s="276"/>
      <c r="O53" s="276"/>
      <c r="P53" s="276"/>
      <c r="Q53" s="276"/>
      <c r="R53" s="276"/>
      <c r="S53" s="276"/>
      <c r="T53" s="276"/>
      <c r="U53" s="276"/>
      <c r="V53" s="276"/>
      <c r="W53" s="276"/>
      <c r="X53" s="276"/>
      <c r="Y53" s="276"/>
      <c r="Z53" s="276"/>
    </row>
    <row r="54" spans="1:26" ht="18.75" customHeight="1">
      <c r="A54" s="276"/>
      <c r="B54" s="276"/>
      <c r="C54" s="276"/>
      <c r="D54" s="276"/>
      <c r="E54" s="276"/>
      <c r="F54" s="276"/>
      <c r="G54" s="276"/>
      <c r="H54" s="276"/>
      <c r="I54" s="276"/>
      <c r="J54" s="276"/>
      <c r="K54" s="276"/>
      <c r="L54" s="276"/>
      <c r="M54" s="276"/>
      <c r="N54" s="276"/>
      <c r="O54" s="276"/>
      <c r="P54" s="276"/>
      <c r="Q54" s="276"/>
      <c r="R54" s="276"/>
      <c r="S54" s="276"/>
      <c r="T54" s="276"/>
      <c r="U54" s="276"/>
      <c r="V54" s="276"/>
      <c r="W54" s="276"/>
      <c r="X54" s="276"/>
      <c r="Y54" s="276"/>
      <c r="Z54" s="276"/>
    </row>
    <row r="55" spans="1:26" ht="18.75" customHeight="1">
      <c r="A55" s="276"/>
      <c r="B55" s="276"/>
      <c r="C55" s="276"/>
      <c r="D55" s="276"/>
      <c r="E55" s="276"/>
      <c r="F55" s="276"/>
      <c r="G55" s="276"/>
      <c r="H55" s="276"/>
      <c r="I55" s="276"/>
      <c r="J55" s="276"/>
      <c r="K55" s="276"/>
      <c r="L55" s="276"/>
      <c r="M55" s="276"/>
      <c r="N55" s="276"/>
      <c r="O55" s="276"/>
      <c r="P55" s="276"/>
      <c r="Q55" s="276"/>
      <c r="R55" s="276"/>
      <c r="S55" s="276"/>
      <c r="T55" s="276"/>
      <c r="U55" s="276"/>
      <c r="V55" s="276"/>
      <c r="W55" s="276"/>
      <c r="X55" s="276"/>
      <c r="Y55" s="276"/>
      <c r="Z55" s="276"/>
    </row>
    <row r="56" spans="1:26" ht="18.75" customHeight="1">
      <c r="A56" s="276"/>
      <c r="B56" s="276"/>
      <c r="C56" s="276"/>
      <c r="D56" s="276"/>
      <c r="E56" s="276"/>
      <c r="F56" s="276"/>
      <c r="G56" s="276"/>
      <c r="H56" s="276"/>
      <c r="I56" s="276"/>
      <c r="J56" s="276"/>
      <c r="K56" s="276"/>
      <c r="L56" s="276"/>
      <c r="M56" s="276"/>
      <c r="N56" s="276"/>
      <c r="O56" s="276"/>
      <c r="P56" s="276"/>
      <c r="Q56" s="276"/>
      <c r="R56" s="276"/>
      <c r="S56" s="276"/>
      <c r="T56" s="276"/>
      <c r="U56" s="276"/>
      <c r="V56" s="276"/>
      <c r="W56" s="276"/>
      <c r="X56" s="276"/>
      <c r="Y56" s="276"/>
      <c r="Z56" s="276"/>
    </row>
    <row r="57" spans="1:26" ht="18.75" customHeight="1">
      <c r="A57" s="276"/>
      <c r="B57" s="276"/>
      <c r="C57" s="276"/>
      <c r="D57" s="276"/>
      <c r="E57" s="276"/>
      <c r="F57" s="276"/>
      <c r="G57" s="276"/>
      <c r="H57" s="276"/>
      <c r="I57" s="276"/>
      <c r="J57" s="276"/>
      <c r="K57" s="276"/>
      <c r="L57" s="276"/>
      <c r="M57" s="276"/>
      <c r="N57" s="276"/>
      <c r="O57" s="276"/>
      <c r="P57" s="276"/>
      <c r="Q57" s="276"/>
      <c r="R57" s="276"/>
      <c r="S57" s="276"/>
      <c r="T57" s="276"/>
      <c r="U57" s="276"/>
      <c r="V57" s="276"/>
      <c r="W57" s="276"/>
      <c r="X57" s="276"/>
      <c r="Y57" s="276"/>
      <c r="Z57" s="276"/>
    </row>
    <row r="58" spans="1:26" ht="18.75" customHeight="1">
      <c r="A58" s="276"/>
      <c r="B58" s="276"/>
      <c r="C58" s="276"/>
      <c r="D58" s="276"/>
      <c r="E58" s="276"/>
      <c r="F58" s="276"/>
      <c r="G58" s="276"/>
      <c r="H58" s="276"/>
      <c r="I58" s="276"/>
      <c r="J58" s="276"/>
      <c r="K58" s="276"/>
      <c r="L58" s="276"/>
      <c r="M58" s="276"/>
      <c r="N58" s="276"/>
      <c r="O58" s="276"/>
      <c r="P58" s="276"/>
      <c r="Q58" s="276"/>
      <c r="R58" s="276"/>
      <c r="S58" s="276"/>
      <c r="T58" s="276"/>
      <c r="U58" s="276"/>
      <c r="V58" s="276"/>
      <c r="W58" s="276"/>
      <c r="X58" s="276"/>
      <c r="Y58" s="276"/>
      <c r="Z58" s="276"/>
    </row>
    <row r="59" spans="1:26" ht="18.75" customHeight="1">
      <c r="A59" s="276"/>
      <c r="B59" s="276"/>
      <c r="C59" s="276"/>
      <c r="D59" s="276"/>
      <c r="E59" s="276"/>
      <c r="F59" s="276"/>
      <c r="G59" s="276"/>
      <c r="H59" s="276"/>
      <c r="I59" s="276"/>
      <c r="J59" s="276"/>
      <c r="K59" s="276"/>
      <c r="L59" s="276"/>
      <c r="M59" s="276"/>
      <c r="N59" s="276"/>
      <c r="O59" s="276"/>
      <c r="P59" s="276"/>
      <c r="Q59" s="276"/>
      <c r="R59" s="276"/>
      <c r="S59" s="276"/>
      <c r="T59" s="276"/>
      <c r="U59" s="276"/>
      <c r="V59" s="276"/>
      <c r="W59" s="276"/>
      <c r="X59" s="276"/>
      <c r="Y59" s="276"/>
      <c r="Z59" s="276"/>
    </row>
    <row r="60" spans="1:26" ht="18.75" customHeight="1">
      <c r="A60" s="276"/>
      <c r="B60" s="276"/>
      <c r="C60" s="276"/>
      <c r="D60" s="276"/>
      <c r="E60" s="276"/>
      <c r="F60" s="276"/>
      <c r="G60" s="276"/>
      <c r="H60" s="276"/>
      <c r="I60" s="276"/>
      <c r="J60" s="276"/>
      <c r="K60" s="276"/>
      <c r="L60" s="276"/>
      <c r="M60" s="276"/>
      <c r="N60" s="276"/>
      <c r="O60" s="276"/>
      <c r="P60" s="276"/>
      <c r="Q60" s="276"/>
      <c r="R60" s="276"/>
      <c r="S60" s="276"/>
      <c r="T60" s="276"/>
      <c r="U60" s="276"/>
      <c r="V60" s="276"/>
      <c r="W60" s="276"/>
      <c r="X60" s="276"/>
      <c r="Y60" s="276"/>
      <c r="Z60" s="276"/>
    </row>
    <row r="61" spans="1:26" ht="18.75" customHeight="1">
      <c r="A61" s="276"/>
      <c r="B61" s="276"/>
      <c r="C61" s="276"/>
      <c r="D61" s="276"/>
      <c r="E61" s="276"/>
      <c r="F61" s="276"/>
      <c r="G61" s="276"/>
      <c r="H61" s="276"/>
      <c r="I61" s="276"/>
      <c r="J61" s="276"/>
      <c r="K61" s="276"/>
      <c r="L61" s="276"/>
      <c r="M61" s="276"/>
      <c r="N61" s="276"/>
      <c r="O61" s="276"/>
      <c r="P61" s="276"/>
      <c r="Q61" s="276"/>
      <c r="R61" s="276"/>
      <c r="S61" s="276"/>
      <c r="T61" s="276"/>
      <c r="U61" s="276"/>
      <c r="V61" s="276"/>
      <c r="W61" s="276"/>
      <c r="X61" s="276"/>
      <c r="Y61" s="276"/>
      <c r="Z61" s="276"/>
    </row>
    <row r="62" spans="1:26" ht="18.75" customHeight="1">
      <c r="A62" s="276"/>
      <c r="B62" s="276"/>
      <c r="C62" s="276"/>
      <c r="D62" s="276"/>
      <c r="E62" s="276"/>
      <c r="F62" s="276"/>
      <c r="G62" s="276"/>
      <c r="H62" s="276"/>
      <c r="I62" s="276"/>
      <c r="J62" s="276"/>
      <c r="K62" s="276"/>
      <c r="L62" s="276"/>
      <c r="M62" s="276"/>
      <c r="N62" s="276"/>
      <c r="O62" s="276"/>
      <c r="P62" s="276"/>
      <c r="Q62" s="276"/>
      <c r="R62" s="276"/>
      <c r="S62" s="276"/>
      <c r="T62" s="276"/>
      <c r="U62" s="276"/>
      <c r="V62" s="276"/>
      <c r="W62" s="276"/>
      <c r="X62" s="276"/>
      <c r="Y62" s="276"/>
      <c r="Z62" s="276"/>
    </row>
    <row r="63" spans="1:26" ht="18.75" customHeight="1">
      <c r="A63" s="276"/>
      <c r="B63" s="276"/>
      <c r="C63" s="276"/>
      <c r="D63" s="276"/>
      <c r="E63" s="276"/>
      <c r="F63" s="276"/>
      <c r="G63" s="276"/>
      <c r="H63" s="276"/>
      <c r="I63" s="276"/>
      <c r="J63" s="276"/>
      <c r="K63" s="276"/>
      <c r="L63" s="276"/>
      <c r="M63" s="276"/>
      <c r="N63" s="276"/>
      <c r="O63" s="276"/>
      <c r="P63" s="276"/>
      <c r="Q63" s="276"/>
      <c r="R63" s="276"/>
      <c r="S63" s="276"/>
      <c r="T63" s="276"/>
      <c r="U63" s="276"/>
      <c r="V63" s="276"/>
      <c r="W63" s="276"/>
      <c r="X63" s="276"/>
      <c r="Y63" s="276"/>
      <c r="Z63" s="276"/>
    </row>
    <row r="64" spans="1:26" ht="18.75" customHeight="1">
      <c r="A64" s="276"/>
      <c r="B64" s="276"/>
      <c r="C64" s="276"/>
      <c r="D64" s="276"/>
      <c r="E64" s="276"/>
      <c r="F64" s="276"/>
      <c r="G64" s="276"/>
      <c r="H64" s="276"/>
      <c r="I64" s="276"/>
      <c r="J64" s="276"/>
      <c r="K64" s="276"/>
      <c r="L64" s="276"/>
      <c r="M64" s="276"/>
      <c r="N64" s="276"/>
      <c r="O64" s="276"/>
      <c r="P64" s="276"/>
      <c r="Q64" s="276"/>
      <c r="R64" s="276"/>
      <c r="S64" s="276"/>
      <c r="T64" s="276"/>
      <c r="U64" s="276"/>
      <c r="V64" s="276"/>
      <c r="W64" s="276"/>
      <c r="X64" s="276"/>
      <c r="Y64" s="276"/>
      <c r="Z64" s="276"/>
    </row>
    <row r="65" spans="1:26" ht="18.75" customHeight="1">
      <c r="A65" s="276"/>
      <c r="B65" s="276"/>
      <c r="C65" s="276"/>
      <c r="D65" s="276"/>
      <c r="E65" s="276"/>
      <c r="F65" s="276"/>
      <c r="G65" s="276"/>
      <c r="H65" s="276"/>
      <c r="I65" s="276"/>
      <c r="J65" s="276"/>
      <c r="K65" s="276"/>
      <c r="L65" s="276"/>
      <c r="M65" s="276"/>
      <c r="N65" s="276"/>
      <c r="O65" s="276"/>
      <c r="P65" s="276"/>
      <c r="Q65" s="276"/>
      <c r="R65" s="276"/>
      <c r="S65" s="276"/>
      <c r="T65" s="276"/>
      <c r="U65" s="276"/>
      <c r="V65" s="276"/>
      <c r="W65" s="276"/>
      <c r="X65" s="276"/>
      <c r="Y65" s="276"/>
      <c r="Z65" s="276"/>
    </row>
    <row r="66" spans="1:26" ht="18.75" customHeight="1">
      <c r="A66" s="276"/>
      <c r="B66" s="276"/>
      <c r="C66" s="276"/>
      <c r="D66" s="276"/>
      <c r="E66" s="276"/>
      <c r="F66" s="276"/>
      <c r="G66" s="276"/>
      <c r="H66" s="276"/>
      <c r="I66" s="276"/>
      <c r="J66" s="276"/>
      <c r="K66" s="276"/>
      <c r="L66" s="276"/>
      <c r="M66" s="276"/>
      <c r="N66" s="276"/>
      <c r="O66" s="276"/>
      <c r="P66" s="276"/>
      <c r="Q66" s="276"/>
      <c r="R66" s="276"/>
      <c r="S66" s="276"/>
      <c r="T66" s="276"/>
      <c r="U66" s="276"/>
      <c r="V66" s="276"/>
      <c r="W66" s="276"/>
      <c r="X66" s="276"/>
      <c r="Y66" s="276"/>
      <c r="Z66" s="276"/>
    </row>
    <row r="67" spans="1:26" ht="18.75" customHeight="1">
      <c r="A67" s="276"/>
      <c r="B67" s="276"/>
      <c r="C67" s="276"/>
      <c r="D67" s="276"/>
      <c r="E67" s="276"/>
      <c r="F67" s="276"/>
      <c r="G67" s="276"/>
      <c r="H67" s="276"/>
      <c r="I67" s="276"/>
      <c r="J67" s="276"/>
      <c r="K67" s="276"/>
      <c r="L67" s="276"/>
      <c r="M67" s="276"/>
      <c r="N67" s="276"/>
      <c r="O67" s="276"/>
      <c r="P67" s="276"/>
      <c r="Q67" s="276"/>
      <c r="R67" s="276"/>
      <c r="S67" s="276"/>
      <c r="T67" s="276"/>
      <c r="U67" s="276"/>
      <c r="V67" s="276"/>
      <c r="W67" s="276"/>
      <c r="X67" s="276"/>
      <c r="Y67" s="276"/>
      <c r="Z67" s="276"/>
    </row>
    <row r="68" spans="1:26" ht="18.75" customHeight="1">
      <c r="A68" s="276"/>
      <c r="B68" s="276"/>
      <c r="C68" s="276"/>
      <c r="D68" s="276"/>
      <c r="E68" s="276"/>
      <c r="F68" s="276"/>
      <c r="G68" s="276"/>
      <c r="H68" s="276"/>
      <c r="I68" s="276"/>
      <c r="J68" s="276"/>
      <c r="K68" s="276"/>
      <c r="L68" s="276"/>
      <c r="M68" s="276"/>
      <c r="N68" s="276"/>
      <c r="O68" s="276"/>
      <c r="P68" s="276"/>
      <c r="Q68" s="276"/>
      <c r="R68" s="276"/>
      <c r="S68" s="276"/>
      <c r="T68" s="276"/>
      <c r="U68" s="276"/>
      <c r="V68" s="276"/>
      <c r="W68" s="276"/>
      <c r="X68" s="276"/>
      <c r="Y68" s="276"/>
      <c r="Z68" s="276"/>
    </row>
    <row r="69" spans="1:26" ht="18.75" customHeight="1">
      <c r="A69" s="276"/>
      <c r="B69" s="276"/>
      <c r="C69" s="276"/>
      <c r="D69" s="276"/>
      <c r="E69" s="276"/>
      <c r="F69" s="276"/>
      <c r="G69" s="276"/>
      <c r="H69" s="276"/>
      <c r="I69" s="276"/>
      <c r="J69" s="276"/>
      <c r="K69" s="276"/>
      <c r="L69" s="276"/>
      <c r="M69" s="276"/>
      <c r="N69" s="276"/>
      <c r="O69" s="276"/>
      <c r="P69" s="276"/>
      <c r="Q69" s="276"/>
      <c r="R69" s="276"/>
      <c r="S69" s="276"/>
      <c r="T69" s="276"/>
      <c r="U69" s="276"/>
      <c r="V69" s="276"/>
      <c r="W69" s="276"/>
      <c r="X69" s="276"/>
      <c r="Y69" s="276"/>
      <c r="Z69" s="276"/>
    </row>
    <row r="70" spans="1:26" ht="18.75" customHeight="1">
      <c r="A70" s="276"/>
      <c r="B70" s="276"/>
      <c r="C70" s="276"/>
      <c r="D70" s="276"/>
      <c r="E70" s="276"/>
      <c r="F70" s="276"/>
      <c r="G70" s="276"/>
      <c r="H70" s="276"/>
      <c r="I70" s="276"/>
      <c r="J70" s="276"/>
      <c r="K70" s="276"/>
      <c r="L70" s="276"/>
      <c r="M70" s="276"/>
      <c r="N70" s="276"/>
      <c r="O70" s="276"/>
      <c r="P70" s="276"/>
      <c r="Q70" s="276"/>
      <c r="R70" s="276"/>
      <c r="S70" s="276"/>
      <c r="T70" s="276"/>
      <c r="U70" s="276"/>
      <c r="V70" s="276"/>
      <c r="W70" s="276"/>
      <c r="X70" s="276"/>
      <c r="Y70" s="276"/>
      <c r="Z70" s="276"/>
    </row>
    <row r="71" spans="1:26" ht="18.75" customHeight="1">
      <c r="A71" s="276"/>
      <c r="B71" s="276"/>
      <c r="C71" s="276"/>
      <c r="D71" s="276"/>
      <c r="E71" s="276"/>
      <c r="F71" s="276"/>
      <c r="G71" s="276"/>
      <c r="H71" s="276"/>
      <c r="I71" s="276"/>
      <c r="J71" s="276"/>
      <c r="K71" s="276"/>
      <c r="L71" s="276"/>
      <c r="M71" s="276"/>
      <c r="N71" s="276"/>
      <c r="O71" s="276"/>
      <c r="P71" s="276"/>
      <c r="Q71" s="276"/>
      <c r="R71" s="276"/>
      <c r="S71" s="276"/>
      <c r="T71" s="276"/>
      <c r="U71" s="276"/>
      <c r="V71" s="276"/>
      <c r="W71" s="276"/>
      <c r="X71" s="276"/>
      <c r="Y71" s="276"/>
      <c r="Z71" s="276"/>
    </row>
    <row r="72" spans="1:26" ht="18.75" customHeight="1">
      <c r="A72" s="276"/>
      <c r="B72" s="276"/>
      <c r="C72" s="276"/>
      <c r="D72" s="276"/>
      <c r="E72" s="276"/>
      <c r="F72" s="276"/>
      <c r="G72" s="276"/>
      <c r="H72" s="276"/>
      <c r="I72" s="276"/>
      <c r="J72" s="276"/>
      <c r="K72" s="276"/>
      <c r="L72" s="276"/>
      <c r="M72" s="276"/>
      <c r="N72" s="276"/>
      <c r="O72" s="276"/>
      <c r="P72" s="276"/>
      <c r="Q72" s="276"/>
      <c r="R72" s="276"/>
      <c r="S72" s="276"/>
      <c r="T72" s="276"/>
      <c r="U72" s="276"/>
      <c r="V72" s="276"/>
      <c r="W72" s="276"/>
      <c r="X72" s="276"/>
      <c r="Y72" s="276"/>
      <c r="Z72" s="276"/>
    </row>
    <row r="73" spans="1:26" ht="18.75" customHeight="1">
      <c r="A73" s="276"/>
      <c r="B73" s="276"/>
      <c r="C73" s="276"/>
      <c r="D73" s="276"/>
      <c r="E73" s="276"/>
      <c r="F73" s="276"/>
      <c r="G73" s="276"/>
      <c r="H73" s="276"/>
      <c r="I73" s="276"/>
      <c r="J73" s="276"/>
      <c r="K73" s="276"/>
      <c r="L73" s="276"/>
      <c r="M73" s="276"/>
      <c r="N73" s="276"/>
      <c r="O73" s="276"/>
      <c r="P73" s="276"/>
      <c r="Q73" s="276"/>
      <c r="R73" s="276"/>
      <c r="S73" s="276"/>
      <c r="T73" s="276"/>
      <c r="U73" s="276"/>
      <c r="V73" s="276"/>
      <c r="W73" s="276"/>
      <c r="X73" s="276"/>
      <c r="Y73" s="276"/>
      <c r="Z73" s="276"/>
    </row>
    <row r="74" spans="1:26" ht="18.75" customHeight="1">
      <c r="A74" s="276"/>
      <c r="B74" s="276"/>
      <c r="C74" s="276"/>
      <c r="D74" s="276"/>
      <c r="E74" s="276"/>
      <c r="F74" s="276"/>
      <c r="G74" s="276"/>
      <c r="H74" s="276"/>
      <c r="I74" s="276"/>
      <c r="J74" s="276"/>
      <c r="K74" s="276"/>
      <c r="L74" s="276"/>
      <c r="M74" s="276"/>
      <c r="N74" s="276"/>
      <c r="O74" s="276"/>
      <c r="P74" s="276"/>
      <c r="Q74" s="276"/>
      <c r="R74" s="276"/>
      <c r="S74" s="276"/>
      <c r="T74" s="276"/>
      <c r="U74" s="276"/>
      <c r="V74" s="276"/>
      <c r="W74" s="276"/>
      <c r="X74" s="276"/>
      <c r="Y74" s="276"/>
      <c r="Z74" s="276"/>
    </row>
    <row r="75" spans="1:26" ht="18.75" customHeight="1">
      <c r="A75" s="276"/>
      <c r="B75" s="276"/>
      <c r="C75" s="276"/>
      <c r="D75" s="276"/>
      <c r="E75" s="276"/>
      <c r="F75" s="276"/>
      <c r="G75" s="276"/>
      <c r="H75" s="276"/>
      <c r="I75" s="276"/>
      <c r="J75" s="276"/>
      <c r="K75" s="276"/>
      <c r="L75" s="276"/>
      <c r="M75" s="276"/>
      <c r="N75" s="276"/>
      <c r="O75" s="276"/>
      <c r="P75" s="276"/>
      <c r="Q75" s="276"/>
      <c r="R75" s="276"/>
      <c r="S75" s="276"/>
      <c r="T75" s="276"/>
      <c r="U75" s="276"/>
      <c r="V75" s="276"/>
      <c r="W75" s="276"/>
      <c r="X75" s="276"/>
      <c r="Y75" s="276"/>
      <c r="Z75" s="276"/>
    </row>
    <row r="76" spans="1:26" ht="18.75" customHeight="1">
      <c r="A76" s="276"/>
      <c r="B76" s="276"/>
      <c r="C76" s="276"/>
      <c r="D76" s="276"/>
      <c r="E76" s="276"/>
      <c r="F76" s="276"/>
      <c r="G76" s="276"/>
      <c r="H76" s="276"/>
      <c r="I76" s="276"/>
      <c r="J76" s="276"/>
      <c r="K76" s="276"/>
      <c r="L76" s="276"/>
      <c r="M76" s="276"/>
      <c r="N76" s="276"/>
      <c r="O76" s="276"/>
      <c r="P76" s="276"/>
      <c r="Q76" s="276"/>
      <c r="R76" s="276"/>
      <c r="S76" s="276"/>
      <c r="T76" s="276"/>
      <c r="U76" s="276"/>
      <c r="V76" s="276"/>
      <c r="W76" s="276"/>
      <c r="X76" s="276"/>
      <c r="Y76" s="276"/>
      <c r="Z76" s="276"/>
    </row>
    <row r="77" spans="1:26" ht="18.75" customHeight="1">
      <c r="A77" s="276"/>
      <c r="B77" s="276"/>
      <c r="C77" s="276"/>
      <c r="D77" s="276"/>
      <c r="E77" s="276"/>
      <c r="F77" s="276"/>
      <c r="G77" s="276"/>
      <c r="H77" s="276"/>
      <c r="I77" s="276"/>
      <c r="J77" s="276"/>
      <c r="K77" s="276"/>
      <c r="L77" s="276"/>
      <c r="M77" s="276"/>
      <c r="N77" s="276"/>
      <c r="O77" s="276"/>
      <c r="P77" s="276"/>
      <c r="Q77" s="276"/>
      <c r="R77" s="276"/>
      <c r="S77" s="276"/>
      <c r="T77" s="276"/>
      <c r="U77" s="276"/>
      <c r="V77" s="276"/>
      <c r="W77" s="276"/>
      <c r="X77" s="276"/>
      <c r="Y77" s="276"/>
      <c r="Z77" s="276"/>
    </row>
    <row r="78" spans="1:26" ht="18.75" customHeight="1">
      <c r="A78" s="276"/>
      <c r="B78" s="276"/>
      <c r="C78" s="276"/>
      <c r="D78" s="276"/>
      <c r="E78" s="276"/>
      <c r="F78" s="276"/>
      <c r="G78" s="276"/>
      <c r="H78" s="276"/>
      <c r="I78" s="276"/>
      <c r="J78" s="276"/>
      <c r="K78" s="276"/>
      <c r="L78" s="276"/>
      <c r="M78" s="276"/>
      <c r="N78" s="276"/>
      <c r="O78" s="276"/>
      <c r="P78" s="276"/>
      <c r="Q78" s="276"/>
      <c r="R78" s="276"/>
      <c r="S78" s="276"/>
      <c r="T78" s="276"/>
      <c r="U78" s="276"/>
      <c r="V78" s="276"/>
      <c r="W78" s="276"/>
      <c r="X78" s="276"/>
      <c r="Y78" s="276"/>
      <c r="Z78" s="276"/>
    </row>
    <row r="79" spans="1:26" ht="18.75" customHeight="1">
      <c r="A79" s="276"/>
      <c r="B79" s="276"/>
      <c r="C79" s="276"/>
      <c r="D79" s="276"/>
      <c r="E79" s="276"/>
      <c r="F79" s="276"/>
      <c r="G79" s="276"/>
      <c r="H79" s="276"/>
      <c r="I79" s="276"/>
      <c r="J79" s="276"/>
      <c r="K79" s="276"/>
      <c r="L79" s="276"/>
      <c r="M79" s="276"/>
      <c r="N79" s="276"/>
      <c r="O79" s="276"/>
      <c r="P79" s="276"/>
      <c r="Q79" s="276"/>
      <c r="R79" s="276"/>
      <c r="S79" s="276"/>
      <c r="T79" s="276"/>
      <c r="U79" s="276"/>
      <c r="V79" s="276"/>
      <c r="W79" s="276"/>
      <c r="X79" s="276"/>
      <c r="Y79" s="276"/>
      <c r="Z79" s="276"/>
    </row>
    <row r="80" spans="1:26" ht="18.75" customHeight="1">
      <c r="A80" s="276"/>
      <c r="B80" s="276"/>
      <c r="C80" s="276"/>
      <c r="D80" s="276"/>
      <c r="E80" s="276"/>
      <c r="F80" s="276"/>
      <c r="G80" s="276"/>
      <c r="H80" s="276"/>
      <c r="I80" s="276"/>
      <c r="J80" s="276"/>
      <c r="K80" s="276"/>
      <c r="L80" s="276"/>
      <c r="M80" s="276"/>
      <c r="N80" s="276"/>
      <c r="O80" s="276"/>
      <c r="P80" s="276"/>
      <c r="Q80" s="276"/>
      <c r="R80" s="276"/>
      <c r="S80" s="276"/>
      <c r="T80" s="276"/>
      <c r="U80" s="276"/>
      <c r="V80" s="276"/>
      <c r="W80" s="276"/>
      <c r="X80" s="276"/>
      <c r="Y80" s="276"/>
      <c r="Z80" s="276"/>
    </row>
    <row r="81" spans="1:26" ht="18.75" customHeight="1">
      <c r="A81" s="276"/>
      <c r="B81" s="276"/>
      <c r="C81" s="276"/>
      <c r="D81" s="276"/>
      <c r="E81" s="276"/>
      <c r="F81" s="276"/>
      <c r="G81" s="276"/>
      <c r="H81" s="276"/>
      <c r="I81" s="276"/>
      <c r="J81" s="276"/>
      <c r="K81" s="276"/>
      <c r="L81" s="276"/>
      <c r="M81" s="276"/>
      <c r="N81" s="276"/>
      <c r="O81" s="276"/>
      <c r="P81" s="276"/>
      <c r="Q81" s="276"/>
      <c r="R81" s="276"/>
      <c r="S81" s="276"/>
      <c r="T81" s="276"/>
      <c r="U81" s="276"/>
      <c r="V81" s="276"/>
      <c r="W81" s="276"/>
      <c r="X81" s="276"/>
      <c r="Y81" s="276"/>
      <c r="Z81" s="276"/>
    </row>
    <row r="82" spans="1:26" ht="18.75" customHeight="1">
      <c r="A82" s="276"/>
      <c r="B82" s="276"/>
      <c r="C82" s="276"/>
      <c r="D82" s="276"/>
      <c r="E82" s="276"/>
      <c r="F82" s="276"/>
      <c r="G82" s="276"/>
      <c r="H82" s="276"/>
      <c r="I82" s="276"/>
      <c r="J82" s="276"/>
      <c r="K82" s="276"/>
      <c r="L82" s="276"/>
      <c r="M82" s="276"/>
      <c r="N82" s="276"/>
      <c r="O82" s="276"/>
      <c r="P82" s="276"/>
      <c r="Q82" s="276"/>
      <c r="R82" s="276"/>
      <c r="S82" s="276"/>
      <c r="T82" s="276"/>
      <c r="U82" s="276"/>
      <c r="V82" s="276"/>
      <c r="W82" s="276"/>
      <c r="X82" s="276"/>
      <c r="Y82" s="276"/>
      <c r="Z82" s="276"/>
    </row>
    <row r="83" spans="1:26" ht="18.75" customHeight="1">
      <c r="A83" s="276"/>
      <c r="B83" s="276"/>
      <c r="C83" s="276"/>
      <c r="D83" s="276"/>
      <c r="E83" s="276"/>
      <c r="F83" s="276"/>
      <c r="G83" s="276"/>
      <c r="H83" s="276"/>
      <c r="I83" s="276"/>
      <c r="J83" s="276"/>
      <c r="K83" s="276"/>
      <c r="L83" s="276"/>
      <c r="M83" s="276"/>
      <c r="N83" s="276"/>
      <c r="O83" s="276"/>
      <c r="P83" s="276"/>
      <c r="Q83" s="276"/>
      <c r="R83" s="276"/>
      <c r="S83" s="276"/>
      <c r="T83" s="276"/>
      <c r="U83" s="276"/>
      <c r="V83" s="276"/>
      <c r="W83" s="276"/>
      <c r="X83" s="276"/>
      <c r="Y83" s="276"/>
      <c r="Z83" s="276"/>
    </row>
    <row r="84" spans="1:26" ht="18.75" customHeight="1">
      <c r="A84" s="276"/>
      <c r="B84" s="276"/>
      <c r="C84" s="276"/>
      <c r="D84" s="276"/>
      <c r="E84" s="276"/>
      <c r="F84" s="276"/>
      <c r="G84" s="276"/>
      <c r="H84" s="276"/>
      <c r="I84" s="276"/>
      <c r="J84" s="276"/>
      <c r="K84" s="276"/>
      <c r="L84" s="276"/>
      <c r="M84" s="276"/>
      <c r="N84" s="276"/>
      <c r="O84" s="276"/>
      <c r="P84" s="276"/>
      <c r="Q84" s="276"/>
      <c r="R84" s="276"/>
      <c r="S84" s="276"/>
      <c r="T84" s="276"/>
      <c r="U84" s="276"/>
      <c r="V84" s="276"/>
      <c r="W84" s="276"/>
      <c r="X84" s="276"/>
      <c r="Y84" s="276"/>
      <c r="Z84" s="276"/>
    </row>
    <row r="85" spans="1:26" ht="18.75" customHeight="1">
      <c r="A85" s="276"/>
      <c r="B85" s="276"/>
      <c r="C85" s="276"/>
      <c r="D85" s="276"/>
      <c r="E85" s="276"/>
      <c r="F85" s="276"/>
      <c r="G85" s="276"/>
      <c r="H85" s="276"/>
      <c r="I85" s="276"/>
      <c r="J85" s="276"/>
      <c r="K85" s="276"/>
      <c r="L85" s="276"/>
      <c r="M85" s="276"/>
      <c r="N85" s="276"/>
      <c r="O85" s="276"/>
      <c r="P85" s="276"/>
      <c r="Q85" s="276"/>
      <c r="R85" s="276"/>
      <c r="S85" s="276"/>
      <c r="T85" s="276"/>
      <c r="U85" s="276"/>
      <c r="V85" s="276"/>
      <c r="W85" s="276"/>
      <c r="X85" s="276"/>
      <c r="Y85" s="276"/>
      <c r="Z85" s="276"/>
    </row>
    <row r="86" spans="1:26" ht="18.75" customHeight="1">
      <c r="A86" s="276"/>
      <c r="B86" s="276"/>
      <c r="C86" s="276"/>
      <c r="D86" s="276"/>
      <c r="E86" s="276"/>
      <c r="F86" s="276"/>
      <c r="G86" s="276"/>
      <c r="H86" s="276"/>
      <c r="I86" s="276"/>
      <c r="J86" s="276"/>
      <c r="K86" s="276"/>
      <c r="L86" s="276"/>
      <c r="M86" s="276"/>
      <c r="N86" s="276"/>
      <c r="O86" s="276"/>
      <c r="P86" s="276"/>
      <c r="Q86" s="276"/>
      <c r="R86" s="276"/>
      <c r="S86" s="276"/>
      <c r="T86" s="276"/>
      <c r="U86" s="276"/>
      <c r="V86" s="276"/>
      <c r="W86" s="276"/>
      <c r="X86" s="276"/>
      <c r="Y86" s="276"/>
      <c r="Z86" s="276"/>
    </row>
    <row r="87" spans="1:26" ht="18.75" customHeight="1">
      <c r="A87" s="276"/>
      <c r="B87" s="276"/>
      <c r="C87" s="276"/>
      <c r="D87" s="276"/>
      <c r="E87" s="276"/>
      <c r="F87" s="276"/>
      <c r="G87" s="276"/>
      <c r="H87" s="276"/>
      <c r="I87" s="276"/>
      <c r="J87" s="276"/>
      <c r="K87" s="276"/>
      <c r="L87" s="276"/>
      <c r="M87" s="276"/>
      <c r="N87" s="276"/>
      <c r="O87" s="276"/>
      <c r="P87" s="276"/>
      <c r="Q87" s="276"/>
      <c r="R87" s="276"/>
      <c r="S87" s="276"/>
      <c r="T87" s="276"/>
      <c r="U87" s="276"/>
      <c r="V87" s="276"/>
      <c r="W87" s="276"/>
      <c r="X87" s="276"/>
      <c r="Y87" s="276"/>
      <c r="Z87" s="276"/>
    </row>
    <row r="88" spans="1:26" ht="18.75" customHeight="1">
      <c r="A88" s="276"/>
      <c r="B88" s="276"/>
      <c r="C88" s="276"/>
      <c r="D88" s="276"/>
      <c r="E88" s="276"/>
      <c r="F88" s="276"/>
      <c r="G88" s="276"/>
      <c r="H88" s="276"/>
      <c r="I88" s="276"/>
      <c r="J88" s="276"/>
      <c r="K88" s="276"/>
      <c r="L88" s="276"/>
      <c r="M88" s="276"/>
      <c r="N88" s="276"/>
      <c r="O88" s="276"/>
      <c r="P88" s="276"/>
      <c r="Q88" s="276"/>
      <c r="R88" s="276"/>
      <c r="S88" s="276"/>
      <c r="T88" s="276"/>
      <c r="U88" s="276"/>
      <c r="V88" s="276"/>
      <c r="W88" s="276"/>
      <c r="X88" s="276"/>
      <c r="Y88" s="276"/>
      <c r="Z88" s="276"/>
    </row>
    <row r="89" spans="1:26" ht="18.75" customHeight="1">
      <c r="A89" s="276"/>
      <c r="B89" s="276"/>
      <c r="C89" s="276"/>
      <c r="D89" s="276"/>
      <c r="E89" s="276"/>
      <c r="F89" s="276"/>
      <c r="G89" s="276"/>
      <c r="H89" s="276"/>
      <c r="I89" s="276"/>
      <c r="J89" s="276"/>
      <c r="K89" s="276"/>
      <c r="L89" s="276"/>
      <c r="M89" s="276"/>
      <c r="N89" s="276"/>
      <c r="O89" s="276"/>
      <c r="P89" s="276"/>
      <c r="Q89" s="276"/>
      <c r="R89" s="276"/>
      <c r="S89" s="276"/>
      <c r="T89" s="276"/>
      <c r="U89" s="276"/>
      <c r="V89" s="276"/>
      <c r="W89" s="276"/>
      <c r="X89" s="276"/>
      <c r="Y89" s="276"/>
      <c r="Z89" s="276"/>
    </row>
    <row r="90" spans="1:26" ht="18.75" customHeight="1">
      <c r="A90" s="276"/>
      <c r="B90" s="276"/>
      <c r="C90" s="276"/>
      <c r="D90" s="276"/>
      <c r="E90" s="276"/>
      <c r="F90" s="276"/>
      <c r="G90" s="276"/>
      <c r="H90" s="276"/>
      <c r="I90" s="276"/>
      <c r="J90" s="276"/>
      <c r="K90" s="276"/>
      <c r="L90" s="276"/>
      <c r="M90" s="276"/>
      <c r="N90" s="276"/>
      <c r="O90" s="276"/>
      <c r="P90" s="276"/>
      <c r="Q90" s="276"/>
      <c r="R90" s="276"/>
      <c r="S90" s="276"/>
      <c r="T90" s="276"/>
      <c r="U90" s="276"/>
      <c r="V90" s="276"/>
      <c r="W90" s="276"/>
      <c r="X90" s="276"/>
      <c r="Y90" s="276"/>
      <c r="Z90" s="276"/>
    </row>
    <row r="91" spans="1:26" ht="18.75" customHeight="1">
      <c r="A91" s="276"/>
      <c r="B91" s="276"/>
      <c r="C91" s="276"/>
      <c r="D91" s="276"/>
      <c r="E91" s="276"/>
      <c r="F91" s="276"/>
      <c r="G91" s="276"/>
      <c r="H91" s="276"/>
      <c r="I91" s="276"/>
      <c r="J91" s="276"/>
      <c r="K91" s="276"/>
      <c r="L91" s="276"/>
      <c r="M91" s="276"/>
      <c r="N91" s="276"/>
      <c r="O91" s="276"/>
      <c r="P91" s="276"/>
      <c r="Q91" s="276"/>
      <c r="R91" s="276"/>
      <c r="S91" s="276"/>
      <c r="T91" s="276"/>
      <c r="U91" s="276"/>
      <c r="V91" s="276"/>
      <c r="W91" s="276"/>
      <c r="X91" s="276"/>
      <c r="Y91" s="276"/>
      <c r="Z91" s="276"/>
    </row>
    <row r="92" spans="1:26" ht="18.75" customHeight="1">
      <c r="A92" s="276"/>
      <c r="B92" s="276"/>
      <c r="C92" s="276"/>
      <c r="D92" s="276"/>
      <c r="E92" s="276"/>
      <c r="F92" s="276"/>
      <c r="G92" s="276"/>
      <c r="H92" s="276"/>
      <c r="I92" s="276"/>
      <c r="J92" s="276"/>
      <c r="K92" s="276"/>
      <c r="L92" s="276"/>
      <c r="M92" s="276"/>
      <c r="N92" s="276"/>
      <c r="O92" s="276"/>
      <c r="P92" s="276"/>
      <c r="Q92" s="276"/>
      <c r="R92" s="276"/>
      <c r="S92" s="276"/>
      <c r="T92" s="276"/>
      <c r="U92" s="276"/>
      <c r="V92" s="276"/>
      <c r="W92" s="276"/>
      <c r="X92" s="276"/>
      <c r="Y92" s="276"/>
      <c r="Z92" s="276"/>
    </row>
    <row r="93" spans="1:26" ht="18.75" customHeight="1">
      <c r="A93" s="276"/>
      <c r="B93" s="276"/>
      <c r="C93" s="276"/>
      <c r="D93" s="276"/>
      <c r="E93" s="276"/>
      <c r="F93" s="276"/>
      <c r="G93" s="276"/>
      <c r="H93" s="276"/>
      <c r="I93" s="276"/>
      <c r="J93" s="276"/>
      <c r="K93" s="276"/>
      <c r="L93" s="276"/>
      <c r="M93" s="276"/>
      <c r="N93" s="276"/>
      <c r="O93" s="276"/>
      <c r="P93" s="276"/>
      <c r="Q93" s="276"/>
      <c r="R93" s="276"/>
      <c r="S93" s="276"/>
      <c r="T93" s="276"/>
      <c r="U93" s="276"/>
      <c r="V93" s="276"/>
      <c r="W93" s="276"/>
      <c r="X93" s="276"/>
      <c r="Y93" s="276"/>
      <c r="Z93" s="276"/>
    </row>
    <row r="94" spans="1:26" ht="18.75" customHeight="1">
      <c r="A94" s="276"/>
      <c r="B94" s="276"/>
      <c r="C94" s="276"/>
      <c r="D94" s="276"/>
      <c r="E94" s="276"/>
      <c r="F94" s="276"/>
      <c r="G94" s="276"/>
      <c r="H94" s="276"/>
      <c r="I94" s="276"/>
      <c r="J94" s="276"/>
      <c r="K94" s="276"/>
      <c r="L94" s="276"/>
      <c r="M94" s="276"/>
      <c r="N94" s="276"/>
      <c r="O94" s="276"/>
      <c r="P94" s="276"/>
      <c r="Q94" s="276"/>
      <c r="R94" s="276"/>
      <c r="S94" s="276"/>
      <c r="T94" s="276"/>
      <c r="U94" s="276"/>
      <c r="V94" s="276"/>
      <c r="W94" s="276"/>
      <c r="X94" s="276"/>
      <c r="Y94" s="276"/>
      <c r="Z94" s="276"/>
    </row>
    <row r="95" spans="1:26" ht="18.75" customHeight="1">
      <c r="A95" s="276"/>
      <c r="B95" s="276"/>
      <c r="C95" s="276"/>
      <c r="D95" s="276"/>
      <c r="E95" s="276"/>
      <c r="F95" s="276"/>
      <c r="G95" s="276"/>
      <c r="H95" s="276"/>
      <c r="I95" s="276"/>
      <c r="J95" s="276"/>
      <c r="K95" s="276"/>
      <c r="L95" s="276"/>
      <c r="M95" s="276"/>
      <c r="N95" s="276"/>
      <c r="O95" s="276"/>
      <c r="P95" s="276"/>
      <c r="Q95" s="276"/>
      <c r="R95" s="276"/>
      <c r="S95" s="276"/>
      <c r="T95" s="276"/>
      <c r="U95" s="276"/>
      <c r="V95" s="276"/>
      <c r="W95" s="276"/>
      <c r="X95" s="276"/>
      <c r="Y95" s="276"/>
      <c r="Z95" s="276"/>
    </row>
    <row r="96" spans="1:26" ht="18.75" customHeight="1">
      <c r="A96" s="276"/>
      <c r="B96" s="276"/>
      <c r="C96" s="276"/>
      <c r="D96" s="276"/>
      <c r="E96" s="276"/>
      <c r="F96" s="276"/>
      <c r="G96" s="276"/>
      <c r="H96" s="276"/>
      <c r="I96" s="276"/>
      <c r="J96" s="276"/>
      <c r="K96" s="276"/>
      <c r="L96" s="276"/>
      <c r="M96" s="276"/>
      <c r="N96" s="276"/>
      <c r="O96" s="276"/>
      <c r="P96" s="276"/>
      <c r="Q96" s="276"/>
      <c r="R96" s="276"/>
      <c r="S96" s="276"/>
      <c r="T96" s="276"/>
      <c r="U96" s="276"/>
      <c r="V96" s="276"/>
      <c r="W96" s="276"/>
      <c r="X96" s="276"/>
      <c r="Y96" s="276"/>
      <c r="Z96" s="276"/>
    </row>
    <row r="97" spans="1:26" ht="18.75" customHeight="1">
      <c r="A97" s="276"/>
      <c r="B97" s="276"/>
      <c r="C97" s="276"/>
      <c r="D97" s="276"/>
      <c r="E97" s="276"/>
      <c r="F97" s="276"/>
      <c r="G97" s="276"/>
      <c r="H97" s="276"/>
      <c r="I97" s="276"/>
      <c r="J97" s="276"/>
      <c r="K97" s="276"/>
      <c r="L97" s="276"/>
      <c r="M97" s="276"/>
      <c r="N97" s="276"/>
      <c r="O97" s="276"/>
      <c r="P97" s="276"/>
      <c r="Q97" s="276"/>
      <c r="R97" s="276"/>
      <c r="S97" s="276"/>
      <c r="T97" s="276"/>
      <c r="U97" s="276"/>
      <c r="V97" s="276"/>
      <c r="W97" s="276"/>
      <c r="X97" s="276"/>
      <c r="Y97" s="276"/>
      <c r="Z97" s="276"/>
    </row>
    <row r="98" spans="1:26" ht="18.75" customHeight="1">
      <c r="A98" s="276"/>
      <c r="B98" s="276"/>
      <c r="C98" s="276"/>
      <c r="D98" s="276"/>
      <c r="E98" s="276"/>
      <c r="F98" s="276"/>
      <c r="G98" s="276"/>
      <c r="H98" s="276"/>
      <c r="I98" s="276"/>
      <c r="J98" s="276"/>
      <c r="K98" s="276"/>
      <c r="L98" s="276"/>
      <c r="M98" s="276"/>
      <c r="N98" s="276"/>
      <c r="O98" s="276"/>
      <c r="P98" s="276"/>
      <c r="Q98" s="276"/>
      <c r="R98" s="276"/>
      <c r="S98" s="276"/>
      <c r="T98" s="276"/>
      <c r="U98" s="276"/>
      <c r="V98" s="276"/>
      <c r="W98" s="276"/>
      <c r="X98" s="276"/>
      <c r="Y98" s="276"/>
      <c r="Z98" s="276"/>
    </row>
    <row r="99" spans="1:26" ht="18.75" customHeight="1">
      <c r="A99" s="276"/>
      <c r="B99" s="276"/>
      <c r="C99" s="276"/>
      <c r="D99" s="276"/>
      <c r="E99" s="276"/>
      <c r="F99" s="276"/>
      <c r="G99" s="276"/>
      <c r="H99" s="276"/>
      <c r="I99" s="276"/>
      <c r="J99" s="276"/>
      <c r="K99" s="276"/>
      <c r="L99" s="276"/>
      <c r="M99" s="276"/>
      <c r="N99" s="276"/>
      <c r="O99" s="276"/>
      <c r="P99" s="276"/>
      <c r="Q99" s="276"/>
      <c r="R99" s="276"/>
      <c r="S99" s="276"/>
      <c r="T99" s="276"/>
      <c r="U99" s="276"/>
      <c r="V99" s="276"/>
      <c r="W99" s="276"/>
      <c r="X99" s="276"/>
      <c r="Y99" s="276"/>
      <c r="Z99" s="276"/>
    </row>
    <row r="100" spans="1:26" ht="18.75" customHeight="1">
      <c r="A100" s="276"/>
      <c r="B100" s="276"/>
      <c r="C100" s="276"/>
      <c r="D100" s="276"/>
      <c r="E100" s="276"/>
      <c r="F100" s="276"/>
      <c r="G100" s="276"/>
      <c r="H100" s="276"/>
      <c r="I100" s="276"/>
      <c r="J100" s="276"/>
      <c r="K100" s="276"/>
      <c r="L100" s="276"/>
      <c r="M100" s="276"/>
      <c r="N100" s="276"/>
      <c r="O100" s="276"/>
      <c r="P100" s="276"/>
      <c r="Q100" s="276"/>
      <c r="R100" s="276"/>
      <c r="S100" s="276"/>
      <c r="T100" s="276"/>
      <c r="U100" s="276"/>
      <c r="V100" s="276"/>
      <c r="W100" s="276"/>
      <c r="X100" s="276"/>
      <c r="Y100" s="276"/>
      <c r="Z100" s="276"/>
    </row>
    <row r="101" spans="1:26" ht="18.75" customHeight="1">
      <c r="A101" s="276"/>
      <c r="B101" s="276"/>
      <c r="C101" s="276"/>
      <c r="D101" s="276"/>
      <c r="E101" s="276"/>
      <c r="F101" s="276"/>
      <c r="G101" s="276"/>
      <c r="H101" s="276"/>
      <c r="I101" s="276"/>
      <c r="J101" s="276"/>
      <c r="K101" s="276"/>
      <c r="L101" s="276"/>
      <c r="M101" s="276"/>
      <c r="N101" s="276"/>
      <c r="O101" s="276"/>
      <c r="P101" s="276"/>
      <c r="Q101" s="276"/>
      <c r="R101" s="276"/>
      <c r="S101" s="276"/>
      <c r="T101" s="276"/>
      <c r="U101" s="276"/>
      <c r="V101" s="276"/>
      <c r="W101" s="276"/>
      <c r="X101" s="276"/>
      <c r="Y101" s="276"/>
      <c r="Z101" s="276"/>
    </row>
    <row r="102" spans="1:26" ht="18.75" customHeight="1">
      <c r="A102" s="276"/>
      <c r="B102" s="276"/>
      <c r="C102" s="276"/>
      <c r="D102" s="276"/>
      <c r="E102" s="276"/>
      <c r="F102" s="276"/>
      <c r="G102" s="276"/>
      <c r="H102" s="276"/>
      <c r="I102" s="276"/>
      <c r="J102" s="276"/>
      <c r="K102" s="276"/>
      <c r="L102" s="276"/>
      <c r="M102" s="276"/>
      <c r="N102" s="276"/>
      <c r="O102" s="276"/>
      <c r="P102" s="276"/>
      <c r="Q102" s="276"/>
      <c r="R102" s="276"/>
      <c r="S102" s="276"/>
      <c r="T102" s="276"/>
      <c r="U102" s="276"/>
      <c r="V102" s="276"/>
      <c r="W102" s="276"/>
      <c r="X102" s="276"/>
      <c r="Y102" s="276"/>
      <c r="Z102" s="276"/>
    </row>
    <row r="103" spans="1:26" ht="18.75" customHeight="1">
      <c r="A103" s="276"/>
      <c r="B103" s="276"/>
      <c r="C103" s="276"/>
      <c r="D103" s="276"/>
      <c r="E103" s="276"/>
      <c r="F103" s="276"/>
      <c r="G103" s="276"/>
      <c r="H103" s="276"/>
      <c r="I103" s="276"/>
      <c r="J103" s="276"/>
      <c r="K103" s="276"/>
      <c r="L103" s="276"/>
      <c r="M103" s="276"/>
      <c r="N103" s="276"/>
      <c r="O103" s="276"/>
      <c r="P103" s="276"/>
      <c r="Q103" s="276"/>
      <c r="R103" s="276"/>
      <c r="S103" s="276"/>
      <c r="T103" s="276"/>
      <c r="U103" s="276"/>
      <c r="V103" s="276"/>
      <c r="W103" s="276"/>
      <c r="X103" s="276"/>
      <c r="Y103" s="276"/>
      <c r="Z103" s="276"/>
    </row>
    <row r="104" spans="1:26" ht="18.75" customHeight="1">
      <c r="A104" s="276"/>
      <c r="B104" s="276"/>
      <c r="C104" s="276"/>
      <c r="D104" s="276"/>
      <c r="E104" s="276"/>
      <c r="F104" s="276"/>
      <c r="G104" s="276"/>
      <c r="H104" s="276"/>
      <c r="I104" s="276"/>
      <c r="J104" s="276"/>
      <c r="K104" s="276"/>
      <c r="L104" s="276"/>
      <c r="M104" s="276"/>
      <c r="N104" s="276"/>
      <c r="O104" s="276"/>
      <c r="P104" s="276"/>
      <c r="Q104" s="276"/>
      <c r="R104" s="276"/>
      <c r="S104" s="276"/>
      <c r="T104" s="276"/>
      <c r="U104" s="276"/>
      <c r="V104" s="276"/>
      <c r="W104" s="276"/>
      <c r="X104" s="276"/>
      <c r="Y104" s="276"/>
      <c r="Z104" s="276"/>
    </row>
    <row r="105" spans="1:26" ht="18.75" customHeight="1">
      <c r="A105" s="276"/>
      <c r="B105" s="276"/>
      <c r="C105" s="276"/>
      <c r="D105" s="276"/>
      <c r="E105" s="276"/>
      <c r="F105" s="276"/>
      <c r="G105" s="276"/>
      <c r="H105" s="276"/>
      <c r="I105" s="276"/>
      <c r="J105" s="276"/>
      <c r="K105" s="276"/>
      <c r="L105" s="276"/>
      <c r="M105" s="276"/>
      <c r="N105" s="276"/>
      <c r="O105" s="276"/>
      <c r="P105" s="276"/>
      <c r="Q105" s="276"/>
      <c r="R105" s="276"/>
      <c r="S105" s="276"/>
      <c r="T105" s="276"/>
      <c r="U105" s="276"/>
      <c r="V105" s="276"/>
      <c r="W105" s="276"/>
      <c r="X105" s="276"/>
      <c r="Y105" s="276"/>
      <c r="Z105" s="276"/>
    </row>
    <row r="106" spans="1:26" ht="18.75" customHeight="1">
      <c r="A106" s="276"/>
      <c r="B106" s="276"/>
      <c r="C106" s="276"/>
      <c r="D106" s="276"/>
      <c r="E106" s="276"/>
      <c r="F106" s="276"/>
      <c r="G106" s="276"/>
      <c r="H106" s="276"/>
      <c r="I106" s="276"/>
      <c r="J106" s="276"/>
      <c r="K106" s="276"/>
      <c r="L106" s="276"/>
      <c r="M106" s="276"/>
      <c r="N106" s="276"/>
      <c r="O106" s="276"/>
      <c r="P106" s="276"/>
      <c r="Q106" s="276"/>
      <c r="R106" s="276"/>
      <c r="S106" s="276"/>
      <c r="T106" s="276"/>
      <c r="U106" s="276"/>
      <c r="V106" s="276"/>
      <c r="W106" s="276"/>
      <c r="X106" s="276"/>
      <c r="Y106" s="276"/>
      <c r="Z106" s="276"/>
    </row>
    <row r="107" spans="1:26" ht="18.75" customHeight="1">
      <c r="A107" s="276"/>
      <c r="B107" s="276"/>
      <c r="C107" s="276"/>
      <c r="D107" s="276"/>
      <c r="E107" s="276"/>
      <c r="F107" s="276"/>
      <c r="G107" s="276"/>
      <c r="H107" s="276"/>
      <c r="I107" s="276"/>
      <c r="J107" s="276"/>
      <c r="K107" s="276"/>
      <c r="L107" s="276"/>
      <c r="M107" s="276"/>
      <c r="N107" s="276"/>
      <c r="O107" s="276"/>
      <c r="P107" s="276"/>
      <c r="Q107" s="276"/>
      <c r="R107" s="276"/>
      <c r="S107" s="276"/>
      <c r="T107" s="276"/>
      <c r="U107" s="276"/>
      <c r="V107" s="276"/>
      <c r="W107" s="276"/>
      <c r="X107" s="276"/>
      <c r="Y107" s="276"/>
      <c r="Z107" s="276"/>
    </row>
    <row r="108" spans="1:26" ht="18.75" customHeight="1">
      <c r="A108" s="276"/>
      <c r="B108" s="276"/>
      <c r="C108" s="276"/>
      <c r="D108" s="276"/>
      <c r="E108" s="276"/>
      <c r="F108" s="276"/>
      <c r="G108" s="276"/>
      <c r="H108" s="276"/>
      <c r="I108" s="276"/>
      <c r="J108" s="276"/>
      <c r="K108" s="276"/>
      <c r="L108" s="276"/>
      <c r="M108" s="276"/>
      <c r="N108" s="276"/>
      <c r="O108" s="276"/>
      <c r="P108" s="276"/>
      <c r="Q108" s="276"/>
      <c r="R108" s="276"/>
      <c r="S108" s="276"/>
      <c r="T108" s="276"/>
      <c r="U108" s="276"/>
      <c r="V108" s="276"/>
      <c r="W108" s="276"/>
      <c r="X108" s="276"/>
      <c r="Y108" s="276"/>
      <c r="Z108" s="276"/>
    </row>
    <row r="109" spans="1:26" ht="18.75" customHeight="1">
      <c r="A109" s="276"/>
      <c r="B109" s="276"/>
      <c r="C109" s="276"/>
      <c r="D109" s="276"/>
      <c r="E109" s="276"/>
      <c r="F109" s="276"/>
      <c r="G109" s="276"/>
      <c r="H109" s="276"/>
      <c r="I109" s="276"/>
      <c r="J109" s="276"/>
      <c r="K109" s="276"/>
      <c r="L109" s="276"/>
      <c r="M109" s="276"/>
      <c r="N109" s="276"/>
      <c r="O109" s="276"/>
      <c r="P109" s="276"/>
      <c r="Q109" s="276"/>
      <c r="R109" s="276"/>
      <c r="S109" s="276"/>
      <c r="T109" s="276"/>
      <c r="U109" s="276"/>
      <c r="V109" s="276"/>
      <c r="W109" s="276"/>
      <c r="X109" s="276"/>
      <c r="Y109" s="276"/>
      <c r="Z109" s="276"/>
    </row>
    <row r="110" spans="1:26" ht="18.75" customHeight="1">
      <c r="A110" s="276"/>
      <c r="B110" s="276"/>
      <c r="C110" s="276"/>
      <c r="D110" s="276"/>
      <c r="E110" s="276"/>
      <c r="F110" s="276"/>
      <c r="G110" s="276"/>
      <c r="H110" s="276"/>
      <c r="I110" s="276"/>
      <c r="J110" s="276"/>
      <c r="K110" s="276"/>
      <c r="L110" s="276"/>
      <c r="M110" s="276"/>
      <c r="N110" s="276"/>
      <c r="O110" s="276"/>
      <c r="P110" s="276"/>
      <c r="Q110" s="276"/>
      <c r="R110" s="276"/>
      <c r="S110" s="276"/>
      <c r="T110" s="276"/>
      <c r="U110" s="276"/>
      <c r="V110" s="276"/>
      <c r="W110" s="276"/>
      <c r="X110" s="276"/>
      <c r="Y110" s="276"/>
      <c r="Z110" s="276"/>
    </row>
    <row r="111" spans="1:26" ht="18.75" customHeight="1">
      <c r="A111" s="276"/>
      <c r="B111" s="276"/>
      <c r="C111" s="276"/>
      <c r="D111" s="276"/>
      <c r="E111" s="276"/>
      <c r="F111" s="276"/>
      <c r="G111" s="276"/>
      <c r="H111" s="276"/>
      <c r="I111" s="276"/>
      <c r="J111" s="276"/>
      <c r="K111" s="276"/>
      <c r="L111" s="276"/>
      <c r="M111" s="276"/>
      <c r="N111" s="276"/>
      <c r="O111" s="276"/>
      <c r="P111" s="276"/>
      <c r="Q111" s="276"/>
      <c r="R111" s="276"/>
      <c r="S111" s="276"/>
      <c r="T111" s="276"/>
      <c r="U111" s="276"/>
      <c r="V111" s="276"/>
      <c r="W111" s="276"/>
      <c r="X111" s="276"/>
      <c r="Y111" s="276"/>
      <c r="Z111" s="276"/>
    </row>
    <row r="112" spans="1:26" ht="18.75" customHeight="1">
      <c r="A112" s="276"/>
      <c r="B112" s="276"/>
      <c r="C112" s="276"/>
      <c r="D112" s="276"/>
      <c r="E112" s="276"/>
      <c r="F112" s="276"/>
      <c r="G112" s="276"/>
      <c r="H112" s="276"/>
      <c r="I112" s="276"/>
      <c r="J112" s="276"/>
      <c r="K112" s="276"/>
      <c r="L112" s="276"/>
      <c r="M112" s="276"/>
      <c r="N112" s="276"/>
      <c r="O112" s="276"/>
      <c r="P112" s="276"/>
      <c r="Q112" s="276"/>
      <c r="R112" s="276"/>
      <c r="S112" s="276"/>
      <c r="T112" s="276"/>
      <c r="U112" s="276"/>
      <c r="V112" s="276"/>
      <c r="W112" s="276"/>
      <c r="X112" s="276"/>
      <c r="Y112" s="276"/>
      <c r="Z112" s="276"/>
    </row>
    <row r="113" spans="1:26" ht="18.75" customHeight="1">
      <c r="A113" s="276"/>
      <c r="B113" s="276"/>
      <c r="C113" s="276"/>
      <c r="D113" s="276"/>
      <c r="E113" s="276"/>
      <c r="F113" s="276"/>
      <c r="G113" s="276"/>
      <c r="H113" s="276"/>
      <c r="I113" s="276"/>
      <c r="J113" s="276"/>
      <c r="K113" s="276"/>
      <c r="L113" s="276"/>
      <c r="M113" s="276"/>
      <c r="N113" s="276"/>
      <c r="O113" s="276"/>
      <c r="P113" s="276"/>
      <c r="Q113" s="276"/>
      <c r="R113" s="276"/>
      <c r="S113" s="276"/>
      <c r="T113" s="276"/>
      <c r="U113" s="276"/>
      <c r="V113" s="276"/>
      <c r="W113" s="276"/>
      <c r="X113" s="276"/>
      <c r="Y113" s="276"/>
      <c r="Z113" s="276"/>
    </row>
    <row r="114" spans="1:26" ht="18.75" customHeight="1">
      <c r="A114" s="276"/>
      <c r="B114" s="276"/>
      <c r="C114" s="276"/>
      <c r="D114" s="276"/>
      <c r="E114" s="276"/>
      <c r="F114" s="276"/>
      <c r="G114" s="276"/>
      <c r="H114" s="276"/>
      <c r="I114" s="276"/>
      <c r="J114" s="276"/>
      <c r="K114" s="276"/>
      <c r="L114" s="276"/>
      <c r="M114" s="276"/>
      <c r="N114" s="276"/>
      <c r="O114" s="276"/>
      <c r="P114" s="276"/>
      <c r="Q114" s="276"/>
      <c r="R114" s="276"/>
      <c r="S114" s="276"/>
      <c r="T114" s="276"/>
      <c r="U114" s="276"/>
      <c r="V114" s="276"/>
      <c r="W114" s="276"/>
      <c r="X114" s="276"/>
      <c r="Y114" s="276"/>
      <c r="Z114" s="276"/>
    </row>
    <row r="115" spans="1:26" ht="18.75" customHeight="1">
      <c r="A115" s="276"/>
      <c r="B115" s="276"/>
      <c r="C115" s="276"/>
      <c r="D115" s="276"/>
      <c r="E115" s="276"/>
      <c r="F115" s="276"/>
      <c r="G115" s="276"/>
      <c r="H115" s="276"/>
      <c r="I115" s="276"/>
      <c r="J115" s="276"/>
      <c r="K115" s="276"/>
      <c r="L115" s="276"/>
      <c r="M115" s="276"/>
      <c r="N115" s="276"/>
      <c r="O115" s="276"/>
      <c r="P115" s="276"/>
      <c r="Q115" s="276"/>
      <c r="R115" s="276"/>
      <c r="S115" s="276"/>
      <c r="T115" s="276"/>
      <c r="U115" s="276"/>
      <c r="V115" s="276"/>
      <c r="W115" s="276"/>
      <c r="X115" s="276"/>
      <c r="Y115" s="276"/>
      <c r="Z115" s="276"/>
    </row>
    <row r="116" spans="1:26" ht="18.75" customHeight="1">
      <c r="A116" s="276"/>
      <c r="B116" s="276"/>
      <c r="C116" s="276"/>
      <c r="D116" s="276"/>
      <c r="E116" s="276"/>
      <c r="F116" s="276"/>
      <c r="G116" s="276"/>
      <c r="H116" s="276"/>
      <c r="I116" s="276"/>
      <c r="J116" s="276"/>
      <c r="K116" s="276"/>
      <c r="L116" s="276"/>
      <c r="M116" s="276"/>
      <c r="N116" s="276"/>
      <c r="O116" s="276"/>
      <c r="P116" s="276"/>
      <c r="Q116" s="276"/>
      <c r="R116" s="276"/>
      <c r="S116" s="276"/>
      <c r="T116" s="276"/>
      <c r="U116" s="276"/>
      <c r="V116" s="276"/>
      <c r="W116" s="276"/>
      <c r="X116" s="276"/>
      <c r="Y116" s="276"/>
      <c r="Z116" s="276"/>
    </row>
    <row r="117" spans="1:26" ht="18.75" customHeight="1">
      <c r="A117" s="276"/>
      <c r="B117" s="276"/>
      <c r="C117" s="276"/>
      <c r="D117" s="276"/>
      <c r="E117" s="276"/>
      <c r="F117" s="276"/>
      <c r="G117" s="276"/>
      <c r="H117" s="276"/>
      <c r="I117" s="276"/>
      <c r="J117" s="276"/>
      <c r="K117" s="276"/>
      <c r="L117" s="276"/>
      <c r="M117" s="276"/>
      <c r="N117" s="276"/>
      <c r="O117" s="276"/>
      <c r="P117" s="276"/>
      <c r="Q117" s="276"/>
      <c r="R117" s="276"/>
      <c r="S117" s="276"/>
      <c r="T117" s="276"/>
      <c r="U117" s="276"/>
      <c r="V117" s="276"/>
      <c r="W117" s="276"/>
      <c r="X117" s="276"/>
      <c r="Y117" s="276"/>
      <c r="Z117" s="276"/>
    </row>
    <row r="118" spans="1:26" ht="18.75" customHeight="1">
      <c r="A118" s="276"/>
      <c r="B118" s="276"/>
      <c r="C118" s="276"/>
      <c r="D118" s="276"/>
      <c r="E118" s="276"/>
      <c r="F118" s="276"/>
      <c r="G118" s="276"/>
      <c r="H118" s="276"/>
      <c r="I118" s="276"/>
      <c r="J118" s="276"/>
      <c r="K118" s="276"/>
      <c r="L118" s="276"/>
      <c r="M118" s="276"/>
      <c r="N118" s="276"/>
      <c r="O118" s="276"/>
      <c r="P118" s="276"/>
      <c r="Q118" s="276"/>
      <c r="R118" s="276"/>
      <c r="S118" s="276"/>
      <c r="T118" s="276"/>
      <c r="U118" s="276"/>
      <c r="V118" s="276"/>
      <c r="W118" s="276"/>
      <c r="X118" s="276"/>
      <c r="Y118" s="276"/>
      <c r="Z118" s="276"/>
    </row>
    <row r="119" spans="1:26" ht="18.75" customHeight="1">
      <c r="A119" s="276"/>
      <c r="B119" s="276"/>
      <c r="C119" s="276"/>
      <c r="D119" s="276"/>
      <c r="E119" s="276"/>
      <c r="F119" s="276"/>
      <c r="G119" s="276"/>
      <c r="H119" s="276"/>
      <c r="I119" s="276"/>
      <c r="J119" s="276"/>
      <c r="K119" s="276"/>
      <c r="L119" s="276"/>
      <c r="M119" s="276"/>
      <c r="N119" s="276"/>
      <c r="O119" s="276"/>
      <c r="P119" s="276"/>
      <c r="Q119" s="276"/>
      <c r="R119" s="276"/>
      <c r="S119" s="276"/>
      <c r="T119" s="276"/>
      <c r="U119" s="276"/>
      <c r="V119" s="276"/>
      <c r="W119" s="276"/>
      <c r="X119" s="276"/>
      <c r="Y119" s="276"/>
      <c r="Z119" s="276"/>
    </row>
    <row r="120" spans="1:26" ht="18.75" customHeight="1">
      <c r="A120" s="276"/>
      <c r="B120" s="276"/>
      <c r="C120" s="276"/>
      <c r="D120" s="276"/>
      <c r="E120" s="276"/>
      <c r="F120" s="276"/>
      <c r="G120" s="276"/>
      <c r="H120" s="276"/>
      <c r="I120" s="276"/>
      <c r="J120" s="276"/>
      <c r="K120" s="276"/>
      <c r="L120" s="276"/>
      <c r="M120" s="276"/>
      <c r="N120" s="276"/>
      <c r="O120" s="276"/>
      <c r="P120" s="276"/>
      <c r="Q120" s="276"/>
      <c r="R120" s="276"/>
      <c r="S120" s="276"/>
      <c r="T120" s="276"/>
      <c r="U120" s="276"/>
      <c r="V120" s="276"/>
      <c r="W120" s="276"/>
      <c r="X120" s="276"/>
      <c r="Y120" s="276"/>
      <c r="Z120" s="276"/>
    </row>
    <row r="121" spans="1:26" ht="18.75" customHeight="1">
      <c r="A121" s="276"/>
      <c r="B121" s="276"/>
      <c r="C121" s="276"/>
      <c r="D121" s="276"/>
      <c r="E121" s="276"/>
      <c r="F121" s="276"/>
      <c r="G121" s="276"/>
      <c r="H121" s="276"/>
      <c r="I121" s="276"/>
      <c r="J121" s="276"/>
      <c r="K121" s="276"/>
      <c r="L121" s="276"/>
      <c r="M121" s="276"/>
      <c r="N121" s="276"/>
      <c r="O121" s="276"/>
      <c r="P121" s="276"/>
      <c r="Q121" s="276"/>
      <c r="R121" s="276"/>
      <c r="S121" s="276"/>
      <c r="T121" s="276"/>
      <c r="U121" s="276"/>
      <c r="V121" s="276"/>
      <c r="W121" s="276"/>
      <c r="X121" s="276"/>
      <c r="Y121" s="276"/>
      <c r="Z121" s="276"/>
    </row>
    <row r="122" spans="1:26" ht="18.75" customHeight="1">
      <c r="A122" s="276"/>
      <c r="B122" s="276"/>
      <c r="C122" s="276"/>
      <c r="D122" s="276"/>
      <c r="E122" s="276"/>
      <c r="F122" s="276"/>
      <c r="G122" s="276"/>
      <c r="H122" s="276"/>
      <c r="I122" s="276"/>
      <c r="J122" s="276"/>
      <c r="K122" s="276"/>
      <c r="L122" s="276"/>
      <c r="M122" s="276"/>
      <c r="N122" s="276"/>
      <c r="O122" s="276"/>
      <c r="P122" s="276"/>
      <c r="Q122" s="276"/>
      <c r="R122" s="276"/>
      <c r="S122" s="276"/>
      <c r="T122" s="276"/>
      <c r="U122" s="276"/>
      <c r="V122" s="276"/>
      <c r="W122" s="276"/>
      <c r="X122" s="276"/>
      <c r="Y122" s="276"/>
      <c r="Z122" s="276"/>
    </row>
    <row r="123" spans="1:26" ht="18.75" customHeight="1">
      <c r="A123" s="276"/>
      <c r="B123" s="276"/>
      <c r="C123" s="276"/>
      <c r="D123" s="276"/>
      <c r="E123" s="276"/>
      <c r="F123" s="276"/>
      <c r="G123" s="276"/>
      <c r="H123" s="276"/>
      <c r="I123" s="276"/>
      <c r="J123" s="276"/>
      <c r="K123" s="276"/>
      <c r="L123" s="276"/>
      <c r="M123" s="276"/>
      <c r="N123" s="276"/>
      <c r="O123" s="276"/>
      <c r="P123" s="276"/>
      <c r="Q123" s="276"/>
      <c r="R123" s="276"/>
      <c r="S123" s="276"/>
      <c r="T123" s="276"/>
      <c r="U123" s="276"/>
      <c r="V123" s="276"/>
      <c r="W123" s="276"/>
      <c r="X123" s="276"/>
      <c r="Y123" s="276"/>
      <c r="Z123" s="276"/>
    </row>
    <row r="124" spans="1:26" ht="18.75" customHeight="1">
      <c r="A124" s="276"/>
      <c r="B124" s="276"/>
      <c r="C124" s="276"/>
      <c r="D124" s="276"/>
      <c r="E124" s="276"/>
      <c r="F124" s="276"/>
      <c r="G124" s="276"/>
      <c r="H124" s="276"/>
      <c r="I124" s="276"/>
      <c r="J124" s="276"/>
      <c r="K124" s="276"/>
      <c r="L124" s="276"/>
      <c r="M124" s="276"/>
      <c r="N124" s="276"/>
      <c r="O124" s="276"/>
      <c r="P124" s="276"/>
      <c r="Q124" s="276"/>
      <c r="R124" s="276"/>
      <c r="S124" s="276"/>
      <c r="T124" s="276"/>
      <c r="U124" s="276"/>
      <c r="V124" s="276"/>
      <c r="W124" s="276"/>
      <c r="X124" s="276"/>
      <c r="Y124" s="276"/>
      <c r="Z124" s="276"/>
    </row>
    <row r="125" spans="1:26" ht="18.75" customHeight="1">
      <c r="A125" s="276"/>
      <c r="B125" s="276"/>
      <c r="C125" s="276"/>
      <c r="D125" s="276"/>
      <c r="E125" s="276"/>
      <c r="F125" s="276"/>
      <c r="G125" s="276"/>
      <c r="H125" s="276"/>
      <c r="I125" s="276"/>
      <c r="J125" s="276"/>
      <c r="K125" s="276"/>
      <c r="L125" s="276"/>
      <c r="M125" s="276"/>
      <c r="N125" s="276"/>
      <c r="O125" s="276"/>
      <c r="P125" s="276"/>
      <c r="Q125" s="276"/>
      <c r="R125" s="276"/>
      <c r="S125" s="276"/>
      <c r="T125" s="276"/>
      <c r="U125" s="276"/>
      <c r="V125" s="276"/>
      <c r="W125" s="276"/>
      <c r="X125" s="276"/>
      <c r="Y125" s="276"/>
      <c r="Z125" s="276"/>
    </row>
    <row r="126" spans="1:26" ht="18.75" customHeight="1">
      <c r="A126" s="276"/>
      <c r="B126" s="276"/>
      <c r="C126" s="276"/>
      <c r="D126" s="276"/>
      <c r="E126" s="276"/>
      <c r="F126" s="276"/>
      <c r="G126" s="276"/>
      <c r="H126" s="276"/>
      <c r="I126" s="276"/>
      <c r="J126" s="276"/>
      <c r="K126" s="276"/>
      <c r="L126" s="276"/>
      <c r="M126" s="276"/>
      <c r="N126" s="276"/>
      <c r="O126" s="276"/>
      <c r="P126" s="276"/>
      <c r="Q126" s="276"/>
      <c r="R126" s="276"/>
      <c r="S126" s="276"/>
      <c r="T126" s="276"/>
      <c r="U126" s="276"/>
      <c r="V126" s="276"/>
      <c r="W126" s="276"/>
      <c r="X126" s="276"/>
      <c r="Y126" s="276"/>
      <c r="Z126" s="276"/>
    </row>
    <row r="127" spans="1:26" ht="18.75" customHeight="1">
      <c r="A127" s="276"/>
      <c r="B127" s="276"/>
      <c r="C127" s="276"/>
      <c r="D127" s="276"/>
      <c r="E127" s="276"/>
      <c r="F127" s="276"/>
      <c r="G127" s="276"/>
      <c r="H127" s="276"/>
      <c r="I127" s="276"/>
      <c r="J127" s="276"/>
      <c r="K127" s="276"/>
      <c r="L127" s="276"/>
      <c r="M127" s="276"/>
      <c r="N127" s="276"/>
      <c r="O127" s="276"/>
      <c r="P127" s="276"/>
      <c r="Q127" s="276"/>
      <c r="R127" s="276"/>
      <c r="S127" s="276"/>
      <c r="T127" s="276"/>
      <c r="U127" s="276"/>
      <c r="V127" s="276"/>
      <c r="W127" s="276"/>
      <c r="X127" s="276"/>
      <c r="Y127" s="276"/>
      <c r="Z127" s="276"/>
    </row>
    <row r="128" spans="1:26" ht="18.75" customHeight="1">
      <c r="A128" s="276"/>
      <c r="B128" s="276"/>
      <c r="C128" s="276"/>
      <c r="D128" s="276"/>
      <c r="E128" s="276"/>
      <c r="F128" s="276"/>
      <c r="G128" s="276"/>
      <c r="H128" s="276"/>
      <c r="I128" s="276"/>
      <c r="J128" s="276"/>
      <c r="K128" s="276"/>
      <c r="L128" s="276"/>
      <c r="M128" s="276"/>
      <c r="N128" s="276"/>
      <c r="O128" s="276"/>
      <c r="P128" s="276"/>
      <c r="Q128" s="276"/>
      <c r="R128" s="276"/>
      <c r="S128" s="276"/>
      <c r="T128" s="276"/>
      <c r="U128" s="276"/>
      <c r="V128" s="276"/>
      <c r="W128" s="276"/>
      <c r="X128" s="276"/>
      <c r="Y128" s="276"/>
      <c r="Z128" s="276"/>
    </row>
    <row r="129" spans="1:26" ht="18.75" customHeight="1">
      <c r="A129" s="276"/>
      <c r="B129" s="276"/>
      <c r="C129" s="276"/>
      <c r="D129" s="276"/>
      <c r="E129" s="276"/>
      <c r="F129" s="276"/>
      <c r="G129" s="276"/>
      <c r="H129" s="276"/>
      <c r="I129" s="276"/>
      <c r="J129" s="276"/>
      <c r="K129" s="276"/>
      <c r="L129" s="276"/>
      <c r="M129" s="276"/>
      <c r="N129" s="276"/>
      <c r="O129" s="276"/>
      <c r="P129" s="276"/>
      <c r="Q129" s="276"/>
      <c r="R129" s="276"/>
      <c r="S129" s="276"/>
      <c r="T129" s="276"/>
      <c r="U129" s="276"/>
      <c r="V129" s="276"/>
      <c r="W129" s="276"/>
      <c r="X129" s="276"/>
      <c r="Y129" s="276"/>
      <c r="Z129" s="276"/>
    </row>
    <row r="130" spans="1:26" ht="18.75" customHeight="1">
      <c r="A130" s="276"/>
      <c r="B130" s="276"/>
      <c r="C130" s="276"/>
      <c r="D130" s="276"/>
      <c r="E130" s="276"/>
      <c r="F130" s="276"/>
      <c r="G130" s="276"/>
      <c r="H130" s="276"/>
      <c r="I130" s="276"/>
      <c r="J130" s="276"/>
      <c r="K130" s="276"/>
      <c r="L130" s="276"/>
      <c r="M130" s="276"/>
      <c r="N130" s="276"/>
      <c r="O130" s="276"/>
      <c r="P130" s="276"/>
      <c r="Q130" s="276"/>
      <c r="R130" s="276"/>
      <c r="S130" s="276"/>
      <c r="T130" s="276"/>
      <c r="U130" s="276"/>
      <c r="V130" s="276"/>
      <c r="W130" s="276"/>
      <c r="X130" s="276"/>
      <c r="Y130" s="276"/>
      <c r="Z130" s="276"/>
    </row>
    <row r="131" spans="1:26" ht="18.75" customHeight="1">
      <c r="A131" s="276"/>
      <c r="B131" s="276"/>
      <c r="C131" s="276"/>
      <c r="D131" s="276"/>
      <c r="E131" s="276"/>
      <c r="F131" s="276"/>
      <c r="G131" s="276"/>
      <c r="H131" s="276"/>
      <c r="I131" s="276"/>
      <c r="J131" s="276"/>
      <c r="K131" s="276"/>
      <c r="L131" s="276"/>
      <c r="M131" s="276"/>
      <c r="N131" s="276"/>
      <c r="O131" s="276"/>
      <c r="P131" s="276"/>
      <c r="Q131" s="276"/>
      <c r="R131" s="276"/>
      <c r="S131" s="276"/>
      <c r="T131" s="276"/>
      <c r="U131" s="276"/>
      <c r="V131" s="276"/>
      <c r="W131" s="276"/>
      <c r="X131" s="276"/>
      <c r="Y131" s="276"/>
      <c r="Z131" s="276"/>
    </row>
    <row r="132" spans="1:26" ht="18.75" customHeight="1">
      <c r="A132" s="276"/>
      <c r="B132" s="276"/>
      <c r="C132" s="276"/>
      <c r="D132" s="276"/>
      <c r="E132" s="276"/>
      <c r="F132" s="276"/>
      <c r="G132" s="276"/>
      <c r="H132" s="276"/>
      <c r="I132" s="276"/>
      <c r="J132" s="276"/>
      <c r="K132" s="276"/>
      <c r="L132" s="276"/>
      <c r="M132" s="276"/>
      <c r="N132" s="276"/>
      <c r="O132" s="276"/>
      <c r="P132" s="276"/>
      <c r="Q132" s="276"/>
      <c r="R132" s="276"/>
      <c r="S132" s="276"/>
      <c r="T132" s="276"/>
      <c r="U132" s="276"/>
      <c r="V132" s="276"/>
      <c r="W132" s="276"/>
      <c r="X132" s="276"/>
      <c r="Y132" s="276"/>
      <c r="Z132" s="276"/>
    </row>
    <row r="133" spans="1:26" ht="18.75" customHeight="1">
      <c r="A133" s="276"/>
      <c r="B133" s="276"/>
      <c r="C133" s="276"/>
      <c r="D133" s="276"/>
      <c r="E133" s="276"/>
      <c r="F133" s="276"/>
      <c r="G133" s="276"/>
      <c r="H133" s="276"/>
      <c r="I133" s="276"/>
      <c r="J133" s="276"/>
      <c r="K133" s="276"/>
      <c r="L133" s="276"/>
      <c r="M133" s="276"/>
      <c r="N133" s="276"/>
      <c r="O133" s="276"/>
      <c r="P133" s="276"/>
      <c r="Q133" s="276"/>
      <c r="R133" s="276"/>
      <c r="S133" s="276"/>
      <c r="T133" s="276"/>
      <c r="U133" s="276"/>
      <c r="V133" s="276"/>
      <c r="W133" s="276"/>
      <c r="X133" s="276"/>
      <c r="Y133" s="276"/>
      <c r="Z133" s="276"/>
    </row>
    <row r="134" spans="1:26" ht="18.75" customHeight="1">
      <c r="A134" s="276"/>
      <c r="B134" s="276"/>
      <c r="C134" s="276"/>
      <c r="D134" s="276"/>
      <c r="E134" s="276"/>
      <c r="F134" s="276"/>
      <c r="G134" s="276"/>
      <c r="H134" s="276"/>
      <c r="I134" s="276"/>
      <c r="J134" s="276"/>
      <c r="K134" s="276"/>
      <c r="L134" s="276"/>
      <c r="M134" s="276"/>
      <c r="N134" s="276"/>
      <c r="O134" s="276"/>
      <c r="P134" s="276"/>
      <c r="Q134" s="276"/>
      <c r="R134" s="276"/>
      <c r="S134" s="276"/>
      <c r="T134" s="276"/>
      <c r="U134" s="276"/>
      <c r="V134" s="276"/>
      <c r="W134" s="276"/>
      <c r="X134" s="276"/>
      <c r="Y134" s="276"/>
      <c r="Z134" s="276"/>
    </row>
    <row r="135" spans="1:26" ht="18.75" customHeight="1">
      <c r="A135" s="276"/>
      <c r="B135" s="276"/>
      <c r="C135" s="276"/>
      <c r="D135" s="276"/>
      <c r="E135" s="276"/>
      <c r="F135" s="276"/>
      <c r="G135" s="276"/>
      <c r="H135" s="276"/>
      <c r="I135" s="276"/>
      <c r="J135" s="276"/>
      <c r="K135" s="276"/>
      <c r="L135" s="276"/>
      <c r="M135" s="276"/>
      <c r="N135" s="276"/>
      <c r="O135" s="276"/>
      <c r="P135" s="276"/>
      <c r="Q135" s="276"/>
      <c r="R135" s="276"/>
      <c r="S135" s="276"/>
      <c r="T135" s="276"/>
      <c r="U135" s="276"/>
      <c r="V135" s="276"/>
      <c r="W135" s="276"/>
      <c r="X135" s="276"/>
      <c r="Y135" s="276"/>
      <c r="Z135" s="276"/>
    </row>
    <row r="136" spans="1:26" ht="18.75" customHeight="1">
      <c r="A136" s="276"/>
      <c r="B136" s="276"/>
      <c r="C136" s="276"/>
      <c r="D136" s="276"/>
      <c r="E136" s="276"/>
      <c r="F136" s="276"/>
      <c r="G136" s="276"/>
      <c r="H136" s="276"/>
      <c r="I136" s="276"/>
      <c r="J136" s="276"/>
      <c r="K136" s="276"/>
      <c r="L136" s="276"/>
      <c r="M136" s="276"/>
      <c r="N136" s="276"/>
      <c r="O136" s="276"/>
      <c r="P136" s="276"/>
      <c r="Q136" s="276"/>
      <c r="R136" s="276"/>
      <c r="S136" s="276"/>
      <c r="T136" s="276"/>
      <c r="U136" s="276"/>
      <c r="V136" s="276"/>
      <c r="W136" s="276"/>
      <c r="X136" s="276"/>
      <c r="Y136" s="276"/>
      <c r="Z136" s="276"/>
    </row>
    <row r="137" spans="1:26" ht="18.75" customHeight="1">
      <c r="A137" s="276"/>
      <c r="B137" s="276"/>
      <c r="C137" s="276"/>
      <c r="D137" s="276"/>
      <c r="E137" s="276"/>
      <c r="F137" s="276"/>
      <c r="G137" s="276"/>
      <c r="H137" s="276"/>
      <c r="I137" s="276"/>
      <c r="J137" s="276"/>
      <c r="K137" s="276"/>
      <c r="L137" s="276"/>
      <c r="M137" s="276"/>
      <c r="N137" s="276"/>
      <c r="O137" s="276"/>
      <c r="P137" s="276"/>
      <c r="Q137" s="276"/>
      <c r="R137" s="276"/>
      <c r="S137" s="276"/>
      <c r="T137" s="276"/>
      <c r="U137" s="276"/>
      <c r="V137" s="276"/>
      <c r="W137" s="276"/>
      <c r="X137" s="276"/>
      <c r="Y137" s="276"/>
      <c r="Z137" s="276"/>
    </row>
    <row r="138" spans="1:26" ht="18.75" customHeight="1">
      <c r="A138" s="276"/>
      <c r="B138" s="276"/>
      <c r="C138" s="276"/>
      <c r="D138" s="276"/>
      <c r="E138" s="276"/>
      <c r="F138" s="276"/>
      <c r="G138" s="276"/>
      <c r="H138" s="276"/>
      <c r="I138" s="276"/>
      <c r="J138" s="276"/>
      <c r="K138" s="276"/>
      <c r="L138" s="276"/>
      <c r="M138" s="276"/>
      <c r="N138" s="276"/>
      <c r="O138" s="276"/>
      <c r="P138" s="276"/>
      <c r="Q138" s="276"/>
      <c r="R138" s="276"/>
      <c r="S138" s="276"/>
      <c r="T138" s="276"/>
      <c r="U138" s="276"/>
      <c r="V138" s="276"/>
      <c r="W138" s="276"/>
      <c r="X138" s="276"/>
      <c r="Y138" s="276"/>
      <c r="Z138" s="276"/>
    </row>
    <row r="139" spans="1:26" ht="18.75" customHeight="1">
      <c r="A139" s="276"/>
      <c r="B139" s="276"/>
      <c r="C139" s="276"/>
      <c r="D139" s="276"/>
      <c r="E139" s="276"/>
      <c r="F139" s="276"/>
      <c r="G139" s="276"/>
      <c r="H139" s="276"/>
      <c r="I139" s="276"/>
      <c r="J139" s="276"/>
      <c r="K139" s="276"/>
      <c r="L139" s="276"/>
      <c r="M139" s="276"/>
      <c r="N139" s="276"/>
      <c r="O139" s="276"/>
      <c r="P139" s="276"/>
      <c r="Q139" s="276"/>
      <c r="R139" s="276"/>
      <c r="S139" s="276"/>
      <c r="T139" s="276"/>
      <c r="U139" s="276"/>
      <c r="V139" s="276"/>
      <c r="W139" s="276"/>
      <c r="X139" s="276"/>
      <c r="Y139" s="276"/>
      <c r="Z139" s="276"/>
    </row>
    <row r="140" spans="1:26" ht="18.75" customHeight="1">
      <c r="A140" s="276"/>
      <c r="B140" s="276"/>
      <c r="C140" s="276"/>
      <c r="D140" s="276"/>
      <c r="E140" s="276"/>
      <c r="F140" s="276"/>
      <c r="G140" s="276"/>
      <c r="H140" s="276"/>
      <c r="I140" s="276"/>
      <c r="J140" s="276"/>
      <c r="K140" s="276"/>
      <c r="L140" s="276"/>
      <c r="M140" s="276"/>
      <c r="N140" s="276"/>
      <c r="O140" s="276"/>
      <c r="P140" s="276"/>
      <c r="Q140" s="276"/>
      <c r="R140" s="276"/>
      <c r="S140" s="276"/>
      <c r="T140" s="276"/>
      <c r="U140" s="276"/>
      <c r="V140" s="276"/>
      <c r="W140" s="276"/>
      <c r="X140" s="276"/>
      <c r="Y140" s="276"/>
      <c r="Z140" s="276"/>
    </row>
    <row r="141" spans="1:26" ht="18.75" customHeight="1">
      <c r="A141" s="276"/>
      <c r="B141" s="276"/>
      <c r="C141" s="276"/>
      <c r="D141" s="276"/>
      <c r="E141" s="276"/>
      <c r="F141" s="276"/>
      <c r="G141" s="276"/>
      <c r="H141" s="276"/>
      <c r="I141" s="276"/>
      <c r="J141" s="276"/>
      <c r="K141" s="276"/>
      <c r="L141" s="276"/>
      <c r="M141" s="276"/>
      <c r="N141" s="276"/>
      <c r="O141" s="276"/>
      <c r="P141" s="276"/>
      <c r="Q141" s="276"/>
      <c r="R141" s="276"/>
      <c r="S141" s="276"/>
      <c r="T141" s="276"/>
      <c r="U141" s="276"/>
      <c r="V141" s="276"/>
      <c r="W141" s="276"/>
      <c r="X141" s="276"/>
      <c r="Y141" s="276"/>
      <c r="Z141" s="276"/>
    </row>
    <row r="142" spans="1:26" ht="18.75" customHeight="1">
      <c r="A142" s="276"/>
      <c r="B142" s="276"/>
      <c r="C142" s="276"/>
      <c r="D142" s="276"/>
      <c r="E142" s="276"/>
      <c r="F142" s="276"/>
      <c r="G142" s="276"/>
      <c r="H142" s="276"/>
      <c r="I142" s="276"/>
      <c r="J142" s="276"/>
      <c r="K142" s="276"/>
      <c r="L142" s="276"/>
      <c r="M142" s="276"/>
      <c r="N142" s="276"/>
      <c r="O142" s="276"/>
      <c r="P142" s="276"/>
      <c r="Q142" s="276"/>
      <c r="R142" s="276"/>
      <c r="S142" s="276"/>
      <c r="T142" s="276"/>
      <c r="U142" s="276"/>
      <c r="V142" s="276"/>
      <c r="W142" s="276"/>
      <c r="X142" s="276"/>
      <c r="Y142" s="276"/>
      <c r="Z142" s="276"/>
    </row>
    <row r="143" spans="1:26" ht="18.75" customHeight="1">
      <c r="A143" s="276"/>
      <c r="B143" s="276"/>
      <c r="C143" s="276"/>
      <c r="D143" s="276"/>
      <c r="E143" s="276"/>
      <c r="F143" s="276"/>
      <c r="G143" s="276"/>
      <c r="H143" s="276"/>
      <c r="I143" s="276"/>
      <c r="J143" s="276"/>
      <c r="K143" s="276"/>
      <c r="L143" s="276"/>
      <c r="M143" s="276"/>
      <c r="N143" s="276"/>
      <c r="O143" s="276"/>
      <c r="P143" s="276"/>
      <c r="Q143" s="276"/>
      <c r="R143" s="276"/>
      <c r="S143" s="276"/>
      <c r="T143" s="276"/>
      <c r="U143" s="276"/>
      <c r="V143" s="276"/>
      <c r="W143" s="276"/>
      <c r="X143" s="276"/>
      <c r="Y143" s="276"/>
      <c r="Z143" s="276"/>
    </row>
    <row r="144" spans="1:26" ht="18.75" customHeight="1">
      <c r="A144" s="276"/>
      <c r="B144" s="276"/>
      <c r="C144" s="276"/>
      <c r="D144" s="276"/>
      <c r="E144" s="276"/>
      <c r="F144" s="276"/>
      <c r="G144" s="276"/>
      <c r="H144" s="276"/>
      <c r="I144" s="276"/>
      <c r="J144" s="276"/>
      <c r="K144" s="276"/>
      <c r="L144" s="276"/>
      <c r="M144" s="276"/>
      <c r="N144" s="276"/>
      <c r="O144" s="276"/>
      <c r="P144" s="276"/>
      <c r="Q144" s="276"/>
      <c r="R144" s="276"/>
      <c r="S144" s="276"/>
      <c r="T144" s="276"/>
      <c r="U144" s="276"/>
      <c r="V144" s="276"/>
      <c r="W144" s="276"/>
      <c r="X144" s="276"/>
      <c r="Y144" s="276"/>
      <c r="Z144" s="276"/>
    </row>
    <row r="145" spans="1:26" ht="18.75" customHeight="1">
      <c r="A145" s="276"/>
      <c r="B145" s="276"/>
      <c r="C145" s="276"/>
      <c r="D145" s="276"/>
      <c r="E145" s="276"/>
      <c r="F145" s="276"/>
      <c r="G145" s="276"/>
      <c r="H145" s="276"/>
      <c r="I145" s="276"/>
      <c r="J145" s="276"/>
      <c r="K145" s="276"/>
      <c r="L145" s="276"/>
      <c r="M145" s="276"/>
      <c r="N145" s="276"/>
      <c r="O145" s="276"/>
      <c r="P145" s="276"/>
      <c r="Q145" s="276"/>
      <c r="R145" s="276"/>
      <c r="S145" s="276"/>
      <c r="T145" s="276"/>
      <c r="U145" s="276"/>
      <c r="V145" s="276"/>
      <c r="W145" s="276"/>
      <c r="X145" s="276"/>
      <c r="Y145" s="276"/>
      <c r="Z145" s="276"/>
    </row>
    <row r="146" spans="1:26" ht="18.75" customHeight="1">
      <c r="A146" s="276"/>
      <c r="B146" s="276"/>
      <c r="C146" s="276"/>
      <c r="D146" s="276"/>
      <c r="E146" s="276"/>
      <c r="F146" s="276"/>
      <c r="G146" s="276"/>
      <c r="H146" s="276"/>
      <c r="I146" s="276"/>
      <c r="J146" s="276"/>
      <c r="K146" s="276"/>
      <c r="L146" s="276"/>
      <c r="M146" s="276"/>
      <c r="N146" s="276"/>
      <c r="O146" s="276"/>
      <c r="P146" s="276"/>
      <c r="Q146" s="276"/>
      <c r="R146" s="276"/>
      <c r="S146" s="276"/>
      <c r="T146" s="276"/>
      <c r="U146" s="276"/>
      <c r="V146" s="276"/>
      <c r="W146" s="276"/>
      <c r="X146" s="276"/>
      <c r="Y146" s="276"/>
      <c r="Z146" s="276"/>
    </row>
    <row r="147" spans="1:26" ht="18.75" customHeight="1">
      <c r="A147" s="276"/>
      <c r="B147" s="276"/>
      <c r="C147" s="276"/>
      <c r="D147" s="276"/>
      <c r="E147" s="276"/>
      <c r="F147" s="276"/>
      <c r="G147" s="276"/>
      <c r="H147" s="276"/>
      <c r="I147" s="276"/>
      <c r="J147" s="276"/>
      <c r="K147" s="276"/>
      <c r="L147" s="276"/>
      <c r="M147" s="276"/>
      <c r="N147" s="276"/>
      <c r="O147" s="276"/>
      <c r="P147" s="276"/>
      <c r="Q147" s="276"/>
      <c r="R147" s="276"/>
      <c r="S147" s="276"/>
      <c r="T147" s="276"/>
      <c r="U147" s="276"/>
      <c r="V147" s="276"/>
      <c r="W147" s="276"/>
      <c r="X147" s="276"/>
      <c r="Y147" s="276"/>
      <c r="Z147" s="276"/>
    </row>
    <row r="148" spans="1:26" ht="18.75" customHeight="1">
      <c r="A148" s="276"/>
      <c r="B148" s="276"/>
      <c r="C148" s="276"/>
      <c r="D148" s="276"/>
      <c r="E148" s="276"/>
      <c r="F148" s="276"/>
      <c r="G148" s="276"/>
      <c r="H148" s="276"/>
      <c r="I148" s="276"/>
      <c r="J148" s="276"/>
      <c r="K148" s="276"/>
      <c r="L148" s="276"/>
      <c r="M148" s="276"/>
      <c r="N148" s="276"/>
      <c r="O148" s="276"/>
      <c r="P148" s="276"/>
      <c r="Q148" s="276"/>
      <c r="R148" s="276"/>
      <c r="S148" s="276"/>
      <c r="T148" s="276"/>
      <c r="U148" s="276"/>
      <c r="V148" s="276"/>
      <c r="W148" s="276"/>
      <c r="X148" s="276"/>
      <c r="Y148" s="276"/>
      <c r="Z148" s="276"/>
    </row>
    <row r="149" spans="1:26" ht="18.75" customHeight="1">
      <c r="A149" s="276"/>
      <c r="B149" s="276"/>
      <c r="C149" s="276"/>
      <c r="D149" s="276"/>
      <c r="E149" s="276"/>
      <c r="F149" s="276"/>
      <c r="G149" s="276"/>
      <c r="H149" s="276"/>
      <c r="I149" s="276"/>
      <c r="J149" s="276"/>
      <c r="K149" s="276"/>
      <c r="L149" s="276"/>
      <c r="M149" s="276"/>
      <c r="N149" s="276"/>
      <c r="O149" s="276"/>
      <c r="P149" s="276"/>
      <c r="Q149" s="276"/>
      <c r="R149" s="276"/>
      <c r="S149" s="276"/>
      <c r="T149" s="276"/>
      <c r="U149" s="276"/>
      <c r="V149" s="276"/>
      <c r="W149" s="276"/>
      <c r="X149" s="276"/>
      <c r="Y149" s="276"/>
      <c r="Z149" s="276"/>
    </row>
    <row r="150" spans="1:26" ht="18.75" customHeight="1">
      <c r="A150" s="276"/>
      <c r="B150" s="276"/>
      <c r="C150" s="276"/>
      <c r="D150" s="276"/>
      <c r="E150" s="276"/>
      <c r="F150" s="276"/>
      <c r="G150" s="276"/>
      <c r="H150" s="276"/>
      <c r="I150" s="276"/>
      <c r="J150" s="276"/>
      <c r="K150" s="276"/>
      <c r="L150" s="276"/>
      <c r="M150" s="276"/>
      <c r="N150" s="276"/>
      <c r="O150" s="276"/>
      <c r="P150" s="276"/>
      <c r="Q150" s="276"/>
      <c r="R150" s="276"/>
      <c r="S150" s="276"/>
      <c r="T150" s="276"/>
      <c r="U150" s="276"/>
      <c r="V150" s="276"/>
      <c r="W150" s="276"/>
      <c r="X150" s="276"/>
      <c r="Y150" s="276"/>
      <c r="Z150" s="276"/>
    </row>
    <row r="151" spans="1:26" ht="18.75" customHeight="1">
      <c r="A151" s="276"/>
      <c r="B151" s="276"/>
      <c r="C151" s="276"/>
      <c r="D151" s="276"/>
      <c r="E151" s="276"/>
      <c r="F151" s="276"/>
      <c r="G151" s="276"/>
      <c r="H151" s="276"/>
      <c r="I151" s="276"/>
      <c r="J151" s="276"/>
      <c r="K151" s="276"/>
      <c r="L151" s="276"/>
      <c r="M151" s="276"/>
      <c r="N151" s="276"/>
      <c r="O151" s="276"/>
      <c r="P151" s="276"/>
      <c r="Q151" s="276"/>
      <c r="R151" s="276"/>
      <c r="S151" s="276"/>
      <c r="T151" s="276"/>
      <c r="U151" s="276"/>
      <c r="V151" s="276"/>
      <c r="W151" s="276"/>
      <c r="X151" s="276"/>
      <c r="Y151" s="276"/>
      <c r="Z151" s="276"/>
    </row>
    <row r="152" spans="1:26" ht="18.75" customHeight="1">
      <c r="A152" s="276"/>
      <c r="B152" s="276"/>
      <c r="C152" s="276"/>
      <c r="D152" s="276"/>
      <c r="E152" s="276"/>
      <c r="F152" s="276"/>
      <c r="G152" s="276"/>
      <c r="H152" s="276"/>
      <c r="I152" s="276"/>
      <c r="J152" s="276"/>
      <c r="K152" s="276"/>
      <c r="L152" s="276"/>
      <c r="M152" s="276"/>
      <c r="N152" s="276"/>
      <c r="O152" s="276"/>
      <c r="P152" s="276"/>
      <c r="Q152" s="276"/>
      <c r="R152" s="276"/>
      <c r="S152" s="276"/>
      <c r="T152" s="276"/>
      <c r="U152" s="276"/>
      <c r="V152" s="276"/>
      <c r="W152" s="276"/>
      <c r="X152" s="276"/>
      <c r="Y152" s="276"/>
      <c r="Z152" s="276"/>
    </row>
    <row r="153" spans="1:26" ht="18.75" customHeight="1">
      <c r="A153" s="276"/>
      <c r="B153" s="276"/>
      <c r="C153" s="276"/>
      <c r="D153" s="276"/>
      <c r="E153" s="276"/>
      <c r="F153" s="276"/>
      <c r="G153" s="276"/>
      <c r="H153" s="276"/>
      <c r="I153" s="276"/>
      <c r="J153" s="276"/>
      <c r="K153" s="276"/>
      <c r="L153" s="276"/>
      <c r="M153" s="276"/>
      <c r="N153" s="276"/>
      <c r="O153" s="276"/>
      <c r="P153" s="276"/>
      <c r="Q153" s="276"/>
      <c r="R153" s="276"/>
      <c r="S153" s="276"/>
      <c r="T153" s="276"/>
      <c r="U153" s="276"/>
      <c r="V153" s="276"/>
      <c r="W153" s="276"/>
      <c r="X153" s="276"/>
      <c r="Y153" s="276"/>
      <c r="Z153" s="276"/>
    </row>
    <row r="154" spans="1:26" ht="18.75" customHeight="1">
      <c r="A154" s="276"/>
      <c r="B154" s="276"/>
      <c r="C154" s="276"/>
      <c r="D154" s="276"/>
      <c r="E154" s="276"/>
      <c r="F154" s="276"/>
      <c r="G154" s="276"/>
      <c r="H154" s="276"/>
      <c r="I154" s="276"/>
      <c r="J154" s="276"/>
      <c r="K154" s="276"/>
      <c r="L154" s="276"/>
      <c r="M154" s="276"/>
      <c r="N154" s="276"/>
      <c r="O154" s="276"/>
      <c r="P154" s="276"/>
      <c r="Q154" s="276"/>
      <c r="R154" s="276"/>
      <c r="S154" s="276"/>
      <c r="T154" s="276"/>
      <c r="U154" s="276"/>
      <c r="V154" s="276"/>
      <c r="W154" s="276"/>
      <c r="X154" s="276"/>
      <c r="Y154" s="276"/>
      <c r="Z154" s="276"/>
    </row>
    <row r="155" spans="1:26" ht="18.75" customHeight="1">
      <c r="A155" s="276"/>
      <c r="B155" s="276"/>
      <c r="C155" s="276"/>
      <c r="D155" s="276"/>
      <c r="E155" s="276"/>
      <c r="F155" s="276"/>
      <c r="G155" s="276"/>
      <c r="H155" s="276"/>
      <c r="I155" s="276"/>
      <c r="J155" s="276"/>
      <c r="K155" s="276"/>
      <c r="L155" s="276"/>
      <c r="M155" s="276"/>
      <c r="N155" s="276"/>
      <c r="O155" s="276"/>
      <c r="P155" s="276"/>
      <c r="Q155" s="276"/>
      <c r="R155" s="276"/>
      <c r="S155" s="276"/>
      <c r="T155" s="276"/>
      <c r="U155" s="276"/>
      <c r="V155" s="276"/>
      <c r="W155" s="276"/>
      <c r="X155" s="276"/>
      <c r="Y155" s="276"/>
      <c r="Z155" s="276"/>
    </row>
    <row r="156" spans="1:26" ht="18.75" customHeight="1">
      <c r="A156" s="276"/>
      <c r="B156" s="276"/>
      <c r="C156" s="276"/>
      <c r="D156" s="276"/>
      <c r="E156" s="276"/>
      <c r="F156" s="276"/>
      <c r="G156" s="276"/>
      <c r="H156" s="276"/>
      <c r="I156" s="276"/>
      <c r="J156" s="276"/>
      <c r="K156" s="276"/>
      <c r="L156" s="276"/>
      <c r="M156" s="276"/>
      <c r="N156" s="276"/>
      <c r="O156" s="276"/>
      <c r="P156" s="276"/>
      <c r="Q156" s="276"/>
      <c r="R156" s="276"/>
      <c r="S156" s="276"/>
      <c r="T156" s="276"/>
      <c r="U156" s="276"/>
      <c r="V156" s="276"/>
      <c r="W156" s="276"/>
      <c r="X156" s="276"/>
      <c r="Y156" s="276"/>
      <c r="Z156" s="276"/>
    </row>
    <row r="157" spans="1:26" ht="18.75" customHeight="1">
      <c r="A157" s="276"/>
      <c r="B157" s="276"/>
      <c r="C157" s="276"/>
      <c r="D157" s="276"/>
      <c r="E157" s="276"/>
      <c r="F157" s="276"/>
      <c r="G157" s="276"/>
      <c r="H157" s="276"/>
      <c r="I157" s="276"/>
      <c r="J157" s="276"/>
      <c r="K157" s="276"/>
      <c r="L157" s="276"/>
      <c r="M157" s="276"/>
      <c r="N157" s="276"/>
      <c r="O157" s="276"/>
      <c r="P157" s="276"/>
      <c r="Q157" s="276"/>
      <c r="R157" s="276"/>
      <c r="S157" s="276"/>
      <c r="T157" s="276"/>
      <c r="U157" s="276"/>
      <c r="V157" s="276"/>
      <c r="W157" s="276"/>
      <c r="X157" s="276"/>
      <c r="Y157" s="276"/>
      <c r="Z157" s="276"/>
    </row>
    <row r="158" spans="1:26" ht="18.75" customHeight="1">
      <c r="A158" s="276"/>
      <c r="B158" s="276"/>
      <c r="C158" s="276"/>
      <c r="D158" s="276"/>
      <c r="E158" s="276"/>
      <c r="F158" s="276"/>
      <c r="G158" s="276"/>
      <c r="H158" s="276"/>
      <c r="I158" s="276"/>
      <c r="J158" s="276"/>
      <c r="K158" s="276"/>
      <c r="L158" s="276"/>
      <c r="M158" s="276"/>
      <c r="N158" s="276"/>
      <c r="O158" s="276"/>
      <c r="P158" s="276"/>
      <c r="Q158" s="276"/>
      <c r="R158" s="276"/>
      <c r="S158" s="276"/>
      <c r="T158" s="276"/>
      <c r="U158" s="276"/>
      <c r="V158" s="276"/>
      <c r="W158" s="276"/>
      <c r="X158" s="276"/>
      <c r="Y158" s="276"/>
      <c r="Z158" s="276"/>
    </row>
    <row r="159" spans="1:26" ht="18.75" customHeight="1">
      <c r="A159" s="276"/>
      <c r="B159" s="276"/>
      <c r="C159" s="276"/>
      <c r="D159" s="276"/>
      <c r="E159" s="276"/>
      <c r="F159" s="276"/>
      <c r="G159" s="276"/>
      <c r="H159" s="276"/>
      <c r="I159" s="276"/>
      <c r="J159" s="276"/>
      <c r="K159" s="276"/>
      <c r="L159" s="276"/>
      <c r="M159" s="276"/>
      <c r="N159" s="276"/>
      <c r="O159" s="276"/>
      <c r="P159" s="276"/>
      <c r="Q159" s="276"/>
      <c r="R159" s="276"/>
      <c r="S159" s="276"/>
      <c r="T159" s="276"/>
      <c r="U159" s="276"/>
      <c r="V159" s="276"/>
      <c r="W159" s="276"/>
      <c r="X159" s="276"/>
      <c r="Y159" s="276"/>
      <c r="Z159" s="276"/>
    </row>
    <row r="160" spans="1:26" ht="18.75" customHeight="1">
      <c r="A160" s="276"/>
      <c r="B160" s="276"/>
      <c r="C160" s="276"/>
      <c r="D160" s="276"/>
      <c r="E160" s="276"/>
      <c r="F160" s="276"/>
      <c r="G160" s="276"/>
      <c r="H160" s="276"/>
      <c r="I160" s="276"/>
      <c r="J160" s="276"/>
      <c r="K160" s="276"/>
      <c r="L160" s="276"/>
      <c r="M160" s="276"/>
      <c r="N160" s="276"/>
      <c r="O160" s="276"/>
      <c r="P160" s="276"/>
      <c r="Q160" s="276"/>
      <c r="R160" s="276"/>
      <c r="S160" s="276"/>
      <c r="T160" s="276"/>
      <c r="U160" s="276"/>
      <c r="V160" s="276"/>
      <c r="W160" s="276"/>
      <c r="X160" s="276"/>
      <c r="Y160" s="276"/>
      <c r="Z160" s="276"/>
    </row>
    <row r="161" spans="1:26" ht="18.75" customHeight="1">
      <c r="A161" s="276"/>
      <c r="B161" s="276"/>
      <c r="C161" s="276"/>
      <c r="D161" s="276"/>
      <c r="E161" s="276"/>
      <c r="F161" s="276"/>
      <c r="G161" s="276"/>
      <c r="H161" s="276"/>
      <c r="I161" s="276"/>
      <c r="J161" s="276"/>
      <c r="K161" s="276"/>
      <c r="L161" s="276"/>
      <c r="M161" s="276"/>
      <c r="N161" s="276"/>
      <c r="O161" s="276"/>
      <c r="P161" s="276"/>
      <c r="Q161" s="276"/>
      <c r="R161" s="276"/>
      <c r="S161" s="276"/>
      <c r="T161" s="276"/>
      <c r="U161" s="276"/>
      <c r="V161" s="276"/>
      <c r="W161" s="276"/>
      <c r="X161" s="276"/>
      <c r="Y161" s="276"/>
      <c r="Z161" s="276"/>
    </row>
    <row r="162" spans="1:26" ht="18.75" customHeight="1">
      <c r="A162" s="276"/>
      <c r="B162" s="276"/>
      <c r="C162" s="276"/>
      <c r="D162" s="276"/>
      <c r="E162" s="276"/>
      <c r="F162" s="276"/>
      <c r="G162" s="276"/>
      <c r="H162" s="276"/>
      <c r="I162" s="276"/>
      <c r="J162" s="276"/>
      <c r="K162" s="276"/>
      <c r="L162" s="276"/>
      <c r="M162" s="276"/>
      <c r="N162" s="276"/>
      <c r="O162" s="276"/>
      <c r="P162" s="276"/>
      <c r="Q162" s="276"/>
      <c r="R162" s="276"/>
      <c r="S162" s="276"/>
      <c r="T162" s="276"/>
      <c r="U162" s="276"/>
      <c r="V162" s="276"/>
      <c r="W162" s="276"/>
      <c r="X162" s="276"/>
      <c r="Y162" s="276"/>
      <c r="Z162" s="276"/>
    </row>
    <row r="163" spans="1:26" ht="18.75" customHeight="1">
      <c r="A163" s="276"/>
      <c r="B163" s="276"/>
      <c r="C163" s="276"/>
      <c r="D163" s="276"/>
      <c r="E163" s="276"/>
      <c r="F163" s="276"/>
      <c r="G163" s="276"/>
      <c r="H163" s="276"/>
      <c r="I163" s="276"/>
      <c r="J163" s="276"/>
      <c r="K163" s="276"/>
      <c r="L163" s="276"/>
      <c r="M163" s="276"/>
      <c r="N163" s="276"/>
      <c r="O163" s="276"/>
      <c r="P163" s="276"/>
      <c r="Q163" s="276"/>
      <c r="R163" s="276"/>
      <c r="S163" s="276"/>
      <c r="T163" s="276"/>
      <c r="U163" s="276"/>
      <c r="V163" s="276"/>
      <c r="W163" s="276"/>
      <c r="X163" s="276"/>
      <c r="Y163" s="276"/>
      <c r="Z163" s="276"/>
    </row>
    <row r="164" spans="1:26" ht="18.75" customHeight="1">
      <c r="A164" s="276"/>
      <c r="B164" s="276"/>
      <c r="C164" s="276"/>
      <c r="D164" s="276"/>
      <c r="E164" s="276"/>
      <c r="F164" s="276"/>
      <c r="G164" s="276"/>
      <c r="H164" s="276"/>
      <c r="I164" s="276"/>
      <c r="J164" s="276"/>
      <c r="K164" s="276"/>
      <c r="L164" s="276"/>
      <c r="M164" s="276"/>
      <c r="N164" s="276"/>
      <c r="O164" s="276"/>
      <c r="P164" s="276"/>
      <c r="Q164" s="276"/>
      <c r="R164" s="276"/>
      <c r="S164" s="276"/>
      <c r="T164" s="276"/>
      <c r="U164" s="276"/>
      <c r="V164" s="276"/>
      <c r="W164" s="276"/>
      <c r="X164" s="276"/>
      <c r="Y164" s="276"/>
      <c r="Z164" s="276"/>
    </row>
    <row r="165" spans="1:26" ht="18.75" customHeight="1">
      <c r="A165" s="276"/>
      <c r="B165" s="276"/>
      <c r="C165" s="276"/>
      <c r="D165" s="276"/>
      <c r="E165" s="276"/>
      <c r="F165" s="276"/>
      <c r="G165" s="276"/>
      <c r="H165" s="276"/>
      <c r="I165" s="276"/>
      <c r="J165" s="276"/>
      <c r="K165" s="276"/>
      <c r="L165" s="276"/>
      <c r="M165" s="276"/>
      <c r="N165" s="276"/>
      <c r="O165" s="276"/>
      <c r="P165" s="276"/>
      <c r="Q165" s="276"/>
      <c r="R165" s="276"/>
      <c r="S165" s="276"/>
      <c r="T165" s="276"/>
      <c r="U165" s="276"/>
      <c r="V165" s="276"/>
      <c r="W165" s="276"/>
      <c r="X165" s="276"/>
      <c r="Y165" s="276"/>
      <c r="Z165" s="276"/>
    </row>
    <row r="166" spans="1:26" ht="18.75" customHeight="1">
      <c r="A166" s="276"/>
      <c r="B166" s="276"/>
      <c r="C166" s="276"/>
      <c r="D166" s="276"/>
      <c r="E166" s="276"/>
      <c r="F166" s="276"/>
      <c r="G166" s="276"/>
      <c r="H166" s="276"/>
      <c r="I166" s="276"/>
      <c r="J166" s="276"/>
      <c r="K166" s="276"/>
      <c r="L166" s="276"/>
      <c r="M166" s="276"/>
      <c r="N166" s="276"/>
      <c r="O166" s="276"/>
      <c r="P166" s="276"/>
      <c r="Q166" s="276"/>
      <c r="R166" s="276"/>
      <c r="S166" s="276"/>
      <c r="T166" s="276"/>
      <c r="U166" s="276"/>
      <c r="V166" s="276"/>
      <c r="W166" s="276"/>
      <c r="X166" s="276"/>
      <c r="Y166" s="276"/>
      <c r="Z166" s="276"/>
    </row>
    <row r="167" spans="1:26" ht="18.75" customHeight="1">
      <c r="A167" s="276"/>
      <c r="B167" s="276"/>
      <c r="C167" s="276"/>
      <c r="D167" s="276"/>
      <c r="E167" s="276"/>
      <c r="F167" s="276"/>
      <c r="G167" s="276"/>
      <c r="H167" s="276"/>
      <c r="I167" s="276"/>
      <c r="J167" s="276"/>
      <c r="K167" s="276"/>
      <c r="L167" s="276"/>
      <c r="M167" s="276"/>
      <c r="N167" s="276"/>
      <c r="O167" s="276"/>
      <c r="P167" s="276"/>
      <c r="Q167" s="276"/>
      <c r="R167" s="276"/>
      <c r="S167" s="276"/>
      <c r="T167" s="276"/>
      <c r="U167" s="276"/>
      <c r="V167" s="276"/>
      <c r="W167" s="276"/>
      <c r="X167" s="276"/>
      <c r="Y167" s="276"/>
      <c r="Z167" s="276"/>
    </row>
    <row r="168" spans="1:26" ht="18.75" customHeight="1">
      <c r="A168" s="276"/>
      <c r="B168" s="276"/>
      <c r="C168" s="276"/>
      <c r="D168" s="276"/>
      <c r="E168" s="276"/>
      <c r="F168" s="276"/>
      <c r="G168" s="276"/>
      <c r="H168" s="276"/>
      <c r="I168" s="276"/>
      <c r="J168" s="276"/>
      <c r="K168" s="276"/>
      <c r="L168" s="276"/>
      <c r="M168" s="276"/>
      <c r="N168" s="276"/>
      <c r="O168" s="276"/>
      <c r="P168" s="276"/>
      <c r="Q168" s="276"/>
      <c r="R168" s="276"/>
      <c r="S168" s="276"/>
      <c r="T168" s="276"/>
      <c r="U168" s="276"/>
      <c r="V168" s="276"/>
      <c r="W168" s="276"/>
      <c r="X168" s="276"/>
      <c r="Y168" s="276"/>
      <c r="Z168" s="276"/>
    </row>
    <row r="169" spans="1:26" ht="18.75" customHeight="1">
      <c r="A169" s="276"/>
      <c r="B169" s="276"/>
      <c r="C169" s="276"/>
      <c r="D169" s="276"/>
      <c r="E169" s="276"/>
      <c r="F169" s="276"/>
      <c r="G169" s="276"/>
      <c r="H169" s="276"/>
      <c r="I169" s="276"/>
      <c r="J169" s="276"/>
      <c r="K169" s="276"/>
      <c r="L169" s="276"/>
      <c r="M169" s="276"/>
      <c r="N169" s="276"/>
      <c r="O169" s="276"/>
      <c r="P169" s="276"/>
      <c r="Q169" s="276"/>
      <c r="R169" s="276"/>
      <c r="S169" s="276"/>
      <c r="T169" s="276"/>
      <c r="U169" s="276"/>
      <c r="V169" s="276"/>
      <c r="W169" s="276"/>
      <c r="X169" s="276"/>
      <c r="Y169" s="276"/>
      <c r="Z169" s="276"/>
    </row>
    <row r="170" spans="1:26" ht="18.75" customHeight="1">
      <c r="A170" s="276"/>
      <c r="B170" s="276"/>
      <c r="C170" s="276"/>
      <c r="D170" s="276"/>
      <c r="E170" s="276"/>
      <c r="F170" s="276"/>
      <c r="G170" s="276"/>
      <c r="H170" s="276"/>
      <c r="I170" s="276"/>
      <c r="J170" s="276"/>
      <c r="K170" s="276"/>
      <c r="L170" s="276"/>
      <c r="M170" s="276"/>
      <c r="N170" s="276"/>
      <c r="O170" s="276"/>
      <c r="P170" s="276"/>
      <c r="Q170" s="276"/>
      <c r="R170" s="276"/>
      <c r="S170" s="276"/>
      <c r="T170" s="276"/>
      <c r="U170" s="276"/>
      <c r="V170" s="276"/>
      <c r="W170" s="276"/>
      <c r="X170" s="276"/>
      <c r="Y170" s="276"/>
      <c r="Z170" s="276"/>
    </row>
    <row r="171" spans="1:26" ht="18.75" customHeight="1">
      <c r="A171" s="276"/>
      <c r="B171" s="276"/>
      <c r="C171" s="276"/>
      <c r="D171" s="276"/>
      <c r="E171" s="276"/>
      <c r="F171" s="276"/>
      <c r="G171" s="276"/>
      <c r="H171" s="276"/>
      <c r="I171" s="276"/>
      <c r="J171" s="276"/>
      <c r="K171" s="276"/>
      <c r="L171" s="276"/>
      <c r="M171" s="276"/>
      <c r="N171" s="276"/>
      <c r="O171" s="276"/>
      <c r="P171" s="276"/>
      <c r="Q171" s="276"/>
      <c r="R171" s="276"/>
      <c r="S171" s="276"/>
      <c r="T171" s="276"/>
      <c r="U171" s="276"/>
      <c r="V171" s="276"/>
      <c r="W171" s="276"/>
      <c r="X171" s="276"/>
      <c r="Y171" s="276"/>
      <c r="Z171" s="276"/>
    </row>
    <row r="172" spans="1:26" ht="18.75" customHeight="1">
      <c r="A172" s="276"/>
      <c r="B172" s="276"/>
      <c r="C172" s="276"/>
      <c r="D172" s="276"/>
      <c r="E172" s="276"/>
      <c r="F172" s="276"/>
      <c r="G172" s="276"/>
      <c r="H172" s="276"/>
      <c r="I172" s="276"/>
      <c r="J172" s="276"/>
      <c r="K172" s="276"/>
      <c r="L172" s="276"/>
      <c r="M172" s="276"/>
      <c r="N172" s="276"/>
      <c r="O172" s="276"/>
      <c r="P172" s="276"/>
      <c r="Q172" s="276"/>
      <c r="R172" s="276"/>
      <c r="S172" s="276"/>
      <c r="T172" s="276"/>
      <c r="U172" s="276"/>
      <c r="V172" s="276"/>
      <c r="W172" s="276"/>
      <c r="X172" s="276"/>
      <c r="Y172" s="276"/>
      <c r="Z172" s="276"/>
    </row>
    <row r="173" spans="1:26" ht="18.75" customHeight="1">
      <c r="A173" s="276"/>
      <c r="B173" s="276"/>
      <c r="C173" s="276"/>
      <c r="D173" s="276"/>
      <c r="E173" s="276"/>
      <c r="F173" s="276"/>
      <c r="G173" s="276"/>
      <c r="H173" s="276"/>
      <c r="I173" s="276"/>
      <c r="J173" s="276"/>
      <c r="K173" s="276"/>
      <c r="L173" s="276"/>
      <c r="M173" s="276"/>
      <c r="N173" s="276"/>
      <c r="O173" s="276"/>
      <c r="P173" s="276"/>
      <c r="Q173" s="276"/>
      <c r="R173" s="276"/>
      <c r="S173" s="276"/>
      <c r="T173" s="276"/>
      <c r="U173" s="276"/>
      <c r="V173" s="276"/>
      <c r="W173" s="276"/>
      <c r="X173" s="276"/>
      <c r="Y173" s="276"/>
      <c r="Z173" s="276"/>
    </row>
    <row r="174" spans="1:26" ht="18.75" customHeight="1">
      <c r="A174" s="276"/>
      <c r="B174" s="276"/>
      <c r="C174" s="276"/>
      <c r="D174" s="276"/>
      <c r="E174" s="276"/>
      <c r="F174" s="276"/>
      <c r="G174" s="276"/>
      <c r="H174" s="276"/>
      <c r="I174" s="276"/>
      <c r="J174" s="276"/>
      <c r="K174" s="276"/>
      <c r="L174" s="276"/>
      <c r="M174" s="276"/>
      <c r="N174" s="276"/>
      <c r="O174" s="276"/>
      <c r="P174" s="276"/>
      <c r="Q174" s="276"/>
      <c r="R174" s="276"/>
      <c r="S174" s="276"/>
      <c r="T174" s="276"/>
      <c r="U174" s="276"/>
      <c r="V174" s="276"/>
      <c r="W174" s="276"/>
      <c r="X174" s="276"/>
      <c r="Y174" s="276"/>
      <c r="Z174" s="276"/>
    </row>
    <row r="175" spans="1:26" ht="18.75" customHeight="1">
      <c r="A175" s="276"/>
      <c r="B175" s="276"/>
      <c r="C175" s="276"/>
      <c r="D175" s="276"/>
      <c r="E175" s="276"/>
      <c r="F175" s="276"/>
      <c r="G175" s="276"/>
      <c r="H175" s="276"/>
      <c r="I175" s="276"/>
      <c r="J175" s="276"/>
      <c r="K175" s="276"/>
      <c r="L175" s="276"/>
      <c r="M175" s="276"/>
      <c r="N175" s="276"/>
      <c r="O175" s="276"/>
      <c r="P175" s="276"/>
      <c r="Q175" s="276"/>
      <c r="R175" s="276"/>
      <c r="S175" s="276"/>
      <c r="T175" s="276"/>
      <c r="U175" s="276"/>
      <c r="V175" s="276"/>
      <c r="W175" s="276"/>
      <c r="X175" s="276"/>
      <c r="Y175" s="276"/>
      <c r="Z175" s="276"/>
    </row>
    <row r="176" spans="1:26" ht="18.75" customHeight="1">
      <c r="A176" s="276"/>
      <c r="B176" s="276"/>
      <c r="C176" s="276"/>
      <c r="D176" s="276"/>
      <c r="E176" s="276"/>
      <c r="F176" s="276"/>
      <c r="G176" s="276"/>
      <c r="H176" s="276"/>
      <c r="I176" s="276"/>
      <c r="J176" s="276"/>
      <c r="K176" s="276"/>
      <c r="L176" s="276"/>
      <c r="M176" s="276"/>
      <c r="N176" s="276"/>
      <c r="O176" s="276"/>
      <c r="P176" s="276"/>
      <c r="Q176" s="276"/>
      <c r="R176" s="276"/>
      <c r="S176" s="276"/>
      <c r="T176" s="276"/>
      <c r="U176" s="276"/>
      <c r="V176" s="276"/>
      <c r="W176" s="276"/>
      <c r="X176" s="276"/>
      <c r="Y176" s="276"/>
      <c r="Z176" s="276"/>
    </row>
    <row r="177" spans="1:26" ht="18.75" customHeight="1">
      <c r="A177" s="276"/>
      <c r="B177" s="276"/>
      <c r="C177" s="276"/>
      <c r="D177" s="276"/>
      <c r="E177" s="276"/>
      <c r="F177" s="276"/>
      <c r="G177" s="276"/>
      <c r="H177" s="276"/>
      <c r="I177" s="276"/>
      <c r="J177" s="276"/>
      <c r="K177" s="276"/>
      <c r="L177" s="276"/>
      <c r="M177" s="276"/>
      <c r="N177" s="276"/>
      <c r="O177" s="276"/>
      <c r="P177" s="276"/>
      <c r="Q177" s="276"/>
      <c r="R177" s="276"/>
      <c r="S177" s="276"/>
      <c r="T177" s="276"/>
      <c r="U177" s="276"/>
      <c r="V177" s="276"/>
      <c r="W177" s="276"/>
      <c r="X177" s="276"/>
      <c r="Y177" s="276"/>
      <c r="Z177" s="276"/>
    </row>
    <row r="178" spans="1:26" ht="18.75" customHeight="1">
      <c r="A178" s="276"/>
      <c r="B178" s="276"/>
      <c r="C178" s="276"/>
      <c r="D178" s="276"/>
      <c r="E178" s="276"/>
      <c r="F178" s="276"/>
      <c r="G178" s="276"/>
      <c r="H178" s="276"/>
      <c r="I178" s="276"/>
      <c r="J178" s="276"/>
      <c r="K178" s="276"/>
      <c r="L178" s="276"/>
      <c r="M178" s="276"/>
      <c r="N178" s="276"/>
      <c r="O178" s="276"/>
      <c r="P178" s="276"/>
      <c r="Q178" s="276"/>
      <c r="R178" s="276"/>
      <c r="S178" s="276"/>
      <c r="T178" s="276"/>
      <c r="U178" s="276"/>
      <c r="V178" s="276"/>
      <c r="W178" s="276"/>
      <c r="X178" s="276"/>
      <c r="Y178" s="276"/>
      <c r="Z178" s="276"/>
    </row>
    <row r="179" spans="1:26" ht="18.75" customHeight="1">
      <c r="A179" s="276"/>
      <c r="B179" s="276"/>
      <c r="C179" s="276"/>
      <c r="D179" s="276"/>
      <c r="E179" s="276"/>
      <c r="F179" s="276"/>
      <c r="G179" s="276"/>
      <c r="H179" s="276"/>
      <c r="I179" s="276"/>
      <c r="J179" s="276"/>
      <c r="K179" s="276"/>
      <c r="L179" s="276"/>
      <c r="M179" s="276"/>
      <c r="N179" s="276"/>
      <c r="O179" s="276"/>
      <c r="P179" s="276"/>
      <c r="Q179" s="276"/>
      <c r="R179" s="276"/>
      <c r="S179" s="276"/>
      <c r="T179" s="276"/>
      <c r="U179" s="276"/>
      <c r="V179" s="276"/>
      <c r="W179" s="276"/>
      <c r="X179" s="276"/>
      <c r="Y179" s="276"/>
      <c r="Z179" s="276"/>
    </row>
    <row r="180" spans="1:26" ht="18.75" customHeight="1">
      <c r="A180" s="276"/>
      <c r="B180" s="276"/>
      <c r="C180" s="276"/>
      <c r="D180" s="276"/>
      <c r="E180" s="276"/>
      <c r="F180" s="276"/>
      <c r="G180" s="276"/>
      <c r="H180" s="276"/>
      <c r="I180" s="276"/>
      <c r="J180" s="276"/>
      <c r="K180" s="276"/>
      <c r="L180" s="276"/>
      <c r="M180" s="276"/>
      <c r="N180" s="276"/>
      <c r="O180" s="276"/>
      <c r="P180" s="276"/>
      <c r="Q180" s="276"/>
      <c r="R180" s="276"/>
      <c r="S180" s="276"/>
      <c r="T180" s="276"/>
      <c r="U180" s="276"/>
      <c r="V180" s="276"/>
      <c r="W180" s="276"/>
      <c r="X180" s="276"/>
      <c r="Y180" s="276"/>
      <c r="Z180" s="276"/>
    </row>
    <row r="181" spans="1:26" ht="18.75" customHeight="1">
      <c r="A181" s="276"/>
      <c r="B181" s="276"/>
      <c r="C181" s="276"/>
      <c r="D181" s="276"/>
      <c r="E181" s="276"/>
      <c r="F181" s="276"/>
      <c r="G181" s="276"/>
      <c r="H181" s="276"/>
      <c r="I181" s="276"/>
      <c r="J181" s="276"/>
      <c r="K181" s="276"/>
      <c r="L181" s="276"/>
      <c r="M181" s="276"/>
      <c r="N181" s="276"/>
      <c r="O181" s="276"/>
      <c r="P181" s="276"/>
      <c r="Q181" s="276"/>
      <c r="R181" s="276"/>
      <c r="S181" s="276"/>
      <c r="T181" s="276"/>
      <c r="U181" s="276"/>
      <c r="V181" s="276"/>
      <c r="W181" s="276"/>
      <c r="X181" s="276"/>
      <c r="Y181" s="276"/>
      <c r="Z181" s="276"/>
    </row>
    <row r="182" spans="1:26" ht="18.75" customHeight="1">
      <c r="A182" s="276"/>
      <c r="B182" s="276"/>
      <c r="C182" s="276"/>
      <c r="D182" s="276"/>
      <c r="E182" s="276"/>
      <c r="F182" s="276"/>
      <c r="G182" s="276"/>
      <c r="H182" s="276"/>
      <c r="I182" s="276"/>
      <c r="J182" s="276"/>
      <c r="K182" s="276"/>
      <c r="L182" s="276"/>
      <c r="M182" s="276"/>
      <c r="N182" s="276"/>
      <c r="O182" s="276"/>
      <c r="P182" s="276"/>
      <c r="Q182" s="276"/>
      <c r="R182" s="276"/>
      <c r="S182" s="276"/>
      <c r="T182" s="276"/>
      <c r="U182" s="276"/>
      <c r="V182" s="276"/>
      <c r="W182" s="276"/>
      <c r="X182" s="276"/>
      <c r="Y182" s="276"/>
      <c r="Z182" s="276"/>
    </row>
    <row r="183" spans="1:26" ht="18.75" customHeight="1">
      <c r="A183" s="276"/>
      <c r="B183" s="276"/>
      <c r="C183" s="276"/>
      <c r="D183" s="276"/>
      <c r="E183" s="276"/>
      <c r="F183" s="276"/>
      <c r="G183" s="276"/>
      <c r="H183" s="276"/>
      <c r="I183" s="276"/>
      <c r="J183" s="276"/>
      <c r="K183" s="276"/>
      <c r="L183" s="276"/>
      <c r="M183" s="276"/>
      <c r="N183" s="276"/>
      <c r="O183" s="276"/>
      <c r="P183" s="276"/>
      <c r="Q183" s="276"/>
      <c r="R183" s="276"/>
      <c r="S183" s="276"/>
      <c r="T183" s="276"/>
      <c r="U183" s="276"/>
      <c r="V183" s="276"/>
      <c r="W183" s="276"/>
      <c r="X183" s="276"/>
      <c r="Y183" s="276"/>
      <c r="Z183" s="276"/>
    </row>
    <row r="184" spans="1:26" ht="18.75" customHeight="1">
      <c r="A184" s="276"/>
      <c r="B184" s="276"/>
      <c r="C184" s="276"/>
      <c r="D184" s="276"/>
      <c r="E184" s="276"/>
      <c r="F184" s="276"/>
      <c r="G184" s="276"/>
      <c r="H184" s="276"/>
      <c r="I184" s="276"/>
      <c r="J184" s="276"/>
      <c r="K184" s="276"/>
      <c r="L184" s="276"/>
      <c r="M184" s="276"/>
      <c r="N184" s="276"/>
      <c r="O184" s="276"/>
      <c r="P184" s="276"/>
      <c r="Q184" s="276"/>
      <c r="R184" s="276"/>
      <c r="S184" s="276"/>
      <c r="T184" s="276"/>
      <c r="U184" s="276"/>
      <c r="V184" s="276"/>
      <c r="W184" s="276"/>
      <c r="X184" s="276"/>
      <c r="Y184" s="276"/>
      <c r="Z184" s="276"/>
    </row>
    <row r="185" spans="1:26" ht="18.75" customHeight="1">
      <c r="A185" s="276"/>
      <c r="B185" s="276"/>
      <c r="C185" s="276"/>
      <c r="D185" s="276"/>
      <c r="E185" s="276"/>
      <c r="F185" s="276"/>
      <c r="G185" s="276"/>
      <c r="H185" s="276"/>
      <c r="I185" s="276"/>
      <c r="J185" s="276"/>
      <c r="K185" s="276"/>
      <c r="L185" s="276"/>
      <c r="M185" s="276"/>
      <c r="N185" s="276"/>
      <c r="O185" s="276"/>
      <c r="P185" s="276"/>
      <c r="Q185" s="276"/>
      <c r="R185" s="276"/>
      <c r="S185" s="276"/>
      <c r="T185" s="276"/>
      <c r="U185" s="276"/>
      <c r="V185" s="276"/>
      <c r="W185" s="276"/>
      <c r="X185" s="276"/>
      <c r="Y185" s="276"/>
      <c r="Z185" s="276"/>
    </row>
    <row r="186" spans="1:26" ht="18.75" customHeight="1">
      <c r="A186" s="276"/>
      <c r="B186" s="276"/>
      <c r="C186" s="276"/>
      <c r="D186" s="276"/>
      <c r="E186" s="276"/>
      <c r="F186" s="276"/>
      <c r="G186" s="276"/>
      <c r="H186" s="276"/>
      <c r="I186" s="276"/>
      <c r="J186" s="276"/>
      <c r="K186" s="276"/>
      <c r="L186" s="276"/>
      <c r="M186" s="276"/>
      <c r="N186" s="276"/>
      <c r="O186" s="276"/>
      <c r="P186" s="276"/>
      <c r="Q186" s="276"/>
      <c r="R186" s="276"/>
      <c r="S186" s="276"/>
      <c r="T186" s="276"/>
      <c r="U186" s="276"/>
      <c r="V186" s="276"/>
      <c r="W186" s="276"/>
      <c r="X186" s="276"/>
      <c r="Y186" s="276"/>
      <c r="Z186" s="276"/>
    </row>
    <row r="187" spans="1:26" ht="18.75" customHeight="1">
      <c r="A187" s="276"/>
      <c r="B187" s="276"/>
      <c r="C187" s="276"/>
      <c r="D187" s="276"/>
      <c r="E187" s="276"/>
      <c r="F187" s="276"/>
      <c r="G187" s="276"/>
      <c r="H187" s="276"/>
      <c r="I187" s="276"/>
      <c r="J187" s="276"/>
      <c r="K187" s="276"/>
      <c r="L187" s="276"/>
      <c r="M187" s="276"/>
      <c r="N187" s="276"/>
      <c r="O187" s="276"/>
      <c r="P187" s="276"/>
      <c r="Q187" s="276"/>
      <c r="R187" s="276"/>
      <c r="S187" s="276"/>
      <c r="T187" s="276"/>
      <c r="U187" s="276"/>
      <c r="V187" s="276"/>
      <c r="W187" s="276"/>
      <c r="X187" s="276"/>
      <c r="Y187" s="276"/>
      <c r="Z187" s="276"/>
    </row>
    <row r="188" spans="1:26" ht="18.75" customHeight="1">
      <c r="A188" s="276"/>
      <c r="B188" s="276"/>
      <c r="C188" s="276"/>
      <c r="D188" s="276"/>
      <c r="E188" s="276"/>
      <c r="F188" s="276"/>
      <c r="G188" s="276"/>
      <c r="H188" s="276"/>
      <c r="I188" s="276"/>
      <c r="J188" s="276"/>
      <c r="K188" s="276"/>
      <c r="L188" s="276"/>
      <c r="M188" s="276"/>
      <c r="N188" s="276"/>
      <c r="O188" s="276"/>
      <c r="P188" s="276"/>
      <c r="Q188" s="276"/>
      <c r="R188" s="276"/>
      <c r="S188" s="276"/>
      <c r="T188" s="276"/>
      <c r="U188" s="276"/>
      <c r="V188" s="276"/>
      <c r="W188" s="276"/>
      <c r="X188" s="276"/>
      <c r="Y188" s="276"/>
      <c r="Z188" s="276"/>
    </row>
    <row r="189" spans="1:26" ht="18.75" customHeight="1">
      <c r="A189" s="276"/>
      <c r="B189" s="276"/>
      <c r="C189" s="276"/>
      <c r="D189" s="276"/>
      <c r="E189" s="276"/>
      <c r="F189" s="276"/>
      <c r="G189" s="276"/>
      <c r="H189" s="276"/>
      <c r="I189" s="276"/>
      <c r="J189" s="276"/>
      <c r="K189" s="276"/>
      <c r="L189" s="276"/>
      <c r="M189" s="276"/>
      <c r="N189" s="276"/>
      <c r="O189" s="276"/>
      <c r="P189" s="276"/>
      <c r="Q189" s="276"/>
      <c r="R189" s="276"/>
      <c r="S189" s="276"/>
      <c r="T189" s="276"/>
      <c r="U189" s="276"/>
      <c r="V189" s="276"/>
      <c r="W189" s="276"/>
      <c r="X189" s="276"/>
      <c r="Y189" s="276"/>
      <c r="Z189" s="276"/>
    </row>
    <row r="190" spans="1:26" ht="18.75" customHeight="1">
      <c r="A190" s="276"/>
      <c r="B190" s="276"/>
      <c r="C190" s="276"/>
      <c r="D190" s="276"/>
      <c r="E190" s="276"/>
      <c r="F190" s="276"/>
      <c r="G190" s="276"/>
      <c r="H190" s="276"/>
      <c r="I190" s="276"/>
      <c r="J190" s="276"/>
      <c r="K190" s="276"/>
      <c r="L190" s="276"/>
      <c r="M190" s="276"/>
      <c r="N190" s="276"/>
      <c r="O190" s="276"/>
      <c r="P190" s="276"/>
      <c r="Q190" s="276"/>
      <c r="R190" s="276"/>
      <c r="S190" s="276"/>
      <c r="T190" s="276"/>
      <c r="U190" s="276"/>
      <c r="V190" s="276"/>
      <c r="W190" s="276"/>
      <c r="X190" s="276"/>
      <c r="Y190" s="276"/>
      <c r="Z190" s="276"/>
    </row>
    <row r="191" spans="1:26" ht="18.75" customHeight="1">
      <c r="A191" s="276"/>
      <c r="B191" s="276"/>
      <c r="C191" s="276"/>
      <c r="D191" s="276"/>
      <c r="E191" s="276"/>
      <c r="F191" s="276"/>
      <c r="G191" s="276"/>
      <c r="H191" s="276"/>
      <c r="I191" s="276"/>
      <c r="J191" s="276"/>
      <c r="K191" s="276"/>
      <c r="L191" s="276"/>
      <c r="M191" s="276"/>
      <c r="N191" s="276"/>
      <c r="O191" s="276"/>
      <c r="P191" s="276"/>
      <c r="Q191" s="276"/>
      <c r="R191" s="276"/>
      <c r="S191" s="276"/>
      <c r="T191" s="276"/>
      <c r="U191" s="276"/>
      <c r="V191" s="276"/>
      <c r="W191" s="276"/>
      <c r="X191" s="276"/>
      <c r="Y191" s="276"/>
      <c r="Z191" s="276"/>
    </row>
    <row r="192" spans="1:26" ht="18.75" customHeight="1">
      <c r="A192" s="276"/>
      <c r="B192" s="276"/>
      <c r="C192" s="276"/>
      <c r="D192" s="276"/>
      <c r="E192" s="276"/>
      <c r="F192" s="276"/>
      <c r="G192" s="276"/>
      <c r="H192" s="276"/>
      <c r="I192" s="276"/>
      <c r="J192" s="276"/>
      <c r="K192" s="276"/>
      <c r="L192" s="276"/>
      <c r="M192" s="276"/>
      <c r="N192" s="276"/>
      <c r="O192" s="276"/>
      <c r="P192" s="276"/>
      <c r="Q192" s="276"/>
      <c r="R192" s="276"/>
      <c r="S192" s="276"/>
      <c r="T192" s="276"/>
      <c r="U192" s="276"/>
      <c r="V192" s="276"/>
      <c r="W192" s="276"/>
      <c r="X192" s="276"/>
      <c r="Y192" s="276"/>
      <c r="Z192" s="276"/>
    </row>
    <row r="193" spans="1:26" ht="18.75" customHeight="1">
      <c r="A193" s="276"/>
      <c r="B193" s="276"/>
      <c r="C193" s="276"/>
      <c r="D193" s="276"/>
      <c r="E193" s="276"/>
      <c r="F193" s="276"/>
      <c r="G193" s="276"/>
      <c r="H193" s="276"/>
      <c r="I193" s="276"/>
      <c r="J193" s="276"/>
      <c r="K193" s="276"/>
      <c r="L193" s="276"/>
      <c r="M193" s="276"/>
      <c r="N193" s="276"/>
      <c r="O193" s="276"/>
      <c r="P193" s="276"/>
      <c r="Q193" s="276"/>
      <c r="R193" s="276"/>
      <c r="S193" s="276"/>
      <c r="T193" s="276"/>
      <c r="U193" s="276"/>
      <c r="V193" s="276"/>
      <c r="W193" s="276"/>
      <c r="X193" s="276"/>
      <c r="Y193" s="276"/>
      <c r="Z193" s="276"/>
    </row>
    <row r="194" spans="1:26" ht="18.75" customHeight="1">
      <c r="A194" s="276"/>
      <c r="B194" s="276"/>
      <c r="C194" s="276"/>
      <c r="D194" s="276"/>
      <c r="E194" s="276"/>
      <c r="F194" s="276"/>
      <c r="G194" s="276"/>
      <c r="H194" s="276"/>
      <c r="I194" s="276"/>
      <c r="J194" s="276"/>
      <c r="K194" s="276"/>
      <c r="L194" s="276"/>
      <c r="M194" s="276"/>
      <c r="N194" s="276"/>
      <c r="O194" s="276"/>
      <c r="P194" s="276"/>
      <c r="Q194" s="276"/>
      <c r="R194" s="276"/>
      <c r="S194" s="276"/>
      <c r="T194" s="276"/>
      <c r="U194" s="276"/>
      <c r="V194" s="276"/>
      <c r="W194" s="276"/>
      <c r="X194" s="276"/>
      <c r="Y194" s="276"/>
      <c r="Z194" s="276"/>
    </row>
    <row r="195" spans="1:26" ht="18.75" customHeight="1">
      <c r="A195" s="276"/>
      <c r="B195" s="276"/>
      <c r="C195" s="276"/>
      <c r="D195" s="276"/>
      <c r="E195" s="276"/>
      <c r="F195" s="276"/>
      <c r="G195" s="276"/>
      <c r="H195" s="276"/>
      <c r="I195" s="276"/>
      <c r="J195" s="276"/>
      <c r="K195" s="276"/>
      <c r="L195" s="276"/>
      <c r="M195" s="276"/>
      <c r="N195" s="276"/>
      <c r="O195" s="276"/>
      <c r="P195" s="276"/>
      <c r="Q195" s="276"/>
      <c r="R195" s="276"/>
      <c r="S195" s="276"/>
      <c r="T195" s="276"/>
      <c r="U195" s="276"/>
      <c r="V195" s="276"/>
      <c r="W195" s="276"/>
      <c r="X195" s="276"/>
      <c r="Y195" s="276"/>
      <c r="Z195" s="276"/>
    </row>
    <row r="196" spans="1:26" ht="18.75" customHeight="1">
      <c r="A196" s="276"/>
      <c r="B196" s="276"/>
      <c r="C196" s="276"/>
      <c r="D196" s="276"/>
      <c r="E196" s="276"/>
      <c r="F196" s="276"/>
      <c r="G196" s="276"/>
      <c r="H196" s="276"/>
      <c r="I196" s="276"/>
      <c r="J196" s="276"/>
      <c r="K196" s="276"/>
      <c r="L196" s="276"/>
      <c r="M196" s="276"/>
      <c r="N196" s="276"/>
      <c r="O196" s="276"/>
      <c r="P196" s="276"/>
      <c r="Q196" s="276"/>
      <c r="R196" s="276"/>
      <c r="S196" s="276"/>
      <c r="T196" s="276"/>
      <c r="U196" s="276"/>
      <c r="V196" s="276"/>
      <c r="W196" s="276"/>
      <c r="X196" s="276"/>
      <c r="Y196" s="276"/>
      <c r="Z196" s="276"/>
    </row>
    <row r="197" spans="1:26" ht="18.75" customHeight="1">
      <c r="A197" s="276"/>
      <c r="B197" s="276"/>
      <c r="C197" s="276"/>
      <c r="D197" s="276"/>
      <c r="E197" s="276"/>
      <c r="F197" s="276"/>
      <c r="G197" s="276"/>
      <c r="H197" s="276"/>
      <c r="I197" s="276"/>
      <c r="J197" s="276"/>
      <c r="K197" s="276"/>
      <c r="L197" s="276"/>
      <c r="M197" s="276"/>
      <c r="N197" s="276"/>
      <c r="O197" s="276"/>
      <c r="P197" s="276"/>
      <c r="Q197" s="276"/>
      <c r="R197" s="276"/>
      <c r="S197" s="276"/>
      <c r="T197" s="276"/>
      <c r="U197" s="276"/>
      <c r="V197" s="276"/>
      <c r="W197" s="276"/>
      <c r="X197" s="276"/>
      <c r="Y197" s="276"/>
      <c r="Z197" s="276"/>
    </row>
    <row r="198" spans="1:26" ht="18.75" customHeight="1">
      <c r="A198" s="276"/>
      <c r="B198" s="276"/>
      <c r="C198" s="276"/>
      <c r="D198" s="276"/>
      <c r="E198" s="276"/>
      <c r="F198" s="276"/>
      <c r="G198" s="276"/>
      <c r="H198" s="276"/>
      <c r="I198" s="276"/>
      <c r="J198" s="276"/>
      <c r="K198" s="276"/>
      <c r="L198" s="276"/>
      <c r="M198" s="276"/>
      <c r="N198" s="276"/>
      <c r="O198" s="276"/>
      <c r="P198" s="276"/>
      <c r="Q198" s="276"/>
      <c r="R198" s="276"/>
      <c r="S198" s="276"/>
      <c r="T198" s="276"/>
      <c r="U198" s="276"/>
      <c r="V198" s="276"/>
      <c r="W198" s="276"/>
      <c r="X198" s="276"/>
      <c r="Y198" s="276"/>
      <c r="Z198" s="276"/>
    </row>
    <row r="199" spans="1:26" ht="18.75" customHeight="1">
      <c r="A199" s="276"/>
      <c r="B199" s="276"/>
      <c r="C199" s="276"/>
      <c r="D199" s="276"/>
      <c r="E199" s="276"/>
      <c r="F199" s="276"/>
      <c r="G199" s="276"/>
      <c r="H199" s="276"/>
      <c r="I199" s="276"/>
      <c r="J199" s="276"/>
      <c r="K199" s="276"/>
      <c r="L199" s="276"/>
      <c r="M199" s="276"/>
      <c r="N199" s="276"/>
      <c r="O199" s="276"/>
      <c r="P199" s="276"/>
      <c r="Q199" s="276"/>
      <c r="R199" s="276"/>
      <c r="S199" s="276"/>
      <c r="T199" s="276"/>
      <c r="U199" s="276"/>
      <c r="V199" s="276"/>
      <c r="W199" s="276"/>
      <c r="X199" s="276"/>
      <c r="Y199" s="276"/>
      <c r="Z199" s="276"/>
    </row>
    <row r="200" spans="1:26" ht="18.75" customHeight="1">
      <c r="A200" s="276"/>
      <c r="B200" s="276"/>
      <c r="C200" s="276"/>
      <c r="D200" s="276"/>
      <c r="E200" s="276"/>
      <c r="F200" s="276"/>
      <c r="G200" s="276"/>
      <c r="H200" s="276"/>
      <c r="I200" s="276"/>
      <c r="J200" s="276"/>
      <c r="K200" s="276"/>
      <c r="L200" s="276"/>
      <c r="M200" s="276"/>
      <c r="N200" s="276"/>
      <c r="O200" s="276"/>
      <c r="P200" s="276"/>
      <c r="Q200" s="276"/>
      <c r="R200" s="276"/>
      <c r="S200" s="276"/>
      <c r="T200" s="276"/>
      <c r="U200" s="276"/>
      <c r="V200" s="276"/>
      <c r="W200" s="276"/>
      <c r="X200" s="276"/>
      <c r="Y200" s="276"/>
      <c r="Z200" s="276"/>
    </row>
    <row r="201" spans="1:26" ht="18.75" customHeight="1">
      <c r="A201" s="276"/>
      <c r="B201" s="276"/>
      <c r="C201" s="276"/>
      <c r="D201" s="276"/>
      <c r="E201" s="276"/>
      <c r="F201" s="276"/>
      <c r="G201" s="276"/>
      <c r="H201" s="276"/>
      <c r="I201" s="276"/>
      <c r="J201" s="276"/>
      <c r="K201" s="276"/>
      <c r="L201" s="276"/>
      <c r="M201" s="276"/>
      <c r="N201" s="276"/>
      <c r="O201" s="276"/>
      <c r="P201" s="276"/>
      <c r="Q201" s="276"/>
      <c r="R201" s="276"/>
      <c r="S201" s="276"/>
      <c r="T201" s="276"/>
      <c r="U201" s="276"/>
      <c r="V201" s="276"/>
      <c r="W201" s="276"/>
      <c r="X201" s="276"/>
      <c r="Y201" s="276"/>
      <c r="Z201" s="276"/>
    </row>
    <row r="202" spans="1:26" ht="18.75" customHeight="1">
      <c r="A202" s="276"/>
      <c r="B202" s="276"/>
      <c r="C202" s="276"/>
      <c r="D202" s="276"/>
      <c r="E202" s="276"/>
      <c r="F202" s="276"/>
      <c r="G202" s="276"/>
      <c r="H202" s="276"/>
      <c r="I202" s="276"/>
      <c r="J202" s="276"/>
      <c r="K202" s="276"/>
      <c r="L202" s="276"/>
      <c r="M202" s="276"/>
      <c r="N202" s="276"/>
      <c r="O202" s="276"/>
      <c r="P202" s="276"/>
      <c r="Q202" s="276"/>
      <c r="R202" s="276"/>
      <c r="S202" s="276"/>
      <c r="T202" s="276"/>
      <c r="U202" s="276"/>
      <c r="V202" s="276"/>
      <c r="W202" s="276"/>
      <c r="X202" s="276"/>
      <c r="Y202" s="276"/>
      <c r="Z202" s="276"/>
    </row>
    <row r="203" spans="1:26" ht="18.75" customHeight="1">
      <c r="A203" s="276"/>
      <c r="B203" s="276"/>
      <c r="C203" s="276"/>
      <c r="D203" s="276"/>
      <c r="E203" s="276"/>
      <c r="F203" s="276"/>
      <c r="G203" s="276"/>
      <c r="H203" s="276"/>
      <c r="I203" s="276"/>
      <c r="J203" s="276"/>
      <c r="K203" s="276"/>
      <c r="L203" s="276"/>
      <c r="M203" s="276"/>
      <c r="N203" s="276"/>
      <c r="O203" s="276"/>
      <c r="P203" s="276"/>
      <c r="Q203" s="276"/>
      <c r="R203" s="276"/>
      <c r="S203" s="276"/>
      <c r="T203" s="276"/>
      <c r="U203" s="276"/>
      <c r="V203" s="276"/>
      <c r="W203" s="276"/>
      <c r="X203" s="276"/>
      <c r="Y203" s="276"/>
      <c r="Z203" s="276"/>
    </row>
    <row r="204" spans="1:26" ht="18.75" customHeight="1">
      <c r="A204" s="276"/>
      <c r="B204" s="276"/>
      <c r="C204" s="276"/>
      <c r="D204" s="276"/>
      <c r="E204" s="276"/>
      <c r="F204" s="276"/>
      <c r="G204" s="276"/>
      <c r="H204" s="276"/>
      <c r="I204" s="276"/>
      <c r="J204" s="276"/>
      <c r="K204" s="276"/>
      <c r="L204" s="276"/>
      <c r="M204" s="276"/>
      <c r="N204" s="276"/>
      <c r="O204" s="276"/>
      <c r="P204" s="276"/>
      <c r="Q204" s="276"/>
      <c r="R204" s="276"/>
      <c r="S204" s="276"/>
      <c r="T204" s="276"/>
      <c r="U204" s="276"/>
      <c r="V204" s="276"/>
      <c r="W204" s="276"/>
      <c r="X204" s="276"/>
      <c r="Y204" s="276"/>
      <c r="Z204" s="276"/>
    </row>
    <row r="205" spans="1:26" ht="18.75" customHeight="1">
      <c r="A205" s="276"/>
      <c r="B205" s="276"/>
      <c r="C205" s="276"/>
      <c r="D205" s="276"/>
      <c r="E205" s="276"/>
      <c r="F205" s="276"/>
      <c r="G205" s="276"/>
      <c r="H205" s="276"/>
      <c r="I205" s="276"/>
      <c r="J205" s="276"/>
      <c r="K205" s="276"/>
      <c r="L205" s="276"/>
      <c r="M205" s="276"/>
      <c r="N205" s="276"/>
      <c r="O205" s="276"/>
      <c r="P205" s="276"/>
      <c r="Q205" s="276"/>
      <c r="R205" s="276"/>
      <c r="S205" s="276"/>
      <c r="T205" s="276"/>
      <c r="U205" s="276"/>
      <c r="V205" s="276"/>
      <c r="W205" s="276"/>
      <c r="X205" s="276"/>
      <c r="Y205" s="276"/>
      <c r="Z205" s="276"/>
    </row>
    <row r="206" spans="1:26" ht="18.75" customHeight="1">
      <c r="A206" s="276"/>
      <c r="B206" s="276"/>
      <c r="C206" s="276"/>
      <c r="D206" s="276"/>
      <c r="E206" s="276"/>
      <c r="F206" s="276"/>
      <c r="G206" s="276"/>
      <c r="H206" s="276"/>
      <c r="I206" s="276"/>
      <c r="J206" s="276"/>
      <c r="K206" s="276"/>
      <c r="L206" s="276"/>
      <c r="M206" s="276"/>
      <c r="N206" s="276"/>
      <c r="O206" s="276"/>
      <c r="P206" s="276"/>
      <c r="Q206" s="276"/>
      <c r="R206" s="276"/>
      <c r="S206" s="276"/>
      <c r="T206" s="276"/>
      <c r="U206" s="276"/>
      <c r="V206" s="276"/>
      <c r="W206" s="276"/>
      <c r="X206" s="276"/>
      <c r="Y206" s="276"/>
      <c r="Z206" s="276"/>
    </row>
    <row r="207" spans="1:26" ht="18.75" customHeight="1">
      <c r="A207" s="276"/>
      <c r="B207" s="276"/>
      <c r="C207" s="276"/>
      <c r="D207" s="276"/>
      <c r="E207" s="276"/>
      <c r="F207" s="276"/>
      <c r="G207" s="276"/>
      <c r="H207" s="276"/>
      <c r="I207" s="276"/>
      <c r="J207" s="276"/>
      <c r="K207" s="276"/>
      <c r="L207" s="276"/>
      <c r="M207" s="276"/>
      <c r="N207" s="276"/>
      <c r="O207" s="276"/>
      <c r="P207" s="276"/>
      <c r="Q207" s="276"/>
      <c r="R207" s="276"/>
      <c r="S207" s="276"/>
      <c r="T207" s="276"/>
      <c r="U207" s="276"/>
      <c r="V207" s="276"/>
      <c r="W207" s="276"/>
      <c r="X207" s="276"/>
      <c r="Y207" s="276"/>
      <c r="Z207" s="276"/>
    </row>
    <row r="208" spans="1:26" ht="18.75" customHeight="1">
      <c r="A208" s="276"/>
      <c r="B208" s="276"/>
      <c r="C208" s="276"/>
      <c r="D208" s="276"/>
      <c r="E208" s="276"/>
      <c r="F208" s="276"/>
      <c r="G208" s="276"/>
      <c r="H208" s="276"/>
      <c r="I208" s="276"/>
      <c r="J208" s="276"/>
      <c r="K208" s="276"/>
      <c r="L208" s="276"/>
      <c r="M208" s="276"/>
      <c r="N208" s="276"/>
      <c r="O208" s="276"/>
      <c r="P208" s="276"/>
      <c r="Q208" s="276"/>
      <c r="R208" s="276"/>
      <c r="S208" s="276"/>
      <c r="T208" s="276"/>
      <c r="U208" s="276"/>
      <c r="V208" s="276"/>
      <c r="W208" s="276"/>
      <c r="X208" s="276"/>
      <c r="Y208" s="276"/>
      <c r="Z208" s="276"/>
    </row>
    <row r="209" spans="1:26" ht="18.75" customHeight="1">
      <c r="A209" s="276"/>
      <c r="B209" s="276"/>
      <c r="C209" s="276"/>
      <c r="D209" s="276"/>
      <c r="E209" s="276"/>
      <c r="F209" s="276"/>
      <c r="G209" s="276"/>
      <c r="H209" s="276"/>
      <c r="I209" s="276"/>
      <c r="J209" s="276"/>
      <c r="K209" s="276"/>
      <c r="L209" s="276"/>
      <c r="M209" s="276"/>
      <c r="N209" s="276"/>
      <c r="O209" s="276"/>
      <c r="P209" s="276"/>
      <c r="Q209" s="276"/>
      <c r="R209" s="276"/>
      <c r="S209" s="276"/>
      <c r="T209" s="276"/>
      <c r="U209" s="276"/>
      <c r="V209" s="276"/>
      <c r="W209" s="276"/>
      <c r="X209" s="276"/>
      <c r="Y209" s="276"/>
      <c r="Z209" s="276"/>
    </row>
    <row r="210" spans="1:26" ht="18.75" customHeight="1">
      <c r="A210" s="276"/>
      <c r="B210" s="276"/>
      <c r="C210" s="276"/>
      <c r="D210" s="276"/>
      <c r="E210" s="276"/>
      <c r="F210" s="276"/>
      <c r="G210" s="276"/>
      <c r="H210" s="276"/>
      <c r="I210" s="276"/>
      <c r="J210" s="276"/>
      <c r="K210" s="276"/>
      <c r="L210" s="276"/>
      <c r="M210" s="276"/>
      <c r="N210" s="276"/>
      <c r="O210" s="276"/>
      <c r="P210" s="276"/>
      <c r="Q210" s="276"/>
      <c r="R210" s="276"/>
      <c r="S210" s="276"/>
      <c r="T210" s="276"/>
      <c r="U210" s="276"/>
      <c r="V210" s="276"/>
      <c r="W210" s="276"/>
      <c r="X210" s="276"/>
      <c r="Y210" s="276"/>
      <c r="Z210" s="276"/>
    </row>
    <row r="211" spans="1:26" ht="18.75" customHeight="1">
      <c r="A211" s="276"/>
      <c r="B211" s="276"/>
      <c r="C211" s="276"/>
      <c r="D211" s="276"/>
      <c r="E211" s="276"/>
      <c r="F211" s="276"/>
      <c r="G211" s="276"/>
      <c r="H211" s="276"/>
      <c r="I211" s="276"/>
      <c r="J211" s="276"/>
      <c r="K211" s="276"/>
      <c r="L211" s="276"/>
      <c r="M211" s="276"/>
      <c r="N211" s="276"/>
      <c r="O211" s="276"/>
      <c r="P211" s="276"/>
      <c r="Q211" s="276"/>
      <c r="R211" s="276"/>
      <c r="S211" s="276"/>
      <c r="T211" s="276"/>
      <c r="U211" s="276"/>
      <c r="V211" s="276"/>
      <c r="W211" s="276"/>
      <c r="X211" s="276"/>
      <c r="Y211" s="276"/>
      <c r="Z211" s="276"/>
    </row>
    <row r="212" spans="1:26" ht="18.75" customHeight="1">
      <c r="A212" s="276"/>
      <c r="B212" s="276"/>
      <c r="C212" s="276"/>
      <c r="D212" s="276"/>
      <c r="E212" s="276"/>
      <c r="F212" s="276"/>
      <c r="G212" s="276"/>
      <c r="H212" s="276"/>
      <c r="I212" s="276"/>
      <c r="J212" s="276"/>
      <c r="K212" s="276"/>
      <c r="L212" s="276"/>
      <c r="M212" s="276"/>
      <c r="N212" s="276"/>
      <c r="O212" s="276"/>
      <c r="P212" s="276"/>
      <c r="Q212" s="276"/>
      <c r="R212" s="276"/>
      <c r="S212" s="276"/>
      <c r="T212" s="276"/>
      <c r="U212" s="276"/>
      <c r="V212" s="276"/>
      <c r="W212" s="276"/>
      <c r="X212" s="276"/>
      <c r="Y212" s="276"/>
      <c r="Z212" s="276"/>
    </row>
    <row r="213" spans="1:26" ht="18.75" customHeight="1">
      <c r="A213" s="276"/>
      <c r="B213" s="276"/>
      <c r="C213" s="276"/>
      <c r="D213" s="276"/>
      <c r="E213" s="276"/>
      <c r="F213" s="276"/>
      <c r="G213" s="276"/>
      <c r="H213" s="276"/>
      <c r="I213" s="276"/>
      <c r="J213" s="276"/>
      <c r="K213" s="276"/>
      <c r="L213" s="276"/>
      <c r="M213" s="276"/>
      <c r="N213" s="276"/>
      <c r="O213" s="276"/>
      <c r="P213" s="276"/>
      <c r="Q213" s="276"/>
      <c r="R213" s="276"/>
      <c r="S213" s="276"/>
      <c r="T213" s="276"/>
      <c r="U213" s="276"/>
      <c r="V213" s="276"/>
      <c r="W213" s="276"/>
      <c r="X213" s="276"/>
      <c r="Y213" s="276"/>
      <c r="Z213" s="276"/>
    </row>
    <row r="214" spans="1:26" ht="18.75" customHeight="1">
      <c r="A214" s="276"/>
      <c r="B214" s="276"/>
      <c r="C214" s="276"/>
      <c r="D214" s="276"/>
      <c r="E214" s="276"/>
      <c r="F214" s="276"/>
      <c r="G214" s="276"/>
      <c r="H214" s="276"/>
      <c r="I214" s="276"/>
      <c r="J214" s="276"/>
      <c r="K214" s="276"/>
      <c r="L214" s="276"/>
      <c r="M214" s="276"/>
      <c r="N214" s="276"/>
      <c r="O214" s="276"/>
      <c r="P214" s="276"/>
      <c r="Q214" s="276"/>
      <c r="R214" s="276"/>
      <c r="S214" s="276"/>
      <c r="T214" s="276"/>
      <c r="U214" s="276"/>
      <c r="V214" s="276"/>
      <c r="W214" s="276"/>
      <c r="X214" s="276"/>
      <c r="Y214" s="276"/>
      <c r="Z214" s="276"/>
    </row>
    <row r="215" spans="1:26" ht="18.75" customHeight="1">
      <c r="A215" s="276"/>
      <c r="B215" s="276"/>
      <c r="C215" s="276"/>
      <c r="D215" s="276"/>
      <c r="E215" s="276"/>
      <c r="F215" s="276"/>
      <c r="G215" s="276"/>
      <c r="H215" s="276"/>
      <c r="I215" s="276"/>
      <c r="J215" s="276"/>
      <c r="K215" s="276"/>
      <c r="L215" s="276"/>
      <c r="M215" s="276"/>
      <c r="N215" s="276"/>
      <c r="O215" s="276"/>
      <c r="P215" s="276"/>
      <c r="Q215" s="276"/>
      <c r="R215" s="276"/>
      <c r="S215" s="276"/>
      <c r="T215" s="276"/>
      <c r="U215" s="276"/>
      <c r="V215" s="276"/>
      <c r="W215" s="276"/>
      <c r="X215" s="276"/>
      <c r="Y215" s="276"/>
      <c r="Z215" s="276"/>
    </row>
    <row r="216" spans="1:26" ht="18.75" customHeight="1">
      <c r="A216" s="276"/>
      <c r="B216" s="276"/>
      <c r="C216" s="276"/>
      <c r="D216" s="276"/>
      <c r="E216" s="276"/>
      <c r="F216" s="276"/>
      <c r="G216" s="276"/>
      <c r="H216" s="276"/>
      <c r="I216" s="276"/>
      <c r="J216" s="276"/>
      <c r="K216" s="276"/>
      <c r="L216" s="276"/>
      <c r="M216" s="276"/>
      <c r="N216" s="276"/>
      <c r="O216" s="276"/>
      <c r="P216" s="276"/>
      <c r="Q216" s="276"/>
      <c r="R216" s="276"/>
      <c r="S216" s="276"/>
      <c r="T216" s="276"/>
      <c r="U216" s="276"/>
      <c r="V216" s="276"/>
      <c r="W216" s="276"/>
      <c r="X216" s="276"/>
      <c r="Y216" s="276"/>
      <c r="Z216" s="276"/>
    </row>
    <row r="217" spans="1:26" ht="18.75" customHeight="1">
      <c r="A217" s="276"/>
      <c r="B217" s="276"/>
      <c r="C217" s="276"/>
      <c r="D217" s="276"/>
      <c r="E217" s="276"/>
      <c r="F217" s="276"/>
      <c r="G217" s="276"/>
      <c r="H217" s="276"/>
      <c r="I217" s="276"/>
      <c r="J217" s="276"/>
      <c r="K217" s="276"/>
      <c r="L217" s="276"/>
      <c r="M217" s="276"/>
      <c r="N217" s="276"/>
      <c r="O217" s="276"/>
      <c r="P217" s="276"/>
      <c r="Q217" s="276"/>
      <c r="R217" s="276"/>
      <c r="S217" s="276"/>
      <c r="T217" s="276"/>
      <c r="U217" s="276"/>
      <c r="V217" s="276"/>
      <c r="W217" s="276"/>
      <c r="X217" s="276"/>
      <c r="Y217" s="276"/>
      <c r="Z217" s="276"/>
    </row>
    <row r="218" spans="1:26" ht="18.75" customHeight="1">
      <c r="A218" s="276"/>
      <c r="B218" s="276"/>
      <c r="C218" s="276"/>
      <c r="D218" s="276"/>
      <c r="E218" s="276"/>
      <c r="F218" s="276"/>
      <c r="G218" s="276"/>
      <c r="H218" s="276"/>
      <c r="I218" s="276"/>
      <c r="J218" s="276"/>
      <c r="K218" s="276"/>
      <c r="L218" s="276"/>
      <c r="M218" s="276"/>
      <c r="N218" s="276"/>
      <c r="O218" s="276"/>
      <c r="P218" s="276"/>
      <c r="Q218" s="276"/>
      <c r="R218" s="276"/>
      <c r="S218" s="276"/>
      <c r="T218" s="276"/>
      <c r="U218" s="276"/>
      <c r="V218" s="276"/>
      <c r="W218" s="276"/>
      <c r="X218" s="276"/>
      <c r="Y218" s="276"/>
      <c r="Z218" s="276"/>
    </row>
    <row r="219" spans="1:26" ht="18.75" customHeight="1">
      <c r="A219" s="276"/>
      <c r="B219" s="276"/>
      <c r="C219" s="276"/>
      <c r="D219" s="276"/>
      <c r="E219" s="276"/>
      <c r="F219" s="276"/>
      <c r="G219" s="276"/>
      <c r="H219" s="276"/>
      <c r="I219" s="276"/>
      <c r="J219" s="276"/>
      <c r="K219" s="276"/>
      <c r="L219" s="276"/>
      <c r="M219" s="276"/>
      <c r="N219" s="276"/>
      <c r="O219" s="276"/>
      <c r="P219" s="276"/>
      <c r="Q219" s="276"/>
      <c r="R219" s="276"/>
      <c r="S219" s="276"/>
      <c r="T219" s="276"/>
      <c r="U219" s="276"/>
      <c r="V219" s="276"/>
      <c r="W219" s="276"/>
      <c r="X219" s="276"/>
      <c r="Y219" s="276"/>
      <c r="Z219" s="276"/>
    </row>
    <row r="220" spans="1:26" ht="18.75" customHeight="1">
      <c r="A220" s="276"/>
      <c r="B220" s="276"/>
      <c r="C220" s="276"/>
      <c r="D220" s="276"/>
      <c r="E220" s="276"/>
      <c r="F220" s="276"/>
      <c r="G220" s="276"/>
      <c r="H220" s="276"/>
      <c r="I220" s="276"/>
      <c r="J220" s="276"/>
      <c r="K220" s="276"/>
      <c r="L220" s="276"/>
      <c r="M220" s="276"/>
      <c r="N220" s="276"/>
      <c r="O220" s="276"/>
      <c r="P220" s="276"/>
      <c r="Q220" s="276"/>
      <c r="R220" s="276"/>
      <c r="S220" s="276"/>
      <c r="T220" s="276"/>
      <c r="U220" s="276"/>
      <c r="V220" s="276"/>
      <c r="W220" s="276"/>
      <c r="X220" s="276"/>
      <c r="Y220" s="276"/>
      <c r="Z220" s="276"/>
    </row>
    <row r="221" spans="1:26" ht="18.75" customHeight="1">
      <c r="A221" s="276"/>
      <c r="B221" s="276"/>
      <c r="C221" s="276"/>
      <c r="D221" s="276"/>
      <c r="E221" s="276"/>
      <c r="F221" s="276"/>
      <c r="G221" s="276"/>
      <c r="H221" s="276"/>
      <c r="I221" s="276"/>
      <c r="J221" s="276"/>
      <c r="K221" s="276"/>
      <c r="L221" s="276"/>
      <c r="M221" s="276"/>
      <c r="N221" s="276"/>
      <c r="O221" s="276"/>
      <c r="P221" s="276"/>
      <c r="Q221" s="276"/>
      <c r="R221" s="276"/>
      <c r="S221" s="276"/>
      <c r="T221" s="276"/>
      <c r="U221" s="276"/>
      <c r="V221" s="276"/>
      <c r="W221" s="276"/>
      <c r="X221" s="276"/>
      <c r="Y221" s="276"/>
      <c r="Z221" s="276"/>
    </row>
    <row r="222" spans="1:26" ht="18.75" customHeight="1">
      <c r="A222" s="276"/>
      <c r="B222" s="276"/>
      <c r="C222" s="276"/>
      <c r="D222" s="276"/>
      <c r="E222" s="276"/>
      <c r="F222" s="276"/>
      <c r="G222" s="276"/>
      <c r="H222" s="276"/>
      <c r="I222" s="276"/>
      <c r="J222" s="276"/>
      <c r="K222" s="276"/>
      <c r="L222" s="276"/>
      <c r="M222" s="276"/>
      <c r="N222" s="276"/>
      <c r="O222" s="276"/>
      <c r="P222" s="276"/>
      <c r="Q222" s="276"/>
      <c r="R222" s="276"/>
      <c r="S222" s="276"/>
      <c r="T222" s="276"/>
      <c r="U222" s="276"/>
      <c r="V222" s="276"/>
      <c r="W222" s="276"/>
      <c r="X222" s="276"/>
      <c r="Y222" s="276"/>
      <c r="Z222" s="276"/>
    </row>
    <row r="223" spans="1:26" ht="18.75" customHeight="1">
      <c r="A223" s="276"/>
      <c r="B223" s="276"/>
      <c r="C223" s="276"/>
      <c r="D223" s="276"/>
      <c r="E223" s="276"/>
      <c r="F223" s="276"/>
      <c r="G223" s="276"/>
      <c r="H223" s="276"/>
      <c r="I223" s="276"/>
      <c r="J223" s="276"/>
      <c r="K223" s="276"/>
      <c r="L223" s="276"/>
      <c r="M223" s="276"/>
      <c r="N223" s="276"/>
      <c r="O223" s="276"/>
      <c r="P223" s="276"/>
      <c r="Q223" s="276"/>
      <c r="R223" s="276"/>
      <c r="S223" s="276"/>
      <c r="T223" s="276"/>
      <c r="U223" s="276"/>
      <c r="V223" s="276"/>
      <c r="W223" s="276"/>
      <c r="X223" s="276"/>
      <c r="Y223" s="276"/>
      <c r="Z223" s="276"/>
    </row>
    <row r="224" spans="1:26" ht="18.75" customHeight="1">
      <c r="A224" s="276"/>
      <c r="B224" s="276"/>
      <c r="C224" s="276"/>
      <c r="D224" s="276"/>
      <c r="E224" s="276"/>
      <c r="F224" s="276"/>
      <c r="G224" s="276"/>
      <c r="H224" s="276"/>
      <c r="I224" s="276"/>
      <c r="J224" s="276"/>
      <c r="K224" s="276"/>
      <c r="L224" s="276"/>
      <c r="M224" s="276"/>
      <c r="N224" s="276"/>
      <c r="O224" s="276"/>
      <c r="P224" s="276"/>
      <c r="Q224" s="276"/>
      <c r="R224" s="276"/>
      <c r="S224" s="276"/>
      <c r="T224" s="276"/>
      <c r="U224" s="276"/>
      <c r="V224" s="276"/>
      <c r="W224" s="276"/>
      <c r="X224" s="276"/>
      <c r="Y224" s="276"/>
      <c r="Z224" s="276"/>
    </row>
    <row r="225" spans="1:26" ht="18.75" customHeight="1">
      <c r="A225" s="276"/>
      <c r="B225" s="276"/>
      <c r="C225" s="276"/>
      <c r="D225" s="276"/>
      <c r="E225" s="276"/>
      <c r="F225" s="276"/>
      <c r="G225" s="276"/>
      <c r="H225" s="276"/>
      <c r="I225" s="276"/>
      <c r="J225" s="276"/>
      <c r="K225" s="276"/>
      <c r="L225" s="276"/>
      <c r="M225" s="276"/>
      <c r="N225" s="276"/>
      <c r="O225" s="276"/>
      <c r="P225" s="276"/>
      <c r="Q225" s="276"/>
      <c r="R225" s="276"/>
      <c r="S225" s="276"/>
      <c r="T225" s="276"/>
      <c r="U225" s="276"/>
      <c r="V225" s="276"/>
      <c r="W225" s="276"/>
      <c r="X225" s="276"/>
      <c r="Y225" s="276"/>
      <c r="Z225" s="276"/>
    </row>
    <row r="226" spans="1:26" ht="18.75" customHeight="1">
      <c r="A226" s="276"/>
      <c r="B226" s="276"/>
      <c r="C226" s="276"/>
      <c r="D226" s="276"/>
      <c r="E226" s="276"/>
      <c r="F226" s="276"/>
      <c r="G226" s="276"/>
      <c r="H226" s="276"/>
      <c r="I226" s="276"/>
      <c r="J226" s="276"/>
      <c r="K226" s="276"/>
      <c r="L226" s="276"/>
      <c r="M226" s="276"/>
      <c r="N226" s="276"/>
      <c r="O226" s="276"/>
      <c r="P226" s="276"/>
      <c r="Q226" s="276"/>
      <c r="R226" s="276"/>
      <c r="S226" s="276"/>
      <c r="T226" s="276"/>
      <c r="U226" s="276"/>
      <c r="V226" s="276"/>
      <c r="W226" s="276"/>
      <c r="X226" s="276"/>
      <c r="Y226" s="276"/>
      <c r="Z226" s="276"/>
    </row>
    <row r="227" spans="1:26" ht="18.75" customHeight="1">
      <c r="A227" s="276"/>
      <c r="B227" s="276"/>
      <c r="C227" s="276"/>
      <c r="D227" s="276"/>
      <c r="E227" s="276"/>
      <c r="F227" s="276"/>
      <c r="G227" s="276"/>
      <c r="H227" s="276"/>
      <c r="I227" s="276"/>
      <c r="J227" s="276"/>
      <c r="K227" s="276"/>
      <c r="L227" s="276"/>
      <c r="M227" s="276"/>
      <c r="N227" s="276"/>
      <c r="O227" s="276"/>
      <c r="P227" s="276"/>
      <c r="Q227" s="276"/>
      <c r="R227" s="276"/>
      <c r="S227" s="276"/>
      <c r="T227" s="276"/>
      <c r="U227" s="276"/>
      <c r="V227" s="276"/>
      <c r="W227" s="276"/>
      <c r="X227" s="276"/>
      <c r="Y227" s="276"/>
      <c r="Z227" s="276"/>
    </row>
    <row r="228" spans="1:26" ht="18.75" customHeight="1">
      <c r="A228" s="276"/>
      <c r="B228" s="276"/>
      <c r="C228" s="276"/>
      <c r="D228" s="276"/>
      <c r="E228" s="276"/>
      <c r="F228" s="276"/>
      <c r="G228" s="276"/>
      <c r="H228" s="276"/>
      <c r="I228" s="276"/>
      <c r="J228" s="276"/>
      <c r="K228" s="276"/>
      <c r="L228" s="276"/>
      <c r="M228" s="276"/>
      <c r="N228" s="276"/>
      <c r="O228" s="276"/>
      <c r="P228" s="276"/>
      <c r="Q228" s="276"/>
      <c r="R228" s="276"/>
      <c r="S228" s="276"/>
      <c r="T228" s="276"/>
      <c r="U228" s="276"/>
      <c r="V228" s="276"/>
      <c r="W228" s="276"/>
      <c r="X228" s="276"/>
      <c r="Y228" s="276"/>
      <c r="Z228" s="276"/>
    </row>
    <row r="229" spans="1:26" ht="18.75" customHeight="1">
      <c r="A229" s="276"/>
      <c r="B229" s="276"/>
      <c r="C229" s="276"/>
      <c r="D229" s="276"/>
      <c r="E229" s="276"/>
      <c r="F229" s="276"/>
      <c r="G229" s="276"/>
      <c r="H229" s="276"/>
      <c r="I229" s="276"/>
      <c r="J229" s="276"/>
      <c r="K229" s="276"/>
      <c r="L229" s="276"/>
      <c r="M229" s="276"/>
      <c r="N229" s="276"/>
      <c r="O229" s="276"/>
      <c r="P229" s="276"/>
      <c r="Q229" s="276"/>
      <c r="R229" s="276"/>
      <c r="S229" s="276"/>
      <c r="T229" s="276"/>
      <c r="U229" s="276"/>
      <c r="V229" s="276"/>
      <c r="W229" s="276"/>
      <c r="X229" s="276"/>
      <c r="Y229" s="276"/>
      <c r="Z229" s="276"/>
    </row>
    <row r="230" spans="1:26" ht="18.75" customHeight="1">
      <c r="A230" s="276"/>
      <c r="B230" s="276"/>
      <c r="C230" s="276"/>
      <c r="D230" s="276"/>
      <c r="E230" s="276"/>
      <c r="F230" s="276"/>
      <c r="G230" s="276"/>
      <c r="H230" s="276"/>
      <c r="I230" s="276"/>
      <c r="J230" s="276"/>
      <c r="K230" s="276"/>
      <c r="L230" s="276"/>
      <c r="M230" s="276"/>
      <c r="N230" s="276"/>
      <c r="O230" s="276"/>
      <c r="P230" s="276"/>
      <c r="Q230" s="276"/>
      <c r="R230" s="276"/>
      <c r="S230" s="276"/>
      <c r="T230" s="276"/>
      <c r="U230" s="276"/>
      <c r="V230" s="276"/>
      <c r="W230" s="276"/>
      <c r="X230" s="276"/>
      <c r="Y230" s="276"/>
      <c r="Z230" s="276"/>
    </row>
    <row r="231" spans="1:26" ht="18.75" customHeight="1">
      <c r="A231" s="276"/>
      <c r="B231" s="276"/>
      <c r="C231" s="276"/>
      <c r="D231" s="276"/>
      <c r="E231" s="276"/>
      <c r="F231" s="276"/>
      <c r="G231" s="276"/>
      <c r="H231" s="276"/>
      <c r="I231" s="276"/>
      <c r="J231" s="276"/>
      <c r="K231" s="276"/>
      <c r="L231" s="276"/>
      <c r="M231" s="276"/>
      <c r="N231" s="276"/>
      <c r="O231" s="276"/>
      <c r="P231" s="276"/>
      <c r="Q231" s="276"/>
      <c r="R231" s="276"/>
      <c r="S231" s="276"/>
      <c r="T231" s="276"/>
      <c r="U231" s="276"/>
      <c r="V231" s="276"/>
      <c r="W231" s="276"/>
      <c r="X231" s="276"/>
      <c r="Y231" s="276"/>
      <c r="Z231" s="276"/>
    </row>
    <row r="232" spans="1:26" ht="18.75" customHeight="1">
      <c r="A232" s="276"/>
      <c r="B232" s="276"/>
      <c r="C232" s="276"/>
      <c r="D232" s="276"/>
      <c r="E232" s="276"/>
      <c r="F232" s="276"/>
      <c r="G232" s="276"/>
      <c r="H232" s="276"/>
      <c r="I232" s="276"/>
      <c r="J232" s="276"/>
      <c r="K232" s="276"/>
      <c r="L232" s="276"/>
      <c r="M232" s="276"/>
      <c r="N232" s="276"/>
      <c r="O232" s="276"/>
      <c r="P232" s="276"/>
      <c r="Q232" s="276"/>
      <c r="R232" s="276"/>
      <c r="S232" s="276"/>
      <c r="T232" s="276"/>
      <c r="U232" s="276"/>
      <c r="V232" s="276"/>
      <c r="W232" s="276"/>
      <c r="X232" s="276"/>
      <c r="Y232" s="276"/>
      <c r="Z232" s="276"/>
    </row>
    <row r="233" spans="1:26" ht="18.75" customHeight="1">
      <c r="A233" s="276"/>
      <c r="B233" s="276"/>
      <c r="C233" s="276"/>
      <c r="D233" s="276"/>
      <c r="E233" s="276"/>
      <c r="F233" s="276"/>
      <c r="G233" s="276"/>
      <c r="H233" s="276"/>
      <c r="I233" s="276"/>
      <c r="J233" s="276"/>
      <c r="K233" s="276"/>
      <c r="L233" s="276"/>
      <c r="M233" s="276"/>
      <c r="N233" s="276"/>
      <c r="O233" s="276"/>
      <c r="P233" s="276"/>
      <c r="Q233" s="276"/>
      <c r="R233" s="276"/>
      <c r="S233" s="276"/>
      <c r="T233" s="276"/>
      <c r="U233" s="276"/>
      <c r="V233" s="276"/>
      <c r="W233" s="276"/>
      <c r="X233" s="276"/>
      <c r="Y233" s="276"/>
      <c r="Z233" s="276"/>
    </row>
    <row r="234" spans="1:26" ht="18.75" customHeight="1">
      <c r="A234" s="276"/>
      <c r="B234" s="276"/>
      <c r="C234" s="276"/>
      <c r="D234" s="276"/>
      <c r="E234" s="276"/>
      <c r="F234" s="276"/>
      <c r="G234" s="276"/>
      <c r="H234" s="276"/>
      <c r="I234" s="276"/>
      <c r="J234" s="276"/>
      <c r="K234" s="276"/>
      <c r="L234" s="276"/>
      <c r="M234" s="276"/>
      <c r="N234" s="276"/>
      <c r="O234" s="276"/>
      <c r="P234" s="276"/>
      <c r="Q234" s="276"/>
      <c r="R234" s="276"/>
      <c r="S234" s="276"/>
      <c r="T234" s="276"/>
      <c r="U234" s="276"/>
      <c r="V234" s="276"/>
      <c r="W234" s="276"/>
      <c r="X234" s="276"/>
      <c r="Y234" s="276"/>
      <c r="Z234" s="276"/>
    </row>
    <row r="235" spans="1:26" ht="18.75" customHeight="1">
      <c r="A235" s="276"/>
      <c r="B235" s="276"/>
      <c r="C235" s="276"/>
      <c r="D235" s="276"/>
      <c r="E235" s="276"/>
      <c r="F235" s="276"/>
      <c r="G235" s="276"/>
      <c r="H235" s="276"/>
      <c r="I235" s="276"/>
      <c r="J235" s="276"/>
      <c r="K235" s="276"/>
      <c r="L235" s="276"/>
      <c r="M235" s="276"/>
      <c r="N235" s="276"/>
      <c r="O235" s="276"/>
      <c r="P235" s="276"/>
      <c r="Q235" s="276"/>
      <c r="R235" s="276"/>
      <c r="S235" s="276"/>
      <c r="T235" s="276"/>
      <c r="U235" s="276"/>
      <c r="V235" s="276"/>
      <c r="W235" s="276"/>
      <c r="X235" s="276"/>
      <c r="Y235" s="276"/>
      <c r="Z235" s="276"/>
    </row>
    <row r="236" spans="1:26" ht="18.75" customHeight="1">
      <c r="A236" s="276"/>
      <c r="B236" s="276"/>
      <c r="C236" s="276"/>
      <c r="D236" s="276"/>
      <c r="E236" s="276"/>
      <c r="F236" s="276"/>
      <c r="G236" s="276"/>
      <c r="H236" s="276"/>
      <c r="I236" s="276"/>
      <c r="J236" s="276"/>
      <c r="K236" s="276"/>
      <c r="L236" s="276"/>
      <c r="M236" s="276"/>
      <c r="N236" s="276"/>
      <c r="O236" s="276"/>
      <c r="P236" s="276"/>
      <c r="Q236" s="276"/>
      <c r="R236" s="276"/>
      <c r="S236" s="276"/>
      <c r="T236" s="276"/>
      <c r="U236" s="276"/>
      <c r="V236" s="276"/>
      <c r="W236" s="276"/>
      <c r="X236" s="276"/>
      <c r="Y236" s="276"/>
      <c r="Z236" s="276"/>
    </row>
    <row r="237" spans="1:26" ht="18.75" customHeight="1">
      <c r="A237" s="276"/>
      <c r="B237" s="276"/>
      <c r="C237" s="276"/>
      <c r="D237" s="276"/>
      <c r="E237" s="276"/>
      <c r="F237" s="276"/>
      <c r="G237" s="276"/>
      <c r="H237" s="276"/>
      <c r="I237" s="276"/>
      <c r="J237" s="276"/>
      <c r="K237" s="276"/>
      <c r="L237" s="276"/>
      <c r="M237" s="276"/>
      <c r="N237" s="276"/>
      <c r="O237" s="276"/>
      <c r="P237" s="276"/>
      <c r="Q237" s="276"/>
      <c r="R237" s="276"/>
      <c r="S237" s="276"/>
      <c r="T237" s="276"/>
      <c r="U237" s="276"/>
      <c r="V237" s="276"/>
      <c r="W237" s="276"/>
      <c r="X237" s="276"/>
      <c r="Y237" s="276"/>
      <c r="Z237" s="276"/>
    </row>
    <row r="238" spans="1:26" ht="18.75" customHeight="1">
      <c r="A238" s="276"/>
      <c r="B238" s="276"/>
      <c r="C238" s="276"/>
      <c r="D238" s="276"/>
      <c r="E238" s="276"/>
      <c r="F238" s="276"/>
      <c r="G238" s="276"/>
      <c r="H238" s="276"/>
      <c r="I238" s="276"/>
      <c r="J238" s="276"/>
      <c r="K238" s="276"/>
      <c r="L238" s="276"/>
      <c r="M238" s="276"/>
      <c r="N238" s="276"/>
      <c r="O238" s="276"/>
      <c r="P238" s="276"/>
      <c r="Q238" s="276"/>
      <c r="R238" s="276"/>
      <c r="S238" s="276"/>
      <c r="T238" s="276"/>
      <c r="U238" s="276"/>
      <c r="V238" s="276"/>
      <c r="W238" s="276"/>
      <c r="X238" s="276"/>
      <c r="Y238" s="276"/>
      <c r="Z238" s="276"/>
    </row>
    <row r="239" spans="1:26" ht="18.75" customHeight="1">
      <c r="A239" s="276"/>
      <c r="B239" s="276"/>
      <c r="C239" s="276"/>
      <c r="D239" s="276"/>
      <c r="E239" s="276"/>
      <c r="F239" s="276"/>
      <c r="G239" s="276"/>
      <c r="H239" s="276"/>
      <c r="I239" s="276"/>
      <c r="J239" s="276"/>
      <c r="K239" s="276"/>
      <c r="L239" s="276"/>
      <c r="M239" s="276"/>
      <c r="N239" s="276"/>
      <c r="O239" s="276"/>
      <c r="P239" s="276"/>
      <c r="Q239" s="276"/>
      <c r="R239" s="276"/>
      <c r="S239" s="276"/>
      <c r="T239" s="276"/>
      <c r="U239" s="276"/>
      <c r="V239" s="276"/>
      <c r="W239" s="276"/>
      <c r="X239" s="276"/>
      <c r="Y239" s="276"/>
      <c r="Z239" s="276"/>
    </row>
    <row r="240" spans="1:26" ht="18.75" customHeight="1">
      <c r="A240" s="276"/>
      <c r="B240" s="276"/>
      <c r="C240" s="276"/>
      <c r="D240" s="276"/>
      <c r="E240" s="276"/>
      <c r="F240" s="276"/>
      <c r="G240" s="276"/>
      <c r="H240" s="276"/>
      <c r="I240" s="276"/>
      <c r="J240" s="276"/>
      <c r="K240" s="276"/>
      <c r="L240" s="276"/>
      <c r="M240" s="276"/>
      <c r="N240" s="276"/>
      <c r="O240" s="276"/>
      <c r="P240" s="276"/>
      <c r="Q240" s="276"/>
      <c r="R240" s="276"/>
      <c r="S240" s="276"/>
      <c r="T240" s="276"/>
      <c r="U240" s="276"/>
      <c r="V240" s="276"/>
      <c r="W240" s="276"/>
      <c r="X240" s="276"/>
      <c r="Y240" s="276"/>
      <c r="Z240" s="276"/>
    </row>
    <row r="241" spans="1:26" ht="18.75" customHeight="1">
      <c r="A241" s="276"/>
      <c r="B241" s="276"/>
      <c r="C241" s="276"/>
      <c r="D241" s="276"/>
      <c r="E241" s="276"/>
      <c r="F241" s="276"/>
      <c r="G241" s="276"/>
      <c r="H241" s="276"/>
      <c r="I241" s="276"/>
      <c r="J241" s="276"/>
      <c r="K241" s="276"/>
      <c r="L241" s="276"/>
      <c r="M241" s="276"/>
      <c r="N241" s="276"/>
      <c r="O241" s="276"/>
      <c r="P241" s="276"/>
      <c r="Q241" s="276"/>
      <c r="R241" s="276"/>
      <c r="S241" s="276"/>
      <c r="T241" s="276"/>
      <c r="U241" s="276"/>
      <c r="V241" s="276"/>
      <c r="W241" s="276"/>
      <c r="X241" s="276"/>
      <c r="Y241" s="276"/>
      <c r="Z241" s="276"/>
    </row>
    <row r="242" spans="1:26" ht="18.75" customHeight="1">
      <c r="A242" s="276"/>
      <c r="B242" s="276"/>
      <c r="C242" s="276"/>
      <c r="D242" s="276"/>
      <c r="E242" s="276"/>
      <c r="F242" s="276"/>
      <c r="G242" s="276"/>
      <c r="H242" s="276"/>
      <c r="I242" s="276"/>
      <c r="J242" s="276"/>
      <c r="K242" s="276"/>
      <c r="L242" s="276"/>
      <c r="M242" s="276"/>
      <c r="N242" s="276"/>
      <c r="O242" s="276"/>
      <c r="P242" s="276"/>
      <c r="Q242" s="276"/>
      <c r="R242" s="276"/>
      <c r="S242" s="276"/>
      <c r="T242" s="276"/>
      <c r="U242" s="276"/>
      <c r="V242" s="276"/>
      <c r="W242" s="276"/>
      <c r="X242" s="276"/>
      <c r="Y242" s="276"/>
      <c r="Z242" s="276"/>
    </row>
    <row r="243" spans="1:26" ht="18.75" customHeight="1">
      <c r="A243" s="276"/>
      <c r="B243" s="276"/>
      <c r="C243" s="276"/>
      <c r="D243" s="276"/>
      <c r="E243" s="276"/>
      <c r="F243" s="276"/>
      <c r="G243" s="276"/>
      <c r="H243" s="276"/>
      <c r="I243" s="276"/>
      <c r="J243" s="276"/>
      <c r="K243" s="276"/>
      <c r="L243" s="276"/>
      <c r="M243" s="276"/>
      <c r="N243" s="276"/>
      <c r="O243" s="276"/>
      <c r="P243" s="276"/>
      <c r="Q243" s="276"/>
      <c r="R243" s="276"/>
      <c r="S243" s="276"/>
      <c r="T243" s="276"/>
      <c r="U243" s="276"/>
      <c r="V243" s="276"/>
      <c r="W243" s="276"/>
      <c r="X243" s="276"/>
      <c r="Y243" s="276"/>
      <c r="Z243" s="276"/>
    </row>
    <row r="244" spans="1:26" ht="18.75" customHeight="1">
      <c r="A244" s="276"/>
      <c r="B244" s="276"/>
      <c r="C244" s="276"/>
      <c r="D244" s="276"/>
      <c r="E244" s="276"/>
      <c r="F244" s="276"/>
      <c r="G244" s="276"/>
      <c r="H244" s="276"/>
      <c r="I244" s="276"/>
      <c r="J244" s="276"/>
      <c r="K244" s="276"/>
      <c r="L244" s="276"/>
      <c r="M244" s="276"/>
      <c r="N244" s="276"/>
      <c r="O244" s="276"/>
      <c r="P244" s="276"/>
      <c r="Q244" s="276"/>
      <c r="R244" s="276"/>
      <c r="S244" s="276"/>
      <c r="T244" s="276"/>
      <c r="U244" s="276"/>
      <c r="V244" s="276"/>
      <c r="W244" s="276"/>
      <c r="X244" s="276"/>
      <c r="Y244" s="276"/>
      <c r="Z244" s="276"/>
    </row>
    <row r="245" spans="1:26" ht="18.75" customHeight="1">
      <c r="A245" s="276"/>
      <c r="B245" s="276"/>
      <c r="C245" s="276"/>
      <c r="D245" s="276"/>
      <c r="E245" s="276"/>
      <c r="F245" s="276"/>
      <c r="G245" s="276"/>
      <c r="H245" s="276"/>
      <c r="I245" s="276"/>
      <c r="J245" s="276"/>
      <c r="K245" s="276"/>
      <c r="L245" s="276"/>
      <c r="M245" s="276"/>
      <c r="N245" s="276"/>
      <c r="O245" s="276"/>
      <c r="P245" s="276"/>
      <c r="Q245" s="276"/>
      <c r="R245" s="276"/>
      <c r="S245" s="276"/>
      <c r="T245" s="276"/>
      <c r="U245" s="276"/>
      <c r="V245" s="276"/>
      <c r="W245" s="276"/>
      <c r="X245" s="276"/>
      <c r="Y245" s="276"/>
      <c r="Z245" s="276"/>
    </row>
    <row r="246" spans="1:26" ht="18.75" customHeight="1">
      <c r="A246" s="276"/>
      <c r="B246" s="276"/>
      <c r="C246" s="276"/>
      <c r="D246" s="276"/>
      <c r="E246" s="276"/>
      <c r="F246" s="276"/>
      <c r="G246" s="276"/>
      <c r="H246" s="276"/>
      <c r="I246" s="276"/>
      <c r="J246" s="276"/>
      <c r="K246" s="276"/>
      <c r="L246" s="276"/>
      <c r="M246" s="276"/>
      <c r="N246" s="276"/>
      <c r="O246" s="276"/>
      <c r="P246" s="276"/>
      <c r="Q246" s="276"/>
      <c r="R246" s="276"/>
      <c r="S246" s="276"/>
      <c r="T246" s="276"/>
      <c r="U246" s="276"/>
      <c r="V246" s="276"/>
      <c r="W246" s="276"/>
      <c r="X246" s="276"/>
      <c r="Y246" s="276"/>
      <c r="Z246" s="276"/>
    </row>
    <row r="247" spans="1:26" ht="18.75" customHeight="1">
      <c r="A247" s="276"/>
      <c r="B247" s="276"/>
      <c r="C247" s="276"/>
      <c r="D247" s="276"/>
      <c r="E247" s="276"/>
      <c r="F247" s="276"/>
      <c r="G247" s="276"/>
      <c r="H247" s="276"/>
      <c r="I247" s="276"/>
      <c r="J247" s="276"/>
      <c r="K247" s="276"/>
      <c r="L247" s="276"/>
      <c r="M247" s="276"/>
      <c r="N247" s="276"/>
      <c r="O247" s="276"/>
      <c r="P247" s="276"/>
      <c r="Q247" s="276"/>
      <c r="R247" s="276"/>
      <c r="S247" s="276"/>
      <c r="T247" s="276"/>
      <c r="U247" s="276"/>
      <c r="V247" s="276"/>
      <c r="W247" s="276"/>
      <c r="X247" s="276"/>
      <c r="Y247" s="276"/>
      <c r="Z247" s="276"/>
    </row>
    <row r="248" spans="1:26" ht="18.75" customHeight="1">
      <c r="A248" s="276"/>
      <c r="B248" s="276"/>
      <c r="C248" s="276"/>
      <c r="D248" s="276"/>
      <c r="E248" s="276"/>
      <c r="F248" s="276"/>
      <c r="G248" s="276"/>
      <c r="H248" s="276"/>
      <c r="I248" s="276"/>
      <c r="J248" s="276"/>
      <c r="K248" s="276"/>
      <c r="L248" s="276"/>
      <c r="M248" s="276"/>
      <c r="N248" s="276"/>
      <c r="O248" s="276"/>
      <c r="P248" s="276"/>
      <c r="Q248" s="276"/>
      <c r="R248" s="276"/>
      <c r="S248" s="276"/>
      <c r="T248" s="276"/>
      <c r="U248" s="276"/>
      <c r="V248" s="276"/>
      <c r="W248" s="276"/>
      <c r="X248" s="276"/>
      <c r="Y248" s="276"/>
      <c r="Z248" s="276"/>
    </row>
    <row r="249" spans="1:26" ht="18.75" customHeight="1">
      <c r="A249" s="276"/>
      <c r="B249" s="276"/>
      <c r="C249" s="276"/>
      <c r="D249" s="276"/>
      <c r="E249" s="276"/>
      <c r="F249" s="276"/>
      <c r="G249" s="276"/>
      <c r="H249" s="276"/>
      <c r="I249" s="276"/>
      <c r="J249" s="276"/>
      <c r="K249" s="276"/>
      <c r="L249" s="276"/>
      <c r="M249" s="276"/>
      <c r="N249" s="276"/>
      <c r="O249" s="276"/>
      <c r="P249" s="276"/>
      <c r="Q249" s="276"/>
      <c r="R249" s="276"/>
      <c r="S249" s="276"/>
      <c r="T249" s="276"/>
      <c r="U249" s="276"/>
      <c r="V249" s="276"/>
      <c r="W249" s="276"/>
      <c r="X249" s="276"/>
      <c r="Y249" s="276"/>
      <c r="Z249" s="276"/>
    </row>
    <row r="250" spans="1:26" ht="18.75" customHeight="1">
      <c r="A250" s="276"/>
      <c r="B250" s="276"/>
      <c r="C250" s="276"/>
      <c r="D250" s="276"/>
      <c r="E250" s="276"/>
      <c r="F250" s="276"/>
      <c r="G250" s="276"/>
      <c r="H250" s="276"/>
      <c r="I250" s="276"/>
      <c r="J250" s="276"/>
      <c r="K250" s="276"/>
      <c r="L250" s="276"/>
      <c r="M250" s="276"/>
      <c r="N250" s="276"/>
      <c r="O250" s="276"/>
      <c r="P250" s="276"/>
      <c r="Q250" s="276"/>
      <c r="R250" s="276"/>
      <c r="S250" s="276"/>
      <c r="T250" s="276"/>
      <c r="U250" s="276"/>
      <c r="V250" s="276"/>
      <c r="W250" s="276"/>
      <c r="X250" s="276"/>
      <c r="Y250" s="276"/>
      <c r="Z250" s="276"/>
    </row>
    <row r="251" spans="1:26" ht="18.75" customHeight="1">
      <c r="A251" s="276"/>
      <c r="B251" s="276"/>
      <c r="C251" s="276"/>
      <c r="D251" s="276"/>
      <c r="E251" s="276"/>
      <c r="F251" s="276"/>
      <c r="G251" s="276"/>
      <c r="H251" s="276"/>
      <c r="I251" s="276"/>
      <c r="J251" s="276"/>
      <c r="K251" s="276"/>
      <c r="L251" s="276"/>
      <c r="M251" s="276"/>
      <c r="N251" s="276"/>
      <c r="O251" s="276"/>
      <c r="P251" s="276"/>
      <c r="Q251" s="276"/>
      <c r="R251" s="276"/>
      <c r="S251" s="276"/>
      <c r="T251" s="276"/>
      <c r="U251" s="276"/>
      <c r="V251" s="276"/>
      <c r="W251" s="276"/>
      <c r="X251" s="276"/>
      <c r="Y251" s="276"/>
      <c r="Z251" s="276"/>
    </row>
    <row r="252" spans="1:26" ht="18.75" customHeight="1">
      <c r="A252" s="276"/>
      <c r="B252" s="276"/>
      <c r="C252" s="276"/>
      <c r="D252" s="276"/>
      <c r="E252" s="276"/>
      <c r="F252" s="276"/>
      <c r="G252" s="276"/>
      <c r="H252" s="276"/>
      <c r="I252" s="276"/>
      <c r="J252" s="276"/>
      <c r="K252" s="276"/>
      <c r="L252" s="276"/>
      <c r="M252" s="276"/>
      <c r="N252" s="276"/>
      <c r="O252" s="276"/>
      <c r="P252" s="276"/>
      <c r="Q252" s="276"/>
      <c r="R252" s="276"/>
      <c r="S252" s="276"/>
      <c r="T252" s="276"/>
      <c r="U252" s="276"/>
      <c r="V252" s="276"/>
      <c r="W252" s="276"/>
      <c r="X252" s="276"/>
      <c r="Y252" s="276"/>
      <c r="Z252" s="276"/>
    </row>
    <row r="253" spans="1:26" ht="18.75" customHeight="1">
      <c r="A253" s="276"/>
      <c r="B253" s="276"/>
      <c r="C253" s="276"/>
      <c r="D253" s="276"/>
      <c r="E253" s="276"/>
      <c r="F253" s="276"/>
      <c r="G253" s="276"/>
      <c r="H253" s="276"/>
      <c r="I253" s="276"/>
      <c r="J253" s="276"/>
      <c r="K253" s="276"/>
      <c r="L253" s="276"/>
      <c r="M253" s="276"/>
      <c r="N253" s="276"/>
      <c r="O253" s="276"/>
      <c r="P253" s="276"/>
      <c r="Q253" s="276"/>
      <c r="R253" s="276"/>
      <c r="S253" s="276"/>
      <c r="T253" s="276"/>
      <c r="U253" s="276"/>
      <c r="V253" s="276"/>
      <c r="W253" s="276"/>
      <c r="X253" s="276"/>
      <c r="Y253" s="276"/>
      <c r="Z253" s="276"/>
    </row>
    <row r="254" spans="1:26" ht="18.75" customHeight="1">
      <c r="A254" s="276"/>
      <c r="B254" s="276"/>
      <c r="C254" s="276"/>
      <c r="D254" s="276"/>
      <c r="E254" s="276"/>
      <c r="F254" s="276"/>
      <c r="G254" s="276"/>
      <c r="H254" s="276"/>
      <c r="I254" s="276"/>
      <c r="J254" s="276"/>
      <c r="K254" s="276"/>
      <c r="L254" s="276"/>
      <c r="M254" s="276"/>
      <c r="N254" s="276"/>
      <c r="O254" s="276"/>
      <c r="P254" s="276"/>
      <c r="Q254" s="276"/>
      <c r="R254" s="276"/>
      <c r="S254" s="276"/>
      <c r="T254" s="276"/>
      <c r="U254" s="276"/>
      <c r="V254" s="276"/>
      <c r="W254" s="276"/>
      <c r="X254" s="276"/>
      <c r="Y254" s="276"/>
      <c r="Z254" s="276"/>
    </row>
    <row r="255" spans="1:26" ht="18.75" customHeight="1">
      <c r="A255" s="276"/>
      <c r="B255" s="276"/>
      <c r="C255" s="276"/>
      <c r="D255" s="276"/>
      <c r="E255" s="276"/>
      <c r="F255" s="276"/>
      <c r="G255" s="276"/>
      <c r="H255" s="276"/>
      <c r="I255" s="276"/>
      <c r="J255" s="276"/>
      <c r="K255" s="276"/>
      <c r="L255" s="276"/>
      <c r="M255" s="276"/>
      <c r="N255" s="276"/>
      <c r="O255" s="276"/>
      <c r="P255" s="276"/>
      <c r="Q255" s="276"/>
      <c r="R255" s="276"/>
      <c r="S255" s="276"/>
      <c r="T255" s="276"/>
      <c r="U255" s="276"/>
      <c r="V255" s="276"/>
      <c r="W255" s="276"/>
      <c r="X255" s="276"/>
      <c r="Y255" s="276"/>
      <c r="Z255" s="276"/>
    </row>
    <row r="256" spans="1:26" ht="18.75" customHeight="1">
      <c r="A256" s="276"/>
      <c r="B256" s="276"/>
      <c r="C256" s="276"/>
      <c r="D256" s="276"/>
      <c r="E256" s="276"/>
      <c r="F256" s="276"/>
      <c r="G256" s="276"/>
      <c r="H256" s="276"/>
      <c r="I256" s="276"/>
      <c r="J256" s="276"/>
      <c r="K256" s="276"/>
      <c r="L256" s="276"/>
      <c r="M256" s="276"/>
      <c r="N256" s="276"/>
      <c r="O256" s="276"/>
      <c r="P256" s="276"/>
      <c r="Q256" s="276"/>
      <c r="R256" s="276"/>
      <c r="S256" s="276"/>
      <c r="T256" s="276"/>
      <c r="U256" s="276"/>
      <c r="V256" s="276"/>
      <c r="W256" s="276"/>
      <c r="X256" s="276"/>
      <c r="Y256" s="276"/>
      <c r="Z256" s="276"/>
    </row>
    <row r="257" spans="1:26" ht="18.75" customHeight="1">
      <c r="A257" s="276"/>
      <c r="B257" s="276"/>
      <c r="C257" s="276"/>
      <c r="D257" s="276"/>
      <c r="E257" s="276"/>
      <c r="F257" s="276"/>
      <c r="G257" s="276"/>
      <c r="H257" s="276"/>
      <c r="I257" s="276"/>
      <c r="J257" s="276"/>
      <c r="K257" s="276"/>
      <c r="L257" s="276"/>
      <c r="M257" s="276"/>
      <c r="N257" s="276"/>
      <c r="O257" s="276"/>
      <c r="P257" s="276"/>
      <c r="Q257" s="276"/>
      <c r="R257" s="276"/>
      <c r="S257" s="276"/>
      <c r="T257" s="276"/>
      <c r="U257" s="276"/>
      <c r="V257" s="276"/>
      <c r="W257" s="276"/>
      <c r="X257" s="276"/>
      <c r="Y257" s="276"/>
      <c r="Z257" s="276"/>
    </row>
    <row r="258" spans="1:26" ht="18.75" customHeight="1">
      <c r="A258" s="276"/>
      <c r="B258" s="276"/>
      <c r="C258" s="276"/>
      <c r="D258" s="276"/>
      <c r="E258" s="276"/>
      <c r="F258" s="276"/>
      <c r="G258" s="276"/>
      <c r="H258" s="276"/>
      <c r="I258" s="276"/>
      <c r="J258" s="276"/>
      <c r="K258" s="276"/>
      <c r="L258" s="276"/>
      <c r="M258" s="276"/>
      <c r="N258" s="276"/>
      <c r="O258" s="276"/>
      <c r="P258" s="276"/>
      <c r="Q258" s="276"/>
      <c r="R258" s="276"/>
      <c r="S258" s="276"/>
      <c r="T258" s="276"/>
      <c r="U258" s="276"/>
      <c r="V258" s="276"/>
      <c r="W258" s="276"/>
      <c r="X258" s="276"/>
      <c r="Y258" s="276"/>
      <c r="Z258" s="276"/>
    </row>
    <row r="259" spans="1:26" ht="18.75" customHeight="1">
      <c r="A259" s="276"/>
      <c r="B259" s="276"/>
      <c r="C259" s="276"/>
      <c r="D259" s="276"/>
      <c r="E259" s="276"/>
      <c r="F259" s="276"/>
      <c r="G259" s="276"/>
      <c r="H259" s="276"/>
      <c r="I259" s="276"/>
      <c r="J259" s="276"/>
      <c r="K259" s="276"/>
      <c r="L259" s="276"/>
      <c r="M259" s="276"/>
      <c r="N259" s="276"/>
      <c r="O259" s="276"/>
      <c r="P259" s="276"/>
      <c r="Q259" s="276"/>
      <c r="R259" s="276"/>
      <c r="S259" s="276"/>
      <c r="T259" s="276"/>
      <c r="U259" s="276"/>
      <c r="V259" s="276"/>
      <c r="W259" s="276"/>
      <c r="X259" s="276"/>
      <c r="Y259" s="276"/>
      <c r="Z259" s="276"/>
    </row>
    <row r="260" spans="1:26" ht="18.75" customHeight="1">
      <c r="A260" s="276"/>
      <c r="B260" s="276"/>
      <c r="C260" s="276"/>
      <c r="D260" s="276"/>
      <c r="E260" s="276"/>
      <c r="F260" s="276"/>
      <c r="G260" s="276"/>
      <c r="H260" s="276"/>
      <c r="I260" s="276"/>
      <c r="J260" s="276"/>
      <c r="K260" s="276"/>
      <c r="L260" s="276"/>
      <c r="M260" s="276"/>
      <c r="N260" s="276"/>
      <c r="O260" s="276"/>
      <c r="P260" s="276"/>
      <c r="Q260" s="276"/>
      <c r="R260" s="276"/>
      <c r="S260" s="276"/>
      <c r="T260" s="276"/>
      <c r="U260" s="276"/>
      <c r="V260" s="276"/>
      <c r="W260" s="276"/>
      <c r="X260" s="276"/>
      <c r="Y260" s="276"/>
      <c r="Z260" s="276"/>
    </row>
    <row r="261" spans="1:26" ht="18.75" customHeight="1">
      <c r="A261" s="276"/>
      <c r="B261" s="276"/>
      <c r="C261" s="276"/>
      <c r="D261" s="276"/>
      <c r="E261" s="276"/>
      <c r="F261" s="276"/>
      <c r="G261" s="276"/>
      <c r="H261" s="276"/>
      <c r="I261" s="276"/>
      <c r="J261" s="276"/>
      <c r="K261" s="276"/>
      <c r="L261" s="276"/>
      <c r="M261" s="276"/>
      <c r="N261" s="276"/>
      <c r="O261" s="276"/>
      <c r="P261" s="276"/>
      <c r="Q261" s="276"/>
      <c r="R261" s="276"/>
      <c r="S261" s="276"/>
      <c r="T261" s="276"/>
      <c r="U261" s="276"/>
      <c r="V261" s="276"/>
      <c r="W261" s="276"/>
      <c r="X261" s="276"/>
      <c r="Y261" s="276"/>
      <c r="Z261" s="276"/>
    </row>
    <row r="262" spans="1:26" ht="18.75" customHeight="1">
      <c r="A262" s="276"/>
      <c r="B262" s="276"/>
      <c r="C262" s="276"/>
      <c r="D262" s="276"/>
      <c r="E262" s="276"/>
      <c r="F262" s="276"/>
      <c r="G262" s="276"/>
      <c r="H262" s="276"/>
      <c r="I262" s="276"/>
      <c r="J262" s="276"/>
      <c r="K262" s="276"/>
      <c r="L262" s="276"/>
      <c r="M262" s="276"/>
      <c r="N262" s="276"/>
      <c r="O262" s="276"/>
      <c r="P262" s="276"/>
      <c r="Q262" s="276"/>
      <c r="R262" s="276"/>
      <c r="S262" s="276"/>
      <c r="T262" s="276"/>
      <c r="U262" s="276"/>
      <c r="V262" s="276"/>
      <c r="W262" s="276"/>
      <c r="X262" s="276"/>
      <c r="Y262" s="276"/>
      <c r="Z262" s="276"/>
    </row>
    <row r="263" spans="1:26" ht="18.75" customHeight="1">
      <c r="A263" s="276"/>
      <c r="B263" s="276"/>
      <c r="C263" s="276"/>
      <c r="D263" s="276"/>
      <c r="E263" s="276"/>
      <c r="F263" s="276"/>
      <c r="G263" s="276"/>
      <c r="H263" s="276"/>
      <c r="I263" s="276"/>
      <c r="J263" s="276"/>
      <c r="K263" s="276"/>
      <c r="L263" s="276"/>
      <c r="M263" s="276"/>
      <c r="N263" s="276"/>
      <c r="O263" s="276"/>
      <c r="P263" s="276"/>
      <c r="Q263" s="276"/>
      <c r="R263" s="276"/>
      <c r="S263" s="276"/>
      <c r="T263" s="276"/>
      <c r="U263" s="276"/>
      <c r="V263" s="276"/>
      <c r="W263" s="276"/>
      <c r="X263" s="276"/>
      <c r="Y263" s="276"/>
      <c r="Z263" s="276"/>
    </row>
    <row r="264" spans="1:26" ht="18.75" customHeight="1">
      <c r="A264" s="276"/>
      <c r="B264" s="276"/>
      <c r="C264" s="276"/>
      <c r="D264" s="276"/>
      <c r="E264" s="276"/>
      <c r="F264" s="276"/>
      <c r="G264" s="276"/>
      <c r="H264" s="276"/>
      <c r="I264" s="276"/>
      <c r="J264" s="276"/>
      <c r="K264" s="276"/>
      <c r="L264" s="276"/>
      <c r="M264" s="276"/>
      <c r="N264" s="276"/>
      <c r="O264" s="276"/>
      <c r="P264" s="276"/>
      <c r="Q264" s="276"/>
      <c r="R264" s="276"/>
      <c r="S264" s="276"/>
      <c r="T264" s="276"/>
      <c r="U264" s="276"/>
      <c r="V264" s="276"/>
      <c r="W264" s="276"/>
      <c r="X264" s="276"/>
      <c r="Y264" s="276"/>
      <c r="Z264" s="276"/>
    </row>
    <row r="265" spans="1:26" ht="18.75" customHeight="1">
      <c r="A265" s="276"/>
      <c r="B265" s="276"/>
      <c r="C265" s="276"/>
      <c r="D265" s="276"/>
      <c r="E265" s="276"/>
      <c r="F265" s="276"/>
      <c r="G265" s="276"/>
      <c r="H265" s="276"/>
      <c r="I265" s="276"/>
      <c r="J265" s="276"/>
      <c r="K265" s="276"/>
      <c r="L265" s="276"/>
      <c r="M265" s="276"/>
      <c r="N265" s="276"/>
      <c r="O265" s="276"/>
      <c r="P265" s="276"/>
      <c r="Q265" s="276"/>
      <c r="R265" s="276"/>
      <c r="S265" s="276"/>
      <c r="T265" s="276"/>
      <c r="U265" s="276"/>
      <c r="V265" s="276"/>
      <c r="W265" s="276"/>
      <c r="X265" s="276"/>
      <c r="Y265" s="276"/>
      <c r="Z265" s="276"/>
    </row>
    <row r="266" spans="1:26" ht="18.75" customHeight="1">
      <c r="A266" s="276"/>
      <c r="B266" s="276"/>
      <c r="C266" s="276"/>
      <c r="D266" s="276"/>
      <c r="E266" s="276"/>
      <c r="F266" s="276"/>
      <c r="G266" s="276"/>
      <c r="H266" s="276"/>
      <c r="I266" s="276"/>
      <c r="J266" s="276"/>
      <c r="K266" s="276"/>
      <c r="L266" s="276"/>
      <c r="M266" s="276"/>
      <c r="N266" s="276"/>
      <c r="O266" s="276"/>
      <c r="P266" s="276"/>
      <c r="Q266" s="276"/>
      <c r="R266" s="276"/>
      <c r="S266" s="276"/>
      <c r="T266" s="276"/>
      <c r="U266" s="276"/>
      <c r="V266" s="276"/>
      <c r="W266" s="276"/>
      <c r="X266" s="276"/>
      <c r="Y266" s="276"/>
      <c r="Z266" s="276"/>
    </row>
    <row r="267" spans="1:26" ht="18.75" customHeight="1">
      <c r="A267" s="276"/>
      <c r="B267" s="276"/>
      <c r="C267" s="276"/>
      <c r="D267" s="276"/>
      <c r="E267" s="276"/>
      <c r="F267" s="276"/>
      <c r="G267" s="276"/>
      <c r="H267" s="276"/>
      <c r="I267" s="276"/>
      <c r="J267" s="276"/>
      <c r="K267" s="276"/>
      <c r="L267" s="276"/>
      <c r="M267" s="276"/>
      <c r="N267" s="276"/>
      <c r="O267" s="276"/>
      <c r="P267" s="276"/>
      <c r="Q267" s="276"/>
      <c r="R267" s="276"/>
      <c r="S267" s="276"/>
      <c r="T267" s="276"/>
      <c r="U267" s="276"/>
      <c r="V267" s="276"/>
      <c r="W267" s="276"/>
      <c r="X267" s="276"/>
      <c r="Y267" s="276"/>
      <c r="Z267" s="276"/>
    </row>
    <row r="268" spans="1:26" ht="18.75" customHeight="1">
      <c r="A268" s="276"/>
      <c r="B268" s="276"/>
      <c r="C268" s="276"/>
      <c r="D268" s="276"/>
      <c r="E268" s="276"/>
      <c r="F268" s="276"/>
      <c r="G268" s="276"/>
      <c r="H268" s="276"/>
      <c r="I268" s="276"/>
      <c r="J268" s="276"/>
      <c r="K268" s="276"/>
      <c r="L268" s="276"/>
      <c r="M268" s="276"/>
      <c r="N268" s="276"/>
      <c r="O268" s="276"/>
      <c r="P268" s="276"/>
      <c r="Q268" s="276"/>
      <c r="R268" s="276"/>
      <c r="S268" s="276"/>
      <c r="T268" s="276"/>
      <c r="U268" s="276"/>
      <c r="V268" s="276"/>
      <c r="W268" s="276"/>
      <c r="X268" s="276"/>
      <c r="Y268" s="276"/>
      <c r="Z268" s="276"/>
    </row>
    <row r="269" spans="1:26" ht="18.75" customHeight="1">
      <c r="A269" s="276"/>
      <c r="B269" s="276"/>
      <c r="C269" s="276"/>
      <c r="D269" s="276"/>
      <c r="E269" s="276"/>
      <c r="F269" s="276"/>
      <c r="G269" s="276"/>
      <c r="H269" s="276"/>
      <c r="I269" s="276"/>
      <c r="J269" s="276"/>
      <c r="K269" s="276"/>
      <c r="L269" s="276"/>
      <c r="M269" s="276"/>
      <c r="N269" s="276"/>
      <c r="O269" s="276"/>
      <c r="P269" s="276"/>
      <c r="Q269" s="276"/>
      <c r="R269" s="276"/>
      <c r="S269" s="276"/>
      <c r="T269" s="276"/>
      <c r="U269" s="276"/>
      <c r="V269" s="276"/>
      <c r="W269" s="276"/>
      <c r="X269" s="276"/>
      <c r="Y269" s="276"/>
      <c r="Z269" s="276"/>
    </row>
    <row r="270" spans="1:26" ht="18.75" customHeight="1">
      <c r="A270" s="276"/>
      <c r="B270" s="276"/>
      <c r="C270" s="276"/>
      <c r="D270" s="276"/>
      <c r="E270" s="276"/>
      <c r="F270" s="276"/>
      <c r="G270" s="276"/>
      <c r="H270" s="276"/>
      <c r="I270" s="276"/>
      <c r="J270" s="276"/>
      <c r="K270" s="276"/>
      <c r="L270" s="276"/>
      <c r="M270" s="276"/>
      <c r="N270" s="276"/>
      <c r="O270" s="276"/>
      <c r="P270" s="276"/>
      <c r="Q270" s="276"/>
      <c r="R270" s="276"/>
      <c r="S270" s="276"/>
      <c r="T270" s="276"/>
      <c r="U270" s="276"/>
      <c r="V270" s="276"/>
      <c r="W270" s="276"/>
      <c r="X270" s="276"/>
      <c r="Y270" s="276"/>
      <c r="Z270" s="276"/>
    </row>
    <row r="271" spans="1:26" ht="18.75" customHeight="1">
      <c r="A271" s="276"/>
      <c r="B271" s="276"/>
      <c r="C271" s="276"/>
      <c r="D271" s="276"/>
      <c r="E271" s="276"/>
      <c r="F271" s="276"/>
      <c r="G271" s="276"/>
      <c r="H271" s="276"/>
      <c r="I271" s="276"/>
      <c r="J271" s="276"/>
      <c r="K271" s="276"/>
      <c r="L271" s="276"/>
      <c r="M271" s="276"/>
      <c r="N271" s="276"/>
      <c r="O271" s="276"/>
      <c r="P271" s="276"/>
      <c r="Q271" s="276"/>
      <c r="R271" s="276"/>
      <c r="S271" s="276"/>
      <c r="T271" s="276"/>
      <c r="U271" s="276"/>
      <c r="V271" s="276"/>
      <c r="W271" s="276"/>
      <c r="X271" s="276"/>
      <c r="Y271" s="276"/>
      <c r="Z271" s="276"/>
    </row>
    <row r="272" spans="1:26" ht="18.75" customHeight="1">
      <c r="A272" s="276"/>
      <c r="B272" s="276"/>
      <c r="C272" s="276"/>
      <c r="D272" s="276"/>
      <c r="E272" s="276"/>
      <c r="F272" s="276"/>
      <c r="G272" s="276"/>
      <c r="H272" s="276"/>
      <c r="I272" s="276"/>
      <c r="J272" s="276"/>
      <c r="K272" s="276"/>
      <c r="L272" s="276"/>
      <c r="M272" s="276"/>
      <c r="N272" s="276"/>
      <c r="O272" s="276"/>
      <c r="P272" s="276"/>
      <c r="Q272" s="276"/>
      <c r="R272" s="276"/>
      <c r="S272" s="276"/>
      <c r="T272" s="276"/>
      <c r="U272" s="276"/>
      <c r="V272" s="276"/>
      <c r="W272" s="276"/>
      <c r="X272" s="276"/>
      <c r="Y272" s="276"/>
      <c r="Z272" s="276"/>
    </row>
    <row r="273" spans="1:26" ht="18.75" customHeight="1">
      <c r="A273" s="276"/>
      <c r="B273" s="276"/>
      <c r="C273" s="276"/>
      <c r="D273" s="276"/>
      <c r="E273" s="276"/>
      <c r="F273" s="276"/>
      <c r="G273" s="276"/>
      <c r="H273" s="276"/>
      <c r="I273" s="276"/>
      <c r="J273" s="276"/>
      <c r="K273" s="276"/>
      <c r="L273" s="276"/>
      <c r="M273" s="276"/>
      <c r="N273" s="276"/>
      <c r="O273" s="276"/>
      <c r="P273" s="276"/>
      <c r="Q273" s="276"/>
      <c r="R273" s="276"/>
      <c r="S273" s="276"/>
      <c r="T273" s="276"/>
      <c r="U273" s="276"/>
      <c r="V273" s="276"/>
      <c r="W273" s="276"/>
      <c r="X273" s="276"/>
      <c r="Y273" s="276"/>
      <c r="Z273" s="276"/>
    </row>
    <row r="274" spans="1:26" ht="18.75" customHeight="1">
      <c r="A274" s="276"/>
      <c r="B274" s="276"/>
      <c r="C274" s="276"/>
      <c r="D274" s="276"/>
      <c r="E274" s="276"/>
      <c r="F274" s="276"/>
      <c r="G274" s="276"/>
      <c r="H274" s="276"/>
      <c r="I274" s="276"/>
      <c r="J274" s="276"/>
      <c r="K274" s="276"/>
      <c r="L274" s="276"/>
      <c r="M274" s="276"/>
      <c r="N274" s="276"/>
      <c r="O274" s="276"/>
      <c r="P274" s="276"/>
      <c r="Q274" s="276"/>
      <c r="R274" s="276"/>
      <c r="S274" s="276"/>
      <c r="T274" s="276"/>
      <c r="U274" s="276"/>
      <c r="V274" s="276"/>
      <c r="W274" s="276"/>
      <c r="X274" s="276"/>
      <c r="Y274" s="276"/>
      <c r="Z274" s="276"/>
    </row>
    <row r="275" spans="1:26" ht="18.75" customHeight="1">
      <c r="A275" s="276"/>
      <c r="B275" s="276"/>
      <c r="C275" s="276"/>
      <c r="D275" s="276"/>
      <c r="E275" s="276"/>
      <c r="F275" s="276"/>
      <c r="G275" s="276"/>
      <c r="H275" s="276"/>
      <c r="I275" s="276"/>
      <c r="J275" s="276"/>
      <c r="K275" s="276"/>
      <c r="L275" s="276"/>
      <c r="M275" s="276"/>
      <c r="N275" s="276"/>
      <c r="O275" s="276"/>
      <c r="P275" s="276"/>
      <c r="Q275" s="276"/>
      <c r="R275" s="276"/>
      <c r="S275" s="276"/>
      <c r="T275" s="276"/>
      <c r="U275" s="276"/>
      <c r="V275" s="276"/>
      <c r="W275" s="276"/>
      <c r="X275" s="276"/>
      <c r="Y275" s="276"/>
      <c r="Z275" s="276"/>
    </row>
    <row r="276" spans="1:26" ht="18.75" customHeight="1">
      <c r="A276" s="276"/>
      <c r="B276" s="276"/>
      <c r="C276" s="276"/>
      <c r="D276" s="276"/>
      <c r="E276" s="276"/>
      <c r="F276" s="276"/>
      <c r="G276" s="276"/>
      <c r="H276" s="276"/>
      <c r="I276" s="276"/>
      <c r="J276" s="276"/>
      <c r="K276" s="276"/>
      <c r="L276" s="276"/>
      <c r="M276" s="276"/>
      <c r="N276" s="276"/>
      <c r="O276" s="276"/>
      <c r="P276" s="276"/>
      <c r="Q276" s="276"/>
      <c r="R276" s="276"/>
      <c r="S276" s="276"/>
      <c r="T276" s="276"/>
      <c r="U276" s="276"/>
      <c r="V276" s="276"/>
      <c r="W276" s="276"/>
      <c r="X276" s="276"/>
      <c r="Y276" s="276"/>
      <c r="Z276" s="276"/>
    </row>
    <row r="277" spans="1:26" ht="18.75" customHeight="1">
      <c r="A277" s="276"/>
      <c r="B277" s="276"/>
      <c r="C277" s="276"/>
      <c r="D277" s="276"/>
      <c r="E277" s="276"/>
      <c r="F277" s="276"/>
      <c r="G277" s="276"/>
      <c r="H277" s="276"/>
      <c r="I277" s="276"/>
      <c r="J277" s="276"/>
      <c r="K277" s="276"/>
      <c r="L277" s="276"/>
      <c r="M277" s="276"/>
      <c r="N277" s="276"/>
      <c r="O277" s="276"/>
      <c r="P277" s="276"/>
      <c r="Q277" s="276"/>
      <c r="R277" s="276"/>
      <c r="S277" s="276"/>
      <c r="T277" s="276"/>
      <c r="U277" s="276"/>
      <c r="V277" s="276"/>
      <c r="W277" s="276"/>
      <c r="X277" s="276"/>
      <c r="Y277" s="276"/>
      <c r="Z277" s="276"/>
    </row>
    <row r="278" spans="1:26" ht="18.75" customHeight="1">
      <c r="A278" s="276"/>
      <c r="B278" s="276"/>
      <c r="C278" s="276"/>
      <c r="D278" s="276"/>
      <c r="E278" s="276"/>
      <c r="F278" s="276"/>
      <c r="G278" s="276"/>
      <c r="H278" s="276"/>
      <c r="I278" s="276"/>
      <c r="J278" s="276"/>
      <c r="K278" s="276"/>
      <c r="L278" s="276"/>
      <c r="M278" s="276"/>
      <c r="N278" s="276"/>
      <c r="O278" s="276"/>
      <c r="P278" s="276"/>
      <c r="Q278" s="276"/>
      <c r="R278" s="276"/>
      <c r="S278" s="276"/>
      <c r="T278" s="276"/>
      <c r="U278" s="276"/>
      <c r="V278" s="276"/>
      <c r="W278" s="276"/>
      <c r="X278" s="276"/>
      <c r="Y278" s="276"/>
      <c r="Z278" s="276"/>
    </row>
    <row r="279" spans="1:26" ht="18.75" customHeight="1">
      <c r="A279" s="276"/>
      <c r="B279" s="276"/>
      <c r="C279" s="276"/>
      <c r="D279" s="276"/>
      <c r="E279" s="276"/>
      <c r="F279" s="276"/>
      <c r="G279" s="276"/>
      <c r="H279" s="276"/>
      <c r="I279" s="276"/>
      <c r="J279" s="276"/>
      <c r="K279" s="276"/>
      <c r="L279" s="276"/>
      <c r="M279" s="276"/>
      <c r="N279" s="276"/>
      <c r="O279" s="276"/>
      <c r="P279" s="276"/>
      <c r="Q279" s="276"/>
      <c r="R279" s="276"/>
      <c r="S279" s="276"/>
      <c r="T279" s="276"/>
      <c r="U279" s="276"/>
      <c r="V279" s="276"/>
      <c r="W279" s="276"/>
      <c r="X279" s="276"/>
      <c r="Y279" s="276"/>
      <c r="Z279" s="276"/>
    </row>
    <row r="280" spans="1:26" ht="18.75" customHeight="1">
      <c r="A280" s="276"/>
      <c r="B280" s="276"/>
      <c r="C280" s="276"/>
      <c r="D280" s="276"/>
      <c r="E280" s="276"/>
      <c r="F280" s="276"/>
      <c r="G280" s="276"/>
      <c r="H280" s="276"/>
      <c r="I280" s="276"/>
      <c r="J280" s="276"/>
      <c r="K280" s="276"/>
      <c r="L280" s="276"/>
      <c r="M280" s="276"/>
      <c r="N280" s="276"/>
      <c r="O280" s="276"/>
      <c r="P280" s="276"/>
      <c r="Q280" s="276"/>
      <c r="R280" s="276"/>
      <c r="S280" s="276"/>
      <c r="T280" s="276"/>
      <c r="U280" s="276"/>
      <c r="V280" s="276"/>
      <c r="W280" s="276"/>
      <c r="X280" s="276"/>
      <c r="Y280" s="276"/>
      <c r="Z280" s="276"/>
    </row>
    <row r="281" spans="1:26" ht="18.75" customHeight="1">
      <c r="A281" s="276"/>
      <c r="B281" s="276"/>
      <c r="C281" s="276"/>
      <c r="D281" s="276"/>
      <c r="E281" s="276"/>
      <c r="F281" s="276"/>
      <c r="G281" s="276"/>
      <c r="H281" s="276"/>
      <c r="I281" s="276"/>
      <c r="J281" s="276"/>
      <c r="K281" s="276"/>
      <c r="L281" s="276"/>
      <c r="M281" s="276"/>
      <c r="N281" s="276"/>
      <c r="O281" s="276"/>
      <c r="P281" s="276"/>
      <c r="Q281" s="276"/>
      <c r="R281" s="276"/>
      <c r="S281" s="276"/>
      <c r="T281" s="276"/>
      <c r="U281" s="276"/>
      <c r="V281" s="276"/>
      <c r="W281" s="276"/>
      <c r="X281" s="276"/>
      <c r="Y281" s="276"/>
      <c r="Z281" s="276"/>
    </row>
    <row r="282" spans="1:26" ht="18.75" customHeight="1">
      <c r="A282" s="276"/>
      <c r="B282" s="276"/>
      <c r="C282" s="276"/>
      <c r="D282" s="276"/>
      <c r="E282" s="276"/>
      <c r="F282" s="276"/>
      <c r="G282" s="276"/>
      <c r="H282" s="276"/>
      <c r="I282" s="276"/>
      <c r="J282" s="276"/>
      <c r="K282" s="276"/>
      <c r="L282" s="276"/>
      <c r="M282" s="276"/>
      <c r="N282" s="276"/>
      <c r="O282" s="276"/>
      <c r="P282" s="276"/>
      <c r="Q282" s="276"/>
      <c r="R282" s="276"/>
      <c r="S282" s="276"/>
      <c r="T282" s="276"/>
      <c r="U282" s="276"/>
      <c r="V282" s="276"/>
      <c r="W282" s="276"/>
      <c r="X282" s="276"/>
      <c r="Y282" s="276"/>
      <c r="Z282" s="276"/>
    </row>
    <row r="283" spans="1:26" ht="18.75" customHeight="1">
      <c r="A283" s="276"/>
      <c r="B283" s="276"/>
      <c r="C283" s="276"/>
      <c r="D283" s="276"/>
      <c r="E283" s="276"/>
      <c r="F283" s="276"/>
      <c r="G283" s="276"/>
      <c r="H283" s="276"/>
      <c r="I283" s="276"/>
      <c r="J283" s="276"/>
      <c r="K283" s="276"/>
      <c r="L283" s="276"/>
      <c r="M283" s="276"/>
      <c r="N283" s="276"/>
      <c r="O283" s="276"/>
      <c r="P283" s="276"/>
      <c r="Q283" s="276"/>
      <c r="R283" s="276"/>
      <c r="S283" s="276"/>
      <c r="T283" s="276"/>
      <c r="U283" s="276"/>
      <c r="V283" s="276"/>
      <c r="W283" s="276"/>
      <c r="X283" s="276"/>
      <c r="Y283" s="276"/>
      <c r="Z283" s="276"/>
    </row>
    <row r="284" spans="1:26" ht="18.75" customHeight="1">
      <c r="A284" s="276"/>
      <c r="B284" s="276"/>
      <c r="C284" s="276"/>
      <c r="D284" s="276"/>
      <c r="E284" s="276"/>
      <c r="F284" s="276"/>
      <c r="G284" s="276"/>
      <c r="H284" s="276"/>
      <c r="I284" s="276"/>
      <c r="J284" s="276"/>
      <c r="K284" s="276"/>
      <c r="L284" s="276"/>
      <c r="M284" s="276"/>
      <c r="N284" s="276"/>
      <c r="O284" s="276"/>
      <c r="P284" s="276"/>
      <c r="Q284" s="276"/>
      <c r="R284" s="276"/>
      <c r="S284" s="276"/>
      <c r="T284" s="276"/>
      <c r="U284" s="276"/>
      <c r="V284" s="276"/>
      <c r="W284" s="276"/>
      <c r="X284" s="276"/>
      <c r="Y284" s="276"/>
      <c r="Z284" s="276"/>
    </row>
    <row r="285" spans="1:26" ht="18.75" customHeight="1">
      <c r="A285" s="276"/>
      <c r="B285" s="276"/>
      <c r="C285" s="276"/>
      <c r="D285" s="276"/>
      <c r="E285" s="276"/>
      <c r="F285" s="276"/>
      <c r="G285" s="276"/>
      <c r="H285" s="276"/>
      <c r="I285" s="276"/>
      <c r="J285" s="276"/>
      <c r="K285" s="276"/>
      <c r="L285" s="276"/>
      <c r="M285" s="276"/>
      <c r="N285" s="276"/>
      <c r="O285" s="276"/>
      <c r="P285" s="276"/>
      <c r="Q285" s="276"/>
      <c r="R285" s="276"/>
      <c r="S285" s="276"/>
      <c r="T285" s="276"/>
      <c r="U285" s="276"/>
      <c r="V285" s="276"/>
      <c r="W285" s="276"/>
      <c r="X285" s="276"/>
      <c r="Y285" s="276"/>
      <c r="Z285" s="276"/>
    </row>
    <row r="286" spans="1:26" ht="18.75" customHeight="1">
      <c r="A286" s="276"/>
      <c r="B286" s="276"/>
      <c r="C286" s="276"/>
      <c r="D286" s="276"/>
      <c r="E286" s="276"/>
      <c r="F286" s="276"/>
      <c r="G286" s="276"/>
      <c r="H286" s="276"/>
      <c r="I286" s="276"/>
      <c r="J286" s="276"/>
      <c r="K286" s="276"/>
      <c r="L286" s="276"/>
      <c r="M286" s="276"/>
      <c r="N286" s="276"/>
      <c r="O286" s="276"/>
      <c r="P286" s="276"/>
      <c r="Q286" s="276"/>
      <c r="R286" s="276"/>
      <c r="S286" s="276"/>
      <c r="T286" s="276"/>
      <c r="U286" s="276"/>
      <c r="V286" s="276"/>
      <c r="W286" s="276"/>
      <c r="X286" s="276"/>
      <c r="Y286" s="276"/>
      <c r="Z286" s="276"/>
    </row>
    <row r="287" spans="1:26" ht="18.75" customHeight="1">
      <c r="A287" s="276"/>
      <c r="B287" s="276"/>
      <c r="C287" s="276"/>
      <c r="D287" s="276"/>
      <c r="E287" s="276"/>
      <c r="F287" s="276"/>
      <c r="G287" s="276"/>
      <c r="H287" s="276"/>
      <c r="I287" s="276"/>
      <c r="J287" s="276"/>
      <c r="K287" s="276"/>
      <c r="L287" s="276"/>
      <c r="M287" s="276"/>
      <c r="N287" s="276"/>
      <c r="O287" s="276"/>
      <c r="P287" s="276"/>
      <c r="Q287" s="276"/>
      <c r="R287" s="276"/>
      <c r="S287" s="276"/>
      <c r="T287" s="276"/>
      <c r="U287" s="276"/>
      <c r="V287" s="276"/>
      <c r="W287" s="276"/>
      <c r="X287" s="276"/>
      <c r="Y287" s="276"/>
      <c r="Z287" s="276"/>
    </row>
    <row r="288" spans="1:26" ht="18.75" customHeight="1">
      <c r="A288" s="276"/>
      <c r="B288" s="276"/>
      <c r="C288" s="276"/>
      <c r="D288" s="276"/>
      <c r="E288" s="276"/>
      <c r="F288" s="276"/>
      <c r="G288" s="276"/>
      <c r="H288" s="276"/>
      <c r="I288" s="276"/>
      <c r="J288" s="276"/>
      <c r="K288" s="276"/>
      <c r="L288" s="276"/>
      <c r="M288" s="276"/>
      <c r="N288" s="276"/>
      <c r="O288" s="276"/>
      <c r="P288" s="276"/>
      <c r="Q288" s="276"/>
      <c r="R288" s="276"/>
      <c r="S288" s="276"/>
      <c r="T288" s="276"/>
      <c r="U288" s="276"/>
      <c r="V288" s="276"/>
      <c r="W288" s="276"/>
      <c r="X288" s="276"/>
      <c r="Y288" s="276"/>
      <c r="Z288" s="276"/>
    </row>
    <row r="289" spans="1:26" ht="18.75" customHeight="1">
      <c r="A289" s="276"/>
      <c r="B289" s="276"/>
      <c r="C289" s="276"/>
      <c r="D289" s="276"/>
      <c r="E289" s="276"/>
      <c r="F289" s="276"/>
      <c r="G289" s="276"/>
      <c r="H289" s="276"/>
      <c r="I289" s="276"/>
      <c r="J289" s="276"/>
      <c r="K289" s="276"/>
      <c r="L289" s="276"/>
      <c r="M289" s="276"/>
      <c r="N289" s="276"/>
      <c r="O289" s="276"/>
      <c r="P289" s="276"/>
      <c r="Q289" s="276"/>
      <c r="R289" s="276"/>
      <c r="S289" s="276"/>
      <c r="T289" s="276"/>
      <c r="U289" s="276"/>
      <c r="V289" s="276"/>
      <c r="W289" s="276"/>
      <c r="X289" s="276"/>
      <c r="Y289" s="276"/>
      <c r="Z289" s="276"/>
    </row>
    <row r="290" spans="1:26" ht="18.75" customHeight="1">
      <c r="A290" s="276"/>
      <c r="B290" s="276"/>
      <c r="C290" s="276"/>
      <c r="D290" s="276"/>
      <c r="E290" s="276"/>
      <c r="F290" s="276"/>
      <c r="G290" s="276"/>
      <c r="H290" s="276"/>
      <c r="I290" s="276"/>
      <c r="J290" s="276"/>
      <c r="K290" s="276"/>
      <c r="L290" s="276"/>
      <c r="M290" s="276"/>
      <c r="N290" s="276"/>
      <c r="O290" s="276"/>
      <c r="P290" s="276"/>
      <c r="Q290" s="276"/>
      <c r="R290" s="276"/>
      <c r="S290" s="276"/>
      <c r="T290" s="276"/>
      <c r="U290" s="276"/>
      <c r="V290" s="276"/>
      <c r="W290" s="276"/>
      <c r="X290" s="276"/>
      <c r="Y290" s="276"/>
      <c r="Z290" s="276"/>
    </row>
    <row r="291" spans="1:26" ht="18.75" customHeight="1">
      <c r="A291" s="276"/>
      <c r="B291" s="276"/>
      <c r="C291" s="276"/>
      <c r="D291" s="276"/>
      <c r="E291" s="276"/>
      <c r="F291" s="276"/>
      <c r="G291" s="276"/>
      <c r="H291" s="276"/>
      <c r="I291" s="276"/>
      <c r="J291" s="276"/>
      <c r="K291" s="276"/>
      <c r="L291" s="276"/>
      <c r="M291" s="276"/>
      <c r="N291" s="276"/>
      <c r="O291" s="276"/>
      <c r="P291" s="276"/>
      <c r="Q291" s="276"/>
      <c r="R291" s="276"/>
      <c r="S291" s="276"/>
      <c r="T291" s="276"/>
      <c r="U291" s="276"/>
      <c r="V291" s="276"/>
      <c r="W291" s="276"/>
      <c r="X291" s="276"/>
      <c r="Y291" s="276"/>
      <c r="Z291" s="276"/>
    </row>
    <row r="292" spans="1:26" ht="18.75" customHeight="1">
      <c r="A292" s="276"/>
      <c r="B292" s="276"/>
      <c r="C292" s="276"/>
      <c r="D292" s="276"/>
      <c r="E292" s="276"/>
      <c r="F292" s="276"/>
      <c r="G292" s="276"/>
      <c r="H292" s="276"/>
      <c r="I292" s="276"/>
      <c r="J292" s="276"/>
      <c r="K292" s="276"/>
      <c r="L292" s="276"/>
      <c r="M292" s="276"/>
      <c r="N292" s="276"/>
      <c r="O292" s="276"/>
      <c r="P292" s="276"/>
      <c r="Q292" s="276"/>
      <c r="R292" s="276"/>
      <c r="S292" s="276"/>
      <c r="T292" s="276"/>
      <c r="U292" s="276"/>
      <c r="V292" s="276"/>
      <c r="W292" s="276"/>
      <c r="X292" s="276"/>
      <c r="Y292" s="276"/>
      <c r="Z292" s="276"/>
    </row>
    <row r="293" spans="1:26" ht="18.75" customHeight="1">
      <c r="A293" s="276"/>
      <c r="B293" s="276"/>
      <c r="C293" s="276"/>
      <c r="D293" s="276"/>
      <c r="E293" s="276"/>
      <c r="F293" s="276"/>
      <c r="G293" s="276"/>
      <c r="H293" s="276"/>
      <c r="I293" s="276"/>
      <c r="J293" s="276"/>
      <c r="K293" s="276"/>
      <c r="L293" s="276"/>
      <c r="M293" s="276"/>
      <c r="N293" s="276"/>
      <c r="O293" s="276"/>
      <c r="P293" s="276"/>
      <c r="Q293" s="276"/>
      <c r="R293" s="276"/>
      <c r="S293" s="276"/>
      <c r="T293" s="276"/>
      <c r="U293" s="276"/>
      <c r="V293" s="276"/>
      <c r="W293" s="276"/>
      <c r="X293" s="276"/>
      <c r="Y293" s="276"/>
      <c r="Z293" s="276"/>
    </row>
    <row r="294" spans="1:26" ht="18.75" customHeight="1">
      <c r="A294" s="276"/>
      <c r="B294" s="276"/>
      <c r="C294" s="276"/>
      <c r="D294" s="276"/>
      <c r="E294" s="276"/>
      <c r="F294" s="276"/>
      <c r="G294" s="276"/>
      <c r="H294" s="276"/>
      <c r="I294" s="276"/>
      <c r="J294" s="276"/>
      <c r="K294" s="276"/>
      <c r="L294" s="276"/>
      <c r="M294" s="276"/>
      <c r="N294" s="276"/>
      <c r="O294" s="276"/>
      <c r="P294" s="276"/>
      <c r="Q294" s="276"/>
      <c r="R294" s="276"/>
      <c r="S294" s="276"/>
      <c r="T294" s="276"/>
      <c r="U294" s="276"/>
      <c r="V294" s="276"/>
      <c r="W294" s="276"/>
      <c r="X294" s="276"/>
      <c r="Y294" s="276"/>
      <c r="Z294" s="276"/>
    </row>
    <row r="295" spans="1:26" ht="18.75" customHeight="1">
      <c r="A295" s="276"/>
      <c r="B295" s="276"/>
      <c r="C295" s="276"/>
      <c r="D295" s="276"/>
      <c r="E295" s="276"/>
      <c r="F295" s="276"/>
      <c r="G295" s="276"/>
      <c r="H295" s="276"/>
      <c r="I295" s="276"/>
      <c r="J295" s="276"/>
      <c r="K295" s="276"/>
      <c r="L295" s="276"/>
      <c r="M295" s="276"/>
      <c r="N295" s="276"/>
      <c r="O295" s="276"/>
      <c r="P295" s="276"/>
      <c r="Q295" s="276"/>
      <c r="R295" s="276"/>
      <c r="S295" s="276"/>
      <c r="T295" s="276"/>
      <c r="U295" s="276"/>
      <c r="V295" s="276"/>
      <c r="W295" s="276"/>
      <c r="X295" s="276"/>
      <c r="Y295" s="276"/>
      <c r="Z295" s="276"/>
    </row>
    <row r="296" spans="1:26" ht="18.75" customHeight="1">
      <c r="A296" s="276"/>
      <c r="B296" s="276"/>
      <c r="C296" s="276"/>
      <c r="D296" s="276"/>
      <c r="E296" s="276"/>
      <c r="F296" s="276"/>
      <c r="G296" s="276"/>
      <c r="H296" s="276"/>
      <c r="I296" s="276"/>
      <c r="J296" s="276"/>
      <c r="K296" s="276"/>
      <c r="L296" s="276"/>
      <c r="M296" s="276"/>
      <c r="N296" s="276"/>
      <c r="O296" s="276"/>
      <c r="P296" s="276"/>
      <c r="Q296" s="276"/>
      <c r="R296" s="276"/>
      <c r="S296" s="276"/>
      <c r="T296" s="276"/>
      <c r="U296" s="276"/>
      <c r="V296" s="276"/>
      <c r="W296" s="276"/>
      <c r="X296" s="276"/>
      <c r="Y296" s="276"/>
      <c r="Z296" s="276"/>
    </row>
    <row r="297" spans="1:26" ht="18.75" customHeight="1">
      <c r="A297" s="276"/>
      <c r="B297" s="276"/>
      <c r="C297" s="276"/>
      <c r="D297" s="276"/>
      <c r="E297" s="276"/>
      <c r="F297" s="276"/>
      <c r="G297" s="276"/>
      <c r="H297" s="276"/>
      <c r="I297" s="276"/>
      <c r="J297" s="276"/>
      <c r="K297" s="276"/>
      <c r="L297" s="276"/>
      <c r="M297" s="276"/>
      <c r="N297" s="276"/>
      <c r="O297" s="276"/>
      <c r="P297" s="276"/>
      <c r="Q297" s="276"/>
      <c r="R297" s="276"/>
      <c r="S297" s="276"/>
      <c r="T297" s="276"/>
      <c r="U297" s="276"/>
      <c r="V297" s="276"/>
      <c r="W297" s="276"/>
      <c r="X297" s="276"/>
      <c r="Y297" s="276"/>
      <c r="Z297" s="276"/>
    </row>
    <row r="298" spans="1:26" ht="18.75" customHeight="1">
      <c r="A298" s="276"/>
      <c r="B298" s="276"/>
      <c r="C298" s="276"/>
      <c r="D298" s="276"/>
      <c r="E298" s="276"/>
      <c r="F298" s="276"/>
      <c r="G298" s="276"/>
      <c r="H298" s="276"/>
      <c r="I298" s="276"/>
      <c r="J298" s="276"/>
      <c r="K298" s="276"/>
      <c r="L298" s="276"/>
      <c r="M298" s="276"/>
      <c r="N298" s="276"/>
      <c r="O298" s="276"/>
      <c r="P298" s="276"/>
      <c r="Q298" s="276"/>
      <c r="R298" s="276"/>
      <c r="S298" s="276"/>
      <c r="T298" s="276"/>
      <c r="U298" s="276"/>
      <c r="V298" s="276"/>
      <c r="W298" s="276"/>
      <c r="X298" s="276"/>
      <c r="Y298" s="276"/>
      <c r="Z298" s="276"/>
    </row>
    <row r="299" spans="1:26" ht="18.75" customHeight="1">
      <c r="A299" s="276"/>
      <c r="B299" s="276"/>
      <c r="C299" s="276"/>
      <c r="D299" s="276"/>
      <c r="E299" s="276"/>
      <c r="F299" s="276"/>
      <c r="G299" s="276"/>
      <c r="H299" s="276"/>
      <c r="I299" s="276"/>
      <c r="J299" s="276"/>
      <c r="K299" s="276"/>
      <c r="L299" s="276"/>
      <c r="M299" s="276"/>
      <c r="N299" s="276"/>
      <c r="O299" s="276"/>
      <c r="P299" s="276"/>
      <c r="Q299" s="276"/>
      <c r="R299" s="276"/>
      <c r="S299" s="276"/>
      <c r="T299" s="276"/>
      <c r="U299" s="276"/>
      <c r="V299" s="276"/>
      <c r="W299" s="276"/>
      <c r="X299" s="276"/>
      <c r="Y299" s="276"/>
      <c r="Z299" s="276"/>
    </row>
    <row r="300" spans="1:26" ht="18.75" customHeight="1">
      <c r="A300" s="276"/>
      <c r="B300" s="276"/>
      <c r="C300" s="276"/>
      <c r="D300" s="276"/>
      <c r="E300" s="276"/>
      <c r="F300" s="276"/>
      <c r="G300" s="276"/>
      <c r="H300" s="276"/>
      <c r="I300" s="276"/>
      <c r="J300" s="276"/>
      <c r="K300" s="276"/>
      <c r="L300" s="276"/>
      <c r="M300" s="276"/>
      <c r="N300" s="276"/>
      <c r="O300" s="276"/>
      <c r="P300" s="276"/>
      <c r="Q300" s="276"/>
      <c r="R300" s="276"/>
      <c r="S300" s="276"/>
      <c r="T300" s="276"/>
      <c r="U300" s="276"/>
      <c r="V300" s="276"/>
      <c r="W300" s="276"/>
      <c r="X300" s="276"/>
      <c r="Y300" s="276"/>
      <c r="Z300" s="276"/>
    </row>
    <row r="301" spans="1:26" ht="18.75" customHeight="1">
      <c r="A301" s="276"/>
      <c r="B301" s="276"/>
      <c r="C301" s="276"/>
      <c r="D301" s="276"/>
      <c r="E301" s="276"/>
      <c r="F301" s="276"/>
      <c r="G301" s="276"/>
      <c r="H301" s="276"/>
      <c r="I301" s="276"/>
      <c r="J301" s="276"/>
      <c r="K301" s="276"/>
      <c r="L301" s="276"/>
      <c r="M301" s="276"/>
      <c r="N301" s="276"/>
      <c r="O301" s="276"/>
      <c r="P301" s="276"/>
      <c r="Q301" s="276"/>
      <c r="R301" s="276"/>
      <c r="S301" s="276"/>
      <c r="T301" s="276"/>
      <c r="U301" s="276"/>
      <c r="V301" s="276"/>
      <c r="W301" s="276"/>
      <c r="X301" s="276"/>
      <c r="Y301" s="276"/>
      <c r="Z301" s="276"/>
    </row>
    <row r="302" spans="1:26" ht="18.75" customHeight="1">
      <c r="A302" s="276"/>
      <c r="B302" s="276"/>
      <c r="C302" s="276"/>
      <c r="D302" s="276"/>
      <c r="E302" s="276"/>
      <c r="F302" s="276"/>
      <c r="G302" s="276"/>
      <c r="H302" s="276"/>
      <c r="I302" s="276"/>
      <c r="J302" s="276"/>
      <c r="K302" s="276"/>
      <c r="L302" s="276"/>
      <c r="M302" s="276"/>
      <c r="N302" s="276"/>
      <c r="O302" s="276"/>
      <c r="P302" s="276"/>
      <c r="Q302" s="276"/>
      <c r="R302" s="276"/>
      <c r="S302" s="276"/>
      <c r="T302" s="276"/>
      <c r="U302" s="276"/>
      <c r="V302" s="276"/>
      <c r="W302" s="276"/>
      <c r="X302" s="276"/>
      <c r="Y302" s="276"/>
      <c r="Z302" s="276"/>
    </row>
    <row r="303" spans="1:26" ht="18.75" customHeight="1">
      <c r="A303" s="276"/>
      <c r="B303" s="276"/>
      <c r="C303" s="276"/>
      <c r="D303" s="276"/>
      <c r="E303" s="276"/>
      <c r="F303" s="276"/>
      <c r="G303" s="276"/>
      <c r="H303" s="276"/>
      <c r="I303" s="276"/>
      <c r="J303" s="276"/>
      <c r="K303" s="276"/>
      <c r="L303" s="276"/>
      <c r="M303" s="276"/>
      <c r="N303" s="276"/>
      <c r="O303" s="276"/>
      <c r="P303" s="276"/>
      <c r="Q303" s="276"/>
      <c r="R303" s="276"/>
      <c r="S303" s="276"/>
      <c r="T303" s="276"/>
      <c r="U303" s="276"/>
      <c r="V303" s="276"/>
      <c r="W303" s="276"/>
      <c r="X303" s="276"/>
      <c r="Y303" s="276"/>
      <c r="Z303" s="276"/>
    </row>
    <row r="304" spans="1:26" ht="18.75" customHeight="1">
      <c r="A304" s="276"/>
      <c r="B304" s="276"/>
      <c r="C304" s="276"/>
      <c r="D304" s="276"/>
      <c r="E304" s="276"/>
      <c r="F304" s="276"/>
      <c r="G304" s="276"/>
      <c r="H304" s="276"/>
      <c r="I304" s="276"/>
      <c r="J304" s="276"/>
      <c r="K304" s="276"/>
      <c r="L304" s="276"/>
      <c r="M304" s="276"/>
      <c r="N304" s="276"/>
      <c r="O304" s="276"/>
      <c r="P304" s="276"/>
      <c r="Q304" s="276"/>
      <c r="R304" s="276"/>
      <c r="S304" s="276"/>
      <c r="T304" s="276"/>
      <c r="U304" s="276"/>
      <c r="V304" s="276"/>
      <c r="W304" s="276"/>
      <c r="X304" s="276"/>
      <c r="Y304" s="276"/>
      <c r="Z304" s="276"/>
    </row>
    <row r="305" spans="1:26" ht="18.75" customHeight="1">
      <c r="A305" s="276"/>
      <c r="B305" s="276"/>
      <c r="C305" s="276"/>
      <c r="D305" s="276"/>
      <c r="E305" s="276"/>
      <c r="F305" s="276"/>
      <c r="G305" s="276"/>
      <c r="H305" s="276"/>
      <c r="I305" s="276"/>
      <c r="J305" s="276"/>
      <c r="K305" s="276"/>
      <c r="L305" s="276"/>
      <c r="M305" s="276"/>
      <c r="N305" s="276"/>
      <c r="O305" s="276"/>
      <c r="P305" s="276"/>
      <c r="Q305" s="276"/>
      <c r="R305" s="276"/>
      <c r="S305" s="276"/>
      <c r="T305" s="276"/>
      <c r="U305" s="276"/>
      <c r="V305" s="276"/>
      <c r="W305" s="276"/>
      <c r="X305" s="276"/>
      <c r="Y305" s="276"/>
      <c r="Z305" s="276"/>
    </row>
    <row r="306" spans="1:26" ht="18.75" customHeight="1">
      <c r="A306" s="276"/>
      <c r="B306" s="276"/>
      <c r="C306" s="276"/>
      <c r="D306" s="276"/>
      <c r="E306" s="276"/>
      <c r="F306" s="276"/>
      <c r="G306" s="276"/>
      <c r="H306" s="276"/>
      <c r="I306" s="276"/>
      <c r="J306" s="276"/>
      <c r="K306" s="276"/>
      <c r="L306" s="276"/>
      <c r="M306" s="276"/>
      <c r="N306" s="276"/>
      <c r="O306" s="276"/>
      <c r="P306" s="276"/>
      <c r="Q306" s="276"/>
      <c r="R306" s="276"/>
      <c r="S306" s="276"/>
      <c r="T306" s="276"/>
      <c r="U306" s="276"/>
      <c r="V306" s="276"/>
      <c r="W306" s="276"/>
      <c r="X306" s="276"/>
      <c r="Y306" s="276"/>
      <c r="Z306" s="276"/>
    </row>
    <row r="307" spans="1:26" ht="18.75" customHeight="1">
      <c r="A307" s="276"/>
      <c r="B307" s="276"/>
      <c r="C307" s="276"/>
      <c r="D307" s="276"/>
      <c r="E307" s="276"/>
      <c r="F307" s="276"/>
      <c r="G307" s="276"/>
      <c r="H307" s="276"/>
      <c r="I307" s="276"/>
      <c r="J307" s="276"/>
      <c r="K307" s="276"/>
      <c r="L307" s="276"/>
      <c r="M307" s="276"/>
      <c r="N307" s="276"/>
      <c r="O307" s="276"/>
      <c r="P307" s="276"/>
      <c r="Q307" s="276"/>
      <c r="R307" s="276"/>
      <c r="S307" s="276"/>
      <c r="T307" s="276"/>
      <c r="U307" s="276"/>
      <c r="V307" s="276"/>
      <c r="W307" s="276"/>
      <c r="X307" s="276"/>
      <c r="Y307" s="276"/>
      <c r="Z307" s="276"/>
    </row>
    <row r="308" spans="1:26" ht="18.75" customHeight="1">
      <c r="A308" s="276"/>
      <c r="B308" s="276"/>
      <c r="C308" s="276"/>
      <c r="D308" s="276"/>
      <c r="E308" s="276"/>
      <c r="F308" s="276"/>
      <c r="G308" s="276"/>
      <c r="H308" s="276"/>
      <c r="I308" s="276"/>
      <c r="J308" s="276"/>
      <c r="K308" s="276"/>
      <c r="L308" s="276"/>
      <c r="M308" s="276"/>
      <c r="N308" s="276"/>
      <c r="O308" s="276"/>
      <c r="P308" s="276"/>
      <c r="Q308" s="276"/>
      <c r="R308" s="276"/>
      <c r="S308" s="276"/>
      <c r="T308" s="276"/>
      <c r="U308" s="276"/>
      <c r="V308" s="276"/>
      <c r="W308" s="276"/>
      <c r="X308" s="276"/>
      <c r="Y308" s="276"/>
      <c r="Z308" s="276"/>
    </row>
    <row r="309" spans="1:26" ht="18.75" customHeight="1">
      <c r="A309" s="276"/>
      <c r="B309" s="276"/>
      <c r="C309" s="276"/>
      <c r="D309" s="276"/>
      <c r="E309" s="276"/>
      <c r="F309" s="276"/>
      <c r="G309" s="276"/>
      <c r="H309" s="276"/>
      <c r="I309" s="276"/>
      <c r="J309" s="276"/>
      <c r="K309" s="276"/>
      <c r="L309" s="276"/>
      <c r="M309" s="276"/>
      <c r="N309" s="276"/>
      <c r="O309" s="276"/>
      <c r="P309" s="276"/>
      <c r="Q309" s="276"/>
      <c r="R309" s="276"/>
      <c r="S309" s="276"/>
      <c r="T309" s="276"/>
      <c r="U309" s="276"/>
      <c r="V309" s="276"/>
      <c r="W309" s="276"/>
      <c r="X309" s="276"/>
      <c r="Y309" s="276"/>
      <c r="Z309" s="276"/>
    </row>
    <row r="310" spans="1:26" ht="18.75" customHeight="1">
      <c r="A310" s="276"/>
      <c r="B310" s="276"/>
      <c r="C310" s="276"/>
      <c r="D310" s="276"/>
      <c r="E310" s="276"/>
      <c r="F310" s="276"/>
      <c r="G310" s="276"/>
      <c r="H310" s="276"/>
      <c r="I310" s="276"/>
      <c r="J310" s="276"/>
      <c r="K310" s="276"/>
      <c r="L310" s="276"/>
      <c r="M310" s="276"/>
      <c r="N310" s="276"/>
      <c r="O310" s="276"/>
      <c r="P310" s="276"/>
      <c r="Q310" s="276"/>
      <c r="R310" s="276"/>
      <c r="S310" s="276"/>
      <c r="T310" s="276"/>
      <c r="U310" s="276"/>
      <c r="V310" s="276"/>
      <c r="W310" s="276"/>
      <c r="X310" s="276"/>
      <c r="Y310" s="276"/>
      <c r="Z310" s="276"/>
    </row>
    <row r="311" spans="1:26" ht="18.75" customHeight="1">
      <c r="A311" s="276"/>
      <c r="B311" s="276"/>
      <c r="C311" s="276"/>
      <c r="D311" s="276"/>
      <c r="E311" s="276"/>
      <c r="F311" s="276"/>
      <c r="G311" s="276"/>
      <c r="H311" s="276"/>
      <c r="I311" s="276"/>
      <c r="J311" s="276"/>
      <c r="K311" s="276"/>
      <c r="L311" s="276"/>
      <c r="M311" s="276"/>
      <c r="N311" s="276"/>
      <c r="O311" s="276"/>
      <c r="P311" s="276"/>
      <c r="Q311" s="276"/>
      <c r="R311" s="276"/>
      <c r="S311" s="276"/>
      <c r="T311" s="276"/>
      <c r="U311" s="276"/>
      <c r="V311" s="276"/>
      <c r="W311" s="276"/>
      <c r="X311" s="276"/>
      <c r="Y311" s="276"/>
      <c r="Z311" s="276"/>
    </row>
    <row r="312" spans="1:26" ht="18.75" customHeight="1">
      <c r="A312" s="276"/>
      <c r="B312" s="276"/>
      <c r="C312" s="276"/>
      <c r="D312" s="276"/>
      <c r="E312" s="276"/>
      <c r="F312" s="276"/>
      <c r="G312" s="276"/>
      <c r="H312" s="276"/>
      <c r="I312" s="276"/>
      <c r="J312" s="276"/>
      <c r="K312" s="276"/>
      <c r="L312" s="276"/>
      <c r="M312" s="276"/>
      <c r="N312" s="276"/>
      <c r="O312" s="276"/>
      <c r="P312" s="276"/>
      <c r="Q312" s="276"/>
      <c r="R312" s="276"/>
      <c r="S312" s="276"/>
      <c r="T312" s="276"/>
      <c r="U312" s="276"/>
      <c r="V312" s="276"/>
      <c r="W312" s="276"/>
      <c r="X312" s="276"/>
      <c r="Y312" s="276"/>
      <c r="Z312" s="276"/>
    </row>
    <row r="313" spans="1:26" ht="18.75" customHeight="1">
      <c r="A313" s="276"/>
      <c r="B313" s="276"/>
      <c r="C313" s="276"/>
      <c r="D313" s="276"/>
      <c r="E313" s="276"/>
      <c r="F313" s="276"/>
      <c r="G313" s="276"/>
      <c r="H313" s="276"/>
      <c r="I313" s="276"/>
      <c r="J313" s="276"/>
      <c r="K313" s="276"/>
      <c r="L313" s="276"/>
      <c r="M313" s="276"/>
      <c r="N313" s="276"/>
      <c r="O313" s="276"/>
      <c r="P313" s="276"/>
      <c r="Q313" s="276"/>
      <c r="R313" s="276"/>
      <c r="S313" s="276"/>
      <c r="T313" s="276"/>
      <c r="U313" s="276"/>
      <c r="V313" s="276"/>
      <c r="W313" s="276"/>
      <c r="X313" s="276"/>
      <c r="Y313" s="276"/>
      <c r="Z313" s="276"/>
    </row>
    <row r="314" spans="1:26" ht="18.75" customHeight="1">
      <c r="A314" s="276"/>
      <c r="B314" s="276"/>
      <c r="C314" s="276"/>
      <c r="D314" s="276"/>
      <c r="E314" s="276"/>
      <c r="F314" s="276"/>
      <c r="G314" s="276"/>
      <c r="H314" s="276"/>
      <c r="I314" s="276"/>
      <c r="J314" s="276"/>
      <c r="K314" s="276"/>
      <c r="L314" s="276"/>
      <c r="M314" s="276"/>
      <c r="N314" s="276"/>
      <c r="O314" s="276"/>
      <c r="P314" s="276"/>
      <c r="Q314" s="276"/>
      <c r="R314" s="276"/>
      <c r="S314" s="276"/>
      <c r="T314" s="276"/>
      <c r="U314" s="276"/>
      <c r="V314" s="276"/>
      <c r="W314" s="276"/>
      <c r="X314" s="276"/>
      <c r="Y314" s="276"/>
      <c r="Z314" s="276"/>
    </row>
    <row r="315" spans="1:26" ht="18.75" customHeight="1">
      <c r="A315" s="276"/>
      <c r="B315" s="276"/>
      <c r="C315" s="276"/>
      <c r="D315" s="276"/>
      <c r="E315" s="276"/>
      <c r="F315" s="276"/>
      <c r="G315" s="276"/>
      <c r="H315" s="276"/>
      <c r="I315" s="276"/>
      <c r="J315" s="276"/>
      <c r="K315" s="276"/>
      <c r="L315" s="276"/>
      <c r="M315" s="276"/>
      <c r="N315" s="276"/>
      <c r="O315" s="276"/>
      <c r="P315" s="276"/>
      <c r="Q315" s="276"/>
      <c r="R315" s="276"/>
      <c r="S315" s="276"/>
      <c r="T315" s="276"/>
      <c r="U315" s="276"/>
      <c r="V315" s="276"/>
      <c r="W315" s="276"/>
      <c r="X315" s="276"/>
      <c r="Y315" s="276"/>
      <c r="Z315" s="276"/>
    </row>
    <row r="316" spans="1:26" ht="18.75" customHeight="1">
      <c r="A316" s="276"/>
      <c r="B316" s="276"/>
      <c r="C316" s="276"/>
      <c r="D316" s="276"/>
      <c r="E316" s="276"/>
      <c r="F316" s="276"/>
      <c r="G316" s="276"/>
      <c r="H316" s="276"/>
      <c r="I316" s="276"/>
      <c r="J316" s="276"/>
      <c r="K316" s="276"/>
      <c r="L316" s="276"/>
      <c r="M316" s="276"/>
      <c r="N316" s="276"/>
      <c r="O316" s="276"/>
      <c r="P316" s="276"/>
      <c r="Q316" s="276"/>
      <c r="R316" s="276"/>
      <c r="S316" s="276"/>
      <c r="T316" s="276"/>
      <c r="U316" s="276"/>
      <c r="V316" s="276"/>
      <c r="W316" s="276"/>
      <c r="X316" s="276"/>
      <c r="Y316" s="276"/>
      <c r="Z316" s="276"/>
    </row>
    <row r="317" spans="1:26" ht="18.75" customHeight="1">
      <c r="A317" s="276"/>
      <c r="B317" s="276"/>
      <c r="C317" s="276"/>
      <c r="D317" s="276"/>
      <c r="E317" s="276"/>
      <c r="F317" s="276"/>
      <c r="G317" s="276"/>
      <c r="H317" s="276"/>
      <c r="I317" s="276"/>
      <c r="J317" s="276"/>
      <c r="K317" s="276"/>
      <c r="L317" s="276"/>
      <c r="M317" s="276"/>
      <c r="N317" s="276"/>
      <c r="O317" s="276"/>
      <c r="P317" s="276"/>
      <c r="Q317" s="276"/>
      <c r="R317" s="276"/>
      <c r="S317" s="276"/>
      <c r="T317" s="276"/>
      <c r="U317" s="276"/>
      <c r="V317" s="276"/>
      <c r="W317" s="276"/>
      <c r="X317" s="276"/>
      <c r="Y317" s="276"/>
      <c r="Z317" s="276"/>
    </row>
    <row r="318" spans="1:26" ht="18.75" customHeight="1">
      <c r="A318" s="276"/>
      <c r="B318" s="276"/>
      <c r="C318" s="276"/>
      <c r="D318" s="276"/>
      <c r="E318" s="276"/>
      <c r="F318" s="276"/>
      <c r="G318" s="276"/>
      <c r="H318" s="276"/>
      <c r="I318" s="276"/>
      <c r="J318" s="276"/>
      <c r="K318" s="276"/>
      <c r="L318" s="276"/>
      <c r="M318" s="276"/>
      <c r="N318" s="276"/>
      <c r="O318" s="276"/>
      <c r="P318" s="276"/>
      <c r="Q318" s="276"/>
      <c r="R318" s="276"/>
      <c r="S318" s="276"/>
      <c r="T318" s="276"/>
      <c r="U318" s="276"/>
      <c r="V318" s="276"/>
      <c r="W318" s="276"/>
      <c r="X318" s="276"/>
      <c r="Y318" s="276"/>
      <c r="Z318" s="276"/>
    </row>
    <row r="319" spans="1:26" ht="18.75" customHeight="1">
      <c r="A319" s="276"/>
      <c r="B319" s="276"/>
      <c r="C319" s="276"/>
      <c r="D319" s="276"/>
      <c r="E319" s="276"/>
      <c r="F319" s="276"/>
      <c r="G319" s="276"/>
      <c r="H319" s="276"/>
      <c r="I319" s="276"/>
      <c r="J319" s="276"/>
      <c r="K319" s="276"/>
      <c r="L319" s="276"/>
      <c r="M319" s="276"/>
      <c r="N319" s="276"/>
      <c r="O319" s="276"/>
      <c r="P319" s="276"/>
      <c r="Q319" s="276"/>
      <c r="R319" s="276"/>
      <c r="S319" s="276"/>
      <c r="T319" s="276"/>
      <c r="U319" s="276"/>
      <c r="V319" s="276"/>
      <c r="W319" s="276"/>
      <c r="X319" s="276"/>
      <c r="Y319" s="276"/>
      <c r="Z319" s="276"/>
    </row>
    <row r="320" spans="1:26" ht="18.75" customHeight="1">
      <c r="A320" s="276"/>
      <c r="B320" s="276"/>
      <c r="C320" s="276"/>
      <c r="D320" s="276"/>
      <c r="E320" s="276"/>
      <c r="F320" s="276"/>
      <c r="G320" s="276"/>
      <c r="H320" s="276"/>
      <c r="I320" s="276"/>
      <c r="J320" s="276"/>
      <c r="K320" s="276"/>
      <c r="L320" s="276"/>
      <c r="M320" s="276"/>
      <c r="N320" s="276"/>
      <c r="O320" s="276"/>
      <c r="P320" s="276"/>
      <c r="Q320" s="276"/>
      <c r="R320" s="276"/>
      <c r="S320" s="276"/>
      <c r="T320" s="276"/>
      <c r="U320" s="276"/>
      <c r="V320" s="276"/>
      <c r="W320" s="276"/>
      <c r="X320" s="276"/>
      <c r="Y320" s="276"/>
      <c r="Z320" s="276"/>
    </row>
    <row r="321" spans="1:26" ht="18.75" customHeight="1">
      <c r="A321" s="276"/>
      <c r="B321" s="276"/>
      <c r="C321" s="276"/>
      <c r="D321" s="276"/>
      <c r="E321" s="276"/>
      <c r="F321" s="276"/>
      <c r="G321" s="276"/>
      <c r="H321" s="276"/>
      <c r="I321" s="276"/>
      <c r="J321" s="276"/>
      <c r="K321" s="276"/>
      <c r="L321" s="276"/>
      <c r="M321" s="276"/>
      <c r="N321" s="276"/>
      <c r="O321" s="276"/>
      <c r="P321" s="276"/>
      <c r="Q321" s="276"/>
      <c r="R321" s="276"/>
      <c r="S321" s="276"/>
      <c r="T321" s="276"/>
      <c r="U321" s="276"/>
      <c r="V321" s="276"/>
      <c r="W321" s="276"/>
      <c r="X321" s="276"/>
      <c r="Y321" s="276"/>
      <c r="Z321" s="276"/>
    </row>
    <row r="322" spans="1:26" ht="18.75" customHeight="1">
      <c r="A322" s="276"/>
      <c r="B322" s="276"/>
      <c r="C322" s="276"/>
      <c r="D322" s="276"/>
      <c r="E322" s="276"/>
      <c r="F322" s="276"/>
      <c r="G322" s="276"/>
      <c r="H322" s="276"/>
      <c r="I322" s="276"/>
      <c r="J322" s="276"/>
      <c r="K322" s="276"/>
      <c r="L322" s="276"/>
      <c r="M322" s="276"/>
      <c r="N322" s="276"/>
      <c r="O322" s="276"/>
      <c r="P322" s="276"/>
      <c r="Q322" s="276"/>
      <c r="R322" s="276"/>
      <c r="S322" s="276"/>
      <c r="T322" s="276"/>
      <c r="U322" s="276"/>
      <c r="V322" s="276"/>
      <c r="W322" s="276"/>
      <c r="X322" s="276"/>
      <c r="Y322" s="276"/>
      <c r="Z322" s="276"/>
    </row>
    <row r="323" spans="1:26" ht="18.75" customHeight="1">
      <c r="A323" s="276"/>
      <c r="B323" s="276"/>
      <c r="C323" s="276"/>
      <c r="D323" s="276"/>
      <c r="E323" s="276"/>
      <c r="F323" s="276"/>
      <c r="G323" s="276"/>
      <c r="H323" s="276"/>
      <c r="I323" s="276"/>
      <c r="J323" s="276"/>
      <c r="K323" s="276"/>
      <c r="L323" s="276"/>
      <c r="M323" s="276"/>
      <c r="N323" s="276"/>
      <c r="O323" s="276"/>
      <c r="P323" s="276"/>
      <c r="Q323" s="276"/>
      <c r="R323" s="276"/>
      <c r="S323" s="276"/>
      <c r="T323" s="276"/>
      <c r="U323" s="276"/>
      <c r="V323" s="276"/>
      <c r="W323" s="276"/>
      <c r="X323" s="276"/>
      <c r="Y323" s="276"/>
      <c r="Z323" s="276"/>
    </row>
    <row r="324" spans="1:26" ht="18.75" customHeight="1">
      <c r="A324" s="276"/>
      <c r="B324" s="276"/>
      <c r="C324" s="276"/>
      <c r="D324" s="276"/>
      <c r="E324" s="276"/>
      <c r="F324" s="276"/>
      <c r="G324" s="276"/>
      <c r="H324" s="276"/>
      <c r="I324" s="276"/>
      <c r="J324" s="276"/>
      <c r="K324" s="276"/>
      <c r="L324" s="276"/>
      <c r="M324" s="276"/>
      <c r="N324" s="276"/>
      <c r="O324" s="276"/>
      <c r="P324" s="276"/>
      <c r="Q324" s="276"/>
      <c r="R324" s="276"/>
      <c r="S324" s="276"/>
      <c r="T324" s="276"/>
      <c r="U324" s="276"/>
      <c r="V324" s="276"/>
      <c r="W324" s="276"/>
      <c r="X324" s="276"/>
      <c r="Y324" s="276"/>
      <c r="Z324" s="276"/>
    </row>
    <row r="325" spans="1:26" ht="18.75" customHeight="1">
      <c r="A325" s="276"/>
      <c r="B325" s="276"/>
      <c r="C325" s="276"/>
      <c r="D325" s="276"/>
      <c r="E325" s="276"/>
      <c r="F325" s="276"/>
      <c r="G325" s="276"/>
      <c r="H325" s="276"/>
      <c r="I325" s="276"/>
      <c r="J325" s="276"/>
      <c r="K325" s="276"/>
      <c r="L325" s="276"/>
      <c r="M325" s="276"/>
      <c r="N325" s="276"/>
      <c r="O325" s="276"/>
      <c r="P325" s="276"/>
      <c r="Q325" s="276"/>
      <c r="R325" s="276"/>
      <c r="S325" s="276"/>
      <c r="T325" s="276"/>
      <c r="U325" s="276"/>
      <c r="V325" s="276"/>
      <c r="W325" s="276"/>
      <c r="X325" s="276"/>
      <c r="Y325" s="276"/>
      <c r="Z325" s="276"/>
    </row>
    <row r="326" spans="1:26" ht="18.75" customHeight="1">
      <c r="A326" s="276"/>
      <c r="B326" s="276"/>
      <c r="C326" s="276"/>
      <c r="D326" s="276"/>
      <c r="E326" s="276"/>
      <c r="F326" s="276"/>
      <c r="G326" s="276"/>
      <c r="H326" s="276"/>
      <c r="I326" s="276"/>
      <c r="J326" s="276"/>
      <c r="K326" s="276"/>
      <c r="L326" s="276"/>
      <c r="M326" s="276"/>
      <c r="N326" s="276"/>
      <c r="O326" s="276"/>
      <c r="P326" s="276"/>
      <c r="Q326" s="276"/>
      <c r="R326" s="276"/>
      <c r="S326" s="276"/>
      <c r="T326" s="276"/>
      <c r="U326" s="276"/>
      <c r="V326" s="276"/>
      <c r="W326" s="276"/>
      <c r="X326" s="276"/>
      <c r="Y326" s="276"/>
      <c r="Z326" s="276"/>
    </row>
    <row r="327" spans="1:26" ht="18.75" customHeight="1">
      <c r="A327" s="276"/>
      <c r="B327" s="276"/>
      <c r="C327" s="276"/>
      <c r="D327" s="276"/>
      <c r="E327" s="276"/>
      <c r="F327" s="276"/>
      <c r="G327" s="276"/>
      <c r="H327" s="276"/>
      <c r="I327" s="276"/>
      <c r="J327" s="276"/>
      <c r="K327" s="276"/>
      <c r="L327" s="276"/>
      <c r="M327" s="276"/>
      <c r="N327" s="276"/>
      <c r="O327" s="276"/>
      <c r="P327" s="276"/>
      <c r="Q327" s="276"/>
      <c r="R327" s="276"/>
      <c r="S327" s="276"/>
      <c r="T327" s="276"/>
      <c r="U327" s="276"/>
      <c r="V327" s="276"/>
      <c r="W327" s="276"/>
      <c r="X327" s="276"/>
      <c r="Y327" s="276"/>
      <c r="Z327" s="276"/>
    </row>
    <row r="328" spans="1:26" ht="18.75" customHeight="1">
      <c r="A328" s="276"/>
      <c r="B328" s="276"/>
      <c r="C328" s="276"/>
      <c r="D328" s="276"/>
      <c r="E328" s="276"/>
      <c r="F328" s="276"/>
      <c r="G328" s="276"/>
      <c r="H328" s="276"/>
      <c r="I328" s="276"/>
      <c r="J328" s="276"/>
      <c r="K328" s="276"/>
      <c r="L328" s="276"/>
      <c r="M328" s="276"/>
      <c r="N328" s="276"/>
      <c r="O328" s="276"/>
      <c r="P328" s="276"/>
      <c r="Q328" s="276"/>
      <c r="R328" s="276"/>
      <c r="S328" s="276"/>
      <c r="T328" s="276"/>
      <c r="U328" s="276"/>
      <c r="V328" s="276"/>
      <c r="W328" s="276"/>
      <c r="X328" s="276"/>
      <c r="Y328" s="276"/>
      <c r="Z328" s="276"/>
    </row>
    <row r="329" spans="1:26" ht="18.75" customHeight="1">
      <c r="A329" s="276"/>
      <c r="B329" s="276"/>
      <c r="C329" s="276"/>
      <c r="D329" s="276"/>
      <c r="E329" s="276"/>
      <c r="F329" s="276"/>
      <c r="G329" s="276"/>
      <c r="H329" s="276"/>
      <c r="I329" s="276"/>
      <c r="J329" s="276"/>
      <c r="K329" s="276"/>
      <c r="L329" s="276"/>
      <c r="M329" s="276"/>
      <c r="N329" s="276"/>
      <c r="O329" s="276"/>
      <c r="P329" s="276"/>
      <c r="Q329" s="276"/>
      <c r="R329" s="276"/>
      <c r="S329" s="276"/>
      <c r="T329" s="276"/>
      <c r="U329" s="276"/>
      <c r="V329" s="276"/>
      <c r="W329" s="276"/>
      <c r="X329" s="276"/>
      <c r="Y329" s="276"/>
      <c r="Z329" s="276"/>
    </row>
    <row r="330" spans="1:26" ht="18.75" customHeight="1">
      <c r="A330" s="276"/>
      <c r="B330" s="276"/>
      <c r="C330" s="276"/>
      <c r="D330" s="276"/>
      <c r="E330" s="276"/>
      <c r="F330" s="276"/>
      <c r="G330" s="276"/>
      <c r="H330" s="276"/>
      <c r="I330" s="276"/>
      <c r="J330" s="276"/>
      <c r="K330" s="276"/>
      <c r="L330" s="276"/>
      <c r="M330" s="276"/>
      <c r="N330" s="276"/>
      <c r="O330" s="276"/>
      <c r="P330" s="276"/>
      <c r="Q330" s="276"/>
      <c r="R330" s="276"/>
      <c r="S330" s="276"/>
      <c r="T330" s="276"/>
      <c r="U330" s="276"/>
      <c r="V330" s="276"/>
      <c r="W330" s="276"/>
      <c r="X330" s="276"/>
      <c r="Y330" s="276"/>
      <c r="Z330" s="276"/>
    </row>
    <row r="331" spans="1:26" ht="18.75" customHeight="1">
      <c r="A331" s="276"/>
      <c r="B331" s="276"/>
      <c r="C331" s="276"/>
      <c r="D331" s="276"/>
      <c r="E331" s="276"/>
      <c r="F331" s="276"/>
      <c r="G331" s="276"/>
      <c r="H331" s="276"/>
      <c r="I331" s="276"/>
      <c r="J331" s="276"/>
      <c r="K331" s="276"/>
      <c r="L331" s="276"/>
      <c r="M331" s="276"/>
      <c r="N331" s="276"/>
      <c r="O331" s="276"/>
      <c r="P331" s="276"/>
      <c r="Q331" s="276"/>
      <c r="R331" s="276"/>
      <c r="S331" s="276"/>
      <c r="T331" s="276"/>
      <c r="U331" s="276"/>
      <c r="V331" s="276"/>
      <c r="W331" s="276"/>
      <c r="X331" s="276"/>
      <c r="Y331" s="276"/>
      <c r="Z331" s="276"/>
    </row>
    <row r="332" spans="1:26" ht="18.75" customHeight="1">
      <c r="A332" s="276"/>
      <c r="B332" s="276"/>
      <c r="C332" s="276"/>
      <c r="D332" s="276"/>
      <c r="E332" s="276"/>
      <c r="F332" s="276"/>
      <c r="G332" s="276"/>
      <c r="H332" s="276"/>
      <c r="I332" s="276"/>
      <c r="J332" s="276"/>
      <c r="K332" s="276"/>
      <c r="L332" s="276"/>
      <c r="M332" s="276"/>
      <c r="N332" s="276"/>
      <c r="O332" s="276"/>
      <c r="P332" s="276"/>
      <c r="Q332" s="276"/>
      <c r="R332" s="276"/>
      <c r="S332" s="276"/>
      <c r="T332" s="276"/>
      <c r="U332" s="276"/>
      <c r="V332" s="276"/>
      <c r="W332" s="276"/>
      <c r="X332" s="276"/>
      <c r="Y332" s="276"/>
      <c r="Z332" s="276"/>
    </row>
    <row r="333" spans="1:26" ht="18.75" customHeight="1">
      <c r="A333" s="276"/>
      <c r="B333" s="276"/>
      <c r="C333" s="276"/>
      <c r="D333" s="276"/>
      <c r="E333" s="276"/>
      <c r="F333" s="276"/>
      <c r="G333" s="276"/>
      <c r="H333" s="276"/>
      <c r="I333" s="276"/>
      <c r="J333" s="276"/>
      <c r="K333" s="276"/>
      <c r="L333" s="276"/>
      <c r="M333" s="276"/>
      <c r="N333" s="276"/>
      <c r="O333" s="276"/>
      <c r="P333" s="276"/>
      <c r="Q333" s="276"/>
      <c r="R333" s="276"/>
      <c r="S333" s="276"/>
      <c r="T333" s="276"/>
      <c r="U333" s="276"/>
      <c r="V333" s="276"/>
      <c r="W333" s="276"/>
      <c r="X333" s="276"/>
      <c r="Y333" s="276"/>
      <c r="Z333" s="276"/>
    </row>
    <row r="334" spans="1:26" ht="18.75" customHeight="1">
      <c r="A334" s="276"/>
      <c r="B334" s="276"/>
      <c r="C334" s="276"/>
      <c r="D334" s="276"/>
      <c r="E334" s="276"/>
      <c r="F334" s="276"/>
      <c r="G334" s="276"/>
      <c r="H334" s="276"/>
      <c r="I334" s="276"/>
      <c r="J334" s="276"/>
      <c r="K334" s="276"/>
      <c r="L334" s="276"/>
      <c r="M334" s="276"/>
      <c r="N334" s="276"/>
      <c r="O334" s="276"/>
      <c r="P334" s="276"/>
      <c r="Q334" s="276"/>
      <c r="R334" s="276"/>
      <c r="S334" s="276"/>
      <c r="T334" s="276"/>
      <c r="U334" s="276"/>
      <c r="V334" s="276"/>
      <c r="W334" s="276"/>
      <c r="X334" s="276"/>
      <c r="Y334" s="276"/>
      <c r="Z334" s="276"/>
    </row>
    <row r="335" spans="1:26" ht="18.75" customHeight="1">
      <c r="A335" s="276"/>
      <c r="B335" s="276"/>
      <c r="C335" s="276"/>
      <c r="D335" s="276"/>
      <c r="E335" s="276"/>
      <c r="F335" s="276"/>
      <c r="G335" s="276"/>
      <c r="H335" s="276"/>
      <c r="I335" s="276"/>
      <c r="J335" s="276"/>
      <c r="K335" s="276"/>
      <c r="L335" s="276"/>
      <c r="M335" s="276"/>
      <c r="N335" s="276"/>
      <c r="O335" s="276"/>
      <c r="P335" s="276"/>
      <c r="Q335" s="276"/>
      <c r="R335" s="276"/>
      <c r="S335" s="276"/>
      <c r="T335" s="276"/>
      <c r="U335" s="276"/>
      <c r="V335" s="276"/>
      <c r="W335" s="276"/>
      <c r="X335" s="276"/>
      <c r="Y335" s="276"/>
      <c r="Z335" s="276"/>
    </row>
    <row r="336" spans="1:26" ht="18.75" customHeight="1">
      <c r="A336" s="276"/>
      <c r="B336" s="276"/>
      <c r="C336" s="276"/>
      <c r="D336" s="276"/>
      <c r="E336" s="276"/>
      <c r="F336" s="276"/>
      <c r="G336" s="276"/>
      <c r="H336" s="276"/>
      <c r="I336" s="276"/>
      <c r="J336" s="276"/>
      <c r="K336" s="276"/>
      <c r="L336" s="276"/>
      <c r="M336" s="276"/>
      <c r="N336" s="276"/>
      <c r="O336" s="276"/>
      <c r="P336" s="276"/>
      <c r="Q336" s="276"/>
      <c r="R336" s="276"/>
      <c r="S336" s="276"/>
      <c r="T336" s="276"/>
      <c r="U336" s="276"/>
      <c r="V336" s="276"/>
      <c r="W336" s="276"/>
      <c r="X336" s="276"/>
      <c r="Y336" s="276"/>
      <c r="Z336" s="276"/>
    </row>
    <row r="337" spans="1:26" ht="18.75" customHeight="1">
      <c r="A337" s="276"/>
      <c r="B337" s="276"/>
      <c r="C337" s="276"/>
      <c r="D337" s="276"/>
      <c r="E337" s="276"/>
      <c r="F337" s="276"/>
      <c r="G337" s="276"/>
      <c r="H337" s="276"/>
      <c r="I337" s="276"/>
      <c r="J337" s="276"/>
      <c r="K337" s="276"/>
      <c r="L337" s="276"/>
      <c r="M337" s="276"/>
      <c r="N337" s="276"/>
      <c r="O337" s="276"/>
      <c r="P337" s="276"/>
      <c r="Q337" s="276"/>
      <c r="R337" s="276"/>
      <c r="S337" s="276"/>
      <c r="T337" s="276"/>
      <c r="U337" s="276"/>
      <c r="V337" s="276"/>
      <c r="W337" s="276"/>
      <c r="X337" s="276"/>
      <c r="Y337" s="276"/>
      <c r="Z337" s="276"/>
    </row>
    <row r="338" spans="1:26" ht="18.75" customHeight="1">
      <c r="A338" s="276"/>
      <c r="B338" s="276"/>
      <c r="C338" s="276"/>
      <c r="D338" s="276"/>
      <c r="E338" s="276"/>
      <c r="F338" s="276"/>
      <c r="G338" s="276"/>
      <c r="H338" s="276"/>
      <c r="I338" s="276"/>
      <c r="J338" s="276"/>
      <c r="K338" s="276"/>
      <c r="L338" s="276"/>
      <c r="M338" s="276"/>
      <c r="N338" s="276"/>
      <c r="O338" s="276"/>
      <c r="P338" s="276"/>
      <c r="Q338" s="276"/>
      <c r="R338" s="276"/>
      <c r="S338" s="276"/>
      <c r="T338" s="276"/>
      <c r="U338" s="276"/>
      <c r="V338" s="276"/>
      <c r="W338" s="276"/>
      <c r="X338" s="276"/>
      <c r="Y338" s="276"/>
      <c r="Z338" s="276"/>
    </row>
    <row r="339" spans="1:26" ht="18.75" customHeight="1">
      <c r="A339" s="276"/>
      <c r="B339" s="276"/>
      <c r="C339" s="276"/>
      <c r="D339" s="276"/>
      <c r="E339" s="276"/>
      <c r="F339" s="276"/>
      <c r="G339" s="276"/>
      <c r="H339" s="276"/>
      <c r="I339" s="276"/>
      <c r="J339" s="276"/>
      <c r="K339" s="276"/>
      <c r="L339" s="276"/>
      <c r="M339" s="276"/>
      <c r="N339" s="276"/>
      <c r="O339" s="276"/>
      <c r="P339" s="276"/>
      <c r="Q339" s="276"/>
      <c r="R339" s="276"/>
      <c r="S339" s="276"/>
      <c r="T339" s="276"/>
      <c r="U339" s="276"/>
      <c r="V339" s="276"/>
      <c r="W339" s="276"/>
      <c r="X339" s="276"/>
      <c r="Y339" s="276"/>
      <c r="Z339" s="276"/>
    </row>
    <row r="340" spans="1:26" ht="18.75" customHeight="1">
      <c r="A340" s="276"/>
      <c r="B340" s="276"/>
      <c r="C340" s="276"/>
      <c r="D340" s="276"/>
      <c r="E340" s="276"/>
      <c r="F340" s="276"/>
      <c r="G340" s="276"/>
      <c r="H340" s="276"/>
      <c r="I340" s="276"/>
      <c r="J340" s="276"/>
      <c r="K340" s="276"/>
      <c r="L340" s="276"/>
      <c r="M340" s="276"/>
      <c r="N340" s="276"/>
      <c r="O340" s="276"/>
      <c r="P340" s="276"/>
      <c r="Q340" s="276"/>
      <c r="R340" s="276"/>
      <c r="S340" s="276"/>
      <c r="T340" s="276"/>
      <c r="U340" s="276"/>
      <c r="V340" s="276"/>
      <c r="W340" s="276"/>
      <c r="X340" s="276"/>
      <c r="Y340" s="276"/>
      <c r="Z340" s="276"/>
    </row>
    <row r="341" spans="1:26" ht="18.75" customHeight="1">
      <c r="A341" s="276"/>
      <c r="B341" s="276"/>
      <c r="C341" s="276"/>
      <c r="D341" s="276"/>
      <c r="E341" s="276"/>
      <c r="F341" s="276"/>
      <c r="G341" s="276"/>
      <c r="H341" s="276"/>
      <c r="I341" s="276"/>
      <c r="J341" s="276"/>
      <c r="K341" s="276"/>
      <c r="L341" s="276"/>
      <c r="M341" s="276"/>
      <c r="N341" s="276"/>
      <c r="O341" s="276"/>
      <c r="P341" s="276"/>
      <c r="Q341" s="276"/>
      <c r="R341" s="276"/>
      <c r="S341" s="276"/>
      <c r="T341" s="276"/>
      <c r="U341" s="276"/>
      <c r="V341" s="276"/>
      <c r="W341" s="276"/>
      <c r="X341" s="276"/>
      <c r="Y341" s="276"/>
      <c r="Z341" s="276"/>
    </row>
    <row r="342" spans="1:26" ht="18.75" customHeight="1">
      <c r="A342" s="276"/>
      <c r="B342" s="276"/>
      <c r="C342" s="276"/>
      <c r="D342" s="276"/>
      <c r="E342" s="276"/>
      <c r="F342" s="276"/>
      <c r="G342" s="276"/>
      <c r="H342" s="276"/>
      <c r="I342" s="276"/>
      <c r="J342" s="276"/>
      <c r="K342" s="276"/>
      <c r="L342" s="276"/>
      <c r="M342" s="276"/>
      <c r="N342" s="276"/>
      <c r="O342" s="276"/>
      <c r="P342" s="276"/>
      <c r="Q342" s="276"/>
      <c r="R342" s="276"/>
      <c r="S342" s="276"/>
      <c r="T342" s="276"/>
      <c r="U342" s="276"/>
      <c r="V342" s="276"/>
      <c r="W342" s="276"/>
      <c r="X342" s="276"/>
      <c r="Y342" s="276"/>
      <c r="Z342" s="276"/>
    </row>
    <row r="343" spans="1:26" ht="18.75" customHeight="1">
      <c r="A343" s="276"/>
      <c r="B343" s="276"/>
      <c r="C343" s="276"/>
      <c r="D343" s="276"/>
      <c r="E343" s="276"/>
      <c r="F343" s="276"/>
      <c r="G343" s="276"/>
      <c r="H343" s="276"/>
      <c r="I343" s="276"/>
      <c r="J343" s="276"/>
      <c r="K343" s="276"/>
      <c r="L343" s="276"/>
      <c r="M343" s="276"/>
      <c r="N343" s="276"/>
      <c r="O343" s="276"/>
      <c r="P343" s="276"/>
      <c r="Q343" s="276"/>
      <c r="R343" s="276"/>
      <c r="S343" s="276"/>
      <c r="T343" s="276"/>
      <c r="U343" s="276"/>
      <c r="V343" s="276"/>
      <c r="W343" s="276"/>
      <c r="X343" s="276"/>
      <c r="Y343" s="276"/>
      <c r="Z343" s="276"/>
    </row>
    <row r="344" spans="1:26" ht="18.75" customHeight="1">
      <c r="A344" s="276"/>
      <c r="B344" s="276"/>
      <c r="C344" s="276"/>
      <c r="D344" s="276"/>
      <c r="E344" s="276"/>
      <c r="F344" s="276"/>
      <c r="G344" s="276"/>
      <c r="H344" s="276"/>
      <c r="I344" s="276"/>
      <c r="J344" s="276"/>
      <c r="K344" s="276"/>
      <c r="L344" s="276"/>
      <c r="M344" s="276"/>
      <c r="N344" s="276"/>
      <c r="O344" s="276"/>
      <c r="P344" s="276"/>
      <c r="Q344" s="276"/>
      <c r="R344" s="276"/>
      <c r="S344" s="276"/>
      <c r="T344" s="276"/>
      <c r="U344" s="276"/>
      <c r="V344" s="276"/>
      <c r="W344" s="276"/>
      <c r="X344" s="276"/>
      <c r="Y344" s="276"/>
      <c r="Z344" s="276"/>
    </row>
    <row r="345" spans="1:26" ht="18.75" customHeight="1">
      <c r="A345" s="276"/>
      <c r="B345" s="276"/>
      <c r="C345" s="276"/>
      <c r="D345" s="276"/>
      <c r="E345" s="276"/>
      <c r="F345" s="276"/>
      <c r="G345" s="276"/>
      <c r="H345" s="276"/>
      <c r="I345" s="276"/>
      <c r="J345" s="276"/>
      <c r="K345" s="276"/>
      <c r="L345" s="276"/>
      <c r="M345" s="276"/>
      <c r="N345" s="276"/>
      <c r="O345" s="276"/>
      <c r="P345" s="276"/>
      <c r="Q345" s="276"/>
      <c r="R345" s="276"/>
      <c r="S345" s="276"/>
      <c r="T345" s="276"/>
      <c r="U345" s="276"/>
      <c r="V345" s="276"/>
      <c r="W345" s="276"/>
      <c r="X345" s="276"/>
      <c r="Y345" s="276"/>
      <c r="Z345" s="276"/>
    </row>
    <row r="346" spans="1:26" ht="18.75" customHeight="1">
      <c r="A346" s="276"/>
      <c r="B346" s="276"/>
      <c r="C346" s="276"/>
      <c r="D346" s="276"/>
      <c r="E346" s="276"/>
      <c r="F346" s="276"/>
      <c r="G346" s="276"/>
      <c r="H346" s="276"/>
      <c r="I346" s="276"/>
      <c r="J346" s="276"/>
      <c r="K346" s="276"/>
      <c r="L346" s="276"/>
      <c r="M346" s="276"/>
      <c r="N346" s="276"/>
      <c r="O346" s="276"/>
      <c r="P346" s="276"/>
      <c r="Q346" s="276"/>
      <c r="R346" s="276"/>
      <c r="S346" s="276"/>
      <c r="T346" s="276"/>
      <c r="U346" s="276"/>
      <c r="V346" s="276"/>
      <c r="W346" s="276"/>
      <c r="X346" s="276"/>
      <c r="Y346" s="276"/>
      <c r="Z346" s="276"/>
    </row>
    <row r="347" spans="1:26" ht="18.75" customHeight="1">
      <c r="A347" s="276"/>
      <c r="B347" s="276"/>
      <c r="C347" s="276"/>
      <c r="D347" s="276"/>
      <c r="E347" s="276"/>
      <c r="F347" s="276"/>
      <c r="G347" s="276"/>
      <c r="H347" s="276"/>
      <c r="I347" s="276"/>
      <c r="J347" s="276"/>
      <c r="K347" s="276"/>
      <c r="L347" s="276"/>
      <c r="M347" s="276"/>
      <c r="N347" s="276"/>
      <c r="O347" s="276"/>
      <c r="P347" s="276"/>
      <c r="Q347" s="276"/>
      <c r="R347" s="276"/>
      <c r="S347" s="276"/>
      <c r="T347" s="276"/>
      <c r="U347" s="276"/>
      <c r="V347" s="276"/>
      <c r="W347" s="276"/>
      <c r="X347" s="276"/>
      <c r="Y347" s="276"/>
      <c r="Z347" s="276"/>
    </row>
    <row r="348" spans="1:26" ht="18.75" customHeight="1">
      <c r="A348" s="276"/>
      <c r="B348" s="276"/>
      <c r="C348" s="276"/>
      <c r="D348" s="276"/>
      <c r="E348" s="276"/>
      <c r="F348" s="276"/>
      <c r="G348" s="276"/>
      <c r="H348" s="276"/>
      <c r="I348" s="276"/>
      <c r="J348" s="276"/>
      <c r="K348" s="276"/>
      <c r="L348" s="276"/>
      <c r="M348" s="276"/>
      <c r="N348" s="276"/>
      <c r="O348" s="276"/>
      <c r="P348" s="276"/>
      <c r="Q348" s="276"/>
      <c r="R348" s="276"/>
      <c r="S348" s="276"/>
      <c r="T348" s="276"/>
      <c r="U348" s="276"/>
      <c r="V348" s="276"/>
      <c r="W348" s="276"/>
      <c r="X348" s="276"/>
      <c r="Y348" s="276"/>
      <c r="Z348" s="276"/>
    </row>
    <row r="349" spans="1:26" ht="18.75" customHeight="1">
      <c r="A349" s="276"/>
      <c r="B349" s="276"/>
      <c r="C349" s="276"/>
      <c r="D349" s="276"/>
      <c r="E349" s="276"/>
      <c r="F349" s="276"/>
      <c r="G349" s="276"/>
      <c r="H349" s="276"/>
      <c r="I349" s="276"/>
      <c r="J349" s="276"/>
      <c r="K349" s="276"/>
      <c r="L349" s="276"/>
      <c r="M349" s="276"/>
      <c r="N349" s="276"/>
      <c r="O349" s="276"/>
      <c r="P349" s="276"/>
      <c r="Q349" s="276"/>
      <c r="R349" s="276"/>
      <c r="S349" s="276"/>
      <c r="T349" s="276"/>
      <c r="U349" s="276"/>
      <c r="V349" s="276"/>
      <c r="W349" s="276"/>
      <c r="X349" s="276"/>
      <c r="Y349" s="276"/>
      <c r="Z349" s="276"/>
    </row>
    <row r="350" spans="1:26" ht="18.75" customHeight="1">
      <c r="A350" s="276"/>
      <c r="B350" s="276"/>
      <c r="C350" s="276"/>
      <c r="D350" s="276"/>
      <c r="E350" s="276"/>
      <c r="F350" s="276"/>
      <c r="G350" s="276"/>
      <c r="H350" s="276"/>
      <c r="I350" s="276"/>
      <c r="J350" s="276"/>
      <c r="K350" s="276"/>
      <c r="L350" s="276"/>
      <c r="M350" s="276"/>
      <c r="N350" s="276"/>
      <c r="O350" s="276"/>
      <c r="P350" s="276"/>
      <c r="Q350" s="276"/>
      <c r="R350" s="276"/>
      <c r="S350" s="276"/>
      <c r="T350" s="276"/>
      <c r="U350" s="276"/>
      <c r="V350" s="276"/>
      <c r="W350" s="276"/>
      <c r="X350" s="276"/>
      <c r="Y350" s="276"/>
      <c r="Z350" s="276"/>
    </row>
    <row r="351" spans="1:26" ht="18.75" customHeight="1">
      <c r="A351" s="276"/>
      <c r="B351" s="276"/>
      <c r="C351" s="276"/>
      <c r="D351" s="276"/>
      <c r="E351" s="276"/>
      <c r="F351" s="276"/>
      <c r="G351" s="276"/>
      <c r="H351" s="276"/>
      <c r="I351" s="276"/>
      <c r="J351" s="276"/>
      <c r="K351" s="276"/>
      <c r="L351" s="276"/>
      <c r="M351" s="276"/>
      <c r="N351" s="276"/>
      <c r="O351" s="276"/>
      <c r="P351" s="276"/>
      <c r="Q351" s="276"/>
      <c r="R351" s="276"/>
      <c r="S351" s="276"/>
      <c r="T351" s="276"/>
      <c r="U351" s="276"/>
      <c r="V351" s="276"/>
      <c r="W351" s="276"/>
      <c r="X351" s="276"/>
      <c r="Y351" s="276"/>
      <c r="Z351" s="276"/>
    </row>
    <row r="352" spans="1:26" ht="18.75" customHeight="1">
      <c r="A352" s="276"/>
      <c r="B352" s="276"/>
      <c r="C352" s="276"/>
      <c r="D352" s="276"/>
      <c r="E352" s="276"/>
      <c r="F352" s="276"/>
      <c r="G352" s="276"/>
      <c r="H352" s="276"/>
      <c r="I352" s="276"/>
      <c r="J352" s="276"/>
      <c r="K352" s="276"/>
      <c r="L352" s="276"/>
      <c r="M352" s="276"/>
      <c r="N352" s="276"/>
      <c r="O352" s="276"/>
      <c r="P352" s="276"/>
      <c r="Q352" s="276"/>
      <c r="R352" s="276"/>
      <c r="S352" s="276"/>
      <c r="T352" s="276"/>
      <c r="U352" s="276"/>
      <c r="V352" s="276"/>
      <c r="W352" s="276"/>
      <c r="X352" s="276"/>
      <c r="Y352" s="276"/>
      <c r="Z352" s="276"/>
    </row>
    <row r="353" spans="1:26" ht="18.75" customHeight="1">
      <c r="A353" s="276"/>
      <c r="B353" s="276"/>
      <c r="C353" s="276"/>
      <c r="D353" s="276"/>
      <c r="E353" s="276"/>
      <c r="F353" s="276"/>
      <c r="G353" s="276"/>
      <c r="H353" s="276"/>
      <c r="I353" s="276"/>
      <c r="J353" s="276"/>
      <c r="K353" s="276"/>
      <c r="L353" s="276"/>
      <c r="M353" s="276"/>
      <c r="N353" s="276"/>
      <c r="O353" s="276"/>
      <c r="P353" s="276"/>
      <c r="Q353" s="276"/>
      <c r="R353" s="276"/>
      <c r="S353" s="276"/>
      <c r="T353" s="276"/>
      <c r="U353" s="276"/>
      <c r="V353" s="276"/>
      <c r="W353" s="276"/>
      <c r="X353" s="276"/>
      <c r="Y353" s="276"/>
      <c r="Z353" s="276"/>
    </row>
    <row r="354" spans="1:26" ht="18.75" customHeight="1">
      <c r="A354" s="276"/>
      <c r="B354" s="276"/>
      <c r="C354" s="276"/>
      <c r="D354" s="276"/>
      <c r="E354" s="276"/>
      <c r="F354" s="276"/>
      <c r="G354" s="276"/>
      <c r="H354" s="276"/>
      <c r="I354" s="276"/>
      <c r="J354" s="276"/>
      <c r="K354" s="276"/>
      <c r="L354" s="276"/>
      <c r="M354" s="276"/>
      <c r="N354" s="276"/>
      <c r="O354" s="276"/>
      <c r="P354" s="276"/>
      <c r="Q354" s="276"/>
      <c r="R354" s="276"/>
      <c r="S354" s="276"/>
      <c r="T354" s="276"/>
      <c r="U354" s="276"/>
      <c r="V354" s="276"/>
      <c r="W354" s="276"/>
      <c r="X354" s="276"/>
      <c r="Y354" s="276"/>
      <c r="Z354" s="276"/>
    </row>
    <row r="355" spans="1:26" ht="18.75" customHeight="1">
      <c r="A355" s="276"/>
      <c r="B355" s="276"/>
      <c r="C355" s="276"/>
      <c r="D355" s="276"/>
      <c r="E355" s="276"/>
      <c r="F355" s="276"/>
      <c r="G355" s="276"/>
      <c r="H355" s="276"/>
      <c r="I355" s="276"/>
      <c r="J355" s="276"/>
      <c r="K355" s="276"/>
      <c r="L355" s="276"/>
      <c r="M355" s="276"/>
      <c r="N355" s="276"/>
      <c r="O355" s="276"/>
      <c r="P355" s="276"/>
      <c r="Q355" s="276"/>
      <c r="R355" s="276"/>
      <c r="S355" s="276"/>
      <c r="T355" s="276"/>
      <c r="U355" s="276"/>
      <c r="V355" s="276"/>
      <c r="W355" s="276"/>
      <c r="X355" s="276"/>
      <c r="Y355" s="276"/>
      <c r="Z355" s="276"/>
    </row>
    <row r="356" spans="1:26" ht="18.75" customHeight="1">
      <c r="A356" s="276"/>
      <c r="B356" s="276"/>
      <c r="C356" s="276"/>
      <c r="D356" s="276"/>
      <c r="E356" s="276"/>
      <c r="F356" s="276"/>
      <c r="G356" s="276"/>
      <c r="H356" s="276"/>
      <c r="I356" s="276"/>
      <c r="J356" s="276"/>
      <c r="K356" s="276"/>
      <c r="L356" s="276"/>
      <c r="M356" s="276"/>
      <c r="N356" s="276"/>
      <c r="O356" s="276"/>
      <c r="P356" s="276"/>
      <c r="Q356" s="276"/>
      <c r="R356" s="276"/>
      <c r="S356" s="276"/>
      <c r="T356" s="276"/>
      <c r="U356" s="276"/>
      <c r="V356" s="276"/>
      <c r="W356" s="276"/>
      <c r="X356" s="276"/>
      <c r="Y356" s="276"/>
      <c r="Z356" s="276"/>
    </row>
    <row r="357" spans="1:26" ht="18.75" customHeight="1">
      <c r="A357" s="276"/>
      <c r="B357" s="276"/>
      <c r="C357" s="276"/>
      <c r="D357" s="276"/>
      <c r="E357" s="276"/>
      <c r="F357" s="276"/>
      <c r="G357" s="276"/>
      <c r="H357" s="276"/>
      <c r="I357" s="276"/>
      <c r="J357" s="276"/>
      <c r="K357" s="276"/>
      <c r="L357" s="276"/>
      <c r="M357" s="276"/>
      <c r="N357" s="276"/>
      <c r="O357" s="276"/>
      <c r="P357" s="276"/>
      <c r="Q357" s="276"/>
      <c r="R357" s="276"/>
      <c r="S357" s="276"/>
      <c r="T357" s="276"/>
      <c r="U357" s="276"/>
      <c r="V357" s="276"/>
      <c r="W357" s="276"/>
      <c r="X357" s="276"/>
      <c r="Y357" s="276"/>
      <c r="Z357" s="276"/>
    </row>
    <row r="358" spans="1:26" ht="18.75" customHeight="1">
      <c r="A358" s="276"/>
      <c r="B358" s="276"/>
      <c r="C358" s="276"/>
      <c r="D358" s="276"/>
      <c r="E358" s="276"/>
      <c r="F358" s="276"/>
      <c r="G358" s="276"/>
      <c r="H358" s="276"/>
      <c r="I358" s="276"/>
      <c r="J358" s="276"/>
      <c r="K358" s="276"/>
      <c r="L358" s="276"/>
      <c r="M358" s="276"/>
      <c r="N358" s="276"/>
      <c r="O358" s="276"/>
      <c r="P358" s="276"/>
      <c r="Q358" s="276"/>
      <c r="R358" s="276"/>
      <c r="S358" s="276"/>
      <c r="T358" s="276"/>
      <c r="U358" s="276"/>
      <c r="V358" s="276"/>
      <c r="W358" s="276"/>
      <c r="X358" s="276"/>
      <c r="Y358" s="276"/>
      <c r="Z358" s="276"/>
    </row>
    <row r="359" spans="1:26" ht="18.75" customHeight="1">
      <c r="A359" s="276"/>
      <c r="B359" s="276"/>
      <c r="C359" s="276"/>
      <c r="D359" s="276"/>
      <c r="E359" s="276"/>
      <c r="F359" s="276"/>
      <c r="G359" s="276"/>
      <c r="H359" s="276"/>
      <c r="I359" s="276"/>
      <c r="J359" s="276"/>
      <c r="K359" s="276"/>
      <c r="L359" s="276"/>
      <c r="M359" s="276"/>
      <c r="N359" s="276"/>
      <c r="O359" s="276"/>
      <c r="P359" s="276"/>
      <c r="Q359" s="276"/>
      <c r="R359" s="276"/>
      <c r="S359" s="276"/>
      <c r="T359" s="276"/>
      <c r="U359" s="276"/>
      <c r="V359" s="276"/>
      <c r="W359" s="276"/>
      <c r="X359" s="276"/>
      <c r="Y359" s="276"/>
      <c r="Z359" s="276"/>
    </row>
    <row r="360" spans="1:26" ht="18.75" customHeight="1">
      <c r="A360" s="276"/>
      <c r="B360" s="276"/>
      <c r="C360" s="276"/>
      <c r="D360" s="276"/>
      <c r="E360" s="276"/>
      <c r="F360" s="276"/>
      <c r="G360" s="276"/>
      <c r="H360" s="276"/>
      <c r="I360" s="276"/>
      <c r="J360" s="276"/>
      <c r="K360" s="276"/>
      <c r="L360" s="276"/>
      <c r="M360" s="276"/>
      <c r="N360" s="276"/>
      <c r="O360" s="276"/>
      <c r="P360" s="276"/>
      <c r="Q360" s="276"/>
      <c r="R360" s="276"/>
      <c r="S360" s="276"/>
      <c r="T360" s="276"/>
      <c r="U360" s="276"/>
      <c r="V360" s="276"/>
      <c r="W360" s="276"/>
      <c r="X360" s="276"/>
      <c r="Y360" s="276"/>
      <c r="Z360" s="276"/>
    </row>
    <row r="361" spans="1:26" ht="18.75" customHeight="1">
      <c r="A361" s="276"/>
      <c r="B361" s="276"/>
      <c r="C361" s="276"/>
      <c r="D361" s="276"/>
      <c r="E361" s="276"/>
      <c r="F361" s="276"/>
      <c r="G361" s="276"/>
      <c r="H361" s="276"/>
      <c r="I361" s="276"/>
      <c r="J361" s="276"/>
      <c r="K361" s="276"/>
      <c r="L361" s="276"/>
      <c r="M361" s="276"/>
      <c r="N361" s="276"/>
      <c r="O361" s="276"/>
      <c r="P361" s="276"/>
      <c r="Q361" s="276"/>
      <c r="R361" s="276"/>
      <c r="S361" s="276"/>
      <c r="T361" s="276"/>
      <c r="U361" s="276"/>
      <c r="V361" s="276"/>
      <c r="W361" s="276"/>
      <c r="X361" s="276"/>
      <c r="Y361" s="276"/>
      <c r="Z361" s="276"/>
    </row>
    <row r="362" spans="1:26" ht="18.75" customHeight="1">
      <c r="A362" s="276"/>
      <c r="B362" s="276"/>
      <c r="C362" s="276"/>
      <c r="D362" s="276"/>
      <c r="E362" s="276"/>
      <c r="F362" s="276"/>
      <c r="G362" s="276"/>
      <c r="H362" s="276"/>
      <c r="I362" s="276"/>
      <c r="J362" s="276"/>
      <c r="K362" s="276"/>
      <c r="L362" s="276"/>
      <c r="M362" s="276"/>
      <c r="N362" s="276"/>
      <c r="O362" s="276"/>
      <c r="P362" s="276"/>
      <c r="Q362" s="276"/>
      <c r="R362" s="276"/>
      <c r="S362" s="276"/>
      <c r="T362" s="276"/>
      <c r="U362" s="276"/>
      <c r="V362" s="276"/>
      <c r="W362" s="276"/>
      <c r="X362" s="276"/>
      <c r="Y362" s="276"/>
      <c r="Z362" s="276"/>
    </row>
    <row r="363" spans="1:26" ht="18.75" customHeight="1">
      <c r="A363" s="276"/>
      <c r="B363" s="276"/>
      <c r="C363" s="276"/>
      <c r="D363" s="276"/>
      <c r="E363" s="276"/>
      <c r="F363" s="276"/>
      <c r="G363" s="276"/>
      <c r="H363" s="276"/>
      <c r="I363" s="276"/>
      <c r="J363" s="276"/>
      <c r="K363" s="276"/>
      <c r="L363" s="276"/>
      <c r="M363" s="276"/>
      <c r="N363" s="276"/>
      <c r="O363" s="276"/>
      <c r="P363" s="276"/>
      <c r="Q363" s="276"/>
      <c r="R363" s="276"/>
      <c r="S363" s="276"/>
      <c r="T363" s="276"/>
      <c r="U363" s="276"/>
      <c r="V363" s="276"/>
      <c r="W363" s="276"/>
      <c r="X363" s="276"/>
      <c r="Y363" s="276"/>
      <c r="Z363" s="276"/>
    </row>
    <row r="364" spans="1:26" ht="18.75" customHeight="1">
      <c r="A364" s="276"/>
      <c r="B364" s="276"/>
      <c r="C364" s="276"/>
      <c r="D364" s="276"/>
      <c r="E364" s="276"/>
      <c r="F364" s="276"/>
      <c r="G364" s="276"/>
      <c r="H364" s="276"/>
      <c r="I364" s="276"/>
      <c r="J364" s="276"/>
      <c r="K364" s="276"/>
      <c r="L364" s="276"/>
      <c r="M364" s="276"/>
      <c r="N364" s="276"/>
      <c r="O364" s="276"/>
      <c r="P364" s="276"/>
      <c r="Q364" s="276"/>
      <c r="R364" s="276"/>
      <c r="S364" s="276"/>
      <c r="T364" s="276"/>
      <c r="U364" s="276"/>
      <c r="V364" s="276"/>
      <c r="W364" s="276"/>
      <c r="X364" s="276"/>
      <c r="Y364" s="276"/>
      <c r="Z364" s="276"/>
    </row>
    <row r="365" spans="1:26" ht="18.75" customHeight="1">
      <c r="A365" s="276"/>
      <c r="B365" s="276"/>
      <c r="C365" s="276"/>
      <c r="D365" s="276"/>
      <c r="E365" s="276"/>
      <c r="F365" s="276"/>
      <c r="G365" s="276"/>
      <c r="H365" s="276"/>
      <c r="I365" s="276"/>
      <c r="J365" s="276"/>
      <c r="K365" s="276"/>
      <c r="L365" s="276"/>
      <c r="M365" s="276"/>
      <c r="N365" s="276"/>
      <c r="O365" s="276"/>
      <c r="P365" s="276"/>
      <c r="Q365" s="276"/>
      <c r="R365" s="276"/>
      <c r="S365" s="276"/>
      <c r="T365" s="276"/>
      <c r="U365" s="276"/>
      <c r="V365" s="276"/>
      <c r="W365" s="276"/>
      <c r="X365" s="276"/>
      <c r="Y365" s="276"/>
      <c r="Z365" s="276"/>
    </row>
    <row r="366" spans="1:26" ht="18.75" customHeight="1">
      <c r="A366" s="276"/>
      <c r="B366" s="276"/>
      <c r="C366" s="276"/>
      <c r="D366" s="276"/>
      <c r="E366" s="276"/>
      <c r="F366" s="276"/>
      <c r="G366" s="276"/>
      <c r="H366" s="276"/>
      <c r="I366" s="276"/>
      <c r="J366" s="276"/>
      <c r="K366" s="276"/>
      <c r="L366" s="276"/>
      <c r="M366" s="276"/>
      <c r="N366" s="276"/>
      <c r="O366" s="276"/>
      <c r="P366" s="276"/>
      <c r="Q366" s="276"/>
      <c r="R366" s="276"/>
      <c r="S366" s="276"/>
      <c r="T366" s="276"/>
      <c r="U366" s="276"/>
      <c r="V366" s="276"/>
      <c r="W366" s="276"/>
      <c r="X366" s="276"/>
      <c r="Y366" s="276"/>
      <c r="Z366" s="276"/>
    </row>
    <row r="367" spans="1:26" ht="18.75" customHeight="1">
      <c r="A367" s="276"/>
      <c r="B367" s="276"/>
      <c r="C367" s="276"/>
      <c r="D367" s="276"/>
      <c r="E367" s="276"/>
      <c r="F367" s="276"/>
      <c r="G367" s="276"/>
      <c r="H367" s="276"/>
      <c r="I367" s="276"/>
      <c r="J367" s="276"/>
      <c r="K367" s="276"/>
      <c r="L367" s="276"/>
      <c r="M367" s="276"/>
      <c r="N367" s="276"/>
      <c r="O367" s="276"/>
      <c r="P367" s="276"/>
      <c r="Q367" s="276"/>
      <c r="R367" s="276"/>
      <c r="S367" s="276"/>
      <c r="T367" s="276"/>
      <c r="U367" s="276"/>
      <c r="V367" s="276"/>
      <c r="W367" s="276"/>
      <c r="X367" s="276"/>
      <c r="Y367" s="276"/>
      <c r="Z367" s="276"/>
    </row>
    <row r="368" spans="1:26" ht="18.75" customHeight="1">
      <c r="A368" s="276"/>
      <c r="B368" s="276"/>
      <c r="C368" s="276"/>
      <c r="D368" s="276"/>
      <c r="E368" s="276"/>
      <c r="F368" s="276"/>
      <c r="G368" s="276"/>
      <c r="H368" s="276"/>
      <c r="I368" s="276"/>
      <c r="J368" s="276"/>
      <c r="K368" s="276"/>
      <c r="L368" s="276"/>
      <c r="M368" s="276"/>
      <c r="N368" s="276"/>
      <c r="O368" s="276"/>
      <c r="P368" s="276"/>
      <c r="Q368" s="276"/>
      <c r="R368" s="276"/>
      <c r="S368" s="276"/>
      <c r="T368" s="276"/>
      <c r="U368" s="276"/>
      <c r="V368" s="276"/>
      <c r="W368" s="276"/>
      <c r="X368" s="276"/>
      <c r="Y368" s="276"/>
      <c r="Z368" s="276"/>
    </row>
    <row r="369" spans="1:26" ht="18.75" customHeight="1">
      <c r="A369" s="276"/>
      <c r="B369" s="276"/>
      <c r="C369" s="276"/>
      <c r="D369" s="276"/>
      <c r="E369" s="276"/>
      <c r="F369" s="276"/>
      <c r="G369" s="276"/>
      <c r="H369" s="276"/>
      <c r="I369" s="276"/>
      <c r="J369" s="276"/>
      <c r="K369" s="276"/>
      <c r="L369" s="276"/>
      <c r="M369" s="276"/>
      <c r="N369" s="276"/>
      <c r="O369" s="276"/>
      <c r="P369" s="276"/>
      <c r="Q369" s="276"/>
      <c r="R369" s="276"/>
      <c r="S369" s="276"/>
      <c r="T369" s="276"/>
      <c r="U369" s="276"/>
      <c r="V369" s="276"/>
      <c r="W369" s="276"/>
      <c r="X369" s="276"/>
      <c r="Y369" s="276"/>
      <c r="Z369" s="276"/>
    </row>
    <row r="370" spans="1:26" ht="18.75" customHeight="1">
      <c r="A370" s="276"/>
      <c r="B370" s="276"/>
      <c r="C370" s="276"/>
      <c r="D370" s="276"/>
      <c r="E370" s="276"/>
      <c r="F370" s="276"/>
      <c r="G370" s="276"/>
      <c r="H370" s="276"/>
      <c r="I370" s="276"/>
      <c r="J370" s="276"/>
      <c r="K370" s="276"/>
      <c r="L370" s="276"/>
      <c r="M370" s="276"/>
      <c r="N370" s="276"/>
      <c r="O370" s="276"/>
      <c r="P370" s="276"/>
      <c r="Q370" s="276"/>
      <c r="R370" s="276"/>
      <c r="S370" s="276"/>
      <c r="T370" s="276"/>
      <c r="U370" s="276"/>
      <c r="V370" s="276"/>
      <c r="W370" s="276"/>
      <c r="X370" s="276"/>
      <c r="Y370" s="276"/>
      <c r="Z370" s="276"/>
    </row>
    <row r="371" spans="1:26" ht="18.75" customHeight="1">
      <c r="A371" s="276"/>
      <c r="B371" s="276"/>
      <c r="C371" s="276"/>
      <c r="D371" s="276"/>
      <c r="E371" s="276"/>
      <c r="F371" s="276"/>
      <c r="G371" s="276"/>
      <c r="H371" s="276"/>
      <c r="I371" s="276"/>
      <c r="J371" s="276"/>
      <c r="K371" s="276"/>
      <c r="L371" s="276"/>
      <c r="M371" s="276"/>
      <c r="N371" s="276"/>
      <c r="O371" s="276"/>
      <c r="P371" s="276"/>
      <c r="Q371" s="276"/>
      <c r="R371" s="276"/>
      <c r="S371" s="276"/>
      <c r="T371" s="276"/>
      <c r="U371" s="276"/>
      <c r="V371" s="276"/>
      <c r="W371" s="276"/>
      <c r="X371" s="276"/>
      <c r="Y371" s="276"/>
      <c r="Z371" s="276"/>
    </row>
    <row r="372" spans="1:26" ht="18.75" customHeight="1">
      <c r="A372" s="276"/>
      <c r="B372" s="276"/>
      <c r="C372" s="276"/>
      <c r="D372" s="276"/>
      <c r="E372" s="276"/>
      <c r="F372" s="276"/>
      <c r="G372" s="276"/>
      <c r="H372" s="276"/>
      <c r="I372" s="276"/>
      <c r="J372" s="276"/>
      <c r="K372" s="276"/>
      <c r="L372" s="276"/>
      <c r="M372" s="276"/>
      <c r="N372" s="276"/>
      <c r="O372" s="276"/>
      <c r="P372" s="276"/>
      <c r="Q372" s="276"/>
      <c r="R372" s="276"/>
      <c r="S372" s="276"/>
      <c r="T372" s="276"/>
      <c r="U372" s="276"/>
      <c r="V372" s="276"/>
      <c r="W372" s="276"/>
      <c r="X372" s="276"/>
      <c r="Y372" s="276"/>
      <c r="Z372" s="276"/>
    </row>
    <row r="373" spans="1:26" ht="18.75" customHeight="1">
      <c r="A373" s="276"/>
      <c r="B373" s="276"/>
      <c r="C373" s="276"/>
      <c r="D373" s="276"/>
      <c r="E373" s="276"/>
      <c r="F373" s="276"/>
      <c r="G373" s="276"/>
      <c r="H373" s="276"/>
      <c r="I373" s="276"/>
      <c r="J373" s="276"/>
      <c r="K373" s="276"/>
      <c r="L373" s="276"/>
      <c r="M373" s="276"/>
      <c r="N373" s="276"/>
      <c r="O373" s="276"/>
      <c r="P373" s="276"/>
      <c r="Q373" s="276"/>
      <c r="R373" s="276"/>
      <c r="S373" s="276"/>
      <c r="T373" s="276"/>
      <c r="U373" s="276"/>
      <c r="V373" s="276"/>
      <c r="W373" s="276"/>
      <c r="X373" s="276"/>
      <c r="Y373" s="276"/>
      <c r="Z373" s="276"/>
    </row>
    <row r="374" spans="1:26" ht="18.75" customHeight="1">
      <c r="A374" s="276"/>
      <c r="B374" s="276"/>
      <c r="C374" s="276"/>
      <c r="D374" s="276"/>
      <c r="E374" s="276"/>
      <c r="F374" s="276"/>
      <c r="G374" s="276"/>
      <c r="H374" s="276"/>
      <c r="I374" s="276"/>
      <c r="J374" s="276"/>
      <c r="K374" s="276"/>
      <c r="L374" s="276"/>
      <c r="M374" s="276"/>
      <c r="N374" s="276"/>
      <c r="O374" s="276"/>
      <c r="P374" s="276"/>
      <c r="Q374" s="276"/>
      <c r="R374" s="276"/>
      <c r="S374" s="276"/>
      <c r="T374" s="276"/>
      <c r="U374" s="276"/>
      <c r="V374" s="276"/>
      <c r="W374" s="276"/>
      <c r="X374" s="276"/>
      <c r="Y374" s="276"/>
      <c r="Z374" s="276"/>
    </row>
    <row r="375" spans="1:26" ht="18.75" customHeight="1">
      <c r="A375" s="276"/>
      <c r="B375" s="276"/>
      <c r="C375" s="276"/>
      <c r="D375" s="276"/>
      <c r="E375" s="276"/>
      <c r="F375" s="276"/>
      <c r="G375" s="276"/>
      <c r="H375" s="276"/>
      <c r="I375" s="276"/>
      <c r="J375" s="276"/>
      <c r="K375" s="276"/>
      <c r="L375" s="276"/>
      <c r="M375" s="276"/>
      <c r="N375" s="276"/>
      <c r="O375" s="276"/>
      <c r="P375" s="276"/>
      <c r="Q375" s="276"/>
      <c r="R375" s="276"/>
      <c r="S375" s="276"/>
      <c r="T375" s="276"/>
      <c r="U375" s="276"/>
      <c r="V375" s="276"/>
      <c r="W375" s="276"/>
      <c r="X375" s="276"/>
      <c r="Y375" s="276"/>
      <c r="Z375" s="276"/>
    </row>
    <row r="376" spans="1:26" ht="18.75" customHeight="1">
      <c r="A376" s="276"/>
      <c r="B376" s="276"/>
      <c r="C376" s="276"/>
      <c r="D376" s="276"/>
      <c r="E376" s="276"/>
      <c r="F376" s="276"/>
      <c r="G376" s="276"/>
      <c r="H376" s="276"/>
      <c r="I376" s="276"/>
      <c r="J376" s="276"/>
      <c r="K376" s="276"/>
      <c r="L376" s="276"/>
      <c r="M376" s="276"/>
      <c r="N376" s="276"/>
      <c r="O376" s="276"/>
      <c r="P376" s="276"/>
      <c r="Q376" s="276"/>
      <c r="R376" s="276"/>
      <c r="S376" s="276"/>
      <c r="T376" s="276"/>
      <c r="U376" s="276"/>
      <c r="V376" s="276"/>
      <c r="W376" s="276"/>
      <c r="X376" s="276"/>
      <c r="Y376" s="276"/>
      <c r="Z376" s="276"/>
    </row>
    <row r="377" spans="1:26" ht="18.75" customHeight="1">
      <c r="A377" s="276"/>
      <c r="B377" s="276"/>
      <c r="C377" s="276"/>
      <c r="D377" s="276"/>
      <c r="E377" s="276"/>
      <c r="F377" s="276"/>
      <c r="G377" s="276"/>
      <c r="H377" s="276"/>
      <c r="I377" s="276"/>
      <c r="J377" s="276"/>
      <c r="K377" s="276"/>
      <c r="L377" s="276"/>
      <c r="M377" s="276"/>
      <c r="N377" s="276"/>
      <c r="O377" s="276"/>
      <c r="P377" s="276"/>
      <c r="Q377" s="276"/>
      <c r="R377" s="276"/>
      <c r="S377" s="276"/>
      <c r="T377" s="276"/>
      <c r="U377" s="276"/>
      <c r="V377" s="276"/>
      <c r="W377" s="276"/>
      <c r="X377" s="276"/>
      <c r="Y377" s="276"/>
      <c r="Z377" s="276"/>
    </row>
    <row r="378" spans="1:26" ht="18.75" customHeight="1">
      <c r="A378" s="276"/>
      <c r="B378" s="276"/>
      <c r="C378" s="276"/>
      <c r="D378" s="276"/>
      <c r="E378" s="276"/>
      <c r="F378" s="276"/>
      <c r="G378" s="276"/>
      <c r="H378" s="276"/>
      <c r="I378" s="276"/>
      <c r="J378" s="276"/>
      <c r="K378" s="276"/>
      <c r="L378" s="276"/>
      <c r="M378" s="276"/>
      <c r="N378" s="276"/>
      <c r="O378" s="276"/>
      <c r="P378" s="276"/>
      <c r="Q378" s="276"/>
      <c r="R378" s="276"/>
      <c r="S378" s="276"/>
      <c r="T378" s="276"/>
      <c r="U378" s="276"/>
      <c r="V378" s="276"/>
      <c r="W378" s="276"/>
      <c r="X378" s="276"/>
      <c r="Y378" s="276"/>
      <c r="Z378" s="276"/>
    </row>
    <row r="379" spans="1:26" ht="18.75" customHeight="1">
      <c r="A379" s="276"/>
      <c r="B379" s="276"/>
      <c r="C379" s="276"/>
      <c r="D379" s="276"/>
      <c r="E379" s="276"/>
      <c r="F379" s="276"/>
      <c r="G379" s="276"/>
      <c r="H379" s="276"/>
      <c r="I379" s="276"/>
      <c r="J379" s="276"/>
      <c r="K379" s="276"/>
      <c r="L379" s="276"/>
      <c r="M379" s="276"/>
      <c r="N379" s="276"/>
      <c r="O379" s="276"/>
      <c r="P379" s="276"/>
      <c r="Q379" s="276"/>
      <c r="R379" s="276"/>
      <c r="S379" s="276"/>
      <c r="T379" s="276"/>
      <c r="U379" s="276"/>
      <c r="V379" s="276"/>
      <c r="W379" s="276"/>
      <c r="X379" s="276"/>
      <c r="Y379" s="276"/>
      <c r="Z379" s="276"/>
    </row>
    <row r="380" spans="1:26" ht="18.75" customHeight="1">
      <c r="A380" s="276"/>
      <c r="B380" s="276"/>
      <c r="C380" s="276"/>
      <c r="D380" s="276"/>
      <c r="E380" s="276"/>
      <c r="F380" s="276"/>
      <c r="G380" s="276"/>
      <c r="H380" s="276"/>
      <c r="I380" s="276"/>
      <c r="J380" s="276"/>
      <c r="K380" s="276"/>
      <c r="L380" s="276"/>
      <c r="M380" s="276"/>
      <c r="N380" s="276"/>
      <c r="O380" s="276"/>
      <c r="P380" s="276"/>
      <c r="Q380" s="276"/>
      <c r="R380" s="276"/>
      <c r="S380" s="276"/>
      <c r="T380" s="276"/>
      <c r="U380" s="276"/>
      <c r="V380" s="276"/>
      <c r="W380" s="276"/>
      <c r="X380" s="276"/>
      <c r="Y380" s="276"/>
      <c r="Z380" s="276"/>
    </row>
    <row r="381" spans="1:26" ht="18.75" customHeight="1">
      <c r="A381" s="276"/>
      <c r="B381" s="276"/>
      <c r="C381" s="276"/>
      <c r="D381" s="276"/>
      <c r="E381" s="276"/>
      <c r="F381" s="276"/>
      <c r="G381" s="276"/>
      <c r="H381" s="276"/>
      <c r="I381" s="276"/>
      <c r="J381" s="276"/>
      <c r="K381" s="276"/>
      <c r="L381" s="276"/>
      <c r="M381" s="276"/>
      <c r="N381" s="276"/>
      <c r="O381" s="276"/>
      <c r="P381" s="276"/>
      <c r="Q381" s="276"/>
      <c r="R381" s="276"/>
      <c r="S381" s="276"/>
      <c r="T381" s="276"/>
      <c r="U381" s="276"/>
      <c r="V381" s="276"/>
      <c r="W381" s="276"/>
      <c r="X381" s="276"/>
      <c r="Y381" s="276"/>
      <c r="Z381" s="276"/>
    </row>
    <row r="382" spans="1:26" ht="18.75" customHeight="1">
      <c r="A382" s="276"/>
      <c r="B382" s="276"/>
      <c r="C382" s="276"/>
      <c r="D382" s="276"/>
      <c r="E382" s="276"/>
      <c r="F382" s="276"/>
      <c r="G382" s="276"/>
      <c r="H382" s="276"/>
      <c r="I382" s="276"/>
      <c r="J382" s="276"/>
      <c r="K382" s="276"/>
      <c r="L382" s="276"/>
      <c r="M382" s="276"/>
      <c r="N382" s="276"/>
      <c r="O382" s="276"/>
      <c r="P382" s="276"/>
      <c r="Q382" s="276"/>
      <c r="R382" s="276"/>
      <c r="S382" s="276"/>
      <c r="T382" s="276"/>
      <c r="U382" s="276"/>
      <c r="V382" s="276"/>
      <c r="W382" s="276"/>
      <c r="X382" s="276"/>
      <c r="Y382" s="276"/>
      <c r="Z382" s="276"/>
    </row>
    <row r="383" spans="1:26" ht="18.75" customHeight="1">
      <c r="A383" s="276"/>
      <c r="B383" s="276"/>
      <c r="C383" s="276"/>
      <c r="D383" s="276"/>
      <c r="E383" s="276"/>
      <c r="F383" s="276"/>
      <c r="G383" s="276"/>
      <c r="H383" s="276"/>
      <c r="I383" s="276"/>
      <c r="J383" s="276"/>
      <c r="K383" s="276"/>
      <c r="L383" s="276"/>
      <c r="M383" s="276"/>
      <c r="N383" s="276"/>
      <c r="O383" s="276"/>
      <c r="P383" s="276"/>
      <c r="Q383" s="276"/>
      <c r="R383" s="276"/>
      <c r="S383" s="276"/>
      <c r="T383" s="276"/>
      <c r="U383" s="276"/>
      <c r="V383" s="276"/>
      <c r="W383" s="276"/>
      <c r="X383" s="276"/>
      <c r="Y383" s="276"/>
      <c r="Z383" s="276"/>
    </row>
    <row r="384" spans="1:26" ht="18.75" customHeight="1">
      <c r="A384" s="276"/>
      <c r="B384" s="276"/>
      <c r="C384" s="276"/>
      <c r="D384" s="276"/>
      <c r="E384" s="276"/>
      <c r="F384" s="276"/>
      <c r="G384" s="276"/>
      <c r="H384" s="276"/>
      <c r="I384" s="276"/>
      <c r="J384" s="276"/>
      <c r="K384" s="276"/>
      <c r="L384" s="276"/>
      <c r="M384" s="276"/>
      <c r="N384" s="276"/>
      <c r="O384" s="276"/>
      <c r="P384" s="276"/>
      <c r="Q384" s="276"/>
      <c r="R384" s="276"/>
      <c r="S384" s="276"/>
      <c r="T384" s="276"/>
      <c r="U384" s="276"/>
      <c r="V384" s="276"/>
      <c r="W384" s="276"/>
      <c r="X384" s="276"/>
      <c r="Y384" s="276"/>
      <c r="Z384" s="276"/>
    </row>
    <row r="385" spans="1:26" ht="18.75" customHeight="1">
      <c r="A385" s="276"/>
      <c r="B385" s="276"/>
      <c r="C385" s="276"/>
      <c r="D385" s="276"/>
      <c r="E385" s="276"/>
      <c r="F385" s="276"/>
      <c r="G385" s="276"/>
      <c r="H385" s="276"/>
      <c r="I385" s="276"/>
      <c r="J385" s="276"/>
      <c r="K385" s="276"/>
      <c r="L385" s="276"/>
      <c r="M385" s="276"/>
      <c r="N385" s="276"/>
      <c r="O385" s="276"/>
      <c r="P385" s="276"/>
      <c r="Q385" s="276"/>
      <c r="R385" s="276"/>
      <c r="S385" s="276"/>
      <c r="T385" s="276"/>
      <c r="U385" s="276"/>
      <c r="V385" s="276"/>
      <c r="W385" s="276"/>
      <c r="X385" s="276"/>
      <c r="Y385" s="276"/>
      <c r="Z385" s="276"/>
    </row>
    <row r="386" spans="1:26" ht="18.75" customHeight="1">
      <c r="A386" s="276"/>
      <c r="B386" s="276"/>
      <c r="C386" s="276"/>
      <c r="D386" s="276"/>
      <c r="E386" s="276"/>
      <c r="F386" s="276"/>
      <c r="G386" s="276"/>
      <c r="H386" s="276"/>
      <c r="I386" s="276"/>
      <c r="J386" s="276"/>
      <c r="K386" s="276"/>
      <c r="L386" s="276"/>
      <c r="M386" s="276"/>
      <c r="N386" s="276"/>
      <c r="O386" s="276"/>
      <c r="P386" s="276"/>
      <c r="Q386" s="276"/>
      <c r="R386" s="276"/>
      <c r="S386" s="276"/>
      <c r="T386" s="276"/>
      <c r="U386" s="276"/>
      <c r="V386" s="276"/>
      <c r="W386" s="276"/>
      <c r="X386" s="276"/>
      <c r="Y386" s="276"/>
      <c r="Z386" s="276"/>
    </row>
    <row r="387" spans="1:26" ht="18.75" customHeight="1">
      <c r="A387" s="276"/>
      <c r="B387" s="276"/>
      <c r="C387" s="276"/>
      <c r="D387" s="276"/>
      <c r="E387" s="276"/>
      <c r="F387" s="276"/>
      <c r="G387" s="276"/>
      <c r="H387" s="276"/>
      <c r="I387" s="276"/>
      <c r="J387" s="276"/>
      <c r="K387" s="276"/>
      <c r="L387" s="276"/>
      <c r="M387" s="276"/>
      <c r="N387" s="276"/>
      <c r="O387" s="276"/>
      <c r="P387" s="276"/>
      <c r="Q387" s="276"/>
      <c r="R387" s="276"/>
      <c r="S387" s="276"/>
      <c r="T387" s="276"/>
      <c r="U387" s="276"/>
      <c r="V387" s="276"/>
      <c r="W387" s="276"/>
      <c r="X387" s="276"/>
      <c r="Y387" s="276"/>
      <c r="Z387" s="276"/>
    </row>
    <row r="388" spans="1:26" ht="18.75" customHeight="1">
      <c r="A388" s="276"/>
      <c r="B388" s="276"/>
      <c r="C388" s="276"/>
      <c r="D388" s="276"/>
      <c r="E388" s="276"/>
      <c r="F388" s="276"/>
      <c r="G388" s="276"/>
      <c r="H388" s="276"/>
      <c r="I388" s="276"/>
      <c r="J388" s="276"/>
      <c r="K388" s="276"/>
      <c r="L388" s="276"/>
      <c r="M388" s="276"/>
      <c r="N388" s="276"/>
      <c r="O388" s="276"/>
      <c r="P388" s="276"/>
      <c r="Q388" s="276"/>
      <c r="R388" s="276"/>
      <c r="S388" s="276"/>
      <c r="T388" s="276"/>
      <c r="U388" s="276"/>
      <c r="V388" s="276"/>
      <c r="W388" s="276"/>
      <c r="X388" s="276"/>
      <c r="Y388" s="276"/>
      <c r="Z388" s="276"/>
    </row>
    <row r="389" spans="1:26" ht="18.75" customHeight="1">
      <c r="A389" s="276"/>
      <c r="B389" s="276"/>
      <c r="C389" s="276"/>
      <c r="D389" s="276"/>
      <c r="E389" s="276"/>
      <c r="F389" s="276"/>
      <c r="G389" s="276"/>
      <c r="H389" s="276"/>
      <c r="I389" s="276"/>
      <c r="J389" s="276"/>
      <c r="K389" s="276"/>
      <c r="L389" s="276"/>
      <c r="M389" s="276"/>
      <c r="N389" s="276"/>
      <c r="O389" s="276"/>
      <c r="P389" s="276"/>
      <c r="Q389" s="276"/>
      <c r="R389" s="276"/>
      <c r="S389" s="276"/>
      <c r="T389" s="276"/>
      <c r="U389" s="276"/>
      <c r="V389" s="276"/>
      <c r="W389" s="276"/>
      <c r="X389" s="276"/>
      <c r="Y389" s="276"/>
      <c r="Z389" s="276"/>
    </row>
    <row r="390" spans="1:26" ht="18.75" customHeight="1">
      <c r="A390" s="276"/>
      <c r="B390" s="276"/>
      <c r="C390" s="276"/>
      <c r="D390" s="276"/>
      <c r="E390" s="276"/>
      <c r="F390" s="276"/>
      <c r="G390" s="276"/>
      <c r="H390" s="276"/>
      <c r="I390" s="276"/>
      <c r="J390" s="276"/>
      <c r="K390" s="276"/>
      <c r="L390" s="276"/>
      <c r="M390" s="276"/>
      <c r="N390" s="276"/>
      <c r="O390" s="276"/>
      <c r="P390" s="276"/>
      <c r="Q390" s="276"/>
      <c r="R390" s="276"/>
      <c r="S390" s="276"/>
      <c r="T390" s="276"/>
      <c r="U390" s="276"/>
      <c r="V390" s="276"/>
      <c r="W390" s="276"/>
      <c r="X390" s="276"/>
      <c r="Y390" s="276"/>
      <c r="Z390" s="276"/>
    </row>
    <row r="391" spans="1:26" ht="18.75" customHeight="1">
      <c r="A391" s="276"/>
      <c r="B391" s="276"/>
      <c r="C391" s="276"/>
      <c r="D391" s="276"/>
      <c r="E391" s="276"/>
      <c r="F391" s="276"/>
      <c r="G391" s="276"/>
      <c r="H391" s="276"/>
      <c r="I391" s="276"/>
      <c r="J391" s="276"/>
      <c r="K391" s="276"/>
      <c r="L391" s="276"/>
      <c r="M391" s="276"/>
      <c r="N391" s="276"/>
      <c r="O391" s="276"/>
      <c r="P391" s="276"/>
      <c r="Q391" s="276"/>
      <c r="R391" s="276"/>
      <c r="S391" s="276"/>
      <c r="T391" s="276"/>
      <c r="U391" s="276"/>
      <c r="V391" s="276"/>
      <c r="W391" s="276"/>
      <c r="X391" s="276"/>
      <c r="Y391" s="276"/>
      <c r="Z391" s="276"/>
    </row>
    <row r="392" spans="1:26" ht="18.75" customHeight="1">
      <c r="A392" s="276"/>
      <c r="B392" s="276"/>
      <c r="C392" s="276"/>
      <c r="D392" s="276"/>
      <c r="E392" s="276"/>
      <c r="F392" s="276"/>
      <c r="G392" s="276"/>
      <c r="H392" s="276"/>
      <c r="I392" s="276"/>
      <c r="J392" s="276"/>
      <c r="K392" s="276"/>
      <c r="L392" s="276"/>
      <c r="M392" s="276"/>
      <c r="N392" s="276"/>
      <c r="O392" s="276"/>
      <c r="P392" s="276"/>
      <c r="Q392" s="276"/>
      <c r="R392" s="276"/>
      <c r="S392" s="276"/>
      <c r="T392" s="276"/>
      <c r="U392" s="276"/>
      <c r="V392" s="276"/>
      <c r="W392" s="276"/>
      <c r="X392" s="276"/>
      <c r="Y392" s="276"/>
      <c r="Z392" s="276"/>
    </row>
    <row r="393" spans="1:26" ht="18.75" customHeight="1">
      <c r="A393" s="276"/>
      <c r="B393" s="276"/>
      <c r="C393" s="276"/>
      <c r="D393" s="276"/>
      <c r="E393" s="276"/>
      <c r="F393" s="276"/>
      <c r="G393" s="276"/>
      <c r="H393" s="276"/>
      <c r="I393" s="276"/>
      <c r="J393" s="276"/>
      <c r="K393" s="276"/>
      <c r="L393" s="276"/>
      <c r="M393" s="276"/>
      <c r="N393" s="276"/>
      <c r="O393" s="276"/>
      <c r="P393" s="276"/>
      <c r="Q393" s="276"/>
      <c r="R393" s="276"/>
      <c r="S393" s="276"/>
      <c r="T393" s="276"/>
      <c r="U393" s="276"/>
      <c r="V393" s="276"/>
      <c r="W393" s="276"/>
      <c r="X393" s="276"/>
      <c r="Y393" s="276"/>
      <c r="Z393" s="276"/>
    </row>
    <row r="394" spans="1:26" ht="18.75" customHeight="1">
      <c r="A394" s="276"/>
      <c r="B394" s="276"/>
      <c r="C394" s="276"/>
      <c r="D394" s="276"/>
      <c r="E394" s="276"/>
      <c r="F394" s="276"/>
      <c r="G394" s="276"/>
      <c r="H394" s="276"/>
      <c r="I394" s="276"/>
      <c r="J394" s="276"/>
      <c r="K394" s="276"/>
      <c r="L394" s="276"/>
      <c r="M394" s="276"/>
      <c r="N394" s="276"/>
      <c r="O394" s="276"/>
      <c r="P394" s="276"/>
      <c r="Q394" s="276"/>
      <c r="R394" s="276"/>
      <c r="S394" s="276"/>
      <c r="T394" s="276"/>
      <c r="U394" s="276"/>
      <c r="V394" s="276"/>
      <c r="W394" s="276"/>
      <c r="X394" s="276"/>
      <c r="Y394" s="276"/>
      <c r="Z394" s="276"/>
    </row>
    <row r="395" spans="1:26" ht="18.75" customHeight="1">
      <c r="A395" s="276"/>
      <c r="B395" s="276"/>
      <c r="C395" s="276"/>
      <c r="D395" s="276"/>
      <c r="E395" s="276"/>
      <c r="F395" s="276"/>
      <c r="G395" s="276"/>
      <c r="H395" s="276"/>
      <c r="I395" s="276"/>
      <c r="J395" s="276"/>
      <c r="K395" s="276"/>
      <c r="L395" s="276"/>
      <c r="M395" s="276"/>
      <c r="N395" s="276"/>
      <c r="O395" s="276"/>
      <c r="P395" s="276"/>
      <c r="Q395" s="276"/>
      <c r="R395" s="276"/>
      <c r="S395" s="276"/>
      <c r="T395" s="276"/>
      <c r="U395" s="276"/>
      <c r="V395" s="276"/>
      <c r="W395" s="276"/>
      <c r="X395" s="276"/>
      <c r="Y395" s="276"/>
      <c r="Z395" s="276"/>
    </row>
    <row r="396" spans="1:26" ht="18.75" customHeight="1">
      <c r="A396" s="276"/>
      <c r="B396" s="276"/>
      <c r="C396" s="276"/>
      <c r="D396" s="276"/>
      <c r="E396" s="276"/>
      <c r="F396" s="276"/>
      <c r="G396" s="276"/>
      <c r="H396" s="276"/>
      <c r="I396" s="276"/>
      <c r="J396" s="276"/>
      <c r="K396" s="276"/>
      <c r="L396" s="276"/>
      <c r="M396" s="276"/>
      <c r="N396" s="276"/>
      <c r="O396" s="276"/>
      <c r="P396" s="276"/>
      <c r="Q396" s="276"/>
      <c r="R396" s="276"/>
      <c r="S396" s="276"/>
      <c r="T396" s="276"/>
      <c r="U396" s="276"/>
      <c r="V396" s="276"/>
      <c r="W396" s="276"/>
      <c r="X396" s="276"/>
      <c r="Y396" s="276"/>
      <c r="Z396" s="276"/>
    </row>
    <row r="397" spans="1:26" ht="18.75" customHeight="1">
      <c r="A397" s="276"/>
      <c r="B397" s="276"/>
      <c r="C397" s="276"/>
      <c r="D397" s="276"/>
      <c r="E397" s="276"/>
      <c r="F397" s="276"/>
      <c r="G397" s="276"/>
      <c r="H397" s="276"/>
      <c r="I397" s="276"/>
      <c r="J397" s="276"/>
      <c r="K397" s="276"/>
      <c r="L397" s="276"/>
      <c r="M397" s="276"/>
      <c r="N397" s="276"/>
      <c r="O397" s="276"/>
      <c r="P397" s="276"/>
      <c r="Q397" s="276"/>
      <c r="R397" s="276"/>
      <c r="S397" s="276"/>
      <c r="T397" s="276"/>
      <c r="U397" s="276"/>
      <c r="V397" s="276"/>
      <c r="W397" s="276"/>
      <c r="X397" s="276"/>
      <c r="Y397" s="276"/>
      <c r="Z397" s="276"/>
    </row>
    <row r="398" spans="1:26" ht="18.75" customHeight="1">
      <c r="A398" s="276"/>
      <c r="B398" s="276"/>
      <c r="C398" s="276"/>
      <c r="D398" s="276"/>
      <c r="E398" s="276"/>
      <c r="F398" s="276"/>
      <c r="G398" s="276"/>
      <c r="H398" s="276"/>
      <c r="I398" s="276"/>
      <c r="J398" s="276"/>
      <c r="K398" s="276"/>
      <c r="L398" s="276"/>
      <c r="M398" s="276"/>
      <c r="N398" s="276"/>
      <c r="O398" s="276"/>
      <c r="P398" s="276"/>
      <c r="Q398" s="276"/>
      <c r="R398" s="276"/>
      <c r="S398" s="276"/>
      <c r="T398" s="276"/>
      <c r="U398" s="276"/>
      <c r="V398" s="276"/>
      <c r="W398" s="276"/>
      <c r="X398" s="276"/>
      <c r="Y398" s="276"/>
      <c r="Z398" s="276"/>
    </row>
    <row r="399" spans="1:26" ht="18.75" customHeight="1">
      <c r="A399" s="276"/>
      <c r="B399" s="276"/>
      <c r="C399" s="276"/>
      <c r="D399" s="276"/>
      <c r="E399" s="276"/>
      <c r="F399" s="276"/>
      <c r="G399" s="276"/>
      <c r="H399" s="276"/>
      <c r="I399" s="276"/>
      <c r="J399" s="276"/>
      <c r="K399" s="276"/>
      <c r="L399" s="276"/>
      <c r="M399" s="276"/>
      <c r="N399" s="276"/>
      <c r="O399" s="276"/>
      <c r="P399" s="276"/>
      <c r="Q399" s="276"/>
      <c r="R399" s="276"/>
      <c r="S399" s="276"/>
      <c r="T399" s="276"/>
      <c r="U399" s="276"/>
      <c r="V399" s="276"/>
      <c r="W399" s="276"/>
      <c r="X399" s="276"/>
      <c r="Y399" s="276"/>
      <c r="Z399" s="276"/>
    </row>
    <row r="400" spans="1:26" ht="18.75" customHeight="1">
      <c r="A400" s="276"/>
      <c r="B400" s="276"/>
      <c r="C400" s="276"/>
      <c r="D400" s="276"/>
      <c r="E400" s="276"/>
      <c r="F400" s="276"/>
      <c r="G400" s="276"/>
      <c r="H400" s="276"/>
      <c r="I400" s="276"/>
      <c r="J400" s="276"/>
      <c r="K400" s="276"/>
      <c r="L400" s="276"/>
      <c r="M400" s="276"/>
      <c r="N400" s="276"/>
      <c r="O400" s="276"/>
      <c r="P400" s="276"/>
      <c r="Q400" s="276"/>
      <c r="R400" s="276"/>
      <c r="S400" s="276"/>
      <c r="T400" s="276"/>
      <c r="U400" s="276"/>
      <c r="V400" s="276"/>
      <c r="W400" s="276"/>
      <c r="X400" s="276"/>
      <c r="Y400" s="276"/>
      <c r="Z400" s="276"/>
    </row>
    <row r="401" spans="1:26" ht="18.75" customHeight="1">
      <c r="A401" s="276"/>
      <c r="B401" s="276"/>
      <c r="C401" s="276"/>
      <c r="D401" s="276"/>
      <c r="E401" s="276"/>
      <c r="F401" s="276"/>
      <c r="G401" s="276"/>
      <c r="H401" s="276"/>
      <c r="I401" s="276"/>
      <c r="J401" s="276"/>
      <c r="K401" s="276"/>
      <c r="L401" s="276"/>
      <c r="M401" s="276"/>
      <c r="N401" s="276"/>
      <c r="O401" s="276"/>
      <c r="P401" s="276"/>
      <c r="Q401" s="276"/>
      <c r="R401" s="276"/>
      <c r="S401" s="276"/>
      <c r="T401" s="276"/>
      <c r="U401" s="276"/>
      <c r="V401" s="276"/>
      <c r="W401" s="276"/>
      <c r="X401" s="276"/>
      <c r="Y401" s="276"/>
      <c r="Z401" s="276"/>
    </row>
    <row r="402" spans="1:26" ht="18.75" customHeight="1">
      <c r="A402" s="276"/>
      <c r="B402" s="276"/>
      <c r="C402" s="276"/>
      <c r="D402" s="276"/>
      <c r="E402" s="276"/>
      <c r="F402" s="276"/>
      <c r="G402" s="276"/>
      <c r="H402" s="276"/>
      <c r="I402" s="276"/>
      <c r="J402" s="276"/>
      <c r="K402" s="276"/>
      <c r="L402" s="276"/>
      <c r="M402" s="276"/>
      <c r="N402" s="276"/>
      <c r="O402" s="276"/>
      <c r="P402" s="276"/>
      <c r="Q402" s="276"/>
      <c r="R402" s="276"/>
      <c r="S402" s="276"/>
      <c r="T402" s="276"/>
      <c r="U402" s="276"/>
      <c r="V402" s="276"/>
      <c r="W402" s="276"/>
      <c r="X402" s="276"/>
      <c r="Y402" s="276"/>
      <c r="Z402" s="276"/>
    </row>
    <row r="403" spans="1:26" ht="18.75" customHeight="1">
      <c r="A403" s="276"/>
      <c r="B403" s="276"/>
      <c r="C403" s="276"/>
      <c r="D403" s="276"/>
      <c r="E403" s="276"/>
      <c r="F403" s="276"/>
      <c r="G403" s="276"/>
      <c r="H403" s="276"/>
      <c r="I403" s="276"/>
      <c r="J403" s="276"/>
      <c r="K403" s="276"/>
      <c r="L403" s="276"/>
      <c r="M403" s="276"/>
      <c r="N403" s="276"/>
      <c r="O403" s="276"/>
      <c r="P403" s="276"/>
      <c r="Q403" s="276"/>
      <c r="R403" s="276"/>
      <c r="S403" s="276"/>
      <c r="T403" s="276"/>
      <c r="U403" s="276"/>
      <c r="V403" s="276"/>
      <c r="W403" s="276"/>
      <c r="X403" s="276"/>
      <c r="Y403" s="276"/>
      <c r="Z403" s="276"/>
    </row>
    <row r="404" spans="1:26" ht="18.75" customHeight="1">
      <c r="A404" s="276"/>
      <c r="B404" s="276"/>
      <c r="C404" s="276"/>
      <c r="D404" s="276"/>
      <c r="E404" s="276"/>
      <c r="F404" s="276"/>
      <c r="G404" s="276"/>
      <c r="H404" s="276"/>
      <c r="I404" s="276"/>
      <c r="J404" s="276"/>
      <c r="K404" s="276"/>
      <c r="L404" s="276"/>
      <c r="M404" s="276"/>
      <c r="N404" s="276"/>
      <c r="O404" s="276"/>
      <c r="P404" s="276"/>
      <c r="Q404" s="276"/>
      <c r="R404" s="276"/>
      <c r="S404" s="276"/>
      <c r="T404" s="276"/>
      <c r="U404" s="276"/>
      <c r="V404" s="276"/>
      <c r="W404" s="276"/>
      <c r="X404" s="276"/>
      <c r="Y404" s="276"/>
      <c r="Z404" s="276"/>
    </row>
    <row r="405" spans="1:26" ht="18.75" customHeight="1">
      <c r="A405" s="276"/>
      <c r="B405" s="276"/>
      <c r="C405" s="276"/>
      <c r="D405" s="276"/>
      <c r="E405" s="276"/>
      <c r="F405" s="276"/>
      <c r="G405" s="276"/>
      <c r="H405" s="276"/>
      <c r="I405" s="276"/>
      <c r="J405" s="276"/>
      <c r="K405" s="276"/>
      <c r="L405" s="276"/>
      <c r="M405" s="276"/>
      <c r="N405" s="276"/>
      <c r="O405" s="276"/>
      <c r="P405" s="276"/>
      <c r="Q405" s="276"/>
      <c r="R405" s="276"/>
      <c r="S405" s="276"/>
      <c r="T405" s="276"/>
      <c r="U405" s="276"/>
      <c r="V405" s="276"/>
      <c r="W405" s="276"/>
      <c r="X405" s="276"/>
      <c r="Y405" s="276"/>
      <c r="Z405" s="276"/>
    </row>
    <row r="406" spans="1:26" ht="18.75" customHeight="1">
      <c r="A406" s="276"/>
      <c r="B406" s="276"/>
      <c r="C406" s="276"/>
      <c r="D406" s="276"/>
      <c r="E406" s="276"/>
      <c r="F406" s="276"/>
      <c r="G406" s="276"/>
      <c r="H406" s="276"/>
      <c r="I406" s="276"/>
      <c r="J406" s="276"/>
      <c r="K406" s="276"/>
      <c r="L406" s="276"/>
      <c r="M406" s="276"/>
      <c r="N406" s="276"/>
      <c r="O406" s="276"/>
      <c r="P406" s="276"/>
      <c r="Q406" s="276"/>
      <c r="R406" s="276"/>
      <c r="S406" s="276"/>
      <c r="T406" s="276"/>
      <c r="U406" s="276"/>
      <c r="V406" s="276"/>
      <c r="W406" s="276"/>
      <c r="X406" s="276"/>
      <c r="Y406" s="276"/>
      <c r="Z406" s="276"/>
    </row>
    <row r="407" spans="1:26" ht="18.75" customHeight="1">
      <c r="A407" s="276"/>
      <c r="B407" s="276"/>
      <c r="C407" s="276"/>
      <c r="D407" s="276"/>
      <c r="E407" s="276"/>
      <c r="F407" s="276"/>
      <c r="G407" s="276"/>
      <c r="H407" s="276"/>
      <c r="I407" s="276"/>
      <c r="J407" s="276"/>
      <c r="K407" s="276"/>
      <c r="L407" s="276"/>
      <c r="M407" s="276"/>
      <c r="N407" s="276"/>
      <c r="O407" s="276"/>
      <c r="P407" s="276"/>
      <c r="Q407" s="276"/>
      <c r="R407" s="276"/>
      <c r="S407" s="276"/>
      <c r="T407" s="276"/>
      <c r="U407" s="276"/>
      <c r="V407" s="276"/>
      <c r="W407" s="276"/>
      <c r="X407" s="276"/>
      <c r="Y407" s="276"/>
      <c r="Z407" s="276"/>
    </row>
    <row r="408" spans="1:26" ht="18.75" customHeight="1">
      <c r="A408" s="276"/>
      <c r="B408" s="276"/>
      <c r="C408" s="276"/>
      <c r="D408" s="276"/>
      <c r="E408" s="276"/>
      <c r="F408" s="276"/>
      <c r="G408" s="276"/>
      <c r="H408" s="276"/>
      <c r="I408" s="276"/>
      <c r="J408" s="276"/>
      <c r="K408" s="276"/>
      <c r="L408" s="276"/>
      <c r="M408" s="276"/>
      <c r="N408" s="276"/>
      <c r="O408" s="276"/>
      <c r="P408" s="276"/>
      <c r="Q408" s="276"/>
      <c r="R408" s="276"/>
      <c r="S408" s="276"/>
      <c r="T408" s="276"/>
      <c r="U408" s="276"/>
      <c r="V408" s="276"/>
      <c r="W408" s="276"/>
      <c r="X408" s="276"/>
      <c r="Y408" s="276"/>
      <c r="Z408" s="276"/>
    </row>
    <row r="409" spans="1:26" ht="18.75" customHeight="1">
      <c r="A409" s="276"/>
      <c r="B409" s="276"/>
      <c r="C409" s="276"/>
      <c r="D409" s="276"/>
      <c r="E409" s="276"/>
      <c r="F409" s="276"/>
      <c r="G409" s="276"/>
      <c r="H409" s="276"/>
      <c r="I409" s="276"/>
      <c r="J409" s="276"/>
      <c r="K409" s="276"/>
      <c r="L409" s="276"/>
      <c r="M409" s="276"/>
      <c r="N409" s="276"/>
      <c r="O409" s="276"/>
      <c r="P409" s="276"/>
      <c r="Q409" s="276"/>
      <c r="R409" s="276"/>
      <c r="S409" s="276"/>
      <c r="T409" s="276"/>
      <c r="U409" s="276"/>
      <c r="V409" s="276"/>
      <c r="W409" s="276"/>
      <c r="X409" s="276"/>
      <c r="Y409" s="276"/>
      <c r="Z409" s="276"/>
    </row>
    <row r="410" spans="1:26" ht="18.75" customHeight="1">
      <c r="A410" s="276"/>
      <c r="B410" s="276"/>
      <c r="C410" s="276"/>
      <c r="D410" s="276"/>
      <c r="E410" s="276"/>
      <c r="F410" s="276"/>
      <c r="G410" s="276"/>
      <c r="H410" s="276"/>
      <c r="I410" s="276"/>
      <c r="J410" s="276"/>
      <c r="K410" s="276"/>
      <c r="L410" s="276"/>
      <c r="M410" s="276"/>
      <c r="N410" s="276"/>
      <c r="O410" s="276"/>
      <c r="P410" s="276"/>
      <c r="Q410" s="276"/>
      <c r="R410" s="276"/>
      <c r="S410" s="276"/>
      <c r="T410" s="276"/>
      <c r="U410" s="276"/>
      <c r="V410" s="276"/>
      <c r="W410" s="276"/>
      <c r="X410" s="276"/>
      <c r="Y410" s="276"/>
      <c r="Z410" s="276"/>
    </row>
    <row r="411" spans="1:26" ht="18.75" customHeight="1">
      <c r="A411" s="276"/>
      <c r="B411" s="276"/>
      <c r="C411" s="276"/>
      <c r="D411" s="276"/>
      <c r="E411" s="276"/>
      <c r="F411" s="276"/>
      <c r="G411" s="276"/>
      <c r="H411" s="276"/>
      <c r="I411" s="276"/>
      <c r="J411" s="276"/>
      <c r="K411" s="276"/>
      <c r="L411" s="276"/>
      <c r="M411" s="276"/>
      <c r="N411" s="276"/>
      <c r="O411" s="276"/>
      <c r="P411" s="276"/>
      <c r="Q411" s="276"/>
      <c r="R411" s="276"/>
      <c r="S411" s="276"/>
      <c r="T411" s="276"/>
      <c r="U411" s="276"/>
      <c r="V411" s="276"/>
      <c r="W411" s="276"/>
      <c r="X411" s="276"/>
      <c r="Y411" s="276"/>
      <c r="Z411" s="276"/>
    </row>
    <row r="412" spans="1:26" ht="18.75" customHeight="1">
      <c r="A412" s="276"/>
      <c r="B412" s="276"/>
      <c r="C412" s="276"/>
      <c r="D412" s="276"/>
      <c r="E412" s="276"/>
      <c r="F412" s="276"/>
      <c r="G412" s="276"/>
      <c r="H412" s="276"/>
      <c r="I412" s="276"/>
      <c r="J412" s="276"/>
      <c r="K412" s="276"/>
      <c r="L412" s="276"/>
      <c r="M412" s="276"/>
      <c r="N412" s="276"/>
      <c r="O412" s="276"/>
      <c r="P412" s="276"/>
      <c r="Q412" s="276"/>
      <c r="R412" s="276"/>
      <c r="S412" s="276"/>
      <c r="T412" s="276"/>
      <c r="U412" s="276"/>
      <c r="V412" s="276"/>
      <c r="W412" s="276"/>
      <c r="X412" s="276"/>
      <c r="Y412" s="276"/>
      <c r="Z412" s="276"/>
    </row>
    <row r="413" spans="1:26" ht="18.75" customHeight="1">
      <c r="A413" s="276"/>
      <c r="B413" s="276"/>
      <c r="C413" s="276"/>
      <c r="D413" s="276"/>
      <c r="E413" s="276"/>
      <c r="F413" s="276"/>
      <c r="G413" s="276"/>
      <c r="H413" s="276"/>
      <c r="I413" s="276"/>
      <c r="J413" s="276"/>
      <c r="K413" s="276"/>
      <c r="L413" s="276"/>
      <c r="M413" s="276"/>
      <c r="N413" s="276"/>
      <c r="O413" s="276"/>
      <c r="P413" s="276"/>
      <c r="Q413" s="276"/>
      <c r="R413" s="276"/>
      <c r="S413" s="276"/>
      <c r="T413" s="276"/>
      <c r="U413" s="276"/>
      <c r="V413" s="276"/>
      <c r="W413" s="276"/>
      <c r="X413" s="276"/>
      <c r="Y413" s="276"/>
      <c r="Z413" s="276"/>
    </row>
    <row r="414" spans="1:26" ht="18.75" customHeight="1">
      <c r="A414" s="276"/>
      <c r="B414" s="276"/>
      <c r="C414" s="276"/>
      <c r="D414" s="276"/>
      <c r="E414" s="276"/>
      <c r="F414" s="276"/>
      <c r="G414" s="276"/>
      <c r="H414" s="276"/>
      <c r="I414" s="276"/>
      <c r="J414" s="276"/>
      <c r="K414" s="276"/>
      <c r="L414" s="276"/>
      <c r="M414" s="276"/>
      <c r="N414" s="276"/>
      <c r="O414" s="276"/>
      <c r="P414" s="276"/>
      <c r="Q414" s="276"/>
      <c r="R414" s="276"/>
      <c r="S414" s="276"/>
      <c r="T414" s="276"/>
      <c r="U414" s="276"/>
      <c r="V414" s="276"/>
      <c r="W414" s="276"/>
      <c r="X414" s="276"/>
      <c r="Y414" s="276"/>
      <c r="Z414" s="276"/>
    </row>
    <row r="415" spans="1:26" ht="18.75" customHeight="1">
      <c r="A415" s="276"/>
      <c r="B415" s="276"/>
      <c r="C415" s="276"/>
      <c r="D415" s="276"/>
      <c r="E415" s="276"/>
      <c r="F415" s="276"/>
      <c r="G415" s="276"/>
      <c r="H415" s="276"/>
      <c r="I415" s="276"/>
      <c r="J415" s="276"/>
      <c r="K415" s="276"/>
      <c r="L415" s="276"/>
      <c r="M415" s="276"/>
      <c r="N415" s="276"/>
      <c r="O415" s="276"/>
      <c r="P415" s="276"/>
      <c r="Q415" s="276"/>
      <c r="R415" s="276"/>
      <c r="S415" s="276"/>
      <c r="T415" s="276"/>
      <c r="U415" s="276"/>
      <c r="V415" s="276"/>
      <c r="W415" s="276"/>
      <c r="X415" s="276"/>
      <c r="Y415" s="276"/>
      <c r="Z415" s="276"/>
    </row>
    <row r="416" spans="1:26" ht="18.75" customHeight="1">
      <c r="A416" s="276"/>
      <c r="B416" s="276"/>
      <c r="C416" s="276"/>
      <c r="D416" s="276"/>
      <c r="E416" s="276"/>
      <c r="F416" s="276"/>
      <c r="G416" s="276"/>
      <c r="H416" s="276"/>
      <c r="I416" s="276"/>
      <c r="J416" s="276"/>
      <c r="K416" s="276"/>
      <c r="L416" s="276"/>
      <c r="M416" s="276"/>
      <c r="N416" s="276"/>
      <c r="O416" s="276"/>
      <c r="P416" s="276"/>
      <c r="Q416" s="276"/>
      <c r="R416" s="276"/>
      <c r="S416" s="276"/>
      <c r="T416" s="276"/>
      <c r="U416" s="276"/>
      <c r="V416" s="276"/>
      <c r="W416" s="276"/>
      <c r="X416" s="276"/>
      <c r="Y416" s="276"/>
      <c r="Z416" s="276"/>
    </row>
    <row r="417" spans="1:26" ht="18.75" customHeight="1">
      <c r="A417" s="276"/>
      <c r="B417" s="276"/>
      <c r="C417" s="276"/>
      <c r="D417" s="276"/>
      <c r="E417" s="276"/>
      <c r="F417" s="276"/>
      <c r="G417" s="276"/>
      <c r="H417" s="276"/>
      <c r="I417" s="276"/>
      <c r="J417" s="276"/>
      <c r="K417" s="276"/>
      <c r="L417" s="276"/>
      <c r="M417" s="276"/>
      <c r="N417" s="276"/>
      <c r="O417" s="276"/>
      <c r="P417" s="276"/>
      <c r="Q417" s="276"/>
      <c r="R417" s="276"/>
      <c r="S417" s="276"/>
      <c r="T417" s="276"/>
      <c r="U417" s="276"/>
      <c r="V417" s="276"/>
      <c r="W417" s="276"/>
      <c r="X417" s="276"/>
      <c r="Y417" s="276"/>
      <c r="Z417" s="276"/>
    </row>
    <row r="418" spans="1:26" ht="18.75" customHeight="1">
      <c r="A418" s="276"/>
      <c r="B418" s="276"/>
      <c r="C418" s="276"/>
      <c r="D418" s="276"/>
      <c r="E418" s="276"/>
      <c r="F418" s="276"/>
      <c r="G418" s="276"/>
      <c r="H418" s="276"/>
      <c r="I418" s="276"/>
      <c r="J418" s="276"/>
      <c r="K418" s="276"/>
      <c r="L418" s="276"/>
      <c r="M418" s="276"/>
      <c r="N418" s="276"/>
      <c r="O418" s="276"/>
      <c r="P418" s="276"/>
      <c r="Q418" s="276"/>
      <c r="R418" s="276"/>
      <c r="S418" s="276"/>
      <c r="T418" s="276"/>
      <c r="U418" s="276"/>
      <c r="V418" s="276"/>
      <c r="W418" s="276"/>
      <c r="X418" s="276"/>
      <c r="Y418" s="276"/>
      <c r="Z418" s="276"/>
    </row>
    <row r="419" spans="1:26" ht="18.75" customHeight="1">
      <c r="A419" s="276"/>
      <c r="B419" s="276"/>
      <c r="C419" s="276"/>
      <c r="D419" s="276"/>
      <c r="E419" s="276"/>
      <c r="F419" s="276"/>
      <c r="G419" s="276"/>
      <c r="H419" s="276"/>
      <c r="I419" s="276"/>
      <c r="J419" s="276"/>
      <c r="K419" s="276"/>
      <c r="L419" s="276"/>
      <c r="M419" s="276"/>
      <c r="N419" s="276"/>
      <c r="O419" s="276"/>
      <c r="P419" s="276"/>
      <c r="Q419" s="276"/>
      <c r="R419" s="276"/>
      <c r="S419" s="276"/>
      <c r="T419" s="276"/>
      <c r="U419" s="276"/>
      <c r="V419" s="276"/>
      <c r="W419" s="276"/>
      <c r="X419" s="276"/>
      <c r="Y419" s="276"/>
      <c r="Z419" s="276"/>
    </row>
    <row r="420" spans="1:26" ht="18.75" customHeight="1">
      <c r="A420" s="276"/>
      <c r="B420" s="276"/>
      <c r="C420" s="276"/>
      <c r="D420" s="276"/>
      <c r="E420" s="276"/>
      <c r="F420" s="276"/>
      <c r="G420" s="276"/>
      <c r="H420" s="276"/>
      <c r="I420" s="276"/>
      <c r="J420" s="276"/>
      <c r="K420" s="276"/>
      <c r="L420" s="276"/>
      <c r="M420" s="276"/>
      <c r="N420" s="276"/>
      <c r="O420" s="276"/>
      <c r="P420" s="276"/>
      <c r="Q420" s="276"/>
      <c r="R420" s="276"/>
      <c r="S420" s="276"/>
      <c r="T420" s="276"/>
      <c r="U420" s="276"/>
      <c r="V420" s="276"/>
      <c r="W420" s="276"/>
      <c r="X420" s="276"/>
      <c r="Y420" s="276"/>
      <c r="Z420" s="276"/>
    </row>
    <row r="421" spans="1:26" ht="18.75" customHeight="1">
      <c r="A421" s="276"/>
      <c r="B421" s="276"/>
      <c r="C421" s="276"/>
      <c r="D421" s="276"/>
      <c r="E421" s="276"/>
      <c r="F421" s="276"/>
      <c r="G421" s="276"/>
      <c r="H421" s="276"/>
      <c r="I421" s="276"/>
      <c r="J421" s="276"/>
      <c r="K421" s="276"/>
      <c r="L421" s="276"/>
      <c r="M421" s="276"/>
      <c r="N421" s="276"/>
      <c r="O421" s="276"/>
      <c r="P421" s="276"/>
      <c r="Q421" s="276"/>
      <c r="R421" s="276"/>
      <c r="S421" s="276"/>
      <c r="T421" s="276"/>
      <c r="U421" s="276"/>
      <c r="V421" s="276"/>
      <c r="W421" s="276"/>
      <c r="X421" s="276"/>
      <c r="Y421" s="276"/>
      <c r="Z421" s="276"/>
    </row>
    <row r="422" spans="1:26" ht="18.75" customHeight="1">
      <c r="A422" s="276"/>
      <c r="B422" s="276"/>
      <c r="C422" s="276"/>
      <c r="D422" s="276"/>
      <c r="E422" s="276"/>
      <c r="F422" s="276"/>
      <c r="G422" s="276"/>
      <c r="H422" s="276"/>
      <c r="I422" s="276"/>
      <c r="J422" s="276"/>
      <c r="K422" s="276"/>
      <c r="L422" s="276"/>
      <c r="M422" s="276"/>
      <c r="N422" s="276"/>
      <c r="O422" s="276"/>
      <c r="P422" s="276"/>
      <c r="Q422" s="276"/>
      <c r="R422" s="276"/>
      <c r="S422" s="276"/>
      <c r="T422" s="276"/>
      <c r="U422" s="276"/>
      <c r="V422" s="276"/>
      <c r="W422" s="276"/>
      <c r="X422" s="276"/>
      <c r="Y422" s="276"/>
      <c r="Z422" s="276"/>
    </row>
    <row r="423" spans="1:26" ht="18.75" customHeight="1">
      <c r="A423" s="276"/>
      <c r="B423" s="276"/>
      <c r="C423" s="276"/>
      <c r="D423" s="276"/>
      <c r="E423" s="276"/>
      <c r="F423" s="276"/>
      <c r="G423" s="276"/>
      <c r="H423" s="276"/>
      <c r="I423" s="276"/>
      <c r="J423" s="276"/>
      <c r="K423" s="276"/>
      <c r="L423" s="276"/>
      <c r="M423" s="276"/>
      <c r="N423" s="276"/>
      <c r="O423" s="276"/>
      <c r="P423" s="276"/>
      <c r="Q423" s="276"/>
      <c r="R423" s="276"/>
      <c r="S423" s="276"/>
      <c r="T423" s="276"/>
      <c r="U423" s="276"/>
      <c r="V423" s="276"/>
      <c r="W423" s="276"/>
      <c r="X423" s="276"/>
      <c r="Y423" s="276"/>
      <c r="Z423" s="276"/>
    </row>
    <row r="424" spans="1:26" ht="18.75" customHeight="1">
      <c r="A424" s="276"/>
      <c r="B424" s="276"/>
      <c r="C424" s="276"/>
      <c r="D424" s="276"/>
      <c r="E424" s="276"/>
      <c r="F424" s="276"/>
      <c r="G424" s="276"/>
      <c r="H424" s="276"/>
      <c r="I424" s="276"/>
      <c r="J424" s="276"/>
      <c r="K424" s="276"/>
      <c r="L424" s="276"/>
      <c r="M424" s="276"/>
      <c r="N424" s="276"/>
      <c r="O424" s="276"/>
      <c r="P424" s="276"/>
      <c r="Q424" s="276"/>
      <c r="R424" s="276"/>
      <c r="S424" s="276"/>
      <c r="T424" s="276"/>
      <c r="U424" s="276"/>
      <c r="V424" s="276"/>
      <c r="W424" s="276"/>
      <c r="X424" s="276"/>
      <c r="Y424" s="276"/>
      <c r="Z424" s="276"/>
    </row>
    <row r="425" spans="1:26" ht="18.75" customHeight="1">
      <c r="A425" s="276"/>
      <c r="B425" s="276"/>
      <c r="C425" s="276"/>
      <c r="D425" s="276"/>
      <c r="E425" s="276"/>
      <c r="F425" s="276"/>
      <c r="G425" s="276"/>
      <c r="H425" s="276"/>
      <c r="I425" s="276"/>
      <c r="J425" s="276"/>
      <c r="K425" s="276"/>
      <c r="L425" s="276"/>
      <c r="M425" s="276"/>
      <c r="N425" s="276"/>
      <c r="O425" s="276"/>
      <c r="P425" s="276"/>
      <c r="Q425" s="276"/>
      <c r="R425" s="276"/>
      <c r="S425" s="276"/>
      <c r="T425" s="276"/>
      <c r="U425" s="276"/>
      <c r="V425" s="276"/>
      <c r="W425" s="276"/>
      <c r="X425" s="276"/>
      <c r="Y425" s="276"/>
      <c r="Z425" s="276"/>
    </row>
    <row r="426" spans="1:26" ht="18.75" customHeight="1">
      <c r="A426" s="276"/>
      <c r="B426" s="276"/>
      <c r="C426" s="276"/>
      <c r="D426" s="276"/>
      <c r="E426" s="276"/>
      <c r="F426" s="276"/>
      <c r="G426" s="276"/>
      <c r="H426" s="276"/>
      <c r="I426" s="276"/>
      <c r="J426" s="276"/>
      <c r="K426" s="276"/>
      <c r="L426" s="276"/>
      <c r="M426" s="276"/>
      <c r="N426" s="276"/>
      <c r="O426" s="276"/>
      <c r="P426" s="276"/>
      <c r="Q426" s="276"/>
      <c r="R426" s="276"/>
      <c r="S426" s="276"/>
      <c r="T426" s="276"/>
      <c r="U426" s="276"/>
      <c r="V426" s="276"/>
      <c r="W426" s="276"/>
      <c r="X426" s="276"/>
      <c r="Y426" s="276"/>
      <c r="Z426" s="276"/>
    </row>
    <row r="427" spans="1:26" ht="18.75" customHeight="1">
      <c r="A427" s="276"/>
      <c r="B427" s="276"/>
      <c r="C427" s="276"/>
      <c r="D427" s="276"/>
      <c r="E427" s="276"/>
      <c r="F427" s="276"/>
      <c r="G427" s="276"/>
      <c r="H427" s="276"/>
      <c r="I427" s="276"/>
      <c r="J427" s="276"/>
      <c r="K427" s="276"/>
      <c r="L427" s="276"/>
      <c r="M427" s="276"/>
      <c r="N427" s="276"/>
      <c r="O427" s="276"/>
      <c r="P427" s="276"/>
      <c r="Q427" s="276"/>
      <c r="R427" s="276"/>
      <c r="S427" s="276"/>
      <c r="T427" s="276"/>
      <c r="U427" s="276"/>
      <c r="V427" s="276"/>
      <c r="W427" s="276"/>
      <c r="X427" s="276"/>
      <c r="Y427" s="276"/>
      <c r="Z427" s="276"/>
    </row>
    <row r="428" spans="1:26" ht="18.75" customHeight="1">
      <c r="A428" s="276"/>
      <c r="B428" s="276"/>
      <c r="C428" s="276"/>
      <c r="D428" s="276"/>
      <c r="E428" s="276"/>
      <c r="F428" s="276"/>
      <c r="G428" s="276"/>
      <c r="H428" s="276"/>
      <c r="I428" s="276"/>
      <c r="J428" s="276"/>
      <c r="K428" s="276"/>
      <c r="L428" s="276"/>
      <c r="M428" s="276"/>
      <c r="N428" s="276"/>
      <c r="O428" s="276"/>
      <c r="P428" s="276"/>
      <c r="Q428" s="276"/>
      <c r="R428" s="276"/>
      <c r="S428" s="276"/>
      <c r="T428" s="276"/>
      <c r="U428" s="276"/>
      <c r="V428" s="276"/>
      <c r="W428" s="276"/>
      <c r="X428" s="276"/>
      <c r="Y428" s="276"/>
      <c r="Z428" s="276"/>
    </row>
    <row r="429" spans="1:26" ht="18.75" customHeight="1">
      <c r="A429" s="276"/>
      <c r="B429" s="276"/>
      <c r="C429" s="276"/>
      <c r="D429" s="276"/>
      <c r="E429" s="276"/>
      <c r="F429" s="276"/>
      <c r="G429" s="276"/>
      <c r="H429" s="276"/>
      <c r="I429" s="276"/>
      <c r="J429" s="276"/>
      <c r="K429" s="276"/>
      <c r="L429" s="276"/>
      <c r="M429" s="276"/>
      <c r="N429" s="276"/>
      <c r="O429" s="276"/>
      <c r="P429" s="276"/>
      <c r="Q429" s="276"/>
      <c r="R429" s="276"/>
      <c r="S429" s="276"/>
      <c r="T429" s="276"/>
      <c r="U429" s="276"/>
      <c r="V429" s="276"/>
      <c r="W429" s="276"/>
      <c r="X429" s="276"/>
      <c r="Y429" s="276"/>
      <c r="Z429" s="276"/>
    </row>
    <row r="430" spans="1:26" ht="18.75" customHeight="1">
      <c r="A430" s="276"/>
      <c r="B430" s="276"/>
      <c r="C430" s="276"/>
      <c r="D430" s="276"/>
      <c r="E430" s="276"/>
      <c r="F430" s="276"/>
      <c r="G430" s="276"/>
      <c r="H430" s="276"/>
      <c r="I430" s="276"/>
      <c r="J430" s="276"/>
      <c r="K430" s="276"/>
      <c r="L430" s="276"/>
      <c r="M430" s="276"/>
      <c r="N430" s="276"/>
      <c r="O430" s="276"/>
      <c r="P430" s="276"/>
      <c r="Q430" s="276"/>
      <c r="R430" s="276"/>
      <c r="S430" s="276"/>
      <c r="T430" s="276"/>
      <c r="U430" s="276"/>
      <c r="V430" s="276"/>
      <c r="W430" s="276"/>
      <c r="X430" s="276"/>
      <c r="Y430" s="276"/>
      <c r="Z430" s="276"/>
    </row>
    <row r="431" spans="1:26" ht="18.75" customHeight="1">
      <c r="A431" s="276"/>
      <c r="B431" s="276"/>
      <c r="C431" s="276"/>
      <c r="D431" s="276"/>
      <c r="E431" s="276"/>
      <c r="F431" s="276"/>
      <c r="G431" s="276"/>
      <c r="H431" s="276"/>
      <c r="I431" s="276"/>
      <c r="J431" s="276"/>
      <c r="K431" s="276"/>
      <c r="L431" s="276"/>
      <c r="M431" s="276"/>
      <c r="N431" s="276"/>
      <c r="O431" s="276"/>
      <c r="P431" s="276"/>
      <c r="Q431" s="276"/>
      <c r="R431" s="276"/>
      <c r="S431" s="276"/>
      <c r="T431" s="276"/>
      <c r="U431" s="276"/>
      <c r="V431" s="276"/>
      <c r="W431" s="276"/>
      <c r="X431" s="276"/>
      <c r="Y431" s="276"/>
      <c r="Z431" s="276"/>
    </row>
    <row r="432" spans="1:26" ht="18.75" customHeight="1">
      <c r="A432" s="276"/>
      <c r="B432" s="276"/>
      <c r="C432" s="276"/>
      <c r="D432" s="276"/>
      <c r="E432" s="276"/>
      <c r="F432" s="276"/>
      <c r="G432" s="276"/>
      <c r="H432" s="276"/>
      <c r="I432" s="276"/>
      <c r="J432" s="276"/>
      <c r="K432" s="276"/>
      <c r="L432" s="276"/>
      <c r="M432" s="276"/>
      <c r="N432" s="276"/>
      <c r="O432" s="276"/>
      <c r="P432" s="276"/>
      <c r="Q432" s="276"/>
      <c r="R432" s="276"/>
      <c r="S432" s="276"/>
      <c r="T432" s="276"/>
      <c r="U432" s="276"/>
      <c r="V432" s="276"/>
      <c r="W432" s="276"/>
      <c r="X432" s="276"/>
      <c r="Y432" s="276"/>
      <c r="Z432" s="276"/>
    </row>
    <row r="433" spans="1:26" ht="18.75" customHeight="1">
      <c r="A433" s="276"/>
      <c r="B433" s="276"/>
      <c r="C433" s="276"/>
      <c r="D433" s="276"/>
      <c r="E433" s="276"/>
      <c r="F433" s="276"/>
      <c r="G433" s="276"/>
      <c r="H433" s="276"/>
      <c r="I433" s="276"/>
      <c r="J433" s="276"/>
      <c r="K433" s="276"/>
      <c r="L433" s="276"/>
      <c r="M433" s="276"/>
      <c r="N433" s="276"/>
      <c r="O433" s="276"/>
      <c r="P433" s="276"/>
      <c r="Q433" s="276"/>
      <c r="R433" s="276"/>
      <c r="S433" s="276"/>
      <c r="T433" s="276"/>
      <c r="U433" s="276"/>
      <c r="V433" s="276"/>
      <c r="W433" s="276"/>
      <c r="X433" s="276"/>
      <c r="Y433" s="276"/>
      <c r="Z433" s="276"/>
    </row>
    <row r="434" spans="1:26" ht="18.75" customHeight="1">
      <c r="A434" s="276"/>
      <c r="B434" s="276"/>
      <c r="C434" s="276"/>
      <c r="D434" s="276"/>
      <c r="E434" s="276"/>
      <c r="F434" s="276"/>
      <c r="G434" s="276"/>
      <c r="H434" s="276"/>
      <c r="I434" s="276"/>
      <c r="J434" s="276"/>
      <c r="K434" s="276"/>
      <c r="L434" s="276"/>
      <c r="M434" s="276"/>
      <c r="N434" s="276"/>
      <c r="O434" s="276"/>
      <c r="P434" s="276"/>
      <c r="Q434" s="276"/>
      <c r="R434" s="276"/>
      <c r="S434" s="276"/>
      <c r="T434" s="276"/>
      <c r="U434" s="276"/>
      <c r="V434" s="276"/>
      <c r="W434" s="276"/>
      <c r="X434" s="276"/>
      <c r="Y434" s="276"/>
      <c r="Z434" s="276"/>
    </row>
    <row r="435" spans="1:26" ht="18.75" customHeight="1">
      <c r="A435" s="276"/>
      <c r="B435" s="276"/>
      <c r="C435" s="276"/>
      <c r="D435" s="276"/>
      <c r="E435" s="276"/>
      <c r="F435" s="276"/>
      <c r="G435" s="276"/>
      <c r="H435" s="276"/>
      <c r="I435" s="276"/>
      <c r="J435" s="276"/>
      <c r="K435" s="276"/>
      <c r="L435" s="276"/>
      <c r="M435" s="276"/>
      <c r="N435" s="276"/>
      <c r="O435" s="276"/>
      <c r="P435" s="276"/>
      <c r="Q435" s="276"/>
      <c r="R435" s="276"/>
      <c r="S435" s="276"/>
      <c r="T435" s="276"/>
      <c r="U435" s="276"/>
      <c r="V435" s="276"/>
      <c r="W435" s="276"/>
      <c r="X435" s="276"/>
      <c r="Y435" s="276"/>
      <c r="Z435" s="276"/>
    </row>
    <row r="436" spans="1:26" ht="18.75" customHeight="1">
      <c r="A436" s="276"/>
      <c r="B436" s="276"/>
      <c r="C436" s="276"/>
      <c r="D436" s="276"/>
      <c r="E436" s="276"/>
      <c r="F436" s="276"/>
      <c r="G436" s="276"/>
      <c r="H436" s="276"/>
      <c r="I436" s="276"/>
      <c r="J436" s="276"/>
      <c r="K436" s="276"/>
      <c r="L436" s="276"/>
      <c r="M436" s="276"/>
      <c r="N436" s="276"/>
      <c r="O436" s="276"/>
      <c r="P436" s="276"/>
      <c r="Q436" s="276"/>
      <c r="R436" s="276"/>
      <c r="S436" s="276"/>
      <c r="T436" s="276"/>
      <c r="U436" s="276"/>
      <c r="V436" s="276"/>
      <c r="W436" s="276"/>
      <c r="X436" s="276"/>
      <c r="Y436" s="276"/>
      <c r="Z436" s="276"/>
    </row>
    <row r="437" spans="1:26" ht="18.75" customHeight="1">
      <c r="A437" s="276"/>
      <c r="B437" s="276"/>
      <c r="C437" s="276"/>
      <c r="D437" s="276"/>
      <c r="E437" s="276"/>
      <c r="F437" s="276"/>
      <c r="G437" s="276"/>
      <c r="H437" s="276"/>
      <c r="I437" s="276"/>
      <c r="J437" s="276"/>
      <c r="K437" s="276"/>
      <c r="L437" s="276"/>
      <c r="M437" s="276"/>
      <c r="N437" s="276"/>
      <c r="O437" s="276"/>
      <c r="P437" s="276"/>
      <c r="Q437" s="276"/>
      <c r="R437" s="276"/>
      <c r="S437" s="276"/>
      <c r="T437" s="276"/>
      <c r="U437" s="276"/>
      <c r="V437" s="276"/>
      <c r="W437" s="276"/>
      <c r="X437" s="276"/>
      <c r="Y437" s="276"/>
      <c r="Z437" s="276"/>
    </row>
    <row r="438" spans="1:26" ht="18.75" customHeight="1">
      <c r="A438" s="276"/>
      <c r="B438" s="276"/>
      <c r="C438" s="276"/>
      <c r="D438" s="276"/>
      <c r="E438" s="276"/>
      <c r="F438" s="276"/>
      <c r="G438" s="276"/>
      <c r="H438" s="276"/>
      <c r="I438" s="276"/>
      <c r="J438" s="276"/>
      <c r="K438" s="276"/>
      <c r="L438" s="276"/>
      <c r="M438" s="276"/>
      <c r="N438" s="276"/>
      <c r="O438" s="276"/>
      <c r="P438" s="276"/>
      <c r="Q438" s="276"/>
      <c r="R438" s="276"/>
      <c r="S438" s="276"/>
      <c r="T438" s="276"/>
      <c r="U438" s="276"/>
      <c r="V438" s="276"/>
      <c r="W438" s="276"/>
      <c r="X438" s="276"/>
      <c r="Y438" s="276"/>
      <c r="Z438" s="276"/>
    </row>
    <row r="439" spans="1:26" ht="18.75" customHeight="1">
      <c r="A439" s="276"/>
      <c r="B439" s="276"/>
      <c r="C439" s="276"/>
      <c r="D439" s="276"/>
      <c r="E439" s="276"/>
      <c r="F439" s="276"/>
      <c r="G439" s="276"/>
      <c r="H439" s="276"/>
      <c r="I439" s="276"/>
      <c r="J439" s="276"/>
      <c r="K439" s="276"/>
      <c r="L439" s="276"/>
      <c r="M439" s="276"/>
      <c r="N439" s="276"/>
      <c r="O439" s="276"/>
      <c r="P439" s="276"/>
      <c r="Q439" s="276"/>
      <c r="R439" s="276"/>
      <c r="S439" s="276"/>
      <c r="T439" s="276"/>
      <c r="U439" s="276"/>
      <c r="V439" s="276"/>
      <c r="W439" s="276"/>
      <c r="X439" s="276"/>
      <c r="Y439" s="276"/>
      <c r="Z439" s="276"/>
    </row>
    <row r="440" spans="1:26" ht="18.75" customHeight="1">
      <c r="A440" s="276"/>
      <c r="B440" s="276"/>
      <c r="C440" s="276"/>
      <c r="D440" s="276"/>
      <c r="E440" s="276"/>
      <c r="F440" s="276"/>
      <c r="G440" s="276"/>
      <c r="H440" s="276"/>
      <c r="I440" s="276"/>
      <c r="J440" s="276"/>
      <c r="K440" s="276"/>
      <c r="L440" s="276"/>
      <c r="M440" s="276"/>
      <c r="N440" s="276"/>
      <c r="O440" s="276"/>
      <c r="P440" s="276"/>
      <c r="Q440" s="276"/>
      <c r="R440" s="276"/>
      <c r="S440" s="276"/>
      <c r="T440" s="276"/>
      <c r="U440" s="276"/>
      <c r="V440" s="276"/>
      <c r="W440" s="276"/>
      <c r="X440" s="276"/>
      <c r="Y440" s="276"/>
      <c r="Z440" s="276"/>
    </row>
    <row r="441" spans="1:26" ht="18.75" customHeight="1">
      <c r="A441" s="276"/>
      <c r="B441" s="276"/>
      <c r="C441" s="276"/>
      <c r="D441" s="276"/>
      <c r="E441" s="276"/>
      <c r="F441" s="276"/>
      <c r="G441" s="276"/>
      <c r="H441" s="276"/>
      <c r="I441" s="276"/>
      <c r="J441" s="276"/>
      <c r="K441" s="276"/>
      <c r="L441" s="276"/>
      <c r="M441" s="276"/>
      <c r="N441" s="276"/>
      <c r="O441" s="276"/>
      <c r="P441" s="276"/>
      <c r="Q441" s="276"/>
      <c r="R441" s="276"/>
      <c r="S441" s="276"/>
      <c r="T441" s="276"/>
      <c r="U441" s="276"/>
      <c r="V441" s="276"/>
      <c r="W441" s="276"/>
      <c r="X441" s="276"/>
      <c r="Y441" s="276"/>
      <c r="Z441" s="276"/>
    </row>
    <row r="442" spans="1:26" ht="18.75" customHeight="1">
      <c r="A442" s="276"/>
      <c r="B442" s="276"/>
      <c r="C442" s="276"/>
      <c r="D442" s="276"/>
      <c r="E442" s="276"/>
      <c r="F442" s="276"/>
      <c r="G442" s="276"/>
      <c r="H442" s="276"/>
      <c r="I442" s="276"/>
      <c r="J442" s="276"/>
      <c r="K442" s="276"/>
      <c r="L442" s="276"/>
      <c r="M442" s="276"/>
      <c r="N442" s="276"/>
      <c r="O442" s="276"/>
      <c r="P442" s="276"/>
      <c r="Q442" s="276"/>
      <c r="R442" s="276"/>
      <c r="S442" s="276"/>
      <c r="T442" s="276"/>
      <c r="U442" s="276"/>
      <c r="V442" s="276"/>
      <c r="W442" s="276"/>
      <c r="X442" s="276"/>
      <c r="Y442" s="276"/>
      <c r="Z442" s="276"/>
    </row>
    <row r="443" spans="1:26" ht="18.75" customHeight="1">
      <c r="A443" s="276"/>
      <c r="B443" s="276"/>
      <c r="C443" s="276"/>
      <c r="D443" s="276"/>
      <c r="E443" s="276"/>
      <c r="F443" s="276"/>
      <c r="G443" s="276"/>
      <c r="H443" s="276"/>
      <c r="I443" s="276"/>
      <c r="J443" s="276"/>
      <c r="K443" s="276"/>
      <c r="L443" s="276"/>
      <c r="M443" s="276"/>
      <c r="N443" s="276"/>
      <c r="O443" s="276"/>
      <c r="P443" s="276"/>
      <c r="Q443" s="276"/>
      <c r="R443" s="276"/>
      <c r="S443" s="276"/>
      <c r="T443" s="276"/>
      <c r="U443" s="276"/>
      <c r="V443" s="276"/>
      <c r="W443" s="276"/>
      <c r="X443" s="276"/>
      <c r="Y443" s="276"/>
      <c r="Z443" s="276"/>
    </row>
    <row r="444" spans="1:26" ht="18.75" customHeight="1">
      <c r="A444" s="276"/>
      <c r="B444" s="276"/>
      <c r="C444" s="276"/>
      <c r="D444" s="276"/>
      <c r="E444" s="276"/>
      <c r="F444" s="276"/>
      <c r="G444" s="276"/>
      <c r="H444" s="276"/>
      <c r="I444" s="276"/>
      <c r="J444" s="276"/>
      <c r="K444" s="276"/>
      <c r="L444" s="276"/>
      <c r="M444" s="276"/>
      <c r="N444" s="276"/>
      <c r="O444" s="276"/>
      <c r="P444" s="276"/>
      <c r="Q444" s="276"/>
      <c r="R444" s="276"/>
      <c r="S444" s="276"/>
      <c r="T444" s="276"/>
      <c r="U444" s="276"/>
      <c r="V444" s="276"/>
      <c r="W444" s="276"/>
      <c r="X444" s="276"/>
      <c r="Y444" s="276"/>
      <c r="Z444" s="276"/>
    </row>
    <row r="445" spans="1:26" ht="18.75" customHeight="1">
      <c r="A445" s="276"/>
      <c r="B445" s="276"/>
      <c r="C445" s="276"/>
      <c r="D445" s="276"/>
      <c r="E445" s="276"/>
      <c r="F445" s="276"/>
      <c r="G445" s="276"/>
      <c r="H445" s="276"/>
      <c r="I445" s="276"/>
      <c r="J445" s="276"/>
      <c r="K445" s="276"/>
      <c r="L445" s="276"/>
      <c r="M445" s="276"/>
      <c r="N445" s="276"/>
      <c r="O445" s="276"/>
      <c r="P445" s="276"/>
      <c r="Q445" s="276"/>
      <c r="R445" s="276"/>
      <c r="S445" s="276"/>
      <c r="T445" s="276"/>
      <c r="U445" s="276"/>
      <c r="V445" s="276"/>
      <c r="W445" s="276"/>
      <c r="X445" s="276"/>
      <c r="Y445" s="276"/>
      <c r="Z445" s="276"/>
    </row>
    <row r="446" spans="1:26" ht="18.75" customHeight="1">
      <c r="A446" s="276"/>
      <c r="B446" s="276"/>
      <c r="C446" s="276"/>
      <c r="D446" s="276"/>
      <c r="E446" s="276"/>
      <c r="F446" s="276"/>
      <c r="G446" s="276"/>
      <c r="H446" s="276"/>
      <c r="I446" s="276"/>
      <c r="J446" s="276"/>
      <c r="K446" s="276"/>
      <c r="L446" s="276"/>
      <c r="M446" s="276"/>
      <c r="N446" s="276"/>
      <c r="O446" s="276"/>
      <c r="P446" s="276"/>
      <c r="Q446" s="276"/>
      <c r="R446" s="276"/>
      <c r="S446" s="276"/>
      <c r="T446" s="276"/>
      <c r="U446" s="276"/>
      <c r="V446" s="276"/>
      <c r="W446" s="276"/>
      <c r="X446" s="276"/>
      <c r="Y446" s="276"/>
      <c r="Z446" s="276"/>
    </row>
    <row r="447" spans="1:26" ht="18.75" customHeight="1">
      <c r="A447" s="276"/>
      <c r="B447" s="276"/>
      <c r="C447" s="276"/>
      <c r="D447" s="276"/>
      <c r="E447" s="276"/>
      <c r="F447" s="276"/>
      <c r="G447" s="276"/>
      <c r="H447" s="276"/>
      <c r="I447" s="276"/>
      <c r="J447" s="276"/>
      <c r="K447" s="276"/>
      <c r="L447" s="276"/>
      <c r="M447" s="276"/>
      <c r="N447" s="276"/>
      <c r="O447" s="276"/>
      <c r="P447" s="276"/>
      <c r="Q447" s="276"/>
      <c r="R447" s="276"/>
      <c r="S447" s="276"/>
      <c r="T447" s="276"/>
      <c r="U447" s="276"/>
      <c r="V447" s="276"/>
      <c r="W447" s="276"/>
      <c r="X447" s="276"/>
      <c r="Y447" s="276"/>
      <c r="Z447" s="276"/>
    </row>
    <row r="448" spans="1:26" ht="18.75" customHeight="1">
      <c r="A448" s="276"/>
      <c r="B448" s="276"/>
      <c r="C448" s="276"/>
      <c r="D448" s="276"/>
      <c r="E448" s="276"/>
      <c r="F448" s="276"/>
      <c r="G448" s="276"/>
      <c r="H448" s="276"/>
      <c r="I448" s="276"/>
      <c r="J448" s="276"/>
      <c r="K448" s="276"/>
      <c r="L448" s="276"/>
      <c r="M448" s="276"/>
      <c r="N448" s="276"/>
      <c r="O448" s="276"/>
      <c r="P448" s="276"/>
      <c r="Q448" s="276"/>
      <c r="R448" s="276"/>
      <c r="S448" s="276"/>
      <c r="T448" s="276"/>
      <c r="U448" s="276"/>
      <c r="V448" s="276"/>
      <c r="W448" s="276"/>
      <c r="X448" s="276"/>
      <c r="Y448" s="276"/>
      <c r="Z448" s="276"/>
    </row>
    <row r="449" spans="1:26" ht="18.75" customHeight="1">
      <c r="A449" s="276"/>
      <c r="B449" s="276"/>
      <c r="C449" s="276"/>
      <c r="D449" s="276"/>
      <c r="E449" s="276"/>
      <c r="F449" s="276"/>
      <c r="G449" s="276"/>
      <c r="H449" s="276"/>
      <c r="I449" s="276"/>
      <c r="J449" s="276"/>
      <c r="K449" s="276"/>
      <c r="L449" s="276"/>
      <c r="M449" s="276"/>
      <c r="N449" s="276"/>
      <c r="O449" s="276"/>
      <c r="P449" s="276"/>
      <c r="Q449" s="276"/>
      <c r="R449" s="276"/>
      <c r="S449" s="276"/>
      <c r="T449" s="276"/>
      <c r="U449" s="276"/>
      <c r="V449" s="276"/>
      <c r="W449" s="276"/>
      <c r="X449" s="276"/>
      <c r="Y449" s="276"/>
      <c r="Z449" s="276"/>
    </row>
    <row r="450" spans="1:26" ht="18.75" customHeight="1">
      <c r="A450" s="276"/>
      <c r="B450" s="276"/>
      <c r="C450" s="276"/>
      <c r="D450" s="276"/>
      <c r="E450" s="276"/>
      <c r="F450" s="276"/>
      <c r="G450" s="276"/>
      <c r="H450" s="276"/>
      <c r="I450" s="276"/>
      <c r="J450" s="276"/>
      <c r="K450" s="276"/>
      <c r="L450" s="276"/>
      <c r="M450" s="276"/>
      <c r="N450" s="276"/>
      <c r="O450" s="276"/>
      <c r="P450" s="276"/>
      <c r="Q450" s="276"/>
      <c r="R450" s="276"/>
      <c r="S450" s="276"/>
      <c r="T450" s="276"/>
      <c r="U450" s="276"/>
      <c r="V450" s="276"/>
      <c r="W450" s="276"/>
      <c r="X450" s="276"/>
      <c r="Y450" s="276"/>
      <c r="Z450" s="276"/>
    </row>
    <row r="451" spans="1:26" ht="18.75" customHeight="1">
      <c r="A451" s="276"/>
      <c r="B451" s="276"/>
      <c r="C451" s="276"/>
      <c r="D451" s="276"/>
      <c r="E451" s="276"/>
      <c r="F451" s="276"/>
      <c r="G451" s="276"/>
      <c r="H451" s="276"/>
      <c r="I451" s="276"/>
      <c r="J451" s="276"/>
      <c r="K451" s="276"/>
      <c r="L451" s="276"/>
      <c r="M451" s="276"/>
      <c r="N451" s="276"/>
      <c r="O451" s="276"/>
      <c r="P451" s="276"/>
      <c r="Q451" s="276"/>
      <c r="R451" s="276"/>
      <c r="S451" s="276"/>
      <c r="T451" s="276"/>
      <c r="U451" s="276"/>
      <c r="V451" s="276"/>
      <c r="W451" s="276"/>
      <c r="X451" s="276"/>
      <c r="Y451" s="276"/>
      <c r="Z451" s="276"/>
    </row>
    <row r="452" spans="1:26" ht="18.75" customHeight="1">
      <c r="A452" s="276"/>
      <c r="B452" s="276"/>
      <c r="C452" s="276"/>
      <c r="D452" s="276"/>
      <c r="E452" s="276"/>
      <c r="F452" s="276"/>
      <c r="G452" s="276"/>
      <c r="H452" s="276"/>
      <c r="I452" s="276"/>
      <c r="J452" s="276"/>
      <c r="K452" s="276"/>
      <c r="L452" s="276"/>
      <c r="M452" s="276"/>
      <c r="N452" s="276"/>
      <c r="O452" s="276"/>
      <c r="P452" s="276"/>
      <c r="Q452" s="276"/>
      <c r="R452" s="276"/>
      <c r="S452" s="276"/>
      <c r="T452" s="276"/>
      <c r="U452" s="276"/>
      <c r="V452" s="276"/>
      <c r="W452" s="276"/>
      <c r="X452" s="276"/>
      <c r="Y452" s="276"/>
      <c r="Z452" s="276"/>
    </row>
    <row r="453" spans="1:26" ht="18.75" customHeight="1">
      <c r="A453" s="276"/>
      <c r="B453" s="276"/>
      <c r="C453" s="276"/>
      <c r="D453" s="276"/>
      <c r="E453" s="276"/>
      <c r="F453" s="276"/>
      <c r="G453" s="276"/>
      <c r="H453" s="276"/>
      <c r="I453" s="276"/>
      <c r="J453" s="276"/>
      <c r="K453" s="276"/>
      <c r="L453" s="276"/>
      <c r="M453" s="276"/>
      <c r="N453" s="276"/>
      <c r="O453" s="276"/>
      <c r="P453" s="276"/>
      <c r="Q453" s="276"/>
      <c r="R453" s="276"/>
      <c r="S453" s="276"/>
      <c r="T453" s="276"/>
      <c r="U453" s="276"/>
      <c r="V453" s="276"/>
      <c r="W453" s="276"/>
      <c r="X453" s="276"/>
      <c r="Y453" s="276"/>
      <c r="Z453" s="276"/>
    </row>
    <row r="454" spans="1:26" ht="18.75" customHeight="1">
      <c r="A454" s="276"/>
      <c r="B454" s="276"/>
      <c r="C454" s="276"/>
      <c r="D454" s="276"/>
      <c r="E454" s="276"/>
      <c r="F454" s="276"/>
      <c r="G454" s="276"/>
      <c r="H454" s="276"/>
      <c r="I454" s="276"/>
      <c r="J454" s="276"/>
      <c r="K454" s="276"/>
      <c r="L454" s="276"/>
      <c r="M454" s="276"/>
      <c r="N454" s="276"/>
      <c r="O454" s="276"/>
      <c r="P454" s="276"/>
      <c r="Q454" s="276"/>
      <c r="R454" s="276"/>
      <c r="S454" s="276"/>
      <c r="T454" s="276"/>
      <c r="U454" s="276"/>
      <c r="V454" s="276"/>
      <c r="W454" s="276"/>
      <c r="X454" s="276"/>
      <c r="Y454" s="276"/>
      <c r="Z454" s="276"/>
    </row>
    <row r="455" spans="1:26" ht="18.75" customHeight="1">
      <c r="A455" s="276"/>
      <c r="B455" s="276"/>
      <c r="C455" s="276"/>
      <c r="D455" s="276"/>
      <c r="E455" s="276"/>
      <c r="F455" s="276"/>
      <c r="G455" s="276"/>
      <c r="H455" s="276"/>
      <c r="I455" s="276"/>
      <c r="J455" s="276"/>
      <c r="K455" s="276"/>
      <c r="L455" s="276"/>
      <c r="M455" s="276"/>
      <c r="N455" s="276"/>
      <c r="O455" s="276"/>
      <c r="P455" s="276"/>
      <c r="Q455" s="276"/>
      <c r="R455" s="276"/>
      <c r="S455" s="276"/>
      <c r="T455" s="276"/>
      <c r="U455" s="276"/>
      <c r="V455" s="276"/>
      <c r="W455" s="276"/>
      <c r="X455" s="276"/>
      <c r="Y455" s="276"/>
      <c r="Z455" s="276"/>
    </row>
    <row r="456" spans="1:26" ht="18.75" customHeight="1">
      <c r="A456" s="276"/>
      <c r="B456" s="276"/>
      <c r="C456" s="276"/>
      <c r="D456" s="276"/>
      <c r="E456" s="276"/>
      <c r="F456" s="276"/>
      <c r="G456" s="276"/>
      <c r="H456" s="276"/>
      <c r="I456" s="276"/>
      <c r="J456" s="276"/>
      <c r="K456" s="276"/>
      <c r="L456" s="276"/>
      <c r="M456" s="276"/>
      <c r="N456" s="276"/>
      <c r="O456" s="276"/>
      <c r="P456" s="276"/>
      <c r="Q456" s="276"/>
      <c r="R456" s="276"/>
      <c r="S456" s="276"/>
      <c r="T456" s="276"/>
      <c r="U456" s="276"/>
      <c r="V456" s="276"/>
      <c r="W456" s="276"/>
      <c r="X456" s="276"/>
      <c r="Y456" s="276"/>
      <c r="Z456" s="276"/>
    </row>
    <row r="457" spans="1:26" ht="18.75" customHeight="1">
      <c r="A457" s="276"/>
      <c r="B457" s="276"/>
      <c r="C457" s="276"/>
      <c r="D457" s="276"/>
      <c r="E457" s="276"/>
      <c r="F457" s="276"/>
      <c r="G457" s="276"/>
      <c r="H457" s="276"/>
      <c r="I457" s="276"/>
      <c r="J457" s="276"/>
      <c r="K457" s="276"/>
      <c r="L457" s="276"/>
      <c r="M457" s="276"/>
      <c r="N457" s="276"/>
      <c r="O457" s="276"/>
      <c r="P457" s="276"/>
      <c r="Q457" s="276"/>
      <c r="R457" s="276"/>
      <c r="S457" s="276"/>
      <c r="T457" s="276"/>
      <c r="U457" s="276"/>
      <c r="V457" s="276"/>
      <c r="W457" s="276"/>
      <c r="X457" s="276"/>
      <c r="Y457" s="276"/>
      <c r="Z457" s="276"/>
    </row>
    <row r="458" spans="1:26" ht="18.75" customHeight="1">
      <c r="A458" s="276"/>
      <c r="B458" s="276"/>
      <c r="C458" s="276"/>
      <c r="D458" s="276"/>
      <c r="E458" s="276"/>
      <c r="F458" s="276"/>
      <c r="G458" s="276"/>
      <c r="H458" s="276"/>
      <c r="I458" s="276"/>
      <c r="J458" s="276"/>
      <c r="K458" s="276"/>
      <c r="L458" s="276"/>
      <c r="M458" s="276"/>
      <c r="N458" s="276"/>
      <c r="O458" s="276"/>
      <c r="P458" s="276"/>
      <c r="Q458" s="276"/>
      <c r="R458" s="276"/>
      <c r="S458" s="276"/>
      <c r="T458" s="276"/>
      <c r="U458" s="276"/>
      <c r="V458" s="276"/>
      <c r="W458" s="276"/>
      <c r="X458" s="276"/>
      <c r="Y458" s="276"/>
      <c r="Z458" s="276"/>
    </row>
    <row r="459" spans="1:26" ht="18.75" customHeight="1">
      <c r="A459" s="276"/>
      <c r="B459" s="276"/>
      <c r="C459" s="276"/>
      <c r="D459" s="276"/>
      <c r="E459" s="276"/>
      <c r="F459" s="276"/>
      <c r="G459" s="276"/>
      <c r="H459" s="276"/>
      <c r="I459" s="276"/>
      <c r="J459" s="276"/>
      <c r="K459" s="276"/>
      <c r="L459" s="276"/>
      <c r="M459" s="276"/>
      <c r="N459" s="276"/>
      <c r="O459" s="276"/>
      <c r="P459" s="276"/>
      <c r="Q459" s="276"/>
      <c r="R459" s="276"/>
      <c r="S459" s="276"/>
      <c r="T459" s="276"/>
      <c r="U459" s="276"/>
      <c r="V459" s="276"/>
      <c r="W459" s="276"/>
      <c r="X459" s="276"/>
      <c r="Y459" s="276"/>
      <c r="Z459" s="276"/>
    </row>
    <row r="460" spans="1:26" ht="18.75" customHeight="1">
      <c r="A460" s="276"/>
      <c r="B460" s="276"/>
      <c r="C460" s="276"/>
      <c r="D460" s="276"/>
      <c r="E460" s="276"/>
      <c r="F460" s="276"/>
      <c r="G460" s="276"/>
      <c r="H460" s="276"/>
      <c r="I460" s="276"/>
      <c r="J460" s="276"/>
      <c r="K460" s="276"/>
      <c r="L460" s="276"/>
      <c r="M460" s="276"/>
      <c r="N460" s="276"/>
      <c r="O460" s="276"/>
      <c r="P460" s="276"/>
      <c r="Q460" s="276"/>
      <c r="R460" s="276"/>
      <c r="S460" s="276"/>
      <c r="T460" s="276"/>
      <c r="U460" s="276"/>
      <c r="V460" s="276"/>
      <c r="W460" s="276"/>
      <c r="X460" s="276"/>
      <c r="Y460" s="276"/>
      <c r="Z460" s="276"/>
    </row>
    <row r="461" spans="1:26" ht="18.75" customHeight="1">
      <c r="A461" s="276"/>
      <c r="B461" s="276"/>
      <c r="C461" s="276"/>
      <c r="D461" s="276"/>
      <c r="E461" s="276"/>
      <c r="F461" s="276"/>
      <c r="G461" s="276"/>
      <c r="H461" s="276"/>
      <c r="I461" s="276"/>
      <c r="J461" s="276"/>
      <c r="K461" s="276"/>
      <c r="L461" s="276"/>
      <c r="M461" s="276"/>
      <c r="N461" s="276"/>
      <c r="O461" s="276"/>
      <c r="P461" s="276"/>
      <c r="Q461" s="276"/>
      <c r="R461" s="276"/>
      <c r="S461" s="276"/>
      <c r="T461" s="276"/>
      <c r="U461" s="276"/>
      <c r="V461" s="276"/>
      <c r="W461" s="276"/>
      <c r="X461" s="276"/>
      <c r="Y461" s="276"/>
      <c r="Z461" s="276"/>
    </row>
    <row r="462" spans="1:26" ht="18.75" customHeight="1">
      <c r="A462" s="276"/>
      <c r="B462" s="276"/>
      <c r="C462" s="276"/>
      <c r="D462" s="276"/>
      <c r="E462" s="276"/>
      <c r="F462" s="276"/>
      <c r="G462" s="276"/>
      <c r="H462" s="276"/>
      <c r="I462" s="276"/>
      <c r="J462" s="276"/>
      <c r="K462" s="276"/>
      <c r="L462" s="276"/>
      <c r="M462" s="276"/>
      <c r="N462" s="276"/>
      <c r="O462" s="276"/>
      <c r="P462" s="276"/>
      <c r="Q462" s="276"/>
      <c r="R462" s="276"/>
      <c r="S462" s="276"/>
      <c r="T462" s="276"/>
      <c r="U462" s="276"/>
      <c r="V462" s="276"/>
      <c r="W462" s="276"/>
      <c r="X462" s="276"/>
      <c r="Y462" s="276"/>
      <c r="Z462" s="276"/>
    </row>
    <row r="463" spans="1:26" ht="18.75" customHeight="1">
      <c r="A463" s="276"/>
      <c r="B463" s="276"/>
      <c r="C463" s="276"/>
      <c r="D463" s="276"/>
      <c r="E463" s="276"/>
      <c r="F463" s="276"/>
      <c r="G463" s="276"/>
      <c r="H463" s="276"/>
      <c r="I463" s="276"/>
      <c r="J463" s="276"/>
      <c r="K463" s="276"/>
      <c r="L463" s="276"/>
      <c r="M463" s="276"/>
      <c r="N463" s="276"/>
      <c r="O463" s="276"/>
      <c r="P463" s="276"/>
      <c r="Q463" s="276"/>
      <c r="R463" s="276"/>
      <c r="S463" s="276"/>
      <c r="T463" s="276"/>
      <c r="U463" s="276"/>
      <c r="V463" s="276"/>
      <c r="W463" s="276"/>
      <c r="X463" s="276"/>
      <c r="Y463" s="276"/>
      <c r="Z463" s="276"/>
    </row>
    <row r="464" spans="1:26" ht="18.75" customHeight="1">
      <c r="A464" s="276"/>
      <c r="B464" s="276"/>
      <c r="C464" s="276"/>
      <c r="D464" s="276"/>
      <c r="E464" s="276"/>
      <c r="F464" s="276"/>
      <c r="G464" s="276"/>
      <c r="H464" s="276"/>
      <c r="I464" s="276"/>
      <c r="J464" s="276"/>
      <c r="K464" s="276"/>
      <c r="L464" s="276"/>
      <c r="M464" s="276"/>
      <c r="N464" s="276"/>
      <c r="O464" s="276"/>
      <c r="P464" s="276"/>
      <c r="Q464" s="276"/>
      <c r="R464" s="276"/>
      <c r="S464" s="276"/>
      <c r="T464" s="276"/>
      <c r="U464" s="276"/>
      <c r="V464" s="276"/>
      <c r="W464" s="276"/>
      <c r="X464" s="276"/>
      <c r="Y464" s="276"/>
      <c r="Z464" s="276"/>
    </row>
    <row r="465" spans="1:26" ht="18.75" customHeight="1">
      <c r="A465" s="276"/>
      <c r="B465" s="276"/>
      <c r="C465" s="276"/>
      <c r="D465" s="276"/>
      <c r="E465" s="276"/>
      <c r="F465" s="276"/>
      <c r="G465" s="276"/>
      <c r="H465" s="276"/>
      <c r="I465" s="276"/>
      <c r="J465" s="276"/>
      <c r="K465" s="276"/>
      <c r="L465" s="276"/>
      <c r="M465" s="276"/>
      <c r="N465" s="276"/>
      <c r="O465" s="276"/>
      <c r="P465" s="276"/>
      <c r="Q465" s="276"/>
      <c r="R465" s="276"/>
      <c r="S465" s="276"/>
      <c r="T465" s="276"/>
      <c r="U465" s="276"/>
      <c r="V465" s="276"/>
      <c r="W465" s="276"/>
      <c r="X465" s="276"/>
      <c r="Y465" s="276"/>
      <c r="Z465" s="276"/>
    </row>
    <row r="466" spans="1:26" ht="18.75" customHeight="1">
      <c r="A466" s="276"/>
      <c r="B466" s="276"/>
      <c r="C466" s="276"/>
      <c r="D466" s="276"/>
      <c r="E466" s="276"/>
      <c r="F466" s="276"/>
      <c r="G466" s="276"/>
      <c r="H466" s="276"/>
      <c r="I466" s="276"/>
      <c r="J466" s="276"/>
      <c r="K466" s="276"/>
      <c r="L466" s="276"/>
      <c r="M466" s="276"/>
      <c r="N466" s="276"/>
      <c r="O466" s="276"/>
      <c r="P466" s="276"/>
      <c r="Q466" s="276"/>
      <c r="R466" s="276"/>
      <c r="S466" s="276"/>
      <c r="T466" s="276"/>
      <c r="U466" s="276"/>
      <c r="V466" s="276"/>
      <c r="W466" s="276"/>
      <c r="X466" s="276"/>
      <c r="Y466" s="276"/>
      <c r="Z466" s="276"/>
    </row>
    <row r="467" spans="1:26" ht="18.75" customHeight="1">
      <c r="A467" s="276"/>
      <c r="B467" s="276"/>
      <c r="C467" s="276"/>
      <c r="D467" s="276"/>
      <c r="E467" s="276"/>
      <c r="F467" s="276"/>
      <c r="G467" s="276"/>
      <c r="H467" s="276"/>
      <c r="I467" s="276"/>
      <c r="J467" s="276"/>
      <c r="K467" s="276"/>
      <c r="L467" s="276"/>
      <c r="M467" s="276"/>
      <c r="N467" s="276"/>
      <c r="O467" s="276"/>
      <c r="P467" s="276"/>
      <c r="Q467" s="276"/>
      <c r="R467" s="276"/>
      <c r="S467" s="276"/>
      <c r="T467" s="276"/>
      <c r="U467" s="276"/>
      <c r="V467" s="276"/>
      <c r="W467" s="276"/>
      <c r="X467" s="276"/>
      <c r="Y467" s="276"/>
      <c r="Z467" s="276"/>
    </row>
    <row r="468" spans="1:26" ht="18.75" customHeight="1">
      <c r="A468" s="276"/>
      <c r="B468" s="276"/>
      <c r="C468" s="276"/>
      <c r="D468" s="276"/>
      <c r="E468" s="276"/>
      <c r="F468" s="276"/>
      <c r="G468" s="276"/>
      <c r="H468" s="276"/>
      <c r="I468" s="276"/>
      <c r="J468" s="276"/>
      <c r="K468" s="276"/>
      <c r="L468" s="276"/>
      <c r="M468" s="276"/>
      <c r="N468" s="276"/>
      <c r="O468" s="276"/>
      <c r="P468" s="276"/>
      <c r="Q468" s="276"/>
      <c r="R468" s="276"/>
      <c r="S468" s="276"/>
      <c r="T468" s="276"/>
      <c r="U468" s="276"/>
      <c r="V468" s="276"/>
      <c r="W468" s="276"/>
      <c r="X468" s="276"/>
      <c r="Y468" s="276"/>
      <c r="Z468" s="276"/>
    </row>
    <row r="469" spans="1:26" ht="18.75" customHeight="1">
      <c r="A469" s="276"/>
      <c r="B469" s="276"/>
      <c r="C469" s="276"/>
      <c r="D469" s="276"/>
      <c r="E469" s="276"/>
      <c r="F469" s="276"/>
      <c r="G469" s="276"/>
      <c r="H469" s="276"/>
      <c r="I469" s="276"/>
      <c r="J469" s="276"/>
      <c r="K469" s="276"/>
      <c r="L469" s="276"/>
      <c r="M469" s="276"/>
      <c r="N469" s="276"/>
      <c r="O469" s="276"/>
      <c r="P469" s="276"/>
      <c r="Q469" s="276"/>
      <c r="R469" s="276"/>
      <c r="S469" s="276"/>
      <c r="T469" s="276"/>
      <c r="U469" s="276"/>
      <c r="V469" s="276"/>
      <c r="W469" s="276"/>
      <c r="X469" s="276"/>
      <c r="Y469" s="276"/>
      <c r="Z469" s="276"/>
    </row>
    <row r="470" spans="1:26" ht="18.75" customHeight="1">
      <c r="A470" s="276"/>
      <c r="B470" s="276"/>
      <c r="C470" s="276"/>
      <c r="D470" s="276"/>
      <c r="E470" s="276"/>
      <c r="F470" s="276"/>
      <c r="G470" s="276"/>
      <c r="H470" s="276"/>
      <c r="I470" s="276"/>
      <c r="J470" s="276"/>
      <c r="K470" s="276"/>
      <c r="L470" s="276"/>
      <c r="M470" s="276"/>
      <c r="N470" s="276"/>
      <c r="O470" s="276"/>
      <c r="P470" s="276"/>
      <c r="Q470" s="276"/>
      <c r="R470" s="276"/>
      <c r="S470" s="276"/>
      <c r="T470" s="276"/>
      <c r="U470" s="276"/>
      <c r="V470" s="276"/>
      <c r="W470" s="276"/>
      <c r="X470" s="276"/>
      <c r="Y470" s="276"/>
      <c r="Z470" s="276"/>
    </row>
    <row r="471" spans="1:26" ht="18.75" customHeight="1">
      <c r="A471" s="276"/>
      <c r="B471" s="276"/>
      <c r="C471" s="276"/>
      <c r="D471" s="276"/>
      <c r="E471" s="276"/>
      <c r="F471" s="276"/>
      <c r="G471" s="276"/>
      <c r="H471" s="276"/>
      <c r="I471" s="276"/>
      <c r="J471" s="276"/>
      <c r="K471" s="276"/>
      <c r="L471" s="276"/>
      <c r="M471" s="276"/>
      <c r="N471" s="276"/>
      <c r="O471" s="276"/>
      <c r="P471" s="276"/>
      <c r="Q471" s="276"/>
      <c r="R471" s="276"/>
      <c r="S471" s="276"/>
      <c r="T471" s="276"/>
      <c r="U471" s="276"/>
      <c r="V471" s="276"/>
      <c r="W471" s="276"/>
      <c r="X471" s="276"/>
      <c r="Y471" s="276"/>
      <c r="Z471" s="276"/>
    </row>
    <row r="472" spans="1:26" ht="18.75" customHeight="1">
      <c r="A472" s="276"/>
      <c r="B472" s="276"/>
      <c r="C472" s="276"/>
      <c r="D472" s="276"/>
      <c r="E472" s="276"/>
      <c r="F472" s="276"/>
      <c r="G472" s="276"/>
      <c r="H472" s="276"/>
      <c r="I472" s="276"/>
      <c r="J472" s="276"/>
      <c r="K472" s="276"/>
      <c r="L472" s="276"/>
      <c r="M472" s="276"/>
      <c r="N472" s="276"/>
      <c r="O472" s="276"/>
      <c r="P472" s="276"/>
      <c r="Q472" s="276"/>
      <c r="R472" s="276"/>
      <c r="S472" s="276"/>
      <c r="T472" s="276"/>
      <c r="U472" s="276"/>
      <c r="V472" s="276"/>
      <c r="W472" s="276"/>
      <c r="X472" s="276"/>
      <c r="Y472" s="276"/>
      <c r="Z472" s="276"/>
    </row>
    <row r="473" spans="1:26" ht="18.75" customHeight="1">
      <c r="A473" s="276"/>
      <c r="B473" s="276"/>
      <c r="C473" s="276"/>
      <c r="D473" s="276"/>
      <c r="E473" s="276"/>
      <c r="F473" s="276"/>
      <c r="G473" s="276"/>
      <c r="H473" s="276"/>
      <c r="I473" s="276"/>
      <c r="J473" s="276"/>
      <c r="K473" s="276"/>
      <c r="L473" s="276"/>
      <c r="M473" s="276"/>
      <c r="N473" s="276"/>
      <c r="O473" s="276"/>
      <c r="P473" s="276"/>
      <c r="Q473" s="276"/>
      <c r="R473" s="276"/>
      <c r="S473" s="276"/>
      <c r="T473" s="276"/>
      <c r="U473" s="276"/>
      <c r="V473" s="276"/>
      <c r="W473" s="276"/>
      <c r="X473" s="276"/>
      <c r="Y473" s="276"/>
      <c r="Z473" s="276"/>
    </row>
    <row r="474" spans="1:26" ht="18.75" customHeight="1">
      <c r="A474" s="276"/>
      <c r="B474" s="276"/>
      <c r="C474" s="276"/>
      <c r="D474" s="276"/>
      <c r="E474" s="276"/>
      <c r="F474" s="276"/>
      <c r="G474" s="276"/>
      <c r="H474" s="276"/>
      <c r="I474" s="276"/>
      <c r="J474" s="276"/>
      <c r="K474" s="276"/>
      <c r="L474" s="276"/>
      <c r="M474" s="276"/>
      <c r="N474" s="276"/>
      <c r="O474" s="276"/>
      <c r="P474" s="276"/>
      <c r="Q474" s="276"/>
      <c r="R474" s="276"/>
      <c r="S474" s="276"/>
      <c r="T474" s="276"/>
      <c r="U474" s="276"/>
      <c r="V474" s="276"/>
      <c r="W474" s="276"/>
      <c r="X474" s="276"/>
      <c r="Y474" s="276"/>
      <c r="Z474" s="276"/>
    </row>
    <row r="475" spans="1:26" ht="18.75" customHeight="1">
      <c r="A475" s="276"/>
      <c r="B475" s="276"/>
      <c r="C475" s="276"/>
      <c r="D475" s="276"/>
      <c r="E475" s="276"/>
      <c r="F475" s="276"/>
      <c r="G475" s="276"/>
      <c r="H475" s="276"/>
      <c r="I475" s="276"/>
      <c r="J475" s="276"/>
      <c r="K475" s="276"/>
      <c r="L475" s="276"/>
      <c r="M475" s="276"/>
      <c r="N475" s="276"/>
      <c r="O475" s="276"/>
      <c r="P475" s="276"/>
      <c r="Q475" s="276"/>
      <c r="R475" s="276"/>
      <c r="S475" s="276"/>
      <c r="T475" s="276"/>
      <c r="U475" s="276"/>
      <c r="V475" s="276"/>
      <c r="W475" s="276"/>
      <c r="X475" s="276"/>
      <c r="Y475" s="276"/>
      <c r="Z475" s="276"/>
    </row>
    <row r="476" spans="1:26" ht="18.75" customHeight="1">
      <c r="A476" s="276"/>
      <c r="B476" s="276"/>
      <c r="C476" s="276"/>
      <c r="D476" s="276"/>
      <c r="E476" s="276"/>
      <c r="F476" s="276"/>
      <c r="G476" s="276"/>
      <c r="H476" s="276"/>
      <c r="I476" s="276"/>
      <c r="J476" s="276"/>
      <c r="K476" s="276"/>
      <c r="L476" s="276"/>
      <c r="M476" s="276"/>
      <c r="N476" s="276"/>
      <c r="O476" s="276"/>
      <c r="P476" s="276"/>
      <c r="Q476" s="276"/>
      <c r="R476" s="276"/>
      <c r="S476" s="276"/>
      <c r="T476" s="276"/>
      <c r="U476" s="276"/>
      <c r="V476" s="276"/>
      <c r="W476" s="276"/>
      <c r="X476" s="276"/>
      <c r="Y476" s="276"/>
      <c r="Z476" s="276"/>
    </row>
    <row r="477" spans="1:26" ht="18.75" customHeight="1">
      <c r="A477" s="276"/>
      <c r="B477" s="276"/>
      <c r="C477" s="276"/>
      <c r="D477" s="276"/>
      <c r="E477" s="276"/>
      <c r="F477" s="276"/>
      <c r="G477" s="276"/>
      <c r="H477" s="276"/>
      <c r="I477" s="276"/>
      <c r="J477" s="276"/>
      <c r="K477" s="276"/>
      <c r="L477" s="276"/>
      <c r="M477" s="276"/>
      <c r="N477" s="276"/>
      <c r="O477" s="276"/>
      <c r="P477" s="276"/>
      <c r="Q477" s="276"/>
      <c r="R477" s="276"/>
      <c r="S477" s="276"/>
      <c r="T477" s="276"/>
      <c r="U477" s="276"/>
      <c r="V477" s="276"/>
      <c r="W477" s="276"/>
      <c r="X477" s="276"/>
      <c r="Y477" s="276"/>
      <c r="Z477" s="276"/>
    </row>
    <row r="478" spans="1:26" ht="18.75" customHeight="1">
      <c r="A478" s="276"/>
      <c r="B478" s="276"/>
      <c r="C478" s="276"/>
      <c r="D478" s="276"/>
      <c r="E478" s="276"/>
      <c r="F478" s="276"/>
      <c r="G478" s="276"/>
      <c r="H478" s="276"/>
      <c r="I478" s="276"/>
      <c r="J478" s="276"/>
      <c r="K478" s="276"/>
      <c r="L478" s="276"/>
      <c r="M478" s="276"/>
      <c r="N478" s="276"/>
      <c r="O478" s="276"/>
      <c r="P478" s="276"/>
      <c r="Q478" s="276"/>
      <c r="R478" s="276"/>
      <c r="S478" s="276"/>
      <c r="T478" s="276"/>
      <c r="U478" s="276"/>
      <c r="V478" s="276"/>
      <c r="W478" s="276"/>
      <c r="X478" s="276"/>
      <c r="Y478" s="276"/>
      <c r="Z478" s="276"/>
    </row>
    <row r="479" spans="1:26" ht="18.75" customHeight="1">
      <c r="A479" s="276"/>
      <c r="B479" s="276"/>
      <c r="C479" s="276"/>
      <c r="D479" s="276"/>
      <c r="E479" s="276"/>
      <c r="F479" s="276"/>
      <c r="G479" s="276"/>
      <c r="H479" s="276"/>
      <c r="I479" s="276"/>
      <c r="J479" s="276"/>
      <c r="K479" s="276"/>
      <c r="L479" s="276"/>
      <c r="M479" s="276"/>
      <c r="N479" s="276"/>
      <c r="O479" s="276"/>
      <c r="P479" s="276"/>
      <c r="Q479" s="276"/>
      <c r="R479" s="276"/>
      <c r="S479" s="276"/>
      <c r="T479" s="276"/>
      <c r="U479" s="276"/>
      <c r="V479" s="276"/>
      <c r="W479" s="276"/>
      <c r="X479" s="276"/>
      <c r="Y479" s="276"/>
      <c r="Z479" s="276"/>
    </row>
    <row r="480" spans="1:26" ht="18.75" customHeight="1">
      <c r="A480" s="276"/>
      <c r="B480" s="276"/>
      <c r="C480" s="276"/>
      <c r="D480" s="276"/>
      <c r="E480" s="276"/>
      <c r="F480" s="276"/>
      <c r="G480" s="276"/>
      <c r="H480" s="276"/>
      <c r="I480" s="276"/>
      <c r="J480" s="276"/>
      <c r="K480" s="276"/>
      <c r="L480" s="276"/>
      <c r="M480" s="276"/>
      <c r="N480" s="276"/>
      <c r="O480" s="276"/>
      <c r="P480" s="276"/>
      <c r="Q480" s="276"/>
      <c r="R480" s="276"/>
      <c r="S480" s="276"/>
      <c r="T480" s="276"/>
      <c r="U480" s="276"/>
      <c r="V480" s="276"/>
      <c r="W480" s="276"/>
      <c r="X480" s="276"/>
      <c r="Y480" s="276"/>
      <c r="Z480" s="276"/>
    </row>
    <row r="481" spans="1:26" ht="18.75" customHeight="1">
      <c r="A481" s="276"/>
      <c r="B481" s="276"/>
      <c r="C481" s="276"/>
      <c r="D481" s="276"/>
      <c r="E481" s="276"/>
      <c r="F481" s="276"/>
      <c r="G481" s="276"/>
      <c r="H481" s="276"/>
      <c r="I481" s="276"/>
      <c r="J481" s="276"/>
      <c r="K481" s="276"/>
      <c r="L481" s="276"/>
      <c r="M481" s="276"/>
      <c r="N481" s="276"/>
      <c r="O481" s="276"/>
      <c r="P481" s="276"/>
      <c r="Q481" s="276"/>
      <c r="R481" s="276"/>
      <c r="S481" s="276"/>
      <c r="T481" s="276"/>
      <c r="U481" s="276"/>
      <c r="V481" s="276"/>
      <c r="W481" s="276"/>
      <c r="X481" s="276"/>
      <c r="Y481" s="276"/>
      <c r="Z481" s="276"/>
    </row>
    <row r="482" spans="1:26" ht="18.75" customHeight="1">
      <c r="A482" s="276"/>
      <c r="B482" s="276"/>
      <c r="C482" s="276"/>
      <c r="D482" s="276"/>
      <c r="E482" s="276"/>
      <c r="F482" s="276"/>
      <c r="G482" s="276"/>
      <c r="H482" s="276"/>
      <c r="I482" s="276"/>
      <c r="J482" s="276"/>
      <c r="K482" s="276"/>
      <c r="L482" s="276"/>
      <c r="M482" s="276"/>
      <c r="N482" s="276"/>
      <c r="O482" s="276"/>
      <c r="P482" s="276"/>
      <c r="Q482" s="276"/>
      <c r="R482" s="276"/>
      <c r="S482" s="276"/>
      <c r="T482" s="276"/>
      <c r="U482" s="276"/>
      <c r="V482" s="276"/>
      <c r="W482" s="276"/>
      <c r="X482" s="276"/>
      <c r="Y482" s="276"/>
      <c r="Z482" s="276"/>
    </row>
    <row r="483" spans="1:26" ht="18.75" customHeight="1">
      <c r="A483" s="276"/>
      <c r="B483" s="276"/>
      <c r="C483" s="276"/>
      <c r="D483" s="276"/>
      <c r="E483" s="276"/>
      <c r="F483" s="276"/>
      <c r="G483" s="276"/>
      <c r="H483" s="276"/>
      <c r="I483" s="276"/>
      <c r="J483" s="276"/>
      <c r="K483" s="276"/>
      <c r="L483" s="276"/>
      <c r="M483" s="276"/>
      <c r="N483" s="276"/>
      <c r="O483" s="276"/>
      <c r="P483" s="276"/>
      <c r="Q483" s="276"/>
      <c r="R483" s="276"/>
      <c r="S483" s="276"/>
      <c r="T483" s="276"/>
      <c r="U483" s="276"/>
      <c r="V483" s="276"/>
      <c r="W483" s="276"/>
      <c r="X483" s="276"/>
      <c r="Y483" s="276"/>
      <c r="Z483" s="276"/>
    </row>
    <row r="484" spans="1:26" ht="18.75" customHeight="1">
      <c r="A484" s="276"/>
      <c r="B484" s="276"/>
      <c r="C484" s="276"/>
      <c r="D484" s="276"/>
      <c r="E484" s="276"/>
      <c r="F484" s="276"/>
      <c r="G484" s="276"/>
      <c r="H484" s="276"/>
      <c r="I484" s="276"/>
      <c r="J484" s="276"/>
      <c r="K484" s="276"/>
      <c r="L484" s="276"/>
      <c r="M484" s="276"/>
      <c r="N484" s="276"/>
      <c r="O484" s="276"/>
      <c r="P484" s="276"/>
      <c r="Q484" s="276"/>
      <c r="R484" s="276"/>
      <c r="S484" s="276"/>
      <c r="T484" s="276"/>
      <c r="U484" s="276"/>
      <c r="V484" s="276"/>
      <c r="W484" s="276"/>
      <c r="X484" s="276"/>
      <c r="Y484" s="276"/>
      <c r="Z484" s="276"/>
    </row>
    <row r="485" spans="1:26" ht="18.75" customHeight="1">
      <c r="A485" s="276"/>
      <c r="B485" s="276"/>
      <c r="C485" s="276"/>
      <c r="D485" s="276"/>
      <c r="E485" s="276"/>
      <c r="F485" s="276"/>
      <c r="G485" s="276"/>
      <c r="H485" s="276"/>
      <c r="I485" s="276"/>
      <c r="J485" s="276"/>
      <c r="K485" s="276"/>
      <c r="L485" s="276"/>
      <c r="M485" s="276"/>
      <c r="N485" s="276"/>
      <c r="O485" s="276"/>
      <c r="P485" s="276"/>
      <c r="Q485" s="276"/>
      <c r="R485" s="276"/>
      <c r="S485" s="276"/>
      <c r="T485" s="276"/>
      <c r="U485" s="276"/>
      <c r="V485" s="276"/>
      <c r="W485" s="276"/>
      <c r="X485" s="276"/>
      <c r="Y485" s="276"/>
      <c r="Z485" s="276"/>
    </row>
    <row r="486" spans="1:26" ht="18.75" customHeight="1">
      <c r="A486" s="276"/>
      <c r="B486" s="276"/>
      <c r="C486" s="276"/>
      <c r="D486" s="276"/>
      <c r="E486" s="276"/>
      <c r="F486" s="276"/>
      <c r="G486" s="276"/>
      <c r="H486" s="276"/>
      <c r="I486" s="276"/>
      <c r="J486" s="276"/>
      <c r="K486" s="276"/>
      <c r="L486" s="276"/>
      <c r="M486" s="276"/>
      <c r="N486" s="276"/>
      <c r="O486" s="276"/>
      <c r="P486" s="276"/>
      <c r="Q486" s="276"/>
      <c r="R486" s="276"/>
      <c r="S486" s="276"/>
      <c r="T486" s="276"/>
      <c r="U486" s="276"/>
      <c r="V486" s="276"/>
      <c r="W486" s="276"/>
      <c r="X486" s="276"/>
      <c r="Y486" s="276"/>
      <c r="Z486" s="276"/>
    </row>
    <row r="487" spans="1:26" ht="18.75" customHeight="1">
      <c r="A487" s="276"/>
      <c r="B487" s="276"/>
      <c r="C487" s="276"/>
      <c r="D487" s="276"/>
      <c r="E487" s="276"/>
      <c r="F487" s="276"/>
      <c r="G487" s="276"/>
      <c r="H487" s="276"/>
      <c r="I487" s="276"/>
      <c r="J487" s="276"/>
      <c r="K487" s="276"/>
      <c r="L487" s="276"/>
      <c r="M487" s="276"/>
      <c r="N487" s="276"/>
      <c r="O487" s="276"/>
      <c r="P487" s="276"/>
      <c r="Q487" s="276"/>
      <c r="R487" s="276"/>
      <c r="S487" s="276"/>
      <c r="T487" s="276"/>
      <c r="U487" s="276"/>
      <c r="V487" s="276"/>
      <c r="W487" s="276"/>
      <c r="X487" s="276"/>
      <c r="Y487" s="276"/>
      <c r="Z487" s="276"/>
    </row>
    <row r="488" spans="1:26" ht="18.75" customHeight="1">
      <c r="A488" s="276"/>
      <c r="B488" s="276"/>
      <c r="C488" s="276"/>
      <c r="D488" s="276"/>
      <c r="E488" s="276"/>
      <c r="F488" s="276"/>
      <c r="G488" s="276"/>
      <c r="H488" s="276"/>
      <c r="I488" s="276"/>
      <c r="J488" s="276"/>
      <c r="K488" s="276"/>
      <c r="L488" s="276"/>
      <c r="M488" s="276"/>
      <c r="N488" s="276"/>
      <c r="O488" s="276"/>
      <c r="P488" s="276"/>
      <c r="Q488" s="276"/>
      <c r="R488" s="276"/>
      <c r="S488" s="276"/>
      <c r="T488" s="276"/>
      <c r="U488" s="276"/>
      <c r="V488" s="276"/>
      <c r="W488" s="276"/>
      <c r="X488" s="276"/>
      <c r="Y488" s="276"/>
      <c r="Z488" s="276"/>
    </row>
    <row r="489" spans="1:26" ht="18.75" customHeight="1">
      <c r="A489" s="276"/>
      <c r="B489" s="276"/>
      <c r="C489" s="276"/>
      <c r="D489" s="276"/>
      <c r="E489" s="276"/>
      <c r="F489" s="276"/>
      <c r="G489" s="276"/>
      <c r="H489" s="276"/>
      <c r="I489" s="276"/>
      <c r="J489" s="276"/>
      <c r="K489" s="276"/>
      <c r="L489" s="276"/>
      <c r="M489" s="276"/>
      <c r="N489" s="276"/>
      <c r="O489" s="276"/>
      <c r="P489" s="276"/>
      <c r="Q489" s="276"/>
      <c r="R489" s="276"/>
      <c r="S489" s="276"/>
      <c r="T489" s="276"/>
      <c r="U489" s="276"/>
      <c r="V489" s="276"/>
      <c r="W489" s="276"/>
      <c r="X489" s="276"/>
      <c r="Y489" s="276"/>
      <c r="Z489" s="276"/>
    </row>
    <row r="490" spans="1:26" ht="18.75" customHeight="1">
      <c r="A490" s="276"/>
      <c r="B490" s="276"/>
      <c r="C490" s="276"/>
      <c r="D490" s="276"/>
      <c r="E490" s="276"/>
      <c r="F490" s="276"/>
      <c r="G490" s="276"/>
      <c r="H490" s="276"/>
      <c r="I490" s="276"/>
      <c r="J490" s="276"/>
      <c r="K490" s="276"/>
      <c r="L490" s="276"/>
      <c r="M490" s="276"/>
      <c r="N490" s="276"/>
      <c r="O490" s="276"/>
      <c r="P490" s="276"/>
      <c r="Q490" s="276"/>
      <c r="R490" s="276"/>
      <c r="S490" s="276"/>
      <c r="T490" s="276"/>
      <c r="U490" s="276"/>
      <c r="V490" s="276"/>
      <c r="W490" s="276"/>
      <c r="X490" s="276"/>
      <c r="Y490" s="276"/>
      <c r="Z490" s="276"/>
    </row>
    <row r="491" spans="1:26" ht="18.75" customHeight="1">
      <c r="A491" s="276"/>
      <c r="B491" s="276"/>
      <c r="C491" s="276"/>
      <c r="D491" s="276"/>
      <c r="E491" s="276"/>
      <c r="F491" s="276"/>
      <c r="G491" s="276"/>
      <c r="H491" s="276"/>
      <c r="I491" s="276"/>
      <c r="J491" s="276"/>
      <c r="K491" s="276"/>
      <c r="L491" s="276"/>
      <c r="M491" s="276"/>
      <c r="N491" s="276"/>
      <c r="O491" s="276"/>
      <c r="P491" s="276"/>
      <c r="Q491" s="276"/>
      <c r="R491" s="276"/>
      <c r="S491" s="276"/>
      <c r="T491" s="276"/>
      <c r="U491" s="276"/>
      <c r="V491" s="276"/>
      <c r="W491" s="276"/>
      <c r="X491" s="276"/>
      <c r="Y491" s="276"/>
      <c r="Z491" s="276"/>
    </row>
    <row r="492" spans="1:26" ht="18.75" customHeight="1">
      <c r="A492" s="276"/>
      <c r="B492" s="276"/>
      <c r="C492" s="276"/>
      <c r="D492" s="276"/>
      <c r="E492" s="276"/>
      <c r="F492" s="276"/>
      <c r="G492" s="276"/>
      <c r="H492" s="276"/>
      <c r="I492" s="276"/>
      <c r="J492" s="276"/>
      <c r="K492" s="276"/>
      <c r="L492" s="276"/>
      <c r="M492" s="276"/>
      <c r="N492" s="276"/>
      <c r="O492" s="276"/>
      <c r="P492" s="276"/>
      <c r="Q492" s="276"/>
      <c r="R492" s="276"/>
      <c r="S492" s="276"/>
      <c r="T492" s="276"/>
      <c r="U492" s="276"/>
      <c r="V492" s="276"/>
      <c r="W492" s="276"/>
      <c r="X492" s="276"/>
      <c r="Y492" s="276"/>
      <c r="Z492" s="276"/>
    </row>
    <row r="493" spans="1:26" ht="18.75" customHeight="1">
      <c r="A493" s="276"/>
      <c r="B493" s="276"/>
      <c r="C493" s="276"/>
      <c r="D493" s="276"/>
      <c r="E493" s="276"/>
      <c r="F493" s="276"/>
      <c r="G493" s="276"/>
      <c r="H493" s="276"/>
      <c r="I493" s="276"/>
      <c r="J493" s="276"/>
      <c r="K493" s="276"/>
      <c r="L493" s="276"/>
      <c r="M493" s="276"/>
      <c r="N493" s="276"/>
      <c r="O493" s="276"/>
      <c r="P493" s="276"/>
      <c r="Q493" s="276"/>
      <c r="R493" s="276"/>
      <c r="S493" s="276"/>
      <c r="T493" s="276"/>
      <c r="U493" s="276"/>
      <c r="V493" s="276"/>
      <c r="W493" s="276"/>
      <c r="X493" s="276"/>
      <c r="Y493" s="276"/>
      <c r="Z493" s="276"/>
    </row>
    <row r="494" spans="1:26" ht="18.75" customHeight="1">
      <c r="A494" s="276"/>
      <c r="B494" s="276"/>
      <c r="C494" s="276"/>
      <c r="D494" s="276"/>
      <c r="E494" s="276"/>
      <c r="F494" s="276"/>
      <c r="G494" s="276"/>
      <c r="H494" s="276"/>
      <c r="I494" s="276"/>
      <c r="J494" s="276"/>
      <c r="K494" s="276"/>
      <c r="L494" s="276"/>
      <c r="M494" s="276"/>
      <c r="N494" s="276"/>
      <c r="O494" s="276"/>
      <c r="P494" s="276"/>
      <c r="Q494" s="276"/>
      <c r="R494" s="276"/>
      <c r="S494" s="276"/>
      <c r="T494" s="276"/>
      <c r="U494" s="276"/>
      <c r="V494" s="276"/>
      <c r="W494" s="276"/>
      <c r="X494" s="276"/>
      <c r="Y494" s="276"/>
      <c r="Z494" s="276"/>
    </row>
    <row r="495" spans="1:26" ht="18.75" customHeight="1">
      <c r="A495" s="276"/>
      <c r="B495" s="276"/>
      <c r="C495" s="276"/>
      <c r="D495" s="276"/>
      <c r="E495" s="276"/>
      <c r="F495" s="276"/>
      <c r="G495" s="276"/>
      <c r="H495" s="276"/>
      <c r="I495" s="276"/>
      <c r="J495" s="276"/>
      <c r="K495" s="276"/>
      <c r="L495" s="276"/>
      <c r="M495" s="276"/>
      <c r="N495" s="276"/>
      <c r="O495" s="276"/>
      <c r="P495" s="276"/>
      <c r="Q495" s="276"/>
      <c r="R495" s="276"/>
      <c r="S495" s="276"/>
      <c r="T495" s="276"/>
      <c r="U495" s="276"/>
      <c r="V495" s="276"/>
      <c r="W495" s="276"/>
      <c r="X495" s="276"/>
      <c r="Y495" s="276"/>
      <c r="Z495" s="276"/>
    </row>
    <row r="496" spans="1:26" ht="18.75" customHeight="1">
      <c r="A496" s="276"/>
      <c r="B496" s="276"/>
      <c r="C496" s="276"/>
      <c r="D496" s="276"/>
      <c r="E496" s="276"/>
      <c r="F496" s="276"/>
      <c r="G496" s="276"/>
      <c r="H496" s="276"/>
      <c r="I496" s="276"/>
      <c r="J496" s="276"/>
      <c r="K496" s="276"/>
      <c r="L496" s="276"/>
      <c r="M496" s="276"/>
      <c r="N496" s="276"/>
      <c r="O496" s="276"/>
      <c r="P496" s="276"/>
      <c r="Q496" s="276"/>
      <c r="R496" s="276"/>
      <c r="S496" s="276"/>
      <c r="T496" s="276"/>
      <c r="U496" s="276"/>
      <c r="V496" s="276"/>
      <c r="W496" s="276"/>
      <c r="X496" s="276"/>
      <c r="Y496" s="276"/>
      <c r="Z496" s="276"/>
    </row>
    <row r="497" spans="1:26" ht="18.75" customHeight="1">
      <c r="A497" s="276"/>
      <c r="B497" s="276"/>
      <c r="C497" s="276"/>
      <c r="D497" s="276"/>
      <c r="E497" s="276"/>
      <c r="F497" s="276"/>
      <c r="G497" s="276"/>
      <c r="H497" s="276"/>
      <c r="I497" s="276"/>
      <c r="J497" s="276"/>
      <c r="K497" s="276"/>
      <c r="L497" s="276"/>
      <c r="M497" s="276"/>
      <c r="N497" s="276"/>
      <c r="O497" s="276"/>
      <c r="P497" s="276"/>
      <c r="Q497" s="276"/>
      <c r="R497" s="276"/>
      <c r="S497" s="276"/>
      <c r="T497" s="276"/>
      <c r="U497" s="276"/>
      <c r="V497" s="276"/>
      <c r="W497" s="276"/>
      <c r="X497" s="276"/>
      <c r="Y497" s="276"/>
      <c r="Z497" s="276"/>
    </row>
    <row r="498" spans="1:26" ht="18.75" customHeight="1">
      <c r="A498" s="276"/>
      <c r="B498" s="276"/>
      <c r="C498" s="276"/>
      <c r="D498" s="276"/>
      <c r="E498" s="276"/>
      <c r="F498" s="276"/>
      <c r="G498" s="276"/>
      <c r="H498" s="276"/>
      <c r="I498" s="276"/>
      <c r="J498" s="276"/>
      <c r="K498" s="276"/>
      <c r="L498" s="276"/>
      <c r="M498" s="276"/>
      <c r="N498" s="276"/>
      <c r="O498" s="276"/>
      <c r="P498" s="276"/>
      <c r="Q498" s="276"/>
      <c r="R498" s="276"/>
      <c r="S498" s="276"/>
      <c r="T498" s="276"/>
      <c r="U498" s="276"/>
      <c r="V498" s="276"/>
      <c r="W498" s="276"/>
      <c r="X498" s="276"/>
      <c r="Y498" s="276"/>
      <c r="Z498" s="276"/>
    </row>
    <row r="499" spans="1:26" ht="18.75" customHeight="1">
      <c r="A499" s="276"/>
      <c r="B499" s="276"/>
      <c r="C499" s="276"/>
      <c r="D499" s="276"/>
      <c r="E499" s="276"/>
      <c r="F499" s="276"/>
      <c r="G499" s="276"/>
      <c r="H499" s="276"/>
      <c r="I499" s="276"/>
      <c r="J499" s="276"/>
      <c r="K499" s="276"/>
      <c r="L499" s="276"/>
      <c r="M499" s="276"/>
      <c r="N499" s="276"/>
      <c r="O499" s="276"/>
      <c r="P499" s="276"/>
      <c r="Q499" s="276"/>
      <c r="R499" s="276"/>
      <c r="S499" s="276"/>
      <c r="T499" s="276"/>
      <c r="U499" s="276"/>
      <c r="V499" s="276"/>
      <c r="W499" s="276"/>
      <c r="X499" s="276"/>
      <c r="Y499" s="276"/>
      <c r="Z499" s="276"/>
    </row>
    <row r="500" spans="1:26" ht="18.75" customHeight="1">
      <c r="A500" s="276"/>
      <c r="B500" s="276"/>
      <c r="C500" s="276"/>
      <c r="D500" s="276"/>
      <c r="E500" s="276"/>
      <c r="F500" s="276"/>
      <c r="G500" s="276"/>
      <c r="H500" s="276"/>
      <c r="I500" s="276"/>
      <c r="J500" s="276"/>
      <c r="K500" s="276"/>
      <c r="L500" s="276"/>
      <c r="M500" s="276"/>
      <c r="N500" s="276"/>
      <c r="O500" s="276"/>
      <c r="P500" s="276"/>
      <c r="Q500" s="276"/>
      <c r="R500" s="276"/>
      <c r="S500" s="276"/>
      <c r="T500" s="276"/>
      <c r="U500" s="276"/>
      <c r="V500" s="276"/>
      <c r="W500" s="276"/>
      <c r="X500" s="276"/>
      <c r="Y500" s="276"/>
      <c r="Z500" s="276"/>
    </row>
    <row r="501" spans="1:26" ht="18.75" customHeight="1">
      <c r="A501" s="276"/>
      <c r="B501" s="276"/>
      <c r="C501" s="276"/>
      <c r="D501" s="276"/>
      <c r="E501" s="276"/>
      <c r="F501" s="276"/>
      <c r="G501" s="276"/>
      <c r="H501" s="276"/>
      <c r="I501" s="276"/>
      <c r="J501" s="276"/>
      <c r="K501" s="276"/>
      <c r="L501" s="276"/>
      <c r="M501" s="276"/>
      <c r="N501" s="276"/>
      <c r="O501" s="276"/>
      <c r="P501" s="276"/>
      <c r="Q501" s="276"/>
      <c r="R501" s="276"/>
      <c r="S501" s="276"/>
      <c r="T501" s="276"/>
      <c r="U501" s="276"/>
      <c r="V501" s="276"/>
      <c r="W501" s="276"/>
      <c r="X501" s="276"/>
      <c r="Y501" s="276"/>
      <c r="Z501" s="276"/>
    </row>
    <row r="502" spans="1:26" ht="18.75" customHeight="1">
      <c r="A502" s="276"/>
      <c r="B502" s="276"/>
      <c r="C502" s="276"/>
      <c r="D502" s="276"/>
      <c r="E502" s="276"/>
      <c r="F502" s="276"/>
      <c r="G502" s="276"/>
      <c r="H502" s="276"/>
      <c r="I502" s="276"/>
      <c r="J502" s="276"/>
      <c r="K502" s="276"/>
      <c r="L502" s="276"/>
      <c r="M502" s="276"/>
      <c r="N502" s="276"/>
      <c r="O502" s="276"/>
      <c r="P502" s="276"/>
      <c r="Q502" s="276"/>
      <c r="R502" s="276"/>
      <c r="S502" s="276"/>
      <c r="T502" s="276"/>
      <c r="U502" s="276"/>
      <c r="V502" s="276"/>
      <c r="W502" s="276"/>
      <c r="X502" s="276"/>
      <c r="Y502" s="276"/>
      <c r="Z502" s="276"/>
    </row>
    <row r="503" spans="1:26" ht="18.75" customHeight="1">
      <c r="A503" s="276"/>
      <c r="B503" s="276"/>
      <c r="C503" s="276"/>
      <c r="D503" s="276"/>
      <c r="E503" s="276"/>
      <c r="F503" s="276"/>
      <c r="G503" s="276"/>
      <c r="H503" s="276"/>
      <c r="I503" s="276"/>
      <c r="J503" s="276"/>
      <c r="K503" s="276"/>
      <c r="L503" s="276"/>
      <c r="M503" s="276"/>
      <c r="N503" s="276"/>
      <c r="O503" s="276"/>
      <c r="P503" s="276"/>
      <c r="Q503" s="276"/>
      <c r="R503" s="276"/>
      <c r="S503" s="276"/>
      <c r="T503" s="276"/>
      <c r="U503" s="276"/>
      <c r="V503" s="276"/>
      <c r="W503" s="276"/>
      <c r="X503" s="276"/>
      <c r="Y503" s="276"/>
      <c r="Z503" s="276"/>
    </row>
    <row r="504" spans="1:26" ht="18.75" customHeight="1">
      <c r="A504" s="276"/>
      <c r="B504" s="276"/>
      <c r="C504" s="276"/>
      <c r="D504" s="276"/>
      <c r="E504" s="276"/>
      <c r="F504" s="276"/>
      <c r="G504" s="276"/>
      <c r="H504" s="276"/>
      <c r="I504" s="276"/>
      <c r="J504" s="276"/>
      <c r="K504" s="276"/>
      <c r="L504" s="276"/>
      <c r="M504" s="276"/>
      <c r="N504" s="276"/>
      <c r="O504" s="276"/>
      <c r="P504" s="276"/>
      <c r="Q504" s="276"/>
      <c r="R504" s="276"/>
      <c r="S504" s="276"/>
      <c r="T504" s="276"/>
      <c r="U504" s="276"/>
      <c r="V504" s="276"/>
      <c r="W504" s="276"/>
      <c r="X504" s="276"/>
      <c r="Y504" s="276"/>
      <c r="Z504" s="276"/>
    </row>
    <row r="505" spans="1:26" ht="18.75" customHeight="1">
      <c r="A505" s="276"/>
      <c r="B505" s="276"/>
      <c r="C505" s="276"/>
      <c r="D505" s="276"/>
      <c r="E505" s="276"/>
      <c r="F505" s="276"/>
      <c r="G505" s="276"/>
      <c r="H505" s="276"/>
      <c r="I505" s="276"/>
      <c r="J505" s="276"/>
      <c r="K505" s="276"/>
      <c r="L505" s="276"/>
      <c r="M505" s="276"/>
      <c r="N505" s="276"/>
      <c r="O505" s="276"/>
      <c r="P505" s="276"/>
      <c r="Q505" s="276"/>
      <c r="R505" s="276"/>
      <c r="S505" s="276"/>
      <c r="T505" s="276"/>
      <c r="U505" s="276"/>
      <c r="V505" s="276"/>
      <c r="W505" s="276"/>
      <c r="X505" s="276"/>
      <c r="Y505" s="276"/>
      <c r="Z505" s="276"/>
    </row>
    <row r="506" spans="1:26" ht="18.75" customHeight="1">
      <c r="A506" s="276"/>
      <c r="B506" s="276"/>
      <c r="C506" s="276"/>
      <c r="D506" s="276"/>
      <c r="E506" s="276"/>
      <c r="F506" s="276"/>
      <c r="G506" s="276"/>
      <c r="H506" s="276"/>
      <c r="I506" s="276"/>
      <c r="J506" s="276"/>
      <c r="K506" s="276"/>
      <c r="L506" s="276"/>
      <c r="M506" s="276"/>
      <c r="N506" s="276"/>
      <c r="O506" s="276"/>
      <c r="P506" s="276"/>
      <c r="Q506" s="276"/>
      <c r="R506" s="276"/>
      <c r="S506" s="276"/>
      <c r="T506" s="276"/>
      <c r="U506" s="276"/>
      <c r="V506" s="276"/>
      <c r="W506" s="276"/>
      <c r="X506" s="276"/>
      <c r="Y506" s="276"/>
      <c r="Z506" s="276"/>
    </row>
    <row r="507" spans="1:26" ht="18.75" customHeight="1">
      <c r="A507" s="276"/>
      <c r="B507" s="276"/>
      <c r="C507" s="276"/>
      <c r="D507" s="276"/>
      <c r="E507" s="276"/>
      <c r="F507" s="276"/>
      <c r="G507" s="276"/>
      <c r="H507" s="276"/>
      <c r="I507" s="276"/>
      <c r="J507" s="276"/>
      <c r="K507" s="276"/>
      <c r="L507" s="276"/>
      <c r="M507" s="276"/>
      <c r="N507" s="276"/>
      <c r="O507" s="276"/>
      <c r="P507" s="276"/>
      <c r="Q507" s="276"/>
      <c r="R507" s="276"/>
      <c r="S507" s="276"/>
      <c r="T507" s="276"/>
      <c r="U507" s="276"/>
      <c r="V507" s="276"/>
      <c r="W507" s="276"/>
      <c r="X507" s="276"/>
      <c r="Y507" s="276"/>
      <c r="Z507" s="276"/>
    </row>
    <row r="508" spans="1:26" ht="18.75" customHeight="1">
      <c r="A508" s="276"/>
      <c r="B508" s="276"/>
      <c r="C508" s="276"/>
      <c r="D508" s="276"/>
      <c r="E508" s="276"/>
      <c r="F508" s="276"/>
      <c r="G508" s="276"/>
      <c r="H508" s="276"/>
      <c r="I508" s="276"/>
      <c r="J508" s="276"/>
      <c r="K508" s="276"/>
      <c r="L508" s="276"/>
      <c r="M508" s="276"/>
      <c r="N508" s="276"/>
      <c r="O508" s="276"/>
      <c r="P508" s="276"/>
      <c r="Q508" s="276"/>
      <c r="R508" s="276"/>
      <c r="S508" s="276"/>
      <c r="T508" s="276"/>
      <c r="U508" s="276"/>
      <c r="V508" s="276"/>
      <c r="W508" s="276"/>
      <c r="X508" s="276"/>
      <c r="Y508" s="276"/>
      <c r="Z508" s="276"/>
    </row>
    <row r="509" spans="1:26" ht="18.75" customHeight="1">
      <c r="A509" s="276"/>
      <c r="B509" s="276"/>
      <c r="C509" s="276"/>
      <c r="D509" s="276"/>
      <c r="E509" s="276"/>
      <c r="F509" s="276"/>
      <c r="G509" s="276"/>
      <c r="H509" s="276"/>
      <c r="I509" s="276"/>
      <c r="J509" s="276"/>
      <c r="K509" s="276"/>
      <c r="L509" s="276"/>
      <c r="M509" s="276"/>
      <c r="N509" s="276"/>
      <c r="O509" s="276"/>
      <c r="P509" s="276"/>
      <c r="Q509" s="276"/>
      <c r="R509" s="276"/>
      <c r="S509" s="276"/>
      <c r="T509" s="276"/>
      <c r="U509" s="276"/>
      <c r="V509" s="276"/>
      <c r="W509" s="276"/>
      <c r="X509" s="276"/>
      <c r="Y509" s="276"/>
      <c r="Z509" s="276"/>
    </row>
    <row r="510" spans="1:26" ht="18.75" customHeight="1">
      <c r="A510" s="276"/>
      <c r="B510" s="276"/>
      <c r="C510" s="276"/>
      <c r="D510" s="276"/>
      <c r="E510" s="276"/>
      <c r="F510" s="276"/>
      <c r="G510" s="276"/>
      <c r="H510" s="276"/>
      <c r="I510" s="276"/>
      <c r="J510" s="276"/>
      <c r="K510" s="276"/>
      <c r="L510" s="276"/>
      <c r="M510" s="276"/>
      <c r="N510" s="276"/>
      <c r="O510" s="276"/>
      <c r="P510" s="276"/>
      <c r="Q510" s="276"/>
      <c r="R510" s="276"/>
      <c r="S510" s="276"/>
      <c r="T510" s="276"/>
      <c r="U510" s="276"/>
      <c r="V510" s="276"/>
      <c r="W510" s="276"/>
      <c r="X510" s="276"/>
      <c r="Y510" s="276"/>
      <c r="Z510" s="276"/>
    </row>
    <row r="511" spans="1:26" ht="18.75" customHeight="1">
      <c r="A511" s="276"/>
      <c r="B511" s="276"/>
      <c r="C511" s="276"/>
      <c r="D511" s="276"/>
      <c r="E511" s="276"/>
      <c r="F511" s="276"/>
      <c r="G511" s="276"/>
      <c r="H511" s="276"/>
      <c r="I511" s="276"/>
      <c r="J511" s="276"/>
      <c r="K511" s="276"/>
      <c r="L511" s="276"/>
      <c r="M511" s="276"/>
      <c r="N511" s="276"/>
      <c r="O511" s="276"/>
      <c r="P511" s="276"/>
      <c r="Q511" s="276"/>
      <c r="R511" s="276"/>
      <c r="S511" s="276"/>
      <c r="T511" s="276"/>
      <c r="U511" s="276"/>
      <c r="V511" s="276"/>
      <c r="W511" s="276"/>
      <c r="X511" s="276"/>
      <c r="Y511" s="276"/>
      <c r="Z511" s="276"/>
    </row>
    <row r="512" spans="1:26" ht="18.75" customHeight="1">
      <c r="A512" s="276"/>
      <c r="B512" s="276"/>
      <c r="C512" s="276"/>
      <c r="D512" s="276"/>
      <c r="E512" s="276"/>
      <c r="F512" s="276"/>
      <c r="G512" s="276"/>
      <c r="H512" s="276"/>
      <c r="I512" s="276"/>
      <c r="J512" s="276"/>
      <c r="K512" s="276"/>
      <c r="L512" s="276"/>
      <c r="M512" s="276"/>
      <c r="N512" s="276"/>
      <c r="O512" s="276"/>
      <c r="P512" s="276"/>
      <c r="Q512" s="276"/>
      <c r="R512" s="276"/>
      <c r="S512" s="276"/>
      <c r="T512" s="276"/>
      <c r="U512" s="276"/>
      <c r="V512" s="276"/>
      <c r="W512" s="276"/>
      <c r="X512" s="276"/>
      <c r="Y512" s="276"/>
      <c r="Z512" s="276"/>
    </row>
    <row r="513" spans="1:26" ht="18.75" customHeight="1">
      <c r="A513" s="276"/>
      <c r="B513" s="276"/>
      <c r="C513" s="276"/>
      <c r="D513" s="276"/>
      <c r="E513" s="276"/>
      <c r="F513" s="276"/>
      <c r="G513" s="276"/>
      <c r="H513" s="276"/>
      <c r="I513" s="276"/>
      <c r="J513" s="276"/>
      <c r="K513" s="276"/>
      <c r="L513" s="276"/>
      <c r="M513" s="276"/>
      <c r="N513" s="276"/>
      <c r="O513" s="276"/>
      <c r="P513" s="276"/>
      <c r="Q513" s="276"/>
      <c r="R513" s="276"/>
      <c r="S513" s="276"/>
      <c r="T513" s="276"/>
      <c r="U513" s="276"/>
      <c r="V513" s="276"/>
      <c r="W513" s="276"/>
      <c r="X513" s="276"/>
      <c r="Y513" s="276"/>
      <c r="Z513" s="276"/>
    </row>
    <row r="514" spans="1:26" ht="18.75" customHeight="1">
      <c r="A514" s="276"/>
      <c r="B514" s="276"/>
      <c r="C514" s="276"/>
      <c r="D514" s="276"/>
      <c r="E514" s="276"/>
      <c r="F514" s="276"/>
      <c r="G514" s="276"/>
      <c r="H514" s="276"/>
      <c r="I514" s="276"/>
      <c r="J514" s="276"/>
      <c r="K514" s="276"/>
      <c r="L514" s="276"/>
      <c r="M514" s="276"/>
      <c r="N514" s="276"/>
      <c r="O514" s="276"/>
      <c r="P514" s="276"/>
      <c r="Q514" s="276"/>
      <c r="R514" s="276"/>
      <c r="S514" s="276"/>
      <c r="T514" s="276"/>
      <c r="U514" s="276"/>
      <c r="V514" s="276"/>
      <c r="W514" s="276"/>
      <c r="X514" s="276"/>
      <c r="Y514" s="276"/>
      <c r="Z514" s="276"/>
    </row>
    <row r="515" spans="1:26" ht="18.75" customHeight="1">
      <c r="A515" s="276"/>
      <c r="B515" s="276"/>
      <c r="C515" s="276"/>
      <c r="D515" s="276"/>
      <c r="E515" s="276"/>
      <c r="F515" s="276"/>
      <c r="G515" s="276"/>
      <c r="H515" s="276"/>
      <c r="I515" s="276"/>
      <c r="J515" s="276"/>
      <c r="K515" s="276"/>
      <c r="L515" s="276"/>
      <c r="M515" s="276"/>
      <c r="N515" s="276"/>
      <c r="O515" s="276"/>
      <c r="P515" s="276"/>
      <c r="Q515" s="276"/>
      <c r="R515" s="276"/>
      <c r="S515" s="276"/>
      <c r="T515" s="276"/>
      <c r="U515" s="276"/>
      <c r="V515" s="276"/>
      <c r="W515" s="276"/>
      <c r="X515" s="276"/>
      <c r="Y515" s="276"/>
      <c r="Z515" s="276"/>
    </row>
    <row r="516" spans="1:26" ht="18.75" customHeight="1">
      <c r="A516" s="276"/>
      <c r="B516" s="276"/>
      <c r="C516" s="276"/>
      <c r="D516" s="276"/>
      <c r="E516" s="276"/>
      <c r="F516" s="276"/>
      <c r="G516" s="276"/>
      <c r="H516" s="276"/>
      <c r="I516" s="276"/>
      <c r="J516" s="276"/>
      <c r="K516" s="276"/>
      <c r="L516" s="276"/>
      <c r="M516" s="276"/>
      <c r="N516" s="276"/>
      <c r="O516" s="276"/>
      <c r="P516" s="276"/>
      <c r="Q516" s="276"/>
      <c r="R516" s="276"/>
      <c r="S516" s="276"/>
      <c r="T516" s="276"/>
      <c r="U516" s="276"/>
      <c r="V516" s="276"/>
      <c r="W516" s="276"/>
      <c r="X516" s="276"/>
      <c r="Y516" s="276"/>
      <c r="Z516" s="276"/>
    </row>
    <row r="517" spans="1:26" ht="18.75" customHeight="1">
      <c r="A517" s="276"/>
      <c r="B517" s="276"/>
      <c r="C517" s="276"/>
      <c r="D517" s="276"/>
      <c r="E517" s="276"/>
      <c r="F517" s="276"/>
      <c r="G517" s="276"/>
      <c r="H517" s="276"/>
      <c r="I517" s="276"/>
      <c r="J517" s="276"/>
      <c r="K517" s="276"/>
      <c r="L517" s="276"/>
      <c r="M517" s="276"/>
      <c r="N517" s="276"/>
      <c r="O517" s="276"/>
      <c r="P517" s="276"/>
      <c r="Q517" s="276"/>
      <c r="R517" s="276"/>
      <c r="S517" s="276"/>
      <c r="T517" s="276"/>
      <c r="U517" s="276"/>
      <c r="V517" s="276"/>
      <c r="W517" s="276"/>
      <c r="X517" s="276"/>
      <c r="Y517" s="276"/>
      <c r="Z517" s="276"/>
    </row>
    <row r="518" spans="1:26" ht="18.75" customHeight="1">
      <c r="A518" s="276"/>
      <c r="B518" s="276"/>
      <c r="C518" s="276"/>
      <c r="D518" s="276"/>
      <c r="E518" s="276"/>
      <c r="F518" s="276"/>
      <c r="G518" s="276"/>
      <c r="H518" s="276"/>
      <c r="I518" s="276"/>
      <c r="J518" s="276"/>
      <c r="K518" s="276"/>
      <c r="L518" s="276"/>
      <c r="M518" s="276"/>
      <c r="N518" s="276"/>
      <c r="O518" s="276"/>
      <c r="P518" s="276"/>
      <c r="Q518" s="276"/>
      <c r="R518" s="276"/>
      <c r="S518" s="276"/>
      <c r="T518" s="276"/>
      <c r="U518" s="276"/>
      <c r="V518" s="276"/>
      <c r="W518" s="276"/>
      <c r="X518" s="276"/>
      <c r="Y518" s="276"/>
      <c r="Z518" s="276"/>
    </row>
    <row r="519" spans="1:26" ht="18.75" customHeight="1">
      <c r="A519" s="276"/>
      <c r="B519" s="276"/>
      <c r="C519" s="276"/>
      <c r="D519" s="276"/>
      <c r="E519" s="276"/>
      <c r="F519" s="276"/>
      <c r="G519" s="276"/>
      <c r="H519" s="276"/>
      <c r="I519" s="276"/>
      <c r="J519" s="276"/>
      <c r="K519" s="276"/>
      <c r="L519" s="276"/>
      <c r="M519" s="276"/>
      <c r="N519" s="276"/>
      <c r="O519" s="276"/>
      <c r="P519" s="276"/>
      <c r="Q519" s="276"/>
      <c r="R519" s="276"/>
      <c r="S519" s="276"/>
      <c r="T519" s="276"/>
      <c r="U519" s="276"/>
      <c r="V519" s="276"/>
      <c r="W519" s="276"/>
      <c r="X519" s="276"/>
      <c r="Y519" s="276"/>
      <c r="Z519" s="276"/>
    </row>
    <row r="520" spans="1:26" ht="18.75" customHeight="1">
      <c r="A520" s="276"/>
      <c r="B520" s="276"/>
      <c r="C520" s="276"/>
      <c r="D520" s="276"/>
      <c r="E520" s="276"/>
      <c r="F520" s="276"/>
      <c r="G520" s="276"/>
      <c r="H520" s="276"/>
      <c r="I520" s="276"/>
      <c r="J520" s="276"/>
      <c r="K520" s="276"/>
      <c r="L520" s="276"/>
      <c r="M520" s="276"/>
      <c r="N520" s="276"/>
      <c r="O520" s="276"/>
      <c r="P520" s="276"/>
      <c r="Q520" s="276"/>
      <c r="R520" s="276"/>
      <c r="S520" s="276"/>
      <c r="T520" s="276"/>
      <c r="U520" s="276"/>
      <c r="V520" s="276"/>
      <c r="W520" s="276"/>
      <c r="X520" s="276"/>
      <c r="Y520" s="276"/>
      <c r="Z520" s="276"/>
    </row>
    <row r="521" spans="1:26" ht="18.75" customHeight="1">
      <c r="A521" s="276"/>
      <c r="B521" s="276"/>
      <c r="C521" s="276"/>
      <c r="D521" s="276"/>
      <c r="E521" s="276"/>
      <c r="F521" s="276"/>
      <c r="G521" s="276"/>
      <c r="H521" s="276"/>
      <c r="I521" s="276"/>
      <c r="J521" s="276"/>
      <c r="K521" s="276"/>
      <c r="L521" s="276"/>
      <c r="M521" s="276"/>
      <c r="N521" s="276"/>
      <c r="O521" s="276"/>
      <c r="P521" s="276"/>
      <c r="Q521" s="276"/>
      <c r="R521" s="276"/>
      <c r="S521" s="276"/>
      <c r="T521" s="276"/>
      <c r="U521" s="276"/>
      <c r="V521" s="276"/>
      <c r="W521" s="276"/>
      <c r="X521" s="276"/>
      <c r="Y521" s="276"/>
      <c r="Z521" s="276"/>
    </row>
    <row r="522" spans="1:26" ht="18.75" customHeight="1">
      <c r="A522" s="276"/>
      <c r="B522" s="276"/>
      <c r="C522" s="276"/>
      <c r="D522" s="276"/>
      <c r="E522" s="276"/>
      <c r="F522" s="276"/>
      <c r="G522" s="276"/>
      <c r="H522" s="276"/>
      <c r="I522" s="276"/>
      <c r="J522" s="276"/>
      <c r="K522" s="276"/>
      <c r="L522" s="276"/>
      <c r="M522" s="276"/>
      <c r="N522" s="276"/>
      <c r="O522" s="276"/>
      <c r="P522" s="276"/>
      <c r="Q522" s="276"/>
      <c r="R522" s="276"/>
      <c r="S522" s="276"/>
      <c r="T522" s="276"/>
      <c r="U522" s="276"/>
      <c r="V522" s="276"/>
      <c r="W522" s="276"/>
      <c r="X522" s="276"/>
      <c r="Y522" s="276"/>
      <c r="Z522" s="276"/>
    </row>
    <row r="523" spans="1:26" ht="18.75" customHeight="1">
      <c r="A523" s="276"/>
      <c r="B523" s="276"/>
      <c r="C523" s="276"/>
      <c r="D523" s="276"/>
      <c r="E523" s="276"/>
      <c r="F523" s="276"/>
      <c r="G523" s="276"/>
      <c r="H523" s="276"/>
      <c r="I523" s="276"/>
      <c r="J523" s="276"/>
      <c r="K523" s="276"/>
      <c r="L523" s="276"/>
      <c r="M523" s="276"/>
      <c r="N523" s="276"/>
      <c r="O523" s="276"/>
      <c r="P523" s="276"/>
      <c r="Q523" s="276"/>
      <c r="R523" s="276"/>
      <c r="S523" s="276"/>
      <c r="T523" s="276"/>
      <c r="U523" s="276"/>
      <c r="V523" s="276"/>
      <c r="W523" s="276"/>
      <c r="X523" s="276"/>
      <c r="Y523" s="276"/>
      <c r="Z523" s="276"/>
    </row>
    <row r="524" spans="1:26" ht="18.75" customHeight="1">
      <c r="A524" s="276"/>
      <c r="B524" s="276"/>
      <c r="C524" s="276"/>
      <c r="D524" s="276"/>
      <c r="E524" s="276"/>
      <c r="F524" s="276"/>
      <c r="G524" s="276"/>
      <c r="H524" s="276"/>
      <c r="I524" s="276"/>
      <c r="J524" s="276"/>
      <c r="K524" s="276"/>
      <c r="L524" s="276"/>
      <c r="M524" s="276"/>
      <c r="N524" s="276"/>
      <c r="O524" s="276"/>
      <c r="P524" s="276"/>
      <c r="Q524" s="276"/>
      <c r="R524" s="276"/>
      <c r="S524" s="276"/>
      <c r="T524" s="276"/>
      <c r="U524" s="276"/>
      <c r="V524" s="276"/>
      <c r="W524" s="276"/>
      <c r="X524" s="276"/>
      <c r="Y524" s="276"/>
      <c r="Z524" s="276"/>
    </row>
    <row r="525" spans="1:26" ht="18.75" customHeight="1">
      <c r="A525" s="276"/>
      <c r="B525" s="276"/>
      <c r="C525" s="276"/>
      <c r="D525" s="276"/>
      <c r="E525" s="276"/>
      <c r="F525" s="276"/>
      <c r="G525" s="276"/>
      <c r="H525" s="276"/>
      <c r="I525" s="276"/>
      <c r="J525" s="276"/>
      <c r="K525" s="276"/>
      <c r="L525" s="276"/>
      <c r="M525" s="276"/>
      <c r="N525" s="276"/>
      <c r="O525" s="276"/>
      <c r="P525" s="276"/>
      <c r="Q525" s="276"/>
      <c r="R525" s="276"/>
      <c r="S525" s="276"/>
      <c r="T525" s="276"/>
      <c r="U525" s="276"/>
      <c r="V525" s="276"/>
      <c r="W525" s="276"/>
      <c r="X525" s="276"/>
      <c r="Y525" s="276"/>
      <c r="Z525" s="276"/>
    </row>
    <row r="526" spans="1:26" ht="18.75" customHeight="1">
      <c r="A526" s="276"/>
      <c r="B526" s="276"/>
      <c r="C526" s="276"/>
      <c r="D526" s="276"/>
      <c r="E526" s="276"/>
      <c r="F526" s="276"/>
      <c r="G526" s="276"/>
      <c r="H526" s="276"/>
      <c r="I526" s="276"/>
      <c r="J526" s="276"/>
      <c r="K526" s="276"/>
      <c r="L526" s="276"/>
      <c r="M526" s="276"/>
      <c r="N526" s="276"/>
      <c r="O526" s="276"/>
      <c r="P526" s="276"/>
      <c r="Q526" s="276"/>
      <c r="R526" s="276"/>
      <c r="S526" s="276"/>
      <c r="T526" s="276"/>
      <c r="U526" s="276"/>
      <c r="V526" s="276"/>
      <c r="W526" s="276"/>
      <c r="X526" s="276"/>
      <c r="Y526" s="276"/>
      <c r="Z526" s="276"/>
    </row>
    <row r="527" spans="1:26" ht="18.75" customHeight="1">
      <c r="A527" s="276"/>
      <c r="B527" s="276"/>
      <c r="C527" s="276"/>
      <c r="D527" s="276"/>
      <c r="E527" s="276"/>
      <c r="F527" s="276"/>
      <c r="G527" s="276"/>
      <c r="H527" s="276"/>
      <c r="I527" s="276"/>
      <c r="J527" s="276"/>
      <c r="K527" s="276"/>
      <c r="L527" s="276"/>
      <c r="M527" s="276"/>
      <c r="N527" s="276"/>
      <c r="O527" s="276"/>
      <c r="P527" s="276"/>
      <c r="Q527" s="276"/>
      <c r="R527" s="276"/>
      <c r="S527" s="276"/>
      <c r="T527" s="276"/>
      <c r="U527" s="276"/>
      <c r="V527" s="276"/>
      <c r="W527" s="276"/>
      <c r="X527" s="276"/>
      <c r="Y527" s="276"/>
      <c r="Z527" s="276"/>
    </row>
    <row r="528" spans="1:26" ht="18.75" customHeight="1">
      <c r="A528" s="276"/>
      <c r="B528" s="276"/>
      <c r="C528" s="276"/>
      <c r="D528" s="276"/>
      <c r="E528" s="276"/>
      <c r="F528" s="276"/>
      <c r="G528" s="276"/>
      <c r="H528" s="276"/>
      <c r="I528" s="276"/>
      <c r="J528" s="276"/>
      <c r="K528" s="276"/>
      <c r="L528" s="276"/>
      <c r="M528" s="276"/>
      <c r="N528" s="276"/>
      <c r="O528" s="276"/>
      <c r="P528" s="276"/>
      <c r="Q528" s="276"/>
      <c r="R528" s="276"/>
      <c r="S528" s="276"/>
      <c r="T528" s="276"/>
      <c r="U528" s="276"/>
      <c r="V528" s="276"/>
      <c r="W528" s="276"/>
      <c r="X528" s="276"/>
      <c r="Y528" s="276"/>
      <c r="Z528" s="276"/>
    </row>
    <row r="529" spans="1:26" ht="18.75" customHeight="1">
      <c r="A529" s="276"/>
      <c r="B529" s="276"/>
      <c r="C529" s="276"/>
      <c r="D529" s="276"/>
      <c r="E529" s="276"/>
      <c r="F529" s="276"/>
      <c r="G529" s="276"/>
      <c r="H529" s="276"/>
      <c r="I529" s="276"/>
      <c r="J529" s="276"/>
      <c r="K529" s="276"/>
      <c r="L529" s="276"/>
      <c r="M529" s="276"/>
      <c r="N529" s="276"/>
      <c r="O529" s="276"/>
      <c r="P529" s="276"/>
      <c r="Q529" s="276"/>
      <c r="R529" s="276"/>
      <c r="S529" s="276"/>
      <c r="T529" s="276"/>
      <c r="U529" s="276"/>
      <c r="V529" s="276"/>
      <c r="W529" s="276"/>
      <c r="X529" s="276"/>
      <c r="Y529" s="276"/>
      <c r="Z529" s="276"/>
    </row>
    <row r="530" spans="1:26" ht="18.75" customHeight="1">
      <c r="A530" s="276"/>
      <c r="B530" s="276"/>
      <c r="C530" s="276"/>
      <c r="D530" s="276"/>
      <c r="E530" s="276"/>
      <c r="F530" s="276"/>
      <c r="G530" s="276"/>
      <c r="H530" s="276"/>
      <c r="I530" s="276"/>
      <c r="J530" s="276"/>
      <c r="K530" s="276"/>
      <c r="L530" s="276"/>
      <c r="M530" s="276"/>
      <c r="N530" s="276"/>
      <c r="O530" s="276"/>
      <c r="P530" s="276"/>
      <c r="Q530" s="276"/>
      <c r="R530" s="276"/>
      <c r="S530" s="276"/>
      <c r="T530" s="276"/>
      <c r="U530" s="276"/>
      <c r="V530" s="276"/>
      <c r="W530" s="276"/>
      <c r="X530" s="276"/>
      <c r="Y530" s="276"/>
      <c r="Z530" s="276"/>
    </row>
    <row r="531" spans="1:26" ht="18.75" customHeight="1">
      <c r="A531" s="276"/>
      <c r="B531" s="276"/>
      <c r="C531" s="276"/>
      <c r="D531" s="276"/>
      <c r="E531" s="276"/>
      <c r="F531" s="276"/>
      <c r="G531" s="276"/>
      <c r="H531" s="276"/>
      <c r="I531" s="276"/>
      <c r="J531" s="276"/>
      <c r="K531" s="276"/>
      <c r="L531" s="276"/>
      <c r="M531" s="276"/>
      <c r="N531" s="276"/>
      <c r="O531" s="276"/>
      <c r="P531" s="276"/>
      <c r="Q531" s="276"/>
      <c r="R531" s="276"/>
      <c r="S531" s="276"/>
      <c r="T531" s="276"/>
      <c r="U531" s="276"/>
      <c r="V531" s="276"/>
      <c r="W531" s="276"/>
      <c r="X531" s="276"/>
      <c r="Y531" s="276"/>
      <c r="Z531" s="276"/>
    </row>
    <row r="532" spans="1:26" ht="18.75" customHeight="1">
      <c r="A532" s="276"/>
      <c r="B532" s="276"/>
      <c r="C532" s="276"/>
      <c r="D532" s="276"/>
      <c r="E532" s="276"/>
      <c r="F532" s="276"/>
      <c r="G532" s="276"/>
      <c r="H532" s="276"/>
      <c r="I532" s="276"/>
      <c r="J532" s="276"/>
      <c r="K532" s="276"/>
      <c r="L532" s="276"/>
      <c r="M532" s="276"/>
      <c r="N532" s="276"/>
      <c r="O532" s="276"/>
      <c r="P532" s="276"/>
      <c r="Q532" s="276"/>
      <c r="R532" s="276"/>
      <c r="S532" s="276"/>
      <c r="T532" s="276"/>
      <c r="U532" s="276"/>
      <c r="V532" s="276"/>
      <c r="W532" s="276"/>
      <c r="X532" s="276"/>
      <c r="Y532" s="276"/>
      <c r="Z532" s="276"/>
    </row>
    <row r="533" spans="1:26" ht="18.75" customHeight="1">
      <c r="A533" s="276"/>
      <c r="B533" s="276"/>
      <c r="C533" s="276"/>
      <c r="D533" s="276"/>
      <c r="E533" s="276"/>
      <c r="F533" s="276"/>
      <c r="G533" s="276"/>
      <c r="H533" s="276"/>
      <c r="I533" s="276"/>
      <c r="J533" s="276"/>
      <c r="K533" s="276"/>
      <c r="L533" s="276"/>
      <c r="M533" s="276"/>
      <c r="N533" s="276"/>
      <c r="O533" s="276"/>
      <c r="P533" s="276"/>
      <c r="Q533" s="276"/>
      <c r="R533" s="276"/>
      <c r="S533" s="276"/>
      <c r="T533" s="276"/>
      <c r="U533" s="276"/>
      <c r="V533" s="276"/>
      <c r="W533" s="276"/>
      <c r="X533" s="276"/>
      <c r="Y533" s="276"/>
      <c r="Z533" s="276"/>
    </row>
    <row r="534" spans="1:26" ht="18.75" customHeight="1">
      <c r="A534" s="276"/>
      <c r="B534" s="276"/>
      <c r="C534" s="276"/>
      <c r="D534" s="276"/>
      <c r="E534" s="276"/>
      <c r="F534" s="276"/>
      <c r="G534" s="276"/>
      <c r="H534" s="276"/>
      <c r="I534" s="276"/>
      <c r="J534" s="276"/>
      <c r="K534" s="276"/>
      <c r="L534" s="276"/>
      <c r="M534" s="276"/>
      <c r="N534" s="276"/>
      <c r="O534" s="276"/>
      <c r="P534" s="276"/>
      <c r="Q534" s="276"/>
      <c r="R534" s="276"/>
      <c r="S534" s="276"/>
      <c r="T534" s="276"/>
      <c r="U534" s="276"/>
      <c r="V534" s="276"/>
      <c r="W534" s="276"/>
      <c r="X534" s="276"/>
      <c r="Y534" s="276"/>
      <c r="Z534" s="276"/>
    </row>
    <row r="535" spans="1:26" ht="18.75" customHeight="1">
      <c r="A535" s="276"/>
      <c r="B535" s="276"/>
      <c r="C535" s="276"/>
      <c r="D535" s="276"/>
      <c r="E535" s="276"/>
      <c r="F535" s="276"/>
      <c r="G535" s="276"/>
      <c r="H535" s="276"/>
      <c r="I535" s="276"/>
      <c r="J535" s="276"/>
      <c r="K535" s="276"/>
      <c r="L535" s="276"/>
      <c r="M535" s="276"/>
      <c r="N535" s="276"/>
      <c r="O535" s="276"/>
      <c r="P535" s="276"/>
      <c r="Q535" s="276"/>
      <c r="R535" s="276"/>
      <c r="S535" s="276"/>
      <c r="T535" s="276"/>
      <c r="U535" s="276"/>
      <c r="V535" s="276"/>
      <c r="W535" s="276"/>
      <c r="X535" s="276"/>
      <c r="Y535" s="276"/>
      <c r="Z535" s="276"/>
    </row>
    <row r="536" spans="1:26" ht="18.75" customHeight="1">
      <c r="A536" s="276"/>
      <c r="B536" s="276"/>
      <c r="C536" s="276"/>
      <c r="D536" s="276"/>
      <c r="E536" s="276"/>
      <c r="F536" s="276"/>
      <c r="G536" s="276"/>
      <c r="H536" s="276"/>
      <c r="I536" s="276"/>
      <c r="J536" s="276"/>
      <c r="K536" s="276"/>
      <c r="L536" s="276"/>
      <c r="M536" s="276"/>
      <c r="N536" s="276"/>
      <c r="O536" s="276"/>
      <c r="P536" s="276"/>
      <c r="Q536" s="276"/>
      <c r="R536" s="276"/>
      <c r="S536" s="276"/>
      <c r="T536" s="276"/>
      <c r="U536" s="276"/>
      <c r="V536" s="276"/>
      <c r="W536" s="276"/>
      <c r="X536" s="276"/>
      <c r="Y536" s="276"/>
      <c r="Z536" s="276"/>
    </row>
    <row r="537" spans="1:26" ht="18.75" customHeight="1">
      <c r="A537" s="276"/>
      <c r="B537" s="276"/>
      <c r="C537" s="276"/>
      <c r="D537" s="276"/>
      <c r="E537" s="276"/>
      <c r="F537" s="276"/>
      <c r="G537" s="276"/>
      <c r="H537" s="276"/>
      <c r="I537" s="276"/>
      <c r="J537" s="276"/>
      <c r="K537" s="276"/>
      <c r="L537" s="276"/>
      <c r="M537" s="276"/>
      <c r="N537" s="276"/>
      <c r="O537" s="276"/>
      <c r="P537" s="276"/>
      <c r="Q537" s="276"/>
      <c r="R537" s="276"/>
      <c r="S537" s="276"/>
      <c r="T537" s="276"/>
      <c r="U537" s="276"/>
      <c r="V537" s="276"/>
      <c r="W537" s="276"/>
      <c r="X537" s="276"/>
      <c r="Y537" s="276"/>
      <c r="Z537" s="276"/>
    </row>
    <row r="538" spans="1:26" ht="18.75" customHeight="1">
      <c r="A538" s="276"/>
      <c r="B538" s="276"/>
      <c r="C538" s="276"/>
      <c r="D538" s="276"/>
      <c r="E538" s="276"/>
      <c r="F538" s="276"/>
      <c r="G538" s="276"/>
      <c r="H538" s="276"/>
      <c r="I538" s="276"/>
      <c r="J538" s="276"/>
      <c r="K538" s="276"/>
      <c r="L538" s="276"/>
      <c r="M538" s="276"/>
      <c r="N538" s="276"/>
      <c r="O538" s="276"/>
      <c r="P538" s="276"/>
      <c r="Q538" s="276"/>
      <c r="R538" s="276"/>
      <c r="S538" s="276"/>
      <c r="T538" s="276"/>
      <c r="U538" s="276"/>
      <c r="V538" s="276"/>
      <c r="W538" s="276"/>
      <c r="X538" s="276"/>
      <c r="Y538" s="276"/>
      <c r="Z538" s="276"/>
    </row>
    <row r="539" spans="1:26" ht="18.75" customHeight="1">
      <c r="A539" s="276"/>
      <c r="B539" s="276"/>
      <c r="C539" s="276"/>
      <c r="D539" s="276"/>
      <c r="E539" s="276"/>
      <c r="F539" s="276"/>
      <c r="G539" s="276"/>
      <c r="H539" s="276"/>
      <c r="I539" s="276"/>
      <c r="J539" s="276"/>
      <c r="K539" s="276"/>
      <c r="L539" s="276"/>
      <c r="M539" s="276"/>
      <c r="N539" s="276"/>
      <c r="O539" s="276"/>
      <c r="P539" s="276"/>
      <c r="Q539" s="276"/>
      <c r="R539" s="276"/>
      <c r="S539" s="276"/>
      <c r="T539" s="276"/>
      <c r="U539" s="276"/>
      <c r="V539" s="276"/>
      <c r="W539" s="276"/>
      <c r="X539" s="276"/>
      <c r="Y539" s="276"/>
      <c r="Z539" s="276"/>
    </row>
    <row r="540" spans="1:26" ht="18.75" customHeight="1">
      <c r="A540" s="276"/>
      <c r="B540" s="276"/>
      <c r="C540" s="276"/>
      <c r="D540" s="276"/>
      <c r="E540" s="276"/>
      <c r="F540" s="276"/>
      <c r="G540" s="276"/>
      <c r="H540" s="276"/>
      <c r="I540" s="276"/>
      <c r="J540" s="276"/>
      <c r="K540" s="276"/>
      <c r="L540" s="276"/>
      <c r="M540" s="276"/>
      <c r="N540" s="276"/>
      <c r="O540" s="276"/>
      <c r="P540" s="276"/>
      <c r="Q540" s="276"/>
      <c r="R540" s="276"/>
      <c r="S540" s="276"/>
      <c r="T540" s="276"/>
      <c r="U540" s="276"/>
      <c r="V540" s="276"/>
      <c r="W540" s="276"/>
      <c r="X540" s="276"/>
      <c r="Y540" s="276"/>
      <c r="Z540" s="276"/>
    </row>
    <row r="541" spans="1:26" ht="18.75" customHeight="1">
      <c r="A541" s="276"/>
      <c r="B541" s="276"/>
      <c r="C541" s="276"/>
      <c r="D541" s="276"/>
      <c r="E541" s="276"/>
      <c r="F541" s="276"/>
      <c r="G541" s="276"/>
      <c r="H541" s="276"/>
      <c r="I541" s="276"/>
      <c r="J541" s="276"/>
      <c r="K541" s="276"/>
      <c r="L541" s="276"/>
      <c r="M541" s="276"/>
      <c r="N541" s="276"/>
      <c r="O541" s="276"/>
      <c r="P541" s="276"/>
      <c r="Q541" s="276"/>
      <c r="R541" s="276"/>
      <c r="S541" s="276"/>
      <c r="T541" s="276"/>
      <c r="U541" s="276"/>
      <c r="V541" s="276"/>
      <c r="W541" s="276"/>
      <c r="X541" s="276"/>
      <c r="Y541" s="276"/>
      <c r="Z541" s="276"/>
    </row>
    <row r="542" spans="1:26" ht="18.75" customHeight="1">
      <c r="A542" s="276"/>
      <c r="B542" s="276"/>
      <c r="C542" s="276"/>
      <c r="D542" s="276"/>
      <c r="E542" s="276"/>
      <c r="F542" s="276"/>
      <c r="G542" s="276"/>
      <c r="H542" s="276"/>
      <c r="I542" s="276"/>
      <c r="J542" s="276"/>
      <c r="K542" s="276"/>
      <c r="L542" s="276"/>
      <c r="M542" s="276"/>
      <c r="N542" s="276"/>
      <c r="O542" s="276"/>
      <c r="P542" s="276"/>
      <c r="Q542" s="276"/>
      <c r="R542" s="276"/>
      <c r="S542" s="276"/>
      <c r="T542" s="276"/>
      <c r="U542" s="276"/>
      <c r="V542" s="276"/>
      <c r="W542" s="276"/>
      <c r="X542" s="276"/>
      <c r="Y542" s="276"/>
      <c r="Z542" s="276"/>
    </row>
    <row r="543" spans="1:26" ht="18.75" customHeight="1">
      <c r="A543" s="276"/>
      <c r="B543" s="276"/>
      <c r="C543" s="276"/>
      <c r="D543" s="276"/>
      <c r="E543" s="276"/>
      <c r="F543" s="276"/>
      <c r="G543" s="276"/>
      <c r="H543" s="276"/>
      <c r="I543" s="276"/>
      <c r="J543" s="276"/>
      <c r="K543" s="276"/>
      <c r="L543" s="276"/>
      <c r="M543" s="276"/>
      <c r="N543" s="276"/>
      <c r="O543" s="276"/>
      <c r="P543" s="276"/>
      <c r="Q543" s="276"/>
      <c r="R543" s="276"/>
      <c r="S543" s="276"/>
      <c r="T543" s="276"/>
      <c r="U543" s="276"/>
      <c r="V543" s="276"/>
      <c r="W543" s="276"/>
      <c r="X543" s="276"/>
      <c r="Y543" s="276"/>
      <c r="Z543" s="276"/>
    </row>
    <row r="544" spans="1:26" ht="18.75" customHeight="1">
      <c r="A544" s="276"/>
      <c r="B544" s="276"/>
      <c r="C544" s="276"/>
      <c r="D544" s="276"/>
      <c r="E544" s="276"/>
      <c r="F544" s="276"/>
      <c r="G544" s="276"/>
      <c r="H544" s="276"/>
      <c r="I544" s="276"/>
      <c r="J544" s="276"/>
      <c r="K544" s="276"/>
      <c r="L544" s="276"/>
      <c r="M544" s="276"/>
      <c r="N544" s="276"/>
      <c r="O544" s="276"/>
      <c r="P544" s="276"/>
      <c r="Q544" s="276"/>
      <c r="R544" s="276"/>
      <c r="S544" s="276"/>
      <c r="T544" s="276"/>
      <c r="U544" s="276"/>
      <c r="V544" s="276"/>
      <c r="W544" s="276"/>
      <c r="X544" s="276"/>
      <c r="Y544" s="276"/>
      <c r="Z544" s="276"/>
    </row>
    <row r="545" spans="1:26" ht="18.75" customHeight="1">
      <c r="A545" s="276"/>
      <c r="B545" s="276"/>
      <c r="C545" s="276"/>
      <c r="D545" s="276"/>
      <c r="E545" s="276"/>
      <c r="F545" s="276"/>
      <c r="G545" s="276"/>
      <c r="H545" s="276"/>
      <c r="I545" s="276"/>
      <c r="J545" s="276"/>
      <c r="K545" s="276"/>
      <c r="L545" s="276"/>
      <c r="M545" s="276"/>
      <c r="N545" s="276"/>
      <c r="O545" s="276"/>
      <c r="P545" s="276"/>
      <c r="Q545" s="276"/>
      <c r="R545" s="276"/>
      <c r="S545" s="276"/>
      <c r="T545" s="276"/>
      <c r="U545" s="276"/>
      <c r="V545" s="276"/>
      <c r="W545" s="276"/>
      <c r="X545" s="276"/>
      <c r="Y545" s="276"/>
      <c r="Z545" s="276"/>
    </row>
    <row r="546" spans="1:26" ht="18.75" customHeight="1">
      <c r="A546" s="276"/>
      <c r="B546" s="276"/>
      <c r="C546" s="276"/>
      <c r="D546" s="276"/>
      <c r="E546" s="276"/>
      <c r="F546" s="276"/>
      <c r="G546" s="276"/>
      <c r="H546" s="276"/>
      <c r="I546" s="276"/>
      <c r="J546" s="276"/>
      <c r="K546" s="276"/>
      <c r="L546" s="276"/>
      <c r="M546" s="276"/>
      <c r="N546" s="276"/>
      <c r="O546" s="276"/>
      <c r="P546" s="276"/>
      <c r="Q546" s="276"/>
      <c r="R546" s="276"/>
      <c r="S546" s="276"/>
      <c r="T546" s="276"/>
      <c r="U546" s="276"/>
      <c r="V546" s="276"/>
      <c r="W546" s="276"/>
      <c r="X546" s="276"/>
      <c r="Y546" s="276"/>
      <c r="Z546" s="276"/>
    </row>
    <row r="547" spans="1:26" ht="18.75" customHeight="1">
      <c r="A547" s="276"/>
      <c r="B547" s="276"/>
      <c r="C547" s="276"/>
      <c r="D547" s="276"/>
      <c r="E547" s="276"/>
      <c r="F547" s="276"/>
      <c r="G547" s="276"/>
      <c r="H547" s="276"/>
      <c r="I547" s="276"/>
      <c r="J547" s="276"/>
      <c r="K547" s="276"/>
      <c r="L547" s="276"/>
      <c r="M547" s="276"/>
      <c r="N547" s="276"/>
      <c r="O547" s="276"/>
      <c r="P547" s="276"/>
      <c r="Q547" s="276"/>
      <c r="R547" s="276"/>
      <c r="S547" s="276"/>
      <c r="T547" s="276"/>
      <c r="U547" s="276"/>
      <c r="V547" s="276"/>
      <c r="W547" s="276"/>
      <c r="X547" s="276"/>
      <c r="Y547" s="276"/>
      <c r="Z547" s="276"/>
    </row>
    <row r="548" spans="1:26" ht="18.75" customHeight="1">
      <c r="A548" s="276"/>
      <c r="B548" s="276"/>
      <c r="C548" s="276"/>
      <c r="D548" s="276"/>
      <c r="E548" s="276"/>
      <c r="F548" s="276"/>
      <c r="G548" s="276"/>
      <c r="H548" s="276"/>
      <c r="I548" s="276"/>
      <c r="J548" s="276"/>
      <c r="K548" s="276"/>
      <c r="L548" s="276"/>
      <c r="M548" s="276"/>
      <c r="N548" s="276"/>
      <c r="O548" s="276"/>
      <c r="P548" s="276"/>
      <c r="Q548" s="276"/>
      <c r="R548" s="276"/>
      <c r="S548" s="276"/>
      <c r="T548" s="276"/>
      <c r="U548" s="276"/>
      <c r="V548" s="276"/>
      <c r="W548" s="276"/>
      <c r="X548" s="276"/>
      <c r="Y548" s="276"/>
      <c r="Z548" s="276"/>
    </row>
    <row r="549" spans="1:26" ht="18.75" customHeight="1">
      <c r="A549" s="276"/>
      <c r="B549" s="276"/>
      <c r="C549" s="276"/>
      <c r="D549" s="276"/>
      <c r="E549" s="276"/>
      <c r="F549" s="276"/>
      <c r="G549" s="276"/>
      <c r="H549" s="276"/>
      <c r="I549" s="276"/>
      <c r="J549" s="276"/>
      <c r="K549" s="276"/>
      <c r="L549" s="276"/>
      <c r="M549" s="276"/>
      <c r="N549" s="276"/>
      <c r="O549" s="276"/>
      <c r="P549" s="276"/>
      <c r="Q549" s="276"/>
      <c r="R549" s="276"/>
      <c r="S549" s="276"/>
      <c r="T549" s="276"/>
      <c r="U549" s="276"/>
      <c r="V549" s="276"/>
      <c r="W549" s="276"/>
      <c r="X549" s="276"/>
      <c r="Y549" s="276"/>
      <c r="Z549" s="276"/>
    </row>
    <row r="550" spans="1:26" ht="18.75" customHeight="1">
      <c r="A550" s="276"/>
      <c r="B550" s="276"/>
      <c r="C550" s="276"/>
      <c r="D550" s="276"/>
      <c r="E550" s="276"/>
      <c r="F550" s="276"/>
      <c r="G550" s="276"/>
      <c r="H550" s="276"/>
      <c r="I550" s="276"/>
      <c r="J550" s="276"/>
      <c r="K550" s="276"/>
      <c r="L550" s="276"/>
      <c r="M550" s="276"/>
      <c r="N550" s="276"/>
      <c r="O550" s="276"/>
      <c r="P550" s="276"/>
      <c r="Q550" s="276"/>
      <c r="R550" s="276"/>
      <c r="S550" s="276"/>
      <c r="T550" s="276"/>
      <c r="U550" s="276"/>
      <c r="V550" s="276"/>
      <c r="W550" s="276"/>
      <c r="X550" s="276"/>
      <c r="Y550" s="276"/>
      <c r="Z550" s="276"/>
    </row>
    <row r="551" spans="1:26" ht="18.75" customHeight="1">
      <c r="A551" s="276"/>
      <c r="B551" s="276"/>
      <c r="C551" s="276"/>
      <c r="D551" s="276"/>
      <c r="E551" s="276"/>
      <c r="F551" s="276"/>
      <c r="G551" s="276"/>
      <c r="H551" s="276"/>
      <c r="I551" s="276"/>
      <c r="J551" s="276"/>
      <c r="K551" s="276"/>
      <c r="L551" s="276"/>
      <c r="M551" s="276"/>
      <c r="N551" s="276"/>
      <c r="O551" s="276"/>
      <c r="P551" s="276"/>
      <c r="Q551" s="276"/>
      <c r="R551" s="276"/>
      <c r="S551" s="276"/>
      <c r="T551" s="276"/>
      <c r="U551" s="276"/>
      <c r="V551" s="276"/>
      <c r="W551" s="276"/>
      <c r="X551" s="276"/>
      <c r="Y551" s="276"/>
      <c r="Z551" s="276"/>
    </row>
    <row r="552" spans="1:26" ht="18.75" customHeight="1">
      <c r="A552" s="276"/>
      <c r="B552" s="276"/>
      <c r="C552" s="276"/>
      <c r="D552" s="276"/>
      <c r="E552" s="276"/>
      <c r="F552" s="276"/>
      <c r="G552" s="276"/>
      <c r="H552" s="276"/>
      <c r="I552" s="276"/>
      <c r="J552" s="276"/>
      <c r="K552" s="276"/>
      <c r="L552" s="276"/>
      <c r="M552" s="276"/>
      <c r="N552" s="276"/>
      <c r="O552" s="276"/>
      <c r="P552" s="276"/>
      <c r="Q552" s="276"/>
      <c r="R552" s="276"/>
      <c r="S552" s="276"/>
      <c r="T552" s="276"/>
      <c r="U552" s="276"/>
      <c r="V552" s="276"/>
      <c r="W552" s="276"/>
      <c r="X552" s="276"/>
      <c r="Y552" s="276"/>
      <c r="Z552" s="276"/>
    </row>
    <row r="553" spans="1:26" ht="18.75" customHeight="1">
      <c r="A553" s="276"/>
      <c r="B553" s="276"/>
      <c r="C553" s="276"/>
      <c r="D553" s="276"/>
      <c r="E553" s="276"/>
      <c r="F553" s="276"/>
      <c r="G553" s="276"/>
      <c r="H553" s="276"/>
      <c r="I553" s="276"/>
      <c r="J553" s="276"/>
      <c r="K553" s="276"/>
      <c r="L553" s="276"/>
      <c r="M553" s="276"/>
      <c r="N553" s="276"/>
      <c r="O553" s="276"/>
      <c r="P553" s="276"/>
      <c r="Q553" s="276"/>
      <c r="R553" s="276"/>
      <c r="S553" s="276"/>
      <c r="T553" s="276"/>
      <c r="U553" s="276"/>
      <c r="V553" s="276"/>
      <c r="W553" s="276"/>
      <c r="X553" s="276"/>
      <c r="Y553" s="276"/>
      <c r="Z553" s="276"/>
    </row>
    <row r="554" spans="1:26" ht="18.75" customHeight="1">
      <c r="A554" s="276"/>
      <c r="B554" s="276"/>
      <c r="C554" s="276"/>
      <c r="D554" s="276"/>
      <c r="E554" s="276"/>
      <c r="F554" s="276"/>
      <c r="G554" s="276"/>
      <c r="H554" s="276"/>
      <c r="I554" s="276"/>
      <c r="J554" s="276"/>
      <c r="K554" s="276"/>
      <c r="L554" s="276"/>
      <c r="M554" s="276"/>
      <c r="N554" s="276"/>
      <c r="O554" s="276"/>
      <c r="P554" s="276"/>
      <c r="Q554" s="276"/>
      <c r="R554" s="276"/>
      <c r="S554" s="276"/>
      <c r="T554" s="276"/>
      <c r="U554" s="276"/>
      <c r="V554" s="276"/>
      <c r="W554" s="276"/>
      <c r="X554" s="276"/>
      <c r="Y554" s="276"/>
      <c r="Z554" s="276"/>
    </row>
    <row r="555" spans="1:26" ht="18.75" customHeight="1">
      <c r="A555" s="276"/>
      <c r="B555" s="276"/>
      <c r="C555" s="276"/>
      <c r="D555" s="276"/>
      <c r="E555" s="276"/>
      <c r="F555" s="276"/>
      <c r="G555" s="276"/>
      <c r="H555" s="276"/>
      <c r="I555" s="276"/>
      <c r="J555" s="276"/>
      <c r="K555" s="276"/>
      <c r="L555" s="276"/>
      <c r="M555" s="276"/>
      <c r="N555" s="276"/>
      <c r="O555" s="276"/>
      <c r="P555" s="276"/>
      <c r="Q555" s="276"/>
      <c r="R555" s="276"/>
      <c r="S555" s="276"/>
      <c r="T555" s="276"/>
      <c r="U555" s="276"/>
      <c r="V555" s="276"/>
      <c r="W555" s="276"/>
      <c r="X555" s="276"/>
      <c r="Y555" s="276"/>
      <c r="Z555" s="276"/>
    </row>
    <row r="556" spans="1:26" ht="18.75" customHeight="1">
      <c r="A556" s="276"/>
      <c r="B556" s="276"/>
      <c r="C556" s="276"/>
      <c r="D556" s="276"/>
      <c r="E556" s="276"/>
      <c r="F556" s="276"/>
      <c r="G556" s="276"/>
      <c r="H556" s="276"/>
      <c r="I556" s="276"/>
      <c r="J556" s="276"/>
      <c r="K556" s="276"/>
      <c r="L556" s="276"/>
      <c r="M556" s="276"/>
      <c r="N556" s="276"/>
      <c r="O556" s="276"/>
      <c r="P556" s="276"/>
      <c r="Q556" s="276"/>
      <c r="R556" s="276"/>
      <c r="S556" s="276"/>
      <c r="T556" s="276"/>
      <c r="U556" s="276"/>
      <c r="V556" s="276"/>
      <c r="W556" s="276"/>
      <c r="X556" s="276"/>
      <c r="Y556" s="276"/>
      <c r="Z556" s="276"/>
    </row>
    <row r="557" spans="1:26" ht="18.75" customHeight="1">
      <c r="A557" s="276"/>
      <c r="B557" s="276"/>
      <c r="C557" s="276"/>
      <c r="D557" s="276"/>
      <c r="E557" s="276"/>
      <c r="F557" s="276"/>
      <c r="G557" s="276"/>
      <c r="H557" s="276"/>
      <c r="I557" s="276"/>
      <c r="J557" s="276"/>
      <c r="K557" s="276"/>
      <c r="L557" s="276"/>
      <c r="M557" s="276"/>
      <c r="N557" s="276"/>
      <c r="O557" s="276"/>
      <c r="P557" s="276"/>
      <c r="Q557" s="276"/>
      <c r="R557" s="276"/>
      <c r="S557" s="276"/>
      <c r="T557" s="276"/>
      <c r="U557" s="276"/>
      <c r="V557" s="276"/>
      <c r="W557" s="276"/>
      <c r="X557" s="276"/>
      <c r="Y557" s="276"/>
      <c r="Z557" s="276"/>
    </row>
    <row r="558" spans="1:26" ht="18.75" customHeight="1">
      <c r="A558" s="276"/>
      <c r="B558" s="276"/>
      <c r="C558" s="276"/>
      <c r="D558" s="276"/>
      <c r="E558" s="276"/>
      <c r="F558" s="276"/>
      <c r="G558" s="276"/>
      <c r="H558" s="276"/>
      <c r="I558" s="276"/>
      <c r="J558" s="276"/>
      <c r="K558" s="276"/>
      <c r="L558" s="276"/>
      <c r="M558" s="276"/>
      <c r="N558" s="276"/>
      <c r="O558" s="276"/>
      <c r="P558" s="276"/>
      <c r="Q558" s="276"/>
      <c r="R558" s="276"/>
      <c r="S558" s="276"/>
      <c r="T558" s="276"/>
      <c r="U558" s="276"/>
      <c r="V558" s="276"/>
      <c r="W558" s="276"/>
      <c r="X558" s="276"/>
      <c r="Y558" s="276"/>
      <c r="Z558" s="276"/>
    </row>
    <row r="559" spans="1:26" ht="18.75" customHeight="1">
      <c r="A559" s="276"/>
      <c r="B559" s="276"/>
      <c r="C559" s="276"/>
      <c r="D559" s="276"/>
      <c r="E559" s="276"/>
      <c r="F559" s="276"/>
      <c r="G559" s="276"/>
      <c r="H559" s="276"/>
      <c r="I559" s="276"/>
      <c r="J559" s="276"/>
      <c r="K559" s="276"/>
      <c r="L559" s="276"/>
      <c r="M559" s="276"/>
      <c r="N559" s="276"/>
      <c r="O559" s="276"/>
      <c r="P559" s="276"/>
      <c r="Q559" s="276"/>
      <c r="R559" s="276"/>
      <c r="S559" s="276"/>
      <c r="T559" s="276"/>
      <c r="U559" s="276"/>
      <c r="V559" s="276"/>
      <c r="W559" s="276"/>
      <c r="X559" s="276"/>
      <c r="Y559" s="276"/>
      <c r="Z559" s="276"/>
    </row>
    <row r="560" spans="1:26" ht="18.75" customHeight="1">
      <c r="A560" s="276"/>
      <c r="B560" s="276"/>
      <c r="C560" s="276"/>
      <c r="D560" s="276"/>
      <c r="E560" s="276"/>
      <c r="F560" s="276"/>
      <c r="G560" s="276"/>
      <c r="H560" s="276"/>
      <c r="I560" s="276"/>
      <c r="J560" s="276"/>
      <c r="K560" s="276"/>
      <c r="L560" s="276"/>
      <c r="M560" s="276"/>
      <c r="N560" s="276"/>
      <c r="O560" s="276"/>
      <c r="P560" s="276"/>
      <c r="Q560" s="276"/>
      <c r="R560" s="276"/>
      <c r="S560" s="276"/>
      <c r="T560" s="276"/>
      <c r="U560" s="276"/>
      <c r="V560" s="276"/>
      <c r="W560" s="276"/>
      <c r="X560" s="276"/>
      <c r="Y560" s="276"/>
      <c r="Z560" s="276"/>
    </row>
    <row r="561" spans="1:26" ht="18.75" customHeight="1">
      <c r="A561" s="276"/>
      <c r="B561" s="276"/>
      <c r="C561" s="276"/>
      <c r="D561" s="276"/>
      <c r="E561" s="276"/>
      <c r="F561" s="276"/>
      <c r="G561" s="276"/>
      <c r="H561" s="276"/>
      <c r="I561" s="276"/>
      <c r="J561" s="276"/>
      <c r="K561" s="276"/>
      <c r="L561" s="276"/>
      <c r="M561" s="276"/>
      <c r="N561" s="276"/>
      <c r="O561" s="276"/>
      <c r="P561" s="276"/>
      <c r="Q561" s="276"/>
      <c r="R561" s="276"/>
      <c r="S561" s="276"/>
      <c r="T561" s="276"/>
      <c r="U561" s="276"/>
      <c r="V561" s="276"/>
      <c r="W561" s="276"/>
      <c r="X561" s="276"/>
      <c r="Y561" s="276"/>
      <c r="Z561" s="276"/>
    </row>
    <row r="562" spans="1:26" ht="18.75" customHeight="1">
      <c r="A562" s="276"/>
      <c r="B562" s="276"/>
      <c r="C562" s="276"/>
      <c r="D562" s="276"/>
      <c r="E562" s="276"/>
      <c r="F562" s="276"/>
      <c r="G562" s="276"/>
      <c r="H562" s="276"/>
      <c r="I562" s="276"/>
      <c r="J562" s="276"/>
      <c r="K562" s="276"/>
      <c r="L562" s="276"/>
      <c r="M562" s="276"/>
      <c r="N562" s="276"/>
      <c r="O562" s="276"/>
      <c r="P562" s="276"/>
      <c r="Q562" s="276"/>
      <c r="R562" s="276"/>
      <c r="S562" s="276"/>
      <c r="T562" s="276"/>
      <c r="U562" s="276"/>
      <c r="V562" s="276"/>
      <c r="W562" s="276"/>
      <c r="X562" s="276"/>
      <c r="Y562" s="276"/>
      <c r="Z562" s="276"/>
    </row>
    <row r="563" spans="1:26" ht="18.75" customHeight="1">
      <c r="A563" s="276"/>
      <c r="B563" s="276"/>
      <c r="C563" s="276"/>
      <c r="D563" s="276"/>
      <c r="E563" s="276"/>
      <c r="F563" s="276"/>
      <c r="G563" s="276"/>
      <c r="H563" s="276"/>
      <c r="I563" s="276"/>
      <c r="J563" s="276"/>
      <c r="K563" s="276"/>
      <c r="L563" s="276"/>
      <c r="M563" s="276"/>
      <c r="N563" s="276"/>
      <c r="O563" s="276"/>
      <c r="P563" s="276"/>
      <c r="Q563" s="276"/>
      <c r="R563" s="276"/>
      <c r="S563" s="276"/>
      <c r="T563" s="276"/>
      <c r="U563" s="276"/>
      <c r="V563" s="276"/>
      <c r="W563" s="276"/>
      <c r="X563" s="276"/>
      <c r="Y563" s="276"/>
      <c r="Z563" s="276"/>
    </row>
    <row r="564" spans="1:26" ht="18.75" customHeight="1">
      <c r="A564" s="276"/>
      <c r="B564" s="276"/>
      <c r="C564" s="276"/>
      <c r="D564" s="276"/>
      <c r="E564" s="276"/>
      <c r="F564" s="276"/>
      <c r="G564" s="276"/>
      <c r="H564" s="276"/>
      <c r="I564" s="276"/>
      <c r="J564" s="276"/>
      <c r="K564" s="276"/>
      <c r="L564" s="276"/>
      <c r="M564" s="276"/>
      <c r="N564" s="276"/>
      <c r="O564" s="276"/>
      <c r="P564" s="276"/>
      <c r="Q564" s="276"/>
      <c r="R564" s="276"/>
      <c r="S564" s="276"/>
      <c r="T564" s="276"/>
      <c r="U564" s="276"/>
      <c r="V564" s="276"/>
      <c r="W564" s="276"/>
      <c r="X564" s="276"/>
      <c r="Y564" s="276"/>
      <c r="Z564" s="276"/>
    </row>
    <row r="565" spans="1:26" ht="18.75" customHeight="1">
      <c r="A565" s="276"/>
      <c r="B565" s="276"/>
      <c r="C565" s="276"/>
      <c r="D565" s="276"/>
      <c r="E565" s="276"/>
      <c r="F565" s="276"/>
      <c r="G565" s="276"/>
      <c r="H565" s="276"/>
      <c r="I565" s="276"/>
      <c r="J565" s="276"/>
      <c r="K565" s="276"/>
      <c r="L565" s="276"/>
      <c r="M565" s="276"/>
      <c r="N565" s="276"/>
      <c r="O565" s="276"/>
      <c r="P565" s="276"/>
      <c r="Q565" s="276"/>
      <c r="R565" s="276"/>
      <c r="S565" s="276"/>
      <c r="T565" s="276"/>
      <c r="U565" s="276"/>
      <c r="V565" s="276"/>
      <c r="W565" s="276"/>
      <c r="X565" s="276"/>
      <c r="Y565" s="276"/>
      <c r="Z565" s="276"/>
    </row>
    <row r="566" spans="1:26" ht="18.75" customHeight="1">
      <c r="A566" s="276"/>
      <c r="B566" s="276"/>
      <c r="C566" s="276"/>
      <c r="D566" s="276"/>
      <c r="E566" s="276"/>
      <c r="F566" s="276"/>
      <c r="G566" s="276"/>
      <c r="H566" s="276"/>
      <c r="I566" s="276"/>
      <c r="J566" s="276"/>
      <c r="K566" s="276"/>
      <c r="L566" s="276"/>
      <c r="M566" s="276"/>
      <c r="N566" s="276"/>
      <c r="O566" s="276"/>
      <c r="P566" s="276"/>
      <c r="Q566" s="276"/>
      <c r="R566" s="276"/>
      <c r="S566" s="276"/>
      <c r="T566" s="276"/>
      <c r="U566" s="276"/>
      <c r="V566" s="276"/>
      <c r="W566" s="276"/>
      <c r="X566" s="276"/>
      <c r="Y566" s="276"/>
      <c r="Z566" s="276"/>
    </row>
    <row r="567" spans="1:26" ht="18.75" customHeight="1">
      <c r="A567" s="276"/>
      <c r="B567" s="276"/>
      <c r="C567" s="276"/>
      <c r="D567" s="276"/>
      <c r="E567" s="276"/>
      <c r="F567" s="276"/>
      <c r="G567" s="276"/>
      <c r="H567" s="276"/>
      <c r="I567" s="276"/>
      <c r="J567" s="276"/>
      <c r="K567" s="276"/>
      <c r="L567" s="276"/>
      <c r="M567" s="276"/>
      <c r="N567" s="276"/>
      <c r="O567" s="276"/>
      <c r="P567" s="276"/>
      <c r="Q567" s="276"/>
      <c r="R567" s="276"/>
      <c r="S567" s="276"/>
      <c r="T567" s="276"/>
      <c r="U567" s="276"/>
      <c r="V567" s="276"/>
      <c r="W567" s="276"/>
      <c r="X567" s="276"/>
      <c r="Y567" s="276"/>
      <c r="Z567" s="276"/>
    </row>
    <row r="568" spans="1:26" ht="18.75" customHeight="1">
      <c r="A568" s="276"/>
      <c r="B568" s="276"/>
      <c r="C568" s="276"/>
      <c r="D568" s="276"/>
      <c r="E568" s="276"/>
      <c r="F568" s="276"/>
      <c r="G568" s="276"/>
      <c r="H568" s="276"/>
      <c r="I568" s="276"/>
      <c r="J568" s="276"/>
      <c r="K568" s="276"/>
      <c r="L568" s="276"/>
      <c r="M568" s="276"/>
      <c r="N568" s="276"/>
      <c r="O568" s="276"/>
      <c r="P568" s="276"/>
      <c r="Q568" s="276"/>
      <c r="R568" s="276"/>
      <c r="S568" s="276"/>
      <c r="T568" s="276"/>
      <c r="U568" s="276"/>
      <c r="V568" s="276"/>
      <c r="W568" s="276"/>
      <c r="X568" s="276"/>
      <c r="Y568" s="276"/>
      <c r="Z568" s="276"/>
    </row>
    <row r="569" spans="1:26" ht="18.75" customHeight="1">
      <c r="A569" s="276"/>
      <c r="B569" s="276"/>
      <c r="C569" s="276"/>
      <c r="D569" s="276"/>
      <c r="E569" s="276"/>
      <c r="F569" s="276"/>
      <c r="G569" s="276"/>
      <c r="H569" s="276"/>
      <c r="I569" s="276"/>
      <c r="J569" s="276"/>
      <c r="K569" s="276"/>
      <c r="L569" s="276"/>
      <c r="M569" s="276"/>
      <c r="N569" s="276"/>
      <c r="O569" s="276"/>
      <c r="P569" s="276"/>
      <c r="Q569" s="276"/>
      <c r="R569" s="276"/>
      <c r="S569" s="276"/>
      <c r="T569" s="276"/>
      <c r="U569" s="276"/>
      <c r="V569" s="276"/>
      <c r="W569" s="276"/>
      <c r="X569" s="276"/>
      <c r="Y569" s="276"/>
      <c r="Z569" s="276"/>
    </row>
    <row r="570" spans="1:26" ht="18.75" customHeight="1">
      <c r="A570" s="276"/>
      <c r="B570" s="276"/>
      <c r="C570" s="276"/>
      <c r="D570" s="276"/>
      <c r="E570" s="276"/>
      <c r="F570" s="276"/>
      <c r="G570" s="276"/>
      <c r="H570" s="276"/>
      <c r="I570" s="276"/>
      <c r="J570" s="276"/>
      <c r="K570" s="276"/>
      <c r="L570" s="276"/>
      <c r="M570" s="276"/>
      <c r="N570" s="276"/>
      <c r="O570" s="276"/>
      <c r="P570" s="276"/>
      <c r="Q570" s="276"/>
      <c r="R570" s="276"/>
      <c r="S570" s="276"/>
      <c r="T570" s="276"/>
      <c r="U570" s="276"/>
      <c r="V570" s="276"/>
      <c r="W570" s="276"/>
      <c r="X570" s="276"/>
      <c r="Y570" s="276"/>
      <c r="Z570" s="276"/>
    </row>
    <row r="571" spans="1:26" ht="18.75" customHeight="1">
      <c r="A571" s="276"/>
      <c r="B571" s="276"/>
      <c r="C571" s="276"/>
      <c r="D571" s="276"/>
      <c r="E571" s="276"/>
      <c r="F571" s="276"/>
      <c r="G571" s="276"/>
      <c r="H571" s="276"/>
      <c r="I571" s="276"/>
      <c r="J571" s="276"/>
      <c r="K571" s="276"/>
      <c r="L571" s="276"/>
      <c r="M571" s="276"/>
      <c r="N571" s="276"/>
      <c r="O571" s="276"/>
      <c r="P571" s="276"/>
      <c r="Q571" s="276"/>
      <c r="R571" s="276"/>
      <c r="S571" s="276"/>
      <c r="T571" s="276"/>
      <c r="U571" s="276"/>
      <c r="V571" s="276"/>
      <c r="W571" s="276"/>
      <c r="X571" s="276"/>
      <c r="Y571" s="276"/>
      <c r="Z571" s="276"/>
    </row>
    <row r="572" spans="1:26" ht="18.75" customHeight="1">
      <c r="A572" s="276"/>
      <c r="B572" s="276"/>
      <c r="C572" s="276"/>
      <c r="D572" s="276"/>
      <c r="E572" s="276"/>
      <c r="F572" s="276"/>
      <c r="G572" s="276"/>
      <c r="H572" s="276"/>
      <c r="I572" s="276"/>
      <c r="J572" s="276"/>
      <c r="K572" s="276"/>
      <c r="L572" s="276"/>
      <c r="M572" s="276"/>
      <c r="N572" s="276"/>
      <c r="O572" s="276"/>
      <c r="P572" s="276"/>
      <c r="Q572" s="276"/>
      <c r="R572" s="276"/>
      <c r="S572" s="276"/>
      <c r="T572" s="276"/>
      <c r="U572" s="276"/>
      <c r="V572" s="276"/>
      <c r="W572" s="276"/>
      <c r="X572" s="276"/>
      <c r="Y572" s="276"/>
      <c r="Z572" s="276"/>
    </row>
    <row r="573" spans="1:26" ht="18.75" customHeight="1">
      <c r="A573" s="276"/>
      <c r="B573" s="276"/>
      <c r="C573" s="276"/>
      <c r="D573" s="276"/>
      <c r="E573" s="276"/>
      <c r="F573" s="276"/>
      <c r="G573" s="276"/>
      <c r="H573" s="276"/>
      <c r="I573" s="276"/>
      <c r="J573" s="276"/>
      <c r="K573" s="276"/>
      <c r="L573" s="276"/>
      <c r="M573" s="276"/>
      <c r="N573" s="276"/>
      <c r="O573" s="276"/>
      <c r="P573" s="276"/>
      <c r="Q573" s="276"/>
      <c r="R573" s="276"/>
      <c r="S573" s="276"/>
      <c r="T573" s="276"/>
      <c r="U573" s="276"/>
      <c r="V573" s="276"/>
      <c r="W573" s="276"/>
      <c r="X573" s="276"/>
      <c r="Y573" s="276"/>
      <c r="Z573" s="276"/>
    </row>
    <row r="574" spans="1:26" ht="18.75" customHeight="1">
      <c r="A574" s="276"/>
      <c r="B574" s="276"/>
      <c r="C574" s="276"/>
      <c r="D574" s="276"/>
      <c r="E574" s="276"/>
      <c r="F574" s="276"/>
      <c r="G574" s="276"/>
      <c r="H574" s="276"/>
      <c r="I574" s="276"/>
      <c r="J574" s="276"/>
      <c r="K574" s="276"/>
      <c r="L574" s="276"/>
      <c r="M574" s="276"/>
      <c r="N574" s="276"/>
      <c r="O574" s="276"/>
      <c r="P574" s="276"/>
      <c r="Q574" s="276"/>
      <c r="R574" s="276"/>
      <c r="S574" s="276"/>
      <c r="T574" s="276"/>
      <c r="U574" s="276"/>
      <c r="V574" s="276"/>
      <c r="W574" s="276"/>
      <c r="X574" s="276"/>
      <c r="Y574" s="276"/>
      <c r="Z574" s="276"/>
    </row>
    <row r="575" spans="1:26" ht="18.75" customHeight="1">
      <c r="A575" s="276"/>
      <c r="B575" s="276"/>
      <c r="C575" s="276"/>
      <c r="D575" s="276"/>
      <c r="E575" s="276"/>
      <c r="F575" s="276"/>
      <c r="G575" s="276"/>
      <c r="H575" s="276"/>
      <c r="I575" s="276"/>
      <c r="J575" s="276"/>
      <c r="K575" s="276"/>
      <c r="L575" s="276"/>
      <c r="M575" s="276"/>
      <c r="N575" s="276"/>
      <c r="O575" s="276"/>
      <c r="P575" s="276"/>
      <c r="Q575" s="276"/>
      <c r="R575" s="276"/>
      <c r="S575" s="276"/>
      <c r="T575" s="276"/>
      <c r="U575" s="276"/>
      <c r="V575" s="276"/>
      <c r="W575" s="276"/>
      <c r="X575" s="276"/>
      <c r="Y575" s="276"/>
      <c r="Z575" s="276"/>
    </row>
    <row r="576" spans="1:26" ht="18.75" customHeight="1">
      <c r="A576" s="276"/>
      <c r="B576" s="276"/>
      <c r="C576" s="276"/>
      <c r="D576" s="276"/>
      <c r="E576" s="276"/>
      <c r="F576" s="276"/>
      <c r="G576" s="276"/>
      <c r="H576" s="276"/>
      <c r="I576" s="276"/>
      <c r="J576" s="276"/>
      <c r="K576" s="276"/>
      <c r="L576" s="276"/>
      <c r="M576" s="276"/>
      <c r="N576" s="276"/>
      <c r="O576" s="276"/>
      <c r="P576" s="276"/>
      <c r="Q576" s="276"/>
      <c r="R576" s="276"/>
      <c r="S576" s="276"/>
      <c r="T576" s="276"/>
      <c r="U576" s="276"/>
      <c r="V576" s="276"/>
      <c r="W576" s="276"/>
      <c r="X576" s="276"/>
      <c r="Y576" s="276"/>
      <c r="Z576" s="276"/>
    </row>
    <row r="577" spans="1:26" ht="18.75" customHeight="1">
      <c r="A577" s="276"/>
      <c r="B577" s="276"/>
      <c r="C577" s="276"/>
      <c r="D577" s="276"/>
      <c r="E577" s="276"/>
      <c r="F577" s="276"/>
      <c r="G577" s="276"/>
      <c r="H577" s="276"/>
      <c r="I577" s="276"/>
      <c r="J577" s="276"/>
      <c r="K577" s="276"/>
      <c r="L577" s="276"/>
      <c r="M577" s="276"/>
      <c r="N577" s="276"/>
      <c r="O577" s="276"/>
      <c r="P577" s="276"/>
      <c r="Q577" s="276"/>
      <c r="R577" s="276"/>
      <c r="S577" s="276"/>
      <c r="T577" s="276"/>
      <c r="U577" s="276"/>
      <c r="V577" s="276"/>
      <c r="W577" s="276"/>
      <c r="X577" s="276"/>
      <c r="Y577" s="276"/>
      <c r="Z577" s="276"/>
    </row>
    <row r="578" spans="1:26" ht="18.75" customHeight="1">
      <c r="A578" s="276"/>
      <c r="B578" s="276"/>
      <c r="C578" s="276"/>
      <c r="D578" s="276"/>
      <c r="E578" s="276"/>
      <c r="F578" s="276"/>
      <c r="G578" s="276"/>
      <c r="H578" s="276"/>
      <c r="I578" s="276"/>
      <c r="J578" s="276"/>
      <c r="K578" s="276"/>
      <c r="L578" s="276"/>
      <c r="M578" s="276"/>
      <c r="N578" s="276"/>
      <c r="O578" s="276"/>
      <c r="P578" s="276"/>
      <c r="Q578" s="276"/>
      <c r="R578" s="276"/>
      <c r="S578" s="276"/>
      <c r="T578" s="276"/>
      <c r="U578" s="276"/>
      <c r="V578" s="276"/>
      <c r="W578" s="276"/>
      <c r="X578" s="276"/>
      <c r="Y578" s="276"/>
      <c r="Z578" s="276"/>
    </row>
    <row r="579" spans="1:26" ht="18.75" customHeight="1">
      <c r="A579" s="276"/>
      <c r="B579" s="276"/>
      <c r="C579" s="276"/>
      <c r="D579" s="276"/>
      <c r="E579" s="276"/>
      <c r="F579" s="276"/>
      <c r="G579" s="276"/>
      <c r="H579" s="276"/>
      <c r="I579" s="276"/>
      <c r="J579" s="276"/>
      <c r="K579" s="276"/>
      <c r="L579" s="276"/>
      <c r="M579" s="276"/>
      <c r="N579" s="276"/>
      <c r="O579" s="276"/>
      <c r="P579" s="276"/>
      <c r="Q579" s="276"/>
      <c r="R579" s="276"/>
      <c r="S579" s="276"/>
      <c r="T579" s="276"/>
      <c r="U579" s="276"/>
      <c r="V579" s="276"/>
      <c r="W579" s="276"/>
      <c r="X579" s="276"/>
      <c r="Y579" s="276"/>
      <c r="Z579" s="276"/>
    </row>
    <row r="580" spans="1:26" ht="18.75" customHeight="1">
      <c r="A580" s="276"/>
      <c r="B580" s="276"/>
      <c r="C580" s="276"/>
      <c r="D580" s="276"/>
      <c r="E580" s="276"/>
      <c r="F580" s="276"/>
      <c r="G580" s="276"/>
      <c r="H580" s="276"/>
      <c r="I580" s="276"/>
      <c r="J580" s="276"/>
      <c r="K580" s="276"/>
      <c r="L580" s="276"/>
      <c r="M580" s="276"/>
      <c r="N580" s="276"/>
      <c r="O580" s="276"/>
      <c r="P580" s="276"/>
      <c r="Q580" s="276"/>
      <c r="R580" s="276"/>
      <c r="S580" s="276"/>
      <c r="T580" s="276"/>
      <c r="U580" s="276"/>
      <c r="V580" s="276"/>
      <c r="W580" s="276"/>
      <c r="X580" s="276"/>
      <c r="Y580" s="276"/>
      <c r="Z580" s="276"/>
    </row>
    <row r="581" spans="1:26" ht="18.75" customHeight="1">
      <c r="A581" s="276"/>
      <c r="B581" s="276"/>
      <c r="C581" s="276"/>
      <c r="D581" s="276"/>
      <c r="E581" s="276"/>
      <c r="F581" s="276"/>
      <c r="G581" s="276"/>
      <c r="H581" s="276"/>
      <c r="I581" s="276"/>
      <c r="J581" s="276"/>
      <c r="K581" s="276"/>
      <c r="L581" s="276"/>
      <c r="M581" s="276"/>
      <c r="N581" s="276"/>
      <c r="O581" s="276"/>
      <c r="P581" s="276"/>
      <c r="Q581" s="276"/>
      <c r="R581" s="276"/>
      <c r="S581" s="276"/>
      <c r="T581" s="276"/>
      <c r="U581" s="276"/>
      <c r="V581" s="276"/>
      <c r="W581" s="276"/>
      <c r="X581" s="276"/>
      <c r="Y581" s="276"/>
      <c r="Z581" s="276"/>
    </row>
    <row r="582" spans="1:26" ht="18.75" customHeight="1">
      <c r="A582" s="276"/>
      <c r="B582" s="276"/>
      <c r="C582" s="276"/>
      <c r="D582" s="276"/>
      <c r="E582" s="276"/>
      <c r="F582" s="276"/>
      <c r="G582" s="276"/>
      <c r="H582" s="276"/>
      <c r="I582" s="276"/>
      <c r="J582" s="276"/>
      <c r="K582" s="276"/>
      <c r="L582" s="276"/>
      <c r="M582" s="276"/>
      <c r="N582" s="276"/>
      <c r="O582" s="276"/>
      <c r="P582" s="276"/>
      <c r="Q582" s="276"/>
      <c r="R582" s="276"/>
      <c r="S582" s="276"/>
      <c r="T582" s="276"/>
      <c r="U582" s="276"/>
      <c r="V582" s="276"/>
      <c r="W582" s="276"/>
      <c r="X582" s="276"/>
      <c r="Y582" s="276"/>
      <c r="Z582" s="276"/>
    </row>
    <row r="583" spans="1:26" ht="18.75" customHeight="1">
      <c r="A583" s="276"/>
      <c r="B583" s="276"/>
      <c r="C583" s="276"/>
      <c r="D583" s="276"/>
      <c r="E583" s="276"/>
      <c r="F583" s="276"/>
      <c r="G583" s="276"/>
      <c r="H583" s="276"/>
      <c r="I583" s="276"/>
      <c r="J583" s="276"/>
      <c r="K583" s="276"/>
      <c r="L583" s="276"/>
      <c r="M583" s="276"/>
      <c r="N583" s="276"/>
      <c r="O583" s="276"/>
      <c r="P583" s="276"/>
      <c r="Q583" s="276"/>
      <c r="R583" s="276"/>
      <c r="S583" s="276"/>
      <c r="T583" s="276"/>
      <c r="U583" s="276"/>
      <c r="V583" s="276"/>
      <c r="W583" s="276"/>
      <c r="X583" s="276"/>
      <c r="Y583" s="276"/>
      <c r="Z583" s="276"/>
    </row>
    <row r="584" spans="1:26" ht="18.75" customHeight="1">
      <c r="A584" s="276"/>
      <c r="B584" s="276"/>
      <c r="C584" s="276"/>
      <c r="D584" s="276"/>
      <c r="E584" s="276"/>
      <c r="F584" s="276"/>
      <c r="G584" s="276"/>
      <c r="H584" s="276"/>
      <c r="I584" s="276"/>
      <c r="J584" s="276"/>
      <c r="K584" s="276"/>
      <c r="L584" s="276"/>
      <c r="M584" s="276"/>
      <c r="N584" s="276"/>
      <c r="O584" s="276"/>
      <c r="P584" s="276"/>
      <c r="Q584" s="276"/>
      <c r="R584" s="276"/>
      <c r="S584" s="276"/>
      <c r="T584" s="276"/>
      <c r="U584" s="276"/>
      <c r="V584" s="276"/>
      <c r="W584" s="276"/>
      <c r="X584" s="276"/>
      <c r="Y584" s="276"/>
      <c r="Z584" s="276"/>
    </row>
    <row r="585" spans="1:26" ht="18.75" customHeight="1">
      <c r="A585" s="276"/>
      <c r="B585" s="276"/>
      <c r="C585" s="276"/>
      <c r="D585" s="276"/>
      <c r="E585" s="276"/>
      <c r="F585" s="276"/>
      <c r="G585" s="276"/>
      <c r="H585" s="276"/>
      <c r="I585" s="276"/>
      <c r="J585" s="276"/>
      <c r="K585" s="276"/>
      <c r="L585" s="276"/>
      <c r="M585" s="276"/>
      <c r="N585" s="276"/>
      <c r="O585" s="276"/>
      <c r="P585" s="276"/>
      <c r="Q585" s="276"/>
      <c r="R585" s="276"/>
      <c r="S585" s="276"/>
      <c r="T585" s="276"/>
      <c r="U585" s="276"/>
      <c r="V585" s="276"/>
      <c r="W585" s="276"/>
      <c r="X585" s="276"/>
      <c r="Y585" s="276"/>
      <c r="Z585" s="276"/>
    </row>
    <row r="586" spans="1:26" ht="18.75" customHeight="1">
      <c r="A586" s="276"/>
      <c r="B586" s="276"/>
      <c r="C586" s="276"/>
      <c r="D586" s="276"/>
      <c r="E586" s="276"/>
      <c r="F586" s="276"/>
      <c r="G586" s="276"/>
      <c r="H586" s="276"/>
      <c r="I586" s="276"/>
      <c r="J586" s="276"/>
      <c r="K586" s="276"/>
      <c r="L586" s="276"/>
      <c r="M586" s="276"/>
      <c r="N586" s="276"/>
      <c r="O586" s="276"/>
      <c r="P586" s="276"/>
      <c r="Q586" s="276"/>
      <c r="R586" s="276"/>
      <c r="S586" s="276"/>
      <c r="T586" s="276"/>
      <c r="U586" s="276"/>
      <c r="V586" s="276"/>
      <c r="W586" s="276"/>
      <c r="X586" s="276"/>
      <c r="Y586" s="276"/>
      <c r="Z586" s="276"/>
    </row>
    <row r="587" spans="1:26" ht="18.75" customHeight="1">
      <c r="A587" s="276"/>
      <c r="B587" s="276"/>
      <c r="C587" s="276"/>
      <c r="D587" s="276"/>
      <c r="E587" s="276"/>
      <c r="F587" s="276"/>
      <c r="G587" s="276"/>
      <c r="H587" s="276"/>
      <c r="I587" s="276"/>
      <c r="J587" s="276"/>
      <c r="K587" s="276"/>
      <c r="L587" s="276"/>
      <c r="M587" s="276"/>
      <c r="N587" s="276"/>
      <c r="O587" s="276"/>
      <c r="P587" s="276"/>
      <c r="Q587" s="276"/>
      <c r="R587" s="276"/>
      <c r="S587" s="276"/>
      <c r="T587" s="276"/>
      <c r="U587" s="276"/>
      <c r="V587" s="276"/>
      <c r="W587" s="276"/>
      <c r="X587" s="276"/>
      <c r="Y587" s="276"/>
      <c r="Z587" s="276"/>
    </row>
    <row r="588" spans="1:26" ht="18.75" customHeight="1">
      <c r="A588" s="276"/>
      <c r="B588" s="276"/>
      <c r="C588" s="276"/>
      <c r="D588" s="276"/>
      <c r="E588" s="276"/>
      <c r="F588" s="276"/>
      <c r="G588" s="276"/>
      <c r="H588" s="276"/>
      <c r="I588" s="276"/>
      <c r="J588" s="276"/>
      <c r="K588" s="276"/>
      <c r="L588" s="276"/>
      <c r="M588" s="276"/>
      <c r="N588" s="276"/>
      <c r="O588" s="276"/>
      <c r="P588" s="276"/>
      <c r="Q588" s="276"/>
      <c r="R588" s="276"/>
      <c r="S588" s="276"/>
      <c r="T588" s="276"/>
      <c r="U588" s="276"/>
      <c r="V588" s="276"/>
      <c r="W588" s="276"/>
      <c r="X588" s="276"/>
      <c r="Y588" s="276"/>
      <c r="Z588" s="276"/>
    </row>
    <row r="589" spans="1:26" ht="18.75" customHeight="1">
      <c r="A589" s="276"/>
      <c r="B589" s="276"/>
      <c r="C589" s="276"/>
      <c r="D589" s="276"/>
      <c r="E589" s="276"/>
      <c r="F589" s="276"/>
      <c r="G589" s="276"/>
      <c r="H589" s="276"/>
      <c r="I589" s="276"/>
      <c r="J589" s="276"/>
      <c r="K589" s="276"/>
      <c r="L589" s="276"/>
      <c r="M589" s="276"/>
      <c r="N589" s="276"/>
      <c r="O589" s="276"/>
      <c r="P589" s="276"/>
      <c r="Q589" s="276"/>
      <c r="R589" s="276"/>
      <c r="S589" s="276"/>
      <c r="T589" s="276"/>
      <c r="U589" s="276"/>
      <c r="V589" s="276"/>
      <c r="W589" s="276"/>
      <c r="X589" s="276"/>
      <c r="Y589" s="276"/>
      <c r="Z589" s="276"/>
    </row>
    <row r="590" spans="1:26" ht="18.75" customHeight="1">
      <c r="A590" s="276"/>
      <c r="B590" s="276"/>
      <c r="C590" s="276"/>
      <c r="D590" s="276"/>
      <c r="E590" s="276"/>
      <c r="F590" s="276"/>
      <c r="G590" s="276"/>
      <c r="H590" s="276"/>
      <c r="I590" s="276"/>
      <c r="J590" s="276"/>
      <c r="K590" s="276"/>
      <c r="L590" s="276"/>
      <c r="M590" s="276"/>
      <c r="N590" s="276"/>
      <c r="O590" s="276"/>
      <c r="P590" s="276"/>
      <c r="Q590" s="276"/>
      <c r="R590" s="276"/>
      <c r="S590" s="276"/>
      <c r="T590" s="276"/>
      <c r="U590" s="276"/>
      <c r="V590" s="276"/>
      <c r="W590" s="276"/>
      <c r="X590" s="276"/>
      <c r="Y590" s="276"/>
      <c r="Z590" s="276"/>
    </row>
    <row r="591" spans="1:26" ht="18.75" customHeight="1">
      <c r="A591" s="276"/>
      <c r="B591" s="276"/>
      <c r="C591" s="276"/>
      <c r="D591" s="276"/>
      <c r="E591" s="276"/>
      <c r="F591" s="276"/>
      <c r="G591" s="276"/>
      <c r="H591" s="276"/>
      <c r="I591" s="276"/>
      <c r="J591" s="276"/>
      <c r="K591" s="276"/>
      <c r="L591" s="276"/>
      <c r="M591" s="276"/>
      <c r="N591" s="276"/>
      <c r="O591" s="276"/>
      <c r="P591" s="276"/>
      <c r="Q591" s="276"/>
      <c r="R591" s="276"/>
      <c r="S591" s="276"/>
      <c r="T591" s="276"/>
      <c r="U591" s="276"/>
      <c r="V591" s="276"/>
      <c r="W591" s="276"/>
      <c r="X591" s="276"/>
      <c r="Y591" s="276"/>
      <c r="Z591" s="276"/>
    </row>
    <row r="592" spans="1:26" ht="18.75" customHeight="1">
      <c r="A592" s="276"/>
      <c r="B592" s="276"/>
      <c r="C592" s="276"/>
      <c r="D592" s="276"/>
      <c r="E592" s="276"/>
      <c r="F592" s="276"/>
      <c r="G592" s="276"/>
      <c r="H592" s="276"/>
      <c r="I592" s="276"/>
      <c r="J592" s="276"/>
      <c r="K592" s="276"/>
      <c r="L592" s="276"/>
      <c r="M592" s="276"/>
      <c r="N592" s="276"/>
      <c r="O592" s="276"/>
      <c r="P592" s="276"/>
      <c r="Q592" s="276"/>
      <c r="R592" s="276"/>
      <c r="S592" s="276"/>
      <c r="T592" s="276"/>
      <c r="U592" s="276"/>
      <c r="V592" s="276"/>
      <c r="W592" s="276"/>
      <c r="X592" s="276"/>
      <c r="Y592" s="276"/>
      <c r="Z592" s="276"/>
    </row>
    <row r="593" spans="1:26" ht="18.75" customHeight="1">
      <c r="A593" s="276"/>
      <c r="B593" s="276"/>
      <c r="C593" s="276"/>
      <c r="D593" s="276"/>
      <c r="E593" s="276"/>
      <c r="F593" s="276"/>
      <c r="G593" s="276"/>
      <c r="H593" s="276"/>
      <c r="I593" s="276"/>
      <c r="J593" s="276"/>
      <c r="K593" s="276"/>
      <c r="L593" s="276"/>
      <c r="M593" s="276"/>
      <c r="N593" s="276"/>
      <c r="O593" s="276"/>
      <c r="P593" s="276"/>
      <c r="Q593" s="276"/>
      <c r="R593" s="276"/>
      <c r="S593" s="276"/>
      <c r="T593" s="276"/>
      <c r="U593" s="276"/>
      <c r="V593" s="276"/>
      <c r="W593" s="276"/>
      <c r="X593" s="276"/>
      <c r="Y593" s="276"/>
      <c r="Z593" s="276"/>
    </row>
    <row r="594" spans="1:26" ht="18.75" customHeight="1">
      <c r="A594" s="276"/>
      <c r="B594" s="276"/>
      <c r="C594" s="276"/>
      <c r="D594" s="276"/>
      <c r="E594" s="276"/>
      <c r="F594" s="276"/>
      <c r="G594" s="276"/>
      <c r="H594" s="276"/>
      <c r="I594" s="276"/>
      <c r="J594" s="276"/>
      <c r="K594" s="276"/>
      <c r="L594" s="276"/>
      <c r="M594" s="276"/>
      <c r="N594" s="276"/>
      <c r="O594" s="276"/>
      <c r="P594" s="276"/>
      <c r="Q594" s="276"/>
      <c r="R594" s="276"/>
      <c r="S594" s="276"/>
      <c r="T594" s="276"/>
      <c r="U594" s="276"/>
      <c r="V594" s="276"/>
      <c r="W594" s="276"/>
      <c r="X594" s="276"/>
      <c r="Y594" s="276"/>
      <c r="Z594" s="276"/>
    </row>
    <row r="595" spans="1:26" ht="18.75" customHeight="1">
      <c r="A595" s="276"/>
      <c r="B595" s="276"/>
      <c r="C595" s="276"/>
      <c r="D595" s="276"/>
      <c r="E595" s="276"/>
      <c r="F595" s="276"/>
      <c r="G595" s="276"/>
      <c r="H595" s="276"/>
      <c r="I595" s="276"/>
      <c r="J595" s="276"/>
      <c r="K595" s="276"/>
      <c r="L595" s="276"/>
      <c r="M595" s="276"/>
      <c r="N595" s="276"/>
      <c r="O595" s="276"/>
      <c r="P595" s="276"/>
      <c r="Q595" s="276"/>
      <c r="R595" s="276"/>
      <c r="S595" s="276"/>
      <c r="T595" s="276"/>
      <c r="U595" s="276"/>
      <c r="V595" s="276"/>
      <c r="W595" s="276"/>
      <c r="X595" s="276"/>
      <c r="Y595" s="276"/>
      <c r="Z595" s="276"/>
    </row>
    <row r="596" spans="1:26" ht="18.75" customHeight="1">
      <c r="A596" s="276"/>
      <c r="B596" s="276"/>
      <c r="C596" s="276"/>
      <c r="D596" s="276"/>
      <c r="E596" s="276"/>
      <c r="F596" s="276"/>
      <c r="G596" s="276"/>
      <c r="H596" s="276"/>
      <c r="I596" s="276"/>
      <c r="J596" s="276"/>
      <c r="K596" s="276"/>
      <c r="L596" s="276"/>
      <c r="M596" s="276"/>
      <c r="N596" s="276"/>
      <c r="O596" s="276"/>
      <c r="P596" s="276"/>
      <c r="Q596" s="276"/>
      <c r="R596" s="276"/>
      <c r="S596" s="276"/>
      <c r="T596" s="276"/>
      <c r="U596" s="276"/>
      <c r="V596" s="276"/>
      <c r="W596" s="276"/>
      <c r="X596" s="276"/>
      <c r="Y596" s="276"/>
      <c r="Z596" s="276"/>
    </row>
    <row r="597" spans="1:26" ht="18.75" customHeight="1">
      <c r="A597" s="276"/>
      <c r="B597" s="276"/>
      <c r="C597" s="276"/>
      <c r="D597" s="276"/>
      <c r="E597" s="276"/>
      <c r="F597" s="276"/>
      <c r="G597" s="276"/>
      <c r="H597" s="276"/>
      <c r="I597" s="276"/>
      <c r="J597" s="276"/>
      <c r="K597" s="276"/>
      <c r="L597" s="276"/>
      <c r="M597" s="276"/>
      <c r="N597" s="276"/>
      <c r="O597" s="276"/>
      <c r="P597" s="276"/>
      <c r="Q597" s="276"/>
      <c r="R597" s="276"/>
      <c r="S597" s="276"/>
      <c r="T597" s="276"/>
      <c r="U597" s="276"/>
      <c r="V597" s="276"/>
      <c r="W597" s="276"/>
      <c r="X597" s="276"/>
      <c r="Y597" s="276"/>
      <c r="Z597" s="276"/>
    </row>
    <row r="598" spans="1:26" ht="18.75" customHeight="1">
      <c r="A598" s="276"/>
      <c r="B598" s="276"/>
      <c r="C598" s="276"/>
      <c r="D598" s="276"/>
      <c r="E598" s="276"/>
      <c r="F598" s="276"/>
      <c r="G598" s="276"/>
      <c r="H598" s="276"/>
      <c r="I598" s="276"/>
      <c r="J598" s="276"/>
      <c r="K598" s="276"/>
      <c r="L598" s="276"/>
      <c r="M598" s="276"/>
      <c r="N598" s="276"/>
      <c r="O598" s="276"/>
      <c r="P598" s="276"/>
      <c r="Q598" s="276"/>
      <c r="R598" s="276"/>
      <c r="S598" s="276"/>
      <c r="T598" s="276"/>
      <c r="U598" s="276"/>
      <c r="V598" s="276"/>
      <c r="W598" s="276"/>
      <c r="X598" s="276"/>
      <c r="Y598" s="276"/>
      <c r="Z598" s="276"/>
    </row>
    <row r="599" spans="1:26" ht="18.75" customHeight="1">
      <c r="A599" s="276"/>
      <c r="B599" s="276"/>
      <c r="C599" s="276"/>
      <c r="D599" s="276"/>
      <c r="E599" s="276"/>
      <c r="F599" s="276"/>
      <c r="G599" s="276"/>
      <c r="H599" s="276"/>
      <c r="I599" s="276"/>
      <c r="J599" s="276"/>
      <c r="K599" s="276"/>
      <c r="L599" s="276"/>
      <c r="M599" s="276"/>
      <c r="N599" s="276"/>
      <c r="O599" s="276"/>
      <c r="P599" s="276"/>
      <c r="Q599" s="276"/>
      <c r="R599" s="276"/>
      <c r="S599" s="276"/>
      <c r="T599" s="276"/>
      <c r="U599" s="276"/>
      <c r="V599" s="276"/>
      <c r="W599" s="276"/>
      <c r="X599" s="276"/>
      <c r="Y599" s="276"/>
      <c r="Z599" s="276"/>
    </row>
    <row r="600" spans="1:26" ht="18.75" customHeight="1">
      <c r="A600" s="276"/>
      <c r="B600" s="276"/>
      <c r="C600" s="276"/>
      <c r="D600" s="276"/>
      <c r="E600" s="276"/>
      <c r="F600" s="276"/>
      <c r="G600" s="276"/>
      <c r="H600" s="276"/>
      <c r="I600" s="276"/>
      <c r="J600" s="276"/>
      <c r="K600" s="276"/>
      <c r="L600" s="276"/>
      <c r="M600" s="276"/>
      <c r="N600" s="276"/>
      <c r="O600" s="276"/>
      <c r="P600" s="276"/>
      <c r="Q600" s="276"/>
      <c r="R600" s="276"/>
      <c r="S600" s="276"/>
      <c r="T600" s="276"/>
      <c r="U600" s="276"/>
      <c r="V600" s="276"/>
      <c r="W600" s="276"/>
      <c r="X600" s="276"/>
      <c r="Y600" s="276"/>
      <c r="Z600" s="276"/>
    </row>
    <row r="601" spans="1:26" ht="18.75" customHeight="1">
      <c r="A601" s="276"/>
      <c r="B601" s="276"/>
      <c r="C601" s="276"/>
      <c r="D601" s="276"/>
      <c r="E601" s="276"/>
      <c r="F601" s="276"/>
      <c r="G601" s="276"/>
      <c r="H601" s="276"/>
      <c r="I601" s="276"/>
      <c r="J601" s="276"/>
      <c r="K601" s="276"/>
      <c r="L601" s="276"/>
      <c r="M601" s="276"/>
      <c r="N601" s="276"/>
      <c r="O601" s="276"/>
      <c r="P601" s="276"/>
      <c r="Q601" s="276"/>
      <c r="R601" s="276"/>
      <c r="S601" s="276"/>
      <c r="T601" s="276"/>
      <c r="U601" s="276"/>
      <c r="V601" s="276"/>
      <c r="W601" s="276"/>
      <c r="X601" s="276"/>
      <c r="Y601" s="276"/>
      <c r="Z601" s="276"/>
    </row>
    <row r="602" spans="1:26" ht="18.75" customHeight="1">
      <c r="A602" s="276"/>
      <c r="B602" s="276"/>
      <c r="C602" s="276"/>
      <c r="D602" s="276"/>
      <c r="E602" s="276"/>
      <c r="F602" s="276"/>
      <c r="G602" s="276"/>
      <c r="H602" s="276"/>
      <c r="I602" s="276"/>
      <c r="J602" s="276"/>
      <c r="K602" s="276"/>
      <c r="L602" s="276"/>
      <c r="M602" s="276"/>
      <c r="N602" s="276"/>
      <c r="O602" s="276"/>
      <c r="P602" s="276"/>
      <c r="Q602" s="276"/>
      <c r="R602" s="276"/>
      <c r="S602" s="276"/>
      <c r="T602" s="276"/>
      <c r="U602" s="276"/>
      <c r="V602" s="276"/>
      <c r="W602" s="276"/>
      <c r="X602" s="276"/>
      <c r="Y602" s="276"/>
      <c r="Z602" s="276"/>
    </row>
    <row r="603" spans="1:26" ht="18.75" customHeight="1">
      <c r="A603" s="276"/>
      <c r="B603" s="276"/>
      <c r="C603" s="276"/>
      <c r="D603" s="276"/>
      <c r="E603" s="276"/>
      <c r="F603" s="276"/>
      <c r="G603" s="276"/>
      <c r="H603" s="276"/>
      <c r="I603" s="276"/>
      <c r="J603" s="276"/>
      <c r="K603" s="276"/>
      <c r="L603" s="276"/>
      <c r="M603" s="276"/>
      <c r="N603" s="276"/>
      <c r="O603" s="276"/>
      <c r="P603" s="276"/>
      <c r="Q603" s="276"/>
      <c r="R603" s="276"/>
      <c r="S603" s="276"/>
      <c r="T603" s="276"/>
      <c r="U603" s="276"/>
      <c r="V603" s="276"/>
      <c r="W603" s="276"/>
      <c r="X603" s="276"/>
      <c r="Y603" s="276"/>
      <c r="Z603" s="276"/>
    </row>
    <row r="604" spans="1:26" ht="18.75" customHeight="1">
      <c r="A604" s="276"/>
      <c r="B604" s="276"/>
      <c r="C604" s="276"/>
      <c r="D604" s="276"/>
      <c r="E604" s="276"/>
      <c r="F604" s="276"/>
      <c r="G604" s="276"/>
      <c r="H604" s="276"/>
      <c r="I604" s="276"/>
      <c r="J604" s="276"/>
      <c r="K604" s="276"/>
      <c r="L604" s="276"/>
      <c r="M604" s="276"/>
      <c r="N604" s="276"/>
      <c r="O604" s="276"/>
      <c r="P604" s="276"/>
      <c r="Q604" s="276"/>
      <c r="R604" s="276"/>
      <c r="S604" s="276"/>
      <c r="T604" s="276"/>
      <c r="U604" s="276"/>
      <c r="V604" s="276"/>
      <c r="W604" s="276"/>
      <c r="X604" s="276"/>
      <c r="Y604" s="276"/>
      <c r="Z604" s="276"/>
    </row>
    <row r="605" spans="1:26" ht="18.75" customHeight="1">
      <c r="A605" s="276"/>
      <c r="B605" s="276"/>
      <c r="C605" s="276"/>
      <c r="D605" s="276"/>
      <c r="E605" s="276"/>
      <c r="F605" s="276"/>
      <c r="G605" s="276"/>
      <c r="H605" s="276"/>
      <c r="I605" s="276"/>
      <c r="J605" s="276"/>
      <c r="K605" s="276"/>
      <c r="L605" s="276"/>
      <c r="M605" s="276"/>
      <c r="N605" s="276"/>
      <c r="O605" s="276"/>
      <c r="P605" s="276"/>
      <c r="Q605" s="276"/>
      <c r="R605" s="276"/>
      <c r="S605" s="276"/>
      <c r="T605" s="276"/>
      <c r="U605" s="276"/>
      <c r="V605" s="276"/>
      <c r="W605" s="276"/>
      <c r="X605" s="276"/>
      <c r="Y605" s="276"/>
      <c r="Z605" s="276"/>
    </row>
    <row r="606" spans="1:26" ht="18.75" customHeight="1">
      <c r="A606" s="276"/>
      <c r="B606" s="276"/>
      <c r="C606" s="276"/>
      <c r="D606" s="276"/>
      <c r="E606" s="276"/>
      <c r="F606" s="276"/>
      <c r="G606" s="276"/>
      <c r="H606" s="276"/>
      <c r="I606" s="276"/>
      <c r="J606" s="276"/>
      <c r="K606" s="276"/>
      <c r="L606" s="276"/>
      <c r="M606" s="276"/>
      <c r="N606" s="276"/>
      <c r="O606" s="276"/>
      <c r="P606" s="276"/>
      <c r="Q606" s="276"/>
      <c r="R606" s="276"/>
      <c r="S606" s="276"/>
      <c r="T606" s="276"/>
      <c r="U606" s="276"/>
      <c r="V606" s="276"/>
      <c r="W606" s="276"/>
      <c r="X606" s="276"/>
      <c r="Y606" s="276"/>
      <c r="Z606" s="276"/>
    </row>
    <row r="607" spans="1:26" ht="18.75" customHeight="1">
      <c r="A607" s="276"/>
      <c r="B607" s="276"/>
      <c r="C607" s="276"/>
      <c r="D607" s="276"/>
      <c r="E607" s="276"/>
      <c r="F607" s="276"/>
      <c r="G607" s="276"/>
      <c r="H607" s="276"/>
      <c r="I607" s="276"/>
      <c r="J607" s="276"/>
      <c r="K607" s="276"/>
      <c r="L607" s="276"/>
      <c r="M607" s="276"/>
      <c r="N607" s="276"/>
      <c r="O607" s="276"/>
      <c r="P607" s="276"/>
      <c r="Q607" s="276"/>
      <c r="R607" s="276"/>
      <c r="S607" s="276"/>
      <c r="T607" s="276"/>
      <c r="U607" s="276"/>
      <c r="V607" s="276"/>
      <c r="W607" s="276"/>
      <c r="X607" s="276"/>
      <c r="Y607" s="276"/>
      <c r="Z607" s="276"/>
    </row>
    <row r="608" spans="1:26" ht="18.75" customHeight="1">
      <c r="A608" s="276"/>
      <c r="B608" s="276"/>
      <c r="C608" s="276"/>
      <c r="D608" s="276"/>
      <c r="E608" s="276"/>
      <c r="F608" s="276"/>
      <c r="G608" s="276"/>
      <c r="H608" s="276"/>
      <c r="I608" s="276"/>
      <c r="J608" s="276"/>
      <c r="K608" s="276"/>
      <c r="L608" s="276"/>
      <c r="M608" s="276"/>
      <c r="N608" s="276"/>
      <c r="O608" s="276"/>
      <c r="P608" s="276"/>
      <c r="Q608" s="276"/>
      <c r="R608" s="276"/>
      <c r="S608" s="276"/>
      <c r="T608" s="276"/>
      <c r="U608" s="276"/>
      <c r="V608" s="276"/>
      <c r="W608" s="276"/>
      <c r="X608" s="276"/>
      <c r="Y608" s="276"/>
      <c r="Z608" s="276"/>
    </row>
    <row r="609" spans="1:26" ht="18.75" customHeight="1">
      <c r="A609" s="276"/>
      <c r="B609" s="276"/>
      <c r="C609" s="276"/>
      <c r="D609" s="276"/>
      <c r="E609" s="276"/>
      <c r="F609" s="276"/>
      <c r="G609" s="276"/>
      <c r="H609" s="276"/>
      <c r="I609" s="276"/>
      <c r="J609" s="276"/>
      <c r="K609" s="276"/>
      <c r="L609" s="276"/>
      <c r="M609" s="276"/>
      <c r="N609" s="276"/>
      <c r="O609" s="276"/>
      <c r="P609" s="276"/>
      <c r="Q609" s="276"/>
      <c r="R609" s="276"/>
      <c r="S609" s="276"/>
      <c r="T609" s="276"/>
      <c r="U609" s="276"/>
      <c r="V609" s="276"/>
      <c r="W609" s="276"/>
      <c r="X609" s="276"/>
      <c r="Y609" s="276"/>
      <c r="Z609" s="276"/>
    </row>
    <row r="610" spans="1:26" ht="18.75" customHeight="1">
      <c r="A610" s="276"/>
      <c r="B610" s="276"/>
      <c r="C610" s="276"/>
      <c r="D610" s="276"/>
      <c r="E610" s="276"/>
      <c r="F610" s="276"/>
      <c r="G610" s="276"/>
      <c r="H610" s="276"/>
      <c r="I610" s="276"/>
      <c r="J610" s="276"/>
      <c r="K610" s="276"/>
      <c r="L610" s="276"/>
      <c r="M610" s="276"/>
      <c r="N610" s="276"/>
      <c r="O610" s="276"/>
      <c r="P610" s="276"/>
      <c r="Q610" s="276"/>
      <c r="R610" s="276"/>
      <c r="S610" s="276"/>
      <c r="T610" s="276"/>
      <c r="U610" s="276"/>
      <c r="V610" s="276"/>
      <c r="W610" s="276"/>
      <c r="X610" s="276"/>
      <c r="Y610" s="276"/>
      <c r="Z610" s="276"/>
    </row>
    <row r="611" spans="1:26" ht="18.75" customHeight="1">
      <c r="A611" s="276"/>
      <c r="B611" s="276"/>
      <c r="C611" s="276"/>
      <c r="D611" s="276"/>
      <c r="E611" s="276"/>
      <c r="F611" s="276"/>
      <c r="G611" s="276"/>
      <c r="H611" s="276"/>
      <c r="I611" s="276"/>
      <c r="J611" s="276"/>
      <c r="K611" s="276"/>
      <c r="L611" s="276"/>
      <c r="M611" s="276"/>
      <c r="N611" s="276"/>
      <c r="O611" s="276"/>
      <c r="P611" s="276"/>
      <c r="Q611" s="276"/>
      <c r="R611" s="276"/>
      <c r="S611" s="276"/>
      <c r="T611" s="276"/>
      <c r="U611" s="276"/>
      <c r="V611" s="276"/>
      <c r="W611" s="276"/>
      <c r="X611" s="276"/>
      <c r="Y611" s="276"/>
      <c r="Z611" s="276"/>
    </row>
    <row r="612" spans="1:26" ht="18.75" customHeight="1">
      <c r="A612" s="276"/>
      <c r="B612" s="276"/>
      <c r="C612" s="276"/>
      <c r="D612" s="276"/>
      <c r="E612" s="276"/>
      <c r="F612" s="276"/>
      <c r="G612" s="276"/>
      <c r="H612" s="276"/>
      <c r="I612" s="276"/>
      <c r="J612" s="276"/>
      <c r="K612" s="276"/>
      <c r="L612" s="276"/>
      <c r="M612" s="276"/>
      <c r="N612" s="276"/>
      <c r="O612" s="276"/>
      <c r="P612" s="276"/>
      <c r="Q612" s="276"/>
      <c r="R612" s="276"/>
      <c r="S612" s="276"/>
      <c r="T612" s="276"/>
      <c r="U612" s="276"/>
      <c r="V612" s="276"/>
      <c r="W612" s="276"/>
      <c r="X612" s="276"/>
      <c r="Y612" s="276"/>
      <c r="Z612" s="276"/>
    </row>
    <row r="613" spans="1:26" ht="18.75" customHeight="1">
      <c r="A613" s="276"/>
      <c r="B613" s="276"/>
      <c r="C613" s="276"/>
      <c r="D613" s="276"/>
      <c r="E613" s="276"/>
      <c r="F613" s="276"/>
      <c r="G613" s="276"/>
      <c r="H613" s="276"/>
      <c r="I613" s="276"/>
      <c r="J613" s="276"/>
      <c r="K613" s="276"/>
      <c r="L613" s="276"/>
      <c r="M613" s="276"/>
      <c r="N613" s="276"/>
      <c r="O613" s="276"/>
      <c r="P613" s="276"/>
      <c r="Q613" s="276"/>
      <c r="R613" s="276"/>
      <c r="S613" s="276"/>
      <c r="T613" s="276"/>
      <c r="U613" s="276"/>
      <c r="V613" s="276"/>
      <c r="W613" s="276"/>
      <c r="X613" s="276"/>
      <c r="Y613" s="276"/>
      <c r="Z613" s="276"/>
    </row>
    <row r="614" spans="1:26" ht="18.75" customHeight="1">
      <c r="A614" s="276"/>
      <c r="B614" s="276"/>
      <c r="C614" s="276"/>
      <c r="D614" s="276"/>
      <c r="E614" s="276"/>
      <c r="F614" s="276"/>
      <c r="G614" s="276"/>
      <c r="H614" s="276"/>
      <c r="I614" s="276"/>
      <c r="J614" s="276"/>
      <c r="K614" s="276"/>
      <c r="L614" s="276"/>
      <c r="M614" s="276"/>
      <c r="N614" s="276"/>
      <c r="O614" s="276"/>
      <c r="P614" s="276"/>
      <c r="Q614" s="276"/>
      <c r="R614" s="276"/>
      <c r="S614" s="276"/>
      <c r="T614" s="276"/>
      <c r="U614" s="276"/>
      <c r="V614" s="276"/>
      <c r="W614" s="276"/>
      <c r="X614" s="276"/>
      <c r="Y614" s="276"/>
      <c r="Z614" s="276"/>
    </row>
    <row r="615" spans="1:26" ht="18.75" customHeight="1">
      <c r="A615" s="276"/>
      <c r="B615" s="276"/>
      <c r="C615" s="276"/>
      <c r="D615" s="276"/>
      <c r="E615" s="276"/>
      <c r="F615" s="276"/>
      <c r="G615" s="276"/>
      <c r="H615" s="276"/>
      <c r="I615" s="276"/>
      <c r="J615" s="276"/>
      <c r="K615" s="276"/>
      <c r="L615" s="276"/>
      <c r="M615" s="276"/>
      <c r="N615" s="276"/>
      <c r="O615" s="276"/>
      <c r="P615" s="276"/>
      <c r="Q615" s="276"/>
      <c r="R615" s="276"/>
      <c r="S615" s="276"/>
      <c r="T615" s="276"/>
      <c r="U615" s="276"/>
      <c r="V615" s="276"/>
      <c r="W615" s="276"/>
      <c r="X615" s="276"/>
      <c r="Y615" s="276"/>
      <c r="Z615" s="276"/>
    </row>
    <row r="616" spans="1:26" ht="18.75" customHeight="1">
      <c r="A616" s="276"/>
      <c r="B616" s="276"/>
      <c r="C616" s="276"/>
      <c r="D616" s="276"/>
      <c r="E616" s="276"/>
      <c r="F616" s="276"/>
      <c r="G616" s="276"/>
      <c r="H616" s="276"/>
      <c r="I616" s="276"/>
      <c r="J616" s="276"/>
      <c r="K616" s="276"/>
      <c r="L616" s="276"/>
      <c r="M616" s="276"/>
      <c r="N616" s="276"/>
      <c r="O616" s="276"/>
      <c r="P616" s="276"/>
      <c r="Q616" s="276"/>
      <c r="R616" s="276"/>
      <c r="S616" s="276"/>
      <c r="T616" s="276"/>
      <c r="U616" s="276"/>
      <c r="V616" s="276"/>
      <c r="W616" s="276"/>
      <c r="X616" s="276"/>
      <c r="Y616" s="276"/>
      <c r="Z616" s="276"/>
    </row>
    <row r="617" spans="1:26" ht="18.75" customHeight="1">
      <c r="A617" s="276"/>
      <c r="B617" s="276"/>
      <c r="C617" s="276"/>
      <c r="D617" s="276"/>
      <c r="E617" s="276"/>
      <c r="F617" s="276"/>
      <c r="G617" s="276"/>
      <c r="H617" s="276"/>
      <c r="I617" s="276"/>
      <c r="J617" s="276"/>
      <c r="K617" s="276"/>
      <c r="L617" s="276"/>
      <c r="M617" s="276"/>
      <c r="N617" s="276"/>
      <c r="O617" s="276"/>
      <c r="P617" s="276"/>
      <c r="Q617" s="276"/>
      <c r="R617" s="276"/>
      <c r="S617" s="276"/>
      <c r="T617" s="276"/>
      <c r="U617" s="276"/>
      <c r="V617" s="276"/>
      <c r="W617" s="276"/>
      <c r="X617" s="276"/>
      <c r="Y617" s="276"/>
      <c r="Z617" s="276"/>
    </row>
    <row r="618" spans="1:26" ht="18.75" customHeight="1">
      <c r="A618" s="276"/>
      <c r="B618" s="276"/>
      <c r="C618" s="276"/>
      <c r="D618" s="276"/>
      <c r="E618" s="276"/>
      <c r="F618" s="276"/>
      <c r="G618" s="276"/>
      <c r="H618" s="276"/>
      <c r="I618" s="276"/>
      <c r="J618" s="276"/>
      <c r="K618" s="276"/>
      <c r="L618" s="276"/>
      <c r="M618" s="276"/>
      <c r="N618" s="276"/>
      <c r="O618" s="276"/>
      <c r="P618" s="276"/>
      <c r="Q618" s="276"/>
      <c r="R618" s="276"/>
      <c r="S618" s="276"/>
      <c r="T618" s="276"/>
      <c r="U618" s="276"/>
      <c r="V618" s="276"/>
      <c r="W618" s="276"/>
      <c r="X618" s="276"/>
      <c r="Y618" s="276"/>
      <c r="Z618" s="276"/>
    </row>
    <row r="619" spans="1:26" ht="18.75" customHeight="1">
      <c r="A619" s="276"/>
      <c r="B619" s="276"/>
      <c r="C619" s="276"/>
      <c r="D619" s="276"/>
      <c r="E619" s="276"/>
      <c r="F619" s="276"/>
      <c r="G619" s="276"/>
      <c r="H619" s="276"/>
      <c r="I619" s="276"/>
      <c r="J619" s="276"/>
      <c r="K619" s="276"/>
      <c r="L619" s="276"/>
      <c r="M619" s="276"/>
      <c r="N619" s="276"/>
      <c r="O619" s="276"/>
      <c r="P619" s="276"/>
      <c r="Q619" s="276"/>
      <c r="R619" s="276"/>
      <c r="S619" s="276"/>
      <c r="T619" s="276"/>
      <c r="U619" s="276"/>
      <c r="V619" s="276"/>
      <c r="W619" s="276"/>
      <c r="X619" s="276"/>
      <c r="Y619" s="276"/>
      <c r="Z619" s="276"/>
    </row>
    <row r="620" spans="1:26" ht="18.75" customHeight="1">
      <c r="A620" s="276"/>
      <c r="B620" s="276"/>
      <c r="C620" s="276"/>
      <c r="D620" s="276"/>
      <c r="E620" s="276"/>
      <c r="F620" s="276"/>
      <c r="G620" s="276"/>
      <c r="H620" s="276"/>
      <c r="I620" s="276"/>
      <c r="J620" s="276"/>
      <c r="K620" s="276"/>
      <c r="L620" s="276"/>
      <c r="M620" s="276"/>
      <c r="N620" s="276"/>
      <c r="O620" s="276"/>
      <c r="P620" s="276"/>
      <c r="Q620" s="276"/>
      <c r="R620" s="276"/>
      <c r="S620" s="276"/>
      <c r="T620" s="276"/>
      <c r="U620" s="276"/>
      <c r="V620" s="276"/>
      <c r="W620" s="276"/>
      <c r="X620" s="276"/>
      <c r="Y620" s="276"/>
      <c r="Z620" s="276"/>
    </row>
    <row r="621" spans="1:26" ht="18.75" customHeight="1">
      <c r="A621" s="276"/>
      <c r="B621" s="276"/>
      <c r="C621" s="276"/>
      <c r="D621" s="276"/>
      <c r="E621" s="276"/>
      <c r="F621" s="276"/>
      <c r="G621" s="276"/>
      <c r="H621" s="276"/>
      <c r="I621" s="276"/>
      <c r="J621" s="276"/>
      <c r="K621" s="276"/>
      <c r="L621" s="276"/>
      <c r="M621" s="276"/>
      <c r="N621" s="276"/>
      <c r="O621" s="276"/>
      <c r="P621" s="276"/>
      <c r="Q621" s="276"/>
      <c r="R621" s="276"/>
      <c r="S621" s="276"/>
      <c r="T621" s="276"/>
      <c r="U621" s="276"/>
      <c r="V621" s="276"/>
      <c r="W621" s="276"/>
      <c r="X621" s="276"/>
      <c r="Y621" s="276"/>
      <c r="Z621" s="276"/>
    </row>
    <row r="622" spans="1:26" ht="18.75" customHeight="1">
      <c r="A622" s="276"/>
      <c r="B622" s="276"/>
      <c r="C622" s="276"/>
      <c r="D622" s="276"/>
      <c r="E622" s="276"/>
      <c r="F622" s="276"/>
      <c r="G622" s="276"/>
      <c r="H622" s="276"/>
      <c r="I622" s="276"/>
      <c r="J622" s="276"/>
      <c r="K622" s="276"/>
      <c r="L622" s="276"/>
      <c r="M622" s="276"/>
      <c r="N622" s="276"/>
      <c r="O622" s="276"/>
      <c r="P622" s="276"/>
      <c r="Q622" s="276"/>
      <c r="R622" s="276"/>
      <c r="S622" s="276"/>
      <c r="T622" s="276"/>
      <c r="U622" s="276"/>
      <c r="V622" s="276"/>
      <c r="W622" s="276"/>
      <c r="X622" s="276"/>
      <c r="Y622" s="276"/>
      <c r="Z622" s="276"/>
    </row>
    <row r="623" spans="1:26" ht="18.75" customHeight="1">
      <c r="A623" s="276"/>
      <c r="B623" s="276"/>
      <c r="C623" s="276"/>
      <c r="D623" s="276"/>
      <c r="E623" s="276"/>
      <c r="F623" s="276"/>
      <c r="G623" s="276"/>
      <c r="H623" s="276"/>
      <c r="I623" s="276"/>
      <c r="J623" s="276"/>
      <c r="K623" s="276"/>
      <c r="L623" s="276"/>
      <c r="M623" s="276"/>
      <c r="N623" s="276"/>
      <c r="O623" s="276"/>
      <c r="P623" s="276"/>
      <c r="Q623" s="276"/>
      <c r="R623" s="276"/>
      <c r="S623" s="276"/>
      <c r="T623" s="276"/>
      <c r="U623" s="276"/>
      <c r="V623" s="276"/>
      <c r="W623" s="276"/>
      <c r="X623" s="276"/>
      <c r="Y623" s="276"/>
      <c r="Z623" s="276"/>
    </row>
    <row r="624" spans="1:26" ht="18.75" customHeight="1">
      <c r="A624" s="276"/>
      <c r="B624" s="276"/>
      <c r="C624" s="276"/>
      <c r="D624" s="276"/>
      <c r="E624" s="276"/>
      <c r="F624" s="276"/>
      <c r="G624" s="276"/>
      <c r="H624" s="276"/>
      <c r="I624" s="276"/>
      <c r="J624" s="276"/>
      <c r="K624" s="276"/>
      <c r="L624" s="276"/>
      <c r="M624" s="276"/>
      <c r="N624" s="276"/>
      <c r="O624" s="276"/>
      <c r="P624" s="276"/>
      <c r="Q624" s="276"/>
      <c r="R624" s="276"/>
      <c r="S624" s="276"/>
      <c r="T624" s="276"/>
      <c r="U624" s="276"/>
      <c r="V624" s="276"/>
      <c r="W624" s="276"/>
      <c r="X624" s="276"/>
      <c r="Y624" s="276"/>
      <c r="Z624" s="276"/>
    </row>
    <row r="625" spans="1:26" ht="18.75" customHeight="1">
      <c r="A625" s="276"/>
      <c r="B625" s="276"/>
      <c r="C625" s="276"/>
      <c r="D625" s="276"/>
      <c r="E625" s="276"/>
      <c r="F625" s="276"/>
      <c r="G625" s="276"/>
      <c r="H625" s="276"/>
      <c r="I625" s="276"/>
      <c r="J625" s="276"/>
      <c r="K625" s="276"/>
      <c r="L625" s="276"/>
      <c r="M625" s="276"/>
      <c r="N625" s="276"/>
      <c r="O625" s="276"/>
      <c r="P625" s="276"/>
      <c r="Q625" s="276"/>
      <c r="R625" s="276"/>
      <c r="S625" s="276"/>
      <c r="T625" s="276"/>
      <c r="U625" s="276"/>
      <c r="V625" s="276"/>
      <c r="W625" s="276"/>
      <c r="X625" s="276"/>
      <c r="Y625" s="276"/>
      <c r="Z625" s="276"/>
    </row>
    <row r="626" spans="1:26" ht="18.75" customHeight="1">
      <c r="A626" s="276"/>
      <c r="B626" s="276"/>
      <c r="C626" s="276"/>
      <c r="D626" s="276"/>
      <c r="E626" s="276"/>
      <c r="F626" s="276"/>
      <c r="G626" s="276"/>
      <c r="H626" s="276"/>
      <c r="I626" s="276"/>
      <c r="J626" s="276"/>
      <c r="K626" s="276"/>
      <c r="L626" s="276"/>
      <c r="M626" s="276"/>
      <c r="N626" s="276"/>
      <c r="O626" s="276"/>
      <c r="P626" s="276"/>
      <c r="Q626" s="276"/>
      <c r="R626" s="276"/>
      <c r="S626" s="276"/>
      <c r="T626" s="276"/>
      <c r="U626" s="276"/>
      <c r="V626" s="276"/>
      <c r="W626" s="276"/>
      <c r="X626" s="276"/>
      <c r="Y626" s="276"/>
      <c r="Z626" s="276"/>
    </row>
    <row r="627" spans="1:26" ht="18.75" customHeight="1">
      <c r="A627" s="276"/>
      <c r="B627" s="276"/>
      <c r="C627" s="276"/>
      <c r="D627" s="276"/>
      <c r="E627" s="276"/>
      <c r="F627" s="276"/>
      <c r="G627" s="276"/>
      <c r="H627" s="276"/>
      <c r="I627" s="276"/>
      <c r="J627" s="276"/>
      <c r="K627" s="276"/>
      <c r="L627" s="276"/>
      <c r="M627" s="276"/>
      <c r="N627" s="276"/>
      <c r="O627" s="276"/>
      <c r="P627" s="276"/>
      <c r="Q627" s="276"/>
      <c r="R627" s="276"/>
      <c r="S627" s="276"/>
      <c r="T627" s="276"/>
      <c r="U627" s="276"/>
      <c r="V627" s="276"/>
      <c r="W627" s="276"/>
      <c r="X627" s="276"/>
      <c r="Y627" s="276"/>
      <c r="Z627" s="276"/>
    </row>
    <row r="628" spans="1:26" ht="18.75" customHeight="1">
      <c r="A628" s="276"/>
      <c r="B628" s="276"/>
      <c r="C628" s="276"/>
      <c r="D628" s="276"/>
      <c r="E628" s="276"/>
      <c r="F628" s="276"/>
      <c r="G628" s="276"/>
      <c r="H628" s="276"/>
      <c r="I628" s="276"/>
      <c r="J628" s="276"/>
      <c r="K628" s="276"/>
      <c r="L628" s="276"/>
      <c r="M628" s="276"/>
      <c r="N628" s="276"/>
      <c r="O628" s="276"/>
      <c r="P628" s="276"/>
      <c r="Q628" s="276"/>
      <c r="R628" s="276"/>
      <c r="S628" s="276"/>
      <c r="T628" s="276"/>
      <c r="U628" s="276"/>
      <c r="V628" s="276"/>
      <c r="W628" s="276"/>
      <c r="X628" s="276"/>
      <c r="Y628" s="276"/>
      <c r="Z628" s="276"/>
    </row>
    <row r="629" spans="1:26" ht="18.75" customHeight="1">
      <c r="A629" s="276"/>
      <c r="B629" s="276"/>
      <c r="C629" s="276"/>
      <c r="D629" s="276"/>
      <c r="E629" s="276"/>
      <c r="F629" s="276"/>
      <c r="G629" s="276"/>
      <c r="H629" s="276"/>
      <c r="I629" s="276"/>
      <c r="J629" s="276"/>
      <c r="K629" s="276"/>
      <c r="L629" s="276"/>
      <c r="M629" s="276"/>
      <c r="N629" s="276"/>
      <c r="O629" s="276"/>
      <c r="P629" s="276"/>
      <c r="Q629" s="276"/>
      <c r="R629" s="276"/>
      <c r="S629" s="276"/>
      <c r="T629" s="276"/>
      <c r="U629" s="276"/>
      <c r="V629" s="276"/>
      <c r="W629" s="276"/>
      <c r="X629" s="276"/>
      <c r="Y629" s="276"/>
      <c r="Z629" s="276"/>
    </row>
    <row r="630" spans="1:26" ht="18.75" customHeight="1">
      <c r="A630" s="276"/>
      <c r="B630" s="276"/>
      <c r="C630" s="276"/>
      <c r="D630" s="276"/>
      <c r="E630" s="276"/>
      <c r="F630" s="276"/>
      <c r="G630" s="276"/>
      <c r="H630" s="276"/>
      <c r="I630" s="276"/>
      <c r="J630" s="276"/>
      <c r="K630" s="276"/>
      <c r="L630" s="276"/>
      <c r="M630" s="276"/>
      <c r="N630" s="276"/>
      <c r="O630" s="276"/>
      <c r="P630" s="276"/>
      <c r="Q630" s="276"/>
      <c r="R630" s="276"/>
      <c r="S630" s="276"/>
      <c r="T630" s="276"/>
      <c r="U630" s="276"/>
      <c r="V630" s="276"/>
      <c r="W630" s="276"/>
      <c r="X630" s="276"/>
      <c r="Y630" s="276"/>
      <c r="Z630" s="276"/>
    </row>
    <row r="631" spans="1:26" ht="18.75" customHeight="1">
      <c r="A631" s="276"/>
      <c r="B631" s="276"/>
      <c r="C631" s="276"/>
      <c r="D631" s="276"/>
      <c r="E631" s="276"/>
      <c r="F631" s="276"/>
      <c r="G631" s="276"/>
      <c r="H631" s="276"/>
      <c r="I631" s="276"/>
      <c r="J631" s="276"/>
      <c r="K631" s="276"/>
      <c r="L631" s="276"/>
      <c r="M631" s="276"/>
      <c r="N631" s="276"/>
      <c r="O631" s="276"/>
      <c r="P631" s="276"/>
      <c r="Q631" s="276"/>
      <c r="R631" s="276"/>
      <c r="S631" s="276"/>
      <c r="T631" s="276"/>
      <c r="U631" s="276"/>
      <c r="V631" s="276"/>
      <c r="W631" s="276"/>
      <c r="X631" s="276"/>
      <c r="Y631" s="276"/>
      <c r="Z631" s="276"/>
    </row>
    <row r="632" spans="1:26" ht="18.75" customHeight="1">
      <c r="A632" s="276"/>
      <c r="B632" s="276"/>
      <c r="C632" s="276"/>
      <c r="D632" s="276"/>
      <c r="E632" s="276"/>
      <c r="F632" s="276"/>
      <c r="G632" s="276"/>
      <c r="H632" s="276"/>
      <c r="I632" s="276"/>
      <c r="J632" s="276"/>
      <c r="K632" s="276"/>
      <c r="L632" s="276"/>
      <c r="M632" s="276"/>
      <c r="N632" s="276"/>
      <c r="O632" s="276"/>
      <c r="P632" s="276"/>
      <c r="Q632" s="276"/>
      <c r="R632" s="276"/>
      <c r="S632" s="276"/>
      <c r="T632" s="276"/>
      <c r="U632" s="276"/>
      <c r="V632" s="276"/>
      <c r="W632" s="276"/>
      <c r="X632" s="276"/>
      <c r="Y632" s="276"/>
      <c r="Z632" s="276"/>
    </row>
    <row r="633" spans="1:26" ht="18.75" customHeight="1">
      <c r="A633" s="276"/>
      <c r="B633" s="276"/>
      <c r="C633" s="276"/>
      <c r="D633" s="276"/>
      <c r="E633" s="276"/>
      <c r="F633" s="276"/>
      <c r="G633" s="276"/>
      <c r="H633" s="276"/>
      <c r="I633" s="276"/>
      <c r="J633" s="276"/>
      <c r="K633" s="276"/>
      <c r="L633" s="276"/>
      <c r="M633" s="276"/>
      <c r="N633" s="276"/>
      <c r="O633" s="276"/>
      <c r="P633" s="276"/>
      <c r="Q633" s="276"/>
      <c r="R633" s="276"/>
      <c r="S633" s="276"/>
      <c r="T633" s="276"/>
      <c r="U633" s="276"/>
      <c r="V633" s="276"/>
      <c r="W633" s="276"/>
      <c r="X633" s="276"/>
      <c r="Y633" s="276"/>
      <c r="Z633" s="276"/>
    </row>
    <row r="634" spans="1:26" ht="18.75" customHeight="1">
      <c r="A634" s="276"/>
      <c r="B634" s="276"/>
      <c r="C634" s="276"/>
      <c r="D634" s="276"/>
      <c r="E634" s="276"/>
      <c r="F634" s="276"/>
      <c r="G634" s="276"/>
      <c r="H634" s="276"/>
      <c r="I634" s="276"/>
      <c r="J634" s="276"/>
      <c r="K634" s="276"/>
      <c r="L634" s="276"/>
      <c r="M634" s="276"/>
      <c r="N634" s="276"/>
      <c r="O634" s="276"/>
      <c r="P634" s="276"/>
      <c r="Q634" s="276"/>
      <c r="R634" s="276"/>
      <c r="S634" s="276"/>
      <c r="T634" s="276"/>
      <c r="U634" s="276"/>
      <c r="V634" s="276"/>
      <c r="W634" s="276"/>
      <c r="X634" s="276"/>
      <c r="Y634" s="276"/>
      <c r="Z634" s="276"/>
    </row>
    <row r="635" spans="1:26" ht="18.75" customHeight="1">
      <c r="A635" s="276"/>
      <c r="B635" s="276"/>
      <c r="C635" s="276"/>
      <c r="D635" s="276"/>
      <c r="E635" s="276"/>
      <c r="F635" s="276"/>
      <c r="G635" s="276"/>
      <c r="H635" s="276"/>
      <c r="I635" s="276"/>
      <c r="J635" s="276"/>
      <c r="K635" s="276"/>
      <c r="L635" s="276"/>
      <c r="M635" s="276"/>
      <c r="N635" s="276"/>
      <c r="O635" s="276"/>
      <c r="P635" s="276"/>
      <c r="Q635" s="276"/>
      <c r="R635" s="276"/>
      <c r="S635" s="276"/>
      <c r="T635" s="276"/>
      <c r="U635" s="276"/>
      <c r="V635" s="276"/>
      <c r="W635" s="276"/>
      <c r="X635" s="276"/>
      <c r="Y635" s="276"/>
      <c r="Z635" s="276"/>
    </row>
    <row r="636" spans="1:26" ht="18.75" customHeight="1">
      <c r="A636" s="276"/>
      <c r="B636" s="276"/>
      <c r="C636" s="276"/>
      <c r="D636" s="276"/>
      <c r="E636" s="276"/>
      <c r="F636" s="276"/>
      <c r="G636" s="276"/>
      <c r="H636" s="276"/>
      <c r="I636" s="276"/>
      <c r="J636" s="276"/>
      <c r="K636" s="276"/>
      <c r="L636" s="276"/>
      <c r="M636" s="276"/>
      <c r="N636" s="276"/>
      <c r="O636" s="276"/>
      <c r="P636" s="276"/>
      <c r="Q636" s="276"/>
      <c r="R636" s="276"/>
      <c r="S636" s="276"/>
      <c r="T636" s="276"/>
      <c r="U636" s="276"/>
      <c r="V636" s="276"/>
      <c r="W636" s="276"/>
      <c r="X636" s="276"/>
      <c r="Y636" s="276"/>
      <c r="Z636" s="276"/>
    </row>
    <row r="637" spans="1:26" ht="18.75" customHeight="1">
      <c r="A637" s="276"/>
      <c r="B637" s="276"/>
      <c r="C637" s="276"/>
      <c r="D637" s="276"/>
      <c r="E637" s="276"/>
      <c r="F637" s="276"/>
      <c r="G637" s="276"/>
      <c r="H637" s="276"/>
      <c r="I637" s="276"/>
      <c r="J637" s="276"/>
      <c r="K637" s="276"/>
      <c r="L637" s="276"/>
      <c r="M637" s="276"/>
      <c r="N637" s="276"/>
      <c r="O637" s="276"/>
      <c r="P637" s="276"/>
      <c r="Q637" s="276"/>
      <c r="R637" s="276"/>
      <c r="S637" s="276"/>
      <c r="T637" s="276"/>
      <c r="U637" s="276"/>
      <c r="V637" s="276"/>
      <c r="W637" s="276"/>
      <c r="X637" s="276"/>
      <c r="Y637" s="276"/>
      <c r="Z637" s="276"/>
    </row>
    <row r="638" spans="1:26" ht="18.75" customHeight="1">
      <c r="A638" s="276"/>
      <c r="B638" s="276"/>
      <c r="C638" s="276"/>
      <c r="D638" s="276"/>
      <c r="E638" s="276"/>
      <c r="F638" s="276"/>
      <c r="G638" s="276"/>
      <c r="H638" s="276"/>
      <c r="I638" s="276"/>
      <c r="J638" s="276"/>
      <c r="K638" s="276"/>
      <c r="L638" s="276"/>
      <c r="M638" s="276"/>
      <c r="N638" s="276"/>
      <c r="O638" s="276"/>
      <c r="P638" s="276"/>
      <c r="Q638" s="276"/>
      <c r="R638" s="276"/>
      <c r="S638" s="276"/>
      <c r="T638" s="276"/>
      <c r="U638" s="276"/>
      <c r="V638" s="276"/>
      <c r="W638" s="276"/>
      <c r="X638" s="276"/>
      <c r="Y638" s="276"/>
      <c r="Z638" s="276"/>
    </row>
    <row r="639" spans="1:26" ht="18.75" customHeight="1">
      <c r="A639" s="276"/>
      <c r="B639" s="276"/>
      <c r="C639" s="276"/>
      <c r="D639" s="276"/>
      <c r="E639" s="276"/>
      <c r="F639" s="276"/>
      <c r="G639" s="276"/>
      <c r="H639" s="276"/>
      <c r="I639" s="276"/>
      <c r="J639" s="276"/>
      <c r="K639" s="276"/>
      <c r="L639" s="276"/>
      <c r="M639" s="276"/>
      <c r="N639" s="276"/>
      <c r="O639" s="276"/>
      <c r="P639" s="276"/>
      <c r="Q639" s="276"/>
      <c r="R639" s="276"/>
      <c r="S639" s="276"/>
      <c r="T639" s="276"/>
      <c r="U639" s="276"/>
      <c r="V639" s="276"/>
      <c r="W639" s="276"/>
      <c r="X639" s="276"/>
      <c r="Y639" s="276"/>
      <c r="Z639" s="276"/>
    </row>
    <row r="640" spans="1:26" ht="18.75" customHeight="1">
      <c r="A640" s="276"/>
      <c r="B640" s="276"/>
      <c r="C640" s="276"/>
      <c r="D640" s="276"/>
      <c r="E640" s="276"/>
      <c r="F640" s="276"/>
      <c r="G640" s="276"/>
      <c r="H640" s="276"/>
      <c r="I640" s="276"/>
      <c r="J640" s="276"/>
      <c r="K640" s="276"/>
      <c r="L640" s="276"/>
      <c r="M640" s="276"/>
      <c r="N640" s="276"/>
      <c r="O640" s="276"/>
      <c r="P640" s="276"/>
      <c r="Q640" s="276"/>
      <c r="R640" s="276"/>
      <c r="S640" s="276"/>
      <c r="T640" s="276"/>
      <c r="U640" s="276"/>
      <c r="V640" s="276"/>
      <c r="W640" s="276"/>
      <c r="X640" s="276"/>
      <c r="Y640" s="276"/>
      <c r="Z640" s="276"/>
    </row>
    <row r="641" spans="1:26" ht="18.75" customHeight="1">
      <c r="A641" s="276"/>
      <c r="B641" s="276"/>
      <c r="C641" s="276"/>
      <c r="D641" s="276"/>
      <c r="E641" s="276"/>
      <c r="F641" s="276"/>
      <c r="G641" s="276"/>
      <c r="H641" s="276"/>
      <c r="I641" s="276"/>
      <c r="J641" s="276"/>
      <c r="K641" s="276"/>
      <c r="L641" s="276"/>
      <c r="M641" s="276"/>
      <c r="N641" s="276"/>
      <c r="O641" s="276"/>
      <c r="P641" s="276"/>
      <c r="Q641" s="276"/>
      <c r="R641" s="276"/>
      <c r="S641" s="276"/>
      <c r="T641" s="276"/>
      <c r="U641" s="276"/>
      <c r="V641" s="276"/>
      <c r="W641" s="276"/>
      <c r="X641" s="276"/>
      <c r="Y641" s="276"/>
      <c r="Z641" s="276"/>
    </row>
    <row r="642" spans="1:26" ht="18.75" customHeight="1">
      <c r="A642" s="276"/>
      <c r="B642" s="276"/>
      <c r="C642" s="276"/>
      <c r="D642" s="276"/>
      <c r="E642" s="276"/>
      <c r="F642" s="276"/>
      <c r="G642" s="276"/>
      <c r="H642" s="276"/>
      <c r="I642" s="276"/>
      <c r="J642" s="276"/>
      <c r="K642" s="276"/>
      <c r="L642" s="276"/>
      <c r="M642" s="276"/>
      <c r="N642" s="276"/>
      <c r="O642" s="276"/>
      <c r="P642" s="276"/>
      <c r="Q642" s="276"/>
      <c r="R642" s="276"/>
      <c r="S642" s="276"/>
      <c r="T642" s="276"/>
      <c r="U642" s="276"/>
      <c r="V642" s="276"/>
      <c r="W642" s="276"/>
      <c r="X642" s="276"/>
      <c r="Y642" s="276"/>
      <c r="Z642" s="276"/>
    </row>
    <row r="643" spans="1:26" ht="18.75" customHeight="1">
      <c r="A643" s="276"/>
      <c r="B643" s="276"/>
      <c r="C643" s="276"/>
      <c r="D643" s="276"/>
      <c r="E643" s="276"/>
      <c r="F643" s="276"/>
      <c r="G643" s="276"/>
      <c r="H643" s="276"/>
      <c r="I643" s="276"/>
      <c r="J643" s="276"/>
      <c r="K643" s="276"/>
      <c r="L643" s="276"/>
      <c r="M643" s="276"/>
      <c r="N643" s="276"/>
      <c r="O643" s="276"/>
      <c r="P643" s="276"/>
      <c r="Q643" s="276"/>
      <c r="R643" s="276"/>
      <c r="S643" s="276"/>
      <c r="T643" s="276"/>
      <c r="U643" s="276"/>
      <c r="V643" s="276"/>
      <c r="W643" s="276"/>
      <c r="X643" s="276"/>
      <c r="Y643" s="276"/>
      <c r="Z643" s="276"/>
    </row>
    <row r="644" spans="1:26" ht="18.75" customHeight="1">
      <c r="A644" s="276"/>
      <c r="B644" s="276"/>
      <c r="C644" s="276"/>
      <c r="D644" s="276"/>
      <c r="E644" s="276"/>
      <c r="F644" s="276"/>
      <c r="G644" s="276"/>
      <c r="H644" s="276"/>
      <c r="I644" s="276"/>
      <c r="J644" s="276"/>
      <c r="K644" s="276"/>
      <c r="L644" s="276"/>
      <c r="M644" s="276"/>
      <c r="N644" s="276"/>
      <c r="O644" s="276"/>
      <c r="P644" s="276"/>
      <c r="Q644" s="276"/>
      <c r="R644" s="276"/>
      <c r="S644" s="276"/>
      <c r="T644" s="276"/>
      <c r="U644" s="276"/>
      <c r="V644" s="276"/>
      <c r="W644" s="276"/>
      <c r="X644" s="276"/>
      <c r="Y644" s="276"/>
      <c r="Z644" s="276"/>
    </row>
    <row r="645" spans="1:26" ht="18.75" customHeight="1">
      <c r="A645" s="276"/>
      <c r="B645" s="276"/>
      <c r="C645" s="276"/>
      <c r="D645" s="276"/>
      <c r="E645" s="276"/>
      <c r="F645" s="276"/>
      <c r="G645" s="276"/>
      <c r="H645" s="276"/>
      <c r="I645" s="276"/>
      <c r="J645" s="276"/>
      <c r="K645" s="276"/>
      <c r="L645" s="276"/>
      <c r="M645" s="276"/>
      <c r="N645" s="276"/>
      <c r="O645" s="276"/>
      <c r="P645" s="276"/>
      <c r="Q645" s="276"/>
      <c r="R645" s="276"/>
      <c r="S645" s="276"/>
      <c r="T645" s="276"/>
      <c r="U645" s="276"/>
      <c r="V645" s="276"/>
      <c r="W645" s="276"/>
      <c r="X645" s="276"/>
      <c r="Y645" s="276"/>
      <c r="Z645" s="276"/>
    </row>
    <row r="646" spans="1:26" ht="18.75" customHeight="1">
      <c r="A646" s="276"/>
      <c r="B646" s="276"/>
      <c r="C646" s="276"/>
      <c r="D646" s="276"/>
      <c r="E646" s="276"/>
      <c r="F646" s="276"/>
      <c r="G646" s="276"/>
      <c r="H646" s="276"/>
      <c r="I646" s="276"/>
      <c r="J646" s="276"/>
      <c r="K646" s="276"/>
      <c r="L646" s="276"/>
      <c r="M646" s="276"/>
      <c r="N646" s="276"/>
      <c r="O646" s="276"/>
      <c r="P646" s="276"/>
      <c r="Q646" s="276"/>
      <c r="R646" s="276"/>
      <c r="S646" s="276"/>
      <c r="T646" s="276"/>
      <c r="U646" s="276"/>
      <c r="V646" s="276"/>
      <c r="W646" s="276"/>
      <c r="X646" s="276"/>
      <c r="Y646" s="276"/>
      <c r="Z646" s="276"/>
    </row>
    <row r="647" spans="1:26" ht="18.75" customHeight="1">
      <c r="A647" s="276"/>
      <c r="B647" s="276"/>
      <c r="C647" s="276"/>
      <c r="D647" s="276"/>
      <c r="E647" s="276"/>
      <c r="F647" s="276"/>
      <c r="G647" s="276"/>
      <c r="H647" s="276"/>
      <c r="I647" s="276"/>
      <c r="J647" s="276"/>
      <c r="K647" s="276"/>
      <c r="L647" s="276"/>
      <c r="M647" s="276"/>
      <c r="N647" s="276"/>
      <c r="O647" s="276"/>
      <c r="P647" s="276"/>
      <c r="Q647" s="276"/>
      <c r="R647" s="276"/>
      <c r="S647" s="276"/>
      <c r="T647" s="276"/>
      <c r="U647" s="276"/>
      <c r="V647" s="276"/>
      <c r="W647" s="276"/>
      <c r="X647" s="276"/>
      <c r="Y647" s="276"/>
      <c r="Z647" s="276"/>
    </row>
    <row r="648" spans="1:26" ht="18.75" customHeight="1">
      <c r="A648" s="276"/>
      <c r="B648" s="276"/>
      <c r="C648" s="276"/>
      <c r="D648" s="276"/>
      <c r="E648" s="276"/>
      <c r="F648" s="276"/>
      <c r="G648" s="276"/>
      <c r="H648" s="276"/>
      <c r="I648" s="276"/>
      <c r="J648" s="276"/>
      <c r="K648" s="276"/>
      <c r="L648" s="276"/>
      <c r="M648" s="276"/>
      <c r="N648" s="276"/>
      <c r="O648" s="276"/>
      <c r="P648" s="276"/>
      <c r="Q648" s="276"/>
      <c r="R648" s="276"/>
      <c r="S648" s="276"/>
      <c r="T648" s="276"/>
      <c r="U648" s="276"/>
      <c r="V648" s="276"/>
      <c r="W648" s="276"/>
      <c r="X648" s="276"/>
      <c r="Y648" s="276"/>
      <c r="Z648" s="276"/>
    </row>
    <row r="649" spans="1:26" ht="18.75" customHeight="1">
      <c r="A649" s="276"/>
      <c r="B649" s="276"/>
      <c r="C649" s="276"/>
      <c r="D649" s="276"/>
      <c r="E649" s="276"/>
      <c r="F649" s="276"/>
      <c r="G649" s="276"/>
      <c r="H649" s="276"/>
      <c r="I649" s="276"/>
      <c r="J649" s="276"/>
      <c r="K649" s="276"/>
      <c r="L649" s="276"/>
      <c r="M649" s="276"/>
      <c r="N649" s="276"/>
      <c r="O649" s="276"/>
      <c r="P649" s="276"/>
      <c r="Q649" s="276"/>
      <c r="R649" s="276"/>
      <c r="S649" s="276"/>
      <c r="T649" s="276"/>
      <c r="U649" s="276"/>
      <c r="V649" s="276"/>
      <c r="W649" s="276"/>
      <c r="X649" s="276"/>
      <c r="Y649" s="276"/>
      <c r="Z649" s="276"/>
    </row>
    <row r="650" spans="1:26" ht="18.75" customHeight="1">
      <c r="A650" s="276"/>
      <c r="B650" s="276"/>
      <c r="C650" s="276"/>
      <c r="D650" s="276"/>
      <c r="E650" s="276"/>
      <c r="F650" s="276"/>
      <c r="G650" s="276"/>
      <c r="H650" s="276"/>
      <c r="I650" s="276"/>
      <c r="J650" s="276"/>
      <c r="K650" s="276"/>
      <c r="L650" s="276"/>
      <c r="M650" s="276"/>
      <c r="N650" s="276"/>
      <c r="O650" s="276"/>
      <c r="P650" s="276"/>
      <c r="Q650" s="276"/>
      <c r="R650" s="276"/>
      <c r="S650" s="276"/>
      <c r="T650" s="276"/>
      <c r="U650" s="276"/>
      <c r="V650" s="276"/>
      <c r="W650" s="276"/>
      <c r="X650" s="276"/>
      <c r="Y650" s="276"/>
      <c r="Z650" s="276"/>
    </row>
    <row r="651" spans="1:26" ht="18.75" customHeight="1">
      <c r="A651" s="276"/>
      <c r="B651" s="276"/>
      <c r="C651" s="276"/>
      <c r="D651" s="276"/>
      <c r="E651" s="276"/>
      <c r="F651" s="276"/>
      <c r="G651" s="276"/>
      <c r="H651" s="276"/>
      <c r="I651" s="276"/>
      <c r="J651" s="276"/>
      <c r="K651" s="276"/>
      <c r="L651" s="276"/>
      <c r="M651" s="276"/>
      <c r="N651" s="276"/>
      <c r="O651" s="276"/>
      <c r="P651" s="276"/>
      <c r="Q651" s="276"/>
      <c r="R651" s="276"/>
      <c r="S651" s="276"/>
      <c r="T651" s="276"/>
      <c r="U651" s="276"/>
      <c r="V651" s="276"/>
      <c r="W651" s="276"/>
      <c r="X651" s="276"/>
      <c r="Y651" s="276"/>
      <c r="Z651" s="276"/>
    </row>
    <row r="652" spans="1:26" ht="18.75" customHeight="1">
      <c r="A652" s="276"/>
      <c r="B652" s="276"/>
      <c r="C652" s="276"/>
      <c r="D652" s="276"/>
      <c r="E652" s="276"/>
      <c r="F652" s="276"/>
      <c r="G652" s="276"/>
      <c r="H652" s="276"/>
      <c r="I652" s="276"/>
      <c r="J652" s="276"/>
      <c r="K652" s="276"/>
      <c r="L652" s="276"/>
      <c r="M652" s="276"/>
      <c r="N652" s="276"/>
      <c r="O652" s="276"/>
      <c r="P652" s="276"/>
      <c r="Q652" s="276"/>
      <c r="R652" s="276"/>
      <c r="S652" s="276"/>
      <c r="T652" s="276"/>
      <c r="U652" s="276"/>
      <c r="V652" s="276"/>
      <c r="W652" s="276"/>
      <c r="X652" s="276"/>
      <c r="Y652" s="276"/>
      <c r="Z652" s="276"/>
    </row>
    <row r="653" spans="1:26" ht="18.75" customHeight="1">
      <c r="A653" s="276"/>
      <c r="B653" s="276"/>
      <c r="C653" s="276"/>
      <c r="D653" s="276"/>
      <c r="E653" s="276"/>
      <c r="F653" s="276"/>
      <c r="G653" s="276"/>
      <c r="H653" s="276"/>
      <c r="I653" s="276"/>
      <c r="J653" s="276"/>
      <c r="K653" s="276"/>
      <c r="L653" s="276"/>
      <c r="M653" s="276"/>
      <c r="N653" s="276"/>
      <c r="O653" s="276"/>
      <c r="P653" s="276"/>
      <c r="Q653" s="276"/>
      <c r="R653" s="276"/>
      <c r="S653" s="276"/>
      <c r="T653" s="276"/>
      <c r="U653" s="276"/>
      <c r="V653" s="276"/>
      <c r="W653" s="276"/>
      <c r="X653" s="276"/>
      <c r="Y653" s="276"/>
      <c r="Z653" s="276"/>
    </row>
    <row r="654" spans="1:26" ht="18.75" customHeight="1">
      <c r="A654" s="276"/>
      <c r="B654" s="276"/>
      <c r="C654" s="276"/>
      <c r="D654" s="276"/>
      <c r="E654" s="276"/>
      <c r="F654" s="276"/>
      <c r="G654" s="276"/>
      <c r="H654" s="276"/>
      <c r="I654" s="276"/>
      <c r="J654" s="276"/>
      <c r="K654" s="276"/>
      <c r="L654" s="276"/>
      <c r="M654" s="276"/>
      <c r="N654" s="276"/>
      <c r="O654" s="276"/>
      <c r="P654" s="276"/>
      <c r="Q654" s="276"/>
      <c r="R654" s="276"/>
      <c r="S654" s="276"/>
      <c r="T654" s="276"/>
      <c r="U654" s="276"/>
      <c r="V654" s="276"/>
      <c r="W654" s="276"/>
      <c r="X654" s="276"/>
      <c r="Y654" s="276"/>
      <c r="Z654" s="276"/>
    </row>
    <row r="655" spans="1:26" ht="18.75" customHeight="1">
      <c r="A655" s="276"/>
      <c r="B655" s="276"/>
      <c r="C655" s="276"/>
      <c r="D655" s="276"/>
      <c r="E655" s="276"/>
      <c r="F655" s="276"/>
      <c r="G655" s="276"/>
      <c r="H655" s="276"/>
      <c r="I655" s="276"/>
      <c r="J655" s="276"/>
      <c r="K655" s="276"/>
      <c r="L655" s="276"/>
      <c r="M655" s="276"/>
      <c r="N655" s="276"/>
      <c r="O655" s="276"/>
      <c r="P655" s="276"/>
      <c r="Q655" s="276"/>
      <c r="R655" s="276"/>
      <c r="S655" s="276"/>
      <c r="T655" s="276"/>
      <c r="U655" s="276"/>
      <c r="V655" s="276"/>
      <c r="W655" s="276"/>
      <c r="X655" s="276"/>
      <c r="Y655" s="276"/>
      <c r="Z655" s="276"/>
    </row>
    <row r="656" spans="1:26" ht="18.75" customHeight="1">
      <c r="A656" s="276"/>
      <c r="B656" s="276"/>
      <c r="C656" s="276"/>
      <c r="D656" s="276"/>
      <c r="E656" s="276"/>
      <c r="F656" s="276"/>
      <c r="G656" s="276"/>
      <c r="H656" s="276"/>
      <c r="I656" s="276"/>
      <c r="J656" s="276"/>
      <c r="K656" s="276"/>
      <c r="L656" s="276"/>
      <c r="M656" s="276"/>
      <c r="N656" s="276"/>
      <c r="O656" s="276"/>
      <c r="P656" s="276"/>
      <c r="Q656" s="276"/>
      <c r="R656" s="276"/>
      <c r="S656" s="276"/>
      <c r="T656" s="276"/>
      <c r="U656" s="276"/>
      <c r="V656" s="276"/>
      <c r="W656" s="276"/>
      <c r="X656" s="276"/>
      <c r="Y656" s="276"/>
      <c r="Z656" s="276"/>
    </row>
    <row r="657" spans="1:26" ht="18.75" customHeight="1">
      <c r="A657" s="276"/>
      <c r="B657" s="276"/>
      <c r="C657" s="276"/>
      <c r="D657" s="276"/>
      <c r="E657" s="276"/>
      <c r="F657" s="276"/>
      <c r="G657" s="276"/>
      <c r="H657" s="276"/>
      <c r="I657" s="276"/>
      <c r="J657" s="276"/>
      <c r="K657" s="276"/>
      <c r="L657" s="276"/>
      <c r="M657" s="276"/>
      <c r="N657" s="276"/>
      <c r="O657" s="276"/>
      <c r="P657" s="276"/>
      <c r="Q657" s="276"/>
      <c r="R657" s="276"/>
      <c r="S657" s="276"/>
      <c r="T657" s="276"/>
      <c r="U657" s="276"/>
      <c r="V657" s="276"/>
      <c r="W657" s="276"/>
      <c r="X657" s="276"/>
      <c r="Y657" s="276"/>
      <c r="Z657" s="276"/>
    </row>
    <row r="658" spans="1:26" ht="18.75" customHeight="1">
      <c r="A658" s="276"/>
      <c r="B658" s="276"/>
      <c r="C658" s="276"/>
      <c r="D658" s="276"/>
      <c r="E658" s="276"/>
      <c r="F658" s="276"/>
      <c r="G658" s="276"/>
      <c r="H658" s="276"/>
      <c r="I658" s="276"/>
      <c r="J658" s="276"/>
      <c r="K658" s="276"/>
      <c r="L658" s="276"/>
      <c r="M658" s="276"/>
      <c r="N658" s="276"/>
      <c r="O658" s="276"/>
      <c r="P658" s="276"/>
      <c r="Q658" s="276"/>
      <c r="R658" s="276"/>
      <c r="S658" s="276"/>
      <c r="T658" s="276"/>
      <c r="U658" s="276"/>
      <c r="V658" s="276"/>
      <c r="W658" s="276"/>
      <c r="X658" s="276"/>
      <c r="Y658" s="276"/>
      <c r="Z658" s="276"/>
    </row>
    <row r="659" spans="1:26" ht="18.75" customHeight="1">
      <c r="A659" s="276"/>
      <c r="B659" s="276"/>
      <c r="C659" s="276"/>
      <c r="D659" s="276"/>
      <c r="E659" s="276"/>
      <c r="F659" s="276"/>
      <c r="G659" s="276"/>
      <c r="H659" s="276"/>
      <c r="I659" s="276"/>
      <c r="J659" s="276"/>
      <c r="K659" s="276"/>
      <c r="L659" s="276"/>
      <c r="M659" s="276"/>
      <c r="N659" s="276"/>
      <c r="O659" s="276"/>
      <c r="P659" s="276"/>
      <c r="Q659" s="276"/>
      <c r="R659" s="276"/>
      <c r="S659" s="276"/>
      <c r="T659" s="276"/>
      <c r="U659" s="276"/>
      <c r="V659" s="276"/>
      <c r="W659" s="276"/>
      <c r="X659" s="276"/>
      <c r="Y659" s="276"/>
      <c r="Z659" s="276"/>
    </row>
    <row r="660" spans="1:26" ht="18.75" customHeight="1">
      <c r="A660" s="276"/>
      <c r="B660" s="276"/>
      <c r="C660" s="276"/>
      <c r="D660" s="276"/>
      <c r="E660" s="276"/>
      <c r="F660" s="276"/>
      <c r="G660" s="276"/>
      <c r="H660" s="276"/>
      <c r="I660" s="276"/>
      <c r="J660" s="276"/>
      <c r="K660" s="276"/>
      <c r="L660" s="276"/>
      <c r="M660" s="276"/>
      <c r="N660" s="276"/>
      <c r="O660" s="276"/>
      <c r="P660" s="276"/>
      <c r="Q660" s="276"/>
      <c r="R660" s="276"/>
      <c r="S660" s="276"/>
      <c r="T660" s="276"/>
      <c r="U660" s="276"/>
      <c r="V660" s="276"/>
      <c r="W660" s="276"/>
      <c r="X660" s="276"/>
      <c r="Y660" s="276"/>
      <c r="Z660" s="276"/>
    </row>
    <row r="661" spans="1:26" ht="18.75" customHeight="1">
      <c r="A661" s="276"/>
      <c r="B661" s="276"/>
      <c r="C661" s="276"/>
      <c r="D661" s="276"/>
      <c r="E661" s="276"/>
      <c r="F661" s="276"/>
      <c r="G661" s="276"/>
      <c r="H661" s="276"/>
      <c r="I661" s="276"/>
      <c r="J661" s="276"/>
      <c r="K661" s="276"/>
      <c r="L661" s="276"/>
      <c r="M661" s="276"/>
      <c r="N661" s="276"/>
      <c r="O661" s="276"/>
      <c r="P661" s="276"/>
      <c r="Q661" s="276"/>
      <c r="R661" s="276"/>
      <c r="S661" s="276"/>
      <c r="T661" s="276"/>
      <c r="U661" s="276"/>
      <c r="V661" s="276"/>
      <c r="W661" s="276"/>
      <c r="X661" s="276"/>
      <c r="Y661" s="276"/>
      <c r="Z661" s="276"/>
    </row>
    <row r="662" spans="1:26" ht="18.75" customHeight="1">
      <c r="A662" s="276"/>
      <c r="B662" s="276"/>
      <c r="C662" s="276"/>
      <c r="D662" s="276"/>
      <c r="E662" s="276"/>
      <c r="F662" s="276"/>
      <c r="G662" s="276"/>
      <c r="H662" s="276"/>
      <c r="I662" s="276"/>
      <c r="J662" s="276"/>
      <c r="K662" s="276"/>
      <c r="L662" s="276"/>
      <c r="M662" s="276"/>
      <c r="N662" s="276"/>
      <c r="O662" s="276"/>
      <c r="P662" s="276"/>
      <c r="Q662" s="276"/>
      <c r="R662" s="276"/>
      <c r="S662" s="276"/>
      <c r="T662" s="276"/>
      <c r="U662" s="276"/>
      <c r="V662" s="276"/>
      <c r="W662" s="276"/>
      <c r="X662" s="276"/>
      <c r="Y662" s="276"/>
      <c r="Z662" s="276"/>
    </row>
    <row r="663" spans="1:26" ht="18.75" customHeight="1">
      <c r="A663" s="276"/>
      <c r="B663" s="276"/>
      <c r="C663" s="276"/>
      <c r="D663" s="276"/>
      <c r="E663" s="276"/>
      <c r="F663" s="276"/>
      <c r="G663" s="276"/>
      <c r="H663" s="276"/>
      <c r="I663" s="276"/>
      <c r="J663" s="276"/>
      <c r="K663" s="276"/>
      <c r="L663" s="276"/>
      <c r="M663" s="276"/>
      <c r="N663" s="276"/>
      <c r="O663" s="276"/>
      <c r="P663" s="276"/>
      <c r="Q663" s="276"/>
      <c r="R663" s="276"/>
      <c r="S663" s="276"/>
      <c r="T663" s="276"/>
      <c r="U663" s="276"/>
      <c r="V663" s="276"/>
      <c r="W663" s="276"/>
      <c r="X663" s="276"/>
      <c r="Y663" s="276"/>
      <c r="Z663" s="276"/>
    </row>
    <row r="664" spans="1:26" ht="18.75" customHeight="1">
      <c r="A664" s="276"/>
      <c r="B664" s="276"/>
      <c r="C664" s="276"/>
      <c r="D664" s="276"/>
      <c r="E664" s="276"/>
      <c r="F664" s="276"/>
      <c r="G664" s="276"/>
      <c r="H664" s="276"/>
      <c r="I664" s="276"/>
      <c r="J664" s="276"/>
      <c r="K664" s="276"/>
      <c r="L664" s="276"/>
      <c r="M664" s="276"/>
      <c r="N664" s="276"/>
      <c r="O664" s="276"/>
      <c r="P664" s="276"/>
      <c r="Q664" s="276"/>
      <c r="R664" s="276"/>
      <c r="S664" s="276"/>
      <c r="T664" s="276"/>
      <c r="U664" s="276"/>
      <c r="V664" s="276"/>
      <c r="W664" s="276"/>
      <c r="X664" s="276"/>
      <c r="Y664" s="276"/>
      <c r="Z664" s="276"/>
    </row>
    <row r="665" spans="1:26" ht="18.75" customHeight="1">
      <c r="A665" s="276"/>
      <c r="B665" s="276"/>
      <c r="C665" s="276"/>
      <c r="D665" s="276"/>
      <c r="E665" s="276"/>
      <c r="F665" s="276"/>
      <c r="G665" s="276"/>
      <c r="H665" s="276"/>
      <c r="I665" s="276"/>
      <c r="J665" s="276"/>
      <c r="K665" s="276"/>
      <c r="L665" s="276"/>
      <c r="M665" s="276"/>
      <c r="N665" s="276"/>
      <c r="O665" s="276"/>
      <c r="P665" s="276"/>
      <c r="Q665" s="276"/>
      <c r="R665" s="276"/>
      <c r="S665" s="276"/>
      <c r="T665" s="276"/>
      <c r="U665" s="276"/>
      <c r="V665" s="276"/>
      <c r="W665" s="276"/>
      <c r="X665" s="276"/>
      <c r="Y665" s="276"/>
      <c r="Z665" s="276"/>
    </row>
    <row r="666" spans="1:26" ht="18.75" customHeight="1">
      <c r="A666" s="276"/>
      <c r="B666" s="276"/>
      <c r="C666" s="276"/>
      <c r="D666" s="276"/>
      <c r="E666" s="276"/>
      <c r="F666" s="276"/>
      <c r="G666" s="276"/>
      <c r="H666" s="276"/>
      <c r="I666" s="276"/>
      <c r="J666" s="276"/>
      <c r="K666" s="276"/>
      <c r="L666" s="276"/>
      <c r="M666" s="276"/>
      <c r="N666" s="276"/>
      <c r="O666" s="276"/>
      <c r="P666" s="276"/>
      <c r="Q666" s="276"/>
      <c r="R666" s="276"/>
      <c r="S666" s="276"/>
      <c r="T666" s="276"/>
      <c r="U666" s="276"/>
      <c r="V666" s="276"/>
      <c r="W666" s="276"/>
      <c r="X666" s="276"/>
      <c r="Y666" s="276"/>
      <c r="Z666" s="276"/>
    </row>
    <row r="667" spans="1:26" ht="18.75" customHeight="1">
      <c r="A667" s="276"/>
      <c r="B667" s="276"/>
      <c r="C667" s="276"/>
      <c r="D667" s="276"/>
      <c r="E667" s="276"/>
      <c r="F667" s="276"/>
      <c r="G667" s="276"/>
      <c r="H667" s="276"/>
      <c r="I667" s="276"/>
      <c r="J667" s="276"/>
      <c r="K667" s="276"/>
      <c r="L667" s="276"/>
      <c r="M667" s="276"/>
      <c r="N667" s="276"/>
      <c r="O667" s="276"/>
      <c r="P667" s="276"/>
      <c r="Q667" s="276"/>
      <c r="R667" s="276"/>
      <c r="S667" s="276"/>
      <c r="T667" s="276"/>
      <c r="U667" s="276"/>
      <c r="V667" s="276"/>
      <c r="W667" s="276"/>
      <c r="X667" s="276"/>
      <c r="Y667" s="276"/>
      <c r="Z667" s="276"/>
    </row>
    <row r="668" spans="1:26" ht="18.75" customHeight="1">
      <c r="A668" s="276"/>
      <c r="B668" s="276"/>
      <c r="C668" s="276"/>
      <c r="D668" s="276"/>
      <c r="E668" s="276"/>
      <c r="F668" s="276"/>
      <c r="G668" s="276"/>
      <c r="H668" s="276"/>
      <c r="I668" s="276"/>
      <c r="J668" s="276"/>
      <c r="K668" s="276"/>
      <c r="L668" s="276"/>
      <c r="M668" s="276"/>
      <c r="N668" s="276"/>
      <c r="O668" s="276"/>
      <c r="P668" s="276"/>
      <c r="Q668" s="276"/>
      <c r="R668" s="276"/>
      <c r="S668" s="276"/>
      <c r="T668" s="276"/>
      <c r="U668" s="276"/>
      <c r="V668" s="276"/>
      <c r="W668" s="276"/>
      <c r="X668" s="276"/>
      <c r="Y668" s="276"/>
      <c r="Z668" s="276"/>
    </row>
    <row r="669" spans="1:26" ht="18.75" customHeight="1">
      <c r="A669" s="276"/>
      <c r="B669" s="276"/>
      <c r="C669" s="276"/>
      <c r="D669" s="276"/>
      <c r="E669" s="276"/>
      <c r="F669" s="276"/>
      <c r="G669" s="276"/>
      <c r="H669" s="276"/>
      <c r="I669" s="276"/>
      <c r="J669" s="276"/>
      <c r="K669" s="276"/>
      <c r="L669" s="276"/>
      <c r="M669" s="276"/>
      <c r="N669" s="276"/>
      <c r="O669" s="276"/>
      <c r="P669" s="276"/>
      <c r="Q669" s="276"/>
      <c r="R669" s="276"/>
      <c r="S669" s="276"/>
      <c r="T669" s="276"/>
      <c r="U669" s="276"/>
      <c r="V669" s="276"/>
      <c r="W669" s="276"/>
      <c r="X669" s="276"/>
      <c r="Y669" s="276"/>
      <c r="Z669" s="276"/>
    </row>
    <row r="670" spans="1:26" ht="18.75" customHeight="1">
      <c r="A670" s="276"/>
      <c r="B670" s="276"/>
      <c r="C670" s="276"/>
      <c r="D670" s="276"/>
      <c r="E670" s="276"/>
      <c r="F670" s="276"/>
      <c r="G670" s="276"/>
      <c r="H670" s="276"/>
      <c r="I670" s="276"/>
      <c r="J670" s="276"/>
      <c r="K670" s="276"/>
      <c r="L670" s="276"/>
      <c r="M670" s="276"/>
      <c r="N670" s="276"/>
      <c r="O670" s="276"/>
      <c r="P670" s="276"/>
      <c r="Q670" s="276"/>
      <c r="R670" s="276"/>
      <c r="S670" s="276"/>
      <c r="T670" s="276"/>
      <c r="U670" s="276"/>
      <c r="V670" s="276"/>
      <c r="W670" s="276"/>
      <c r="X670" s="276"/>
      <c r="Y670" s="276"/>
      <c r="Z670" s="276"/>
    </row>
    <row r="671" spans="1:26" ht="18.75" customHeight="1">
      <c r="A671" s="276"/>
      <c r="B671" s="276"/>
      <c r="C671" s="276"/>
      <c r="D671" s="276"/>
      <c r="E671" s="276"/>
      <c r="F671" s="276"/>
      <c r="G671" s="276"/>
      <c r="H671" s="276"/>
      <c r="I671" s="276"/>
      <c r="J671" s="276"/>
      <c r="K671" s="276"/>
      <c r="L671" s="276"/>
      <c r="M671" s="276"/>
      <c r="N671" s="276"/>
      <c r="O671" s="276"/>
      <c r="P671" s="276"/>
      <c r="Q671" s="276"/>
      <c r="R671" s="276"/>
      <c r="S671" s="276"/>
      <c r="T671" s="276"/>
      <c r="U671" s="276"/>
      <c r="V671" s="276"/>
      <c r="W671" s="276"/>
      <c r="X671" s="276"/>
      <c r="Y671" s="276"/>
      <c r="Z671" s="276"/>
    </row>
    <row r="672" spans="1:26" ht="18.75" customHeight="1">
      <c r="A672" s="276"/>
      <c r="B672" s="276"/>
      <c r="C672" s="276"/>
      <c r="D672" s="276"/>
      <c r="E672" s="276"/>
      <c r="F672" s="276"/>
      <c r="G672" s="276"/>
      <c r="H672" s="276"/>
      <c r="I672" s="276"/>
      <c r="J672" s="276"/>
      <c r="K672" s="276"/>
      <c r="L672" s="276"/>
      <c r="M672" s="276"/>
      <c r="N672" s="276"/>
      <c r="O672" s="276"/>
      <c r="P672" s="276"/>
      <c r="Q672" s="276"/>
      <c r="R672" s="276"/>
      <c r="S672" s="276"/>
      <c r="T672" s="276"/>
      <c r="U672" s="276"/>
      <c r="V672" s="276"/>
      <c r="W672" s="276"/>
      <c r="X672" s="276"/>
      <c r="Y672" s="276"/>
      <c r="Z672" s="276"/>
    </row>
    <row r="673" spans="1:26" ht="18.75" customHeight="1">
      <c r="A673" s="276"/>
      <c r="B673" s="276"/>
      <c r="C673" s="276"/>
      <c r="D673" s="276"/>
      <c r="E673" s="276"/>
      <c r="F673" s="276"/>
      <c r="G673" s="276"/>
      <c r="H673" s="276"/>
      <c r="I673" s="276"/>
      <c r="J673" s="276"/>
      <c r="K673" s="276"/>
      <c r="L673" s="276"/>
      <c r="M673" s="276"/>
      <c r="N673" s="276"/>
      <c r="O673" s="276"/>
      <c r="P673" s="276"/>
      <c r="Q673" s="276"/>
      <c r="R673" s="276"/>
      <c r="S673" s="276"/>
      <c r="T673" s="276"/>
      <c r="U673" s="276"/>
      <c r="V673" s="276"/>
      <c r="W673" s="276"/>
      <c r="X673" s="276"/>
      <c r="Y673" s="276"/>
      <c r="Z673" s="276"/>
    </row>
    <row r="674" spans="1:26" ht="18.75" customHeight="1">
      <c r="A674" s="276"/>
      <c r="B674" s="276"/>
      <c r="C674" s="276"/>
      <c r="D674" s="276"/>
      <c r="E674" s="276"/>
      <c r="F674" s="276"/>
      <c r="G674" s="276"/>
      <c r="H674" s="276"/>
      <c r="I674" s="276"/>
      <c r="J674" s="276"/>
      <c r="K674" s="276"/>
      <c r="L674" s="276"/>
      <c r="M674" s="276"/>
      <c r="N674" s="276"/>
      <c r="O674" s="276"/>
      <c r="P674" s="276"/>
      <c r="Q674" s="276"/>
      <c r="R674" s="276"/>
      <c r="S674" s="276"/>
      <c r="T674" s="276"/>
      <c r="U674" s="276"/>
      <c r="V674" s="276"/>
      <c r="W674" s="276"/>
      <c r="X674" s="276"/>
      <c r="Y674" s="276"/>
      <c r="Z674" s="276"/>
    </row>
    <row r="675" spans="1:26" ht="18.75" customHeight="1">
      <c r="A675" s="276"/>
      <c r="B675" s="276"/>
      <c r="C675" s="276"/>
      <c r="D675" s="276"/>
      <c r="E675" s="276"/>
      <c r="F675" s="276"/>
      <c r="G675" s="276"/>
      <c r="H675" s="276"/>
      <c r="I675" s="276"/>
      <c r="J675" s="276"/>
      <c r="K675" s="276"/>
      <c r="L675" s="276"/>
      <c r="M675" s="276"/>
      <c r="N675" s="276"/>
      <c r="O675" s="276"/>
      <c r="P675" s="276"/>
      <c r="Q675" s="276"/>
      <c r="R675" s="276"/>
      <c r="S675" s="276"/>
      <c r="T675" s="276"/>
      <c r="U675" s="276"/>
      <c r="V675" s="276"/>
      <c r="W675" s="276"/>
      <c r="X675" s="276"/>
      <c r="Y675" s="276"/>
      <c r="Z675" s="276"/>
    </row>
    <row r="676" spans="1:26" ht="18.75" customHeight="1">
      <c r="A676" s="276"/>
      <c r="B676" s="276"/>
      <c r="C676" s="276"/>
      <c r="D676" s="276"/>
      <c r="E676" s="276"/>
      <c r="F676" s="276"/>
      <c r="G676" s="276"/>
      <c r="H676" s="276"/>
      <c r="I676" s="276"/>
      <c r="J676" s="276"/>
      <c r="K676" s="276"/>
      <c r="L676" s="276"/>
      <c r="M676" s="276"/>
      <c r="N676" s="276"/>
      <c r="O676" s="276"/>
      <c r="P676" s="276"/>
      <c r="Q676" s="276"/>
      <c r="R676" s="276"/>
      <c r="S676" s="276"/>
      <c r="T676" s="276"/>
      <c r="U676" s="276"/>
      <c r="V676" s="276"/>
      <c r="W676" s="276"/>
      <c r="X676" s="276"/>
      <c r="Y676" s="276"/>
      <c r="Z676" s="276"/>
    </row>
    <row r="677" spans="1:26" ht="18.75" customHeight="1">
      <c r="A677" s="276"/>
      <c r="B677" s="276"/>
      <c r="C677" s="276"/>
      <c r="D677" s="276"/>
      <c r="E677" s="276"/>
      <c r="F677" s="276"/>
      <c r="G677" s="276"/>
      <c r="H677" s="276"/>
      <c r="I677" s="276"/>
      <c r="J677" s="276"/>
      <c r="K677" s="276"/>
      <c r="L677" s="276"/>
      <c r="M677" s="276"/>
      <c r="N677" s="276"/>
      <c r="O677" s="276"/>
      <c r="P677" s="276"/>
      <c r="Q677" s="276"/>
      <c r="R677" s="276"/>
      <c r="S677" s="276"/>
      <c r="T677" s="276"/>
      <c r="U677" s="276"/>
      <c r="V677" s="276"/>
      <c r="W677" s="276"/>
      <c r="X677" s="276"/>
      <c r="Y677" s="276"/>
      <c r="Z677" s="276"/>
    </row>
    <row r="678" spans="1:26" ht="18.75" customHeight="1">
      <c r="A678" s="276"/>
      <c r="B678" s="276"/>
      <c r="C678" s="276"/>
      <c r="D678" s="276"/>
      <c r="E678" s="276"/>
      <c r="F678" s="276"/>
      <c r="G678" s="276"/>
      <c r="H678" s="276"/>
      <c r="I678" s="276"/>
      <c r="J678" s="276"/>
      <c r="K678" s="276"/>
      <c r="L678" s="276"/>
      <c r="M678" s="276"/>
      <c r="N678" s="276"/>
      <c r="O678" s="276"/>
      <c r="P678" s="276"/>
      <c r="Q678" s="276"/>
      <c r="R678" s="276"/>
      <c r="S678" s="276"/>
      <c r="T678" s="276"/>
      <c r="U678" s="276"/>
      <c r="V678" s="276"/>
      <c r="W678" s="276"/>
      <c r="X678" s="276"/>
      <c r="Y678" s="276"/>
      <c r="Z678" s="276"/>
    </row>
    <row r="679" spans="1:26" ht="18.75" customHeight="1">
      <c r="A679" s="276"/>
      <c r="B679" s="276"/>
      <c r="C679" s="276"/>
      <c r="D679" s="276"/>
      <c r="E679" s="276"/>
      <c r="F679" s="276"/>
      <c r="G679" s="276"/>
      <c r="H679" s="276"/>
      <c r="I679" s="276"/>
      <c r="J679" s="276"/>
      <c r="K679" s="276"/>
      <c r="L679" s="276"/>
      <c r="M679" s="276"/>
      <c r="N679" s="276"/>
      <c r="O679" s="276"/>
      <c r="P679" s="276"/>
      <c r="Q679" s="276"/>
      <c r="R679" s="276"/>
      <c r="S679" s="276"/>
      <c r="T679" s="276"/>
      <c r="U679" s="276"/>
      <c r="V679" s="276"/>
      <c r="W679" s="276"/>
      <c r="X679" s="276"/>
      <c r="Y679" s="276"/>
      <c r="Z679" s="276"/>
    </row>
    <row r="680" spans="1:26" ht="18.75" customHeight="1">
      <c r="A680" s="276"/>
      <c r="B680" s="276"/>
      <c r="C680" s="276"/>
      <c r="D680" s="276"/>
      <c r="E680" s="276"/>
      <c r="F680" s="276"/>
      <c r="G680" s="276"/>
      <c r="H680" s="276"/>
      <c r="I680" s="276"/>
      <c r="J680" s="276"/>
      <c r="K680" s="276"/>
      <c r="L680" s="276"/>
      <c r="M680" s="276"/>
      <c r="N680" s="276"/>
      <c r="O680" s="276"/>
      <c r="P680" s="276"/>
      <c r="Q680" s="276"/>
      <c r="R680" s="276"/>
      <c r="S680" s="276"/>
      <c r="T680" s="276"/>
      <c r="U680" s="276"/>
      <c r="V680" s="276"/>
      <c r="W680" s="276"/>
      <c r="X680" s="276"/>
      <c r="Y680" s="276"/>
      <c r="Z680" s="276"/>
    </row>
    <row r="681" spans="1:26" ht="18.75" customHeight="1">
      <c r="A681" s="276"/>
      <c r="B681" s="276"/>
      <c r="C681" s="276"/>
      <c r="D681" s="276"/>
      <c r="E681" s="276"/>
      <c r="F681" s="276"/>
      <c r="G681" s="276"/>
      <c r="H681" s="276"/>
      <c r="I681" s="276"/>
      <c r="J681" s="276"/>
      <c r="K681" s="276"/>
      <c r="L681" s="276"/>
      <c r="M681" s="276"/>
      <c r="N681" s="276"/>
      <c r="O681" s="276"/>
      <c r="P681" s="276"/>
      <c r="Q681" s="276"/>
      <c r="R681" s="276"/>
      <c r="S681" s="276"/>
      <c r="T681" s="276"/>
      <c r="U681" s="276"/>
      <c r="V681" s="276"/>
      <c r="W681" s="276"/>
      <c r="X681" s="276"/>
      <c r="Y681" s="276"/>
      <c r="Z681" s="276"/>
    </row>
    <row r="682" spans="1:26" ht="18.75" customHeight="1">
      <c r="A682" s="276"/>
      <c r="B682" s="276"/>
      <c r="C682" s="276"/>
      <c r="D682" s="276"/>
      <c r="E682" s="276"/>
      <c r="F682" s="276"/>
      <c r="G682" s="276"/>
      <c r="H682" s="276"/>
      <c r="I682" s="276"/>
      <c r="J682" s="276"/>
      <c r="K682" s="276"/>
      <c r="L682" s="276"/>
      <c r="M682" s="276"/>
      <c r="N682" s="276"/>
      <c r="O682" s="276"/>
      <c r="P682" s="276"/>
      <c r="Q682" s="276"/>
      <c r="R682" s="276"/>
      <c r="S682" s="276"/>
      <c r="T682" s="276"/>
      <c r="U682" s="276"/>
      <c r="V682" s="276"/>
      <c r="W682" s="276"/>
      <c r="X682" s="276"/>
      <c r="Y682" s="276"/>
      <c r="Z682" s="276"/>
    </row>
    <row r="683" spans="1:26" ht="18.75" customHeight="1">
      <c r="A683" s="276"/>
      <c r="B683" s="276"/>
      <c r="C683" s="276"/>
      <c r="D683" s="276"/>
      <c r="E683" s="276"/>
      <c r="F683" s="276"/>
      <c r="G683" s="276"/>
      <c r="H683" s="276"/>
      <c r="I683" s="276"/>
      <c r="J683" s="276"/>
      <c r="K683" s="276"/>
      <c r="L683" s="276"/>
      <c r="M683" s="276"/>
      <c r="N683" s="276"/>
      <c r="O683" s="276"/>
      <c r="P683" s="276"/>
      <c r="Q683" s="276"/>
      <c r="R683" s="276"/>
      <c r="S683" s="276"/>
      <c r="T683" s="276"/>
      <c r="U683" s="276"/>
      <c r="V683" s="276"/>
      <c r="W683" s="276"/>
      <c r="X683" s="276"/>
      <c r="Y683" s="276"/>
      <c r="Z683" s="276"/>
    </row>
    <row r="684" spans="1:26" ht="18.75" customHeight="1">
      <c r="A684" s="276"/>
      <c r="B684" s="276"/>
      <c r="C684" s="276"/>
      <c r="D684" s="276"/>
      <c r="E684" s="276"/>
      <c r="F684" s="276"/>
      <c r="G684" s="276"/>
      <c r="H684" s="276"/>
      <c r="I684" s="276"/>
      <c r="J684" s="276"/>
      <c r="K684" s="276"/>
      <c r="L684" s="276"/>
      <c r="M684" s="276"/>
      <c r="N684" s="276"/>
      <c r="O684" s="276"/>
      <c r="P684" s="276"/>
      <c r="Q684" s="276"/>
      <c r="R684" s="276"/>
      <c r="S684" s="276"/>
      <c r="T684" s="276"/>
      <c r="U684" s="276"/>
      <c r="V684" s="276"/>
      <c r="W684" s="276"/>
      <c r="X684" s="276"/>
      <c r="Y684" s="276"/>
      <c r="Z684" s="276"/>
    </row>
    <row r="685" spans="1:26" ht="18.75" customHeight="1">
      <c r="A685" s="276"/>
      <c r="B685" s="276"/>
      <c r="C685" s="276"/>
      <c r="D685" s="276"/>
      <c r="E685" s="276"/>
      <c r="F685" s="276"/>
      <c r="G685" s="276"/>
      <c r="H685" s="276"/>
      <c r="I685" s="276"/>
      <c r="J685" s="276"/>
      <c r="K685" s="276"/>
      <c r="L685" s="276"/>
      <c r="M685" s="276"/>
      <c r="N685" s="276"/>
      <c r="O685" s="276"/>
      <c r="P685" s="276"/>
      <c r="Q685" s="276"/>
      <c r="R685" s="276"/>
      <c r="S685" s="276"/>
      <c r="T685" s="276"/>
      <c r="U685" s="276"/>
      <c r="V685" s="276"/>
      <c r="W685" s="276"/>
      <c r="X685" s="276"/>
      <c r="Y685" s="276"/>
      <c r="Z685" s="276"/>
    </row>
    <row r="686" spans="1:26" ht="18.75" customHeight="1">
      <c r="A686" s="276"/>
      <c r="B686" s="276"/>
      <c r="C686" s="276"/>
      <c r="D686" s="276"/>
      <c r="E686" s="276"/>
      <c r="F686" s="276"/>
      <c r="G686" s="276"/>
      <c r="H686" s="276"/>
      <c r="I686" s="276"/>
      <c r="J686" s="276"/>
      <c r="K686" s="276"/>
      <c r="L686" s="276"/>
      <c r="M686" s="276"/>
      <c r="N686" s="276"/>
      <c r="O686" s="276"/>
      <c r="P686" s="276"/>
      <c r="Q686" s="276"/>
      <c r="R686" s="276"/>
      <c r="S686" s="276"/>
      <c r="T686" s="276"/>
      <c r="U686" s="276"/>
      <c r="V686" s="276"/>
      <c r="W686" s="276"/>
      <c r="X686" s="276"/>
      <c r="Y686" s="276"/>
      <c r="Z686" s="276"/>
    </row>
    <row r="687" spans="1:26" ht="18.75" customHeight="1">
      <c r="A687" s="276"/>
      <c r="B687" s="276"/>
      <c r="C687" s="276"/>
      <c r="D687" s="276"/>
      <c r="E687" s="276"/>
      <c r="F687" s="276"/>
      <c r="G687" s="276"/>
      <c r="H687" s="276"/>
      <c r="I687" s="276"/>
      <c r="J687" s="276"/>
      <c r="K687" s="276"/>
      <c r="L687" s="276"/>
      <c r="M687" s="276"/>
      <c r="N687" s="276"/>
      <c r="O687" s="276"/>
      <c r="P687" s="276"/>
      <c r="Q687" s="276"/>
      <c r="R687" s="276"/>
      <c r="S687" s="276"/>
      <c r="T687" s="276"/>
      <c r="U687" s="276"/>
      <c r="V687" s="276"/>
      <c r="W687" s="276"/>
      <c r="X687" s="276"/>
      <c r="Y687" s="276"/>
      <c r="Z687" s="276"/>
    </row>
    <row r="688" spans="1:26" ht="18.75" customHeight="1">
      <c r="A688" s="276"/>
      <c r="B688" s="276"/>
      <c r="C688" s="276"/>
      <c r="D688" s="276"/>
      <c r="E688" s="276"/>
      <c r="F688" s="276"/>
      <c r="G688" s="276"/>
      <c r="H688" s="276"/>
      <c r="I688" s="276"/>
      <c r="J688" s="276"/>
      <c r="K688" s="276"/>
      <c r="L688" s="276"/>
      <c r="M688" s="276"/>
      <c r="N688" s="276"/>
      <c r="O688" s="276"/>
      <c r="P688" s="276"/>
      <c r="Q688" s="276"/>
      <c r="R688" s="276"/>
      <c r="S688" s="276"/>
      <c r="T688" s="276"/>
      <c r="U688" s="276"/>
      <c r="V688" s="276"/>
      <c r="W688" s="276"/>
      <c r="X688" s="276"/>
      <c r="Y688" s="276"/>
      <c r="Z688" s="276"/>
    </row>
    <row r="689" spans="1:26" ht="18.75" customHeight="1">
      <c r="A689" s="276"/>
      <c r="B689" s="276"/>
      <c r="C689" s="276"/>
      <c r="D689" s="276"/>
      <c r="E689" s="276"/>
      <c r="F689" s="276"/>
      <c r="G689" s="276"/>
      <c r="H689" s="276"/>
      <c r="I689" s="276"/>
      <c r="J689" s="276"/>
      <c r="K689" s="276"/>
      <c r="L689" s="276"/>
      <c r="M689" s="276"/>
      <c r="N689" s="276"/>
      <c r="O689" s="276"/>
      <c r="P689" s="276"/>
      <c r="Q689" s="276"/>
      <c r="R689" s="276"/>
      <c r="S689" s="276"/>
      <c r="T689" s="276"/>
      <c r="U689" s="276"/>
      <c r="V689" s="276"/>
      <c r="W689" s="276"/>
      <c r="X689" s="276"/>
      <c r="Y689" s="276"/>
      <c r="Z689" s="276"/>
    </row>
    <row r="690" spans="1:26" ht="18.75" customHeight="1">
      <c r="A690" s="276"/>
      <c r="B690" s="276"/>
      <c r="C690" s="276"/>
      <c r="D690" s="276"/>
      <c r="E690" s="276"/>
      <c r="F690" s="276"/>
      <c r="G690" s="276"/>
      <c r="H690" s="276"/>
      <c r="I690" s="276"/>
      <c r="J690" s="276"/>
      <c r="K690" s="276"/>
      <c r="L690" s="276"/>
      <c r="M690" s="276"/>
      <c r="N690" s="276"/>
      <c r="O690" s="276"/>
      <c r="P690" s="276"/>
      <c r="Q690" s="276"/>
      <c r="R690" s="276"/>
      <c r="S690" s="276"/>
      <c r="T690" s="276"/>
      <c r="U690" s="276"/>
      <c r="V690" s="276"/>
      <c r="W690" s="276"/>
      <c r="X690" s="276"/>
      <c r="Y690" s="276"/>
      <c r="Z690" s="276"/>
    </row>
    <row r="691" spans="1:26" ht="18.75" customHeight="1">
      <c r="A691" s="276"/>
      <c r="B691" s="276"/>
      <c r="C691" s="276"/>
      <c r="D691" s="276"/>
      <c r="E691" s="276"/>
      <c r="F691" s="276"/>
      <c r="G691" s="276"/>
      <c r="H691" s="276"/>
      <c r="I691" s="276"/>
      <c r="J691" s="276"/>
      <c r="K691" s="276"/>
      <c r="L691" s="276"/>
      <c r="M691" s="276"/>
      <c r="N691" s="276"/>
      <c r="O691" s="276"/>
      <c r="P691" s="276"/>
      <c r="Q691" s="276"/>
      <c r="R691" s="276"/>
      <c r="S691" s="276"/>
      <c r="T691" s="276"/>
      <c r="U691" s="276"/>
      <c r="V691" s="276"/>
      <c r="W691" s="276"/>
      <c r="X691" s="276"/>
      <c r="Y691" s="276"/>
      <c r="Z691" s="276"/>
    </row>
    <row r="692" spans="1:26" ht="18.75" customHeight="1">
      <c r="A692" s="276"/>
      <c r="B692" s="276"/>
      <c r="C692" s="276"/>
      <c r="D692" s="276"/>
      <c r="E692" s="276"/>
      <c r="F692" s="276"/>
      <c r="G692" s="276"/>
      <c r="H692" s="276"/>
      <c r="I692" s="276"/>
      <c r="J692" s="276"/>
      <c r="K692" s="276"/>
      <c r="L692" s="276"/>
      <c r="M692" s="276"/>
      <c r="N692" s="276"/>
      <c r="O692" s="276"/>
      <c r="P692" s="276"/>
      <c r="Q692" s="276"/>
      <c r="R692" s="276"/>
      <c r="S692" s="276"/>
      <c r="T692" s="276"/>
      <c r="U692" s="276"/>
      <c r="V692" s="276"/>
      <c r="W692" s="276"/>
      <c r="X692" s="276"/>
      <c r="Y692" s="276"/>
      <c r="Z692" s="276"/>
    </row>
    <row r="693" spans="1:26" ht="18.75" customHeight="1">
      <c r="A693" s="276"/>
      <c r="B693" s="276"/>
      <c r="C693" s="276"/>
      <c r="D693" s="276"/>
      <c r="E693" s="276"/>
      <c r="F693" s="276"/>
      <c r="G693" s="276"/>
      <c r="H693" s="276"/>
      <c r="I693" s="276"/>
      <c r="J693" s="276"/>
      <c r="K693" s="276"/>
      <c r="L693" s="276"/>
      <c r="M693" s="276"/>
      <c r="N693" s="276"/>
      <c r="O693" s="276"/>
      <c r="P693" s="276"/>
      <c r="Q693" s="276"/>
      <c r="R693" s="276"/>
      <c r="S693" s="276"/>
      <c r="T693" s="276"/>
      <c r="U693" s="276"/>
      <c r="V693" s="276"/>
      <c r="W693" s="276"/>
      <c r="X693" s="276"/>
      <c r="Y693" s="276"/>
      <c r="Z693" s="276"/>
    </row>
    <row r="694" spans="1:26" ht="18.75" customHeight="1">
      <c r="A694" s="276"/>
      <c r="B694" s="276"/>
      <c r="C694" s="276"/>
      <c r="D694" s="276"/>
      <c r="E694" s="276"/>
      <c r="F694" s="276"/>
      <c r="G694" s="276"/>
      <c r="H694" s="276"/>
      <c r="I694" s="276"/>
      <c r="J694" s="276"/>
      <c r="K694" s="276"/>
      <c r="L694" s="276"/>
      <c r="M694" s="276"/>
      <c r="N694" s="276"/>
      <c r="O694" s="276"/>
      <c r="P694" s="276"/>
      <c r="Q694" s="276"/>
      <c r="R694" s="276"/>
      <c r="S694" s="276"/>
      <c r="T694" s="276"/>
      <c r="U694" s="276"/>
      <c r="V694" s="276"/>
      <c r="W694" s="276"/>
      <c r="X694" s="276"/>
      <c r="Y694" s="276"/>
      <c r="Z694" s="276"/>
    </row>
    <row r="695" spans="1:26" ht="18.75" customHeight="1">
      <c r="A695" s="276"/>
      <c r="B695" s="276"/>
      <c r="C695" s="276"/>
      <c r="D695" s="276"/>
      <c r="E695" s="276"/>
      <c r="F695" s="276"/>
      <c r="G695" s="276"/>
      <c r="H695" s="276"/>
      <c r="I695" s="276"/>
      <c r="J695" s="276"/>
      <c r="K695" s="276"/>
      <c r="L695" s="276"/>
      <c r="M695" s="276"/>
      <c r="N695" s="276"/>
      <c r="O695" s="276"/>
      <c r="P695" s="276"/>
      <c r="Q695" s="276"/>
      <c r="R695" s="276"/>
      <c r="S695" s="276"/>
      <c r="T695" s="276"/>
      <c r="U695" s="276"/>
      <c r="V695" s="276"/>
      <c r="W695" s="276"/>
      <c r="X695" s="276"/>
      <c r="Y695" s="276"/>
      <c r="Z695" s="276"/>
    </row>
    <row r="696" spans="1:26" ht="18.75" customHeight="1">
      <c r="A696" s="276"/>
      <c r="B696" s="276"/>
      <c r="C696" s="276"/>
      <c r="D696" s="276"/>
      <c r="E696" s="276"/>
      <c r="F696" s="276"/>
      <c r="G696" s="276"/>
      <c r="H696" s="276"/>
      <c r="I696" s="276"/>
      <c r="J696" s="276"/>
      <c r="K696" s="276"/>
      <c r="L696" s="276"/>
      <c r="M696" s="276"/>
      <c r="N696" s="276"/>
      <c r="O696" s="276"/>
      <c r="P696" s="276"/>
      <c r="Q696" s="276"/>
      <c r="R696" s="276"/>
      <c r="S696" s="276"/>
      <c r="T696" s="276"/>
      <c r="U696" s="276"/>
      <c r="V696" s="276"/>
      <c r="W696" s="276"/>
      <c r="X696" s="276"/>
      <c r="Y696" s="276"/>
      <c r="Z696" s="276"/>
    </row>
    <row r="697" spans="1:26" ht="18.75" customHeight="1">
      <c r="A697" s="276"/>
      <c r="B697" s="276"/>
      <c r="C697" s="276"/>
      <c r="D697" s="276"/>
      <c r="E697" s="276"/>
      <c r="F697" s="276"/>
      <c r="G697" s="276"/>
      <c r="H697" s="276"/>
      <c r="I697" s="276"/>
      <c r="J697" s="276"/>
      <c r="K697" s="276"/>
      <c r="L697" s="276"/>
      <c r="M697" s="276"/>
      <c r="N697" s="276"/>
      <c r="O697" s="276"/>
      <c r="P697" s="276"/>
      <c r="Q697" s="276"/>
      <c r="R697" s="276"/>
      <c r="S697" s="276"/>
      <c r="T697" s="276"/>
      <c r="U697" s="276"/>
      <c r="V697" s="276"/>
      <c r="W697" s="276"/>
      <c r="X697" s="276"/>
      <c r="Y697" s="276"/>
      <c r="Z697" s="276"/>
    </row>
    <row r="698" spans="1:26" ht="18.75" customHeight="1">
      <c r="A698" s="276"/>
      <c r="B698" s="276"/>
      <c r="C698" s="276"/>
      <c r="D698" s="276"/>
      <c r="E698" s="276"/>
      <c r="F698" s="276"/>
      <c r="G698" s="276"/>
      <c r="H698" s="276"/>
      <c r="I698" s="276"/>
      <c r="J698" s="276"/>
      <c r="K698" s="276"/>
      <c r="L698" s="276"/>
      <c r="M698" s="276"/>
      <c r="N698" s="276"/>
      <c r="O698" s="276"/>
      <c r="P698" s="276"/>
      <c r="Q698" s="276"/>
      <c r="R698" s="276"/>
      <c r="S698" s="276"/>
      <c r="T698" s="276"/>
      <c r="U698" s="276"/>
      <c r="V698" s="276"/>
      <c r="W698" s="276"/>
      <c r="X698" s="276"/>
      <c r="Y698" s="276"/>
      <c r="Z698" s="276"/>
    </row>
    <row r="699" spans="1:26" ht="18.75" customHeight="1">
      <c r="A699" s="276"/>
      <c r="B699" s="276"/>
      <c r="C699" s="276"/>
      <c r="D699" s="276"/>
      <c r="E699" s="276"/>
      <c r="F699" s="276"/>
      <c r="G699" s="276"/>
      <c r="H699" s="276"/>
      <c r="I699" s="276"/>
      <c r="J699" s="276"/>
      <c r="K699" s="276"/>
      <c r="L699" s="276"/>
      <c r="M699" s="276"/>
      <c r="N699" s="276"/>
      <c r="O699" s="276"/>
      <c r="P699" s="276"/>
      <c r="Q699" s="276"/>
      <c r="R699" s="276"/>
      <c r="S699" s="276"/>
      <c r="T699" s="276"/>
      <c r="U699" s="276"/>
      <c r="V699" s="276"/>
      <c r="W699" s="276"/>
      <c r="X699" s="276"/>
      <c r="Y699" s="276"/>
      <c r="Z699" s="276"/>
    </row>
    <row r="700" spans="1:26" ht="18.75" customHeight="1">
      <c r="A700" s="276"/>
      <c r="B700" s="276"/>
      <c r="C700" s="276"/>
      <c r="D700" s="276"/>
      <c r="E700" s="276"/>
      <c r="F700" s="276"/>
      <c r="G700" s="276"/>
      <c r="H700" s="276"/>
      <c r="I700" s="276"/>
      <c r="J700" s="276"/>
      <c r="K700" s="276"/>
      <c r="L700" s="276"/>
      <c r="M700" s="276"/>
      <c r="N700" s="276"/>
      <c r="O700" s="276"/>
      <c r="P700" s="276"/>
      <c r="Q700" s="276"/>
      <c r="R700" s="276"/>
      <c r="S700" s="276"/>
      <c r="T700" s="276"/>
      <c r="U700" s="276"/>
      <c r="V700" s="276"/>
      <c r="W700" s="276"/>
      <c r="X700" s="276"/>
      <c r="Y700" s="276"/>
      <c r="Z700" s="276"/>
    </row>
    <row r="701" spans="1:26" ht="18.75" customHeight="1">
      <c r="A701" s="276"/>
      <c r="B701" s="276"/>
      <c r="C701" s="276"/>
      <c r="D701" s="276"/>
      <c r="E701" s="276"/>
      <c r="F701" s="276"/>
      <c r="G701" s="276"/>
      <c r="H701" s="276"/>
      <c r="I701" s="276"/>
      <c r="J701" s="276"/>
      <c r="K701" s="276"/>
      <c r="L701" s="276"/>
      <c r="M701" s="276"/>
      <c r="N701" s="276"/>
      <c r="O701" s="276"/>
      <c r="P701" s="276"/>
      <c r="Q701" s="276"/>
      <c r="R701" s="276"/>
      <c r="S701" s="276"/>
      <c r="T701" s="276"/>
      <c r="U701" s="276"/>
      <c r="V701" s="276"/>
      <c r="W701" s="276"/>
      <c r="X701" s="276"/>
      <c r="Y701" s="276"/>
      <c r="Z701" s="276"/>
    </row>
    <row r="702" spans="1:26" ht="18.75" customHeight="1">
      <c r="A702" s="276"/>
      <c r="B702" s="276"/>
      <c r="C702" s="276"/>
      <c r="D702" s="276"/>
      <c r="E702" s="276"/>
      <c r="F702" s="276"/>
      <c r="G702" s="276"/>
      <c r="H702" s="276"/>
      <c r="I702" s="276"/>
      <c r="J702" s="276"/>
      <c r="K702" s="276"/>
      <c r="L702" s="276"/>
      <c r="M702" s="276"/>
      <c r="N702" s="276"/>
      <c r="O702" s="276"/>
      <c r="P702" s="276"/>
      <c r="Q702" s="276"/>
      <c r="R702" s="276"/>
      <c r="S702" s="276"/>
      <c r="T702" s="276"/>
      <c r="U702" s="276"/>
      <c r="V702" s="276"/>
      <c r="W702" s="276"/>
      <c r="X702" s="276"/>
      <c r="Y702" s="276"/>
      <c r="Z702" s="276"/>
    </row>
    <row r="703" spans="1:26" ht="18.75" customHeight="1">
      <c r="A703" s="276"/>
      <c r="B703" s="276"/>
      <c r="C703" s="276"/>
      <c r="D703" s="276"/>
      <c r="E703" s="276"/>
      <c r="F703" s="276"/>
      <c r="G703" s="276"/>
      <c r="H703" s="276"/>
      <c r="I703" s="276"/>
      <c r="J703" s="276"/>
      <c r="K703" s="276"/>
      <c r="L703" s="276"/>
      <c r="M703" s="276"/>
      <c r="N703" s="276"/>
      <c r="O703" s="276"/>
      <c r="P703" s="276"/>
      <c r="Q703" s="276"/>
      <c r="R703" s="276"/>
      <c r="S703" s="276"/>
      <c r="T703" s="276"/>
      <c r="U703" s="276"/>
      <c r="V703" s="276"/>
      <c r="W703" s="276"/>
      <c r="X703" s="276"/>
      <c r="Y703" s="276"/>
      <c r="Z703" s="276"/>
    </row>
    <row r="704" spans="1:26" ht="18.75" customHeight="1">
      <c r="A704" s="276"/>
      <c r="B704" s="276"/>
      <c r="C704" s="276"/>
      <c r="D704" s="276"/>
      <c r="E704" s="276"/>
      <c r="F704" s="276"/>
      <c r="G704" s="276"/>
      <c r="H704" s="276"/>
      <c r="I704" s="276"/>
      <c r="J704" s="276"/>
      <c r="K704" s="276"/>
      <c r="L704" s="276"/>
      <c r="M704" s="276"/>
      <c r="N704" s="276"/>
      <c r="O704" s="276"/>
      <c r="P704" s="276"/>
      <c r="Q704" s="276"/>
      <c r="R704" s="276"/>
      <c r="S704" s="276"/>
      <c r="T704" s="276"/>
      <c r="U704" s="276"/>
      <c r="V704" s="276"/>
      <c r="W704" s="276"/>
      <c r="X704" s="276"/>
      <c r="Y704" s="276"/>
      <c r="Z704" s="276"/>
    </row>
    <row r="705" spans="1:26" ht="18.75" customHeight="1">
      <c r="A705" s="276"/>
      <c r="B705" s="276"/>
      <c r="C705" s="276"/>
      <c r="D705" s="276"/>
      <c r="E705" s="276"/>
      <c r="F705" s="276"/>
      <c r="G705" s="276"/>
      <c r="H705" s="276"/>
      <c r="I705" s="276"/>
      <c r="J705" s="276"/>
      <c r="K705" s="276"/>
      <c r="L705" s="276"/>
      <c r="M705" s="276"/>
      <c r="N705" s="276"/>
      <c r="O705" s="276"/>
      <c r="P705" s="276"/>
      <c r="Q705" s="276"/>
      <c r="R705" s="276"/>
      <c r="S705" s="276"/>
      <c r="T705" s="276"/>
      <c r="U705" s="276"/>
      <c r="V705" s="276"/>
      <c r="W705" s="276"/>
      <c r="X705" s="276"/>
      <c r="Y705" s="276"/>
      <c r="Z705" s="276"/>
    </row>
    <row r="706" spans="1:26" ht="18.75" customHeight="1">
      <c r="A706" s="276"/>
      <c r="B706" s="276"/>
      <c r="C706" s="276"/>
      <c r="D706" s="276"/>
      <c r="E706" s="276"/>
      <c r="F706" s="276"/>
      <c r="G706" s="276"/>
      <c r="H706" s="276"/>
      <c r="I706" s="276"/>
      <c r="J706" s="276"/>
      <c r="K706" s="276"/>
      <c r="L706" s="276"/>
      <c r="M706" s="276"/>
      <c r="N706" s="276"/>
      <c r="O706" s="276"/>
      <c r="P706" s="276"/>
      <c r="Q706" s="276"/>
      <c r="R706" s="276"/>
      <c r="S706" s="276"/>
      <c r="T706" s="276"/>
      <c r="U706" s="276"/>
      <c r="V706" s="276"/>
      <c r="W706" s="276"/>
      <c r="X706" s="276"/>
      <c r="Y706" s="276"/>
      <c r="Z706" s="276"/>
    </row>
    <row r="707" spans="1:26" ht="18.75" customHeight="1">
      <c r="A707" s="276"/>
      <c r="B707" s="276"/>
      <c r="C707" s="276"/>
      <c r="D707" s="276"/>
      <c r="E707" s="276"/>
      <c r="F707" s="276"/>
      <c r="G707" s="276"/>
      <c r="H707" s="276"/>
      <c r="I707" s="276"/>
      <c r="J707" s="276"/>
      <c r="K707" s="276"/>
      <c r="L707" s="276"/>
      <c r="M707" s="276"/>
      <c r="N707" s="276"/>
      <c r="O707" s="276"/>
      <c r="P707" s="276"/>
      <c r="Q707" s="276"/>
      <c r="R707" s="276"/>
      <c r="S707" s="276"/>
      <c r="T707" s="276"/>
      <c r="U707" s="276"/>
      <c r="V707" s="276"/>
      <c r="W707" s="276"/>
      <c r="X707" s="276"/>
      <c r="Y707" s="276"/>
      <c r="Z707" s="276"/>
    </row>
    <row r="708" spans="1:26" ht="18.75" customHeight="1">
      <c r="A708" s="276"/>
      <c r="B708" s="276"/>
      <c r="C708" s="276"/>
      <c r="D708" s="276"/>
      <c r="E708" s="276"/>
      <c r="F708" s="276"/>
      <c r="G708" s="276"/>
      <c r="H708" s="276"/>
      <c r="I708" s="276"/>
      <c r="J708" s="276"/>
      <c r="K708" s="276"/>
      <c r="L708" s="276"/>
      <c r="M708" s="276"/>
      <c r="N708" s="276"/>
      <c r="O708" s="276"/>
      <c r="P708" s="276"/>
      <c r="Q708" s="276"/>
      <c r="R708" s="276"/>
      <c r="S708" s="276"/>
      <c r="T708" s="276"/>
      <c r="U708" s="276"/>
      <c r="V708" s="276"/>
      <c r="W708" s="276"/>
      <c r="X708" s="276"/>
      <c r="Y708" s="276"/>
      <c r="Z708" s="276"/>
    </row>
    <row r="709" spans="1:26" ht="18.75" customHeight="1">
      <c r="A709" s="276"/>
      <c r="B709" s="276"/>
      <c r="C709" s="276"/>
      <c r="D709" s="276"/>
      <c r="E709" s="276"/>
      <c r="F709" s="276"/>
      <c r="G709" s="276"/>
      <c r="H709" s="276"/>
      <c r="I709" s="276"/>
      <c r="J709" s="276"/>
      <c r="K709" s="276"/>
      <c r="L709" s="276"/>
      <c r="M709" s="276"/>
      <c r="N709" s="276"/>
      <c r="O709" s="276"/>
      <c r="P709" s="276"/>
      <c r="Q709" s="276"/>
      <c r="R709" s="276"/>
      <c r="S709" s="276"/>
      <c r="T709" s="276"/>
      <c r="U709" s="276"/>
      <c r="V709" s="276"/>
      <c r="W709" s="276"/>
      <c r="X709" s="276"/>
      <c r="Y709" s="276"/>
      <c r="Z709" s="276"/>
    </row>
    <row r="710" spans="1:26" ht="18.75" customHeight="1">
      <c r="A710" s="276"/>
      <c r="B710" s="276"/>
      <c r="C710" s="276"/>
      <c r="D710" s="276"/>
      <c r="E710" s="276"/>
      <c r="F710" s="276"/>
      <c r="G710" s="276"/>
      <c r="H710" s="276"/>
      <c r="I710" s="276"/>
      <c r="J710" s="276"/>
      <c r="K710" s="276"/>
      <c r="L710" s="276"/>
      <c r="M710" s="276"/>
      <c r="N710" s="276"/>
      <c r="O710" s="276"/>
      <c r="P710" s="276"/>
      <c r="Q710" s="276"/>
      <c r="R710" s="276"/>
      <c r="S710" s="276"/>
      <c r="T710" s="276"/>
      <c r="U710" s="276"/>
      <c r="V710" s="276"/>
      <c r="W710" s="276"/>
      <c r="X710" s="276"/>
      <c r="Y710" s="276"/>
      <c r="Z710" s="276"/>
    </row>
    <row r="711" spans="1:26" ht="18.75" customHeight="1">
      <c r="A711" s="276"/>
      <c r="B711" s="276"/>
      <c r="C711" s="276"/>
      <c r="D711" s="276"/>
      <c r="E711" s="276"/>
      <c r="F711" s="276"/>
      <c r="G711" s="276"/>
      <c r="H711" s="276"/>
      <c r="I711" s="276"/>
      <c r="J711" s="276"/>
      <c r="K711" s="276"/>
      <c r="L711" s="276"/>
      <c r="M711" s="276"/>
      <c r="N711" s="276"/>
      <c r="O711" s="276"/>
      <c r="P711" s="276"/>
      <c r="Q711" s="276"/>
      <c r="R711" s="276"/>
      <c r="S711" s="276"/>
      <c r="T711" s="276"/>
      <c r="U711" s="276"/>
      <c r="V711" s="276"/>
      <c r="W711" s="276"/>
      <c r="X711" s="276"/>
      <c r="Y711" s="276"/>
      <c r="Z711" s="276"/>
    </row>
    <row r="712" spans="1:26" ht="18.75" customHeight="1">
      <c r="A712" s="276"/>
      <c r="B712" s="276"/>
      <c r="C712" s="276"/>
      <c r="D712" s="276"/>
      <c r="E712" s="276"/>
      <c r="F712" s="276"/>
      <c r="G712" s="276"/>
      <c r="H712" s="276"/>
      <c r="I712" s="276"/>
      <c r="J712" s="276"/>
      <c r="K712" s="276"/>
      <c r="L712" s="276"/>
      <c r="M712" s="276"/>
      <c r="N712" s="276"/>
      <c r="O712" s="276"/>
      <c r="P712" s="276"/>
      <c r="Q712" s="276"/>
      <c r="R712" s="276"/>
      <c r="S712" s="276"/>
      <c r="T712" s="276"/>
      <c r="U712" s="276"/>
      <c r="V712" s="276"/>
      <c r="W712" s="276"/>
      <c r="X712" s="276"/>
      <c r="Y712" s="276"/>
      <c r="Z712" s="276"/>
    </row>
    <row r="713" spans="1:26" ht="18.75" customHeight="1">
      <c r="A713" s="276"/>
      <c r="B713" s="276"/>
      <c r="C713" s="276"/>
      <c r="D713" s="276"/>
      <c r="E713" s="276"/>
      <c r="F713" s="276"/>
      <c r="G713" s="276"/>
      <c r="H713" s="276"/>
      <c r="I713" s="276"/>
      <c r="J713" s="276"/>
      <c r="K713" s="276"/>
      <c r="L713" s="276"/>
      <c r="M713" s="276"/>
      <c r="N713" s="276"/>
      <c r="O713" s="276"/>
      <c r="P713" s="276"/>
      <c r="Q713" s="276"/>
      <c r="R713" s="276"/>
      <c r="S713" s="276"/>
      <c r="T713" s="276"/>
      <c r="U713" s="276"/>
      <c r="V713" s="276"/>
      <c r="W713" s="276"/>
      <c r="X713" s="276"/>
      <c r="Y713" s="276"/>
      <c r="Z713" s="276"/>
    </row>
    <row r="714" spans="1:26" ht="18.75" customHeight="1">
      <c r="A714" s="276"/>
      <c r="B714" s="276"/>
      <c r="C714" s="276"/>
      <c r="D714" s="276"/>
      <c r="E714" s="276"/>
      <c r="F714" s="276"/>
      <c r="G714" s="276"/>
      <c r="H714" s="276"/>
      <c r="I714" s="276"/>
      <c r="J714" s="276"/>
      <c r="K714" s="276"/>
      <c r="L714" s="276"/>
      <c r="M714" s="276"/>
      <c r="N714" s="276"/>
      <c r="O714" s="276"/>
      <c r="P714" s="276"/>
      <c r="Q714" s="276"/>
      <c r="R714" s="276"/>
      <c r="S714" s="276"/>
      <c r="T714" s="276"/>
      <c r="U714" s="276"/>
      <c r="V714" s="276"/>
      <c r="W714" s="276"/>
      <c r="X714" s="276"/>
      <c r="Y714" s="276"/>
      <c r="Z714" s="276"/>
    </row>
    <row r="715" spans="1:26" ht="18.75" customHeight="1">
      <c r="A715" s="276"/>
      <c r="B715" s="276"/>
      <c r="C715" s="276"/>
      <c r="D715" s="276"/>
      <c r="E715" s="276"/>
      <c r="F715" s="276"/>
      <c r="G715" s="276"/>
      <c r="H715" s="276"/>
      <c r="I715" s="276"/>
      <c r="J715" s="276"/>
      <c r="K715" s="276"/>
      <c r="L715" s="276"/>
      <c r="M715" s="276"/>
      <c r="N715" s="276"/>
      <c r="O715" s="276"/>
      <c r="P715" s="276"/>
      <c r="Q715" s="276"/>
      <c r="R715" s="276"/>
      <c r="S715" s="276"/>
      <c r="T715" s="276"/>
      <c r="U715" s="276"/>
      <c r="V715" s="276"/>
      <c r="W715" s="276"/>
      <c r="X715" s="276"/>
      <c r="Y715" s="276"/>
      <c r="Z715" s="276"/>
    </row>
    <row r="716" spans="1:26" ht="18.75" customHeight="1">
      <c r="A716" s="276"/>
      <c r="B716" s="276"/>
      <c r="C716" s="276"/>
      <c r="D716" s="276"/>
      <c r="E716" s="276"/>
      <c r="F716" s="276"/>
      <c r="G716" s="276"/>
      <c r="H716" s="276"/>
      <c r="I716" s="276"/>
      <c r="J716" s="276"/>
      <c r="K716" s="276"/>
      <c r="L716" s="276"/>
      <c r="M716" s="276"/>
      <c r="N716" s="276"/>
      <c r="O716" s="276"/>
      <c r="P716" s="276"/>
      <c r="Q716" s="276"/>
      <c r="R716" s="276"/>
      <c r="S716" s="276"/>
      <c r="T716" s="276"/>
      <c r="U716" s="276"/>
      <c r="V716" s="276"/>
      <c r="W716" s="276"/>
      <c r="X716" s="276"/>
      <c r="Y716" s="276"/>
      <c r="Z716" s="276"/>
    </row>
    <row r="717" spans="1:26" ht="18.75" customHeight="1">
      <c r="A717" s="276"/>
      <c r="B717" s="276"/>
      <c r="C717" s="276"/>
      <c r="D717" s="276"/>
      <c r="E717" s="276"/>
      <c r="F717" s="276"/>
      <c r="G717" s="276"/>
      <c r="H717" s="276"/>
      <c r="I717" s="276"/>
      <c r="J717" s="276"/>
      <c r="K717" s="276"/>
      <c r="L717" s="276"/>
      <c r="M717" s="276"/>
      <c r="N717" s="276"/>
      <c r="O717" s="276"/>
      <c r="P717" s="276"/>
      <c r="Q717" s="276"/>
      <c r="R717" s="276"/>
      <c r="S717" s="276"/>
      <c r="T717" s="276"/>
      <c r="U717" s="276"/>
      <c r="V717" s="276"/>
      <c r="W717" s="276"/>
      <c r="X717" s="276"/>
      <c r="Y717" s="276"/>
      <c r="Z717" s="276"/>
    </row>
    <row r="718" spans="1:26" ht="18.75" customHeight="1">
      <c r="A718" s="276"/>
      <c r="B718" s="276"/>
      <c r="C718" s="276"/>
      <c r="D718" s="276"/>
      <c r="E718" s="276"/>
      <c r="F718" s="276"/>
      <c r="G718" s="276"/>
      <c r="H718" s="276"/>
      <c r="I718" s="276"/>
      <c r="J718" s="276"/>
      <c r="K718" s="276"/>
      <c r="L718" s="276"/>
      <c r="M718" s="276"/>
      <c r="N718" s="276"/>
      <c r="O718" s="276"/>
      <c r="P718" s="276"/>
      <c r="Q718" s="276"/>
      <c r="R718" s="276"/>
      <c r="S718" s="276"/>
      <c r="T718" s="276"/>
      <c r="U718" s="276"/>
      <c r="V718" s="276"/>
      <c r="W718" s="276"/>
      <c r="X718" s="276"/>
      <c r="Y718" s="276"/>
      <c r="Z718" s="276"/>
    </row>
    <row r="719" spans="1:26" ht="18.75" customHeight="1">
      <c r="A719" s="276"/>
      <c r="B719" s="276"/>
      <c r="C719" s="276"/>
      <c r="D719" s="276"/>
      <c r="E719" s="276"/>
      <c r="F719" s="276"/>
      <c r="G719" s="276"/>
      <c r="H719" s="276"/>
      <c r="I719" s="276"/>
      <c r="J719" s="276"/>
      <c r="K719" s="276"/>
      <c r="L719" s="276"/>
      <c r="M719" s="276"/>
      <c r="N719" s="276"/>
      <c r="O719" s="276"/>
      <c r="P719" s="276"/>
      <c r="Q719" s="276"/>
      <c r="R719" s="276"/>
      <c r="S719" s="276"/>
      <c r="T719" s="276"/>
      <c r="U719" s="276"/>
      <c r="V719" s="276"/>
      <c r="W719" s="276"/>
      <c r="X719" s="276"/>
      <c r="Y719" s="276"/>
      <c r="Z719" s="276"/>
    </row>
    <row r="720" spans="1:26" ht="18.75" customHeight="1">
      <c r="A720" s="276"/>
      <c r="B720" s="276"/>
      <c r="C720" s="276"/>
      <c r="D720" s="276"/>
      <c r="E720" s="276"/>
      <c r="F720" s="276"/>
      <c r="G720" s="276"/>
      <c r="H720" s="276"/>
      <c r="I720" s="276"/>
      <c r="J720" s="276"/>
      <c r="K720" s="276"/>
      <c r="L720" s="276"/>
      <c r="M720" s="276"/>
      <c r="N720" s="276"/>
      <c r="O720" s="276"/>
      <c r="P720" s="276"/>
      <c r="Q720" s="276"/>
      <c r="R720" s="276"/>
      <c r="S720" s="276"/>
      <c r="T720" s="276"/>
      <c r="U720" s="276"/>
      <c r="V720" s="276"/>
      <c r="W720" s="276"/>
      <c r="X720" s="276"/>
      <c r="Y720" s="276"/>
      <c r="Z720" s="276"/>
    </row>
    <row r="721" spans="1:26" ht="18.75" customHeight="1">
      <c r="A721" s="276"/>
      <c r="B721" s="276"/>
      <c r="C721" s="276"/>
      <c r="D721" s="276"/>
      <c r="E721" s="276"/>
      <c r="F721" s="276"/>
      <c r="G721" s="276"/>
      <c r="H721" s="276"/>
      <c r="I721" s="276"/>
      <c r="J721" s="276"/>
      <c r="K721" s="276"/>
      <c r="L721" s="276"/>
      <c r="M721" s="276"/>
      <c r="N721" s="276"/>
      <c r="O721" s="276"/>
      <c r="P721" s="276"/>
      <c r="Q721" s="276"/>
      <c r="R721" s="276"/>
      <c r="S721" s="276"/>
      <c r="T721" s="276"/>
      <c r="U721" s="276"/>
      <c r="V721" s="276"/>
      <c r="W721" s="276"/>
      <c r="X721" s="276"/>
      <c r="Y721" s="276"/>
      <c r="Z721" s="276"/>
    </row>
    <row r="722" spans="1:26" ht="18.75" customHeight="1">
      <c r="A722" s="276"/>
      <c r="B722" s="276"/>
      <c r="C722" s="276"/>
      <c r="D722" s="276"/>
      <c r="E722" s="276"/>
      <c r="F722" s="276"/>
      <c r="G722" s="276"/>
      <c r="H722" s="276"/>
      <c r="I722" s="276"/>
      <c r="J722" s="276"/>
      <c r="K722" s="276"/>
      <c r="L722" s="276"/>
      <c r="M722" s="276"/>
      <c r="N722" s="276"/>
      <c r="O722" s="276"/>
      <c r="P722" s="276"/>
      <c r="Q722" s="276"/>
      <c r="R722" s="276"/>
      <c r="S722" s="276"/>
      <c r="T722" s="276"/>
      <c r="U722" s="276"/>
      <c r="V722" s="276"/>
      <c r="W722" s="276"/>
      <c r="X722" s="276"/>
      <c r="Y722" s="276"/>
      <c r="Z722" s="276"/>
    </row>
    <row r="723" spans="1:26" ht="18.75" customHeight="1">
      <c r="A723" s="276"/>
      <c r="B723" s="276"/>
      <c r="C723" s="276"/>
      <c r="D723" s="276"/>
      <c r="E723" s="276"/>
      <c r="F723" s="276"/>
      <c r="G723" s="276"/>
      <c r="H723" s="276"/>
      <c r="I723" s="276"/>
      <c r="J723" s="276"/>
      <c r="K723" s="276"/>
      <c r="L723" s="276"/>
      <c r="M723" s="276"/>
      <c r="N723" s="276"/>
      <c r="O723" s="276"/>
      <c r="P723" s="276"/>
      <c r="Q723" s="276"/>
      <c r="R723" s="276"/>
      <c r="S723" s="276"/>
      <c r="T723" s="276"/>
      <c r="U723" s="276"/>
      <c r="V723" s="276"/>
      <c r="W723" s="276"/>
      <c r="X723" s="276"/>
      <c r="Y723" s="276"/>
      <c r="Z723" s="276"/>
    </row>
    <row r="724" spans="1:26" ht="18.75" customHeight="1">
      <c r="A724" s="276"/>
      <c r="B724" s="276"/>
      <c r="C724" s="276"/>
      <c r="D724" s="276"/>
      <c r="E724" s="276"/>
      <c r="F724" s="276"/>
      <c r="G724" s="276"/>
      <c r="H724" s="276"/>
      <c r="I724" s="276"/>
      <c r="J724" s="276"/>
      <c r="K724" s="276"/>
      <c r="L724" s="276"/>
      <c r="M724" s="276"/>
      <c r="N724" s="276"/>
      <c r="O724" s="276"/>
      <c r="P724" s="276"/>
      <c r="Q724" s="276"/>
      <c r="R724" s="276"/>
      <c r="S724" s="276"/>
      <c r="T724" s="276"/>
      <c r="U724" s="276"/>
      <c r="V724" s="276"/>
      <c r="W724" s="276"/>
      <c r="X724" s="276"/>
      <c r="Y724" s="276"/>
      <c r="Z724" s="276"/>
    </row>
    <row r="725" spans="1:26" ht="18.75" customHeight="1">
      <c r="A725" s="276"/>
      <c r="B725" s="276"/>
      <c r="C725" s="276"/>
      <c r="D725" s="276"/>
      <c r="E725" s="276"/>
      <c r="F725" s="276"/>
      <c r="G725" s="276"/>
      <c r="H725" s="276"/>
      <c r="I725" s="276"/>
      <c r="J725" s="276"/>
      <c r="K725" s="276"/>
      <c r="L725" s="276"/>
      <c r="M725" s="276"/>
      <c r="N725" s="276"/>
      <c r="O725" s="276"/>
      <c r="P725" s="276"/>
      <c r="Q725" s="276"/>
      <c r="R725" s="276"/>
      <c r="S725" s="276"/>
      <c r="T725" s="276"/>
      <c r="U725" s="276"/>
      <c r="V725" s="276"/>
      <c r="W725" s="276"/>
      <c r="X725" s="276"/>
      <c r="Y725" s="276"/>
      <c r="Z725" s="276"/>
    </row>
    <row r="726" spans="1:26" ht="18.75" customHeight="1">
      <c r="A726" s="276"/>
      <c r="B726" s="276"/>
      <c r="C726" s="276"/>
      <c r="D726" s="276"/>
      <c r="E726" s="276"/>
      <c r="F726" s="276"/>
      <c r="G726" s="276"/>
      <c r="H726" s="276"/>
      <c r="I726" s="276"/>
      <c r="J726" s="276"/>
      <c r="K726" s="276"/>
      <c r="L726" s="276"/>
      <c r="M726" s="276"/>
      <c r="N726" s="276"/>
      <c r="O726" s="276"/>
      <c r="P726" s="276"/>
      <c r="Q726" s="276"/>
      <c r="R726" s="276"/>
      <c r="S726" s="276"/>
      <c r="T726" s="276"/>
      <c r="U726" s="276"/>
      <c r="V726" s="276"/>
      <c r="W726" s="276"/>
      <c r="X726" s="276"/>
      <c r="Y726" s="276"/>
      <c r="Z726" s="276"/>
    </row>
    <row r="727" spans="1:26" ht="18.75" customHeight="1">
      <c r="A727" s="276"/>
      <c r="B727" s="276"/>
      <c r="C727" s="276"/>
      <c r="D727" s="276"/>
      <c r="E727" s="276"/>
      <c r="F727" s="276"/>
      <c r="G727" s="276"/>
      <c r="H727" s="276"/>
      <c r="I727" s="276"/>
      <c r="J727" s="276"/>
      <c r="K727" s="276"/>
      <c r="L727" s="276"/>
      <c r="M727" s="276"/>
      <c r="N727" s="276"/>
      <c r="O727" s="276"/>
      <c r="P727" s="276"/>
      <c r="Q727" s="276"/>
      <c r="R727" s="276"/>
      <c r="S727" s="276"/>
      <c r="T727" s="276"/>
      <c r="U727" s="276"/>
      <c r="V727" s="276"/>
      <c r="W727" s="276"/>
      <c r="X727" s="276"/>
      <c r="Y727" s="276"/>
      <c r="Z727" s="276"/>
    </row>
    <row r="728" spans="1:26" ht="18.75" customHeight="1">
      <c r="A728" s="276"/>
      <c r="B728" s="276"/>
      <c r="C728" s="276"/>
      <c r="D728" s="276"/>
      <c r="E728" s="276"/>
      <c r="F728" s="276"/>
      <c r="G728" s="276"/>
      <c r="H728" s="276"/>
      <c r="I728" s="276"/>
      <c r="J728" s="276"/>
      <c r="K728" s="276"/>
      <c r="L728" s="276"/>
      <c r="M728" s="276"/>
      <c r="N728" s="276"/>
      <c r="O728" s="276"/>
      <c r="P728" s="276"/>
      <c r="Q728" s="276"/>
      <c r="R728" s="276"/>
      <c r="S728" s="276"/>
      <c r="T728" s="276"/>
      <c r="U728" s="276"/>
      <c r="V728" s="276"/>
      <c r="W728" s="276"/>
      <c r="X728" s="276"/>
      <c r="Y728" s="276"/>
      <c r="Z728" s="276"/>
    </row>
    <row r="729" spans="1:26" ht="18.75" customHeight="1">
      <c r="A729" s="276"/>
      <c r="B729" s="276"/>
      <c r="C729" s="276"/>
      <c r="D729" s="276"/>
      <c r="E729" s="276"/>
      <c r="F729" s="276"/>
      <c r="G729" s="276"/>
      <c r="H729" s="276"/>
      <c r="I729" s="276"/>
      <c r="J729" s="276"/>
      <c r="K729" s="276"/>
      <c r="L729" s="276"/>
      <c r="M729" s="276"/>
      <c r="N729" s="276"/>
      <c r="O729" s="276"/>
      <c r="P729" s="276"/>
      <c r="Q729" s="276"/>
      <c r="R729" s="276"/>
      <c r="S729" s="276"/>
      <c r="T729" s="276"/>
      <c r="U729" s="276"/>
      <c r="V729" s="276"/>
      <c r="W729" s="276"/>
      <c r="X729" s="276"/>
      <c r="Y729" s="276"/>
      <c r="Z729" s="276"/>
    </row>
    <row r="730" spans="1:26" ht="18.75" customHeight="1">
      <c r="A730" s="276"/>
      <c r="B730" s="276"/>
      <c r="C730" s="276"/>
      <c r="D730" s="276"/>
      <c r="E730" s="276"/>
      <c r="F730" s="276"/>
      <c r="G730" s="276"/>
      <c r="H730" s="276"/>
      <c r="I730" s="276"/>
      <c r="J730" s="276"/>
      <c r="K730" s="276"/>
      <c r="L730" s="276"/>
      <c r="M730" s="276"/>
      <c r="N730" s="276"/>
      <c r="O730" s="276"/>
      <c r="P730" s="276"/>
      <c r="Q730" s="276"/>
      <c r="R730" s="276"/>
      <c r="S730" s="276"/>
      <c r="T730" s="276"/>
      <c r="U730" s="276"/>
      <c r="V730" s="276"/>
      <c r="W730" s="276"/>
      <c r="X730" s="276"/>
      <c r="Y730" s="276"/>
      <c r="Z730" s="276"/>
    </row>
    <row r="731" spans="1:26" ht="18.75" customHeight="1">
      <c r="A731" s="276"/>
      <c r="B731" s="276"/>
      <c r="C731" s="276"/>
      <c r="D731" s="276"/>
      <c r="E731" s="276"/>
      <c r="F731" s="276"/>
      <c r="G731" s="276"/>
      <c r="H731" s="276"/>
      <c r="I731" s="276"/>
      <c r="J731" s="276"/>
      <c r="K731" s="276"/>
      <c r="L731" s="276"/>
      <c r="M731" s="276"/>
      <c r="N731" s="276"/>
      <c r="O731" s="276"/>
      <c r="P731" s="276"/>
      <c r="Q731" s="276"/>
      <c r="R731" s="276"/>
      <c r="S731" s="276"/>
      <c r="T731" s="276"/>
      <c r="U731" s="276"/>
      <c r="V731" s="276"/>
      <c r="W731" s="276"/>
      <c r="X731" s="276"/>
      <c r="Y731" s="276"/>
      <c r="Z731" s="276"/>
    </row>
    <row r="732" spans="1:26" ht="18.75" customHeight="1">
      <c r="A732" s="276"/>
      <c r="B732" s="276"/>
      <c r="C732" s="276"/>
      <c r="D732" s="276"/>
      <c r="E732" s="276"/>
      <c r="F732" s="276"/>
      <c r="G732" s="276"/>
      <c r="H732" s="276"/>
      <c r="I732" s="276"/>
      <c r="J732" s="276"/>
      <c r="K732" s="276"/>
      <c r="L732" s="276"/>
      <c r="M732" s="276"/>
      <c r="N732" s="276"/>
      <c r="O732" s="276"/>
      <c r="P732" s="276"/>
      <c r="Q732" s="276"/>
      <c r="R732" s="276"/>
      <c r="S732" s="276"/>
      <c r="T732" s="276"/>
      <c r="U732" s="276"/>
      <c r="V732" s="276"/>
      <c r="W732" s="276"/>
      <c r="X732" s="276"/>
      <c r="Y732" s="276"/>
      <c r="Z732" s="276"/>
    </row>
    <row r="733" spans="1:26" ht="18.75" customHeight="1">
      <c r="A733" s="276"/>
      <c r="B733" s="276"/>
      <c r="C733" s="276"/>
      <c r="D733" s="276"/>
      <c r="E733" s="276"/>
      <c r="F733" s="276"/>
      <c r="G733" s="276"/>
      <c r="H733" s="276"/>
      <c r="I733" s="276"/>
      <c r="J733" s="276"/>
      <c r="K733" s="276"/>
      <c r="L733" s="276"/>
      <c r="M733" s="276"/>
      <c r="N733" s="276"/>
      <c r="O733" s="276"/>
      <c r="P733" s="276"/>
      <c r="Q733" s="276"/>
      <c r="R733" s="276"/>
      <c r="S733" s="276"/>
      <c r="T733" s="276"/>
      <c r="U733" s="276"/>
      <c r="V733" s="276"/>
      <c r="W733" s="276"/>
      <c r="X733" s="276"/>
      <c r="Y733" s="276"/>
      <c r="Z733" s="276"/>
    </row>
    <row r="734" spans="1:26" ht="18.75" customHeight="1">
      <c r="A734" s="276"/>
      <c r="B734" s="276"/>
      <c r="C734" s="276"/>
      <c r="D734" s="276"/>
      <c r="E734" s="276"/>
      <c r="F734" s="276"/>
      <c r="G734" s="276"/>
      <c r="H734" s="276"/>
      <c r="I734" s="276"/>
      <c r="J734" s="276"/>
      <c r="K734" s="276"/>
      <c r="L734" s="276"/>
      <c r="M734" s="276"/>
      <c r="N734" s="276"/>
      <c r="O734" s="276"/>
      <c r="P734" s="276"/>
      <c r="Q734" s="276"/>
      <c r="R734" s="276"/>
      <c r="S734" s="276"/>
      <c r="T734" s="276"/>
      <c r="U734" s="276"/>
      <c r="V734" s="276"/>
      <c r="W734" s="276"/>
      <c r="X734" s="276"/>
      <c r="Y734" s="276"/>
      <c r="Z734" s="276"/>
    </row>
    <row r="735" spans="1:26" ht="18.75" customHeight="1">
      <c r="A735" s="276"/>
      <c r="B735" s="276"/>
      <c r="C735" s="276"/>
      <c r="D735" s="276"/>
      <c r="E735" s="276"/>
      <c r="F735" s="276"/>
      <c r="G735" s="276"/>
      <c r="H735" s="276"/>
      <c r="I735" s="276"/>
      <c r="J735" s="276"/>
      <c r="K735" s="276"/>
      <c r="L735" s="276"/>
      <c r="M735" s="276"/>
      <c r="N735" s="276"/>
      <c r="O735" s="276"/>
      <c r="P735" s="276"/>
      <c r="Q735" s="276"/>
      <c r="R735" s="276"/>
      <c r="S735" s="276"/>
      <c r="T735" s="276"/>
      <c r="U735" s="276"/>
      <c r="V735" s="276"/>
      <c r="W735" s="276"/>
      <c r="X735" s="276"/>
      <c r="Y735" s="276"/>
      <c r="Z735" s="276"/>
    </row>
    <row r="736" spans="1:26" ht="18.75" customHeight="1">
      <c r="A736" s="276"/>
      <c r="B736" s="276"/>
      <c r="C736" s="276"/>
      <c r="D736" s="276"/>
      <c r="E736" s="276"/>
      <c r="F736" s="276"/>
      <c r="G736" s="276"/>
      <c r="H736" s="276"/>
      <c r="I736" s="276"/>
      <c r="J736" s="276"/>
      <c r="K736" s="276"/>
      <c r="L736" s="276"/>
      <c r="M736" s="276"/>
      <c r="N736" s="276"/>
      <c r="O736" s="276"/>
      <c r="P736" s="276"/>
      <c r="Q736" s="276"/>
      <c r="R736" s="276"/>
      <c r="S736" s="276"/>
      <c r="T736" s="276"/>
      <c r="U736" s="276"/>
      <c r="V736" s="276"/>
      <c r="W736" s="276"/>
      <c r="X736" s="276"/>
      <c r="Y736" s="276"/>
      <c r="Z736" s="276"/>
    </row>
    <row r="737" spans="1:26" ht="18.75" customHeight="1">
      <c r="A737" s="276"/>
      <c r="B737" s="276"/>
      <c r="C737" s="276"/>
      <c r="D737" s="276"/>
      <c r="E737" s="276"/>
      <c r="F737" s="276"/>
      <c r="G737" s="276"/>
      <c r="H737" s="276"/>
      <c r="I737" s="276"/>
      <c r="J737" s="276"/>
      <c r="K737" s="276"/>
      <c r="L737" s="276"/>
      <c r="M737" s="276"/>
      <c r="N737" s="276"/>
      <c r="O737" s="276"/>
      <c r="P737" s="276"/>
      <c r="Q737" s="276"/>
      <c r="R737" s="276"/>
      <c r="S737" s="276"/>
      <c r="T737" s="276"/>
      <c r="U737" s="276"/>
      <c r="V737" s="276"/>
      <c r="W737" s="276"/>
      <c r="X737" s="276"/>
      <c r="Y737" s="276"/>
      <c r="Z737" s="276"/>
    </row>
    <row r="738" spans="1:26" ht="18.75" customHeight="1">
      <c r="A738" s="276"/>
      <c r="B738" s="276"/>
      <c r="C738" s="276"/>
      <c r="D738" s="276"/>
      <c r="E738" s="276"/>
      <c r="F738" s="276"/>
      <c r="G738" s="276"/>
      <c r="H738" s="276"/>
      <c r="I738" s="276"/>
      <c r="J738" s="276"/>
      <c r="K738" s="276"/>
      <c r="L738" s="276"/>
      <c r="M738" s="276"/>
      <c r="N738" s="276"/>
      <c r="O738" s="276"/>
      <c r="P738" s="276"/>
      <c r="Q738" s="276"/>
      <c r="R738" s="276"/>
      <c r="S738" s="276"/>
      <c r="T738" s="276"/>
      <c r="U738" s="276"/>
      <c r="V738" s="276"/>
      <c r="W738" s="276"/>
      <c r="X738" s="276"/>
      <c r="Y738" s="276"/>
      <c r="Z738" s="276"/>
    </row>
    <row r="739" spans="1:26" ht="18.75" customHeight="1">
      <c r="A739" s="276"/>
      <c r="B739" s="276"/>
      <c r="C739" s="276"/>
      <c r="D739" s="276"/>
      <c r="E739" s="276"/>
      <c r="F739" s="276"/>
      <c r="G739" s="276"/>
      <c r="H739" s="276"/>
      <c r="I739" s="276"/>
      <c r="J739" s="276"/>
      <c r="K739" s="276"/>
      <c r="L739" s="276"/>
      <c r="M739" s="276"/>
      <c r="N739" s="276"/>
      <c r="O739" s="276"/>
      <c r="P739" s="276"/>
      <c r="Q739" s="276"/>
      <c r="R739" s="276"/>
      <c r="S739" s="276"/>
      <c r="T739" s="276"/>
      <c r="U739" s="276"/>
      <c r="V739" s="276"/>
      <c r="W739" s="276"/>
      <c r="X739" s="276"/>
      <c r="Y739" s="276"/>
      <c r="Z739" s="276"/>
    </row>
    <row r="740" spans="1:26" ht="18.75" customHeight="1">
      <c r="A740" s="276"/>
      <c r="B740" s="276"/>
      <c r="C740" s="276"/>
      <c r="D740" s="276"/>
      <c r="E740" s="276"/>
      <c r="F740" s="276"/>
      <c r="G740" s="276"/>
      <c r="H740" s="276"/>
      <c r="I740" s="276"/>
      <c r="J740" s="276"/>
      <c r="K740" s="276"/>
      <c r="L740" s="276"/>
      <c r="M740" s="276"/>
      <c r="N740" s="276"/>
      <c r="O740" s="276"/>
      <c r="P740" s="276"/>
      <c r="Q740" s="276"/>
      <c r="R740" s="276"/>
      <c r="S740" s="276"/>
      <c r="T740" s="276"/>
      <c r="U740" s="276"/>
      <c r="V740" s="276"/>
      <c r="W740" s="276"/>
      <c r="X740" s="276"/>
      <c r="Y740" s="276"/>
      <c r="Z740" s="276"/>
    </row>
    <row r="741" spans="1:26" ht="18.75" customHeight="1">
      <c r="A741" s="276"/>
      <c r="B741" s="276"/>
      <c r="C741" s="276"/>
      <c r="D741" s="276"/>
      <c r="E741" s="276"/>
      <c r="F741" s="276"/>
      <c r="G741" s="276"/>
      <c r="H741" s="276"/>
      <c r="I741" s="276"/>
      <c r="J741" s="276"/>
      <c r="K741" s="276"/>
      <c r="L741" s="276"/>
      <c r="M741" s="276"/>
      <c r="N741" s="276"/>
      <c r="O741" s="276"/>
      <c r="P741" s="276"/>
      <c r="Q741" s="276"/>
      <c r="R741" s="276"/>
      <c r="S741" s="276"/>
      <c r="T741" s="276"/>
      <c r="U741" s="276"/>
      <c r="V741" s="276"/>
      <c r="W741" s="276"/>
      <c r="X741" s="276"/>
      <c r="Y741" s="276"/>
      <c r="Z741" s="276"/>
    </row>
    <row r="742" spans="1:26" ht="18.75" customHeight="1">
      <c r="A742" s="276"/>
      <c r="B742" s="276"/>
      <c r="C742" s="276"/>
      <c r="D742" s="276"/>
      <c r="E742" s="276"/>
      <c r="F742" s="276"/>
      <c r="G742" s="276"/>
      <c r="H742" s="276"/>
      <c r="I742" s="276"/>
      <c r="J742" s="276"/>
      <c r="K742" s="276"/>
      <c r="L742" s="276"/>
      <c r="M742" s="276"/>
      <c r="N742" s="276"/>
      <c r="O742" s="276"/>
      <c r="P742" s="276"/>
      <c r="Q742" s="276"/>
      <c r="R742" s="276"/>
      <c r="S742" s="276"/>
      <c r="T742" s="276"/>
      <c r="U742" s="276"/>
      <c r="V742" s="276"/>
      <c r="W742" s="276"/>
      <c r="X742" s="276"/>
      <c r="Y742" s="276"/>
      <c r="Z742" s="276"/>
    </row>
    <row r="743" spans="1:26" ht="18.75" customHeight="1">
      <c r="A743" s="276"/>
      <c r="B743" s="276"/>
      <c r="C743" s="276"/>
      <c r="D743" s="276"/>
      <c r="E743" s="276"/>
      <c r="F743" s="276"/>
      <c r="G743" s="276"/>
      <c r="H743" s="276"/>
      <c r="I743" s="276"/>
      <c r="J743" s="276"/>
      <c r="K743" s="276"/>
      <c r="L743" s="276"/>
      <c r="M743" s="276"/>
      <c r="N743" s="276"/>
      <c r="O743" s="276"/>
      <c r="P743" s="276"/>
      <c r="Q743" s="276"/>
      <c r="R743" s="276"/>
      <c r="S743" s="276"/>
      <c r="T743" s="276"/>
      <c r="U743" s="276"/>
      <c r="V743" s="276"/>
      <c r="W743" s="276"/>
      <c r="X743" s="276"/>
      <c r="Y743" s="276"/>
      <c r="Z743" s="276"/>
    </row>
    <row r="744" spans="1:26" ht="18.75" customHeight="1">
      <c r="A744" s="276"/>
      <c r="B744" s="276"/>
      <c r="C744" s="276"/>
      <c r="D744" s="276"/>
      <c r="E744" s="276"/>
      <c r="F744" s="276"/>
      <c r="G744" s="276"/>
      <c r="H744" s="276"/>
      <c r="I744" s="276"/>
      <c r="J744" s="276"/>
      <c r="K744" s="276"/>
      <c r="L744" s="276"/>
      <c r="M744" s="276"/>
      <c r="N744" s="276"/>
      <c r="O744" s="276"/>
      <c r="P744" s="276"/>
      <c r="Q744" s="276"/>
      <c r="R744" s="276"/>
      <c r="S744" s="276"/>
      <c r="T744" s="276"/>
      <c r="U744" s="276"/>
      <c r="V744" s="276"/>
      <c r="W744" s="276"/>
      <c r="X744" s="276"/>
      <c r="Y744" s="276"/>
      <c r="Z744" s="276"/>
    </row>
    <row r="745" spans="1:26" ht="18.75" customHeight="1">
      <c r="A745" s="276"/>
      <c r="B745" s="276"/>
      <c r="C745" s="276"/>
      <c r="D745" s="276"/>
      <c r="E745" s="276"/>
      <c r="F745" s="276"/>
      <c r="G745" s="276"/>
      <c r="H745" s="276"/>
      <c r="I745" s="276"/>
      <c r="J745" s="276"/>
      <c r="K745" s="276"/>
      <c r="L745" s="276"/>
      <c r="M745" s="276"/>
      <c r="N745" s="276"/>
      <c r="O745" s="276"/>
      <c r="P745" s="276"/>
      <c r="Q745" s="276"/>
      <c r="R745" s="276"/>
      <c r="S745" s="276"/>
      <c r="T745" s="276"/>
      <c r="U745" s="276"/>
      <c r="V745" s="276"/>
      <c r="W745" s="276"/>
      <c r="X745" s="276"/>
      <c r="Y745" s="276"/>
      <c r="Z745" s="276"/>
    </row>
    <row r="746" spans="1:26" ht="18.75" customHeight="1">
      <c r="A746" s="276"/>
      <c r="B746" s="276"/>
      <c r="C746" s="276"/>
      <c r="D746" s="276"/>
      <c r="E746" s="276"/>
      <c r="F746" s="276"/>
      <c r="G746" s="276"/>
      <c r="H746" s="276"/>
      <c r="I746" s="276"/>
      <c r="J746" s="276"/>
      <c r="K746" s="276"/>
      <c r="L746" s="276"/>
      <c r="M746" s="276"/>
      <c r="N746" s="276"/>
      <c r="O746" s="276"/>
      <c r="P746" s="276"/>
      <c r="Q746" s="276"/>
      <c r="R746" s="276"/>
      <c r="S746" s="276"/>
      <c r="T746" s="276"/>
      <c r="U746" s="276"/>
      <c r="V746" s="276"/>
      <c r="W746" s="276"/>
      <c r="X746" s="276"/>
      <c r="Y746" s="276"/>
      <c r="Z746" s="276"/>
    </row>
    <row r="747" spans="1:26" ht="18.75" customHeight="1">
      <c r="A747" s="276"/>
      <c r="B747" s="276"/>
      <c r="C747" s="276"/>
      <c r="D747" s="276"/>
      <c r="E747" s="276"/>
      <c r="F747" s="276"/>
      <c r="G747" s="276"/>
      <c r="H747" s="276"/>
      <c r="I747" s="276"/>
      <c r="J747" s="276"/>
      <c r="K747" s="276"/>
      <c r="L747" s="276"/>
      <c r="M747" s="276"/>
      <c r="N747" s="276"/>
      <c r="O747" s="276"/>
      <c r="P747" s="276"/>
      <c r="Q747" s="276"/>
      <c r="R747" s="276"/>
      <c r="S747" s="276"/>
      <c r="T747" s="276"/>
      <c r="U747" s="276"/>
      <c r="V747" s="276"/>
      <c r="W747" s="276"/>
      <c r="X747" s="276"/>
      <c r="Y747" s="276"/>
      <c r="Z747" s="276"/>
    </row>
    <row r="748" spans="1:26" ht="18.75" customHeight="1">
      <c r="A748" s="276"/>
      <c r="B748" s="276"/>
      <c r="C748" s="276"/>
      <c r="D748" s="276"/>
      <c r="E748" s="276"/>
      <c r="F748" s="276"/>
      <c r="G748" s="276"/>
      <c r="H748" s="276"/>
      <c r="I748" s="276"/>
      <c r="J748" s="276"/>
      <c r="K748" s="276"/>
      <c r="L748" s="276"/>
      <c r="M748" s="276"/>
      <c r="N748" s="276"/>
      <c r="O748" s="276"/>
      <c r="P748" s="276"/>
      <c r="Q748" s="276"/>
      <c r="R748" s="276"/>
      <c r="S748" s="276"/>
      <c r="T748" s="276"/>
      <c r="U748" s="276"/>
      <c r="V748" s="276"/>
      <c r="W748" s="276"/>
      <c r="X748" s="276"/>
      <c r="Y748" s="276"/>
      <c r="Z748" s="276"/>
    </row>
    <row r="749" spans="1:26" ht="18.75" customHeight="1">
      <c r="A749" s="276"/>
      <c r="B749" s="276"/>
      <c r="C749" s="276"/>
      <c r="D749" s="276"/>
      <c r="E749" s="276"/>
      <c r="F749" s="276"/>
      <c r="G749" s="276"/>
      <c r="H749" s="276"/>
      <c r="I749" s="276"/>
      <c r="J749" s="276"/>
      <c r="K749" s="276"/>
      <c r="L749" s="276"/>
      <c r="M749" s="276"/>
      <c r="N749" s="276"/>
      <c r="O749" s="276"/>
      <c r="P749" s="276"/>
      <c r="Q749" s="276"/>
      <c r="R749" s="276"/>
      <c r="S749" s="276"/>
      <c r="T749" s="276"/>
      <c r="U749" s="276"/>
      <c r="V749" s="276"/>
      <c r="W749" s="276"/>
      <c r="X749" s="276"/>
      <c r="Y749" s="276"/>
      <c r="Z749" s="276"/>
    </row>
    <row r="750" spans="1:26" ht="18.75" customHeight="1">
      <c r="A750" s="276"/>
      <c r="B750" s="276"/>
      <c r="C750" s="276"/>
      <c r="D750" s="276"/>
      <c r="E750" s="276"/>
      <c r="F750" s="276"/>
      <c r="G750" s="276"/>
      <c r="H750" s="276"/>
      <c r="I750" s="276"/>
      <c r="J750" s="276"/>
      <c r="K750" s="276"/>
      <c r="L750" s="276"/>
      <c r="M750" s="276"/>
      <c r="N750" s="276"/>
      <c r="O750" s="276"/>
      <c r="P750" s="276"/>
      <c r="Q750" s="276"/>
      <c r="R750" s="276"/>
      <c r="S750" s="276"/>
      <c r="T750" s="276"/>
      <c r="U750" s="276"/>
      <c r="V750" s="276"/>
      <c r="W750" s="276"/>
      <c r="X750" s="276"/>
      <c r="Y750" s="276"/>
      <c r="Z750" s="276"/>
    </row>
    <row r="751" spans="1:26" ht="18.75" customHeight="1">
      <c r="A751" s="276"/>
      <c r="B751" s="276"/>
      <c r="C751" s="276"/>
      <c r="D751" s="276"/>
      <c r="E751" s="276"/>
      <c r="F751" s="276"/>
      <c r="G751" s="276"/>
      <c r="H751" s="276"/>
      <c r="I751" s="276"/>
      <c r="J751" s="276"/>
      <c r="K751" s="276"/>
      <c r="L751" s="276"/>
      <c r="M751" s="276"/>
      <c r="N751" s="276"/>
      <c r="O751" s="276"/>
      <c r="P751" s="276"/>
      <c r="Q751" s="276"/>
      <c r="R751" s="276"/>
      <c r="S751" s="276"/>
      <c r="T751" s="276"/>
      <c r="U751" s="276"/>
      <c r="V751" s="276"/>
      <c r="W751" s="276"/>
      <c r="X751" s="276"/>
      <c r="Y751" s="276"/>
      <c r="Z751" s="276"/>
    </row>
    <row r="752" spans="1:26" ht="18.75" customHeight="1">
      <c r="A752" s="276"/>
      <c r="B752" s="276"/>
      <c r="C752" s="276"/>
      <c r="D752" s="276"/>
      <c r="E752" s="276"/>
      <c r="F752" s="276"/>
      <c r="G752" s="276"/>
      <c r="H752" s="276"/>
      <c r="I752" s="276"/>
      <c r="J752" s="276"/>
      <c r="K752" s="276"/>
      <c r="L752" s="276"/>
      <c r="M752" s="276"/>
      <c r="N752" s="276"/>
      <c r="O752" s="276"/>
      <c r="P752" s="276"/>
      <c r="Q752" s="276"/>
      <c r="R752" s="276"/>
      <c r="S752" s="276"/>
      <c r="T752" s="276"/>
      <c r="U752" s="276"/>
      <c r="V752" s="276"/>
      <c r="W752" s="276"/>
      <c r="X752" s="276"/>
      <c r="Y752" s="276"/>
      <c r="Z752" s="276"/>
    </row>
    <row r="753" spans="1:26" ht="18.75" customHeight="1">
      <c r="A753" s="276"/>
      <c r="B753" s="276"/>
      <c r="C753" s="276"/>
      <c r="D753" s="276"/>
      <c r="E753" s="276"/>
      <c r="F753" s="276"/>
      <c r="G753" s="276"/>
      <c r="H753" s="276"/>
      <c r="I753" s="276"/>
      <c r="J753" s="276"/>
      <c r="K753" s="276"/>
      <c r="L753" s="276"/>
      <c r="M753" s="276"/>
      <c r="N753" s="276"/>
      <c r="O753" s="276"/>
      <c r="P753" s="276"/>
      <c r="Q753" s="276"/>
      <c r="R753" s="276"/>
      <c r="S753" s="276"/>
      <c r="T753" s="276"/>
      <c r="U753" s="276"/>
      <c r="V753" s="276"/>
      <c r="W753" s="276"/>
      <c r="X753" s="276"/>
      <c r="Y753" s="276"/>
      <c r="Z753" s="276"/>
    </row>
    <row r="754" spans="1:26" ht="18.75" customHeight="1">
      <c r="A754" s="276"/>
      <c r="B754" s="276"/>
      <c r="C754" s="276"/>
      <c r="D754" s="276"/>
      <c r="E754" s="276"/>
      <c r="F754" s="276"/>
      <c r="G754" s="276"/>
      <c r="H754" s="276"/>
      <c r="I754" s="276"/>
      <c r="J754" s="276"/>
      <c r="K754" s="276"/>
      <c r="L754" s="276"/>
      <c r="M754" s="276"/>
      <c r="N754" s="276"/>
      <c r="O754" s="276"/>
      <c r="P754" s="276"/>
      <c r="Q754" s="276"/>
      <c r="R754" s="276"/>
      <c r="S754" s="276"/>
      <c r="T754" s="276"/>
      <c r="U754" s="276"/>
      <c r="V754" s="276"/>
      <c r="W754" s="276"/>
      <c r="X754" s="276"/>
      <c r="Y754" s="276"/>
      <c r="Z754" s="276"/>
    </row>
    <row r="755" spans="1:26" ht="18.75" customHeight="1">
      <c r="A755" s="276"/>
      <c r="B755" s="276"/>
      <c r="C755" s="276"/>
      <c r="D755" s="276"/>
      <c r="E755" s="276"/>
      <c r="F755" s="276"/>
      <c r="G755" s="276"/>
      <c r="H755" s="276"/>
      <c r="I755" s="276"/>
      <c r="J755" s="276"/>
      <c r="K755" s="276"/>
      <c r="L755" s="276"/>
      <c r="M755" s="276"/>
      <c r="N755" s="276"/>
      <c r="O755" s="276"/>
      <c r="P755" s="276"/>
      <c r="Q755" s="276"/>
      <c r="R755" s="276"/>
      <c r="S755" s="276"/>
      <c r="T755" s="276"/>
      <c r="U755" s="276"/>
      <c r="V755" s="276"/>
      <c r="W755" s="276"/>
      <c r="X755" s="276"/>
      <c r="Y755" s="276"/>
      <c r="Z755" s="276"/>
    </row>
    <row r="756" spans="1:26" ht="18.75" customHeight="1">
      <c r="A756" s="276"/>
      <c r="B756" s="276"/>
      <c r="C756" s="276"/>
      <c r="D756" s="276"/>
      <c r="E756" s="276"/>
      <c r="F756" s="276"/>
      <c r="G756" s="276"/>
      <c r="H756" s="276"/>
      <c r="I756" s="276"/>
      <c r="J756" s="276"/>
      <c r="K756" s="276"/>
      <c r="L756" s="276"/>
      <c r="M756" s="276"/>
      <c r="N756" s="276"/>
      <c r="O756" s="276"/>
      <c r="P756" s="276"/>
      <c r="Q756" s="276"/>
      <c r="R756" s="276"/>
      <c r="S756" s="276"/>
      <c r="T756" s="276"/>
      <c r="U756" s="276"/>
      <c r="V756" s="276"/>
      <c r="W756" s="276"/>
      <c r="X756" s="276"/>
      <c r="Y756" s="276"/>
      <c r="Z756" s="276"/>
    </row>
    <row r="757" spans="1:26" ht="18.75" customHeight="1">
      <c r="A757" s="276"/>
      <c r="B757" s="276"/>
      <c r="C757" s="276"/>
      <c r="D757" s="276"/>
      <c r="E757" s="276"/>
      <c r="F757" s="276"/>
      <c r="G757" s="276"/>
      <c r="H757" s="276"/>
      <c r="I757" s="276"/>
      <c r="J757" s="276"/>
      <c r="K757" s="276"/>
      <c r="L757" s="276"/>
      <c r="M757" s="276"/>
      <c r="N757" s="276"/>
      <c r="O757" s="276"/>
      <c r="P757" s="276"/>
      <c r="Q757" s="276"/>
      <c r="R757" s="276"/>
      <c r="S757" s="276"/>
      <c r="T757" s="276"/>
      <c r="U757" s="276"/>
      <c r="V757" s="276"/>
      <c r="W757" s="276"/>
      <c r="X757" s="276"/>
      <c r="Y757" s="276"/>
      <c r="Z757" s="276"/>
    </row>
    <row r="758" spans="1:26" ht="18.75" customHeight="1">
      <c r="A758" s="276"/>
      <c r="B758" s="276"/>
      <c r="C758" s="276"/>
      <c r="D758" s="276"/>
      <c r="E758" s="276"/>
      <c r="F758" s="276"/>
      <c r="G758" s="276"/>
      <c r="H758" s="276"/>
      <c r="I758" s="276"/>
      <c r="J758" s="276"/>
      <c r="K758" s="276"/>
      <c r="L758" s="276"/>
      <c r="M758" s="276"/>
      <c r="N758" s="276"/>
      <c r="O758" s="276"/>
      <c r="P758" s="276"/>
      <c r="Q758" s="276"/>
      <c r="R758" s="276"/>
      <c r="S758" s="276"/>
      <c r="T758" s="276"/>
      <c r="U758" s="276"/>
      <c r="V758" s="276"/>
      <c r="W758" s="276"/>
      <c r="X758" s="276"/>
      <c r="Y758" s="276"/>
      <c r="Z758" s="276"/>
    </row>
    <row r="759" spans="1:26" ht="18.75" customHeight="1">
      <c r="A759" s="276"/>
      <c r="B759" s="276"/>
      <c r="C759" s="276"/>
      <c r="D759" s="276"/>
      <c r="E759" s="276"/>
      <c r="F759" s="276"/>
      <c r="G759" s="276"/>
      <c r="H759" s="276"/>
      <c r="I759" s="276"/>
      <c r="J759" s="276"/>
      <c r="K759" s="276"/>
      <c r="L759" s="276"/>
      <c r="M759" s="276"/>
      <c r="N759" s="276"/>
      <c r="O759" s="276"/>
      <c r="P759" s="276"/>
      <c r="Q759" s="276"/>
      <c r="R759" s="276"/>
      <c r="S759" s="276"/>
      <c r="T759" s="276"/>
      <c r="U759" s="276"/>
      <c r="V759" s="276"/>
      <c r="W759" s="276"/>
      <c r="X759" s="276"/>
      <c r="Y759" s="276"/>
      <c r="Z759" s="276"/>
    </row>
    <row r="760" spans="1:26" ht="18.75" customHeight="1">
      <c r="A760" s="276"/>
      <c r="B760" s="276"/>
      <c r="C760" s="276"/>
      <c r="D760" s="276"/>
      <c r="E760" s="276"/>
      <c r="F760" s="276"/>
      <c r="G760" s="276"/>
      <c r="H760" s="276"/>
      <c r="I760" s="276"/>
      <c r="J760" s="276"/>
      <c r="K760" s="276"/>
      <c r="L760" s="276"/>
      <c r="M760" s="276"/>
      <c r="N760" s="276"/>
      <c r="O760" s="276"/>
      <c r="P760" s="276"/>
      <c r="Q760" s="276"/>
      <c r="R760" s="276"/>
      <c r="S760" s="276"/>
      <c r="T760" s="276"/>
      <c r="U760" s="276"/>
      <c r="V760" s="276"/>
      <c r="W760" s="276"/>
      <c r="X760" s="276"/>
      <c r="Y760" s="276"/>
      <c r="Z760" s="276"/>
    </row>
    <row r="761" spans="1:26" ht="18.75" customHeight="1">
      <c r="A761" s="276"/>
      <c r="B761" s="276"/>
      <c r="C761" s="276"/>
      <c r="D761" s="276"/>
      <c r="E761" s="276"/>
      <c r="F761" s="276"/>
      <c r="G761" s="276"/>
      <c r="H761" s="276"/>
      <c r="I761" s="276"/>
      <c r="J761" s="276"/>
      <c r="K761" s="276"/>
      <c r="L761" s="276"/>
      <c r="M761" s="276"/>
      <c r="N761" s="276"/>
      <c r="O761" s="276"/>
      <c r="P761" s="276"/>
      <c r="Q761" s="276"/>
      <c r="R761" s="276"/>
      <c r="S761" s="276"/>
      <c r="T761" s="276"/>
      <c r="U761" s="276"/>
      <c r="V761" s="276"/>
      <c r="W761" s="276"/>
      <c r="X761" s="276"/>
      <c r="Y761" s="276"/>
      <c r="Z761" s="276"/>
    </row>
    <row r="762" spans="1:26" ht="18.75" customHeight="1">
      <c r="A762" s="276"/>
      <c r="B762" s="276"/>
      <c r="C762" s="276"/>
      <c r="D762" s="276"/>
      <c r="E762" s="276"/>
      <c r="F762" s="276"/>
      <c r="G762" s="276"/>
      <c r="H762" s="276"/>
      <c r="I762" s="276"/>
      <c r="J762" s="276"/>
      <c r="K762" s="276"/>
      <c r="L762" s="276"/>
      <c r="M762" s="276"/>
      <c r="N762" s="276"/>
      <c r="O762" s="276"/>
      <c r="P762" s="276"/>
      <c r="Q762" s="276"/>
      <c r="R762" s="276"/>
      <c r="S762" s="276"/>
      <c r="T762" s="276"/>
      <c r="U762" s="276"/>
      <c r="V762" s="276"/>
      <c r="W762" s="276"/>
      <c r="X762" s="276"/>
      <c r="Y762" s="276"/>
      <c r="Z762" s="276"/>
    </row>
    <row r="763" spans="1:26" ht="18.75" customHeight="1">
      <c r="A763" s="276"/>
      <c r="B763" s="276"/>
      <c r="C763" s="276"/>
      <c r="D763" s="276"/>
      <c r="E763" s="276"/>
      <c r="F763" s="276"/>
      <c r="G763" s="276"/>
      <c r="H763" s="276"/>
      <c r="I763" s="276"/>
      <c r="J763" s="276"/>
      <c r="K763" s="276"/>
      <c r="L763" s="276"/>
      <c r="M763" s="276"/>
      <c r="N763" s="276"/>
      <c r="O763" s="276"/>
      <c r="P763" s="276"/>
      <c r="Q763" s="276"/>
      <c r="R763" s="276"/>
      <c r="S763" s="276"/>
      <c r="T763" s="276"/>
      <c r="U763" s="276"/>
      <c r="V763" s="276"/>
      <c r="W763" s="276"/>
      <c r="X763" s="276"/>
      <c r="Y763" s="276"/>
      <c r="Z763" s="276"/>
    </row>
    <row r="764" spans="1:26" ht="18.75" customHeight="1">
      <c r="A764" s="276"/>
      <c r="B764" s="276"/>
      <c r="C764" s="276"/>
      <c r="D764" s="276"/>
      <c r="E764" s="276"/>
      <c r="F764" s="276"/>
      <c r="G764" s="276"/>
      <c r="H764" s="276"/>
      <c r="I764" s="276"/>
      <c r="J764" s="276"/>
      <c r="K764" s="276"/>
      <c r="L764" s="276"/>
      <c r="M764" s="276"/>
      <c r="N764" s="276"/>
      <c r="O764" s="276"/>
      <c r="P764" s="276"/>
      <c r="Q764" s="276"/>
      <c r="R764" s="276"/>
      <c r="S764" s="276"/>
      <c r="T764" s="276"/>
      <c r="U764" s="276"/>
      <c r="V764" s="276"/>
      <c r="W764" s="276"/>
      <c r="X764" s="276"/>
      <c r="Y764" s="276"/>
      <c r="Z764" s="276"/>
    </row>
    <row r="765" spans="1:26" ht="18.75" customHeight="1">
      <c r="A765" s="276"/>
      <c r="B765" s="276"/>
      <c r="C765" s="276"/>
      <c r="D765" s="276"/>
      <c r="E765" s="276"/>
      <c r="F765" s="276"/>
      <c r="G765" s="276"/>
      <c r="H765" s="276"/>
      <c r="I765" s="276"/>
      <c r="J765" s="276"/>
      <c r="K765" s="276"/>
      <c r="L765" s="276"/>
      <c r="M765" s="276"/>
      <c r="N765" s="276"/>
      <c r="O765" s="276"/>
      <c r="P765" s="276"/>
      <c r="Q765" s="276"/>
      <c r="R765" s="276"/>
      <c r="S765" s="276"/>
      <c r="T765" s="276"/>
      <c r="U765" s="276"/>
      <c r="V765" s="276"/>
      <c r="W765" s="276"/>
      <c r="X765" s="276"/>
      <c r="Y765" s="276"/>
      <c r="Z765" s="276"/>
    </row>
    <row r="766" spans="1:26" ht="18.75" customHeight="1">
      <c r="A766" s="276"/>
      <c r="B766" s="276"/>
      <c r="C766" s="276"/>
      <c r="D766" s="276"/>
      <c r="E766" s="276"/>
      <c r="F766" s="276"/>
      <c r="G766" s="276"/>
      <c r="H766" s="276"/>
      <c r="I766" s="276"/>
      <c r="J766" s="276"/>
      <c r="K766" s="276"/>
      <c r="L766" s="276"/>
      <c r="M766" s="276"/>
      <c r="N766" s="276"/>
      <c r="O766" s="276"/>
      <c r="P766" s="276"/>
      <c r="Q766" s="276"/>
      <c r="R766" s="276"/>
      <c r="S766" s="276"/>
      <c r="T766" s="276"/>
      <c r="U766" s="276"/>
      <c r="V766" s="276"/>
      <c r="W766" s="276"/>
      <c r="X766" s="276"/>
      <c r="Y766" s="276"/>
      <c r="Z766" s="276"/>
    </row>
    <row r="767" spans="1:26" ht="18.75" customHeight="1">
      <c r="A767" s="276"/>
      <c r="B767" s="276"/>
      <c r="C767" s="276"/>
      <c r="D767" s="276"/>
      <c r="E767" s="276"/>
      <c r="F767" s="276"/>
      <c r="G767" s="276"/>
      <c r="H767" s="276"/>
      <c r="I767" s="276"/>
      <c r="J767" s="276"/>
      <c r="K767" s="276"/>
      <c r="L767" s="276"/>
      <c r="M767" s="276"/>
      <c r="N767" s="276"/>
      <c r="O767" s="276"/>
      <c r="P767" s="276"/>
      <c r="Q767" s="276"/>
      <c r="R767" s="276"/>
      <c r="S767" s="276"/>
      <c r="T767" s="276"/>
      <c r="U767" s="276"/>
      <c r="V767" s="276"/>
      <c r="W767" s="276"/>
      <c r="X767" s="276"/>
      <c r="Y767" s="276"/>
      <c r="Z767" s="276"/>
    </row>
    <row r="768" spans="1:26" ht="18.75" customHeight="1">
      <c r="A768" s="276"/>
      <c r="B768" s="276"/>
      <c r="C768" s="276"/>
      <c r="D768" s="276"/>
      <c r="E768" s="276"/>
      <c r="F768" s="276"/>
      <c r="G768" s="276"/>
      <c r="H768" s="276"/>
      <c r="I768" s="276"/>
      <c r="J768" s="276"/>
      <c r="K768" s="276"/>
      <c r="L768" s="276"/>
      <c r="M768" s="276"/>
      <c r="N768" s="276"/>
      <c r="O768" s="276"/>
      <c r="P768" s="276"/>
      <c r="Q768" s="276"/>
      <c r="R768" s="276"/>
      <c r="S768" s="276"/>
      <c r="T768" s="276"/>
      <c r="U768" s="276"/>
      <c r="V768" s="276"/>
      <c r="W768" s="276"/>
      <c r="X768" s="276"/>
      <c r="Y768" s="276"/>
      <c r="Z768" s="276"/>
    </row>
    <row r="769" spans="1:26" ht="18.75" customHeight="1">
      <c r="A769" s="276"/>
      <c r="B769" s="276"/>
      <c r="C769" s="276"/>
      <c r="D769" s="276"/>
      <c r="E769" s="276"/>
      <c r="F769" s="276"/>
      <c r="G769" s="276"/>
      <c r="H769" s="276"/>
      <c r="I769" s="276"/>
      <c r="J769" s="276"/>
      <c r="K769" s="276"/>
      <c r="L769" s="276"/>
      <c r="M769" s="276"/>
      <c r="N769" s="276"/>
      <c r="O769" s="276"/>
      <c r="P769" s="276"/>
      <c r="Q769" s="276"/>
      <c r="R769" s="276"/>
      <c r="S769" s="276"/>
      <c r="T769" s="276"/>
      <c r="U769" s="276"/>
      <c r="V769" s="276"/>
      <c r="W769" s="276"/>
      <c r="X769" s="276"/>
      <c r="Y769" s="276"/>
      <c r="Z769" s="276"/>
    </row>
    <row r="770" spans="1:26" ht="18.75" customHeight="1">
      <c r="A770" s="276"/>
      <c r="B770" s="276"/>
      <c r="C770" s="276"/>
      <c r="D770" s="276"/>
      <c r="E770" s="276"/>
      <c r="F770" s="276"/>
      <c r="G770" s="276"/>
      <c r="H770" s="276"/>
      <c r="I770" s="276"/>
      <c r="J770" s="276"/>
      <c r="K770" s="276"/>
      <c r="L770" s="276"/>
      <c r="M770" s="276"/>
      <c r="N770" s="276"/>
      <c r="O770" s="276"/>
      <c r="P770" s="276"/>
      <c r="Q770" s="276"/>
      <c r="R770" s="276"/>
      <c r="S770" s="276"/>
      <c r="T770" s="276"/>
      <c r="U770" s="276"/>
      <c r="V770" s="276"/>
      <c r="W770" s="276"/>
      <c r="X770" s="276"/>
      <c r="Y770" s="276"/>
      <c r="Z770" s="276"/>
    </row>
    <row r="771" spans="1:26" ht="18.75" customHeight="1">
      <c r="A771" s="276"/>
      <c r="B771" s="276"/>
      <c r="C771" s="276"/>
      <c r="D771" s="276"/>
      <c r="E771" s="276"/>
      <c r="F771" s="276"/>
      <c r="G771" s="276"/>
      <c r="H771" s="276"/>
      <c r="I771" s="276"/>
      <c r="J771" s="276"/>
      <c r="K771" s="276"/>
      <c r="L771" s="276"/>
      <c r="M771" s="276"/>
      <c r="N771" s="276"/>
      <c r="O771" s="276"/>
      <c r="P771" s="276"/>
      <c r="Q771" s="276"/>
      <c r="R771" s="276"/>
      <c r="S771" s="276"/>
      <c r="T771" s="276"/>
      <c r="U771" s="276"/>
      <c r="V771" s="276"/>
      <c r="W771" s="276"/>
      <c r="X771" s="276"/>
      <c r="Y771" s="276"/>
      <c r="Z771" s="276"/>
    </row>
    <row r="772" spans="1:26" ht="18.75" customHeight="1">
      <c r="A772" s="276"/>
      <c r="B772" s="276"/>
      <c r="C772" s="276"/>
      <c r="D772" s="276"/>
      <c r="E772" s="276"/>
      <c r="F772" s="276"/>
      <c r="G772" s="276"/>
      <c r="H772" s="276"/>
      <c r="I772" s="276"/>
      <c r="J772" s="276"/>
      <c r="K772" s="276"/>
      <c r="L772" s="276"/>
      <c r="M772" s="276"/>
      <c r="N772" s="276"/>
      <c r="O772" s="276"/>
      <c r="P772" s="276"/>
      <c r="Q772" s="276"/>
      <c r="R772" s="276"/>
      <c r="S772" s="276"/>
      <c r="T772" s="276"/>
      <c r="U772" s="276"/>
      <c r="V772" s="276"/>
      <c r="W772" s="276"/>
      <c r="X772" s="276"/>
      <c r="Y772" s="276"/>
      <c r="Z772" s="276"/>
    </row>
    <row r="773" spans="1:26" ht="18.75" customHeight="1">
      <c r="A773" s="276"/>
      <c r="B773" s="276"/>
      <c r="C773" s="276"/>
      <c r="D773" s="276"/>
      <c r="E773" s="276"/>
      <c r="F773" s="276"/>
      <c r="G773" s="276"/>
      <c r="H773" s="276"/>
      <c r="I773" s="276"/>
      <c r="J773" s="276"/>
      <c r="K773" s="276"/>
      <c r="L773" s="276"/>
      <c r="M773" s="276"/>
      <c r="N773" s="276"/>
      <c r="O773" s="276"/>
      <c r="P773" s="276"/>
      <c r="Q773" s="276"/>
      <c r="R773" s="276"/>
      <c r="S773" s="276"/>
      <c r="T773" s="276"/>
      <c r="U773" s="276"/>
      <c r="V773" s="276"/>
      <c r="W773" s="276"/>
      <c r="X773" s="276"/>
      <c r="Y773" s="276"/>
      <c r="Z773" s="276"/>
    </row>
    <row r="774" spans="1:26" ht="18.75" customHeight="1">
      <c r="A774" s="276"/>
      <c r="B774" s="276"/>
      <c r="C774" s="276"/>
      <c r="D774" s="276"/>
      <c r="E774" s="276"/>
      <c r="F774" s="276"/>
      <c r="G774" s="276"/>
      <c r="H774" s="276"/>
      <c r="I774" s="276"/>
      <c r="J774" s="276"/>
      <c r="K774" s="276"/>
      <c r="L774" s="276"/>
      <c r="M774" s="276"/>
      <c r="N774" s="276"/>
      <c r="O774" s="276"/>
      <c r="P774" s="276"/>
      <c r="Q774" s="276"/>
      <c r="R774" s="276"/>
      <c r="S774" s="276"/>
      <c r="T774" s="276"/>
      <c r="U774" s="276"/>
      <c r="V774" s="276"/>
      <c r="W774" s="276"/>
      <c r="X774" s="276"/>
      <c r="Y774" s="276"/>
      <c r="Z774" s="276"/>
    </row>
    <row r="775" spans="1:26" ht="18.75" customHeight="1">
      <c r="A775" s="276"/>
      <c r="B775" s="276"/>
      <c r="C775" s="276"/>
      <c r="D775" s="276"/>
      <c r="E775" s="276"/>
      <c r="F775" s="276"/>
      <c r="G775" s="276"/>
      <c r="H775" s="276"/>
      <c r="I775" s="276"/>
      <c r="J775" s="276"/>
      <c r="K775" s="276"/>
      <c r="L775" s="276"/>
      <c r="M775" s="276"/>
      <c r="N775" s="276"/>
      <c r="O775" s="276"/>
      <c r="P775" s="276"/>
      <c r="Q775" s="276"/>
      <c r="R775" s="276"/>
      <c r="S775" s="276"/>
      <c r="T775" s="276"/>
      <c r="U775" s="276"/>
      <c r="V775" s="276"/>
      <c r="W775" s="276"/>
      <c r="X775" s="276"/>
      <c r="Y775" s="276"/>
      <c r="Z775" s="276"/>
    </row>
    <row r="776" spans="1:26" ht="18.75" customHeight="1">
      <c r="A776" s="276"/>
      <c r="B776" s="276"/>
      <c r="C776" s="276"/>
      <c r="D776" s="276"/>
      <c r="E776" s="276"/>
      <c r="F776" s="276"/>
      <c r="G776" s="276"/>
      <c r="H776" s="276"/>
      <c r="I776" s="276"/>
      <c r="J776" s="276"/>
      <c r="K776" s="276"/>
      <c r="L776" s="276"/>
      <c r="M776" s="276"/>
      <c r="N776" s="276"/>
      <c r="O776" s="276"/>
      <c r="P776" s="276"/>
      <c r="Q776" s="276"/>
      <c r="R776" s="276"/>
      <c r="S776" s="276"/>
      <c r="T776" s="276"/>
      <c r="U776" s="276"/>
      <c r="V776" s="276"/>
      <c r="W776" s="276"/>
      <c r="X776" s="276"/>
      <c r="Y776" s="276"/>
      <c r="Z776" s="276"/>
    </row>
    <row r="777" spans="1:26" ht="18.75" customHeight="1">
      <c r="A777" s="276"/>
      <c r="B777" s="276"/>
      <c r="C777" s="276"/>
      <c r="D777" s="276"/>
      <c r="E777" s="276"/>
      <c r="F777" s="276"/>
      <c r="G777" s="276"/>
      <c r="H777" s="276"/>
      <c r="I777" s="276"/>
      <c r="J777" s="276"/>
      <c r="K777" s="276"/>
      <c r="L777" s="276"/>
      <c r="M777" s="276"/>
      <c r="N777" s="276"/>
      <c r="O777" s="276"/>
      <c r="P777" s="276"/>
      <c r="Q777" s="276"/>
      <c r="R777" s="276"/>
      <c r="S777" s="276"/>
      <c r="T777" s="276"/>
      <c r="U777" s="276"/>
      <c r="V777" s="276"/>
      <c r="W777" s="276"/>
      <c r="X777" s="276"/>
      <c r="Y777" s="276"/>
      <c r="Z777" s="276"/>
    </row>
    <row r="778" spans="1:26" ht="18.75" customHeight="1">
      <c r="A778" s="276"/>
      <c r="B778" s="276"/>
      <c r="C778" s="276"/>
      <c r="D778" s="276"/>
      <c r="E778" s="276"/>
      <c r="F778" s="276"/>
      <c r="G778" s="276"/>
      <c r="H778" s="276"/>
      <c r="I778" s="276"/>
      <c r="J778" s="276"/>
      <c r="K778" s="276"/>
      <c r="L778" s="276"/>
      <c r="M778" s="276"/>
      <c r="N778" s="276"/>
      <c r="O778" s="276"/>
      <c r="P778" s="276"/>
      <c r="Q778" s="276"/>
      <c r="R778" s="276"/>
      <c r="S778" s="276"/>
      <c r="T778" s="276"/>
      <c r="U778" s="276"/>
      <c r="V778" s="276"/>
      <c r="W778" s="276"/>
      <c r="X778" s="276"/>
      <c r="Y778" s="276"/>
      <c r="Z778" s="276"/>
    </row>
    <row r="779" spans="1:26" ht="18.75" customHeight="1">
      <c r="A779" s="276"/>
      <c r="B779" s="276"/>
      <c r="C779" s="276"/>
      <c r="D779" s="276"/>
      <c r="E779" s="276"/>
      <c r="F779" s="276"/>
      <c r="G779" s="276"/>
      <c r="H779" s="276"/>
      <c r="I779" s="276"/>
      <c r="J779" s="276"/>
      <c r="K779" s="276"/>
      <c r="L779" s="276"/>
      <c r="M779" s="276"/>
      <c r="N779" s="276"/>
      <c r="O779" s="276"/>
      <c r="P779" s="276"/>
      <c r="Q779" s="276"/>
      <c r="R779" s="276"/>
      <c r="S779" s="276"/>
      <c r="T779" s="276"/>
      <c r="U779" s="276"/>
      <c r="V779" s="276"/>
      <c r="W779" s="276"/>
      <c r="X779" s="276"/>
      <c r="Y779" s="276"/>
      <c r="Z779" s="276"/>
    </row>
    <row r="780" spans="1:26" ht="18.75" customHeight="1">
      <c r="A780" s="276"/>
      <c r="B780" s="276"/>
      <c r="C780" s="276"/>
      <c r="D780" s="276"/>
      <c r="E780" s="276"/>
      <c r="F780" s="276"/>
      <c r="G780" s="276"/>
      <c r="H780" s="276"/>
      <c r="I780" s="276"/>
      <c r="J780" s="276"/>
      <c r="K780" s="276"/>
      <c r="L780" s="276"/>
      <c r="M780" s="276"/>
      <c r="N780" s="276"/>
      <c r="O780" s="276"/>
      <c r="P780" s="276"/>
      <c r="Q780" s="276"/>
      <c r="R780" s="276"/>
      <c r="S780" s="276"/>
      <c r="T780" s="276"/>
      <c r="U780" s="276"/>
      <c r="V780" s="276"/>
      <c r="W780" s="276"/>
      <c r="X780" s="276"/>
      <c r="Y780" s="276"/>
      <c r="Z780" s="276"/>
    </row>
    <row r="781" spans="1:26" ht="18.75" customHeight="1">
      <c r="A781" s="276"/>
      <c r="B781" s="276"/>
      <c r="C781" s="276"/>
      <c r="D781" s="276"/>
      <c r="E781" s="276"/>
      <c r="F781" s="276"/>
      <c r="G781" s="276"/>
      <c r="H781" s="276"/>
      <c r="I781" s="276"/>
      <c r="J781" s="276"/>
      <c r="K781" s="276"/>
      <c r="L781" s="276"/>
      <c r="M781" s="276"/>
      <c r="N781" s="276"/>
      <c r="O781" s="276"/>
      <c r="P781" s="276"/>
      <c r="Q781" s="276"/>
      <c r="R781" s="276"/>
      <c r="S781" s="276"/>
      <c r="T781" s="276"/>
      <c r="U781" s="276"/>
      <c r="V781" s="276"/>
      <c r="W781" s="276"/>
      <c r="X781" s="276"/>
      <c r="Y781" s="276"/>
      <c r="Z781" s="276"/>
    </row>
    <row r="782" spans="1:26" ht="18.75" customHeight="1">
      <c r="A782" s="276"/>
      <c r="B782" s="276"/>
      <c r="C782" s="276"/>
      <c r="D782" s="276"/>
      <c r="E782" s="276"/>
      <c r="F782" s="276"/>
      <c r="G782" s="276"/>
      <c r="H782" s="276"/>
      <c r="I782" s="276"/>
      <c r="J782" s="276"/>
      <c r="K782" s="276"/>
      <c r="L782" s="276"/>
      <c r="M782" s="276"/>
      <c r="N782" s="276"/>
      <c r="O782" s="276"/>
      <c r="P782" s="276"/>
      <c r="Q782" s="276"/>
      <c r="R782" s="276"/>
      <c r="S782" s="276"/>
      <c r="T782" s="276"/>
      <c r="U782" s="276"/>
      <c r="V782" s="276"/>
      <c r="W782" s="276"/>
      <c r="X782" s="276"/>
      <c r="Y782" s="276"/>
      <c r="Z782" s="276"/>
    </row>
    <row r="783" spans="1:26" ht="18.75" customHeight="1">
      <c r="A783" s="276"/>
      <c r="B783" s="276"/>
      <c r="C783" s="276"/>
      <c r="D783" s="276"/>
      <c r="E783" s="276"/>
      <c r="F783" s="276"/>
      <c r="G783" s="276"/>
      <c r="H783" s="276"/>
      <c r="I783" s="276"/>
      <c r="J783" s="276"/>
      <c r="K783" s="276"/>
      <c r="L783" s="276"/>
      <c r="M783" s="276"/>
      <c r="N783" s="276"/>
      <c r="O783" s="276"/>
      <c r="P783" s="276"/>
      <c r="Q783" s="276"/>
      <c r="R783" s="276"/>
      <c r="S783" s="276"/>
      <c r="T783" s="276"/>
      <c r="U783" s="276"/>
      <c r="V783" s="276"/>
      <c r="W783" s="276"/>
      <c r="X783" s="276"/>
      <c r="Y783" s="276"/>
      <c r="Z783" s="276"/>
    </row>
    <row r="784" spans="1:26" ht="18.75" customHeight="1">
      <c r="A784" s="276"/>
      <c r="B784" s="276"/>
      <c r="C784" s="276"/>
      <c r="D784" s="276"/>
      <c r="E784" s="276"/>
      <c r="F784" s="276"/>
      <c r="G784" s="276"/>
      <c r="H784" s="276"/>
      <c r="I784" s="276"/>
      <c r="J784" s="276"/>
      <c r="K784" s="276"/>
      <c r="L784" s="276"/>
      <c r="M784" s="276"/>
      <c r="N784" s="276"/>
      <c r="O784" s="276"/>
      <c r="P784" s="276"/>
      <c r="Q784" s="276"/>
      <c r="R784" s="276"/>
      <c r="S784" s="276"/>
      <c r="T784" s="276"/>
      <c r="U784" s="276"/>
      <c r="V784" s="276"/>
      <c r="W784" s="276"/>
      <c r="X784" s="276"/>
      <c r="Y784" s="276"/>
      <c r="Z784" s="276"/>
    </row>
    <row r="785" spans="1:26" ht="18.75" customHeight="1">
      <c r="A785" s="276"/>
      <c r="B785" s="276"/>
      <c r="C785" s="276"/>
      <c r="D785" s="276"/>
      <c r="E785" s="276"/>
      <c r="F785" s="276"/>
      <c r="G785" s="276"/>
      <c r="H785" s="276"/>
      <c r="I785" s="276"/>
      <c r="J785" s="276"/>
      <c r="K785" s="276"/>
      <c r="L785" s="276"/>
      <c r="M785" s="276"/>
      <c r="N785" s="276"/>
      <c r="O785" s="276"/>
      <c r="P785" s="276"/>
      <c r="Q785" s="276"/>
      <c r="R785" s="276"/>
      <c r="S785" s="276"/>
      <c r="T785" s="276"/>
      <c r="U785" s="276"/>
      <c r="V785" s="276"/>
      <c r="W785" s="276"/>
      <c r="X785" s="276"/>
      <c r="Y785" s="276"/>
      <c r="Z785" s="276"/>
    </row>
    <row r="786" spans="1:26" ht="18.75" customHeight="1">
      <c r="A786" s="276"/>
      <c r="B786" s="276"/>
      <c r="C786" s="276"/>
      <c r="D786" s="276"/>
      <c r="E786" s="276"/>
      <c r="F786" s="276"/>
      <c r="G786" s="276"/>
      <c r="H786" s="276"/>
      <c r="I786" s="276"/>
      <c r="J786" s="276"/>
      <c r="K786" s="276"/>
      <c r="L786" s="276"/>
      <c r="M786" s="276"/>
      <c r="N786" s="276"/>
      <c r="O786" s="276"/>
      <c r="P786" s="276"/>
      <c r="Q786" s="276"/>
      <c r="R786" s="276"/>
      <c r="S786" s="276"/>
      <c r="T786" s="276"/>
      <c r="U786" s="276"/>
      <c r="V786" s="276"/>
      <c r="W786" s="276"/>
      <c r="X786" s="276"/>
      <c r="Y786" s="276"/>
      <c r="Z786" s="276"/>
    </row>
    <row r="787" spans="1:26" ht="18.75" customHeight="1">
      <c r="A787" s="276"/>
      <c r="B787" s="276"/>
      <c r="C787" s="276"/>
      <c r="D787" s="276"/>
      <c r="E787" s="276"/>
      <c r="F787" s="276"/>
      <c r="G787" s="276"/>
      <c r="H787" s="276"/>
      <c r="I787" s="276"/>
      <c r="J787" s="276"/>
      <c r="K787" s="276"/>
      <c r="L787" s="276"/>
      <c r="M787" s="276"/>
      <c r="N787" s="276"/>
      <c r="O787" s="276"/>
      <c r="P787" s="276"/>
      <c r="Q787" s="276"/>
      <c r="R787" s="276"/>
      <c r="S787" s="276"/>
      <c r="T787" s="276"/>
      <c r="U787" s="276"/>
      <c r="V787" s="276"/>
      <c r="W787" s="276"/>
      <c r="X787" s="276"/>
      <c r="Y787" s="276"/>
      <c r="Z787" s="276"/>
    </row>
    <row r="788" spans="1:26" ht="18.75" customHeight="1">
      <c r="A788" s="276"/>
      <c r="B788" s="276"/>
      <c r="C788" s="276"/>
      <c r="D788" s="276"/>
      <c r="E788" s="276"/>
      <c r="F788" s="276"/>
      <c r="G788" s="276"/>
      <c r="H788" s="276"/>
      <c r="I788" s="276"/>
      <c r="J788" s="276"/>
      <c r="K788" s="276"/>
      <c r="L788" s="276"/>
      <c r="M788" s="276"/>
      <c r="N788" s="276"/>
      <c r="O788" s="276"/>
      <c r="P788" s="276"/>
      <c r="Q788" s="276"/>
      <c r="R788" s="276"/>
      <c r="S788" s="276"/>
      <c r="T788" s="276"/>
      <c r="U788" s="276"/>
      <c r="V788" s="276"/>
      <c r="W788" s="276"/>
      <c r="X788" s="276"/>
      <c r="Y788" s="276"/>
      <c r="Z788" s="276"/>
    </row>
    <row r="789" spans="1:26" ht="18.75" customHeight="1">
      <c r="A789" s="276"/>
      <c r="B789" s="276"/>
      <c r="C789" s="276"/>
      <c r="D789" s="276"/>
      <c r="E789" s="276"/>
      <c r="F789" s="276"/>
      <c r="G789" s="276"/>
      <c r="H789" s="276"/>
      <c r="I789" s="276"/>
      <c r="J789" s="276"/>
      <c r="K789" s="276"/>
      <c r="L789" s="276"/>
      <c r="M789" s="276"/>
      <c r="N789" s="276"/>
      <c r="O789" s="276"/>
      <c r="P789" s="276"/>
      <c r="Q789" s="276"/>
      <c r="R789" s="276"/>
      <c r="S789" s="276"/>
      <c r="T789" s="276"/>
      <c r="U789" s="276"/>
      <c r="V789" s="276"/>
      <c r="W789" s="276"/>
      <c r="X789" s="276"/>
      <c r="Y789" s="276"/>
      <c r="Z789" s="276"/>
    </row>
    <row r="790" spans="1:26" ht="18.75" customHeight="1">
      <c r="A790" s="276"/>
      <c r="B790" s="276"/>
      <c r="C790" s="276"/>
      <c r="D790" s="276"/>
      <c r="E790" s="276"/>
      <c r="F790" s="276"/>
      <c r="G790" s="276"/>
      <c r="H790" s="276"/>
      <c r="I790" s="276"/>
      <c r="J790" s="276"/>
      <c r="K790" s="276"/>
      <c r="L790" s="276"/>
      <c r="M790" s="276"/>
      <c r="N790" s="276"/>
      <c r="O790" s="276"/>
      <c r="P790" s="276"/>
      <c r="Q790" s="276"/>
      <c r="R790" s="276"/>
      <c r="S790" s="276"/>
      <c r="T790" s="276"/>
      <c r="U790" s="276"/>
      <c r="V790" s="276"/>
      <c r="W790" s="276"/>
      <c r="X790" s="276"/>
      <c r="Y790" s="276"/>
      <c r="Z790" s="276"/>
    </row>
    <row r="791" spans="1:26" ht="18.75" customHeight="1">
      <c r="A791" s="276"/>
      <c r="B791" s="276"/>
      <c r="C791" s="276"/>
      <c r="D791" s="276"/>
      <c r="E791" s="276"/>
      <c r="F791" s="276"/>
      <c r="G791" s="276"/>
      <c r="H791" s="276"/>
      <c r="I791" s="276"/>
      <c r="J791" s="276"/>
      <c r="K791" s="276"/>
      <c r="L791" s="276"/>
      <c r="M791" s="276"/>
      <c r="N791" s="276"/>
      <c r="O791" s="276"/>
      <c r="P791" s="276"/>
      <c r="Q791" s="276"/>
      <c r="R791" s="276"/>
      <c r="S791" s="276"/>
      <c r="T791" s="276"/>
      <c r="U791" s="276"/>
      <c r="V791" s="276"/>
      <c r="W791" s="276"/>
      <c r="X791" s="276"/>
      <c r="Y791" s="276"/>
      <c r="Z791" s="276"/>
    </row>
    <row r="792" spans="1:26" ht="18.75" customHeight="1">
      <c r="A792" s="276"/>
      <c r="B792" s="276"/>
      <c r="C792" s="276"/>
      <c r="D792" s="276"/>
      <c r="E792" s="276"/>
      <c r="F792" s="276"/>
      <c r="G792" s="276"/>
      <c r="H792" s="276"/>
      <c r="I792" s="276"/>
      <c r="J792" s="276"/>
      <c r="K792" s="276"/>
      <c r="L792" s="276"/>
      <c r="M792" s="276"/>
      <c r="N792" s="276"/>
      <c r="O792" s="276"/>
      <c r="P792" s="276"/>
      <c r="Q792" s="276"/>
      <c r="R792" s="276"/>
      <c r="S792" s="276"/>
      <c r="T792" s="276"/>
      <c r="U792" s="276"/>
      <c r="V792" s="276"/>
      <c r="W792" s="276"/>
      <c r="X792" s="276"/>
      <c r="Y792" s="276"/>
      <c r="Z792" s="276"/>
    </row>
    <row r="793" spans="1:26" ht="18.75" customHeight="1">
      <c r="A793" s="276"/>
      <c r="B793" s="276"/>
      <c r="C793" s="276"/>
      <c r="D793" s="276"/>
      <c r="E793" s="276"/>
      <c r="F793" s="276"/>
      <c r="G793" s="276"/>
      <c r="H793" s="276"/>
      <c r="I793" s="276"/>
      <c r="J793" s="276"/>
      <c r="K793" s="276"/>
      <c r="L793" s="276"/>
      <c r="M793" s="276"/>
      <c r="N793" s="276"/>
      <c r="O793" s="276"/>
      <c r="P793" s="276"/>
      <c r="Q793" s="276"/>
      <c r="R793" s="276"/>
      <c r="S793" s="276"/>
      <c r="T793" s="276"/>
      <c r="U793" s="276"/>
      <c r="V793" s="276"/>
      <c r="W793" s="276"/>
      <c r="X793" s="276"/>
      <c r="Y793" s="276"/>
      <c r="Z793" s="276"/>
    </row>
    <row r="794" spans="1:26" ht="18.75" customHeight="1">
      <c r="A794" s="276"/>
      <c r="B794" s="276"/>
      <c r="C794" s="276"/>
      <c r="D794" s="276"/>
      <c r="E794" s="276"/>
      <c r="F794" s="276"/>
      <c r="G794" s="276"/>
      <c r="H794" s="276"/>
      <c r="I794" s="276"/>
      <c r="J794" s="276"/>
      <c r="K794" s="276"/>
      <c r="L794" s="276"/>
      <c r="M794" s="276"/>
      <c r="N794" s="276"/>
      <c r="O794" s="276"/>
      <c r="P794" s="276"/>
      <c r="Q794" s="276"/>
      <c r="R794" s="276"/>
      <c r="S794" s="276"/>
      <c r="T794" s="276"/>
      <c r="U794" s="276"/>
      <c r="V794" s="276"/>
      <c r="W794" s="276"/>
      <c r="X794" s="276"/>
      <c r="Y794" s="276"/>
      <c r="Z794" s="276"/>
    </row>
    <row r="795" spans="1:26" ht="18.75" customHeight="1">
      <c r="A795" s="276"/>
      <c r="B795" s="276"/>
      <c r="C795" s="276"/>
      <c r="D795" s="276"/>
      <c r="E795" s="276"/>
      <c r="F795" s="276"/>
      <c r="G795" s="276"/>
      <c r="H795" s="276"/>
      <c r="I795" s="276"/>
      <c r="J795" s="276"/>
      <c r="K795" s="276"/>
      <c r="L795" s="276"/>
      <c r="M795" s="276"/>
      <c r="N795" s="276"/>
      <c r="O795" s="276"/>
      <c r="P795" s="276"/>
      <c r="Q795" s="276"/>
      <c r="R795" s="276"/>
      <c r="S795" s="276"/>
      <c r="T795" s="276"/>
      <c r="U795" s="276"/>
      <c r="V795" s="276"/>
      <c r="W795" s="276"/>
      <c r="X795" s="276"/>
      <c r="Y795" s="276"/>
      <c r="Z795" s="276"/>
    </row>
    <row r="796" spans="1:26" ht="18.75" customHeight="1">
      <c r="A796" s="276"/>
      <c r="B796" s="276"/>
      <c r="C796" s="276"/>
      <c r="D796" s="276"/>
      <c r="E796" s="276"/>
      <c r="F796" s="276"/>
      <c r="G796" s="276"/>
      <c r="H796" s="276"/>
      <c r="I796" s="276"/>
      <c r="J796" s="276"/>
      <c r="K796" s="276"/>
      <c r="L796" s="276"/>
      <c r="M796" s="276"/>
      <c r="N796" s="276"/>
      <c r="O796" s="276"/>
      <c r="P796" s="276"/>
      <c r="Q796" s="276"/>
      <c r="R796" s="276"/>
      <c r="S796" s="276"/>
      <c r="T796" s="276"/>
      <c r="U796" s="276"/>
      <c r="V796" s="276"/>
      <c r="W796" s="276"/>
      <c r="X796" s="276"/>
      <c r="Y796" s="276"/>
      <c r="Z796" s="276"/>
    </row>
    <row r="797" spans="1:26" ht="18.75" customHeight="1">
      <c r="A797" s="276"/>
      <c r="B797" s="276"/>
      <c r="C797" s="276"/>
      <c r="D797" s="276"/>
      <c r="E797" s="276"/>
      <c r="F797" s="276"/>
      <c r="G797" s="276"/>
      <c r="H797" s="276"/>
      <c r="I797" s="276"/>
      <c r="J797" s="276"/>
      <c r="K797" s="276"/>
      <c r="L797" s="276"/>
      <c r="M797" s="276"/>
      <c r="N797" s="276"/>
      <c r="O797" s="276"/>
      <c r="P797" s="276"/>
      <c r="Q797" s="276"/>
      <c r="R797" s="276"/>
      <c r="S797" s="276"/>
      <c r="T797" s="276"/>
      <c r="U797" s="276"/>
      <c r="V797" s="276"/>
      <c r="W797" s="276"/>
      <c r="X797" s="276"/>
      <c r="Y797" s="276"/>
      <c r="Z797" s="276"/>
    </row>
    <row r="798" spans="1:26" ht="18.75" customHeight="1">
      <c r="A798" s="276"/>
      <c r="B798" s="276"/>
      <c r="C798" s="276"/>
      <c r="D798" s="276"/>
      <c r="E798" s="276"/>
      <c r="F798" s="276"/>
      <c r="G798" s="276"/>
      <c r="H798" s="276"/>
      <c r="I798" s="276"/>
      <c r="J798" s="276"/>
      <c r="K798" s="276"/>
      <c r="L798" s="276"/>
      <c r="M798" s="276"/>
      <c r="N798" s="276"/>
      <c r="O798" s="276"/>
      <c r="P798" s="276"/>
      <c r="Q798" s="276"/>
      <c r="R798" s="276"/>
      <c r="S798" s="276"/>
      <c r="T798" s="276"/>
      <c r="U798" s="276"/>
      <c r="V798" s="276"/>
      <c r="W798" s="276"/>
      <c r="X798" s="276"/>
      <c r="Y798" s="276"/>
      <c r="Z798" s="276"/>
    </row>
    <row r="799" spans="1:26" ht="18.75" customHeight="1">
      <c r="A799" s="276"/>
      <c r="B799" s="276"/>
      <c r="C799" s="276"/>
      <c r="D799" s="276"/>
      <c r="E799" s="276"/>
      <c r="F799" s="276"/>
      <c r="G799" s="276"/>
      <c r="H799" s="276"/>
      <c r="I799" s="276"/>
      <c r="J799" s="276"/>
      <c r="K799" s="276"/>
      <c r="L799" s="276"/>
      <c r="M799" s="276"/>
      <c r="N799" s="276"/>
      <c r="O799" s="276"/>
      <c r="P799" s="276"/>
      <c r="Q799" s="276"/>
      <c r="R799" s="276"/>
      <c r="S799" s="276"/>
      <c r="T799" s="276"/>
      <c r="U799" s="276"/>
      <c r="V799" s="276"/>
      <c r="W799" s="276"/>
      <c r="X799" s="276"/>
      <c r="Y799" s="276"/>
      <c r="Z799" s="276"/>
    </row>
    <row r="800" spans="1:26" ht="18.75" customHeight="1">
      <c r="A800" s="276"/>
      <c r="B800" s="276"/>
      <c r="C800" s="276"/>
      <c r="D800" s="276"/>
      <c r="E800" s="276"/>
      <c r="F800" s="276"/>
      <c r="G800" s="276"/>
      <c r="H800" s="276"/>
      <c r="I800" s="276"/>
      <c r="J800" s="276"/>
      <c r="K800" s="276"/>
      <c r="L800" s="276"/>
      <c r="M800" s="276"/>
      <c r="N800" s="276"/>
      <c r="O800" s="276"/>
      <c r="P800" s="276"/>
      <c r="Q800" s="276"/>
      <c r="R800" s="276"/>
      <c r="S800" s="276"/>
      <c r="T800" s="276"/>
      <c r="U800" s="276"/>
      <c r="V800" s="276"/>
      <c r="W800" s="276"/>
      <c r="X800" s="276"/>
      <c r="Y800" s="276"/>
      <c r="Z800" s="276"/>
    </row>
    <row r="801" spans="1:26" ht="18.75" customHeight="1">
      <c r="A801" s="276"/>
      <c r="B801" s="276"/>
      <c r="C801" s="276"/>
      <c r="D801" s="276"/>
      <c r="E801" s="276"/>
      <c r="F801" s="276"/>
      <c r="G801" s="276"/>
      <c r="H801" s="276"/>
      <c r="I801" s="276"/>
      <c r="J801" s="276"/>
      <c r="K801" s="276"/>
      <c r="L801" s="276"/>
      <c r="M801" s="276"/>
      <c r="N801" s="276"/>
      <c r="O801" s="276"/>
      <c r="P801" s="276"/>
      <c r="Q801" s="276"/>
      <c r="R801" s="276"/>
      <c r="S801" s="276"/>
      <c r="T801" s="276"/>
      <c r="U801" s="276"/>
      <c r="V801" s="276"/>
      <c r="W801" s="276"/>
      <c r="X801" s="276"/>
      <c r="Y801" s="276"/>
      <c r="Z801" s="276"/>
    </row>
    <row r="802" spans="1:26" ht="18.75" customHeight="1">
      <c r="A802" s="276"/>
      <c r="B802" s="276"/>
      <c r="C802" s="276"/>
      <c r="D802" s="276"/>
      <c r="E802" s="276"/>
      <c r="F802" s="276"/>
      <c r="G802" s="276"/>
      <c r="H802" s="276"/>
      <c r="I802" s="276"/>
      <c r="J802" s="276"/>
      <c r="K802" s="276"/>
      <c r="L802" s="276"/>
      <c r="M802" s="276"/>
      <c r="N802" s="276"/>
      <c r="O802" s="276"/>
      <c r="P802" s="276"/>
      <c r="Q802" s="276"/>
      <c r="R802" s="276"/>
      <c r="S802" s="276"/>
      <c r="T802" s="276"/>
      <c r="U802" s="276"/>
      <c r="V802" s="276"/>
      <c r="W802" s="276"/>
      <c r="X802" s="276"/>
      <c r="Y802" s="276"/>
      <c r="Z802" s="276"/>
    </row>
    <row r="803" spans="1:26" ht="18.75" customHeight="1">
      <c r="A803" s="276"/>
      <c r="B803" s="276"/>
      <c r="C803" s="276"/>
      <c r="D803" s="276"/>
      <c r="E803" s="276"/>
      <c r="F803" s="276"/>
      <c r="G803" s="276"/>
      <c r="H803" s="276"/>
      <c r="I803" s="276"/>
      <c r="J803" s="276"/>
      <c r="K803" s="276"/>
      <c r="L803" s="276"/>
      <c r="M803" s="276"/>
      <c r="N803" s="276"/>
      <c r="O803" s="276"/>
      <c r="P803" s="276"/>
      <c r="Q803" s="276"/>
      <c r="R803" s="276"/>
      <c r="S803" s="276"/>
      <c r="T803" s="276"/>
      <c r="U803" s="276"/>
      <c r="V803" s="276"/>
      <c r="W803" s="276"/>
      <c r="X803" s="276"/>
      <c r="Y803" s="276"/>
      <c r="Z803" s="276"/>
    </row>
    <row r="804" spans="1:26" ht="18.75" customHeight="1">
      <c r="A804" s="276"/>
      <c r="B804" s="276"/>
      <c r="C804" s="276"/>
      <c r="D804" s="276"/>
      <c r="E804" s="276"/>
      <c r="F804" s="276"/>
      <c r="G804" s="276"/>
      <c r="H804" s="276"/>
      <c r="I804" s="276"/>
      <c r="J804" s="276"/>
      <c r="K804" s="276"/>
      <c r="L804" s="276"/>
      <c r="M804" s="276"/>
      <c r="N804" s="276"/>
      <c r="O804" s="276"/>
      <c r="P804" s="276"/>
      <c r="Q804" s="276"/>
      <c r="R804" s="276"/>
      <c r="S804" s="276"/>
      <c r="T804" s="276"/>
      <c r="U804" s="276"/>
      <c r="V804" s="276"/>
      <c r="W804" s="276"/>
      <c r="X804" s="276"/>
      <c r="Y804" s="276"/>
      <c r="Z804" s="276"/>
    </row>
    <row r="805" spans="1:26" ht="18.75" customHeight="1">
      <c r="A805" s="276"/>
      <c r="B805" s="276"/>
      <c r="C805" s="276"/>
      <c r="D805" s="276"/>
      <c r="E805" s="276"/>
      <c r="F805" s="276"/>
      <c r="G805" s="276"/>
      <c r="H805" s="276"/>
      <c r="I805" s="276"/>
      <c r="J805" s="276"/>
      <c r="K805" s="276"/>
      <c r="L805" s="276"/>
      <c r="M805" s="276"/>
      <c r="N805" s="276"/>
      <c r="O805" s="276"/>
      <c r="P805" s="276"/>
      <c r="Q805" s="276"/>
      <c r="R805" s="276"/>
      <c r="S805" s="276"/>
      <c r="T805" s="276"/>
      <c r="U805" s="276"/>
      <c r="V805" s="276"/>
      <c r="W805" s="276"/>
      <c r="X805" s="276"/>
      <c r="Y805" s="276"/>
      <c r="Z805" s="276"/>
    </row>
    <row r="806" spans="1:26" ht="18.75" customHeight="1">
      <c r="A806" s="276"/>
      <c r="B806" s="276"/>
      <c r="C806" s="276"/>
      <c r="D806" s="276"/>
      <c r="E806" s="276"/>
      <c r="F806" s="276"/>
      <c r="G806" s="276"/>
      <c r="H806" s="276"/>
      <c r="I806" s="276"/>
      <c r="J806" s="276"/>
      <c r="K806" s="276"/>
      <c r="L806" s="276"/>
      <c r="M806" s="276"/>
      <c r="N806" s="276"/>
      <c r="O806" s="276"/>
      <c r="P806" s="276"/>
      <c r="Q806" s="276"/>
      <c r="R806" s="276"/>
      <c r="S806" s="276"/>
      <c r="T806" s="276"/>
      <c r="U806" s="276"/>
      <c r="V806" s="276"/>
      <c r="W806" s="276"/>
      <c r="X806" s="276"/>
      <c r="Y806" s="276"/>
      <c r="Z806" s="276"/>
    </row>
    <row r="807" spans="1:26" ht="18.75" customHeight="1">
      <c r="A807" s="276"/>
      <c r="B807" s="276"/>
      <c r="C807" s="276"/>
      <c r="D807" s="276"/>
      <c r="E807" s="276"/>
      <c r="F807" s="276"/>
      <c r="G807" s="276"/>
      <c r="H807" s="276"/>
      <c r="I807" s="276"/>
      <c r="J807" s="276"/>
      <c r="K807" s="276"/>
      <c r="L807" s="276"/>
      <c r="M807" s="276"/>
      <c r="N807" s="276"/>
      <c r="O807" s="276"/>
      <c r="P807" s="276"/>
      <c r="Q807" s="276"/>
      <c r="R807" s="276"/>
      <c r="S807" s="276"/>
      <c r="T807" s="276"/>
      <c r="U807" s="276"/>
      <c r="V807" s="276"/>
      <c r="W807" s="276"/>
      <c r="X807" s="276"/>
      <c r="Y807" s="276"/>
      <c r="Z807" s="276"/>
    </row>
    <row r="808" spans="1:26" ht="18.75" customHeight="1">
      <c r="A808" s="276"/>
      <c r="B808" s="276"/>
      <c r="C808" s="276"/>
      <c r="D808" s="276"/>
      <c r="E808" s="276"/>
      <c r="F808" s="276"/>
      <c r="G808" s="276"/>
      <c r="H808" s="276"/>
      <c r="I808" s="276"/>
      <c r="J808" s="276"/>
      <c r="K808" s="276"/>
      <c r="L808" s="276"/>
      <c r="M808" s="276"/>
      <c r="N808" s="276"/>
      <c r="O808" s="276"/>
      <c r="P808" s="276"/>
      <c r="Q808" s="276"/>
      <c r="R808" s="276"/>
      <c r="S808" s="276"/>
      <c r="T808" s="276"/>
      <c r="U808" s="276"/>
      <c r="V808" s="276"/>
      <c r="W808" s="276"/>
      <c r="X808" s="276"/>
      <c r="Y808" s="276"/>
      <c r="Z808" s="276"/>
    </row>
    <row r="809" spans="1:26" ht="18.75" customHeight="1">
      <c r="A809" s="276"/>
      <c r="B809" s="276"/>
      <c r="C809" s="276"/>
      <c r="D809" s="276"/>
      <c r="E809" s="276"/>
      <c r="F809" s="276"/>
      <c r="G809" s="276"/>
      <c r="H809" s="276"/>
      <c r="I809" s="276"/>
      <c r="J809" s="276"/>
      <c r="K809" s="276"/>
      <c r="L809" s="276"/>
      <c r="M809" s="276"/>
      <c r="N809" s="276"/>
      <c r="O809" s="276"/>
      <c r="P809" s="276"/>
      <c r="Q809" s="276"/>
      <c r="R809" s="276"/>
      <c r="S809" s="276"/>
      <c r="T809" s="276"/>
      <c r="U809" s="276"/>
      <c r="V809" s="276"/>
      <c r="W809" s="276"/>
      <c r="X809" s="276"/>
      <c r="Y809" s="276"/>
      <c r="Z809" s="276"/>
    </row>
    <row r="810" spans="1:26" ht="18.75" customHeight="1">
      <c r="A810" s="276"/>
      <c r="B810" s="276"/>
      <c r="C810" s="276"/>
      <c r="D810" s="276"/>
      <c r="E810" s="276"/>
      <c r="F810" s="276"/>
      <c r="G810" s="276"/>
      <c r="H810" s="276"/>
      <c r="I810" s="276"/>
      <c r="J810" s="276"/>
      <c r="K810" s="276"/>
      <c r="L810" s="276"/>
      <c r="M810" s="276"/>
      <c r="N810" s="276"/>
      <c r="O810" s="276"/>
      <c r="P810" s="276"/>
      <c r="Q810" s="276"/>
      <c r="R810" s="276"/>
      <c r="S810" s="276"/>
      <c r="T810" s="276"/>
      <c r="U810" s="276"/>
      <c r="V810" s="276"/>
      <c r="W810" s="276"/>
      <c r="X810" s="276"/>
      <c r="Y810" s="276"/>
      <c r="Z810" s="276"/>
    </row>
    <row r="811" spans="1:26" ht="18.75" customHeight="1">
      <c r="A811" s="276"/>
      <c r="B811" s="276"/>
      <c r="C811" s="276"/>
      <c r="D811" s="276"/>
      <c r="E811" s="276"/>
      <c r="F811" s="276"/>
      <c r="G811" s="276"/>
      <c r="H811" s="276"/>
      <c r="I811" s="276"/>
      <c r="J811" s="276"/>
      <c r="K811" s="276"/>
      <c r="L811" s="276"/>
      <c r="M811" s="276"/>
      <c r="N811" s="276"/>
      <c r="O811" s="276"/>
      <c r="P811" s="276"/>
      <c r="Q811" s="276"/>
      <c r="R811" s="276"/>
      <c r="S811" s="276"/>
      <c r="T811" s="276"/>
      <c r="U811" s="276"/>
      <c r="V811" s="276"/>
      <c r="W811" s="276"/>
      <c r="X811" s="276"/>
      <c r="Y811" s="276"/>
      <c r="Z811" s="276"/>
    </row>
    <row r="812" spans="1:26" ht="18.75" customHeight="1">
      <c r="A812" s="276"/>
      <c r="B812" s="276"/>
      <c r="C812" s="276"/>
      <c r="D812" s="276"/>
      <c r="E812" s="276"/>
      <c r="F812" s="276"/>
      <c r="G812" s="276"/>
      <c r="H812" s="276"/>
      <c r="I812" s="276"/>
      <c r="J812" s="276"/>
      <c r="K812" s="276"/>
      <c r="L812" s="276"/>
      <c r="M812" s="276"/>
      <c r="N812" s="276"/>
      <c r="O812" s="276"/>
      <c r="P812" s="276"/>
      <c r="Q812" s="276"/>
      <c r="R812" s="276"/>
      <c r="S812" s="276"/>
      <c r="T812" s="276"/>
      <c r="U812" s="276"/>
      <c r="V812" s="276"/>
      <c r="W812" s="276"/>
      <c r="X812" s="276"/>
      <c r="Y812" s="276"/>
      <c r="Z812" s="276"/>
    </row>
    <row r="813" spans="1:26" ht="18.75" customHeight="1">
      <c r="A813" s="276"/>
      <c r="B813" s="276"/>
      <c r="C813" s="276"/>
      <c r="D813" s="276"/>
      <c r="E813" s="276"/>
      <c r="F813" s="276"/>
      <c r="G813" s="276"/>
      <c r="H813" s="276"/>
      <c r="I813" s="276"/>
      <c r="J813" s="276"/>
      <c r="K813" s="276"/>
      <c r="L813" s="276"/>
      <c r="M813" s="276"/>
      <c r="N813" s="276"/>
      <c r="O813" s="276"/>
      <c r="P813" s="276"/>
      <c r="Q813" s="276"/>
      <c r="R813" s="276"/>
      <c r="S813" s="276"/>
      <c r="T813" s="276"/>
      <c r="U813" s="276"/>
      <c r="V813" s="276"/>
      <c r="W813" s="276"/>
      <c r="X813" s="276"/>
      <c r="Y813" s="276"/>
      <c r="Z813" s="276"/>
    </row>
    <row r="814" spans="1:26" ht="18.75" customHeight="1">
      <c r="A814" s="276"/>
      <c r="B814" s="276"/>
      <c r="C814" s="276"/>
      <c r="D814" s="276"/>
      <c r="E814" s="276"/>
      <c r="F814" s="276"/>
      <c r="G814" s="276"/>
      <c r="H814" s="276"/>
      <c r="I814" s="276"/>
      <c r="J814" s="276"/>
      <c r="K814" s="276"/>
      <c r="L814" s="276"/>
      <c r="M814" s="276"/>
      <c r="N814" s="276"/>
      <c r="O814" s="276"/>
      <c r="P814" s="276"/>
      <c r="Q814" s="276"/>
      <c r="R814" s="276"/>
      <c r="S814" s="276"/>
      <c r="T814" s="276"/>
      <c r="U814" s="276"/>
      <c r="V814" s="276"/>
      <c r="W814" s="276"/>
      <c r="X814" s="276"/>
      <c r="Y814" s="276"/>
      <c r="Z814" s="276"/>
    </row>
    <row r="815" spans="1:26" ht="18.75" customHeight="1">
      <c r="A815" s="276"/>
      <c r="B815" s="276"/>
      <c r="C815" s="276"/>
      <c r="D815" s="276"/>
      <c r="E815" s="276"/>
      <c r="F815" s="276"/>
      <c r="G815" s="276"/>
      <c r="H815" s="276"/>
      <c r="I815" s="276"/>
      <c r="J815" s="276"/>
      <c r="K815" s="276"/>
      <c r="L815" s="276"/>
      <c r="M815" s="276"/>
      <c r="N815" s="276"/>
      <c r="O815" s="276"/>
      <c r="P815" s="276"/>
      <c r="Q815" s="276"/>
      <c r="R815" s="276"/>
      <c r="S815" s="276"/>
      <c r="T815" s="276"/>
      <c r="U815" s="276"/>
      <c r="V815" s="276"/>
      <c r="W815" s="276"/>
      <c r="X815" s="276"/>
      <c r="Y815" s="276"/>
      <c r="Z815" s="276"/>
    </row>
    <row r="816" spans="1:26" ht="18.75" customHeight="1">
      <c r="A816" s="276"/>
      <c r="B816" s="276"/>
      <c r="C816" s="276"/>
      <c r="D816" s="276"/>
      <c r="E816" s="276"/>
      <c r="F816" s="276"/>
      <c r="G816" s="276"/>
      <c r="H816" s="276"/>
      <c r="I816" s="276"/>
      <c r="J816" s="276"/>
      <c r="K816" s="276"/>
      <c r="L816" s="276"/>
      <c r="M816" s="276"/>
      <c r="N816" s="276"/>
      <c r="O816" s="276"/>
      <c r="P816" s="276"/>
      <c r="Q816" s="276"/>
      <c r="R816" s="276"/>
      <c r="S816" s="276"/>
      <c r="T816" s="276"/>
      <c r="U816" s="276"/>
      <c r="V816" s="276"/>
      <c r="W816" s="276"/>
      <c r="X816" s="276"/>
      <c r="Y816" s="276"/>
      <c r="Z816" s="276"/>
    </row>
    <row r="817" spans="1:26" ht="18.75" customHeight="1">
      <c r="A817" s="276"/>
      <c r="B817" s="276"/>
      <c r="C817" s="276"/>
      <c r="D817" s="276"/>
      <c r="E817" s="276"/>
      <c r="F817" s="276"/>
      <c r="G817" s="276"/>
      <c r="H817" s="276"/>
      <c r="I817" s="276"/>
      <c r="J817" s="276"/>
      <c r="K817" s="276"/>
      <c r="L817" s="276"/>
      <c r="M817" s="276"/>
      <c r="N817" s="276"/>
      <c r="O817" s="276"/>
      <c r="P817" s="276"/>
      <c r="Q817" s="276"/>
      <c r="R817" s="276"/>
      <c r="S817" s="276"/>
      <c r="T817" s="276"/>
      <c r="U817" s="276"/>
      <c r="V817" s="276"/>
      <c r="W817" s="276"/>
      <c r="X817" s="276"/>
      <c r="Y817" s="276"/>
      <c r="Z817" s="276"/>
    </row>
    <row r="818" spans="1:26" ht="18.75" customHeight="1">
      <c r="A818" s="276"/>
      <c r="B818" s="276"/>
      <c r="C818" s="276"/>
      <c r="D818" s="276"/>
      <c r="E818" s="276"/>
      <c r="F818" s="276"/>
      <c r="G818" s="276"/>
      <c r="H818" s="276"/>
      <c r="I818" s="276"/>
      <c r="J818" s="276"/>
      <c r="K818" s="276"/>
      <c r="L818" s="276"/>
      <c r="M818" s="276"/>
      <c r="N818" s="276"/>
      <c r="O818" s="276"/>
      <c r="P818" s="276"/>
      <c r="Q818" s="276"/>
      <c r="R818" s="276"/>
      <c r="S818" s="276"/>
      <c r="T818" s="276"/>
      <c r="U818" s="276"/>
      <c r="V818" s="276"/>
      <c r="W818" s="276"/>
      <c r="X818" s="276"/>
      <c r="Y818" s="276"/>
      <c r="Z818" s="276"/>
    </row>
    <row r="819" spans="1:26" ht="18.75" customHeight="1">
      <c r="A819" s="276"/>
      <c r="B819" s="276"/>
      <c r="C819" s="276"/>
      <c r="D819" s="276"/>
      <c r="E819" s="276"/>
      <c r="F819" s="276"/>
      <c r="G819" s="276"/>
      <c r="H819" s="276"/>
      <c r="I819" s="276"/>
      <c r="J819" s="276"/>
      <c r="K819" s="276"/>
      <c r="L819" s="276"/>
      <c r="M819" s="276"/>
      <c r="N819" s="276"/>
      <c r="O819" s="276"/>
      <c r="P819" s="276"/>
      <c r="Q819" s="276"/>
      <c r="R819" s="276"/>
      <c r="S819" s="276"/>
      <c r="T819" s="276"/>
      <c r="U819" s="276"/>
      <c r="V819" s="276"/>
      <c r="W819" s="276"/>
      <c r="X819" s="276"/>
      <c r="Y819" s="276"/>
      <c r="Z819" s="276"/>
    </row>
    <row r="820" spans="1:26" ht="18.75" customHeight="1">
      <c r="A820" s="276"/>
      <c r="B820" s="276"/>
      <c r="C820" s="276"/>
      <c r="D820" s="276"/>
      <c r="E820" s="276"/>
      <c r="F820" s="276"/>
      <c r="G820" s="276"/>
      <c r="H820" s="276"/>
      <c r="I820" s="276"/>
      <c r="J820" s="276"/>
      <c r="K820" s="276"/>
      <c r="L820" s="276"/>
      <c r="M820" s="276"/>
      <c r="N820" s="276"/>
      <c r="O820" s="276"/>
      <c r="P820" s="276"/>
      <c r="Q820" s="276"/>
      <c r="R820" s="276"/>
      <c r="S820" s="276"/>
      <c r="T820" s="276"/>
      <c r="U820" s="276"/>
      <c r="V820" s="276"/>
      <c r="W820" s="276"/>
      <c r="X820" s="276"/>
      <c r="Y820" s="276"/>
      <c r="Z820" s="276"/>
    </row>
    <row r="821" spans="1:26" ht="18.75" customHeight="1">
      <c r="A821" s="276"/>
      <c r="B821" s="276"/>
      <c r="C821" s="276"/>
      <c r="D821" s="276"/>
      <c r="E821" s="276"/>
      <c r="F821" s="276"/>
      <c r="G821" s="276"/>
      <c r="H821" s="276"/>
      <c r="I821" s="276"/>
      <c r="J821" s="276"/>
      <c r="K821" s="276"/>
      <c r="L821" s="276"/>
      <c r="M821" s="276"/>
      <c r="N821" s="276"/>
      <c r="O821" s="276"/>
      <c r="P821" s="276"/>
      <c r="Q821" s="276"/>
      <c r="R821" s="276"/>
      <c r="S821" s="276"/>
      <c r="T821" s="276"/>
      <c r="U821" s="276"/>
      <c r="V821" s="276"/>
      <c r="W821" s="276"/>
      <c r="X821" s="276"/>
      <c r="Y821" s="276"/>
      <c r="Z821" s="276"/>
    </row>
    <row r="822" spans="1:26" ht="18.75" customHeight="1">
      <c r="A822" s="276"/>
      <c r="B822" s="276"/>
      <c r="C822" s="276"/>
      <c r="D822" s="276"/>
      <c r="E822" s="276"/>
      <c r="F822" s="276"/>
      <c r="G822" s="276"/>
      <c r="H822" s="276"/>
      <c r="I822" s="276"/>
      <c r="J822" s="276"/>
      <c r="K822" s="276"/>
      <c r="L822" s="276"/>
      <c r="M822" s="276"/>
      <c r="N822" s="276"/>
      <c r="O822" s="276"/>
      <c r="P822" s="276"/>
      <c r="Q822" s="276"/>
      <c r="R822" s="276"/>
      <c r="S822" s="276"/>
      <c r="T822" s="276"/>
      <c r="U822" s="276"/>
      <c r="V822" s="276"/>
      <c r="W822" s="276"/>
      <c r="X822" s="276"/>
      <c r="Y822" s="276"/>
      <c r="Z822" s="276"/>
    </row>
    <row r="823" spans="1:26" ht="18.75" customHeight="1">
      <c r="A823" s="276"/>
      <c r="B823" s="276"/>
      <c r="C823" s="276"/>
      <c r="D823" s="276"/>
      <c r="E823" s="276"/>
      <c r="F823" s="276"/>
      <c r="G823" s="276"/>
      <c r="H823" s="276"/>
      <c r="I823" s="276"/>
      <c r="J823" s="276"/>
      <c r="K823" s="276"/>
      <c r="L823" s="276"/>
      <c r="M823" s="276"/>
      <c r="N823" s="276"/>
      <c r="O823" s="276"/>
      <c r="P823" s="276"/>
      <c r="Q823" s="276"/>
      <c r="R823" s="276"/>
      <c r="S823" s="276"/>
      <c r="T823" s="276"/>
      <c r="U823" s="276"/>
      <c r="V823" s="276"/>
      <c r="W823" s="276"/>
      <c r="X823" s="276"/>
      <c r="Y823" s="276"/>
      <c r="Z823" s="276"/>
    </row>
    <row r="824" spans="1:26" ht="18.75" customHeight="1">
      <c r="A824" s="276"/>
      <c r="B824" s="276"/>
      <c r="C824" s="276"/>
      <c r="D824" s="276"/>
      <c r="E824" s="276"/>
      <c r="F824" s="276"/>
      <c r="G824" s="276"/>
      <c r="H824" s="276"/>
      <c r="I824" s="276"/>
      <c r="J824" s="276"/>
      <c r="K824" s="276"/>
      <c r="L824" s="276"/>
      <c r="M824" s="276"/>
      <c r="N824" s="276"/>
      <c r="O824" s="276"/>
      <c r="P824" s="276"/>
      <c r="Q824" s="276"/>
      <c r="R824" s="276"/>
      <c r="S824" s="276"/>
      <c r="T824" s="276"/>
      <c r="U824" s="276"/>
      <c r="V824" s="276"/>
      <c r="W824" s="276"/>
      <c r="X824" s="276"/>
      <c r="Y824" s="276"/>
      <c r="Z824" s="276"/>
    </row>
    <row r="825" spans="1:26" ht="18.75" customHeight="1">
      <c r="A825" s="276"/>
      <c r="B825" s="276"/>
      <c r="C825" s="276"/>
      <c r="D825" s="276"/>
      <c r="E825" s="276"/>
      <c r="F825" s="276"/>
      <c r="G825" s="276"/>
      <c r="H825" s="276"/>
      <c r="I825" s="276"/>
      <c r="J825" s="276"/>
      <c r="K825" s="276"/>
      <c r="L825" s="276"/>
      <c r="M825" s="276"/>
      <c r="N825" s="276"/>
      <c r="O825" s="276"/>
      <c r="P825" s="276"/>
      <c r="Q825" s="276"/>
      <c r="R825" s="276"/>
      <c r="S825" s="276"/>
      <c r="T825" s="276"/>
      <c r="U825" s="276"/>
      <c r="V825" s="276"/>
      <c r="W825" s="276"/>
      <c r="X825" s="276"/>
      <c r="Y825" s="276"/>
      <c r="Z825" s="276"/>
    </row>
    <row r="826" spans="1:26" ht="18.75" customHeight="1">
      <c r="A826" s="276"/>
      <c r="B826" s="276"/>
      <c r="C826" s="276"/>
      <c r="D826" s="276"/>
      <c r="E826" s="276"/>
      <c r="F826" s="276"/>
      <c r="G826" s="276"/>
      <c r="H826" s="276"/>
      <c r="I826" s="276"/>
      <c r="J826" s="276"/>
      <c r="K826" s="276"/>
      <c r="L826" s="276"/>
      <c r="M826" s="276"/>
      <c r="N826" s="276"/>
      <c r="O826" s="276"/>
      <c r="P826" s="276"/>
      <c r="Q826" s="276"/>
      <c r="R826" s="276"/>
      <c r="S826" s="276"/>
      <c r="T826" s="276"/>
      <c r="U826" s="276"/>
      <c r="V826" s="276"/>
      <c r="W826" s="276"/>
      <c r="X826" s="276"/>
      <c r="Y826" s="276"/>
      <c r="Z826" s="276"/>
    </row>
    <row r="827" spans="1:26" ht="18.75" customHeight="1">
      <c r="A827" s="276"/>
      <c r="B827" s="276"/>
      <c r="C827" s="276"/>
      <c r="D827" s="276"/>
      <c r="E827" s="276"/>
      <c r="F827" s="276"/>
      <c r="G827" s="276"/>
      <c r="H827" s="276"/>
      <c r="I827" s="276"/>
      <c r="J827" s="276"/>
      <c r="K827" s="276"/>
      <c r="L827" s="276"/>
      <c r="M827" s="276"/>
      <c r="N827" s="276"/>
      <c r="O827" s="276"/>
      <c r="P827" s="276"/>
      <c r="Q827" s="276"/>
      <c r="R827" s="276"/>
      <c r="S827" s="276"/>
      <c r="T827" s="276"/>
      <c r="U827" s="276"/>
      <c r="V827" s="276"/>
      <c r="W827" s="276"/>
      <c r="X827" s="276"/>
      <c r="Y827" s="276"/>
      <c r="Z827" s="276"/>
    </row>
    <row r="828" spans="1:26" ht="18.75" customHeight="1">
      <c r="A828" s="276"/>
      <c r="B828" s="276"/>
      <c r="C828" s="276"/>
      <c r="D828" s="276"/>
      <c r="E828" s="276"/>
      <c r="F828" s="276"/>
      <c r="G828" s="276"/>
      <c r="H828" s="276"/>
      <c r="I828" s="276"/>
      <c r="J828" s="276"/>
      <c r="K828" s="276"/>
      <c r="L828" s="276"/>
      <c r="M828" s="276"/>
      <c r="N828" s="276"/>
      <c r="O828" s="276"/>
      <c r="P828" s="276"/>
      <c r="Q828" s="276"/>
      <c r="R828" s="276"/>
      <c r="S828" s="276"/>
      <c r="T828" s="276"/>
      <c r="U828" s="276"/>
      <c r="V828" s="276"/>
      <c r="W828" s="276"/>
      <c r="X828" s="276"/>
      <c r="Y828" s="276"/>
      <c r="Z828" s="276"/>
    </row>
    <row r="829" spans="1:26" ht="18.75" customHeight="1">
      <c r="A829" s="276"/>
      <c r="B829" s="276"/>
      <c r="C829" s="276"/>
      <c r="D829" s="276"/>
      <c r="E829" s="276"/>
      <c r="F829" s="276"/>
      <c r="G829" s="276"/>
      <c r="H829" s="276"/>
      <c r="I829" s="276"/>
      <c r="J829" s="276"/>
      <c r="K829" s="276"/>
      <c r="L829" s="276"/>
      <c r="M829" s="276"/>
      <c r="N829" s="276"/>
      <c r="O829" s="276"/>
      <c r="P829" s="276"/>
      <c r="Q829" s="276"/>
      <c r="R829" s="276"/>
      <c r="S829" s="276"/>
      <c r="T829" s="276"/>
      <c r="U829" s="276"/>
      <c r="V829" s="276"/>
      <c r="W829" s="276"/>
      <c r="X829" s="276"/>
      <c r="Y829" s="276"/>
      <c r="Z829" s="276"/>
    </row>
    <row r="830" spans="1:26" ht="18.75" customHeight="1">
      <c r="A830" s="276"/>
      <c r="B830" s="276"/>
      <c r="C830" s="276"/>
      <c r="D830" s="276"/>
      <c r="E830" s="276"/>
      <c r="F830" s="276"/>
      <c r="G830" s="276"/>
      <c r="H830" s="276"/>
      <c r="I830" s="276"/>
      <c r="J830" s="276"/>
      <c r="K830" s="276"/>
      <c r="L830" s="276"/>
      <c r="M830" s="276"/>
      <c r="N830" s="276"/>
      <c r="O830" s="276"/>
      <c r="P830" s="276"/>
      <c r="Q830" s="276"/>
      <c r="R830" s="276"/>
      <c r="S830" s="276"/>
      <c r="T830" s="276"/>
      <c r="U830" s="276"/>
      <c r="V830" s="276"/>
      <c r="W830" s="276"/>
      <c r="X830" s="276"/>
      <c r="Y830" s="276"/>
      <c r="Z830" s="276"/>
    </row>
    <row r="831" spans="1:26" ht="18.75" customHeight="1">
      <c r="A831" s="276"/>
      <c r="B831" s="276"/>
      <c r="C831" s="276"/>
      <c r="D831" s="276"/>
      <c r="E831" s="276"/>
      <c r="F831" s="276"/>
      <c r="G831" s="276"/>
      <c r="H831" s="276"/>
      <c r="I831" s="276"/>
      <c r="J831" s="276"/>
      <c r="K831" s="276"/>
      <c r="L831" s="276"/>
      <c r="M831" s="276"/>
      <c r="N831" s="276"/>
      <c r="O831" s="276"/>
      <c r="P831" s="276"/>
      <c r="Q831" s="276"/>
      <c r="R831" s="276"/>
      <c r="S831" s="276"/>
      <c r="T831" s="276"/>
      <c r="U831" s="276"/>
      <c r="V831" s="276"/>
      <c r="W831" s="276"/>
      <c r="X831" s="276"/>
      <c r="Y831" s="276"/>
      <c r="Z831" s="276"/>
    </row>
    <row r="832" spans="1:26" ht="18.75" customHeight="1">
      <c r="A832" s="276"/>
      <c r="B832" s="276"/>
      <c r="C832" s="276"/>
      <c r="D832" s="276"/>
      <c r="E832" s="276"/>
      <c r="F832" s="276"/>
      <c r="G832" s="276"/>
      <c r="H832" s="276"/>
      <c r="I832" s="276"/>
      <c r="J832" s="276"/>
      <c r="K832" s="276"/>
      <c r="L832" s="276"/>
      <c r="M832" s="276"/>
      <c r="N832" s="276"/>
      <c r="O832" s="276"/>
      <c r="P832" s="276"/>
      <c r="Q832" s="276"/>
      <c r="R832" s="276"/>
      <c r="S832" s="276"/>
      <c r="T832" s="276"/>
      <c r="U832" s="276"/>
      <c r="V832" s="276"/>
      <c r="W832" s="276"/>
      <c r="X832" s="276"/>
      <c r="Y832" s="276"/>
      <c r="Z832" s="276"/>
    </row>
    <row r="833" spans="1:26" ht="18.75" customHeight="1">
      <c r="A833" s="276"/>
      <c r="B833" s="276"/>
      <c r="C833" s="276"/>
      <c r="D833" s="276"/>
      <c r="E833" s="276"/>
      <c r="F833" s="276"/>
      <c r="G833" s="276"/>
      <c r="H833" s="276"/>
      <c r="I833" s="276"/>
      <c r="J833" s="276"/>
      <c r="K833" s="276"/>
      <c r="L833" s="276"/>
      <c r="M833" s="276"/>
      <c r="N833" s="276"/>
      <c r="O833" s="276"/>
      <c r="P833" s="276"/>
      <c r="Q833" s="276"/>
      <c r="R833" s="276"/>
      <c r="S833" s="276"/>
      <c r="T833" s="276"/>
      <c r="U833" s="276"/>
      <c r="V833" s="276"/>
      <c r="W833" s="276"/>
      <c r="X833" s="276"/>
      <c r="Y833" s="276"/>
      <c r="Z833" s="276"/>
    </row>
    <row r="834" spans="1:26" ht="18.75" customHeight="1">
      <c r="A834" s="276"/>
      <c r="B834" s="276"/>
      <c r="C834" s="276"/>
      <c r="D834" s="276"/>
      <c r="E834" s="276"/>
      <c r="F834" s="276"/>
      <c r="G834" s="276"/>
      <c r="H834" s="276"/>
      <c r="I834" s="276"/>
      <c r="J834" s="276"/>
      <c r="K834" s="276"/>
      <c r="L834" s="276"/>
      <c r="M834" s="276"/>
      <c r="N834" s="276"/>
      <c r="O834" s="276"/>
      <c r="P834" s="276"/>
      <c r="Q834" s="276"/>
      <c r="R834" s="276"/>
      <c r="S834" s="276"/>
      <c r="T834" s="276"/>
      <c r="U834" s="276"/>
      <c r="V834" s="276"/>
      <c r="W834" s="276"/>
      <c r="X834" s="276"/>
      <c r="Y834" s="276"/>
      <c r="Z834" s="276"/>
    </row>
    <row r="835" spans="1:26" ht="18.75" customHeight="1">
      <c r="A835" s="276"/>
      <c r="B835" s="276"/>
      <c r="C835" s="276"/>
      <c r="D835" s="276"/>
      <c r="E835" s="276"/>
      <c r="F835" s="276"/>
      <c r="G835" s="276"/>
      <c r="H835" s="276"/>
      <c r="I835" s="276"/>
      <c r="J835" s="276"/>
      <c r="K835" s="276"/>
      <c r="L835" s="276"/>
      <c r="M835" s="276"/>
      <c r="N835" s="276"/>
      <c r="O835" s="276"/>
      <c r="P835" s="276"/>
      <c r="Q835" s="276"/>
      <c r="R835" s="276"/>
      <c r="S835" s="276"/>
      <c r="T835" s="276"/>
      <c r="U835" s="276"/>
      <c r="V835" s="276"/>
      <c r="W835" s="276"/>
      <c r="X835" s="276"/>
      <c r="Y835" s="276"/>
      <c r="Z835" s="276"/>
    </row>
    <row r="836" spans="1:26" ht="18.75" customHeight="1">
      <c r="A836" s="276"/>
      <c r="B836" s="276"/>
      <c r="C836" s="276"/>
      <c r="D836" s="276"/>
      <c r="E836" s="276"/>
      <c r="F836" s="276"/>
      <c r="G836" s="276"/>
      <c r="H836" s="276"/>
      <c r="I836" s="276"/>
      <c r="J836" s="276"/>
      <c r="K836" s="276"/>
      <c r="L836" s="276"/>
      <c r="M836" s="276"/>
      <c r="N836" s="276"/>
      <c r="O836" s="276"/>
      <c r="P836" s="276"/>
      <c r="Q836" s="276"/>
      <c r="R836" s="276"/>
      <c r="S836" s="276"/>
      <c r="T836" s="276"/>
      <c r="U836" s="276"/>
      <c r="V836" s="276"/>
      <c r="W836" s="276"/>
      <c r="X836" s="276"/>
      <c r="Y836" s="276"/>
      <c r="Z836" s="276"/>
    </row>
    <row r="837" spans="1:26" ht="18.75" customHeight="1">
      <c r="A837" s="276"/>
      <c r="B837" s="276"/>
      <c r="C837" s="276"/>
      <c r="D837" s="276"/>
      <c r="E837" s="276"/>
      <c r="F837" s="276"/>
      <c r="G837" s="276"/>
      <c r="H837" s="276"/>
      <c r="I837" s="276"/>
      <c r="J837" s="276"/>
      <c r="K837" s="276"/>
      <c r="L837" s="276"/>
      <c r="M837" s="276"/>
      <c r="N837" s="276"/>
      <c r="O837" s="276"/>
      <c r="P837" s="276"/>
      <c r="Q837" s="276"/>
      <c r="R837" s="276"/>
      <c r="S837" s="276"/>
      <c r="T837" s="276"/>
      <c r="U837" s="276"/>
      <c r="V837" s="276"/>
      <c r="W837" s="276"/>
      <c r="X837" s="276"/>
      <c r="Y837" s="276"/>
      <c r="Z837" s="276"/>
    </row>
    <row r="838" spans="1:26" ht="18.75" customHeight="1">
      <c r="A838" s="276"/>
      <c r="B838" s="276"/>
      <c r="C838" s="276"/>
      <c r="D838" s="276"/>
      <c r="E838" s="276"/>
      <c r="F838" s="276"/>
      <c r="G838" s="276"/>
      <c r="H838" s="276"/>
      <c r="I838" s="276"/>
      <c r="J838" s="276"/>
      <c r="K838" s="276"/>
      <c r="L838" s="276"/>
      <c r="M838" s="276"/>
      <c r="N838" s="276"/>
      <c r="O838" s="276"/>
      <c r="P838" s="276"/>
      <c r="Q838" s="276"/>
      <c r="R838" s="276"/>
      <c r="S838" s="276"/>
      <c r="T838" s="276"/>
      <c r="U838" s="276"/>
      <c r="V838" s="276"/>
      <c r="W838" s="276"/>
      <c r="X838" s="276"/>
      <c r="Y838" s="276"/>
      <c r="Z838" s="276"/>
    </row>
    <row r="839" spans="1:26" ht="18.75" customHeight="1">
      <c r="A839" s="276"/>
      <c r="B839" s="276"/>
      <c r="C839" s="276"/>
      <c r="D839" s="276"/>
      <c r="E839" s="276"/>
      <c r="F839" s="276"/>
      <c r="G839" s="276"/>
      <c r="H839" s="276"/>
      <c r="I839" s="276"/>
      <c r="J839" s="276"/>
      <c r="K839" s="276"/>
      <c r="L839" s="276"/>
      <c r="M839" s="276"/>
      <c r="N839" s="276"/>
      <c r="O839" s="276"/>
      <c r="P839" s="276"/>
      <c r="Q839" s="276"/>
      <c r="R839" s="276"/>
      <c r="S839" s="276"/>
      <c r="T839" s="276"/>
      <c r="U839" s="276"/>
      <c r="V839" s="276"/>
      <c r="W839" s="276"/>
      <c r="X839" s="276"/>
      <c r="Y839" s="276"/>
      <c r="Z839" s="276"/>
    </row>
    <row r="840" spans="1:26" ht="18.75" customHeight="1">
      <c r="A840" s="276"/>
      <c r="B840" s="276"/>
      <c r="C840" s="276"/>
      <c r="D840" s="276"/>
      <c r="E840" s="276"/>
      <c r="F840" s="276"/>
      <c r="G840" s="276"/>
      <c r="H840" s="276"/>
      <c r="I840" s="276"/>
      <c r="J840" s="276"/>
      <c r="K840" s="276"/>
      <c r="L840" s="276"/>
      <c r="M840" s="276"/>
      <c r="N840" s="276"/>
      <c r="O840" s="276"/>
      <c r="P840" s="276"/>
      <c r="Q840" s="276"/>
      <c r="R840" s="276"/>
      <c r="S840" s="276"/>
      <c r="T840" s="276"/>
      <c r="U840" s="276"/>
      <c r="V840" s="276"/>
      <c r="W840" s="276"/>
      <c r="X840" s="276"/>
      <c r="Y840" s="276"/>
      <c r="Z840" s="276"/>
    </row>
    <row r="841" spans="1:26" ht="18.75" customHeight="1">
      <c r="A841" s="276"/>
      <c r="B841" s="276"/>
      <c r="C841" s="276"/>
      <c r="D841" s="276"/>
      <c r="E841" s="276"/>
      <c r="F841" s="276"/>
      <c r="G841" s="276"/>
      <c r="H841" s="276"/>
      <c r="I841" s="276"/>
      <c r="J841" s="276"/>
      <c r="K841" s="276"/>
      <c r="L841" s="276"/>
      <c r="M841" s="276"/>
      <c r="N841" s="276"/>
      <c r="O841" s="276"/>
      <c r="P841" s="276"/>
      <c r="Q841" s="276"/>
      <c r="R841" s="276"/>
      <c r="S841" s="276"/>
      <c r="T841" s="276"/>
      <c r="U841" s="276"/>
      <c r="V841" s="276"/>
      <c r="W841" s="276"/>
      <c r="X841" s="276"/>
      <c r="Y841" s="276"/>
      <c r="Z841" s="276"/>
    </row>
    <row r="842" spans="1:26" ht="18.75" customHeight="1">
      <c r="A842" s="276"/>
      <c r="B842" s="276"/>
      <c r="C842" s="276"/>
      <c r="D842" s="276"/>
      <c r="E842" s="276"/>
      <c r="F842" s="276"/>
      <c r="G842" s="276"/>
      <c r="H842" s="276"/>
      <c r="I842" s="276"/>
      <c r="J842" s="276"/>
      <c r="K842" s="276"/>
      <c r="L842" s="276"/>
      <c r="M842" s="276"/>
      <c r="N842" s="276"/>
      <c r="O842" s="276"/>
      <c r="P842" s="276"/>
      <c r="Q842" s="276"/>
      <c r="R842" s="276"/>
      <c r="S842" s="276"/>
      <c r="T842" s="276"/>
      <c r="U842" s="276"/>
      <c r="V842" s="276"/>
      <c r="W842" s="276"/>
      <c r="X842" s="276"/>
      <c r="Y842" s="276"/>
      <c r="Z842" s="276"/>
    </row>
    <row r="843" spans="1:26" ht="18.75" customHeight="1">
      <c r="A843" s="276"/>
      <c r="B843" s="276"/>
      <c r="C843" s="276"/>
      <c r="D843" s="276"/>
      <c r="E843" s="276"/>
      <c r="F843" s="276"/>
      <c r="G843" s="276"/>
      <c r="H843" s="276"/>
      <c r="I843" s="276"/>
      <c r="J843" s="276"/>
      <c r="K843" s="276"/>
      <c r="L843" s="276"/>
      <c r="M843" s="276"/>
      <c r="N843" s="276"/>
      <c r="O843" s="276"/>
      <c r="P843" s="276"/>
      <c r="Q843" s="276"/>
      <c r="R843" s="276"/>
      <c r="S843" s="276"/>
      <c r="T843" s="276"/>
      <c r="U843" s="276"/>
      <c r="V843" s="276"/>
      <c r="W843" s="276"/>
      <c r="X843" s="276"/>
      <c r="Y843" s="276"/>
      <c r="Z843" s="276"/>
    </row>
    <row r="844" spans="1:26" ht="18.75" customHeight="1">
      <c r="A844" s="276"/>
      <c r="B844" s="276"/>
      <c r="C844" s="276"/>
      <c r="D844" s="276"/>
      <c r="E844" s="276"/>
      <c r="F844" s="276"/>
      <c r="G844" s="276"/>
      <c r="H844" s="276"/>
      <c r="I844" s="276"/>
      <c r="J844" s="276"/>
      <c r="K844" s="276"/>
      <c r="L844" s="276"/>
      <c r="M844" s="276"/>
      <c r="N844" s="276"/>
      <c r="O844" s="276"/>
      <c r="P844" s="276"/>
      <c r="Q844" s="276"/>
      <c r="R844" s="276"/>
      <c r="S844" s="276"/>
      <c r="T844" s="276"/>
      <c r="U844" s="276"/>
      <c r="V844" s="276"/>
      <c r="W844" s="276"/>
      <c r="X844" s="276"/>
      <c r="Y844" s="276"/>
      <c r="Z844" s="276"/>
    </row>
    <row r="845" spans="1:26" ht="18.75" customHeight="1">
      <c r="A845" s="276"/>
      <c r="B845" s="276"/>
      <c r="C845" s="276"/>
      <c r="D845" s="276"/>
      <c r="E845" s="276"/>
      <c r="F845" s="276"/>
      <c r="G845" s="276"/>
      <c r="H845" s="276"/>
      <c r="I845" s="276"/>
      <c r="J845" s="276"/>
      <c r="K845" s="276"/>
      <c r="L845" s="276"/>
      <c r="M845" s="276"/>
      <c r="N845" s="276"/>
      <c r="O845" s="276"/>
      <c r="P845" s="276"/>
      <c r="Q845" s="276"/>
      <c r="R845" s="276"/>
      <c r="S845" s="276"/>
      <c r="T845" s="276"/>
      <c r="U845" s="276"/>
      <c r="V845" s="276"/>
      <c r="W845" s="276"/>
      <c r="X845" s="276"/>
      <c r="Y845" s="276"/>
      <c r="Z845" s="276"/>
    </row>
    <row r="846" spans="1:26" ht="18.75" customHeight="1">
      <c r="A846" s="276"/>
      <c r="B846" s="276"/>
      <c r="C846" s="276"/>
      <c r="D846" s="276"/>
      <c r="E846" s="276"/>
      <c r="F846" s="276"/>
      <c r="G846" s="276"/>
      <c r="H846" s="276"/>
      <c r="I846" s="276"/>
      <c r="J846" s="276"/>
      <c r="K846" s="276"/>
      <c r="L846" s="276"/>
      <c r="M846" s="276"/>
      <c r="N846" s="276"/>
      <c r="O846" s="276"/>
      <c r="P846" s="276"/>
      <c r="Q846" s="276"/>
      <c r="R846" s="276"/>
      <c r="S846" s="276"/>
      <c r="T846" s="276"/>
      <c r="U846" s="276"/>
      <c r="V846" s="276"/>
      <c r="W846" s="276"/>
      <c r="X846" s="276"/>
      <c r="Y846" s="276"/>
      <c r="Z846" s="276"/>
    </row>
    <row r="847" spans="1:26" ht="18.75" customHeight="1">
      <c r="A847" s="276"/>
      <c r="B847" s="276"/>
      <c r="C847" s="276"/>
      <c r="D847" s="276"/>
      <c r="E847" s="276"/>
      <c r="F847" s="276"/>
      <c r="G847" s="276"/>
      <c r="H847" s="276"/>
      <c r="I847" s="276"/>
      <c r="J847" s="276"/>
      <c r="K847" s="276"/>
      <c r="L847" s="276"/>
      <c r="M847" s="276"/>
      <c r="N847" s="276"/>
      <c r="O847" s="276"/>
      <c r="P847" s="276"/>
      <c r="Q847" s="276"/>
      <c r="R847" s="276"/>
      <c r="S847" s="276"/>
      <c r="T847" s="276"/>
      <c r="U847" s="276"/>
      <c r="V847" s="276"/>
      <c r="W847" s="276"/>
      <c r="X847" s="276"/>
      <c r="Y847" s="276"/>
      <c r="Z847" s="276"/>
    </row>
    <row r="848" spans="1:26" ht="18.75" customHeight="1">
      <c r="A848" s="276"/>
      <c r="B848" s="276"/>
      <c r="C848" s="276"/>
      <c r="D848" s="276"/>
      <c r="E848" s="276"/>
      <c r="F848" s="276"/>
      <c r="G848" s="276"/>
      <c r="H848" s="276"/>
      <c r="I848" s="276"/>
      <c r="J848" s="276"/>
      <c r="K848" s="276"/>
      <c r="L848" s="276"/>
      <c r="M848" s="276"/>
      <c r="N848" s="276"/>
      <c r="O848" s="276"/>
      <c r="P848" s="276"/>
      <c r="Q848" s="276"/>
      <c r="R848" s="276"/>
      <c r="S848" s="276"/>
      <c r="T848" s="276"/>
      <c r="U848" s="276"/>
      <c r="V848" s="276"/>
      <c r="W848" s="276"/>
      <c r="X848" s="276"/>
      <c r="Y848" s="276"/>
      <c r="Z848" s="276"/>
    </row>
    <row r="849" spans="1:26" ht="18.75" customHeight="1">
      <c r="A849" s="276"/>
      <c r="B849" s="276"/>
      <c r="C849" s="276"/>
      <c r="D849" s="276"/>
      <c r="E849" s="276"/>
      <c r="F849" s="276"/>
      <c r="G849" s="276"/>
      <c r="H849" s="276"/>
      <c r="I849" s="276"/>
      <c r="J849" s="276"/>
      <c r="K849" s="276"/>
      <c r="L849" s="276"/>
      <c r="M849" s="276"/>
      <c r="N849" s="276"/>
      <c r="O849" s="276"/>
      <c r="P849" s="276"/>
      <c r="Q849" s="276"/>
      <c r="R849" s="276"/>
      <c r="S849" s="276"/>
      <c r="T849" s="276"/>
      <c r="U849" s="276"/>
      <c r="V849" s="276"/>
      <c r="W849" s="276"/>
      <c r="X849" s="276"/>
      <c r="Y849" s="276"/>
      <c r="Z849" s="276"/>
    </row>
    <row r="850" spans="1:26" ht="18.75" customHeight="1">
      <c r="A850" s="276"/>
      <c r="B850" s="276"/>
      <c r="C850" s="276"/>
      <c r="D850" s="276"/>
      <c r="E850" s="276"/>
      <c r="F850" s="276"/>
      <c r="G850" s="276"/>
      <c r="H850" s="276"/>
      <c r="I850" s="276"/>
      <c r="J850" s="276"/>
      <c r="K850" s="276"/>
      <c r="L850" s="276"/>
      <c r="M850" s="276"/>
      <c r="N850" s="276"/>
      <c r="O850" s="276"/>
      <c r="P850" s="276"/>
      <c r="Q850" s="276"/>
      <c r="R850" s="276"/>
      <c r="S850" s="276"/>
      <c r="T850" s="276"/>
      <c r="U850" s="276"/>
      <c r="V850" s="276"/>
      <c r="W850" s="276"/>
      <c r="X850" s="276"/>
      <c r="Y850" s="276"/>
      <c r="Z850" s="276"/>
    </row>
    <row r="851" spans="1:26" ht="18.75" customHeight="1">
      <c r="A851" s="276"/>
      <c r="B851" s="276"/>
      <c r="C851" s="276"/>
      <c r="D851" s="276"/>
      <c r="E851" s="276"/>
      <c r="F851" s="276"/>
      <c r="G851" s="276"/>
      <c r="H851" s="276"/>
      <c r="I851" s="276"/>
      <c r="J851" s="276"/>
      <c r="K851" s="276"/>
      <c r="L851" s="276"/>
      <c r="M851" s="276"/>
      <c r="N851" s="276"/>
      <c r="O851" s="276"/>
      <c r="P851" s="276"/>
      <c r="Q851" s="276"/>
      <c r="R851" s="276"/>
      <c r="S851" s="276"/>
      <c r="T851" s="276"/>
      <c r="U851" s="276"/>
      <c r="V851" s="276"/>
      <c r="W851" s="276"/>
      <c r="X851" s="276"/>
      <c r="Y851" s="276"/>
      <c r="Z851" s="276"/>
    </row>
    <row r="852" spans="1:26" ht="18.75" customHeight="1">
      <c r="A852" s="276"/>
      <c r="B852" s="276"/>
      <c r="C852" s="276"/>
      <c r="D852" s="276"/>
      <c r="E852" s="276"/>
      <c r="F852" s="276"/>
      <c r="G852" s="276"/>
      <c r="H852" s="276"/>
      <c r="I852" s="276"/>
      <c r="J852" s="276"/>
      <c r="K852" s="276"/>
      <c r="L852" s="276"/>
      <c r="M852" s="276"/>
      <c r="N852" s="276"/>
      <c r="O852" s="276"/>
      <c r="P852" s="276"/>
      <c r="Q852" s="276"/>
      <c r="R852" s="276"/>
      <c r="S852" s="276"/>
      <c r="T852" s="276"/>
      <c r="U852" s="276"/>
      <c r="V852" s="276"/>
      <c r="W852" s="276"/>
      <c r="X852" s="276"/>
      <c r="Y852" s="276"/>
      <c r="Z852" s="276"/>
    </row>
    <row r="853" spans="1:26" ht="18.75" customHeight="1">
      <c r="A853" s="276"/>
      <c r="B853" s="276"/>
      <c r="C853" s="276"/>
      <c r="D853" s="276"/>
      <c r="E853" s="276"/>
      <c r="F853" s="276"/>
      <c r="G853" s="276"/>
      <c r="H853" s="276"/>
      <c r="I853" s="276"/>
      <c r="J853" s="276"/>
      <c r="K853" s="276"/>
      <c r="L853" s="276"/>
      <c r="M853" s="276"/>
      <c r="N853" s="276"/>
      <c r="O853" s="276"/>
      <c r="P853" s="276"/>
      <c r="Q853" s="276"/>
      <c r="R853" s="276"/>
      <c r="S853" s="276"/>
      <c r="T853" s="276"/>
      <c r="U853" s="276"/>
      <c r="V853" s="276"/>
      <c r="W853" s="276"/>
      <c r="X853" s="276"/>
      <c r="Y853" s="276"/>
      <c r="Z853" s="276"/>
    </row>
    <row r="854" spans="1:26" ht="18.75" customHeight="1">
      <c r="A854" s="276"/>
      <c r="B854" s="276"/>
      <c r="C854" s="276"/>
      <c r="D854" s="276"/>
      <c r="E854" s="276"/>
      <c r="F854" s="276"/>
      <c r="G854" s="276"/>
      <c r="H854" s="276"/>
      <c r="I854" s="276"/>
      <c r="J854" s="276"/>
      <c r="K854" s="276"/>
      <c r="L854" s="276"/>
      <c r="M854" s="276"/>
      <c r="N854" s="276"/>
      <c r="O854" s="276"/>
      <c r="P854" s="276"/>
      <c r="Q854" s="276"/>
      <c r="R854" s="276"/>
      <c r="S854" s="276"/>
      <c r="T854" s="276"/>
      <c r="U854" s="276"/>
      <c r="V854" s="276"/>
      <c r="W854" s="276"/>
      <c r="X854" s="276"/>
      <c r="Y854" s="276"/>
      <c r="Z854" s="276"/>
    </row>
    <row r="855" spans="1:26" ht="18.75" customHeight="1">
      <c r="A855" s="276"/>
      <c r="B855" s="276"/>
      <c r="C855" s="276"/>
      <c r="D855" s="276"/>
      <c r="E855" s="276"/>
      <c r="F855" s="276"/>
      <c r="G855" s="276"/>
      <c r="H855" s="276"/>
      <c r="I855" s="276"/>
      <c r="J855" s="276"/>
      <c r="K855" s="276"/>
      <c r="L855" s="276"/>
      <c r="M855" s="276"/>
      <c r="N855" s="276"/>
      <c r="O855" s="276"/>
      <c r="P855" s="276"/>
      <c r="Q855" s="276"/>
      <c r="R855" s="276"/>
      <c r="S855" s="276"/>
      <c r="T855" s="276"/>
      <c r="U855" s="276"/>
      <c r="V855" s="276"/>
      <c r="W855" s="276"/>
      <c r="X855" s="276"/>
      <c r="Y855" s="276"/>
      <c r="Z855" s="276"/>
    </row>
    <row r="856" spans="1:26" ht="18.75" customHeight="1">
      <c r="A856" s="276"/>
      <c r="B856" s="276"/>
      <c r="C856" s="276"/>
      <c r="D856" s="276"/>
      <c r="E856" s="276"/>
      <c r="F856" s="276"/>
      <c r="G856" s="276"/>
      <c r="H856" s="276"/>
      <c r="I856" s="276"/>
      <c r="J856" s="276"/>
      <c r="K856" s="276"/>
      <c r="L856" s="276"/>
      <c r="M856" s="276"/>
      <c r="N856" s="276"/>
      <c r="O856" s="276"/>
      <c r="P856" s="276"/>
      <c r="Q856" s="276"/>
      <c r="R856" s="276"/>
      <c r="S856" s="276"/>
      <c r="T856" s="276"/>
      <c r="U856" s="276"/>
      <c r="V856" s="276"/>
      <c r="W856" s="276"/>
      <c r="X856" s="276"/>
      <c r="Y856" s="276"/>
      <c r="Z856" s="276"/>
    </row>
    <row r="857" spans="1:26" ht="18.75" customHeight="1">
      <c r="A857" s="276"/>
      <c r="B857" s="276"/>
      <c r="C857" s="276"/>
      <c r="D857" s="276"/>
      <c r="E857" s="276"/>
      <c r="F857" s="276"/>
      <c r="G857" s="276"/>
      <c r="H857" s="276"/>
      <c r="I857" s="276"/>
      <c r="J857" s="276"/>
      <c r="K857" s="276"/>
      <c r="L857" s="276"/>
      <c r="M857" s="276"/>
      <c r="N857" s="276"/>
      <c r="O857" s="276"/>
      <c r="P857" s="276"/>
      <c r="Q857" s="276"/>
      <c r="R857" s="276"/>
      <c r="S857" s="276"/>
      <c r="T857" s="276"/>
      <c r="U857" s="276"/>
      <c r="V857" s="276"/>
      <c r="W857" s="276"/>
      <c r="X857" s="276"/>
      <c r="Y857" s="276"/>
      <c r="Z857" s="276"/>
    </row>
    <row r="858" spans="1:26" ht="18.75" customHeight="1">
      <c r="A858" s="276"/>
      <c r="B858" s="276"/>
      <c r="C858" s="276"/>
      <c r="D858" s="276"/>
      <c r="E858" s="276"/>
      <c r="F858" s="276"/>
      <c r="G858" s="276"/>
      <c r="H858" s="276"/>
      <c r="I858" s="276"/>
      <c r="J858" s="276"/>
      <c r="K858" s="276"/>
      <c r="L858" s="276"/>
      <c r="M858" s="276"/>
      <c r="N858" s="276"/>
      <c r="O858" s="276"/>
      <c r="P858" s="276"/>
      <c r="Q858" s="276"/>
      <c r="R858" s="276"/>
      <c r="S858" s="276"/>
      <c r="T858" s="276"/>
      <c r="U858" s="276"/>
      <c r="V858" s="276"/>
      <c r="W858" s="276"/>
      <c r="X858" s="276"/>
      <c r="Y858" s="276"/>
      <c r="Z858" s="276"/>
    </row>
    <row r="859" spans="1:26" ht="18.75" customHeight="1">
      <c r="A859" s="276"/>
      <c r="B859" s="276"/>
      <c r="C859" s="276"/>
      <c r="D859" s="276"/>
      <c r="E859" s="276"/>
      <c r="F859" s="276"/>
      <c r="G859" s="276"/>
      <c r="H859" s="276"/>
      <c r="I859" s="276"/>
      <c r="J859" s="276"/>
      <c r="K859" s="276"/>
      <c r="L859" s="276"/>
      <c r="M859" s="276"/>
      <c r="N859" s="276"/>
      <c r="O859" s="276"/>
      <c r="P859" s="276"/>
      <c r="Q859" s="276"/>
      <c r="R859" s="276"/>
      <c r="S859" s="276"/>
      <c r="T859" s="276"/>
      <c r="U859" s="276"/>
      <c r="V859" s="276"/>
      <c r="W859" s="276"/>
      <c r="X859" s="276"/>
      <c r="Y859" s="276"/>
      <c r="Z859" s="276"/>
    </row>
    <row r="860" spans="1:26" ht="18.75" customHeight="1">
      <c r="A860" s="276"/>
      <c r="B860" s="276"/>
      <c r="C860" s="276"/>
      <c r="D860" s="276"/>
      <c r="E860" s="276"/>
      <c r="F860" s="276"/>
      <c r="G860" s="276"/>
      <c r="H860" s="276"/>
      <c r="I860" s="276"/>
      <c r="J860" s="276"/>
      <c r="K860" s="276"/>
      <c r="L860" s="276"/>
      <c r="M860" s="276"/>
      <c r="N860" s="276"/>
      <c r="O860" s="276"/>
      <c r="P860" s="276"/>
      <c r="Q860" s="276"/>
      <c r="R860" s="276"/>
      <c r="S860" s="276"/>
      <c r="T860" s="276"/>
      <c r="U860" s="276"/>
      <c r="V860" s="276"/>
      <c r="W860" s="276"/>
      <c r="X860" s="276"/>
      <c r="Y860" s="276"/>
      <c r="Z860" s="276"/>
    </row>
    <row r="861" spans="1:26" ht="18.75" customHeight="1">
      <c r="A861" s="276"/>
      <c r="B861" s="276"/>
      <c r="C861" s="276"/>
      <c r="D861" s="276"/>
      <c r="E861" s="276"/>
      <c r="F861" s="276"/>
      <c r="G861" s="276"/>
      <c r="H861" s="276"/>
      <c r="I861" s="276"/>
      <c r="J861" s="276"/>
      <c r="K861" s="276"/>
      <c r="L861" s="276"/>
      <c r="M861" s="276"/>
      <c r="N861" s="276"/>
      <c r="O861" s="276"/>
      <c r="P861" s="276"/>
      <c r="Q861" s="276"/>
      <c r="R861" s="276"/>
      <c r="S861" s="276"/>
      <c r="T861" s="276"/>
      <c r="U861" s="276"/>
      <c r="V861" s="276"/>
      <c r="W861" s="276"/>
      <c r="X861" s="276"/>
      <c r="Y861" s="276"/>
      <c r="Z861" s="276"/>
    </row>
    <row r="862" spans="1:26" ht="18.75" customHeight="1">
      <c r="A862" s="276"/>
      <c r="B862" s="276"/>
      <c r="C862" s="276"/>
      <c r="D862" s="276"/>
      <c r="E862" s="276"/>
      <c r="F862" s="276"/>
      <c r="G862" s="276"/>
      <c r="H862" s="276"/>
      <c r="I862" s="276"/>
      <c r="J862" s="276"/>
      <c r="K862" s="276"/>
      <c r="L862" s="276"/>
      <c r="M862" s="276"/>
      <c r="N862" s="276"/>
      <c r="O862" s="276"/>
      <c r="P862" s="276"/>
      <c r="Q862" s="276"/>
      <c r="R862" s="276"/>
      <c r="S862" s="276"/>
      <c r="T862" s="276"/>
      <c r="U862" s="276"/>
      <c r="V862" s="276"/>
      <c r="W862" s="276"/>
      <c r="X862" s="276"/>
      <c r="Y862" s="276"/>
      <c r="Z862" s="276"/>
    </row>
    <row r="863" spans="1:26" ht="18.75" customHeight="1">
      <c r="A863" s="276"/>
      <c r="B863" s="276"/>
      <c r="C863" s="276"/>
      <c r="D863" s="276"/>
      <c r="E863" s="276"/>
      <c r="F863" s="276"/>
      <c r="G863" s="276"/>
      <c r="H863" s="276"/>
      <c r="I863" s="276"/>
      <c r="J863" s="276"/>
      <c r="K863" s="276"/>
      <c r="L863" s="276"/>
      <c r="M863" s="276"/>
      <c r="N863" s="276"/>
      <c r="O863" s="276"/>
      <c r="P863" s="276"/>
      <c r="Q863" s="276"/>
      <c r="R863" s="276"/>
      <c r="S863" s="276"/>
      <c r="T863" s="276"/>
      <c r="U863" s="276"/>
      <c r="V863" s="276"/>
      <c r="W863" s="276"/>
      <c r="X863" s="276"/>
      <c r="Y863" s="276"/>
      <c r="Z863" s="276"/>
    </row>
    <row r="864" spans="1:26" ht="18.75" customHeight="1">
      <c r="A864" s="276"/>
      <c r="B864" s="276"/>
      <c r="C864" s="276"/>
      <c r="D864" s="276"/>
      <c r="E864" s="276"/>
      <c r="F864" s="276"/>
      <c r="G864" s="276"/>
      <c r="H864" s="276"/>
      <c r="I864" s="276"/>
      <c r="J864" s="276"/>
      <c r="K864" s="276"/>
      <c r="L864" s="276"/>
      <c r="M864" s="276"/>
      <c r="N864" s="276"/>
      <c r="O864" s="276"/>
      <c r="P864" s="276"/>
      <c r="Q864" s="276"/>
      <c r="R864" s="276"/>
      <c r="S864" s="276"/>
      <c r="T864" s="276"/>
      <c r="U864" s="276"/>
      <c r="V864" s="276"/>
      <c r="W864" s="276"/>
      <c r="X864" s="276"/>
      <c r="Y864" s="276"/>
      <c r="Z864" s="276"/>
    </row>
    <row r="865" spans="1:26" ht="18.75" customHeight="1">
      <c r="A865" s="276"/>
      <c r="B865" s="276"/>
      <c r="C865" s="276"/>
      <c r="D865" s="276"/>
      <c r="E865" s="276"/>
      <c r="F865" s="276"/>
      <c r="G865" s="276"/>
      <c r="H865" s="276"/>
      <c r="I865" s="276"/>
      <c r="J865" s="276"/>
      <c r="K865" s="276"/>
      <c r="L865" s="276"/>
      <c r="M865" s="276"/>
      <c r="N865" s="276"/>
      <c r="O865" s="276"/>
      <c r="P865" s="276"/>
      <c r="Q865" s="276"/>
      <c r="R865" s="276"/>
      <c r="S865" s="276"/>
      <c r="T865" s="276"/>
      <c r="U865" s="276"/>
      <c r="V865" s="276"/>
      <c r="W865" s="276"/>
      <c r="X865" s="276"/>
      <c r="Y865" s="276"/>
      <c r="Z865" s="276"/>
    </row>
    <row r="866" spans="1:26" ht="18.75" customHeight="1">
      <c r="A866" s="276"/>
      <c r="B866" s="276"/>
      <c r="C866" s="276"/>
      <c r="D866" s="276"/>
      <c r="E866" s="276"/>
      <c r="F866" s="276"/>
      <c r="G866" s="276"/>
      <c r="H866" s="276"/>
      <c r="I866" s="276"/>
      <c r="J866" s="276"/>
      <c r="K866" s="276"/>
      <c r="L866" s="276"/>
      <c r="M866" s="276"/>
      <c r="N866" s="276"/>
      <c r="O866" s="276"/>
      <c r="P866" s="276"/>
      <c r="Q866" s="276"/>
      <c r="R866" s="276"/>
      <c r="S866" s="276"/>
      <c r="T866" s="276"/>
      <c r="U866" s="276"/>
      <c r="V866" s="276"/>
      <c r="W866" s="276"/>
      <c r="X866" s="276"/>
      <c r="Y866" s="276"/>
      <c r="Z866" s="276"/>
    </row>
    <row r="867" spans="1:26" ht="18.75" customHeight="1">
      <c r="A867" s="276"/>
      <c r="B867" s="276"/>
      <c r="C867" s="276"/>
      <c r="D867" s="276"/>
      <c r="E867" s="276"/>
      <c r="F867" s="276"/>
      <c r="G867" s="276"/>
      <c r="H867" s="276"/>
      <c r="I867" s="276"/>
      <c r="J867" s="276"/>
      <c r="K867" s="276"/>
      <c r="L867" s="276"/>
      <c r="M867" s="276"/>
      <c r="N867" s="276"/>
      <c r="O867" s="276"/>
      <c r="P867" s="276"/>
      <c r="Q867" s="276"/>
      <c r="R867" s="276"/>
      <c r="S867" s="276"/>
      <c r="T867" s="276"/>
      <c r="U867" s="276"/>
      <c r="V867" s="276"/>
      <c r="W867" s="276"/>
      <c r="X867" s="276"/>
      <c r="Y867" s="276"/>
      <c r="Z867" s="276"/>
    </row>
    <row r="868" spans="1:26" ht="18.75" customHeight="1">
      <c r="A868" s="276"/>
      <c r="B868" s="276"/>
      <c r="C868" s="276"/>
      <c r="D868" s="276"/>
      <c r="E868" s="276"/>
      <c r="F868" s="276"/>
      <c r="G868" s="276"/>
      <c r="H868" s="276"/>
      <c r="I868" s="276"/>
      <c r="J868" s="276"/>
      <c r="K868" s="276"/>
      <c r="L868" s="276"/>
      <c r="M868" s="276"/>
      <c r="N868" s="276"/>
      <c r="O868" s="276"/>
      <c r="P868" s="276"/>
      <c r="Q868" s="276"/>
      <c r="R868" s="276"/>
      <c r="S868" s="276"/>
      <c r="T868" s="276"/>
      <c r="U868" s="276"/>
      <c r="V868" s="276"/>
      <c r="W868" s="276"/>
      <c r="X868" s="276"/>
      <c r="Y868" s="276"/>
      <c r="Z868" s="276"/>
    </row>
    <row r="869" spans="1:26" ht="18.75" customHeight="1">
      <c r="A869" s="276"/>
      <c r="B869" s="276"/>
      <c r="C869" s="276"/>
      <c r="D869" s="276"/>
      <c r="E869" s="276"/>
      <c r="F869" s="276"/>
      <c r="G869" s="276"/>
      <c r="H869" s="276"/>
      <c r="I869" s="276"/>
      <c r="J869" s="276"/>
      <c r="K869" s="276"/>
      <c r="L869" s="276"/>
      <c r="M869" s="276"/>
      <c r="N869" s="276"/>
      <c r="O869" s="276"/>
      <c r="P869" s="276"/>
      <c r="Q869" s="276"/>
      <c r="R869" s="276"/>
      <c r="S869" s="276"/>
      <c r="T869" s="276"/>
      <c r="U869" s="276"/>
      <c r="V869" s="276"/>
      <c r="W869" s="276"/>
      <c r="X869" s="276"/>
      <c r="Y869" s="276"/>
      <c r="Z869" s="276"/>
    </row>
    <row r="870" spans="1:26" ht="18.75" customHeight="1">
      <c r="A870" s="276"/>
      <c r="B870" s="276"/>
      <c r="C870" s="276"/>
      <c r="D870" s="276"/>
      <c r="E870" s="276"/>
      <c r="F870" s="276"/>
      <c r="G870" s="276"/>
      <c r="H870" s="276"/>
      <c r="I870" s="276"/>
      <c r="J870" s="276"/>
      <c r="K870" s="276"/>
      <c r="L870" s="276"/>
      <c r="M870" s="276"/>
      <c r="N870" s="276"/>
      <c r="O870" s="276"/>
      <c r="P870" s="276"/>
      <c r="Q870" s="276"/>
      <c r="R870" s="276"/>
      <c r="S870" s="276"/>
      <c r="T870" s="276"/>
      <c r="U870" s="276"/>
      <c r="V870" s="276"/>
      <c r="W870" s="276"/>
      <c r="X870" s="276"/>
      <c r="Y870" s="276"/>
      <c r="Z870" s="276"/>
    </row>
    <row r="871" spans="1:26" ht="18.75" customHeight="1">
      <c r="A871" s="276"/>
      <c r="B871" s="276"/>
      <c r="C871" s="276"/>
      <c r="D871" s="276"/>
      <c r="E871" s="276"/>
      <c r="F871" s="276"/>
      <c r="G871" s="276"/>
      <c r="H871" s="276"/>
      <c r="I871" s="276"/>
      <c r="J871" s="276"/>
      <c r="K871" s="276"/>
      <c r="L871" s="276"/>
      <c r="M871" s="276"/>
      <c r="N871" s="276"/>
      <c r="O871" s="276"/>
      <c r="P871" s="276"/>
      <c r="Q871" s="276"/>
      <c r="R871" s="276"/>
      <c r="S871" s="276"/>
      <c r="T871" s="276"/>
      <c r="U871" s="276"/>
      <c r="V871" s="276"/>
      <c r="W871" s="276"/>
      <c r="X871" s="276"/>
      <c r="Y871" s="276"/>
      <c r="Z871" s="276"/>
    </row>
    <row r="872" spans="1:26" ht="18.75" customHeight="1">
      <c r="A872" s="276"/>
      <c r="B872" s="276"/>
      <c r="C872" s="276"/>
      <c r="D872" s="276"/>
      <c r="E872" s="276"/>
      <c r="F872" s="276"/>
      <c r="G872" s="276"/>
      <c r="H872" s="276"/>
      <c r="I872" s="276"/>
      <c r="J872" s="276"/>
      <c r="K872" s="276"/>
      <c r="L872" s="276"/>
      <c r="M872" s="276"/>
      <c r="N872" s="276"/>
      <c r="O872" s="276"/>
      <c r="P872" s="276"/>
      <c r="Q872" s="276"/>
      <c r="R872" s="276"/>
      <c r="S872" s="276"/>
      <c r="T872" s="276"/>
      <c r="U872" s="276"/>
      <c r="V872" s="276"/>
      <c r="W872" s="276"/>
      <c r="X872" s="276"/>
      <c r="Y872" s="276"/>
      <c r="Z872" s="276"/>
    </row>
    <row r="873" spans="1:26" ht="18.75" customHeight="1">
      <c r="A873" s="276"/>
      <c r="B873" s="276"/>
      <c r="C873" s="276"/>
      <c r="D873" s="276"/>
      <c r="E873" s="276"/>
      <c r="F873" s="276"/>
      <c r="G873" s="276"/>
      <c r="H873" s="276"/>
      <c r="I873" s="276"/>
      <c r="J873" s="276"/>
      <c r="K873" s="276"/>
      <c r="L873" s="276"/>
      <c r="M873" s="276"/>
      <c r="N873" s="276"/>
      <c r="O873" s="276"/>
      <c r="P873" s="276"/>
      <c r="Q873" s="276"/>
      <c r="R873" s="276"/>
      <c r="S873" s="276"/>
      <c r="T873" s="276"/>
      <c r="U873" s="276"/>
      <c r="V873" s="276"/>
      <c r="W873" s="276"/>
      <c r="X873" s="276"/>
      <c r="Y873" s="276"/>
      <c r="Z873" s="276"/>
    </row>
    <row r="874" spans="1:26" ht="18.75" customHeight="1">
      <c r="A874" s="276"/>
      <c r="B874" s="276"/>
      <c r="C874" s="276"/>
      <c r="D874" s="276"/>
      <c r="E874" s="276"/>
      <c r="F874" s="276"/>
      <c r="G874" s="276"/>
      <c r="H874" s="276"/>
      <c r="I874" s="276"/>
      <c r="J874" s="276"/>
      <c r="K874" s="276"/>
      <c r="L874" s="276"/>
      <c r="M874" s="276"/>
      <c r="N874" s="276"/>
      <c r="O874" s="276"/>
      <c r="P874" s="276"/>
      <c r="Q874" s="276"/>
      <c r="R874" s="276"/>
      <c r="S874" s="276"/>
      <c r="T874" s="276"/>
      <c r="U874" s="276"/>
      <c r="V874" s="276"/>
      <c r="W874" s="276"/>
      <c r="X874" s="276"/>
      <c r="Y874" s="276"/>
      <c r="Z874" s="276"/>
    </row>
    <row r="875" spans="1:26" ht="18.75" customHeight="1">
      <c r="A875" s="276"/>
      <c r="B875" s="276"/>
      <c r="C875" s="276"/>
      <c r="D875" s="276"/>
      <c r="E875" s="276"/>
      <c r="F875" s="276"/>
      <c r="G875" s="276"/>
      <c r="H875" s="276"/>
      <c r="I875" s="276"/>
      <c r="J875" s="276"/>
      <c r="K875" s="276"/>
      <c r="L875" s="276"/>
      <c r="M875" s="276"/>
      <c r="N875" s="276"/>
      <c r="O875" s="276"/>
      <c r="P875" s="276"/>
      <c r="Q875" s="276"/>
      <c r="R875" s="276"/>
      <c r="S875" s="276"/>
      <c r="T875" s="276"/>
      <c r="U875" s="276"/>
      <c r="V875" s="276"/>
      <c r="W875" s="276"/>
      <c r="X875" s="276"/>
      <c r="Y875" s="276"/>
      <c r="Z875" s="276"/>
    </row>
    <row r="876" spans="1:26" ht="18.75" customHeight="1">
      <c r="A876" s="276"/>
      <c r="B876" s="276"/>
      <c r="C876" s="276"/>
      <c r="D876" s="276"/>
      <c r="E876" s="276"/>
      <c r="F876" s="276"/>
      <c r="G876" s="276"/>
      <c r="H876" s="276"/>
      <c r="I876" s="276"/>
      <c r="J876" s="276"/>
      <c r="K876" s="276"/>
      <c r="L876" s="276"/>
      <c r="M876" s="276"/>
      <c r="N876" s="276"/>
      <c r="O876" s="276"/>
      <c r="P876" s="276"/>
      <c r="Q876" s="276"/>
      <c r="R876" s="276"/>
      <c r="S876" s="276"/>
      <c r="T876" s="276"/>
      <c r="U876" s="276"/>
      <c r="V876" s="276"/>
      <c r="W876" s="276"/>
      <c r="X876" s="276"/>
      <c r="Y876" s="276"/>
      <c r="Z876" s="276"/>
    </row>
    <row r="877" spans="1:26" ht="18.75" customHeight="1">
      <c r="A877" s="276"/>
      <c r="B877" s="276"/>
      <c r="C877" s="276"/>
      <c r="D877" s="276"/>
      <c r="E877" s="276"/>
      <c r="F877" s="276"/>
      <c r="G877" s="276"/>
      <c r="H877" s="276"/>
      <c r="I877" s="276"/>
      <c r="J877" s="276"/>
      <c r="K877" s="276"/>
      <c r="L877" s="276"/>
      <c r="M877" s="276"/>
      <c r="N877" s="276"/>
      <c r="O877" s="276"/>
      <c r="P877" s="276"/>
      <c r="Q877" s="276"/>
      <c r="R877" s="276"/>
      <c r="S877" s="276"/>
      <c r="T877" s="276"/>
      <c r="U877" s="276"/>
      <c r="V877" s="276"/>
      <c r="W877" s="276"/>
      <c r="X877" s="276"/>
      <c r="Y877" s="276"/>
      <c r="Z877" s="276"/>
    </row>
    <row r="878" spans="1:26" ht="18.75" customHeight="1">
      <c r="A878" s="276"/>
      <c r="B878" s="276"/>
      <c r="C878" s="276"/>
      <c r="D878" s="276"/>
      <c r="E878" s="276"/>
      <c r="F878" s="276"/>
      <c r="G878" s="276"/>
      <c r="H878" s="276"/>
      <c r="I878" s="276"/>
      <c r="J878" s="276"/>
      <c r="K878" s="276"/>
      <c r="L878" s="276"/>
      <c r="M878" s="276"/>
      <c r="N878" s="276"/>
      <c r="O878" s="276"/>
      <c r="P878" s="276"/>
      <c r="Q878" s="276"/>
      <c r="R878" s="276"/>
      <c r="S878" s="276"/>
      <c r="T878" s="276"/>
      <c r="U878" s="276"/>
      <c r="V878" s="276"/>
      <c r="W878" s="276"/>
      <c r="X878" s="276"/>
      <c r="Y878" s="276"/>
      <c r="Z878" s="276"/>
    </row>
    <row r="879" spans="1:26" ht="18.75" customHeight="1">
      <c r="A879" s="276"/>
      <c r="B879" s="276"/>
      <c r="C879" s="276"/>
      <c r="D879" s="276"/>
      <c r="E879" s="276"/>
      <c r="F879" s="276"/>
      <c r="G879" s="276"/>
      <c r="H879" s="276"/>
      <c r="I879" s="276"/>
      <c r="J879" s="276"/>
      <c r="K879" s="276"/>
      <c r="L879" s="276"/>
      <c r="M879" s="276"/>
      <c r="N879" s="276"/>
      <c r="O879" s="276"/>
      <c r="P879" s="276"/>
      <c r="Q879" s="276"/>
      <c r="R879" s="276"/>
      <c r="S879" s="276"/>
      <c r="T879" s="276"/>
      <c r="U879" s="276"/>
      <c r="V879" s="276"/>
      <c r="W879" s="276"/>
      <c r="X879" s="276"/>
      <c r="Y879" s="276"/>
      <c r="Z879" s="276"/>
    </row>
    <row r="880" spans="1:26" ht="18.75" customHeight="1">
      <c r="A880" s="276"/>
      <c r="B880" s="276"/>
      <c r="C880" s="276"/>
      <c r="D880" s="276"/>
      <c r="E880" s="276"/>
      <c r="F880" s="276"/>
      <c r="G880" s="276"/>
      <c r="H880" s="276"/>
      <c r="I880" s="276"/>
      <c r="J880" s="276"/>
      <c r="K880" s="276"/>
      <c r="L880" s="276"/>
      <c r="M880" s="276"/>
      <c r="N880" s="276"/>
      <c r="O880" s="276"/>
      <c r="P880" s="276"/>
      <c r="Q880" s="276"/>
      <c r="R880" s="276"/>
      <c r="S880" s="276"/>
      <c r="T880" s="276"/>
      <c r="U880" s="276"/>
      <c r="V880" s="276"/>
      <c r="W880" s="276"/>
      <c r="X880" s="276"/>
      <c r="Y880" s="276"/>
      <c r="Z880" s="276"/>
    </row>
    <row r="881" spans="1:26" ht="18.75" customHeight="1">
      <c r="A881" s="276"/>
      <c r="B881" s="276"/>
      <c r="C881" s="276"/>
      <c r="D881" s="276"/>
      <c r="E881" s="276"/>
      <c r="F881" s="276"/>
      <c r="G881" s="276"/>
      <c r="H881" s="276"/>
      <c r="I881" s="276"/>
      <c r="J881" s="276"/>
      <c r="K881" s="276"/>
      <c r="L881" s="276"/>
      <c r="M881" s="276"/>
      <c r="N881" s="276"/>
      <c r="O881" s="276"/>
      <c r="P881" s="276"/>
      <c r="Q881" s="276"/>
      <c r="R881" s="276"/>
      <c r="S881" s="276"/>
      <c r="T881" s="276"/>
      <c r="U881" s="276"/>
      <c r="V881" s="276"/>
      <c r="W881" s="276"/>
      <c r="X881" s="276"/>
      <c r="Y881" s="276"/>
      <c r="Z881" s="276"/>
    </row>
    <row r="882" spans="1:26" ht="18.75" customHeight="1">
      <c r="A882" s="276"/>
      <c r="B882" s="276"/>
      <c r="C882" s="276"/>
      <c r="D882" s="276"/>
      <c r="E882" s="276"/>
      <c r="F882" s="276"/>
      <c r="G882" s="276"/>
      <c r="H882" s="276"/>
      <c r="I882" s="276"/>
      <c r="J882" s="276"/>
      <c r="K882" s="276"/>
      <c r="L882" s="276"/>
      <c r="M882" s="276"/>
      <c r="N882" s="276"/>
      <c r="O882" s="276"/>
      <c r="P882" s="276"/>
      <c r="Q882" s="276"/>
      <c r="R882" s="276"/>
      <c r="S882" s="276"/>
      <c r="T882" s="276"/>
      <c r="U882" s="276"/>
      <c r="V882" s="276"/>
      <c r="W882" s="276"/>
      <c r="X882" s="276"/>
      <c r="Y882" s="276"/>
      <c r="Z882" s="276"/>
    </row>
    <row r="883" spans="1:26" ht="18.75" customHeight="1">
      <c r="A883" s="276"/>
      <c r="B883" s="276"/>
      <c r="C883" s="276"/>
      <c r="D883" s="276"/>
      <c r="E883" s="276"/>
      <c r="F883" s="276"/>
      <c r="G883" s="276"/>
      <c r="H883" s="276"/>
      <c r="I883" s="276"/>
      <c r="J883" s="276"/>
      <c r="K883" s="276"/>
      <c r="L883" s="276"/>
      <c r="M883" s="276"/>
      <c r="N883" s="276"/>
      <c r="O883" s="276"/>
      <c r="P883" s="276"/>
      <c r="Q883" s="276"/>
      <c r="R883" s="276"/>
      <c r="S883" s="276"/>
      <c r="T883" s="276"/>
      <c r="U883" s="276"/>
      <c r="V883" s="276"/>
      <c r="W883" s="276"/>
      <c r="X883" s="276"/>
      <c r="Y883" s="276"/>
      <c r="Z883" s="276"/>
    </row>
    <row r="884" spans="1:26" ht="18.75" customHeight="1">
      <c r="A884" s="276"/>
      <c r="B884" s="276"/>
      <c r="C884" s="276"/>
      <c r="D884" s="276"/>
      <c r="E884" s="276"/>
      <c r="F884" s="276"/>
      <c r="G884" s="276"/>
      <c r="H884" s="276"/>
      <c r="I884" s="276"/>
      <c r="J884" s="276"/>
      <c r="K884" s="276"/>
      <c r="L884" s="276"/>
      <c r="M884" s="276"/>
      <c r="N884" s="276"/>
      <c r="O884" s="276"/>
      <c r="P884" s="276"/>
      <c r="Q884" s="276"/>
      <c r="R884" s="276"/>
      <c r="S884" s="276"/>
      <c r="T884" s="276"/>
      <c r="U884" s="276"/>
      <c r="V884" s="276"/>
      <c r="W884" s="276"/>
      <c r="X884" s="276"/>
      <c r="Y884" s="276"/>
      <c r="Z884" s="276"/>
    </row>
    <row r="885" spans="1:26" ht="18.75" customHeight="1">
      <c r="A885" s="276"/>
      <c r="B885" s="276"/>
      <c r="C885" s="276"/>
      <c r="D885" s="276"/>
      <c r="E885" s="276"/>
      <c r="F885" s="276"/>
      <c r="G885" s="276"/>
      <c r="H885" s="276"/>
      <c r="I885" s="276"/>
      <c r="J885" s="276"/>
      <c r="K885" s="276"/>
      <c r="L885" s="276"/>
      <c r="M885" s="276"/>
      <c r="N885" s="276"/>
      <c r="O885" s="276"/>
      <c r="P885" s="276"/>
      <c r="Q885" s="276"/>
      <c r="R885" s="276"/>
      <c r="S885" s="276"/>
      <c r="T885" s="276"/>
      <c r="U885" s="276"/>
      <c r="V885" s="276"/>
      <c r="W885" s="276"/>
      <c r="X885" s="276"/>
      <c r="Y885" s="276"/>
      <c r="Z885" s="276"/>
    </row>
    <row r="886" spans="1:26" ht="18.75" customHeight="1">
      <c r="A886" s="276"/>
      <c r="B886" s="276"/>
      <c r="C886" s="276"/>
      <c r="D886" s="276"/>
      <c r="E886" s="276"/>
      <c r="F886" s="276"/>
      <c r="G886" s="276"/>
      <c r="H886" s="276"/>
      <c r="I886" s="276"/>
      <c r="J886" s="276"/>
      <c r="K886" s="276"/>
      <c r="L886" s="276"/>
      <c r="M886" s="276"/>
      <c r="N886" s="276"/>
      <c r="O886" s="276"/>
      <c r="P886" s="276"/>
      <c r="Q886" s="276"/>
      <c r="R886" s="276"/>
      <c r="S886" s="276"/>
      <c r="T886" s="276"/>
      <c r="U886" s="276"/>
      <c r="V886" s="276"/>
      <c r="W886" s="276"/>
      <c r="X886" s="276"/>
      <c r="Y886" s="276"/>
      <c r="Z886" s="276"/>
    </row>
    <row r="887" spans="1:26" ht="18.75" customHeight="1">
      <c r="A887" s="276"/>
      <c r="B887" s="276"/>
      <c r="C887" s="276"/>
      <c r="D887" s="276"/>
      <c r="E887" s="276"/>
      <c r="F887" s="276"/>
      <c r="G887" s="276"/>
      <c r="H887" s="276"/>
      <c r="I887" s="276"/>
      <c r="J887" s="276"/>
      <c r="K887" s="276"/>
      <c r="L887" s="276"/>
      <c r="M887" s="276"/>
      <c r="N887" s="276"/>
      <c r="O887" s="276"/>
      <c r="P887" s="276"/>
      <c r="Q887" s="276"/>
      <c r="R887" s="276"/>
      <c r="S887" s="276"/>
      <c r="T887" s="276"/>
      <c r="U887" s="276"/>
      <c r="V887" s="276"/>
      <c r="W887" s="276"/>
      <c r="X887" s="276"/>
      <c r="Y887" s="276"/>
      <c r="Z887" s="276"/>
    </row>
    <row r="888" spans="1:26" ht="18.75" customHeight="1">
      <c r="A888" s="276"/>
      <c r="B888" s="276"/>
      <c r="C888" s="276"/>
      <c r="D888" s="276"/>
      <c r="E888" s="276"/>
      <c r="F888" s="276"/>
      <c r="G888" s="276"/>
      <c r="H888" s="276"/>
      <c r="I888" s="276"/>
      <c r="J888" s="276"/>
      <c r="K888" s="276"/>
      <c r="L888" s="276"/>
      <c r="M888" s="276"/>
      <c r="N888" s="276"/>
      <c r="O888" s="276"/>
      <c r="P888" s="276"/>
      <c r="Q888" s="276"/>
      <c r="R888" s="276"/>
      <c r="S888" s="276"/>
      <c r="T888" s="276"/>
      <c r="U888" s="276"/>
      <c r="V888" s="276"/>
      <c r="W888" s="276"/>
      <c r="X888" s="276"/>
      <c r="Y888" s="276"/>
      <c r="Z888" s="276"/>
    </row>
    <row r="889" spans="1:26" ht="18.75" customHeight="1">
      <c r="A889" s="276"/>
      <c r="B889" s="276"/>
      <c r="C889" s="276"/>
      <c r="D889" s="276"/>
      <c r="E889" s="276"/>
      <c r="F889" s="276"/>
      <c r="G889" s="276"/>
      <c r="H889" s="276"/>
      <c r="I889" s="276"/>
      <c r="J889" s="276"/>
      <c r="K889" s="276"/>
      <c r="L889" s="276"/>
      <c r="M889" s="276"/>
      <c r="N889" s="276"/>
      <c r="O889" s="276"/>
      <c r="P889" s="276"/>
      <c r="Q889" s="276"/>
      <c r="R889" s="276"/>
      <c r="S889" s="276"/>
      <c r="T889" s="276"/>
      <c r="U889" s="276"/>
      <c r="V889" s="276"/>
      <c r="W889" s="276"/>
      <c r="X889" s="276"/>
      <c r="Y889" s="276"/>
      <c r="Z889" s="276"/>
    </row>
    <row r="890" spans="1:26" ht="18.75" customHeight="1">
      <c r="A890" s="276"/>
      <c r="B890" s="276"/>
      <c r="C890" s="276"/>
      <c r="D890" s="276"/>
      <c r="E890" s="276"/>
      <c r="F890" s="276"/>
      <c r="G890" s="276"/>
      <c r="H890" s="276"/>
      <c r="I890" s="276"/>
      <c r="J890" s="276"/>
      <c r="K890" s="276"/>
      <c r="L890" s="276"/>
      <c r="M890" s="276"/>
      <c r="N890" s="276"/>
      <c r="O890" s="276"/>
      <c r="P890" s="276"/>
      <c r="Q890" s="276"/>
      <c r="R890" s="276"/>
      <c r="S890" s="276"/>
      <c r="T890" s="276"/>
      <c r="U890" s="276"/>
      <c r="V890" s="276"/>
      <c r="W890" s="276"/>
      <c r="X890" s="276"/>
      <c r="Y890" s="276"/>
      <c r="Z890" s="276"/>
    </row>
    <row r="891" spans="1:26" ht="18.75" customHeight="1">
      <c r="A891" s="276"/>
      <c r="B891" s="276"/>
      <c r="C891" s="276"/>
      <c r="D891" s="276"/>
      <c r="E891" s="276"/>
      <c r="F891" s="276"/>
      <c r="G891" s="276"/>
      <c r="H891" s="276"/>
      <c r="I891" s="276"/>
      <c r="J891" s="276"/>
      <c r="K891" s="276"/>
      <c r="L891" s="276"/>
      <c r="M891" s="276"/>
      <c r="N891" s="276"/>
      <c r="O891" s="276"/>
      <c r="P891" s="276"/>
      <c r="Q891" s="276"/>
      <c r="R891" s="276"/>
      <c r="S891" s="276"/>
      <c r="T891" s="276"/>
      <c r="U891" s="276"/>
      <c r="V891" s="276"/>
      <c r="W891" s="276"/>
      <c r="X891" s="276"/>
      <c r="Y891" s="276"/>
      <c r="Z891" s="276"/>
    </row>
    <row r="892" spans="1:26" ht="18.75" customHeight="1">
      <c r="A892" s="276"/>
      <c r="B892" s="276"/>
      <c r="C892" s="276"/>
      <c r="D892" s="276"/>
      <c r="E892" s="276"/>
      <c r="F892" s="276"/>
      <c r="G892" s="276"/>
      <c r="H892" s="276"/>
      <c r="I892" s="276"/>
      <c r="J892" s="276"/>
      <c r="K892" s="276"/>
      <c r="L892" s="276"/>
      <c r="M892" s="276"/>
      <c r="N892" s="276"/>
      <c r="O892" s="276"/>
      <c r="P892" s="276"/>
      <c r="Q892" s="276"/>
      <c r="R892" s="276"/>
      <c r="S892" s="276"/>
      <c r="T892" s="276"/>
      <c r="U892" s="276"/>
      <c r="V892" s="276"/>
      <c r="W892" s="276"/>
      <c r="X892" s="276"/>
      <c r="Y892" s="276"/>
      <c r="Z892" s="276"/>
    </row>
    <row r="893" spans="1:26" ht="18.75" customHeight="1">
      <c r="A893" s="276"/>
      <c r="B893" s="276"/>
      <c r="C893" s="276"/>
      <c r="D893" s="276"/>
      <c r="E893" s="276"/>
      <c r="F893" s="276"/>
      <c r="G893" s="276"/>
      <c r="H893" s="276"/>
      <c r="I893" s="276"/>
      <c r="J893" s="276"/>
      <c r="K893" s="276"/>
      <c r="L893" s="276"/>
      <c r="M893" s="276"/>
      <c r="N893" s="276"/>
      <c r="O893" s="276"/>
      <c r="P893" s="276"/>
      <c r="Q893" s="276"/>
      <c r="R893" s="276"/>
      <c r="S893" s="276"/>
      <c r="T893" s="276"/>
      <c r="U893" s="276"/>
      <c r="V893" s="276"/>
      <c r="W893" s="276"/>
      <c r="X893" s="276"/>
      <c r="Y893" s="276"/>
      <c r="Z893" s="276"/>
    </row>
    <row r="894" spans="1:26" ht="18.75" customHeight="1">
      <c r="A894" s="276"/>
      <c r="B894" s="276"/>
      <c r="C894" s="276"/>
      <c r="D894" s="276"/>
      <c r="E894" s="276"/>
      <c r="F894" s="276"/>
      <c r="G894" s="276"/>
      <c r="H894" s="276"/>
      <c r="I894" s="276"/>
      <c r="J894" s="276"/>
      <c r="K894" s="276"/>
      <c r="L894" s="276"/>
      <c r="M894" s="276"/>
      <c r="N894" s="276"/>
      <c r="O894" s="276"/>
      <c r="P894" s="276"/>
      <c r="Q894" s="276"/>
      <c r="R894" s="276"/>
      <c r="S894" s="276"/>
      <c r="T894" s="276"/>
      <c r="U894" s="276"/>
      <c r="V894" s="276"/>
      <c r="W894" s="276"/>
      <c r="X894" s="276"/>
      <c r="Y894" s="276"/>
      <c r="Z894" s="276"/>
    </row>
    <row r="895" spans="1:26" ht="18.75" customHeight="1">
      <c r="A895" s="276"/>
      <c r="B895" s="276"/>
      <c r="C895" s="276"/>
      <c r="D895" s="276"/>
      <c r="E895" s="276"/>
      <c r="F895" s="276"/>
      <c r="G895" s="276"/>
      <c r="H895" s="276"/>
      <c r="I895" s="276"/>
      <c r="J895" s="276"/>
      <c r="K895" s="276"/>
      <c r="L895" s="276"/>
      <c r="M895" s="276"/>
      <c r="N895" s="276"/>
      <c r="O895" s="276"/>
      <c r="P895" s="276"/>
      <c r="Q895" s="276"/>
      <c r="R895" s="276"/>
      <c r="S895" s="276"/>
      <c r="T895" s="276"/>
      <c r="U895" s="276"/>
      <c r="V895" s="276"/>
      <c r="W895" s="276"/>
      <c r="X895" s="276"/>
      <c r="Y895" s="276"/>
      <c r="Z895" s="276"/>
    </row>
    <row r="896" spans="1:26" ht="18.75" customHeight="1">
      <c r="A896" s="276"/>
      <c r="B896" s="276"/>
      <c r="C896" s="276"/>
      <c r="D896" s="276"/>
      <c r="E896" s="276"/>
      <c r="F896" s="276"/>
      <c r="G896" s="276"/>
      <c r="H896" s="276"/>
      <c r="I896" s="276"/>
      <c r="J896" s="276"/>
      <c r="K896" s="276"/>
      <c r="L896" s="276"/>
      <c r="M896" s="276"/>
      <c r="N896" s="276"/>
      <c r="O896" s="276"/>
      <c r="P896" s="276"/>
      <c r="Q896" s="276"/>
      <c r="R896" s="276"/>
      <c r="S896" s="276"/>
      <c r="T896" s="276"/>
      <c r="U896" s="276"/>
      <c r="V896" s="276"/>
      <c r="W896" s="276"/>
      <c r="X896" s="276"/>
      <c r="Y896" s="276"/>
      <c r="Z896" s="276"/>
    </row>
    <row r="897" spans="1:26" ht="18.75" customHeight="1">
      <c r="A897" s="276"/>
      <c r="B897" s="276"/>
      <c r="C897" s="276"/>
      <c r="D897" s="276"/>
      <c r="E897" s="276"/>
      <c r="F897" s="276"/>
      <c r="G897" s="276"/>
      <c r="H897" s="276"/>
      <c r="I897" s="276"/>
      <c r="J897" s="276"/>
      <c r="K897" s="276"/>
      <c r="L897" s="276"/>
      <c r="M897" s="276"/>
      <c r="N897" s="276"/>
      <c r="O897" s="276"/>
      <c r="P897" s="276"/>
      <c r="Q897" s="276"/>
      <c r="R897" s="276"/>
      <c r="S897" s="276"/>
      <c r="T897" s="276"/>
      <c r="U897" s="276"/>
      <c r="V897" s="276"/>
      <c r="W897" s="276"/>
      <c r="X897" s="276"/>
      <c r="Y897" s="276"/>
      <c r="Z897" s="276"/>
    </row>
    <row r="898" spans="1:26" ht="18.75" customHeight="1">
      <c r="A898" s="276"/>
      <c r="B898" s="276"/>
      <c r="C898" s="276"/>
      <c r="D898" s="276"/>
      <c r="E898" s="276"/>
      <c r="F898" s="276"/>
      <c r="G898" s="276"/>
      <c r="H898" s="276"/>
      <c r="I898" s="276"/>
      <c r="J898" s="276"/>
      <c r="K898" s="276"/>
      <c r="L898" s="276"/>
      <c r="M898" s="276"/>
      <c r="N898" s="276"/>
      <c r="O898" s="276"/>
      <c r="P898" s="276"/>
      <c r="Q898" s="276"/>
      <c r="R898" s="276"/>
      <c r="S898" s="276"/>
      <c r="T898" s="276"/>
      <c r="U898" s="276"/>
      <c r="V898" s="276"/>
      <c r="W898" s="276"/>
      <c r="X898" s="276"/>
      <c r="Y898" s="276"/>
      <c r="Z898" s="276"/>
    </row>
    <row r="899" spans="1:26" ht="18.75" customHeight="1">
      <c r="A899" s="276"/>
      <c r="B899" s="276"/>
      <c r="C899" s="276"/>
      <c r="D899" s="276"/>
      <c r="E899" s="276"/>
      <c r="F899" s="276"/>
      <c r="G899" s="276"/>
      <c r="H899" s="276"/>
      <c r="I899" s="276"/>
      <c r="J899" s="276"/>
      <c r="K899" s="276"/>
      <c r="L899" s="276"/>
      <c r="M899" s="276"/>
      <c r="N899" s="276"/>
      <c r="O899" s="276"/>
      <c r="P899" s="276"/>
      <c r="Q899" s="276"/>
      <c r="R899" s="276"/>
      <c r="S899" s="276"/>
      <c r="T899" s="276"/>
      <c r="U899" s="276"/>
      <c r="V899" s="276"/>
      <c r="W899" s="276"/>
      <c r="X899" s="276"/>
      <c r="Y899" s="276"/>
      <c r="Z899" s="276"/>
    </row>
    <row r="900" spans="1:26" ht="18.75" customHeight="1">
      <c r="A900" s="276"/>
      <c r="B900" s="276"/>
      <c r="C900" s="276"/>
      <c r="D900" s="276"/>
      <c r="E900" s="276"/>
      <c r="F900" s="276"/>
      <c r="G900" s="276"/>
      <c r="H900" s="276"/>
      <c r="I900" s="276"/>
      <c r="J900" s="276"/>
      <c r="K900" s="276"/>
      <c r="L900" s="276"/>
      <c r="M900" s="276"/>
      <c r="N900" s="276"/>
      <c r="O900" s="276"/>
      <c r="P900" s="276"/>
      <c r="Q900" s="276"/>
      <c r="R900" s="276"/>
      <c r="S900" s="276"/>
      <c r="T900" s="276"/>
      <c r="U900" s="276"/>
      <c r="V900" s="276"/>
      <c r="W900" s="276"/>
      <c r="X900" s="276"/>
      <c r="Y900" s="276"/>
      <c r="Z900" s="276"/>
    </row>
    <row r="901" spans="1:26" ht="18.75" customHeight="1">
      <c r="A901" s="276"/>
      <c r="B901" s="276"/>
      <c r="C901" s="276"/>
      <c r="D901" s="276"/>
      <c r="E901" s="276"/>
      <c r="F901" s="276"/>
      <c r="G901" s="276"/>
      <c r="H901" s="276"/>
      <c r="I901" s="276"/>
      <c r="J901" s="276"/>
      <c r="K901" s="276"/>
      <c r="L901" s="276"/>
      <c r="M901" s="276"/>
      <c r="N901" s="276"/>
      <c r="O901" s="276"/>
      <c r="P901" s="276"/>
      <c r="Q901" s="276"/>
      <c r="R901" s="276"/>
      <c r="S901" s="276"/>
      <c r="T901" s="276"/>
      <c r="U901" s="276"/>
      <c r="V901" s="276"/>
      <c r="W901" s="276"/>
      <c r="X901" s="276"/>
      <c r="Y901" s="276"/>
      <c r="Z901" s="276"/>
    </row>
    <row r="902" spans="1:26" ht="18.75" customHeight="1">
      <c r="A902" s="276"/>
      <c r="B902" s="276"/>
      <c r="C902" s="276"/>
      <c r="D902" s="276"/>
      <c r="E902" s="276"/>
      <c r="F902" s="276"/>
      <c r="G902" s="276"/>
      <c r="H902" s="276"/>
      <c r="I902" s="276"/>
      <c r="J902" s="276"/>
      <c r="K902" s="276"/>
      <c r="L902" s="276"/>
      <c r="M902" s="276"/>
      <c r="N902" s="276"/>
      <c r="O902" s="276"/>
      <c r="P902" s="276"/>
      <c r="Q902" s="276"/>
      <c r="R902" s="276"/>
      <c r="S902" s="276"/>
      <c r="T902" s="276"/>
      <c r="U902" s="276"/>
      <c r="V902" s="276"/>
      <c r="W902" s="276"/>
      <c r="X902" s="276"/>
      <c r="Y902" s="276"/>
      <c r="Z902" s="276"/>
    </row>
    <row r="903" spans="1:26" ht="18.75" customHeight="1">
      <c r="A903" s="276"/>
      <c r="B903" s="276"/>
      <c r="C903" s="276"/>
      <c r="D903" s="276"/>
      <c r="E903" s="276"/>
      <c r="F903" s="276"/>
      <c r="G903" s="276"/>
      <c r="H903" s="276"/>
      <c r="I903" s="276"/>
      <c r="J903" s="276"/>
      <c r="K903" s="276"/>
      <c r="L903" s="276"/>
      <c r="M903" s="276"/>
      <c r="N903" s="276"/>
      <c r="O903" s="276"/>
      <c r="P903" s="276"/>
      <c r="Q903" s="276"/>
      <c r="R903" s="276"/>
      <c r="S903" s="276"/>
      <c r="T903" s="276"/>
      <c r="U903" s="276"/>
      <c r="V903" s="276"/>
      <c r="W903" s="276"/>
      <c r="X903" s="276"/>
      <c r="Y903" s="276"/>
      <c r="Z903" s="276"/>
    </row>
    <row r="904" spans="1:26" ht="18.75" customHeight="1">
      <c r="A904" s="276"/>
      <c r="B904" s="276"/>
      <c r="C904" s="276"/>
      <c r="D904" s="276"/>
      <c r="E904" s="276"/>
      <c r="F904" s="276"/>
      <c r="G904" s="276"/>
      <c r="H904" s="276"/>
      <c r="I904" s="276"/>
      <c r="J904" s="276"/>
      <c r="K904" s="276"/>
      <c r="L904" s="276"/>
      <c r="M904" s="276"/>
      <c r="N904" s="276"/>
      <c r="O904" s="276"/>
      <c r="P904" s="276"/>
      <c r="Q904" s="276"/>
      <c r="R904" s="276"/>
      <c r="S904" s="276"/>
      <c r="T904" s="276"/>
      <c r="U904" s="276"/>
      <c r="V904" s="276"/>
      <c r="W904" s="276"/>
      <c r="X904" s="276"/>
      <c r="Y904" s="276"/>
      <c r="Z904" s="276"/>
    </row>
    <row r="905" spans="1:26" ht="18.75" customHeight="1">
      <c r="A905" s="276"/>
      <c r="B905" s="276"/>
      <c r="C905" s="276"/>
      <c r="D905" s="276"/>
      <c r="E905" s="276"/>
      <c r="F905" s="276"/>
      <c r="G905" s="276"/>
      <c r="H905" s="276"/>
      <c r="I905" s="276"/>
      <c r="J905" s="276"/>
      <c r="K905" s="276"/>
      <c r="L905" s="276"/>
      <c r="M905" s="276"/>
      <c r="N905" s="276"/>
      <c r="O905" s="276"/>
      <c r="P905" s="276"/>
      <c r="Q905" s="276"/>
      <c r="R905" s="276"/>
      <c r="S905" s="276"/>
      <c r="T905" s="276"/>
      <c r="U905" s="276"/>
      <c r="V905" s="276"/>
      <c r="W905" s="276"/>
      <c r="X905" s="276"/>
      <c r="Y905" s="276"/>
      <c r="Z905" s="276"/>
    </row>
    <row r="906" spans="1:26" ht="18.75" customHeight="1">
      <c r="A906" s="276"/>
      <c r="B906" s="276"/>
      <c r="C906" s="276"/>
      <c r="D906" s="276"/>
      <c r="E906" s="276"/>
      <c r="F906" s="276"/>
      <c r="G906" s="276"/>
      <c r="H906" s="276"/>
      <c r="I906" s="276"/>
      <c r="J906" s="276"/>
      <c r="K906" s="276"/>
      <c r="L906" s="276"/>
      <c r="M906" s="276"/>
      <c r="N906" s="276"/>
      <c r="O906" s="276"/>
      <c r="P906" s="276"/>
      <c r="Q906" s="276"/>
      <c r="R906" s="276"/>
      <c r="S906" s="276"/>
      <c r="T906" s="276"/>
      <c r="U906" s="276"/>
      <c r="V906" s="276"/>
      <c r="W906" s="276"/>
      <c r="X906" s="276"/>
      <c r="Y906" s="276"/>
      <c r="Z906" s="276"/>
    </row>
    <row r="907" spans="1:26" ht="18.75" customHeight="1">
      <c r="A907" s="276"/>
      <c r="B907" s="276"/>
      <c r="C907" s="276"/>
      <c r="D907" s="276"/>
      <c r="E907" s="276"/>
      <c r="F907" s="276"/>
      <c r="G907" s="276"/>
      <c r="H907" s="276"/>
      <c r="I907" s="276"/>
      <c r="J907" s="276"/>
      <c r="K907" s="276"/>
      <c r="L907" s="276"/>
      <c r="M907" s="276"/>
      <c r="N907" s="276"/>
      <c r="O907" s="276"/>
      <c r="P907" s="276"/>
      <c r="Q907" s="276"/>
      <c r="R907" s="276"/>
      <c r="S907" s="276"/>
      <c r="T907" s="276"/>
      <c r="U907" s="276"/>
      <c r="V907" s="276"/>
      <c r="W907" s="276"/>
      <c r="X907" s="276"/>
      <c r="Y907" s="276"/>
      <c r="Z907" s="276"/>
    </row>
    <row r="908" spans="1:26" ht="18.75" customHeight="1">
      <c r="A908" s="276"/>
      <c r="B908" s="276"/>
      <c r="C908" s="276"/>
      <c r="D908" s="276"/>
      <c r="E908" s="276"/>
      <c r="F908" s="276"/>
      <c r="G908" s="276"/>
      <c r="H908" s="276"/>
      <c r="I908" s="276"/>
      <c r="J908" s="276"/>
      <c r="K908" s="276"/>
      <c r="L908" s="276"/>
      <c r="M908" s="276"/>
      <c r="N908" s="276"/>
      <c r="O908" s="276"/>
      <c r="P908" s="276"/>
      <c r="Q908" s="276"/>
      <c r="R908" s="276"/>
      <c r="S908" s="276"/>
      <c r="T908" s="276"/>
      <c r="U908" s="276"/>
      <c r="V908" s="276"/>
      <c r="W908" s="276"/>
      <c r="X908" s="276"/>
      <c r="Y908" s="276"/>
      <c r="Z908" s="276"/>
    </row>
    <row r="909" spans="1:26" ht="18.75" customHeight="1">
      <c r="A909" s="276"/>
      <c r="B909" s="276"/>
      <c r="C909" s="276"/>
      <c r="D909" s="276"/>
      <c r="E909" s="276"/>
      <c r="F909" s="276"/>
      <c r="G909" s="276"/>
      <c r="H909" s="276"/>
      <c r="I909" s="276"/>
      <c r="J909" s="276"/>
      <c r="K909" s="276"/>
      <c r="L909" s="276"/>
      <c r="M909" s="276"/>
      <c r="N909" s="276"/>
      <c r="O909" s="276"/>
      <c r="P909" s="276"/>
      <c r="Q909" s="276"/>
      <c r="R909" s="276"/>
      <c r="S909" s="276"/>
      <c r="T909" s="276"/>
      <c r="U909" s="276"/>
      <c r="V909" s="276"/>
      <c r="W909" s="276"/>
      <c r="X909" s="276"/>
      <c r="Y909" s="276"/>
      <c r="Z909" s="276"/>
    </row>
    <row r="910" spans="1:26" ht="18.75" customHeight="1">
      <c r="A910" s="276"/>
      <c r="B910" s="276"/>
      <c r="C910" s="276"/>
      <c r="D910" s="276"/>
      <c r="E910" s="276"/>
      <c r="F910" s="276"/>
      <c r="G910" s="276"/>
      <c r="H910" s="276"/>
      <c r="I910" s="276"/>
      <c r="J910" s="276"/>
      <c r="K910" s="276"/>
      <c r="L910" s="276"/>
      <c r="M910" s="276"/>
      <c r="N910" s="276"/>
      <c r="O910" s="276"/>
      <c r="P910" s="276"/>
      <c r="Q910" s="276"/>
      <c r="R910" s="276"/>
      <c r="S910" s="276"/>
      <c r="T910" s="276"/>
      <c r="U910" s="276"/>
      <c r="V910" s="276"/>
      <c r="W910" s="276"/>
      <c r="X910" s="276"/>
      <c r="Y910" s="276"/>
      <c r="Z910" s="276"/>
    </row>
    <row r="911" spans="1:26" ht="18.75" customHeight="1">
      <c r="A911" s="276"/>
      <c r="B911" s="276"/>
      <c r="C911" s="276"/>
      <c r="D911" s="276"/>
      <c r="E911" s="276"/>
      <c r="F911" s="276"/>
      <c r="G911" s="276"/>
      <c r="H911" s="276"/>
      <c r="I911" s="276"/>
      <c r="J911" s="276"/>
      <c r="K911" s="276"/>
      <c r="L911" s="276"/>
      <c r="M911" s="276"/>
      <c r="N911" s="276"/>
      <c r="O911" s="276"/>
      <c r="P911" s="276"/>
      <c r="Q911" s="276"/>
      <c r="R911" s="276"/>
      <c r="S911" s="276"/>
      <c r="T911" s="276"/>
      <c r="U911" s="276"/>
      <c r="V911" s="276"/>
      <c r="W911" s="276"/>
      <c r="X911" s="276"/>
      <c r="Y911" s="276"/>
      <c r="Z911" s="276"/>
    </row>
    <row r="912" spans="1:26" ht="18.75" customHeight="1">
      <c r="A912" s="276"/>
      <c r="B912" s="276"/>
      <c r="C912" s="276"/>
      <c r="D912" s="276"/>
      <c r="E912" s="276"/>
      <c r="F912" s="276"/>
      <c r="G912" s="276"/>
      <c r="H912" s="276"/>
      <c r="I912" s="276"/>
      <c r="J912" s="276"/>
      <c r="K912" s="276"/>
      <c r="L912" s="276"/>
      <c r="M912" s="276"/>
      <c r="N912" s="276"/>
      <c r="O912" s="276"/>
      <c r="P912" s="276"/>
      <c r="Q912" s="276"/>
      <c r="R912" s="276"/>
      <c r="S912" s="276"/>
      <c r="T912" s="276"/>
      <c r="U912" s="276"/>
      <c r="V912" s="276"/>
      <c r="W912" s="276"/>
      <c r="X912" s="276"/>
      <c r="Y912" s="276"/>
      <c r="Z912" s="276"/>
    </row>
    <row r="913" spans="1:26" ht="18.75" customHeight="1">
      <c r="A913" s="276"/>
      <c r="B913" s="276"/>
      <c r="C913" s="276"/>
      <c r="D913" s="276"/>
      <c r="E913" s="276"/>
      <c r="F913" s="276"/>
      <c r="G913" s="276"/>
      <c r="H913" s="276"/>
      <c r="I913" s="276"/>
      <c r="J913" s="276"/>
      <c r="K913" s="276"/>
      <c r="L913" s="276"/>
      <c r="M913" s="276"/>
      <c r="N913" s="276"/>
      <c r="O913" s="276"/>
      <c r="P913" s="276"/>
      <c r="Q913" s="276"/>
      <c r="R913" s="276"/>
      <c r="S913" s="276"/>
      <c r="T913" s="276"/>
      <c r="U913" s="276"/>
      <c r="V913" s="276"/>
      <c r="W913" s="276"/>
      <c r="X913" s="276"/>
      <c r="Y913" s="276"/>
      <c r="Z913" s="276"/>
    </row>
    <row r="914" spans="1:26" ht="18.75" customHeight="1">
      <c r="A914" s="276"/>
      <c r="B914" s="276"/>
      <c r="C914" s="276"/>
      <c r="D914" s="276"/>
      <c r="E914" s="276"/>
      <c r="F914" s="276"/>
      <c r="G914" s="276"/>
      <c r="H914" s="276"/>
      <c r="I914" s="276"/>
      <c r="J914" s="276"/>
      <c r="K914" s="276"/>
      <c r="L914" s="276"/>
      <c r="M914" s="276"/>
      <c r="N914" s="276"/>
      <c r="O914" s="276"/>
      <c r="P914" s="276"/>
      <c r="Q914" s="276"/>
      <c r="R914" s="276"/>
      <c r="S914" s="276"/>
      <c r="T914" s="276"/>
      <c r="U914" s="276"/>
      <c r="V914" s="276"/>
      <c r="W914" s="276"/>
      <c r="X914" s="276"/>
      <c r="Y914" s="276"/>
      <c r="Z914" s="276"/>
    </row>
    <row r="915" spans="1:26" ht="18.75" customHeight="1">
      <c r="A915" s="276"/>
      <c r="B915" s="276"/>
      <c r="C915" s="276"/>
      <c r="D915" s="276"/>
      <c r="E915" s="276"/>
      <c r="F915" s="276"/>
      <c r="G915" s="276"/>
      <c r="H915" s="276"/>
      <c r="I915" s="276"/>
      <c r="J915" s="276"/>
      <c r="K915" s="276"/>
      <c r="L915" s="276"/>
      <c r="M915" s="276"/>
      <c r="N915" s="276"/>
      <c r="O915" s="276"/>
      <c r="P915" s="276"/>
      <c r="Q915" s="276"/>
      <c r="R915" s="276"/>
      <c r="S915" s="276"/>
      <c r="T915" s="276"/>
      <c r="U915" s="276"/>
      <c r="V915" s="276"/>
      <c r="W915" s="276"/>
      <c r="X915" s="276"/>
      <c r="Y915" s="276"/>
      <c r="Z915" s="276"/>
    </row>
    <row r="916" spans="1:26" ht="18.75" customHeight="1">
      <c r="A916" s="276"/>
      <c r="B916" s="276"/>
      <c r="C916" s="276"/>
      <c r="D916" s="276"/>
      <c r="E916" s="276"/>
      <c r="F916" s="276"/>
      <c r="G916" s="276"/>
      <c r="H916" s="276"/>
      <c r="I916" s="276"/>
      <c r="J916" s="276"/>
      <c r="K916" s="276"/>
      <c r="L916" s="276"/>
      <c r="M916" s="276"/>
      <c r="N916" s="276"/>
      <c r="O916" s="276"/>
      <c r="P916" s="276"/>
      <c r="Q916" s="276"/>
      <c r="R916" s="276"/>
      <c r="S916" s="276"/>
      <c r="T916" s="276"/>
      <c r="U916" s="276"/>
      <c r="V916" s="276"/>
      <c r="W916" s="276"/>
      <c r="X916" s="276"/>
      <c r="Y916" s="276"/>
      <c r="Z916" s="276"/>
    </row>
    <row r="917" spans="1:26" ht="18.75" customHeight="1">
      <c r="A917" s="276"/>
      <c r="B917" s="276"/>
      <c r="C917" s="276"/>
      <c r="D917" s="276"/>
      <c r="E917" s="276"/>
      <c r="F917" s="276"/>
      <c r="G917" s="276"/>
      <c r="H917" s="276"/>
      <c r="I917" s="276"/>
      <c r="J917" s="276"/>
      <c r="K917" s="276"/>
      <c r="L917" s="276"/>
      <c r="M917" s="276"/>
      <c r="N917" s="276"/>
      <c r="O917" s="276"/>
      <c r="P917" s="276"/>
      <c r="Q917" s="276"/>
      <c r="R917" s="276"/>
      <c r="S917" s="276"/>
      <c r="T917" s="276"/>
      <c r="U917" s="276"/>
      <c r="V917" s="276"/>
      <c r="W917" s="276"/>
      <c r="X917" s="276"/>
      <c r="Y917" s="276"/>
      <c r="Z917" s="276"/>
    </row>
    <row r="918" spans="1:26" ht="18.75" customHeight="1">
      <c r="A918" s="276"/>
      <c r="B918" s="276"/>
      <c r="C918" s="276"/>
      <c r="D918" s="276"/>
      <c r="E918" s="276"/>
      <c r="F918" s="276"/>
      <c r="G918" s="276"/>
      <c r="H918" s="276"/>
      <c r="I918" s="276"/>
      <c r="J918" s="276"/>
      <c r="K918" s="276"/>
      <c r="L918" s="276"/>
      <c r="M918" s="276"/>
      <c r="N918" s="276"/>
      <c r="O918" s="276"/>
      <c r="P918" s="276"/>
      <c r="Q918" s="276"/>
      <c r="R918" s="276"/>
      <c r="S918" s="276"/>
      <c r="T918" s="276"/>
      <c r="U918" s="276"/>
      <c r="V918" s="276"/>
      <c r="W918" s="276"/>
      <c r="X918" s="276"/>
      <c r="Y918" s="276"/>
      <c r="Z918" s="276"/>
    </row>
    <row r="919" spans="1:26" ht="18.75" customHeight="1">
      <c r="A919" s="276"/>
      <c r="B919" s="276"/>
      <c r="C919" s="276"/>
      <c r="D919" s="276"/>
      <c r="E919" s="276"/>
      <c r="F919" s="276"/>
      <c r="G919" s="276"/>
      <c r="H919" s="276"/>
      <c r="I919" s="276"/>
      <c r="J919" s="276"/>
      <c r="K919" s="276"/>
      <c r="L919" s="276"/>
      <c r="M919" s="276"/>
      <c r="N919" s="276"/>
      <c r="O919" s="276"/>
      <c r="P919" s="276"/>
      <c r="Q919" s="276"/>
      <c r="R919" s="276"/>
      <c r="S919" s="276"/>
      <c r="T919" s="276"/>
      <c r="U919" s="276"/>
      <c r="V919" s="276"/>
      <c r="W919" s="276"/>
      <c r="X919" s="276"/>
      <c r="Y919" s="276"/>
      <c r="Z919" s="276"/>
    </row>
    <row r="920" spans="1:26" ht="18.75" customHeight="1">
      <c r="A920" s="276"/>
      <c r="B920" s="276"/>
      <c r="C920" s="276"/>
      <c r="D920" s="276"/>
      <c r="E920" s="276"/>
      <c r="F920" s="276"/>
      <c r="G920" s="276"/>
      <c r="H920" s="276"/>
      <c r="I920" s="276"/>
      <c r="J920" s="276"/>
      <c r="K920" s="276"/>
      <c r="L920" s="276"/>
      <c r="M920" s="276"/>
      <c r="N920" s="276"/>
      <c r="O920" s="276"/>
      <c r="P920" s="276"/>
      <c r="Q920" s="276"/>
      <c r="R920" s="276"/>
      <c r="S920" s="276"/>
      <c r="T920" s="276"/>
      <c r="U920" s="276"/>
      <c r="V920" s="276"/>
      <c r="W920" s="276"/>
      <c r="X920" s="276"/>
      <c r="Y920" s="276"/>
      <c r="Z920" s="276"/>
    </row>
    <row r="921" spans="1:26" ht="18.75" customHeight="1">
      <c r="A921" s="276"/>
      <c r="B921" s="276"/>
      <c r="C921" s="276"/>
      <c r="D921" s="276"/>
      <c r="E921" s="276"/>
      <c r="F921" s="276"/>
      <c r="G921" s="276"/>
      <c r="H921" s="276"/>
      <c r="I921" s="276"/>
      <c r="J921" s="276"/>
      <c r="K921" s="276"/>
      <c r="L921" s="276"/>
      <c r="M921" s="276"/>
      <c r="N921" s="276"/>
      <c r="O921" s="276"/>
      <c r="P921" s="276"/>
      <c r="Q921" s="276"/>
      <c r="R921" s="276"/>
      <c r="S921" s="276"/>
      <c r="T921" s="276"/>
      <c r="U921" s="276"/>
      <c r="V921" s="276"/>
      <c r="W921" s="276"/>
      <c r="X921" s="276"/>
      <c r="Y921" s="276"/>
      <c r="Z921" s="276"/>
    </row>
    <row r="922" spans="1:26" ht="18.75" customHeight="1">
      <c r="A922" s="276"/>
      <c r="B922" s="276"/>
      <c r="C922" s="276"/>
      <c r="D922" s="276"/>
      <c r="E922" s="276"/>
      <c r="F922" s="276"/>
      <c r="G922" s="276"/>
      <c r="H922" s="276"/>
      <c r="I922" s="276"/>
      <c r="J922" s="276"/>
      <c r="K922" s="276"/>
      <c r="L922" s="276"/>
      <c r="M922" s="276"/>
      <c r="N922" s="276"/>
      <c r="O922" s="276"/>
      <c r="P922" s="276"/>
      <c r="Q922" s="276"/>
      <c r="R922" s="276"/>
      <c r="S922" s="276"/>
      <c r="T922" s="276"/>
      <c r="U922" s="276"/>
      <c r="V922" s="276"/>
      <c r="W922" s="276"/>
      <c r="X922" s="276"/>
      <c r="Y922" s="276"/>
      <c r="Z922" s="276"/>
    </row>
    <row r="923" spans="1:26" ht="18.75" customHeight="1">
      <c r="A923" s="276"/>
      <c r="B923" s="276"/>
      <c r="C923" s="276"/>
      <c r="D923" s="276"/>
      <c r="E923" s="276"/>
      <c r="F923" s="276"/>
      <c r="G923" s="276"/>
      <c r="H923" s="276"/>
      <c r="I923" s="276"/>
      <c r="J923" s="276"/>
      <c r="K923" s="276"/>
      <c r="L923" s="276"/>
      <c r="M923" s="276"/>
      <c r="N923" s="276"/>
      <c r="O923" s="276"/>
      <c r="P923" s="276"/>
      <c r="Q923" s="276"/>
      <c r="R923" s="276"/>
      <c r="S923" s="276"/>
      <c r="T923" s="276"/>
      <c r="U923" s="276"/>
      <c r="V923" s="276"/>
      <c r="W923" s="276"/>
      <c r="X923" s="276"/>
      <c r="Y923" s="276"/>
      <c r="Z923" s="276"/>
    </row>
    <row r="924" spans="1:26" ht="18.75" customHeight="1">
      <c r="A924" s="276"/>
      <c r="B924" s="276"/>
      <c r="C924" s="276"/>
      <c r="D924" s="276"/>
      <c r="E924" s="276"/>
      <c r="F924" s="276"/>
      <c r="G924" s="276"/>
      <c r="H924" s="276"/>
      <c r="I924" s="276"/>
      <c r="J924" s="276"/>
      <c r="K924" s="276"/>
      <c r="L924" s="276"/>
      <c r="M924" s="276"/>
      <c r="N924" s="276"/>
      <c r="O924" s="276"/>
      <c r="P924" s="276"/>
      <c r="Q924" s="276"/>
      <c r="R924" s="276"/>
      <c r="S924" s="276"/>
      <c r="T924" s="276"/>
      <c r="U924" s="276"/>
      <c r="V924" s="276"/>
      <c r="W924" s="276"/>
      <c r="X924" s="276"/>
      <c r="Y924" s="276"/>
      <c r="Z924" s="276"/>
    </row>
    <row r="925" spans="1:26" ht="18.75" customHeight="1">
      <c r="A925" s="276"/>
      <c r="B925" s="276"/>
      <c r="C925" s="276"/>
      <c r="D925" s="276"/>
      <c r="E925" s="276"/>
      <c r="F925" s="276"/>
      <c r="G925" s="276"/>
      <c r="H925" s="276"/>
      <c r="I925" s="276"/>
      <c r="J925" s="276"/>
      <c r="K925" s="276"/>
      <c r="L925" s="276"/>
      <c r="M925" s="276"/>
      <c r="N925" s="276"/>
      <c r="O925" s="276"/>
      <c r="P925" s="276"/>
      <c r="Q925" s="276"/>
      <c r="R925" s="276"/>
      <c r="S925" s="276"/>
      <c r="T925" s="276"/>
      <c r="U925" s="276"/>
      <c r="V925" s="276"/>
      <c r="W925" s="276"/>
      <c r="X925" s="276"/>
      <c r="Y925" s="276"/>
      <c r="Z925" s="276"/>
    </row>
    <row r="926" spans="1:26" ht="18.75" customHeight="1">
      <c r="A926" s="276"/>
      <c r="B926" s="276"/>
      <c r="C926" s="276"/>
      <c r="D926" s="276"/>
      <c r="E926" s="276"/>
      <c r="F926" s="276"/>
      <c r="G926" s="276"/>
      <c r="H926" s="276"/>
      <c r="I926" s="276"/>
      <c r="J926" s="276"/>
      <c r="K926" s="276"/>
      <c r="L926" s="276"/>
      <c r="M926" s="276"/>
      <c r="N926" s="276"/>
      <c r="O926" s="276"/>
      <c r="P926" s="276"/>
      <c r="Q926" s="276"/>
      <c r="R926" s="276"/>
      <c r="S926" s="276"/>
      <c r="T926" s="276"/>
      <c r="U926" s="276"/>
      <c r="V926" s="276"/>
      <c r="W926" s="276"/>
      <c r="X926" s="276"/>
      <c r="Y926" s="276"/>
      <c r="Z926" s="276"/>
    </row>
    <row r="927" spans="1:26" ht="18.75" customHeight="1">
      <c r="A927" s="276"/>
      <c r="B927" s="276"/>
      <c r="C927" s="276"/>
      <c r="D927" s="276"/>
      <c r="E927" s="276"/>
      <c r="F927" s="276"/>
      <c r="G927" s="276"/>
      <c r="H927" s="276"/>
      <c r="I927" s="276"/>
      <c r="J927" s="276"/>
      <c r="K927" s="276"/>
      <c r="L927" s="276"/>
      <c r="M927" s="276"/>
      <c r="N927" s="276"/>
      <c r="O927" s="276"/>
      <c r="P927" s="276"/>
      <c r="Q927" s="276"/>
      <c r="R927" s="276"/>
      <c r="S927" s="276"/>
      <c r="T927" s="276"/>
      <c r="U927" s="276"/>
      <c r="V927" s="276"/>
      <c r="W927" s="276"/>
      <c r="X927" s="276"/>
      <c r="Y927" s="276"/>
      <c r="Z927" s="276"/>
    </row>
    <row r="928" spans="1:26" ht="18.75" customHeight="1">
      <c r="A928" s="276"/>
      <c r="B928" s="276"/>
      <c r="C928" s="276"/>
      <c r="D928" s="276"/>
      <c r="E928" s="276"/>
      <c r="F928" s="276"/>
      <c r="G928" s="276"/>
      <c r="H928" s="276"/>
      <c r="I928" s="276"/>
      <c r="J928" s="276"/>
      <c r="K928" s="276"/>
      <c r="L928" s="276"/>
      <c r="M928" s="276"/>
      <c r="N928" s="276"/>
      <c r="O928" s="276"/>
      <c r="P928" s="276"/>
      <c r="Q928" s="276"/>
      <c r="R928" s="276"/>
      <c r="S928" s="276"/>
      <c r="T928" s="276"/>
      <c r="U928" s="276"/>
      <c r="V928" s="276"/>
      <c r="W928" s="276"/>
      <c r="X928" s="276"/>
      <c r="Y928" s="276"/>
      <c r="Z928" s="276"/>
    </row>
    <row r="929" spans="1:26" ht="18.75" customHeight="1">
      <c r="A929" s="276"/>
      <c r="B929" s="276"/>
      <c r="C929" s="276"/>
      <c r="D929" s="276"/>
      <c r="E929" s="276"/>
      <c r="F929" s="276"/>
      <c r="G929" s="276"/>
      <c r="H929" s="276"/>
      <c r="I929" s="276"/>
      <c r="J929" s="276"/>
      <c r="K929" s="276"/>
      <c r="L929" s="276"/>
      <c r="M929" s="276"/>
      <c r="N929" s="276"/>
      <c r="O929" s="276"/>
      <c r="P929" s="276"/>
      <c r="Q929" s="276"/>
      <c r="R929" s="276"/>
      <c r="S929" s="276"/>
      <c r="T929" s="276"/>
      <c r="U929" s="276"/>
      <c r="V929" s="276"/>
      <c r="W929" s="276"/>
      <c r="X929" s="276"/>
      <c r="Y929" s="276"/>
      <c r="Z929" s="276"/>
    </row>
    <row r="930" spans="1:26" ht="18.75" customHeight="1">
      <c r="A930" s="276"/>
      <c r="B930" s="276"/>
      <c r="C930" s="276"/>
      <c r="D930" s="276"/>
      <c r="E930" s="276"/>
      <c r="F930" s="276"/>
      <c r="G930" s="276"/>
      <c r="H930" s="276"/>
      <c r="I930" s="276"/>
      <c r="J930" s="276"/>
      <c r="K930" s="276"/>
      <c r="L930" s="276"/>
      <c r="M930" s="276"/>
      <c r="N930" s="276"/>
      <c r="O930" s="276"/>
      <c r="P930" s="276"/>
      <c r="Q930" s="276"/>
      <c r="R930" s="276"/>
      <c r="S930" s="276"/>
      <c r="T930" s="276"/>
      <c r="U930" s="276"/>
      <c r="V930" s="276"/>
      <c r="W930" s="276"/>
      <c r="X930" s="276"/>
      <c r="Y930" s="276"/>
      <c r="Z930" s="276"/>
    </row>
    <row r="931" spans="1:26" ht="18.75" customHeight="1">
      <c r="A931" s="276"/>
      <c r="B931" s="276"/>
      <c r="C931" s="276"/>
      <c r="D931" s="276"/>
      <c r="E931" s="276"/>
      <c r="F931" s="276"/>
      <c r="G931" s="276"/>
      <c r="H931" s="276"/>
      <c r="I931" s="276"/>
      <c r="J931" s="276"/>
      <c r="K931" s="276"/>
      <c r="L931" s="276"/>
      <c r="M931" s="276"/>
      <c r="N931" s="276"/>
      <c r="O931" s="276"/>
      <c r="P931" s="276"/>
      <c r="Q931" s="276"/>
      <c r="R931" s="276"/>
      <c r="S931" s="276"/>
      <c r="T931" s="276"/>
      <c r="U931" s="276"/>
      <c r="V931" s="276"/>
      <c r="W931" s="276"/>
      <c r="X931" s="276"/>
      <c r="Y931" s="276"/>
      <c r="Z931" s="276"/>
    </row>
    <row r="932" spans="1:26" ht="18.75" customHeight="1">
      <c r="A932" s="276"/>
      <c r="B932" s="276"/>
      <c r="C932" s="276"/>
      <c r="D932" s="276"/>
      <c r="E932" s="276"/>
      <c r="F932" s="276"/>
      <c r="G932" s="276"/>
      <c r="H932" s="276"/>
      <c r="I932" s="276"/>
      <c r="J932" s="276"/>
      <c r="K932" s="276"/>
      <c r="L932" s="276"/>
      <c r="M932" s="276"/>
      <c r="N932" s="276"/>
      <c r="O932" s="276"/>
      <c r="P932" s="276"/>
      <c r="Q932" s="276"/>
      <c r="R932" s="276"/>
      <c r="S932" s="276"/>
      <c r="T932" s="276"/>
      <c r="U932" s="276"/>
      <c r="V932" s="276"/>
      <c r="W932" s="276"/>
      <c r="X932" s="276"/>
      <c r="Y932" s="276"/>
      <c r="Z932" s="276"/>
    </row>
    <row r="933" spans="1:26" ht="18.75" customHeight="1">
      <c r="A933" s="276"/>
      <c r="B933" s="276"/>
      <c r="C933" s="276"/>
      <c r="D933" s="276"/>
      <c r="E933" s="276"/>
      <c r="F933" s="276"/>
      <c r="G933" s="276"/>
      <c r="H933" s="276"/>
      <c r="I933" s="276"/>
      <c r="J933" s="276"/>
      <c r="K933" s="276"/>
      <c r="L933" s="276"/>
      <c r="M933" s="276"/>
      <c r="N933" s="276"/>
      <c r="O933" s="276"/>
      <c r="P933" s="276"/>
      <c r="Q933" s="276"/>
      <c r="R933" s="276"/>
      <c r="S933" s="276"/>
      <c r="T933" s="276"/>
      <c r="U933" s="276"/>
      <c r="V933" s="276"/>
      <c r="W933" s="276"/>
      <c r="X933" s="276"/>
      <c r="Y933" s="276"/>
      <c r="Z933" s="276"/>
    </row>
    <row r="934" spans="1:26" ht="18.75" customHeight="1">
      <c r="A934" s="276"/>
      <c r="B934" s="276"/>
      <c r="C934" s="276"/>
      <c r="D934" s="276"/>
      <c r="E934" s="276"/>
      <c r="F934" s="276"/>
      <c r="G934" s="276"/>
      <c r="H934" s="276"/>
      <c r="I934" s="276"/>
      <c r="J934" s="276"/>
      <c r="K934" s="276"/>
      <c r="L934" s="276"/>
      <c r="M934" s="276"/>
      <c r="N934" s="276"/>
      <c r="O934" s="276"/>
      <c r="P934" s="276"/>
      <c r="Q934" s="276"/>
      <c r="R934" s="276"/>
      <c r="S934" s="276"/>
      <c r="T934" s="276"/>
      <c r="U934" s="276"/>
      <c r="V934" s="276"/>
      <c r="W934" s="276"/>
      <c r="X934" s="276"/>
      <c r="Y934" s="276"/>
      <c r="Z934" s="276"/>
    </row>
    <row r="935" spans="1:26" ht="18.75" customHeight="1">
      <c r="A935" s="276"/>
      <c r="B935" s="276"/>
      <c r="C935" s="276"/>
      <c r="D935" s="276"/>
      <c r="E935" s="276"/>
      <c r="F935" s="276"/>
      <c r="G935" s="276"/>
      <c r="H935" s="276"/>
      <c r="I935" s="276"/>
      <c r="J935" s="276"/>
      <c r="K935" s="276"/>
      <c r="L935" s="276"/>
      <c r="M935" s="276"/>
      <c r="N935" s="276"/>
      <c r="O935" s="276"/>
      <c r="P935" s="276"/>
      <c r="Q935" s="276"/>
      <c r="R935" s="276"/>
      <c r="S935" s="276"/>
      <c r="T935" s="276"/>
      <c r="U935" s="276"/>
      <c r="V935" s="276"/>
      <c r="W935" s="276"/>
      <c r="X935" s="276"/>
      <c r="Y935" s="276"/>
      <c r="Z935" s="276"/>
    </row>
    <row r="936" spans="1:26" ht="18.75" customHeight="1">
      <c r="A936" s="276"/>
      <c r="B936" s="276"/>
      <c r="C936" s="276"/>
      <c r="D936" s="276"/>
      <c r="E936" s="276"/>
      <c r="F936" s="276"/>
      <c r="G936" s="276"/>
      <c r="H936" s="276"/>
      <c r="I936" s="276"/>
      <c r="J936" s="276"/>
      <c r="K936" s="276"/>
      <c r="L936" s="276"/>
      <c r="M936" s="276"/>
      <c r="N936" s="276"/>
      <c r="O936" s="276"/>
      <c r="P936" s="276"/>
      <c r="Q936" s="276"/>
      <c r="R936" s="276"/>
      <c r="S936" s="276"/>
      <c r="T936" s="276"/>
      <c r="U936" s="276"/>
      <c r="V936" s="276"/>
      <c r="W936" s="276"/>
      <c r="X936" s="276"/>
      <c r="Y936" s="276"/>
      <c r="Z936" s="276"/>
    </row>
    <row r="937" spans="1:26" ht="18.75" customHeight="1">
      <c r="A937" s="276"/>
      <c r="B937" s="276"/>
      <c r="C937" s="276"/>
      <c r="D937" s="276"/>
      <c r="E937" s="276"/>
      <c r="F937" s="276"/>
      <c r="G937" s="276"/>
      <c r="H937" s="276"/>
      <c r="I937" s="276"/>
      <c r="J937" s="276"/>
      <c r="K937" s="276"/>
      <c r="L937" s="276"/>
      <c r="M937" s="276"/>
      <c r="N937" s="276"/>
      <c r="O937" s="276"/>
      <c r="P937" s="276"/>
      <c r="Q937" s="276"/>
      <c r="R937" s="276"/>
      <c r="S937" s="276"/>
      <c r="T937" s="276"/>
      <c r="U937" s="276"/>
      <c r="V937" s="276"/>
      <c r="W937" s="276"/>
      <c r="X937" s="276"/>
      <c r="Y937" s="276"/>
      <c r="Z937" s="276"/>
    </row>
    <row r="938" spans="1:26" ht="18.75" customHeight="1">
      <c r="A938" s="276"/>
      <c r="B938" s="276"/>
      <c r="C938" s="276"/>
      <c r="D938" s="276"/>
      <c r="E938" s="276"/>
      <c r="F938" s="276"/>
      <c r="G938" s="276"/>
      <c r="H938" s="276"/>
      <c r="I938" s="276"/>
      <c r="J938" s="276"/>
      <c r="K938" s="276"/>
      <c r="L938" s="276"/>
      <c r="M938" s="276"/>
      <c r="N938" s="276"/>
      <c r="O938" s="276"/>
      <c r="P938" s="276"/>
      <c r="Q938" s="276"/>
      <c r="R938" s="276"/>
      <c r="S938" s="276"/>
      <c r="T938" s="276"/>
      <c r="U938" s="276"/>
      <c r="V938" s="276"/>
      <c r="W938" s="276"/>
      <c r="X938" s="276"/>
      <c r="Y938" s="276"/>
      <c r="Z938" s="276"/>
    </row>
    <row r="939" spans="1:26" ht="18.75" customHeight="1">
      <c r="A939" s="276"/>
      <c r="B939" s="276"/>
      <c r="C939" s="276"/>
      <c r="D939" s="276"/>
      <c r="E939" s="276"/>
      <c r="F939" s="276"/>
      <c r="G939" s="276"/>
      <c r="H939" s="276"/>
      <c r="I939" s="276"/>
      <c r="J939" s="276"/>
      <c r="K939" s="276"/>
      <c r="L939" s="276"/>
      <c r="M939" s="276"/>
      <c r="N939" s="276"/>
      <c r="O939" s="276"/>
      <c r="P939" s="276"/>
      <c r="Q939" s="276"/>
      <c r="R939" s="276"/>
      <c r="S939" s="276"/>
      <c r="T939" s="276"/>
      <c r="U939" s="276"/>
      <c r="V939" s="276"/>
      <c r="W939" s="276"/>
      <c r="X939" s="276"/>
      <c r="Y939" s="276"/>
      <c r="Z939" s="276"/>
    </row>
    <row r="940" spans="1:26" ht="18.75" customHeight="1">
      <c r="A940" s="276"/>
      <c r="B940" s="276"/>
      <c r="C940" s="276"/>
      <c r="D940" s="276"/>
      <c r="E940" s="276"/>
      <c r="F940" s="276"/>
      <c r="G940" s="276"/>
      <c r="H940" s="276"/>
      <c r="I940" s="276"/>
      <c r="J940" s="276"/>
      <c r="K940" s="276"/>
      <c r="L940" s="276"/>
      <c r="M940" s="276"/>
      <c r="N940" s="276"/>
      <c r="O940" s="276"/>
      <c r="P940" s="276"/>
      <c r="Q940" s="276"/>
      <c r="R940" s="276"/>
      <c r="S940" s="276"/>
      <c r="T940" s="276"/>
      <c r="U940" s="276"/>
      <c r="V940" s="276"/>
      <c r="W940" s="276"/>
      <c r="X940" s="276"/>
      <c r="Y940" s="276"/>
      <c r="Z940" s="276"/>
    </row>
    <row r="941" spans="1:26" ht="18.75" customHeight="1">
      <c r="A941" s="276"/>
      <c r="B941" s="276"/>
      <c r="C941" s="276"/>
      <c r="D941" s="276"/>
      <c r="E941" s="276"/>
      <c r="F941" s="276"/>
      <c r="G941" s="276"/>
      <c r="H941" s="276"/>
      <c r="I941" s="276"/>
      <c r="J941" s="276"/>
      <c r="K941" s="276"/>
      <c r="L941" s="276"/>
      <c r="M941" s="276"/>
      <c r="N941" s="276"/>
      <c r="O941" s="276"/>
      <c r="P941" s="276"/>
      <c r="Q941" s="276"/>
      <c r="R941" s="276"/>
      <c r="S941" s="276"/>
      <c r="T941" s="276"/>
      <c r="U941" s="276"/>
      <c r="V941" s="276"/>
      <c r="W941" s="276"/>
      <c r="X941" s="276"/>
      <c r="Y941" s="276"/>
      <c r="Z941" s="276"/>
    </row>
    <row r="942" spans="1:26" ht="18.75" customHeight="1">
      <c r="A942" s="276"/>
      <c r="B942" s="276"/>
      <c r="C942" s="276"/>
      <c r="D942" s="276"/>
      <c r="E942" s="276"/>
      <c r="F942" s="276"/>
      <c r="G942" s="276"/>
      <c r="H942" s="276"/>
      <c r="I942" s="276"/>
      <c r="J942" s="276"/>
      <c r="K942" s="276"/>
      <c r="L942" s="276"/>
      <c r="M942" s="276"/>
      <c r="N942" s="276"/>
      <c r="O942" s="276"/>
      <c r="P942" s="276"/>
      <c r="Q942" s="276"/>
      <c r="R942" s="276"/>
      <c r="S942" s="276"/>
      <c r="T942" s="276"/>
      <c r="U942" s="276"/>
      <c r="V942" s="276"/>
      <c r="W942" s="276"/>
      <c r="X942" s="276"/>
      <c r="Y942" s="276"/>
      <c r="Z942" s="276"/>
    </row>
    <row r="943" spans="1:26" ht="18.75" customHeight="1">
      <c r="A943" s="276"/>
      <c r="B943" s="276"/>
      <c r="C943" s="276"/>
      <c r="D943" s="276"/>
      <c r="E943" s="276"/>
      <c r="F943" s="276"/>
      <c r="G943" s="276"/>
      <c r="H943" s="276"/>
      <c r="I943" s="276"/>
      <c r="J943" s="276"/>
      <c r="K943" s="276"/>
      <c r="L943" s="276"/>
      <c r="M943" s="276"/>
      <c r="N943" s="276"/>
      <c r="O943" s="276"/>
      <c r="P943" s="276"/>
      <c r="Q943" s="276"/>
      <c r="R943" s="276"/>
      <c r="S943" s="276"/>
      <c r="T943" s="276"/>
      <c r="U943" s="276"/>
      <c r="V943" s="276"/>
      <c r="W943" s="276"/>
      <c r="X943" s="276"/>
      <c r="Y943" s="276"/>
      <c r="Z943" s="276"/>
    </row>
    <row r="944" spans="1:26" ht="18.75" customHeight="1">
      <c r="A944" s="276"/>
      <c r="B944" s="276"/>
      <c r="C944" s="276"/>
      <c r="D944" s="276"/>
      <c r="E944" s="276"/>
      <c r="F944" s="276"/>
      <c r="G944" s="276"/>
      <c r="H944" s="276"/>
      <c r="I944" s="276"/>
      <c r="J944" s="276"/>
      <c r="K944" s="276"/>
      <c r="L944" s="276"/>
      <c r="M944" s="276"/>
      <c r="N944" s="276"/>
      <c r="O944" s="276"/>
      <c r="P944" s="276"/>
      <c r="Q944" s="276"/>
      <c r="R944" s="276"/>
      <c r="S944" s="276"/>
      <c r="T944" s="276"/>
      <c r="U944" s="276"/>
      <c r="V944" s="276"/>
      <c r="W944" s="276"/>
      <c r="X944" s="276"/>
      <c r="Y944" s="276"/>
      <c r="Z944" s="276"/>
    </row>
    <row r="945" spans="1:26" ht="18.75" customHeight="1">
      <c r="A945" s="276"/>
      <c r="B945" s="276"/>
      <c r="C945" s="276"/>
      <c r="D945" s="276"/>
      <c r="E945" s="276"/>
      <c r="F945" s="276"/>
      <c r="G945" s="276"/>
      <c r="H945" s="276"/>
      <c r="I945" s="276"/>
      <c r="J945" s="276"/>
      <c r="K945" s="276"/>
      <c r="L945" s="276"/>
      <c r="M945" s="276"/>
      <c r="N945" s="276"/>
      <c r="O945" s="276"/>
      <c r="P945" s="276"/>
      <c r="Q945" s="276"/>
      <c r="R945" s="276"/>
      <c r="S945" s="276"/>
      <c r="T945" s="276"/>
      <c r="U945" s="276"/>
      <c r="V945" s="276"/>
      <c r="W945" s="276"/>
      <c r="X945" s="276"/>
      <c r="Y945" s="276"/>
      <c r="Z945" s="276"/>
    </row>
    <row r="946" spans="1:26" ht="18.75" customHeight="1">
      <c r="A946" s="276"/>
      <c r="B946" s="276"/>
      <c r="C946" s="276"/>
      <c r="D946" s="276"/>
      <c r="E946" s="276"/>
      <c r="F946" s="276"/>
      <c r="G946" s="276"/>
      <c r="H946" s="276"/>
      <c r="I946" s="276"/>
      <c r="J946" s="276"/>
      <c r="K946" s="276"/>
      <c r="L946" s="276"/>
      <c r="M946" s="276"/>
      <c r="N946" s="276"/>
      <c r="O946" s="276"/>
      <c r="P946" s="276"/>
      <c r="Q946" s="276"/>
      <c r="R946" s="276"/>
      <c r="S946" s="276"/>
      <c r="T946" s="276"/>
      <c r="U946" s="276"/>
      <c r="V946" s="276"/>
      <c r="W946" s="276"/>
      <c r="X946" s="276"/>
      <c r="Y946" s="276"/>
      <c r="Z946" s="276"/>
    </row>
    <row r="947" spans="1:26" ht="18.75" customHeight="1">
      <c r="A947" s="276"/>
      <c r="B947" s="276"/>
      <c r="C947" s="276"/>
      <c r="D947" s="276"/>
      <c r="E947" s="276"/>
      <c r="F947" s="276"/>
      <c r="G947" s="276"/>
      <c r="H947" s="276"/>
      <c r="I947" s="276"/>
      <c r="J947" s="276"/>
      <c r="K947" s="276"/>
      <c r="L947" s="276"/>
      <c r="M947" s="276"/>
      <c r="N947" s="276"/>
      <c r="O947" s="276"/>
      <c r="P947" s="276"/>
      <c r="Q947" s="276"/>
      <c r="R947" s="276"/>
      <c r="S947" s="276"/>
      <c r="T947" s="276"/>
      <c r="U947" s="276"/>
      <c r="V947" s="276"/>
      <c r="W947" s="276"/>
      <c r="X947" s="276"/>
      <c r="Y947" s="276"/>
      <c r="Z947" s="276"/>
    </row>
    <row r="948" spans="1:26" ht="18.75" customHeight="1">
      <c r="A948" s="276"/>
      <c r="B948" s="276"/>
      <c r="C948" s="276"/>
      <c r="D948" s="276"/>
      <c r="E948" s="276"/>
      <c r="F948" s="276"/>
      <c r="G948" s="276"/>
      <c r="H948" s="276"/>
      <c r="I948" s="276"/>
      <c r="J948" s="276"/>
      <c r="K948" s="276"/>
      <c r="L948" s="276"/>
      <c r="M948" s="276"/>
      <c r="N948" s="276"/>
      <c r="O948" s="276"/>
      <c r="P948" s="276"/>
      <c r="Q948" s="276"/>
      <c r="R948" s="276"/>
      <c r="S948" s="276"/>
      <c r="T948" s="276"/>
      <c r="U948" s="276"/>
      <c r="V948" s="276"/>
      <c r="W948" s="276"/>
      <c r="X948" s="276"/>
      <c r="Y948" s="276"/>
      <c r="Z948" s="276"/>
    </row>
    <row r="949" spans="1:26" ht="18.75" customHeight="1">
      <c r="A949" s="276"/>
      <c r="B949" s="276"/>
      <c r="C949" s="276"/>
      <c r="D949" s="276"/>
      <c r="E949" s="276"/>
      <c r="F949" s="276"/>
      <c r="G949" s="276"/>
      <c r="H949" s="276"/>
      <c r="I949" s="276"/>
      <c r="J949" s="276"/>
      <c r="K949" s="276"/>
      <c r="L949" s="276"/>
      <c r="M949" s="276"/>
      <c r="N949" s="276"/>
      <c r="O949" s="276"/>
      <c r="P949" s="276"/>
      <c r="Q949" s="276"/>
      <c r="R949" s="276"/>
      <c r="S949" s="276"/>
      <c r="T949" s="276"/>
      <c r="U949" s="276"/>
      <c r="V949" s="276"/>
      <c r="W949" s="276"/>
      <c r="X949" s="276"/>
      <c r="Y949" s="276"/>
      <c r="Z949" s="276"/>
    </row>
    <row r="950" spans="1:26" ht="18.75" customHeight="1">
      <c r="A950" s="276"/>
      <c r="B950" s="276"/>
      <c r="C950" s="276"/>
      <c r="D950" s="276"/>
      <c r="E950" s="276"/>
      <c r="F950" s="276"/>
      <c r="G950" s="276"/>
      <c r="H950" s="276"/>
      <c r="I950" s="276"/>
      <c r="J950" s="276"/>
      <c r="K950" s="276"/>
      <c r="L950" s="276"/>
      <c r="M950" s="276"/>
      <c r="N950" s="276"/>
      <c r="O950" s="276"/>
      <c r="P950" s="276"/>
      <c r="Q950" s="276"/>
      <c r="R950" s="276"/>
      <c r="S950" s="276"/>
      <c r="T950" s="276"/>
      <c r="U950" s="276"/>
      <c r="V950" s="276"/>
      <c r="W950" s="276"/>
      <c r="X950" s="276"/>
      <c r="Y950" s="276"/>
      <c r="Z950" s="276"/>
    </row>
    <row r="951" spans="1:26" ht="18.75" customHeight="1">
      <c r="A951" s="276"/>
      <c r="B951" s="276"/>
      <c r="C951" s="276"/>
      <c r="D951" s="276"/>
      <c r="E951" s="276"/>
      <c r="F951" s="276"/>
      <c r="G951" s="276"/>
      <c r="H951" s="276"/>
      <c r="I951" s="276"/>
      <c r="J951" s="276"/>
      <c r="K951" s="276"/>
      <c r="L951" s="276"/>
      <c r="M951" s="276"/>
      <c r="N951" s="276"/>
      <c r="O951" s="276"/>
      <c r="P951" s="276"/>
      <c r="Q951" s="276"/>
      <c r="R951" s="276"/>
      <c r="S951" s="276"/>
      <c r="T951" s="276"/>
      <c r="U951" s="276"/>
      <c r="V951" s="276"/>
      <c r="W951" s="276"/>
      <c r="X951" s="276"/>
      <c r="Y951" s="276"/>
      <c r="Z951" s="276"/>
    </row>
    <row r="952" spans="1:26" ht="18.75" customHeight="1">
      <c r="A952" s="276"/>
      <c r="B952" s="276"/>
      <c r="C952" s="276"/>
      <c r="D952" s="276"/>
      <c r="E952" s="276"/>
      <c r="F952" s="276"/>
      <c r="G952" s="276"/>
      <c r="H952" s="276"/>
      <c r="I952" s="276"/>
      <c r="J952" s="276"/>
      <c r="K952" s="276"/>
      <c r="L952" s="276"/>
      <c r="M952" s="276"/>
      <c r="N952" s="276"/>
      <c r="O952" s="276"/>
      <c r="P952" s="276"/>
      <c r="Q952" s="276"/>
      <c r="R952" s="276"/>
      <c r="S952" s="276"/>
      <c r="T952" s="276"/>
      <c r="U952" s="276"/>
      <c r="V952" s="276"/>
      <c r="W952" s="276"/>
      <c r="X952" s="276"/>
      <c r="Y952" s="276"/>
      <c r="Z952" s="276"/>
    </row>
    <row r="953" spans="1:26" ht="18.75" customHeight="1">
      <c r="A953" s="276"/>
      <c r="B953" s="276"/>
      <c r="C953" s="276"/>
      <c r="D953" s="276"/>
      <c r="E953" s="276"/>
      <c r="F953" s="276"/>
      <c r="G953" s="276"/>
      <c r="H953" s="276"/>
      <c r="I953" s="276"/>
      <c r="J953" s="276"/>
      <c r="K953" s="276"/>
      <c r="L953" s="276"/>
      <c r="M953" s="276"/>
      <c r="N953" s="276"/>
      <c r="O953" s="276"/>
      <c r="P953" s="276"/>
      <c r="Q953" s="276"/>
      <c r="R953" s="276"/>
      <c r="S953" s="276"/>
      <c r="T953" s="276"/>
      <c r="U953" s="276"/>
      <c r="V953" s="276"/>
      <c r="W953" s="276"/>
      <c r="X953" s="276"/>
      <c r="Y953" s="276"/>
      <c r="Z953" s="276"/>
    </row>
    <row r="954" spans="1:26" ht="18.75" customHeight="1">
      <c r="A954" s="276"/>
      <c r="B954" s="276"/>
      <c r="C954" s="276"/>
      <c r="D954" s="276"/>
      <c r="E954" s="276"/>
      <c r="F954" s="276"/>
      <c r="G954" s="276"/>
      <c r="H954" s="276"/>
      <c r="I954" s="276"/>
      <c r="J954" s="276"/>
      <c r="K954" s="276"/>
      <c r="L954" s="276"/>
      <c r="M954" s="276"/>
      <c r="N954" s="276"/>
      <c r="O954" s="276"/>
      <c r="P954" s="276"/>
      <c r="Q954" s="276"/>
      <c r="R954" s="276"/>
      <c r="S954" s="276"/>
      <c r="T954" s="276"/>
      <c r="U954" s="276"/>
      <c r="V954" s="276"/>
      <c r="W954" s="276"/>
      <c r="X954" s="276"/>
      <c r="Y954" s="276"/>
      <c r="Z954" s="276"/>
    </row>
    <row r="955" spans="1:26" ht="18.75" customHeight="1">
      <c r="A955" s="276"/>
      <c r="B955" s="276"/>
      <c r="C955" s="276"/>
      <c r="D955" s="276"/>
      <c r="E955" s="276"/>
      <c r="F955" s="276"/>
      <c r="G955" s="276"/>
      <c r="H955" s="276"/>
      <c r="I955" s="276"/>
      <c r="J955" s="276"/>
      <c r="K955" s="276"/>
      <c r="L955" s="276"/>
      <c r="M955" s="276"/>
      <c r="N955" s="276"/>
      <c r="O955" s="276"/>
      <c r="P955" s="276"/>
      <c r="Q955" s="276"/>
      <c r="R955" s="276"/>
      <c r="S955" s="276"/>
      <c r="T955" s="276"/>
      <c r="U955" s="276"/>
      <c r="V955" s="276"/>
      <c r="W955" s="276"/>
      <c r="X955" s="276"/>
      <c r="Y955" s="276"/>
      <c r="Z955" s="276"/>
    </row>
    <row r="956" spans="1:26" ht="18.75" customHeight="1">
      <c r="A956" s="276"/>
      <c r="B956" s="276"/>
      <c r="C956" s="276"/>
      <c r="D956" s="276"/>
      <c r="E956" s="276"/>
      <c r="F956" s="276"/>
      <c r="G956" s="276"/>
      <c r="H956" s="276"/>
      <c r="I956" s="276"/>
      <c r="J956" s="276"/>
      <c r="K956" s="276"/>
      <c r="L956" s="276"/>
      <c r="M956" s="276"/>
      <c r="N956" s="276"/>
      <c r="O956" s="276"/>
      <c r="P956" s="276"/>
      <c r="Q956" s="276"/>
      <c r="R956" s="276"/>
      <c r="S956" s="276"/>
      <c r="T956" s="276"/>
      <c r="U956" s="276"/>
      <c r="V956" s="276"/>
      <c r="W956" s="276"/>
      <c r="X956" s="276"/>
      <c r="Y956" s="276"/>
      <c r="Z956" s="276"/>
    </row>
    <row r="957" spans="1:26" ht="18.75" customHeight="1">
      <c r="A957" s="276"/>
      <c r="B957" s="276"/>
      <c r="C957" s="276"/>
      <c r="D957" s="276"/>
      <c r="E957" s="276"/>
      <c r="F957" s="276"/>
      <c r="G957" s="276"/>
      <c r="H957" s="276"/>
      <c r="I957" s="276"/>
      <c r="J957" s="276"/>
      <c r="K957" s="276"/>
      <c r="L957" s="276"/>
      <c r="M957" s="276"/>
      <c r="N957" s="276"/>
      <c r="O957" s="276"/>
      <c r="P957" s="276"/>
      <c r="Q957" s="276"/>
      <c r="R957" s="276"/>
      <c r="S957" s="276"/>
      <c r="T957" s="276"/>
      <c r="U957" s="276"/>
      <c r="V957" s="276"/>
      <c r="W957" s="276"/>
      <c r="X957" s="276"/>
      <c r="Y957" s="276"/>
      <c r="Z957" s="276"/>
    </row>
    <row r="958" spans="1:26" ht="18.75" customHeight="1">
      <c r="A958" s="276"/>
      <c r="B958" s="276"/>
      <c r="C958" s="276"/>
      <c r="D958" s="276"/>
      <c r="E958" s="276"/>
      <c r="F958" s="276"/>
      <c r="G958" s="276"/>
      <c r="H958" s="276"/>
      <c r="I958" s="276"/>
      <c r="J958" s="276"/>
      <c r="K958" s="276"/>
      <c r="L958" s="276"/>
      <c r="M958" s="276"/>
      <c r="N958" s="276"/>
      <c r="O958" s="276"/>
      <c r="P958" s="276"/>
      <c r="Q958" s="276"/>
      <c r="R958" s="276"/>
      <c r="S958" s="276"/>
      <c r="T958" s="276"/>
      <c r="U958" s="276"/>
      <c r="V958" s="276"/>
      <c r="W958" s="276"/>
      <c r="X958" s="276"/>
      <c r="Y958" s="276"/>
      <c r="Z958" s="276"/>
    </row>
    <row r="959" spans="1:26" ht="18.75" customHeight="1">
      <c r="A959" s="276"/>
      <c r="B959" s="276"/>
      <c r="C959" s="276"/>
      <c r="D959" s="276"/>
      <c r="E959" s="276"/>
      <c r="F959" s="276"/>
      <c r="G959" s="276"/>
      <c r="H959" s="276"/>
      <c r="I959" s="276"/>
      <c r="J959" s="276"/>
      <c r="K959" s="276"/>
      <c r="L959" s="276"/>
      <c r="M959" s="276"/>
      <c r="N959" s="276"/>
      <c r="O959" s="276"/>
      <c r="P959" s="276"/>
      <c r="Q959" s="276"/>
      <c r="R959" s="276"/>
      <c r="S959" s="276"/>
      <c r="T959" s="276"/>
      <c r="U959" s="276"/>
      <c r="V959" s="276"/>
      <c r="W959" s="276"/>
      <c r="X959" s="276"/>
      <c r="Y959" s="276"/>
      <c r="Z959" s="276"/>
    </row>
    <row r="960" spans="1:26" ht="18.75" customHeight="1">
      <c r="A960" s="276"/>
      <c r="B960" s="276"/>
      <c r="C960" s="276"/>
      <c r="D960" s="276"/>
      <c r="E960" s="276"/>
      <c r="F960" s="276"/>
      <c r="G960" s="276"/>
      <c r="H960" s="276"/>
      <c r="I960" s="276"/>
      <c r="J960" s="276"/>
      <c r="K960" s="276"/>
      <c r="L960" s="276"/>
      <c r="M960" s="276"/>
      <c r="N960" s="276"/>
      <c r="O960" s="276"/>
      <c r="P960" s="276"/>
      <c r="Q960" s="276"/>
      <c r="R960" s="276"/>
      <c r="S960" s="276"/>
      <c r="T960" s="276"/>
      <c r="U960" s="276"/>
      <c r="V960" s="276"/>
      <c r="W960" s="276"/>
      <c r="X960" s="276"/>
      <c r="Y960" s="276"/>
      <c r="Z960" s="276"/>
    </row>
    <row r="961" spans="1:26" ht="18.75" customHeight="1">
      <c r="A961" s="276"/>
      <c r="B961" s="276"/>
      <c r="C961" s="276"/>
      <c r="D961" s="276"/>
      <c r="E961" s="276"/>
      <c r="F961" s="276"/>
      <c r="G961" s="276"/>
      <c r="H961" s="276"/>
      <c r="I961" s="276"/>
      <c r="J961" s="276"/>
      <c r="K961" s="276"/>
      <c r="L961" s="276"/>
      <c r="M961" s="276"/>
      <c r="N961" s="276"/>
      <c r="O961" s="276"/>
      <c r="P961" s="276"/>
      <c r="Q961" s="276"/>
      <c r="R961" s="276"/>
      <c r="S961" s="276"/>
      <c r="T961" s="276"/>
      <c r="U961" s="276"/>
      <c r="V961" s="276"/>
      <c r="W961" s="276"/>
      <c r="X961" s="276"/>
      <c r="Y961" s="276"/>
      <c r="Z961" s="276"/>
    </row>
    <row r="962" spans="1:26" ht="18.75" customHeight="1">
      <c r="A962" s="276"/>
      <c r="B962" s="276"/>
      <c r="C962" s="276"/>
      <c r="D962" s="276"/>
      <c r="E962" s="276"/>
      <c r="F962" s="276"/>
      <c r="G962" s="276"/>
      <c r="H962" s="276"/>
      <c r="I962" s="276"/>
      <c r="J962" s="276"/>
      <c r="K962" s="276"/>
      <c r="L962" s="276"/>
      <c r="M962" s="276"/>
      <c r="N962" s="276"/>
      <c r="O962" s="276"/>
      <c r="P962" s="276"/>
      <c r="Q962" s="276"/>
      <c r="R962" s="276"/>
      <c r="S962" s="276"/>
      <c r="T962" s="276"/>
      <c r="U962" s="276"/>
      <c r="V962" s="276"/>
      <c r="W962" s="276"/>
      <c r="X962" s="276"/>
      <c r="Y962" s="276"/>
      <c r="Z962" s="276"/>
    </row>
    <row r="963" spans="1:26" ht="18.75" customHeight="1">
      <c r="A963" s="276"/>
      <c r="B963" s="276"/>
      <c r="C963" s="276"/>
      <c r="D963" s="276"/>
      <c r="E963" s="276"/>
      <c r="F963" s="276"/>
      <c r="G963" s="276"/>
      <c r="H963" s="276"/>
      <c r="I963" s="276"/>
      <c r="J963" s="276"/>
      <c r="K963" s="276"/>
      <c r="L963" s="276"/>
      <c r="M963" s="276"/>
      <c r="N963" s="276"/>
      <c r="O963" s="276"/>
      <c r="P963" s="276"/>
      <c r="Q963" s="276"/>
      <c r="R963" s="276"/>
      <c r="S963" s="276"/>
      <c r="T963" s="276"/>
      <c r="U963" s="276"/>
      <c r="V963" s="276"/>
      <c r="W963" s="276"/>
      <c r="X963" s="276"/>
      <c r="Y963" s="276"/>
      <c r="Z963" s="276"/>
    </row>
    <row r="964" spans="1:26" ht="18.75" customHeight="1">
      <c r="A964" s="276"/>
      <c r="B964" s="276"/>
      <c r="C964" s="276"/>
      <c r="D964" s="276"/>
      <c r="E964" s="276"/>
      <c r="F964" s="276"/>
      <c r="G964" s="276"/>
      <c r="H964" s="276"/>
      <c r="I964" s="276"/>
      <c r="J964" s="276"/>
      <c r="K964" s="276"/>
      <c r="L964" s="276"/>
      <c r="M964" s="276"/>
      <c r="N964" s="276"/>
      <c r="O964" s="276"/>
      <c r="P964" s="276"/>
      <c r="Q964" s="276"/>
      <c r="R964" s="276"/>
      <c r="S964" s="276"/>
      <c r="T964" s="276"/>
      <c r="U964" s="276"/>
      <c r="V964" s="276"/>
      <c r="W964" s="276"/>
      <c r="X964" s="276"/>
      <c r="Y964" s="276"/>
      <c r="Z964" s="276"/>
    </row>
    <row r="965" spans="1:26" ht="18.75" customHeight="1">
      <c r="A965" s="276"/>
      <c r="B965" s="276"/>
      <c r="C965" s="276"/>
      <c r="D965" s="276"/>
      <c r="E965" s="276"/>
      <c r="F965" s="276"/>
      <c r="G965" s="276"/>
      <c r="H965" s="276"/>
      <c r="I965" s="276"/>
      <c r="J965" s="276"/>
      <c r="K965" s="276"/>
      <c r="L965" s="276"/>
      <c r="M965" s="276"/>
      <c r="N965" s="276"/>
      <c r="O965" s="276"/>
      <c r="P965" s="276"/>
      <c r="Q965" s="276"/>
      <c r="R965" s="276"/>
      <c r="S965" s="276"/>
      <c r="T965" s="276"/>
      <c r="U965" s="276"/>
      <c r="V965" s="276"/>
      <c r="W965" s="276"/>
      <c r="X965" s="276"/>
      <c r="Y965" s="276"/>
      <c r="Z965" s="276"/>
    </row>
    <row r="966" spans="1:26" ht="18.75" customHeight="1">
      <c r="A966" s="276"/>
      <c r="B966" s="276"/>
      <c r="C966" s="276"/>
      <c r="D966" s="276"/>
      <c r="E966" s="276"/>
      <c r="F966" s="276"/>
      <c r="G966" s="276"/>
      <c r="H966" s="276"/>
      <c r="I966" s="276"/>
      <c r="J966" s="276"/>
      <c r="K966" s="276"/>
      <c r="L966" s="276"/>
      <c r="M966" s="276"/>
      <c r="N966" s="276"/>
      <c r="O966" s="276"/>
      <c r="P966" s="276"/>
      <c r="Q966" s="276"/>
      <c r="R966" s="276"/>
      <c r="S966" s="276"/>
      <c r="T966" s="276"/>
      <c r="U966" s="276"/>
      <c r="V966" s="276"/>
      <c r="W966" s="276"/>
      <c r="X966" s="276"/>
      <c r="Y966" s="276"/>
      <c r="Z966" s="276"/>
    </row>
    <row r="967" spans="1:26" ht="18.75" customHeight="1">
      <c r="A967" s="276"/>
      <c r="B967" s="276"/>
      <c r="C967" s="276"/>
      <c r="D967" s="276"/>
      <c r="E967" s="276"/>
      <c r="F967" s="276"/>
      <c r="G967" s="276"/>
      <c r="H967" s="276"/>
      <c r="I967" s="276"/>
      <c r="J967" s="276"/>
      <c r="K967" s="276"/>
      <c r="L967" s="276"/>
      <c r="M967" s="276"/>
      <c r="N967" s="276"/>
      <c r="O967" s="276"/>
      <c r="P967" s="276"/>
      <c r="Q967" s="276"/>
      <c r="R967" s="276"/>
      <c r="S967" s="276"/>
      <c r="T967" s="276"/>
      <c r="U967" s="276"/>
      <c r="V967" s="276"/>
      <c r="W967" s="276"/>
      <c r="X967" s="276"/>
      <c r="Y967" s="276"/>
      <c r="Z967" s="276"/>
    </row>
    <row r="968" spans="1:26" ht="18.75" customHeight="1">
      <c r="A968" s="276"/>
      <c r="B968" s="276"/>
      <c r="C968" s="276"/>
      <c r="D968" s="276"/>
      <c r="E968" s="276"/>
      <c r="F968" s="276"/>
      <c r="G968" s="276"/>
      <c r="H968" s="276"/>
      <c r="I968" s="276"/>
      <c r="J968" s="276"/>
      <c r="K968" s="276"/>
      <c r="L968" s="276"/>
      <c r="M968" s="276"/>
      <c r="N968" s="276"/>
      <c r="O968" s="276"/>
      <c r="P968" s="276"/>
      <c r="Q968" s="276"/>
      <c r="R968" s="276"/>
      <c r="S968" s="276"/>
      <c r="T968" s="276"/>
      <c r="U968" s="276"/>
      <c r="V968" s="276"/>
      <c r="W968" s="276"/>
      <c r="X968" s="276"/>
      <c r="Y968" s="276"/>
      <c r="Z968" s="276"/>
    </row>
    <row r="969" spans="1:26" ht="18.75" customHeight="1">
      <c r="A969" s="276"/>
      <c r="B969" s="276"/>
      <c r="C969" s="276"/>
      <c r="D969" s="276"/>
      <c r="E969" s="276"/>
      <c r="F969" s="276"/>
      <c r="G969" s="276"/>
      <c r="H969" s="276"/>
      <c r="I969" s="276"/>
      <c r="J969" s="276"/>
      <c r="K969" s="276"/>
      <c r="L969" s="276"/>
      <c r="M969" s="276"/>
      <c r="N969" s="276"/>
      <c r="O969" s="276"/>
      <c r="P969" s="276"/>
      <c r="Q969" s="276"/>
      <c r="R969" s="276"/>
      <c r="S969" s="276"/>
      <c r="T969" s="276"/>
      <c r="U969" s="276"/>
      <c r="V969" s="276"/>
      <c r="W969" s="276"/>
      <c r="X969" s="276"/>
      <c r="Y969" s="276"/>
      <c r="Z969" s="276"/>
    </row>
    <row r="970" spans="1:26" ht="18.75" customHeight="1">
      <c r="A970" s="276"/>
      <c r="B970" s="276"/>
      <c r="C970" s="276"/>
      <c r="D970" s="276"/>
      <c r="E970" s="276"/>
      <c r="F970" s="276"/>
      <c r="G970" s="276"/>
      <c r="H970" s="276"/>
      <c r="I970" s="276"/>
      <c r="J970" s="276"/>
      <c r="K970" s="276"/>
      <c r="L970" s="276"/>
      <c r="M970" s="276"/>
      <c r="N970" s="276"/>
      <c r="O970" s="276"/>
      <c r="P970" s="276"/>
      <c r="Q970" s="276"/>
      <c r="R970" s="276"/>
      <c r="S970" s="276"/>
      <c r="T970" s="276"/>
      <c r="U970" s="276"/>
      <c r="V970" s="276"/>
      <c r="W970" s="276"/>
      <c r="X970" s="276"/>
      <c r="Y970" s="276"/>
      <c r="Z970" s="276"/>
    </row>
    <row r="971" spans="1:26" ht="18.75" customHeight="1">
      <c r="A971" s="276"/>
      <c r="B971" s="276"/>
      <c r="C971" s="276"/>
      <c r="D971" s="276"/>
      <c r="E971" s="276"/>
      <c r="F971" s="276"/>
      <c r="G971" s="276"/>
      <c r="H971" s="276"/>
      <c r="I971" s="276"/>
      <c r="J971" s="276"/>
      <c r="K971" s="276"/>
      <c r="L971" s="276"/>
      <c r="M971" s="276"/>
      <c r="N971" s="276"/>
      <c r="O971" s="276"/>
      <c r="P971" s="276"/>
      <c r="Q971" s="276"/>
      <c r="R971" s="276"/>
      <c r="S971" s="276"/>
      <c r="T971" s="276"/>
      <c r="U971" s="276"/>
      <c r="V971" s="276"/>
      <c r="W971" s="276"/>
      <c r="X971" s="276"/>
      <c r="Y971" s="276"/>
      <c r="Z971" s="276"/>
    </row>
    <row r="972" spans="1:26" ht="18.75" customHeight="1">
      <c r="A972" s="276"/>
      <c r="B972" s="276"/>
      <c r="C972" s="276"/>
      <c r="D972" s="276"/>
      <c r="E972" s="276"/>
      <c r="F972" s="276"/>
      <c r="G972" s="276"/>
      <c r="H972" s="276"/>
      <c r="I972" s="276"/>
      <c r="J972" s="276"/>
      <c r="K972" s="276"/>
      <c r="L972" s="276"/>
      <c r="M972" s="276"/>
      <c r="N972" s="276"/>
      <c r="O972" s="276"/>
      <c r="P972" s="276"/>
      <c r="Q972" s="276"/>
      <c r="R972" s="276"/>
      <c r="S972" s="276"/>
      <c r="T972" s="276"/>
      <c r="U972" s="276"/>
      <c r="V972" s="276"/>
      <c r="W972" s="276"/>
      <c r="X972" s="276"/>
      <c r="Y972" s="276"/>
      <c r="Z972" s="276"/>
    </row>
    <row r="973" spans="1:26" ht="18.75" customHeight="1">
      <c r="A973" s="276"/>
      <c r="B973" s="276"/>
      <c r="C973" s="276"/>
      <c r="D973" s="276"/>
      <c r="E973" s="276"/>
      <c r="F973" s="276"/>
      <c r="G973" s="276"/>
      <c r="H973" s="276"/>
      <c r="I973" s="276"/>
      <c r="J973" s="276"/>
      <c r="K973" s="276"/>
      <c r="L973" s="276"/>
      <c r="M973" s="276"/>
      <c r="N973" s="276"/>
      <c r="O973" s="276"/>
      <c r="P973" s="276"/>
      <c r="Q973" s="276"/>
      <c r="R973" s="276"/>
      <c r="S973" s="276"/>
      <c r="T973" s="276"/>
      <c r="U973" s="276"/>
      <c r="V973" s="276"/>
      <c r="W973" s="276"/>
      <c r="X973" s="276"/>
      <c r="Y973" s="276"/>
      <c r="Z973" s="276"/>
    </row>
    <row r="974" spans="1:26" ht="18.75" customHeight="1">
      <c r="A974" s="276"/>
      <c r="B974" s="276"/>
      <c r="C974" s="276"/>
      <c r="D974" s="276"/>
      <c r="E974" s="276"/>
      <c r="F974" s="276"/>
      <c r="G974" s="276"/>
      <c r="H974" s="276"/>
      <c r="I974" s="276"/>
      <c r="J974" s="276"/>
      <c r="K974" s="276"/>
      <c r="L974" s="276"/>
      <c r="M974" s="276"/>
      <c r="N974" s="276"/>
      <c r="O974" s="276"/>
      <c r="P974" s="276"/>
      <c r="Q974" s="276"/>
      <c r="R974" s="276"/>
      <c r="S974" s="276"/>
      <c r="T974" s="276"/>
      <c r="U974" s="276"/>
      <c r="V974" s="276"/>
      <c r="W974" s="276"/>
      <c r="X974" s="276"/>
      <c r="Y974" s="276"/>
      <c r="Z974" s="276"/>
    </row>
    <row r="975" spans="1:26" ht="18.75" customHeight="1">
      <c r="A975" s="276"/>
      <c r="B975" s="276"/>
      <c r="C975" s="276"/>
      <c r="D975" s="276"/>
      <c r="E975" s="276"/>
      <c r="F975" s="276"/>
      <c r="G975" s="276"/>
      <c r="H975" s="276"/>
      <c r="I975" s="276"/>
      <c r="J975" s="276"/>
      <c r="K975" s="276"/>
      <c r="L975" s="276"/>
      <c r="M975" s="276"/>
      <c r="N975" s="276"/>
      <c r="O975" s="276"/>
      <c r="P975" s="276"/>
      <c r="Q975" s="276"/>
      <c r="R975" s="276"/>
      <c r="S975" s="276"/>
      <c r="T975" s="276"/>
      <c r="U975" s="276"/>
      <c r="V975" s="276"/>
      <c r="W975" s="276"/>
      <c r="X975" s="276"/>
      <c r="Y975" s="276"/>
      <c r="Z975" s="276"/>
    </row>
    <row r="976" spans="1:26" ht="18.75" customHeight="1">
      <c r="A976" s="276"/>
      <c r="B976" s="276"/>
      <c r="C976" s="276"/>
      <c r="D976" s="276"/>
      <c r="E976" s="276"/>
      <c r="F976" s="276"/>
      <c r="G976" s="276"/>
      <c r="H976" s="276"/>
      <c r="I976" s="276"/>
      <c r="J976" s="276"/>
      <c r="K976" s="276"/>
      <c r="L976" s="276"/>
      <c r="M976" s="276"/>
      <c r="N976" s="276"/>
      <c r="O976" s="276"/>
      <c r="P976" s="276"/>
      <c r="Q976" s="276"/>
      <c r="R976" s="276"/>
      <c r="S976" s="276"/>
      <c r="T976" s="276"/>
      <c r="U976" s="276"/>
      <c r="V976" s="276"/>
      <c r="W976" s="276"/>
      <c r="X976" s="276"/>
      <c r="Y976" s="276"/>
      <c r="Z976" s="276"/>
    </row>
    <row r="977" spans="1:26" ht="18.75" customHeight="1">
      <c r="A977" s="276"/>
      <c r="B977" s="276"/>
      <c r="C977" s="276"/>
      <c r="D977" s="276"/>
      <c r="E977" s="276"/>
      <c r="F977" s="276"/>
      <c r="G977" s="276"/>
      <c r="H977" s="276"/>
      <c r="I977" s="276"/>
      <c r="J977" s="276"/>
      <c r="K977" s="276"/>
      <c r="L977" s="276"/>
      <c r="M977" s="276"/>
      <c r="N977" s="276"/>
      <c r="O977" s="276"/>
      <c r="P977" s="276"/>
      <c r="Q977" s="276"/>
      <c r="R977" s="276"/>
      <c r="S977" s="276"/>
      <c r="T977" s="276"/>
      <c r="U977" s="276"/>
      <c r="V977" s="276"/>
      <c r="W977" s="276"/>
      <c r="X977" s="276"/>
      <c r="Y977" s="276"/>
      <c r="Z977" s="276"/>
    </row>
    <row r="978" spans="1:26" ht="18.75" customHeight="1">
      <c r="A978" s="276"/>
      <c r="B978" s="276"/>
      <c r="C978" s="276"/>
      <c r="D978" s="276"/>
      <c r="E978" s="276"/>
      <c r="F978" s="276"/>
      <c r="G978" s="276"/>
      <c r="H978" s="276"/>
      <c r="I978" s="276"/>
      <c r="J978" s="276"/>
      <c r="K978" s="276"/>
      <c r="L978" s="276"/>
      <c r="M978" s="276"/>
      <c r="N978" s="276"/>
      <c r="O978" s="276"/>
      <c r="P978" s="276"/>
      <c r="Q978" s="276"/>
      <c r="R978" s="276"/>
      <c r="S978" s="276"/>
      <c r="T978" s="276"/>
      <c r="U978" s="276"/>
      <c r="V978" s="276"/>
      <c r="W978" s="276"/>
      <c r="X978" s="276"/>
      <c r="Y978" s="276"/>
      <c r="Z978" s="276"/>
    </row>
    <row r="979" spans="1:26" ht="18.75" customHeight="1">
      <c r="A979" s="276"/>
      <c r="B979" s="276"/>
      <c r="C979" s="276"/>
      <c r="D979" s="276"/>
      <c r="E979" s="276"/>
      <c r="F979" s="276"/>
      <c r="G979" s="276"/>
      <c r="H979" s="276"/>
      <c r="I979" s="276"/>
      <c r="J979" s="276"/>
      <c r="K979" s="276"/>
      <c r="L979" s="276"/>
      <c r="M979" s="276"/>
      <c r="N979" s="276"/>
      <c r="O979" s="276"/>
      <c r="P979" s="276"/>
      <c r="Q979" s="276"/>
      <c r="R979" s="276"/>
      <c r="S979" s="276"/>
      <c r="T979" s="276"/>
      <c r="U979" s="276"/>
      <c r="V979" s="276"/>
      <c r="W979" s="276"/>
      <c r="X979" s="276"/>
      <c r="Y979" s="276"/>
      <c r="Z979" s="276"/>
    </row>
    <row r="980" spans="1:26" ht="18.75" customHeight="1">
      <c r="A980" s="276"/>
      <c r="B980" s="276"/>
      <c r="C980" s="276"/>
      <c r="D980" s="276"/>
      <c r="E980" s="276"/>
      <c r="F980" s="276"/>
      <c r="G980" s="276"/>
      <c r="H980" s="276"/>
      <c r="I980" s="276"/>
      <c r="J980" s="276"/>
      <c r="K980" s="276"/>
      <c r="L980" s="276"/>
      <c r="M980" s="276"/>
      <c r="N980" s="276"/>
      <c r="O980" s="276"/>
      <c r="P980" s="276"/>
      <c r="Q980" s="276"/>
      <c r="R980" s="276"/>
      <c r="S980" s="276"/>
      <c r="T980" s="276"/>
      <c r="U980" s="276"/>
      <c r="V980" s="276"/>
      <c r="W980" s="276"/>
      <c r="X980" s="276"/>
      <c r="Y980" s="276"/>
      <c r="Z980" s="276"/>
    </row>
    <row r="981" spans="1:26" ht="18.75" customHeight="1">
      <c r="A981" s="276"/>
      <c r="B981" s="276"/>
      <c r="C981" s="276"/>
      <c r="D981" s="276"/>
      <c r="E981" s="276"/>
      <c r="F981" s="276"/>
      <c r="G981" s="276"/>
      <c r="H981" s="276"/>
      <c r="I981" s="276"/>
      <c r="J981" s="276"/>
      <c r="K981" s="276"/>
      <c r="L981" s="276"/>
      <c r="M981" s="276"/>
      <c r="N981" s="276"/>
      <c r="O981" s="276"/>
      <c r="P981" s="276"/>
      <c r="Q981" s="276"/>
      <c r="R981" s="276"/>
      <c r="S981" s="276"/>
      <c r="T981" s="276"/>
      <c r="U981" s="276"/>
      <c r="V981" s="276"/>
      <c r="W981" s="276"/>
      <c r="X981" s="276"/>
      <c r="Y981" s="276"/>
      <c r="Z981" s="276"/>
    </row>
    <row r="982" spans="1:26" ht="18.75" customHeight="1">
      <c r="A982" s="276"/>
      <c r="B982" s="276"/>
      <c r="C982" s="276"/>
      <c r="D982" s="276"/>
      <c r="E982" s="276"/>
      <c r="F982" s="276"/>
      <c r="G982" s="276"/>
      <c r="H982" s="276"/>
      <c r="I982" s="276"/>
      <c r="J982" s="276"/>
      <c r="K982" s="276"/>
      <c r="L982" s="276"/>
      <c r="M982" s="276"/>
      <c r="N982" s="276"/>
      <c r="O982" s="276"/>
      <c r="P982" s="276"/>
      <c r="Q982" s="276"/>
      <c r="R982" s="276"/>
      <c r="S982" s="276"/>
      <c r="T982" s="276"/>
      <c r="U982" s="276"/>
      <c r="V982" s="276"/>
      <c r="W982" s="276"/>
      <c r="X982" s="276"/>
      <c r="Y982" s="276"/>
      <c r="Z982" s="276"/>
    </row>
    <row r="983" spans="1:26" ht="18.75" customHeight="1">
      <c r="A983" s="276"/>
      <c r="B983" s="276"/>
      <c r="C983" s="276"/>
      <c r="D983" s="276"/>
      <c r="E983" s="276"/>
      <c r="F983" s="276"/>
      <c r="G983" s="276"/>
      <c r="H983" s="276"/>
      <c r="I983" s="276"/>
      <c r="J983" s="276"/>
      <c r="K983" s="276"/>
      <c r="L983" s="276"/>
      <c r="M983" s="276"/>
      <c r="N983" s="276"/>
      <c r="O983" s="276"/>
      <c r="P983" s="276"/>
      <c r="Q983" s="276"/>
      <c r="R983" s="276"/>
      <c r="S983" s="276"/>
      <c r="T983" s="276"/>
      <c r="U983" s="276"/>
      <c r="V983" s="276"/>
      <c r="W983" s="276"/>
      <c r="X983" s="276"/>
      <c r="Y983" s="276"/>
      <c r="Z983" s="276"/>
    </row>
    <row r="984" spans="1:26" ht="18.75" customHeight="1">
      <c r="A984" s="276"/>
      <c r="B984" s="276"/>
      <c r="C984" s="276"/>
      <c r="D984" s="276"/>
      <c r="E984" s="276"/>
      <c r="F984" s="276"/>
      <c r="G984" s="276"/>
      <c r="H984" s="276"/>
      <c r="I984" s="276"/>
      <c r="J984" s="276"/>
      <c r="K984" s="276"/>
      <c r="L984" s="276"/>
      <c r="M984" s="276"/>
      <c r="N984" s="276"/>
      <c r="O984" s="276"/>
      <c r="P984" s="276"/>
      <c r="Q984" s="276"/>
      <c r="R984" s="276"/>
      <c r="S984" s="276"/>
      <c r="T984" s="276"/>
      <c r="U984" s="276"/>
      <c r="V984" s="276"/>
      <c r="W984" s="276"/>
      <c r="X984" s="276"/>
      <c r="Y984" s="276"/>
      <c r="Z984" s="276"/>
    </row>
    <row r="985" spans="1:26" ht="18.75" customHeight="1">
      <c r="A985" s="276"/>
      <c r="B985" s="276"/>
      <c r="C985" s="276"/>
      <c r="D985" s="276"/>
      <c r="E985" s="276"/>
      <c r="F985" s="276"/>
      <c r="G985" s="276"/>
      <c r="H985" s="276"/>
      <c r="I985" s="276"/>
      <c r="J985" s="276"/>
      <c r="K985" s="276"/>
      <c r="L985" s="276"/>
      <c r="M985" s="276"/>
      <c r="N985" s="276"/>
      <c r="O985" s="276"/>
      <c r="P985" s="276"/>
      <c r="Q985" s="276"/>
      <c r="R985" s="276"/>
      <c r="S985" s="276"/>
      <c r="T985" s="276"/>
      <c r="U985" s="276"/>
      <c r="V985" s="276"/>
      <c r="W985" s="276"/>
      <c r="X985" s="276"/>
      <c r="Y985" s="276"/>
      <c r="Z985" s="276"/>
    </row>
    <row r="986" spans="1:26" ht="18.75" customHeight="1">
      <c r="A986" s="276"/>
      <c r="B986" s="276"/>
      <c r="C986" s="276"/>
      <c r="D986" s="276"/>
      <c r="E986" s="276"/>
      <c r="F986" s="276"/>
      <c r="G986" s="276"/>
      <c r="H986" s="276"/>
      <c r="I986" s="276"/>
      <c r="J986" s="276"/>
      <c r="K986" s="276"/>
      <c r="L986" s="276"/>
      <c r="M986" s="276"/>
      <c r="N986" s="276"/>
      <c r="O986" s="276"/>
      <c r="P986" s="276"/>
      <c r="Q986" s="276"/>
      <c r="R986" s="276"/>
      <c r="S986" s="276"/>
      <c r="T986" s="276"/>
      <c r="U986" s="276"/>
      <c r="V986" s="276"/>
      <c r="W986" s="276"/>
      <c r="X986" s="276"/>
      <c r="Y986" s="276"/>
      <c r="Z986" s="276"/>
    </row>
    <row r="987" spans="1:26" ht="18.75" customHeight="1">
      <c r="A987" s="276"/>
      <c r="B987" s="276"/>
      <c r="C987" s="276"/>
      <c r="D987" s="276"/>
      <c r="E987" s="276"/>
      <c r="F987" s="276"/>
      <c r="G987" s="276"/>
      <c r="H987" s="276"/>
      <c r="I987" s="276"/>
      <c r="J987" s="276"/>
      <c r="K987" s="276"/>
      <c r="L987" s="276"/>
      <c r="M987" s="276"/>
      <c r="N987" s="276"/>
      <c r="O987" s="276"/>
      <c r="P987" s="276"/>
      <c r="Q987" s="276"/>
      <c r="R987" s="276"/>
      <c r="S987" s="276"/>
      <c r="T987" s="276"/>
      <c r="U987" s="276"/>
      <c r="V987" s="276"/>
      <c r="W987" s="276"/>
      <c r="X987" s="276"/>
      <c r="Y987" s="276"/>
      <c r="Z987" s="276"/>
    </row>
    <row r="988" spans="1:26" ht="18.75" customHeight="1">
      <c r="A988" s="276"/>
      <c r="B988" s="276"/>
      <c r="C988" s="276"/>
      <c r="D988" s="276"/>
      <c r="E988" s="276"/>
      <c r="F988" s="276"/>
      <c r="G988" s="276"/>
      <c r="H988" s="276"/>
      <c r="I988" s="276"/>
      <c r="J988" s="276"/>
      <c r="K988" s="276"/>
      <c r="L988" s="276"/>
      <c r="M988" s="276"/>
      <c r="N988" s="276"/>
      <c r="O988" s="276"/>
      <c r="P988" s="276"/>
      <c r="Q988" s="276"/>
      <c r="R988" s="276"/>
      <c r="S988" s="276"/>
      <c r="T988" s="276"/>
      <c r="U988" s="276"/>
      <c r="V988" s="276"/>
      <c r="W988" s="276"/>
      <c r="X988" s="276"/>
      <c r="Y988" s="276"/>
      <c r="Z988" s="276"/>
    </row>
    <row r="989" spans="1:26" ht="18.75" customHeight="1">
      <c r="A989" s="276"/>
      <c r="B989" s="276"/>
      <c r="C989" s="276"/>
      <c r="D989" s="276"/>
      <c r="E989" s="276"/>
      <c r="F989" s="276"/>
      <c r="G989" s="276"/>
      <c r="H989" s="276"/>
      <c r="I989" s="276"/>
      <c r="J989" s="276"/>
      <c r="K989" s="276"/>
      <c r="L989" s="276"/>
      <c r="M989" s="276"/>
      <c r="N989" s="276"/>
      <c r="O989" s="276"/>
      <c r="P989" s="276"/>
      <c r="Q989" s="276"/>
      <c r="R989" s="276"/>
      <c r="S989" s="276"/>
      <c r="T989" s="276"/>
      <c r="U989" s="276"/>
      <c r="V989" s="276"/>
      <c r="W989" s="276"/>
      <c r="X989" s="276"/>
      <c r="Y989" s="276"/>
      <c r="Z989" s="276"/>
    </row>
    <row r="990" spans="1:26" ht="18.75" customHeight="1">
      <c r="A990" s="276"/>
      <c r="B990" s="276"/>
      <c r="C990" s="276"/>
      <c r="D990" s="276"/>
      <c r="E990" s="276"/>
      <c r="F990" s="276"/>
      <c r="G990" s="276"/>
      <c r="H990" s="276"/>
      <c r="I990" s="276"/>
      <c r="J990" s="276"/>
      <c r="K990" s="276"/>
      <c r="L990" s="276"/>
      <c r="M990" s="276"/>
      <c r="N990" s="276"/>
      <c r="O990" s="276"/>
      <c r="P990" s="276"/>
      <c r="Q990" s="276"/>
      <c r="R990" s="276"/>
      <c r="S990" s="276"/>
      <c r="T990" s="276"/>
      <c r="U990" s="276"/>
      <c r="V990" s="276"/>
      <c r="W990" s="276"/>
      <c r="X990" s="276"/>
      <c r="Y990" s="276"/>
      <c r="Z990" s="276"/>
    </row>
    <row r="991" spans="1:26" ht="18.75" customHeight="1">
      <c r="A991" s="276"/>
      <c r="B991" s="276"/>
      <c r="C991" s="276"/>
      <c r="D991" s="276"/>
      <c r="E991" s="276"/>
      <c r="F991" s="276"/>
      <c r="G991" s="276"/>
      <c r="H991" s="276"/>
      <c r="I991" s="276"/>
      <c r="J991" s="276"/>
      <c r="K991" s="276"/>
      <c r="L991" s="276"/>
      <c r="M991" s="276"/>
      <c r="N991" s="276"/>
      <c r="O991" s="276"/>
      <c r="P991" s="276"/>
      <c r="Q991" s="276"/>
      <c r="R991" s="276"/>
      <c r="S991" s="276"/>
      <c r="T991" s="276"/>
      <c r="U991" s="276"/>
      <c r="V991" s="276"/>
      <c r="W991" s="276"/>
      <c r="X991" s="276"/>
      <c r="Y991" s="276"/>
      <c r="Z991" s="276"/>
    </row>
    <row r="992" spans="1:26" ht="18.75" customHeight="1">
      <c r="A992" s="276"/>
      <c r="B992" s="276"/>
      <c r="C992" s="276"/>
      <c r="D992" s="276"/>
      <c r="E992" s="276"/>
      <c r="F992" s="276"/>
      <c r="G992" s="276"/>
      <c r="H992" s="276"/>
      <c r="I992" s="276"/>
      <c r="J992" s="276"/>
      <c r="K992" s="276"/>
      <c r="L992" s="276"/>
      <c r="M992" s="276"/>
      <c r="N992" s="276"/>
      <c r="O992" s="276"/>
      <c r="P992" s="276"/>
      <c r="Q992" s="276"/>
      <c r="R992" s="276"/>
      <c r="S992" s="276"/>
      <c r="T992" s="276"/>
      <c r="U992" s="276"/>
      <c r="V992" s="276"/>
      <c r="W992" s="276"/>
      <c r="X992" s="276"/>
      <c r="Y992" s="276"/>
      <c r="Z992" s="276"/>
    </row>
    <row r="993" spans="1:26" ht="18.75" customHeight="1">
      <c r="A993" s="276"/>
      <c r="B993" s="276"/>
      <c r="C993" s="276"/>
      <c r="D993" s="276"/>
      <c r="E993" s="276"/>
      <c r="F993" s="276"/>
      <c r="G993" s="276"/>
      <c r="H993" s="276"/>
      <c r="I993" s="276"/>
      <c r="J993" s="276"/>
      <c r="K993" s="276"/>
      <c r="L993" s="276"/>
      <c r="M993" s="276"/>
      <c r="N993" s="276"/>
      <c r="O993" s="276"/>
      <c r="P993" s="276"/>
      <c r="Q993" s="276"/>
      <c r="R993" s="276"/>
      <c r="S993" s="276"/>
      <c r="T993" s="276"/>
      <c r="U993" s="276"/>
      <c r="V993" s="276"/>
      <c r="W993" s="276"/>
      <c r="X993" s="276"/>
      <c r="Y993" s="276"/>
      <c r="Z993" s="276"/>
    </row>
    <row r="994" spans="1:26" ht="18.75" customHeight="1">
      <c r="A994" s="276"/>
      <c r="B994" s="276"/>
      <c r="C994" s="276"/>
      <c r="D994" s="276"/>
      <c r="E994" s="276"/>
      <c r="F994" s="276"/>
      <c r="G994" s="276"/>
      <c r="H994" s="276"/>
      <c r="I994" s="276"/>
      <c r="J994" s="276"/>
      <c r="K994" s="276"/>
      <c r="L994" s="276"/>
      <c r="M994" s="276"/>
      <c r="N994" s="276"/>
      <c r="O994" s="276"/>
      <c r="P994" s="276"/>
      <c r="Q994" s="276"/>
      <c r="R994" s="276"/>
      <c r="S994" s="276"/>
      <c r="T994" s="276"/>
      <c r="U994" s="276"/>
      <c r="V994" s="276"/>
      <c r="W994" s="276"/>
      <c r="X994" s="276"/>
      <c r="Y994" s="276"/>
      <c r="Z994" s="276"/>
    </row>
    <row r="995" spans="1:26" ht="18.75" customHeight="1">
      <c r="A995" s="276"/>
      <c r="B995" s="276"/>
      <c r="C995" s="276"/>
      <c r="D995" s="276"/>
      <c r="E995" s="276"/>
      <c r="F995" s="276"/>
      <c r="G995" s="276"/>
      <c r="H995" s="276"/>
      <c r="I995" s="276"/>
      <c r="J995" s="276"/>
      <c r="K995" s="276"/>
      <c r="L995" s="276"/>
      <c r="M995" s="276"/>
      <c r="N995" s="276"/>
      <c r="O995" s="276"/>
      <c r="P995" s="276"/>
      <c r="Q995" s="276"/>
      <c r="R995" s="276"/>
      <c r="S995" s="276"/>
      <c r="T995" s="276"/>
      <c r="U995" s="276"/>
      <c r="V995" s="276"/>
      <c r="W995" s="276"/>
      <c r="X995" s="276"/>
      <c r="Y995" s="276"/>
      <c r="Z995" s="276"/>
    </row>
    <row r="996" spans="1:26" ht="18.75" customHeight="1">
      <c r="A996" s="276"/>
      <c r="B996" s="276"/>
      <c r="C996" s="276"/>
      <c r="D996" s="276"/>
      <c r="E996" s="276"/>
      <c r="F996" s="276"/>
      <c r="G996" s="276"/>
      <c r="H996" s="276"/>
      <c r="I996" s="276"/>
      <c r="J996" s="276"/>
      <c r="K996" s="276"/>
      <c r="L996" s="276"/>
      <c r="M996" s="276"/>
      <c r="N996" s="276"/>
      <c r="O996" s="276"/>
      <c r="P996" s="276"/>
      <c r="Q996" s="276"/>
      <c r="R996" s="276"/>
      <c r="S996" s="276"/>
      <c r="T996" s="276"/>
      <c r="U996" s="276"/>
      <c r="V996" s="276"/>
      <c r="W996" s="276"/>
      <c r="X996" s="276"/>
      <c r="Y996" s="276"/>
      <c r="Z996" s="276"/>
    </row>
    <row r="997" spans="1:26" ht="18.75" customHeight="1">
      <c r="A997" s="276"/>
      <c r="B997" s="276"/>
      <c r="C997" s="276"/>
      <c r="D997" s="276"/>
      <c r="E997" s="276"/>
      <c r="F997" s="276"/>
      <c r="G997" s="276"/>
      <c r="H997" s="276"/>
      <c r="I997" s="276"/>
      <c r="J997" s="276"/>
      <c r="K997" s="276"/>
      <c r="L997" s="276"/>
      <c r="M997" s="276"/>
      <c r="N997" s="276"/>
      <c r="O997" s="276"/>
      <c r="P997" s="276"/>
      <c r="Q997" s="276"/>
      <c r="R997" s="276"/>
      <c r="S997" s="276"/>
      <c r="T997" s="276"/>
      <c r="U997" s="276"/>
      <c r="V997" s="276"/>
      <c r="W997" s="276"/>
      <c r="X997" s="276"/>
      <c r="Y997" s="276"/>
      <c r="Z997" s="276"/>
    </row>
    <row r="998" spans="1:26" ht="18.75" customHeight="1">
      <c r="A998" s="276"/>
      <c r="B998" s="276"/>
      <c r="C998" s="276"/>
      <c r="D998" s="276"/>
      <c r="E998" s="276"/>
      <c r="F998" s="276"/>
      <c r="G998" s="276"/>
      <c r="H998" s="276"/>
      <c r="I998" s="276"/>
      <c r="J998" s="276"/>
      <c r="K998" s="276"/>
      <c r="L998" s="276"/>
      <c r="M998" s="276"/>
      <c r="N998" s="276"/>
      <c r="O998" s="276"/>
      <c r="P998" s="276"/>
      <c r="Q998" s="276"/>
      <c r="R998" s="276"/>
      <c r="S998" s="276"/>
      <c r="T998" s="276"/>
      <c r="U998" s="276"/>
      <c r="V998" s="276"/>
      <c r="W998" s="276"/>
      <c r="X998" s="276"/>
      <c r="Y998" s="276"/>
      <c r="Z998" s="276"/>
    </row>
    <row r="999" spans="1:26" ht="18.75" customHeight="1">
      <c r="A999" s="276"/>
      <c r="B999" s="276"/>
      <c r="C999" s="276"/>
      <c r="D999" s="276"/>
      <c r="E999" s="276"/>
      <c r="F999" s="276"/>
      <c r="G999" s="276"/>
      <c r="H999" s="276"/>
      <c r="I999" s="276"/>
      <c r="J999" s="276"/>
      <c r="K999" s="276"/>
      <c r="L999" s="276"/>
      <c r="M999" s="276"/>
      <c r="N999" s="276"/>
      <c r="O999" s="276"/>
      <c r="P999" s="276"/>
      <c r="Q999" s="276"/>
      <c r="R999" s="276"/>
      <c r="S999" s="276"/>
      <c r="T999" s="276"/>
      <c r="U999" s="276"/>
      <c r="V999" s="276"/>
      <c r="W999" s="276"/>
      <c r="X999" s="276"/>
      <c r="Y999" s="276"/>
      <c r="Z999" s="276"/>
    </row>
    <row r="1000" spans="1:26" ht="18.75" customHeight="1">
      <c r="A1000" s="276"/>
      <c r="B1000" s="276"/>
      <c r="C1000" s="276"/>
      <c r="D1000" s="276"/>
      <c r="E1000" s="276"/>
      <c r="F1000" s="276"/>
      <c r="G1000" s="276"/>
      <c r="H1000" s="276"/>
      <c r="I1000" s="276"/>
      <c r="J1000" s="276"/>
      <c r="K1000" s="276"/>
      <c r="L1000" s="276"/>
      <c r="M1000" s="276"/>
      <c r="N1000" s="276"/>
      <c r="O1000" s="276"/>
      <c r="P1000" s="276"/>
      <c r="Q1000" s="276"/>
      <c r="R1000" s="276"/>
      <c r="S1000" s="276"/>
      <c r="T1000" s="276"/>
      <c r="U1000" s="276"/>
      <c r="V1000" s="276"/>
      <c r="W1000" s="276"/>
      <c r="X1000" s="276"/>
      <c r="Y1000" s="276"/>
      <c r="Z1000" s="276"/>
    </row>
  </sheetData>
  <mergeCells count="90">
    <mergeCell ref="I18:I19"/>
    <mergeCell ref="J18:J19"/>
    <mergeCell ref="B12:B13"/>
    <mergeCell ref="C12:C13"/>
    <mergeCell ref="A14:A15"/>
    <mergeCell ref="B14:B15"/>
    <mergeCell ref="C14:C15"/>
    <mergeCell ref="B16:B17"/>
    <mergeCell ref="C16:C17"/>
    <mergeCell ref="D14:D15"/>
    <mergeCell ref="E14:E15"/>
    <mergeCell ref="D16:D17"/>
    <mergeCell ref="E16:E17"/>
    <mergeCell ref="A8:A9"/>
    <mergeCell ref="A10:A11"/>
    <mergeCell ref="B10:B11"/>
    <mergeCell ref="C10:C11"/>
    <mergeCell ref="D10:D11"/>
    <mergeCell ref="E10:E11"/>
    <mergeCell ref="A12:A13"/>
    <mergeCell ref="E6:E7"/>
    <mergeCell ref="B8:B9"/>
    <mergeCell ref="E8:E9"/>
    <mergeCell ref="D12:D13"/>
    <mergeCell ref="E12:E13"/>
    <mergeCell ref="C8:C9"/>
    <mergeCell ref="D8:D9"/>
    <mergeCell ref="A6:A7"/>
    <mergeCell ref="B6:B7"/>
    <mergeCell ref="C6:C7"/>
    <mergeCell ref="D6:D7"/>
    <mergeCell ref="F3:G3"/>
    <mergeCell ref="J3:L3"/>
    <mergeCell ref="A4:A5"/>
    <mergeCell ref="B4:B5"/>
    <mergeCell ref="C4:C5"/>
    <mergeCell ref="D4:D5"/>
    <mergeCell ref="E4:E5"/>
    <mergeCell ref="D29:G29"/>
    <mergeCell ref="B20:B21"/>
    <mergeCell ref="C20:C21"/>
    <mergeCell ref="A22:A23"/>
    <mergeCell ref="B22:B23"/>
    <mergeCell ref="C22:C23"/>
    <mergeCell ref="B24:B25"/>
    <mergeCell ref="C24:C25"/>
    <mergeCell ref="D30:D33"/>
    <mergeCell ref="D34:F34"/>
    <mergeCell ref="A16:A17"/>
    <mergeCell ref="A18:A19"/>
    <mergeCell ref="B18:B19"/>
    <mergeCell ref="C18:C19"/>
    <mergeCell ref="D18:D19"/>
    <mergeCell ref="E18:E19"/>
    <mergeCell ref="A20:A21"/>
    <mergeCell ref="A24:A25"/>
    <mergeCell ref="A26:A27"/>
    <mergeCell ref="B26:B27"/>
    <mergeCell ref="C26:C27"/>
    <mergeCell ref="D26:D27"/>
    <mergeCell ref="E26:E27"/>
    <mergeCell ref="A29:B29"/>
    <mergeCell ref="D20:D21"/>
    <mergeCell ref="E20:E21"/>
    <mergeCell ref="D22:D23"/>
    <mergeCell ref="E22:E23"/>
    <mergeCell ref="D24:D25"/>
    <mergeCell ref="E24:E25"/>
    <mergeCell ref="J10:J11"/>
    <mergeCell ref="I24:I25"/>
    <mergeCell ref="J24:J25"/>
    <mergeCell ref="I26:I27"/>
    <mergeCell ref="J26:J27"/>
    <mergeCell ref="I10:I11"/>
    <mergeCell ref="I12:I13"/>
    <mergeCell ref="I14:I15"/>
    <mergeCell ref="I20:I21"/>
    <mergeCell ref="J20:J21"/>
    <mergeCell ref="I22:I23"/>
    <mergeCell ref="J22:J23"/>
    <mergeCell ref="J12:J13"/>
    <mergeCell ref="J14:J15"/>
    <mergeCell ref="I16:I17"/>
    <mergeCell ref="J16:J17"/>
    <mergeCell ref="I4:I5"/>
    <mergeCell ref="J4:J5"/>
    <mergeCell ref="I6:I7"/>
    <mergeCell ref="J6:J7"/>
    <mergeCell ref="I8:I9"/>
    <mergeCell ref="J8:J9"/>
  </mergeCells>
  <phoneticPr fontId="82"/>
  <pageMargins left="0.7" right="0.7" top="0.75" bottom="0.75" header="0" footer="0"/>
  <pageSetup paperSize="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Z1000"/>
  <sheetViews>
    <sheetView workbookViewId="0"/>
  </sheetViews>
  <sheetFormatPr baseColWidth="10" defaultColWidth="11.1640625" defaultRowHeight="15" customHeight="1"/>
  <cols>
    <col min="1" max="1" width="7.1640625" customWidth="1"/>
    <col min="2" max="2" width="13.1640625" customWidth="1"/>
    <col min="3" max="3" width="9" customWidth="1"/>
    <col min="4" max="4" width="10" customWidth="1"/>
    <col min="5" max="5" width="11" customWidth="1"/>
    <col min="6" max="6" width="10.33203125" customWidth="1"/>
    <col min="7" max="7" width="1.1640625" customWidth="1"/>
    <col min="8" max="8" width="8.83203125" customWidth="1"/>
    <col min="9" max="9" width="12.83203125" customWidth="1"/>
    <col min="10" max="10" width="11.6640625" customWidth="1"/>
    <col min="11" max="11" width="1.1640625" customWidth="1"/>
    <col min="12" max="12" width="13.33203125" customWidth="1"/>
    <col min="13" max="13" width="11.6640625" customWidth="1"/>
    <col min="14" max="14" width="1.1640625" customWidth="1"/>
    <col min="15" max="15" width="12.1640625" customWidth="1"/>
    <col min="16" max="26" width="7.1640625" customWidth="1"/>
  </cols>
  <sheetData>
    <row r="1" spans="1:26" ht="18.75" customHeight="1">
      <c r="A1" s="276"/>
      <c r="B1" s="277" t="s">
        <v>207</v>
      </c>
      <c r="C1" s="278"/>
      <c r="D1" s="276"/>
      <c r="E1" s="276"/>
      <c r="F1" s="276"/>
      <c r="G1" s="276"/>
      <c r="H1" s="276"/>
      <c r="I1" s="276"/>
      <c r="J1" s="276"/>
      <c r="K1" s="276"/>
      <c r="L1" s="299" t="s">
        <v>222</v>
      </c>
      <c r="M1" s="276"/>
      <c r="N1" s="276"/>
      <c r="O1" s="276"/>
      <c r="P1" s="276"/>
      <c r="Q1" s="276"/>
      <c r="R1" s="276"/>
      <c r="S1" s="276"/>
      <c r="T1" s="276"/>
      <c r="U1" s="276"/>
      <c r="V1" s="276"/>
      <c r="W1" s="276"/>
      <c r="X1" s="276"/>
      <c r="Y1" s="276"/>
      <c r="Z1" s="276"/>
    </row>
    <row r="2" spans="1:26" ht="18.75" customHeight="1">
      <c r="A2" s="276"/>
      <c r="B2" s="280">
        <f>目標_2025R7!G3</f>
        <v>30000000</v>
      </c>
      <c r="C2" s="278">
        <f>SUM(B4:B27)</f>
        <v>30072164.948453609</v>
      </c>
      <c r="D2" s="276"/>
      <c r="E2" s="276"/>
      <c r="F2" s="276"/>
      <c r="G2" s="276"/>
      <c r="H2" s="276"/>
      <c r="I2" s="276"/>
      <c r="J2" s="276"/>
      <c r="K2" s="276"/>
      <c r="L2" s="280">
        <f>実績_2024R6!M3</f>
        <v>29397780</v>
      </c>
      <c r="M2" s="276"/>
      <c r="N2" s="276"/>
      <c r="O2" s="276"/>
      <c r="P2" s="276"/>
      <c r="Q2" s="276"/>
      <c r="R2" s="276"/>
      <c r="S2" s="276"/>
      <c r="T2" s="276"/>
      <c r="U2" s="276"/>
      <c r="V2" s="276"/>
      <c r="W2" s="276"/>
      <c r="X2" s="276"/>
      <c r="Y2" s="276"/>
      <c r="Z2" s="276"/>
    </row>
    <row r="3" spans="1:26" ht="22.5" customHeight="1">
      <c r="A3" s="281"/>
      <c r="B3" s="281" t="s">
        <v>208</v>
      </c>
      <c r="C3" s="281" t="s">
        <v>160</v>
      </c>
      <c r="D3" s="281" t="s">
        <v>223</v>
      </c>
      <c r="E3" s="281" t="s">
        <v>224</v>
      </c>
      <c r="F3" s="300" t="s">
        <v>225</v>
      </c>
      <c r="G3" s="282"/>
      <c r="H3" s="283" t="s">
        <v>226</v>
      </c>
      <c r="I3" s="301" t="s">
        <v>227</v>
      </c>
      <c r="J3" s="281" t="s">
        <v>228</v>
      </c>
      <c r="K3" s="282"/>
      <c r="L3" s="283" t="s">
        <v>229</v>
      </c>
      <c r="M3" s="300" t="s">
        <v>230</v>
      </c>
      <c r="N3" s="282"/>
      <c r="O3" s="283" t="s">
        <v>231</v>
      </c>
      <c r="P3" s="276"/>
      <c r="Q3" s="284"/>
      <c r="R3" s="276"/>
      <c r="S3" s="276"/>
      <c r="T3" s="276"/>
      <c r="U3" s="276"/>
      <c r="V3" s="276"/>
      <c r="W3" s="276"/>
      <c r="X3" s="276"/>
      <c r="Y3" s="276"/>
      <c r="Z3" s="276"/>
    </row>
    <row r="4" spans="1:26" ht="22.5" customHeight="1">
      <c r="A4" s="581">
        <v>45658</v>
      </c>
      <c r="B4" s="576">
        <f>目標_2025R7!I7</f>
        <v>1927835.0515463918</v>
      </c>
      <c r="C4" s="582">
        <f>目標_2025R7!F7</f>
        <v>22</v>
      </c>
      <c r="D4" s="302" t="s">
        <v>162</v>
      </c>
      <c r="E4" s="303">
        <f>リトローボ18期!E12</f>
        <v>0.44718180385564954</v>
      </c>
      <c r="F4" s="304">
        <f>B4*E4</f>
        <v>862092.75588666461</v>
      </c>
      <c r="G4" s="287"/>
      <c r="H4" s="305">
        <v>0.3</v>
      </c>
      <c r="I4" s="306">
        <f t="shared" ref="I4:I27" si="0">F4*H4</f>
        <v>258627.82676599937</v>
      </c>
      <c r="J4" s="307">
        <f>I4/C4</f>
        <v>11755.810307545426</v>
      </c>
      <c r="K4" s="308"/>
      <c r="L4" s="309" t="e">
        <f t="shared" ref="L4:L27" si="1">#REF!</f>
        <v>#REF!</v>
      </c>
      <c r="M4" s="304" t="e">
        <f t="shared" ref="M4:M27" si="2">I4-L4</f>
        <v>#REF!</v>
      </c>
      <c r="N4" s="287"/>
      <c r="O4" s="580">
        <f>(I4+I5)/B4</f>
        <v>0.24471818038556495</v>
      </c>
      <c r="P4" s="276"/>
      <c r="Q4" s="284"/>
      <c r="R4" s="276"/>
      <c r="S4" s="276"/>
      <c r="T4" s="276"/>
      <c r="U4" s="276"/>
      <c r="V4" s="276"/>
      <c r="W4" s="276"/>
      <c r="X4" s="276"/>
      <c r="Y4" s="276"/>
      <c r="Z4" s="276"/>
    </row>
    <row r="5" spans="1:26" ht="22.5" customHeight="1">
      <c r="A5" s="526"/>
      <c r="B5" s="526"/>
      <c r="C5" s="526"/>
      <c r="D5" s="310" t="s">
        <v>163</v>
      </c>
      <c r="E5" s="311">
        <f>リトローボ18期!E14</f>
        <v>0.55281819614435046</v>
      </c>
      <c r="F5" s="312">
        <f>B4*E5</f>
        <v>1065742.2956597272</v>
      </c>
      <c r="G5" s="287"/>
      <c r="H5" s="313">
        <v>0.2</v>
      </c>
      <c r="I5" s="314">
        <f t="shared" si="0"/>
        <v>213148.45913194545</v>
      </c>
      <c r="J5" s="315">
        <f>I5/C4</f>
        <v>9688.5663241793391</v>
      </c>
      <c r="K5" s="308"/>
      <c r="L5" s="316" t="e">
        <f t="shared" si="1"/>
        <v>#REF!</v>
      </c>
      <c r="M5" s="312" t="e">
        <f t="shared" si="2"/>
        <v>#REF!</v>
      </c>
      <c r="N5" s="287"/>
      <c r="O5" s="494"/>
      <c r="P5" s="276"/>
      <c r="Q5" s="284"/>
      <c r="R5" s="276"/>
      <c r="S5" s="276"/>
      <c r="T5" s="276"/>
      <c r="U5" s="276"/>
      <c r="V5" s="276"/>
      <c r="W5" s="276"/>
      <c r="X5" s="276"/>
      <c r="Y5" s="276"/>
      <c r="Z5" s="276"/>
    </row>
    <row r="6" spans="1:26" ht="22.5" customHeight="1">
      <c r="A6" s="581">
        <v>45689</v>
      </c>
      <c r="B6" s="576">
        <f>目標_2025R7!I8</f>
        <v>2015463.9175257734</v>
      </c>
      <c r="C6" s="582">
        <f>目標_2025R7!F8</f>
        <v>23</v>
      </c>
      <c r="D6" s="302" t="s">
        <v>162</v>
      </c>
      <c r="E6" s="303">
        <f>リトローボ18期!G12</f>
        <v>0.44047328345949788</v>
      </c>
      <c r="F6" s="304">
        <f>B6*E6</f>
        <v>887758.00944672001</v>
      </c>
      <c r="G6" s="287"/>
      <c r="H6" s="305">
        <v>0.3</v>
      </c>
      <c r="I6" s="306">
        <f t="shared" si="0"/>
        <v>266327.40283401601</v>
      </c>
      <c r="J6" s="307">
        <f>I6/C6</f>
        <v>11579.452297131131</v>
      </c>
      <c r="K6" s="308"/>
      <c r="L6" s="309" t="e">
        <f t="shared" si="1"/>
        <v>#REF!</v>
      </c>
      <c r="M6" s="304" t="e">
        <f t="shared" si="2"/>
        <v>#REF!</v>
      </c>
      <c r="N6" s="287"/>
      <c r="O6" s="580">
        <f>(I6+I7)/B6</f>
        <v>0.24404732834594978</v>
      </c>
      <c r="P6" s="276"/>
      <c r="Q6" s="284"/>
      <c r="R6" s="276"/>
      <c r="S6" s="276"/>
      <c r="T6" s="276"/>
      <c r="U6" s="276"/>
      <c r="V6" s="276"/>
      <c r="W6" s="276"/>
      <c r="X6" s="276"/>
      <c r="Y6" s="276"/>
      <c r="Z6" s="276"/>
    </row>
    <row r="7" spans="1:26" ht="22.5" customHeight="1">
      <c r="A7" s="526"/>
      <c r="B7" s="526"/>
      <c r="C7" s="526"/>
      <c r="D7" s="310" t="s">
        <v>163</v>
      </c>
      <c r="E7" s="311">
        <f>リトローボ18期!G14</f>
        <v>0.55952671654050212</v>
      </c>
      <c r="F7" s="312">
        <f>B6*E7</f>
        <v>1127705.9080790533</v>
      </c>
      <c r="G7" s="287"/>
      <c r="H7" s="313">
        <v>0.2</v>
      </c>
      <c r="I7" s="314">
        <f t="shared" si="0"/>
        <v>225541.18161581067</v>
      </c>
      <c r="J7" s="315">
        <f>I7/C6</f>
        <v>9806.1383311222035</v>
      </c>
      <c r="K7" s="308"/>
      <c r="L7" s="316" t="e">
        <f t="shared" si="1"/>
        <v>#REF!</v>
      </c>
      <c r="M7" s="312" t="e">
        <f t="shared" si="2"/>
        <v>#REF!</v>
      </c>
      <c r="N7" s="287"/>
      <c r="O7" s="494"/>
      <c r="P7" s="276"/>
      <c r="Q7" s="284"/>
      <c r="R7" s="276"/>
      <c r="S7" s="276"/>
      <c r="T7" s="276"/>
      <c r="U7" s="276"/>
      <c r="V7" s="276"/>
      <c r="W7" s="276"/>
      <c r="X7" s="276"/>
      <c r="Y7" s="276"/>
      <c r="Z7" s="276"/>
    </row>
    <row r="8" spans="1:26" ht="22.5" customHeight="1">
      <c r="A8" s="581">
        <v>45717</v>
      </c>
      <c r="B8" s="576">
        <f>目標_2025R7!I9</f>
        <v>2680412.3711340209</v>
      </c>
      <c r="C8" s="582">
        <f>目標_2025R7!F9</f>
        <v>26</v>
      </c>
      <c r="D8" s="302" t="s">
        <v>162</v>
      </c>
      <c r="E8" s="303">
        <f>リトローボ18期!I12</f>
        <v>0.46467070658586829</v>
      </c>
      <c r="F8" s="304">
        <f>B8*E8</f>
        <v>1245509.110436348</v>
      </c>
      <c r="G8" s="287"/>
      <c r="H8" s="305">
        <v>0.3</v>
      </c>
      <c r="I8" s="306">
        <f t="shared" si="0"/>
        <v>373652.73313090438</v>
      </c>
      <c r="J8" s="307">
        <f>I8/C8</f>
        <v>14371.258966573245</v>
      </c>
      <c r="K8" s="308"/>
      <c r="L8" s="309" t="e">
        <f t="shared" si="1"/>
        <v>#REF!</v>
      </c>
      <c r="M8" s="304" t="e">
        <f t="shared" si="2"/>
        <v>#REF!</v>
      </c>
      <c r="N8" s="287"/>
      <c r="O8" s="580">
        <f>(I8+I9)/B8</f>
        <v>0.24646707065858683</v>
      </c>
      <c r="P8" s="276"/>
      <c r="Q8" s="284"/>
      <c r="R8" s="276"/>
      <c r="S8" s="276"/>
      <c r="T8" s="276"/>
      <c r="U8" s="276"/>
      <c r="V8" s="276"/>
      <c r="W8" s="276"/>
      <c r="X8" s="276"/>
      <c r="Y8" s="276"/>
      <c r="Z8" s="276"/>
    </row>
    <row r="9" spans="1:26" ht="22.5" customHeight="1">
      <c r="A9" s="526"/>
      <c r="B9" s="526"/>
      <c r="C9" s="526"/>
      <c r="D9" s="310" t="s">
        <v>163</v>
      </c>
      <c r="E9" s="311">
        <f>リトローボ18期!I14</f>
        <v>0.53532929341413171</v>
      </c>
      <c r="F9" s="312">
        <f>B8*E9</f>
        <v>1434903.2606976728</v>
      </c>
      <c r="G9" s="287"/>
      <c r="H9" s="313">
        <v>0.2</v>
      </c>
      <c r="I9" s="314">
        <f t="shared" si="0"/>
        <v>286980.65213953459</v>
      </c>
      <c r="J9" s="315">
        <f>I9/C8</f>
        <v>11037.717389982099</v>
      </c>
      <c r="K9" s="308"/>
      <c r="L9" s="316" t="e">
        <f t="shared" si="1"/>
        <v>#REF!</v>
      </c>
      <c r="M9" s="312" t="e">
        <f t="shared" si="2"/>
        <v>#REF!</v>
      </c>
      <c r="N9" s="287"/>
      <c r="O9" s="494"/>
      <c r="P9" s="276"/>
      <c r="Q9" s="284"/>
      <c r="R9" s="276"/>
      <c r="S9" s="276"/>
      <c r="T9" s="276"/>
      <c r="U9" s="276"/>
      <c r="V9" s="276"/>
      <c r="W9" s="276"/>
      <c r="X9" s="276"/>
      <c r="Y9" s="276"/>
      <c r="Z9" s="276"/>
    </row>
    <row r="10" spans="1:26" ht="22.5" customHeight="1">
      <c r="A10" s="581">
        <v>45748</v>
      </c>
      <c r="B10" s="576">
        <f>目標_2025R7!I10</f>
        <v>2835051.546391753</v>
      </c>
      <c r="C10" s="582">
        <f>目標_2025R7!F10</f>
        <v>25</v>
      </c>
      <c r="D10" s="302" t="s">
        <v>162</v>
      </c>
      <c r="E10" s="303">
        <f>リトローボ18期!K12</f>
        <v>0.45663470687257557</v>
      </c>
      <c r="F10" s="304">
        <f>B10*E10</f>
        <v>1294582.9318552401</v>
      </c>
      <c r="G10" s="287"/>
      <c r="H10" s="305">
        <v>0.3</v>
      </c>
      <c r="I10" s="306">
        <f t="shared" si="0"/>
        <v>388374.87955657201</v>
      </c>
      <c r="J10" s="307">
        <f>I10/C10</f>
        <v>15534.995182262881</v>
      </c>
      <c r="K10" s="308"/>
      <c r="L10" s="309" t="e">
        <f t="shared" si="1"/>
        <v>#REF!</v>
      </c>
      <c r="M10" s="304" t="e">
        <f t="shared" si="2"/>
        <v>#REF!</v>
      </c>
      <c r="N10" s="287"/>
      <c r="O10" s="580">
        <f>(I10+I11)/B10</f>
        <v>0.24566347068725755</v>
      </c>
      <c r="P10" s="276"/>
      <c r="Q10" s="284"/>
      <c r="R10" s="276"/>
      <c r="S10" s="276"/>
      <c r="T10" s="276"/>
      <c r="U10" s="276"/>
      <c r="V10" s="276"/>
      <c r="W10" s="276"/>
      <c r="X10" s="276"/>
      <c r="Y10" s="276"/>
      <c r="Z10" s="276"/>
    </row>
    <row r="11" spans="1:26" ht="22.5" customHeight="1">
      <c r="A11" s="526"/>
      <c r="B11" s="526"/>
      <c r="C11" s="526"/>
      <c r="D11" s="310" t="s">
        <v>163</v>
      </c>
      <c r="E11" s="311">
        <f>リトローボ18期!K14</f>
        <v>0.54336529312742443</v>
      </c>
      <c r="F11" s="312">
        <f>B10*E11</f>
        <v>1540468.6145365129</v>
      </c>
      <c r="G11" s="287"/>
      <c r="H11" s="313">
        <v>0.2</v>
      </c>
      <c r="I11" s="314">
        <f t="shared" si="0"/>
        <v>308093.72290730261</v>
      </c>
      <c r="J11" s="315">
        <f>I11/C10</f>
        <v>12323.748916292105</v>
      </c>
      <c r="K11" s="308"/>
      <c r="L11" s="316" t="e">
        <f t="shared" si="1"/>
        <v>#REF!</v>
      </c>
      <c r="M11" s="312" t="e">
        <f t="shared" si="2"/>
        <v>#REF!</v>
      </c>
      <c r="N11" s="287"/>
      <c r="O11" s="494"/>
      <c r="P11" s="276"/>
      <c r="Q11" s="284"/>
      <c r="R11" s="276"/>
      <c r="S11" s="276"/>
      <c r="T11" s="276"/>
      <c r="U11" s="276"/>
      <c r="V11" s="276"/>
      <c r="W11" s="276"/>
      <c r="X11" s="276"/>
      <c r="Y11" s="276"/>
      <c r="Z11" s="276"/>
    </row>
    <row r="12" spans="1:26" ht="22.5" customHeight="1">
      <c r="A12" s="581">
        <v>45778</v>
      </c>
      <c r="B12" s="576">
        <f>目標_2025R7!I11</f>
        <v>2680412.3711340209</v>
      </c>
      <c r="C12" s="582">
        <f>目標_2025R7!F11</f>
        <v>26</v>
      </c>
      <c r="D12" s="302" t="s">
        <v>162</v>
      </c>
      <c r="E12" s="303">
        <f>リトローボ18期!M12</f>
        <v>0.4360734893755458</v>
      </c>
      <c r="F12" s="304">
        <f>B12*E12</f>
        <v>1168856.7756457929</v>
      </c>
      <c r="G12" s="287"/>
      <c r="H12" s="305">
        <v>0.3</v>
      </c>
      <c r="I12" s="306">
        <f t="shared" si="0"/>
        <v>350657.03269373788</v>
      </c>
      <c r="J12" s="307">
        <f>I12/C12</f>
        <v>13486.80894975915</v>
      </c>
      <c r="K12" s="308"/>
      <c r="L12" s="309" t="e">
        <f t="shared" si="1"/>
        <v>#REF!</v>
      </c>
      <c r="M12" s="304" t="e">
        <f t="shared" si="2"/>
        <v>#REF!</v>
      </c>
      <c r="N12" s="287"/>
      <c r="O12" s="580">
        <f>(I12+I13)/B12</f>
        <v>0.24360734893755459</v>
      </c>
      <c r="P12" s="276"/>
      <c r="Q12" s="284"/>
      <c r="R12" s="276"/>
      <c r="S12" s="276"/>
      <c r="T12" s="276"/>
      <c r="U12" s="276"/>
      <c r="V12" s="276"/>
      <c r="W12" s="276"/>
      <c r="X12" s="276"/>
      <c r="Y12" s="276"/>
      <c r="Z12" s="276"/>
    </row>
    <row r="13" spans="1:26" ht="22.5" customHeight="1">
      <c r="A13" s="526"/>
      <c r="B13" s="526"/>
      <c r="C13" s="526"/>
      <c r="D13" s="310" t="s">
        <v>163</v>
      </c>
      <c r="E13" s="311">
        <f>リトローボ18期!M14</f>
        <v>0.5639265106244542</v>
      </c>
      <c r="F13" s="312">
        <f>B12*E13</f>
        <v>1511555.5954882279</v>
      </c>
      <c r="G13" s="287"/>
      <c r="H13" s="313">
        <v>0.2</v>
      </c>
      <c r="I13" s="314">
        <f t="shared" si="0"/>
        <v>302311.11909764557</v>
      </c>
      <c r="J13" s="315">
        <f>I13/C12</f>
        <v>11627.350734524829</v>
      </c>
      <c r="K13" s="308"/>
      <c r="L13" s="316" t="e">
        <f t="shared" si="1"/>
        <v>#REF!</v>
      </c>
      <c r="M13" s="312" t="e">
        <f t="shared" si="2"/>
        <v>#REF!</v>
      </c>
      <c r="N13" s="287"/>
      <c r="O13" s="494"/>
      <c r="P13" s="276"/>
      <c r="Q13" s="284"/>
      <c r="R13" s="276"/>
      <c r="S13" s="276"/>
      <c r="T13" s="276"/>
      <c r="U13" s="276"/>
      <c r="V13" s="276"/>
      <c r="W13" s="276"/>
      <c r="X13" s="276"/>
      <c r="Y13" s="276"/>
      <c r="Z13" s="276"/>
    </row>
    <row r="14" spans="1:26" ht="22.5" customHeight="1">
      <c r="A14" s="581">
        <v>45809</v>
      </c>
      <c r="B14" s="576">
        <f>目標_2025R7!I12</f>
        <v>2190721.6494845361</v>
      </c>
      <c r="C14" s="582">
        <f>目標_2025R7!F12</f>
        <v>25</v>
      </c>
      <c r="D14" s="302" t="s">
        <v>162</v>
      </c>
      <c r="E14" s="303">
        <f>リトローボ18期!O12</f>
        <v>0.44691926114483388</v>
      </c>
      <c r="F14" s="304">
        <f>B14*E14</f>
        <v>979075.70096162066</v>
      </c>
      <c r="G14" s="287"/>
      <c r="H14" s="305">
        <v>0.3</v>
      </c>
      <c r="I14" s="306">
        <f t="shared" si="0"/>
        <v>293722.71028848621</v>
      </c>
      <c r="J14" s="307">
        <f>I14/C14</f>
        <v>11748.908411539449</v>
      </c>
      <c r="K14" s="308"/>
      <c r="L14" s="309" t="e">
        <f t="shared" si="1"/>
        <v>#REF!</v>
      </c>
      <c r="M14" s="304" t="e">
        <f t="shared" si="2"/>
        <v>#REF!</v>
      </c>
      <c r="N14" s="287"/>
      <c r="O14" s="580">
        <f>(I14+I15)/B14</f>
        <v>0.24469192611448337</v>
      </c>
      <c r="P14" s="276"/>
      <c r="Q14" s="284"/>
      <c r="R14" s="276"/>
      <c r="S14" s="276"/>
      <c r="T14" s="276"/>
      <c r="U14" s="276"/>
      <c r="V14" s="276"/>
      <c r="W14" s="276"/>
      <c r="X14" s="276"/>
      <c r="Y14" s="276"/>
      <c r="Z14" s="276"/>
    </row>
    <row r="15" spans="1:26" ht="22.5" customHeight="1">
      <c r="A15" s="526"/>
      <c r="B15" s="526"/>
      <c r="C15" s="526"/>
      <c r="D15" s="310" t="s">
        <v>163</v>
      </c>
      <c r="E15" s="311">
        <f>リトローボ18期!O14</f>
        <v>0.55308073885516607</v>
      </c>
      <c r="F15" s="312">
        <f>B14*E15</f>
        <v>1211645.9485229154</v>
      </c>
      <c r="G15" s="287"/>
      <c r="H15" s="313">
        <v>0.2</v>
      </c>
      <c r="I15" s="314">
        <f t="shared" si="0"/>
        <v>242329.18970458308</v>
      </c>
      <c r="J15" s="315">
        <f>I15/C14</f>
        <v>9693.1675881833235</v>
      </c>
      <c r="K15" s="308"/>
      <c r="L15" s="316" t="e">
        <f t="shared" si="1"/>
        <v>#REF!</v>
      </c>
      <c r="M15" s="312" t="e">
        <f t="shared" si="2"/>
        <v>#REF!</v>
      </c>
      <c r="N15" s="287"/>
      <c r="O15" s="494"/>
      <c r="P15" s="276"/>
      <c r="Q15" s="276"/>
      <c r="R15" s="276"/>
      <c r="S15" s="276"/>
      <c r="T15" s="276"/>
      <c r="U15" s="276"/>
      <c r="V15" s="276"/>
      <c r="W15" s="276"/>
      <c r="X15" s="276"/>
      <c r="Y15" s="276"/>
      <c r="Z15" s="276"/>
    </row>
    <row r="16" spans="1:26" ht="22.5" customHeight="1">
      <c r="A16" s="581">
        <v>45839</v>
      </c>
      <c r="B16" s="576">
        <f>目標_2025R7!I13</f>
        <v>2835051.546391753</v>
      </c>
      <c r="C16" s="582">
        <f>目標_2025R7!F13</f>
        <v>25</v>
      </c>
      <c r="D16" s="302" t="s">
        <v>162</v>
      </c>
      <c r="E16" s="303">
        <f>リトローボ18期!Q12</f>
        <v>0.42252461277983322</v>
      </c>
      <c r="F16" s="304">
        <f>B16*E16</f>
        <v>1197879.0568500429</v>
      </c>
      <c r="G16" s="287"/>
      <c r="H16" s="305">
        <v>0.3</v>
      </c>
      <c r="I16" s="306">
        <f t="shared" si="0"/>
        <v>359363.71705501288</v>
      </c>
      <c r="J16" s="307">
        <f>I16/C16</f>
        <v>14374.548682200515</v>
      </c>
      <c r="K16" s="308"/>
      <c r="L16" s="309" t="e">
        <f t="shared" si="1"/>
        <v>#REF!</v>
      </c>
      <c r="M16" s="304" t="e">
        <f t="shared" si="2"/>
        <v>#REF!</v>
      </c>
      <c r="N16" s="287"/>
      <c r="O16" s="580">
        <f>(I16+I17)/B16</f>
        <v>0.24225246127798331</v>
      </c>
      <c r="P16" s="276"/>
      <c r="Q16" s="276"/>
      <c r="R16" s="276"/>
      <c r="S16" s="276"/>
      <c r="T16" s="276"/>
      <c r="U16" s="276"/>
      <c r="V16" s="276"/>
      <c r="W16" s="276"/>
      <c r="X16" s="276"/>
      <c r="Y16" s="276"/>
      <c r="Z16" s="276"/>
    </row>
    <row r="17" spans="1:26" ht="22.5" customHeight="1">
      <c r="A17" s="526"/>
      <c r="B17" s="526"/>
      <c r="C17" s="526"/>
      <c r="D17" s="310" t="s">
        <v>163</v>
      </c>
      <c r="E17" s="311">
        <f>リトローボ18期!Q14</f>
        <v>0.57747538722016678</v>
      </c>
      <c r="F17" s="312">
        <f>B16*E17</f>
        <v>1637172.4895417101</v>
      </c>
      <c r="G17" s="287"/>
      <c r="H17" s="313">
        <v>0.2</v>
      </c>
      <c r="I17" s="314">
        <f t="shared" si="0"/>
        <v>327434.49790834205</v>
      </c>
      <c r="J17" s="315">
        <f>I17/C16</f>
        <v>13097.379916333683</v>
      </c>
      <c r="K17" s="308"/>
      <c r="L17" s="316" t="e">
        <f t="shared" si="1"/>
        <v>#REF!</v>
      </c>
      <c r="M17" s="312" t="e">
        <f t="shared" si="2"/>
        <v>#REF!</v>
      </c>
      <c r="N17" s="287"/>
      <c r="O17" s="494"/>
      <c r="P17" s="276"/>
      <c r="Q17" s="276"/>
      <c r="R17" s="276"/>
      <c r="S17" s="276"/>
      <c r="T17" s="276"/>
      <c r="U17" s="276"/>
      <c r="V17" s="276"/>
      <c r="W17" s="276"/>
      <c r="X17" s="276"/>
      <c r="Y17" s="276"/>
      <c r="Z17" s="276"/>
    </row>
    <row r="18" spans="1:26" ht="22.5" customHeight="1">
      <c r="A18" s="581">
        <v>45870</v>
      </c>
      <c r="B18" s="576">
        <f>目標_2025R7!I14</f>
        <v>2474226.8041237113</v>
      </c>
      <c r="C18" s="582">
        <f>目標_2025R7!F14</f>
        <v>24</v>
      </c>
      <c r="D18" s="302" t="s">
        <v>162</v>
      </c>
      <c r="E18" s="303">
        <f>リトローボ18期!S12</f>
        <v>0.42376715281444205</v>
      </c>
      <c r="F18" s="304">
        <f>B18*E18</f>
        <v>1048496.0482006813</v>
      </c>
      <c r="G18" s="287"/>
      <c r="H18" s="305">
        <v>0.3</v>
      </c>
      <c r="I18" s="306">
        <f t="shared" si="0"/>
        <v>314548.81446020439</v>
      </c>
      <c r="J18" s="307">
        <f>I18/C18</f>
        <v>13106.200602508516</v>
      </c>
      <c r="K18" s="308"/>
      <c r="L18" s="309" t="e">
        <f t="shared" si="1"/>
        <v>#REF!</v>
      </c>
      <c r="M18" s="304" t="e">
        <f t="shared" si="2"/>
        <v>#REF!</v>
      </c>
      <c r="N18" s="287"/>
      <c r="O18" s="580">
        <f>(I18+I19)/B18</f>
        <v>0.24237671528144422</v>
      </c>
      <c r="P18" s="276"/>
      <c r="Q18" s="276"/>
      <c r="R18" s="276"/>
      <c r="S18" s="276"/>
      <c r="T18" s="276"/>
      <c r="U18" s="276"/>
      <c r="V18" s="276"/>
      <c r="W18" s="276"/>
      <c r="X18" s="276"/>
      <c r="Y18" s="276"/>
      <c r="Z18" s="276"/>
    </row>
    <row r="19" spans="1:26" ht="22.5" customHeight="1">
      <c r="A19" s="526"/>
      <c r="B19" s="526"/>
      <c r="C19" s="526"/>
      <c r="D19" s="310" t="s">
        <v>163</v>
      </c>
      <c r="E19" s="311">
        <f>リトローボ18期!S14</f>
        <v>0.57623284718555801</v>
      </c>
      <c r="F19" s="312">
        <f>B18*E19</f>
        <v>1425730.7559230302</v>
      </c>
      <c r="G19" s="287"/>
      <c r="H19" s="313">
        <v>0.2</v>
      </c>
      <c r="I19" s="314">
        <f t="shared" si="0"/>
        <v>285146.15118460607</v>
      </c>
      <c r="J19" s="315">
        <f>I19/C18</f>
        <v>11881.089632691919</v>
      </c>
      <c r="K19" s="308"/>
      <c r="L19" s="316" t="e">
        <f t="shared" si="1"/>
        <v>#REF!</v>
      </c>
      <c r="M19" s="312" t="e">
        <f t="shared" si="2"/>
        <v>#REF!</v>
      </c>
      <c r="N19" s="287"/>
      <c r="O19" s="494"/>
      <c r="P19" s="276"/>
      <c r="Q19" s="276"/>
      <c r="R19" s="276"/>
      <c r="S19" s="276"/>
      <c r="T19" s="276"/>
      <c r="U19" s="276"/>
      <c r="V19" s="276"/>
      <c r="W19" s="276"/>
      <c r="X19" s="276"/>
      <c r="Y19" s="276"/>
      <c r="Z19" s="276"/>
    </row>
    <row r="20" spans="1:26" ht="22.5" customHeight="1">
      <c r="A20" s="581">
        <v>45901</v>
      </c>
      <c r="B20" s="576">
        <f>目標_2025R7!I15</f>
        <v>2371134.020618557</v>
      </c>
      <c r="C20" s="582">
        <f>目標_2025R7!F15</f>
        <v>23</v>
      </c>
      <c r="D20" s="302" t="s">
        <v>162</v>
      </c>
      <c r="E20" s="303">
        <f>リトローボ18期!U12</f>
        <v>0.44071303860496197</v>
      </c>
      <c r="F20" s="304">
        <f>B20*E20</f>
        <v>1044989.6791664048</v>
      </c>
      <c r="G20" s="287"/>
      <c r="H20" s="305">
        <v>0.3</v>
      </c>
      <c r="I20" s="306">
        <f t="shared" si="0"/>
        <v>313496.90374992142</v>
      </c>
      <c r="J20" s="307">
        <f>I20/C20</f>
        <v>13630.300163040061</v>
      </c>
      <c r="K20" s="308"/>
      <c r="L20" s="309" t="e">
        <f t="shared" si="1"/>
        <v>#REF!</v>
      </c>
      <c r="M20" s="304" t="e">
        <f t="shared" si="2"/>
        <v>#REF!</v>
      </c>
      <c r="N20" s="287"/>
      <c r="O20" s="580">
        <f>(I20+I21)/B20</f>
        <v>0.24407130386049619</v>
      </c>
      <c r="P20" s="276"/>
      <c r="Q20" s="276"/>
      <c r="R20" s="276"/>
      <c r="S20" s="276"/>
      <c r="T20" s="276"/>
      <c r="U20" s="276"/>
      <c r="V20" s="276"/>
      <c r="W20" s="276"/>
      <c r="X20" s="276"/>
      <c r="Y20" s="276"/>
      <c r="Z20" s="276"/>
    </row>
    <row r="21" spans="1:26" ht="22.5" customHeight="1">
      <c r="A21" s="526"/>
      <c r="B21" s="526"/>
      <c r="C21" s="526"/>
      <c r="D21" s="310" t="s">
        <v>163</v>
      </c>
      <c r="E21" s="311">
        <f>リトローボ18期!U14</f>
        <v>0.55928696139503808</v>
      </c>
      <c r="F21" s="312">
        <f>B20*E21</f>
        <v>1326144.3414521522</v>
      </c>
      <c r="G21" s="287"/>
      <c r="H21" s="313">
        <v>0.2</v>
      </c>
      <c r="I21" s="314">
        <f t="shared" si="0"/>
        <v>265228.86829043046</v>
      </c>
      <c r="J21" s="315">
        <f>I21/C20</f>
        <v>11531.689925670889</v>
      </c>
      <c r="K21" s="308"/>
      <c r="L21" s="316" t="e">
        <f t="shared" si="1"/>
        <v>#REF!</v>
      </c>
      <c r="M21" s="312" t="e">
        <f t="shared" si="2"/>
        <v>#REF!</v>
      </c>
      <c r="N21" s="287"/>
      <c r="O21" s="494"/>
      <c r="P21" s="276"/>
      <c r="Q21" s="276"/>
      <c r="R21" s="276"/>
      <c r="S21" s="276"/>
      <c r="T21" s="276"/>
      <c r="U21" s="276"/>
      <c r="V21" s="276"/>
      <c r="W21" s="276"/>
      <c r="X21" s="276"/>
      <c r="Y21" s="276"/>
      <c r="Z21" s="276"/>
    </row>
    <row r="22" spans="1:26" ht="22.5" customHeight="1">
      <c r="A22" s="581">
        <v>45931</v>
      </c>
      <c r="B22" s="576">
        <f>目標_2025R7!I16</f>
        <v>2948453.6082474231</v>
      </c>
      <c r="C22" s="582">
        <f>目標_2025R7!F16</f>
        <v>26</v>
      </c>
      <c r="D22" s="302" t="s">
        <v>162</v>
      </c>
      <c r="E22" s="303">
        <f>リトローボ18期!W12</f>
        <v>0.41652320359281436</v>
      </c>
      <c r="F22" s="304">
        <f>B22*E22</f>
        <v>1228099.3425520095</v>
      </c>
      <c r="G22" s="287"/>
      <c r="H22" s="305">
        <v>0.3</v>
      </c>
      <c r="I22" s="306">
        <f t="shared" si="0"/>
        <v>368429.80276560283</v>
      </c>
      <c r="J22" s="307">
        <f>I22/C22</f>
        <v>14170.377029446263</v>
      </c>
      <c r="K22" s="308"/>
      <c r="L22" s="309" t="e">
        <f t="shared" si="1"/>
        <v>#REF!</v>
      </c>
      <c r="M22" s="304" t="e">
        <f t="shared" si="2"/>
        <v>#REF!</v>
      </c>
      <c r="N22" s="287"/>
      <c r="O22" s="580">
        <f>(I22+I23)/B22</f>
        <v>0.24165232035928144</v>
      </c>
      <c r="P22" s="276"/>
      <c r="Q22" s="276"/>
      <c r="R22" s="276"/>
      <c r="S22" s="276"/>
      <c r="T22" s="276"/>
      <c r="U22" s="276"/>
      <c r="V22" s="276"/>
      <c r="W22" s="276"/>
      <c r="X22" s="276"/>
      <c r="Y22" s="276"/>
      <c r="Z22" s="276"/>
    </row>
    <row r="23" spans="1:26" ht="22.5" customHeight="1">
      <c r="A23" s="526"/>
      <c r="B23" s="526"/>
      <c r="C23" s="526"/>
      <c r="D23" s="310" t="s">
        <v>163</v>
      </c>
      <c r="E23" s="311">
        <f>リトローボ18期!W14</f>
        <v>0.58347679640718564</v>
      </c>
      <c r="F23" s="312">
        <f>B22*E23</f>
        <v>1720354.2656954136</v>
      </c>
      <c r="G23" s="287"/>
      <c r="H23" s="313">
        <v>0.2</v>
      </c>
      <c r="I23" s="314">
        <f t="shared" si="0"/>
        <v>344070.85313908273</v>
      </c>
      <c r="J23" s="315">
        <f>I23/C22</f>
        <v>13233.494351503181</v>
      </c>
      <c r="K23" s="308"/>
      <c r="L23" s="316" t="e">
        <f t="shared" si="1"/>
        <v>#REF!</v>
      </c>
      <c r="M23" s="312" t="e">
        <f t="shared" si="2"/>
        <v>#REF!</v>
      </c>
      <c r="N23" s="287"/>
      <c r="O23" s="494"/>
      <c r="P23" s="276"/>
      <c r="Q23" s="276"/>
      <c r="R23" s="276"/>
      <c r="S23" s="276"/>
      <c r="T23" s="276"/>
      <c r="U23" s="276"/>
      <c r="V23" s="276"/>
      <c r="W23" s="276"/>
      <c r="X23" s="276"/>
      <c r="Y23" s="276"/>
      <c r="Z23" s="276"/>
    </row>
    <row r="24" spans="1:26" ht="22.5" customHeight="1">
      <c r="A24" s="581">
        <v>45962</v>
      </c>
      <c r="B24" s="576">
        <f>目標_2025R7!I17</f>
        <v>2268041.2371134022</v>
      </c>
      <c r="C24" s="582">
        <f>目標_2025R7!F17</f>
        <v>22</v>
      </c>
      <c r="D24" s="302" t="s">
        <v>162</v>
      </c>
      <c r="E24" s="303">
        <f>リトローボ18期!Y12</f>
        <v>0.43440787241262302</v>
      </c>
      <c r="F24" s="304">
        <f>B24*E24</f>
        <v>985254.96835852647</v>
      </c>
      <c r="G24" s="287"/>
      <c r="H24" s="305">
        <v>0.3</v>
      </c>
      <c r="I24" s="306">
        <f t="shared" si="0"/>
        <v>295576.49050755793</v>
      </c>
      <c r="J24" s="307">
        <f>I24/C24</f>
        <v>13435.295023070816</v>
      </c>
      <c r="K24" s="308"/>
      <c r="L24" s="309" t="e">
        <f t="shared" si="1"/>
        <v>#REF!</v>
      </c>
      <c r="M24" s="304" t="e">
        <f t="shared" si="2"/>
        <v>#REF!</v>
      </c>
      <c r="N24" s="287"/>
      <c r="O24" s="580">
        <f>(I24+I25)/B24</f>
        <v>0.24344078724126231</v>
      </c>
      <c r="P24" s="276"/>
      <c r="Q24" s="276"/>
      <c r="R24" s="276"/>
      <c r="S24" s="276"/>
      <c r="T24" s="276"/>
      <c r="U24" s="276"/>
      <c r="V24" s="276"/>
      <c r="W24" s="276"/>
      <c r="X24" s="276"/>
      <c r="Y24" s="276"/>
      <c r="Z24" s="276"/>
    </row>
    <row r="25" spans="1:26" ht="22.5" customHeight="1">
      <c r="A25" s="526"/>
      <c r="B25" s="526"/>
      <c r="C25" s="526"/>
      <c r="D25" s="310" t="s">
        <v>163</v>
      </c>
      <c r="E25" s="311">
        <f>リトローボ18期!Y14</f>
        <v>0.56559212758737698</v>
      </c>
      <c r="F25" s="312">
        <f>B24*E25</f>
        <v>1282786.2687548758</v>
      </c>
      <c r="G25" s="287"/>
      <c r="H25" s="313">
        <v>0.2</v>
      </c>
      <c r="I25" s="314">
        <f t="shared" si="0"/>
        <v>256557.25375097516</v>
      </c>
      <c r="J25" s="315">
        <f>I25/C24</f>
        <v>11661.693352317052</v>
      </c>
      <c r="K25" s="308"/>
      <c r="L25" s="316" t="e">
        <f t="shared" si="1"/>
        <v>#REF!</v>
      </c>
      <c r="M25" s="312" t="e">
        <f t="shared" si="2"/>
        <v>#REF!</v>
      </c>
      <c r="N25" s="287"/>
      <c r="O25" s="494"/>
      <c r="P25" s="276"/>
      <c r="Q25" s="276"/>
      <c r="R25" s="276"/>
      <c r="S25" s="276"/>
      <c r="T25" s="276"/>
      <c r="U25" s="276"/>
      <c r="V25" s="276"/>
      <c r="W25" s="276"/>
      <c r="X25" s="276"/>
      <c r="Y25" s="276"/>
      <c r="Z25" s="276"/>
    </row>
    <row r="26" spans="1:26" ht="22.5" customHeight="1">
      <c r="A26" s="581">
        <v>45992</v>
      </c>
      <c r="B26" s="576">
        <f>目標_2025R7!I18</f>
        <v>2845360.8247422678</v>
      </c>
      <c r="C26" s="582">
        <f>目標_2025R7!F18</f>
        <v>24</v>
      </c>
      <c r="D26" s="302" t="s">
        <v>162</v>
      </c>
      <c r="E26" s="303">
        <f>リトローボ18期!AA12</f>
        <v>0.45069202324352881</v>
      </c>
      <c r="F26" s="304">
        <f>B26*E26</f>
        <v>1282381.4269609684</v>
      </c>
      <c r="G26" s="287"/>
      <c r="H26" s="305">
        <v>0.3</v>
      </c>
      <c r="I26" s="306">
        <f t="shared" si="0"/>
        <v>384714.4280882905</v>
      </c>
      <c r="J26" s="307">
        <f>I26/C26</f>
        <v>16029.767837012105</v>
      </c>
      <c r="K26" s="308"/>
      <c r="L26" s="309" t="e">
        <f t="shared" si="1"/>
        <v>#REF!</v>
      </c>
      <c r="M26" s="304" t="e">
        <f t="shared" si="2"/>
        <v>#REF!</v>
      </c>
      <c r="N26" s="287"/>
      <c r="O26" s="580">
        <f>(I26+I27)/B26</f>
        <v>0.24506920232435289</v>
      </c>
      <c r="P26" s="276"/>
      <c r="Q26" s="276"/>
      <c r="R26" s="276"/>
      <c r="S26" s="276"/>
      <c r="T26" s="276"/>
      <c r="U26" s="276"/>
      <c r="V26" s="276"/>
      <c r="W26" s="276"/>
      <c r="X26" s="276"/>
      <c r="Y26" s="276"/>
      <c r="Z26" s="276"/>
    </row>
    <row r="27" spans="1:26" ht="22.5" customHeight="1">
      <c r="A27" s="526"/>
      <c r="B27" s="526"/>
      <c r="C27" s="526"/>
      <c r="D27" s="310" t="s">
        <v>163</v>
      </c>
      <c r="E27" s="311">
        <f>リトローボ18期!AA14</f>
        <v>0.54930797675647125</v>
      </c>
      <c r="F27" s="312">
        <f>B26*E27</f>
        <v>1562979.3977812994</v>
      </c>
      <c r="G27" s="287"/>
      <c r="H27" s="313">
        <v>0.2</v>
      </c>
      <c r="I27" s="314">
        <f t="shared" si="0"/>
        <v>312595.8795562599</v>
      </c>
      <c r="J27" s="315">
        <f>I27/C26</f>
        <v>13024.828314844162</v>
      </c>
      <c r="K27" s="308"/>
      <c r="L27" s="316" t="e">
        <f t="shared" si="1"/>
        <v>#REF!</v>
      </c>
      <c r="M27" s="312" t="e">
        <f t="shared" si="2"/>
        <v>#REF!</v>
      </c>
      <c r="N27" s="287"/>
      <c r="O27" s="494"/>
      <c r="P27" s="276"/>
      <c r="Q27" s="276"/>
      <c r="R27" s="276"/>
      <c r="S27" s="276"/>
      <c r="T27" s="276"/>
      <c r="U27" s="276"/>
      <c r="V27" s="276"/>
      <c r="W27" s="276"/>
      <c r="X27" s="276"/>
      <c r="Y27" s="276"/>
      <c r="Z27" s="276"/>
    </row>
    <row r="28" spans="1:26" ht="18.75" customHeight="1">
      <c r="A28" s="276"/>
      <c r="B28" s="276"/>
      <c r="C28" s="276"/>
      <c r="D28" s="276"/>
      <c r="E28" s="276"/>
      <c r="F28" s="276"/>
      <c r="G28" s="276"/>
      <c r="H28" s="276"/>
      <c r="I28" s="317">
        <f>SUM(I4:I27)</f>
        <v>7336930.5703228256</v>
      </c>
      <c r="J28" s="318">
        <f>I28/B2</f>
        <v>0.24456435234409418</v>
      </c>
      <c r="K28" s="276"/>
      <c r="L28" s="317" t="e">
        <f>SUM(L4:L27)</f>
        <v>#REF!</v>
      </c>
      <c r="M28" s="318" t="e">
        <f>L28/L2</f>
        <v>#REF!</v>
      </c>
      <c r="N28" s="276"/>
      <c r="O28" s="276"/>
      <c r="P28" s="276"/>
      <c r="Q28" s="276"/>
      <c r="R28" s="276"/>
      <c r="S28" s="276"/>
      <c r="T28" s="276"/>
      <c r="U28" s="276"/>
      <c r="V28" s="276"/>
      <c r="W28" s="276"/>
      <c r="X28" s="276"/>
      <c r="Y28" s="276"/>
      <c r="Z28" s="276"/>
    </row>
    <row r="29" spans="1:26" ht="18.75" customHeight="1">
      <c r="A29" s="276"/>
      <c r="B29" s="276"/>
      <c r="C29" s="276"/>
      <c r="D29" s="276"/>
      <c r="E29" s="276"/>
      <c r="F29" s="276"/>
      <c r="G29" s="276"/>
      <c r="H29" s="276"/>
      <c r="I29" s="276"/>
      <c r="J29" s="276"/>
      <c r="K29" s="276"/>
      <c r="L29" s="276"/>
      <c r="M29" s="276"/>
      <c r="N29" s="276"/>
      <c r="O29" s="276"/>
      <c r="P29" s="276"/>
      <c r="Q29" s="276"/>
      <c r="R29" s="276"/>
      <c r="S29" s="276"/>
      <c r="T29" s="276"/>
      <c r="U29" s="276"/>
      <c r="V29" s="276"/>
      <c r="W29" s="276"/>
      <c r="X29" s="276"/>
      <c r="Y29" s="276"/>
      <c r="Z29" s="276"/>
    </row>
    <row r="30" spans="1:26" ht="18.75" customHeight="1">
      <c r="A30" s="276"/>
      <c r="B30" s="276"/>
      <c r="C30" s="276"/>
      <c r="D30" s="276"/>
      <c r="E30" s="276"/>
      <c r="F30" s="276"/>
      <c r="G30" s="276"/>
      <c r="H30" s="276"/>
      <c r="I30" s="276"/>
      <c r="J30" s="276"/>
      <c r="K30" s="276"/>
      <c r="L30" s="276"/>
      <c r="M30" s="276"/>
      <c r="N30" s="276"/>
      <c r="O30" s="276"/>
      <c r="P30" s="276"/>
      <c r="Q30" s="276"/>
      <c r="R30" s="276"/>
      <c r="S30" s="276"/>
      <c r="T30" s="276"/>
      <c r="U30" s="276"/>
      <c r="V30" s="276"/>
      <c r="W30" s="276"/>
      <c r="X30" s="276"/>
      <c r="Y30" s="276"/>
      <c r="Z30" s="276"/>
    </row>
    <row r="31" spans="1:26" ht="18.75" customHeight="1">
      <c r="A31" s="276"/>
      <c r="B31" s="276"/>
      <c r="C31" s="276"/>
      <c r="D31" s="276"/>
      <c r="E31" s="276"/>
      <c r="F31" s="276"/>
      <c r="G31" s="276"/>
      <c r="H31" s="276"/>
      <c r="I31" s="276"/>
      <c r="J31" s="276"/>
      <c r="K31" s="276"/>
      <c r="L31" s="276"/>
      <c r="M31" s="276"/>
      <c r="N31" s="276"/>
      <c r="O31" s="276"/>
      <c r="P31" s="276"/>
      <c r="Q31" s="276"/>
      <c r="R31" s="276"/>
      <c r="S31" s="276"/>
      <c r="T31" s="276"/>
      <c r="U31" s="276"/>
      <c r="V31" s="276"/>
      <c r="W31" s="276"/>
      <c r="X31" s="276"/>
      <c r="Y31" s="276"/>
      <c r="Z31" s="276"/>
    </row>
    <row r="32" spans="1:26" ht="18.75" customHeight="1">
      <c r="A32" s="276"/>
      <c r="B32" s="276"/>
      <c r="C32" s="276"/>
      <c r="D32" s="276"/>
      <c r="E32" s="276"/>
      <c r="F32" s="276"/>
      <c r="G32" s="276"/>
      <c r="H32" s="276"/>
      <c r="I32" s="276"/>
      <c r="J32" s="276"/>
      <c r="K32" s="276"/>
      <c r="L32" s="276"/>
      <c r="M32" s="276"/>
      <c r="N32" s="276"/>
      <c r="O32" s="276"/>
      <c r="P32" s="276"/>
      <c r="Q32" s="276"/>
      <c r="R32" s="276"/>
      <c r="S32" s="276"/>
      <c r="T32" s="276"/>
      <c r="U32" s="276"/>
      <c r="V32" s="276"/>
      <c r="W32" s="276"/>
      <c r="X32" s="276"/>
      <c r="Y32" s="276"/>
      <c r="Z32" s="276"/>
    </row>
    <row r="33" spans="1:26" ht="18.75" customHeight="1">
      <c r="A33" s="276"/>
      <c r="B33" s="276"/>
      <c r="C33" s="276"/>
      <c r="D33" s="276"/>
      <c r="E33" s="276"/>
      <c r="F33" s="276"/>
      <c r="G33" s="276"/>
      <c r="H33" s="276"/>
      <c r="I33" s="276"/>
      <c r="J33" s="276"/>
      <c r="K33" s="276"/>
      <c r="L33" s="276"/>
      <c r="M33" s="276"/>
      <c r="N33" s="276"/>
      <c r="O33" s="276"/>
      <c r="P33" s="276"/>
      <c r="Q33" s="276"/>
      <c r="R33" s="276"/>
      <c r="S33" s="276"/>
      <c r="T33" s="276"/>
      <c r="U33" s="276"/>
      <c r="V33" s="276"/>
      <c r="W33" s="276"/>
      <c r="X33" s="276"/>
      <c r="Y33" s="276"/>
      <c r="Z33" s="276"/>
    </row>
    <row r="34" spans="1:26" ht="18.75" customHeight="1">
      <c r="A34" s="276"/>
      <c r="B34" s="276"/>
      <c r="C34" s="276"/>
      <c r="D34" s="276"/>
      <c r="E34" s="276"/>
      <c r="F34" s="276"/>
      <c r="G34" s="276"/>
      <c r="H34" s="276"/>
      <c r="I34" s="276"/>
      <c r="J34" s="276"/>
      <c r="K34" s="276"/>
      <c r="L34" s="276"/>
      <c r="M34" s="276"/>
      <c r="N34" s="276"/>
      <c r="O34" s="276"/>
      <c r="P34" s="276"/>
      <c r="Q34" s="276"/>
      <c r="R34" s="276"/>
      <c r="S34" s="276"/>
      <c r="T34" s="276"/>
      <c r="U34" s="276"/>
      <c r="V34" s="276"/>
      <c r="W34" s="276"/>
      <c r="X34" s="276"/>
      <c r="Y34" s="276"/>
      <c r="Z34" s="276"/>
    </row>
    <row r="35" spans="1:26" ht="18.75" customHeight="1">
      <c r="A35" s="276"/>
      <c r="B35" s="276"/>
      <c r="C35" s="276"/>
      <c r="D35" s="276"/>
      <c r="E35" s="276"/>
      <c r="F35" s="276"/>
      <c r="G35" s="276"/>
      <c r="H35" s="276"/>
      <c r="I35" s="276"/>
      <c r="J35" s="276"/>
      <c r="K35" s="276"/>
      <c r="L35" s="276"/>
      <c r="M35" s="276"/>
      <c r="N35" s="276"/>
      <c r="O35" s="276"/>
      <c r="P35" s="276"/>
      <c r="Q35" s="276"/>
      <c r="R35" s="276"/>
      <c r="S35" s="276"/>
      <c r="T35" s="276"/>
      <c r="U35" s="276"/>
      <c r="V35" s="276"/>
      <c r="W35" s="276"/>
      <c r="X35" s="276"/>
      <c r="Y35" s="276"/>
      <c r="Z35" s="276"/>
    </row>
    <row r="36" spans="1:26" ht="18.75" customHeight="1">
      <c r="A36" s="276"/>
      <c r="B36" s="276"/>
      <c r="C36" s="276"/>
      <c r="D36" s="276"/>
      <c r="E36" s="276"/>
      <c r="F36" s="276"/>
      <c r="G36" s="276"/>
      <c r="H36" s="276"/>
      <c r="I36" s="276"/>
      <c r="J36" s="276"/>
      <c r="K36" s="276"/>
      <c r="L36" s="276"/>
      <c r="M36" s="276"/>
      <c r="N36" s="276"/>
      <c r="O36" s="276"/>
      <c r="P36" s="276"/>
      <c r="Q36" s="276"/>
      <c r="R36" s="276"/>
      <c r="S36" s="276"/>
      <c r="T36" s="276"/>
      <c r="U36" s="276"/>
      <c r="V36" s="276"/>
      <c r="W36" s="276"/>
      <c r="X36" s="276"/>
      <c r="Y36" s="276"/>
      <c r="Z36" s="276"/>
    </row>
    <row r="37" spans="1:26" ht="18.75" customHeight="1">
      <c r="A37" s="276"/>
      <c r="B37" s="276"/>
      <c r="C37" s="276"/>
      <c r="D37" s="276"/>
      <c r="E37" s="276"/>
      <c r="F37" s="276"/>
      <c r="G37" s="276"/>
      <c r="H37" s="276"/>
      <c r="I37" s="276"/>
      <c r="J37" s="276"/>
      <c r="K37" s="276"/>
      <c r="L37" s="276"/>
      <c r="M37" s="276"/>
      <c r="N37" s="276"/>
      <c r="O37" s="276"/>
      <c r="P37" s="276"/>
      <c r="Q37" s="276"/>
      <c r="R37" s="276"/>
      <c r="S37" s="276"/>
      <c r="T37" s="276"/>
      <c r="U37" s="276"/>
      <c r="V37" s="276"/>
      <c r="W37" s="276"/>
      <c r="X37" s="276"/>
      <c r="Y37" s="276"/>
      <c r="Z37" s="276"/>
    </row>
    <row r="38" spans="1:26" ht="18.75" customHeight="1">
      <c r="A38" s="276"/>
      <c r="B38" s="276"/>
      <c r="C38" s="276"/>
      <c r="D38" s="276"/>
      <c r="E38" s="276"/>
      <c r="F38" s="276"/>
      <c r="G38" s="276"/>
      <c r="H38" s="276"/>
      <c r="I38" s="276"/>
      <c r="J38" s="276"/>
      <c r="K38" s="276"/>
      <c r="L38" s="276"/>
      <c r="M38" s="276"/>
      <c r="N38" s="276"/>
      <c r="O38" s="276"/>
      <c r="P38" s="276"/>
      <c r="Q38" s="276"/>
      <c r="R38" s="276"/>
      <c r="S38" s="276"/>
      <c r="T38" s="276"/>
      <c r="U38" s="276"/>
      <c r="V38" s="276"/>
      <c r="W38" s="276"/>
      <c r="X38" s="276"/>
      <c r="Y38" s="276"/>
      <c r="Z38" s="276"/>
    </row>
    <row r="39" spans="1:26" ht="18.75" customHeight="1">
      <c r="A39" s="276"/>
      <c r="B39" s="276"/>
      <c r="C39" s="276"/>
      <c r="D39" s="276"/>
      <c r="E39" s="276"/>
      <c r="F39" s="276"/>
      <c r="G39" s="276"/>
      <c r="H39" s="276"/>
      <c r="I39" s="276"/>
      <c r="J39" s="276"/>
      <c r="K39" s="276"/>
      <c r="L39" s="276"/>
      <c r="M39" s="276"/>
      <c r="N39" s="276"/>
      <c r="O39" s="276"/>
      <c r="P39" s="276"/>
      <c r="Q39" s="276"/>
      <c r="R39" s="276"/>
      <c r="S39" s="276"/>
      <c r="T39" s="276"/>
      <c r="U39" s="276"/>
      <c r="V39" s="276"/>
      <c r="W39" s="276"/>
      <c r="X39" s="276"/>
      <c r="Y39" s="276"/>
      <c r="Z39" s="276"/>
    </row>
    <row r="40" spans="1:26" ht="18.75" customHeight="1">
      <c r="A40" s="276"/>
      <c r="B40" s="276"/>
      <c r="C40" s="276"/>
      <c r="D40" s="276"/>
      <c r="E40" s="276"/>
      <c r="F40" s="276"/>
      <c r="G40" s="276"/>
      <c r="H40" s="276"/>
      <c r="I40" s="276"/>
      <c r="J40" s="276"/>
      <c r="K40" s="276"/>
      <c r="L40" s="276"/>
      <c r="M40" s="276"/>
      <c r="N40" s="276"/>
      <c r="O40" s="276"/>
      <c r="P40" s="276"/>
      <c r="Q40" s="276"/>
      <c r="R40" s="276"/>
      <c r="S40" s="276"/>
      <c r="T40" s="276"/>
      <c r="U40" s="276"/>
      <c r="V40" s="276"/>
      <c r="W40" s="276"/>
      <c r="X40" s="276"/>
      <c r="Y40" s="276"/>
      <c r="Z40" s="276"/>
    </row>
    <row r="41" spans="1:26" ht="18.75" customHeight="1">
      <c r="A41" s="276"/>
      <c r="B41" s="276"/>
      <c r="C41" s="276"/>
      <c r="D41" s="276"/>
      <c r="E41" s="276"/>
      <c r="F41" s="276"/>
      <c r="G41" s="276"/>
      <c r="H41" s="276"/>
      <c r="I41" s="276"/>
      <c r="J41" s="276"/>
      <c r="K41" s="276"/>
      <c r="L41" s="276"/>
      <c r="M41" s="276"/>
      <c r="N41" s="276"/>
      <c r="O41" s="276"/>
      <c r="P41" s="276"/>
      <c r="Q41" s="276"/>
      <c r="R41" s="276"/>
      <c r="S41" s="276"/>
      <c r="T41" s="276"/>
      <c r="U41" s="276"/>
      <c r="V41" s="276"/>
      <c r="W41" s="276"/>
      <c r="X41" s="276"/>
      <c r="Y41" s="276"/>
      <c r="Z41" s="276"/>
    </row>
    <row r="42" spans="1:26" ht="18.75" customHeight="1">
      <c r="A42" s="276"/>
      <c r="B42" s="276"/>
      <c r="C42" s="276"/>
      <c r="D42" s="276"/>
      <c r="E42" s="276"/>
      <c r="F42" s="276"/>
      <c r="G42" s="276"/>
      <c r="H42" s="276"/>
      <c r="I42" s="276"/>
      <c r="J42" s="276"/>
      <c r="K42" s="276"/>
      <c r="L42" s="276"/>
      <c r="M42" s="276"/>
      <c r="N42" s="276"/>
      <c r="O42" s="276"/>
      <c r="P42" s="276"/>
      <c r="Q42" s="276"/>
      <c r="R42" s="276"/>
      <c r="S42" s="276"/>
      <c r="T42" s="276"/>
      <c r="U42" s="276"/>
      <c r="V42" s="276"/>
      <c r="W42" s="276"/>
      <c r="X42" s="276"/>
      <c r="Y42" s="276"/>
      <c r="Z42" s="276"/>
    </row>
    <row r="43" spans="1:26" ht="18.75" customHeight="1">
      <c r="A43" s="276"/>
      <c r="B43" s="276"/>
      <c r="C43" s="276"/>
      <c r="D43" s="276"/>
      <c r="E43" s="276"/>
      <c r="F43" s="276"/>
      <c r="G43" s="276"/>
      <c r="H43" s="276"/>
      <c r="I43" s="276"/>
      <c r="J43" s="276"/>
      <c r="K43" s="276"/>
      <c r="L43" s="276"/>
      <c r="M43" s="276"/>
      <c r="N43" s="276"/>
      <c r="O43" s="276"/>
      <c r="P43" s="276"/>
      <c r="Q43" s="276"/>
      <c r="R43" s="276"/>
      <c r="S43" s="276"/>
      <c r="T43" s="276"/>
      <c r="U43" s="276"/>
      <c r="V43" s="276"/>
      <c r="W43" s="276"/>
      <c r="X43" s="276"/>
      <c r="Y43" s="276"/>
      <c r="Z43" s="276"/>
    </row>
    <row r="44" spans="1:26" ht="18.75" customHeight="1">
      <c r="A44" s="276"/>
      <c r="B44" s="276"/>
      <c r="C44" s="276"/>
      <c r="D44" s="276"/>
      <c r="E44" s="276"/>
      <c r="F44" s="276"/>
      <c r="G44" s="276"/>
      <c r="H44" s="276"/>
      <c r="I44" s="276"/>
      <c r="J44" s="276"/>
      <c r="K44" s="276"/>
      <c r="L44" s="276"/>
      <c r="M44" s="276"/>
      <c r="N44" s="276"/>
      <c r="O44" s="276"/>
      <c r="P44" s="276"/>
      <c r="Q44" s="276"/>
      <c r="R44" s="276"/>
      <c r="S44" s="276"/>
      <c r="T44" s="276"/>
      <c r="U44" s="276"/>
      <c r="V44" s="276"/>
      <c r="W44" s="276"/>
      <c r="X44" s="276"/>
      <c r="Y44" s="276"/>
      <c r="Z44" s="276"/>
    </row>
    <row r="45" spans="1:26" ht="18.75" customHeight="1">
      <c r="A45" s="276"/>
      <c r="B45" s="276"/>
      <c r="C45" s="276"/>
      <c r="D45" s="276"/>
      <c r="E45" s="276"/>
      <c r="F45" s="276"/>
      <c r="G45" s="276"/>
      <c r="H45" s="276"/>
      <c r="I45" s="276"/>
      <c r="J45" s="276"/>
      <c r="K45" s="276"/>
      <c r="L45" s="276"/>
      <c r="M45" s="276"/>
      <c r="N45" s="276"/>
      <c r="O45" s="276"/>
      <c r="P45" s="276"/>
      <c r="Q45" s="276"/>
      <c r="R45" s="276"/>
      <c r="S45" s="276"/>
      <c r="T45" s="276"/>
      <c r="U45" s="276"/>
      <c r="V45" s="276"/>
      <c r="W45" s="276"/>
      <c r="X45" s="276"/>
      <c r="Y45" s="276"/>
      <c r="Z45" s="276"/>
    </row>
    <row r="46" spans="1:26" ht="18.75" customHeight="1">
      <c r="A46" s="276"/>
      <c r="B46" s="276"/>
      <c r="C46" s="276"/>
      <c r="D46" s="276"/>
      <c r="E46" s="276"/>
      <c r="F46" s="276"/>
      <c r="G46" s="276"/>
      <c r="H46" s="276"/>
      <c r="I46" s="276"/>
      <c r="J46" s="276"/>
      <c r="K46" s="276"/>
      <c r="L46" s="276"/>
      <c r="M46" s="276"/>
      <c r="N46" s="276"/>
      <c r="O46" s="276"/>
      <c r="P46" s="276"/>
      <c r="Q46" s="276"/>
      <c r="R46" s="276"/>
      <c r="S46" s="276"/>
      <c r="T46" s="276"/>
      <c r="U46" s="276"/>
      <c r="V46" s="276"/>
      <c r="W46" s="276"/>
      <c r="X46" s="276"/>
      <c r="Y46" s="276"/>
      <c r="Z46" s="276"/>
    </row>
    <row r="47" spans="1:26" ht="18.75" customHeight="1">
      <c r="A47" s="276"/>
      <c r="B47" s="276"/>
      <c r="C47" s="276"/>
      <c r="D47" s="276"/>
      <c r="E47" s="276"/>
      <c r="F47" s="276"/>
      <c r="G47" s="276"/>
      <c r="H47" s="276"/>
      <c r="I47" s="276"/>
      <c r="J47" s="276"/>
      <c r="K47" s="276"/>
      <c r="L47" s="276"/>
      <c r="M47" s="276"/>
      <c r="N47" s="276"/>
      <c r="O47" s="276"/>
      <c r="P47" s="276"/>
      <c r="Q47" s="276"/>
      <c r="R47" s="276"/>
      <c r="S47" s="276"/>
      <c r="T47" s="276"/>
      <c r="U47" s="276"/>
      <c r="V47" s="276"/>
      <c r="W47" s="276"/>
      <c r="X47" s="276"/>
      <c r="Y47" s="276"/>
      <c r="Z47" s="276"/>
    </row>
    <row r="48" spans="1:26" ht="18.75" customHeight="1">
      <c r="A48" s="276"/>
      <c r="B48" s="276"/>
      <c r="C48" s="276"/>
      <c r="D48" s="276"/>
      <c r="E48" s="276"/>
      <c r="F48" s="276"/>
      <c r="G48" s="276"/>
      <c r="H48" s="276"/>
      <c r="I48" s="276"/>
      <c r="J48" s="276"/>
      <c r="K48" s="276"/>
      <c r="L48" s="276"/>
      <c r="M48" s="276"/>
      <c r="N48" s="276"/>
      <c r="O48" s="276"/>
      <c r="P48" s="276"/>
      <c r="Q48" s="276"/>
      <c r="R48" s="276"/>
      <c r="S48" s="276"/>
      <c r="T48" s="276"/>
      <c r="U48" s="276"/>
      <c r="V48" s="276"/>
      <c r="W48" s="276"/>
      <c r="X48" s="276"/>
      <c r="Y48" s="276"/>
      <c r="Z48" s="276"/>
    </row>
    <row r="49" spans="1:26" ht="18.75" customHeight="1">
      <c r="A49" s="276"/>
      <c r="B49" s="276"/>
      <c r="C49" s="276"/>
      <c r="D49" s="276"/>
      <c r="E49" s="276"/>
      <c r="F49" s="276"/>
      <c r="G49" s="276"/>
      <c r="H49" s="276"/>
      <c r="I49" s="276"/>
      <c r="J49" s="276"/>
      <c r="K49" s="276"/>
      <c r="L49" s="276"/>
      <c r="M49" s="276"/>
      <c r="N49" s="276"/>
      <c r="O49" s="276"/>
      <c r="P49" s="276"/>
      <c r="Q49" s="276"/>
      <c r="R49" s="276"/>
      <c r="S49" s="276"/>
      <c r="T49" s="276"/>
      <c r="U49" s="276"/>
      <c r="V49" s="276"/>
      <c r="W49" s="276"/>
      <c r="X49" s="276"/>
      <c r="Y49" s="276"/>
      <c r="Z49" s="276"/>
    </row>
    <row r="50" spans="1:26" ht="18.75" customHeight="1">
      <c r="A50" s="276"/>
      <c r="B50" s="276"/>
      <c r="C50" s="276"/>
      <c r="D50" s="276"/>
      <c r="E50" s="276"/>
      <c r="F50" s="276"/>
      <c r="G50" s="276"/>
      <c r="H50" s="276"/>
      <c r="I50" s="276"/>
      <c r="J50" s="276"/>
      <c r="K50" s="276"/>
      <c r="L50" s="276"/>
      <c r="M50" s="276"/>
      <c r="N50" s="276"/>
      <c r="O50" s="276"/>
      <c r="P50" s="276"/>
      <c r="Q50" s="276"/>
      <c r="R50" s="276"/>
      <c r="S50" s="276"/>
      <c r="T50" s="276"/>
      <c r="U50" s="276"/>
      <c r="V50" s="276"/>
      <c r="W50" s="276"/>
      <c r="X50" s="276"/>
      <c r="Y50" s="276"/>
      <c r="Z50" s="276"/>
    </row>
    <row r="51" spans="1:26" ht="18.75" customHeight="1">
      <c r="A51" s="276"/>
      <c r="B51" s="276"/>
      <c r="C51" s="276"/>
      <c r="D51" s="276"/>
      <c r="E51" s="276"/>
      <c r="F51" s="276"/>
      <c r="G51" s="276"/>
      <c r="H51" s="276"/>
      <c r="I51" s="276"/>
      <c r="J51" s="276"/>
      <c r="K51" s="276"/>
      <c r="L51" s="276"/>
      <c r="M51" s="276"/>
      <c r="N51" s="276"/>
      <c r="O51" s="276"/>
      <c r="P51" s="276"/>
      <c r="Q51" s="276"/>
      <c r="R51" s="276"/>
      <c r="S51" s="276"/>
      <c r="T51" s="276"/>
      <c r="U51" s="276"/>
      <c r="V51" s="276"/>
      <c r="W51" s="276"/>
      <c r="X51" s="276"/>
      <c r="Y51" s="276"/>
      <c r="Z51" s="276"/>
    </row>
    <row r="52" spans="1:26" ht="18.75" customHeight="1">
      <c r="A52" s="276"/>
      <c r="B52" s="276"/>
      <c r="C52" s="276"/>
      <c r="D52" s="276"/>
      <c r="E52" s="276"/>
      <c r="F52" s="276"/>
      <c r="G52" s="276"/>
      <c r="H52" s="276"/>
      <c r="I52" s="276"/>
      <c r="J52" s="276"/>
      <c r="K52" s="276"/>
      <c r="L52" s="276"/>
      <c r="M52" s="276"/>
      <c r="N52" s="276"/>
      <c r="O52" s="276"/>
      <c r="P52" s="276"/>
      <c r="Q52" s="276"/>
      <c r="R52" s="276"/>
      <c r="S52" s="276"/>
      <c r="T52" s="276"/>
      <c r="U52" s="276"/>
      <c r="V52" s="276"/>
      <c r="W52" s="276"/>
      <c r="X52" s="276"/>
      <c r="Y52" s="276"/>
      <c r="Z52" s="276"/>
    </row>
    <row r="53" spans="1:26" ht="18.75" customHeight="1">
      <c r="A53" s="276"/>
      <c r="B53" s="276"/>
      <c r="C53" s="276"/>
      <c r="D53" s="276"/>
      <c r="E53" s="276"/>
      <c r="F53" s="276"/>
      <c r="G53" s="276"/>
      <c r="H53" s="276"/>
      <c r="I53" s="276"/>
      <c r="J53" s="276"/>
      <c r="K53" s="276"/>
      <c r="L53" s="276"/>
      <c r="M53" s="276"/>
      <c r="N53" s="276"/>
      <c r="O53" s="276"/>
      <c r="P53" s="276"/>
      <c r="Q53" s="276"/>
      <c r="R53" s="276"/>
      <c r="S53" s="276"/>
      <c r="T53" s="276"/>
      <c r="U53" s="276"/>
      <c r="V53" s="276"/>
      <c r="W53" s="276"/>
      <c r="X53" s="276"/>
      <c r="Y53" s="276"/>
      <c r="Z53" s="276"/>
    </row>
    <row r="54" spans="1:26" ht="18.75" customHeight="1">
      <c r="A54" s="276"/>
      <c r="B54" s="276"/>
      <c r="C54" s="276"/>
      <c r="D54" s="276"/>
      <c r="E54" s="276"/>
      <c r="F54" s="276"/>
      <c r="G54" s="276"/>
      <c r="H54" s="276"/>
      <c r="I54" s="276"/>
      <c r="J54" s="276"/>
      <c r="K54" s="276"/>
      <c r="L54" s="276"/>
      <c r="M54" s="276"/>
      <c r="N54" s="276"/>
      <c r="O54" s="276"/>
      <c r="P54" s="276"/>
      <c r="Q54" s="276"/>
      <c r="R54" s="276"/>
      <c r="S54" s="276"/>
      <c r="T54" s="276"/>
      <c r="U54" s="276"/>
      <c r="V54" s="276"/>
      <c r="W54" s="276"/>
      <c r="X54" s="276"/>
      <c r="Y54" s="276"/>
      <c r="Z54" s="276"/>
    </row>
    <row r="55" spans="1:26" ht="18.75" customHeight="1">
      <c r="A55" s="276"/>
      <c r="B55" s="276"/>
      <c r="C55" s="276"/>
      <c r="D55" s="276"/>
      <c r="E55" s="276"/>
      <c r="F55" s="276"/>
      <c r="G55" s="276"/>
      <c r="H55" s="276"/>
      <c r="I55" s="276"/>
      <c r="J55" s="276"/>
      <c r="K55" s="276"/>
      <c r="L55" s="276"/>
      <c r="M55" s="276"/>
      <c r="N55" s="276"/>
      <c r="O55" s="276"/>
      <c r="P55" s="276"/>
      <c r="Q55" s="276"/>
      <c r="R55" s="276"/>
      <c r="S55" s="276"/>
      <c r="T55" s="276"/>
      <c r="U55" s="276"/>
      <c r="V55" s="276"/>
      <c r="W55" s="276"/>
      <c r="X55" s="276"/>
      <c r="Y55" s="276"/>
      <c r="Z55" s="276"/>
    </row>
    <row r="56" spans="1:26" ht="18.75" customHeight="1">
      <c r="A56" s="276"/>
      <c r="B56" s="276"/>
      <c r="C56" s="276"/>
      <c r="D56" s="276"/>
      <c r="E56" s="276"/>
      <c r="F56" s="276"/>
      <c r="G56" s="276"/>
      <c r="H56" s="276"/>
      <c r="I56" s="276"/>
      <c r="J56" s="276"/>
      <c r="K56" s="276"/>
      <c r="L56" s="276"/>
      <c r="M56" s="276"/>
      <c r="N56" s="276"/>
      <c r="O56" s="276"/>
      <c r="P56" s="276"/>
      <c r="Q56" s="276"/>
      <c r="R56" s="276"/>
      <c r="S56" s="276"/>
      <c r="T56" s="276"/>
      <c r="U56" s="276"/>
      <c r="V56" s="276"/>
      <c r="W56" s="276"/>
      <c r="X56" s="276"/>
      <c r="Y56" s="276"/>
      <c r="Z56" s="276"/>
    </row>
    <row r="57" spans="1:26" ht="18.75" customHeight="1">
      <c r="A57" s="276"/>
      <c r="B57" s="276"/>
      <c r="C57" s="276"/>
      <c r="D57" s="276"/>
      <c r="E57" s="276"/>
      <c r="F57" s="276"/>
      <c r="G57" s="276"/>
      <c r="H57" s="276"/>
      <c r="I57" s="276"/>
      <c r="J57" s="276"/>
      <c r="K57" s="276"/>
      <c r="L57" s="276"/>
      <c r="M57" s="276"/>
      <c r="N57" s="276"/>
      <c r="O57" s="276"/>
      <c r="P57" s="276"/>
      <c r="Q57" s="276"/>
      <c r="R57" s="276"/>
      <c r="S57" s="276"/>
      <c r="T57" s="276"/>
      <c r="U57" s="276"/>
      <c r="V57" s="276"/>
      <c r="W57" s="276"/>
      <c r="X57" s="276"/>
      <c r="Y57" s="276"/>
      <c r="Z57" s="276"/>
    </row>
    <row r="58" spans="1:26" ht="18.75" customHeight="1">
      <c r="A58" s="276"/>
      <c r="B58" s="276"/>
      <c r="C58" s="276"/>
      <c r="D58" s="276"/>
      <c r="E58" s="276"/>
      <c r="F58" s="276"/>
      <c r="G58" s="276"/>
      <c r="H58" s="276"/>
      <c r="I58" s="276"/>
      <c r="J58" s="276"/>
      <c r="K58" s="276"/>
      <c r="L58" s="276"/>
      <c r="M58" s="276"/>
      <c r="N58" s="276"/>
      <c r="O58" s="276"/>
      <c r="P58" s="276"/>
      <c r="Q58" s="276"/>
      <c r="R58" s="276"/>
      <c r="S58" s="276"/>
      <c r="T58" s="276"/>
      <c r="U58" s="276"/>
      <c r="V58" s="276"/>
      <c r="W58" s="276"/>
      <c r="X58" s="276"/>
      <c r="Y58" s="276"/>
      <c r="Z58" s="276"/>
    </row>
    <row r="59" spans="1:26" ht="18.75" customHeight="1">
      <c r="A59" s="276"/>
      <c r="B59" s="276"/>
      <c r="C59" s="276"/>
      <c r="D59" s="276"/>
      <c r="E59" s="276"/>
      <c r="F59" s="276"/>
      <c r="G59" s="276"/>
      <c r="H59" s="276"/>
      <c r="I59" s="276"/>
      <c r="J59" s="276"/>
      <c r="K59" s="276"/>
      <c r="L59" s="276"/>
      <c r="M59" s="276"/>
      <c r="N59" s="276"/>
      <c r="O59" s="276"/>
      <c r="P59" s="276"/>
      <c r="Q59" s="276"/>
      <c r="R59" s="276"/>
      <c r="S59" s="276"/>
      <c r="T59" s="276"/>
      <c r="U59" s="276"/>
      <c r="V59" s="276"/>
      <c r="W59" s="276"/>
      <c r="X59" s="276"/>
      <c r="Y59" s="276"/>
      <c r="Z59" s="276"/>
    </row>
    <row r="60" spans="1:26" ht="18.75" customHeight="1">
      <c r="A60" s="276"/>
      <c r="B60" s="276"/>
      <c r="C60" s="276"/>
      <c r="D60" s="276"/>
      <c r="E60" s="276"/>
      <c r="F60" s="276"/>
      <c r="G60" s="276"/>
      <c r="H60" s="276"/>
      <c r="I60" s="276"/>
      <c r="J60" s="276"/>
      <c r="K60" s="276"/>
      <c r="L60" s="276"/>
      <c r="M60" s="276"/>
      <c r="N60" s="276"/>
      <c r="O60" s="276"/>
      <c r="P60" s="276"/>
      <c r="Q60" s="276"/>
      <c r="R60" s="276"/>
      <c r="S60" s="276"/>
      <c r="T60" s="276"/>
      <c r="U60" s="276"/>
      <c r="V60" s="276"/>
      <c r="W60" s="276"/>
      <c r="X60" s="276"/>
      <c r="Y60" s="276"/>
      <c r="Z60" s="276"/>
    </row>
    <row r="61" spans="1:26" ht="18.75" customHeight="1">
      <c r="A61" s="276"/>
      <c r="B61" s="276"/>
      <c r="C61" s="276"/>
      <c r="D61" s="276"/>
      <c r="E61" s="276"/>
      <c r="F61" s="276"/>
      <c r="G61" s="276"/>
      <c r="H61" s="276"/>
      <c r="I61" s="276"/>
      <c r="J61" s="276"/>
      <c r="K61" s="276"/>
      <c r="L61" s="276"/>
      <c r="M61" s="276"/>
      <c r="N61" s="276"/>
      <c r="O61" s="276"/>
      <c r="P61" s="276"/>
      <c r="Q61" s="276"/>
      <c r="R61" s="276"/>
      <c r="S61" s="276"/>
      <c r="T61" s="276"/>
      <c r="U61" s="276"/>
      <c r="V61" s="276"/>
      <c r="W61" s="276"/>
      <c r="X61" s="276"/>
      <c r="Y61" s="276"/>
      <c r="Z61" s="276"/>
    </row>
    <row r="62" spans="1:26" ht="18.75" customHeight="1">
      <c r="A62" s="276"/>
      <c r="B62" s="276"/>
      <c r="C62" s="276"/>
      <c r="D62" s="276"/>
      <c r="E62" s="276"/>
      <c r="F62" s="276"/>
      <c r="G62" s="276"/>
      <c r="H62" s="276"/>
      <c r="I62" s="276"/>
      <c r="J62" s="276"/>
      <c r="K62" s="276"/>
      <c r="L62" s="276"/>
      <c r="M62" s="276"/>
      <c r="N62" s="276"/>
      <c r="O62" s="276"/>
      <c r="P62" s="276"/>
      <c r="Q62" s="276"/>
      <c r="R62" s="276"/>
      <c r="S62" s="276"/>
      <c r="T62" s="276"/>
      <c r="U62" s="276"/>
      <c r="V62" s="276"/>
      <c r="W62" s="276"/>
      <c r="X62" s="276"/>
      <c r="Y62" s="276"/>
      <c r="Z62" s="276"/>
    </row>
    <row r="63" spans="1:26" ht="18.75" customHeight="1">
      <c r="A63" s="276"/>
      <c r="B63" s="276"/>
      <c r="C63" s="276"/>
      <c r="D63" s="276"/>
      <c r="E63" s="276"/>
      <c r="F63" s="276"/>
      <c r="G63" s="276"/>
      <c r="H63" s="276"/>
      <c r="I63" s="276"/>
      <c r="J63" s="276"/>
      <c r="K63" s="276"/>
      <c r="L63" s="276"/>
      <c r="M63" s="276"/>
      <c r="N63" s="276"/>
      <c r="O63" s="276"/>
      <c r="P63" s="276"/>
      <c r="Q63" s="276"/>
      <c r="R63" s="276"/>
      <c r="S63" s="276"/>
      <c r="T63" s="276"/>
      <c r="U63" s="276"/>
      <c r="V63" s="276"/>
      <c r="W63" s="276"/>
      <c r="X63" s="276"/>
      <c r="Y63" s="276"/>
      <c r="Z63" s="276"/>
    </row>
    <row r="64" spans="1:26" ht="18.75" customHeight="1">
      <c r="A64" s="276"/>
      <c r="B64" s="276"/>
      <c r="C64" s="276"/>
      <c r="D64" s="276"/>
      <c r="E64" s="276"/>
      <c r="F64" s="276"/>
      <c r="G64" s="276"/>
      <c r="H64" s="276"/>
      <c r="I64" s="276"/>
      <c r="J64" s="276"/>
      <c r="K64" s="276"/>
      <c r="L64" s="276"/>
      <c r="M64" s="276"/>
      <c r="N64" s="276"/>
      <c r="O64" s="276"/>
      <c r="P64" s="276"/>
      <c r="Q64" s="276"/>
      <c r="R64" s="276"/>
      <c r="S64" s="276"/>
      <c r="T64" s="276"/>
      <c r="U64" s="276"/>
      <c r="V64" s="276"/>
      <c r="W64" s="276"/>
      <c r="X64" s="276"/>
      <c r="Y64" s="276"/>
      <c r="Z64" s="276"/>
    </row>
    <row r="65" spans="1:26" ht="18.75" customHeight="1">
      <c r="A65" s="276"/>
      <c r="B65" s="276"/>
      <c r="C65" s="276"/>
      <c r="D65" s="276"/>
      <c r="E65" s="276"/>
      <c r="F65" s="276"/>
      <c r="G65" s="276"/>
      <c r="H65" s="276"/>
      <c r="I65" s="276"/>
      <c r="J65" s="276"/>
      <c r="K65" s="276"/>
      <c r="L65" s="276"/>
      <c r="M65" s="276"/>
      <c r="N65" s="276"/>
      <c r="O65" s="276"/>
      <c r="P65" s="276"/>
      <c r="Q65" s="276"/>
      <c r="R65" s="276"/>
      <c r="S65" s="276"/>
      <c r="T65" s="276"/>
      <c r="U65" s="276"/>
      <c r="V65" s="276"/>
      <c r="W65" s="276"/>
      <c r="X65" s="276"/>
      <c r="Y65" s="276"/>
      <c r="Z65" s="276"/>
    </row>
    <row r="66" spans="1:26" ht="18.75" customHeight="1">
      <c r="A66" s="276"/>
      <c r="B66" s="276"/>
      <c r="C66" s="276"/>
      <c r="D66" s="276"/>
      <c r="E66" s="276"/>
      <c r="F66" s="276"/>
      <c r="G66" s="276"/>
      <c r="H66" s="276"/>
      <c r="I66" s="276"/>
      <c r="J66" s="276"/>
      <c r="K66" s="276"/>
      <c r="L66" s="276"/>
      <c r="M66" s="276"/>
      <c r="N66" s="276"/>
      <c r="O66" s="276"/>
      <c r="P66" s="276"/>
      <c r="Q66" s="276"/>
      <c r="R66" s="276"/>
      <c r="S66" s="276"/>
      <c r="T66" s="276"/>
      <c r="U66" s="276"/>
      <c r="V66" s="276"/>
      <c r="W66" s="276"/>
      <c r="X66" s="276"/>
      <c r="Y66" s="276"/>
      <c r="Z66" s="276"/>
    </row>
    <row r="67" spans="1:26" ht="18.75" customHeight="1">
      <c r="A67" s="276"/>
      <c r="B67" s="276"/>
      <c r="C67" s="276"/>
      <c r="D67" s="276"/>
      <c r="E67" s="276"/>
      <c r="F67" s="276"/>
      <c r="G67" s="276"/>
      <c r="H67" s="276"/>
      <c r="I67" s="276"/>
      <c r="J67" s="276"/>
      <c r="K67" s="276"/>
      <c r="L67" s="276"/>
      <c r="M67" s="276"/>
      <c r="N67" s="276"/>
      <c r="O67" s="276"/>
      <c r="P67" s="276"/>
      <c r="Q67" s="276"/>
      <c r="R67" s="276"/>
      <c r="S67" s="276"/>
      <c r="T67" s="276"/>
      <c r="U67" s="276"/>
      <c r="V67" s="276"/>
      <c r="W67" s="276"/>
      <c r="X67" s="276"/>
      <c r="Y67" s="276"/>
      <c r="Z67" s="276"/>
    </row>
    <row r="68" spans="1:26" ht="18.75" customHeight="1">
      <c r="A68" s="276"/>
      <c r="B68" s="276"/>
      <c r="C68" s="276"/>
      <c r="D68" s="276"/>
      <c r="E68" s="276"/>
      <c r="F68" s="276"/>
      <c r="G68" s="276"/>
      <c r="H68" s="276"/>
      <c r="I68" s="276"/>
      <c r="J68" s="276"/>
      <c r="K68" s="276"/>
      <c r="L68" s="276"/>
      <c r="M68" s="276"/>
      <c r="N68" s="276"/>
      <c r="O68" s="276"/>
      <c r="P68" s="276"/>
      <c r="Q68" s="276"/>
      <c r="R68" s="276"/>
      <c r="S68" s="276"/>
      <c r="T68" s="276"/>
      <c r="U68" s="276"/>
      <c r="V68" s="276"/>
      <c r="W68" s="276"/>
      <c r="X68" s="276"/>
      <c r="Y68" s="276"/>
      <c r="Z68" s="276"/>
    </row>
    <row r="69" spans="1:26" ht="18.75" customHeight="1">
      <c r="A69" s="276"/>
      <c r="B69" s="276"/>
      <c r="C69" s="276"/>
      <c r="D69" s="276"/>
      <c r="E69" s="276"/>
      <c r="F69" s="276"/>
      <c r="G69" s="276"/>
      <c r="H69" s="276"/>
      <c r="I69" s="276"/>
      <c r="J69" s="276"/>
      <c r="K69" s="276"/>
      <c r="L69" s="276"/>
      <c r="M69" s="276"/>
      <c r="N69" s="276"/>
      <c r="O69" s="276"/>
      <c r="P69" s="276"/>
      <c r="Q69" s="276"/>
      <c r="R69" s="276"/>
      <c r="S69" s="276"/>
      <c r="T69" s="276"/>
      <c r="U69" s="276"/>
      <c r="V69" s="276"/>
      <c r="W69" s="276"/>
      <c r="X69" s="276"/>
      <c r="Y69" s="276"/>
      <c r="Z69" s="276"/>
    </row>
    <row r="70" spans="1:26" ht="18.75" customHeight="1">
      <c r="A70" s="276"/>
      <c r="B70" s="276"/>
      <c r="C70" s="276"/>
      <c r="D70" s="276"/>
      <c r="E70" s="276"/>
      <c r="F70" s="276"/>
      <c r="G70" s="276"/>
      <c r="H70" s="276"/>
      <c r="I70" s="276"/>
      <c r="J70" s="276"/>
      <c r="K70" s="276"/>
      <c r="L70" s="276"/>
      <c r="M70" s="276"/>
      <c r="N70" s="276"/>
      <c r="O70" s="276"/>
      <c r="P70" s="276"/>
      <c r="Q70" s="276"/>
      <c r="R70" s="276"/>
      <c r="S70" s="276"/>
      <c r="T70" s="276"/>
      <c r="U70" s="276"/>
      <c r="V70" s="276"/>
      <c r="W70" s="276"/>
      <c r="X70" s="276"/>
      <c r="Y70" s="276"/>
      <c r="Z70" s="276"/>
    </row>
    <row r="71" spans="1:26" ht="18.75" customHeight="1">
      <c r="A71" s="276"/>
      <c r="B71" s="276"/>
      <c r="C71" s="276"/>
      <c r="D71" s="276"/>
      <c r="E71" s="276"/>
      <c r="F71" s="276"/>
      <c r="G71" s="276"/>
      <c r="H71" s="276"/>
      <c r="I71" s="276"/>
      <c r="J71" s="276"/>
      <c r="K71" s="276"/>
      <c r="L71" s="276"/>
      <c r="M71" s="276"/>
      <c r="N71" s="276"/>
      <c r="O71" s="276"/>
      <c r="P71" s="276"/>
      <c r="Q71" s="276"/>
      <c r="R71" s="276"/>
      <c r="S71" s="276"/>
      <c r="T71" s="276"/>
      <c r="U71" s="276"/>
      <c r="V71" s="276"/>
      <c r="W71" s="276"/>
      <c r="X71" s="276"/>
      <c r="Y71" s="276"/>
      <c r="Z71" s="276"/>
    </row>
    <row r="72" spans="1:26" ht="18.75" customHeight="1">
      <c r="A72" s="276"/>
      <c r="B72" s="276"/>
      <c r="C72" s="276"/>
      <c r="D72" s="276"/>
      <c r="E72" s="276"/>
      <c r="F72" s="276"/>
      <c r="G72" s="276"/>
      <c r="H72" s="276"/>
      <c r="I72" s="276"/>
      <c r="J72" s="276"/>
      <c r="K72" s="276"/>
      <c r="L72" s="276"/>
      <c r="M72" s="276"/>
      <c r="N72" s="276"/>
      <c r="O72" s="276"/>
      <c r="P72" s="276"/>
      <c r="Q72" s="276"/>
      <c r="R72" s="276"/>
      <c r="S72" s="276"/>
      <c r="T72" s="276"/>
      <c r="U72" s="276"/>
      <c r="V72" s="276"/>
      <c r="W72" s="276"/>
      <c r="X72" s="276"/>
      <c r="Y72" s="276"/>
      <c r="Z72" s="276"/>
    </row>
    <row r="73" spans="1:26" ht="18.75" customHeight="1">
      <c r="A73" s="276"/>
      <c r="B73" s="276"/>
      <c r="C73" s="276"/>
      <c r="D73" s="276"/>
      <c r="E73" s="276"/>
      <c r="F73" s="276"/>
      <c r="G73" s="276"/>
      <c r="H73" s="276"/>
      <c r="I73" s="276"/>
      <c r="J73" s="276"/>
      <c r="K73" s="276"/>
      <c r="L73" s="276"/>
      <c r="M73" s="276"/>
      <c r="N73" s="276"/>
      <c r="O73" s="276"/>
      <c r="P73" s="276"/>
      <c r="Q73" s="276"/>
      <c r="R73" s="276"/>
      <c r="S73" s="276"/>
      <c r="T73" s="276"/>
      <c r="U73" s="276"/>
      <c r="V73" s="276"/>
      <c r="W73" s="276"/>
      <c r="X73" s="276"/>
      <c r="Y73" s="276"/>
      <c r="Z73" s="276"/>
    </row>
    <row r="74" spans="1:26" ht="18.75" customHeight="1">
      <c r="A74" s="276"/>
      <c r="B74" s="276"/>
      <c r="C74" s="276"/>
      <c r="D74" s="276"/>
      <c r="E74" s="276"/>
      <c r="F74" s="276"/>
      <c r="G74" s="276"/>
      <c r="H74" s="276"/>
      <c r="I74" s="276"/>
      <c r="J74" s="276"/>
      <c r="K74" s="276"/>
      <c r="L74" s="276"/>
      <c r="M74" s="276"/>
      <c r="N74" s="276"/>
      <c r="O74" s="276"/>
      <c r="P74" s="276"/>
      <c r="Q74" s="276"/>
      <c r="R74" s="276"/>
      <c r="S74" s="276"/>
      <c r="T74" s="276"/>
      <c r="U74" s="276"/>
      <c r="V74" s="276"/>
      <c r="W74" s="276"/>
      <c r="X74" s="276"/>
      <c r="Y74" s="276"/>
      <c r="Z74" s="276"/>
    </row>
    <row r="75" spans="1:26" ht="18.75" customHeight="1">
      <c r="A75" s="276"/>
      <c r="B75" s="276"/>
      <c r="C75" s="276"/>
      <c r="D75" s="276"/>
      <c r="E75" s="276"/>
      <c r="F75" s="276"/>
      <c r="G75" s="276"/>
      <c r="H75" s="276"/>
      <c r="I75" s="276"/>
      <c r="J75" s="276"/>
      <c r="K75" s="276"/>
      <c r="L75" s="276"/>
      <c r="M75" s="276"/>
      <c r="N75" s="276"/>
      <c r="O75" s="276"/>
      <c r="P75" s="276"/>
      <c r="Q75" s="276"/>
      <c r="R75" s="276"/>
      <c r="S75" s="276"/>
      <c r="T75" s="276"/>
      <c r="U75" s="276"/>
      <c r="V75" s="276"/>
      <c r="W75" s="276"/>
      <c r="X75" s="276"/>
      <c r="Y75" s="276"/>
      <c r="Z75" s="276"/>
    </row>
    <row r="76" spans="1:26" ht="18.75" customHeight="1">
      <c r="A76" s="276"/>
      <c r="B76" s="276"/>
      <c r="C76" s="276"/>
      <c r="D76" s="276"/>
      <c r="E76" s="276"/>
      <c r="F76" s="276"/>
      <c r="G76" s="276"/>
      <c r="H76" s="276"/>
      <c r="I76" s="276"/>
      <c r="J76" s="276"/>
      <c r="K76" s="276"/>
      <c r="L76" s="276"/>
      <c r="M76" s="276"/>
      <c r="N76" s="276"/>
      <c r="O76" s="276"/>
      <c r="P76" s="276"/>
      <c r="Q76" s="276"/>
      <c r="R76" s="276"/>
      <c r="S76" s="276"/>
      <c r="T76" s="276"/>
      <c r="U76" s="276"/>
      <c r="V76" s="276"/>
      <c r="W76" s="276"/>
      <c r="X76" s="276"/>
      <c r="Y76" s="276"/>
      <c r="Z76" s="276"/>
    </row>
    <row r="77" spans="1:26" ht="18.75" customHeight="1">
      <c r="A77" s="276"/>
      <c r="B77" s="276"/>
      <c r="C77" s="276"/>
      <c r="D77" s="276"/>
      <c r="E77" s="276"/>
      <c r="F77" s="276"/>
      <c r="G77" s="276"/>
      <c r="H77" s="276"/>
      <c r="I77" s="276"/>
      <c r="J77" s="276"/>
      <c r="K77" s="276"/>
      <c r="L77" s="276"/>
      <c r="M77" s="276"/>
      <c r="N77" s="276"/>
      <c r="O77" s="276"/>
      <c r="P77" s="276"/>
      <c r="Q77" s="276"/>
      <c r="R77" s="276"/>
      <c r="S77" s="276"/>
      <c r="T77" s="276"/>
      <c r="U77" s="276"/>
      <c r="V77" s="276"/>
      <c r="W77" s="276"/>
      <c r="X77" s="276"/>
      <c r="Y77" s="276"/>
      <c r="Z77" s="276"/>
    </row>
    <row r="78" spans="1:26" ht="18.75" customHeight="1">
      <c r="A78" s="276"/>
      <c r="B78" s="276"/>
      <c r="C78" s="276"/>
      <c r="D78" s="276"/>
      <c r="E78" s="276"/>
      <c r="F78" s="276"/>
      <c r="G78" s="276"/>
      <c r="H78" s="276"/>
      <c r="I78" s="276"/>
      <c r="J78" s="276"/>
      <c r="K78" s="276"/>
      <c r="L78" s="276"/>
      <c r="M78" s="276"/>
      <c r="N78" s="276"/>
      <c r="O78" s="276"/>
      <c r="P78" s="276"/>
      <c r="Q78" s="276"/>
      <c r="R78" s="276"/>
      <c r="S78" s="276"/>
      <c r="T78" s="276"/>
      <c r="U78" s="276"/>
      <c r="V78" s="276"/>
      <c r="W78" s="276"/>
      <c r="X78" s="276"/>
      <c r="Y78" s="276"/>
      <c r="Z78" s="276"/>
    </row>
    <row r="79" spans="1:26" ht="18.75" customHeight="1">
      <c r="A79" s="276"/>
      <c r="B79" s="276"/>
      <c r="C79" s="276"/>
      <c r="D79" s="276"/>
      <c r="E79" s="276"/>
      <c r="F79" s="276"/>
      <c r="G79" s="276"/>
      <c r="H79" s="276"/>
      <c r="I79" s="276"/>
      <c r="J79" s="276"/>
      <c r="K79" s="276"/>
      <c r="L79" s="276"/>
      <c r="M79" s="276"/>
      <c r="N79" s="276"/>
      <c r="O79" s="276"/>
      <c r="P79" s="276"/>
      <c r="Q79" s="276"/>
      <c r="R79" s="276"/>
      <c r="S79" s="276"/>
      <c r="T79" s="276"/>
      <c r="U79" s="276"/>
      <c r="V79" s="276"/>
      <c r="W79" s="276"/>
      <c r="X79" s="276"/>
      <c r="Y79" s="276"/>
      <c r="Z79" s="276"/>
    </row>
    <row r="80" spans="1:26" ht="18.75" customHeight="1">
      <c r="A80" s="276"/>
      <c r="B80" s="276"/>
      <c r="C80" s="276"/>
      <c r="D80" s="276"/>
      <c r="E80" s="276"/>
      <c r="F80" s="276"/>
      <c r="G80" s="276"/>
      <c r="H80" s="276"/>
      <c r="I80" s="276"/>
      <c r="J80" s="276"/>
      <c r="K80" s="276"/>
      <c r="L80" s="276"/>
      <c r="M80" s="276"/>
      <c r="N80" s="276"/>
      <c r="O80" s="276"/>
      <c r="P80" s="276"/>
      <c r="Q80" s="276"/>
      <c r="R80" s="276"/>
      <c r="S80" s="276"/>
      <c r="T80" s="276"/>
      <c r="U80" s="276"/>
      <c r="V80" s="276"/>
      <c r="W80" s="276"/>
      <c r="X80" s="276"/>
      <c r="Y80" s="276"/>
      <c r="Z80" s="276"/>
    </row>
    <row r="81" spans="1:26" ht="18.75" customHeight="1">
      <c r="A81" s="276"/>
      <c r="B81" s="276"/>
      <c r="C81" s="276"/>
      <c r="D81" s="276"/>
      <c r="E81" s="276"/>
      <c r="F81" s="276"/>
      <c r="G81" s="276"/>
      <c r="H81" s="276"/>
      <c r="I81" s="276"/>
      <c r="J81" s="276"/>
      <c r="K81" s="276"/>
      <c r="L81" s="276"/>
      <c r="M81" s="276"/>
      <c r="N81" s="276"/>
      <c r="O81" s="276"/>
      <c r="P81" s="276"/>
      <c r="Q81" s="276"/>
      <c r="R81" s="276"/>
      <c r="S81" s="276"/>
      <c r="T81" s="276"/>
      <c r="U81" s="276"/>
      <c r="V81" s="276"/>
      <c r="W81" s="276"/>
      <c r="X81" s="276"/>
      <c r="Y81" s="276"/>
      <c r="Z81" s="276"/>
    </row>
    <row r="82" spans="1:26" ht="18.75" customHeight="1">
      <c r="A82" s="276"/>
      <c r="B82" s="276"/>
      <c r="C82" s="276"/>
      <c r="D82" s="276"/>
      <c r="E82" s="276"/>
      <c r="F82" s="276"/>
      <c r="G82" s="276"/>
      <c r="H82" s="276"/>
      <c r="I82" s="276"/>
      <c r="J82" s="276"/>
      <c r="K82" s="276"/>
      <c r="L82" s="276"/>
      <c r="M82" s="276"/>
      <c r="N82" s="276"/>
      <c r="O82" s="276"/>
      <c r="P82" s="276"/>
      <c r="Q82" s="276"/>
      <c r="R82" s="276"/>
      <c r="S82" s="276"/>
      <c r="T82" s="276"/>
      <c r="U82" s="276"/>
      <c r="V82" s="276"/>
      <c r="W82" s="276"/>
      <c r="X82" s="276"/>
      <c r="Y82" s="276"/>
      <c r="Z82" s="276"/>
    </row>
    <row r="83" spans="1:26" ht="18.75" customHeight="1">
      <c r="A83" s="276"/>
      <c r="B83" s="276"/>
      <c r="C83" s="276"/>
      <c r="D83" s="276"/>
      <c r="E83" s="276"/>
      <c r="F83" s="276"/>
      <c r="G83" s="276"/>
      <c r="H83" s="276"/>
      <c r="I83" s="276"/>
      <c r="J83" s="276"/>
      <c r="K83" s="276"/>
      <c r="L83" s="276"/>
      <c r="M83" s="276"/>
      <c r="N83" s="276"/>
      <c r="O83" s="276"/>
      <c r="P83" s="276"/>
      <c r="Q83" s="276"/>
      <c r="R83" s="276"/>
      <c r="S83" s="276"/>
      <c r="T83" s="276"/>
      <c r="U83" s="276"/>
      <c r="V83" s="276"/>
      <c r="W83" s="276"/>
      <c r="X83" s="276"/>
      <c r="Y83" s="276"/>
      <c r="Z83" s="276"/>
    </row>
    <row r="84" spans="1:26" ht="18.75" customHeight="1">
      <c r="A84" s="276"/>
      <c r="B84" s="276"/>
      <c r="C84" s="276"/>
      <c r="D84" s="276"/>
      <c r="E84" s="276"/>
      <c r="F84" s="276"/>
      <c r="G84" s="276"/>
      <c r="H84" s="276"/>
      <c r="I84" s="276"/>
      <c r="J84" s="276"/>
      <c r="K84" s="276"/>
      <c r="L84" s="276"/>
      <c r="M84" s="276"/>
      <c r="N84" s="276"/>
      <c r="O84" s="276"/>
      <c r="P84" s="276"/>
      <c r="Q84" s="276"/>
      <c r="R84" s="276"/>
      <c r="S84" s="276"/>
      <c r="T84" s="276"/>
      <c r="U84" s="276"/>
      <c r="V84" s="276"/>
      <c r="W84" s="276"/>
      <c r="X84" s="276"/>
      <c r="Y84" s="276"/>
      <c r="Z84" s="276"/>
    </row>
    <row r="85" spans="1:26" ht="18.75" customHeight="1">
      <c r="A85" s="276"/>
      <c r="B85" s="276"/>
      <c r="C85" s="276"/>
      <c r="D85" s="276"/>
      <c r="E85" s="276"/>
      <c r="F85" s="276"/>
      <c r="G85" s="276"/>
      <c r="H85" s="276"/>
      <c r="I85" s="276"/>
      <c r="J85" s="276"/>
      <c r="K85" s="276"/>
      <c r="L85" s="276"/>
      <c r="M85" s="276"/>
      <c r="N85" s="276"/>
      <c r="O85" s="276"/>
      <c r="P85" s="276"/>
      <c r="Q85" s="276"/>
      <c r="R85" s="276"/>
      <c r="S85" s="276"/>
      <c r="T85" s="276"/>
      <c r="U85" s="276"/>
      <c r="V85" s="276"/>
      <c r="W85" s="276"/>
      <c r="X85" s="276"/>
      <c r="Y85" s="276"/>
      <c r="Z85" s="276"/>
    </row>
    <row r="86" spans="1:26" ht="18.75" customHeight="1">
      <c r="A86" s="276"/>
      <c r="B86" s="276"/>
      <c r="C86" s="276"/>
      <c r="D86" s="276"/>
      <c r="E86" s="276"/>
      <c r="F86" s="276"/>
      <c r="G86" s="276"/>
      <c r="H86" s="276"/>
      <c r="I86" s="276"/>
      <c r="J86" s="276"/>
      <c r="K86" s="276"/>
      <c r="L86" s="276"/>
      <c r="M86" s="276"/>
      <c r="N86" s="276"/>
      <c r="O86" s="276"/>
      <c r="P86" s="276"/>
      <c r="Q86" s="276"/>
      <c r="R86" s="276"/>
      <c r="S86" s="276"/>
      <c r="T86" s="276"/>
      <c r="U86" s="276"/>
      <c r="V86" s="276"/>
      <c r="W86" s="276"/>
      <c r="X86" s="276"/>
      <c r="Y86" s="276"/>
      <c r="Z86" s="276"/>
    </row>
    <row r="87" spans="1:26" ht="18.75" customHeight="1">
      <c r="A87" s="276"/>
      <c r="B87" s="276"/>
      <c r="C87" s="276"/>
      <c r="D87" s="276"/>
      <c r="E87" s="276"/>
      <c r="F87" s="276"/>
      <c r="G87" s="276"/>
      <c r="H87" s="276"/>
      <c r="I87" s="276"/>
      <c r="J87" s="276"/>
      <c r="K87" s="276"/>
      <c r="L87" s="276"/>
      <c r="M87" s="276"/>
      <c r="N87" s="276"/>
      <c r="O87" s="276"/>
      <c r="P87" s="276"/>
      <c r="Q87" s="276"/>
      <c r="R87" s="276"/>
      <c r="S87" s="276"/>
      <c r="T87" s="276"/>
      <c r="U87" s="276"/>
      <c r="V87" s="276"/>
      <c r="W87" s="276"/>
      <c r="X87" s="276"/>
      <c r="Y87" s="276"/>
      <c r="Z87" s="276"/>
    </row>
    <row r="88" spans="1:26" ht="18.75" customHeight="1">
      <c r="A88" s="276"/>
      <c r="B88" s="276"/>
      <c r="C88" s="276"/>
      <c r="D88" s="276"/>
      <c r="E88" s="276"/>
      <c r="F88" s="276"/>
      <c r="G88" s="276"/>
      <c r="H88" s="276"/>
      <c r="I88" s="276"/>
      <c r="J88" s="276"/>
      <c r="K88" s="276"/>
      <c r="L88" s="276"/>
      <c r="M88" s="276"/>
      <c r="N88" s="276"/>
      <c r="O88" s="276"/>
      <c r="P88" s="276"/>
      <c r="Q88" s="276"/>
      <c r="R88" s="276"/>
      <c r="S88" s="276"/>
      <c r="T88" s="276"/>
      <c r="U88" s="276"/>
      <c r="V88" s="276"/>
      <c r="W88" s="276"/>
      <c r="X88" s="276"/>
      <c r="Y88" s="276"/>
      <c r="Z88" s="276"/>
    </row>
    <row r="89" spans="1:26" ht="18.75" customHeight="1">
      <c r="A89" s="276"/>
      <c r="B89" s="276"/>
      <c r="C89" s="276"/>
      <c r="D89" s="276"/>
      <c r="E89" s="276"/>
      <c r="F89" s="276"/>
      <c r="G89" s="276"/>
      <c r="H89" s="276"/>
      <c r="I89" s="276"/>
      <c r="J89" s="276"/>
      <c r="K89" s="276"/>
      <c r="L89" s="276"/>
      <c r="M89" s="276"/>
      <c r="N89" s="276"/>
      <c r="O89" s="276"/>
      <c r="P89" s="276"/>
      <c r="Q89" s="276"/>
      <c r="R89" s="276"/>
      <c r="S89" s="276"/>
      <c r="T89" s="276"/>
      <c r="U89" s="276"/>
      <c r="V89" s="276"/>
      <c r="W89" s="276"/>
      <c r="X89" s="276"/>
      <c r="Y89" s="276"/>
      <c r="Z89" s="276"/>
    </row>
    <row r="90" spans="1:26" ht="18.75" customHeight="1">
      <c r="A90" s="276"/>
      <c r="B90" s="276"/>
      <c r="C90" s="276"/>
      <c r="D90" s="276"/>
      <c r="E90" s="276"/>
      <c r="F90" s="276"/>
      <c r="G90" s="276"/>
      <c r="H90" s="276"/>
      <c r="I90" s="276"/>
      <c r="J90" s="276"/>
      <c r="K90" s="276"/>
      <c r="L90" s="276"/>
      <c r="M90" s="276"/>
      <c r="N90" s="276"/>
      <c r="O90" s="276"/>
      <c r="P90" s="276"/>
      <c r="Q90" s="276"/>
      <c r="R90" s="276"/>
      <c r="S90" s="276"/>
      <c r="T90" s="276"/>
      <c r="U90" s="276"/>
      <c r="V90" s="276"/>
      <c r="W90" s="276"/>
      <c r="X90" s="276"/>
      <c r="Y90" s="276"/>
      <c r="Z90" s="276"/>
    </row>
    <row r="91" spans="1:26" ht="18.75" customHeight="1">
      <c r="A91" s="276"/>
      <c r="B91" s="276"/>
      <c r="C91" s="276"/>
      <c r="D91" s="276"/>
      <c r="E91" s="276"/>
      <c r="F91" s="276"/>
      <c r="G91" s="276"/>
      <c r="H91" s="276"/>
      <c r="I91" s="276"/>
      <c r="J91" s="276"/>
      <c r="K91" s="276"/>
      <c r="L91" s="276"/>
      <c r="M91" s="276"/>
      <c r="N91" s="276"/>
      <c r="O91" s="276"/>
      <c r="P91" s="276"/>
      <c r="Q91" s="276"/>
      <c r="R91" s="276"/>
      <c r="S91" s="276"/>
      <c r="T91" s="276"/>
      <c r="U91" s="276"/>
      <c r="V91" s="276"/>
      <c r="W91" s="276"/>
      <c r="X91" s="276"/>
      <c r="Y91" s="276"/>
      <c r="Z91" s="276"/>
    </row>
    <row r="92" spans="1:26" ht="18.75" customHeight="1">
      <c r="A92" s="276"/>
      <c r="B92" s="276"/>
      <c r="C92" s="276"/>
      <c r="D92" s="276"/>
      <c r="E92" s="276"/>
      <c r="F92" s="276"/>
      <c r="G92" s="276"/>
      <c r="H92" s="276"/>
      <c r="I92" s="276"/>
      <c r="J92" s="276"/>
      <c r="K92" s="276"/>
      <c r="L92" s="276"/>
      <c r="M92" s="276"/>
      <c r="N92" s="276"/>
      <c r="O92" s="276"/>
      <c r="P92" s="276"/>
      <c r="Q92" s="276"/>
      <c r="R92" s="276"/>
      <c r="S92" s="276"/>
      <c r="T92" s="276"/>
      <c r="U92" s="276"/>
      <c r="V92" s="276"/>
      <c r="W92" s="276"/>
      <c r="X92" s="276"/>
      <c r="Y92" s="276"/>
      <c r="Z92" s="276"/>
    </row>
    <row r="93" spans="1:26" ht="18.75" customHeight="1">
      <c r="A93" s="276"/>
      <c r="B93" s="276"/>
      <c r="C93" s="276"/>
      <c r="D93" s="276"/>
      <c r="E93" s="276"/>
      <c r="F93" s="276"/>
      <c r="G93" s="276"/>
      <c r="H93" s="276"/>
      <c r="I93" s="276"/>
      <c r="J93" s="276"/>
      <c r="K93" s="276"/>
      <c r="L93" s="276"/>
      <c r="M93" s="276"/>
      <c r="N93" s="276"/>
      <c r="O93" s="276"/>
      <c r="P93" s="276"/>
      <c r="Q93" s="276"/>
      <c r="R93" s="276"/>
      <c r="S93" s="276"/>
      <c r="T93" s="276"/>
      <c r="U93" s="276"/>
      <c r="V93" s="276"/>
      <c r="W93" s="276"/>
      <c r="X93" s="276"/>
      <c r="Y93" s="276"/>
      <c r="Z93" s="276"/>
    </row>
    <row r="94" spans="1:26" ht="18.75" customHeight="1">
      <c r="A94" s="276"/>
      <c r="B94" s="276"/>
      <c r="C94" s="276"/>
      <c r="D94" s="276"/>
      <c r="E94" s="276"/>
      <c r="F94" s="276"/>
      <c r="G94" s="276"/>
      <c r="H94" s="276"/>
      <c r="I94" s="276"/>
      <c r="J94" s="276"/>
      <c r="K94" s="276"/>
      <c r="L94" s="276"/>
      <c r="M94" s="276"/>
      <c r="N94" s="276"/>
      <c r="O94" s="276"/>
      <c r="P94" s="276"/>
      <c r="Q94" s="276"/>
      <c r="R94" s="276"/>
      <c r="S94" s="276"/>
      <c r="T94" s="276"/>
      <c r="U94" s="276"/>
      <c r="V94" s="276"/>
      <c r="W94" s="276"/>
      <c r="X94" s="276"/>
      <c r="Y94" s="276"/>
      <c r="Z94" s="276"/>
    </row>
    <row r="95" spans="1:26" ht="18.75" customHeight="1">
      <c r="A95" s="276"/>
      <c r="B95" s="276"/>
      <c r="C95" s="276"/>
      <c r="D95" s="276"/>
      <c r="E95" s="276"/>
      <c r="F95" s="276"/>
      <c r="G95" s="276"/>
      <c r="H95" s="276"/>
      <c r="I95" s="276"/>
      <c r="J95" s="276"/>
      <c r="K95" s="276"/>
      <c r="L95" s="276"/>
      <c r="M95" s="276"/>
      <c r="N95" s="276"/>
      <c r="O95" s="276"/>
      <c r="P95" s="276"/>
      <c r="Q95" s="276"/>
      <c r="R95" s="276"/>
      <c r="S95" s="276"/>
      <c r="T95" s="276"/>
      <c r="U95" s="276"/>
      <c r="V95" s="276"/>
      <c r="W95" s="276"/>
      <c r="X95" s="276"/>
      <c r="Y95" s="276"/>
      <c r="Z95" s="276"/>
    </row>
    <row r="96" spans="1:26" ht="18.75" customHeight="1">
      <c r="A96" s="276"/>
      <c r="B96" s="276"/>
      <c r="C96" s="276"/>
      <c r="D96" s="276"/>
      <c r="E96" s="276"/>
      <c r="F96" s="276"/>
      <c r="G96" s="276"/>
      <c r="H96" s="276"/>
      <c r="I96" s="276"/>
      <c r="J96" s="276"/>
      <c r="K96" s="276"/>
      <c r="L96" s="276"/>
      <c r="M96" s="276"/>
      <c r="N96" s="276"/>
      <c r="O96" s="276"/>
      <c r="P96" s="276"/>
      <c r="Q96" s="276"/>
      <c r="R96" s="276"/>
      <c r="S96" s="276"/>
      <c r="T96" s="276"/>
      <c r="U96" s="276"/>
      <c r="V96" s="276"/>
      <c r="W96" s="276"/>
      <c r="X96" s="276"/>
      <c r="Y96" s="276"/>
      <c r="Z96" s="276"/>
    </row>
    <row r="97" spans="1:26" ht="18.75" customHeight="1">
      <c r="A97" s="276"/>
      <c r="B97" s="276"/>
      <c r="C97" s="276"/>
      <c r="D97" s="276"/>
      <c r="E97" s="276"/>
      <c r="F97" s="276"/>
      <c r="G97" s="276"/>
      <c r="H97" s="276"/>
      <c r="I97" s="276"/>
      <c r="J97" s="276"/>
      <c r="K97" s="276"/>
      <c r="L97" s="276"/>
      <c r="M97" s="276"/>
      <c r="N97" s="276"/>
      <c r="O97" s="276"/>
      <c r="P97" s="276"/>
      <c r="Q97" s="276"/>
      <c r="R97" s="276"/>
      <c r="S97" s="276"/>
      <c r="T97" s="276"/>
      <c r="U97" s="276"/>
      <c r="V97" s="276"/>
      <c r="W97" s="276"/>
      <c r="X97" s="276"/>
      <c r="Y97" s="276"/>
      <c r="Z97" s="276"/>
    </row>
    <row r="98" spans="1:26" ht="18.75" customHeight="1">
      <c r="A98" s="276"/>
      <c r="B98" s="276"/>
      <c r="C98" s="276"/>
      <c r="D98" s="276"/>
      <c r="E98" s="276"/>
      <c r="F98" s="276"/>
      <c r="G98" s="276"/>
      <c r="H98" s="276"/>
      <c r="I98" s="276"/>
      <c r="J98" s="276"/>
      <c r="K98" s="276"/>
      <c r="L98" s="276"/>
      <c r="M98" s="276"/>
      <c r="N98" s="276"/>
      <c r="O98" s="276"/>
      <c r="P98" s="276"/>
      <c r="Q98" s="276"/>
      <c r="R98" s="276"/>
      <c r="S98" s="276"/>
      <c r="T98" s="276"/>
      <c r="U98" s="276"/>
      <c r="V98" s="276"/>
      <c r="W98" s="276"/>
      <c r="X98" s="276"/>
      <c r="Y98" s="276"/>
      <c r="Z98" s="276"/>
    </row>
    <row r="99" spans="1:26" ht="18.75" customHeight="1">
      <c r="A99" s="276"/>
      <c r="B99" s="276"/>
      <c r="C99" s="276"/>
      <c r="D99" s="276"/>
      <c r="E99" s="276"/>
      <c r="F99" s="276"/>
      <c r="G99" s="276"/>
      <c r="H99" s="276"/>
      <c r="I99" s="276"/>
      <c r="J99" s="276"/>
      <c r="K99" s="276"/>
      <c r="L99" s="276"/>
      <c r="M99" s="276"/>
      <c r="N99" s="276"/>
      <c r="O99" s="276"/>
      <c r="P99" s="276"/>
      <c r="Q99" s="276"/>
      <c r="R99" s="276"/>
      <c r="S99" s="276"/>
      <c r="T99" s="276"/>
      <c r="U99" s="276"/>
      <c r="V99" s="276"/>
      <c r="W99" s="276"/>
      <c r="X99" s="276"/>
      <c r="Y99" s="276"/>
      <c r="Z99" s="276"/>
    </row>
    <row r="100" spans="1:26" ht="18.75" customHeight="1">
      <c r="A100" s="276"/>
      <c r="B100" s="276"/>
      <c r="C100" s="276"/>
      <c r="D100" s="276"/>
      <c r="E100" s="276"/>
      <c r="F100" s="276"/>
      <c r="G100" s="276"/>
      <c r="H100" s="276"/>
      <c r="I100" s="276"/>
      <c r="J100" s="276"/>
      <c r="K100" s="276"/>
      <c r="L100" s="276"/>
      <c r="M100" s="276"/>
      <c r="N100" s="276"/>
      <c r="O100" s="276"/>
      <c r="P100" s="276"/>
      <c r="Q100" s="276"/>
      <c r="R100" s="276"/>
      <c r="S100" s="276"/>
      <c r="T100" s="276"/>
      <c r="U100" s="276"/>
      <c r="V100" s="276"/>
      <c r="W100" s="276"/>
      <c r="X100" s="276"/>
      <c r="Y100" s="276"/>
      <c r="Z100" s="276"/>
    </row>
    <row r="101" spans="1:26" ht="18.75" customHeight="1">
      <c r="A101" s="276"/>
      <c r="B101" s="276"/>
      <c r="C101" s="276"/>
      <c r="D101" s="276"/>
      <c r="E101" s="276"/>
      <c r="F101" s="276"/>
      <c r="G101" s="276"/>
      <c r="H101" s="276"/>
      <c r="I101" s="276"/>
      <c r="J101" s="276"/>
      <c r="K101" s="276"/>
      <c r="L101" s="276"/>
      <c r="M101" s="276"/>
      <c r="N101" s="276"/>
      <c r="O101" s="276"/>
      <c r="P101" s="276"/>
      <c r="Q101" s="276"/>
      <c r="R101" s="276"/>
      <c r="S101" s="276"/>
      <c r="T101" s="276"/>
      <c r="U101" s="276"/>
      <c r="V101" s="276"/>
      <c r="W101" s="276"/>
      <c r="X101" s="276"/>
      <c r="Y101" s="276"/>
      <c r="Z101" s="276"/>
    </row>
    <row r="102" spans="1:26" ht="18.75" customHeight="1">
      <c r="A102" s="276"/>
      <c r="B102" s="276"/>
      <c r="C102" s="276"/>
      <c r="D102" s="276"/>
      <c r="E102" s="276"/>
      <c r="F102" s="276"/>
      <c r="G102" s="276"/>
      <c r="H102" s="276"/>
      <c r="I102" s="276"/>
      <c r="J102" s="276"/>
      <c r="K102" s="276"/>
      <c r="L102" s="276"/>
      <c r="M102" s="276"/>
      <c r="N102" s="276"/>
      <c r="O102" s="276"/>
      <c r="P102" s="276"/>
      <c r="Q102" s="276"/>
      <c r="R102" s="276"/>
      <c r="S102" s="276"/>
      <c r="T102" s="276"/>
      <c r="U102" s="276"/>
      <c r="V102" s="276"/>
      <c r="W102" s="276"/>
      <c r="X102" s="276"/>
      <c r="Y102" s="276"/>
      <c r="Z102" s="276"/>
    </row>
    <row r="103" spans="1:26" ht="18.75" customHeight="1">
      <c r="A103" s="276"/>
      <c r="B103" s="276"/>
      <c r="C103" s="276"/>
      <c r="D103" s="276"/>
      <c r="E103" s="276"/>
      <c r="F103" s="276"/>
      <c r="G103" s="276"/>
      <c r="H103" s="276"/>
      <c r="I103" s="276"/>
      <c r="J103" s="276"/>
      <c r="K103" s="276"/>
      <c r="L103" s="276"/>
      <c r="M103" s="276"/>
      <c r="N103" s="276"/>
      <c r="O103" s="276"/>
      <c r="P103" s="276"/>
      <c r="Q103" s="276"/>
      <c r="R103" s="276"/>
      <c r="S103" s="276"/>
      <c r="T103" s="276"/>
      <c r="U103" s="276"/>
      <c r="V103" s="276"/>
      <c r="W103" s="276"/>
      <c r="X103" s="276"/>
      <c r="Y103" s="276"/>
      <c r="Z103" s="276"/>
    </row>
    <row r="104" spans="1:26" ht="18.75" customHeight="1">
      <c r="A104" s="276"/>
      <c r="B104" s="276"/>
      <c r="C104" s="276"/>
      <c r="D104" s="276"/>
      <c r="E104" s="276"/>
      <c r="F104" s="276"/>
      <c r="G104" s="276"/>
      <c r="H104" s="276"/>
      <c r="I104" s="276"/>
      <c r="J104" s="276"/>
      <c r="K104" s="276"/>
      <c r="L104" s="276"/>
      <c r="M104" s="276"/>
      <c r="N104" s="276"/>
      <c r="O104" s="276"/>
      <c r="P104" s="276"/>
      <c r="Q104" s="276"/>
      <c r="R104" s="276"/>
      <c r="S104" s="276"/>
      <c r="T104" s="276"/>
      <c r="U104" s="276"/>
      <c r="V104" s="276"/>
      <c r="W104" s="276"/>
      <c r="X104" s="276"/>
      <c r="Y104" s="276"/>
      <c r="Z104" s="276"/>
    </row>
    <row r="105" spans="1:26" ht="18.75" customHeight="1">
      <c r="A105" s="276"/>
      <c r="B105" s="276"/>
      <c r="C105" s="276"/>
      <c r="D105" s="276"/>
      <c r="E105" s="276"/>
      <c r="F105" s="276"/>
      <c r="G105" s="276"/>
      <c r="H105" s="276"/>
      <c r="I105" s="276"/>
      <c r="J105" s="276"/>
      <c r="K105" s="276"/>
      <c r="L105" s="276"/>
      <c r="M105" s="276"/>
      <c r="N105" s="276"/>
      <c r="O105" s="276"/>
      <c r="P105" s="276"/>
      <c r="Q105" s="276"/>
      <c r="R105" s="276"/>
      <c r="S105" s="276"/>
      <c r="T105" s="276"/>
      <c r="U105" s="276"/>
      <c r="V105" s="276"/>
      <c r="W105" s="276"/>
      <c r="X105" s="276"/>
      <c r="Y105" s="276"/>
      <c r="Z105" s="276"/>
    </row>
    <row r="106" spans="1:26" ht="18.75" customHeight="1">
      <c r="A106" s="276"/>
      <c r="B106" s="276"/>
      <c r="C106" s="276"/>
      <c r="D106" s="276"/>
      <c r="E106" s="276"/>
      <c r="F106" s="276"/>
      <c r="G106" s="276"/>
      <c r="H106" s="276"/>
      <c r="I106" s="276"/>
      <c r="J106" s="276"/>
      <c r="K106" s="276"/>
      <c r="L106" s="276"/>
      <c r="M106" s="276"/>
      <c r="N106" s="276"/>
      <c r="O106" s="276"/>
      <c r="P106" s="276"/>
      <c r="Q106" s="276"/>
      <c r="R106" s="276"/>
      <c r="S106" s="276"/>
      <c r="T106" s="276"/>
      <c r="U106" s="276"/>
      <c r="V106" s="276"/>
      <c r="W106" s="276"/>
      <c r="X106" s="276"/>
      <c r="Y106" s="276"/>
      <c r="Z106" s="276"/>
    </row>
    <row r="107" spans="1:26" ht="18.75" customHeight="1">
      <c r="A107" s="276"/>
      <c r="B107" s="276"/>
      <c r="C107" s="276"/>
      <c r="D107" s="276"/>
      <c r="E107" s="276"/>
      <c r="F107" s="276"/>
      <c r="G107" s="276"/>
      <c r="H107" s="276"/>
      <c r="I107" s="276"/>
      <c r="J107" s="276"/>
      <c r="K107" s="276"/>
      <c r="L107" s="276"/>
      <c r="M107" s="276"/>
      <c r="N107" s="276"/>
      <c r="O107" s="276"/>
      <c r="P107" s="276"/>
      <c r="Q107" s="276"/>
      <c r="R107" s="276"/>
      <c r="S107" s="276"/>
      <c r="T107" s="276"/>
      <c r="U107" s="276"/>
      <c r="V107" s="276"/>
      <c r="W107" s="276"/>
      <c r="X107" s="276"/>
      <c r="Y107" s="276"/>
      <c r="Z107" s="276"/>
    </row>
    <row r="108" spans="1:26" ht="18.75" customHeight="1">
      <c r="A108" s="276"/>
      <c r="B108" s="276"/>
      <c r="C108" s="276"/>
      <c r="D108" s="276"/>
      <c r="E108" s="276"/>
      <c r="F108" s="276"/>
      <c r="G108" s="276"/>
      <c r="H108" s="276"/>
      <c r="I108" s="276"/>
      <c r="J108" s="276"/>
      <c r="K108" s="276"/>
      <c r="L108" s="276"/>
      <c r="M108" s="276"/>
      <c r="N108" s="276"/>
      <c r="O108" s="276"/>
      <c r="P108" s="276"/>
      <c r="Q108" s="276"/>
      <c r="R108" s="276"/>
      <c r="S108" s="276"/>
      <c r="T108" s="276"/>
      <c r="U108" s="276"/>
      <c r="V108" s="276"/>
      <c r="W108" s="276"/>
      <c r="X108" s="276"/>
      <c r="Y108" s="276"/>
      <c r="Z108" s="276"/>
    </row>
    <row r="109" spans="1:26" ht="18.75" customHeight="1">
      <c r="A109" s="276"/>
      <c r="B109" s="276"/>
      <c r="C109" s="276"/>
      <c r="D109" s="276"/>
      <c r="E109" s="276"/>
      <c r="F109" s="276"/>
      <c r="G109" s="276"/>
      <c r="H109" s="276"/>
      <c r="I109" s="276"/>
      <c r="J109" s="276"/>
      <c r="K109" s="276"/>
      <c r="L109" s="276"/>
      <c r="M109" s="276"/>
      <c r="N109" s="276"/>
      <c r="O109" s="276"/>
      <c r="P109" s="276"/>
      <c r="Q109" s="276"/>
      <c r="R109" s="276"/>
      <c r="S109" s="276"/>
      <c r="T109" s="276"/>
      <c r="U109" s="276"/>
      <c r="V109" s="276"/>
      <c r="W109" s="276"/>
      <c r="X109" s="276"/>
      <c r="Y109" s="276"/>
      <c r="Z109" s="276"/>
    </row>
    <row r="110" spans="1:26" ht="18.75" customHeight="1">
      <c r="A110" s="276"/>
      <c r="B110" s="276"/>
      <c r="C110" s="276"/>
      <c r="D110" s="276"/>
      <c r="E110" s="276"/>
      <c r="F110" s="276"/>
      <c r="G110" s="276"/>
      <c r="H110" s="276"/>
      <c r="I110" s="276"/>
      <c r="J110" s="276"/>
      <c r="K110" s="276"/>
      <c r="L110" s="276"/>
      <c r="M110" s="276"/>
      <c r="N110" s="276"/>
      <c r="O110" s="276"/>
      <c r="P110" s="276"/>
      <c r="Q110" s="276"/>
      <c r="R110" s="276"/>
      <c r="S110" s="276"/>
      <c r="T110" s="276"/>
      <c r="U110" s="276"/>
      <c r="V110" s="276"/>
      <c r="W110" s="276"/>
      <c r="X110" s="276"/>
      <c r="Y110" s="276"/>
      <c r="Z110" s="276"/>
    </row>
    <row r="111" spans="1:26" ht="18.75" customHeight="1">
      <c r="A111" s="276"/>
      <c r="B111" s="276"/>
      <c r="C111" s="276"/>
      <c r="D111" s="276"/>
      <c r="E111" s="276"/>
      <c r="F111" s="276"/>
      <c r="G111" s="276"/>
      <c r="H111" s="276"/>
      <c r="I111" s="276"/>
      <c r="J111" s="276"/>
      <c r="K111" s="276"/>
      <c r="L111" s="276"/>
      <c r="M111" s="276"/>
      <c r="N111" s="276"/>
      <c r="O111" s="276"/>
      <c r="P111" s="276"/>
      <c r="Q111" s="276"/>
      <c r="R111" s="276"/>
      <c r="S111" s="276"/>
      <c r="T111" s="276"/>
      <c r="U111" s="276"/>
      <c r="V111" s="276"/>
      <c r="W111" s="276"/>
      <c r="X111" s="276"/>
      <c r="Y111" s="276"/>
      <c r="Z111" s="276"/>
    </row>
    <row r="112" spans="1:26" ht="18.75" customHeight="1">
      <c r="A112" s="276"/>
      <c r="B112" s="276"/>
      <c r="C112" s="276"/>
      <c r="D112" s="276"/>
      <c r="E112" s="276"/>
      <c r="F112" s="276"/>
      <c r="G112" s="276"/>
      <c r="H112" s="276"/>
      <c r="I112" s="276"/>
      <c r="J112" s="276"/>
      <c r="K112" s="276"/>
      <c r="L112" s="276"/>
      <c r="M112" s="276"/>
      <c r="N112" s="276"/>
      <c r="O112" s="276"/>
      <c r="P112" s="276"/>
      <c r="Q112" s="276"/>
      <c r="R112" s="276"/>
      <c r="S112" s="276"/>
      <c r="T112" s="276"/>
      <c r="U112" s="276"/>
      <c r="V112" s="276"/>
      <c r="W112" s="276"/>
      <c r="X112" s="276"/>
      <c r="Y112" s="276"/>
      <c r="Z112" s="276"/>
    </row>
    <row r="113" spans="1:26" ht="18.75" customHeight="1">
      <c r="A113" s="276"/>
      <c r="B113" s="276"/>
      <c r="C113" s="276"/>
      <c r="D113" s="276"/>
      <c r="E113" s="276"/>
      <c r="F113" s="276"/>
      <c r="G113" s="276"/>
      <c r="H113" s="276"/>
      <c r="I113" s="276"/>
      <c r="J113" s="276"/>
      <c r="K113" s="276"/>
      <c r="L113" s="276"/>
      <c r="M113" s="276"/>
      <c r="N113" s="276"/>
      <c r="O113" s="276"/>
      <c r="P113" s="276"/>
      <c r="Q113" s="276"/>
      <c r="R113" s="276"/>
      <c r="S113" s="276"/>
      <c r="T113" s="276"/>
      <c r="U113" s="276"/>
      <c r="V113" s="276"/>
      <c r="W113" s="276"/>
      <c r="X113" s="276"/>
      <c r="Y113" s="276"/>
      <c r="Z113" s="276"/>
    </row>
    <row r="114" spans="1:26" ht="18.75" customHeight="1">
      <c r="A114" s="276"/>
      <c r="B114" s="276"/>
      <c r="C114" s="276"/>
      <c r="D114" s="276"/>
      <c r="E114" s="276"/>
      <c r="F114" s="276"/>
      <c r="G114" s="276"/>
      <c r="H114" s="276"/>
      <c r="I114" s="276"/>
      <c r="J114" s="276"/>
      <c r="K114" s="276"/>
      <c r="L114" s="276"/>
      <c r="M114" s="276"/>
      <c r="N114" s="276"/>
      <c r="O114" s="276"/>
      <c r="P114" s="276"/>
      <c r="Q114" s="276"/>
      <c r="R114" s="276"/>
      <c r="S114" s="276"/>
      <c r="T114" s="276"/>
      <c r="U114" s="276"/>
      <c r="V114" s="276"/>
      <c r="W114" s="276"/>
      <c r="X114" s="276"/>
      <c r="Y114" s="276"/>
      <c r="Z114" s="276"/>
    </row>
    <row r="115" spans="1:26" ht="18.75" customHeight="1">
      <c r="A115" s="276"/>
      <c r="B115" s="276"/>
      <c r="C115" s="276"/>
      <c r="D115" s="276"/>
      <c r="E115" s="276"/>
      <c r="F115" s="276"/>
      <c r="G115" s="276"/>
      <c r="H115" s="276"/>
      <c r="I115" s="276"/>
      <c r="J115" s="276"/>
      <c r="K115" s="276"/>
      <c r="L115" s="276"/>
      <c r="M115" s="276"/>
      <c r="N115" s="276"/>
      <c r="O115" s="276"/>
      <c r="P115" s="276"/>
      <c r="Q115" s="276"/>
      <c r="R115" s="276"/>
      <c r="S115" s="276"/>
      <c r="T115" s="276"/>
      <c r="U115" s="276"/>
      <c r="V115" s="276"/>
      <c r="W115" s="276"/>
      <c r="X115" s="276"/>
      <c r="Y115" s="276"/>
      <c r="Z115" s="276"/>
    </row>
    <row r="116" spans="1:26" ht="18.75" customHeight="1">
      <c r="A116" s="276"/>
      <c r="B116" s="276"/>
      <c r="C116" s="276"/>
      <c r="D116" s="276"/>
      <c r="E116" s="276"/>
      <c r="F116" s="276"/>
      <c r="G116" s="276"/>
      <c r="H116" s="276"/>
      <c r="I116" s="276"/>
      <c r="J116" s="276"/>
      <c r="K116" s="276"/>
      <c r="L116" s="276"/>
      <c r="M116" s="276"/>
      <c r="N116" s="276"/>
      <c r="O116" s="276"/>
      <c r="P116" s="276"/>
      <c r="Q116" s="276"/>
      <c r="R116" s="276"/>
      <c r="S116" s="276"/>
      <c r="T116" s="276"/>
      <c r="U116" s="276"/>
      <c r="V116" s="276"/>
      <c r="W116" s="276"/>
      <c r="X116" s="276"/>
      <c r="Y116" s="276"/>
      <c r="Z116" s="276"/>
    </row>
    <row r="117" spans="1:26" ht="18.75" customHeight="1">
      <c r="A117" s="276"/>
      <c r="B117" s="276"/>
      <c r="C117" s="276"/>
      <c r="D117" s="276"/>
      <c r="E117" s="276"/>
      <c r="F117" s="276"/>
      <c r="G117" s="276"/>
      <c r="H117" s="276"/>
      <c r="I117" s="276"/>
      <c r="J117" s="276"/>
      <c r="K117" s="276"/>
      <c r="L117" s="276"/>
      <c r="M117" s="276"/>
      <c r="N117" s="276"/>
      <c r="O117" s="276"/>
      <c r="P117" s="276"/>
      <c r="Q117" s="276"/>
      <c r="R117" s="276"/>
      <c r="S117" s="276"/>
      <c r="T117" s="276"/>
      <c r="U117" s="276"/>
      <c r="V117" s="276"/>
      <c r="W117" s="276"/>
      <c r="X117" s="276"/>
      <c r="Y117" s="276"/>
      <c r="Z117" s="276"/>
    </row>
    <row r="118" spans="1:26" ht="18.75" customHeight="1">
      <c r="A118" s="276"/>
      <c r="B118" s="276"/>
      <c r="C118" s="276"/>
      <c r="D118" s="276"/>
      <c r="E118" s="276"/>
      <c r="F118" s="276"/>
      <c r="G118" s="276"/>
      <c r="H118" s="276"/>
      <c r="I118" s="276"/>
      <c r="J118" s="276"/>
      <c r="K118" s="276"/>
      <c r="L118" s="276"/>
      <c r="M118" s="276"/>
      <c r="N118" s="276"/>
      <c r="O118" s="276"/>
      <c r="P118" s="276"/>
      <c r="Q118" s="276"/>
      <c r="R118" s="276"/>
      <c r="S118" s="276"/>
      <c r="T118" s="276"/>
      <c r="U118" s="276"/>
      <c r="V118" s="276"/>
      <c r="W118" s="276"/>
      <c r="X118" s="276"/>
      <c r="Y118" s="276"/>
      <c r="Z118" s="276"/>
    </row>
    <row r="119" spans="1:26" ht="18.75" customHeight="1">
      <c r="A119" s="276"/>
      <c r="B119" s="276"/>
      <c r="C119" s="276"/>
      <c r="D119" s="276"/>
      <c r="E119" s="276"/>
      <c r="F119" s="276"/>
      <c r="G119" s="276"/>
      <c r="H119" s="276"/>
      <c r="I119" s="276"/>
      <c r="J119" s="276"/>
      <c r="K119" s="276"/>
      <c r="L119" s="276"/>
      <c r="M119" s="276"/>
      <c r="N119" s="276"/>
      <c r="O119" s="276"/>
      <c r="P119" s="276"/>
      <c r="Q119" s="276"/>
      <c r="R119" s="276"/>
      <c r="S119" s="276"/>
      <c r="T119" s="276"/>
      <c r="U119" s="276"/>
      <c r="V119" s="276"/>
      <c r="W119" s="276"/>
      <c r="X119" s="276"/>
      <c r="Y119" s="276"/>
      <c r="Z119" s="276"/>
    </row>
    <row r="120" spans="1:26" ht="18.75" customHeight="1">
      <c r="A120" s="276"/>
      <c r="B120" s="276"/>
      <c r="C120" s="276"/>
      <c r="D120" s="276"/>
      <c r="E120" s="276"/>
      <c r="F120" s="276"/>
      <c r="G120" s="276"/>
      <c r="H120" s="276"/>
      <c r="I120" s="276"/>
      <c r="J120" s="276"/>
      <c r="K120" s="276"/>
      <c r="L120" s="276"/>
      <c r="M120" s="276"/>
      <c r="N120" s="276"/>
      <c r="O120" s="276"/>
      <c r="P120" s="276"/>
      <c r="Q120" s="276"/>
      <c r="R120" s="276"/>
      <c r="S120" s="276"/>
      <c r="T120" s="276"/>
      <c r="U120" s="276"/>
      <c r="V120" s="276"/>
      <c r="W120" s="276"/>
      <c r="X120" s="276"/>
      <c r="Y120" s="276"/>
      <c r="Z120" s="276"/>
    </row>
    <row r="121" spans="1:26" ht="18.75" customHeight="1">
      <c r="A121" s="276"/>
      <c r="B121" s="276"/>
      <c r="C121" s="276"/>
      <c r="D121" s="276"/>
      <c r="E121" s="276"/>
      <c r="F121" s="276"/>
      <c r="G121" s="276"/>
      <c r="H121" s="276"/>
      <c r="I121" s="276"/>
      <c r="J121" s="276"/>
      <c r="K121" s="276"/>
      <c r="L121" s="276"/>
      <c r="M121" s="276"/>
      <c r="N121" s="276"/>
      <c r="O121" s="276"/>
      <c r="P121" s="276"/>
      <c r="Q121" s="276"/>
      <c r="R121" s="276"/>
      <c r="S121" s="276"/>
      <c r="T121" s="276"/>
      <c r="U121" s="276"/>
      <c r="V121" s="276"/>
      <c r="W121" s="276"/>
      <c r="X121" s="276"/>
      <c r="Y121" s="276"/>
      <c r="Z121" s="276"/>
    </row>
    <row r="122" spans="1:26" ht="18.75" customHeight="1">
      <c r="A122" s="276"/>
      <c r="B122" s="276"/>
      <c r="C122" s="276"/>
      <c r="D122" s="276"/>
      <c r="E122" s="276"/>
      <c r="F122" s="276"/>
      <c r="G122" s="276"/>
      <c r="H122" s="276"/>
      <c r="I122" s="276"/>
      <c r="J122" s="276"/>
      <c r="K122" s="276"/>
      <c r="L122" s="276"/>
      <c r="M122" s="276"/>
      <c r="N122" s="276"/>
      <c r="O122" s="276"/>
      <c r="P122" s="276"/>
      <c r="Q122" s="276"/>
      <c r="R122" s="276"/>
      <c r="S122" s="276"/>
      <c r="T122" s="276"/>
      <c r="U122" s="276"/>
      <c r="V122" s="276"/>
      <c r="W122" s="276"/>
      <c r="X122" s="276"/>
      <c r="Y122" s="276"/>
      <c r="Z122" s="276"/>
    </row>
    <row r="123" spans="1:26" ht="18.75" customHeight="1">
      <c r="A123" s="276"/>
      <c r="B123" s="276"/>
      <c r="C123" s="276"/>
      <c r="D123" s="276"/>
      <c r="E123" s="276"/>
      <c r="F123" s="276"/>
      <c r="G123" s="276"/>
      <c r="H123" s="276"/>
      <c r="I123" s="276"/>
      <c r="J123" s="276"/>
      <c r="K123" s="276"/>
      <c r="L123" s="276"/>
      <c r="M123" s="276"/>
      <c r="N123" s="276"/>
      <c r="O123" s="276"/>
      <c r="P123" s="276"/>
      <c r="Q123" s="276"/>
      <c r="R123" s="276"/>
      <c r="S123" s="276"/>
      <c r="T123" s="276"/>
      <c r="U123" s="276"/>
      <c r="V123" s="276"/>
      <c r="W123" s="276"/>
      <c r="X123" s="276"/>
      <c r="Y123" s="276"/>
      <c r="Z123" s="276"/>
    </row>
    <row r="124" spans="1:26" ht="18.75" customHeight="1">
      <c r="A124" s="276"/>
      <c r="B124" s="276"/>
      <c r="C124" s="276"/>
      <c r="D124" s="276"/>
      <c r="E124" s="276"/>
      <c r="F124" s="276"/>
      <c r="G124" s="276"/>
      <c r="H124" s="276"/>
      <c r="I124" s="276"/>
      <c r="J124" s="276"/>
      <c r="K124" s="276"/>
      <c r="L124" s="276"/>
      <c r="M124" s="276"/>
      <c r="N124" s="276"/>
      <c r="O124" s="276"/>
      <c r="P124" s="276"/>
      <c r="Q124" s="276"/>
      <c r="R124" s="276"/>
      <c r="S124" s="276"/>
      <c r="T124" s="276"/>
      <c r="U124" s="276"/>
      <c r="V124" s="276"/>
      <c r="W124" s="276"/>
      <c r="X124" s="276"/>
      <c r="Y124" s="276"/>
      <c r="Z124" s="276"/>
    </row>
    <row r="125" spans="1:26" ht="18.75" customHeight="1">
      <c r="A125" s="276"/>
      <c r="B125" s="276"/>
      <c r="C125" s="276"/>
      <c r="D125" s="276"/>
      <c r="E125" s="276"/>
      <c r="F125" s="276"/>
      <c r="G125" s="276"/>
      <c r="H125" s="276"/>
      <c r="I125" s="276"/>
      <c r="J125" s="276"/>
      <c r="K125" s="276"/>
      <c r="L125" s="276"/>
      <c r="M125" s="276"/>
      <c r="N125" s="276"/>
      <c r="O125" s="276"/>
      <c r="P125" s="276"/>
      <c r="Q125" s="276"/>
      <c r="R125" s="276"/>
      <c r="S125" s="276"/>
      <c r="T125" s="276"/>
      <c r="U125" s="276"/>
      <c r="V125" s="276"/>
      <c r="W125" s="276"/>
      <c r="X125" s="276"/>
      <c r="Y125" s="276"/>
      <c r="Z125" s="276"/>
    </row>
    <row r="126" spans="1:26" ht="18.75" customHeight="1">
      <c r="A126" s="276"/>
      <c r="B126" s="276"/>
      <c r="C126" s="276"/>
      <c r="D126" s="276"/>
      <c r="E126" s="276"/>
      <c r="F126" s="276"/>
      <c r="G126" s="276"/>
      <c r="H126" s="276"/>
      <c r="I126" s="276"/>
      <c r="J126" s="276"/>
      <c r="K126" s="276"/>
      <c r="L126" s="276"/>
      <c r="M126" s="276"/>
      <c r="N126" s="276"/>
      <c r="O126" s="276"/>
      <c r="P126" s="276"/>
      <c r="Q126" s="276"/>
      <c r="R126" s="276"/>
      <c r="S126" s="276"/>
      <c r="T126" s="276"/>
      <c r="U126" s="276"/>
      <c r="V126" s="276"/>
      <c r="W126" s="276"/>
      <c r="X126" s="276"/>
      <c r="Y126" s="276"/>
      <c r="Z126" s="276"/>
    </row>
    <row r="127" spans="1:26" ht="18.75" customHeight="1">
      <c r="A127" s="276"/>
      <c r="B127" s="276"/>
      <c r="C127" s="276"/>
      <c r="D127" s="276"/>
      <c r="E127" s="276"/>
      <c r="F127" s="276"/>
      <c r="G127" s="276"/>
      <c r="H127" s="276"/>
      <c r="I127" s="276"/>
      <c r="J127" s="276"/>
      <c r="K127" s="276"/>
      <c r="L127" s="276"/>
      <c r="M127" s="276"/>
      <c r="N127" s="276"/>
      <c r="O127" s="276"/>
      <c r="P127" s="276"/>
      <c r="Q127" s="276"/>
      <c r="R127" s="276"/>
      <c r="S127" s="276"/>
      <c r="T127" s="276"/>
      <c r="U127" s="276"/>
      <c r="V127" s="276"/>
      <c r="W127" s="276"/>
      <c r="X127" s="276"/>
      <c r="Y127" s="276"/>
      <c r="Z127" s="276"/>
    </row>
    <row r="128" spans="1:26" ht="18.75" customHeight="1">
      <c r="A128" s="276"/>
      <c r="B128" s="276"/>
      <c r="C128" s="276"/>
      <c r="D128" s="276"/>
      <c r="E128" s="276"/>
      <c r="F128" s="276"/>
      <c r="G128" s="276"/>
      <c r="H128" s="276"/>
      <c r="I128" s="276"/>
      <c r="J128" s="276"/>
      <c r="K128" s="276"/>
      <c r="L128" s="276"/>
      <c r="M128" s="276"/>
      <c r="N128" s="276"/>
      <c r="O128" s="276"/>
      <c r="P128" s="276"/>
      <c r="Q128" s="276"/>
      <c r="R128" s="276"/>
      <c r="S128" s="276"/>
      <c r="T128" s="276"/>
      <c r="U128" s="276"/>
      <c r="V128" s="276"/>
      <c r="W128" s="276"/>
      <c r="X128" s="276"/>
      <c r="Y128" s="276"/>
      <c r="Z128" s="276"/>
    </row>
    <row r="129" spans="1:26" ht="18.75" customHeight="1">
      <c r="A129" s="276"/>
      <c r="B129" s="276"/>
      <c r="C129" s="276"/>
      <c r="D129" s="276"/>
      <c r="E129" s="276"/>
      <c r="F129" s="276"/>
      <c r="G129" s="276"/>
      <c r="H129" s="276"/>
      <c r="I129" s="276"/>
      <c r="J129" s="276"/>
      <c r="K129" s="276"/>
      <c r="L129" s="276"/>
      <c r="M129" s="276"/>
      <c r="N129" s="276"/>
      <c r="O129" s="276"/>
      <c r="P129" s="276"/>
      <c r="Q129" s="276"/>
      <c r="R129" s="276"/>
      <c r="S129" s="276"/>
      <c r="T129" s="276"/>
      <c r="U129" s="276"/>
      <c r="V129" s="276"/>
      <c r="W129" s="276"/>
      <c r="X129" s="276"/>
      <c r="Y129" s="276"/>
      <c r="Z129" s="276"/>
    </row>
    <row r="130" spans="1:26" ht="18.75" customHeight="1">
      <c r="A130" s="276"/>
      <c r="B130" s="276"/>
      <c r="C130" s="276"/>
      <c r="D130" s="276"/>
      <c r="E130" s="276"/>
      <c r="F130" s="276"/>
      <c r="G130" s="276"/>
      <c r="H130" s="276"/>
      <c r="I130" s="276"/>
      <c r="J130" s="276"/>
      <c r="K130" s="276"/>
      <c r="L130" s="276"/>
      <c r="M130" s="276"/>
      <c r="N130" s="276"/>
      <c r="O130" s="276"/>
      <c r="P130" s="276"/>
      <c r="Q130" s="276"/>
      <c r="R130" s="276"/>
      <c r="S130" s="276"/>
      <c r="T130" s="276"/>
      <c r="U130" s="276"/>
      <c r="V130" s="276"/>
      <c r="W130" s="276"/>
      <c r="X130" s="276"/>
      <c r="Y130" s="276"/>
      <c r="Z130" s="276"/>
    </row>
    <row r="131" spans="1:26" ht="18.75" customHeight="1">
      <c r="A131" s="276"/>
      <c r="B131" s="276"/>
      <c r="C131" s="276"/>
      <c r="D131" s="276"/>
      <c r="E131" s="276"/>
      <c r="F131" s="276"/>
      <c r="G131" s="276"/>
      <c r="H131" s="276"/>
      <c r="I131" s="276"/>
      <c r="J131" s="276"/>
      <c r="K131" s="276"/>
      <c r="L131" s="276"/>
      <c r="M131" s="276"/>
      <c r="N131" s="276"/>
      <c r="O131" s="276"/>
      <c r="P131" s="276"/>
      <c r="Q131" s="276"/>
      <c r="R131" s="276"/>
      <c r="S131" s="276"/>
      <c r="T131" s="276"/>
      <c r="U131" s="276"/>
      <c r="V131" s="276"/>
      <c r="W131" s="276"/>
      <c r="X131" s="276"/>
      <c r="Y131" s="276"/>
      <c r="Z131" s="276"/>
    </row>
    <row r="132" spans="1:26" ht="18.75" customHeight="1">
      <c r="A132" s="276"/>
      <c r="B132" s="276"/>
      <c r="C132" s="276"/>
      <c r="D132" s="276"/>
      <c r="E132" s="276"/>
      <c r="F132" s="276"/>
      <c r="G132" s="276"/>
      <c r="H132" s="276"/>
      <c r="I132" s="276"/>
      <c r="J132" s="276"/>
      <c r="K132" s="276"/>
      <c r="L132" s="276"/>
      <c r="M132" s="276"/>
      <c r="N132" s="276"/>
      <c r="O132" s="276"/>
      <c r="P132" s="276"/>
      <c r="Q132" s="276"/>
      <c r="R132" s="276"/>
      <c r="S132" s="276"/>
      <c r="T132" s="276"/>
      <c r="U132" s="276"/>
      <c r="V132" s="276"/>
      <c r="W132" s="276"/>
      <c r="X132" s="276"/>
      <c r="Y132" s="276"/>
      <c r="Z132" s="276"/>
    </row>
    <row r="133" spans="1:26" ht="18.75" customHeight="1">
      <c r="A133" s="276"/>
      <c r="B133" s="276"/>
      <c r="C133" s="276"/>
      <c r="D133" s="276"/>
      <c r="E133" s="276"/>
      <c r="F133" s="276"/>
      <c r="G133" s="276"/>
      <c r="H133" s="276"/>
      <c r="I133" s="276"/>
      <c r="J133" s="276"/>
      <c r="K133" s="276"/>
      <c r="L133" s="276"/>
      <c r="M133" s="276"/>
      <c r="N133" s="276"/>
      <c r="O133" s="276"/>
      <c r="P133" s="276"/>
      <c r="Q133" s="276"/>
      <c r="R133" s="276"/>
      <c r="S133" s="276"/>
      <c r="T133" s="276"/>
      <c r="U133" s="276"/>
      <c r="V133" s="276"/>
      <c r="W133" s="276"/>
      <c r="X133" s="276"/>
      <c r="Y133" s="276"/>
      <c r="Z133" s="276"/>
    </row>
    <row r="134" spans="1:26" ht="18.75" customHeight="1">
      <c r="A134" s="276"/>
      <c r="B134" s="276"/>
      <c r="C134" s="276"/>
      <c r="D134" s="276"/>
      <c r="E134" s="276"/>
      <c r="F134" s="276"/>
      <c r="G134" s="276"/>
      <c r="H134" s="276"/>
      <c r="I134" s="276"/>
      <c r="J134" s="276"/>
      <c r="K134" s="276"/>
      <c r="L134" s="276"/>
      <c r="M134" s="276"/>
      <c r="N134" s="276"/>
      <c r="O134" s="276"/>
      <c r="P134" s="276"/>
      <c r="Q134" s="276"/>
      <c r="R134" s="276"/>
      <c r="S134" s="276"/>
      <c r="T134" s="276"/>
      <c r="U134" s="276"/>
      <c r="V134" s="276"/>
      <c r="W134" s="276"/>
      <c r="X134" s="276"/>
      <c r="Y134" s="276"/>
      <c r="Z134" s="276"/>
    </row>
    <row r="135" spans="1:26" ht="18.75" customHeight="1">
      <c r="A135" s="276"/>
      <c r="B135" s="276"/>
      <c r="C135" s="276"/>
      <c r="D135" s="276"/>
      <c r="E135" s="276"/>
      <c r="F135" s="276"/>
      <c r="G135" s="276"/>
      <c r="H135" s="276"/>
      <c r="I135" s="276"/>
      <c r="J135" s="276"/>
      <c r="K135" s="276"/>
      <c r="L135" s="276"/>
      <c r="M135" s="276"/>
      <c r="N135" s="276"/>
      <c r="O135" s="276"/>
      <c r="P135" s="276"/>
      <c r="Q135" s="276"/>
      <c r="R135" s="276"/>
      <c r="S135" s="276"/>
      <c r="T135" s="276"/>
      <c r="U135" s="276"/>
      <c r="V135" s="276"/>
      <c r="W135" s="276"/>
      <c r="X135" s="276"/>
      <c r="Y135" s="276"/>
      <c r="Z135" s="276"/>
    </row>
    <row r="136" spans="1:26" ht="18.75" customHeight="1">
      <c r="A136" s="276"/>
      <c r="B136" s="276"/>
      <c r="C136" s="276"/>
      <c r="D136" s="276"/>
      <c r="E136" s="276"/>
      <c r="F136" s="276"/>
      <c r="G136" s="276"/>
      <c r="H136" s="276"/>
      <c r="I136" s="276"/>
      <c r="J136" s="276"/>
      <c r="K136" s="276"/>
      <c r="L136" s="276"/>
      <c r="M136" s="276"/>
      <c r="N136" s="276"/>
      <c r="O136" s="276"/>
      <c r="P136" s="276"/>
      <c r="Q136" s="276"/>
      <c r="R136" s="276"/>
      <c r="S136" s="276"/>
      <c r="T136" s="276"/>
      <c r="U136" s="276"/>
      <c r="V136" s="276"/>
      <c r="W136" s="276"/>
      <c r="X136" s="276"/>
      <c r="Y136" s="276"/>
      <c r="Z136" s="276"/>
    </row>
    <row r="137" spans="1:26" ht="18.75" customHeight="1">
      <c r="A137" s="276"/>
      <c r="B137" s="276"/>
      <c r="C137" s="276"/>
      <c r="D137" s="276"/>
      <c r="E137" s="276"/>
      <c r="F137" s="276"/>
      <c r="G137" s="276"/>
      <c r="H137" s="276"/>
      <c r="I137" s="276"/>
      <c r="J137" s="276"/>
      <c r="K137" s="276"/>
      <c r="L137" s="276"/>
      <c r="M137" s="276"/>
      <c r="N137" s="276"/>
      <c r="O137" s="276"/>
      <c r="P137" s="276"/>
      <c r="Q137" s="276"/>
      <c r="R137" s="276"/>
      <c r="S137" s="276"/>
      <c r="T137" s="276"/>
      <c r="U137" s="276"/>
      <c r="V137" s="276"/>
      <c r="W137" s="276"/>
      <c r="X137" s="276"/>
      <c r="Y137" s="276"/>
      <c r="Z137" s="276"/>
    </row>
    <row r="138" spans="1:26" ht="18.75" customHeight="1">
      <c r="A138" s="276"/>
      <c r="B138" s="276"/>
      <c r="C138" s="276"/>
      <c r="D138" s="276"/>
      <c r="E138" s="276"/>
      <c r="F138" s="276"/>
      <c r="G138" s="276"/>
      <c r="H138" s="276"/>
      <c r="I138" s="276"/>
      <c r="J138" s="276"/>
      <c r="K138" s="276"/>
      <c r="L138" s="276"/>
      <c r="M138" s="276"/>
      <c r="N138" s="276"/>
      <c r="O138" s="276"/>
      <c r="P138" s="276"/>
      <c r="Q138" s="276"/>
      <c r="R138" s="276"/>
      <c r="S138" s="276"/>
      <c r="T138" s="276"/>
      <c r="U138" s="276"/>
      <c r="V138" s="276"/>
      <c r="W138" s="276"/>
      <c r="X138" s="276"/>
      <c r="Y138" s="276"/>
      <c r="Z138" s="276"/>
    </row>
    <row r="139" spans="1:26" ht="18.75" customHeight="1">
      <c r="A139" s="276"/>
      <c r="B139" s="276"/>
      <c r="C139" s="276"/>
      <c r="D139" s="276"/>
      <c r="E139" s="276"/>
      <c r="F139" s="276"/>
      <c r="G139" s="276"/>
      <c r="H139" s="276"/>
      <c r="I139" s="276"/>
      <c r="J139" s="276"/>
      <c r="K139" s="276"/>
      <c r="L139" s="276"/>
      <c r="M139" s="276"/>
      <c r="N139" s="276"/>
      <c r="O139" s="276"/>
      <c r="P139" s="276"/>
      <c r="Q139" s="276"/>
      <c r="R139" s="276"/>
      <c r="S139" s="276"/>
      <c r="T139" s="276"/>
      <c r="U139" s="276"/>
      <c r="V139" s="276"/>
      <c r="W139" s="276"/>
      <c r="X139" s="276"/>
      <c r="Y139" s="276"/>
      <c r="Z139" s="276"/>
    </row>
    <row r="140" spans="1:26" ht="18.75" customHeight="1">
      <c r="A140" s="276"/>
      <c r="B140" s="276"/>
      <c r="C140" s="276"/>
      <c r="D140" s="276"/>
      <c r="E140" s="276"/>
      <c r="F140" s="276"/>
      <c r="G140" s="276"/>
      <c r="H140" s="276"/>
      <c r="I140" s="276"/>
      <c r="J140" s="276"/>
      <c r="K140" s="276"/>
      <c r="L140" s="276"/>
      <c r="M140" s="276"/>
      <c r="N140" s="276"/>
      <c r="O140" s="276"/>
      <c r="P140" s="276"/>
      <c r="Q140" s="276"/>
      <c r="R140" s="276"/>
      <c r="S140" s="276"/>
      <c r="T140" s="276"/>
      <c r="U140" s="276"/>
      <c r="V140" s="276"/>
      <c r="W140" s="276"/>
      <c r="X140" s="276"/>
      <c r="Y140" s="276"/>
      <c r="Z140" s="276"/>
    </row>
    <row r="141" spans="1:26" ht="18.75" customHeight="1">
      <c r="A141" s="276"/>
      <c r="B141" s="276"/>
      <c r="C141" s="276"/>
      <c r="D141" s="276"/>
      <c r="E141" s="276"/>
      <c r="F141" s="276"/>
      <c r="G141" s="276"/>
      <c r="H141" s="276"/>
      <c r="I141" s="276"/>
      <c r="J141" s="276"/>
      <c r="K141" s="276"/>
      <c r="L141" s="276"/>
      <c r="M141" s="276"/>
      <c r="N141" s="276"/>
      <c r="O141" s="276"/>
      <c r="P141" s="276"/>
      <c r="Q141" s="276"/>
      <c r="R141" s="276"/>
      <c r="S141" s="276"/>
      <c r="T141" s="276"/>
      <c r="U141" s="276"/>
      <c r="V141" s="276"/>
      <c r="W141" s="276"/>
      <c r="X141" s="276"/>
      <c r="Y141" s="276"/>
      <c r="Z141" s="276"/>
    </row>
    <row r="142" spans="1:26" ht="18.75" customHeight="1">
      <c r="A142" s="276"/>
      <c r="B142" s="276"/>
      <c r="C142" s="276"/>
      <c r="D142" s="276"/>
      <c r="E142" s="276"/>
      <c r="F142" s="276"/>
      <c r="G142" s="276"/>
      <c r="H142" s="276"/>
      <c r="I142" s="276"/>
      <c r="J142" s="276"/>
      <c r="K142" s="276"/>
      <c r="L142" s="276"/>
      <c r="M142" s="276"/>
      <c r="N142" s="276"/>
      <c r="O142" s="276"/>
      <c r="P142" s="276"/>
      <c r="Q142" s="276"/>
      <c r="R142" s="276"/>
      <c r="S142" s="276"/>
      <c r="T142" s="276"/>
      <c r="U142" s="276"/>
      <c r="V142" s="276"/>
      <c r="W142" s="276"/>
      <c r="X142" s="276"/>
      <c r="Y142" s="276"/>
      <c r="Z142" s="276"/>
    </row>
    <row r="143" spans="1:26" ht="18.75" customHeight="1">
      <c r="A143" s="276"/>
      <c r="B143" s="276"/>
      <c r="C143" s="276"/>
      <c r="D143" s="276"/>
      <c r="E143" s="276"/>
      <c r="F143" s="276"/>
      <c r="G143" s="276"/>
      <c r="H143" s="276"/>
      <c r="I143" s="276"/>
      <c r="J143" s="276"/>
      <c r="K143" s="276"/>
      <c r="L143" s="276"/>
      <c r="M143" s="276"/>
      <c r="N143" s="276"/>
      <c r="O143" s="276"/>
      <c r="P143" s="276"/>
      <c r="Q143" s="276"/>
      <c r="R143" s="276"/>
      <c r="S143" s="276"/>
      <c r="T143" s="276"/>
      <c r="U143" s="276"/>
      <c r="V143" s="276"/>
      <c r="W143" s="276"/>
      <c r="X143" s="276"/>
      <c r="Y143" s="276"/>
      <c r="Z143" s="276"/>
    </row>
    <row r="144" spans="1:26" ht="18.75" customHeight="1">
      <c r="A144" s="276"/>
      <c r="B144" s="276"/>
      <c r="C144" s="276"/>
      <c r="D144" s="276"/>
      <c r="E144" s="276"/>
      <c r="F144" s="276"/>
      <c r="G144" s="276"/>
      <c r="H144" s="276"/>
      <c r="I144" s="276"/>
      <c r="J144" s="276"/>
      <c r="K144" s="276"/>
      <c r="L144" s="276"/>
      <c r="M144" s="276"/>
      <c r="N144" s="276"/>
      <c r="O144" s="276"/>
      <c r="P144" s="276"/>
      <c r="Q144" s="276"/>
      <c r="R144" s="276"/>
      <c r="S144" s="276"/>
      <c r="T144" s="276"/>
      <c r="U144" s="276"/>
      <c r="V144" s="276"/>
      <c r="W144" s="276"/>
      <c r="X144" s="276"/>
      <c r="Y144" s="276"/>
      <c r="Z144" s="276"/>
    </row>
    <row r="145" spans="1:26" ht="18.75" customHeight="1">
      <c r="A145" s="276"/>
      <c r="B145" s="276"/>
      <c r="C145" s="276"/>
      <c r="D145" s="276"/>
      <c r="E145" s="276"/>
      <c r="F145" s="276"/>
      <c r="G145" s="276"/>
      <c r="H145" s="276"/>
      <c r="I145" s="276"/>
      <c r="J145" s="276"/>
      <c r="K145" s="276"/>
      <c r="L145" s="276"/>
      <c r="M145" s="276"/>
      <c r="N145" s="276"/>
      <c r="O145" s="276"/>
      <c r="P145" s="276"/>
      <c r="Q145" s="276"/>
      <c r="R145" s="276"/>
      <c r="S145" s="276"/>
      <c r="T145" s="276"/>
      <c r="U145" s="276"/>
      <c r="V145" s="276"/>
      <c r="W145" s="276"/>
      <c r="X145" s="276"/>
      <c r="Y145" s="276"/>
      <c r="Z145" s="276"/>
    </row>
    <row r="146" spans="1:26" ht="18.75" customHeight="1">
      <c r="A146" s="276"/>
      <c r="B146" s="276"/>
      <c r="C146" s="276"/>
      <c r="D146" s="276"/>
      <c r="E146" s="276"/>
      <c r="F146" s="276"/>
      <c r="G146" s="276"/>
      <c r="H146" s="276"/>
      <c r="I146" s="276"/>
      <c r="J146" s="276"/>
      <c r="K146" s="276"/>
      <c r="L146" s="276"/>
      <c r="M146" s="276"/>
      <c r="N146" s="276"/>
      <c r="O146" s="276"/>
      <c r="P146" s="276"/>
      <c r="Q146" s="276"/>
      <c r="R146" s="276"/>
      <c r="S146" s="276"/>
      <c r="T146" s="276"/>
      <c r="U146" s="276"/>
      <c r="V146" s="276"/>
      <c r="W146" s="276"/>
      <c r="X146" s="276"/>
      <c r="Y146" s="276"/>
      <c r="Z146" s="276"/>
    </row>
    <row r="147" spans="1:26" ht="18.75" customHeight="1">
      <c r="A147" s="276"/>
      <c r="B147" s="276"/>
      <c r="C147" s="276"/>
      <c r="D147" s="276"/>
      <c r="E147" s="276"/>
      <c r="F147" s="276"/>
      <c r="G147" s="276"/>
      <c r="H147" s="276"/>
      <c r="I147" s="276"/>
      <c r="J147" s="276"/>
      <c r="K147" s="276"/>
      <c r="L147" s="276"/>
      <c r="M147" s="276"/>
      <c r="N147" s="276"/>
      <c r="O147" s="276"/>
      <c r="P147" s="276"/>
      <c r="Q147" s="276"/>
      <c r="R147" s="276"/>
      <c r="S147" s="276"/>
      <c r="T147" s="276"/>
      <c r="U147" s="276"/>
      <c r="V147" s="276"/>
      <c r="W147" s="276"/>
      <c r="X147" s="276"/>
      <c r="Y147" s="276"/>
      <c r="Z147" s="276"/>
    </row>
    <row r="148" spans="1:26" ht="18.75" customHeight="1">
      <c r="A148" s="276"/>
      <c r="B148" s="276"/>
      <c r="C148" s="276"/>
      <c r="D148" s="276"/>
      <c r="E148" s="276"/>
      <c r="F148" s="276"/>
      <c r="G148" s="276"/>
      <c r="H148" s="276"/>
      <c r="I148" s="276"/>
      <c r="J148" s="276"/>
      <c r="K148" s="276"/>
      <c r="L148" s="276"/>
      <c r="M148" s="276"/>
      <c r="N148" s="276"/>
      <c r="O148" s="276"/>
      <c r="P148" s="276"/>
      <c r="Q148" s="276"/>
      <c r="R148" s="276"/>
      <c r="S148" s="276"/>
      <c r="T148" s="276"/>
      <c r="U148" s="276"/>
      <c r="V148" s="276"/>
      <c r="W148" s="276"/>
      <c r="X148" s="276"/>
      <c r="Y148" s="276"/>
      <c r="Z148" s="276"/>
    </row>
    <row r="149" spans="1:26" ht="18.75" customHeight="1">
      <c r="A149" s="276"/>
      <c r="B149" s="276"/>
      <c r="C149" s="276"/>
      <c r="D149" s="276"/>
      <c r="E149" s="276"/>
      <c r="F149" s="276"/>
      <c r="G149" s="276"/>
      <c r="H149" s="276"/>
      <c r="I149" s="276"/>
      <c r="J149" s="276"/>
      <c r="K149" s="276"/>
      <c r="L149" s="276"/>
      <c r="M149" s="276"/>
      <c r="N149" s="276"/>
      <c r="O149" s="276"/>
      <c r="P149" s="276"/>
      <c r="Q149" s="276"/>
      <c r="R149" s="276"/>
      <c r="S149" s="276"/>
      <c r="T149" s="276"/>
      <c r="U149" s="276"/>
      <c r="V149" s="276"/>
      <c r="W149" s="276"/>
      <c r="X149" s="276"/>
      <c r="Y149" s="276"/>
      <c r="Z149" s="276"/>
    </row>
    <row r="150" spans="1:26" ht="18.75" customHeight="1">
      <c r="A150" s="276"/>
      <c r="B150" s="276"/>
      <c r="C150" s="276"/>
      <c r="D150" s="276"/>
      <c r="E150" s="276"/>
      <c r="F150" s="276"/>
      <c r="G150" s="276"/>
      <c r="H150" s="276"/>
      <c r="I150" s="276"/>
      <c r="J150" s="276"/>
      <c r="K150" s="276"/>
      <c r="L150" s="276"/>
      <c r="M150" s="276"/>
      <c r="N150" s="276"/>
      <c r="O150" s="276"/>
      <c r="P150" s="276"/>
      <c r="Q150" s="276"/>
      <c r="R150" s="276"/>
      <c r="S150" s="276"/>
      <c r="T150" s="276"/>
      <c r="U150" s="276"/>
      <c r="V150" s="276"/>
      <c r="W150" s="276"/>
      <c r="X150" s="276"/>
      <c r="Y150" s="276"/>
      <c r="Z150" s="276"/>
    </row>
    <row r="151" spans="1:26" ht="18.75" customHeight="1">
      <c r="A151" s="276"/>
      <c r="B151" s="276"/>
      <c r="C151" s="276"/>
      <c r="D151" s="276"/>
      <c r="E151" s="276"/>
      <c r="F151" s="276"/>
      <c r="G151" s="276"/>
      <c r="H151" s="276"/>
      <c r="I151" s="276"/>
      <c r="J151" s="276"/>
      <c r="K151" s="276"/>
      <c r="L151" s="276"/>
      <c r="M151" s="276"/>
      <c r="N151" s="276"/>
      <c r="O151" s="276"/>
      <c r="P151" s="276"/>
      <c r="Q151" s="276"/>
      <c r="R151" s="276"/>
      <c r="S151" s="276"/>
      <c r="T151" s="276"/>
      <c r="U151" s="276"/>
      <c r="V151" s="276"/>
      <c r="W151" s="276"/>
      <c r="X151" s="276"/>
      <c r="Y151" s="276"/>
      <c r="Z151" s="276"/>
    </row>
    <row r="152" spans="1:26" ht="18.75" customHeight="1">
      <c r="A152" s="276"/>
      <c r="B152" s="276"/>
      <c r="C152" s="276"/>
      <c r="D152" s="276"/>
      <c r="E152" s="276"/>
      <c r="F152" s="276"/>
      <c r="G152" s="276"/>
      <c r="H152" s="276"/>
      <c r="I152" s="276"/>
      <c r="J152" s="276"/>
      <c r="K152" s="276"/>
      <c r="L152" s="276"/>
      <c r="M152" s="276"/>
      <c r="N152" s="276"/>
      <c r="O152" s="276"/>
      <c r="P152" s="276"/>
      <c r="Q152" s="276"/>
      <c r="R152" s="276"/>
      <c r="S152" s="276"/>
      <c r="T152" s="276"/>
      <c r="U152" s="276"/>
      <c r="V152" s="276"/>
      <c r="W152" s="276"/>
      <c r="X152" s="276"/>
      <c r="Y152" s="276"/>
      <c r="Z152" s="276"/>
    </row>
    <row r="153" spans="1:26" ht="18.75" customHeight="1">
      <c r="A153" s="276"/>
      <c r="B153" s="276"/>
      <c r="C153" s="276"/>
      <c r="D153" s="276"/>
      <c r="E153" s="276"/>
      <c r="F153" s="276"/>
      <c r="G153" s="276"/>
      <c r="H153" s="276"/>
      <c r="I153" s="276"/>
      <c r="J153" s="276"/>
      <c r="K153" s="276"/>
      <c r="L153" s="276"/>
      <c r="M153" s="276"/>
      <c r="N153" s="276"/>
      <c r="O153" s="276"/>
      <c r="P153" s="276"/>
      <c r="Q153" s="276"/>
      <c r="R153" s="276"/>
      <c r="S153" s="276"/>
      <c r="T153" s="276"/>
      <c r="U153" s="276"/>
      <c r="V153" s="276"/>
      <c r="W153" s="276"/>
      <c r="X153" s="276"/>
      <c r="Y153" s="276"/>
      <c r="Z153" s="276"/>
    </row>
    <row r="154" spans="1:26" ht="18.75" customHeight="1">
      <c r="A154" s="276"/>
      <c r="B154" s="276"/>
      <c r="C154" s="276"/>
      <c r="D154" s="276"/>
      <c r="E154" s="276"/>
      <c r="F154" s="276"/>
      <c r="G154" s="276"/>
      <c r="H154" s="276"/>
      <c r="I154" s="276"/>
      <c r="J154" s="276"/>
      <c r="K154" s="276"/>
      <c r="L154" s="276"/>
      <c r="M154" s="276"/>
      <c r="N154" s="276"/>
      <c r="O154" s="276"/>
      <c r="P154" s="276"/>
      <c r="Q154" s="276"/>
      <c r="R154" s="276"/>
      <c r="S154" s="276"/>
      <c r="T154" s="276"/>
      <c r="U154" s="276"/>
      <c r="V154" s="276"/>
      <c r="W154" s="276"/>
      <c r="X154" s="276"/>
      <c r="Y154" s="276"/>
      <c r="Z154" s="276"/>
    </row>
    <row r="155" spans="1:26" ht="18.75" customHeight="1">
      <c r="A155" s="276"/>
      <c r="B155" s="276"/>
      <c r="C155" s="276"/>
      <c r="D155" s="276"/>
      <c r="E155" s="276"/>
      <c r="F155" s="276"/>
      <c r="G155" s="276"/>
      <c r="H155" s="276"/>
      <c r="I155" s="276"/>
      <c r="J155" s="276"/>
      <c r="K155" s="276"/>
      <c r="L155" s="276"/>
      <c r="M155" s="276"/>
      <c r="N155" s="276"/>
      <c r="O155" s="276"/>
      <c r="P155" s="276"/>
      <c r="Q155" s="276"/>
      <c r="R155" s="276"/>
      <c r="S155" s="276"/>
      <c r="T155" s="276"/>
      <c r="U155" s="276"/>
      <c r="V155" s="276"/>
      <c r="W155" s="276"/>
      <c r="X155" s="276"/>
      <c r="Y155" s="276"/>
      <c r="Z155" s="276"/>
    </row>
    <row r="156" spans="1:26" ht="18.75" customHeight="1">
      <c r="A156" s="276"/>
      <c r="B156" s="276"/>
      <c r="C156" s="276"/>
      <c r="D156" s="276"/>
      <c r="E156" s="276"/>
      <c r="F156" s="276"/>
      <c r="G156" s="276"/>
      <c r="H156" s="276"/>
      <c r="I156" s="276"/>
      <c r="J156" s="276"/>
      <c r="K156" s="276"/>
      <c r="L156" s="276"/>
      <c r="M156" s="276"/>
      <c r="N156" s="276"/>
      <c r="O156" s="276"/>
      <c r="P156" s="276"/>
      <c r="Q156" s="276"/>
      <c r="R156" s="276"/>
      <c r="S156" s="276"/>
      <c r="T156" s="276"/>
      <c r="U156" s="276"/>
      <c r="V156" s="276"/>
      <c r="W156" s="276"/>
      <c r="X156" s="276"/>
      <c r="Y156" s="276"/>
      <c r="Z156" s="276"/>
    </row>
    <row r="157" spans="1:26" ht="18.75" customHeight="1">
      <c r="A157" s="276"/>
      <c r="B157" s="276"/>
      <c r="C157" s="276"/>
      <c r="D157" s="276"/>
      <c r="E157" s="276"/>
      <c r="F157" s="276"/>
      <c r="G157" s="276"/>
      <c r="H157" s="276"/>
      <c r="I157" s="276"/>
      <c r="J157" s="276"/>
      <c r="K157" s="276"/>
      <c r="L157" s="276"/>
      <c r="M157" s="276"/>
      <c r="N157" s="276"/>
      <c r="O157" s="276"/>
      <c r="P157" s="276"/>
      <c r="Q157" s="276"/>
      <c r="R157" s="276"/>
      <c r="S157" s="276"/>
      <c r="T157" s="276"/>
      <c r="U157" s="276"/>
      <c r="V157" s="276"/>
      <c r="W157" s="276"/>
      <c r="X157" s="276"/>
      <c r="Y157" s="276"/>
      <c r="Z157" s="276"/>
    </row>
    <row r="158" spans="1:26" ht="18.75" customHeight="1">
      <c r="A158" s="276"/>
      <c r="B158" s="276"/>
      <c r="C158" s="276"/>
      <c r="D158" s="276"/>
      <c r="E158" s="276"/>
      <c r="F158" s="276"/>
      <c r="G158" s="276"/>
      <c r="H158" s="276"/>
      <c r="I158" s="276"/>
      <c r="J158" s="276"/>
      <c r="K158" s="276"/>
      <c r="L158" s="276"/>
      <c r="M158" s="276"/>
      <c r="N158" s="276"/>
      <c r="O158" s="276"/>
      <c r="P158" s="276"/>
      <c r="Q158" s="276"/>
      <c r="R158" s="276"/>
      <c r="S158" s="276"/>
      <c r="T158" s="276"/>
      <c r="U158" s="276"/>
      <c r="V158" s="276"/>
      <c r="W158" s="276"/>
      <c r="X158" s="276"/>
      <c r="Y158" s="276"/>
      <c r="Z158" s="276"/>
    </row>
    <row r="159" spans="1:26" ht="18.75" customHeight="1">
      <c r="A159" s="276"/>
      <c r="B159" s="276"/>
      <c r="C159" s="276"/>
      <c r="D159" s="276"/>
      <c r="E159" s="276"/>
      <c r="F159" s="276"/>
      <c r="G159" s="276"/>
      <c r="H159" s="276"/>
      <c r="I159" s="276"/>
      <c r="J159" s="276"/>
      <c r="K159" s="276"/>
      <c r="L159" s="276"/>
      <c r="M159" s="276"/>
      <c r="N159" s="276"/>
      <c r="O159" s="276"/>
      <c r="P159" s="276"/>
      <c r="Q159" s="276"/>
      <c r="R159" s="276"/>
      <c r="S159" s="276"/>
      <c r="T159" s="276"/>
      <c r="U159" s="276"/>
      <c r="V159" s="276"/>
      <c r="W159" s="276"/>
      <c r="X159" s="276"/>
      <c r="Y159" s="276"/>
      <c r="Z159" s="276"/>
    </row>
    <row r="160" spans="1:26" ht="18.75" customHeight="1">
      <c r="A160" s="276"/>
      <c r="B160" s="276"/>
      <c r="C160" s="276"/>
      <c r="D160" s="276"/>
      <c r="E160" s="276"/>
      <c r="F160" s="276"/>
      <c r="G160" s="276"/>
      <c r="H160" s="276"/>
      <c r="I160" s="276"/>
      <c r="J160" s="276"/>
      <c r="K160" s="276"/>
      <c r="L160" s="276"/>
      <c r="M160" s="276"/>
      <c r="N160" s="276"/>
      <c r="O160" s="276"/>
      <c r="P160" s="276"/>
      <c r="Q160" s="276"/>
      <c r="R160" s="276"/>
      <c r="S160" s="276"/>
      <c r="T160" s="276"/>
      <c r="U160" s="276"/>
      <c r="V160" s="276"/>
      <c r="W160" s="276"/>
      <c r="X160" s="276"/>
      <c r="Y160" s="276"/>
      <c r="Z160" s="276"/>
    </row>
    <row r="161" spans="1:26" ht="18.75" customHeight="1">
      <c r="A161" s="276"/>
      <c r="B161" s="276"/>
      <c r="C161" s="276"/>
      <c r="D161" s="276"/>
      <c r="E161" s="276"/>
      <c r="F161" s="276"/>
      <c r="G161" s="276"/>
      <c r="H161" s="276"/>
      <c r="I161" s="276"/>
      <c r="J161" s="276"/>
      <c r="K161" s="276"/>
      <c r="L161" s="276"/>
      <c r="M161" s="276"/>
      <c r="N161" s="276"/>
      <c r="O161" s="276"/>
      <c r="P161" s="276"/>
      <c r="Q161" s="276"/>
      <c r="R161" s="276"/>
      <c r="S161" s="276"/>
      <c r="T161" s="276"/>
      <c r="U161" s="276"/>
      <c r="V161" s="276"/>
      <c r="W161" s="276"/>
      <c r="X161" s="276"/>
      <c r="Y161" s="276"/>
      <c r="Z161" s="276"/>
    </row>
    <row r="162" spans="1:26" ht="18.75" customHeight="1">
      <c r="A162" s="276"/>
      <c r="B162" s="276"/>
      <c r="C162" s="276"/>
      <c r="D162" s="276"/>
      <c r="E162" s="276"/>
      <c r="F162" s="276"/>
      <c r="G162" s="276"/>
      <c r="H162" s="276"/>
      <c r="I162" s="276"/>
      <c r="J162" s="276"/>
      <c r="K162" s="276"/>
      <c r="L162" s="276"/>
      <c r="M162" s="276"/>
      <c r="N162" s="276"/>
      <c r="O162" s="276"/>
      <c r="P162" s="276"/>
      <c r="Q162" s="276"/>
      <c r="R162" s="276"/>
      <c r="S162" s="276"/>
      <c r="T162" s="276"/>
      <c r="U162" s="276"/>
      <c r="V162" s="276"/>
      <c r="W162" s="276"/>
      <c r="X162" s="276"/>
      <c r="Y162" s="276"/>
      <c r="Z162" s="276"/>
    </row>
    <row r="163" spans="1:26" ht="18.75" customHeight="1">
      <c r="A163" s="276"/>
      <c r="B163" s="276"/>
      <c r="C163" s="276"/>
      <c r="D163" s="276"/>
      <c r="E163" s="276"/>
      <c r="F163" s="276"/>
      <c r="G163" s="276"/>
      <c r="H163" s="276"/>
      <c r="I163" s="276"/>
      <c r="J163" s="276"/>
      <c r="K163" s="276"/>
      <c r="L163" s="276"/>
      <c r="M163" s="276"/>
      <c r="N163" s="276"/>
      <c r="O163" s="276"/>
      <c r="P163" s="276"/>
      <c r="Q163" s="276"/>
      <c r="R163" s="276"/>
      <c r="S163" s="276"/>
      <c r="T163" s="276"/>
      <c r="U163" s="276"/>
      <c r="V163" s="276"/>
      <c r="W163" s="276"/>
      <c r="X163" s="276"/>
      <c r="Y163" s="276"/>
      <c r="Z163" s="276"/>
    </row>
    <row r="164" spans="1:26" ht="18.75" customHeight="1">
      <c r="A164" s="276"/>
      <c r="B164" s="276"/>
      <c r="C164" s="276"/>
      <c r="D164" s="276"/>
      <c r="E164" s="276"/>
      <c r="F164" s="276"/>
      <c r="G164" s="276"/>
      <c r="H164" s="276"/>
      <c r="I164" s="276"/>
      <c r="J164" s="276"/>
      <c r="K164" s="276"/>
      <c r="L164" s="276"/>
      <c r="M164" s="276"/>
      <c r="N164" s="276"/>
      <c r="O164" s="276"/>
      <c r="P164" s="276"/>
      <c r="Q164" s="276"/>
      <c r="R164" s="276"/>
      <c r="S164" s="276"/>
      <c r="T164" s="276"/>
      <c r="U164" s="276"/>
      <c r="V164" s="276"/>
      <c r="W164" s="276"/>
      <c r="X164" s="276"/>
      <c r="Y164" s="276"/>
      <c r="Z164" s="276"/>
    </row>
    <row r="165" spans="1:26" ht="18.75" customHeight="1">
      <c r="A165" s="276"/>
      <c r="B165" s="276"/>
      <c r="C165" s="276"/>
      <c r="D165" s="276"/>
      <c r="E165" s="276"/>
      <c r="F165" s="276"/>
      <c r="G165" s="276"/>
      <c r="H165" s="276"/>
      <c r="I165" s="276"/>
      <c r="J165" s="276"/>
      <c r="K165" s="276"/>
      <c r="L165" s="276"/>
      <c r="M165" s="276"/>
      <c r="N165" s="276"/>
      <c r="O165" s="276"/>
      <c r="P165" s="276"/>
      <c r="Q165" s="276"/>
      <c r="R165" s="276"/>
      <c r="S165" s="276"/>
      <c r="T165" s="276"/>
      <c r="U165" s="276"/>
      <c r="V165" s="276"/>
      <c r="W165" s="276"/>
      <c r="X165" s="276"/>
      <c r="Y165" s="276"/>
      <c r="Z165" s="276"/>
    </row>
    <row r="166" spans="1:26" ht="18.75" customHeight="1">
      <c r="A166" s="276"/>
      <c r="B166" s="276"/>
      <c r="C166" s="276"/>
      <c r="D166" s="276"/>
      <c r="E166" s="276"/>
      <c r="F166" s="276"/>
      <c r="G166" s="276"/>
      <c r="H166" s="276"/>
      <c r="I166" s="276"/>
      <c r="J166" s="276"/>
      <c r="K166" s="276"/>
      <c r="L166" s="276"/>
      <c r="M166" s="276"/>
      <c r="N166" s="276"/>
      <c r="O166" s="276"/>
      <c r="P166" s="276"/>
      <c r="Q166" s="276"/>
      <c r="R166" s="276"/>
      <c r="S166" s="276"/>
      <c r="T166" s="276"/>
      <c r="U166" s="276"/>
      <c r="V166" s="276"/>
      <c r="W166" s="276"/>
      <c r="X166" s="276"/>
      <c r="Y166" s="276"/>
      <c r="Z166" s="276"/>
    </row>
    <row r="167" spans="1:26" ht="18.75" customHeight="1">
      <c r="A167" s="276"/>
      <c r="B167" s="276"/>
      <c r="C167" s="276"/>
      <c r="D167" s="276"/>
      <c r="E167" s="276"/>
      <c r="F167" s="276"/>
      <c r="G167" s="276"/>
      <c r="H167" s="276"/>
      <c r="I167" s="276"/>
      <c r="J167" s="276"/>
      <c r="K167" s="276"/>
      <c r="L167" s="276"/>
      <c r="M167" s="276"/>
      <c r="N167" s="276"/>
      <c r="O167" s="276"/>
      <c r="P167" s="276"/>
      <c r="Q167" s="276"/>
      <c r="R167" s="276"/>
      <c r="S167" s="276"/>
      <c r="T167" s="276"/>
      <c r="U167" s="276"/>
      <c r="V167" s="276"/>
      <c r="W167" s="276"/>
      <c r="X167" s="276"/>
      <c r="Y167" s="276"/>
      <c r="Z167" s="276"/>
    </row>
    <row r="168" spans="1:26" ht="18.75" customHeight="1">
      <c r="A168" s="276"/>
      <c r="B168" s="276"/>
      <c r="C168" s="276"/>
      <c r="D168" s="276"/>
      <c r="E168" s="276"/>
      <c r="F168" s="276"/>
      <c r="G168" s="276"/>
      <c r="H168" s="276"/>
      <c r="I168" s="276"/>
      <c r="J168" s="276"/>
      <c r="K168" s="276"/>
      <c r="L168" s="276"/>
      <c r="M168" s="276"/>
      <c r="N168" s="276"/>
      <c r="O168" s="276"/>
      <c r="P168" s="276"/>
      <c r="Q168" s="276"/>
      <c r="R168" s="276"/>
      <c r="S168" s="276"/>
      <c r="T168" s="276"/>
      <c r="U168" s="276"/>
      <c r="V168" s="276"/>
      <c r="W168" s="276"/>
      <c r="X168" s="276"/>
      <c r="Y168" s="276"/>
      <c r="Z168" s="276"/>
    </row>
    <row r="169" spans="1:26" ht="18.75" customHeight="1">
      <c r="A169" s="276"/>
      <c r="B169" s="276"/>
      <c r="C169" s="276"/>
      <c r="D169" s="276"/>
      <c r="E169" s="276"/>
      <c r="F169" s="276"/>
      <c r="G169" s="276"/>
      <c r="H169" s="276"/>
      <c r="I169" s="276"/>
      <c r="J169" s="276"/>
      <c r="K169" s="276"/>
      <c r="L169" s="276"/>
      <c r="M169" s="276"/>
      <c r="N169" s="276"/>
      <c r="O169" s="276"/>
      <c r="P169" s="276"/>
      <c r="Q169" s="276"/>
      <c r="R169" s="276"/>
      <c r="S169" s="276"/>
      <c r="T169" s="276"/>
      <c r="U169" s="276"/>
      <c r="V169" s="276"/>
      <c r="W169" s="276"/>
      <c r="X169" s="276"/>
      <c r="Y169" s="276"/>
      <c r="Z169" s="276"/>
    </row>
    <row r="170" spans="1:26" ht="18.75" customHeight="1">
      <c r="A170" s="276"/>
      <c r="B170" s="276"/>
      <c r="C170" s="276"/>
      <c r="D170" s="276"/>
      <c r="E170" s="276"/>
      <c r="F170" s="276"/>
      <c r="G170" s="276"/>
      <c r="H170" s="276"/>
      <c r="I170" s="276"/>
      <c r="J170" s="276"/>
      <c r="K170" s="276"/>
      <c r="L170" s="276"/>
      <c r="M170" s="276"/>
      <c r="N170" s="276"/>
      <c r="O170" s="276"/>
      <c r="P170" s="276"/>
      <c r="Q170" s="276"/>
      <c r="R170" s="276"/>
      <c r="S170" s="276"/>
      <c r="T170" s="276"/>
      <c r="U170" s="276"/>
      <c r="V170" s="276"/>
      <c r="W170" s="276"/>
      <c r="X170" s="276"/>
      <c r="Y170" s="276"/>
      <c r="Z170" s="276"/>
    </row>
    <row r="171" spans="1:26" ht="18.75" customHeight="1">
      <c r="A171" s="276"/>
      <c r="B171" s="276"/>
      <c r="C171" s="276"/>
      <c r="D171" s="276"/>
      <c r="E171" s="276"/>
      <c r="F171" s="276"/>
      <c r="G171" s="276"/>
      <c r="H171" s="276"/>
      <c r="I171" s="276"/>
      <c r="J171" s="276"/>
      <c r="K171" s="276"/>
      <c r="L171" s="276"/>
      <c r="M171" s="276"/>
      <c r="N171" s="276"/>
      <c r="O171" s="276"/>
      <c r="P171" s="276"/>
      <c r="Q171" s="276"/>
      <c r="R171" s="276"/>
      <c r="S171" s="276"/>
      <c r="T171" s="276"/>
      <c r="U171" s="276"/>
      <c r="V171" s="276"/>
      <c r="W171" s="276"/>
      <c r="X171" s="276"/>
      <c r="Y171" s="276"/>
      <c r="Z171" s="276"/>
    </row>
    <row r="172" spans="1:26" ht="18.75" customHeight="1">
      <c r="A172" s="276"/>
      <c r="B172" s="276"/>
      <c r="C172" s="276"/>
      <c r="D172" s="276"/>
      <c r="E172" s="276"/>
      <c r="F172" s="276"/>
      <c r="G172" s="276"/>
      <c r="H172" s="276"/>
      <c r="I172" s="276"/>
      <c r="J172" s="276"/>
      <c r="K172" s="276"/>
      <c r="L172" s="276"/>
      <c r="M172" s="276"/>
      <c r="N172" s="276"/>
      <c r="O172" s="276"/>
      <c r="P172" s="276"/>
      <c r="Q172" s="276"/>
      <c r="R172" s="276"/>
      <c r="S172" s="276"/>
      <c r="T172" s="276"/>
      <c r="U172" s="276"/>
      <c r="V172" s="276"/>
      <c r="W172" s="276"/>
      <c r="X172" s="276"/>
      <c r="Y172" s="276"/>
      <c r="Z172" s="276"/>
    </row>
    <row r="173" spans="1:26" ht="18.75" customHeight="1">
      <c r="A173" s="276"/>
      <c r="B173" s="276"/>
      <c r="C173" s="276"/>
      <c r="D173" s="276"/>
      <c r="E173" s="276"/>
      <c r="F173" s="276"/>
      <c r="G173" s="276"/>
      <c r="H173" s="276"/>
      <c r="I173" s="276"/>
      <c r="J173" s="276"/>
      <c r="K173" s="276"/>
      <c r="L173" s="276"/>
      <c r="M173" s="276"/>
      <c r="N173" s="276"/>
      <c r="O173" s="276"/>
      <c r="P173" s="276"/>
      <c r="Q173" s="276"/>
      <c r="R173" s="276"/>
      <c r="S173" s="276"/>
      <c r="T173" s="276"/>
      <c r="U173" s="276"/>
      <c r="V173" s="276"/>
      <c r="W173" s="276"/>
      <c r="X173" s="276"/>
      <c r="Y173" s="276"/>
      <c r="Z173" s="276"/>
    </row>
    <row r="174" spans="1:26" ht="18.75" customHeight="1">
      <c r="A174" s="276"/>
      <c r="B174" s="276"/>
      <c r="C174" s="276"/>
      <c r="D174" s="276"/>
      <c r="E174" s="276"/>
      <c r="F174" s="276"/>
      <c r="G174" s="276"/>
      <c r="H174" s="276"/>
      <c r="I174" s="276"/>
      <c r="J174" s="276"/>
      <c r="K174" s="276"/>
      <c r="L174" s="276"/>
      <c r="M174" s="276"/>
      <c r="N174" s="276"/>
      <c r="O174" s="276"/>
      <c r="P174" s="276"/>
      <c r="Q174" s="276"/>
      <c r="R174" s="276"/>
      <c r="S174" s="276"/>
      <c r="T174" s="276"/>
      <c r="U174" s="276"/>
      <c r="V174" s="276"/>
      <c r="W174" s="276"/>
      <c r="X174" s="276"/>
      <c r="Y174" s="276"/>
      <c r="Z174" s="276"/>
    </row>
    <row r="175" spans="1:26" ht="18.75" customHeight="1">
      <c r="A175" s="276"/>
      <c r="B175" s="276"/>
      <c r="C175" s="276"/>
      <c r="D175" s="276"/>
      <c r="E175" s="276"/>
      <c r="F175" s="276"/>
      <c r="G175" s="276"/>
      <c r="H175" s="276"/>
      <c r="I175" s="276"/>
      <c r="J175" s="276"/>
      <c r="K175" s="276"/>
      <c r="L175" s="276"/>
      <c r="M175" s="276"/>
      <c r="N175" s="276"/>
      <c r="O175" s="276"/>
      <c r="P175" s="276"/>
      <c r="Q175" s="276"/>
      <c r="R175" s="276"/>
      <c r="S175" s="276"/>
      <c r="T175" s="276"/>
      <c r="U175" s="276"/>
      <c r="V175" s="276"/>
      <c r="W175" s="276"/>
      <c r="X175" s="276"/>
      <c r="Y175" s="276"/>
      <c r="Z175" s="276"/>
    </row>
    <row r="176" spans="1:26" ht="18.75" customHeight="1">
      <c r="A176" s="276"/>
      <c r="B176" s="276"/>
      <c r="C176" s="276"/>
      <c r="D176" s="276"/>
      <c r="E176" s="276"/>
      <c r="F176" s="276"/>
      <c r="G176" s="276"/>
      <c r="H176" s="276"/>
      <c r="I176" s="276"/>
      <c r="J176" s="276"/>
      <c r="K176" s="276"/>
      <c r="L176" s="276"/>
      <c r="M176" s="276"/>
      <c r="N176" s="276"/>
      <c r="O176" s="276"/>
      <c r="P176" s="276"/>
      <c r="Q176" s="276"/>
      <c r="R176" s="276"/>
      <c r="S176" s="276"/>
      <c r="T176" s="276"/>
      <c r="U176" s="276"/>
      <c r="V176" s="276"/>
      <c r="W176" s="276"/>
      <c r="X176" s="276"/>
      <c r="Y176" s="276"/>
      <c r="Z176" s="276"/>
    </row>
    <row r="177" spans="1:26" ht="18.75" customHeight="1">
      <c r="A177" s="276"/>
      <c r="B177" s="276"/>
      <c r="C177" s="276"/>
      <c r="D177" s="276"/>
      <c r="E177" s="276"/>
      <c r="F177" s="276"/>
      <c r="G177" s="276"/>
      <c r="H177" s="276"/>
      <c r="I177" s="276"/>
      <c r="J177" s="276"/>
      <c r="K177" s="276"/>
      <c r="L177" s="276"/>
      <c r="M177" s="276"/>
      <c r="N177" s="276"/>
      <c r="O177" s="276"/>
      <c r="P177" s="276"/>
      <c r="Q177" s="276"/>
      <c r="R177" s="276"/>
      <c r="S177" s="276"/>
      <c r="T177" s="276"/>
      <c r="U177" s="276"/>
      <c r="V177" s="276"/>
      <c r="W177" s="276"/>
      <c r="X177" s="276"/>
      <c r="Y177" s="276"/>
      <c r="Z177" s="276"/>
    </row>
    <row r="178" spans="1:26" ht="18.75" customHeight="1">
      <c r="A178" s="276"/>
      <c r="B178" s="276"/>
      <c r="C178" s="276"/>
      <c r="D178" s="276"/>
      <c r="E178" s="276"/>
      <c r="F178" s="276"/>
      <c r="G178" s="276"/>
      <c r="H178" s="276"/>
      <c r="I178" s="276"/>
      <c r="J178" s="276"/>
      <c r="K178" s="276"/>
      <c r="L178" s="276"/>
      <c r="M178" s="276"/>
      <c r="N178" s="276"/>
      <c r="O178" s="276"/>
      <c r="P178" s="276"/>
      <c r="Q178" s="276"/>
      <c r="R178" s="276"/>
      <c r="S178" s="276"/>
      <c r="T178" s="276"/>
      <c r="U178" s="276"/>
      <c r="V178" s="276"/>
      <c r="W178" s="276"/>
      <c r="X178" s="276"/>
      <c r="Y178" s="276"/>
      <c r="Z178" s="276"/>
    </row>
    <row r="179" spans="1:26" ht="18.75" customHeight="1">
      <c r="A179" s="276"/>
      <c r="B179" s="276"/>
      <c r="C179" s="276"/>
      <c r="D179" s="276"/>
      <c r="E179" s="276"/>
      <c r="F179" s="276"/>
      <c r="G179" s="276"/>
      <c r="H179" s="276"/>
      <c r="I179" s="276"/>
      <c r="J179" s="276"/>
      <c r="K179" s="276"/>
      <c r="L179" s="276"/>
      <c r="M179" s="276"/>
      <c r="N179" s="276"/>
      <c r="O179" s="276"/>
      <c r="P179" s="276"/>
      <c r="Q179" s="276"/>
      <c r="R179" s="276"/>
      <c r="S179" s="276"/>
      <c r="T179" s="276"/>
      <c r="U179" s="276"/>
      <c r="V179" s="276"/>
      <c r="W179" s="276"/>
      <c r="X179" s="276"/>
      <c r="Y179" s="276"/>
      <c r="Z179" s="276"/>
    </row>
    <row r="180" spans="1:26" ht="18.75" customHeight="1">
      <c r="A180" s="276"/>
      <c r="B180" s="276"/>
      <c r="C180" s="276"/>
      <c r="D180" s="276"/>
      <c r="E180" s="276"/>
      <c r="F180" s="276"/>
      <c r="G180" s="276"/>
      <c r="H180" s="276"/>
      <c r="I180" s="276"/>
      <c r="J180" s="276"/>
      <c r="K180" s="276"/>
      <c r="L180" s="276"/>
      <c r="M180" s="276"/>
      <c r="N180" s="276"/>
      <c r="O180" s="276"/>
      <c r="P180" s="276"/>
      <c r="Q180" s="276"/>
      <c r="R180" s="276"/>
      <c r="S180" s="276"/>
      <c r="T180" s="276"/>
      <c r="U180" s="276"/>
      <c r="V180" s="276"/>
      <c r="W180" s="276"/>
      <c r="X180" s="276"/>
      <c r="Y180" s="276"/>
      <c r="Z180" s="276"/>
    </row>
    <row r="181" spans="1:26" ht="18.75" customHeight="1">
      <c r="A181" s="276"/>
      <c r="B181" s="276"/>
      <c r="C181" s="276"/>
      <c r="D181" s="276"/>
      <c r="E181" s="276"/>
      <c r="F181" s="276"/>
      <c r="G181" s="276"/>
      <c r="H181" s="276"/>
      <c r="I181" s="276"/>
      <c r="J181" s="276"/>
      <c r="K181" s="276"/>
      <c r="L181" s="276"/>
      <c r="M181" s="276"/>
      <c r="N181" s="276"/>
      <c r="O181" s="276"/>
      <c r="P181" s="276"/>
      <c r="Q181" s="276"/>
      <c r="R181" s="276"/>
      <c r="S181" s="276"/>
      <c r="T181" s="276"/>
      <c r="U181" s="276"/>
      <c r="V181" s="276"/>
      <c r="W181" s="276"/>
      <c r="X181" s="276"/>
      <c r="Y181" s="276"/>
      <c r="Z181" s="276"/>
    </row>
    <row r="182" spans="1:26" ht="18.75" customHeight="1">
      <c r="A182" s="276"/>
      <c r="B182" s="276"/>
      <c r="C182" s="276"/>
      <c r="D182" s="276"/>
      <c r="E182" s="276"/>
      <c r="F182" s="276"/>
      <c r="G182" s="276"/>
      <c r="H182" s="276"/>
      <c r="I182" s="276"/>
      <c r="J182" s="276"/>
      <c r="K182" s="276"/>
      <c r="L182" s="276"/>
      <c r="M182" s="276"/>
      <c r="N182" s="276"/>
      <c r="O182" s="276"/>
      <c r="P182" s="276"/>
      <c r="Q182" s="276"/>
      <c r="R182" s="276"/>
      <c r="S182" s="276"/>
      <c r="T182" s="276"/>
      <c r="U182" s="276"/>
      <c r="V182" s="276"/>
      <c r="W182" s="276"/>
      <c r="X182" s="276"/>
      <c r="Y182" s="276"/>
      <c r="Z182" s="276"/>
    </row>
    <row r="183" spans="1:26" ht="18.75" customHeight="1">
      <c r="A183" s="276"/>
      <c r="B183" s="276"/>
      <c r="C183" s="276"/>
      <c r="D183" s="276"/>
      <c r="E183" s="276"/>
      <c r="F183" s="276"/>
      <c r="G183" s="276"/>
      <c r="H183" s="276"/>
      <c r="I183" s="276"/>
      <c r="J183" s="276"/>
      <c r="K183" s="276"/>
      <c r="L183" s="276"/>
      <c r="M183" s="276"/>
      <c r="N183" s="276"/>
      <c r="O183" s="276"/>
      <c r="P183" s="276"/>
      <c r="Q183" s="276"/>
      <c r="R183" s="276"/>
      <c r="S183" s="276"/>
      <c r="T183" s="276"/>
      <c r="U183" s="276"/>
      <c r="V183" s="276"/>
      <c r="W183" s="276"/>
      <c r="X183" s="276"/>
      <c r="Y183" s="276"/>
      <c r="Z183" s="276"/>
    </row>
    <row r="184" spans="1:26" ht="18.75" customHeight="1">
      <c r="A184" s="276"/>
      <c r="B184" s="276"/>
      <c r="C184" s="276"/>
      <c r="D184" s="276"/>
      <c r="E184" s="276"/>
      <c r="F184" s="276"/>
      <c r="G184" s="276"/>
      <c r="H184" s="276"/>
      <c r="I184" s="276"/>
      <c r="J184" s="276"/>
      <c r="K184" s="276"/>
      <c r="L184" s="276"/>
      <c r="M184" s="276"/>
      <c r="N184" s="276"/>
      <c r="O184" s="276"/>
      <c r="P184" s="276"/>
      <c r="Q184" s="276"/>
      <c r="R184" s="276"/>
      <c r="S184" s="276"/>
      <c r="T184" s="276"/>
      <c r="U184" s="276"/>
      <c r="V184" s="276"/>
      <c r="W184" s="276"/>
      <c r="X184" s="276"/>
      <c r="Y184" s="276"/>
      <c r="Z184" s="276"/>
    </row>
    <row r="185" spans="1:26" ht="18.75" customHeight="1">
      <c r="A185" s="276"/>
      <c r="B185" s="276"/>
      <c r="C185" s="276"/>
      <c r="D185" s="276"/>
      <c r="E185" s="276"/>
      <c r="F185" s="276"/>
      <c r="G185" s="276"/>
      <c r="H185" s="276"/>
      <c r="I185" s="276"/>
      <c r="J185" s="276"/>
      <c r="K185" s="276"/>
      <c r="L185" s="276"/>
      <c r="M185" s="276"/>
      <c r="N185" s="276"/>
      <c r="O185" s="276"/>
      <c r="P185" s="276"/>
      <c r="Q185" s="276"/>
      <c r="R185" s="276"/>
      <c r="S185" s="276"/>
      <c r="T185" s="276"/>
      <c r="U185" s="276"/>
      <c r="V185" s="276"/>
      <c r="W185" s="276"/>
      <c r="X185" s="276"/>
      <c r="Y185" s="276"/>
      <c r="Z185" s="276"/>
    </row>
    <row r="186" spans="1:26" ht="18.75" customHeight="1">
      <c r="A186" s="276"/>
      <c r="B186" s="276"/>
      <c r="C186" s="276"/>
      <c r="D186" s="276"/>
      <c r="E186" s="276"/>
      <c r="F186" s="276"/>
      <c r="G186" s="276"/>
      <c r="H186" s="276"/>
      <c r="I186" s="276"/>
      <c r="J186" s="276"/>
      <c r="K186" s="276"/>
      <c r="L186" s="276"/>
      <c r="M186" s="276"/>
      <c r="N186" s="276"/>
      <c r="O186" s="276"/>
      <c r="P186" s="276"/>
      <c r="Q186" s="276"/>
      <c r="R186" s="276"/>
      <c r="S186" s="276"/>
      <c r="T186" s="276"/>
      <c r="U186" s="276"/>
      <c r="V186" s="276"/>
      <c r="W186" s="276"/>
      <c r="X186" s="276"/>
      <c r="Y186" s="276"/>
      <c r="Z186" s="276"/>
    </row>
    <row r="187" spans="1:26" ht="18.75" customHeight="1">
      <c r="A187" s="276"/>
      <c r="B187" s="276"/>
      <c r="C187" s="276"/>
      <c r="D187" s="276"/>
      <c r="E187" s="276"/>
      <c r="F187" s="276"/>
      <c r="G187" s="276"/>
      <c r="H187" s="276"/>
      <c r="I187" s="276"/>
      <c r="J187" s="276"/>
      <c r="K187" s="276"/>
      <c r="L187" s="276"/>
      <c r="M187" s="276"/>
      <c r="N187" s="276"/>
      <c r="O187" s="276"/>
      <c r="P187" s="276"/>
      <c r="Q187" s="276"/>
      <c r="R187" s="276"/>
      <c r="S187" s="276"/>
      <c r="T187" s="276"/>
      <c r="U187" s="276"/>
      <c r="V187" s="276"/>
      <c r="W187" s="276"/>
      <c r="X187" s="276"/>
      <c r="Y187" s="276"/>
      <c r="Z187" s="276"/>
    </row>
    <row r="188" spans="1:26" ht="18.75" customHeight="1">
      <c r="A188" s="276"/>
      <c r="B188" s="276"/>
      <c r="C188" s="276"/>
      <c r="D188" s="276"/>
      <c r="E188" s="276"/>
      <c r="F188" s="276"/>
      <c r="G188" s="276"/>
      <c r="H188" s="276"/>
      <c r="I188" s="276"/>
      <c r="J188" s="276"/>
      <c r="K188" s="276"/>
      <c r="L188" s="276"/>
      <c r="M188" s="276"/>
      <c r="N188" s="276"/>
      <c r="O188" s="276"/>
      <c r="P188" s="276"/>
      <c r="Q188" s="276"/>
      <c r="R188" s="276"/>
      <c r="S188" s="276"/>
      <c r="T188" s="276"/>
      <c r="U188" s="276"/>
      <c r="V188" s="276"/>
      <c r="W188" s="276"/>
      <c r="X188" s="276"/>
      <c r="Y188" s="276"/>
      <c r="Z188" s="276"/>
    </row>
    <row r="189" spans="1:26" ht="18.75" customHeight="1">
      <c r="A189" s="276"/>
      <c r="B189" s="276"/>
      <c r="C189" s="276"/>
      <c r="D189" s="276"/>
      <c r="E189" s="276"/>
      <c r="F189" s="276"/>
      <c r="G189" s="276"/>
      <c r="H189" s="276"/>
      <c r="I189" s="276"/>
      <c r="J189" s="276"/>
      <c r="K189" s="276"/>
      <c r="L189" s="276"/>
      <c r="M189" s="276"/>
      <c r="N189" s="276"/>
      <c r="O189" s="276"/>
      <c r="P189" s="276"/>
      <c r="Q189" s="276"/>
      <c r="R189" s="276"/>
      <c r="S189" s="276"/>
      <c r="T189" s="276"/>
      <c r="U189" s="276"/>
      <c r="V189" s="276"/>
      <c r="W189" s="276"/>
      <c r="X189" s="276"/>
      <c r="Y189" s="276"/>
      <c r="Z189" s="276"/>
    </row>
    <row r="190" spans="1:26" ht="18.75" customHeight="1">
      <c r="A190" s="276"/>
      <c r="B190" s="276"/>
      <c r="C190" s="276"/>
      <c r="D190" s="276"/>
      <c r="E190" s="276"/>
      <c r="F190" s="276"/>
      <c r="G190" s="276"/>
      <c r="H190" s="276"/>
      <c r="I190" s="276"/>
      <c r="J190" s="276"/>
      <c r="K190" s="276"/>
      <c r="L190" s="276"/>
      <c r="M190" s="276"/>
      <c r="N190" s="276"/>
      <c r="O190" s="276"/>
      <c r="P190" s="276"/>
      <c r="Q190" s="276"/>
      <c r="R190" s="276"/>
      <c r="S190" s="276"/>
      <c r="T190" s="276"/>
      <c r="U190" s="276"/>
      <c r="V190" s="276"/>
      <c r="W190" s="276"/>
      <c r="X190" s="276"/>
      <c r="Y190" s="276"/>
      <c r="Z190" s="276"/>
    </row>
    <row r="191" spans="1:26" ht="18.75" customHeight="1">
      <c r="A191" s="276"/>
      <c r="B191" s="276"/>
      <c r="C191" s="276"/>
      <c r="D191" s="276"/>
      <c r="E191" s="276"/>
      <c r="F191" s="276"/>
      <c r="G191" s="276"/>
      <c r="H191" s="276"/>
      <c r="I191" s="276"/>
      <c r="J191" s="276"/>
      <c r="K191" s="276"/>
      <c r="L191" s="276"/>
      <c r="M191" s="276"/>
      <c r="N191" s="276"/>
      <c r="O191" s="276"/>
      <c r="P191" s="276"/>
      <c r="Q191" s="276"/>
      <c r="R191" s="276"/>
      <c r="S191" s="276"/>
      <c r="T191" s="276"/>
      <c r="U191" s="276"/>
      <c r="V191" s="276"/>
      <c r="W191" s="276"/>
      <c r="X191" s="276"/>
      <c r="Y191" s="276"/>
      <c r="Z191" s="276"/>
    </row>
    <row r="192" spans="1:26" ht="18.75" customHeight="1">
      <c r="A192" s="276"/>
      <c r="B192" s="276"/>
      <c r="C192" s="276"/>
      <c r="D192" s="276"/>
      <c r="E192" s="276"/>
      <c r="F192" s="276"/>
      <c r="G192" s="276"/>
      <c r="H192" s="276"/>
      <c r="I192" s="276"/>
      <c r="J192" s="276"/>
      <c r="K192" s="276"/>
      <c r="L192" s="276"/>
      <c r="M192" s="276"/>
      <c r="N192" s="276"/>
      <c r="O192" s="276"/>
      <c r="P192" s="276"/>
      <c r="Q192" s="276"/>
      <c r="R192" s="276"/>
      <c r="S192" s="276"/>
      <c r="T192" s="276"/>
      <c r="U192" s="276"/>
      <c r="V192" s="276"/>
      <c r="W192" s="276"/>
      <c r="X192" s="276"/>
      <c r="Y192" s="276"/>
      <c r="Z192" s="276"/>
    </row>
    <row r="193" spans="1:26" ht="18.75" customHeight="1">
      <c r="A193" s="276"/>
      <c r="B193" s="276"/>
      <c r="C193" s="276"/>
      <c r="D193" s="276"/>
      <c r="E193" s="276"/>
      <c r="F193" s="276"/>
      <c r="G193" s="276"/>
      <c r="H193" s="276"/>
      <c r="I193" s="276"/>
      <c r="J193" s="276"/>
      <c r="K193" s="276"/>
      <c r="L193" s="276"/>
      <c r="M193" s="276"/>
      <c r="N193" s="276"/>
      <c r="O193" s="276"/>
      <c r="P193" s="276"/>
      <c r="Q193" s="276"/>
      <c r="R193" s="276"/>
      <c r="S193" s="276"/>
      <c r="T193" s="276"/>
      <c r="U193" s="276"/>
      <c r="V193" s="276"/>
      <c r="W193" s="276"/>
      <c r="X193" s="276"/>
      <c r="Y193" s="276"/>
      <c r="Z193" s="276"/>
    </row>
    <row r="194" spans="1:26" ht="18.75" customHeight="1">
      <c r="A194" s="276"/>
      <c r="B194" s="276"/>
      <c r="C194" s="276"/>
      <c r="D194" s="276"/>
      <c r="E194" s="276"/>
      <c r="F194" s="276"/>
      <c r="G194" s="276"/>
      <c r="H194" s="276"/>
      <c r="I194" s="276"/>
      <c r="J194" s="276"/>
      <c r="K194" s="276"/>
      <c r="L194" s="276"/>
      <c r="M194" s="276"/>
      <c r="N194" s="276"/>
      <c r="O194" s="276"/>
      <c r="P194" s="276"/>
      <c r="Q194" s="276"/>
      <c r="R194" s="276"/>
      <c r="S194" s="276"/>
      <c r="T194" s="276"/>
      <c r="U194" s="276"/>
      <c r="V194" s="276"/>
      <c r="W194" s="276"/>
      <c r="X194" s="276"/>
      <c r="Y194" s="276"/>
      <c r="Z194" s="276"/>
    </row>
    <row r="195" spans="1:26" ht="18.75" customHeight="1">
      <c r="A195" s="276"/>
      <c r="B195" s="276"/>
      <c r="C195" s="276"/>
      <c r="D195" s="276"/>
      <c r="E195" s="276"/>
      <c r="F195" s="276"/>
      <c r="G195" s="276"/>
      <c r="H195" s="276"/>
      <c r="I195" s="276"/>
      <c r="J195" s="276"/>
      <c r="K195" s="276"/>
      <c r="L195" s="276"/>
      <c r="M195" s="276"/>
      <c r="N195" s="276"/>
      <c r="O195" s="276"/>
      <c r="P195" s="276"/>
      <c r="Q195" s="276"/>
      <c r="R195" s="276"/>
      <c r="S195" s="276"/>
      <c r="T195" s="276"/>
      <c r="U195" s="276"/>
      <c r="V195" s="276"/>
      <c r="W195" s="276"/>
      <c r="X195" s="276"/>
      <c r="Y195" s="276"/>
      <c r="Z195" s="276"/>
    </row>
    <row r="196" spans="1:26" ht="18.75" customHeight="1">
      <c r="A196" s="276"/>
      <c r="B196" s="276"/>
      <c r="C196" s="276"/>
      <c r="D196" s="276"/>
      <c r="E196" s="276"/>
      <c r="F196" s="276"/>
      <c r="G196" s="276"/>
      <c r="H196" s="276"/>
      <c r="I196" s="276"/>
      <c r="J196" s="276"/>
      <c r="K196" s="276"/>
      <c r="L196" s="276"/>
      <c r="M196" s="276"/>
      <c r="N196" s="276"/>
      <c r="O196" s="276"/>
      <c r="P196" s="276"/>
      <c r="Q196" s="276"/>
      <c r="R196" s="276"/>
      <c r="S196" s="276"/>
      <c r="T196" s="276"/>
      <c r="U196" s="276"/>
      <c r="V196" s="276"/>
      <c r="W196" s="276"/>
      <c r="X196" s="276"/>
      <c r="Y196" s="276"/>
      <c r="Z196" s="276"/>
    </row>
    <row r="197" spans="1:26" ht="18.75" customHeight="1">
      <c r="A197" s="276"/>
      <c r="B197" s="276"/>
      <c r="C197" s="276"/>
      <c r="D197" s="276"/>
      <c r="E197" s="276"/>
      <c r="F197" s="276"/>
      <c r="G197" s="276"/>
      <c r="H197" s="276"/>
      <c r="I197" s="276"/>
      <c r="J197" s="276"/>
      <c r="K197" s="276"/>
      <c r="L197" s="276"/>
      <c r="M197" s="276"/>
      <c r="N197" s="276"/>
      <c r="O197" s="276"/>
      <c r="P197" s="276"/>
      <c r="Q197" s="276"/>
      <c r="R197" s="276"/>
      <c r="S197" s="276"/>
      <c r="T197" s="276"/>
      <c r="U197" s="276"/>
      <c r="V197" s="276"/>
      <c r="W197" s="276"/>
      <c r="X197" s="276"/>
      <c r="Y197" s="276"/>
      <c r="Z197" s="276"/>
    </row>
    <row r="198" spans="1:26" ht="18.75" customHeight="1">
      <c r="A198" s="276"/>
      <c r="B198" s="276"/>
      <c r="C198" s="276"/>
      <c r="D198" s="276"/>
      <c r="E198" s="276"/>
      <c r="F198" s="276"/>
      <c r="G198" s="276"/>
      <c r="H198" s="276"/>
      <c r="I198" s="276"/>
      <c r="J198" s="276"/>
      <c r="K198" s="276"/>
      <c r="L198" s="276"/>
      <c r="M198" s="276"/>
      <c r="N198" s="276"/>
      <c r="O198" s="276"/>
      <c r="P198" s="276"/>
      <c r="Q198" s="276"/>
      <c r="R198" s="276"/>
      <c r="S198" s="276"/>
      <c r="T198" s="276"/>
      <c r="U198" s="276"/>
      <c r="V198" s="276"/>
      <c r="W198" s="276"/>
      <c r="X198" s="276"/>
      <c r="Y198" s="276"/>
      <c r="Z198" s="276"/>
    </row>
    <row r="199" spans="1:26" ht="18.75" customHeight="1">
      <c r="A199" s="276"/>
      <c r="B199" s="276"/>
      <c r="C199" s="276"/>
      <c r="D199" s="276"/>
      <c r="E199" s="276"/>
      <c r="F199" s="276"/>
      <c r="G199" s="276"/>
      <c r="H199" s="276"/>
      <c r="I199" s="276"/>
      <c r="J199" s="276"/>
      <c r="K199" s="276"/>
      <c r="L199" s="276"/>
      <c r="M199" s="276"/>
      <c r="N199" s="276"/>
      <c r="O199" s="276"/>
      <c r="P199" s="276"/>
      <c r="Q199" s="276"/>
      <c r="R199" s="276"/>
      <c r="S199" s="276"/>
      <c r="T199" s="276"/>
      <c r="U199" s="276"/>
      <c r="V199" s="276"/>
      <c r="W199" s="276"/>
      <c r="X199" s="276"/>
      <c r="Y199" s="276"/>
      <c r="Z199" s="276"/>
    </row>
    <row r="200" spans="1:26" ht="18.75" customHeight="1">
      <c r="A200" s="276"/>
      <c r="B200" s="276"/>
      <c r="C200" s="276"/>
      <c r="D200" s="276"/>
      <c r="E200" s="276"/>
      <c r="F200" s="276"/>
      <c r="G200" s="276"/>
      <c r="H200" s="276"/>
      <c r="I200" s="276"/>
      <c r="J200" s="276"/>
      <c r="K200" s="276"/>
      <c r="L200" s="276"/>
      <c r="M200" s="276"/>
      <c r="N200" s="276"/>
      <c r="O200" s="276"/>
      <c r="P200" s="276"/>
      <c r="Q200" s="276"/>
      <c r="R200" s="276"/>
      <c r="S200" s="276"/>
      <c r="T200" s="276"/>
      <c r="U200" s="276"/>
      <c r="V200" s="276"/>
      <c r="W200" s="276"/>
      <c r="X200" s="276"/>
      <c r="Y200" s="276"/>
      <c r="Z200" s="276"/>
    </row>
    <row r="201" spans="1:26" ht="18.75" customHeight="1">
      <c r="A201" s="276"/>
      <c r="B201" s="276"/>
      <c r="C201" s="276"/>
      <c r="D201" s="276"/>
      <c r="E201" s="276"/>
      <c r="F201" s="276"/>
      <c r="G201" s="276"/>
      <c r="H201" s="276"/>
      <c r="I201" s="276"/>
      <c r="J201" s="276"/>
      <c r="K201" s="276"/>
      <c r="L201" s="276"/>
      <c r="M201" s="276"/>
      <c r="N201" s="276"/>
      <c r="O201" s="276"/>
      <c r="P201" s="276"/>
      <c r="Q201" s="276"/>
      <c r="R201" s="276"/>
      <c r="S201" s="276"/>
      <c r="T201" s="276"/>
      <c r="U201" s="276"/>
      <c r="V201" s="276"/>
      <c r="W201" s="276"/>
      <c r="X201" s="276"/>
      <c r="Y201" s="276"/>
      <c r="Z201" s="276"/>
    </row>
    <row r="202" spans="1:26" ht="18.75" customHeight="1">
      <c r="A202" s="276"/>
      <c r="B202" s="276"/>
      <c r="C202" s="276"/>
      <c r="D202" s="276"/>
      <c r="E202" s="276"/>
      <c r="F202" s="276"/>
      <c r="G202" s="276"/>
      <c r="H202" s="276"/>
      <c r="I202" s="276"/>
      <c r="J202" s="276"/>
      <c r="K202" s="276"/>
      <c r="L202" s="276"/>
      <c r="M202" s="276"/>
      <c r="N202" s="276"/>
      <c r="O202" s="276"/>
      <c r="P202" s="276"/>
      <c r="Q202" s="276"/>
      <c r="R202" s="276"/>
      <c r="S202" s="276"/>
      <c r="T202" s="276"/>
      <c r="U202" s="276"/>
      <c r="V202" s="276"/>
      <c r="W202" s="276"/>
      <c r="X202" s="276"/>
      <c r="Y202" s="276"/>
      <c r="Z202" s="276"/>
    </row>
    <row r="203" spans="1:26" ht="18.75" customHeight="1">
      <c r="A203" s="276"/>
      <c r="B203" s="276"/>
      <c r="C203" s="276"/>
      <c r="D203" s="276"/>
      <c r="E203" s="276"/>
      <c r="F203" s="276"/>
      <c r="G203" s="276"/>
      <c r="H203" s="276"/>
      <c r="I203" s="276"/>
      <c r="J203" s="276"/>
      <c r="K203" s="276"/>
      <c r="L203" s="276"/>
      <c r="M203" s="276"/>
      <c r="N203" s="276"/>
      <c r="O203" s="276"/>
      <c r="P203" s="276"/>
      <c r="Q203" s="276"/>
      <c r="R203" s="276"/>
      <c r="S203" s="276"/>
      <c r="T203" s="276"/>
      <c r="U203" s="276"/>
      <c r="V203" s="276"/>
      <c r="W203" s="276"/>
      <c r="X203" s="276"/>
      <c r="Y203" s="276"/>
      <c r="Z203" s="276"/>
    </row>
    <row r="204" spans="1:26" ht="18.75" customHeight="1">
      <c r="A204" s="276"/>
      <c r="B204" s="276"/>
      <c r="C204" s="276"/>
      <c r="D204" s="276"/>
      <c r="E204" s="276"/>
      <c r="F204" s="276"/>
      <c r="G204" s="276"/>
      <c r="H204" s="276"/>
      <c r="I204" s="276"/>
      <c r="J204" s="276"/>
      <c r="K204" s="276"/>
      <c r="L204" s="276"/>
      <c r="M204" s="276"/>
      <c r="N204" s="276"/>
      <c r="O204" s="276"/>
      <c r="P204" s="276"/>
      <c r="Q204" s="276"/>
      <c r="R204" s="276"/>
      <c r="S204" s="276"/>
      <c r="T204" s="276"/>
      <c r="U204" s="276"/>
      <c r="V204" s="276"/>
      <c r="W204" s="276"/>
      <c r="X204" s="276"/>
      <c r="Y204" s="276"/>
      <c r="Z204" s="276"/>
    </row>
    <row r="205" spans="1:26" ht="18.75" customHeight="1">
      <c r="A205" s="276"/>
      <c r="B205" s="276"/>
      <c r="C205" s="276"/>
      <c r="D205" s="276"/>
      <c r="E205" s="276"/>
      <c r="F205" s="276"/>
      <c r="G205" s="276"/>
      <c r="H205" s="276"/>
      <c r="I205" s="276"/>
      <c r="J205" s="276"/>
      <c r="K205" s="276"/>
      <c r="L205" s="276"/>
      <c r="M205" s="276"/>
      <c r="N205" s="276"/>
      <c r="O205" s="276"/>
      <c r="P205" s="276"/>
      <c r="Q205" s="276"/>
      <c r="R205" s="276"/>
      <c r="S205" s="276"/>
      <c r="T205" s="276"/>
      <c r="U205" s="276"/>
      <c r="V205" s="276"/>
      <c r="W205" s="276"/>
      <c r="X205" s="276"/>
      <c r="Y205" s="276"/>
      <c r="Z205" s="276"/>
    </row>
    <row r="206" spans="1:26" ht="18.75" customHeight="1">
      <c r="A206" s="276"/>
      <c r="B206" s="276"/>
      <c r="C206" s="276"/>
      <c r="D206" s="276"/>
      <c r="E206" s="276"/>
      <c r="F206" s="276"/>
      <c r="G206" s="276"/>
      <c r="H206" s="276"/>
      <c r="I206" s="276"/>
      <c r="J206" s="276"/>
      <c r="K206" s="276"/>
      <c r="L206" s="276"/>
      <c r="M206" s="276"/>
      <c r="N206" s="276"/>
      <c r="O206" s="276"/>
      <c r="P206" s="276"/>
      <c r="Q206" s="276"/>
      <c r="R206" s="276"/>
      <c r="S206" s="276"/>
      <c r="T206" s="276"/>
      <c r="U206" s="276"/>
      <c r="V206" s="276"/>
      <c r="W206" s="276"/>
      <c r="X206" s="276"/>
      <c r="Y206" s="276"/>
      <c r="Z206" s="276"/>
    </row>
    <row r="207" spans="1:26" ht="18.75" customHeight="1">
      <c r="A207" s="276"/>
      <c r="B207" s="276"/>
      <c r="C207" s="276"/>
      <c r="D207" s="276"/>
      <c r="E207" s="276"/>
      <c r="F207" s="276"/>
      <c r="G207" s="276"/>
      <c r="H207" s="276"/>
      <c r="I207" s="276"/>
      <c r="J207" s="276"/>
      <c r="K207" s="276"/>
      <c r="L207" s="276"/>
      <c r="M207" s="276"/>
      <c r="N207" s="276"/>
      <c r="O207" s="276"/>
      <c r="P207" s="276"/>
      <c r="Q207" s="276"/>
      <c r="R207" s="276"/>
      <c r="S207" s="276"/>
      <c r="T207" s="276"/>
      <c r="U207" s="276"/>
      <c r="V207" s="276"/>
      <c r="W207" s="276"/>
      <c r="X207" s="276"/>
      <c r="Y207" s="276"/>
      <c r="Z207" s="276"/>
    </row>
    <row r="208" spans="1:26" ht="18.75" customHeight="1">
      <c r="A208" s="276"/>
      <c r="B208" s="276"/>
      <c r="C208" s="276"/>
      <c r="D208" s="276"/>
      <c r="E208" s="276"/>
      <c r="F208" s="276"/>
      <c r="G208" s="276"/>
      <c r="H208" s="276"/>
      <c r="I208" s="276"/>
      <c r="J208" s="276"/>
      <c r="K208" s="276"/>
      <c r="L208" s="276"/>
      <c r="M208" s="276"/>
      <c r="N208" s="276"/>
      <c r="O208" s="276"/>
      <c r="P208" s="276"/>
      <c r="Q208" s="276"/>
      <c r="R208" s="276"/>
      <c r="S208" s="276"/>
      <c r="T208" s="276"/>
      <c r="U208" s="276"/>
      <c r="V208" s="276"/>
      <c r="W208" s="276"/>
      <c r="X208" s="276"/>
      <c r="Y208" s="276"/>
      <c r="Z208" s="276"/>
    </row>
    <row r="209" spans="1:26" ht="18.75" customHeight="1">
      <c r="A209" s="276"/>
      <c r="B209" s="276"/>
      <c r="C209" s="276"/>
      <c r="D209" s="276"/>
      <c r="E209" s="276"/>
      <c r="F209" s="276"/>
      <c r="G209" s="276"/>
      <c r="H209" s="276"/>
      <c r="I209" s="276"/>
      <c r="J209" s="276"/>
      <c r="K209" s="276"/>
      <c r="L209" s="276"/>
      <c r="M209" s="276"/>
      <c r="N209" s="276"/>
      <c r="O209" s="276"/>
      <c r="P209" s="276"/>
      <c r="Q209" s="276"/>
      <c r="R209" s="276"/>
      <c r="S209" s="276"/>
      <c r="T209" s="276"/>
      <c r="U209" s="276"/>
      <c r="V209" s="276"/>
      <c r="W209" s="276"/>
      <c r="X209" s="276"/>
      <c r="Y209" s="276"/>
      <c r="Z209" s="276"/>
    </row>
    <row r="210" spans="1:26" ht="18.75" customHeight="1">
      <c r="A210" s="276"/>
      <c r="B210" s="276"/>
      <c r="C210" s="276"/>
      <c r="D210" s="276"/>
      <c r="E210" s="276"/>
      <c r="F210" s="276"/>
      <c r="G210" s="276"/>
      <c r="H210" s="276"/>
      <c r="I210" s="276"/>
      <c r="J210" s="276"/>
      <c r="K210" s="276"/>
      <c r="L210" s="276"/>
      <c r="M210" s="276"/>
      <c r="N210" s="276"/>
      <c r="O210" s="276"/>
      <c r="P210" s="276"/>
      <c r="Q210" s="276"/>
      <c r="R210" s="276"/>
      <c r="S210" s="276"/>
      <c r="T210" s="276"/>
      <c r="U210" s="276"/>
      <c r="V210" s="276"/>
      <c r="W210" s="276"/>
      <c r="X210" s="276"/>
      <c r="Y210" s="276"/>
      <c r="Z210" s="276"/>
    </row>
    <row r="211" spans="1:26" ht="18.75" customHeight="1">
      <c r="A211" s="276"/>
      <c r="B211" s="276"/>
      <c r="C211" s="276"/>
      <c r="D211" s="276"/>
      <c r="E211" s="276"/>
      <c r="F211" s="276"/>
      <c r="G211" s="276"/>
      <c r="H211" s="276"/>
      <c r="I211" s="276"/>
      <c r="J211" s="276"/>
      <c r="K211" s="276"/>
      <c r="L211" s="276"/>
      <c r="M211" s="276"/>
      <c r="N211" s="276"/>
      <c r="O211" s="276"/>
      <c r="P211" s="276"/>
      <c r="Q211" s="276"/>
      <c r="R211" s="276"/>
      <c r="S211" s="276"/>
      <c r="T211" s="276"/>
      <c r="U211" s="276"/>
      <c r="V211" s="276"/>
      <c r="W211" s="276"/>
      <c r="X211" s="276"/>
      <c r="Y211" s="276"/>
      <c r="Z211" s="276"/>
    </row>
    <row r="212" spans="1:26" ht="18.75" customHeight="1">
      <c r="A212" s="276"/>
      <c r="B212" s="276"/>
      <c r="C212" s="276"/>
      <c r="D212" s="276"/>
      <c r="E212" s="276"/>
      <c r="F212" s="276"/>
      <c r="G212" s="276"/>
      <c r="H212" s="276"/>
      <c r="I212" s="276"/>
      <c r="J212" s="276"/>
      <c r="K212" s="276"/>
      <c r="L212" s="276"/>
      <c r="M212" s="276"/>
      <c r="N212" s="276"/>
      <c r="O212" s="276"/>
      <c r="P212" s="276"/>
      <c r="Q212" s="276"/>
      <c r="R212" s="276"/>
      <c r="S212" s="276"/>
      <c r="T212" s="276"/>
      <c r="U212" s="276"/>
      <c r="V212" s="276"/>
      <c r="W212" s="276"/>
      <c r="X212" s="276"/>
      <c r="Y212" s="276"/>
      <c r="Z212" s="276"/>
    </row>
    <row r="213" spans="1:26" ht="18.75" customHeight="1">
      <c r="A213" s="276"/>
      <c r="B213" s="276"/>
      <c r="C213" s="276"/>
      <c r="D213" s="276"/>
      <c r="E213" s="276"/>
      <c r="F213" s="276"/>
      <c r="G213" s="276"/>
      <c r="H213" s="276"/>
      <c r="I213" s="276"/>
      <c r="J213" s="276"/>
      <c r="K213" s="276"/>
      <c r="L213" s="276"/>
      <c r="M213" s="276"/>
      <c r="N213" s="276"/>
      <c r="O213" s="276"/>
      <c r="P213" s="276"/>
      <c r="Q213" s="276"/>
      <c r="R213" s="276"/>
      <c r="S213" s="276"/>
      <c r="T213" s="276"/>
      <c r="U213" s="276"/>
      <c r="V213" s="276"/>
      <c r="W213" s="276"/>
      <c r="X213" s="276"/>
      <c r="Y213" s="276"/>
      <c r="Z213" s="276"/>
    </row>
    <row r="214" spans="1:26" ht="18.75" customHeight="1">
      <c r="A214" s="276"/>
      <c r="B214" s="276"/>
      <c r="C214" s="276"/>
      <c r="D214" s="276"/>
      <c r="E214" s="276"/>
      <c r="F214" s="276"/>
      <c r="G214" s="276"/>
      <c r="H214" s="276"/>
      <c r="I214" s="276"/>
      <c r="J214" s="276"/>
      <c r="K214" s="276"/>
      <c r="L214" s="276"/>
      <c r="M214" s="276"/>
      <c r="N214" s="276"/>
      <c r="O214" s="276"/>
      <c r="P214" s="276"/>
      <c r="Q214" s="276"/>
      <c r="R214" s="276"/>
      <c r="S214" s="276"/>
      <c r="T214" s="276"/>
      <c r="U214" s="276"/>
      <c r="V214" s="276"/>
      <c r="W214" s="276"/>
      <c r="X214" s="276"/>
      <c r="Y214" s="276"/>
      <c r="Z214" s="276"/>
    </row>
    <row r="215" spans="1:26" ht="18.75" customHeight="1">
      <c r="A215" s="276"/>
      <c r="B215" s="276"/>
      <c r="C215" s="276"/>
      <c r="D215" s="276"/>
      <c r="E215" s="276"/>
      <c r="F215" s="276"/>
      <c r="G215" s="276"/>
      <c r="H215" s="276"/>
      <c r="I215" s="276"/>
      <c r="J215" s="276"/>
      <c r="K215" s="276"/>
      <c r="L215" s="276"/>
      <c r="M215" s="276"/>
      <c r="N215" s="276"/>
      <c r="O215" s="276"/>
      <c r="P215" s="276"/>
      <c r="Q215" s="276"/>
      <c r="R215" s="276"/>
      <c r="S215" s="276"/>
      <c r="T215" s="276"/>
      <c r="U215" s="276"/>
      <c r="V215" s="276"/>
      <c r="W215" s="276"/>
      <c r="X215" s="276"/>
      <c r="Y215" s="276"/>
      <c r="Z215" s="276"/>
    </row>
    <row r="216" spans="1:26" ht="18.75" customHeight="1">
      <c r="A216" s="276"/>
      <c r="B216" s="276"/>
      <c r="C216" s="276"/>
      <c r="D216" s="276"/>
      <c r="E216" s="276"/>
      <c r="F216" s="276"/>
      <c r="G216" s="276"/>
      <c r="H216" s="276"/>
      <c r="I216" s="276"/>
      <c r="J216" s="276"/>
      <c r="K216" s="276"/>
      <c r="L216" s="276"/>
      <c r="M216" s="276"/>
      <c r="N216" s="276"/>
      <c r="O216" s="276"/>
      <c r="P216" s="276"/>
      <c r="Q216" s="276"/>
      <c r="R216" s="276"/>
      <c r="S216" s="276"/>
      <c r="T216" s="276"/>
      <c r="U216" s="276"/>
      <c r="V216" s="276"/>
      <c r="W216" s="276"/>
      <c r="X216" s="276"/>
      <c r="Y216" s="276"/>
      <c r="Z216" s="276"/>
    </row>
    <row r="217" spans="1:26" ht="18.75" customHeight="1">
      <c r="A217" s="276"/>
      <c r="B217" s="276"/>
      <c r="C217" s="276"/>
      <c r="D217" s="276"/>
      <c r="E217" s="276"/>
      <c r="F217" s="276"/>
      <c r="G217" s="276"/>
      <c r="H217" s="276"/>
      <c r="I217" s="276"/>
      <c r="J217" s="276"/>
      <c r="K217" s="276"/>
      <c r="L217" s="276"/>
      <c r="M217" s="276"/>
      <c r="N217" s="276"/>
      <c r="O217" s="276"/>
      <c r="P217" s="276"/>
      <c r="Q217" s="276"/>
      <c r="R217" s="276"/>
      <c r="S217" s="276"/>
      <c r="T217" s="276"/>
      <c r="U217" s="276"/>
      <c r="V217" s="276"/>
      <c r="W217" s="276"/>
      <c r="X217" s="276"/>
      <c r="Y217" s="276"/>
      <c r="Z217" s="276"/>
    </row>
    <row r="218" spans="1:26" ht="18.75" customHeight="1">
      <c r="A218" s="276"/>
      <c r="B218" s="276"/>
      <c r="C218" s="276"/>
      <c r="D218" s="276"/>
      <c r="E218" s="276"/>
      <c r="F218" s="276"/>
      <c r="G218" s="276"/>
      <c r="H218" s="276"/>
      <c r="I218" s="276"/>
      <c r="J218" s="276"/>
      <c r="K218" s="276"/>
      <c r="L218" s="276"/>
      <c r="M218" s="276"/>
      <c r="N218" s="276"/>
      <c r="O218" s="276"/>
      <c r="P218" s="276"/>
      <c r="Q218" s="276"/>
      <c r="R218" s="276"/>
      <c r="S218" s="276"/>
      <c r="T218" s="276"/>
      <c r="U218" s="276"/>
      <c r="V218" s="276"/>
      <c r="W218" s="276"/>
      <c r="X218" s="276"/>
      <c r="Y218" s="276"/>
      <c r="Z218" s="276"/>
    </row>
    <row r="219" spans="1:26" ht="18.75" customHeight="1">
      <c r="A219" s="276"/>
      <c r="B219" s="276"/>
      <c r="C219" s="276"/>
      <c r="D219" s="276"/>
      <c r="E219" s="276"/>
      <c r="F219" s="276"/>
      <c r="G219" s="276"/>
      <c r="H219" s="276"/>
      <c r="I219" s="276"/>
      <c r="J219" s="276"/>
      <c r="K219" s="276"/>
      <c r="L219" s="276"/>
      <c r="M219" s="276"/>
      <c r="N219" s="276"/>
      <c r="O219" s="276"/>
      <c r="P219" s="276"/>
      <c r="Q219" s="276"/>
      <c r="R219" s="276"/>
      <c r="S219" s="276"/>
      <c r="T219" s="276"/>
      <c r="U219" s="276"/>
      <c r="V219" s="276"/>
      <c r="W219" s="276"/>
      <c r="X219" s="276"/>
      <c r="Y219" s="276"/>
      <c r="Z219" s="276"/>
    </row>
    <row r="220" spans="1:26" ht="18.75" customHeight="1">
      <c r="A220" s="276"/>
      <c r="B220" s="276"/>
      <c r="C220" s="276"/>
      <c r="D220" s="276"/>
      <c r="E220" s="276"/>
      <c r="F220" s="276"/>
      <c r="G220" s="276"/>
      <c r="H220" s="276"/>
      <c r="I220" s="276"/>
      <c r="J220" s="276"/>
      <c r="K220" s="276"/>
      <c r="L220" s="276"/>
      <c r="M220" s="276"/>
      <c r="N220" s="276"/>
      <c r="O220" s="276"/>
      <c r="P220" s="276"/>
      <c r="Q220" s="276"/>
      <c r="R220" s="276"/>
      <c r="S220" s="276"/>
      <c r="T220" s="276"/>
      <c r="U220" s="276"/>
      <c r="V220" s="276"/>
      <c r="W220" s="276"/>
      <c r="X220" s="276"/>
      <c r="Y220" s="276"/>
      <c r="Z220" s="276"/>
    </row>
    <row r="221" spans="1:26" ht="18.75" customHeight="1">
      <c r="A221" s="276"/>
      <c r="B221" s="276"/>
      <c r="C221" s="276"/>
      <c r="D221" s="276"/>
      <c r="E221" s="276"/>
      <c r="F221" s="276"/>
      <c r="G221" s="276"/>
      <c r="H221" s="276"/>
      <c r="I221" s="276"/>
      <c r="J221" s="276"/>
      <c r="K221" s="276"/>
      <c r="L221" s="276"/>
      <c r="M221" s="276"/>
      <c r="N221" s="276"/>
      <c r="O221" s="276"/>
      <c r="P221" s="276"/>
      <c r="Q221" s="276"/>
      <c r="R221" s="276"/>
      <c r="S221" s="276"/>
      <c r="T221" s="276"/>
      <c r="U221" s="276"/>
      <c r="V221" s="276"/>
      <c r="W221" s="276"/>
      <c r="X221" s="276"/>
      <c r="Y221" s="276"/>
      <c r="Z221" s="276"/>
    </row>
    <row r="222" spans="1:26" ht="18.75" customHeight="1">
      <c r="A222" s="276"/>
      <c r="B222" s="276"/>
      <c r="C222" s="276"/>
      <c r="D222" s="276"/>
      <c r="E222" s="276"/>
      <c r="F222" s="276"/>
      <c r="G222" s="276"/>
      <c r="H222" s="276"/>
      <c r="I222" s="276"/>
      <c r="J222" s="276"/>
      <c r="K222" s="276"/>
      <c r="L222" s="276"/>
      <c r="M222" s="276"/>
      <c r="N222" s="276"/>
      <c r="O222" s="276"/>
      <c r="P222" s="276"/>
      <c r="Q222" s="276"/>
      <c r="R222" s="276"/>
      <c r="S222" s="276"/>
      <c r="T222" s="276"/>
      <c r="U222" s="276"/>
      <c r="V222" s="276"/>
      <c r="W222" s="276"/>
      <c r="X222" s="276"/>
      <c r="Y222" s="276"/>
      <c r="Z222" s="276"/>
    </row>
    <row r="223" spans="1:26" ht="18.75" customHeight="1">
      <c r="A223" s="276"/>
      <c r="B223" s="276"/>
      <c r="C223" s="276"/>
      <c r="D223" s="276"/>
      <c r="E223" s="276"/>
      <c r="F223" s="276"/>
      <c r="G223" s="276"/>
      <c r="H223" s="276"/>
      <c r="I223" s="276"/>
      <c r="J223" s="276"/>
      <c r="K223" s="276"/>
      <c r="L223" s="276"/>
      <c r="M223" s="276"/>
      <c r="N223" s="276"/>
      <c r="O223" s="276"/>
      <c r="P223" s="276"/>
      <c r="Q223" s="276"/>
      <c r="R223" s="276"/>
      <c r="S223" s="276"/>
      <c r="T223" s="276"/>
      <c r="U223" s="276"/>
      <c r="V223" s="276"/>
      <c r="W223" s="276"/>
      <c r="X223" s="276"/>
      <c r="Y223" s="276"/>
      <c r="Z223" s="276"/>
    </row>
    <row r="224" spans="1:26" ht="18.75" customHeight="1">
      <c r="A224" s="276"/>
      <c r="B224" s="276"/>
      <c r="C224" s="276"/>
      <c r="D224" s="276"/>
      <c r="E224" s="276"/>
      <c r="F224" s="276"/>
      <c r="G224" s="276"/>
      <c r="H224" s="276"/>
      <c r="I224" s="276"/>
      <c r="J224" s="276"/>
      <c r="K224" s="276"/>
      <c r="L224" s="276"/>
      <c r="M224" s="276"/>
      <c r="N224" s="276"/>
      <c r="O224" s="276"/>
      <c r="P224" s="276"/>
      <c r="Q224" s="276"/>
      <c r="R224" s="276"/>
      <c r="S224" s="276"/>
      <c r="T224" s="276"/>
      <c r="U224" s="276"/>
      <c r="V224" s="276"/>
      <c r="W224" s="276"/>
      <c r="X224" s="276"/>
      <c r="Y224" s="276"/>
      <c r="Z224" s="276"/>
    </row>
    <row r="225" spans="1:26" ht="18.75" customHeight="1">
      <c r="A225" s="276"/>
      <c r="B225" s="276"/>
      <c r="C225" s="276"/>
      <c r="D225" s="276"/>
      <c r="E225" s="276"/>
      <c r="F225" s="276"/>
      <c r="G225" s="276"/>
      <c r="H225" s="276"/>
      <c r="I225" s="276"/>
      <c r="J225" s="276"/>
      <c r="K225" s="276"/>
      <c r="L225" s="276"/>
      <c r="M225" s="276"/>
      <c r="N225" s="276"/>
      <c r="O225" s="276"/>
      <c r="P225" s="276"/>
      <c r="Q225" s="276"/>
      <c r="R225" s="276"/>
      <c r="S225" s="276"/>
      <c r="T225" s="276"/>
      <c r="U225" s="276"/>
      <c r="V225" s="276"/>
      <c r="W225" s="276"/>
      <c r="X225" s="276"/>
      <c r="Y225" s="276"/>
      <c r="Z225" s="276"/>
    </row>
    <row r="226" spans="1:26" ht="18.75" customHeight="1">
      <c r="A226" s="276"/>
      <c r="B226" s="276"/>
      <c r="C226" s="276"/>
      <c r="D226" s="276"/>
      <c r="E226" s="276"/>
      <c r="F226" s="276"/>
      <c r="G226" s="276"/>
      <c r="H226" s="276"/>
      <c r="I226" s="276"/>
      <c r="J226" s="276"/>
      <c r="K226" s="276"/>
      <c r="L226" s="276"/>
      <c r="M226" s="276"/>
      <c r="N226" s="276"/>
      <c r="O226" s="276"/>
      <c r="P226" s="276"/>
      <c r="Q226" s="276"/>
      <c r="R226" s="276"/>
      <c r="S226" s="276"/>
      <c r="T226" s="276"/>
      <c r="U226" s="276"/>
      <c r="V226" s="276"/>
      <c r="W226" s="276"/>
      <c r="X226" s="276"/>
      <c r="Y226" s="276"/>
      <c r="Z226" s="276"/>
    </row>
    <row r="227" spans="1:26" ht="18.75" customHeight="1">
      <c r="A227" s="276"/>
      <c r="B227" s="276"/>
      <c r="C227" s="276"/>
      <c r="D227" s="276"/>
      <c r="E227" s="276"/>
      <c r="F227" s="276"/>
      <c r="G227" s="276"/>
      <c r="H227" s="276"/>
      <c r="I227" s="276"/>
      <c r="J227" s="276"/>
      <c r="K227" s="276"/>
      <c r="L227" s="276"/>
      <c r="M227" s="276"/>
      <c r="N227" s="276"/>
      <c r="O227" s="276"/>
      <c r="P227" s="276"/>
      <c r="Q227" s="276"/>
      <c r="R227" s="276"/>
      <c r="S227" s="276"/>
      <c r="T227" s="276"/>
      <c r="U227" s="276"/>
      <c r="V227" s="276"/>
      <c r="W227" s="276"/>
      <c r="X227" s="276"/>
      <c r="Y227" s="276"/>
      <c r="Z227" s="276"/>
    </row>
    <row r="228" spans="1:26" ht="18.75" customHeight="1">
      <c r="A228" s="276"/>
      <c r="B228" s="276"/>
      <c r="C228" s="276"/>
      <c r="D228" s="276"/>
      <c r="E228" s="276"/>
      <c r="F228" s="276"/>
      <c r="G228" s="276"/>
      <c r="H228" s="276"/>
      <c r="I228" s="276"/>
      <c r="J228" s="276"/>
      <c r="K228" s="276"/>
      <c r="L228" s="276"/>
      <c r="M228" s="276"/>
      <c r="N228" s="276"/>
      <c r="O228" s="276"/>
      <c r="P228" s="276"/>
      <c r="Q228" s="276"/>
      <c r="R228" s="276"/>
      <c r="S228" s="276"/>
      <c r="T228" s="276"/>
      <c r="U228" s="276"/>
      <c r="V228" s="276"/>
      <c r="W228" s="276"/>
      <c r="X228" s="276"/>
      <c r="Y228" s="276"/>
      <c r="Z228" s="276"/>
    </row>
    <row r="229" spans="1:26" ht="18.75" customHeight="1">
      <c r="A229" s="276"/>
      <c r="B229" s="276"/>
      <c r="C229" s="276"/>
      <c r="D229" s="276"/>
      <c r="E229" s="276"/>
      <c r="F229" s="276"/>
      <c r="G229" s="276"/>
      <c r="H229" s="276"/>
      <c r="I229" s="276"/>
      <c r="J229" s="276"/>
      <c r="K229" s="276"/>
      <c r="L229" s="276"/>
      <c r="M229" s="276"/>
      <c r="N229" s="276"/>
      <c r="O229" s="276"/>
      <c r="P229" s="276"/>
      <c r="Q229" s="276"/>
      <c r="R229" s="276"/>
      <c r="S229" s="276"/>
      <c r="T229" s="276"/>
      <c r="U229" s="276"/>
      <c r="V229" s="276"/>
      <c r="W229" s="276"/>
      <c r="X229" s="276"/>
      <c r="Y229" s="276"/>
      <c r="Z229" s="276"/>
    </row>
    <row r="230" spans="1:26" ht="18.75" customHeight="1">
      <c r="A230" s="276"/>
      <c r="B230" s="276"/>
      <c r="C230" s="276"/>
      <c r="D230" s="276"/>
      <c r="E230" s="276"/>
      <c r="F230" s="276"/>
      <c r="G230" s="276"/>
      <c r="H230" s="276"/>
      <c r="I230" s="276"/>
      <c r="J230" s="276"/>
      <c r="K230" s="276"/>
      <c r="L230" s="276"/>
      <c r="M230" s="276"/>
      <c r="N230" s="276"/>
      <c r="O230" s="276"/>
      <c r="P230" s="276"/>
      <c r="Q230" s="276"/>
      <c r="R230" s="276"/>
      <c r="S230" s="276"/>
      <c r="T230" s="276"/>
      <c r="U230" s="276"/>
      <c r="V230" s="276"/>
      <c r="W230" s="276"/>
      <c r="X230" s="276"/>
      <c r="Y230" s="276"/>
      <c r="Z230" s="276"/>
    </row>
    <row r="231" spans="1:26" ht="18.75" customHeight="1">
      <c r="A231" s="276"/>
      <c r="B231" s="276"/>
      <c r="C231" s="276"/>
      <c r="D231" s="276"/>
      <c r="E231" s="276"/>
      <c r="F231" s="276"/>
      <c r="G231" s="276"/>
      <c r="H231" s="276"/>
      <c r="I231" s="276"/>
      <c r="J231" s="276"/>
      <c r="K231" s="276"/>
      <c r="L231" s="276"/>
      <c r="M231" s="276"/>
      <c r="N231" s="276"/>
      <c r="O231" s="276"/>
      <c r="P231" s="276"/>
      <c r="Q231" s="276"/>
      <c r="R231" s="276"/>
      <c r="S231" s="276"/>
      <c r="T231" s="276"/>
      <c r="U231" s="276"/>
      <c r="V231" s="276"/>
      <c r="W231" s="276"/>
      <c r="X231" s="276"/>
      <c r="Y231" s="276"/>
      <c r="Z231" s="276"/>
    </row>
    <row r="232" spans="1:26" ht="18.75" customHeight="1">
      <c r="A232" s="276"/>
      <c r="B232" s="276"/>
      <c r="C232" s="276"/>
      <c r="D232" s="276"/>
      <c r="E232" s="276"/>
      <c r="F232" s="276"/>
      <c r="G232" s="276"/>
      <c r="H232" s="276"/>
      <c r="I232" s="276"/>
      <c r="J232" s="276"/>
      <c r="K232" s="276"/>
      <c r="L232" s="276"/>
      <c r="M232" s="276"/>
      <c r="N232" s="276"/>
      <c r="O232" s="276"/>
      <c r="P232" s="276"/>
      <c r="Q232" s="276"/>
      <c r="R232" s="276"/>
      <c r="S232" s="276"/>
      <c r="T232" s="276"/>
      <c r="U232" s="276"/>
      <c r="V232" s="276"/>
      <c r="W232" s="276"/>
      <c r="X232" s="276"/>
      <c r="Y232" s="276"/>
      <c r="Z232" s="276"/>
    </row>
    <row r="233" spans="1:26" ht="18.75" customHeight="1">
      <c r="A233" s="276"/>
      <c r="B233" s="276"/>
      <c r="C233" s="276"/>
      <c r="D233" s="276"/>
      <c r="E233" s="276"/>
      <c r="F233" s="276"/>
      <c r="G233" s="276"/>
      <c r="H233" s="276"/>
      <c r="I233" s="276"/>
      <c r="J233" s="276"/>
      <c r="K233" s="276"/>
      <c r="L233" s="276"/>
      <c r="M233" s="276"/>
      <c r="N233" s="276"/>
      <c r="O233" s="276"/>
      <c r="P233" s="276"/>
      <c r="Q233" s="276"/>
      <c r="R233" s="276"/>
      <c r="S233" s="276"/>
      <c r="T233" s="276"/>
      <c r="U233" s="276"/>
      <c r="V233" s="276"/>
      <c r="W233" s="276"/>
      <c r="X233" s="276"/>
      <c r="Y233" s="276"/>
      <c r="Z233" s="276"/>
    </row>
    <row r="234" spans="1:26" ht="18.75" customHeight="1">
      <c r="A234" s="276"/>
      <c r="B234" s="276"/>
      <c r="C234" s="276"/>
      <c r="D234" s="276"/>
      <c r="E234" s="276"/>
      <c r="F234" s="276"/>
      <c r="G234" s="276"/>
      <c r="H234" s="276"/>
      <c r="I234" s="276"/>
      <c r="J234" s="276"/>
      <c r="K234" s="276"/>
      <c r="L234" s="276"/>
      <c r="M234" s="276"/>
      <c r="N234" s="276"/>
      <c r="O234" s="276"/>
      <c r="P234" s="276"/>
      <c r="Q234" s="276"/>
      <c r="R234" s="276"/>
      <c r="S234" s="276"/>
      <c r="T234" s="276"/>
      <c r="U234" s="276"/>
      <c r="V234" s="276"/>
      <c r="W234" s="276"/>
      <c r="X234" s="276"/>
      <c r="Y234" s="276"/>
      <c r="Z234" s="276"/>
    </row>
    <row r="235" spans="1:26" ht="18.75" customHeight="1">
      <c r="A235" s="276"/>
      <c r="B235" s="276"/>
      <c r="C235" s="276"/>
      <c r="D235" s="276"/>
      <c r="E235" s="276"/>
      <c r="F235" s="276"/>
      <c r="G235" s="276"/>
      <c r="H235" s="276"/>
      <c r="I235" s="276"/>
      <c r="J235" s="276"/>
      <c r="K235" s="276"/>
      <c r="L235" s="276"/>
      <c r="M235" s="276"/>
      <c r="N235" s="276"/>
      <c r="O235" s="276"/>
      <c r="P235" s="276"/>
      <c r="Q235" s="276"/>
      <c r="R235" s="276"/>
      <c r="S235" s="276"/>
      <c r="T235" s="276"/>
      <c r="U235" s="276"/>
      <c r="V235" s="276"/>
      <c r="W235" s="276"/>
      <c r="X235" s="276"/>
      <c r="Y235" s="276"/>
      <c r="Z235" s="276"/>
    </row>
    <row r="236" spans="1:26" ht="18.75" customHeight="1">
      <c r="A236" s="276"/>
      <c r="B236" s="276"/>
      <c r="C236" s="276"/>
      <c r="D236" s="276"/>
      <c r="E236" s="276"/>
      <c r="F236" s="276"/>
      <c r="G236" s="276"/>
      <c r="H236" s="276"/>
      <c r="I236" s="276"/>
      <c r="J236" s="276"/>
      <c r="K236" s="276"/>
      <c r="L236" s="276"/>
      <c r="M236" s="276"/>
      <c r="N236" s="276"/>
      <c r="O236" s="276"/>
      <c r="P236" s="276"/>
      <c r="Q236" s="276"/>
      <c r="R236" s="276"/>
      <c r="S236" s="276"/>
      <c r="T236" s="276"/>
      <c r="U236" s="276"/>
      <c r="V236" s="276"/>
      <c r="W236" s="276"/>
      <c r="X236" s="276"/>
      <c r="Y236" s="276"/>
      <c r="Z236" s="276"/>
    </row>
    <row r="237" spans="1:26" ht="18.75" customHeight="1">
      <c r="A237" s="276"/>
      <c r="B237" s="276"/>
      <c r="C237" s="276"/>
      <c r="D237" s="276"/>
      <c r="E237" s="276"/>
      <c r="F237" s="276"/>
      <c r="G237" s="276"/>
      <c r="H237" s="276"/>
      <c r="I237" s="276"/>
      <c r="J237" s="276"/>
      <c r="K237" s="276"/>
      <c r="L237" s="276"/>
      <c r="M237" s="276"/>
      <c r="N237" s="276"/>
      <c r="O237" s="276"/>
      <c r="P237" s="276"/>
      <c r="Q237" s="276"/>
      <c r="R237" s="276"/>
      <c r="S237" s="276"/>
      <c r="T237" s="276"/>
      <c r="U237" s="276"/>
      <c r="V237" s="276"/>
      <c r="W237" s="276"/>
      <c r="X237" s="276"/>
      <c r="Y237" s="276"/>
      <c r="Z237" s="276"/>
    </row>
    <row r="238" spans="1:26" ht="18.75" customHeight="1">
      <c r="A238" s="276"/>
      <c r="B238" s="276"/>
      <c r="C238" s="276"/>
      <c r="D238" s="276"/>
      <c r="E238" s="276"/>
      <c r="F238" s="276"/>
      <c r="G238" s="276"/>
      <c r="H238" s="276"/>
      <c r="I238" s="276"/>
      <c r="J238" s="276"/>
      <c r="K238" s="276"/>
      <c r="L238" s="276"/>
      <c r="M238" s="276"/>
      <c r="N238" s="276"/>
      <c r="O238" s="276"/>
      <c r="P238" s="276"/>
      <c r="Q238" s="276"/>
      <c r="R238" s="276"/>
      <c r="S238" s="276"/>
      <c r="T238" s="276"/>
      <c r="U238" s="276"/>
      <c r="V238" s="276"/>
      <c r="W238" s="276"/>
      <c r="X238" s="276"/>
      <c r="Y238" s="276"/>
      <c r="Z238" s="276"/>
    </row>
    <row r="239" spans="1:26" ht="18.75" customHeight="1">
      <c r="A239" s="276"/>
      <c r="B239" s="276"/>
      <c r="C239" s="276"/>
      <c r="D239" s="276"/>
      <c r="E239" s="276"/>
      <c r="F239" s="276"/>
      <c r="G239" s="276"/>
      <c r="H239" s="276"/>
      <c r="I239" s="276"/>
      <c r="J239" s="276"/>
      <c r="K239" s="276"/>
      <c r="L239" s="276"/>
      <c r="M239" s="276"/>
      <c r="N239" s="276"/>
      <c r="O239" s="276"/>
      <c r="P239" s="276"/>
      <c r="Q239" s="276"/>
      <c r="R239" s="276"/>
      <c r="S239" s="276"/>
      <c r="T239" s="276"/>
      <c r="U239" s="276"/>
      <c r="V239" s="276"/>
      <c r="W239" s="276"/>
      <c r="X239" s="276"/>
      <c r="Y239" s="276"/>
      <c r="Z239" s="276"/>
    </row>
    <row r="240" spans="1:26" ht="18.75" customHeight="1">
      <c r="A240" s="276"/>
      <c r="B240" s="276"/>
      <c r="C240" s="276"/>
      <c r="D240" s="276"/>
      <c r="E240" s="276"/>
      <c r="F240" s="276"/>
      <c r="G240" s="276"/>
      <c r="H240" s="276"/>
      <c r="I240" s="276"/>
      <c r="J240" s="276"/>
      <c r="K240" s="276"/>
      <c r="L240" s="276"/>
      <c r="M240" s="276"/>
      <c r="N240" s="276"/>
      <c r="O240" s="276"/>
      <c r="P240" s="276"/>
      <c r="Q240" s="276"/>
      <c r="R240" s="276"/>
      <c r="S240" s="276"/>
      <c r="T240" s="276"/>
      <c r="U240" s="276"/>
      <c r="V240" s="276"/>
      <c r="W240" s="276"/>
      <c r="X240" s="276"/>
      <c r="Y240" s="276"/>
      <c r="Z240" s="276"/>
    </row>
    <row r="241" spans="1:26" ht="18.75" customHeight="1">
      <c r="A241" s="276"/>
      <c r="B241" s="276"/>
      <c r="C241" s="276"/>
      <c r="D241" s="276"/>
      <c r="E241" s="276"/>
      <c r="F241" s="276"/>
      <c r="G241" s="276"/>
      <c r="H241" s="276"/>
      <c r="I241" s="276"/>
      <c r="J241" s="276"/>
      <c r="K241" s="276"/>
      <c r="L241" s="276"/>
      <c r="M241" s="276"/>
      <c r="N241" s="276"/>
      <c r="O241" s="276"/>
      <c r="P241" s="276"/>
      <c r="Q241" s="276"/>
      <c r="R241" s="276"/>
      <c r="S241" s="276"/>
      <c r="T241" s="276"/>
      <c r="U241" s="276"/>
      <c r="V241" s="276"/>
      <c r="W241" s="276"/>
      <c r="X241" s="276"/>
      <c r="Y241" s="276"/>
      <c r="Z241" s="276"/>
    </row>
    <row r="242" spans="1:26" ht="18.75" customHeight="1">
      <c r="A242" s="276"/>
      <c r="B242" s="276"/>
      <c r="C242" s="276"/>
      <c r="D242" s="276"/>
      <c r="E242" s="276"/>
      <c r="F242" s="276"/>
      <c r="G242" s="276"/>
      <c r="H242" s="276"/>
      <c r="I242" s="276"/>
      <c r="J242" s="276"/>
      <c r="K242" s="276"/>
      <c r="L242" s="276"/>
      <c r="M242" s="276"/>
      <c r="N242" s="276"/>
      <c r="O242" s="276"/>
      <c r="P242" s="276"/>
      <c r="Q242" s="276"/>
      <c r="R242" s="276"/>
      <c r="S242" s="276"/>
      <c r="T242" s="276"/>
      <c r="U242" s="276"/>
      <c r="V242" s="276"/>
      <c r="W242" s="276"/>
      <c r="X242" s="276"/>
      <c r="Y242" s="276"/>
      <c r="Z242" s="276"/>
    </row>
    <row r="243" spans="1:26" ht="18.75" customHeight="1">
      <c r="A243" s="276"/>
      <c r="B243" s="276"/>
      <c r="C243" s="276"/>
      <c r="D243" s="276"/>
      <c r="E243" s="276"/>
      <c r="F243" s="276"/>
      <c r="G243" s="276"/>
      <c r="H243" s="276"/>
      <c r="I243" s="276"/>
      <c r="J243" s="276"/>
      <c r="K243" s="276"/>
      <c r="L243" s="276"/>
      <c r="M243" s="276"/>
      <c r="N243" s="276"/>
      <c r="O243" s="276"/>
      <c r="P243" s="276"/>
      <c r="Q243" s="276"/>
      <c r="R243" s="276"/>
      <c r="S243" s="276"/>
      <c r="T243" s="276"/>
      <c r="U243" s="276"/>
      <c r="V243" s="276"/>
      <c r="W243" s="276"/>
      <c r="X243" s="276"/>
      <c r="Y243" s="276"/>
      <c r="Z243" s="276"/>
    </row>
    <row r="244" spans="1:26" ht="18.75" customHeight="1">
      <c r="A244" s="276"/>
      <c r="B244" s="276"/>
      <c r="C244" s="276"/>
      <c r="D244" s="276"/>
      <c r="E244" s="276"/>
      <c r="F244" s="276"/>
      <c r="G244" s="276"/>
      <c r="H244" s="276"/>
      <c r="I244" s="276"/>
      <c r="J244" s="276"/>
      <c r="K244" s="276"/>
      <c r="L244" s="276"/>
      <c r="M244" s="276"/>
      <c r="N244" s="276"/>
      <c r="O244" s="276"/>
      <c r="P244" s="276"/>
      <c r="Q244" s="276"/>
      <c r="R244" s="276"/>
      <c r="S244" s="276"/>
      <c r="T244" s="276"/>
      <c r="U244" s="276"/>
      <c r="V244" s="276"/>
      <c r="W244" s="276"/>
      <c r="X244" s="276"/>
      <c r="Y244" s="276"/>
      <c r="Z244" s="276"/>
    </row>
    <row r="245" spans="1:26" ht="18.75" customHeight="1">
      <c r="A245" s="276"/>
      <c r="B245" s="276"/>
      <c r="C245" s="276"/>
      <c r="D245" s="276"/>
      <c r="E245" s="276"/>
      <c r="F245" s="276"/>
      <c r="G245" s="276"/>
      <c r="H245" s="276"/>
      <c r="I245" s="276"/>
      <c r="J245" s="276"/>
      <c r="K245" s="276"/>
      <c r="L245" s="276"/>
      <c r="M245" s="276"/>
      <c r="N245" s="276"/>
      <c r="O245" s="276"/>
      <c r="P245" s="276"/>
      <c r="Q245" s="276"/>
      <c r="R245" s="276"/>
      <c r="S245" s="276"/>
      <c r="T245" s="276"/>
      <c r="U245" s="276"/>
      <c r="V245" s="276"/>
      <c r="W245" s="276"/>
      <c r="X245" s="276"/>
      <c r="Y245" s="276"/>
      <c r="Z245" s="276"/>
    </row>
    <row r="246" spans="1:26" ht="18.75" customHeight="1">
      <c r="A246" s="276"/>
      <c r="B246" s="276"/>
      <c r="C246" s="276"/>
      <c r="D246" s="276"/>
      <c r="E246" s="276"/>
      <c r="F246" s="276"/>
      <c r="G246" s="276"/>
      <c r="H246" s="276"/>
      <c r="I246" s="276"/>
      <c r="J246" s="276"/>
      <c r="K246" s="276"/>
      <c r="L246" s="276"/>
      <c r="M246" s="276"/>
      <c r="N246" s="276"/>
      <c r="O246" s="276"/>
      <c r="P246" s="276"/>
      <c r="Q246" s="276"/>
      <c r="R246" s="276"/>
      <c r="S246" s="276"/>
      <c r="T246" s="276"/>
      <c r="U246" s="276"/>
      <c r="V246" s="276"/>
      <c r="W246" s="276"/>
      <c r="X246" s="276"/>
      <c r="Y246" s="276"/>
      <c r="Z246" s="276"/>
    </row>
    <row r="247" spans="1:26" ht="18.75" customHeight="1">
      <c r="A247" s="276"/>
      <c r="B247" s="276"/>
      <c r="C247" s="276"/>
      <c r="D247" s="276"/>
      <c r="E247" s="276"/>
      <c r="F247" s="276"/>
      <c r="G247" s="276"/>
      <c r="H247" s="276"/>
      <c r="I247" s="276"/>
      <c r="J247" s="276"/>
      <c r="K247" s="276"/>
      <c r="L247" s="276"/>
      <c r="M247" s="276"/>
      <c r="N247" s="276"/>
      <c r="O247" s="276"/>
      <c r="P247" s="276"/>
      <c r="Q247" s="276"/>
      <c r="R247" s="276"/>
      <c r="S247" s="276"/>
      <c r="T247" s="276"/>
      <c r="U247" s="276"/>
      <c r="V247" s="276"/>
      <c r="W247" s="276"/>
      <c r="X247" s="276"/>
      <c r="Y247" s="276"/>
      <c r="Z247" s="276"/>
    </row>
    <row r="248" spans="1:26" ht="18.75" customHeight="1">
      <c r="A248" s="276"/>
      <c r="B248" s="276"/>
      <c r="C248" s="276"/>
      <c r="D248" s="276"/>
      <c r="E248" s="276"/>
      <c r="F248" s="276"/>
      <c r="G248" s="276"/>
      <c r="H248" s="276"/>
      <c r="I248" s="276"/>
      <c r="J248" s="276"/>
      <c r="K248" s="276"/>
      <c r="L248" s="276"/>
      <c r="M248" s="276"/>
      <c r="N248" s="276"/>
      <c r="O248" s="276"/>
      <c r="P248" s="276"/>
      <c r="Q248" s="276"/>
      <c r="R248" s="276"/>
      <c r="S248" s="276"/>
      <c r="T248" s="276"/>
      <c r="U248" s="276"/>
      <c r="V248" s="276"/>
      <c r="W248" s="276"/>
      <c r="X248" s="276"/>
      <c r="Y248" s="276"/>
      <c r="Z248" s="276"/>
    </row>
    <row r="249" spans="1:26" ht="18.75" customHeight="1">
      <c r="A249" s="276"/>
      <c r="B249" s="276"/>
      <c r="C249" s="276"/>
      <c r="D249" s="276"/>
      <c r="E249" s="276"/>
      <c r="F249" s="276"/>
      <c r="G249" s="276"/>
      <c r="H249" s="276"/>
      <c r="I249" s="276"/>
      <c r="J249" s="276"/>
      <c r="K249" s="276"/>
      <c r="L249" s="276"/>
      <c r="M249" s="276"/>
      <c r="N249" s="276"/>
      <c r="O249" s="276"/>
      <c r="P249" s="276"/>
      <c r="Q249" s="276"/>
      <c r="R249" s="276"/>
      <c r="S249" s="276"/>
      <c r="T249" s="276"/>
      <c r="U249" s="276"/>
      <c r="V249" s="276"/>
      <c r="W249" s="276"/>
      <c r="X249" s="276"/>
      <c r="Y249" s="276"/>
      <c r="Z249" s="276"/>
    </row>
    <row r="250" spans="1:26" ht="18.75" customHeight="1">
      <c r="A250" s="276"/>
      <c r="B250" s="276"/>
      <c r="C250" s="276"/>
      <c r="D250" s="276"/>
      <c r="E250" s="276"/>
      <c r="F250" s="276"/>
      <c r="G250" s="276"/>
      <c r="H250" s="276"/>
      <c r="I250" s="276"/>
      <c r="J250" s="276"/>
      <c r="K250" s="276"/>
      <c r="L250" s="276"/>
      <c r="M250" s="276"/>
      <c r="N250" s="276"/>
      <c r="O250" s="276"/>
      <c r="P250" s="276"/>
      <c r="Q250" s="276"/>
      <c r="R250" s="276"/>
      <c r="S250" s="276"/>
      <c r="T250" s="276"/>
      <c r="U250" s="276"/>
      <c r="V250" s="276"/>
      <c r="W250" s="276"/>
      <c r="X250" s="276"/>
      <c r="Y250" s="276"/>
      <c r="Z250" s="276"/>
    </row>
    <row r="251" spans="1:26" ht="18.75" customHeight="1">
      <c r="A251" s="276"/>
      <c r="B251" s="276"/>
      <c r="C251" s="276"/>
      <c r="D251" s="276"/>
      <c r="E251" s="276"/>
      <c r="F251" s="276"/>
      <c r="G251" s="276"/>
      <c r="H251" s="276"/>
      <c r="I251" s="276"/>
      <c r="J251" s="276"/>
      <c r="K251" s="276"/>
      <c r="L251" s="276"/>
      <c r="M251" s="276"/>
      <c r="N251" s="276"/>
      <c r="O251" s="276"/>
      <c r="P251" s="276"/>
      <c r="Q251" s="276"/>
      <c r="R251" s="276"/>
      <c r="S251" s="276"/>
      <c r="T251" s="276"/>
      <c r="U251" s="276"/>
      <c r="V251" s="276"/>
      <c r="W251" s="276"/>
      <c r="X251" s="276"/>
      <c r="Y251" s="276"/>
      <c r="Z251" s="276"/>
    </row>
    <row r="252" spans="1:26" ht="18.75" customHeight="1">
      <c r="A252" s="276"/>
      <c r="B252" s="276"/>
      <c r="C252" s="276"/>
      <c r="D252" s="276"/>
      <c r="E252" s="276"/>
      <c r="F252" s="276"/>
      <c r="G252" s="276"/>
      <c r="H252" s="276"/>
      <c r="I252" s="276"/>
      <c r="J252" s="276"/>
      <c r="K252" s="276"/>
      <c r="L252" s="276"/>
      <c r="M252" s="276"/>
      <c r="N252" s="276"/>
      <c r="O252" s="276"/>
      <c r="P252" s="276"/>
      <c r="Q252" s="276"/>
      <c r="R252" s="276"/>
      <c r="S252" s="276"/>
      <c r="T252" s="276"/>
      <c r="U252" s="276"/>
      <c r="V252" s="276"/>
      <c r="W252" s="276"/>
      <c r="X252" s="276"/>
      <c r="Y252" s="276"/>
      <c r="Z252" s="276"/>
    </row>
    <row r="253" spans="1:26" ht="18.75" customHeight="1">
      <c r="A253" s="276"/>
      <c r="B253" s="276"/>
      <c r="C253" s="276"/>
      <c r="D253" s="276"/>
      <c r="E253" s="276"/>
      <c r="F253" s="276"/>
      <c r="G253" s="276"/>
      <c r="H253" s="276"/>
      <c r="I253" s="276"/>
      <c r="J253" s="276"/>
      <c r="K253" s="276"/>
      <c r="L253" s="276"/>
      <c r="M253" s="276"/>
      <c r="N253" s="276"/>
      <c r="O253" s="276"/>
      <c r="P253" s="276"/>
      <c r="Q253" s="276"/>
      <c r="R253" s="276"/>
      <c r="S253" s="276"/>
      <c r="T253" s="276"/>
      <c r="U253" s="276"/>
      <c r="V253" s="276"/>
      <c r="W253" s="276"/>
      <c r="X253" s="276"/>
      <c r="Y253" s="276"/>
      <c r="Z253" s="276"/>
    </row>
    <row r="254" spans="1:26" ht="18.75" customHeight="1">
      <c r="A254" s="276"/>
      <c r="B254" s="276"/>
      <c r="C254" s="276"/>
      <c r="D254" s="276"/>
      <c r="E254" s="276"/>
      <c r="F254" s="276"/>
      <c r="G254" s="276"/>
      <c r="H254" s="276"/>
      <c r="I254" s="276"/>
      <c r="J254" s="276"/>
      <c r="K254" s="276"/>
      <c r="L254" s="276"/>
      <c r="M254" s="276"/>
      <c r="N254" s="276"/>
      <c r="O254" s="276"/>
      <c r="P254" s="276"/>
      <c r="Q254" s="276"/>
      <c r="R254" s="276"/>
      <c r="S254" s="276"/>
      <c r="T254" s="276"/>
      <c r="U254" s="276"/>
      <c r="V254" s="276"/>
      <c r="W254" s="276"/>
      <c r="X254" s="276"/>
      <c r="Y254" s="276"/>
      <c r="Z254" s="276"/>
    </row>
    <row r="255" spans="1:26" ht="18.75" customHeight="1">
      <c r="A255" s="276"/>
      <c r="B255" s="276"/>
      <c r="C255" s="276"/>
      <c r="D255" s="276"/>
      <c r="E255" s="276"/>
      <c r="F255" s="276"/>
      <c r="G255" s="276"/>
      <c r="H255" s="276"/>
      <c r="I255" s="276"/>
      <c r="J255" s="276"/>
      <c r="K255" s="276"/>
      <c r="L255" s="276"/>
      <c r="M255" s="276"/>
      <c r="N255" s="276"/>
      <c r="O255" s="276"/>
      <c r="P255" s="276"/>
      <c r="Q255" s="276"/>
      <c r="R255" s="276"/>
      <c r="S255" s="276"/>
      <c r="T255" s="276"/>
      <c r="U255" s="276"/>
      <c r="V255" s="276"/>
      <c r="W255" s="276"/>
      <c r="X255" s="276"/>
      <c r="Y255" s="276"/>
      <c r="Z255" s="276"/>
    </row>
    <row r="256" spans="1:26" ht="18.75" customHeight="1">
      <c r="A256" s="276"/>
      <c r="B256" s="276"/>
      <c r="C256" s="276"/>
      <c r="D256" s="276"/>
      <c r="E256" s="276"/>
      <c r="F256" s="276"/>
      <c r="G256" s="276"/>
      <c r="H256" s="276"/>
      <c r="I256" s="276"/>
      <c r="J256" s="276"/>
      <c r="K256" s="276"/>
      <c r="L256" s="276"/>
      <c r="M256" s="276"/>
      <c r="N256" s="276"/>
      <c r="O256" s="276"/>
      <c r="P256" s="276"/>
      <c r="Q256" s="276"/>
      <c r="R256" s="276"/>
      <c r="S256" s="276"/>
      <c r="T256" s="276"/>
      <c r="U256" s="276"/>
      <c r="V256" s="276"/>
      <c r="W256" s="276"/>
      <c r="X256" s="276"/>
      <c r="Y256" s="276"/>
      <c r="Z256" s="276"/>
    </row>
    <row r="257" spans="1:26" ht="18.75" customHeight="1">
      <c r="A257" s="276"/>
      <c r="B257" s="276"/>
      <c r="C257" s="276"/>
      <c r="D257" s="276"/>
      <c r="E257" s="276"/>
      <c r="F257" s="276"/>
      <c r="G257" s="276"/>
      <c r="H257" s="276"/>
      <c r="I257" s="276"/>
      <c r="J257" s="276"/>
      <c r="K257" s="276"/>
      <c r="L257" s="276"/>
      <c r="M257" s="276"/>
      <c r="N257" s="276"/>
      <c r="O257" s="276"/>
      <c r="P257" s="276"/>
      <c r="Q257" s="276"/>
      <c r="R257" s="276"/>
      <c r="S257" s="276"/>
      <c r="T257" s="276"/>
      <c r="U257" s="276"/>
      <c r="V257" s="276"/>
      <c r="W257" s="276"/>
      <c r="X257" s="276"/>
      <c r="Y257" s="276"/>
      <c r="Z257" s="276"/>
    </row>
    <row r="258" spans="1:26" ht="18.75" customHeight="1">
      <c r="A258" s="276"/>
      <c r="B258" s="276"/>
      <c r="C258" s="276"/>
      <c r="D258" s="276"/>
      <c r="E258" s="276"/>
      <c r="F258" s="276"/>
      <c r="G258" s="276"/>
      <c r="H258" s="276"/>
      <c r="I258" s="276"/>
      <c r="J258" s="276"/>
      <c r="K258" s="276"/>
      <c r="L258" s="276"/>
      <c r="M258" s="276"/>
      <c r="N258" s="276"/>
      <c r="O258" s="276"/>
      <c r="P258" s="276"/>
      <c r="Q258" s="276"/>
      <c r="R258" s="276"/>
      <c r="S258" s="276"/>
      <c r="T258" s="276"/>
      <c r="U258" s="276"/>
      <c r="V258" s="276"/>
      <c r="W258" s="276"/>
      <c r="X258" s="276"/>
      <c r="Y258" s="276"/>
      <c r="Z258" s="276"/>
    </row>
    <row r="259" spans="1:26" ht="18.75" customHeight="1">
      <c r="A259" s="276"/>
      <c r="B259" s="276"/>
      <c r="C259" s="276"/>
      <c r="D259" s="276"/>
      <c r="E259" s="276"/>
      <c r="F259" s="276"/>
      <c r="G259" s="276"/>
      <c r="H259" s="276"/>
      <c r="I259" s="276"/>
      <c r="J259" s="276"/>
      <c r="K259" s="276"/>
      <c r="L259" s="276"/>
      <c r="M259" s="276"/>
      <c r="N259" s="276"/>
      <c r="O259" s="276"/>
      <c r="P259" s="276"/>
      <c r="Q259" s="276"/>
      <c r="R259" s="276"/>
      <c r="S259" s="276"/>
      <c r="T259" s="276"/>
      <c r="U259" s="276"/>
      <c r="V259" s="276"/>
      <c r="W259" s="276"/>
      <c r="X259" s="276"/>
      <c r="Y259" s="276"/>
      <c r="Z259" s="276"/>
    </row>
    <row r="260" spans="1:26" ht="18.75" customHeight="1">
      <c r="A260" s="276"/>
      <c r="B260" s="276"/>
      <c r="C260" s="276"/>
      <c r="D260" s="276"/>
      <c r="E260" s="276"/>
      <c r="F260" s="276"/>
      <c r="G260" s="276"/>
      <c r="H260" s="276"/>
      <c r="I260" s="276"/>
      <c r="J260" s="276"/>
      <c r="K260" s="276"/>
      <c r="L260" s="276"/>
      <c r="M260" s="276"/>
      <c r="N260" s="276"/>
      <c r="O260" s="276"/>
      <c r="P260" s="276"/>
      <c r="Q260" s="276"/>
      <c r="R260" s="276"/>
      <c r="S260" s="276"/>
      <c r="T260" s="276"/>
      <c r="U260" s="276"/>
      <c r="V260" s="276"/>
      <c r="W260" s="276"/>
      <c r="X260" s="276"/>
      <c r="Y260" s="276"/>
      <c r="Z260" s="276"/>
    </row>
    <row r="261" spans="1:26" ht="18.75" customHeight="1">
      <c r="A261" s="276"/>
      <c r="B261" s="276"/>
      <c r="C261" s="276"/>
      <c r="D261" s="276"/>
      <c r="E261" s="276"/>
      <c r="F261" s="276"/>
      <c r="G261" s="276"/>
      <c r="H261" s="276"/>
      <c r="I261" s="276"/>
      <c r="J261" s="276"/>
      <c r="K261" s="276"/>
      <c r="L261" s="276"/>
      <c r="M261" s="276"/>
      <c r="N261" s="276"/>
      <c r="O261" s="276"/>
      <c r="P261" s="276"/>
      <c r="Q261" s="276"/>
      <c r="R261" s="276"/>
      <c r="S261" s="276"/>
      <c r="T261" s="276"/>
      <c r="U261" s="276"/>
      <c r="V261" s="276"/>
      <c r="W261" s="276"/>
      <c r="X261" s="276"/>
      <c r="Y261" s="276"/>
      <c r="Z261" s="276"/>
    </row>
    <row r="262" spans="1:26" ht="18.75" customHeight="1">
      <c r="A262" s="276"/>
      <c r="B262" s="276"/>
      <c r="C262" s="276"/>
      <c r="D262" s="276"/>
      <c r="E262" s="276"/>
      <c r="F262" s="276"/>
      <c r="G262" s="276"/>
      <c r="H262" s="276"/>
      <c r="I262" s="276"/>
      <c r="J262" s="276"/>
      <c r="K262" s="276"/>
      <c r="L262" s="276"/>
      <c r="M262" s="276"/>
      <c r="N262" s="276"/>
      <c r="O262" s="276"/>
      <c r="P262" s="276"/>
      <c r="Q262" s="276"/>
      <c r="R262" s="276"/>
      <c r="S262" s="276"/>
      <c r="T262" s="276"/>
      <c r="U262" s="276"/>
      <c r="V262" s="276"/>
      <c r="W262" s="276"/>
      <c r="X262" s="276"/>
      <c r="Y262" s="276"/>
      <c r="Z262" s="276"/>
    </row>
    <row r="263" spans="1:26" ht="18.75" customHeight="1">
      <c r="A263" s="276"/>
      <c r="B263" s="276"/>
      <c r="C263" s="276"/>
      <c r="D263" s="276"/>
      <c r="E263" s="276"/>
      <c r="F263" s="276"/>
      <c r="G263" s="276"/>
      <c r="H263" s="276"/>
      <c r="I263" s="276"/>
      <c r="J263" s="276"/>
      <c r="K263" s="276"/>
      <c r="L263" s="276"/>
      <c r="M263" s="276"/>
      <c r="N263" s="276"/>
      <c r="O263" s="276"/>
      <c r="P263" s="276"/>
      <c r="Q263" s="276"/>
      <c r="R263" s="276"/>
      <c r="S263" s="276"/>
      <c r="T263" s="276"/>
      <c r="U263" s="276"/>
      <c r="V263" s="276"/>
      <c r="W263" s="276"/>
      <c r="X263" s="276"/>
      <c r="Y263" s="276"/>
      <c r="Z263" s="276"/>
    </row>
    <row r="264" spans="1:26" ht="18.75" customHeight="1">
      <c r="A264" s="276"/>
      <c r="B264" s="276"/>
      <c r="C264" s="276"/>
      <c r="D264" s="276"/>
      <c r="E264" s="276"/>
      <c r="F264" s="276"/>
      <c r="G264" s="276"/>
      <c r="H264" s="276"/>
      <c r="I264" s="276"/>
      <c r="J264" s="276"/>
      <c r="K264" s="276"/>
      <c r="L264" s="276"/>
      <c r="M264" s="276"/>
      <c r="N264" s="276"/>
      <c r="O264" s="276"/>
      <c r="P264" s="276"/>
      <c r="Q264" s="276"/>
      <c r="R264" s="276"/>
      <c r="S264" s="276"/>
      <c r="T264" s="276"/>
      <c r="U264" s="276"/>
      <c r="V264" s="276"/>
      <c r="W264" s="276"/>
      <c r="X264" s="276"/>
      <c r="Y264" s="276"/>
      <c r="Z264" s="276"/>
    </row>
    <row r="265" spans="1:26" ht="18.75" customHeight="1">
      <c r="A265" s="276"/>
      <c r="B265" s="276"/>
      <c r="C265" s="276"/>
      <c r="D265" s="276"/>
      <c r="E265" s="276"/>
      <c r="F265" s="276"/>
      <c r="G265" s="276"/>
      <c r="H265" s="276"/>
      <c r="I265" s="276"/>
      <c r="J265" s="276"/>
      <c r="K265" s="276"/>
      <c r="L265" s="276"/>
      <c r="M265" s="276"/>
      <c r="N265" s="276"/>
      <c r="O265" s="276"/>
      <c r="P265" s="276"/>
      <c r="Q265" s="276"/>
      <c r="R265" s="276"/>
      <c r="S265" s="276"/>
      <c r="T265" s="276"/>
      <c r="U265" s="276"/>
      <c r="V265" s="276"/>
      <c r="W265" s="276"/>
      <c r="X265" s="276"/>
      <c r="Y265" s="276"/>
      <c r="Z265" s="276"/>
    </row>
    <row r="266" spans="1:26" ht="18.75" customHeight="1">
      <c r="A266" s="276"/>
      <c r="B266" s="276"/>
      <c r="C266" s="276"/>
      <c r="D266" s="276"/>
      <c r="E266" s="276"/>
      <c r="F266" s="276"/>
      <c r="G266" s="276"/>
      <c r="H266" s="276"/>
      <c r="I266" s="276"/>
      <c r="J266" s="276"/>
      <c r="K266" s="276"/>
      <c r="L266" s="276"/>
      <c r="M266" s="276"/>
      <c r="N266" s="276"/>
      <c r="O266" s="276"/>
      <c r="P266" s="276"/>
      <c r="Q266" s="276"/>
      <c r="R266" s="276"/>
      <c r="S266" s="276"/>
      <c r="T266" s="276"/>
      <c r="U266" s="276"/>
      <c r="V266" s="276"/>
      <c r="W266" s="276"/>
      <c r="X266" s="276"/>
      <c r="Y266" s="276"/>
      <c r="Z266" s="276"/>
    </row>
    <row r="267" spans="1:26" ht="18.75" customHeight="1">
      <c r="A267" s="276"/>
      <c r="B267" s="276"/>
      <c r="C267" s="276"/>
      <c r="D267" s="276"/>
      <c r="E267" s="276"/>
      <c r="F267" s="276"/>
      <c r="G267" s="276"/>
      <c r="H267" s="276"/>
      <c r="I267" s="276"/>
      <c r="J267" s="276"/>
      <c r="K267" s="276"/>
      <c r="L267" s="276"/>
      <c r="M267" s="276"/>
      <c r="N267" s="276"/>
      <c r="O267" s="276"/>
      <c r="P267" s="276"/>
      <c r="Q267" s="276"/>
      <c r="R267" s="276"/>
      <c r="S267" s="276"/>
      <c r="T267" s="276"/>
      <c r="U267" s="276"/>
      <c r="V267" s="276"/>
      <c r="W267" s="276"/>
      <c r="X267" s="276"/>
      <c r="Y267" s="276"/>
      <c r="Z267" s="276"/>
    </row>
    <row r="268" spans="1:26" ht="18.75" customHeight="1">
      <c r="A268" s="276"/>
      <c r="B268" s="276"/>
      <c r="C268" s="276"/>
      <c r="D268" s="276"/>
      <c r="E268" s="276"/>
      <c r="F268" s="276"/>
      <c r="G268" s="276"/>
      <c r="H268" s="276"/>
      <c r="I268" s="276"/>
      <c r="J268" s="276"/>
      <c r="K268" s="276"/>
      <c r="L268" s="276"/>
      <c r="M268" s="276"/>
      <c r="N268" s="276"/>
      <c r="O268" s="276"/>
      <c r="P268" s="276"/>
      <c r="Q268" s="276"/>
      <c r="R268" s="276"/>
      <c r="S268" s="276"/>
      <c r="T268" s="276"/>
      <c r="U268" s="276"/>
      <c r="V268" s="276"/>
      <c r="W268" s="276"/>
      <c r="X268" s="276"/>
      <c r="Y268" s="276"/>
      <c r="Z268" s="276"/>
    </row>
    <row r="269" spans="1:26" ht="18.75" customHeight="1">
      <c r="A269" s="276"/>
      <c r="B269" s="276"/>
      <c r="C269" s="276"/>
      <c r="D269" s="276"/>
      <c r="E269" s="276"/>
      <c r="F269" s="276"/>
      <c r="G269" s="276"/>
      <c r="H269" s="276"/>
      <c r="I269" s="276"/>
      <c r="J269" s="276"/>
      <c r="K269" s="276"/>
      <c r="L269" s="276"/>
      <c r="M269" s="276"/>
      <c r="N269" s="276"/>
      <c r="O269" s="276"/>
      <c r="P269" s="276"/>
      <c r="Q269" s="276"/>
      <c r="R269" s="276"/>
      <c r="S269" s="276"/>
      <c r="T269" s="276"/>
      <c r="U269" s="276"/>
      <c r="V269" s="276"/>
      <c r="W269" s="276"/>
      <c r="X269" s="276"/>
      <c r="Y269" s="276"/>
      <c r="Z269" s="276"/>
    </row>
    <row r="270" spans="1:26" ht="18.75" customHeight="1">
      <c r="A270" s="276"/>
      <c r="B270" s="276"/>
      <c r="C270" s="276"/>
      <c r="D270" s="276"/>
      <c r="E270" s="276"/>
      <c r="F270" s="276"/>
      <c r="G270" s="276"/>
      <c r="H270" s="276"/>
      <c r="I270" s="276"/>
      <c r="J270" s="276"/>
      <c r="K270" s="276"/>
      <c r="L270" s="276"/>
      <c r="M270" s="276"/>
      <c r="N270" s="276"/>
      <c r="O270" s="276"/>
      <c r="P270" s="276"/>
      <c r="Q270" s="276"/>
      <c r="R270" s="276"/>
      <c r="S270" s="276"/>
      <c r="T270" s="276"/>
      <c r="U270" s="276"/>
      <c r="V270" s="276"/>
      <c r="W270" s="276"/>
      <c r="X270" s="276"/>
      <c r="Y270" s="276"/>
      <c r="Z270" s="276"/>
    </row>
    <row r="271" spans="1:26" ht="18.75" customHeight="1">
      <c r="A271" s="276"/>
      <c r="B271" s="276"/>
      <c r="C271" s="276"/>
      <c r="D271" s="276"/>
      <c r="E271" s="276"/>
      <c r="F271" s="276"/>
      <c r="G271" s="276"/>
      <c r="H271" s="276"/>
      <c r="I271" s="276"/>
      <c r="J271" s="276"/>
      <c r="K271" s="276"/>
      <c r="L271" s="276"/>
      <c r="M271" s="276"/>
      <c r="N271" s="276"/>
      <c r="O271" s="276"/>
      <c r="P271" s="276"/>
      <c r="Q271" s="276"/>
      <c r="R271" s="276"/>
      <c r="S271" s="276"/>
      <c r="T271" s="276"/>
      <c r="U271" s="276"/>
      <c r="V271" s="276"/>
      <c r="W271" s="276"/>
      <c r="X271" s="276"/>
      <c r="Y271" s="276"/>
      <c r="Z271" s="276"/>
    </row>
    <row r="272" spans="1:26" ht="18.75" customHeight="1">
      <c r="A272" s="276"/>
      <c r="B272" s="276"/>
      <c r="C272" s="276"/>
      <c r="D272" s="276"/>
      <c r="E272" s="276"/>
      <c r="F272" s="276"/>
      <c r="G272" s="276"/>
      <c r="H272" s="276"/>
      <c r="I272" s="276"/>
      <c r="J272" s="276"/>
      <c r="K272" s="276"/>
      <c r="L272" s="276"/>
      <c r="M272" s="276"/>
      <c r="N272" s="276"/>
      <c r="O272" s="276"/>
      <c r="P272" s="276"/>
      <c r="Q272" s="276"/>
      <c r="R272" s="276"/>
      <c r="S272" s="276"/>
      <c r="T272" s="276"/>
      <c r="U272" s="276"/>
      <c r="V272" s="276"/>
      <c r="W272" s="276"/>
      <c r="X272" s="276"/>
      <c r="Y272" s="276"/>
      <c r="Z272" s="276"/>
    </row>
    <row r="273" spans="1:26" ht="18.75" customHeight="1">
      <c r="A273" s="276"/>
      <c r="B273" s="276"/>
      <c r="C273" s="276"/>
      <c r="D273" s="276"/>
      <c r="E273" s="276"/>
      <c r="F273" s="276"/>
      <c r="G273" s="276"/>
      <c r="H273" s="276"/>
      <c r="I273" s="276"/>
      <c r="J273" s="276"/>
      <c r="K273" s="276"/>
      <c r="L273" s="276"/>
      <c r="M273" s="276"/>
      <c r="N273" s="276"/>
      <c r="O273" s="276"/>
      <c r="P273" s="276"/>
      <c r="Q273" s="276"/>
      <c r="R273" s="276"/>
      <c r="S273" s="276"/>
      <c r="T273" s="276"/>
      <c r="U273" s="276"/>
      <c r="V273" s="276"/>
      <c r="W273" s="276"/>
      <c r="X273" s="276"/>
      <c r="Y273" s="276"/>
      <c r="Z273" s="276"/>
    </row>
    <row r="274" spans="1:26" ht="18.75" customHeight="1">
      <c r="A274" s="276"/>
      <c r="B274" s="276"/>
      <c r="C274" s="276"/>
      <c r="D274" s="276"/>
      <c r="E274" s="276"/>
      <c r="F274" s="276"/>
      <c r="G274" s="276"/>
      <c r="H274" s="276"/>
      <c r="I274" s="276"/>
      <c r="J274" s="276"/>
      <c r="K274" s="276"/>
      <c r="L274" s="276"/>
      <c r="M274" s="276"/>
      <c r="N274" s="276"/>
      <c r="O274" s="276"/>
      <c r="P274" s="276"/>
      <c r="Q274" s="276"/>
      <c r="R274" s="276"/>
      <c r="S274" s="276"/>
      <c r="T274" s="276"/>
      <c r="U274" s="276"/>
      <c r="V274" s="276"/>
      <c r="W274" s="276"/>
      <c r="X274" s="276"/>
      <c r="Y274" s="276"/>
      <c r="Z274" s="276"/>
    </row>
    <row r="275" spans="1:26" ht="18.75" customHeight="1">
      <c r="A275" s="276"/>
      <c r="B275" s="276"/>
      <c r="C275" s="276"/>
      <c r="D275" s="276"/>
      <c r="E275" s="276"/>
      <c r="F275" s="276"/>
      <c r="G275" s="276"/>
      <c r="H275" s="276"/>
      <c r="I275" s="276"/>
      <c r="J275" s="276"/>
      <c r="K275" s="276"/>
      <c r="L275" s="276"/>
      <c r="M275" s="276"/>
      <c r="N275" s="276"/>
      <c r="O275" s="276"/>
      <c r="P275" s="276"/>
      <c r="Q275" s="276"/>
      <c r="R275" s="276"/>
      <c r="S275" s="276"/>
      <c r="T275" s="276"/>
      <c r="U275" s="276"/>
      <c r="V275" s="276"/>
      <c r="W275" s="276"/>
      <c r="X275" s="276"/>
      <c r="Y275" s="276"/>
      <c r="Z275" s="276"/>
    </row>
    <row r="276" spans="1:26" ht="18.75" customHeight="1">
      <c r="A276" s="276"/>
      <c r="B276" s="276"/>
      <c r="C276" s="276"/>
      <c r="D276" s="276"/>
      <c r="E276" s="276"/>
      <c r="F276" s="276"/>
      <c r="G276" s="276"/>
      <c r="H276" s="276"/>
      <c r="I276" s="276"/>
      <c r="J276" s="276"/>
      <c r="K276" s="276"/>
      <c r="L276" s="276"/>
      <c r="M276" s="276"/>
      <c r="N276" s="276"/>
      <c r="O276" s="276"/>
      <c r="P276" s="276"/>
      <c r="Q276" s="276"/>
      <c r="R276" s="276"/>
      <c r="S276" s="276"/>
      <c r="T276" s="276"/>
      <c r="U276" s="276"/>
      <c r="V276" s="276"/>
      <c r="W276" s="276"/>
      <c r="X276" s="276"/>
      <c r="Y276" s="276"/>
      <c r="Z276" s="276"/>
    </row>
    <row r="277" spans="1:26" ht="18.75" customHeight="1">
      <c r="A277" s="276"/>
      <c r="B277" s="276"/>
      <c r="C277" s="276"/>
      <c r="D277" s="276"/>
      <c r="E277" s="276"/>
      <c r="F277" s="276"/>
      <c r="G277" s="276"/>
      <c r="H277" s="276"/>
      <c r="I277" s="276"/>
      <c r="J277" s="276"/>
      <c r="K277" s="276"/>
      <c r="L277" s="276"/>
      <c r="M277" s="276"/>
      <c r="N277" s="276"/>
      <c r="O277" s="276"/>
      <c r="P277" s="276"/>
      <c r="Q277" s="276"/>
      <c r="R277" s="276"/>
      <c r="S277" s="276"/>
      <c r="T277" s="276"/>
      <c r="U277" s="276"/>
      <c r="V277" s="276"/>
      <c r="W277" s="276"/>
      <c r="X277" s="276"/>
      <c r="Y277" s="276"/>
      <c r="Z277" s="276"/>
    </row>
    <row r="278" spans="1:26" ht="18.75" customHeight="1">
      <c r="A278" s="276"/>
      <c r="B278" s="276"/>
      <c r="C278" s="276"/>
      <c r="D278" s="276"/>
      <c r="E278" s="276"/>
      <c r="F278" s="276"/>
      <c r="G278" s="276"/>
      <c r="H278" s="276"/>
      <c r="I278" s="276"/>
      <c r="J278" s="276"/>
      <c r="K278" s="276"/>
      <c r="L278" s="276"/>
      <c r="M278" s="276"/>
      <c r="N278" s="276"/>
      <c r="O278" s="276"/>
      <c r="P278" s="276"/>
      <c r="Q278" s="276"/>
      <c r="R278" s="276"/>
      <c r="S278" s="276"/>
      <c r="T278" s="276"/>
      <c r="U278" s="276"/>
      <c r="V278" s="276"/>
      <c r="W278" s="276"/>
      <c r="X278" s="276"/>
      <c r="Y278" s="276"/>
      <c r="Z278" s="276"/>
    </row>
    <row r="279" spans="1:26" ht="18.75" customHeight="1">
      <c r="A279" s="276"/>
      <c r="B279" s="276"/>
      <c r="C279" s="276"/>
      <c r="D279" s="276"/>
      <c r="E279" s="276"/>
      <c r="F279" s="276"/>
      <c r="G279" s="276"/>
      <c r="H279" s="276"/>
      <c r="I279" s="276"/>
      <c r="J279" s="276"/>
      <c r="K279" s="276"/>
      <c r="L279" s="276"/>
      <c r="M279" s="276"/>
      <c r="N279" s="276"/>
      <c r="O279" s="276"/>
      <c r="P279" s="276"/>
      <c r="Q279" s="276"/>
      <c r="R279" s="276"/>
      <c r="S279" s="276"/>
      <c r="T279" s="276"/>
      <c r="U279" s="276"/>
      <c r="V279" s="276"/>
      <c r="W279" s="276"/>
      <c r="X279" s="276"/>
      <c r="Y279" s="276"/>
      <c r="Z279" s="276"/>
    </row>
    <row r="280" spans="1:26" ht="18.75" customHeight="1">
      <c r="A280" s="276"/>
      <c r="B280" s="276"/>
      <c r="C280" s="276"/>
      <c r="D280" s="276"/>
      <c r="E280" s="276"/>
      <c r="F280" s="276"/>
      <c r="G280" s="276"/>
      <c r="H280" s="276"/>
      <c r="I280" s="276"/>
      <c r="J280" s="276"/>
      <c r="K280" s="276"/>
      <c r="L280" s="276"/>
      <c r="M280" s="276"/>
      <c r="N280" s="276"/>
      <c r="O280" s="276"/>
      <c r="P280" s="276"/>
      <c r="Q280" s="276"/>
      <c r="R280" s="276"/>
      <c r="S280" s="276"/>
      <c r="T280" s="276"/>
      <c r="U280" s="276"/>
      <c r="V280" s="276"/>
      <c r="W280" s="276"/>
      <c r="X280" s="276"/>
      <c r="Y280" s="276"/>
      <c r="Z280" s="276"/>
    </row>
    <row r="281" spans="1:26" ht="18.75" customHeight="1">
      <c r="A281" s="276"/>
      <c r="B281" s="276"/>
      <c r="C281" s="276"/>
      <c r="D281" s="276"/>
      <c r="E281" s="276"/>
      <c r="F281" s="276"/>
      <c r="G281" s="276"/>
      <c r="H281" s="276"/>
      <c r="I281" s="276"/>
      <c r="J281" s="276"/>
      <c r="K281" s="276"/>
      <c r="L281" s="276"/>
      <c r="M281" s="276"/>
      <c r="N281" s="276"/>
      <c r="O281" s="276"/>
      <c r="P281" s="276"/>
      <c r="Q281" s="276"/>
      <c r="R281" s="276"/>
      <c r="S281" s="276"/>
      <c r="T281" s="276"/>
      <c r="U281" s="276"/>
      <c r="V281" s="276"/>
      <c r="W281" s="276"/>
      <c r="X281" s="276"/>
      <c r="Y281" s="276"/>
      <c r="Z281" s="276"/>
    </row>
    <row r="282" spans="1:26" ht="18.75" customHeight="1">
      <c r="A282" s="276"/>
      <c r="B282" s="276"/>
      <c r="C282" s="276"/>
      <c r="D282" s="276"/>
      <c r="E282" s="276"/>
      <c r="F282" s="276"/>
      <c r="G282" s="276"/>
      <c r="H282" s="276"/>
      <c r="I282" s="276"/>
      <c r="J282" s="276"/>
      <c r="K282" s="276"/>
      <c r="L282" s="276"/>
      <c r="M282" s="276"/>
      <c r="N282" s="276"/>
      <c r="O282" s="276"/>
      <c r="P282" s="276"/>
      <c r="Q282" s="276"/>
      <c r="R282" s="276"/>
      <c r="S282" s="276"/>
      <c r="T282" s="276"/>
      <c r="U282" s="276"/>
      <c r="V282" s="276"/>
      <c r="W282" s="276"/>
      <c r="X282" s="276"/>
      <c r="Y282" s="276"/>
      <c r="Z282" s="276"/>
    </row>
    <row r="283" spans="1:26" ht="18.75" customHeight="1">
      <c r="A283" s="276"/>
      <c r="B283" s="276"/>
      <c r="C283" s="276"/>
      <c r="D283" s="276"/>
      <c r="E283" s="276"/>
      <c r="F283" s="276"/>
      <c r="G283" s="276"/>
      <c r="H283" s="276"/>
      <c r="I283" s="276"/>
      <c r="J283" s="276"/>
      <c r="K283" s="276"/>
      <c r="L283" s="276"/>
      <c r="M283" s="276"/>
      <c r="N283" s="276"/>
      <c r="O283" s="276"/>
      <c r="P283" s="276"/>
      <c r="Q283" s="276"/>
      <c r="R283" s="276"/>
      <c r="S283" s="276"/>
      <c r="T283" s="276"/>
      <c r="U283" s="276"/>
      <c r="V283" s="276"/>
      <c r="W283" s="276"/>
      <c r="X283" s="276"/>
      <c r="Y283" s="276"/>
      <c r="Z283" s="276"/>
    </row>
    <row r="284" spans="1:26" ht="18.75" customHeight="1">
      <c r="A284" s="276"/>
      <c r="B284" s="276"/>
      <c r="C284" s="276"/>
      <c r="D284" s="276"/>
      <c r="E284" s="276"/>
      <c r="F284" s="276"/>
      <c r="G284" s="276"/>
      <c r="H284" s="276"/>
      <c r="I284" s="276"/>
      <c r="J284" s="276"/>
      <c r="K284" s="276"/>
      <c r="L284" s="276"/>
      <c r="M284" s="276"/>
      <c r="N284" s="276"/>
      <c r="O284" s="276"/>
      <c r="P284" s="276"/>
      <c r="Q284" s="276"/>
      <c r="R284" s="276"/>
      <c r="S284" s="276"/>
      <c r="T284" s="276"/>
      <c r="U284" s="276"/>
      <c r="V284" s="276"/>
      <c r="W284" s="276"/>
      <c r="X284" s="276"/>
      <c r="Y284" s="276"/>
      <c r="Z284" s="276"/>
    </row>
    <row r="285" spans="1:26" ht="18.75" customHeight="1">
      <c r="A285" s="276"/>
      <c r="B285" s="276"/>
      <c r="C285" s="276"/>
      <c r="D285" s="276"/>
      <c r="E285" s="276"/>
      <c r="F285" s="276"/>
      <c r="G285" s="276"/>
      <c r="H285" s="276"/>
      <c r="I285" s="276"/>
      <c r="J285" s="276"/>
      <c r="K285" s="276"/>
      <c r="L285" s="276"/>
      <c r="M285" s="276"/>
      <c r="N285" s="276"/>
      <c r="O285" s="276"/>
      <c r="P285" s="276"/>
      <c r="Q285" s="276"/>
      <c r="R285" s="276"/>
      <c r="S285" s="276"/>
      <c r="T285" s="276"/>
      <c r="U285" s="276"/>
      <c r="V285" s="276"/>
      <c r="W285" s="276"/>
      <c r="X285" s="276"/>
      <c r="Y285" s="276"/>
      <c r="Z285" s="276"/>
    </row>
    <row r="286" spans="1:26" ht="18.75" customHeight="1">
      <c r="A286" s="276"/>
      <c r="B286" s="276"/>
      <c r="C286" s="276"/>
      <c r="D286" s="276"/>
      <c r="E286" s="276"/>
      <c r="F286" s="276"/>
      <c r="G286" s="276"/>
      <c r="H286" s="276"/>
      <c r="I286" s="276"/>
      <c r="J286" s="276"/>
      <c r="K286" s="276"/>
      <c r="L286" s="276"/>
      <c r="M286" s="276"/>
      <c r="N286" s="276"/>
      <c r="O286" s="276"/>
      <c r="P286" s="276"/>
      <c r="Q286" s="276"/>
      <c r="R286" s="276"/>
      <c r="S286" s="276"/>
      <c r="T286" s="276"/>
      <c r="U286" s="276"/>
      <c r="V286" s="276"/>
      <c r="W286" s="276"/>
      <c r="X286" s="276"/>
      <c r="Y286" s="276"/>
      <c r="Z286" s="276"/>
    </row>
    <row r="287" spans="1:26" ht="18.75" customHeight="1">
      <c r="A287" s="276"/>
      <c r="B287" s="276"/>
      <c r="C287" s="276"/>
      <c r="D287" s="276"/>
      <c r="E287" s="276"/>
      <c r="F287" s="276"/>
      <c r="G287" s="276"/>
      <c r="H287" s="276"/>
      <c r="I287" s="276"/>
      <c r="J287" s="276"/>
      <c r="K287" s="276"/>
      <c r="L287" s="276"/>
      <c r="M287" s="276"/>
      <c r="N287" s="276"/>
      <c r="O287" s="276"/>
      <c r="P287" s="276"/>
      <c r="Q287" s="276"/>
      <c r="R287" s="276"/>
      <c r="S287" s="276"/>
      <c r="T287" s="276"/>
      <c r="U287" s="276"/>
      <c r="V287" s="276"/>
      <c r="W287" s="276"/>
      <c r="X287" s="276"/>
      <c r="Y287" s="276"/>
      <c r="Z287" s="276"/>
    </row>
    <row r="288" spans="1:26" ht="18.75" customHeight="1">
      <c r="A288" s="276"/>
      <c r="B288" s="276"/>
      <c r="C288" s="276"/>
      <c r="D288" s="276"/>
      <c r="E288" s="276"/>
      <c r="F288" s="276"/>
      <c r="G288" s="276"/>
      <c r="H288" s="276"/>
      <c r="I288" s="276"/>
      <c r="J288" s="276"/>
      <c r="K288" s="276"/>
      <c r="L288" s="276"/>
      <c r="M288" s="276"/>
      <c r="N288" s="276"/>
      <c r="O288" s="276"/>
      <c r="P288" s="276"/>
      <c r="Q288" s="276"/>
      <c r="R288" s="276"/>
      <c r="S288" s="276"/>
      <c r="T288" s="276"/>
      <c r="U288" s="276"/>
      <c r="V288" s="276"/>
      <c r="W288" s="276"/>
      <c r="X288" s="276"/>
      <c r="Y288" s="276"/>
      <c r="Z288" s="276"/>
    </row>
    <row r="289" spans="1:26" ht="18.75" customHeight="1">
      <c r="A289" s="276"/>
      <c r="B289" s="276"/>
      <c r="C289" s="276"/>
      <c r="D289" s="276"/>
      <c r="E289" s="276"/>
      <c r="F289" s="276"/>
      <c r="G289" s="276"/>
      <c r="H289" s="276"/>
      <c r="I289" s="276"/>
      <c r="J289" s="276"/>
      <c r="K289" s="276"/>
      <c r="L289" s="276"/>
      <c r="M289" s="276"/>
      <c r="N289" s="276"/>
      <c r="O289" s="276"/>
      <c r="P289" s="276"/>
      <c r="Q289" s="276"/>
      <c r="R289" s="276"/>
      <c r="S289" s="276"/>
      <c r="T289" s="276"/>
      <c r="U289" s="276"/>
      <c r="V289" s="276"/>
      <c r="W289" s="276"/>
      <c r="X289" s="276"/>
      <c r="Y289" s="276"/>
      <c r="Z289" s="276"/>
    </row>
    <row r="290" spans="1:26" ht="18.75" customHeight="1">
      <c r="A290" s="276"/>
      <c r="B290" s="276"/>
      <c r="C290" s="276"/>
      <c r="D290" s="276"/>
      <c r="E290" s="276"/>
      <c r="F290" s="276"/>
      <c r="G290" s="276"/>
      <c r="H290" s="276"/>
      <c r="I290" s="276"/>
      <c r="J290" s="276"/>
      <c r="K290" s="276"/>
      <c r="L290" s="276"/>
      <c r="M290" s="276"/>
      <c r="N290" s="276"/>
      <c r="O290" s="276"/>
      <c r="P290" s="276"/>
      <c r="Q290" s="276"/>
      <c r="R290" s="276"/>
      <c r="S290" s="276"/>
      <c r="T290" s="276"/>
      <c r="U290" s="276"/>
      <c r="V290" s="276"/>
      <c r="W290" s="276"/>
      <c r="X290" s="276"/>
      <c r="Y290" s="276"/>
      <c r="Z290" s="276"/>
    </row>
    <row r="291" spans="1:26" ht="18.75" customHeight="1">
      <c r="A291" s="276"/>
      <c r="B291" s="276"/>
      <c r="C291" s="276"/>
      <c r="D291" s="276"/>
      <c r="E291" s="276"/>
      <c r="F291" s="276"/>
      <c r="G291" s="276"/>
      <c r="H291" s="276"/>
      <c r="I291" s="276"/>
      <c r="J291" s="276"/>
      <c r="K291" s="276"/>
      <c r="L291" s="276"/>
      <c r="M291" s="276"/>
      <c r="N291" s="276"/>
      <c r="O291" s="276"/>
      <c r="P291" s="276"/>
      <c r="Q291" s="276"/>
      <c r="R291" s="276"/>
      <c r="S291" s="276"/>
      <c r="T291" s="276"/>
      <c r="U291" s="276"/>
      <c r="V291" s="276"/>
      <c r="W291" s="276"/>
      <c r="X291" s="276"/>
      <c r="Y291" s="276"/>
      <c r="Z291" s="276"/>
    </row>
    <row r="292" spans="1:26" ht="18.75" customHeight="1">
      <c r="A292" s="276"/>
      <c r="B292" s="276"/>
      <c r="C292" s="276"/>
      <c r="D292" s="276"/>
      <c r="E292" s="276"/>
      <c r="F292" s="276"/>
      <c r="G292" s="276"/>
      <c r="H292" s="276"/>
      <c r="I292" s="276"/>
      <c r="J292" s="276"/>
      <c r="K292" s="276"/>
      <c r="L292" s="276"/>
      <c r="M292" s="276"/>
      <c r="N292" s="276"/>
      <c r="O292" s="276"/>
      <c r="P292" s="276"/>
      <c r="Q292" s="276"/>
      <c r="R292" s="276"/>
      <c r="S292" s="276"/>
      <c r="T292" s="276"/>
      <c r="U292" s="276"/>
      <c r="V292" s="276"/>
      <c r="W292" s="276"/>
      <c r="X292" s="276"/>
      <c r="Y292" s="276"/>
      <c r="Z292" s="276"/>
    </row>
    <row r="293" spans="1:26" ht="18.75" customHeight="1">
      <c r="A293" s="276"/>
      <c r="B293" s="276"/>
      <c r="C293" s="276"/>
      <c r="D293" s="276"/>
      <c r="E293" s="276"/>
      <c r="F293" s="276"/>
      <c r="G293" s="276"/>
      <c r="H293" s="276"/>
      <c r="I293" s="276"/>
      <c r="J293" s="276"/>
      <c r="K293" s="276"/>
      <c r="L293" s="276"/>
      <c r="M293" s="276"/>
      <c r="N293" s="276"/>
      <c r="O293" s="276"/>
      <c r="P293" s="276"/>
      <c r="Q293" s="276"/>
      <c r="R293" s="276"/>
      <c r="S293" s="276"/>
      <c r="T293" s="276"/>
      <c r="U293" s="276"/>
      <c r="V293" s="276"/>
      <c r="W293" s="276"/>
      <c r="X293" s="276"/>
      <c r="Y293" s="276"/>
      <c r="Z293" s="276"/>
    </row>
    <row r="294" spans="1:26" ht="18.75" customHeight="1">
      <c r="A294" s="276"/>
      <c r="B294" s="276"/>
      <c r="C294" s="276"/>
      <c r="D294" s="276"/>
      <c r="E294" s="276"/>
      <c r="F294" s="276"/>
      <c r="G294" s="276"/>
      <c r="H294" s="276"/>
      <c r="I294" s="276"/>
      <c r="J294" s="276"/>
      <c r="K294" s="276"/>
      <c r="L294" s="276"/>
      <c r="M294" s="276"/>
      <c r="N294" s="276"/>
      <c r="O294" s="276"/>
      <c r="P294" s="276"/>
      <c r="Q294" s="276"/>
      <c r="R294" s="276"/>
      <c r="S294" s="276"/>
      <c r="T294" s="276"/>
      <c r="U294" s="276"/>
      <c r="V294" s="276"/>
      <c r="W294" s="276"/>
      <c r="X294" s="276"/>
      <c r="Y294" s="276"/>
      <c r="Z294" s="276"/>
    </row>
    <row r="295" spans="1:26" ht="18.75" customHeight="1">
      <c r="A295" s="276"/>
      <c r="B295" s="276"/>
      <c r="C295" s="276"/>
      <c r="D295" s="276"/>
      <c r="E295" s="276"/>
      <c r="F295" s="276"/>
      <c r="G295" s="276"/>
      <c r="H295" s="276"/>
      <c r="I295" s="276"/>
      <c r="J295" s="276"/>
      <c r="K295" s="276"/>
      <c r="L295" s="276"/>
      <c r="M295" s="276"/>
      <c r="N295" s="276"/>
      <c r="O295" s="276"/>
      <c r="P295" s="276"/>
      <c r="Q295" s="276"/>
      <c r="R295" s="276"/>
      <c r="S295" s="276"/>
      <c r="T295" s="276"/>
      <c r="U295" s="276"/>
      <c r="V295" s="276"/>
      <c r="W295" s="276"/>
      <c r="X295" s="276"/>
      <c r="Y295" s="276"/>
      <c r="Z295" s="276"/>
    </row>
    <row r="296" spans="1:26" ht="18.75" customHeight="1">
      <c r="A296" s="276"/>
      <c r="B296" s="276"/>
      <c r="C296" s="276"/>
      <c r="D296" s="276"/>
      <c r="E296" s="276"/>
      <c r="F296" s="276"/>
      <c r="G296" s="276"/>
      <c r="H296" s="276"/>
      <c r="I296" s="276"/>
      <c r="J296" s="276"/>
      <c r="K296" s="276"/>
      <c r="L296" s="276"/>
      <c r="M296" s="276"/>
      <c r="N296" s="276"/>
      <c r="O296" s="276"/>
      <c r="P296" s="276"/>
      <c r="Q296" s="276"/>
      <c r="R296" s="276"/>
      <c r="S296" s="276"/>
      <c r="T296" s="276"/>
      <c r="U296" s="276"/>
      <c r="V296" s="276"/>
      <c r="W296" s="276"/>
      <c r="X296" s="276"/>
      <c r="Y296" s="276"/>
      <c r="Z296" s="276"/>
    </row>
    <row r="297" spans="1:26" ht="18.75" customHeight="1">
      <c r="A297" s="276"/>
      <c r="B297" s="276"/>
      <c r="C297" s="276"/>
      <c r="D297" s="276"/>
      <c r="E297" s="276"/>
      <c r="F297" s="276"/>
      <c r="G297" s="276"/>
      <c r="H297" s="276"/>
      <c r="I297" s="276"/>
      <c r="J297" s="276"/>
      <c r="K297" s="276"/>
      <c r="L297" s="276"/>
      <c r="M297" s="276"/>
      <c r="N297" s="276"/>
      <c r="O297" s="276"/>
      <c r="P297" s="276"/>
      <c r="Q297" s="276"/>
      <c r="R297" s="276"/>
      <c r="S297" s="276"/>
      <c r="T297" s="276"/>
      <c r="U297" s="276"/>
      <c r="V297" s="276"/>
      <c r="W297" s="276"/>
      <c r="X297" s="276"/>
      <c r="Y297" s="276"/>
      <c r="Z297" s="276"/>
    </row>
    <row r="298" spans="1:26" ht="18.75" customHeight="1">
      <c r="A298" s="276"/>
      <c r="B298" s="276"/>
      <c r="C298" s="276"/>
      <c r="D298" s="276"/>
      <c r="E298" s="276"/>
      <c r="F298" s="276"/>
      <c r="G298" s="276"/>
      <c r="H298" s="276"/>
      <c r="I298" s="276"/>
      <c r="J298" s="276"/>
      <c r="K298" s="276"/>
      <c r="L298" s="276"/>
      <c r="M298" s="276"/>
      <c r="N298" s="276"/>
      <c r="O298" s="276"/>
      <c r="P298" s="276"/>
      <c r="Q298" s="276"/>
      <c r="R298" s="276"/>
      <c r="S298" s="276"/>
      <c r="T298" s="276"/>
      <c r="U298" s="276"/>
      <c r="V298" s="276"/>
      <c r="W298" s="276"/>
      <c r="X298" s="276"/>
      <c r="Y298" s="276"/>
      <c r="Z298" s="276"/>
    </row>
    <row r="299" spans="1:26" ht="18.75" customHeight="1">
      <c r="A299" s="276"/>
      <c r="B299" s="276"/>
      <c r="C299" s="276"/>
      <c r="D299" s="276"/>
      <c r="E299" s="276"/>
      <c r="F299" s="276"/>
      <c r="G299" s="276"/>
      <c r="H299" s="276"/>
      <c r="I299" s="276"/>
      <c r="J299" s="276"/>
      <c r="K299" s="276"/>
      <c r="L299" s="276"/>
      <c r="M299" s="276"/>
      <c r="N299" s="276"/>
      <c r="O299" s="276"/>
      <c r="P299" s="276"/>
      <c r="Q299" s="276"/>
      <c r="R299" s="276"/>
      <c r="S299" s="276"/>
      <c r="T299" s="276"/>
      <c r="U299" s="276"/>
      <c r="V299" s="276"/>
      <c r="W299" s="276"/>
      <c r="X299" s="276"/>
      <c r="Y299" s="276"/>
      <c r="Z299" s="276"/>
    </row>
    <row r="300" spans="1:26" ht="18.75" customHeight="1">
      <c r="A300" s="276"/>
      <c r="B300" s="276"/>
      <c r="C300" s="276"/>
      <c r="D300" s="276"/>
      <c r="E300" s="276"/>
      <c r="F300" s="276"/>
      <c r="G300" s="276"/>
      <c r="H300" s="276"/>
      <c r="I300" s="276"/>
      <c r="J300" s="276"/>
      <c r="K300" s="276"/>
      <c r="L300" s="276"/>
      <c r="M300" s="276"/>
      <c r="N300" s="276"/>
      <c r="O300" s="276"/>
      <c r="P300" s="276"/>
      <c r="Q300" s="276"/>
      <c r="R300" s="276"/>
      <c r="S300" s="276"/>
      <c r="T300" s="276"/>
      <c r="U300" s="276"/>
      <c r="V300" s="276"/>
      <c r="W300" s="276"/>
      <c r="X300" s="276"/>
      <c r="Y300" s="276"/>
      <c r="Z300" s="276"/>
    </row>
    <row r="301" spans="1:26" ht="18.75" customHeight="1">
      <c r="A301" s="276"/>
      <c r="B301" s="276"/>
      <c r="C301" s="276"/>
      <c r="D301" s="276"/>
      <c r="E301" s="276"/>
      <c r="F301" s="276"/>
      <c r="G301" s="276"/>
      <c r="H301" s="276"/>
      <c r="I301" s="276"/>
      <c r="J301" s="276"/>
      <c r="K301" s="276"/>
      <c r="L301" s="276"/>
      <c r="M301" s="276"/>
      <c r="N301" s="276"/>
      <c r="O301" s="276"/>
      <c r="P301" s="276"/>
      <c r="Q301" s="276"/>
      <c r="R301" s="276"/>
      <c r="S301" s="276"/>
      <c r="T301" s="276"/>
      <c r="U301" s="276"/>
      <c r="V301" s="276"/>
      <c r="W301" s="276"/>
      <c r="X301" s="276"/>
      <c r="Y301" s="276"/>
      <c r="Z301" s="276"/>
    </row>
    <row r="302" spans="1:26" ht="18.75" customHeight="1">
      <c r="A302" s="276"/>
      <c r="B302" s="276"/>
      <c r="C302" s="276"/>
      <c r="D302" s="276"/>
      <c r="E302" s="276"/>
      <c r="F302" s="276"/>
      <c r="G302" s="276"/>
      <c r="H302" s="276"/>
      <c r="I302" s="276"/>
      <c r="J302" s="276"/>
      <c r="K302" s="276"/>
      <c r="L302" s="276"/>
      <c r="M302" s="276"/>
      <c r="N302" s="276"/>
      <c r="O302" s="276"/>
      <c r="P302" s="276"/>
      <c r="Q302" s="276"/>
      <c r="R302" s="276"/>
      <c r="S302" s="276"/>
      <c r="T302" s="276"/>
      <c r="U302" s="276"/>
      <c r="V302" s="276"/>
      <c r="W302" s="276"/>
      <c r="X302" s="276"/>
      <c r="Y302" s="276"/>
      <c r="Z302" s="276"/>
    </row>
    <row r="303" spans="1:26" ht="18.75" customHeight="1">
      <c r="A303" s="276"/>
      <c r="B303" s="276"/>
      <c r="C303" s="276"/>
      <c r="D303" s="276"/>
      <c r="E303" s="276"/>
      <c r="F303" s="276"/>
      <c r="G303" s="276"/>
      <c r="H303" s="276"/>
      <c r="I303" s="276"/>
      <c r="J303" s="276"/>
      <c r="K303" s="276"/>
      <c r="L303" s="276"/>
      <c r="M303" s="276"/>
      <c r="N303" s="276"/>
      <c r="O303" s="276"/>
      <c r="P303" s="276"/>
      <c r="Q303" s="276"/>
      <c r="R303" s="276"/>
      <c r="S303" s="276"/>
      <c r="T303" s="276"/>
      <c r="U303" s="276"/>
      <c r="V303" s="276"/>
      <c r="W303" s="276"/>
      <c r="X303" s="276"/>
      <c r="Y303" s="276"/>
      <c r="Z303" s="276"/>
    </row>
    <row r="304" spans="1:26" ht="18.75" customHeight="1">
      <c r="A304" s="276"/>
      <c r="B304" s="276"/>
      <c r="C304" s="276"/>
      <c r="D304" s="276"/>
      <c r="E304" s="276"/>
      <c r="F304" s="276"/>
      <c r="G304" s="276"/>
      <c r="H304" s="276"/>
      <c r="I304" s="276"/>
      <c r="J304" s="276"/>
      <c r="K304" s="276"/>
      <c r="L304" s="276"/>
      <c r="M304" s="276"/>
      <c r="N304" s="276"/>
      <c r="O304" s="276"/>
      <c r="P304" s="276"/>
      <c r="Q304" s="276"/>
      <c r="R304" s="276"/>
      <c r="S304" s="276"/>
      <c r="T304" s="276"/>
      <c r="U304" s="276"/>
      <c r="V304" s="276"/>
      <c r="W304" s="276"/>
      <c r="X304" s="276"/>
      <c r="Y304" s="276"/>
      <c r="Z304" s="276"/>
    </row>
    <row r="305" spans="1:26" ht="18.75" customHeight="1">
      <c r="A305" s="276"/>
      <c r="B305" s="276"/>
      <c r="C305" s="276"/>
      <c r="D305" s="276"/>
      <c r="E305" s="276"/>
      <c r="F305" s="276"/>
      <c r="G305" s="276"/>
      <c r="H305" s="276"/>
      <c r="I305" s="276"/>
      <c r="J305" s="276"/>
      <c r="K305" s="276"/>
      <c r="L305" s="276"/>
      <c r="M305" s="276"/>
      <c r="N305" s="276"/>
      <c r="O305" s="276"/>
      <c r="P305" s="276"/>
      <c r="Q305" s="276"/>
      <c r="R305" s="276"/>
      <c r="S305" s="276"/>
      <c r="T305" s="276"/>
      <c r="U305" s="276"/>
      <c r="V305" s="276"/>
      <c r="W305" s="276"/>
      <c r="X305" s="276"/>
      <c r="Y305" s="276"/>
      <c r="Z305" s="276"/>
    </row>
    <row r="306" spans="1:26" ht="18.75" customHeight="1">
      <c r="A306" s="276"/>
      <c r="B306" s="276"/>
      <c r="C306" s="276"/>
      <c r="D306" s="276"/>
      <c r="E306" s="276"/>
      <c r="F306" s="276"/>
      <c r="G306" s="276"/>
      <c r="H306" s="276"/>
      <c r="I306" s="276"/>
      <c r="J306" s="276"/>
      <c r="K306" s="276"/>
      <c r="L306" s="276"/>
      <c r="M306" s="276"/>
      <c r="N306" s="276"/>
      <c r="O306" s="276"/>
      <c r="P306" s="276"/>
      <c r="Q306" s="276"/>
      <c r="R306" s="276"/>
      <c r="S306" s="276"/>
      <c r="T306" s="276"/>
      <c r="U306" s="276"/>
      <c r="V306" s="276"/>
      <c r="W306" s="276"/>
      <c r="X306" s="276"/>
      <c r="Y306" s="276"/>
      <c r="Z306" s="276"/>
    </row>
    <row r="307" spans="1:26" ht="18.75" customHeight="1">
      <c r="A307" s="276"/>
      <c r="B307" s="276"/>
      <c r="C307" s="276"/>
      <c r="D307" s="276"/>
      <c r="E307" s="276"/>
      <c r="F307" s="276"/>
      <c r="G307" s="276"/>
      <c r="H307" s="276"/>
      <c r="I307" s="276"/>
      <c r="J307" s="276"/>
      <c r="K307" s="276"/>
      <c r="L307" s="276"/>
      <c r="M307" s="276"/>
      <c r="N307" s="276"/>
      <c r="O307" s="276"/>
      <c r="P307" s="276"/>
      <c r="Q307" s="276"/>
      <c r="R307" s="276"/>
      <c r="S307" s="276"/>
      <c r="T307" s="276"/>
      <c r="U307" s="276"/>
      <c r="V307" s="276"/>
      <c r="W307" s="276"/>
      <c r="X307" s="276"/>
      <c r="Y307" s="276"/>
      <c r="Z307" s="276"/>
    </row>
    <row r="308" spans="1:26" ht="18.75" customHeight="1">
      <c r="A308" s="276"/>
      <c r="B308" s="276"/>
      <c r="C308" s="276"/>
      <c r="D308" s="276"/>
      <c r="E308" s="276"/>
      <c r="F308" s="276"/>
      <c r="G308" s="276"/>
      <c r="H308" s="276"/>
      <c r="I308" s="276"/>
      <c r="J308" s="276"/>
      <c r="K308" s="276"/>
      <c r="L308" s="276"/>
      <c r="M308" s="276"/>
      <c r="N308" s="276"/>
      <c r="O308" s="276"/>
      <c r="P308" s="276"/>
      <c r="Q308" s="276"/>
      <c r="R308" s="276"/>
      <c r="S308" s="276"/>
      <c r="T308" s="276"/>
      <c r="U308" s="276"/>
      <c r="V308" s="276"/>
      <c r="W308" s="276"/>
      <c r="X308" s="276"/>
      <c r="Y308" s="276"/>
      <c r="Z308" s="276"/>
    </row>
    <row r="309" spans="1:26" ht="18.75" customHeight="1">
      <c r="A309" s="276"/>
      <c r="B309" s="276"/>
      <c r="C309" s="276"/>
      <c r="D309" s="276"/>
      <c r="E309" s="276"/>
      <c r="F309" s="276"/>
      <c r="G309" s="276"/>
      <c r="H309" s="276"/>
      <c r="I309" s="276"/>
      <c r="J309" s="276"/>
      <c r="K309" s="276"/>
      <c r="L309" s="276"/>
      <c r="M309" s="276"/>
      <c r="N309" s="276"/>
      <c r="O309" s="276"/>
      <c r="P309" s="276"/>
      <c r="Q309" s="276"/>
      <c r="R309" s="276"/>
      <c r="S309" s="276"/>
      <c r="T309" s="276"/>
      <c r="U309" s="276"/>
      <c r="V309" s="276"/>
      <c r="W309" s="276"/>
      <c r="X309" s="276"/>
      <c r="Y309" s="276"/>
      <c r="Z309" s="276"/>
    </row>
    <row r="310" spans="1:26" ht="18.75" customHeight="1">
      <c r="A310" s="276"/>
      <c r="B310" s="276"/>
      <c r="C310" s="276"/>
      <c r="D310" s="276"/>
      <c r="E310" s="276"/>
      <c r="F310" s="276"/>
      <c r="G310" s="276"/>
      <c r="H310" s="276"/>
      <c r="I310" s="276"/>
      <c r="J310" s="276"/>
      <c r="K310" s="276"/>
      <c r="L310" s="276"/>
      <c r="M310" s="276"/>
      <c r="N310" s="276"/>
      <c r="O310" s="276"/>
      <c r="P310" s="276"/>
      <c r="Q310" s="276"/>
      <c r="R310" s="276"/>
      <c r="S310" s="276"/>
      <c r="T310" s="276"/>
      <c r="U310" s="276"/>
      <c r="V310" s="276"/>
      <c r="W310" s="276"/>
      <c r="X310" s="276"/>
      <c r="Y310" s="276"/>
      <c r="Z310" s="276"/>
    </row>
    <row r="311" spans="1:26" ht="18.75" customHeight="1">
      <c r="A311" s="276"/>
      <c r="B311" s="276"/>
      <c r="C311" s="276"/>
      <c r="D311" s="276"/>
      <c r="E311" s="276"/>
      <c r="F311" s="276"/>
      <c r="G311" s="276"/>
      <c r="H311" s="276"/>
      <c r="I311" s="276"/>
      <c r="J311" s="276"/>
      <c r="K311" s="276"/>
      <c r="L311" s="276"/>
      <c r="M311" s="276"/>
      <c r="N311" s="276"/>
      <c r="O311" s="276"/>
      <c r="P311" s="276"/>
      <c r="Q311" s="276"/>
      <c r="R311" s="276"/>
      <c r="S311" s="276"/>
      <c r="T311" s="276"/>
      <c r="U311" s="276"/>
      <c r="V311" s="276"/>
      <c r="W311" s="276"/>
      <c r="X311" s="276"/>
      <c r="Y311" s="276"/>
      <c r="Z311" s="276"/>
    </row>
    <row r="312" spans="1:26" ht="18.75" customHeight="1">
      <c r="A312" s="276"/>
      <c r="B312" s="276"/>
      <c r="C312" s="276"/>
      <c r="D312" s="276"/>
      <c r="E312" s="276"/>
      <c r="F312" s="276"/>
      <c r="G312" s="276"/>
      <c r="H312" s="276"/>
      <c r="I312" s="276"/>
      <c r="J312" s="276"/>
      <c r="K312" s="276"/>
      <c r="L312" s="276"/>
      <c r="M312" s="276"/>
      <c r="N312" s="276"/>
      <c r="O312" s="276"/>
      <c r="P312" s="276"/>
      <c r="Q312" s="276"/>
      <c r="R312" s="276"/>
      <c r="S312" s="276"/>
      <c r="T312" s="276"/>
      <c r="U312" s="276"/>
      <c r="V312" s="276"/>
      <c r="W312" s="276"/>
      <c r="X312" s="276"/>
      <c r="Y312" s="276"/>
      <c r="Z312" s="276"/>
    </row>
    <row r="313" spans="1:26" ht="18.75" customHeight="1">
      <c r="A313" s="276"/>
      <c r="B313" s="276"/>
      <c r="C313" s="276"/>
      <c r="D313" s="276"/>
      <c r="E313" s="276"/>
      <c r="F313" s="276"/>
      <c r="G313" s="276"/>
      <c r="H313" s="276"/>
      <c r="I313" s="276"/>
      <c r="J313" s="276"/>
      <c r="K313" s="276"/>
      <c r="L313" s="276"/>
      <c r="M313" s="276"/>
      <c r="N313" s="276"/>
      <c r="O313" s="276"/>
      <c r="P313" s="276"/>
      <c r="Q313" s="276"/>
      <c r="R313" s="276"/>
      <c r="S313" s="276"/>
      <c r="T313" s="276"/>
      <c r="U313" s="276"/>
      <c r="V313" s="276"/>
      <c r="W313" s="276"/>
      <c r="X313" s="276"/>
      <c r="Y313" s="276"/>
      <c r="Z313" s="276"/>
    </row>
    <row r="314" spans="1:26" ht="18.75" customHeight="1">
      <c r="A314" s="276"/>
      <c r="B314" s="276"/>
      <c r="C314" s="276"/>
      <c r="D314" s="276"/>
      <c r="E314" s="276"/>
      <c r="F314" s="276"/>
      <c r="G314" s="276"/>
      <c r="H314" s="276"/>
      <c r="I314" s="276"/>
      <c r="J314" s="276"/>
      <c r="K314" s="276"/>
      <c r="L314" s="276"/>
      <c r="M314" s="276"/>
      <c r="N314" s="276"/>
      <c r="O314" s="276"/>
      <c r="P314" s="276"/>
      <c r="Q314" s="276"/>
      <c r="R314" s="276"/>
      <c r="S314" s="276"/>
      <c r="T314" s="276"/>
      <c r="U314" s="276"/>
      <c r="V314" s="276"/>
      <c r="W314" s="276"/>
      <c r="X314" s="276"/>
      <c r="Y314" s="276"/>
      <c r="Z314" s="276"/>
    </row>
    <row r="315" spans="1:26" ht="18.75" customHeight="1">
      <c r="A315" s="276"/>
      <c r="B315" s="276"/>
      <c r="C315" s="276"/>
      <c r="D315" s="276"/>
      <c r="E315" s="276"/>
      <c r="F315" s="276"/>
      <c r="G315" s="276"/>
      <c r="H315" s="276"/>
      <c r="I315" s="276"/>
      <c r="J315" s="276"/>
      <c r="K315" s="276"/>
      <c r="L315" s="276"/>
      <c r="M315" s="276"/>
      <c r="N315" s="276"/>
      <c r="O315" s="276"/>
      <c r="P315" s="276"/>
      <c r="Q315" s="276"/>
      <c r="R315" s="276"/>
      <c r="S315" s="276"/>
      <c r="T315" s="276"/>
      <c r="U315" s="276"/>
      <c r="V315" s="276"/>
      <c r="W315" s="276"/>
      <c r="X315" s="276"/>
      <c r="Y315" s="276"/>
      <c r="Z315" s="276"/>
    </row>
    <row r="316" spans="1:26" ht="18.75" customHeight="1">
      <c r="A316" s="276"/>
      <c r="B316" s="276"/>
      <c r="C316" s="276"/>
      <c r="D316" s="276"/>
      <c r="E316" s="276"/>
      <c r="F316" s="276"/>
      <c r="G316" s="276"/>
      <c r="H316" s="276"/>
      <c r="I316" s="276"/>
      <c r="J316" s="276"/>
      <c r="K316" s="276"/>
      <c r="L316" s="276"/>
      <c r="M316" s="276"/>
      <c r="N316" s="276"/>
      <c r="O316" s="276"/>
      <c r="P316" s="276"/>
      <c r="Q316" s="276"/>
      <c r="R316" s="276"/>
      <c r="S316" s="276"/>
      <c r="T316" s="276"/>
      <c r="U316" s="276"/>
      <c r="V316" s="276"/>
      <c r="W316" s="276"/>
      <c r="X316" s="276"/>
      <c r="Y316" s="276"/>
      <c r="Z316" s="276"/>
    </row>
    <row r="317" spans="1:26" ht="18.75" customHeight="1">
      <c r="A317" s="276"/>
      <c r="B317" s="276"/>
      <c r="C317" s="276"/>
      <c r="D317" s="276"/>
      <c r="E317" s="276"/>
      <c r="F317" s="276"/>
      <c r="G317" s="276"/>
      <c r="H317" s="276"/>
      <c r="I317" s="276"/>
      <c r="J317" s="276"/>
      <c r="K317" s="276"/>
      <c r="L317" s="276"/>
      <c r="M317" s="276"/>
      <c r="N317" s="276"/>
      <c r="O317" s="276"/>
      <c r="P317" s="276"/>
      <c r="Q317" s="276"/>
      <c r="R317" s="276"/>
      <c r="S317" s="276"/>
      <c r="T317" s="276"/>
      <c r="U317" s="276"/>
      <c r="V317" s="276"/>
      <c r="W317" s="276"/>
      <c r="X317" s="276"/>
      <c r="Y317" s="276"/>
      <c r="Z317" s="276"/>
    </row>
    <row r="318" spans="1:26" ht="18.75" customHeight="1">
      <c r="A318" s="276"/>
      <c r="B318" s="276"/>
      <c r="C318" s="276"/>
      <c r="D318" s="276"/>
      <c r="E318" s="276"/>
      <c r="F318" s="276"/>
      <c r="G318" s="276"/>
      <c r="H318" s="276"/>
      <c r="I318" s="276"/>
      <c r="J318" s="276"/>
      <c r="K318" s="276"/>
      <c r="L318" s="276"/>
      <c r="M318" s="276"/>
      <c r="N318" s="276"/>
      <c r="O318" s="276"/>
      <c r="P318" s="276"/>
      <c r="Q318" s="276"/>
      <c r="R318" s="276"/>
      <c r="S318" s="276"/>
      <c r="T318" s="276"/>
      <c r="U318" s="276"/>
      <c r="V318" s="276"/>
      <c r="W318" s="276"/>
      <c r="X318" s="276"/>
      <c r="Y318" s="276"/>
      <c r="Z318" s="276"/>
    </row>
    <row r="319" spans="1:26" ht="18.75" customHeight="1">
      <c r="A319" s="276"/>
      <c r="B319" s="276"/>
      <c r="C319" s="276"/>
      <c r="D319" s="276"/>
      <c r="E319" s="276"/>
      <c r="F319" s="276"/>
      <c r="G319" s="276"/>
      <c r="H319" s="276"/>
      <c r="I319" s="276"/>
      <c r="J319" s="276"/>
      <c r="K319" s="276"/>
      <c r="L319" s="276"/>
      <c r="M319" s="276"/>
      <c r="N319" s="276"/>
      <c r="O319" s="276"/>
      <c r="P319" s="276"/>
      <c r="Q319" s="276"/>
      <c r="R319" s="276"/>
      <c r="S319" s="276"/>
      <c r="T319" s="276"/>
      <c r="U319" s="276"/>
      <c r="V319" s="276"/>
      <c r="W319" s="276"/>
      <c r="X319" s="276"/>
      <c r="Y319" s="276"/>
      <c r="Z319" s="276"/>
    </row>
    <row r="320" spans="1:26" ht="18.75" customHeight="1">
      <c r="A320" s="276"/>
      <c r="B320" s="276"/>
      <c r="C320" s="276"/>
      <c r="D320" s="276"/>
      <c r="E320" s="276"/>
      <c r="F320" s="276"/>
      <c r="G320" s="276"/>
      <c r="H320" s="276"/>
      <c r="I320" s="276"/>
      <c r="J320" s="276"/>
      <c r="K320" s="276"/>
      <c r="L320" s="276"/>
      <c r="M320" s="276"/>
      <c r="N320" s="276"/>
      <c r="O320" s="276"/>
      <c r="P320" s="276"/>
      <c r="Q320" s="276"/>
      <c r="R320" s="276"/>
      <c r="S320" s="276"/>
      <c r="T320" s="276"/>
      <c r="U320" s="276"/>
      <c r="V320" s="276"/>
      <c r="W320" s="276"/>
      <c r="X320" s="276"/>
      <c r="Y320" s="276"/>
      <c r="Z320" s="276"/>
    </row>
    <row r="321" spans="1:26" ht="18.75" customHeight="1">
      <c r="A321" s="276"/>
      <c r="B321" s="276"/>
      <c r="C321" s="276"/>
      <c r="D321" s="276"/>
      <c r="E321" s="276"/>
      <c r="F321" s="276"/>
      <c r="G321" s="276"/>
      <c r="H321" s="276"/>
      <c r="I321" s="276"/>
      <c r="J321" s="276"/>
      <c r="K321" s="276"/>
      <c r="L321" s="276"/>
      <c r="M321" s="276"/>
      <c r="N321" s="276"/>
      <c r="O321" s="276"/>
      <c r="P321" s="276"/>
      <c r="Q321" s="276"/>
      <c r="R321" s="276"/>
      <c r="S321" s="276"/>
      <c r="T321" s="276"/>
      <c r="U321" s="276"/>
      <c r="V321" s="276"/>
      <c r="W321" s="276"/>
      <c r="X321" s="276"/>
      <c r="Y321" s="276"/>
      <c r="Z321" s="276"/>
    </row>
    <row r="322" spans="1:26" ht="18.75" customHeight="1">
      <c r="A322" s="276"/>
      <c r="B322" s="276"/>
      <c r="C322" s="276"/>
      <c r="D322" s="276"/>
      <c r="E322" s="276"/>
      <c r="F322" s="276"/>
      <c r="G322" s="276"/>
      <c r="H322" s="276"/>
      <c r="I322" s="276"/>
      <c r="J322" s="276"/>
      <c r="K322" s="276"/>
      <c r="L322" s="276"/>
      <c r="M322" s="276"/>
      <c r="N322" s="276"/>
      <c r="O322" s="276"/>
      <c r="P322" s="276"/>
      <c r="Q322" s="276"/>
      <c r="R322" s="276"/>
      <c r="S322" s="276"/>
      <c r="T322" s="276"/>
      <c r="U322" s="276"/>
      <c r="V322" s="276"/>
      <c r="W322" s="276"/>
      <c r="X322" s="276"/>
      <c r="Y322" s="276"/>
      <c r="Z322" s="276"/>
    </row>
    <row r="323" spans="1:26" ht="18.75" customHeight="1">
      <c r="A323" s="276"/>
      <c r="B323" s="276"/>
      <c r="C323" s="276"/>
      <c r="D323" s="276"/>
      <c r="E323" s="276"/>
      <c r="F323" s="276"/>
      <c r="G323" s="276"/>
      <c r="H323" s="276"/>
      <c r="I323" s="276"/>
      <c r="J323" s="276"/>
      <c r="K323" s="276"/>
      <c r="L323" s="276"/>
      <c r="M323" s="276"/>
      <c r="N323" s="276"/>
      <c r="O323" s="276"/>
      <c r="P323" s="276"/>
      <c r="Q323" s="276"/>
      <c r="R323" s="276"/>
      <c r="S323" s="276"/>
      <c r="T323" s="276"/>
      <c r="U323" s="276"/>
      <c r="V323" s="276"/>
      <c r="W323" s="276"/>
      <c r="X323" s="276"/>
      <c r="Y323" s="276"/>
      <c r="Z323" s="276"/>
    </row>
    <row r="324" spans="1:26" ht="18.75" customHeight="1">
      <c r="A324" s="276"/>
      <c r="B324" s="276"/>
      <c r="C324" s="276"/>
      <c r="D324" s="276"/>
      <c r="E324" s="276"/>
      <c r="F324" s="276"/>
      <c r="G324" s="276"/>
      <c r="H324" s="276"/>
      <c r="I324" s="276"/>
      <c r="J324" s="276"/>
      <c r="K324" s="276"/>
      <c r="L324" s="276"/>
      <c r="M324" s="276"/>
      <c r="N324" s="276"/>
      <c r="O324" s="276"/>
      <c r="P324" s="276"/>
      <c r="Q324" s="276"/>
      <c r="R324" s="276"/>
      <c r="S324" s="276"/>
      <c r="T324" s="276"/>
      <c r="U324" s="276"/>
      <c r="V324" s="276"/>
      <c r="W324" s="276"/>
      <c r="X324" s="276"/>
      <c r="Y324" s="276"/>
      <c r="Z324" s="276"/>
    </row>
    <row r="325" spans="1:26" ht="18.75" customHeight="1">
      <c r="A325" s="276"/>
      <c r="B325" s="276"/>
      <c r="C325" s="276"/>
      <c r="D325" s="276"/>
      <c r="E325" s="276"/>
      <c r="F325" s="276"/>
      <c r="G325" s="276"/>
      <c r="H325" s="276"/>
      <c r="I325" s="276"/>
      <c r="J325" s="276"/>
      <c r="K325" s="276"/>
      <c r="L325" s="276"/>
      <c r="M325" s="276"/>
      <c r="N325" s="276"/>
      <c r="O325" s="276"/>
      <c r="P325" s="276"/>
      <c r="Q325" s="276"/>
      <c r="R325" s="276"/>
      <c r="S325" s="276"/>
      <c r="T325" s="276"/>
      <c r="U325" s="276"/>
      <c r="V325" s="276"/>
      <c r="W325" s="276"/>
      <c r="X325" s="276"/>
      <c r="Y325" s="276"/>
      <c r="Z325" s="276"/>
    </row>
    <row r="326" spans="1:26" ht="18.75" customHeight="1">
      <c r="A326" s="276"/>
      <c r="B326" s="276"/>
      <c r="C326" s="276"/>
      <c r="D326" s="276"/>
      <c r="E326" s="276"/>
      <c r="F326" s="276"/>
      <c r="G326" s="276"/>
      <c r="H326" s="276"/>
      <c r="I326" s="276"/>
      <c r="J326" s="276"/>
      <c r="K326" s="276"/>
      <c r="L326" s="276"/>
      <c r="M326" s="276"/>
      <c r="N326" s="276"/>
      <c r="O326" s="276"/>
      <c r="P326" s="276"/>
      <c r="Q326" s="276"/>
      <c r="R326" s="276"/>
      <c r="S326" s="276"/>
      <c r="T326" s="276"/>
      <c r="U326" s="276"/>
      <c r="V326" s="276"/>
      <c r="W326" s="276"/>
      <c r="X326" s="276"/>
      <c r="Y326" s="276"/>
      <c r="Z326" s="276"/>
    </row>
    <row r="327" spans="1:26" ht="18.75" customHeight="1">
      <c r="A327" s="276"/>
      <c r="B327" s="276"/>
      <c r="C327" s="276"/>
      <c r="D327" s="276"/>
      <c r="E327" s="276"/>
      <c r="F327" s="276"/>
      <c r="G327" s="276"/>
      <c r="H327" s="276"/>
      <c r="I327" s="276"/>
      <c r="J327" s="276"/>
      <c r="K327" s="276"/>
      <c r="L327" s="276"/>
      <c r="M327" s="276"/>
      <c r="N327" s="276"/>
      <c r="O327" s="276"/>
      <c r="P327" s="276"/>
      <c r="Q327" s="276"/>
      <c r="R327" s="276"/>
      <c r="S327" s="276"/>
      <c r="T327" s="276"/>
      <c r="U327" s="276"/>
      <c r="V327" s="276"/>
      <c r="W327" s="276"/>
      <c r="X327" s="276"/>
      <c r="Y327" s="276"/>
      <c r="Z327" s="276"/>
    </row>
    <row r="328" spans="1:26" ht="18.75" customHeight="1">
      <c r="A328" s="276"/>
      <c r="B328" s="276"/>
      <c r="C328" s="276"/>
      <c r="D328" s="276"/>
      <c r="E328" s="276"/>
      <c r="F328" s="276"/>
      <c r="G328" s="276"/>
      <c r="H328" s="276"/>
      <c r="I328" s="276"/>
      <c r="J328" s="276"/>
      <c r="K328" s="276"/>
      <c r="L328" s="276"/>
      <c r="M328" s="276"/>
      <c r="N328" s="276"/>
      <c r="O328" s="276"/>
      <c r="P328" s="276"/>
      <c r="Q328" s="276"/>
      <c r="R328" s="276"/>
      <c r="S328" s="276"/>
      <c r="T328" s="276"/>
      <c r="U328" s="276"/>
      <c r="V328" s="276"/>
      <c r="W328" s="276"/>
      <c r="X328" s="276"/>
      <c r="Y328" s="276"/>
      <c r="Z328" s="276"/>
    </row>
    <row r="329" spans="1:26" ht="18.75" customHeight="1">
      <c r="A329" s="276"/>
      <c r="B329" s="276"/>
      <c r="C329" s="276"/>
      <c r="D329" s="276"/>
      <c r="E329" s="276"/>
      <c r="F329" s="276"/>
      <c r="G329" s="276"/>
      <c r="H329" s="276"/>
      <c r="I329" s="276"/>
      <c r="J329" s="276"/>
      <c r="K329" s="276"/>
      <c r="L329" s="276"/>
      <c r="M329" s="276"/>
      <c r="N329" s="276"/>
      <c r="O329" s="276"/>
      <c r="P329" s="276"/>
      <c r="Q329" s="276"/>
      <c r="R329" s="276"/>
      <c r="S329" s="276"/>
      <c r="T329" s="276"/>
      <c r="U329" s="276"/>
      <c r="V329" s="276"/>
      <c r="W329" s="276"/>
      <c r="X329" s="276"/>
      <c r="Y329" s="276"/>
      <c r="Z329" s="276"/>
    </row>
    <row r="330" spans="1:26" ht="18.75" customHeight="1">
      <c r="A330" s="276"/>
      <c r="B330" s="276"/>
      <c r="C330" s="276"/>
      <c r="D330" s="276"/>
      <c r="E330" s="276"/>
      <c r="F330" s="276"/>
      <c r="G330" s="276"/>
      <c r="H330" s="276"/>
      <c r="I330" s="276"/>
      <c r="J330" s="276"/>
      <c r="K330" s="276"/>
      <c r="L330" s="276"/>
      <c r="M330" s="276"/>
      <c r="N330" s="276"/>
      <c r="O330" s="276"/>
      <c r="P330" s="276"/>
      <c r="Q330" s="276"/>
      <c r="R330" s="276"/>
      <c r="S330" s="276"/>
      <c r="T330" s="276"/>
      <c r="U330" s="276"/>
      <c r="V330" s="276"/>
      <c r="W330" s="276"/>
      <c r="X330" s="276"/>
      <c r="Y330" s="276"/>
      <c r="Z330" s="276"/>
    </row>
    <row r="331" spans="1:26" ht="18.75" customHeight="1">
      <c r="A331" s="276"/>
      <c r="B331" s="276"/>
      <c r="C331" s="276"/>
      <c r="D331" s="276"/>
      <c r="E331" s="276"/>
      <c r="F331" s="276"/>
      <c r="G331" s="276"/>
      <c r="H331" s="276"/>
      <c r="I331" s="276"/>
      <c r="J331" s="276"/>
      <c r="K331" s="276"/>
      <c r="L331" s="276"/>
      <c r="M331" s="276"/>
      <c r="N331" s="276"/>
      <c r="O331" s="276"/>
      <c r="P331" s="276"/>
      <c r="Q331" s="276"/>
      <c r="R331" s="276"/>
      <c r="S331" s="276"/>
      <c r="T331" s="276"/>
      <c r="U331" s="276"/>
      <c r="V331" s="276"/>
      <c r="W331" s="276"/>
      <c r="X331" s="276"/>
      <c r="Y331" s="276"/>
      <c r="Z331" s="276"/>
    </row>
    <row r="332" spans="1:26" ht="18.75" customHeight="1">
      <c r="A332" s="276"/>
      <c r="B332" s="276"/>
      <c r="C332" s="276"/>
      <c r="D332" s="276"/>
      <c r="E332" s="276"/>
      <c r="F332" s="276"/>
      <c r="G332" s="276"/>
      <c r="H332" s="276"/>
      <c r="I332" s="276"/>
      <c r="J332" s="276"/>
      <c r="K332" s="276"/>
      <c r="L332" s="276"/>
      <c r="M332" s="276"/>
      <c r="N332" s="276"/>
      <c r="O332" s="276"/>
      <c r="P332" s="276"/>
      <c r="Q332" s="276"/>
      <c r="R332" s="276"/>
      <c r="S332" s="276"/>
      <c r="T332" s="276"/>
      <c r="U332" s="276"/>
      <c r="V332" s="276"/>
      <c r="W332" s="276"/>
      <c r="X332" s="276"/>
      <c r="Y332" s="276"/>
      <c r="Z332" s="276"/>
    </row>
    <row r="333" spans="1:26" ht="18.75" customHeight="1">
      <c r="A333" s="276"/>
      <c r="B333" s="276"/>
      <c r="C333" s="276"/>
      <c r="D333" s="276"/>
      <c r="E333" s="276"/>
      <c r="F333" s="276"/>
      <c r="G333" s="276"/>
      <c r="H333" s="276"/>
      <c r="I333" s="276"/>
      <c r="J333" s="276"/>
      <c r="K333" s="276"/>
      <c r="L333" s="276"/>
      <c r="M333" s="276"/>
      <c r="N333" s="276"/>
      <c r="O333" s="276"/>
      <c r="P333" s="276"/>
      <c r="Q333" s="276"/>
      <c r="R333" s="276"/>
      <c r="S333" s="276"/>
      <c r="T333" s="276"/>
      <c r="U333" s="276"/>
      <c r="V333" s="276"/>
      <c r="W333" s="276"/>
      <c r="X333" s="276"/>
      <c r="Y333" s="276"/>
      <c r="Z333" s="276"/>
    </row>
    <row r="334" spans="1:26" ht="18.75" customHeight="1">
      <c r="A334" s="276"/>
      <c r="B334" s="276"/>
      <c r="C334" s="276"/>
      <c r="D334" s="276"/>
      <c r="E334" s="276"/>
      <c r="F334" s="276"/>
      <c r="G334" s="276"/>
      <c r="H334" s="276"/>
      <c r="I334" s="276"/>
      <c r="J334" s="276"/>
      <c r="K334" s="276"/>
      <c r="L334" s="276"/>
      <c r="M334" s="276"/>
      <c r="N334" s="276"/>
      <c r="O334" s="276"/>
      <c r="P334" s="276"/>
      <c r="Q334" s="276"/>
      <c r="R334" s="276"/>
      <c r="S334" s="276"/>
      <c r="T334" s="276"/>
      <c r="U334" s="276"/>
      <c r="V334" s="276"/>
      <c r="W334" s="276"/>
      <c r="X334" s="276"/>
      <c r="Y334" s="276"/>
      <c r="Z334" s="276"/>
    </row>
    <row r="335" spans="1:26" ht="18.75" customHeight="1">
      <c r="A335" s="276"/>
      <c r="B335" s="276"/>
      <c r="C335" s="276"/>
      <c r="D335" s="276"/>
      <c r="E335" s="276"/>
      <c r="F335" s="276"/>
      <c r="G335" s="276"/>
      <c r="H335" s="276"/>
      <c r="I335" s="276"/>
      <c r="J335" s="276"/>
      <c r="K335" s="276"/>
      <c r="L335" s="276"/>
      <c r="M335" s="276"/>
      <c r="N335" s="276"/>
      <c r="O335" s="276"/>
      <c r="P335" s="276"/>
      <c r="Q335" s="276"/>
      <c r="R335" s="276"/>
      <c r="S335" s="276"/>
      <c r="T335" s="276"/>
      <c r="U335" s="276"/>
      <c r="V335" s="276"/>
      <c r="W335" s="276"/>
      <c r="X335" s="276"/>
      <c r="Y335" s="276"/>
      <c r="Z335" s="276"/>
    </row>
    <row r="336" spans="1:26" ht="18.75" customHeight="1">
      <c r="A336" s="276"/>
      <c r="B336" s="276"/>
      <c r="C336" s="276"/>
      <c r="D336" s="276"/>
      <c r="E336" s="276"/>
      <c r="F336" s="276"/>
      <c r="G336" s="276"/>
      <c r="H336" s="276"/>
      <c r="I336" s="276"/>
      <c r="J336" s="276"/>
      <c r="K336" s="276"/>
      <c r="L336" s="276"/>
      <c r="M336" s="276"/>
      <c r="N336" s="276"/>
      <c r="O336" s="276"/>
      <c r="P336" s="276"/>
      <c r="Q336" s="276"/>
      <c r="R336" s="276"/>
      <c r="S336" s="276"/>
      <c r="T336" s="276"/>
      <c r="U336" s="276"/>
      <c r="V336" s="276"/>
      <c r="W336" s="276"/>
      <c r="X336" s="276"/>
      <c r="Y336" s="276"/>
      <c r="Z336" s="276"/>
    </row>
    <row r="337" spans="1:26" ht="18.75" customHeight="1">
      <c r="A337" s="276"/>
      <c r="B337" s="276"/>
      <c r="C337" s="276"/>
      <c r="D337" s="276"/>
      <c r="E337" s="276"/>
      <c r="F337" s="276"/>
      <c r="G337" s="276"/>
      <c r="H337" s="276"/>
      <c r="I337" s="276"/>
      <c r="J337" s="276"/>
      <c r="K337" s="276"/>
      <c r="L337" s="276"/>
      <c r="M337" s="276"/>
      <c r="N337" s="276"/>
      <c r="O337" s="276"/>
      <c r="P337" s="276"/>
      <c r="Q337" s="276"/>
      <c r="R337" s="276"/>
      <c r="S337" s="276"/>
      <c r="T337" s="276"/>
      <c r="U337" s="276"/>
      <c r="V337" s="276"/>
      <c r="W337" s="276"/>
      <c r="X337" s="276"/>
      <c r="Y337" s="276"/>
      <c r="Z337" s="276"/>
    </row>
    <row r="338" spans="1:26" ht="18.75" customHeight="1">
      <c r="A338" s="276"/>
      <c r="B338" s="276"/>
      <c r="C338" s="276"/>
      <c r="D338" s="276"/>
      <c r="E338" s="276"/>
      <c r="F338" s="276"/>
      <c r="G338" s="276"/>
      <c r="H338" s="276"/>
      <c r="I338" s="276"/>
      <c r="J338" s="276"/>
      <c r="K338" s="276"/>
      <c r="L338" s="276"/>
      <c r="M338" s="276"/>
      <c r="N338" s="276"/>
      <c r="O338" s="276"/>
      <c r="P338" s="276"/>
      <c r="Q338" s="276"/>
      <c r="R338" s="276"/>
      <c r="S338" s="276"/>
      <c r="T338" s="276"/>
      <c r="U338" s="276"/>
      <c r="V338" s="276"/>
      <c r="W338" s="276"/>
      <c r="X338" s="276"/>
      <c r="Y338" s="276"/>
      <c r="Z338" s="276"/>
    </row>
    <row r="339" spans="1:26" ht="18.75" customHeight="1">
      <c r="A339" s="276"/>
      <c r="B339" s="276"/>
      <c r="C339" s="276"/>
      <c r="D339" s="276"/>
      <c r="E339" s="276"/>
      <c r="F339" s="276"/>
      <c r="G339" s="276"/>
      <c r="H339" s="276"/>
      <c r="I339" s="276"/>
      <c r="J339" s="276"/>
      <c r="K339" s="276"/>
      <c r="L339" s="276"/>
      <c r="M339" s="276"/>
      <c r="N339" s="276"/>
      <c r="O339" s="276"/>
      <c r="P339" s="276"/>
      <c r="Q339" s="276"/>
      <c r="R339" s="276"/>
      <c r="S339" s="276"/>
      <c r="T339" s="276"/>
      <c r="U339" s="276"/>
      <c r="V339" s="276"/>
      <c r="W339" s="276"/>
      <c r="X339" s="276"/>
      <c r="Y339" s="276"/>
      <c r="Z339" s="276"/>
    </row>
    <row r="340" spans="1:26" ht="18.75" customHeight="1">
      <c r="A340" s="276"/>
      <c r="B340" s="276"/>
      <c r="C340" s="276"/>
      <c r="D340" s="276"/>
      <c r="E340" s="276"/>
      <c r="F340" s="276"/>
      <c r="G340" s="276"/>
      <c r="H340" s="276"/>
      <c r="I340" s="276"/>
      <c r="J340" s="276"/>
      <c r="K340" s="276"/>
      <c r="L340" s="276"/>
      <c r="M340" s="276"/>
      <c r="N340" s="276"/>
      <c r="O340" s="276"/>
      <c r="P340" s="276"/>
      <c r="Q340" s="276"/>
      <c r="R340" s="276"/>
      <c r="S340" s="276"/>
      <c r="T340" s="276"/>
      <c r="U340" s="276"/>
      <c r="V340" s="276"/>
      <c r="W340" s="276"/>
      <c r="X340" s="276"/>
      <c r="Y340" s="276"/>
      <c r="Z340" s="276"/>
    </row>
    <row r="341" spans="1:26" ht="18.75" customHeight="1">
      <c r="A341" s="276"/>
      <c r="B341" s="276"/>
      <c r="C341" s="276"/>
      <c r="D341" s="276"/>
      <c r="E341" s="276"/>
      <c r="F341" s="276"/>
      <c r="G341" s="276"/>
      <c r="H341" s="276"/>
      <c r="I341" s="276"/>
      <c r="J341" s="276"/>
      <c r="K341" s="276"/>
      <c r="L341" s="276"/>
      <c r="M341" s="276"/>
      <c r="N341" s="276"/>
      <c r="O341" s="276"/>
      <c r="P341" s="276"/>
      <c r="Q341" s="276"/>
      <c r="R341" s="276"/>
      <c r="S341" s="276"/>
      <c r="T341" s="276"/>
      <c r="U341" s="276"/>
      <c r="V341" s="276"/>
      <c r="W341" s="276"/>
      <c r="X341" s="276"/>
      <c r="Y341" s="276"/>
      <c r="Z341" s="276"/>
    </row>
    <row r="342" spans="1:26" ht="18.75" customHeight="1">
      <c r="A342" s="276"/>
      <c r="B342" s="276"/>
      <c r="C342" s="276"/>
      <c r="D342" s="276"/>
      <c r="E342" s="276"/>
      <c r="F342" s="276"/>
      <c r="G342" s="276"/>
      <c r="H342" s="276"/>
      <c r="I342" s="276"/>
      <c r="J342" s="276"/>
      <c r="K342" s="276"/>
      <c r="L342" s="276"/>
      <c r="M342" s="276"/>
      <c r="N342" s="276"/>
      <c r="O342" s="276"/>
      <c r="P342" s="276"/>
      <c r="Q342" s="276"/>
      <c r="R342" s="276"/>
      <c r="S342" s="276"/>
      <c r="T342" s="276"/>
      <c r="U342" s="276"/>
      <c r="V342" s="276"/>
      <c r="W342" s="276"/>
      <c r="X342" s="276"/>
      <c r="Y342" s="276"/>
      <c r="Z342" s="276"/>
    </row>
    <row r="343" spans="1:26" ht="18.75" customHeight="1">
      <c r="A343" s="276"/>
      <c r="B343" s="276"/>
      <c r="C343" s="276"/>
      <c r="D343" s="276"/>
      <c r="E343" s="276"/>
      <c r="F343" s="276"/>
      <c r="G343" s="276"/>
      <c r="H343" s="276"/>
      <c r="I343" s="276"/>
      <c r="J343" s="276"/>
      <c r="K343" s="276"/>
      <c r="L343" s="276"/>
      <c r="M343" s="276"/>
      <c r="N343" s="276"/>
      <c r="O343" s="276"/>
      <c r="P343" s="276"/>
      <c r="Q343" s="276"/>
      <c r="R343" s="276"/>
      <c r="S343" s="276"/>
      <c r="T343" s="276"/>
      <c r="U343" s="276"/>
      <c r="V343" s="276"/>
      <c r="W343" s="276"/>
      <c r="X343" s="276"/>
      <c r="Y343" s="276"/>
      <c r="Z343" s="276"/>
    </row>
    <row r="344" spans="1:26" ht="18.75" customHeight="1">
      <c r="A344" s="276"/>
      <c r="B344" s="276"/>
      <c r="C344" s="276"/>
      <c r="D344" s="276"/>
      <c r="E344" s="276"/>
      <c r="F344" s="276"/>
      <c r="G344" s="276"/>
      <c r="H344" s="276"/>
      <c r="I344" s="276"/>
      <c r="J344" s="276"/>
      <c r="K344" s="276"/>
      <c r="L344" s="276"/>
      <c r="M344" s="276"/>
      <c r="N344" s="276"/>
      <c r="O344" s="276"/>
      <c r="P344" s="276"/>
      <c r="Q344" s="276"/>
      <c r="R344" s="276"/>
      <c r="S344" s="276"/>
      <c r="T344" s="276"/>
      <c r="U344" s="276"/>
      <c r="V344" s="276"/>
      <c r="W344" s="276"/>
      <c r="X344" s="276"/>
      <c r="Y344" s="276"/>
      <c r="Z344" s="276"/>
    </row>
    <row r="345" spans="1:26" ht="18.75" customHeight="1">
      <c r="A345" s="276"/>
      <c r="B345" s="276"/>
      <c r="C345" s="276"/>
      <c r="D345" s="276"/>
      <c r="E345" s="276"/>
      <c r="F345" s="276"/>
      <c r="G345" s="276"/>
      <c r="H345" s="276"/>
      <c r="I345" s="276"/>
      <c r="J345" s="276"/>
      <c r="K345" s="276"/>
      <c r="L345" s="276"/>
      <c r="M345" s="276"/>
      <c r="N345" s="276"/>
      <c r="O345" s="276"/>
      <c r="P345" s="276"/>
      <c r="Q345" s="276"/>
      <c r="R345" s="276"/>
      <c r="S345" s="276"/>
      <c r="T345" s="276"/>
      <c r="U345" s="276"/>
      <c r="V345" s="276"/>
      <c r="W345" s="276"/>
      <c r="X345" s="276"/>
      <c r="Y345" s="276"/>
      <c r="Z345" s="276"/>
    </row>
    <row r="346" spans="1:26" ht="18.75" customHeight="1">
      <c r="A346" s="276"/>
      <c r="B346" s="276"/>
      <c r="C346" s="276"/>
      <c r="D346" s="276"/>
      <c r="E346" s="276"/>
      <c r="F346" s="276"/>
      <c r="G346" s="276"/>
      <c r="H346" s="276"/>
      <c r="I346" s="276"/>
      <c r="J346" s="276"/>
      <c r="K346" s="276"/>
      <c r="L346" s="276"/>
      <c r="M346" s="276"/>
      <c r="N346" s="276"/>
      <c r="O346" s="276"/>
      <c r="P346" s="276"/>
      <c r="Q346" s="276"/>
      <c r="R346" s="276"/>
      <c r="S346" s="276"/>
      <c r="T346" s="276"/>
      <c r="U346" s="276"/>
      <c r="V346" s="276"/>
      <c r="W346" s="276"/>
      <c r="X346" s="276"/>
      <c r="Y346" s="276"/>
      <c r="Z346" s="276"/>
    </row>
    <row r="347" spans="1:26" ht="18.75" customHeight="1">
      <c r="A347" s="276"/>
      <c r="B347" s="276"/>
      <c r="C347" s="276"/>
      <c r="D347" s="276"/>
      <c r="E347" s="276"/>
      <c r="F347" s="276"/>
      <c r="G347" s="276"/>
      <c r="H347" s="276"/>
      <c r="I347" s="276"/>
      <c r="J347" s="276"/>
      <c r="K347" s="276"/>
      <c r="L347" s="276"/>
      <c r="M347" s="276"/>
      <c r="N347" s="276"/>
      <c r="O347" s="276"/>
      <c r="P347" s="276"/>
      <c r="Q347" s="276"/>
      <c r="R347" s="276"/>
      <c r="S347" s="276"/>
      <c r="T347" s="276"/>
      <c r="U347" s="276"/>
      <c r="V347" s="276"/>
      <c r="W347" s="276"/>
      <c r="X347" s="276"/>
      <c r="Y347" s="276"/>
      <c r="Z347" s="276"/>
    </row>
    <row r="348" spans="1:26" ht="18.75" customHeight="1">
      <c r="A348" s="276"/>
      <c r="B348" s="276"/>
      <c r="C348" s="276"/>
      <c r="D348" s="276"/>
      <c r="E348" s="276"/>
      <c r="F348" s="276"/>
      <c r="G348" s="276"/>
      <c r="H348" s="276"/>
      <c r="I348" s="276"/>
      <c r="J348" s="276"/>
      <c r="K348" s="276"/>
      <c r="L348" s="276"/>
      <c r="M348" s="276"/>
      <c r="N348" s="276"/>
      <c r="O348" s="276"/>
      <c r="P348" s="276"/>
      <c r="Q348" s="276"/>
      <c r="R348" s="276"/>
      <c r="S348" s="276"/>
      <c r="T348" s="276"/>
      <c r="U348" s="276"/>
      <c r="V348" s="276"/>
      <c r="W348" s="276"/>
      <c r="X348" s="276"/>
      <c r="Y348" s="276"/>
      <c r="Z348" s="276"/>
    </row>
    <row r="349" spans="1:26" ht="18.75" customHeight="1">
      <c r="A349" s="276"/>
      <c r="B349" s="276"/>
      <c r="C349" s="276"/>
      <c r="D349" s="276"/>
      <c r="E349" s="276"/>
      <c r="F349" s="276"/>
      <c r="G349" s="276"/>
      <c r="H349" s="276"/>
      <c r="I349" s="276"/>
      <c r="J349" s="276"/>
      <c r="K349" s="276"/>
      <c r="L349" s="276"/>
      <c r="M349" s="276"/>
      <c r="N349" s="276"/>
      <c r="O349" s="276"/>
      <c r="P349" s="276"/>
      <c r="Q349" s="276"/>
      <c r="R349" s="276"/>
      <c r="S349" s="276"/>
      <c r="T349" s="276"/>
      <c r="U349" s="276"/>
      <c r="V349" s="276"/>
      <c r="W349" s="276"/>
      <c r="X349" s="276"/>
      <c r="Y349" s="276"/>
      <c r="Z349" s="276"/>
    </row>
    <row r="350" spans="1:26" ht="18.75" customHeight="1">
      <c r="A350" s="276"/>
      <c r="B350" s="276"/>
      <c r="C350" s="276"/>
      <c r="D350" s="276"/>
      <c r="E350" s="276"/>
      <c r="F350" s="276"/>
      <c r="G350" s="276"/>
      <c r="H350" s="276"/>
      <c r="I350" s="276"/>
      <c r="J350" s="276"/>
      <c r="K350" s="276"/>
      <c r="L350" s="276"/>
      <c r="M350" s="276"/>
      <c r="N350" s="276"/>
      <c r="O350" s="276"/>
      <c r="P350" s="276"/>
      <c r="Q350" s="276"/>
      <c r="R350" s="276"/>
      <c r="S350" s="276"/>
      <c r="T350" s="276"/>
      <c r="U350" s="276"/>
      <c r="V350" s="276"/>
      <c r="W350" s="276"/>
      <c r="X350" s="276"/>
      <c r="Y350" s="276"/>
      <c r="Z350" s="276"/>
    </row>
    <row r="351" spans="1:26" ht="18.75" customHeight="1">
      <c r="A351" s="276"/>
      <c r="B351" s="276"/>
      <c r="C351" s="276"/>
      <c r="D351" s="276"/>
      <c r="E351" s="276"/>
      <c r="F351" s="276"/>
      <c r="G351" s="276"/>
      <c r="H351" s="276"/>
      <c r="I351" s="276"/>
      <c r="J351" s="276"/>
      <c r="K351" s="276"/>
      <c r="L351" s="276"/>
      <c r="M351" s="276"/>
      <c r="N351" s="276"/>
      <c r="O351" s="276"/>
      <c r="P351" s="276"/>
      <c r="Q351" s="276"/>
      <c r="R351" s="276"/>
      <c r="S351" s="276"/>
      <c r="T351" s="276"/>
      <c r="U351" s="276"/>
      <c r="V351" s="276"/>
      <c r="W351" s="276"/>
      <c r="X351" s="276"/>
      <c r="Y351" s="276"/>
      <c r="Z351" s="276"/>
    </row>
    <row r="352" spans="1:26" ht="18.75" customHeight="1">
      <c r="A352" s="276"/>
      <c r="B352" s="276"/>
      <c r="C352" s="276"/>
      <c r="D352" s="276"/>
      <c r="E352" s="276"/>
      <c r="F352" s="276"/>
      <c r="G352" s="276"/>
      <c r="H352" s="276"/>
      <c r="I352" s="276"/>
      <c r="J352" s="276"/>
      <c r="K352" s="276"/>
      <c r="L352" s="276"/>
      <c r="M352" s="276"/>
      <c r="N352" s="276"/>
      <c r="O352" s="276"/>
      <c r="P352" s="276"/>
      <c r="Q352" s="276"/>
      <c r="R352" s="276"/>
      <c r="S352" s="276"/>
      <c r="T352" s="276"/>
      <c r="U352" s="276"/>
      <c r="V352" s="276"/>
      <c r="W352" s="276"/>
      <c r="X352" s="276"/>
      <c r="Y352" s="276"/>
      <c r="Z352" s="276"/>
    </row>
    <row r="353" spans="1:26" ht="18.75" customHeight="1">
      <c r="A353" s="276"/>
      <c r="B353" s="276"/>
      <c r="C353" s="276"/>
      <c r="D353" s="276"/>
      <c r="E353" s="276"/>
      <c r="F353" s="276"/>
      <c r="G353" s="276"/>
      <c r="H353" s="276"/>
      <c r="I353" s="276"/>
      <c r="J353" s="276"/>
      <c r="K353" s="276"/>
      <c r="L353" s="276"/>
      <c r="M353" s="276"/>
      <c r="N353" s="276"/>
      <c r="O353" s="276"/>
      <c r="P353" s="276"/>
      <c r="Q353" s="276"/>
      <c r="R353" s="276"/>
      <c r="S353" s="276"/>
      <c r="T353" s="276"/>
      <c r="U353" s="276"/>
      <c r="V353" s="276"/>
      <c r="W353" s="276"/>
      <c r="X353" s="276"/>
      <c r="Y353" s="276"/>
      <c r="Z353" s="276"/>
    </row>
    <row r="354" spans="1:26" ht="18.75" customHeight="1">
      <c r="A354" s="276"/>
      <c r="B354" s="276"/>
      <c r="C354" s="276"/>
      <c r="D354" s="276"/>
      <c r="E354" s="276"/>
      <c r="F354" s="276"/>
      <c r="G354" s="276"/>
      <c r="H354" s="276"/>
      <c r="I354" s="276"/>
      <c r="J354" s="276"/>
      <c r="K354" s="276"/>
      <c r="L354" s="276"/>
      <c r="M354" s="276"/>
      <c r="N354" s="276"/>
      <c r="O354" s="276"/>
      <c r="P354" s="276"/>
      <c r="Q354" s="276"/>
      <c r="R354" s="276"/>
      <c r="S354" s="276"/>
      <c r="T354" s="276"/>
      <c r="U354" s="276"/>
      <c r="V354" s="276"/>
      <c r="W354" s="276"/>
      <c r="X354" s="276"/>
      <c r="Y354" s="276"/>
      <c r="Z354" s="276"/>
    </row>
    <row r="355" spans="1:26" ht="18.75" customHeight="1">
      <c r="A355" s="276"/>
      <c r="B355" s="276"/>
      <c r="C355" s="276"/>
      <c r="D355" s="276"/>
      <c r="E355" s="276"/>
      <c r="F355" s="276"/>
      <c r="G355" s="276"/>
      <c r="H355" s="276"/>
      <c r="I355" s="276"/>
      <c r="J355" s="276"/>
      <c r="K355" s="276"/>
      <c r="L355" s="276"/>
      <c r="M355" s="276"/>
      <c r="N355" s="276"/>
      <c r="O355" s="276"/>
      <c r="P355" s="276"/>
      <c r="Q355" s="276"/>
      <c r="R355" s="276"/>
      <c r="S355" s="276"/>
      <c r="T355" s="276"/>
      <c r="U355" s="276"/>
      <c r="V355" s="276"/>
      <c r="W355" s="276"/>
      <c r="X355" s="276"/>
      <c r="Y355" s="276"/>
      <c r="Z355" s="276"/>
    </row>
    <row r="356" spans="1:26" ht="18.75" customHeight="1">
      <c r="A356" s="276"/>
      <c r="B356" s="276"/>
      <c r="C356" s="276"/>
      <c r="D356" s="276"/>
      <c r="E356" s="276"/>
      <c r="F356" s="276"/>
      <c r="G356" s="276"/>
      <c r="H356" s="276"/>
      <c r="I356" s="276"/>
      <c r="J356" s="276"/>
      <c r="K356" s="276"/>
      <c r="L356" s="276"/>
      <c r="M356" s="276"/>
      <c r="N356" s="276"/>
      <c r="O356" s="276"/>
      <c r="P356" s="276"/>
      <c r="Q356" s="276"/>
      <c r="R356" s="276"/>
      <c r="S356" s="276"/>
      <c r="T356" s="276"/>
      <c r="U356" s="276"/>
      <c r="V356" s="276"/>
      <c r="W356" s="276"/>
      <c r="X356" s="276"/>
      <c r="Y356" s="276"/>
      <c r="Z356" s="276"/>
    </row>
    <row r="357" spans="1:26" ht="18.75" customHeight="1">
      <c r="A357" s="276"/>
      <c r="B357" s="276"/>
      <c r="C357" s="276"/>
      <c r="D357" s="276"/>
      <c r="E357" s="276"/>
      <c r="F357" s="276"/>
      <c r="G357" s="276"/>
      <c r="H357" s="276"/>
      <c r="I357" s="276"/>
      <c r="J357" s="276"/>
      <c r="K357" s="276"/>
      <c r="L357" s="276"/>
      <c r="M357" s="276"/>
      <c r="N357" s="276"/>
      <c r="O357" s="276"/>
      <c r="P357" s="276"/>
      <c r="Q357" s="276"/>
      <c r="R357" s="276"/>
      <c r="S357" s="276"/>
      <c r="T357" s="276"/>
      <c r="U357" s="276"/>
      <c r="V357" s="276"/>
      <c r="W357" s="276"/>
      <c r="X357" s="276"/>
      <c r="Y357" s="276"/>
      <c r="Z357" s="276"/>
    </row>
    <row r="358" spans="1:26" ht="18.75" customHeight="1">
      <c r="A358" s="276"/>
      <c r="B358" s="276"/>
      <c r="C358" s="276"/>
      <c r="D358" s="276"/>
      <c r="E358" s="276"/>
      <c r="F358" s="276"/>
      <c r="G358" s="276"/>
      <c r="H358" s="276"/>
      <c r="I358" s="276"/>
      <c r="J358" s="276"/>
      <c r="K358" s="276"/>
      <c r="L358" s="276"/>
      <c r="M358" s="276"/>
      <c r="N358" s="276"/>
      <c r="O358" s="276"/>
      <c r="P358" s="276"/>
      <c r="Q358" s="276"/>
      <c r="R358" s="276"/>
      <c r="S358" s="276"/>
      <c r="T358" s="276"/>
      <c r="U358" s="276"/>
      <c r="V358" s="276"/>
      <c r="W358" s="276"/>
      <c r="X358" s="276"/>
      <c r="Y358" s="276"/>
      <c r="Z358" s="276"/>
    </row>
    <row r="359" spans="1:26" ht="18.75" customHeight="1">
      <c r="A359" s="276"/>
      <c r="B359" s="276"/>
      <c r="C359" s="276"/>
      <c r="D359" s="276"/>
      <c r="E359" s="276"/>
      <c r="F359" s="276"/>
      <c r="G359" s="276"/>
      <c r="H359" s="276"/>
      <c r="I359" s="276"/>
      <c r="J359" s="276"/>
      <c r="K359" s="276"/>
      <c r="L359" s="276"/>
      <c r="M359" s="276"/>
      <c r="N359" s="276"/>
      <c r="O359" s="276"/>
      <c r="P359" s="276"/>
      <c r="Q359" s="276"/>
      <c r="R359" s="276"/>
      <c r="S359" s="276"/>
      <c r="T359" s="276"/>
      <c r="U359" s="276"/>
      <c r="V359" s="276"/>
      <c r="W359" s="276"/>
      <c r="X359" s="276"/>
      <c r="Y359" s="276"/>
      <c r="Z359" s="276"/>
    </row>
    <row r="360" spans="1:26" ht="18.75" customHeight="1">
      <c r="A360" s="276"/>
      <c r="B360" s="276"/>
      <c r="C360" s="276"/>
      <c r="D360" s="276"/>
      <c r="E360" s="276"/>
      <c r="F360" s="276"/>
      <c r="G360" s="276"/>
      <c r="H360" s="276"/>
      <c r="I360" s="276"/>
      <c r="J360" s="276"/>
      <c r="K360" s="276"/>
      <c r="L360" s="276"/>
      <c r="M360" s="276"/>
      <c r="N360" s="276"/>
      <c r="O360" s="276"/>
      <c r="P360" s="276"/>
      <c r="Q360" s="276"/>
      <c r="R360" s="276"/>
      <c r="S360" s="276"/>
      <c r="T360" s="276"/>
      <c r="U360" s="276"/>
      <c r="V360" s="276"/>
      <c r="W360" s="276"/>
      <c r="X360" s="276"/>
      <c r="Y360" s="276"/>
      <c r="Z360" s="276"/>
    </row>
    <row r="361" spans="1:26" ht="18.75" customHeight="1">
      <c r="A361" s="276"/>
      <c r="B361" s="276"/>
      <c r="C361" s="276"/>
      <c r="D361" s="276"/>
      <c r="E361" s="276"/>
      <c r="F361" s="276"/>
      <c r="G361" s="276"/>
      <c r="H361" s="276"/>
      <c r="I361" s="276"/>
      <c r="J361" s="276"/>
      <c r="K361" s="276"/>
      <c r="L361" s="276"/>
      <c r="M361" s="276"/>
      <c r="N361" s="276"/>
      <c r="O361" s="276"/>
      <c r="P361" s="276"/>
      <c r="Q361" s="276"/>
      <c r="R361" s="276"/>
      <c r="S361" s="276"/>
      <c r="T361" s="276"/>
      <c r="U361" s="276"/>
      <c r="V361" s="276"/>
      <c r="W361" s="276"/>
      <c r="X361" s="276"/>
      <c r="Y361" s="276"/>
      <c r="Z361" s="276"/>
    </row>
    <row r="362" spans="1:26" ht="18.75" customHeight="1">
      <c r="A362" s="276"/>
      <c r="B362" s="276"/>
      <c r="C362" s="276"/>
      <c r="D362" s="276"/>
      <c r="E362" s="276"/>
      <c r="F362" s="276"/>
      <c r="G362" s="276"/>
      <c r="H362" s="276"/>
      <c r="I362" s="276"/>
      <c r="J362" s="276"/>
      <c r="K362" s="276"/>
      <c r="L362" s="276"/>
      <c r="M362" s="276"/>
      <c r="N362" s="276"/>
      <c r="O362" s="276"/>
      <c r="P362" s="276"/>
      <c r="Q362" s="276"/>
      <c r="R362" s="276"/>
      <c r="S362" s="276"/>
      <c r="T362" s="276"/>
      <c r="U362" s="276"/>
      <c r="V362" s="276"/>
      <c r="W362" s="276"/>
      <c r="X362" s="276"/>
      <c r="Y362" s="276"/>
      <c r="Z362" s="276"/>
    </row>
    <row r="363" spans="1:26" ht="18.75" customHeight="1">
      <c r="A363" s="276"/>
      <c r="B363" s="276"/>
      <c r="C363" s="276"/>
      <c r="D363" s="276"/>
      <c r="E363" s="276"/>
      <c r="F363" s="276"/>
      <c r="G363" s="276"/>
      <c r="H363" s="276"/>
      <c r="I363" s="276"/>
      <c r="J363" s="276"/>
      <c r="K363" s="276"/>
      <c r="L363" s="276"/>
      <c r="M363" s="276"/>
      <c r="N363" s="276"/>
      <c r="O363" s="276"/>
      <c r="P363" s="276"/>
      <c r="Q363" s="276"/>
      <c r="R363" s="276"/>
      <c r="S363" s="276"/>
      <c r="T363" s="276"/>
      <c r="U363" s="276"/>
      <c r="V363" s="276"/>
      <c r="W363" s="276"/>
      <c r="X363" s="276"/>
      <c r="Y363" s="276"/>
      <c r="Z363" s="276"/>
    </row>
    <row r="364" spans="1:26" ht="18.75" customHeight="1">
      <c r="A364" s="276"/>
      <c r="B364" s="276"/>
      <c r="C364" s="276"/>
      <c r="D364" s="276"/>
      <c r="E364" s="276"/>
      <c r="F364" s="276"/>
      <c r="G364" s="276"/>
      <c r="H364" s="276"/>
      <c r="I364" s="276"/>
      <c r="J364" s="276"/>
      <c r="K364" s="276"/>
      <c r="L364" s="276"/>
      <c r="M364" s="276"/>
      <c r="N364" s="276"/>
      <c r="O364" s="276"/>
      <c r="P364" s="276"/>
      <c r="Q364" s="276"/>
      <c r="R364" s="276"/>
      <c r="S364" s="276"/>
      <c r="T364" s="276"/>
      <c r="U364" s="276"/>
      <c r="V364" s="276"/>
      <c r="W364" s="276"/>
      <c r="X364" s="276"/>
      <c r="Y364" s="276"/>
      <c r="Z364" s="276"/>
    </row>
    <row r="365" spans="1:26" ht="18.75" customHeight="1">
      <c r="A365" s="276"/>
      <c r="B365" s="276"/>
      <c r="C365" s="276"/>
      <c r="D365" s="276"/>
      <c r="E365" s="276"/>
      <c r="F365" s="276"/>
      <c r="G365" s="276"/>
      <c r="H365" s="276"/>
      <c r="I365" s="276"/>
      <c r="J365" s="276"/>
      <c r="K365" s="276"/>
      <c r="L365" s="276"/>
      <c r="M365" s="276"/>
      <c r="N365" s="276"/>
      <c r="O365" s="276"/>
      <c r="P365" s="276"/>
      <c r="Q365" s="276"/>
      <c r="R365" s="276"/>
      <c r="S365" s="276"/>
      <c r="T365" s="276"/>
      <c r="U365" s="276"/>
      <c r="V365" s="276"/>
      <c r="W365" s="276"/>
      <c r="X365" s="276"/>
      <c r="Y365" s="276"/>
      <c r="Z365" s="276"/>
    </row>
    <row r="366" spans="1:26" ht="18.75" customHeight="1">
      <c r="A366" s="276"/>
      <c r="B366" s="276"/>
      <c r="C366" s="276"/>
      <c r="D366" s="276"/>
      <c r="E366" s="276"/>
      <c r="F366" s="276"/>
      <c r="G366" s="276"/>
      <c r="H366" s="276"/>
      <c r="I366" s="276"/>
      <c r="J366" s="276"/>
      <c r="K366" s="276"/>
      <c r="L366" s="276"/>
      <c r="M366" s="276"/>
      <c r="N366" s="276"/>
      <c r="O366" s="276"/>
      <c r="P366" s="276"/>
      <c r="Q366" s="276"/>
      <c r="R366" s="276"/>
      <c r="S366" s="276"/>
      <c r="T366" s="276"/>
      <c r="U366" s="276"/>
      <c r="V366" s="276"/>
      <c r="W366" s="276"/>
      <c r="X366" s="276"/>
      <c r="Y366" s="276"/>
      <c r="Z366" s="276"/>
    </row>
    <row r="367" spans="1:26" ht="18.75" customHeight="1">
      <c r="A367" s="276"/>
      <c r="B367" s="276"/>
      <c r="C367" s="276"/>
      <c r="D367" s="276"/>
      <c r="E367" s="276"/>
      <c r="F367" s="276"/>
      <c r="G367" s="276"/>
      <c r="H367" s="276"/>
      <c r="I367" s="276"/>
      <c r="J367" s="276"/>
      <c r="K367" s="276"/>
      <c r="L367" s="276"/>
      <c r="M367" s="276"/>
      <c r="N367" s="276"/>
      <c r="O367" s="276"/>
      <c r="P367" s="276"/>
      <c r="Q367" s="276"/>
      <c r="R367" s="276"/>
      <c r="S367" s="276"/>
      <c r="T367" s="276"/>
      <c r="U367" s="276"/>
      <c r="V367" s="276"/>
      <c r="W367" s="276"/>
      <c r="X367" s="276"/>
      <c r="Y367" s="276"/>
      <c r="Z367" s="276"/>
    </row>
    <row r="368" spans="1:26" ht="18.75" customHeight="1">
      <c r="A368" s="276"/>
      <c r="B368" s="276"/>
      <c r="C368" s="276"/>
      <c r="D368" s="276"/>
      <c r="E368" s="276"/>
      <c r="F368" s="276"/>
      <c r="G368" s="276"/>
      <c r="H368" s="276"/>
      <c r="I368" s="276"/>
      <c r="J368" s="276"/>
      <c r="K368" s="276"/>
      <c r="L368" s="276"/>
      <c r="M368" s="276"/>
      <c r="N368" s="276"/>
      <c r="O368" s="276"/>
      <c r="P368" s="276"/>
      <c r="Q368" s="276"/>
      <c r="R368" s="276"/>
      <c r="S368" s="276"/>
      <c r="T368" s="276"/>
      <c r="U368" s="276"/>
      <c r="V368" s="276"/>
      <c r="W368" s="276"/>
      <c r="X368" s="276"/>
      <c r="Y368" s="276"/>
      <c r="Z368" s="276"/>
    </row>
    <row r="369" spans="1:26" ht="18.75" customHeight="1">
      <c r="A369" s="276"/>
      <c r="B369" s="276"/>
      <c r="C369" s="276"/>
      <c r="D369" s="276"/>
      <c r="E369" s="276"/>
      <c r="F369" s="276"/>
      <c r="G369" s="276"/>
      <c r="H369" s="276"/>
      <c r="I369" s="276"/>
      <c r="J369" s="276"/>
      <c r="K369" s="276"/>
      <c r="L369" s="276"/>
      <c r="M369" s="276"/>
      <c r="N369" s="276"/>
      <c r="O369" s="276"/>
      <c r="P369" s="276"/>
      <c r="Q369" s="276"/>
      <c r="R369" s="276"/>
      <c r="S369" s="276"/>
      <c r="T369" s="276"/>
      <c r="U369" s="276"/>
      <c r="V369" s="276"/>
      <c r="W369" s="276"/>
      <c r="X369" s="276"/>
      <c r="Y369" s="276"/>
      <c r="Z369" s="276"/>
    </row>
    <row r="370" spans="1:26" ht="18.75" customHeight="1">
      <c r="A370" s="276"/>
      <c r="B370" s="276"/>
      <c r="C370" s="276"/>
      <c r="D370" s="276"/>
      <c r="E370" s="276"/>
      <c r="F370" s="276"/>
      <c r="G370" s="276"/>
      <c r="H370" s="276"/>
      <c r="I370" s="276"/>
      <c r="J370" s="276"/>
      <c r="K370" s="276"/>
      <c r="L370" s="276"/>
      <c r="M370" s="276"/>
      <c r="N370" s="276"/>
      <c r="O370" s="276"/>
      <c r="P370" s="276"/>
      <c r="Q370" s="276"/>
      <c r="R370" s="276"/>
      <c r="S370" s="276"/>
      <c r="T370" s="276"/>
      <c r="U370" s="276"/>
      <c r="V370" s="276"/>
      <c r="W370" s="276"/>
      <c r="X370" s="276"/>
      <c r="Y370" s="276"/>
      <c r="Z370" s="276"/>
    </row>
    <row r="371" spans="1:26" ht="18.75" customHeight="1">
      <c r="A371" s="276"/>
      <c r="B371" s="276"/>
      <c r="C371" s="276"/>
      <c r="D371" s="276"/>
      <c r="E371" s="276"/>
      <c r="F371" s="276"/>
      <c r="G371" s="276"/>
      <c r="H371" s="276"/>
      <c r="I371" s="276"/>
      <c r="J371" s="276"/>
      <c r="K371" s="276"/>
      <c r="L371" s="276"/>
      <c r="M371" s="276"/>
      <c r="N371" s="276"/>
      <c r="O371" s="276"/>
      <c r="P371" s="276"/>
      <c r="Q371" s="276"/>
      <c r="R371" s="276"/>
      <c r="S371" s="276"/>
      <c r="T371" s="276"/>
      <c r="U371" s="276"/>
      <c r="V371" s="276"/>
      <c r="W371" s="276"/>
      <c r="X371" s="276"/>
      <c r="Y371" s="276"/>
      <c r="Z371" s="276"/>
    </row>
    <row r="372" spans="1:26" ht="18.75" customHeight="1">
      <c r="A372" s="276"/>
      <c r="B372" s="276"/>
      <c r="C372" s="276"/>
      <c r="D372" s="276"/>
      <c r="E372" s="276"/>
      <c r="F372" s="276"/>
      <c r="G372" s="276"/>
      <c r="H372" s="276"/>
      <c r="I372" s="276"/>
      <c r="J372" s="276"/>
      <c r="K372" s="276"/>
      <c r="L372" s="276"/>
      <c r="M372" s="276"/>
      <c r="N372" s="276"/>
      <c r="O372" s="276"/>
      <c r="P372" s="276"/>
      <c r="Q372" s="276"/>
      <c r="R372" s="276"/>
      <c r="S372" s="276"/>
      <c r="T372" s="276"/>
      <c r="U372" s="276"/>
      <c r="V372" s="276"/>
      <c r="W372" s="276"/>
      <c r="X372" s="276"/>
      <c r="Y372" s="276"/>
      <c r="Z372" s="276"/>
    </row>
    <row r="373" spans="1:26" ht="18.75" customHeight="1">
      <c r="A373" s="276"/>
      <c r="B373" s="276"/>
      <c r="C373" s="276"/>
      <c r="D373" s="276"/>
      <c r="E373" s="276"/>
      <c r="F373" s="276"/>
      <c r="G373" s="276"/>
      <c r="H373" s="276"/>
      <c r="I373" s="276"/>
      <c r="J373" s="276"/>
      <c r="K373" s="276"/>
      <c r="L373" s="276"/>
      <c r="M373" s="276"/>
      <c r="N373" s="276"/>
      <c r="O373" s="276"/>
      <c r="P373" s="276"/>
      <c r="Q373" s="276"/>
      <c r="R373" s="276"/>
      <c r="S373" s="276"/>
      <c r="T373" s="276"/>
      <c r="U373" s="276"/>
      <c r="V373" s="276"/>
      <c r="W373" s="276"/>
      <c r="X373" s="276"/>
      <c r="Y373" s="276"/>
      <c r="Z373" s="276"/>
    </row>
    <row r="374" spans="1:26" ht="18.75" customHeight="1">
      <c r="A374" s="276"/>
      <c r="B374" s="276"/>
      <c r="C374" s="276"/>
      <c r="D374" s="276"/>
      <c r="E374" s="276"/>
      <c r="F374" s="276"/>
      <c r="G374" s="276"/>
      <c r="H374" s="276"/>
      <c r="I374" s="276"/>
      <c r="J374" s="276"/>
      <c r="K374" s="276"/>
      <c r="L374" s="276"/>
      <c r="M374" s="276"/>
      <c r="N374" s="276"/>
      <c r="O374" s="276"/>
      <c r="P374" s="276"/>
      <c r="Q374" s="276"/>
      <c r="R374" s="276"/>
      <c r="S374" s="276"/>
      <c r="T374" s="276"/>
      <c r="U374" s="276"/>
      <c r="V374" s="276"/>
      <c r="W374" s="276"/>
      <c r="X374" s="276"/>
      <c r="Y374" s="276"/>
      <c r="Z374" s="276"/>
    </row>
    <row r="375" spans="1:26" ht="18.75" customHeight="1">
      <c r="A375" s="276"/>
      <c r="B375" s="276"/>
      <c r="C375" s="276"/>
      <c r="D375" s="276"/>
      <c r="E375" s="276"/>
      <c r="F375" s="276"/>
      <c r="G375" s="276"/>
      <c r="H375" s="276"/>
      <c r="I375" s="276"/>
      <c r="J375" s="276"/>
      <c r="K375" s="276"/>
      <c r="L375" s="276"/>
      <c r="M375" s="276"/>
      <c r="N375" s="276"/>
      <c r="O375" s="276"/>
      <c r="P375" s="276"/>
      <c r="Q375" s="276"/>
      <c r="R375" s="276"/>
      <c r="S375" s="276"/>
      <c r="T375" s="276"/>
      <c r="U375" s="276"/>
      <c r="V375" s="276"/>
      <c r="W375" s="276"/>
      <c r="X375" s="276"/>
      <c r="Y375" s="276"/>
      <c r="Z375" s="276"/>
    </row>
    <row r="376" spans="1:26" ht="18.75" customHeight="1">
      <c r="A376" s="276"/>
      <c r="B376" s="276"/>
      <c r="C376" s="276"/>
      <c r="D376" s="276"/>
      <c r="E376" s="276"/>
      <c r="F376" s="276"/>
      <c r="G376" s="276"/>
      <c r="H376" s="276"/>
      <c r="I376" s="276"/>
      <c r="J376" s="276"/>
      <c r="K376" s="276"/>
      <c r="L376" s="276"/>
      <c r="M376" s="276"/>
      <c r="N376" s="276"/>
      <c r="O376" s="276"/>
      <c r="P376" s="276"/>
      <c r="Q376" s="276"/>
      <c r="R376" s="276"/>
      <c r="S376" s="276"/>
      <c r="T376" s="276"/>
      <c r="U376" s="276"/>
      <c r="V376" s="276"/>
      <c r="W376" s="276"/>
      <c r="X376" s="276"/>
      <c r="Y376" s="276"/>
      <c r="Z376" s="276"/>
    </row>
    <row r="377" spans="1:26" ht="18.75" customHeight="1">
      <c r="A377" s="276"/>
      <c r="B377" s="276"/>
      <c r="C377" s="276"/>
      <c r="D377" s="276"/>
      <c r="E377" s="276"/>
      <c r="F377" s="276"/>
      <c r="G377" s="276"/>
      <c r="H377" s="276"/>
      <c r="I377" s="276"/>
      <c r="J377" s="276"/>
      <c r="K377" s="276"/>
      <c r="L377" s="276"/>
      <c r="M377" s="276"/>
      <c r="N377" s="276"/>
      <c r="O377" s="276"/>
      <c r="P377" s="276"/>
      <c r="Q377" s="276"/>
      <c r="R377" s="276"/>
      <c r="S377" s="276"/>
      <c r="T377" s="276"/>
      <c r="U377" s="276"/>
      <c r="V377" s="276"/>
      <c r="W377" s="276"/>
      <c r="X377" s="276"/>
      <c r="Y377" s="276"/>
      <c r="Z377" s="276"/>
    </row>
    <row r="378" spans="1:26" ht="18.75" customHeight="1">
      <c r="A378" s="276"/>
      <c r="B378" s="276"/>
      <c r="C378" s="276"/>
      <c r="D378" s="276"/>
      <c r="E378" s="276"/>
      <c r="F378" s="276"/>
      <c r="G378" s="276"/>
      <c r="H378" s="276"/>
      <c r="I378" s="276"/>
      <c r="J378" s="276"/>
      <c r="K378" s="276"/>
      <c r="L378" s="276"/>
      <c r="M378" s="276"/>
      <c r="N378" s="276"/>
      <c r="O378" s="276"/>
      <c r="P378" s="276"/>
      <c r="Q378" s="276"/>
      <c r="R378" s="276"/>
      <c r="S378" s="276"/>
      <c r="T378" s="276"/>
      <c r="U378" s="276"/>
      <c r="V378" s="276"/>
      <c r="W378" s="276"/>
      <c r="X378" s="276"/>
      <c r="Y378" s="276"/>
      <c r="Z378" s="276"/>
    </row>
    <row r="379" spans="1:26" ht="18.75" customHeight="1">
      <c r="A379" s="276"/>
      <c r="B379" s="276"/>
      <c r="C379" s="276"/>
      <c r="D379" s="276"/>
      <c r="E379" s="276"/>
      <c r="F379" s="276"/>
      <c r="G379" s="276"/>
      <c r="H379" s="276"/>
      <c r="I379" s="276"/>
      <c r="J379" s="276"/>
      <c r="K379" s="276"/>
      <c r="L379" s="276"/>
      <c r="M379" s="276"/>
      <c r="N379" s="276"/>
      <c r="O379" s="276"/>
      <c r="P379" s="276"/>
      <c r="Q379" s="276"/>
      <c r="R379" s="276"/>
      <c r="S379" s="276"/>
      <c r="T379" s="276"/>
      <c r="U379" s="276"/>
      <c r="V379" s="276"/>
      <c r="W379" s="276"/>
      <c r="X379" s="276"/>
      <c r="Y379" s="276"/>
      <c r="Z379" s="276"/>
    </row>
    <row r="380" spans="1:26" ht="18.75" customHeight="1">
      <c r="A380" s="276"/>
      <c r="B380" s="276"/>
      <c r="C380" s="276"/>
      <c r="D380" s="276"/>
      <c r="E380" s="276"/>
      <c r="F380" s="276"/>
      <c r="G380" s="276"/>
      <c r="H380" s="276"/>
      <c r="I380" s="276"/>
      <c r="J380" s="276"/>
      <c r="K380" s="276"/>
      <c r="L380" s="276"/>
      <c r="M380" s="276"/>
      <c r="N380" s="276"/>
      <c r="O380" s="276"/>
      <c r="P380" s="276"/>
      <c r="Q380" s="276"/>
      <c r="R380" s="276"/>
      <c r="S380" s="276"/>
      <c r="T380" s="276"/>
      <c r="U380" s="276"/>
      <c r="V380" s="276"/>
      <c r="W380" s="276"/>
      <c r="X380" s="276"/>
      <c r="Y380" s="276"/>
      <c r="Z380" s="276"/>
    </row>
    <row r="381" spans="1:26" ht="18.75" customHeight="1">
      <c r="A381" s="276"/>
      <c r="B381" s="276"/>
      <c r="C381" s="276"/>
      <c r="D381" s="276"/>
      <c r="E381" s="276"/>
      <c r="F381" s="276"/>
      <c r="G381" s="276"/>
      <c r="H381" s="276"/>
      <c r="I381" s="276"/>
      <c r="J381" s="276"/>
      <c r="K381" s="276"/>
      <c r="L381" s="276"/>
      <c r="M381" s="276"/>
      <c r="N381" s="276"/>
      <c r="O381" s="276"/>
      <c r="P381" s="276"/>
      <c r="Q381" s="276"/>
      <c r="R381" s="276"/>
      <c r="S381" s="276"/>
      <c r="T381" s="276"/>
      <c r="U381" s="276"/>
      <c r="V381" s="276"/>
      <c r="W381" s="276"/>
      <c r="X381" s="276"/>
      <c r="Y381" s="276"/>
      <c r="Z381" s="276"/>
    </row>
    <row r="382" spans="1:26" ht="18.75" customHeight="1">
      <c r="A382" s="276"/>
      <c r="B382" s="276"/>
      <c r="C382" s="276"/>
      <c r="D382" s="276"/>
      <c r="E382" s="276"/>
      <c r="F382" s="276"/>
      <c r="G382" s="276"/>
      <c r="H382" s="276"/>
      <c r="I382" s="276"/>
      <c r="J382" s="276"/>
      <c r="K382" s="276"/>
      <c r="L382" s="276"/>
      <c r="M382" s="276"/>
      <c r="N382" s="276"/>
      <c r="O382" s="276"/>
      <c r="P382" s="276"/>
      <c r="Q382" s="276"/>
      <c r="R382" s="276"/>
      <c r="S382" s="276"/>
      <c r="T382" s="276"/>
      <c r="U382" s="276"/>
      <c r="V382" s="276"/>
      <c r="W382" s="276"/>
      <c r="X382" s="276"/>
      <c r="Y382" s="276"/>
      <c r="Z382" s="276"/>
    </row>
    <row r="383" spans="1:26" ht="18.75" customHeight="1">
      <c r="A383" s="276"/>
      <c r="B383" s="276"/>
      <c r="C383" s="276"/>
      <c r="D383" s="276"/>
      <c r="E383" s="276"/>
      <c r="F383" s="276"/>
      <c r="G383" s="276"/>
      <c r="H383" s="276"/>
      <c r="I383" s="276"/>
      <c r="J383" s="276"/>
      <c r="K383" s="276"/>
      <c r="L383" s="276"/>
      <c r="M383" s="276"/>
      <c r="N383" s="276"/>
      <c r="O383" s="276"/>
      <c r="P383" s="276"/>
      <c r="Q383" s="276"/>
      <c r="R383" s="276"/>
      <c r="S383" s="276"/>
      <c r="T383" s="276"/>
      <c r="U383" s="276"/>
      <c r="V383" s="276"/>
      <c r="W383" s="276"/>
      <c r="X383" s="276"/>
      <c r="Y383" s="276"/>
      <c r="Z383" s="276"/>
    </row>
    <row r="384" spans="1:26" ht="18.75" customHeight="1">
      <c r="A384" s="276"/>
      <c r="B384" s="276"/>
      <c r="C384" s="276"/>
      <c r="D384" s="276"/>
      <c r="E384" s="276"/>
      <c r="F384" s="276"/>
      <c r="G384" s="276"/>
      <c r="H384" s="276"/>
      <c r="I384" s="276"/>
      <c r="J384" s="276"/>
      <c r="K384" s="276"/>
      <c r="L384" s="276"/>
      <c r="M384" s="276"/>
      <c r="N384" s="276"/>
      <c r="O384" s="276"/>
      <c r="P384" s="276"/>
      <c r="Q384" s="276"/>
      <c r="R384" s="276"/>
      <c r="S384" s="276"/>
      <c r="T384" s="276"/>
      <c r="U384" s="276"/>
      <c r="V384" s="276"/>
      <c r="W384" s="276"/>
      <c r="X384" s="276"/>
      <c r="Y384" s="276"/>
      <c r="Z384" s="276"/>
    </row>
    <row r="385" spans="1:26" ht="18.75" customHeight="1">
      <c r="A385" s="276"/>
      <c r="B385" s="276"/>
      <c r="C385" s="276"/>
      <c r="D385" s="276"/>
      <c r="E385" s="276"/>
      <c r="F385" s="276"/>
      <c r="G385" s="276"/>
      <c r="H385" s="276"/>
      <c r="I385" s="276"/>
      <c r="J385" s="276"/>
      <c r="K385" s="276"/>
      <c r="L385" s="276"/>
      <c r="M385" s="276"/>
      <c r="N385" s="276"/>
      <c r="O385" s="276"/>
      <c r="P385" s="276"/>
      <c r="Q385" s="276"/>
      <c r="R385" s="276"/>
      <c r="S385" s="276"/>
      <c r="T385" s="276"/>
      <c r="U385" s="276"/>
      <c r="V385" s="276"/>
      <c r="W385" s="276"/>
      <c r="X385" s="276"/>
      <c r="Y385" s="276"/>
      <c r="Z385" s="276"/>
    </row>
    <row r="386" spans="1:26" ht="18.75" customHeight="1">
      <c r="A386" s="276"/>
      <c r="B386" s="276"/>
      <c r="C386" s="276"/>
      <c r="D386" s="276"/>
      <c r="E386" s="276"/>
      <c r="F386" s="276"/>
      <c r="G386" s="276"/>
      <c r="H386" s="276"/>
      <c r="I386" s="276"/>
      <c r="J386" s="276"/>
      <c r="K386" s="276"/>
      <c r="L386" s="276"/>
      <c r="M386" s="276"/>
      <c r="N386" s="276"/>
      <c r="O386" s="276"/>
      <c r="P386" s="276"/>
      <c r="Q386" s="276"/>
      <c r="R386" s="276"/>
      <c r="S386" s="276"/>
      <c r="T386" s="276"/>
      <c r="U386" s="276"/>
      <c r="V386" s="276"/>
      <c r="W386" s="276"/>
      <c r="X386" s="276"/>
      <c r="Y386" s="276"/>
      <c r="Z386" s="276"/>
    </row>
    <row r="387" spans="1:26" ht="18.75" customHeight="1">
      <c r="A387" s="276"/>
      <c r="B387" s="276"/>
      <c r="C387" s="276"/>
      <c r="D387" s="276"/>
      <c r="E387" s="276"/>
      <c r="F387" s="276"/>
      <c r="G387" s="276"/>
      <c r="H387" s="276"/>
      <c r="I387" s="276"/>
      <c r="J387" s="276"/>
      <c r="K387" s="276"/>
      <c r="L387" s="276"/>
      <c r="M387" s="276"/>
      <c r="N387" s="276"/>
      <c r="O387" s="276"/>
      <c r="P387" s="276"/>
      <c r="Q387" s="276"/>
      <c r="R387" s="276"/>
      <c r="S387" s="276"/>
      <c r="T387" s="276"/>
      <c r="U387" s="276"/>
      <c r="V387" s="276"/>
      <c r="W387" s="276"/>
      <c r="X387" s="276"/>
      <c r="Y387" s="276"/>
      <c r="Z387" s="276"/>
    </row>
    <row r="388" spans="1:26" ht="18.75" customHeight="1">
      <c r="A388" s="276"/>
      <c r="B388" s="276"/>
      <c r="C388" s="276"/>
      <c r="D388" s="276"/>
      <c r="E388" s="276"/>
      <c r="F388" s="276"/>
      <c r="G388" s="276"/>
      <c r="H388" s="276"/>
      <c r="I388" s="276"/>
      <c r="J388" s="276"/>
      <c r="K388" s="276"/>
      <c r="L388" s="276"/>
      <c r="M388" s="276"/>
      <c r="N388" s="276"/>
      <c r="O388" s="276"/>
      <c r="P388" s="276"/>
      <c r="Q388" s="276"/>
      <c r="R388" s="276"/>
      <c r="S388" s="276"/>
      <c r="T388" s="276"/>
      <c r="U388" s="276"/>
      <c r="V388" s="276"/>
      <c r="W388" s="276"/>
      <c r="X388" s="276"/>
      <c r="Y388" s="276"/>
      <c r="Z388" s="276"/>
    </row>
    <row r="389" spans="1:26" ht="18.75" customHeight="1">
      <c r="A389" s="276"/>
      <c r="B389" s="276"/>
      <c r="C389" s="276"/>
      <c r="D389" s="276"/>
      <c r="E389" s="276"/>
      <c r="F389" s="276"/>
      <c r="G389" s="276"/>
      <c r="H389" s="276"/>
      <c r="I389" s="276"/>
      <c r="J389" s="276"/>
      <c r="K389" s="276"/>
      <c r="L389" s="276"/>
      <c r="M389" s="276"/>
      <c r="N389" s="276"/>
      <c r="O389" s="276"/>
      <c r="P389" s="276"/>
      <c r="Q389" s="276"/>
      <c r="R389" s="276"/>
      <c r="S389" s="276"/>
      <c r="T389" s="276"/>
      <c r="U389" s="276"/>
      <c r="V389" s="276"/>
      <c r="W389" s="276"/>
      <c r="X389" s="276"/>
      <c r="Y389" s="276"/>
      <c r="Z389" s="276"/>
    </row>
    <row r="390" spans="1:26" ht="18.75" customHeight="1">
      <c r="A390" s="276"/>
      <c r="B390" s="276"/>
      <c r="C390" s="276"/>
      <c r="D390" s="276"/>
      <c r="E390" s="276"/>
      <c r="F390" s="276"/>
      <c r="G390" s="276"/>
      <c r="H390" s="276"/>
      <c r="I390" s="276"/>
      <c r="J390" s="276"/>
      <c r="K390" s="276"/>
      <c r="L390" s="276"/>
      <c r="M390" s="276"/>
      <c r="N390" s="276"/>
      <c r="O390" s="276"/>
      <c r="P390" s="276"/>
      <c r="Q390" s="276"/>
      <c r="R390" s="276"/>
      <c r="S390" s="276"/>
      <c r="T390" s="276"/>
      <c r="U390" s="276"/>
      <c r="V390" s="276"/>
      <c r="W390" s="276"/>
      <c r="X390" s="276"/>
      <c r="Y390" s="276"/>
      <c r="Z390" s="276"/>
    </row>
    <row r="391" spans="1:26" ht="18.75" customHeight="1">
      <c r="A391" s="276"/>
      <c r="B391" s="276"/>
      <c r="C391" s="276"/>
      <c r="D391" s="276"/>
      <c r="E391" s="276"/>
      <c r="F391" s="276"/>
      <c r="G391" s="276"/>
      <c r="H391" s="276"/>
      <c r="I391" s="276"/>
      <c r="J391" s="276"/>
      <c r="K391" s="276"/>
      <c r="L391" s="276"/>
      <c r="M391" s="276"/>
      <c r="N391" s="276"/>
      <c r="O391" s="276"/>
      <c r="P391" s="276"/>
      <c r="Q391" s="276"/>
      <c r="R391" s="276"/>
      <c r="S391" s="276"/>
      <c r="T391" s="276"/>
      <c r="U391" s="276"/>
      <c r="V391" s="276"/>
      <c r="W391" s="276"/>
      <c r="X391" s="276"/>
      <c r="Y391" s="276"/>
      <c r="Z391" s="276"/>
    </row>
    <row r="392" spans="1:26" ht="18.75" customHeight="1">
      <c r="A392" s="276"/>
      <c r="B392" s="276"/>
      <c r="C392" s="276"/>
      <c r="D392" s="276"/>
      <c r="E392" s="276"/>
      <c r="F392" s="276"/>
      <c r="G392" s="276"/>
      <c r="H392" s="276"/>
      <c r="I392" s="276"/>
      <c r="J392" s="276"/>
      <c r="K392" s="276"/>
      <c r="L392" s="276"/>
      <c r="M392" s="276"/>
      <c r="N392" s="276"/>
      <c r="O392" s="276"/>
      <c r="P392" s="276"/>
      <c r="Q392" s="276"/>
      <c r="R392" s="276"/>
      <c r="S392" s="276"/>
      <c r="T392" s="276"/>
      <c r="U392" s="276"/>
      <c r="V392" s="276"/>
      <c r="W392" s="276"/>
      <c r="X392" s="276"/>
      <c r="Y392" s="276"/>
      <c r="Z392" s="276"/>
    </row>
    <row r="393" spans="1:26" ht="18.75" customHeight="1">
      <c r="A393" s="276"/>
      <c r="B393" s="276"/>
      <c r="C393" s="276"/>
      <c r="D393" s="276"/>
      <c r="E393" s="276"/>
      <c r="F393" s="276"/>
      <c r="G393" s="276"/>
      <c r="H393" s="276"/>
      <c r="I393" s="276"/>
      <c r="J393" s="276"/>
      <c r="K393" s="276"/>
      <c r="L393" s="276"/>
      <c r="M393" s="276"/>
      <c r="N393" s="276"/>
      <c r="O393" s="276"/>
      <c r="P393" s="276"/>
      <c r="Q393" s="276"/>
      <c r="R393" s="276"/>
      <c r="S393" s="276"/>
      <c r="T393" s="276"/>
      <c r="U393" s="276"/>
      <c r="V393" s="276"/>
      <c r="W393" s="276"/>
      <c r="X393" s="276"/>
      <c r="Y393" s="276"/>
      <c r="Z393" s="276"/>
    </row>
    <row r="394" spans="1:26" ht="18.75" customHeight="1">
      <c r="A394" s="276"/>
      <c r="B394" s="276"/>
      <c r="C394" s="276"/>
      <c r="D394" s="276"/>
      <c r="E394" s="276"/>
      <c r="F394" s="276"/>
      <c r="G394" s="276"/>
      <c r="H394" s="276"/>
      <c r="I394" s="276"/>
      <c r="J394" s="276"/>
      <c r="K394" s="276"/>
      <c r="L394" s="276"/>
      <c r="M394" s="276"/>
      <c r="N394" s="276"/>
      <c r="O394" s="276"/>
      <c r="P394" s="276"/>
      <c r="Q394" s="276"/>
      <c r="R394" s="276"/>
      <c r="S394" s="276"/>
      <c r="T394" s="276"/>
      <c r="U394" s="276"/>
      <c r="V394" s="276"/>
      <c r="W394" s="276"/>
      <c r="X394" s="276"/>
      <c r="Y394" s="276"/>
      <c r="Z394" s="276"/>
    </row>
    <row r="395" spans="1:26" ht="18.75" customHeight="1">
      <c r="A395" s="276"/>
      <c r="B395" s="276"/>
      <c r="C395" s="276"/>
      <c r="D395" s="276"/>
      <c r="E395" s="276"/>
      <c r="F395" s="276"/>
      <c r="G395" s="276"/>
      <c r="H395" s="276"/>
      <c r="I395" s="276"/>
      <c r="J395" s="276"/>
      <c r="K395" s="276"/>
      <c r="L395" s="276"/>
      <c r="M395" s="276"/>
      <c r="N395" s="276"/>
      <c r="O395" s="276"/>
      <c r="P395" s="276"/>
      <c r="Q395" s="276"/>
      <c r="R395" s="276"/>
      <c r="S395" s="276"/>
      <c r="T395" s="276"/>
      <c r="U395" s="276"/>
      <c r="V395" s="276"/>
      <c r="W395" s="276"/>
      <c r="X395" s="276"/>
      <c r="Y395" s="276"/>
      <c r="Z395" s="276"/>
    </row>
    <row r="396" spans="1:26" ht="18.75" customHeight="1">
      <c r="A396" s="276"/>
      <c r="B396" s="276"/>
      <c r="C396" s="276"/>
      <c r="D396" s="276"/>
      <c r="E396" s="276"/>
      <c r="F396" s="276"/>
      <c r="G396" s="276"/>
      <c r="H396" s="276"/>
      <c r="I396" s="276"/>
      <c r="J396" s="276"/>
      <c r="K396" s="276"/>
      <c r="L396" s="276"/>
      <c r="M396" s="276"/>
      <c r="N396" s="276"/>
      <c r="O396" s="276"/>
      <c r="P396" s="276"/>
      <c r="Q396" s="276"/>
      <c r="R396" s="276"/>
      <c r="S396" s="276"/>
      <c r="T396" s="276"/>
      <c r="U396" s="276"/>
      <c r="V396" s="276"/>
      <c r="W396" s="276"/>
      <c r="X396" s="276"/>
      <c r="Y396" s="276"/>
      <c r="Z396" s="276"/>
    </row>
    <row r="397" spans="1:26" ht="18.75" customHeight="1">
      <c r="A397" s="276"/>
      <c r="B397" s="276"/>
      <c r="C397" s="276"/>
      <c r="D397" s="276"/>
      <c r="E397" s="276"/>
      <c r="F397" s="276"/>
      <c r="G397" s="276"/>
      <c r="H397" s="276"/>
      <c r="I397" s="276"/>
      <c r="J397" s="276"/>
      <c r="K397" s="276"/>
      <c r="L397" s="276"/>
      <c r="M397" s="276"/>
      <c r="N397" s="276"/>
      <c r="O397" s="276"/>
      <c r="P397" s="276"/>
      <c r="Q397" s="276"/>
      <c r="R397" s="276"/>
      <c r="S397" s="276"/>
      <c r="T397" s="276"/>
      <c r="U397" s="276"/>
      <c r="V397" s="276"/>
      <c r="W397" s="276"/>
      <c r="X397" s="276"/>
      <c r="Y397" s="276"/>
      <c r="Z397" s="276"/>
    </row>
    <row r="398" spans="1:26" ht="18.75" customHeight="1">
      <c r="A398" s="276"/>
      <c r="B398" s="276"/>
      <c r="C398" s="276"/>
      <c r="D398" s="276"/>
      <c r="E398" s="276"/>
      <c r="F398" s="276"/>
      <c r="G398" s="276"/>
      <c r="H398" s="276"/>
      <c r="I398" s="276"/>
      <c r="J398" s="276"/>
      <c r="K398" s="276"/>
      <c r="L398" s="276"/>
      <c r="M398" s="276"/>
      <c r="N398" s="276"/>
      <c r="O398" s="276"/>
      <c r="P398" s="276"/>
      <c r="Q398" s="276"/>
      <c r="R398" s="276"/>
      <c r="S398" s="276"/>
      <c r="T398" s="276"/>
      <c r="U398" s="276"/>
      <c r="V398" s="276"/>
      <c r="W398" s="276"/>
      <c r="X398" s="276"/>
      <c r="Y398" s="276"/>
      <c r="Z398" s="276"/>
    </row>
    <row r="399" spans="1:26" ht="18.75" customHeight="1">
      <c r="A399" s="276"/>
      <c r="B399" s="276"/>
      <c r="C399" s="276"/>
      <c r="D399" s="276"/>
      <c r="E399" s="276"/>
      <c r="F399" s="276"/>
      <c r="G399" s="276"/>
      <c r="H399" s="276"/>
      <c r="I399" s="276"/>
      <c r="J399" s="276"/>
      <c r="K399" s="276"/>
      <c r="L399" s="276"/>
      <c r="M399" s="276"/>
      <c r="N399" s="276"/>
      <c r="O399" s="276"/>
      <c r="P399" s="276"/>
      <c r="Q399" s="276"/>
      <c r="R399" s="276"/>
      <c r="S399" s="276"/>
      <c r="T399" s="276"/>
      <c r="U399" s="276"/>
      <c r="V399" s="276"/>
      <c r="W399" s="276"/>
      <c r="X399" s="276"/>
      <c r="Y399" s="276"/>
      <c r="Z399" s="276"/>
    </row>
    <row r="400" spans="1:26" ht="18.75" customHeight="1">
      <c r="A400" s="276"/>
      <c r="B400" s="276"/>
      <c r="C400" s="276"/>
      <c r="D400" s="276"/>
      <c r="E400" s="276"/>
      <c r="F400" s="276"/>
      <c r="G400" s="276"/>
      <c r="H400" s="276"/>
      <c r="I400" s="276"/>
      <c r="J400" s="276"/>
      <c r="K400" s="276"/>
      <c r="L400" s="276"/>
      <c r="M400" s="276"/>
      <c r="N400" s="276"/>
      <c r="O400" s="276"/>
      <c r="P400" s="276"/>
      <c r="Q400" s="276"/>
      <c r="R400" s="276"/>
      <c r="S400" s="276"/>
      <c r="T400" s="276"/>
      <c r="U400" s="276"/>
      <c r="V400" s="276"/>
      <c r="W400" s="276"/>
      <c r="X400" s="276"/>
      <c r="Y400" s="276"/>
      <c r="Z400" s="276"/>
    </row>
    <row r="401" spans="1:26" ht="18.75" customHeight="1">
      <c r="A401" s="276"/>
      <c r="B401" s="276"/>
      <c r="C401" s="276"/>
      <c r="D401" s="276"/>
      <c r="E401" s="276"/>
      <c r="F401" s="276"/>
      <c r="G401" s="276"/>
      <c r="H401" s="276"/>
      <c r="I401" s="276"/>
      <c r="J401" s="276"/>
      <c r="K401" s="276"/>
      <c r="L401" s="276"/>
      <c r="M401" s="276"/>
      <c r="N401" s="276"/>
      <c r="O401" s="276"/>
      <c r="P401" s="276"/>
      <c r="Q401" s="276"/>
      <c r="R401" s="276"/>
      <c r="S401" s="276"/>
      <c r="T401" s="276"/>
      <c r="U401" s="276"/>
      <c r="V401" s="276"/>
      <c r="W401" s="276"/>
      <c r="X401" s="276"/>
      <c r="Y401" s="276"/>
      <c r="Z401" s="276"/>
    </row>
    <row r="402" spans="1:26" ht="18.75" customHeight="1">
      <c r="A402" s="276"/>
      <c r="B402" s="276"/>
      <c r="C402" s="276"/>
      <c r="D402" s="276"/>
      <c r="E402" s="276"/>
      <c r="F402" s="276"/>
      <c r="G402" s="276"/>
      <c r="H402" s="276"/>
      <c r="I402" s="276"/>
      <c r="J402" s="276"/>
      <c r="K402" s="276"/>
      <c r="L402" s="276"/>
      <c r="M402" s="276"/>
      <c r="N402" s="276"/>
      <c r="O402" s="276"/>
      <c r="P402" s="276"/>
      <c r="Q402" s="276"/>
      <c r="R402" s="276"/>
      <c r="S402" s="276"/>
      <c r="T402" s="276"/>
      <c r="U402" s="276"/>
      <c r="V402" s="276"/>
      <c r="W402" s="276"/>
      <c r="X402" s="276"/>
      <c r="Y402" s="276"/>
      <c r="Z402" s="276"/>
    </row>
    <row r="403" spans="1:26" ht="18.75" customHeight="1">
      <c r="A403" s="276"/>
      <c r="B403" s="276"/>
      <c r="C403" s="276"/>
      <c r="D403" s="276"/>
      <c r="E403" s="276"/>
      <c r="F403" s="276"/>
      <c r="G403" s="276"/>
      <c r="H403" s="276"/>
      <c r="I403" s="276"/>
      <c r="J403" s="276"/>
      <c r="K403" s="276"/>
      <c r="L403" s="276"/>
      <c r="M403" s="276"/>
      <c r="N403" s="276"/>
      <c r="O403" s="276"/>
      <c r="P403" s="276"/>
      <c r="Q403" s="276"/>
      <c r="R403" s="276"/>
      <c r="S403" s="276"/>
      <c r="T403" s="276"/>
      <c r="U403" s="276"/>
      <c r="V403" s="276"/>
      <c r="W403" s="276"/>
      <c r="X403" s="276"/>
      <c r="Y403" s="276"/>
      <c r="Z403" s="276"/>
    </row>
    <row r="404" spans="1:26" ht="18.75" customHeight="1">
      <c r="A404" s="276"/>
      <c r="B404" s="276"/>
      <c r="C404" s="276"/>
      <c r="D404" s="276"/>
      <c r="E404" s="276"/>
      <c r="F404" s="276"/>
      <c r="G404" s="276"/>
      <c r="H404" s="276"/>
      <c r="I404" s="276"/>
      <c r="J404" s="276"/>
      <c r="K404" s="276"/>
      <c r="L404" s="276"/>
      <c r="M404" s="276"/>
      <c r="N404" s="276"/>
      <c r="O404" s="276"/>
      <c r="P404" s="276"/>
      <c r="Q404" s="276"/>
      <c r="R404" s="276"/>
      <c r="S404" s="276"/>
      <c r="T404" s="276"/>
      <c r="U404" s="276"/>
      <c r="V404" s="276"/>
      <c r="W404" s="276"/>
      <c r="X404" s="276"/>
      <c r="Y404" s="276"/>
      <c r="Z404" s="276"/>
    </row>
    <row r="405" spans="1:26" ht="18.75" customHeight="1">
      <c r="A405" s="276"/>
      <c r="B405" s="276"/>
      <c r="C405" s="276"/>
      <c r="D405" s="276"/>
      <c r="E405" s="276"/>
      <c r="F405" s="276"/>
      <c r="G405" s="276"/>
      <c r="H405" s="276"/>
      <c r="I405" s="276"/>
      <c r="J405" s="276"/>
      <c r="K405" s="276"/>
      <c r="L405" s="276"/>
      <c r="M405" s="276"/>
      <c r="N405" s="276"/>
      <c r="O405" s="276"/>
      <c r="P405" s="276"/>
      <c r="Q405" s="276"/>
      <c r="R405" s="276"/>
      <c r="S405" s="276"/>
      <c r="T405" s="276"/>
      <c r="U405" s="276"/>
      <c r="V405" s="276"/>
      <c r="W405" s="276"/>
      <c r="X405" s="276"/>
      <c r="Y405" s="276"/>
      <c r="Z405" s="276"/>
    </row>
    <row r="406" spans="1:26" ht="18.75" customHeight="1">
      <c r="A406" s="276"/>
      <c r="B406" s="276"/>
      <c r="C406" s="276"/>
      <c r="D406" s="276"/>
      <c r="E406" s="276"/>
      <c r="F406" s="276"/>
      <c r="G406" s="276"/>
      <c r="H406" s="276"/>
      <c r="I406" s="276"/>
      <c r="J406" s="276"/>
      <c r="K406" s="276"/>
      <c r="L406" s="276"/>
      <c r="M406" s="276"/>
      <c r="N406" s="276"/>
      <c r="O406" s="276"/>
      <c r="P406" s="276"/>
      <c r="Q406" s="276"/>
      <c r="R406" s="276"/>
      <c r="S406" s="276"/>
      <c r="T406" s="276"/>
      <c r="U406" s="276"/>
      <c r="V406" s="276"/>
      <c r="W406" s="276"/>
      <c r="X406" s="276"/>
      <c r="Y406" s="276"/>
      <c r="Z406" s="276"/>
    </row>
    <row r="407" spans="1:26" ht="18.75" customHeight="1">
      <c r="A407" s="276"/>
      <c r="B407" s="276"/>
      <c r="C407" s="276"/>
      <c r="D407" s="276"/>
      <c r="E407" s="276"/>
      <c r="F407" s="276"/>
      <c r="G407" s="276"/>
      <c r="H407" s="276"/>
      <c r="I407" s="276"/>
      <c r="J407" s="276"/>
      <c r="K407" s="276"/>
      <c r="L407" s="276"/>
      <c r="M407" s="276"/>
      <c r="N407" s="276"/>
      <c r="O407" s="276"/>
      <c r="P407" s="276"/>
      <c r="Q407" s="276"/>
      <c r="R407" s="276"/>
      <c r="S407" s="276"/>
      <c r="T407" s="276"/>
      <c r="U407" s="276"/>
      <c r="V407" s="276"/>
      <c r="W407" s="276"/>
      <c r="X407" s="276"/>
      <c r="Y407" s="276"/>
      <c r="Z407" s="276"/>
    </row>
    <row r="408" spans="1:26" ht="18.75" customHeight="1">
      <c r="A408" s="276"/>
      <c r="B408" s="276"/>
      <c r="C408" s="276"/>
      <c r="D408" s="276"/>
      <c r="E408" s="276"/>
      <c r="F408" s="276"/>
      <c r="G408" s="276"/>
      <c r="H408" s="276"/>
      <c r="I408" s="276"/>
      <c r="J408" s="276"/>
      <c r="K408" s="276"/>
      <c r="L408" s="276"/>
      <c r="M408" s="276"/>
      <c r="N408" s="276"/>
      <c r="O408" s="276"/>
      <c r="P408" s="276"/>
      <c r="Q408" s="276"/>
      <c r="R408" s="276"/>
      <c r="S408" s="276"/>
      <c r="T408" s="276"/>
      <c r="U408" s="276"/>
      <c r="V408" s="276"/>
      <c r="W408" s="276"/>
      <c r="X408" s="276"/>
      <c r="Y408" s="276"/>
      <c r="Z408" s="276"/>
    </row>
    <row r="409" spans="1:26" ht="18.75" customHeight="1">
      <c r="A409" s="276"/>
      <c r="B409" s="276"/>
      <c r="C409" s="276"/>
      <c r="D409" s="276"/>
      <c r="E409" s="276"/>
      <c r="F409" s="276"/>
      <c r="G409" s="276"/>
      <c r="H409" s="276"/>
      <c r="I409" s="276"/>
      <c r="J409" s="276"/>
      <c r="K409" s="276"/>
      <c r="L409" s="276"/>
      <c r="M409" s="276"/>
      <c r="N409" s="276"/>
      <c r="O409" s="276"/>
      <c r="P409" s="276"/>
      <c r="Q409" s="276"/>
      <c r="R409" s="276"/>
      <c r="S409" s="276"/>
      <c r="T409" s="276"/>
      <c r="U409" s="276"/>
      <c r="V409" s="276"/>
      <c r="W409" s="276"/>
      <c r="X409" s="276"/>
      <c r="Y409" s="276"/>
      <c r="Z409" s="276"/>
    </row>
    <row r="410" spans="1:26" ht="18.75" customHeight="1">
      <c r="A410" s="276"/>
      <c r="B410" s="276"/>
      <c r="C410" s="276"/>
      <c r="D410" s="276"/>
      <c r="E410" s="276"/>
      <c r="F410" s="276"/>
      <c r="G410" s="276"/>
      <c r="H410" s="276"/>
      <c r="I410" s="276"/>
      <c r="J410" s="276"/>
      <c r="K410" s="276"/>
      <c r="L410" s="276"/>
      <c r="M410" s="276"/>
      <c r="N410" s="276"/>
      <c r="O410" s="276"/>
      <c r="P410" s="276"/>
      <c r="Q410" s="276"/>
      <c r="R410" s="276"/>
      <c r="S410" s="276"/>
      <c r="T410" s="276"/>
      <c r="U410" s="276"/>
      <c r="V410" s="276"/>
      <c r="W410" s="276"/>
      <c r="X410" s="276"/>
      <c r="Y410" s="276"/>
      <c r="Z410" s="276"/>
    </row>
    <row r="411" spans="1:26" ht="18.75" customHeight="1">
      <c r="A411" s="276"/>
      <c r="B411" s="276"/>
      <c r="C411" s="276"/>
      <c r="D411" s="276"/>
      <c r="E411" s="276"/>
      <c r="F411" s="276"/>
      <c r="G411" s="276"/>
      <c r="H411" s="276"/>
      <c r="I411" s="276"/>
      <c r="J411" s="276"/>
      <c r="K411" s="276"/>
      <c r="L411" s="276"/>
      <c r="M411" s="276"/>
      <c r="N411" s="276"/>
      <c r="O411" s="276"/>
      <c r="P411" s="276"/>
      <c r="Q411" s="276"/>
      <c r="R411" s="276"/>
      <c r="S411" s="276"/>
      <c r="T411" s="276"/>
      <c r="U411" s="276"/>
      <c r="V411" s="276"/>
      <c r="W411" s="276"/>
      <c r="X411" s="276"/>
      <c r="Y411" s="276"/>
      <c r="Z411" s="276"/>
    </row>
    <row r="412" spans="1:26" ht="18.75" customHeight="1">
      <c r="A412" s="276"/>
      <c r="B412" s="276"/>
      <c r="C412" s="276"/>
      <c r="D412" s="276"/>
      <c r="E412" s="276"/>
      <c r="F412" s="276"/>
      <c r="G412" s="276"/>
      <c r="H412" s="276"/>
      <c r="I412" s="276"/>
      <c r="J412" s="276"/>
      <c r="K412" s="276"/>
      <c r="L412" s="276"/>
      <c r="M412" s="276"/>
      <c r="N412" s="276"/>
      <c r="O412" s="276"/>
      <c r="P412" s="276"/>
      <c r="Q412" s="276"/>
      <c r="R412" s="276"/>
      <c r="S412" s="276"/>
      <c r="T412" s="276"/>
      <c r="U412" s="276"/>
      <c r="V412" s="276"/>
      <c r="W412" s="276"/>
      <c r="X412" s="276"/>
      <c r="Y412" s="276"/>
      <c r="Z412" s="276"/>
    </row>
    <row r="413" spans="1:26" ht="18.75" customHeight="1">
      <c r="A413" s="276"/>
      <c r="B413" s="276"/>
      <c r="C413" s="276"/>
      <c r="D413" s="276"/>
      <c r="E413" s="276"/>
      <c r="F413" s="276"/>
      <c r="G413" s="276"/>
      <c r="H413" s="276"/>
      <c r="I413" s="276"/>
      <c r="J413" s="276"/>
      <c r="K413" s="276"/>
      <c r="L413" s="276"/>
      <c r="M413" s="276"/>
      <c r="N413" s="276"/>
      <c r="O413" s="276"/>
      <c r="P413" s="276"/>
      <c r="Q413" s="276"/>
      <c r="R413" s="276"/>
      <c r="S413" s="276"/>
      <c r="T413" s="276"/>
      <c r="U413" s="276"/>
      <c r="V413" s="276"/>
      <c r="W413" s="276"/>
      <c r="X413" s="276"/>
      <c r="Y413" s="276"/>
      <c r="Z413" s="276"/>
    </row>
    <row r="414" spans="1:26" ht="18.75" customHeight="1">
      <c r="A414" s="276"/>
      <c r="B414" s="276"/>
      <c r="C414" s="276"/>
      <c r="D414" s="276"/>
      <c r="E414" s="276"/>
      <c r="F414" s="276"/>
      <c r="G414" s="276"/>
      <c r="H414" s="276"/>
      <c r="I414" s="276"/>
      <c r="J414" s="276"/>
      <c r="K414" s="276"/>
      <c r="L414" s="276"/>
      <c r="M414" s="276"/>
      <c r="N414" s="276"/>
      <c r="O414" s="276"/>
      <c r="P414" s="276"/>
      <c r="Q414" s="276"/>
      <c r="R414" s="276"/>
      <c r="S414" s="276"/>
      <c r="T414" s="276"/>
      <c r="U414" s="276"/>
      <c r="V414" s="276"/>
      <c r="W414" s="276"/>
      <c r="X414" s="276"/>
      <c r="Y414" s="276"/>
      <c r="Z414" s="276"/>
    </row>
    <row r="415" spans="1:26" ht="18.75" customHeight="1">
      <c r="A415" s="276"/>
      <c r="B415" s="276"/>
      <c r="C415" s="276"/>
      <c r="D415" s="276"/>
      <c r="E415" s="276"/>
      <c r="F415" s="276"/>
      <c r="G415" s="276"/>
      <c r="H415" s="276"/>
      <c r="I415" s="276"/>
      <c r="J415" s="276"/>
      <c r="K415" s="276"/>
      <c r="L415" s="276"/>
      <c r="M415" s="276"/>
      <c r="N415" s="276"/>
      <c r="O415" s="276"/>
      <c r="P415" s="276"/>
      <c r="Q415" s="276"/>
      <c r="R415" s="276"/>
      <c r="S415" s="276"/>
      <c r="T415" s="276"/>
      <c r="U415" s="276"/>
      <c r="V415" s="276"/>
      <c r="W415" s="276"/>
      <c r="X415" s="276"/>
      <c r="Y415" s="276"/>
      <c r="Z415" s="276"/>
    </row>
    <row r="416" spans="1:26" ht="18.75" customHeight="1">
      <c r="A416" s="276"/>
      <c r="B416" s="276"/>
      <c r="C416" s="276"/>
      <c r="D416" s="276"/>
      <c r="E416" s="276"/>
      <c r="F416" s="276"/>
      <c r="G416" s="276"/>
      <c r="H416" s="276"/>
      <c r="I416" s="276"/>
      <c r="J416" s="276"/>
      <c r="K416" s="276"/>
      <c r="L416" s="276"/>
      <c r="M416" s="276"/>
      <c r="N416" s="276"/>
      <c r="O416" s="276"/>
      <c r="P416" s="276"/>
      <c r="Q416" s="276"/>
      <c r="R416" s="276"/>
      <c r="S416" s="276"/>
      <c r="T416" s="276"/>
      <c r="U416" s="276"/>
      <c r="V416" s="276"/>
      <c r="W416" s="276"/>
      <c r="X416" s="276"/>
      <c r="Y416" s="276"/>
      <c r="Z416" s="276"/>
    </row>
    <row r="417" spans="1:26" ht="18.75" customHeight="1">
      <c r="A417" s="276"/>
      <c r="B417" s="276"/>
      <c r="C417" s="276"/>
      <c r="D417" s="276"/>
      <c r="E417" s="276"/>
      <c r="F417" s="276"/>
      <c r="G417" s="276"/>
      <c r="H417" s="276"/>
      <c r="I417" s="276"/>
      <c r="J417" s="276"/>
      <c r="K417" s="276"/>
      <c r="L417" s="276"/>
      <c r="M417" s="276"/>
      <c r="N417" s="276"/>
      <c r="O417" s="276"/>
      <c r="P417" s="276"/>
      <c r="Q417" s="276"/>
      <c r="R417" s="276"/>
      <c r="S417" s="276"/>
      <c r="T417" s="276"/>
      <c r="U417" s="276"/>
      <c r="V417" s="276"/>
      <c r="W417" s="276"/>
      <c r="X417" s="276"/>
      <c r="Y417" s="276"/>
      <c r="Z417" s="276"/>
    </row>
    <row r="418" spans="1:26" ht="18.75" customHeight="1">
      <c r="A418" s="276"/>
      <c r="B418" s="276"/>
      <c r="C418" s="276"/>
      <c r="D418" s="276"/>
      <c r="E418" s="276"/>
      <c r="F418" s="276"/>
      <c r="G418" s="276"/>
      <c r="H418" s="276"/>
      <c r="I418" s="276"/>
      <c r="J418" s="276"/>
      <c r="K418" s="276"/>
      <c r="L418" s="276"/>
      <c r="M418" s="276"/>
      <c r="N418" s="276"/>
      <c r="O418" s="276"/>
      <c r="P418" s="276"/>
      <c r="Q418" s="276"/>
      <c r="R418" s="276"/>
      <c r="S418" s="276"/>
      <c r="T418" s="276"/>
      <c r="U418" s="276"/>
      <c r="V418" s="276"/>
      <c r="W418" s="276"/>
      <c r="X418" s="276"/>
      <c r="Y418" s="276"/>
      <c r="Z418" s="276"/>
    </row>
    <row r="419" spans="1:26" ht="18.75" customHeight="1">
      <c r="A419" s="276"/>
      <c r="B419" s="276"/>
      <c r="C419" s="276"/>
      <c r="D419" s="276"/>
      <c r="E419" s="276"/>
      <c r="F419" s="276"/>
      <c r="G419" s="276"/>
      <c r="H419" s="276"/>
      <c r="I419" s="276"/>
      <c r="J419" s="276"/>
      <c r="K419" s="276"/>
      <c r="L419" s="276"/>
      <c r="M419" s="276"/>
      <c r="N419" s="276"/>
      <c r="O419" s="276"/>
      <c r="P419" s="276"/>
      <c r="Q419" s="276"/>
      <c r="R419" s="276"/>
      <c r="S419" s="276"/>
      <c r="T419" s="276"/>
      <c r="U419" s="276"/>
      <c r="V419" s="276"/>
      <c r="W419" s="276"/>
      <c r="X419" s="276"/>
      <c r="Y419" s="276"/>
      <c r="Z419" s="276"/>
    </row>
    <row r="420" spans="1:26" ht="18.75" customHeight="1">
      <c r="A420" s="276"/>
      <c r="B420" s="276"/>
      <c r="C420" s="276"/>
      <c r="D420" s="276"/>
      <c r="E420" s="276"/>
      <c r="F420" s="276"/>
      <c r="G420" s="276"/>
      <c r="H420" s="276"/>
      <c r="I420" s="276"/>
      <c r="J420" s="276"/>
      <c r="K420" s="276"/>
      <c r="L420" s="276"/>
      <c r="M420" s="276"/>
      <c r="N420" s="276"/>
      <c r="O420" s="276"/>
      <c r="P420" s="276"/>
      <c r="Q420" s="276"/>
      <c r="R420" s="276"/>
      <c r="S420" s="276"/>
      <c r="T420" s="276"/>
      <c r="U420" s="276"/>
      <c r="V420" s="276"/>
      <c r="W420" s="276"/>
      <c r="X420" s="276"/>
      <c r="Y420" s="276"/>
      <c r="Z420" s="276"/>
    </row>
    <row r="421" spans="1:26" ht="18.75" customHeight="1">
      <c r="A421" s="276"/>
      <c r="B421" s="276"/>
      <c r="C421" s="276"/>
      <c r="D421" s="276"/>
      <c r="E421" s="276"/>
      <c r="F421" s="276"/>
      <c r="G421" s="276"/>
      <c r="H421" s="276"/>
      <c r="I421" s="276"/>
      <c r="J421" s="276"/>
      <c r="K421" s="276"/>
      <c r="L421" s="276"/>
      <c r="M421" s="276"/>
      <c r="N421" s="276"/>
      <c r="O421" s="276"/>
      <c r="P421" s="276"/>
      <c r="Q421" s="276"/>
      <c r="R421" s="276"/>
      <c r="S421" s="276"/>
      <c r="T421" s="276"/>
      <c r="U421" s="276"/>
      <c r="V421" s="276"/>
      <c r="W421" s="276"/>
      <c r="X421" s="276"/>
      <c r="Y421" s="276"/>
      <c r="Z421" s="276"/>
    </row>
    <row r="422" spans="1:26" ht="18.75" customHeight="1">
      <c r="A422" s="276"/>
      <c r="B422" s="276"/>
      <c r="C422" s="276"/>
      <c r="D422" s="276"/>
      <c r="E422" s="276"/>
      <c r="F422" s="276"/>
      <c r="G422" s="276"/>
      <c r="H422" s="276"/>
      <c r="I422" s="276"/>
      <c r="J422" s="276"/>
      <c r="K422" s="276"/>
      <c r="L422" s="276"/>
      <c r="M422" s="276"/>
      <c r="N422" s="276"/>
      <c r="O422" s="276"/>
      <c r="P422" s="276"/>
      <c r="Q422" s="276"/>
      <c r="R422" s="276"/>
      <c r="S422" s="276"/>
      <c r="T422" s="276"/>
      <c r="U422" s="276"/>
      <c r="V422" s="276"/>
      <c r="W422" s="276"/>
      <c r="X422" s="276"/>
      <c r="Y422" s="276"/>
      <c r="Z422" s="276"/>
    </row>
    <row r="423" spans="1:26" ht="18.75" customHeight="1">
      <c r="A423" s="276"/>
      <c r="B423" s="276"/>
      <c r="C423" s="276"/>
      <c r="D423" s="276"/>
      <c r="E423" s="276"/>
      <c r="F423" s="276"/>
      <c r="G423" s="276"/>
      <c r="H423" s="276"/>
      <c r="I423" s="276"/>
      <c r="J423" s="276"/>
      <c r="K423" s="276"/>
      <c r="L423" s="276"/>
      <c r="M423" s="276"/>
      <c r="N423" s="276"/>
      <c r="O423" s="276"/>
      <c r="P423" s="276"/>
      <c r="Q423" s="276"/>
      <c r="R423" s="276"/>
      <c r="S423" s="276"/>
      <c r="T423" s="276"/>
      <c r="U423" s="276"/>
      <c r="V423" s="276"/>
      <c r="W423" s="276"/>
      <c r="X423" s="276"/>
      <c r="Y423" s="276"/>
      <c r="Z423" s="276"/>
    </row>
    <row r="424" spans="1:26" ht="18.75" customHeight="1">
      <c r="A424" s="276"/>
      <c r="B424" s="276"/>
      <c r="C424" s="276"/>
      <c r="D424" s="276"/>
      <c r="E424" s="276"/>
      <c r="F424" s="276"/>
      <c r="G424" s="276"/>
      <c r="H424" s="276"/>
      <c r="I424" s="276"/>
      <c r="J424" s="276"/>
      <c r="K424" s="276"/>
      <c r="L424" s="276"/>
      <c r="M424" s="276"/>
      <c r="N424" s="276"/>
      <c r="O424" s="276"/>
      <c r="P424" s="276"/>
      <c r="Q424" s="276"/>
      <c r="R424" s="276"/>
      <c r="S424" s="276"/>
      <c r="T424" s="276"/>
      <c r="U424" s="276"/>
      <c r="V424" s="276"/>
      <c r="W424" s="276"/>
      <c r="X424" s="276"/>
      <c r="Y424" s="276"/>
      <c r="Z424" s="276"/>
    </row>
    <row r="425" spans="1:26" ht="18.75" customHeight="1">
      <c r="A425" s="276"/>
      <c r="B425" s="276"/>
      <c r="C425" s="276"/>
      <c r="D425" s="276"/>
      <c r="E425" s="276"/>
      <c r="F425" s="276"/>
      <c r="G425" s="276"/>
      <c r="H425" s="276"/>
      <c r="I425" s="276"/>
      <c r="J425" s="276"/>
      <c r="K425" s="276"/>
      <c r="L425" s="276"/>
      <c r="M425" s="276"/>
      <c r="N425" s="276"/>
      <c r="O425" s="276"/>
      <c r="P425" s="276"/>
      <c r="Q425" s="276"/>
      <c r="R425" s="276"/>
      <c r="S425" s="276"/>
      <c r="T425" s="276"/>
      <c r="U425" s="276"/>
      <c r="V425" s="276"/>
      <c r="W425" s="276"/>
      <c r="X425" s="276"/>
      <c r="Y425" s="276"/>
      <c r="Z425" s="276"/>
    </row>
    <row r="426" spans="1:26" ht="18.75" customHeight="1">
      <c r="A426" s="276"/>
      <c r="B426" s="276"/>
      <c r="C426" s="276"/>
      <c r="D426" s="276"/>
      <c r="E426" s="276"/>
      <c r="F426" s="276"/>
      <c r="G426" s="276"/>
      <c r="H426" s="276"/>
      <c r="I426" s="276"/>
      <c r="J426" s="276"/>
      <c r="K426" s="276"/>
      <c r="L426" s="276"/>
      <c r="M426" s="276"/>
      <c r="N426" s="276"/>
      <c r="O426" s="276"/>
      <c r="P426" s="276"/>
      <c r="Q426" s="276"/>
      <c r="R426" s="276"/>
      <c r="S426" s="276"/>
      <c r="T426" s="276"/>
      <c r="U426" s="276"/>
      <c r="V426" s="276"/>
      <c r="W426" s="276"/>
      <c r="X426" s="276"/>
      <c r="Y426" s="276"/>
      <c r="Z426" s="276"/>
    </row>
    <row r="427" spans="1:26" ht="18.75" customHeight="1">
      <c r="A427" s="276"/>
      <c r="B427" s="276"/>
      <c r="C427" s="276"/>
      <c r="D427" s="276"/>
      <c r="E427" s="276"/>
      <c r="F427" s="276"/>
      <c r="G427" s="276"/>
      <c r="H427" s="276"/>
      <c r="I427" s="276"/>
      <c r="J427" s="276"/>
      <c r="K427" s="276"/>
      <c r="L427" s="276"/>
      <c r="M427" s="276"/>
      <c r="N427" s="276"/>
      <c r="O427" s="276"/>
      <c r="P427" s="276"/>
      <c r="Q427" s="276"/>
      <c r="R427" s="276"/>
      <c r="S427" s="276"/>
      <c r="T427" s="276"/>
      <c r="U427" s="276"/>
      <c r="V427" s="276"/>
      <c r="W427" s="276"/>
      <c r="X427" s="276"/>
      <c r="Y427" s="276"/>
      <c r="Z427" s="276"/>
    </row>
    <row r="428" spans="1:26" ht="18.75" customHeight="1">
      <c r="A428" s="276"/>
      <c r="B428" s="276"/>
      <c r="C428" s="276"/>
      <c r="D428" s="276"/>
      <c r="E428" s="276"/>
      <c r="F428" s="276"/>
      <c r="G428" s="276"/>
      <c r="H428" s="276"/>
      <c r="I428" s="276"/>
      <c r="J428" s="276"/>
      <c r="K428" s="276"/>
      <c r="L428" s="276"/>
      <c r="M428" s="276"/>
      <c r="N428" s="276"/>
      <c r="O428" s="276"/>
      <c r="P428" s="276"/>
      <c r="Q428" s="276"/>
      <c r="R428" s="276"/>
      <c r="S428" s="276"/>
      <c r="T428" s="276"/>
      <c r="U428" s="276"/>
      <c r="V428" s="276"/>
      <c r="W428" s="276"/>
      <c r="X428" s="276"/>
      <c r="Y428" s="276"/>
      <c r="Z428" s="276"/>
    </row>
    <row r="429" spans="1:26" ht="18.75" customHeight="1">
      <c r="A429" s="276"/>
      <c r="B429" s="276"/>
      <c r="C429" s="276"/>
      <c r="D429" s="276"/>
      <c r="E429" s="276"/>
      <c r="F429" s="276"/>
      <c r="G429" s="276"/>
      <c r="H429" s="276"/>
      <c r="I429" s="276"/>
      <c r="J429" s="276"/>
      <c r="K429" s="276"/>
      <c r="L429" s="276"/>
      <c r="M429" s="276"/>
      <c r="N429" s="276"/>
      <c r="O429" s="276"/>
      <c r="P429" s="276"/>
      <c r="Q429" s="276"/>
      <c r="R429" s="276"/>
      <c r="S429" s="276"/>
      <c r="T429" s="276"/>
      <c r="U429" s="276"/>
      <c r="V429" s="276"/>
      <c r="W429" s="276"/>
      <c r="X429" s="276"/>
      <c r="Y429" s="276"/>
      <c r="Z429" s="276"/>
    </row>
    <row r="430" spans="1:26" ht="18.75" customHeight="1">
      <c r="A430" s="276"/>
      <c r="B430" s="276"/>
      <c r="C430" s="276"/>
      <c r="D430" s="276"/>
      <c r="E430" s="276"/>
      <c r="F430" s="276"/>
      <c r="G430" s="276"/>
      <c r="H430" s="276"/>
      <c r="I430" s="276"/>
      <c r="J430" s="276"/>
      <c r="K430" s="276"/>
      <c r="L430" s="276"/>
      <c r="M430" s="276"/>
      <c r="N430" s="276"/>
      <c r="O430" s="276"/>
      <c r="P430" s="276"/>
      <c r="Q430" s="276"/>
      <c r="R430" s="276"/>
      <c r="S430" s="276"/>
      <c r="T430" s="276"/>
      <c r="U430" s="276"/>
      <c r="V430" s="276"/>
      <c r="W430" s="276"/>
      <c r="X430" s="276"/>
      <c r="Y430" s="276"/>
      <c r="Z430" s="276"/>
    </row>
    <row r="431" spans="1:26" ht="18.75" customHeight="1">
      <c r="A431" s="276"/>
      <c r="B431" s="276"/>
      <c r="C431" s="276"/>
      <c r="D431" s="276"/>
      <c r="E431" s="276"/>
      <c r="F431" s="276"/>
      <c r="G431" s="276"/>
      <c r="H431" s="276"/>
      <c r="I431" s="276"/>
      <c r="J431" s="276"/>
      <c r="K431" s="276"/>
      <c r="L431" s="276"/>
      <c r="M431" s="276"/>
      <c r="N431" s="276"/>
      <c r="O431" s="276"/>
      <c r="P431" s="276"/>
      <c r="Q431" s="276"/>
      <c r="R431" s="276"/>
      <c r="S431" s="276"/>
      <c r="T431" s="276"/>
      <c r="U431" s="276"/>
      <c r="V431" s="276"/>
      <c r="W431" s="276"/>
      <c r="X431" s="276"/>
      <c r="Y431" s="276"/>
      <c r="Z431" s="276"/>
    </row>
    <row r="432" spans="1:26" ht="18.75" customHeight="1">
      <c r="A432" s="276"/>
      <c r="B432" s="276"/>
      <c r="C432" s="276"/>
      <c r="D432" s="276"/>
      <c r="E432" s="276"/>
      <c r="F432" s="276"/>
      <c r="G432" s="276"/>
      <c r="H432" s="276"/>
      <c r="I432" s="276"/>
      <c r="J432" s="276"/>
      <c r="K432" s="276"/>
      <c r="L432" s="276"/>
      <c r="M432" s="276"/>
      <c r="N432" s="276"/>
      <c r="O432" s="276"/>
      <c r="P432" s="276"/>
      <c r="Q432" s="276"/>
      <c r="R432" s="276"/>
      <c r="S432" s="276"/>
      <c r="T432" s="276"/>
      <c r="U432" s="276"/>
      <c r="V432" s="276"/>
      <c r="W432" s="276"/>
      <c r="X432" s="276"/>
      <c r="Y432" s="276"/>
      <c r="Z432" s="276"/>
    </row>
    <row r="433" spans="1:26" ht="18.75" customHeight="1">
      <c r="A433" s="276"/>
      <c r="B433" s="276"/>
      <c r="C433" s="276"/>
      <c r="D433" s="276"/>
      <c r="E433" s="276"/>
      <c r="F433" s="276"/>
      <c r="G433" s="276"/>
      <c r="H433" s="276"/>
      <c r="I433" s="276"/>
      <c r="J433" s="276"/>
      <c r="K433" s="276"/>
      <c r="L433" s="276"/>
      <c r="M433" s="276"/>
      <c r="N433" s="276"/>
      <c r="O433" s="276"/>
      <c r="P433" s="276"/>
      <c r="Q433" s="276"/>
      <c r="R433" s="276"/>
      <c r="S433" s="276"/>
      <c r="T433" s="276"/>
      <c r="U433" s="276"/>
      <c r="V433" s="276"/>
      <c r="W433" s="276"/>
      <c r="X433" s="276"/>
      <c r="Y433" s="276"/>
      <c r="Z433" s="276"/>
    </row>
    <row r="434" spans="1:26" ht="18.75" customHeight="1">
      <c r="A434" s="276"/>
      <c r="B434" s="276"/>
      <c r="C434" s="276"/>
      <c r="D434" s="276"/>
      <c r="E434" s="276"/>
      <c r="F434" s="276"/>
      <c r="G434" s="276"/>
      <c r="H434" s="276"/>
      <c r="I434" s="276"/>
      <c r="J434" s="276"/>
      <c r="K434" s="276"/>
      <c r="L434" s="276"/>
      <c r="M434" s="276"/>
      <c r="N434" s="276"/>
      <c r="O434" s="276"/>
      <c r="P434" s="276"/>
      <c r="Q434" s="276"/>
      <c r="R434" s="276"/>
      <c r="S434" s="276"/>
      <c r="T434" s="276"/>
      <c r="U434" s="276"/>
      <c r="V434" s="276"/>
      <c r="W434" s="276"/>
      <c r="X434" s="276"/>
      <c r="Y434" s="276"/>
      <c r="Z434" s="276"/>
    </row>
    <row r="435" spans="1:26" ht="18.75" customHeight="1">
      <c r="A435" s="276"/>
      <c r="B435" s="276"/>
      <c r="C435" s="276"/>
      <c r="D435" s="276"/>
      <c r="E435" s="276"/>
      <c r="F435" s="276"/>
      <c r="G435" s="276"/>
      <c r="H435" s="276"/>
      <c r="I435" s="276"/>
      <c r="J435" s="276"/>
      <c r="K435" s="276"/>
      <c r="L435" s="276"/>
      <c r="M435" s="276"/>
      <c r="N435" s="276"/>
      <c r="O435" s="276"/>
      <c r="P435" s="276"/>
      <c r="Q435" s="276"/>
      <c r="R435" s="276"/>
      <c r="S435" s="276"/>
      <c r="T435" s="276"/>
      <c r="U435" s="276"/>
      <c r="V435" s="276"/>
      <c r="W435" s="276"/>
      <c r="X435" s="276"/>
      <c r="Y435" s="276"/>
      <c r="Z435" s="276"/>
    </row>
    <row r="436" spans="1:26" ht="18.75" customHeight="1">
      <c r="A436" s="276"/>
      <c r="B436" s="276"/>
      <c r="C436" s="276"/>
      <c r="D436" s="276"/>
      <c r="E436" s="276"/>
      <c r="F436" s="276"/>
      <c r="G436" s="276"/>
      <c r="H436" s="276"/>
      <c r="I436" s="276"/>
      <c r="J436" s="276"/>
      <c r="K436" s="276"/>
      <c r="L436" s="276"/>
      <c r="M436" s="276"/>
      <c r="N436" s="276"/>
      <c r="O436" s="276"/>
      <c r="P436" s="276"/>
      <c r="Q436" s="276"/>
      <c r="R436" s="276"/>
      <c r="S436" s="276"/>
      <c r="T436" s="276"/>
      <c r="U436" s="276"/>
      <c r="V436" s="276"/>
      <c r="W436" s="276"/>
      <c r="X436" s="276"/>
      <c r="Y436" s="276"/>
      <c r="Z436" s="276"/>
    </row>
    <row r="437" spans="1:26" ht="18.75" customHeight="1">
      <c r="A437" s="276"/>
      <c r="B437" s="276"/>
      <c r="C437" s="276"/>
      <c r="D437" s="276"/>
      <c r="E437" s="276"/>
      <c r="F437" s="276"/>
      <c r="G437" s="276"/>
      <c r="H437" s="276"/>
      <c r="I437" s="276"/>
      <c r="J437" s="276"/>
      <c r="K437" s="276"/>
      <c r="L437" s="276"/>
      <c r="M437" s="276"/>
      <c r="N437" s="276"/>
      <c r="O437" s="276"/>
      <c r="P437" s="276"/>
      <c r="Q437" s="276"/>
      <c r="R437" s="276"/>
      <c r="S437" s="276"/>
      <c r="T437" s="276"/>
      <c r="U437" s="276"/>
      <c r="V437" s="276"/>
      <c r="W437" s="276"/>
      <c r="X437" s="276"/>
      <c r="Y437" s="276"/>
      <c r="Z437" s="276"/>
    </row>
    <row r="438" spans="1:26" ht="18.75" customHeight="1">
      <c r="A438" s="276"/>
      <c r="B438" s="276"/>
      <c r="C438" s="276"/>
      <c r="D438" s="276"/>
      <c r="E438" s="276"/>
      <c r="F438" s="276"/>
      <c r="G438" s="276"/>
      <c r="H438" s="276"/>
      <c r="I438" s="276"/>
      <c r="J438" s="276"/>
      <c r="K438" s="276"/>
      <c r="L438" s="276"/>
      <c r="M438" s="276"/>
      <c r="N438" s="276"/>
      <c r="O438" s="276"/>
      <c r="P438" s="276"/>
      <c r="Q438" s="276"/>
      <c r="R438" s="276"/>
      <c r="S438" s="276"/>
      <c r="T438" s="276"/>
      <c r="U438" s="276"/>
      <c r="V438" s="276"/>
      <c r="W438" s="276"/>
      <c r="X438" s="276"/>
      <c r="Y438" s="276"/>
      <c r="Z438" s="276"/>
    </row>
    <row r="439" spans="1:26" ht="18.75" customHeight="1">
      <c r="A439" s="276"/>
      <c r="B439" s="276"/>
      <c r="C439" s="276"/>
      <c r="D439" s="276"/>
      <c r="E439" s="276"/>
      <c r="F439" s="276"/>
      <c r="G439" s="276"/>
      <c r="H439" s="276"/>
      <c r="I439" s="276"/>
      <c r="J439" s="276"/>
      <c r="K439" s="276"/>
      <c r="L439" s="276"/>
      <c r="M439" s="276"/>
      <c r="N439" s="276"/>
      <c r="O439" s="276"/>
      <c r="P439" s="276"/>
      <c r="Q439" s="276"/>
      <c r="R439" s="276"/>
      <c r="S439" s="276"/>
      <c r="T439" s="276"/>
      <c r="U439" s="276"/>
      <c r="V439" s="276"/>
      <c r="W439" s="276"/>
      <c r="X439" s="276"/>
      <c r="Y439" s="276"/>
      <c r="Z439" s="276"/>
    </row>
    <row r="440" spans="1:26" ht="18.75" customHeight="1">
      <c r="A440" s="276"/>
      <c r="B440" s="276"/>
      <c r="C440" s="276"/>
      <c r="D440" s="276"/>
      <c r="E440" s="276"/>
      <c r="F440" s="276"/>
      <c r="G440" s="276"/>
      <c r="H440" s="276"/>
      <c r="I440" s="276"/>
      <c r="J440" s="276"/>
      <c r="K440" s="276"/>
      <c r="L440" s="276"/>
      <c r="M440" s="276"/>
      <c r="N440" s="276"/>
      <c r="O440" s="276"/>
      <c r="P440" s="276"/>
      <c r="Q440" s="276"/>
      <c r="R440" s="276"/>
      <c r="S440" s="276"/>
      <c r="T440" s="276"/>
      <c r="U440" s="276"/>
      <c r="V440" s="276"/>
      <c r="W440" s="276"/>
      <c r="X440" s="276"/>
      <c r="Y440" s="276"/>
      <c r="Z440" s="276"/>
    </row>
    <row r="441" spans="1:26" ht="18.75" customHeight="1">
      <c r="A441" s="276"/>
      <c r="B441" s="276"/>
      <c r="C441" s="276"/>
      <c r="D441" s="276"/>
      <c r="E441" s="276"/>
      <c r="F441" s="276"/>
      <c r="G441" s="276"/>
      <c r="H441" s="276"/>
      <c r="I441" s="276"/>
      <c r="J441" s="276"/>
      <c r="K441" s="276"/>
      <c r="L441" s="276"/>
      <c r="M441" s="276"/>
      <c r="N441" s="276"/>
      <c r="O441" s="276"/>
      <c r="P441" s="276"/>
      <c r="Q441" s="276"/>
      <c r="R441" s="276"/>
      <c r="S441" s="276"/>
      <c r="T441" s="276"/>
      <c r="U441" s="276"/>
      <c r="V441" s="276"/>
      <c r="W441" s="276"/>
      <c r="X441" s="276"/>
      <c r="Y441" s="276"/>
      <c r="Z441" s="276"/>
    </row>
    <row r="442" spans="1:26" ht="18.75" customHeight="1">
      <c r="A442" s="276"/>
      <c r="B442" s="276"/>
      <c r="C442" s="276"/>
      <c r="D442" s="276"/>
      <c r="E442" s="276"/>
      <c r="F442" s="276"/>
      <c r="G442" s="276"/>
      <c r="H442" s="276"/>
      <c r="I442" s="276"/>
      <c r="J442" s="276"/>
      <c r="K442" s="276"/>
      <c r="L442" s="276"/>
      <c r="M442" s="276"/>
      <c r="N442" s="276"/>
      <c r="O442" s="276"/>
      <c r="P442" s="276"/>
      <c r="Q442" s="276"/>
      <c r="R442" s="276"/>
      <c r="S442" s="276"/>
      <c r="T442" s="276"/>
      <c r="U442" s="276"/>
      <c r="V442" s="276"/>
      <c r="W442" s="276"/>
      <c r="X442" s="276"/>
      <c r="Y442" s="276"/>
      <c r="Z442" s="276"/>
    </row>
    <row r="443" spans="1:26" ht="18.75" customHeight="1">
      <c r="A443" s="276"/>
      <c r="B443" s="276"/>
      <c r="C443" s="276"/>
      <c r="D443" s="276"/>
      <c r="E443" s="276"/>
      <c r="F443" s="276"/>
      <c r="G443" s="276"/>
      <c r="H443" s="276"/>
      <c r="I443" s="276"/>
      <c r="J443" s="276"/>
      <c r="K443" s="276"/>
      <c r="L443" s="276"/>
      <c r="M443" s="276"/>
      <c r="N443" s="276"/>
      <c r="O443" s="276"/>
      <c r="P443" s="276"/>
      <c r="Q443" s="276"/>
      <c r="R443" s="276"/>
      <c r="S443" s="276"/>
      <c r="T443" s="276"/>
      <c r="U443" s="276"/>
      <c r="V443" s="276"/>
      <c r="W443" s="276"/>
      <c r="X443" s="276"/>
      <c r="Y443" s="276"/>
      <c r="Z443" s="276"/>
    </row>
    <row r="444" spans="1:26" ht="18.75" customHeight="1">
      <c r="A444" s="276"/>
      <c r="B444" s="276"/>
      <c r="C444" s="276"/>
      <c r="D444" s="276"/>
      <c r="E444" s="276"/>
      <c r="F444" s="276"/>
      <c r="G444" s="276"/>
      <c r="H444" s="276"/>
      <c r="I444" s="276"/>
      <c r="J444" s="276"/>
      <c r="K444" s="276"/>
      <c r="L444" s="276"/>
      <c r="M444" s="276"/>
      <c r="N444" s="276"/>
      <c r="O444" s="276"/>
      <c r="P444" s="276"/>
      <c r="Q444" s="276"/>
      <c r="R444" s="276"/>
      <c r="S444" s="276"/>
      <c r="T444" s="276"/>
      <c r="U444" s="276"/>
      <c r="V444" s="276"/>
      <c r="W444" s="276"/>
      <c r="X444" s="276"/>
      <c r="Y444" s="276"/>
      <c r="Z444" s="276"/>
    </row>
    <row r="445" spans="1:26" ht="18.75" customHeight="1">
      <c r="A445" s="276"/>
      <c r="B445" s="276"/>
      <c r="C445" s="276"/>
      <c r="D445" s="276"/>
      <c r="E445" s="276"/>
      <c r="F445" s="276"/>
      <c r="G445" s="276"/>
      <c r="H445" s="276"/>
      <c r="I445" s="276"/>
      <c r="J445" s="276"/>
      <c r="K445" s="276"/>
      <c r="L445" s="276"/>
      <c r="M445" s="276"/>
      <c r="N445" s="276"/>
      <c r="O445" s="276"/>
      <c r="P445" s="276"/>
      <c r="Q445" s="276"/>
      <c r="R445" s="276"/>
      <c r="S445" s="276"/>
      <c r="T445" s="276"/>
      <c r="U445" s="276"/>
      <c r="V445" s="276"/>
      <c r="W445" s="276"/>
      <c r="X445" s="276"/>
      <c r="Y445" s="276"/>
      <c r="Z445" s="276"/>
    </row>
    <row r="446" spans="1:26" ht="18.75" customHeight="1">
      <c r="A446" s="276"/>
      <c r="B446" s="276"/>
      <c r="C446" s="276"/>
      <c r="D446" s="276"/>
      <c r="E446" s="276"/>
      <c r="F446" s="276"/>
      <c r="G446" s="276"/>
      <c r="H446" s="276"/>
      <c r="I446" s="276"/>
      <c r="J446" s="276"/>
      <c r="K446" s="276"/>
      <c r="L446" s="276"/>
      <c r="M446" s="276"/>
      <c r="N446" s="276"/>
      <c r="O446" s="276"/>
      <c r="P446" s="276"/>
      <c r="Q446" s="276"/>
      <c r="R446" s="276"/>
      <c r="S446" s="276"/>
      <c r="T446" s="276"/>
      <c r="U446" s="276"/>
      <c r="V446" s="276"/>
      <c r="W446" s="276"/>
      <c r="X446" s="276"/>
      <c r="Y446" s="276"/>
      <c r="Z446" s="276"/>
    </row>
    <row r="447" spans="1:26" ht="18.75" customHeight="1">
      <c r="A447" s="276"/>
      <c r="B447" s="276"/>
      <c r="C447" s="276"/>
      <c r="D447" s="276"/>
      <c r="E447" s="276"/>
      <c r="F447" s="276"/>
      <c r="G447" s="276"/>
      <c r="H447" s="276"/>
      <c r="I447" s="276"/>
      <c r="J447" s="276"/>
      <c r="K447" s="276"/>
      <c r="L447" s="276"/>
      <c r="M447" s="276"/>
      <c r="N447" s="276"/>
      <c r="O447" s="276"/>
      <c r="P447" s="276"/>
      <c r="Q447" s="276"/>
      <c r="R447" s="276"/>
      <c r="S447" s="276"/>
      <c r="T447" s="276"/>
      <c r="U447" s="276"/>
      <c r="V447" s="276"/>
      <c r="W447" s="276"/>
      <c r="X447" s="276"/>
      <c r="Y447" s="276"/>
      <c r="Z447" s="276"/>
    </row>
    <row r="448" spans="1:26" ht="18.75" customHeight="1">
      <c r="A448" s="276"/>
      <c r="B448" s="276"/>
      <c r="C448" s="276"/>
      <c r="D448" s="276"/>
      <c r="E448" s="276"/>
      <c r="F448" s="276"/>
      <c r="G448" s="276"/>
      <c r="H448" s="276"/>
      <c r="I448" s="276"/>
      <c r="J448" s="276"/>
      <c r="K448" s="276"/>
      <c r="L448" s="276"/>
      <c r="M448" s="276"/>
      <c r="N448" s="276"/>
      <c r="O448" s="276"/>
      <c r="P448" s="276"/>
      <c r="Q448" s="276"/>
      <c r="R448" s="276"/>
      <c r="S448" s="276"/>
      <c r="T448" s="276"/>
      <c r="U448" s="276"/>
      <c r="V448" s="276"/>
      <c r="W448" s="276"/>
      <c r="X448" s="276"/>
      <c r="Y448" s="276"/>
      <c r="Z448" s="276"/>
    </row>
    <row r="449" spans="1:26" ht="18.75" customHeight="1">
      <c r="A449" s="276"/>
      <c r="B449" s="276"/>
      <c r="C449" s="276"/>
      <c r="D449" s="276"/>
      <c r="E449" s="276"/>
      <c r="F449" s="276"/>
      <c r="G449" s="276"/>
      <c r="H449" s="276"/>
      <c r="I449" s="276"/>
      <c r="J449" s="276"/>
      <c r="K449" s="276"/>
      <c r="L449" s="276"/>
      <c r="M449" s="276"/>
      <c r="N449" s="276"/>
      <c r="O449" s="276"/>
      <c r="P449" s="276"/>
      <c r="Q449" s="276"/>
      <c r="R449" s="276"/>
      <c r="S449" s="276"/>
      <c r="T449" s="276"/>
      <c r="U449" s="276"/>
      <c r="V449" s="276"/>
      <c r="W449" s="276"/>
      <c r="X449" s="276"/>
      <c r="Y449" s="276"/>
      <c r="Z449" s="276"/>
    </row>
    <row r="450" spans="1:26" ht="18.75" customHeight="1">
      <c r="A450" s="276"/>
      <c r="B450" s="276"/>
      <c r="C450" s="276"/>
      <c r="D450" s="276"/>
      <c r="E450" s="276"/>
      <c r="F450" s="276"/>
      <c r="G450" s="276"/>
      <c r="H450" s="276"/>
      <c r="I450" s="276"/>
      <c r="J450" s="276"/>
      <c r="K450" s="276"/>
      <c r="L450" s="276"/>
      <c r="M450" s="276"/>
      <c r="N450" s="276"/>
      <c r="O450" s="276"/>
      <c r="P450" s="276"/>
      <c r="Q450" s="276"/>
      <c r="R450" s="276"/>
      <c r="S450" s="276"/>
      <c r="T450" s="276"/>
      <c r="U450" s="276"/>
      <c r="V450" s="276"/>
      <c r="W450" s="276"/>
      <c r="X450" s="276"/>
      <c r="Y450" s="276"/>
      <c r="Z450" s="276"/>
    </row>
    <row r="451" spans="1:26" ht="18.75" customHeight="1">
      <c r="A451" s="276"/>
      <c r="B451" s="276"/>
      <c r="C451" s="276"/>
      <c r="D451" s="276"/>
      <c r="E451" s="276"/>
      <c r="F451" s="276"/>
      <c r="G451" s="276"/>
      <c r="H451" s="276"/>
      <c r="I451" s="276"/>
      <c r="J451" s="276"/>
      <c r="K451" s="276"/>
      <c r="L451" s="276"/>
      <c r="M451" s="276"/>
      <c r="N451" s="276"/>
      <c r="O451" s="276"/>
      <c r="P451" s="276"/>
      <c r="Q451" s="276"/>
      <c r="R451" s="276"/>
      <c r="S451" s="276"/>
      <c r="T451" s="276"/>
      <c r="U451" s="276"/>
      <c r="V451" s="276"/>
      <c r="W451" s="276"/>
      <c r="X451" s="276"/>
      <c r="Y451" s="276"/>
      <c r="Z451" s="276"/>
    </row>
    <row r="452" spans="1:26" ht="18.75" customHeight="1">
      <c r="A452" s="276"/>
      <c r="B452" s="276"/>
      <c r="C452" s="276"/>
      <c r="D452" s="276"/>
      <c r="E452" s="276"/>
      <c r="F452" s="276"/>
      <c r="G452" s="276"/>
      <c r="H452" s="276"/>
      <c r="I452" s="276"/>
      <c r="J452" s="276"/>
      <c r="K452" s="276"/>
      <c r="L452" s="276"/>
      <c r="M452" s="276"/>
      <c r="N452" s="276"/>
      <c r="O452" s="276"/>
      <c r="P452" s="276"/>
      <c r="Q452" s="276"/>
      <c r="R452" s="276"/>
      <c r="S452" s="276"/>
      <c r="T452" s="276"/>
      <c r="U452" s="276"/>
      <c r="V452" s="276"/>
      <c r="W452" s="276"/>
      <c r="X452" s="276"/>
      <c r="Y452" s="276"/>
      <c r="Z452" s="276"/>
    </row>
    <row r="453" spans="1:26" ht="18.75" customHeight="1">
      <c r="A453" s="276"/>
      <c r="B453" s="276"/>
      <c r="C453" s="276"/>
      <c r="D453" s="276"/>
      <c r="E453" s="276"/>
      <c r="F453" s="276"/>
      <c r="G453" s="276"/>
      <c r="H453" s="276"/>
      <c r="I453" s="276"/>
      <c r="J453" s="276"/>
      <c r="K453" s="276"/>
      <c r="L453" s="276"/>
      <c r="M453" s="276"/>
      <c r="N453" s="276"/>
      <c r="O453" s="276"/>
      <c r="P453" s="276"/>
      <c r="Q453" s="276"/>
      <c r="R453" s="276"/>
      <c r="S453" s="276"/>
      <c r="T453" s="276"/>
      <c r="U453" s="276"/>
      <c r="V453" s="276"/>
      <c r="W453" s="276"/>
      <c r="X453" s="276"/>
      <c r="Y453" s="276"/>
      <c r="Z453" s="276"/>
    </row>
    <row r="454" spans="1:26" ht="18.75" customHeight="1">
      <c r="A454" s="276"/>
      <c r="B454" s="276"/>
      <c r="C454" s="276"/>
      <c r="D454" s="276"/>
      <c r="E454" s="276"/>
      <c r="F454" s="276"/>
      <c r="G454" s="276"/>
      <c r="H454" s="276"/>
      <c r="I454" s="276"/>
      <c r="J454" s="276"/>
      <c r="K454" s="276"/>
      <c r="L454" s="276"/>
      <c r="M454" s="276"/>
      <c r="N454" s="276"/>
      <c r="O454" s="276"/>
      <c r="P454" s="276"/>
      <c r="Q454" s="276"/>
      <c r="R454" s="276"/>
      <c r="S454" s="276"/>
      <c r="T454" s="276"/>
      <c r="U454" s="276"/>
      <c r="V454" s="276"/>
      <c r="W454" s="276"/>
      <c r="X454" s="276"/>
      <c r="Y454" s="276"/>
      <c r="Z454" s="276"/>
    </row>
    <row r="455" spans="1:26" ht="18.75" customHeight="1">
      <c r="A455" s="276"/>
      <c r="B455" s="276"/>
      <c r="C455" s="276"/>
      <c r="D455" s="276"/>
      <c r="E455" s="276"/>
      <c r="F455" s="276"/>
      <c r="G455" s="276"/>
      <c r="H455" s="276"/>
      <c r="I455" s="276"/>
      <c r="J455" s="276"/>
      <c r="K455" s="276"/>
      <c r="L455" s="276"/>
      <c r="M455" s="276"/>
      <c r="N455" s="276"/>
      <c r="O455" s="276"/>
      <c r="P455" s="276"/>
      <c r="Q455" s="276"/>
      <c r="R455" s="276"/>
      <c r="S455" s="276"/>
      <c r="T455" s="276"/>
      <c r="U455" s="276"/>
      <c r="V455" s="276"/>
      <c r="W455" s="276"/>
      <c r="X455" s="276"/>
      <c r="Y455" s="276"/>
      <c r="Z455" s="276"/>
    </row>
    <row r="456" spans="1:26" ht="18.75" customHeight="1">
      <c r="A456" s="276"/>
      <c r="B456" s="276"/>
      <c r="C456" s="276"/>
      <c r="D456" s="276"/>
      <c r="E456" s="276"/>
      <c r="F456" s="276"/>
      <c r="G456" s="276"/>
      <c r="H456" s="276"/>
      <c r="I456" s="276"/>
      <c r="J456" s="276"/>
      <c r="K456" s="276"/>
      <c r="L456" s="276"/>
      <c r="M456" s="276"/>
      <c r="N456" s="276"/>
      <c r="O456" s="276"/>
      <c r="P456" s="276"/>
      <c r="Q456" s="276"/>
      <c r="R456" s="276"/>
      <c r="S456" s="276"/>
      <c r="T456" s="276"/>
      <c r="U456" s="276"/>
      <c r="V456" s="276"/>
      <c r="W456" s="276"/>
      <c r="X456" s="276"/>
      <c r="Y456" s="276"/>
      <c r="Z456" s="276"/>
    </row>
    <row r="457" spans="1:26" ht="18.75" customHeight="1">
      <c r="A457" s="276"/>
      <c r="B457" s="276"/>
      <c r="C457" s="276"/>
      <c r="D457" s="276"/>
      <c r="E457" s="276"/>
      <c r="F457" s="276"/>
      <c r="G457" s="276"/>
      <c r="H457" s="276"/>
      <c r="I457" s="276"/>
      <c r="J457" s="276"/>
      <c r="K457" s="276"/>
      <c r="L457" s="276"/>
      <c r="M457" s="276"/>
      <c r="N457" s="276"/>
      <c r="O457" s="276"/>
      <c r="P457" s="276"/>
      <c r="Q457" s="276"/>
      <c r="R457" s="276"/>
      <c r="S457" s="276"/>
      <c r="T457" s="276"/>
      <c r="U457" s="276"/>
      <c r="V457" s="276"/>
      <c r="W457" s="276"/>
      <c r="X457" s="276"/>
      <c r="Y457" s="276"/>
      <c r="Z457" s="276"/>
    </row>
    <row r="458" spans="1:26" ht="18.75" customHeight="1">
      <c r="A458" s="276"/>
      <c r="B458" s="276"/>
      <c r="C458" s="276"/>
      <c r="D458" s="276"/>
      <c r="E458" s="276"/>
      <c r="F458" s="276"/>
      <c r="G458" s="276"/>
      <c r="H458" s="276"/>
      <c r="I458" s="276"/>
      <c r="J458" s="276"/>
      <c r="K458" s="276"/>
      <c r="L458" s="276"/>
      <c r="M458" s="276"/>
      <c r="N458" s="276"/>
      <c r="O458" s="276"/>
      <c r="P458" s="276"/>
      <c r="Q458" s="276"/>
      <c r="R458" s="276"/>
      <c r="S458" s="276"/>
      <c r="T458" s="276"/>
      <c r="U458" s="276"/>
      <c r="V458" s="276"/>
      <c r="W458" s="276"/>
      <c r="X458" s="276"/>
      <c r="Y458" s="276"/>
      <c r="Z458" s="276"/>
    </row>
    <row r="459" spans="1:26" ht="18.75" customHeight="1">
      <c r="A459" s="276"/>
      <c r="B459" s="276"/>
      <c r="C459" s="276"/>
      <c r="D459" s="276"/>
      <c r="E459" s="276"/>
      <c r="F459" s="276"/>
      <c r="G459" s="276"/>
      <c r="H459" s="276"/>
      <c r="I459" s="276"/>
      <c r="J459" s="276"/>
      <c r="K459" s="276"/>
      <c r="L459" s="276"/>
      <c r="M459" s="276"/>
      <c r="N459" s="276"/>
      <c r="O459" s="276"/>
      <c r="P459" s="276"/>
      <c r="Q459" s="276"/>
      <c r="R459" s="276"/>
      <c r="S459" s="276"/>
      <c r="T459" s="276"/>
      <c r="U459" s="276"/>
      <c r="V459" s="276"/>
      <c r="W459" s="276"/>
      <c r="X459" s="276"/>
      <c r="Y459" s="276"/>
      <c r="Z459" s="276"/>
    </row>
    <row r="460" spans="1:26" ht="18.75" customHeight="1">
      <c r="A460" s="276"/>
      <c r="B460" s="276"/>
      <c r="C460" s="276"/>
      <c r="D460" s="276"/>
      <c r="E460" s="276"/>
      <c r="F460" s="276"/>
      <c r="G460" s="276"/>
      <c r="H460" s="276"/>
      <c r="I460" s="276"/>
      <c r="J460" s="276"/>
      <c r="K460" s="276"/>
      <c r="L460" s="276"/>
      <c r="M460" s="276"/>
      <c r="N460" s="276"/>
      <c r="O460" s="276"/>
      <c r="P460" s="276"/>
      <c r="Q460" s="276"/>
      <c r="R460" s="276"/>
      <c r="S460" s="276"/>
      <c r="T460" s="276"/>
      <c r="U460" s="276"/>
      <c r="V460" s="276"/>
      <c r="W460" s="276"/>
      <c r="X460" s="276"/>
      <c r="Y460" s="276"/>
      <c r="Z460" s="276"/>
    </row>
    <row r="461" spans="1:26" ht="18.75" customHeight="1">
      <c r="A461" s="276"/>
      <c r="B461" s="276"/>
      <c r="C461" s="276"/>
      <c r="D461" s="276"/>
      <c r="E461" s="276"/>
      <c r="F461" s="276"/>
      <c r="G461" s="276"/>
      <c r="H461" s="276"/>
      <c r="I461" s="276"/>
      <c r="J461" s="276"/>
      <c r="K461" s="276"/>
      <c r="L461" s="276"/>
      <c r="M461" s="276"/>
      <c r="N461" s="276"/>
      <c r="O461" s="276"/>
      <c r="P461" s="276"/>
      <c r="Q461" s="276"/>
      <c r="R461" s="276"/>
      <c r="S461" s="276"/>
      <c r="T461" s="276"/>
      <c r="U461" s="276"/>
      <c r="V461" s="276"/>
      <c r="W461" s="276"/>
      <c r="X461" s="276"/>
      <c r="Y461" s="276"/>
      <c r="Z461" s="276"/>
    </row>
    <row r="462" spans="1:26" ht="18.75" customHeight="1">
      <c r="A462" s="276"/>
      <c r="B462" s="276"/>
      <c r="C462" s="276"/>
      <c r="D462" s="276"/>
      <c r="E462" s="276"/>
      <c r="F462" s="276"/>
      <c r="G462" s="276"/>
      <c r="H462" s="276"/>
      <c r="I462" s="276"/>
      <c r="J462" s="276"/>
      <c r="K462" s="276"/>
      <c r="L462" s="276"/>
      <c r="M462" s="276"/>
      <c r="N462" s="276"/>
      <c r="O462" s="276"/>
      <c r="P462" s="276"/>
      <c r="Q462" s="276"/>
      <c r="R462" s="276"/>
      <c r="S462" s="276"/>
      <c r="T462" s="276"/>
      <c r="U462" s="276"/>
      <c r="V462" s="276"/>
      <c r="W462" s="276"/>
      <c r="X462" s="276"/>
      <c r="Y462" s="276"/>
      <c r="Z462" s="276"/>
    </row>
    <row r="463" spans="1:26" ht="18.75" customHeight="1">
      <c r="A463" s="276"/>
      <c r="B463" s="276"/>
      <c r="C463" s="276"/>
      <c r="D463" s="276"/>
      <c r="E463" s="276"/>
      <c r="F463" s="276"/>
      <c r="G463" s="276"/>
      <c r="H463" s="276"/>
      <c r="I463" s="276"/>
      <c r="J463" s="276"/>
      <c r="K463" s="276"/>
      <c r="L463" s="276"/>
      <c r="M463" s="276"/>
      <c r="N463" s="276"/>
      <c r="O463" s="276"/>
      <c r="P463" s="276"/>
      <c r="Q463" s="276"/>
      <c r="R463" s="276"/>
      <c r="S463" s="276"/>
      <c r="T463" s="276"/>
      <c r="U463" s="276"/>
      <c r="V463" s="276"/>
      <c r="W463" s="276"/>
      <c r="X463" s="276"/>
      <c r="Y463" s="276"/>
      <c r="Z463" s="276"/>
    </row>
    <row r="464" spans="1:26" ht="18.75" customHeight="1">
      <c r="A464" s="276"/>
      <c r="B464" s="276"/>
      <c r="C464" s="276"/>
      <c r="D464" s="276"/>
      <c r="E464" s="276"/>
      <c r="F464" s="276"/>
      <c r="G464" s="276"/>
      <c r="H464" s="276"/>
      <c r="I464" s="276"/>
      <c r="J464" s="276"/>
      <c r="K464" s="276"/>
      <c r="L464" s="276"/>
      <c r="M464" s="276"/>
      <c r="N464" s="276"/>
      <c r="O464" s="276"/>
      <c r="P464" s="276"/>
      <c r="Q464" s="276"/>
      <c r="R464" s="276"/>
      <c r="S464" s="276"/>
      <c r="T464" s="276"/>
      <c r="U464" s="276"/>
      <c r="V464" s="276"/>
      <c r="W464" s="276"/>
      <c r="X464" s="276"/>
      <c r="Y464" s="276"/>
      <c r="Z464" s="276"/>
    </row>
    <row r="465" spans="1:26" ht="18.75" customHeight="1">
      <c r="A465" s="276"/>
      <c r="B465" s="276"/>
      <c r="C465" s="276"/>
      <c r="D465" s="276"/>
      <c r="E465" s="276"/>
      <c r="F465" s="276"/>
      <c r="G465" s="276"/>
      <c r="H465" s="276"/>
      <c r="I465" s="276"/>
      <c r="J465" s="276"/>
      <c r="K465" s="276"/>
      <c r="L465" s="276"/>
      <c r="M465" s="276"/>
      <c r="N465" s="276"/>
      <c r="O465" s="276"/>
      <c r="P465" s="276"/>
      <c r="Q465" s="276"/>
      <c r="R465" s="276"/>
      <c r="S465" s="276"/>
      <c r="T465" s="276"/>
      <c r="U465" s="276"/>
      <c r="V465" s="276"/>
      <c r="W465" s="276"/>
      <c r="X465" s="276"/>
      <c r="Y465" s="276"/>
      <c r="Z465" s="276"/>
    </row>
    <row r="466" spans="1:26" ht="18.75" customHeight="1">
      <c r="A466" s="276"/>
      <c r="B466" s="276"/>
      <c r="C466" s="276"/>
      <c r="D466" s="276"/>
      <c r="E466" s="276"/>
      <c r="F466" s="276"/>
      <c r="G466" s="276"/>
      <c r="H466" s="276"/>
      <c r="I466" s="276"/>
      <c r="J466" s="276"/>
      <c r="K466" s="276"/>
      <c r="L466" s="276"/>
      <c r="M466" s="276"/>
      <c r="N466" s="276"/>
      <c r="O466" s="276"/>
      <c r="P466" s="276"/>
      <c r="Q466" s="276"/>
      <c r="R466" s="276"/>
      <c r="S466" s="276"/>
      <c r="T466" s="276"/>
      <c r="U466" s="276"/>
      <c r="V466" s="276"/>
      <c r="W466" s="276"/>
      <c r="X466" s="276"/>
      <c r="Y466" s="276"/>
      <c r="Z466" s="276"/>
    </row>
    <row r="467" spans="1:26" ht="18.75" customHeight="1">
      <c r="A467" s="276"/>
      <c r="B467" s="276"/>
      <c r="C467" s="276"/>
      <c r="D467" s="276"/>
      <c r="E467" s="276"/>
      <c r="F467" s="276"/>
      <c r="G467" s="276"/>
      <c r="H467" s="276"/>
      <c r="I467" s="276"/>
      <c r="J467" s="276"/>
      <c r="K467" s="276"/>
      <c r="L467" s="276"/>
      <c r="M467" s="276"/>
      <c r="N467" s="276"/>
      <c r="O467" s="276"/>
      <c r="P467" s="276"/>
      <c r="Q467" s="276"/>
      <c r="R467" s="276"/>
      <c r="S467" s="276"/>
      <c r="T467" s="276"/>
      <c r="U467" s="276"/>
      <c r="V467" s="276"/>
      <c r="W467" s="276"/>
      <c r="X467" s="276"/>
      <c r="Y467" s="276"/>
      <c r="Z467" s="276"/>
    </row>
    <row r="468" spans="1:26" ht="18.75" customHeight="1">
      <c r="A468" s="276"/>
      <c r="B468" s="276"/>
      <c r="C468" s="276"/>
      <c r="D468" s="276"/>
      <c r="E468" s="276"/>
      <c r="F468" s="276"/>
      <c r="G468" s="276"/>
      <c r="H468" s="276"/>
      <c r="I468" s="276"/>
      <c r="J468" s="276"/>
      <c r="K468" s="276"/>
      <c r="L468" s="276"/>
      <c r="M468" s="276"/>
      <c r="N468" s="276"/>
      <c r="O468" s="276"/>
      <c r="P468" s="276"/>
      <c r="Q468" s="276"/>
      <c r="R468" s="276"/>
      <c r="S468" s="276"/>
      <c r="T468" s="276"/>
      <c r="U468" s="276"/>
      <c r="V468" s="276"/>
      <c r="W468" s="276"/>
      <c r="X468" s="276"/>
      <c r="Y468" s="276"/>
      <c r="Z468" s="276"/>
    </row>
    <row r="469" spans="1:26" ht="18.75" customHeight="1">
      <c r="A469" s="276"/>
      <c r="B469" s="276"/>
      <c r="C469" s="276"/>
      <c r="D469" s="276"/>
      <c r="E469" s="276"/>
      <c r="F469" s="276"/>
      <c r="G469" s="276"/>
      <c r="H469" s="276"/>
      <c r="I469" s="276"/>
      <c r="J469" s="276"/>
      <c r="K469" s="276"/>
      <c r="L469" s="276"/>
      <c r="M469" s="276"/>
      <c r="N469" s="276"/>
      <c r="O469" s="276"/>
      <c r="P469" s="276"/>
      <c r="Q469" s="276"/>
      <c r="R469" s="276"/>
      <c r="S469" s="276"/>
      <c r="T469" s="276"/>
      <c r="U469" s="276"/>
      <c r="V469" s="276"/>
      <c r="W469" s="276"/>
      <c r="X469" s="276"/>
      <c r="Y469" s="276"/>
      <c r="Z469" s="276"/>
    </row>
    <row r="470" spans="1:26" ht="18.75" customHeight="1">
      <c r="A470" s="276"/>
      <c r="B470" s="276"/>
      <c r="C470" s="276"/>
      <c r="D470" s="276"/>
      <c r="E470" s="276"/>
      <c r="F470" s="276"/>
      <c r="G470" s="276"/>
      <c r="H470" s="276"/>
      <c r="I470" s="276"/>
      <c r="J470" s="276"/>
      <c r="K470" s="276"/>
      <c r="L470" s="276"/>
      <c r="M470" s="276"/>
      <c r="N470" s="276"/>
      <c r="O470" s="276"/>
      <c r="P470" s="276"/>
      <c r="Q470" s="276"/>
      <c r="R470" s="276"/>
      <c r="S470" s="276"/>
      <c r="T470" s="276"/>
      <c r="U470" s="276"/>
      <c r="V470" s="276"/>
      <c r="W470" s="276"/>
      <c r="X470" s="276"/>
      <c r="Y470" s="276"/>
      <c r="Z470" s="276"/>
    </row>
    <row r="471" spans="1:26" ht="18.75" customHeight="1">
      <c r="A471" s="276"/>
      <c r="B471" s="276"/>
      <c r="C471" s="276"/>
      <c r="D471" s="276"/>
      <c r="E471" s="276"/>
      <c r="F471" s="276"/>
      <c r="G471" s="276"/>
      <c r="H471" s="276"/>
      <c r="I471" s="276"/>
      <c r="J471" s="276"/>
      <c r="K471" s="276"/>
      <c r="L471" s="276"/>
      <c r="M471" s="276"/>
      <c r="N471" s="276"/>
      <c r="O471" s="276"/>
      <c r="P471" s="276"/>
      <c r="Q471" s="276"/>
      <c r="R471" s="276"/>
      <c r="S471" s="276"/>
      <c r="T471" s="276"/>
      <c r="U471" s="276"/>
      <c r="V471" s="276"/>
      <c r="W471" s="276"/>
      <c r="X471" s="276"/>
      <c r="Y471" s="276"/>
      <c r="Z471" s="276"/>
    </row>
    <row r="472" spans="1:26" ht="18.75" customHeight="1">
      <c r="A472" s="276"/>
      <c r="B472" s="276"/>
      <c r="C472" s="276"/>
      <c r="D472" s="276"/>
      <c r="E472" s="276"/>
      <c r="F472" s="276"/>
      <c r="G472" s="276"/>
      <c r="H472" s="276"/>
      <c r="I472" s="276"/>
      <c r="J472" s="276"/>
      <c r="K472" s="276"/>
      <c r="L472" s="276"/>
      <c r="M472" s="276"/>
      <c r="N472" s="276"/>
      <c r="O472" s="276"/>
      <c r="P472" s="276"/>
      <c r="Q472" s="276"/>
      <c r="R472" s="276"/>
      <c r="S472" s="276"/>
      <c r="T472" s="276"/>
      <c r="U472" s="276"/>
      <c r="V472" s="276"/>
      <c r="W472" s="276"/>
      <c r="X472" s="276"/>
      <c r="Y472" s="276"/>
      <c r="Z472" s="276"/>
    </row>
    <row r="473" spans="1:26" ht="18.75" customHeight="1">
      <c r="A473" s="276"/>
      <c r="B473" s="276"/>
      <c r="C473" s="276"/>
      <c r="D473" s="276"/>
      <c r="E473" s="276"/>
      <c r="F473" s="276"/>
      <c r="G473" s="276"/>
      <c r="H473" s="276"/>
      <c r="I473" s="276"/>
      <c r="J473" s="276"/>
      <c r="K473" s="276"/>
      <c r="L473" s="276"/>
      <c r="M473" s="276"/>
      <c r="N473" s="276"/>
      <c r="O473" s="276"/>
      <c r="P473" s="276"/>
      <c r="Q473" s="276"/>
      <c r="R473" s="276"/>
      <c r="S473" s="276"/>
      <c r="T473" s="276"/>
      <c r="U473" s="276"/>
      <c r="V473" s="276"/>
      <c r="W473" s="276"/>
      <c r="X473" s="276"/>
      <c r="Y473" s="276"/>
      <c r="Z473" s="276"/>
    </row>
    <row r="474" spans="1:26" ht="18.75" customHeight="1">
      <c r="A474" s="276"/>
      <c r="B474" s="276"/>
      <c r="C474" s="276"/>
      <c r="D474" s="276"/>
      <c r="E474" s="276"/>
      <c r="F474" s="276"/>
      <c r="G474" s="276"/>
      <c r="H474" s="276"/>
      <c r="I474" s="276"/>
      <c r="J474" s="276"/>
      <c r="K474" s="276"/>
      <c r="L474" s="276"/>
      <c r="M474" s="276"/>
      <c r="N474" s="276"/>
      <c r="O474" s="276"/>
      <c r="P474" s="276"/>
      <c r="Q474" s="276"/>
      <c r="R474" s="276"/>
      <c r="S474" s="276"/>
      <c r="T474" s="276"/>
      <c r="U474" s="276"/>
      <c r="V474" s="276"/>
      <c r="W474" s="276"/>
      <c r="X474" s="276"/>
      <c r="Y474" s="276"/>
      <c r="Z474" s="276"/>
    </row>
    <row r="475" spans="1:26" ht="18.75" customHeight="1">
      <c r="A475" s="276"/>
      <c r="B475" s="276"/>
      <c r="C475" s="276"/>
      <c r="D475" s="276"/>
      <c r="E475" s="276"/>
      <c r="F475" s="276"/>
      <c r="G475" s="276"/>
      <c r="H475" s="276"/>
      <c r="I475" s="276"/>
      <c r="J475" s="276"/>
      <c r="K475" s="276"/>
      <c r="L475" s="276"/>
      <c r="M475" s="276"/>
      <c r="N475" s="276"/>
      <c r="O475" s="276"/>
      <c r="P475" s="276"/>
      <c r="Q475" s="276"/>
      <c r="R475" s="276"/>
      <c r="S475" s="276"/>
      <c r="T475" s="276"/>
      <c r="U475" s="276"/>
      <c r="V475" s="276"/>
      <c r="W475" s="276"/>
      <c r="X475" s="276"/>
      <c r="Y475" s="276"/>
      <c r="Z475" s="276"/>
    </row>
    <row r="476" spans="1:26" ht="18.75" customHeight="1">
      <c r="A476" s="276"/>
      <c r="B476" s="276"/>
      <c r="C476" s="276"/>
      <c r="D476" s="276"/>
      <c r="E476" s="276"/>
      <c r="F476" s="276"/>
      <c r="G476" s="276"/>
      <c r="H476" s="276"/>
      <c r="I476" s="276"/>
      <c r="J476" s="276"/>
      <c r="K476" s="276"/>
      <c r="L476" s="276"/>
      <c r="M476" s="276"/>
      <c r="N476" s="276"/>
      <c r="O476" s="276"/>
      <c r="P476" s="276"/>
      <c r="Q476" s="276"/>
      <c r="R476" s="276"/>
      <c r="S476" s="276"/>
      <c r="T476" s="276"/>
      <c r="U476" s="276"/>
      <c r="V476" s="276"/>
      <c r="W476" s="276"/>
      <c r="X476" s="276"/>
      <c r="Y476" s="276"/>
      <c r="Z476" s="276"/>
    </row>
    <row r="477" spans="1:26" ht="18.75" customHeight="1">
      <c r="A477" s="276"/>
      <c r="B477" s="276"/>
      <c r="C477" s="276"/>
      <c r="D477" s="276"/>
      <c r="E477" s="276"/>
      <c r="F477" s="276"/>
      <c r="G477" s="276"/>
      <c r="H477" s="276"/>
      <c r="I477" s="276"/>
      <c r="J477" s="276"/>
      <c r="K477" s="276"/>
      <c r="L477" s="276"/>
      <c r="M477" s="276"/>
      <c r="N477" s="276"/>
      <c r="O477" s="276"/>
      <c r="P477" s="276"/>
      <c r="Q477" s="276"/>
      <c r="R477" s="276"/>
      <c r="S477" s="276"/>
      <c r="T477" s="276"/>
      <c r="U477" s="276"/>
      <c r="V477" s="276"/>
      <c r="W477" s="276"/>
      <c r="X477" s="276"/>
      <c r="Y477" s="276"/>
      <c r="Z477" s="276"/>
    </row>
    <row r="478" spans="1:26" ht="18.75" customHeight="1">
      <c r="A478" s="276"/>
      <c r="B478" s="276"/>
      <c r="C478" s="276"/>
      <c r="D478" s="276"/>
      <c r="E478" s="276"/>
      <c r="F478" s="276"/>
      <c r="G478" s="276"/>
      <c r="H478" s="276"/>
      <c r="I478" s="276"/>
      <c r="J478" s="276"/>
      <c r="K478" s="276"/>
      <c r="L478" s="276"/>
      <c r="M478" s="276"/>
      <c r="N478" s="276"/>
      <c r="O478" s="276"/>
      <c r="P478" s="276"/>
      <c r="Q478" s="276"/>
      <c r="R478" s="276"/>
      <c r="S478" s="276"/>
      <c r="T478" s="276"/>
      <c r="U478" s="276"/>
      <c r="V478" s="276"/>
      <c r="W478" s="276"/>
      <c r="X478" s="276"/>
      <c r="Y478" s="276"/>
      <c r="Z478" s="276"/>
    </row>
    <row r="479" spans="1:26" ht="18.75" customHeight="1">
      <c r="A479" s="276"/>
      <c r="B479" s="276"/>
      <c r="C479" s="276"/>
      <c r="D479" s="276"/>
      <c r="E479" s="276"/>
      <c r="F479" s="276"/>
      <c r="G479" s="276"/>
      <c r="H479" s="276"/>
      <c r="I479" s="276"/>
      <c r="J479" s="276"/>
      <c r="K479" s="276"/>
      <c r="L479" s="276"/>
      <c r="M479" s="276"/>
      <c r="N479" s="276"/>
      <c r="O479" s="276"/>
      <c r="P479" s="276"/>
      <c r="Q479" s="276"/>
      <c r="R479" s="276"/>
      <c r="S479" s="276"/>
      <c r="T479" s="276"/>
      <c r="U479" s="276"/>
      <c r="V479" s="276"/>
      <c r="W479" s="276"/>
      <c r="X479" s="276"/>
      <c r="Y479" s="276"/>
      <c r="Z479" s="276"/>
    </row>
    <row r="480" spans="1:26" ht="18.75" customHeight="1">
      <c r="A480" s="276"/>
      <c r="B480" s="276"/>
      <c r="C480" s="276"/>
      <c r="D480" s="276"/>
      <c r="E480" s="276"/>
      <c r="F480" s="276"/>
      <c r="G480" s="276"/>
      <c r="H480" s="276"/>
      <c r="I480" s="276"/>
      <c r="J480" s="276"/>
      <c r="K480" s="276"/>
      <c r="L480" s="276"/>
      <c r="M480" s="276"/>
      <c r="N480" s="276"/>
      <c r="O480" s="276"/>
      <c r="P480" s="276"/>
      <c r="Q480" s="276"/>
      <c r="R480" s="276"/>
      <c r="S480" s="276"/>
      <c r="T480" s="276"/>
      <c r="U480" s="276"/>
      <c r="V480" s="276"/>
      <c r="W480" s="276"/>
      <c r="X480" s="276"/>
      <c r="Y480" s="276"/>
      <c r="Z480" s="276"/>
    </row>
    <row r="481" spans="1:26" ht="18.75" customHeight="1">
      <c r="A481" s="276"/>
      <c r="B481" s="276"/>
      <c r="C481" s="276"/>
      <c r="D481" s="276"/>
      <c r="E481" s="276"/>
      <c r="F481" s="276"/>
      <c r="G481" s="276"/>
      <c r="H481" s="276"/>
      <c r="I481" s="276"/>
      <c r="J481" s="276"/>
      <c r="K481" s="276"/>
      <c r="L481" s="276"/>
      <c r="M481" s="276"/>
      <c r="N481" s="276"/>
      <c r="O481" s="276"/>
      <c r="P481" s="276"/>
      <c r="Q481" s="276"/>
      <c r="R481" s="276"/>
      <c r="S481" s="276"/>
      <c r="T481" s="276"/>
      <c r="U481" s="276"/>
      <c r="V481" s="276"/>
      <c r="W481" s="276"/>
      <c r="X481" s="276"/>
      <c r="Y481" s="276"/>
      <c r="Z481" s="276"/>
    </row>
    <row r="482" spans="1:26" ht="18.75" customHeight="1">
      <c r="A482" s="276"/>
      <c r="B482" s="276"/>
      <c r="C482" s="276"/>
      <c r="D482" s="276"/>
      <c r="E482" s="276"/>
      <c r="F482" s="276"/>
      <c r="G482" s="276"/>
      <c r="H482" s="276"/>
      <c r="I482" s="276"/>
      <c r="J482" s="276"/>
      <c r="K482" s="276"/>
      <c r="L482" s="276"/>
      <c r="M482" s="276"/>
      <c r="N482" s="276"/>
      <c r="O482" s="276"/>
      <c r="P482" s="276"/>
      <c r="Q482" s="276"/>
      <c r="R482" s="276"/>
      <c r="S482" s="276"/>
      <c r="T482" s="276"/>
      <c r="U482" s="276"/>
      <c r="V482" s="276"/>
      <c r="W482" s="276"/>
      <c r="X482" s="276"/>
      <c r="Y482" s="276"/>
      <c r="Z482" s="276"/>
    </row>
    <row r="483" spans="1:26" ht="18.75" customHeight="1">
      <c r="A483" s="276"/>
      <c r="B483" s="276"/>
      <c r="C483" s="276"/>
      <c r="D483" s="276"/>
      <c r="E483" s="276"/>
      <c r="F483" s="276"/>
      <c r="G483" s="276"/>
      <c r="H483" s="276"/>
      <c r="I483" s="276"/>
      <c r="J483" s="276"/>
      <c r="K483" s="276"/>
      <c r="L483" s="276"/>
      <c r="M483" s="276"/>
      <c r="N483" s="276"/>
      <c r="O483" s="276"/>
      <c r="P483" s="276"/>
      <c r="Q483" s="276"/>
      <c r="R483" s="276"/>
      <c r="S483" s="276"/>
      <c r="T483" s="276"/>
      <c r="U483" s="276"/>
      <c r="V483" s="276"/>
      <c r="W483" s="276"/>
      <c r="X483" s="276"/>
      <c r="Y483" s="276"/>
      <c r="Z483" s="276"/>
    </row>
    <row r="484" spans="1:26" ht="18.75" customHeight="1">
      <c r="A484" s="276"/>
      <c r="B484" s="276"/>
      <c r="C484" s="276"/>
      <c r="D484" s="276"/>
      <c r="E484" s="276"/>
      <c r="F484" s="276"/>
      <c r="G484" s="276"/>
      <c r="H484" s="276"/>
      <c r="I484" s="276"/>
      <c r="J484" s="276"/>
      <c r="K484" s="276"/>
      <c r="L484" s="276"/>
      <c r="M484" s="276"/>
      <c r="N484" s="276"/>
      <c r="O484" s="276"/>
      <c r="P484" s="276"/>
      <c r="Q484" s="276"/>
      <c r="R484" s="276"/>
      <c r="S484" s="276"/>
      <c r="T484" s="276"/>
      <c r="U484" s="276"/>
      <c r="V484" s="276"/>
      <c r="W484" s="276"/>
      <c r="X484" s="276"/>
      <c r="Y484" s="276"/>
      <c r="Z484" s="276"/>
    </row>
    <row r="485" spans="1:26" ht="18.75" customHeight="1">
      <c r="A485" s="276"/>
      <c r="B485" s="276"/>
      <c r="C485" s="276"/>
      <c r="D485" s="276"/>
      <c r="E485" s="276"/>
      <c r="F485" s="276"/>
      <c r="G485" s="276"/>
      <c r="H485" s="276"/>
      <c r="I485" s="276"/>
      <c r="J485" s="276"/>
      <c r="K485" s="276"/>
      <c r="L485" s="276"/>
      <c r="M485" s="276"/>
      <c r="N485" s="276"/>
      <c r="O485" s="276"/>
      <c r="P485" s="276"/>
      <c r="Q485" s="276"/>
      <c r="R485" s="276"/>
      <c r="S485" s="276"/>
      <c r="T485" s="276"/>
      <c r="U485" s="276"/>
      <c r="V485" s="276"/>
      <c r="W485" s="276"/>
      <c r="X485" s="276"/>
      <c r="Y485" s="276"/>
      <c r="Z485" s="276"/>
    </row>
    <row r="486" spans="1:26" ht="18.75" customHeight="1">
      <c r="A486" s="276"/>
      <c r="B486" s="276"/>
      <c r="C486" s="276"/>
      <c r="D486" s="276"/>
      <c r="E486" s="276"/>
      <c r="F486" s="276"/>
      <c r="G486" s="276"/>
      <c r="H486" s="276"/>
      <c r="I486" s="276"/>
      <c r="J486" s="276"/>
      <c r="K486" s="276"/>
      <c r="L486" s="276"/>
      <c r="M486" s="276"/>
      <c r="N486" s="276"/>
      <c r="O486" s="276"/>
      <c r="P486" s="276"/>
      <c r="Q486" s="276"/>
      <c r="R486" s="276"/>
      <c r="S486" s="276"/>
      <c r="T486" s="276"/>
      <c r="U486" s="276"/>
      <c r="V486" s="276"/>
      <c r="W486" s="276"/>
      <c r="X486" s="276"/>
      <c r="Y486" s="276"/>
      <c r="Z486" s="276"/>
    </row>
    <row r="487" spans="1:26" ht="18.75" customHeight="1">
      <c r="A487" s="276"/>
      <c r="B487" s="276"/>
      <c r="C487" s="276"/>
      <c r="D487" s="276"/>
      <c r="E487" s="276"/>
      <c r="F487" s="276"/>
      <c r="G487" s="276"/>
      <c r="H487" s="276"/>
      <c r="I487" s="276"/>
      <c r="J487" s="276"/>
      <c r="K487" s="276"/>
      <c r="L487" s="276"/>
      <c r="M487" s="276"/>
      <c r="N487" s="276"/>
      <c r="O487" s="276"/>
      <c r="P487" s="276"/>
      <c r="Q487" s="276"/>
      <c r="R487" s="276"/>
      <c r="S487" s="276"/>
      <c r="T487" s="276"/>
      <c r="U487" s="276"/>
      <c r="V487" s="276"/>
      <c r="W487" s="276"/>
      <c r="X487" s="276"/>
      <c r="Y487" s="276"/>
      <c r="Z487" s="276"/>
    </row>
    <row r="488" spans="1:26" ht="18.75" customHeight="1">
      <c r="A488" s="276"/>
      <c r="B488" s="276"/>
      <c r="C488" s="276"/>
      <c r="D488" s="276"/>
      <c r="E488" s="276"/>
      <c r="F488" s="276"/>
      <c r="G488" s="276"/>
      <c r="H488" s="276"/>
      <c r="I488" s="276"/>
      <c r="J488" s="276"/>
      <c r="K488" s="276"/>
      <c r="L488" s="276"/>
      <c r="M488" s="276"/>
      <c r="N488" s="276"/>
      <c r="O488" s="276"/>
      <c r="P488" s="276"/>
      <c r="Q488" s="276"/>
      <c r="R488" s="276"/>
      <c r="S488" s="276"/>
      <c r="T488" s="276"/>
      <c r="U488" s="276"/>
      <c r="V488" s="276"/>
      <c r="W488" s="276"/>
      <c r="X488" s="276"/>
      <c r="Y488" s="276"/>
      <c r="Z488" s="276"/>
    </row>
    <row r="489" spans="1:26" ht="18.75" customHeight="1">
      <c r="A489" s="276"/>
      <c r="B489" s="276"/>
      <c r="C489" s="276"/>
      <c r="D489" s="276"/>
      <c r="E489" s="276"/>
      <c r="F489" s="276"/>
      <c r="G489" s="276"/>
      <c r="H489" s="276"/>
      <c r="I489" s="276"/>
      <c r="J489" s="276"/>
      <c r="K489" s="276"/>
      <c r="L489" s="276"/>
      <c r="M489" s="276"/>
      <c r="N489" s="276"/>
      <c r="O489" s="276"/>
      <c r="P489" s="276"/>
      <c r="Q489" s="276"/>
      <c r="R489" s="276"/>
      <c r="S489" s="276"/>
      <c r="T489" s="276"/>
      <c r="U489" s="276"/>
      <c r="V489" s="276"/>
      <c r="W489" s="276"/>
      <c r="X489" s="276"/>
      <c r="Y489" s="276"/>
      <c r="Z489" s="276"/>
    </row>
    <row r="490" spans="1:26" ht="18.75" customHeight="1">
      <c r="A490" s="276"/>
      <c r="B490" s="276"/>
      <c r="C490" s="276"/>
      <c r="D490" s="276"/>
      <c r="E490" s="276"/>
      <c r="F490" s="276"/>
      <c r="G490" s="276"/>
      <c r="H490" s="276"/>
      <c r="I490" s="276"/>
      <c r="J490" s="276"/>
      <c r="K490" s="276"/>
      <c r="L490" s="276"/>
      <c r="M490" s="276"/>
      <c r="N490" s="276"/>
      <c r="O490" s="276"/>
      <c r="P490" s="276"/>
      <c r="Q490" s="276"/>
      <c r="R490" s="276"/>
      <c r="S490" s="276"/>
      <c r="T490" s="276"/>
      <c r="U490" s="276"/>
      <c r="V490" s="276"/>
      <c r="W490" s="276"/>
      <c r="X490" s="276"/>
      <c r="Y490" s="276"/>
      <c r="Z490" s="276"/>
    </row>
    <row r="491" spans="1:26" ht="18.75" customHeight="1">
      <c r="A491" s="276"/>
      <c r="B491" s="276"/>
      <c r="C491" s="276"/>
      <c r="D491" s="276"/>
      <c r="E491" s="276"/>
      <c r="F491" s="276"/>
      <c r="G491" s="276"/>
      <c r="H491" s="276"/>
      <c r="I491" s="276"/>
      <c r="J491" s="276"/>
      <c r="K491" s="276"/>
      <c r="L491" s="276"/>
      <c r="M491" s="276"/>
      <c r="N491" s="276"/>
      <c r="O491" s="276"/>
      <c r="P491" s="276"/>
      <c r="Q491" s="276"/>
      <c r="R491" s="276"/>
      <c r="S491" s="276"/>
      <c r="T491" s="276"/>
      <c r="U491" s="276"/>
      <c r="V491" s="276"/>
      <c r="W491" s="276"/>
      <c r="X491" s="276"/>
      <c r="Y491" s="276"/>
      <c r="Z491" s="276"/>
    </row>
    <row r="492" spans="1:26" ht="18.75" customHeight="1">
      <c r="A492" s="276"/>
      <c r="B492" s="276"/>
      <c r="C492" s="276"/>
      <c r="D492" s="276"/>
      <c r="E492" s="276"/>
      <c r="F492" s="276"/>
      <c r="G492" s="276"/>
      <c r="H492" s="276"/>
      <c r="I492" s="276"/>
      <c r="J492" s="276"/>
      <c r="K492" s="276"/>
      <c r="L492" s="276"/>
      <c r="M492" s="276"/>
      <c r="N492" s="276"/>
      <c r="O492" s="276"/>
      <c r="P492" s="276"/>
      <c r="Q492" s="276"/>
      <c r="R492" s="276"/>
      <c r="S492" s="276"/>
      <c r="T492" s="276"/>
      <c r="U492" s="276"/>
      <c r="V492" s="276"/>
      <c r="W492" s="276"/>
      <c r="X492" s="276"/>
      <c r="Y492" s="276"/>
      <c r="Z492" s="276"/>
    </row>
    <row r="493" spans="1:26" ht="18.75" customHeight="1">
      <c r="A493" s="276"/>
      <c r="B493" s="276"/>
      <c r="C493" s="276"/>
      <c r="D493" s="276"/>
      <c r="E493" s="276"/>
      <c r="F493" s="276"/>
      <c r="G493" s="276"/>
      <c r="H493" s="276"/>
      <c r="I493" s="276"/>
      <c r="J493" s="276"/>
      <c r="K493" s="276"/>
      <c r="L493" s="276"/>
      <c r="M493" s="276"/>
      <c r="N493" s="276"/>
      <c r="O493" s="276"/>
      <c r="P493" s="276"/>
      <c r="Q493" s="276"/>
      <c r="R493" s="276"/>
      <c r="S493" s="276"/>
      <c r="T493" s="276"/>
      <c r="U493" s="276"/>
      <c r="V493" s="276"/>
      <c r="W493" s="276"/>
      <c r="X493" s="276"/>
      <c r="Y493" s="276"/>
      <c r="Z493" s="276"/>
    </row>
    <row r="494" spans="1:26" ht="18.75" customHeight="1">
      <c r="A494" s="276"/>
      <c r="B494" s="276"/>
      <c r="C494" s="276"/>
      <c r="D494" s="276"/>
      <c r="E494" s="276"/>
      <c r="F494" s="276"/>
      <c r="G494" s="276"/>
      <c r="H494" s="276"/>
      <c r="I494" s="276"/>
      <c r="J494" s="276"/>
      <c r="K494" s="276"/>
      <c r="L494" s="276"/>
      <c r="M494" s="276"/>
      <c r="N494" s="276"/>
      <c r="O494" s="276"/>
      <c r="P494" s="276"/>
      <c r="Q494" s="276"/>
      <c r="R494" s="276"/>
      <c r="S494" s="276"/>
      <c r="T494" s="276"/>
      <c r="U494" s="276"/>
      <c r="V494" s="276"/>
      <c r="W494" s="276"/>
      <c r="X494" s="276"/>
      <c r="Y494" s="276"/>
      <c r="Z494" s="276"/>
    </row>
    <row r="495" spans="1:26" ht="18.75" customHeight="1">
      <c r="A495" s="276"/>
      <c r="B495" s="276"/>
      <c r="C495" s="276"/>
      <c r="D495" s="276"/>
      <c r="E495" s="276"/>
      <c r="F495" s="276"/>
      <c r="G495" s="276"/>
      <c r="H495" s="276"/>
      <c r="I495" s="276"/>
      <c r="J495" s="276"/>
      <c r="K495" s="276"/>
      <c r="L495" s="276"/>
      <c r="M495" s="276"/>
      <c r="N495" s="276"/>
      <c r="O495" s="276"/>
      <c r="P495" s="276"/>
      <c r="Q495" s="276"/>
      <c r="R495" s="276"/>
      <c r="S495" s="276"/>
      <c r="T495" s="276"/>
      <c r="U495" s="276"/>
      <c r="V495" s="276"/>
      <c r="W495" s="276"/>
      <c r="X495" s="276"/>
      <c r="Y495" s="276"/>
      <c r="Z495" s="276"/>
    </row>
    <row r="496" spans="1:26" ht="18.75" customHeight="1">
      <c r="A496" s="276"/>
      <c r="B496" s="276"/>
      <c r="C496" s="276"/>
      <c r="D496" s="276"/>
      <c r="E496" s="276"/>
      <c r="F496" s="276"/>
      <c r="G496" s="276"/>
      <c r="H496" s="276"/>
      <c r="I496" s="276"/>
      <c r="J496" s="276"/>
      <c r="K496" s="276"/>
      <c r="L496" s="276"/>
      <c r="M496" s="276"/>
      <c r="N496" s="276"/>
      <c r="O496" s="276"/>
      <c r="P496" s="276"/>
      <c r="Q496" s="276"/>
      <c r="R496" s="276"/>
      <c r="S496" s="276"/>
      <c r="T496" s="276"/>
      <c r="U496" s="276"/>
      <c r="V496" s="276"/>
      <c r="W496" s="276"/>
      <c r="X496" s="276"/>
      <c r="Y496" s="276"/>
      <c r="Z496" s="276"/>
    </row>
    <row r="497" spans="1:26" ht="18.75" customHeight="1">
      <c r="A497" s="276"/>
      <c r="B497" s="276"/>
      <c r="C497" s="276"/>
      <c r="D497" s="276"/>
      <c r="E497" s="276"/>
      <c r="F497" s="276"/>
      <c r="G497" s="276"/>
      <c r="H497" s="276"/>
      <c r="I497" s="276"/>
      <c r="J497" s="276"/>
      <c r="K497" s="276"/>
      <c r="L497" s="276"/>
      <c r="M497" s="276"/>
      <c r="N497" s="276"/>
      <c r="O497" s="276"/>
      <c r="P497" s="276"/>
      <c r="Q497" s="276"/>
      <c r="R497" s="276"/>
      <c r="S497" s="276"/>
      <c r="T497" s="276"/>
      <c r="U497" s="276"/>
      <c r="V497" s="276"/>
      <c r="W497" s="276"/>
      <c r="X497" s="276"/>
      <c r="Y497" s="276"/>
      <c r="Z497" s="276"/>
    </row>
    <row r="498" spans="1:26" ht="18.75" customHeight="1">
      <c r="A498" s="276"/>
      <c r="B498" s="276"/>
      <c r="C498" s="276"/>
      <c r="D498" s="276"/>
      <c r="E498" s="276"/>
      <c r="F498" s="276"/>
      <c r="G498" s="276"/>
      <c r="H498" s="276"/>
      <c r="I498" s="276"/>
      <c r="J498" s="276"/>
      <c r="K498" s="276"/>
      <c r="L498" s="276"/>
      <c r="M498" s="276"/>
      <c r="N498" s="276"/>
      <c r="O498" s="276"/>
      <c r="P498" s="276"/>
      <c r="Q498" s="276"/>
      <c r="R498" s="276"/>
      <c r="S498" s="276"/>
      <c r="T498" s="276"/>
      <c r="U498" s="276"/>
      <c r="V498" s="276"/>
      <c r="W498" s="276"/>
      <c r="X498" s="276"/>
      <c r="Y498" s="276"/>
      <c r="Z498" s="276"/>
    </row>
    <row r="499" spans="1:26" ht="18.75" customHeight="1">
      <c r="A499" s="276"/>
      <c r="B499" s="276"/>
      <c r="C499" s="276"/>
      <c r="D499" s="276"/>
      <c r="E499" s="276"/>
      <c r="F499" s="276"/>
      <c r="G499" s="276"/>
      <c r="H499" s="276"/>
      <c r="I499" s="276"/>
      <c r="J499" s="276"/>
      <c r="K499" s="276"/>
      <c r="L499" s="276"/>
      <c r="M499" s="276"/>
      <c r="N499" s="276"/>
      <c r="O499" s="276"/>
      <c r="P499" s="276"/>
      <c r="Q499" s="276"/>
      <c r="R499" s="276"/>
      <c r="S499" s="276"/>
      <c r="T499" s="276"/>
      <c r="U499" s="276"/>
      <c r="V499" s="276"/>
      <c r="W499" s="276"/>
      <c r="X499" s="276"/>
      <c r="Y499" s="276"/>
      <c r="Z499" s="276"/>
    </row>
    <row r="500" spans="1:26" ht="18.75" customHeight="1">
      <c r="A500" s="276"/>
      <c r="B500" s="276"/>
      <c r="C500" s="276"/>
      <c r="D500" s="276"/>
      <c r="E500" s="276"/>
      <c r="F500" s="276"/>
      <c r="G500" s="276"/>
      <c r="H500" s="276"/>
      <c r="I500" s="276"/>
      <c r="J500" s="276"/>
      <c r="K500" s="276"/>
      <c r="L500" s="276"/>
      <c r="M500" s="276"/>
      <c r="N500" s="276"/>
      <c r="O500" s="276"/>
      <c r="P500" s="276"/>
      <c r="Q500" s="276"/>
      <c r="R500" s="276"/>
      <c r="S500" s="276"/>
      <c r="T500" s="276"/>
      <c r="U500" s="276"/>
      <c r="V500" s="276"/>
      <c r="W500" s="276"/>
      <c r="X500" s="276"/>
      <c r="Y500" s="276"/>
      <c r="Z500" s="276"/>
    </row>
    <row r="501" spans="1:26" ht="18.75" customHeight="1">
      <c r="A501" s="276"/>
      <c r="B501" s="276"/>
      <c r="C501" s="276"/>
      <c r="D501" s="276"/>
      <c r="E501" s="276"/>
      <c r="F501" s="276"/>
      <c r="G501" s="276"/>
      <c r="H501" s="276"/>
      <c r="I501" s="276"/>
      <c r="J501" s="276"/>
      <c r="K501" s="276"/>
      <c r="L501" s="276"/>
      <c r="M501" s="276"/>
      <c r="N501" s="276"/>
      <c r="O501" s="276"/>
      <c r="P501" s="276"/>
      <c r="Q501" s="276"/>
      <c r="R501" s="276"/>
      <c r="S501" s="276"/>
      <c r="T501" s="276"/>
      <c r="U501" s="276"/>
      <c r="V501" s="276"/>
      <c r="W501" s="276"/>
      <c r="X501" s="276"/>
      <c r="Y501" s="276"/>
      <c r="Z501" s="276"/>
    </row>
    <row r="502" spans="1:26" ht="18.75" customHeight="1">
      <c r="A502" s="276"/>
      <c r="B502" s="276"/>
      <c r="C502" s="276"/>
      <c r="D502" s="276"/>
      <c r="E502" s="276"/>
      <c r="F502" s="276"/>
      <c r="G502" s="276"/>
      <c r="H502" s="276"/>
      <c r="I502" s="276"/>
      <c r="J502" s="276"/>
      <c r="K502" s="276"/>
      <c r="L502" s="276"/>
      <c r="M502" s="276"/>
      <c r="N502" s="276"/>
      <c r="O502" s="276"/>
      <c r="P502" s="276"/>
      <c r="Q502" s="276"/>
      <c r="R502" s="276"/>
      <c r="S502" s="276"/>
      <c r="T502" s="276"/>
      <c r="U502" s="276"/>
      <c r="V502" s="276"/>
      <c r="W502" s="276"/>
      <c r="X502" s="276"/>
      <c r="Y502" s="276"/>
      <c r="Z502" s="276"/>
    </row>
    <row r="503" spans="1:26" ht="18.75" customHeight="1">
      <c r="A503" s="276"/>
      <c r="B503" s="276"/>
      <c r="C503" s="276"/>
      <c r="D503" s="276"/>
      <c r="E503" s="276"/>
      <c r="F503" s="276"/>
      <c r="G503" s="276"/>
      <c r="H503" s="276"/>
      <c r="I503" s="276"/>
      <c r="J503" s="276"/>
      <c r="K503" s="276"/>
      <c r="L503" s="276"/>
      <c r="M503" s="276"/>
      <c r="N503" s="276"/>
      <c r="O503" s="276"/>
      <c r="P503" s="276"/>
      <c r="Q503" s="276"/>
      <c r="R503" s="276"/>
      <c r="S503" s="276"/>
      <c r="T503" s="276"/>
      <c r="U503" s="276"/>
      <c r="V503" s="276"/>
      <c r="W503" s="276"/>
      <c r="X503" s="276"/>
      <c r="Y503" s="276"/>
      <c r="Z503" s="276"/>
    </row>
    <row r="504" spans="1:26" ht="18.75" customHeight="1">
      <c r="A504" s="276"/>
      <c r="B504" s="276"/>
      <c r="C504" s="276"/>
      <c r="D504" s="276"/>
      <c r="E504" s="276"/>
      <c r="F504" s="276"/>
      <c r="G504" s="276"/>
      <c r="H504" s="276"/>
      <c r="I504" s="276"/>
      <c r="J504" s="276"/>
      <c r="K504" s="276"/>
      <c r="L504" s="276"/>
      <c r="M504" s="276"/>
      <c r="N504" s="276"/>
      <c r="O504" s="276"/>
      <c r="P504" s="276"/>
      <c r="Q504" s="276"/>
      <c r="R504" s="276"/>
      <c r="S504" s="276"/>
      <c r="T504" s="276"/>
      <c r="U504" s="276"/>
      <c r="V504" s="276"/>
      <c r="W504" s="276"/>
      <c r="X504" s="276"/>
      <c r="Y504" s="276"/>
      <c r="Z504" s="276"/>
    </row>
    <row r="505" spans="1:26" ht="18.75" customHeight="1">
      <c r="A505" s="276"/>
      <c r="B505" s="276"/>
      <c r="C505" s="276"/>
      <c r="D505" s="276"/>
      <c r="E505" s="276"/>
      <c r="F505" s="276"/>
      <c r="G505" s="276"/>
      <c r="H505" s="276"/>
      <c r="I505" s="276"/>
      <c r="J505" s="276"/>
      <c r="K505" s="276"/>
      <c r="L505" s="276"/>
      <c r="M505" s="276"/>
      <c r="N505" s="276"/>
      <c r="O505" s="276"/>
      <c r="P505" s="276"/>
      <c r="Q505" s="276"/>
      <c r="R505" s="276"/>
      <c r="S505" s="276"/>
      <c r="T505" s="276"/>
      <c r="U505" s="276"/>
      <c r="V505" s="276"/>
      <c r="W505" s="276"/>
      <c r="X505" s="276"/>
      <c r="Y505" s="276"/>
      <c r="Z505" s="276"/>
    </row>
    <row r="506" spans="1:26" ht="18.75" customHeight="1">
      <c r="A506" s="276"/>
      <c r="B506" s="276"/>
      <c r="C506" s="276"/>
      <c r="D506" s="276"/>
      <c r="E506" s="276"/>
      <c r="F506" s="276"/>
      <c r="G506" s="276"/>
      <c r="H506" s="276"/>
      <c r="I506" s="276"/>
      <c r="J506" s="276"/>
      <c r="K506" s="276"/>
      <c r="L506" s="276"/>
      <c r="M506" s="276"/>
      <c r="N506" s="276"/>
      <c r="O506" s="276"/>
      <c r="P506" s="276"/>
      <c r="Q506" s="276"/>
      <c r="R506" s="276"/>
      <c r="S506" s="276"/>
      <c r="T506" s="276"/>
      <c r="U506" s="276"/>
      <c r="V506" s="276"/>
      <c r="W506" s="276"/>
      <c r="X506" s="276"/>
      <c r="Y506" s="276"/>
      <c r="Z506" s="276"/>
    </row>
    <row r="507" spans="1:26" ht="18.75" customHeight="1">
      <c r="A507" s="276"/>
      <c r="B507" s="276"/>
      <c r="C507" s="276"/>
      <c r="D507" s="276"/>
      <c r="E507" s="276"/>
      <c r="F507" s="276"/>
      <c r="G507" s="276"/>
      <c r="H507" s="276"/>
      <c r="I507" s="276"/>
      <c r="J507" s="276"/>
      <c r="K507" s="276"/>
      <c r="L507" s="276"/>
      <c r="M507" s="276"/>
      <c r="N507" s="276"/>
      <c r="O507" s="276"/>
      <c r="P507" s="276"/>
      <c r="Q507" s="276"/>
      <c r="R507" s="276"/>
      <c r="S507" s="276"/>
      <c r="T507" s="276"/>
      <c r="U507" s="276"/>
      <c r="V507" s="276"/>
      <c r="W507" s="276"/>
      <c r="X507" s="276"/>
      <c r="Y507" s="276"/>
      <c r="Z507" s="276"/>
    </row>
    <row r="508" spans="1:26" ht="18.75" customHeight="1">
      <c r="A508" s="276"/>
      <c r="B508" s="276"/>
      <c r="C508" s="276"/>
      <c r="D508" s="276"/>
      <c r="E508" s="276"/>
      <c r="F508" s="276"/>
      <c r="G508" s="276"/>
      <c r="H508" s="276"/>
      <c r="I508" s="276"/>
      <c r="J508" s="276"/>
      <c r="K508" s="276"/>
      <c r="L508" s="276"/>
      <c r="M508" s="276"/>
      <c r="N508" s="276"/>
      <c r="O508" s="276"/>
      <c r="P508" s="276"/>
      <c r="Q508" s="276"/>
      <c r="R508" s="276"/>
      <c r="S508" s="276"/>
      <c r="T508" s="276"/>
      <c r="U508" s="276"/>
      <c r="V508" s="276"/>
      <c r="W508" s="276"/>
      <c r="X508" s="276"/>
      <c r="Y508" s="276"/>
      <c r="Z508" s="276"/>
    </row>
    <row r="509" spans="1:26" ht="18.75" customHeight="1">
      <c r="A509" s="276"/>
      <c r="B509" s="276"/>
      <c r="C509" s="276"/>
      <c r="D509" s="276"/>
      <c r="E509" s="276"/>
      <c r="F509" s="276"/>
      <c r="G509" s="276"/>
      <c r="H509" s="276"/>
      <c r="I509" s="276"/>
      <c r="J509" s="276"/>
      <c r="K509" s="276"/>
      <c r="L509" s="276"/>
      <c r="M509" s="276"/>
      <c r="N509" s="276"/>
      <c r="O509" s="276"/>
      <c r="P509" s="276"/>
      <c r="Q509" s="276"/>
      <c r="R509" s="276"/>
      <c r="S509" s="276"/>
      <c r="T509" s="276"/>
      <c r="U509" s="276"/>
      <c r="V509" s="276"/>
      <c r="W509" s="276"/>
      <c r="X509" s="276"/>
      <c r="Y509" s="276"/>
      <c r="Z509" s="276"/>
    </row>
    <row r="510" spans="1:26" ht="18.75" customHeight="1">
      <c r="A510" s="276"/>
      <c r="B510" s="276"/>
      <c r="C510" s="276"/>
      <c r="D510" s="276"/>
      <c r="E510" s="276"/>
      <c r="F510" s="276"/>
      <c r="G510" s="276"/>
      <c r="H510" s="276"/>
      <c r="I510" s="276"/>
      <c r="J510" s="276"/>
      <c r="K510" s="276"/>
      <c r="L510" s="276"/>
      <c r="M510" s="276"/>
      <c r="N510" s="276"/>
      <c r="O510" s="276"/>
      <c r="P510" s="276"/>
      <c r="Q510" s="276"/>
      <c r="R510" s="276"/>
      <c r="S510" s="276"/>
      <c r="T510" s="276"/>
      <c r="U510" s="276"/>
      <c r="V510" s="276"/>
      <c r="W510" s="276"/>
      <c r="X510" s="276"/>
      <c r="Y510" s="276"/>
      <c r="Z510" s="276"/>
    </row>
    <row r="511" spans="1:26" ht="18.75" customHeight="1">
      <c r="A511" s="276"/>
      <c r="B511" s="276"/>
      <c r="C511" s="276"/>
      <c r="D511" s="276"/>
      <c r="E511" s="276"/>
      <c r="F511" s="276"/>
      <c r="G511" s="276"/>
      <c r="H511" s="276"/>
      <c r="I511" s="276"/>
      <c r="J511" s="276"/>
      <c r="K511" s="276"/>
      <c r="L511" s="276"/>
      <c r="M511" s="276"/>
      <c r="N511" s="276"/>
      <c r="O511" s="276"/>
      <c r="P511" s="276"/>
      <c r="Q511" s="276"/>
      <c r="R511" s="276"/>
      <c r="S511" s="276"/>
      <c r="T511" s="276"/>
      <c r="U511" s="276"/>
      <c r="V511" s="276"/>
      <c r="W511" s="276"/>
      <c r="X511" s="276"/>
      <c r="Y511" s="276"/>
      <c r="Z511" s="276"/>
    </row>
    <row r="512" spans="1:26" ht="18.75" customHeight="1">
      <c r="A512" s="276"/>
      <c r="B512" s="276"/>
      <c r="C512" s="276"/>
      <c r="D512" s="276"/>
      <c r="E512" s="276"/>
      <c r="F512" s="276"/>
      <c r="G512" s="276"/>
      <c r="H512" s="276"/>
      <c r="I512" s="276"/>
      <c r="J512" s="276"/>
      <c r="K512" s="276"/>
      <c r="L512" s="276"/>
      <c r="M512" s="276"/>
      <c r="N512" s="276"/>
      <c r="O512" s="276"/>
      <c r="P512" s="276"/>
      <c r="Q512" s="276"/>
      <c r="R512" s="276"/>
      <c r="S512" s="276"/>
      <c r="T512" s="276"/>
      <c r="U512" s="276"/>
      <c r="V512" s="276"/>
      <c r="W512" s="276"/>
      <c r="X512" s="276"/>
      <c r="Y512" s="276"/>
      <c r="Z512" s="276"/>
    </row>
    <row r="513" spans="1:26" ht="18.75" customHeight="1">
      <c r="A513" s="276"/>
      <c r="B513" s="276"/>
      <c r="C513" s="276"/>
      <c r="D513" s="276"/>
      <c r="E513" s="276"/>
      <c r="F513" s="276"/>
      <c r="G513" s="276"/>
      <c r="H513" s="276"/>
      <c r="I513" s="276"/>
      <c r="J513" s="276"/>
      <c r="K513" s="276"/>
      <c r="L513" s="276"/>
      <c r="M513" s="276"/>
      <c r="N513" s="276"/>
      <c r="O513" s="276"/>
      <c r="P513" s="276"/>
      <c r="Q513" s="276"/>
      <c r="R513" s="276"/>
      <c r="S513" s="276"/>
      <c r="T513" s="276"/>
      <c r="U513" s="276"/>
      <c r="V513" s="276"/>
      <c r="W513" s="276"/>
      <c r="X513" s="276"/>
      <c r="Y513" s="276"/>
      <c r="Z513" s="276"/>
    </row>
    <row r="514" spans="1:26" ht="18.75" customHeight="1">
      <c r="A514" s="276"/>
      <c r="B514" s="276"/>
      <c r="C514" s="276"/>
      <c r="D514" s="276"/>
      <c r="E514" s="276"/>
      <c r="F514" s="276"/>
      <c r="G514" s="276"/>
      <c r="H514" s="276"/>
      <c r="I514" s="276"/>
      <c r="J514" s="276"/>
      <c r="K514" s="276"/>
      <c r="L514" s="276"/>
      <c r="M514" s="276"/>
      <c r="N514" s="276"/>
      <c r="O514" s="276"/>
      <c r="P514" s="276"/>
      <c r="Q514" s="276"/>
      <c r="R514" s="276"/>
      <c r="S514" s="276"/>
      <c r="T514" s="276"/>
      <c r="U514" s="276"/>
      <c r="V514" s="276"/>
      <c r="W514" s="276"/>
      <c r="X514" s="276"/>
      <c r="Y514" s="276"/>
      <c r="Z514" s="276"/>
    </row>
    <row r="515" spans="1:26" ht="18.75" customHeight="1">
      <c r="A515" s="276"/>
      <c r="B515" s="276"/>
      <c r="C515" s="276"/>
      <c r="D515" s="276"/>
      <c r="E515" s="276"/>
      <c r="F515" s="276"/>
      <c r="G515" s="276"/>
      <c r="H515" s="276"/>
      <c r="I515" s="276"/>
      <c r="J515" s="276"/>
      <c r="K515" s="276"/>
      <c r="L515" s="276"/>
      <c r="M515" s="276"/>
      <c r="N515" s="276"/>
      <c r="O515" s="276"/>
      <c r="P515" s="276"/>
      <c r="Q515" s="276"/>
      <c r="R515" s="276"/>
      <c r="S515" s="276"/>
      <c r="T515" s="276"/>
      <c r="U515" s="276"/>
      <c r="V515" s="276"/>
      <c r="W515" s="276"/>
      <c r="X515" s="276"/>
      <c r="Y515" s="276"/>
      <c r="Z515" s="276"/>
    </row>
    <row r="516" spans="1:26" ht="18.75" customHeight="1">
      <c r="A516" s="276"/>
      <c r="B516" s="276"/>
      <c r="C516" s="276"/>
      <c r="D516" s="276"/>
      <c r="E516" s="276"/>
      <c r="F516" s="276"/>
      <c r="G516" s="276"/>
      <c r="H516" s="276"/>
      <c r="I516" s="276"/>
      <c r="J516" s="276"/>
      <c r="K516" s="276"/>
      <c r="L516" s="276"/>
      <c r="M516" s="276"/>
      <c r="N516" s="276"/>
      <c r="O516" s="276"/>
      <c r="P516" s="276"/>
      <c r="Q516" s="276"/>
      <c r="R516" s="276"/>
      <c r="S516" s="276"/>
      <c r="T516" s="276"/>
      <c r="U516" s="276"/>
      <c r="V516" s="276"/>
      <c r="W516" s="276"/>
      <c r="X516" s="276"/>
      <c r="Y516" s="276"/>
      <c r="Z516" s="276"/>
    </row>
    <row r="517" spans="1:26" ht="18.75" customHeight="1">
      <c r="A517" s="276"/>
      <c r="B517" s="276"/>
      <c r="C517" s="276"/>
      <c r="D517" s="276"/>
      <c r="E517" s="276"/>
      <c r="F517" s="276"/>
      <c r="G517" s="276"/>
      <c r="H517" s="276"/>
      <c r="I517" s="276"/>
      <c r="J517" s="276"/>
      <c r="K517" s="276"/>
      <c r="L517" s="276"/>
      <c r="M517" s="276"/>
      <c r="N517" s="276"/>
      <c r="O517" s="276"/>
      <c r="P517" s="276"/>
      <c r="Q517" s="276"/>
      <c r="R517" s="276"/>
      <c r="S517" s="276"/>
      <c r="T517" s="276"/>
      <c r="U517" s="276"/>
      <c r="V517" s="276"/>
      <c r="W517" s="276"/>
      <c r="X517" s="276"/>
      <c r="Y517" s="276"/>
      <c r="Z517" s="276"/>
    </row>
    <row r="518" spans="1:26" ht="18.75" customHeight="1">
      <c r="A518" s="276"/>
      <c r="B518" s="276"/>
      <c r="C518" s="276"/>
      <c r="D518" s="276"/>
      <c r="E518" s="276"/>
      <c r="F518" s="276"/>
      <c r="G518" s="276"/>
      <c r="H518" s="276"/>
      <c r="I518" s="276"/>
      <c r="J518" s="276"/>
      <c r="K518" s="276"/>
      <c r="L518" s="276"/>
      <c r="M518" s="276"/>
      <c r="N518" s="276"/>
      <c r="O518" s="276"/>
      <c r="P518" s="276"/>
      <c r="Q518" s="276"/>
      <c r="R518" s="276"/>
      <c r="S518" s="276"/>
      <c r="T518" s="276"/>
      <c r="U518" s="276"/>
      <c r="V518" s="276"/>
      <c r="W518" s="276"/>
      <c r="X518" s="276"/>
      <c r="Y518" s="276"/>
      <c r="Z518" s="276"/>
    </row>
    <row r="519" spans="1:26" ht="18.75" customHeight="1">
      <c r="A519" s="276"/>
      <c r="B519" s="276"/>
      <c r="C519" s="276"/>
      <c r="D519" s="276"/>
      <c r="E519" s="276"/>
      <c r="F519" s="276"/>
      <c r="G519" s="276"/>
      <c r="H519" s="276"/>
      <c r="I519" s="276"/>
      <c r="J519" s="276"/>
      <c r="K519" s="276"/>
      <c r="L519" s="276"/>
      <c r="M519" s="276"/>
      <c r="N519" s="276"/>
      <c r="O519" s="276"/>
      <c r="P519" s="276"/>
      <c r="Q519" s="276"/>
      <c r="R519" s="276"/>
      <c r="S519" s="276"/>
      <c r="T519" s="276"/>
      <c r="U519" s="276"/>
      <c r="V519" s="276"/>
      <c r="W519" s="276"/>
      <c r="X519" s="276"/>
      <c r="Y519" s="276"/>
      <c r="Z519" s="276"/>
    </row>
    <row r="520" spans="1:26" ht="18.75" customHeight="1">
      <c r="A520" s="276"/>
      <c r="B520" s="276"/>
      <c r="C520" s="276"/>
      <c r="D520" s="276"/>
      <c r="E520" s="276"/>
      <c r="F520" s="276"/>
      <c r="G520" s="276"/>
      <c r="H520" s="276"/>
      <c r="I520" s="276"/>
      <c r="J520" s="276"/>
      <c r="K520" s="276"/>
      <c r="L520" s="276"/>
      <c r="M520" s="276"/>
      <c r="N520" s="276"/>
      <c r="O520" s="276"/>
      <c r="P520" s="276"/>
      <c r="Q520" s="276"/>
      <c r="R520" s="276"/>
      <c r="S520" s="276"/>
      <c r="T520" s="276"/>
      <c r="U520" s="276"/>
      <c r="V520" s="276"/>
      <c r="W520" s="276"/>
      <c r="X520" s="276"/>
      <c r="Y520" s="276"/>
      <c r="Z520" s="276"/>
    </row>
    <row r="521" spans="1:26" ht="18.75" customHeight="1">
      <c r="A521" s="276"/>
      <c r="B521" s="276"/>
      <c r="C521" s="276"/>
      <c r="D521" s="276"/>
      <c r="E521" s="276"/>
      <c r="F521" s="276"/>
      <c r="G521" s="276"/>
      <c r="H521" s="276"/>
      <c r="I521" s="276"/>
      <c r="J521" s="276"/>
      <c r="K521" s="276"/>
      <c r="L521" s="276"/>
      <c r="M521" s="276"/>
      <c r="N521" s="276"/>
      <c r="O521" s="276"/>
      <c r="P521" s="276"/>
      <c r="Q521" s="276"/>
      <c r="R521" s="276"/>
      <c r="S521" s="276"/>
      <c r="T521" s="276"/>
      <c r="U521" s="276"/>
      <c r="V521" s="276"/>
      <c r="W521" s="276"/>
      <c r="X521" s="276"/>
      <c r="Y521" s="276"/>
      <c r="Z521" s="276"/>
    </row>
    <row r="522" spans="1:26" ht="18.75" customHeight="1">
      <c r="A522" s="276"/>
      <c r="B522" s="276"/>
      <c r="C522" s="276"/>
      <c r="D522" s="276"/>
      <c r="E522" s="276"/>
      <c r="F522" s="276"/>
      <c r="G522" s="276"/>
      <c r="H522" s="276"/>
      <c r="I522" s="276"/>
      <c r="J522" s="276"/>
      <c r="K522" s="276"/>
      <c r="L522" s="276"/>
      <c r="M522" s="276"/>
      <c r="N522" s="276"/>
      <c r="O522" s="276"/>
      <c r="P522" s="276"/>
      <c r="Q522" s="276"/>
      <c r="R522" s="276"/>
      <c r="S522" s="276"/>
      <c r="T522" s="276"/>
      <c r="U522" s="276"/>
      <c r="V522" s="276"/>
      <c r="W522" s="276"/>
      <c r="X522" s="276"/>
      <c r="Y522" s="276"/>
      <c r="Z522" s="276"/>
    </row>
    <row r="523" spans="1:26" ht="18.75" customHeight="1">
      <c r="A523" s="276"/>
      <c r="B523" s="276"/>
      <c r="C523" s="276"/>
      <c r="D523" s="276"/>
      <c r="E523" s="276"/>
      <c r="F523" s="276"/>
      <c r="G523" s="276"/>
      <c r="H523" s="276"/>
      <c r="I523" s="276"/>
      <c r="J523" s="276"/>
      <c r="K523" s="276"/>
      <c r="L523" s="276"/>
      <c r="M523" s="276"/>
      <c r="N523" s="276"/>
      <c r="O523" s="276"/>
      <c r="P523" s="276"/>
      <c r="Q523" s="276"/>
      <c r="R523" s="276"/>
      <c r="S523" s="276"/>
      <c r="T523" s="276"/>
      <c r="U523" s="276"/>
      <c r="V523" s="276"/>
      <c r="W523" s="276"/>
      <c r="X523" s="276"/>
      <c r="Y523" s="276"/>
      <c r="Z523" s="276"/>
    </row>
    <row r="524" spans="1:26" ht="18.75" customHeight="1">
      <c r="A524" s="276"/>
      <c r="B524" s="276"/>
      <c r="C524" s="276"/>
      <c r="D524" s="276"/>
      <c r="E524" s="276"/>
      <c r="F524" s="276"/>
      <c r="G524" s="276"/>
      <c r="H524" s="276"/>
      <c r="I524" s="276"/>
      <c r="J524" s="276"/>
      <c r="K524" s="276"/>
      <c r="L524" s="276"/>
      <c r="M524" s="276"/>
      <c r="N524" s="276"/>
      <c r="O524" s="276"/>
      <c r="P524" s="276"/>
      <c r="Q524" s="276"/>
      <c r="R524" s="276"/>
      <c r="S524" s="276"/>
      <c r="T524" s="276"/>
      <c r="U524" s="276"/>
      <c r="V524" s="276"/>
      <c r="W524" s="276"/>
      <c r="X524" s="276"/>
      <c r="Y524" s="276"/>
      <c r="Z524" s="276"/>
    </row>
    <row r="525" spans="1:26" ht="18.75" customHeight="1">
      <c r="A525" s="276"/>
      <c r="B525" s="276"/>
      <c r="C525" s="276"/>
      <c r="D525" s="276"/>
      <c r="E525" s="276"/>
      <c r="F525" s="276"/>
      <c r="G525" s="276"/>
      <c r="H525" s="276"/>
      <c r="I525" s="276"/>
      <c r="J525" s="276"/>
      <c r="K525" s="276"/>
      <c r="L525" s="276"/>
      <c r="M525" s="276"/>
      <c r="N525" s="276"/>
      <c r="O525" s="276"/>
      <c r="P525" s="276"/>
      <c r="Q525" s="276"/>
      <c r="R525" s="276"/>
      <c r="S525" s="276"/>
      <c r="T525" s="276"/>
      <c r="U525" s="276"/>
      <c r="V525" s="276"/>
      <c r="W525" s="276"/>
      <c r="X525" s="276"/>
      <c r="Y525" s="276"/>
      <c r="Z525" s="276"/>
    </row>
    <row r="526" spans="1:26" ht="18.75" customHeight="1">
      <c r="A526" s="276"/>
      <c r="B526" s="276"/>
      <c r="C526" s="276"/>
      <c r="D526" s="276"/>
      <c r="E526" s="276"/>
      <c r="F526" s="276"/>
      <c r="G526" s="276"/>
      <c r="H526" s="276"/>
      <c r="I526" s="276"/>
      <c r="J526" s="276"/>
      <c r="K526" s="276"/>
      <c r="L526" s="276"/>
      <c r="M526" s="276"/>
      <c r="N526" s="276"/>
      <c r="O526" s="276"/>
      <c r="P526" s="276"/>
      <c r="Q526" s="276"/>
      <c r="R526" s="276"/>
      <c r="S526" s="276"/>
      <c r="T526" s="276"/>
      <c r="U526" s="276"/>
      <c r="V526" s="276"/>
      <c r="W526" s="276"/>
      <c r="X526" s="276"/>
      <c r="Y526" s="276"/>
      <c r="Z526" s="276"/>
    </row>
    <row r="527" spans="1:26" ht="18.75" customHeight="1">
      <c r="A527" s="276"/>
      <c r="B527" s="276"/>
      <c r="C527" s="276"/>
      <c r="D527" s="276"/>
      <c r="E527" s="276"/>
      <c r="F527" s="276"/>
      <c r="G527" s="276"/>
      <c r="H527" s="276"/>
      <c r="I527" s="276"/>
      <c r="J527" s="276"/>
      <c r="K527" s="276"/>
      <c r="L527" s="276"/>
      <c r="M527" s="276"/>
      <c r="N527" s="276"/>
      <c r="O527" s="276"/>
      <c r="P527" s="276"/>
      <c r="Q527" s="276"/>
      <c r="R527" s="276"/>
      <c r="S527" s="276"/>
      <c r="T527" s="276"/>
      <c r="U527" s="276"/>
      <c r="V527" s="276"/>
      <c r="W527" s="276"/>
      <c r="X527" s="276"/>
      <c r="Y527" s="276"/>
      <c r="Z527" s="276"/>
    </row>
    <row r="528" spans="1:26" ht="18.75" customHeight="1">
      <c r="A528" s="276"/>
      <c r="B528" s="276"/>
      <c r="C528" s="276"/>
      <c r="D528" s="276"/>
      <c r="E528" s="276"/>
      <c r="F528" s="276"/>
      <c r="G528" s="276"/>
      <c r="H528" s="276"/>
      <c r="I528" s="276"/>
      <c r="J528" s="276"/>
      <c r="K528" s="276"/>
      <c r="L528" s="276"/>
      <c r="M528" s="276"/>
      <c r="N528" s="276"/>
      <c r="O528" s="276"/>
      <c r="P528" s="276"/>
      <c r="Q528" s="276"/>
      <c r="R528" s="276"/>
      <c r="S528" s="276"/>
      <c r="T528" s="276"/>
      <c r="U528" s="276"/>
      <c r="V528" s="276"/>
      <c r="W528" s="276"/>
      <c r="X528" s="276"/>
      <c r="Y528" s="276"/>
      <c r="Z528" s="276"/>
    </row>
    <row r="529" spans="1:26" ht="18.75" customHeight="1">
      <c r="A529" s="276"/>
      <c r="B529" s="276"/>
      <c r="C529" s="276"/>
      <c r="D529" s="276"/>
      <c r="E529" s="276"/>
      <c r="F529" s="276"/>
      <c r="G529" s="276"/>
      <c r="H529" s="276"/>
      <c r="I529" s="276"/>
      <c r="J529" s="276"/>
      <c r="K529" s="276"/>
      <c r="L529" s="276"/>
      <c r="M529" s="276"/>
      <c r="N529" s="276"/>
      <c r="O529" s="276"/>
      <c r="P529" s="276"/>
      <c r="Q529" s="276"/>
      <c r="R529" s="276"/>
      <c r="S529" s="276"/>
      <c r="T529" s="276"/>
      <c r="U529" s="276"/>
      <c r="V529" s="276"/>
      <c r="W529" s="276"/>
      <c r="X529" s="276"/>
      <c r="Y529" s="276"/>
      <c r="Z529" s="276"/>
    </row>
    <row r="530" spans="1:26" ht="18.75" customHeight="1">
      <c r="A530" s="276"/>
      <c r="B530" s="276"/>
      <c r="C530" s="276"/>
      <c r="D530" s="276"/>
      <c r="E530" s="276"/>
      <c r="F530" s="276"/>
      <c r="G530" s="276"/>
      <c r="H530" s="276"/>
      <c r="I530" s="276"/>
      <c r="J530" s="276"/>
      <c r="K530" s="276"/>
      <c r="L530" s="276"/>
      <c r="M530" s="276"/>
      <c r="N530" s="276"/>
      <c r="O530" s="276"/>
      <c r="P530" s="276"/>
      <c r="Q530" s="276"/>
      <c r="R530" s="276"/>
      <c r="S530" s="276"/>
      <c r="T530" s="276"/>
      <c r="U530" s="276"/>
      <c r="V530" s="276"/>
      <c r="W530" s="276"/>
      <c r="X530" s="276"/>
      <c r="Y530" s="276"/>
      <c r="Z530" s="276"/>
    </row>
    <row r="531" spans="1:26" ht="18.75" customHeight="1">
      <c r="A531" s="276"/>
      <c r="B531" s="276"/>
      <c r="C531" s="276"/>
      <c r="D531" s="276"/>
      <c r="E531" s="276"/>
      <c r="F531" s="276"/>
      <c r="G531" s="276"/>
      <c r="H531" s="276"/>
      <c r="I531" s="276"/>
      <c r="J531" s="276"/>
      <c r="K531" s="276"/>
      <c r="L531" s="276"/>
      <c r="M531" s="276"/>
      <c r="N531" s="276"/>
      <c r="O531" s="276"/>
      <c r="P531" s="276"/>
      <c r="Q531" s="276"/>
      <c r="R531" s="276"/>
      <c r="S531" s="276"/>
      <c r="T531" s="276"/>
      <c r="U531" s="276"/>
      <c r="V531" s="276"/>
      <c r="W531" s="276"/>
      <c r="X531" s="276"/>
      <c r="Y531" s="276"/>
      <c r="Z531" s="276"/>
    </row>
    <row r="532" spans="1:26" ht="18.75" customHeight="1">
      <c r="A532" s="276"/>
      <c r="B532" s="276"/>
      <c r="C532" s="276"/>
      <c r="D532" s="276"/>
      <c r="E532" s="276"/>
      <c r="F532" s="276"/>
      <c r="G532" s="276"/>
      <c r="H532" s="276"/>
      <c r="I532" s="276"/>
      <c r="J532" s="276"/>
      <c r="K532" s="276"/>
      <c r="L532" s="276"/>
      <c r="M532" s="276"/>
      <c r="N532" s="276"/>
      <c r="O532" s="276"/>
      <c r="P532" s="276"/>
      <c r="Q532" s="276"/>
      <c r="R532" s="276"/>
      <c r="S532" s="276"/>
      <c r="T532" s="276"/>
      <c r="U532" s="276"/>
      <c r="V532" s="276"/>
      <c r="W532" s="276"/>
      <c r="X532" s="276"/>
      <c r="Y532" s="276"/>
      <c r="Z532" s="276"/>
    </row>
    <row r="533" spans="1:26" ht="18.75" customHeight="1">
      <c r="A533" s="276"/>
      <c r="B533" s="276"/>
      <c r="C533" s="276"/>
      <c r="D533" s="276"/>
      <c r="E533" s="276"/>
      <c r="F533" s="276"/>
      <c r="G533" s="276"/>
      <c r="H533" s="276"/>
      <c r="I533" s="276"/>
      <c r="J533" s="276"/>
      <c r="K533" s="276"/>
      <c r="L533" s="276"/>
      <c r="M533" s="276"/>
      <c r="N533" s="276"/>
      <c r="O533" s="276"/>
      <c r="P533" s="276"/>
      <c r="Q533" s="276"/>
      <c r="R533" s="276"/>
      <c r="S533" s="276"/>
      <c r="T533" s="276"/>
      <c r="U533" s="276"/>
      <c r="V533" s="276"/>
      <c r="W533" s="276"/>
      <c r="X533" s="276"/>
      <c r="Y533" s="276"/>
      <c r="Z533" s="276"/>
    </row>
    <row r="534" spans="1:26" ht="18.75" customHeight="1">
      <c r="A534" s="276"/>
      <c r="B534" s="276"/>
      <c r="C534" s="276"/>
      <c r="D534" s="276"/>
      <c r="E534" s="276"/>
      <c r="F534" s="276"/>
      <c r="G534" s="276"/>
      <c r="H534" s="276"/>
      <c r="I534" s="276"/>
      <c r="J534" s="276"/>
      <c r="K534" s="276"/>
      <c r="L534" s="276"/>
      <c r="M534" s="276"/>
      <c r="N534" s="276"/>
      <c r="O534" s="276"/>
      <c r="P534" s="276"/>
      <c r="Q534" s="276"/>
      <c r="R534" s="276"/>
      <c r="S534" s="276"/>
      <c r="T534" s="276"/>
      <c r="U534" s="276"/>
      <c r="V534" s="276"/>
      <c r="W534" s="276"/>
      <c r="X534" s="276"/>
      <c r="Y534" s="276"/>
      <c r="Z534" s="276"/>
    </row>
    <row r="535" spans="1:26" ht="18.75" customHeight="1">
      <c r="A535" s="276"/>
      <c r="B535" s="276"/>
      <c r="C535" s="276"/>
      <c r="D535" s="276"/>
      <c r="E535" s="276"/>
      <c r="F535" s="276"/>
      <c r="G535" s="276"/>
      <c r="H535" s="276"/>
      <c r="I535" s="276"/>
      <c r="J535" s="276"/>
      <c r="K535" s="276"/>
      <c r="L535" s="276"/>
      <c r="M535" s="276"/>
      <c r="N535" s="276"/>
      <c r="O535" s="276"/>
      <c r="P535" s="276"/>
      <c r="Q535" s="276"/>
      <c r="R535" s="276"/>
      <c r="S535" s="276"/>
      <c r="T535" s="276"/>
      <c r="U535" s="276"/>
      <c r="V535" s="276"/>
      <c r="W535" s="276"/>
      <c r="X535" s="276"/>
      <c r="Y535" s="276"/>
      <c r="Z535" s="276"/>
    </row>
    <row r="536" spans="1:26" ht="18.75" customHeight="1">
      <c r="A536" s="276"/>
      <c r="B536" s="276"/>
      <c r="C536" s="276"/>
      <c r="D536" s="276"/>
      <c r="E536" s="276"/>
      <c r="F536" s="276"/>
      <c r="G536" s="276"/>
      <c r="H536" s="276"/>
      <c r="I536" s="276"/>
      <c r="J536" s="276"/>
      <c r="K536" s="276"/>
      <c r="L536" s="276"/>
      <c r="M536" s="276"/>
      <c r="N536" s="276"/>
      <c r="O536" s="276"/>
      <c r="P536" s="276"/>
      <c r="Q536" s="276"/>
      <c r="R536" s="276"/>
      <c r="S536" s="276"/>
      <c r="T536" s="276"/>
      <c r="U536" s="276"/>
      <c r="V536" s="276"/>
      <c r="W536" s="276"/>
      <c r="X536" s="276"/>
      <c r="Y536" s="276"/>
      <c r="Z536" s="276"/>
    </row>
    <row r="537" spans="1:26" ht="18.75" customHeight="1">
      <c r="A537" s="276"/>
      <c r="B537" s="276"/>
      <c r="C537" s="276"/>
      <c r="D537" s="276"/>
      <c r="E537" s="276"/>
      <c r="F537" s="276"/>
      <c r="G537" s="276"/>
      <c r="H537" s="276"/>
      <c r="I537" s="276"/>
      <c r="J537" s="276"/>
      <c r="K537" s="276"/>
      <c r="L537" s="276"/>
      <c r="M537" s="276"/>
      <c r="N537" s="276"/>
      <c r="O537" s="276"/>
      <c r="P537" s="276"/>
      <c r="Q537" s="276"/>
      <c r="R537" s="276"/>
      <c r="S537" s="276"/>
      <c r="T537" s="276"/>
      <c r="U537" s="276"/>
      <c r="V537" s="276"/>
      <c r="W537" s="276"/>
      <c r="X537" s="276"/>
      <c r="Y537" s="276"/>
      <c r="Z537" s="276"/>
    </row>
    <row r="538" spans="1:26" ht="18.75" customHeight="1">
      <c r="A538" s="276"/>
      <c r="B538" s="276"/>
      <c r="C538" s="276"/>
      <c r="D538" s="276"/>
      <c r="E538" s="276"/>
      <c r="F538" s="276"/>
      <c r="G538" s="276"/>
      <c r="H538" s="276"/>
      <c r="I538" s="276"/>
      <c r="J538" s="276"/>
      <c r="K538" s="276"/>
      <c r="L538" s="276"/>
      <c r="M538" s="276"/>
      <c r="N538" s="276"/>
      <c r="O538" s="276"/>
      <c r="P538" s="276"/>
      <c r="Q538" s="276"/>
      <c r="R538" s="276"/>
      <c r="S538" s="276"/>
      <c r="T538" s="276"/>
      <c r="U538" s="276"/>
      <c r="V538" s="276"/>
      <c r="W538" s="276"/>
      <c r="X538" s="276"/>
      <c r="Y538" s="276"/>
      <c r="Z538" s="276"/>
    </row>
    <row r="539" spans="1:26" ht="18.75" customHeight="1">
      <c r="A539" s="276"/>
      <c r="B539" s="276"/>
      <c r="C539" s="276"/>
      <c r="D539" s="276"/>
      <c r="E539" s="276"/>
      <c r="F539" s="276"/>
      <c r="G539" s="276"/>
      <c r="H539" s="276"/>
      <c r="I539" s="276"/>
      <c r="J539" s="276"/>
      <c r="K539" s="276"/>
      <c r="L539" s="276"/>
      <c r="M539" s="276"/>
      <c r="N539" s="276"/>
      <c r="O539" s="276"/>
      <c r="P539" s="276"/>
      <c r="Q539" s="276"/>
      <c r="R539" s="276"/>
      <c r="S539" s="276"/>
      <c r="T539" s="276"/>
      <c r="U539" s="276"/>
      <c r="V539" s="276"/>
      <c r="W539" s="276"/>
      <c r="X539" s="276"/>
      <c r="Y539" s="276"/>
      <c r="Z539" s="276"/>
    </row>
    <row r="540" spans="1:26" ht="18.75" customHeight="1">
      <c r="A540" s="276"/>
      <c r="B540" s="276"/>
      <c r="C540" s="276"/>
      <c r="D540" s="276"/>
      <c r="E540" s="276"/>
      <c r="F540" s="276"/>
      <c r="G540" s="276"/>
      <c r="H540" s="276"/>
      <c r="I540" s="276"/>
      <c r="J540" s="276"/>
      <c r="K540" s="276"/>
      <c r="L540" s="276"/>
      <c r="M540" s="276"/>
      <c r="N540" s="276"/>
      <c r="O540" s="276"/>
      <c r="P540" s="276"/>
      <c r="Q540" s="276"/>
      <c r="R540" s="276"/>
      <c r="S540" s="276"/>
      <c r="T540" s="276"/>
      <c r="U540" s="276"/>
      <c r="V540" s="276"/>
      <c r="W540" s="276"/>
      <c r="X540" s="276"/>
      <c r="Y540" s="276"/>
      <c r="Z540" s="276"/>
    </row>
    <row r="541" spans="1:26" ht="18.75" customHeight="1">
      <c r="A541" s="276"/>
      <c r="B541" s="276"/>
      <c r="C541" s="276"/>
      <c r="D541" s="276"/>
      <c r="E541" s="276"/>
      <c r="F541" s="276"/>
      <c r="G541" s="276"/>
      <c r="H541" s="276"/>
      <c r="I541" s="276"/>
      <c r="J541" s="276"/>
      <c r="K541" s="276"/>
      <c r="L541" s="276"/>
      <c r="M541" s="276"/>
      <c r="N541" s="276"/>
      <c r="O541" s="276"/>
      <c r="P541" s="276"/>
      <c r="Q541" s="276"/>
      <c r="R541" s="276"/>
      <c r="S541" s="276"/>
      <c r="T541" s="276"/>
      <c r="U541" s="276"/>
      <c r="V541" s="276"/>
      <c r="W541" s="276"/>
      <c r="X541" s="276"/>
      <c r="Y541" s="276"/>
      <c r="Z541" s="276"/>
    </row>
    <row r="542" spans="1:26" ht="18.75" customHeight="1">
      <c r="A542" s="276"/>
      <c r="B542" s="276"/>
      <c r="C542" s="276"/>
      <c r="D542" s="276"/>
      <c r="E542" s="276"/>
      <c r="F542" s="276"/>
      <c r="G542" s="276"/>
      <c r="H542" s="276"/>
      <c r="I542" s="276"/>
      <c r="J542" s="276"/>
      <c r="K542" s="276"/>
      <c r="L542" s="276"/>
      <c r="M542" s="276"/>
      <c r="N542" s="276"/>
      <c r="O542" s="276"/>
      <c r="P542" s="276"/>
      <c r="Q542" s="276"/>
      <c r="R542" s="276"/>
      <c r="S542" s="276"/>
      <c r="T542" s="276"/>
      <c r="U542" s="276"/>
      <c r="V542" s="276"/>
      <c r="W542" s="276"/>
      <c r="X542" s="276"/>
      <c r="Y542" s="276"/>
      <c r="Z542" s="276"/>
    </row>
    <row r="543" spans="1:26" ht="18.75" customHeight="1">
      <c r="A543" s="276"/>
      <c r="B543" s="276"/>
      <c r="C543" s="276"/>
      <c r="D543" s="276"/>
      <c r="E543" s="276"/>
      <c r="F543" s="276"/>
      <c r="G543" s="276"/>
      <c r="H543" s="276"/>
      <c r="I543" s="276"/>
      <c r="J543" s="276"/>
      <c r="K543" s="276"/>
      <c r="L543" s="276"/>
      <c r="M543" s="276"/>
      <c r="N543" s="276"/>
      <c r="O543" s="276"/>
      <c r="P543" s="276"/>
      <c r="Q543" s="276"/>
      <c r="R543" s="276"/>
      <c r="S543" s="276"/>
      <c r="T543" s="276"/>
      <c r="U543" s="276"/>
      <c r="V543" s="276"/>
      <c r="W543" s="276"/>
      <c r="X543" s="276"/>
      <c r="Y543" s="276"/>
      <c r="Z543" s="276"/>
    </row>
    <row r="544" spans="1:26" ht="18.75" customHeight="1">
      <c r="A544" s="276"/>
      <c r="B544" s="276"/>
      <c r="C544" s="276"/>
      <c r="D544" s="276"/>
      <c r="E544" s="276"/>
      <c r="F544" s="276"/>
      <c r="G544" s="276"/>
      <c r="H544" s="276"/>
      <c r="I544" s="276"/>
      <c r="J544" s="276"/>
      <c r="K544" s="276"/>
      <c r="L544" s="276"/>
      <c r="M544" s="276"/>
      <c r="N544" s="276"/>
      <c r="O544" s="276"/>
      <c r="P544" s="276"/>
      <c r="Q544" s="276"/>
      <c r="R544" s="276"/>
      <c r="S544" s="276"/>
      <c r="T544" s="276"/>
      <c r="U544" s="276"/>
      <c r="V544" s="276"/>
      <c r="W544" s="276"/>
      <c r="X544" s="276"/>
      <c r="Y544" s="276"/>
      <c r="Z544" s="276"/>
    </row>
    <row r="545" spans="1:26" ht="18.75" customHeight="1">
      <c r="A545" s="276"/>
      <c r="B545" s="276"/>
      <c r="C545" s="276"/>
      <c r="D545" s="276"/>
      <c r="E545" s="276"/>
      <c r="F545" s="276"/>
      <c r="G545" s="276"/>
      <c r="H545" s="276"/>
      <c r="I545" s="276"/>
      <c r="J545" s="276"/>
      <c r="K545" s="276"/>
      <c r="L545" s="276"/>
      <c r="M545" s="276"/>
      <c r="N545" s="276"/>
      <c r="O545" s="276"/>
      <c r="P545" s="276"/>
      <c r="Q545" s="276"/>
      <c r="R545" s="276"/>
      <c r="S545" s="276"/>
      <c r="T545" s="276"/>
      <c r="U545" s="276"/>
      <c r="V545" s="276"/>
      <c r="W545" s="276"/>
      <c r="X545" s="276"/>
      <c r="Y545" s="276"/>
      <c r="Z545" s="276"/>
    </row>
    <row r="546" spans="1:26" ht="18.75" customHeight="1">
      <c r="A546" s="276"/>
      <c r="B546" s="276"/>
      <c r="C546" s="276"/>
      <c r="D546" s="276"/>
      <c r="E546" s="276"/>
      <c r="F546" s="276"/>
      <c r="G546" s="276"/>
      <c r="H546" s="276"/>
      <c r="I546" s="276"/>
      <c r="J546" s="276"/>
      <c r="K546" s="276"/>
      <c r="L546" s="276"/>
      <c r="M546" s="276"/>
      <c r="N546" s="276"/>
      <c r="O546" s="276"/>
      <c r="P546" s="276"/>
      <c r="Q546" s="276"/>
      <c r="R546" s="276"/>
      <c r="S546" s="276"/>
      <c r="T546" s="276"/>
      <c r="U546" s="276"/>
      <c r="V546" s="276"/>
      <c r="W546" s="276"/>
      <c r="X546" s="276"/>
      <c r="Y546" s="276"/>
      <c r="Z546" s="276"/>
    </row>
    <row r="547" spans="1:26" ht="18.75" customHeight="1">
      <c r="A547" s="276"/>
      <c r="B547" s="276"/>
      <c r="C547" s="276"/>
      <c r="D547" s="276"/>
      <c r="E547" s="276"/>
      <c r="F547" s="276"/>
      <c r="G547" s="276"/>
      <c r="H547" s="276"/>
      <c r="I547" s="276"/>
      <c r="J547" s="276"/>
      <c r="K547" s="276"/>
      <c r="L547" s="276"/>
      <c r="M547" s="276"/>
      <c r="N547" s="276"/>
      <c r="O547" s="276"/>
      <c r="P547" s="276"/>
      <c r="Q547" s="276"/>
      <c r="R547" s="276"/>
      <c r="S547" s="276"/>
      <c r="T547" s="276"/>
      <c r="U547" s="276"/>
      <c r="V547" s="276"/>
      <c r="W547" s="276"/>
      <c r="X547" s="276"/>
      <c r="Y547" s="276"/>
      <c r="Z547" s="276"/>
    </row>
    <row r="548" spans="1:26" ht="18.75" customHeight="1">
      <c r="A548" s="276"/>
      <c r="B548" s="276"/>
      <c r="C548" s="276"/>
      <c r="D548" s="276"/>
      <c r="E548" s="276"/>
      <c r="F548" s="276"/>
      <c r="G548" s="276"/>
      <c r="H548" s="276"/>
      <c r="I548" s="276"/>
      <c r="J548" s="276"/>
      <c r="K548" s="276"/>
      <c r="L548" s="276"/>
      <c r="M548" s="276"/>
      <c r="N548" s="276"/>
      <c r="O548" s="276"/>
      <c r="P548" s="276"/>
      <c r="Q548" s="276"/>
      <c r="R548" s="276"/>
      <c r="S548" s="276"/>
      <c r="T548" s="276"/>
      <c r="U548" s="276"/>
      <c r="V548" s="276"/>
      <c r="W548" s="276"/>
      <c r="X548" s="276"/>
      <c r="Y548" s="276"/>
      <c r="Z548" s="276"/>
    </row>
    <row r="549" spans="1:26" ht="18.75" customHeight="1">
      <c r="A549" s="276"/>
      <c r="B549" s="276"/>
      <c r="C549" s="276"/>
      <c r="D549" s="276"/>
      <c r="E549" s="276"/>
      <c r="F549" s="276"/>
      <c r="G549" s="276"/>
      <c r="H549" s="276"/>
      <c r="I549" s="276"/>
      <c r="J549" s="276"/>
      <c r="K549" s="276"/>
      <c r="L549" s="276"/>
      <c r="M549" s="276"/>
      <c r="N549" s="276"/>
      <c r="O549" s="276"/>
      <c r="P549" s="276"/>
      <c r="Q549" s="276"/>
      <c r="R549" s="276"/>
      <c r="S549" s="276"/>
      <c r="T549" s="276"/>
      <c r="U549" s="276"/>
      <c r="V549" s="276"/>
      <c r="W549" s="276"/>
      <c r="X549" s="276"/>
      <c r="Y549" s="276"/>
      <c r="Z549" s="276"/>
    </row>
    <row r="550" spans="1:26" ht="18.75" customHeight="1">
      <c r="A550" s="276"/>
      <c r="B550" s="276"/>
      <c r="C550" s="276"/>
      <c r="D550" s="276"/>
      <c r="E550" s="276"/>
      <c r="F550" s="276"/>
      <c r="G550" s="276"/>
      <c r="H550" s="276"/>
      <c r="I550" s="276"/>
      <c r="J550" s="276"/>
      <c r="K550" s="276"/>
      <c r="L550" s="276"/>
      <c r="M550" s="276"/>
      <c r="N550" s="276"/>
      <c r="O550" s="276"/>
      <c r="P550" s="276"/>
      <c r="Q550" s="276"/>
      <c r="R550" s="276"/>
      <c r="S550" s="276"/>
      <c r="T550" s="276"/>
      <c r="U550" s="276"/>
      <c r="V550" s="276"/>
      <c r="W550" s="276"/>
      <c r="X550" s="276"/>
      <c r="Y550" s="276"/>
      <c r="Z550" s="276"/>
    </row>
    <row r="551" spans="1:26" ht="18.75" customHeight="1">
      <c r="A551" s="276"/>
      <c r="B551" s="276"/>
      <c r="C551" s="276"/>
      <c r="D551" s="276"/>
      <c r="E551" s="276"/>
      <c r="F551" s="276"/>
      <c r="G551" s="276"/>
      <c r="H551" s="276"/>
      <c r="I551" s="276"/>
      <c r="J551" s="276"/>
      <c r="K551" s="276"/>
      <c r="L551" s="276"/>
      <c r="M551" s="276"/>
      <c r="N551" s="276"/>
      <c r="O551" s="276"/>
      <c r="P551" s="276"/>
      <c r="Q551" s="276"/>
      <c r="R551" s="276"/>
      <c r="S551" s="276"/>
      <c r="T551" s="276"/>
      <c r="U551" s="276"/>
      <c r="V551" s="276"/>
      <c r="W551" s="276"/>
      <c r="X551" s="276"/>
      <c r="Y551" s="276"/>
      <c r="Z551" s="276"/>
    </row>
    <row r="552" spans="1:26" ht="18.75" customHeight="1">
      <c r="A552" s="276"/>
      <c r="B552" s="276"/>
      <c r="C552" s="276"/>
      <c r="D552" s="276"/>
      <c r="E552" s="276"/>
      <c r="F552" s="276"/>
      <c r="G552" s="276"/>
      <c r="H552" s="276"/>
      <c r="I552" s="276"/>
      <c r="J552" s="276"/>
      <c r="K552" s="276"/>
      <c r="L552" s="276"/>
      <c r="M552" s="276"/>
      <c r="N552" s="276"/>
      <c r="O552" s="276"/>
      <c r="P552" s="276"/>
      <c r="Q552" s="276"/>
      <c r="R552" s="276"/>
      <c r="S552" s="276"/>
      <c r="T552" s="276"/>
      <c r="U552" s="276"/>
      <c r="V552" s="276"/>
      <c r="W552" s="276"/>
      <c r="X552" s="276"/>
      <c r="Y552" s="276"/>
      <c r="Z552" s="276"/>
    </row>
    <row r="553" spans="1:26" ht="18.75" customHeight="1">
      <c r="A553" s="276"/>
      <c r="B553" s="276"/>
      <c r="C553" s="276"/>
      <c r="D553" s="276"/>
      <c r="E553" s="276"/>
      <c r="F553" s="276"/>
      <c r="G553" s="276"/>
      <c r="H553" s="276"/>
      <c r="I553" s="276"/>
      <c r="J553" s="276"/>
      <c r="K553" s="276"/>
      <c r="L553" s="276"/>
      <c r="M553" s="276"/>
      <c r="N553" s="276"/>
      <c r="O553" s="276"/>
      <c r="P553" s="276"/>
      <c r="Q553" s="276"/>
      <c r="R553" s="276"/>
      <c r="S553" s="276"/>
      <c r="T553" s="276"/>
      <c r="U553" s="276"/>
      <c r="V553" s="276"/>
      <c r="W553" s="276"/>
      <c r="X553" s="276"/>
      <c r="Y553" s="276"/>
      <c r="Z553" s="276"/>
    </row>
    <row r="554" spans="1:26" ht="18.75" customHeight="1">
      <c r="A554" s="276"/>
      <c r="B554" s="276"/>
      <c r="C554" s="276"/>
      <c r="D554" s="276"/>
      <c r="E554" s="276"/>
      <c r="F554" s="276"/>
      <c r="G554" s="276"/>
      <c r="H554" s="276"/>
      <c r="I554" s="276"/>
      <c r="J554" s="276"/>
      <c r="K554" s="276"/>
      <c r="L554" s="276"/>
      <c r="M554" s="276"/>
      <c r="N554" s="276"/>
      <c r="O554" s="276"/>
      <c r="P554" s="276"/>
      <c r="Q554" s="276"/>
      <c r="R554" s="276"/>
      <c r="S554" s="276"/>
      <c r="T554" s="276"/>
      <c r="U554" s="276"/>
      <c r="V554" s="276"/>
      <c r="W554" s="276"/>
      <c r="X554" s="276"/>
      <c r="Y554" s="276"/>
      <c r="Z554" s="276"/>
    </row>
    <row r="555" spans="1:26" ht="18.75" customHeight="1">
      <c r="A555" s="276"/>
      <c r="B555" s="276"/>
      <c r="C555" s="276"/>
      <c r="D555" s="276"/>
      <c r="E555" s="276"/>
      <c r="F555" s="276"/>
      <c r="G555" s="276"/>
      <c r="H555" s="276"/>
      <c r="I555" s="276"/>
      <c r="J555" s="276"/>
      <c r="K555" s="276"/>
      <c r="L555" s="276"/>
      <c r="M555" s="276"/>
      <c r="N555" s="276"/>
      <c r="O555" s="276"/>
      <c r="P555" s="276"/>
      <c r="Q555" s="276"/>
      <c r="R555" s="276"/>
      <c r="S555" s="276"/>
      <c r="T555" s="276"/>
      <c r="U555" s="276"/>
      <c r="V555" s="276"/>
      <c r="W555" s="276"/>
      <c r="X555" s="276"/>
      <c r="Y555" s="276"/>
      <c r="Z555" s="276"/>
    </row>
    <row r="556" spans="1:26" ht="18.75" customHeight="1">
      <c r="A556" s="276"/>
      <c r="B556" s="276"/>
      <c r="C556" s="276"/>
      <c r="D556" s="276"/>
      <c r="E556" s="276"/>
      <c r="F556" s="276"/>
      <c r="G556" s="276"/>
      <c r="H556" s="276"/>
      <c r="I556" s="276"/>
      <c r="J556" s="276"/>
      <c r="K556" s="276"/>
      <c r="L556" s="276"/>
      <c r="M556" s="276"/>
      <c r="N556" s="276"/>
      <c r="O556" s="276"/>
      <c r="P556" s="276"/>
      <c r="Q556" s="276"/>
      <c r="R556" s="276"/>
      <c r="S556" s="276"/>
      <c r="T556" s="276"/>
      <c r="U556" s="276"/>
      <c r="V556" s="276"/>
      <c r="W556" s="276"/>
      <c r="X556" s="276"/>
      <c r="Y556" s="276"/>
      <c r="Z556" s="276"/>
    </row>
    <row r="557" spans="1:26" ht="18.75" customHeight="1">
      <c r="A557" s="276"/>
      <c r="B557" s="276"/>
      <c r="C557" s="276"/>
      <c r="D557" s="276"/>
      <c r="E557" s="276"/>
      <c r="F557" s="276"/>
      <c r="G557" s="276"/>
      <c r="H557" s="276"/>
      <c r="I557" s="276"/>
      <c r="J557" s="276"/>
      <c r="K557" s="276"/>
      <c r="L557" s="276"/>
      <c r="M557" s="276"/>
      <c r="N557" s="276"/>
      <c r="O557" s="276"/>
      <c r="P557" s="276"/>
      <c r="Q557" s="276"/>
      <c r="R557" s="276"/>
      <c r="S557" s="276"/>
      <c r="T557" s="276"/>
      <c r="U557" s="276"/>
      <c r="V557" s="276"/>
      <c r="W557" s="276"/>
      <c r="X557" s="276"/>
      <c r="Y557" s="276"/>
      <c r="Z557" s="276"/>
    </row>
    <row r="558" spans="1:26" ht="18.75" customHeight="1">
      <c r="A558" s="276"/>
      <c r="B558" s="276"/>
      <c r="C558" s="276"/>
      <c r="D558" s="276"/>
      <c r="E558" s="276"/>
      <c r="F558" s="276"/>
      <c r="G558" s="276"/>
      <c r="H558" s="276"/>
      <c r="I558" s="276"/>
      <c r="J558" s="276"/>
      <c r="K558" s="276"/>
      <c r="L558" s="276"/>
      <c r="M558" s="276"/>
      <c r="N558" s="276"/>
      <c r="O558" s="276"/>
      <c r="P558" s="276"/>
      <c r="Q558" s="276"/>
      <c r="R558" s="276"/>
      <c r="S558" s="276"/>
      <c r="T558" s="276"/>
      <c r="U558" s="276"/>
      <c r="V558" s="276"/>
      <c r="W558" s="276"/>
      <c r="X558" s="276"/>
      <c r="Y558" s="276"/>
      <c r="Z558" s="276"/>
    </row>
    <row r="559" spans="1:26" ht="18.75" customHeight="1">
      <c r="A559" s="276"/>
      <c r="B559" s="276"/>
      <c r="C559" s="276"/>
      <c r="D559" s="276"/>
      <c r="E559" s="276"/>
      <c r="F559" s="276"/>
      <c r="G559" s="276"/>
      <c r="H559" s="276"/>
      <c r="I559" s="276"/>
      <c r="J559" s="276"/>
      <c r="K559" s="276"/>
      <c r="L559" s="276"/>
      <c r="M559" s="276"/>
      <c r="N559" s="276"/>
      <c r="O559" s="276"/>
      <c r="P559" s="276"/>
      <c r="Q559" s="276"/>
      <c r="R559" s="276"/>
      <c r="S559" s="276"/>
      <c r="T559" s="276"/>
      <c r="U559" s="276"/>
      <c r="V559" s="276"/>
      <c r="W559" s="276"/>
      <c r="X559" s="276"/>
      <c r="Y559" s="276"/>
      <c r="Z559" s="276"/>
    </row>
    <row r="560" spans="1:26" ht="18.75" customHeight="1">
      <c r="A560" s="276"/>
      <c r="B560" s="276"/>
      <c r="C560" s="276"/>
      <c r="D560" s="276"/>
      <c r="E560" s="276"/>
      <c r="F560" s="276"/>
      <c r="G560" s="276"/>
      <c r="H560" s="276"/>
      <c r="I560" s="276"/>
      <c r="J560" s="276"/>
      <c r="K560" s="276"/>
      <c r="L560" s="276"/>
      <c r="M560" s="276"/>
      <c r="N560" s="276"/>
      <c r="O560" s="276"/>
      <c r="P560" s="276"/>
      <c r="Q560" s="276"/>
      <c r="R560" s="276"/>
      <c r="S560" s="276"/>
      <c r="T560" s="276"/>
      <c r="U560" s="276"/>
      <c r="V560" s="276"/>
      <c r="W560" s="276"/>
      <c r="X560" s="276"/>
      <c r="Y560" s="276"/>
      <c r="Z560" s="276"/>
    </row>
    <row r="561" spans="1:26" ht="18.75" customHeight="1">
      <c r="A561" s="276"/>
      <c r="B561" s="276"/>
      <c r="C561" s="276"/>
      <c r="D561" s="276"/>
      <c r="E561" s="276"/>
      <c r="F561" s="276"/>
      <c r="G561" s="276"/>
      <c r="H561" s="276"/>
      <c r="I561" s="276"/>
      <c r="J561" s="276"/>
      <c r="K561" s="276"/>
      <c r="L561" s="276"/>
      <c r="M561" s="276"/>
      <c r="N561" s="276"/>
      <c r="O561" s="276"/>
      <c r="P561" s="276"/>
      <c r="Q561" s="276"/>
      <c r="R561" s="276"/>
      <c r="S561" s="276"/>
      <c r="T561" s="276"/>
      <c r="U561" s="276"/>
      <c r="V561" s="276"/>
      <c r="W561" s="276"/>
      <c r="X561" s="276"/>
      <c r="Y561" s="276"/>
      <c r="Z561" s="276"/>
    </row>
    <row r="562" spans="1:26" ht="18.75" customHeight="1">
      <c r="A562" s="276"/>
      <c r="B562" s="276"/>
      <c r="C562" s="276"/>
      <c r="D562" s="276"/>
      <c r="E562" s="276"/>
      <c r="F562" s="276"/>
      <c r="G562" s="276"/>
      <c r="H562" s="276"/>
      <c r="I562" s="276"/>
      <c r="J562" s="276"/>
      <c r="K562" s="276"/>
      <c r="L562" s="276"/>
      <c r="M562" s="276"/>
      <c r="N562" s="276"/>
      <c r="O562" s="276"/>
      <c r="P562" s="276"/>
      <c r="Q562" s="276"/>
      <c r="R562" s="276"/>
      <c r="S562" s="276"/>
      <c r="T562" s="276"/>
      <c r="U562" s="276"/>
      <c r="V562" s="276"/>
      <c r="W562" s="276"/>
      <c r="X562" s="276"/>
      <c r="Y562" s="276"/>
      <c r="Z562" s="276"/>
    </row>
    <row r="563" spans="1:26" ht="18.75" customHeight="1">
      <c r="A563" s="276"/>
      <c r="B563" s="276"/>
      <c r="C563" s="276"/>
      <c r="D563" s="276"/>
      <c r="E563" s="276"/>
      <c r="F563" s="276"/>
      <c r="G563" s="276"/>
      <c r="H563" s="276"/>
      <c r="I563" s="276"/>
      <c r="J563" s="276"/>
      <c r="K563" s="276"/>
      <c r="L563" s="276"/>
      <c r="M563" s="276"/>
      <c r="N563" s="276"/>
      <c r="O563" s="276"/>
      <c r="P563" s="276"/>
      <c r="Q563" s="276"/>
      <c r="R563" s="276"/>
      <c r="S563" s="276"/>
      <c r="T563" s="276"/>
      <c r="U563" s="276"/>
      <c r="V563" s="276"/>
      <c r="W563" s="276"/>
      <c r="X563" s="276"/>
      <c r="Y563" s="276"/>
      <c r="Z563" s="276"/>
    </row>
    <row r="564" spans="1:26" ht="18.75" customHeight="1">
      <c r="A564" s="276"/>
      <c r="B564" s="276"/>
      <c r="C564" s="276"/>
      <c r="D564" s="276"/>
      <c r="E564" s="276"/>
      <c r="F564" s="276"/>
      <c r="G564" s="276"/>
      <c r="H564" s="276"/>
      <c r="I564" s="276"/>
      <c r="J564" s="276"/>
      <c r="K564" s="276"/>
      <c r="L564" s="276"/>
      <c r="M564" s="276"/>
      <c r="N564" s="276"/>
      <c r="O564" s="276"/>
      <c r="P564" s="276"/>
      <c r="Q564" s="276"/>
      <c r="R564" s="276"/>
      <c r="S564" s="276"/>
      <c r="T564" s="276"/>
      <c r="U564" s="276"/>
      <c r="V564" s="276"/>
      <c r="W564" s="276"/>
      <c r="X564" s="276"/>
      <c r="Y564" s="276"/>
      <c r="Z564" s="276"/>
    </row>
    <row r="565" spans="1:26" ht="18.75" customHeight="1">
      <c r="A565" s="276"/>
      <c r="B565" s="276"/>
      <c r="C565" s="276"/>
      <c r="D565" s="276"/>
      <c r="E565" s="276"/>
      <c r="F565" s="276"/>
      <c r="G565" s="276"/>
      <c r="H565" s="276"/>
      <c r="I565" s="276"/>
      <c r="J565" s="276"/>
      <c r="K565" s="276"/>
      <c r="L565" s="276"/>
      <c r="M565" s="276"/>
      <c r="N565" s="276"/>
      <c r="O565" s="276"/>
      <c r="P565" s="276"/>
      <c r="Q565" s="276"/>
      <c r="R565" s="276"/>
      <c r="S565" s="276"/>
      <c r="T565" s="276"/>
      <c r="U565" s="276"/>
      <c r="V565" s="276"/>
      <c r="W565" s="276"/>
      <c r="X565" s="276"/>
      <c r="Y565" s="276"/>
      <c r="Z565" s="276"/>
    </row>
    <row r="566" spans="1:26" ht="18.75" customHeight="1">
      <c r="A566" s="276"/>
      <c r="B566" s="276"/>
      <c r="C566" s="276"/>
      <c r="D566" s="276"/>
      <c r="E566" s="276"/>
      <c r="F566" s="276"/>
      <c r="G566" s="276"/>
      <c r="H566" s="276"/>
      <c r="I566" s="276"/>
      <c r="J566" s="276"/>
      <c r="K566" s="276"/>
      <c r="L566" s="276"/>
      <c r="M566" s="276"/>
      <c r="N566" s="276"/>
      <c r="O566" s="276"/>
      <c r="P566" s="276"/>
      <c r="Q566" s="276"/>
      <c r="R566" s="276"/>
      <c r="S566" s="276"/>
      <c r="T566" s="276"/>
      <c r="U566" s="276"/>
      <c r="V566" s="276"/>
      <c r="W566" s="276"/>
      <c r="X566" s="276"/>
      <c r="Y566" s="276"/>
      <c r="Z566" s="276"/>
    </row>
    <row r="567" spans="1:26" ht="18.75" customHeight="1">
      <c r="A567" s="276"/>
      <c r="B567" s="276"/>
      <c r="C567" s="276"/>
      <c r="D567" s="276"/>
      <c r="E567" s="276"/>
      <c r="F567" s="276"/>
      <c r="G567" s="276"/>
      <c r="H567" s="276"/>
      <c r="I567" s="276"/>
      <c r="J567" s="276"/>
      <c r="K567" s="276"/>
      <c r="L567" s="276"/>
      <c r="M567" s="276"/>
      <c r="N567" s="276"/>
      <c r="O567" s="276"/>
      <c r="P567" s="276"/>
      <c r="Q567" s="276"/>
      <c r="R567" s="276"/>
      <c r="S567" s="276"/>
      <c r="T567" s="276"/>
      <c r="U567" s="276"/>
      <c r="V567" s="276"/>
      <c r="W567" s="276"/>
      <c r="X567" s="276"/>
      <c r="Y567" s="276"/>
      <c r="Z567" s="276"/>
    </row>
    <row r="568" spans="1:26" ht="18.75" customHeight="1">
      <c r="A568" s="276"/>
      <c r="B568" s="276"/>
      <c r="C568" s="276"/>
      <c r="D568" s="276"/>
      <c r="E568" s="276"/>
      <c r="F568" s="276"/>
      <c r="G568" s="276"/>
      <c r="H568" s="276"/>
      <c r="I568" s="276"/>
      <c r="J568" s="276"/>
      <c r="K568" s="276"/>
      <c r="L568" s="276"/>
      <c r="M568" s="276"/>
      <c r="N568" s="276"/>
      <c r="O568" s="276"/>
      <c r="P568" s="276"/>
      <c r="Q568" s="276"/>
      <c r="R568" s="276"/>
      <c r="S568" s="276"/>
      <c r="T568" s="276"/>
      <c r="U568" s="276"/>
      <c r="V568" s="276"/>
      <c r="W568" s="276"/>
      <c r="X568" s="276"/>
      <c r="Y568" s="276"/>
      <c r="Z568" s="276"/>
    </row>
    <row r="569" spans="1:26" ht="18.75" customHeight="1">
      <c r="A569" s="276"/>
      <c r="B569" s="276"/>
      <c r="C569" s="276"/>
      <c r="D569" s="276"/>
      <c r="E569" s="276"/>
      <c r="F569" s="276"/>
      <c r="G569" s="276"/>
      <c r="H569" s="276"/>
      <c r="I569" s="276"/>
      <c r="J569" s="276"/>
      <c r="K569" s="276"/>
      <c r="L569" s="276"/>
      <c r="M569" s="276"/>
      <c r="N569" s="276"/>
      <c r="O569" s="276"/>
      <c r="P569" s="276"/>
      <c r="Q569" s="276"/>
      <c r="R569" s="276"/>
      <c r="S569" s="276"/>
      <c r="T569" s="276"/>
      <c r="U569" s="276"/>
      <c r="V569" s="276"/>
      <c r="W569" s="276"/>
      <c r="X569" s="276"/>
      <c r="Y569" s="276"/>
      <c r="Z569" s="276"/>
    </row>
    <row r="570" spans="1:26" ht="18.75" customHeight="1">
      <c r="A570" s="276"/>
      <c r="B570" s="276"/>
      <c r="C570" s="276"/>
      <c r="D570" s="276"/>
      <c r="E570" s="276"/>
      <c r="F570" s="276"/>
      <c r="G570" s="276"/>
      <c r="H570" s="276"/>
      <c r="I570" s="276"/>
      <c r="J570" s="276"/>
      <c r="K570" s="276"/>
      <c r="L570" s="276"/>
      <c r="M570" s="276"/>
      <c r="N570" s="276"/>
      <c r="O570" s="276"/>
      <c r="P570" s="276"/>
      <c r="Q570" s="276"/>
      <c r="R570" s="276"/>
      <c r="S570" s="276"/>
      <c r="T570" s="276"/>
      <c r="U570" s="276"/>
      <c r="V570" s="276"/>
      <c r="W570" s="276"/>
      <c r="X570" s="276"/>
      <c r="Y570" s="276"/>
      <c r="Z570" s="276"/>
    </row>
    <row r="571" spans="1:26" ht="18.75" customHeight="1">
      <c r="A571" s="276"/>
      <c r="B571" s="276"/>
      <c r="C571" s="276"/>
      <c r="D571" s="276"/>
      <c r="E571" s="276"/>
      <c r="F571" s="276"/>
      <c r="G571" s="276"/>
      <c r="H571" s="276"/>
      <c r="I571" s="276"/>
      <c r="J571" s="276"/>
      <c r="K571" s="276"/>
      <c r="L571" s="276"/>
      <c r="M571" s="276"/>
      <c r="N571" s="276"/>
      <c r="O571" s="276"/>
      <c r="P571" s="276"/>
      <c r="Q571" s="276"/>
      <c r="R571" s="276"/>
      <c r="S571" s="276"/>
      <c r="T571" s="276"/>
      <c r="U571" s="276"/>
      <c r="V571" s="276"/>
      <c r="W571" s="276"/>
      <c r="X571" s="276"/>
      <c r="Y571" s="276"/>
      <c r="Z571" s="276"/>
    </row>
    <row r="572" spans="1:26" ht="18.75" customHeight="1">
      <c r="A572" s="276"/>
      <c r="B572" s="276"/>
      <c r="C572" s="276"/>
      <c r="D572" s="276"/>
      <c r="E572" s="276"/>
      <c r="F572" s="276"/>
      <c r="G572" s="276"/>
      <c r="H572" s="276"/>
      <c r="I572" s="276"/>
      <c r="J572" s="276"/>
      <c r="K572" s="276"/>
      <c r="L572" s="276"/>
      <c r="M572" s="276"/>
      <c r="N572" s="276"/>
      <c r="O572" s="276"/>
      <c r="P572" s="276"/>
      <c r="Q572" s="276"/>
      <c r="R572" s="276"/>
      <c r="S572" s="276"/>
      <c r="T572" s="276"/>
      <c r="U572" s="276"/>
      <c r="V572" s="276"/>
      <c r="W572" s="276"/>
      <c r="X572" s="276"/>
      <c r="Y572" s="276"/>
      <c r="Z572" s="276"/>
    </row>
    <row r="573" spans="1:26" ht="18.75" customHeight="1">
      <c r="A573" s="276"/>
      <c r="B573" s="276"/>
      <c r="C573" s="276"/>
      <c r="D573" s="276"/>
      <c r="E573" s="276"/>
      <c r="F573" s="276"/>
      <c r="G573" s="276"/>
      <c r="H573" s="276"/>
      <c r="I573" s="276"/>
      <c r="J573" s="276"/>
      <c r="K573" s="276"/>
      <c r="L573" s="276"/>
      <c r="M573" s="276"/>
      <c r="N573" s="276"/>
      <c r="O573" s="276"/>
      <c r="P573" s="276"/>
      <c r="Q573" s="276"/>
      <c r="R573" s="276"/>
      <c r="S573" s="276"/>
      <c r="T573" s="276"/>
      <c r="U573" s="276"/>
      <c r="V573" s="276"/>
      <c r="W573" s="276"/>
      <c r="X573" s="276"/>
      <c r="Y573" s="276"/>
      <c r="Z573" s="276"/>
    </row>
    <row r="574" spans="1:26" ht="18.75" customHeight="1">
      <c r="A574" s="276"/>
      <c r="B574" s="276"/>
      <c r="C574" s="276"/>
      <c r="D574" s="276"/>
      <c r="E574" s="276"/>
      <c r="F574" s="276"/>
      <c r="G574" s="276"/>
      <c r="H574" s="276"/>
      <c r="I574" s="276"/>
      <c r="J574" s="276"/>
      <c r="K574" s="276"/>
      <c r="L574" s="276"/>
      <c r="M574" s="276"/>
      <c r="N574" s="276"/>
      <c r="O574" s="276"/>
      <c r="P574" s="276"/>
      <c r="Q574" s="276"/>
      <c r="R574" s="276"/>
      <c r="S574" s="276"/>
      <c r="T574" s="276"/>
      <c r="U574" s="276"/>
      <c r="V574" s="276"/>
      <c r="W574" s="276"/>
      <c r="X574" s="276"/>
      <c r="Y574" s="276"/>
      <c r="Z574" s="276"/>
    </row>
    <row r="575" spans="1:26" ht="18.75" customHeight="1">
      <c r="A575" s="276"/>
      <c r="B575" s="276"/>
      <c r="C575" s="276"/>
      <c r="D575" s="276"/>
      <c r="E575" s="276"/>
      <c r="F575" s="276"/>
      <c r="G575" s="276"/>
      <c r="H575" s="276"/>
      <c r="I575" s="276"/>
      <c r="J575" s="276"/>
      <c r="K575" s="276"/>
      <c r="L575" s="276"/>
      <c r="M575" s="276"/>
      <c r="N575" s="276"/>
      <c r="O575" s="276"/>
      <c r="P575" s="276"/>
      <c r="Q575" s="276"/>
      <c r="R575" s="276"/>
      <c r="S575" s="276"/>
      <c r="T575" s="276"/>
      <c r="U575" s="276"/>
      <c r="V575" s="276"/>
      <c r="W575" s="276"/>
      <c r="X575" s="276"/>
      <c r="Y575" s="276"/>
      <c r="Z575" s="276"/>
    </row>
    <row r="576" spans="1:26" ht="18.75" customHeight="1">
      <c r="A576" s="276"/>
      <c r="B576" s="276"/>
      <c r="C576" s="276"/>
      <c r="D576" s="276"/>
      <c r="E576" s="276"/>
      <c r="F576" s="276"/>
      <c r="G576" s="276"/>
      <c r="H576" s="276"/>
      <c r="I576" s="276"/>
      <c r="J576" s="276"/>
      <c r="K576" s="276"/>
      <c r="L576" s="276"/>
      <c r="M576" s="276"/>
      <c r="N576" s="276"/>
      <c r="O576" s="276"/>
      <c r="P576" s="276"/>
      <c r="Q576" s="276"/>
      <c r="R576" s="276"/>
      <c r="S576" s="276"/>
      <c r="T576" s="276"/>
      <c r="U576" s="276"/>
      <c r="V576" s="276"/>
      <c r="W576" s="276"/>
      <c r="X576" s="276"/>
      <c r="Y576" s="276"/>
      <c r="Z576" s="276"/>
    </row>
    <row r="577" spans="1:26" ht="18.75" customHeight="1">
      <c r="A577" s="276"/>
      <c r="B577" s="276"/>
      <c r="C577" s="276"/>
      <c r="D577" s="276"/>
      <c r="E577" s="276"/>
      <c r="F577" s="276"/>
      <c r="G577" s="276"/>
      <c r="H577" s="276"/>
      <c r="I577" s="276"/>
      <c r="J577" s="276"/>
      <c r="K577" s="276"/>
      <c r="L577" s="276"/>
      <c r="M577" s="276"/>
      <c r="N577" s="276"/>
      <c r="O577" s="276"/>
      <c r="P577" s="276"/>
      <c r="Q577" s="276"/>
      <c r="R577" s="276"/>
      <c r="S577" s="276"/>
      <c r="T577" s="276"/>
      <c r="U577" s="276"/>
      <c r="V577" s="276"/>
      <c r="W577" s="276"/>
      <c r="X577" s="276"/>
      <c r="Y577" s="276"/>
      <c r="Z577" s="276"/>
    </row>
    <row r="578" spans="1:26" ht="18.75" customHeight="1">
      <c r="A578" s="276"/>
      <c r="B578" s="276"/>
      <c r="C578" s="276"/>
      <c r="D578" s="276"/>
      <c r="E578" s="276"/>
      <c r="F578" s="276"/>
      <c r="G578" s="276"/>
      <c r="H578" s="276"/>
      <c r="I578" s="276"/>
      <c r="J578" s="276"/>
      <c r="K578" s="276"/>
      <c r="L578" s="276"/>
      <c r="M578" s="276"/>
      <c r="N578" s="276"/>
      <c r="O578" s="276"/>
      <c r="P578" s="276"/>
      <c r="Q578" s="276"/>
      <c r="R578" s="276"/>
      <c r="S578" s="276"/>
      <c r="T578" s="276"/>
      <c r="U578" s="276"/>
      <c r="V578" s="276"/>
      <c r="W578" s="276"/>
      <c r="X578" s="276"/>
      <c r="Y578" s="276"/>
      <c r="Z578" s="276"/>
    </row>
    <row r="579" spans="1:26" ht="18.75" customHeight="1">
      <c r="A579" s="276"/>
      <c r="B579" s="276"/>
      <c r="C579" s="276"/>
      <c r="D579" s="276"/>
      <c r="E579" s="276"/>
      <c r="F579" s="276"/>
      <c r="G579" s="276"/>
      <c r="H579" s="276"/>
      <c r="I579" s="276"/>
      <c r="J579" s="276"/>
      <c r="K579" s="276"/>
      <c r="L579" s="276"/>
      <c r="M579" s="276"/>
      <c r="N579" s="276"/>
      <c r="O579" s="276"/>
      <c r="P579" s="276"/>
      <c r="Q579" s="276"/>
      <c r="R579" s="276"/>
      <c r="S579" s="276"/>
      <c r="T579" s="276"/>
      <c r="U579" s="276"/>
      <c r="V579" s="276"/>
      <c r="W579" s="276"/>
      <c r="X579" s="276"/>
      <c r="Y579" s="276"/>
      <c r="Z579" s="276"/>
    </row>
    <row r="580" spans="1:26" ht="18.75" customHeight="1">
      <c r="A580" s="276"/>
      <c r="B580" s="276"/>
      <c r="C580" s="276"/>
      <c r="D580" s="276"/>
      <c r="E580" s="276"/>
      <c r="F580" s="276"/>
      <c r="G580" s="276"/>
      <c r="H580" s="276"/>
      <c r="I580" s="276"/>
      <c r="J580" s="276"/>
      <c r="K580" s="276"/>
      <c r="L580" s="276"/>
      <c r="M580" s="276"/>
      <c r="N580" s="276"/>
      <c r="O580" s="276"/>
      <c r="P580" s="276"/>
      <c r="Q580" s="276"/>
      <c r="R580" s="276"/>
      <c r="S580" s="276"/>
      <c r="T580" s="276"/>
      <c r="U580" s="276"/>
      <c r="V580" s="276"/>
      <c r="W580" s="276"/>
      <c r="X580" s="276"/>
      <c r="Y580" s="276"/>
      <c r="Z580" s="276"/>
    </row>
    <row r="581" spans="1:26" ht="18.75" customHeight="1">
      <c r="A581" s="276"/>
      <c r="B581" s="276"/>
      <c r="C581" s="276"/>
      <c r="D581" s="276"/>
      <c r="E581" s="276"/>
      <c r="F581" s="276"/>
      <c r="G581" s="276"/>
      <c r="H581" s="276"/>
      <c r="I581" s="276"/>
      <c r="J581" s="276"/>
      <c r="K581" s="276"/>
      <c r="L581" s="276"/>
      <c r="M581" s="276"/>
      <c r="N581" s="276"/>
      <c r="O581" s="276"/>
      <c r="P581" s="276"/>
      <c r="Q581" s="276"/>
      <c r="R581" s="276"/>
      <c r="S581" s="276"/>
      <c r="T581" s="276"/>
      <c r="U581" s="276"/>
      <c r="V581" s="276"/>
      <c r="W581" s="276"/>
      <c r="X581" s="276"/>
      <c r="Y581" s="276"/>
      <c r="Z581" s="276"/>
    </row>
    <row r="582" spans="1:26" ht="18.75" customHeight="1">
      <c r="A582" s="276"/>
      <c r="B582" s="276"/>
      <c r="C582" s="276"/>
      <c r="D582" s="276"/>
      <c r="E582" s="276"/>
      <c r="F582" s="276"/>
      <c r="G582" s="276"/>
      <c r="H582" s="276"/>
      <c r="I582" s="276"/>
      <c r="J582" s="276"/>
      <c r="K582" s="276"/>
      <c r="L582" s="276"/>
      <c r="M582" s="276"/>
      <c r="N582" s="276"/>
      <c r="O582" s="276"/>
      <c r="P582" s="276"/>
      <c r="Q582" s="276"/>
      <c r="R582" s="276"/>
      <c r="S582" s="276"/>
      <c r="T582" s="276"/>
      <c r="U582" s="276"/>
      <c r="V582" s="276"/>
      <c r="W582" s="276"/>
      <c r="X582" s="276"/>
      <c r="Y582" s="276"/>
      <c r="Z582" s="276"/>
    </row>
    <row r="583" spans="1:26" ht="18.75" customHeight="1">
      <c r="A583" s="276"/>
      <c r="B583" s="276"/>
      <c r="C583" s="276"/>
      <c r="D583" s="276"/>
      <c r="E583" s="276"/>
      <c r="F583" s="276"/>
      <c r="G583" s="276"/>
      <c r="H583" s="276"/>
      <c r="I583" s="276"/>
      <c r="J583" s="276"/>
      <c r="K583" s="276"/>
      <c r="L583" s="276"/>
      <c r="M583" s="276"/>
      <c r="N583" s="276"/>
      <c r="O583" s="276"/>
      <c r="P583" s="276"/>
      <c r="Q583" s="276"/>
      <c r="R583" s="276"/>
      <c r="S583" s="276"/>
      <c r="T583" s="276"/>
      <c r="U583" s="276"/>
      <c r="V583" s="276"/>
      <c r="W583" s="276"/>
      <c r="X583" s="276"/>
      <c r="Y583" s="276"/>
      <c r="Z583" s="276"/>
    </row>
    <row r="584" spans="1:26" ht="18.75" customHeight="1">
      <c r="A584" s="276"/>
      <c r="B584" s="276"/>
      <c r="C584" s="276"/>
      <c r="D584" s="276"/>
      <c r="E584" s="276"/>
      <c r="F584" s="276"/>
      <c r="G584" s="276"/>
      <c r="H584" s="276"/>
      <c r="I584" s="276"/>
      <c r="J584" s="276"/>
      <c r="K584" s="276"/>
      <c r="L584" s="276"/>
      <c r="M584" s="276"/>
      <c r="N584" s="276"/>
      <c r="O584" s="276"/>
      <c r="P584" s="276"/>
      <c r="Q584" s="276"/>
      <c r="R584" s="276"/>
      <c r="S584" s="276"/>
      <c r="T584" s="276"/>
      <c r="U584" s="276"/>
      <c r="V584" s="276"/>
      <c r="W584" s="276"/>
      <c r="X584" s="276"/>
      <c r="Y584" s="276"/>
      <c r="Z584" s="276"/>
    </row>
    <row r="585" spans="1:26" ht="18.75" customHeight="1">
      <c r="A585" s="276"/>
      <c r="B585" s="276"/>
      <c r="C585" s="276"/>
      <c r="D585" s="276"/>
      <c r="E585" s="276"/>
      <c r="F585" s="276"/>
      <c r="G585" s="276"/>
      <c r="H585" s="276"/>
      <c r="I585" s="276"/>
      <c r="J585" s="276"/>
      <c r="K585" s="276"/>
      <c r="L585" s="276"/>
      <c r="M585" s="276"/>
      <c r="N585" s="276"/>
      <c r="O585" s="276"/>
      <c r="P585" s="276"/>
      <c r="Q585" s="276"/>
      <c r="R585" s="276"/>
      <c r="S585" s="276"/>
      <c r="T585" s="276"/>
      <c r="U585" s="276"/>
      <c r="V585" s="276"/>
      <c r="W585" s="276"/>
      <c r="X585" s="276"/>
      <c r="Y585" s="276"/>
      <c r="Z585" s="276"/>
    </row>
    <row r="586" spans="1:26" ht="18.75" customHeight="1">
      <c r="A586" s="276"/>
      <c r="B586" s="276"/>
      <c r="C586" s="276"/>
      <c r="D586" s="276"/>
      <c r="E586" s="276"/>
      <c r="F586" s="276"/>
      <c r="G586" s="276"/>
      <c r="H586" s="276"/>
      <c r="I586" s="276"/>
      <c r="J586" s="276"/>
      <c r="K586" s="276"/>
      <c r="L586" s="276"/>
      <c r="M586" s="276"/>
      <c r="N586" s="276"/>
      <c r="O586" s="276"/>
      <c r="P586" s="276"/>
      <c r="Q586" s="276"/>
      <c r="R586" s="276"/>
      <c r="S586" s="276"/>
      <c r="T586" s="276"/>
      <c r="U586" s="276"/>
      <c r="V586" s="276"/>
      <c r="W586" s="276"/>
      <c r="X586" s="276"/>
      <c r="Y586" s="276"/>
      <c r="Z586" s="276"/>
    </row>
    <row r="587" spans="1:26" ht="18.75" customHeight="1">
      <c r="A587" s="276"/>
      <c r="B587" s="276"/>
      <c r="C587" s="276"/>
      <c r="D587" s="276"/>
      <c r="E587" s="276"/>
      <c r="F587" s="276"/>
      <c r="G587" s="276"/>
      <c r="H587" s="276"/>
      <c r="I587" s="276"/>
      <c r="J587" s="276"/>
      <c r="K587" s="276"/>
      <c r="L587" s="276"/>
      <c r="M587" s="276"/>
      <c r="N587" s="276"/>
      <c r="O587" s="276"/>
      <c r="P587" s="276"/>
      <c r="Q587" s="276"/>
      <c r="R587" s="276"/>
      <c r="S587" s="276"/>
      <c r="T587" s="276"/>
      <c r="U587" s="276"/>
      <c r="V587" s="276"/>
      <c r="W587" s="276"/>
      <c r="X587" s="276"/>
      <c r="Y587" s="276"/>
      <c r="Z587" s="276"/>
    </row>
    <row r="588" spans="1:26" ht="18.75" customHeight="1">
      <c r="A588" s="276"/>
      <c r="B588" s="276"/>
      <c r="C588" s="276"/>
      <c r="D588" s="276"/>
      <c r="E588" s="276"/>
      <c r="F588" s="276"/>
      <c r="G588" s="276"/>
      <c r="H588" s="276"/>
      <c r="I588" s="276"/>
      <c r="J588" s="276"/>
      <c r="K588" s="276"/>
      <c r="L588" s="276"/>
      <c r="M588" s="276"/>
      <c r="N588" s="276"/>
      <c r="O588" s="276"/>
      <c r="P588" s="276"/>
      <c r="Q588" s="276"/>
      <c r="R588" s="276"/>
      <c r="S588" s="276"/>
      <c r="T588" s="276"/>
      <c r="U588" s="276"/>
      <c r="V588" s="276"/>
      <c r="W588" s="276"/>
      <c r="X588" s="276"/>
      <c r="Y588" s="276"/>
      <c r="Z588" s="276"/>
    </row>
    <row r="589" spans="1:26" ht="18.75" customHeight="1">
      <c r="A589" s="276"/>
      <c r="B589" s="276"/>
      <c r="C589" s="276"/>
      <c r="D589" s="276"/>
      <c r="E589" s="276"/>
      <c r="F589" s="276"/>
      <c r="G589" s="276"/>
      <c r="H589" s="276"/>
      <c r="I589" s="276"/>
      <c r="J589" s="276"/>
      <c r="K589" s="276"/>
      <c r="L589" s="276"/>
      <c r="M589" s="276"/>
      <c r="N589" s="276"/>
      <c r="O589" s="276"/>
      <c r="P589" s="276"/>
      <c r="Q589" s="276"/>
      <c r="R589" s="276"/>
      <c r="S589" s="276"/>
      <c r="T589" s="276"/>
      <c r="U589" s="276"/>
      <c r="V589" s="276"/>
      <c r="W589" s="276"/>
      <c r="X589" s="276"/>
      <c r="Y589" s="276"/>
      <c r="Z589" s="276"/>
    </row>
    <row r="590" spans="1:26" ht="18.75" customHeight="1">
      <c r="A590" s="276"/>
      <c r="B590" s="276"/>
      <c r="C590" s="276"/>
      <c r="D590" s="276"/>
      <c r="E590" s="276"/>
      <c r="F590" s="276"/>
      <c r="G590" s="276"/>
      <c r="H590" s="276"/>
      <c r="I590" s="276"/>
      <c r="J590" s="276"/>
      <c r="K590" s="276"/>
      <c r="L590" s="276"/>
      <c r="M590" s="276"/>
      <c r="N590" s="276"/>
      <c r="O590" s="276"/>
      <c r="P590" s="276"/>
      <c r="Q590" s="276"/>
      <c r="R590" s="276"/>
      <c r="S590" s="276"/>
      <c r="T590" s="276"/>
      <c r="U590" s="276"/>
      <c r="V590" s="276"/>
      <c r="W590" s="276"/>
      <c r="X590" s="276"/>
      <c r="Y590" s="276"/>
      <c r="Z590" s="276"/>
    </row>
    <row r="591" spans="1:26" ht="18.75" customHeight="1">
      <c r="A591" s="276"/>
      <c r="B591" s="276"/>
      <c r="C591" s="276"/>
      <c r="D591" s="276"/>
      <c r="E591" s="276"/>
      <c r="F591" s="276"/>
      <c r="G591" s="276"/>
      <c r="H591" s="276"/>
      <c r="I591" s="276"/>
      <c r="J591" s="276"/>
      <c r="K591" s="276"/>
      <c r="L591" s="276"/>
      <c r="M591" s="276"/>
      <c r="N591" s="276"/>
      <c r="O591" s="276"/>
      <c r="P591" s="276"/>
      <c r="Q591" s="276"/>
      <c r="R591" s="276"/>
      <c r="S591" s="276"/>
      <c r="T591" s="276"/>
      <c r="U591" s="276"/>
      <c r="V591" s="276"/>
      <c r="W591" s="276"/>
      <c r="X591" s="276"/>
      <c r="Y591" s="276"/>
      <c r="Z591" s="276"/>
    </row>
    <row r="592" spans="1:26" ht="18.75" customHeight="1">
      <c r="A592" s="276"/>
      <c r="B592" s="276"/>
      <c r="C592" s="276"/>
      <c r="D592" s="276"/>
      <c r="E592" s="276"/>
      <c r="F592" s="276"/>
      <c r="G592" s="276"/>
      <c r="H592" s="276"/>
      <c r="I592" s="276"/>
      <c r="J592" s="276"/>
      <c r="K592" s="276"/>
      <c r="L592" s="276"/>
      <c r="M592" s="276"/>
      <c r="N592" s="276"/>
      <c r="O592" s="276"/>
      <c r="P592" s="276"/>
      <c r="Q592" s="276"/>
      <c r="R592" s="276"/>
      <c r="S592" s="276"/>
      <c r="T592" s="276"/>
      <c r="U592" s="276"/>
      <c r="V592" s="276"/>
      <c r="W592" s="276"/>
      <c r="X592" s="276"/>
      <c r="Y592" s="276"/>
      <c r="Z592" s="276"/>
    </row>
    <row r="593" spans="1:26" ht="18.75" customHeight="1">
      <c r="A593" s="276"/>
      <c r="B593" s="276"/>
      <c r="C593" s="276"/>
      <c r="D593" s="276"/>
      <c r="E593" s="276"/>
      <c r="F593" s="276"/>
      <c r="G593" s="276"/>
      <c r="H593" s="276"/>
      <c r="I593" s="276"/>
      <c r="J593" s="276"/>
      <c r="K593" s="276"/>
      <c r="L593" s="276"/>
      <c r="M593" s="276"/>
      <c r="N593" s="276"/>
      <c r="O593" s="276"/>
      <c r="P593" s="276"/>
      <c r="Q593" s="276"/>
      <c r="R593" s="276"/>
      <c r="S593" s="276"/>
      <c r="T593" s="276"/>
      <c r="U593" s="276"/>
      <c r="V593" s="276"/>
      <c r="W593" s="276"/>
      <c r="X593" s="276"/>
      <c r="Y593" s="276"/>
      <c r="Z593" s="276"/>
    </row>
    <row r="594" spans="1:26" ht="18.75" customHeight="1">
      <c r="A594" s="276"/>
      <c r="B594" s="276"/>
      <c r="C594" s="276"/>
      <c r="D594" s="276"/>
      <c r="E594" s="276"/>
      <c r="F594" s="276"/>
      <c r="G594" s="276"/>
      <c r="H594" s="276"/>
      <c r="I594" s="276"/>
      <c r="J594" s="276"/>
      <c r="K594" s="276"/>
      <c r="L594" s="276"/>
      <c r="M594" s="276"/>
      <c r="N594" s="276"/>
      <c r="O594" s="276"/>
      <c r="P594" s="276"/>
      <c r="Q594" s="276"/>
      <c r="R594" s="276"/>
      <c r="S594" s="276"/>
      <c r="T594" s="276"/>
      <c r="U594" s="276"/>
      <c r="V594" s="276"/>
      <c r="W594" s="276"/>
      <c r="X594" s="276"/>
      <c r="Y594" s="276"/>
      <c r="Z594" s="276"/>
    </row>
    <row r="595" spans="1:26" ht="18.75" customHeight="1">
      <c r="A595" s="276"/>
      <c r="B595" s="276"/>
      <c r="C595" s="276"/>
      <c r="D595" s="276"/>
      <c r="E595" s="276"/>
      <c r="F595" s="276"/>
      <c r="G595" s="276"/>
      <c r="H595" s="276"/>
      <c r="I595" s="276"/>
      <c r="J595" s="276"/>
      <c r="K595" s="276"/>
      <c r="L595" s="276"/>
      <c r="M595" s="276"/>
      <c r="N595" s="276"/>
      <c r="O595" s="276"/>
      <c r="P595" s="276"/>
      <c r="Q595" s="276"/>
      <c r="R595" s="276"/>
      <c r="S595" s="276"/>
      <c r="T595" s="276"/>
      <c r="U595" s="276"/>
      <c r="V595" s="276"/>
      <c r="W595" s="276"/>
      <c r="X595" s="276"/>
      <c r="Y595" s="276"/>
      <c r="Z595" s="276"/>
    </row>
    <row r="596" spans="1:26" ht="18.75" customHeight="1">
      <c r="A596" s="276"/>
      <c r="B596" s="276"/>
      <c r="C596" s="276"/>
      <c r="D596" s="276"/>
      <c r="E596" s="276"/>
      <c r="F596" s="276"/>
      <c r="G596" s="276"/>
      <c r="H596" s="276"/>
      <c r="I596" s="276"/>
      <c r="J596" s="276"/>
      <c r="K596" s="276"/>
      <c r="L596" s="276"/>
      <c r="M596" s="276"/>
      <c r="N596" s="276"/>
      <c r="O596" s="276"/>
      <c r="P596" s="276"/>
      <c r="Q596" s="276"/>
      <c r="R596" s="276"/>
      <c r="S596" s="276"/>
      <c r="T596" s="276"/>
      <c r="U596" s="276"/>
      <c r="V596" s="276"/>
      <c r="W596" s="276"/>
      <c r="X596" s="276"/>
      <c r="Y596" s="276"/>
      <c r="Z596" s="276"/>
    </row>
    <row r="597" spans="1:26" ht="18.75" customHeight="1">
      <c r="A597" s="276"/>
      <c r="B597" s="276"/>
      <c r="C597" s="276"/>
      <c r="D597" s="276"/>
      <c r="E597" s="276"/>
      <c r="F597" s="276"/>
      <c r="G597" s="276"/>
      <c r="H597" s="276"/>
      <c r="I597" s="276"/>
      <c r="J597" s="276"/>
      <c r="K597" s="276"/>
      <c r="L597" s="276"/>
      <c r="M597" s="276"/>
      <c r="N597" s="276"/>
      <c r="O597" s="276"/>
      <c r="P597" s="276"/>
      <c r="Q597" s="276"/>
      <c r="R597" s="276"/>
      <c r="S597" s="276"/>
      <c r="T597" s="276"/>
      <c r="U597" s="276"/>
      <c r="V597" s="276"/>
      <c r="W597" s="276"/>
      <c r="X597" s="276"/>
      <c r="Y597" s="276"/>
      <c r="Z597" s="276"/>
    </row>
    <row r="598" spans="1:26" ht="18.75" customHeight="1">
      <c r="A598" s="276"/>
      <c r="B598" s="276"/>
      <c r="C598" s="276"/>
      <c r="D598" s="276"/>
      <c r="E598" s="276"/>
      <c r="F598" s="276"/>
      <c r="G598" s="276"/>
      <c r="H598" s="276"/>
      <c r="I598" s="276"/>
      <c r="J598" s="276"/>
      <c r="K598" s="276"/>
      <c r="L598" s="276"/>
      <c r="M598" s="276"/>
      <c r="N598" s="276"/>
      <c r="O598" s="276"/>
      <c r="P598" s="276"/>
      <c r="Q598" s="276"/>
      <c r="R598" s="276"/>
      <c r="S598" s="276"/>
      <c r="T598" s="276"/>
      <c r="U598" s="276"/>
      <c r="V598" s="276"/>
      <c r="W598" s="276"/>
      <c r="X598" s="276"/>
      <c r="Y598" s="276"/>
      <c r="Z598" s="276"/>
    </row>
    <row r="599" spans="1:26" ht="18.75" customHeight="1">
      <c r="A599" s="276"/>
      <c r="B599" s="276"/>
      <c r="C599" s="276"/>
      <c r="D599" s="276"/>
      <c r="E599" s="276"/>
      <c r="F599" s="276"/>
      <c r="G599" s="276"/>
      <c r="H599" s="276"/>
      <c r="I599" s="276"/>
      <c r="J599" s="276"/>
      <c r="K599" s="276"/>
      <c r="L599" s="276"/>
      <c r="M599" s="276"/>
      <c r="N599" s="276"/>
      <c r="O599" s="276"/>
      <c r="P599" s="276"/>
      <c r="Q599" s="276"/>
      <c r="R599" s="276"/>
      <c r="S599" s="276"/>
      <c r="T599" s="276"/>
      <c r="U599" s="276"/>
      <c r="V599" s="276"/>
      <c r="W599" s="276"/>
      <c r="X599" s="276"/>
      <c r="Y599" s="276"/>
      <c r="Z599" s="276"/>
    </row>
    <row r="600" spans="1:26" ht="18.75" customHeight="1">
      <c r="A600" s="276"/>
      <c r="B600" s="276"/>
      <c r="C600" s="276"/>
      <c r="D600" s="276"/>
      <c r="E600" s="276"/>
      <c r="F600" s="276"/>
      <c r="G600" s="276"/>
      <c r="H600" s="276"/>
      <c r="I600" s="276"/>
      <c r="J600" s="276"/>
      <c r="K600" s="276"/>
      <c r="L600" s="276"/>
      <c r="M600" s="276"/>
      <c r="N600" s="276"/>
      <c r="O600" s="276"/>
      <c r="P600" s="276"/>
      <c r="Q600" s="276"/>
      <c r="R600" s="276"/>
      <c r="S600" s="276"/>
      <c r="T600" s="276"/>
      <c r="U600" s="276"/>
      <c r="V600" s="276"/>
      <c r="W600" s="276"/>
      <c r="X600" s="276"/>
      <c r="Y600" s="276"/>
      <c r="Z600" s="276"/>
    </row>
    <row r="601" spans="1:26" ht="18.75" customHeight="1">
      <c r="A601" s="276"/>
      <c r="B601" s="276"/>
      <c r="C601" s="276"/>
      <c r="D601" s="276"/>
      <c r="E601" s="276"/>
      <c r="F601" s="276"/>
      <c r="G601" s="276"/>
      <c r="H601" s="276"/>
      <c r="I601" s="276"/>
      <c r="J601" s="276"/>
      <c r="K601" s="276"/>
      <c r="L601" s="276"/>
      <c r="M601" s="276"/>
      <c r="N601" s="276"/>
      <c r="O601" s="276"/>
      <c r="P601" s="276"/>
      <c r="Q601" s="276"/>
      <c r="R601" s="276"/>
      <c r="S601" s="276"/>
      <c r="T601" s="276"/>
      <c r="U601" s="276"/>
      <c r="V601" s="276"/>
      <c r="W601" s="276"/>
      <c r="X601" s="276"/>
      <c r="Y601" s="276"/>
      <c r="Z601" s="276"/>
    </row>
    <row r="602" spans="1:26" ht="18.75" customHeight="1">
      <c r="A602" s="276"/>
      <c r="B602" s="276"/>
      <c r="C602" s="276"/>
      <c r="D602" s="276"/>
      <c r="E602" s="276"/>
      <c r="F602" s="276"/>
      <c r="G602" s="276"/>
      <c r="H602" s="276"/>
      <c r="I602" s="276"/>
      <c r="J602" s="276"/>
      <c r="K602" s="276"/>
      <c r="L602" s="276"/>
      <c r="M602" s="276"/>
      <c r="N602" s="276"/>
      <c r="O602" s="276"/>
      <c r="P602" s="276"/>
      <c r="Q602" s="276"/>
      <c r="R602" s="276"/>
      <c r="S602" s="276"/>
      <c r="T602" s="276"/>
      <c r="U602" s="276"/>
      <c r="V602" s="276"/>
      <c r="W602" s="276"/>
      <c r="X602" s="276"/>
      <c r="Y602" s="276"/>
      <c r="Z602" s="276"/>
    </row>
    <row r="603" spans="1:26" ht="18.75" customHeight="1">
      <c r="A603" s="276"/>
      <c r="B603" s="276"/>
      <c r="C603" s="276"/>
      <c r="D603" s="276"/>
      <c r="E603" s="276"/>
      <c r="F603" s="276"/>
      <c r="G603" s="276"/>
      <c r="H603" s="276"/>
      <c r="I603" s="276"/>
      <c r="J603" s="276"/>
      <c r="K603" s="276"/>
      <c r="L603" s="276"/>
      <c r="M603" s="276"/>
      <c r="N603" s="276"/>
      <c r="O603" s="276"/>
      <c r="P603" s="276"/>
      <c r="Q603" s="276"/>
      <c r="R603" s="276"/>
      <c r="S603" s="276"/>
      <c r="T603" s="276"/>
      <c r="U603" s="276"/>
      <c r="V603" s="276"/>
      <c r="W603" s="276"/>
      <c r="X603" s="276"/>
      <c r="Y603" s="276"/>
      <c r="Z603" s="276"/>
    </row>
    <row r="604" spans="1:26" ht="18.75" customHeight="1">
      <c r="A604" s="276"/>
      <c r="B604" s="276"/>
      <c r="C604" s="276"/>
      <c r="D604" s="276"/>
      <c r="E604" s="276"/>
      <c r="F604" s="276"/>
      <c r="G604" s="276"/>
      <c r="H604" s="276"/>
      <c r="I604" s="276"/>
      <c r="J604" s="276"/>
      <c r="K604" s="276"/>
      <c r="L604" s="276"/>
      <c r="M604" s="276"/>
      <c r="N604" s="276"/>
      <c r="O604" s="276"/>
      <c r="P604" s="276"/>
      <c r="Q604" s="276"/>
      <c r="R604" s="276"/>
      <c r="S604" s="276"/>
      <c r="T604" s="276"/>
      <c r="U604" s="276"/>
      <c r="V604" s="276"/>
      <c r="W604" s="276"/>
      <c r="X604" s="276"/>
      <c r="Y604" s="276"/>
      <c r="Z604" s="276"/>
    </row>
    <row r="605" spans="1:26" ht="18.75" customHeight="1">
      <c r="A605" s="276"/>
      <c r="B605" s="276"/>
      <c r="C605" s="276"/>
      <c r="D605" s="276"/>
      <c r="E605" s="276"/>
      <c r="F605" s="276"/>
      <c r="G605" s="276"/>
      <c r="H605" s="276"/>
      <c r="I605" s="276"/>
      <c r="J605" s="276"/>
      <c r="K605" s="276"/>
      <c r="L605" s="276"/>
      <c r="M605" s="276"/>
      <c r="N605" s="276"/>
      <c r="O605" s="276"/>
      <c r="P605" s="276"/>
      <c r="Q605" s="276"/>
      <c r="R605" s="276"/>
      <c r="S605" s="276"/>
      <c r="T605" s="276"/>
      <c r="U605" s="276"/>
      <c r="V605" s="276"/>
      <c r="W605" s="276"/>
      <c r="X605" s="276"/>
      <c r="Y605" s="276"/>
      <c r="Z605" s="276"/>
    </row>
    <row r="606" spans="1:26" ht="18.75" customHeight="1">
      <c r="A606" s="276"/>
      <c r="B606" s="276"/>
      <c r="C606" s="276"/>
      <c r="D606" s="276"/>
      <c r="E606" s="276"/>
      <c r="F606" s="276"/>
      <c r="G606" s="276"/>
      <c r="H606" s="276"/>
      <c r="I606" s="276"/>
      <c r="J606" s="276"/>
      <c r="K606" s="276"/>
      <c r="L606" s="276"/>
      <c r="M606" s="276"/>
      <c r="N606" s="276"/>
      <c r="O606" s="276"/>
      <c r="P606" s="276"/>
      <c r="Q606" s="276"/>
      <c r="R606" s="276"/>
      <c r="S606" s="276"/>
      <c r="T606" s="276"/>
      <c r="U606" s="276"/>
      <c r="V606" s="276"/>
      <c r="W606" s="276"/>
      <c r="X606" s="276"/>
      <c r="Y606" s="276"/>
      <c r="Z606" s="276"/>
    </row>
    <row r="607" spans="1:26" ht="18.75" customHeight="1">
      <c r="A607" s="276"/>
      <c r="B607" s="276"/>
      <c r="C607" s="276"/>
      <c r="D607" s="276"/>
      <c r="E607" s="276"/>
      <c r="F607" s="276"/>
      <c r="G607" s="276"/>
      <c r="H607" s="276"/>
      <c r="I607" s="276"/>
      <c r="J607" s="276"/>
      <c r="K607" s="276"/>
      <c r="L607" s="276"/>
      <c r="M607" s="276"/>
      <c r="N607" s="276"/>
      <c r="O607" s="276"/>
      <c r="P607" s="276"/>
      <c r="Q607" s="276"/>
      <c r="R607" s="276"/>
      <c r="S607" s="276"/>
      <c r="T607" s="276"/>
      <c r="U607" s="276"/>
      <c r="V607" s="276"/>
      <c r="W607" s="276"/>
      <c r="X607" s="276"/>
      <c r="Y607" s="276"/>
      <c r="Z607" s="276"/>
    </row>
    <row r="608" spans="1:26" ht="18.75" customHeight="1">
      <c r="A608" s="276"/>
      <c r="B608" s="276"/>
      <c r="C608" s="276"/>
      <c r="D608" s="276"/>
      <c r="E608" s="276"/>
      <c r="F608" s="276"/>
      <c r="G608" s="276"/>
      <c r="H608" s="276"/>
      <c r="I608" s="276"/>
      <c r="J608" s="276"/>
      <c r="K608" s="276"/>
      <c r="L608" s="276"/>
      <c r="M608" s="276"/>
      <c r="N608" s="276"/>
      <c r="O608" s="276"/>
      <c r="P608" s="276"/>
      <c r="Q608" s="276"/>
      <c r="R608" s="276"/>
      <c r="S608" s="276"/>
      <c r="T608" s="276"/>
      <c r="U608" s="276"/>
      <c r="V608" s="276"/>
      <c r="W608" s="276"/>
      <c r="X608" s="276"/>
      <c r="Y608" s="276"/>
      <c r="Z608" s="276"/>
    </row>
    <row r="609" spans="1:26" ht="18.75" customHeight="1">
      <c r="A609" s="276"/>
      <c r="B609" s="276"/>
      <c r="C609" s="276"/>
      <c r="D609" s="276"/>
      <c r="E609" s="276"/>
      <c r="F609" s="276"/>
      <c r="G609" s="276"/>
      <c r="H609" s="276"/>
      <c r="I609" s="276"/>
      <c r="J609" s="276"/>
      <c r="K609" s="276"/>
      <c r="L609" s="276"/>
      <c r="M609" s="276"/>
      <c r="N609" s="276"/>
      <c r="O609" s="276"/>
      <c r="P609" s="276"/>
      <c r="Q609" s="276"/>
      <c r="R609" s="276"/>
      <c r="S609" s="276"/>
      <c r="T609" s="276"/>
      <c r="U609" s="276"/>
      <c r="V609" s="276"/>
      <c r="W609" s="276"/>
      <c r="X609" s="276"/>
      <c r="Y609" s="276"/>
      <c r="Z609" s="276"/>
    </row>
    <row r="610" spans="1:26" ht="18.75" customHeight="1">
      <c r="A610" s="276"/>
      <c r="B610" s="276"/>
      <c r="C610" s="276"/>
      <c r="D610" s="276"/>
      <c r="E610" s="276"/>
      <c r="F610" s="276"/>
      <c r="G610" s="276"/>
      <c r="H610" s="276"/>
      <c r="I610" s="276"/>
      <c r="J610" s="276"/>
      <c r="K610" s="276"/>
      <c r="L610" s="276"/>
      <c r="M610" s="276"/>
      <c r="N610" s="276"/>
      <c r="O610" s="276"/>
      <c r="P610" s="276"/>
      <c r="Q610" s="276"/>
      <c r="R610" s="276"/>
      <c r="S610" s="276"/>
      <c r="T610" s="276"/>
      <c r="U610" s="276"/>
      <c r="V610" s="276"/>
      <c r="W610" s="276"/>
      <c r="X610" s="276"/>
      <c r="Y610" s="276"/>
      <c r="Z610" s="276"/>
    </row>
    <row r="611" spans="1:26" ht="18.75" customHeight="1">
      <c r="A611" s="276"/>
      <c r="B611" s="276"/>
      <c r="C611" s="276"/>
      <c r="D611" s="276"/>
      <c r="E611" s="276"/>
      <c r="F611" s="276"/>
      <c r="G611" s="276"/>
      <c r="H611" s="276"/>
      <c r="I611" s="276"/>
      <c r="J611" s="276"/>
      <c r="K611" s="276"/>
      <c r="L611" s="276"/>
      <c r="M611" s="276"/>
      <c r="N611" s="276"/>
      <c r="O611" s="276"/>
      <c r="P611" s="276"/>
      <c r="Q611" s="276"/>
      <c r="R611" s="276"/>
      <c r="S611" s="276"/>
      <c r="T611" s="276"/>
      <c r="U611" s="276"/>
      <c r="V611" s="276"/>
      <c r="W611" s="276"/>
      <c r="X611" s="276"/>
      <c r="Y611" s="276"/>
      <c r="Z611" s="276"/>
    </row>
    <row r="612" spans="1:26" ht="18.75" customHeight="1">
      <c r="A612" s="276"/>
      <c r="B612" s="276"/>
      <c r="C612" s="276"/>
      <c r="D612" s="276"/>
      <c r="E612" s="276"/>
      <c r="F612" s="276"/>
      <c r="G612" s="276"/>
      <c r="H612" s="276"/>
      <c r="I612" s="276"/>
      <c r="J612" s="276"/>
      <c r="K612" s="276"/>
      <c r="L612" s="276"/>
      <c r="M612" s="276"/>
      <c r="N612" s="276"/>
      <c r="O612" s="276"/>
      <c r="P612" s="276"/>
      <c r="Q612" s="276"/>
      <c r="R612" s="276"/>
      <c r="S612" s="276"/>
      <c r="T612" s="276"/>
      <c r="U612" s="276"/>
      <c r="V612" s="276"/>
      <c r="W612" s="276"/>
      <c r="X612" s="276"/>
      <c r="Y612" s="276"/>
      <c r="Z612" s="276"/>
    </row>
    <row r="613" spans="1:26" ht="18.75" customHeight="1">
      <c r="A613" s="276"/>
      <c r="B613" s="276"/>
      <c r="C613" s="276"/>
      <c r="D613" s="276"/>
      <c r="E613" s="276"/>
      <c r="F613" s="276"/>
      <c r="G613" s="276"/>
      <c r="H613" s="276"/>
      <c r="I613" s="276"/>
      <c r="J613" s="276"/>
      <c r="K613" s="276"/>
      <c r="L613" s="276"/>
      <c r="M613" s="276"/>
      <c r="N613" s="276"/>
      <c r="O613" s="276"/>
      <c r="P613" s="276"/>
      <c r="Q613" s="276"/>
      <c r="R613" s="276"/>
      <c r="S613" s="276"/>
      <c r="T613" s="276"/>
      <c r="U613" s="276"/>
      <c r="V613" s="276"/>
      <c r="W613" s="276"/>
      <c r="X613" s="276"/>
      <c r="Y613" s="276"/>
      <c r="Z613" s="276"/>
    </row>
    <row r="614" spans="1:26" ht="18.75" customHeight="1">
      <c r="A614" s="276"/>
      <c r="B614" s="276"/>
      <c r="C614" s="276"/>
      <c r="D614" s="276"/>
      <c r="E614" s="276"/>
      <c r="F614" s="276"/>
      <c r="G614" s="276"/>
      <c r="H614" s="276"/>
      <c r="I614" s="276"/>
      <c r="J614" s="276"/>
      <c r="K614" s="276"/>
      <c r="L614" s="276"/>
      <c r="M614" s="276"/>
      <c r="N614" s="276"/>
      <c r="O614" s="276"/>
      <c r="P614" s="276"/>
      <c r="Q614" s="276"/>
      <c r="R614" s="276"/>
      <c r="S614" s="276"/>
      <c r="T614" s="276"/>
      <c r="U614" s="276"/>
      <c r="V614" s="276"/>
      <c r="W614" s="276"/>
      <c r="X614" s="276"/>
      <c r="Y614" s="276"/>
      <c r="Z614" s="276"/>
    </row>
    <row r="615" spans="1:26" ht="18.75" customHeight="1">
      <c r="A615" s="276"/>
      <c r="B615" s="276"/>
      <c r="C615" s="276"/>
      <c r="D615" s="276"/>
      <c r="E615" s="276"/>
      <c r="F615" s="276"/>
      <c r="G615" s="276"/>
      <c r="H615" s="276"/>
      <c r="I615" s="276"/>
      <c r="J615" s="276"/>
      <c r="K615" s="276"/>
      <c r="L615" s="276"/>
      <c r="M615" s="276"/>
      <c r="N615" s="276"/>
      <c r="O615" s="276"/>
      <c r="P615" s="276"/>
      <c r="Q615" s="276"/>
      <c r="R615" s="276"/>
      <c r="S615" s="276"/>
      <c r="T615" s="276"/>
      <c r="U615" s="276"/>
      <c r="V615" s="276"/>
      <c r="W615" s="276"/>
      <c r="X615" s="276"/>
      <c r="Y615" s="276"/>
      <c r="Z615" s="276"/>
    </row>
    <row r="616" spans="1:26" ht="18.75" customHeight="1">
      <c r="A616" s="276"/>
      <c r="B616" s="276"/>
      <c r="C616" s="276"/>
      <c r="D616" s="276"/>
      <c r="E616" s="276"/>
      <c r="F616" s="276"/>
      <c r="G616" s="276"/>
      <c r="H616" s="276"/>
      <c r="I616" s="276"/>
      <c r="J616" s="276"/>
      <c r="K616" s="276"/>
      <c r="L616" s="276"/>
      <c r="M616" s="276"/>
      <c r="N616" s="276"/>
      <c r="O616" s="276"/>
      <c r="P616" s="276"/>
      <c r="Q616" s="276"/>
      <c r="R616" s="276"/>
      <c r="S616" s="276"/>
      <c r="T616" s="276"/>
      <c r="U616" s="276"/>
      <c r="V616" s="276"/>
      <c r="W616" s="276"/>
      <c r="X616" s="276"/>
      <c r="Y616" s="276"/>
      <c r="Z616" s="276"/>
    </row>
    <row r="617" spans="1:26" ht="18.75" customHeight="1">
      <c r="A617" s="276"/>
      <c r="B617" s="276"/>
      <c r="C617" s="276"/>
      <c r="D617" s="276"/>
      <c r="E617" s="276"/>
      <c r="F617" s="276"/>
      <c r="G617" s="276"/>
      <c r="H617" s="276"/>
      <c r="I617" s="276"/>
      <c r="J617" s="276"/>
      <c r="K617" s="276"/>
      <c r="L617" s="276"/>
      <c r="M617" s="276"/>
      <c r="N617" s="276"/>
      <c r="O617" s="276"/>
      <c r="P617" s="276"/>
      <c r="Q617" s="276"/>
      <c r="R617" s="276"/>
      <c r="S617" s="276"/>
      <c r="T617" s="276"/>
      <c r="U617" s="276"/>
      <c r="V617" s="276"/>
      <c r="W617" s="276"/>
      <c r="X617" s="276"/>
      <c r="Y617" s="276"/>
      <c r="Z617" s="276"/>
    </row>
    <row r="618" spans="1:26" ht="18.75" customHeight="1">
      <c r="A618" s="276"/>
      <c r="B618" s="276"/>
      <c r="C618" s="276"/>
      <c r="D618" s="276"/>
      <c r="E618" s="276"/>
      <c r="F618" s="276"/>
      <c r="G618" s="276"/>
      <c r="H618" s="276"/>
      <c r="I618" s="276"/>
      <c r="J618" s="276"/>
      <c r="K618" s="276"/>
      <c r="L618" s="276"/>
      <c r="M618" s="276"/>
      <c r="N618" s="276"/>
      <c r="O618" s="276"/>
      <c r="P618" s="276"/>
      <c r="Q618" s="276"/>
      <c r="R618" s="276"/>
      <c r="S618" s="276"/>
      <c r="T618" s="276"/>
      <c r="U618" s="276"/>
      <c r="V618" s="276"/>
      <c r="W618" s="276"/>
      <c r="X618" s="276"/>
      <c r="Y618" s="276"/>
      <c r="Z618" s="276"/>
    </row>
    <row r="619" spans="1:26" ht="18.75" customHeight="1">
      <c r="A619" s="276"/>
      <c r="B619" s="276"/>
      <c r="C619" s="276"/>
      <c r="D619" s="276"/>
      <c r="E619" s="276"/>
      <c r="F619" s="276"/>
      <c r="G619" s="276"/>
      <c r="H619" s="276"/>
      <c r="I619" s="276"/>
      <c r="J619" s="276"/>
      <c r="K619" s="276"/>
      <c r="L619" s="276"/>
      <c r="M619" s="276"/>
      <c r="N619" s="276"/>
      <c r="O619" s="276"/>
      <c r="P619" s="276"/>
      <c r="Q619" s="276"/>
      <c r="R619" s="276"/>
      <c r="S619" s="276"/>
      <c r="T619" s="276"/>
      <c r="U619" s="276"/>
      <c r="V619" s="276"/>
      <c r="W619" s="276"/>
      <c r="X619" s="276"/>
      <c r="Y619" s="276"/>
      <c r="Z619" s="276"/>
    </row>
    <row r="620" spans="1:26" ht="18.75" customHeight="1">
      <c r="A620" s="276"/>
      <c r="B620" s="276"/>
      <c r="C620" s="276"/>
      <c r="D620" s="276"/>
      <c r="E620" s="276"/>
      <c r="F620" s="276"/>
      <c r="G620" s="276"/>
      <c r="H620" s="276"/>
      <c r="I620" s="276"/>
      <c r="J620" s="276"/>
      <c r="K620" s="276"/>
      <c r="L620" s="276"/>
      <c r="M620" s="276"/>
      <c r="N620" s="276"/>
      <c r="O620" s="276"/>
      <c r="P620" s="276"/>
      <c r="Q620" s="276"/>
      <c r="R620" s="276"/>
      <c r="S620" s="276"/>
      <c r="T620" s="276"/>
      <c r="U620" s="276"/>
      <c r="V620" s="276"/>
      <c r="W620" s="276"/>
      <c r="X620" s="276"/>
      <c r="Y620" s="276"/>
      <c r="Z620" s="276"/>
    </row>
    <row r="621" spans="1:26" ht="18.75" customHeight="1">
      <c r="A621" s="276"/>
      <c r="B621" s="276"/>
      <c r="C621" s="276"/>
      <c r="D621" s="276"/>
      <c r="E621" s="276"/>
      <c r="F621" s="276"/>
      <c r="G621" s="276"/>
      <c r="H621" s="276"/>
      <c r="I621" s="276"/>
      <c r="J621" s="276"/>
      <c r="K621" s="276"/>
      <c r="L621" s="276"/>
      <c r="M621" s="276"/>
      <c r="N621" s="276"/>
      <c r="O621" s="276"/>
      <c r="P621" s="276"/>
      <c r="Q621" s="276"/>
      <c r="R621" s="276"/>
      <c r="S621" s="276"/>
      <c r="T621" s="276"/>
      <c r="U621" s="276"/>
      <c r="V621" s="276"/>
      <c r="W621" s="276"/>
      <c r="X621" s="276"/>
      <c r="Y621" s="276"/>
      <c r="Z621" s="276"/>
    </row>
    <row r="622" spans="1:26" ht="18.75" customHeight="1">
      <c r="A622" s="276"/>
      <c r="B622" s="276"/>
      <c r="C622" s="276"/>
      <c r="D622" s="276"/>
      <c r="E622" s="276"/>
      <c r="F622" s="276"/>
      <c r="G622" s="276"/>
      <c r="H622" s="276"/>
      <c r="I622" s="276"/>
      <c r="J622" s="276"/>
      <c r="K622" s="276"/>
      <c r="L622" s="276"/>
      <c r="M622" s="276"/>
      <c r="N622" s="276"/>
      <c r="O622" s="276"/>
      <c r="P622" s="276"/>
      <c r="Q622" s="276"/>
      <c r="R622" s="276"/>
      <c r="S622" s="276"/>
      <c r="T622" s="276"/>
      <c r="U622" s="276"/>
      <c r="V622" s="276"/>
      <c r="W622" s="276"/>
      <c r="X622" s="276"/>
      <c r="Y622" s="276"/>
      <c r="Z622" s="276"/>
    </row>
    <row r="623" spans="1:26" ht="18.75" customHeight="1">
      <c r="A623" s="276"/>
      <c r="B623" s="276"/>
      <c r="C623" s="276"/>
      <c r="D623" s="276"/>
      <c r="E623" s="276"/>
      <c r="F623" s="276"/>
      <c r="G623" s="276"/>
      <c r="H623" s="276"/>
      <c r="I623" s="276"/>
      <c r="J623" s="276"/>
      <c r="K623" s="276"/>
      <c r="L623" s="276"/>
      <c r="M623" s="276"/>
      <c r="N623" s="276"/>
      <c r="O623" s="276"/>
      <c r="P623" s="276"/>
      <c r="Q623" s="276"/>
      <c r="R623" s="276"/>
      <c r="S623" s="276"/>
      <c r="T623" s="276"/>
      <c r="U623" s="276"/>
      <c r="V623" s="276"/>
      <c r="W623" s="276"/>
      <c r="X623" s="276"/>
      <c r="Y623" s="276"/>
      <c r="Z623" s="276"/>
    </row>
    <row r="624" spans="1:26" ht="18.75" customHeight="1">
      <c r="A624" s="276"/>
      <c r="B624" s="276"/>
      <c r="C624" s="276"/>
      <c r="D624" s="276"/>
      <c r="E624" s="276"/>
      <c r="F624" s="276"/>
      <c r="G624" s="276"/>
      <c r="H624" s="276"/>
      <c r="I624" s="276"/>
      <c r="J624" s="276"/>
      <c r="K624" s="276"/>
      <c r="L624" s="276"/>
      <c r="M624" s="276"/>
      <c r="N624" s="276"/>
      <c r="O624" s="276"/>
      <c r="P624" s="276"/>
      <c r="Q624" s="276"/>
      <c r="R624" s="276"/>
      <c r="S624" s="276"/>
      <c r="T624" s="276"/>
      <c r="U624" s="276"/>
      <c r="V624" s="276"/>
      <c r="W624" s="276"/>
      <c r="X624" s="276"/>
      <c r="Y624" s="276"/>
      <c r="Z624" s="276"/>
    </row>
    <row r="625" spans="1:26" ht="18.75" customHeight="1">
      <c r="A625" s="276"/>
      <c r="B625" s="276"/>
      <c r="C625" s="276"/>
      <c r="D625" s="276"/>
      <c r="E625" s="276"/>
      <c r="F625" s="276"/>
      <c r="G625" s="276"/>
      <c r="H625" s="276"/>
      <c r="I625" s="276"/>
      <c r="J625" s="276"/>
      <c r="K625" s="276"/>
      <c r="L625" s="276"/>
      <c r="M625" s="276"/>
      <c r="N625" s="276"/>
      <c r="O625" s="276"/>
      <c r="P625" s="276"/>
      <c r="Q625" s="276"/>
      <c r="R625" s="276"/>
      <c r="S625" s="276"/>
      <c r="T625" s="276"/>
      <c r="U625" s="276"/>
      <c r="V625" s="276"/>
      <c r="W625" s="276"/>
      <c r="X625" s="276"/>
      <c r="Y625" s="276"/>
      <c r="Z625" s="276"/>
    </row>
    <row r="626" spans="1:26" ht="18.75" customHeight="1">
      <c r="A626" s="276"/>
      <c r="B626" s="276"/>
      <c r="C626" s="276"/>
      <c r="D626" s="276"/>
      <c r="E626" s="276"/>
      <c r="F626" s="276"/>
      <c r="G626" s="276"/>
      <c r="H626" s="276"/>
      <c r="I626" s="276"/>
      <c r="J626" s="276"/>
      <c r="K626" s="276"/>
      <c r="L626" s="276"/>
      <c r="M626" s="276"/>
      <c r="N626" s="276"/>
      <c r="O626" s="276"/>
      <c r="P626" s="276"/>
      <c r="Q626" s="276"/>
      <c r="R626" s="276"/>
      <c r="S626" s="276"/>
      <c r="T626" s="276"/>
      <c r="U626" s="276"/>
      <c r="V626" s="276"/>
      <c r="W626" s="276"/>
      <c r="X626" s="276"/>
      <c r="Y626" s="276"/>
      <c r="Z626" s="276"/>
    </row>
    <row r="627" spans="1:26" ht="18.75" customHeight="1">
      <c r="A627" s="276"/>
      <c r="B627" s="276"/>
      <c r="C627" s="276"/>
      <c r="D627" s="276"/>
      <c r="E627" s="276"/>
      <c r="F627" s="276"/>
      <c r="G627" s="276"/>
      <c r="H627" s="276"/>
      <c r="I627" s="276"/>
      <c r="J627" s="276"/>
      <c r="K627" s="276"/>
      <c r="L627" s="276"/>
      <c r="M627" s="276"/>
      <c r="N627" s="276"/>
      <c r="O627" s="276"/>
      <c r="P627" s="276"/>
      <c r="Q627" s="276"/>
      <c r="R627" s="276"/>
      <c r="S627" s="276"/>
      <c r="T627" s="276"/>
      <c r="U627" s="276"/>
      <c r="V627" s="276"/>
      <c r="W627" s="276"/>
      <c r="X627" s="276"/>
      <c r="Y627" s="276"/>
      <c r="Z627" s="276"/>
    </row>
    <row r="628" spans="1:26" ht="18.75" customHeight="1">
      <c r="A628" s="276"/>
      <c r="B628" s="276"/>
      <c r="C628" s="276"/>
      <c r="D628" s="276"/>
      <c r="E628" s="276"/>
      <c r="F628" s="276"/>
      <c r="G628" s="276"/>
      <c r="H628" s="276"/>
      <c r="I628" s="276"/>
      <c r="J628" s="276"/>
      <c r="K628" s="276"/>
      <c r="L628" s="276"/>
      <c r="M628" s="276"/>
      <c r="N628" s="276"/>
      <c r="O628" s="276"/>
      <c r="P628" s="276"/>
      <c r="Q628" s="276"/>
      <c r="R628" s="276"/>
      <c r="S628" s="276"/>
      <c r="T628" s="276"/>
      <c r="U628" s="276"/>
      <c r="V628" s="276"/>
      <c r="W628" s="276"/>
      <c r="X628" s="276"/>
      <c r="Y628" s="276"/>
      <c r="Z628" s="276"/>
    </row>
    <row r="629" spans="1:26" ht="18.75" customHeight="1">
      <c r="A629" s="276"/>
      <c r="B629" s="276"/>
      <c r="C629" s="276"/>
      <c r="D629" s="276"/>
      <c r="E629" s="276"/>
      <c r="F629" s="276"/>
      <c r="G629" s="276"/>
      <c r="H629" s="276"/>
      <c r="I629" s="276"/>
      <c r="J629" s="276"/>
      <c r="K629" s="276"/>
      <c r="L629" s="276"/>
      <c r="M629" s="276"/>
      <c r="N629" s="276"/>
      <c r="O629" s="276"/>
      <c r="P629" s="276"/>
      <c r="Q629" s="276"/>
      <c r="R629" s="276"/>
      <c r="S629" s="276"/>
      <c r="T629" s="276"/>
      <c r="U629" s="276"/>
      <c r="V629" s="276"/>
      <c r="W629" s="276"/>
      <c r="X629" s="276"/>
      <c r="Y629" s="276"/>
      <c r="Z629" s="276"/>
    </row>
    <row r="630" spans="1:26" ht="18.75" customHeight="1">
      <c r="A630" s="276"/>
      <c r="B630" s="276"/>
      <c r="C630" s="276"/>
      <c r="D630" s="276"/>
      <c r="E630" s="276"/>
      <c r="F630" s="276"/>
      <c r="G630" s="276"/>
      <c r="H630" s="276"/>
      <c r="I630" s="276"/>
      <c r="J630" s="276"/>
      <c r="K630" s="276"/>
      <c r="L630" s="276"/>
      <c r="M630" s="276"/>
      <c r="N630" s="276"/>
      <c r="O630" s="276"/>
      <c r="P630" s="276"/>
      <c r="Q630" s="276"/>
      <c r="R630" s="276"/>
      <c r="S630" s="276"/>
      <c r="T630" s="276"/>
      <c r="U630" s="276"/>
      <c r="V630" s="276"/>
      <c r="W630" s="276"/>
      <c r="X630" s="276"/>
      <c r="Y630" s="276"/>
      <c r="Z630" s="276"/>
    </row>
    <row r="631" spans="1:26" ht="18.75" customHeight="1">
      <c r="A631" s="276"/>
      <c r="B631" s="276"/>
      <c r="C631" s="276"/>
      <c r="D631" s="276"/>
      <c r="E631" s="276"/>
      <c r="F631" s="276"/>
      <c r="G631" s="276"/>
      <c r="H631" s="276"/>
      <c r="I631" s="276"/>
      <c r="J631" s="276"/>
      <c r="K631" s="276"/>
      <c r="L631" s="276"/>
      <c r="M631" s="276"/>
      <c r="N631" s="276"/>
      <c r="O631" s="276"/>
      <c r="P631" s="276"/>
      <c r="Q631" s="276"/>
      <c r="R631" s="276"/>
      <c r="S631" s="276"/>
      <c r="T631" s="276"/>
      <c r="U631" s="276"/>
      <c r="V631" s="276"/>
      <c r="W631" s="276"/>
      <c r="X631" s="276"/>
      <c r="Y631" s="276"/>
      <c r="Z631" s="276"/>
    </row>
    <row r="632" spans="1:26" ht="18.75" customHeight="1">
      <c r="A632" s="276"/>
      <c r="B632" s="276"/>
      <c r="C632" s="276"/>
      <c r="D632" s="276"/>
      <c r="E632" s="276"/>
      <c r="F632" s="276"/>
      <c r="G632" s="276"/>
      <c r="H632" s="276"/>
      <c r="I632" s="276"/>
      <c r="J632" s="276"/>
      <c r="K632" s="276"/>
      <c r="L632" s="276"/>
      <c r="M632" s="276"/>
      <c r="N632" s="276"/>
      <c r="O632" s="276"/>
      <c r="P632" s="276"/>
      <c r="Q632" s="276"/>
      <c r="R632" s="276"/>
      <c r="S632" s="276"/>
      <c r="T632" s="276"/>
      <c r="U632" s="276"/>
      <c r="V632" s="276"/>
      <c r="W632" s="276"/>
      <c r="X632" s="276"/>
      <c r="Y632" s="276"/>
      <c r="Z632" s="276"/>
    </row>
    <row r="633" spans="1:26" ht="18.75" customHeight="1">
      <c r="A633" s="276"/>
      <c r="B633" s="276"/>
      <c r="C633" s="276"/>
      <c r="D633" s="276"/>
      <c r="E633" s="276"/>
      <c r="F633" s="276"/>
      <c r="G633" s="276"/>
      <c r="H633" s="276"/>
      <c r="I633" s="276"/>
      <c r="J633" s="276"/>
      <c r="K633" s="276"/>
      <c r="L633" s="276"/>
      <c r="M633" s="276"/>
      <c r="N633" s="276"/>
      <c r="O633" s="276"/>
      <c r="P633" s="276"/>
      <c r="Q633" s="276"/>
      <c r="R633" s="276"/>
      <c r="S633" s="276"/>
      <c r="T633" s="276"/>
      <c r="U633" s="276"/>
      <c r="V633" s="276"/>
      <c r="W633" s="276"/>
      <c r="X633" s="276"/>
      <c r="Y633" s="276"/>
      <c r="Z633" s="276"/>
    </row>
    <row r="634" spans="1:26" ht="18.75" customHeight="1">
      <c r="A634" s="276"/>
      <c r="B634" s="276"/>
      <c r="C634" s="276"/>
      <c r="D634" s="276"/>
      <c r="E634" s="276"/>
      <c r="F634" s="276"/>
      <c r="G634" s="276"/>
      <c r="H634" s="276"/>
      <c r="I634" s="276"/>
      <c r="J634" s="276"/>
      <c r="K634" s="276"/>
      <c r="L634" s="276"/>
      <c r="M634" s="276"/>
      <c r="N634" s="276"/>
      <c r="O634" s="276"/>
      <c r="P634" s="276"/>
      <c r="Q634" s="276"/>
      <c r="R634" s="276"/>
      <c r="S634" s="276"/>
      <c r="T634" s="276"/>
      <c r="U634" s="276"/>
      <c r="V634" s="276"/>
      <c r="W634" s="276"/>
      <c r="X634" s="276"/>
      <c r="Y634" s="276"/>
      <c r="Z634" s="276"/>
    </row>
    <row r="635" spans="1:26" ht="18.75" customHeight="1">
      <c r="A635" s="276"/>
      <c r="B635" s="276"/>
      <c r="C635" s="276"/>
      <c r="D635" s="276"/>
      <c r="E635" s="276"/>
      <c r="F635" s="276"/>
      <c r="G635" s="276"/>
      <c r="H635" s="276"/>
      <c r="I635" s="276"/>
      <c r="J635" s="276"/>
      <c r="K635" s="276"/>
      <c r="L635" s="276"/>
      <c r="M635" s="276"/>
      <c r="N635" s="276"/>
      <c r="O635" s="276"/>
      <c r="P635" s="276"/>
      <c r="Q635" s="276"/>
      <c r="R635" s="276"/>
      <c r="S635" s="276"/>
      <c r="T635" s="276"/>
      <c r="U635" s="276"/>
      <c r="V635" s="276"/>
      <c r="W635" s="276"/>
      <c r="X635" s="276"/>
      <c r="Y635" s="276"/>
      <c r="Z635" s="276"/>
    </row>
    <row r="636" spans="1:26" ht="18.75" customHeight="1">
      <c r="A636" s="276"/>
      <c r="B636" s="276"/>
      <c r="C636" s="276"/>
      <c r="D636" s="276"/>
      <c r="E636" s="276"/>
      <c r="F636" s="276"/>
      <c r="G636" s="276"/>
      <c r="H636" s="276"/>
      <c r="I636" s="276"/>
      <c r="J636" s="276"/>
      <c r="K636" s="276"/>
      <c r="L636" s="276"/>
      <c r="M636" s="276"/>
      <c r="N636" s="276"/>
      <c r="O636" s="276"/>
      <c r="P636" s="276"/>
      <c r="Q636" s="276"/>
      <c r="R636" s="276"/>
      <c r="S636" s="276"/>
      <c r="T636" s="276"/>
      <c r="U636" s="276"/>
      <c r="V636" s="276"/>
      <c r="W636" s="276"/>
      <c r="X636" s="276"/>
      <c r="Y636" s="276"/>
      <c r="Z636" s="276"/>
    </row>
    <row r="637" spans="1:26" ht="18.75" customHeight="1">
      <c r="A637" s="276"/>
      <c r="B637" s="276"/>
      <c r="C637" s="276"/>
      <c r="D637" s="276"/>
      <c r="E637" s="276"/>
      <c r="F637" s="276"/>
      <c r="G637" s="276"/>
      <c r="H637" s="276"/>
      <c r="I637" s="276"/>
      <c r="J637" s="276"/>
      <c r="K637" s="276"/>
      <c r="L637" s="276"/>
      <c r="M637" s="276"/>
      <c r="N637" s="276"/>
      <c r="O637" s="276"/>
      <c r="P637" s="276"/>
      <c r="Q637" s="276"/>
      <c r="R637" s="276"/>
      <c r="S637" s="276"/>
      <c r="T637" s="276"/>
      <c r="U637" s="276"/>
      <c r="V637" s="276"/>
      <c r="W637" s="276"/>
      <c r="X637" s="276"/>
      <c r="Y637" s="276"/>
      <c r="Z637" s="276"/>
    </row>
    <row r="638" spans="1:26" ht="18.75" customHeight="1">
      <c r="A638" s="276"/>
      <c r="B638" s="276"/>
      <c r="C638" s="276"/>
      <c r="D638" s="276"/>
      <c r="E638" s="276"/>
      <c r="F638" s="276"/>
      <c r="G638" s="276"/>
      <c r="H638" s="276"/>
      <c r="I638" s="276"/>
      <c r="J638" s="276"/>
      <c r="K638" s="276"/>
      <c r="L638" s="276"/>
      <c r="M638" s="276"/>
      <c r="N638" s="276"/>
      <c r="O638" s="276"/>
      <c r="P638" s="276"/>
      <c r="Q638" s="276"/>
      <c r="R638" s="276"/>
      <c r="S638" s="276"/>
      <c r="T638" s="276"/>
      <c r="U638" s="276"/>
      <c r="V638" s="276"/>
      <c r="W638" s="276"/>
      <c r="X638" s="276"/>
      <c r="Y638" s="276"/>
      <c r="Z638" s="276"/>
    </row>
    <row r="639" spans="1:26" ht="18.75" customHeight="1">
      <c r="A639" s="276"/>
      <c r="B639" s="276"/>
      <c r="C639" s="276"/>
      <c r="D639" s="276"/>
      <c r="E639" s="276"/>
      <c r="F639" s="276"/>
      <c r="G639" s="276"/>
      <c r="H639" s="276"/>
      <c r="I639" s="276"/>
      <c r="J639" s="276"/>
      <c r="K639" s="276"/>
      <c r="L639" s="276"/>
      <c r="M639" s="276"/>
      <c r="N639" s="276"/>
      <c r="O639" s="276"/>
      <c r="P639" s="276"/>
      <c r="Q639" s="276"/>
      <c r="R639" s="276"/>
      <c r="S639" s="276"/>
      <c r="T639" s="276"/>
      <c r="U639" s="276"/>
      <c r="V639" s="276"/>
      <c r="W639" s="276"/>
      <c r="X639" s="276"/>
      <c r="Y639" s="276"/>
      <c r="Z639" s="276"/>
    </row>
    <row r="640" spans="1:26" ht="18.75" customHeight="1">
      <c r="A640" s="276"/>
      <c r="B640" s="276"/>
      <c r="C640" s="276"/>
      <c r="D640" s="276"/>
      <c r="E640" s="276"/>
      <c r="F640" s="276"/>
      <c r="G640" s="276"/>
      <c r="H640" s="276"/>
      <c r="I640" s="276"/>
      <c r="J640" s="276"/>
      <c r="K640" s="276"/>
      <c r="L640" s="276"/>
      <c r="M640" s="276"/>
      <c r="N640" s="276"/>
      <c r="O640" s="276"/>
      <c r="P640" s="276"/>
      <c r="Q640" s="276"/>
      <c r="R640" s="276"/>
      <c r="S640" s="276"/>
      <c r="T640" s="276"/>
      <c r="U640" s="276"/>
      <c r="V640" s="276"/>
      <c r="W640" s="276"/>
      <c r="X640" s="276"/>
      <c r="Y640" s="276"/>
      <c r="Z640" s="276"/>
    </row>
    <row r="641" spans="1:26" ht="18.75" customHeight="1">
      <c r="A641" s="276"/>
      <c r="B641" s="276"/>
      <c r="C641" s="276"/>
      <c r="D641" s="276"/>
      <c r="E641" s="276"/>
      <c r="F641" s="276"/>
      <c r="G641" s="276"/>
      <c r="H641" s="276"/>
      <c r="I641" s="276"/>
      <c r="J641" s="276"/>
      <c r="K641" s="276"/>
      <c r="L641" s="276"/>
      <c r="M641" s="276"/>
      <c r="N641" s="276"/>
      <c r="O641" s="276"/>
      <c r="P641" s="276"/>
      <c r="Q641" s="276"/>
      <c r="R641" s="276"/>
      <c r="S641" s="276"/>
      <c r="T641" s="276"/>
      <c r="U641" s="276"/>
      <c r="V641" s="276"/>
      <c r="W641" s="276"/>
      <c r="X641" s="276"/>
      <c r="Y641" s="276"/>
      <c r="Z641" s="276"/>
    </row>
    <row r="642" spans="1:26" ht="18.75" customHeight="1">
      <c r="A642" s="276"/>
      <c r="B642" s="276"/>
      <c r="C642" s="276"/>
      <c r="D642" s="276"/>
      <c r="E642" s="276"/>
      <c r="F642" s="276"/>
      <c r="G642" s="276"/>
      <c r="H642" s="276"/>
      <c r="I642" s="276"/>
      <c r="J642" s="276"/>
      <c r="K642" s="276"/>
      <c r="L642" s="276"/>
      <c r="M642" s="276"/>
      <c r="N642" s="276"/>
      <c r="O642" s="276"/>
      <c r="P642" s="276"/>
      <c r="Q642" s="276"/>
      <c r="R642" s="276"/>
      <c r="S642" s="276"/>
      <c r="T642" s="276"/>
      <c r="U642" s="276"/>
      <c r="V642" s="276"/>
      <c r="W642" s="276"/>
      <c r="X642" s="276"/>
      <c r="Y642" s="276"/>
      <c r="Z642" s="276"/>
    </row>
    <row r="643" spans="1:26" ht="18.75" customHeight="1">
      <c r="A643" s="276"/>
      <c r="B643" s="276"/>
      <c r="C643" s="276"/>
      <c r="D643" s="276"/>
      <c r="E643" s="276"/>
      <c r="F643" s="276"/>
      <c r="G643" s="276"/>
      <c r="H643" s="276"/>
      <c r="I643" s="276"/>
      <c r="J643" s="276"/>
      <c r="K643" s="276"/>
      <c r="L643" s="276"/>
      <c r="M643" s="276"/>
      <c r="N643" s="276"/>
      <c r="O643" s="276"/>
      <c r="P643" s="276"/>
      <c r="Q643" s="276"/>
      <c r="R643" s="276"/>
      <c r="S643" s="276"/>
      <c r="T643" s="276"/>
      <c r="U643" s="276"/>
      <c r="V643" s="276"/>
      <c r="W643" s="276"/>
      <c r="X643" s="276"/>
      <c r="Y643" s="276"/>
      <c r="Z643" s="276"/>
    </row>
    <row r="644" spans="1:26" ht="18.75" customHeight="1">
      <c r="A644" s="276"/>
      <c r="B644" s="276"/>
      <c r="C644" s="276"/>
      <c r="D644" s="276"/>
      <c r="E644" s="276"/>
      <c r="F644" s="276"/>
      <c r="G644" s="276"/>
      <c r="H644" s="276"/>
      <c r="I644" s="276"/>
      <c r="J644" s="276"/>
      <c r="K644" s="276"/>
      <c r="L644" s="276"/>
      <c r="M644" s="276"/>
      <c r="N644" s="276"/>
      <c r="O644" s="276"/>
      <c r="P644" s="276"/>
      <c r="Q644" s="276"/>
      <c r="R644" s="276"/>
      <c r="S644" s="276"/>
      <c r="T644" s="276"/>
      <c r="U644" s="276"/>
      <c r="V644" s="276"/>
      <c r="W644" s="276"/>
      <c r="X644" s="276"/>
      <c r="Y644" s="276"/>
      <c r="Z644" s="276"/>
    </row>
    <row r="645" spans="1:26" ht="18.75" customHeight="1">
      <c r="A645" s="276"/>
      <c r="B645" s="276"/>
      <c r="C645" s="276"/>
      <c r="D645" s="276"/>
      <c r="E645" s="276"/>
      <c r="F645" s="276"/>
      <c r="G645" s="276"/>
      <c r="H645" s="276"/>
      <c r="I645" s="276"/>
      <c r="J645" s="276"/>
      <c r="K645" s="276"/>
      <c r="L645" s="276"/>
      <c r="M645" s="276"/>
      <c r="N645" s="276"/>
      <c r="O645" s="276"/>
      <c r="P645" s="276"/>
      <c r="Q645" s="276"/>
      <c r="R645" s="276"/>
      <c r="S645" s="276"/>
      <c r="T645" s="276"/>
      <c r="U645" s="276"/>
      <c r="V645" s="276"/>
      <c r="W645" s="276"/>
      <c r="X645" s="276"/>
      <c r="Y645" s="276"/>
      <c r="Z645" s="276"/>
    </row>
    <row r="646" spans="1:26" ht="18.75" customHeight="1">
      <c r="A646" s="276"/>
      <c r="B646" s="276"/>
      <c r="C646" s="276"/>
      <c r="D646" s="276"/>
      <c r="E646" s="276"/>
      <c r="F646" s="276"/>
      <c r="G646" s="276"/>
      <c r="H646" s="276"/>
      <c r="I646" s="276"/>
      <c r="J646" s="276"/>
      <c r="K646" s="276"/>
      <c r="L646" s="276"/>
      <c r="M646" s="276"/>
      <c r="N646" s="276"/>
      <c r="O646" s="276"/>
      <c r="P646" s="276"/>
      <c r="Q646" s="276"/>
      <c r="R646" s="276"/>
      <c r="S646" s="276"/>
      <c r="T646" s="276"/>
      <c r="U646" s="276"/>
      <c r="V646" s="276"/>
      <c r="W646" s="276"/>
      <c r="X646" s="276"/>
      <c r="Y646" s="276"/>
      <c r="Z646" s="276"/>
    </row>
    <row r="647" spans="1:26" ht="18.75" customHeight="1">
      <c r="A647" s="276"/>
      <c r="B647" s="276"/>
      <c r="C647" s="276"/>
      <c r="D647" s="276"/>
      <c r="E647" s="276"/>
      <c r="F647" s="276"/>
      <c r="G647" s="276"/>
      <c r="H647" s="276"/>
      <c r="I647" s="276"/>
      <c r="J647" s="276"/>
      <c r="K647" s="276"/>
      <c r="L647" s="276"/>
      <c r="M647" s="276"/>
      <c r="N647" s="276"/>
      <c r="O647" s="276"/>
      <c r="P647" s="276"/>
      <c r="Q647" s="276"/>
      <c r="R647" s="276"/>
      <c r="S647" s="276"/>
      <c r="T647" s="276"/>
      <c r="U647" s="276"/>
      <c r="V647" s="276"/>
      <c r="W647" s="276"/>
      <c r="X647" s="276"/>
      <c r="Y647" s="276"/>
      <c r="Z647" s="276"/>
    </row>
    <row r="648" spans="1:26" ht="18.75" customHeight="1">
      <c r="A648" s="276"/>
      <c r="B648" s="276"/>
      <c r="C648" s="276"/>
      <c r="D648" s="276"/>
      <c r="E648" s="276"/>
      <c r="F648" s="276"/>
      <c r="G648" s="276"/>
      <c r="H648" s="276"/>
      <c r="I648" s="276"/>
      <c r="J648" s="276"/>
      <c r="K648" s="276"/>
      <c r="L648" s="276"/>
      <c r="M648" s="276"/>
      <c r="N648" s="276"/>
      <c r="O648" s="276"/>
      <c r="P648" s="276"/>
      <c r="Q648" s="276"/>
      <c r="R648" s="276"/>
      <c r="S648" s="276"/>
      <c r="T648" s="276"/>
      <c r="U648" s="276"/>
      <c r="V648" s="276"/>
      <c r="W648" s="276"/>
      <c r="X648" s="276"/>
      <c r="Y648" s="276"/>
      <c r="Z648" s="276"/>
    </row>
    <row r="649" spans="1:26" ht="18.75" customHeight="1">
      <c r="A649" s="276"/>
      <c r="B649" s="276"/>
      <c r="C649" s="276"/>
      <c r="D649" s="276"/>
      <c r="E649" s="276"/>
      <c r="F649" s="276"/>
      <c r="G649" s="276"/>
      <c r="H649" s="276"/>
      <c r="I649" s="276"/>
      <c r="J649" s="276"/>
      <c r="K649" s="276"/>
      <c r="L649" s="276"/>
      <c r="M649" s="276"/>
      <c r="N649" s="276"/>
      <c r="O649" s="276"/>
      <c r="P649" s="276"/>
      <c r="Q649" s="276"/>
      <c r="R649" s="276"/>
      <c r="S649" s="276"/>
      <c r="T649" s="276"/>
      <c r="U649" s="276"/>
      <c r="V649" s="276"/>
      <c r="W649" s="276"/>
      <c r="X649" s="276"/>
      <c r="Y649" s="276"/>
      <c r="Z649" s="276"/>
    </row>
    <row r="650" spans="1:26" ht="18.75" customHeight="1">
      <c r="A650" s="276"/>
      <c r="B650" s="276"/>
      <c r="C650" s="276"/>
      <c r="D650" s="276"/>
      <c r="E650" s="276"/>
      <c r="F650" s="276"/>
      <c r="G650" s="276"/>
      <c r="H650" s="276"/>
      <c r="I650" s="276"/>
      <c r="J650" s="276"/>
      <c r="K650" s="276"/>
      <c r="L650" s="276"/>
      <c r="M650" s="276"/>
      <c r="N650" s="276"/>
      <c r="O650" s="276"/>
      <c r="P650" s="276"/>
      <c r="Q650" s="276"/>
      <c r="R650" s="276"/>
      <c r="S650" s="276"/>
      <c r="T650" s="276"/>
      <c r="U650" s="276"/>
      <c r="V650" s="276"/>
      <c r="W650" s="276"/>
      <c r="X650" s="276"/>
      <c r="Y650" s="276"/>
      <c r="Z650" s="276"/>
    </row>
    <row r="651" spans="1:26" ht="18.75" customHeight="1">
      <c r="A651" s="276"/>
      <c r="B651" s="276"/>
      <c r="C651" s="276"/>
      <c r="D651" s="276"/>
      <c r="E651" s="276"/>
      <c r="F651" s="276"/>
      <c r="G651" s="276"/>
      <c r="H651" s="276"/>
      <c r="I651" s="276"/>
      <c r="J651" s="276"/>
      <c r="K651" s="276"/>
      <c r="L651" s="276"/>
      <c r="M651" s="276"/>
      <c r="N651" s="276"/>
      <c r="O651" s="276"/>
      <c r="P651" s="276"/>
      <c r="Q651" s="276"/>
      <c r="R651" s="276"/>
      <c r="S651" s="276"/>
      <c r="T651" s="276"/>
      <c r="U651" s="276"/>
      <c r="V651" s="276"/>
      <c r="W651" s="276"/>
      <c r="X651" s="276"/>
      <c r="Y651" s="276"/>
      <c r="Z651" s="276"/>
    </row>
    <row r="652" spans="1:26" ht="18.75" customHeight="1">
      <c r="A652" s="276"/>
      <c r="B652" s="276"/>
      <c r="C652" s="276"/>
      <c r="D652" s="276"/>
      <c r="E652" s="276"/>
      <c r="F652" s="276"/>
      <c r="G652" s="276"/>
      <c r="H652" s="276"/>
      <c r="I652" s="276"/>
      <c r="J652" s="276"/>
      <c r="K652" s="276"/>
      <c r="L652" s="276"/>
      <c r="M652" s="276"/>
      <c r="N652" s="276"/>
      <c r="O652" s="276"/>
      <c r="P652" s="276"/>
      <c r="Q652" s="276"/>
      <c r="R652" s="276"/>
      <c r="S652" s="276"/>
      <c r="T652" s="276"/>
      <c r="U652" s="276"/>
      <c r="V652" s="276"/>
      <c r="W652" s="276"/>
      <c r="X652" s="276"/>
      <c r="Y652" s="276"/>
      <c r="Z652" s="276"/>
    </row>
    <row r="653" spans="1:26" ht="18.75" customHeight="1">
      <c r="A653" s="276"/>
      <c r="B653" s="276"/>
      <c r="C653" s="276"/>
      <c r="D653" s="276"/>
      <c r="E653" s="276"/>
      <c r="F653" s="276"/>
      <c r="G653" s="276"/>
      <c r="H653" s="276"/>
      <c r="I653" s="276"/>
      <c r="J653" s="276"/>
      <c r="K653" s="276"/>
      <c r="L653" s="276"/>
      <c r="M653" s="276"/>
      <c r="N653" s="276"/>
      <c r="O653" s="276"/>
      <c r="P653" s="276"/>
      <c r="Q653" s="276"/>
      <c r="R653" s="276"/>
      <c r="S653" s="276"/>
      <c r="T653" s="276"/>
      <c r="U653" s="276"/>
      <c r="V653" s="276"/>
      <c r="W653" s="276"/>
      <c r="X653" s="276"/>
      <c r="Y653" s="276"/>
      <c r="Z653" s="276"/>
    </row>
    <row r="654" spans="1:26" ht="18.75" customHeight="1">
      <c r="A654" s="276"/>
      <c r="B654" s="276"/>
      <c r="C654" s="276"/>
      <c r="D654" s="276"/>
      <c r="E654" s="276"/>
      <c r="F654" s="276"/>
      <c r="G654" s="276"/>
      <c r="H654" s="276"/>
      <c r="I654" s="276"/>
      <c r="J654" s="276"/>
      <c r="K654" s="276"/>
      <c r="L654" s="276"/>
      <c r="M654" s="276"/>
      <c r="N654" s="276"/>
      <c r="O654" s="276"/>
      <c r="P654" s="276"/>
      <c r="Q654" s="276"/>
      <c r="R654" s="276"/>
      <c r="S654" s="276"/>
      <c r="T654" s="276"/>
      <c r="U654" s="276"/>
      <c r="V654" s="276"/>
      <c r="W654" s="276"/>
      <c r="X654" s="276"/>
      <c r="Y654" s="276"/>
      <c r="Z654" s="276"/>
    </row>
    <row r="655" spans="1:26" ht="18.75" customHeight="1">
      <c r="A655" s="276"/>
      <c r="B655" s="276"/>
      <c r="C655" s="276"/>
      <c r="D655" s="276"/>
      <c r="E655" s="276"/>
      <c r="F655" s="276"/>
      <c r="G655" s="276"/>
      <c r="H655" s="276"/>
      <c r="I655" s="276"/>
      <c r="J655" s="276"/>
      <c r="K655" s="276"/>
      <c r="L655" s="276"/>
      <c r="M655" s="276"/>
      <c r="N655" s="276"/>
      <c r="O655" s="276"/>
      <c r="P655" s="276"/>
      <c r="Q655" s="276"/>
      <c r="R655" s="276"/>
      <c r="S655" s="276"/>
      <c r="T655" s="276"/>
      <c r="U655" s="276"/>
      <c r="V655" s="276"/>
      <c r="W655" s="276"/>
      <c r="X655" s="276"/>
      <c r="Y655" s="276"/>
      <c r="Z655" s="276"/>
    </row>
    <row r="656" spans="1:26" ht="18.75" customHeight="1">
      <c r="A656" s="276"/>
      <c r="B656" s="276"/>
      <c r="C656" s="276"/>
      <c r="D656" s="276"/>
      <c r="E656" s="276"/>
      <c r="F656" s="276"/>
      <c r="G656" s="276"/>
      <c r="H656" s="276"/>
      <c r="I656" s="276"/>
      <c r="J656" s="276"/>
      <c r="K656" s="276"/>
      <c r="L656" s="276"/>
      <c r="M656" s="276"/>
      <c r="N656" s="276"/>
      <c r="O656" s="276"/>
      <c r="P656" s="276"/>
      <c r="Q656" s="276"/>
      <c r="R656" s="276"/>
      <c r="S656" s="276"/>
      <c r="T656" s="276"/>
      <c r="U656" s="276"/>
      <c r="V656" s="276"/>
      <c r="W656" s="276"/>
      <c r="X656" s="276"/>
      <c r="Y656" s="276"/>
      <c r="Z656" s="276"/>
    </row>
    <row r="657" spans="1:26" ht="18.75" customHeight="1">
      <c r="A657" s="276"/>
      <c r="B657" s="276"/>
      <c r="C657" s="276"/>
      <c r="D657" s="276"/>
      <c r="E657" s="276"/>
      <c r="F657" s="276"/>
      <c r="G657" s="276"/>
      <c r="H657" s="276"/>
      <c r="I657" s="276"/>
      <c r="J657" s="276"/>
      <c r="K657" s="276"/>
      <c r="L657" s="276"/>
      <c r="M657" s="276"/>
      <c r="N657" s="276"/>
      <c r="O657" s="276"/>
      <c r="P657" s="276"/>
      <c r="Q657" s="276"/>
      <c r="R657" s="276"/>
      <c r="S657" s="276"/>
      <c r="T657" s="276"/>
      <c r="U657" s="276"/>
      <c r="V657" s="276"/>
      <c r="W657" s="276"/>
      <c r="X657" s="276"/>
      <c r="Y657" s="276"/>
      <c r="Z657" s="276"/>
    </row>
    <row r="658" spans="1:26" ht="18.75" customHeight="1">
      <c r="A658" s="276"/>
      <c r="B658" s="276"/>
      <c r="C658" s="276"/>
      <c r="D658" s="276"/>
      <c r="E658" s="276"/>
      <c r="F658" s="276"/>
      <c r="G658" s="276"/>
      <c r="H658" s="276"/>
      <c r="I658" s="276"/>
      <c r="J658" s="276"/>
      <c r="K658" s="276"/>
      <c r="L658" s="276"/>
      <c r="M658" s="276"/>
      <c r="N658" s="276"/>
      <c r="O658" s="276"/>
      <c r="P658" s="276"/>
      <c r="Q658" s="276"/>
      <c r="R658" s="276"/>
      <c r="S658" s="276"/>
      <c r="T658" s="276"/>
      <c r="U658" s="276"/>
      <c r="V658" s="276"/>
      <c r="W658" s="276"/>
      <c r="X658" s="276"/>
      <c r="Y658" s="276"/>
      <c r="Z658" s="276"/>
    </row>
    <row r="659" spans="1:26" ht="18.75" customHeight="1">
      <c r="A659" s="276"/>
      <c r="B659" s="276"/>
      <c r="C659" s="276"/>
      <c r="D659" s="276"/>
      <c r="E659" s="276"/>
      <c r="F659" s="276"/>
      <c r="G659" s="276"/>
      <c r="H659" s="276"/>
      <c r="I659" s="276"/>
      <c r="J659" s="276"/>
      <c r="K659" s="276"/>
      <c r="L659" s="276"/>
      <c r="M659" s="276"/>
      <c r="N659" s="276"/>
      <c r="O659" s="276"/>
      <c r="P659" s="276"/>
      <c r="Q659" s="276"/>
      <c r="R659" s="276"/>
      <c r="S659" s="276"/>
      <c r="T659" s="276"/>
      <c r="U659" s="276"/>
      <c r="V659" s="276"/>
      <c r="W659" s="276"/>
      <c r="X659" s="276"/>
      <c r="Y659" s="276"/>
      <c r="Z659" s="276"/>
    </row>
    <row r="660" spans="1:26" ht="18.75" customHeight="1">
      <c r="A660" s="276"/>
      <c r="B660" s="276"/>
      <c r="C660" s="276"/>
      <c r="D660" s="276"/>
      <c r="E660" s="276"/>
      <c r="F660" s="276"/>
      <c r="G660" s="276"/>
      <c r="H660" s="276"/>
      <c r="I660" s="276"/>
      <c r="J660" s="276"/>
      <c r="K660" s="276"/>
      <c r="L660" s="276"/>
      <c r="M660" s="276"/>
      <c r="N660" s="276"/>
      <c r="O660" s="276"/>
      <c r="P660" s="276"/>
      <c r="Q660" s="276"/>
      <c r="R660" s="276"/>
      <c r="S660" s="276"/>
      <c r="T660" s="276"/>
      <c r="U660" s="276"/>
      <c r="V660" s="276"/>
      <c r="W660" s="276"/>
      <c r="X660" s="276"/>
      <c r="Y660" s="276"/>
      <c r="Z660" s="276"/>
    </row>
    <row r="661" spans="1:26" ht="18.75" customHeight="1">
      <c r="A661" s="276"/>
      <c r="B661" s="276"/>
      <c r="C661" s="276"/>
      <c r="D661" s="276"/>
      <c r="E661" s="276"/>
      <c r="F661" s="276"/>
      <c r="G661" s="276"/>
      <c r="H661" s="276"/>
      <c r="I661" s="276"/>
      <c r="J661" s="276"/>
      <c r="K661" s="276"/>
      <c r="L661" s="276"/>
      <c r="M661" s="276"/>
      <c r="N661" s="276"/>
      <c r="O661" s="276"/>
      <c r="P661" s="276"/>
      <c r="Q661" s="276"/>
      <c r="R661" s="276"/>
      <c r="S661" s="276"/>
      <c r="T661" s="276"/>
      <c r="U661" s="276"/>
      <c r="V661" s="276"/>
      <c r="W661" s="276"/>
      <c r="X661" s="276"/>
      <c r="Y661" s="276"/>
      <c r="Z661" s="276"/>
    </row>
    <row r="662" spans="1:26" ht="18.75" customHeight="1">
      <c r="A662" s="276"/>
      <c r="B662" s="276"/>
      <c r="C662" s="276"/>
      <c r="D662" s="276"/>
      <c r="E662" s="276"/>
      <c r="F662" s="276"/>
      <c r="G662" s="276"/>
      <c r="H662" s="276"/>
      <c r="I662" s="276"/>
      <c r="J662" s="276"/>
      <c r="K662" s="276"/>
      <c r="L662" s="276"/>
      <c r="M662" s="276"/>
      <c r="N662" s="276"/>
      <c r="O662" s="276"/>
      <c r="P662" s="276"/>
      <c r="Q662" s="276"/>
      <c r="R662" s="276"/>
      <c r="S662" s="276"/>
      <c r="T662" s="276"/>
      <c r="U662" s="276"/>
      <c r="V662" s="276"/>
      <c r="W662" s="276"/>
      <c r="X662" s="276"/>
      <c r="Y662" s="276"/>
      <c r="Z662" s="276"/>
    </row>
    <row r="663" spans="1:26" ht="18.75" customHeight="1">
      <c r="A663" s="276"/>
      <c r="B663" s="276"/>
      <c r="C663" s="276"/>
      <c r="D663" s="276"/>
      <c r="E663" s="276"/>
      <c r="F663" s="276"/>
      <c r="G663" s="276"/>
      <c r="H663" s="276"/>
      <c r="I663" s="276"/>
      <c r="J663" s="276"/>
      <c r="K663" s="276"/>
      <c r="L663" s="276"/>
      <c r="M663" s="276"/>
      <c r="N663" s="276"/>
      <c r="O663" s="276"/>
      <c r="P663" s="276"/>
      <c r="Q663" s="276"/>
      <c r="R663" s="276"/>
      <c r="S663" s="276"/>
      <c r="T663" s="276"/>
      <c r="U663" s="276"/>
      <c r="V663" s="276"/>
      <c r="W663" s="276"/>
      <c r="X663" s="276"/>
      <c r="Y663" s="276"/>
      <c r="Z663" s="276"/>
    </row>
    <row r="664" spans="1:26" ht="18.75" customHeight="1">
      <c r="A664" s="276"/>
      <c r="B664" s="276"/>
      <c r="C664" s="276"/>
      <c r="D664" s="276"/>
      <c r="E664" s="276"/>
      <c r="F664" s="276"/>
      <c r="G664" s="276"/>
      <c r="H664" s="276"/>
      <c r="I664" s="276"/>
      <c r="J664" s="276"/>
      <c r="K664" s="276"/>
      <c r="L664" s="276"/>
      <c r="M664" s="276"/>
      <c r="N664" s="276"/>
      <c r="O664" s="276"/>
      <c r="P664" s="276"/>
      <c r="Q664" s="276"/>
      <c r="R664" s="276"/>
      <c r="S664" s="276"/>
      <c r="T664" s="276"/>
      <c r="U664" s="276"/>
      <c r="V664" s="276"/>
      <c r="W664" s="276"/>
      <c r="X664" s="276"/>
      <c r="Y664" s="276"/>
      <c r="Z664" s="276"/>
    </row>
    <row r="665" spans="1:26" ht="18.75" customHeight="1">
      <c r="A665" s="276"/>
      <c r="B665" s="276"/>
      <c r="C665" s="276"/>
      <c r="D665" s="276"/>
      <c r="E665" s="276"/>
      <c r="F665" s="276"/>
      <c r="G665" s="276"/>
      <c r="H665" s="276"/>
      <c r="I665" s="276"/>
      <c r="J665" s="276"/>
      <c r="K665" s="276"/>
      <c r="L665" s="276"/>
      <c r="M665" s="276"/>
      <c r="N665" s="276"/>
      <c r="O665" s="276"/>
      <c r="P665" s="276"/>
      <c r="Q665" s="276"/>
      <c r="R665" s="276"/>
      <c r="S665" s="276"/>
      <c r="T665" s="276"/>
      <c r="U665" s="276"/>
      <c r="V665" s="276"/>
      <c r="W665" s="276"/>
      <c r="X665" s="276"/>
      <c r="Y665" s="276"/>
      <c r="Z665" s="276"/>
    </row>
    <row r="666" spans="1:26" ht="18.75" customHeight="1">
      <c r="A666" s="276"/>
      <c r="B666" s="276"/>
      <c r="C666" s="276"/>
      <c r="D666" s="276"/>
      <c r="E666" s="276"/>
      <c r="F666" s="276"/>
      <c r="G666" s="276"/>
      <c r="H666" s="276"/>
      <c r="I666" s="276"/>
      <c r="J666" s="276"/>
      <c r="K666" s="276"/>
      <c r="L666" s="276"/>
      <c r="M666" s="276"/>
      <c r="N666" s="276"/>
      <c r="O666" s="276"/>
      <c r="P666" s="276"/>
      <c r="Q666" s="276"/>
      <c r="R666" s="276"/>
      <c r="S666" s="276"/>
      <c r="T666" s="276"/>
      <c r="U666" s="276"/>
      <c r="V666" s="276"/>
      <c r="W666" s="276"/>
      <c r="X666" s="276"/>
      <c r="Y666" s="276"/>
      <c r="Z666" s="276"/>
    </row>
    <row r="667" spans="1:26" ht="18.75" customHeight="1">
      <c r="A667" s="276"/>
      <c r="B667" s="276"/>
      <c r="C667" s="276"/>
      <c r="D667" s="276"/>
      <c r="E667" s="276"/>
      <c r="F667" s="276"/>
      <c r="G667" s="276"/>
      <c r="H667" s="276"/>
      <c r="I667" s="276"/>
      <c r="J667" s="276"/>
      <c r="K667" s="276"/>
      <c r="L667" s="276"/>
      <c r="M667" s="276"/>
      <c r="N667" s="276"/>
      <c r="O667" s="276"/>
      <c r="P667" s="276"/>
      <c r="Q667" s="276"/>
      <c r="R667" s="276"/>
      <c r="S667" s="276"/>
      <c r="T667" s="276"/>
      <c r="U667" s="276"/>
      <c r="V667" s="276"/>
      <c r="W667" s="276"/>
      <c r="X667" s="276"/>
      <c r="Y667" s="276"/>
      <c r="Z667" s="276"/>
    </row>
    <row r="668" spans="1:26" ht="18.75" customHeight="1">
      <c r="A668" s="276"/>
      <c r="B668" s="276"/>
      <c r="C668" s="276"/>
      <c r="D668" s="276"/>
      <c r="E668" s="276"/>
      <c r="F668" s="276"/>
      <c r="G668" s="276"/>
      <c r="H668" s="276"/>
      <c r="I668" s="276"/>
      <c r="J668" s="276"/>
      <c r="K668" s="276"/>
      <c r="L668" s="276"/>
      <c r="M668" s="276"/>
      <c r="N668" s="276"/>
      <c r="O668" s="276"/>
      <c r="P668" s="276"/>
      <c r="Q668" s="276"/>
      <c r="R668" s="276"/>
      <c r="S668" s="276"/>
      <c r="T668" s="276"/>
      <c r="U668" s="276"/>
      <c r="V668" s="276"/>
      <c r="W668" s="276"/>
      <c r="X668" s="276"/>
      <c r="Y668" s="276"/>
      <c r="Z668" s="276"/>
    </row>
    <row r="669" spans="1:26" ht="18.75" customHeight="1">
      <c r="A669" s="276"/>
      <c r="B669" s="276"/>
      <c r="C669" s="276"/>
      <c r="D669" s="276"/>
      <c r="E669" s="276"/>
      <c r="F669" s="276"/>
      <c r="G669" s="276"/>
      <c r="H669" s="276"/>
      <c r="I669" s="276"/>
      <c r="J669" s="276"/>
      <c r="K669" s="276"/>
      <c r="L669" s="276"/>
      <c r="M669" s="276"/>
      <c r="N669" s="276"/>
      <c r="O669" s="276"/>
      <c r="P669" s="276"/>
      <c r="Q669" s="276"/>
      <c r="R669" s="276"/>
      <c r="S669" s="276"/>
      <c r="T669" s="276"/>
      <c r="U669" s="276"/>
      <c r="V669" s="276"/>
      <c r="W669" s="276"/>
      <c r="X669" s="276"/>
      <c r="Y669" s="276"/>
      <c r="Z669" s="276"/>
    </row>
    <row r="670" spans="1:26" ht="18.75" customHeight="1">
      <c r="A670" s="276"/>
      <c r="B670" s="276"/>
      <c r="C670" s="276"/>
      <c r="D670" s="276"/>
      <c r="E670" s="276"/>
      <c r="F670" s="276"/>
      <c r="G670" s="276"/>
      <c r="H670" s="276"/>
      <c r="I670" s="276"/>
      <c r="J670" s="276"/>
      <c r="K670" s="276"/>
      <c r="L670" s="276"/>
      <c r="M670" s="276"/>
      <c r="N670" s="276"/>
      <c r="O670" s="276"/>
      <c r="P670" s="276"/>
      <c r="Q670" s="276"/>
      <c r="R670" s="276"/>
      <c r="S670" s="276"/>
      <c r="T670" s="276"/>
      <c r="U670" s="276"/>
      <c r="V670" s="276"/>
      <c r="W670" s="276"/>
      <c r="X670" s="276"/>
      <c r="Y670" s="276"/>
      <c r="Z670" s="276"/>
    </row>
    <row r="671" spans="1:26" ht="18.75" customHeight="1">
      <c r="A671" s="276"/>
      <c r="B671" s="276"/>
      <c r="C671" s="276"/>
      <c r="D671" s="276"/>
      <c r="E671" s="276"/>
      <c r="F671" s="276"/>
      <c r="G671" s="276"/>
      <c r="H671" s="276"/>
      <c r="I671" s="276"/>
      <c r="J671" s="276"/>
      <c r="K671" s="276"/>
      <c r="L671" s="276"/>
      <c r="M671" s="276"/>
      <c r="N671" s="276"/>
      <c r="O671" s="276"/>
      <c r="P671" s="276"/>
      <c r="Q671" s="276"/>
      <c r="R671" s="276"/>
      <c r="S671" s="276"/>
      <c r="T671" s="276"/>
      <c r="U671" s="276"/>
      <c r="V671" s="276"/>
      <c r="W671" s="276"/>
      <c r="X671" s="276"/>
      <c r="Y671" s="276"/>
      <c r="Z671" s="276"/>
    </row>
    <row r="672" spans="1:26" ht="18.75" customHeight="1">
      <c r="A672" s="276"/>
      <c r="B672" s="276"/>
      <c r="C672" s="276"/>
      <c r="D672" s="276"/>
      <c r="E672" s="276"/>
      <c r="F672" s="276"/>
      <c r="G672" s="276"/>
      <c r="H672" s="276"/>
      <c r="I672" s="276"/>
      <c r="J672" s="276"/>
      <c r="K672" s="276"/>
      <c r="L672" s="276"/>
      <c r="M672" s="276"/>
      <c r="N672" s="276"/>
      <c r="O672" s="276"/>
      <c r="P672" s="276"/>
      <c r="Q672" s="276"/>
      <c r="R672" s="276"/>
      <c r="S672" s="276"/>
      <c r="T672" s="276"/>
      <c r="U672" s="276"/>
      <c r="V672" s="276"/>
      <c r="W672" s="276"/>
      <c r="X672" s="276"/>
      <c r="Y672" s="276"/>
      <c r="Z672" s="276"/>
    </row>
    <row r="673" spans="1:26" ht="18.75" customHeight="1">
      <c r="A673" s="276"/>
      <c r="B673" s="276"/>
      <c r="C673" s="276"/>
      <c r="D673" s="276"/>
      <c r="E673" s="276"/>
      <c r="F673" s="276"/>
      <c r="G673" s="276"/>
      <c r="H673" s="276"/>
      <c r="I673" s="276"/>
      <c r="J673" s="276"/>
      <c r="K673" s="276"/>
      <c r="L673" s="276"/>
      <c r="M673" s="276"/>
      <c r="N673" s="276"/>
      <c r="O673" s="276"/>
      <c r="P673" s="276"/>
      <c r="Q673" s="276"/>
      <c r="R673" s="276"/>
      <c r="S673" s="276"/>
      <c r="T673" s="276"/>
      <c r="U673" s="276"/>
      <c r="V673" s="276"/>
      <c r="W673" s="276"/>
      <c r="X673" s="276"/>
      <c r="Y673" s="276"/>
      <c r="Z673" s="276"/>
    </row>
    <row r="674" spans="1:26" ht="18.75" customHeight="1">
      <c r="A674" s="276"/>
      <c r="B674" s="276"/>
      <c r="C674" s="276"/>
      <c r="D674" s="276"/>
      <c r="E674" s="276"/>
      <c r="F674" s="276"/>
      <c r="G674" s="276"/>
      <c r="H674" s="276"/>
      <c r="I674" s="276"/>
      <c r="J674" s="276"/>
      <c r="K674" s="276"/>
      <c r="L674" s="276"/>
      <c r="M674" s="276"/>
      <c r="N674" s="276"/>
      <c r="O674" s="276"/>
      <c r="P674" s="276"/>
      <c r="Q674" s="276"/>
      <c r="R674" s="276"/>
      <c r="S674" s="276"/>
      <c r="T674" s="276"/>
      <c r="U674" s="276"/>
      <c r="V674" s="276"/>
      <c r="W674" s="276"/>
      <c r="X674" s="276"/>
      <c r="Y674" s="276"/>
      <c r="Z674" s="276"/>
    </row>
    <row r="675" spans="1:26" ht="18.75" customHeight="1">
      <c r="A675" s="276"/>
      <c r="B675" s="276"/>
      <c r="C675" s="276"/>
      <c r="D675" s="276"/>
      <c r="E675" s="276"/>
      <c r="F675" s="276"/>
      <c r="G675" s="276"/>
      <c r="H675" s="276"/>
      <c r="I675" s="276"/>
      <c r="J675" s="276"/>
      <c r="K675" s="276"/>
      <c r="L675" s="276"/>
      <c r="M675" s="276"/>
      <c r="N675" s="276"/>
      <c r="O675" s="276"/>
      <c r="P675" s="276"/>
      <c r="Q675" s="276"/>
      <c r="R675" s="276"/>
      <c r="S675" s="276"/>
      <c r="T675" s="276"/>
      <c r="U675" s="276"/>
      <c r="V675" s="276"/>
      <c r="W675" s="276"/>
      <c r="X675" s="276"/>
      <c r="Y675" s="276"/>
      <c r="Z675" s="276"/>
    </row>
    <row r="676" spans="1:26" ht="18.75" customHeight="1">
      <c r="A676" s="276"/>
      <c r="B676" s="276"/>
      <c r="C676" s="276"/>
      <c r="D676" s="276"/>
      <c r="E676" s="276"/>
      <c r="F676" s="276"/>
      <c r="G676" s="276"/>
      <c r="H676" s="276"/>
      <c r="I676" s="276"/>
      <c r="J676" s="276"/>
      <c r="K676" s="276"/>
      <c r="L676" s="276"/>
      <c r="M676" s="276"/>
      <c r="N676" s="276"/>
      <c r="O676" s="276"/>
      <c r="P676" s="276"/>
      <c r="Q676" s="276"/>
      <c r="R676" s="276"/>
      <c r="S676" s="276"/>
      <c r="T676" s="276"/>
      <c r="U676" s="276"/>
      <c r="V676" s="276"/>
      <c r="W676" s="276"/>
      <c r="X676" s="276"/>
      <c r="Y676" s="276"/>
      <c r="Z676" s="276"/>
    </row>
    <row r="677" spans="1:26" ht="18.75" customHeight="1">
      <c r="A677" s="276"/>
      <c r="B677" s="276"/>
      <c r="C677" s="276"/>
      <c r="D677" s="276"/>
      <c r="E677" s="276"/>
      <c r="F677" s="276"/>
      <c r="G677" s="276"/>
      <c r="H677" s="276"/>
      <c r="I677" s="276"/>
      <c r="J677" s="276"/>
      <c r="K677" s="276"/>
      <c r="L677" s="276"/>
      <c r="M677" s="276"/>
      <c r="N677" s="276"/>
      <c r="O677" s="276"/>
      <c r="P677" s="276"/>
      <c r="Q677" s="276"/>
      <c r="R677" s="276"/>
      <c r="S677" s="276"/>
      <c r="T677" s="276"/>
      <c r="U677" s="276"/>
      <c r="V677" s="276"/>
      <c r="W677" s="276"/>
      <c r="X677" s="276"/>
      <c r="Y677" s="276"/>
      <c r="Z677" s="276"/>
    </row>
    <row r="678" spans="1:26" ht="18.75" customHeight="1">
      <c r="A678" s="276"/>
      <c r="B678" s="276"/>
      <c r="C678" s="276"/>
      <c r="D678" s="276"/>
      <c r="E678" s="276"/>
      <c r="F678" s="276"/>
      <c r="G678" s="276"/>
      <c r="H678" s="276"/>
      <c r="I678" s="276"/>
      <c r="J678" s="276"/>
      <c r="K678" s="276"/>
      <c r="L678" s="276"/>
      <c r="M678" s="276"/>
      <c r="N678" s="276"/>
      <c r="O678" s="276"/>
      <c r="P678" s="276"/>
      <c r="Q678" s="276"/>
      <c r="R678" s="276"/>
      <c r="S678" s="276"/>
      <c r="T678" s="276"/>
      <c r="U678" s="276"/>
      <c r="V678" s="276"/>
      <c r="W678" s="276"/>
      <c r="X678" s="276"/>
      <c r="Y678" s="276"/>
      <c r="Z678" s="276"/>
    </row>
    <row r="679" spans="1:26" ht="18.75" customHeight="1">
      <c r="A679" s="276"/>
      <c r="B679" s="276"/>
      <c r="C679" s="276"/>
      <c r="D679" s="276"/>
      <c r="E679" s="276"/>
      <c r="F679" s="276"/>
      <c r="G679" s="276"/>
      <c r="H679" s="276"/>
      <c r="I679" s="276"/>
      <c r="J679" s="276"/>
      <c r="K679" s="276"/>
      <c r="L679" s="276"/>
      <c r="M679" s="276"/>
      <c r="N679" s="276"/>
      <c r="O679" s="276"/>
      <c r="P679" s="276"/>
      <c r="Q679" s="276"/>
      <c r="R679" s="276"/>
      <c r="S679" s="276"/>
      <c r="T679" s="276"/>
      <c r="U679" s="276"/>
      <c r="V679" s="276"/>
      <c r="W679" s="276"/>
      <c r="X679" s="276"/>
      <c r="Y679" s="276"/>
      <c r="Z679" s="276"/>
    </row>
    <row r="680" spans="1:26" ht="18.75" customHeight="1">
      <c r="A680" s="276"/>
      <c r="B680" s="276"/>
      <c r="C680" s="276"/>
      <c r="D680" s="276"/>
      <c r="E680" s="276"/>
      <c r="F680" s="276"/>
      <c r="G680" s="276"/>
      <c r="H680" s="276"/>
      <c r="I680" s="276"/>
      <c r="J680" s="276"/>
      <c r="K680" s="276"/>
      <c r="L680" s="276"/>
      <c r="M680" s="276"/>
      <c r="N680" s="276"/>
      <c r="O680" s="276"/>
      <c r="P680" s="276"/>
      <c r="Q680" s="276"/>
      <c r="R680" s="276"/>
      <c r="S680" s="276"/>
      <c r="T680" s="276"/>
      <c r="U680" s="276"/>
      <c r="V680" s="276"/>
      <c r="W680" s="276"/>
      <c r="X680" s="276"/>
      <c r="Y680" s="276"/>
      <c r="Z680" s="276"/>
    </row>
    <row r="681" spans="1:26" ht="18.75" customHeight="1">
      <c r="A681" s="276"/>
      <c r="B681" s="276"/>
      <c r="C681" s="276"/>
      <c r="D681" s="276"/>
      <c r="E681" s="276"/>
      <c r="F681" s="276"/>
      <c r="G681" s="276"/>
      <c r="H681" s="276"/>
      <c r="I681" s="276"/>
      <c r="J681" s="276"/>
      <c r="K681" s="276"/>
      <c r="L681" s="276"/>
      <c r="M681" s="276"/>
      <c r="N681" s="276"/>
      <c r="O681" s="276"/>
      <c r="P681" s="276"/>
      <c r="Q681" s="276"/>
      <c r="R681" s="276"/>
      <c r="S681" s="276"/>
      <c r="T681" s="276"/>
      <c r="U681" s="276"/>
      <c r="V681" s="276"/>
      <c r="W681" s="276"/>
      <c r="X681" s="276"/>
      <c r="Y681" s="276"/>
      <c r="Z681" s="276"/>
    </row>
    <row r="682" spans="1:26" ht="18.75" customHeight="1">
      <c r="A682" s="276"/>
      <c r="B682" s="276"/>
      <c r="C682" s="276"/>
      <c r="D682" s="276"/>
      <c r="E682" s="276"/>
      <c r="F682" s="276"/>
      <c r="G682" s="276"/>
      <c r="H682" s="276"/>
      <c r="I682" s="276"/>
      <c r="J682" s="276"/>
      <c r="K682" s="276"/>
      <c r="L682" s="276"/>
      <c r="M682" s="276"/>
      <c r="N682" s="276"/>
      <c r="O682" s="276"/>
      <c r="P682" s="276"/>
      <c r="Q682" s="276"/>
      <c r="R682" s="276"/>
      <c r="S682" s="276"/>
      <c r="T682" s="276"/>
      <c r="U682" s="276"/>
      <c r="V682" s="276"/>
      <c r="W682" s="276"/>
      <c r="X682" s="276"/>
      <c r="Y682" s="276"/>
      <c r="Z682" s="276"/>
    </row>
    <row r="683" spans="1:26" ht="18.75" customHeight="1">
      <c r="A683" s="276"/>
      <c r="B683" s="276"/>
      <c r="C683" s="276"/>
      <c r="D683" s="276"/>
      <c r="E683" s="276"/>
      <c r="F683" s="276"/>
      <c r="G683" s="276"/>
      <c r="H683" s="276"/>
      <c r="I683" s="276"/>
      <c r="J683" s="276"/>
      <c r="K683" s="276"/>
      <c r="L683" s="276"/>
      <c r="M683" s="276"/>
      <c r="N683" s="276"/>
      <c r="O683" s="276"/>
      <c r="P683" s="276"/>
      <c r="Q683" s="276"/>
      <c r="R683" s="276"/>
      <c r="S683" s="276"/>
      <c r="T683" s="276"/>
      <c r="U683" s="276"/>
      <c r="V683" s="276"/>
      <c r="W683" s="276"/>
      <c r="X683" s="276"/>
      <c r="Y683" s="276"/>
      <c r="Z683" s="276"/>
    </row>
    <row r="684" spans="1:26" ht="18.75" customHeight="1">
      <c r="A684" s="276"/>
      <c r="B684" s="276"/>
      <c r="C684" s="276"/>
      <c r="D684" s="276"/>
      <c r="E684" s="276"/>
      <c r="F684" s="276"/>
      <c r="G684" s="276"/>
      <c r="H684" s="276"/>
      <c r="I684" s="276"/>
      <c r="J684" s="276"/>
      <c r="K684" s="276"/>
      <c r="L684" s="276"/>
      <c r="M684" s="276"/>
      <c r="N684" s="276"/>
      <c r="O684" s="276"/>
      <c r="P684" s="276"/>
      <c r="Q684" s="276"/>
      <c r="R684" s="276"/>
      <c r="S684" s="276"/>
      <c r="T684" s="276"/>
      <c r="U684" s="276"/>
      <c r="V684" s="276"/>
      <c r="W684" s="276"/>
      <c r="X684" s="276"/>
      <c r="Y684" s="276"/>
      <c r="Z684" s="276"/>
    </row>
    <row r="685" spans="1:26" ht="18.75" customHeight="1">
      <c r="A685" s="276"/>
      <c r="B685" s="276"/>
      <c r="C685" s="276"/>
      <c r="D685" s="276"/>
      <c r="E685" s="276"/>
      <c r="F685" s="276"/>
      <c r="G685" s="276"/>
      <c r="H685" s="276"/>
      <c r="I685" s="276"/>
      <c r="J685" s="276"/>
      <c r="K685" s="276"/>
      <c r="L685" s="276"/>
      <c r="M685" s="276"/>
      <c r="N685" s="276"/>
      <c r="O685" s="276"/>
      <c r="P685" s="276"/>
      <c r="Q685" s="276"/>
      <c r="R685" s="276"/>
      <c r="S685" s="276"/>
      <c r="T685" s="276"/>
      <c r="U685" s="276"/>
      <c r="V685" s="276"/>
      <c r="W685" s="276"/>
      <c r="X685" s="276"/>
      <c r="Y685" s="276"/>
      <c r="Z685" s="276"/>
    </row>
    <row r="686" spans="1:26" ht="18.75" customHeight="1">
      <c r="A686" s="276"/>
      <c r="B686" s="276"/>
      <c r="C686" s="276"/>
      <c r="D686" s="276"/>
      <c r="E686" s="276"/>
      <c r="F686" s="276"/>
      <c r="G686" s="276"/>
      <c r="H686" s="276"/>
      <c r="I686" s="276"/>
      <c r="J686" s="276"/>
      <c r="K686" s="276"/>
      <c r="L686" s="276"/>
      <c r="M686" s="276"/>
      <c r="N686" s="276"/>
      <c r="O686" s="276"/>
      <c r="P686" s="276"/>
      <c r="Q686" s="276"/>
      <c r="R686" s="276"/>
      <c r="S686" s="276"/>
      <c r="T686" s="276"/>
      <c r="U686" s="276"/>
      <c r="V686" s="276"/>
      <c r="W686" s="276"/>
      <c r="X686" s="276"/>
      <c r="Y686" s="276"/>
      <c r="Z686" s="276"/>
    </row>
    <row r="687" spans="1:26" ht="18.75" customHeight="1">
      <c r="A687" s="276"/>
      <c r="B687" s="276"/>
      <c r="C687" s="276"/>
      <c r="D687" s="276"/>
      <c r="E687" s="276"/>
      <c r="F687" s="276"/>
      <c r="G687" s="276"/>
      <c r="H687" s="276"/>
      <c r="I687" s="276"/>
      <c r="J687" s="276"/>
      <c r="K687" s="276"/>
      <c r="L687" s="276"/>
      <c r="M687" s="276"/>
      <c r="N687" s="276"/>
      <c r="O687" s="276"/>
      <c r="P687" s="276"/>
      <c r="Q687" s="276"/>
      <c r="R687" s="276"/>
      <c r="S687" s="276"/>
      <c r="T687" s="276"/>
      <c r="U687" s="276"/>
      <c r="V687" s="276"/>
      <c r="W687" s="276"/>
      <c r="X687" s="276"/>
      <c r="Y687" s="276"/>
      <c r="Z687" s="276"/>
    </row>
    <row r="688" spans="1:26" ht="18.75" customHeight="1">
      <c r="A688" s="276"/>
      <c r="B688" s="276"/>
      <c r="C688" s="276"/>
      <c r="D688" s="276"/>
      <c r="E688" s="276"/>
      <c r="F688" s="276"/>
      <c r="G688" s="276"/>
      <c r="H688" s="276"/>
      <c r="I688" s="276"/>
      <c r="J688" s="276"/>
      <c r="K688" s="276"/>
      <c r="L688" s="276"/>
      <c r="M688" s="276"/>
      <c r="N688" s="276"/>
      <c r="O688" s="276"/>
      <c r="P688" s="276"/>
      <c r="Q688" s="276"/>
      <c r="R688" s="276"/>
      <c r="S688" s="276"/>
      <c r="T688" s="276"/>
      <c r="U688" s="276"/>
      <c r="V688" s="276"/>
      <c r="W688" s="276"/>
      <c r="X688" s="276"/>
      <c r="Y688" s="276"/>
      <c r="Z688" s="276"/>
    </row>
    <row r="689" spans="1:26" ht="18.75" customHeight="1">
      <c r="A689" s="276"/>
      <c r="B689" s="276"/>
      <c r="C689" s="276"/>
      <c r="D689" s="276"/>
      <c r="E689" s="276"/>
      <c r="F689" s="276"/>
      <c r="G689" s="276"/>
      <c r="H689" s="276"/>
      <c r="I689" s="276"/>
      <c r="J689" s="276"/>
      <c r="K689" s="276"/>
      <c r="L689" s="276"/>
      <c r="M689" s="276"/>
      <c r="N689" s="276"/>
      <c r="O689" s="276"/>
      <c r="P689" s="276"/>
      <c r="Q689" s="276"/>
      <c r="R689" s="276"/>
      <c r="S689" s="276"/>
      <c r="T689" s="276"/>
      <c r="U689" s="276"/>
      <c r="V689" s="276"/>
      <c r="W689" s="276"/>
      <c r="X689" s="276"/>
      <c r="Y689" s="276"/>
      <c r="Z689" s="276"/>
    </row>
    <row r="690" spans="1:26" ht="18.75" customHeight="1">
      <c r="A690" s="276"/>
      <c r="B690" s="276"/>
      <c r="C690" s="276"/>
      <c r="D690" s="276"/>
      <c r="E690" s="276"/>
      <c r="F690" s="276"/>
      <c r="G690" s="276"/>
      <c r="H690" s="276"/>
      <c r="I690" s="276"/>
      <c r="J690" s="276"/>
      <c r="K690" s="276"/>
      <c r="L690" s="276"/>
      <c r="M690" s="276"/>
      <c r="N690" s="276"/>
      <c r="O690" s="276"/>
      <c r="P690" s="276"/>
      <c r="Q690" s="276"/>
      <c r="R690" s="276"/>
      <c r="S690" s="276"/>
      <c r="T690" s="276"/>
      <c r="U690" s="276"/>
      <c r="V690" s="276"/>
      <c r="W690" s="276"/>
      <c r="X690" s="276"/>
      <c r="Y690" s="276"/>
      <c r="Z690" s="276"/>
    </row>
    <row r="691" spans="1:26" ht="18.75" customHeight="1">
      <c r="A691" s="276"/>
      <c r="B691" s="276"/>
      <c r="C691" s="276"/>
      <c r="D691" s="276"/>
      <c r="E691" s="276"/>
      <c r="F691" s="276"/>
      <c r="G691" s="276"/>
      <c r="H691" s="276"/>
      <c r="I691" s="276"/>
      <c r="J691" s="276"/>
      <c r="K691" s="276"/>
      <c r="L691" s="276"/>
      <c r="M691" s="276"/>
      <c r="N691" s="276"/>
      <c r="O691" s="276"/>
      <c r="P691" s="276"/>
      <c r="Q691" s="276"/>
      <c r="R691" s="276"/>
      <c r="S691" s="276"/>
      <c r="T691" s="276"/>
      <c r="U691" s="276"/>
      <c r="V691" s="276"/>
      <c r="W691" s="276"/>
      <c r="X691" s="276"/>
      <c r="Y691" s="276"/>
      <c r="Z691" s="276"/>
    </row>
    <row r="692" spans="1:26" ht="18.75" customHeight="1">
      <c r="A692" s="276"/>
      <c r="B692" s="276"/>
      <c r="C692" s="276"/>
      <c r="D692" s="276"/>
      <c r="E692" s="276"/>
      <c r="F692" s="276"/>
      <c r="G692" s="276"/>
      <c r="H692" s="276"/>
      <c r="I692" s="276"/>
      <c r="J692" s="276"/>
      <c r="K692" s="276"/>
      <c r="L692" s="276"/>
      <c r="M692" s="276"/>
      <c r="N692" s="276"/>
      <c r="O692" s="276"/>
      <c r="P692" s="276"/>
      <c r="Q692" s="276"/>
      <c r="R692" s="276"/>
      <c r="S692" s="276"/>
      <c r="T692" s="276"/>
      <c r="U692" s="276"/>
      <c r="V692" s="276"/>
      <c r="W692" s="276"/>
      <c r="X692" s="276"/>
      <c r="Y692" s="276"/>
      <c r="Z692" s="276"/>
    </row>
    <row r="693" spans="1:26" ht="18.75" customHeight="1">
      <c r="A693" s="276"/>
      <c r="B693" s="276"/>
      <c r="C693" s="276"/>
      <c r="D693" s="276"/>
      <c r="E693" s="276"/>
      <c r="F693" s="276"/>
      <c r="G693" s="276"/>
      <c r="H693" s="276"/>
      <c r="I693" s="276"/>
      <c r="J693" s="276"/>
      <c r="K693" s="276"/>
      <c r="L693" s="276"/>
      <c r="M693" s="276"/>
      <c r="N693" s="276"/>
      <c r="O693" s="276"/>
      <c r="P693" s="276"/>
      <c r="Q693" s="276"/>
      <c r="R693" s="276"/>
      <c r="S693" s="276"/>
      <c r="T693" s="276"/>
      <c r="U693" s="276"/>
      <c r="V693" s="276"/>
      <c r="W693" s="276"/>
      <c r="X693" s="276"/>
      <c r="Y693" s="276"/>
      <c r="Z693" s="276"/>
    </row>
    <row r="694" spans="1:26" ht="18.75" customHeight="1">
      <c r="A694" s="276"/>
      <c r="B694" s="276"/>
      <c r="C694" s="276"/>
      <c r="D694" s="276"/>
      <c r="E694" s="276"/>
      <c r="F694" s="276"/>
      <c r="G694" s="276"/>
      <c r="H694" s="276"/>
      <c r="I694" s="276"/>
      <c r="J694" s="276"/>
      <c r="K694" s="276"/>
      <c r="L694" s="276"/>
      <c r="M694" s="276"/>
      <c r="N694" s="276"/>
      <c r="O694" s="276"/>
      <c r="P694" s="276"/>
      <c r="Q694" s="276"/>
      <c r="R694" s="276"/>
      <c r="S694" s="276"/>
      <c r="T694" s="276"/>
      <c r="U694" s="276"/>
      <c r="V694" s="276"/>
      <c r="W694" s="276"/>
      <c r="X694" s="276"/>
      <c r="Y694" s="276"/>
      <c r="Z694" s="276"/>
    </row>
    <row r="695" spans="1:26" ht="18.75" customHeight="1">
      <c r="A695" s="276"/>
      <c r="B695" s="276"/>
      <c r="C695" s="276"/>
      <c r="D695" s="276"/>
      <c r="E695" s="276"/>
      <c r="F695" s="276"/>
      <c r="G695" s="276"/>
      <c r="H695" s="276"/>
      <c r="I695" s="276"/>
      <c r="J695" s="276"/>
      <c r="K695" s="276"/>
      <c r="L695" s="276"/>
      <c r="M695" s="276"/>
      <c r="N695" s="276"/>
      <c r="O695" s="276"/>
      <c r="P695" s="276"/>
      <c r="Q695" s="276"/>
      <c r="R695" s="276"/>
      <c r="S695" s="276"/>
      <c r="T695" s="276"/>
      <c r="U695" s="276"/>
      <c r="V695" s="276"/>
      <c r="W695" s="276"/>
      <c r="X695" s="276"/>
      <c r="Y695" s="276"/>
      <c r="Z695" s="276"/>
    </row>
    <row r="696" spans="1:26" ht="18.75" customHeight="1">
      <c r="A696" s="276"/>
      <c r="B696" s="276"/>
      <c r="C696" s="276"/>
      <c r="D696" s="276"/>
      <c r="E696" s="276"/>
      <c r="F696" s="276"/>
      <c r="G696" s="276"/>
      <c r="H696" s="276"/>
      <c r="I696" s="276"/>
      <c r="J696" s="276"/>
      <c r="K696" s="276"/>
      <c r="L696" s="276"/>
      <c r="M696" s="276"/>
      <c r="N696" s="276"/>
      <c r="O696" s="276"/>
      <c r="P696" s="276"/>
      <c r="Q696" s="276"/>
      <c r="R696" s="276"/>
      <c r="S696" s="276"/>
      <c r="T696" s="276"/>
      <c r="U696" s="276"/>
      <c r="V696" s="276"/>
      <c r="W696" s="276"/>
      <c r="X696" s="276"/>
      <c r="Y696" s="276"/>
      <c r="Z696" s="276"/>
    </row>
    <row r="697" spans="1:26" ht="18.75" customHeight="1">
      <c r="A697" s="276"/>
      <c r="B697" s="276"/>
      <c r="C697" s="276"/>
      <c r="D697" s="276"/>
      <c r="E697" s="276"/>
      <c r="F697" s="276"/>
      <c r="G697" s="276"/>
      <c r="H697" s="276"/>
      <c r="I697" s="276"/>
      <c r="J697" s="276"/>
      <c r="K697" s="276"/>
      <c r="L697" s="276"/>
      <c r="M697" s="276"/>
      <c r="N697" s="276"/>
      <c r="O697" s="276"/>
      <c r="P697" s="276"/>
      <c r="Q697" s="276"/>
      <c r="R697" s="276"/>
      <c r="S697" s="276"/>
      <c r="T697" s="276"/>
      <c r="U697" s="276"/>
      <c r="V697" s="276"/>
      <c r="W697" s="276"/>
      <c r="X697" s="276"/>
      <c r="Y697" s="276"/>
      <c r="Z697" s="276"/>
    </row>
    <row r="698" spans="1:26" ht="18.75" customHeight="1">
      <c r="A698" s="276"/>
      <c r="B698" s="276"/>
      <c r="C698" s="276"/>
      <c r="D698" s="276"/>
      <c r="E698" s="276"/>
      <c r="F698" s="276"/>
      <c r="G698" s="276"/>
      <c r="H698" s="276"/>
      <c r="I698" s="276"/>
      <c r="J698" s="276"/>
      <c r="K698" s="276"/>
      <c r="L698" s="276"/>
      <c r="M698" s="276"/>
      <c r="N698" s="276"/>
      <c r="O698" s="276"/>
      <c r="P698" s="276"/>
      <c r="Q698" s="276"/>
      <c r="R698" s="276"/>
      <c r="S698" s="276"/>
      <c r="T698" s="276"/>
      <c r="U698" s="276"/>
      <c r="V698" s="276"/>
      <c r="W698" s="276"/>
      <c r="X698" s="276"/>
      <c r="Y698" s="276"/>
      <c r="Z698" s="276"/>
    </row>
    <row r="699" spans="1:26" ht="18.75" customHeight="1">
      <c r="A699" s="276"/>
      <c r="B699" s="276"/>
      <c r="C699" s="276"/>
      <c r="D699" s="276"/>
      <c r="E699" s="276"/>
      <c r="F699" s="276"/>
      <c r="G699" s="276"/>
      <c r="H699" s="276"/>
      <c r="I699" s="276"/>
      <c r="J699" s="276"/>
      <c r="K699" s="276"/>
      <c r="L699" s="276"/>
      <c r="M699" s="276"/>
      <c r="N699" s="276"/>
      <c r="O699" s="276"/>
      <c r="P699" s="276"/>
      <c r="Q699" s="276"/>
      <c r="R699" s="276"/>
      <c r="S699" s="276"/>
      <c r="T699" s="276"/>
      <c r="U699" s="276"/>
      <c r="V699" s="276"/>
      <c r="W699" s="276"/>
      <c r="X699" s="276"/>
      <c r="Y699" s="276"/>
      <c r="Z699" s="276"/>
    </row>
    <row r="700" spans="1:26" ht="18.75" customHeight="1">
      <c r="A700" s="276"/>
      <c r="B700" s="276"/>
      <c r="C700" s="276"/>
      <c r="D700" s="276"/>
      <c r="E700" s="276"/>
      <c r="F700" s="276"/>
      <c r="G700" s="276"/>
      <c r="H700" s="276"/>
      <c r="I700" s="276"/>
      <c r="J700" s="276"/>
      <c r="K700" s="276"/>
      <c r="L700" s="276"/>
      <c r="M700" s="276"/>
      <c r="N700" s="276"/>
      <c r="O700" s="276"/>
      <c r="P700" s="276"/>
      <c r="Q700" s="276"/>
      <c r="R700" s="276"/>
      <c r="S700" s="276"/>
      <c r="T700" s="276"/>
      <c r="U700" s="276"/>
      <c r="V700" s="276"/>
      <c r="W700" s="276"/>
      <c r="X700" s="276"/>
      <c r="Y700" s="276"/>
      <c r="Z700" s="276"/>
    </row>
    <row r="701" spans="1:26" ht="18.75" customHeight="1">
      <c r="A701" s="276"/>
      <c r="B701" s="276"/>
      <c r="C701" s="276"/>
      <c r="D701" s="276"/>
      <c r="E701" s="276"/>
      <c r="F701" s="276"/>
      <c r="G701" s="276"/>
      <c r="H701" s="276"/>
      <c r="I701" s="276"/>
      <c r="J701" s="276"/>
      <c r="K701" s="276"/>
      <c r="L701" s="276"/>
      <c r="M701" s="276"/>
      <c r="N701" s="276"/>
      <c r="O701" s="276"/>
      <c r="P701" s="276"/>
      <c r="Q701" s="276"/>
      <c r="R701" s="276"/>
      <c r="S701" s="276"/>
      <c r="T701" s="276"/>
      <c r="U701" s="276"/>
      <c r="V701" s="276"/>
      <c r="W701" s="276"/>
      <c r="X701" s="276"/>
      <c r="Y701" s="276"/>
      <c r="Z701" s="276"/>
    </row>
    <row r="702" spans="1:26" ht="18.75" customHeight="1">
      <c r="A702" s="276"/>
      <c r="B702" s="276"/>
      <c r="C702" s="276"/>
      <c r="D702" s="276"/>
      <c r="E702" s="276"/>
      <c r="F702" s="276"/>
      <c r="G702" s="276"/>
      <c r="H702" s="276"/>
      <c r="I702" s="276"/>
      <c r="J702" s="276"/>
      <c r="K702" s="276"/>
      <c r="L702" s="276"/>
      <c r="M702" s="276"/>
      <c r="N702" s="276"/>
      <c r="O702" s="276"/>
      <c r="P702" s="276"/>
      <c r="Q702" s="276"/>
      <c r="R702" s="276"/>
      <c r="S702" s="276"/>
      <c r="T702" s="276"/>
      <c r="U702" s="276"/>
      <c r="V702" s="276"/>
      <c r="W702" s="276"/>
      <c r="X702" s="276"/>
      <c r="Y702" s="276"/>
      <c r="Z702" s="276"/>
    </row>
    <row r="703" spans="1:26" ht="18.75" customHeight="1">
      <c r="A703" s="276"/>
      <c r="B703" s="276"/>
      <c r="C703" s="276"/>
      <c r="D703" s="276"/>
      <c r="E703" s="276"/>
      <c r="F703" s="276"/>
      <c r="G703" s="276"/>
      <c r="H703" s="276"/>
      <c r="I703" s="276"/>
      <c r="J703" s="276"/>
      <c r="K703" s="276"/>
      <c r="L703" s="276"/>
      <c r="M703" s="276"/>
      <c r="N703" s="276"/>
      <c r="O703" s="276"/>
      <c r="P703" s="276"/>
      <c r="Q703" s="276"/>
      <c r="R703" s="276"/>
      <c r="S703" s="276"/>
      <c r="T703" s="276"/>
      <c r="U703" s="276"/>
      <c r="V703" s="276"/>
      <c r="W703" s="276"/>
      <c r="X703" s="276"/>
      <c r="Y703" s="276"/>
      <c r="Z703" s="276"/>
    </row>
    <row r="704" spans="1:26" ht="18.75" customHeight="1">
      <c r="A704" s="276"/>
      <c r="B704" s="276"/>
      <c r="C704" s="276"/>
      <c r="D704" s="276"/>
      <c r="E704" s="276"/>
      <c r="F704" s="276"/>
      <c r="G704" s="276"/>
      <c r="H704" s="276"/>
      <c r="I704" s="276"/>
      <c r="J704" s="276"/>
      <c r="K704" s="276"/>
      <c r="L704" s="276"/>
      <c r="M704" s="276"/>
      <c r="N704" s="276"/>
      <c r="O704" s="276"/>
      <c r="P704" s="276"/>
      <c r="Q704" s="276"/>
      <c r="R704" s="276"/>
      <c r="S704" s="276"/>
      <c r="T704" s="276"/>
      <c r="U704" s="276"/>
      <c r="V704" s="276"/>
      <c r="W704" s="276"/>
      <c r="X704" s="276"/>
      <c r="Y704" s="276"/>
      <c r="Z704" s="276"/>
    </row>
    <row r="705" spans="1:26" ht="18.75" customHeight="1">
      <c r="A705" s="276"/>
      <c r="B705" s="276"/>
      <c r="C705" s="276"/>
      <c r="D705" s="276"/>
      <c r="E705" s="276"/>
      <c r="F705" s="276"/>
      <c r="G705" s="276"/>
      <c r="H705" s="276"/>
      <c r="I705" s="276"/>
      <c r="J705" s="276"/>
      <c r="K705" s="276"/>
      <c r="L705" s="276"/>
      <c r="M705" s="276"/>
      <c r="N705" s="276"/>
      <c r="O705" s="276"/>
      <c r="P705" s="276"/>
      <c r="Q705" s="276"/>
      <c r="R705" s="276"/>
      <c r="S705" s="276"/>
      <c r="T705" s="276"/>
      <c r="U705" s="276"/>
      <c r="V705" s="276"/>
      <c r="W705" s="276"/>
      <c r="X705" s="276"/>
      <c r="Y705" s="276"/>
      <c r="Z705" s="276"/>
    </row>
    <row r="706" spans="1:26" ht="18.75" customHeight="1">
      <c r="A706" s="276"/>
      <c r="B706" s="276"/>
      <c r="C706" s="276"/>
      <c r="D706" s="276"/>
      <c r="E706" s="276"/>
      <c r="F706" s="276"/>
      <c r="G706" s="276"/>
      <c r="H706" s="276"/>
      <c r="I706" s="276"/>
      <c r="J706" s="276"/>
      <c r="K706" s="276"/>
      <c r="L706" s="276"/>
      <c r="M706" s="276"/>
      <c r="N706" s="276"/>
      <c r="O706" s="276"/>
      <c r="P706" s="276"/>
      <c r="Q706" s="276"/>
      <c r="R706" s="276"/>
      <c r="S706" s="276"/>
      <c r="T706" s="276"/>
      <c r="U706" s="276"/>
      <c r="V706" s="276"/>
      <c r="W706" s="276"/>
      <c r="X706" s="276"/>
      <c r="Y706" s="276"/>
      <c r="Z706" s="276"/>
    </row>
    <row r="707" spans="1:26" ht="18.75" customHeight="1">
      <c r="A707" s="276"/>
      <c r="B707" s="276"/>
      <c r="C707" s="276"/>
      <c r="D707" s="276"/>
      <c r="E707" s="276"/>
      <c r="F707" s="276"/>
      <c r="G707" s="276"/>
      <c r="H707" s="276"/>
      <c r="I707" s="276"/>
      <c r="J707" s="276"/>
      <c r="K707" s="276"/>
      <c r="L707" s="276"/>
      <c r="M707" s="276"/>
      <c r="N707" s="276"/>
      <c r="O707" s="276"/>
      <c r="P707" s="276"/>
      <c r="Q707" s="276"/>
      <c r="R707" s="276"/>
      <c r="S707" s="276"/>
      <c r="T707" s="276"/>
      <c r="U707" s="276"/>
      <c r="V707" s="276"/>
      <c r="W707" s="276"/>
      <c r="X707" s="276"/>
      <c r="Y707" s="276"/>
      <c r="Z707" s="276"/>
    </row>
    <row r="708" spans="1:26" ht="18.75" customHeight="1">
      <c r="A708" s="276"/>
      <c r="B708" s="276"/>
      <c r="C708" s="276"/>
      <c r="D708" s="276"/>
      <c r="E708" s="276"/>
      <c r="F708" s="276"/>
      <c r="G708" s="276"/>
      <c r="H708" s="276"/>
      <c r="I708" s="276"/>
      <c r="J708" s="276"/>
      <c r="K708" s="276"/>
      <c r="L708" s="276"/>
      <c r="M708" s="276"/>
      <c r="N708" s="276"/>
      <c r="O708" s="276"/>
      <c r="P708" s="276"/>
      <c r="Q708" s="276"/>
      <c r="R708" s="276"/>
      <c r="S708" s="276"/>
      <c r="T708" s="276"/>
      <c r="U708" s="276"/>
      <c r="V708" s="276"/>
      <c r="W708" s="276"/>
      <c r="X708" s="276"/>
      <c r="Y708" s="276"/>
      <c r="Z708" s="276"/>
    </row>
    <row r="709" spans="1:26" ht="18.75" customHeight="1">
      <c r="A709" s="276"/>
      <c r="B709" s="276"/>
      <c r="C709" s="276"/>
      <c r="D709" s="276"/>
      <c r="E709" s="276"/>
      <c r="F709" s="276"/>
      <c r="G709" s="276"/>
      <c r="H709" s="276"/>
      <c r="I709" s="276"/>
      <c r="J709" s="276"/>
      <c r="K709" s="276"/>
      <c r="L709" s="276"/>
      <c r="M709" s="276"/>
      <c r="N709" s="276"/>
      <c r="O709" s="276"/>
      <c r="P709" s="276"/>
      <c r="Q709" s="276"/>
      <c r="R709" s="276"/>
      <c r="S709" s="276"/>
      <c r="T709" s="276"/>
      <c r="U709" s="276"/>
      <c r="V709" s="276"/>
      <c r="W709" s="276"/>
      <c r="X709" s="276"/>
      <c r="Y709" s="276"/>
      <c r="Z709" s="276"/>
    </row>
    <row r="710" spans="1:26" ht="18.75" customHeight="1">
      <c r="A710" s="276"/>
      <c r="B710" s="276"/>
      <c r="C710" s="276"/>
      <c r="D710" s="276"/>
      <c r="E710" s="276"/>
      <c r="F710" s="276"/>
      <c r="G710" s="276"/>
      <c r="H710" s="276"/>
      <c r="I710" s="276"/>
      <c r="J710" s="276"/>
      <c r="K710" s="276"/>
      <c r="L710" s="276"/>
      <c r="M710" s="276"/>
      <c r="N710" s="276"/>
      <c r="O710" s="276"/>
      <c r="P710" s="276"/>
      <c r="Q710" s="276"/>
      <c r="R710" s="276"/>
      <c r="S710" s="276"/>
      <c r="T710" s="276"/>
      <c r="U710" s="276"/>
      <c r="V710" s="276"/>
      <c r="W710" s="276"/>
      <c r="X710" s="276"/>
      <c r="Y710" s="276"/>
      <c r="Z710" s="276"/>
    </row>
    <row r="711" spans="1:26" ht="18.75" customHeight="1">
      <c r="A711" s="276"/>
      <c r="B711" s="276"/>
      <c r="C711" s="276"/>
      <c r="D711" s="276"/>
      <c r="E711" s="276"/>
      <c r="F711" s="276"/>
      <c r="G711" s="276"/>
      <c r="H711" s="276"/>
      <c r="I711" s="276"/>
      <c r="J711" s="276"/>
      <c r="K711" s="276"/>
      <c r="L711" s="276"/>
      <c r="M711" s="276"/>
      <c r="N711" s="276"/>
      <c r="O711" s="276"/>
      <c r="P711" s="276"/>
      <c r="Q711" s="276"/>
      <c r="R711" s="276"/>
      <c r="S711" s="276"/>
      <c r="T711" s="276"/>
      <c r="U711" s="276"/>
      <c r="V711" s="276"/>
      <c r="W711" s="276"/>
      <c r="X711" s="276"/>
      <c r="Y711" s="276"/>
      <c r="Z711" s="276"/>
    </row>
    <row r="712" spans="1:26" ht="18.75" customHeight="1">
      <c r="A712" s="276"/>
      <c r="B712" s="276"/>
      <c r="C712" s="276"/>
      <c r="D712" s="276"/>
      <c r="E712" s="276"/>
      <c r="F712" s="276"/>
      <c r="G712" s="276"/>
      <c r="H712" s="276"/>
      <c r="I712" s="276"/>
      <c r="J712" s="276"/>
      <c r="K712" s="276"/>
      <c r="L712" s="276"/>
      <c r="M712" s="276"/>
      <c r="N712" s="276"/>
      <c r="O712" s="276"/>
      <c r="P712" s="276"/>
      <c r="Q712" s="276"/>
      <c r="R712" s="276"/>
      <c r="S712" s="276"/>
      <c r="T712" s="276"/>
      <c r="U712" s="276"/>
      <c r="V712" s="276"/>
      <c r="W712" s="276"/>
      <c r="X712" s="276"/>
      <c r="Y712" s="276"/>
      <c r="Z712" s="276"/>
    </row>
    <row r="713" spans="1:26" ht="18.75" customHeight="1">
      <c r="A713" s="276"/>
      <c r="B713" s="276"/>
      <c r="C713" s="276"/>
      <c r="D713" s="276"/>
      <c r="E713" s="276"/>
      <c r="F713" s="276"/>
      <c r="G713" s="276"/>
      <c r="H713" s="276"/>
      <c r="I713" s="276"/>
      <c r="J713" s="276"/>
      <c r="K713" s="276"/>
      <c r="L713" s="276"/>
      <c r="M713" s="276"/>
      <c r="N713" s="276"/>
      <c r="O713" s="276"/>
      <c r="P713" s="276"/>
      <c r="Q713" s="276"/>
      <c r="R713" s="276"/>
      <c r="S713" s="276"/>
      <c r="T713" s="276"/>
      <c r="U713" s="276"/>
      <c r="V713" s="276"/>
      <c r="W713" s="276"/>
      <c r="X713" s="276"/>
      <c r="Y713" s="276"/>
      <c r="Z713" s="276"/>
    </row>
    <row r="714" spans="1:26" ht="18.75" customHeight="1">
      <c r="A714" s="276"/>
      <c r="B714" s="276"/>
      <c r="C714" s="276"/>
      <c r="D714" s="276"/>
      <c r="E714" s="276"/>
      <c r="F714" s="276"/>
      <c r="G714" s="276"/>
      <c r="H714" s="276"/>
      <c r="I714" s="276"/>
      <c r="J714" s="276"/>
      <c r="K714" s="276"/>
      <c r="L714" s="276"/>
      <c r="M714" s="276"/>
      <c r="N714" s="276"/>
      <c r="O714" s="276"/>
      <c r="P714" s="276"/>
      <c r="Q714" s="276"/>
      <c r="R714" s="276"/>
      <c r="S714" s="276"/>
      <c r="T714" s="276"/>
      <c r="U714" s="276"/>
      <c r="V714" s="276"/>
      <c r="W714" s="276"/>
      <c r="X714" s="276"/>
      <c r="Y714" s="276"/>
      <c r="Z714" s="276"/>
    </row>
    <row r="715" spans="1:26" ht="18.75" customHeight="1">
      <c r="A715" s="276"/>
      <c r="B715" s="276"/>
      <c r="C715" s="276"/>
      <c r="D715" s="276"/>
      <c r="E715" s="276"/>
      <c r="F715" s="276"/>
      <c r="G715" s="276"/>
      <c r="H715" s="276"/>
      <c r="I715" s="276"/>
      <c r="J715" s="276"/>
      <c r="K715" s="276"/>
      <c r="L715" s="276"/>
      <c r="M715" s="276"/>
      <c r="N715" s="276"/>
      <c r="O715" s="276"/>
      <c r="P715" s="276"/>
      <c r="Q715" s="276"/>
      <c r="R715" s="276"/>
      <c r="S715" s="276"/>
      <c r="T715" s="276"/>
      <c r="U715" s="276"/>
      <c r="V715" s="276"/>
      <c r="W715" s="276"/>
      <c r="X715" s="276"/>
      <c r="Y715" s="276"/>
      <c r="Z715" s="276"/>
    </row>
    <row r="716" spans="1:26" ht="18.75" customHeight="1">
      <c r="A716" s="276"/>
      <c r="B716" s="276"/>
      <c r="C716" s="276"/>
      <c r="D716" s="276"/>
      <c r="E716" s="276"/>
      <c r="F716" s="276"/>
      <c r="G716" s="276"/>
      <c r="H716" s="276"/>
      <c r="I716" s="276"/>
      <c r="J716" s="276"/>
      <c r="K716" s="276"/>
      <c r="L716" s="276"/>
      <c r="M716" s="276"/>
      <c r="N716" s="276"/>
      <c r="O716" s="276"/>
      <c r="P716" s="276"/>
      <c r="Q716" s="276"/>
      <c r="R716" s="276"/>
      <c r="S716" s="276"/>
      <c r="T716" s="276"/>
      <c r="U716" s="276"/>
      <c r="V716" s="276"/>
      <c r="W716" s="276"/>
      <c r="X716" s="276"/>
      <c r="Y716" s="276"/>
      <c r="Z716" s="276"/>
    </row>
    <row r="717" spans="1:26" ht="18.75" customHeight="1">
      <c r="A717" s="276"/>
      <c r="B717" s="276"/>
      <c r="C717" s="276"/>
      <c r="D717" s="276"/>
      <c r="E717" s="276"/>
      <c r="F717" s="276"/>
      <c r="G717" s="276"/>
      <c r="H717" s="276"/>
      <c r="I717" s="276"/>
      <c r="J717" s="276"/>
      <c r="K717" s="276"/>
      <c r="L717" s="276"/>
      <c r="M717" s="276"/>
      <c r="N717" s="276"/>
      <c r="O717" s="276"/>
      <c r="P717" s="276"/>
      <c r="Q717" s="276"/>
      <c r="R717" s="276"/>
      <c r="S717" s="276"/>
      <c r="T717" s="276"/>
      <c r="U717" s="276"/>
      <c r="V717" s="276"/>
      <c r="W717" s="276"/>
      <c r="X717" s="276"/>
      <c r="Y717" s="276"/>
      <c r="Z717" s="276"/>
    </row>
    <row r="718" spans="1:26" ht="18.75" customHeight="1">
      <c r="A718" s="276"/>
      <c r="B718" s="276"/>
      <c r="C718" s="276"/>
      <c r="D718" s="276"/>
      <c r="E718" s="276"/>
      <c r="F718" s="276"/>
      <c r="G718" s="276"/>
      <c r="H718" s="276"/>
      <c r="I718" s="276"/>
      <c r="J718" s="276"/>
      <c r="K718" s="276"/>
      <c r="L718" s="276"/>
      <c r="M718" s="276"/>
      <c r="N718" s="276"/>
      <c r="O718" s="276"/>
      <c r="P718" s="276"/>
      <c r="Q718" s="276"/>
      <c r="R718" s="276"/>
      <c r="S718" s="276"/>
      <c r="T718" s="276"/>
      <c r="U718" s="276"/>
      <c r="V718" s="276"/>
      <c r="W718" s="276"/>
      <c r="X718" s="276"/>
      <c r="Y718" s="276"/>
      <c r="Z718" s="276"/>
    </row>
    <row r="719" spans="1:26" ht="18.75" customHeight="1">
      <c r="A719" s="276"/>
      <c r="B719" s="276"/>
      <c r="C719" s="276"/>
      <c r="D719" s="276"/>
      <c r="E719" s="276"/>
      <c r="F719" s="276"/>
      <c r="G719" s="276"/>
      <c r="H719" s="276"/>
      <c r="I719" s="276"/>
      <c r="J719" s="276"/>
      <c r="K719" s="276"/>
      <c r="L719" s="276"/>
      <c r="M719" s="276"/>
      <c r="N719" s="276"/>
      <c r="O719" s="276"/>
      <c r="P719" s="276"/>
      <c r="Q719" s="276"/>
      <c r="R719" s="276"/>
      <c r="S719" s="276"/>
      <c r="T719" s="276"/>
      <c r="U719" s="276"/>
      <c r="V719" s="276"/>
      <c r="W719" s="276"/>
      <c r="X719" s="276"/>
      <c r="Y719" s="276"/>
      <c r="Z719" s="276"/>
    </row>
    <row r="720" spans="1:26" ht="18.75" customHeight="1">
      <c r="A720" s="276"/>
      <c r="B720" s="276"/>
      <c r="C720" s="276"/>
      <c r="D720" s="276"/>
      <c r="E720" s="276"/>
      <c r="F720" s="276"/>
      <c r="G720" s="276"/>
      <c r="H720" s="276"/>
      <c r="I720" s="276"/>
      <c r="J720" s="276"/>
      <c r="K720" s="276"/>
      <c r="L720" s="276"/>
      <c r="M720" s="276"/>
      <c r="N720" s="276"/>
      <c r="O720" s="276"/>
      <c r="P720" s="276"/>
      <c r="Q720" s="276"/>
      <c r="R720" s="276"/>
      <c r="S720" s="276"/>
      <c r="T720" s="276"/>
      <c r="U720" s="276"/>
      <c r="V720" s="276"/>
      <c r="W720" s="276"/>
      <c r="X720" s="276"/>
      <c r="Y720" s="276"/>
      <c r="Z720" s="276"/>
    </row>
    <row r="721" spans="1:26" ht="18.75" customHeight="1">
      <c r="A721" s="276"/>
      <c r="B721" s="276"/>
      <c r="C721" s="276"/>
      <c r="D721" s="276"/>
      <c r="E721" s="276"/>
      <c r="F721" s="276"/>
      <c r="G721" s="276"/>
      <c r="H721" s="276"/>
      <c r="I721" s="276"/>
      <c r="J721" s="276"/>
      <c r="K721" s="276"/>
      <c r="L721" s="276"/>
      <c r="M721" s="276"/>
      <c r="N721" s="276"/>
      <c r="O721" s="276"/>
      <c r="P721" s="276"/>
      <c r="Q721" s="276"/>
      <c r="R721" s="276"/>
      <c r="S721" s="276"/>
      <c r="T721" s="276"/>
      <c r="U721" s="276"/>
      <c r="V721" s="276"/>
      <c r="W721" s="276"/>
      <c r="X721" s="276"/>
      <c r="Y721" s="276"/>
      <c r="Z721" s="276"/>
    </row>
    <row r="722" spans="1:26" ht="18.75" customHeight="1">
      <c r="A722" s="276"/>
      <c r="B722" s="276"/>
      <c r="C722" s="276"/>
      <c r="D722" s="276"/>
      <c r="E722" s="276"/>
      <c r="F722" s="276"/>
      <c r="G722" s="276"/>
      <c r="H722" s="276"/>
      <c r="I722" s="276"/>
      <c r="J722" s="276"/>
      <c r="K722" s="276"/>
      <c r="L722" s="276"/>
      <c r="M722" s="276"/>
      <c r="N722" s="276"/>
      <c r="O722" s="276"/>
      <c r="P722" s="276"/>
      <c r="Q722" s="276"/>
      <c r="R722" s="276"/>
      <c r="S722" s="276"/>
      <c r="T722" s="276"/>
      <c r="U722" s="276"/>
      <c r="V722" s="276"/>
      <c r="W722" s="276"/>
      <c r="X722" s="276"/>
      <c r="Y722" s="276"/>
      <c r="Z722" s="276"/>
    </row>
    <row r="723" spans="1:26" ht="18.75" customHeight="1">
      <c r="A723" s="276"/>
      <c r="B723" s="276"/>
      <c r="C723" s="276"/>
      <c r="D723" s="276"/>
      <c r="E723" s="276"/>
      <c r="F723" s="276"/>
      <c r="G723" s="276"/>
      <c r="H723" s="276"/>
      <c r="I723" s="276"/>
      <c r="J723" s="276"/>
      <c r="K723" s="276"/>
      <c r="L723" s="276"/>
      <c r="M723" s="276"/>
      <c r="N723" s="276"/>
      <c r="O723" s="276"/>
      <c r="P723" s="276"/>
      <c r="Q723" s="276"/>
      <c r="R723" s="276"/>
      <c r="S723" s="276"/>
      <c r="T723" s="276"/>
      <c r="U723" s="276"/>
      <c r="V723" s="276"/>
      <c r="W723" s="276"/>
      <c r="X723" s="276"/>
      <c r="Y723" s="276"/>
      <c r="Z723" s="276"/>
    </row>
    <row r="724" spans="1:26" ht="18.75" customHeight="1">
      <c r="A724" s="276"/>
      <c r="B724" s="276"/>
      <c r="C724" s="276"/>
      <c r="D724" s="276"/>
      <c r="E724" s="276"/>
      <c r="F724" s="276"/>
      <c r="G724" s="276"/>
      <c r="H724" s="276"/>
      <c r="I724" s="276"/>
      <c r="J724" s="276"/>
      <c r="K724" s="276"/>
      <c r="L724" s="276"/>
      <c r="M724" s="276"/>
      <c r="N724" s="276"/>
      <c r="O724" s="276"/>
      <c r="P724" s="276"/>
      <c r="Q724" s="276"/>
      <c r="R724" s="276"/>
      <c r="S724" s="276"/>
      <c r="T724" s="276"/>
      <c r="U724" s="276"/>
      <c r="V724" s="276"/>
      <c r="W724" s="276"/>
      <c r="X724" s="276"/>
      <c r="Y724" s="276"/>
      <c r="Z724" s="276"/>
    </row>
    <row r="725" spans="1:26" ht="18.75" customHeight="1">
      <c r="A725" s="276"/>
      <c r="B725" s="276"/>
      <c r="C725" s="276"/>
      <c r="D725" s="276"/>
      <c r="E725" s="276"/>
      <c r="F725" s="276"/>
      <c r="G725" s="276"/>
      <c r="H725" s="276"/>
      <c r="I725" s="276"/>
      <c r="J725" s="276"/>
      <c r="K725" s="276"/>
      <c r="L725" s="276"/>
      <c r="M725" s="276"/>
      <c r="N725" s="276"/>
      <c r="O725" s="276"/>
      <c r="P725" s="276"/>
      <c r="Q725" s="276"/>
      <c r="R725" s="276"/>
      <c r="S725" s="276"/>
      <c r="T725" s="276"/>
      <c r="U725" s="276"/>
      <c r="V725" s="276"/>
      <c r="W725" s="276"/>
      <c r="X725" s="276"/>
      <c r="Y725" s="276"/>
      <c r="Z725" s="276"/>
    </row>
    <row r="726" spans="1:26" ht="18.75" customHeight="1">
      <c r="A726" s="276"/>
      <c r="B726" s="276"/>
      <c r="C726" s="276"/>
      <c r="D726" s="276"/>
      <c r="E726" s="276"/>
      <c r="F726" s="276"/>
      <c r="G726" s="276"/>
      <c r="H726" s="276"/>
      <c r="I726" s="276"/>
      <c r="J726" s="276"/>
      <c r="K726" s="276"/>
      <c r="L726" s="276"/>
      <c r="M726" s="276"/>
      <c r="N726" s="276"/>
      <c r="O726" s="276"/>
      <c r="P726" s="276"/>
      <c r="Q726" s="276"/>
      <c r="R726" s="276"/>
      <c r="S726" s="276"/>
      <c r="T726" s="276"/>
      <c r="U726" s="276"/>
      <c r="V726" s="276"/>
      <c r="W726" s="276"/>
      <c r="X726" s="276"/>
      <c r="Y726" s="276"/>
      <c r="Z726" s="276"/>
    </row>
    <row r="727" spans="1:26" ht="18.75" customHeight="1">
      <c r="A727" s="276"/>
      <c r="B727" s="276"/>
      <c r="C727" s="276"/>
      <c r="D727" s="276"/>
      <c r="E727" s="276"/>
      <c r="F727" s="276"/>
      <c r="G727" s="276"/>
      <c r="H727" s="276"/>
      <c r="I727" s="276"/>
      <c r="J727" s="276"/>
      <c r="K727" s="276"/>
      <c r="L727" s="276"/>
      <c r="M727" s="276"/>
      <c r="N727" s="276"/>
      <c r="O727" s="276"/>
      <c r="P727" s="276"/>
      <c r="Q727" s="276"/>
      <c r="R727" s="276"/>
      <c r="S727" s="276"/>
      <c r="T727" s="276"/>
      <c r="U727" s="276"/>
      <c r="V727" s="276"/>
      <c r="W727" s="276"/>
      <c r="X727" s="276"/>
      <c r="Y727" s="276"/>
      <c r="Z727" s="276"/>
    </row>
    <row r="728" spans="1:26" ht="18.75" customHeight="1">
      <c r="A728" s="276"/>
      <c r="B728" s="276"/>
      <c r="C728" s="276"/>
      <c r="D728" s="276"/>
      <c r="E728" s="276"/>
      <c r="F728" s="276"/>
      <c r="G728" s="276"/>
      <c r="H728" s="276"/>
      <c r="I728" s="276"/>
      <c r="J728" s="276"/>
      <c r="K728" s="276"/>
      <c r="L728" s="276"/>
      <c r="M728" s="276"/>
      <c r="N728" s="276"/>
      <c r="O728" s="276"/>
      <c r="P728" s="276"/>
      <c r="Q728" s="276"/>
      <c r="R728" s="276"/>
      <c r="S728" s="276"/>
      <c r="T728" s="276"/>
      <c r="U728" s="276"/>
      <c r="V728" s="276"/>
      <c r="W728" s="276"/>
      <c r="X728" s="276"/>
      <c r="Y728" s="276"/>
      <c r="Z728" s="276"/>
    </row>
    <row r="729" spans="1:26" ht="18.75" customHeight="1">
      <c r="A729" s="276"/>
      <c r="B729" s="276"/>
      <c r="C729" s="276"/>
      <c r="D729" s="276"/>
      <c r="E729" s="276"/>
      <c r="F729" s="276"/>
      <c r="G729" s="276"/>
      <c r="H729" s="276"/>
      <c r="I729" s="276"/>
      <c r="J729" s="276"/>
      <c r="K729" s="276"/>
      <c r="L729" s="276"/>
      <c r="M729" s="276"/>
      <c r="N729" s="276"/>
      <c r="O729" s="276"/>
      <c r="P729" s="276"/>
      <c r="Q729" s="276"/>
      <c r="R729" s="276"/>
      <c r="S729" s="276"/>
      <c r="T729" s="276"/>
      <c r="U729" s="276"/>
      <c r="V729" s="276"/>
      <c r="W729" s="276"/>
      <c r="X729" s="276"/>
      <c r="Y729" s="276"/>
      <c r="Z729" s="276"/>
    </row>
    <row r="730" spans="1:26" ht="18.75" customHeight="1">
      <c r="A730" s="276"/>
      <c r="B730" s="276"/>
      <c r="C730" s="276"/>
      <c r="D730" s="276"/>
      <c r="E730" s="276"/>
      <c r="F730" s="276"/>
      <c r="G730" s="276"/>
      <c r="H730" s="276"/>
      <c r="I730" s="276"/>
      <c r="J730" s="276"/>
      <c r="K730" s="276"/>
      <c r="L730" s="276"/>
      <c r="M730" s="276"/>
      <c r="N730" s="276"/>
      <c r="O730" s="276"/>
      <c r="P730" s="276"/>
      <c r="Q730" s="276"/>
      <c r="R730" s="276"/>
      <c r="S730" s="276"/>
      <c r="T730" s="276"/>
      <c r="U730" s="276"/>
      <c r="V730" s="276"/>
      <c r="W730" s="276"/>
      <c r="X730" s="276"/>
      <c r="Y730" s="276"/>
      <c r="Z730" s="276"/>
    </row>
    <row r="731" spans="1:26" ht="18.75" customHeight="1">
      <c r="A731" s="276"/>
      <c r="B731" s="276"/>
      <c r="C731" s="276"/>
      <c r="D731" s="276"/>
      <c r="E731" s="276"/>
      <c r="F731" s="276"/>
      <c r="G731" s="276"/>
      <c r="H731" s="276"/>
      <c r="I731" s="276"/>
      <c r="J731" s="276"/>
      <c r="K731" s="276"/>
      <c r="L731" s="276"/>
      <c r="M731" s="276"/>
      <c r="N731" s="276"/>
      <c r="O731" s="276"/>
      <c r="P731" s="276"/>
      <c r="Q731" s="276"/>
      <c r="R731" s="276"/>
      <c r="S731" s="276"/>
      <c r="T731" s="276"/>
      <c r="U731" s="276"/>
      <c r="V731" s="276"/>
      <c r="W731" s="276"/>
      <c r="X731" s="276"/>
      <c r="Y731" s="276"/>
      <c r="Z731" s="276"/>
    </row>
    <row r="732" spans="1:26" ht="18.75" customHeight="1">
      <c r="A732" s="276"/>
      <c r="B732" s="276"/>
      <c r="C732" s="276"/>
      <c r="D732" s="276"/>
      <c r="E732" s="276"/>
      <c r="F732" s="276"/>
      <c r="G732" s="276"/>
      <c r="H732" s="276"/>
      <c r="I732" s="276"/>
      <c r="J732" s="276"/>
      <c r="K732" s="276"/>
      <c r="L732" s="276"/>
      <c r="M732" s="276"/>
      <c r="N732" s="276"/>
      <c r="O732" s="276"/>
      <c r="P732" s="276"/>
      <c r="Q732" s="276"/>
      <c r="R732" s="276"/>
      <c r="S732" s="276"/>
      <c r="T732" s="276"/>
      <c r="U732" s="276"/>
      <c r="V732" s="276"/>
      <c r="W732" s="276"/>
      <c r="X732" s="276"/>
      <c r="Y732" s="276"/>
      <c r="Z732" s="276"/>
    </row>
    <row r="733" spans="1:26" ht="18.75" customHeight="1">
      <c r="A733" s="276"/>
      <c r="B733" s="276"/>
      <c r="C733" s="276"/>
      <c r="D733" s="276"/>
      <c r="E733" s="276"/>
      <c r="F733" s="276"/>
      <c r="G733" s="276"/>
      <c r="H733" s="276"/>
      <c r="I733" s="276"/>
      <c r="J733" s="276"/>
      <c r="K733" s="276"/>
      <c r="L733" s="276"/>
      <c r="M733" s="276"/>
      <c r="N733" s="276"/>
      <c r="O733" s="276"/>
      <c r="P733" s="276"/>
      <c r="Q733" s="276"/>
      <c r="R733" s="276"/>
      <c r="S733" s="276"/>
      <c r="T733" s="276"/>
      <c r="U733" s="276"/>
      <c r="V733" s="276"/>
      <c r="W733" s="276"/>
      <c r="X733" s="276"/>
      <c r="Y733" s="276"/>
      <c r="Z733" s="276"/>
    </row>
    <row r="734" spans="1:26" ht="18.75" customHeight="1">
      <c r="A734" s="276"/>
      <c r="B734" s="276"/>
      <c r="C734" s="276"/>
      <c r="D734" s="276"/>
      <c r="E734" s="276"/>
      <c r="F734" s="276"/>
      <c r="G734" s="276"/>
      <c r="H734" s="276"/>
      <c r="I734" s="276"/>
      <c r="J734" s="276"/>
      <c r="K734" s="276"/>
      <c r="L734" s="276"/>
      <c r="M734" s="276"/>
      <c r="N734" s="276"/>
      <c r="O734" s="276"/>
      <c r="P734" s="276"/>
      <c r="Q734" s="276"/>
      <c r="R734" s="276"/>
      <c r="S734" s="276"/>
      <c r="T734" s="276"/>
      <c r="U734" s="276"/>
      <c r="V734" s="276"/>
      <c r="W734" s="276"/>
      <c r="X734" s="276"/>
      <c r="Y734" s="276"/>
      <c r="Z734" s="276"/>
    </row>
    <row r="735" spans="1:26" ht="18.75" customHeight="1">
      <c r="A735" s="276"/>
      <c r="B735" s="276"/>
      <c r="C735" s="276"/>
      <c r="D735" s="276"/>
      <c r="E735" s="276"/>
      <c r="F735" s="276"/>
      <c r="G735" s="276"/>
      <c r="H735" s="276"/>
      <c r="I735" s="276"/>
      <c r="J735" s="276"/>
      <c r="K735" s="276"/>
      <c r="L735" s="276"/>
      <c r="M735" s="276"/>
      <c r="N735" s="276"/>
      <c r="O735" s="276"/>
      <c r="P735" s="276"/>
      <c r="Q735" s="276"/>
      <c r="R735" s="276"/>
      <c r="S735" s="276"/>
      <c r="T735" s="276"/>
      <c r="U735" s="276"/>
      <c r="V735" s="276"/>
      <c r="W735" s="276"/>
      <c r="X735" s="276"/>
      <c r="Y735" s="276"/>
      <c r="Z735" s="276"/>
    </row>
    <row r="736" spans="1:26" ht="18.75" customHeight="1">
      <c r="A736" s="276"/>
      <c r="B736" s="276"/>
      <c r="C736" s="276"/>
      <c r="D736" s="276"/>
      <c r="E736" s="276"/>
      <c r="F736" s="276"/>
      <c r="G736" s="276"/>
      <c r="H736" s="276"/>
      <c r="I736" s="276"/>
      <c r="J736" s="276"/>
      <c r="K736" s="276"/>
      <c r="L736" s="276"/>
      <c r="M736" s="276"/>
      <c r="N736" s="276"/>
      <c r="O736" s="276"/>
      <c r="P736" s="276"/>
      <c r="Q736" s="276"/>
      <c r="R736" s="276"/>
      <c r="S736" s="276"/>
      <c r="T736" s="276"/>
      <c r="U736" s="276"/>
      <c r="V736" s="276"/>
      <c r="W736" s="276"/>
      <c r="X736" s="276"/>
      <c r="Y736" s="276"/>
      <c r="Z736" s="276"/>
    </row>
    <row r="737" spans="1:26" ht="18.75" customHeight="1">
      <c r="A737" s="276"/>
      <c r="B737" s="276"/>
      <c r="C737" s="276"/>
      <c r="D737" s="276"/>
      <c r="E737" s="276"/>
      <c r="F737" s="276"/>
      <c r="G737" s="276"/>
      <c r="H737" s="276"/>
      <c r="I737" s="276"/>
      <c r="J737" s="276"/>
      <c r="K737" s="276"/>
      <c r="L737" s="276"/>
      <c r="M737" s="276"/>
      <c r="N737" s="276"/>
      <c r="O737" s="276"/>
      <c r="P737" s="276"/>
      <c r="Q737" s="276"/>
      <c r="R737" s="276"/>
      <c r="S737" s="276"/>
      <c r="T737" s="276"/>
      <c r="U737" s="276"/>
      <c r="V737" s="276"/>
      <c r="W737" s="276"/>
      <c r="X737" s="276"/>
      <c r="Y737" s="276"/>
      <c r="Z737" s="276"/>
    </row>
    <row r="738" spans="1:26" ht="18.75" customHeight="1">
      <c r="A738" s="276"/>
      <c r="B738" s="276"/>
      <c r="C738" s="276"/>
      <c r="D738" s="276"/>
      <c r="E738" s="276"/>
      <c r="F738" s="276"/>
      <c r="G738" s="276"/>
      <c r="H738" s="276"/>
      <c r="I738" s="276"/>
      <c r="J738" s="276"/>
      <c r="K738" s="276"/>
      <c r="L738" s="276"/>
      <c r="M738" s="276"/>
      <c r="N738" s="276"/>
      <c r="O738" s="276"/>
      <c r="P738" s="276"/>
      <c r="Q738" s="276"/>
      <c r="R738" s="276"/>
      <c r="S738" s="276"/>
      <c r="T738" s="276"/>
      <c r="U738" s="276"/>
      <c r="V738" s="276"/>
      <c r="W738" s="276"/>
      <c r="X738" s="276"/>
      <c r="Y738" s="276"/>
      <c r="Z738" s="276"/>
    </row>
    <row r="739" spans="1:26" ht="18.75" customHeight="1">
      <c r="A739" s="276"/>
      <c r="B739" s="276"/>
      <c r="C739" s="276"/>
      <c r="D739" s="276"/>
      <c r="E739" s="276"/>
      <c r="F739" s="276"/>
      <c r="G739" s="276"/>
      <c r="H739" s="276"/>
      <c r="I739" s="276"/>
      <c r="J739" s="276"/>
      <c r="K739" s="276"/>
      <c r="L739" s="276"/>
      <c r="M739" s="276"/>
      <c r="N739" s="276"/>
      <c r="O739" s="276"/>
      <c r="P739" s="276"/>
      <c r="Q739" s="276"/>
      <c r="R739" s="276"/>
      <c r="S739" s="276"/>
      <c r="T739" s="276"/>
      <c r="U739" s="276"/>
      <c r="V739" s="276"/>
      <c r="W739" s="276"/>
      <c r="X739" s="276"/>
      <c r="Y739" s="276"/>
      <c r="Z739" s="276"/>
    </row>
    <row r="740" spans="1:26" ht="18.75" customHeight="1">
      <c r="A740" s="276"/>
      <c r="B740" s="276"/>
      <c r="C740" s="276"/>
      <c r="D740" s="276"/>
      <c r="E740" s="276"/>
      <c r="F740" s="276"/>
      <c r="G740" s="276"/>
      <c r="H740" s="276"/>
      <c r="I740" s="276"/>
      <c r="J740" s="276"/>
      <c r="K740" s="276"/>
      <c r="L740" s="276"/>
      <c r="M740" s="276"/>
      <c r="N740" s="276"/>
      <c r="O740" s="276"/>
      <c r="P740" s="276"/>
      <c r="Q740" s="276"/>
      <c r="R740" s="276"/>
      <c r="S740" s="276"/>
      <c r="T740" s="276"/>
      <c r="U740" s="276"/>
      <c r="V740" s="276"/>
      <c r="W740" s="276"/>
      <c r="X740" s="276"/>
      <c r="Y740" s="276"/>
      <c r="Z740" s="276"/>
    </row>
    <row r="741" spans="1:26" ht="18.75" customHeight="1">
      <c r="A741" s="276"/>
      <c r="B741" s="276"/>
      <c r="C741" s="276"/>
      <c r="D741" s="276"/>
      <c r="E741" s="276"/>
      <c r="F741" s="276"/>
      <c r="G741" s="276"/>
      <c r="H741" s="276"/>
      <c r="I741" s="276"/>
      <c r="J741" s="276"/>
      <c r="K741" s="276"/>
      <c r="L741" s="276"/>
      <c r="M741" s="276"/>
      <c r="N741" s="276"/>
      <c r="O741" s="276"/>
      <c r="P741" s="276"/>
      <c r="Q741" s="276"/>
      <c r="R741" s="276"/>
      <c r="S741" s="276"/>
      <c r="T741" s="276"/>
      <c r="U741" s="276"/>
      <c r="V741" s="276"/>
      <c r="W741" s="276"/>
      <c r="X741" s="276"/>
      <c r="Y741" s="276"/>
      <c r="Z741" s="276"/>
    </row>
    <row r="742" spans="1:26" ht="18.75" customHeight="1">
      <c r="A742" s="276"/>
      <c r="B742" s="276"/>
      <c r="C742" s="276"/>
      <c r="D742" s="276"/>
      <c r="E742" s="276"/>
      <c r="F742" s="276"/>
      <c r="G742" s="276"/>
      <c r="H742" s="276"/>
      <c r="I742" s="276"/>
      <c r="J742" s="276"/>
      <c r="K742" s="276"/>
      <c r="L742" s="276"/>
      <c r="M742" s="276"/>
      <c r="N742" s="276"/>
      <c r="O742" s="276"/>
      <c r="P742" s="276"/>
      <c r="Q742" s="276"/>
      <c r="R742" s="276"/>
      <c r="S742" s="276"/>
      <c r="T742" s="276"/>
      <c r="U742" s="276"/>
      <c r="V742" s="276"/>
      <c r="W742" s="276"/>
      <c r="X742" s="276"/>
      <c r="Y742" s="276"/>
      <c r="Z742" s="276"/>
    </row>
    <row r="743" spans="1:26" ht="18.75" customHeight="1">
      <c r="A743" s="276"/>
      <c r="B743" s="276"/>
      <c r="C743" s="276"/>
      <c r="D743" s="276"/>
      <c r="E743" s="276"/>
      <c r="F743" s="276"/>
      <c r="G743" s="276"/>
      <c r="H743" s="276"/>
      <c r="I743" s="276"/>
      <c r="J743" s="276"/>
      <c r="K743" s="276"/>
      <c r="L743" s="276"/>
      <c r="M743" s="276"/>
      <c r="N743" s="276"/>
      <c r="O743" s="276"/>
      <c r="P743" s="276"/>
      <c r="Q743" s="276"/>
      <c r="R743" s="276"/>
      <c r="S743" s="276"/>
      <c r="T743" s="276"/>
      <c r="U743" s="276"/>
      <c r="V743" s="276"/>
      <c r="W743" s="276"/>
      <c r="X743" s="276"/>
      <c r="Y743" s="276"/>
      <c r="Z743" s="276"/>
    </row>
    <row r="744" spans="1:26" ht="18.75" customHeight="1">
      <c r="A744" s="276"/>
      <c r="B744" s="276"/>
      <c r="C744" s="276"/>
      <c r="D744" s="276"/>
      <c r="E744" s="276"/>
      <c r="F744" s="276"/>
      <c r="G744" s="276"/>
      <c r="H744" s="276"/>
      <c r="I744" s="276"/>
      <c r="J744" s="276"/>
      <c r="K744" s="276"/>
      <c r="L744" s="276"/>
      <c r="M744" s="276"/>
      <c r="N744" s="276"/>
      <c r="O744" s="276"/>
      <c r="P744" s="276"/>
      <c r="Q744" s="276"/>
      <c r="R744" s="276"/>
      <c r="S744" s="276"/>
      <c r="T744" s="276"/>
      <c r="U744" s="276"/>
      <c r="V744" s="276"/>
      <c r="W744" s="276"/>
      <c r="X744" s="276"/>
      <c r="Y744" s="276"/>
      <c r="Z744" s="276"/>
    </row>
    <row r="745" spans="1:26" ht="18.75" customHeight="1">
      <c r="A745" s="276"/>
      <c r="B745" s="276"/>
      <c r="C745" s="276"/>
      <c r="D745" s="276"/>
      <c r="E745" s="276"/>
      <c r="F745" s="276"/>
      <c r="G745" s="276"/>
      <c r="H745" s="276"/>
      <c r="I745" s="276"/>
      <c r="J745" s="276"/>
      <c r="K745" s="276"/>
      <c r="L745" s="276"/>
      <c r="M745" s="276"/>
      <c r="N745" s="276"/>
      <c r="O745" s="276"/>
      <c r="P745" s="276"/>
      <c r="Q745" s="276"/>
      <c r="R745" s="276"/>
      <c r="S745" s="276"/>
      <c r="T745" s="276"/>
      <c r="U745" s="276"/>
      <c r="V745" s="276"/>
      <c r="W745" s="276"/>
      <c r="X745" s="276"/>
      <c r="Y745" s="276"/>
      <c r="Z745" s="276"/>
    </row>
    <row r="746" spans="1:26" ht="18.75" customHeight="1">
      <c r="A746" s="276"/>
      <c r="B746" s="276"/>
      <c r="C746" s="276"/>
      <c r="D746" s="276"/>
      <c r="E746" s="276"/>
      <c r="F746" s="276"/>
      <c r="G746" s="276"/>
      <c r="H746" s="276"/>
      <c r="I746" s="276"/>
      <c r="J746" s="276"/>
      <c r="K746" s="276"/>
      <c r="L746" s="276"/>
      <c r="M746" s="276"/>
      <c r="N746" s="276"/>
      <c r="O746" s="276"/>
      <c r="P746" s="276"/>
      <c r="Q746" s="276"/>
      <c r="R746" s="276"/>
      <c r="S746" s="276"/>
      <c r="T746" s="276"/>
      <c r="U746" s="276"/>
      <c r="V746" s="276"/>
      <c r="W746" s="276"/>
      <c r="X746" s="276"/>
      <c r="Y746" s="276"/>
      <c r="Z746" s="276"/>
    </row>
    <row r="747" spans="1:26" ht="18.75" customHeight="1">
      <c r="A747" s="276"/>
      <c r="B747" s="276"/>
      <c r="C747" s="276"/>
      <c r="D747" s="276"/>
      <c r="E747" s="276"/>
      <c r="F747" s="276"/>
      <c r="G747" s="276"/>
      <c r="H747" s="276"/>
      <c r="I747" s="276"/>
      <c r="J747" s="276"/>
      <c r="K747" s="276"/>
      <c r="L747" s="276"/>
      <c r="M747" s="276"/>
      <c r="N747" s="276"/>
      <c r="O747" s="276"/>
      <c r="P747" s="276"/>
      <c r="Q747" s="276"/>
      <c r="R747" s="276"/>
      <c r="S747" s="276"/>
      <c r="T747" s="276"/>
      <c r="U747" s="276"/>
      <c r="V747" s="276"/>
      <c r="W747" s="276"/>
      <c r="X747" s="276"/>
      <c r="Y747" s="276"/>
      <c r="Z747" s="276"/>
    </row>
    <row r="748" spans="1:26" ht="18.75" customHeight="1">
      <c r="A748" s="276"/>
      <c r="B748" s="276"/>
      <c r="C748" s="276"/>
      <c r="D748" s="276"/>
      <c r="E748" s="276"/>
      <c r="F748" s="276"/>
      <c r="G748" s="276"/>
      <c r="H748" s="276"/>
      <c r="I748" s="276"/>
      <c r="J748" s="276"/>
      <c r="K748" s="276"/>
      <c r="L748" s="276"/>
      <c r="M748" s="276"/>
      <c r="N748" s="276"/>
      <c r="O748" s="276"/>
      <c r="P748" s="276"/>
      <c r="Q748" s="276"/>
      <c r="R748" s="276"/>
      <c r="S748" s="276"/>
      <c r="T748" s="276"/>
      <c r="U748" s="276"/>
      <c r="V748" s="276"/>
      <c r="W748" s="276"/>
      <c r="X748" s="276"/>
      <c r="Y748" s="276"/>
      <c r="Z748" s="276"/>
    </row>
    <row r="749" spans="1:26" ht="18.75" customHeight="1">
      <c r="A749" s="276"/>
      <c r="B749" s="276"/>
      <c r="C749" s="276"/>
      <c r="D749" s="276"/>
      <c r="E749" s="276"/>
      <c r="F749" s="276"/>
      <c r="G749" s="276"/>
      <c r="H749" s="276"/>
      <c r="I749" s="276"/>
      <c r="J749" s="276"/>
      <c r="K749" s="276"/>
      <c r="L749" s="276"/>
      <c r="M749" s="276"/>
      <c r="N749" s="276"/>
      <c r="O749" s="276"/>
      <c r="P749" s="276"/>
      <c r="Q749" s="276"/>
      <c r="R749" s="276"/>
      <c r="S749" s="276"/>
      <c r="T749" s="276"/>
      <c r="U749" s="276"/>
      <c r="V749" s="276"/>
      <c r="W749" s="276"/>
      <c r="X749" s="276"/>
      <c r="Y749" s="276"/>
      <c r="Z749" s="276"/>
    </row>
    <row r="750" spans="1:26" ht="18.75" customHeight="1">
      <c r="A750" s="276"/>
      <c r="B750" s="276"/>
      <c r="C750" s="276"/>
      <c r="D750" s="276"/>
      <c r="E750" s="276"/>
      <c r="F750" s="276"/>
      <c r="G750" s="276"/>
      <c r="H750" s="276"/>
      <c r="I750" s="276"/>
      <c r="J750" s="276"/>
      <c r="K750" s="276"/>
      <c r="L750" s="276"/>
      <c r="M750" s="276"/>
      <c r="N750" s="276"/>
      <c r="O750" s="276"/>
      <c r="P750" s="276"/>
      <c r="Q750" s="276"/>
      <c r="R750" s="276"/>
      <c r="S750" s="276"/>
      <c r="T750" s="276"/>
      <c r="U750" s="276"/>
      <c r="V750" s="276"/>
      <c r="W750" s="276"/>
      <c r="X750" s="276"/>
      <c r="Y750" s="276"/>
      <c r="Z750" s="276"/>
    </row>
    <row r="751" spans="1:26" ht="18.75" customHeight="1">
      <c r="A751" s="276"/>
      <c r="B751" s="276"/>
      <c r="C751" s="276"/>
      <c r="D751" s="276"/>
      <c r="E751" s="276"/>
      <c r="F751" s="276"/>
      <c r="G751" s="276"/>
      <c r="H751" s="276"/>
      <c r="I751" s="276"/>
      <c r="J751" s="276"/>
      <c r="K751" s="276"/>
      <c r="L751" s="276"/>
      <c r="M751" s="276"/>
      <c r="N751" s="276"/>
      <c r="O751" s="276"/>
      <c r="P751" s="276"/>
      <c r="Q751" s="276"/>
      <c r="R751" s="276"/>
      <c r="S751" s="276"/>
      <c r="T751" s="276"/>
      <c r="U751" s="276"/>
      <c r="V751" s="276"/>
      <c r="W751" s="276"/>
      <c r="X751" s="276"/>
      <c r="Y751" s="276"/>
      <c r="Z751" s="276"/>
    </row>
    <row r="752" spans="1:26" ht="18.75" customHeight="1">
      <c r="A752" s="276"/>
      <c r="B752" s="276"/>
      <c r="C752" s="276"/>
      <c r="D752" s="276"/>
      <c r="E752" s="276"/>
      <c r="F752" s="276"/>
      <c r="G752" s="276"/>
      <c r="H752" s="276"/>
      <c r="I752" s="276"/>
      <c r="J752" s="276"/>
      <c r="K752" s="276"/>
      <c r="L752" s="276"/>
      <c r="M752" s="276"/>
      <c r="N752" s="276"/>
      <c r="O752" s="276"/>
      <c r="P752" s="276"/>
      <c r="Q752" s="276"/>
      <c r="R752" s="276"/>
      <c r="S752" s="276"/>
      <c r="T752" s="276"/>
      <c r="U752" s="276"/>
      <c r="V752" s="276"/>
      <c r="W752" s="276"/>
      <c r="X752" s="276"/>
      <c r="Y752" s="276"/>
      <c r="Z752" s="276"/>
    </row>
    <row r="753" spans="1:26" ht="18.75" customHeight="1">
      <c r="A753" s="276"/>
      <c r="B753" s="276"/>
      <c r="C753" s="276"/>
      <c r="D753" s="276"/>
      <c r="E753" s="276"/>
      <c r="F753" s="276"/>
      <c r="G753" s="276"/>
      <c r="H753" s="276"/>
      <c r="I753" s="276"/>
      <c r="J753" s="276"/>
      <c r="K753" s="276"/>
      <c r="L753" s="276"/>
      <c r="M753" s="276"/>
      <c r="N753" s="276"/>
      <c r="O753" s="276"/>
      <c r="P753" s="276"/>
      <c r="Q753" s="276"/>
      <c r="R753" s="276"/>
      <c r="S753" s="276"/>
      <c r="T753" s="276"/>
      <c r="U753" s="276"/>
      <c r="V753" s="276"/>
      <c r="W753" s="276"/>
      <c r="X753" s="276"/>
      <c r="Y753" s="276"/>
      <c r="Z753" s="276"/>
    </row>
    <row r="754" spans="1:26" ht="18.75" customHeight="1">
      <c r="A754" s="276"/>
      <c r="B754" s="276"/>
      <c r="C754" s="276"/>
      <c r="D754" s="276"/>
      <c r="E754" s="276"/>
      <c r="F754" s="276"/>
      <c r="G754" s="276"/>
      <c r="H754" s="276"/>
      <c r="I754" s="276"/>
      <c r="J754" s="276"/>
      <c r="K754" s="276"/>
      <c r="L754" s="276"/>
      <c r="M754" s="276"/>
      <c r="N754" s="276"/>
      <c r="O754" s="276"/>
      <c r="P754" s="276"/>
      <c r="Q754" s="276"/>
      <c r="R754" s="276"/>
      <c r="S754" s="276"/>
      <c r="T754" s="276"/>
      <c r="U754" s="276"/>
      <c r="V754" s="276"/>
      <c r="W754" s="276"/>
      <c r="X754" s="276"/>
      <c r="Y754" s="276"/>
      <c r="Z754" s="276"/>
    </row>
    <row r="755" spans="1:26" ht="18.75" customHeight="1">
      <c r="A755" s="276"/>
      <c r="B755" s="276"/>
      <c r="C755" s="276"/>
      <c r="D755" s="276"/>
      <c r="E755" s="276"/>
      <c r="F755" s="276"/>
      <c r="G755" s="276"/>
      <c r="H755" s="276"/>
      <c r="I755" s="276"/>
      <c r="J755" s="276"/>
      <c r="K755" s="276"/>
      <c r="L755" s="276"/>
      <c r="M755" s="276"/>
      <c r="N755" s="276"/>
      <c r="O755" s="276"/>
      <c r="P755" s="276"/>
      <c r="Q755" s="276"/>
      <c r="R755" s="276"/>
      <c r="S755" s="276"/>
      <c r="T755" s="276"/>
      <c r="U755" s="276"/>
      <c r="V755" s="276"/>
      <c r="W755" s="276"/>
      <c r="X755" s="276"/>
      <c r="Y755" s="276"/>
      <c r="Z755" s="276"/>
    </row>
    <row r="756" spans="1:26" ht="18.75" customHeight="1">
      <c r="A756" s="276"/>
      <c r="B756" s="276"/>
      <c r="C756" s="276"/>
      <c r="D756" s="276"/>
      <c r="E756" s="276"/>
      <c r="F756" s="276"/>
      <c r="G756" s="276"/>
      <c r="H756" s="276"/>
      <c r="I756" s="276"/>
      <c r="J756" s="276"/>
      <c r="K756" s="276"/>
      <c r="L756" s="276"/>
      <c r="M756" s="276"/>
      <c r="N756" s="276"/>
      <c r="O756" s="276"/>
      <c r="P756" s="276"/>
      <c r="Q756" s="276"/>
      <c r="R756" s="276"/>
      <c r="S756" s="276"/>
      <c r="T756" s="276"/>
      <c r="U756" s="276"/>
      <c r="V756" s="276"/>
      <c r="W756" s="276"/>
      <c r="X756" s="276"/>
      <c r="Y756" s="276"/>
      <c r="Z756" s="276"/>
    </row>
    <row r="757" spans="1:26" ht="18.75" customHeight="1">
      <c r="A757" s="276"/>
      <c r="B757" s="276"/>
      <c r="C757" s="276"/>
      <c r="D757" s="276"/>
      <c r="E757" s="276"/>
      <c r="F757" s="276"/>
      <c r="G757" s="276"/>
      <c r="H757" s="276"/>
      <c r="I757" s="276"/>
      <c r="J757" s="276"/>
      <c r="K757" s="276"/>
      <c r="L757" s="276"/>
      <c r="M757" s="276"/>
      <c r="N757" s="276"/>
      <c r="O757" s="276"/>
      <c r="P757" s="276"/>
      <c r="Q757" s="276"/>
      <c r="R757" s="276"/>
      <c r="S757" s="276"/>
      <c r="T757" s="276"/>
      <c r="U757" s="276"/>
      <c r="V757" s="276"/>
      <c r="W757" s="276"/>
      <c r="X757" s="276"/>
      <c r="Y757" s="276"/>
      <c r="Z757" s="276"/>
    </row>
    <row r="758" spans="1:26" ht="18.75" customHeight="1">
      <c r="A758" s="276"/>
      <c r="B758" s="276"/>
      <c r="C758" s="276"/>
      <c r="D758" s="276"/>
      <c r="E758" s="276"/>
      <c r="F758" s="276"/>
      <c r="G758" s="276"/>
      <c r="H758" s="276"/>
      <c r="I758" s="276"/>
      <c r="J758" s="276"/>
      <c r="K758" s="276"/>
      <c r="L758" s="276"/>
      <c r="M758" s="276"/>
      <c r="N758" s="276"/>
      <c r="O758" s="276"/>
      <c r="P758" s="276"/>
      <c r="Q758" s="276"/>
      <c r="R758" s="276"/>
      <c r="S758" s="276"/>
      <c r="T758" s="276"/>
      <c r="U758" s="276"/>
      <c r="V758" s="276"/>
      <c r="W758" s="276"/>
      <c r="X758" s="276"/>
      <c r="Y758" s="276"/>
      <c r="Z758" s="276"/>
    </row>
    <row r="759" spans="1:26" ht="18.75" customHeight="1">
      <c r="A759" s="276"/>
      <c r="B759" s="276"/>
      <c r="C759" s="276"/>
      <c r="D759" s="276"/>
      <c r="E759" s="276"/>
      <c r="F759" s="276"/>
      <c r="G759" s="276"/>
      <c r="H759" s="276"/>
      <c r="I759" s="276"/>
      <c r="J759" s="276"/>
      <c r="K759" s="276"/>
      <c r="L759" s="276"/>
      <c r="M759" s="276"/>
      <c r="N759" s="276"/>
      <c r="O759" s="276"/>
      <c r="P759" s="276"/>
      <c r="Q759" s="276"/>
      <c r="R759" s="276"/>
      <c r="S759" s="276"/>
      <c r="T759" s="276"/>
      <c r="U759" s="276"/>
      <c r="V759" s="276"/>
      <c r="W759" s="276"/>
      <c r="X759" s="276"/>
      <c r="Y759" s="276"/>
      <c r="Z759" s="276"/>
    </row>
    <row r="760" spans="1:26" ht="18.75" customHeight="1">
      <c r="A760" s="276"/>
      <c r="B760" s="276"/>
      <c r="C760" s="276"/>
      <c r="D760" s="276"/>
      <c r="E760" s="276"/>
      <c r="F760" s="276"/>
      <c r="G760" s="276"/>
      <c r="H760" s="276"/>
      <c r="I760" s="276"/>
      <c r="J760" s="276"/>
      <c r="K760" s="276"/>
      <c r="L760" s="276"/>
      <c r="M760" s="276"/>
      <c r="N760" s="276"/>
      <c r="O760" s="276"/>
      <c r="P760" s="276"/>
      <c r="Q760" s="276"/>
      <c r="R760" s="276"/>
      <c r="S760" s="276"/>
      <c r="T760" s="276"/>
      <c r="U760" s="276"/>
      <c r="V760" s="276"/>
      <c r="W760" s="276"/>
      <c r="X760" s="276"/>
      <c r="Y760" s="276"/>
      <c r="Z760" s="276"/>
    </row>
    <row r="761" spans="1:26" ht="18.75" customHeight="1">
      <c r="A761" s="276"/>
      <c r="B761" s="276"/>
      <c r="C761" s="276"/>
      <c r="D761" s="276"/>
      <c r="E761" s="276"/>
      <c r="F761" s="276"/>
      <c r="G761" s="276"/>
      <c r="H761" s="276"/>
      <c r="I761" s="276"/>
      <c r="J761" s="276"/>
      <c r="K761" s="276"/>
      <c r="L761" s="276"/>
      <c r="M761" s="276"/>
      <c r="N761" s="276"/>
      <c r="O761" s="276"/>
      <c r="P761" s="276"/>
      <c r="Q761" s="276"/>
      <c r="R761" s="276"/>
      <c r="S761" s="276"/>
      <c r="T761" s="276"/>
      <c r="U761" s="276"/>
      <c r="V761" s="276"/>
      <c r="W761" s="276"/>
      <c r="X761" s="276"/>
      <c r="Y761" s="276"/>
      <c r="Z761" s="276"/>
    </row>
    <row r="762" spans="1:26" ht="18.75" customHeight="1">
      <c r="A762" s="276"/>
      <c r="B762" s="276"/>
      <c r="C762" s="276"/>
      <c r="D762" s="276"/>
      <c r="E762" s="276"/>
      <c r="F762" s="276"/>
      <c r="G762" s="276"/>
      <c r="H762" s="276"/>
      <c r="I762" s="276"/>
      <c r="J762" s="276"/>
      <c r="K762" s="276"/>
      <c r="L762" s="276"/>
      <c r="M762" s="276"/>
      <c r="N762" s="276"/>
      <c r="O762" s="276"/>
      <c r="P762" s="276"/>
      <c r="Q762" s="276"/>
      <c r="R762" s="276"/>
      <c r="S762" s="276"/>
      <c r="T762" s="276"/>
      <c r="U762" s="276"/>
      <c r="V762" s="276"/>
      <c r="W762" s="276"/>
      <c r="X762" s="276"/>
      <c r="Y762" s="276"/>
      <c r="Z762" s="276"/>
    </row>
    <row r="763" spans="1:26" ht="18.75" customHeight="1">
      <c r="A763" s="276"/>
      <c r="B763" s="276"/>
      <c r="C763" s="276"/>
      <c r="D763" s="276"/>
      <c r="E763" s="276"/>
      <c r="F763" s="276"/>
      <c r="G763" s="276"/>
      <c r="H763" s="276"/>
      <c r="I763" s="276"/>
      <c r="J763" s="276"/>
      <c r="K763" s="276"/>
      <c r="L763" s="276"/>
      <c r="M763" s="276"/>
      <c r="N763" s="276"/>
      <c r="O763" s="276"/>
      <c r="P763" s="276"/>
      <c r="Q763" s="276"/>
      <c r="R763" s="276"/>
      <c r="S763" s="276"/>
      <c r="T763" s="276"/>
      <c r="U763" s="276"/>
      <c r="V763" s="276"/>
      <c r="W763" s="276"/>
      <c r="X763" s="276"/>
      <c r="Y763" s="276"/>
      <c r="Z763" s="276"/>
    </row>
    <row r="764" spans="1:26" ht="18.75" customHeight="1">
      <c r="A764" s="276"/>
      <c r="B764" s="276"/>
      <c r="C764" s="276"/>
      <c r="D764" s="276"/>
      <c r="E764" s="276"/>
      <c r="F764" s="276"/>
      <c r="G764" s="276"/>
      <c r="H764" s="276"/>
      <c r="I764" s="276"/>
      <c r="J764" s="276"/>
      <c r="K764" s="276"/>
      <c r="L764" s="276"/>
      <c r="M764" s="276"/>
      <c r="N764" s="276"/>
      <c r="O764" s="276"/>
      <c r="P764" s="276"/>
      <c r="Q764" s="276"/>
      <c r="R764" s="276"/>
      <c r="S764" s="276"/>
      <c r="T764" s="276"/>
      <c r="U764" s="276"/>
      <c r="V764" s="276"/>
      <c r="W764" s="276"/>
      <c r="X764" s="276"/>
      <c r="Y764" s="276"/>
      <c r="Z764" s="276"/>
    </row>
    <row r="765" spans="1:26" ht="18.75" customHeight="1">
      <c r="A765" s="276"/>
      <c r="B765" s="276"/>
      <c r="C765" s="276"/>
      <c r="D765" s="276"/>
      <c r="E765" s="276"/>
      <c r="F765" s="276"/>
      <c r="G765" s="276"/>
      <c r="H765" s="276"/>
      <c r="I765" s="276"/>
      <c r="J765" s="276"/>
      <c r="K765" s="276"/>
      <c r="L765" s="276"/>
      <c r="M765" s="276"/>
      <c r="N765" s="276"/>
      <c r="O765" s="276"/>
      <c r="P765" s="276"/>
      <c r="Q765" s="276"/>
      <c r="R765" s="276"/>
      <c r="S765" s="276"/>
      <c r="T765" s="276"/>
      <c r="U765" s="276"/>
      <c r="V765" s="276"/>
      <c r="W765" s="276"/>
      <c r="X765" s="276"/>
      <c r="Y765" s="276"/>
      <c r="Z765" s="276"/>
    </row>
    <row r="766" spans="1:26" ht="18.75" customHeight="1">
      <c r="A766" s="276"/>
      <c r="B766" s="276"/>
      <c r="C766" s="276"/>
      <c r="D766" s="276"/>
      <c r="E766" s="276"/>
      <c r="F766" s="276"/>
      <c r="G766" s="276"/>
      <c r="H766" s="276"/>
      <c r="I766" s="276"/>
      <c r="J766" s="276"/>
      <c r="K766" s="276"/>
      <c r="L766" s="276"/>
      <c r="M766" s="276"/>
      <c r="N766" s="276"/>
      <c r="O766" s="276"/>
      <c r="P766" s="276"/>
      <c r="Q766" s="276"/>
      <c r="R766" s="276"/>
      <c r="S766" s="276"/>
      <c r="T766" s="276"/>
      <c r="U766" s="276"/>
      <c r="V766" s="276"/>
      <c r="W766" s="276"/>
      <c r="X766" s="276"/>
      <c r="Y766" s="276"/>
      <c r="Z766" s="276"/>
    </row>
    <row r="767" spans="1:26" ht="18.75" customHeight="1">
      <c r="A767" s="276"/>
      <c r="B767" s="276"/>
      <c r="C767" s="276"/>
      <c r="D767" s="276"/>
      <c r="E767" s="276"/>
      <c r="F767" s="276"/>
      <c r="G767" s="276"/>
      <c r="H767" s="276"/>
      <c r="I767" s="276"/>
      <c r="J767" s="276"/>
      <c r="K767" s="276"/>
      <c r="L767" s="276"/>
      <c r="M767" s="276"/>
      <c r="N767" s="276"/>
      <c r="O767" s="276"/>
      <c r="P767" s="276"/>
      <c r="Q767" s="276"/>
      <c r="R767" s="276"/>
      <c r="S767" s="276"/>
      <c r="T767" s="276"/>
      <c r="U767" s="276"/>
      <c r="V767" s="276"/>
      <c r="W767" s="276"/>
      <c r="X767" s="276"/>
      <c r="Y767" s="276"/>
      <c r="Z767" s="276"/>
    </row>
    <row r="768" spans="1:26" ht="18.75" customHeight="1">
      <c r="A768" s="276"/>
      <c r="B768" s="276"/>
      <c r="C768" s="276"/>
      <c r="D768" s="276"/>
      <c r="E768" s="276"/>
      <c r="F768" s="276"/>
      <c r="G768" s="276"/>
      <c r="H768" s="276"/>
      <c r="I768" s="276"/>
      <c r="J768" s="276"/>
      <c r="K768" s="276"/>
      <c r="L768" s="276"/>
      <c r="M768" s="276"/>
      <c r="N768" s="276"/>
      <c r="O768" s="276"/>
      <c r="P768" s="276"/>
      <c r="Q768" s="276"/>
      <c r="R768" s="276"/>
      <c r="S768" s="276"/>
      <c r="T768" s="276"/>
      <c r="U768" s="276"/>
      <c r="V768" s="276"/>
      <c r="W768" s="276"/>
      <c r="X768" s="276"/>
      <c r="Y768" s="276"/>
      <c r="Z768" s="276"/>
    </row>
    <row r="769" spans="1:26" ht="18.75" customHeight="1">
      <c r="A769" s="276"/>
      <c r="B769" s="276"/>
      <c r="C769" s="276"/>
      <c r="D769" s="276"/>
      <c r="E769" s="276"/>
      <c r="F769" s="276"/>
      <c r="G769" s="276"/>
      <c r="H769" s="276"/>
      <c r="I769" s="276"/>
      <c r="J769" s="276"/>
      <c r="K769" s="276"/>
      <c r="L769" s="276"/>
      <c r="M769" s="276"/>
      <c r="N769" s="276"/>
      <c r="O769" s="276"/>
      <c r="P769" s="276"/>
      <c r="Q769" s="276"/>
      <c r="R769" s="276"/>
      <c r="S769" s="276"/>
      <c r="T769" s="276"/>
      <c r="U769" s="276"/>
      <c r="V769" s="276"/>
      <c r="W769" s="276"/>
      <c r="X769" s="276"/>
      <c r="Y769" s="276"/>
      <c r="Z769" s="276"/>
    </row>
    <row r="770" spans="1:26" ht="18.75" customHeight="1">
      <c r="A770" s="276"/>
      <c r="B770" s="276"/>
      <c r="C770" s="276"/>
      <c r="D770" s="276"/>
      <c r="E770" s="276"/>
      <c r="F770" s="276"/>
      <c r="G770" s="276"/>
      <c r="H770" s="276"/>
      <c r="I770" s="276"/>
      <c r="J770" s="276"/>
      <c r="K770" s="276"/>
      <c r="L770" s="276"/>
      <c r="M770" s="276"/>
      <c r="N770" s="276"/>
      <c r="O770" s="276"/>
      <c r="P770" s="276"/>
      <c r="Q770" s="276"/>
      <c r="R770" s="276"/>
      <c r="S770" s="276"/>
      <c r="T770" s="276"/>
      <c r="U770" s="276"/>
      <c r="V770" s="276"/>
      <c r="W770" s="276"/>
      <c r="X770" s="276"/>
      <c r="Y770" s="276"/>
      <c r="Z770" s="276"/>
    </row>
    <row r="771" spans="1:26" ht="18.75" customHeight="1">
      <c r="A771" s="276"/>
      <c r="B771" s="276"/>
      <c r="C771" s="276"/>
      <c r="D771" s="276"/>
      <c r="E771" s="276"/>
      <c r="F771" s="276"/>
      <c r="G771" s="276"/>
      <c r="H771" s="276"/>
      <c r="I771" s="276"/>
      <c r="J771" s="276"/>
      <c r="K771" s="276"/>
      <c r="L771" s="276"/>
      <c r="M771" s="276"/>
      <c r="N771" s="276"/>
      <c r="O771" s="276"/>
      <c r="P771" s="276"/>
      <c r="Q771" s="276"/>
      <c r="R771" s="276"/>
      <c r="S771" s="276"/>
      <c r="T771" s="276"/>
      <c r="U771" s="276"/>
      <c r="V771" s="276"/>
      <c r="W771" s="276"/>
      <c r="X771" s="276"/>
      <c r="Y771" s="276"/>
      <c r="Z771" s="276"/>
    </row>
    <row r="772" spans="1:26" ht="18.75" customHeight="1">
      <c r="A772" s="276"/>
      <c r="B772" s="276"/>
      <c r="C772" s="276"/>
      <c r="D772" s="276"/>
      <c r="E772" s="276"/>
      <c r="F772" s="276"/>
      <c r="G772" s="276"/>
      <c r="H772" s="276"/>
      <c r="I772" s="276"/>
      <c r="J772" s="276"/>
      <c r="K772" s="276"/>
      <c r="L772" s="276"/>
      <c r="M772" s="276"/>
      <c r="N772" s="276"/>
      <c r="O772" s="276"/>
      <c r="P772" s="276"/>
      <c r="Q772" s="276"/>
      <c r="R772" s="276"/>
      <c r="S772" s="276"/>
      <c r="T772" s="276"/>
      <c r="U772" s="276"/>
      <c r="V772" s="276"/>
      <c r="W772" s="276"/>
      <c r="X772" s="276"/>
      <c r="Y772" s="276"/>
      <c r="Z772" s="276"/>
    </row>
    <row r="773" spans="1:26" ht="18.75" customHeight="1">
      <c r="A773" s="276"/>
      <c r="B773" s="276"/>
      <c r="C773" s="276"/>
      <c r="D773" s="276"/>
      <c r="E773" s="276"/>
      <c r="F773" s="276"/>
      <c r="G773" s="276"/>
      <c r="H773" s="276"/>
      <c r="I773" s="276"/>
      <c r="J773" s="276"/>
      <c r="K773" s="276"/>
      <c r="L773" s="276"/>
      <c r="M773" s="276"/>
      <c r="N773" s="276"/>
      <c r="O773" s="276"/>
      <c r="P773" s="276"/>
      <c r="Q773" s="276"/>
      <c r="R773" s="276"/>
      <c r="S773" s="276"/>
      <c r="T773" s="276"/>
      <c r="U773" s="276"/>
      <c r="V773" s="276"/>
      <c r="W773" s="276"/>
      <c r="X773" s="276"/>
      <c r="Y773" s="276"/>
      <c r="Z773" s="276"/>
    </row>
    <row r="774" spans="1:26" ht="18.75" customHeight="1">
      <c r="A774" s="276"/>
      <c r="B774" s="276"/>
      <c r="C774" s="276"/>
      <c r="D774" s="276"/>
      <c r="E774" s="276"/>
      <c r="F774" s="276"/>
      <c r="G774" s="276"/>
      <c r="H774" s="276"/>
      <c r="I774" s="276"/>
      <c r="J774" s="276"/>
      <c r="K774" s="276"/>
      <c r="L774" s="276"/>
      <c r="M774" s="276"/>
      <c r="N774" s="276"/>
      <c r="O774" s="276"/>
      <c r="P774" s="276"/>
      <c r="Q774" s="276"/>
      <c r="R774" s="276"/>
      <c r="S774" s="276"/>
      <c r="T774" s="276"/>
      <c r="U774" s="276"/>
      <c r="V774" s="276"/>
      <c r="W774" s="276"/>
      <c r="X774" s="276"/>
      <c r="Y774" s="276"/>
      <c r="Z774" s="276"/>
    </row>
    <row r="775" spans="1:26" ht="18.75" customHeight="1">
      <c r="A775" s="276"/>
      <c r="B775" s="276"/>
      <c r="C775" s="276"/>
      <c r="D775" s="276"/>
      <c r="E775" s="276"/>
      <c r="F775" s="276"/>
      <c r="G775" s="276"/>
      <c r="H775" s="276"/>
      <c r="I775" s="276"/>
      <c r="J775" s="276"/>
      <c r="K775" s="276"/>
      <c r="L775" s="276"/>
      <c r="M775" s="276"/>
      <c r="N775" s="276"/>
      <c r="O775" s="276"/>
      <c r="P775" s="276"/>
      <c r="Q775" s="276"/>
      <c r="R775" s="276"/>
      <c r="S775" s="276"/>
      <c r="T775" s="276"/>
      <c r="U775" s="276"/>
      <c r="V775" s="276"/>
      <c r="W775" s="276"/>
      <c r="X775" s="276"/>
      <c r="Y775" s="276"/>
      <c r="Z775" s="276"/>
    </row>
    <row r="776" spans="1:26" ht="18.75" customHeight="1">
      <c r="A776" s="276"/>
      <c r="B776" s="276"/>
      <c r="C776" s="276"/>
      <c r="D776" s="276"/>
      <c r="E776" s="276"/>
      <c r="F776" s="276"/>
      <c r="G776" s="276"/>
      <c r="H776" s="276"/>
      <c r="I776" s="276"/>
      <c r="J776" s="276"/>
      <c r="K776" s="276"/>
      <c r="L776" s="276"/>
      <c r="M776" s="276"/>
      <c r="N776" s="276"/>
      <c r="O776" s="276"/>
      <c r="P776" s="276"/>
      <c r="Q776" s="276"/>
      <c r="R776" s="276"/>
      <c r="S776" s="276"/>
      <c r="T776" s="276"/>
      <c r="U776" s="276"/>
      <c r="V776" s="276"/>
      <c r="W776" s="276"/>
      <c r="X776" s="276"/>
      <c r="Y776" s="276"/>
      <c r="Z776" s="276"/>
    </row>
    <row r="777" spans="1:26" ht="18.75" customHeight="1">
      <c r="A777" s="276"/>
      <c r="B777" s="276"/>
      <c r="C777" s="276"/>
      <c r="D777" s="276"/>
      <c r="E777" s="276"/>
      <c r="F777" s="276"/>
      <c r="G777" s="276"/>
      <c r="H777" s="276"/>
      <c r="I777" s="276"/>
      <c r="J777" s="276"/>
      <c r="K777" s="276"/>
      <c r="L777" s="276"/>
      <c r="M777" s="276"/>
      <c r="N777" s="276"/>
      <c r="O777" s="276"/>
      <c r="P777" s="276"/>
      <c r="Q777" s="276"/>
      <c r="R777" s="276"/>
      <c r="S777" s="276"/>
      <c r="T777" s="276"/>
      <c r="U777" s="276"/>
      <c r="V777" s="276"/>
      <c r="W777" s="276"/>
      <c r="X777" s="276"/>
      <c r="Y777" s="276"/>
      <c r="Z777" s="276"/>
    </row>
    <row r="778" spans="1:26" ht="18.75" customHeight="1">
      <c r="A778" s="276"/>
      <c r="B778" s="276"/>
      <c r="C778" s="276"/>
      <c r="D778" s="276"/>
      <c r="E778" s="276"/>
      <c r="F778" s="276"/>
      <c r="G778" s="276"/>
      <c r="H778" s="276"/>
      <c r="I778" s="276"/>
      <c r="J778" s="276"/>
      <c r="K778" s="276"/>
      <c r="L778" s="276"/>
      <c r="M778" s="276"/>
      <c r="N778" s="276"/>
      <c r="O778" s="276"/>
      <c r="P778" s="276"/>
      <c r="Q778" s="276"/>
      <c r="R778" s="276"/>
      <c r="S778" s="276"/>
      <c r="T778" s="276"/>
      <c r="U778" s="276"/>
      <c r="V778" s="276"/>
      <c r="W778" s="276"/>
      <c r="X778" s="276"/>
      <c r="Y778" s="276"/>
      <c r="Z778" s="276"/>
    </row>
    <row r="779" spans="1:26" ht="18.75" customHeight="1">
      <c r="A779" s="276"/>
      <c r="B779" s="276"/>
      <c r="C779" s="276"/>
      <c r="D779" s="276"/>
      <c r="E779" s="276"/>
      <c r="F779" s="276"/>
      <c r="G779" s="276"/>
      <c r="H779" s="276"/>
      <c r="I779" s="276"/>
      <c r="J779" s="276"/>
      <c r="K779" s="276"/>
      <c r="L779" s="276"/>
      <c r="M779" s="276"/>
      <c r="N779" s="276"/>
      <c r="O779" s="276"/>
      <c r="P779" s="276"/>
      <c r="Q779" s="276"/>
      <c r="R779" s="276"/>
      <c r="S779" s="276"/>
      <c r="T779" s="276"/>
      <c r="U779" s="276"/>
      <c r="V779" s="276"/>
      <c r="W779" s="276"/>
      <c r="X779" s="276"/>
      <c r="Y779" s="276"/>
      <c r="Z779" s="276"/>
    </row>
    <row r="780" spans="1:26" ht="18.75" customHeight="1">
      <c r="A780" s="276"/>
      <c r="B780" s="276"/>
      <c r="C780" s="276"/>
      <c r="D780" s="276"/>
      <c r="E780" s="276"/>
      <c r="F780" s="276"/>
      <c r="G780" s="276"/>
      <c r="H780" s="276"/>
      <c r="I780" s="276"/>
      <c r="J780" s="276"/>
      <c r="K780" s="276"/>
      <c r="L780" s="276"/>
      <c r="M780" s="276"/>
      <c r="N780" s="276"/>
      <c r="O780" s="276"/>
      <c r="P780" s="276"/>
      <c r="Q780" s="276"/>
      <c r="R780" s="276"/>
      <c r="S780" s="276"/>
      <c r="T780" s="276"/>
      <c r="U780" s="276"/>
      <c r="V780" s="276"/>
      <c r="W780" s="276"/>
      <c r="X780" s="276"/>
      <c r="Y780" s="276"/>
      <c r="Z780" s="276"/>
    </row>
    <row r="781" spans="1:26" ht="18.75" customHeight="1">
      <c r="A781" s="276"/>
      <c r="B781" s="276"/>
      <c r="C781" s="276"/>
      <c r="D781" s="276"/>
      <c r="E781" s="276"/>
      <c r="F781" s="276"/>
      <c r="G781" s="276"/>
      <c r="H781" s="276"/>
      <c r="I781" s="276"/>
      <c r="J781" s="276"/>
      <c r="K781" s="276"/>
      <c r="L781" s="276"/>
      <c r="M781" s="276"/>
      <c r="N781" s="276"/>
      <c r="O781" s="276"/>
      <c r="P781" s="276"/>
      <c r="Q781" s="276"/>
      <c r="R781" s="276"/>
      <c r="S781" s="276"/>
      <c r="T781" s="276"/>
      <c r="U781" s="276"/>
      <c r="V781" s="276"/>
      <c r="W781" s="276"/>
      <c r="X781" s="276"/>
      <c r="Y781" s="276"/>
      <c r="Z781" s="276"/>
    </row>
    <row r="782" spans="1:26" ht="18.75" customHeight="1">
      <c r="A782" s="276"/>
      <c r="B782" s="276"/>
      <c r="C782" s="276"/>
      <c r="D782" s="276"/>
      <c r="E782" s="276"/>
      <c r="F782" s="276"/>
      <c r="G782" s="276"/>
      <c r="H782" s="276"/>
      <c r="I782" s="276"/>
      <c r="J782" s="276"/>
      <c r="K782" s="276"/>
      <c r="L782" s="276"/>
      <c r="M782" s="276"/>
      <c r="N782" s="276"/>
      <c r="O782" s="276"/>
      <c r="P782" s="276"/>
      <c r="Q782" s="276"/>
      <c r="R782" s="276"/>
      <c r="S782" s="276"/>
      <c r="T782" s="276"/>
      <c r="U782" s="276"/>
      <c r="V782" s="276"/>
      <c r="W782" s="276"/>
      <c r="X782" s="276"/>
      <c r="Y782" s="276"/>
      <c r="Z782" s="276"/>
    </row>
    <row r="783" spans="1:26" ht="18.75" customHeight="1">
      <c r="A783" s="276"/>
      <c r="B783" s="276"/>
      <c r="C783" s="276"/>
      <c r="D783" s="276"/>
      <c r="E783" s="276"/>
      <c r="F783" s="276"/>
      <c r="G783" s="276"/>
      <c r="H783" s="276"/>
      <c r="I783" s="276"/>
      <c r="J783" s="276"/>
      <c r="K783" s="276"/>
      <c r="L783" s="276"/>
      <c r="M783" s="276"/>
      <c r="N783" s="276"/>
      <c r="O783" s="276"/>
      <c r="P783" s="276"/>
      <c r="Q783" s="276"/>
      <c r="R783" s="276"/>
      <c r="S783" s="276"/>
      <c r="T783" s="276"/>
      <c r="U783" s="276"/>
      <c r="V783" s="276"/>
      <c r="W783" s="276"/>
      <c r="X783" s="276"/>
      <c r="Y783" s="276"/>
      <c r="Z783" s="276"/>
    </row>
    <row r="784" spans="1:26" ht="18.75" customHeight="1">
      <c r="A784" s="276"/>
      <c r="B784" s="276"/>
      <c r="C784" s="276"/>
      <c r="D784" s="276"/>
      <c r="E784" s="276"/>
      <c r="F784" s="276"/>
      <c r="G784" s="276"/>
      <c r="H784" s="276"/>
      <c r="I784" s="276"/>
      <c r="J784" s="276"/>
      <c r="K784" s="276"/>
      <c r="L784" s="276"/>
      <c r="M784" s="276"/>
      <c r="N784" s="276"/>
      <c r="O784" s="276"/>
      <c r="P784" s="276"/>
      <c r="Q784" s="276"/>
      <c r="R784" s="276"/>
      <c r="S784" s="276"/>
      <c r="T784" s="276"/>
      <c r="U784" s="276"/>
      <c r="V784" s="276"/>
      <c r="W784" s="276"/>
      <c r="X784" s="276"/>
      <c r="Y784" s="276"/>
      <c r="Z784" s="276"/>
    </row>
    <row r="785" spans="1:26" ht="18.75" customHeight="1">
      <c r="A785" s="276"/>
      <c r="B785" s="276"/>
      <c r="C785" s="276"/>
      <c r="D785" s="276"/>
      <c r="E785" s="276"/>
      <c r="F785" s="276"/>
      <c r="G785" s="276"/>
      <c r="H785" s="276"/>
      <c r="I785" s="276"/>
      <c r="J785" s="276"/>
      <c r="K785" s="276"/>
      <c r="L785" s="276"/>
      <c r="M785" s="276"/>
      <c r="N785" s="276"/>
      <c r="O785" s="276"/>
      <c r="P785" s="276"/>
      <c r="Q785" s="276"/>
      <c r="R785" s="276"/>
      <c r="S785" s="276"/>
      <c r="T785" s="276"/>
      <c r="U785" s="276"/>
      <c r="V785" s="276"/>
      <c r="W785" s="276"/>
      <c r="X785" s="276"/>
      <c r="Y785" s="276"/>
      <c r="Z785" s="276"/>
    </row>
    <row r="786" spans="1:26" ht="18.75" customHeight="1">
      <c r="A786" s="276"/>
      <c r="B786" s="276"/>
      <c r="C786" s="276"/>
      <c r="D786" s="276"/>
      <c r="E786" s="276"/>
      <c r="F786" s="276"/>
      <c r="G786" s="276"/>
      <c r="H786" s="276"/>
      <c r="I786" s="276"/>
      <c r="J786" s="276"/>
      <c r="K786" s="276"/>
      <c r="L786" s="276"/>
      <c r="M786" s="276"/>
      <c r="N786" s="276"/>
      <c r="O786" s="276"/>
      <c r="P786" s="276"/>
      <c r="Q786" s="276"/>
      <c r="R786" s="276"/>
      <c r="S786" s="276"/>
      <c r="T786" s="276"/>
      <c r="U786" s="276"/>
      <c r="V786" s="276"/>
      <c r="W786" s="276"/>
      <c r="X786" s="276"/>
      <c r="Y786" s="276"/>
      <c r="Z786" s="276"/>
    </row>
    <row r="787" spans="1:26" ht="18.75" customHeight="1">
      <c r="A787" s="276"/>
      <c r="B787" s="276"/>
      <c r="C787" s="276"/>
      <c r="D787" s="276"/>
      <c r="E787" s="276"/>
      <c r="F787" s="276"/>
      <c r="G787" s="276"/>
      <c r="H787" s="276"/>
      <c r="I787" s="276"/>
      <c r="J787" s="276"/>
      <c r="K787" s="276"/>
      <c r="L787" s="276"/>
      <c r="M787" s="276"/>
      <c r="N787" s="276"/>
      <c r="O787" s="276"/>
      <c r="P787" s="276"/>
      <c r="Q787" s="276"/>
      <c r="R787" s="276"/>
      <c r="S787" s="276"/>
      <c r="T787" s="276"/>
      <c r="U787" s="276"/>
      <c r="V787" s="276"/>
      <c r="W787" s="276"/>
      <c r="X787" s="276"/>
      <c r="Y787" s="276"/>
      <c r="Z787" s="276"/>
    </row>
    <row r="788" spans="1:26" ht="18.75" customHeight="1">
      <c r="A788" s="276"/>
      <c r="B788" s="276"/>
      <c r="C788" s="276"/>
      <c r="D788" s="276"/>
      <c r="E788" s="276"/>
      <c r="F788" s="276"/>
      <c r="G788" s="276"/>
      <c r="H788" s="276"/>
      <c r="I788" s="276"/>
      <c r="J788" s="276"/>
      <c r="K788" s="276"/>
      <c r="L788" s="276"/>
      <c r="M788" s="276"/>
      <c r="N788" s="276"/>
      <c r="O788" s="276"/>
      <c r="P788" s="276"/>
      <c r="Q788" s="276"/>
      <c r="R788" s="276"/>
      <c r="S788" s="276"/>
      <c r="T788" s="276"/>
      <c r="U788" s="276"/>
      <c r="V788" s="276"/>
      <c r="W788" s="276"/>
      <c r="X788" s="276"/>
      <c r="Y788" s="276"/>
      <c r="Z788" s="276"/>
    </row>
    <row r="789" spans="1:26" ht="18.75" customHeight="1">
      <c r="A789" s="276"/>
      <c r="B789" s="276"/>
      <c r="C789" s="276"/>
      <c r="D789" s="276"/>
      <c r="E789" s="276"/>
      <c r="F789" s="276"/>
      <c r="G789" s="276"/>
      <c r="H789" s="276"/>
      <c r="I789" s="276"/>
      <c r="J789" s="276"/>
      <c r="K789" s="276"/>
      <c r="L789" s="276"/>
      <c r="M789" s="276"/>
      <c r="N789" s="276"/>
      <c r="O789" s="276"/>
      <c r="P789" s="276"/>
      <c r="Q789" s="276"/>
      <c r="R789" s="276"/>
      <c r="S789" s="276"/>
      <c r="T789" s="276"/>
      <c r="U789" s="276"/>
      <c r="V789" s="276"/>
      <c r="W789" s="276"/>
      <c r="X789" s="276"/>
      <c r="Y789" s="276"/>
      <c r="Z789" s="276"/>
    </row>
    <row r="790" spans="1:26" ht="18.75" customHeight="1">
      <c r="A790" s="276"/>
      <c r="B790" s="276"/>
      <c r="C790" s="276"/>
      <c r="D790" s="276"/>
      <c r="E790" s="276"/>
      <c r="F790" s="276"/>
      <c r="G790" s="276"/>
      <c r="H790" s="276"/>
      <c r="I790" s="276"/>
      <c r="J790" s="276"/>
      <c r="K790" s="276"/>
      <c r="L790" s="276"/>
      <c r="M790" s="276"/>
      <c r="N790" s="276"/>
      <c r="O790" s="276"/>
      <c r="P790" s="276"/>
      <c r="Q790" s="276"/>
      <c r="R790" s="276"/>
      <c r="S790" s="276"/>
      <c r="T790" s="276"/>
      <c r="U790" s="276"/>
      <c r="V790" s="276"/>
      <c r="W790" s="276"/>
      <c r="X790" s="276"/>
      <c r="Y790" s="276"/>
      <c r="Z790" s="276"/>
    </row>
    <row r="791" spans="1:26" ht="18.75" customHeight="1">
      <c r="A791" s="276"/>
      <c r="B791" s="276"/>
      <c r="C791" s="276"/>
      <c r="D791" s="276"/>
      <c r="E791" s="276"/>
      <c r="F791" s="276"/>
      <c r="G791" s="276"/>
      <c r="H791" s="276"/>
      <c r="I791" s="276"/>
      <c r="J791" s="276"/>
      <c r="K791" s="276"/>
      <c r="L791" s="276"/>
      <c r="M791" s="276"/>
      <c r="N791" s="276"/>
      <c r="O791" s="276"/>
      <c r="P791" s="276"/>
      <c r="Q791" s="276"/>
      <c r="R791" s="276"/>
      <c r="S791" s="276"/>
      <c r="T791" s="276"/>
      <c r="U791" s="276"/>
      <c r="V791" s="276"/>
      <c r="W791" s="276"/>
      <c r="X791" s="276"/>
      <c r="Y791" s="276"/>
      <c r="Z791" s="276"/>
    </row>
    <row r="792" spans="1:26" ht="18.75" customHeight="1">
      <c r="A792" s="276"/>
      <c r="B792" s="276"/>
      <c r="C792" s="276"/>
      <c r="D792" s="276"/>
      <c r="E792" s="276"/>
      <c r="F792" s="276"/>
      <c r="G792" s="276"/>
      <c r="H792" s="276"/>
      <c r="I792" s="276"/>
      <c r="J792" s="276"/>
      <c r="K792" s="276"/>
      <c r="L792" s="276"/>
      <c r="M792" s="276"/>
      <c r="N792" s="276"/>
      <c r="O792" s="276"/>
      <c r="P792" s="276"/>
      <c r="Q792" s="276"/>
      <c r="R792" s="276"/>
      <c r="S792" s="276"/>
      <c r="T792" s="276"/>
      <c r="U792" s="276"/>
      <c r="V792" s="276"/>
      <c r="W792" s="276"/>
      <c r="X792" s="276"/>
      <c r="Y792" s="276"/>
      <c r="Z792" s="276"/>
    </row>
    <row r="793" spans="1:26" ht="18.75" customHeight="1">
      <c r="A793" s="276"/>
      <c r="B793" s="276"/>
      <c r="C793" s="276"/>
      <c r="D793" s="276"/>
      <c r="E793" s="276"/>
      <c r="F793" s="276"/>
      <c r="G793" s="276"/>
      <c r="H793" s="276"/>
      <c r="I793" s="276"/>
      <c r="J793" s="276"/>
      <c r="K793" s="276"/>
      <c r="L793" s="276"/>
      <c r="M793" s="276"/>
      <c r="N793" s="276"/>
      <c r="O793" s="276"/>
      <c r="P793" s="276"/>
      <c r="Q793" s="276"/>
      <c r="R793" s="276"/>
      <c r="S793" s="276"/>
      <c r="T793" s="276"/>
      <c r="U793" s="276"/>
      <c r="V793" s="276"/>
      <c r="W793" s="276"/>
      <c r="X793" s="276"/>
      <c r="Y793" s="276"/>
      <c r="Z793" s="276"/>
    </row>
    <row r="794" spans="1:26" ht="18.75" customHeight="1">
      <c r="A794" s="276"/>
      <c r="B794" s="276"/>
      <c r="C794" s="276"/>
      <c r="D794" s="276"/>
      <c r="E794" s="276"/>
      <c r="F794" s="276"/>
      <c r="G794" s="276"/>
      <c r="H794" s="276"/>
      <c r="I794" s="276"/>
      <c r="J794" s="276"/>
      <c r="K794" s="276"/>
      <c r="L794" s="276"/>
      <c r="M794" s="276"/>
      <c r="N794" s="276"/>
      <c r="O794" s="276"/>
      <c r="P794" s="276"/>
      <c r="Q794" s="276"/>
      <c r="R794" s="276"/>
      <c r="S794" s="276"/>
      <c r="T794" s="276"/>
      <c r="U794" s="276"/>
      <c r="V794" s="276"/>
      <c r="W794" s="276"/>
      <c r="X794" s="276"/>
      <c r="Y794" s="276"/>
      <c r="Z794" s="276"/>
    </row>
    <row r="795" spans="1:26" ht="18.75" customHeight="1">
      <c r="A795" s="276"/>
      <c r="B795" s="276"/>
      <c r="C795" s="276"/>
      <c r="D795" s="276"/>
      <c r="E795" s="276"/>
      <c r="F795" s="276"/>
      <c r="G795" s="276"/>
      <c r="H795" s="276"/>
      <c r="I795" s="276"/>
      <c r="J795" s="276"/>
      <c r="K795" s="276"/>
      <c r="L795" s="276"/>
      <c r="M795" s="276"/>
      <c r="N795" s="276"/>
      <c r="O795" s="276"/>
      <c r="P795" s="276"/>
      <c r="Q795" s="276"/>
      <c r="R795" s="276"/>
      <c r="S795" s="276"/>
      <c r="T795" s="276"/>
      <c r="U795" s="276"/>
      <c r="V795" s="276"/>
      <c r="W795" s="276"/>
      <c r="X795" s="276"/>
      <c r="Y795" s="276"/>
      <c r="Z795" s="276"/>
    </row>
    <row r="796" spans="1:26" ht="18.75" customHeight="1">
      <c r="A796" s="276"/>
      <c r="B796" s="276"/>
      <c r="C796" s="276"/>
      <c r="D796" s="276"/>
      <c r="E796" s="276"/>
      <c r="F796" s="276"/>
      <c r="G796" s="276"/>
      <c r="H796" s="276"/>
      <c r="I796" s="276"/>
      <c r="J796" s="276"/>
      <c r="K796" s="276"/>
      <c r="L796" s="276"/>
      <c r="M796" s="276"/>
      <c r="N796" s="276"/>
      <c r="O796" s="276"/>
      <c r="P796" s="276"/>
      <c r="Q796" s="276"/>
      <c r="R796" s="276"/>
      <c r="S796" s="276"/>
      <c r="T796" s="276"/>
      <c r="U796" s="276"/>
      <c r="V796" s="276"/>
      <c r="W796" s="276"/>
      <c r="X796" s="276"/>
      <c r="Y796" s="276"/>
      <c r="Z796" s="276"/>
    </row>
    <row r="797" spans="1:26" ht="18.75" customHeight="1">
      <c r="A797" s="276"/>
      <c r="B797" s="276"/>
      <c r="C797" s="276"/>
      <c r="D797" s="276"/>
      <c r="E797" s="276"/>
      <c r="F797" s="276"/>
      <c r="G797" s="276"/>
      <c r="H797" s="276"/>
      <c r="I797" s="276"/>
      <c r="J797" s="276"/>
      <c r="K797" s="276"/>
      <c r="L797" s="276"/>
      <c r="M797" s="276"/>
      <c r="N797" s="276"/>
      <c r="O797" s="276"/>
      <c r="P797" s="276"/>
      <c r="Q797" s="276"/>
      <c r="R797" s="276"/>
      <c r="S797" s="276"/>
      <c r="T797" s="276"/>
      <c r="U797" s="276"/>
      <c r="V797" s="276"/>
      <c r="W797" s="276"/>
      <c r="X797" s="276"/>
      <c r="Y797" s="276"/>
      <c r="Z797" s="276"/>
    </row>
    <row r="798" spans="1:26" ht="18.75" customHeight="1">
      <c r="A798" s="276"/>
      <c r="B798" s="276"/>
      <c r="C798" s="276"/>
      <c r="D798" s="276"/>
      <c r="E798" s="276"/>
      <c r="F798" s="276"/>
      <c r="G798" s="276"/>
      <c r="H798" s="276"/>
      <c r="I798" s="276"/>
      <c r="J798" s="276"/>
      <c r="K798" s="276"/>
      <c r="L798" s="276"/>
      <c r="M798" s="276"/>
      <c r="N798" s="276"/>
      <c r="O798" s="276"/>
      <c r="P798" s="276"/>
      <c r="Q798" s="276"/>
      <c r="R798" s="276"/>
      <c r="S798" s="276"/>
      <c r="T798" s="276"/>
      <c r="U798" s="276"/>
      <c r="V798" s="276"/>
      <c r="W798" s="276"/>
      <c r="X798" s="276"/>
      <c r="Y798" s="276"/>
      <c r="Z798" s="276"/>
    </row>
    <row r="799" spans="1:26" ht="18.75" customHeight="1">
      <c r="A799" s="276"/>
      <c r="B799" s="276"/>
      <c r="C799" s="276"/>
      <c r="D799" s="276"/>
      <c r="E799" s="276"/>
      <c r="F799" s="276"/>
      <c r="G799" s="276"/>
      <c r="H799" s="276"/>
      <c r="I799" s="276"/>
      <c r="J799" s="276"/>
      <c r="K799" s="276"/>
      <c r="L799" s="276"/>
      <c r="M799" s="276"/>
      <c r="N799" s="276"/>
      <c r="O799" s="276"/>
      <c r="P799" s="276"/>
      <c r="Q799" s="276"/>
      <c r="R799" s="276"/>
      <c r="S799" s="276"/>
      <c r="T799" s="276"/>
      <c r="U799" s="276"/>
      <c r="V799" s="276"/>
      <c r="W799" s="276"/>
      <c r="X799" s="276"/>
      <c r="Y799" s="276"/>
      <c r="Z799" s="276"/>
    </row>
    <row r="800" spans="1:26" ht="18.75" customHeight="1">
      <c r="A800" s="276"/>
      <c r="B800" s="276"/>
      <c r="C800" s="276"/>
      <c r="D800" s="276"/>
      <c r="E800" s="276"/>
      <c r="F800" s="276"/>
      <c r="G800" s="276"/>
      <c r="H800" s="276"/>
      <c r="I800" s="276"/>
      <c r="J800" s="276"/>
      <c r="K800" s="276"/>
      <c r="L800" s="276"/>
      <c r="M800" s="276"/>
      <c r="N800" s="276"/>
      <c r="O800" s="276"/>
      <c r="P800" s="276"/>
      <c r="Q800" s="276"/>
      <c r="R800" s="276"/>
      <c r="S800" s="276"/>
      <c r="T800" s="276"/>
      <c r="U800" s="276"/>
      <c r="V800" s="276"/>
      <c r="W800" s="276"/>
      <c r="X800" s="276"/>
      <c r="Y800" s="276"/>
      <c r="Z800" s="276"/>
    </row>
    <row r="801" spans="1:26" ht="18.75" customHeight="1">
      <c r="A801" s="276"/>
      <c r="B801" s="276"/>
      <c r="C801" s="276"/>
      <c r="D801" s="276"/>
      <c r="E801" s="276"/>
      <c r="F801" s="276"/>
      <c r="G801" s="276"/>
      <c r="H801" s="276"/>
      <c r="I801" s="276"/>
      <c r="J801" s="276"/>
      <c r="K801" s="276"/>
      <c r="L801" s="276"/>
      <c r="M801" s="276"/>
      <c r="N801" s="276"/>
      <c r="O801" s="276"/>
      <c r="P801" s="276"/>
      <c r="Q801" s="276"/>
      <c r="R801" s="276"/>
      <c r="S801" s="276"/>
      <c r="T801" s="276"/>
      <c r="U801" s="276"/>
      <c r="V801" s="276"/>
      <c r="W801" s="276"/>
      <c r="X801" s="276"/>
      <c r="Y801" s="276"/>
      <c r="Z801" s="276"/>
    </row>
    <row r="802" spans="1:26" ht="18.75" customHeight="1">
      <c r="A802" s="276"/>
      <c r="B802" s="276"/>
      <c r="C802" s="276"/>
      <c r="D802" s="276"/>
      <c r="E802" s="276"/>
      <c r="F802" s="276"/>
      <c r="G802" s="276"/>
      <c r="H802" s="276"/>
      <c r="I802" s="276"/>
      <c r="J802" s="276"/>
      <c r="K802" s="276"/>
      <c r="L802" s="276"/>
      <c r="M802" s="276"/>
      <c r="N802" s="276"/>
      <c r="O802" s="276"/>
      <c r="P802" s="276"/>
      <c r="Q802" s="276"/>
      <c r="R802" s="276"/>
      <c r="S802" s="276"/>
      <c r="T802" s="276"/>
      <c r="U802" s="276"/>
      <c r="V802" s="276"/>
      <c r="W802" s="276"/>
      <c r="X802" s="276"/>
      <c r="Y802" s="276"/>
      <c r="Z802" s="276"/>
    </row>
    <row r="803" spans="1:26" ht="18.75" customHeight="1">
      <c r="A803" s="276"/>
      <c r="B803" s="276"/>
      <c r="C803" s="276"/>
      <c r="D803" s="276"/>
      <c r="E803" s="276"/>
      <c r="F803" s="276"/>
      <c r="G803" s="276"/>
      <c r="H803" s="276"/>
      <c r="I803" s="276"/>
      <c r="J803" s="276"/>
      <c r="K803" s="276"/>
      <c r="L803" s="276"/>
      <c r="M803" s="276"/>
      <c r="N803" s="276"/>
      <c r="O803" s="276"/>
      <c r="P803" s="276"/>
      <c r="Q803" s="276"/>
      <c r="R803" s="276"/>
      <c r="S803" s="276"/>
      <c r="T803" s="276"/>
      <c r="U803" s="276"/>
      <c r="V803" s="276"/>
      <c r="W803" s="276"/>
      <c r="X803" s="276"/>
      <c r="Y803" s="276"/>
      <c r="Z803" s="276"/>
    </row>
    <row r="804" spans="1:26" ht="18.75" customHeight="1">
      <c r="A804" s="276"/>
      <c r="B804" s="276"/>
      <c r="C804" s="276"/>
      <c r="D804" s="276"/>
      <c r="E804" s="276"/>
      <c r="F804" s="276"/>
      <c r="G804" s="276"/>
      <c r="H804" s="276"/>
      <c r="I804" s="276"/>
      <c r="J804" s="276"/>
      <c r="K804" s="276"/>
      <c r="L804" s="276"/>
      <c r="M804" s="276"/>
      <c r="N804" s="276"/>
      <c r="O804" s="276"/>
      <c r="P804" s="276"/>
      <c r="Q804" s="276"/>
      <c r="R804" s="276"/>
      <c r="S804" s="276"/>
      <c r="T804" s="276"/>
      <c r="U804" s="276"/>
      <c r="V804" s="276"/>
      <c r="W804" s="276"/>
      <c r="X804" s="276"/>
      <c r="Y804" s="276"/>
      <c r="Z804" s="276"/>
    </row>
    <row r="805" spans="1:26" ht="18.75" customHeight="1">
      <c r="A805" s="276"/>
      <c r="B805" s="276"/>
      <c r="C805" s="276"/>
      <c r="D805" s="276"/>
      <c r="E805" s="276"/>
      <c r="F805" s="276"/>
      <c r="G805" s="276"/>
      <c r="H805" s="276"/>
      <c r="I805" s="276"/>
      <c r="J805" s="276"/>
      <c r="K805" s="276"/>
      <c r="L805" s="276"/>
      <c r="M805" s="276"/>
      <c r="N805" s="276"/>
      <c r="O805" s="276"/>
      <c r="P805" s="276"/>
      <c r="Q805" s="276"/>
      <c r="R805" s="276"/>
      <c r="S805" s="276"/>
      <c r="T805" s="276"/>
      <c r="U805" s="276"/>
      <c r="V805" s="276"/>
      <c r="W805" s="276"/>
      <c r="X805" s="276"/>
      <c r="Y805" s="276"/>
      <c r="Z805" s="276"/>
    </row>
    <row r="806" spans="1:26" ht="18.75" customHeight="1">
      <c r="A806" s="276"/>
      <c r="B806" s="276"/>
      <c r="C806" s="276"/>
      <c r="D806" s="276"/>
      <c r="E806" s="276"/>
      <c r="F806" s="276"/>
      <c r="G806" s="276"/>
      <c r="H806" s="276"/>
      <c r="I806" s="276"/>
      <c r="J806" s="276"/>
      <c r="K806" s="276"/>
      <c r="L806" s="276"/>
      <c r="M806" s="276"/>
      <c r="N806" s="276"/>
      <c r="O806" s="276"/>
      <c r="P806" s="276"/>
      <c r="Q806" s="276"/>
      <c r="R806" s="276"/>
      <c r="S806" s="276"/>
      <c r="T806" s="276"/>
      <c r="U806" s="276"/>
      <c r="V806" s="276"/>
      <c r="W806" s="276"/>
      <c r="X806" s="276"/>
      <c r="Y806" s="276"/>
      <c r="Z806" s="276"/>
    </row>
    <row r="807" spans="1:26" ht="18.75" customHeight="1">
      <c r="A807" s="276"/>
      <c r="B807" s="276"/>
      <c r="C807" s="276"/>
      <c r="D807" s="276"/>
      <c r="E807" s="276"/>
      <c r="F807" s="276"/>
      <c r="G807" s="276"/>
      <c r="H807" s="276"/>
      <c r="I807" s="276"/>
      <c r="J807" s="276"/>
      <c r="K807" s="276"/>
      <c r="L807" s="276"/>
      <c r="M807" s="276"/>
      <c r="N807" s="276"/>
      <c r="O807" s="276"/>
      <c r="P807" s="276"/>
      <c r="Q807" s="276"/>
      <c r="R807" s="276"/>
      <c r="S807" s="276"/>
      <c r="T807" s="276"/>
      <c r="U807" s="276"/>
      <c r="V807" s="276"/>
      <c r="W807" s="276"/>
      <c r="X807" s="276"/>
      <c r="Y807" s="276"/>
      <c r="Z807" s="276"/>
    </row>
    <row r="808" spans="1:26" ht="18.75" customHeight="1">
      <c r="A808" s="276"/>
      <c r="B808" s="276"/>
      <c r="C808" s="276"/>
      <c r="D808" s="276"/>
      <c r="E808" s="276"/>
      <c r="F808" s="276"/>
      <c r="G808" s="276"/>
      <c r="H808" s="276"/>
      <c r="I808" s="276"/>
      <c r="J808" s="276"/>
      <c r="K808" s="276"/>
      <c r="L808" s="276"/>
      <c r="M808" s="276"/>
      <c r="N808" s="276"/>
      <c r="O808" s="276"/>
      <c r="P808" s="276"/>
      <c r="Q808" s="276"/>
      <c r="R808" s="276"/>
      <c r="S808" s="276"/>
      <c r="T808" s="276"/>
      <c r="U808" s="276"/>
      <c r="V808" s="276"/>
      <c r="W808" s="276"/>
      <c r="X808" s="276"/>
      <c r="Y808" s="276"/>
      <c r="Z808" s="276"/>
    </row>
    <row r="809" spans="1:26" ht="18.75" customHeight="1">
      <c r="A809" s="276"/>
      <c r="B809" s="276"/>
      <c r="C809" s="276"/>
      <c r="D809" s="276"/>
      <c r="E809" s="276"/>
      <c r="F809" s="276"/>
      <c r="G809" s="276"/>
      <c r="H809" s="276"/>
      <c r="I809" s="276"/>
      <c r="J809" s="276"/>
      <c r="K809" s="276"/>
      <c r="L809" s="276"/>
      <c r="M809" s="276"/>
      <c r="N809" s="276"/>
      <c r="O809" s="276"/>
      <c r="P809" s="276"/>
      <c r="Q809" s="276"/>
      <c r="R809" s="276"/>
      <c r="S809" s="276"/>
      <c r="T809" s="276"/>
      <c r="U809" s="276"/>
      <c r="V809" s="276"/>
      <c r="W809" s="276"/>
      <c r="X809" s="276"/>
      <c r="Y809" s="276"/>
      <c r="Z809" s="276"/>
    </row>
    <row r="810" spans="1:26" ht="18.75" customHeight="1">
      <c r="A810" s="276"/>
      <c r="B810" s="276"/>
      <c r="C810" s="276"/>
      <c r="D810" s="276"/>
      <c r="E810" s="276"/>
      <c r="F810" s="276"/>
      <c r="G810" s="276"/>
      <c r="H810" s="276"/>
      <c r="I810" s="276"/>
      <c r="J810" s="276"/>
      <c r="K810" s="276"/>
      <c r="L810" s="276"/>
      <c r="M810" s="276"/>
      <c r="N810" s="276"/>
      <c r="O810" s="276"/>
      <c r="P810" s="276"/>
      <c r="Q810" s="276"/>
      <c r="R810" s="276"/>
      <c r="S810" s="276"/>
      <c r="T810" s="276"/>
      <c r="U810" s="276"/>
      <c r="V810" s="276"/>
      <c r="W810" s="276"/>
      <c r="X810" s="276"/>
      <c r="Y810" s="276"/>
      <c r="Z810" s="276"/>
    </row>
    <row r="811" spans="1:26" ht="18.75" customHeight="1">
      <c r="A811" s="276"/>
      <c r="B811" s="276"/>
      <c r="C811" s="276"/>
      <c r="D811" s="276"/>
      <c r="E811" s="276"/>
      <c r="F811" s="276"/>
      <c r="G811" s="276"/>
      <c r="H811" s="276"/>
      <c r="I811" s="276"/>
      <c r="J811" s="276"/>
      <c r="K811" s="276"/>
      <c r="L811" s="276"/>
      <c r="M811" s="276"/>
      <c r="N811" s="276"/>
      <c r="O811" s="276"/>
      <c r="P811" s="276"/>
      <c r="Q811" s="276"/>
      <c r="R811" s="276"/>
      <c r="S811" s="276"/>
      <c r="T811" s="276"/>
      <c r="U811" s="276"/>
      <c r="V811" s="276"/>
      <c r="W811" s="276"/>
      <c r="X811" s="276"/>
      <c r="Y811" s="276"/>
      <c r="Z811" s="276"/>
    </row>
    <row r="812" spans="1:26" ht="18.75" customHeight="1">
      <c r="A812" s="276"/>
      <c r="B812" s="276"/>
      <c r="C812" s="276"/>
      <c r="D812" s="276"/>
      <c r="E812" s="276"/>
      <c r="F812" s="276"/>
      <c r="G812" s="276"/>
      <c r="H812" s="276"/>
      <c r="I812" s="276"/>
      <c r="J812" s="276"/>
      <c r="K812" s="276"/>
      <c r="L812" s="276"/>
      <c r="M812" s="276"/>
      <c r="N812" s="276"/>
      <c r="O812" s="276"/>
      <c r="P812" s="276"/>
      <c r="Q812" s="276"/>
      <c r="R812" s="276"/>
      <c r="S812" s="276"/>
      <c r="T812" s="276"/>
      <c r="U812" s="276"/>
      <c r="V812" s="276"/>
      <c r="W812" s="276"/>
      <c r="X812" s="276"/>
      <c r="Y812" s="276"/>
      <c r="Z812" s="276"/>
    </row>
    <row r="813" spans="1:26" ht="18.75" customHeight="1">
      <c r="A813" s="276"/>
      <c r="B813" s="276"/>
      <c r="C813" s="276"/>
      <c r="D813" s="276"/>
      <c r="E813" s="276"/>
      <c r="F813" s="276"/>
      <c r="G813" s="276"/>
      <c r="H813" s="276"/>
      <c r="I813" s="276"/>
      <c r="J813" s="276"/>
      <c r="K813" s="276"/>
      <c r="L813" s="276"/>
      <c r="M813" s="276"/>
      <c r="N813" s="276"/>
      <c r="O813" s="276"/>
      <c r="P813" s="276"/>
      <c r="Q813" s="276"/>
      <c r="R813" s="276"/>
      <c r="S813" s="276"/>
      <c r="T813" s="276"/>
      <c r="U813" s="276"/>
      <c r="V813" s="276"/>
      <c r="W813" s="276"/>
      <c r="X813" s="276"/>
      <c r="Y813" s="276"/>
      <c r="Z813" s="276"/>
    </row>
    <row r="814" spans="1:26" ht="18.75" customHeight="1">
      <c r="A814" s="276"/>
      <c r="B814" s="276"/>
      <c r="C814" s="276"/>
      <c r="D814" s="276"/>
      <c r="E814" s="276"/>
      <c r="F814" s="276"/>
      <c r="G814" s="276"/>
      <c r="H814" s="276"/>
      <c r="I814" s="276"/>
      <c r="J814" s="276"/>
      <c r="K814" s="276"/>
      <c r="L814" s="276"/>
      <c r="M814" s="276"/>
      <c r="N814" s="276"/>
      <c r="O814" s="276"/>
      <c r="P814" s="276"/>
      <c r="Q814" s="276"/>
      <c r="R814" s="276"/>
      <c r="S814" s="276"/>
      <c r="T814" s="276"/>
      <c r="U814" s="276"/>
      <c r="V814" s="276"/>
      <c r="W814" s="276"/>
      <c r="X814" s="276"/>
      <c r="Y814" s="276"/>
      <c r="Z814" s="276"/>
    </row>
    <row r="815" spans="1:26" ht="18.75" customHeight="1">
      <c r="A815" s="276"/>
      <c r="B815" s="276"/>
      <c r="C815" s="276"/>
      <c r="D815" s="276"/>
      <c r="E815" s="276"/>
      <c r="F815" s="276"/>
      <c r="G815" s="276"/>
      <c r="H815" s="276"/>
      <c r="I815" s="276"/>
      <c r="J815" s="276"/>
      <c r="K815" s="276"/>
      <c r="L815" s="276"/>
      <c r="M815" s="276"/>
      <c r="N815" s="276"/>
      <c r="O815" s="276"/>
      <c r="P815" s="276"/>
      <c r="Q815" s="276"/>
      <c r="R815" s="276"/>
      <c r="S815" s="276"/>
      <c r="T815" s="276"/>
      <c r="U815" s="276"/>
      <c r="V815" s="276"/>
      <c r="W815" s="276"/>
      <c r="X815" s="276"/>
      <c r="Y815" s="276"/>
      <c r="Z815" s="276"/>
    </row>
    <row r="816" spans="1:26" ht="18.75" customHeight="1">
      <c r="A816" s="276"/>
      <c r="B816" s="276"/>
      <c r="C816" s="276"/>
      <c r="D816" s="276"/>
      <c r="E816" s="276"/>
      <c r="F816" s="276"/>
      <c r="G816" s="276"/>
      <c r="H816" s="276"/>
      <c r="I816" s="276"/>
      <c r="J816" s="276"/>
      <c r="K816" s="276"/>
      <c r="L816" s="276"/>
      <c r="M816" s="276"/>
      <c r="N816" s="276"/>
      <c r="O816" s="276"/>
      <c r="P816" s="276"/>
      <c r="Q816" s="276"/>
      <c r="R816" s="276"/>
      <c r="S816" s="276"/>
      <c r="T816" s="276"/>
      <c r="U816" s="276"/>
      <c r="V816" s="276"/>
      <c r="W816" s="276"/>
      <c r="X816" s="276"/>
      <c r="Y816" s="276"/>
      <c r="Z816" s="276"/>
    </row>
    <row r="817" spans="1:26" ht="18.75" customHeight="1">
      <c r="A817" s="276"/>
      <c r="B817" s="276"/>
      <c r="C817" s="276"/>
      <c r="D817" s="276"/>
      <c r="E817" s="276"/>
      <c r="F817" s="276"/>
      <c r="G817" s="276"/>
      <c r="H817" s="276"/>
      <c r="I817" s="276"/>
      <c r="J817" s="276"/>
      <c r="K817" s="276"/>
      <c r="L817" s="276"/>
      <c r="M817" s="276"/>
      <c r="N817" s="276"/>
      <c r="O817" s="276"/>
      <c r="P817" s="276"/>
      <c r="Q817" s="276"/>
      <c r="R817" s="276"/>
      <c r="S817" s="276"/>
      <c r="T817" s="276"/>
      <c r="U817" s="276"/>
      <c r="V817" s="276"/>
      <c r="W817" s="276"/>
      <c r="X817" s="276"/>
      <c r="Y817" s="276"/>
      <c r="Z817" s="276"/>
    </row>
    <row r="818" spans="1:26" ht="18.75" customHeight="1">
      <c r="A818" s="276"/>
      <c r="B818" s="276"/>
      <c r="C818" s="276"/>
      <c r="D818" s="276"/>
      <c r="E818" s="276"/>
      <c r="F818" s="276"/>
      <c r="G818" s="276"/>
      <c r="H818" s="276"/>
      <c r="I818" s="276"/>
      <c r="J818" s="276"/>
      <c r="K818" s="276"/>
      <c r="L818" s="276"/>
      <c r="M818" s="276"/>
      <c r="N818" s="276"/>
      <c r="O818" s="276"/>
      <c r="P818" s="276"/>
      <c r="Q818" s="276"/>
      <c r="R818" s="276"/>
      <c r="S818" s="276"/>
      <c r="T818" s="276"/>
      <c r="U818" s="276"/>
      <c r="V818" s="276"/>
      <c r="W818" s="276"/>
      <c r="X818" s="276"/>
      <c r="Y818" s="276"/>
      <c r="Z818" s="276"/>
    </row>
    <row r="819" spans="1:26" ht="18.75" customHeight="1">
      <c r="A819" s="276"/>
      <c r="B819" s="276"/>
      <c r="C819" s="276"/>
      <c r="D819" s="276"/>
      <c r="E819" s="276"/>
      <c r="F819" s="276"/>
      <c r="G819" s="276"/>
      <c r="H819" s="276"/>
      <c r="I819" s="276"/>
      <c r="J819" s="276"/>
      <c r="K819" s="276"/>
      <c r="L819" s="276"/>
      <c r="M819" s="276"/>
      <c r="N819" s="276"/>
      <c r="O819" s="276"/>
      <c r="P819" s="276"/>
      <c r="Q819" s="276"/>
      <c r="R819" s="276"/>
      <c r="S819" s="276"/>
      <c r="T819" s="276"/>
      <c r="U819" s="276"/>
      <c r="V819" s="276"/>
      <c r="W819" s="276"/>
      <c r="X819" s="276"/>
      <c r="Y819" s="276"/>
      <c r="Z819" s="276"/>
    </row>
    <row r="820" spans="1:26" ht="18.75" customHeight="1">
      <c r="A820" s="276"/>
      <c r="B820" s="276"/>
      <c r="C820" s="276"/>
      <c r="D820" s="276"/>
      <c r="E820" s="276"/>
      <c r="F820" s="276"/>
      <c r="G820" s="276"/>
      <c r="H820" s="276"/>
      <c r="I820" s="276"/>
      <c r="J820" s="276"/>
      <c r="K820" s="276"/>
      <c r="L820" s="276"/>
      <c r="M820" s="276"/>
      <c r="N820" s="276"/>
      <c r="O820" s="276"/>
      <c r="P820" s="276"/>
      <c r="Q820" s="276"/>
      <c r="R820" s="276"/>
      <c r="S820" s="276"/>
      <c r="T820" s="276"/>
      <c r="U820" s="276"/>
      <c r="V820" s="276"/>
      <c r="W820" s="276"/>
      <c r="X820" s="276"/>
      <c r="Y820" s="276"/>
      <c r="Z820" s="276"/>
    </row>
    <row r="821" spans="1:26" ht="18.75" customHeight="1">
      <c r="A821" s="276"/>
      <c r="B821" s="276"/>
      <c r="C821" s="276"/>
      <c r="D821" s="276"/>
      <c r="E821" s="276"/>
      <c r="F821" s="276"/>
      <c r="G821" s="276"/>
      <c r="H821" s="276"/>
      <c r="I821" s="276"/>
      <c r="J821" s="276"/>
      <c r="K821" s="276"/>
      <c r="L821" s="276"/>
      <c r="M821" s="276"/>
      <c r="N821" s="276"/>
      <c r="O821" s="276"/>
      <c r="P821" s="276"/>
      <c r="Q821" s="276"/>
      <c r="R821" s="276"/>
      <c r="S821" s="276"/>
      <c r="T821" s="276"/>
      <c r="U821" s="276"/>
      <c r="V821" s="276"/>
      <c r="W821" s="276"/>
      <c r="X821" s="276"/>
      <c r="Y821" s="276"/>
      <c r="Z821" s="276"/>
    </row>
    <row r="822" spans="1:26" ht="18.75" customHeight="1">
      <c r="A822" s="276"/>
      <c r="B822" s="276"/>
      <c r="C822" s="276"/>
      <c r="D822" s="276"/>
      <c r="E822" s="276"/>
      <c r="F822" s="276"/>
      <c r="G822" s="276"/>
      <c r="H822" s="276"/>
      <c r="I822" s="276"/>
      <c r="J822" s="276"/>
      <c r="K822" s="276"/>
      <c r="L822" s="276"/>
      <c r="M822" s="276"/>
      <c r="N822" s="276"/>
      <c r="O822" s="276"/>
      <c r="P822" s="276"/>
      <c r="Q822" s="276"/>
      <c r="R822" s="276"/>
      <c r="S822" s="276"/>
      <c r="T822" s="276"/>
      <c r="U822" s="276"/>
      <c r="V822" s="276"/>
      <c r="W822" s="276"/>
      <c r="X822" s="276"/>
      <c r="Y822" s="276"/>
      <c r="Z822" s="276"/>
    </row>
    <row r="823" spans="1:26" ht="18.75" customHeight="1">
      <c r="A823" s="276"/>
      <c r="B823" s="276"/>
      <c r="C823" s="276"/>
      <c r="D823" s="276"/>
      <c r="E823" s="276"/>
      <c r="F823" s="276"/>
      <c r="G823" s="276"/>
      <c r="H823" s="276"/>
      <c r="I823" s="276"/>
      <c r="J823" s="276"/>
      <c r="K823" s="276"/>
      <c r="L823" s="276"/>
      <c r="M823" s="276"/>
      <c r="N823" s="276"/>
      <c r="O823" s="276"/>
      <c r="P823" s="276"/>
      <c r="Q823" s="276"/>
      <c r="R823" s="276"/>
      <c r="S823" s="276"/>
      <c r="T823" s="276"/>
      <c r="U823" s="276"/>
      <c r="V823" s="276"/>
      <c r="W823" s="276"/>
      <c r="X823" s="276"/>
      <c r="Y823" s="276"/>
      <c r="Z823" s="276"/>
    </row>
    <row r="824" spans="1:26" ht="18.75" customHeight="1">
      <c r="A824" s="276"/>
      <c r="B824" s="276"/>
      <c r="C824" s="276"/>
      <c r="D824" s="276"/>
      <c r="E824" s="276"/>
      <c r="F824" s="276"/>
      <c r="G824" s="276"/>
      <c r="H824" s="276"/>
      <c r="I824" s="276"/>
      <c r="J824" s="276"/>
      <c r="K824" s="276"/>
      <c r="L824" s="276"/>
      <c r="M824" s="276"/>
      <c r="N824" s="276"/>
      <c r="O824" s="276"/>
      <c r="P824" s="276"/>
      <c r="Q824" s="276"/>
      <c r="R824" s="276"/>
      <c r="S824" s="276"/>
      <c r="T824" s="276"/>
      <c r="U824" s="276"/>
      <c r="V824" s="276"/>
      <c r="W824" s="276"/>
      <c r="X824" s="276"/>
      <c r="Y824" s="276"/>
      <c r="Z824" s="276"/>
    </row>
    <row r="825" spans="1:26" ht="18.75" customHeight="1">
      <c r="A825" s="276"/>
      <c r="B825" s="276"/>
      <c r="C825" s="276"/>
      <c r="D825" s="276"/>
      <c r="E825" s="276"/>
      <c r="F825" s="276"/>
      <c r="G825" s="276"/>
      <c r="H825" s="276"/>
      <c r="I825" s="276"/>
      <c r="J825" s="276"/>
      <c r="K825" s="276"/>
      <c r="L825" s="276"/>
      <c r="M825" s="276"/>
      <c r="N825" s="276"/>
      <c r="O825" s="276"/>
      <c r="P825" s="276"/>
      <c r="Q825" s="276"/>
      <c r="R825" s="276"/>
      <c r="S825" s="276"/>
      <c r="T825" s="276"/>
      <c r="U825" s="276"/>
      <c r="V825" s="276"/>
      <c r="W825" s="276"/>
      <c r="X825" s="276"/>
      <c r="Y825" s="276"/>
      <c r="Z825" s="276"/>
    </row>
    <row r="826" spans="1:26" ht="18.75" customHeight="1">
      <c r="A826" s="276"/>
      <c r="B826" s="276"/>
      <c r="C826" s="276"/>
      <c r="D826" s="276"/>
      <c r="E826" s="276"/>
      <c r="F826" s="276"/>
      <c r="G826" s="276"/>
      <c r="H826" s="276"/>
      <c r="I826" s="276"/>
      <c r="J826" s="276"/>
      <c r="K826" s="276"/>
      <c r="L826" s="276"/>
      <c r="M826" s="276"/>
      <c r="N826" s="276"/>
      <c r="O826" s="276"/>
      <c r="P826" s="276"/>
      <c r="Q826" s="276"/>
      <c r="R826" s="276"/>
      <c r="S826" s="276"/>
      <c r="T826" s="276"/>
      <c r="U826" s="276"/>
      <c r="V826" s="276"/>
      <c r="W826" s="276"/>
      <c r="X826" s="276"/>
      <c r="Y826" s="276"/>
      <c r="Z826" s="276"/>
    </row>
    <row r="827" spans="1:26" ht="18.75" customHeight="1">
      <c r="A827" s="276"/>
      <c r="B827" s="276"/>
      <c r="C827" s="276"/>
      <c r="D827" s="276"/>
      <c r="E827" s="276"/>
      <c r="F827" s="276"/>
      <c r="G827" s="276"/>
      <c r="H827" s="276"/>
      <c r="I827" s="276"/>
      <c r="J827" s="276"/>
      <c r="K827" s="276"/>
      <c r="L827" s="276"/>
      <c r="M827" s="276"/>
      <c r="N827" s="276"/>
      <c r="O827" s="276"/>
      <c r="P827" s="276"/>
      <c r="Q827" s="276"/>
      <c r="R827" s="276"/>
      <c r="S827" s="276"/>
      <c r="T827" s="276"/>
      <c r="U827" s="276"/>
      <c r="V827" s="276"/>
      <c r="W827" s="276"/>
      <c r="X827" s="276"/>
      <c r="Y827" s="276"/>
      <c r="Z827" s="276"/>
    </row>
    <row r="828" spans="1:26" ht="18.75" customHeight="1">
      <c r="A828" s="276"/>
      <c r="B828" s="276"/>
      <c r="C828" s="276"/>
      <c r="D828" s="276"/>
      <c r="E828" s="276"/>
      <c r="F828" s="276"/>
      <c r="G828" s="276"/>
      <c r="H828" s="276"/>
      <c r="I828" s="276"/>
      <c r="J828" s="276"/>
      <c r="K828" s="276"/>
      <c r="L828" s="276"/>
      <c r="M828" s="276"/>
      <c r="N828" s="276"/>
      <c r="O828" s="276"/>
      <c r="P828" s="276"/>
      <c r="Q828" s="276"/>
      <c r="R828" s="276"/>
      <c r="S828" s="276"/>
      <c r="T828" s="276"/>
      <c r="U828" s="276"/>
      <c r="V828" s="276"/>
      <c r="W828" s="276"/>
      <c r="X828" s="276"/>
      <c r="Y828" s="276"/>
      <c r="Z828" s="276"/>
    </row>
    <row r="829" spans="1:26" ht="18.75" customHeight="1">
      <c r="A829" s="276"/>
      <c r="B829" s="276"/>
      <c r="C829" s="276"/>
      <c r="D829" s="276"/>
      <c r="E829" s="276"/>
      <c r="F829" s="276"/>
      <c r="G829" s="276"/>
      <c r="H829" s="276"/>
      <c r="I829" s="276"/>
      <c r="J829" s="276"/>
      <c r="K829" s="276"/>
      <c r="L829" s="276"/>
      <c r="M829" s="276"/>
      <c r="N829" s="276"/>
      <c r="O829" s="276"/>
      <c r="P829" s="276"/>
      <c r="Q829" s="276"/>
      <c r="R829" s="276"/>
      <c r="S829" s="276"/>
      <c r="T829" s="276"/>
      <c r="U829" s="276"/>
      <c r="V829" s="276"/>
      <c r="W829" s="276"/>
      <c r="X829" s="276"/>
      <c r="Y829" s="276"/>
      <c r="Z829" s="276"/>
    </row>
    <row r="830" spans="1:26" ht="18.75" customHeight="1">
      <c r="A830" s="276"/>
      <c r="B830" s="276"/>
      <c r="C830" s="276"/>
      <c r="D830" s="276"/>
      <c r="E830" s="276"/>
      <c r="F830" s="276"/>
      <c r="G830" s="276"/>
      <c r="H830" s="276"/>
      <c r="I830" s="276"/>
      <c r="J830" s="276"/>
      <c r="K830" s="276"/>
      <c r="L830" s="276"/>
      <c r="M830" s="276"/>
      <c r="N830" s="276"/>
      <c r="O830" s="276"/>
      <c r="P830" s="276"/>
      <c r="Q830" s="276"/>
      <c r="R830" s="276"/>
      <c r="S830" s="276"/>
      <c r="T830" s="276"/>
      <c r="U830" s="276"/>
      <c r="V830" s="276"/>
      <c r="W830" s="276"/>
      <c r="X830" s="276"/>
      <c r="Y830" s="276"/>
      <c r="Z830" s="276"/>
    </row>
    <row r="831" spans="1:26" ht="18.75" customHeight="1">
      <c r="A831" s="276"/>
      <c r="B831" s="276"/>
      <c r="C831" s="276"/>
      <c r="D831" s="276"/>
      <c r="E831" s="276"/>
      <c r="F831" s="276"/>
      <c r="G831" s="276"/>
      <c r="H831" s="276"/>
      <c r="I831" s="276"/>
      <c r="J831" s="276"/>
      <c r="K831" s="276"/>
      <c r="L831" s="276"/>
      <c r="M831" s="276"/>
      <c r="N831" s="276"/>
      <c r="O831" s="276"/>
      <c r="P831" s="276"/>
      <c r="Q831" s="276"/>
      <c r="R831" s="276"/>
      <c r="S831" s="276"/>
      <c r="T831" s="276"/>
      <c r="U831" s="276"/>
      <c r="V831" s="276"/>
      <c r="W831" s="276"/>
      <c r="X831" s="276"/>
      <c r="Y831" s="276"/>
      <c r="Z831" s="276"/>
    </row>
    <row r="832" spans="1:26" ht="18.75" customHeight="1">
      <c r="A832" s="276"/>
      <c r="B832" s="276"/>
      <c r="C832" s="276"/>
      <c r="D832" s="276"/>
      <c r="E832" s="276"/>
      <c r="F832" s="276"/>
      <c r="G832" s="276"/>
      <c r="H832" s="276"/>
      <c r="I832" s="276"/>
      <c r="J832" s="276"/>
      <c r="K832" s="276"/>
      <c r="L832" s="276"/>
      <c r="M832" s="276"/>
      <c r="N832" s="276"/>
      <c r="O832" s="276"/>
      <c r="P832" s="276"/>
      <c r="Q832" s="276"/>
      <c r="R832" s="276"/>
      <c r="S832" s="276"/>
      <c r="T832" s="276"/>
      <c r="U832" s="276"/>
      <c r="V832" s="276"/>
      <c r="W832" s="276"/>
      <c r="X832" s="276"/>
      <c r="Y832" s="276"/>
      <c r="Z832" s="276"/>
    </row>
    <row r="833" spans="1:26" ht="18.75" customHeight="1">
      <c r="A833" s="276"/>
      <c r="B833" s="276"/>
      <c r="C833" s="276"/>
      <c r="D833" s="276"/>
      <c r="E833" s="276"/>
      <c r="F833" s="276"/>
      <c r="G833" s="276"/>
      <c r="H833" s="276"/>
      <c r="I833" s="276"/>
      <c r="J833" s="276"/>
      <c r="K833" s="276"/>
      <c r="L833" s="276"/>
      <c r="M833" s="276"/>
      <c r="N833" s="276"/>
      <c r="O833" s="276"/>
      <c r="P833" s="276"/>
      <c r="Q833" s="276"/>
      <c r="R833" s="276"/>
      <c r="S833" s="276"/>
      <c r="T833" s="276"/>
      <c r="U833" s="276"/>
      <c r="V833" s="276"/>
      <c r="W833" s="276"/>
      <c r="X833" s="276"/>
      <c r="Y833" s="276"/>
      <c r="Z833" s="276"/>
    </row>
    <row r="834" spans="1:26" ht="18.75" customHeight="1">
      <c r="A834" s="276"/>
      <c r="B834" s="276"/>
      <c r="C834" s="276"/>
      <c r="D834" s="276"/>
      <c r="E834" s="276"/>
      <c r="F834" s="276"/>
      <c r="G834" s="276"/>
      <c r="H834" s="276"/>
      <c r="I834" s="276"/>
      <c r="J834" s="276"/>
      <c r="K834" s="276"/>
      <c r="L834" s="276"/>
      <c r="M834" s="276"/>
      <c r="N834" s="276"/>
      <c r="O834" s="276"/>
      <c r="P834" s="276"/>
      <c r="Q834" s="276"/>
      <c r="R834" s="276"/>
      <c r="S834" s="276"/>
      <c r="T834" s="276"/>
      <c r="U834" s="276"/>
      <c r="V834" s="276"/>
      <c r="W834" s="276"/>
      <c r="X834" s="276"/>
      <c r="Y834" s="276"/>
      <c r="Z834" s="276"/>
    </row>
    <row r="835" spans="1:26" ht="18.75" customHeight="1">
      <c r="A835" s="276"/>
      <c r="B835" s="276"/>
      <c r="C835" s="276"/>
      <c r="D835" s="276"/>
      <c r="E835" s="276"/>
      <c r="F835" s="276"/>
      <c r="G835" s="276"/>
      <c r="H835" s="276"/>
      <c r="I835" s="276"/>
      <c r="J835" s="276"/>
      <c r="K835" s="276"/>
      <c r="L835" s="276"/>
      <c r="M835" s="276"/>
      <c r="N835" s="276"/>
      <c r="O835" s="276"/>
      <c r="P835" s="276"/>
      <c r="Q835" s="276"/>
      <c r="R835" s="276"/>
      <c r="S835" s="276"/>
      <c r="T835" s="276"/>
      <c r="U835" s="276"/>
      <c r="V835" s="276"/>
      <c r="W835" s="276"/>
      <c r="X835" s="276"/>
      <c r="Y835" s="276"/>
      <c r="Z835" s="276"/>
    </row>
    <row r="836" spans="1:26" ht="18.75" customHeight="1">
      <c r="A836" s="276"/>
      <c r="B836" s="276"/>
      <c r="C836" s="276"/>
      <c r="D836" s="276"/>
      <c r="E836" s="276"/>
      <c r="F836" s="276"/>
      <c r="G836" s="276"/>
      <c r="H836" s="276"/>
      <c r="I836" s="276"/>
      <c r="J836" s="276"/>
      <c r="K836" s="276"/>
      <c r="L836" s="276"/>
      <c r="M836" s="276"/>
      <c r="N836" s="276"/>
      <c r="O836" s="276"/>
      <c r="P836" s="276"/>
      <c r="Q836" s="276"/>
      <c r="R836" s="276"/>
      <c r="S836" s="276"/>
      <c r="T836" s="276"/>
      <c r="U836" s="276"/>
      <c r="V836" s="276"/>
      <c r="W836" s="276"/>
      <c r="X836" s="276"/>
      <c r="Y836" s="276"/>
      <c r="Z836" s="276"/>
    </row>
    <row r="837" spans="1:26" ht="18.75" customHeight="1">
      <c r="A837" s="276"/>
      <c r="B837" s="276"/>
      <c r="C837" s="276"/>
      <c r="D837" s="276"/>
      <c r="E837" s="276"/>
      <c r="F837" s="276"/>
      <c r="G837" s="276"/>
      <c r="H837" s="276"/>
      <c r="I837" s="276"/>
      <c r="J837" s="276"/>
      <c r="K837" s="276"/>
      <c r="L837" s="276"/>
      <c r="M837" s="276"/>
      <c r="N837" s="276"/>
      <c r="O837" s="276"/>
      <c r="P837" s="276"/>
      <c r="Q837" s="276"/>
      <c r="R837" s="276"/>
      <c r="S837" s="276"/>
      <c r="T837" s="276"/>
      <c r="U837" s="276"/>
      <c r="V837" s="276"/>
      <c r="W837" s="276"/>
      <c r="X837" s="276"/>
      <c r="Y837" s="276"/>
      <c r="Z837" s="276"/>
    </row>
    <row r="838" spans="1:26" ht="18.75" customHeight="1">
      <c r="A838" s="276"/>
      <c r="B838" s="276"/>
      <c r="C838" s="276"/>
      <c r="D838" s="276"/>
      <c r="E838" s="276"/>
      <c r="F838" s="276"/>
      <c r="G838" s="276"/>
      <c r="H838" s="276"/>
      <c r="I838" s="276"/>
      <c r="J838" s="276"/>
      <c r="K838" s="276"/>
      <c r="L838" s="276"/>
      <c r="M838" s="276"/>
      <c r="N838" s="276"/>
      <c r="O838" s="276"/>
      <c r="P838" s="276"/>
      <c r="Q838" s="276"/>
      <c r="R838" s="276"/>
      <c r="S838" s="276"/>
      <c r="T838" s="276"/>
      <c r="U838" s="276"/>
      <c r="V838" s="276"/>
      <c r="W838" s="276"/>
      <c r="X838" s="276"/>
      <c r="Y838" s="276"/>
      <c r="Z838" s="276"/>
    </row>
    <row r="839" spans="1:26" ht="18.75" customHeight="1">
      <c r="A839" s="276"/>
      <c r="B839" s="276"/>
      <c r="C839" s="276"/>
      <c r="D839" s="276"/>
      <c r="E839" s="276"/>
      <c r="F839" s="276"/>
      <c r="G839" s="276"/>
      <c r="H839" s="276"/>
      <c r="I839" s="276"/>
      <c r="J839" s="276"/>
      <c r="K839" s="276"/>
      <c r="L839" s="276"/>
      <c r="M839" s="276"/>
      <c r="N839" s="276"/>
      <c r="O839" s="276"/>
      <c r="P839" s="276"/>
      <c r="Q839" s="276"/>
      <c r="R839" s="276"/>
      <c r="S839" s="276"/>
      <c r="T839" s="276"/>
      <c r="U839" s="276"/>
      <c r="V839" s="276"/>
      <c r="W839" s="276"/>
      <c r="X839" s="276"/>
      <c r="Y839" s="276"/>
      <c r="Z839" s="276"/>
    </row>
    <row r="840" spans="1:26" ht="18.75" customHeight="1">
      <c r="A840" s="276"/>
      <c r="B840" s="276"/>
      <c r="C840" s="276"/>
      <c r="D840" s="276"/>
      <c r="E840" s="276"/>
      <c r="F840" s="276"/>
      <c r="G840" s="276"/>
      <c r="H840" s="276"/>
      <c r="I840" s="276"/>
      <c r="J840" s="276"/>
      <c r="K840" s="276"/>
      <c r="L840" s="276"/>
      <c r="M840" s="276"/>
      <c r="N840" s="276"/>
      <c r="O840" s="276"/>
      <c r="P840" s="276"/>
      <c r="Q840" s="276"/>
      <c r="R840" s="276"/>
      <c r="S840" s="276"/>
      <c r="T840" s="276"/>
      <c r="U840" s="276"/>
      <c r="V840" s="276"/>
      <c r="W840" s="276"/>
      <c r="X840" s="276"/>
      <c r="Y840" s="276"/>
      <c r="Z840" s="276"/>
    </row>
    <row r="841" spans="1:26" ht="18.75" customHeight="1">
      <c r="A841" s="276"/>
      <c r="B841" s="276"/>
      <c r="C841" s="276"/>
      <c r="D841" s="276"/>
      <c r="E841" s="276"/>
      <c r="F841" s="276"/>
      <c r="G841" s="276"/>
      <c r="H841" s="276"/>
      <c r="I841" s="276"/>
      <c r="J841" s="276"/>
      <c r="K841" s="276"/>
      <c r="L841" s="276"/>
      <c r="M841" s="276"/>
      <c r="N841" s="276"/>
      <c r="O841" s="276"/>
      <c r="P841" s="276"/>
      <c r="Q841" s="276"/>
      <c r="R841" s="276"/>
      <c r="S841" s="276"/>
      <c r="T841" s="276"/>
      <c r="U841" s="276"/>
      <c r="V841" s="276"/>
      <c r="W841" s="276"/>
      <c r="X841" s="276"/>
      <c r="Y841" s="276"/>
      <c r="Z841" s="276"/>
    </row>
    <row r="842" spans="1:26" ht="18.75" customHeight="1">
      <c r="A842" s="276"/>
      <c r="B842" s="276"/>
      <c r="C842" s="276"/>
      <c r="D842" s="276"/>
      <c r="E842" s="276"/>
      <c r="F842" s="276"/>
      <c r="G842" s="276"/>
      <c r="H842" s="276"/>
      <c r="I842" s="276"/>
      <c r="J842" s="276"/>
      <c r="K842" s="276"/>
      <c r="L842" s="276"/>
      <c r="M842" s="276"/>
      <c r="N842" s="276"/>
      <c r="O842" s="276"/>
      <c r="P842" s="276"/>
      <c r="Q842" s="276"/>
      <c r="R842" s="276"/>
      <c r="S842" s="276"/>
      <c r="T842" s="276"/>
      <c r="U842" s="276"/>
      <c r="V842" s="276"/>
      <c r="W842" s="276"/>
      <c r="X842" s="276"/>
      <c r="Y842" s="276"/>
      <c r="Z842" s="276"/>
    </row>
    <row r="843" spans="1:26" ht="18.75" customHeight="1">
      <c r="A843" s="276"/>
      <c r="B843" s="276"/>
      <c r="C843" s="276"/>
      <c r="D843" s="276"/>
      <c r="E843" s="276"/>
      <c r="F843" s="276"/>
      <c r="G843" s="276"/>
      <c r="H843" s="276"/>
      <c r="I843" s="276"/>
      <c r="J843" s="276"/>
      <c r="K843" s="276"/>
      <c r="L843" s="276"/>
      <c r="M843" s="276"/>
      <c r="N843" s="276"/>
      <c r="O843" s="276"/>
      <c r="P843" s="276"/>
      <c r="Q843" s="276"/>
      <c r="R843" s="276"/>
      <c r="S843" s="276"/>
      <c r="T843" s="276"/>
      <c r="U843" s="276"/>
      <c r="V843" s="276"/>
      <c r="W843" s="276"/>
      <c r="X843" s="276"/>
      <c r="Y843" s="276"/>
      <c r="Z843" s="276"/>
    </row>
    <row r="844" spans="1:26" ht="18.75" customHeight="1">
      <c r="A844" s="276"/>
      <c r="B844" s="276"/>
      <c r="C844" s="276"/>
      <c r="D844" s="276"/>
      <c r="E844" s="276"/>
      <c r="F844" s="276"/>
      <c r="G844" s="276"/>
      <c r="H844" s="276"/>
      <c r="I844" s="276"/>
      <c r="J844" s="276"/>
      <c r="K844" s="276"/>
      <c r="L844" s="276"/>
      <c r="M844" s="276"/>
      <c r="N844" s="276"/>
      <c r="O844" s="276"/>
      <c r="P844" s="276"/>
      <c r="Q844" s="276"/>
      <c r="R844" s="276"/>
      <c r="S844" s="276"/>
      <c r="T844" s="276"/>
      <c r="U844" s="276"/>
      <c r="V844" s="276"/>
      <c r="W844" s="276"/>
      <c r="X844" s="276"/>
      <c r="Y844" s="276"/>
      <c r="Z844" s="276"/>
    </row>
    <row r="845" spans="1:26" ht="18.75" customHeight="1">
      <c r="A845" s="276"/>
      <c r="B845" s="276"/>
      <c r="C845" s="276"/>
      <c r="D845" s="276"/>
      <c r="E845" s="276"/>
      <c r="F845" s="276"/>
      <c r="G845" s="276"/>
      <c r="H845" s="276"/>
      <c r="I845" s="276"/>
      <c r="J845" s="276"/>
      <c r="K845" s="276"/>
      <c r="L845" s="276"/>
      <c r="M845" s="276"/>
      <c r="N845" s="276"/>
      <c r="O845" s="276"/>
      <c r="P845" s="276"/>
      <c r="Q845" s="276"/>
      <c r="R845" s="276"/>
      <c r="S845" s="276"/>
      <c r="T845" s="276"/>
      <c r="U845" s="276"/>
      <c r="V845" s="276"/>
      <c r="W845" s="276"/>
      <c r="X845" s="276"/>
      <c r="Y845" s="276"/>
      <c r="Z845" s="276"/>
    </row>
    <row r="846" spans="1:26" ht="18.75" customHeight="1">
      <c r="A846" s="276"/>
      <c r="B846" s="276"/>
      <c r="C846" s="276"/>
      <c r="D846" s="276"/>
      <c r="E846" s="276"/>
      <c r="F846" s="276"/>
      <c r="G846" s="276"/>
      <c r="H846" s="276"/>
      <c r="I846" s="276"/>
      <c r="J846" s="276"/>
      <c r="K846" s="276"/>
      <c r="L846" s="276"/>
      <c r="M846" s="276"/>
      <c r="N846" s="276"/>
      <c r="O846" s="276"/>
      <c r="P846" s="276"/>
      <c r="Q846" s="276"/>
      <c r="R846" s="276"/>
      <c r="S846" s="276"/>
      <c r="T846" s="276"/>
      <c r="U846" s="276"/>
      <c r="V846" s="276"/>
      <c r="W846" s="276"/>
      <c r="X846" s="276"/>
      <c r="Y846" s="276"/>
      <c r="Z846" s="276"/>
    </row>
    <row r="847" spans="1:26" ht="18.75" customHeight="1">
      <c r="A847" s="276"/>
      <c r="B847" s="276"/>
      <c r="C847" s="276"/>
      <c r="D847" s="276"/>
      <c r="E847" s="276"/>
      <c r="F847" s="276"/>
      <c r="G847" s="276"/>
      <c r="H847" s="276"/>
      <c r="I847" s="276"/>
      <c r="J847" s="276"/>
      <c r="K847" s="276"/>
      <c r="L847" s="276"/>
      <c r="M847" s="276"/>
      <c r="N847" s="276"/>
      <c r="O847" s="276"/>
      <c r="P847" s="276"/>
      <c r="Q847" s="276"/>
      <c r="R847" s="276"/>
      <c r="S847" s="276"/>
      <c r="T847" s="276"/>
      <c r="U847" s="276"/>
      <c r="V847" s="276"/>
      <c r="W847" s="276"/>
      <c r="X847" s="276"/>
      <c r="Y847" s="276"/>
      <c r="Z847" s="276"/>
    </row>
    <row r="848" spans="1:26" ht="18.75" customHeight="1">
      <c r="A848" s="276"/>
      <c r="B848" s="276"/>
      <c r="C848" s="276"/>
      <c r="D848" s="276"/>
      <c r="E848" s="276"/>
      <c r="F848" s="276"/>
      <c r="G848" s="276"/>
      <c r="H848" s="276"/>
      <c r="I848" s="276"/>
      <c r="J848" s="276"/>
      <c r="K848" s="276"/>
      <c r="L848" s="276"/>
      <c r="M848" s="276"/>
      <c r="N848" s="276"/>
      <c r="O848" s="276"/>
      <c r="P848" s="276"/>
      <c r="Q848" s="276"/>
      <c r="R848" s="276"/>
      <c r="S848" s="276"/>
      <c r="T848" s="276"/>
      <c r="U848" s="276"/>
      <c r="V848" s="276"/>
      <c r="W848" s="276"/>
      <c r="X848" s="276"/>
      <c r="Y848" s="276"/>
      <c r="Z848" s="276"/>
    </row>
    <row r="849" spans="1:26" ht="18.75" customHeight="1">
      <c r="A849" s="276"/>
      <c r="B849" s="276"/>
      <c r="C849" s="276"/>
      <c r="D849" s="276"/>
      <c r="E849" s="276"/>
      <c r="F849" s="276"/>
      <c r="G849" s="276"/>
      <c r="H849" s="276"/>
      <c r="I849" s="276"/>
      <c r="J849" s="276"/>
      <c r="K849" s="276"/>
      <c r="L849" s="276"/>
      <c r="M849" s="276"/>
      <c r="N849" s="276"/>
      <c r="O849" s="276"/>
      <c r="P849" s="276"/>
      <c r="Q849" s="276"/>
      <c r="R849" s="276"/>
      <c r="S849" s="276"/>
      <c r="T849" s="276"/>
      <c r="U849" s="276"/>
      <c r="V849" s="276"/>
      <c r="W849" s="276"/>
      <c r="X849" s="276"/>
      <c r="Y849" s="276"/>
      <c r="Z849" s="276"/>
    </row>
    <row r="850" spans="1:26" ht="18.75" customHeight="1">
      <c r="A850" s="276"/>
      <c r="B850" s="276"/>
      <c r="C850" s="276"/>
      <c r="D850" s="276"/>
      <c r="E850" s="276"/>
      <c r="F850" s="276"/>
      <c r="G850" s="276"/>
      <c r="H850" s="276"/>
      <c r="I850" s="276"/>
      <c r="J850" s="276"/>
      <c r="K850" s="276"/>
      <c r="L850" s="276"/>
      <c r="M850" s="276"/>
      <c r="N850" s="276"/>
      <c r="O850" s="276"/>
      <c r="P850" s="276"/>
      <c r="Q850" s="276"/>
      <c r="R850" s="276"/>
      <c r="S850" s="276"/>
      <c r="T850" s="276"/>
      <c r="U850" s="276"/>
      <c r="V850" s="276"/>
      <c r="W850" s="276"/>
      <c r="X850" s="276"/>
      <c r="Y850" s="276"/>
      <c r="Z850" s="276"/>
    </row>
    <row r="851" spans="1:26" ht="18.75" customHeight="1">
      <c r="A851" s="276"/>
      <c r="B851" s="276"/>
      <c r="C851" s="276"/>
      <c r="D851" s="276"/>
      <c r="E851" s="276"/>
      <c r="F851" s="276"/>
      <c r="G851" s="276"/>
      <c r="H851" s="276"/>
      <c r="I851" s="276"/>
      <c r="J851" s="276"/>
      <c r="K851" s="276"/>
      <c r="L851" s="276"/>
      <c r="M851" s="276"/>
      <c r="N851" s="276"/>
      <c r="O851" s="276"/>
      <c r="P851" s="276"/>
      <c r="Q851" s="276"/>
      <c r="R851" s="276"/>
      <c r="S851" s="276"/>
      <c r="T851" s="276"/>
      <c r="U851" s="276"/>
      <c r="V851" s="276"/>
      <c r="W851" s="276"/>
      <c r="X851" s="276"/>
      <c r="Y851" s="276"/>
      <c r="Z851" s="276"/>
    </row>
    <row r="852" spans="1:26" ht="18.75" customHeight="1">
      <c r="A852" s="276"/>
      <c r="B852" s="276"/>
      <c r="C852" s="276"/>
      <c r="D852" s="276"/>
      <c r="E852" s="276"/>
      <c r="F852" s="276"/>
      <c r="G852" s="276"/>
      <c r="H852" s="276"/>
      <c r="I852" s="276"/>
      <c r="J852" s="276"/>
      <c r="K852" s="276"/>
      <c r="L852" s="276"/>
      <c r="M852" s="276"/>
      <c r="N852" s="276"/>
      <c r="O852" s="276"/>
      <c r="P852" s="276"/>
      <c r="Q852" s="276"/>
      <c r="R852" s="276"/>
      <c r="S852" s="276"/>
      <c r="T852" s="276"/>
      <c r="U852" s="276"/>
      <c r="V852" s="276"/>
      <c r="W852" s="276"/>
      <c r="X852" s="276"/>
      <c r="Y852" s="276"/>
      <c r="Z852" s="276"/>
    </row>
    <row r="853" spans="1:26" ht="18.75" customHeight="1">
      <c r="A853" s="276"/>
      <c r="B853" s="276"/>
      <c r="C853" s="276"/>
      <c r="D853" s="276"/>
      <c r="E853" s="276"/>
      <c r="F853" s="276"/>
      <c r="G853" s="276"/>
      <c r="H853" s="276"/>
      <c r="I853" s="276"/>
      <c r="J853" s="276"/>
      <c r="K853" s="276"/>
      <c r="L853" s="276"/>
      <c r="M853" s="276"/>
      <c r="N853" s="276"/>
      <c r="O853" s="276"/>
      <c r="P853" s="276"/>
      <c r="Q853" s="276"/>
      <c r="R853" s="276"/>
      <c r="S853" s="276"/>
      <c r="T853" s="276"/>
      <c r="U853" s="276"/>
      <c r="V853" s="276"/>
      <c r="W853" s="276"/>
      <c r="X853" s="276"/>
      <c r="Y853" s="276"/>
      <c r="Z853" s="276"/>
    </row>
    <row r="854" spans="1:26" ht="18.75" customHeight="1">
      <c r="A854" s="276"/>
      <c r="B854" s="276"/>
      <c r="C854" s="276"/>
      <c r="D854" s="276"/>
      <c r="E854" s="276"/>
      <c r="F854" s="276"/>
      <c r="G854" s="276"/>
      <c r="H854" s="276"/>
      <c r="I854" s="276"/>
      <c r="J854" s="276"/>
      <c r="K854" s="276"/>
      <c r="L854" s="276"/>
      <c r="M854" s="276"/>
      <c r="N854" s="276"/>
      <c r="O854" s="276"/>
      <c r="P854" s="276"/>
      <c r="Q854" s="276"/>
      <c r="R854" s="276"/>
      <c r="S854" s="276"/>
      <c r="T854" s="276"/>
      <c r="U854" s="276"/>
      <c r="V854" s="276"/>
      <c r="W854" s="276"/>
      <c r="X854" s="276"/>
      <c r="Y854" s="276"/>
      <c r="Z854" s="276"/>
    </row>
    <row r="855" spans="1:26" ht="18.75" customHeight="1">
      <c r="A855" s="276"/>
      <c r="B855" s="276"/>
      <c r="C855" s="276"/>
      <c r="D855" s="276"/>
      <c r="E855" s="276"/>
      <c r="F855" s="276"/>
      <c r="G855" s="276"/>
      <c r="H855" s="276"/>
      <c r="I855" s="276"/>
      <c r="J855" s="276"/>
      <c r="K855" s="276"/>
      <c r="L855" s="276"/>
      <c r="M855" s="276"/>
      <c r="N855" s="276"/>
      <c r="O855" s="276"/>
      <c r="P855" s="276"/>
      <c r="Q855" s="276"/>
      <c r="R855" s="276"/>
      <c r="S855" s="276"/>
      <c r="T855" s="276"/>
      <c r="U855" s="276"/>
      <c r="V855" s="276"/>
      <c r="W855" s="276"/>
      <c r="X855" s="276"/>
      <c r="Y855" s="276"/>
      <c r="Z855" s="276"/>
    </row>
    <row r="856" spans="1:26" ht="18.75" customHeight="1">
      <c r="A856" s="276"/>
      <c r="B856" s="276"/>
      <c r="C856" s="276"/>
      <c r="D856" s="276"/>
      <c r="E856" s="276"/>
      <c r="F856" s="276"/>
      <c r="G856" s="276"/>
      <c r="H856" s="276"/>
      <c r="I856" s="276"/>
      <c r="J856" s="276"/>
      <c r="K856" s="276"/>
      <c r="L856" s="276"/>
      <c r="M856" s="276"/>
      <c r="N856" s="276"/>
      <c r="O856" s="276"/>
      <c r="P856" s="276"/>
      <c r="Q856" s="276"/>
      <c r="R856" s="276"/>
      <c r="S856" s="276"/>
      <c r="T856" s="276"/>
      <c r="U856" s="276"/>
      <c r="V856" s="276"/>
      <c r="W856" s="276"/>
      <c r="X856" s="276"/>
      <c r="Y856" s="276"/>
      <c r="Z856" s="276"/>
    </row>
    <row r="857" spans="1:26" ht="18.75" customHeight="1">
      <c r="A857" s="276"/>
      <c r="B857" s="276"/>
      <c r="C857" s="276"/>
      <c r="D857" s="276"/>
      <c r="E857" s="276"/>
      <c r="F857" s="276"/>
      <c r="G857" s="276"/>
      <c r="H857" s="276"/>
      <c r="I857" s="276"/>
      <c r="J857" s="276"/>
      <c r="K857" s="276"/>
      <c r="L857" s="276"/>
      <c r="M857" s="276"/>
      <c r="N857" s="276"/>
      <c r="O857" s="276"/>
      <c r="P857" s="276"/>
      <c r="Q857" s="276"/>
      <c r="R857" s="276"/>
      <c r="S857" s="276"/>
      <c r="T857" s="276"/>
      <c r="U857" s="276"/>
      <c r="V857" s="276"/>
      <c r="W857" s="276"/>
      <c r="X857" s="276"/>
      <c r="Y857" s="276"/>
      <c r="Z857" s="276"/>
    </row>
    <row r="858" spans="1:26" ht="18.75" customHeight="1">
      <c r="A858" s="276"/>
      <c r="B858" s="276"/>
      <c r="C858" s="276"/>
      <c r="D858" s="276"/>
      <c r="E858" s="276"/>
      <c r="F858" s="276"/>
      <c r="G858" s="276"/>
      <c r="H858" s="276"/>
      <c r="I858" s="276"/>
      <c r="J858" s="276"/>
      <c r="K858" s="276"/>
      <c r="L858" s="276"/>
      <c r="M858" s="276"/>
      <c r="N858" s="276"/>
      <c r="O858" s="276"/>
      <c r="P858" s="276"/>
      <c r="Q858" s="276"/>
      <c r="R858" s="276"/>
      <c r="S858" s="276"/>
      <c r="T858" s="276"/>
      <c r="U858" s="276"/>
      <c r="V858" s="276"/>
      <c r="W858" s="276"/>
      <c r="X858" s="276"/>
      <c r="Y858" s="276"/>
      <c r="Z858" s="276"/>
    </row>
    <row r="859" spans="1:26" ht="18.75" customHeight="1">
      <c r="A859" s="276"/>
      <c r="B859" s="276"/>
      <c r="C859" s="276"/>
      <c r="D859" s="276"/>
      <c r="E859" s="276"/>
      <c r="F859" s="276"/>
      <c r="G859" s="276"/>
      <c r="H859" s="276"/>
      <c r="I859" s="276"/>
      <c r="J859" s="276"/>
      <c r="K859" s="276"/>
      <c r="L859" s="276"/>
      <c r="M859" s="276"/>
      <c r="N859" s="276"/>
      <c r="O859" s="276"/>
      <c r="P859" s="276"/>
      <c r="Q859" s="276"/>
      <c r="R859" s="276"/>
      <c r="S859" s="276"/>
      <c r="T859" s="276"/>
      <c r="U859" s="276"/>
      <c r="V859" s="276"/>
      <c r="W859" s="276"/>
      <c r="X859" s="276"/>
      <c r="Y859" s="276"/>
      <c r="Z859" s="276"/>
    </row>
    <row r="860" spans="1:26" ht="18.75" customHeight="1">
      <c r="A860" s="276"/>
      <c r="B860" s="276"/>
      <c r="C860" s="276"/>
      <c r="D860" s="276"/>
      <c r="E860" s="276"/>
      <c r="F860" s="276"/>
      <c r="G860" s="276"/>
      <c r="H860" s="276"/>
      <c r="I860" s="276"/>
      <c r="J860" s="276"/>
      <c r="K860" s="276"/>
      <c r="L860" s="276"/>
      <c r="M860" s="276"/>
      <c r="N860" s="276"/>
      <c r="O860" s="276"/>
      <c r="P860" s="276"/>
      <c r="Q860" s="276"/>
      <c r="R860" s="276"/>
      <c r="S860" s="276"/>
      <c r="T860" s="276"/>
      <c r="U860" s="276"/>
      <c r="V860" s="276"/>
      <c r="W860" s="276"/>
      <c r="X860" s="276"/>
      <c r="Y860" s="276"/>
      <c r="Z860" s="276"/>
    </row>
    <row r="861" spans="1:26" ht="18.75" customHeight="1">
      <c r="A861" s="276"/>
      <c r="B861" s="276"/>
      <c r="C861" s="276"/>
      <c r="D861" s="276"/>
      <c r="E861" s="276"/>
      <c r="F861" s="276"/>
      <c r="G861" s="276"/>
      <c r="H861" s="276"/>
      <c r="I861" s="276"/>
      <c r="J861" s="276"/>
      <c r="K861" s="276"/>
      <c r="L861" s="276"/>
      <c r="M861" s="276"/>
      <c r="N861" s="276"/>
      <c r="O861" s="276"/>
      <c r="P861" s="276"/>
      <c r="Q861" s="276"/>
      <c r="R861" s="276"/>
      <c r="S861" s="276"/>
      <c r="T861" s="276"/>
      <c r="U861" s="276"/>
      <c r="V861" s="276"/>
      <c r="W861" s="276"/>
      <c r="X861" s="276"/>
      <c r="Y861" s="276"/>
      <c r="Z861" s="276"/>
    </row>
    <row r="862" spans="1:26" ht="18.75" customHeight="1">
      <c r="A862" s="276"/>
      <c r="B862" s="276"/>
      <c r="C862" s="276"/>
      <c r="D862" s="276"/>
      <c r="E862" s="276"/>
      <c r="F862" s="276"/>
      <c r="G862" s="276"/>
      <c r="H862" s="276"/>
      <c r="I862" s="276"/>
      <c r="J862" s="276"/>
      <c r="K862" s="276"/>
      <c r="L862" s="276"/>
      <c r="M862" s="276"/>
      <c r="N862" s="276"/>
      <c r="O862" s="276"/>
      <c r="P862" s="276"/>
      <c r="Q862" s="276"/>
      <c r="R862" s="276"/>
      <c r="S862" s="276"/>
      <c r="T862" s="276"/>
      <c r="U862" s="276"/>
      <c r="V862" s="276"/>
      <c r="W862" s="276"/>
      <c r="X862" s="276"/>
      <c r="Y862" s="276"/>
      <c r="Z862" s="276"/>
    </row>
    <row r="863" spans="1:26" ht="18.75" customHeight="1">
      <c r="A863" s="276"/>
      <c r="B863" s="276"/>
      <c r="C863" s="276"/>
      <c r="D863" s="276"/>
      <c r="E863" s="276"/>
      <c r="F863" s="276"/>
      <c r="G863" s="276"/>
      <c r="H863" s="276"/>
      <c r="I863" s="276"/>
      <c r="J863" s="276"/>
      <c r="K863" s="276"/>
      <c r="L863" s="276"/>
      <c r="M863" s="276"/>
      <c r="N863" s="276"/>
      <c r="O863" s="276"/>
      <c r="P863" s="276"/>
      <c r="Q863" s="276"/>
      <c r="R863" s="276"/>
      <c r="S863" s="276"/>
      <c r="T863" s="276"/>
      <c r="U863" s="276"/>
      <c r="V863" s="276"/>
      <c r="W863" s="276"/>
      <c r="X863" s="276"/>
      <c r="Y863" s="276"/>
      <c r="Z863" s="276"/>
    </row>
    <row r="864" spans="1:26" ht="18.75" customHeight="1">
      <c r="A864" s="276"/>
      <c r="B864" s="276"/>
      <c r="C864" s="276"/>
      <c r="D864" s="276"/>
      <c r="E864" s="276"/>
      <c r="F864" s="276"/>
      <c r="G864" s="276"/>
      <c r="H864" s="276"/>
      <c r="I864" s="276"/>
      <c r="J864" s="276"/>
      <c r="K864" s="276"/>
      <c r="L864" s="276"/>
      <c r="M864" s="276"/>
      <c r="N864" s="276"/>
      <c r="O864" s="276"/>
      <c r="P864" s="276"/>
      <c r="Q864" s="276"/>
      <c r="R864" s="276"/>
      <c r="S864" s="276"/>
      <c r="T864" s="276"/>
      <c r="U864" s="276"/>
      <c r="V864" s="276"/>
      <c r="W864" s="276"/>
      <c r="X864" s="276"/>
      <c r="Y864" s="276"/>
      <c r="Z864" s="276"/>
    </row>
    <row r="865" spans="1:26" ht="18.75" customHeight="1">
      <c r="A865" s="276"/>
      <c r="B865" s="276"/>
      <c r="C865" s="276"/>
      <c r="D865" s="276"/>
      <c r="E865" s="276"/>
      <c r="F865" s="276"/>
      <c r="G865" s="276"/>
      <c r="H865" s="276"/>
      <c r="I865" s="276"/>
      <c r="J865" s="276"/>
      <c r="K865" s="276"/>
      <c r="L865" s="276"/>
      <c r="M865" s="276"/>
      <c r="N865" s="276"/>
      <c r="O865" s="276"/>
      <c r="P865" s="276"/>
      <c r="Q865" s="276"/>
      <c r="R865" s="276"/>
      <c r="S865" s="276"/>
      <c r="T865" s="276"/>
      <c r="U865" s="276"/>
      <c r="V865" s="276"/>
      <c r="W865" s="276"/>
      <c r="X865" s="276"/>
      <c r="Y865" s="276"/>
      <c r="Z865" s="276"/>
    </row>
    <row r="866" spans="1:26" ht="18.75" customHeight="1">
      <c r="A866" s="276"/>
      <c r="B866" s="276"/>
      <c r="C866" s="276"/>
      <c r="D866" s="276"/>
      <c r="E866" s="276"/>
      <c r="F866" s="276"/>
      <c r="G866" s="276"/>
      <c r="H866" s="276"/>
      <c r="I866" s="276"/>
      <c r="J866" s="276"/>
      <c r="K866" s="276"/>
      <c r="L866" s="276"/>
      <c r="M866" s="276"/>
      <c r="N866" s="276"/>
      <c r="O866" s="276"/>
      <c r="P866" s="276"/>
      <c r="Q866" s="276"/>
      <c r="R866" s="276"/>
      <c r="S866" s="276"/>
      <c r="T866" s="276"/>
      <c r="U866" s="276"/>
      <c r="V866" s="276"/>
      <c r="W866" s="276"/>
      <c r="X866" s="276"/>
      <c r="Y866" s="276"/>
      <c r="Z866" s="276"/>
    </row>
    <row r="867" spans="1:26" ht="18.75" customHeight="1">
      <c r="A867" s="276"/>
      <c r="B867" s="276"/>
      <c r="C867" s="276"/>
      <c r="D867" s="276"/>
      <c r="E867" s="276"/>
      <c r="F867" s="276"/>
      <c r="G867" s="276"/>
      <c r="H867" s="276"/>
      <c r="I867" s="276"/>
      <c r="J867" s="276"/>
      <c r="K867" s="276"/>
      <c r="L867" s="276"/>
      <c r="M867" s="276"/>
      <c r="N867" s="276"/>
      <c r="O867" s="276"/>
      <c r="P867" s="276"/>
      <c r="Q867" s="276"/>
      <c r="R867" s="276"/>
      <c r="S867" s="276"/>
      <c r="T867" s="276"/>
      <c r="U867" s="276"/>
      <c r="V867" s="276"/>
      <c r="W867" s="276"/>
      <c r="X867" s="276"/>
      <c r="Y867" s="276"/>
      <c r="Z867" s="276"/>
    </row>
    <row r="868" spans="1:26" ht="18.75" customHeight="1">
      <c r="A868" s="276"/>
      <c r="B868" s="276"/>
      <c r="C868" s="276"/>
      <c r="D868" s="276"/>
      <c r="E868" s="276"/>
      <c r="F868" s="276"/>
      <c r="G868" s="276"/>
      <c r="H868" s="276"/>
      <c r="I868" s="276"/>
      <c r="J868" s="276"/>
      <c r="K868" s="276"/>
      <c r="L868" s="276"/>
      <c r="M868" s="276"/>
      <c r="N868" s="276"/>
      <c r="O868" s="276"/>
      <c r="P868" s="276"/>
      <c r="Q868" s="276"/>
      <c r="R868" s="276"/>
      <c r="S868" s="276"/>
      <c r="T868" s="276"/>
      <c r="U868" s="276"/>
      <c r="V868" s="276"/>
      <c r="W868" s="276"/>
      <c r="X868" s="276"/>
      <c r="Y868" s="276"/>
      <c r="Z868" s="276"/>
    </row>
    <row r="869" spans="1:26" ht="18.75" customHeight="1">
      <c r="A869" s="276"/>
      <c r="B869" s="276"/>
      <c r="C869" s="276"/>
      <c r="D869" s="276"/>
      <c r="E869" s="276"/>
      <c r="F869" s="276"/>
      <c r="G869" s="276"/>
      <c r="H869" s="276"/>
      <c r="I869" s="276"/>
      <c r="J869" s="276"/>
      <c r="K869" s="276"/>
      <c r="L869" s="276"/>
      <c r="M869" s="276"/>
      <c r="N869" s="276"/>
      <c r="O869" s="276"/>
      <c r="P869" s="276"/>
      <c r="Q869" s="276"/>
      <c r="R869" s="276"/>
      <c r="S869" s="276"/>
      <c r="T869" s="276"/>
      <c r="U869" s="276"/>
      <c r="V869" s="276"/>
      <c r="W869" s="276"/>
      <c r="X869" s="276"/>
      <c r="Y869" s="276"/>
      <c r="Z869" s="276"/>
    </row>
    <row r="870" spans="1:26" ht="18.75" customHeight="1">
      <c r="A870" s="276"/>
      <c r="B870" s="276"/>
      <c r="C870" s="276"/>
      <c r="D870" s="276"/>
      <c r="E870" s="276"/>
      <c r="F870" s="276"/>
      <c r="G870" s="276"/>
      <c r="H870" s="276"/>
      <c r="I870" s="276"/>
      <c r="J870" s="276"/>
      <c r="K870" s="276"/>
      <c r="L870" s="276"/>
      <c r="M870" s="276"/>
      <c r="N870" s="276"/>
      <c r="O870" s="276"/>
      <c r="P870" s="276"/>
      <c r="Q870" s="276"/>
      <c r="R870" s="276"/>
      <c r="S870" s="276"/>
      <c r="T870" s="276"/>
      <c r="U870" s="276"/>
      <c r="V870" s="276"/>
      <c r="W870" s="276"/>
      <c r="X870" s="276"/>
      <c r="Y870" s="276"/>
      <c r="Z870" s="276"/>
    </row>
    <row r="871" spans="1:26" ht="18.75" customHeight="1">
      <c r="A871" s="276"/>
      <c r="B871" s="276"/>
      <c r="C871" s="276"/>
      <c r="D871" s="276"/>
      <c r="E871" s="276"/>
      <c r="F871" s="276"/>
      <c r="G871" s="276"/>
      <c r="H871" s="276"/>
      <c r="I871" s="276"/>
      <c r="J871" s="276"/>
      <c r="K871" s="276"/>
      <c r="L871" s="276"/>
      <c r="M871" s="276"/>
      <c r="N871" s="276"/>
      <c r="O871" s="276"/>
      <c r="P871" s="276"/>
      <c r="Q871" s="276"/>
      <c r="R871" s="276"/>
      <c r="S871" s="276"/>
      <c r="T871" s="276"/>
      <c r="U871" s="276"/>
      <c r="V871" s="276"/>
      <c r="W871" s="276"/>
      <c r="X871" s="276"/>
      <c r="Y871" s="276"/>
      <c r="Z871" s="276"/>
    </row>
    <row r="872" spans="1:26" ht="18.75" customHeight="1">
      <c r="A872" s="276"/>
      <c r="B872" s="276"/>
      <c r="C872" s="276"/>
      <c r="D872" s="276"/>
      <c r="E872" s="276"/>
      <c r="F872" s="276"/>
      <c r="G872" s="276"/>
      <c r="H872" s="276"/>
      <c r="I872" s="276"/>
      <c r="J872" s="276"/>
      <c r="K872" s="276"/>
      <c r="L872" s="276"/>
      <c r="M872" s="276"/>
      <c r="N872" s="276"/>
      <c r="O872" s="276"/>
      <c r="P872" s="276"/>
      <c r="Q872" s="276"/>
      <c r="R872" s="276"/>
      <c r="S872" s="276"/>
      <c r="T872" s="276"/>
      <c r="U872" s="276"/>
      <c r="V872" s="276"/>
      <c r="W872" s="276"/>
      <c r="X872" s="276"/>
      <c r="Y872" s="276"/>
      <c r="Z872" s="276"/>
    </row>
    <row r="873" spans="1:26" ht="18.75" customHeight="1">
      <c r="A873" s="276"/>
      <c r="B873" s="276"/>
      <c r="C873" s="276"/>
      <c r="D873" s="276"/>
      <c r="E873" s="276"/>
      <c r="F873" s="276"/>
      <c r="G873" s="276"/>
      <c r="H873" s="276"/>
      <c r="I873" s="276"/>
      <c r="J873" s="276"/>
      <c r="K873" s="276"/>
      <c r="L873" s="276"/>
      <c r="M873" s="276"/>
      <c r="N873" s="276"/>
      <c r="O873" s="276"/>
      <c r="P873" s="276"/>
      <c r="Q873" s="276"/>
      <c r="R873" s="276"/>
      <c r="S873" s="276"/>
      <c r="T873" s="276"/>
      <c r="U873" s="276"/>
      <c r="V873" s="276"/>
      <c r="W873" s="276"/>
      <c r="X873" s="276"/>
      <c r="Y873" s="276"/>
      <c r="Z873" s="276"/>
    </row>
    <row r="874" spans="1:26" ht="18.75" customHeight="1">
      <c r="A874" s="276"/>
      <c r="B874" s="276"/>
      <c r="C874" s="276"/>
      <c r="D874" s="276"/>
      <c r="E874" s="276"/>
      <c r="F874" s="276"/>
      <c r="G874" s="276"/>
      <c r="H874" s="276"/>
      <c r="I874" s="276"/>
      <c r="J874" s="276"/>
      <c r="K874" s="276"/>
      <c r="L874" s="276"/>
      <c r="M874" s="276"/>
      <c r="N874" s="276"/>
      <c r="O874" s="276"/>
      <c r="P874" s="276"/>
      <c r="Q874" s="276"/>
      <c r="R874" s="276"/>
      <c r="S874" s="276"/>
      <c r="T874" s="276"/>
      <c r="U874" s="276"/>
      <c r="V874" s="276"/>
      <c r="W874" s="276"/>
      <c r="X874" s="276"/>
      <c r="Y874" s="276"/>
      <c r="Z874" s="276"/>
    </row>
    <row r="875" spans="1:26" ht="18.75" customHeight="1">
      <c r="A875" s="276"/>
      <c r="B875" s="276"/>
      <c r="C875" s="276"/>
      <c r="D875" s="276"/>
      <c r="E875" s="276"/>
      <c r="F875" s="276"/>
      <c r="G875" s="276"/>
      <c r="H875" s="276"/>
      <c r="I875" s="276"/>
      <c r="J875" s="276"/>
      <c r="K875" s="276"/>
      <c r="L875" s="276"/>
      <c r="M875" s="276"/>
      <c r="N875" s="276"/>
      <c r="O875" s="276"/>
      <c r="P875" s="276"/>
      <c r="Q875" s="276"/>
      <c r="R875" s="276"/>
      <c r="S875" s="276"/>
      <c r="T875" s="276"/>
      <c r="U875" s="276"/>
      <c r="V875" s="276"/>
      <c r="W875" s="276"/>
      <c r="X875" s="276"/>
      <c r="Y875" s="276"/>
      <c r="Z875" s="276"/>
    </row>
    <row r="876" spans="1:26" ht="18.75" customHeight="1">
      <c r="A876" s="276"/>
      <c r="B876" s="276"/>
      <c r="C876" s="276"/>
      <c r="D876" s="276"/>
      <c r="E876" s="276"/>
      <c r="F876" s="276"/>
      <c r="G876" s="276"/>
      <c r="H876" s="276"/>
      <c r="I876" s="276"/>
      <c r="J876" s="276"/>
      <c r="K876" s="276"/>
      <c r="L876" s="276"/>
      <c r="M876" s="276"/>
      <c r="N876" s="276"/>
      <c r="O876" s="276"/>
      <c r="P876" s="276"/>
      <c r="Q876" s="276"/>
      <c r="R876" s="276"/>
      <c r="S876" s="276"/>
      <c r="T876" s="276"/>
      <c r="U876" s="276"/>
      <c r="V876" s="276"/>
      <c r="W876" s="276"/>
      <c r="X876" s="276"/>
      <c r="Y876" s="276"/>
      <c r="Z876" s="276"/>
    </row>
    <row r="877" spans="1:26" ht="18.75" customHeight="1">
      <c r="A877" s="276"/>
      <c r="B877" s="276"/>
      <c r="C877" s="276"/>
      <c r="D877" s="276"/>
      <c r="E877" s="276"/>
      <c r="F877" s="276"/>
      <c r="G877" s="276"/>
      <c r="H877" s="276"/>
      <c r="I877" s="276"/>
      <c r="J877" s="276"/>
      <c r="K877" s="276"/>
      <c r="L877" s="276"/>
      <c r="M877" s="276"/>
      <c r="N877" s="276"/>
      <c r="O877" s="276"/>
      <c r="P877" s="276"/>
      <c r="Q877" s="276"/>
      <c r="R877" s="276"/>
      <c r="S877" s="276"/>
      <c r="T877" s="276"/>
      <c r="U877" s="276"/>
      <c r="V877" s="276"/>
      <c r="W877" s="276"/>
      <c r="X877" s="276"/>
      <c r="Y877" s="276"/>
      <c r="Z877" s="276"/>
    </row>
    <row r="878" spans="1:26" ht="18.75" customHeight="1">
      <c r="A878" s="276"/>
      <c r="B878" s="276"/>
      <c r="C878" s="276"/>
      <c r="D878" s="276"/>
      <c r="E878" s="276"/>
      <c r="F878" s="276"/>
      <c r="G878" s="276"/>
      <c r="H878" s="276"/>
      <c r="I878" s="276"/>
      <c r="J878" s="276"/>
      <c r="K878" s="276"/>
      <c r="L878" s="276"/>
      <c r="M878" s="276"/>
      <c r="N878" s="276"/>
      <c r="O878" s="276"/>
      <c r="P878" s="276"/>
      <c r="Q878" s="276"/>
      <c r="R878" s="276"/>
      <c r="S878" s="276"/>
      <c r="T878" s="276"/>
      <c r="U878" s="276"/>
      <c r="V878" s="276"/>
      <c r="W878" s="276"/>
      <c r="X878" s="276"/>
      <c r="Y878" s="276"/>
      <c r="Z878" s="276"/>
    </row>
    <row r="879" spans="1:26" ht="18.75" customHeight="1">
      <c r="A879" s="276"/>
      <c r="B879" s="276"/>
      <c r="C879" s="276"/>
      <c r="D879" s="276"/>
      <c r="E879" s="276"/>
      <c r="F879" s="276"/>
      <c r="G879" s="276"/>
      <c r="H879" s="276"/>
      <c r="I879" s="276"/>
      <c r="J879" s="276"/>
      <c r="K879" s="276"/>
      <c r="L879" s="276"/>
      <c r="M879" s="276"/>
      <c r="N879" s="276"/>
      <c r="O879" s="276"/>
      <c r="P879" s="276"/>
      <c r="Q879" s="276"/>
      <c r="R879" s="276"/>
      <c r="S879" s="276"/>
      <c r="T879" s="276"/>
      <c r="U879" s="276"/>
      <c r="V879" s="276"/>
      <c r="W879" s="276"/>
      <c r="X879" s="276"/>
      <c r="Y879" s="276"/>
      <c r="Z879" s="276"/>
    </row>
    <row r="880" spans="1:26" ht="18.75" customHeight="1">
      <c r="A880" s="276"/>
      <c r="B880" s="276"/>
      <c r="C880" s="276"/>
      <c r="D880" s="276"/>
      <c r="E880" s="276"/>
      <c r="F880" s="276"/>
      <c r="G880" s="276"/>
      <c r="H880" s="276"/>
      <c r="I880" s="276"/>
      <c r="J880" s="276"/>
      <c r="K880" s="276"/>
      <c r="L880" s="276"/>
      <c r="M880" s="276"/>
      <c r="N880" s="276"/>
      <c r="O880" s="276"/>
      <c r="P880" s="276"/>
      <c r="Q880" s="276"/>
      <c r="R880" s="276"/>
      <c r="S880" s="276"/>
      <c r="T880" s="276"/>
      <c r="U880" s="276"/>
      <c r="V880" s="276"/>
      <c r="W880" s="276"/>
      <c r="X880" s="276"/>
      <c r="Y880" s="276"/>
      <c r="Z880" s="276"/>
    </row>
    <row r="881" spans="1:26" ht="18.75" customHeight="1">
      <c r="A881" s="276"/>
      <c r="B881" s="276"/>
      <c r="C881" s="276"/>
      <c r="D881" s="276"/>
      <c r="E881" s="276"/>
      <c r="F881" s="276"/>
      <c r="G881" s="276"/>
      <c r="H881" s="276"/>
      <c r="I881" s="276"/>
      <c r="J881" s="276"/>
      <c r="K881" s="276"/>
      <c r="L881" s="276"/>
      <c r="M881" s="276"/>
      <c r="N881" s="276"/>
      <c r="O881" s="276"/>
      <c r="P881" s="276"/>
      <c r="Q881" s="276"/>
      <c r="R881" s="276"/>
      <c r="S881" s="276"/>
      <c r="T881" s="276"/>
      <c r="U881" s="276"/>
      <c r="V881" s="276"/>
      <c r="W881" s="276"/>
      <c r="X881" s="276"/>
      <c r="Y881" s="276"/>
      <c r="Z881" s="276"/>
    </row>
    <row r="882" spans="1:26" ht="18.75" customHeight="1">
      <c r="A882" s="276"/>
      <c r="B882" s="276"/>
      <c r="C882" s="276"/>
      <c r="D882" s="276"/>
      <c r="E882" s="276"/>
      <c r="F882" s="276"/>
      <c r="G882" s="276"/>
      <c r="H882" s="276"/>
      <c r="I882" s="276"/>
      <c r="J882" s="276"/>
      <c r="K882" s="276"/>
      <c r="L882" s="276"/>
      <c r="M882" s="276"/>
      <c r="N882" s="276"/>
      <c r="O882" s="276"/>
      <c r="P882" s="276"/>
      <c r="Q882" s="276"/>
      <c r="R882" s="276"/>
      <c r="S882" s="276"/>
      <c r="T882" s="276"/>
      <c r="U882" s="276"/>
      <c r="V882" s="276"/>
      <c r="W882" s="276"/>
      <c r="X882" s="276"/>
      <c r="Y882" s="276"/>
      <c r="Z882" s="276"/>
    </row>
    <row r="883" spans="1:26" ht="18.75" customHeight="1">
      <c r="A883" s="276"/>
      <c r="B883" s="276"/>
      <c r="C883" s="276"/>
      <c r="D883" s="276"/>
      <c r="E883" s="276"/>
      <c r="F883" s="276"/>
      <c r="G883" s="276"/>
      <c r="H883" s="276"/>
      <c r="I883" s="276"/>
      <c r="J883" s="276"/>
      <c r="K883" s="276"/>
      <c r="L883" s="276"/>
      <c r="M883" s="276"/>
      <c r="N883" s="276"/>
      <c r="O883" s="276"/>
      <c r="P883" s="276"/>
      <c r="Q883" s="276"/>
      <c r="R883" s="276"/>
      <c r="S883" s="276"/>
      <c r="T883" s="276"/>
      <c r="U883" s="276"/>
      <c r="V883" s="276"/>
      <c r="W883" s="276"/>
      <c r="X883" s="276"/>
      <c r="Y883" s="276"/>
      <c r="Z883" s="276"/>
    </row>
    <row r="884" spans="1:26" ht="18.75" customHeight="1">
      <c r="A884" s="276"/>
      <c r="B884" s="276"/>
      <c r="C884" s="276"/>
      <c r="D884" s="276"/>
      <c r="E884" s="276"/>
      <c r="F884" s="276"/>
      <c r="G884" s="276"/>
      <c r="H884" s="276"/>
      <c r="I884" s="276"/>
      <c r="J884" s="276"/>
      <c r="K884" s="276"/>
      <c r="L884" s="276"/>
      <c r="M884" s="276"/>
      <c r="N884" s="276"/>
      <c r="O884" s="276"/>
      <c r="P884" s="276"/>
      <c r="Q884" s="276"/>
      <c r="R884" s="276"/>
      <c r="S884" s="276"/>
      <c r="T884" s="276"/>
      <c r="U884" s="276"/>
      <c r="V884" s="276"/>
      <c r="W884" s="276"/>
      <c r="X884" s="276"/>
      <c r="Y884" s="276"/>
      <c r="Z884" s="276"/>
    </row>
    <row r="885" spans="1:26" ht="18.75" customHeight="1">
      <c r="A885" s="276"/>
      <c r="B885" s="276"/>
      <c r="C885" s="276"/>
      <c r="D885" s="276"/>
      <c r="E885" s="276"/>
      <c r="F885" s="276"/>
      <c r="G885" s="276"/>
      <c r="H885" s="276"/>
      <c r="I885" s="276"/>
      <c r="J885" s="276"/>
      <c r="K885" s="276"/>
      <c r="L885" s="276"/>
      <c r="M885" s="276"/>
      <c r="N885" s="276"/>
      <c r="O885" s="276"/>
      <c r="P885" s="276"/>
      <c r="Q885" s="276"/>
      <c r="R885" s="276"/>
      <c r="S885" s="276"/>
      <c r="T885" s="276"/>
      <c r="U885" s="276"/>
      <c r="V885" s="276"/>
      <c r="W885" s="276"/>
      <c r="X885" s="276"/>
      <c r="Y885" s="276"/>
      <c r="Z885" s="276"/>
    </row>
    <row r="886" spans="1:26" ht="18.75" customHeight="1">
      <c r="A886" s="276"/>
      <c r="B886" s="276"/>
      <c r="C886" s="276"/>
      <c r="D886" s="276"/>
      <c r="E886" s="276"/>
      <c r="F886" s="276"/>
      <c r="G886" s="276"/>
      <c r="H886" s="276"/>
      <c r="I886" s="276"/>
      <c r="J886" s="276"/>
      <c r="K886" s="276"/>
      <c r="L886" s="276"/>
      <c r="M886" s="276"/>
      <c r="N886" s="276"/>
      <c r="O886" s="276"/>
      <c r="P886" s="276"/>
      <c r="Q886" s="276"/>
      <c r="R886" s="276"/>
      <c r="S886" s="276"/>
      <c r="T886" s="276"/>
      <c r="U886" s="276"/>
      <c r="V886" s="276"/>
      <c r="W886" s="276"/>
      <c r="X886" s="276"/>
      <c r="Y886" s="276"/>
      <c r="Z886" s="276"/>
    </row>
    <row r="887" spans="1:26" ht="18.75" customHeight="1">
      <c r="A887" s="276"/>
      <c r="B887" s="276"/>
      <c r="C887" s="276"/>
      <c r="D887" s="276"/>
      <c r="E887" s="276"/>
      <c r="F887" s="276"/>
      <c r="G887" s="276"/>
      <c r="H887" s="276"/>
      <c r="I887" s="276"/>
      <c r="J887" s="276"/>
      <c r="K887" s="276"/>
      <c r="L887" s="276"/>
      <c r="M887" s="276"/>
      <c r="N887" s="276"/>
      <c r="O887" s="276"/>
      <c r="P887" s="276"/>
      <c r="Q887" s="276"/>
      <c r="R887" s="276"/>
      <c r="S887" s="276"/>
      <c r="T887" s="276"/>
      <c r="U887" s="276"/>
      <c r="V887" s="276"/>
      <c r="W887" s="276"/>
      <c r="X887" s="276"/>
      <c r="Y887" s="276"/>
      <c r="Z887" s="276"/>
    </row>
    <row r="888" spans="1:26" ht="18.75" customHeight="1">
      <c r="A888" s="276"/>
      <c r="B888" s="276"/>
      <c r="C888" s="276"/>
      <c r="D888" s="276"/>
      <c r="E888" s="276"/>
      <c r="F888" s="276"/>
      <c r="G888" s="276"/>
      <c r="H888" s="276"/>
      <c r="I888" s="276"/>
      <c r="J888" s="276"/>
      <c r="K888" s="276"/>
      <c r="L888" s="276"/>
      <c r="M888" s="276"/>
      <c r="N888" s="276"/>
      <c r="O888" s="276"/>
      <c r="P888" s="276"/>
      <c r="Q888" s="276"/>
      <c r="R888" s="276"/>
      <c r="S888" s="276"/>
      <c r="T888" s="276"/>
      <c r="U888" s="276"/>
      <c r="V888" s="276"/>
      <c r="W888" s="276"/>
      <c r="X888" s="276"/>
      <c r="Y888" s="276"/>
      <c r="Z888" s="276"/>
    </row>
    <row r="889" spans="1:26" ht="18.75" customHeight="1">
      <c r="A889" s="276"/>
      <c r="B889" s="276"/>
      <c r="C889" s="276"/>
      <c r="D889" s="276"/>
      <c r="E889" s="276"/>
      <c r="F889" s="276"/>
      <c r="G889" s="276"/>
      <c r="H889" s="276"/>
      <c r="I889" s="276"/>
      <c r="J889" s="276"/>
      <c r="K889" s="276"/>
      <c r="L889" s="276"/>
      <c r="M889" s="276"/>
      <c r="N889" s="276"/>
      <c r="O889" s="276"/>
      <c r="P889" s="276"/>
      <c r="Q889" s="276"/>
      <c r="R889" s="276"/>
      <c r="S889" s="276"/>
      <c r="T889" s="276"/>
      <c r="U889" s="276"/>
      <c r="V889" s="276"/>
      <c r="W889" s="276"/>
      <c r="X889" s="276"/>
      <c r="Y889" s="276"/>
      <c r="Z889" s="276"/>
    </row>
    <row r="890" spans="1:26" ht="18.75" customHeight="1">
      <c r="A890" s="276"/>
      <c r="B890" s="276"/>
      <c r="C890" s="276"/>
      <c r="D890" s="276"/>
      <c r="E890" s="276"/>
      <c r="F890" s="276"/>
      <c r="G890" s="276"/>
      <c r="H890" s="276"/>
      <c r="I890" s="276"/>
      <c r="J890" s="276"/>
      <c r="K890" s="276"/>
      <c r="L890" s="276"/>
      <c r="M890" s="276"/>
      <c r="N890" s="276"/>
      <c r="O890" s="276"/>
      <c r="P890" s="276"/>
      <c r="Q890" s="276"/>
      <c r="R890" s="276"/>
      <c r="S890" s="276"/>
      <c r="T890" s="276"/>
      <c r="U890" s="276"/>
      <c r="V890" s="276"/>
      <c r="W890" s="276"/>
      <c r="X890" s="276"/>
      <c r="Y890" s="276"/>
      <c r="Z890" s="276"/>
    </row>
    <row r="891" spans="1:26" ht="18.75" customHeight="1">
      <c r="A891" s="276"/>
      <c r="B891" s="276"/>
      <c r="C891" s="276"/>
      <c r="D891" s="276"/>
      <c r="E891" s="276"/>
      <c r="F891" s="276"/>
      <c r="G891" s="276"/>
      <c r="H891" s="276"/>
      <c r="I891" s="276"/>
      <c r="J891" s="276"/>
      <c r="K891" s="276"/>
      <c r="L891" s="276"/>
      <c r="M891" s="276"/>
      <c r="N891" s="276"/>
      <c r="O891" s="276"/>
      <c r="P891" s="276"/>
      <c r="Q891" s="276"/>
      <c r="R891" s="276"/>
      <c r="S891" s="276"/>
      <c r="T891" s="276"/>
      <c r="U891" s="276"/>
      <c r="V891" s="276"/>
      <c r="W891" s="276"/>
      <c r="X891" s="276"/>
      <c r="Y891" s="276"/>
      <c r="Z891" s="276"/>
    </row>
    <row r="892" spans="1:26" ht="18.75" customHeight="1">
      <c r="A892" s="276"/>
      <c r="B892" s="276"/>
      <c r="C892" s="276"/>
      <c r="D892" s="276"/>
      <c r="E892" s="276"/>
      <c r="F892" s="276"/>
      <c r="G892" s="276"/>
      <c r="H892" s="276"/>
      <c r="I892" s="276"/>
      <c r="J892" s="276"/>
      <c r="K892" s="276"/>
      <c r="L892" s="276"/>
      <c r="M892" s="276"/>
      <c r="N892" s="276"/>
      <c r="O892" s="276"/>
      <c r="P892" s="276"/>
      <c r="Q892" s="276"/>
      <c r="R892" s="276"/>
      <c r="S892" s="276"/>
      <c r="T892" s="276"/>
      <c r="U892" s="276"/>
      <c r="V892" s="276"/>
      <c r="W892" s="276"/>
      <c r="X892" s="276"/>
      <c r="Y892" s="276"/>
      <c r="Z892" s="276"/>
    </row>
    <row r="893" spans="1:26" ht="18.75" customHeight="1">
      <c r="A893" s="276"/>
      <c r="B893" s="276"/>
      <c r="C893" s="276"/>
      <c r="D893" s="276"/>
      <c r="E893" s="276"/>
      <c r="F893" s="276"/>
      <c r="G893" s="276"/>
      <c r="H893" s="276"/>
      <c r="I893" s="276"/>
      <c r="J893" s="276"/>
      <c r="K893" s="276"/>
      <c r="L893" s="276"/>
      <c r="M893" s="276"/>
      <c r="N893" s="276"/>
      <c r="O893" s="276"/>
      <c r="P893" s="276"/>
      <c r="Q893" s="276"/>
      <c r="R893" s="276"/>
      <c r="S893" s="276"/>
      <c r="T893" s="276"/>
      <c r="U893" s="276"/>
      <c r="V893" s="276"/>
      <c r="W893" s="276"/>
      <c r="X893" s="276"/>
      <c r="Y893" s="276"/>
      <c r="Z893" s="276"/>
    </row>
    <row r="894" spans="1:26" ht="18.75" customHeight="1">
      <c r="A894" s="276"/>
      <c r="B894" s="276"/>
      <c r="C894" s="276"/>
      <c r="D894" s="276"/>
      <c r="E894" s="276"/>
      <c r="F894" s="276"/>
      <c r="G894" s="276"/>
      <c r="H894" s="276"/>
      <c r="I894" s="276"/>
      <c r="J894" s="276"/>
      <c r="K894" s="276"/>
      <c r="L894" s="276"/>
      <c r="M894" s="276"/>
      <c r="N894" s="276"/>
      <c r="O894" s="276"/>
      <c r="P894" s="276"/>
      <c r="Q894" s="276"/>
      <c r="R894" s="276"/>
      <c r="S894" s="276"/>
      <c r="T894" s="276"/>
      <c r="U894" s="276"/>
      <c r="V894" s="276"/>
      <c r="W894" s="276"/>
      <c r="X894" s="276"/>
      <c r="Y894" s="276"/>
      <c r="Z894" s="276"/>
    </row>
    <row r="895" spans="1:26" ht="18.75" customHeight="1">
      <c r="A895" s="276"/>
      <c r="B895" s="276"/>
      <c r="C895" s="276"/>
      <c r="D895" s="276"/>
      <c r="E895" s="276"/>
      <c r="F895" s="276"/>
      <c r="G895" s="276"/>
      <c r="H895" s="276"/>
      <c r="I895" s="276"/>
      <c r="J895" s="276"/>
      <c r="K895" s="276"/>
      <c r="L895" s="276"/>
      <c r="M895" s="276"/>
      <c r="N895" s="276"/>
      <c r="O895" s="276"/>
      <c r="P895" s="276"/>
      <c r="Q895" s="276"/>
      <c r="R895" s="276"/>
      <c r="S895" s="276"/>
      <c r="T895" s="276"/>
      <c r="U895" s="276"/>
      <c r="V895" s="276"/>
      <c r="W895" s="276"/>
      <c r="X895" s="276"/>
      <c r="Y895" s="276"/>
      <c r="Z895" s="276"/>
    </row>
    <row r="896" spans="1:26" ht="18.75" customHeight="1">
      <c r="A896" s="276"/>
      <c r="B896" s="276"/>
      <c r="C896" s="276"/>
      <c r="D896" s="276"/>
      <c r="E896" s="276"/>
      <c r="F896" s="276"/>
      <c r="G896" s="276"/>
      <c r="H896" s="276"/>
      <c r="I896" s="276"/>
      <c r="J896" s="276"/>
      <c r="K896" s="276"/>
      <c r="L896" s="276"/>
      <c r="M896" s="276"/>
      <c r="N896" s="276"/>
      <c r="O896" s="276"/>
      <c r="P896" s="276"/>
      <c r="Q896" s="276"/>
      <c r="R896" s="276"/>
      <c r="S896" s="276"/>
      <c r="T896" s="276"/>
      <c r="U896" s="276"/>
      <c r="V896" s="276"/>
      <c r="W896" s="276"/>
      <c r="X896" s="276"/>
      <c r="Y896" s="276"/>
      <c r="Z896" s="276"/>
    </row>
    <row r="897" spans="1:26" ht="18.75" customHeight="1">
      <c r="A897" s="276"/>
      <c r="B897" s="276"/>
      <c r="C897" s="276"/>
      <c r="D897" s="276"/>
      <c r="E897" s="276"/>
      <c r="F897" s="276"/>
      <c r="G897" s="276"/>
      <c r="H897" s="276"/>
      <c r="I897" s="276"/>
      <c r="J897" s="276"/>
      <c r="K897" s="276"/>
      <c r="L897" s="276"/>
      <c r="M897" s="276"/>
      <c r="N897" s="276"/>
      <c r="O897" s="276"/>
      <c r="P897" s="276"/>
      <c r="Q897" s="276"/>
      <c r="R897" s="276"/>
      <c r="S897" s="276"/>
      <c r="T897" s="276"/>
      <c r="U897" s="276"/>
      <c r="V897" s="276"/>
      <c r="W897" s="276"/>
      <c r="X897" s="276"/>
      <c r="Y897" s="276"/>
      <c r="Z897" s="276"/>
    </row>
    <row r="898" spans="1:26" ht="18.75" customHeight="1">
      <c r="A898" s="276"/>
      <c r="B898" s="276"/>
      <c r="C898" s="276"/>
      <c r="D898" s="276"/>
      <c r="E898" s="276"/>
      <c r="F898" s="276"/>
      <c r="G898" s="276"/>
      <c r="H898" s="276"/>
      <c r="I898" s="276"/>
      <c r="J898" s="276"/>
      <c r="K898" s="276"/>
      <c r="L898" s="276"/>
      <c r="M898" s="276"/>
      <c r="N898" s="276"/>
      <c r="O898" s="276"/>
      <c r="P898" s="276"/>
      <c r="Q898" s="276"/>
      <c r="R898" s="276"/>
      <c r="S898" s="276"/>
      <c r="T898" s="276"/>
      <c r="U898" s="276"/>
      <c r="V898" s="276"/>
      <c r="W898" s="276"/>
      <c r="X898" s="276"/>
      <c r="Y898" s="276"/>
      <c r="Z898" s="276"/>
    </row>
    <row r="899" spans="1:26" ht="18.75" customHeight="1">
      <c r="A899" s="276"/>
      <c r="B899" s="276"/>
      <c r="C899" s="276"/>
      <c r="D899" s="276"/>
      <c r="E899" s="276"/>
      <c r="F899" s="276"/>
      <c r="G899" s="276"/>
      <c r="H899" s="276"/>
      <c r="I899" s="276"/>
      <c r="J899" s="276"/>
      <c r="K899" s="276"/>
      <c r="L899" s="276"/>
      <c r="M899" s="276"/>
      <c r="N899" s="276"/>
      <c r="O899" s="276"/>
      <c r="P899" s="276"/>
      <c r="Q899" s="276"/>
      <c r="R899" s="276"/>
      <c r="S899" s="276"/>
      <c r="T899" s="276"/>
      <c r="U899" s="276"/>
      <c r="V899" s="276"/>
      <c r="W899" s="276"/>
      <c r="X899" s="276"/>
      <c r="Y899" s="276"/>
      <c r="Z899" s="276"/>
    </row>
    <row r="900" spans="1:26" ht="18.75" customHeight="1">
      <c r="A900" s="276"/>
      <c r="B900" s="276"/>
      <c r="C900" s="276"/>
      <c r="D900" s="276"/>
      <c r="E900" s="276"/>
      <c r="F900" s="276"/>
      <c r="G900" s="276"/>
      <c r="H900" s="276"/>
      <c r="I900" s="276"/>
      <c r="J900" s="276"/>
      <c r="K900" s="276"/>
      <c r="L900" s="276"/>
      <c r="M900" s="276"/>
      <c r="N900" s="276"/>
      <c r="O900" s="276"/>
      <c r="P900" s="276"/>
      <c r="Q900" s="276"/>
      <c r="R900" s="276"/>
      <c r="S900" s="276"/>
      <c r="T900" s="276"/>
      <c r="U900" s="276"/>
      <c r="V900" s="276"/>
      <c r="W900" s="276"/>
      <c r="X900" s="276"/>
      <c r="Y900" s="276"/>
      <c r="Z900" s="276"/>
    </row>
    <row r="901" spans="1:26" ht="18.75" customHeight="1">
      <c r="A901" s="276"/>
      <c r="B901" s="276"/>
      <c r="C901" s="276"/>
      <c r="D901" s="276"/>
      <c r="E901" s="276"/>
      <c r="F901" s="276"/>
      <c r="G901" s="276"/>
      <c r="H901" s="276"/>
      <c r="I901" s="276"/>
      <c r="J901" s="276"/>
      <c r="K901" s="276"/>
      <c r="L901" s="276"/>
      <c r="M901" s="276"/>
      <c r="N901" s="276"/>
      <c r="O901" s="276"/>
      <c r="P901" s="276"/>
      <c r="Q901" s="276"/>
      <c r="R901" s="276"/>
      <c r="S901" s="276"/>
      <c r="T901" s="276"/>
      <c r="U901" s="276"/>
      <c r="V901" s="276"/>
      <c r="W901" s="276"/>
      <c r="X901" s="276"/>
      <c r="Y901" s="276"/>
      <c r="Z901" s="276"/>
    </row>
    <row r="902" spans="1:26" ht="18.75" customHeight="1">
      <c r="A902" s="276"/>
      <c r="B902" s="276"/>
      <c r="C902" s="276"/>
      <c r="D902" s="276"/>
      <c r="E902" s="276"/>
      <c r="F902" s="276"/>
      <c r="G902" s="276"/>
      <c r="H902" s="276"/>
      <c r="I902" s="276"/>
      <c r="J902" s="276"/>
      <c r="K902" s="276"/>
      <c r="L902" s="276"/>
      <c r="M902" s="276"/>
      <c r="N902" s="276"/>
      <c r="O902" s="276"/>
      <c r="P902" s="276"/>
      <c r="Q902" s="276"/>
      <c r="R902" s="276"/>
      <c r="S902" s="276"/>
      <c r="T902" s="276"/>
      <c r="U902" s="276"/>
      <c r="V902" s="276"/>
      <c r="W902" s="276"/>
      <c r="X902" s="276"/>
      <c r="Y902" s="276"/>
      <c r="Z902" s="276"/>
    </row>
    <row r="903" spans="1:26" ht="18.75" customHeight="1">
      <c r="A903" s="276"/>
      <c r="B903" s="276"/>
      <c r="C903" s="276"/>
      <c r="D903" s="276"/>
      <c r="E903" s="276"/>
      <c r="F903" s="276"/>
      <c r="G903" s="276"/>
      <c r="H903" s="276"/>
      <c r="I903" s="276"/>
      <c r="J903" s="276"/>
      <c r="K903" s="276"/>
      <c r="L903" s="276"/>
      <c r="M903" s="276"/>
      <c r="N903" s="276"/>
      <c r="O903" s="276"/>
      <c r="P903" s="276"/>
      <c r="Q903" s="276"/>
      <c r="R903" s="276"/>
      <c r="S903" s="276"/>
      <c r="T903" s="276"/>
      <c r="U903" s="276"/>
      <c r="V903" s="276"/>
      <c r="W903" s="276"/>
      <c r="X903" s="276"/>
      <c r="Y903" s="276"/>
      <c r="Z903" s="276"/>
    </row>
    <row r="904" spans="1:26" ht="18.75" customHeight="1">
      <c r="A904" s="276"/>
      <c r="B904" s="276"/>
      <c r="C904" s="276"/>
      <c r="D904" s="276"/>
      <c r="E904" s="276"/>
      <c r="F904" s="276"/>
      <c r="G904" s="276"/>
      <c r="H904" s="276"/>
      <c r="I904" s="276"/>
      <c r="J904" s="276"/>
      <c r="K904" s="276"/>
      <c r="L904" s="276"/>
      <c r="M904" s="276"/>
      <c r="N904" s="276"/>
      <c r="O904" s="276"/>
      <c r="P904" s="276"/>
      <c r="Q904" s="276"/>
      <c r="R904" s="276"/>
      <c r="S904" s="276"/>
      <c r="T904" s="276"/>
      <c r="U904" s="276"/>
      <c r="V904" s="276"/>
      <c r="W904" s="276"/>
      <c r="X904" s="276"/>
      <c r="Y904" s="276"/>
      <c r="Z904" s="276"/>
    </row>
    <row r="905" spans="1:26" ht="18.75" customHeight="1">
      <c r="A905" s="276"/>
      <c r="B905" s="276"/>
      <c r="C905" s="276"/>
      <c r="D905" s="276"/>
      <c r="E905" s="276"/>
      <c r="F905" s="276"/>
      <c r="G905" s="276"/>
      <c r="H905" s="276"/>
      <c r="I905" s="276"/>
      <c r="J905" s="276"/>
      <c r="K905" s="276"/>
      <c r="L905" s="276"/>
      <c r="M905" s="276"/>
      <c r="N905" s="276"/>
      <c r="O905" s="276"/>
      <c r="P905" s="276"/>
      <c r="Q905" s="276"/>
      <c r="R905" s="276"/>
      <c r="S905" s="276"/>
      <c r="T905" s="276"/>
      <c r="U905" s="276"/>
      <c r="V905" s="276"/>
      <c r="W905" s="276"/>
      <c r="X905" s="276"/>
      <c r="Y905" s="276"/>
      <c r="Z905" s="276"/>
    </row>
    <row r="906" spans="1:26" ht="18.75" customHeight="1">
      <c r="A906" s="276"/>
      <c r="B906" s="276"/>
      <c r="C906" s="276"/>
      <c r="D906" s="276"/>
      <c r="E906" s="276"/>
      <c r="F906" s="276"/>
      <c r="G906" s="276"/>
      <c r="H906" s="276"/>
      <c r="I906" s="276"/>
      <c r="J906" s="276"/>
      <c r="K906" s="276"/>
      <c r="L906" s="276"/>
      <c r="M906" s="276"/>
      <c r="N906" s="276"/>
      <c r="O906" s="276"/>
      <c r="P906" s="276"/>
      <c r="Q906" s="276"/>
      <c r="R906" s="276"/>
      <c r="S906" s="276"/>
      <c r="T906" s="276"/>
      <c r="U906" s="276"/>
      <c r="V906" s="276"/>
      <c r="W906" s="276"/>
      <c r="X906" s="276"/>
      <c r="Y906" s="276"/>
      <c r="Z906" s="276"/>
    </row>
    <row r="907" spans="1:26" ht="18.75" customHeight="1">
      <c r="A907" s="276"/>
      <c r="B907" s="276"/>
      <c r="C907" s="276"/>
      <c r="D907" s="276"/>
      <c r="E907" s="276"/>
      <c r="F907" s="276"/>
      <c r="G907" s="276"/>
      <c r="H907" s="276"/>
      <c r="I907" s="276"/>
      <c r="J907" s="276"/>
      <c r="K907" s="276"/>
      <c r="L907" s="276"/>
      <c r="M907" s="276"/>
      <c r="N907" s="276"/>
      <c r="O907" s="276"/>
      <c r="P907" s="276"/>
      <c r="Q907" s="276"/>
      <c r="R907" s="276"/>
      <c r="S907" s="276"/>
      <c r="T907" s="276"/>
      <c r="U907" s="276"/>
      <c r="V907" s="276"/>
      <c r="W907" s="276"/>
      <c r="X907" s="276"/>
      <c r="Y907" s="276"/>
      <c r="Z907" s="276"/>
    </row>
    <row r="908" spans="1:26" ht="18.75" customHeight="1">
      <c r="A908" s="276"/>
      <c r="B908" s="276"/>
      <c r="C908" s="276"/>
      <c r="D908" s="276"/>
      <c r="E908" s="276"/>
      <c r="F908" s="276"/>
      <c r="G908" s="276"/>
      <c r="H908" s="276"/>
      <c r="I908" s="276"/>
      <c r="J908" s="276"/>
      <c r="K908" s="276"/>
      <c r="L908" s="276"/>
      <c r="M908" s="276"/>
      <c r="N908" s="276"/>
      <c r="O908" s="276"/>
      <c r="P908" s="276"/>
      <c r="Q908" s="276"/>
      <c r="R908" s="276"/>
      <c r="S908" s="276"/>
      <c r="T908" s="276"/>
      <c r="U908" s="276"/>
      <c r="V908" s="276"/>
      <c r="W908" s="276"/>
      <c r="X908" s="276"/>
      <c r="Y908" s="276"/>
      <c r="Z908" s="276"/>
    </row>
    <row r="909" spans="1:26" ht="18.75" customHeight="1">
      <c r="A909" s="276"/>
      <c r="B909" s="276"/>
      <c r="C909" s="276"/>
      <c r="D909" s="276"/>
      <c r="E909" s="276"/>
      <c r="F909" s="276"/>
      <c r="G909" s="276"/>
      <c r="H909" s="276"/>
      <c r="I909" s="276"/>
      <c r="J909" s="276"/>
      <c r="K909" s="276"/>
      <c r="L909" s="276"/>
      <c r="M909" s="276"/>
      <c r="N909" s="276"/>
      <c r="O909" s="276"/>
      <c r="P909" s="276"/>
      <c r="Q909" s="276"/>
      <c r="R909" s="276"/>
      <c r="S909" s="276"/>
      <c r="T909" s="276"/>
      <c r="U909" s="276"/>
      <c r="V909" s="276"/>
      <c r="W909" s="276"/>
      <c r="X909" s="276"/>
      <c r="Y909" s="276"/>
      <c r="Z909" s="276"/>
    </row>
    <row r="910" spans="1:26" ht="18.75" customHeight="1">
      <c r="A910" s="276"/>
      <c r="B910" s="276"/>
      <c r="C910" s="276"/>
      <c r="D910" s="276"/>
      <c r="E910" s="276"/>
      <c r="F910" s="276"/>
      <c r="G910" s="276"/>
      <c r="H910" s="276"/>
      <c r="I910" s="276"/>
      <c r="J910" s="276"/>
      <c r="K910" s="276"/>
      <c r="L910" s="276"/>
      <c r="M910" s="276"/>
      <c r="N910" s="276"/>
      <c r="O910" s="276"/>
      <c r="P910" s="276"/>
      <c r="Q910" s="276"/>
      <c r="R910" s="276"/>
      <c r="S910" s="276"/>
      <c r="T910" s="276"/>
      <c r="U910" s="276"/>
      <c r="V910" s="276"/>
      <c r="W910" s="276"/>
      <c r="X910" s="276"/>
      <c r="Y910" s="276"/>
      <c r="Z910" s="276"/>
    </row>
    <row r="911" spans="1:26" ht="18.75" customHeight="1">
      <c r="A911" s="276"/>
      <c r="B911" s="276"/>
      <c r="C911" s="276"/>
      <c r="D911" s="276"/>
      <c r="E911" s="276"/>
      <c r="F911" s="276"/>
      <c r="G911" s="276"/>
      <c r="H911" s="276"/>
      <c r="I911" s="276"/>
      <c r="J911" s="276"/>
      <c r="K911" s="276"/>
      <c r="L911" s="276"/>
      <c r="M911" s="276"/>
      <c r="N911" s="276"/>
      <c r="O911" s="276"/>
      <c r="P911" s="276"/>
      <c r="Q911" s="276"/>
      <c r="R911" s="276"/>
      <c r="S911" s="276"/>
      <c r="T911" s="276"/>
      <c r="U911" s="276"/>
      <c r="V911" s="276"/>
      <c r="W911" s="276"/>
      <c r="X911" s="276"/>
      <c r="Y911" s="276"/>
      <c r="Z911" s="276"/>
    </row>
    <row r="912" spans="1:26" ht="18.75" customHeight="1">
      <c r="A912" s="276"/>
      <c r="B912" s="276"/>
      <c r="C912" s="276"/>
      <c r="D912" s="276"/>
      <c r="E912" s="276"/>
      <c r="F912" s="276"/>
      <c r="G912" s="276"/>
      <c r="H912" s="276"/>
      <c r="I912" s="276"/>
      <c r="J912" s="276"/>
      <c r="K912" s="276"/>
      <c r="L912" s="276"/>
      <c r="M912" s="276"/>
      <c r="N912" s="276"/>
      <c r="O912" s="276"/>
      <c r="P912" s="276"/>
      <c r="Q912" s="276"/>
      <c r="R912" s="276"/>
      <c r="S912" s="276"/>
      <c r="T912" s="276"/>
      <c r="U912" s="276"/>
      <c r="V912" s="276"/>
      <c r="W912" s="276"/>
      <c r="X912" s="276"/>
      <c r="Y912" s="276"/>
      <c r="Z912" s="276"/>
    </row>
    <row r="913" spans="1:26" ht="18.75" customHeight="1">
      <c r="A913" s="276"/>
      <c r="B913" s="276"/>
      <c r="C913" s="276"/>
      <c r="D913" s="276"/>
      <c r="E913" s="276"/>
      <c r="F913" s="276"/>
      <c r="G913" s="276"/>
      <c r="H913" s="276"/>
      <c r="I913" s="276"/>
      <c r="J913" s="276"/>
      <c r="K913" s="276"/>
      <c r="L913" s="276"/>
      <c r="M913" s="276"/>
      <c r="N913" s="276"/>
      <c r="O913" s="276"/>
      <c r="P913" s="276"/>
      <c r="Q913" s="276"/>
      <c r="R913" s="276"/>
      <c r="S913" s="276"/>
      <c r="T913" s="276"/>
      <c r="U913" s="276"/>
      <c r="V913" s="276"/>
      <c r="W913" s="276"/>
      <c r="X913" s="276"/>
      <c r="Y913" s="276"/>
      <c r="Z913" s="276"/>
    </row>
    <row r="914" spans="1:26" ht="18.75" customHeight="1">
      <c r="A914" s="276"/>
      <c r="B914" s="276"/>
      <c r="C914" s="276"/>
      <c r="D914" s="276"/>
      <c r="E914" s="276"/>
      <c r="F914" s="276"/>
      <c r="G914" s="276"/>
      <c r="H914" s="276"/>
      <c r="I914" s="276"/>
      <c r="J914" s="276"/>
      <c r="K914" s="276"/>
      <c r="L914" s="276"/>
      <c r="M914" s="276"/>
      <c r="N914" s="276"/>
      <c r="O914" s="276"/>
      <c r="P914" s="276"/>
      <c r="Q914" s="276"/>
      <c r="R914" s="276"/>
      <c r="S914" s="276"/>
      <c r="T914" s="276"/>
      <c r="U914" s="276"/>
      <c r="V914" s="276"/>
      <c r="W914" s="276"/>
      <c r="X914" s="276"/>
      <c r="Y914" s="276"/>
      <c r="Z914" s="276"/>
    </row>
    <row r="915" spans="1:26" ht="18.75" customHeight="1">
      <c r="A915" s="276"/>
      <c r="B915" s="276"/>
      <c r="C915" s="276"/>
      <c r="D915" s="276"/>
      <c r="E915" s="276"/>
      <c r="F915" s="276"/>
      <c r="G915" s="276"/>
      <c r="H915" s="276"/>
      <c r="I915" s="276"/>
      <c r="J915" s="276"/>
      <c r="K915" s="276"/>
      <c r="L915" s="276"/>
      <c r="M915" s="276"/>
      <c r="N915" s="276"/>
      <c r="O915" s="276"/>
      <c r="P915" s="276"/>
      <c r="Q915" s="276"/>
      <c r="R915" s="276"/>
      <c r="S915" s="276"/>
      <c r="T915" s="276"/>
      <c r="U915" s="276"/>
      <c r="V915" s="276"/>
      <c r="W915" s="276"/>
      <c r="X915" s="276"/>
      <c r="Y915" s="276"/>
      <c r="Z915" s="276"/>
    </row>
    <row r="916" spans="1:26" ht="18.75" customHeight="1">
      <c r="A916" s="276"/>
      <c r="B916" s="276"/>
      <c r="C916" s="276"/>
      <c r="D916" s="276"/>
      <c r="E916" s="276"/>
      <c r="F916" s="276"/>
      <c r="G916" s="276"/>
      <c r="H916" s="276"/>
      <c r="I916" s="276"/>
      <c r="J916" s="276"/>
      <c r="K916" s="276"/>
      <c r="L916" s="276"/>
      <c r="M916" s="276"/>
      <c r="N916" s="276"/>
      <c r="O916" s="276"/>
      <c r="P916" s="276"/>
      <c r="Q916" s="276"/>
      <c r="R916" s="276"/>
      <c r="S916" s="276"/>
      <c r="T916" s="276"/>
      <c r="U916" s="276"/>
      <c r="V916" s="276"/>
      <c r="W916" s="276"/>
      <c r="X916" s="276"/>
      <c r="Y916" s="276"/>
      <c r="Z916" s="276"/>
    </row>
    <row r="917" spans="1:26" ht="18.75" customHeight="1">
      <c r="A917" s="276"/>
      <c r="B917" s="276"/>
      <c r="C917" s="276"/>
      <c r="D917" s="276"/>
      <c r="E917" s="276"/>
      <c r="F917" s="276"/>
      <c r="G917" s="276"/>
      <c r="H917" s="276"/>
      <c r="I917" s="276"/>
      <c r="J917" s="276"/>
      <c r="K917" s="276"/>
      <c r="L917" s="276"/>
      <c r="M917" s="276"/>
      <c r="N917" s="276"/>
      <c r="O917" s="276"/>
      <c r="P917" s="276"/>
      <c r="Q917" s="276"/>
      <c r="R917" s="276"/>
      <c r="S917" s="276"/>
      <c r="T917" s="276"/>
      <c r="U917" s="276"/>
      <c r="V917" s="276"/>
      <c r="W917" s="276"/>
      <c r="X917" s="276"/>
      <c r="Y917" s="276"/>
      <c r="Z917" s="276"/>
    </row>
    <row r="918" spans="1:26" ht="18.75" customHeight="1">
      <c r="A918" s="276"/>
      <c r="B918" s="276"/>
      <c r="C918" s="276"/>
      <c r="D918" s="276"/>
      <c r="E918" s="276"/>
      <c r="F918" s="276"/>
      <c r="G918" s="276"/>
      <c r="H918" s="276"/>
      <c r="I918" s="276"/>
      <c r="J918" s="276"/>
      <c r="K918" s="276"/>
      <c r="L918" s="276"/>
      <c r="M918" s="276"/>
      <c r="N918" s="276"/>
      <c r="O918" s="276"/>
      <c r="P918" s="276"/>
      <c r="Q918" s="276"/>
      <c r="R918" s="276"/>
      <c r="S918" s="276"/>
      <c r="T918" s="276"/>
      <c r="U918" s="276"/>
      <c r="V918" s="276"/>
      <c r="W918" s="276"/>
      <c r="X918" s="276"/>
      <c r="Y918" s="276"/>
      <c r="Z918" s="276"/>
    </row>
    <row r="919" spans="1:26" ht="18.75" customHeight="1">
      <c r="A919" s="276"/>
      <c r="B919" s="276"/>
      <c r="C919" s="276"/>
      <c r="D919" s="276"/>
      <c r="E919" s="276"/>
      <c r="F919" s="276"/>
      <c r="G919" s="276"/>
      <c r="H919" s="276"/>
      <c r="I919" s="276"/>
      <c r="J919" s="276"/>
      <c r="K919" s="276"/>
      <c r="L919" s="276"/>
      <c r="M919" s="276"/>
      <c r="N919" s="276"/>
      <c r="O919" s="276"/>
      <c r="P919" s="276"/>
      <c r="Q919" s="276"/>
      <c r="R919" s="276"/>
      <c r="S919" s="276"/>
      <c r="T919" s="276"/>
      <c r="U919" s="276"/>
      <c r="V919" s="276"/>
      <c r="W919" s="276"/>
      <c r="X919" s="276"/>
      <c r="Y919" s="276"/>
      <c r="Z919" s="276"/>
    </row>
    <row r="920" spans="1:26" ht="18.75" customHeight="1">
      <c r="A920" s="276"/>
      <c r="B920" s="276"/>
      <c r="C920" s="276"/>
      <c r="D920" s="276"/>
      <c r="E920" s="276"/>
      <c r="F920" s="276"/>
      <c r="G920" s="276"/>
      <c r="H920" s="276"/>
      <c r="I920" s="276"/>
      <c r="J920" s="276"/>
      <c r="K920" s="276"/>
      <c r="L920" s="276"/>
      <c r="M920" s="276"/>
      <c r="N920" s="276"/>
      <c r="O920" s="276"/>
      <c r="P920" s="276"/>
      <c r="Q920" s="276"/>
      <c r="R920" s="276"/>
      <c r="S920" s="276"/>
      <c r="T920" s="276"/>
      <c r="U920" s="276"/>
      <c r="V920" s="276"/>
      <c r="W920" s="276"/>
      <c r="X920" s="276"/>
      <c r="Y920" s="276"/>
      <c r="Z920" s="276"/>
    </row>
    <row r="921" spans="1:26" ht="18.75" customHeight="1">
      <c r="A921" s="276"/>
      <c r="B921" s="276"/>
      <c r="C921" s="276"/>
      <c r="D921" s="276"/>
      <c r="E921" s="276"/>
      <c r="F921" s="276"/>
      <c r="G921" s="276"/>
      <c r="H921" s="276"/>
      <c r="I921" s="276"/>
      <c r="J921" s="276"/>
      <c r="K921" s="276"/>
      <c r="L921" s="276"/>
      <c r="M921" s="276"/>
      <c r="N921" s="276"/>
      <c r="O921" s="276"/>
      <c r="P921" s="276"/>
      <c r="Q921" s="276"/>
      <c r="R921" s="276"/>
      <c r="S921" s="276"/>
      <c r="T921" s="276"/>
      <c r="U921" s="276"/>
      <c r="V921" s="276"/>
      <c r="W921" s="276"/>
      <c r="X921" s="276"/>
      <c r="Y921" s="276"/>
      <c r="Z921" s="276"/>
    </row>
    <row r="922" spans="1:26" ht="18.75" customHeight="1">
      <c r="A922" s="276"/>
      <c r="B922" s="276"/>
      <c r="C922" s="276"/>
      <c r="D922" s="276"/>
      <c r="E922" s="276"/>
      <c r="F922" s="276"/>
      <c r="G922" s="276"/>
      <c r="H922" s="276"/>
      <c r="I922" s="276"/>
      <c r="J922" s="276"/>
      <c r="K922" s="276"/>
      <c r="L922" s="276"/>
      <c r="M922" s="276"/>
      <c r="N922" s="276"/>
      <c r="O922" s="276"/>
      <c r="P922" s="276"/>
      <c r="Q922" s="276"/>
      <c r="R922" s="276"/>
      <c r="S922" s="276"/>
      <c r="T922" s="276"/>
      <c r="U922" s="276"/>
      <c r="V922" s="276"/>
      <c r="W922" s="276"/>
      <c r="X922" s="276"/>
      <c r="Y922" s="276"/>
      <c r="Z922" s="276"/>
    </row>
    <row r="923" spans="1:26" ht="18.75" customHeight="1">
      <c r="A923" s="276"/>
      <c r="B923" s="276"/>
      <c r="C923" s="276"/>
      <c r="D923" s="276"/>
      <c r="E923" s="276"/>
      <c r="F923" s="276"/>
      <c r="G923" s="276"/>
      <c r="H923" s="276"/>
      <c r="I923" s="276"/>
      <c r="J923" s="276"/>
      <c r="K923" s="276"/>
      <c r="L923" s="276"/>
      <c r="M923" s="276"/>
      <c r="N923" s="276"/>
      <c r="O923" s="276"/>
      <c r="P923" s="276"/>
      <c r="Q923" s="276"/>
      <c r="R923" s="276"/>
      <c r="S923" s="276"/>
      <c r="T923" s="276"/>
      <c r="U923" s="276"/>
      <c r="V923" s="276"/>
      <c r="W923" s="276"/>
      <c r="X923" s="276"/>
      <c r="Y923" s="276"/>
      <c r="Z923" s="276"/>
    </row>
    <row r="924" spans="1:26" ht="18.75" customHeight="1">
      <c r="A924" s="276"/>
      <c r="B924" s="276"/>
      <c r="C924" s="276"/>
      <c r="D924" s="276"/>
      <c r="E924" s="276"/>
      <c r="F924" s="276"/>
      <c r="G924" s="276"/>
      <c r="H924" s="276"/>
      <c r="I924" s="276"/>
      <c r="J924" s="276"/>
      <c r="K924" s="276"/>
      <c r="L924" s="276"/>
      <c r="M924" s="276"/>
      <c r="N924" s="276"/>
      <c r="O924" s="276"/>
      <c r="P924" s="276"/>
      <c r="Q924" s="276"/>
      <c r="R924" s="276"/>
      <c r="S924" s="276"/>
      <c r="T924" s="276"/>
      <c r="U924" s="276"/>
      <c r="V924" s="276"/>
      <c r="W924" s="276"/>
      <c r="X924" s="276"/>
      <c r="Y924" s="276"/>
      <c r="Z924" s="276"/>
    </row>
    <row r="925" spans="1:26" ht="18.75" customHeight="1">
      <c r="A925" s="276"/>
      <c r="B925" s="276"/>
      <c r="C925" s="276"/>
      <c r="D925" s="276"/>
      <c r="E925" s="276"/>
      <c r="F925" s="276"/>
      <c r="G925" s="276"/>
      <c r="H925" s="276"/>
      <c r="I925" s="276"/>
      <c r="J925" s="276"/>
      <c r="K925" s="276"/>
      <c r="L925" s="276"/>
      <c r="M925" s="276"/>
      <c r="N925" s="276"/>
      <c r="O925" s="276"/>
      <c r="P925" s="276"/>
      <c r="Q925" s="276"/>
      <c r="R925" s="276"/>
      <c r="S925" s="276"/>
      <c r="T925" s="276"/>
      <c r="U925" s="276"/>
      <c r="V925" s="276"/>
      <c r="W925" s="276"/>
      <c r="X925" s="276"/>
      <c r="Y925" s="276"/>
      <c r="Z925" s="276"/>
    </row>
    <row r="926" spans="1:26" ht="18.75" customHeight="1">
      <c r="A926" s="276"/>
      <c r="B926" s="276"/>
      <c r="C926" s="276"/>
      <c r="D926" s="276"/>
      <c r="E926" s="276"/>
      <c r="F926" s="276"/>
      <c r="G926" s="276"/>
      <c r="H926" s="276"/>
      <c r="I926" s="276"/>
      <c r="J926" s="276"/>
      <c r="K926" s="276"/>
      <c r="L926" s="276"/>
      <c r="M926" s="276"/>
      <c r="N926" s="276"/>
      <c r="O926" s="276"/>
      <c r="P926" s="276"/>
      <c r="Q926" s="276"/>
      <c r="R926" s="276"/>
      <c r="S926" s="276"/>
      <c r="T926" s="276"/>
      <c r="U926" s="276"/>
      <c r="V926" s="276"/>
      <c r="W926" s="276"/>
      <c r="X926" s="276"/>
      <c r="Y926" s="276"/>
      <c r="Z926" s="276"/>
    </row>
    <row r="927" spans="1:26" ht="18.75" customHeight="1">
      <c r="A927" s="276"/>
      <c r="B927" s="276"/>
      <c r="C927" s="276"/>
      <c r="D927" s="276"/>
      <c r="E927" s="276"/>
      <c r="F927" s="276"/>
      <c r="G927" s="276"/>
      <c r="H927" s="276"/>
      <c r="I927" s="276"/>
      <c r="J927" s="276"/>
      <c r="K927" s="276"/>
      <c r="L927" s="276"/>
      <c r="M927" s="276"/>
      <c r="N927" s="276"/>
      <c r="O927" s="276"/>
      <c r="P927" s="276"/>
      <c r="Q927" s="276"/>
      <c r="R927" s="276"/>
      <c r="S927" s="276"/>
      <c r="T927" s="276"/>
      <c r="U927" s="276"/>
      <c r="V927" s="276"/>
      <c r="W927" s="276"/>
      <c r="X927" s="276"/>
      <c r="Y927" s="276"/>
      <c r="Z927" s="276"/>
    </row>
    <row r="928" spans="1:26" ht="18.75" customHeight="1">
      <c r="A928" s="276"/>
      <c r="B928" s="276"/>
      <c r="C928" s="276"/>
      <c r="D928" s="276"/>
      <c r="E928" s="276"/>
      <c r="F928" s="276"/>
      <c r="G928" s="276"/>
      <c r="H928" s="276"/>
      <c r="I928" s="276"/>
      <c r="J928" s="276"/>
      <c r="K928" s="276"/>
      <c r="L928" s="276"/>
      <c r="M928" s="276"/>
      <c r="N928" s="276"/>
      <c r="O928" s="276"/>
      <c r="P928" s="276"/>
      <c r="Q928" s="276"/>
      <c r="R928" s="276"/>
      <c r="S928" s="276"/>
      <c r="T928" s="276"/>
      <c r="U928" s="276"/>
      <c r="V928" s="276"/>
      <c r="W928" s="276"/>
      <c r="X928" s="276"/>
      <c r="Y928" s="276"/>
      <c r="Z928" s="276"/>
    </row>
    <row r="929" spans="1:26" ht="18.75" customHeight="1">
      <c r="A929" s="276"/>
      <c r="B929" s="276"/>
      <c r="C929" s="276"/>
      <c r="D929" s="276"/>
      <c r="E929" s="276"/>
      <c r="F929" s="276"/>
      <c r="G929" s="276"/>
      <c r="H929" s="276"/>
      <c r="I929" s="276"/>
      <c r="J929" s="276"/>
      <c r="K929" s="276"/>
      <c r="L929" s="276"/>
      <c r="M929" s="276"/>
      <c r="N929" s="276"/>
      <c r="O929" s="276"/>
      <c r="P929" s="276"/>
      <c r="Q929" s="276"/>
      <c r="R929" s="276"/>
      <c r="S929" s="276"/>
      <c r="T929" s="276"/>
      <c r="U929" s="276"/>
      <c r="V929" s="276"/>
      <c r="W929" s="276"/>
      <c r="X929" s="276"/>
      <c r="Y929" s="276"/>
      <c r="Z929" s="276"/>
    </row>
    <row r="930" spans="1:26" ht="18.75" customHeight="1">
      <c r="A930" s="276"/>
      <c r="B930" s="276"/>
      <c r="C930" s="276"/>
      <c r="D930" s="276"/>
      <c r="E930" s="276"/>
      <c r="F930" s="276"/>
      <c r="G930" s="276"/>
      <c r="H930" s="276"/>
      <c r="I930" s="276"/>
      <c r="J930" s="276"/>
      <c r="K930" s="276"/>
      <c r="L930" s="276"/>
      <c r="M930" s="276"/>
      <c r="N930" s="276"/>
      <c r="O930" s="276"/>
      <c r="P930" s="276"/>
      <c r="Q930" s="276"/>
      <c r="R930" s="276"/>
      <c r="S930" s="276"/>
      <c r="T930" s="276"/>
      <c r="U930" s="276"/>
      <c r="V930" s="276"/>
      <c r="W930" s="276"/>
      <c r="X930" s="276"/>
      <c r="Y930" s="276"/>
      <c r="Z930" s="276"/>
    </row>
    <row r="931" spans="1:26" ht="18.75" customHeight="1">
      <c r="A931" s="276"/>
      <c r="B931" s="276"/>
      <c r="C931" s="276"/>
      <c r="D931" s="276"/>
      <c r="E931" s="276"/>
      <c r="F931" s="276"/>
      <c r="G931" s="276"/>
      <c r="H931" s="276"/>
      <c r="I931" s="276"/>
      <c r="J931" s="276"/>
      <c r="K931" s="276"/>
      <c r="L931" s="276"/>
      <c r="M931" s="276"/>
      <c r="N931" s="276"/>
      <c r="O931" s="276"/>
      <c r="P931" s="276"/>
      <c r="Q931" s="276"/>
      <c r="R931" s="276"/>
      <c r="S931" s="276"/>
      <c r="T931" s="276"/>
      <c r="U931" s="276"/>
      <c r="V931" s="276"/>
      <c r="W931" s="276"/>
      <c r="X931" s="276"/>
      <c r="Y931" s="276"/>
      <c r="Z931" s="276"/>
    </row>
    <row r="932" spans="1:26" ht="18.75" customHeight="1">
      <c r="A932" s="276"/>
      <c r="B932" s="276"/>
      <c r="C932" s="276"/>
      <c r="D932" s="276"/>
      <c r="E932" s="276"/>
      <c r="F932" s="276"/>
      <c r="G932" s="276"/>
      <c r="H932" s="276"/>
      <c r="I932" s="276"/>
      <c r="J932" s="276"/>
      <c r="K932" s="276"/>
      <c r="L932" s="276"/>
      <c r="M932" s="276"/>
      <c r="N932" s="276"/>
      <c r="O932" s="276"/>
      <c r="P932" s="276"/>
      <c r="Q932" s="276"/>
      <c r="R932" s="276"/>
      <c r="S932" s="276"/>
      <c r="T932" s="276"/>
      <c r="U932" s="276"/>
      <c r="V932" s="276"/>
      <c r="W932" s="276"/>
      <c r="X932" s="276"/>
      <c r="Y932" s="276"/>
      <c r="Z932" s="276"/>
    </row>
    <row r="933" spans="1:26" ht="18.75" customHeight="1">
      <c r="A933" s="276"/>
      <c r="B933" s="276"/>
      <c r="C933" s="276"/>
      <c r="D933" s="276"/>
      <c r="E933" s="276"/>
      <c r="F933" s="276"/>
      <c r="G933" s="276"/>
      <c r="H933" s="276"/>
      <c r="I933" s="276"/>
      <c r="J933" s="276"/>
      <c r="K933" s="276"/>
      <c r="L933" s="276"/>
      <c r="M933" s="276"/>
      <c r="N933" s="276"/>
      <c r="O933" s="276"/>
      <c r="P933" s="276"/>
      <c r="Q933" s="276"/>
      <c r="R933" s="276"/>
      <c r="S933" s="276"/>
      <c r="T933" s="276"/>
      <c r="U933" s="276"/>
      <c r="V933" s="276"/>
      <c r="W933" s="276"/>
      <c r="X933" s="276"/>
      <c r="Y933" s="276"/>
      <c r="Z933" s="276"/>
    </row>
    <row r="934" spans="1:26" ht="18.75" customHeight="1">
      <c r="A934" s="276"/>
      <c r="B934" s="276"/>
      <c r="C934" s="276"/>
      <c r="D934" s="276"/>
      <c r="E934" s="276"/>
      <c r="F934" s="276"/>
      <c r="G934" s="276"/>
      <c r="H934" s="276"/>
      <c r="I934" s="276"/>
      <c r="J934" s="276"/>
      <c r="K934" s="276"/>
      <c r="L934" s="276"/>
      <c r="M934" s="276"/>
      <c r="N934" s="276"/>
      <c r="O934" s="276"/>
      <c r="P934" s="276"/>
      <c r="Q934" s="276"/>
      <c r="R934" s="276"/>
      <c r="S934" s="276"/>
      <c r="T934" s="276"/>
      <c r="U934" s="276"/>
      <c r="V934" s="276"/>
      <c r="W934" s="276"/>
      <c r="X934" s="276"/>
      <c r="Y934" s="276"/>
      <c r="Z934" s="276"/>
    </row>
    <row r="935" spans="1:26" ht="18.75" customHeight="1">
      <c r="A935" s="276"/>
      <c r="B935" s="276"/>
      <c r="C935" s="276"/>
      <c r="D935" s="276"/>
      <c r="E935" s="276"/>
      <c r="F935" s="276"/>
      <c r="G935" s="276"/>
      <c r="H935" s="276"/>
      <c r="I935" s="276"/>
      <c r="J935" s="276"/>
      <c r="K935" s="276"/>
      <c r="L935" s="276"/>
      <c r="M935" s="276"/>
      <c r="N935" s="276"/>
      <c r="O935" s="276"/>
      <c r="P935" s="276"/>
      <c r="Q935" s="276"/>
      <c r="R935" s="276"/>
      <c r="S935" s="276"/>
      <c r="T935" s="276"/>
      <c r="U935" s="276"/>
      <c r="V935" s="276"/>
      <c r="W935" s="276"/>
      <c r="X935" s="276"/>
      <c r="Y935" s="276"/>
      <c r="Z935" s="276"/>
    </row>
    <row r="936" spans="1:26" ht="18.75" customHeight="1">
      <c r="A936" s="276"/>
      <c r="B936" s="276"/>
      <c r="C936" s="276"/>
      <c r="D936" s="276"/>
      <c r="E936" s="276"/>
      <c r="F936" s="276"/>
      <c r="G936" s="276"/>
      <c r="H936" s="276"/>
      <c r="I936" s="276"/>
      <c r="J936" s="276"/>
      <c r="K936" s="276"/>
      <c r="L936" s="276"/>
      <c r="M936" s="276"/>
      <c r="N936" s="276"/>
      <c r="O936" s="276"/>
      <c r="P936" s="276"/>
      <c r="Q936" s="276"/>
      <c r="R936" s="276"/>
      <c r="S936" s="276"/>
      <c r="T936" s="276"/>
      <c r="U936" s="276"/>
      <c r="V936" s="276"/>
      <c r="W936" s="276"/>
      <c r="X936" s="276"/>
      <c r="Y936" s="276"/>
      <c r="Z936" s="276"/>
    </row>
    <row r="937" spans="1:26" ht="18.75" customHeight="1">
      <c r="A937" s="276"/>
      <c r="B937" s="276"/>
      <c r="C937" s="276"/>
      <c r="D937" s="276"/>
      <c r="E937" s="276"/>
      <c r="F937" s="276"/>
      <c r="G937" s="276"/>
      <c r="H937" s="276"/>
      <c r="I937" s="276"/>
      <c r="J937" s="276"/>
      <c r="K937" s="276"/>
      <c r="L937" s="276"/>
      <c r="M937" s="276"/>
      <c r="N937" s="276"/>
      <c r="O937" s="276"/>
      <c r="P937" s="276"/>
      <c r="Q937" s="276"/>
      <c r="R937" s="276"/>
      <c r="S937" s="276"/>
      <c r="T937" s="276"/>
      <c r="U937" s="276"/>
      <c r="V937" s="276"/>
      <c r="W937" s="276"/>
      <c r="X937" s="276"/>
      <c r="Y937" s="276"/>
      <c r="Z937" s="276"/>
    </row>
    <row r="938" spans="1:26" ht="18.75" customHeight="1">
      <c r="A938" s="276"/>
      <c r="B938" s="276"/>
      <c r="C938" s="276"/>
      <c r="D938" s="276"/>
      <c r="E938" s="276"/>
      <c r="F938" s="276"/>
      <c r="G938" s="276"/>
      <c r="H938" s="276"/>
      <c r="I938" s="276"/>
      <c r="J938" s="276"/>
      <c r="K938" s="276"/>
      <c r="L938" s="276"/>
      <c r="M938" s="276"/>
      <c r="N938" s="276"/>
      <c r="O938" s="276"/>
      <c r="P938" s="276"/>
      <c r="Q938" s="276"/>
      <c r="R938" s="276"/>
      <c r="S938" s="276"/>
      <c r="T938" s="276"/>
      <c r="U938" s="276"/>
      <c r="V938" s="276"/>
      <c r="W938" s="276"/>
      <c r="X938" s="276"/>
      <c r="Y938" s="276"/>
      <c r="Z938" s="276"/>
    </row>
    <row r="939" spans="1:26" ht="18.75" customHeight="1">
      <c r="A939" s="276"/>
      <c r="B939" s="276"/>
      <c r="C939" s="276"/>
      <c r="D939" s="276"/>
      <c r="E939" s="276"/>
      <c r="F939" s="276"/>
      <c r="G939" s="276"/>
      <c r="H939" s="276"/>
      <c r="I939" s="276"/>
      <c r="J939" s="276"/>
      <c r="K939" s="276"/>
      <c r="L939" s="276"/>
      <c r="M939" s="276"/>
      <c r="N939" s="276"/>
      <c r="O939" s="276"/>
      <c r="P939" s="276"/>
      <c r="Q939" s="276"/>
      <c r="R939" s="276"/>
      <c r="S939" s="276"/>
      <c r="T939" s="276"/>
      <c r="U939" s="276"/>
      <c r="V939" s="276"/>
      <c r="W939" s="276"/>
      <c r="X939" s="276"/>
      <c r="Y939" s="276"/>
      <c r="Z939" s="276"/>
    </row>
    <row r="940" spans="1:26" ht="18.75" customHeight="1">
      <c r="A940" s="276"/>
      <c r="B940" s="276"/>
      <c r="C940" s="276"/>
      <c r="D940" s="276"/>
      <c r="E940" s="276"/>
      <c r="F940" s="276"/>
      <c r="G940" s="276"/>
      <c r="H940" s="276"/>
      <c r="I940" s="276"/>
      <c r="J940" s="276"/>
      <c r="K940" s="276"/>
      <c r="L940" s="276"/>
      <c r="M940" s="276"/>
      <c r="N940" s="276"/>
      <c r="O940" s="276"/>
      <c r="P940" s="276"/>
      <c r="Q940" s="276"/>
      <c r="R940" s="276"/>
      <c r="S940" s="276"/>
      <c r="T940" s="276"/>
      <c r="U940" s="276"/>
      <c r="V940" s="276"/>
      <c r="W940" s="276"/>
      <c r="X940" s="276"/>
      <c r="Y940" s="276"/>
      <c r="Z940" s="276"/>
    </row>
    <row r="941" spans="1:26" ht="18.75" customHeight="1">
      <c r="A941" s="276"/>
      <c r="B941" s="276"/>
      <c r="C941" s="276"/>
      <c r="D941" s="276"/>
      <c r="E941" s="276"/>
      <c r="F941" s="276"/>
      <c r="G941" s="276"/>
      <c r="H941" s="276"/>
      <c r="I941" s="276"/>
      <c r="J941" s="276"/>
      <c r="K941" s="276"/>
      <c r="L941" s="276"/>
      <c r="M941" s="276"/>
      <c r="N941" s="276"/>
      <c r="O941" s="276"/>
      <c r="P941" s="276"/>
      <c r="Q941" s="276"/>
      <c r="R941" s="276"/>
      <c r="S941" s="276"/>
      <c r="T941" s="276"/>
      <c r="U941" s="276"/>
      <c r="V941" s="276"/>
      <c r="W941" s="276"/>
      <c r="X941" s="276"/>
      <c r="Y941" s="276"/>
      <c r="Z941" s="276"/>
    </row>
    <row r="942" spans="1:26" ht="18.75" customHeight="1">
      <c r="A942" s="276"/>
      <c r="B942" s="276"/>
      <c r="C942" s="276"/>
      <c r="D942" s="276"/>
      <c r="E942" s="276"/>
      <c r="F942" s="276"/>
      <c r="G942" s="276"/>
      <c r="H942" s="276"/>
      <c r="I942" s="276"/>
      <c r="J942" s="276"/>
      <c r="K942" s="276"/>
      <c r="L942" s="276"/>
      <c r="M942" s="276"/>
      <c r="N942" s="276"/>
      <c r="O942" s="276"/>
      <c r="P942" s="276"/>
      <c r="Q942" s="276"/>
      <c r="R942" s="276"/>
      <c r="S942" s="276"/>
      <c r="T942" s="276"/>
      <c r="U942" s="276"/>
      <c r="V942" s="276"/>
      <c r="W942" s="276"/>
      <c r="X942" s="276"/>
      <c r="Y942" s="276"/>
      <c r="Z942" s="276"/>
    </row>
    <row r="943" spans="1:26" ht="18.75" customHeight="1">
      <c r="A943" s="276"/>
      <c r="B943" s="276"/>
      <c r="C943" s="276"/>
      <c r="D943" s="276"/>
      <c r="E943" s="276"/>
      <c r="F943" s="276"/>
      <c r="G943" s="276"/>
      <c r="H943" s="276"/>
      <c r="I943" s="276"/>
      <c r="J943" s="276"/>
      <c r="K943" s="276"/>
      <c r="L943" s="276"/>
      <c r="M943" s="276"/>
      <c r="N943" s="276"/>
      <c r="O943" s="276"/>
      <c r="P943" s="276"/>
      <c r="Q943" s="276"/>
      <c r="R943" s="276"/>
      <c r="S943" s="276"/>
      <c r="T943" s="276"/>
      <c r="U943" s="276"/>
      <c r="V943" s="276"/>
      <c r="W943" s="276"/>
      <c r="X943" s="276"/>
      <c r="Y943" s="276"/>
      <c r="Z943" s="276"/>
    </row>
    <row r="944" spans="1:26" ht="18.75" customHeight="1">
      <c r="A944" s="276"/>
      <c r="B944" s="276"/>
      <c r="C944" s="276"/>
      <c r="D944" s="276"/>
      <c r="E944" s="276"/>
      <c r="F944" s="276"/>
      <c r="G944" s="276"/>
      <c r="H944" s="276"/>
      <c r="I944" s="276"/>
      <c r="J944" s="276"/>
      <c r="K944" s="276"/>
      <c r="L944" s="276"/>
      <c r="M944" s="276"/>
      <c r="N944" s="276"/>
      <c r="O944" s="276"/>
      <c r="P944" s="276"/>
      <c r="Q944" s="276"/>
      <c r="R944" s="276"/>
      <c r="S944" s="276"/>
      <c r="T944" s="276"/>
      <c r="U944" s="276"/>
      <c r="V944" s="276"/>
      <c r="W944" s="276"/>
      <c r="X944" s="276"/>
      <c r="Y944" s="276"/>
      <c r="Z944" s="276"/>
    </row>
    <row r="945" spans="1:26" ht="18.75" customHeight="1">
      <c r="A945" s="276"/>
      <c r="B945" s="276"/>
      <c r="C945" s="276"/>
      <c r="D945" s="276"/>
      <c r="E945" s="276"/>
      <c r="F945" s="276"/>
      <c r="G945" s="276"/>
      <c r="H945" s="276"/>
      <c r="I945" s="276"/>
      <c r="J945" s="276"/>
      <c r="K945" s="276"/>
      <c r="L945" s="276"/>
      <c r="M945" s="276"/>
      <c r="N945" s="276"/>
      <c r="O945" s="276"/>
      <c r="P945" s="276"/>
      <c r="Q945" s="276"/>
      <c r="R945" s="276"/>
      <c r="S945" s="276"/>
      <c r="T945" s="276"/>
      <c r="U945" s="276"/>
      <c r="V945" s="276"/>
      <c r="W945" s="276"/>
      <c r="X945" s="276"/>
      <c r="Y945" s="276"/>
      <c r="Z945" s="276"/>
    </row>
    <row r="946" spans="1:26" ht="18.75" customHeight="1">
      <c r="A946" s="276"/>
      <c r="B946" s="276"/>
      <c r="C946" s="276"/>
      <c r="D946" s="276"/>
      <c r="E946" s="276"/>
      <c r="F946" s="276"/>
      <c r="G946" s="276"/>
      <c r="H946" s="276"/>
      <c r="I946" s="276"/>
      <c r="J946" s="276"/>
      <c r="K946" s="276"/>
      <c r="L946" s="276"/>
      <c r="M946" s="276"/>
      <c r="N946" s="276"/>
      <c r="O946" s="276"/>
      <c r="P946" s="276"/>
      <c r="Q946" s="276"/>
      <c r="R946" s="276"/>
      <c r="S946" s="276"/>
      <c r="T946" s="276"/>
      <c r="U946" s="276"/>
      <c r="V946" s="276"/>
      <c r="W946" s="276"/>
      <c r="X946" s="276"/>
      <c r="Y946" s="276"/>
      <c r="Z946" s="276"/>
    </row>
    <row r="947" spans="1:26" ht="18.75" customHeight="1">
      <c r="A947" s="276"/>
      <c r="B947" s="276"/>
      <c r="C947" s="276"/>
      <c r="D947" s="276"/>
      <c r="E947" s="276"/>
      <c r="F947" s="276"/>
      <c r="G947" s="276"/>
      <c r="H947" s="276"/>
      <c r="I947" s="276"/>
      <c r="J947" s="276"/>
      <c r="K947" s="276"/>
      <c r="L947" s="276"/>
      <c r="M947" s="276"/>
      <c r="N947" s="276"/>
      <c r="O947" s="276"/>
      <c r="P947" s="276"/>
      <c r="Q947" s="276"/>
      <c r="R947" s="276"/>
      <c r="S947" s="276"/>
      <c r="T947" s="276"/>
      <c r="U947" s="276"/>
      <c r="V947" s="276"/>
      <c r="W947" s="276"/>
      <c r="X947" s="276"/>
      <c r="Y947" s="276"/>
      <c r="Z947" s="276"/>
    </row>
    <row r="948" spans="1:26" ht="18.75" customHeight="1">
      <c r="A948" s="276"/>
      <c r="B948" s="276"/>
      <c r="C948" s="276"/>
      <c r="D948" s="276"/>
      <c r="E948" s="276"/>
      <c r="F948" s="276"/>
      <c r="G948" s="276"/>
      <c r="H948" s="276"/>
      <c r="I948" s="276"/>
      <c r="J948" s="276"/>
      <c r="K948" s="276"/>
      <c r="L948" s="276"/>
      <c r="M948" s="276"/>
      <c r="N948" s="276"/>
      <c r="O948" s="276"/>
      <c r="P948" s="276"/>
      <c r="Q948" s="276"/>
      <c r="R948" s="276"/>
      <c r="S948" s="276"/>
      <c r="T948" s="276"/>
      <c r="U948" s="276"/>
      <c r="V948" s="276"/>
      <c r="W948" s="276"/>
      <c r="X948" s="276"/>
      <c r="Y948" s="276"/>
      <c r="Z948" s="276"/>
    </row>
    <row r="949" spans="1:26" ht="18.75" customHeight="1">
      <c r="A949" s="276"/>
      <c r="B949" s="276"/>
      <c r="C949" s="276"/>
      <c r="D949" s="276"/>
      <c r="E949" s="276"/>
      <c r="F949" s="276"/>
      <c r="G949" s="276"/>
      <c r="H949" s="276"/>
      <c r="I949" s="276"/>
      <c r="J949" s="276"/>
      <c r="K949" s="276"/>
      <c r="L949" s="276"/>
      <c r="M949" s="276"/>
      <c r="N949" s="276"/>
      <c r="O949" s="276"/>
      <c r="P949" s="276"/>
      <c r="Q949" s="276"/>
      <c r="R949" s="276"/>
      <c r="S949" s="276"/>
      <c r="T949" s="276"/>
      <c r="U949" s="276"/>
      <c r="V949" s="276"/>
      <c r="W949" s="276"/>
      <c r="X949" s="276"/>
      <c r="Y949" s="276"/>
      <c r="Z949" s="276"/>
    </row>
    <row r="950" spans="1:26" ht="18.75" customHeight="1">
      <c r="A950" s="276"/>
      <c r="B950" s="276"/>
      <c r="C950" s="276"/>
      <c r="D950" s="276"/>
      <c r="E950" s="276"/>
      <c r="F950" s="276"/>
      <c r="G950" s="276"/>
      <c r="H950" s="276"/>
      <c r="I950" s="276"/>
      <c r="J950" s="276"/>
      <c r="K950" s="276"/>
      <c r="L950" s="276"/>
      <c r="M950" s="276"/>
      <c r="N950" s="276"/>
      <c r="O950" s="276"/>
      <c r="P950" s="276"/>
      <c r="Q950" s="276"/>
      <c r="R950" s="276"/>
      <c r="S950" s="276"/>
      <c r="T950" s="276"/>
      <c r="U950" s="276"/>
      <c r="V950" s="276"/>
      <c r="W950" s="276"/>
      <c r="X950" s="276"/>
      <c r="Y950" s="276"/>
      <c r="Z950" s="276"/>
    </row>
    <row r="951" spans="1:26" ht="18.75" customHeight="1">
      <c r="A951" s="276"/>
      <c r="B951" s="276"/>
      <c r="C951" s="276"/>
      <c r="D951" s="276"/>
      <c r="E951" s="276"/>
      <c r="F951" s="276"/>
      <c r="G951" s="276"/>
      <c r="H951" s="276"/>
      <c r="I951" s="276"/>
      <c r="J951" s="276"/>
      <c r="K951" s="276"/>
      <c r="L951" s="276"/>
      <c r="M951" s="276"/>
      <c r="N951" s="276"/>
      <c r="O951" s="276"/>
      <c r="P951" s="276"/>
      <c r="Q951" s="276"/>
      <c r="R951" s="276"/>
      <c r="S951" s="276"/>
      <c r="T951" s="276"/>
      <c r="U951" s="276"/>
      <c r="V951" s="276"/>
      <c r="W951" s="276"/>
      <c r="X951" s="276"/>
      <c r="Y951" s="276"/>
      <c r="Z951" s="276"/>
    </row>
    <row r="952" spans="1:26" ht="18.75" customHeight="1">
      <c r="A952" s="276"/>
      <c r="B952" s="276"/>
      <c r="C952" s="276"/>
      <c r="D952" s="276"/>
      <c r="E952" s="276"/>
      <c r="F952" s="276"/>
      <c r="G952" s="276"/>
      <c r="H952" s="276"/>
      <c r="I952" s="276"/>
      <c r="J952" s="276"/>
      <c r="K952" s="276"/>
      <c r="L952" s="276"/>
      <c r="M952" s="276"/>
      <c r="N952" s="276"/>
      <c r="O952" s="276"/>
      <c r="P952" s="276"/>
      <c r="Q952" s="276"/>
      <c r="R952" s="276"/>
      <c r="S952" s="276"/>
      <c r="T952" s="276"/>
      <c r="U952" s="276"/>
      <c r="V952" s="276"/>
      <c r="W952" s="276"/>
      <c r="X952" s="276"/>
      <c r="Y952" s="276"/>
      <c r="Z952" s="276"/>
    </row>
    <row r="953" spans="1:26" ht="18.75" customHeight="1">
      <c r="A953" s="276"/>
      <c r="B953" s="276"/>
      <c r="C953" s="276"/>
      <c r="D953" s="276"/>
      <c r="E953" s="276"/>
      <c r="F953" s="276"/>
      <c r="G953" s="276"/>
      <c r="H953" s="276"/>
      <c r="I953" s="276"/>
      <c r="J953" s="276"/>
      <c r="K953" s="276"/>
      <c r="L953" s="276"/>
      <c r="M953" s="276"/>
      <c r="N953" s="276"/>
      <c r="O953" s="276"/>
      <c r="P953" s="276"/>
      <c r="Q953" s="276"/>
      <c r="R953" s="276"/>
      <c r="S953" s="276"/>
      <c r="T953" s="276"/>
      <c r="U953" s="276"/>
      <c r="V953" s="276"/>
      <c r="W953" s="276"/>
      <c r="X953" s="276"/>
      <c r="Y953" s="276"/>
      <c r="Z953" s="276"/>
    </row>
    <row r="954" spans="1:26" ht="18.75" customHeight="1">
      <c r="A954" s="276"/>
      <c r="B954" s="276"/>
      <c r="C954" s="276"/>
      <c r="D954" s="276"/>
      <c r="E954" s="276"/>
      <c r="F954" s="276"/>
      <c r="G954" s="276"/>
      <c r="H954" s="276"/>
      <c r="I954" s="276"/>
      <c r="J954" s="276"/>
      <c r="K954" s="276"/>
      <c r="L954" s="276"/>
      <c r="M954" s="276"/>
      <c r="N954" s="276"/>
      <c r="O954" s="276"/>
      <c r="P954" s="276"/>
      <c r="Q954" s="276"/>
      <c r="R954" s="276"/>
      <c r="S954" s="276"/>
      <c r="T954" s="276"/>
      <c r="U954" s="276"/>
      <c r="V954" s="276"/>
      <c r="W954" s="276"/>
      <c r="X954" s="276"/>
      <c r="Y954" s="276"/>
      <c r="Z954" s="276"/>
    </row>
    <row r="955" spans="1:26" ht="18.75" customHeight="1">
      <c r="A955" s="276"/>
      <c r="B955" s="276"/>
      <c r="C955" s="276"/>
      <c r="D955" s="276"/>
      <c r="E955" s="276"/>
      <c r="F955" s="276"/>
      <c r="G955" s="276"/>
      <c r="H955" s="276"/>
      <c r="I955" s="276"/>
      <c r="J955" s="276"/>
      <c r="K955" s="276"/>
      <c r="L955" s="276"/>
      <c r="M955" s="276"/>
      <c r="N955" s="276"/>
      <c r="O955" s="276"/>
      <c r="P955" s="276"/>
      <c r="Q955" s="276"/>
      <c r="R955" s="276"/>
      <c r="S955" s="276"/>
      <c r="T955" s="276"/>
      <c r="U955" s="276"/>
      <c r="V955" s="276"/>
      <c r="W955" s="276"/>
      <c r="X955" s="276"/>
      <c r="Y955" s="276"/>
      <c r="Z955" s="276"/>
    </row>
    <row r="956" spans="1:26" ht="18.75" customHeight="1">
      <c r="A956" s="276"/>
      <c r="B956" s="276"/>
      <c r="C956" s="276"/>
      <c r="D956" s="276"/>
      <c r="E956" s="276"/>
      <c r="F956" s="276"/>
      <c r="G956" s="276"/>
      <c r="H956" s="276"/>
      <c r="I956" s="276"/>
      <c r="J956" s="276"/>
      <c r="K956" s="276"/>
      <c r="L956" s="276"/>
      <c r="M956" s="276"/>
      <c r="N956" s="276"/>
      <c r="O956" s="276"/>
      <c r="P956" s="276"/>
      <c r="Q956" s="276"/>
      <c r="R956" s="276"/>
      <c r="S956" s="276"/>
      <c r="T956" s="276"/>
      <c r="U956" s="276"/>
      <c r="V956" s="276"/>
      <c r="W956" s="276"/>
      <c r="X956" s="276"/>
      <c r="Y956" s="276"/>
      <c r="Z956" s="276"/>
    </row>
    <row r="957" spans="1:26" ht="18.75" customHeight="1">
      <c r="A957" s="276"/>
      <c r="B957" s="276"/>
      <c r="C957" s="276"/>
      <c r="D957" s="276"/>
      <c r="E957" s="276"/>
      <c r="F957" s="276"/>
      <c r="G957" s="276"/>
      <c r="H957" s="276"/>
      <c r="I957" s="276"/>
      <c r="J957" s="276"/>
      <c r="K957" s="276"/>
      <c r="L957" s="276"/>
      <c r="M957" s="276"/>
      <c r="N957" s="276"/>
      <c r="O957" s="276"/>
      <c r="P957" s="276"/>
      <c r="Q957" s="276"/>
      <c r="R957" s="276"/>
      <c r="S957" s="276"/>
      <c r="T957" s="276"/>
      <c r="U957" s="276"/>
      <c r="V957" s="276"/>
      <c r="W957" s="276"/>
      <c r="X957" s="276"/>
      <c r="Y957" s="276"/>
      <c r="Z957" s="276"/>
    </row>
    <row r="958" spans="1:26" ht="18.75" customHeight="1">
      <c r="A958" s="276"/>
      <c r="B958" s="276"/>
      <c r="C958" s="276"/>
      <c r="D958" s="276"/>
      <c r="E958" s="276"/>
      <c r="F958" s="276"/>
      <c r="G958" s="276"/>
      <c r="H958" s="276"/>
      <c r="I958" s="276"/>
      <c r="J958" s="276"/>
      <c r="K958" s="276"/>
      <c r="L958" s="276"/>
      <c r="M958" s="276"/>
      <c r="N958" s="276"/>
      <c r="O958" s="276"/>
      <c r="P958" s="276"/>
      <c r="Q958" s="276"/>
      <c r="R958" s="276"/>
      <c r="S958" s="276"/>
      <c r="T958" s="276"/>
      <c r="U958" s="276"/>
      <c r="V958" s="276"/>
      <c r="W958" s="276"/>
      <c r="X958" s="276"/>
      <c r="Y958" s="276"/>
      <c r="Z958" s="276"/>
    </row>
    <row r="959" spans="1:26" ht="18.75" customHeight="1">
      <c r="A959" s="276"/>
      <c r="B959" s="276"/>
      <c r="C959" s="276"/>
      <c r="D959" s="276"/>
      <c r="E959" s="276"/>
      <c r="F959" s="276"/>
      <c r="G959" s="276"/>
      <c r="H959" s="276"/>
      <c r="I959" s="276"/>
      <c r="J959" s="276"/>
      <c r="K959" s="276"/>
      <c r="L959" s="276"/>
      <c r="M959" s="276"/>
      <c r="N959" s="276"/>
      <c r="O959" s="276"/>
      <c r="P959" s="276"/>
      <c r="Q959" s="276"/>
      <c r="R959" s="276"/>
      <c r="S959" s="276"/>
      <c r="T959" s="276"/>
      <c r="U959" s="276"/>
      <c r="V959" s="276"/>
      <c r="W959" s="276"/>
      <c r="X959" s="276"/>
      <c r="Y959" s="276"/>
      <c r="Z959" s="276"/>
    </row>
    <row r="960" spans="1:26" ht="18.75" customHeight="1">
      <c r="A960" s="276"/>
      <c r="B960" s="276"/>
      <c r="C960" s="276"/>
      <c r="D960" s="276"/>
      <c r="E960" s="276"/>
      <c r="F960" s="276"/>
      <c r="G960" s="276"/>
      <c r="H960" s="276"/>
      <c r="I960" s="276"/>
      <c r="J960" s="276"/>
      <c r="K960" s="276"/>
      <c r="L960" s="276"/>
      <c r="M960" s="276"/>
      <c r="N960" s="276"/>
      <c r="O960" s="276"/>
      <c r="P960" s="276"/>
      <c r="Q960" s="276"/>
      <c r="R960" s="276"/>
      <c r="S960" s="276"/>
      <c r="T960" s="276"/>
      <c r="U960" s="276"/>
      <c r="V960" s="276"/>
      <c r="W960" s="276"/>
      <c r="X960" s="276"/>
      <c r="Y960" s="276"/>
      <c r="Z960" s="276"/>
    </row>
    <row r="961" spans="1:26" ht="18.75" customHeight="1">
      <c r="A961" s="276"/>
      <c r="B961" s="276"/>
      <c r="C961" s="276"/>
      <c r="D961" s="276"/>
      <c r="E961" s="276"/>
      <c r="F961" s="276"/>
      <c r="G961" s="276"/>
      <c r="H961" s="276"/>
      <c r="I961" s="276"/>
      <c r="J961" s="276"/>
      <c r="K961" s="276"/>
      <c r="L961" s="276"/>
      <c r="M961" s="276"/>
      <c r="N961" s="276"/>
      <c r="O961" s="276"/>
      <c r="P961" s="276"/>
      <c r="Q961" s="276"/>
      <c r="R961" s="276"/>
      <c r="S961" s="276"/>
      <c r="T961" s="276"/>
      <c r="U961" s="276"/>
      <c r="V961" s="276"/>
      <c r="W961" s="276"/>
      <c r="X961" s="276"/>
      <c r="Y961" s="276"/>
      <c r="Z961" s="276"/>
    </row>
    <row r="962" spans="1:26" ht="18.75" customHeight="1">
      <c r="A962" s="276"/>
      <c r="B962" s="276"/>
      <c r="C962" s="276"/>
      <c r="D962" s="276"/>
      <c r="E962" s="276"/>
      <c r="F962" s="276"/>
      <c r="G962" s="276"/>
      <c r="H962" s="276"/>
      <c r="I962" s="276"/>
      <c r="J962" s="276"/>
      <c r="K962" s="276"/>
      <c r="L962" s="276"/>
      <c r="M962" s="276"/>
      <c r="N962" s="276"/>
      <c r="O962" s="276"/>
      <c r="P962" s="276"/>
      <c r="Q962" s="276"/>
      <c r="R962" s="276"/>
      <c r="S962" s="276"/>
      <c r="T962" s="276"/>
      <c r="U962" s="276"/>
      <c r="V962" s="276"/>
      <c r="W962" s="276"/>
      <c r="X962" s="276"/>
      <c r="Y962" s="276"/>
      <c r="Z962" s="276"/>
    </row>
    <row r="963" spans="1:26" ht="18.75" customHeight="1">
      <c r="A963" s="276"/>
      <c r="B963" s="276"/>
      <c r="C963" s="276"/>
      <c r="D963" s="276"/>
      <c r="E963" s="276"/>
      <c r="F963" s="276"/>
      <c r="G963" s="276"/>
      <c r="H963" s="276"/>
      <c r="I963" s="276"/>
      <c r="J963" s="276"/>
      <c r="K963" s="276"/>
      <c r="L963" s="276"/>
      <c r="M963" s="276"/>
      <c r="N963" s="276"/>
      <c r="O963" s="276"/>
      <c r="P963" s="276"/>
      <c r="Q963" s="276"/>
      <c r="R963" s="276"/>
      <c r="S963" s="276"/>
      <c r="T963" s="276"/>
      <c r="U963" s="276"/>
      <c r="V963" s="276"/>
      <c r="W963" s="276"/>
      <c r="X963" s="276"/>
      <c r="Y963" s="276"/>
      <c r="Z963" s="276"/>
    </row>
    <row r="964" spans="1:26" ht="18.75" customHeight="1">
      <c r="A964" s="276"/>
      <c r="B964" s="276"/>
      <c r="C964" s="276"/>
      <c r="D964" s="276"/>
      <c r="E964" s="276"/>
      <c r="F964" s="276"/>
      <c r="G964" s="276"/>
      <c r="H964" s="276"/>
      <c r="I964" s="276"/>
      <c r="J964" s="276"/>
      <c r="K964" s="276"/>
      <c r="L964" s="276"/>
      <c r="M964" s="276"/>
      <c r="N964" s="276"/>
      <c r="O964" s="276"/>
      <c r="P964" s="276"/>
      <c r="Q964" s="276"/>
      <c r="R964" s="276"/>
      <c r="S964" s="276"/>
      <c r="T964" s="276"/>
      <c r="U964" s="276"/>
      <c r="V964" s="276"/>
      <c r="W964" s="276"/>
      <c r="X964" s="276"/>
      <c r="Y964" s="276"/>
      <c r="Z964" s="276"/>
    </row>
    <row r="965" spans="1:26" ht="18.75" customHeight="1">
      <c r="A965" s="276"/>
      <c r="B965" s="276"/>
      <c r="C965" s="276"/>
      <c r="D965" s="276"/>
      <c r="E965" s="276"/>
      <c r="F965" s="276"/>
      <c r="G965" s="276"/>
      <c r="H965" s="276"/>
      <c r="I965" s="276"/>
      <c r="J965" s="276"/>
      <c r="K965" s="276"/>
      <c r="L965" s="276"/>
      <c r="M965" s="276"/>
      <c r="N965" s="276"/>
      <c r="O965" s="276"/>
      <c r="P965" s="276"/>
      <c r="Q965" s="276"/>
      <c r="R965" s="276"/>
      <c r="S965" s="276"/>
      <c r="T965" s="276"/>
      <c r="U965" s="276"/>
      <c r="V965" s="276"/>
      <c r="W965" s="276"/>
      <c r="X965" s="276"/>
      <c r="Y965" s="276"/>
      <c r="Z965" s="276"/>
    </row>
    <row r="966" spans="1:26" ht="18.75" customHeight="1">
      <c r="A966" s="276"/>
      <c r="B966" s="276"/>
      <c r="C966" s="276"/>
      <c r="D966" s="276"/>
      <c r="E966" s="276"/>
      <c r="F966" s="276"/>
      <c r="G966" s="276"/>
      <c r="H966" s="276"/>
      <c r="I966" s="276"/>
      <c r="J966" s="276"/>
      <c r="K966" s="276"/>
      <c r="L966" s="276"/>
      <c r="M966" s="276"/>
      <c r="N966" s="276"/>
      <c r="O966" s="276"/>
      <c r="P966" s="276"/>
      <c r="Q966" s="276"/>
      <c r="R966" s="276"/>
      <c r="S966" s="276"/>
      <c r="T966" s="276"/>
      <c r="U966" s="276"/>
      <c r="V966" s="276"/>
      <c r="W966" s="276"/>
      <c r="X966" s="276"/>
      <c r="Y966" s="276"/>
      <c r="Z966" s="276"/>
    </row>
    <row r="967" spans="1:26" ht="18.75" customHeight="1">
      <c r="A967" s="276"/>
      <c r="B967" s="276"/>
      <c r="C967" s="276"/>
      <c r="D967" s="276"/>
      <c r="E967" s="276"/>
      <c r="F967" s="276"/>
      <c r="G967" s="276"/>
      <c r="H967" s="276"/>
      <c r="I967" s="276"/>
      <c r="J967" s="276"/>
      <c r="K967" s="276"/>
      <c r="L967" s="276"/>
      <c r="M967" s="276"/>
      <c r="N967" s="276"/>
      <c r="O967" s="276"/>
      <c r="P967" s="276"/>
      <c r="Q967" s="276"/>
      <c r="R967" s="276"/>
      <c r="S967" s="276"/>
      <c r="T967" s="276"/>
      <c r="U967" s="276"/>
      <c r="V967" s="276"/>
      <c r="W967" s="276"/>
      <c r="X967" s="276"/>
      <c r="Y967" s="276"/>
      <c r="Z967" s="276"/>
    </row>
    <row r="968" spans="1:26" ht="18.75" customHeight="1">
      <c r="A968" s="276"/>
      <c r="B968" s="276"/>
      <c r="C968" s="276"/>
      <c r="D968" s="276"/>
      <c r="E968" s="276"/>
      <c r="F968" s="276"/>
      <c r="G968" s="276"/>
      <c r="H968" s="276"/>
      <c r="I968" s="276"/>
      <c r="J968" s="276"/>
      <c r="K968" s="276"/>
      <c r="L968" s="276"/>
      <c r="M968" s="276"/>
      <c r="N968" s="276"/>
      <c r="O968" s="276"/>
      <c r="P968" s="276"/>
      <c r="Q968" s="276"/>
      <c r="R968" s="276"/>
      <c r="S968" s="276"/>
      <c r="T968" s="276"/>
      <c r="U968" s="276"/>
      <c r="V968" s="276"/>
      <c r="W968" s="276"/>
      <c r="X968" s="276"/>
      <c r="Y968" s="276"/>
      <c r="Z968" s="276"/>
    </row>
    <row r="969" spans="1:26" ht="18.75" customHeight="1">
      <c r="A969" s="276"/>
      <c r="B969" s="276"/>
      <c r="C969" s="276"/>
      <c r="D969" s="276"/>
      <c r="E969" s="276"/>
      <c r="F969" s="276"/>
      <c r="G969" s="276"/>
      <c r="H969" s="276"/>
      <c r="I969" s="276"/>
      <c r="J969" s="276"/>
      <c r="K969" s="276"/>
      <c r="L969" s="276"/>
      <c r="M969" s="276"/>
      <c r="N969" s="276"/>
      <c r="O969" s="276"/>
      <c r="P969" s="276"/>
      <c r="Q969" s="276"/>
      <c r="R969" s="276"/>
      <c r="S969" s="276"/>
      <c r="T969" s="276"/>
      <c r="U969" s="276"/>
      <c r="V969" s="276"/>
      <c r="W969" s="276"/>
      <c r="X969" s="276"/>
      <c r="Y969" s="276"/>
      <c r="Z969" s="276"/>
    </row>
    <row r="970" spans="1:26" ht="18.75" customHeight="1">
      <c r="A970" s="276"/>
      <c r="B970" s="276"/>
      <c r="C970" s="276"/>
      <c r="D970" s="276"/>
      <c r="E970" s="276"/>
      <c r="F970" s="276"/>
      <c r="G970" s="276"/>
      <c r="H970" s="276"/>
      <c r="I970" s="276"/>
      <c r="J970" s="276"/>
      <c r="K970" s="276"/>
      <c r="L970" s="276"/>
      <c r="M970" s="276"/>
      <c r="N970" s="276"/>
      <c r="O970" s="276"/>
      <c r="P970" s="276"/>
      <c r="Q970" s="276"/>
      <c r="R970" s="276"/>
      <c r="S970" s="276"/>
      <c r="T970" s="276"/>
      <c r="U970" s="276"/>
      <c r="V970" s="276"/>
      <c r="W970" s="276"/>
      <c r="X970" s="276"/>
      <c r="Y970" s="276"/>
      <c r="Z970" s="276"/>
    </row>
    <row r="971" spans="1:26" ht="18.75" customHeight="1">
      <c r="A971" s="276"/>
      <c r="B971" s="276"/>
      <c r="C971" s="276"/>
      <c r="D971" s="276"/>
      <c r="E971" s="276"/>
      <c r="F971" s="276"/>
      <c r="G971" s="276"/>
      <c r="H971" s="276"/>
      <c r="I971" s="276"/>
      <c r="J971" s="276"/>
      <c r="K971" s="276"/>
      <c r="L971" s="276"/>
      <c r="M971" s="276"/>
      <c r="N971" s="276"/>
      <c r="O971" s="276"/>
      <c r="P971" s="276"/>
      <c r="Q971" s="276"/>
      <c r="R971" s="276"/>
      <c r="S971" s="276"/>
      <c r="T971" s="276"/>
      <c r="U971" s="276"/>
      <c r="V971" s="276"/>
      <c r="W971" s="276"/>
      <c r="X971" s="276"/>
      <c r="Y971" s="276"/>
      <c r="Z971" s="276"/>
    </row>
    <row r="972" spans="1:26" ht="18.75" customHeight="1">
      <c r="A972" s="276"/>
      <c r="B972" s="276"/>
      <c r="C972" s="276"/>
      <c r="D972" s="276"/>
      <c r="E972" s="276"/>
      <c r="F972" s="276"/>
      <c r="G972" s="276"/>
      <c r="H972" s="276"/>
      <c r="I972" s="276"/>
      <c r="J972" s="276"/>
      <c r="K972" s="276"/>
      <c r="L972" s="276"/>
      <c r="M972" s="276"/>
      <c r="N972" s="276"/>
      <c r="O972" s="276"/>
      <c r="P972" s="276"/>
      <c r="Q972" s="276"/>
      <c r="R972" s="276"/>
      <c r="S972" s="276"/>
      <c r="T972" s="276"/>
      <c r="U972" s="276"/>
      <c r="V972" s="276"/>
      <c r="W972" s="276"/>
      <c r="X972" s="276"/>
      <c r="Y972" s="276"/>
      <c r="Z972" s="276"/>
    </row>
    <row r="973" spans="1:26" ht="18.75" customHeight="1">
      <c r="A973" s="276"/>
      <c r="B973" s="276"/>
      <c r="C973" s="276"/>
      <c r="D973" s="276"/>
      <c r="E973" s="276"/>
      <c r="F973" s="276"/>
      <c r="G973" s="276"/>
      <c r="H973" s="276"/>
      <c r="I973" s="276"/>
      <c r="J973" s="276"/>
      <c r="K973" s="276"/>
      <c r="L973" s="276"/>
      <c r="M973" s="276"/>
      <c r="N973" s="276"/>
      <c r="O973" s="276"/>
      <c r="P973" s="276"/>
      <c r="Q973" s="276"/>
      <c r="R973" s="276"/>
      <c r="S973" s="276"/>
      <c r="T973" s="276"/>
      <c r="U973" s="276"/>
      <c r="V973" s="276"/>
      <c r="W973" s="276"/>
      <c r="X973" s="276"/>
      <c r="Y973" s="276"/>
      <c r="Z973" s="276"/>
    </row>
    <row r="974" spans="1:26" ht="18.75" customHeight="1">
      <c r="A974" s="276"/>
      <c r="B974" s="276"/>
      <c r="C974" s="276"/>
      <c r="D974" s="276"/>
      <c r="E974" s="276"/>
      <c r="F974" s="276"/>
      <c r="G974" s="276"/>
      <c r="H974" s="276"/>
      <c r="I974" s="276"/>
      <c r="J974" s="276"/>
      <c r="K974" s="276"/>
      <c r="L974" s="276"/>
      <c r="M974" s="276"/>
      <c r="N974" s="276"/>
      <c r="O974" s="276"/>
      <c r="P974" s="276"/>
      <c r="Q974" s="276"/>
      <c r="R974" s="276"/>
      <c r="S974" s="276"/>
      <c r="T974" s="276"/>
      <c r="U974" s="276"/>
      <c r="V974" s="276"/>
      <c r="W974" s="276"/>
      <c r="X974" s="276"/>
      <c r="Y974" s="276"/>
      <c r="Z974" s="276"/>
    </row>
    <row r="975" spans="1:26" ht="18.75" customHeight="1">
      <c r="A975" s="276"/>
      <c r="B975" s="276"/>
      <c r="C975" s="276"/>
      <c r="D975" s="276"/>
      <c r="E975" s="276"/>
      <c r="F975" s="276"/>
      <c r="G975" s="276"/>
      <c r="H975" s="276"/>
      <c r="I975" s="276"/>
      <c r="J975" s="276"/>
      <c r="K975" s="276"/>
      <c r="L975" s="276"/>
      <c r="M975" s="276"/>
      <c r="N975" s="276"/>
      <c r="O975" s="276"/>
      <c r="P975" s="276"/>
      <c r="Q975" s="276"/>
      <c r="R975" s="276"/>
      <c r="S975" s="276"/>
      <c r="T975" s="276"/>
      <c r="U975" s="276"/>
      <c r="V975" s="276"/>
      <c r="W975" s="276"/>
      <c r="X975" s="276"/>
      <c r="Y975" s="276"/>
      <c r="Z975" s="276"/>
    </row>
    <row r="976" spans="1:26" ht="18.75" customHeight="1">
      <c r="A976" s="276"/>
      <c r="B976" s="276"/>
      <c r="C976" s="276"/>
      <c r="D976" s="276"/>
      <c r="E976" s="276"/>
      <c r="F976" s="276"/>
      <c r="G976" s="276"/>
      <c r="H976" s="276"/>
      <c r="I976" s="276"/>
      <c r="J976" s="276"/>
      <c r="K976" s="276"/>
      <c r="L976" s="276"/>
      <c r="M976" s="276"/>
      <c r="N976" s="276"/>
      <c r="O976" s="276"/>
      <c r="P976" s="276"/>
      <c r="Q976" s="276"/>
      <c r="R976" s="276"/>
      <c r="S976" s="276"/>
      <c r="T976" s="276"/>
      <c r="U976" s="276"/>
      <c r="V976" s="276"/>
      <c r="W976" s="276"/>
      <c r="X976" s="276"/>
      <c r="Y976" s="276"/>
      <c r="Z976" s="276"/>
    </row>
    <row r="977" spans="1:26" ht="18.75" customHeight="1">
      <c r="A977" s="276"/>
      <c r="B977" s="276"/>
      <c r="C977" s="276"/>
      <c r="D977" s="276"/>
      <c r="E977" s="276"/>
      <c r="F977" s="276"/>
      <c r="G977" s="276"/>
      <c r="H977" s="276"/>
      <c r="I977" s="276"/>
      <c r="J977" s="276"/>
      <c r="K977" s="276"/>
      <c r="L977" s="276"/>
      <c r="M977" s="276"/>
      <c r="N977" s="276"/>
      <c r="O977" s="276"/>
      <c r="P977" s="276"/>
      <c r="Q977" s="276"/>
      <c r="R977" s="276"/>
      <c r="S977" s="276"/>
      <c r="T977" s="276"/>
      <c r="U977" s="276"/>
      <c r="V977" s="276"/>
      <c r="W977" s="276"/>
      <c r="X977" s="276"/>
      <c r="Y977" s="276"/>
      <c r="Z977" s="276"/>
    </row>
    <row r="978" spans="1:26" ht="18.75" customHeight="1">
      <c r="A978" s="276"/>
      <c r="B978" s="276"/>
      <c r="C978" s="276"/>
      <c r="D978" s="276"/>
      <c r="E978" s="276"/>
      <c r="F978" s="276"/>
      <c r="G978" s="276"/>
      <c r="H978" s="276"/>
      <c r="I978" s="276"/>
      <c r="J978" s="276"/>
      <c r="K978" s="276"/>
      <c r="L978" s="276"/>
      <c r="M978" s="276"/>
      <c r="N978" s="276"/>
      <c r="O978" s="276"/>
      <c r="P978" s="276"/>
      <c r="Q978" s="276"/>
      <c r="R978" s="276"/>
      <c r="S978" s="276"/>
      <c r="T978" s="276"/>
      <c r="U978" s="276"/>
      <c r="V978" s="276"/>
      <c r="W978" s="276"/>
      <c r="X978" s="276"/>
      <c r="Y978" s="276"/>
      <c r="Z978" s="276"/>
    </row>
    <row r="979" spans="1:26" ht="18.75" customHeight="1">
      <c r="A979" s="276"/>
      <c r="B979" s="276"/>
      <c r="C979" s="276"/>
      <c r="D979" s="276"/>
      <c r="E979" s="276"/>
      <c r="F979" s="276"/>
      <c r="G979" s="276"/>
      <c r="H979" s="276"/>
      <c r="I979" s="276"/>
      <c r="J979" s="276"/>
      <c r="K979" s="276"/>
      <c r="L979" s="276"/>
      <c r="M979" s="276"/>
      <c r="N979" s="276"/>
      <c r="O979" s="276"/>
      <c r="P979" s="276"/>
      <c r="Q979" s="276"/>
      <c r="R979" s="276"/>
      <c r="S979" s="276"/>
      <c r="T979" s="276"/>
      <c r="U979" s="276"/>
      <c r="V979" s="276"/>
      <c r="W979" s="276"/>
      <c r="X979" s="276"/>
      <c r="Y979" s="276"/>
      <c r="Z979" s="276"/>
    </row>
    <row r="980" spans="1:26" ht="18.75" customHeight="1">
      <c r="A980" s="276"/>
      <c r="B980" s="276"/>
      <c r="C980" s="276"/>
      <c r="D980" s="276"/>
      <c r="E980" s="276"/>
      <c r="F980" s="276"/>
      <c r="G980" s="276"/>
      <c r="H980" s="276"/>
      <c r="I980" s="276"/>
      <c r="J980" s="276"/>
      <c r="K980" s="276"/>
      <c r="L980" s="276"/>
      <c r="M980" s="276"/>
      <c r="N980" s="276"/>
      <c r="O980" s="276"/>
      <c r="P980" s="276"/>
      <c r="Q980" s="276"/>
      <c r="R980" s="276"/>
      <c r="S980" s="276"/>
      <c r="T980" s="276"/>
      <c r="U980" s="276"/>
      <c r="V980" s="276"/>
      <c r="W980" s="276"/>
      <c r="X980" s="276"/>
      <c r="Y980" s="276"/>
      <c r="Z980" s="276"/>
    </row>
    <row r="981" spans="1:26" ht="18.75" customHeight="1">
      <c r="A981" s="276"/>
      <c r="B981" s="276"/>
      <c r="C981" s="276"/>
      <c r="D981" s="276"/>
      <c r="E981" s="276"/>
      <c r="F981" s="276"/>
      <c r="G981" s="276"/>
      <c r="H981" s="276"/>
      <c r="I981" s="276"/>
      <c r="J981" s="276"/>
      <c r="K981" s="276"/>
      <c r="L981" s="276"/>
      <c r="M981" s="276"/>
      <c r="N981" s="276"/>
      <c r="O981" s="276"/>
      <c r="P981" s="276"/>
      <c r="Q981" s="276"/>
      <c r="R981" s="276"/>
      <c r="S981" s="276"/>
      <c r="T981" s="276"/>
      <c r="U981" s="276"/>
      <c r="V981" s="276"/>
      <c r="W981" s="276"/>
      <c r="X981" s="276"/>
      <c r="Y981" s="276"/>
      <c r="Z981" s="276"/>
    </row>
    <row r="982" spans="1:26" ht="18.75" customHeight="1">
      <c r="A982" s="276"/>
      <c r="B982" s="276"/>
      <c r="C982" s="276"/>
      <c r="D982" s="276"/>
      <c r="E982" s="276"/>
      <c r="F982" s="276"/>
      <c r="G982" s="276"/>
      <c r="H982" s="276"/>
      <c r="I982" s="276"/>
      <c r="J982" s="276"/>
      <c r="K982" s="276"/>
      <c r="L982" s="276"/>
      <c r="M982" s="276"/>
      <c r="N982" s="276"/>
      <c r="O982" s="276"/>
      <c r="P982" s="276"/>
      <c r="Q982" s="276"/>
      <c r="R982" s="276"/>
      <c r="S982" s="276"/>
      <c r="T982" s="276"/>
      <c r="U982" s="276"/>
      <c r="V982" s="276"/>
      <c r="W982" s="276"/>
      <c r="X982" s="276"/>
      <c r="Y982" s="276"/>
      <c r="Z982" s="276"/>
    </row>
    <row r="983" spans="1:26" ht="18.75" customHeight="1">
      <c r="A983" s="276"/>
      <c r="B983" s="276"/>
      <c r="C983" s="276"/>
      <c r="D983" s="276"/>
      <c r="E983" s="276"/>
      <c r="F983" s="276"/>
      <c r="G983" s="276"/>
      <c r="H983" s="276"/>
      <c r="I983" s="276"/>
      <c r="J983" s="276"/>
      <c r="K983" s="276"/>
      <c r="L983" s="276"/>
      <c r="M983" s="276"/>
      <c r="N983" s="276"/>
      <c r="O983" s="276"/>
      <c r="P983" s="276"/>
      <c r="Q983" s="276"/>
      <c r="R983" s="276"/>
      <c r="S983" s="276"/>
      <c r="T983" s="276"/>
      <c r="U983" s="276"/>
      <c r="V983" s="276"/>
      <c r="W983" s="276"/>
      <c r="X983" s="276"/>
      <c r="Y983" s="276"/>
      <c r="Z983" s="276"/>
    </row>
    <row r="984" spans="1:26" ht="18.75" customHeight="1">
      <c r="A984" s="276"/>
      <c r="B984" s="276"/>
      <c r="C984" s="276"/>
      <c r="D984" s="276"/>
      <c r="E984" s="276"/>
      <c r="F984" s="276"/>
      <c r="G984" s="276"/>
      <c r="H984" s="276"/>
      <c r="I984" s="276"/>
      <c r="J984" s="276"/>
      <c r="K984" s="276"/>
      <c r="L984" s="276"/>
      <c r="M984" s="276"/>
      <c r="N984" s="276"/>
      <c r="O984" s="276"/>
      <c r="P984" s="276"/>
      <c r="Q984" s="276"/>
      <c r="R984" s="276"/>
      <c r="S984" s="276"/>
      <c r="T984" s="276"/>
      <c r="U984" s="276"/>
      <c r="V984" s="276"/>
      <c r="W984" s="276"/>
      <c r="X984" s="276"/>
      <c r="Y984" s="276"/>
      <c r="Z984" s="276"/>
    </row>
    <row r="985" spans="1:26" ht="18.75" customHeight="1">
      <c r="A985" s="276"/>
      <c r="B985" s="276"/>
      <c r="C985" s="276"/>
      <c r="D985" s="276"/>
      <c r="E985" s="276"/>
      <c r="F985" s="276"/>
      <c r="G985" s="276"/>
      <c r="H985" s="276"/>
      <c r="I985" s="276"/>
      <c r="J985" s="276"/>
      <c r="K985" s="276"/>
      <c r="L985" s="276"/>
      <c r="M985" s="276"/>
      <c r="N985" s="276"/>
      <c r="O985" s="276"/>
      <c r="P985" s="276"/>
      <c r="Q985" s="276"/>
      <c r="R985" s="276"/>
      <c r="S985" s="276"/>
      <c r="T985" s="276"/>
      <c r="U985" s="276"/>
      <c r="V985" s="276"/>
      <c r="W985" s="276"/>
      <c r="X985" s="276"/>
      <c r="Y985" s="276"/>
      <c r="Z985" s="276"/>
    </row>
    <row r="986" spans="1:26" ht="18.75" customHeight="1">
      <c r="A986" s="276"/>
      <c r="B986" s="276"/>
      <c r="C986" s="276"/>
      <c r="D986" s="276"/>
      <c r="E986" s="276"/>
      <c r="F986" s="276"/>
      <c r="G986" s="276"/>
      <c r="H986" s="276"/>
      <c r="I986" s="276"/>
      <c r="J986" s="276"/>
      <c r="K986" s="276"/>
      <c r="L986" s="276"/>
      <c r="M986" s="276"/>
      <c r="N986" s="276"/>
      <c r="O986" s="276"/>
      <c r="P986" s="276"/>
      <c r="Q986" s="276"/>
      <c r="R986" s="276"/>
      <c r="S986" s="276"/>
      <c r="T986" s="276"/>
      <c r="U986" s="276"/>
      <c r="V986" s="276"/>
      <c r="W986" s="276"/>
      <c r="X986" s="276"/>
      <c r="Y986" s="276"/>
      <c r="Z986" s="276"/>
    </row>
    <row r="987" spans="1:26" ht="18.75" customHeight="1">
      <c r="A987" s="276"/>
      <c r="B987" s="276"/>
      <c r="C987" s="276"/>
      <c r="D987" s="276"/>
      <c r="E987" s="276"/>
      <c r="F987" s="276"/>
      <c r="G987" s="276"/>
      <c r="H987" s="276"/>
      <c r="I987" s="276"/>
      <c r="J987" s="276"/>
      <c r="K987" s="276"/>
      <c r="L987" s="276"/>
      <c r="M987" s="276"/>
      <c r="N987" s="276"/>
      <c r="O987" s="276"/>
      <c r="P987" s="276"/>
      <c r="Q987" s="276"/>
      <c r="R987" s="276"/>
      <c r="S987" s="276"/>
      <c r="T987" s="276"/>
      <c r="U987" s="276"/>
      <c r="V987" s="276"/>
      <c r="W987" s="276"/>
      <c r="X987" s="276"/>
      <c r="Y987" s="276"/>
      <c r="Z987" s="276"/>
    </row>
    <row r="988" spans="1:26" ht="18.75" customHeight="1">
      <c r="A988" s="276"/>
      <c r="B988" s="276"/>
      <c r="C988" s="276"/>
      <c r="D988" s="276"/>
      <c r="E988" s="276"/>
      <c r="F988" s="276"/>
      <c r="G988" s="276"/>
      <c r="H988" s="276"/>
      <c r="I988" s="276"/>
      <c r="J988" s="276"/>
      <c r="K988" s="276"/>
      <c r="L988" s="276"/>
      <c r="M988" s="276"/>
      <c r="N988" s="276"/>
      <c r="O988" s="276"/>
      <c r="P988" s="276"/>
      <c r="Q988" s="276"/>
      <c r="R988" s="276"/>
      <c r="S988" s="276"/>
      <c r="T988" s="276"/>
      <c r="U988" s="276"/>
      <c r="V988" s="276"/>
      <c r="W988" s="276"/>
      <c r="X988" s="276"/>
      <c r="Y988" s="276"/>
      <c r="Z988" s="276"/>
    </row>
    <row r="989" spans="1:26" ht="18.75" customHeight="1">
      <c r="A989" s="276"/>
      <c r="B989" s="276"/>
      <c r="C989" s="276"/>
      <c r="D989" s="276"/>
      <c r="E989" s="276"/>
      <c r="F989" s="276"/>
      <c r="G989" s="276"/>
      <c r="H989" s="276"/>
      <c r="I989" s="276"/>
      <c r="J989" s="276"/>
      <c r="K989" s="276"/>
      <c r="L989" s="276"/>
      <c r="M989" s="276"/>
      <c r="N989" s="276"/>
      <c r="O989" s="276"/>
      <c r="P989" s="276"/>
      <c r="Q989" s="276"/>
      <c r="R989" s="276"/>
      <c r="S989" s="276"/>
      <c r="T989" s="276"/>
      <c r="U989" s="276"/>
      <c r="V989" s="276"/>
      <c r="W989" s="276"/>
      <c r="X989" s="276"/>
      <c r="Y989" s="276"/>
      <c r="Z989" s="276"/>
    </row>
    <row r="990" spans="1:26" ht="18.75" customHeight="1">
      <c r="A990" s="276"/>
      <c r="B990" s="276"/>
      <c r="C990" s="276"/>
      <c r="D990" s="276"/>
      <c r="E990" s="276"/>
      <c r="F990" s="276"/>
      <c r="G990" s="276"/>
      <c r="H990" s="276"/>
      <c r="I990" s="276"/>
      <c r="J990" s="276"/>
      <c r="K990" s="276"/>
      <c r="L990" s="276"/>
      <c r="M990" s="276"/>
      <c r="N990" s="276"/>
      <c r="O990" s="276"/>
      <c r="P990" s="276"/>
      <c r="Q990" s="276"/>
      <c r="R990" s="276"/>
      <c r="S990" s="276"/>
      <c r="T990" s="276"/>
      <c r="U990" s="276"/>
      <c r="V990" s="276"/>
      <c r="W990" s="276"/>
      <c r="X990" s="276"/>
      <c r="Y990" s="276"/>
      <c r="Z990" s="276"/>
    </row>
    <row r="991" spans="1:26" ht="18.75" customHeight="1">
      <c r="A991" s="276"/>
      <c r="B991" s="276"/>
      <c r="C991" s="276"/>
      <c r="D991" s="276"/>
      <c r="E991" s="276"/>
      <c r="F991" s="276"/>
      <c r="G991" s="276"/>
      <c r="H991" s="276"/>
      <c r="I991" s="276"/>
      <c r="J991" s="276"/>
      <c r="K991" s="276"/>
      <c r="L991" s="276"/>
      <c r="M991" s="276"/>
      <c r="N991" s="276"/>
      <c r="O991" s="276"/>
      <c r="P991" s="276"/>
      <c r="Q991" s="276"/>
      <c r="R991" s="276"/>
      <c r="S991" s="276"/>
      <c r="T991" s="276"/>
      <c r="U991" s="276"/>
      <c r="V991" s="276"/>
      <c r="W991" s="276"/>
      <c r="X991" s="276"/>
      <c r="Y991" s="276"/>
      <c r="Z991" s="276"/>
    </row>
    <row r="992" spans="1:26" ht="18.75" customHeight="1">
      <c r="A992" s="276"/>
      <c r="B992" s="276"/>
      <c r="C992" s="276"/>
      <c r="D992" s="276"/>
      <c r="E992" s="276"/>
      <c r="F992" s="276"/>
      <c r="G992" s="276"/>
      <c r="H992" s="276"/>
      <c r="I992" s="276"/>
      <c r="J992" s="276"/>
      <c r="K992" s="276"/>
      <c r="L992" s="276"/>
      <c r="M992" s="276"/>
      <c r="N992" s="276"/>
      <c r="O992" s="276"/>
      <c r="P992" s="276"/>
      <c r="Q992" s="276"/>
      <c r="R992" s="276"/>
      <c r="S992" s="276"/>
      <c r="T992" s="276"/>
      <c r="U992" s="276"/>
      <c r="V992" s="276"/>
      <c r="W992" s="276"/>
      <c r="X992" s="276"/>
      <c r="Y992" s="276"/>
      <c r="Z992" s="276"/>
    </row>
    <row r="993" spans="1:26" ht="18.75" customHeight="1">
      <c r="A993" s="276"/>
      <c r="B993" s="276"/>
      <c r="C993" s="276"/>
      <c r="D993" s="276"/>
      <c r="E993" s="276"/>
      <c r="F993" s="276"/>
      <c r="G993" s="276"/>
      <c r="H993" s="276"/>
      <c r="I993" s="276"/>
      <c r="J993" s="276"/>
      <c r="K993" s="276"/>
      <c r="L993" s="276"/>
      <c r="M993" s="276"/>
      <c r="N993" s="276"/>
      <c r="O993" s="276"/>
      <c r="P993" s="276"/>
      <c r="Q993" s="276"/>
      <c r="R993" s="276"/>
      <c r="S993" s="276"/>
      <c r="T993" s="276"/>
      <c r="U993" s="276"/>
      <c r="V993" s="276"/>
      <c r="W993" s="276"/>
      <c r="X993" s="276"/>
      <c r="Y993" s="276"/>
      <c r="Z993" s="276"/>
    </row>
    <row r="994" spans="1:26" ht="18.75" customHeight="1">
      <c r="A994" s="276"/>
      <c r="B994" s="276"/>
      <c r="C994" s="276"/>
      <c r="D994" s="276"/>
      <c r="E994" s="276"/>
      <c r="F994" s="276"/>
      <c r="G994" s="276"/>
      <c r="H994" s="276"/>
      <c r="I994" s="276"/>
      <c r="J994" s="276"/>
      <c r="K994" s="276"/>
      <c r="L994" s="276"/>
      <c r="M994" s="276"/>
      <c r="N994" s="276"/>
      <c r="O994" s="276"/>
      <c r="P994" s="276"/>
      <c r="Q994" s="276"/>
      <c r="R994" s="276"/>
      <c r="S994" s="276"/>
      <c r="T994" s="276"/>
      <c r="U994" s="276"/>
      <c r="V994" s="276"/>
      <c r="W994" s="276"/>
      <c r="X994" s="276"/>
      <c r="Y994" s="276"/>
      <c r="Z994" s="276"/>
    </row>
    <row r="995" spans="1:26" ht="18.75" customHeight="1">
      <c r="A995" s="276"/>
      <c r="B995" s="276"/>
      <c r="C995" s="276"/>
      <c r="D995" s="276"/>
      <c r="E995" s="276"/>
      <c r="F995" s="276"/>
      <c r="G995" s="276"/>
      <c r="H995" s="276"/>
      <c r="I995" s="276"/>
      <c r="J995" s="276"/>
      <c r="K995" s="276"/>
      <c r="L995" s="276"/>
      <c r="M995" s="276"/>
      <c r="N995" s="276"/>
      <c r="O995" s="276"/>
      <c r="P995" s="276"/>
      <c r="Q995" s="276"/>
      <c r="R995" s="276"/>
      <c r="S995" s="276"/>
      <c r="T995" s="276"/>
      <c r="U995" s="276"/>
      <c r="V995" s="276"/>
      <c r="W995" s="276"/>
      <c r="X995" s="276"/>
      <c r="Y995" s="276"/>
      <c r="Z995" s="276"/>
    </row>
    <row r="996" spans="1:26" ht="18.75" customHeight="1">
      <c r="A996" s="276"/>
      <c r="B996" s="276"/>
      <c r="C996" s="276"/>
      <c r="D996" s="276"/>
      <c r="E996" s="276"/>
      <c r="F996" s="276"/>
      <c r="G996" s="276"/>
      <c r="H996" s="276"/>
      <c r="I996" s="276"/>
      <c r="J996" s="276"/>
      <c r="K996" s="276"/>
      <c r="L996" s="276"/>
      <c r="M996" s="276"/>
      <c r="N996" s="276"/>
      <c r="O996" s="276"/>
      <c r="P996" s="276"/>
      <c r="Q996" s="276"/>
      <c r="R996" s="276"/>
      <c r="S996" s="276"/>
      <c r="T996" s="276"/>
      <c r="U996" s="276"/>
      <c r="V996" s="276"/>
      <c r="W996" s="276"/>
      <c r="X996" s="276"/>
      <c r="Y996" s="276"/>
      <c r="Z996" s="276"/>
    </row>
    <row r="997" spans="1:26" ht="18.75" customHeight="1">
      <c r="A997" s="276"/>
      <c r="B997" s="276"/>
      <c r="C997" s="276"/>
      <c r="D997" s="276"/>
      <c r="E997" s="276"/>
      <c r="F997" s="276"/>
      <c r="G997" s="276"/>
      <c r="H997" s="276"/>
      <c r="I997" s="276"/>
      <c r="J997" s="276"/>
      <c r="K997" s="276"/>
      <c r="L997" s="276"/>
      <c r="M997" s="276"/>
      <c r="N997" s="276"/>
      <c r="O997" s="276"/>
      <c r="P997" s="276"/>
      <c r="Q997" s="276"/>
      <c r="R997" s="276"/>
      <c r="S997" s="276"/>
      <c r="T997" s="276"/>
      <c r="U997" s="276"/>
      <c r="V997" s="276"/>
      <c r="W997" s="276"/>
      <c r="X997" s="276"/>
      <c r="Y997" s="276"/>
      <c r="Z997" s="276"/>
    </row>
    <row r="998" spans="1:26" ht="18.75" customHeight="1">
      <c r="A998" s="276"/>
      <c r="B998" s="276"/>
      <c r="C998" s="276"/>
      <c r="D998" s="276"/>
      <c r="E998" s="276"/>
      <c r="F998" s="276"/>
      <c r="G998" s="276"/>
      <c r="H998" s="276"/>
      <c r="I998" s="276"/>
      <c r="J998" s="276"/>
      <c r="K998" s="276"/>
      <c r="L998" s="276"/>
      <c r="M998" s="276"/>
      <c r="N998" s="276"/>
      <c r="O998" s="276"/>
      <c r="P998" s="276"/>
      <c r="Q998" s="276"/>
      <c r="R998" s="276"/>
      <c r="S998" s="276"/>
      <c r="T998" s="276"/>
      <c r="U998" s="276"/>
      <c r="V998" s="276"/>
      <c r="W998" s="276"/>
      <c r="X998" s="276"/>
      <c r="Y998" s="276"/>
      <c r="Z998" s="276"/>
    </row>
    <row r="999" spans="1:26" ht="18.75" customHeight="1">
      <c r="A999" s="276"/>
      <c r="B999" s="276"/>
      <c r="C999" s="276"/>
      <c r="D999" s="276"/>
      <c r="E999" s="276"/>
      <c r="F999" s="276"/>
      <c r="G999" s="276"/>
      <c r="H999" s="276"/>
      <c r="I999" s="276"/>
      <c r="J999" s="276"/>
      <c r="K999" s="276"/>
      <c r="L999" s="276"/>
      <c r="M999" s="276"/>
      <c r="N999" s="276"/>
      <c r="O999" s="276"/>
      <c r="P999" s="276"/>
      <c r="Q999" s="276"/>
      <c r="R999" s="276"/>
      <c r="S999" s="276"/>
      <c r="T999" s="276"/>
      <c r="U999" s="276"/>
      <c r="V999" s="276"/>
      <c r="W999" s="276"/>
      <c r="X999" s="276"/>
      <c r="Y999" s="276"/>
      <c r="Z999" s="276"/>
    </row>
    <row r="1000" spans="1:26" ht="18.75" customHeight="1">
      <c r="A1000" s="276"/>
      <c r="B1000" s="276"/>
      <c r="C1000" s="276"/>
      <c r="D1000" s="276"/>
      <c r="E1000" s="276"/>
      <c r="F1000" s="276"/>
      <c r="G1000" s="276"/>
      <c r="H1000" s="276"/>
      <c r="I1000" s="276"/>
      <c r="J1000" s="276"/>
      <c r="K1000" s="276"/>
      <c r="L1000" s="276"/>
      <c r="M1000" s="276"/>
      <c r="N1000" s="276"/>
      <c r="O1000" s="276"/>
      <c r="P1000" s="276"/>
      <c r="Q1000" s="276"/>
      <c r="R1000" s="276"/>
      <c r="S1000" s="276"/>
      <c r="T1000" s="276"/>
      <c r="U1000" s="276"/>
      <c r="V1000" s="276"/>
      <c r="W1000" s="276"/>
      <c r="X1000" s="276"/>
      <c r="Y1000" s="276"/>
      <c r="Z1000" s="276"/>
    </row>
  </sheetData>
  <mergeCells count="48">
    <mergeCell ref="A26:A27"/>
    <mergeCell ref="B26:B27"/>
    <mergeCell ref="C26:C27"/>
    <mergeCell ref="O26:O27"/>
    <mergeCell ref="A18:A19"/>
    <mergeCell ref="B18:B19"/>
    <mergeCell ref="C18:C19"/>
    <mergeCell ref="A20:A21"/>
    <mergeCell ref="B20:B21"/>
    <mergeCell ref="C20:C21"/>
    <mergeCell ref="A22:A23"/>
    <mergeCell ref="B22:B23"/>
    <mergeCell ref="C22:C23"/>
    <mergeCell ref="A24:A25"/>
    <mergeCell ref="B24:B25"/>
    <mergeCell ref="C24:C25"/>
    <mergeCell ref="B16:B17"/>
    <mergeCell ref="C16:C17"/>
    <mergeCell ref="A12:A13"/>
    <mergeCell ref="B12:B13"/>
    <mergeCell ref="C12:C13"/>
    <mergeCell ref="A14:A15"/>
    <mergeCell ref="B14:B15"/>
    <mergeCell ref="C14:C15"/>
    <mergeCell ref="A16:A17"/>
    <mergeCell ref="A8:A9"/>
    <mergeCell ref="B8:B9"/>
    <mergeCell ref="C8:C9"/>
    <mergeCell ref="A10:A11"/>
    <mergeCell ref="B10:B11"/>
    <mergeCell ref="C10:C11"/>
    <mergeCell ref="A4:A5"/>
    <mergeCell ref="B4:B5"/>
    <mergeCell ref="C4:C5"/>
    <mergeCell ref="O4:O5"/>
    <mergeCell ref="B6:B7"/>
    <mergeCell ref="C6:C7"/>
    <mergeCell ref="O6:O7"/>
    <mergeCell ref="A6:A7"/>
    <mergeCell ref="O22:O23"/>
    <mergeCell ref="O24:O25"/>
    <mergeCell ref="O8:O9"/>
    <mergeCell ref="O10:O11"/>
    <mergeCell ref="O12:O13"/>
    <mergeCell ref="O14:O15"/>
    <mergeCell ref="O16:O17"/>
    <mergeCell ref="O18:O19"/>
    <mergeCell ref="O20:O21"/>
  </mergeCells>
  <phoneticPr fontId="82"/>
  <pageMargins left="0.7" right="0.7" top="0.75" bottom="0.75" header="0" footer="0"/>
  <pageSetup paperSize="9" orientation="landscape"/>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2ADA"/>
    <pageSetUpPr fitToPage="1"/>
  </sheetPr>
  <dimension ref="A1:AK1000"/>
  <sheetViews>
    <sheetView workbookViewId="0">
      <pane xSplit="3" ySplit="3" topLeftCell="D4" activePane="bottomRight" state="frozen"/>
      <selection pane="topRight" activeCell="D1" sqref="D1"/>
      <selection pane="bottomLeft" activeCell="A4" sqref="A4"/>
      <selection pane="bottomRight" activeCell="D4" sqref="D4"/>
    </sheetView>
  </sheetViews>
  <sheetFormatPr baseColWidth="10" defaultColWidth="11.1640625" defaultRowHeight="15" customHeight="1" outlineLevelRow="1"/>
  <cols>
    <col min="1" max="2" width="6" customWidth="1"/>
    <col min="3" max="3" width="20.83203125" customWidth="1"/>
    <col min="4" max="4" width="9.5" customWidth="1"/>
    <col min="5" max="5" width="8.5" customWidth="1"/>
    <col min="6" max="6" width="8.83203125" customWidth="1"/>
    <col min="7" max="7" width="9.1640625" customWidth="1"/>
    <col min="8" max="8" width="8.83203125" customWidth="1"/>
    <col min="9" max="9" width="9.1640625" customWidth="1"/>
    <col min="10" max="10" width="8.83203125" customWidth="1"/>
    <col min="11" max="11" width="9.1640625" customWidth="1"/>
    <col min="12" max="12" width="8.83203125" customWidth="1"/>
    <col min="13" max="13" width="9.1640625" customWidth="1"/>
    <col min="14" max="14" width="8.83203125" customWidth="1"/>
    <col min="15" max="15" width="9.1640625" customWidth="1"/>
    <col min="16" max="16" width="8.83203125" customWidth="1"/>
    <col min="17" max="17" width="9.1640625" customWidth="1"/>
    <col min="18" max="18" width="8.83203125" customWidth="1"/>
    <col min="19" max="19" width="9.1640625" customWidth="1"/>
    <col min="20" max="20" width="8.83203125" customWidth="1"/>
    <col min="21" max="21" width="9.1640625" customWidth="1"/>
    <col min="22" max="22" width="8.83203125" customWidth="1"/>
    <col min="23" max="23" width="9.1640625" customWidth="1"/>
    <col min="24" max="24" width="8.83203125" customWidth="1"/>
    <col min="25" max="25" width="9.1640625" customWidth="1"/>
    <col min="26" max="26" width="10.5" customWidth="1"/>
    <col min="27" max="27" width="8.33203125" customWidth="1"/>
    <col min="28" max="28" width="1.1640625" customWidth="1"/>
    <col min="29" max="29" width="10.33203125" customWidth="1"/>
    <col min="30" max="30" width="8.83203125" customWidth="1"/>
    <col min="31" max="37" width="5.83203125" customWidth="1"/>
  </cols>
  <sheetData>
    <row r="1" spans="1:37" ht="18" customHeight="1">
      <c r="A1" s="319"/>
      <c r="B1" s="319"/>
      <c r="C1" s="320"/>
      <c r="D1" s="321" t="s">
        <v>232</v>
      </c>
      <c r="E1" s="321" t="s">
        <v>233</v>
      </c>
      <c r="F1" s="321" t="s">
        <v>232</v>
      </c>
      <c r="G1" s="321" t="s">
        <v>233</v>
      </c>
      <c r="H1" s="321" t="s">
        <v>232</v>
      </c>
      <c r="I1" s="321" t="s">
        <v>233</v>
      </c>
      <c r="J1" s="321" t="s">
        <v>232</v>
      </c>
      <c r="K1" s="321" t="s">
        <v>233</v>
      </c>
      <c r="L1" s="321" t="s">
        <v>232</v>
      </c>
      <c r="M1" s="321" t="s">
        <v>233</v>
      </c>
      <c r="N1" s="321" t="s">
        <v>232</v>
      </c>
      <c r="O1" s="321" t="s">
        <v>233</v>
      </c>
      <c r="P1" s="321" t="s">
        <v>232</v>
      </c>
      <c r="Q1" s="321" t="s">
        <v>233</v>
      </c>
      <c r="R1" s="321" t="s">
        <v>232</v>
      </c>
      <c r="S1" s="321" t="s">
        <v>233</v>
      </c>
      <c r="T1" s="321" t="s">
        <v>232</v>
      </c>
      <c r="U1" s="321" t="s">
        <v>233</v>
      </c>
      <c r="V1" s="321" t="s">
        <v>232</v>
      </c>
      <c r="W1" s="321" t="s">
        <v>233</v>
      </c>
      <c r="X1" s="321" t="s">
        <v>232</v>
      </c>
      <c r="Y1" s="321" t="s">
        <v>233</v>
      </c>
      <c r="Z1" s="321" t="s">
        <v>232</v>
      </c>
      <c r="AA1" s="321" t="s">
        <v>233</v>
      </c>
      <c r="AB1" s="322"/>
      <c r="AC1" s="322"/>
      <c r="AD1" s="322"/>
      <c r="AE1" s="322"/>
      <c r="AF1" s="322"/>
      <c r="AG1" s="322"/>
      <c r="AH1" s="322"/>
      <c r="AI1" s="322"/>
      <c r="AJ1" s="322"/>
      <c r="AK1" s="322"/>
    </row>
    <row r="2" spans="1:37" ht="18" customHeight="1">
      <c r="A2" s="319"/>
      <c r="B2" s="319"/>
      <c r="C2" s="323" t="s">
        <v>234</v>
      </c>
      <c r="D2" s="324">
        <f>D12+D14</f>
        <v>1903700</v>
      </c>
      <c r="E2" s="324">
        <f>D13+D15</f>
        <v>0</v>
      </c>
      <c r="F2" s="324">
        <f>F12+F14</f>
        <v>2252350</v>
      </c>
      <c r="G2" s="324">
        <f>F13+F15</f>
        <v>0</v>
      </c>
      <c r="H2" s="324">
        <f>H12+H14</f>
        <v>2500050</v>
      </c>
      <c r="I2" s="324">
        <f>H13+H15</f>
        <v>0</v>
      </c>
      <c r="J2" s="324">
        <f>J12+J15</f>
        <v>1247800</v>
      </c>
      <c r="K2" s="324">
        <f>J13+J14</f>
        <v>1484800</v>
      </c>
      <c r="L2" s="324">
        <f>L12+L14</f>
        <v>2920150</v>
      </c>
      <c r="M2" s="324">
        <f>L13+L15</f>
        <v>0</v>
      </c>
      <c r="N2" s="324">
        <f>N12+N15</f>
        <v>1369450</v>
      </c>
      <c r="O2" s="324">
        <f>N13+N14</f>
        <v>1694750</v>
      </c>
      <c r="P2" s="324">
        <f>P12+P15</f>
        <v>1010700</v>
      </c>
      <c r="Q2" s="324">
        <f>P13+P14</f>
        <v>1381350</v>
      </c>
      <c r="R2" s="324">
        <f>R12+R14</f>
        <v>2064530</v>
      </c>
      <c r="S2" s="324">
        <f>R13+R15</f>
        <v>0</v>
      </c>
      <c r="T2" s="324">
        <f>T12+T14</f>
        <v>2319650</v>
      </c>
      <c r="U2" s="324">
        <f>T13+T15</f>
        <v>0</v>
      </c>
      <c r="V2" s="324">
        <f>V12+V14</f>
        <v>2672000</v>
      </c>
      <c r="W2" s="324">
        <f>V13+V15</f>
        <v>0</v>
      </c>
      <c r="X2" s="324">
        <f>X12+X14</f>
        <v>2210250</v>
      </c>
      <c r="Y2" s="324">
        <f>X13+X15</f>
        <v>0</v>
      </c>
      <c r="Z2" s="324">
        <f>Z12+Z14</f>
        <v>2366250</v>
      </c>
      <c r="AA2" s="324">
        <f>Z13+Z15</f>
        <v>0</v>
      </c>
      <c r="AB2" s="322"/>
      <c r="AC2" s="322"/>
      <c r="AD2" s="322"/>
      <c r="AE2" s="322"/>
      <c r="AF2" s="322"/>
      <c r="AG2" s="322"/>
      <c r="AH2" s="322"/>
      <c r="AI2" s="322"/>
      <c r="AJ2" s="322"/>
      <c r="AK2" s="322"/>
    </row>
    <row r="3" spans="1:37" ht="27" customHeight="1">
      <c r="A3" s="584"/>
      <c r="B3" s="491"/>
      <c r="C3" s="325">
        <v>2024</v>
      </c>
      <c r="D3" s="588" t="s">
        <v>20</v>
      </c>
      <c r="E3" s="491"/>
      <c r="F3" s="584" t="s">
        <v>23</v>
      </c>
      <c r="G3" s="491"/>
      <c r="H3" s="584" t="s">
        <v>27</v>
      </c>
      <c r="I3" s="491"/>
      <c r="J3" s="584" t="s">
        <v>29</v>
      </c>
      <c r="K3" s="491"/>
      <c r="L3" s="584" t="s">
        <v>33</v>
      </c>
      <c r="M3" s="491"/>
      <c r="N3" s="584" t="s">
        <v>57</v>
      </c>
      <c r="O3" s="491"/>
      <c r="P3" s="584" t="s">
        <v>58</v>
      </c>
      <c r="Q3" s="491"/>
      <c r="R3" s="584" t="s">
        <v>59</v>
      </c>
      <c r="S3" s="491"/>
      <c r="T3" s="584" t="s">
        <v>60</v>
      </c>
      <c r="U3" s="491"/>
      <c r="V3" s="584" t="s">
        <v>61</v>
      </c>
      <c r="W3" s="491"/>
      <c r="X3" s="584" t="s">
        <v>62</v>
      </c>
      <c r="Y3" s="491"/>
      <c r="Z3" s="584" t="s">
        <v>63</v>
      </c>
      <c r="AA3" s="491"/>
      <c r="AB3" s="326"/>
      <c r="AC3" s="585" t="s">
        <v>176</v>
      </c>
      <c r="AD3" s="509"/>
      <c r="AE3" s="327"/>
      <c r="AF3" s="327"/>
      <c r="AG3" s="327"/>
      <c r="AH3" s="327"/>
      <c r="AI3" s="327"/>
      <c r="AJ3" s="327"/>
      <c r="AK3" s="327"/>
    </row>
    <row r="4" spans="1:37" ht="16.5" customHeight="1">
      <c r="A4" s="610" t="s">
        <v>235</v>
      </c>
      <c r="B4" s="611"/>
      <c r="C4" s="328" t="s">
        <v>236</v>
      </c>
      <c r="D4" s="589">
        <v>1903700</v>
      </c>
      <c r="E4" s="494"/>
      <c r="F4" s="589">
        <v>2252350</v>
      </c>
      <c r="G4" s="494"/>
      <c r="H4" s="590">
        <v>2500050</v>
      </c>
      <c r="I4" s="591"/>
      <c r="J4" s="590">
        <v>2732600</v>
      </c>
      <c r="K4" s="591"/>
      <c r="L4" s="590">
        <v>2920150</v>
      </c>
      <c r="M4" s="591"/>
      <c r="N4" s="590">
        <v>3064200</v>
      </c>
      <c r="O4" s="591"/>
      <c r="P4" s="590">
        <v>2392050</v>
      </c>
      <c r="Q4" s="591"/>
      <c r="R4" s="590">
        <v>2064530</v>
      </c>
      <c r="S4" s="591"/>
      <c r="T4" s="590">
        <v>2319650</v>
      </c>
      <c r="U4" s="591"/>
      <c r="V4" s="590">
        <v>2672000</v>
      </c>
      <c r="W4" s="591"/>
      <c r="X4" s="590">
        <v>2210250</v>
      </c>
      <c r="Y4" s="591"/>
      <c r="Z4" s="590">
        <v>2366250</v>
      </c>
      <c r="AA4" s="591"/>
      <c r="AB4" s="329"/>
      <c r="AC4" s="586"/>
      <c r="AD4" s="587"/>
      <c r="AE4" s="322"/>
      <c r="AF4" s="322"/>
      <c r="AG4" s="322"/>
      <c r="AH4" s="322"/>
      <c r="AI4" s="322"/>
      <c r="AJ4" s="322"/>
      <c r="AK4" s="322"/>
    </row>
    <row r="5" spans="1:37" ht="16.5" customHeight="1">
      <c r="A5" s="586"/>
      <c r="B5" s="587"/>
      <c r="C5" s="330" t="s">
        <v>237</v>
      </c>
      <c r="D5" s="583">
        <v>0</v>
      </c>
      <c r="E5" s="483"/>
      <c r="F5" s="583">
        <v>0</v>
      </c>
      <c r="G5" s="483"/>
      <c r="H5" s="583">
        <v>0</v>
      </c>
      <c r="I5" s="483"/>
      <c r="J5" s="583">
        <v>0</v>
      </c>
      <c r="K5" s="483"/>
      <c r="L5" s="583">
        <v>0</v>
      </c>
      <c r="M5" s="483"/>
      <c r="N5" s="583">
        <v>0</v>
      </c>
      <c r="O5" s="483"/>
      <c r="P5" s="583">
        <v>0</v>
      </c>
      <c r="Q5" s="483"/>
      <c r="R5" s="583">
        <v>0</v>
      </c>
      <c r="S5" s="483"/>
      <c r="T5" s="583">
        <v>0</v>
      </c>
      <c r="U5" s="483"/>
      <c r="V5" s="583">
        <v>0</v>
      </c>
      <c r="W5" s="483"/>
      <c r="X5" s="583">
        <v>0</v>
      </c>
      <c r="Y5" s="483"/>
      <c r="Z5" s="583">
        <v>0</v>
      </c>
      <c r="AA5" s="483"/>
      <c r="AB5" s="329"/>
      <c r="AC5" s="586"/>
      <c r="AD5" s="587"/>
      <c r="AE5" s="322"/>
      <c r="AF5" s="322"/>
      <c r="AG5" s="322"/>
      <c r="AH5" s="322"/>
      <c r="AI5" s="322"/>
      <c r="AJ5" s="322"/>
      <c r="AK5" s="322"/>
    </row>
    <row r="6" spans="1:37" ht="16.5" customHeight="1">
      <c r="A6" s="586"/>
      <c r="B6" s="587"/>
      <c r="C6" s="331" t="s">
        <v>238</v>
      </c>
      <c r="D6" s="583">
        <v>0</v>
      </c>
      <c r="E6" s="483"/>
      <c r="F6" s="583">
        <v>0</v>
      </c>
      <c r="G6" s="483"/>
      <c r="H6" s="583">
        <v>0</v>
      </c>
      <c r="I6" s="483"/>
      <c r="J6" s="583">
        <v>0</v>
      </c>
      <c r="K6" s="483"/>
      <c r="L6" s="583">
        <v>0</v>
      </c>
      <c r="M6" s="483"/>
      <c r="N6" s="583">
        <v>0</v>
      </c>
      <c r="O6" s="483"/>
      <c r="P6" s="583">
        <v>0</v>
      </c>
      <c r="Q6" s="483"/>
      <c r="R6" s="583">
        <v>0</v>
      </c>
      <c r="S6" s="483"/>
      <c r="T6" s="583">
        <v>0</v>
      </c>
      <c r="U6" s="483"/>
      <c r="V6" s="583">
        <v>0</v>
      </c>
      <c r="W6" s="483"/>
      <c r="X6" s="583">
        <v>0</v>
      </c>
      <c r="Y6" s="483"/>
      <c r="Z6" s="583">
        <v>0</v>
      </c>
      <c r="AA6" s="483"/>
      <c r="AB6" s="329"/>
      <c r="AC6" s="510"/>
      <c r="AD6" s="494"/>
      <c r="AE6" s="322"/>
      <c r="AF6" s="322"/>
      <c r="AG6" s="322"/>
      <c r="AH6" s="322"/>
      <c r="AI6" s="322"/>
      <c r="AJ6" s="322"/>
      <c r="AK6" s="322"/>
    </row>
    <row r="7" spans="1:37" ht="22.5" customHeight="1">
      <c r="A7" s="612"/>
      <c r="B7" s="613"/>
      <c r="C7" s="332" t="s">
        <v>239</v>
      </c>
      <c r="D7" s="592">
        <f>SUM(D4:E6)</f>
        <v>1903700</v>
      </c>
      <c r="E7" s="491"/>
      <c r="F7" s="592">
        <f>SUM(F4:G6)</f>
        <v>2252350</v>
      </c>
      <c r="G7" s="491"/>
      <c r="H7" s="592">
        <f>SUM(H4:I6)</f>
        <v>2500050</v>
      </c>
      <c r="I7" s="491"/>
      <c r="J7" s="592">
        <f>SUM(J4:K6)</f>
        <v>2732600</v>
      </c>
      <c r="K7" s="491"/>
      <c r="L7" s="592">
        <f>SUM(L4:M6)</f>
        <v>2920150</v>
      </c>
      <c r="M7" s="491"/>
      <c r="N7" s="592">
        <f>SUM(N4:O6)</f>
        <v>3064200</v>
      </c>
      <c r="O7" s="491"/>
      <c r="P7" s="592">
        <f>SUM(P4:Q6)</f>
        <v>2392050</v>
      </c>
      <c r="Q7" s="491"/>
      <c r="R7" s="592">
        <f>SUM(R4:S6)</f>
        <v>2064530</v>
      </c>
      <c r="S7" s="491"/>
      <c r="T7" s="592">
        <f>SUM(T4:U6)</f>
        <v>2319650</v>
      </c>
      <c r="U7" s="491"/>
      <c r="V7" s="592">
        <f>SUM(V4:W6)</f>
        <v>2672000</v>
      </c>
      <c r="W7" s="491"/>
      <c r="X7" s="592">
        <f>SUM(X4:Y6)</f>
        <v>2210250</v>
      </c>
      <c r="Y7" s="491"/>
      <c r="Z7" s="592">
        <f>SUM(Z4:AA6)</f>
        <v>2366250</v>
      </c>
      <c r="AA7" s="491"/>
      <c r="AB7" s="333"/>
      <c r="AC7" s="593">
        <f>SUM(D7:AA7)</f>
        <v>29397780</v>
      </c>
      <c r="AD7" s="491"/>
      <c r="AE7" s="322"/>
      <c r="AF7" s="322"/>
      <c r="AG7" s="322"/>
      <c r="AH7" s="322"/>
      <c r="AI7" s="322"/>
      <c r="AJ7" s="322"/>
      <c r="AK7" s="322"/>
    </row>
    <row r="8" spans="1:37" ht="16.5" customHeight="1">
      <c r="A8" s="610" t="s">
        <v>240</v>
      </c>
      <c r="B8" s="611"/>
      <c r="C8" s="334" t="s">
        <v>241</v>
      </c>
      <c r="D8" s="335">
        <f>SUM(D27:D44)</f>
        <v>0</v>
      </c>
      <c r="E8" s="336">
        <f>D8/D7</f>
        <v>0</v>
      </c>
      <c r="F8" s="335">
        <f>SUM(F27:F44)</f>
        <v>0</v>
      </c>
      <c r="G8" s="336">
        <f>F8/F7</f>
        <v>0</v>
      </c>
      <c r="H8" s="335">
        <f>SUM(H27:H44)</f>
        <v>0</v>
      </c>
      <c r="I8" s="336">
        <f>H8/H7</f>
        <v>0</v>
      </c>
      <c r="J8" s="335">
        <f>SUM(J27:J44)</f>
        <v>0</v>
      </c>
      <c r="K8" s="336">
        <f>J8/J7</f>
        <v>0</v>
      </c>
      <c r="L8" s="335">
        <f>SUM(L27:L44)</f>
        <v>0</v>
      </c>
      <c r="M8" s="336">
        <f>L8/L7</f>
        <v>0</v>
      </c>
      <c r="N8" s="335">
        <f>SUM(N27:N44)</f>
        <v>0</v>
      </c>
      <c r="O8" s="336">
        <f>N8/N7</f>
        <v>0</v>
      </c>
      <c r="P8" s="335">
        <f>SUM(P27:P44)</f>
        <v>0</v>
      </c>
      <c r="Q8" s="336">
        <f>P8/P7</f>
        <v>0</v>
      </c>
      <c r="R8" s="335">
        <f>SUM(R27:R44)</f>
        <v>0</v>
      </c>
      <c r="S8" s="336">
        <f>R8/R7</f>
        <v>0</v>
      </c>
      <c r="T8" s="335">
        <f>SUM(T27:T44)</f>
        <v>0</v>
      </c>
      <c r="U8" s="336">
        <f>T8/T7</f>
        <v>0</v>
      </c>
      <c r="V8" s="335">
        <f>SUM(V27:V44)</f>
        <v>0</v>
      </c>
      <c r="W8" s="336">
        <f>V8/V7</f>
        <v>0</v>
      </c>
      <c r="X8" s="335">
        <f>SUM(X27:X44)</f>
        <v>0</v>
      </c>
      <c r="Y8" s="336">
        <f>X8/X7</f>
        <v>0</v>
      </c>
      <c r="Z8" s="335">
        <f>SUM(Z27:Z44)</f>
        <v>0</v>
      </c>
      <c r="AA8" s="336">
        <f>Z8/Z7</f>
        <v>0</v>
      </c>
      <c r="AB8" s="333"/>
      <c r="AC8" s="335" t="e">
        <f>SUM(AC27:AC44)</f>
        <v>#VALUE!</v>
      </c>
      <c r="AD8" s="337" t="e">
        <f>AC8/AC7</f>
        <v>#VALUE!</v>
      </c>
      <c r="AE8" s="322"/>
      <c r="AF8" s="322"/>
      <c r="AG8" s="322"/>
      <c r="AH8" s="322"/>
      <c r="AI8" s="322"/>
      <c r="AJ8" s="322"/>
      <c r="AK8" s="322"/>
    </row>
    <row r="9" spans="1:37" ht="16.5" customHeight="1">
      <c r="A9" s="586"/>
      <c r="B9" s="587"/>
      <c r="C9" s="338" t="s">
        <v>242</v>
      </c>
      <c r="D9" s="339">
        <f>SUM(D45:D61)</f>
        <v>0</v>
      </c>
      <c r="E9" s="340">
        <f>D9/D7</f>
        <v>0</v>
      </c>
      <c r="F9" s="339">
        <f>SUM(F45:F61)</f>
        <v>0</v>
      </c>
      <c r="G9" s="340">
        <f>F9/F7</f>
        <v>0</v>
      </c>
      <c r="H9" s="339">
        <f>SUM(H45:H61)</f>
        <v>0</v>
      </c>
      <c r="I9" s="340">
        <f>H9/H7</f>
        <v>0</v>
      </c>
      <c r="J9" s="339">
        <f>SUM(J45:J61)</f>
        <v>0</v>
      </c>
      <c r="K9" s="340">
        <f>J9/J7</f>
        <v>0</v>
      </c>
      <c r="L9" s="339">
        <f>SUM(L45:L61)</f>
        <v>0</v>
      </c>
      <c r="M9" s="340">
        <f>L9/L7</f>
        <v>0</v>
      </c>
      <c r="N9" s="339">
        <f>SUM(N45:N61)</f>
        <v>0</v>
      </c>
      <c r="O9" s="340">
        <f>N9/N7</f>
        <v>0</v>
      </c>
      <c r="P9" s="339">
        <f>SUM(P45:P61)</f>
        <v>0</v>
      </c>
      <c r="Q9" s="340">
        <f>P9/P7</f>
        <v>0</v>
      </c>
      <c r="R9" s="339">
        <f>SUM(R45:R61)</f>
        <v>0</v>
      </c>
      <c r="S9" s="340">
        <f>R9/R7</f>
        <v>0</v>
      </c>
      <c r="T9" s="339">
        <f>SUM(T45:T61)</f>
        <v>0</v>
      </c>
      <c r="U9" s="340">
        <f>T9/T7</f>
        <v>0</v>
      </c>
      <c r="V9" s="339">
        <f>SUM(V45:V61)</f>
        <v>0</v>
      </c>
      <c r="W9" s="340">
        <f>V9/V7</f>
        <v>0</v>
      </c>
      <c r="X9" s="339">
        <f>SUM(X45:X61)</f>
        <v>0</v>
      </c>
      <c r="Y9" s="340">
        <f>X9/X7</f>
        <v>0</v>
      </c>
      <c r="Z9" s="339">
        <f>SUM(Z45:Z61)</f>
        <v>0</v>
      </c>
      <c r="AA9" s="340">
        <f>Z9/Z7</f>
        <v>0</v>
      </c>
      <c r="AB9" s="333"/>
      <c r="AC9" s="339" t="e">
        <f>SUM(AC45:AC61)</f>
        <v>#VALUE!</v>
      </c>
      <c r="AD9" s="341" t="e">
        <f>AC9/AC7</f>
        <v>#VALUE!</v>
      </c>
      <c r="AE9" s="322"/>
      <c r="AF9" s="322"/>
      <c r="AG9" s="322"/>
      <c r="AH9" s="322"/>
      <c r="AI9" s="322"/>
      <c r="AJ9" s="322"/>
      <c r="AK9" s="342"/>
    </row>
    <row r="10" spans="1:37" ht="22.5" customHeight="1">
      <c r="A10" s="612"/>
      <c r="B10" s="613"/>
      <c r="C10" s="343" t="s">
        <v>176</v>
      </c>
      <c r="D10" s="344">
        <f>SUM(D8:D9)</f>
        <v>0</v>
      </c>
      <c r="E10" s="345">
        <f>D10/D7</f>
        <v>0</v>
      </c>
      <c r="F10" s="344">
        <f>SUM(F8:F9)</f>
        <v>0</v>
      </c>
      <c r="G10" s="345">
        <f>F10/F7</f>
        <v>0</v>
      </c>
      <c r="H10" s="344">
        <f>SUM(H8:H9)</f>
        <v>0</v>
      </c>
      <c r="I10" s="345">
        <f>H10/H7</f>
        <v>0</v>
      </c>
      <c r="J10" s="344">
        <f>SUM(J8:J9)</f>
        <v>0</v>
      </c>
      <c r="K10" s="345">
        <f>J10/J7</f>
        <v>0</v>
      </c>
      <c r="L10" s="344">
        <f>SUM(L8:L9)</f>
        <v>0</v>
      </c>
      <c r="M10" s="345">
        <f>L10/L7</f>
        <v>0</v>
      </c>
      <c r="N10" s="344">
        <f>SUM(N8:N9)</f>
        <v>0</v>
      </c>
      <c r="O10" s="345">
        <f>N10/N7</f>
        <v>0</v>
      </c>
      <c r="P10" s="344">
        <f>SUM(P8:P9)</f>
        <v>0</v>
      </c>
      <c r="Q10" s="345">
        <f>P10/P7</f>
        <v>0</v>
      </c>
      <c r="R10" s="344">
        <f>SUM(R8:R9)</f>
        <v>0</v>
      </c>
      <c r="S10" s="345">
        <f>R10/R7</f>
        <v>0</v>
      </c>
      <c r="T10" s="344">
        <f>SUM(T8:T9)</f>
        <v>0</v>
      </c>
      <c r="U10" s="345">
        <f>T10/T7</f>
        <v>0</v>
      </c>
      <c r="V10" s="344">
        <f>SUM(V8:V9)</f>
        <v>0</v>
      </c>
      <c r="W10" s="345">
        <f>V10/V7</f>
        <v>0</v>
      </c>
      <c r="X10" s="344">
        <f>SUM(X8:X9)</f>
        <v>0</v>
      </c>
      <c r="Y10" s="345">
        <f>X10/X7</f>
        <v>0</v>
      </c>
      <c r="Z10" s="344">
        <f>SUM(Z8:Z9)</f>
        <v>0</v>
      </c>
      <c r="AA10" s="345">
        <f>Z10/Z7</f>
        <v>0</v>
      </c>
      <c r="AB10" s="346"/>
      <c r="AC10" s="344" t="e">
        <f>SUM(AC8:AC9)</f>
        <v>#VALUE!</v>
      </c>
      <c r="AD10" s="347" t="e">
        <f>AC10/AC7</f>
        <v>#VALUE!</v>
      </c>
      <c r="AE10" s="348"/>
      <c r="AF10" s="322"/>
      <c r="AG10" s="348"/>
      <c r="AH10" s="348"/>
      <c r="AI10" s="348"/>
      <c r="AJ10" s="348"/>
      <c r="AK10" s="348"/>
    </row>
    <row r="11" spans="1:37" ht="15" customHeight="1" outlineLevel="1">
      <c r="A11" s="610" t="s">
        <v>231</v>
      </c>
      <c r="B11" s="611"/>
      <c r="C11" s="349"/>
      <c r="D11" s="350" t="s">
        <v>243</v>
      </c>
      <c r="E11" s="351" t="s">
        <v>244</v>
      </c>
      <c r="F11" s="350" t="s">
        <v>243</v>
      </c>
      <c r="G11" s="351" t="s">
        <v>244</v>
      </c>
      <c r="H11" s="350" t="s">
        <v>243</v>
      </c>
      <c r="I11" s="351" t="s">
        <v>244</v>
      </c>
      <c r="J11" s="350" t="s">
        <v>243</v>
      </c>
      <c r="K11" s="351" t="s">
        <v>244</v>
      </c>
      <c r="L11" s="350" t="s">
        <v>243</v>
      </c>
      <c r="M11" s="351" t="s">
        <v>244</v>
      </c>
      <c r="N11" s="350" t="s">
        <v>243</v>
      </c>
      <c r="O11" s="351" t="s">
        <v>244</v>
      </c>
      <c r="P11" s="350" t="s">
        <v>243</v>
      </c>
      <c r="Q11" s="351" t="s">
        <v>244</v>
      </c>
      <c r="R11" s="350" t="s">
        <v>243</v>
      </c>
      <c r="S11" s="351" t="s">
        <v>244</v>
      </c>
      <c r="T11" s="350" t="s">
        <v>243</v>
      </c>
      <c r="U11" s="351" t="s">
        <v>244</v>
      </c>
      <c r="V11" s="350" t="s">
        <v>243</v>
      </c>
      <c r="W11" s="351" t="s">
        <v>244</v>
      </c>
      <c r="X11" s="350" t="s">
        <v>243</v>
      </c>
      <c r="Y11" s="351" t="s">
        <v>244</v>
      </c>
      <c r="Z11" s="350" t="s">
        <v>243</v>
      </c>
      <c r="AA11" s="351" t="s">
        <v>244</v>
      </c>
      <c r="AB11" s="352"/>
      <c r="AC11" s="350" t="s">
        <v>243</v>
      </c>
      <c r="AD11" s="353" t="s">
        <v>244</v>
      </c>
      <c r="AE11" s="322"/>
      <c r="AF11" s="322"/>
      <c r="AG11" s="322"/>
      <c r="AH11" s="322"/>
      <c r="AI11" s="322"/>
      <c r="AJ11" s="322"/>
      <c r="AK11" s="322"/>
    </row>
    <row r="12" spans="1:37" ht="15" customHeight="1" outlineLevel="1">
      <c r="A12" s="586"/>
      <c r="B12" s="587"/>
      <c r="C12" s="354" t="s">
        <v>245</v>
      </c>
      <c r="D12" s="355">
        <v>851300</v>
      </c>
      <c r="E12" s="356">
        <f>D12/D7</f>
        <v>0.44718180385564954</v>
      </c>
      <c r="F12" s="355">
        <v>992100</v>
      </c>
      <c r="G12" s="356">
        <f>F12/F7</f>
        <v>0.44047328345949788</v>
      </c>
      <c r="H12" s="355">
        <v>1161700</v>
      </c>
      <c r="I12" s="356">
        <f>H12/H7</f>
        <v>0.46467070658586829</v>
      </c>
      <c r="J12" s="355">
        <v>1247800</v>
      </c>
      <c r="K12" s="356">
        <f>J12/J7</f>
        <v>0.45663470687257557</v>
      </c>
      <c r="L12" s="355">
        <v>1273400</v>
      </c>
      <c r="M12" s="356">
        <f>L12/L7</f>
        <v>0.4360734893755458</v>
      </c>
      <c r="N12" s="355">
        <v>1369450</v>
      </c>
      <c r="O12" s="356">
        <f>N12/N7</f>
        <v>0.44691926114483388</v>
      </c>
      <c r="P12" s="355">
        <v>1010700</v>
      </c>
      <c r="Q12" s="356">
        <f>P12/P7</f>
        <v>0.42252461277983322</v>
      </c>
      <c r="R12" s="355">
        <v>874880</v>
      </c>
      <c r="S12" s="356">
        <f>R12/R7</f>
        <v>0.42376715281444205</v>
      </c>
      <c r="T12" s="355">
        <v>1022300</v>
      </c>
      <c r="U12" s="356">
        <f>T12/T7</f>
        <v>0.44071303860496197</v>
      </c>
      <c r="V12" s="355">
        <v>1112950</v>
      </c>
      <c r="W12" s="356">
        <f>V12/V7</f>
        <v>0.41652320359281436</v>
      </c>
      <c r="X12" s="355">
        <v>960150</v>
      </c>
      <c r="Y12" s="356">
        <f>X12/X7</f>
        <v>0.43440787241262302</v>
      </c>
      <c r="Z12" s="355">
        <v>1066450</v>
      </c>
      <c r="AA12" s="356">
        <f>Z12/Z7</f>
        <v>0.45069202324352881</v>
      </c>
      <c r="AB12" s="352"/>
      <c r="AC12" s="357">
        <f t="shared" ref="AC12:AC21" si="0">D12+F12+H12+J12+L12+N12+P12+R12+T12+V12+X12+Z12</f>
        <v>12943180</v>
      </c>
      <c r="AD12" s="358">
        <f t="shared" ref="AD12:AD21" si="1">AC12/$AC$7</f>
        <v>0.44027746312816818</v>
      </c>
      <c r="AE12" s="322"/>
      <c r="AF12" s="322"/>
      <c r="AG12" s="322"/>
      <c r="AH12" s="322"/>
      <c r="AI12" s="322"/>
      <c r="AJ12" s="322"/>
      <c r="AK12" s="322"/>
    </row>
    <row r="13" spans="1:37" ht="15" customHeight="1" outlineLevel="1">
      <c r="A13" s="586"/>
      <c r="B13" s="587"/>
      <c r="C13" s="354" t="s">
        <v>246</v>
      </c>
      <c r="D13" s="355">
        <v>0</v>
      </c>
      <c r="E13" s="356">
        <f>IFERROR(D13/D12,0)</f>
        <v>0</v>
      </c>
      <c r="F13" s="355">
        <v>0</v>
      </c>
      <c r="G13" s="356">
        <f>IFERROR(F13/F12,0)</f>
        <v>0</v>
      </c>
      <c r="H13" s="355">
        <v>0</v>
      </c>
      <c r="I13" s="356">
        <f>IFERROR(H13/H12,0)</f>
        <v>0</v>
      </c>
      <c r="J13" s="355">
        <v>0</v>
      </c>
      <c r="K13" s="356">
        <f>IFERROR(J13/J12,0)</f>
        <v>0</v>
      </c>
      <c r="L13" s="355">
        <v>0</v>
      </c>
      <c r="M13" s="356">
        <f>IFERROR(L13/L12,0)</f>
        <v>0</v>
      </c>
      <c r="N13" s="355">
        <v>0</v>
      </c>
      <c r="O13" s="356">
        <f>IFERROR(N13/N12,0)</f>
        <v>0</v>
      </c>
      <c r="P13" s="355">
        <v>0</v>
      </c>
      <c r="Q13" s="356">
        <f>IFERROR(P13/P12,0)</f>
        <v>0</v>
      </c>
      <c r="R13" s="355">
        <v>0</v>
      </c>
      <c r="S13" s="356">
        <f>IFERROR(R13/R12,0)</f>
        <v>0</v>
      </c>
      <c r="T13" s="355">
        <v>0</v>
      </c>
      <c r="U13" s="356">
        <f>IFERROR(T13/T12,0)</f>
        <v>0</v>
      </c>
      <c r="V13" s="355">
        <v>0</v>
      </c>
      <c r="W13" s="356">
        <f>IFERROR(V13/V12,0)</f>
        <v>0</v>
      </c>
      <c r="X13" s="355">
        <v>0</v>
      </c>
      <c r="Y13" s="356">
        <f>IFERROR(X13/X12,0)</f>
        <v>0</v>
      </c>
      <c r="Z13" s="355">
        <v>0</v>
      </c>
      <c r="AA13" s="356">
        <f>IFERROR(Z13/Z12,0)</f>
        <v>0</v>
      </c>
      <c r="AB13" s="352"/>
      <c r="AC13" s="357">
        <f t="shared" si="0"/>
        <v>0</v>
      </c>
      <c r="AD13" s="358">
        <f t="shared" si="1"/>
        <v>0</v>
      </c>
      <c r="AE13" s="322"/>
      <c r="AF13" s="322"/>
      <c r="AG13" s="322"/>
      <c r="AH13" s="322"/>
      <c r="AI13" s="322"/>
      <c r="AJ13" s="322"/>
      <c r="AK13" s="322"/>
    </row>
    <row r="14" spans="1:37" ht="15" customHeight="1" outlineLevel="1">
      <c r="A14" s="586"/>
      <c r="B14" s="587"/>
      <c r="C14" s="359" t="s">
        <v>247</v>
      </c>
      <c r="D14" s="360">
        <f>D7-D12</f>
        <v>1052400</v>
      </c>
      <c r="E14" s="361">
        <f>D14/D7</f>
        <v>0.55281819614435046</v>
      </c>
      <c r="F14" s="360">
        <f>F7-F12</f>
        <v>1260250</v>
      </c>
      <c r="G14" s="361">
        <f>F14/F7</f>
        <v>0.55952671654050212</v>
      </c>
      <c r="H14" s="360">
        <f>H7-H12</f>
        <v>1338350</v>
      </c>
      <c r="I14" s="361">
        <f>H14/H7</f>
        <v>0.53532929341413171</v>
      </c>
      <c r="J14" s="360">
        <f>J7-J12</f>
        <v>1484800</v>
      </c>
      <c r="K14" s="361">
        <f>J14/J7</f>
        <v>0.54336529312742443</v>
      </c>
      <c r="L14" s="360">
        <f>L7-L12</f>
        <v>1646750</v>
      </c>
      <c r="M14" s="361">
        <f>L14/L7</f>
        <v>0.5639265106244542</v>
      </c>
      <c r="N14" s="360">
        <f>N7-N12</f>
        <v>1694750</v>
      </c>
      <c r="O14" s="361">
        <f>N14/N7</f>
        <v>0.55308073885516607</v>
      </c>
      <c r="P14" s="360">
        <f>P7-P12</f>
        <v>1381350</v>
      </c>
      <c r="Q14" s="361">
        <f>P14/P7</f>
        <v>0.57747538722016678</v>
      </c>
      <c r="R14" s="360">
        <f>R7-R12</f>
        <v>1189650</v>
      </c>
      <c r="S14" s="361">
        <f>R14/R7</f>
        <v>0.57623284718555801</v>
      </c>
      <c r="T14" s="360">
        <f>T7-T12</f>
        <v>1297350</v>
      </c>
      <c r="U14" s="361">
        <f>T14/T7</f>
        <v>0.55928696139503808</v>
      </c>
      <c r="V14" s="360">
        <f>V7-V12</f>
        <v>1559050</v>
      </c>
      <c r="W14" s="361">
        <f>V14/V7</f>
        <v>0.58347679640718564</v>
      </c>
      <c r="X14" s="360">
        <f>X7-X12</f>
        <v>1250100</v>
      </c>
      <c r="Y14" s="361">
        <f>X14/X7</f>
        <v>0.56559212758737698</v>
      </c>
      <c r="Z14" s="360">
        <f>Z7-Z12</f>
        <v>1299800</v>
      </c>
      <c r="AA14" s="361">
        <f>Z14/Z7</f>
        <v>0.54930797675647125</v>
      </c>
      <c r="AB14" s="352"/>
      <c r="AC14" s="357">
        <f t="shared" si="0"/>
        <v>16454600</v>
      </c>
      <c r="AD14" s="358">
        <f t="shared" si="1"/>
        <v>0.55972253687183182</v>
      </c>
      <c r="AE14" s="322"/>
      <c r="AF14" s="322"/>
      <c r="AG14" s="322"/>
      <c r="AH14" s="322"/>
      <c r="AI14" s="322"/>
      <c r="AJ14" s="322"/>
      <c r="AK14" s="322"/>
    </row>
    <row r="15" spans="1:37" ht="15" customHeight="1" outlineLevel="1">
      <c r="A15" s="612"/>
      <c r="B15" s="613"/>
      <c r="C15" s="362" t="s">
        <v>248</v>
      </c>
      <c r="D15" s="363">
        <v>0</v>
      </c>
      <c r="E15" s="364">
        <f>D14/D7</f>
        <v>0.55281819614435046</v>
      </c>
      <c r="F15" s="363">
        <v>0</v>
      </c>
      <c r="G15" s="364">
        <f>F14/F7</f>
        <v>0.55952671654050212</v>
      </c>
      <c r="H15" s="363">
        <v>0</v>
      </c>
      <c r="I15" s="364">
        <f>IFERROR(H15/H14,0)</f>
        <v>0</v>
      </c>
      <c r="J15" s="363">
        <v>0</v>
      </c>
      <c r="K15" s="364">
        <f>IFERROR(J14/J15,0)</f>
        <v>0</v>
      </c>
      <c r="L15" s="363">
        <v>0</v>
      </c>
      <c r="M15" s="364">
        <f>IFERROR(L15/L14,0)</f>
        <v>0</v>
      </c>
      <c r="N15" s="363">
        <v>0</v>
      </c>
      <c r="O15" s="364">
        <f>IFERROR(N14/N15,0)</f>
        <v>0</v>
      </c>
      <c r="P15" s="363">
        <v>0</v>
      </c>
      <c r="Q15" s="364">
        <f>IFERROR(P14/P15,0)</f>
        <v>0</v>
      </c>
      <c r="R15" s="363">
        <v>0</v>
      </c>
      <c r="S15" s="364">
        <f>IFERROR(R15/R14,0)</f>
        <v>0</v>
      </c>
      <c r="T15" s="363">
        <v>0</v>
      </c>
      <c r="U15" s="364">
        <f>IFERROR(T15/T14,0)</f>
        <v>0</v>
      </c>
      <c r="V15" s="363">
        <v>0</v>
      </c>
      <c r="W15" s="364">
        <f>V14/V7</f>
        <v>0.58347679640718564</v>
      </c>
      <c r="X15" s="363">
        <v>0</v>
      </c>
      <c r="Y15" s="364">
        <f>IFERROR(X15/X14,0)</f>
        <v>0</v>
      </c>
      <c r="Z15" s="363">
        <v>0</v>
      </c>
      <c r="AA15" s="364">
        <f>IFERROR(Z15/Z14,0)</f>
        <v>0</v>
      </c>
      <c r="AB15" s="352"/>
      <c r="AC15" s="365">
        <f t="shared" si="0"/>
        <v>0</v>
      </c>
      <c r="AD15" s="366">
        <f t="shared" si="1"/>
        <v>0</v>
      </c>
      <c r="AE15" s="322"/>
      <c r="AF15" s="322"/>
      <c r="AG15" s="322"/>
      <c r="AH15" s="322"/>
      <c r="AI15" s="322"/>
      <c r="AJ15" s="322"/>
      <c r="AK15" s="322"/>
    </row>
    <row r="16" spans="1:37" ht="15" customHeight="1" outlineLevel="1">
      <c r="A16" s="618" t="s">
        <v>249</v>
      </c>
      <c r="B16" s="611"/>
      <c r="C16" s="349" t="s">
        <v>250</v>
      </c>
      <c r="D16" s="367">
        <f>D28</f>
        <v>0</v>
      </c>
      <c r="E16" s="361">
        <f>D16/D7</f>
        <v>0</v>
      </c>
      <c r="F16" s="367">
        <f>F28</f>
        <v>0</v>
      </c>
      <c r="G16" s="361">
        <f>F16/F7</f>
        <v>0</v>
      </c>
      <c r="H16" s="367">
        <f>H28</f>
        <v>0</v>
      </c>
      <c r="I16" s="361">
        <f>H16/H7</f>
        <v>0</v>
      </c>
      <c r="J16" s="367">
        <f>J28</f>
        <v>0</v>
      </c>
      <c r="K16" s="361">
        <f>J16/J7</f>
        <v>0</v>
      </c>
      <c r="L16" s="367">
        <f>L28</f>
        <v>0</v>
      </c>
      <c r="M16" s="361">
        <f>L16/L7</f>
        <v>0</v>
      </c>
      <c r="N16" s="367">
        <f>N28</f>
        <v>0</v>
      </c>
      <c r="O16" s="361">
        <f>N16/N7</f>
        <v>0</v>
      </c>
      <c r="P16" s="367">
        <f>P28</f>
        <v>0</v>
      </c>
      <c r="Q16" s="361">
        <f>P16/P7</f>
        <v>0</v>
      </c>
      <c r="R16" s="367">
        <f>R28</f>
        <v>0</v>
      </c>
      <c r="S16" s="361">
        <f>R16/R7</f>
        <v>0</v>
      </c>
      <c r="T16" s="367">
        <f>T28</f>
        <v>0</v>
      </c>
      <c r="U16" s="361">
        <f>T16/T7</f>
        <v>0</v>
      </c>
      <c r="V16" s="367">
        <f>V28</f>
        <v>0</v>
      </c>
      <c r="W16" s="361">
        <f>V16/V7</f>
        <v>0</v>
      </c>
      <c r="X16" s="367">
        <f>X28</f>
        <v>0</v>
      </c>
      <c r="Y16" s="361">
        <f>X16/X7</f>
        <v>0</v>
      </c>
      <c r="Z16" s="367">
        <f>Z28</f>
        <v>0</v>
      </c>
      <c r="AA16" s="361">
        <f>Z16/Z7</f>
        <v>0</v>
      </c>
      <c r="AB16" s="352"/>
      <c r="AC16" s="368">
        <f t="shared" si="0"/>
        <v>0</v>
      </c>
      <c r="AD16" s="369">
        <f t="shared" si="1"/>
        <v>0</v>
      </c>
      <c r="AE16" s="322"/>
      <c r="AF16" s="322"/>
      <c r="AG16" s="322"/>
      <c r="AH16" s="322"/>
      <c r="AI16" s="322"/>
      <c r="AJ16" s="322"/>
      <c r="AK16" s="322"/>
    </row>
    <row r="17" spans="1:37" ht="15" customHeight="1" outlineLevel="1">
      <c r="A17" s="586"/>
      <c r="B17" s="587"/>
      <c r="C17" s="370" t="s">
        <v>251</v>
      </c>
      <c r="D17" s="371">
        <f>D54</f>
        <v>0</v>
      </c>
      <c r="E17" s="356">
        <f>D17/D7</f>
        <v>0</v>
      </c>
      <c r="F17" s="371">
        <f>F54</f>
        <v>0</v>
      </c>
      <c r="G17" s="356">
        <f>F17/F7</f>
        <v>0</v>
      </c>
      <c r="H17" s="371">
        <f>H54</f>
        <v>0</v>
      </c>
      <c r="I17" s="356">
        <f>H17/H7</f>
        <v>0</v>
      </c>
      <c r="J17" s="371">
        <f>J54</f>
        <v>0</v>
      </c>
      <c r="K17" s="356">
        <f>J17/J7</f>
        <v>0</v>
      </c>
      <c r="L17" s="371">
        <f>L54</f>
        <v>0</v>
      </c>
      <c r="M17" s="356">
        <f>L17/L7</f>
        <v>0</v>
      </c>
      <c r="N17" s="371">
        <f>N54</f>
        <v>0</v>
      </c>
      <c r="O17" s="356">
        <f>N17/N7</f>
        <v>0</v>
      </c>
      <c r="P17" s="371">
        <f>P54</f>
        <v>0</v>
      </c>
      <c r="Q17" s="356">
        <f>P17/P7</f>
        <v>0</v>
      </c>
      <c r="R17" s="371">
        <f>R54</f>
        <v>0</v>
      </c>
      <c r="S17" s="356">
        <f>R17/R7</f>
        <v>0</v>
      </c>
      <c r="T17" s="371">
        <f>T54</f>
        <v>0</v>
      </c>
      <c r="U17" s="356">
        <f>T17/T7</f>
        <v>0</v>
      </c>
      <c r="V17" s="371">
        <f>V54</f>
        <v>0</v>
      </c>
      <c r="W17" s="356">
        <f>V17/V7</f>
        <v>0</v>
      </c>
      <c r="X17" s="371">
        <f>X54</f>
        <v>0</v>
      </c>
      <c r="Y17" s="356">
        <f>X17/X7</f>
        <v>0</v>
      </c>
      <c r="Z17" s="371">
        <f>Z54</f>
        <v>0</v>
      </c>
      <c r="AA17" s="356">
        <f>Z17/Z7</f>
        <v>0</v>
      </c>
      <c r="AB17" s="352"/>
      <c r="AC17" s="357">
        <f t="shared" si="0"/>
        <v>0</v>
      </c>
      <c r="AD17" s="358">
        <f t="shared" si="1"/>
        <v>0</v>
      </c>
      <c r="AE17" s="322"/>
      <c r="AF17" s="322"/>
      <c r="AG17" s="322"/>
      <c r="AH17" s="322"/>
      <c r="AI17" s="322"/>
      <c r="AJ17" s="322"/>
      <c r="AK17" s="322"/>
    </row>
    <row r="18" spans="1:37" ht="15" customHeight="1" outlineLevel="1">
      <c r="A18" s="612"/>
      <c r="B18" s="613"/>
      <c r="C18" s="372" t="s">
        <v>176</v>
      </c>
      <c r="D18" s="373">
        <f>D16+D17</f>
        <v>0</v>
      </c>
      <c r="E18" s="364">
        <f>D18/D7</f>
        <v>0</v>
      </c>
      <c r="F18" s="373">
        <f>F16+F17</f>
        <v>0</v>
      </c>
      <c r="G18" s="364">
        <f>F18/F7</f>
        <v>0</v>
      </c>
      <c r="H18" s="373">
        <f>H16+H17</f>
        <v>0</v>
      </c>
      <c r="I18" s="364">
        <f>H18/H7</f>
        <v>0</v>
      </c>
      <c r="J18" s="373">
        <f>J16+J17</f>
        <v>0</v>
      </c>
      <c r="K18" s="364">
        <f>J18/J7</f>
        <v>0</v>
      </c>
      <c r="L18" s="373">
        <f>L16+L17</f>
        <v>0</v>
      </c>
      <c r="M18" s="364">
        <f>L18/L7</f>
        <v>0</v>
      </c>
      <c r="N18" s="373">
        <f>N16+N17</f>
        <v>0</v>
      </c>
      <c r="O18" s="364">
        <f>N18/N7</f>
        <v>0</v>
      </c>
      <c r="P18" s="373">
        <f>P16+P17</f>
        <v>0</v>
      </c>
      <c r="Q18" s="364">
        <f>P18/P7</f>
        <v>0</v>
      </c>
      <c r="R18" s="373">
        <f>R16+R17</f>
        <v>0</v>
      </c>
      <c r="S18" s="364">
        <f>R18/R7</f>
        <v>0</v>
      </c>
      <c r="T18" s="373">
        <f>T16+T17</f>
        <v>0</v>
      </c>
      <c r="U18" s="364">
        <f>T18/T7</f>
        <v>0</v>
      </c>
      <c r="V18" s="373">
        <f>V16+V17</f>
        <v>0</v>
      </c>
      <c r="W18" s="364">
        <f>V18/V7</f>
        <v>0</v>
      </c>
      <c r="X18" s="373">
        <f>X16+X17</f>
        <v>0</v>
      </c>
      <c r="Y18" s="364">
        <f>X18/X7</f>
        <v>0</v>
      </c>
      <c r="Z18" s="373">
        <f>Z16+Z17</f>
        <v>0</v>
      </c>
      <c r="AA18" s="364">
        <f>Z18/Z7</f>
        <v>0</v>
      </c>
      <c r="AB18" s="352"/>
      <c r="AC18" s="365">
        <f t="shared" si="0"/>
        <v>0</v>
      </c>
      <c r="AD18" s="366">
        <f t="shared" si="1"/>
        <v>0</v>
      </c>
      <c r="AE18" s="322"/>
      <c r="AF18" s="322"/>
      <c r="AG18" s="322"/>
      <c r="AH18" s="322"/>
      <c r="AI18" s="322"/>
      <c r="AJ18" s="322"/>
      <c r="AK18" s="322"/>
    </row>
    <row r="19" spans="1:37" ht="15" customHeight="1" outlineLevel="1">
      <c r="A19" s="610" t="s">
        <v>252</v>
      </c>
      <c r="B19" s="611"/>
      <c r="C19" s="374" t="s">
        <v>233</v>
      </c>
      <c r="D19" s="375" t="str">
        <f>D45</f>
        <v>#REF!</v>
      </c>
      <c r="E19" s="376" t="e">
        <f>D19/D7</f>
        <v>#VALUE!</v>
      </c>
      <c r="F19" s="375" t="str">
        <f>F45</f>
        <v>#REF!</v>
      </c>
      <c r="G19" s="376" t="e">
        <f>F19/F7</f>
        <v>#VALUE!</v>
      </c>
      <c r="H19" s="375" t="str">
        <f>H45</f>
        <v>#REF!</v>
      </c>
      <c r="I19" s="376" t="e">
        <f>H19/H7</f>
        <v>#VALUE!</v>
      </c>
      <c r="J19" s="375" t="str">
        <f>J45</f>
        <v>#REF!</v>
      </c>
      <c r="K19" s="376" t="e">
        <f>J19/J7</f>
        <v>#VALUE!</v>
      </c>
      <c r="L19" s="375" t="str">
        <f>L45</f>
        <v>#REF!</v>
      </c>
      <c r="M19" s="376" t="e">
        <f>L19/L7</f>
        <v>#VALUE!</v>
      </c>
      <c r="N19" s="375" t="str">
        <f>N45</f>
        <v>#REF!</v>
      </c>
      <c r="O19" s="376" t="e">
        <f>N19/N7</f>
        <v>#VALUE!</v>
      </c>
      <c r="P19" s="375" t="str">
        <f>P45</f>
        <v>#REF!</v>
      </c>
      <c r="Q19" s="376" t="e">
        <f>P19/P7</f>
        <v>#VALUE!</v>
      </c>
      <c r="R19" s="375" t="str">
        <f>R45</f>
        <v>#REF!</v>
      </c>
      <c r="S19" s="376" t="e">
        <f>R19/R7</f>
        <v>#VALUE!</v>
      </c>
      <c r="T19" s="375" t="str">
        <f>T45</f>
        <v>#REF!</v>
      </c>
      <c r="U19" s="376" t="e">
        <f>T19/T7</f>
        <v>#VALUE!</v>
      </c>
      <c r="V19" s="375" t="str">
        <f>V45</f>
        <v>#REF!</v>
      </c>
      <c r="W19" s="376" t="e">
        <f>V19/V7</f>
        <v>#VALUE!</v>
      </c>
      <c r="X19" s="375" t="str">
        <f>X45</f>
        <v>#REF!</v>
      </c>
      <c r="Y19" s="376" t="e">
        <f>X19/X7</f>
        <v>#VALUE!</v>
      </c>
      <c r="Z19" s="375" t="str">
        <f>Z45</f>
        <v>#REF!</v>
      </c>
      <c r="AA19" s="376" t="e">
        <f>Z19/Z7</f>
        <v>#VALUE!</v>
      </c>
      <c r="AB19" s="352"/>
      <c r="AC19" s="368" t="e">
        <f t="shared" si="0"/>
        <v>#VALUE!</v>
      </c>
      <c r="AD19" s="369" t="e">
        <f t="shared" si="1"/>
        <v>#VALUE!</v>
      </c>
      <c r="AE19" s="322"/>
      <c r="AF19" s="322"/>
      <c r="AG19" s="322"/>
      <c r="AH19" s="322"/>
      <c r="AI19" s="322"/>
      <c r="AJ19" s="322"/>
      <c r="AK19" s="322"/>
    </row>
    <row r="20" spans="1:37" ht="15" customHeight="1" outlineLevel="1">
      <c r="A20" s="586"/>
      <c r="B20" s="587"/>
      <c r="C20" s="354" t="s">
        <v>253</v>
      </c>
      <c r="D20" s="377">
        <f>D54</f>
        <v>0</v>
      </c>
      <c r="E20" s="356">
        <f>D20/D7</f>
        <v>0</v>
      </c>
      <c r="F20" s="377">
        <f>F54</f>
        <v>0</v>
      </c>
      <c r="G20" s="356">
        <f>F20/F7</f>
        <v>0</v>
      </c>
      <c r="H20" s="377">
        <f>H54</f>
        <v>0</v>
      </c>
      <c r="I20" s="356">
        <f>H20/H7</f>
        <v>0</v>
      </c>
      <c r="J20" s="377">
        <f>J54</f>
        <v>0</v>
      </c>
      <c r="K20" s="356">
        <f>J20/J7</f>
        <v>0</v>
      </c>
      <c r="L20" s="377">
        <f>L54</f>
        <v>0</v>
      </c>
      <c r="M20" s="356">
        <f>L20/L7</f>
        <v>0</v>
      </c>
      <c r="N20" s="377">
        <f>N54</f>
        <v>0</v>
      </c>
      <c r="O20" s="356">
        <f>N20/N7</f>
        <v>0</v>
      </c>
      <c r="P20" s="377">
        <f>P54</f>
        <v>0</v>
      </c>
      <c r="Q20" s="356">
        <f>P20/P7</f>
        <v>0</v>
      </c>
      <c r="R20" s="377">
        <f>R54</f>
        <v>0</v>
      </c>
      <c r="S20" s="356">
        <f>R20/R7</f>
        <v>0</v>
      </c>
      <c r="T20" s="377">
        <f>T54</f>
        <v>0</v>
      </c>
      <c r="U20" s="356">
        <f>T20/T7</f>
        <v>0</v>
      </c>
      <c r="V20" s="377">
        <f>V54</f>
        <v>0</v>
      </c>
      <c r="W20" s="356">
        <f>V20/V7</f>
        <v>0</v>
      </c>
      <c r="X20" s="377">
        <f>X54</f>
        <v>0</v>
      </c>
      <c r="Y20" s="356">
        <f>X20/X7</f>
        <v>0</v>
      </c>
      <c r="Z20" s="377">
        <f>Z54</f>
        <v>0</v>
      </c>
      <c r="AA20" s="356">
        <f>Z20/Z7</f>
        <v>0</v>
      </c>
      <c r="AB20" s="352"/>
      <c r="AC20" s="357">
        <f t="shared" si="0"/>
        <v>0</v>
      </c>
      <c r="AD20" s="358">
        <f t="shared" si="1"/>
        <v>0</v>
      </c>
      <c r="AE20" s="322"/>
      <c r="AF20" s="322"/>
      <c r="AG20" s="322"/>
      <c r="AH20" s="322"/>
      <c r="AI20" s="322"/>
      <c r="AJ20" s="322"/>
      <c r="AK20" s="322"/>
    </row>
    <row r="21" spans="1:37" ht="15" customHeight="1" outlineLevel="1">
      <c r="A21" s="612"/>
      <c r="B21" s="613"/>
      <c r="C21" s="362" t="s">
        <v>176</v>
      </c>
      <c r="D21" s="378" t="e">
        <f t="shared" ref="D21:AA21" si="2">D19+D20</f>
        <v>#VALUE!</v>
      </c>
      <c r="E21" s="364" t="e">
        <f t="shared" si="2"/>
        <v>#VALUE!</v>
      </c>
      <c r="F21" s="378" t="e">
        <f t="shared" si="2"/>
        <v>#VALUE!</v>
      </c>
      <c r="G21" s="364" t="e">
        <f t="shared" si="2"/>
        <v>#VALUE!</v>
      </c>
      <c r="H21" s="378" t="e">
        <f t="shared" si="2"/>
        <v>#VALUE!</v>
      </c>
      <c r="I21" s="364" t="e">
        <f t="shared" si="2"/>
        <v>#VALUE!</v>
      </c>
      <c r="J21" s="378" t="e">
        <f t="shared" si="2"/>
        <v>#VALUE!</v>
      </c>
      <c r="K21" s="364" t="e">
        <f t="shared" si="2"/>
        <v>#VALUE!</v>
      </c>
      <c r="L21" s="378" t="e">
        <f t="shared" si="2"/>
        <v>#VALUE!</v>
      </c>
      <c r="M21" s="364" t="e">
        <f t="shared" si="2"/>
        <v>#VALUE!</v>
      </c>
      <c r="N21" s="378" t="e">
        <f t="shared" si="2"/>
        <v>#VALUE!</v>
      </c>
      <c r="O21" s="364" t="e">
        <f t="shared" si="2"/>
        <v>#VALUE!</v>
      </c>
      <c r="P21" s="378" t="e">
        <f t="shared" si="2"/>
        <v>#VALUE!</v>
      </c>
      <c r="Q21" s="364" t="e">
        <f t="shared" si="2"/>
        <v>#VALUE!</v>
      </c>
      <c r="R21" s="378" t="e">
        <f t="shared" si="2"/>
        <v>#VALUE!</v>
      </c>
      <c r="S21" s="364" t="e">
        <f t="shared" si="2"/>
        <v>#VALUE!</v>
      </c>
      <c r="T21" s="378" t="e">
        <f t="shared" si="2"/>
        <v>#VALUE!</v>
      </c>
      <c r="U21" s="364" t="e">
        <f t="shared" si="2"/>
        <v>#VALUE!</v>
      </c>
      <c r="V21" s="378" t="e">
        <f t="shared" si="2"/>
        <v>#VALUE!</v>
      </c>
      <c r="W21" s="364" t="e">
        <f t="shared" si="2"/>
        <v>#VALUE!</v>
      </c>
      <c r="X21" s="378" t="e">
        <f t="shared" si="2"/>
        <v>#VALUE!</v>
      </c>
      <c r="Y21" s="364" t="e">
        <f t="shared" si="2"/>
        <v>#VALUE!</v>
      </c>
      <c r="Z21" s="378" t="e">
        <f t="shared" si="2"/>
        <v>#VALUE!</v>
      </c>
      <c r="AA21" s="364" t="e">
        <f t="shared" si="2"/>
        <v>#VALUE!</v>
      </c>
      <c r="AB21" s="352"/>
      <c r="AC21" s="365" t="e">
        <f t="shared" si="0"/>
        <v>#VALUE!</v>
      </c>
      <c r="AD21" s="366" t="e">
        <f t="shared" si="1"/>
        <v>#VALUE!</v>
      </c>
      <c r="AE21" s="322"/>
      <c r="AF21" s="322"/>
      <c r="AG21" s="322"/>
      <c r="AH21" s="322"/>
      <c r="AI21" s="322"/>
      <c r="AJ21" s="322"/>
      <c r="AK21" s="322"/>
    </row>
    <row r="22" spans="1:37" ht="18" customHeight="1" outlineLevel="1">
      <c r="A22" s="616" t="s">
        <v>254</v>
      </c>
      <c r="B22" s="617"/>
      <c r="C22" s="615"/>
      <c r="D22" s="614" t="e">
        <f>(D7-D21)/D7</f>
        <v>#VALUE!</v>
      </c>
      <c r="E22" s="615"/>
      <c r="F22" s="614" t="e">
        <f>(F7-F21)/F7</f>
        <v>#VALUE!</v>
      </c>
      <c r="G22" s="615"/>
      <c r="H22" s="614" t="e">
        <f>(H7-H21)/H7</f>
        <v>#VALUE!</v>
      </c>
      <c r="I22" s="615"/>
      <c r="J22" s="614" t="e">
        <f>(J7-J21)/J7</f>
        <v>#VALUE!</v>
      </c>
      <c r="K22" s="615"/>
      <c r="L22" s="614" t="e">
        <f>(L7-L21)/L7</f>
        <v>#VALUE!</v>
      </c>
      <c r="M22" s="615"/>
      <c r="N22" s="614" t="e">
        <f>(N7-N21)/N7</f>
        <v>#VALUE!</v>
      </c>
      <c r="O22" s="615"/>
      <c r="P22" s="614" t="e">
        <f>(P7-P21)/P7</f>
        <v>#VALUE!</v>
      </c>
      <c r="Q22" s="615"/>
      <c r="R22" s="614" t="e">
        <f>(R7-R21)/R7</f>
        <v>#VALUE!</v>
      </c>
      <c r="S22" s="615"/>
      <c r="T22" s="614" t="e">
        <f>(T7-T21)/T7</f>
        <v>#VALUE!</v>
      </c>
      <c r="U22" s="615"/>
      <c r="V22" s="614" t="e">
        <f>(V7-V21)/V7</f>
        <v>#VALUE!</v>
      </c>
      <c r="W22" s="615"/>
      <c r="X22" s="614" t="e">
        <f>(X7-X21)/X7</f>
        <v>#VALUE!</v>
      </c>
      <c r="Y22" s="615"/>
      <c r="Z22" s="614" t="e">
        <f>(Z7-Z21)/Z7</f>
        <v>#VALUE!</v>
      </c>
      <c r="AA22" s="615"/>
      <c r="AB22" s="352"/>
      <c r="AC22" s="614" t="e">
        <f>(AC7-AC21)/AC7</f>
        <v>#VALUE!</v>
      </c>
      <c r="AD22" s="615"/>
      <c r="AE22" s="322"/>
      <c r="AF22" s="322"/>
      <c r="AG22" s="322"/>
      <c r="AH22" s="322"/>
      <c r="AI22" s="322"/>
      <c r="AJ22" s="322"/>
      <c r="AK22" s="322"/>
    </row>
    <row r="23" spans="1:37" ht="22.5" customHeight="1" outlineLevel="1">
      <c r="A23" s="621" t="s">
        <v>255</v>
      </c>
      <c r="B23" s="617"/>
      <c r="C23" s="615"/>
      <c r="D23" s="379">
        <f>D7-D10</f>
        <v>1903700</v>
      </c>
      <c r="E23" s="380">
        <f>D23/D7</f>
        <v>1</v>
      </c>
      <c r="F23" s="379">
        <f>F7-F10</f>
        <v>2252350</v>
      </c>
      <c r="G23" s="380">
        <f>F23/F7</f>
        <v>1</v>
      </c>
      <c r="H23" s="379">
        <f>H7-H10</f>
        <v>2500050</v>
      </c>
      <c r="I23" s="380">
        <f>H23/H7</f>
        <v>1</v>
      </c>
      <c r="J23" s="379">
        <f>J7-J10</f>
        <v>2732600</v>
      </c>
      <c r="K23" s="380">
        <f>J23/J7</f>
        <v>1</v>
      </c>
      <c r="L23" s="379">
        <f>L7-L10</f>
        <v>2920150</v>
      </c>
      <c r="M23" s="380">
        <f>L23/L7</f>
        <v>1</v>
      </c>
      <c r="N23" s="379">
        <f>N7-N10</f>
        <v>3064200</v>
      </c>
      <c r="O23" s="380">
        <f>N23/N7</f>
        <v>1</v>
      </c>
      <c r="P23" s="379">
        <f>P7-P10</f>
        <v>2392050</v>
      </c>
      <c r="Q23" s="380">
        <f>P23/P7</f>
        <v>1</v>
      </c>
      <c r="R23" s="379">
        <f>R7-R10</f>
        <v>2064530</v>
      </c>
      <c r="S23" s="380">
        <f>R23/R7</f>
        <v>1</v>
      </c>
      <c r="T23" s="379">
        <f>T7-T10</f>
        <v>2319650</v>
      </c>
      <c r="U23" s="380">
        <f>T23/T7</f>
        <v>1</v>
      </c>
      <c r="V23" s="379">
        <f>V7-V10</f>
        <v>2672000</v>
      </c>
      <c r="W23" s="380">
        <f>V23/V7</f>
        <v>1</v>
      </c>
      <c r="X23" s="379">
        <f>X7-X10</f>
        <v>2210250</v>
      </c>
      <c r="Y23" s="380">
        <f>X23/X7</f>
        <v>1</v>
      </c>
      <c r="Z23" s="379">
        <f>Z7-Z10</f>
        <v>2366250</v>
      </c>
      <c r="AA23" s="380">
        <f>Z23/Z7</f>
        <v>1</v>
      </c>
      <c r="AB23" s="333"/>
      <c r="AC23" s="381" t="e">
        <f>AC7-AC10</f>
        <v>#VALUE!</v>
      </c>
      <c r="AD23" s="382" t="e">
        <f>AC23/AC7</f>
        <v>#VALUE!</v>
      </c>
      <c r="AE23" s="322"/>
      <c r="AF23" s="322"/>
      <c r="AG23" s="322"/>
      <c r="AH23" s="322"/>
      <c r="AI23" s="322"/>
      <c r="AJ23" s="322"/>
      <c r="AK23" s="322"/>
    </row>
    <row r="24" spans="1:37" ht="22.5" customHeight="1" outlineLevel="1">
      <c r="A24" s="383"/>
      <c r="B24" s="383"/>
      <c r="C24" s="384"/>
      <c r="D24" s="619" t="s">
        <v>20</v>
      </c>
      <c r="E24" s="620"/>
      <c r="F24" s="619" t="s">
        <v>23</v>
      </c>
      <c r="G24" s="620"/>
      <c r="H24" s="619" t="s">
        <v>27</v>
      </c>
      <c r="I24" s="620"/>
      <c r="J24" s="619" t="s">
        <v>29</v>
      </c>
      <c r="K24" s="620"/>
      <c r="L24" s="619" t="s">
        <v>33</v>
      </c>
      <c r="M24" s="620"/>
      <c r="N24" s="619" t="s">
        <v>57</v>
      </c>
      <c r="O24" s="620"/>
      <c r="P24" s="619" t="s">
        <v>58</v>
      </c>
      <c r="Q24" s="620"/>
      <c r="R24" s="619" t="s">
        <v>59</v>
      </c>
      <c r="S24" s="620"/>
      <c r="T24" s="619" t="s">
        <v>60</v>
      </c>
      <c r="U24" s="620"/>
      <c r="V24" s="619" t="s">
        <v>61</v>
      </c>
      <c r="W24" s="620"/>
      <c r="X24" s="619" t="s">
        <v>62</v>
      </c>
      <c r="Y24" s="620"/>
      <c r="Z24" s="619" t="s">
        <v>63</v>
      </c>
      <c r="AA24" s="591"/>
      <c r="AB24" s="333"/>
      <c r="AC24" s="385"/>
      <c r="AD24" s="385"/>
      <c r="AE24" s="322"/>
      <c r="AF24" s="322"/>
      <c r="AG24" s="322"/>
      <c r="AH24" s="322"/>
      <c r="AI24" s="322"/>
      <c r="AJ24" s="322"/>
      <c r="AK24" s="322"/>
    </row>
    <row r="25" spans="1:37" ht="12.75" customHeight="1" outlineLevel="1">
      <c r="A25" s="386"/>
      <c r="B25" s="386"/>
      <c r="C25" s="331" t="s">
        <v>160</v>
      </c>
      <c r="D25" s="594">
        <v>21</v>
      </c>
      <c r="E25" s="595"/>
      <c r="F25" s="594">
        <v>25</v>
      </c>
      <c r="G25" s="595"/>
      <c r="H25" s="594">
        <v>25</v>
      </c>
      <c r="I25" s="595"/>
      <c r="J25" s="594">
        <v>25</v>
      </c>
      <c r="K25" s="595"/>
      <c r="L25" s="594">
        <v>25</v>
      </c>
      <c r="M25" s="595"/>
      <c r="N25" s="594">
        <v>26</v>
      </c>
      <c r="O25" s="595"/>
      <c r="P25" s="594">
        <v>25</v>
      </c>
      <c r="Q25" s="595"/>
      <c r="R25" s="594">
        <v>22</v>
      </c>
      <c r="S25" s="595"/>
      <c r="T25" s="594">
        <v>23</v>
      </c>
      <c r="U25" s="595"/>
      <c r="V25" s="594">
        <v>26</v>
      </c>
      <c r="W25" s="595"/>
      <c r="X25" s="594">
        <v>25</v>
      </c>
      <c r="Y25" s="595"/>
      <c r="Z25" s="594">
        <v>25</v>
      </c>
      <c r="AA25" s="596"/>
      <c r="AB25" s="333"/>
      <c r="AC25" s="387"/>
      <c r="AD25" s="387"/>
      <c r="AE25" s="322"/>
      <c r="AF25" s="322"/>
      <c r="AG25" s="322"/>
      <c r="AH25" s="322"/>
      <c r="AI25" s="322"/>
      <c r="AJ25" s="322"/>
      <c r="AK25" s="322"/>
    </row>
    <row r="26" spans="1:37" ht="12.75" customHeight="1">
      <c r="A26" s="388"/>
      <c r="B26" s="389"/>
      <c r="C26" s="390"/>
      <c r="D26" s="391" t="s">
        <v>256</v>
      </c>
      <c r="E26" s="392" t="s">
        <v>257</v>
      </c>
      <c r="F26" s="391" t="s">
        <v>256</v>
      </c>
      <c r="G26" s="392" t="s">
        <v>257</v>
      </c>
      <c r="H26" s="391" t="s">
        <v>256</v>
      </c>
      <c r="I26" s="392" t="s">
        <v>257</v>
      </c>
      <c r="J26" s="391" t="s">
        <v>256</v>
      </c>
      <c r="K26" s="392" t="s">
        <v>257</v>
      </c>
      <c r="L26" s="391" t="s">
        <v>256</v>
      </c>
      <c r="M26" s="392" t="s">
        <v>257</v>
      </c>
      <c r="N26" s="391" t="s">
        <v>256</v>
      </c>
      <c r="O26" s="392" t="s">
        <v>257</v>
      </c>
      <c r="P26" s="391" t="s">
        <v>256</v>
      </c>
      <c r="Q26" s="392" t="s">
        <v>257</v>
      </c>
      <c r="R26" s="391" t="s">
        <v>256</v>
      </c>
      <c r="S26" s="392" t="s">
        <v>257</v>
      </c>
      <c r="T26" s="391" t="s">
        <v>256</v>
      </c>
      <c r="U26" s="392" t="s">
        <v>257</v>
      </c>
      <c r="V26" s="391" t="s">
        <v>256</v>
      </c>
      <c r="W26" s="392" t="s">
        <v>257</v>
      </c>
      <c r="X26" s="391" t="s">
        <v>256</v>
      </c>
      <c r="Y26" s="392" t="s">
        <v>257</v>
      </c>
      <c r="Z26" s="391" t="s">
        <v>256</v>
      </c>
      <c r="AA26" s="393" t="s">
        <v>257</v>
      </c>
      <c r="AB26" s="394"/>
      <c r="AC26" s="395" t="s">
        <v>256</v>
      </c>
      <c r="AD26" s="396" t="s">
        <v>257</v>
      </c>
      <c r="AE26" s="322"/>
      <c r="AF26" s="322"/>
      <c r="AG26" s="322"/>
      <c r="AH26" s="322"/>
      <c r="AI26" s="322"/>
      <c r="AJ26" s="322"/>
      <c r="AK26" s="322"/>
    </row>
    <row r="27" spans="1:37" ht="12.75" customHeight="1" outlineLevel="1">
      <c r="A27" s="597" t="s">
        <v>258</v>
      </c>
      <c r="B27" s="600" t="s">
        <v>241</v>
      </c>
      <c r="C27" s="397" t="s">
        <v>259</v>
      </c>
      <c r="D27" s="398">
        <f>'[2]リトローボ(非表示予定)'!B9</f>
        <v>0</v>
      </c>
      <c r="E27" s="399">
        <f t="shared" ref="E27:E63" si="3">D27/D$7</f>
        <v>0</v>
      </c>
      <c r="F27" s="398">
        <f>'[2]リトローボ(非表示予定)'!D9</f>
        <v>0</v>
      </c>
      <c r="G27" s="399">
        <f t="shared" ref="G27:G63" si="4">F27/F$7</f>
        <v>0</v>
      </c>
      <c r="H27" s="398">
        <f>'[2]リトローボ(非表示予定)'!F9</f>
        <v>0</v>
      </c>
      <c r="I27" s="399">
        <f t="shared" ref="I27:I63" si="5">H27/H$7</f>
        <v>0</v>
      </c>
      <c r="J27" s="398">
        <f>'[2]リトローボ(非表示予定)'!H9</f>
        <v>0</v>
      </c>
      <c r="K27" s="399">
        <f t="shared" ref="K27:K63" si="6">J27/J$7</f>
        <v>0</v>
      </c>
      <c r="L27" s="398">
        <f>'[2]リトローボ(非表示予定)'!J9</f>
        <v>0</v>
      </c>
      <c r="M27" s="399">
        <f t="shared" ref="M27:M63" si="7">L27/L$7</f>
        <v>0</v>
      </c>
      <c r="N27" s="398">
        <f>'[2]リトローボ(非表示予定)'!L9</f>
        <v>0</v>
      </c>
      <c r="O27" s="399">
        <f t="shared" ref="O27:O63" si="8">N27/N$7</f>
        <v>0</v>
      </c>
      <c r="P27" s="398">
        <f>'[2]リトローボ(非表示予定)'!N9</f>
        <v>0</v>
      </c>
      <c r="Q27" s="399">
        <f t="shared" ref="Q27:Q63" si="9">P27/P$7</f>
        <v>0</v>
      </c>
      <c r="R27" s="398">
        <f>'[2]リトローボ(非表示予定)'!P9</f>
        <v>0</v>
      </c>
      <c r="S27" s="399">
        <f t="shared" ref="S27:S63" si="10">R27/R$7</f>
        <v>0</v>
      </c>
      <c r="T27" s="398">
        <f>'[2]リトローボ(非表示予定)'!R9</f>
        <v>0</v>
      </c>
      <c r="U27" s="399">
        <f t="shared" ref="U27:U63" si="11">T27/T$7</f>
        <v>0</v>
      </c>
      <c r="V27" s="398">
        <f>'[2]リトローボ(非表示予定)'!T9</f>
        <v>0</v>
      </c>
      <c r="W27" s="399">
        <f t="shared" ref="W27:W63" si="12">V27/V$7</f>
        <v>0</v>
      </c>
      <c r="X27" s="398">
        <f>'[2]リトローボ(非表示予定)'!V9</f>
        <v>0</v>
      </c>
      <c r="Y27" s="399">
        <f t="shared" ref="Y27:Y63" si="13">X27/X$7</f>
        <v>0</v>
      </c>
      <c r="Z27" s="398">
        <f>'[2]リトローボ(非表示予定)'!X9</f>
        <v>0</v>
      </c>
      <c r="AA27" s="400">
        <f t="shared" ref="AA27:AA63" si="14">Z27/Z$7</f>
        <v>0</v>
      </c>
      <c r="AB27" s="394"/>
      <c r="AC27" s="401">
        <f t="shared" ref="AC27:AC62" si="15">D27+F27+H27+J27+L27+N27+P27+R27+T27+V27+X27+Z27</f>
        <v>0</v>
      </c>
      <c r="AD27" s="402">
        <f t="shared" ref="AD27:AD63" si="16">AC27/AC$7</f>
        <v>0</v>
      </c>
      <c r="AE27" s="322"/>
      <c r="AF27" s="322"/>
      <c r="AG27" s="322"/>
      <c r="AH27" s="322"/>
      <c r="AI27" s="322"/>
      <c r="AJ27" s="322"/>
      <c r="AK27" s="322"/>
    </row>
    <row r="28" spans="1:37" ht="12.75" customHeight="1" outlineLevel="1">
      <c r="A28" s="598"/>
      <c r="B28" s="601"/>
      <c r="C28" s="403" t="s">
        <v>260</v>
      </c>
      <c r="D28" s="404">
        <f>'[2]リトローボ(非表示予定)'!B8</f>
        <v>0</v>
      </c>
      <c r="E28" s="405">
        <f t="shared" si="3"/>
        <v>0</v>
      </c>
      <c r="F28" s="404">
        <f>'[2]リトローボ(非表示予定)'!D8</f>
        <v>0</v>
      </c>
      <c r="G28" s="405">
        <f t="shared" si="4"/>
        <v>0</v>
      </c>
      <c r="H28" s="404">
        <f>'[2]リトローボ(非表示予定)'!F8</f>
        <v>0</v>
      </c>
      <c r="I28" s="405">
        <f t="shared" si="5"/>
        <v>0</v>
      </c>
      <c r="J28" s="404">
        <f>'[2]リトローボ(非表示予定)'!H8</f>
        <v>0</v>
      </c>
      <c r="K28" s="405">
        <f t="shared" si="6"/>
        <v>0</v>
      </c>
      <c r="L28" s="404">
        <f>'[2]リトローボ(非表示予定)'!J8</f>
        <v>0</v>
      </c>
      <c r="M28" s="405">
        <f t="shared" si="7"/>
        <v>0</v>
      </c>
      <c r="N28" s="404">
        <f>'[2]リトローボ(非表示予定)'!L8</f>
        <v>0</v>
      </c>
      <c r="O28" s="405">
        <f t="shared" si="8"/>
        <v>0</v>
      </c>
      <c r="P28" s="404">
        <f>'[2]リトローボ(非表示予定)'!N8</f>
        <v>0</v>
      </c>
      <c r="Q28" s="405">
        <f t="shared" si="9"/>
        <v>0</v>
      </c>
      <c r="R28" s="404">
        <f>'[2]リトローボ(非表示予定)'!P8</f>
        <v>0</v>
      </c>
      <c r="S28" s="405">
        <f t="shared" si="10"/>
        <v>0</v>
      </c>
      <c r="T28" s="404">
        <f>'[2]リトローボ(非表示予定)'!R8</f>
        <v>0</v>
      </c>
      <c r="U28" s="405">
        <f t="shared" si="11"/>
        <v>0</v>
      </c>
      <c r="V28" s="404">
        <f>'[2]リトローボ(非表示予定)'!T8</f>
        <v>0</v>
      </c>
      <c r="W28" s="405">
        <f t="shared" si="12"/>
        <v>0</v>
      </c>
      <c r="X28" s="404">
        <f>'[2]リトローボ(非表示予定)'!V8</f>
        <v>0</v>
      </c>
      <c r="Y28" s="405">
        <f t="shared" si="13"/>
        <v>0</v>
      </c>
      <c r="Z28" s="404">
        <f>'[2]リトローボ(非表示予定)'!X8</f>
        <v>0</v>
      </c>
      <c r="AA28" s="406">
        <f t="shared" si="14"/>
        <v>0</v>
      </c>
      <c r="AB28" s="394"/>
      <c r="AC28" s="407">
        <f t="shared" si="15"/>
        <v>0</v>
      </c>
      <c r="AD28" s="408">
        <f t="shared" si="16"/>
        <v>0</v>
      </c>
      <c r="AE28" s="322"/>
      <c r="AF28" s="322"/>
      <c r="AG28" s="322"/>
      <c r="AH28" s="322"/>
      <c r="AI28" s="322"/>
      <c r="AJ28" s="322"/>
      <c r="AK28" s="322"/>
    </row>
    <row r="29" spans="1:37" ht="12.75" customHeight="1" outlineLevel="1">
      <c r="A29" s="598"/>
      <c r="B29" s="601"/>
      <c r="C29" s="409" t="s">
        <v>261</v>
      </c>
      <c r="D29" s="410">
        <v>0</v>
      </c>
      <c r="E29" s="405">
        <f t="shared" si="3"/>
        <v>0</v>
      </c>
      <c r="F29" s="410">
        <v>0</v>
      </c>
      <c r="G29" s="405">
        <f t="shared" si="4"/>
        <v>0</v>
      </c>
      <c r="H29" s="410">
        <v>0</v>
      </c>
      <c r="I29" s="405">
        <f t="shared" si="5"/>
        <v>0</v>
      </c>
      <c r="J29" s="410">
        <v>0</v>
      </c>
      <c r="K29" s="405">
        <f t="shared" si="6"/>
        <v>0</v>
      </c>
      <c r="L29" s="410">
        <v>0</v>
      </c>
      <c r="M29" s="405">
        <f t="shared" si="7"/>
        <v>0</v>
      </c>
      <c r="N29" s="410">
        <v>0</v>
      </c>
      <c r="O29" s="405">
        <f t="shared" si="8"/>
        <v>0</v>
      </c>
      <c r="P29" s="410">
        <v>0</v>
      </c>
      <c r="Q29" s="405">
        <f t="shared" si="9"/>
        <v>0</v>
      </c>
      <c r="R29" s="410">
        <v>0</v>
      </c>
      <c r="S29" s="405">
        <f t="shared" si="10"/>
        <v>0</v>
      </c>
      <c r="T29" s="410">
        <v>0</v>
      </c>
      <c r="U29" s="405">
        <f t="shared" si="11"/>
        <v>0</v>
      </c>
      <c r="V29" s="410">
        <v>0</v>
      </c>
      <c r="W29" s="405">
        <f t="shared" si="12"/>
        <v>0</v>
      </c>
      <c r="X29" s="410">
        <v>0</v>
      </c>
      <c r="Y29" s="405">
        <f t="shared" si="13"/>
        <v>0</v>
      </c>
      <c r="Z29" s="410">
        <v>0</v>
      </c>
      <c r="AA29" s="406">
        <f t="shared" si="14"/>
        <v>0</v>
      </c>
      <c r="AB29" s="394"/>
      <c r="AC29" s="407">
        <f t="shared" si="15"/>
        <v>0</v>
      </c>
      <c r="AD29" s="408">
        <f t="shared" si="16"/>
        <v>0</v>
      </c>
      <c r="AE29" s="322"/>
      <c r="AF29" s="322"/>
      <c r="AG29" s="322"/>
      <c r="AH29" s="322"/>
      <c r="AI29" s="322"/>
      <c r="AJ29" s="322"/>
      <c r="AK29" s="322"/>
    </row>
    <row r="30" spans="1:37" ht="12.75" customHeight="1" outlineLevel="1">
      <c r="A30" s="598"/>
      <c r="B30" s="601"/>
      <c r="C30" s="409" t="s">
        <v>262</v>
      </c>
      <c r="D30" s="410">
        <v>0</v>
      </c>
      <c r="E30" s="405">
        <f t="shared" si="3"/>
        <v>0</v>
      </c>
      <c r="F30" s="410">
        <v>0</v>
      </c>
      <c r="G30" s="405">
        <f t="shared" si="4"/>
        <v>0</v>
      </c>
      <c r="H30" s="410">
        <v>0</v>
      </c>
      <c r="I30" s="405">
        <f t="shared" si="5"/>
        <v>0</v>
      </c>
      <c r="J30" s="410">
        <v>0</v>
      </c>
      <c r="K30" s="405">
        <f t="shared" si="6"/>
        <v>0</v>
      </c>
      <c r="L30" s="410">
        <v>0</v>
      </c>
      <c r="M30" s="405">
        <f t="shared" si="7"/>
        <v>0</v>
      </c>
      <c r="N30" s="410">
        <v>0</v>
      </c>
      <c r="O30" s="405">
        <f t="shared" si="8"/>
        <v>0</v>
      </c>
      <c r="P30" s="410">
        <v>0</v>
      </c>
      <c r="Q30" s="405">
        <f t="shared" si="9"/>
        <v>0</v>
      </c>
      <c r="R30" s="410">
        <v>0</v>
      </c>
      <c r="S30" s="405">
        <f t="shared" si="10"/>
        <v>0</v>
      </c>
      <c r="T30" s="410">
        <v>0</v>
      </c>
      <c r="U30" s="405">
        <f t="shared" si="11"/>
        <v>0</v>
      </c>
      <c r="V30" s="410">
        <v>0</v>
      </c>
      <c r="W30" s="405">
        <f t="shared" si="12"/>
        <v>0</v>
      </c>
      <c r="X30" s="410">
        <v>0</v>
      </c>
      <c r="Y30" s="405">
        <f t="shared" si="13"/>
        <v>0</v>
      </c>
      <c r="Z30" s="410">
        <v>0</v>
      </c>
      <c r="AA30" s="406">
        <f t="shared" si="14"/>
        <v>0</v>
      </c>
      <c r="AB30" s="394"/>
      <c r="AC30" s="407">
        <f t="shared" si="15"/>
        <v>0</v>
      </c>
      <c r="AD30" s="408">
        <f t="shared" si="16"/>
        <v>0</v>
      </c>
      <c r="AE30" s="322"/>
      <c r="AF30" s="322"/>
      <c r="AG30" s="322"/>
      <c r="AH30" s="322"/>
      <c r="AI30" s="322"/>
      <c r="AJ30" s="322"/>
      <c r="AK30" s="322"/>
    </row>
    <row r="31" spans="1:37" ht="12.75" customHeight="1" outlineLevel="1">
      <c r="A31" s="598"/>
      <c r="B31" s="601"/>
      <c r="C31" s="409" t="s">
        <v>263</v>
      </c>
      <c r="D31" s="410">
        <v>0</v>
      </c>
      <c r="E31" s="405">
        <f t="shared" si="3"/>
        <v>0</v>
      </c>
      <c r="F31" s="410">
        <v>0</v>
      </c>
      <c r="G31" s="405">
        <f t="shared" si="4"/>
        <v>0</v>
      </c>
      <c r="H31" s="410">
        <v>0</v>
      </c>
      <c r="I31" s="405">
        <f t="shared" si="5"/>
        <v>0</v>
      </c>
      <c r="J31" s="410">
        <v>0</v>
      </c>
      <c r="K31" s="405">
        <f t="shared" si="6"/>
        <v>0</v>
      </c>
      <c r="L31" s="410">
        <v>0</v>
      </c>
      <c r="M31" s="405">
        <f t="shared" si="7"/>
        <v>0</v>
      </c>
      <c r="N31" s="410">
        <v>0</v>
      </c>
      <c r="O31" s="405">
        <f t="shared" si="8"/>
        <v>0</v>
      </c>
      <c r="P31" s="410">
        <v>0</v>
      </c>
      <c r="Q31" s="405">
        <f t="shared" si="9"/>
        <v>0</v>
      </c>
      <c r="R31" s="410">
        <v>0</v>
      </c>
      <c r="S31" s="405">
        <f t="shared" si="10"/>
        <v>0</v>
      </c>
      <c r="T31" s="410">
        <v>0</v>
      </c>
      <c r="U31" s="405">
        <f t="shared" si="11"/>
        <v>0</v>
      </c>
      <c r="V31" s="410">
        <v>0</v>
      </c>
      <c r="W31" s="405">
        <f t="shared" si="12"/>
        <v>0</v>
      </c>
      <c r="X31" s="410">
        <v>0</v>
      </c>
      <c r="Y31" s="405">
        <f t="shared" si="13"/>
        <v>0</v>
      </c>
      <c r="Z31" s="410">
        <v>0</v>
      </c>
      <c r="AA31" s="406">
        <f t="shared" si="14"/>
        <v>0</v>
      </c>
      <c r="AB31" s="394"/>
      <c r="AC31" s="407">
        <f t="shared" si="15"/>
        <v>0</v>
      </c>
      <c r="AD31" s="408">
        <f t="shared" si="16"/>
        <v>0</v>
      </c>
      <c r="AE31" s="322"/>
      <c r="AF31" s="322"/>
      <c r="AG31" s="322"/>
      <c r="AH31" s="322"/>
      <c r="AI31" s="322"/>
      <c r="AJ31" s="322"/>
      <c r="AK31" s="322"/>
    </row>
    <row r="32" spans="1:37" ht="12.75" customHeight="1" outlineLevel="1">
      <c r="A32" s="598"/>
      <c r="B32" s="601"/>
      <c r="C32" s="409" t="s">
        <v>264</v>
      </c>
      <c r="D32" s="410">
        <v>0</v>
      </c>
      <c r="E32" s="405">
        <f t="shared" si="3"/>
        <v>0</v>
      </c>
      <c r="F32" s="410">
        <v>0</v>
      </c>
      <c r="G32" s="405">
        <f t="shared" si="4"/>
        <v>0</v>
      </c>
      <c r="H32" s="410">
        <v>0</v>
      </c>
      <c r="I32" s="405">
        <f t="shared" si="5"/>
        <v>0</v>
      </c>
      <c r="J32" s="410">
        <v>0</v>
      </c>
      <c r="K32" s="405">
        <f t="shared" si="6"/>
        <v>0</v>
      </c>
      <c r="L32" s="410">
        <v>0</v>
      </c>
      <c r="M32" s="405">
        <f t="shared" si="7"/>
        <v>0</v>
      </c>
      <c r="N32" s="410">
        <v>0</v>
      </c>
      <c r="O32" s="405">
        <f t="shared" si="8"/>
        <v>0</v>
      </c>
      <c r="P32" s="410">
        <v>0</v>
      </c>
      <c r="Q32" s="405">
        <f t="shared" si="9"/>
        <v>0</v>
      </c>
      <c r="R32" s="410">
        <v>0</v>
      </c>
      <c r="S32" s="405">
        <f t="shared" si="10"/>
        <v>0</v>
      </c>
      <c r="T32" s="410">
        <v>0</v>
      </c>
      <c r="U32" s="405">
        <f t="shared" si="11"/>
        <v>0</v>
      </c>
      <c r="V32" s="410">
        <v>0</v>
      </c>
      <c r="W32" s="405">
        <f t="shared" si="12"/>
        <v>0</v>
      </c>
      <c r="X32" s="410">
        <v>0</v>
      </c>
      <c r="Y32" s="405">
        <f t="shared" si="13"/>
        <v>0</v>
      </c>
      <c r="Z32" s="410">
        <v>0</v>
      </c>
      <c r="AA32" s="406">
        <f t="shared" si="14"/>
        <v>0</v>
      </c>
      <c r="AB32" s="394"/>
      <c r="AC32" s="407">
        <f t="shared" si="15"/>
        <v>0</v>
      </c>
      <c r="AD32" s="408">
        <f t="shared" si="16"/>
        <v>0</v>
      </c>
      <c r="AE32" s="322"/>
      <c r="AF32" s="322"/>
      <c r="AG32" s="322"/>
      <c r="AH32" s="322"/>
      <c r="AI32" s="322"/>
      <c r="AJ32" s="322"/>
      <c r="AK32" s="322"/>
    </row>
    <row r="33" spans="1:37" ht="12.75" customHeight="1" outlineLevel="1">
      <c r="A33" s="598"/>
      <c r="B33" s="601"/>
      <c r="C33" s="409" t="s">
        <v>265</v>
      </c>
      <c r="D33" s="410">
        <v>0</v>
      </c>
      <c r="E33" s="405">
        <f t="shared" si="3"/>
        <v>0</v>
      </c>
      <c r="F33" s="410">
        <v>0</v>
      </c>
      <c r="G33" s="405">
        <f t="shared" si="4"/>
        <v>0</v>
      </c>
      <c r="H33" s="410">
        <v>0</v>
      </c>
      <c r="I33" s="405">
        <f t="shared" si="5"/>
        <v>0</v>
      </c>
      <c r="J33" s="410">
        <v>0</v>
      </c>
      <c r="K33" s="405">
        <f t="shared" si="6"/>
        <v>0</v>
      </c>
      <c r="L33" s="410">
        <v>0</v>
      </c>
      <c r="M33" s="405">
        <f t="shared" si="7"/>
        <v>0</v>
      </c>
      <c r="N33" s="410">
        <v>0</v>
      </c>
      <c r="O33" s="405">
        <f t="shared" si="8"/>
        <v>0</v>
      </c>
      <c r="P33" s="410">
        <v>0</v>
      </c>
      <c r="Q33" s="405">
        <f t="shared" si="9"/>
        <v>0</v>
      </c>
      <c r="R33" s="410">
        <v>0</v>
      </c>
      <c r="S33" s="405">
        <f t="shared" si="10"/>
        <v>0</v>
      </c>
      <c r="T33" s="410">
        <v>0</v>
      </c>
      <c r="U33" s="405">
        <f t="shared" si="11"/>
        <v>0</v>
      </c>
      <c r="V33" s="410">
        <v>0</v>
      </c>
      <c r="W33" s="405">
        <f t="shared" si="12"/>
        <v>0</v>
      </c>
      <c r="X33" s="410">
        <v>0</v>
      </c>
      <c r="Y33" s="405">
        <f t="shared" si="13"/>
        <v>0</v>
      </c>
      <c r="Z33" s="410">
        <v>0</v>
      </c>
      <c r="AA33" s="406">
        <f t="shared" si="14"/>
        <v>0</v>
      </c>
      <c r="AB33" s="394"/>
      <c r="AC33" s="407">
        <f t="shared" si="15"/>
        <v>0</v>
      </c>
      <c r="AD33" s="408">
        <f t="shared" si="16"/>
        <v>0</v>
      </c>
      <c r="AE33" s="322"/>
      <c r="AF33" s="322"/>
      <c r="AG33" s="322"/>
      <c r="AH33" s="322"/>
      <c r="AI33" s="322"/>
      <c r="AJ33" s="322"/>
      <c r="AK33" s="322"/>
    </row>
    <row r="34" spans="1:37" ht="12.75" customHeight="1" outlineLevel="1">
      <c r="A34" s="598"/>
      <c r="B34" s="601"/>
      <c r="C34" s="409" t="s">
        <v>266</v>
      </c>
      <c r="D34" s="410" t="s">
        <v>304</v>
      </c>
      <c r="E34" s="405" t="e">
        <f t="shared" si="3"/>
        <v>#VALUE!</v>
      </c>
      <c r="F34" s="410" t="s">
        <v>304</v>
      </c>
      <c r="G34" s="405" t="e">
        <f t="shared" si="4"/>
        <v>#VALUE!</v>
      </c>
      <c r="H34" s="410" t="s">
        <v>304</v>
      </c>
      <c r="I34" s="405" t="e">
        <f t="shared" si="5"/>
        <v>#VALUE!</v>
      </c>
      <c r="J34" s="410" t="s">
        <v>304</v>
      </c>
      <c r="K34" s="405" t="e">
        <f t="shared" si="6"/>
        <v>#VALUE!</v>
      </c>
      <c r="L34" s="410" t="s">
        <v>304</v>
      </c>
      <c r="M34" s="405" t="e">
        <f t="shared" si="7"/>
        <v>#VALUE!</v>
      </c>
      <c r="N34" s="410" t="s">
        <v>304</v>
      </c>
      <c r="O34" s="405" t="e">
        <f t="shared" si="8"/>
        <v>#VALUE!</v>
      </c>
      <c r="P34" s="410" t="s">
        <v>304</v>
      </c>
      <c r="Q34" s="405" t="e">
        <f t="shared" si="9"/>
        <v>#VALUE!</v>
      </c>
      <c r="R34" s="410" t="s">
        <v>304</v>
      </c>
      <c r="S34" s="405" t="e">
        <f t="shared" si="10"/>
        <v>#VALUE!</v>
      </c>
      <c r="T34" s="410" t="s">
        <v>304</v>
      </c>
      <c r="U34" s="405" t="e">
        <f t="shared" si="11"/>
        <v>#VALUE!</v>
      </c>
      <c r="V34" s="410" t="s">
        <v>304</v>
      </c>
      <c r="W34" s="405" t="e">
        <f t="shared" si="12"/>
        <v>#VALUE!</v>
      </c>
      <c r="X34" s="410" t="s">
        <v>304</v>
      </c>
      <c r="Y34" s="405" t="e">
        <f t="shared" si="13"/>
        <v>#VALUE!</v>
      </c>
      <c r="Z34" s="410" t="s">
        <v>304</v>
      </c>
      <c r="AA34" s="406" t="e">
        <f t="shared" si="14"/>
        <v>#VALUE!</v>
      </c>
      <c r="AB34" s="394"/>
      <c r="AC34" s="407" t="e">
        <f t="shared" si="15"/>
        <v>#VALUE!</v>
      </c>
      <c r="AD34" s="408" t="e">
        <f t="shared" si="16"/>
        <v>#VALUE!</v>
      </c>
      <c r="AE34" s="322"/>
      <c r="AF34" s="322"/>
      <c r="AG34" s="322"/>
      <c r="AH34" s="322"/>
      <c r="AI34" s="322"/>
      <c r="AJ34" s="322"/>
      <c r="AK34" s="322"/>
    </row>
    <row r="35" spans="1:37" ht="12.75" customHeight="1" outlineLevel="1">
      <c r="A35" s="598"/>
      <c r="B35" s="601"/>
      <c r="C35" s="409" t="s">
        <v>267</v>
      </c>
      <c r="D35" s="410" t="s">
        <v>304</v>
      </c>
      <c r="E35" s="405" t="e">
        <f t="shared" si="3"/>
        <v>#VALUE!</v>
      </c>
      <c r="F35" s="410" t="s">
        <v>304</v>
      </c>
      <c r="G35" s="405" t="e">
        <f t="shared" si="4"/>
        <v>#VALUE!</v>
      </c>
      <c r="H35" s="410" t="s">
        <v>304</v>
      </c>
      <c r="I35" s="405" t="e">
        <f t="shared" si="5"/>
        <v>#VALUE!</v>
      </c>
      <c r="J35" s="410" t="s">
        <v>304</v>
      </c>
      <c r="K35" s="405" t="e">
        <f t="shared" si="6"/>
        <v>#VALUE!</v>
      </c>
      <c r="L35" s="410" t="s">
        <v>304</v>
      </c>
      <c r="M35" s="405" t="e">
        <f t="shared" si="7"/>
        <v>#VALUE!</v>
      </c>
      <c r="N35" s="410" t="s">
        <v>304</v>
      </c>
      <c r="O35" s="405" t="e">
        <f t="shared" si="8"/>
        <v>#VALUE!</v>
      </c>
      <c r="P35" s="410" t="s">
        <v>304</v>
      </c>
      <c r="Q35" s="405" t="e">
        <f t="shared" si="9"/>
        <v>#VALUE!</v>
      </c>
      <c r="R35" s="410" t="s">
        <v>304</v>
      </c>
      <c r="S35" s="405" t="e">
        <f t="shared" si="10"/>
        <v>#VALUE!</v>
      </c>
      <c r="T35" s="410" t="s">
        <v>304</v>
      </c>
      <c r="U35" s="405" t="e">
        <f t="shared" si="11"/>
        <v>#VALUE!</v>
      </c>
      <c r="V35" s="410" t="s">
        <v>304</v>
      </c>
      <c r="W35" s="405" t="e">
        <f t="shared" si="12"/>
        <v>#VALUE!</v>
      </c>
      <c r="X35" s="410" t="s">
        <v>304</v>
      </c>
      <c r="Y35" s="405" t="e">
        <f t="shared" si="13"/>
        <v>#VALUE!</v>
      </c>
      <c r="Z35" s="410" t="s">
        <v>304</v>
      </c>
      <c r="AA35" s="406" t="e">
        <f t="shared" si="14"/>
        <v>#VALUE!</v>
      </c>
      <c r="AB35" s="394"/>
      <c r="AC35" s="407" t="e">
        <f t="shared" si="15"/>
        <v>#VALUE!</v>
      </c>
      <c r="AD35" s="408" t="e">
        <f t="shared" si="16"/>
        <v>#VALUE!</v>
      </c>
      <c r="AE35" s="322"/>
      <c r="AF35" s="322"/>
      <c r="AG35" s="322"/>
      <c r="AH35" s="322"/>
      <c r="AI35" s="322"/>
      <c r="AJ35" s="322"/>
      <c r="AK35" s="322"/>
    </row>
    <row r="36" spans="1:37" ht="12.75" customHeight="1" outlineLevel="1">
      <c r="A36" s="598"/>
      <c r="B36" s="601"/>
      <c r="C36" s="409" t="s">
        <v>268</v>
      </c>
      <c r="D36" s="410" t="s">
        <v>304</v>
      </c>
      <c r="E36" s="405" t="e">
        <f t="shared" si="3"/>
        <v>#VALUE!</v>
      </c>
      <c r="F36" s="410" t="s">
        <v>304</v>
      </c>
      <c r="G36" s="405" t="e">
        <f t="shared" si="4"/>
        <v>#VALUE!</v>
      </c>
      <c r="H36" s="410" t="s">
        <v>304</v>
      </c>
      <c r="I36" s="405" t="e">
        <f t="shared" si="5"/>
        <v>#VALUE!</v>
      </c>
      <c r="J36" s="410" t="s">
        <v>304</v>
      </c>
      <c r="K36" s="405" t="e">
        <f t="shared" si="6"/>
        <v>#VALUE!</v>
      </c>
      <c r="L36" s="410" t="s">
        <v>304</v>
      </c>
      <c r="M36" s="405" t="e">
        <f t="shared" si="7"/>
        <v>#VALUE!</v>
      </c>
      <c r="N36" s="410" t="s">
        <v>304</v>
      </c>
      <c r="O36" s="405" t="e">
        <f t="shared" si="8"/>
        <v>#VALUE!</v>
      </c>
      <c r="P36" s="410" t="s">
        <v>304</v>
      </c>
      <c r="Q36" s="405" t="e">
        <f t="shared" si="9"/>
        <v>#VALUE!</v>
      </c>
      <c r="R36" s="410" t="s">
        <v>304</v>
      </c>
      <c r="S36" s="405" t="e">
        <f t="shared" si="10"/>
        <v>#VALUE!</v>
      </c>
      <c r="T36" s="410" t="s">
        <v>304</v>
      </c>
      <c r="U36" s="405" t="e">
        <f t="shared" si="11"/>
        <v>#VALUE!</v>
      </c>
      <c r="V36" s="410" t="s">
        <v>304</v>
      </c>
      <c r="W36" s="405" t="e">
        <f t="shared" si="12"/>
        <v>#VALUE!</v>
      </c>
      <c r="X36" s="410" t="s">
        <v>304</v>
      </c>
      <c r="Y36" s="405" t="e">
        <f t="shared" si="13"/>
        <v>#VALUE!</v>
      </c>
      <c r="Z36" s="410" t="s">
        <v>304</v>
      </c>
      <c r="AA36" s="406" t="e">
        <f t="shared" si="14"/>
        <v>#VALUE!</v>
      </c>
      <c r="AB36" s="394"/>
      <c r="AC36" s="407" t="e">
        <f t="shared" si="15"/>
        <v>#VALUE!</v>
      </c>
      <c r="AD36" s="408" t="e">
        <f t="shared" si="16"/>
        <v>#VALUE!</v>
      </c>
      <c r="AE36" s="322"/>
      <c r="AF36" s="322"/>
      <c r="AG36" s="322"/>
      <c r="AH36" s="322"/>
      <c r="AI36" s="322"/>
      <c r="AJ36" s="322"/>
      <c r="AK36" s="322"/>
    </row>
    <row r="37" spans="1:37" ht="12.75" customHeight="1" outlineLevel="1">
      <c r="A37" s="598"/>
      <c r="B37" s="601"/>
      <c r="C37" s="409" t="s">
        <v>269</v>
      </c>
      <c r="D37" s="410" t="s">
        <v>304</v>
      </c>
      <c r="E37" s="405" t="e">
        <f t="shared" si="3"/>
        <v>#VALUE!</v>
      </c>
      <c r="F37" s="410" t="s">
        <v>304</v>
      </c>
      <c r="G37" s="405" t="e">
        <f t="shared" si="4"/>
        <v>#VALUE!</v>
      </c>
      <c r="H37" s="410" t="s">
        <v>304</v>
      </c>
      <c r="I37" s="405" t="e">
        <f t="shared" si="5"/>
        <v>#VALUE!</v>
      </c>
      <c r="J37" s="410" t="s">
        <v>304</v>
      </c>
      <c r="K37" s="405" t="e">
        <f t="shared" si="6"/>
        <v>#VALUE!</v>
      </c>
      <c r="L37" s="410" t="s">
        <v>304</v>
      </c>
      <c r="M37" s="405" t="e">
        <f t="shared" si="7"/>
        <v>#VALUE!</v>
      </c>
      <c r="N37" s="410" t="s">
        <v>304</v>
      </c>
      <c r="O37" s="405" t="e">
        <f t="shared" si="8"/>
        <v>#VALUE!</v>
      </c>
      <c r="P37" s="410" t="s">
        <v>304</v>
      </c>
      <c r="Q37" s="405" t="e">
        <f t="shared" si="9"/>
        <v>#VALUE!</v>
      </c>
      <c r="R37" s="410" t="s">
        <v>304</v>
      </c>
      <c r="S37" s="405" t="e">
        <f t="shared" si="10"/>
        <v>#VALUE!</v>
      </c>
      <c r="T37" s="410" t="s">
        <v>304</v>
      </c>
      <c r="U37" s="405" t="e">
        <f t="shared" si="11"/>
        <v>#VALUE!</v>
      </c>
      <c r="V37" s="410" t="s">
        <v>304</v>
      </c>
      <c r="W37" s="405" t="e">
        <f t="shared" si="12"/>
        <v>#VALUE!</v>
      </c>
      <c r="X37" s="410" t="s">
        <v>304</v>
      </c>
      <c r="Y37" s="405" t="e">
        <f t="shared" si="13"/>
        <v>#VALUE!</v>
      </c>
      <c r="Z37" s="410" t="s">
        <v>304</v>
      </c>
      <c r="AA37" s="406" t="e">
        <f t="shared" si="14"/>
        <v>#VALUE!</v>
      </c>
      <c r="AB37" s="394"/>
      <c r="AC37" s="407" t="e">
        <f t="shared" si="15"/>
        <v>#VALUE!</v>
      </c>
      <c r="AD37" s="408" t="e">
        <f t="shared" si="16"/>
        <v>#VALUE!</v>
      </c>
      <c r="AE37" s="322"/>
      <c r="AF37" s="322"/>
      <c r="AG37" s="322"/>
      <c r="AH37" s="322"/>
      <c r="AI37" s="322"/>
      <c r="AJ37" s="322"/>
      <c r="AK37" s="322"/>
    </row>
    <row r="38" spans="1:37" ht="12.75" customHeight="1" outlineLevel="1">
      <c r="A38" s="598"/>
      <c r="B38" s="601"/>
      <c r="C38" s="409" t="s">
        <v>270</v>
      </c>
      <c r="D38" s="410">
        <v>0</v>
      </c>
      <c r="E38" s="405">
        <f t="shared" si="3"/>
        <v>0</v>
      </c>
      <c r="F38" s="410">
        <v>0</v>
      </c>
      <c r="G38" s="405">
        <f t="shared" si="4"/>
        <v>0</v>
      </c>
      <c r="H38" s="410">
        <v>0</v>
      </c>
      <c r="I38" s="405">
        <f t="shared" si="5"/>
        <v>0</v>
      </c>
      <c r="J38" s="410">
        <v>0</v>
      </c>
      <c r="K38" s="405">
        <f t="shared" si="6"/>
        <v>0</v>
      </c>
      <c r="L38" s="410">
        <v>0</v>
      </c>
      <c r="M38" s="405">
        <f t="shared" si="7"/>
        <v>0</v>
      </c>
      <c r="N38" s="410">
        <v>0</v>
      </c>
      <c r="O38" s="405">
        <f t="shared" si="8"/>
        <v>0</v>
      </c>
      <c r="P38" s="410">
        <v>0</v>
      </c>
      <c r="Q38" s="405">
        <f t="shared" si="9"/>
        <v>0</v>
      </c>
      <c r="R38" s="410">
        <v>0</v>
      </c>
      <c r="S38" s="405">
        <f t="shared" si="10"/>
        <v>0</v>
      </c>
      <c r="T38" s="410">
        <v>0</v>
      </c>
      <c r="U38" s="405">
        <f t="shared" si="11"/>
        <v>0</v>
      </c>
      <c r="V38" s="410">
        <v>0</v>
      </c>
      <c r="W38" s="405">
        <f t="shared" si="12"/>
        <v>0</v>
      </c>
      <c r="X38" s="410">
        <v>0</v>
      </c>
      <c r="Y38" s="405">
        <f t="shared" si="13"/>
        <v>0</v>
      </c>
      <c r="Z38" s="410">
        <v>0</v>
      </c>
      <c r="AA38" s="406">
        <f t="shared" si="14"/>
        <v>0</v>
      </c>
      <c r="AB38" s="394"/>
      <c r="AC38" s="407">
        <f t="shared" si="15"/>
        <v>0</v>
      </c>
      <c r="AD38" s="408">
        <f t="shared" si="16"/>
        <v>0</v>
      </c>
      <c r="AE38" s="322"/>
      <c r="AF38" s="322"/>
      <c r="AG38" s="322"/>
      <c r="AH38" s="322"/>
      <c r="AI38" s="322"/>
      <c r="AJ38" s="322"/>
      <c r="AK38" s="322"/>
    </row>
    <row r="39" spans="1:37" ht="12.75" customHeight="1" outlineLevel="1">
      <c r="A39" s="598"/>
      <c r="B39" s="601"/>
      <c r="C39" s="409" t="s">
        <v>271</v>
      </c>
      <c r="D39" s="410">
        <v>0</v>
      </c>
      <c r="E39" s="405">
        <f t="shared" si="3"/>
        <v>0</v>
      </c>
      <c r="F39" s="410">
        <v>0</v>
      </c>
      <c r="G39" s="405">
        <f t="shared" si="4"/>
        <v>0</v>
      </c>
      <c r="H39" s="410">
        <v>0</v>
      </c>
      <c r="I39" s="405">
        <f t="shared" si="5"/>
        <v>0</v>
      </c>
      <c r="J39" s="410">
        <v>0</v>
      </c>
      <c r="K39" s="405">
        <f t="shared" si="6"/>
        <v>0</v>
      </c>
      <c r="L39" s="410">
        <v>0</v>
      </c>
      <c r="M39" s="405">
        <f t="shared" si="7"/>
        <v>0</v>
      </c>
      <c r="N39" s="410">
        <v>0</v>
      </c>
      <c r="O39" s="405">
        <f t="shared" si="8"/>
        <v>0</v>
      </c>
      <c r="P39" s="410">
        <v>0</v>
      </c>
      <c r="Q39" s="405">
        <f t="shared" si="9"/>
        <v>0</v>
      </c>
      <c r="R39" s="410">
        <v>0</v>
      </c>
      <c r="S39" s="405">
        <f t="shared" si="10"/>
        <v>0</v>
      </c>
      <c r="T39" s="410">
        <v>0</v>
      </c>
      <c r="U39" s="405">
        <f t="shared" si="11"/>
        <v>0</v>
      </c>
      <c r="V39" s="410">
        <v>0</v>
      </c>
      <c r="W39" s="405">
        <f t="shared" si="12"/>
        <v>0</v>
      </c>
      <c r="X39" s="410">
        <v>0</v>
      </c>
      <c r="Y39" s="405">
        <f t="shared" si="13"/>
        <v>0</v>
      </c>
      <c r="Z39" s="410">
        <v>0</v>
      </c>
      <c r="AA39" s="406">
        <f t="shared" si="14"/>
        <v>0</v>
      </c>
      <c r="AB39" s="394"/>
      <c r="AC39" s="407">
        <f t="shared" si="15"/>
        <v>0</v>
      </c>
      <c r="AD39" s="408">
        <f t="shared" si="16"/>
        <v>0</v>
      </c>
      <c r="AE39" s="322"/>
      <c r="AF39" s="322"/>
      <c r="AG39" s="322"/>
      <c r="AH39" s="322"/>
      <c r="AI39" s="322"/>
      <c r="AJ39" s="322"/>
      <c r="AK39" s="322"/>
    </row>
    <row r="40" spans="1:37" ht="12.75" customHeight="1" outlineLevel="1">
      <c r="A40" s="598"/>
      <c r="B40" s="601"/>
      <c r="C40" s="409" t="s">
        <v>272</v>
      </c>
      <c r="D40" s="410">
        <v>0</v>
      </c>
      <c r="E40" s="405">
        <f t="shared" si="3"/>
        <v>0</v>
      </c>
      <c r="F40" s="410">
        <v>0</v>
      </c>
      <c r="G40" s="405">
        <f t="shared" si="4"/>
        <v>0</v>
      </c>
      <c r="H40" s="410">
        <v>0</v>
      </c>
      <c r="I40" s="405">
        <f t="shared" si="5"/>
        <v>0</v>
      </c>
      <c r="J40" s="410">
        <v>0</v>
      </c>
      <c r="K40" s="405">
        <f t="shared" si="6"/>
        <v>0</v>
      </c>
      <c r="L40" s="410">
        <v>0</v>
      </c>
      <c r="M40" s="405">
        <f t="shared" si="7"/>
        <v>0</v>
      </c>
      <c r="N40" s="410">
        <v>0</v>
      </c>
      <c r="O40" s="405">
        <f t="shared" si="8"/>
        <v>0</v>
      </c>
      <c r="P40" s="410">
        <v>0</v>
      </c>
      <c r="Q40" s="405">
        <f t="shared" si="9"/>
        <v>0</v>
      </c>
      <c r="R40" s="410">
        <v>0</v>
      </c>
      <c r="S40" s="405">
        <f t="shared" si="10"/>
        <v>0</v>
      </c>
      <c r="T40" s="410">
        <v>0</v>
      </c>
      <c r="U40" s="405">
        <f t="shared" si="11"/>
        <v>0</v>
      </c>
      <c r="V40" s="410">
        <v>0</v>
      </c>
      <c r="W40" s="405">
        <f t="shared" si="12"/>
        <v>0</v>
      </c>
      <c r="X40" s="410">
        <v>0</v>
      </c>
      <c r="Y40" s="405">
        <f t="shared" si="13"/>
        <v>0</v>
      </c>
      <c r="Z40" s="410">
        <v>0</v>
      </c>
      <c r="AA40" s="406">
        <f t="shared" si="14"/>
        <v>0</v>
      </c>
      <c r="AB40" s="394"/>
      <c r="AC40" s="407">
        <f t="shared" si="15"/>
        <v>0</v>
      </c>
      <c r="AD40" s="408">
        <f t="shared" si="16"/>
        <v>0</v>
      </c>
      <c r="AE40" s="322"/>
      <c r="AF40" s="322"/>
      <c r="AG40" s="322"/>
      <c r="AH40" s="322"/>
      <c r="AI40" s="322"/>
      <c r="AJ40" s="322"/>
      <c r="AK40" s="322"/>
    </row>
    <row r="41" spans="1:37" ht="12.75" customHeight="1" outlineLevel="1">
      <c r="A41" s="598"/>
      <c r="B41" s="601"/>
      <c r="C41" s="409" t="s">
        <v>273</v>
      </c>
      <c r="D41" s="410" t="s">
        <v>304</v>
      </c>
      <c r="E41" s="405" t="e">
        <f t="shared" si="3"/>
        <v>#VALUE!</v>
      </c>
      <c r="F41" s="410" t="s">
        <v>304</v>
      </c>
      <c r="G41" s="405" t="e">
        <f t="shared" si="4"/>
        <v>#VALUE!</v>
      </c>
      <c r="H41" s="410" t="s">
        <v>304</v>
      </c>
      <c r="I41" s="405" t="e">
        <f t="shared" si="5"/>
        <v>#VALUE!</v>
      </c>
      <c r="J41" s="410" t="s">
        <v>304</v>
      </c>
      <c r="K41" s="405" t="e">
        <f t="shared" si="6"/>
        <v>#VALUE!</v>
      </c>
      <c r="L41" s="410" t="s">
        <v>304</v>
      </c>
      <c r="M41" s="405" t="e">
        <f t="shared" si="7"/>
        <v>#VALUE!</v>
      </c>
      <c r="N41" s="410" t="s">
        <v>304</v>
      </c>
      <c r="O41" s="405" t="e">
        <f t="shared" si="8"/>
        <v>#VALUE!</v>
      </c>
      <c r="P41" s="410" t="s">
        <v>304</v>
      </c>
      <c r="Q41" s="405" t="e">
        <f t="shared" si="9"/>
        <v>#VALUE!</v>
      </c>
      <c r="R41" s="410" t="s">
        <v>304</v>
      </c>
      <c r="S41" s="405" t="e">
        <f t="shared" si="10"/>
        <v>#VALUE!</v>
      </c>
      <c r="T41" s="410" t="s">
        <v>304</v>
      </c>
      <c r="U41" s="405" t="e">
        <f t="shared" si="11"/>
        <v>#VALUE!</v>
      </c>
      <c r="V41" s="410" t="s">
        <v>304</v>
      </c>
      <c r="W41" s="405" t="e">
        <f t="shared" si="12"/>
        <v>#VALUE!</v>
      </c>
      <c r="X41" s="410" t="s">
        <v>304</v>
      </c>
      <c r="Y41" s="405" t="e">
        <f t="shared" si="13"/>
        <v>#VALUE!</v>
      </c>
      <c r="Z41" s="410" t="s">
        <v>304</v>
      </c>
      <c r="AA41" s="406" t="e">
        <f t="shared" si="14"/>
        <v>#VALUE!</v>
      </c>
      <c r="AB41" s="394"/>
      <c r="AC41" s="407" t="e">
        <f t="shared" si="15"/>
        <v>#VALUE!</v>
      </c>
      <c r="AD41" s="408" t="e">
        <f t="shared" si="16"/>
        <v>#VALUE!</v>
      </c>
      <c r="AE41" s="322"/>
      <c r="AF41" s="322"/>
      <c r="AG41" s="322"/>
      <c r="AH41" s="322"/>
      <c r="AI41" s="322"/>
      <c r="AJ41" s="322"/>
      <c r="AK41" s="322"/>
    </row>
    <row r="42" spans="1:37" ht="12.75" customHeight="1" outlineLevel="1">
      <c r="A42" s="598"/>
      <c r="B42" s="601"/>
      <c r="C42" s="409" t="s">
        <v>274</v>
      </c>
      <c r="D42" s="410" t="s">
        <v>304</v>
      </c>
      <c r="E42" s="411" t="e">
        <f t="shared" si="3"/>
        <v>#VALUE!</v>
      </c>
      <c r="F42" s="410" t="s">
        <v>304</v>
      </c>
      <c r="G42" s="411" t="e">
        <f t="shared" si="4"/>
        <v>#VALUE!</v>
      </c>
      <c r="H42" s="410" t="s">
        <v>304</v>
      </c>
      <c r="I42" s="411" t="e">
        <f t="shared" si="5"/>
        <v>#VALUE!</v>
      </c>
      <c r="J42" s="410" t="s">
        <v>304</v>
      </c>
      <c r="K42" s="411" t="e">
        <f t="shared" si="6"/>
        <v>#VALUE!</v>
      </c>
      <c r="L42" s="410" t="s">
        <v>304</v>
      </c>
      <c r="M42" s="411" t="e">
        <f t="shared" si="7"/>
        <v>#VALUE!</v>
      </c>
      <c r="N42" s="410" t="s">
        <v>304</v>
      </c>
      <c r="O42" s="411" t="e">
        <f t="shared" si="8"/>
        <v>#VALUE!</v>
      </c>
      <c r="P42" s="410" t="s">
        <v>304</v>
      </c>
      <c r="Q42" s="411" t="e">
        <f t="shared" si="9"/>
        <v>#VALUE!</v>
      </c>
      <c r="R42" s="410" t="s">
        <v>304</v>
      </c>
      <c r="S42" s="411" t="e">
        <f t="shared" si="10"/>
        <v>#VALUE!</v>
      </c>
      <c r="T42" s="410" t="s">
        <v>304</v>
      </c>
      <c r="U42" s="411" t="e">
        <f t="shared" si="11"/>
        <v>#VALUE!</v>
      </c>
      <c r="V42" s="410" t="s">
        <v>304</v>
      </c>
      <c r="W42" s="411" t="e">
        <f t="shared" si="12"/>
        <v>#VALUE!</v>
      </c>
      <c r="X42" s="410" t="s">
        <v>304</v>
      </c>
      <c r="Y42" s="411" t="e">
        <f t="shared" si="13"/>
        <v>#VALUE!</v>
      </c>
      <c r="Z42" s="410" t="s">
        <v>304</v>
      </c>
      <c r="AA42" s="412" t="e">
        <f t="shared" si="14"/>
        <v>#VALUE!</v>
      </c>
      <c r="AB42" s="394"/>
      <c r="AC42" s="407" t="e">
        <f t="shared" si="15"/>
        <v>#VALUE!</v>
      </c>
      <c r="AD42" s="408" t="e">
        <f t="shared" si="16"/>
        <v>#VALUE!</v>
      </c>
      <c r="AE42" s="322"/>
      <c r="AF42" s="322"/>
      <c r="AG42" s="322"/>
      <c r="AH42" s="322"/>
      <c r="AI42" s="322"/>
      <c r="AJ42" s="322"/>
      <c r="AK42" s="322"/>
    </row>
    <row r="43" spans="1:37" ht="12.75" customHeight="1" outlineLevel="1">
      <c r="A43" s="598"/>
      <c r="B43" s="601"/>
      <c r="C43" s="413" t="s">
        <v>275</v>
      </c>
      <c r="D43" s="414">
        <f>'[2]リトローボ(非表示予定)'!B26</f>
        <v>0</v>
      </c>
      <c r="E43" s="405">
        <f t="shared" si="3"/>
        <v>0</v>
      </c>
      <c r="F43" s="414">
        <f>'[2]リトローボ(非表示予定)'!D26</f>
        <v>0</v>
      </c>
      <c r="G43" s="405">
        <f t="shared" si="4"/>
        <v>0</v>
      </c>
      <c r="H43" s="414">
        <f>'[2]リトローボ(非表示予定)'!F26</f>
        <v>0</v>
      </c>
      <c r="I43" s="405">
        <f t="shared" si="5"/>
        <v>0</v>
      </c>
      <c r="J43" s="414">
        <f>'[2]リトローボ(非表示予定)'!H26</f>
        <v>0</v>
      </c>
      <c r="K43" s="405">
        <f t="shared" si="6"/>
        <v>0</v>
      </c>
      <c r="L43" s="414">
        <f>'[2]リトローボ(非表示予定)'!J26</f>
        <v>0</v>
      </c>
      <c r="M43" s="405">
        <f t="shared" si="7"/>
        <v>0</v>
      </c>
      <c r="N43" s="414">
        <f>'[2]リトローボ(非表示予定)'!L26</f>
        <v>0</v>
      </c>
      <c r="O43" s="405">
        <f t="shared" si="8"/>
        <v>0</v>
      </c>
      <c r="P43" s="414">
        <f>'[2]リトローボ(非表示予定)'!N26</f>
        <v>0</v>
      </c>
      <c r="Q43" s="405">
        <f t="shared" si="9"/>
        <v>0</v>
      </c>
      <c r="R43" s="414">
        <f>'[2]リトローボ(非表示予定)'!P26</f>
        <v>0</v>
      </c>
      <c r="S43" s="405">
        <f t="shared" si="10"/>
        <v>0</v>
      </c>
      <c r="T43" s="414">
        <f>'[2]リトローボ(非表示予定)'!R26</f>
        <v>0</v>
      </c>
      <c r="U43" s="405">
        <f t="shared" si="11"/>
        <v>0</v>
      </c>
      <c r="V43" s="414">
        <f>'[2]リトローボ(非表示予定)'!T26</f>
        <v>0</v>
      </c>
      <c r="W43" s="405">
        <f t="shared" si="12"/>
        <v>0</v>
      </c>
      <c r="X43" s="414">
        <f>'[2]リトローボ(非表示予定)'!V26</f>
        <v>0</v>
      </c>
      <c r="Y43" s="405">
        <f t="shared" si="13"/>
        <v>0</v>
      </c>
      <c r="Z43" s="414">
        <f>'[2]リトローボ(非表示予定)'!X26</f>
        <v>0</v>
      </c>
      <c r="AA43" s="406">
        <f t="shared" si="14"/>
        <v>0</v>
      </c>
      <c r="AB43" s="394"/>
      <c r="AC43" s="407">
        <f t="shared" si="15"/>
        <v>0</v>
      </c>
      <c r="AD43" s="408">
        <f t="shared" si="16"/>
        <v>0</v>
      </c>
      <c r="AE43" s="322"/>
      <c r="AF43" s="322"/>
      <c r="AG43" s="322"/>
      <c r="AH43" s="322"/>
      <c r="AI43" s="322"/>
      <c r="AJ43" s="322"/>
      <c r="AK43" s="322"/>
    </row>
    <row r="44" spans="1:37" ht="12.75" customHeight="1" outlineLevel="1">
      <c r="A44" s="598"/>
      <c r="B44" s="602"/>
      <c r="C44" s="415" t="s">
        <v>276</v>
      </c>
      <c r="D44" s="416">
        <f>'[2]リトローボ(非表示予定)'!B29</f>
        <v>0</v>
      </c>
      <c r="E44" s="417">
        <f t="shared" si="3"/>
        <v>0</v>
      </c>
      <c r="F44" s="416">
        <f>'[2]リトローボ(非表示予定)'!D29</f>
        <v>0</v>
      </c>
      <c r="G44" s="417">
        <f t="shared" si="4"/>
        <v>0</v>
      </c>
      <c r="H44" s="416">
        <f>'[2]リトローボ(非表示予定)'!F29</f>
        <v>0</v>
      </c>
      <c r="I44" s="417">
        <f t="shared" si="5"/>
        <v>0</v>
      </c>
      <c r="J44" s="416">
        <f>'[2]リトローボ(非表示予定)'!H29</f>
        <v>0</v>
      </c>
      <c r="K44" s="417">
        <f t="shared" si="6"/>
        <v>0</v>
      </c>
      <c r="L44" s="416">
        <f>'[2]リトローボ(非表示予定)'!J29</f>
        <v>0</v>
      </c>
      <c r="M44" s="417">
        <f t="shared" si="7"/>
        <v>0</v>
      </c>
      <c r="N44" s="416">
        <f>'[2]リトローボ(非表示予定)'!L29</f>
        <v>0</v>
      </c>
      <c r="O44" s="417">
        <f t="shared" si="8"/>
        <v>0</v>
      </c>
      <c r="P44" s="416">
        <f>'[2]リトローボ(非表示予定)'!N29</f>
        <v>0</v>
      </c>
      <c r="Q44" s="417">
        <f t="shared" si="9"/>
        <v>0</v>
      </c>
      <c r="R44" s="416">
        <f>'[2]リトローボ(非表示予定)'!P29</f>
        <v>0</v>
      </c>
      <c r="S44" s="417">
        <f t="shared" si="10"/>
        <v>0</v>
      </c>
      <c r="T44" s="416">
        <f>'[2]リトローボ(非表示予定)'!R29</f>
        <v>0</v>
      </c>
      <c r="U44" s="417">
        <f t="shared" si="11"/>
        <v>0</v>
      </c>
      <c r="V44" s="416">
        <f>'[2]リトローボ(非表示予定)'!T29</f>
        <v>0</v>
      </c>
      <c r="W44" s="417">
        <f t="shared" si="12"/>
        <v>0</v>
      </c>
      <c r="X44" s="416">
        <f>'[2]リトローボ(非表示予定)'!V29</f>
        <v>0</v>
      </c>
      <c r="Y44" s="417">
        <f t="shared" si="13"/>
        <v>0</v>
      </c>
      <c r="Z44" s="416">
        <f>'[2]リトローボ(非表示予定)'!X29</f>
        <v>0</v>
      </c>
      <c r="AA44" s="418">
        <f t="shared" si="14"/>
        <v>0</v>
      </c>
      <c r="AB44" s="394"/>
      <c r="AC44" s="419">
        <f t="shared" si="15"/>
        <v>0</v>
      </c>
      <c r="AD44" s="420">
        <f t="shared" si="16"/>
        <v>0</v>
      </c>
      <c r="AE44" s="322"/>
      <c r="AF44" s="322"/>
      <c r="AG44" s="322"/>
      <c r="AH44" s="322"/>
      <c r="AI44" s="322"/>
      <c r="AJ44" s="322"/>
      <c r="AK44" s="322"/>
    </row>
    <row r="45" spans="1:37" ht="12.75" customHeight="1" outlineLevel="1">
      <c r="A45" s="598"/>
      <c r="B45" s="603" t="s">
        <v>242</v>
      </c>
      <c r="C45" s="421" t="s">
        <v>277</v>
      </c>
      <c r="D45" s="404" t="s">
        <v>304</v>
      </c>
      <c r="E45" s="405" t="e">
        <f t="shared" si="3"/>
        <v>#VALUE!</v>
      </c>
      <c r="F45" s="404" t="s">
        <v>304</v>
      </c>
      <c r="G45" s="405" t="e">
        <f t="shared" si="4"/>
        <v>#VALUE!</v>
      </c>
      <c r="H45" s="404" t="s">
        <v>304</v>
      </c>
      <c r="I45" s="405" t="e">
        <f t="shared" si="5"/>
        <v>#VALUE!</v>
      </c>
      <c r="J45" s="404" t="s">
        <v>304</v>
      </c>
      <c r="K45" s="405" t="e">
        <f t="shared" si="6"/>
        <v>#VALUE!</v>
      </c>
      <c r="L45" s="404" t="s">
        <v>304</v>
      </c>
      <c r="M45" s="405" t="e">
        <f t="shared" si="7"/>
        <v>#VALUE!</v>
      </c>
      <c r="N45" s="404" t="s">
        <v>304</v>
      </c>
      <c r="O45" s="405" t="e">
        <f t="shared" si="8"/>
        <v>#VALUE!</v>
      </c>
      <c r="P45" s="404" t="s">
        <v>304</v>
      </c>
      <c r="Q45" s="405" t="e">
        <f t="shared" si="9"/>
        <v>#VALUE!</v>
      </c>
      <c r="R45" s="404" t="s">
        <v>304</v>
      </c>
      <c r="S45" s="405" t="e">
        <f t="shared" si="10"/>
        <v>#VALUE!</v>
      </c>
      <c r="T45" s="404" t="s">
        <v>304</v>
      </c>
      <c r="U45" s="405" t="e">
        <f t="shared" si="11"/>
        <v>#VALUE!</v>
      </c>
      <c r="V45" s="404" t="s">
        <v>304</v>
      </c>
      <c r="W45" s="405" t="e">
        <f t="shared" si="12"/>
        <v>#VALUE!</v>
      </c>
      <c r="X45" s="404" t="s">
        <v>304</v>
      </c>
      <c r="Y45" s="405" t="e">
        <f t="shared" si="13"/>
        <v>#VALUE!</v>
      </c>
      <c r="Z45" s="404" t="s">
        <v>304</v>
      </c>
      <c r="AA45" s="406" t="e">
        <f t="shared" si="14"/>
        <v>#VALUE!</v>
      </c>
      <c r="AB45" s="394"/>
      <c r="AC45" s="401" t="e">
        <f t="shared" si="15"/>
        <v>#VALUE!</v>
      </c>
      <c r="AD45" s="402" t="e">
        <f t="shared" si="16"/>
        <v>#VALUE!</v>
      </c>
      <c r="AE45" s="322"/>
      <c r="AF45" s="322"/>
      <c r="AG45" s="322"/>
      <c r="AH45" s="322"/>
      <c r="AI45" s="322"/>
      <c r="AJ45" s="322"/>
      <c r="AK45" s="322"/>
    </row>
    <row r="46" spans="1:37" ht="12.75" customHeight="1" outlineLevel="1">
      <c r="A46" s="598"/>
      <c r="B46" s="601"/>
      <c r="C46" s="422" t="s">
        <v>278</v>
      </c>
      <c r="D46" s="410" t="s">
        <v>304</v>
      </c>
      <c r="E46" s="405" t="e">
        <f t="shared" si="3"/>
        <v>#VALUE!</v>
      </c>
      <c r="F46" s="410" t="s">
        <v>304</v>
      </c>
      <c r="G46" s="405" t="e">
        <f t="shared" si="4"/>
        <v>#VALUE!</v>
      </c>
      <c r="H46" s="410" t="s">
        <v>304</v>
      </c>
      <c r="I46" s="405" t="e">
        <f t="shared" si="5"/>
        <v>#VALUE!</v>
      </c>
      <c r="J46" s="410" t="s">
        <v>304</v>
      </c>
      <c r="K46" s="405" t="e">
        <f t="shared" si="6"/>
        <v>#VALUE!</v>
      </c>
      <c r="L46" s="410" t="s">
        <v>304</v>
      </c>
      <c r="M46" s="405" t="e">
        <f t="shared" si="7"/>
        <v>#VALUE!</v>
      </c>
      <c r="N46" s="410" t="s">
        <v>304</v>
      </c>
      <c r="O46" s="405" t="e">
        <f t="shared" si="8"/>
        <v>#VALUE!</v>
      </c>
      <c r="P46" s="410" t="s">
        <v>304</v>
      </c>
      <c r="Q46" s="405" t="e">
        <f t="shared" si="9"/>
        <v>#VALUE!</v>
      </c>
      <c r="R46" s="410" t="s">
        <v>304</v>
      </c>
      <c r="S46" s="405" t="e">
        <f t="shared" si="10"/>
        <v>#VALUE!</v>
      </c>
      <c r="T46" s="410" t="s">
        <v>304</v>
      </c>
      <c r="U46" s="405" t="e">
        <f t="shared" si="11"/>
        <v>#VALUE!</v>
      </c>
      <c r="V46" s="410" t="s">
        <v>304</v>
      </c>
      <c r="W46" s="405" t="e">
        <f t="shared" si="12"/>
        <v>#VALUE!</v>
      </c>
      <c r="X46" s="410" t="s">
        <v>304</v>
      </c>
      <c r="Y46" s="405" t="e">
        <f t="shared" si="13"/>
        <v>#VALUE!</v>
      </c>
      <c r="Z46" s="410" t="s">
        <v>304</v>
      </c>
      <c r="AA46" s="406" t="e">
        <f t="shared" si="14"/>
        <v>#VALUE!</v>
      </c>
      <c r="AB46" s="394"/>
      <c r="AC46" s="407" t="e">
        <f t="shared" si="15"/>
        <v>#VALUE!</v>
      </c>
      <c r="AD46" s="408" t="e">
        <f t="shared" si="16"/>
        <v>#VALUE!</v>
      </c>
      <c r="AE46" s="322"/>
      <c r="AF46" s="322"/>
      <c r="AG46" s="322"/>
      <c r="AH46" s="322"/>
      <c r="AI46" s="322"/>
      <c r="AJ46" s="322"/>
      <c r="AK46" s="322"/>
    </row>
    <row r="47" spans="1:37" ht="12.75" customHeight="1" outlineLevel="1">
      <c r="A47" s="598"/>
      <c r="B47" s="601"/>
      <c r="C47" s="422" t="s">
        <v>279</v>
      </c>
      <c r="D47" s="410">
        <f>'[2]リトローボ(非表示予定)'!B18</f>
        <v>0</v>
      </c>
      <c r="E47" s="405">
        <f t="shared" si="3"/>
        <v>0</v>
      </c>
      <c r="F47" s="410">
        <f>'[2]リトローボ(非表示予定)'!D18</f>
        <v>0</v>
      </c>
      <c r="G47" s="405">
        <f t="shared" si="4"/>
        <v>0</v>
      </c>
      <c r="H47" s="410">
        <f>'[2]リトローボ(非表示予定)'!F18</f>
        <v>0</v>
      </c>
      <c r="I47" s="405">
        <f t="shared" si="5"/>
        <v>0</v>
      </c>
      <c r="J47" s="410">
        <f>'[2]リトローボ(非表示予定)'!H18</f>
        <v>0</v>
      </c>
      <c r="K47" s="405">
        <f t="shared" si="6"/>
        <v>0</v>
      </c>
      <c r="L47" s="410">
        <f>'[2]リトローボ(非表示予定)'!J18</f>
        <v>0</v>
      </c>
      <c r="M47" s="405">
        <f t="shared" si="7"/>
        <v>0</v>
      </c>
      <c r="N47" s="410">
        <f>'[2]リトローボ(非表示予定)'!L18</f>
        <v>0</v>
      </c>
      <c r="O47" s="405">
        <f t="shared" si="8"/>
        <v>0</v>
      </c>
      <c r="P47" s="410">
        <f>'[2]リトローボ(非表示予定)'!N18</f>
        <v>0</v>
      </c>
      <c r="Q47" s="405">
        <f t="shared" si="9"/>
        <v>0</v>
      </c>
      <c r="R47" s="410">
        <f>'[2]リトローボ(非表示予定)'!P18</f>
        <v>0</v>
      </c>
      <c r="S47" s="405">
        <f t="shared" si="10"/>
        <v>0</v>
      </c>
      <c r="T47" s="410">
        <f>'[2]リトローボ(非表示予定)'!R18</f>
        <v>0</v>
      </c>
      <c r="U47" s="405">
        <f t="shared" si="11"/>
        <v>0</v>
      </c>
      <c r="V47" s="410">
        <f>'[2]リトローボ(非表示予定)'!T18</f>
        <v>0</v>
      </c>
      <c r="W47" s="405">
        <f t="shared" si="12"/>
        <v>0</v>
      </c>
      <c r="X47" s="410">
        <f>'[2]リトローボ(非表示予定)'!V18</f>
        <v>0</v>
      </c>
      <c r="Y47" s="405">
        <f t="shared" si="13"/>
        <v>0</v>
      </c>
      <c r="Z47" s="410">
        <f>'[2]リトローボ(非表示予定)'!X18</f>
        <v>0</v>
      </c>
      <c r="AA47" s="406">
        <f t="shared" si="14"/>
        <v>0</v>
      </c>
      <c r="AB47" s="394"/>
      <c r="AC47" s="407">
        <f t="shared" si="15"/>
        <v>0</v>
      </c>
      <c r="AD47" s="408">
        <f t="shared" si="16"/>
        <v>0</v>
      </c>
      <c r="AE47" s="322"/>
      <c r="AF47" s="322"/>
      <c r="AG47" s="322"/>
      <c r="AH47" s="322"/>
      <c r="AI47" s="322"/>
      <c r="AJ47" s="322"/>
      <c r="AK47" s="322"/>
    </row>
    <row r="48" spans="1:37" ht="12.75" customHeight="1" outlineLevel="1">
      <c r="A48" s="598"/>
      <c r="B48" s="601"/>
      <c r="C48" s="422" t="s">
        <v>280</v>
      </c>
      <c r="D48" s="410">
        <v>0</v>
      </c>
      <c r="E48" s="405">
        <f t="shared" si="3"/>
        <v>0</v>
      </c>
      <c r="F48" s="410">
        <v>0</v>
      </c>
      <c r="G48" s="405">
        <f t="shared" si="4"/>
        <v>0</v>
      </c>
      <c r="H48" s="410">
        <v>0</v>
      </c>
      <c r="I48" s="405">
        <f t="shared" si="5"/>
        <v>0</v>
      </c>
      <c r="J48" s="410">
        <v>0</v>
      </c>
      <c r="K48" s="405">
        <f t="shared" si="6"/>
        <v>0</v>
      </c>
      <c r="L48" s="410">
        <v>0</v>
      </c>
      <c r="M48" s="405">
        <f t="shared" si="7"/>
        <v>0</v>
      </c>
      <c r="N48" s="410">
        <v>0</v>
      </c>
      <c r="O48" s="405">
        <f t="shared" si="8"/>
        <v>0</v>
      </c>
      <c r="P48" s="410">
        <v>0</v>
      </c>
      <c r="Q48" s="405">
        <f t="shared" si="9"/>
        <v>0</v>
      </c>
      <c r="R48" s="410">
        <v>0</v>
      </c>
      <c r="S48" s="405">
        <f t="shared" si="10"/>
        <v>0</v>
      </c>
      <c r="T48" s="410">
        <v>0</v>
      </c>
      <c r="U48" s="405">
        <f t="shared" si="11"/>
        <v>0</v>
      </c>
      <c r="V48" s="410">
        <v>0</v>
      </c>
      <c r="W48" s="405">
        <f t="shared" si="12"/>
        <v>0</v>
      </c>
      <c r="X48" s="410">
        <v>0</v>
      </c>
      <c r="Y48" s="405">
        <f t="shared" si="13"/>
        <v>0</v>
      </c>
      <c r="Z48" s="410">
        <v>0</v>
      </c>
      <c r="AA48" s="406">
        <f t="shared" si="14"/>
        <v>0</v>
      </c>
      <c r="AB48" s="394"/>
      <c r="AC48" s="407">
        <f t="shared" si="15"/>
        <v>0</v>
      </c>
      <c r="AD48" s="408">
        <f t="shared" si="16"/>
        <v>0</v>
      </c>
      <c r="AE48" s="322"/>
      <c r="AF48" s="322"/>
      <c r="AG48" s="322"/>
      <c r="AH48" s="322"/>
      <c r="AI48" s="322"/>
      <c r="AJ48" s="322"/>
      <c r="AK48" s="322"/>
    </row>
    <row r="49" spans="1:37" ht="12.75" customHeight="1" outlineLevel="1">
      <c r="A49" s="598"/>
      <c r="B49" s="601"/>
      <c r="C49" s="422" t="s">
        <v>281</v>
      </c>
      <c r="D49" s="410" t="s">
        <v>304</v>
      </c>
      <c r="E49" s="405" t="e">
        <f t="shared" si="3"/>
        <v>#VALUE!</v>
      </c>
      <c r="F49" s="410" t="s">
        <v>304</v>
      </c>
      <c r="G49" s="405" t="e">
        <f t="shared" si="4"/>
        <v>#VALUE!</v>
      </c>
      <c r="H49" s="410" t="s">
        <v>304</v>
      </c>
      <c r="I49" s="405" t="e">
        <f t="shared" si="5"/>
        <v>#VALUE!</v>
      </c>
      <c r="J49" s="410" t="s">
        <v>304</v>
      </c>
      <c r="K49" s="405" t="e">
        <f t="shared" si="6"/>
        <v>#VALUE!</v>
      </c>
      <c r="L49" s="410" t="s">
        <v>304</v>
      </c>
      <c r="M49" s="405" t="e">
        <f t="shared" si="7"/>
        <v>#VALUE!</v>
      </c>
      <c r="N49" s="410" t="s">
        <v>304</v>
      </c>
      <c r="O49" s="405" t="e">
        <f t="shared" si="8"/>
        <v>#VALUE!</v>
      </c>
      <c r="P49" s="410" t="s">
        <v>304</v>
      </c>
      <c r="Q49" s="405" t="e">
        <f t="shared" si="9"/>
        <v>#VALUE!</v>
      </c>
      <c r="R49" s="410" t="s">
        <v>304</v>
      </c>
      <c r="S49" s="405" t="e">
        <f t="shared" si="10"/>
        <v>#VALUE!</v>
      </c>
      <c r="T49" s="410" t="s">
        <v>304</v>
      </c>
      <c r="U49" s="405" t="e">
        <f t="shared" si="11"/>
        <v>#VALUE!</v>
      </c>
      <c r="V49" s="410" t="s">
        <v>304</v>
      </c>
      <c r="W49" s="405" t="e">
        <f t="shared" si="12"/>
        <v>#VALUE!</v>
      </c>
      <c r="X49" s="410" t="s">
        <v>304</v>
      </c>
      <c r="Y49" s="405" t="e">
        <f t="shared" si="13"/>
        <v>#VALUE!</v>
      </c>
      <c r="Z49" s="410" t="s">
        <v>304</v>
      </c>
      <c r="AA49" s="406" t="e">
        <f t="shared" si="14"/>
        <v>#VALUE!</v>
      </c>
      <c r="AB49" s="394"/>
      <c r="AC49" s="407" t="e">
        <f t="shared" si="15"/>
        <v>#VALUE!</v>
      </c>
      <c r="AD49" s="408" t="e">
        <f t="shared" si="16"/>
        <v>#VALUE!</v>
      </c>
      <c r="AE49" s="322"/>
      <c r="AF49" s="322"/>
      <c r="AG49" s="322"/>
      <c r="AH49" s="322"/>
      <c r="AI49" s="322"/>
      <c r="AJ49" s="322"/>
      <c r="AK49" s="322"/>
    </row>
    <row r="50" spans="1:37" ht="12.75" customHeight="1" outlineLevel="1">
      <c r="A50" s="598"/>
      <c r="B50" s="601"/>
      <c r="C50" s="422" t="s">
        <v>282</v>
      </c>
      <c r="D50" s="410" t="s">
        <v>304</v>
      </c>
      <c r="E50" s="405" t="e">
        <f t="shared" si="3"/>
        <v>#VALUE!</v>
      </c>
      <c r="F50" s="410" t="s">
        <v>304</v>
      </c>
      <c r="G50" s="405" t="e">
        <f t="shared" si="4"/>
        <v>#VALUE!</v>
      </c>
      <c r="H50" s="410" t="s">
        <v>304</v>
      </c>
      <c r="I50" s="405" t="e">
        <f t="shared" si="5"/>
        <v>#VALUE!</v>
      </c>
      <c r="J50" s="410" t="s">
        <v>304</v>
      </c>
      <c r="K50" s="405" t="e">
        <f t="shared" si="6"/>
        <v>#VALUE!</v>
      </c>
      <c r="L50" s="410" t="s">
        <v>304</v>
      </c>
      <c r="M50" s="405" t="e">
        <f t="shared" si="7"/>
        <v>#VALUE!</v>
      </c>
      <c r="N50" s="410" t="s">
        <v>304</v>
      </c>
      <c r="O50" s="405" t="e">
        <f t="shared" si="8"/>
        <v>#VALUE!</v>
      </c>
      <c r="P50" s="410" t="s">
        <v>304</v>
      </c>
      <c r="Q50" s="405" t="e">
        <f t="shared" si="9"/>
        <v>#VALUE!</v>
      </c>
      <c r="R50" s="410" t="s">
        <v>304</v>
      </c>
      <c r="S50" s="405" t="e">
        <f t="shared" si="10"/>
        <v>#VALUE!</v>
      </c>
      <c r="T50" s="410" t="s">
        <v>304</v>
      </c>
      <c r="U50" s="405" t="e">
        <f t="shared" si="11"/>
        <v>#VALUE!</v>
      </c>
      <c r="V50" s="410" t="s">
        <v>304</v>
      </c>
      <c r="W50" s="405" t="e">
        <f t="shared" si="12"/>
        <v>#VALUE!</v>
      </c>
      <c r="X50" s="410" t="s">
        <v>304</v>
      </c>
      <c r="Y50" s="405" t="e">
        <f t="shared" si="13"/>
        <v>#VALUE!</v>
      </c>
      <c r="Z50" s="410" t="s">
        <v>304</v>
      </c>
      <c r="AA50" s="406" t="e">
        <f t="shared" si="14"/>
        <v>#VALUE!</v>
      </c>
      <c r="AB50" s="394"/>
      <c r="AC50" s="407" t="e">
        <f t="shared" si="15"/>
        <v>#VALUE!</v>
      </c>
      <c r="AD50" s="408" t="e">
        <f t="shared" si="16"/>
        <v>#VALUE!</v>
      </c>
      <c r="AE50" s="322"/>
      <c r="AF50" s="322"/>
      <c r="AG50" s="322"/>
      <c r="AH50" s="322"/>
      <c r="AI50" s="322"/>
      <c r="AJ50" s="322"/>
      <c r="AK50" s="322"/>
    </row>
    <row r="51" spans="1:37" ht="12.75" customHeight="1" outlineLevel="1">
      <c r="A51" s="598"/>
      <c r="B51" s="601"/>
      <c r="C51" s="422" t="s">
        <v>283</v>
      </c>
      <c r="D51" s="410" t="s">
        <v>304</v>
      </c>
      <c r="E51" s="405" t="e">
        <f t="shared" si="3"/>
        <v>#VALUE!</v>
      </c>
      <c r="F51" s="410" t="s">
        <v>304</v>
      </c>
      <c r="G51" s="405" t="e">
        <f t="shared" si="4"/>
        <v>#VALUE!</v>
      </c>
      <c r="H51" s="410" t="s">
        <v>304</v>
      </c>
      <c r="I51" s="405" t="e">
        <f t="shared" si="5"/>
        <v>#VALUE!</v>
      </c>
      <c r="J51" s="410" t="s">
        <v>304</v>
      </c>
      <c r="K51" s="405" t="e">
        <f t="shared" si="6"/>
        <v>#VALUE!</v>
      </c>
      <c r="L51" s="410" t="s">
        <v>304</v>
      </c>
      <c r="M51" s="405" t="e">
        <f t="shared" si="7"/>
        <v>#VALUE!</v>
      </c>
      <c r="N51" s="410" t="s">
        <v>304</v>
      </c>
      <c r="O51" s="405" t="e">
        <f t="shared" si="8"/>
        <v>#VALUE!</v>
      </c>
      <c r="P51" s="410" t="s">
        <v>304</v>
      </c>
      <c r="Q51" s="405" t="e">
        <f t="shared" si="9"/>
        <v>#VALUE!</v>
      </c>
      <c r="R51" s="410" t="s">
        <v>304</v>
      </c>
      <c r="S51" s="405" t="e">
        <f t="shared" si="10"/>
        <v>#VALUE!</v>
      </c>
      <c r="T51" s="410" t="s">
        <v>304</v>
      </c>
      <c r="U51" s="405" t="e">
        <f t="shared" si="11"/>
        <v>#VALUE!</v>
      </c>
      <c r="V51" s="410" t="s">
        <v>304</v>
      </c>
      <c r="W51" s="405" t="e">
        <f t="shared" si="12"/>
        <v>#VALUE!</v>
      </c>
      <c r="X51" s="410" t="s">
        <v>304</v>
      </c>
      <c r="Y51" s="405" t="e">
        <f t="shared" si="13"/>
        <v>#VALUE!</v>
      </c>
      <c r="Z51" s="410" t="s">
        <v>304</v>
      </c>
      <c r="AA51" s="406" t="e">
        <f t="shared" si="14"/>
        <v>#VALUE!</v>
      </c>
      <c r="AB51" s="394"/>
      <c r="AC51" s="407" t="e">
        <f t="shared" si="15"/>
        <v>#VALUE!</v>
      </c>
      <c r="AD51" s="408" t="e">
        <f t="shared" si="16"/>
        <v>#VALUE!</v>
      </c>
      <c r="AE51" s="322"/>
      <c r="AF51" s="322"/>
      <c r="AG51" s="322"/>
      <c r="AH51" s="322"/>
      <c r="AI51" s="322"/>
      <c r="AJ51" s="322"/>
      <c r="AK51" s="322"/>
    </row>
    <row r="52" spans="1:37" ht="12.75" customHeight="1" outlineLevel="1">
      <c r="A52" s="598"/>
      <c r="B52" s="601"/>
      <c r="C52" s="422" t="s">
        <v>284</v>
      </c>
      <c r="D52" s="410">
        <f>'[2]リトローボ(非表示予定)'!B16</f>
        <v>0</v>
      </c>
      <c r="E52" s="405">
        <f t="shared" si="3"/>
        <v>0</v>
      </c>
      <c r="F52" s="410">
        <f>'[2]リトローボ(非表示予定)'!D16</f>
        <v>0</v>
      </c>
      <c r="G52" s="405">
        <f t="shared" si="4"/>
        <v>0</v>
      </c>
      <c r="H52" s="410">
        <f>'[2]リトローボ(非表示予定)'!F16</f>
        <v>0</v>
      </c>
      <c r="I52" s="405">
        <f t="shared" si="5"/>
        <v>0</v>
      </c>
      <c r="J52" s="410">
        <f>'[2]リトローボ(非表示予定)'!H16</f>
        <v>0</v>
      </c>
      <c r="K52" s="405">
        <f t="shared" si="6"/>
        <v>0</v>
      </c>
      <c r="L52" s="410">
        <f>'[2]リトローボ(非表示予定)'!J16</f>
        <v>0</v>
      </c>
      <c r="M52" s="405">
        <f t="shared" si="7"/>
        <v>0</v>
      </c>
      <c r="N52" s="410">
        <f>'[2]リトローボ(非表示予定)'!L16</f>
        <v>0</v>
      </c>
      <c r="O52" s="405">
        <f t="shared" si="8"/>
        <v>0</v>
      </c>
      <c r="P52" s="410">
        <f>'[2]リトローボ(非表示予定)'!N16</f>
        <v>0</v>
      </c>
      <c r="Q52" s="405">
        <f t="shared" si="9"/>
        <v>0</v>
      </c>
      <c r="R52" s="410">
        <f>'[2]リトローボ(非表示予定)'!P16</f>
        <v>0</v>
      </c>
      <c r="S52" s="405">
        <f t="shared" si="10"/>
        <v>0</v>
      </c>
      <c r="T52" s="410">
        <f>'[2]リトローボ(非表示予定)'!R16</f>
        <v>0</v>
      </c>
      <c r="U52" s="405">
        <f t="shared" si="11"/>
        <v>0</v>
      </c>
      <c r="V52" s="410">
        <f>'[2]リトローボ(非表示予定)'!T16</f>
        <v>0</v>
      </c>
      <c r="W52" s="405">
        <f t="shared" si="12"/>
        <v>0</v>
      </c>
      <c r="X52" s="410">
        <f>'[2]リトローボ(非表示予定)'!V16</f>
        <v>0</v>
      </c>
      <c r="Y52" s="405">
        <f t="shared" si="13"/>
        <v>0</v>
      </c>
      <c r="Z52" s="410">
        <f>'[2]リトローボ(非表示予定)'!X16</f>
        <v>0</v>
      </c>
      <c r="AA52" s="406">
        <f t="shared" si="14"/>
        <v>0</v>
      </c>
      <c r="AB52" s="394"/>
      <c r="AC52" s="407">
        <f t="shared" si="15"/>
        <v>0</v>
      </c>
      <c r="AD52" s="408">
        <f t="shared" si="16"/>
        <v>0</v>
      </c>
      <c r="AE52" s="322"/>
      <c r="AF52" s="322"/>
      <c r="AG52" s="322"/>
      <c r="AH52" s="322"/>
      <c r="AI52" s="322"/>
      <c r="AJ52" s="322"/>
      <c r="AK52" s="322"/>
    </row>
    <row r="53" spans="1:37" ht="12.75" customHeight="1" outlineLevel="1">
      <c r="A53" s="598"/>
      <c r="B53" s="601"/>
      <c r="C53" s="422" t="s">
        <v>285</v>
      </c>
      <c r="D53" s="410">
        <f>'[2]リトローボ(非表示予定)'!B25</f>
        <v>0</v>
      </c>
      <c r="E53" s="405">
        <f t="shared" si="3"/>
        <v>0</v>
      </c>
      <c r="F53" s="410">
        <f>'[2]リトローボ(非表示予定)'!D25</f>
        <v>0</v>
      </c>
      <c r="G53" s="405">
        <f t="shared" si="4"/>
        <v>0</v>
      </c>
      <c r="H53" s="410">
        <f>'[2]リトローボ(非表示予定)'!F25</f>
        <v>0</v>
      </c>
      <c r="I53" s="405">
        <f t="shared" si="5"/>
        <v>0</v>
      </c>
      <c r="J53" s="410">
        <f>'[2]リトローボ(非表示予定)'!H25</f>
        <v>0</v>
      </c>
      <c r="K53" s="405">
        <f t="shared" si="6"/>
        <v>0</v>
      </c>
      <c r="L53" s="410">
        <f>'[2]リトローボ(非表示予定)'!J25</f>
        <v>0</v>
      </c>
      <c r="M53" s="405">
        <f t="shared" si="7"/>
        <v>0</v>
      </c>
      <c r="N53" s="410">
        <f>'[2]リトローボ(非表示予定)'!L25</f>
        <v>0</v>
      </c>
      <c r="O53" s="405">
        <f t="shared" si="8"/>
        <v>0</v>
      </c>
      <c r="P53" s="410">
        <f>'[2]リトローボ(非表示予定)'!N25</f>
        <v>0</v>
      </c>
      <c r="Q53" s="405">
        <f t="shared" si="9"/>
        <v>0</v>
      </c>
      <c r="R53" s="410">
        <f>'[2]リトローボ(非表示予定)'!P25</f>
        <v>0</v>
      </c>
      <c r="S53" s="405">
        <f t="shared" si="10"/>
        <v>0</v>
      </c>
      <c r="T53" s="410">
        <f>'[2]リトローボ(非表示予定)'!R25</f>
        <v>0</v>
      </c>
      <c r="U53" s="405">
        <f t="shared" si="11"/>
        <v>0</v>
      </c>
      <c r="V53" s="410">
        <f>'[2]リトローボ(非表示予定)'!T25</f>
        <v>0</v>
      </c>
      <c r="W53" s="405">
        <f t="shared" si="12"/>
        <v>0</v>
      </c>
      <c r="X53" s="410">
        <f>'[2]リトローボ(非表示予定)'!V25</f>
        <v>0</v>
      </c>
      <c r="Y53" s="405">
        <f t="shared" si="13"/>
        <v>0</v>
      </c>
      <c r="Z53" s="410">
        <f>'[2]リトローボ(非表示予定)'!X25</f>
        <v>0</v>
      </c>
      <c r="AA53" s="406">
        <f t="shared" si="14"/>
        <v>0</v>
      </c>
      <c r="AB53" s="394"/>
      <c r="AC53" s="407">
        <f t="shared" si="15"/>
        <v>0</v>
      </c>
      <c r="AD53" s="408">
        <f t="shared" si="16"/>
        <v>0</v>
      </c>
      <c r="AE53" s="322"/>
      <c r="AF53" s="322"/>
      <c r="AG53" s="322"/>
      <c r="AH53" s="322"/>
      <c r="AI53" s="322"/>
      <c r="AJ53" s="322"/>
      <c r="AK53" s="322"/>
    </row>
    <row r="54" spans="1:37" ht="12.75" customHeight="1" outlineLevel="1">
      <c r="A54" s="598"/>
      <c r="B54" s="601"/>
      <c r="C54" s="423" t="s">
        <v>286</v>
      </c>
      <c r="D54" s="410">
        <v>0</v>
      </c>
      <c r="E54" s="405">
        <f t="shared" si="3"/>
        <v>0</v>
      </c>
      <c r="F54" s="410">
        <v>0</v>
      </c>
      <c r="G54" s="405">
        <f t="shared" si="4"/>
        <v>0</v>
      </c>
      <c r="H54" s="410">
        <v>0</v>
      </c>
      <c r="I54" s="405">
        <f t="shared" si="5"/>
        <v>0</v>
      </c>
      <c r="J54" s="410">
        <v>0</v>
      </c>
      <c r="K54" s="405">
        <f t="shared" si="6"/>
        <v>0</v>
      </c>
      <c r="L54" s="410">
        <v>0</v>
      </c>
      <c r="M54" s="405">
        <f t="shared" si="7"/>
        <v>0</v>
      </c>
      <c r="N54" s="410">
        <v>0</v>
      </c>
      <c r="O54" s="405">
        <f t="shared" si="8"/>
        <v>0</v>
      </c>
      <c r="P54" s="410">
        <v>0</v>
      </c>
      <c r="Q54" s="405">
        <f t="shared" si="9"/>
        <v>0</v>
      </c>
      <c r="R54" s="410">
        <v>0</v>
      </c>
      <c r="S54" s="405">
        <f t="shared" si="10"/>
        <v>0</v>
      </c>
      <c r="T54" s="410">
        <v>0</v>
      </c>
      <c r="U54" s="405">
        <f t="shared" si="11"/>
        <v>0</v>
      </c>
      <c r="V54" s="410">
        <v>0</v>
      </c>
      <c r="W54" s="405">
        <f t="shared" si="12"/>
        <v>0</v>
      </c>
      <c r="X54" s="410">
        <v>0</v>
      </c>
      <c r="Y54" s="405">
        <f t="shared" si="13"/>
        <v>0</v>
      </c>
      <c r="Z54" s="410">
        <v>0</v>
      </c>
      <c r="AA54" s="406">
        <f t="shared" si="14"/>
        <v>0</v>
      </c>
      <c r="AB54" s="394"/>
      <c r="AC54" s="407">
        <f t="shared" si="15"/>
        <v>0</v>
      </c>
      <c r="AD54" s="408">
        <f t="shared" si="16"/>
        <v>0</v>
      </c>
      <c r="AE54" s="322"/>
      <c r="AF54" s="322"/>
      <c r="AG54" s="322"/>
      <c r="AH54" s="322"/>
      <c r="AI54" s="322"/>
      <c r="AJ54" s="322"/>
      <c r="AK54" s="322"/>
    </row>
    <row r="55" spans="1:37" ht="12.75" customHeight="1" outlineLevel="1">
      <c r="A55" s="598"/>
      <c r="B55" s="601"/>
      <c r="C55" s="422" t="s">
        <v>287</v>
      </c>
      <c r="D55" s="424">
        <f>'[2]リトローボ(非表示予定)'!B13</f>
        <v>0</v>
      </c>
      <c r="E55" s="405">
        <f t="shared" si="3"/>
        <v>0</v>
      </c>
      <c r="F55" s="424">
        <f>'[2]リトローボ(非表示予定)'!D13</f>
        <v>0</v>
      </c>
      <c r="G55" s="405">
        <f t="shared" si="4"/>
        <v>0</v>
      </c>
      <c r="H55" s="424">
        <f>'[2]リトローボ(非表示予定)'!F13</f>
        <v>0</v>
      </c>
      <c r="I55" s="405">
        <f t="shared" si="5"/>
        <v>0</v>
      </c>
      <c r="J55" s="424">
        <f>'[2]リトローボ(非表示予定)'!H13</f>
        <v>0</v>
      </c>
      <c r="K55" s="405">
        <f t="shared" si="6"/>
        <v>0</v>
      </c>
      <c r="L55" s="424">
        <f>'[2]リトローボ(非表示予定)'!J13</f>
        <v>0</v>
      </c>
      <c r="M55" s="405">
        <f t="shared" si="7"/>
        <v>0</v>
      </c>
      <c r="N55" s="424">
        <f>'[2]リトローボ(非表示予定)'!L13</f>
        <v>0</v>
      </c>
      <c r="O55" s="405">
        <f t="shared" si="8"/>
        <v>0</v>
      </c>
      <c r="P55" s="424">
        <f>'[2]リトローボ(非表示予定)'!N13</f>
        <v>0</v>
      </c>
      <c r="Q55" s="405">
        <f t="shared" si="9"/>
        <v>0</v>
      </c>
      <c r="R55" s="424">
        <f>'[2]リトローボ(非表示予定)'!P13</f>
        <v>0</v>
      </c>
      <c r="S55" s="405">
        <f t="shared" si="10"/>
        <v>0</v>
      </c>
      <c r="T55" s="424">
        <f>'[2]リトローボ(非表示予定)'!R13</f>
        <v>0</v>
      </c>
      <c r="U55" s="405">
        <f t="shared" si="11"/>
        <v>0</v>
      </c>
      <c r="V55" s="424">
        <f>'[2]リトローボ(非表示予定)'!T13</f>
        <v>0</v>
      </c>
      <c r="W55" s="405">
        <f t="shared" si="12"/>
        <v>0</v>
      </c>
      <c r="X55" s="424">
        <f>'[2]リトローボ(非表示予定)'!V13</f>
        <v>0</v>
      </c>
      <c r="Y55" s="405">
        <f t="shared" si="13"/>
        <v>0</v>
      </c>
      <c r="Z55" s="424">
        <f>'[2]リトローボ(非表示予定)'!X13</f>
        <v>0</v>
      </c>
      <c r="AA55" s="406">
        <f t="shared" si="14"/>
        <v>0</v>
      </c>
      <c r="AB55" s="394"/>
      <c r="AC55" s="407">
        <f t="shared" si="15"/>
        <v>0</v>
      </c>
      <c r="AD55" s="408">
        <f t="shared" si="16"/>
        <v>0</v>
      </c>
      <c r="AE55" s="322"/>
      <c r="AF55" s="322"/>
      <c r="AG55" s="322"/>
      <c r="AH55" s="322"/>
      <c r="AI55" s="322"/>
      <c r="AJ55" s="322"/>
      <c r="AK55" s="322"/>
    </row>
    <row r="56" spans="1:37" ht="12.75" customHeight="1" outlineLevel="1">
      <c r="A56" s="598"/>
      <c r="B56" s="601"/>
      <c r="C56" s="422" t="s">
        <v>288</v>
      </c>
      <c r="D56" s="410">
        <f>'[2]リトローボ(非表示予定)'!B15</f>
        <v>0</v>
      </c>
      <c r="E56" s="405">
        <f t="shared" si="3"/>
        <v>0</v>
      </c>
      <c r="F56" s="410">
        <f>'[2]リトローボ(非表示予定)'!D15</f>
        <v>0</v>
      </c>
      <c r="G56" s="405">
        <f t="shared" si="4"/>
        <v>0</v>
      </c>
      <c r="H56" s="410">
        <f>'[2]リトローボ(非表示予定)'!F15</f>
        <v>0</v>
      </c>
      <c r="I56" s="405">
        <f t="shared" si="5"/>
        <v>0</v>
      </c>
      <c r="J56" s="410">
        <f>'[2]リトローボ(非表示予定)'!H15</f>
        <v>0</v>
      </c>
      <c r="K56" s="405">
        <f t="shared" si="6"/>
        <v>0</v>
      </c>
      <c r="L56" s="410">
        <f>'[2]リトローボ(非表示予定)'!J15</f>
        <v>0</v>
      </c>
      <c r="M56" s="405">
        <f t="shared" si="7"/>
        <v>0</v>
      </c>
      <c r="N56" s="410">
        <f>'[2]リトローボ(非表示予定)'!L15</f>
        <v>0</v>
      </c>
      <c r="O56" s="405">
        <f t="shared" si="8"/>
        <v>0</v>
      </c>
      <c r="P56" s="410">
        <f>'[2]リトローボ(非表示予定)'!N15</f>
        <v>0</v>
      </c>
      <c r="Q56" s="405">
        <f t="shared" si="9"/>
        <v>0</v>
      </c>
      <c r="R56" s="410">
        <f>'[2]リトローボ(非表示予定)'!P15</f>
        <v>0</v>
      </c>
      <c r="S56" s="405">
        <f t="shared" si="10"/>
        <v>0</v>
      </c>
      <c r="T56" s="410">
        <f>'[2]リトローボ(非表示予定)'!R15</f>
        <v>0</v>
      </c>
      <c r="U56" s="405">
        <f t="shared" si="11"/>
        <v>0</v>
      </c>
      <c r="V56" s="410">
        <f>'[2]リトローボ(非表示予定)'!T15</f>
        <v>0</v>
      </c>
      <c r="W56" s="405">
        <f t="shared" si="12"/>
        <v>0</v>
      </c>
      <c r="X56" s="410">
        <f>'[2]リトローボ(非表示予定)'!V15</f>
        <v>0</v>
      </c>
      <c r="Y56" s="405">
        <f t="shared" si="13"/>
        <v>0</v>
      </c>
      <c r="Z56" s="410">
        <f>'[2]リトローボ(非表示予定)'!X15</f>
        <v>0</v>
      </c>
      <c r="AA56" s="406">
        <f t="shared" si="14"/>
        <v>0</v>
      </c>
      <c r="AB56" s="394"/>
      <c r="AC56" s="407">
        <f t="shared" si="15"/>
        <v>0</v>
      </c>
      <c r="AD56" s="408">
        <f t="shared" si="16"/>
        <v>0</v>
      </c>
      <c r="AE56" s="322"/>
      <c r="AF56" s="322"/>
      <c r="AG56" s="322"/>
      <c r="AH56" s="322"/>
      <c r="AI56" s="322"/>
      <c r="AJ56" s="322"/>
      <c r="AK56" s="322"/>
    </row>
    <row r="57" spans="1:37" ht="12.75" customHeight="1" outlineLevel="1">
      <c r="A57" s="598"/>
      <c r="B57" s="601"/>
      <c r="C57" s="409" t="s">
        <v>289</v>
      </c>
      <c r="D57" s="410">
        <f>'[2]リトローボ(非表示予定)'!B14</f>
        <v>0</v>
      </c>
      <c r="E57" s="405">
        <f t="shared" si="3"/>
        <v>0</v>
      </c>
      <c r="F57" s="410">
        <f>'[2]リトローボ(非表示予定)'!D14</f>
        <v>0</v>
      </c>
      <c r="G57" s="405">
        <f t="shared" si="4"/>
        <v>0</v>
      </c>
      <c r="H57" s="410">
        <f>'[2]リトローボ(非表示予定)'!F14</f>
        <v>0</v>
      </c>
      <c r="I57" s="405">
        <f t="shared" si="5"/>
        <v>0</v>
      </c>
      <c r="J57" s="410">
        <f>'[2]リトローボ(非表示予定)'!H14</f>
        <v>0</v>
      </c>
      <c r="K57" s="405">
        <f t="shared" si="6"/>
        <v>0</v>
      </c>
      <c r="L57" s="410">
        <f>'[2]リトローボ(非表示予定)'!J14</f>
        <v>0</v>
      </c>
      <c r="M57" s="405">
        <f t="shared" si="7"/>
        <v>0</v>
      </c>
      <c r="N57" s="410">
        <f>'[2]リトローボ(非表示予定)'!L14</f>
        <v>0</v>
      </c>
      <c r="O57" s="405">
        <f t="shared" si="8"/>
        <v>0</v>
      </c>
      <c r="P57" s="410">
        <f>'[2]リトローボ(非表示予定)'!N14</f>
        <v>0</v>
      </c>
      <c r="Q57" s="405">
        <f t="shared" si="9"/>
        <v>0</v>
      </c>
      <c r="R57" s="410">
        <f>'[2]リトローボ(非表示予定)'!P14</f>
        <v>0</v>
      </c>
      <c r="S57" s="405">
        <f t="shared" si="10"/>
        <v>0</v>
      </c>
      <c r="T57" s="410">
        <f>'[2]リトローボ(非表示予定)'!R14</f>
        <v>0</v>
      </c>
      <c r="U57" s="405">
        <f t="shared" si="11"/>
        <v>0</v>
      </c>
      <c r="V57" s="410">
        <f>'[2]リトローボ(非表示予定)'!T14</f>
        <v>0</v>
      </c>
      <c r="W57" s="405">
        <f t="shared" si="12"/>
        <v>0</v>
      </c>
      <c r="X57" s="410">
        <f>'[2]リトローボ(非表示予定)'!V14</f>
        <v>0</v>
      </c>
      <c r="Y57" s="405">
        <f t="shared" si="13"/>
        <v>0</v>
      </c>
      <c r="Z57" s="410">
        <f>'[2]リトローボ(非表示予定)'!X14</f>
        <v>0</v>
      </c>
      <c r="AA57" s="406">
        <f t="shared" si="14"/>
        <v>0</v>
      </c>
      <c r="AB57" s="394"/>
      <c r="AC57" s="407">
        <f t="shared" si="15"/>
        <v>0</v>
      </c>
      <c r="AD57" s="408">
        <f t="shared" si="16"/>
        <v>0</v>
      </c>
      <c r="AE57" s="322"/>
      <c r="AF57" s="322"/>
      <c r="AG57" s="322"/>
      <c r="AH57" s="322"/>
      <c r="AI57" s="322"/>
      <c r="AJ57" s="322"/>
      <c r="AK57" s="322"/>
    </row>
    <row r="58" spans="1:37" ht="12.75" customHeight="1" outlineLevel="1">
      <c r="A58" s="598"/>
      <c r="B58" s="601"/>
      <c r="C58" s="425" t="s">
        <v>290</v>
      </c>
      <c r="D58" s="426">
        <f>'[2]リトローボ(非表示予定)'!B35</f>
        <v>0</v>
      </c>
      <c r="E58" s="405">
        <f t="shared" si="3"/>
        <v>0</v>
      </c>
      <c r="F58" s="426">
        <f>'[2]リトローボ(非表示予定)'!D35</f>
        <v>0</v>
      </c>
      <c r="G58" s="405">
        <f t="shared" si="4"/>
        <v>0</v>
      </c>
      <c r="H58" s="426">
        <f>'[2]リトローボ(非表示予定)'!F35</f>
        <v>0</v>
      </c>
      <c r="I58" s="405">
        <f t="shared" si="5"/>
        <v>0</v>
      </c>
      <c r="J58" s="426">
        <f>'[2]リトローボ(非表示予定)'!H35</f>
        <v>0</v>
      </c>
      <c r="K58" s="405">
        <f t="shared" si="6"/>
        <v>0</v>
      </c>
      <c r="L58" s="426">
        <f>'[2]リトローボ(非表示予定)'!J35</f>
        <v>0</v>
      </c>
      <c r="M58" s="405">
        <f t="shared" si="7"/>
        <v>0</v>
      </c>
      <c r="N58" s="426">
        <f>'[2]リトローボ(非表示予定)'!L35</f>
        <v>0</v>
      </c>
      <c r="O58" s="405">
        <f t="shared" si="8"/>
        <v>0</v>
      </c>
      <c r="P58" s="426">
        <f>'[2]リトローボ(非表示予定)'!N35</f>
        <v>0</v>
      </c>
      <c r="Q58" s="405">
        <f t="shared" si="9"/>
        <v>0</v>
      </c>
      <c r="R58" s="426">
        <f>'[2]リトローボ(非表示予定)'!P35</f>
        <v>0</v>
      </c>
      <c r="S58" s="405">
        <f t="shared" si="10"/>
        <v>0</v>
      </c>
      <c r="T58" s="426">
        <f>'[2]リトローボ(非表示予定)'!R35</f>
        <v>0</v>
      </c>
      <c r="U58" s="405">
        <f t="shared" si="11"/>
        <v>0</v>
      </c>
      <c r="V58" s="426">
        <f>'[2]リトローボ(非表示予定)'!T35</f>
        <v>0</v>
      </c>
      <c r="W58" s="405">
        <f t="shared" si="12"/>
        <v>0</v>
      </c>
      <c r="X58" s="426">
        <f>'[2]リトローボ(非表示予定)'!V35</f>
        <v>0</v>
      </c>
      <c r="Y58" s="405">
        <f t="shared" si="13"/>
        <v>0</v>
      </c>
      <c r="Z58" s="426">
        <f>'[2]リトローボ(非表示予定)'!X35</f>
        <v>0</v>
      </c>
      <c r="AA58" s="406">
        <f t="shared" si="14"/>
        <v>0</v>
      </c>
      <c r="AB58" s="394"/>
      <c r="AC58" s="407">
        <f t="shared" si="15"/>
        <v>0</v>
      </c>
      <c r="AD58" s="408">
        <f t="shared" si="16"/>
        <v>0</v>
      </c>
      <c r="AE58" s="322"/>
      <c r="AF58" s="322"/>
      <c r="AG58" s="322"/>
      <c r="AH58" s="322"/>
      <c r="AI58" s="322"/>
      <c r="AJ58" s="322"/>
      <c r="AK58" s="322"/>
    </row>
    <row r="59" spans="1:37" ht="12.75" customHeight="1" outlineLevel="1">
      <c r="A59" s="598"/>
      <c r="B59" s="601"/>
      <c r="C59" s="409" t="s">
        <v>291</v>
      </c>
      <c r="D59" s="410" t="s">
        <v>304</v>
      </c>
      <c r="E59" s="405" t="e">
        <f t="shared" si="3"/>
        <v>#VALUE!</v>
      </c>
      <c r="F59" s="410" t="s">
        <v>304</v>
      </c>
      <c r="G59" s="405" t="e">
        <f t="shared" si="4"/>
        <v>#VALUE!</v>
      </c>
      <c r="H59" s="410" t="s">
        <v>304</v>
      </c>
      <c r="I59" s="405" t="e">
        <f t="shared" si="5"/>
        <v>#VALUE!</v>
      </c>
      <c r="J59" s="410" t="s">
        <v>304</v>
      </c>
      <c r="K59" s="405" t="e">
        <f t="shared" si="6"/>
        <v>#VALUE!</v>
      </c>
      <c r="L59" s="410" t="s">
        <v>304</v>
      </c>
      <c r="M59" s="405" t="e">
        <f t="shared" si="7"/>
        <v>#VALUE!</v>
      </c>
      <c r="N59" s="410" t="s">
        <v>304</v>
      </c>
      <c r="O59" s="405" t="e">
        <f t="shared" si="8"/>
        <v>#VALUE!</v>
      </c>
      <c r="P59" s="410" t="s">
        <v>304</v>
      </c>
      <c r="Q59" s="405" t="e">
        <f t="shared" si="9"/>
        <v>#VALUE!</v>
      </c>
      <c r="R59" s="410" t="s">
        <v>304</v>
      </c>
      <c r="S59" s="405" t="e">
        <f t="shared" si="10"/>
        <v>#VALUE!</v>
      </c>
      <c r="T59" s="410" t="s">
        <v>304</v>
      </c>
      <c r="U59" s="405" t="e">
        <f t="shared" si="11"/>
        <v>#VALUE!</v>
      </c>
      <c r="V59" s="410" t="s">
        <v>304</v>
      </c>
      <c r="W59" s="405" t="e">
        <f t="shared" si="12"/>
        <v>#VALUE!</v>
      </c>
      <c r="X59" s="410" t="s">
        <v>304</v>
      </c>
      <c r="Y59" s="405" t="e">
        <f t="shared" si="13"/>
        <v>#VALUE!</v>
      </c>
      <c r="Z59" s="410" t="s">
        <v>304</v>
      </c>
      <c r="AA59" s="406" t="e">
        <f t="shared" si="14"/>
        <v>#VALUE!</v>
      </c>
      <c r="AB59" s="394"/>
      <c r="AC59" s="407" t="e">
        <f t="shared" si="15"/>
        <v>#VALUE!</v>
      </c>
      <c r="AD59" s="408" t="e">
        <f t="shared" si="16"/>
        <v>#VALUE!</v>
      </c>
      <c r="AE59" s="322"/>
      <c r="AF59" s="322"/>
      <c r="AG59" s="322"/>
      <c r="AH59" s="322"/>
      <c r="AI59" s="322"/>
      <c r="AJ59" s="322"/>
      <c r="AK59" s="322"/>
    </row>
    <row r="60" spans="1:37" ht="12.75" customHeight="1" outlineLevel="1">
      <c r="A60" s="598"/>
      <c r="B60" s="601"/>
      <c r="C60" s="409" t="s">
        <v>292</v>
      </c>
      <c r="D60" s="410" t="s">
        <v>304</v>
      </c>
      <c r="E60" s="405" t="e">
        <f t="shared" si="3"/>
        <v>#VALUE!</v>
      </c>
      <c r="F60" s="410" t="s">
        <v>304</v>
      </c>
      <c r="G60" s="405" t="e">
        <f t="shared" si="4"/>
        <v>#VALUE!</v>
      </c>
      <c r="H60" s="410" t="s">
        <v>304</v>
      </c>
      <c r="I60" s="405" t="e">
        <f t="shared" si="5"/>
        <v>#VALUE!</v>
      </c>
      <c r="J60" s="410" t="s">
        <v>304</v>
      </c>
      <c r="K60" s="405" t="e">
        <f t="shared" si="6"/>
        <v>#VALUE!</v>
      </c>
      <c r="L60" s="410" t="s">
        <v>304</v>
      </c>
      <c r="M60" s="405" t="e">
        <f t="shared" si="7"/>
        <v>#VALUE!</v>
      </c>
      <c r="N60" s="410" t="s">
        <v>304</v>
      </c>
      <c r="O60" s="405" t="e">
        <f t="shared" si="8"/>
        <v>#VALUE!</v>
      </c>
      <c r="P60" s="410" t="s">
        <v>304</v>
      </c>
      <c r="Q60" s="405" t="e">
        <f t="shared" si="9"/>
        <v>#VALUE!</v>
      </c>
      <c r="R60" s="410" t="s">
        <v>304</v>
      </c>
      <c r="S60" s="405" t="e">
        <f t="shared" si="10"/>
        <v>#VALUE!</v>
      </c>
      <c r="T60" s="410" t="s">
        <v>304</v>
      </c>
      <c r="U60" s="405" t="e">
        <f t="shared" si="11"/>
        <v>#VALUE!</v>
      </c>
      <c r="V60" s="410" t="s">
        <v>304</v>
      </c>
      <c r="W60" s="405" t="e">
        <f t="shared" si="12"/>
        <v>#VALUE!</v>
      </c>
      <c r="X60" s="410" t="s">
        <v>304</v>
      </c>
      <c r="Y60" s="405" t="e">
        <f t="shared" si="13"/>
        <v>#VALUE!</v>
      </c>
      <c r="Z60" s="410" t="s">
        <v>304</v>
      </c>
      <c r="AA60" s="406" t="e">
        <f t="shared" si="14"/>
        <v>#VALUE!</v>
      </c>
      <c r="AB60" s="394"/>
      <c r="AC60" s="407" t="e">
        <f t="shared" si="15"/>
        <v>#VALUE!</v>
      </c>
      <c r="AD60" s="408" t="e">
        <f t="shared" si="16"/>
        <v>#VALUE!</v>
      </c>
      <c r="AE60" s="322"/>
      <c r="AF60" s="322"/>
      <c r="AG60" s="322"/>
      <c r="AH60" s="322"/>
      <c r="AI60" s="322"/>
      <c r="AJ60" s="322"/>
      <c r="AK60" s="322"/>
    </row>
    <row r="61" spans="1:37" ht="12.75" customHeight="1" outlineLevel="1">
      <c r="A61" s="599"/>
      <c r="B61" s="602"/>
      <c r="C61" s="415" t="s">
        <v>293</v>
      </c>
      <c r="D61" s="416">
        <f>'[2]リトローボ(非表示予定)'!B30</f>
        <v>0</v>
      </c>
      <c r="E61" s="427">
        <f t="shared" si="3"/>
        <v>0</v>
      </c>
      <c r="F61" s="416">
        <f>'[2]リトローボ(非表示予定)'!D30</f>
        <v>0</v>
      </c>
      <c r="G61" s="427">
        <f t="shared" si="4"/>
        <v>0</v>
      </c>
      <c r="H61" s="416">
        <f>'[2]リトローボ(非表示予定)'!F30</f>
        <v>0</v>
      </c>
      <c r="I61" s="427">
        <f t="shared" si="5"/>
        <v>0</v>
      </c>
      <c r="J61" s="416">
        <f>'[2]リトローボ(非表示予定)'!H30</f>
        <v>0</v>
      </c>
      <c r="K61" s="427">
        <f t="shared" si="6"/>
        <v>0</v>
      </c>
      <c r="L61" s="416">
        <f>'[2]リトローボ(非表示予定)'!J30</f>
        <v>0</v>
      </c>
      <c r="M61" s="427">
        <f t="shared" si="7"/>
        <v>0</v>
      </c>
      <c r="N61" s="416">
        <f>'[2]リトローボ(非表示予定)'!L30</f>
        <v>0</v>
      </c>
      <c r="O61" s="427">
        <f t="shared" si="8"/>
        <v>0</v>
      </c>
      <c r="P61" s="416">
        <f>'[2]リトローボ(非表示予定)'!N30</f>
        <v>0</v>
      </c>
      <c r="Q61" s="427">
        <f t="shared" si="9"/>
        <v>0</v>
      </c>
      <c r="R61" s="416">
        <f>'[2]リトローボ(非表示予定)'!P30</f>
        <v>0</v>
      </c>
      <c r="S61" s="427">
        <f t="shared" si="10"/>
        <v>0</v>
      </c>
      <c r="T61" s="416">
        <f>'[2]リトローボ(非表示予定)'!R30</f>
        <v>0</v>
      </c>
      <c r="U61" s="427">
        <f t="shared" si="11"/>
        <v>0</v>
      </c>
      <c r="V61" s="416">
        <f>'[2]リトローボ(非表示予定)'!T30</f>
        <v>0</v>
      </c>
      <c r="W61" s="427">
        <f t="shared" si="12"/>
        <v>0</v>
      </c>
      <c r="X61" s="416">
        <f>'[2]リトローボ(非表示予定)'!V30</f>
        <v>0</v>
      </c>
      <c r="Y61" s="427">
        <f t="shared" si="13"/>
        <v>0</v>
      </c>
      <c r="Z61" s="416">
        <f>'[2]リトローボ(非表示予定)'!X30</f>
        <v>0</v>
      </c>
      <c r="AA61" s="428">
        <f t="shared" si="14"/>
        <v>0</v>
      </c>
      <c r="AB61" s="394"/>
      <c r="AC61" s="419">
        <f t="shared" si="15"/>
        <v>0</v>
      </c>
      <c r="AD61" s="420">
        <f t="shared" si="16"/>
        <v>0</v>
      </c>
      <c r="AE61" s="322"/>
      <c r="AF61" s="322"/>
      <c r="AG61" s="322"/>
      <c r="AH61" s="322"/>
      <c r="AI61" s="322"/>
      <c r="AJ61" s="322"/>
      <c r="AK61" s="322"/>
    </row>
    <row r="62" spans="1:37" ht="12.75" customHeight="1" outlineLevel="1">
      <c r="A62" s="429"/>
      <c r="B62" s="430"/>
      <c r="C62" s="431" t="s">
        <v>294</v>
      </c>
      <c r="D62" s="432">
        <f>SUM(D27:D61)</f>
        <v>0</v>
      </c>
      <c r="E62" s="405">
        <f t="shared" si="3"/>
        <v>0</v>
      </c>
      <c r="F62" s="433">
        <f>SUM(F27:F61)</f>
        <v>0</v>
      </c>
      <c r="G62" s="405">
        <f t="shared" si="4"/>
        <v>0</v>
      </c>
      <c r="H62" s="433">
        <f>SUM(H27:H61)</f>
        <v>0</v>
      </c>
      <c r="I62" s="405">
        <f t="shared" si="5"/>
        <v>0</v>
      </c>
      <c r="J62" s="433">
        <f>SUM(J27:J61)</f>
        <v>0</v>
      </c>
      <c r="K62" s="405">
        <f t="shared" si="6"/>
        <v>0</v>
      </c>
      <c r="L62" s="433">
        <f>SUM(L27:L61)</f>
        <v>0</v>
      </c>
      <c r="M62" s="405">
        <f t="shared" si="7"/>
        <v>0</v>
      </c>
      <c r="N62" s="433">
        <f>SUM(N27:N61)</f>
        <v>0</v>
      </c>
      <c r="O62" s="405">
        <f t="shared" si="8"/>
        <v>0</v>
      </c>
      <c r="P62" s="433">
        <f>SUM(P27:P61)</f>
        <v>0</v>
      </c>
      <c r="Q62" s="405">
        <f t="shared" si="9"/>
        <v>0</v>
      </c>
      <c r="R62" s="433">
        <f>SUM(R27:R61)</f>
        <v>0</v>
      </c>
      <c r="S62" s="405">
        <f t="shared" si="10"/>
        <v>0</v>
      </c>
      <c r="T62" s="433">
        <f>SUM(T27:T61)</f>
        <v>0</v>
      </c>
      <c r="U62" s="405">
        <f t="shared" si="11"/>
        <v>0</v>
      </c>
      <c r="V62" s="433">
        <f>SUM(V27:V61)</f>
        <v>0</v>
      </c>
      <c r="W62" s="405">
        <f t="shared" si="12"/>
        <v>0</v>
      </c>
      <c r="X62" s="433">
        <f>SUM(X27:X61)</f>
        <v>0</v>
      </c>
      <c r="Y62" s="405">
        <f t="shared" si="13"/>
        <v>0</v>
      </c>
      <c r="Z62" s="433">
        <f>SUM(Z27:Z61)</f>
        <v>0</v>
      </c>
      <c r="AA62" s="406">
        <f t="shared" si="14"/>
        <v>0</v>
      </c>
      <c r="AB62" s="394"/>
      <c r="AC62" s="401">
        <f t="shared" si="15"/>
        <v>0</v>
      </c>
      <c r="AD62" s="402">
        <f t="shared" si="16"/>
        <v>0</v>
      </c>
      <c r="AE62" s="322"/>
      <c r="AF62" s="322"/>
      <c r="AG62" s="322"/>
      <c r="AH62" s="322"/>
      <c r="AI62" s="322"/>
      <c r="AJ62" s="322"/>
      <c r="AK62" s="322"/>
    </row>
    <row r="63" spans="1:37" ht="12.75" customHeight="1" outlineLevel="1">
      <c r="A63" s="429"/>
      <c r="B63" s="430"/>
      <c r="C63" s="434" t="s">
        <v>295</v>
      </c>
      <c r="D63" s="435">
        <f>D7-D62</f>
        <v>1903700</v>
      </c>
      <c r="E63" s="411">
        <f t="shared" si="3"/>
        <v>1</v>
      </c>
      <c r="F63" s="435">
        <f>F7-F62</f>
        <v>2252350</v>
      </c>
      <c r="G63" s="411">
        <f t="shared" si="4"/>
        <v>1</v>
      </c>
      <c r="H63" s="435">
        <f>H7-H62</f>
        <v>2500050</v>
      </c>
      <c r="I63" s="411">
        <f t="shared" si="5"/>
        <v>1</v>
      </c>
      <c r="J63" s="435">
        <f>J7-J62</f>
        <v>2732600</v>
      </c>
      <c r="K63" s="411">
        <f t="shared" si="6"/>
        <v>1</v>
      </c>
      <c r="L63" s="435">
        <f>L7-L62</f>
        <v>2920150</v>
      </c>
      <c r="M63" s="411">
        <f t="shared" si="7"/>
        <v>1</v>
      </c>
      <c r="N63" s="435">
        <f>N7-N62</f>
        <v>3064200</v>
      </c>
      <c r="O63" s="411">
        <f t="shared" si="8"/>
        <v>1</v>
      </c>
      <c r="P63" s="435">
        <f>P7-P62</f>
        <v>2392050</v>
      </c>
      <c r="Q63" s="411">
        <f t="shared" si="9"/>
        <v>1</v>
      </c>
      <c r="R63" s="435">
        <f>R7-R62</f>
        <v>2064530</v>
      </c>
      <c r="S63" s="411">
        <f t="shared" si="10"/>
        <v>1</v>
      </c>
      <c r="T63" s="435">
        <f>T7-T62</f>
        <v>2319650</v>
      </c>
      <c r="U63" s="411">
        <f t="shared" si="11"/>
        <v>1</v>
      </c>
      <c r="V63" s="435">
        <f>V7-V62</f>
        <v>2672000</v>
      </c>
      <c r="W63" s="411">
        <f t="shared" si="12"/>
        <v>1</v>
      </c>
      <c r="X63" s="435">
        <f>X7-X62</f>
        <v>2210250</v>
      </c>
      <c r="Y63" s="411">
        <f t="shared" si="13"/>
        <v>1</v>
      </c>
      <c r="Z63" s="435">
        <f>Z7-Z62</f>
        <v>2366250</v>
      </c>
      <c r="AA63" s="412">
        <f t="shared" si="14"/>
        <v>1</v>
      </c>
      <c r="AB63" s="436"/>
      <c r="AC63" s="437">
        <f>AC7-AC62</f>
        <v>29397780</v>
      </c>
      <c r="AD63" s="408">
        <f t="shared" si="16"/>
        <v>1</v>
      </c>
      <c r="AE63" s="322"/>
      <c r="AF63" s="322"/>
      <c r="AG63" s="322"/>
      <c r="AH63" s="322"/>
      <c r="AI63" s="322"/>
      <c r="AJ63" s="322"/>
      <c r="AK63" s="322"/>
    </row>
    <row r="64" spans="1:37" ht="12.75" customHeight="1" outlineLevel="1">
      <c r="A64" s="438"/>
      <c r="B64" s="386"/>
      <c r="C64" s="439" t="s">
        <v>296</v>
      </c>
      <c r="D64" s="440">
        <v>-29939</v>
      </c>
      <c r="E64" s="417"/>
      <c r="F64" s="441">
        <f>D64+F63</f>
        <v>2222411</v>
      </c>
      <c r="G64" s="417"/>
      <c r="H64" s="441">
        <f>F64+H63</f>
        <v>4722461</v>
      </c>
      <c r="I64" s="417"/>
      <c r="J64" s="441">
        <f>H64+J63</f>
        <v>7455061</v>
      </c>
      <c r="K64" s="417"/>
      <c r="L64" s="441">
        <f>J64+L63</f>
        <v>10375211</v>
      </c>
      <c r="M64" s="417"/>
      <c r="N64" s="441">
        <f>L64+N63</f>
        <v>13439411</v>
      </c>
      <c r="O64" s="417"/>
      <c r="P64" s="441">
        <f>N64+P63</f>
        <v>15831461</v>
      </c>
      <c r="Q64" s="417"/>
      <c r="R64" s="441">
        <f>P64+R63</f>
        <v>17895991</v>
      </c>
      <c r="S64" s="417"/>
      <c r="T64" s="441">
        <f>R64+T63</f>
        <v>20215641</v>
      </c>
      <c r="U64" s="417"/>
      <c r="V64" s="441">
        <f>T64+V63</f>
        <v>22887641</v>
      </c>
      <c r="W64" s="417"/>
      <c r="X64" s="441">
        <f>V64+X63</f>
        <v>25097891</v>
      </c>
      <c r="Y64" s="417"/>
      <c r="Z64" s="441">
        <f>X64+Z63</f>
        <v>27464141</v>
      </c>
      <c r="AA64" s="418"/>
      <c r="AB64" s="442"/>
      <c r="AC64" s="419"/>
      <c r="AD64" s="418"/>
      <c r="AE64" s="322"/>
      <c r="AF64" s="322"/>
      <c r="AG64" s="322"/>
      <c r="AH64" s="322"/>
      <c r="AI64" s="322"/>
      <c r="AJ64" s="322"/>
      <c r="AK64" s="322"/>
    </row>
    <row r="65" spans="1:37" ht="12.75" customHeight="1" outlineLevel="1">
      <c r="A65" s="443"/>
      <c r="B65" s="444"/>
      <c r="C65" s="445" t="s">
        <v>297</v>
      </c>
      <c r="D65" s="446"/>
      <c r="E65" s="447"/>
      <c r="F65" s="447"/>
      <c r="G65" s="447"/>
      <c r="H65" s="447"/>
      <c r="I65" s="447"/>
      <c r="J65" s="447"/>
      <c r="K65" s="447"/>
      <c r="L65" s="447"/>
      <c r="M65" s="447"/>
      <c r="N65" s="447"/>
      <c r="O65" s="447"/>
      <c r="P65" s="447"/>
      <c r="Q65" s="447"/>
      <c r="R65" s="447"/>
      <c r="S65" s="447"/>
      <c r="T65" s="447"/>
      <c r="U65" s="447"/>
      <c r="V65" s="447"/>
      <c r="W65" s="447"/>
      <c r="X65" s="447"/>
      <c r="Y65" s="447"/>
      <c r="Z65" s="447"/>
      <c r="AA65" s="448"/>
      <c r="AB65" s="322"/>
      <c r="AC65" s="449"/>
      <c r="AD65" s="450"/>
      <c r="AE65" s="322"/>
      <c r="AF65" s="322"/>
      <c r="AG65" s="322"/>
      <c r="AH65" s="322"/>
      <c r="AI65" s="322"/>
      <c r="AJ65" s="322"/>
      <c r="AK65" s="322"/>
    </row>
    <row r="66" spans="1:37" ht="18" customHeight="1">
      <c r="A66" s="322"/>
      <c r="B66" s="322"/>
      <c r="C66" s="451"/>
      <c r="D66" s="322"/>
      <c r="E66" s="322"/>
      <c r="F66" s="322"/>
      <c r="G66" s="322"/>
      <c r="H66" s="322"/>
      <c r="I66" s="322"/>
      <c r="J66" s="322"/>
      <c r="K66" s="322"/>
      <c r="L66" s="322"/>
      <c r="M66" s="322"/>
      <c r="N66" s="322"/>
      <c r="O66" s="322"/>
      <c r="P66" s="322"/>
      <c r="Q66" s="322"/>
      <c r="R66" s="322"/>
      <c r="S66" s="322"/>
      <c r="T66" s="322"/>
      <c r="U66" s="322"/>
      <c r="V66" s="322"/>
      <c r="W66" s="322"/>
      <c r="X66" s="322"/>
      <c r="Y66" s="322"/>
      <c r="Z66" s="322"/>
      <c r="AA66" s="322"/>
      <c r="AB66" s="322"/>
      <c r="AC66" s="322"/>
      <c r="AD66" s="322"/>
      <c r="AE66" s="322"/>
      <c r="AF66" s="322"/>
      <c r="AG66" s="322"/>
      <c r="AH66" s="322"/>
      <c r="AI66" s="322"/>
      <c r="AJ66" s="322"/>
      <c r="AK66" s="322"/>
    </row>
    <row r="67" spans="1:37" ht="18" customHeight="1" outlineLevel="1">
      <c r="A67" s="322"/>
      <c r="B67" s="322"/>
      <c r="C67" s="452" t="s">
        <v>298</v>
      </c>
      <c r="D67" s="604">
        <f>D7</f>
        <v>1903700</v>
      </c>
      <c r="E67" s="605"/>
      <c r="F67" s="606">
        <f>F7</f>
        <v>2252350</v>
      </c>
      <c r="G67" s="605"/>
      <c r="H67" s="606">
        <f>H7</f>
        <v>2500050</v>
      </c>
      <c r="I67" s="605"/>
      <c r="J67" s="606">
        <f>J7</f>
        <v>2732600</v>
      </c>
      <c r="K67" s="605"/>
      <c r="L67" s="606">
        <f>L7</f>
        <v>2920150</v>
      </c>
      <c r="M67" s="605"/>
      <c r="N67" s="606">
        <f>N7</f>
        <v>3064200</v>
      </c>
      <c r="O67" s="605"/>
      <c r="P67" s="606">
        <f>P7</f>
        <v>2392050</v>
      </c>
      <c r="Q67" s="605"/>
      <c r="R67" s="606">
        <f>R7</f>
        <v>2064530</v>
      </c>
      <c r="S67" s="605"/>
      <c r="T67" s="606">
        <f>T7</f>
        <v>2319650</v>
      </c>
      <c r="U67" s="605"/>
      <c r="V67" s="606">
        <f>V7</f>
        <v>2672000</v>
      </c>
      <c r="W67" s="605"/>
      <c r="X67" s="606">
        <f>X7</f>
        <v>2210250</v>
      </c>
      <c r="Y67" s="605"/>
      <c r="Z67" s="606">
        <f>Z7</f>
        <v>2366250</v>
      </c>
      <c r="AA67" s="607"/>
      <c r="AB67" s="322"/>
      <c r="AC67" s="608">
        <f>SUM(D67:AA67)</f>
        <v>29397780</v>
      </c>
      <c r="AD67" s="609"/>
      <c r="AE67" s="322"/>
      <c r="AF67" s="322"/>
      <c r="AG67" s="322"/>
      <c r="AH67" s="322"/>
      <c r="AI67" s="322"/>
      <c r="AJ67" s="322"/>
      <c r="AK67" s="322"/>
    </row>
    <row r="68" spans="1:37" ht="18" customHeight="1" outlineLevel="1">
      <c r="A68" s="322"/>
      <c r="B68" s="322"/>
      <c r="C68" s="453" t="s">
        <v>241</v>
      </c>
      <c r="D68" s="454">
        <f t="shared" ref="D68:D69" si="17">$D$67*E68</f>
        <v>571110</v>
      </c>
      <c r="E68" s="455">
        <v>0.3</v>
      </c>
      <c r="F68" s="456">
        <f t="shared" ref="F68:F69" si="18">$F$67*G68</f>
        <v>675705</v>
      </c>
      <c r="G68" s="455">
        <v>0.3</v>
      </c>
      <c r="H68" s="456">
        <f t="shared" ref="H68:H69" si="19">$H$67*I68</f>
        <v>750015</v>
      </c>
      <c r="I68" s="455">
        <v>0.3</v>
      </c>
      <c r="J68" s="456">
        <f t="shared" ref="J68:J69" si="20">$J$67*K68</f>
        <v>819780</v>
      </c>
      <c r="K68" s="455">
        <v>0.3</v>
      </c>
      <c r="L68" s="456">
        <f t="shared" ref="L68:L69" si="21">$L$67*M68</f>
        <v>876045</v>
      </c>
      <c r="M68" s="455">
        <v>0.3</v>
      </c>
      <c r="N68" s="456">
        <f t="shared" ref="N68:N69" si="22">$N$67*O68</f>
        <v>919260</v>
      </c>
      <c r="O68" s="455">
        <v>0.3</v>
      </c>
      <c r="P68" s="456">
        <f t="shared" ref="P68:P69" si="23">$P$67*Q68</f>
        <v>717615</v>
      </c>
      <c r="Q68" s="455">
        <v>0.3</v>
      </c>
      <c r="R68" s="456">
        <f t="shared" ref="R68:R69" si="24">$R$67*S68</f>
        <v>619359</v>
      </c>
      <c r="S68" s="455">
        <v>0.3</v>
      </c>
      <c r="T68" s="456">
        <f t="shared" ref="T68:T69" si="25">$T$67*U68</f>
        <v>695895</v>
      </c>
      <c r="U68" s="455">
        <v>0.3</v>
      </c>
      <c r="V68" s="456">
        <f t="shared" ref="V68:V69" si="26">$V$67*W68</f>
        <v>801600</v>
      </c>
      <c r="W68" s="455">
        <v>0.3</v>
      </c>
      <c r="X68" s="456">
        <f t="shared" ref="X68:X69" si="27">$X$67*Y68</f>
        <v>663075</v>
      </c>
      <c r="Y68" s="455">
        <v>0.3</v>
      </c>
      <c r="Z68" s="456">
        <f t="shared" ref="Z68:Z69" si="28">$Z$67*AA68</f>
        <v>709875</v>
      </c>
      <c r="AA68" s="457">
        <v>0.3</v>
      </c>
      <c r="AB68" s="322"/>
      <c r="AC68" s="407">
        <f t="shared" ref="AC68:AC74" si="29">D68+F68+H68+J68+L68+N68+P68+R68+T68+V68+X68+Z68</f>
        <v>8819334</v>
      </c>
      <c r="AD68" s="458">
        <f t="shared" ref="AD68:AD74" si="30">AC68/$AC$67</f>
        <v>0.3</v>
      </c>
      <c r="AE68" s="322"/>
      <c r="AF68" s="322"/>
      <c r="AG68" s="322"/>
      <c r="AH68" s="322"/>
      <c r="AI68" s="322"/>
      <c r="AJ68" s="322"/>
      <c r="AK68" s="322"/>
    </row>
    <row r="69" spans="1:37" ht="18" customHeight="1" outlineLevel="1">
      <c r="A69" s="322"/>
      <c r="B69" s="322"/>
      <c r="C69" s="453" t="s">
        <v>242</v>
      </c>
      <c r="D69" s="454">
        <f t="shared" si="17"/>
        <v>1142220</v>
      </c>
      <c r="E69" s="455">
        <v>0.6</v>
      </c>
      <c r="F69" s="456">
        <f t="shared" si="18"/>
        <v>1351410</v>
      </c>
      <c r="G69" s="455">
        <v>0.6</v>
      </c>
      <c r="H69" s="456">
        <f t="shared" si="19"/>
        <v>1500030</v>
      </c>
      <c r="I69" s="455">
        <v>0.6</v>
      </c>
      <c r="J69" s="456">
        <f t="shared" si="20"/>
        <v>1639560</v>
      </c>
      <c r="K69" s="455">
        <v>0.6</v>
      </c>
      <c r="L69" s="456">
        <f t="shared" si="21"/>
        <v>1752090</v>
      </c>
      <c r="M69" s="455">
        <v>0.6</v>
      </c>
      <c r="N69" s="456">
        <f t="shared" si="22"/>
        <v>1838520</v>
      </c>
      <c r="O69" s="455">
        <v>0.6</v>
      </c>
      <c r="P69" s="456">
        <f t="shared" si="23"/>
        <v>1435230</v>
      </c>
      <c r="Q69" s="455">
        <v>0.6</v>
      </c>
      <c r="R69" s="456">
        <f t="shared" si="24"/>
        <v>1238718</v>
      </c>
      <c r="S69" s="455">
        <v>0.6</v>
      </c>
      <c r="T69" s="456">
        <f t="shared" si="25"/>
        <v>1391790</v>
      </c>
      <c r="U69" s="455">
        <v>0.6</v>
      </c>
      <c r="V69" s="456">
        <f t="shared" si="26"/>
        <v>1603200</v>
      </c>
      <c r="W69" s="455">
        <v>0.6</v>
      </c>
      <c r="X69" s="456">
        <f t="shared" si="27"/>
        <v>1326150</v>
      </c>
      <c r="Y69" s="455">
        <v>0.6</v>
      </c>
      <c r="Z69" s="456">
        <f t="shared" si="28"/>
        <v>1419750</v>
      </c>
      <c r="AA69" s="457">
        <v>0.6</v>
      </c>
      <c r="AB69" s="322"/>
      <c r="AC69" s="407">
        <f t="shared" si="29"/>
        <v>17638668</v>
      </c>
      <c r="AD69" s="458">
        <f t="shared" si="30"/>
        <v>0.6</v>
      </c>
      <c r="AE69" s="322"/>
      <c r="AF69" s="322"/>
      <c r="AG69" s="322"/>
      <c r="AH69" s="322"/>
      <c r="AI69" s="322"/>
      <c r="AJ69" s="322"/>
      <c r="AK69" s="322"/>
    </row>
    <row r="70" spans="1:37" ht="18" customHeight="1" outlineLevel="1">
      <c r="A70" s="322"/>
      <c r="B70" s="322"/>
      <c r="C70" s="459" t="s">
        <v>299</v>
      </c>
      <c r="D70" s="460">
        <f>D67-D68-D69</f>
        <v>190370</v>
      </c>
      <c r="E70" s="461">
        <f>1-E68-E69</f>
        <v>9.9999999999999978E-2</v>
      </c>
      <c r="F70" s="462">
        <f>F67-F68-F69</f>
        <v>225235</v>
      </c>
      <c r="G70" s="461">
        <f>1-G68-G69</f>
        <v>9.9999999999999978E-2</v>
      </c>
      <c r="H70" s="462">
        <f>H67-H68-H69</f>
        <v>250005</v>
      </c>
      <c r="I70" s="461">
        <f>1-I68-I69</f>
        <v>9.9999999999999978E-2</v>
      </c>
      <c r="J70" s="462">
        <f>J67-J68-J69</f>
        <v>273260</v>
      </c>
      <c r="K70" s="461">
        <f>1-K68-K69</f>
        <v>9.9999999999999978E-2</v>
      </c>
      <c r="L70" s="462">
        <f>L67-L68-L69</f>
        <v>292015</v>
      </c>
      <c r="M70" s="461">
        <f>1-M68-M69</f>
        <v>9.9999999999999978E-2</v>
      </c>
      <c r="N70" s="462">
        <f>N67-N68-N69</f>
        <v>306420</v>
      </c>
      <c r="O70" s="461">
        <f>1-O68-O69</f>
        <v>9.9999999999999978E-2</v>
      </c>
      <c r="P70" s="462">
        <f>P67-P68-P69</f>
        <v>239205</v>
      </c>
      <c r="Q70" s="461">
        <f>1-Q68-Q69</f>
        <v>9.9999999999999978E-2</v>
      </c>
      <c r="R70" s="462">
        <f>R67-R68-R69</f>
        <v>206453</v>
      </c>
      <c r="S70" s="461">
        <f>1-S68-S69</f>
        <v>9.9999999999999978E-2</v>
      </c>
      <c r="T70" s="462">
        <f>T67-T68-T69</f>
        <v>231965</v>
      </c>
      <c r="U70" s="461">
        <f>1-U68-U69</f>
        <v>9.9999999999999978E-2</v>
      </c>
      <c r="V70" s="462">
        <f>V67-V68-V69</f>
        <v>267200</v>
      </c>
      <c r="W70" s="461">
        <f>1-W68-W69</f>
        <v>9.9999999999999978E-2</v>
      </c>
      <c r="X70" s="462">
        <f>X67-X68-X69</f>
        <v>221025</v>
      </c>
      <c r="Y70" s="461">
        <f>1-Y68-Y69</f>
        <v>9.9999999999999978E-2</v>
      </c>
      <c r="Z70" s="462">
        <f>Z67-Z68-Z69</f>
        <v>236625</v>
      </c>
      <c r="AA70" s="463">
        <f>1-AA68-AA69</f>
        <v>9.9999999999999978E-2</v>
      </c>
      <c r="AB70" s="322"/>
      <c r="AC70" s="419">
        <f t="shared" si="29"/>
        <v>2939778</v>
      </c>
      <c r="AD70" s="464">
        <f t="shared" si="30"/>
        <v>0.1</v>
      </c>
      <c r="AE70" s="322"/>
      <c r="AF70" s="322"/>
      <c r="AG70" s="322"/>
      <c r="AH70" s="322"/>
      <c r="AI70" s="322"/>
      <c r="AJ70" s="322"/>
      <c r="AK70" s="322"/>
    </row>
    <row r="71" spans="1:37" ht="18" customHeight="1" outlineLevel="1">
      <c r="A71" s="322"/>
      <c r="B71" s="322"/>
      <c r="C71" s="465" t="s">
        <v>300</v>
      </c>
      <c r="D71" s="466">
        <f t="shared" ref="D71:D74" si="31">$D$67*E71</f>
        <v>380740</v>
      </c>
      <c r="E71" s="467">
        <v>0.2</v>
      </c>
      <c r="F71" s="468">
        <f t="shared" ref="F71:F74" si="32">$F$67*G71</f>
        <v>450470</v>
      </c>
      <c r="G71" s="467">
        <v>0.2</v>
      </c>
      <c r="H71" s="468">
        <f t="shared" ref="H71:H74" si="33">$H$67*I71</f>
        <v>500010</v>
      </c>
      <c r="I71" s="467">
        <v>0.2</v>
      </c>
      <c r="J71" s="468">
        <f t="shared" ref="J71:J74" si="34">$J$67*K71</f>
        <v>546520</v>
      </c>
      <c r="K71" s="467">
        <v>0.2</v>
      </c>
      <c r="L71" s="468">
        <f t="shared" ref="L71:L74" si="35">$L$67*M71</f>
        <v>584030</v>
      </c>
      <c r="M71" s="467">
        <v>0.2</v>
      </c>
      <c r="N71" s="468">
        <f t="shared" ref="N71:N74" si="36">$N$67*O71</f>
        <v>612840</v>
      </c>
      <c r="O71" s="467">
        <v>0.2</v>
      </c>
      <c r="P71" s="468">
        <f t="shared" ref="P71:P74" si="37">$P$67*Q71</f>
        <v>478410</v>
      </c>
      <c r="Q71" s="467">
        <v>0.2</v>
      </c>
      <c r="R71" s="468">
        <f t="shared" ref="R71:R74" si="38">$R$67*S71</f>
        <v>412906</v>
      </c>
      <c r="S71" s="467">
        <v>0.2</v>
      </c>
      <c r="T71" s="468">
        <f t="shared" ref="T71:T74" si="39">$T$67*U71</f>
        <v>463930</v>
      </c>
      <c r="U71" s="467">
        <v>0.2</v>
      </c>
      <c r="V71" s="468">
        <f t="shared" ref="V71:V74" si="40">$V$67*W71</f>
        <v>534400</v>
      </c>
      <c r="W71" s="467">
        <v>0.2</v>
      </c>
      <c r="X71" s="468">
        <f t="shared" ref="X71:X74" si="41">$X$67*Y71</f>
        <v>442050</v>
      </c>
      <c r="Y71" s="467">
        <v>0.2</v>
      </c>
      <c r="Z71" s="468">
        <f t="shared" ref="Z71:Z74" si="42">$Z$67*AA71</f>
        <v>473250</v>
      </c>
      <c r="AA71" s="469">
        <v>0.2</v>
      </c>
      <c r="AB71" s="322"/>
      <c r="AC71" s="401">
        <f t="shared" si="29"/>
        <v>5879556</v>
      </c>
      <c r="AD71" s="470">
        <f t="shared" si="30"/>
        <v>0.2</v>
      </c>
      <c r="AE71" s="322"/>
      <c r="AF71" s="322"/>
      <c r="AG71" s="322"/>
      <c r="AH71" s="322"/>
      <c r="AI71" s="322"/>
      <c r="AJ71" s="322"/>
      <c r="AK71" s="322"/>
    </row>
    <row r="72" spans="1:37" ht="18" customHeight="1" outlineLevel="1">
      <c r="A72" s="322"/>
      <c r="B72" s="322"/>
      <c r="C72" s="453" t="s">
        <v>301</v>
      </c>
      <c r="D72" s="454">
        <f t="shared" si="31"/>
        <v>285555</v>
      </c>
      <c r="E72" s="455">
        <v>0.15</v>
      </c>
      <c r="F72" s="456">
        <f t="shared" si="32"/>
        <v>337852.5</v>
      </c>
      <c r="G72" s="455">
        <v>0.15</v>
      </c>
      <c r="H72" s="456">
        <f t="shared" si="33"/>
        <v>375007.5</v>
      </c>
      <c r="I72" s="455">
        <v>0.15</v>
      </c>
      <c r="J72" s="456">
        <f t="shared" si="34"/>
        <v>409890</v>
      </c>
      <c r="K72" s="455">
        <v>0.15</v>
      </c>
      <c r="L72" s="456">
        <f t="shared" si="35"/>
        <v>438022.5</v>
      </c>
      <c r="M72" s="455">
        <v>0.15</v>
      </c>
      <c r="N72" s="456">
        <f t="shared" si="36"/>
        <v>459630</v>
      </c>
      <c r="O72" s="455">
        <v>0.15</v>
      </c>
      <c r="P72" s="456">
        <f t="shared" si="37"/>
        <v>358807.5</v>
      </c>
      <c r="Q72" s="455">
        <v>0.15</v>
      </c>
      <c r="R72" s="456">
        <f t="shared" si="38"/>
        <v>309679.5</v>
      </c>
      <c r="S72" s="455">
        <v>0.15</v>
      </c>
      <c r="T72" s="456">
        <f t="shared" si="39"/>
        <v>347947.5</v>
      </c>
      <c r="U72" s="455">
        <v>0.15</v>
      </c>
      <c r="V72" s="456">
        <f t="shared" si="40"/>
        <v>400800</v>
      </c>
      <c r="W72" s="455">
        <v>0.15</v>
      </c>
      <c r="X72" s="456">
        <f t="shared" si="41"/>
        <v>331537.5</v>
      </c>
      <c r="Y72" s="455">
        <v>0.15</v>
      </c>
      <c r="Z72" s="456">
        <f t="shared" si="42"/>
        <v>354937.5</v>
      </c>
      <c r="AA72" s="457">
        <v>0.15</v>
      </c>
      <c r="AB72" s="322"/>
      <c r="AC72" s="407">
        <f t="shared" si="29"/>
        <v>4409667</v>
      </c>
      <c r="AD72" s="458">
        <f t="shared" si="30"/>
        <v>0.15</v>
      </c>
      <c r="AE72" s="322"/>
      <c r="AF72" s="322"/>
      <c r="AG72" s="322"/>
      <c r="AH72" s="322"/>
      <c r="AI72" s="322"/>
      <c r="AJ72" s="322"/>
      <c r="AK72" s="322"/>
    </row>
    <row r="73" spans="1:37" ht="18" customHeight="1" outlineLevel="1">
      <c r="A73" s="322"/>
      <c r="B73" s="322"/>
      <c r="C73" s="453" t="s">
        <v>302</v>
      </c>
      <c r="D73" s="454">
        <f t="shared" si="31"/>
        <v>666295</v>
      </c>
      <c r="E73" s="455">
        <v>0.35</v>
      </c>
      <c r="F73" s="456">
        <f t="shared" si="32"/>
        <v>788322.5</v>
      </c>
      <c r="G73" s="455">
        <v>0.35</v>
      </c>
      <c r="H73" s="456">
        <f t="shared" si="33"/>
        <v>875017.5</v>
      </c>
      <c r="I73" s="455">
        <v>0.35</v>
      </c>
      <c r="J73" s="456">
        <f t="shared" si="34"/>
        <v>956409.99999999988</v>
      </c>
      <c r="K73" s="455">
        <v>0.35</v>
      </c>
      <c r="L73" s="456">
        <f t="shared" si="35"/>
        <v>1022052.4999999999</v>
      </c>
      <c r="M73" s="455">
        <v>0.35</v>
      </c>
      <c r="N73" s="456">
        <f t="shared" si="36"/>
        <v>1072470</v>
      </c>
      <c r="O73" s="455">
        <v>0.35</v>
      </c>
      <c r="P73" s="456">
        <f t="shared" si="37"/>
        <v>837217.5</v>
      </c>
      <c r="Q73" s="455">
        <v>0.35</v>
      </c>
      <c r="R73" s="456">
        <f t="shared" si="38"/>
        <v>722585.5</v>
      </c>
      <c r="S73" s="455">
        <v>0.35</v>
      </c>
      <c r="T73" s="456">
        <f t="shared" si="39"/>
        <v>811877.5</v>
      </c>
      <c r="U73" s="455">
        <v>0.35</v>
      </c>
      <c r="V73" s="456">
        <f t="shared" si="40"/>
        <v>935199.99999999988</v>
      </c>
      <c r="W73" s="455">
        <v>0.35</v>
      </c>
      <c r="X73" s="456">
        <f t="shared" si="41"/>
        <v>773587.5</v>
      </c>
      <c r="Y73" s="455">
        <v>0.35</v>
      </c>
      <c r="Z73" s="456">
        <f t="shared" si="42"/>
        <v>828187.5</v>
      </c>
      <c r="AA73" s="457">
        <v>0.35</v>
      </c>
      <c r="AB73" s="322"/>
      <c r="AC73" s="407">
        <f t="shared" si="29"/>
        <v>10289223</v>
      </c>
      <c r="AD73" s="458">
        <f t="shared" si="30"/>
        <v>0.35</v>
      </c>
      <c r="AE73" s="322"/>
      <c r="AF73" s="322"/>
      <c r="AG73" s="322"/>
      <c r="AH73" s="322"/>
      <c r="AI73" s="322"/>
      <c r="AJ73" s="322"/>
      <c r="AK73" s="322"/>
    </row>
    <row r="74" spans="1:37" ht="18" customHeight="1" outlineLevel="1">
      <c r="A74" s="322"/>
      <c r="B74" s="322"/>
      <c r="C74" s="471" t="s">
        <v>303</v>
      </c>
      <c r="D74" s="472">
        <f t="shared" si="31"/>
        <v>609184</v>
      </c>
      <c r="E74" s="473">
        <v>0.32</v>
      </c>
      <c r="F74" s="474">
        <f t="shared" si="32"/>
        <v>720752</v>
      </c>
      <c r="G74" s="473">
        <v>0.32</v>
      </c>
      <c r="H74" s="474">
        <f t="shared" si="33"/>
        <v>800016</v>
      </c>
      <c r="I74" s="473">
        <v>0.32</v>
      </c>
      <c r="J74" s="474">
        <f t="shared" si="34"/>
        <v>874432</v>
      </c>
      <c r="K74" s="473">
        <v>0.32</v>
      </c>
      <c r="L74" s="474">
        <f t="shared" si="35"/>
        <v>934448</v>
      </c>
      <c r="M74" s="473">
        <v>0.32</v>
      </c>
      <c r="N74" s="474">
        <f t="shared" si="36"/>
        <v>980544</v>
      </c>
      <c r="O74" s="473">
        <v>0.32</v>
      </c>
      <c r="P74" s="474">
        <f t="shared" si="37"/>
        <v>765456</v>
      </c>
      <c r="Q74" s="473">
        <v>0.32</v>
      </c>
      <c r="R74" s="474">
        <f t="shared" si="38"/>
        <v>660649.6</v>
      </c>
      <c r="S74" s="473">
        <v>0.32</v>
      </c>
      <c r="T74" s="474">
        <f t="shared" si="39"/>
        <v>742288</v>
      </c>
      <c r="U74" s="473">
        <v>0.32</v>
      </c>
      <c r="V74" s="474">
        <f t="shared" si="40"/>
        <v>855040</v>
      </c>
      <c r="W74" s="473">
        <v>0.32</v>
      </c>
      <c r="X74" s="474">
        <f t="shared" si="41"/>
        <v>707280</v>
      </c>
      <c r="Y74" s="473">
        <v>0.32</v>
      </c>
      <c r="Z74" s="474">
        <f t="shared" si="42"/>
        <v>757200</v>
      </c>
      <c r="AA74" s="475">
        <v>0.32</v>
      </c>
      <c r="AB74" s="322"/>
      <c r="AC74" s="476">
        <f t="shared" si="29"/>
        <v>9407289.5999999996</v>
      </c>
      <c r="AD74" s="477">
        <f t="shared" si="30"/>
        <v>0.32</v>
      </c>
      <c r="AE74" s="322"/>
      <c r="AF74" s="322"/>
      <c r="AG74" s="322"/>
      <c r="AH74" s="322"/>
      <c r="AI74" s="322"/>
      <c r="AJ74" s="322"/>
      <c r="AK74" s="322"/>
    </row>
    <row r="75" spans="1:37" ht="18" customHeight="1">
      <c r="A75" s="322"/>
      <c r="B75" s="322"/>
      <c r="C75" s="451"/>
      <c r="D75" s="322"/>
      <c r="E75" s="322"/>
      <c r="F75" s="322"/>
      <c r="G75" s="322"/>
      <c r="H75" s="322"/>
      <c r="I75" s="322"/>
      <c r="J75" s="322"/>
      <c r="K75" s="322"/>
      <c r="L75" s="322"/>
      <c r="M75" s="322"/>
      <c r="N75" s="322"/>
      <c r="O75" s="322"/>
      <c r="P75" s="322"/>
      <c r="Q75" s="322"/>
      <c r="R75" s="322"/>
      <c r="S75" s="322"/>
      <c r="T75" s="322"/>
      <c r="U75" s="322"/>
      <c r="V75" s="322"/>
      <c r="W75" s="322"/>
      <c r="X75" s="322"/>
      <c r="Y75" s="322"/>
      <c r="Z75" s="322"/>
      <c r="AA75" s="322"/>
      <c r="AB75" s="322"/>
      <c r="AC75" s="322"/>
      <c r="AD75" s="322"/>
      <c r="AE75" s="322"/>
      <c r="AF75" s="322"/>
      <c r="AG75" s="322"/>
      <c r="AH75" s="322"/>
      <c r="AI75" s="322"/>
      <c r="AJ75" s="322"/>
      <c r="AK75" s="322"/>
    </row>
    <row r="76" spans="1:37" ht="18" customHeight="1">
      <c r="A76" s="322"/>
      <c r="B76" s="322"/>
      <c r="C76" s="451"/>
      <c r="D76" s="322"/>
      <c r="E76" s="322"/>
      <c r="F76" s="322"/>
      <c r="G76" s="322"/>
      <c r="H76" s="322"/>
      <c r="I76" s="322"/>
      <c r="J76" s="322"/>
      <c r="K76" s="322"/>
      <c r="L76" s="322"/>
      <c r="M76" s="322"/>
      <c r="N76" s="322"/>
      <c r="O76" s="322"/>
      <c r="P76" s="322"/>
      <c r="Q76" s="322"/>
      <c r="R76" s="322"/>
      <c r="S76" s="322"/>
      <c r="T76" s="322"/>
      <c r="U76" s="322"/>
      <c r="V76" s="322"/>
      <c r="W76" s="322"/>
      <c r="X76" s="322"/>
      <c r="Y76" s="322"/>
      <c r="Z76" s="322"/>
      <c r="AA76" s="322"/>
      <c r="AB76" s="322"/>
      <c r="AC76" s="322"/>
      <c r="AD76" s="322"/>
      <c r="AE76" s="322"/>
      <c r="AF76" s="322"/>
      <c r="AG76" s="322"/>
      <c r="AH76" s="322"/>
      <c r="AI76" s="322"/>
      <c r="AJ76" s="322"/>
      <c r="AK76" s="322"/>
    </row>
    <row r="77" spans="1:37" ht="18" customHeight="1">
      <c r="A77" s="322"/>
      <c r="B77" s="322"/>
      <c r="C77" s="451"/>
      <c r="D77" s="322"/>
      <c r="E77" s="322"/>
      <c r="F77" s="322"/>
      <c r="G77" s="322"/>
      <c r="H77" s="322"/>
      <c r="I77" s="322"/>
      <c r="J77" s="322"/>
      <c r="K77" s="322"/>
      <c r="L77" s="322"/>
      <c r="M77" s="322"/>
      <c r="N77" s="322"/>
      <c r="O77" s="322"/>
      <c r="P77" s="322"/>
      <c r="Q77" s="322"/>
      <c r="R77" s="322"/>
      <c r="S77" s="322"/>
      <c r="T77" s="322"/>
      <c r="U77" s="322"/>
      <c r="V77" s="322"/>
      <c r="W77" s="322"/>
      <c r="X77" s="322"/>
      <c r="Y77" s="322"/>
      <c r="Z77" s="322"/>
      <c r="AA77" s="322"/>
      <c r="AB77" s="322"/>
      <c r="AC77" s="322"/>
      <c r="AD77" s="322"/>
      <c r="AE77" s="322"/>
      <c r="AF77" s="322"/>
      <c r="AG77" s="322"/>
      <c r="AH77" s="322"/>
      <c r="AI77" s="322"/>
      <c r="AJ77" s="322"/>
      <c r="AK77" s="322"/>
    </row>
    <row r="78" spans="1:37" ht="18" customHeight="1">
      <c r="A78" s="322"/>
      <c r="B78" s="322"/>
      <c r="C78" s="451"/>
      <c r="D78" s="322"/>
      <c r="E78" s="322"/>
      <c r="F78" s="322"/>
      <c r="G78" s="322"/>
      <c r="H78" s="322"/>
      <c r="I78" s="322"/>
      <c r="J78" s="322"/>
      <c r="K78" s="322"/>
      <c r="L78" s="322"/>
      <c r="M78" s="322"/>
      <c r="N78" s="322"/>
      <c r="O78" s="322"/>
      <c r="P78" s="322"/>
      <c r="Q78" s="322"/>
      <c r="R78" s="322"/>
      <c r="S78" s="322"/>
      <c r="T78" s="322"/>
      <c r="U78" s="322"/>
      <c r="V78" s="322"/>
      <c r="W78" s="322"/>
      <c r="X78" s="322"/>
      <c r="Y78" s="322"/>
      <c r="Z78" s="322"/>
      <c r="AA78" s="322"/>
      <c r="AB78" s="322"/>
      <c r="AC78" s="322"/>
      <c r="AD78" s="322"/>
      <c r="AE78" s="322"/>
      <c r="AF78" s="322"/>
      <c r="AG78" s="322"/>
      <c r="AH78" s="322"/>
      <c r="AI78" s="322"/>
      <c r="AJ78" s="322"/>
      <c r="AK78" s="322"/>
    </row>
    <row r="79" spans="1:37" ht="18" customHeight="1">
      <c r="A79" s="322"/>
      <c r="B79" s="322"/>
      <c r="C79" s="451"/>
      <c r="D79" s="322"/>
      <c r="E79" s="322"/>
      <c r="F79" s="322"/>
      <c r="G79" s="322"/>
      <c r="H79" s="322"/>
      <c r="I79" s="322"/>
      <c r="J79" s="322"/>
      <c r="K79" s="322"/>
      <c r="L79" s="322"/>
      <c r="M79" s="322"/>
      <c r="N79" s="322"/>
      <c r="O79" s="322"/>
      <c r="P79" s="322"/>
      <c r="Q79" s="322"/>
      <c r="R79" s="322"/>
      <c r="S79" s="322"/>
      <c r="T79" s="322"/>
      <c r="U79" s="322"/>
      <c r="V79" s="322"/>
      <c r="W79" s="322"/>
      <c r="X79" s="322"/>
      <c r="Y79" s="322"/>
      <c r="Z79" s="322"/>
      <c r="AA79" s="322"/>
      <c r="AB79" s="322"/>
      <c r="AC79" s="322"/>
      <c r="AD79" s="322"/>
      <c r="AE79" s="322"/>
      <c r="AF79" s="322"/>
      <c r="AG79" s="322"/>
      <c r="AH79" s="322"/>
      <c r="AI79" s="322"/>
      <c r="AJ79" s="322"/>
      <c r="AK79" s="322"/>
    </row>
    <row r="80" spans="1:37" ht="18" customHeight="1">
      <c r="A80" s="322"/>
      <c r="B80" s="322"/>
      <c r="C80" s="451"/>
      <c r="D80" s="322"/>
      <c r="E80" s="322"/>
      <c r="F80" s="322"/>
      <c r="G80" s="322"/>
      <c r="H80" s="322"/>
      <c r="I80" s="322"/>
      <c r="J80" s="322"/>
      <c r="K80" s="322"/>
      <c r="L80" s="322"/>
      <c r="M80" s="322"/>
      <c r="N80" s="322"/>
      <c r="O80" s="322"/>
      <c r="P80" s="322"/>
      <c r="Q80" s="322"/>
      <c r="R80" s="322"/>
      <c r="S80" s="322"/>
      <c r="T80" s="322"/>
      <c r="U80" s="322"/>
      <c r="V80" s="322"/>
      <c r="W80" s="322"/>
      <c r="X80" s="322"/>
      <c r="Y80" s="322"/>
      <c r="Z80" s="322"/>
      <c r="AA80" s="322"/>
      <c r="AB80" s="322"/>
      <c r="AC80" s="322"/>
      <c r="AD80" s="322"/>
      <c r="AE80" s="322"/>
      <c r="AF80" s="322"/>
      <c r="AG80" s="322"/>
      <c r="AH80" s="322"/>
      <c r="AI80" s="322"/>
      <c r="AJ80" s="322"/>
      <c r="AK80" s="322"/>
    </row>
    <row r="81" spans="1:37" ht="18" customHeight="1">
      <c r="A81" s="322"/>
      <c r="B81" s="322"/>
      <c r="C81" s="451"/>
      <c r="D81" s="322"/>
      <c r="E81" s="322"/>
      <c r="F81" s="322"/>
      <c r="G81" s="322"/>
      <c r="H81" s="322"/>
      <c r="I81" s="322"/>
      <c r="J81" s="322"/>
      <c r="K81" s="322"/>
      <c r="L81" s="322"/>
      <c r="M81" s="322"/>
      <c r="N81" s="322"/>
      <c r="O81" s="322"/>
      <c r="P81" s="322"/>
      <c r="Q81" s="322"/>
      <c r="R81" s="322"/>
      <c r="S81" s="322"/>
      <c r="T81" s="322"/>
      <c r="U81" s="322"/>
      <c r="V81" s="322"/>
      <c r="W81" s="322"/>
      <c r="X81" s="322"/>
      <c r="Y81" s="322"/>
      <c r="Z81" s="322"/>
      <c r="AA81" s="322"/>
      <c r="AB81" s="322"/>
      <c r="AC81" s="322"/>
      <c r="AD81" s="322"/>
      <c r="AE81" s="322"/>
      <c r="AF81" s="322"/>
      <c r="AG81" s="322"/>
      <c r="AH81" s="322"/>
      <c r="AI81" s="322"/>
      <c r="AJ81" s="322"/>
      <c r="AK81" s="322"/>
    </row>
    <row r="82" spans="1:37" ht="18" customHeight="1">
      <c r="A82" s="322"/>
      <c r="B82" s="322"/>
      <c r="C82" s="451"/>
      <c r="D82" s="322"/>
      <c r="E82" s="322"/>
      <c r="F82" s="322"/>
      <c r="G82" s="322"/>
      <c r="H82" s="322"/>
      <c r="I82" s="322"/>
      <c r="J82" s="322"/>
      <c r="K82" s="322"/>
      <c r="L82" s="322"/>
      <c r="M82" s="322"/>
      <c r="N82" s="322"/>
      <c r="O82" s="322"/>
      <c r="P82" s="322"/>
      <c r="Q82" s="322"/>
      <c r="R82" s="322"/>
      <c r="S82" s="322"/>
      <c r="T82" s="322"/>
      <c r="U82" s="322"/>
      <c r="V82" s="322"/>
      <c r="W82" s="322"/>
      <c r="X82" s="322"/>
      <c r="Y82" s="322"/>
      <c r="Z82" s="322"/>
      <c r="AA82" s="322"/>
      <c r="AB82" s="322"/>
      <c r="AC82" s="322"/>
      <c r="AD82" s="322"/>
      <c r="AE82" s="322"/>
      <c r="AF82" s="322"/>
      <c r="AG82" s="322"/>
      <c r="AH82" s="322"/>
      <c r="AI82" s="322"/>
      <c r="AJ82" s="322"/>
      <c r="AK82" s="322"/>
    </row>
    <row r="83" spans="1:37" ht="18" customHeight="1">
      <c r="A83" s="322"/>
      <c r="B83" s="322"/>
      <c r="C83" s="451"/>
      <c r="D83" s="478"/>
      <c r="E83" s="479"/>
      <c r="F83" s="322"/>
      <c r="G83" s="322"/>
      <c r="H83" s="322"/>
      <c r="I83" s="322"/>
      <c r="J83" s="480"/>
      <c r="K83" s="322"/>
      <c r="L83" s="322"/>
      <c r="M83" s="322"/>
      <c r="N83" s="322"/>
      <c r="O83" s="322"/>
      <c r="P83" s="322"/>
      <c r="Q83" s="322"/>
      <c r="R83" s="322"/>
      <c r="S83" s="322"/>
      <c r="T83" s="322"/>
      <c r="U83" s="322"/>
      <c r="V83" s="322"/>
      <c r="W83" s="322"/>
      <c r="X83" s="322"/>
      <c r="Y83" s="322"/>
      <c r="Z83" s="322"/>
      <c r="AA83" s="322"/>
      <c r="AB83" s="322"/>
      <c r="AC83" s="322"/>
      <c r="AD83" s="322"/>
      <c r="AE83" s="322"/>
      <c r="AF83" s="322"/>
      <c r="AG83" s="322"/>
      <c r="AH83" s="322"/>
      <c r="AI83" s="322"/>
      <c r="AJ83" s="322"/>
      <c r="AK83" s="322"/>
    </row>
    <row r="84" spans="1:37" ht="18" customHeight="1">
      <c r="A84" s="322"/>
      <c r="B84" s="322"/>
      <c r="C84" s="451"/>
      <c r="D84" s="478"/>
      <c r="E84" s="480"/>
      <c r="F84" s="322"/>
      <c r="G84" s="322"/>
      <c r="H84" s="322"/>
      <c r="I84" s="322"/>
      <c r="J84" s="322"/>
      <c r="K84" s="322"/>
      <c r="L84" s="322"/>
      <c r="M84" s="322"/>
      <c r="N84" s="322"/>
      <c r="O84" s="322"/>
      <c r="P84" s="322"/>
      <c r="Q84" s="322"/>
      <c r="R84" s="322"/>
      <c r="S84" s="322"/>
      <c r="T84" s="322"/>
      <c r="U84" s="322"/>
      <c r="V84" s="322"/>
      <c r="W84" s="322"/>
      <c r="X84" s="322"/>
      <c r="Y84" s="322"/>
      <c r="Z84" s="322"/>
      <c r="AA84" s="322"/>
      <c r="AB84" s="322"/>
      <c r="AC84" s="322"/>
      <c r="AD84" s="322"/>
      <c r="AE84" s="322"/>
      <c r="AF84" s="322"/>
      <c r="AG84" s="322"/>
      <c r="AH84" s="322"/>
      <c r="AI84" s="322"/>
      <c r="AJ84" s="322"/>
      <c r="AK84" s="322"/>
    </row>
    <row r="85" spans="1:37" ht="18" customHeight="1">
      <c r="A85" s="322"/>
      <c r="B85" s="322"/>
      <c r="C85" s="451"/>
      <c r="D85" s="478"/>
      <c r="E85" s="480"/>
      <c r="F85" s="322"/>
      <c r="G85" s="322"/>
      <c r="H85" s="322"/>
      <c r="I85" s="322"/>
      <c r="J85" s="322"/>
      <c r="K85" s="322"/>
      <c r="L85" s="322"/>
      <c r="M85" s="322"/>
      <c r="N85" s="322"/>
      <c r="O85" s="322"/>
      <c r="P85" s="322"/>
      <c r="Q85" s="322"/>
      <c r="R85" s="322"/>
      <c r="S85" s="322"/>
      <c r="T85" s="322"/>
      <c r="U85" s="322"/>
      <c r="V85" s="322"/>
      <c r="W85" s="322"/>
      <c r="X85" s="322"/>
      <c r="Y85" s="322"/>
      <c r="Z85" s="322"/>
      <c r="AA85" s="322"/>
      <c r="AB85" s="322"/>
      <c r="AC85" s="322"/>
      <c r="AD85" s="322"/>
      <c r="AE85" s="322"/>
      <c r="AF85" s="322"/>
      <c r="AG85" s="322"/>
      <c r="AH85" s="322"/>
      <c r="AI85" s="322"/>
      <c r="AJ85" s="322"/>
      <c r="AK85" s="322"/>
    </row>
    <row r="86" spans="1:37" ht="18" customHeight="1">
      <c r="A86" s="322"/>
      <c r="B86" s="322"/>
      <c r="C86" s="451"/>
      <c r="D86" s="478"/>
      <c r="E86" s="480"/>
      <c r="F86" s="322"/>
      <c r="G86" s="322"/>
      <c r="H86" s="322"/>
      <c r="I86" s="322"/>
      <c r="J86" s="322"/>
      <c r="K86" s="322"/>
      <c r="L86" s="322"/>
      <c r="M86" s="322"/>
      <c r="N86" s="322"/>
      <c r="O86" s="322"/>
      <c r="P86" s="322"/>
      <c r="Q86" s="322"/>
      <c r="R86" s="322"/>
      <c r="S86" s="322"/>
      <c r="T86" s="322"/>
      <c r="U86" s="322"/>
      <c r="V86" s="322"/>
      <c r="W86" s="322"/>
      <c r="X86" s="322"/>
      <c r="Y86" s="322"/>
      <c r="Z86" s="322"/>
      <c r="AA86" s="322"/>
      <c r="AB86" s="322"/>
      <c r="AC86" s="322"/>
      <c r="AD86" s="322"/>
      <c r="AE86" s="322"/>
      <c r="AF86" s="322"/>
      <c r="AG86" s="322"/>
      <c r="AH86" s="322"/>
      <c r="AI86" s="322"/>
      <c r="AJ86" s="322"/>
      <c r="AK86" s="322"/>
    </row>
    <row r="87" spans="1:37" ht="18" customHeight="1">
      <c r="A87" s="322"/>
      <c r="B87" s="322"/>
      <c r="C87" s="451"/>
      <c r="D87" s="481"/>
      <c r="E87" s="480"/>
      <c r="F87" s="322"/>
      <c r="G87" s="322"/>
      <c r="H87" s="322"/>
      <c r="I87" s="322"/>
      <c r="J87" s="322"/>
      <c r="K87" s="322"/>
      <c r="L87" s="322"/>
      <c r="M87" s="322"/>
      <c r="N87" s="322"/>
      <c r="O87" s="322"/>
      <c r="P87" s="322"/>
      <c r="Q87" s="322"/>
      <c r="R87" s="322"/>
      <c r="S87" s="322"/>
      <c r="T87" s="322"/>
      <c r="U87" s="322"/>
      <c r="V87" s="322"/>
      <c r="W87" s="322"/>
      <c r="X87" s="322"/>
      <c r="Y87" s="322"/>
      <c r="Z87" s="322"/>
      <c r="AA87" s="322"/>
      <c r="AB87" s="322"/>
      <c r="AC87" s="322"/>
      <c r="AD87" s="322"/>
      <c r="AE87" s="322"/>
      <c r="AF87" s="322"/>
      <c r="AG87" s="322"/>
      <c r="AH87" s="322"/>
      <c r="AI87" s="322"/>
      <c r="AJ87" s="322"/>
      <c r="AK87" s="322"/>
    </row>
    <row r="88" spans="1:37" ht="18" customHeight="1">
      <c r="A88" s="322"/>
      <c r="B88" s="322"/>
      <c r="C88" s="451"/>
      <c r="D88" s="478"/>
      <c r="E88" s="480"/>
      <c r="F88" s="322"/>
      <c r="G88" s="322"/>
      <c r="H88" s="322"/>
      <c r="I88" s="322"/>
      <c r="J88" s="322"/>
      <c r="K88" s="322"/>
      <c r="L88" s="322"/>
      <c r="M88" s="322"/>
      <c r="N88" s="322"/>
      <c r="O88" s="322"/>
      <c r="P88" s="322"/>
      <c r="Q88" s="322"/>
      <c r="R88" s="322"/>
      <c r="S88" s="322"/>
      <c r="T88" s="322"/>
      <c r="U88" s="322"/>
      <c r="V88" s="322"/>
      <c r="W88" s="322"/>
      <c r="X88" s="322"/>
      <c r="Y88" s="322"/>
      <c r="Z88" s="322"/>
      <c r="AA88" s="322"/>
      <c r="AB88" s="322"/>
      <c r="AC88" s="322"/>
      <c r="AD88" s="322"/>
      <c r="AE88" s="322"/>
      <c r="AF88" s="322"/>
      <c r="AG88" s="322"/>
      <c r="AH88" s="322"/>
      <c r="AI88" s="322"/>
      <c r="AJ88" s="322"/>
      <c r="AK88" s="322"/>
    </row>
    <row r="89" spans="1:37" ht="18" customHeight="1">
      <c r="A89" s="322"/>
      <c r="B89" s="322"/>
      <c r="C89" s="451"/>
      <c r="D89" s="478"/>
      <c r="E89" s="480"/>
      <c r="F89" s="322"/>
      <c r="G89" s="322"/>
      <c r="H89" s="322"/>
      <c r="I89" s="322"/>
      <c r="J89" s="322"/>
      <c r="K89" s="322"/>
      <c r="L89" s="322"/>
      <c r="M89" s="322"/>
      <c r="N89" s="322"/>
      <c r="O89" s="322"/>
      <c r="P89" s="322"/>
      <c r="Q89" s="322"/>
      <c r="R89" s="322"/>
      <c r="S89" s="322"/>
      <c r="T89" s="322"/>
      <c r="U89" s="322"/>
      <c r="V89" s="322"/>
      <c r="W89" s="322"/>
      <c r="X89" s="322"/>
      <c r="Y89" s="322"/>
      <c r="Z89" s="322"/>
      <c r="AA89" s="322"/>
      <c r="AB89" s="322"/>
      <c r="AC89" s="322"/>
      <c r="AD89" s="322"/>
      <c r="AE89" s="322"/>
      <c r="AF89" s="322"/>
      <c r="AG89" s="322"/>
      <c r="AH89" s="322"/>
      <c r="AI89" s="322"/>
      <c r="AJ89" s="322"/>
      <c r="AK89" s="322"/>
    </row>
    <row r="90" spans="1:37" ht="18" customHeight="1">
      <c r="A90" s="322"/>
      <c r="B90" s="322"/>
      <c r="C90" s="451"/>
      <c r="D90" s="322"/>
      <c r="E90" s="480"/>
      <c r="F90" s="322"/>
      <c r="G90" s="322"/>
      <c r="H90" s="322"/>
      <c r="I90" s="322"/>
      <c r="J90" s="322"/>
      <c r="K90" s="322"/>
      <c r="L90" s="322"/>
      <c r="M90" s="322"/>
      <c r="N90" s="322"/>
      <c r="O90" s="322"/>
      <c r="P90" s="322"/>
      <c r="Q90" s="322"/>
      <c r="R90" s="322"/>
      <c r="S90" s="322"/>
      <c r="T90" s="322"/>
      <c r="U90" s="322"/>
      <c r="V90" s="322"/>
      <c r="W90" s="322"/>
      <c r="X90" s="322"/>
      <c r="Y90" s="322"/>
      <c r="Z90" s="322"/>
      <c r="AA90" s="322"/>
      <c r="AB90" s="322"/>
      <c r="AC90" s="322"/>
      <c r="AD90" s="322"/>
      <c r="AE90" s="322"/>
      <c r="AF90" s="322"/>
      <c r="AG90" s="322"/>
      <c r="AH90" s="322"/>
      <c r="AI90" s="322"/>
      <c r="AJ90" s="322"/>
      <c r="AK90" s="322"/>
    </row>
    <row r="91" spans="1:37" ht="18" customHeight="1">
      <c r="A91" s="322"/>
      <c r="B91" s="322"/>
      <c r="C91" s="451"/>
      <c r="D91" s="478"/>
      <c r="E91" s="480"/>
      <c r="F91" s="322"/>
      <c r="G91" s="322"/>
      <c r="H91" s="322"/>
      <c r="I91" s="322"/>
      <c r="J91" s="322"/>
      <c r="K91" s="322"/>
      <c r="L91" s="322"/>
      <c r="M91" s="322"/>
      <c r="N91" s="322"/>
      <c r="O91" s="322"/>
      <c r="P91" s="322"/>
      <c r="Q91" s="322"/>
      <c r="R91" s="322"/>
      <c r="S91" s="322"/>
      <c r="T91" s="322"/>
      <c r="U91" s="322"/>
      <c r="V91" s="322"/>
      <c r="W91" s="322"/>
      <c r="X91" s="322"/>
      <c r="Y91" s="322"/>
      <c r="Z91" s="322"/>
      <c r="AA91" s="322"/>
      <c r="AB91" s="322"/>
      <c r="AC91" s="322"/>
      <c r="AD91" s="322"/>
      <c r="AE91" s="322"/>
      <c r="AF91" s="322"/>
      <c r="AG91" s="322"/>
      <c r="AH91" s="322"/>
      <c r="AI91" s="322"/>
      <c r="AJ91" s="322"/>
      <c r="AK91" s="322"/>
    </row>
    <row r="92" spans="1:37" ht="18" customHeight="1">
      <c r="A92" s="322"/>
      <c r="B92" s="322"/>
      <c r="C92" s="451"/>
      <c r="D92" s="322"/>
      <c r="E92" s="480"/>
      <c r="F92" s="322"/>
      <c r="G92" s="322"/>
      <c r="H92" s="322"/>
      <c r="I92" s="322"/>
      <c r="J92" s="322"/>
      <c r="K92" s="322"/>
      <c r="L92" s="322"/>
      <c r="M92" s="322"/>
      <c r="N92" s="322"/>
      <c r="O92" s="322"/>
      <c r="P92" s="322"/>
      <c r="Q92" s="322"/>
      <c r="R92" s="322"/>
      <c r="S92" s="322"/>
      <c r="T92" s="322"/>
      <c r="U92" s="322"/>
      <c r="V92" s="322"/>
      <c r="W92" s="322"/>
      <c r="X92" s="322"/>
      <c r="Y92" s="322"/>
      <c r="Z92" s="322"/>
      <c r="AA92" s="322"/>
      <c r="AB92" s="322"/>
      <c r="AC92" s="322"/>
      <c r="AD92" s="322"/>
      <c r="AE92" s="322"/>
      <c r="AF92" s="322"/>
      <c r="AG92" s="322"/>
      <c r="AH92" s="322"/>
      <c r="AI92" s="322"/>
      <c r="AJ92" s="322"/>
      <c r="AK92" s="322"/>
    </row>
    <row r="93" spans="1:37" ht="18" customHeight="1">
      <c r="A93" s="322"/>
      <c r="B93" s="322"/>
      <c r="C93" s="451"/>
      <c r="D93" s="322"/>
      <c r="E93" s="480"/>
      <c r="F93" s="322"/>
      <c r="G93" s="322"/>
      <c r="H93" s="322"/>
      <c r="I93" s="322"/>
      <c r="J93" s="322"/>
      <c r="K93" s="322"/>
      <c r="L93" s="322"/>
      <c r="M93" s="322"/>
      <c r="N93" s="322"/>
      <c r="O93" s="322"/>
      <c r="P93" s="322"/>
      <c r="Q93" s="322"/>
      <c r="R93" s="322"/>
      <c r="S93" s="322"/>
      <c r="T93" s="322"/>
      <c r="U93" s="322"/>
      <c r="V93" s="322"/>
      <c r="W93" s="322"/>
      <c r="X93" s="322"/>
      <c r="Y93" s="322"/>
      <c r="Z93" s="322"/>
      <c r="AA93" s="322"/>
      <c r="AB93" s="322"/>
      <c r="AC93" s="322"/>
      <c r="AD93" s="322"/>
      <c r="AE93" s="322"/>
      <c r="AF93" s="322"/>
      <c r="AG93" s="322"/>
      <c r="AH93" s="322"/>
      <c r="AI93" s="322"/>
      <c r="AJ93" s="322"/>
      <c r="AK93" s="322"/>
    </row>
    <row r="94" spans="1:37" ht="18" customHeight="1">
      <c r="A94" s="322"/>
      <c r="B94" s="322"/>
      <c r="C94" s="451"/>
      <c r="D94" s="322"/>
      <c r="E94" s="480"/>
      <c r="F94" s="322"/>
      <c r="G94" s="322"/>
      <c r="H94" s="322"/>
      <c r="I94" s="322"/>
      <c r="J94" s="322"/>
      <c r="K94" s="322"/>
      <c r="L94" s="322"/>
      <c r="M94" s="322"/>
      <c r="N94" s="322"/>
      <c r="O94" s="322"/>
      <c r="P94" s="322"/>
      <c r="Q94" s="322"/>
      <c r="R94" s="322"/>
      <c r="S94" s="322"/>
      <c r="T94" s="322"/>
      <c r="U94" s="322"/>
      <c r="V94" s="322"/>
      <c r="W94" s="322"/>
      <c r="X94" s="322"/>
      <c r="Y94" s="322"/>
      <c r="Z94" s="322"/>
      <c r="AA94" s="322"/>
      <c r="AB94" s="322"/>
      <c r="AC94" s="322"/>
      <c r="AD94" s="322"/>
      <c r="AE94" s="322"/>
      <c r="AF94" s="322"/>
      <c r="AG94" s="322"/>
      <c r="AH94" s="322"/>
      <c r="AI94" s="322"/>
      <c r="AJ94" s="322"/>
      <c r="AK94" s="322"/>
    </row>
    <row r="95" spans="1:37" ht="18" customHeight="1">
      <c r="A95" s="322"/>
      <c r="B95" s="322"/>
      <c r="C95" s="451"/>
      <c r="D95" s="322"/>
      <c r="E95" s="480"/>
      <c r="F95" s="322"/>
      <c r="G95" s="322"/>
      <c r="H95" s="322"/>
      <c r="I95" s="322"/>
      <c r="J95" s="322"/>
      <c r="K95" s="322"/>
      <c r="L95" s="322"/>
      <c r="M95" s="322"/>
      <c r="N95" s="322"/>
      <c r="O95" s="322"/>
      <c r="P95" s="322"/>
      <c r="Q95" s="322"/>
      <c r="R95" s="322"/>
      <c r="S95" s="322"/>
      <c r="T95" s="322"/>
      <c r="U95" s="322"/>
      <c r="V95" s="322"/>
      <c r="W95" s="322"/>
      <c r="X95" s="322"/>
      <c r="Y95" s="322"/>
      <c r="Z95" s="322"/>
      <c r="AA95" s="322"/>
      <c r="AB95" s="322"/>
      <c r="AC95" s="322"/>
      <c r="AD95" s="322"/>
      <c r="AE95" s="322"/>
      <c r="AF95" s="322"/>
      <c r="AG95" s="322"/>
      <c r="AH95" s="322"/>
      <c r="AI95" s="322"/>
      <c r="AJ95" s="322"/>
      <c r="AK95" s="322"/>
    </row>
    <row r="96" spans="1:37" ht="18" customHeight="1">
      <c r="A96" s="322"/>
      <c r="B96" s="322"/>
      <c r="C96" s="451"/>
      <c r="D96" s="322"/>
      <c r="E96" s="480"/>
      <c r="F96" s="322"/>
      <c r="G96" s="322"/>
      <c r="H96" s="322"/>
      <c r="I96" s="322"/>
      <c r="J96" s="322"/>
      <c r="K96" s="322"/>
      <c r="L96" s="322"/>
      <c r="M96" s="322"/>
      <c r="N96" s="322"/>
      <c r="O96" s="322"/>
      <c r="P96" s="322"/>
      <c r="Q96" s="322"/>
      <c r="R96" s="322"/>
      <c r="S96" s="322"/>
      <c r="T96" s="322"/>
      <c r="U96" s="322"/>
      <c r="V96" s="322"/>
      <c r="W96" s="322"/>
      <c r="X96" s="322"/>
      <c r="Y96" s="322"/>
      <c r="Z96" s="322"/>
      <c r="AA96" s="322"/>
      <c r="AB96" s="322"/>
      <c r="AC96" s="322"/>
      <c r="AD96" s="322"/>
      <c r="AE96" s="322"/>
      <c r="AF96" s="322"/>
      <c r="AG96" s="322"/>
      <c r="AH96" s="322"/>
      <c r="AI96" s="322"/>
      <c r="AJ96" s="322"/>
      <c r="AK96" s="322"/>
    </row>
    <row r="97" spans="1:37" ht="18" customHeight="1">
      <c r="A97" s="322"/>
      <c r="B97" s="322"/>
      <c r="C97" s="451"/>
      <c r="D97" s="322"/>
      <c r="E97" s="480"/>
      <c r="F97" s="322"/>
      <c r="G97" s="322"/>
      <c r="H97" s="322"/>
      <c r="I97" s="322"/>
      <c r="J97" s="322"/>
      <c r="K97" s="322"/>
      <c r="L97" s="322"/>
      <c r="M97" s="322"/>
      <c r="N97" s="322"/>
      <c r="O97" s="322"/>
      <c r="P97" s="322"/>
      <c r="Q97" s="322"/>
      <c r="R97" s="322"/>
      <c r="S97" s="322"/>
      <c r="T97" s="322"/>
      <c r="U97" s="322"/>
      <c r="V97" s="322"/>
      <c r="W97" s="322"/>
      <c r="X97" s="322"/>
      <c r="Y97" s="322"/>
      <c r="Z97" s="322"/>
      <c r="AA97" s="322"/>
      <c r="AB97" s="322"/>
      <c r="AC97" s="322"/>
      <c r="AD97" s="322"/>
      <c r="AE97" s="322"/>
      <c r="AF97" s="322"/>
      <c r="AG97" s="322"/>
      <c r="AH97" s="322"/>
      <c r="AI97" s="322"/>
      <c r="AJ97" s="322"/>
      <c r="AK97" s="322"/>
    </row>
    <row r="98" spans="1:37" ht="18" customHeight="1">
      <c r="A98" s="322"/>
      <c r="B98" s="322"/>
      <c r="C98" s="451"/>
      <c r="D98" s="322"/>
      <c r="E98" s="480"/>
      <c r="F98" s="322"/>
      <c r="G98" s="322"/>
      <c r="H98" s="322"/>
      <c r="I98" s="322"/>
      <c r="J98" s="322"/>
      <c r="K98" s="322"/>
      <c r="L98" s="322"/>
      <c r="M98" s="322"/>
      <c r="N98" s="322"/>
      <c r="O98" s="322"/>
      <c r="P98" s="322"/>
      <c r="Q98" s="322"/>
      <c r="R98" s="322"/>
      <c r="S98" s="322"/>
      <c r="T98" s="322"/>
      <c r="U98" s="322"/>
      <c r="V98" s="322"/>
      <c r="W98" s="322"/>
      <c r="X98" s="322"/>
      <c r="Y98" s="322"/>
      <c r="Z98" s="322"/>
      <c r="AA98" s="322"/>
      <c r="AB98" s="322"/>
      <c r="AC98" s="322"/>
      <c r="AD98" s="322"/>
      <c r="AE98" s="322"/>
      <c r="AF98" s="322"/>
      <c r="AG98" s="322"/>
      <c r="AH98" s="322"/>
      <c r="AI98" s="322"/>
      <c r="AJ98" s="322"/>
      <c r="AK98" s="322"/>
    </row>
    <row r="99" spans="1:37" ht="18" customHeight="1">
      <c r="A99" s="322"/>
      <c r="B99" s="322"/>
      <c r="C99" s="451"/>
      <c r="D99" s="322"/>
      <c r="E99" s="480"/>
      <c r="F99" s="322"/>
      <c r="G99" s="322"/>
      <c r="H99" s="322"/>
      <c r="I99" s="322"/>
      <c r="J99" s="322"/>
      <c r="K99" s="322"/>
      <c r="L99" s="322"/>
      <c r="M99" s="322"/>
      <c r="N99" s="322"/>
      <c r="O99" s="322"/>
      <c r="P99" s="322"/>
      <c r="Q99" s="322"/>
      <c r="R99" s="322"/>
      <c r="S99" s="322"/>
      <c r="T99" s="322"/>
      <c r="U99" s="322"/>
      <c r="V99" s="322"/>
      <c r="W99" s="322"/>
      <c r="X99" s="322"/>
      <c r="Y99" s="322"/>
      <c r="Z99" s="322"/>
      <c r="AA99" s="322"/>
      <c r="AB99" s="322"/>
      <c r="AC99" s="322"/>
      <c r="AD99" s="322"/>
      <c r="AE99" s="322"/>
      <c r="AF99" s="322"/>
      <c r="AG99" s="322"/>
      <c r="AH99" s="322"/>
      <c r="AI99" s="322"/>
      <c r="AJ99" s="322"/>
      <c r="AK99" s="322"/>
    </row>
    <row r="100" spans="1:37" ht="18" customHeight="1">
      <c r="A100" s="322"/>
      <c r="B100" s="322"/>
      <c r="C100" s="451"/>
      <c r="D100" s="322"/>
      <c r="E100" s="480"/>
      <c r="F100" s="322"/>
      <c r="G100" s="322"/>
      <c r="H100" s="322"/>
      <c r="I100" s="322"/>
      <c r="J100" s="322"/>
      <c r="K100" s="322"/>
      <c r="L100" s="322"/>
      <c r="M100" s="322"/>
      <c r="N100" s="322"/>
      <c r="O100" s="322"/>
      <c r="P100" s="322"/>
      <c r="Q100" s="322"/>
      <c r="R100" s="322"/>
      <c r="S100" s="322"/>
      <c r="T100" s="322"/>
      <c r="U100" s="322"/>
      <c r="V100" s="322"/>
      <c r="W100" s="322"/>
      <c r="X100" s="322"/>
      <c r="Y100" s="322"/>
      <c r="Z100" s="322"/>
      <c r="AA100" s="322"/>
      <c r="AB100" s="322"/>
      <c r="AC100" s="322"/>
      <c r="AD100" s="322"/>
      <c r="AE100" s="322"/>
      <c r="AF100" s="322"/>
      <c r="AG100" s="322"/>
      <c r="AH100" s="322"/>
      <c r="AI100" s="322"/>
      <c r="AJ100" s="322"/>
      <c r="AK100" s="322"/>
    </row>
    <row r="101" spans="1:37" ht="18" customHeight="1">
      <c r="A101" s="322"/>
      <c r="B101" s="322"/>
      <c r="C101" s="451"/>
      <c r="D101" s="322"/>
      <c r="E101" s="480"/>
      <c r="F101" s="322"/>
      <c r="G101" s="322"/>
      <c r="H101" s="322"/>
      <c r="I101" s="322"/>
      <c r="J101" s="322"/>
      <c r="K101" s="322"/>
      <c r="L101" s="322"/>
      <c r="M101" s="322"/>
      <c r="N101" s="322"/>
      <c r="O101" s="322"/>
      <c r="P101" s="322"/>
      <c r="Q101" s="322"/>
      <c r="R101" s="322"/>
      <c r="S101" s="322"/>
      <c r="T101" s="322"/>
      <c r="U101" s="322"/>
      <c r="V101" s="322"/>
      <c r="W101" s="322"/>
      <c r="X101" s="322"/>
      <c r="Y101" s="322"/>
      <c r="Z101" s="322"/>
      <c r="AA101" s="322"/>
      <c r="AB101" s="322"/>
      <c r="AC101" s="322"/>
      <c r="AD101" s="322"/>
      <c r="AE101" s="322"/>
      <c r="AF101" s="322"/>
      <c r="AG101" s="322"/>
      <c r="AH101" s="322"/>
      <c r="AI101" s="322"/>
      <c r="AJ101" s="322"/>
      <c r="AK101" s="322"/>
    </row>
    <row r="102" spans="1:37" ht="18" customHeight="1">
      <c r="A102" s="322"/>
      <c r="B102" s="322"/>
      <c r="C102" s="451"/>
      <c r="D102" s="322"/>
      <c r="E102" s="480"/>
      <c r="F102" s="322"/>
      <c r="G102" s="322"/>
      <c r="H102" s="322"/>
      <c r="I102" s="322"/>
      <c r="J102" s="322"/>
      <c r="K102" s="322"/>
      <c r="L102" s="322"/>
      <c r="M102" s="322"/>
      <c r="N102" s="322"/>
      <c r="O102" s="322"/>
      <c r="P102" s="322"/>
      <c r="Q102" s="322"/>
      <c r="R102" s="322"/>
      <c r="S102" s="322"/>
      <c r="T102" s="322"/>
      <c r="U102" s="322"/>
      <c r="V102" s="322"/>
      <c r="W102" s="322"/>
      <c r="X102" s="322"/>
      <c r="Y102" s="322"/>
      <c r="Z102" s="322"/>
      <c r="AA102" s="322"/>
      <c r="AB102" s="322"/>
      <c r="AC102" s="322"/>
      <c r="AD102" s="322"/>
      <c r="AE102" s="322"/>
      <c r="AF102" s="322"/>
      <c r="AG102" s="322"/>
      <c r="AH102" s="322"/>
      <c r="AI102" s="322"/>
      <c r="AJ102" s="322"/>
      <c r="AK102" s="322"/>
    </row>
    <row r="103" spans="1:37" ht="18" customHeight="1">
      <c r="A103" s="322"/>
      <c r="B103" s="322"/>
      <c r="C103" s="451"/>
      <c r="D103" s="322"/>
      <c r="E103" s="480"/>
      <c r="F103" s="322"/>
      <c r="G103" s="322"/>
      <c r="H103" s="322"/>
      <c r="I103" s="322"/>
      <c r="J103" s="322"/>
      <c r="K103" s="322"/>
      <c r="L103" s="322"/>
      <c r="M103" s="322"/>
      <c r="N103" s="322"/>
      <c r="O103" s="322"/>
      <c r="P103" s="322"/>
      <c r="Q103" s="322"/>
      <c r="R103" s="322"/>
      <c r="S103" s="322"/>
      <c r="T103" s="322"/>
      <c r="U103" s="322"/>
      <c r="V103" s="322"/>
      <c r="W103" s="322"/>
      <c r="X103" s="322"/>
      <c r="Y103" s="322"/>
      <c r="Z103" s="322"/>
      <c r="AA103" s="322"/>
      <c r="AB103" s="322"/>
      <c r="AC103" s="322"/>
      <c r="AD103" s="322"/>
      <c r="AE103" s="322"/>
      <c r="AF103" s="322"/>
      <c r="AG103" s="322"/>
      <c r="AH103" s="322"/>
      <c r="AI103" s="322"/>
      <c r="AJ103" s="322"/>
      <c r="AK103" s="322"/>
    </row>
    <row r="104" spans="1:37" ht="18" customHeight="1">
      <c r="A104" s="322"/>
      <c r="B104" s="322"/>
      <c r="C104" s="451"/>
      <c r="D104" s="322"/>
      <c r="E104" s="480"/>
      <c r="F104" s="322"/>
      <c r="G104" s="322"/>
      <c r="H104" s="322"/>
      <c r="I104" s="322"/>
      <c r="J104" s="322"/>
      <c r="K104" s="322"/>
      <c r="L104" s="322"/>
      <c r="M104" s="322"/>
      <c r="N104" s="322"/>
      <c r="O104" s="322"/>
      <c r="P104" s="322"/>
      <c r="Q104" s="322"/>
      <c r="R104" s="322"/>
      <c r="S104" s="322"/>
      <c r="T104" s="322"/>
      <c r="U104" s="322"/>
      <c r="V104" s="322"/>
      <c r="W104" s="322"/>
      <c r="X104" s="322"/>
      <c r="Y104" s="322"/>
      <c r="Z104" s="322"/>
      <c r="AA104" s="322"/>
      <c r="AB104" s="322"/>
      <c r="AC104" s="322"/>
      <c r="AD104" s="322"/>
      <c r="AE104" s="322"/>
      <c r="AF104" s="322"/>
      <c r="AG104" s="322"/>
      <c r="AH104" s="322"/>
      <c r="AI104" s="322"/>
      <c r="AJ104" s="322"/>
      <c r="AK104" s="322"/>
    </row>
    <row r="105" spans="1:37" ht="18" customHeight="1">
      <c r="A105" s="322"/>
      <c r="B105" s="322"/>
      <c r="C105" s="451"/>
      <c r="D105" s="322"/>
      <c r="E105" s="480"/>
      <c r="F105" s="322"/>
      <c r="G105" s="322"/>
      <c r="H105" s="322"/>
      <c r="I105" s="322"/>
      <c r="J105" s="322"/>
      <c r="K105" s="322"/>
      <c r="L105" s="322"/>
      <c r="M105" s="322"/>
      <c r="N105" s="322"/>
      <c r="O105" s="322"/>
      <c r="P105" s="322"/>
      <c r="Q105" s="322"/>
      <c r="R105" s="322"/>
      <c r="S105" s="322"/>
      <c r="T105" s="322"/>
      <c r="U105" s="322"/>
      <c r="V105" s="322"/>
      <c r="W105" s="322"/>
      <c r="X105" s="322"/>
      <c r="Y105" s="322"/>
      <c r="Z105" s="322"/>
      <c r="AA105" s="322"/>
      <c r="AB105" s="322"/>
      <c r="AC105" s="322"/>
      <c r="AD105" s="322"/>
      <c r="AE105" s="322"/>
      <c r="AF105" s="322"/>
      <c r="AG105" s="322"/>
      <c r="AH105" s="322"/>
      <c r="AI105" s="322"/>
      <c r="AJ105" s="322"/>
      <c r="AK105" s="322"/>
    </row>
    <row r="106" spans="1:37" ht="18" customHeight="1">
      <c r="A106" s="322"/>
      <c r="B106" s="322"/>
      <c r="C106" s="451"/>
      <c r="D106" s="322"/>
      <c r="E106" s="480"/>
      <c r="F106" s="322"/>
      <c r="G106" s="322"/>
      <c r="H106" s="322"/>
      <c r="I106" s="322"/>
      <c r="J106" s="322"/>
      <c r="K106" s="322"/>
      <c r="L106" s="322"/>
      <c r="M106" s="322"/>
      <c r="N106" s="322"/>
      <c r="O106" s="322"/>
      <c r="P106" s="322"/>
      <c r="Q106" s="322"/>
      <c r="R106" s="322"/>
      <c r="S106" s="322"/>
      <c r="T106" s="322"/>
      <c r="U106" s="322"/>
      <c r="V106" s="322"/>
      <c r="W106" s="322"/>
      <c r="X106" s="322"/>
      <c r="Y106" s="322"/>
      <c r="Z106" s="322"/>
      <c r="AA106" s="322"/>
      <c r="AB106" s="322"/>
      <c r="AC106" s="322"/>
      <c r="AD106" s="322"/>
      <c r="AE106" s="322"/>
      <c r="AF106" s="322"/>
      <c r="AG106" s="322"/>
      <c r="AH106" s="322"/>
      <c r="AI106" s="322"/>
      <c r="AJ106" s="322"/>
      <c r="AK106" s="322"/>
    </row>
    <row r="107" spans="1:37" ht="18" customHeight="1">
      <c r="A107" s="322"/>
      <c r="B107" s="322"/>
      <c r="C107" s="451"/>
      <c r="D107" s="322"/>
      <c r="E107" s="480"/>
      <c r="F107" s="322"/>
      <c r="G107" s="322"/>
      <c r="H107" s="322"/>
      <c r="I107" s="322"/>
      <c r="J107" s="322"/>
      <c r="K107" s="322"/>
      <c r="L107" s="322"/>
      <c r="M107" s="322"/>
      <c r="N107" s="322"/>
      <c r="O107" s="322"/>
      <c r="P107" s="322"/>
      <c r="Q107" s="322"/>
      <c r="R107" s="322"/>
      <c r="S107" s="322"/>
      <c r="T107" s="322"/>
      <c r="U107" s="322"/>
      <c r="V107" s="322"/>
      <c r="W107" s="322"/>
      <c r="X107" s="322"/>
      <c r="Y107" s="322"/>
      <c r="Z107" s="322"/>
      <c r="AA107" s="322"/>
      <c r="AB107" s="322"/>
      <c r="AC107" s="322"/>
      <c r="AD107" s="322"/>
      <c r="AE107" s="322"/>
      <c r="AF107" s="322"/>
      <c r="AG107" s="322"/>
      <c r="AH107" s="322"/>
      <c r="AI107" s="322"/>
      <c r="AJ107" s="322"/>
      <c r="AK107" s="322"/>
    </row>
    <row r="108" spans="1:37" ht="18" customHeight="1">
      <c r="A108" s="322"/>
      <c r="B108" s="322"/>
      <c r="C108" s="451"/>
      <c r="D108" s="322"/>
      <c r="E108" s="480"/>
      <c r="F108" s="322"/>
      <c r="G108" s="322"/>
      <c r="H108" s="322"/>
      <c r="I108" s="322"/>
      <c r="J108" s="322"/>
      <c r="K108" s="322"/>
      <c r="L108" s="322"/>
      <c r="M108" s="322"/>
      <c r="N108" s="322"/>
      <c r="O108" s="322"/>
      <c r="P108" s="322"/>
      <c r="Q108" s="322"/>
      <c r="R108" s="322"/>
      <c r="S108" s="322"/>
      <c r="T108" s="322"/>
      <c r="U108" s="322"/>
      <c r="V108" s="322"/>
      <c r="W108" s="322"/>
      <c r="X108" s="322"/>
      <c r="Y108" s="322"/>
      <c r="Z108" s="322"/>
      <c r="AA108" s="322"/>
      <c r="AB108" s="322"/>
      <c r="AC108" s="322"/>
      <c r="AD108" s="322"/>
      <c r="AE108" s="322"/>
      <c r="AF108" s="322"/>
      <c r="AG108" s="322"/>
      <c r="AH108" s="322"/>
      <c r="AI108" s="322"/>
      <c r="AJ108" s="322"/>
      <c r="AK108" s="322"/>
    </row>
    <row r="109" spans="1:37" ht="18" customHeight="1">
      <c r="A109" s="322"/>
      <c r="B109" s="322"/>
      <c r="C109" s="451"/>
      <c r="D109" s="322"/>
      <c r="E109" s="480"/>
      <c r="F109" s="322"/>
      <c r="G109" s="322"/>
      <c r="H109" s="322"/>
      <c r="I109" s="322"/>
      <c r="J109" s="322"/>
      <c r="K109" s="322"/>
      <c r="L109" s="322"/>
      <c r="M109" s="322"/>
      <c r="N109" s="322"/>
      <c r="O109" s="322"/>
      <c r="P109" s="322"/>
      <c r="Q109" s="322"/>
      <c r="R109" s="322"/>
      <c r="S109" s="322"/>
      <c r="T109" s="322"/>
      <c r="U109" s="322"/>
      <c r="V109" s="322"/>
      <c r="W109" s="322"/>
      <c r="X109" s="322"/>
      <c r="Y109" s="322"/>
      <c r="Z109" s="322"/>
      <c r="AA109" s="322"/>
      <c r="AB109" s="322"/>
      <c r="AC109" s="322"/>
      <c r="AD109" s="322"/>
      <c r="AE109" s="322"/>
      <c r="AF109" s="322"/>
      <c r="AG109" s="322"/>
      <c r="AH109" s="322"/>
      <c r="AI109" s="322"/>
      <c r="AJ109" s="322"/>
      <c r="AK109" s="322"/>
    </row>
    <row r="110" spans="1:37" ht="18" customHeight="1">
      <c r="A110" s="322"/>
      <c r="B110" s="322"/>
      <c r="C110" s="451"/>
      <c r="D110" s="322"/>
      <c r="E110" s="480"/>
      <c r="F110" s="322"/>
      <c r="G110" s="322"/>
      <c r="H110" s="322"/>
      <c r="I110" s="322"/>
      <c r="J110" s="322"/>
      <c r="K110" s="322"/>
      <c r="L110" s="322"/>
      <c r="M110" s="322"/>
      <c r="N110" s="322"/>
      <c r="O110" s="322"/>
      <c r="P110" s="322"/>
      <c r="Q110" s="322"/>
      <c r="R110" s="322"/>
      <c r="S110" s="322"/>
      <c r="T110" s="322"/>
      <c r="U110" s="322"/>
      <c r="V110" s="322"/>
      <c r="W110" s="322"/>
      <c r="X110" s="322"/>
      <c r="Y110" s="322"/>
      <c r="Z110" s="322"/>
      <c r="AA110" s="322"/>
      <c r="AB110" s="322"/>
      <c r="AC110" s="322"/>
      <c r="AD110" s="322"/>
      <c r="AE110" s="322"/>
      <c r="AF110" s="322"/>
      <c r="AG110" s="322"/>
      <c r="AH110" s="322"/>
      <c r="AI110" s="322"/>
      <c r="AJ110" s="322"/>
      <c r="AK110" s="322"/>
    </row>
    <row r="111" spans="1:37" ht="18" customHeight="1">
      <c r="A111" s="322"/>
      <c r="B111" s="322"/>
      <c r="C111" s="451"/>
      <c r="D111" s="322"/>
      <c r="E111" s="480"/>
      <c r="F111" s="322"/>
      <c r="G111" s="322"/>
      <c r="H111" s="322"/>
      <c r="I111" s="322"/>
      <c r="J111" s="322"/>
      <c r="K111" s="322"/>
      <c r="L111" s="322"/>
      <c r="M111" s="322"/>
      <c r="N111" s="322"/>
      <c r="O111" s="322"/>
      <c r="P111" s="322"/>
      <c r="Q111" s="322"/>
      <c r="R111" s="322"/>
      <c r="S111" s="322"/>
      <c r="T111" s="322"/>
      <c r="U111" s="322"/>
      <c r="V111" s="322"/>
      <c r="W111" s="322"/>
      <c r="X111" s="322"/>
      <c r="Y111" s="322"/>
      <c r="Z111" s="322"/>
      <c r="AA111" s="322"/>
      <c r="AB111" s="322"/>
      <c r="AC111" s="322"/>
      <c r="AD111" s="322"/>
      <c r="AE111" s="322"/>
      <c r="AF111" s="322"/>
      <c r="AG111" s="322"/>
      <c r="AH111" s="322"/>
      <c r="AI111" s="322"/>
      <c r="AJ111" s="322"/>
      <c r="AK111" s="322"/>
    </row>
    <row r="112" spans="1:37" ht="18" customHeight="1">
      <c r="A112" s="322"/>
      <c r="B112" s="322"/>
      <c r="C112" s="451"/>
      <c r="D112" s="322"/>
      <c r="E112" s="480"/>
      <c r="F112" s="322"/>
      <c r="G112" s="322"/>
      <c r="H112" s="322"/>
      <c r="I112" s="322"/>
      <c r="J112" s="322"/>
      <c r="K112" s="322"/>
      <c r="L112" s="322"/>
      <c r="M112" s="322"/>
      <c r="N112" s="322"/>
      <c r="O112" s="322"/>
      <c r="P112" s="322"/>
      <c r="Q112" s="322"/>
      <c r="R112" s="322"/>
      <c r="S112" s="322"/>
      <c r="T112" s="322"/>
      <c r="U112" s="322"/>
      <c r="V112" s="322"/>
      <c r="W112" s="322"/>
      <c r="X112" s="322"/>
      <c r="Y112" s="322"/>
      <c r="Z112" s="322"/>
      <c r="AA112" s="322"/>
      <c r="AB112" s="322"/>
      <c r="AC112" s="322"/>
      <c r="AD112" s="322"/>
      <c r="AE112" s="322"/>
      <c r="AF112" s="322"/>
      <c r="AG112" s="322"/>
      <c r="AH112" s="322"/>
      <c r="AI112" s="322"/>
      <c r="AJ112" s="322"/>
      <c r="AK112" s="322"/>
    </row>
    <row r="113" spans="1:37" ht="18" customHeight="1">
      <c r="A113" s="322"/>
      <c r="B113" s="322"/>
      <c r="C113" s="451"/>
      <c r="D113" s="322"/>
      <c r="E113" s="480"/>
      <c r="F113" s="322"/>
      <c r="G113" s="322"/>
      <c r="H113" s="322"/>
      <c r="I113" s="322"/>
      <c r="J113" s="322"/>
      <c r="K113" s="322"/>
      <c r="L113" s="322"/>
      <c r="M113" s="322"/>
      <c r="N113" s="322"/>
      <c r="O113" s="322"/>
      <c r="P113" s="322"/>
      <c r="Q113" s="322"/>
      <c r="R113" s="322"/>
      <c r="S113" s="322"/>
      <c r="T113" s="322"/>
      <c r="U113" s="322"/>
      <c r="V113" s="322"/>
      <c r="W113" s="322"/>
      <c r="X113" s="322"/>
      <c r="Y113" s="322"/>
      <c r="Z113" s="322"/>
      <c r="AA113" s="322"/>
      <c r="AB113" s="322"/>
      <c r="AC113" s="322"/>
      <c r="AD113" s="322"/>
      <c r="AE113" s="322"/>
      <c r="AF113" s="322"/>
      <c r="AG113" s="322"/>
      <c r="AH113" s="322"/>
      <c r="AI113" s="322"/>
      <c r="AJ113" s="322"/>
      <c r="AK113" s="322"/>
    </row>
    <row r="114" spans="1:37" ht="18" customHeight="1">
      <c r="A114" s="322"/>
      <c r="B114" s="322"/>
      <c r="C114" s="451"/>
      <c r="D114" s="322"/>
      <c r="E114" s="480"/>
      <c r="F114" s="322"/>
      <c r="G114" s="322"/>
      <c r="H114" s="322"/>
      <c r="I114" s="322"/>
      <c r="J114" s="322"/>
      <c r="K114" s="322"/>
      <c r="L114" s="322"/>
      <c r="M114" s="322"/>
      <c r="N114" s="322"/>
      <c r="O114" s="322"/>
      <c r="P114" s="322"/>
      <c r="Q114" s="322"/>
      <c r="R114" s="322"/>
      <c r="S114" s="322"/>
      <c r="T114" s="322"/>
      <c r="U114" s="322"/>
      <c r="V114" s="322"/>
      <c r="W114" s="322"/>
      <c r="X114" s="322"/>
      <c r="Y114" s="322"/>
      <c r="Z114" s="322"/>
      <c r="AA114" s="322"/>
      <c r="AB114" s="322"/>
      <c r="AC114" s="322"/>
      <c r="AD114" s="322"/>
      <c r="AE114" s="322"/>
      <c r="AF114" s="322"/>
      <c r="AG114" s="322"/>
      <c r="AH114" s="322"/>
      <c r="AI114" s="322"/>
      <c r="AJ114" s="322"/>
      <c r="AK114" s="322"/>
    </row>
    <row r="115" spans="1:37" ht="18" customHeight="1">
      <c r="A115" s="322"/>
      <c r="B115" s="322"/>
      <c r="C115" s="451"/>
      <c r="D115" s="322"/>
      <c r="E115" s="480"/>
      <c r="F115" s="322"/>
      <c r="G115" s="322"/>
      <c r="H115" s="322"/>
      <c r="I115" s="322"/>
      <c r="J115" s="322"/>
      <c r="K115" s="322"/>
      <c r="L115" s="322"/>
      <c r="M115" s="322"/>
      <c r="N115" s="322"/>
      <c r="O115" s="322"/>
      <c r="P115" s="322"/>
      <c r="Q115" s="322"/>
      <c r="R115" s="322"/>
      <c r="S115" s="322"/>
      <c r="T115" s="322"/>
      <c r="U115" s="322"/>
      <c r="V115" s="322"/>
      <c r="W115" s="322"/>
      <c r="X115" s="322"/>
      <c r="Y115" s="322"/>
      <c r="Z115" s="322"/>
      <c r="AA115" s="322"/>
      <c r="AB115" s="322"/>
      <c r="AC115" s="322"/>
      <c r="AD115" s="322"/>
      <c r="AE115" s="322"/>
      <c r="AF115" s="322"/>
      <c r="AG115" s="322"/>
      <c r="AH115" s="322"/>
      <c r="AI115" s="322"/>
      <c r="AJ115" s="322"/>
      <c r="AK115" s="322"/>
    </row>
    <row r="116" spans="1:37" ht="18" customHeight="1">
      <c r="A116" s="322"/>
      <c r="B116" s="322"/>
      <c r="C116" s="451"/>
      <c r="D116" s="322"/>
      <c r="E116" s="480"/>
      <c r="F116" s="322"/>
      <c r="G116" s="322"/>
      <c r="H116" s="322"/>
      <c r="I116" s="322"/>
      <c r="J116" s="322"/>
      <c r="K116" s="322"/>
      <c r="L116" s="322"/>
      <c r="M116" s="322"/>
      <c r="N116" s="322"/>
      <c r="O116" s="322"/>
      <c r="P116" s="322"/>
      <c r="Q116" s="322"/>
      <c r="R116" s="322"/>
      <c r="S116" s="322"/>
      <c r="T116" s="322"/>
      <c r="U116" s="322"/>
      <c r="V116" s="322"/>
      <c r="W116" s="322"/>
      <c r="X116" s="322"/>
      <c r="Y116" s="322"/>
      <c r="Z116" s="322"/>
      <c r="AA116" s="322"/>
      <c r="AB116" s="322"/>
      <c r="AC116" s="322"/>
      <c r="AD116" s="322"/>
      <c r="AE116" s="322"/>
      <c r="AF116" s="322"/>
      <c r="AG116" s="322"/>
      <c r="AH116" s="322"/>
      <c r="AI116" s="322"/>
      <c r="AJ116" s="322"/>
      <c r="AK116" s="322"/>
    </row>
    <row r="117" spans="1:37" ht="18" customHeight="1">
      <c r="A117" s="322"/>
      <c r="B117" s="322"/>
      <c r="C117" s="451"/>
      <c r="D117" s="322"/>
      <c r="E117" s="480"/>
      <c r="F117" s="322"/>
      <c r="G117" s="322"/>
      <c r="H117" s="322"/>
      <c r="I117" s="322"/>
      <c r="J117" s="322"/>
      <c r="K117" s="322"/>
      <c r="L117" s="322"/>
      <c r="M117" s="322"/>
      <c r="N117" s="322"/>
      <c r="O117" s="322"/>
      <c r="P117" s="322"/>
      <c r="Q117" s="322"/>
      <c r="R117" s="322"/>
      <c r="S117" s="322"/>
      <c r="T117" s="322"/>
      <c r="U117" s="322"/>
      <c r="V117" s="322"/>
      <c r="W117" s="322"/>
      <c r="X117" s="322"/>
      <c r="Y117" s="322"/>
      <c r="Z117" s="322"/>
      <c r="AA117" s="322"/>
      <c r="AB117" s="322"/>
      <c r="AC117" s="322"/>
      <c r="AD117" s="322"/>
      <c r="AE117" s="322"/>
      <c r="AF117" s="322"/>
      <c r="AG117" s="322"/>
      <c r="AH117" s="322"/>
      <c r="AI117" s="322"/>
      <c r="AJ117" s="322"/>
      <c r="AK117" s="322"/>
    </row>
    <row r="118" spans="1:37" ht="18" customHeight="1">
      <c r="A118" s="322"/>
      <c r="B118" s="322"/>
      <c r="C118" s="451"/>
      <c r="D118" s="322"/>
      <c r="E118" s="480"/>
      <c r="F118" s="322"/>
      <c r="G118" s="322"/>
      <c r="H118" s="322"/>
      <c r="I118" s="322"/>
      <c r="J118" s="322"/>
      <c r="K118" s="322"/>
      <c r="L118" s="322"/>
      <c r="M118" s="322"/>
      <c r="N118" s="322"/>
      <c r="O118" s="322"/>
      <c r="P118" s="322"/>
      <c r="Q118" s="322"/>
      <c r="R118" s="322"/>
      <c r="S118" s="322"/>
      <c r="T118" s="322"/>
      <c r="U118" s="322"/>
      <c r="V118" s="322"/>
      <c r="W118" s="322"/>
      <c r="X118" s="322"/>
      <c r="Y118" s="322"/>
      <c r="Z118" s="322"/>
      <c r="AA118" s="322"/>
      <c r="AB118" s="322"/>
      <c r="AC118" s="322"/>
      <c r="AD118" s="322"/>
      <c r="AE118" s="322"/>
      <c r="AF118" s="322"/>
      <c r="AG118" s="322"/>
      <c r="AH118" s="322"/>
      <c r="AI118" s="322"/>
      <c r="AJ118" s="322"/>
      <c r="AK118" s="322"/>
    </row>
    <row r="119" spans="1:37" ht="18" customHeight="1">
      <c r="A119" s="322"/>
      <c r="B119" s="322"/>
      <c r="C119" s="451"/>
      <c r="D119" s="322"/>
      <c r="E119" s="480"/>
      <c r="F119" s="322"/>
      <c r="G119" s="322"/>
      <c r="H119" s="322"/>
      <c r="I119" s="322"/>
      <c r="J119" s="322"/>
      <c r="K119" s="322"/>
      <c r="L119" s="322"/>
      <c r="M119" s="322"/>
      <c r="N119" s="322"/>
      <c r="O119" s="322"/>
      <c r="P119" s="322"/>
      <c r="Q119" s="322"/>
      <c r="R119" s="322"/>
      <c r="S119" s="322"/>
      <c r="T119" s="322"/>
      <c r="U119" s="322"/>
      <c r="V119" s="322"/>
      <c r="W119" s="322"/>
      <c r="X119" s="322"/>
      <c r="Y119" s="322"/>
      <c r="Z119" s="322"/>
      <c r="AA119" s="322"/>
      <c r="AB119" s="322"/>
      <c r="AC119" s="322"/>
      <c r="AD119" s="322"/>
      <c r="AE119" s="322"/>
      <c r="AF119" s="322"/>
      <c r="AG119" s="322"/>
      <c r="AH119" s="322"/>
      <c r="AI119" s="322"/>
      <c r="AJ119" s="322"/>
      <c r="AK119" s="322"/>
    </row>
    <row r="120" spans="1:37" ht="18" customHeight="1">
      <c r="A120" s="322"/>
      <c r="B120" s="322"/>
      <c r="C120" s="451"/>
      <c r="D120" s="322"/>
      <c r="E120" s="480"/>
      <c r="F120" s="322"/>
      <c r="G120" s="322"/>
      <c r="H120" s="322"/>
      <c r="I120" s="322"/>
      <c r="J120" s="322"/>
      <c r="K120" s="322"/>
      <c r="L120" s="322"/>
      <c r="M120" s="322"/>
      <c r="N120" s="322"/>
      <c r="O120" s="322"/>
      <c r="P120" s="322"/>
      <c r="Q120" s="322"/>
      <c r="R120" s="322"/>
      <c r="S120" s="322"/>
      <c r="T120" s="322"/>
      <c r="U120" s="322"/>
      <c r="V120" s="322"/>
      <c r="W120" s="322"/>
      <c r="X120" s="322"/>
      <c r="Y120" s="322"/>
      <c r="Z120" s="322"/>
      <c r="AA120" s="322"/>
      <c r="AB120" s="322"/>
      <c r="AC120" s="322"/>
      <c r="AD120" s="322"/>
      <c r="AE120" s="322"/>
      <c r="AF120" s="322"/>
      <c r="AG120" s="322"/>
      <c r="AH120" s="322"/>
      <c r="AI120" s="322"/>
      <c r="AJ120" s="322"/>
      <c r="AK120" s="322"/>
    </row>
    <row r="121" spans="1:37" ht="18" customHeight="1">
      <c r="A121" s="322"/>
      <c r="B121" s="322"/>
      <c r="C121" s="451"/>
      <c r="D121" s="322"/>
      <c r="E121" s="480"/>
      <c r="F121" s="322"/>
      <c r="G121" s="322"/>
      <c r="H121" s="322"/>
      <c r="I121" s="322"/>
      <c r="J121" s="322"/>
      <c r="K121" s="322"/>
      <c r="L121" s="322"/>
      <c r="M121" s="322"/>
      <c r="N121" s="322"/>
      <c r="O121" s="322"/>
      <c r="P121" s="322"/>
      <c r="Q121" s="322"/>
      <c r="R121" s="322"/>
      <c r="S121" s="322"/>
      <c r="T121" s="322"/>
      <c r="U121" s="322"/>
      <c r="V121" s="322"/>
      <c r="W121" s="322"/>
      <c r="X121" s="322"/>
      <c r="Y121" s="322"/>
      <c r="Z121" s="322"/>
      <c r="AA121" s="322"/>
      <c r="AB121" s="322"/>
      <c r="AC121" s="322"/>
      <c r="AD121" s="322"/>
      <c r="AE121" s="322"/>
      <c r="AF121" s="322"/>
      <c r="AG121" s="322"/>
      <c r="AH121" s="322"/>
      <c r="AI121" s="322"/>
      <c r="AJ121" s="322"/>
      <c r="AK121" s="322"/>
    </row>
    <row r="122" spans="1:37" ht="18" customHeight="1">
      <c r="A122" s="322"/>
      <c r="B122" s="322"/>
      <c r="C122" s="451"/>
      <c r="D122" s="322"/>
      <c r="E122" s="480"/>
      <c r="F122" s="322"/>
      <c r="G122" s="322"/>
      <c r="H122" s="322"/>
      <c r="I122" s="322"/>
      <c r="J122" s="322"/>
      <c r="K122" s="322"/>
      <c r="L122" s="322"/>
      <c r="M122" s="322"/>
      <c r="N122" s="322"/>
      <c r="O122" s="322"/>
      <c r="P122" s="322"/>
      <c r="Q122" s="322"/>
      <c r="R122" s="322"/>
      <c r="S122" s="322"/>
      <c r="T122" s="322"/>
      <c r="U122" s="322"/>
      <c r="V122" s="322"/>
      <c r="W122" s="322"/>
      <c r="X122" s="322"/>
      <c r="Y122" s="322"/>
      <c r="Z122" s="322"/>
      <c r="AA122" s="322"/>
      <c r="AB122" s="322"/>
      <c r="AC122" s="322"/>
      <c r="AD122" s="322"/>
      <c r="AE122" s="322"/>
      <c r="AF122" s="322"/>
      <c r="AG122" s="322"/>
      <c r="AH122" s="322"/>
      <c r="AI122" s="322"/>
      <c r="AJ122" s="322"/>
      <c r="AK122" s="322"/>
    </row>
    <row r="123" spans="1:37" ht="18" customHeight="1">
      <c r="A123" s="322"/>
      <c r="B123" s="322"/>
      <c r="C123" s="451"/>
      <c r="D123" s="322"/>
      <c r="E123" s="322"/>
      <c r="F123" s="322"/>
      <c r="G123" s="322"/>
      <c r="H123" s="322"/>
      <c r="I123" s="322"/>
      <c r="J123" s="322"/>
      <c r="K123" s="322"/>
      <c r="L123" s="322"/>
      <c r="M123" s="322"/>
      <c r="N123" s="322"/>
      <c r="O123" s="322"/>
      <c r="P123" s="322"/>
      <c r="Q123" s="322"/>
      <c r="R123" s="322"/>
      <c r="S123" s="322"/>
      <c r="T123" s="322"/>
      <c r="U123" s="322"/>
      <c r="V123" s="322"/>
      <c r="W123" s="322"/>
      <c r="X123" s="322"/>
      <c r="Y123" s="322"/>
      <c r="Z123" s="322"/>
      <c r="AA123" s="322"/>
      <c r="AB123" s="322"/>
      <c r="AC123" s="322"/>
      <c r="AD123" s="322"/>
      <c r="AE123" s="322"/>
      <c r="AF123" s="322"/>
      <c r="AG123" s="322"/>
      <c r="AH123" s="322"/>
      <c r="AI123" s="322"/>
      <c r="AJ123" s="322"/>
      <c r="AK123" s="322"/>
    </row>
    <row r="124" spans="1:37" ht="18" customHeight="1">
      <c r="A124" s="322"/>
      <c r="B124" s="322"/>
      <c r="C124" s="451"/>
      <c r="D124" s="322"/>
      <c r="E124" s="322"/>
      <c r="F124" s="322"/>
      <c r="G124" s="322"/>
      <c r="H124" s="322"/>
      <c r="I124" s="322"/>
      <c r="J124" s="322"/>
      <c r="K124" s="322"/>
      <c r="L124" s="322"/>
      <c r="M124" s="322"/>
      <c r="N124" s="322"/>
      <c r="O124" s="322"/>
      <c r="P124" s="322"/>
      <c r="Q124" s="322"/>
      <c r="R124" s="322"/>
      <c r="S124" s="322"/>
      <c r="T124" s="322"/>
      <c r="U124" s="322"/>
      <c r="V124" s="322"/>
      <c r="W124" s="322"/>
      <c r="X124" s="322"/>
      <c r="Y124" s="322"/>
      <c r="Z124" s="322"/>
      <c r="AA124" s="322"/>
      <c r="AB124" s="322"/>
      <c r="AC124" s="322"/>
      <c r="AD124" s="322"/>
      <c r="AE124" s="322"/>
      <c r="AF124" s="322"/>
      <c r="AG124" s="322"/>
      <c r="AH124" s="322"/>
      <c r="AI124" s="322"/>
      <c r="AJ124" s="322"/>
      <c r="AK124" s="322"/>
    </row>
    <row r="125" spans="1:37" ht="18" customHeight="1">
      <c r="A125" s="322"/>
      <c r="B125" s="322"/>
      <c r="C125" s="451"/>
      <c r="D125" s="322"/>
      <c r="E125" s="322"/>
      <c r="F125" s="322"/>
      <c r="G125" s="322"/>
      <c r="H125" s="322"/>
      <c r="I125" s="322"/>
      <c r="J125" s="322"/>
      <c r="K125" s="322"/>
      <c r="L125" s="322"/>
      <c r="M125" s="322"/>
      <c r="N125" s="322"/>
      <c r="O125" s="322"/>
      <c r="P125" s="322"/>
      <c r="Q125" s="322"/>
      <c r="R125" s="322"/>
      <c r="S125" s="322"/>
      <c r="T125" s="322"/>
      <c r="U125" s="322"/>
      <c r="V125" s="322"/>
      <c r="W125" s="322"/>
      <c r="X125" s="322"/>
      <c r="Y125" s="322"/>
      <c r="Z125" s="322"/>
      <c r="AA125" s="322"/>
      <c r="AB125" s="322"/>
      <c r="AC125" s="322"/>
      <c r="AD125" s="322"/>
      <c r="AE125" s="322"/>
      <c r="AF125" s="322"/>
      <c r="AG125" s="322"/>
      <c r="AH125" s="322"/>
      <c r="AI125" s="322"/>
      <c r="AJ125" s="322"/>
      <c r="AK125" s="322"/>
    </row>
    <row r="126" spans="1:37" ht="18" customHeight="1">
      <c r="A126" s="322"/>
      <c r="B126" s="322"/>
      <c r="C126" s="451"/>
      <c r="D126" s="322"/>
      <c r="E126" s="322"/>
      <c r="F126" s="322"/>
      <c r="G126" s="322"/>
      <c r="H126" s="322"/>
      <c r="I126" s="322"/>
      <c r="J126" s="322"/>
      <c r="K126" s="322"/>
      <c r="L126" s="322"/>
      <c r="M126" s="322"/>
      <c r="N126" s="322"/>
      <c r="O126" s="322"/>
      <c r="P126" s="322"/>
      <c r="Q126" s="322"/>
      <c r="R126" s="322"/>
      <c r="S126" s="322"/>
      <c r="T126" s="322"/>
      <c r="U126" s="322"/>
      <c r="V126" s="322"/>
      <c r="W126" s="322"/>
      <c r="X126" s="322"/>
      <c r="Y126" s="322"/>
      <c r="Z126" s="322"/>
      <c r="AA126" s="322"/>
      <c r="AB126" s="322"/>
      <c r="AC126" s="322"/>
      <c r="AD126" s="322"/>
      <c r="AE126" s="322"/>
      <c r="AF126" s="322"/>
      <c r="AG126" s="322"/>
      <c r="AH126" s="322"/>
      <c r="AI126" s="322"/>
      <c r="AJ126" s="322"/>
      <c r="AK126" s="322"/>
    </row>
    <row r="127" spans="1:37" ht="18" customHeight="1">
      <c r="A127" s="322"/>
      <c r="B127" s="322"/>
      <c r="C127" s="451"/>
      <c r="D127" s="322"/>
      <c r="E127" s="322"/>
      <c r="F127" s="322"/>
      <c r="G127" s="322"/>
      <c r="H127" s="322"/>
      <c r="I127" s="322"/>
      <c r="J127" s="322"/>
      <c r="K127" s="322"/>
      <c r="L127" s="322"/>
      <c r="M127" s="322"/>
      <c r="N127" s="322"/>
      <c r="O127" s="322"/>
      <c r="P127" s="322"/>
      <c r="Q127" s="322"/>
      <c r="R127" s="322"/>
      <c r="S127" s="322"/>
      <c r="T127" s="322"/>
      <c r="U127" s="322"/>
      <c r="V127" s="322"/>
      <c r="W127" s="322"/>
      <c r="X127" s="322"/>
      <c r="Y127" s="322"/>
      <c r="Z127" s="322"/>
      <c r="AA127" s="322"/>
      <c r="AB127" s="322"/>
      <c r="AC127" s="322"/>
      <c r="AD127" s="322"/>
      <c r="AE127" s="322"/>
      <c r="AF127" s="322"/>
      <c r="AG127" s="322"/>
      <c r="AH127" s="322"/>
      <c r="AI127" s="322"/>
      <c r="AJ127" s="322"/>
      <c r="AK127" s="322"/>
    </row>
    <row r="128" spans="1:37" ht="18" customHeight="1">
      <c r="A128" s="322"/>
      <c r="B128" s="322"/>
      <c r="C128" s="451"/>
      <c r="D128" s="322"/>
      <c r="E128" s="322"/>
      <c r="F128" s="322"/>
      <c r="G128" s="322"/>
      <c r="H128" s="322"/>
      <c r="I128" s="322"/>
      <c r="J128" s="322"/>
      <c r="K128" s="322"/>
      <c r="L128" s="322"/>
      <c r="M128" s="322"/>
      <c r="N128" s="322"/>
      <c r="O128" s="322"/>
      <c r="P128" s="322"/>
      <c r="Q128" s="322"/>
      <c r="R128" s="322"/>
      <c r="S128" s="322"/>
      <c r="T128" s="322"/>
      <c r="U128" s="322"/>
      <c r="V128" s="322"/>
      <c r="W128" s="322"/>
      <c r="X128" s="322"/>
      <c r="Y128" s="322"/>
      <c r="Z128" s="322"/>
      <c r="AA128" s="322"/>
      <c r="AB128" s="322"/>
      <c r="AC128" s="322"/>
      <c r="AD128" s="322"/>
      <c r="AE128" s="322"/>
      <c r="AF128" s="322"/>
      <c r="AG128" s="322"/>
      <c r="AH128" s="322"/>
      <c r="AI128" s="322"/>
      <c r="AJ128" s="322"/>
      <c r="AK128" s="322"/>
    </row>
    <row r="129" spans="1:37" ht="18" customHeight="1">
      <c r="A129" s="322"/>
      <c r="B129" s="322"/>
      <c r="C129" s="451"/>
      <c r="D129" s="322"/>
      <c r="E129" s="322"/>
      <c r="F129" s="322"/>
      <c r="G129" s="322"/>
      <c r="H129" s="322"/>
      <c r="I129" s="322"/>
      <c r="J129" s="322"/>
      <c r="K129" s="322"/>
      <c r="L129" s="322"/>
      <c r="M129" s="322"/>
      <c r="N129" s="322"/>
      <c r="O129" s="322"/>
      <c r="P129" s="322"/>
      <c r="Q129" s="322"/>
      <c r="R129" s="322"/>
      <c r="S129" s="322"/>
      <c r="T129" s="322"/>
      <c r="U129" s="322"/>
      <c r="V129" s="322"/>
      <c r="W129" s="322"/>
      <c r="X129" s="322"/>
      <c r="Y129" s="322"/>
      <c r="Z129" s="322"/>
      <c r="AA129" s="322"/>
      <c r="AB129" s="322"/>
      <c r="AC129" s="322"/>
      <c r="AD129" s="322"/>
      <c r="AE129" s="322"/>
      <c r="AF129" s="322"/>
      <c r="AG129" s="322"/>
      <c r="AH129" s="322"/>
      <c r="AI129" s="322"/>
      <c r="AJ129" s="322"/>
      <c r="AK129" s="322"/>
    </row>
    <row r="130" spans="1:37" ht="18" customHeight="1">
      <c r="A130" s="322"/>
      <c r="B130" s="322"/>
      <c r="C130" s="451"/>
      <c r="D130" s="322"/>
      <c r="E130" s="322"/>
      <c r="F130" s="322"/>
      <c r="G130" s="322"/>
      <c r="H130" s="322"/>
      <c r="I130" s="322"/>
      <c r="J130" s="322"/>
      <c r="K130" s="322"/>
      <c r="L130" s="322"/>
      <c r="M130" s="322"/>
      <c r="N130" s="322"/>
      <c r="O130" s="322"/>
      <c r="P130" s="322"/>
      <c r="Q130" s="322"/>
      <c r="R130" s="322"/>
      <c r="S130" s="322"/>
      <c r="T130" s="322"/>
      <c r="U130" s="322"/>
      <c r="V130" s="322"/>
      <c r="W130" s="322"/>
      <c r="X130" s="322"/>
      <c r="Y130" s="322"/>
      <c r="Z130" s="322"/>
      <c r="AA130" s="322"/>
      <c r="AB130" s="322"/>
      <c r="AC130" s="322"/>
      <c r="AD130" s="322"/>
      <c r="AE130" s="322"/>
      <c r="AF130" s="322"/>
      <c r="AG130" s="322"/>
      <c r="AH130" s="322"/>
      <c r="AI130" s="322"/>
      <c r="AJ130" s="322"/>
      <c r="AK130" s="322"/>
    </row>
    <row r="131" spans="1:37" ht="18" customHeight="1">
      <c r="A131" s="322"/>
      <c r="B131" s="322"/>
      <c r="C131" s="451"/>
      <c r="D131" s="322"/>
      <c r="E131" s="322"/>
      <c r="F131" s="322"/>
      <c r="G131" s="322"/>
      <c r="H131" s="322"/>
      <c r="I131" s="322"/>
      <c r="J131" s="322"/>
      <c r="K131" s="322"/>
      <c r="L131" s="322"/>
      <c r="M131" s="322"/>
      <c r="N131" s="322"/>
      <c r="O131" s="322"/>
      <c r="P131" s="322"/>
      <c r="Q131" s="322"/>
      <c r="R131" s="322"/>
      <c r="S131" s="322"/>
      <c r="T131" s="322"/>
      <c r="U131" s="322"/>
      <c r="V131" s="322"/>
      <c r="W131" s="322"/>
      <c r="X131" s="322"/>
      <c r="Y131" s="322"/>
      <c r="Z131" s="322"/>
      <c r="AA131" s="322"/>
      <c r="AB131" s="322"/>
      <c r="AC131" s="322"/>
      <c r="AD131" s="322"/>
      <c r="AE131" s="322"/>
      <c r="AF131" s="322"/>
      <c r="AG131" s="322"/>
      <c r="AH131" s="322"/>
      <c r="AI131" s="322"/>
      <c r="AJ131" s="322"/>
      <c r="AK131" s="322"/>
    </row>
    <row r="132" spans="1:37" ht="18" customHeight="1">
      <c r="A132" s="322"/>
      <c r="B132" s="322"/>
      <c r="C132" s="451"/>
      <c r="D132" s="322"/>
      <c r="E132" s="322"/>
      <c r="F132" s="322"/>
      <c r="G132" s="322"/>
      <c r="H132" s="322"/>
      <c r="I132" s="322"/>
      <c r="J132" s="322"/>
      <c r="K132" s="322"/>
      <c r="L132" s="322"/>
      <c r="M132" s="322"/>
      <c r="N132" s="322"/>
      <c r="O132" s="322"/>
      <c r="P132" s="322"/>
      <c r="Q132" s="322"/>
      <c r="R132" s="322"/>
      <c r="S132" s="322"/>
      <c r="T132" s="322"/>
      <c r="U132" s="322"/>
      <c r="V132" s="322"/>
      <c r="W132" s="322"/>
      <c r="X132" s="322"/>
      <c r="Y132" s="322"/>
      <c r="Z132" s="322"/>
      <c r="AA132" s="322"/>
      <c r="AB132" s="322"/>
      <c r="AC132" s="322"/>
      <c r="AD132" s="322"/>
      <c r="AE132" s="322"/>
      <c r="AF132" s="322"/>
      <c r="AG132" s="322"/>
      <c r="AH132" s="322"/>
      <c r="AI132" s="322"/>
      <c r="AJ132" s="322"/>
      <c r="AK132" s="322"/>
    </row>
    <row r="133" spans="1:37" ht="18" customHeight="1">
      <c r="A133" s="322"/>
      <c r="B133" s="322"/>
      <c r="C133" s="451"/>
      <c r="D133" s="322"/>
      <c r="E133" s="322"/>
      <c r="F133" s="322"/>
      <c r="G133" s="322"/>
      <c r="H133" s="322"/>
      <c r="I133" s="322"/>
      <c r="J133" s="322"/>
      <c r="K133" s="322"/>
      <c r="L133" s="322"/>
      <c r="M133" s="322"/>
      <c r="N133" s="322"/>
      <c r="O133" s="322"/>
      <c r="P133" s="322"/>
      <c r="Q133" s="322"/>
      <c r="R133" s="322"/>
      <c r="S133" s="322"/>
      <c r="T133" s="322"/>
      <c r="U133" s="322"/>
      <c r="V133" s="322"/>
      <c r="W133" s="322"/>
      <c r="X133" s="322"/>
      <c r="Y133" s="322"/>
      <c r="Z133" s="322"/>
      <c r="AA133" s="322"/>
      <c r="AB133" s="322"/>
      <c r="AC133" s="322"/>
      <c r="AD133" s="322"/>
      <c r="AE133" s="322"/>
      <c r="AF133" s="322"/>
      <c r="AG133" s="322"/>
      <c r="AH133" s="322"/>
      <c r="AI133" s="322"/>
      <c r="AJ133" s="322"/>
      <c r="AK133" s="322"/>
    </row>
    <row r="134" spans="1:37" ht="18" customHeight="1">
      <c r="A134" s="322"/>
      <c r="B134" s="322"/>
      <c r="C134" s="451"/>
      <c r="D134" s="322"/>
      <c r="E134" s="322"/>
      <c r="F134" s="322"/>
      <c r="G134" s="322"/>
      <c r="H134" s="322"/>
      <c r="I134" s="322"/>
      <c r="J134" s="322"/>
      <c r="K134" s="322"/>
      <c r="L134" s="322"/>
      <c r="M134" s="322"/>
      <c r="N134" s="322"/>
      <c r="O134" s="322"/>
      <c r="P134" s="322"/>
      <c r="Q134" s="322"/>
      <c r="R134" s="322"/>
      <c r="S134" s="322"/>
      <c r="T134" s="322"/>
      <c r="U134" s="322"/>
      <c r="V134" s="322"/>
      <c r="W134" s="322"/>
      <c r="X134" s="322"/>
      <c r="Y134" s="322"/>
      <c r="Z134" s="322"/>
      <c r="AA134" s="322"/>
      <c r="AB134" s="322"/>
      <c r="AC134" s="322"/>
      <c r="AD134" s="322"/>
      <c r="AE134" s="322"/>
      <c r="AF134" s="322"/>
      <c r="AG134" s="322"/>
      <c r="AH134" s="322"/>
      <c r="AI134" s="322"/>
      <c r="AJ134" s="322"/>
      <c r="AK134" s="322"/>
    </row>
    <row r="135" spans="1:37" ht="18" customHeight="1">
      <c r="A135" s="322"/>
      <c r="B135" s="322"/>
      <c r="C135" s="451"/>
      <c r="D135" s="322"/>
      <c r="E135" s="322"/>
      <c r="F135" s="322"/>
      <c r="G135" s="322"/>
      <c r="H135" s="322"/>
      <c r="I135" s="322"/>
      <c r="J135" s="322"/>
      <c r="K135" s="322"/>
      <c r="L135" s="322"/>
      <c r="M135" s="322"/>
      <c r="N135" s="322"/>
      <c r="O135" s="322"/>
      <c r="P135" s="322"/>
      <c r="Q135" s="322"/>
      <c r="R135" s="322"/>
      <c r="S135" s="322"/>
      <c r="T135" s="322"/>
      <c r="U135" s="322"/>
      <c r="V135" s="322"/>
      <c r="W135" s="322"/>
      <c r="X135" s="322"/>
      <c r="Y135" s="322"/>
      <c r="Z135" s="322"/>
      <c r="AA135" s="322"/>
      <c r="AB135" s="322"/>
      <c r="AC135" s="322"/>
      <c r="AD135" s="322"/>
      <c r="AE135" s="322"/>
      <c r="AF135" s="322"/>
      <c r="AG135" s="322"/>
      <c r="AH135" s="322"/>
      <c r="AI135" s="322"/>
      <c r="AJ135" s="322"/>
      <c r="AK135" s="322"/>
    </row>
    <row r="136" spans="1:37" ht="18" customHeight="1">
      <c r="A136" s="322"/>
      <c r="B136" s="322"/>
      <c r="C136" s="451"/>
      <c r="D136" s="322"/>
      <c r="E136" s="322"/>
      <c r="F136" s="322"/>
      <c r="G136" s="322"/>
      <c r="H136" s="322"/>
      <c r="I136" s="322"/>
      <c r="J136" s="322"/>
      <c r="K136" s="322"/>
      <c r="L136" s="322"/>
      <c r="M136" s="322"/>
      <c r="N136" s="322"/>
      <c r="O136" s="322"/>
      <c r="P136" s="322"/>
      <c r="Q136" s="322"/>
      <c r="R136" s="322"/>
      <c r="S136" s="322"/>
      <c r="T136" s="322"/>
      <c r="U136" s="322"/>
      <c r="V136" s="322"/>
      <c r="W136" s="322"/>
      <c r="X136" s="322"/>
      <c r="Y136" s="322"/>
      <c r="Z136" s="322"/>
      <c r="AA136" s="322"/>
      <c r="AB136" s="322"/>
      <c r="AC136" s="322"/>
      <c r="AD136" s="322"/>
      <c r="AE136" s="322"/>
      <c r="AF136" s="322"/>
      <c r="AG136" s="322"/>
      <c r="AH136" s="322"/>
      <c r="AI136" s="322"/>
      <c r="AJ136" s="322"/>
      <c r="AK136" s="322"/>
    </row>
    <row r="137" spans="1:37" ht="18" customHeight="1">
      <c r="A137" s="322"/>
      <c r="B137" s="322"/>
      <c r="C137" s="451"/>
      <c r="D137" s="322"/>
      <c r="E137" s="322"/>
      <c r="F137" s="322"/>
      <c r="G137" s="322"/>
      <c r="H137" s="322"/>
      <c r="I137" s="322"/>
      <c r="J137" s="322"/>
      <c r="K137" s="322"/>
      <c r="L137" s="322"/>
      <c r="M137" s="322"/>
      <c r="N137" s="322"/>
      <c r="O137" s="322"/>
      <c r="P137" s="322"/>
      <c r="Q137" s="322"/>
      <c r="R137" s="322"/>
      <c r="S137" s="322"/>
      <c r="T137" s="322"/>
      <c r="U137" s="322"/>
      <c r="V137" s="322"/>
      <c r="W137" s="322"/>
      <c r="X137" s="322"/>
      <c r="Y137" s="322"/>
      <c r="Z137" s="322"/>
      <c r="AA137" s="322"/>
      <c r="AB137" s="322"/>
      <c r="AC137" s="322"/>
      <c r="AD137" s="322"/>
      <c r="AE137" s="322"/>
      <c r="AF137" s="322"/>
      <c r="AG137" s="322"/>
      <c r="AH137" s="322"/>
      <c r="AI137" s="322"/>
      <c r="AJ137" s="322"/>
      <c r="AK137" s="322"/>
    </row>
    <row r="138" spans="1:37" ht="18" customHeight="1">
      <c r="A138" s="322"/>
      <c r="B138" s="322"/>
      <c r="C138" s="451"/>
      <c r="D138" s="322"/>
      <c r="E138" s="322"/>
      <c r="F138" s="322"/>
      <c r="G138" s="322"/>
      <c r="H138" s="322"/>
      <c r="I138" s="322"/>
      <c r="J138" s="322"/>
      <c r="K138" s="322"/>
      <c r="L138" s="322"/>
      <c r="M138" s="322"/>
      <c r="N138" s="322"/>
      <c r="O138" s="322"/>
      <c r="P138" s="322"/>
      <c r="Q138" s="322"/>
      <c r="R138" s="322"/>
      <c r="S138" s="322"/>
      <c r="T138" s="322"/>
      <c r="U138" s="322"/>
      <c r="V138" s="322"/>
      <c r="W138" s="322"/>
      <c r="X138" s="322"/>
      <c r="Y138" s="322"/>
      <c r="Z138" s="322"/>
      <c r="AA138" s="322"/>
      <c r="AB138" s="322"/>
      <c r="AC138" s="322"/>
      <c r="AD138" s="322"/>
      <c r="AE138" s="322"/>
      <c r="AF138" s="322"/>
      <c r="AG138" s="322"/>
      <c r="AH138" s="322"/>
      <c r="AI138" s="322"/>
      <c r="AJ138" s="322"/>
      <c r="AK138" s="322"/>
    </row>
    <row r="139" spans="1:37" ht="18" customHeight="1">
      <c r="A139" s="322"/>
      <c r="B139" s="322"/>
      <c r="C139" s="451"/>
      <c r="D139" s="322"/>
      <c r="E139" s="322"/>
      <c r="F139" s="322"/>
      <c r="G139" s="322"/>
      <c r="H139" s="322"/>
      <c r="I139" s="322"/>
      <c r="J139" s="322"/>
      <c r="K139" s="322"/>
      <c r="L139" s="322"/>
      <c r="M139" s="322"/>
      <c r="N139" s="322"/>
      <c r="O139" s="322"/>
      <c r="P139" s="322"/>
      <c r="Q139" s="322"/>
      <c r="R139" s="322"/>
      <c r="S139" s="322"/>
      <c r="T139" s="322"/>
      <c r="U139" s="322"/>
      <c r="V139" s="322"/>
      <c r="W139" s="322"/>
      <c r="X139" s="322"/>
      <c r="Y139" s="322"/>
      <c r="Z139" s="322"/>
      <c r="AA139" s="322"/>
      <c r="AB139" s="322"/>
      <c r="AC139" s="322"/>
      <c r="AD139" s="322"/>
      <c r="AE139" s="322"/>
      <c r="AF139" s="322"/>
      <c r="AG139" s="322"/>
      <c r="AH139" s="322"/>
      <c r="AI139" s="322"/>
      <c r="AJ139" s="322"/>
      <c r="AK139" s="322"/>
    </row>
    <row r="140" spans="1:37" ht="18" customHeight="1">
      <c r="A140" s="322"/>
      <c r="B140" s="322"/>
      <c r="C140" s="451"/>
      <c r="D140" s="322"/>
      <c r="E140" s="322"/>
      <c r="F140" s="322"/>
      <c r="G140" s="322"/>
      <c r="H140" s="322"/>
      <c r="I140" s="322"/>
      <c r="J140" s="322"/>
      <c r="K140" s="322"/>
      <c r="L140" s="322"/>
      <c r="M140" s="322"/>
      <c r="N140" s="322"/>
      <c r="O140" s="322"/>
      <c r="P140" s="322"/>
      <c r="Q140" s="322"/>
      <c r="R140" s="322"/>
      <c r="S140" s="322"/>
      <c r="T140" s="322"/>
      <c r="U140" s="322"/>
      <c r="V140" s="322"/>
      <c r="W140" s="322"/>
      <c r="X140" s="322"/>
      <c r="Y140" s="322"/>
      <c r="Z140" s="322"/>
      <c r="AA140" s="322"/>
      <c r="AB140" s="322"/>
      <c r="AC140" s="322"/>
      <c r="AD140" s="322"/>
      <c r="AE140" s="322"/>
      <c r="AF140" s="322"/>
      <c r="AG140" s="322"/>
      <c r="AH140" s="322"/>
      <c r="AI140" s="322"/>
      <c r="AJ140" s="322"/>
      <c r="AK140" s="322"/>
    </row>
    <row r="141" spans="1:37" ht="18" customHeight="1">
      <c r="A141" s="322"/>
      <c r="B141" s="322"/>
      <c r="C141" s="451"/>
      <c r="D141" s="322"/>
      <c r="E141" s="322"/>
      <c r="F141" s="322"/>
      <c r="G141" s="322"/>
      <c r="H141" s="322"/>
      <c r="I141" s="322"/>
      <c r="J141" s="322"/>
      <c r="K141" s="322"/>
      <c r="L141" s="322"/>
      <c r="M141" s="322"/>
      <c r="N141" s="322"/>
      <c r="O141" s="322"/>
      <c r="P141" s="322"/>
      <c r="Q141" s="322"/>
      <c r="R141" s="322"/>
      <c r="S141" s="322"/>
      <c r="T141" s="322"/>
      <c r="U141" s="322"/>
      <c r="V141" s="322"/>
      <c r="W141" s="322"/>
      <c r="X141" s="322"/>
      <c r="Y141" s="322"/>
      <c r="Z141" s="322"/>
      <c r="AA141" s="322"/>
      <c r="AB141" s="322"/>
      <c r="AC141" s="322"/>
      <c r="AD141" s="322"/>
      <c r="AE141" s="322"/>
      <c r="AF141" s="322"/>
      <c r="AG141" s="322"/>
      <c r="AH141" s="322"/>
      <c r="AI141" s="322"/>
      <c r="AJ141" s="322"/>
      <c r="AK141" s="322"/>
    </row>
    <row r="142" spans="1:37" ht="18" customHeight="1">
      <c r="A142" s="322"/>
      <c r="B142" s="322"/>
      <c r="C142" s="451"/>
      <c r="D142" s="322"/>
      <c r="E142" s="322"/>
      <c r="F142" s="322"/>
      <c r="G142" s="322"/>
      <c r="H142" s="322"/>
      <c r="I142" s="322"/>
      <c r="J142" s="322"/>
      <c r="K142" s="322"/>
      <c r="L142" s="322"/>
      <c r="M142" s="322"/>
      <c r="N142" s="322"/>
      <c r="O142" s="322"/>
      <c r="P142" s="322"/>
      <c r="Q142" s="322"/>
      <c r="R142" s="322"/>
      <c r="S142" s="322"/>
      <c r="T142" s="322"/>
      <c r="U142" s="322"/>
      <c r="V142" s="322"/>
      <c r="W142" s="322"/>
      <c r="X142" s="322"/>
      <c r="Y142" s="322"/>
      <c r="Z142" s="322"/>
      <c r="AA142" s="322"/>
      <c r="AB142" s="322"/>
      <c r="AC142" s="322"/>
      <c r="AD142" s="322"/>
      <c r="AE142" s="322"/>
      <c r="AF142" s="322"/>
      <c r="AG142" s="322"/>
      <c r="AH142" s="322"/>
      <c r="AI142" s="322"/>
      <c r="AJ142" s="322"/>
      <c r="AK142" s="322"/>
    </row>
    <row r="143" spans="1:37" ht="18" customHeight="1">
      <c r="A143" s="322"/>
      <c r="B143" s="322"/>
      <c r="C143" s="451"/>
      <c r="D143" s="322"/>
      <c r="E143" s="322"/>
      <c r="F143" s="322"/>
      <c r="G143" s="322"/>
      <c r="H143" s="322"/>
      <c r="I143" s="322"/>
      <c r="J143" s="322"/>
      <c r="K143" s="322"/>
      <c r="L143" s="322"/>
      <c r="M143" s="322"/>
      <c r="N143" s="322"/>
      <c r="O143" s="322"/>
      <c r="P143" s="322"/>
      <c r="Q143" s="322"/>
      <c r="R143" s="322"/>
      <c r="S143" s="322"/>
      <c r="T143" s="322"/>
      <c r="U143" s="322"/>
      <c r="V143" s="322"/>
      <c r="W143" s="322"/>
      <c r="X143" s="322"/>
      <c r="Y143" s="322"/>
      <c r="Z143" s="322"/>
      <c r="AA143" s="322"/>
      <c r="AB143" s="322"/>
      <c r="AC143" s="322"/>
      <c r="AD143" s="322"/>
      <c r="AE143" s="322"/>
      <c r="AF143" s="322"/>
      <c r="AG143" s="322"/>
      <c r="AH143" s="322"/>
      <c r="AI143" s="322"/>
      <c r="AJ143" s="322"/>
      <c r="AK143" s="322"/>
    </row>
    <row r="144" spans="1:37" ht="18" customHeight="1">
      <c r="A144" s="322"/>
      <c r="B144" s="322"/>
      <c r="C144" s="451"/>
      <c r="D144" s="322"/>
      <c r="E144" s="322"/>
      <c r="F144" s="322"/>
      <c r="G144" s="322"/>
      <c r="H144" s="322"/>
      <c r="I144" s="322"/>
      <c r="J144" s="322"/>
      <c r="K144" s="322"/>
      <c r="L144" s="322"/>
      <c r="M144" s="322"/>
      <c r="N144" s="322"/>
      <c r="O144" s="322"/>
      <c r="P144" s="322"/>
      <c r="Q144" s="322"/>
      <c r="R144" s="322"/>
      <c r="S144" s="322"/>
      <c r="T144" s="322"/>
      <c r="U144" s="322"/>
      <c r="V144" s="322"/>
      <c r="W144" s="322"/>
      <c r="X144" s="322"/>
      <c r="Y144" s="322"/>
      <c r="Z144" s="322"/>
      <c r="AA144" s="322"/>
      <c r="AB144" s="322"/>
      <c r="AC144" s="322"/>
      <c r="AD144" s="322"/>
      <c r="AE144" s="322"/>
      <c r="AF144" s="322"/>
      <c r="AG144" s="322"/>
      <c r="AH144" s="322"/>
      <c r="AI144" s="322"/>
      <c r="AJ144" s="322"/>
      <c r="AK144" s="322"/>
    </row>
    <row r="145" spans="1:37" ht="18" customHeight="1">
      <c r="A145" s="322"/>
      <c r="B145" s="322"/>
      <c r="C145" s="451"/>
      <c r="D145" s="322"/>
      <c r="E145" s="322"/>
      <c r="F145" s="322"/>
      <c r="G145" s="322"/>
      <c r="H145" s="322"/>
      <c r="I145" s="322"/>
      <c r="J145" s="322"/>
      <c r="K145" s="322"/>
      <c r="L145" s="322"/>
      <c r="M145" s="322"/>
      <c r="N145" s="322"/>
      <c r="O145" s="322"/>
      <c r="P145" s="322"/>
      <c r="Q145" s="322"/>
      <c r="R145" s="322"/>
      <c r="S145" s="322"/>
      <c r="T145" s="322"/>
      <c r="U145" s="322"/>
      <c r="V145" s="322"/>
      <c r="W145" s="322"/>
      <c r="X145" s="322"/>
      <c r="Y145" s="322"/>
      <c r="Z145" s="322"/>
      <c r="AA145" s="322"/>
      <c r="AB145" s="322"/>
      <c r="AC145" s="322"/>
      <c r="AD145" s="322"/>
      <c r="AE145" s="322"/>
      <c r="AF145" s="322"/>
      <c r="AG145" s="322"/>
      <c r="AH145" s="322"/>
      <c r="AI145" s="322"/>
      <c r="AJ145" s="322"/>
      <c r="AK145" s="322"/>
    </row>
    <row r="146" spans="1:37" ht="18" customHeight="1">
      <c r="A146" s="322"/>
      <c r="B146" s="322"/>
      <c r="C146" s="451"/>
      <c r="D146" s="322"/>
      <c r="E146" s="322"/>
      <c r="F146" s="322"/>
      <c r="G146" s="322"/>
      <c r="H146" s="322"/>
      <c r="I146" s="322"/>
      <c r="J146" s="322"/>
      <c r="K146" s="322"/>
      <c r="L146" s="322"/>
      <c r="M146" s="322"/>
      <c r="N146" s="322"/>
      <c r="O146" s="322"/>
      <c r="P146" s="322"/>
      <c r="Q146" s="322"/>
      <c r="R146" s="322"/>
      <c r="S146" s="322"/>
      <c r="T146" s="322"/>
      <c r="U146" s="322"/>
      <c r="V146" s="322"/>
      <c r="W146" s="322"/>
      <c r="X146" s="322"/>
      <c r="Y146" s="322"/>
      <c r="Z146" s="322"/>
      <c r="AA146" s="322"/>
      <c r="AB146" s="322"/>
      <c r="AC146" s="322"/>
      <c r="AD146" s="322"/>
      <c r="AE146" s="322"/>
      <c r="AF146" s="322"/>
      <c r="AG146" s="322"/>
      <c r="AH146" s="322"/>
      <c r="AI146" s="322"/>
      <c r="AJ146" s="322"/>
      <c r="AK146" s="322"/>
    </row>
    <row r="147" spans="1:37" ht="18" customHeight="1">
      <c r="A147" s="322"/>
      <c r="B147" s="322"/>
      <c r="C147" s="451"/>
      <c r="D147" s="322"/>
      <c r="E147" s="322"/>
      <c r="F147" s="322"/>
      <c r="G147" s="322"/>
      <c r="H147" s="322"/>
      <c r="I147" s="322"/>
      <c r="J147" s="322"/>
      <c r="K147" s="322"/>
      <c r="L147" s="322"/>
      <c r="M147" s="322"/>
      <c r="N147" s="322"/>
      <c r="O147" s="322"/>
      <c r="P147" s="322"/>
      <c r="Q147" s="322"/>
      <c r="R147" s="322"/>
      <c r="S147" s="322"/>
      <c r="T147" s="322"/>
      <c r="U147" s="322"/>
      <c r="V147" s="322"/>
      <c r="W147" s="322"/>
      <c r="X147" s="322"/>
      <c r="Y147" s="322"/>
      <c r="Z147" s="322"/>
      <c r="AA147" s="322"/>
      <c r="AB147" s="322"/>
      <c r="AC147" s="322"/>
      <c r="AD147" s="322"/>
      <c r="AE147" s="322"/>
      <c r="AF147" s="322"/>
      <c r="AG147" s="322"/>
      <c r="AH147" s="322"/>
      <c r="AI147" s="322"/>
      <c r="AJ147" s="322"/>
      <c r="AK147" s="322"/>
    </row>
    <row r="148" spans="1:37" ht="18" customHeight="1">
      <c r="A148" s="322"/>
      <c r="B148" s="322"/>
      <c r="C148" s="451"/>
      <c r="D148" s="322"/>
      <c r="E148" s="322"/>
      <c r="F148" s="322"/>
      <c r="G148" s="322"/>
      <c r="H148" s="322"/>
      <c r="I148" s="322"/>
      <c r="J148" s="322"/>
      <c r="K148" s="322"/>
      <c r="L148" s="322"/>
      <c r="M148" s="322"/>
      <c r="N148" s="322"/>
      <c r="O148" s="322"/>
      <c r="P148" s="322"/>
      <c r="Q148" s="322"/>
      <c r="R148" s="322"/>
      <c r="S148" s="322"/>
      <c r="T148" s="322"/>
      <c r="U148" s="322"/>
      <c r="V148" s="322"/>
      <c r="W148" s="322"/>
      <c r="X148" s="322"/>
      <c r="Y148" s="322"/>
      <c r="Z148" s="322"/>
      <c r="AA148" s="322"/>
      <c r="AB148" s="322"/>
      <c r="AC148" s="322"/>
      <c r="AD148" s="322"/>
      <c r="AE148" s="322"/>
      <c r="AF148" s="322"/>
      <c r="AG148" s="322"/>
      <c r="AH148" s="322"/>
      <c r="AI148" s="322"/>
      <c r="AJ148" s="322"/>
      <c r="AK148" s="322"/>
    </row>
    <row r="149" spans="1:37" ht="18" customHeight="1">
      <c r="A149" s="322"/>
      <c r="B149" s="322"/>
      <c r="C149" s="451"/>
      <c r="D149" s="322"/>
      <c r="E149" s="322"/>
      <c r="F149" s="322"/>
      <c r="G149" s="322"/>
      <c r="H149" s="322"/>
      <c r="I149" s="322"/>
      <c r="J149" s="322"/>
      <c r="K149" s="322"/>
      <c r="L149" s="322"/>
      <c r="M149" s="322"/>
      <c r="N149" s="322"/>
      <c r="O149" s="322"/>
      <c r="P149" s="322"/>
      <c r="Q149" s="322"/>
      <c r="R149" s="322"/>
      <c r="S149" s="322"/>
      <c r="T149" s="322"/>
      <c r="U149" s="322"/>
      <c r="V149" s="322"/>
      <c r="W149" s="322"/>
      <c r="X149" s="322"/>
      <c r="Y149" s="322"/>
      <c r="Z149" s="322"/>
      <c r="AA149" s="322"/>
      <c r="AB149" s="322"/>
      <c r="AC149" s="322"/>
      <c r="AD149" s="322"/>
      <c r="AE149" s="322"/>
      <c r="AF149" s="322"/>
      <c r="AG149" s="322"/>
      <c r="AH149" s="322"/>
      <c r="AI149" s="322"/>
      <c r="AJ149" s="322"/>
      <c r="AK149" s="322"/>
    </row>
    <row r="150" spans="1:37" ht="18" customHeight="1">
      <c r="A150" s="322"/>
      <c r="B150" s="322"/>
      <c r="C150" s="451"/>
      <c r="D150" s="322"/>
      <c r="E150" s="322"/>
      <c r="F150" s="322"/>
      <c r="G150" s="322"/>
      <c r="H150" s="322"/>
      <c r="I150" s="322"/>
      <c r="J150" s="322"/>
      <c r="K150" s="322"/>
      <c r="L150" s="322"/>
      <c r="M150" s="322"/>
      <c r="N150" s="322"/>
      <c r="O150" s="322"/>
      <c r="P150" s="322"/>
      <c r="Q150" s="322"/>
      <c r="R150" s="322"/>
      <c r="S150" s="322"/>
      <c r="T150" s="322"/>
      <c r="U150" s="322"/>
      <c r="V150" s="322"/>
      <c r="W150" s="322"/>
      <c r="X150" s="322"/>
      <c r="Y150" s="322"/>
      <c r="Z150" s="322"/>
      <c r="AA150" s="322"/>
      <c r="AB150" s="322"/>
      <c r="AC150" s="322"/>
      <c r="AD150" s="322"/>
      <c r="AE150" s="322"/>
      <c r="AF150" s="322"/>
      <c r="AG150" s="322"/>
      <c r="AH150" s="322"/>
      <c r="AI150" s="322"/>
      <c r="AJ150" s="322"/>
      <c r="AK150" s="322"/>
    </row>
    <row r="151" spans="1:37" ht="18" customHeight="1">
      <c r="A151" s="322"/>
      <c r="B151" s="322"/>
      <c r="C151" s="451"/>
      <c r="D151" s="322"/>
      <c r="E151" s="322"/>
      <c r="F151" s="322"/>
      <c r="G151" s="322"/>
      <c r="H151" s="322"/>
      <c r="I151" s="322"/>
      <c r="J151" s="322"/>
      <c r="K151" s="322"/>
      <c r="L151" s="322"/>
      <c r="M151" s="322"/>
      <c r="N151" s="322"/>
      <c r="O151" s="322"/>
      <c r="P151" s="322"/>
      <c r="Q151" s="322"/>
      <c r="R151" s="322"/>
      <c r="S151" s="322"/>
      <c r="T151" s="322"/>
      <c r="U151" s="322"/>
      <c r="V151" s="322"/>
      <c r="W151" s="322"/>
      <c r="X151" s="322"/>
      <c r="Y151" s="322"/>
      <c r="Z151" s="322"/>
      <c r="AA151" s="322"/>
      <c r="AB151" s="322"/>
      <c r="AC151" s="322"/>
      <c r="AD151" s="322"/>
      <c r="AE151" s="322"/>
      <c r="AF151" s="322"/>
      <c r="AG151" s="322"/>
      <c r="AH151" s="322"/>
      <c r="AI151" s="322"/>
      <c r="AJ151" s="322"/>
      <c r="AK151" s="322"/>
    </row>
    <row r="152" spans="1:37" ht="18" customHeight="1">
      <c r="A152" s="322"/>
      <c r="B152" s="322"/>
      <c r="C152" s="451"/>
      <c r="D152" s="322"/>
      <c r="E152" s="322"/>
      <c r="F152" s="322"/>
      <c r="G152" s="322"/>
      <c r="H152" s="322"/>
      <c r="I152" s="322"/>
      <c r="J152" s="322"/>
      <c r="K152" s="322"/>
      <c r="L152" s="322"/>
      <c r="M152" s="322"/>
      <c r="N152" s="322"/>
      <c r="O152" s="322"/>
      <c r="P152" s="322"/>
      <c r="Q152" s="322"/>
      <c r="R152" s="322"/>
      <c r="S152" s="322"/>
      <c r="T152" s="322"/>
      <c r="U152" s="322"/>
      <c r="V152" s="322"/>
      <c r="W152" s="322"/>
      <c r="X152" s="322"/>
      <c r="Y152" s="322"/>
      <c r="Z152" s="322"/>
      <c r="AA152" s="322"/>
      <c r="AB152" s="322"/>
      <c r="AC152" s="322"/>
      <c r="AD152" s="322"/>
      <c r="AE152" s="322"/>
      <c r="AF152" s="322"/>
      <c r="AG152" s="322"/>
      <c r="AH152" s="322"/>
      <c r="AI152" s="322"/>
      <c r="AJ152" s="322"/>
      <c r="AK152" s="322"/>
    </row>
    <row r="153" spans="1:37" ht="18" customHeight="1">
      <c r="A153" s="322"/>
      <c r="B153" s="322"/>
      <c r="C153" s="451"/>
      <c r="D153" s="322"/>
      <c r="E153" s="322"/>
      <c r="F153" s="322"/>
      <c r="G153" s="322"/>
      <c r="H153" s="322"/>
      <c r="I153" s="322"/>
      <c r="J153" s="322"/>
      <c r="K153" s="322"/>
      <c r="L153" s="322"/>
      <c r="M153" s="322"/>
      <c r="N153" s="322"/>
      <c r="O153" s="322"/>
      <c r="P153" s="322"/>
      <c r="Q153" s="322"/>
      <c r="R153" s="322"/>
      <c r="S153" s="322"/>
      <c r="T153" s="322"/>
      <c r="U153" s="322"/>
      <c r="V153" s="322"/>
      <c r="W153" s="322"/>
      <c r="X153" s="322"/>
      <c r="Y153" s="322"/>
      <c r="Z153" s="322"/>
      <c r="AA153" s="322"/>
      <c r="AB153" s="322"/>
      <c r="AC153" s="322"/>
      <c r="AD153" s="322"/>
      <c r="AE153" s="322"/>
      <c r="AF153" s="322"/>
      <c r="AG153" s="322"/>
      <c r="AH153" s="322"/>
      <c r="AI153" s="322"/>
      <c r="AJ153" s="322"/>
      <c r="AK153" s="322"/>
    </row>
    <row r="154" spans="1:37" ht="18" customHeight="1">
      <c r="A154" s="322"/>
      <c r="B154" s="322"/>
      <c r="C154" s="451"/>
      <c r="D154" s="322"/>
      <c r="E154" s="322"/>
      <c r="F154" s="322"/>
      <c r="G154" s="322"/>
      <c r="H154" s="322"/>
      <c r="I154" s="322"/>
      <c r="J154" s="322"/>
      <c r="K154" s="322"/>
      <c r="L154" s="322"/>
      <c r="M154" s="322"/>
      <c r="N154" s="322"/>
      <c r="O154" s="322"/>
      <c r="P154" s="322"/>
      <c r="Q154" s="322"/>
      <c r="R154" s="322"/>
      <c r="S154" s="322"/>
      <c r="T154" s="322"/>
      <c r="U154" s="322"/>
      <c r="V154" s="322"/>
      <c r="W154" s="322"/>
      <c r="X154" s="322"/>
      <c r="Y154" s="322"/>
      <c r="Z154" s="322"/>
      <c r="AA154" s="322"/>
      <c r="AB154" s="322"/>
      <c r="AC154" s="322"/>
      <c r="AD154" s="322"/>
      <c r="AE154" s="322"/>
      <c r="AF154" s="322"/>
      <c r="AG154" s="322"/>
      <c r="AH154" s="322"/>
      <c r="AI154" s="322"/>
      <c r="AJ154" s="322"/>
      <c r="AK154" s="322"/>
    </row>
    <row r="155" spans="1:37" ht="18" customHeight="1">
      <c r="A155" s="322"/>
      <c r="B155" s="322"/>
      <c r="C155" s="451"/>
      <c r="D155" s="322"/>
      <c r="E155" s="322"/>
      <c r="F155" s="322"/>
      <c r="G155" s="322"/>
      <c r="H155" s="322"/>
      <c r="I155" s="322"/>
      <c r="J155" s="322"/>
      <c r="K155" s="322"/>
      <c r="L155" s="322"/>
      <c r="M155" s="322"/>
      <c r="N155" s="322"/>
      <c r="O155" s="322"/>
      <c r="P155" s="322"/>
      <c r="Q155" s="322"/>
      <c r="R155" s="322"/>
      <c r="S155" s="322"/>
      <c r="T155" s="322"/>
      <c r="U155" s="322"/>
      <c r="V155" s="322"/>
      <c r="W155" s="322"/>
      <c r="X155" s="322"/>
      <c r="Y155" s="322"/>
      <c r="Z155" s="322"/>
      <c r="AA155" s="322"/>
      <c r="AB155" s="322"/>
      <c r="AC155" s="322"/>
      <c r="AD155" s="322"/>
      <c r="AE155" s="322"/>
      <c r="AF155" s="322"/>
      <c r="AG155" s="322"/>
      <c r="AH155" s="322"/>
      <c r="AI155" s="322"/>
      <c r="AJ155" s="322"/>
      <c r="AK155" s="322"/>
    </row>
    <row r="156" spans="1:37" ht="18" customHeight="1">
      <c r="A156" s="322"/>
      <c r="B156" s="322"/>
      <c r="C156" s="451"/>
      <c r="D156" s="322"/>
      <c r="E156" s="322"/>
      <c r="F156" s="322"/>
      <c r="G156" s="322"/>
      <c r="H156" s="322"/>
      <c r="I156" s="322"/>
      <c r="J156" s="322"/>
      <c r="K156" s="322"/>
      <c r="L156" s="322"/>
      <c r="M156" s="322"/>
      <c r="N156" s="322"/>
      <c r="O156" s="322"/>
      <c r="P156" s="322"/>
      <c r="Q156" s="322"/>
      <c r="R156" s="322"/>
      <c r="S156" s="322"/>
      <c r="T156" s="322"/>
      <c r="U156" s="322"/>
      <c r="V156" s="322"/>
      <c r="W156" s="322"/>
      <c r="X156" s="322"/>
      <c r="Y156" s="322"/>
      <c r="Z156" s="322"/>
      <c r="AA156" s="322"/>
      <c r="AB156" s="322"/>
      <c r="AC156" s="322"/>
      <c r="AD156" s="322"/>
      <c r="AE156" s="322"/>
      <c r="AF156" s="322"/>
      <c r="AG156" s="322"/>
      <c r="AH156" s="322"/>
      <c r="AI156" s="322"/>
      <c r="AJ156" s="322"/>
      <c r="AK156" s="322"/>
    </row>
    <row r="157" spans="1:37" ht="18" customHeight="1">
      <c r="A157" s="322"/>
      <c r="B157" s="322"/>
      <c r="C157" s="451"/>
      <c r="D157" s="322"/>
      <c r="E157" s="322"/>
      <c r="F157" s="322"/>
      <c r="G157" s="322"/>
      <c r="H157" s="322"/>
      <c r="I157" s="322"/>
      <c r="J157" s="322"/>
      <c r="K157" s="322"/>
      <c r="L157" s="322"/>
      <c r="M157" s="322"/>
      <c r="N157" s="322"/>
      <c r="O157" s="322"/>
      <c r="P157" s="322"/>
      <c r="Q157" s="322"/>
      <c r="R157" s="322"/>
      <c r="S157" s="322"/>
      <c r="T157" s="322"/>
      <c r="U157" s="322"/>
      <c r="V157" s="322"/>
      <c r="W157" s="322"/>
      <c r="X157" s="322"/>
      <c r="Y157" s="322"/>
      <c r="Z157" s="322"/>
      <c r="AA157" s="322"/>
      <c r="AB157" s="322"/>
      <c r="AC157" s="322"/>
      <c r="AD157" s="322"/>
      <c r="AE157" s="322"/>
      <c r="AF157" s="322"/>
      <c r="AG157" s="322"/>
      <c r="AH157" s="322"/>
      <c r="AI157" s="322"/>
      <c r="AJ157" s="322"/>
      <c r="AK157" s="322"/>
    </row>
    <row r="158" spans="1:37" ht="18" customHeight="1">
      <c r="A158" s="322"/>
      <c r="B158" s="322"/>
      <c r="C158" s="451"/>
      <c r="D158" s="322"/>
      <c r="E158" s="322"/>
      <c r="F158" s="322"/>
      <c r="G158" s="322"/>
      <c r="H158" s="322"/>
      <c r="I158" s="322"/>
      <c r="J158" s="322"/>
      <c r="K158" s="322"/>
      <c r="L158" s="322"/>
      <c r="M158" s="322"/>
      <c r="N158" s="322"/>
      <c r="O158" s="322"/>
      <c r="P158" s="322"/>
      <c r="Q158" s="322"/>
      <c r="R158" s="322"/>
      <c r="S158" s="322"/>
      <c r="T158" s="322"/>
      <c r="U158" s="322"/>
      <c r="V158" s="322"/>
      <c r="W158" s="322"/>
      <c r="X158" s="322"/>
      <c r="Y158" s="322"/>
      <c r="Z158" s="322"/>
      <c r="AA158" s="322"/>
      <c r="AB158" s="322"/>
      <c r="AC158" s="322"/>
      <c r="AD158" s="322"/>
      <c r="AE158" s="322"/>
      <c r="AF158" s="322"/>
      <c r="AG158" s="322"/>
      <c r="AH158" s="322"/>
      <c r="AI158" s="322"/>
      <c r="AJ158" s="322"/>
      <c r="AK158" s="322"/>
    </row>
    <row r="159" spans="1:37" ht="18" customHeight="1">
      <c r="A159" s="322"/>
      <c r="B159" s="322"/>
      <c r="C159" s="451"/>
      <c r="D159" s="322"/>
      <c r="E159" s="322"/>
      <c r="F159" s="322"/>
      <c r="G159" s="322"/>
      <c r="H159" s="322"/>
      <c r="I159" s="322"/>
      <c r="J159" s="322"/>
      <c r="K159" s="322"/>
      <c r="L159" s="322"/>
      <c r="M159" s="322"/>
      <c r="N159" s="322"/>
      <c r="O159" s="322"/>
      <c r="P159" s="322"/>
      <c r="Q159" s="322"/>
      <c r="R159" s="322"/>
      <c r="S159" s="322"/>
      <c r="T159" s="322"/>
      <c r="U159" s="322"/>
      <c r="V159" s="322"/>
      <c r="W159" s="322"/>
      <c r="X159" s="322"/>
      <c r="Y159" s="322"/>
      <c r="Z159" s="322"/>
      <c r="AA159" s="322"/>
      <c r="AB159" s="322"/>
      <c r="AC159" s="322"/>
      <c r="AD159" s="322"/>
      <c r="AE159" s="322"/>
      <c r="AF159" s="322"/>
      <c r="AG159" s="322"/>
      <c r="AH159" s="322"/>
      <c r="AI159" s="322"/>
      <c r="AJ159" s="322"/>
      <c r="AK159" s="322"/>
    </row>
    <row r="160" spans="1:37" ht="18" customHeight="1">
      <c r="A160" s="322"/>
      <c r="B160" s="322"/>
      <c r="C160" s="451"/>
      <c r="D160" s="322"/>
      <c r="E160" s="322"/>
      <c r="F160" s="322"/>
      <c r="G160" s="322"/>
      <c r="H160" s="322"/>
      <c r="I160" s="322"/>
      <c r="J160" s="322"/>
      <c r="K160" s="322"/>
      <c r="L160" s="322"/>
      <c r="M160" s="322"/>
      <c r="N160" s="322"/>
      <c r="O160" s="322"/>
      <c r="P160" s="322"/>
      <c r="Q160" s="322"/>
      <c r="R160" s="322"/>
      <c r="S160" s="322"/>
      <c r="T160" s="322"/>
      <c r="U160" s="322"/>
      <c r="V160" s="322"/>
      <c r="W160" s="322"/>
      <c r="X160" s="322"/>
      <c r="Y160" s="322"/>
      <c r="Z160" s="322"/>
      <c r="AA160" s="322"/>
      <c r="AB160" s="322"/>
      <c r="AC160" s="322"/>
      <c r="AD160" s="322"/>
      <c r="AE160" s="322"/>
      <c r="AF160" s="322"/>
      <c r="AG160" s="322"/>
      <c r="AH160" s="322"/>
      <c r="AI160" s="322"/>
      <c r="AJ160" s="322"/>
      <c r="AK160" s="322"/>
    </row>
    <row r="161" spans="1:37" ht="18" customHeight="1">
      <c r="A161" s="322"/>
      <c r="B161" s="322"/>
      <c r="C161" s="451"/>
      <c r="D161" s="322"/>
      <c r="E161" s="322"/>
      <c r="F161" s="322"/>
      <c r="G161" s="322"/>
      <c r="H161" s="322"/>
      <c r="I161" s="322"/>
      <c r="J161" s="322"/>
      <c r="K161" s="322"/>
      <c r="L161" s="322"/>
      <c r="M161" s="322"/>
      <c r="N161" s="322"/>
      <c r="O161" s="322"/>
      <c r="P161" s="322"/>
      <c r="Q161" s="322"/>
      <c r="R161" s="322"/>
      <c r="S161" s="322"/>
      <c r="T161" s="322"/>
      <c r="U161" s="322"/>
      <c r="V161" s="322"/>
      <c r="W161" s="322"/>
      <c r="X161" s="322"/>
      <c r="Y161" s="322"/>
      <c r="Z161" s="322"/>
      <c r="AA161" s="322"/>
      <c r="AB161" s="322"/>
      <c r="AC161" s="322"/>
      <c r="AD161" s="322"/>
      <c r="AE161" s="322"/>
      <c r="AF161" s="322"/>
      <c r="AG161" s="322"/>
      <c r="AH161" s="322"/>
      <c r="AI161" s="322"/>
      <c r="AJ161" s="322"/>
      <c r="AK161" s="322"/>
    </row>
    <row r="162" spans="1:37" ht="18" customHeight="1">
      <c r="A162" s="322"/>
      <c r="B162" s="322"/>
      <c r="C162" s="451"/>
      <c r="D162" s="322"/>
      <c r="E162" s="322"/>
      <c r="F162" s="322"/>
      <c r="G162" s="322"/>
      <c r="H162" s="322"/>
      <c r="I162" s="322"/>
      <c r="J162" s="322"/>
      <c r="K162" s="322"/>
      <c r="L162" s="322"/>
      <c r="M162" s="322"/>
      <c r="N162" s="322"/>
      <c r="O162" s="322"/>
      <c r="P162" s="322"/>
      <c r="Q162" s="322"/>
      <c r="R162" s="322"/>
      <c r="S162" s="322"/>
      <c r="T162" s="322"/>
      <c r="U162" s="322"/>
      <c r="V162" s="322"/>
      <c r="W162" s="322"/>
      <c r="X162" s="322"/>
      <c r="Y162" s="322"/>
      <c r="Z162" s="322"/>
      <c r="AA162" s="322"/>
      <c r="AB162" s="322"/>
      <c r="AC162" s="322"/>
      <c r="AD162" s="322"/>
      <c r="AE162" s="322"/>
      <c r="AF162" s="322"/>
      <c r="AG162" s="322"/>
      <c r="AH162" s="322"/>
      <c r="AI162" s="322"/>
      <c r="AJ162" s="322"/>
      <c r="AK162" s="322"/>
    </row>
    <row r="163" spans="1:37" ht="18" customHeight="1">
      <c r="A163" s="322"/>
      <c r="B163" s="322"/>
      <c r="C163" s="451"/>
      <c r="D163" s="322"/>
      <c r="E163" s="322"/>
      <c r="F163" s="322"/>
      <c r="G163" s="322"/>
      <c r="H163" s="322"/>
      <c r="I163" s="322"/>
      <c r="J163" s="322"/>
      <c r="K163" s="322"/>
      <c r="L163" s="322"/>
      <c r="M163" s="322"/>
      <c r="N163" s="322"/>
      <c r="O163" s="322"/>
      <c r="P163" s="322"/>
      <c r="Q163" s="322"/>
      <c r="R163" s="322"/>
      <c r="S163" s="322"/>
      <c r="T163" s="322"/>
      <c r="U163" s="322"/>
      <c r="V163" s="322"/>
      <c r="W163" s="322"/>
      <c r="X163" s="322"/>
      <c r="Y163" s="322"/>
      <c r="Z163" s="322"/>
      <c r="AA163" s="322"/>
      <c r="AB163" s="322"/>
      <c r="AC163" s="322"/>
      <c r="AD163" s="322"/>
      <c r="AE163" s="322"/>
      <c r="AF163" s="322"/>
      <c r="AG163" s="322"/>
      <c r="AH163" s="322"/>
      <c r="AI163" s="322"/>
      <c r="AJ163" s="322"/>
      <c r="AK163" s="322"/>
    </row>
    <row r="164" spans="1:37" ht="18" customHeight="1">
      <c r="A164" s="322"/>
      <c r="B164" s="322"/>
      <c r="C164" s="451"/>
      <c r="D164" s="322"/>
      <c r="E164" s="322"/>
      <c r="F164" s="322"/>
      <c r="G164" s="322"/>
      <c r="H164" s="322"/>
      <c r="I164" s="322"/>
      <c r="J164" s="322"/>
      <c r="K164" s="322"/>
      <c r="L164" s="322"/>
      <c r="M164" s="322"/>
      <c r="N164" s="322"/>
      <c r="O164" s="322"/>
      <c r="P164" s="322"/>
      <c r="Q164" s="322"/>
      <c r="R164" s="322"/>
      <c r="S164" s="322"/>
      <c r="T164" s="322"/>
      <c r="U164" s="322"/>
      <c r="V164" s="322"/>
      <c r="W164" s="322"/>
      <c r="X164" s="322"/>
      <c r="Y164" s="322"/>
      <c r="Z164" s="322"/>
      <c r="AA164" s="322"/>
      <c r="AB164" s="322"/>
      <c r="AC164" s="322"/>
      <c r="AD164" s="322"/>
      <c r="AE164" s="322"/>
      <c r="AF164" s="322"/>
      <c r="AG164" s="322"/>
      <c r="AH164" s="322"/>
      <c r="AI164" s="322"/>
      <c r="AJ164" s="322"/>
      <c r="AK164" s="322"/>
    </row>
    <row r="165" spans="1:37" ht="18" customHeight="1">
      <c r="A165" s="322"/>
      <c r="B165" s="322"/>
      <c r="C165" s="451"/>
      <c r="D165" s="322"/>
      <c r="E165" s="322"/>
      <c r="F165" s="322"/>
      <c r="G165" s="322"/>
      <c r="H165" s="322"/>
      <c r="I165" s="322"/>
      <c r="J165" s="322"/>
      <c r="K165" s="322"/>
      <c r="L165" s="322"/>
      <c r="M165" s="322"/>
      <c r="N165" s="322"/>
      <c r="O165" s="322"/>
      <c r="P165" s="322"/>
      <c r="Q165" s="322"/>
      <c r="R165" s="322"/>
      <c r="S165" s="322"/>
      <c r="T165" s="322"/>
      <c r="U165" s="322"/>
      <c r="V165" s="322"/>
      <c r="W165" s="322"/>
      <c r="X165" s="322"/>
      <c r="Y165" s="322"/>
      <c r="Z165" s="322"/>
      <c r="AA165" s="322"/>
      <c r="AB165" s="322"/>
      <c r="AC165" s="322"/>
      <c r="AD165" s="322"/>
      <c r="AE165" s="322"/>
      <c r="AF165" s="322"/>
      <c r="AG165" s="322"/>
      <c r="AH165" s="322"/>
      <c r="AI165" s="322"/>
      <c r="AJ165" s="322"/>
      <c r="AK165" s="322"/>
    </row>
    <row r="166" spans="1:37" ht="18" customHeight="1">
      <c r="A166" s="322"/>
      <c r="B166" s="322"/>
      <c r="C166" s="451"/>
      <c r="D166" s="322"/>
      <c r="E166" s="322"/>
      <c r="F166" s="322"/>
      <c r="G166" s="322"/>
      <c r="H166" s="322"/>
      <c r="I166" s="322"/>
      <c r="J166" s="322"/>
      <c r="K166" s="322"/>
      <c r="L166" s="322"/>
      <c r="M166" s="322"/>
      <c r="N166" s="322"/>
      <c r="O166" s="322"/>
      <c r="P166" s="322"/>
      <c r="Q166" s="322"/>
      <c r="R166" s="322"/>
      <c r="S166" s="322"/>
      <c r="T166" s="322"/>
      <c r="U166" s="322"/>
      <c r="V166" s="322"/>
      <c r="W166" s="322"/>
      <c r="X166" s="322"/>
      <c r="Y166" s="322"/>
      <c r="Z166" s="322"/>
      <c r="AA166" s="322"/>
      <c r="AB166" s="322"/>
      <c r="AC166" s="322"/>
      <c r="AD166" s="322"/>
      <c r="AE166" s="322"/>
      <c r="AF166" s="322"/>
      <c r="AG166" s="322"/>
      <c r="AH166" s="322"/>
      <c r="AI166" s="322"/>
      <c r="AJ166" s="322"/>
      <c r="AK166" s="322"/>
    </row>
    <row r="167" spans="1:37" ht="18" customHeight="1">
      <c r="A167" s="322"/>
      <c r="B167" s="322"/>
      <c r="C167" s="451"/>
      <c r="D167" s="322"/>
      <c r="E167" s="322"/>
      <c r="F167" s="322"/>
      <c r="G167" s="322"/>
      <c r="H167" s="322"/>
      <c r="I167" s="322"/>
      <c r="J167" s="322"/>
      <c r="K167" s="322"/>
      <c r="L167" s="322"/>
      <c r="M167" s="322"/>
      <c r="N167" s="322"/>
      <c r="O167" s="322"/>
      <c r="P167" s="322"/>
      <c r="Q167" s="322"/>
      <c r="R167" s="322"/>
      <c r="S167" s="322"/>
      <c r="T167" s="322"/>
      <c r="U167" s="322"/>
      <c r="V167" s="322"/>
      <c r="W167" s="322"/>
      <c r="X167" s="322"/>
      <c r="Y167" s="322"/>
      <c r="Z167" s="322"/>
      <c r="AA167" s="322"/>
      <c r="AB167" s="322"/>
      <c r="AC167" s="322"/>
      <c r="AD167" s="322"/>
      <c r="AE167" s="322"/>
      <c r="AF167" s="322"/>
      <c r="AG167" s="322"/>
      <c r="AH167" s="322"/>
      <c r="AI167" s="322"/>
      <c r="AJ167" s="322"/>
      <c r="AK167" s="322"/>
    </row>
    <row r="168" spans="1:37" ht="18" customHeight="1">
      <c r="A168" s="322"/>
      <c r="B168" s="322"/>
      <c r="C168" s="451"/>
      <c r="D168" s="322"/>
      <c r="E168" s="322"/>
      <c r="F168" s="322"/>
      <c r="G168" s="322"/>
      <c r="H168" s="322"/>
      <c r="I168" s="322"/>
      <c r="J168" s="322"/>
      <c r="K168" s="322"/>
      <c r="L168" s="322"/>
      <c r="M168" s="322"/>
      <c r="N168" s="322"/>
      <c r="O168" s="322"/>
      <c r="P168" s="322"/>
      <c r="Q168" s="322"/>
      <c r="R168" s="322"/>
      <c r="S168" s="322"/>
      <c r="T168" s="322"/>
      <c r="U168" s="322"/>
      <c r="V168" s="322"/>
      <c r="W168" s="322"/>
      <c r="X168" s="322"/>
      <c r="Y168" s="322"/>
      <c r="Z168" s="322"/>
      <c r="AA168" s="322"/>
      <c r="AB168" s="322"/>
      <c r="AC168" s="322"/>
      <c r="AD168" s="322"/>
      <c r="AE168" s="322"/>
      <c r="AF168" s="322"/>
      <c r="AG168" s="322"/>
      <c r="AH168" s="322"/>
      <c r="AI168" s="322"/>
      <c r="AJ168" s="322"/>
      <c r="AK168" s="322"/>
    </row>
    <row r="169" spans="1:37" ht="18" customHeight="1">
      <c r="A169" s="322"/>
      <c r="B169" s="322"/>
      <c r="C169" s="451"/>
      <c r="D169" s="322"/>
      <c r="E169" s="322"/>
      <c r="F169" s="322"/>
      <c r="G169" s="322"/>
      <c r="H169" s="322"/>
      <c r="I169" s="322"/>
      <c r="J169" s="322"/>
      <c r="K169" s="322"/>
      <c r="L169" s="322"/>
      <c r="M169" s="322"/>
      <c r="N169" s="322"/>
      <c r="O169" s="322"/>
      <c r="P169" s="322"/>
      <c r="Q169" s="322"/>
      <c r="R169" s="322"/>
      <c r="S169" s="322"/>
      <c r="T169" s="322"/>
      <c r="U169" s="322"/>
      <c r="V169" s="322"/>
      <c r="W169" s="322"/>
      <c r="X169" s="322"/>
      <c r="Y169" s="322"/>
      <c r="Z169" s="322"/>
      <c r="AA169" s="322"/>
      <c r="AB169" s="322"/>
      <c r="AC169" s="322"/>
      <c r="AD169" s="322"/>
      <c r="AE169" s="322"/>
      <c r="AF169" s="322"/>
      <c r="AG169" s="322"/>
      <c r="AH169" s="322"/>
      <c r="AI169" s="322"/>
      <c r="AJ169" s="322"/>
      <c r="AK169" s="322"/>
    </row>
    <row r="170" spans="1:37" ht="18" customHeight="1">
      <c r="A170" s="322"/>
      <c r="B170" s="322"/>
      <c r="C170" s="451"/>
      <c r="D170" s="322"/>
      <c r="E170" s="322"/>
      <c r="F170" s="322"/>
      <c r="G170" s="322"/>
      <c r="H170" s="322"/>
      <c r="I170" s="322"/>
      <c r="J170" s="322"/>
      <c r="K170" s="322"/>
      <c r="L170" s="322"/>
      <c r="M170" s="322"/>
      <c r="N170" s="322"/>
      <c r="O170" s="322"/>
      <c r="P170" s="322"/>
      <c r="Q170" s="322"/>
      <c r="R170" s="322"/>
      <c r="S170" s="322"/>
      <c r="T170" s="322"/>
      <c r="U170" s="322"/>
      <c r="V170" s="322"/>
      <c r="W170" s="322"/>
      <c r="X170" s="322"/>
      <c r="Y170" s="322"/>
      <c r="Z170" s="322"/>
      <c r="AA170" s="322"/>
      <c r="AB170" s="322"/>
      <c r="AC170" s="322"/>
      <c r="AD170" s="322"/>
      <c r="AE170" s="322"/>
      <c r="AF170" s="322"/>
      <c r="AG170" s="322"/>
      <c r="AH170" s="322"/>
      <c r="AI170" s="322"/>
      <c r="AJ170" s="322"/>
      <c r="AK170" s="322"/>
    </row>
    <row r="171" spans="1:37" ht="18" customHeight="1">
      <c r="A171" s="322"/>
      <c r="B171" s="322"/>
      <c r="C171" s="451"/>
      <c r="D171" s="322"/>
      <c r="E171" s="322"/>
      <c r="F171" s="322"/>
      <c r="G171" s="322"/>
      <c r="H171" s="322"/>
      <c r="I171" s="322"/>
      <c r="J171" s="322"/>
      <c r="K171" s="322"/>
      <c r="L171" s="322"/>
      <c r="M171" s="322"/>
      <c r="N171" s="322"/>
      <c r="O171" s="322"/>
      <c r="P171" s="322"/>
      <c r="Q171" s="322"/>
      <c r="R171" s="322"/>
      <c r="S171" s="322"/>
      <c r="T171" s="322"/>
      <c r="U171" s="322"/>
      <c r="V171" s="322"/>
      <c r="W171" s="322"/>
      <c r="X171" s="322"/>
      <c r="Y171" s="322"/>
      <c r="Z171" s="322"/>
      <c r="AA171" s="322"/>
      <c r="AB171" s="322"/>
      <c r="AC171" s="322"/>
      <c r="AD171" s="322"/>
      <c r="AE171" s="322"/>
      <c r="AF171" s="322"/>
      <c r="AG171" s="322"/>
      <c r="AH171" s="322"/>
      <c r="AI171" s="322"/>
      <c r="AJ171" s="322"/>
      <c r="AK171" s="322"/>
    </row>
    <row r="172" spans="1:37" ht="18" customHeight="1">
      <c r="A172" s="322"/>
      <c r="B172" s="322"/>
      <c r="C172" s="451"/>
      <c r="D172" s="322"/>
      <c r="E172" s="322"/>
      <c r="F172" s="322"/>
      <c r="G172" s="322"/>
      <c r="H172" s="322"/>
      <c r="I172" s="322"/>
      <c r="J172" s="322"/>
      <c r="K172" s="322"/>
      <c r="L172" s="322"/>
      <c r="M172" s="322"/>
      <c r="N172" s="322"/>
      <c r="O172" s="322"/>
      <c r="P172" s="322"/>
      <c r="Q172" s="322"/>
      <c r="R172" s="322"/>
      <c r="S172" s="322"/>
      <c r="T172" s="322"/>
      <c r="U172" s="322"/>
      <c r="V172" s="322"/>
      <c r="W172" s="322"/>
      <c r="X172" s="322"/>
      <c r="Y172" s="322"/>
      <c r="Z172" s="322"/>
      <c r="AA172" s="322"/>
      <c r="AB172" s="322"/>
      <c r="AC172" s="322"/>
      <c r="AD172" s="322"/>
      <c r="AE172" s="322"/>
      <c r="AF172" s="322"/>
      <c r="AG172" s="322"/>
      <c r="AH172" s="322"/>
      <c r="AI172" s="322"/>
      <c r="AJ172" s="322"/>
      <c r="AK172" s="322"/>
    </row>
    <row r="173" spans="1:37" ht="18" customHeight="1">
      <c r="A173" s="322"/>
      <c r="B173" s="322"/>
      <c r="C173" s="451"/>
      <c r="D173" s="322"/>
      <c r="E173" s="322"/>
      <c r="F173" s="322"/>
      <c r="G173" s="322"/>
      <c r="H173" s="322"/>
      <c r="I173" s="322"/>
      <c r="J173" s="322"/>
      <c r="K173" s="322"/>
      <c r="L173" s="322"/>
      <c r="M173" s="322"/>
      <c r="N173" s="322"/>
      <c r="O173" s="322"/>
      <c r="P173" s="322"/>
      <c r="Q173" s="322"/>
      <c r="R173" s="322"/>
      <c r="S173" s="322"/>
      <c r="T173" s="322"/>
      <c r="U173" s="322"/>
      <c r="V173" s="322"/>
      <c r="W173" s="322"/>
      <c r="X173" s="322"/>
      <c r="Y173" s="322"/>
      <c r="Z173" s="322"/>
      <c r="AA173" s="322"/>
      <c r="AB173" s="322"/>
      <c r="AC173" s="322"/>
      <c r="AD173" s="322"/>
      <c r="AE173" s="322"/>
      <c r="AF173" s="322"/>
      <c r="AG173" s="322"/>
      <c r="AH173" s="322"/>
      <c r="AI173" s="322"/>
      <c r="AJ173" s="322"/>
      <c r="AK173" s="322"/>
    </row>
    <row r="174" spans="1:37" ht="18" customHeight="1">
      <c r="A174" s="322"/>
      <c r="B174" s="322"/>
      <c r="C174" s="451"/>
      <c r="D174" s="322"/>
      <c r="E174" s="322"/>
      <c r="F174" s="322"/>
      <c r="G174" s="322"/>
      <c r="H174" s="322"/>
      <c r="I174" s="322"/>
      <c r="J174" s="322"/>
      <c r="K174" s="322"/>
      <c r="L174" s="322"/>
      <c r="M174" s="322"/>
      <c r="N174" s="322"/>
      <c r="O174" s="322"/>
      <c r="P174" s="322"/>
      <c r="Q174" s="322"/>
      <c r="R174" s="322"/>
      <c r="S174" s="322"/>
      <c r="T174" s="322"/>
      <c r="U174" s="322"/>
      <c r="V174" s="322"/>
      <c r="W174" s="322"/>
      <c r="X174" s="322"/>
      <c r="Y174" s="322"/>
      <c r="Z174" s="322"/>
      <c r="AA174" s="322"/>
      <c r="AB174" s="322"/>
      <c r="AC174" s="322"/>
      <c r="AD174" s="322"/>
      <c r="AE174" s="322"/>
      <c r="AF174" s="322"/>
      <c r="AG174" s="322"/>
      <c r="AH174" s="322"/>
      <c r="AI174" s="322"/>
      <c r="AJ174" s="322"/>
      <c r="AK174" s="322"/>
    </row>
    <row r="175" spans="1:37" ht="18" customHeight="1">
      <c r="A175" s="322"/>
      <c r="B175" s="322"/>
      <c r="C175" s="451"/>
      <c r="D175" s="322"/>
      <c r="E175" s="322"/>
      <c r="F175" s="322"/>
      <c r="G175" s="322"/>
      <c r="H175" s="322"/>
      <c r="I175" s="322"/>
      <c r="J175" s="322"/>
      <c r="K175" s="322"/>
      <c r="L175" s="322"/>
      <c r="M175" s="322"/>
      <c r="N175" s="322"/>
      <c r="O175" s="322"/>
      <c r="P175" s="322"/>
      <c r="Q175" s="322"/>
      <c r="R175" s="322"/>
      <c r="S175" s="322"/>
      <c r="T175" s="322"/>
      <c r="U175" s="322"/>
      <c r="V175" s="322"/>
      <c r="W175" s="322"/>
      <c r="X175" s="322"/>
      <c r="Y175" s="322"/>
      <c r="Z175" s="322"/>
      <c r="AA175" s="322"/>
      <c r="AB175" s="322"/>
      <c r="AC175" s="322"/>
      <c r="AD175" s="322"/>
      <c r="AE175" s="322"/>
      <c r="AF175" s="322"/>
      <c r="AG175" s="322"/>
      <c r="AH175" s="322"/>
      <c r="AI175" s="322"/>
      <c r="AJ175" s="322"/>
      <c r="AK175" s="322"/>
    </row>
    <row r="176" spans="1:37" ht="18" customHeight="1">
      <c r="A176" s="322"/>
      <c r="B176" s="322"/>
      <c r="C176" s="451"/>
      <c r="D176" s="322"/>
      <c r="E176" s="322"/>
      <c r="F176" s="322"/>
      <c r="G176" s="322"/>
      <c r="H176" s="322"/>
      <c r="I176" s="322"/>
      <c r="J176" s="322"/>
      <c r="K176" s="322"/>
      <c r="L176" s="322"/>
      <c r="M176" s="322"/>
      <c r="N176" s="322"/>
      <c r="O176" s="322"/>
      <c r="P176" s="322"/>
      <c r="Q176" s="322"/>
      <c r="R176" s="322"/>
      <c r="S176" s="322"/>
      <c r="T176" s="322"/>
      <c r="U176" s="322"/>
      <c r="V176" s="322"/>
      <c r="W176" s="322"/>
      <c r="X176" s="322"/>
      <c r="Y176" s="322"/>
      <c r="Z176" s="322"/>
      <c r="AA176" s="322"/>
      <c r="AB176" s="322"/>
      <c r="AC176" s="322"/>
      <c r="AD176" s="322"/>
      <c r="AE176" s="322"/>
      <c r="AF176" s="322"/>
      <c r="AG176" s="322"/>
      <c r="AH176" s="322"/>
      <c r="AI176" s="322"/>
      <c r="AJ176" s="322"/>
      <c r="AK176" s="322"/>
    </row>
    <row r="177" spans="1:37" ht="18" customHeight="1">
      <c r="A177" s="322"/>
      <c r="B177" s="322"/>
      <c r="C177" s="451"/>
      <c r="D177" s="322"/>
      <c r="E177" s="322"/>
      <c r="F177" s="322"/>
      <c r="G177" s="322"/>
      <c r="H177" s="322"/>
      <c r="I177" s="322"/>
      <c r="J177" s="322"/>
      <c r="K177" s="322"/>
      <c r="L177" s="322"/>
      <c r="M177" s="322"/>
      <c r="N177" s="322"/>
      <c r="O177" s="322"/>
      <c r="P177" s="322"/>
      <c r="Q177" s="322"/>
      <c r="R177" s="322"/>
      <c r="S177" s="322"/>
      <c r="T177" s="322"/>
      <c r="U177" s="322"/>
      <c r="V177" s="322"/>
      <c r="W177" s="322"/>
      <c r="X177" s="322"/>
      <c r="Y177" s="322"/>
      <c r="Z177" s="322"/>
      <c r="AA177" s="322"/>
      <c r="AB177" s="322"/>
      <c r="AC177" s="322"/>
      <c r="AD177" s="322"/>
      <c r="AE177" s="322"/>
      <c r="AF177" s="322"/>
      <c r="AG177" s="322"/>
      <c r="AH177" s="322"/>
      <c r="AI177" s="322"/>
      <c r="AJ177" s="322"/>
      <c r="AK177" s="322"/>
    </row>
    <row r="178" spans="1:37" ht="18" customHeight="1">
      <c r="A178" s="322"/>
      <c r="B178" s="322"/>
      <c r="C178" s="451"/>
      <c r="D178" s="322"/>
      <c r="E178" s="322"/>
      <c r="F178" s="322"/>
      <c r="G178" s="322"/>
      <c r="H178" s="322"/>
      <c r="I178" s="322"/>
      <c r="J178" s="322"/>
      <c r="K178" s="322"/>
      <c r="L178" s="322"/>
      <c r="M178" s="322"/>
      <c r="N178" s="322"/>
      <c r="O178" s="322"/>
      <c r="P178" s="322"/>
      <c r="Q178" s="322"/>
      <c r="R178" s="322"/>
      <c r="S178" s="322"/>
      <c r="T178" s="322"/>
      <c r="U178" s="322"/>
      <c r="V178" s="322"/>
      <c r="W178" s="322"/>
      <c r="X178" s="322"/>
      <c r="Y178" s="322"/>
      <c r="Z178" s="322"/>
      <c r="AA178" s="322"/>
      <c r="AB178" s="322"/>
      <c r="AC178" s="322"/>
      <c r="AD178" s="322"/>
      <c r="AE178" s="322"/>
      <c r="AF178" s="322"/>
      <c r="AG178" s="322"/>
      <c r="AH178" s="322"/>
      <c r="AI178" s="322"/>
      <c r="AJ178" s="322"/>
      <c r="AK178" s="322"/>
    </row>
    <row r="179" spans="1:37" ht="18" customHeight="1">
      <c r="A179" s="322"/>
      <c r="B179" s="322"/>
      <c r="C179" s="451"/>
      <c r="D179" s="322"/>
      <c r="E179" s="322"/>
      <c r="F179" s="322"/>
      <c r="G179" s="322"/>
      <c r="H179" s="322"/>
      <c r="I179" s="322"/>
      <c r="J179" s="322"/>
      <c r="K179" s="322"/>
      <c r="L179" s="322"/>
      <c r="M179" s="322"/>
      <c r="N179" s="322"/>
      <c r="O179" s="322"/>
      <c r="P179" s="322"/>
      <c r="Q179" s="322"/>
      <c r="R179" s="322"/>
      <c r="S179" s="322"/>
      <c r="T179" s="322"/>
      <c r="U179" s="322"/>
      <c r="V179" s="322"/>
      <c r="W179" s="322"/>
      <c r="X179" s="322"/>
      <c r="Y179" s="322"/>
      <c r="Z179" s="322"/>
      <c r="AA179" s="322"/>
      <c r="AB179" s="322"/>
      <c r="AC179" s="322"/>
      <c r="AD179" s="322"/>
      <c r="AE179" s="322"/>
      <c r="AF179" s="322"/>
      <c r="AG179" s="322"/>
      <c r="AH179" s="322"/>
      <c r="AI179" s="322"/>
      <c r="AJ179" s="322"/>
      <c r="AK179" s="322"/>
    </row>
    <row r="180" spans="1:37" ht="18" customHeight="1">
      <c r="A180" s="322"/>
      <c r="B180" s="322"/>
      <c r="C180" s="451"/>
      <c r="D180" s="322"/>
      <c r="E180" s="322"/>
      <c r="F180" s="322"/>
      <c r="G180" s="322"/>
      <c r="H180" s="322"/>
      <c r="I180" s="322"/>
      <c r="J180" s="322"/>
      <c r="K180" s="322"/>
      <c r="L180" s="322"/>
      <c r="M180" s="322"/>
      <c r="N180" s="322"/>
      <c r="O180" s="322"/>
      <c r="P180" s="322"/>
      <c r="Q180" s="322"/>
      <c r="R180" s="322"/>
      <c r="S180" s="322"/>
      <c r="T180" s="322"/>
      <c r="U180" s="322"/>
      <c r="V180" s="322"/>
      <c r="W180" s="322"/>
      <c r="X180" s="322"/>
      <c r="Y180" s="322"/>
      <c r="Z180" s="322"/>
      <c r="AA180" s="322"/>
      <c r="AB180" s="322"/>
      <c r="AC180" s="322"/>
      <c r="AD180" s="322"/>
      <c r="AE180" s="322"/>
      <c r="AF180" s="322"/>
      <c r="AG180" s="322"/>
      <c r="AH180" s="322"/>
      <c r="AI180" s="322"/>
      <c r="AJ180" s="322"/>
      <c r="AK180" s="322"/>
    </row>
    <row r="181" spans="1:37" ht="18" customHeight="1">
      <c r="A181" s="322"/>
      <c r="B181" s="322"/>
      <c r="C181" s="451"/>
      <c r="D181" s="322"/>
      <c r="E181" s="322"/>
      <c r="F181" s="322"/>
      <c r="G181" s="322"/>
      <c r="H181" s="322"/>
      <c r="I181" s="322"/>
      <c r="J181" s="322"/>
      <c r="K181" s="322"/>
      <c r="L181" s="322"/>
      <c r="M181" s="322"/>
      <c r="N181" s="322"/>
      <c r="O181" s="322"/>
      <c r="P181" s="322"/>
      <c r="Q181" s="322"/>
      <c r="R181" s="322"/>
      <c r="S181" s="322"/>
      <c r="T181" s="322"/>
      <c r="U181" s="322"/>
      <c r="V181" s="322"/>
      <c r="W181" s="322"/>
      <c r="X181" s="322"/>
      <c r="Y181" s="322"/>
      <c r="Z181" s="322"/>
      <c r="AA181" s="322"/>
      <c r="AB181" s="322"/>
      <c r="AC181" s="322"/>
      <c r="AD181" s="322"/>
      <c r="AE181" s="322"/>
      <c r="AF181" s="322"/>
      <c r="AG181" s="322"/>
      <c r="AH181" s="322"/>
      <c r="AI181" s="322"/>
      <c r="AJ181" s="322"/>
      <c r="AK181" s="322"/>
    </row>
    <row r="182" spans="1:37" ht="18" customHeight="1">
      <c r="A182" s="322"/>
      <c r="B182" s="322"/>
      <c r="C182" s="451"/>
      <c r="D182" s="322"/>
      <c r="E182" s="322"/>
      <c r="F182" s="322"/>
      <c r="G182" s="322"/>
      <c r="H182" s="322"/>
      <c r="I182" s="322"/>
      <c r="J182" s="322"/>
      <c r="K182" s="322"/>
      <c r="L182" s="322"/>
      <c r="M182" s="322"/>
      <c r="N182" s="322"/>
      <c r="O182" s="322"/>
      <c r="P182" s="322"/>
      <c r="Q182" s="322"/>
      <c r="R182" s="322"/>
      <c r="S182" s="322"/>
      <c r="T182" s="322"/>
      <c r="U182" s="322"/>
      <c r="V182" s="322"/>
      <c r="W182" s="322"/>
      <c r="X182" s="322"/>
      <c r="Y182" s="322"/>
      <c r="Z182" s="322"/>
      <c r="AA182" s="322"/>
      <c r="AB182" s="322"/>
      <c r="AC182" s="322"/>
      <c r="AD182" s="322"/>
      <c r="AE182" s="322"/>
      <c r="AF182" s="322"/>
      <c r="AG182" s="322"/>
      <c r="AH182" s="322"/>
      <c r="AI182" s="322"/>
      <c r="AJ182" s="322"/>
      <c r="AK182" s="322"/>
    </row>
    <row r="183" spans="1:37" ht="18" customHeight="1">
      <c r="A183" s="322"/>
      <c r="B183" s="322"/>
      <c r="C183" s="451"/>
      <c r="D183" s="322"/>
      <c r="E183" s="322"/>
      <c r="F183" s="322"/>
      <c r="G183" s="322"/>
      <c r="H183" s="322"/>
      <c r="I183" s="322"/>
      <c r="J183" s="322"/>
      <c r="K183" s="322"/>
      <c r="L183" s="322"/>
      <c r="M183" s="322"/>
      <c r="N183" s="322"/>
      <c r="O183" s="322"/>
      <c r="P183" s="322"/>
      <c r="Q183" s="322"/>
      <c r="R183" s="322"/>
      <c r="S183" s="322"/>
      <c r="T183" s="322"/>
      <c r="U183" s="322"/>
      <c r="V183" s="322"/>
      <c r="W183" s="322"/>
      <c r="X183" s="322"/>
      <c r="Y183" s="322"/>
      <c r="Z183" s="322"/>
      <c r="AA183" s="322"/>
      <c r="AB183" s="322"/>
      <c r="AC183" s="322"/>
      <c r="AD183" s="322"/>
      <c r="AE183" s="322"/>
      <c r="AF183" s="322"/>
      <c r="AG183" s="322"/>
      <c r="AH183" s="322"/>
      <c r="AI183" s="322"/>
      <c r="AJ183" s="322"/>
      <c r="AK183" s="322"/>
    </row>
    <row r="184" spans="1:37" ht="18" customHeight="1">
      <c r="A184" s="322"/>
      <c r="B184" s="322"/>
      <c r="C184" s="451"/>
      <c r="D184" s="322"/>
      <c r="E184" s="322"/>
      <c r="F184" s="322"/>
      <c r="G184" s="322"/>
      <c r="H184" s="322"/>
      <c r="I184" s="322"/>
      <c r="J184" s="322"/>
      <c r="K184" s="322"/>
      <c r="L184" s="322"/>
      <c r="M184" s="322"/>
      <c r="N184" s="322"/>
      <c r="O184" s="322"/>
      <c r="P184" s="322"/>
      <c r="Q184" s="322"/>
      <c r="R184" s="322"/>
      <c r="S184" s="322"/>
      <c r="T184" s="322"/>
      <c r="U184" s="322"/>
      <c r="V184" s="322"/>
      <c r="W184" s="322"/>
      <c r="X184" s="322"/>
      <c r="Y184" s="322"/>
      <c r="Z184" s="322"/>
      <c r="AA184" s="322"/>
      <c r="AB184" s="322"/>
      <c r="AC184" s="322"/>
      <c r="AD184" s="322"/>
      <c r="AE184" s="322"/>
      <c r="AF184" s="322"/>
      <c r="AG184" s="322"/>
      <c r="AH184" s="322"/>
      <c r="AI184" s="322"/>
      <c r="AJ184" s="322"/>
      <c r="AK184" s="322"/>
    </row>
    <row r="185" spans="1:37" ht="18" customHeight="1">
      <c r="A185" s="322"/>
      <c r="B185" s="322"/>
      <c r="C185" s="451"/>
      <c r="D185" s="322"/>
      <c r="E185" s="322"/>
      <c r="F185" s="322"/>
      <c r="G185" s="322"/>
      <c r="H185" s="322"/>
      <c r="I185" s="322"/>
      <c r="J185" s="322"/>
      <c r="K185" s="322"/>
      <c r="L185" s="322"/>
      <c r="M185" s="322"/>
      <c r="N185" s="322"/>
      <c r="O185" s="322"/>
      <c r="P185" s="322"/>
      <c r="Q185" s="322"/>
      <c r="R185" s="322"/>
      <c r="S185" s="322"/>
      <c r="T185" s="322"/>
      <c r="U185" s="322"/>
      <c r="V185" s="322"/>
      <c r="W185" s="322"/>
      <c r="X185" s="322"/>
      <c r="Y185" s="322"/>
      <c r="Z185" s="322"/>
      <c r="AA185" s="322"/>
      <c r="AB185" s="322"/>
      <c r="AC185" s="322"/>
      <c r="AD185" s="322"/>
      <c r="AE185" s="322"/>
      <c r="AF185" s="322"/>
      <c r="AG185" s="322"/>
      <c r="AH185" s="322"/>
      <c r="AI185" s="322"/>
      <c r="AJ185" s="322"/>
      <c r="AK185" s="322"/>
    </row>
    <row r="186" spans="1:37" ht="18" customHeight="1">
      <c r="A186" s="322"/>
      <c r="B186" s="322"/>
      <c r="C186" s="451"/>
      <c r="D186" s="322"/>
      <c r="E186" s="322"/>
      <c r="F186" s="322"/>
      <c r="G186" s="322"/>
      <c r="H186" s="322"/>
      <c r="I186" s="322"/>
      <c r="J186" s="322"/>
      <c r="K186" s="322"/>
      <c r="L186" s="322"/>
      <c r="M186" s="322"/>
      <c r="N186" s="322"/>
      <c r="O186" s="322"/>
      <c r="P186" s="322"/>
      <c r="Q186" s="322"/>
      <c r="R186" s="322"/>
      <c r="S186" s="322"/>
      <c r="T186" s="322"/>
      <c r="U186" s="322"/>
      <c r="V186" s="322"/>
      <c r="W186" s="322"/>
      <c r="X186" s="322"/>
      <c r="Y186" s="322"/>
      <c r="Z186" s="322"/>
      <c r="AA186" s="322"/>
      <c r="AB186" s="322"/>
      <c r="AC186" s="322"/>
      <c r="AD186" s="322"/>
      <c r="AE186" s="322"/>
      <c r="AF186" s="322"/>
      <c r="AG186" s="322"/>
      <c r="AH186" s="322"/>
      <c r="AI186" s="322"/>
      <c r="AJ186" s="322"/>
      <c r="AK186" s="322"/>
    </row>
    <row r="187" spans="1:37" ht="18" customHeight="1">
      <c r="A187" s="322"/>
      <c r="B187" s="322"/>
      <c r="C187" s="451"/>
      <c r="D187" s="322"/>
      <c r="E187" s="322"/>
      <c r="F187" s="322"/>
      <c r="G187" s="322"/>
      <c r="H187" s="322"/>
      <c r="I187" s="322"/>
      <c r="J187" s="322"/>
      <c r="K187" s="322"/>
      <c r="L187" s="322"/>
      <c r="M187" s="322"/>
      <c r="N187" s="322"/>
      <c r="O187" s="322"/>
      <c r="P187" s="322"/>
      <c r="Q187" s="322"/>
      <c r="R187" s="322"/>
      <c r="S187" s="322"/>
      <c r="T187" s="322"/>
      <c r="U187" s="322"/>
      <c r="V187" s="322"/>
      <c r="W187" s="322"/>
      <c r="X187" s="322"/>
      <c r="Y187" s="322"/>
      <c r="Z187" s="322"/>
      <c r="AA187" s="322"/>
      <c r="AB187" s="322"/>
      <c r="AC187" s="322"/>
      <c r="AD187" s="322"/>
      <c r="AE187" s="322"/>
      <c r="AF187" s="322"/>
      <c r="AG187" s="322"/>
      <c r="AH187" s="322"/>
      <c r="AI187" s="322"/>
      <c r="AJ187" s="322"/>
      <c r="AK187" s="322"/>
    </row>
    <row r="188" spans="1:37" ht="18" customHeight="1">
      <c r="A188" s="322"/>
      <c r="B188" s="322"/>
      <c r="C188" s="451"/>
      <c r="D188" s="322"/>
      <c r="E188" s="322"/>
      <c r="F188" s="322"/>
      <c r="G188" s="322"/>
      <c r="H188" s="322"/>
      <c r="I188" s="322"/>
      <c r="J188" s="322"/>
      <c r="K188" s="322"/>
      <c r="L188" s="322"/>
      <c r="M188" s="322"/>
      <c r="N188" s="322"/>
      <c r="O188" s="322"/>
      <c r="P188" s="322"/>
      <c r="Q188" s="322"/>
      <c r="R188" s="322"/>
      <c r="S188" s="322"/>
      <c r="T188" s="322"/>
      <c r="U188" s="322"/>
      <c r="V188" s="322"/>
      <c r="W188" s="322"/>
      <c r="X188" s="322"/>
      <c r="Y188" s="322"/>
      <c r="Z188" s="322"/>
      <c r="AA188" s="322"/>
      <c r="AB188" s="322"/>
      <c r="AC188" s="322"/>
      <c r="AD188" s="322"/>
      <c r="AE188" s="322"/>
      <c r="AF188" s="322"/>
      <c r="AG188" s="322"/>
      <c r="AH188" s="322"/>
      <c r="AI188" s="322"/>
      <c r="AJ188" s="322"/>
      <c r="AK188" s="322"/>
    </row>
    <row r="189" spans="1:37" ht="18" customHeight="1">
      <c r="A189" s="322"/>
      <c r="B189" s="322"/>
      <c r="C189" s="451"/>
      <c r="D189" s="322"/>
      <c r="E189" s="322"/>
      <c r="F189" s="322"/>
      <c r="G189" s="322"/>
      <c r="H189" s="322"/>
      <c r="I189" s="322"/>
      <c r="J189" s="322"/>
      <c r="K189" s="322"/>
      <c r="L189" s="322"/>
      <c r="M189" s="322"/>
      <c r="N189" s="322"/>
      <c r="O189" s="322"/>
      <c r="P189" s="322"/>
      <c r="Q189" s="322"/>
      <c r="R189" s="322"/>
      <c r="S189" s="322"/>
      <c r="T189" s="322"/>
      <c r="U189" s="322"/>
      <c r="V189" s="322"/>
      <c r="W189" s="322"/>
      <c r="X189" s="322"/>
      <c r="Y189" s="322"/>
      <c r="Z189" s="322"/>
      <c r="AA189" s="322"/>
      <c r="AB189" s="322"/>
      <c r="AC189" s="322"/>
      <c r="AD189" s="322"/>
      <c r="AE189" s="322"/>
      <c r="AF189" s="322"/>
      <c r="AG189" s="322"/>
      <c r="AH189" s="322"/>
      <c r="AI189" s="322"/>
      <c r="AJ189" s="322"/>
      <c r="AK189" s="322"/>
    </row>
    <row r="190" spans="1:37" ht="18" customHeight="1">
      <c r="A190" s="322"/>
      <c r="B190" s="322"/>
      <c r="C190" s="451"/>
      <c r="D190" s="322"/>
      <c r="E190" s="322"/>
      <c r="F190" s="322"/>
      <c r="G190" s="322"/>
      <c r="H190" s="322"/>
      <c r="I190" s="322"/>
      <c r="J190" s="322"/>
      <c r="K190" s="322"/>
      <c r="L190" s="322"/>
      <c r="M190" s="322"/>
      <c r="N190" s="322"/>
      <c r="O190" s="322"/>
      <c r="P190" s="322"/>
      <c r="Q190" s="322"/>
      <c r="R190" s="322"/>
      <c r="S190" s="322"/>
      <c r="T190" s="322"/>
      <c r="U190" s="322"/>
      <c r="V190" s="322"/>
      <c r="W190" s="322"/>
      <c r="X190" s="322"/>
      <c r="Y190" s="322"/>
      <c r="Z190" s="322"/>
      <c r="AA190" s="322"/>
      <c r="AB190" s="322"/>
      <c r="AC190" s="322"/>
      <c r="AD190" s="322"/>
      <c r="AE190" s="322"/>
      <c r="AF190" s="322"/>
      <c r="AG190" s="322"/>
      <c r="AH190" s="322"/>
      <c r="AI190" s="322"/>
      <c r="AJ190" s="322"/>
      <c r="AK190" s="322"/>
    </row>
    <row r="191" spans="1:37" ht="18" customHeight="1">
      <c r="A191" s="322"/>
      <c r="B191" s="322"/>
      <c r="C191" s="451"/>
      <c r="D191" s="322"/>
      <c r="E191" s="322"/>
      <c r="F191" s="322"/>
      <c r="G191" s="322"/>
      <c r="H191" s="322"/>
      <c r="I191" s="322"/>
      <c r="J191" s="322"/>
      <c r="K191" s="322"/>
      <c r="L191" s="322"/>
      <c r="M191" s="322"/>
      <c r="N191" s="322"/>
      <c r="O191" s="322"/>
      <c r="P191" s="322"/>
      <c r="Q191" s="322"/>
      <c r="R191" s="322"/>
      <c r="S191" s="322"/>
      <c r="T191" s="322"/>
      <c r="U191" s="322"/>
      <c r="V191" s="322"/>
      <c r="W191" s="322"/>
      <c r="X191" s="322"/>
      <c r="Y191" s="322"/>
      <c r="Z191" s="322"/>
      <c r="AA191" s="322"/>
      <c r="AB191" s="322"/>
      <c r="AC191" s="322"/>
      <c r="AD191" s="322"/>
      <c r="AE191" s="322"/>
      <c r="AF191" s="322"/>
      <c r="AG191" s="322"/>
      <c r="AH191" s="322"/>
      <c r="AI191" s="322"/>
      <c r="AJ191" s="322"/>
      <c r="AK191" s="322"/>
    </row>
    <row r="192" spans="1:37" ht="18" customHeight="1">
      <c r="A192" s="322"/>
      <c r="B192" s="322"/>
      <c r="C192" s="451"/>
      <c r="D192" s="322"/>
      <c r="E192" s="322"/>
      <c r="F192" s="322"/>
      <c r="G192" s="322"/>
      <c r="H192" s="322"/>
      <c r="I192" s="322"/>
      <c r="J192" s="322"/>
      <c r="K192" s="322"/>
      <c r="L192" s="322"/>
      <c r="M192" s="322"/>
      <c r="N192" s="322"/>
      <c r="O192" s="322"/>
      <c r="P192" s="322"/>
      <c r="Q192" s="322"/>
      <c r="R192" s="322"/>
      <c r="S192" s="322"/>
      <c r="T192" s="322"/>
      <c r="U192" s="322"/>
      <c r="V192" s="322"/>
      <c r="W192" s="322"/>
      <c r="X192" s="322"/>
      <c r="Y192" s="322"/>
      <c r="Z192" s="322"/>
      <c r="AA192" s="322"/>
      <c r="AB192" s="322"/>
      <c r="AC192" s="322"/>
      <c r="AD192" s="322"/>
      <c r="AE192" s="322"/>
      <c r="AF192" s="322"/>
      <c r="AG192" s="322"/>
      <c r="AH192" s="322"/>
      <c r="AI192" s="322"/>
      <c r="AJ192" s="322"/>
      <c r="AK192" s="322"/>
    </row>
    <row r="193" spans="1:37" ht="18" customHeight="1">
      <c r="A193" s="322"/>
      <c r="B193" s="322"/>
      <c r="C193" s="451"/>
      <c r="D193" s="322"/>
      <c r="E193" s="322"/>
      <c r="F193" s="322"/>
      <c r="G193" s="322"/>
      <c r="H193" s="322"/>
      <c r="I193" s="322"/>
      <c r="J193" s="322"/>
      <c r="K193" s="322"/>
      <c r="L193" s="322"/>
      <c r="M193" s="322"/>
      <c r="N193" s="322"/>
      <c r="O193" s="322"/>
      <c r="P193" s="322"/>
      <c r="Q193" s="322"/>
      <c r="R193" s="322"/>
      <c r="S193" s="322"/>
      <c r="T193" s="322"/>
      <c r="U193" s="322"/>
      <c r="V193" s="322"/>
      <c r="W193" s="322"/>
      <c r="X193" s="322"/>
      <c r="Y193" s="322"/>
      <c r="Z193" s="322"/>
      <c r="AA193" s="322"/>
      <c r="AB193" s="322"/>
      <c r="AC193" s="322"/>
      <c r="AD193" s="322"/>
      <c r="AE193" s="322"/>
      <c r="AF193" s="322"/>
      <c r="AG193" s="322"/>
      <c r="AH193" s="322"/>
      <c r="AI193" s="322"/>
      <c r="AJ193" s="322"/>
      <c r="AK193" s="322"/>
    </row>
    <row r="194" spans="1:37" ht="18" customHeight="1">
      <c r="A194" s="322"/>
      <c r="B194" s="322"/>
      <c r="C194" s="451"/>
      <c r="D194" s="322"/>
      <c r="E194" s="322"/>
      <c r="F194" s="322"/>
      <c r="G194" s="322"/>
      <c r="H194" s="322"/>
      <c r="I194" s="322"/>
      <c r="J194" s="322"/>
      <c r="K194" s="322"/>
      <c r="L194" s="322"/>
      <c r="M194" s="322"/>
      <c r="N194" s="322"/>
      <c r="O194" s="322"/>
      <c r="P194" s="322"/>
      <c r="Q194" s="322"/>
      <c r="R194" s="322"/>
      <c r="S194" s="322"/>
      <c r="T194" s="322"/>
      <c r="U194" s="322"/>
      <c r="V194" s="322"/>
      <c r="W194" s="322"/>
      <c r="X194" s="322"/>
      <c r="Y194" s="322"/>
      <c r="Z194" s="322"/>
      <c r="AA194" s="322"/>
      <c r="AB194" s="322"/>
      <c r="AC194" s="322"/>
      <c r="AD194" s="322"/>
      <c r="AE194" s="322"/>
      <c r="AF194" s="322"/>
      <c r="AG194" s="322"/>
      <c r="AH194" s="322"/>
      <c r="AI194" s="322"/>
      <c r="AJ194" s="322"/>
      <c r="AK194" s="322"/>
    </row>
    <row r="195" spans="1:37" ht="18" customHeight="1">
      <c r="A195" s="322"/>
      <c r="B195" s="322"/>
      <c r="C195" s="451"/>
      <c r="D195" s="322"/>
      <c r="E195" s="322"/>
      <c r="F195" s="322"/>
      <c r="G195" s="322"/>
      <c r="H195" s="322"/>
      <c r="I195" s="322"/>
      <c r="J195" s="322"/>
      <c r="K195" s="322"/>
      <c r="L195" s="322"/>
      <c r="M195" s="322"/>
      <c r="N195" s="322"/>
      <c r="O195" s="322"/>
      <c r="P195" s="322"/>
      <c r="Q195" s="322"/>
      <c r="R195" s="322"/>
      <c r="S195" s="322"/>
      <c r="T195" s="322"/>
      <c r="U195" s="322"/>
      <c r="V195" s="322"/>
      <c r="W195" s="322"/>
      <c r="X195" s="322"/>
      <c r="Y195" s="322"/>
      <c r="Z195" s="322"/>
      <c r="AA195" s="322"/>
      <c r="AB195" s="322"/>
      <c r="AC195" s="322"/>
      <c r="AD195" s="322"/>
      <c r="AE195" s="322"/>
      <c r="AF195" s="322"/>
      <c r="AG195" s="322"/>
      <c r="AH195" s="322"/>
      <c r="AI195" s="322"/>
      <c r="AJ195" s="322"/>
      <c r="AK195" s="322"/>
    </row>
    <row r="196" spans="1:37" ht="18" customHeight="1">
      <c r="A196" s="322"/>
      <c r="B196" s="322"/>
      <c r="C196" s="451"/>
      <c r="D196" s="322"/>
      <c r="E196" s="322"/>
      <c r="F196" s="322"/>
      <c r="G196" s="322"/>
      <c r="H196" s="322"/>
      <c r="I196" s="322"/>
      <c r="J196" s="322"/>
      <c r="K196" s="322"/>
      <c r="L196" s="322"/>
      <c r="M196" s="322"/>
      <c r="N196" s="322"/>
      <c r="O196" s="322"/>
      <c r="P196" s="322"/>
      <c r="Q196" s="322"/>
      <c r="R196" s="322"/>
      <c r="S196" s="322"/>
      <c r="T196" s="322"/>
      <c r="U196" s="322"/>
      <c r="V196" s="322"/>
      <c r="W196" s="322"/>
      <c r="X196" s="322"/>
      <c r="Y196" s="322"/>
      <c r="Z196" s="322"/>
      <c r="AA196" s="322"/>
      <c r="AB196" s="322"/>
      <c r="AC196" s="322"/>
      <c r="AD196" s="322"/>
      <c r="AE196" s="322"/>
      <c r="AF196" s="322"/>
      <c r="AG196" s="322"/>
      <c r="AH196" s="322"/>
      <c r="AI196" s="322"/>
      <c r="AJ196" s="322"/>
      <c r="AK196" s="322"/>
    </row>
    <row r="197" spans="1:37" ht="18" customHeight="1">
      <c r="A197" s="322"/>
      <c r="B197" s="322"/>
      <c r="C197" s="451"/>
      <c r="D197" s="322"/>
      <c r="E197" s="322"/>
      <c r="F197" s="322"/>
      <c r="G197" s="322"/>
      <c r="H197" s="322"/>
      <c r="I197" s="322"/>
      <c r="J197" s="322"/>
      <c r="K197" s="322"/>
      <c r="L197" s="322"/>
      <c r="M197" s="322"/>
      <c r="N197" s="322"/>
      <c r="O197" s="322"/>
      <c r="P197" s="322"/>
      <c r="Q197" s="322"/>
      <c r="R197" s="322"/>
      <c r="S197" s="322"/>
      <c r="T197" s="322"/>
      <c r="U197" s="322"/>
      <c r="V197" s="322"/>
      <c r="W197" s="322"/>
      <c r="X197" s="322"/>
      <c r="Y197" s="322"/>
      <c r="Z197" s="322"/>
      <c r="AA197" s="322"/>
      <c r="AB197" s="322"/>
      <c r="AC197" s="322"/>
      <c r="AD197" s="322"/>
      <c r="AE197" s="322"/>
      <c r="AF197" s="322"/>
      <c r="AG197" s="322"/>
      <c r="AH197" s="322"/>
      <c r="AI197" s="322"/>
      <c r="AJ197" s="322"/>
      <c r="AK197" s="322"/>
    </row>
    <row r="198" spans="1:37" ht="18" customHeight="1">
      <c r="A198" s="322"/>
      <c r="B198" s="322"/>
      <c r="C198" s="451"/>
      <c r="D198" s="322"/>
      <c r="E198" s="322"/>
      <c r="F198" s="322"/>
      <c r="G198" s="322"/>
      <c r="H198" s="322"/>
      <c r="I198" s="322"/>
      <c r="J198" s="322"/>
      <c r="K198" s="322"/>
      <c r="L198" s="322"/>
      <c r="M198" s="322"/>
      <c r="N198" s="322"/>
      <c r="O198" s="322"/>
      <c r="P198" s="322"/>
      <c r="Q198" s="322"/>
      <c r="R198" s="322"/>
      <c r="S198" s="322"/>
      <c r="T198" s="322"/>
      <c r="U198" s="322"/>
      <c r="V198" s="322"/>
      <c r="W198" s="322"/>
      <c r="X198" s="322"/>
      <c r="Y198" s="322"/>
      <c r="Z198" s="322"/>
      <c r="AA198" s="322"/>
      <c r="AB198" s="322"/>
      <c r="AC198" s="322"/>
      <c r="AD198" s="322"/>
      <c r="AE198" s="322"/>
      <c r="AF198" s="322"/>
      <c r="AG198" s="322"/>
      <c r="AH198" s="322"/>
      <c r="AI198" s="322"/>
      <c r="AJ198" s="322"/>
      <c r="AK198" s="322"/>
    </row>
    <row r="199" spans="1:37" ht="18" customHeight="1">
      <c r="A199" s="322"/>
      <c r="B199" s="322"/>
      <c r="C199" s="451"/>
      <c r="D199" s="322"/>
      <c r="E199" s="322"/>
      <c r="F199" s="322"/>
      <c r="G199" s="322"/>
      <c r="H199" s="322"/>
      <c r="I199" s="322"/>
      <c r="J199" s="322"/>
      <c r="K199" s="322"/>
      <c r="L199" s="322"/>
      <c r="M199" s="322"/>
      <c r="N199" s="322"/>
      <c r="O199" s="322"/>
      <c r="P199" s="322"/>
      <c r="Q199" s="322"/>
      <c r="R199" s="322"/>
      <c r="S199" s="322"/>
      <c r="T199" s="322"/>
      <c r="U199" s="322"/>
      <c r="V199" s="322"/>
      <c r="W199" s="322"/>
      <c r="X199" s="322"/>
      <c r="Y199" s="322"/>
      <c r="Z199" s="322"/>
      <c r="AA199" s="322"/>
      <c r="AB199" s="322"/>
      <c r="AC199" s="322"/>
      <c r="AD199" s="322"/>
      <c r="AE199" s="322"/>
      <c r="AF199" s="322"/>
      <c r="AG199" s="322"/>
      <c r="AH199" s="322"/>
      <c r="AI199" s="322"/>
      <c r="AJ199" s="322"/>
      <c r="AK199" s="322"/>
    </row>
    <row r="200" spans="1:37" ht="18" customHeight="1">
      <c r="A200" s="322"/>
      <c r="B200" s="322"/>
      <c r="C200" s="451"/>
      <c r="D200" s="322"/>
      <c r="E200" s="322"/>
      <c r="F200" s="322"/>
      <c r="G200" s="322"/>
      <c r="H200" s="322"/>
      <c r="I200" s="322"/>
      <c r="J200" s="322"/>
      <c r="K200" s="322"/>
      <c r="L200" s="322"/>
      <c r="M200" s="322"/>
      <c r="N200" s="322"/>
      <c r="O200" s="322"/>
      <c r="P200" s="322"/>
      <c r="Q200" s="322"/>
      <c r="R200" s="322"/>
      <c r="S200" s="322"/>
      <c r="T200" s="322"/>
      <c r="U200" s="322"/>
      <c r="V200" s="322"/>
      <c r="W200" s="322"/>
      <c r="X200" s="322"/>
      <c r="Y200" s="322"/>
      <c r="Z200" s="322"/>
      <c r="AA200" s="322"/>
      <c r="AB200" s="322"/>
      <c r="AC200" s="322"/>
      <c r="AD200" s="322"/>
      <c r="AE200" s="322"/>
      <c r="AF200" s="322"/>
      <c r="AG200" s="322"/>
      <c r="AH200" s="322"/>
      <c r="AI200" s="322"/>
      <c r="AJ200" s="322"/>
      <c r="AK200" s="322"/>
    </row>
    <row r="201" spans="1:37" ht="18" customHeight="1">
      <c r="A201" s="322"/>
      <c r="B201" s="322"/>
      <c r="C201" s="451"/>
      <c r="D201" s="322"/>
      <c r="E201" s="322"/>
      <c r="F201" s="322"/>
      <c r="G201" s="322"/>
      <c r="H201" s="322"/>
      <c r="I201" s="322"/>
      <c r="J201" s="322"/>
      <c r="K201" s="322"/>
      <c r="L201" s="322"/>
      <c r="M201" s="322"/>
      <c r="N201" s="322"/>
      <c r="O201" s="322"/>
      <c r="P201" s="322"/>
      <c r="Q201" s="322"/>
      <c r="R201" s="322"/>
      <c r="S201" s="322"/>
      <c r="T201" s="322"/>
      <c r="U201" s="322"/>
      <c r="V201" s="322"/>
      <c r="W201" s="322"/>
      <c r="X201" s="322"/>
      <c r="Y201" s="322"/>
      <c r="Z201" s="322"/>
      <c r="AA201" s="322"/>
      <c r="AB201" s="322"/>
      <c r="AC201" s="322"/>
      <c r="AD201" s="322"/>
      <c r="AE201" s="322"/>
      <c r="AF201" s="322"/>
      <c r="AG201" s="322"/>
      <c r="AH201" s="322"/>
      <c r="AI201" s="322"/>
      <c r="AJ201" s="322"/>
      <c r="AK201" s="322"/>
    </row>
    <row r="202" spans="1:37" ht="18" customHeight="1">
      <c r="A202" s="322"/>
      <c r="B202" s="322"/>
      <c r="C202" s="451"/>
      <c r="D202" s="322"/>
      <c r="E202" s="322"/>
      <c r="F202" s="322"/>
      <c r="G202" s="322"/>
      <c r="H202" s="322"/>
      <c r="I202" s="322"/>
      <c r="J202" s="322"/>
      <c r="K202" s="322"/>
      <c r="L202" s="322"/>
      <c r="M202" s="322"/>
      <c r="N202" s="322"/>
      <c r="O202" s="322"/>
      <c r="P202" s="322"/>
      <c r="Q202" s="322"/>
      <c r="R202" s="322"/>
      <c r="S202" s="322"/>
      <c r="T202" s="322"/>
      <c r="U202" s="322"/>
      <c r="V202" s="322"/>
      <c r="W202" s="322"/>
      <c r="X202" s="322"/>
      <c r="Y202" s="322"/>
      <c r="Z202" s="322"/>
      <c r="AA202" s="322"/>
      <c r="AB202" s="322"/>
      <c r="AC202" s="322"/>
      <c r="AD202" s="322"/>
      <c r="AE202" s="322"/>
      <c r="AF202" s="322"/>
      <c r="AG202" s="322"/>
      <c r="AH202" s="322"/>
      <c r="AI202" s="322"/>
      <c r="AJ202" s="322"/>
      <c r="AK202" s="322"/>
    </row>
    <row r="203" spans="1:37" ht="18" customHeight="1">
      <c r="A203" s="322"/>
      <c r="B203" s="322"/>
      <c r="C203" s="451"/>
      <c r="D203" s="322"/>
      <c r="E203" s="322"/>
      <c r="F203" s="322"/>
      <c r="G203" s="322"/>
      <c r="H203" s="322"/>
      <c r="I203" s="322"/>
      <c r="J203" s="322"/>
      <c r="K203" s="322"/>
      <c r="L203" s="322"/>
      <c r="M203" s="322"/>
      <c r="N203" s="322"/>
      <c r="O203" s="322"/>
      <c r="P203" s="322"/>
      <c r="Q203" s="322"/>
      <c r="R203" s="322"/>
      <c r="S203" s="322"/>
      <c r="T203" s="322"/>
      <c r="U203" s="322"/>
      <c r="V203" s="322"/>
      <c r="W203" s="322"/>
      <c r="X203" s="322"/>
      <c r="Y203" s="322"/>
      <c r="Z203" s="322"/>
      <c r="AA203" s="322"/>
      <c r="AB203" s="322"/>
      <c r="AC203" s="322"/>
      <c r="AD203" s="322"/>
      <c r="AE203" s="322"/>
      <c r="AF203" s="322"/>
      <c r="AG203" s="322"/>
      <c r="AH203" s="322"/>
      <c r="AI203" s="322"/>
      <c r="AJ203" s="322"/>
      <c r="AK203" s="322"/>
    </row>
    <row r="204" spans="1:37" ht="18" customHeight="1">
      <c r="A204" s="322"/>
      <c r="B204" s="322"/>
      <c r="C204" s="451"/>
      <c r="D204" s="322"/>
      <c r="E204" s="322"/>
      <c r="F204" s="322"/>
      <c r="G204" s="322"/>
      <c r="H204" s="322"/>
      <c r="I204" s="322"/>
      <c r="J204" s="322"/>
      <c r="K204" s="322"/>
      <c r="L204" s="322"/>
      <c r="M204" s="322"/>
      <c r="N204" s="322"/>
      <c r="O204" s="322"/>
      <c r="P204" s="322"/>
      <c r="Q204" s="322"/>
      <c r="R204" s="322"/>
      <c r="S204" s="322"/>
      <c r="T204" s="322"/>
      <c r="U204" s="322"/>
      <c r="V204" s="322"/>
      <c r="W204" s="322"/>
      <c r="X204" s="322"/>
      <c r="Y204" s="322"/>
      <c r="Z204" s="322"/>
      <c r="AA204" s="322"/>
      <c r="AB204" s="322"/>
      <c r="AC204" s="322"/>
      <c r="AD204" s="322"/>
      <c r="AE204" s="322"/>
      <c r="AF204" s="322"/>
      <c r="AG204" s="322"/>
      <c r="AH204" s="322"/>
      <c r="AI204" s="322"/>
      <c r="AJ204" s="322"/>
      <c r="AK204" s="322"/>
    </row>
    <row r="205" spans="1:37" ht="18" customHeight="1">
      <c r="A205" s="322"/>
      <c r="B205" s="322"/>
      <c r="C205" s="451"/>
      <c r="D205" s="322"/>
      <c r="E205" s="322"/>
      <c r="F205" s="322"/>
      <c r="G205" s="322"/>
      <c r="H205" s="322"/>
      <c r="I205" s="322"/>
      <c r="J205" s="322"/>
      <c r="K205" s="322"/>
      <c r="L205" s="322"/>
      <c r="M205" s="322"/>
      <c r="N205" s="322"/>
      <c r="O205" s="322"/>
      <c r="P205" s="322"/>
      <c r="Q205" s="322"/>
      <c r="R205" s="322"/>
      <c r="S205" s="322"/>
      <c r="T205" s="322"/>
      <c r="U205" s="322"/>
      <c r="V205" s="322"/>
      <c r="W205" s="322"/>
      <c r="X205" s="322"/>
      <c r="Y205" s="322"/>
      <c r="Z205" s="322"/>
      <c r="AA205" s="322"/>
      <c r="AB205" s="322"/>
      <c r="AC205" s="322"/>
      <c r="AD205" s="322"/>
      <c r="AE205" s="322"/>
      <c r="AF205" s="322"/>
      <c r="AG205" s="322"/>
      <c r="AH205" s="322"/>
      <c r="AI205" s="322"/>
      <c r="AJ205" s="322"/>
      <c r="AK205" s="322"/>
    </row>
    <row r="206" spans="1:37" ht="18" customHeight="1">
      <c r="A206" s="322"/>
      <c r="B206" s="322"/>
      <c r="C206" s="451"/>
      <c r="D206" s="322"/>
      <c r="E206" s="322"/>
      <c r="F206" s="322"/>
      <c r="G206" s="322"/>
      <c r="H206" s="322"/>
      <c r="I206" s="322"/>
      <c r="J206" s="322"/>
      <c r="K206" s="322"/>
      <c r="L206" s="322"/>
      <c r="M206" s="322"/>
      <c r="N206" s="322"/>
      <c r="O206" s="322"/>
      <c r="P206" s="322"/>
      <c r="Q206" s="322"/>
      <c r="R206" s="322"/>
      <c r="S206" s="322"/>
      <c r="T206" s="322"/>
      <c r="U206" s="322"/>
      <c r="V206" s="322"/>
      <c r="W206" s="322"/>
      <c r="X206" s="322"/>
      <c r="Y206" s="322"/>
      <c r="Z206" s="322"/>
      <c r="AA206" s="322"/>
      <c r="AB206" s="322"/>
      <c r="AC206" s="322"/>
      <c r="AD206" s="322"/>
      <c r="AE206" s="322"/>
      <c r="AF206" s="322"/>
      <c r="AG206" s="322"/>
      <c r="AH206" s="322"/>
      <c r="AI206" s="322"/>
      <c r="AJ206" s="322"/>
      <c r="AK206" s="322"/>
    </row>
    <row r="207" spans="1:37" ht="18" customHeight="1">
      <c r="A207" s="322"/>
      <c r="B207" s="322"/>
      <c r="C207" s="451"/>
      <c r="D207" s="322"/>
      <c r="E207" s="322"/>
      <c r="F207" s="322"/>
      <c r="G207" s="322"/>
      <c r="H207" s="322"/>
      <c r="I207" s="322"/>
      <c r="J207" s="322"/>
      <c r="K207" s="322"/>
      <c r="L207" s="322"/>
      <c r="M207" s="322"/>
      <c r="N207" s="322"/>
      <c r="O207" s="322"/>
      <c r="P207" s="322"/>
      <c r="Q207" s="322"/>
      <c r="R207" s="322"/>
      <c r="S207" s="322"/>
      <c r="T207" s="322"/>
      <c r="U207" s="322"/>
      <c r="V207" s="322"/>
      <c r="W207" s="322"/>
      <c r="X207" s="322"/>
      <c r="Y207" s="322"/>
      <c r="Z207" s="322"/>
      <c r="AA207" s="322"/>
      <c r="AB207" s="322"/>
      <c r="AC207" s="322"/>
      <c r="AD207" s="322"/>
      <c r="AE207" s="322"/>
      <c r="AF207" s="322"/>
      <c r="AG207" s="322"/>
      <c r="AH207" s="322"/>
      <c r="AI207" s="322"/>
      <c r="AJ207" s="322"/>
      <c r="AK207" s="322"/>
    </row>
    <row r="208" spans="1:37" ht="18" customHeight="1">
      <c r="A208" s="322"/>
      <c r="B208" s="322"/>
      <c r="C208" s="451"/>
      <c r="D208" s="322"/>
      <c r="E208" s="322"/>
      <c r="F208" s="322"/>
      <c r="G208" s="322"/>
      <c r="H208" s="322"/>
      <c r="I208" s="322"/>
      <c r="J208" s="322"/>
      <c r="K208" s="322"/>
      <c r="L208" s="322"/>
      <c r="M208" s="322"/>
      <c r="N208" s="322"/>
      <c r="O208" s="322"/>
      <c r="P208" s="322"/>
      <c r="Q208" s="322"/>
      <c r="R208" s="322"/>
      <c r="S208" s="322"/>
      <c r="T208" s="322"/>
      <c r="U208" s="322"/>
      <c r="V208" s="322"/>
      <c r="W208" s="322"/>
      <c r="X208" s="322"/>
      <c r="Y208" s="322"/>
      <c r="Z208" s="322"/>
      <c r="AA208" s="322"/>
      <c r="AB208" s="322"/>
      <c r="AC208" s="322"/>
      <c r="AD208" s="322"/>
      <c r="AE208" s="322"/>
      <c r="AF208" s="322"/>
      <c r="AG208" s="322"/>
      <c r="AH208" s="322"/>
      <c r="AI208" s="322"/>
      <c r="AJ208" s="322"/>
      <c r="AK208" s="322"/>
    </row>
    <row r="209" spans="1:37" ht="18" customHeight="1">
      <c r="A209" s="322"/>
      <c r="B209" s="322"/>
      <c r="C209" s="451"/>
      <c r="D209" s="322"/>
      <c r="E209" s="322"/>
      <c r="F209" s="322"/>
      <c r="G209" s="322"/>
      <c r="H209" s="322"/>
      <c r="I209" s="322"/>
      <c r="J209" s="322"/>
      <c r="K209" s="322"/>
      <c r="L209" s="322"/>
      <c r="M209" s="322"/>
      <c r="N209" s="322"/>
      <c r="O209" s="322"/>
      <c r="P209" s="322"/>
      <c r="Q209" s="322"/>
      <c r="R209" s="322"/>
      <c r="S209" s="322"/>
      <c r="T209" s="322"/>
      <c r="U209" s="322"/>
      <c r="V209" s="322"/>
      <c r="W209" s="322"/>
      <c r="X209" s="322"/>
      <c r="Y209" s="322"/>
      <c r="Z209" s="322"/>
      <c r="AA209" s="322"/>
      <c r="AB209" s="322"/>
      <c r="AC209" s="322"/>
      <c r="AD209" s="322"/>
      <c r="AE209" s="322"/>
      <c r="AF209" s="322"/>
      <c r="AG209" s="322"/>
      <c r="AH209" s="322"/>
      <c r="AI209" s="322"/>
      <c r="AJ209" s="322"/>
      <c r="AK209" s="322"/>
    </row>
    <row r="210" spans="1:37" ht="18" customHeight="1">
      <c r="A210" s="322"/>
      <c r="B210" s="322"/>
      <c r="C210" s="451"/>
      <c r="D210" s="322"/>
      <c r="E210" s="322"/>
      <c r="F210" s="322"/>
      <c r="G210" s="322"/>
      <c r="H210" s="322"/>
      <c r="I210" s="322"/>
      <c r="J210" s="322"/>
      <c r="K210" s="322"/>
      <c r="L210" s="322"/>
      <c r="M210" s="322"/>
      <c r="N210" s="322"/>
      <c r="O210" s="322"/>
      <c r="P210" s="322"/>
      <c r="Q210" s="322"/>
      <c r="R210" s="322"/>
      <c r="S210" s="322"/>
      <c r="T210" s="322"/>
      <c r="U210" s="322"/>
      <c r="V210" s="322"/>
      <c r="W210" s="322"/>
      <c r="X210" s="322"/>
      <c r="Y210" s="322"/>
      <c r="Z210" s="322"/>
      <c r="AA210" s="322"/>
      <c r="AB210" s="322"/>
      <c r="AC210" s="322"/>
      <c r="AD210" s="322"/>
      <c r="AE210" s="322"/>
      <c r="AF210" s="322"/>
      <c r="AG210" s="322"/>
      <c r="AH210" s="322"/>
      <c r="AI210" s="322"/>
      <c r="AJ210" s="322"/>
      <c r="AK210" s="322"/>
    </row>
    <row r="211" spans="1:37" ht="18" customHeight="1">
      <c r="A211" s="322"/>
      <c r="B211" s="322"/>
      <c r="C211" s="451"/>
      <c r="D211" s="322"/>
      <c r="E211" s="322"/>
      <c r="F211" s="322"/>
      <c r="G211" s="322"/>
      <c r="H211" s="322"/>
      <c r="I211" s="322"/>
      <c r="J211" s="322"/>
      <c r="K211" s="322"/>
      <c r="L211" s="322"/>
      <c r="M211" s="322"/>
      <c r="N211" s="322"/>
      <c r="O211" s="322"/>
      <c r="P211" s="322"/>
      <c r="Q211" s="322"/>
      <c r="R211" s="322"/>
      <c r="S211" s="322"/>
      <c r="T211" s="322"/>
      <c r="U211" s="322"/>
      <c r="V211" s="322"/>
      <c r="W211" s="322"/>
      <c r="X211" s="322"/>
      <c r="Y211" s="322"/>
      <c r="Z211" s="322"/>
      <c r="AA211" s="322"/>
      <c r="AB211" s="322"/>
      <c r="AC211" s="322"/>
      <c r="AD211" s="322"/>
      <c r="AE211" s="322"/>
      <c r="AF211" s="322"/>
      <c r="AG211" s="322"/>
      <c r="AH211" s="322"/>
      <c r="AI211" s="322"/>
      <c r="AJ211" s="322"/>
      <c r="AK211" s="322"/>
    </row>
    <row r="212" spans="1:37" ht="18" customHeight="1">
      <c r="A212" s="322"/>
      <c r="B212" s="322"/>
      <c r="C212" s="451"/>
      <c r="D212" s="322"/>
      <c r="E212" s="322"/>
      <c r="F212" s="322"/>
      <c r="G212" s="322"/>
      <c r="H212" s="322"/>
      <c r="I212" s="322"/>
      <c r="J212" s="322"/>
      <c r="K212" s="322"/>
      <c r="L212" s="322"/>
      <c r="M212" s="322"/>
      <c r="N212" s="322"/>
      <c r="O212" s="322"/>
      <c r="P212" s="322"/>
      <c r="Q212" s="322"/>
      <c r="R212" s="322"/>
      <c r="S212" s="322"/>
      <c r="T212" s="322"/>
      <c r="U212" s="322"/>
      <c r="V212" s="322"/>
      <c r="W212" s="322"/>
      <c r="X212" s="322"/>
      <c r="Y212" s="322"/>
      <c r="Z212" s="322"/>
      <c r="AA212" s="322"/>
      <c r="AB212" s="322"/>
      <c r="AC212" s="322"/>
      <c r="AD212" s="322"/>
      <c r="AE212" s="322"/>
      <c r="AF212" s="322"/>
      <c r="AG212" s="322"/>
      <c r="AH212" s="322"/>
      <c r="AI212" s="322"/>
      <c r="AJ212" s="322"/>
      <c r="AK212" s="322"/>
    </row>
    <row r="213" spans="1:37" ht="18" customHeight="1">
      <c r="A213" s="322"/>
      <c r="B213" s="322"/>
      <c r="C213" s="451"/>
      <c r="D213" s="322"/>
      <c r="E213" s="322"/>
      <c r="F213" s="322"/>
      <c r="G213" s="322"/>
      <c r="H213" s="322"/>
      <c r="I213" s="322"/>
      <c r="J213" s="322"/>
      <c r="K213" s="322"/>
      <c r="L213" s="322"/>
      <c r="M213" s="322"/>
      <c r="N213" s="322"/>
      <c r="O213" s="322"/>
      <c r="P213" s="322"/>
      <c r="Q213" s="322"/>
      <c r="R213" s="322"/>
      <c r="S213" s="322"/>
      <c r="T213" s="322"/>
      <c r="U213" s="322"/>
      <c r="V213" s="322"/>
      <c r="W213" s="322"/>
      <c r="X213" s="322"/>
      <c r="Y213" s="322"/>
      <c r="Z213" s="322"/>
      <c r="AA213" s="322"/>
      <c r="AB213" s="322"/>
      <c r="AC213" s="322"/>
      <c r="AD213" s="322"/>
      <c r="AE213" s="322"/>
      <c r="AF213" s="322"/>
      <c r="AG213" s="322"/>
      <c r="AH213" s="322"/>
      <c r="AI213" s="322"/>
      <c r="AJ213" s="322"/>
      <c r="AK213" s="322"/>
    </row>
    <row r="214" spans="1:37" ht="18" customHeight="1">
      <c r="A214" s="322"/>
      <c r="B214" s="322"/>
      <c r="C214" s="451"/>
      <c r="D214" s="322"/>
      <c r="E214" s="322"/>
      <c r="F214" s="322"/>
      <c r="G214" s="322"/>
      <c r="H214" s="322"/>
      <c r="I214" s="322"/>
      <c r="J214" s="322"/>
      <c r="K214" s="322"/>
      <c r="L214" s="322"/>
      <c r="M214" s="322"/>
      <c r="N214" s="322"/>
      <c r="O214" s="322"/>
      <c r="P214" s="322"/>
      <c r="Q214" s="322"/>
      <c r="R214" s="322"/>
      <c r="S214" s="322"/>
      <c r="T214" s="322"/>
      <c r="U214" s="322"/>
      <c r="V214" s="322"/>
      <c r="W214" s="322"/>
      <c r="X214" s="322"/>
      <c r="Y214" s="322"/>
      <c r="Z214" s="322"/>
      <c r="AA214" s="322"/>
      <c r="AB214" s="322"/>
      <c r="AC214" s="322"/>
      <c r="AD214" s="322"/>
      <c r="AE214" s="322"/>
      <c r="AF214" s="322"/>
      <c r="AG214" s="322"/>
      <c r="AH214" s="322"/>
      <c r="AI214" s="322"/>
      <c r="AJ214" s="322"/>
      <c r="AK214" s="322"/>
    </row>
    <row r="215" spans="1:37" ht="18" customHeight="1">
      <c r="A215" s="322"/>
      <c r="B215" s="322"/>
      <c r="C215" s="451"/>
      <c r="D215" s="322"/>
      <c r="E215" s="322"/>
      <c r="F215" s="322"/>
      <c r="G215" s="322"/>
      <c r="H215" s="322"/>
      <c r="I215" s="322"/>
      <c r="J215" s="322"/>
      <c r="K215" s="322"/>
      <c r="L215" s="322"/>
      <c r="M215" s="322"/>
      <c r="N215" s="322"/>
      <c r="O215" s="322"/>
      <c r="P215" s="322"/>
      <c r="Q215" s="322"/>
      <c r="R215" s="322"/>
      <c r="S215" s="322"/>
      <c r="T215" s="322"/>
      <c r="U215" s="322"/>
      <c r="V215" s="322"/>
      <c r="W215" s="322"/>
      <c r="X215" s="322"/>
      <c r="Y215" s="322"/>
      <c r="Z215" s="322"/>
      <c r="AA215" s="322"/>
      <c r="AB215" s="322"/>
      <c r="AC215" s="322"/>
      <c r="AD215" s="322"/>
      <c r="AE215" s="322"/>
      <c r="AF215" s="322"/>
      <c r="AG215" s="322"/>
      <c r="AH215" s="322"/>
      <c r="AI215" s="322"/>
      <c r="AJ215" s="322"/>
      <c r="AK215" s="322"/>
    </row>
    <row r="216" spans="1:37" ht="18" customHeight="1">
      <c r="A216" s="322"/>
      <c r="B216" s="322"/>
      <c r="C216" s="451"/>
      <c r="D216" s="322"/>
      <c r="E216" s="322"/>
      <c r="F216" s="322"/>
      <c r="G216" s="322"/>
      <c r="H216" s="322"/>
      <c r="I216" s="322"/>
      <c r="J216" s="322"/>
      <c r="K216" s="322"/>
      <c r="L216" s="322"/>
      <c r="M216" s="322"/>
      <c r="N216" s="322"/>
      <c r="O216" s="322"/>
      <c r="P216" s="322"/>
      <c r="Q216" s="322"/>
      <c r="R216" s="322"/>
      <c r="S216" s="322"/>
      <c r="T216" s="322"/>
      <c r="U216" s="322"/>
      <c r="V216" s="322"/>
      <c r="W216" s="322"/>
      <c r="X216" s="322"/>
      <c r="Y216" s="322"/>
      <c r="Z216" s="322"/>
      <c r="AA216" s="322"/>
      <c r="AB216" s="322"/>
      <c r="AC216" s="322"/>
      <c r="AD216" s="322"/>
      <c r="AE216" s="322"/>
      <c r="AF216" s="322"/>
      <c r="AG216" s="322"/>
      <c r="AH216" s="322"/>
      <c r="AI216" s="322"/>
      <c r="AJ216" s="322"/>
      <c r="AK216" s="322"/>
    </row>
    <row r="217" spans="1:37" ht="18" customHeight="1">
      <c r="A217" s="322"/>
      <c r="B217" s="322"/>
      <c r="C217" s="451"/>
      <c r="D217" s="322"/>
      <c r="E217" s="322"/>
      <c r="F217" s="322"/>
      <c r="G217" s="322"/>
      <c r="H217" s="322"/>
      <c r="I217" s="322"/>
      <c r="J217" s="322"/>
      <c r="K217" s="322"/>
      <c r="L217" s="322"/>
      <c r="M217" s="322"/>
      <c r="N217" s="322"/>
      <c r="O217" s="322"/>
      <c r="P217" s="322"/>
      <c r="Q217" s="322"/>
      <c r="R217" s="322"/>
      <c r="S217" s="322"/>
      <c r="T217" s="322"/>
      <c r="U217" s="322"/>
      <c r="V217" s="322"/>
      <c r="W217" s="322"/>
      <c r="X217" s="322"/>
      <c r="Y217" s="322"/>
      <c r="Z217" s="322"/>
      <c r="AA217" s="322"/>
      <c r="AB217" s="322"/>
      <c r="AC217" s="322"/>
      <c r="AD217" s="322"/>
      <c r="AE217" s="322"/>
      <c r="AF217" s="322"/>
      <c r="AG217" s="322"/>
      <c r="AH217" s="322"/>
      <c r="AI217" s="322"/>
      <c r="AJ217" s="322"/>
      <c r="AK217" s="322"/>
    </row>
    <row r="218" spans="1:37" ht="18" customHeight="1">
      <c r="A218" s="322"/>
      <c r="B218" s="322"/>
      <c r="C218" s="451"/>
      <c r="D218" s="322"/>
      <c r="E218" s="322"/>
      <c r="F218" s="322"/>
      <c r="G218" s="322"/>
      <c r="H218" s="322"/>
      <c r="I218" s="322"/>
      <c r="J218" s="322"/>
      <c r="K218" s="322"/>
      <c r="L218" s="322"/>
      <c r="M218" s="322"/>
      <c r="N218" s="322"/>
      <c r="O218" s="322"/>
      <c r="P218" s="322"/>
      <c r="Q218" s="322"/>
      <c r="R218" s="322"/>
      <c r="S218" s="322"/>
      <c r="T218" s="322"/>
      <c r="U218" s="322"/>
      <c r="V218" s="322"/>
      <c r="W218" s="322"/>
      <c r="X218" s="322"/>
      <c r="Y218" s="322"/>
      <c r="Z218" s="322"/>
      <c r="AA218" s="322"/>
      <c r="AB218" s="322"/>
      <c r="AC218" s="322"/>
      <c r="AD218" s="322"/>
      <c r="AE218" s="322"/>
      <c r="AF218" s="322"/>
      <c r="AG218" s="322"/>
      <c r="AH218" s="322"/>
      <c r="AI218" s="322"/>
      <c r="AJ218" s="322"/>
      <c r="AK218" s="322"/>
    </row>
    <row r="219" spans="1:37" ht="18" customHeight="1">
      <c r="A219" s="322"/>
      <c r="B219" s="322"/>
      <c r="C219" s="451"/>
      <c r="D219" s="322"/>
      <c r="E219" s="322"/>
      <c r="F219" s="322"/>
      <c r="G219" s="322"/>
      <c r="H219" s="322"/>
      <c r="I219" s="322"/>
      <c r="J219" s="322"/>
      <c r="K219" s="322"/>
      <c r="L219" s="322"/>
      <c r="M219" s="322"/>
      <c r="N219" s="322"/>
      <c r="O219" s="322"/>
      <c r="P219" s="322"/>
      <c r="Q219" s="322"/>
      <c r="R219" s="322"/>
      <c r="S219" s="322"/>
      <c r="T219" s="322"/>
      <c r="U219" s="322"/>
      <c r="V219" s="322"/>
      <c r="W219" s="322"/>
      <c r="X219" s="322"/>
      <c r="Y219" s="322"/>
      <c r="Z219" s="322"/>
      <c r="AA219" s="322"/>
      <c r="AB219" s="322"/>
      <c r="AC219" s="322"/>
      <c r="AD219" s="322"/>
      <c r="AE219" s="322"/>
      <c r="AF219" s="322"/>
      <c r="AG219" s="322"/>
      <c r="AH219" s="322"/>
      <c r="AI219" s="322"/>
      <c r="AJ219" s="322"/>
      <c r="AK219" s="322"/>
    </row>
    <row r="220" spans="1:37" ht="18" customHeight="1">
      <c r="A220" s="322"/>
      <c r="B220" s="322"/>
      <c r="C220" s="451"/>
      <c r="D220" s="322"/>
      <c r="E220" s="322"/>
      <c r="F220" s="322"/>
      <c r="G220" s="322"/>
      <c r="H220" s="322"/>
      <c r="I220" s="322"/>
      <c r="J220" s="322"/>
      <c r="K220" s="322"/>
      <c r="L220" s="322"/>
      <c r="M220" s="322"/>
      <c r="N220" s="322"/>
      <c r="O220" s="322"/>
      <c r="P220" s="322"/>
      <c r="Q220" s="322"/>
      <c r="R220" s="322"/>
      <c r="S220" s="322"/>
      <c r="T220" s="322"/>
      <c r="U220" s="322"/>
      <c r="V220" s="322"/>
      <c r="W220" s="322"/>
      <c r="X220" s="322"/>
      <c r="Y220" s="322"/>
      <c r="Z220" s="322"/>
      <c r="AA220" s="322"/>
      <c r="AB220" s="322"/>
      <c r="AC220" s="322"/>
      <c r="AD220" s="322"/>
      <c r="AE220" s="322"/>
      <c r="AF220" s="322"/>
      <c r="AG220" s="322"/>
      <c r="AH220" s="322"/>
      <c r="AI220" s="322"/>
      <c r="AJ220" s="322"/>
      <c r="AK220" s="322"/>
    </row>
    <row r="221" spans="1:37" ht="18" customHeight="1">
      <c r="A221" s="322"/>
      <c r="B221" s="322"/>
      <c r="C221" s="451"/>
      <c r="D221" s="322"/>
      <c r="E221" s="322"/>
      <c r="F221" s="322"/>
      <c r="G221" s="322"/>
      <c r="H221" s="322"/>
      <c r="I221" s="322"/>
      <c r="J221" s="322"/>
      <c r="K221" s="322"/>
      <c r="L221" s="322"/>
      <c r="M221" s="322"/>
      <c r="N221" s="322"/>
      <c r="O221" s="322"/>
      <c r="P221" s="322"/>
      <c r="Q221" s="322"/>
      <c r="R221" s="322"/>
      <c r="S221" s="322"/>
      <c r="T221" s="322"/>
      <c r="U221" s="322"/>
      <c r="V221" s="322"/>
      <c r="W221" s="322"/>
      <c r="X221" s="322"/>
      <c r="Y221" s="322"/>
      <c r="Z221" s="322"/>
      <c r="AA221" s="322"/>
      <c r="AB221" s="322"/>
      <c r="AC221" s="322"/>
      <c r="AD221" s="322"/>
      <c r="AE221" s="322"/>
      <c r="AF221" s="322"/>
      <c r="AG221" s="322"/>
      <c r="AH221" s="322"/>
      <c r="AI221" s="322"/>
      <c r="AJ221" s="322"/>
      <c r="AK221" s="322"/>
    </row>
    <row r="222" spans="1:37" ht="18" customHeight="1">
      <c r="A222" s="322"/>
      <c r="B222" s="322"/>
      <c r="C222" s="451"/>
      <c r="D222" s="322"/>
      <c r="E222" s="322"/>
      <c r="F222" s="322"/>
      <c r="G222" s="322"/>
      <c r="H222" s="322"/>
      <c r="I222" s="322"/>
      <c r="J222" s="322"/>
      <c r="K222" s="322"/>
      <c r="L222" s="322"/>
      <c r="M222" s="322"/>
      <c r="N222" s="322"/>
      <c r="O222" s="322"/>
      <c r="P222" s="322"/>
      <c r="Q222" s="322"/>
      <c r="R222" s="322"/>
      <c r="S222" s="322"/>
      <c r="T222" s="322"/>
      <c r="U222" s="322"/>
      <c r="V222" s="322"/>
      <c r="W222" s="322"/>
      <c r="X222" s="322"/>
      <c r="Y222" s="322"/>
      <c r="Z222" s="322"/>
      <c r="AA222" s="322"/>
      <c r="AB222" s="322"/>
      <c r="AC222" s="322"/>
      <c r="AD222" s="322"/>
      <c r="AE222" s="322"/>
      <c r="AF222" s="322"/>
      <c r="AG222" s="322"/>
      <c r="AH222" s="322"/>
      <c r="AI222" s="322"/>
      <c r="AJ222" s="322"/>
      <c r="AK222" s="322"/>
    </row>
    <row r="223" spans="1:37" ht="18" customHeight="1">
      <c r="A223" s="322"/>
      <c r="B223" s="322"/>
      <c r="C223" s="451"/>
      <c r="D223" s="322"/>
      <c r="E223" s="322"/>
      <c r="F223" s="322"/>
      <c r="G223" s="322"/>
      <c r="H223" s="322"/>
      <c r="I223" s="322"/>
      <c r="J223" s="322"/>
      <c r="K223" s="322"/>
      <c r="L223" s="322"/>
      <c r="M223" s="322"/>
      <c r="N223" s="322"/>
      <c r="O223" s="322"/>
      <c r="P223" s="322"/>
      <c r="Q223" s="322"/>
      <c r="R223" s="322"/>
      <c r="S223" s="322"/>
      <c r="T223" s="322"/>
      <c r="U223" s="322"/>
      <c r="V223" s="322"/>
      <c r="W223" s="322"/>
      <c r="X223" s="322"/>
      <c r="Y223" s="322"/>
      <c r="Z223" s="322"/>
      <c r="AA223" s="322"/>
      <c r="AB223" s="322"/>
      <c r="AC223" s="322"/>
      <c r="AD223" s="322"/>
      <c r="AE223" s="322"/>
      <c r="AF223" s="322"/>
      <c r="AG223" s="322"/>
      <c r="AH223" s="322"/>
      <c r="AI223" s="322"/>
      <c r="AJ223" s="322"/>
      <c r="AK223" s="322"/>
    </row>
    <row r="224" spans="1:37" ht="18" customHeight="1">
      <c r="A224" s="322"/>
      <c r="B224" s="322"/>
      <c r="C224" s="451"/>
      <c r="D224" s="322"/>
      <c r="E224" s="322"/>
      <c r="F224" s="322"/>
      <c r="G224" s="322"/>
      <c r="H224" s="322"/>
      <c r="I224" s="322"/>
      <c r="J224" s="322"/>
      <c r="K224" s="322"/>
      <c r="L224" s="322"/>
      <c r="M224" s="322"/>
      <c r="N224" s="322"/>
      <c r="O224" s="322"/>
      <c r="P224" s="322"/>
      <c r="Q224" s="322"/>
      <c r="R224" s="322"/>
      <c r="S224" s="322"/>
      <c r="T224" s="322"/>
      <c r="U224" s="322"/>
      <c r="V224" s="322"/>
      <c r="W224" s="322"/>
      <c r="X224" s="322"/>
      <c r="Y224" s="322"/>
      <c r="Z224" s="322"/>
      <c r="AA224" s="322"/>
      <c r="AB224" s="322"/>
      <c r="AC224" s="322"/>
      <c r="AD224" s="322"/>
      <c r="AE224" s="322"/>
      <c r="AF224" s="322"/>
      <c r="AG224" s="322"/>
      <c r="AH224" s="322"/>
      <c r="AI224" s="322"/>
      <c r="AJ224" s="322"/>
      <c r="AK224" s="322"/>
    </row>
    <row r="225" spans="1:37" ht="18" customHeight="1">
      <c r="A225" s="322"/>
      <c r="B225" s="322"/>
      <c r="C225" s="451"/>
      <c r="D225" s="322"/>
      <c r="E225" s="322"/>
      <c r="F225" s="322"/>
      <c r="G225" s="322"/>
      <c r="H225" s="322"/>
      <c r="I225" s="322"/>
      <c r="J225" s="322"/>
      <c r="K225" s="322"/>
      <c r="L225" s="322"/>
      <c r="M225" s="322"/>
      <c r="N225" s="322"/>
      <c r="O225" s="322"/>
      <c r="P225" s="322"/>
      <c r="Q225" s="322"/>
      <c r="R225" s="322"/>
      <c r="S225" s="322"/>
      <c r="T225" s="322"/>
      <c r="U225" s="322"/>
      <c r="V225" s="322"/>
      <c r="W225" s="322"/>
      <c r="X225" s="322"/>
      <c r="Y225" s="322"/>
      <c r="Z225" s="322"/>
      <c r="AA225" s="322"/>
      <c r="AB225" s="322"/>
      <c r="AC225" s="322"/>
      <c r="AD225" s="322"/>
      <c r="AE225" s="322"/>
      <c r="AF225" s="322"/>
      <c r="AG225" s="322"/>
      <c r="AH225" s="322"/>
      <c r="AI225" s="322"/>
      <c r="AJ225" s="322"/>
      <c r="AK225" s="322"/>
    </row>
    <row r="226" spans="1:37" ht="18" customHeight="1">
      <c r="A226" s="322"/>
      <c r="B226" s="322"/>
      <c r="C226" s="451"/>
      <c r="D226" s="322"/>
      <c r="E226" s="322"/>
      <c r="F226" s="322"/>
      <c r="G226" s="322"/>
      <c r="H226" s="322"/>
      <c r="I226" s="322"/>
      <c r="J226" s="322"/>
      <c r="K226" s="322"/>
      <c r="L226" s="322"/>
      <c r="M226" s="322"/>
      <c r="N226" s="322"/>
      <c r="O226" s="322"/>
      <c r="P226" s="322"/>
      <c r="Q226" s="322"/>
      <c r="R226" s="322"/>
      <c r="S226" s="322"/>
      <c r="T226" s="322"/>
      <c r="U226" s="322"/>
      <c r="V226" s="322"/>
      <c r="W226" s="322"/>
      <c r="X226" s="322"/>
      <c r="Y226" s="322"/>
      <c r="Z226" s="322"/>
      <c r="AA226" s="322"/>
      <c r="AB226" s="322"/>
      <c r="AC226" s="322"/>
      <c r="AD226" s="322"/>
      <c r="AE226" s="322"/>
      <c r="AF226" s="322"/>
      <c r="AG226" s="322"/>
      <c r="AH226" s="322"/>
      <c r="AI226" s="322"/>
      <c r="AJ226" s="322"/>
      <c r="AK226" s="322"/>
    </row>
    <row r="227" spans="1:37" ht="18" customHeight="1">
      <c r="A227" s="322"/>
      <c r="B227" s="322"/>
      <c r="C227" s="451"/>
      <c r="D227" s="322"/>
      <c r="E227" s="322"/>
      <c r="F227" s="322"/>
      <c r="G227" s="322"/>
      <c r="H227" s="322"/>
      <c r="I227" s="322"/>
      <c r="J227" s="322"/>
      <c r="K227" s="322"/>
      <c r="L227" s="322"/>
      <c r="M227" s="322"/>
      <c r="N227" s="322"/>
      <c r="O227" s="322"/>
      <c r="P227" s="322"/>
      <c r="Q227" s="322"/>
      <c r="R227" s="322"/>
      <c r="S227" s="322"/>
      <c r="T227" s="322"/>
      <c r="U227" s="322"/>
      <c r="V227" s="322"/>
      <c r="W227" s="322"/>
      <c r="X227" s="322"/>
      <c r="Y227" s="322"/>
      <c r="Z227" s="322"/>
      <c r="AA227" s="322"/>
      <c r="AB227" s="322"/>
      <c r="AC227" s="322"/>
      <c r="AD227" s="322"/>
      <c r="AE227" s="322"/>
      <c r="AF227" s="322"/>
      <c r="AG227" s="322"/>
      <c r="AH227" s="322"/>
      <c r="AI227" s="322"/>
      <c r="AJ227" s="322"/>
      <c r="AK227" s="322"/>
    </row>
    <row r="228" spans="1:37" ht="18" customHeight="1">
      <c r="A228" s="322"/>
      <c r="B228" s="322"/>
      <c r="C228" s="451"/>
      <c r="D228" s="322"/>
      <c r="E228" s="322"/>
      <c r="F228" s="322"/>
      <c r="G228" s="322"/>
      <c r="H228" s="322"/>
      <c r="I228" s="322"/>
      <c r="J228" s="322"/>
      <c r="K228" s="322"/>
      <c r="L228" s="322"/>
      <c r="M228" s="322"/>
      <c r="N228" s="322"/>
      <c r="O228" s="322"/>
      <c r="P228" s="322"/>
      <c r="Q228" s="322"/>
      <c r="R228" s="322"/>
      <c r="S228" s="322"/>
      <c r="T228" s="322"/>
      <c r="U228" s="322"/>
      <c r="V228" s="322"/>
      <c r="W228" s="322"/>
      <c r="X228" s="322"/>
      <c r="Y228" s="322"/>
      <c r="Z228" s="322"/>
      <c r="AA228" s="322"/>
      <c r="AB228" s="322"/>
      <c r="AC228" s="322"/>
      <c r="AD228" s="322"/>
      <c r="AE228" s="322"/>
      <c r="AF228" s="322"/>
      <c r="AG228" s="322"/>
      <c r="AH228" s="322"/>
      <c r="AI228" s="322"/>
      <c r="AJ228" s="322"/>
      <c r="AK228" s="322"/>
    </row>
    <row r="229" spans="1:37" ht="18" customHeight="1">
      <c r="A229" s="322"/>
      <c r="B229" s="322"/>
      <c r="C229" s="451"/>
      <c r="D229" s="322"/>
      <c r="E229" s="322"/>
      <c r="F229" s="322"/>
      <c r="G229" s="322"/>
      <c r="H229" s="322"/>
      <c r="I229" s="322"/>
      <c r="J229" s="322"/>
      <c r="K229" s="322"/>
      <c r="L229" s="322"/>
      <c r="M229" s="322"/>
      <c r="N229" s="322"/>
      <c r="O229" s="322"/>
      <c r="P229" s="322"/>
      <c r="Q229" s="322"/>
      <c r="R229" s="322"/>
      <c r="S229" s="322"/>
      <c r="T229" s="322"/>
      <c r="U229" s="322"/>
      <c r="V229" s="322"/>
      <c r="W229" s="322"/>
      <c r="X229" s="322"/>
      <c r="Y229" s="322"/>
      <c r="Z229" s="322"/>
      <c r="AA229" s="322"/>
      <c r="AB229" s="322"/>
      <c r="AC229" s="322"/>
      <c r="AD229" s="322"/>
      <c r="AE229" s="322"/>
      <c r="AF229" s="322"/>
      <c r="AG229" s="322"/>
      <c r="AH229" s="322"/>
      <c r="AI229" s="322"/>
      <c r="AJ229" s="322"/>
      <c r="AK229" s="322"/>
    </row>
    <row r="230" spans="1:37" ht="18" customHeight="1">
      <c r="A230" s="322"/>
      <c r="B230" s="322"/>
      <c r="C230" s="451"/>
      <c r="D230" s="322"/>
      <c r="E230" s="322"/>
      <c r="F230" s="322"/>
      <c r="G230" s="322"/>
      <c r="H230" s="322"/>
      <c r="I230" s="322"/>
      <c r="J230" s="322"/>
      <c r="K230" s="322"/>
      <c r="L230" s="322"/>
      <c r="M230" s="322"/>
      <c r="N230" s="322"/>
      <c r="O230" s="322"/>
      <c r="P230" s="322"/>
      <c r="Q230" s="322"/>
      <c r="R230" s="322"/>
      <c r="S230" s="322"/>
      <c r="T230" s="322"/>
      <c r="U230" s="322"/>
      <c r="V230" s="322"/>
      <c r="W230" s="322"/>
      <c r="X230" s="322"/>
      <c r="Y230" s="322"/>
      <c r="Z230" s="322"/>
      <c r="AA230" s="322"/>
      <c r="AB230" s="322"/>
      <c r="AC230" s="322"/>
      <c r="AD230" s="322"/>
      <c r="AE230" s="322"/>
      <c r="AF230" s="322"/>
      <c r="AG230" s="322"/>
      <c r="AH230" s="322"/>
      <c r="AI230" s="322"/>
      <c r="AJ230" s="322"/>
      <c r="AK230" s="322"/>
    </row>
    <row r="231" spans="1:37" ht="18" customHeight="1">
      <c r="A231" s="322"/>
      <c r="B231" s="322"/>
      <c r="C231" s="451"/>
      <c r="D231" s="322"/>
      <c r="E231" s="322"/>
      <c r="F231" s="322"/>
      <c r="G231" s="322"/>
      <c r="H231" s="322"/>
      <c r="I231" s="322"/>
      <c r="J231" s="322"/>
      <c r="K231" s="322"/>
      <c r="L231" s="322"/>
      <c r="M231" s="322"/>
      <c r="N231" s="322"/>
      <c r="O231" s="322"/>
      <c r="P231" s="322"/>
      <c r="Q231" s="322"/>
      <c r="R231" s="322"/>
      <c r="S231" s="322"/>
      <c r="T231" s="322"/>
      <c r="U231" s="322"/>
      <c r="V231" s="322"/>
      <c r="W231" s="322"/>
      <c r="X231" s="322"/>
      <c r="Y231" s="322"/>
      <c r="Z231" s="322"/>
      <c r="AA231" s="322"/>
      <c r="AB231" s="322"/>
      <c r="AC231" s="322"/>
      <c r="AD231" s="322"/>
      <c r="AE231" s="322"/>
      <c r="AF231" s="322"/>
      <c r="AG231" s="322"/>
      <c r="AH231" s="322"/>
      <c r="AI231" s="322"/>
      <c r="AJ231" s="322"/>
      <c r="AK231" s="322"/>
    </row>
    <row r="232" spans="1:37" ht="18" customHeight="1">
      <c r="A232" s="322"/>
      <c r="B232" s="322"/>
      <c r="C232" s="451"/>
      <c r="D232" s="322"/>
      <c r="E232" s="322"/>
      <c r="F232" s="322"/>
      <c r="G232" s="322"/>
      <c r="H232" s="322"/>
      <c r="I232" s="322"/>
      <c r="J232" s="322"/>
      <c r="K232" s="322"/>
      <c r="L232" s="322"/>
      <c r="M232" s="322"/>
      <c r="N232" s="322"/>
      <c r="O232" s="322"/>
      <c r="P232" s="322"/>
      <c r="Q232" s="322"/>
      <c r="R232" s="322"/>
      <c r="S232" s="322"/>
      <c r="T232" s="322"/>
      <c r="U232" s="322"/>
      <c r="V232" s="322"/>
      <c r="W232" s="322"/>
      <c r="X232" s="322"/>
      <c r="Y232" s="322"/>
      <c r="Z232" s="322"/>
      <c r="AA232" s="322"/>
      <c r="AB232" s="322"/>
      <c r="AC232" s="322"/>
      <c r="AD232" s="322"/>
      <c r="AE232" s="322"/>
      <c r="AF232" s="322"/>
      <c r="AG232" s="322"/>
      <c r="AH232" s="322"/>
      <c r="AI232" s="322"/>
      <c r="AJ232" s="322"/>
      <c r="AK232" s="322"/>
    </row>
    <row r="233" spans="1:37" ht="18" customHeight="1">
      <c r="A233" s="322"/>
      <c r="B233" s="322"/>
      <c r="C233" s="451"/>
      <c r="D233" s="322"/>
      <c r="E233" s="322"/>
      <c r="F233" s="322"/>
      <c r="G233" s="322"/>
      <c r="H233" s="322"/>
      <c r="I233" s="322"/>
      <c r="J233" s="322"/>
      <c r="K233" s="322"/>
      <c r="L233" s="322"/>
      <c r="M233" s="322"/>
      <c r="N233" s="322"/>
      <c r="O233" s="322"/>
      <c r="P233" s="322"/>
      <c r="Q233" s="322"/>
      <c r="R233" s="322"/>
      <c r="S233" s="322"/>
      <c r="T233" s="322"/>
      <c r="U233" s="322"/>
      <c r="V233" s="322"/>
      <c r="W233" s="322"/>
      <c r="X233" s="322"/>
      <c r="Y233" s="322"/>
      <c r="Z233" s="322"/>
      <c r="AA233" s="322"/>
      <c r="AB233" s="322"/>
      <c r="AC233" s="322"/>
      <c r="AD233" s="322"/>
      <c r="AE233" s="322"/>
      <c r="AF233" s="322"/>
      <c r="AG233" s="322"/>
      <c r="AH233" s="322"/>
      <c r="AI233" s="322"/>
      <c r="AJ233" s="322"/>
      <c r="AK233" s="322"/>
    </row>
    <row r="234" spans="1:37" ht="18" customHeight="1">
      <c r="A234" s="322"/>
      <c r="B234" s="322"/>
      <c r="C234" s="451"/>
      <c r="D234" s="322"/>
      <c r="E234" s="322"/>
      <c r="F234" s="322"/>
      <c r="G234" s="322"/>
      <c r="H234" s="322"/>
      <c r="I234" s="322"/>
      <c r="J234" s="322"/>
      <c r="K234" s="322"/>
      <c r="L234" s="322"/>
      <c r="M234" s="322"/>
      <c r="N234" s="322"/>
      <c r="O234" s="322"/>
      <c r="P234" s="322"/>
      <c r="Q234" s="322"/>
      <c r="R234" s="322"/>
      <c r="S234" s="322"/>
      <c r="T234" s="322"/>
      <c r="U234" s="322"/>
      <c r="V234" s="322"/>
      <c r="W234" s="322"/>
      <c r="X234" s="322"/>
      <c r="Y234" s="322"/>
      <c r="Z234" s="322"/>
      <c r="AA234" s="322"/>
      <c r="AB234" s="322"/>
      <c r="AC234" s="322"/>
      <c r="AD234" s="322"/>
      <c r="AE234" s="322"/>
      <c r="AF234" s="322"/>
      <c r="AG234" s="322"/>
      <c r="AH234" s="322"/>
      <c r="AI234" s="322"/>
      <c r="AJ234" s="322"/>
      <c r="AK234" s="322"/>
    </row>
    <row r="235" spans="1:37" ht="18" customHeight="1">
      <c r="A235" s="322"/>
      <c r="B235" s="322"/>
      <c r="C235" s="451"/>
      <c r="D235" s="322"/>
      <c r="E235" s="322"/>
      <c r="F235" s="322"/>
      <c r="G235" s="322"/>
      <c r="H235" s="322"/>
      <c r="I235" s="322"/>
      <c r="J235" s="322"/>
      <c r="K235" s="322"/>
      <c r="L235" s="322"/>
      <c r="M235" s="322"/>
      <c r="N235" s="322"/>
      <c r="O235" s="322"/>
      <c r="P235" s="322"/>
      <c r="Q235" s="322"/>
      <c r="R235" s="322"/>
      <c r="S235" s="322"/>
      <c r="T235" s="322"/>
      <c r="U235" s="322"/>
      <c r="V235" s="322"/>
      <c r="W235" s="322"/>
      <c r="X235" s="322"/>
      <c r="Y235" s="322"/>
      <c r="Z235" s="322"/>
      <c r="AA235" s="322"/>
      <c r="AB235" s="322"/>
      <c r="AC235" s="322"/>
      <c r="AD235" s="322"/>
      <c r="AE235" s="322"/>
      <c r="AF235" s="322"/>
      <c r="AG235" s="322"/>
      <c r="AH235" s="322"/>
      <c r="AI235" s="322"/>
      <c r="AJ235" s="322"/>
      <c r="AK235" s="322"/>
    </row>
    <row r="236" spans="1:37" ht="18" customHeight="1">
      <c r="A236" s="322"/>
      <c r="B236" s="322"/>
      <c r="C236" s="451"/>
      <c r="D236" s="322"/>
      <c r="E236" s="322"/>
      <c r="F236" s="322"/>
      <c r="G236" s="322"/>
      <c r="H236" s="322"/>
      <c r="I236" s="322"/>
      <c r="J236" s="322"/>
      <c r="K236" s="322"/>
      <c r="L236" s="322"/>
      <c r="M236" s="322"/>
      <c r="N236" s="322"/>
      <c r="O236" s="322"/>
      <c r="P236" s="322"/>
      <c r="Q236" s="322"/>
      <c r="R236" s="322"/>
      <c r="S236" s="322"/>
      <c r="T236" s="322"/>
      <c r="U236" s="322"/>
      <c r="V236" s="322"/>
      <c r="W236" s="322"/>
      <c r="X236" s="322"/>
      <c r="Y236" s="322"/>
      <c r="Z236" s="322"/>
      <c r="AA236" s="322"/>
      <c r="AB236" s="322"/>
      <c r="AC236" s="322"/>
      <c r="AD236" s="322"/>
      <c r="AE236" s="322"/>
      <c r="AF236" s="322"/>
      <c r="AG236" s="322"/>
      <c r="AH236" s="322"/>
      <c r="AI236" s="322"/>
      <c r="AJ236" s="322"/>
      <c r="AK236" s="322"/>
    </row>
    <row r="237" spans="1:37" ht="18" customHeight="1">
      <c r="A237" s="322"/>
      <c r="B237" s="322"/>
      <c r="C237" s="451"/>
      <c r="D237" s="322"/>
      <c r="E237" s="322"/>
      <c r="F237" s="322"/>
      <c r="G237" s="322"/>
      <c r="H237" s="322"/>
      <c r="I237" s="322"/>
      <c r="J237" s="322"/>
      <c r="K237" s="322"/>
      <c r="L237" s="322"/>
      <c r="M237" s="322"/>
      <c r="N237" s="322"/>
      <c r="O237" s="322"/>
      <c r="P237" s="322"/>
      <c r="Q237" s="322"/>
      <c r="R237" s="322"/>
      <c r="S237" s="322"/>
      <c r="T237" s="322"/>
      <c r="U237" s="322"/>
      <c r="V237" s="322"/>
      <c r="W237" s="322"/>
      <c r="X237" s="322"/>
      <c r="Y237" s="322"/>
      <c r="Z237" s="322"/>
      <c r="AA237" s="322"/>
      <c r="AB237" s="322"/>
      <c r="AC237" s="322"/>
      <c r="AD237" s="322"/>
      <c r="AE237" s="322"/>
      <c r="AF237" s="322"/>
      <c r="AG237" s="322"/>
      <c r="AH237" s="322"/>
      <c r="AI237" s="322"/>
      <c r="AJ237" s="322"/>
      <c r="AK237" s="322"/>
    </row>
    <row r="238" spans="1:37" ht="18" customHeight="1">
      <c r="A238" s="322"/>
      <c r="B238" s="322"/>
      <c r="C238" s="451"/>
      <c r="D238" s="322"/>
      <c r="E238" s="322"/>
      <c r="F238" s="322"/>
      <c r="G238" s="322"/>
      <c r="H238" s="322"/>
      <c r="I238" s="322"/>
      <c r="J238" s="322"/>
      <c r="K238" s="322"/>
      <c r="L238" s="322"/>
      <c r="M238" s="322"/>
      <c r="N238" s="322"/>
      <c r="O238" s="322"/>
      <c r="P238" s="322"/>
      <c r="Q238" s="322"/>
      <c r="R238" s="322"/>
      <c r="S238" s="322"/>
      <c r="T238" s="322"/>
      <c r="U238" s="322"/>
      <c r="V238" s="322"/>
      <c r="W238" s="322"/>
      <c r="X238" s="322"/>
      <c r="Y238" s="322"/>
      <c r="Z238" s="322"/>
      <c r="AA238" s="322"/>
      <c r="AB238" s="322"/>
      <c r="AC238" s="322"/>
      <c r="AD238" s="322"/>
      <c r="AE238" s="322"/>
      <c r="AF238" s="322"/>
      <c r="AG238" s="322"/>
      <c r="AH238" s="322"/>
      <c r="AI238" s="322"/>
      <c r="AJ238" s="322"/>
      <c r="AK238" s="322"/>
    </row>
    <row r="239" spans="1:37" ht="18" customHeight="1">
      <c r="A239" s="322"/>
      <c r="B239" s="322"/>
      <c r="C239" s="451"/>
      <c r="D239" s="322"/>
      <c r="E239" s="322"/>
      <c r="F239" s="322"/>
      <c r="G239" s="322"/>
      <c r="H239" s="322"/>
      <c r="I239" s="322"/>
      <c r="J239" s="322"/>
      <c r="K239" s="322"/>
      <c r="L239" s="322"/>
      <c r="M239" s="322"/>
      <c r="N239" s="322"/>
      <c r="O239" s="322"/>
      <c r="P239" s="322"/>
      <c r="Q239" s="322"/>
      <c r="R239" s="322"/>
      <c r="S239" s="322"/>
      <c r="T239" s="322"/>
      <c r="U239" s="322"/>
      <c r="V239" s="322"/>
      <c r="W239" s="322"/>
      <c r="X239" s="322"/>
      <c r="Y239" s="322"/>
      <c r="Z239" s="322"/>
      <c r="AA239" s="322"/>
      <c r="AB239" s="322"/>
      <c r="AC239" s="322"/>
      <c r="AD239" s="322"/>
      <c r="AE239" s="322"/>
      <c r="AF239" s="322"/>
      <c r="AG239" s="322"/>
      <c r="AH239" s="322"/>
      <c r="AI239" s="322"/>
      <c r="AJ239" s="322"/>
      <c r="AK239" s="322"/>
    </row>
    <row r="240" spans="1:37" ht="18" customHeight="1">
      <c r="A240" s="322"/>
      <c r="B240" s="322"/>
      <c r="C240" s="451"/>
      <c r="D240" s="322"/>
      <c r="E240" s="322"/>
      <c r="F240" s="322"/>
      <c r="G240" s="322"/>
      <c r="H240" s="322"/>
      <c r="I240" s="322"/>
      <c r="J240" s="322"/>
      <c r="K240" s="322"/>
      <c r="L240" s="322"/>
      <c r="M240" s="322"/>
      <c r="N240" s="322"/>
      <c r="O240" s="322"/>
      <c r="P240" s="322"/>
      <c r="Q240" s="322"/>
      <c r="R240" s="322"/>
      <c r="S240" s="322"/>
      <c r="T240" s="322"/>
      <c r="U240" s="322"/>
      <c r="V240" s="322"/>
      <c r="W240" s="322"/>
      <c r="X240" s="322"/>
      <c r="Y240" s="322"/>
      <c r="Z240" s="322"/>
      <c r="AA240" s="322"/>
      <c r="AB240" s="322"/>
      <c r="AC240" s="322"/>
      <c r="AD240" s="322"/>
      <c r="AE240" s="322"/>
      <c r="AF240" s="322"/>
      <c r="AG240" s="322"/>
      <c r="AH240" s="322"/>
      <c r="AI240" s="322"/>
      <c r="AJ240" s="322"/>
      <c r="AK240" s="322"/>
    </row>
    <row r="241" spans="1:37" ht="18" customHeight="1">
      <c r="A241" s="322"/>
      <c r="B241" s="322"/>
      <c r="C241" s="451"/>
      <c r="D241" s="322"/>
      <c r="E241" s="322"/>
      <c r="F241" s="322"/>
      <c r="G241" s="322"/>
      <c r="H241" s="322"/>
      <c r="I241" s="322"/>
      <c r="J241" s="322"/>
      <c r="K241" s="322"/>
      <c r="L241" s="322"/>
      <c r="M241" s="322"/>
      <c r="N241" s="322"/>
      <c r="O241" s="322"/>
      <c r="P241" s="322"/>
      <c r="Q241" s="322"/>
      <c r="R241" s="322"/>
      <c r="S241" s="322"/>
      <c r="T241" s="322"/>
      <c r="U241" s="322"/>
      <c r="V241" s="322"/>
      <c r="W241" s="322"/>
      <c r="X241" s="322"/>
      <c r="Y241" s="322"/>
      <c r="Z241" s="322"/>
      <c r="AA241" s="322"/>
      <c r="AB241" s="322"/>
      <c r="AC241" s="322"/>
      <c r="AD241" s="322"/>
      <c r="AE241" s="322"/>
      <c r="AF241" s="322"/>
      <c r="AG241" s="322"/>
      <c r="AH241" s="322"/>
      <c r="AI241" s="322"/>
      <c r="AJ241" s="322"/>
      <c r="AK241" s="322"/>
    </row>
    <row r="242" spans="1:37" ht="18" customHeight="1">
      <c r="A242" s="322"/>
      <c r="B242" s="322"/>
      <c r="C242" s="451"/>
      <c r="D242" s="322"/>
      <c r="E242" s="322"/>
      <c r="F242" s="322"/>
      <c r="G242" s="322"/>
      <c r="H242" s="322"/>
      <c r="I242" s="322"/>
      <c r="J242" s="322"/>
      <c r="K242" s="322"/>
      <c r="L242" s="322"/>
      <c r="M242" s="322"/>
      <c r="N242" s="322"/>
      <c r="O242" s="322"/>
      <c r="P242" s="322"/>
      <c r="Q242" s="322"/>
      <c r="R242" s="322"/>
      <c r="S242" s="322"/>
      <c r="T242" s="322"/>
      <c r="U242" s="322"/>
      <c r="V242" s="322"/>
      <c r="W242" s="322"/>
      <c r="X242" s="322"/>
      <c r="Y242" s="322"/>
      <c r="Z242" s="322"/>
      <c r="AA242" s="322"/>
      <c r="AB242" s="322"/>
      <c r="AC242" s="322"/>
      <c r="AD242" s="322"/>
      <c r="AE242" s="322"/>
      <c r="AF242" s="322"/>
      <c r="AG242" s="322"/>
      <c r="AH242" s="322"/>
      <c r="AI242" s="322"/>
      <c r="AJ242" s="322"/>
      <c r="AK242" s="322"/>
    </row>
    <row r="243" spans="1:37" ht="18" customHeight="1">
      <c r="A243" s="322"/>
      <c r="B243" s="322"/>
      <c r="C243" s="451"/>
      <c r="D243" s="322"/>
      <c r="E243" s="322"/>
      <c r="F243" s="322"/>
      <c r="G243" s="322"/>
      <c r="H243" s="322"/>
      <c r="I243" s="322"/>
      <c r="J243" s="322"/>
      <c r="K243" s="322"/>
      <c r="L243" s="322"/>
      <c r="M243" s="322"/>
      <c r="N243" s="322"/>
      <c r="O243" s="322"/>
      <c r="P243" s="322"/>
      <c r="Q243" s="322"/>
      <c r="R243" s="322"/>
      <c r="S243" s="322"/>
      <c r="T243" s="322"/>
      <c r="U243" s="322"/>
      <c r="V243" s="322"/>
      <c r="W243" s="322"/>
      <c r="X243" s="322"/>
      <c r="Y243" s="322"/>
      <c r="Z243" s="322"/>
      <c r="AA243" s="322"/>
      <c r="AB243" s="322"/>
      <c r="AC243" s="322"/>
      <c r="AD243" s="322"/>
      <c r="AE243" s="322"/>
      <c r="AF243" s="322"/>
      <c r="AG243" s="322"/>
      <c r="AH243" s="322"/>
      <c r="AI243" s="322"/>
      <c r="AJ243" s="322"/>
      <c r="AK243" s="322"/>
    </row>
    <row r="244" spans="1:37" ht="18" customHeight="1">
      <c r="A244" s="322"/>
      <c r="B244" s="322"/>
      <c r="C244" s="451"/>
      <c r="D244" s="322"/>
      <c r="E244" s="322"/>
      <c r="F244" s="322"/>
      <c r="G244" s="322"/>
      <c r="H244" s="322"/>
      <c r="I244" s="322"/>
      <c r="J244" s="322"/>
      <c r="K244" s="322"/>
      <c r="L244" s="322"/>
      <c r="M244" s="322"/>
      <c r="N244" s="322"/>
      <c r="O244" s="322"/>
      <c r="P244" s="322"/>
      <c r="Q244" s="322"/>
      <c r="R244" s="322"/>
      <c r="S244" s="322"/>
      <c r="T244" s="322"/>
      <c r="U244" s="322"/>
      <c r="V244" s="322"/>
      <c r="W244" s="322"/>
      <c r="X244" s="322"/>
      <c r="Y244" s="322"/>
      <c r="Z244" s="322"/>
      <c r="AA244" s="322"/>
      <c r="AB244" s="322"/>
      <c r="AC244" s="322"/>
      <c r="AD244" s="322"/>
      <c r="AE244" s="322"/>
      <c r="AF244" s="322"/>
      <c r="AG244" s="322"/>
      <c r="AH244" s="322"/>
      <c r="AI244" s="322"/>
      <c r="AJ244" s="322"/>
      <c r="AK244" s="322"/>
    </row>
    <row r="245" spans="1:37" ht="18" customHeight="1">
      <c r="A245" s="322"/>
      <c r="B245" s="322"/>
      <c r="C245" s="451"/>
      <c r="D245" s="322"/>
      <c r="E245" s="322"/>
      <c r="F245" s="322"/>
      <c r="G245" s="322"/>
      <c r="H245" s="322"/>
      <c r="I245" s="322"/>
      <c r="J245" s="322"/>
      <c r="K245" s="322"/>
      <c r="L245" s="322"/>
      <c r="M245" s="322"/>
      <c r="N245" s="322"/>
      <c r="O245" s="322"/>
      <c r="P245" s="322"/>
      <c r="Q245" s="322"/>
      <c r="R245" s="322"/>
      <c r="S245" s="322"/>
      <c r="T245" s="322"/>
      <c r="U245" s="322"/>
      <c r="V245" s="322"/>
      <c r="W245" s="322"/>
      <c r="X245" s="322"/>
      <c r="Y245" s="322"/>
      <c r="Z245" s="322"/>
      <c r="AA245" s="322"/>
      <c r="AB245" s="322"/>
      <c r="AC245" s="322"/>
      <c r="AD245" s="322"/>
      <c r="AE245" s="322"/>
      <c r="AF245" s="322"/>
      <c r="AG245" s="322"/>
      <c r="AH245" s="322"/>
      <c r="AI245" s="322"/>
      <c r="AJ245" s="322"/>
      <c r="AK245" s="322"/>
    </row>
    <row r="246" spans="1:37" ht="18" customHeight="1">
      <c r="A246" s="322"/>
      <c r="B246" s="322"/>
      <c r="C246" s="451"/>
      <c r="D246" s="322"/>
      <c r="E246" s="322"/>
      <c r="F246" s="322"/>
      <c r="G246" s="322"/>
      <c r="H246" s="322"/>
      <c r="I246" s="322"/>
      <c r="J246" s="322"/>
      <c r="K246" s="322"/>
      <c r="L246" s="322"/>
      <c r="M246" s="322"/>
      <c r="N246" s="322"/>
      <c r="O246" s="322"/>
      <c r="P246" s="322"/>
      <c r="Q246" s="322"/>
      <c r="R246" s="322"/>
      <c r="S246" s="322"/>
      <c r="T246" s="322"/>
      <c r="U246" s="322"/>
      <c r="V246" s="322"/>
      <c r="W246" s="322"/>
      <c r="X246" s="322"/>
      <c r="Y246" s="322"/>
      <c r="Z246" s="322"/>
      <c r="AA246" s="322"/>
      <c r="AB246" s="322"/>
      <c r="AC246" s="322"/>
      <c r="AD246" s="322"/>
      <c r="AE246" s="322"/>
      <c r="AF246" s="322"/>
      <c r="AG246" s="322"/>
      <c r="AH246" s="322"/>
      <c r="AI246" s="322"/>
      <c r="AJ246" s="322"/>
      <c r="AK246" s="322"/>
    </row>
    <row r="247" spans="1:37" ht="18" customHeight="1">
      <c r="A247" s="322"/>
      <c r="B247" s="322"/>
      <c r="C247" s="451"/>
      <c r="D247" s="322"/>
      <c r="E247" s="322"/>
      <c r="F247" s="322"/>
      <c r="G247" s="322"/>
      <c r="H247" s="322"/>
      <c r="I247" s="322"/>
      <c r="J247" s="322"/>
      <c r="K247" s="322"/>
      <c r="L247" s="322"/>
      <c r="M247" s="322"/>
      <c r="N247" s="322"/>
      <c r="O247" s="322"/>
      <c r="P247" s="322"/>
      <c r="Q247" s="322"/>
      <c r="R247" s="322"/>
      <c r="S247" s="322"/>
      <c r="T247" s="322"/>
      <c r="U247" s="322"/>
      <c r="V247" s="322"/>
      <c r="W247" s="322"/>
      <c r="X247" s="322"/>
      <c r="Y247" s="322"/>
      <c r="Z247" s="322"/>
      <c r="AA247" s="322"/>
      <c r="AB247" s="322"/>
      <c r="AC247" s="322"/>
      <c r="AD247" s="322"/>
      <c r="AE247" s="322"/>
      <c r="AF247" s="322"/>
      <c r="AG247" s="322"/>
      <c r="AH247" s="322"/>
      <c r="AI247" s="322"/>
      <c r="AJ247" s="322"/>
      <c r="AK247" s="322"/>
    </row>
    <row r="248" spans="1:37" ht="18" customHeight="1">
      <c r="A248" s="322"/>
      <c r="B248" s="322"/>
      <c r="C248" s="451"/>
      <c r="D248" s="322"/>
      <c r="E248" s="322"/>
      <c r="F248" s="322"/>
      <c r="G248" s="322"/>
      <c r="H248" s="322"/>
      <c r="I248" s="322"/>
      <c r="J248" s="322"/>
      <c r="K248" s="322"/>
      <c r="L248" s="322"/>
      <c r="M248" s="322"/>
      <c r="N248" s="322"/>
      <c r="O248" s="322"/>
      <c r="P248" s="322"/>
      <c r="Q248" s="322"/>
      <c r="R248" s="322"/>
      <c r="S248" s="322"/>
      <c r="T248" s="322"/>
      <c r="U248" s="322"/>
      <c r="V248" s="322"/>
      <c r="W248" s="322"/>
      <c r="X248" s="322"/>
      <c r="Y248" s="322"/>
      <c r="Z248" s="322"/>
      <c r="AA248" s="322"/>
      <c r="AB248" s="322"/>
      <c r="AC248" s="322"/>
      <c r="AD248" s="322"/>
      <c r="AE248" s="322"/>
      <c r="AF248" s="322"/>
      <c r="AG248" s="322"/>
      <c r="AH248" s="322"/>
      <c r="AI248" s="322"/>
      <c r="AJ248" s="322"/>
      <c r="AK248" s="322"/>
    </row>
    <row r="249" spans="1:37" ht="18" customHeight="1">
      <c r="A249" s="322"/>
      <c r="B249" s="322"/>
      <c r="C249" s="451"/>
      <c r="D249" s="322"/>
      <c r="E249" s="322"/>
      <c r="F249" s="322"/>
      <c r="G249" s="322"/>
      <c r="H249" s="322"/>
      <c r="I249" s="322"/>
      <c r="J249" s="322"/>
      <c r="K249" s="322"/>
      <c r="L249" s="322"/>
      <c r="M249" s="322"/>
      <c r="N249" s="322"/>
      <c r="O249" s="322"/>
      <c r="P249" s="322"/>
      <c r="Q249" s="322"/>
      <c r="R249" s="322"/>
      <c r="S249" s="322"/>
      <c r="T249" s="322"/>
      <c r="U249" s="322"/>
      <c r="V249" s="322"/>
      <c r="W249" s="322"/>
      <c r="X249" s="322"/>
      <c r="Y249" s="322"/>
      <c r="Z249" s="322"/>
      <c r="AA249" s="322"/>
      <c r="AB249" s="322"/>
      <c r="AC249" s="322"/>
      <c r="AD249" s="322"/>
      <c r="AE249" s="322"/>
      <c r="AF249" s="322"/>
      <c r="AG249" s="322"/>
      <c r="AH249" s="322"/>
      <c r="AI249" s="322"/>
      <c r="AJ249" s="322"/>
      <c r="AK249" s="322"/>
    </row>
    <row r="250" spans="1:37" ht="18" customHeight="1">
      <c r="A250" s="322"/>
      <c r="B250" s="322"/>
      <c r="C250" s="451"/>
      <c r="D250" s="322"/>
      <c r="E250" s="322"/>
      <c r="F250" s="322"/>
      <c r="G250" s="322"/>
      <c r="H250" s="322"/>
      <c r="I250" s="322"/>
      <c r="J250" s="322"/>
      <c r="K250" s="322"/>
      <c r="L250" s="322"/>
      <c r="M250" s="322"/>
      <c r="N250" s="322"/>
      <c r="O250" s="322"/>
      <c r="P250" s="322"/>
      <c r="Q250" s="322"/>
      <c r="R250" s="322"/>
      <c r="S250" s="322"/>
      <c r="T250" s="322"/>
      <c r="U250" s="322"/>
      <c r="V250" s="322"/>
      <c r="W250" s="322"/>
      <c r="X250" s="322"/>
      <c r="Y250" s="322"/>
      <c r="Z250" s="322"/>
      <c r="AA250" s="322"/>
      <c r="AB250" s="322"/>
      <c r="AC250" s="322"/>
      <c r="AD250" s="322"/>
      <c r="AE250" s="322"/>
      <c r="AF250" s="322"/>
      <c r="AG250" s="322"/>
      <c r="AH250" s="322"/>
      <c r="AI250" s="322"/>
      <c r="AJ250" s="322"/>
      <c r="AK250" s="322"/>
    </row>
    <row r="251" spans="1:37" ht="18" customHeight="1">
      <c r="A251" s="322"/>
      <c r="B251" s="322"/>
      <c r="C251" s="451"/>
      <c r="D251" s="322"/>
      <c r="E251" s="322"/>
      <c r="F251" s="322"/>
      <c r="G251" s="322"/>
      <c r="H251" s="322"/>
      <c r="I251" s="322"/>
      <c r="J251" s="322"/>
      <c r="K251" s="322"/>
      <c r="L251" s="322"/>
      <c r="M251" s="322"/>
      <c r="N251" s="322"/>
      <c r="O251" s="322"/>
      <c r="P251" s="322"/>
      <c r="Q251" s="322"/>
      <c r="R251" s="322"/>
      <c r="S251" s="322"/>
      <c r="T251" s="322"/>
      <c r="U251" s="322"/>
      <c r="V251" s="322"/>
      <c r="W251" s="322"/>
      <c r="X251" s="322"/>
      <c r="Y251" s="322"/>
      <c r="Z251" s="322"/>
      <c r="AA251" s="322"/>
      <c r="AB251" s="322"/>
      <c r="AC251" s="322"/>
      <c r="AD251" s="322"/>
      <c r="AE251" s="322"/>
      <c r="AF251" s="322"/>
      <c r="AG251" s="322"/>
      <c r="AH251" s="322"/>
      <c r="AI251" s="322"/>
      <c r="AJ251" s="322"/>
      <c r="AK251" s="322"/>
    </row>
    <row r="252" spans="1:37" ht="18" customHeight="1">
      <c r="A252" s="322"/>
      <c r="B252" s="322"/>
      <c r="C252" s="451"/>
      <c r="D252" s="322"/>
      <c r="E252" s="322"/>
      <c r="F252" s="322"/>
      <c r="G252" s="322"/>
      <c r="H252" s="322"/>
      <c r="I252" s="322"/>
      <c r="J252" s="322"/>
      <c r="K252" s="322"/>
      <c r="L252" s="322"/>
      <c r="M252" s="322"/>
      <c r="N252" s="322"/>
      <c r="O252" s="322"/>
      <c r="P252" s="322"/>
      <c r="Q252" s="322"/>
      <c r="R252" s="322"/>
      <c r="S252" s="322"/>
      <c r="T252" s="322"/>
      <c r="U252" s="322"/>
      <c r="V252" s="322"/>
      <c r="W252" s="322"/>
      <c r="X252" s="322"/>
      <c r="Y252" s="322"/>
      <c r="Z252" s="322"/>
      <c r="AA252" s="322"/>
      <c r="AB252" s="322"/>
      <c r="AC252" s="322"/>
      <c r="AD252" s="322"/>
      <c r="AE252" s="322"/>
      <c r="AF252" s="322"/>
      <c r="AG252" s="322"/>
      <c r="AH252" s="322"/>
      <c r="AI252" s="322"/>
      <c r="AJ252" s="322"/>
      <c r="AK252" s="322"/>
    </row>
    <row r="253" spans="1:37" ht="18" customHeight="1">
      <c r="A253" s="322"/>
      <c r="B253" s="322"/>
      <c r="C253" s="451"/>
      <c r="D253" s="322"/>
      <c r="E253" s="322"/>
      <c r="F253" s="322"/>
      <c r="G253" s="322"/>
      <c r="H253" s="322"/>
      <c r="I253" s="322"/>
      <c r="J253" s="322"/>
      <c r="K253" s="322"/>
      <c r="L253" s="322"/>
      <c r="M253" s="322"/>
      <c r="N253" s="322"/>
      <c r="O253" s="322"/>
      <c r="P253" s="322"/>
      <c r="Q253" s="322"/>
      <c r="R253" s="322"/>
      <c r="S253" s="322"/>
      <c r="T253" s="322"/>
      <c r="U253" s="322"/>
      <c r="V253" s="322"/>
      <c r="W253" s="322"/>
      <c r="X253" s="322"/>
      <c r="Y253" s="322"/>
      <c r="Z253" s="322"/>
      <c r="AA253" s="322"/>
      <c r="AB253" s="322"/>
      <c r="AC253" s="322"/>
      <c r="AD253" s="322"/>
      <c r="AE253" s="322"/>
      <c r="AF253" s="322"/>
      <c r="AG253" s="322"/>
      <c r="AH253" s="322"/>
      <c r="AI253" s="322"/>
      <c r="AJ253" s="322"/>
      <c r="AK253" s="322"/>
    </row>
    <row r="254" spans="1:37" ht="18" customHeight="1">
      <c r="A254" s="322"/>
      <c r="B254" s="322"/>
      <c r="C254" s="451"/>
      <c r="D254" s="322"/>
      <c r="E254" s="322"/>
      <c r="F254" s="322"/>
      <c r="G254" s="322"/>
      <c r="H254" s="322"/>
      <c r="I254" s="322"/>
      <c r="J254" s="322"/>
      <c r="K254" s="322"/>
      <c r="L254" s="322"/>
      <c r="M254" s="322"/>
      <c r="N254" s="322"/>
      <c r="O254" s="322"/>
      <c r="P254" s="322"/>
      <c r="Q254" s="322"/>
      <c r="R254" s="322"/>
      <c r="S254" s="322"/>
      <c r="T254" s="322"/>
      <c r="U254" s="322"/>
      <c r="V254" s="322"/>
      <c r="W254" s="322"/>
      <c r="X254" s="322"/>
      <c r="Y254" s="322"/>
      <c r="Z254" s="322"/>
      <c r="AA254" s="322"/>
      <c r="AB254" s="322"/>
      <c r="AC254" s="322"/>
      <c r="AD254" s="322"/>
      <c r="AE254" s="322"/>
      <c r="AF254" s="322"/>
      <c r="AG254" s="322"/>
      <c r="AH254" s="322"/>
      <c r="AI254" s="322"/>
      <c r="AJ254" s="322"/>
      <c r="AK254" s="322"/>
    </row>
    <row r="255" spans="1:37" ht="18" customHeight="1">
      <c r="A255" s="322"/>
      <c r="B255" s="322"/>
      <c r="C255" s="451"/>
      <c r="D255" s="322"/>
      <c r="E255" s="322"/>
      <c r="F255" s="322"/>
      <c r="G255" s="322"/>
      <c r="H255" s="322"/>
      <c r="I255" s="322"/>
      <c r="J255" s="322"/>
      <c r="K255" s="322"/>
      <c r="L255" s="322"/>
      <c r="M255" s="322"/>
      <c r="N255" s="322"/>
      <c r="O255" s="322"/>
      <c r="P255" s="322"/>
      <c r="Q255" s="322"/>
      <c r="R255" s="322"/>
      <c r="S255" s="322"/>
      <c r="T255" s="322"/>
      <c r="U255" s="322"/>
      <c r="V255" s="322"/>
      <c r="W255" s="322"/>
      <c r="X255" s="322"/>
      <c r="Y255" s="322"/>
      <c r="Z255" s="322"/>
      <c r="AA255" s="322"/>
      <c r="AB255" s="322"/>
      <c r="AC255" s="322"/>
      <c r="AD255" s="322"/>
      <c r="AE255" s="322"/>
      <c r="AF255" s="322"/>
      <c r="AG255" s="322"/>
      <c r="AH255" s="322"/>
      <c r="AI255" s="322"/>
      <c r="AJ255" s="322"/>
      <c r="AK255" s="322"/>
    </row>
    <row r="256" spans="1:37" ht="18" customHeight="1">
      <c r="A256" s="322"/>
      <c r="B256" s="322"/>
      <c r="C256" s="451"/>
      <c r="D256" s="322"/>
      <c r="E256" s="322"/>
      <c r="F256" s="322"/>
      <c r="G256" s="322"/>
      <c r="H256" s="322"/>
      <c r="I256" s="322"/>
      <c r="J256" s="322"/>
      <c r="K256" s="322"/>
      <c r="L256" s="322"/>
      <c r="M256" s="322"/>
      <c r="N256" s="322"/>
      <c r="O256" s="322"/>
      <c r="P256" s="322"/>
      <c r="Q256" s="322"/>
      <c r="R256" s="322"/>
      <c r="S256" s="322"/>
      <c r="T256" s="322"/>
      <c r="U256" s="322"/>
      <c r="V256" s="322"/>
      <c r="W256" s="322"/>
      <c r="X256" s="322"/>
      <c r="Y256" s="322"/>
      <c r="Z256" s="322"/>
      <c r="AA256" s="322"/>
      <c r="AB256" s="322"/>
      <c r="AC256" s="322"/>
      <c r="AD256" s="322"/>
      <c r="AE256" s="322"/>
      <c r="AF256" s="322"/>
      <c r="AG256" s="322"/>
      <c r="AH256" s="322"/>
      <c r="AI256" s="322"/>
      <c r="AJ256" s="322"/>
      <c r="AK256" s="322"/>
    </row>
    <row r="257" spans="1:37" ht="18" customHeight="1">
      <c r="A257" s="322"/>
      <c r="B257" s="322"/>
      <c r="C257" s="451"/>
      <c r="D257" s="322"/>
      <c r="E257" s="322"/>
      <c r="F257" s="322"/>
      <c r="G257" s="322"/>
      <c r="H257" s="322"/>
      <c r="I257" s="322"/>
      <c r="J257" s="322"/>
      <c r="K257" s="322"/>
      <c r="L257" s="322"/>
      <c r="M257" s="322"/>
      <c r="N257" s="322"/>
      <c r="O257" s="322"/>
      <c r="P257" s="322"/>
      <c r="Q257" s="322"/>
      <c r="R257" s="322"/>
      <c r="S257" s="322"/>
      <c r="T257" s="322"/>
      <c r="U257" s="322"/>
      <c r="V257" s="322"/>
      <c r="W257" s="322"/>
      <c r="X257" s="322"/>
      <c r="Y257" s="322"/>
      <c r="Z257" s="322"/>
      <c r="AA257" s="322"/>
      <c r="AB257" s="322"/>
      <c r="AC257" s="322"/>
      <c r="AD257" s="322"/>
      <c r="AE257" s="322"/>
      <c r="AF257" s="322"/>
      <c r="AG257" s="322"/>
      <c r="AH257" s="322"/>
      <c r="AI257" s="322"/>
      <c r="AJ257" s="322"/>
      <c r="AK257" s="322"/>
    </row>
    <row r="258" spans="1:37" ht="18" customHeight="1">
      <c r="A258" s="322"/>
      <c r="B258" s="322"/>
      <c r="C258" s="451"/>
      <c r="D258" s="322"/>
      <c r="E258" s="322"/>
      <c r="F258" s="322"/>
      <c r="G258" s="322"/>
      <c r="H258" s="322"/>
      <c r="I258" s="322"/>
      <c r="J258" s="322"/>
      <c r="K258" s="322"/>
      <c r="L258" s="322"/>
      <c r="M258" s="322"/>
      <c r="N258" s="322"/>
      <c r="O258" s="322"/>
      <c r="P258" s="322"/>
      <c r="Q258" s="322"/>
      <c r="R258" s="322"/>
      <c r="S258" s="322"/>
      <c r="T258" s="322"/>
      <c r="U258" s="322"/>
      <c r="V258" s="322"/>
      <c r="W258" s="322"/>
      <c r="X258" s="322"/>
      <c r="Y258" s="322"/>
      <c r="Z258" s="322"/>
      <c r="AA258" s="322"/>
      <c r="AB258" s="322"/>
      <c r="AC258" s="322"/>
      <c r="AD258" s="322"/>
      <c r="AE258" s="322"/>
      <c r="AF258" s="322"/>
      <c r="AG258" s="322"/>
      <c r="AH258" s="322"/>
      <c r="AI258" s="322"/>
      <c r="AJ258" s="322"/>
      <c r="AK258" s="322"/>
    </row>
    <row r="259" spans="1:37" ht="18" customHeight="1">
      <c r="A259" s="322"/>
      <c r="B259" s="322"/>
      <c r="C259" s="451"/>
      <c r="D259" s="322"/>
      <c r="E259" s="322"/>
      <c r="F259" s="322"/>
      <c r="G259" s="322"/>
      <c r="H259" s="322"/>
      <c r="I259" s="322"/>
      <c r="J259" s="322"/>
      <c r="K259" s="322"/>
      <c r="L259" s="322"/>
      <c r="M259" s="322"/>
      <c r="N259" s="322"/>
      <c r="O259" s="322"/>
      <c r="P259" s="322"/>
      <c r="Q259" s="322"/>
      <c r="R259" s="322"/>
      <c r="S259" s="322"/>
      <c r="T259" s="322"/>
      <c r="U259" s="322"/>
      <c r="V259" s="322"/>
      <c r="W259" s="322"/>
      <c r="X259" s="322"/>
      <c r="Y259" s="322"/>
      <c r="Z259" s="322"/>
      <c r="AA259" s="322"/>
      <c r="AB259" s="322"/>
      <c r="AC259" s="322"/>
      <c r="AD259" s="322"/>
      <c r="AE259" s="322"/>
      <c r="AF259" s="322"/>
      <c r="AG259" s="322"/>
      <c r="AH259" s="322"/>
      <c r="AI259" s="322"/>
      <c r="AJ259" s="322"/>
      <c r="AK259" s="322"/>
    </row>
    <row r="260" spans="1:37" ht="18" customHeight="1">
      <c r="A260" s="322"/>
      <c r="B260" s="322"/>
      <c r="C260" s="451"/>
      <c r="D260" s="322"/>
      <c r="E260" s="322"/>
      <c r="F260" s="322"/>
      <c r="G260" s="322"/>
      <c r="H260" s="322"/>
      <c r="I260" s="322"/>
      <c r="J260" s="322"/>
      <c r="K260" s="322"/>
      <c r="L260" s="322"/>
      <c r="M260" s="322"/>
      <c r="N260" s="322"/>
      <c r="O260" s="322"/>
      <c r="P260" s="322"/>
      <c r="Q260" s="322"/>
      <c r="R260" s="322"/>
      <c r="S260" s="322"/>
      <c r="T260" s="322"/>
      <c r="U260" s="322"/>
      <c r="V260" s="322"/>
      <c r="W260" s="322"/>
      <c r="X260" s="322"/>
      <c r="Y260" s="322"/>
      <c r="Z260" s="322"/>
      <c r="AA260" s="322"/>
      <c r="AB260" s="322"/>
      <c r="AC260" s="322"/>
      <c r="AD260" s="322"/>
      <c r="AE260" s="322"/>
      <c r="AF260" s="322"/>
      <c r="AG260" s="322"/>
      <c r="AH260" s="322"/>
      <c r="AI260" s="322"/>
      <c r="AJ260" s="322"/>
      <c r="AK260" s="322"/>
    </row>
    <row r="261" spans="1:37" ht="18" customHeight="1">
      <c r="A261" s="322"/>
      <c r="B261" s="322"/>
      <c r="C261" s="451"/>
      <c r="D261" s="322"/>
      <c r="E261" s="322"/>
      <c r="F261" s="322"/>
      <c r="G261" s="322"/>
      <c r="H261" s="322"/>
      <c r="I261" s="322"/>
      <c r="J261" s="322"/>
      <c r="K261" s="322"/>
      <c r="L261" s="322"/>
      <c r="M261" s="322"/>
      <c r="N261" s="322"/>
      <c r="O261" s="322"/>
      <c r="P261" s="322"/>
      <c r="Q261" s="322"/>
      <c r="R261" s="322"/>
      <c r="S261" s="322"/>
      <c r="T261" s="322"/>
      <c r="U261" s="322"/>
      <c r="V261" s="322"/>
      <c r="W261" s="322"/>
      <c r="X261" s="322"/>
      <c r="Y261" s="322"/>
      <c r="Z261" s="322"/>
      <c r="AA261" s="322"/>
      <c r="AB261" s="322"/>
      <c r="AC261" s="322"/>
      <c r="AD261" s="322"/>
      <c r="AE261" s="322"/>
      <c r="AF261" s="322"/>
      <c r="AG261" s="322"/>
      <c r="AH261" s="322"/>
      <c r="AI261" s="322"/>
      <c r="AJ261" s="322"/>
      <c r="AK261" s="322"/>
    </row>
    <row r="262" spans="1:37" ht="18" customHeight="1">
      <c r="A262" s="322"/>
      <c r="B262" s="322"/>
      <c r="C262" s="451"/>
      <c r="D262" s="322"/>
      <c r="E262" s="322"/>
      <c r="F262" s="322"/>
      <c r="G262" s="322"/>
      <c r="H262" s="322"/>
      <c r="I262" s="322"/>
      <c r="J262" s="322"/>
      <c r="K262" s="322"/>
      <c r="L262" s="322"/>
      <c r="M262" s="322"/>
      <c r="N262" s="322"/>
      <c r="O262" s="322"/>
      <c r="P262" s="322"/>
      <c r="Q262" s="322"/>
      <c r="R262" s="322"/>
      <c r="S262" s="322"/>
      <c r="T262" s="322"/>
      <c r="U262" s="322"/>
      <c r="V262" s="322"/>
      <c r="W262" s="322"/>
      <c r="X262" s="322"/>
      <c r="Y262" s="322"/>
      <c r="Z262" s="322"/>
      <c r="AA262" s="322"/>
      <c r="AB262" s="322"/>
      <c r="AC262" s="322"/>
      <c r="AD262" s="322"/>
      <c r="AE262" s="322"/>
      <c r="AF262" s="322"/>
      <c r="AG262" s="322"/>
      <c r="AH262" s="322"/>
      <c r="AI262" s="322"/>
      <c r="AJ262" s="322"/>
      <c r="AK262" s="322"/>
    </row>
    <row r="263" spans="1:37" ht="18" customHeight="1">
      <c r="A263" s="322"/>
      <c r="B263" s="322"/>
      <c r="C263" s="451"/>
      <c r="D263" s="322"/>
      <c r="E263" s="322"/>
      <c r="F263" s="322"/>
      <c r="G263" s="322"/>
      <c r="H263" s="322"/>
      <c r="I263" s="322"/>
      <c r="J263" s="322"/>
      <c r="K263" s="322"/>
      <c r="L263" s="322"/>
      <c r="M263" s="322"/>
      <c r="N263" s="322"/>
      <c r="O263" s="322"/>
      <c r="P263" s="322"/>
      <c r="Q263" s="322"/>
      <c r="R263" s="322"/>
      <c r="S263" s="322"/>
      <c r="T263" s="322"/>
      <c r="U263" s="322"/>
      <c r="V263" s="322"/>
      <c r="W263" s="322"/>
      <c r="X263" s="322"/>
      <c r="Y263" s="322"/>
      <c r="Z263" s="322"/>
      <c r="AA263" s="322"/>
      <c r="AB263" s="322"/>
      <c r="AC263" s="322"/>
      <c r="AD263" s="322"/>
      <c r="AE263" s="322"/>
      <c r="AF263" s="322"/>
      <c r="AG263" s="322"/>
      <c r="AH263" s="322"/>
      <c r="AI263" s="322"/>
      <c r="AJ263" s="322"/>
      <c r="AK263" s="322"/>
    </row>
    <row r="264" spans="1:37" ht="18" customHeight="1">
      <c r="A264" s="322"/>
      <c r="B264" s="322"/>
      <c r="C264" s="451"/>
      <c r="D264" s="322"/>
      <c r="E264" s="322"/>
      <c r="F264" s="322"/>
      <c r="G264" s="322"/>
      <c r="H264" s="322"/>
      <c r="I264" s="322"/>
      <c r="J264" s="322"/>
      <c r="K264" s="322"/>
      <c r="L264" s="322"/>
      <c r="M264" s="322"/>
      <c r="N264" s="322"/>
      <c r="O264" s="322"/>
      <c r="P264" s="322"/>
      <c r="Q264" s="322"/>
      <c r="R264" s="322"/>
      <c r="S264" s="322"/>
      <c r="T264" s="322"/>
      <c r="U264" s="322"/>
      <c r="V264" s="322"/>
      <c r="W264" s="322"/>
      <c r="X264" s="322"/>
      <c r="Y264" s="322"/>
      <c r="Z264" s="322"/>
      <c r="AA264" s="322"/>
      <c r="AB264" s="322"/>
      <c r="AC264" s="322"/>
      <c r="AD264" s="322"/>
      <c r="AE264" s="322"/>
      <c r="AF264" s="322"/>
      <c r="AG264" s="322"/>
      <c r="AH264" s="322"/>
      <c r="AI264" s="322"/>
      <c r="AJ264" s="322"/>
      <c r="AK264" s="322"/>
    </row>
    <row r="265" spans="1:37" ht="18" customHeight="1">
      <c r="A265" s="322"/>
      <c r="B265" s="322"/>
      <c r="C265" s="451"/>
      <c r="D265" s="322"/>
      <c r="E265" s="322"/>
      <c r="F265" s="322"/>
      <c r="G265" s="322"/>
      <c r="H265" s="322"/>
      <c r="I265" s="322"/>
      <c r="J265" s="322"/>
      <c r="K265" s="322"/>
      <c r="L265" s="322"/>
      <c r="M265" s="322"/>
      <c r="N265" s="322"/>
      <c r="O265" s="322"/>
      <c r="P265" s="322"/>
      <c r="Q265" s="322"/>
      <c r="R265" s="322"/>
      <c r="S265" s="322"/>
      <c r="T265" s="322"/>
      <c r="U265" s="322"/>
      <c r="V265" s="322"/>
      <c r="W265" s="322"/>
      <c r="X265" s="322"/>
      <c r="Y265" s="322"/>
      <c r="Z265" s="322"/>
      <c r="AA265" s="322"/>
      <c r="AB265" s="322"/>
      <c r="AC265" s="322"/>
      <c r="AD265" s="322"/>
      <c r="AE265" s="322"/>
      <c r="AF265" s="322"/>
      <c r="AG265" s="322"/>
      <c r="AH265" s="322"/>
      <c r="AI265" s="322"/>
      <c r="AJ265" s="322"/>
      <c r="AK265" s="322"/>
    </row>
    <row r="266" spans="1:37" ht="18" customHeight="1">
      <c r="A266" s="322"/>
      <c r="B266" s="322"/>
      <c r="C266" s="451"/>
      <c r="D266" s="322"/>
      <c r="E266" s="322"/>
      <c r="F266" s="322"/>
      <c r="G266" s="322"/>
      <c r="H266" s="322"/>
      <c r="I266" s="322"/>
      <c r="J266" s="322"/>
      <c r="K266" s="322"/>
      <c r="L266" s="322"/>
      <c r="M266" s="322"/>
      <c r="N266" s="322"/>
      <c r="O266" s="322"/>
      <c r="P266" s="322"/>
      <c r="Q266" s="322"/>
      <c r="R266" s="322"/>
      <c r="S266" s="322"/>
      <c r="T266" s="322"/>
      <c r="U266" s="322"/>
      <c r="V266" s="322"/>
      <c r="W266" s="322"/>
      <c r="X266" s="322"/>
      <c r="Y266" s="322"/>
      <c r="Z266" s="322"/>
      <c r="AA266" s="322"/>
      <c r="AB266" s="322"/>
      <c r="AC266" s="322"/>
      <c r="AD266" s="322"/>
      <c r="AE266" s="322"/>
      <c r="AF266" s="322"/>
      <c r="AG266" s="322"/>
      <c r="AH266" s="322"/>
      <c r="AI266" s="322"/>
      <c r="AJ266" s="322"/>
      <c r="AK266" s="322"/>
    </row>
    <row r="267" spans="1:37" ht="18" customHeight="1">
      <c r="A267" s="322"/>
      <c r="B267" s="322"/>
      <c r="C267" s="451"/>
      <c r="D267" s="322"/>
      <c r="E267" s="322"/>
      <c r="F267" s="322"/>
      <c r="G267" s="322"/>
      <c r="H267" s="322"/>
      <c r="I267" s="322"/>
      <c r="J267" s="322"/>
      <c r="K267" s="322"/>
      <c r="L267" s="322"/>
      <c r="M267" s="322"/>
      <c r="N267" s="322"/>
      <c r="O267" s="322"/>
      <c r="P267" s="322"/>
      <c r="Q267" s="322"/>
      <c r="R267" s="322"/>
      <c r="S267" s="322"/>
      <c r="T267" s="322"/>
      <c r="U267" s="322"/>
      <c r="V267" s="322"/>
      <c r="W267" s="322"/>
      <c r="X267" s="322"/>
      <c r="Y267" s="322"/>
      <c r="Z267" s="322"/>
      <c r="AA267" s="322"/>
      <c r="AB267" s="322"/>
      <c r="AC267" s="322"/>
      <c r="AD267" s="322"/>
      <c r="AE267" s="322"/>
      <c r="AF267" s="322"/>
      <c r="AG267" s="322"/>
      <c r="AH267" s="322"/>
      <c r="AI267" s="322"/>
      <c r="AJ267" s="322"/>
      <c r="AK267" s="322"/>
    </row>
    <row r="268" spans="1:37" ht="18" customHeight="1">
      <c r="A268" s="322"/>
      <c r="B268" s="322"/>
      <c r="C268" s="451"/>
      <c r="D268" s="322"/>
      <c r="E268" s="322"/>
      <c r="F268" s="322"/>
      <c r="G268" s="322"/>
      <c r="H268" s="322"/>
      <c r="I268" s="322"/>
      <c r="J268" s="322"/>
      <c r="K268" s="322"/>
      <c r="L268" s="322"/>
      <c r="M268" s="322"/>
      <c r="N268" s="322"/>
      <c r="O268" s="322"/>
      <c r="P268" s="322"/>
      <c r="Q268" s="322"/>
      <c r="R268" s="322"/>
      <c r="S268" s="322"/>
      <c r="T268" s="322"/>
      <c r="U268" s="322"/>
      <c r="V268" s="322"/>
      <c r="W268" s="322"/>
      <c r="X268" s="322"/>
      <c r="Y268" s="322"/>
      <c r="Z268" s="322"/>
      <c r="AA268" s="322"/>
      <c r="AB268" s="322"/>
      <c r="AC268" s="322"/>
      <c r="AD268" s="322"/>
      <c r="AE268" s="322"/>
      <c r="AF268" s="322"/>
      <c r="AG268" s="322"/>
      <c r="AH268" s="322"/>
      <c r="AI268" s="322"/>
      <c r="AJ268" s="322"/>
      <c r="AK268" s="322"/>
    </row>
    <row r="269" spans="1:37" ht="18" customHeight="1">
      <c r="A269" s="322"/>
      <c r="B269" s="322"/>
      <c r="C269" s="451"/>
      <c r="D269" s="322"/>
      <c r="E269" s="322"/>
      <c r="F269" s="322"/>
      <c r="G269" s="322"/>
      <c r="H269" s="322"/>
      <c r="I269" s="322"/>
      <c r="J269" s="322"/>
      <c r="K269" s="322"/>
      <c r="L269" s="322"/>
      <c r="M269" s="322"/>
      <c r="N269" s="322"/>
      <c r="O269" s="322"/>
      <c r="P269" s="322"/>
      <c r="Q269" s="322"/>
      <c r="R269" s="322"/>
      <c r="S269" s="322"/>
      <c r="T269" s="322"/>
      <c r="U269" s="322"/>
      <c r="V269" s="322"/>
      <c r="W269" s="322"/>
      <c r="X269" s="322"/>
      <c r="Y269" s="322"/>
      <c r="Z269" s="322"/>
      <c r="AA269" s="322"/>
      <c r="AB269" s="322"/>
      <c r="AC269" s="322"/>
      <c r="AD269" s="322"/>
      <c r="AE269" s="322"/>
      <c r="AF269" s="322"/>
      <c r="AG269" s="322"/>
      <c r="AH269" s="322"/>
      <c r="AI269" s="322"/>
      <c r="AJ269" s="322"/>
      <c r="AK269" s="322"/>
    </row>
    <row r="270" spans="1:37" ht="18" customHeight="1">
      <c r="A270" s="322"/>
      <c r="B270" s="322"/>
      <c r="C270" s="451"/>
      <c r="D270" s="322"/>
      <c r="E270" s="322"/>
      <c r="F270" s="322"/>
      <c r="G270" s="322"/>
      <c r="H270" s="322"/>
      <c r="I270" s="322"/>
      <c r="J270" s="322"/>
      <c r="K270" s="322"/>
      <c r="L270" s="322"/>
      <c r="M270" s="322"/>
      <c r="N270" s="322"/>
      <c r="O270" s="322"/>
      <c r="P270" s="322"/>
      <c r="Q270" s="322"/>
      <c r="R270" s="322"/>
      <c r="S270" s="322"/>
      <c r="T270" s="322"/>
      <c r="U270" s="322"/>
      <c r="V270" s="322"/>
      <c r="W270" s="322"/>
      <c r="X270" s="322"/>
      <c r="Y270" s="322"/>
      <c r="Z270" s="322"/>
      <c r="AA270" s="322"/>
      <c r="AB270" s="322"/>
      <c r="AC270" s="322"/>
      <c r="AD270" s="322"/>
      <c r="AE270" s="322"/>
      <c r="AF270" s="322"/>
      <c r="AG270" s="322"/>
      <c r="AH270" s="322"/>
      <c r="AI270" s="322"/>
      <c r="AJ270" s="322"/>
      <c r="AK270" s="322"/>
    </row>
    <row r="271" spans="1:37" ht="18" customHeight="1">
      <c r="A271" s="322"/>
      <c r="B271" s="322"/>
      <c r="C271" s="451"/>
      <c r="D271" s="322"/>
      <c r="E271" s="322"/>
      <c r="F271" s="322"/>
      <c r="G271" s="322"/>
      <c r="H271" s="322"/>
      <c r="I271" s="322"/>
      <c r="J271" s="322"/>
      <c r="K271" s="322"/>
      <c r="L271" s="322"/>
      <c r="M271" s="322"/>
      <c r="N271" s="322"/>
      <c r="O271" s="322"/>
      <c r="P271" s="322"/>
      <c r="Q271" s="322"/>
      <c r="R271" s="322"/>
      <c r="S271" s="322"/>
      <c r="T271" s="322"/>
      <c r="U271" s="322"/>
      <c r="V271" s="322"/>
      <c r="W271" s="322"/>
      <c r="X271" s="322"/>
      <c r="Y271" s="322"/>
      <c r="Z271" s="322"/>
      <c r="AA271" s="322"/>
      <c r="AB271" s="322"/>
      <c r="AC271" s="322"/>
      <c r="AD271" s="322"/>
      <c r="AE271" s="322"/>
      <c r="AF271" s="322"/>
      <c r="AG271" s="322"/>
      <c r="AH271" s="322"/>
      <c r="AI271" s="322"/>
      <c r="AJ271" s="322"/>
      <c r="AK271" s="322"/>
    </row>
    <row r="272" spans="1:37" ht="18" customHeight="1">
      <c r="A272" s="322"/>
      <c r="B272" s="322"/>
      <c r="C272" s="451"/>
      <c r="D272" s="322"/>
      <c r="E272" s="322"/>
      <c r="F272" s="322"/>
      <c r="G272" s="322"/>
      <c r="H272" s="322"/>
      <c r="I272" s="322"/>
      <c r="J272" s="322"/>
      <c r="K272" s="322"/>
      <c r="L272" s="322"/>
      <c r="M272" s="322"/>
      <c r="N272" s="322"/>
      <c r="O272" s="322"/>
      <c r="P272" s="322"/>
      <c r="Q272" s="322"/>
      <c r="R272" s="322"/>
      <c r="S272" s="322"/>
      <c r="T272" s="322"/>
      <c r="U272" s="322"/>
      <c r="V272" s="322"/>
      <c r="W272" s="322"/>
      <c r="X272" s="322"/>
      <c r="Y272" s="322"/>
      <c r="Z272" s="322"/>
      <c r="AA272" s="322"/>
      <c r="AB272" s="322"/>
      <c r="AC272" s="322"/>
      <c r="AD272" s="322"/>
      <c r="AE272" s="322"/>
      <c r="AF272" s="322"/>
      <c r="AG272" s="322"/>
      <c r="AH272" s="322"/>
      <c r="AI272" s="322"/>
      <c r="AJ272" s="322"/>
      <c r="AK272" s="322"/>
    </row>
    <row r="273" spans="1:37" ht="18" customHeight="1">
      <c r="A273" s="322"/>
      <c r="B273" s="322"/>
      <c r="C273" s="451"/>
      <c r="D273" s="322"/>
      <c r="E273" s="322"/>
      <c r="F273" s="322"/>
      <c r="G273" s="322"/>
      <c r="H273" s="322"/>
      <c r="I273" s="322"/>
      <c r="J273" s="322"/>
      <c r="K273" s="322"/>
      <c r="L273" s="322"/>
      <c r="M273" s="322"/>
      <c r="N273" s="322"/>
      <c r="O273" s="322"/>
      <c r="P273" s="322"/>
      <c r="Q273" s="322"/>
      <c r="R273" s="322"/>
      <c r="S273" s="322"/>
      <c r="T273" s="322"/>
      <c r="U273" s="322"/>
      <c r="V273" s="322"/>
      <c r="W273" s="322"/>
      <c r="X273" s="322"/>
      <c r="Y273" s="322"/>
      <c r="Z273" s="322"/>
      <c r="AA273" s="322"/>
      <c r="AB273" s="322"/>
      <c r="AC273" s="322"/>
      <c r="AD273" s="322"/>
      <c r="AE273" s="322"/>
      <c r="AF273" s="322"/>
      <c r="AG273" s="322"/>
      <c r="AH273" s="322"/>
      <c r="AI273" s="322"/>
      <c r="AJ273" s="322"/>
      <c r="AK273" s="322"/>
    </row>
    <row r="274" spans="1:37" ht="18" customHeight="1">
      <c r="A274" s="322"/>
      <c r="B274" s="322"/>
      <c r="C274" s="451"/>
      <c r="D274" s="322"/>
      <c r="E274" s="322"/>
      <c r="F274" s="322"/>
      <c r="G274" s="322"/>
      <c r="H274" s="322"/>
      <c r="I274" s="322"/>
      <c r="J274" s="322"/>
      <c r="K274" s="322"/>
      <c r="L274" s="322"/>
      <c r="M274" s="322"/>
      <c r="N274" s="322"/>
      <c r="O274" s="322"/>
      <c r="P274" s="322"/>
      <c r="Q274" s="322"/>
      <c r="R274" s="322"/>
      <c r="S274" s="322"/>
      <c r="T274" s="322"/>
      <c r="U274" s="322"/>
      <c r="V274" s="322"/>
      <c r="W274" s="322"/>
      <c r="X274" s="322"/>
      <c r="Y274" s="322"/>
      <c r="Z274" s="322"/>
      <c r="AA274" s="322"/>
      <c r="AB274" s="322"/>
      <c r="AC274" s="322"/>
      <c r="AD274" s="322"/>
      <c r="AE274" s="322"/>
      <c r="AF274" s="322"/>
      <c r="AG274" s="322"/>
      <c r="AH274" s="322"/>
      <c r="AI274" s="322"/>
      <c r="AJ274" s="322"/>
      <c r="AK274" s="322"/>
    </row>
    <row r="275" spans="1:37" ht="18" customHeight="1">
      <c r="A275" s="322"/>
      <c r="B275" s="322"/>
      <c r="C275" s="451"/>
      <c r="D275" s="322"/>
      <c r="E275" s="322"/>
      <c r="F275" s="322"/>
      <c r="G275" s="322"/>
      <c r="H275" s="322"/>
      <c r="I275" s="322"/>
      <c r="J275" s="322"/>
      <c r="K275" s="322"/>
      <c r="L275" s="322"/>
      <c r="M275" s="322"/>
      <c r="N275" s="322"/>
      <c r="O275" s="322"/>
      <c r="P275" s="322"/>
      <c r="Q275" s="322"/>
      <c r="R275" s="322"/>
      <c r="S275" s="322"/>
      <c r="T275" s="322"/>
      <c r="U275" s="322"/>
      <c r="V275" s="322"/>
      <c r="W275" s="322"/>
      <c r="X275" s="322"/>
      <c r="Y275" s="322"/>
      <c r="Z275" s="322"/>
      <c r="AA275" s="322"/>
      <c r="AB275" s="322"/>
      <c r="AC275" s="322"/>
      <c r="AD275" s="322"/>
      <c r="AE275" s="322"/>
      <c r="AF275" s="322"/>
      <c r="AG275" s="322"/>
      <c r="AH275" s="322"/>
      <c r="AI275" s="322"/>
      <c r="AJ275" s="322"/>
      <c r="AK275" s="322"/>
    </row>
    <row r="276" spans="1:37" ht="18" customHeight="1">
      <c r="A276" s="322"/>
      <c r="B276" s="322"/>
      <c r="C276" s="451"/>
      <c r="D276" s="322"/>
      <c r="E276" s="322"/>
      <c r="F276" s="322"/>
      <c r="G276" s="322"/>
      <c r="H276" s="322"/>
      <c r="I276" s="322"/>
      <c r="J276" s="322"/>
      <c r="K276" s="322"/>
      <c r="L276" s="322"/>
      <c r="M276" s="322"/>
      <c r="N276" s="322"/>
      <c r="O276" s="322"/>
      <c r="P276" s="322"/>
      <c r="Q276" s="322"/>
      <c r="R276" s="322"/>
      <c r="S276" s="322"/>
      <c r="T276" s="322"/>
      <c r="U276" s="322"/>
      <c r="V276" s="322"/>
      <c r="W276" s="322"/>
      <c r="X276" s="322"/>
      <c r="Y276" s="322"/>
      <c r="Z276" s="322"/>
      <c r="AA276" s="322"/>
      <c r="AB276" s="322"/>
      <c r="AC276" s="322"/>
      <c r="AD276" s="322"/>
      <c r="AE276" s="322"/>
      <c r="AF276" s="322"/>
      <c r="AG276" s="322"/>
      <c r="AH276" s="322"/>
      <c r="AI276" s="322"/>
      <c r="AJ276" s="322"/>
      <c r="AK276" s="322"/>
    </row>
    <row r="277" spans="1:37" ht="18" customHeight="1">
      <c r="A277" s="322"/>
      <c r="B277" s="322"/>
      <c r="C277" s="451"/>
      <c r="D277" s="322"/>
      <c r="E277" s="322"/>
      <c r="F277" s="322"/>
      <c r="G277" s="322"/>
      <c r="H277" s="322"/>
      <c r="I277" s="322"/>
      <c r="J277" s="322"/>
      <c r="K277" s="322"/>
      <c r="L277" s="322"/>
      <c r="M277" s="322"/>
      <c r="N277" s="322"/>
      <c r="O277" s="322"/>
      <c r="P277" s="322"/>
      <c r="Q277" s="322"/>
      <c r="R277" s="322"/>
      <c r="S277" s="322"/>
      <c r="T277" s="322"/>
      <c r="U277" s="322"/>
      <c r="V277" s="322"/>
      <c r="W277" s="322"/>
      <c r="X277" s="322"/>
      <c r="Y277" s="322"/>
      <c r="Z277" s="322"/>
      <c r="AA277" s="322"/>
      <c r="AB277" s="322"/>
      <c r="AC277" s="322"/>
      <c r="AD277" s="322"/>
      <c r="AE277" s="322"/>
      <c r="AF277" s="322"/>
      <c r="AG277" s="322"/>
      <c r="AH277" s="322"/>
      <c r="AI277" s="322"/>
      <c r="AJ277" s="322"/>
      <c r="AK277" s="322"/>
    </row>
    <row r="278" spans="1:37" ht="18" customHeight="1">
      <c r="A278" s="322"/>
      <c r="B278" s="322"/>
      <c r="C278" s="451"/>
      <c r="D278" s="322"/>
      <c r="E278" s="322"/>
      <c r="F278" s="322"/>
      <c r="G278" s="322"/>
      <c r="H278" s="322"/>
      <c r="I278" s="322"/>
      <c r="J278" s="322"/>
      <c r="K278" s="322"/>
      <c r="L278" s="322"/>
      <c r="M278" s="322"/>
      <c r="N278" s="322"/>
      <c r="O278" s="322"/>
      <c r="P278" s="322"/>
      <c r="Q278" s="322"/>
      <c r="R278" s="322"/>
      <c r="S278" s="322"/>
      <c r="T278" s="322"/>
      <c r="U278" s="322"/>
      <c r="V278" s="322"/>
      <c r="W278" s="322"/>
      <c r="X278" s="322"/>
      <c r="Y278" s="322"/>
      <c r="Z278" s="322"/>
      <c r="AA278" s="322"/>
      <c r="AB278" s="322"/>
      <c r="AC278" s="322"/>
      <c r="AD278" s="322"/>
      <c r="AE278" s="322"/>
      <c r="AF278" s="322"/>
      <c r="AG278" s="322"/>
      <c r="AH278" s="322"/>
      <c r="AI278" s="322"/>
      <c r="AJ278" s="322"/>
      <c r="AK278" s="322"/>
    </row>
    <row r="279" spans="1:37" ht="18" customHeight="1">
      <c r="A279" s="322"/>
      <c r="B279" s="322"/>
      <c r="C279" s="451"/>
      <c r="D279" s="322"/>
      <c r="E279" s="322"/>
      <c r="F279" s="322"/>
      <c r="G279" s="322"/>
      <c r="H279" s="322"/>
      <c r="I279" s="322"/>
      <c r="J279" s="322"/>
      <c r="K279" s="322"/>
      <c r="L279" s="322"/>
      <c r="M279" s="322"/>
      <c r="N279" s="322"/>
      <c r="O279" s="322"/>
      <c r="P279" s="322"/>
      <c r="Q279" s="322"/>
      <c r="R279" s="322"/>
      <c r="S279" s="322"/>
      <c r="T279" s="322"/>
      <c r="U279" s="322"/>
      <c r="V279" s="322"/>
      <c r="W279" s="322"/>
      <c r="X279" s="322"/>
      <c r="Y279" s="322"/>
      <c r="Z279" s="322"/>
      <c r="AA279" s="322"/>
      <c r="AB279" s="322"/>
      <c r="AC279" s="322"/>
      <c r="AD279" s="322"/>
      <c r="AE279" s="322"/>
      <c r="AF279" s="322"/>
      <c r="AG279" s="322"/>
      <c r="AH279" s="322"/>
      <c r="AI279" s="322"/>
      <c r="AJ279" s="322"/>
      <c r="AK279" s="322"/>
    </row>
    <row r="280" spans="1:37" ht="18" customHeight="1">
      <c r="A280" s="322"/>
      <c r="B280" s="322"/>
      <c r="C280" s="451"/>
      <c r="D280" s="322"/>
      <c r="E280" s="322"/>
      <c r="F280" s="322"/>
      <c r="G280" s="322"/>
      <c r="H280" s="322"/>
      <c r="I280" s="322"/>
      <c r="J280" s="322"/>
      <c r="K280" s="322"/>
      <c r="L280" s="322"/>
      <c r="M280" s="322"/>
      <c r="N280" s="322"/>
      <c r="O280" s="322"/>
      <c r="P280" s="322"/>
      <c r="Q280" s="322"/>
      <c r="R280" s="322"/>
      <c r="S280" s="322"/>
      <c r="T280" s="322"/>
      <c r="U280" s="322"/>
      <c r="V280" s="322"/>
      <c r="W280" s="322"/>
      <c r="X280" s="322"/>
      <c r="Y280" s="322"/>
      <c r="Z280" s="322"/>
      <c r="AA280" s="322"/>
      <c r="AB280" s="322"/>
      <c r="AC280" s="322"/>
      <c r="AD280" s="322"/>
      <c r="AE280" s="322"/>
      <c r="AF280" s="322"/>
      <c r="AG280" s="322"/>
      <c r="AH280" s="322"/>
      <c r="AI280" s="322"/>
      <c r="AJ280" s="322"/>
      <c r="AK280" s="322"/>
    </row>
    <row r="281" spans="1:37" ht="18" customHeight="1">
      <c r="A281" s="322"/>
      <c r="B281" s="322"/>
      <c r="C281" s="451"/>
      <c r="D281" s="322"/>
      <c r="E281" s="322"/>
      <c r="F281" s="322"/>
      <c r="G281" s="322"/>
      <c r="H281" s="322"/>
      <c r="I281" s="322"/>
      <c r="J281" s="322"/>
      <c r="K281" s="322"/>
      <c r="L281" s="322"/>
      <c r="M281" s="322"/>
      <c r="N281" s="322"/>
      <c r="O281" s="322"/>
      <c r="P281" s="322"/>
      <c r="Q281" s="322"/>
      <c r="R281" s="322"/>
      <c r="S281" s="322"/>
      <c r="T281" s="322"/>
      <c r="U281" s="322"/>
      <c r="V281" s="322"/>
      <c r="W281" s="322"/>
      <c r="X281" s="322"/>
      <c r="Y281" s="322"/>
      <c r="Z281" s="322"/>
      <c r="AA281" s="322"/>
      <c r="AB281" s="322"/>
      <c r="AC281" s="322"/>
      <c r="AD281" s="322"/>
      <c r="AE281" s="322"/>
      <c r="AF281" s="322"/>
      <c r="AG281" s="322"/>
      <c r="AH281" s="322"/>
      <c r="AI281" s="322"/>
      <c r="AJ281" s="322"/>
      <c r="AK281" s="322"/>
    </row>
    <row r="282" spans="1:37" ht="18" customHeight="1">
      <c r="A282" s="322"/>
      <c r="B282" s="322"/>
      <c r="C282" s="451"/>
      <c r="D282" s="322"/>
      <c r="E282" s="322"/>
      <c r="F282" s="322"/>
      <c r="G282" s="322"/>
      <c r="H282" s="322"/>
      <c r="I282" s="322"/>
      <c r="J282" s="322"/>
      <c r="K282" s="322"/>
      <c r="L282" s="322"/>
      <c r="M282" s="322"/>
      <c r="N282" s="322"/>
      <c r="O282" s="322"/>
      <c r="P282" s="322"/>
      <c r="Q282" s="322"/>
      <c r="R282" s="322"/>
      <c r="S282" s="322"/>
      <c r="T282" s="322"/>
      <c r="U282" s="322"/>
      <c r="V282" s="322"/>
      <c r="W282" s="322"/>
      <c r="X282" s="322"/>
      <c r="Y282" s="322"/>
      <c r="Z282" s="322"/>
      <c r="AA282" s="322"/>
      <c r="AB282" s="322"/>
      <c r="AC282" s="322"/>
      <c r="AD282" s="322"/>
      <c r="AE282" s="322"/>
      <c r="AF282" s="322"/>
      <c r="AG282" s="322"/>
      <c r="AH282" s="322"/>
      <c r="AI282" s="322"/>
      <c r="AJ282" s="322"/>
      <c r="AK282" s="322"/>
    </row>
    <row r="283" spans="1:37" ht="18" customHeight="1">
      <c r="A283" s="322"/>
      <c r="B283" s="322"/>
      <c r="C283" s="451"/>
      <c r="D283" s="322"/>
      <c r="E283" s="322"/>
      <c r="F283" s="322"/>
      <c r="G283" s="322"/>
      <c r="H283" s="322"/>
      <c r="I283" s="322"/>
      <c r="J283" s="322"/>
      <c r="K283" s="322"/>
      <c r="L283" s="322"/>
      <c r="M283" s="322"/>
      <c r="N283" s="322"/>
      <c r="O283" s="322"/>
      <c r="P283" s="322"/>
      <c r="Q283" s="322"/>
      <c r="R283" s="322"/>
      <c r="S283" s="322"/>
      <c r="T283" s="322"/>
      <c r="U283" s="322"/>
      <c r="V283" s="322"/>
      <c r="W283" s="322"/>
      <c r="X283" s="322"/>
      <c r="Y283" s="322"/>
      <c r="Z283" s="322"/>
      <c r="AA283" s="322"/>
      <c r="AB283" s="322"/>
      <c r="AC283" s="322"/>
      <c r="AD283" s="322"/>
      <c r="AE283" s="322"/>
      <c r="AF283" s="322"/>
      <c r="AG283" s="322"/>
      <c r="AH283" s="322"/>
      <c r="AI283" s="322"/>
      <c r="AJ283" s="322"/>
      <c r="AK283" s="322"/>
    </row>
    <row r="284" spans="1:37" ht="18" customHeight="1">
      <c r="A284" s="322"/>
      <c r="B284" s="322"/>
      <c r="C284" s="451"/>
      <c r="D284" s="322"/>
      <c r="E284" s="322"/>
      <c r="F284" s="322"/>
      <c r="G284" s="322"/>
      <c r="H284" s="322"/>
      <c r="I284" s="322"/>
      <c r="J284" s="322"/>
      <c r="K284" s="322"/>
      <c r="L284" s="322"/>
      <c r="M284" s="322"/>
      <c r="N284" s="322"/>
      <c r="O284" s="322"/>
      <c r="P284" s="322"/>
      <c r="Q284" s="322"/>
      <c r="R284" s="322"/>
      <c r="S284" s="322"/>
      <c r="T284" s="322"/>
      <c r="U284" s="322"/>
      <c r="V284" s="322"/>
      <c r="W284" s="322"/>
      <c r="X284" s="322"/>
      <c r="Y284" s="322"/>
      <c r="Z284" s="322"/>
      <c r="AA284" s="322"/>
      <c r="AB284" s="322"/>
      <c r="AC284" s="322"/>
      <c r="AD284" s="322"/>
      <c r="AE284" s="322"/>
      <c r="AF284" s="322"/>
      <c r="AG284" s="322"/>
      <c r="AH284" s="322"/>
      <c r="AI284" s="322"/>
      <c r="AJ284" s="322"/>
      <c r="AK284" s="322"/>
    </row>
    <row r="285" spans="1:37" ht="18" customHeight="1">
      <c r="A285" s="322"/>
      <c r="B285" s="322"/>
      <c r="C285" s="451"/>
      <c r="D285" s="322"/>
      <c r="E285" s="322"/>
      <c r="F285" s="322"/>
      <c r="G285" s="322"/>
      <c r="H285" s="322"/>
      <c r="I285" s="322"/>
      <c r="J285" s="322"/>
      <c r="K285" s="322"/>
      <c r="L285" s="322"/>
      <c r="M285" s="322"/>
      <c r="N285" s="322"/>
      <c r="O285" s="322"/>
      <c r="P285" s="322"/>
      <c r="Q285" s="322"/>
      <c r="R285" s="322"/>
      <c r="S285" s="322"/>
      <c r="T285" s="322"/>
      <c r="U285" s="322"/>
      <c r="V285" s="322"/>
      <c r="W285" s="322"/>
      <c r="X285" s="322"/>
      <c r="Y285" s="322"/>
      <c r="Z285" s="322"/>
      <c r="AA285" s="322"/>
      <c r="AB285" s="322"/>
      <c r="AC285" s="322"/>
      <c r="AD285" s="322"/>
      <c r="AE285" s="322"/>
      <c r="AF285" s="322"/>
      <c r="AG285" s="322"/>
      <c r="AH285" s="322"/>
      <c r="AI285" s="322"/>
      <c r="AJ285" s="322"/>
      <c r="AK285" s="322"/>
    </row>
    <row r="286" spans="1:37" ht="18" customHeight="1">
      <c r="A286" s="322"/>
      <c r="B286" s="322"/>
      <c r="C286" s="451"/>
      <c r="D286" s="322"/>
      <c r="E286" s="322"/>
      <c r="F286" s="322"/>
      <c r="G286" s="322"/>
      <c r="H286" s="322"/>
      <c r="I286" s="322"/>
      <c r="J286" s="322"/>
      <c r="K286" s="322"/>
      <c r="L286" s="322"/>
      <c r="M286" s="322"/>
      <c r="N286" s="322"/>
      <c r="O286" s="322"/>
      <c r="P286" s="322"/>
      <c r="Q286" s="322"/>
      <c r="R286" s="322"/>
      <c r="S286" s="322"/>
      <c r="T286" s="322"/>
      <c r="U286" s="322"/>
      <c r="V286" s="322"/>
      <c r="W286" s="322"/>
      <c r="X286" s="322"/>
      <c r="Y286" s="322"/>
      <c r="Z286" s="322"/>
      <c r="AA286" s="322"/>
      <c r="AB286" s="322"/>
      <c r="AC286" s="322"/>
      <c r="AD286" s="322"/>
      <c r="AE286" s="322"/>
      <c r="AF286" s="322"/>
      <c r="AG286" s="322"/>
      <c r="AH286" s="322"/>
      <c r="AI286" s="322"/>
      <c r="AJ286" s="322"/>
      <c r="AK286" s="322"/>
    </row>
    <row r="287" spans="1:37" ht="18" customHeight="1">
      <c r="A287" s="322"/>
      <c r="B287" s="322"/>
      <c r="C287" s="451"/>
      <c r="D287" s="322"/>
      <c r="E287" s="322"/>
      <c r="F287" s="322"/>
      <c r="G287" s="322"/>
      <c r="H287" s="322"/>
      <c r="I287" s="322"/>
      <c r="J287" s="322"/>
      <c r="K287" s="322"/>
      <c r="L287" s="322"/>
      <c r="M287" s="322"/>
      <c r="N287" s="322"/>
      <c r="O287" s="322"/>
      <c r="P287" s="322"/>
      <c r="Q287" s="322"/>
      <c r="R287" s="322"/>
      <c r="S287" s="322"/>
      <c r="T287" s="322"/>
      <c r="U287" s="322"/>
      <c r="V287" s="322"/>
      <c r="W287" s="322"/>
      <c r="X287" s="322"/>
      <c r="Y287" s="322"/>
      <c r="Z287" s="322"/>
      <c r="AA287" s="322"/>
      <c r="AB287" s="322"/>
      <c r="AC287" s="322"/>
      <c r="AD287" s="322"/>
      <c r="AE287" s="322"/>
      <c r="AF287" s="322"/>
      <c r="AG287" s="322"/>
      <c r="AH287" s="322"/>
      <c r="AI287" s="322"/>
      <c r="AJ287" s="322"/>
      <c r="AK287" s="322"/>
    </row>
    <row r="288" spans="1:37" ht="18" customHeight="1">
      <c r="A288" s="322"/>
      <c r="B288" s="322"/>
      <c r="C288" s="451"/>
      <c r="D288" s="322"/>
      <c r="E288" s="322"/>
      <c r="F288" s="322"/>
      <c r="G288" s="322"/>
      <c r="H288" s="322"/>
      <c r="I288" s="322"/>
      <c r="J288" s="322"/>
      <c r="K288" s="322"/>
      <c r="L288" s="322"/>
      <c r="M288" s="322"/>
      <c r="N288" s="322"/>
      <c r="O288" s="322"/>
      <c r="P288" s="322"/>
      <c r="Q288" s="322"/>
      <c r="R288" s="322"/>
      <c r="S288" s="322"/>
      <c r="T288" s="322"/>
      <c r="U288" s="322"/>
      <c r="V288" s="322"/>
      <c r="W288" s="322"/>
      <c r="X288" s="322"/>
      <c r="Y288" s="322"/>
      <c r="Z288" s="322"/>
      <c r="AA288" s="322"/>
      <c r="AB288" s="322"/>
      <c r="AC288" s="322"/>
      <c r="AD288" s="322"/>
      <c r="AE288" s="322"/>
      <c r="AF288" s="322"/>
      <c r="AG288" s="322"/>
      <c r="AH288" s="322"/>
      <c r="AI288" s="322"/>
      <c r="AJ288" s="322"/>
      <c r="AK288" s="322"/>
    </row>
    <row r="289" spans="1:37" ht="18" customHeight="1">
      <c r="A289" s="322"/>
      <c r="B289" s="322"/>
      <c r="C289" s="451"/>
      <c r="D289" s="322"/>
      <c r="E289" s="322"/>
      <c r="F289" s="322"/>
      <c r="G289" s="322"/>
      <c r="H289" s="322"/>
      <c r="I289" s="322"/>
      <c r="J289" s="322"/>
      <c r="K289" s="322"/>
      <c r="L289" s="322"/>
      <c r="M289" s="322"/>
      <c r="N289" s="322"/>
      <c r="O289" s="322"/>
      <c r="P289" s="322"/>
      <c r="Q289" s="322"/>
      <c r="R289" s="322"/>
      <c r="S289" s="322"/>
      <c r="T289" s="322"/>
      <c r="U289" s="322"/>
      <c r="V289" s="322"/>
      <c r="W289" s="322"/>
      <c r="X289" s="322"/>
      <c r="Y289" s="322"/>
      <c r="Z289" s="322"/>
      <c r="AA289" s="322"/>
      <c r="AB289" s="322"/>
      <c r="AC289" s="322"/>
      <c r="AD289" s="322"/>
      <c r="AE289" s="322"/>
      <c r="AF289" s="322"/>
      <c r="AG289" s="322"/>
      <c r="AH289" s="322"/>
      <c r="AI289" s="322"/>
      <c r="AJ289" s="322"/>
      <c r="AK289" s="322"/>
    </row>
    <row r="290" spans="1:37" ht="18" customHeight="1">
      <c r="A290" s="322"/>
      <c r="B290" s="322"/>
      <c r="C290" s="451"/>
      <c r="D290" s="322"/>
      <c r="E290" s="322"/>
      <c r="F290" s="322"/>
      <c r="G290" s="322"/>
      <c r="H290" s="322"/>
      <c r="I290" s="322"/>
      <c r="J290" s="322"/>
      <c r="K290" s="322"/>
      <c r="L290" s="322"/>
      <c r="M290" s="322"/>
      <c r="N290" s="322"/>
      <c r="O290" s="322"/>
      <c r="P290" s="322"/>
      <c r="Q290" s="322"/>
      <c r="R290" s="322"/>
      <c r="S290" s="322"/>
      <c r="T290" s="322"/>
      <c r="U290" s="322"/>
      <c r="V290" s="322"/>
      <c r="W290" s="322"/>
      <c r="X290" s="322"/>
      <c r="Y290" s="322"/>
      <c r="Z290" s="322"/>
      <c r="AA290" s="322"/>
      <c r="AB290" s="322"/>
      <c r="AC290" s="322"/>
      <c r="AD290" s="322"/>
      <c r="AE290" s="322"/>
      <c r="AF290" s="322"/>
      <c r="AG290" s="322"/>
      <c r="AH290" s="322"/>
      <c r="AI290" s="322"/>
      <c r="AJ290" s="322"/>
      <c r="AK290" s="322"/>
    </row>
    <row r="291" spans="1:37" ht="18" customHeight="1">
      <c r="A291" s="322"/>
      <c r="B291" s="322"/>
      <c r="C291" s="451"/>
      <c r="D291" s="322"/>
      <c r="E291" s="322"/>
      <c r="F291" s="322"/>
      <c r="G291" s="322"/>
      <c r="H291" s="322"/>
      <c r="I291" s="322"/>
      <c r="J291" s="322"/>
      <c r="K291" s="322"/>
      <c r="L291" s="322"/>
      <c r="M291" s="322"/>
      <c r="N291" s="322"/>
      <c r="O291" s="322"/>
      <c r="P291" s="322"/>
      <c r="Q291" s="322"/>
      <c r="R291" s="322"/>
      <c r="S291" s="322"/>
      <c r="T291" s="322"/>
      <c r="U291" s="322"/>
      <c r="V291" s="322"/>
      <c r="W291" s="322"/>
      <c r="X291" s="322"/>
      <c r="Y291" s="322"/>
      <c r="Z291" s="322"/>
      <c r="AA291" s="322"/>
      <c r="AB291" s="322"/>
      <c r="AC291" s="322"/>
      <c r="AD291" s="322"/>
      <c r="AE291" s="322"/>
      <c r="AF291" s="322"/>
      <c r="AG291" s="322"/>
      <c r="AH291" s="322"/>
      <c r="AI291" s="322"/>
      <c r="AJ291" s="322"/>
      <c r="AK291" s="322"/>
    </row>
    <row r="292" spans="1:37" ht="18" customHeight="1">
      <c r="A292" s="322"/>
      <c r="B292" s="322"/>
      <c r="C292" s="451"/>
      <c r="D292" s="322"/>
      <c r="E292" s="322"/>
      <c r="F292" s="322"/>
      <c r="G292" s="322"/>
      <c r="H292" s="322"/>
      <c r="I292" s="322"/>
      <c r="J292" s="322"/>
      <c r="K292" s="322"/>
      <c r="L292" s="322"/>
      <c r="M292" s="322"/>
      <c r="N292" s="322"/>
      <c r="O292" s="322"/>
      <c r="P292" s="322"/>
      <c r="Q292" s="322"/>
      <c r="R292" s="322"/>
      <c r="S292" s="322"/>
      <c r="T292" s="322"/>
      <c r="U292" s="322"/>
      <c r="V292" s="322"/>
      <c r="W292" s="322"/>
      <c r="X292" s="322"/>
      <c r="Y292" s="322"/>
      <c r="Z292" s="322"/>
      <c r="AA292" s="322"/>
      <c r="AB292" s="322"/>
      <c r="AC292" s="322"/>
      <c r="AD292" s="322"/>
      <c r="AE292" s="322"/>
      <c r="AF292" s="322"/>
      <c r="AG292" s="322"/>
      <c r="AH292" s="322"/>
      <c r="AI292" s="322"/>
      <c r="AJ292" s="322"/>
      <c r="AK292" s="322"/>
    </row>
    <row r="293" spans="1:37" ht="18" customHeight="1">
      <c r="A293" s="322"/>
      <c r="B293" s="322"/>
      <c r="C293" s="451"/>
      <c r="D293" s="322"/>
      <c r="E293" s="322"/>
      <c r="F293" s="322"/>
      <c r="G293" s="322"/>
      <c r="H293" s="322"/>
      <c r="I293" s="322"/>
      <c r="J293" s="322"/>
      <c r="K293" s="322"/>
      <c r="L293" s="322"/>
      <c r="M293" s="322"/>
      <c r="N293" s="322"/>
      <c r="O293" s="322"/>
      <c r="P293" s="322"/>
      <c r="Q293" s="322"/>
      <c r="R293" s="322"/>
      <c r="S293" s="322"/>
      <c r="T293" s="322"/>
      <c r="U293" s="322"/>
      <c r="V293" s="322"/>
      <c r="W293" s="322"/>
      <c r="X293" s="322"/>
      <c r="Y293" s="322"/>
      <c r="Z293" s="322"/>
      <c r="AA293" s="322"/>
      <c r="AB293" s="322"/>
      <c r="AC293" s="322"/>
      <c r="AD293" s="322"/>
      <c r="AE293" s="322"/>
      <c r="AF293" s="322"/>
      <c r="AG293" s="322"/>
      <c r="AH293" s="322"/>
      <c r="AI293" s="322"/>
      <c r="AJ293" s="322"/>
      <c r="AK293" s="322"/>
    </row>
    <row r="294" spans="1:37" ht="18" customHeight="1">
      <c r="A294" s="322"/>
      <c r="B294" s="322"/>
      <c r="C294" s="451"/>
      <c r="D294" s="322"/>
      <c r="E294" s="322"/>
      <c r="F294" s="322"/>
      <c r="G294" s="322"/>
      <c r="H294" s="322"/>
      <c r="I294" s="322"/>
      <c r="J294" s="322"/>
      <c r="K294" s="322"/>
      <c r="L294" s="322"/>
      <c r="M294" s="322"/>
      <c r="N294" s="322"/>
      <c r="O294" s="322"/>
      <c r="P294" s="322"/>
      <c r="Q294" s="322"/>
      <c r="R294" s="322"/>
      <c r="S294" s="322"/>
      <c r="T294" s="322"/>
      <c r="U294" s="322"/>
      <c r="V294" s="322"/>
      <c r="W294" s="322"/>
      <c r="X294" s="322"/>
      <c r="Y294" s="322"/>
      <c r="Z294" s="322"/>
      <c r="AA294" s="322"/>
      <c r="AB294" s="322"/>
      <c r="AC294" s="322"/>
      <c r="AD294" s="322"/>
      <c r="AE294" s="322"/>
      <c r="AF294" s="322"/>
      <c r="AG294" s="322"/>
      <c r="AH294" s="322"/>
      <c r="AI294" s="322"/>
      <c r="AJ294" s="322"/>
      <c r="AK294" s="322"/>
    </row>
    <row r="295" spans="1:37" ht="18" customHeight="1">
      <c r="A295" s="322"/>
      <c r="B295" s="322"/>
      <c r="C295" s="451"/>
      <c r="D295" s="322"/>
      <c r="E295" s="322"/>
      <c r="F295" s="322"/>
      <c r="G295" s="322"/>
      <c r="H295" s="322"/>
      <c r="I295" s="322"/>
      <c r="J295" s="322"/>
      <c r="K295" s="322"/>
      <c r="L295" s="322"/>
      <c r="M295" s="322"/>
      <c r="N295" s="322"/>
      <c r="O295" s="322"/>
      <c r="P295" s="322"/>
      <c r="Q295" s="322"/>
      <c r="R295" s="322"/>
      <c r="S295" s="322"/>
      <c r="T295" s="322"/>
      <c r="U295" s="322"/>
      <c r="V295" s="322"/>
      <c r="W295" s="322"/>
      <c r="X295" s="322"/>
      <c r="Y295" s="322"/>
      <c r="Z295" s="322"/>
      <c r="AA295" s="322"/>
      <c r="AB295" s="322"/>
      <c r="AC295" s="322"/>
      <c r="AD295" s="322"/>
      <c r="AE295" s="322"/>
      <c r="AF295" s="322"/>
      <c r="AG295" s="322"/>
      <c r="AH295" s="322"/>
      <c r="AI295" s="322"/>
      <c r="AJ295" s="322"/>
      <c r="AK295" s="322"/>
    </row>
    <row r="296" spans="1:37" ht="18" customHeight="1">
      <c r="A296" s="322"/>
      <c r="B296" s="322"/>
      <c r="C296" s="451"/>
      <c r="D296" s="322"/>
      <c r="E296" s="322"/>
      <c r="F296" s="322"/>
      <c r="G296" s="322"/>
      <c r="H296" s="322"/>
      <c r="I296" s="322"/>
      <c r="J296" s="322"/>
      <c r="K296" s="322"/>
      <c r="L296" s="322"/>
      <c r="M296" s="322"/>
      <c r="N296" s="322"/>
      <c r="O296" s="322"/>
      <c r="P296" s="322"/>
      <c r="Q296" s="322"/>
      <c r="R296" s="322"/>
      <c r="S296" s="322"/>
      <c r="T296" s="322"/>
      <c r="U296" s="322"/>
      <c r="V296" s="322"/>
      <c r="W296" s="322"/>
      <c r="X296" s="322"/>
      <c r="Y296" s="322"/>
      <c r="Z296" s="322"/>
      <c r="AA296" s="322"/>
      <c r="AB296" s="322"/>
      <c r="AC296" s="322"/>
      <c r="AD296" s="322"/>
      <c r="AE296" s="322"/>
      <c r="AF296" s="322"/>
      <c r="AG296" s="322"/>
      <c r="AH296" s="322"/>
      <c r="AI296" s="322"/>
      <c r="AJ296" s="322"/>
      <c r="AK296" s="322"/>
    </row>
    <row r="297" spans="1:37" ht="18" customHeight="1">
      <c r="A297" s="322"/>
      <c r="B297" s="322"/>
      <c r="C297" s="451"/>
      <c r="D297" s="322"/>
      <c r="E297" s="322"/>
      <c r="F297" s="322"/>
      <c r="G297" s="322"/>
      <c r="H297" s="322"/>
      <c r="I297" s="322"/>
      <c r="J297" s="322"/>
      <c r="K297" s="322"/>
      <c r="L297" s="322"/>
      <c r="M297" s="322"/>
      <c r="N297" s="322"/>
      <c r="O297" s="322"/>
      <c r="P297" s="322"/>
      <c r="Q297" s="322"/>
      <c r="R297" s="322"/>
      <c r="S297" s="322"/>
      <c r="T297" s="322"/>
      <c r="U297" s="322"/>
      <c r="V297" s="322"/>
      <c r="W297" s="322"/>
      <c r="X297" s="322"/>
      <c r="Y297" s="322"/>
      <c r="Z297" s="322"/>
      <c r="AA297" s="322"/>
      <c r="AB297" s="322"/>
      <c r="AC297" s="322"/>
      <c r="AD297" s="322"/>
      <c r="AE297" s="322"/>
      <c r="AF297" s="322"/>
      <c r="AG297" s="322"/>
      <c r="AH297" s="322"/>
      <c r="AI297" s="322"/>
      <c r="AJ297" s="322"/>
      <c r="AK297" s="322"/>
    </row>
    <row r="298" spans="1:37" ht="18" customHeight="1">
      <c r="A298" s="322"/>
      <c r="B298" s="322"/>
      <c r="C298" s="451"/>
      <c r="D298" s="322"/>
      <c r="E298" s="322"/>
      <c r="F298" s="322"/>
      <c r="G298" s="322"/>
      <c r="H298" s="322"/>
      <c r="I298" s="322"/>
      <c r="J298" s="322"/>
      <c r="K298" s="322"/>
      <c r="L298" s="322"/>
      <c r="M298" s="322"/>
      <c r="N298" s="322"/>
      <c r="O298" s="322"/>
      <c r="P298" s="322"/>
      <c r="Q298" s="322"/>
      <c r="R298" s="322"/>
      <c r="S298" s="322"/>
      <c r="T298" s="322"/>
      <c r="U298" s="322"/>
      <c r="V298" s="322"/>
      <c r="W298" s="322"/>
      <c r="X298" s="322"/>
      <c r="Y298" s="322"/>
      <c r="Z298" s="322"/>
      <c r="AA298" s="322"/>
      <c r="AB298" s="322"/>
      <c r="AC298" s="322"/>
      <c r="AD298" s="322"/>
      <c r="AE298" s="322"/>
      <c r="AF298" s="322"/>
      <c r="AG298" s="322"/>
      <c r="AH298" s="322"/>
      <c r="AI298" s="322"/>
      <c r="AJ298" s="322"/>
      <c r="AK298" s="322"/>
    </row>
    <row r="299" spans="1:37" ht="18" customHeight="1">
      <c r="A299" s="322"/>
      <c r="B299" s="322"/>
      <c r="C299" s="451"/>
      <c r="D299" s="322"/>
      <c r="E299" s="322"/>
      <c r="F299" s="322"/>
      <c r="G299" s="322"/>
      <c r="H299" s="322"/>
      <c r="I299" s="322"/>
      <c r="J299" s="322"/>
      <c r="K299" s="322"/>
      <c r="L299" s="322"/>
      <c r="M299" s="322"/>
      <c r="N299" s="322"/>
      <c r="O299" s="322"/>
      <c r="P299" s="322"/>
      <c r="Q299" s="322"/>
      <c r="R299" s="322"/>
      <c r="S299" s="322"/>
      <c r="T299" s="322"/>
      <c r="U299" s="322"/>
      <c r="V299" s="322"/>
      <c r="W299" s="322"/>
      <c r="X299" s="322"/>
      <c r="Y299" s="322"/>
      <c r="Z299" s="322"/>
      <c r="AA299" s="322"/>
      <c r="AB299" s="322"/>
      <c r="AC299" s="322"/>
      <c r="AD299" s="322"/>
      <c r="AE299" s="322"/>
      <c r="AF299" s="322"/>
      <c r="AG299" s="322"/>
      <c r="AH299" s="322"/>
      <c r="AI299" s="322"/>
      <c r="AJ299" s="322"/>
      <c r="AK299" s="322"/>
    </row>
    <row r="300" spans="1:37" ht="18" customHeight="1">
      <c r="A300" s="322"/>
      <c r="B300" s="322"/>
      <c r="C300" s="451"/>
      <c r="D300" s="322"/>
      <c r="E300" s="322"/>
      <c r="F300" s="322"/>
      <c r="G300" s="322"/>
      <c r="H300" s="322"/>
      <c r="I300" s="322"/>
      <c r="J300" s="322"/>
      <c r="K300" s="322"/>
      <c r="L300" s="322"/>
      <c r="M300" s="322"/>
      <c r="N300" s="322"/>
      <c r="O300" s="322"/>
      <c r="P300" s="322"/>
      <c r="Q300" s="322"/>
      <c r="R300" s="322"/>
      <c r="S300" s="322"/>
      <c r="T300" s="322"/>
      <c r="U300" s="322"/>
      <c r="V300" s="322"/>
      <c r="W300" s="322"/>
      <c r="X300" s="322"/>
      <c r="Y300" s="322"/>
      <c r="Z300" s="322"/>
      <c r="AA300" s="322"/>
      <c r="AB300" s="322"/>
      <c r="AC300" s="322"/>
      <c r="AD300" s="322"/>
      <c r="AE300" s="322"/>
      <c r="AF300" s="322"/>
      <c r="AG300" s="322"/>
      <c r="AH300" s="322"/>
      <c r="AI300" s="322"/>
      <c r="AJ300" s="322"/>
      <c r="AK300" s="322"/>
    </row>
    <row r="301" spans="1:37" ht="18" customHeight="1">
      <c r="A301" s="322"/>
      <c r="B301" s="322"/>
      <c r="C301" s="451"/>
      <c r="D301" s="322"/>
      <c r="E301" s="322"/>
      <c r="F301" s="322"/>
      <c r="G301" s="322"/>
      <c r="H301" s="322"/>
      <c r="I301" s="322"/>
      <c r="J301" s="322"/>
      <c r="K301" s="322"/>
      <c r="L301" s="322"/>
      <c r="M301" s="322"/>
      <c r="N301" s="322"/>
      <c r="O301" s="322"/>
      <c r="P301" s="322"/>
      <c r="Q301" s="322"/>
      <c r="R301" s="322"/>
      <c r="S301" s="322"/>
      <c r="T301" s="322"/>
      <c r="U301" s="322"/>
      <c r="V301" s="322"/>
      <c r="W301" s="322"/>
      <c r="X301" s="322"/>
      <c r="Y301" s="322"/>
      <c r="Z301" s="322"/>
      <c r="AA301" s="322"/>
      <c r="AB301" s="322"/>
      <c r="AC301" s="322"/>
      <c r="AD301" s="322"/>
      <c r="AE301" s="322"/>
      <c r="AF301" s="322"/>
      <c r="AG301" s="322"/>
      <c r="AH301" s="322"/>
      <c r="AI301" s="322"/>
      <c r="AJ301" s="322"/>
      <c r="AK301" s="322"/>
    </row>
    <row r="302" spans="1:37" ht="18" customHeight="1">
      <c r="A302" s="322"/>
      <c r="B302" s="322"/>
      <c r="C302" s="451"/>
      <c r="D302" s="322"/>
      <c r="E302" s="322"/>
      <c r="F302" s="322"/>
      <c r="G302" s="322"/>
      <c r="H302" s="322"/>
      <c r="I302" s="322"/>
      <c r="J302" s="322"/>
      <c r="K302" s="322"/>
      <c r="L302" s="322"/>
      <c r="M302" s="322"/>
      <c r="N302" s="322"/>
      <c r="O302" s="322"/>
      <c r="P302" s="322"/>
      <c r="Q302" s="322"/>
      <c r="R302" s="322"/>
      <c r="S302" s="322"/>
      <c r="T302" s="322"/>
      <c r="U302" s="322"/>
      <c r="V302" s="322"/>
      <c r="W302" s="322"/>
      <c r="X302" s="322"/>
      <c r="Y302" s="322"/>
      <c r="Z302" s="322"/>
      <c r="AA302" s="322"/>
      <c r="AB302" s="322"/>
      <c r="AC302" s="322"/>
      <c r="AD302" s="322"/>
      <c r="AE302" s="322"/>
      <c r="AF302" s="322"/>
      <c r="AG302" s="322"/>
      <c r="AH302" s="322"/>
      <c r="AI302" s="322"/>
      <c r="AJ302" s="322"/>
      <c r="AK302" s="322"/>
    </row>
    <row r="303" spans="1:37" ht="18" customHeight="1">
      <c r="A303" s="322"/>
      <c r="B303" s="322"/>
      <c r="C303" s="451"/>
      <c r="D303" s="322"/>
      <c r="E303" s="322"/>
      <c r="F303" s="322"/>
      <c r="G303" s="322"/>
      <c r="H303" s="322"/>
      <c r="I303" s="322"/>
      <c r="J303" s="322"/>
      <c r="K303" s="322"/>
      <c r="L303" s="322"/>
      <c r="M303" s="322"/>
      <c r="N303" s="322"/>
      <c r="O303" s="322"/>
      <c r="P303" s="322"/>
      <c r="Q303" s="322"/>
      <c r="R303" s="322"/>
      <c r="S303" s="322"/>
      <c r="T303" s="322"/>
      <c r="U303" s="322"/>
      <c r="V303" s="322"/>
      <c r="W303" s="322"/>
      <c r="X303" s="322"/>
      <c r="Y303" s="322"/>
      <c r="Z303" s="322"/>
      <c r="AA303" s="322"/>
      <c r="AB303" s="322"/>
      <c r="AC303" s="322"/>
      <c r="AD303" s="322"/>
      <c r="AE303" s="322"/>
      <c r="AF303" s="322"/>
      <c r="AG303" s="322"/>
      <c r="AH303" s="322"/>
      <c r="AI303" s="322"/>
      <c r="AJ303" s="322"/>
      <c r="AK303" s="322"/>
    </row>
    <row r="304" spans="1:37" ht="18" customHeight="1">
      <c r="A304" s="322"/>
      <c r="B304" s="322"/>
      <c r="C304" s="451"/>
      <c r="D304" s="322"/>
      <c r="E304" s="322"/>
      <c r="F304" s="322"/>
      <c r="G304" s="322"/>
      <c r="H304" s="322"/>
      <c r="I304" s="322"/>
      <c r="J304" s="322"/>
      <c r="K304" s="322"/>
      <c r="L304" s="322"/>
      <c r="M304" s="322"/>
      <c r="N304" s="322"/>
      <c r="O304" s="322"/>
      <c r="P304" s="322"/>
      <c r="Q304" s="322"/>
      <c r="R304" s="322"/>
      <c r="S304" s="322"/>
      <c r="T304" s="322"/>
      <c r="U304" s="322"/>
      <c r="V304" s="322"/>
      <c r="W304" s="322"/>
      <c r="X304" s="322"/>
      <c r="Y304" s="322"/>
      <c r="Z304" s="322"/>
      <c r="AA304" s="322"/>
      <c r="AB304" s="322"/>
      <c r="AC304" s="322"/>
      <c r="AD304" s="322"/>
      <c r="AE304" s="322"/>
      <c r="AF304" s="322"/>
      <c r="AG304" s="322"/>
      <c r="AH304" s="322"/>
      <c r="AI304" s="322"/>
      <c r="AJ304" s="322"/>
      <c r="AK304" s="322"/>
    </row>
    <row r="305" spans="1:37" ht="18" customHeight="1">
      <c r="A305" s="322"/>
      <c r="B305" s="322"/>
      <c r="C305" s="451"/>
      <c r="D305" s="322"/>
      <c r="E305" s="322"/>
      <c r="F305" s="322"/>
      <c r="G305" s="322"/>
      <c r="H305" s="322"/>
      <c r="I305" s="322"/>
      <c r="J305" s="322"/>
      <c r="K305" s="322"/>
      <c r="L305" s="322"/>
      <c r="M305" s="322"/>
      <c r="N305" s="322"/>
      <c r="O305" s="322"/>
      <c r="P305" s="322"/>
      <c r="Q305" s="322"/>
      <c r="R305" s="322"/>
      <c r="S305" s="322"/>
      <c r="T305" s="322"/>
      <c r="U305" s="322"/>
      <c r="V305" s="322"/>
      <c r="W305" s="322"/>
      <c r="X305" s="322"/>
      <c r="Y305" s="322"/>
      <c r="Z305" s="322"/>
      <c r="AA305" s="322"/>
      <c r="AB305" s="322"/>
      <c r="AC305" s="322"/>
      <c r="AD305" s="322"/>
      <c r="AE305" s="322"/>
      <c r="AF305" s="322"/>
      <c r="AG305" s="322"/>
      <c r="AH305" s="322"/>
      <c r="AI305" s="322"/>
      <c r="AJ305" s="322"/>
      <c r="AK305" s="322"/>
    </row>
    <row r="306" spans="1:37" ht="18" customHeight="1">
      <c r="A306" s="322"/>
      <c r="B306" s="322"/>
      <c r="C306" s="451"/>
      <c r="D306" s="322"/>
      <c r="E306" s="322"/>
      <c r="F306" s="322"/>
      <c r="G306" s="322"/>
      <c r="H306" s="322"/>
      <c r="I306" s="322"/>
      <c r="J306" s="322"/>
      <c r="K306" s="322"/>
      <c r="L306" s="322"/>
      <c r="M306" s="322"/>
      <c r="N306" s="322"/>
      <c r="O306" s="322"/>
      <c r="P306" s="322"/>
      <c r="Q306" s="322"/>
      <c r="R306" s="322"/>
      <c r="S306" s="322"/>
      <c r="T306" s="322"/>
      <c r="U306" s="322"/>
      <c r="V306" s="322"/>
      <c r="W306" s="322"/>
      <c r="X306" s="322"/>
      <c r="Y306" s="322"/>
      <c r="Z306" s="322"/>
      <c r="AA306" s="322"/>
      <c r="AB306" s="322"/>
      <c r="AC306" s="322"/>
      <c r="AD306" s="322"/>
      <c r="AE306" s="322"/>
      <c r="AF306" s="322"/>
      <c r="AG306" s="322"/>
      <c r="AH306" s="322"/>
      <c r="AI306" s="322"/>
      <c r="AJ306" s="322"/>
      <c r="AK306" s="322"/>
    </row>
    <row r="307" spans="1:37" ht="18" customHeight="1">
      <c r="A307" s="322"/>
      <c r="B307" s="322"/>
      <c r="C307" s="451"/>
      <c r="D307" s="322"/>
      <c r="E307" s="322"/>
      <c r="F307" s="322"/>
      <c r="G307" s="322"/>
      <c r="H307" s="322"/>
      <c r="I307" s="322"/>
      <c r="J307" s="322"/>
      <c r="K307" s="322"/>
      <c r="L307" s="322"/>
      <c r="M307" s="322"/>
      <c r="N307" s="322"/>
      <c r="O307" s="322"/>
      <c r="P307" s="322"/>
      <c r="Q307" s="322"/>
      <c r="R307" s="322"/>
      <c r="S307" s="322"/>
      <c r="T307" s="322"/>
      <c r="U307" s="322"/>
      <c r="V307" s="322"/>
      <c r="W307" s="322"/>
      <c r="X307" s="322"/>
      <c r="Y307" s="322"/>
      <c r="Z307" s="322"/>
      <c r="AA307" s="322"/>
      <c r="AB307" s="322"/>
      <c r="AC307" s="322"/>
      <c r="AD307" s="322"/>
      <c r="AE307" s="322"/>
      <c r="AF307" s="322"/>
      <c r="AG307" s="322"/>
      <c r="AH307" s="322"/>
      <c r="AI307" s="322"/>
      <c r="AJ307" s="322"/>
      <c r="AK307" s="322"/>
    </row>
    <row r="308" spans="1:37" ht="18" customHeight="1">
      <c r="A308" s="322"/>
      <c r="B308" s="322"/>
      <c r="C308" s="451"/>
      <c r="D308" s="322"/>
      <c r="E308" s="322"/>
      <c r="F308" s="322"/>
      <c r="G308" s="322"/>
      <c r="H308" s="322"/>
      <c r="I308" s="322"/>
      <c r="J308" s="322"/>
      <c r="K308" s="322"/>
      <c r="L308" s="322"/>
      <c r="M308" s="322"/>
      <c r="N308" s="322"/>
      <c r="O308" s="322"/>
      <c r="P308" s="322"/>
      <c r="Q308" s="322"/>
      <c r="R308" s="322"/>
      <c r="S308" s="322"/>
      <c r="T308" s="322"/>
      <c r="U308" s="322"/>
      <c r="V308" s="322"/>
      <c r="W308" s="322"/>
      <c r="X308" s="322"/>
      <c r="Y308" s="322"/>
      <c r="Z308" s="322"/>
      <c r="AA308" s="322"/>
      <c r="AB308" s="322"/>
      <c r="AC308" s="322"/>
      <c r="AD308" s="322"/>
      <c r="AE308" s="322"/>
      <c r="AF308" s="322"/>
      <c r="AG308" s="322"/>
      <c r="AH308" s="322"/>
      <c r="AI308" s="322"/>
      <c r="AJ308" s="322"/>
      <c r="AK308" s="322"/>
    </row>
    <row r="309" spans="1:37" ht="18" customHeight="1">
      <c r="A309" s="322"/>
      <c r="B309" s="322"/>
      <c r="C309" s="451"/>
      <c r="D309" s="322"/>
      <c r="E309" s="322"/>
      <c r="F309" s="322"/>
      <c r="G309" s="322"/>
      <c r="H309" s="322"/>
      <c r="I309" s="322"/>
      <c r="J309" s="322"/>
      <c r="K309" s="322"/>
      <c r="L309" s="322"/>
      <c r="M309" s="322"/>
      <c r="N309" s="322"/>
      <c r="O309" s="322"/>
      <c r="P309" s="322"/>
      <c r="Q309" s="322"/>
      <c r="R309" s="322"/>
      <c r="S309" s="322"/>
      <c r="T309" s="322"/>
      <c r="U309" s="322"/>
      <c r="V309" s="322"/>
      <c r="W309" s="322"/>
      <c r="X309" s="322"/>
      <c r="Y309" s="322"/>
      <c r="Z309" s="322"/>
      <c r="AA309" s="322"/>
      <c r="AB309" s="322"/>
      <c r="AC309" s="322"/>
      <c r="AD309" s="322"/>
      <c r="AE309" s="322"/>
      <c r="AF309" s="322"/>
      <c r="AG309" s="322"/>
      <c r="AH309" s="322"/>
      <c r="AI309" s="322"/>
      <c r="AJ309" s="322"/>
      <c r="AK309" s="322"/>
    </row>
    <row r="310" spans="1:37" ht="18" customHeight="1">
      <c r="A310" s="322"/>
      <c r="B310" s="322"/>
      <c r="C310" s="451"/>
      <c r="D310" s="322"/>
      <c r="E310" s="322"/>
      <c r="F310" s="322"/>
      <c r="G310" s="322"/>
      <c r="H310" s="322"/>
      <c r="I310" s="322"/>
      <c r="J310" s="322"/>
      <c r="K310" s="322"/>
      <c r="L310" s="322"/>
      <c r="M310" s="322"/>
      <c r="N310" s="322"/>
      <c r="O310" s="322"/>
      <c r="P310" s="322"/>
      <c r="Q310" s="322"/>
      <c r="R310" s="322"/>
      <c r="S310" s="322"/>
      <c r="T310" s="322"/>
      <c r="U310" s="322"/>
      <c r="V310" s="322"/>
      <c r="W310" s="322"/>
      <c r="X310" s="322"/>
      <c r="Y310" s="322"/>
      <c r="Z310" s="322"/>
      <c r="AA310" s="322"/>
      <c r="AB310" s="322"/>
      <c r="AC310" s="322"/>
      <c r="AD310" s="322"/>
      <c r="AE310" s="322"/>
      <c r="AF310" s="322"/>
      <c r="AG310" s="322"/>
      <c r="AH310" s="322"/>
      <c r="AI310" s="322"/>
      <c r="AJ310" s="322"/>
      <c r="AK310" s="322"/>
    </row>
    <row r="311" spans="1:37" ht="18" customHeight="1">
      <c r="A311" s="322"/>
      <c r="B311" s="322"/>
      <c r="C311" s="451"/>
      <c r="D311" s="322"/>
      <c r="E311" s="322"/>
      <c r="F311" s="322"/>
      <c r="G311" s="322"/>
      <c r="H311" s="322"/>
      <c r="I311" s="322"/>
      <c r="J311" s="322"/>
      <c r="K311" s="322"/>
      <c r="L311" s="322"/>
      <c r="M311" s="322"/>
      <c r="N311" s="322"/>
      <c r="O311" s="322"/>
      <c r="P311" s="322"/>
      <c r="Q311" s="322"/>
      <c r="R311" s="322"/>
      <c r="S311" s="322"/>
      <c r="T311" s="322"/>
      <c r="U311" s="322"/>
      <c r="V311" s="322"/>
      <c r="W311" s="322"/>
      <c r="X311" s="322"/>
      <c r="Y311" s="322"/>
      <c r="Z311" s="322"/>
      <c r="AA311" s="322"/>
      <c r="AB311" s="322"/>
      <c r="AC311" s="322"/>
      <c r="AD311" s="322"/>
      <c r="AE311" s="322"/>
      <c r="AF311" s="322"/>
      <c r="AG311" s="322"/>
      <c r="AH311" s="322"/>
      <c r="AI311" s="322"/>
      <c r="AJ311" s="322"/>
      <c r="AK311" s="322"/>
    </row>
    <row r="312" spans="1:37" ht="18" customHeight="1">
      <c r="A312" s="322"/>
      <c r="B312" s="322"/>
      <c r="C312" s="451"/>
      <c r="D312" s="322"/>
      <c r="E312" s="322"/>
      <c r="F312" s="322"/>
      <c r="G312" s="322"/>
      <c r="H312" s="322"/>
      <c r="I312" s="322"/>
      <c r="J312" s="322"/>
      <c r="K312" s="322"/>
      <c r="L312" s="322"/>
      <c r="M312" s="322"/>
      <c r="N312" s="322"/>
      <c r="O312" s="322"/>
      <c r="P312" s="322"/>
      <c r="Q312" s="322"/>
      <c r="R312" s="322"/>
      <c r="S312" s="322"/>
      <c r="T312" s="322"/>
      <c r="U312" s="322"/>
      <c r="V312" s="322"/>
      <c r="W312" s="322"/>
      <c r="X312" s="322"/>
      <c r="Y312" s="322"/>
      <c r="Z312" s="322"/>
      <c r="AA312" s="322"/>
      <c r="AB312" s="322"/>
      <c r="AC312" s="322"/>
      <c r="AD312" s="322"/>
      <c r="AE312" s="322"/>
      <c r="AF312" s="322"/>
      <c r="AG312" s="322"/>
      <c r="AH312" s="322"/>
      <c r="AI312" s="322"/>
      <c r="AJ312" s="322"/>
      <c r="AK312" s="322"/>
    </row>
    <row r="313" spans="1:37" ht="18" customHeight="1">
      <c r="A313" s="322"/>
      <c r="B313" s="322"/>
      <c r="C313" s="451"/>
      <c r="D313" s="322"/>
      <c r="E313" s="322"/>
      <c r="F313" s="322"/>
      <c r="G313" s="322"/>
      <c r="H313" s="322"/>
      <c r="I313" s="322"/>
      <c r="J313" s="322"/>
      <c r="K313" s="322"/>
      <c r="L313" s="322"/>
      <c r="M313" s="322"/>
      <c r="N313" s="322"/>
      <c r="O313" s="322"/>
      <c r="P313" s="322"/>
      <c r="Q313" s="322"/>
      <c r="R313" s="322"/>
      <c r="S313" s="322"/>
      <c r="T313" s="322"/>
      <c r="U313" s="322"/>
      <c r="V313" s="322"/>
      <c r="W313" s="322"/>
      <c r="X313" s="322"/>
      <c r="Y313" s="322"/>
      <c r="Z313" s="322"/>
      <c r="AA313" s="322"/>
      <c r="AB313" s="322"/>
      <c r="AC313" s="322"/>
      <c r="AD313" s="322"/>
      <c r="AE313" s="322"/>
      <c r="AF313" s="322"/>
      <c r="AG313" s="322"/>
      <c r="AH313" s="322"/>
      <c r="AI313" s="322"/>
      <c r="AJ313" s="322"/>
      <c r="AK313" s="322"/>
    </row>
    <row r="314" spans="1:37" ht="18" customHeight="1">
      <c r="A314" s="322"/>
      <c r="B314" s="322"/>
      <c r="C314" s="451"/>
      <c r="D314" s="322"/>
      <c r="E314" s="322"/>
      <c r="F314" s="322"/>
      <c r="G314" s="322"/>
      <c r="H314" s="322"/>
      <c r="I314" s="322"/>
      <c r="J314" s="322"/>
      <c r="K314" s="322"/>
      <c r="L314" s="322"/>
      <c r="M314" s="322"/>
      <c r="N314" s="322"/>
      <c r="O314" s="322"/>
      <c r="P314" s="322"/>
      <c r="Q314" s="322"/>
      <c r="R314" s="322"/>
      <c r="S314" s="322"/>
      <c r="T314" s="322"/>
      <c r="U314" s="322"/>
      <c r="V314" s="322"/>
      <c r="W314" s="322"/>
      <c r="X314" s="322"/>
      <c r="Y314" s="322"/>
      <c r="Z314" s="322"/>
      <c r="AA314" s="322"/>
      <c r="AB314" s="322"/>
      <c r="AC314" s="322"/>
      <c r="AD314" s="322"/>
      <c r="AE314" s="322"/>
      <c r="AF314" s="322"/>
      <c r="AG314" s="322"/>
      <c r="AH314" s="322"/>
      <c r="AI314" s="322"/>
      <c r="AJ314" s="322"/>
      <c r="AK314" s="322"/>
    </row>
    <row r="315" spans="1:37" ht="18" customHeight="1">
      <c r="A315" s="322"/>
      <c r="B315" s="322"/>
      <c r="C315" s="451"/>
      <c r="D315" s="322"/>
      <c r="E315" s="322"/>
      <c r="F315" s="322"/>
      <c r="G315" s="322"/>
      <c r="H315" s="322"/>
      <c r="I315" s="322"/>
      <c r="J315" s="322"/>
      <c r="K315" s="322"/>
      <c r="L315" s="322"/>
      <c r="M315" s="322"/>
      <c r="N315" s="322"/>
      <c r="O315" s="322"/>
      <c r="P315" s="322"/>
      <c r="Q315" s="322"/>
      <c r="R315" s="322"/>
      <c r="S315" s="322"/>
      <c r="T315" s="322"/>
      <c r="U315" s="322"/>
      <c r="V315" s="322"/>
      <c r="W315" s="322"/>
      <c r="X315" s="322"/>
      <c r="Y315" s="322"/>
      <c r="Z315" s="322"/>
      <c r="AA315" s="322"/>
      <c r="AB315" s="322"/>
      <c r="AC315" s="322"/>
      <c r="AD315" s="322"/>
      <c r="AE315" s="322"/>
      <c r="AF315" s="322"/>
      <c r="AG315" s="322"/>
      <c r="AH315" s="322"/>
      <c r="AI315" s="322"/>
      <c r="AJ315" s="322"/>
      <c r="AK315" s="322"/>
    </row>
    <row r="316" spans="1:37" ht="18" customHeight="1">
      <c r="A316" s="322"/>
      <c r="B316" s="322"/>
      <c r="C316" s="451"/>
      <c r="D316" s="322"/>
      <c r="E316" s="322"/>
      <c r="F316" s="322"/>
      <c r="G316" s="322"/>
      <c r="H316" s="322"/>
      <c r="I316" s="322"/>
      <c r="J316" s="322"/>
      <c r="K316" s="322"/>
      <c r="L316" s="322"/>
      <c r="M316" s="322"/>
      <c r="N316" s="322"/>
      <c r="O316" s="322"/>
      <c r="P316" s="322"/>
      <c r="Q316" s="322"/>
      <c r="R316" s="322"/>
      <c r="S316" s="322"/>
      <c r="T316" s="322"/>
      <c r="U316" s="322"/>
      <c r="V316" s="322"/>
      <c r="W316" s="322"/>
      <c r="X316" s="322"/>
      <c r="Y316" s="322"/>
      <c r="Z316" s="322"/>
      <c r="AA316" s="322"/>
      <c r="AB316" s="322"/>
      <c r="AC316" s="322"/>
      <c r="AD316" s="322"/>
      <c r="AE316" s="322"/>
      <c r="AF316" s="322"/>
      <c r="AG316" s="322"/>
      <c r="AH316" s="322"/>
      <c r="AI316" s="322"/>
      <c r="AJ316" s="322"/>
      <c r="AK316" s="322"/>
    </row>
    <row r="317" spans="1:37" ht="18" customHeight="1">
      <c r="A317" s="322"/>
      <c r="B317" s="322"/>
      <c r="C317" s="451"/>
      <c r="D317" s="322"/>
      <c r="E317" s="322"/>
      <c r="F317" s="322"/>
      <c r="G317" s="322"/>
      <c r="H317" s="322"/>
      <c r="I317" s="322"/>
      <c r="J317" s="322"/>
      <c r="K317" s="322"/>
      <c r="L317" s="322"/>
      <c r="M317" s="322"/>
      <c r="N317" s="322"/>
      <c r="O317" s="322"/>
      <c r="P317" s="322"/>
      <c r="Q317" s="322"/>
      <c r="R317" s="322"/>
      <c r="S317" s="322"/>
      <c r="T317" s="322"/>
      <c r="U317" s="322"/>
      <c r="V317" s="322"/>
      <c r="W317" s="322"/>
      <c r="X317" s="322"/>
      <c r="Y317" s="322"/>
      <c r="Z317" s="322"/>
      <c r="AA317" s="322"/>
      <c r="AB317" s="322"/>
      <c r="AC317" s="322"/>
      <c r="AD317" s="322"/>
      <c r="AE317" s="322"/>
      <c r="AF317" s="322"/>
      <c r="AG317" s="322"/>
      <c r="AH317" s="322"/>
      <c r="AI317" s="322"/>
      <c r="AJ317" s="322"/>
      <c r="AK317" s="322"/>
    </row>
    <row r="318" spans="1:37" ht="18" customHeight="1">
      <c r="A318" s="322"/>
      <c r="B318" s="322"/>
      <c r="C318" s="451"/>
      <c r="D318" s="322"/>
      <c r="E318" s="322"/>
      <c r="F318" s="322"/>
      <c r="G318" s="322"/>
      <c r="H318" s="322"/>
      <c r="I318" s="322"/>
      <c r="J318" s="322"/>
      <c r="K318" s="322"/>
      <c r="L318" s="322"/>
      <c r="M318" s="322"/>
      <c r="N318" s="322"/>
      <c r="O318" s="322"/>
      <c r="P318" s="322"/>
      <c r="Q318" s="322"/>
      <c r="R318" s="322"/>
      <c r="S318" s="322"/>
      <c r="T318" s="322"/>
      <c r="U318" s="322"/>
      <c r="V318" s="322"/>
      <c r="W318" s="322"/>
      <c r="X318" s="322"/>
      <c r="Y318" s="322"/>
      <c r="Z318" s="322"/>
      <c r="AA318" s="322"/>
      <c r="AB318" s="322"/>
      <c r="AC318" s="322"/>
      <c r="AD318" s="322"/>
      <c r="AE318" s="322"/>
      <c r="AF318" s="322"/>
      <c r="AG318" s="322"/>
      <c r="AH318" s="322"/>
      <c r="AI318" s="322"/>
      <c r="AJ318" s="322"/>
      <c r="AK318" s="322"/>
    </row>
    <row r="319" spans="1:37" ht="18" customHeight="1">
      <c r="A319" s="322"/>
      <c r="B319" s="322"/>
      <c r="C319" s="451"/>
      <c r="D319" s="322"/>
      <c r="E319" s="322"/>
      <c r="F319" s="322"/>
      <c r="G319" s="322"/>
      <c r="H319" s="322"/>
      <c r="I319" s="322"/>
      <c r="J319" s="322"/>
      <c r="K319" s="322"/>
      <c r="L319" s="322"/>
      <c r="M319" s="322"/>
      <c r="N319" s="322"/>
      <c r="O319" s="322"/>
      <c r="P319" s="322"/>
      <c r="Q319" s="322"/>
      <c r="R319" s="322"/>
      <c r="S319" s="322"/>
      <c r="T319" s="322"/>
      <c r="U319" s="322"/>
      <c r="V319" s="322"/>
      <c r="W319" s="322"/>
      <c r="X319" s="322"/>
      <c r="Y319" s="322"/>
      <c r="Z319" s="322"/>
      <c r="AA319" s="322"/>
      <c r="AB319" s="322"/>
      <c r="AC319" s="322"/>
      <c r="AD319" s="322"/>
      <c r="AE319" s="322"/>
      <c r="AF319" s="322"/>
      <c r="AG319" s="322"/>
      <c r="AH319" s="322"/>
      <c r="AI319" s="322"/>
      <c r="AJ319" s="322"/>
      <c r="AK319" s="322"/>
    </row>
    <row r="320" spans="1:37" ht="18" customHeight="1">
      <c r="A320" s="322"/>
      <c r="B320" s="322"/>
      <c r="C320" s="451"/>
      <c r="D320" s="322"/>
      <c r="E320" s="322"/>
      <c r="F320" s="322"/>
      <c r="G320" s="322"/>
      <c r="H320" s="322"/>
      <c r="I320" s="322"/>
      <c r="J320" s="322"/>
      <c r="K320" s="322"/>
      <c r="L320" s="322"/>
      <c r="M320" s="322"/>
      <c r="N320" s="322"/>
      <c r="O320" s="322"/>
      <c r="P320" s="322"/>
      <c r="Q320" s="322"/>
      <c r="R320" s="322"/>
      <c r="S320" s="322"/>
      <c r="T320" s="322"/>
      <c r="U320" s="322"/>
      <c r="V320" s="322"/>
      <c r="W320" s="322"/>
      <c r="X320" s="322"/>
      <c r="Y320" s="322"/>
      <c r="Z320" s="322"/>
      <c r="AA320" s="322"/>
      <c r="AB320" s="322"/>
      <c r="AC320" s="322"/>
      <c r="AD320" s="322"/>
      <c r="AE320" s="322"/>
      <c r="AF320" s="322"/>
      <c r="AG320" s="322"/>
      <c r="AH320" s="322"/>
      <c r="AI320" s="322"/>
      <c r="AJ320" s="322"/>
      <c r="AK320" s="322"/>
    </row>
    <row r="321" spans="1:37" ht="18" customHeight="1">
      <c r="A321" s="322"/>
      <c r="B321" s="322"/>
      <c r="C321" s="451"/>
      <c r="D321" s="322"/>
      <c r="E321" s="322"/>
      <c r="F321" s="322"/>
      <c r="G321" s="322"/>
      <c r="H321" s="322"/>
      <c r="I321" s="322"/>
      <c r="J321" s="322"/>
      <c r="K321" s="322"/>
      <c r="L321" s="322"/>
      <c r="M321" s="322"/>
      <c r="N321" s="322"/>
      <c r="O321" s="322"/>
      <c r="P321" s="322"/>
      <c r="Q321" s="322"/>
      <c r="R321" s="322"/>
      <c r="S321" s="322"/>
      <c r="T321" s="322"/>
      <c r="U321" s="322"/>
      <c r="V321" s="322"/>
      <c r="W321" s="322"/>
      <c r="X321" s="322"/>
      <c r="Y321" s="322"/>
      <c r="Z321" s="322"/>
      <c r="AA321" s="322"/>
      <c r="AB321" s="322"/>
      <c r="AC321" s="322"/>
      <c r="AD321" s="322"/>
      <c r="AE321" s="322"/>
      <c r="AF321" s="322"/>
      <c r="AG321" s="322"/>
      <c r="AH321" s="322"/>
      <c r="AI321" s="322"/>
      <c r="AJ321" s="322"/>
      <c r="AK321" s="322"/>
    </row>
    <row r="322" spans="1:37" ht="18" customHeight="1">
      <c r="A322" s="322"/>
      <c r="B322" s="322"/>
      <c r="C322" s="451"/>
      <c r="D322" s="322"/>
      <c r="E322" s="322"/>
      <c r="F322" s="322"/>
      <c r="G322" s="322"/>
      <c r="H322" s="322"/>
      <c r="I322" s="322"/>
      <c r="J322" s="322"/>
      <c r="K322" s="322"/>
      <c r="L322" s="322"/>
      <c r="M322" s="322"/>
      <c r="N322" s="322"/>
      <c r="O322" s="322"/>
      <c r="P322" s="322"/>
      <c r="Q322" s="322"/>
      <c r="R322" s="322"/>
      <c r="S322" s="322"/>
      <c r="T322" s="322"/>
      <c r="U322" s="322"/>
      <c r="V322" s="322"/>
      <c r="W322" s="322"/>
      <c r="X322" s="322"/>
      <c r="Y322" s="322"/>
      <c r="Z322" s="322"/>
      <c r="AA322" s="322"/>
      <c r="AB322" s="322"/>
      <c r="AC322" s="322"/>
      <c r="AD322" s="322"/>
      <c r="AE322" s="322"/>
      <c r="AF322" s="322"/>
      <c r="AG322" s="322"/>
      <c r="AH322" s="322"/>
      <c r="AI322" s="322"/>
      <c r="AJ322" s="322"/>
      <c r="AK322" s="322"/>
    </row>
    <row r="323" spans="1:37" ht="18" customHeight="1">
      <c r="A323" s="322"/>
      <c r="B323" s="322"/>
      <c r="C323" s="451"/>
      <c r="D323" s="322"/>
      <c r="E323" s="322"/>
      <c r="F323" s="322"/>
      <c r="G323" s="322"/>
      <c r="H323" s="322"/>
      <c r="I323" s="322"/>
      <c r="J323" s="322"/>
      <c r="K323" s="322"/>
      <c r="L323" s="322"/>
      <c r="M323" s="322"/>
      <c r="N323" s="322"/>
      <c r="O323" s="322"/>
      <c r="P323" s="322"/>
      <c r="Q323" s="322"/>
      <c r="R323" s="322"/>
      <c r="S323" s="322"/>
      <c r="T323" s="322"/>
      <c r="U323" s="322"/>
      <c r="V323" s="322"/>
      <c r="W323" s="322"/>
      <c r="X323" s="322"/>
      <c r="Y323" s="322"/>
      <c r="Z323" s="322"/>
      <c r="AA323" s="322"/>
      <c r="AB323" s="322"/>
      <c r="AC323" s="322"/>
      <c r="AD323" s="322"/>
      <c r="AE323" s="322"/>
      <c r="AF323" s="322"/>
      <c r="AG323" s="322"/>
      <c r="AH323" s="322"/>
      <c r="AI323" s="322"/>
      <c r="AJ323" s="322"/>
      <c r="AK323" s="322"/>
    </row>
    <row r="324" spans="1:37" ht="18" customHeight="1">
      <c r="A324" s="322"/>
      <c r="B324" s="322"/>
      <c r="C324" s="451"/>
      <c r="D324" s="322"/>
      <c r="E324" s="322"/>
      <c r="F324" s="322"/>
      <c r="G324" s="322"/>
      <c r="H324" s="322"/>
      <c r="I324" s="322"/>
      <c r="J324" s="322"/>
      <c r="K324" s="322"/>
      <c r="L324" s="322"/>
      <c r="M324" s="322"/>
      <c r="N324" s="322"/>
      <c r="O324" s="322"/>
      <c r="P324" s="322"/>
      <c r="Q324" s="322"/>
      <c r="R324" s="322"/>
      <c r="S324" s="322"/>
      <c r="T324" s="322"/>
      <c r="U324" s="322"/>
      <c r="V324" s="322"/>
      <c r="W324" s="322"/>
      <c r="X324" s="322"/>
      <c r="Y324" s="322"/>
      <c r="Z324" s="322"/>
      <c r="AA324" s="322"/>
      <c r="AB324" s="322"/>
      <c r="AC324" s="322"/>
      <c r="AD324" s="322"/>
      <c r="AE324" s="322"/>
      <c r="AF324" s="322"/>
      <c r="AG324" s="322"/>
      <c r="AH324" s="322"/>
      <c r="AI324" s="322"/>
      <c r="AJ324" s="322"/>
      <c r="AK324" s="322"/>
    </row>
    <row r="325" spans="1:37" ht="18" customHeight="1">
      <c r="A325" s="322"/>
      <c r="B325" s="322"/>
      <c r="C325" s="451"/>
      <c r="D325" s="322"/>
      <c r="E325" s="322"/>
      <c r="F325" s="322"/>
      <c r="G325" s="322"/>
      <c r="H325" s="322"/>
      <c r="I325" s="322"/>
      <c r="J325" s="322"/>
      <c r="K325" s="322"/>
      <c r="L325" s="322"/>
      <c r="M325" s="322"/>
      <c r="N325" s="322"/>
      <c r="O325" s="322"/>
      <c r="P325" s="322"/>
      <c r="Q325" s="322"/>
      <c r="R325" s="322"/>
      <c r="S325" s="322"/>
      <c r="T325" s="322"/>
      <c r="U325" s="322"/>
      <c r="V325" s="322"/>
      <c r="W325" s="322"/>
      <c r="X325" s="322"/>
      <c r="Y325" s="322"/>
      <c r="Z325" s="322"/>
      <c r="AA325" s="322"/>
      <c r="AB325" s="322"/>
      <c r="AC325" s="322"/>
      <c r="AD325" s="322"/>
      <c r="AE325" s="322"/>
      <c r="AF325" s="322"/>
      <c r="AG325" s="322"/>
      <c r="AH325" s="322"/>
      <c r="AI325" s="322"/>
      <c r="AJ325" s="322"/>
      <c r="AK325" s="322"/>
    </row>
    <row r="326" spans="1:37" ht="18" customHeight="1">
      <c r="A326" s="322"/>
      <c r="B326" s="322"/>
      <c r="C326" s="451"/>
      <c r="D326" s="322"/>
      <c r="E326" s="322"/>
      <c r="F326" s="322"/>
      <c r="G326" s="322"/>
      <c r="H326" s="322"/>
      <c r="I326" s="322"/>
      <c r="J326" s="322"/>
      <c r="K326" s="322"/>
      <c r="L326" s="322"/>
      <c r="M326" s="322"/>
      <c r="N326" s="322"/>
      <c r="O326" s="322"/>
      <c r="P326" s="322"/>
      <c r="Q326" s="322"/>
      <c r="R326" s="322"/>
      <c r="S326" s="322"/>
      <c r="T326" s="322"/>
      <c r="U326" s="322"/>
      <c r="V326" s="322"/>
      <c r="W326" s="322"/>
      <c r="X326" s="322"/>
      <c r="Y326" s="322"/>
      <c r="Z326" s="322"/>
      <c r="AA326" s="322"/>
      <c r="AB326" s="322"/>
      <c r="AC326" s="322"/>
      <c r="AD326" s="322"/>
      <c r="AE326" s="322"/>
      <c r="AF326" s="322"/>
      <c r="AG326" s="322"/>
      <c r="AH326" s="322"/>
      <c r="AI326" s="322"/>
      <c r="AJ326" s="322"/>
      <c r="AK326" s="322"/>
    </row>
    <row r="327" spans="1:37" ht="18" customHeight="1">
      <c r="A327" s="322"/>
      <c r="B327" s="322"/>
      <c r="C327" s="451"/>
      <c r="D327" s="322"/>
      <c r="E327" s="322"/>
      <c r="F327" s="322"/>
      <c r="G327" s="322"/>
      <c r="H327" s="322"/>
      <c r="I327" s="322"/>
      <c r="J327" s="322"/>
      <c r="K327" s="322"/>
      <c r="L327" s="322"/>
      <c r="M327" s="322"/>
      <c r="N327" s="322"/>
      <c r="O327" s="322"/>
      <c r="P327" s="322"/>
      <c r="Q327" s="322"/>
      <c r="R327" s="322"/>
      <c r="S327" s="322"/>
      <c r="T327" s="322"/>
      <c r="U327" s="322"/>
      <c r="V327" s="322"/>
      <c r="W327" s="322"/>
      <c r="X327" s="322"/>
      <c r="Y327" s="322"/>
      <c r="Z327" s="322"/>
      <c r="AA327" s="322"/>
      <c r="AB327" s="322"/>
      <c r="AC327" s="322"/>
      <c r="AD327" s="322"/>
      <c r="AE327" s="322"/>
      <c r="AF327" s="322"/>
      <c r="AG327" s="322"/>
      <c r="AH327" s="322"/>
      <c r="AI327" s="322"/>
      <c r="AJ327" s="322"/>
      <c r="AK327" s="322"/>
    </row>
    <row r="328" spans="1:37" ht="18" customHeight="1">
      <c r="A328" s="322"/>
      <c r="B328" s="322"/>
      <c r="C328" s="451"/>
      <c r="D328" s="322"/>
      <c r="E328" s="322"/>
      <c r="F328" s="322"/>
      <c r="G328" s="322"/>
      <c r="H328" s="322"/>
      <c r="I328" s="322"/>
      <c r="J328" s="322"/>
      <c r="K328" s="322"/>
      <c r="L328" s="322"/>
      <c r="M328" s="322"/>
      <c r="N328" s="322"/>
      <c r="O328" s="322"/>
      <c r="P328" s="322"/>
      <c r="Q328" s="322"/>
      <c r="R328" s="322"/>
      <c r="S328" s="322"/>
      <c r="T328" s="322"/>
      <c r="U328" s="322"/>
      <c r="V328" s="322"/>
      <c r="W328" s="322"/>
      <c r="X328" s="322"/>
      <c r="Y328" s="322"/>
      <c r="Z328" s="322"/>
      <c r="AA328" s="322"/>
      <c r="AB328" s="322"/>
      <c r="AC328" s="322"/>
      <c r="AD328" s="322"/>
      <c r="AE328" s="322"/>
      <c r="AF328" s="322"/>
      <c r="AG328" s="322"/>
      <c r="AH328" s="322"/>
      <c r="AI328" s="322"/>
      <c r="AJ328" s="322"/>
      <c r="AK328" s="322"/>
    </row>
    <row r="329" spans="1:37" ht="18" customHeight="1">
      <c r="A329" s="322"/>
      <c r="B329" s="322"/>
      <c r="C329" s="451"/>
      <c r="D329" s="322"/>
      <c r="E329" s="322"/>
      <c r="F329" s="322"/>
      <c r="G329" s="322"/>
      <c r="H329" s="322"/>
      <c r="I329" s="322"/>
      <c r="J329" s="322"/>
      <c r="K329" s="322"/>
      <c r="L329" s="322"/>
      <c r="M329" s="322"/>
      <c r="N329" s="322"/>
      <c r="O329" s="322"/>
      <c r="P329" s="322"/>
      <c r="Q329" s="322"/>
      <c r="R329" s="322"/>
      <c r="S329" s="322"/>
      <c r="T329" s="322"/>
      <c r="U329" s="322"/>
      <c r="V329" s="322"/>
      <c r="W329" s="322"/>
      <c r="X329" s="322"/>
      <c r="Y329" s="322"/>
      <c r="Z329" s="322"/>
      <c r="AA329" s="322"/>
      <c r="AB329" s="322"/>
      <c r="AC329" s="322"/>
      <c r="AD329" s="322"/>
      <c r="AE329" s="322"/>
      <c r="AF329" s="322"/>
      <c r="AG329" s="322"/>
      <c r="AH329" s="322"/>
      <c r="AI329" s="322"/>
      <c r="AJ329" s="322"/>
      <c r="AK329" s="322"/>
    </row>
    <row r="330" spans="1:37" ht="18" customHeight="1">
      <c r="A330" s="322"/>
      <c r="B330" s="322"/>
      <c r="C330" s="451"/>
      <c r="D330" s="322"/>
      <c r="E330" s="322"/>
      <c r="F330" s="322"/>
      <c r="G330" s="322"/>
      <c r="H330" s="322"/>
      <c r="I330" s="322"/>
      <c r="J330" s="322"/>
      <c r="K330" s="322"/>
      <c r="L330" s="322"/>
      <c r="M330" s="322"/>
      <c r="N330" s="322"/>
      <c r="O330" s="322"/>
      <c r="P330" s="322"/>
      <c r="Q330" s="322"/>
      <c r="R330" s="322"/>
      <c r="S330" s="322"/>
      <c r="T330" s="322"/>
      <c r="U330" s="322"/>
      <c r="V330" s="322"/>
      <c r="W330" s="322"/>
      <c r="X330" s="322"/>
      <c r="Y330" s="322"/>
      <c r="Z330" s="322"/>
      <c r="AA330" s="322"/>
      <c r="AB330" s="322"/>
      <c r="AC330" s="322"/>
      <c r="AD330" s="322"/>
      <c r="AE330" s="322"/>
      <c r="AF330" s="322"/>
      <c r="AG330" s="322"/>
      <c r="AH330" s="322"/>
      <c r="AI330" s="322"/>
      <c r="AJ330" s="322"/>
      <c r="AK330" s="322"/>
    </row>
    <row r="331" spans="1:37" ht="18" customHeight="1">
      <c r="A331" s="322"/>
      <c r="B331" s="322"/>
      <c r="C331" s="451"/>
      <c r="D331" s="322"/>
      <c r="E331" s="322"/>
      <c r="F331" s="322"/>
      <c r="G331" s="322"/>
      <c r="H331" s="322"/>
      <c r="I331" s="322"/>
      <c r="J331" s="322"/>
      <c r="K331" s="322"/>
      <c r="L331" s="322"/>
      <c r="M331" s="322"/>
      <c r="N331" s="322"/>
      <c r="O331" s="322"/>
      <c r="P331" s="322"/>
      <c r="Q331" s="322"/>
      <c r="R331" s="322"/>
      <c r="S331" s="322"/>
      <c r="T331" s="322"/>
      <c r="U331" s="322"/>
      <c r="V331" s="322"/>
      <c r="W331" s="322"/>
      <c r="X331" s="322"/>
      <c r="Y331" s="322"/>
      <c r="Z331" s="322"/>
      <c r="AA331" s="322"/>
      <c r="AB331" s="322"/>
      <c r="AC331" s="322"/>
      <c r="AD331" s="322"/>
      <c r="AE331" s="322"/>
      <c r="AF331" s="322"/>
      <c r="AG331" s="322"/>
      <c r="AH331" s="322"/>
      <c r="AI331" s="322"/>
      <c r="AJ331" s="322"/>
      <c r="AK331" s="322"/>
    </row>
    <row r="332" spans="1:37" ht="18" customHeight="1">
      <c r="A332" s="322"/>
      <c r="B332" s="322"/>
      <c r="C332" s="451"/>
      <c r="D332" s="322"/>
      <c r="E332" s="322"/>
      <c r="F332" s="322"/>
      <c r="G332" s="322"/>
      <c r="H332" s="322"/>
      <c r="I332" s="322"/>
      <c r="J332" s="322"/>
      <c r="K332" s="322"/>
      <c r="L332" s="322"/>
      <c r="M332" s="322"/>
      <c r="N332" s="322"/>
      <c r="O332" s="322"/>
      <c r="P332" s="322"/>
      <c r="Q332" s="322"/>
      <c r="R332" s="322"/>
      <c r="S332" s="322"/>
      <c r="T332" s="322"/>
      <c r="U332" s="322"/>
      <c r="V332" s="322"/>
      <c r="W332" s="322"/>
      <c r="X332" s="322"/>
      <c r="Y332" s="322"/>
      <c r="Z332" s="322"/>
      <c r="AA332" s="322"/>
      <c r="AB332" s="322"/>
      <c r="AC332" s="322"/>
      <c r="AD332" s="322"/>
      <c r="AE332" s="322"/>
      <c r="AF332" s="322"/>
      <c r="AG332" s="322"/>
      <c r="AH332" s="322"/>
      <c r="AI332" s="322"/>
      <c r="AJ332" s="322"/>
      <c r="AK332" s="322"/>
    </row>
    <row r="333" spans="1:37" ht="18" customHeight="1">
      <c r="A333" s="322"/>
      <c r="B333" s="322"/>
      <c r="C333" s="451"/>
      <c r="D333" s="322"/>
      <c r="E333" s="322"/>
      <c r="F333" s="322"/>
      <c r="G333" s="322"/>
      <c r="H333" s="322"/>
      <c r="I333" s="322"/>
      <c r="J333" s="322"/>
      <c r="K333" s="322"/>
      <c r="L333" s="322"/>
      <c r="M333" s="322"/>
      <c r="N333" s="322"/>
      <c r="O333" s="322"/>
      <c r="P333" s="322"/>
      <c r="Q333" s="322"/>
      <c r="R333" s="322"/>
      <c r="S333" s="322"/>
      <c r="T333" s="322"/>
      <c r="U333" s="322"/>
      <c r="V333" s="322"/>
      <c r="W333" s="322"/>
      <c r="X333" s="322"/>
      <c r="Y333" s="322"/>
      <c r="Z333" s="322"/>
      <c r="AA333" s="322"/>
      <c r="AB333" s="322"/>
      <c r="AC333" s="322"/>
      <c r="AD333" s="322"/>
      <c r="AE333" s="322"/>
      <c r="AF333" s="322"/>
      <c r="AG333" s="322"/>
      <c r="AH333" s="322"/>
      <c r="AI333" s="322"/>
      <c r="AJ333" s="322"/>
      <c r="AK333" s="322"/>
    </row>
    <row r="334" spans="1:37" ht="18" customHeight="1">
      <c r="A334" s="322"/>
      <c r="B334" s="322"/>
      <c r="C334" s="451"/>
      <c r="D334" s="322"/>
      <c r="E334" s="322"/>
      <c r="F334" s="322"/>
      <c r="G334" s="322"/>
      <c r="H334" s="322"/>
      <c r="I334" s="322"/>
      <c r="J334" s="322"/>
      <c r="K334" s="322"/>
      <c r="L334" s="322"/>
      <c r="M334" s="322"/>
      <c r="N334" s="322"/>
      <c r="O334" s="322"/>
      <c r="P334" s="322"/>
      <c r="Q334" s="322"/>
      <c r="R334" s="322"/>
      <c r="S334" s="322"/>
      <c r="T334" s="322"/>
      <c r="U334" s="322"/>
      <c r="V334" s="322"/>
      <c r="W334" s="322"/>
      <c r="X334" s="322"/>
      <c r="Y334" s="322"/>
      <c r="Z334" s="322"/>
      <c r="AA334" s="322"/>
      <c r="AB334" s="322"/>
      <c r="AC334" s="322"/>
      <c r="AD334" s="322"/>
      <c r="AE334" s="322"/>
      <c r="AF334" s="322"/>
      <c r="AG334" s="322"/>
      <c r="AH334" s="322"/>
      <c r="AI334" s="322"/>
      <c r="AJ334" s="322"/>
      <c r="AK334" s="322"/>
    </row>
    <row r="335" spans="1:37" ht="18" customHeight="1">
      <c r="A335" s="322"/>
      <c r="B335" s="322"/>
      <c r="C335" s="451"/>
      <c r="D335" s="322"/>
      <c r="E335" s="322"/>
      <c r="F335" s="322"/>
      <c r="G335" s="322"/>
      <c r="H335" s="322"/>
      <c r="I335" s="322"/>
      <c r="J335" s="322"/>
      <c r="K335" s="322"/>
      <c r="L335" s="322"/>
      <c r="M335" s="322"/>
      <c r="N335" s="322"/>
      <c r="O335" s="322"/>
      <c r="P335" s="322"/>
      <c r="Q335" s="322"/>
      <c r="R335" s="322"/>
      <c r="S335" s="322"/>
      <c r="T335" s="322"/>
      <c r="U335" s="322"/>
      <c r="V335" s="322"/>
      <c r="W335" s="322"/>
      <c r="X335" s="322"/>
      <c r="Y335" s="322"/>
      <c r="Z335" s="322"/>
      <c r="AA335" s="322"/>
      <c r="AB335" s="322"/>
      <c r="AC335" s="322"/>
      <c r="AD335" s="322"/>
      <c r="AE335" s="322"/>
      <c r="AF335" s="322"/>
      <c r="AG335" s="322"/>
      <c r="AH335" s="322"/>
      <c r="AI335" s="322"/>
      <c r="AJ335" s="322"/>
      <c r="AK335" s="322"/>
    </row>
    <row r="336" spans="1:37" ht="18" customHeight="1">
      <c r="A336" s="322"/>
      <c r="B336" s="322"/>
      <c r="C336" s="451"/>
      <c r="D336" s="322"/>
      <c r="E336" s="322"/>
      <c r="F336" s="322"/>
      <c r="G336" s="322"/>
      <c r="H336" s="322"/>
      <c r="I336" s="322"/>
      <c r="J336" s="322"/>
      <c r="K336" s="322"/>
      <c r="L336" s="322"/>
      <c r="M336" s="322"/>
      <c r="N336" s="322"/>
      <c r="O336" s="322"/>
      <c r="P336" s="322"/>
      <c r="Q336" s="322"/>
      <c r="R336" s="322"/>
      <c r="S336" s="322"/>
      <c r="T336" s="322"/>
      <c r="U336" s="322"/>
      <c r="V336" s="322"/>
      <c r="W336" s="322"/>
      <c r="X336" s="322"/>
      <c r="Y336" s="322"/>
      <c r="Z336" s="322"/>
      <c r="AA336" s="322"/>
      <c r="AB336" s="322"/>
      <c r="AC336" s="322"/>
      <c r="AD336" s="322"/>
      <c r="AE336" s="322"/>
      <c r="AF336" s="322"/>
      <c r="AG336" s="322"/>
      <c r="AH336" s="322"/>
      <c r="AI336" s="322"/>
      <c r="AJ336" s="322"/>
      <c r="AK336" s="322"/>
    </row>
    <row r="337" spans="1:37" ht="18" customHeight="1">
      <c r="A337" s="322"/>
      <c r="B337" s="322"/>
      <c r="C337" s="451"/>
      <c r="D337" s="322"/>
      <c r="E337" s="322"/>
      <c r="F337" s="322"/>
      <c r="G337" s="322"/>
      <c r="H337" s="322"/>
      <c r="I337" s="322"/>
      <c r="J337" s="322"/>
      <c r="K337" s="322"/>
      <c r="L337" s="322"/>
      <c r="M337" s="322"/>
      <c r="N337" s="322"/>
      <c r="O337" s="322"/>
      <c r="P337" s="322"/>
      <c r="Q337" s="322"/>
      <c r="R337" s="322"/>
      <c r="S337" s="322"/>
      <c r="T337" s="322"/>
      <c r="U337" s="322"/>
      <c r="V337" s="322"/>
      <c r="W337" s="322"/>
      <c r="X337" s="322"/>
      <c r="Y337" s="322"/>
      <c r="Z337" s="322"/>
      <c r="AA337" s="322"/>
      <c r="AB337" s="322"/>
      <c r="AC337" s="322"/>
      <c r="AD337" s="322"/>
      <c r="AE337" s="322"/>
      <c r="AF337" s="322"/>
      <c r="AG337" s="322"/>
      <c r="AH337" s="322"/>
      <c r="AI337" s="322"/>
      <c r="AJ337" s="322"/>
      <c r="AK337" s="322"/>
    </row>
    <row r="338" spans="1:37" ht="18" customHeight="1">
      <c r="A338" s="322"/>
      <c r="B338" s="322"/>
      <c r="C338" s="451"/>
      <c r="D338" s="322"/>
      <c r="E338" s="322"/>
      <c r="F338" s="322"/>
      <c r="G338" s="322"/>
      <c r="H338" s="322"/>
      <c r="I338" s="322"/>
      <c r="J338" s="322"/>
      <c r="K338" s="322"/>
      <c r="L338" s="322"/>
      <c r="M338" s="322"/>
      <c r="N338" s="322"/>
      <c r="O338" s="322"/>
      <c r="P338" s="322"/>
      <c r="Q338" s="322"/>
      <c r="R338" s="322"/>
      <c r="S338" s="322"/>
      <c r="T338" s="322"/>
      <c r="U338" s="322"/>
      <c r="V338" s="322"/>
      <c r="W338" s="322"/>
      <c r="X338" s="322"/>
      <c r="Y338" s="322"/>
      <c r="Z338" s="322"/>
      <c r="AA338" s="322"/>
      <c r="AB338" s="322"/>
      <c r="AC338" s="322"/>
      <c r="AD338" s="322"/>
      <c r="AE338" s="322"/>
      <c r="AF338" s="322"/>
      <c r="AG338" s="322"/>
      <c r="AH338" s="322"/>
      <c r="AI338" s="322"/>
      <c r="AJ338" s="322"/>
      <c r="AK338" s="322"/>
    </row>
    <row r="339" spans="1:37" ht="18" customHeight="1">
      <c r="A339" s="322"/>
      <c r="B339" s="322"/>
      <c r="C339" s="451"/>
      <c r="D339" s="322"/>
      <c r="E339" s="322"/>
      <c r="F339" s="322"/>
      <c r="G339" s="322"/>
      <c r="H339" s="322"/>
      <c r="I339" s="322"/>
      <c r="J339" s="322"/>
      <c r="K339" s="322"/>
      <c r="L339" s="322"/>
      <c r="M339" s="322"/>
      <c r="N339" s="322"/>
      <c r="O339" s="322"/>
      <c r="P339" s="322"/>
      <c r="Q339" s="322"/>
      <c r="R339" s="322"/>
      <c r="S339" s="322"/>
      <c r="T339" s="322"/>
      <c r="U339" s="322"/>
      <c r="V339" s="322"/>
      <c r="W339" s="322"/>
      <c r="X339" s="322"/>
      <c r="Y339" s="322"/>
      <c r="Z339" s="322"/>
      <c r="AA339" s="322"/>
      <c r="AB339" s="322"/>
      <c r="AC339" s="322"/>
      <c r="AD339" s="322"/>
      <c r="AE339" s="322"/>
      <c r="AF339" s="322"/>
      <c r="AG339" s="322"/>
      <c r="AH339" s="322"/>
      <c r="AI339" s="322"/>
      <c r="AJ339" s="322"/>
      <c r="AK339" s="322"/>
    </row>
    <row r="340" spans="1:37" ht="18" customHeight="1">
      <c r="A340" s="322"/>
      <c r="B340" s="322"/>
      <c r="C340" s="451"/>
      <c r="D340" s="322"/>
      <c r="E340" s="322"/>
      <c r="F340" s="322"/>
      <c r="G340" s="322"/>
      <c r="H340" s="322"/>
      <c r="I340" s="322"/>
      <c r="J340" s="322"/>
      <c r="K340" s="322"/>
      <c r="L340" s="322"/>
      <c r="M340" s="322"/>
      <c r="N340" s="322"/>
      <c r="O340" s="322"/>
      <c r="P340" s="322"/>
      <c r="Q340" s="322"/>
      <c r="R340" s="322"/>
      <c r="S340" s="322"/>
      <c r="T340" s="322"/>
      <c r="U340" s="322"/>
      <c r="V340" s="322"/>
      <c r="W340" s="322"/>
      <c r="X340" s="322"/>
      <c r="Y340" s="322"/>
      <c r="Z340" s="322"/>
      <c r="AA340" s="322"/>
      <c r="AB340" s="322"/>
      <c r="AC340" s="322"/>
      <c r="AD340" s="322"/>
      <c r="AE340" s="322"/>
      <c r="AF340" s="322"/>
      <c r="AG340" s="322"/>
      <c r="AH340" s="322"/>
      <c r="AI340" s="322"/>
      <c r="AJ340" s="322"/>
      <c r="AK340" s="322"/>
    </row>
    <row r="341" spans="1:37" ht="18" customHeight="1">
      <c r="A341" s="322"/>
      <c r="B341" s="322"/>
      <c r="C341" s="451"/>
      <c r="D341" s="322"/>
      <c r="E341" s="322"/>
      <c r="F341" s="322"/>
      <c r="G341" s="322"/>
      <c r="H341" s="322"/>
      <c r="I341" s="322"/>
      <c r="J341" s="322"/>
      <c r="K341" s="322"/>
      <c r="L341" s="322"/>
      <c r="M341" s="322"/>
      <c r="N341" s="322"/>
      <c r="O341" s="322"/>
      <c r="P341" s="322"/>
      <c r="Q341" s="322"/>
      <c r="R341" s="322"/>
      <c r="S341" s="322"/>
      <c r="T341" s="322"/>
      <c r="U341" s="322"/>
      <c r="V341" s="322"/>
      <c r="W341" s="322"/>
      <c r="X341" s="322"/>
      <c r="Y341" s="322"/>
      <c r="Z341" s="322"/>
      <c r="AA341" s="322"/>
      <c r="AB341" s="322"/>
      <c r="AC341" s="322"/>
      <c r="AD341" s="322"/>
      <c r="AE341" s="322"/>
      <c r="AF341" s="322"/>
      <c r="AG341" s="322"/>
      <c r="AH341" s="322"/>
      <c r="AI341" s="322"/>
      <c r="AJ341" s="322"/>
      <c r="AK341" s="322"/>
    </row>
    <row r="342" spans="1:37" ht="18" customHeight="1">
      <c r="A342" s="322"/>
      <c r="B342" s="322"/>
      <c r="C342" s="451"/>
      <c r="D342" s="322"/>
      <c r="E342" s="322"/>
      <c r="F342" s="322"/>
      <c r="G342" s="322"/>
      <c r="H342" s="322"/>
      <c r="I342" s="322"/>
      <c r="J342" s="322"/>
      <c r="K342" s="322"/>
      <c r="L342" s="322"/>
      <c r="M342" s="322"/>
      <c r="N342" s="322"/>
      <c r="O342" s="322"/>
      <c r="P342" s="322"/>
      <c r="Q342" s="322"/>
      <c r="R342" s="322"/>
      <c r="S342" s="322"/>
      <c r="T342" s="322"/>
      <c r="U342" s="322"/>
      <c r="V342" s="322"/>
      <c r="W342" s="322"/>
      <c r="X342" s="322"/>
      <c r="Y342" s="322"/>
      <c r="Z342" s="322"/>
      <c r="AA342" s="322"/>
      <c r="AB342" s="322"/>
      <c r="AC342" s="322"/>
      <c r="AD342" s="322"/>
      <c r="AE342" s="322"/>
      <c r="AF342" s="322"/>
      <c r="AG342" s="322"/>
      <c r="AH342" s="322"/>
      <c r="AI342" s="322"/>
      <c r="AJ342" s="322"/>
      <c r="AK342" s="322"/>
    </row>
    <row r="343" spans="1:37" ht="18" customHeight="1">
      <c r="A343" s="322"/>
      <c r="B343" s="322"/>
      <c r="C343" s="451"/>
      <c r="D343" s="322"/>
      <c r="E343" s="322"/>
      <c r="F343" s="322"/>
      <c r="G343" s="322"/>
      <c r="H343" s="322"/>
      <c r="I343" s="322"/>
      <c r="J343" s="322"/>
      <c r="K343" s="322"/>
      <c r="L343" s="322"/>
      <c r="M343" s="322"/>
      <c r="N343" s="322"/>
      <c r="O343" s="322"/>
      <c r="P343" s="322"/>
      <c r="Q343" s="322"/>
      <c r="R343" s="322"/>
      <c r="S343" s="322"/>
      <c r="T343" s="322"/>
      <c r="U343" s="322"/>
      <c r="V343" s="322"/>
      <c r="W343" s="322"/>
      <c r="X343" s="322"/>
      <c r="Y343" s="322"/>
      <c r="Z343" s="322"/>
      <c r="AA343" s="322"/>
      <c r="AB343" s="322"/>
      <c r="AC343" s="322"/>
      <c r="AD343" s="322"/>
      <c r="AE343" s="322"/>
      <c r="AF343" s="322"/>
      <c r="AG343" s="322"/>
      <c r="AH343" s="322"/>
      <c r="AI343" s="322"/>
      <c r="AJ343" s="322"/>
      <c r="AK343" s="322"/>
    </row>
    <row r="344" spans="1:37" ht="18" customHeight="1">
      <c r="A344" s="322"/>
      <c r="B344" s="322"/>
      <c r="C344" s="451"/>
      <c r="D344" s="322"/>
      <c r="E344" s="322"/>
      <c r="F344" s="322"/>
      <c r="G344" s="322"/>
      <c r="H344" s="322"/>
      <c r="I344" s="322"/>
      <c r="J344" s="322"/>
      <c r="K344" s="322"/>
      <c r="L344" s="322"/>
      <c r="M344" s="322"/>
      <c r="N344" s="322"/>
      <c r="O344" s="322"/>
      <c r="P344" s="322"/>
      <c r="Q344" s="322"/>
      <c r="R344" s="322"/>
      <c r="S344" s="322"/>
      <c r="T344" s="322"/>
      <c r="U344" s="322"/>
      <c r="V344" s="322"/>
      <c r="W344" s="322"/>
      <c r="X344" s="322"/>
      <c r="Y344" s="322"/>
      <c r="Z344" s="322"/>
      <c r="AA344" s="322"/>
      <c r="AB344" s="322"/>
      <c r="AC344" s="322"/>
      <c r="AD344" s="322"/>
      <c r="AE344" s="322"/>
      <c r="AF344" s="322"/>
      <c r="AG344" s="322"/>
      <c r="AH344" s="322"/>
      <c r="AI344" s="322"/>
      <c r="AJ344" s="322"/>
      <c r="AK344" s="322"/>
    </row>
    <row r="345" spans="1:37" ht="18" customHeight="1">
      <c r="A345" s="322"/>
      <c r="B345" s="322"/>
      <c r="C345" s="451"/>
      <c r="D345" s="322"/>
      <c r="E345" s="322"/>
      <c r="F345" s="322"/>
      <c r="G345" s="322"/>
      <c r="H345" s="322"/>
      <c r="I345" s="322"/>
      <c r="J345" s="322"/>
      <c r="K345" s="322"/>
      <c r="L345" s="322"/>
      <c r="M345" s="322"/>
      <c r="N345" s="322"/>
      <c r="O345" s="322"/>
      <c r="P345" s="322"/>
      <c r="Q345" s="322"/>
      <c r="R345" s="322"/>
      <c r="S345" s="322"/>
      <c r="T345" s="322"/>
      <c r="U345" s="322"/>
      <c r="V345" s="322"/>
      <c r="W345" s="322"/>
      <c r="X345" s="322"/>
      <c r="Y345" s="322"/>
      <c r="Z345" s="322"/>
      <c r="AA345" s="322"/>
      <c r="AB345" s="322"/>
      <c r="AC345" s="322"/>
      <c r="AD345" s="322"/>
      <c r="AE345" s="322"/>
      <c r="AF345" s="322"/>
      <c r="AG345" s="322"/>
      <c r="AH345" s="322"/>
      <c r="AI345" s="322"/>
      <c r="AJ345" s="322"/>
      <c r="AK345" s="322"/>
    </row>
    <row r="346" spans="1:37" ht="18" customHeight="1">
      <c r="A346" s="322"/>
      <c r="B346" s="322"/>
      <c r="C346" s="451"/>
      <c r="D346" s="322"/>
      <c r="E346" s="322"/>
      <c r="F346" s="322"/>
      <c r="G346" s="322"/>
      <c r="H346" s="322"/>
      <c r="I346" s="322"/>
      <c r="J346" s="322"/>
      <c r="K346" s="322"/>
      <c r="L346" s="322"/>
      <c r="M346" s="322"/>
      <c r="N346" s="322"/>
      <c r="O346" s="322"/>
      <c r="P346" s="322"/>
      <c r="Q346" s="322"/>
      <c r="R346" s="322"/>
      <c r="S346" s="322"/>
      <c r="T346" s="322"/>
      <c r="U346" s="322"/>
      <c r="V346" s="322"/>
      <c r="W346" s="322"/>
      <c r="X346" s="322"/>
      <c r="Y346" s="322"/>
      <c r="Z346" s="322"/>
      <c r="AA346" s="322"/>
      <c r="AB346" s="322"/>
      <c r="AC346" s="322"/>
      <c r="AD346" s="322"/>
      <c r="AE346" s="322"/>
      <c r="AF346" s="322"/>
      <c r="AG346" s="322"/>
      <c r="AH346" s="322"/>
      <c r="AI346" s="322"/>
      <c r="AJ346" s="322"/>
      <c r="AK346" s="322"/>
    </row>
    <row r="347" spans="1:37" ht="18" customHeight="1">
      <c r="A347" s="322"/>
      <c r="B347" s="322"/>
      <c r="C347" s="451"/>
      <c r="D347" s="322"/>
      <c r="E347" s="322"/>
      <c r="F347" s="322"/>
      <c r="G347" s="322"/>
      <c r="H347" s="322"/>
      <c r="I347" s="322"/>
      <c r="J347" s="322"/>
      <c r="K347" s="322"/>
      <c r="L347" s="322"/>
      <c r="M347" s="322"/>
      <c r="N347" s="322"/>
      <c r="O347" s="322"/>
      <c r="P347" s="322"/>
      <c r="Q347" s="322"/>
      <c r="R347" s="322"/>
      <c r="S347" s="322"/>
      <c r="T347" s="322"/>
      <c r="U347" s="322"/>
      <c r="V347" s="322"/>
      <c r="W347" s="322"/>
      <c r="X347" s="322"/>
      <c r="Y347" s="322"/>
      <c r="Z347" s="322"/>
      <c r="AA347" s="322"/>
      <c r="AB347" s="322"/>
      <c r="AC347" s="322"/>
      <c r="AD347" s="322"/>
      <c r="AE347" s="322"/>
      <c r="AF347" s="322"/>
      <c r="AG347" s="322"/>
      <c r="AH347" s="322"/>
      <c r="AI347" s="322"/>
      <c r="AJ347" s="322"/>
      <c r="AK347" s="322"/>
    </row>
    <row r="348" spans="1:37" ht="18" customHeight="1">
      <c r="A348" s="322"/>
      <c r="B348" s="322"/>
      <c r="C348" s="451"/>
      <c r="D348" s="322"/>
      <c r="E348" s="322"/>
      <c r="F348" s="322"/>
      <c r="G348" s="322"/>
      <c r="H348" s="322"/>
      <c r="I348" s="322"/>
      <c r="J348" s="322"/>
      <c r="K348" s="322"/>
      <c r="L348" s="322"/>
      <c r="M348" s="322"/>
      <c r="N348" s="322"/>
      <c r="O348" s="322"/>
      <c r="P348" s="322"/>
      <c r="Q348" s="322"/>
      <c r="R348" s="322"/>
      <c r="S348" s="322"/>
      <c r="T348" s="322"/>
      <c r="U348" s="322"/>
      <c r="V348" s="322"/>
      <c r="W348" s="322"/>
      <c r="X348" s="322"/>
      <c r="Y348" s="322"/>
      <c r="Z348" s="322"/>
      <c r="AA348" s="322"/>
      <c r="AB348" s="322"/>
      <c r="AC348" s="322"/>
      <c r="AD348" s="322"/>
      <c r="AE348" s="322"/>
      <c r="AF348" s="322"/>
      <c r="AG348" s="322"/>
      <c r="AH348" s="322"/>
      <c r="AI348" s="322"/>
      <c r="AJ348" s="322"/>
      <c r="AK348" s="322"/>
    </row>
    <row r="349" spans="1:37" ht="18" customHeight="1">
      <c r="A349" s="322"/>
      <c r="B349" s="322"/>
      <c r="C349" s="451"/>
      <c r="D349" s="322"/>
      <c r="E349" s="322"/>
      <c r="F349" s="322"/>
      <c r="G349" s="322"/>
      <c r="H349" s="322"/>
      <c r="I349" s="322"/>
      <c r="J349" s="322"/>
      <c r="K349" s="322"/>
      <c r="L349" s="322"/>
      <c r="M349" s="322"/>
      <c r="N349" s="322"/>
      <c r="O349" s="322"/>
      <c r="P349" s="322"/>
      <c r="Q349" s="322"/>
      <c r="R349" s="322"/>
      <c r="S349" s="322"/>
      <c r="T349" s="322"/>
      <c r="U349" s="322"/>
      <c r="V349" s="322"/>
      <c r="W349" s="322"/>
      <c r="X349" s="322"/>
      <c r="Y349" s="322"/>
      <c r="Z349" s="322"/>
      <c r="AA349" s="322"/>
      <c r="AB349" s="322"/>
      <c r="AC349" s="322"/>
      <c r="AD349" s="322"/>
      <c r="AE349" s="322"/>
      <c r="AF349" s="322"/>
      <c r="AG349" s="322"/>
      <c r="AH349" s="322"/>
      <c r="AI349" s="322"/>
      <c r="AJ349" s="322"/>
      <c r="AK349" s="322"/>
    </row>
    <row r="350" spans="1:37" ht="18" customHeight="1">
      <c r="A350" s="322"/>
      <c r="B350" s="322"/>
      <c r="C350" s="451"/>
      <c r="D350" s="322"/>
      <c r="E350" s="322"/>
      <c r="F350" s="322"/>
      <c r="G350" s="322"/>
      <c r="H350" s="322"/>
      <c r="I350" s="322"/>
      <c r="J350" s="322"/>
      <c r="K350" s="322"/>
      <c r="L350" s="322"/>
      <c r="M350" s="322"/>
      <c r="N350" s="322"/>
      <c r="O350" s="322"/>
      <c r="P350" s="322"/>
      <c r="Q350" s="322"/>
      <c r="R350" s="322"/>
      <c r="S350" s="322"/>
      <c r="T350" s="322"/>
      <c r="U350" s="322"/>
      <c r="V350" s="322"/>
      <c r="W350" s="322"/>
      <c r="X350" s="322"/>
      <c r="Y350" s="322"/>
      <c r="Z350" s="322"/>
      <c r="AA350" s="322"/>
      <c r="AB350" s="322"/>
      <c r="AC350" s="322"/>
      <c r="AD350" s="322"/>
      <c r="AE350" s="322"/>
      <c r="AF350" s="322"/>
      <c r="AG350" s="322"/>
      <c r="AH350" s="322"/>
      <c r="AI350" s="322"/>
      <c r="AJ350" s="322"/>
      <c r="AK350" s="322"/>
    </row>
    <row r="351" spans="1:37" ht="18" customHeight="1">
      <c r="A351" s="322"/>
      <c r="B351" s="322"/>
      <c r="C351" s="451"/>
      <c r="D351" s="322"/>
      <c r="E351" s="322"/>
      <c r="F351" s="322"/>
      <c r="G351" s="322"/>
      <c r="H351" s="322"/>
      <c r="I351" s="322"/>
      <c r="J351" s="322"/>
      <c r="K351" s="322"/>
      <c r="L351" s="322"/>
      <c r="M351" s="322"/>
      <c r="N351" s="322"/>
      <c r="O351" s="322"/>
      <c r="P351" s="322"/>
      <c r="Q351" s="322"/>
      <c r="R351" s="322"/>
      <c r="S351" s="322"/>
      <c r="T351" s="322"/>
      <c r="U351" s="322"/>
      <c r="V351" s="322"/>
      <c r="W351" s="322"/>
      <c r="X351" s="322"/>
      <c r="Y351" s="322"/>
      <c r="Z351" s="322"/>
      <c r="AA351" s="322"/>
      <c r="AB351" s="322"/>
      <c r="AC351" s="322"/>
      <c r="AD351" s="322"/>
      <c r="AE351" s="322"/>
      <c r="AF351" s="322"/>
      <c r="AG351" s="322"/>
      <c r="AH351" s="322"/>
      <c r="AI351" s="322"/>
      <c r="AJ351" s="322"/>
      <c r="AK351" s="322"/>
    </row>
    <row r="352" spans="1:37" ht="18" customHeight="1">
      <c r="A352" s="322"/>
      <c r="B352" s="322"/>
      <c r="C352" s="451"/>
      <c r="D352" s="322"/>
      <c r="E352" s="322"/>
      <c r="F352" s="322"/>
      <c r="G352" s="322"/>
      <c r="H352" s="322"/>
      <c r="I352" s="322"/>
      <c r="J352" s="322"/>
      <c r="K352" s="322"/>
      <c r="L352" s="322"/>
      <c r="M352" s="322"/>
      <c r="N352" s="322"/>
      <c r="O352" s="322"/>
      <c r="P352" s="322"/>
      <c r="Q352" s="322"/>
      <c r="R352" s="322"/>
      <c r="S352" s="322"/>
      <c r="T352" s="322"/>
      <c r="U352" s="322"/>
      <c r="V352" s="322"/>
      <c r="W352" s="322"/>
      <c r="X352" s="322"/>
      <c r="Y352" s="322"/>
      <c r="Z352" s="322"/>
      <c r="AA352" s="322"/>
      <c r="AB352" s="322"/>
      <c r="AC352" s="322"/>
      <c r="AD352" s="322"/>
      <c r="AE352" s="322"/>
      <c r="AF352" s="322"/>
      <c r="AG352" s="322"/>
      <c r="AH352" s="322"/>
      <c r="AI352" s="322"/>
      <c r="AJ352" s="322"/>
      <c r="AK352" s="322"/>
    </row>
    <row r="353" spans="1:37" ht="18" customHeight="1">
      <c r="A353" s="322"/>
      <c r="B353" s="322"/>
      <c r="C353" s="451"/>
      <c r="D353" s="322"/>
      <c r="E353" s="322"/>
      <c r="F353" s="322"/>
      <c r="G353" s="322"/>
      <c r="H353" s="322"/>
      <c r="I353" s="322"/>
      <c r="J353" s="322"/>
      <c r="K353" s="322"/>
      <c r="L353" s="322"/>
      <c r="M353" s="322"/>
      <c r="N353" s="322"/>
      <c r="O353" s="322"/>
      <c r="P353" s="322"/>
      <c r="Q353" s="322"/>
      <c r="R353" s="322"/>
      <c r="S353" s="322"/>
      <c r="T353" s="322"/>
      <c r="U353" s="322"/>
      <c r="V353" s="322"/>
      <c r="W353" s="322"/>
      <c r="X353" s="322"/>
      <c r="Y353" s="322"/>
      <c r="Z353" s="322"/>
      <c r="AA353" s="322"/>
      <c r="AB353" s="322"/>
      <c r="AC353" s="322"/>
      <c r="AD353" s="322"/>
      <c r="AE353" s="322"/>
      <c r="AF353" s="322"/>
      <c r="AG353" s="322"/>
      <c r="AH353" s="322"/>
      <c r="AI353" s="322"/>
      <c r="AJ353" s="322"/>
      <c r="AK353" s="322"/>
    </row>
    <row r="354" spans="1:37" ht="18" customHeight="1">
      <c r="A354" s="322"/>
      <c r="B354" s="322"/>
      <c r="C354" s="451"/>
      <c r="D354" s="322"/>
      <c r="E354" s="322"/>
      <c r="F354" s="322"/>
      <c r="G354" s="322"/>
      <c r="H354" s="322"/>
      <c r="I354" s="322"/>
      <c r="J354" s="322"/>
      <c r="K354" s="322"/>
      <c r="L354" s="322"/>
      <c r="M354" s="322"/>
      <c r="N354" s="322"/>
      <c r="O354" s="322"/>
      <c r="P354" s="322"/>
      <c r="Q354" s="322"/>
      <c r="R354" s="322"/>
      <c r="S354" s="322"/>
      <c r="T354" s="322"/>
      <c r="U354" s="322"/>
      <c r="V354" s="322"/>
      <c r="W354" s="322"/>
      <c r="X354" s="322"/>
      <c r="Y354" s="322"/>
      <c r="Z354" s="322"/>
      <c r="AA354" s="322"/>
      <c r="AB354" s="322"/>
      <c r="AC354" s="322"/>
      <c r="AD354" s="322"/>
      <c r="AE354" s="322"/>
      <c r="AF354" s="322"/>
      <c r="AG354" s="322"/>
      <c r="AH354" s="322"/>
      <c r="AI354" s="322"/>
      <c r="AJ354" s="322"/>
      <c r="AK354" s="322"/>
    </row>
    <row r="355" spans="1:37" ht="18" customHeight="1">
      <c r="A355" s="322"/>
      <c r="B355" s="322"/>
      <c r="C355" s="451"/>
      <c r="D355" s="322"/>
      <c r="E355" s="322"/>
      <c r="F355" s="322"/>
      <c r="G355" s="322"/>
      <c r="H355" s="322"/>
      <c r="I355" s="322"/>
      <c r="J355" s="322"/>
      <c r="K355" s="322"/>
      <c r="L355" s="322"/>
      <c r="M355" s="322"/>
      <c r="N355" s="322"/>
      <c r="O355" s="322"/>
      <c r="P355" s="322"/>
      <c r="Q355" s="322"/>
      <c r="R355" s="322"/>
      <c r="S355" s="322"/>
      <c r="T355" s="322"/>
      <c r="U355" s="322"/>
      <c r="V355" s="322"/>
      <c r="W355" s="322"/>
      <c r="X355" s="322"/>
      <c r="Y355" s="322"/>
      <c r="Z355" s="322"/>
      <c r="AA355" s="322"/>
      <c r="AB355" s="322"/>
      <c r="AC355" s="322"/>
      <c r="AD355" s="322"/>
      <c r="AE355" s="322"/>
      <c r="AF355" s="322"/>
      <c r="AG355" s="322"/>
      <c r="AH355" s="322"/>
      <c r="AI355" s="322"/>
      <c r="AJ355" s="322"/>
      <c r="AK355" s="322"/>
    </row>
    <row r="356" spans="1:37" ht="18" customHeight="1">
      <c r="A356" s="322"/>
      <c r="B356" s="322"/>
      <c r="C356" s="451"/>
      <c r="D356" s="322"/>
      <c r="E356" s="322"/>
      <c r="F356" s="322"/>
      <c r="G356" s="322"/>
      <c r="H356" s="322"/>
      <c r="I356" s="322"/>
      <c r="J356" s="322"/>
      <c r="K356" s="322"/>
      <c r="L356" s="322"/>
      <c r="M356" s="322"/>
      <c r="N356" s="322"/>
      <c r="O356" s="322"/>
      <c r="P356" s="322"/>
      <c r="Q356" s="322"/>
      <c r="R356" s="322"/>
      <c r="S356" s="322"/>
      <c r="T356" s="322"/>
      <c r="U356" s="322"/>
      <c r="V356" s="322"/>
      <c r="W356" s="322"/>
      <c r="X356" s="322"/>
      <c r="Y356" s="322"/>
      <c r="Z356" s="322"/>
      <c r="AA356" s="322"/>
      <c r="AB356" s="322"/>
      <c r="AC356" s="322"/>
      <c r="AD356" s="322"/>
      <c r="AE356" s="322"/>
      <c r="AF356" s="322"/>
      <c r="AG356" s="322"/>
      <c r="AH356" s="322"/>
      <c r="AI356" s="322"/>
      <c r="AJ356" s="322"/>
      <c r="AK356" s="322"/>
    </row>
    <row r="357" spans="1:37" ht="18" customHeight="1">
      <c r="A357" s="322"/>
      <c r="B357" s="322"/>
      <c r="C357" s="451"/>
      <c r="D357" s="322"/>
      <c r="E357" s="322"/>
      <c r="F357" s="322"/>
      <c r="G357" s="322"/>
      <c r="H357" s="322"/>
      <c r="I357" s="322"/>
      <c r="J357" s="322"/>
      <c r="K357" s="322"/>
      <c r="L357" s="322"/>
      <c r="M357" s="322"/>
      <c r="N357" s="322"/>
      <c r="O357" s="322"/>
      <c r="P357" s="322"/>
      <c r="Q357" s="322"/>
      <c r="R357" s="322"/>
      <c r="S357" s="322"/>
      <c r="T357" s="322"/>
      <c r="U357" s="322"/>
      <c r="V357" s="322"/>
      <c r="W357" s="322"/>
      <c r="X357" s="322"/>
      <c r="Y357" s="322"/>
      <c r="Z357" s="322"/>
      <c r="AA357" s="322"/>
      <c r="AB357" s="322"/>
      <c r="AC357" s="322"/>
      <c r="AD357" s="322"/>
      <c r="AE357" s="322"/>
      <c r="AF357" s="322"/>
      <c r="AG357" s="322"/>
      <c r="AH357" s="322"/>
      <c r="AI357" s="322"/>
      <c r="AJ357" s="322"/>
      <c r="AK357" s="322"/>
    </row>
    <row r="358" spans="1:37" ht="18" customHeight="1">
      <c r="A358" s="322"/>
      <c r="B358" s="322"/>
      <c r="C358" s="451"/>
      <c r="D358" s="322"/>
      <c r="E358" s="322"/>
      <c r="F358" s="322"/>
      <c r="G358" s="322"/>
      <c r="H358" s="322"/>
      <c r="I358" s="322"/>
      <c r="J358" s="322"/>
      <c r="K358" s="322"/>
      <c r="L358" s="322"/>
      <c r="M358" s="322"/>
      <c r="N358" s="322"/>
      <c r="O358" s="322"/>
      <c r="P358" s="322"/>
      <c r="Q358" s="322"/>
      <c r="R358" s="322"/>
      <c r="S358" s="322"/>
      <c r="T358" s="322"/>
      <c r="U358" s="322"/>
      <c r="V358" s="322"/>
      <c r="W358" s="322"/>
      <c r="X358" s="322"/>
      <c r="Y358" s="322"/>
      <c r="Z358" s="322"/>
      <c r="AA358" s="322"/>
      <c r="AB358" s="322"/>
      <c r="AC358" s="322"/>
      <c r="AD358" s="322"/>
      <c r="AE358" s="322"/>
      <c r="AF358" s="322"/>
      <c r="AG358" s="322"/>
      <c r="AH358" s="322"/>
      <c r="AI358" s="322"/>
      <c r="AJ358" s="322"/>
      <c r="AK358" s="322"/>
    </row>
    <row r="359" spans="1:37" ht="18" customHeight="1">
      <c r="A359" s="322"/>
      <c r="B359" s="322"/>
      <c r="C359" s="451"/>
      <c r="D359" s="322"/>
      <c r="E359" s="322"/>
      <c r="F359" s="322"/>
      <c r="G359" s="322"/>
      <c r="H359" s="322"/>
      <c r="I359" s="322"/>
      <c r="J359" s="322"/>
      <c r="K359" s="322"/>
      <c r="L359" s="322"/>
      <c r="M359" s="322"/>
      <c r="N359" s="322"/>
      <c r="O359" s="322"/>
      <c r="P359" s="322"/>
      <c r="Q359" s="322"/>
      <c r="R359" s="322"/>
      <c r="S359" s="322"/>
      <c r="T359" s="322"/>
      <c r="U359" s="322"/>
      <c r="V359" s="322"/>
      <c r="W359" s="322"/>
      <c r="X359" s="322"/>
      <c r="Y359" s="322"/>
      <c r="Z359" s="322"/>
      <c r="AA359" s="322"/>
      <c r="AB359" s="322"/>
      <c r="AC359" s="322"/>
      <c r="AD359" s="322"/>
      <c r="AE359" s="322"/>
      <c r="AF359" s="322"/>
      <c r="AG359" s="322"/>
      <c r="AH359" s="322"/>
      <c r="AI359" s="322"/>
      <c r="AJ359" s="322"/>
      <c r="AK359" s="322"/>
    </row>
    <row r="360" spans="1:37" ht="18" customHeight="1">
      <c r="A360" s="322"/>
      <c r="B360" s="322"/>
      <c r="C360" s="451"/>
      <c r="D360" s="322"/>
      <c r="E360" s="322"/>
      <c r="F360" s="322"/>
      <c r="G360" s="322"/>
      <c r="H360" s="322"/>
      <c r="I360" s="322"/>
      <c r="J360" s="322"/>
      <c r="K360" s="322"/>
      <c r="L360" s="322"/>
      <c r="M360" s="322"/>
      <c r="N360" s="322"/>
      <c r="O360" s="322"/>
      <c r="P360" s="322"/>
      <c r="Q360" s="322"/>
      <c r="R360" s="322"/>
      <c r="S360" s="322"/>
      <c r="T360" s="322"/>
      <c r="U360" s="322"/>
      <c r="V360" s="322"/>
      <c r="W360" s="322"/>
      <c r="X360" s="322"/>
      <c r="Y360" s="322"/>
      <c r="Z360" s="322"/>
      <c r="AA360" s="322"/>
      <c r="AB360" s="322"/>
      <c r="AC360" s="322"/>
      <c r="AD360" s="322"/>
      <c r="AE360" s="322"/>
      <c r="AF360" s="322"/>
      <c r="AG360" s="322"/>
      <c r="AH360" s="322"/>
      <c r="AI360" s="322"/>
      <c r="AJ360" s="322"/>
      <c r="AK360" s="322"/>
    </row>
    <row r="361" spans="1:37" ht="18" customHeight="1">
      <c r="A361" s="322"/>
      <c r="B361" s="322"/>
      <c r="C361" s="451"/>
      <c r="D361" s="322"/>
      <c r="E361" s="322"/>
      <c r="F361" s="322"/>
      <c r="G361" s="322"/>
      <c r="H361" s="322"/>
      <c r="I361" s="322"/>
      <c r="J361" s="322"/>
      <c r="K361" s="322"/>
      <c r="L361" s="322"/>
      <c r="M361" s="322"/>
      <c r="N361" s="322"/>
      <c r="O361" s="322"/>
      <c r="P361" s="322"/>
      <c r="Q361" s="322"/>
      <c r="R361" s="322"/>
      <c r="S361" s="322"/>
      <c r="T361" s="322"/>
      <c r="U361" s="322"/>
      <c r="V361" s="322"/>
      <c r="W361" s="322"/>
      <c r="X361" s="322"/>
      <c r="Y361" s="322"/>
      <c r="Z361" s="322"/>
      <c r="AA361" s="322"/>
      <c r="AB361" s="322"/>
      <c r="AC361" s="322"/>
      <c r="AD361" s="322"/>
      <c r="AE361" s="322"/>
      <c r="AF361" s="322"/>
      <c r="AG361" s="322"/>
      <c r="AH361" s="322"/>
      <c r="AI361" s="322"/>
      <c r="AJ361" s="322"/>
      <c r="AK361" s="322"/>
    </row>
    <row r="362" spans="1:37" ht="18" customHeight="1">
      <c r="A362" s="322"/>
      <c r="B362" s="322"/>
      <c r="C362" s="451"/>
      <c r="D362" s="322"/>
      <c r="E362" s="322"/>
      <c r="F362" s="322"/>
      <c r="G362" s="322"/>
      <c r="H362" s="322"/>
      <c r="I362" s="322"/>
      <c r="J362" s="322"/>
      <c r="K362" s="322"/>
      <c r="L362" s="322"/>
      <c r="M362" s="322"/>
      <c r="N362" s="322"/>
      <c r="O362" s="322"/>
      <c r="P362" s="322"/>
      <c r="Q362" s="322"/>
      <c r="R362" s="322"/>
      <c r="S362" s="322"/>
      <c r="T362" s="322"/>
      <c r="U362" s="322"/>
      <c r="V362" s="322"/>
      <c r="W362" s="322"/>
      <c r="X362" s="322"/>
      <c r="Y362" s="322"/>
      <c r="Z362" s="322"/>
      <c r="AA362" s="322"/>
      <c r="AB362" s="322"/>
      <c r="AC362" s="322"/>
      <c r="AD362" s="322"/>
      <c r="AE362" s="322"/>
      <c r="AF362" s="322"/>
      <c r="AG362" s="322"/>
      <c r="AH362" s="322"/>
      <c r="AI362" s="322"/>
      <c r="AJ362" s="322"/>
      <c r="AK362" s="322"/>
    </row>
    <row r="363" spans="1:37" ht="18" customHeight="1">
      <c r="A363" s="322"/>
      <c r="B363" s="322"/>
      <c r="C363" s="451"/>
      <c r="D363" s="322"/>
      <c r="E363" s="322"/>
      <c r="F363" s="322"/>
      <c r="G363" s="322"/>
      <c r="H363" s="322"/>
      <c r="I363" s="322"/>
      <c r="J363" s="322"/>
      <c r="K363" s="322"/>
      <c r="L363" s="322"/>
      <c r="M363" s="322"/>
      <c r="N363" s="322"/>
      <c r="O363" s="322"/>
      <c r="P363" s="322"/>
      <c r="Q363" s="322"/>
      <c r="R363" s="322"/>
      <c r="S363" s="322"/>
      <c r="T363" s="322"/>
      <c r="U363" s="322"/>
      <c r="V363" s="322"/>
      <c r="W363" s="322"/>
      <c r="X363" s="322"/>
      <c r="Y363" s="322"/>
      <c r="Z363" s="322"/>
      <c r="AA363" s="322"/>
      <c r="AB363" s="322"/>
      <c r="AC363" s="322"/>
      <c r="AD363" s="322"/>
      <c r="AE363" s="322"/>
      <c r="AF363" s="322"/>
      <c r="AG363" s="322"/>
      <c r="AH363" s="322"/>
      <c r="AI363" s="322"/>
      <c r="AJ363" s="322"/>
      <c r="AK363" s="322"/>
    </row>
    <row r="364" spans="1:37" ht="18" customHeight="1">
      <c r="A364" s="322"/>
      <c r="B364" s="322"/>
      <c r="C364" s="451"/>
      <c r="D364" s="322"/>
      <c r="E364" s="322"/>
      <c r="F364" s="322"/>
      <c r="G364" s="322"/>
      <c r="H364" s="322"/>
      <c r="I364" s="322"/>
      <c r="J364" s="322"/>
      <c r="K364" s="322"/>
      <c r="L364" s="322"/>
      <c r="M364" s="322"/>
      <c r="N364" s="322"/>
      <c r="O364" s="322"/>
      <c r="P364" s="322"/>
      <c r="Q364" s="322"/>
      <c r="R364" s="322"/>
      <c r="S364" s="322"/>
      <c r="T364" s="322"/>
      <c r="U364" s="322"/>
      <c r="V364" s="322"/>
      <c r="W364" s="322"/>
      <c r="X364" s="322"/>
      <c r="Y364" s="322"/>
      <c r="Z364" s="322"/>
      <c r="AA364" s="322"/>
      <c r="AB364" s="322"/>
      <c r="AC364" s="322"/>
      <c r="AD364" s="322"/>
      <c r="AE364" s="322"/>
      <c r="AF364" s="322"/>
      <c r="AG364" s="322"/>
      <c r="AH364" s="322"/>
      <c r="AI364" s="322"/>
      <c r="AJ364" s="322"/>
      <c r="AK364" s="322"/>
    </row>
    <row r="365" spans="1:37" ht="18" customHeight="1">
      <c r="A365" s="322"/>
      <c r="B365" s="322"/>
      <c r="C365" s="451"/>
      <c r="D365" s="322"/>
      <c r="E365" s="322"/>
      <c r="F365" s="322"/>
      <c r="G365" s="322"/>
      <c r="H365" s="322"/>
      <c r="I365" s="322"/>
      <c r="J365" s="322"/>
      <c r="K365" s="322"/>
      <c r="L365" s="322"/>
      <c r="M365" s="322"/>
      <c r="N365" s="322"/>
      <c r="O365" s="322"/>
      <c r="P365" s="322"/>
      <c r="Q365" s="322"/>
      <c r="R365" s="322"/>
      <c r="S365" s="322"/>
      <c r="T365" s="322"/>
      <c r="U365" s="322"/>
      <c r="V365" s="322"/>
      <c r="W365" s="322"/>
      <c r="X365" s="322"/>
      <c r="Y365" s="322"/>
      <c r="Z365" s="322"/>
      <c r="AA365" s="322"/>
      <c r="AB365" s="322"/>
      <c r="AC365" s="322"/>
      <c r="AD365" s="322"/>
      <c r="AE365" s="322"/>
      <c r="AF365" s="322"/>
      <c r="AG365" s="322"/>
      <c r="AH365" s="322"/>
      <c r="AI365" s="322"/>
      <c r="AJ365" s="322"/>
      <c r="AK365" s="322"/>
    </row>
    <row r="366" spans="1:37" ht="18" customHeight="1">
      <c r="A366" s="322"/>
      <c r="B366" s="322"/>
      <c r="C366" s="451"/>
      <c r="D366" s="322"/>
      <c r="E366" s="322"/>
      <c r="F366" s="322"/>
      <c r="G366" s="322"/>
      <c r="H366" s="322"/>
      <c r="I366" s="322"/>
      <c r="J366" s="322"/>
      <c r="K366" s="322"/>
      <c r="L366" s="322"/>
      <c r="M366" s="322"/>
      <c r="N366" s="322"/>
      <c r="O366" s="322"/>
      <c r="P366" s="322"/>
      <c r="Q366" s="322"/>
      <c r="R366" s="322"/>
      <c r="S366" s="322"/>
      <c r="T366" s="322"/>
      <c r="U366" s="322"/>
      <c r="V366" s="322"/>
      <c r="W366" s="322"/>
      <c r="X366" s="322"/>
      <c r="Y366" s="322"/>
      <c r="Z366" s="322"/>
      <c r="AA366" s="322"/>
      <c r="AB366" s="322"/>
      <c r="AC366" s="322"/>
      <c r="AD366" s="322"/>
      <c r="AE366" s="322"/>
      <c r="AF366" s="322"/>
      <c r="AG366" s="322"/>
      <c r="AH366" s="322"/>
      <c r="AI366" s="322"/>
      <c r="AJ366" s="322"/>
      <c r="AK366" s="322"/>
    </row>
    <row r="367" spans="1:37" ht="18" customHeight="1">
      <c r="A367" s="322"/>
      <c r="B367" s="322"/>
      <c r="C367" s="451"/>
      <c r="D367" s="322"/>
      <c r="E367" s="322"/>
      <c r="F367" s="322"/>
      <c r="G367" s="322"/>
      <c r="H367" s="322"/>
      <c r="I367" s="322"/>
      <c r="J367" s="322"/>
      <c r="K367" s="322"/>
      <c r="L367" s="322"/>
      <c r="M367" s="322"/>
      <c r="N367" s="322"/>
      <c r="O367" s="322"/>
      <c r="P367" s="322"/>
      <c r="Q367" s="322"/>
      <c r="R367" s="322"/>
      <c r="S367" s="322"/>
      <c r="T367" s="322"/>
      <c r="U367" s="322"/>
      <c r="V367" s="322"/>
      <c r="W367" s="322"/>
      <c r="X367" s="322"/>
      <c r="Y367" s="322"/>
      <c r="Z367" s="322"/>
      <c r="AA367" s="322"/>
      <c r="AB367" s="322"/>
      <c r="AC367" s="322"/>
      <c r="AD367" s="322"/>
      <c r="AE367" s="322"/>
      <c r="AF367" s="322"/>
      <c r="AG367" s="322"/>
      <c r="AH367" s="322"/>
      <c r="AI367" s="322"/>
      <c r="AJ367" s="322"/>
      <c r="AK367" s="322"/>
    </row>
    <row r="368" spans="1:37" ht="18" customHeight="1">
      <c r="A368" s="322"/>
      <c r="B368" s="322"/>
      <c r="C368" s="451"/>
      <c r="D368" s="322"/>
      <c r="E368" s="322"/>
      <c r="F368" s="322"/>
      <c r="G368" s="322"/>
      <c r="H368" s="322"/>
      <c r="I368" s="322"/>
      <c r="J368" s="322"/>
      <c r="K368" s="322"/>
      <c r="L368" s="322"/>
      <c r="M368" s="322"/>
      <c r="N368" s="322"/>
      <c r="O368" s="322"/>
      <c r="P368" s="322"/>
      <c r="Q368" s="322"/>
      <c r="R368" s="322"/>
      <c r="S368" s="322"/>
      <c r="T368" s="322"/>
      <c r="U368" s="322"/>
      <c r="V368" s="322"/>
      <c r="W368" s="322"/>
      <c r="X368" s="322"/>
      <c r="Y368" s="322"/>
      <c r="Z368" s="322"/>
      <c r="AA368" s="322"/>
      <c r="AB368" s="322"/>
      <c r="AC368" s="322"/>
      <c r="AD368" s="322"/>
      <c r="AE368" s="322"/>
      <c r="AF368" s="322"/>
      <c r="AG368" s="322"/>
      <c r="AH368" s="322"/>
      <c r="AI368" s="322"/>
      <c r="AJ368" s="322"/>
      <c r="AK368" s="322"/>
    </row>
    <row r="369" spans="1:37" ht="18" customHeight="1">
      <c r="A369" s="322"/>
      <c r="B369" s="322"/>
      <c r="C369" s="451"/>
      <c r="D369" s="322"/>
      <c r="E369" s="322"/>
      <c r="F369" s="322"/>
      <c r="G369" s="322"/>
      <c r="H369" s="322"/>
      <c r="I369" s="322"/>
      <c r="J369" s="322"/>
      <c r="K369" s="322"/>
      <c r="L369" s="322"/>
      <c r="M369" s="322"/>
      <c r="N369" s="322"/>
      <c r="O369" s="322"/>
      <c r="P369" s="322"/>
      <c r="Q369" s="322"/>
      <c r="R369" s="322"/>
      <c r="S369" s="322"/>
      <c r="T369" s="322"/>
      <c r="U369" s="322"/>
      <c r="V369" s="322"/>
      <c r="W369" s="322"/>
      <c r="X369" s="322"/>
      <c r="Y369" s="322"/>
      <c r="Z369" s="322"/>
      <c r="AA369" s="322"/>
      <c r="AB369" s="322"/>
      <c r="AC369" s="322"/>
      <c r="AD369" s="322"/>
      <c r="AE369" s="322"/>
      <c r="AF369" s="322"/>
      <c r="AG369" s="322"/>
      <c r="AH369" s="322"/>
      <c r="AI369" s="322"/>
      <c r="AJ369" s="322"/>
      <c r="AK369" s="322"/>
    </row>
    <row r="370" spans="1:37" ht="18" customHeight="1">
      <c r="A370" s="322"/>
      <c r="B370" s="322"/>
      <c r="C370" s="451"/>
      <c r="D370" s="322"/>
      <c r="E370" s="322"/>
      <c r="F370" s="322"/>
      <c r="G370" s="322"/>
      <c r="H370" s="322"/>
      <c r="I370" s="322"/>
      <c r="J370" s="322"/>
      <c r="K370" s="322"/>
      <c r="L370" s="322"/>
      <c r="M370" s="322"/>
      <c r="N370" s="322"/>
      <c r="O370" s="322"/>
      <c r="P370" s="322"/>
      <c r="Q370" s="322"/>
      <c r="R370" s="322"/>
      <c r="S370" s="322"/>
      <c r="T370" s="322"/>
      <c r="U370" s="322"/>
      <c r="V370" s="322"/>
      <c r="W370" s="322"/>
      <c r="X370" s="322"/>
      <c r="Y370" s="322"/>
      <c r="Z370" s="322"/>
      <c r="AA370" s="322"/>
      <c r="AB370" s="322"/>
      <c r="AC370" s="322"/>
      <c r="AD370" s="322"/>
      <c r="AE370" s="322"/>
      <c r="AF370" s="322"/>
      <c r="AG370" s="322"/>
      <c r="AH370" s="322"/>
      <c r="AI370" s="322"/>
      <c r="AJ370" s="322"/>
      <c r="AK370" s="322"/>
    </row>
    <row r="371" spans="1:37" ht="18" customHeight="1">
      <c r="A371" s="322"/>
      <c r="B371" s="322"/>
      <c r="C371" s="451"/>
      <c r="D371" s="322"/>
      <c r="E371" s="322"/>
      <c r="F371" s="322"/>
      <c r="G371" s="322"/>
      <c r="H371" s="322"/>
      <c r="I371" s="322"/>
      <c r="J371" s="322"/>
      <c r="K371" s="322"/>
      <c r="L371" s="322"/>
      <c r="M371" s="322"/>
      <c r="N371" s="322"/>
      <c r="O371" s="322"/>
      <c r="P371" s="322"/>
      <c r="Q371" s="322"/>
      <c r="R371" s="322"/>
      <c r="S371" s="322"/>
      <c r="T371" s="322"/>
      <c r="U371" s="322"/>
      <c r="V371" s="322"/>
      <c r="W371" s="322"/>
      <c r="X371" s="322"/>
      <c r="Y371" s="322"/>
      <c r="Z371" s="322"/>
      <c r="AA371" s="322"/>
      <c r="AB371" s="322"/>
      <c r="AC371" s="322"/>
      <c r="AD371" s="322"/>
      <c r="AE371" s="322"/>
      <c r="AF371" s="322"/>
      <c r="AG371" s="322"/>
      <c r="AH371" s="322"/>
      <c r="AI371" s="322"/>
      <c r="AJ371" s="322"/>
      <c r="AK371" s="322"/>
    </row>
    <row r="372" spans="1:37" ht="18" customHeight="1">
      <c r="A372" s="322"/>
      <c r="B372" s="322"/>
      <c r="C372" s="451"/>
      <c r="D372" s="322"/>
      <c r="E372" s="322"/>
      <c r="F372" s="322"/>
      <c r="G372" s="322"/>
      <c r="H372" s="322"/>
      <c r="I372" s="322"/>
      <c r="J372" s="322"/>
      <c r="K372" s="322"/>
      <c r="L372" s="322"/>
      <c r="M372" s="322"/>
      <c r="N372" s="322"/>
      <c r="O372" s="322"/>
      <c r="P372" s="322"/>
      <c r="Q372" s="322"/>
      <c r="R372" s="322"/>
      <c r="S372" s="322"/>
      <c r="T372" s="322"/>
      <c r="U372" s="322"/>
      <c r="V372" s="322"/>
      <c r="W372" s="322"/>
      <c r="X372" s="322"/>
      <c r="Y372" s="322"/>
      <c r="Z372" s="322"/>
      <c r="AA372" s="322"/>
      <c r="AB372" s="322"/>
      <c r="AC372" s="322"/>
      <c r="AD372" s="322"/>
      <c r="AE372" s="322"/>
      <c r="AF372" s="322"/>
      <c r="AG372" s="322"/>
      <c r="AH372" s="322"/>
      <c r="AI372" s="322"/>
      <c r="AJ372" s="322"/>
      <c r="AK372" s="322"/>
    </row>
    <row r="373" spans="1:37" ht="18" customHeight="1">
      <c r="A373" s="322"/>
      <c r="B373" s="322"/>
      <c r="C373" s="451"/>
      <c r="D373" s="322"/>
      <c r="E373" s="322"/>
      <c r="F373" s="322"/>
      <c r="G373" s="322"/>
      <c r="H373" s="322"/>
      <c r="I373" s="322"/>
      <c r="J373" s="322"/>
      <c r="K373" s="322"/>
      <c r="L373" s="322"/>
      <c r="M373" s="322"/>
      <c r="N373" s="322"/>
      <c r="O373" s="322"/>
      <c r="P373" s="322"/>
      <c r="Q373" s="322"/>
      <c r="R373" s="322"/>
      <c r="S373" s="322"/>
      <c r="T373" s="322"/>
      <c r="U373" s="322"/>
      <c r="V373" s="322"/>
      <c r="W373" s="322"/>
      <c r="X373" s="322"/>
      <c r="Y373" s="322"/>
      <c r="Z373" s="322"/>
      <c r="AA373" s="322"/>
      <c r="AB373" s="322"/>
      <c r="AC373" s="322"/>
      <c r="AD373" s="322"/>
      <c r="AE373" s="322"/>
      <c r="AF373" s="322"/>
      <c r="AG373" s="322"/>
      <c r="AH373" s="322"/>
      <c r="AI373" s="322"/>
      <c r="AJ373" s="322"/>
      <c r="AK373" s="322"/>
    </row>
    <row r="374" spans="1:37" ht="18" customHeight="1">
      <c r="A374" s="322"/>
      <c r="B374" s="322"/>
      <c r="C374" s="451"/>
      <c r="D374" s="322"/>
      <c r="E374" s="322"/>
      <c r="F374" s="322"/>
      <c r="G374" s="322"/>
      <c r="H374" s="322"/>
      <c r="I374" s="322"/>
      <c r="J374" s="322"/>
      <c r="K374" s="322"/>
      <c r="L374" s="322"/>
      <c r="M374" s="322"/>
      <c r="N374" s="322"/>
      <c r="O374" s="322"/>
      <c r="P374" s="322"/>
      <c r="Q374" s="322"/>
      <c r="R374" s="322"/>
      <c r="S374" s="322"/>
      <c r="T374" s="322"/>
      <c r="U374" s="322"/>
      <c r="V374" s="322"/>
      <c r="W374" s="322"/>
      <c r="X374" s="322"/>
      <c r="Y374" s="322"/>
      <c r="Z374" s="322"/>
      <c r="AA374" s="322"/>
      <c r="AB374" s="322"/>
      <c r="AC374" s="322"/>
      <c r="AD374" s="322"/>
      <c r="AE374" s="322"/>
      <c r="AF374" s="322"/>
      <c r="AG374" s="322"/>
      <c r="AH374" s="322"/>
      <c r="AI374" s="322"/>
      <c r="AJ374" s="322"/>
      <c r="AK374" s="322"/>
    </row>
    <row r="375" spans="1:37" ht="18" customHeight="1">
      <c r="A375" s="322"/>
      <c r="B375" s="322"/>
      <c r="C375" s="451"/>
      <c r="D375" s="322"/>
      <c r="E375" s="322"/>
      <c r="F375" s="322"/>
      <c r="G375" s="322"/>
      <c r="H375" s="322"/>
      <c r="I375" s="322"/>
      <c r="J375" s="322"/>
      <c r="K375" s="322"/>
      <c r="L375" s="322"/>
      <c r="M375" s="322"/>
      <c r="N375" s="322"/>
      <c r="O375" s="322"/>
      <c r="P375" s="322"/>
      <c r="Q375" s="322"/>
      <c r="R375" s="322"/>
      <c r="S375" s="322"/>
      <c r="T375" s="322"/>
      <c r="U375" s="322"/>
      <c r="V375" s="322"/>
      <c r="W375" s="322"/>
      <c r="X375" s="322"/>
      <c r="Y375" s="322"/>
      <c r="Z375" s="322"/>
      <c r="AA375" s="322"/>
      <c r="AB375" s="322"/>
      <c r="AC375" s="322"/>
      <c r="AD375" s="322"/>
      <c r="AE375" s="322"/>
      <c r="AF375" s="322"/>
      <c r="AG375" s="322"/>
      <c r="AH375" s="322"/>
      <c r="AI375" s="322"/>
      <c r="AJ375" s="322"/>
      <c r="AK375" s="322"/>
    </row>
    <row r="376" spans="1:37" ht="18" customHeight="1">
      <c r="A376" s="322"/>
      <c r="B376" s="322"/>
      <c r="C376" s="451"/>
      <c r="D376" s="322"/>
      <c r="E376" s="322"/>
      <c r="F376" s="322"/>
      <c r="G376" s="322"/>
      <c r="H376" s="322"/>
      <c r="I376" s="322"/>
      <c r="J376" s="322"/>
      <c r="K376" s="322"/>
      <c r="L376" s="322"/>
      <c r="M376" s="322"/>
      <c r="N376" s="322"/>
      <c r="O376" s="322"/>
      <c r="P376" s="322"/>
      <c r="Q376" s="322"/>
      <c r="R376" s="322"/>
      <c r="S376" s="322"/>
      <c r="T376" s="322"/>
      <c r="U376" s="322"/>
      <c r="V376" s="322"/>
      <c r="W376" s="322"/>
      <c r="X376" s="322"/>
      <c r="Y376" s="322"/>
      <c r="Z376" s="322"/>
      <c r="AA376" s="322"/>
      <c r="AB376" s="322"/>
      <c r="AC376" s="322"/>
      <c r="AD376" s="322"/>
      <c r="AE376" s="322"/>
      <c r="AF376" s="322"/>
      <c r="AG376" s="322"/>
      <c r="AH376" s="322"/>
      <c r="AI376" s="322"/>
      <c r="AJ376" s="322"/>
      <c r="AK376" s="322"/>
    </row>
    <row r="377" spans="1:37" ht="18" customHeight="1">
      <c r="A377" s="322"/>
      <c r="B377" s="322"/>
      <c r="C377" s="451"/>
      <c r="D377" s="322"/>
      <c r="E377" s="322"/>
      <c r="F377" s="322"/>
      <c r="G377" s="322"/>
      <c r="H377" s="322"/>
      <c r="I377" s="322"/>
      <c r="J377" s="322"/>
      <c r="K377" s="322"/>
      <c r="L377" s="322"/>
      <c r="M377" s="322"/>
      <c r="N377" s="322"/>
      <c r="O377" s="322"/>
      <c r="P377" s="322"/>
      <c r="Q377" s="322"/>
      <c r="R377" s="322"/>
      <c r="S377" s="322"/>
      <c r="T377" s="322"/>
      <c r="U377" s="322"/>
      <c r="V377" s="322"/>
      <c r="W377" s="322"/>
      <c r="X377" s="322"/>
      <c r="Y377" s="322"/>
      <c r="Z377" s="322"/>
      <c r="AA377" s="322"/>
      <c r="AB377" s="322"/>
      <c r="AC377" s="322"/>
      <c r="AD377" s="322"/>
      <c r="AE377" s="322"/>
      <c r="AF377" s="322"/>
      <c r="AG377" s="322"/>
      <c r="AH377" s="322"/>
      <c r="AI377" s="322"/>
      <c r="AJ377" s="322"/>
      <c r="AK377" s="322"/>
    </row>
    <row r="378" spans="1:37" ht="18" customHeight="1">
      <c r="A378" s="322"/>
      <c r="B378" s="322"/>
      <c r="C378" s="451"/>
      <c r="D378" s="322"/>
      <c r="E378" s="322"/>
      <c r="F378" s="322"/>
      <c r="G378" s="322"/>
      <c r="H378" s="322"/>
      <c r="I378" s="322"/>
      <c r="J378" s="322"/>
      <c r="K378" s="322"/>
      <c r="L378" s="322"/>
      <c r="M378" s="322"/>
      <c r="N378" s="322"/>
      <c r="O378" s="322"/>
      <c r="P378" s="322"/>
      <c r="Q378" s="322"/>
      <c r="R378" s="322"/>
      <c r="S378" s="322"/>
      <c r="T378" s="322"/>
      <c r="U378" s="322"/>
      <c r="V378" s="322"/>
      <c r="W378" s="322"/>
      <c r="X378" s="322"/>
      <c r="Y378" s="322"/>
      <c r="Z378" s="322"/>
      <c r="AA378" s="322"/>
      <c r="AB378" s="322"/>
      <c r="AC378" s="322"/>
      <c r="AD378" s="322"/>
      <c r="AE378" s="322"/>
      <c r="AF378" s="322"/>
      <c r="AG378" s="322"/>
      <c r="AH378" s="322"/>
      <c r="AI378" s="322"/>
      <c r="AJ378" s="322"/>
      <c r="AK378" s="322"/>
    </row>
    <row r="379" spans="1:37" ht="18" customHeight="1">
      <c r="A379" s="322"/>
      <c r="B379" s="322"/>
      <c r="C379" s="451"/>
      <c r="D379" s="322"/>
      <c r="E379" s="322"/>
      <c r="F379" s="322"/>
      <c r="G379" s="322"/>
      <c r="H379" s="322"/>
      <c r="I379" s="322"/>
      <c r="J379" s="322"/>
      <c r="K379" s="322"/>
      <c r="L379" s="322"/>
      <c r="M379" s="322"/>
      <c r="N379" s="322"/>
      <c r="O379" s="322"/>
      <c r="P379" s="322"/>
      <c r="Q379" s="322"/>
      <c r="R379" s="322"/>
      <c r="S379" s="322"/>
      <c r="T379" s="322"/>
      <c r="U379" s="322"/>
      <c r="V379" s="322"/>
      <c r="W379" s="322"/>
      <c r="X379" s="322"/>
      <c r="Y379" s="322"/>
      <c r="Z379" s="322"/>
      <c r="AA379" s="322"/>
      <c r="AB379" s="322"/>
      <c r="AC379" s="322"/>
      <c r="AD379" s="322"/>
      <c r="AE379" s="322"/>
      <c r="AF379" s="322"/>
      <c r="AG379" s="322"/>
      <c r="AH379" s="322"/>
      <c r="AI379" s="322"/>
      <c r="AJ379" s="322"/>
      <c r="AK379" s="322"/>
    </row>
    <row r="380" spans="1:37" ht="18" customHeight="1">
      <c r="A380" s="322"/>
      <c r="B380" s="322"/>
      <c r="C380" s="451"/>
      <c r="D380" s="322"/>
      <c r="E380" s="322"/>
      <c r="F380" s="322"/>
      <c r="G380" s="322"/>
      <c r="H380" s="322"/>
      <c r="I380" s="322"/>
      <c r="J380" s="322"/>
      <c r="K380" s="322"/>
      <c r="L380" s="322"/>
      <c r="M380" s="322"/>
      <c r="N380" s="322"/>
      <c r="O380" s="322"/>
      <c r="P380" s="322"/>
      <c r="Q380" s="322"/>
      <c r="R380" s="322"/>
      <c r="S380" s="322"/>
      <c r="T380" s="322"/>
      <c r="U380" s="322"/>
      <c r="V380" s="322"/>
      <c r="W380" s="322"/>
      <c r="X380" s="322"/>
      <c r="Y380" s="322"/>
      <c r="Z380" s="322"/>
      <c r="AA380" s="322"/>
      <c r="AB380" s="322"/>
      <c r="AC380" s="322"/>
      <c r="AD380" s="322"/>
      <c r="AE380" s="322"/>
      <c r="AF380" s="322"/>
      <c r="AG380" s="322"/>
      <c r="AH380" s="322"/>
      <c r="AI380" s="322"/>
      <c r="AJ380" s="322"/>
      <c r="AK380" s="322"/>
    </row>
    <row r="381" spans="1:37" ht="18" customHeight="1">
      <c r="A381" s="322"/>
      <c r="B381" s="322"/>
      <c r="C381" s="451"/>
      <c r="D381" s="322"/>
      <c r="E381" s="322"/>
      <c r="F381" s="322"/>
      <c r="G381" s="322"/>
      <c r="H381" s="322"/>
      <c r="I381" s="322"/>
      <c r="J381" s="322"/>
      <c r="K381" s="322"/>
      <c r="L381" s="322"/>
      <c r="M381" s="322"/>
      <c r="N381" s="322"/>
      <c r="O381" s="322"/>
      <c r="P381" s="322"/>
      <c r="Q381" s="322"/>
      <c r="R381" s="322"/>
      <c r="S381" s="322"/>
      <c r="T381" s="322"/>
      <c r="U381" s="322"/>
      <c r="V381" s="322"/>
      <c r="W381" s="322"/>
      <c r="X381" s="322"/>
      <c r="Y381" s="322"/>
      <c r="Z381" s="322"/>
      <c r="AA381" s="322"/>
      <c r="AB381" s="322"/>
      <c r="AC381" s="322"/>
      <c r="AD381" s="322"/>
      <c r="AE381" s="322"/>
      <c r="AF381" s="322"/>
      <c r="AG381" s="322"/>
      <c r="AH381" s="322"/>
      <c r="AI381" s="322"/>
      <c r="AJ381" s="322"/>
      <c r="AK381" s="322"/>
    </row>
    <row r="382" spans="1:37" ht="18" customHeight="1">
      <c r="A382" s="322"/>
      <c r="B382" s="322"/>
      <c r="C382" s="451"/>
      <c r="D382" s="322"/>
      <c r="E382" s="322"/>
      <c r="F382" s="322"/>
      <c r="G382" s="322"/>
      <c r="H382" s="322"/>
      <c r="I382" s="322"/>
      <c r="J382" s="322"/>
      <c r="K382" s="322"/>
      <c r="L382" s="322"/>
      <c r="M382" s="322"/>
      <c r="N382" s="322"/>
      <c r="O382" s="322"/>
      <c r="P382" s="322"/>
      <c r="Q382" s="322"/>
      <c r="R382" s="322"/>
      <c r="S382" s="322"/>
      <c r="T382" s="322"/>
      <c r="U382" s="322"/>
      <c r="V382" s="322"/>
      <c r="W382" s="322"/>
      <c r="X382" s="322"/>
      <c r="Y382" s="322"/>
      <c r="Z382" s="322"/>
      <c r="AA382" s="322"/>
      <c r="AB382" s="322"/>
      <c r="AC382" s="322"/>
      <c r="AD382" s="322"/>
      <c r="AE382" s="322"/>
      <c r="AF382" s="322"/>
      <c r="AG382" s="322"/>
      <c r="AH382" s="322"/>
      <c r="AI382" s="322"/>
      <c r="AJ382" s="322"/>
      <c r="AK382" s="322"/>
    </row>
    <row r="383" spans="1:37" ht="18" customHeight="1">
      <c r="A383" s="322"/>
      <c r="B383" s="322"/>
      <c r="C383" s="451"/>
      <c r="D383" s="322"/>
      <c r="E383" s="322"/>
      <c r="F383" s="322"/>
      <c r="G383" s="322"/>
      <c r="H383" s="322"/>
      <c r="I383" s="322"/>
      <c r="J383" s="322"/>
      <c r="K383" s="322"/>
      <c r="L383" s="322"/>
      <c r="M383" s="322"/>
      <c r="N383" s="322"/>
      <c r="O383" s="322"/>
      <c r="P383" s="322"/>
      <c r="Q383" s="322"/>
      <c r="R383" s="322"/>
      <c r="S383" s="322"/>
      <c r="T383" s="322"/>
      <c r="U383" s="322"/>
      <c r="V383" s="322"/>
      <c r="W383" s="322"/>
      <c r="X383" s="322"/>
      <c r="Y383" s="322"/>
      <c r="Z383" s="322"/>
      <c r="AA383" s="322"/>
      <c r="AB383" s="322"/>
      <c r="AC383" s="322"/>
      <c r="AD383" s="322"/>
      <c r="AE383" s="322"/>
      <c r="AF383" s="322"/>
      <c r="AG383" s="322"/>
      <c r="AH383" s="322"/>
      <c r="AI383" s="322"/>
      <c r="AJ383" s="322"/>
      <c r="AK383" s="322"/>
    </row>
    <row r="384" spans="1:37" ht="18" customHeight="1">
      <c r="A384" s="322"/>
      <c r="B384" s="322"/>
      <c r="C384" s="451"/>
      <c r="D384" s="322"/>
      <c r="E384" s="322"/>
      <c r="F384" s="322"/>
      <c r="G384" s="322"/>
      <c r="H384" s="322"/>
      <c r="I384" s="322"/>
      <c r="J384" s="322"/>
      <c r="K384" s="322"/>
      <c r="L384" s="322"/>
      <c r="M384" s="322"/>
      <c r="N384" s="322"/>
      <c r="O384" s="322"/>
      <c r="P384" s="322"/>
      <c r="Q384" s="322"/>
      <c r="R384" s="322"/>
      <c r="S384" s="322"/>
      <c r="T384" s="322"/>
      <c r="U384" s="322"/>
      <c r="V384" s="322"/>
      <c r="W384" s="322"/>
      <c r="X384" s="322"/>
      <c r="Y384" s="322"/>
      <c r="Z384" s="322"/>
      <c r="AA384" s="322"/>
      <c r="AB384" s="322"/>
      <c r="AC384" s="322"/>
      <c r="AD384" s="322"/>
      <c r="AE384" s="322"/>
      <c r="AF384" s="322"/>
      <c r="AG384" s="322"/>
      <c r="AH384" s="322"/>
      <c r="AI384" s="322"/>
      <c r="AJ384" s="322"/>
      <c r="AK384" s="322"/>
    </row>
    <row r="385" spans="1:37" ht="18" customHeight="1">
      <c r="A385" s="322"/>
      <c r="B385" s="322"/>
      <c r="C385" s="451"/>
      <c r="D385" s="322"/>
      <c r="E385" s="322"/>
      <c r="F385" s="322"/>
      <c r="G385" s="322"/>
      <c r="H385" s="322"/>
      <c r="I385" s="322"/>
      <c r="J385" s="322"/>
      <c r="K385" s="322"/>
      <c r="L385" s="322"/>
      <c r="M385" s="322"/>
      <c r="N385" s="322"/>
      <c r="O385" s="322"/>
      <c r="P385" s="322"/>
      <c r="Q385" s="322"/>
      <c r="R385" s="322"/>
      <c r="S385" s="322"/>
      <c r="T385" s="322"/>
      <c r="U385" s="322"/>
      <c r="V385" s="322"/>
      <c r="W385" s="322"/>
      <c r="X385" s="322"/>
      <c r="Y385" s="322"/>
      <c r="Z385" s="322"/>
      <c r="AA385" s="322"/>
      <c r="AB385" s="322"/>
      <c r="AC385" s="322"/>
      <c r="AD385" s="322"/>
      <c r="AE385" s="322"/>
      <c r="AF385" s="322"/>
      <c r="AG385" s="322"/>
      <c r="AH385" s="322"/>
      <c r="AI385" s="322"/>
      <c r="AJ385" s="322"/>
      <c r="AK385" s="322"/>
    </row>
    <row r="386" spans="1:37" ht="18" customHeight="1">
      <c r="A386" s="322"/>
      <c r="B386" s="322"/>
      <c r="C386" s="451"/>
      <c r="D386" s="322"/>
      <c r="E386" s="322"/>
      <c r="F386" s="322"/>
      <c r="G386" s="322"/>
      <c r="H386" s="322"/>
      <c r="I386" s="322"/>
      <c r="J386" s="322"/>
      <c r="K386" s="322"/>
      <c r="L386" s="322"/>
      <c r="M386" s="322"/>
      <c r="N386" s="322"/>
      <c r="O386" s="322"/>
      <c r="P386" s="322"/>
      <c r="Q386" s="322"/>
      <c r="R386" s="322"/>
      <c r="S386" s="322"/>
      <c r="T386" s="322"/>
      <c r="U386" s="322"/>
      <c r="V386" s="322"/>
      <c r="W386" s="322"/>
      <c r="X386" s="322"/>
      <c r="Y386" s="322"/>
      <c r="Z386" s="322"/>
      <c r="AA386" s="322"/>
      <c r="AB386" s="322"/>
      <c r="AC386" s="322"/>
      <c r="AD386" s="322"/>
      <c r="AE386" s="322"/>
      <c r="AF386" s="322"/>
      <c r="AG386" s="322"/>
      <c r="AH386" s="322"/>
      <c r="AI386" s="322"/>
      <c r="AJ386" s="322"/>
      <c r="AK386" s="322"/>
    </row>
    <row r="387" spans="1:37" ht="18" customHeight="1">
      <c r="A387" s="322"/>
      <c r="B387" s="322"/>
      <c r="C387" s="451"/>
      <c r="D387" s="322"/>
      <c r="E387" s="322"/>
      <c r="F387" s="322"/>
      <c r="G387" s="322"/>
      <c r="H387" s="322"/>
      <c r="I387" s="322"/>
      <c r="J387" s="322"/>
      <c r="K387" s="322"/>
      <c r="L387" s="322"/>
      <c r="M387" s="322"/>
      <c r="N387" s="322"/>
      <c r="O387" s="322"/>
      <c r="P387" s="322"/>
      <c r="Q387" s="322"/>
      <c r="R387" s="322"/>
      <c r="S387" s="322"/>
      <c r="T387" s="322"/>
      <c r="U387" s="322"/>
      <c r="V387" s="322"/>
      <c r="W387" s="322"/>
      <c r="X387" s="322"/>
      <c r="Y387" s="322"/>
      <c r="Z387" s="322"/>
      <c r="AA387" s="322"/>
      <c r="AB387" s="322"/>
      <c r="AC387" s="322"/>
      <c r="AD387" s="322"/>
      <c r="AE387" s="322"/>
      <c r="AF387" s="322"/>
      <c r="AG387" s="322"/>
      <c r="AH387" s="322"/>
      <c r="AI387" s="322"/>
      <c r="AJ387" s="322"/>
      <c r="AK387" s="322"/>
    </row>
    <row r="388" spans="1:37" ht="18" customHeight="1">
      <c r="A388" s="322"/>
      <c r="B388" s="322"/>
      <c r="C388" s="451"/>
      <c r="D388" s="322"/>
      <c r="E388" s="322"/>
      <c r="F388" s="322"/>
      <c r="G388" s="322"/>
      <c r="H388" s="322"/>
      <c r="I388" s="322"/>
      <c r="J388" s="322"/>
      <c r="K388" s="322"/>
      <c r="L388" s="322"/>
      <c r="M388" s="322"/>
      <c r="N388" s="322"/>
      <c r="O388" s="322"/>
      <c r="P388" s="322"/>
      <c r="Q388" s="322"/>
      <c r="R388" s="322"/>
      <c r="S388" s="322"/>
      <c r="T388" s="322"/>
      <c r="U388" s="322"/>
      <c r="V388" s="322"/>
      <c r="W388" s="322"/>
      <c r="X388" s="322"/>
      <c r="Y388" s="322"/>
      <c r="Z388" s="322"/>
      <c r="AA388" s="322"/>
      <c r="AB388" s="322"/>
      <c r="AC388" s="322"/>
      <c r="AD388" s="322"/>
      <c r="AE388" s="322"/>
      <c r="AF388" s="322"/>
      <c r="AG388" s="322"/>
      <c r="AH388" s="322"/>
      <c r="AI388" s="322"/>
      <c r="AJ388" s="322"/>
      <c r="AK388" s="322"/>
    </row>
    <row r="389" spans="1:37" ht="18" customHeight="1">
      <c r="A389" s="322"/>
      <c r="B389" s="322"/>
      <c r="C389" s="451"/>
      <c r="D389" s="322"/>
      <c r="E389" s="322"/>
      <c r="F389" s="322"/>
      <c r="G389" s="322"/>
      <c r="H389" s="322"/>
      <c r="I389" s="322"/>
      <c r="J389" s="322"/>
      <c r="K389" s="322"/>
      <c r="L389" s="322"/>
      <c r="M389" s="322"/>
      <c r="N389" s="322"/>
      <c r="O389" s="322"/>
      <c r="P389" s="322"/>
      <c r="Q389" s="322"/>
      <c r="R389" s="322"/>
      <c r="S389" s="322"/>
      <c r="T389" s="322"/>
      <c r="U389" s="322"/>
      <c r="V389" s="322"/>
      <c r="W389" s="322"/>
      <c r="X389" s="322"/>
      <c r="Y389" s="322"/>
      <c r="Z389" s="322"/>
      <c r="AA389" s="322"/>
      <c r="AB389" s="322"/>
      <c r="AC389" s="322"/>
      <c r="AD389" s="322"/>
      <c r="AE389" s="322"/>
      <c r="AF389" s="322"/>
      <c r="AG389" s="322"/>
      <c r="AH389" s="322"/>
      <c r="AI389" s="322"/>
      <c r="AJ389" s="322"/>
      <c r="AK389" s="322"/>
    </row>
    <row r="390" spans="1:37" ht="18" customHeight="1">
      <c r="A390" s="322"/>
      <c r="B390" s="322"/>
      <c r="C390" s="451"/>
      <c r="D390" s="322"/>
      <c r="E390" s="322"/>
      <c r="F390" s="322"/>
      <c r="G390" s="322"/>
      <c r="H390" s="322"/>
      <c r="I390" s="322"/>
      <c r="J390" s="322"/>
      <c r="K390" s="322"/>
      <c r="L390" s="322"/>
      <c r="M390" s="322"/>
      <c r="N390" s="322"/>
      <c r="O390" s="322"/>
      <c r="P390" s="322"/>
      <c r="Q390" s="322"/>
      <c r="R390" s="322"/>
      <c r="S390" s="322"/>
      <c r="T390" s="322"/>
      <c r="U390" s="322"/>
      <c r="V390" s="322"/>
      <c r="W390" s="322"/>
      <c r="X390" s="322"/>
      <c r="Y390" s="322"/>
      <c r="Z390" s="322"/>
      <c r="AA390" s="322"/>
      <c r="AB390" s="322"/>
      <c r="AC390" s="322"/>
      <c r="AD390" s="322"/>
      <c r="AE390" s="322"/>
      <c r="AF390" s="322"/>
      <c r="AG390" s="322"/>
      <c r="AH390" s="322"/>
      <c r="AI390" s="322"/>
      <c r="AJ390" s="322"/>
      <c r="AK390" s="322"/>
    </row>
    <row r="391" spans="1:37" ht="18" customHeight="1">
      <c r="A391" s="322"/>
      <c r="B391" s="322"/>
      <c r="C391" s="451"/>
      <c r="D391" s="322"/>
      <c r="E391" s="322"/>
      <c r="F391" s="322"/>
      <c r="G391" s="322"/>
      <c r="H391" s="322"/>
      <c r="I391" s="322"/>
      <c r="J391" s="322"/>
      <c r="K391" s="322"/>
      <c r="L391" s="322"/>
      <c r="M391" s="322"/>
      <c r="N391" s="322"/>
      <c r="O391" s="322"/>
      <c r="P391" s="322"/>
      <c r="Q391" s="322"/>
      <c r="R391" s="322"/>
      <c r="S391" s="322"/>
      <c r="T391" s="322"/>
      <c r="U391" s="322"/>
      <c r="V391" s="322"/>
      <c r="W391" s="322"/>
      <c r="X391" s="322"/>
      <c r="Y391" s="322"/>
      <c r="Z391" s="322"/>
      <c r="AA391" s="322"/>
      <c r="AB391" s="322"/>
      <c r="AC391" s="322"/>
      <c r="AD391" s="322"/>
      <c r="AE391" s="322"/>
      <c r="AF391" s="322"/>
      <c r="AG391" s="322"/>
      <c r="AH391" s="322"/>
      <c r="AI391" s="322"/>
      <c r="AJ391" s="322"/>
      <c r="AK391" s="322"/>
    </row>
    <row r="392" spans="1:37" ht="18" customHeight="1">
      <c r="A392" s="322"/>
      <c r="B392" s="322"/>
      <c r="C392" s="451"/>
      <c r="D392" s="322"/>
      <c r="E392" s="322"/>
      <c r="F392" s="322"/>
      <c r="G392" s="322"/>
      <c r="H392" s="322"/>
      <c r="I392" s="322"/>
      <c r="J392" s="322"/>
      <c r="K392" s="322"/>
      <c r="L392" s="322"/>
      <c r="M392" s="322"/>
      <c r="N392" s="322"/>
      <c r="O392" s="322"/>
      <c r="P392" s="322"/>
      <c r="Q392" s="322"/>
      <c r="R392" s="322"/>
      <c r="S392" s="322"/>
      <c r="T392" s="322"/>
      <c r="U392" s="322"/>
      <c r="V392" s="322"/>
      <c r="W392" s="322"/>
      <c r="X392" s="322"/>
      <c r="Y392" s="322"/>
      <c r="Z392" s="322"/>
      <c r="AA392" s="322"/>
      <c r="AB392" s="322"/>
      <c r="AC392" s="322"/>
      <c r="AD392" s="322"/>
      <c r="AE392" s="322"/>
      <c r="AF392" s="322"/>
      <c r="AG392" s="322"/>
      <c r="AH392" s="322"/>
      <c r="AI392" s="322"/>
      <c r="AJ392" s="322"/>
      <c r="AK392" s="322"/>
    </row>
    <row r="393" spans="1:37" ht="18" customHeight="1">
      <c r="A393" s="322"/>
      <c r="B393" s="322"/>
      <c r="C393" s="451"/>
      <c r="D393" s="322"/>
      <c r="E393" s="322"/>
      <c r="F393" s="322"/>
      <c r="G393" s="322"/>
      <c r="H393" s="322"/>
      <c r="I393" s="322"/>
      <c r="J393" s="322"/>
      <c r="K393" s="322"/>
      <c r="L393" s="322"/>
      <c r="M393" s="322"/>
      <c r="N393" s="322"/>
      <c r="O393" s="322"/>
      <c r="P393" s="322"/>
      <c r="Q393" s="322"/>
      <c r="R393" s="322"/>
      <c r="S393" s="322"/>
      <c r="T393" s="322"/>
      <c r="U393" s="322"/>
      <c r="V393" s="322"/>
      <c r="W393" s="322"/>
      <c r="X393" s="322"/>
      <c r="Y393" s="322"/>
      <c r="Z393" s="322"/>
      <c r="AA393" s="322"/>
      <c r="AB393" s="322"/>
      <c r="AC393" s="322"/>
      <c r="AD393" s="322"/>
      <c r="AE393" s="322"/>
      <c r="AF393" s="322"/>
      <c r="AG393" s="322"/>
      <c r="AH393" s="322"/>
      <c r="AI393" s="322"/>
      <c r="AJ393" s="322"/>
      <c r="AK393" s="322"/>
    </row>
    <row r="394" spans="1:37" ht="18" customHeight="1">
      <c r="A394" s="322"/>
      <c r="B394" s="322"/>
      <c r="C394" s="451"/>
      <c r="D394" s="322"/>
      <c r="E394" s="322"/>
      <c r="F394" s="322"/>
      <c r="G394" s="322"/>
      <c r="H394" s="322"/>
      <c r="I394" s="322"/>
      <c r="J394" s="322"/>
      <c r="K394" s="322"/>
      <c r="L394" s="322"/>
      <c r="M394" s="322"/>
      <c r="N394" s="322"/>
      <c r="O394" s="322"/>
      <c r="P394" s="322"/>
      <c r="Q394" s="322"/>
      <c r="R394" s="322"/>
      <c r="S394" s="322"/>
      <c r="T394" s="322"/>
      <c r="U394" s="322"/>
      <c r="V394" s="322"/>
      <c r="W394" s="322"/>
      <c r="X394" s="322"/>
      <c r="Y394" s="322"/>
      <c r="Z394" s="322"/>
      <c r="AA394" s="322"/>
      <c r="AB394" s="322"/>
      <c r="AC394" s="322"/>
      <c r="AD394" s="322"/>
      <c r="AE394" s="322"/>
      <c r="AF394" s="322"/>
      <c r="AG394" s="322"/>
      <c r="AH394" s="322"/>
      <c r="AI394" s="322"/>
      <c r="AJ394" s="322"/>
      <c r="AK394" s="322"/>
    </row>
    <row r="395" spans="1:37" ht="18" customHeight="1">
      <c r="A395" s="322"/>
      <c r="B395" s="322"/>
      <c r="C395" s="451"/>
      <c r="D395" s="322"/>
      <c r="E395" s="322"/>
      <c r="F395" s="322"/>
      <c r="G395" s="322"/>
      <c r="H395" s="322"/>
      <c r="I395" s="322"/>
      <c r="J395" s="322"/>
      <c r="K395" s="322"/>
      <c r="L395" s="322"/>
      <c r="M395" s="322"/>
      <c r="N395" s="322"/>
      <c r="O395" s="322"/>
      <c r="P395" s="322"/>
      <c r="Q395" s="322"/>
      <c r="R395" s="322"/>
      <c r="S395" s="322"/>
      <c r="T395" s="322"/>
      <c r="U395" s="322"/>
      <c r="V395" s="322"/>
      <c r="W395" s="322"/>
      <c r="X395" s="322"/>
      <c r="Y395" s="322"/>
      <c r="Z395" s="322"/>
      <c r="AA395" s="322"/>
      <c r="AB395" s="322"/>
      <c r="AC395" s="322"/>
      <c r="AD395" s="322"/>
      <c r="AE395" s="322"/>
      <c r="AF395" s="322"/>
      <c r="AG395" s="322"/>
      <c r="AH395" s="322"/>
      <c r="AI395" s="322"/>
      <c r="AJ395" s="322"/>
      <c r="AK395" s="322"/>
    </row>
    <row r="396" spans="1:37" ht="18" customHeight="1">
      <c r="A396" s="322"/>
      <c r="B396" s="322"/>
      <c r="C396" s="451"/>
      <c r="D396" s="322"/>
      <c r="E396" s="322"/>
      <c r="F396" s="322"/>
      <c r="G396" s="322"/>
      <c r="H396" s="322"/>
      <c r="I396" s="322"/>
      <c r="J396" s="322"/>
      <c r="K396" s="322"/>
      <c r="L396" s="322"/>
      <c r="M396" s="322"/>
      <c r="N396" s="322"/>
      <c r="O396" s="322"/>
      <c r="P396" s="322"/>
      <c r="Q396" s="322"/>
      <c r="R396" s="322"/>
      <c r="S396" s="322"/>
      <c r="T396" s="322"/>
      <c r="U396" s="322"/>
      <c r="V396" s="322"/>
      <c r="W396" s="322"/>
      <c r="X396" s="322"/>
      <c r="Y396" s="322"/>
      <c r="Z396" s="322"/>
      <c r="AA396" s="322"/>
      <c r="AB396" s="322"/>
      <c r="AC396" s="322"/>
      <c r="AD396" s="322"/>
      <c r="AE396" s="322"/>
      <c r="AF396" s="322"/>
      <c r="AG396" s="322"/>
      <c r="AH396" s="322"/>
      <c r="AI396" s="322"/>
      <c r="AJ396" s="322"/>
      <c r="AK396" s="322"/>
    </row>
    <row r="397" spans="1:37" ht="18" customHeight="1">
      <c r="A397" s="322"/>
      <c r="B397" s="322"/>
      <c r="C397" s="451"/>
      <c r="D397" s="322"/>
      <c r="E397" s="322"/>
      <c r="F397" s="322"/>
      <c r="G397" s="322"/>
      <c r="H397" s="322"/>
      <c r="I397" s="322"/>
      <c r="J397" s="322"/>
      <c r="K397" s="322"/>
      <c r="L397" s="322"/>
      <c r="M397" s="322"/>
      <c r="N397" s="322"/>
      <c r="O397" s="322"/>
      <c r="P397" s="322"/>
      <c r="Q397" s="322"/>
      <c r="R397" s="322"/>
      <c r="S397" s="322"/>
      <c r="T397" s="322"/>
      <c r="U397" s="322"/>
      <c r="V397" s="322"/>
      <c r="W397" s="322"/>
      <c r="X397" s="322"/>
      <c r="Y397" s="322"/>
      <c r="Z397" s="322"/>
      <c r="AA397" s="322"/>
      <c r="AB397" s="322"/>
      <c r="AC397" s="322"/>
      <c r="AD397" s="322"/>
      <c r="AE397" s="322"/>
      <c r="AF397" s="322"/>
      <c r="AG397" s="322"/>
      <c r="AH397" s="322"/>
      <c r="AI397" s="322"/>
      <c r="AJ397" s="322"/>
      <c r="AK397" s="322"/>
    </row>
    <row r="398" spans="1:37" ht="18" customHeight="1">
      <c r="A398" s="322"/>
      <c r="B398" s="322"/>
      <c r="C398" s="451"/>
      <c r="D398" s="322"/>
      <c r="E398" s="322"/>
      <c r="F398" s="322"/>
      <c r="G398" s="322"/>
      <c r="H398" s="322"/>
      <c r="I398" s="322"/>
      <c r="J398" s="322"/>
      <c r="K398" s="322"/>
      <c r="L398" s="322"/>
      <c r="M398" s="322"/>
      <c r="N398" s="322"/>
      <c r="O398" s="322"/>
      <c r="P398" s="322"/>
      <c r="Q398" s="322"/>
      <c r="R398" s="322"/>
      <c r="S398" s="322"/>
      <c r="T398" s="322"/>
      <c r="U398" s="322"/>
      <c r="V398" s="322"/>
      <c r="W398" s="322"/>
      <c r="X398" s="322"/>
      <c r="Y398" s="322"/>
      <c r="Z398" s="322"/>
      <c r="AA398" s="322"/>
      <c r="AB398" s="322"/>
      <c r="AC398" s="322"/>
      <c r="AD398" s="322"/>
      <c r="AE398" s="322"/>
      <c r="AF398" s="322"/>
      <c r="AG398" s="322"/>
      <c r="AH398" s="322"/>
      <c r="AI398" s="322"/>
      <c r="AJ398" s="322"/>
      <c r="AK398" s="322"/>
    </row>
    <row r="399" spans="1:37" ht="18" customHeight="1">
      <c r="A399" s="322"/>
      <c r="B399" s="322"/>
      <c r="C399" s="451"/>
      <c r="D399" s="322"/>
      <c r="E399" s="322"/>
      <c r="F399" s="322"/>
      <c r="G399" s="322"/>
      <c r="H399" s="322"/>
      <c r="I399" s="322"/>
      <c r="J399" s="322"/>
      <c r="K399" s="322"/>
      <c r="L399" s="322"/>
      <c r="M399" s="322"/>
      <c r="N399" s="322"/>
      <c r="O399" s="322"/>
      <c r="P399" s="322"/>
      <c r="Q399" s="322"/>
      <c r="R399" s="322"/>
      <c r="S399" s="322"/>
      <c r="T399" s="322"/>
      <c r="U399" s="322"/>
      <c r="V399" s="322"/>
      <c r="W399" s="322"/>
      <c r="X399" s="322"/>
      <c r="Y399" s="322"/>
      <c r="Z399" s="322"/>
      <c r="AA399" s="322"/>
      <c r="AB399" s="322"/>
      <c r="AC399" s="322"/>
      <c r="AD399" s="322"/>
      <c r="AE399" s="322"/>
      <c r="AF399" s="322"/>
      <c r="AG399" s="322"/>
      <c r="AH399" s="322"/>
      <c r="AI399" s="322"/>
      <c r="AJ399" s="322"/>
      <c r="AK399" s="322"/>
    </row>
    <row r="400" spans="1:37" ht="18" customHeight="1">
      <c r="A400" s="322"/>
      <c r="B400" s="322"/>
      <c r="C400" s="451"/>
      <c r="D400" s="322"/>
      <c r="E400" s="322"/>
      <c r="F400" s="322"/>
      <c r="G400" s="322"/>
      <c r="H400" s="322"/>
      <c r="I400" s="322"/>
      <c r="J400" s="322"/>
      <c r="K400" s="322"/>
      <c r="L400" s="322"/>
      <c r="M400" s="322"/>
      <c r="N400" s="322"/>
      <c r="O400" s="322"/>
      <c r="P400" s="322"/>
      <c r="Q400" s="322"/>
      <c r="R400" s="322"/>
      <c r="S400" s="322"/>
      <c r="T400" s="322"/>
      <c r="U400" s="322"/>
      <c r="V400" s="322"/>
      <c r="W400" s="322"/>
      <c r="X400" s="322"/>
      <c r="Y400" s="322"/>
      <c r="Z400" s="322"/>
      <c r="AA400" s="322"/>
      <c r="AB400" s="322"/>
      <c r="AC400" s="322"/>
      <c r="AD400" s="322"/>
      <c r="AE400" s="322"/>
      <c r="AF400" s="322"/>
      <c r="AG400" s="322"/>
      <c r="AH400" s="322"/>
      <c r="AI400" s="322"/>
      <c r="AJ400" s="322"/>
      <c r="AK400" s="322"/>
    </row>
    <row r="401" spans="1:37" ht="18" customHeight="1">
      <c r="A401" s="322"/>
      <c r="B401" s="322"/>
      <c r="C401" s="451"/>
      <c r="D401" s="322"/>
      <c r="E401" s="322"/>
      <c r="F401" s="322"/>
      <c r="G401" s="322"/>
      <c r="H401" s="322"/>
      <c r="I401" s="322"/>
      <c r="J401" s="322"/>
      <c r="K401" s="322"/>
      <c r="L401" s="322"/>
      <c r="M401" s="322"/>
      <c r="N401" s="322"/>
      <c r="O401" s="322"/>
      <c r="P401" s="322"/>
      <c r="Q401" s="322"/>
      <c r="R401" s="322"/>
      <c r="S401" s="322"/>
      <c r="T401" s="322"/>
      <c r="U401" s="322"/>
      <c r="V401" s="322"/>
      <c r="W401" s="322"/>
      <c r="X401" s="322"/>
      <c r="Y401" s="322"/>
      <c r="Z401" s="322"/>
      <c r="AA401" s="322"/>
      <c r="AB401" s="322"/>
      <c r="AC401" s="322"/>
      <c r="AD401" s="322"/>
      <c r="AE401" s="322"/>
      <c r="AF401" s="322"/>
      <c r="AG401" s="322"/>
      <c r="AH401" s="322"/>
      <c r="AI401" s="322"/>
      <c r="AJ401" s="322"/>
      <c r="AK401" s="322"/>
    </row>
    <row r="402" spans="1:37" ht="18" customHeight="1">
      <c r="A402" s="322"/>
      <c r="B402" s="322"/>
      <c r="C402" s="451"/>
      <c r="D402" s="322"/>
      <c r="E402" s="322"/>
      <c r="F402" s="322"/>
      <c r="G402" s="322"/>
      <c r="H402" s="322"/>
      <c r="I402" s="322"/>
      <c r="J402" s="322"/>
      <c r="K402" s="322"/>
      <c r="L402" s="322"/>
      <c r="M402" s="322"/>
      <c r="N402" s="322"/>
      <c r="O402" s="322"/>
      <c r="P402" s="322"/>
      <c r="Q402" s="322"/>
      <c r="R402" s="322"/>
      <c r="S402" s="322"/>
      <c r="T402" s="322"/>
      <c r="U402" s="322"/>
      <c r="V402" s="322"/>
      <c r="W402" s="322"/>
      <c r="X402" s="322"/>
      <c r="Y402" s="322"/>
      <c r="Z402" s="322"/>
      <c r="AA402" s="322"/>
      <c r="AB402" s="322"/>
      <c r="AC402" s="322"/>
      <c r="AD402" s="322"/>
      <c r="AE402" s="322"/>
      <c r="AF402" s="322"/>
      <c r="AG402" s="322"/>
      <c r="AH402" s="322"/>
      <c r="AI402" s="322"/>
      <c r="AJ402" s="322"/>
      <c r="AK402" s="322"/>
    </row>
    <row r="403" spans="1:37" ht="18" customHeight="1">
      <c r="A403" s="322"/>
      <c r="B403" s="322"/>
      <c r="C403" s="451"/>
      <c r="D403" s="322"/>
      <c r="E403" s="322"/>
      <c r="F403" s="322"/>
      <c r="G403" s="322"/>
      <c r="H403" s="322"/>
      <c r="I403" s="322"/>
      <c r="J403" s="322"/>
      <c r="K403" s="322"/>
      <c r="L403" s="322"/>
      <c r="M403" s="322"/>
      <c r="N403" s="322"/>
      <c r="O403" s="322"/>
      <c r="P403" s="322"/>
      <c r="Q403" s="322"/>
      <c r="R403" s="322"/>
      <c r="S403" s="322"/>
      <c r="T403" s="322"/>
      <c r="U403" s="322"/>
      <c r="V403" s="322"/>
      <c r="W403" s="322"/>
      <c r="X403" s="322"/>
      <c r="Y403" s="322"/>
      <c r="Z403" s="322"/>
      <c r="AA403" s="322"/>
      <c r="AB403" s="322"/>
      <c r="AC403" s="322"/>
      <c r="AD403" s="322"/>
      <c r="AE403" s="322"/>
      <c r="AF403" s="322"/>
      <c r="AG403" s="322"/>
      <c r="AH403" s="322"/>
      <c r="AI403" s="322"/>
      <c r="AJ403" s="322"/>
      <c r="AK403" s="322"/>
    </row>
    <row r="404" spans="1:37" ht="18" customHeight="1">
      <c r="A404" s="322"/>
      <c r="B404" s="322"/>
      <c r="C404" s="451"/>
      <c r="D404" s="322"/>
      <c r="E404" s="322"/>
      <c r="F404" s="322"/>
      <c r="G404" s="322"/>
      <c r="H404" s="322"/>
      <c r="I404" s="322"/>
      <c r="J404" s="322"/>
      <c r="K404" s="322"/>
      <c r="L404" s="322"/>
      <c r="M404" s="322"/>
      <c r="N404" s="322"/>
      <c r="O404" s="322"/>
      <c r="P404" s="322"/>
      <c r="Q404" s="322"/>
      <c r="R404" s="322"/>
      <c r="S404" s="322"/>
      <c r="T404" s="322"/>
      <c r="U404" s="322"/>
      <c r="V404" s="322"/>
      <c r="W404" s="322"/>
      <c r="X404" s="322"/>
      <c r="Y404" s="322"/>
      <c r="Z404" s="322"/>
      <c r="AA404" s="322"/>
      <c r="AB404" s="322"/>
      <c r="AC404" s="322"/>
      <c r="AD404" s="322"/>
      <c r="AE404" s="322"/>
      <c r="AF404" s="322"/>
      <c r="AG404" s="322"/>
      <c r="AH404" s="322"/>
      <c r="AI404" s="322"/>
      <c r="AJ404" s="322"/>
      <c r="AK404" s="322"/>
    </row>
    <row r="405" spans="1:37" ht="18" customHeight="1">
      <c r="A405" s="322"/>
      <c r="B405" s="322"/>
      <c r="C405" s="451"/>
      <c r="D405" s="322"/>
      <c r="E405" s="322"/>
      <c r="F405" s="322"/>
      <c r="G405" s="322"/>
      <c r="H405" s="322"/>
      <c r="I405" s="322"/>
      <c r="J405" s="322"/>
      <c r="K405" s="322"/>
      <c r="L405" s="322"/>
      <c r="M405" s="322"/>
      <c r="N405" s="322"/>
      <c r="O405" s="322"/>
      <c r="P405" s="322"/>
      <c r="Q405" s="322"/>
      <c r="R405" s="322"/>
      <c r="S405" s="322"/>
      <c r="T405" s="322"/>
      <c r="U405" s="322"/>
      <c r="V405" s="322"/>
      <c r="W405" s="322"/>
      <c r="X405" s="322"/>
      <c r="Y405" s="322"/>
      <c r="Z405" s="322"/>
      <c r="AA405" s="322"/>
      <c r="AB405" s="322"/>
      <c r="AC405" s="322"/>
      <c r="AD405" s="322"/>
      <c r="AE405" s="322"/>
      <c r="AF405" s="322"/>
      <c r="AG405" s="322"/>
      <c r="AH405" s="322"/>
      <c r="AI405" s="322"/>
      <c r="AJ405" s="322"/>
      <c r="AK405" s="322"/>
    </row>
    <row r="406" spans="1:37" ht="18" customHeight="1">
      <c r="A406" s="322"/>
      <c r="B406" s="322"/>
      <c r="C406" s="451"/>
      <c r="D406" s="322"/>
      <c r="E406" s="322"/>
      <c r="F406" s="322"/>
      <c r="G406" s="322"/>
      <c r="H406" s="322"/>
      <c r="I406" s="322"/>
      <c r="J406" s="322"/>
      <c r="K406" s="322"/>
      <c r="L406" s="322"/>
      <c r="M406" s="322"/>
      <c r="N406" s="322"/>
      <c r="O406" s="322"/>
      <c r="P406" s="322"/>
      <c r="Q406" s="322"/>
      <c r="R406" s="322"/>
      <c r="S406" s="322"/>
      <c r="T406" s="322"/>
      <c r="U406" s="322"/>
      <c r="V406" s="322"/>
      <c r="W406" s="322"/>
      <c r="X406" s="322"/>
      <c r="Y406" s="322"/>
      <c r="Z406" s="322"/>
      <c r="AA406" s="322"/>
      <c r="AB406" s="322"/>
      <c r="AC406" s="322"/>
      <c r="AD406" s="322"/>
      <c r="AE406" s="322"/>
      <c r="AF406" s="322"/>
      <c r="AG406" s="322"/>
      <c r="AH406" s="322"/>
      <c r="AI406" s="322"/>
      <c r="AJ406" s="322"/>
      <c r="AK406" s="322"/>
    </row>
    <row r="407" spans="1:37" ht="18" customHeight="1">
      <c r="A407" s="322"/>
      <c r="B407" s="322"/>
      <c r="C407" s="451"/>
      <c r="D407" s="322"/>
      <c r="E407" s="322"/>
      <c r="F407" s="322"/>
      <c r="G407" s="322"/>
      <c r="H407" s="322"/>
      <c r="I407" s="322"/>
      <c r="J407" s="322"/>
      <c r="K407" s="322"/>
      <c r="L407" s="322"/>
      <c r="M407" s="322"/>
      <c r="N407" s="322"/>
      <c r="O407" s="322"/>
      <c r="P407" s="322"/>
      <c r="Q407" s="322"/>
      <c r="R407" s="322"/>
      <c r="S407" s="322"/>
      <c r="T407" s="322"/>
      <c r="U407" s="322"/>
      <c r="V407" s="322"/>
      <c r="W407" s="322"/>
      <c r="X407" s="322"/>
      <c r="Y407" s="322"/>
      <c r="Z407" s="322"/>
      <c r="AA407" s="322"/>
      <c r="AB407" s="322"/>
      <c r="AC407" s="322"/>
      <c r="AD407" s="322"/>
      <c r="AE407" s="322"/>
      <c r="AF407" s="322"/>
      <c r="AG407" s="322"/>
      <c r="AH407" s="322"/>
      <c r="AI407" s="322"/>
      <c r="AJ407" s="322"/>
      <c r="AK407" s="322"/>
    </row>
    <row r="408" spans="1:37" ht="18" customHeight="1">
      <c r="A408" s="322"/>
      <c r="B408" s="322"/>
      <c r="C408" s="451"/>
      <c r="D408" s="322"/>
      <c r="E408" s="322"/>
      <c r="F408" s="322"/>
      <c r="G408" s="322"/>
      <c r="H408" s="322"/>
      <c r="I408" s="322"/>
      <c r="J408" s="322"/>
      <c r="K408" s="322"/>
      <c r="L408" s="322"/>
      <c r="M408" s="322"/>
      <c r="N408" s="322"/>
      <c r="O408" s="322"/>
      <c r="P408" s="322"/>
      <c r="Q408" s="322"/>
      <c r="R408" s="322"/>
      <c r="S408" s="322"/>
      <c r="T408" s="322"/>
      <c r="U408" s="322"/>
      <c r="V408" s="322"/>
      <c r="W408" s="322"/>
      <c r="X408" s="322"/>
      <c r="Y408" s="322"/>
      <c r="Z408" s="322"/>
      <c r="AA408" s="322"/>
      <c r="AB408" s="322"/>
      <c r="AC408" s="322"/>
      <c r="AD408" s="322"/>
      <c r="AE408" s="322"/>
      <c r="AF408" s="322"/>
      <c r="AG408" s="322"/>
      <c r="AH408" s="322"/>
      <c r="AI408" s="322"/>
      <c r="AJ408" s="322"/>
      <c r="AK408" s="322"/>
    </row>
    <row r="409" spans="1:37" ht="18" customHeight="1">
      <c r="A409" s="322"/>
      <c r="B409" s="322"/>
      <c r="C409" s="451"/>
      <c r="D409" s="322"/>
      <c r="E409" s="322"/>
      <c r="F409" s="322"/>
      <c r="G409" s="322"/>
      <c r="H409" s="322"/>
      <c r="I409" s="322"/>
      <c r="J409" s="322"/>
      <c r="K409" s="322"/>
      <c r="L409" s="322"/>
      <c r="M409" s="322"/>
      <c r="N409" s="322"/>
      <c r="O409" s="322"/>
      <c r="P409" s="322"/>
      <c r="Q409" s="322"/>
      <c r="R409" s="322"/>
      <c r="S409" s="322"/>
      <c r="T409" s="322"/>
      <c r="U409" s="322"/>
      <c r="V409" s="322"/>
      <c r="W409" s="322"/>
      <c r="X409" s="322"/>
      <c r="Y409" s="322"/>
      <c r="Z409" s="322"/>
      <c r="AA409" s="322"/>
      <c r="AB409" s="322"/>
      <c r="AC409" s="322"/>
      <c r="AD409" s="322"/>
      <c r="AE409" s="322"/>
      <c r="AF409" s="322"/>
      <c r="AG409" s="322"/>
      <c r="AH409" s="322"/>
      <c r="AI409" s="322"/>
      <c r="AJ409" s="322"/>
      <c r="AK409" s="322"/>
    </row>
    <row r="410" spans="1:37" ht="18" customHeight="1">
      <c r="A410" s="322"/>
      <c r="B410" s="322"/>
      <c r="C410" s="451"/>
      <c r="D410" s="322"/>
      <c r="E410" s="322"/>
      <c r="F410" s="322"/>
      <c r="G410" s="322"/>
      <c r="H410" s="322"/>
      <c r="I410" s="322"/>
      <c r="J410" s="322"/>
      <c r="K410" s="322"/>
      <c r="L410" s="322"/>
      <c r="M410" s="322"/>
      <c r="N410" s="322"/>
      <c r="O410" s="322"/>
      <c r="P410" s="322"/>
      <c r="Q410" s="322"/>
      <c r="R410" s="322"/>
      <c r="S410" s="322"/>
      <c r="T410" s="322"/>
      <c r="U410" s="322"/>
      <c r="V410" s="322"/>
      <c r="W410" s="322"/>
      <c r="X410" s="322"/>
      <c r="Y410" s="322"/>
      <c r="Z410" s="322"/>
      <c r="AA410" s="322"/>
      <c r="AB410" s="322"/>
      <c r="AC410" s="322"/>
      <c r="AD410" s="322"/>
      <c r="AE410" s="322"/>
      <c r="AF410" s="322"/>
      <c r="AG410" s="322"/>
      <c r="AH410" s="322"/>
      <c r="AI410" s="322"/>
      <c r="AJ410" s="322"/>
      <c r="AK410" s="322"/>
    </row>
    <row r="411" spans="1:37" ht="18" customHeight="1">
      <c r="A411" s="322"/>
      <c r="B411" s="322"/>
      <c r="C411" s="451"/>
      <c r="D411" s="322"/>
      <c r="E411" s="322"/>
      <c r="F411" s="322"/>
      <c r="G411" s="322"/>
      <c r="H411" s="322"/>
      <c r="I411" s="322"/>
      <c r="J411" s="322"/>
      <c r="K411" s="322"/>
      <c r="L411" s="322"/>
      <c r="M411" s="322"/>
      <c r="N411" s="322"/>
      <c r="O411" s="322"/>
      <c r="P411" s="322"/>
      <c r="Q411" s="322"/>
      <c r="R411" s="322"/>
      <c r="S411" s="322"/>
      <c r="T411" s="322"/>
      <c r="U411" s="322"/>
      <c r="V411" s="322"/>
      <c r="W411" s="322"/>
      <c r="X411" s="322"/>
      <c r="Y411" s="322"/>
      <c r="Z411" s="322"/>
      <c r="AA411" s="322"/>
      <c r="AB411" s="322"/>
      <c r="AC411" s="322"/>
      <c r="AD411" s="322"/>
      <c r="AE411" s="322"/>
      <c r="AF411" s="322"/>
      <c r="AG411" s="322"/>
      <c r="AH411" s="322"/>
      <c r="AI411" s="322"/>
      <c r="AJ411" s="322"/>
      <c r="AK411" s="322"/>
    </row>
    <row r="412" spans="1:37" ht="18" customHeight="1">
      <c r="A412" s="322"/>
      <c r="B412" s="322"/>
      <c r="C412" s="451"/>
      <c r="D412" s="322"/>
      <c r="E412" s="322"/>
      <c r="F412" s="322"/>
      <c r="G412" s="322"/>
      <c r="H412" s="322"/>
      <c r="I412" s="322"/>
      <c r="J412" s="322"/>
      <c r="K412" s="322"/>
      <c r="L412" s="322"/>
      <c r="M412" s="322"/>
      <c r="N412" s="322"/>
      <c r="O412" s="322"/>
      <c r="P412" s="322"/>
      <c r="Q412" s="322"/>
      <c r="R412" s="322"/>
      <c r="S412" s="322"/>
      <c r="T412" s="322"/>
      <c r="U412" s="322"/>
      <c r="V412" s="322"/>
      <c r="W412" s="322"/>
      <c r="X412" s="322"/>
      <c r="Y412" s="322"/>
      <c r="Z412" s="322"/>
      <c r="AA412" s="322"/>
      <c r="AB412" s="322"/>
      <c r="AC412" s="322"/>
      <c r="AD412" s="322"/>
      <c r="AE412" s="322"/>
      <c r="AF412" s="322"/>
      <c r="AG412" s="322"/>
      <c r="AH412" s="322"/>
      <c r="AI412" s="322"/>
      <c r="AJ412" s="322"/>
      <c r="AK412" s="322"/>
    </row>
    <row r="413" spans="1:37" ht="18" customHeight="1">
      <c r="A413" s="322"/>
      <c r="B413" s="322"/>
      <c r="C413" s="451"/>
      <c r="D413" s="322"/>
      <c r="E413" s="322"/>
      <c r="F413" s="322"/>
      <c r="G413" s="322"/>
      <c r="H413" s="322"/>
      <c r="I413" s="322"/>
      <c r="J413" s="322"/>
      <c r="K413" s="322"/>
      <c r="L413" s="322"/>
      <c r="M413" s="322"/>
      <c r="N413" s="322"/>
      <c r="O413" s="322"/>
      <c r="P413" s="322"/>
      <c r="Q413" s="322"/>
      <c r="R413" s="322"/>
      <c r="S413" s="322"/>
      <c r="T413" s="322"/>
      <c r="U413" s="322"/>
      <c r="V413" s="322"/>
      <c r="W413" s="322"/>
      <c r="X413" s="322"/>
      <c r="Y413" s="322"/>
      <c r="Z413" s="322"/>
      <c r="AA413" s="322"/>
      <c r="AB413" s="322"/>
      <c r="AC413" s="322"/>
      <c r="AD413" s="322"/>
      <c r="AE413" s="322"/>
      <c r="AF413" s="322"/>
      <c r="AG413" s="322"/>
      <c r="AH413" s="322"/>
      <c r="AI413" s="322"/>
      <c r="AJ413" s="322"/>
      <c r="AK413" s="322"/>
    </row>
    <row r="414" spans="1:37" ht="18" customHeight="1">
      <c r="A414" s="322"/>
      <c r="B414" s="322"/>
      <c r="C414" s="451"/>
      <c r="D414" s="322"/>
      <c r="E414" s="322"/>
      <c r="F414" s="322"/>
      <c r="G414" s="322"/>
      <c r="H414" s="322"/>
      <c r="I414" s="322"/>
      <c r="J414" s="322"/>
      <c r="K414" s="322"/>
      <c r="L414" s="322"/>
      <c r="M414" s="322"/>
      <c r="N414" s="322"/>
      <c r="O414" s="322"/>
      <c r="P414" s="322"/>
      <c r="Q414" s="322"/>
      <c r="R414" s="322"/>
      <c r="S414" s="322"/>
      <c r="T414" s="322"/>
      <c r="U414" s="322"/>
      <c r="V414" s="322"/>
      <c r="W414" s="322"/>
      <c r="X414" s="322"/>
      <c r="Y414" s="322"/>
      <c r="Z414" s="322"/>
      <c r="AA414" s="322"/>
      <c r="AB414" s="322"/>
      <c r="AC414" s="322"/>
      <c r="AD414" s="322"/>
      <c r="AE414" s="322"/>
      <c r="AF414" s="322"/>
      <c r="AG414" s="322"/>
      <c r="AH414" s="322"/>
      <c r="AI414" s="322"/>
      <c r="AJ414" s="322"/>
      <c r="AK414" s="322"/>
    </row>
    <row r="415" spans="1:37" ht="18" customHeight="1">
      <c r="A415" s="322"/>
      <c r="B415" s="322"/>
      <c r="C415" s="451"/>
      <c r="D415" s="322"/>
      <c r="E415" s="322"/>
      <c r="F415" s="322"/>
      <c r="G415" s="322"/>
      <c r="H415" s="322"/>
      <c r="I415" s="322"/>
      <c r="J415" s="322"/>
      <c r="K415" s="322"/>
      <c r="L415" s="322"/>
      <c r="M415" s="322"/>
      <c r="N415" s="322"/>
      <c r="O415" s="322"/>
      <c r="P415" s="322"/>
      <c r="Q415" s="322"/>
      <c r="R415" s="322"/>
      <c r="S415" s="322"/>
      <c r="T415" s="322"/>
      <c r="U415" s="322"/>
      <c r="V415" s="322"/>
      <c r="W415" s="322"/>
      <c r="X415" s="322"/>
      <c r="Y415" s="322"/>
      <c r="Z415" s="322"/>
      <c r="AA415" s="322"/>
      <c r="AB415" s="322"/>
      <c r="AC415" s="322"/>
      <c r="AD415" s="322"/>
      <c r="AE415" s="322"/>
      <c r="AF415" s="322"/>
      <c r="AG415" s="322"/>
      <c r="AH415" s="322"/>
      <c r="AI415" s="322"/>
      <c r="AJ415" s="322"/>
      <c r="AK415" s="322"/>
    </row>
    <row r="416" spans="1:37" ht="18" customHeight="1">
      <c r="A416" s="322"/>
      <c r="B416" s="322"/>
      <c r="C416" s="451"/>
      <c r="D416" s="322"/>
      <c r="E416" s="322"/>
      <c r="F416" s="322"/>
      <c r="G416" s="322"/>
      <c r="H416" s="322"/>
      <c r="I416" s="322"/>
      <c r="J416" s="322"/>
      <c r="K416" s="322"/>
      <c r="L416" s="322"/>
      <c r="M416" s="322"/>
      <c r="N416" s="322"/>
      <c r="O416" s="322"/>
      <c r="P416" s="322"/>
      <c r="Q416" s="322"/>
      <c r="R416" s="322"/>
      <c r="S416" s="322"/>
      <c r="T416" s="322"/>
      <c r="U416" s="322"/>
      <c r="V416" s="322"/>
      <c r="W416" s="322"/>
      <c r="X416" s="322"/>
      <c r="Y416" s="322"/>
      <c r="Z416" s="322"/>
      <c r="AA416" s="322"/>
      <c r="AB416" s="322"/>
      <c r="AC416" s="322"/>
      <c r="AD416" s="322"/>
      <c r="AE416" s="322"/>
      <c r="AF416" s="322"/>
      <c r="AG416" s="322"/>
      <c r="AH416" s="322"/>
      <c r="AI416" s="322"/>
      <c r="AJ416" s="322"/>
      <c r="AK416" s="322"/>
    </row>
    <row r="417" spans="1:37" ht="18" customHeight="1">
      <c r="A417" s="322"/>
      <c r="B417" s="322"/>
      <c r="C417" s="451"/>
      <c r="D417" s="322"/>
      <c r="E417" s="322"/>
      <c r="F417" s="322"/>
      <c r="G417" s="322"/>
      <c r="H417" s="322"/>
      <c r="I417" s="322"/>
      <c r="J417" s="322"/>
      <c r="K417" s="322"/>
      <c r="L417" s="322"/>
      <c r="M417" s="322"/>
      <c r="N417" s="322"/>
      <c r="O417" s="322"/>
      <c r="P417" s="322"/>
      <c r="Q417" s="322"/>
      <c r="R417" s="322"/>
      <c r="S417" s="322"/>
      <c r="T417" s="322"/>
      <c r="U417" s="322"/>
      <c r="V417" s="322"/>
      <c r="W417" s="322"/>
      <c r="X417" s="322"/>
      <c r="Y417" s="322"/>
      <c r="Z417" s="322"/>
      <c r="AA417" s="322"/>
      <c r="AB417" s="322"/>
      <c r="AC417" s="322"/>
      <c r="AD417" s="322"/>
      <c r="AE417" s="322"/>
      <c r="AF417" s="322"/>
      <c r="AG417" s="322"/>
      <c r="AH417" s="322"/>
      <c r="AI417" s="322"/>
      <c r="AJ417" s="322"/>
      <c r="AK417" s="322"/>
    </row>
    <row r="418" spans="1:37" ht="18" customHeight="1">
      <c r="A418" s="322"/>
      <c r="B418" s="322"/>
      <c r="C418" s="451"/>
      <c r="D418" s="322"/>
      <c r="E418" s="322"/>
      <c r="F418" s="322"/>
      <c r="G418" s="322"/>
      <c r="H418" s="322"/>
      <c r="I418" s="322"/>
      <c r="J418" s="322"/>
      <c r="K418" s="322"/>
      <c r="L418" s="322"/>
      <c r="M418" s="322"/>
      <c r="N418" s="322"/>
      <c r="O418" s="322"/>
      <c r="P418" s="322"/>
      <c r="Q418" s="322"/>
      <c r="R418" s="322"/>
      <c r="S418" s="322"/>
      <c r="T418" s="322"/>
      <c r="U418" s="322"/>
      <c r="V418" s="322"/>
      <c r="W418" s="322"/>
      <c r="X418" s="322"/>
      <c r="Y418" s="322"/>
      <c r="Z418" s="322"/>
      <c r="AA418" s="322"/>
      <c r="AB418" s="322"/>
      <c r="AC418" s="322"/>
      <c r="AD418" s="322"/>
      <c r="AE418" s="322"/>
      <c r="AF418" s="322"/>
      <c r="AG418" s="322"/>
      <c r="AH418" s="322"/>
      <c r="AI418" s="322"/>
      <c r="AJ418" s="322"/>
      <c r="AK418" s="322"/>
    </row>
    <row r="419" spans="1:37" ht="18" customHeight="1">
      <c r="A419" s="322"/>
      <c r="B419" s="322"/>
      <c r="C419" s="451"/>
      <c r="D419" s="322"/>
      <c r="E419" s="322"/>
      <c r="F419" s="322"/>
      <c r="G419" s="322"/>
      <c r="H419" s="322"/>
      <c r="I419" s="322"/>
      <c r="J419" s="322"/>
      <c r="K419" s="322"/>
      <c r="L419" s="322"/>
      <c r="M419" s="322"/>
      <c r="N419" s="322"/>
      <c r="O419" s="322"/>
      <c r="P419" s="322"/>
      <c r="Q419" s="322"/>
      <c r="R419" s="322"/>
      <c r="S419" s="322"/>
      <c r="T419" s="322"/>
      <c r="U419" s="322"/>
      <c r="V419" s="322"/>
      <c r="W419" s="322"/>
      <c r="X419" s="322"/>
      <c r="Y419" s="322"/>
      <c r="Z419" s="322"/>
      <c r="AA419" s="322"/>
      <c r="AB419" s="322"/>
      <c r="AC419" s="322"/>
      <c r="AD419" s="322"/>
      <c r="AE419" s="322"/>
      <c r="AF419" s="322"/>
      <c r="AG419" s="322"/>
      <c r="AH419" s="322"/>
      <c r="AI419" s="322"/>
      <c r="AJ419" s="322"/>
      <c r="AK419" s="322"/>
    </row>
    <row r="420" spans="1:37" ht="18" customHeight="1">
      <c r="A420" s="322"/>
      <c r="B420" s="322"/>
      <c r="C420" s="451"/>
      <c r="D420" s="322"/>
      <c r="E420" s="322"/>
      <c r="F420" s="322"/>
      <c r="G420" s="322"/>
      <c r="H420" s="322"/>
      <c r="I420" s="322"/>
      <c r="J420" s="322"/>
      <c r="K420" s="322"/>
      <c r="L420" s="322"/>
      <c r="M420" s="322"/>
      <c r="N420" s="322"/>
      <c r="O420" s="322"/>
      <c r="P420" s="322"/>
      <c r="Q420" s="322"/>
      <c r="R420" s="322"/>
      <c r="S420" s="322"/>
      <c r="T420" s="322"/>
      <c r="U420" s="322"/>
      <c r="V420" s="322"/>
      <c r="W420" s="322"/>
      <c r="X420" s="322"/>
      <c r="Y420" s="322"/>
      <c r="Z420" s="322"/>
      <c r="AA420" s="322"/>
      <c r="AB420" s="322"/>
      <c r="AC420" s="322"/>
      <c r="AD420" s="322"/>
      <c r="AE420" s="322"/>
      <c r="AF420" s="322"/>
      <c r="AG420" s="322"/>
      <c r="AH420" s="322"/>
      <c r="AI420" s="322"/>
      <c r="AJ420" s="322"/>
      <c r="AK420" s="322"/>
    </row>
    <row r="421" spans="1:37" ht="18" customHeight="1">
      <c r="A421" s="322"/>
      <c r="B421" s="322"/>
      <c r="C421" s="451"/>
      <c r="D421" s="322"/>
      <c r="E421" s="322"/>
      <c r="F421" s="322"/>
      <c r="G421" s="322"/>
      <c r="H421" s="322"/>
      <c r="I421" s="322"/>
      <c r="J421" s="322"/>
      <c r="K421" s="322"/>
      <c r="L421" s="322"/>
      <c r="M421" s="322"/>
      <c r="N421" s="322"/>
      <c r="O421" s="322"/>
      <c r="P421" s="322"/>
      <c r="Q421" s="322"/>
      <c r="R421" s="322"/>
      <c r="S421" s="322"/>
      <c r="T421" s="322"/>
      <c r="U421" s="322"/>
      <c r="V421" s="322"/>
      <c r="W421" s="322"/>
      <c r="X421" s="322"/>
      <c r="Y421" s="322"/>
      <c r="Z421" s="322"/>
      <c r="AA421" s="322"/>
      <c r="AB421" s="322"/>
      <c r="AC421" s="322"/>
      <c r="AD421" s="322"/>
      <c r="AE421" s="322"/>
      <c r="AF421" s="322"/>
      <c r="AG421" s="322"/>
      <c r="AH421" s="322"/>
      <c r="AI421" s="322"/>
      <c r="AJ421" s="322"/>
      <c r="AK421" s="322"/>
    </row>
    <row r="422" spans="1:37" ht="18" customHeight="1">
      <c r="A422" s="322"/>
      <c r="B422" s="322"/>
      <c r="C422" s="451"/>
      <c r="D422" s="322"/>
      <c r="E422" s="322"/>
      <c r="F422" s="322"/>
      <c r="G422" s="322"/>
      <c r="H422" s="322"/>
      <c r="I422" s="322"/>
      <c r="J422" s="322"/>
      <c r="K422" s="322"/>
      <c r="L422" s="322"/>
      <c r="M422" s="322"/>
      <c r="N422" s="322"/>
      <c r="O422" s="322"/>
      <c r="P422" s="322"/>
      <c r="Q422" s="322"/>
      <c r="R422" s="322"/>
      <c r="S422" s="322"/>
      <c r="T422" s="322"/>
      <c r="U422" s="322"/>
      <c r="V422" s="322"/>
      <c r="W422" s="322"/>
      <c r="X422" s="322"/>
      <c r="Y422" s="322"/>
      <c r="Z422" s="322"/>
      <c r="AA422" s="322"/>
      <c r="AB422" s="322"/>
      <c r="AC422" s="322"/>
      <c r="AD422" s="322"/>
      <c r="AE422" s="322"/>
      <c r="AF422" s="322"/>
      <c r="AG422" s="322"/>
      <c r="AH422" s="322"/>
      <c r="AI422" s="322"/>
      <c r="AJ422" s="322"/>
      <c r="AK422" s="322"/>
    </row>
    <row r="423" spans="1:37" ht="18" customHeight="1">
      <c r="A423" s="322"/>
      <c r="B423" s="322"/>
      <c r="C423" s="451"/>
      <c r="D423" s="322"/>
      <c r="E423" s="322"/>
      <c r="F423" s="322"/>
      <c r="G423" s="322"/>
      <c r="H423" s="322"/>
      <c r="I423" s="322"/>
      <c r="J423" s="322"/>
      <c r="K423" s="322"/>
      <c r="L423" s="322"/>
      <c r="M423" s="322"/>
      <c r="N423" s="322"/>
      <c r="O423" s="322"/>
      <c r="P423" s="322"/>
      <c r="Q423" s="322"/>
      <c r="R423" s="322"/>
      <c r="S423" s="322"/>
      <c r="T423" s="322"/>
      <c r="U423" s="322"/>
      <c r="V423" s="322"/>
      <c r="W423" s="322"/>
      <c r="X423" s="322"/>
      <c r="Y423" s="322"/>
      <c r="Z423" s="322"/>
      <c r="AA423" s="322"/>
      <c r="AB423" s="322"/>
      <c r="AC423" s="322"/>
      <c r="AD423" s="322"/>
      <c r="AE423" s="322"/>
      <c r="AF423" s="322"/>
      <c r="AG423" s="322"/>
      <c r="AH423" s="322"/>
      <c r="AI423" s="322"/>
      <c r="AJ423" s="322"/>
      <c r="AK423" s="322"/>
    </row>
    <row r="424" spans="1:37" ht="18" customHeight="1">
      <c r="A424" s="322"/>
      <c r="B424" s="322"/>
      <c r="C424" s="451"/>
      <c r="D424" s="322"/>
      <c r="E424" s="322"/>
      <c r="F424" s="322"/>
      <c r="G424" s="322"/>
      <c r="H424" s="322"/>
      <c r="I424" s="322"/>
      <c r="J424" s="322"/>
      <c r="K424" s="322"/>
      <c r="L424" s="322"/>
      <c r="M424" s="322"/>
      <c r="N424" s="322"/>
      <c r="O424" s="322"/>
      <c r="P424" s="322"/>
      <c r="Q424" s="322"/>
      <c r="R424" s="322"/>
      <c r="S424" s="322"/>
      <c r="T424" s="322"/>
      <c r="U424" s="322"/>
      <c r="V424" s="322"/>
      <c r="W424" s="322"/>
      <c r="X424" s="322"/>
      <c r="Y424" s="322"/>
      <c r="Z424" s="322"/>
      <c r="AA424" s="322"/>
      <c r="AB424" s="322"/>
      <c r="AC424" s="322"/>
      <c r="AD424" s="322"/>
      <c r="AE424" s="322"/>
      <c r="AF424" s="322"/>
      <c r="AG424" s="322"/>
      <c r="AH424" s="322"/>
      <c r="AI424" s="322"/>
      <c r="AJ424" s="322"/>
      <c r="AK424" s="322"/>
    </row>
    <row r="425" spans="1:37" ht="18" customHeight="1">
      <c r="A425" s="322"/>
      <c r="B425" s="322"/>
      <c r="C425" s="451"/>
      <c r="D425" s="322"/>
      <c r="E425" s="322"/>
      <c r="F425" s="322"/>
      <c r="G425" s="322"/>
      <c r="H425" s="322"/>
      <c r="I425" s="322"/>
      <c r="J425" s="322"/>
      <c r="K425" s="322"/>
      <c r="L425" s="322"/>
      <c r="M425" s="322"/>
      <c r="N425" s="322"/>
      <c r="O425" s="322"/>
      <c r="P425" s="322"/>
      <c r="Q425" s="322"/>
      <c r="R425" s="322"/>
      <c r="S425" s="322"/>
      <c r="T425" s="322"/>
      <c r="U425" s="322"/>
      <c r="V425" s="322"/>
      <c r="W425" s="322"/>
      <c r="X425" s="322"/>
      <c r="Y425" s="322"/>
      <c r="Z425" s="322"/>
      <c r="AA425" s="322"/>
      <c r="AB425" s="322"/>
      <c r="AC425" s="322"/>
      <c r="AD425" s="322"/>
      <c r="AE425" s="322"/>
      <c r="AF425" s="322"/>
      <c r="AG425" s="322"/>
      <c r="AH425" s="322"/>
      <c r="AI425" s="322"/>
      <c r="AJ425" s="322"/>
      <c r="AK425" s="322"/>
    </row>
    <row r="426" spans="1:37" ht="18" customHeight="1">
      <c r="A426" s="322"/>
      <c r="B426" s="322"/>
      <c r="C426" s="451"/>
      <c r="D426" s="322"/>
      <c r="E426" s="322"/>
      <c r="F426" s="322"/>
      <c r="G426" s="322"/>
      <c r="H426" s="322"/>
      <c r="I426" s="322"/>
      <c r="J426" s="322"/>
      <c r="K426" s="322"/>
      <c r="L426" s="322"/>
      <c r="M426" s="322"/>
      <c r="N426" s="322"/>
      <c r="O426" s="322"/>
      <c r="P426" s="322"/>
      <c r="Q426" s="322"/>
      <c r="R426" s="322"/>
      <c r="S426" s="322"/>
      <c r="T426" s="322"/>
      <c r="U426" s="322"/>
      <c r="V426" s="322"/>
      <c r="W426" s="322"/>
      <c r="X426" s="322"/>
      <c r="Y426" s="322"/>
      <c r="Z426" s="322"/>
      <c r="AA426" s="322"/>
      <c r="AB426" s="322"/>
      <c r="AC426" s="322"/>
      <c r="AD426" s="322"/>
      <c r="AE426" s="322"/>
      <c r="AF426" s="322"/>
      <c r="AG426" s="322"/>
      <c r="AH426" s="322"/>
      <c r="AI426" s="322"/>
      <c r="AJ426" s="322"/>
      <c r="AK426" s="322"/>
    </row>
    <row r="427" spans="1:37" ht="18" customHeight="1">
      <c r="A427" s="322"/>
      <c r="B427" s="322"/>
      <c r="C427" s="451"/>
      <c r="D427" s="322"/>
      <c r="E427" s="322"/>
      <c r="F427" s="322"/>
      <c r="G427" s="322"/>
      <c r="H427" s="322"/>
      <c r="I427" s="322"/>
      <c r="J427" s="322"/>
      <c r="K427" s="322"/>
      <c r="L427" s="322"/>
      <c r="M427" s="322"/>
      <c r="N427" s="322"/>
      <c r="O427" s="322"/>
      <c r="P427" s="322"/>
      <c r="Q427" s="322"/>
      <c r="R427" s="322"/>
      <c r="S427" s="322"/>
      <c r="T427" s="322"/>
      <c r="U427" s="322"/>
      <c r="V427" s="322"/>
      <c r="W427" s="322"/>
      <c r="X427" s="322"/>
      <c r="Y427" s="322"/>
      <c r="Z427" s="322"/>
      <c r="AA427" s="322"/>
      <c r="AB427" s="322"/>
      <c r="AC427" s="322"/>
      <c r="AD427" s="322"/>
      <c r="AE427" s="322"/>
      <c r="AF427" s="322"/>
      <c r="AG427" s="322"/>
      <c r="AH427" s="322"/>
      <c r="AI427" s="322"/>
      <c r="AJ427" s="322"/>
      <c r="AK427" s="322"/>
    </row>
    <row r="428" spans="1:37" ht="18" customHeight="1">
      <c r="A428" s="322"/>
      <c r="B428" s="322"/>
      <c r="C428" s="451"/>
      <c r="D428" s="322"/>
      <c r="E428" s="322"/>
      <c r="F428" s="322"/>
      <c r="G428" s="322"/>
      <c r="H428" s="322"/>
      <c r="I428" s="322"/>
      <c r="J428" s="322"/>
      <c r="K428" s="322"/>
      <c r="L428" s="322"/>
      <c r="M428" s="322"/>
      <c r="N428" s="322"/>
      <c r="O428" s="322"/>
      <c r="P428" s="322"/>
      <c r="Q428" s="322"/>
      <c r="R428" s="322"/>
      <c r="S428" s="322"/>
      <c r="T428" s="322"/>
      <c r="U428" s="322"/>
      <c r="V428" s="322"/>
      <c r="W428" s="322"/>
      <c r="X428" s="322"/>
      <c r="Y428" s="322"/>
      <c r="Z428" s="322"/>
      <c r="AA428" s="322"/>
      <c r="AB428" s="322"/>
      <c r="AC428" s="322"/>
      <c r="AD428" s="322"/>
      <c r="AE428" s="322"/>
      <c r="AF428" s="322"/>
      <c r="AG428" s="322"/>
      <c r="AH428" s="322"/>
      <c r="AI428" s="322"/>
      <c r="AJ428" s="322"/>
      <c r="AK428" s="322"/>
    </row>
    <row r="429" spans="1:37" ht="18" customHeight="1">
      <c r="A429" s="322"/>
      <c r="B429" s="322"/>
      <c r="C429" s="451"/>
      <c r="D429" s="322"/>
      <c r="E429" s="322"/>
      <c r="F429" s="322"/>
      <c r="G429" s="322"/>
      <c r="H429" s="322"/>
      <c r="I429" s="322"/>
      <c r="J429" s="322"/>
      <c r="K429" s="322"/>
      <c r="L429" s="322"/>
      <c r="M429" s="322"/>
      <c r="N429" s="322"/>
      <c r="O429" s="322"/>
      <c r="P429" s="322"/>
      <c r="Q429" s="322"/>
      <c r="R429" s="322"/>
      <c r="S429" s="322"/>
      <c r="T429" s="322"/>
      <c r="U429" s="322"/>
      <c r="V429" s="322"/>
      <c r="W429" s="322"/>
      <c r="X429" s="322"/>
      <c r="Y429" s="322"/>
      <c r="Z429" s="322"/>
      <c r="AA429" s="322"/>
      <c r="AB429" s="322"/>
      <c r="AC429" s="322"/>
      <c r="AD429" s="322"/>
      <c r="AE429" s="322"/>
      <c r="AF429" s="322"/>
      <c r="AG429" s="322"/>
      <c r="AH429" s="322"/>
      <c r="AI429" s="322"/>
      <c r="AJ429" s="322"/>
      <c r="AK429" s="322"/>
    </row>
    <row r="430" spans="1:37" ht="18" customHeight="1">
      <c r="A430" s="322"/>
      <c r="B430" s="322"/>
      <c r="C430" s="451"/>
      <c r="D430" s="322"/>
      <c r="E430" s="322"/>
      <c r="F430" s="322"/>
      <c r="G430" s="322"/>
      <c r="H430" s="322"/>
      <c r="I430" s="322"/>
      <c r="J430" s="322"/>
      <c r="K430" s="322"/>
      <c r="L430" s="322"/>
      <c r="M430" s="322"/>
      <c r="N430" s="322"/>
      <c r="O430" s="322"/>
      <c r="P430" s="322"/>
      <c r="Q430" s="322"/>
      <c r="R430" s="322"/>
      <c r="S430" s="322"/>
      <c r="T430" s="322"/>
      <c r="U430" s="322"/>
      <c r="V430" s="322"/>
      <c r="W430" s="322"/>
      <c r="X430" s="322"/>
      <c r="Y430" s="322"/>
      <c r="Z430" s="322"/>
      <c r="AA430" s="322"/>
      <c r="AB430" s="322"/>
      <c r="AC430" s="322"/>
      <c r="AD430" s="322"/>
      <c r="AE430" s="322"/>
      <c r="AF430" s="322"/>
      <c r="AG430" s="322"/>
      <c r="AH430" s="322"/>
      <c r="AI430" s="322"/>
      <c r="AJ430" s="322"/>
      <c r="AK430" s="322"/>
    </row>
    <row r="431" spans="1:37" ht="18" customHeight="1">
      <c r="A431" s="322"/>
      <c r="B431" s="322"/>
      <c r="C431" s="451"/>
      <c r="D431" s="322"/>
      <c r="E431" s="322"/>
      <c r="F431" s="322"/>
      <c r="G431" s="322"/>
      <c r="H431" s="322"/>
      <c r="I431" s="322"/>
      <c r="J431" s="322"/>
      <c r="K431" s="322"/>
      <c r="L431" s="322"/>
      <c r="M431" s="322"/>
      <c r="N431" s="322"/>
      <c r="O431" s="322"/>
      <c r="P431" s="322"/>
      <c r="Q431" s="322"/>
      <c r="R431" s="322"/>
      <c r="S431" s="322"/>
      <c r="T431" s="322"/>
      <c r="U431" s="322"/>
      <c r="V431" s="322"/>
      <c r="W431" s="322"/>
      <c r="X431" s="322"/>
      <c r="Y431" s="322"/>
      <c r="Z431" s="322"/>
      <c r="AA431" s="322"/>
      <c r="AB431" s="322"/>
      <c r="AC431" s="322"/>
      <c r="AD431" s="322"/>
      <c r="AE431" s="322"/>
      <c r="AF431" s="322"/>
      <c r="AG431" s="322"/>
      <c r="AH431" s="322"/>
      <c r="AI431" s="322"/>
      <c r="AJ431" s="322"/>
      <c r="AK431" s="322"/>
    </row>
    <row r="432" spans="1:37" ht="18" customHeight="1">
      <c r="A432" s="322"/>
      <c r="B432" s="322"/>
      <c r="C432" s="451"/>
      <c r="D432" s="322"/>
      <c r="E432" s="322"/>
      <c r="F432" s="322"/>
      <c r="G432" s="322"/>
      <c r="H432" s="322"/>
      <c r="I432" s="322"/>
      <c r="J432" s="322"/>
      <c r="K432" s="322"/>
      <c r="L432" s="322"/>
      <c r="M432" s="322"/>
      <c r="N432" s="322"/>
      <c r="O432" s="322"/>
      <c r="P432" s="322"/>
      <c r="Q432" s="322"/>
      <c r="R432" s="322"/>
      <c r="S432" s="322"/>
      <c r="T432" s="322"/>
      <c r="U432" s="322"/>
      <c r="V432" s="322"/>
      <c r="W432" s="322"/>
      <c r="X432" s="322"/>
      <c r="Y432" s="322"/>
      <c r="Z432" s="322"/>
      <c r="AA432" s="322"/>
      <c r="AB432" s="322"/>
      <c r="AC432" s="322"/>
      <c r="AD432" s="322"/>
      <c r="AE432" s="322"/>
      <c r="AF432" s="322"/>
      <c r="AG432" s="322"/>
      <c r="AH432" s="322"/>
      <c r="AI432" s="322"/>
      <c r="AJ432" s="322"/>
      <c r="AK432" s="322"/>
    </row>
    <row r="433" spans="1:37" ht="18" customHeight="1">
      <c r="A433" s="322"/>
      <c r="B433" s="322"/>
      <c r="C433" s="451"/>
      <c r="D433" s="322"/>
      <c r="E433" s="322"/>
      <c r="F433" s="322"/>
      <c r="G433" s="322"/>
      <c r="H433" s="322"/>
      <c r="I433" s="322"/>
      <c r="J433" s="322"/>
      <c r="K433" s="322"/>
      <c r="L433" s="322"/>
      <c r="M433" s="322"/>
      <c r="N433" s="322"/>
      <c r="O433" s="322"/>
      <c r="P433" s="322"/>
      <c r="Q433" s="322"/>
      <c r="R433" s="322"/>
      <c r="S433" s="322"/>
      <c r="T433" s="322"/>
      <c r="U433" s="322"/>
      <c r="V433" s="322"/>
      <c r="W433" s="322"/>
      <c r="X433" s="322"/>
      <c r="Y433" s="322"/>
      <c r="Z433" s="322"/>
      <c r="AA433" s="322"/>
      <c r="AB433" s="322"/>
      <c r="AC433" s="322"/>
      <c r="AD433" s="322"/>
      <c r="AE433" s="322"/>
      <c r="AF433" s="322"/>
      <c r="AG433" s="322"/>
      <c r="AH433" s="322"/>
      <c r="AI433" s="322"/>
      <c r="AJ433" s="322"/>
      <c r="AK433" s="322"/>
    </row>
    <row r="434" spans="1:37" ht="18" customHeight="1">
      <c r="A434" s="322"/>
      <c r="B434" s="322"/>
      <c r="C434" s="451"/>
      <c r="D434" s="322"/>
      <c r="E434" s="322"/>
      <c r="F434" s="322"/>
      <c r="G434" s="322"/>
      <c r="H434" s="322"/>
      <c r="I434" s="322"/>
      <c r="J434" s="322"/>
      <c r="K434" s="322"/>
      <c r="L434" s="322"/>
      <c r="M434" s="322"/>
      <c r="N434" s="322"/>
      <c r="O434" s="322"/>
      <c r="P434" s="322"/>
      <c r="Q434" s="322"/>
      <c r="R434" s="322"/>
      <c r="S434" s="322"/>
      <c r="T434" s="322"/>
      <c r="U434" s="322"/>
      <c r="V434" s="322"/>
      <c r="W434" s="322"/>
      <c r="X434" s="322"/>
      <c r="Y434" s="322"/>
      <c r="Z434" s="322"/>
      <c r="AA434" s="322"/>
      <c r="AB434" s="322"/>
      <c r="AC434" s="322"/>
      <c r="AD434" s="322"/>
      <c r="AE434" s="322"/>
      <c r="AF434" s="322"/>
      <c r="AG434" s="322"/>
      <c r="AH434" s="322"/>
      <c r="AI434" s="322"/>
      <c r="AJ434" s="322"/>
      <c r="AK434" s="322"/>
    </row>
    <row r="435" spans="1:37" ht="18" customHeight="1">
      <c r="A435" s="322"/>
      <c r="B435" s="322"/>
      <c r="C435" s="451"/>
      <c r="D435" s="322"/>
      <c r="E435" s="322"/>
      <c r="F435" s="322"/>
      <c r="G435" s="322"/>
      <c r="H435" s="322"/>
      <c r="I435" s="322"/>
      <c r="J435" s="322"/>
      <c r="K435" s="322"/>
      <c r="L435" s="322"/>
      <c r="M435" s="322"/>
      <c r="N435" s="322"/>
      <c r="O435" s="322"/>
      <c r="P435" s="322"/>
      <c r="Q435" s="322"/>
      <c r="R435" s="322"/>
      <c r="S435" s="322"/>
      <c r="T435" s="322"/>
      <c r="U435" s="322"/>
      <c r="V435" s="322"/>
      <c r="W435" s="322"/>
      <c r="X435" s="322"/>
      <c r="Y435" s="322"/>
      <c r="Z435" s="322"/>
      <c r="AA435" s="322"/>
      <c r="AB435" s="322"/>
      <c r="AC435" s="322"/>
      <c r="AD435" s="322"/>
      <c r="AE435" s="322"/>
      <c r="AF435" s="322"/>
      <c r="AG435" s="322"/>
      <c r="AH435" s="322"/>
      <c r="AI435" s="322"/>
      <c r="AJ435" s="322"/>
      <c r="AK435" s="322"/>
    </row>
    <row r="436" spans="1:37" ht="18" customHeight="1">
      <c r="A436" s="322"/>
      <c r="B436" s="322"/>
      <c r="C436" s="451"/>
      <c r="D436" s="322"/>
      <c r="E436" s="322"/>
      <c r="F436" s="322"/>
      <c r="G436" s="322"/>
      <c r="H436" s="322"/>
      <c r="I436" s="322"/>
      <c r="J436" s="322"/>
      <c r="K436" s="322"/>
      <c r="L436" s="322"/>
      <c r="M436" s="322"/>
      <c r="N436" s="322"/>
      <c r="O436" s="322"/>
      <c r="P436" s="322"/>
      <c r="Q436" s="322"/>
      <c r="R436" s="322"/>
      <c r="S436" s="322"/>
      <c r="T436" s="322"/>
      <c r="U436" s="322"/>
      <c r="V436" s="322"/>
      <c r="W436" s="322"/>
      <c r="X436" s="322"/>
      <c r="Y436" s="322"/>
      <c r="Z436" s="322"/>
      <c r="AA436" s="322"/>
      <c r="AB436" s="322"/>
      <c r="AC436" s="322"/>
      <c r="AD436" s="322"/>
      <c r="AE436" s="322"/>
      <c r="AF436" s="322"/>
      <c r="AG436" s="322"/>
      <c r="AH436" s="322"/>
      <c r="AI436" s="322"/>
      <c r="AJ436" s="322"/>
      <c r="AK436" s="322"/>
    </row>
    <row r="437" spans="1:37" ht="18" customHeight="1">
      <c r="A437" s="322"/>
      <c r="B437" s="322"/>
      <c r="C437" s="451"/>
      <c r="D437" s="322"/>
      <c r="E437" s="322"/>
      <c r="F437" s="322"/>
      <c r="G437" s="322"/>
      <c r="H437" s="322"/>
      <c r="I437" s="322"/>
      <c r="J437" s="322"/>
      <c r="K437" s="322"/>
      <c r="L437" s="322"/>
      <c r="M437" s="322"/>
      <c r="N437" s="322"/>
      <c r="O437" s="322"/>
      <c r="P437" s="322"/>
      <c r="Q437" s="322"/>
      <c r="R437" s="322"/>
      <c r="S437" s="322"/>
      <c r="T437" s="322"/>
      <c r="U437" s="322"/>
      <c r="V437" s="322"/>
      <c r="W437" s="322"/>
      <c r="X437" s="322"/>
      <c r="Y437" s="322"/>
      <c r="Z437" s="322"/>
      <c r="AA437" s="322"/>
      <c r="AB437" s="322"/>
      <c r="AC437" s="322"/>
      <c r="AD437" s="322"/>
      <c r="AE437" s="322"/>
      <c r="AF437" s="322"/>
      <c r="AG437" s="322"/>
      <c r="AH437" s="322"/>
      <c r="AI437" s="322"/>
      <c r="AJ437" s="322"/>
      <c r="AK437" s="322"/>
    </row>
    <row r="438" spans="1:37" ht="18" customHeight="1">
      <c r="A438" s="322"/>
      <c r="B438" s="322"/>
      <c r="C438" s="451"/>
      <c r="D438" s="322"/>
      <c r="E438" s="322"/>
      <c r="F438" s="322"/>
      <c r="G438" s="322"/>
      <c r="H438" s="322"/>
      <c r="I438" s="322"/>
      <c r="J438" s="322"/>
      <c r="K438" s="322"/>
      <c r="L438" s="322"/>
      <c r="M438" s="322"/>
      <c r="N438" s="322"/>
      <c r="O438" s="322"/>
      <c r="P438" s="322"/>
      <c r="Q438" s="322"/>
      <c r="R438" s="322"/>
      <c r="S438" s="322"/>
      <c r="T438" s="322"/>
      <c r="U438" s="322"/>
      <c r="V438" s="322"/>
      <c r="W438" s="322"/>
      <c r="X438" s="322"/>
      <c r="Y438" s="322"/>
      <c r="Z438" s="322"/>
      <c r="AA438" s="322"/>
      <c r="AB438" s="322"/>
      <c r="AC438" s="322"/>
      <c r="AD438" s="322"/>
      <c r="AE438" s="322"/>
      <c r="AF438" s="322"/>
      <c r="AG438" s="322"/>
      <c r="AH438" s="322"/>
      <c r="AI438" s="322"/>
      <c r="AJ438" s="322"/>
      <c r="AK438" s="322"/>
    </row>
    <row r="439" spans="1:37" ht="18" customHeight="1">
      <c r="A439" s="322"/>
      <c r="B439" s="322"/>
      <c r="C439" s="451"/>
      <c r="D439" s="322"/>
      <c r="E439" s="322"/>
      <c r="F439" s="322"/>
      <c r="G439" s="322"/>
      <c r="H439" s="322"/>
      <c r="I439" s="322"/>
      <c r="J439" s="322"/>
      <c r="K439" s="322"/>
      <c r="L439" s="322"/>
      <c r="M439" s="322"/>
      <c r="N439" s="322"/>
      <c r="O439" s="322"/>
      <c r="P439" s="322"/>
      <c r="Q439" s="322"/>
      <c r="R439" s="322"/>
      <c r="S439" s="322"/>
      <c r="T439" s="322"/>
      <c r="U439" s="322"/>
      <c r="V439" s="322"/>
      <c r="W439" s="322"/>
      <c r="X439" s="322"/>
      <c r="Y439" s="322"/>
      <c r="Z439" s="322"/>
      <c r="AA439" s="322"/>
      <c r="AB439" s="322"/>
      <c r="AC439" s="322"/>
      <c r="AD439" s="322"/>
      <c r="AE439" s="322"/>
      <c r="AF439" s="322"/>
      <c r="AG439" s="322"/>
      <c r="AH439" s="322"/>
      <c r="AI439" s="322"/>
      <c r="AJ439" s="322"/>
      <c r="AK439" s="322"/>
    </row>
    <row r="440" spans="1:37" ht="18" customHeight="1">
      <c r="A440" s="322"/>
      <c r="B440" s="322"/>
      <c r="C440" s="451"/>
      <c r="D440" s="322"/>
      <c r="E440" s="322"/>
      <c r="F440" s="322"/>
      <c r="G440" s="322"/>
      <c r="H440" s="322"/>
      <c r="I440" s="322"/>
      <c r="J440" s="322"/>
      <c r="K440" s="322"/>
      <c r="L440" s="322"/>
      <c r="M440" s="322"/>
      <c r="N440" s="322"/>
      <c r="O440" s="322"/>
      <c r="P440" s="322"/>
      <c r="Q440" s="322"/>
      <c r="R440" s="322"/>
      <c r="S440" s="322"/>
      <c r="T440" s="322"/>
      <c r="U440" s="322"/>
      <c r="V440" s="322"/>
      <c r="W440" s="322"/>
      <c r="X440" s="322"/>
      <c r="Y440" s="322"/>
      <c r="Z440" s="322"/>
      <c r="AA440" s="322"/>
      <c r="AB440" s="322"/>
      <c r="AC440" s="322"/>
      <c r="AD440" s="322"/>
      <c r="AE440" s="322"/>
      <c r="AF440" s="322"/>
      <c r="AG440" s="322"/>
      <c r="AH440" s="322"/>
      <c r="AI440" s="322"/>
      <c r="AJ440" s="322"/>
      <c r="AK440" s="322"/>
    </row>
    <row r="441" spans="1:37" ht="18" customHeight="1">
      <c r="A441" s="322"/>
      <c r="B441" s="322"/>
      <c r="C441" s="451"/>
      <c r="D441" s="322"/>
      <c r="E441" s="322"/>
      <c r="F441" s="322"/>
      <c r="G441" s="322"/>
      <c r="H441" s="322"/>
      <c r="I441" s="322"/>
      <c r="J441" s="322"/>
      <c r="K441" s="322"/>
      <c r="L441" s="322"/>
      <c r="M441" s="322"/>
      <c r="N441" s="322"/>
      <c r="O441" s="322"/>
      <c r="P441" s="322"/>
      <c r="Q441" s="322"/>
      <c r="R441" s="322"/>
      <c r="S441" s="322"/>
      <c r="T441" s="322"/>
      <c r="U441" s="322"/>
      <c r="V441" s="322"/>
      <c r="W441" s="322"/>
      <c r="X441" s="322"/>
      <c r="Y441" s="322"/>
      <c r="Z441" s="322"/>
      <c r="AA441" s="322"/>
      <c r="AB441" s="322"/>
      <c r="AC441" s="322"/>
      <c r="AD441" s="322"/>
      <c r="AE441" s="322"/>
      <c r="AF441" s="322"/>
      <c r="AG441" s="322"/>
      <c r="AH441" s="322"/>
      <c r="AI441" s="322"/>
      <c r="AJ441" s="322"/>
      <c r="AK441" s="322"/>
    </row>
    <row r="442" spans="1:37" ht="18" customHeight="1">
      <c r="A442" s="322"/>
      <c r="B442" s="322"/>
      <c r="C442" s="451"/>
      <c r="D442" s="322"/>
      <c r="E442" s="322"/>
      <c r="F442" s="322"/>
      <c r="G442" s="322"/>
      <c r="H442" s="322"/>
      <c r="I442" s="322"/>
      <c r="J442" s="322"/>
      <c r="K442" s="322"/>
      <c r="L442" s="322"/>
      <c r="M442" s="322"/>
      <c r="N442" s="322"/>
      <c r="O442" s="322"/>
      <c r="P442" s="322"/>
      <c r="Q442" s="322"/>
      <c r="R442" s="322"/>
      <c r="S442" s="322"/>
      <c r="T442" s="322"/>
      <c r="U442" s="322"/>
      <c r="V442" s="322"/>
      <c r="W442" s="322"/>
      <c r="X442" s="322"/>
      <c r="Y442" s="322"/>
      <c r="Z442" s="322"/>
      <c r="AA442" s="322"/>
      <c r="AB442" s="322"/>
      <c r="AC442" s="322"/>
      <c r="AD442" s="322"/>
      <c r="AE442" s="322"/>
      <c r="AF442" s="322"/>
      <c r="AG442" s="322"/>
      <c r="AH442" s="322"/>
      <c r="AI442" s="322"/>
      <c r="AJ442" s="322"/>
      <c r="AK442" s="322"/>
    </row>
    <row r="443" spans="1:37" ht="18" customHeight="1">
      <c r="A443" s="322"/>
      <c r="B443" s="322"/>
      <c r="C443" s="451"/>
      <c r="D443" s="322"/>
      <c r="E443" s="322"/>
      <c r="F443" s="322"/>
      <c r="G443" s="322"/>
      <c r="H443" s="322"/>
      <c r="I443" s="322"/>
      <c r="J443" s="322"/>
      <c r="K443" s="322"/>
      <c r="L443" s="322"/>
      <c r="M443" s="322"/>
      <c r="N443" s="322"/>
      <c r="O443" s="322"/>
      <c r="P443" s="322"/>
      <c r="Q443" s="322"/>
      <c r="R443" s="322"/>
      <c r="S443" s="322"/>
      <c r="T443" s="322"/>
      <c r="U443" s="322"/>
      <c r="V443" s="322"/>
      <c r="W443" s="322"/>
      <c r="X443" s="322"/>
      <c r="Y443" s="322"/>
      <c r="Z443" s="322"/>
      <c r="AA443" s="322"/>
      <c r="AB443" s="322"/>
      <c r="AC443" s="322"/>
      <c r="AD443" s="322"/>
      <c r="AE443" s="322"/>
      <c r="AF443" s="322"/>
      <c r="AG443" s="322"/>
      <c r="AH443" s="322"/>
      <c r="AI443" s="322"/>
      <c r="AJ443" s="322"/>
      <c r="AK443" s="322"/>
    </row>
    <row r="444" spans="1:37" ht="18" customHeight="1">
      <c r="A444" s="322"/>
      <c r="B444" s="322"/>
      <c r="C444" s="451"/>
      <c r="D444" s="322"/>
      <c r="E444" s="322"/>
      <c r="F444" s="322"/>
      <c r="G444" s="322"/>
      <c r="H444" s="322"/>
      <c r="I444" s="322"/>
      <c r="J444" s="322"/>
      <c r="K444" s="322"/>
      <c r="L444" s="322"/>
      <c r="M444" s="322"/>
      <c r="N444" s="322"/>
      <c r="O444" s="322"/>
      <c r="P444" s="322"/>
      <c r="Q444" s="322"/>
      <c r="R444" s="322"/>
      <c r="S444" s="322"/>
      <c r="T444" s="322"/>
      <c r="U444" s="322"/>
      <c r="V444" s="322"/>
      <c r="W444" s="322"/>
      <c r="X444" s="322"/>
      <c r="Y444" s="322"/>
      <c r="Z444" s="322"/>
      <c r="AA444" s="322"/>
      <c r="AB444" s="322"/>
      <c r="AC444" s="322"/>
      <c r="AD444" s="322"/>
      <c r="AE444" s="322"/>
      <c r="AF444" s="322"/>
      <c r="AG444" s="322"/>
      <c r="AH444" s="322"/>
      <c r="AI444" s="322"/>
      <c r="AJ444" s="322"/>
      <c r="AK444" s="322"/>
    </row>
    <row r="445" spans="1:37" ht="18" customHeight="1">
      <c r="A445" s="322"/>
      <c r="B445" s="322"/>
      <c r="C445" s="451"/>
      <c r="D445" s="322"/>
      <c r="E445" s="322"/>
      <c r="F445" s="322"/>
      <c r="G445" s="322"/>
      <c r="H445" s="322"/>
      <c r="I445" s="322"/>
      <c r="J445" s="322"/>
      <c r="K445" s="322"/>
      <c r="L445" s="322"/>
      <c r="M445" s="322"/>
      <c r="N445" s="322"/>
      <c r="O445" s="322"/>
      <c r="P445" s="322"/>
      <c r="Q445" s="322"/>
      <c r="R445" s="322"/>
      <c r="S445" s="322"/>
      <c r="T445" s="322"/>
      <c r="U445" s="322"/>
      <c r="V445" s="322"/>
      <c r="W445" s="322"/>
      <c r="X445" s="322"/>
      <c r="Y445" s="322"/>
      <c r="Z445" s="322"/>
      <c r="AA445" s="322"/>
      <c r="AB445" s="322"/>
      <c r="AC445" s="322"/>
      <c r="AD445" s="322"/>
      <c r="AE445" s="322"/>
      <c r="AF445" s="322"/>
      <c r="AG445" s="322"/>
      <c r="AH445" s="322"/>
      <c r="AI445" s="322"/>
      <c r="AJ445" s="322"/>
      <c r="AK445" s="322"/>
    </row>
    <row r="446" spans="1:37" ht="18" customHeight="1">
      <c r="A446" s="322"/>
      <c r="B446" s="322"/>
      <c r="C446" s="451"/>
      <c r="D446" s="322"/>
      <c r="E446" s="322"/>
      <c r="F446" s="322"/>
      <c r="G446" s="322"/>
      <c r="H446" s="322"/>
      <c r="I446" s="322"/>
      <c r="J446" s="322"/>
      <c r="K446" s="322"/>
      <c r="L446" s="322"/>
      <c r="M446" s="322"/>
      <c r="N446" s="322"/>
      <c r="O446" s="322"/>
      <c r="P446" s="322"/>
      <c r="Q446" s="322"/>
      <c r="R446" s="322"/>
      <c r="S446" s="322"/>
      <c r="T446" s="322"/>
      <c r="U446" s="322"/>
      <c r="V446" s="322"/>
      <c r="W446" s="322"/>
      <c r="X446" s="322"/>
      <c r="Y446" s="322"/>
      <c r="Z446" s="322"/>
      <c r="AA446" s="322"/>
      <c r="AB446" s="322"/>
      <c r="AC446" s="322"/>
      <c r="AD446" s="322"/>
      <c r="AE446" s="322"/>
      <c r="AF446" s="322"/>
      <c r="AG446" s="322"/>
      <c r="AH446" s="322"/>
      <c r="AI446" s="322"/>
      <c r="AJ446" s="322"/>
      <c r="AK446" s="322"/>
    </row>
    <row r="447" spans="1:37" ht="18" customHeight="1">
      <c r="A447" s="322"/>
      <c r="B447" s="322"/>
      <c r="C447" s="451"/>
      <c r="D447" s="322"/>
      <c r="E447" s="322"/>
      <c r="F447" s="322"/>
      <c r="G447" s="322"/>
      <c r="H447" s="322"/>
      <c r="I447" s="322"/>
      <c r="J447" s="322"/>
      <c r="K447" s="322"/>
      <c r="L447" s="322"/>
      <c r="M447" s="322"/>
      <c r="N447" s="322"/>
      <c r="O447" s="322"/>
      <c r="P447" s="322"/>
      <c r="Q447" s="322"/>
      <c r="R447" s="322"/>
      <c r="S447" s="322"/>
      <c r="T447" s="322"/>
      <c r="U447" s="322"/>
      <c r="V447" s="322"/>
      <c r="W447" s="322"/>
      <c r="X447" s="322"/>
      <c r="Y447" s="322"/>
      <c r="Z447" s="322"/>
      <c r="AA447" s="322"/>
      <c r="AB447" s="322"/>
      <c r="AC447" s="322"/>
      <c r="AD447" s="322"/>
      <c r="AE447" s="322"/>
      <c r="AF447" s="322"/>
      <c r="AG447" s="322"/>
      <c r="AH447" s="322"/>
      <c r="AI447" s="322"/>
      <c r="AJ447" s="322"/>
      <c r="AK447" s="322"/>
    </row>
    <row r="448" spans="1:37" ht="18" customHeight="1">
      <c r="A448" s="322"/>
      <c r="B448" s="322"/>
      <c r="C448" s="451"/>
      <c r="D448" s="322"/>
      <c r="E448" s="322"/>
      <c r="F448" s="322"/>
      <c r="G448" s="322"/>
      <c r="H448" s="322"/>
      <c r="I448" s="322"/>
      <c r="J448" s="322"/>
      <c r="K448" s="322"/>
      <c r="L448" s="322"/>
      <c r="M448" s="322"/>
      <c r="N448" s="322"/>
      <c r="O448" s="322"/>
      <c r="P448" s="322"/>
      <c r="Q448" s="322"/>
      <c r="R448" s="322"/>
      <c r="S448" s="322"/>
      <c r="T448" s="322"/>
      <c r="U448" s="322"/>
      <c r="V448" s="322"/>
      <c r="W448" s="322"/>
      <c r="X448" s="322"/>
      <c r="Y448" s="322"/>
      <c r="Z448" s="322"/>
      <c r="AA448" s="322"/>
      <c r="AB448" s="322"/>
      <c r="AC448" s="322"/>
      <c r="AD448" s="322"/>
      <c r="AE448" s="322"/>
      <c r="AF448" s="322"/>
      <c r="AG448" s="322"/>
      <c r="AH448" s="322"/>
      <c r="AI448" s="322"/>
      <c r="AJ448" s="322"/>
      <c r="AK448" s="322"/>
    </row>
    <row r="449" spans="1:37" ht="18" customHeight="1">
      <c r="A449" s="322"/>
      <c r="B449" s="322"/>
      <c r="C449" s="451"/>
      <c r="D449" s="322"/>
      <c r="E449" s="322"/>
      <c r="F449" s="322"/>
      <c r="G449" s="322"/>
      <c r="H449" s="322"/>
      <c r="I449" s="322"/>
      <c r="J449" s="322"/>
      <c r="K449" s="322"/>
      <c r="L449" s="322"/>
      <c r="M449" s="322"/>
      <c r="N449" s="322"/>
      <c r="O449" s="322"/>
      <c r="P449" s="322"/>
      <c r="Q449" s="322"/>
      <c r="R449" s="322"/>
      <c r="S449" s="322"/>
      <c r="T449" s="322"/>
      <c r="U449" s="322"/>
      <c r="V449" s="322"/>
      <c r="W449" s="322"/>
      <c r="X449" s="322"/>
      <c r="Y449" s="322"/>
      <c r="Z449" s="322"/>
      <c r="AA449" s="322"/>
      <c r="AB449" s="322"/>
      <c r="AC449" s="322"/>
      <c r="AD449" s="322"/>
      <c r="AE449" s="322"/>
      <c r="AF449" s="322"/>
      <c r="AG449" s="322"/>
      <c r="AH449" s="322"/>
      <c r="AI449" s="322"/>
      <c r="AJ449" s="322"/>
      <c r="AK449" s="322"/>
    </row>
    <row r="450" spans="1:37" ht="18" customHeight="1">
      <c r="A450" s="322"/>
      <c r="B450" s="322"/>
      <c r="C450" s="451"/>
      <c r="D450" s="322"/>
      <c r="E450" s="322"/>
      <c r="F450" s="322"/>
      <c r="G450" s="322"/>
      <c r="H450" s="322"/>
      <c r="I450" s="322"/>
      <c r="J450" s="322"/>
      <c r="K450" s="322"/>
      <c r="L450" s="322"/>
      <c r="M450" s="322"/>
      <c r="N450" s="322"/>
      <c r="O450" s="322"/>
      <c r="P450" s="322"/>
      <c r="Q450" s="322"/>
      <c r="R450" s="322"/>
      <c r="S450" s="322"/>
      <c r="T450" s="322"/>
      <c r="U450" s="322"/>
      <c r="V450" s="322"/>
      <c r="W450" s="322"/>
      <c r="X450" s="322"/>
      <c r="Y450" s="322"/>
      <c r="Z450" s="322"/>
      <c r="AA450" s="322"/>
      <c r="AB450" s="322"/>
      <c r="AC450" s="322"/>
      <c r="AD450" s="322"/>
      <c r="AE450" s="322"/>
      <c r="AF450" s="322"/>
      <c r="AG450" s="322"/>
      <c r="AH450" s="322"/>
      <c r="AI450" s="322"/>
      <c r="AJ450" s="322"/>
      <c r="AK450" s="322"/>
    </row>
    <row r="451" spans="1:37" ht="18" customHeight="1">
      <c r="A451" s="322"/>
      <c r="B451" s="322"/>
      <c r="C451" s="451"/>
      <c r="D451" s="322"/>
      <c r="E451" s="322"/>
      <c r="F451" s="322"/>
      <c r="G451" s="322"/>
      <c r="H451" s="322"/>
      <c r="I451" s="322"/>
      <c r="J451" s="322"/>
      <c r="K451" s="322"/>
      <c r="L451" s="322"/>
      <c r="M451" s="322"/>
      <c r="N451" s="322"/>
      <c r="O451" s="322"/>
      <c r="P451" s="322"/>
      <c r="Q451" s="322"/>
      <c r="R451" s="322"/>
      <c r="S451" s="322"/>
      <c r="T451" s="322"/>
      <c r="U451" s="322"/>
      <c r="V451" s="322"/>
      <c r="W451" s="322"/>
      <c r="X451" s="322"/>
      <c r="Y451" s="322"/>
      <c r="Z451" s="322"/>
      <c r="AA451" s="322"/>
      <c r="AB451" s="322"/>
      <c r="AC451" s="322"/>
      <c r="AD451" s="322"/>
      <c r="AE451" s="322"/>
      <c r="AF451" s="322"/>
      <c r="AG451" s="322"/>
      <c r="AH451" s="322"/>
      <c r="AI451" s="322"/>
      <c r="AJ451" s="322"/>
      <c r="AK451" s="322"/>
    </row>
    <row r="452" spans="1:37" ht="18" customHeight="1">
      <c r="A452" s="322"/>
      <c r="B452" s="322"/>
      <c r="C452" s="451"/>
      <c r="D452" s="322"/>
      <c r="E452" s="322"/>
      <c r="F452" s="322"/>
      <c r="G452" s="322"/>
      <c r="H452" s="322"/>
      <c r="I452" s="322"/>
      <c r="J452" s="322"/>
      <c r="K452" s="322"/>
      <c r="L452" s="322"/>
      <c r="M452" s="322"/>
      <c r="N452" s="322"/>
      <c r="O452" s="322"/>
      <c r="P452" s="322"/>
      <c r="Q452" s="322"/>
      <c r="R452" s="322"/>
      <c r="S452" s="322"/>
      <c r="T452" s="322"/>
      <c r="U452" s="322"/>
      <c r="V452" s="322"/>
      <c r="W452" s="322"/>
      <c r="X452" s="322"/>
      <c r="Y452" s="322"/>
      <c r="Z452" s="322"/>
      <c r="AA452" s="322"/>
      <c r="AB452" s="322"/>
      <c r="AC452" s="322"/>
      <c r="AD452" s="322"/>
      <c r="AE452" s="322"/>
      <c r="AF452" s="322"/>
      <c r="AG452" s="322"/>
      <c r="AH452" s="322"/>
      <c r="AI452" s="322"/>
      <c r="AJ452" s="322"/>
      <c r="AK452" s="322"/>
    </row>
    <row r="453" spans="1:37" ht="18" customHeight="1">
      <c r="A453" s="322"/>
      <c r="B453" s="322"/>
      <c r="C453" s="451"/>
      <c r="D453" s="322"/>
      <c r="E453" s="322"/>
      <c r="F453" s="322"/>
      <c r="G453" s="322"/>
      <c r="H453" s="322"/>
      <c r="I453" s="322"/>
      <c r="J453" s="322"/>
      <c r="K453" s="322"/>
      <c r="L453" s="322"/>
      <c r="M453" s="322"/>
      <c r="N453" s="322"/>
      <c r="O453" s="322"/>
      <c r="P453" s="322"/>
      <c r="Q453" s="322"/>
      <c r="R453" s="322"/>
      <c r="S453" s="322"/>
      <c r="T453" s="322"/>
      <c r="U453" s="322"/>
      <c r="V453" s="322"/>
      <c r="W453" s="322"/>
      <c r="X453" s="322"/>
      <c r="Y453" s="322"/>
      <c r="Z453" s="322"/>
      <c r="AA453" s="322"/>
      <c r="AB453" s="322"/>
      <c r="AC453" s="322"/>
      <c r="AD453" s="322"/>
      <c r="AE453" s="322"/>
      <c r="AF453" s="322"/>
      <c r="AG453" s="322"/>
      <c r="AH453" s="322"/>
      <c r="AI453" s="322"/>
      <c r="AJ453" s="322"/>
      <c r="AK453" s="322"/>
    </row>
    <row r="454" spans="1:37" ht="18" customHeight="1">
      <c r="A454" s="322"/>
      <c r="B454" s="322"/>
      <c r="C454" s="451"/>
      <c r="D454" s="322"/>
      <c r="E454" s="322"/>
      <c r="F454" s="322"/>
      <c r="G454" s="322"/>
      <c r="H454" s="322"/>
      <c r="I454" s="322"/>
      <c r="J454" s="322"/>
      <c r="K454" s="322"/>
      <c r="L454" s="322"/>
      <c r="M454" s="322"/>
      <c r="N454" s="322"/>
      <c r="O454" s="322"/>
      <c r="P454" s="322"/>
      <c r="Q454" s="322"/>
      <c r="R454" s="322"/>
      <c r="S454" s="322"/>
      <c r="T454" s="322"/>
      <c r="U454" s="322"/>
      <c r="V454" s="322"/>
      <c r="W454" s="322"/>
      <c r="X454" s="322"/>
      <c r="Y454" s="322"/>
      <c r="Z454" s="322"/>
      <c r="AA454" s="322"/>
      <c r="AB454" s="322"/>
      <c r="AC454" s="322"/>
      <c r="AD454" s="322"/>
      <c r="AE454" s="322"/>
      <c r="AF454" s="322"/>
      <c r="AG454" s="322"/>
      <c r="AH454" s="322"/>
      <c r="AI454" s="322"/>
      <c r="AJ454" s="322"/>
      <c r="AK454" s="322"/>
    </row>
    <row r="455" spans="1:37" ht="18" customHeight="1">
      <c r="A455" s="322"/>
      <c r="B455" s="322"/>
      <c r="C455" s="451"/>
      <c r="D455" s="322"/>
      <c r="E455" s="322"/>
      <c r="F455" s="322"/>
      <c r="G455" s="322"/>
      <c r="H455" s="322"/>
      <c r="I455" s="322"/>
      <c r="J455" s="322"/>
      <c r="K455" s="322"/>
      <c r="L455" s="322"/>
      <c r="M455" s="322"/>
      <c r="N455" s="322"/>
      <c r="O455" s="322"/>
      <c r="P455" s="322"/>
      <c r="Q455" s="322"/>
      <c r="R455" s="322"/>
      <c r="S455" s="322"/>
      <c r="T455" s="322"/>
      <c r="U455" s="322"/>
      <c r="V455" s="322"/>
      <c r="W455" s="322"/>
      <c r="X455" s="322"/>
      <c r="Y455" s="322"/>
      <c r="Z455" s="322"/>
      <c r="AA455" s="322"/>
      <c r="AB455" s="322"/>
      <c r="AC455" s="322"/>
      <c r="AD455" s="322"/>
      <c r="AE455" s="322"/>
      <c r="AF455" s="322"/>
      <c r="AG455" s="322"/>
      <c r="AH455" s="322"/>
      <c r="AI455" s="322"/>
      <c r="AJ455" s="322"/>
      <c r="AK455" s="322"/>
    </row>
    <row r="456" spans="1:37" ht="18" customHeight="1">
      <c r="A456" s="322"/>
      <c r="B456" s="322"/>
      <c r="C456" s="451"/>
      <c r="D456" s="322"/>
      <c r="E456" s="322"/>
      <c r="F456" s="322"/>
      <c r="G456" s="322"/>
      <c r="H456" s="322"/>
      <c r="I456" s="322"/>
      <c r="J456" s="322"/>
      <c r="K456" s="322"/>
      <c r="L456" s="322"/>
      <c r="M456" s="322"/>
      <c r="N456" s="322"/>
      <c r="O456" s="322"/>
      <c r="P456" s="322"/>
      <c r="Q456" s="322"/>
      <c r="R456" s="322"/>
      <c r="S456" s="322"/>
      <c r="T456" s="322"/>
      <c r="U456" s="322"/>
      <c r="V456" s="322"/>
      <c r="W456" s="322"/>
      <c r="X456" s="322"/>
      <c r="Y456" s="322"/>
      <c r="Z456" s="322"/>
      <c r="AA456" s="322"/>
      <c r="AB456" s="322"/>
      <c r="AC456" s="322"/>
      <c r="AD456" s="322"/>
      <c r="AE456" s="322"/>
      <c r="AF456" s="322"/>
      <c r="AG456" s="322"/>
      <c r="AH456" s="322"/>
      <c r="AI456" s="322"/>
      <c r="AJ456" s="322"/>
      <c r="AK456" s="322"/>
    </row>
    <row r="457" spans="1:37" ht="18" customHeight="1">
      <c r="A457" s="322"/>
      <c r="B457" s="322"/>
      <c r="C457" s="451"/>
      <c r="D457" s="322"/>
      <c r="E457" s="322"/>
      <c r="F457" s="322"/>
      <c r="G457" s="322"/>
      <c r="H457" s="322"/>
      <c r="I457" s="322"/>
      <c r="J457" s="322"/>
      <c r="K457" s="322"/>
      <c r="L457" s="322"/>
      <c r="M457" s="322"/>
      <c r="N457" s="322"/>
      <c r="O457" s="322"/>
      <c r="P457" s="322"/>
      <c r="Q457" s="322"/>
      <c r="R457" s="322"/>
      <c r="S457" s="322"/>
      <c r="T457" s="322"/>
      <c r="U457" s="322"/>
      <c r="V457" s="322"/>
      <c r="W457" s="322"/>
      <c r="X457" s="322"/>
      <c r="Y457" s="322"/>
      <c r="Z457" s="322"/>
      <c r="AA457" s="322"/>
      <c r="AB457" s="322"/>
      <c r="AC457" s="322"/>
      <c r="AD457" s="322"/>
      <c r="AE457" s="322"/>
      <c r="AF457" s="322"/>
      <c r="AG457" s="322"/>
      <c r="AH457" s="322"/>
      <c r="AI457" s="322"/>
      <c r="AJ457" s="322"/>
      <c r="AK457" s="322"/>
    </row>
    <row r="458" spans="1:37" ht="18" customHeight="1">
      <c r="A458" s="322"/>
      <c r="B458" s="322"/>
      <c r="C458" s="451"/>
      <c r="D458" s="322"/>
      <c r="E458" s="322"/>
      <c r="F458" s="322"/>
      <c r="G458" s="322"/>
      <c r="H458" s="322"/>
      <c r="I458" s="322"/>
      <c r="J458" s="322"/>
      <c r="K458" s="322"/>
      <c r="L458" s="322"/>
      <c r="M458" s="322"/>
      <c r="N458" s="322"/>
      <c r="O458" s="322"/>
      <c r="P458" s="322"/>
      <c r="Q458" s="322"/>
      <c r="R458" s="322"/>
      <c r="S458" s="322"/>
      <c r="T458" s="322"/>
      <c r="U458" s="322"/>
      <c r="V458" s="322"/>
      <c r="W458" s="322"/>
      <c r="X458" s="322"/>
      <c r="Y458" s="322"/>
      <c r="Z458" s="322"/>
      <c r="AA458" s="322"/>
      <c r="AB458" s="322"/>
      <c r="AC458" s="322"/>
      <c r="AD458" s="322"/>
      <c r="AE458" s="322"/>
      <c r="AF458" s="322"/>
      <c r="AG458" s="322"/>
      <c r="AH458" s="322"/>
      <c r="AI458" s="322"/>
      <c r="AJ458" s="322"/>
      <c r="AK458" s="322"/>
    </row>
    <row r="459" spans="1:37" ht="18" customHeight="1">
      <c r="A459" s="322"/>
      <c r="B459" s="322"/>
      <c r="C459" s="451"/>
      <c r="D459" s="322"/>
      <c r="E459" s="322"/>
      <c r="F459" s="322"/>
      <c r="G459" s="322"/>
      <c r="H459" s="322"/>
      <c r="I459" s="322"/>
      <c r="J459" s="322"/>
      <c r="K459" s="322"/>
      <c r="L459" s="322"/>
      <c r="M459" s="322"/>
      <c r="N459" s="322"/>
      <c r="O459" s="322"/>
      <c r="P459" s="322"/>
      <c r="Q459" s="322"/>
      <c r="R459" s="322"/>
      <c r="S459" s="322"/>
      <c r="T459" s="322"/>
      <c r="U459" s="322"/>
      <c r="V459" s="322"/>
      <c r="W459" s="322"/>
      <c r="X459" s="322"/>
      <c r="Y459" s="322"/>
      <c r="Z459" s="322"/>
      <c r="AA459" s="322"/>
      <c r="AB459" s="322"/>
      <c r="AC459" s="322"/>
      <c r="AD459" s="322"/>
      <c r="AE459" s="322"/>
      <c r="AF459" s="322"/>
      <c r="AG459" s="322"/>
      <c r="AH459" s="322"/>
      <c r="AI459" s="322"/>
      <c r="AJ459" s="322"/>
      <c r="AK459" s="322"/>
    </row>
    <row r="460" spans="1:37" ht="18" customHeight="1">
      <c r="A460" s="322"/>
      <c r="B460" s="322"/>
      <c r="C460" s="451"/>
      <c r="D460" s="322"/>
      <c r="E460" s="322"/>
      <c r="F460" s="322"/>
      <c r="G460" s="322"/>
      <c r="H460" s="322"/>
      <c r="I460" s="322"/>
      <c r="J460" s="322"/>
      <c r="K460" s="322"/>
      <c r="L460" s="322"/>
      <c r="M460" s="322"/>
      <c r="N460" s="322"/>
      <c r="O460" s="322"/>
      <c r="P460" s="322"/>
      <c r="Q460" s="322"/>
      <c r="R460" s="322"/>
      <c r="S460" s="322"/>
      <c r="T460" s="322"/>
      <c r="U460" s="322"/>
      <c r="V460" s="322"/>
      <c r="W460" s="322"/>
      <c r="X460" s="322"/>
      <c r="Y460" s="322"/>
      <c r="Z460" s="322"/>
      <c r="AA460" s="322"/>
      <c r="AB460" s="322"/>
      <c r="AC460" s="322"/>
      <c r="AD460" s="322"/>
      <c r="AE460" s="322"/>
      <c r="AF460" s="322"/>
      <c r="AG460" s="322"/>
      <c r="AH460" s="322"/>
      <c r="AI460" s="322"/>
      <c r="AJ460" s="322"/>
      <c r="AK460" s="322"/>
    </row>
    <row r="461" spans="1:37" ht="18" customHeight="1">
      <c r="A461" s="322"/>
      <c r="B461" s="322"/>
      <c r="C461" s="451"/>
      <c r="D461" s="322"/>
      <c r="E461" s="322"/>
      <c r="F461" s="322"/>
      <c r="G461" s="322"/>
      <c r="H461" s="322"/>
      <c r="I461" s="322"/>
      <c r="J461" s="322"/>
      <c r="K461" s="322"/>
      <c r="L461" s="322"/>
      <c r="M461" s="322"/>
      <c r="N461" s="322"/>
      <c r="O461" s="322"/>
      <c r="P461" s="322"/>
      <c r="Q461" s="322"/>
      <c r="R461" s="322"/>
      <c r="S461" s="322"/>
      <c r="T461" s="322"/>
      <c r="U461" s="322"/>
      <c r="V461" s="322"/>
      <c r="W461" s="322"/>
      <c r="X461" s="322"/>
      <c r="Y461" s="322"/>
      <c r="Z461" s="322"/>
      <c r="AA461" s="322"/>
      <c r="AB461" s="322"/>
      <c r="AC461" s="322"/>
      <c r="AD461" s="322"/>
      <c r="AE461" s="322"/>
      <c r="AF461" s="322"/>
      <c r="AG461" s="322"/>
      <c r="AH461" s="322"/>
      <c r="AI461" s="322"/>
      <c r="AJ461" s="322"/>
      <c r="AK461" s="322"/>
    </row>
    <row r="462" spans="1:37" ht="18" customHeight="1">
      <c r="A462" s="322"/>
      <c r="B462" s="322"/>
      <c r="C462" s="451"/>
      <c r="D462" s="322"/>
      <c r="E462" s="322"/>
      <c r="F462" s="322"/>
      <c r="G462" s="322"/>
      <c r="H462" s="322"/>
      <c r="I462" s="322"/>
      <c r="J462" s="322"/>
      <c r="K462" s="322"/>
      <c r="L462" s="322"/>
      <c r="M462" s="322"/>
      <c r="N462" s="322"/>
      <c r="O462" s="322"/>
      <c r="P462" s="322"/>
      <c r="Q462" s="322"/>
      <c r="R462" s="322"/>
      <c r="S462" s="322"/>
      <c r="T462" s="322"/>
      <c r="U462" s="322"/>
      <c r="V462" s="322"/>
      <c r="W462" s="322"/>
      <c r="X462" s="322"/>
      <c r="Y462" s="322"/>
      <c r="Z462" s="322"/>
      <c r="AA462" s="322"/>
      <c r="AB462" s="322"/>
      <c r="AC462" s="322"/>
      <c r="AD462" s="322"/>
      <c r="AE462" s="322"/>
      <c r="AF462" s="322"/>
      <c r="AG462" s="322"/>
      <c r="AH462" s="322"/>
      <c r="AI462" s="322"/>
      <c r="AJ462" s="322"/>
      <c r="AK462" s="322"/>
    </row>
    <row r="463" spans="1:37" ht="18" customHeight="1">
      <c r="A463" s="322"/>
      <c r="B463" s="322"/>
      <c r="C463" s="451"/>
      <c r="D463" s="322"/>
      <c r="E463" s="322"/>
      <c r="F463" s="322"/>
      <c r="G463" s="322"/>
      <c r="H463" s="322"/>
      <c r="I463" s="322"/>
      <c r="J463" s="322"/>
      <c r="K463" s="322"/>
      <c r="L463" s="322"/>
      <c r="M463" s="322"/>
      <c r="N463" s="322"/>
      <c r="O463" s="322"/>
      <c r="P463" s="322"/>
      <c r="Q463" s="322"/>
      <c r="R463" s="322"/>
      <c r="S463" s="322"/>
      <c r="T463" s="322"/>
      <c r="U463" s="322"/>
      <c r="V463" s="322"/>
      <c r="W463" s="322"/>
      <c r="X463" s="322"/>
      <c r="Y463" s="322"/>
      <c r="Z463" s="322"/>
      <c r="AA463" s="322"/>
      <c r="AB463" s="322"/>
      <c r="AC463" s="322"/>
      <c r="AD463" s="322"/>
      <c r="AE463" s="322"/>
      <c r="AF463" s="322"/>
      <c r="AG463" s="322"/>
      <c r="AH463" s="322"/>
      <c r="AI463" s="322"/>
      <c r="AJ463" s="322"/>
      <c r="AK463" s="322"/>
    </row>
    <row r="464" spans="1:37" ht="18" customHeight="1">
      <c r="A464" s="322"/>
      <c r="B464" s="322"/>
      <c r="C464" s="451"/>
      <c r="D464" s="322"/>
      <c r="E464" s="322"/>
      <c r="F464" s="322"/>
      <c r="G464" s="322"/>
      <c r="H464" s="322"/>
      <c r="I464" s="322"/>
      <c r="J464" s="322"/>
      <c r="K464" s="322"/>
      <c r="L464" s="322"/>
      <c r="M464" s="322"/>
      <c r="N464" s="322"/>
      <c r="O464" s="322"/>
      <c r="P464" s="322"/>
      <c r="Q464" s="322"/>
      <c r="R464" s="322"/>
      <c r="S464" s="322"/>
      <c r="T464" s="322"/>
      <c r="U464" s="322"/>
      <c r="V464" s="322"/>
      <c r="W464" s="322"/>
      <c r="X464" s="322"/>
      <c r="Y464" s="322"/>
      <c r="Z464" s="322"/>
      <c r="AA464" s="322"/>
      <c r="AB464" s="322"/>
      <c r="AC464" s="322"/>
      <c r="AD464" s="322"/>
      <c r="AE464" s="322"/>
      <c r="AF464" s="322"/>
      <c r="AG464" s="322"/>
      <c r="AH464" s="322"/>
      <c r="AI464" s="322"/>
      <c r="AJ464" s="322"/>
      <c r="AK464" s="322"/>
    </row>
    <row r="465" spans="1:37" ht="18" customHeight="1">
      <c r="A465" s="322"/>
      <c r="B465" s="322"/>
      <c r="C465" s="451"/>
      <c r="D465" s="322"/>
      <c r="E465" s="322"/>
      <c r="F465" s="322"/>
      <c r="G465" s="322"/>
      <c r="H465" s="322"/>
      <c r="I465" s="322"/>
      <c r="J465" s="322"/>
      <c r="K465" s="322"/>
      <c r="L465" s="322"/>
      <c r="M465" s="322"/>
      <c r="N465" s="322"/>
      <c r="O465" s="322"/>
      <c r="P465" s="322"/>
      <c r="Q465" s="322"/>
      <c r="R465" s="322"/>
      <c r="S465" s="322"/>
      <c r="T465" s="322"/>
      <c r="U465" s="322"/>
      <c r="V465" s="322"/>
      <c r="W465" s="322"/>
      <c r="X465" s="322"/>
      <c r="Y465" s="322"/>
      <c r="Z465" s="322"/>
      <c r="AA465" s="322"/>
      <c r="AB465" s="322"/>
      <c r="AC465" s="322"/>
      <c r="AD465" s="322"/>
      <c r="AE465" s="322"/>
      <c r="AF465" s="322"/>
      <c r="AG465" s="322"/>
      <c r="AH465" s="322"/>
      <c r="AI465" s="322"/>
      <c r="AJ465" s="322"/>
      <c r="AK465" s="322"/>
    </row>
    <row r="466" spans="1:37" ht="18" customHeight="1">
      <c r="A466" s="322"/>
      <c r="B466" s="322"/>
      <c r="C466" s="451"/>
      <c r="D466" s="322"/>
      <c r="E466" s="322"/>
      <c r="F466" s="322"/>
      <c r="G466" s="322"/>
      <c r="H466" s="322"/>
      <c r="I466" s="322"/>
      <c r="J466" s="322"/>
      <c r="K466" s="322"/>
      <c r="L466" s="322"/>
      <c r="M466" s="322"/>
      <c r="N466" s="322"/>
      <c r="O466" s="322"/>
      <c r="P466" s="322"/>
      <c r="Q466" s="322"/>
      <c r="R466" s="322"/>
      <c r="S466" s="322"/>
      <c r="T466" s="322"/>
      <c r="U466" s="322"/>
      <c r="V466" s="322"/>
      <c r="W466" s="322"/>
      <c r="X466" s="322"/>
      <c r="Y466" s="322"/>
      <c r="Z466" s="322"/>
      <c r="AA466" s="322"/>
      <c r="AB466" s="322"/>
      <c r="AC466" s="322"/>
      <c r="AD466" s="322"/>
      <c r="AE466" s="322"/>
      <c r="AF466" s="322"/>
      <c r="AG466" s="322"/>
      <c r="AH466" s="322"/>
      <c r="AI466" s="322"/>
      <c r="AJ466" s="322"/>
      <c r="AK466" s="322"/>
    </row>
    <row r="467" spans="1:37" ht="18" customHeight="1">
      <c r="A467" s="322"/>
      <c r="B467" s="322"/>
      <c r="C467" s="451"/>
      <c r="D467" s="322"/>
      <c r="E467" s="322"/>
      <c r="F467" s="322"/>
      <c r="G467" s="322"/>
      <c r="H467" s="322"/>
      <c r="I467" s="322"/>
      <c r="J467" s="322"/>
      <c r="K467" s="322"/>
      <c r="L467" s="322"/>
      <c r="M467" s="322"/>
      <c r="N467" s="322"/>
      <c r="O467" s="322"/>
      <c r="P467" s="322"/>
      <c r="Q467" s="322"/>
      <c r="R467" s="322"/>
      <c r="S467" s="322"/>
      <c r="T467" s="322"/>
      <c r="U467" s="322"/>
      <c r="V467" s="322"/>
      <c r="W467" s="322"/>
      <c r="X467" s="322"/>
      <c r="Y467" s="322"/>
      <c r="Z467" s="322"/>
      <c r="AA467" s="322"/>
      <c r="AB467" s="322"/>
      <c r="AC467" s="322"/>
      <c r="AD467" s="322"/>
      <c r="AE467" s="322"/>
      <c r="AF467" s="322"/>
      <c r="AG467" s="322"/>
      <c r="AH467" s="322"/>
      <c r="AI467" s="322"/>
      <c r="AJ467" s="322"/>
      <c r="AK467" s="322"/>
    </row>
    <row r="468" spans="1:37" ht="18" customHeight="1">
      <c r="A468" s="322"/>
      <c r="B468" s="322"/>
      <c r="C468" s="451"/>
      <c r="D468" s="322"/>
      <c r="E468" s="322"/>
      <c r="F468" s="322"/>
      <c r="G468" s="322"/>
      <c r="H468" s="322"/>
      <c r="I468" s="322"/>
      <c r="J468" s="322"/>
      <c r="K468" s="322"/>
      <c r="L468" s="322"/>
      <c r="M468" s="322"/>
      <c r="N468" s="322"/>
      <c r="O468" s="322"/>
      <c r="P468" s="322"/>
      <c r="Q468" s="322"/>
      <c r="R468" s="322"/>
      <c r="S468" s="322"/>
      <c r="T468" s="322"/>
      <c r="U468" s="322"/>
      <c r="V468" s="322"/>
      <c r="W468" s="322"/>
      <c r="X468" s="322"/>
      <c r="Y468" s="322"/>
      <c r="Z468" s="322"/>
      <c r="AA468" s="322"/>
      <c r="AB468" s="322"/>
      <c r="AC468" s="322"/>
      <c r="AD468" s="322"/>
      <c r="AE468" s="322"/>
      <c r="AF468" s="322"/>
      <c r="AG468" s="322"/>
      <c r="AH468" s="322"/>
      <c r="AI468" s="322"/>
      <c r="AJ468" s="322"/>
      <c r="AK468" s="322"/>
    </row>
    <row r="469" spans="1:37" ht="18" customHeight="1">
      <c r="A469" s="322"/>
      <c r="B469" s="322"/>
      <c r="C469" s="451"/>
      <c r="D469" s="322"/>
      <c r="E469" s="322"/>
      <c r="F469" s="322"/>
      <c r="G469" s="322"/>
      <c r="H469" s="322"/>
      <c r="I469" s="322"/>
      <c r="J469" s="322"/>
      <c r="K469" s="322"/>
      <c r="L469" s="322"/>
      <c r="M469" s="322"/>
      <c r="N469" s="322"/>
      <c r="O469" s="322"/>
      <c r="P469" s="322"/>
      <c r="Q469" s="322"/>
      <c r="R469" s="322"/>
      <c r="S469" s="322"/>
      <c r="T469" s="322"/>
      <c r="U469" s="322"/>
      <c r="V469" s="322"/>
      <c r="W469" s="322"/>
      <c r="X469" s="322"/>
      <c r="Y469" s="322"/>
      <c r="Z469" s="322"/>
      <c r="AA469" s="322"/>
      <c r="AB469" s="322"/>
      <c r="AC469" s="322"/>
      <c r="AD469" s="322"/>
      <c r="AE469" s="322"/>
      <c r="AF469" s="322"/>
      <c r="AG469" s="322"/>
      <c r="AH469" s="322"/>
      <c r="AI469" s="322"/>
      <c r="AJ469" s="322"/>
      <c r="AK469" s="322"/>
    </row>
    <row r="470" spans="1:37" ht="18" customHeight="1">
      <c r="A470" s="322"/>
      <c r="B470" s="322"/>
      <c r="C470" s="451"/>
      <c r="D470" s="322"/>
      <c r="E470" s="322"/>
      <c r="F470" s="322"/>
      <c r="G470" s="322"/>
      <c r="H470" s="322"/>
      <c r="I470" s="322"/>
      <c r="J470" s="322"/>
      <c r="K470" s="322"/>
      <c r="L470" s="322"/>
      <c r="M470" s="322"/>
      <c r="N470" s="322"/>
      <c r="O470" s="322"/>
      <c r="P470" s="322"/>
      <c r="Q470" s="322"/>
      <c r="R470" s="322"/>
      <c r="S470" s="322"/>
      <c r="T470" s="322"/>
      <c r="U470" s="322"/>
      <c r="V470" s="322"/>
      <c r="W470" s="322"/>
      <c r="X470" s="322"/>
      <c r="Y470" s="322"/>
      <c r="Z470" s="322"/>
      <c r="AA470" s="322"/>
      <c r="AB470" s="322"/>
      <c r="AC470" s="322"/>
      <c r="AD470" s="322"/>
      <c r="AE470" s="322"/>
      <c r="AF470" s="322"/>
      <c r="AG470" s="322"/>
      <c r="AH470" s="322"/>
      <c r="AI470" s="322"/>
      <c r="AJ470" s="322"/>
      <c r="AK470" s="322"/>
    </row>
    <row r="471" spans="1:37" ht="18" customHeight="1">
      <c r="A471" s="322"/>
      <c r="B471" s="322"/>
      <c r="C471" s="451"/>
      <c r="D471" s="322"/>
      <c r="E471" s="322"/>
      <c r="F471" s="322"/>
      <c r="G471" s="322"/>
      <c r="H471" s="322"/>
      <c r="I471" s="322"/>
      <c r="J471" s="322"/>
      <c r="K471" s="322"/>
      <c r="L471" s="322"/>
      <c r="M471" s="322"/>
      <c r="N471" s="322"/>
      <c r="O471" s="322"/>
      <c r="P471" s="322"/>
      <c r="Q471" s="322"/>
      <c r="R471" s="322"/>
      <c r="S471" s="322"/>
      <c r="T471" s="322"/>
      <c r="U471" s="322"/>
      <c r="V471" s="322"/>
      <c r="W471" s="322"/>
      <c r="X471" s="322"/>
      <c r="Y471" s="322"/>
      <c r="Z471" s="322"/>
      <c r="AA471" s="322"/>
      <c r="AB471" s="322"/>
      <c r="AC471" s="322"/>
      <c r="AD471" s="322"/>
      <c r="AE471" s="322"/>
      <c r="AF471" s="322"/>
      <c r="AG471" s="322"/>
      <c r="AH471" s="322"/>
      <c r="AI471" s="322"/>
      <c r="AJ471" s="322"/>
      <c r="AK471" s="322"/>
    </row>
    <row r="472" spans="1:37" ht="18" customHeight="1">
      <c r="A472" s="322"/>
      <c r="B472" s="322"/>
      <c r="C472" s="451"/>
      <c r="D472" s="322"/>
      <c r="E472" s="322"/>
      <c r="F472" s="322"/>
      <c r="G472" s="322"/>
      <c r="H472" s="322"/>
      <c r="I472" s="322"/>
      <c r="J472" s="322"/>
      <c r="K472" s="322"/>
      <c r="L472" s="322"/>
      <c r="M472" s="322"/>
      <c r="N472" s="322"/>
      <c r="O472" s="322"/>
      <c r="P472" s="322"/>
      <c r="Q472" s="322"/>
      <c r="R472" s="322"/>
      <c r="S472" s="322"/>
      <c r="T472" s="322"/>
      <c r="U472" s="322"/>
      <c r="V472" s="322"/>
      <c r="W472" s="322"/>
      <c r="X472" s="322"/>
      <c r="Y472" s="322"/>
      <c r="Z472" s="322"/>
      <c r="AA472" s="322"/>
      <c r="AB472" s="322"/>
      <c r="AC472" s="322"/>
      <c r="AD472" s="322"/>
      <c r="AE472" s="322"/>
      <c r="AF472" s="322"/>
      <c r="AG472" s="322"/>
      <c r="AH472" s="322"/>
      <c r="AI472" s="322"/>
      <c r="AJ472" s="322"/>
      <c r="AK472" s="322"/>
    </row>
    <row r="473" spans="1:37" ht="18" customHeight="1">
      <c r="A473" s="322"/>
      <c r="B473" s="322"/>
      <c r="C473" s="451"/>
      <c r="D473" s="322"/>
      <c r="E473" s="322"/>
      <c r="F473" s="322"/>
      <c r="G473" s="322"/>
      <c r="H473" s="322"/>
      <c r="I473" s="322"/>
      <c r="J473" s="322"/>
      <c r="K473" s="322"/>
      <c r="L473" s="322"/>
      <c r="M473" s="322"/>
      <c r="N473" s="322"/>
      <c r="O473" s="322"/>
      <c r="P473" s="322"/>
      <c r="Q473" s="322"/>
      <c r="R473" s="322"/>
      <c r="S473" s="322"/>
      <c r="T473" s="322"/>
      <c r="U473" s="322"/>
      <c r="V473" s="322"/>
      <c r="W473" s="322"/>
      <c r="X473" s="322"/>
      <c r="Y473" s="322"/>
      <c r="Z473" s="322"/>
      <c r="AA473" s="322"/>
      <c r="AB473" s="322"/>
      <c r="AC473" s="322"/>
      <c r="AD473" s="322"/>
      <c r="AE473" s="322"/>
      <c r="AF473" s="322"/>
      <c r="AG473" s="322"/>
      <c r="AH473" s="322"/>
      <c r="AI473" s="322"/>
      <c r="AJ473" s="322"/>
      <c r="AK473" s="322"/>
    </row>
    <row r="474" spans="1:37" ht="18" customHeight="1">
      <c r="A474" s="322"/>
      <c r="B474" s="322"/>
      <c r="C474" s="451"/>
      <c r="D474" s="322"/>
      <c r="E474" s="322"/>
      <c r="F474" s="322"/>
      <c r="G474" s="322"/>
      <c r="H474" s="322"/>
      <c r="I474" s="322"/>
      <c r="J474" s="322"/>
      <c r="K474" s="322"/>
      <c r="L474" s="322"/>
      <c r="M474" s="322"/>
      <c r="N474" s="322"/>
      <c r="O474" s="322"/>
      <c r="P474" s="322"/>
      <c r="Q474" s="322"/>
      <c r="R474" s="322"/>
      <c r="S474" s="322"/>
      <c r="T474" s="322"/>
      <c r="U474" s="322"/>
      <c r="V474" s="322"/>
      <c r="W474" s="322"/>
      <c r="X474" s="322"/>
      <c r="Y474" s="322"/>
      <c r="Z474" s="322"/>
      <c r="AA474" s="322"/>
      <c r="AB474" s="322"/>
      <c r="AC474" s="322"/>
      <c r="AD474" s="322"/>
      <c r="AE474" s="322"/>
      <c r="AF474" s="322"/>
      <c r="AG474" s="322"/>
      <c r="AH474" s="322"/>
      <c r="AI474" s="322"/>
      <c r="AJ474" s="322"/>
      <c r="AK474" s="322"/>
    </row>
    <row r="475" spans="1:37" ht="18" customHeight="1">
      <c r="A475" s="322"/>
      <c r="B475" s="322"/>
      <c r="C475" s="451"/>
      <c r="D475" s="322"/>
      <c r="E475" s="322"/>
      <c r="F475" s="322"/>
      <c r="G475" s="322"/>
      <c r="H475" s="322"/>
      <c r="I475" s="322"/>
      <c r="J475" s="322"/>
      <c r="K475" s="322"/>
      <c r="L475" s="322"/>
      <c r="M475" s="322"/>
      <c r="N475" s="322"/>
      <c r="O475" s="322"/>
      <c r="P475" s="322"/>
      <c r="Q475" s="322"/>
      <c r="R475" s="322"/>
      <c r="S475" s="322"/>
      <c r="T475" s="322"/>
      <c r="U475" s="322"/>
      <c r="V475" s="322"/>
      <c r="W475" s="322"/>
      <c r="X475" s="322"/>
      <c r="Y475" s="322"/>
      <c r="Z475" s="322"/>
      <c r="AA475" s="322"/>
      <c r="AB475" s="322"/>
      <c r="AC475" s="322"/>
      <c r="AD475" s="322"/>
      <c r="AE475" s="322"/>
      <c r="AF475" s="322"/>
      <c r="AG475" s="322"/>
      <c r="AH475" s="322"/>
      <c r="AI475" s="322"/>
      <c r="AJ475" s="322"/>
      <c r="AK475" s="322"/>
    </row>
    <row r="476" spans="1:37" ht="18" customHeight="1">
      <c r="A476" s="322"/>
      <c r="B476" s="322"/>
      <c r="C476" s="451"/>
      <c r="D476" s="322"/>
      <c r="E476" s="322"/>
      <c r="F476" s="322"/>
      <c r="G476" s="322"/>
      <c r="H476" s="322"/>
      <c r="I476" s="322"/>
      <c r="J476" s="322"/>
      <c r="K476" s="322"/>
      <c r="L476" s="322"/>
      <c r="M476" s="322"/>
      <c r="N476" s="322"/>
      <c r="O476" s="322"/>
      <c r="P476" s="322"/>
      <c r="Q476" s="322"/>
      <c r="R476" s="322"/>
      <c r="S476" s="322"/>
      <c r="T476" s="322"/>
      <c r="U476" s="322"/>
      <c r="V476" s="322"/>
      <c r="W476" s="322"/>
      <c r="X476" s="322"/>
      <c r="Y476" s="322"/>
      <c r="Z476" s="322"/>
      <c r="AA476" s="322"/>
      <c r="AB476" s="322"/>
      <c r="AC476" s="322"/>
      <c r="AD476" s="322"/>
      <c r="AE476" s="322"/>
      <c r="AF476" s="322"/>
      <c r="AG476" s="322"/>
      <c r="AH476" s="322"/>
      <c r="AI476" s="322"/>
      <c r="AJ476" s="322"/>
      <c r="AK476" s="322"/>
    </row>
    <row r="477" spans="1:37" ht="18" customHeight="1">
      <c r="A477" s="322"/>
      <c r="B477" s="322"/>
      <c r="C477" s="451"/>
      <c r="D477" s="322"/>
      <c r="E477" s="322"/>
      <c r="F477" s="322"/>
      <c r="G477" s="322"/>
      <c r="H477" s="322"/>
      <c r="I477" s="322"/>
      <c r="J477" s="322"/>
      <c r="K477" s="322"/>
      <c r="L477" s="322"/>
      <c r="M477" s="322"/>
      <c r="N477" s="322"/>
      <c r="O477" s="322"/>
      <c r="P477" s="322"/>
      <c r="Q477" s="322"/>
      <c r="R477" s="322"/>
      <c r="S477" s="322"/>
      <c r="T477" s="322"/>
      <c r="U477" s="322"/>
      <c r="V477" s="322"/>
      <c r="W477" s="322"/>
      <c r="X477" s="322"/>
      <c r="Y477" s="322"/>
      <c r="Z477" s="322"/>
      <c r="AA477" s="322"/>
      <c r="AB477" s="322"/>
      <c r="AC477" s="322"/>
      <c r="AD477" s="322"/>
      <c r="AE477" s="322"/>
      <c r="AF477" s="322"/>
      <c r="AG477" s="322"/>
      <c r="AH477" s="322"/>
      <c r="AI477" s="322"/>
      <c r="AJ477" s="322"/>
      <c r="AK477" s="322"/>
    </row>
    <row r="478" spans="1:37" ht="18" customHeight="1">
      <c r="A478" s="322"/>
      <c r="B478" s="322"/>
      <c r="C478" s="451"/>
      <c r="D478" s="322"/>
      <c r="E478" s="322"/>
      <c r="F478" s="322"/>
      <c r="G478" s="322"/>
      <c r="H478" s="322"/>
      <c r="I478" s="322"/>
      <c r="J478" s="322"/>
      <c r="K478" s="322"/>
      <c r="L478" s="322"/>
      <c r="M478" s="322"/>
      <c r="N478" s="322"/>
      <c r="O478" s="322"/>
      <c r="P478" s="322"/>
      <c r="Q478" s="322"/>
      <c r="R478" s="322"/>
      <c r="S478" s="322"/>
      <c r="T478" s="322"/>
      <c r="U478" s="322"/>
      <c r="V478" s="322"/>
      <c r="W478" s="322"/>
      <c r="X478" s="322"/>
      <c r="Y478" s="322"/>
      <c r="Z478" s="322"/>
      <c r="AA478" s="322"/>
      <c r="AB478" s="322"/>
      <c r="AC478" s="322"/>
      <c r="AD478" s="322"/>
      <c r="AE478" s="322"/>
      <c r="AF478" s="322"/>
      <c r="AG478" s="322"/>
      <c r="AH478" s="322"/>
      <c r="AI478" s="322"/>
      <c r="AJ478" s="322"/>
      <c r="AK478" s="322"/>
    </row>
    <row r="479" spans="1:37" ht="18" customHeight="1">
      <c r="A479" s="322"/>
      <c r="B479" s="322"/>
      <c r="C479" s="451"/>
      <c r="D479" s="322"/>
      <c r="E479" s="322"/>
      <c r="F479" s="322"/>
      <c r="G479" s="322"/>
      <c r="H479" s="322"/>
      <c r="I479" s="322"/>
      <c r="J479" s="322"/>
      <c r="K479" s="322"/>
      <c r="L479" s="322"/>
      <c r="M479" s="322"/>
      <c r="N479" s="322"/>
      <c r="O479" s="322"/>
      <c r="P479" s="322"/>
      <c r="Q479" s="322"/>
      <c r="R479" s="322"/>
      <c r="S479" s="322"/>
      <c r="T479" s="322"/>
      <c r="U479" s="322"/>
      <c r="V479" s="322"/>
      <c r="W479" s="322"/>
      <c r="X479" s="322"/>
      <c r="Y479" s="322"/>
      <c r="Z479" s="322"/>
      <c r="AA479" s="322"/>
      <c r="AB479" s="322"/>
      <c r="AC479" s="322"/>
      <c r="AD479" s="322"/>
      <c r="AE479" s="322"/>
      <c r="AF479" s="322"/>
      <c r="AG479" s="322"/>
      <c r="AH479" s="322"/>
      <c r="AI479" s="322"/>
      <c r="AJ479" s="322"/>
      <c r="AK479" s="322"/>
    </row>
    <row r="480" spans="1:37" ht="18" customHeight="1">
      <c r="A480" s="322"/>
      <c r="B480" s="322"/>
      <c r="C480" s="451"/>
      <c r="D480" s="322"/>
      <c r="E480" s="322"/>
      <c r="F480" s="322"/>
      <c r="G480" s="322"/>
      <c r="H480" s="322"/>
      <c r="I480" s="322"/>
      <c r="J480" s="322"/>
      <c r="K480" s="322"/>
      <c r="L480" s="322"/>
      <c r="M480" s="322"/>
      <c r="N480" s="322"/>
      <c r="O480" s="322"/>
      <c r="P480" s="322"/>
      <c r="Q480" s="322"/>
      <c r="R480" s="322"/>
      <c r="S480" s="322"/>
      <c r="T480" s="322"/>
      <c r="U480" s="322"/>
      <c r="V480" s="322"/>
      <c r="W480" s="322"/>
      <c r="X480" s="322"/>
      <c r="Y480" s="322"/>
      <c r="Z480" s="322"/>
      <c r="AA480" s="322"/>
      <c r="AB480" s="322"/>
      <c r="AC480" s="322"/>
      <c r="AD480" s="322"/>
      <c r="AE480" s="322"/>
      <c r="AF480" s="322"/>
      <c r="AG480" s="322"/>
      <c r="AH480" s="322"/>
      <c r="AI480" s="322"/>
      <c r="AJ480" s="322"/>
      <c r="AK480" s="322"/>
    </row>
    <row r="481" spans="1:37" ht="18" customHeight="1">
      <c r="A481" s="322"/>
      <c r="B481" s="322"/>
      <c r="C481" s="451"/>
      <c r="D481" s="322"/>
      <c r="E481" s="322"/>
      <c r="F481" s="322"/>
      <c r="G481" s="322"/>
      <c r="H481" s="322"/>
      <c r="I481" s="322"/>
      <c r="J481" s="322"/>
      <c r="K481" s="322"/>
      <c r="L481" s="322"/>
      <c r="M481" s="322"/>
      <c r="N481" s="322"/>
      <c r="O481" s="322"/>
      <c r="P481" s="322"/>
      <c r="Q481" s="322"/>
      <c r="R481" s="322"/>
      <c r="S481" s="322"/>
      <c r="T481" s="322"/>
      <c r="U481" s="322"/>
      <c r="V481" s="322"/>
      <c r="W481" s="322"/>
      <c r="X481" s="322"/>
      <c r="Y481" s="322"/>
      <c r="Z481" s="322"/>
      <c r="AA481" s="322"/>
      <c r="AB481" s="322"/>
      <c r="AC481" s="322"/>
      <c r="AD481" s="322"/>
      <c r="AE481" s="322"/>
      <c r="AF481" s="322"/>
      <c r="AG481" s="322"/>
      <c r="AH481" s="322"/>
      <c r="AI481" s="322"/>
      <c r="AJ481" s="322"/>
      <c r="AK481" s="322"/>
    </row>
    <row r="482" spans="1:37" ht="18" customHeight="1">
      <c r="A482" s="322"/>
      <c r="B482" s="322"/>
      <c r="C482" s="451"/>
      <c r="D482" s="322"/>
      <c r="E482" s="322"/>
      <c r="F482" s="322"/>
      <c r="G482" s="322"/>
      <c r="H482" s="322"/>
      <c r="I482" s="322"/>
      <c r="J482" s="322"/>
      <c r="K482" s="322"/>
      <c r="L482" s="322"/>
      <c r="M482" s="322"/>
      <c r="N482" s="322"/>
      <c r="O482" s="322"/>
      <c r="P482" s="322"/>
      <c r="Q482" s="322"/>
      <c r="R482" s="322"/>
      <c r="S482" s="322"/>
      <c r="T482" s="322"/>
      <c r="U482" s="322"/>
      <c r="V482" s="322"/>
      <c r="W482" s="322"/>
      <c r="X482" s="322"/>
      <c r="Y482" s="322"/>
      <c r="Z482" s="322"/>
      <c r="AA482" s="322"/>
      <c r="AB482" s="322"/>
      <c r="AC482" s="322"/>
      <c r="AD482" s="322"/>
      <c r="AE482" s="322"/>
      <c r="AF482" s="322"/>
      <c r="AG482" s="322"/>
      <c r="AH482" s="322"/>
      <c r="AI482" s="322"/>
      <c r="AJ482" s="322"/>
      <c r="AK482" s="322"/>
    </row>
    <row r="483" spans="1:37" ht="18" customHeight="1">
      <c r="A483" s="322"/>
      <c r="B483" s="322"/>
      <c r="C483" s="451"/>
      <c r="D483" s="322"/>
      <c r="E483" s="322"/>
      <c r="F483" s="322"/>
      <c r="G483" s="322"/>
      <c r="H483" s="322"/>
      <c r="I483" s="322"/>
      <c r="J483" s="322"/>
      <c r="K483" s="322"/>
      <c r="L483" s="322"/>
      <c r="M483" s="322"/>
      <c r="N483" s="322"/>
      <c r="O483" s="322"/>
      <c r="P483" s="322"/>
      <c r="Q483" s="322"/>
      <c r="R483" s="322"/>
      <c r="S483" s="322"/>
      <c r="T483" s="322"/>
      <c r="U483" s="322"/>
      <c r="V483" s="322"/>
      <c r="W483" s="322"/>
      <c r="X483" s="322"/>
      <c r="Y483" s="322"/>
      <c r="Z483" s="322"/>
      <c r="AA483" s="322"/>
      <c r="AB483" s="322"/>
      <c r="AC483" s="322"/>
      <c r="AD483" s="322"/>
      <c r="AE483" s="322"/>
      <c r="AF483" s="322"/>
      <c r="AG483" s="322"/>
      <c r="AH483" s="322"/>
      <c r="AI483" s="322"/>
      <c r="AJ483" s="322"/>
      <c r="AK483" s="322"/>
    </row>
    <row r="484" spans="1:37" ht="18" customHeight="1">
      <c r="A484" s="322"/>
      <c r="B484" s="322"/>
      <c r="C484" s="451"/>
      <c r="D484" s="322"/>
      <c r="E484" s="322"/>
      <c r="F484" s="322"/>
      <c r="G484" s="322"/>
      <c r="H484" s="322"/>
      <c r="I484" s="322"/>
      <c r="J484" s="322"/>
      <c r="K484" s="322"/>
      <c r="L484" s="322"/>
      <c r="M484" s="322"/>
      <c r="N484" s="322"/>
      <c r="O484" s="322"/>
      <c r="P484" s="322"/>
      <c r="Q484" s="322"/>
      <c r="R484" s="322"/>
      <c r="S484" s="322"/>
      <c r="T484" s="322"/>
      <c r="U484" s="322"/>
      <c r="V484" s="322"/>
      <c r="W484" s="322"/>
      <c r="X484" s="322"/>
      <c r="Y484" s="322"/>
      <c r="Z484" s="322"/>
      <c r="AA484" s="322"/>
      <c r="AB484" s="322"/>
      <c r="AC484" s="322"/>
      <c r="AD484" s="322"/>
      <c r="AE484" s="322"/>
      <c r="AF484" s="322"/>
      <c r="AG484" s="322"/>
      <c r="AH484" s="322"/>
      <c r="AI484" s="322"/>
      <c r="AJ484" s="322"/>
      <c r="AK484" s="322"/>
    </row>
    <row r="485" spans="1:37" ht="18" customHeight="1">
      <c r="A485" s="322"/>
      <c r="B485" s="322"/>
      <c r="C485" s="451"/>
      <c r="D485" s="322"/>
      <c r="E485" s="322"/>
      <c r="F485" s="322"/>
      <c r="G485" s="322"/>
      <c r="H485" s="322"/>
      <c r="I485" s="322"/>
      <c r="J485" s="322"/>
      <c r="K485" s="322"/>
      <c r="L485" s="322"/>
      <c r="M485" s="322"/>
      <c r="N485" s="322"/>
      <c r="O485" s="322"/>
      <c r="P485" s="322"/>
      <c r="Q485" s="322"/>
      <c r="R485" s="322"/>
      <c r="S485" s="322"/>
      <c r="T485" s="322"/>
      <c r="U485" s="322"/>
      <c r="V485" s="322"/>
      <c r="W485" s="322"/>
      <c r="X485" s="322"/>
      <c r="Y485" s="322"/>
      <c r="Z485" s="322"/>
      <c r="AA485" s="322"/>
      <c r="AB485" s="322"/>
      <c r="AC485" s="322"/>
      <c r="AD485" s="322"/>
      <c r="AE485" s="322"/>
      <c r="AF485" s="322"/>
      <c r="AG485" s="322"/>
      <c r="AH485" s="322"/>
      <c r="AI485" s="322"/>
      <c r="AJ485" s="322"/>
      <c r="AK485" s="322"/>
    </row>
    <row r="486" spans="1:37" ht="18" customHeight="1">
      <c r="A486" s="322"/>
      <c r="B486" s="322"/>
      <c r="C486" s="451"/>
      <c r="D486" s="322"/>
      <c r="E486" s="322"/>
      <c r="F486" s="322"/>
      <c r="G486" s="322"/>
      <c r="H486" s="322"/>
      <c r="I486" s="322"/>
      <c r="J486" s="322"/>
      <c r="K486" s="322"/>
      <c r="L486" s="322"/>
      <c r="M486" s="322"/>
      <c r="N486" s="322"/>
      <c r="O486" s="322"/>
      <c r="P486" s="322"/>
      <c r="Q486" s="322"/>
      <c r="R486" s="322"/>
      <c r="S486" s="322"/>
      <c r="T486" s="322"/>
      <c r="U486" s="322"/>
      <c r="V486" s="322"/>
      <c r="W486" s="322"/>
      <c r="X486" s="322"/>
      <c r="Y486" s="322"/>
      <c r="Z486" s="322"/>
      <c r="AA486" s="322"/>
      <c r="AB486" s="322"/>
      <c r="AC486" s="322"/>
      <c r="AD486" s="322"/>
      <c r="AE486" s="322"/>
      <c r="AF486" s="322"/>
      <c r="AG486" s="322"/>
      <c r="AH486" s="322"/>
      <c r="AI486" s="322"/>
      <c r="AJ486" s="322"/>
      <c r="AK486" s="322"/>
    </row>
    <row r="487" spans="1:37" ht="18" customHeight="1">
      <c r="A487" s="322"/>
      <c r="B487" s="322"/>
      <c r="C487" s="451"/>
      <c r="D487" s="322"/>
      <c r="E487" s="322"/>
      <c r="F487" s="322"/>
      <c r="G487" s="322"/>
      <c r="H487" s="322"/>
      <c r="I487" s="322"/>
      <c r="J487" s="322"/>
      <c r="K487" s="322"/>
      <c r="L487" s="322"/>
      <c r="M487" s="322"/>
      <c r="N487" s="322"/>
      <c r="O487" s="322"/>
      <c r="P487" s="322"/>
      <c r="Q487" s="322"/>
      <c r="R487" s="322"/>
      <c r="S487" s="322"/>
      <c r="T487" s="322"/>
      <c r="U487" s="322"/>
      <c r="V487" s="322"/>
      <c r="W487" s="322"/>
      <c r="X487" s="322"/>
      <c r="Y487" s="322"/>
      <c r="Z487" s="322"/>
      <c r="AA487" s="322"/>
      <c r="AB487" s="322"/>
      <c r="AC487" s="322"/>
      <c r="AD487" s="322"/>
      <c r="AE487" s="322"/>
      <c r="AF487" s="322"/>
      <c r="AG487" s="322"/>
      <c r="AH487" s="322"/>
      <c r="AI487" s="322"/>
      <c r="AJ487" s="322"/>
      <c r="AK487" s="322"/>
    </row>
    <row r="488" spans="1:37" ht="18" customHeight="1">
      <c r="A488" s="322"/>
      <c r="B488" s="322"/>
      <c r="C488" s="451"/>
      <c r="D488" s="322"/>
      <c r="E488" s="322"/>
      <c r="F488" s="322"/>
      <c r="G488" s="322"/>
      <c r="H488" s="322"/>
      <c r="I488" s="322"/>
      <c r="J488" s="322"/>
      <c r="K488" s="322"/>
      <c r="L488" s="322"/>
      <c r="M488" s="322"/>
      <c r="N488" s="322"/>
      <c r="O488" s="322"/>
      <c r="P488" s="322"/>
      <c r="Q488" s="322"/>
      <c r="R488" s="322"/>
      <c r="S488" s="322"/>
      <c r="T488" s="322"/>
      <c r="U488" s="322"/>
      <c r="V488" s="322"/>
      <c r="W488" s="322"/>
      <c r="X488" s="322"/>
      <c r="Y488" s="322"/>
      <c r="Z488" s="322"/>
      <c r="AA488" s="322"/>
      <c r="AB488" s="322"/>
      <c r="AC488" s="322"/>
      <c r="AD488" s="322"/>
      <c r="AE488" s="322"/>
      <c r="AF488" s="322"/>
      <c r="AG488" s="322"/>
      <c r="AH488" s="322"/>
      <c r="AI488" s="322"/>
      <c r="AJ488" s="322"/>
      <c r="AK488" s="322"/>
    </row>
    <row r="489" spans="1:37" ht="18" customHeight="1">
      <c r="A489" s="322"/>
      <c r="B489" s="322"/>
      <c r="C489" s="451"/>
      <c r="D489" s="322"/>
      <c r="E489" s="322"/>
      <c r="F489" s="322"/>
      <c r="G489" s="322"/>
      <c r="H489" s="322"/>
      <c r="I489" s="322"/>
      <c r="J489" s="322"/>
      <c r="K489" s="322"/>
      <c r="L489" s="322"/>
      <c r="M489" s="322"/>
      <c r="N489" s="322"/>
      <c r="O489" s="322"/>
      <c r="P489" s="322"/>
      <c r="Q489" s="322"/>
      <c r="R489" s="322"/>
      <c r="S489" s="322"/>
      <c r="T489" s="322"/>
      <c r="U489" s="322"/>
      <c r="V489" s="322"/>
      <c r="W489" s="322"/>
      <c r="X489" s="322"/>
      <c r="Y489" s="322"/>
      <c r="Z489" s="322"/>
      <c r="AA489" s="322"/>
      <c r="AB489" s="322"/>
      <c r="AC489" s="322"/>
      <c r="AD489" s="322"/>
      <c r="AE489" s="322"/>
      <c r="AF489" s="322"/>
      <c r="AG489" s="322"/>
      <c r="AH489" s="322"/>
      <c r="AI489" s="322"/>
      <c r="AJ489" s="322"/>
      <c r="AK489" s="322"/>
    </row>
    <row r="490" spans="1:37" ht="18" customHeight="1">
      <c r="A490" s="322"/>
      <c r="B490" s="322"/>
      <c r="C490" s="451"/>
      <c r="D490" s="322"/>
      <c r="E490" s="322"/>
      <c r="F490" s="322"/>
      <c r="G490" s="322"/>
      <c r="H490" s="322"/>
      <c r="I490" s="322"/>
      <c r="J490" s="322"/>
      <c r="K490" s="322"/>
      <c r="L490" s="322"/>
      <c r="M490" s="322"/>
      <c r="N490" s="322"/>
      <c r="O490" s="322"/>
      <c r="P490" s="322"/>
      <c r="Q490" s="322"/>
      <c r="R490" s="322"/>
      <c r="S490" s="322"/>
      <c r="T490" s="322"/>
      <c r="U490" s="322"/>
      <c r="V490" s="322"/>
      <c r="W490" s="322"/>
      <c r="X490" s="322"/>
      <c r="Y490" s="322"/>
      <c r="Z490" s="322"/>
      <c r="AA490" s="322"/>
      <c r="AB490" s="322"/>
      <c r="AC490" s="322"/>
      <c r="AD490" s="322"/>
      <c r="AE490" s="322"/>
      <c r="AF490" s="322"/>
      <c r="AG490" s="322"/>
      <c r="AH490" s="322"/>
      <c r="AI490" s="322"/>
      <c r="AJ490" s="322"/>
      <c r="AK490" s="322"/>
    </row>
    <row r="491" spans="1:37" ht="18" customHeight="1">
      <c r="A491" s="322"/>
      <c r="B491" s="322"/>
      <c r="C491" s="451"/>
      <c r="D491" s="322"/>
      <c r="E491" s="322"/>
      <c r="F491" s="322"/>
      <c r="G491" s="322"/>
      <c r="H491" s="322"/>
      <c r="I491" s="322"/>
      <c r="J491" s="322"/>
      <c r="K491" s="322"/>
      <c r="L491" s="322"/>
      <c r="M491" s="322"/>
      <c r="N491" s="322"/>
      <c r="O491" s="322"/>
      <c r="P491" s="322"/>
      <c r="Q491" s="322"/>
      <c r="R491" s="322"/>
      <c r="S491" s="322"/>
      <c r="T491" s="322"/>
      <c r="U491" s="322"/>
      <c r="V491" s="322"/>
      <c r="W491" s="322"/>
      <c r="X491" s="322"/>
      <c r="Y491" s="322"/>
      <c r="Z491" s="322"/>
      <c r="AA491" s="322"/>
      <c r="AB491" s="322"/>
      <c r="AC491" s="322"/>
      <c r="AD491" s="322"/>
      <c r="AE491" s="322"/>
      <c r="AF491" s="322"/>
      <c r="AG491" s="322"/>
      <c r="AH491" s="322"/>
      <c r="AI491" s="322"/>
      <c r="AJ491" s="322"/>
      <c r="AK491" s="322"/>
    </row>
    <row r="492" spans="1:37" ht="18" customHeight="1">
      <c r="A492" s="322"/>
      <c r="B492" s="322"/>
      <c r="C492" s="451"/>
      <c r="D492" s="322"/>
      <c r="E492" s="322"/>
      <c r="F492" s="322"/>
      <c r="G492" s="322"/>
      <c r="H492" s="322"/>
      <c r="I492" s="322"/>
      <c r="J492" s="322"/>
      <c r="K492" s="322"/>
      <c r="L492" s="322"/>
      <c r="M492" s="322"/>
      <c r="N492" s="322"/>
      <c r="O492" s="322"/>
      <c r="P492" s="322"/>
      <c r="Q492" s="322"/>
      <c r="R492" s="322"/>
      <c r="S492" s="322"/>
      <c r="T492" s="322"/>
      <c r="U492" s="322"/>
      <c r="V492" s="322"/>
      <c r="W492" s="322"/>
      <c r="X492" s="322"/>
      <c r="Y492" s="322"/>
      <c r="Z492" s="322"/>
      <c r="AA492" s="322"/>
      <c r="AB492" s="322"/>
      <c r="AC492" s="322"/>
      <c r="AD492" s="322"/>
      <c r="AE492" s="322"/>
      <c r="AF492" s="322"/>
      <c r="AG492" s="322"/>
      <c r="AH492" s="322"/>
      <c r="AI492" s="322"/>
      <c r="AJ492" s="322"/>
      <c r="AK492" s="322"/>
    </row>
    <row r="493" spans="1:37" ht="18" customHeight="1">
      <c r="A493" s="322"/>
      <c r="B493" s="322"/>
      <c r="C493" s="451"/>
      <c r="D493" s="322"/>
      <c r="E493" s="322"/>
      <c r="F493" s="322"/>
      <c r="G493" s="322"/>
      <c r="H493" s="322"/>
      <c r="I493" s="322"/>
      <c r="J493" s="322"/>
      <c r="K493" s="322"/>
      <c r="L493" s="322"/>
      <c r="M493" s="322"/>
      <c r="N493" s="322"/>
      <c r="O493" s="322"/>
      <c r="P493" s="322"/>
      <c r="Q493" s="322"/>
      <c r="R493" s="322"/>
      <c r="S493" s="322"/>
      <c r="T493" s="322"/>
      <c r="U493" s="322"/>
      <c r="V493" s="322"/>
      <c r="W493" s="322"/>
      <c r="X493" s="322"/>
      <c r="Y493" s="322"/>
      <c r="Z493" s="322"/>
      <c r="AA493" s="322"/>
      <c r="AB493" s="322"/>
      <c r="AC493" s="322"/>
      <c r="AD493" s="322"/>
      <c r="AE493" s="322"/>
      <c r="AF493" s="322"/>
      <c r="AG493" s="322"/>
      <c r="AH493" s="322"/>
      <c r="AI493" s="322"/>
      <c r="AJ493" s="322"/>
      <c r="AK493" s="322"/>
    </row>
    <row r="494" spans="1:37" ht="18" customHeight="1">
      <c r="A494" s="322"/>
      <c r="B494" s="322"/>
      <c r="C494" s="451"/>
      <c r="D494" s="322"/>
      <c r="E494" s="322"/>
      <c r="F494" s="322"/>
      <c r="G494" s="322"/>
      <c r="H494" s="322"/>
      <c r="I494" s="322"/>
      <c r="J494" s="322"/>
      <c r="K494" s="322"/>
      <c r="L494" s="322"/>
      <c r="M494" s="322"/>
      <c r="N494" s="322"/>
      <c r="O494" s="322"/>
      <c r="P494" s="322"/>
      <c r="Q494" s="322"/>
      <c r="R494" s="322"/>
      <c r="S494" s="322"/>
      <c r="T494" s="322"/>
      <c r="U494" s="322"/>
      <c r="V494" s="322"/>
      <c r="W494" s="322"/>
      <c r="X494" s="322"/>
      <c r="Y494" s="322"/>
      <c r="Z494" s="322"/>
      <c r="AA494" s="322"/>
      <c r="AB494" s="322"/>
      <c r="AC494" s="322"/>
      <c r="AD494" s="322"/>
      <c r="AE494" s="322"/>
      <c r="AF494" s="322"/>
      <c r="AG494" s="322"/>
      <c r="AH494" s="322"/>
      <c r="AI494" s="322"/>
      <c r="AJ494" s="322"/>
      <c r="AK494" s="322"/>
    </row>
    <row r="495" spans="1:37" ht="18" customHeight="1">
      <c r="A495" s="322"/>
      <c r="B495" s="322"/>
      <c r="C495" s="451"/>
      <c r="D495" s="322"/>
      <c r="E495" s="322"/>
      <c r="F495" s="322"/>
      <c r="G495" s="322"/>
      <c r="H495" s="322"/>
      <c r="I495" s="322"/>
      <c r="J495" s="322"/>
      <c r="K495" s="322"/>
      <c r="L495" s="322"/>
      <c r="M495" s="322"/>
      <c r="N495" s="322"/>
      <c r="O495" s="322"/>
      <c r="P495" s="322"/>
      <c r="Q495" s="322"/>
      <c r="R495" s="322"/>
      <c r="S495" s="322"/>
      <c r="T495" s="322"/>
      <c r="U495" s="322"/>
      <c r="V495" s="322"/>
      <c r="W495" s="322"/>
      <c r="X495" s="322"/>
      <c r="Y495" s="322"/>
      <c r="Z495" s="322"/>
      <c r="AA495" s="322"/>
      <c r="AB495" s="322"/>
      <c r="AC495" s="322"/>
      <c r="AD495" s="322"/>
      <c r="AE495" s="322"/>
      <c r="AF495" s="322"/>
      <c r="AG495" s="322"/>
      <c r="AH495" s="322"/>
      <c r="AI495" s="322"/>
      <c r="AJ495" s="322"/>
      <c r="AK495" s="322"/>
    </row>
    <row r="496" spans="1:37" ht="18" customHeight="1">
      <c r="A496" s="322"/>
      <c r="B496" s="322"/>
      <c r="C496" s="451"/>
      <c r="D496" s="322"/>
      <c r="E496" s="322"/>
      <c r="F496" s="322"/>
      <c r="G496" s="322"/>
      <c r="H496" s="322"/>
      <c r="I496" s="322"/>
      <c r="J496" s="322"/>
      <c r="K496" s="322"/>
      <c r="L496" s="322"/>
      <c r="M496" s="322"/>
      <c r="N496" s="322"/>
      <c r="O496" s="322"/>
      <c r="P496" s="322"/>
      <c r="Q496" s="322"/>
      <c r="R496" s="322"/>
      <c r="S496" s="322"/>
      <c r="T496" s="322"/>
      <c r="U496" s="322"/>
      <c r="V496" s="322"/>
      <c r="W496" s="322"/>
      <c r="X496" s="322"/>
      <c r="Y496" s="322"/>
      <c r="Z496" s="322"/>
      <c r="AA496" s="322"/>
      <c r="AB496" s="322"/>
      <c r="AC496" s="322"/>
      <c r="AD496" s="322"/>
      <c r="AE496" s="322"/>
      <c r="AF496" s="322"/>
      <c r="AG496" s="322"/>
      <c r="AH496" s="322"/>
      <c r="AI496" s="322"/>
      <c r="AJ496" s="322"/>
      <c r="AK496" s="322"/>
    </row>
    <row r="497" spans="1:37" ht="18" customHeight="1">
      <c r="A497" s="322"/>
      <c r="B497" s="322"/>
      <c r="C497" s="451"/>
      <c r="D497" s="322"/>
      <c r="E497" s="322"/>
      <c r="F497" s="322"/>
      <c r="G497" s="322"/>
      <c r="H497" s="322"/>
      <c r="I497" s="322"/>
      <c r="J497" s="322"/>
      <c r="K497" s="322"/>
      <c r="L497" s="322"/>
      <c r="M497" s="322"/>
      <c r="N497" s="322"/>
      <c r="O497" s="322"/>
      <c r="P497" s="322"/>
      <c r="Q497" s="322"/>
      <c r="R497" s="322"/>
      <c r="S497" s="322"/>
      <c r="T497" s="322"/>
      <c r="U497" s="322"/>
      <c r="V497" s="322"/>
      <c r="W497" s="322"/>
      <c r="X497" s="322"/>
      <c r="Y497" s="322"/>
      <c r="Z497" s="322"/>
      <c r="AA497" s="322"/>
      <c r="AB497" s="322"/>
      <c r="AC497" s="322"/>
      <c r="AD497" s="322"/>
      <c r="AE497" s="322"/>
      <c r="AF497" s="322"/>
      <c r="AG497" s="322"/>
      <c r="AH497" s="322"/>
      <c r="AI497" s="322"/>
      <c r="AJ497" s="322"/>
      <c r="AK497" s="322"/>
    </row>
    <row r="498" spans="1:37" ht="18" customHeight="1">
      <c r="A498" s="322"/>
      <c r="B498" s="322"/>
      <c r="C498" s="451"/>
      <c r="D498" s="322"/>
      <c r="E498" s="322"/>
      <c r="F498" s="322"/>
      <c r="G498" s="322"/>
      <c r="H498" s="322"/>
      <c r="I498" s="322"/>
      <c r="J498" s="322"/>
      <c r="K498" s="322"/>
      <c r="L498" s="322"/>
      <c r="M498" s="322"/>
      <c r="N498" s="322"/>
      <c r="O498" s="322"/>
      <c r="P498" s="322"/>
      <c r="Q498" s="322"/>
      <c r="R498" s="322"/>
      <c r="S498" s="322"/>
      <c r="T498" s="322"/>
      <c r="U498" s="322"/>
      <c r="V498" s="322"/>
      <c r="W498" s="322"/>
      <c r="X498" s="322"/>
      <c r="Y498" s="322"/>
      <c r="Z498" s="322"/>
      <c r="AA498" s="322"/>
      <c r="AB498" s="322"/>
      <c r="AC498" s="322"/>
      <c r="AD498" s="322"/>
      <c r="AE498" s="322"/>
      <c r="AF498" s="322"/>
      <c r="AG498" s="322"/>
      <c r="AH498" s="322"/>
      <c r="AI498" s="322"/>
      <c r="AJ498" s="322"/>
      <c r="AK498" s="322"/>
    </row>
    <row r="499" spans="1:37" ht="18" customHeight="1">
      <c r="A499" s="322"/>
      <c r="B499" s="322"/>
      <c r="C499" s="451"/>
      <c r="D499" s="322"/>
      <c r="E499" s="322"/>
      <c r="F499" s="322"/>
      <c r="G499" s="322"/>
      <c r="H499" s="322"/>
      <c r="I499" s="322"/>
      <c r="J499" s="322"/>
      <c r="K499" s="322"/>
      <c r="L499" s="322"/>
      <c r="M499" s="322"/>
      <c r="N499" s="322"/>
      <c r="O499" s="322"/>
      <c r="P499" s="322"/>
      <c r="Q499" s="322"/>
      <c r="R499" s="322"/>
      <c r="S499" s="322"/>
      <c r="T499" s="322"/>
      <c r="U499" s="322"/>
      <c r="V499" s="322"/>
      <c r="W499" s="322"/>
      <c r="X499" s="322"/>
      <c r="Y499" s="322"/>
      <c r="Z499" s="322"/>
      <c r="AA499" s="322"/>
      <c r="AB499" s="322"/>
      <c r="AC499" s="322"/>
      <c r="AD499" s="322"/>
      <c r="AE499" s="322"/>
      <c r="AF499" s="322"/>
      <c r="AG499" s="322"/>
      <c r="AH499" s="322"/>
      <c r="AI499" s="322"/>
      <c r="AJ499" s="322"/>
      <c r="AK499" s="322"/>
    </row>
    <row r="500" spans="1:37" ht="18" customHeight="1">
      <c r="A500" s="322"/>
      <c r="B500" s="322"/>
      <c r="C500" s="451"/>
      <c r="D500" s="322"/>
      <c r="E500" s="322"/>
      <c r="F500" s="322"/>
      <c r="G500" s="322"/>
      <c r="H500" s="322"/>
      <c r="I500" s="322"/>
      <c r="J500" s="322"/>
      <c r="K500" s="322"/>
      <c r="L500" s="322"/>
      <c r="M500" s="322"/>
      <c r="N500" s="322"/>
      <c r="O500" s="322"/>
      <c r="P500" s="322"/>
      <c r="Q500" s="322"/>
      <c r="R500" s="322"/>
      <c r="S500" s="322"/>
      <c r="T500" s="322"/>
      <c r="U500" s="322"/>
      <c r="V500" s="322"/>
      <c r="W500" s="322"/>
      <c r="X500" s="322"/>
      <c r="Y500" s="322"/>
      <c r="Z500" s="322"/>
      <c r="AA500" s="322"/>
      <c r="AB500" s="322"/>
      <c r="AC500" s="322"/>
      <c r="AD500" s="322"/>
      <c r="AE500" s="322"/>
      <c r="AF500" s="322"/>
      <c r="AG500" s="322"/>
      <c r="AH500" s="322"/>
      <c r="AI500" s="322"/>
      <c r="AJ500" s="322"/>
      <c r="AK500" s="322"/>
    </row>
    <row r="501" spans="1:37" ht="18" customHeight="1">
      <c r="A501" s="322"/>
      <c r="B501" s="322"/>
      <c r="C501" s="451"/>
      <c r="D501" s="322"/>
      <c r="E501" s="322"/>
      <c r="F501" s="322"/>
      <c r="G501" s="322"/>
      <c r="H501" s="322"/>
      <c r="I501" s="322"/>
      <c r="J501" s="322"/>
      <c r="K501" s="322"/>
      <c r="L501" s="322"/>
      <c r="M501" s="322"/>
      <c r="N501" s="322"/>
      <c r="O501" s="322"/>
      <c r="P501" s="322"/>
      <c r="Q501" s="322"/>
      <c r="R501" s="322"/>
      <c r="S501" s="322"/>
      <c r="T501" s="322"/>
      <c r="U501" s="322"/>
      <c r="V501" s="322"/>
      <c r="W501" s="322"/>
      <c r="X501" s="322"/>
      <c r="Y501" s="322"/>
      <c r="Z501" s="322"/>
      <c r="AA501" s="322"/>
      <c r="AB501" s="322"/>
      <c r="AC501" s="322"/>
      <c r="AD501" s="322"/>
      <c r="AE501" s="322"/>
      <c r="AF501" s="322"/>
      <c r="AG501" s="322"/>
      <c r="AH501" s="322"/>
      <c r="AI501" s="322"/>
      <c r="AJ501" s="322"/>
      <c r="AK501" s="322"/>
    </row>
    <row r="502" spans="1:37" ht="18" customHeight="1">
      <c r="A502" s="322"/>
      <c r="B502" s="322"/>
      <c r="C502" s="451"/>
      <c r="D502" s="322"/>
      <c r="E502" s="322"/>
      <c r="F502" s="322"/>
      <c r="G502" s="322"/>
      <c r="H502" s="322"/>
      <c r="I502" s="322"/>
      <c r="J502" s="322"/>
      <c r="K502" s="322"/>
      <c r="L502" s="322"/>
      <c r="M502" s="322"/>
      <c r="N502" s="322"/>
      <c r="O502" s="322"/>
      <c r="P502" s="322"/>
      <c r="Q502" s="322"/>
      <c r="R502" s="322"/>
      <c r="S502" s="322"/>
      <c r="T502" s="322"/>
      <c r="U502" s="322"/>
      <c r="V502" s="322"/>
      <c r="W502" s="322"/>
      <c r="X502" s="322"/>
      <c r="Y502" s="322"/>
      <c r="Z502" s="322"/>
      <c r="AA502" s="322"/>
      <c r="AB502" s="322"/>
      <c r="AC502" s="322"/>
      <c r="AD502" s="322"/>
      <c r="AE502" s="322"/>
      <c r="AF502" s="322"/>
      <c r="AG502" s="322"/>
      <c r="AH502" s="322"/>
      <c r="AI502" s="322"/>
      <c r="AJ502" s="322"/>
      <c r="AK502" s="322"/>
    </row>
    <row r="503" spans="1:37" ht="18" customHeight="1">
      <c r="A503" s="322"/>
      <c r="B503" s="322"/>
      <c r="C503" s="451"/>
      <c r="D503" s="322"/>
      <c r="E503" s="322"/>
      <c r="F503" s="322"/>
      <c r="G503" s="322"/>
      <c r="H503" s="322"/>
      <c r="I503" s="322"/>
      <c r="J503" s="322"/>
      <c r="K503" s="322"/>
      <c r="L503" s="322"/>
      <c r="M503" s="322"/>
      <c r="N503" s="322"/>
      <c r="O503" s="322"/>
      <c r="P503" s="322"/>
      <c r="Q503" s="322"/>
      <c r="R503" s="322"/>
      <c r="S503" s="322"/>
      <c r="T503" s="322"/>
      <c r="U503" s="322"/>
      <c r="V503" s="322"/>
      <c r="W503" s="322"/>
      <c r="X503" s="322"/>
      <c r="Y503" s="322"/>
      <c r="Z503" s="322"/>
      <c r="AA503" s="322"/>
      <c r="AB503" s="322"/>
      <c r="AC503" s="322"/>
      <c r="AD503" s="322"/>
      <c r="AE503" s="322"/>
      <c r="AF503" s="322"/>
      <c r="AG503" s="322"/>
      <c r="AH503" s="322"/>
      <c r="AI503" s="322"/>
      <c r="AJ503" s="322"/>
      <c r="AK503" s="322"/>
    </row>
    <row r="504" spans="1:37" ht="18" customHeight="1">
      <c r="A504" s="322"/>
      <c r="B504" s="322"/>
      <c r="C504" s="451"/>
      <c r="D504" s="322"/>
      <c r="E504" s="322"/>
      <c r="F504" s="322"/>
      <c r="G504" s="322"/>
      <c r="H504" s="322"/>
      <c r="I504" s="322"/>
      <c r="J504" s="322"/>
      <c r="K504" s="322"/>
      <c r="L504" s="322"/>
      <c r="M504" s="322"/>
      <c r="N504" s="322"/>
      <c r="O504" s="322"/>
      <c r="P504" s="322"/>
      <c r="Q504" s="322"/>
      <c r="R504" s="322"/>
      <c r="S504" s="322"/>
      <c r="T504" s="322"/>
      <c r="U504" s="322"/>
      <c r="V504" s="322"/>
      <c r="W504" s="322"/>
      <c r="X504" s="322"/>
      <c r="Y504" s="322"/>
      <c r="Z504" s="322"/>
      <c r="AA504" s="322"/>
      <c r="AB504" s="322"/>
      <c r="AC504" s="322"/>
      <c r="AD504" s="322"/>
      <c r="AE504" s="322"/>
      <c r="AF504" s="322"/>
      <c r="AG504" s="322"/>
      <c r="AH504" s="322"/>
      <c r="AI504" s="322"/>
      <c r="AJ504" s="322"/>
      <c r="AK504" s="322"/>
    </row>
    <row r="505" spans="1:37" ht="18" customHeight="1">
      <c r="A505" s="322"/>
      <c r="B505" s="322"/>
      <c r="C505" s="451"/>
      <c r="D505" s="322"/>
      <c r="E505" s="322"/>
      <c r="F505" s="322"/>
      <c r="G505" s="322"/>
      <c r="H505" s="322"/>
      <c r="I505" s="322"/>
      <c r="J505" s="322"/>
      <c r="K505" s="322"/>
      <c r="L505" s="322"/>
      <c r="M505" s="322"/>
      <c r="N505" s="322"/>
      <c r="O505" s="322"/>
      <c r="P505" s="322"/>
      <c r="Q505" s="322"/>
      <c r="R505" s="322"/>
      <c r="S505" s="322"/>
      <c r="T505" s="322"/>
      <c r="U505" s="322"/>
      <c r="V505" s="322"/>
      <c r="W505" s="322"/>
      <c r="X505" s="322"/>
      <c r="Y505" s="322"/>
      <c r="Z505" s="322"/>
      <c r="AA505" s="322"/>
      <c r="AB505" s="322"/>
      <c r="AC505" s="322"/>
      <c r="AD505" s="322"/>
      <c r="AE505" s="322"/>
      <c r="AF505" s="322"/>
      <c r="AG505" s="322"/>
      <c r="AH505" s="322"/>
      <c r="AI505" s="322"/>
      <c r="AJ505" s="322"/>
      <c r="AK505" s="322"/>
    </row>
    <row r="506" spans="1:37" ht="18" customHeight="1">
      <c r="A506" s="322"/>
      <c r="B506" s="322"/>
      <c r="C506" s="451"/>
      <c r="D506" s="322"/>
      <c r="E506" s="322"/>
      <c r="F506" s="322"/>
      <c r="G506" s="322"/>
      <c r="H506" s="322"/>
      <c r="I506" s="322"/>
      <c r="J506" s="322"/>
      <c r="K506" s="322"/>
      <c r="L506" s="322"/>
      <c r="M506" s="322"/>
      <c r="N506" s="322"/>
      <c r="O506" s="322"/>
      <c r="P506" s="322"/>
      <c r="Q506" s="322"/>
      <c r="R506" s="322"/>
      <c r="S506" s="322"/>
      <c r="T506" s="322"/>
      <c r="U506" s="322"/>
      <c r="V506" s="322"/>
      <c r="W506" s="322"/>
      <c r="X506" s="322"/>
      <c r="Y506" s="322"/>
      <c r="Z506" s="322"/>
      <c r="AA506" s="322"/>
      <c r="AB506" s="322"/>
      <c r="AC506" s="322"/>
      <c r="AD506" s="322"/>
      <c r="AE506" s="322"/>
      <c r="AF506" s="322"/>
      <c r="AG506" s="322"/>
      <c r="AH506" s="322"/>
      <c r="AI506" s="322"/>
      <c r="AJ506" s="322"/>
      <c r="AK506" s="322"/>
    </row>
    <row r="507" spans="1:37" ht="18" customHeight="1">
      <c r="A507" s="322"/>
      <c r="B507" s="322"/>
      <c r="C507" s="451"/>
      <c r="D507" s="322"/>
      <c r="E507" s="322"/>
      <c r="F507" s="322"/>
      <c r="G507" s="322"/>
      <c r="H507" s="322"/>
      <c r="I507" s="322"/>
      <c r="J507" s="322"/>
      <c r="K507" s="322"/>
      <c r="L507" s="322"/>
      <c r="M507" s="322"/>
      <c r="N507" s="322"/>
      <c r="O507" s="322"/>
      <c r="P507" s="322"/>
      <c r="Q507" s="322"/>
      <c r="R507" s="322"/>
      <c r="S507" s="322"/>
      <c r="T507" s="322"/>
      <c r="U507" s="322"/>
      <c r="V507" s="322"/>
      <c r="W507" s="322"/>
      <c r="X507" s="322"/>
      <c r="Y507" s="322"/>
      <c r="Z507" s="322"/>
      <c r="AA507" s="322"/>
      <c r="AB507" s="322"/>
      <c r="AC507" s="322"/>
      <c r="AD507" s="322"/>
      <c r="AE507" s="322"/>
      <c r="AF507" s="322"/>
      <c r="AG507" s="322"/>
      <c r="AH507" s="322"/>
      <c r="AI507" s="322"/>
      <c r="AJ507" s="322"/>
      <c r="AK507" s="322"/>
    </row>
    <row r="508" spans="1:37" ht="18" customHeight="1">
      <c r="A508" s="322"/>
      <c r="B508" s="322"/>
      <c r="C508" s="451"/>
      <c r="D508" s="322"/>
      <c r="E508" s="322"/>
      <c r="F508" s="322"/>
      <c r="G508" s="322"/>
      <c r="H508" s="322"/>
      <c r="I508" s="322"/>
      <c r="J508" s="322"/>
      <c r="K508" s="322"/>
      <c r="L508" s="322"/>
      <c r="M508" s="322"/>
      <c r="N508" s="322"/>
      <c r="O508" s="322"/>
      <c r="P508" s="322"/>
      <c r="Q508" s="322"/>
      <c r="R508" s="322"/>
      <c r="S508" s="322"/>
      <c r="T508" s="322"/>
      <c r="U508" s="322"/>
      <c r="V508" s="322"/>
      <c r="W508" s="322"/>
      <c r="X508" s="322"/>
      <c r="Y508" s="322"/>
      <c r="Z508" s="322"/>
      <c r="AA508" s="322"/>
      <c r="AB508" s="322"/>
      <c r="AC508" s="322"/>
      <c r="AD508" s="322"/>
      <c r="AE508" s="322"/>
      <c r="AF508" s="322"/>
      <c r="AG508" s="322"/>
      <c r="AH508" s="322"/>
      <c r="AI508" s="322"/>
      <c r="AJ508" s="322"/>
      <c r="AK508" s="322"/>
    </row>
    <row r="509" spans="1:37" ht="18" customHeight="1">
      <c r="A509" s="322"/>
      <c r="B509" s="322"/>
      <c r="C509" s="451"/>
      <c r="D509" s="322"/>
      <c r="E509" s="322"/>
      <c r="F509" s="322"/>
      <c r="G509" s="322"/>
      <c r="H509" s="322"/>
      <c r="I509" s="322"/>
      <c r="J509" s="322"/>
      <c r="K509" s="322"/>
      <c r="L509" s="322"/>
      <c r="M509" s="322"/>
      <c r="N509" s="322"/>
      <c r="O509" s="322"/>
      <c r="P509" s="322"/>
      <c r="Q509" s="322"/>
      <c r="R509" s="322"/>
      <c r="S509" s="322"/>
      <c r="T509" s="322"/>
      <c r="U509" s="322"/>
      <c r="V509" s="322"/>
      <c r="W509" s="322"/>
      <c r="X509" s="322"/>
      <c r="Y509" s="322"/>
      <c r="Z509" s="322"/>
      <c r="AA509" s="322"/>
      <c r="AB509" s="322"/>
      <c r="AC509" s="322"/>
      <c r="AD509" s="322"/>
      <c r="AE509" s="322"/>
      <c r="AF509" s="322"/>
      <c r="AG509" s="322"/>
      <c r="AH509" s="322"/>
      <c r="AI509" s="322"/>
      <c r="AJ509" s="322"/>
      <c r="AK509" s="322"/>
    </row>
    <row r="510" spans="1:37" ht="18" customHeight="1">
      <c r="A510" s="322"/>
      <c r="B510" s="322"/>
      <c r="C510" s="451"/>
      <c r="D510" s="322"/>
      <c r="E510" s="322"/>
      <c r="F510" s="322"/>
      <c r="G510" s="322"/>
      <c r="H510" s="322"/>
      <c r="I510" s="322"/>
      <c r="J510" s="322"/>
      <c r="K510" s="322"/>
      <c r="L510" s="322"/>
      <c r="M510" s="322"/>
      <c r="N510" s="322"/>
      <c r="O510" s="322"/>
      <c r="P510" s="322"/>
      <c r="Q510" s="322"/>
      <c r="R510" s="322"/>
      <c r="S510" s="322"/>
      <c r="T510" s="322"/>
      <c r="U510" s="322"/>
      <c r="V510" s="322"/>
      <c r="W510" s="322"/>
      <c r="X510" s="322"/>
      <c r="Y510" s="322"/>
      <c r="Z510" s="322"/>
      <c r="AA510" s="322"/>
      <c r="AB510" s="322"/>
      <c r="AC510" s="322"/>
      <c r="AD510" s="322"/>
      <c r="AE510" s="322"/>
      <c r="AF510" s="322"/>
      <c r="AG510" s="322"/>
      <c r="AH510" s="322"/>
      <c r="AI510" s="322"/>
      <c r="AJ510" s="322"/>
      <c r="AK510" s="322"/>
    </row>
    <row r="511" spans="1:37" ht="18" customHeight="1">
      <c r="A511" s="322"/>
      <c r="B511" s="322"/>
      <c r="C511" s="451"/>
      <c r="D511" s="322"/>
      <c r="E511" s="322"/>
      <c r="F511" s="322"/>
      <c r="G511" s="322"/>
      <c r="H511" s="322"/>
      <c r="I511" s="322"/>
      <c r="J511" s="322"/>
      <c r="K511" s="322"/>
      <c r="L511" s="322"/>
      <c r="M511" s="322"/>
      <c r="N511" s="322"/>
      <c r="O511" s="322"/>
      <c r="P511" s="322"/>
      <c r="Q511" s="322"/>
      <c r="R511" s="322"/>
      <c r="S511" s="322"/>
      <c r="T511" s="322"/>
      <c r="U511" s="322"/>
      <c r="V511" s="322"/>
      <c r="W511" s="322"/>
      <c r="X511" s="322"/>
      <c r="Y511" s="322"/>
      <c r="Z511" s="322"/>
      <c r="AA511" s="322"/>
      <c r="AB511" s="322"/>
      <c r="AC511" s="322"/>
      <c r="AD511" s="322"/>
      <c r="AE511" s="322"/>
      <c r="AF511" s="322"/>
      <c r="AG511" s="322"/>
      <c r="AH511" s="322"/>
      <c r="AI511" s="322"/>
      <c r="AJ511" s="322"/>
      <c r="AK511" s="322"/>
    </row>
    <row r="512" spans="1:37" ht="18" customHeight="1">
      <c r="A512" s="322"/>
      <c r="B512" s="322"/>
      <c r="C512" s="451"/>
      <c r="D512" s="322"/>
      <c r="E512" s="322"/>
      <c r="F512" s="322"/>
      <c r="G512" s="322"/>
      <c r="H512" s="322"/>
      <c r="I512" s="322"/>
      <c r="J512" s="322"/>
      <c r="K512" s="322"/>
      <c r="L512" s="322"/>
      <c r="M512" s="322"/>
      <c r="N512" s="322"/>
      <c r="O512" s="322"/>
      <c r="P512" s="322"/>
      <c r="Q512" s="322"/>
      <c r="R512" s="322"/>
      <c r="S512" s="322"/>
      <c r="T512" s="322"/>
      <c r="U512" s="322"/>
      <c r="V512" s="322"/>
      <c r="W512" s="322"/>
      <c r="X512" s="322"/>
      <c r="Y512" s="322"/>
      <c r="Z512" s="322"/>
      <c r="AA512" s="322"/>
      <c r="AB512" s="322"/>
      <c r="AC512" s="322"/>
      <c r="AD512" s="322"/>
      <c r="AE512" s="322"/>
      <c r="AF512" s="322"/>
      <c r="AG512" s="322"/>
      <c r="AH512" s="322"/>
      <c r="AI512" s="322"/>
      <c r="AJ512" s="322"/>
      <c r="AK512" s="322"/>
    </row>
    <row r="513" spans="1:37" ht="18" customHeight="1">
      <c r="A513" s="322"/>
      <c r="B513" s="322"/>
      <c r="C513" s="451"/>
      <c r="D513" s="322"/>
      <c r="E513" s="322"/>
      <c r="F513" s="322"/>
      <c r="G513" s="322"/>
      <c r="H513" s="322"/>
      <c r="I513" s="322"/>
      <c r="J513" s="322"/>
      <c r="K513" s="322"/>
      <c r="L513" s="322"/>
      <c r="M513" s="322"/>
      <c r="N513" s="322"/>
      <c r="O513" s="322"/>
      <c r="P513" s="322"/>
      <c r="Q513" s="322"/>
      <c r="R513" s="322"/>
      <c r="S513" s="322"/>
      <c r="T513" s="322"/>
      <c r="U513" s="322"/>
      <c r="V513" s="322"/>
      <c r="W513" s="322"/>
      <c r="X513" s="322"/>
      <c r="Y513" s="322"/>
      <c r="Z513" s="322"/>
      <c r="AA513" s="322"/>
      <c r="AB513" s="322"/>
      <c r="AC513" s="322"/>
      <c r="AD513" s="322"/>
      <c r="AE513" s="322"/>
      <c r="AF513" s="322"/>
      <c r="AG513" s="322"/>
      <c r="AH513" s="322"/>
      <c r="AI513" s="322"/>
      <c r="AJ513" s="322"/>
      <c r="AK513" s="322"/>
    </row>
    <row r="514" spans="1:37" ht="18" customHeight="1">
      <c r="A514" s="322"/>
      <c r="B514" s="322"/>
      <c r="C514" s="451"/>
      <c r="D514" s="322"/>
      <c r="E514" s="322"/>
      <c r="F514" s="322"/>
      <c r="G514" s="322"/>
      <c r="H514" s="322"/>
      <c r="I514" s="322"/>
      <c r="J514" s="322"/>
      <c r="K514" s="322"/>
      <c r="L514" s="322"/>
      <c r="M514" s="322"/>
      <c r="N514" s="322"/>
      <c r="O514" s="322"/>
      <c r="P514" s="322"/>
      <c r="Q514" s="322"/>
      <c r="R514" s="322"/>
      <c r="S514" s="322"/>
      <c r="T514" s="322"/>
      <c r="U514" s="322"/>
      <c r="V514" s="322"/>
      <c r="W514" s="322"/>
      <c r="X514" s="322"/>
      <c r="Y514" s="322"/>
      <c r="Z514" s="322"/>
      <c r="AA514" s="322"/>
      <c r="AB514" s="322"/>
      <c r="AC514" s="322"/>
      <c r="AD514" s="322"/>
      <c r="AE514" s="322"/>
      <c r="AF514" s="322"/>
      <c r="AG514" s="322"/>
      <c r="AH514" s="322"/>
      <c r="AI514" s="322"/>
      <c r="AJ514" s="322"/>
      <c r="AK514" s="322"/>
    </row>
    <row r="515" spans="1:37" ht="18" customHeight="1">
      <c r="A515" s="322"/>
      <c r="B515" s="322"/>
      <c r="C515" s="451"/>
      <c r="D515" s="322"/>
      <c r="E515" s="322"/>
      <c r="F515" s="322"/>
      <c r="G515" s="322"/>
      <c r="H515" s="322"/>
      <c r="I515" s="322"/>
      <c r="J515" s="322"/>
      <c r="K515" s="322"/>
      <c r="L515" s="322"/>
      <c r="M515" s="322"/>
      <c r="N515" s="322"/>
      <c r="O515" s="322"/>
      <c r="P515" s="322"/>
      <c r="Q515" s="322"/>
      <c r="R515" s="322"/>
      <c r="S515" s="322"/>
      <c r="T515" s="322"/>
      <c r="U515" s="322"/>
      <c r="V515" s="322"/>
      <c r="W515" s="322"/>
      <c r="X515" s="322"/>
      <c r="Y515" s="322"/>
      <c r="Z515" s="322"/>
      <c r="AA515" s="322"/>
      <c r="AB515" s="322"/>
      <c r="AC515" s="322"/>
      <c r="AD515" s="322"/>
      <c r="AE515" s="322"/>
      <c r="AF515" s="322"/>
      <c r="AG515" s="322"/>
      <c r="AH515" s="322"/>
      <c r="AI515" s="322"/>
      <c r="AJ515" s="322"/>
      <c r="AK515" s="322"/>
    </row>
    <row r="516" spans="1:37" ht="18" customHeight="1">
      <c r="A516" s="322"/>
      <c r="B516" s="322"/>
      <c r="C516" s="451"/>
      <c r="D516" s="322"/>
      <c r="E516" s="322"/>
      <c r="F516" s="322"/>
      <c r="G516" s="322"/>
      <c r="H516" s="322"/>
      <c r="I516" s="322"/>
      <c r="J516" s="322"/>
      <c r="K516" s="322"/>
      <c r="L516" s="322"/>
      <c r="M516" s="322"/>
      <c r="N516" s="322"/>
      <c r="O516" s="322"/>
      <c r="P516" s="322"/>
      <c r="Q516" s="322"/>
      <c r="R516" s="322"/>
      <c r="S516" s="322"/>
      <c r="T516" s="322"/>
      <c r="U516" s="322"/>
      <c r="V516" s="322"/>
      <c r="W516" s="322"/>
      <c r="X516" s="322"/>
      <c r="Y516" s="322"/>
      <c r="Z516" s="322"/>
      <c r="AA516" s="322"/>
      <c r="AB516" s="322"/>
      <c r="AC516" s="322"/>
      <c r="AD516" s="322"/>
      <c r="AE516" s="322"/>
      <c r="AF516" s="322"/>
      <c r="AG516" s="322"/>
      <c r="AH516" s="322"/>
      <c r="AI516" s="322"/>
      <c r="AJ516" s="322"/>
      <c r="AK516" s="322"/>
    </row>
    <row r="517" spans="1:37" ht="18" customHeight="1">
      <c r="A517" s="322"/>
      <c r="B517" s="322"/>
      <c r="C517" s="451"/>
      <c r="D517" s="322"/>
      <c r="E517" s="322"/>
      <c r="F517" s="322"/>
      <c r="G517" s="322"/>
      <c r="H517" s="322"/>
      <c r="I517" s="322"/>
      <c r="J517" s="322"/>
      <c r="K517" s="322"/>
      <c r="L517" s="322"/>
      <c r="M517" s="322"/>
      <c r="N517" s="322"/>
      <c r="O517" s="322"/>
      <c r="P517" s="322"/>
      <c r="Q517" s="322"/>
      <c r="R517" s="322"/>
      <c r="S517" s="322"/>
      <c r="T517" s="322"/>
      <c r="U517" s="322"/>
      <c r="V517" s="322"/>
      <c r="W517" s="322"/>
      <c r="X517" s="322"/>
      <c r="Y517" s="322"/>
      <c r="Z517" s="322"/>
      <c r="AA517" s="322"/>
      <c r="AB517" s="322"/>
      <c r="AC517" s="322"/>
      <c r="AD517" s="322"/>
      <c r="AE517" s="322"/>
      <c r="AF517" s="322"/>
      <c r="AG517" s="322"/>
      <c r="AH517" s="322"/>
      <c r="AI517" s="322"/>
      <c r="AJ517" s="322"/>
      <c r="AK517" s="322"/>
    </row>
    <row r="518" spans="1:37" ht="18" customHeight="1">
      <c r="A518" s="322"/>
      <c r="B518" s="322"/>
      <c r="C518" s="451"/>
      <c r="D518" s="322"/>
      <c r="E518" s="322"/>
      <c r="F518" s="322"/>
      <c r="G518" s="322"/>
      <c r="H518" s="322"/>
      <c r="I518" s="322"/>
      <c r="J518" s="322"/>
      <c r="K518" s="322"/>
      <c r="L518" s="322"/>
      <c r="M518" s="322"/>
      <c r="N518" s="322"/>
      <c r="O518" s="322"/>
      <c r="P518" s="322"/>
      <c r="Q518" s="322"/>
      <c r="R518" s="322"/>
      <c r="S518" s="322"/>
      <c r="T518" s="322"/>
      <c r="U518" s="322"/>
      <c r="V518" s="322"/>
      <c r="W518" s="322"/>
      <c r="X518" s="322"/>
      <c r="Y518" s="322"/>
      <c r="Z518" s="322"/>
      <c r="AA518" s="322"/>
      <c r="AB518" s="322"/>
      <c r="AC518" s="322"/>
      <c r="AD518" s="322"/>
      <c r="AE518" s="322"/>
      <c r="AF518" s="322"/>
      <c r="AG518" s="322"/>
      <c r="AH518" s="322"/>
      <c r="AI518" s="322"/>
      <c r="AJ518" s="322"/>
      <c r="AK518" s="322"/>
    </row>
    <row r="519" spans="1:37" ht="18" customHeight="1">
      <c r="A519" s="322"/>
      <c r="B519" s="322"/>
      <c r="C519" s="451"/>
      <c r="D519" s="322"/>
      <c r="E519" s="322"/>
      <c r="F519" s="322"/>
      <c r="G519" s="322"/>
      <c r="H519" s="322"/>
      <c r="I519" s="322"/>
      <c r="J519" s="322"/>
      <c r="K519" s="322"/>
      <c r="L519" s="322"/>
      <c r="M519" s="322"/>
      <c r="N519" s="322"/>
      <c r="O519" s="322"/>
      <c r="P519" s="322"/>
      <c r="Q519" s="322"/>
      <c r="R519" s="322"/>
      <c r="S519" s="322"/>
      <c r="T519" s="322"/>
      <c r="U519" s="322"/>
      <c r="V519" s="322"/>
      <c r="W519" s="322"/>
      <c r="X519" s="322"/>
      <c r="Y519" s="322"/>
      <c r="Z519" s="322"/>
      <c r="AA519" s="322"/>
      <c r="AB519" s="322"/>
      <c r="AC519" s="322"/>
      <c r="AD519" s="322"/>
      <c r="AE519" s="322"/>
      <c r="AF519" s="322"/>
      <c r="AG519" s="322"/>
      <c r="AH519" s="322"/>
      <c r="AI519" s="322"/>
      <c r="AJ519" s="322"/>
      <c r="AK519" s="322"/>
    </row>
    <row r="520" spans="1:37" ht="18" customHeight="1">
      <c r="A520" s="322"/>
      <c r="B520" s="322"/>
      <c r="C520" s="451"/>
      <c r="D520" s="322"/>
      <c r="E520" s="322"/>
      <c r="F520" s="322"/>
      <c r="G520" s="322"/>
      <c r="H520" s="322"/>
      <c r="I520" s="322"/>
      <c r="J520" s="322"/>
      <c r="K520" s="322"/>
      <c r="L520" s="322"/>
      <c r="M520" s="322"/>
      <c r="N520" s="322"/>
      <c r="O520" s="322"/>
      <c r="P520" s="322"/>
      <c r="Q520" s="322"/>
      <c r="R520" s="322"/>
      <c r="S520" s="322"/>
      <c r="T520" s="322"/>
      <c r="U520" s="322"/>
      <c r="V520" s="322"/>
      <c r="W520" s="322"/>
      <c r="X520" s="322"/>
      <c r="Y520" s="322"/>
      <c r="Z520" s="322"/>
      <c r="AA520" s="322"/>
      <c r="AB520" s="322"/>
      <c r="AC520" s="322"/>
      <c r="AD520" s="322"/>
      <c r="AE520" s="322"/>
      <c r="AF520" s="322"/>
      <c r="AG520" s="322"/>
      <c r="AH520" s="322"/>
      <c r="AI520" s="322"/>
      <c r="AJ520" s="322"/>
      <c r="AK520" s="322"/>
    </row>
    <row r="521" spans="1:37" ht="18" customHeight="1">
      <c r="A521" s="322"/>
      <c r="B521" s="322"/>
      <c r="C521" s="451"/>
      <c r="D521" s="322"/>
      <c r="E521" s="322"/>
      <c r="F521" s="322"/>
      <c r="G521" s="322"/>
      <c r="H521" s="322"/>
      <c r="I521" s="322"/>
      <c r="J521" s="322"/>
      <c r="K521" s="322"/>
      <c r="L521" s="322"/>
      <c r="M521" s="322"/>
      <c r="N521" s="322"/>
      <c r="O521" s="322"/>
      <c r="P521" s="322"/>
      <c r="Q521" s="322"/>
      <c r="R521" s="322"/>
      <c r="S521" s="322"/>
      <c r="T521" s="322"/>
      <c r="U521" s="322"/>
      <c r="V521" s="322"/>
      <c r="W521" s="322"/>
      <c r="X521" s="322"/>
      <c r="Y521" s="322"/>
      <c r="Z521" s="322"/>
      <c r="AA521" s="322"/>
      <c r="AB521" s="322"/>
      <c r="AC521" s="322"/>
      <c r="AD521" s="322"/>
      <c r="AE521" s="322"/>
      <c r="AF521" s="322"/>
      <c r="AG521" s="322"/>
      <c r="AH521" s="322"/>
      <c r="AI521" s="322"/>
      <c r="AJ521" s="322"/>
      <c r="AK521" s="322"/>
    </row>
    <row r="522" spans="1:37" ht="18" customHeight="1">
      <c r="A522" s="322"/>
      <c r="B522" s="322"/>
      <c r="C522" s="451"/>
      <c r="D522" s="322"/>
      <c r="E522" s="322"/>
      <c r="F522" s="322"/>
      <c r="G522" s="322"/>
      <c r="H522" s="322"/>
      <c r="I522" s="322"/>
      <c r="J522" s="322"/>
      <c r="K522" s="322"/>
      <c r="L522" s="322"/>
      <c r="M522" s="322"/>
      <c r="N522" s="322"/>
      <c r="O522" s="322"/>
      <c r="P522" s="322"/>
      <c r="Q522" s="322"/>
      <c r="R522" s="322"/>
      <c r="S522" s="322"/>
      <c r="T522" s="322"/>
      <c r="U522" s="322"/>
      <c r="V522" s="322"/>
      <c r="W522" s="322"/>
      <c r="X522" s="322"/>
      <c r="Y522" s="322"/>
      <c r="Z522" s="322"/>
      <c r="AA522" s="322"/>
      <c r="AB522" s="322"/>
      <c r="AC522" s="322"/>
      <c r="AD522" s="322"/>
      <c r="AE522" s="322"/>
      <c r="AF522" s="322"/>
      <c r="AG522" s="322"/>
      <c r="AH522" s="322"/>
      <c r="AI522" s="322"/>
      <c r="AJ522" s="322"/>
      <c r="AK522" s="322"/>
    </row>
    <row r="523" spans="1:37" ht="18" customHeight="1">
      <c r="A523" s="322"/>
      <c r="B523" s="322"/>
      <c r="C523" s="451"/>
      <c r="D523" s="322"/>
      <c r="E523" s="322"/>
      <c r="F523" s="322"/>
      <c r="G523" s="322"/>
      <c r="H523" s="322"/>
      <c r="I523" s="322"/>
      <c r="J523" s="322"/>
      <c r="K523" s="322"/>
      <c r="L523" s="322"/>
      <c r="M523" s="322"/>
      <c r="N523" s="322"/>
      <c r="O523" s="322"/>
      <c r="P523" s="322"/>
      <c r="Q523" s="322"/>
      <c r="R523" s="322"/>
      <c r="S523" s="322"/>
      <c r="T523" s="322"/>
      <c r="U523" s="322"/>
      <c r="V523" s="322"/>
      <c r="W523" s="322"/>
      <c r="X523" s="322"/>
      <c r="Y523" s="322"/>
      <c r="Z523" s="322"/>
      <c r="AA523" s="322"/>
      <c r="AB523" s="322"/>
      <c r="AC523" s="322"/>
      <c r="AD523" s="322"/>
      <c r="AE523" s="322"/>
      <c r="AF523" s="322"/>
      <c r="AG523" s="322"/>
      <c r="AH523" s="322"/>
      <c r="AI523" s="322"/>
      <c r="AJ523" s="322"/>
      <c r="AK523" s="322"/>
    </row>
    <row r="524" spans="1:37" ht="18" customHeight="1">
      <c r="A524" s="322"/>
      <c r="B524" s="322"/>
      <c r="C524" s="451"/>
      <c r="D524" s="322"/>
      <c r="E524" s="322"/>
      <c r="F524" s="322"/>
      <c r="G524" s="322"/>
      <c r="H524" s="322"/>
      <c r="I524" s="322"/>
      <c r="J524" s="322"/>
      <c r="K524" s="322"/>
      <c r="L524" s="322"/>
      <c r="M524" s="322"/>
      <c r="N524" s="322"/>
      <c r="O524" s="322"/>
      <c r="P524" s="322"/>
      <c r="Q524" s="322"/>
      <c r="R524" s="322"/>
      <c r="S524" s="322"/>
      <c r="T524" s="322"/>
      <c r="U524" s="322"/>
      <c r="V524" s="322"/>
      <c r="W524" s="322"/>
      <c r="X524" s="322"/>
      <c r="Y524" s="322"/>
      <c r="Z524" s="322"/>
      <c r="AA524" s="322"/>
      <c r="AB524" s="322"/>
      <c r="AC524" s="322"/>
      <c r="AD524" s="322"/>
      <c r="AE524" s="322"/>
      <c r="AF524" s="322"/>
      <c r="AG524" s="322"/>
      <c r="AH524" s="322"/>
      <c r="AI524" s="322"/>
      <c r="AJ524" s="322"/>
      <c r="AK524" s="322"/>
    </row>
    <row r="525" spans="1:37" ht="18" customHeight="1">
      <c r="A525" s="322"/>
      <c r="B525" s="322"/>
      <c r="C525" s="451"/>
      <c r="D525" s="322"/>
      <c r="E525" s="322"/>
      <c r="F525" s="322"/>
      <c r="G525" s="322"/>
      <c r="H525" s="322"/>
      <c r="I525" s="322"/>
      <c r="J525" s="322"/>
      <c r="K525" s="322"/>
      <c r="L525" s="322"/>
      <c r="M525" s="322"/>
      <c r="N525" s="322"/>
      <c r="O525" s="322"/>
      <c r="P525" s="322"/>
      <c r="Q525" s="322"/>
      <c r="R525" s="322"/>
      <c r="S525" s="322"/>
      <c r="T525" s="322"/>
      <c r="U525" s="322"/>
      <c r="V525" s="322"/>
      <c r="W525" s="322"/>
      <c r="X525" s="322"/>
      <c r="Y525" s="322"/>
      <c r="Z525" s="322"/>
      <c r="AA525" s="322"/>
      <c r="AB525" s="322"/>
      <c r="AC525" s="322"/>
      <c r="AD525" s="322"/>
      <c r="AE525" s="322"/>
      <c r="AF525" s="322"/>
      <c r="AG525" s="322"/>
      <c r="AH525" s="322"/>
      <c r="AI525" s="322"/>
      <c r="AJ525" s="322"/>
      <c r="AK525" s="322"/>
    </row>
    <row r="526" spans="1:37" ht="18" customHeight="1">
      <c r="A526" s="322"/>
      <c r="B526" s="322"/>
      <c r="C526" s="451"/>
      <c r="D526" s="322"/>
      <c r="E526" s="322"/>
      <c r="F526" s="322"/>
      <c r="G526" s="322"/>
      <c r="H526" s="322"/>
      <c r="I526" s="322"/>
      <c r="J526" s="322"/>
      <c r="K526" s="322"/>
      <c r="L526" s="322"/>
      <c r="M526" s="322"/>
      <c r="N526" s="322"/>
      <c r="O526" s="322"/>
      <c r="P526" s="322"/>
      <c r="Q526" s="322"/>
      <c r="R526" s="322"/>
      <c r="S526" s="322"/>
      <c r="T526" s="322"/>
      <c r="U526" s="322"/>
      <c r="V526" s="322"/>
      <c r="W526" s="322"/>
      <c r="X526" s="322"/>
      <c r="Y526" s="322"/>
      <c r="Z526" s="322"/>
      <c r="AA526" s="322"/>
      <c r="AB526" s="322"/>
      <c r="AC526" s="322"/>
      <c r="AD526" s="322"/>
      <c r="AE526" s="322"/>
      <c r="AF526" s="322"/>
      <c r="AG526" s="322"/>
      <c r="AH526" s="322"/>
      <c r="AI526" s="322"/>
      <c r="AJ526" s="322"/>
      <c r="AK526" s="322"/>
    </row>
    <row r="527" spans="1:37" ht="18" customHeight="1">
      <c r="A527" s="322"/>
      <c r="B527" s="322"/>
      <c r="C527" s="451"/>
      <c r="D527" s="322"/>
      <c r="E527" s="322"/>
      <c r="F527" s="322"/>
      <c r="G527" s="322"/>
      <c r="H527" s="322"/>
      <c r="I527" s="322"/>
      <c r="J527" s="322"/>
      <c r="K527" s="322"/>
      <c r="L527" s="322"/>
      <c r="M527" s="322"/>
      <c r="N527" s="322"/>
      <c r="O527" s="322"/>
      <c r="P527" s="322"/>
      <c r="Q527" s="322"/>
      <c r="R527" s="322"/>
      <c r="S527" s="322"/>
      <c r="T527" s="322"/>
      <c r="U527" s="322"/>
      <c r="V527" s="322"/>
      <c r="W527" s="322"/>
      <c r="X527" s="322"/>
      <c r="Y527" s="322"/>
      <c r="Z527" s="322"/>
      <c r="AA527" s="322"/>
      <c r="AB527" s="322"/>
      <c r="AC527" s="322"/>
      <c r="AD527" s="322"/>
      <c r="AE527" s="322"/>
      <c r="AF527" s="322"/>
      <c r="AG527" s="322"/>
      <c r="AH527" s="322"/>
      <c r="AI527" s="322"/>
      <c r="AJ527" s="322"/>
      <c r="AK527" s="322"/>
    </row>
    <row r="528" spans="1:37" ht="18" customHeight="1">
      <c r="A528" s="322"/>
      <c r="B528" s="322"/>
      <c r="C528" s="451"/>
      <c r="D528" s="322"/>
      <c r="E528" s="322"/>
      <c r="F528" s="322"/>
      <c r="G528" s="322"/>
      <c r="H528" s="322"/>
      <c r="I528" s="322"/>
      <c r="J528" s="322"/>
      <c r="K528" s="322"/>
      <c r="L528" s="322"/>
      <c r="M528" s="322"/>
      <c r="N528" s="322"/>
      <c r="O528" s="322"/>
      <c r="P528" s="322"/>
      <c r="Q528" s="322"/>
      <c r="R528" s="322"/>
      <c r="S528" s="322"/>
      <c r="T528" s="322"/>
      <c r="U528" s="322"/>
      <c r="V528" s="322"/>
      <c r="W528" s="322"/>
      <c r="X528" s="322"/>
      <c r="Y528" s="322"/>
      <c r="Z528" s="322"/>
      <c r="AA528" s="322"/>
      <c r="AB528" s="322"/>
      <c r="AC528" s="322"/>
      <c r="AD528" s="322"/>
      <c r="AE528" s="322"/>
      <c r="AF528" s="322"/>
      <c r="AG528" s="322"/>
      <c r="AH528" s="322"/>
      <c r="AI528" s="322"/>
      <c r="AJ528" s="322"/>
      <c r="AK528" s="322"/>
    </row>
    <row r="529" spans="1:37" ht="18" customHeight="1">
      <c r="A529" s="322"/>
      <c r="B529" s="322"/>
      <c r="C529" s="451"/>
      <c r="D529" s="322"/>
      <c r="E529" s="322"/>
      <c r="F529" s="322"/>
      <c r="G529" s="322"/>
      <c r="H529" s="322"/>
      <c r="I529" s="322"/>
      <c r="J529" s="322"/>
      <c r="K529" s="322"/>
      <c r="L529" s="322"/>
      <c r="M529" s="322"/>
      <c r="N529" s="322"/>
      <c r="O529" s="322"/>
      <c r="P529" s="322"/>
      <c r="Q529" s="322"/>
      <c r="R529" s="322"/>
      <c r="S529" s="322"/>
      <c r="T529" s="322"/>
      <c r="U529" s="322"/>
      <c r="V529" s="322"/>
      <c r="W529" s="322"/>
      <c r="X529" s="322"/>
      <c r="Y529" s="322"/>
      <c r="Z529" s="322"/>
      <c r="AA529" s="322"/>
      <c r="AB529" s="322"/>
      <c r="AC529" s="322"/>
      <c r="AD529" s="322"/>
      <c r="AE529" s="322"/>
      <c r="AF529" s="322"/>
      <c r="AG529" s="322"/>
      <c r="AH529" s="322"/>
      <c r="AI529" s="322"/>
      <c r="AJ529" s="322"/>
      <c r="AK529" s="322"/>
    </row>
    <row r="530" spans="1:37" ht="18" customHeight="1">
      <c r="A530" s="322"/>
      <c r="B530" s="322"/>
      <c r="C530" s="451"/>
      <c r="D530" s="322"/>
      <c r="E530" s="322"/>
      <c r="F530" s="322"/>
      <c r="G530" s="322"/>
      <c r="H530" s="322"/>
      <c r="I530" s="322"/>
      <c r="J530" s="322"/>
      <c r="K530" s="322"/>
      <c r="L530" s="322"/>
      <c r="M530" s="322"/>
      <c r="N530" s="322"/>
      <c r="O530" s="322"/>
      <c r="P530" s="322"/>
      <c r="Q530" s="322"/>
      <c r="R530" s="322"/>
      <c r="S530" s="322"/>
      <c r="T530" s="322"/>
      <c r="U530" s="322"/>
      <c r="V530" s="322"/>
      <c r="W530" s="322"/>
      <c r="X530" s="322"/>
      <c r="Y530" s="322"/>
      <c r="Z530" s="322"/>
      <c r="AA530" s="322"/>
      <c r="AB530" s="322"/>
      <c r="AC530" s="322"/>
      <c r="AD530" s="322"/>
      <c r="AE530" s="322"/>
      <c r="AF530" s="322"/>
      <c r="AG530" s="322"/>
      <c r="AH530" s="322"/>
      <c r="AI530" s="322"/>
      <c r="AJ530" s="322"/>
      <c r="AK530" s="322"/>
    </row>
    <row r="531" spans="1:37" ht="18" customHeight="1">
      <c r="A531" s="322"/>
      <c r="B531" s="322"/>
      <c r="C531" s="451"/>
      <c r="D531" s="322"/>
      <c r="E531" s="322"/>
      <c r="F531" s="322"/>
      <c r="G531" s="322"/>
      <c r="H531" s="322"/>
      <c r="I531" s="322"/>
      <c r="J531" s="322"/>
      <c r="K531" s="322"/>
      <c r="L531" s="322"/>
      <c r="M531" s="322"/>
      <c r="N531" s="322"/>
      <c r="O531" s="322"/>
      <c r="P531" s="322"/>
      <c r="Q531" s="322"/>
      <c r="R531" s="322"/>
      <c r="S531" s="322"/>
      <c r="T531" s="322"/>
      <c r="U531" s="322"/>
      <c r="V531" s="322"/>
      <c r="W531" s="322"/>
      <c r="X531" s="322"/>
      <c r="Y531" s="322"/>
      <c r="Z531" s="322"/>
      <c r="AA531" s="322"/>
      <c r="AB531" s="322"/>
      <c r="AC531" s="322"/>
      <c r="AD531" s="322"/>
      <c r="AE531" s="322"/>
      <c r="AF531" s="322"/>
      <c r="AG531" s="322"/>
      <c r="AH531" s="322"/>
      <c r="AI531" s="322"/>
      <c r="AJ531" s="322"/>
      <c r="AK531" s="322"/>
    </row>
    <row r="532" spans="1:37" ht="18" customHeight="1">
      <c r="A532" s="322"/>
      <c r="B532" s="322"/>
      <c r="C532" s="451"/>
      <c r="D532" s="322"/>
      <c r="E532" s="322"/>
      <c r="F532" s="322"/>
      <c r="G532" s="322"/>
      <c r="H532" s="322"/>
      <c r="I532" s="322"/>
      <c r="J532" s="322"/>
      <c r="K532" s="322"/>
      <c r="L532" s="322"/>
      <c r="M532" s="322"/>
      <c r="N532" s="322"/>
      <c r="O532" s="322"/>
      <c r="P532" s="322"/>
      <c r="Q532" s="322"/>
      <c r="R532" s="322"/>
      <c r="S532" s="322"/>
      <c r="T532" s="322"/>
      <c r="U532" s="322"/>
      <c r="V532" s="322"/>
      <c r="W532" s="322"/>
      <c r="X532" s="322"/>
      <c r="Y532" s="322"/>
      <c r="Z532" s="322"/>
      <c r="AA532" s="322"/>
      <c r="AB532" s="322"/>
      <c r="AC532" s="322"/>
      <c r="AD532" s="322"/>
      <c r="AE532" s="322"/>
      <c r="AF532" s="322"/>
      <c r="AG532" s="322"/>
      <c r="AH532" s="322"/>
      <c r="AI532" s="322"/>
      <c r="AJ532" s="322"/>
      <c r="AK532" s="322"/>
    </row>
    <row r="533" spans="1:37" ht="18" customHeight="1">
      <c r="A533" s="322"/>
      <c r="B533" s="322"/>
      <c r="C533" s="451"/>
      <c r="D533" s="322"/>
      <c r="E533" s="322"/>
      <c r="F533" s="322"/>
      <c r="G533" s="322"/>
      <c r="H533" s="322"/>
      <c r="I533" s="322"/>
      <c r="J533" s="322"/>
      <c r="K533" s="322"/>
      <c r="L533" s="322"/>
      <c r="M533" s="322"/>
      <c r="N533" s="322"/>
      <c r="O533" s="322"/>
      <c r="P533" s="322"/>
      <c r="Q533" s="322"/>
      <c r="R533" s="322"/>
      <c r="S533" s="322"/>
      <c r="T533" s="322"/>
      <c r="U533" s="322"/>
      <c r="V533" s="322"/>
      <c r="W533" s="322"/>
      <c r="X533" s="322"/>
      <c r="Y533" s="322"/>
      <c r="Z533" s="322"/>
      <c r="AA533" s="322"/>
      <c r="AB533" s="322"/>
      <c r="AC533" s="322"/>
      <c r="AD533" s="322"/>
      <c r="AE533" s="322"/>
      <c r="AF533" s="322"/>
      <c r="AG533" s="322"/>
      <c r="AH533" s="322"/>
      <c r="AI533" s="322"/>
      <c r="AJ533" s="322"/>
      <c r="AK533" s="322"/>
    </row>
    <row r="534" spans="1:37" ht="18" customHeight="1">
      <c r="A534" s="322"/>
      <c r="B534" s="322"/>
      <c r="C534" s="451"/>
      <c r="D534" s="322"/>
      <c r="E534" s="322"/>
      <c r="F534" s="322"/>
      <c r="G534" s="322"/>
      <c r="H534" s="322"/>
      <c r="I534" s="322"/>
      <c r="J534" s="322"/>
      <c r="K534" s="322"/>
      <c r="L534" s="322"/>
      <c r="M534" s="322"/>
      <c r="N534" s="322"/>
      <c r="O534" s="322"/>
      <c r="P534" s="322"/>
      <c r="Q534" s="322"/>
      <c r="R534" s="322"/>
      <c r="S534" s="322"/>
      <c r="T534" s="322"/>
      <c r="U534" s="322"/>
      <c r="V534" s="322"/>
      <c r="W534" s="322"/>
      <c r="X534" s="322"/>
      <c r="Y534" s="322"/>
      <c r="Z534" s="322"/>
      <c r="AA534" s="322"/>
      <c r="AB534" s="322"/>
      <c r="AC534" s="322"/>
      <c r="AD534" s="322"/>
      <c r="AE534" s="322"/>
      <c r="AF534" s="322"/>
      <c r="AG534" s="322"/>
      <c r="AH534" s="322"/>
      <c r="AI534" s="322"/>
      <c r="AJ534" s="322"/>
      <c r="AK534" s="322"/>
    </row>
    <row r="535" spans="1:37" ht="18" customHeight="1">
      <c r="A535" s="322"/>
      <c r="B535" s="322"/>
      <c r="C535" s="451"/>
      <c r="D535" s="322"/>
      <c r="E535" s="322"/>
      <c r="F535" s="322"/>
      <c r="G535" s="322"/>
      <c r="H535" s="322"/>
      <c r="I535" s="322"/>
      <c r="J535" s="322"/>
      <c r="K535" s="322"/>
      <c r="L535" s="322"/>
      <c r="M535" s="322"/>
      <c r="N535" s="322"/>
      <c r="O535" s="322"/>
      <c r="P535" s="322"/>
      <c r="Q535" s="322"/>
      <c r="R535" s="322"/>
      <c r="S535" s="322"/>
      <c r="T535" s="322"/>
      <c r="U535" s="322"/>
      <c r="V535" s="322"/>
      <c r="W535" s="322"/>
      <c r="X535" s="322"/>
      <c r="Y535" s="322"/>
      <c r="Z535" s="322"/>
      <c r="AA535" s="322"/>
      <c r="AB535" s="322"/>
      <c r="AC535" s="322"/>
      <c r="AD535" s="322"/>
      <c r="AE535" s="322"/>
      <c r="AF535" s="322"/>
      <c r="AG535" s="322"/>
      <c r="AH535" s="322"/>
      <c r="AI535" s="322"/>
      <c r="AJ535" s="322"/>
      <c r="AK535" s="322"/>
    </row>
    <row r="536" spans="1:37" ht="18" customHeight="1">
      <c r="A536" s="322"/>
      <c r="B536" s="322"/>
      <c r="C536" s="451"/>
      <c r="D536" s="322"/>
      <c r="E536" s="322"/>
      <c r="F536" s="322"/>
      <c r="G536" s="322"/>
      <c r="H536" s="322"/>
      <c r="I536" s="322"/>
      <c r="J536" s="322"/>
      <c r="K536" s="322"/>
      <c r="L536" s="322"/>
      <c r="M536" s="322"/>
      <c r="N536" s="322"/>
      <c r="O536" s="322"/>
      <c r="P536" s="322"/>
      <c r="Q536" s="322"/>
      <c r="R536" s="322"/>
      <c r="S536" s="322"/>
      <c r="T536" s="322"/>
      <c r="U536" s="322"/>
      <c r="V536" s="322"/>
      <c r="W536" s="322"/>
      <c r="X536" s="322"/>
      <c r="Y536" s="322"/>
      <c r="Z536" s="322"/>
      <c r="AA536" s="322"/>
      <c r="AB536" s="322"/>
      <c r="AC536" s="322"/>
      <c r="AD536" s="322"/>
      <c r="AE536" s="322"/>
      <c r="AF536" s="322"/>
      <c r="AG536" s="322"/>
      <c r="AH536" s="322"/>
      <c r="AI536" s="322"/>
      <c r="AJ536" s="322"/>
      <c r="AK536" s="322"/>
    </row>
    <row r="537" spans="1:37" ht="18" customHeight="1">
      <c r="A537" s="322"/>
      <c r="B537" s="322"/>
      <c r="C537" s="451"/>
      <c r="D537" s="322"/>
      <c r="E537" s="322"/>
      <c r="F537" s="322"/>
      <c r="G537" s="322"/>
      <c r="H537" s="322"/>
      <c r="I537" s="322"/>
      <c r="J537" s="322"/>
      <c r="K537" s="322"/>
      <c r="L537" s="322"/>
      <c r="M537" s="322"/>
      <c r="N537" s="322"/>
      <c r="O537" s="322"/>
      <c r="P537" s="322"/>
      <c r="Q537" s="322"/>
      <c r="R537" s="322"/>
      <c r="S537" s="322"/>
      <c r="T537" s="322"/>
      <c r="U537" s="322"/>
      <c r="V537" s="322"/>
      <c r="W537" s="322"/>
      <c r="X537" s="322"/>
      <c r="Y537" s="322"/>
      <c r="Z537" s="322"/>
      <c r="AA537" s="322"/>
      <c r="AB537" s="322"/>
      <c r="AC537" s="322"/>
      <c r="AD537" s="322"/>
      <c r="AE537" s="322"/>
      <c r="AF537" s="322"/>
      <c r="AG537" s="322"/>
      <c r="AH537" s="322"/>
      <c r="AI537" s="322"/>
      <c r="AJ537" s="322"/>
      <c r="AK537" s="322"/>
    </row>
    <row r="538" spans="1:37" ht="18" customHeight="1">
      <c r="A538" s="322"/>
      <c r="B538" s="322"/>
      <c r="C538" s="451"/>
      <c r="D538" s="322"/>
      <c r="E538" s="322"/>
      <c r="F538" s="322"/>
      <c r="G538" s="322"/>
      <c r="H538" s="322"/>
      <c r="I538" s="322"/>
      <c r="J538" s="322"/>
      <c r="K538" s="322"/>
      <c r="L538" s="322"/>
      <c r="M538" s="322"/>
      <c r="N538" s="322"/>
      <c r="O538" s="322"/>
      <c r="P538" s="322"/>
      <c r="Q538" s="322"/>
      <c r="R538" s="322"/>
      <c r="S538" s="322"/>
      <c r="T538" s="322"/>
      <c r="U538" s="322"/>
      <c r="V538" s="322"/>
      <c r="W538" s="322"/>
      <c r="X538" s="322"/>
      <c r="Y538" s="322"/>
      <c r="Z538" s="322"/>
      <c r="AA538" s="322"/>
      <c r="AB538" s="322"/>
      <c r="AC538" s="322"/>
      <c r="AD538" s="322"/>
      <c r="AE538" s="322"/>
      <c r="AF538" s="322"/>
      <c r="AG538" s="322"/>
      <c r="AH538" s="322"/>
      <c r="AI538" s="322"/>
      <c r="AJ538" s="322"/>
      <c r="AK538" s="322"/>
    </row>
    <row r="539" spans="1:37" ht="18" customHeight="1">
      <c r="A539" s="322"/>
      <c r="B539" s="322"/>
      <c r="C539" s="451"/>
      <c r="D539" s="322"/>
      <c r="E539" s="322"/>
      <c r="F539" s="322"/>
      <c r="G539" s="322"/>
      <c r="H539" s="322"/>
      <c r="I539" s="322"/>
      <c r="J539" s="322"/>
      <c r="K539" s="322"/>
      <c r="L539" s="322"/>
      <c r="M539" s="322"/>
      <c r="N539" s="322"/>
      <c r="O539" s="322"/>
      <c r="P539" s="322"/>
      <c r="Q539" s="322"/>
      <c r="R539" s="322"/>
      <c r="S539" s="322"/>
      <c r="T539" s="322"/>
      <c r="U539" s="322"/>
      <c r="V539" s="322"/>
      <c r="W539" s="322"/>
      <c r="X539" s="322"/>
      <c r="Y539" s="322"/>
      <c r="Z539" s="322"/>
      <c r="AA539" s="322"/>
      <c r="AB539" s="322"/>
      <c r="AC539" s="322"/>
      <c r="AD539" s="322"/>
      <c r="AE539" s="322"/>
      <c r="AF539" s="322"/>
      <c r="AG539" s="322"/>
      <c r="AH539" s="322"/>
      <c r="AI539" s="322"/>
      <c r="AJ539" s="322"/>
      <c r="AK539" s="322"/>
    </row>
    <row r="540" spans="1:37" ht="18" customHeight="1">
      <c r="A540" s="322"/>
      <c r="B540" s="322"/>
      <c r="C540" s="451"/>
      <c r="D540" s="322"/>
      <c r="E540" s="322"/>
      <c r="F540" s="322"/>
      <c r="G540" s="322"/>
      <c r="H540" s="322"/>
      <c r="I540" s="322"/>
      <c r="J540" s="322"/>
      <c r="K540" s="322"/>
      <c r="L540" s="322"/>
      <c r="M540" s="322"/>
      <c r="N540" s="322"/>
      <c r="O540" s="322"/>
      <c r="P540" s="322"/>
      <c r="Q540" s="322"/>
      <c r="R540" s="322"/>
      <c r="S540" s="322"/>
      <c r="T540" s="322"/>
      <c r="U540" s="322"/>
      <c r="V540" s="322"/>
      <c r="W540" s="322"/>
      <c r="X540" s="322"/>
      <c r="Y540" s="322"/>
      <c r="Z540" s="322"/>
      <c r="AA540" s="322"/>
      <c r="AB540" s="322"/>
      <c r="AC540" s="322"/>
      <c r="AD540" s="322"/>
      <c r="AE540" s="322"/>
      <c r="AF540" s="322"/>
      <c r="AG540" s="322"/>
      <c r="AH540" s="322"/>
      <c r="AI540" s="322"/>
      <c r="AJ540" s="322"/>
      <c r="AK540" s="322"/>
    </row>
    <row r="541" spans="1:37" ht="18" customHeight="1">
      <c r="A541" s="322"/>
      <c r="B541" s="322"/>
      <c r="C541" s="451"/>
      <c r="D541" s="322"/>
      <c r="E541" s="322"/>
      <c r="F541" s="322"/>
      <c r="G541" s="322"/>
      <c r="H541" s="322"/>
      <c r="I541" s="322"/>
      <c r="J541" s="322"/>
      <c r="K541" s="322"/>
      <c r="L541" s="322"/>
      <c r="M541" s="322"/>
      <c r="N541" s="322"/>
      <c r="O541" s="322"/>
      <c r="P541" s="322"/>
      <c r="Q541" s="322"/>
      <c r="R541" s="322"/>
      <c r="S541" s="322"/>
      <c r="T541" s="322"/>
      <c r="U541" s="322"/>
      <c r="V541" s="322"/>
      <c r="W541" s="322"/>
      <c r="X541" s="322"/>
      <c r="Y541" s="322"/>
      <c r="Z541" s="322"/>
      <c r="AA541" s="322"/>
      <c r="AB541" s="322"/>
      <c r="AC541" s="322"/>
      <c r="AD541" s="322"/>
      <c r="AE541" s="322"/>
      <c r="AF541" s="322"/>
      <c r="AG541" s="322"/>
      <c r="AH541" s="322"/>
      <c r="AI541" s="322"/>
      <c r="AJ541" s="322"/>
      <c r="AK541" s="322"/>
    </row>
    <row r="542" spans="1:37" ht="18" customHeight="1">
      <c r="A542" s="322"/>
      <c r="B542" s="322"/>
      <c r="C542" s="451"/>
      <c r="D542" s="322"/>
      <c r="E542" s="322"/>
      <c r="F542" s="322"/>
      <c r="G542" s="322"/>
      <c r="H542" s="322"/>
      <c r="I542" s="322"/>
      <c r="J542" s="322"/>
      <c r="K542" s="322"/>
      <c r="L542" s="322"/>
      <c r="M542" s="322"/>
      <c r="N542" s="322"/>
      <c r="O542" s="322"/>
      <c r="P542" s="322"/>
      <c r="Q542" s="322"/>
      <c r="R542" s="322"/>
      <c r="S542" s="322"/>
      <c r="T542" s="322"/>
      <c r="U542" s="322"/>
      <c r="V542" s="322"/>
      <c r="W542" s="322"/>
      <c r="X542" s="322"/>
      <c r="Y542" s="322"/>
      <c r="Z542" s="322"/>
      <c r="AA542" s="322"/>
      <c r="AB542" s="322"/>
      <c r="AC542" s="322"/>
      <c r="AD542" s="322"/>
      <c r="AE542" s="322"/>
      <c r="AF542" s="322"/>
      <c r="AG542" s="322"/>
      <c r="AH542" s="322"/>
      <c r="AI542" s="322"/>
      <c r="AJ542" s="322"/>
      <c r="AK542" s="322"/>
    </row>
    <row r="543" spans="1:37" ht="18" customHeight="1">
      <c r="A543" s="322"/>
      <c r="B543" s="322"/>
      <c r="C543" s="451"/>
      <c r="D543" s="322"/>
      <c r="E543" s="322"/>
      <c r="F543" s="322"/>
      <c r="G543" s="322"/>
      <c r="H543" s="322"/>
      <c r="I543" s="322"/>
      <c r="J543" s="322"/>
      <c r="K543" s="322"/>
      <c r="L543" s="322"/>
      <c r="M543" s="322"/>
      <c r="N543" s="322"/>
      <c r="O543" s="322"/>
      <c r="P543" s="322"/>
      <c r="Q543" s="322"/>
      <c r="R543" s="322"/>
      <c r="S543" s="322"/>
      <c r="T543" s="322"/>
      <c r="U543" s="322"/>
      <c r="V543" s="322"/>
      <c r="W543" s="322"/>
      <c r="X543" s="322"/>
      <c r="Y543" s="322"/>
      <c r="Z543" s="322"/>
      <c r="AA543" s="322"/>
      <c r="AB543" s="322"/>
      <c r="AC543" s="322"/>
      <c r="AD543" s="322"/>
      <c r="AE543" s="322"/>
      <c r="AF543" s="322"/>
      <c r="AG543" s="322"/>
      <c r="AH543" s="322"/>
      <c r="AI543" s="322"/>
      <c r="AJ543" s="322"/>
      <c r="AK543" s="322"/>
    </row>
    <row r="544" spans="1:37" ht="18" customHeight="1">
      <c r="A544" s="322"/>
      <c r="B544" s="322"/>
      <c r="C544" s="451"/>
      <c r="D544" s="322"/>
      <c r="E544" s="322"/>
      <c r="F544" s="322"/>
      <c r="G544" s="322"/>
      <c r="H544" s="322"/>
      <c r="I544" s="322"/>
      <c r="J544" s="322"/>
      <c r="K544" s="322"/>
      <c r="L544" s="322"/>
      <c r="M544" s="322"/>
      <c r="N544" s="322"/>
      <c r="O544" s="322"/>
      <c r="P544" s="322"/>
      <c r="Q544" s="322"/>
      <c r="R544" s="322"/>
      <c r="S544" s="322"/>
      <c r="T544" s="322"/>
      <c r="U544" s="322"/>
      <c r="V544" s="322"/>
      <c r="W544" s="322"/>
      <c r="X544" s="322"/>
      <c r="Y544" s="322"/>
      <c r="Z544" s="322"/>
      <c r="AA544" s="322"/>
      <c r="AB544" s="322"/>
      <c r="AC544" s="322"/>
      <c r="AD544" s="322"/>
      <c r="AE544" s="322"/>
      <c r="AF544" s="322"/>
      <c r="AG544" s="322"/>
      <c r="AH544" s="322"/>
      <c r="AI544" s="322"/>
      <c r="AJ544" s="322"/>
      <c r="AK544" s="322"/>
    </row>
    <row r="545" spans="1:37" ht="18" customHeight="1">
      <c r="A545" s="322"/>
      <c r="B545" s="322"/>
      <c r="C545" s="451"/>
      <c r="D545" s="322"/>
      <c r="E545" s="322"/>
      <c r="F545" s="322"/>
      <c r="G545" s="322"/>
      <c r="H545" s="322"/>
      <c r="I545" s="322"/>
      <c r="J545" s="322"/>
      <c r="K545" s="322"/>
      <c r="L545" s="322"/>
      <c r="M545" s="322"/>
      <c r="N545" s="322"/>
      <c r="O545" s="322"/>
      <c r="P545" s="322"/>
      <c r="Q545" s="322"/>
      <c r="R545" s="322"/>
      <c r="S545" s="322"/>
      <c r="T545" s="322"/>
      <c r="U545" s="322"/>
      <c r="V545" s="322"/>
      <c r="W545" s="322"/>
      <c r="X545" s="322"/>
      <c r="Y545" s="322"/>
      <c r="Z545" s="322"/>
      <c r="AA545" s="322"/>
      <c r="AB545" s="322"/>
      <c r="AC545" s="322"/>
      <c r="AD545" s="322"/>
      <c r="AE545" s="322"/>
      <c r="AF545" s="322"/>
      <c r="AG545" s="322"/>
      <c r="AH545" s="322"/>
      <c r="AI545" s="322"/>
      <c r="AJ545" s="322"/>
      <c r="AK545" s="322"/>
    </row>
    <row r="546" spans="1:37" ht="18" customHeight="1">
      <c r="A546" s="322"/>
      <c r="B546" s="322"/>
      <c r="C546" s="451"/>
      <c r="D546" s="322"/>
      <c r="E546" s="322"/>
      <c r="F546" s="322"/>
      <c r="G546" s="322"/>
      <c r="H546" s="322"/>
      <c r="I546" s="322"/>
      <c r="J546" s="322"/>
      <c r="K546" s="322"/>
      <c r="L546" s="322"/>
      <c r="M546" s="322"/>
      <c r="N546" s="322"/>
      <c r="O546" s="322"/>
      <c r="P546" s="322"/>
      <c r="Q546" s="322"/>
      <c r="R546" s="322"/>
      <c r="S546" s="322"/>
      <c r="T546" s="322"/>
      <c r="U546" s="322"/>
      <c r="V546" s="322"/>
      <c r="W546" s="322"/>
      <c r="X546" s="322"/>
      <c r="Y546" s="322"/>
      <c r="Z546" s="322"/>
      <c r="AA546" s="322"/>
      <c r="AB546" s="322"/>
      <c r="AC546" s="322"/>
      <c r="AD546" s="322"/>
      <c r="AE546" s="322"/>
      <c r="AF546" s="322"/>
      <c r="AG546" s="322"/>
      <c r="AH546" s="322"/>
      <c r="AI546" s="322"/>
      <c r="AJ546" s="322"/>
      <c r="AK546" s="322"/>
    </row>
    <row r="547" spans="1:37" ht="18" customHeight="1">
      <c r="A547" s="322"/>
      <c r="B547" s="322"/>
      <c r="C547" s="451"/>
      <c r="D547" s="322"/>
      <c r="E547" s="322"/>
      <c r="F547" s="322"/>
      <c r="G547" s="322"/>
      <c r="H547" s="322"/>
      <c r="I547" s="322"/>
      <c r="J547" s="322"/>
      <c r="K547" s="322"/>
      <c r="L547" s="322"/>
      <c r="M547" s="322"/>
      <c r="N547" s="322"/>
      <c r="O547" s="322"/>
      <c r="P547" s="322"/>
      <c r="Q547" s="322"/>
      <c r="R547" s="322"/>
      <c r="S547" s="322"/>
      <c r="T547" s="322"/>
      <c r="U547" s="322"/>
      <c r="V547" s="322"/>
      <c r="W547" s="322"/>
      <c r="X547" s="322"/>
      <c r="Y547" s="322"/>
      <c r="Z547" s="322"/>
      <c r="AA547" s="322"/>
      <c r="AB547" s="322"/>
      <c r="AC547" s="322"/>
      <c r="AD547" s="322"/>
      <c r="AE547" s="322"/>
      <c r="AF547" s="322"/>
      <c r="AG547" s="322"/>
      <c r="AH547" s="322"/>
      <c r="AI547" s="322"/>
      <c r="AJ547" s="322"/>
      <c r="AK547" s="322"/>
    </row>
    <row r="548" spans="1:37" ht="18" customHeight="1">
      <c r="A548" s="322"/>
      <c r="B548" s="322"/>
      <c r="C548" s="451"/>
      <c r="D548" s="322"/>
      <c r="E548" s="322"/>
      <c r="F548" s="322"/>
      <c r="G548" s="322"/>
      <c r="H548" s="322"/>
      <c r="I548" s="322"/>
      <c r="J548" s="322"/>
      <c r="K548" s="322"/>
      <c r="L548" s="322"/>
      <c r="M548" s="322"/>
      <c r="N548" s="322"/>
      <c r="O548" s="322"/>
      <c r="P548" s="322"/>
      <c r="Q548" s="322"/>
      <c r="R548" s="322"/>
      <c r="S548" s="322"/>
      <c r="T548" s="322"/>
      <c r="U548" s="322"/>
      <c r="V548" s="322"/>
      <c r="W548" s="322"/>
      <c r="X548" s="322"/>
      <c r="Y548" s="322"/>
      <c r="Z548" s="322"/>
      <c r="AA548" s="322"/>
      <c r="AB548" s="322"/>
      <c r="AC548" s="322"/>
      <c r="AD548" s="322"/>
      <c r="AE548" s="322"/>
      <c r="AF548" s="322"/>
      <c r="AG548" s="322"/>
      <c r="AH548" s="322"/>
      <c r="AI548" s="322"/>
      <c r="AJ548" s="322"/>
      <c r="AK548" s="322"/>
    </row>
    <row r="549" spans="1:37" ht="18" customHeight="1">
      <c r="A549" s="322"/>
      <c r="B549" s="322"/>
      <c r="C549" s="451"/>
      <c r="D549" s="322"/>
      <c r="E549" s="322"/>
      <c r="F549" s="322"/>
      <c r="G549" s="322"/>
      <c r="H549" s="322"/>
      <c r="I549" s="322"/>
      <c r="J549" s="322"/>
      <c r="K549" s="322"/>
      <c r="L549" s="322"/>
      <c r="M549" s="322"/>
      <c r="N549" s="322"/>
      <c r="O549" s="322"/>
      <c r="P549" s="322"/>
      <c r="Q549" s="322"/>
      <c r="R549" s="322"/>
      <c r="S549" s="322"/>
      <c r="T549" s="322"/>
      <c r="U549" s="322"/>
      <c r="V549" s="322"/>
      <c r="W549" s="322"/>
      <c r="X549" s="322"/>
      <c r="Y549" s="322"/>
      <c r="Z549" s="322"/>
      <c r="AA549" s="322"/>
      <c r="AB549" s="322"/>
      <c r="AC549" s="322"/>
      <c r="AD549" s="322"/>
      <c r="AE549" s="322"/>
      <c r="AF549" s="322"/>
      <c r="AG549" s="322"/>
      <c r="AH549" s="322"/>
      <c r="AI549" s="322"/>
      <c r="AJ549" s="322"/>
      <c r="AK549" s="322"/>
    </row>
    <row r="550" spans="1:37" ht="18" customHeight="1">
      <c r="A550" s="322"/>
      <c r="B550" s="322"/>
      <c r="C550" s="451"/>
      <c r="D550" s="322"/>
      <c r="E550" s="322"/>
      <c r="F550" s="322"/>
      <c r="G550" s="322"/>
      <c r="H550" s="322"/>
      <c r="I550" s="322"/>
      <c r="J550" s="322"/>
      <c r="K550" s="322"/>
      <c r="L550" s="322"/>
      <c r="M550" s="322"/>
      <c r="N550" s="322"/>
      <c r="O550" s="322"/>
      <c r="P550" s="322"/>
      <c r="Q550" s="322"/>
      <c r="R550" s="322"/>
      <c r="S550" s="322"/>
      <c r="T550" s="322"/>
      <c r="U550" s="322"/>
      <c r="V550" s="322"/>
      <c r="W550" s="322"/>
      <c r="X550" s="322"/>
      <c r="Y550" s="322"/>
      <c r="Z550" s="322"/>
      <c r="AA550" s="322"/>
      <c r="AB550" s="322"/>
      <c r="AC550" s="322"/>
      <c r="AD550" s="322"/>
      <c r="AE550" s="322"/>
      <c r="AF550" s="322"/>
      <c r="AG550" s="322"/>
      <c r="AH550" s="322"/>
      <c r="AI550" s="322"/>
      <c r="AJ550" s="322"/>
      <c r="AK550" s="322"/>
    </row>
    <row r="551" spans="1:37" ht="18" customHeight="1">
      <c r="A551" s="322"/>
      <c r="B551" s="322"/>
      <c r="C551" s="451"/>
      <c r="D551" s="322"/>
      <c r="E551" s="322"/>
      <c r="F551" s="322"/>
      <c r="G551" s="322"/>
      <c r="H551" s="322"/>
      <c r="I551" s="322"/>
      <c r="J551" s="322"/>
      <c r="K551" s="322"/>
      <c r="L551" s="322"/>
      <c r="M551" s="322"/>
      <c r="N551" s="322"/>
      <c r="O551" s="322"/>
      <c r="P551" s="322"/>
      <c r="Q551" s="322"/>
      <c r="R551" s="322"/>
      <c r="S551" s="322"/>
      <c r="T551" s="322"/>
      <c r="U551" s="322"/>
      <c r="V551" s="322"/>
      <c r="W551" s="322"/>
      <c r="X551" s="322"/>
      <c r="Y551" s="322"/>
      <c r="Z551" s="322"/>
      <c r="AA551" s="322"/>
      <c r="AB551" s="322"/>
      <c r="AC551" s="322"/>
      <c r="AD551" s="322"/>
      <c r="AE551" s="322"/>
      <c r="AF551" s="322"/>
      <c r="AG551" s="322"/>
      <c r="AH551" s="322"/>
      <c r="AI551" s="322"/>
      <c r="AJ551" s="322"/>
      <c r="AK551" s="322"/>
    </row>
    <row r="552" spans="1:37" ht="18" customHeight="1">
      <c r="A552" s="322"/>
      <c r="B552" s="322"/>
      <c r="C552" s="451"/>
      <c r="D552" s="322"/>
      <c r="E552" s="322"/>
      <c r="F552" s="322"/>
      <c r="G552" s="322"/>
      <c r="H552" s="322"/>
      <c r="I552" s="322"/>
      <c r="J552" s="322"/>
      <c r="K552" s="322"/>
      <c r="L552" s="322"/>
      <c r="M552" s="322"/>
      <c r="N552" s="322"/>
      <c r="O552" s="322"/>
      <c r="P552" s="322"/>
      <c r="Q552" s="322"/>
      <c r="R552" s="322"/>
      <c r="S552" s="322"/>
      <c r="T552" s="322"/>
      <c r="U552" s="322"/>
      <c r="V552" s="322"/>
      <c r="W552" s="322"/>
      <c r="X552" s="322"/>
      <c r="Y552" s="322"/>
      <c r="Z552" s="322"/>
      <c r="AA552" s="322"/>
      <c r="AB552" s="322"/>
      <c r="AC552" s="322"/>
      <c r="AD552" s="322"/>
      <c r="AE552" s="322"/>
      <c r="AF552" s="322"/>
      <c r="AG552" s="322"/>
      <c r="AH552" s="322"/>
      <c r="AI552" s="322"/>
      <c r="AJ552" s="322"/>
      <c r="AK552" s="322"/>
    </row>
    <row r="553" spans="1:37" ht="18" customHeight="1">
      <c r="A553" s="322"/>
      <c r="B553" s="322"/>
      <c r="C553" s="451"/>
      <c r="D553" s="322"/>
      <c r="E553" s="322"/>
      <c r="F553" s="322"/>
      <c r="G553" s="322"/>
      <c r="H553" s="322"/>
      <c r="I553" s="322"/>
      <c r="J553" s="322"/>
      <c r="K553" s="322"/>
      <c r="L553" s="322"/>
      <c r="M553" s="322"/>
      <c r="N553" s="322"/>
      <c r="O553" s="322"/>
      <c r="P553" s="322"/>
      <c r="Q553" s="322"/>
      <c r="R553" s="322"/>
      <c r="S553" s="322"/>
      <c r="T553" s="322"/>
      <c r="U553" s="322"/>
      <c r="V553" s="322"/>
      <c r="W553" s="322"/>
      <c r="X553" s="322"/>
      <c r="Y553" s="322"/>
      <c r="Z553" s="322"/>
      <c r="AA553" s="322"/>
      <c r="AB553" s="322"/>
      <c r="AC553" s="322"/>
      <c r="AD553" s="322"/>
      <c r="AE553" s="322"/>
      <c r="AF553" s="322"/>
      <c r="AG553" s="322"/>
      <c r="AH553" s="322"/>
      <c r="AI553" s="322"/>
      <c r="AJ553" s="322"/>
      <c r="AK553" s="322"/>
    </row>
    <row r="554" spans="1:37" ht="18" customHeight="1">
      <c r="A554" s="322"/>
      <c r="B554" s="322"/>
      <c r="C554" s="451"/>
      <c r="D554" s="322"/>
      <c r="E554" s="322"/>
      <c r="F554" s="322"/>
      <c r="G554" s="322"/>
      <c r="H554" s="322"/>
      <c r="I554" s="322"/>
      <c r="J554" s="322"/>
      <c r="K554" s="322"/>
      <c r="L554" s="322"/>
      <c r="M554" s="322"/>
      <c r="N554" s="322"/>
      <c r="O554" s="322"/>
      <c r="P554" s="322"/>
      <c r="Q554" s="322"/>
      <c r="R554" s="322"/>
      <c r="S554" s="322"/>
      <c r="T554" s="322"/>
      <c r="U554" s="322"/>
      <c r="V554" s="322"/>
      <c r="W554" s="322"/>
      <c r="X554" s="322"/>
      <c r="Y554" s="322"/>
      <c r="Z554" s="322"/>
      <c r="AA554" s="322"/>
      <c r="AB554" s="322"/>
      <c r="AC554" s="322"/>
      <c r="AD554" s="322"/>
      <c r="AE554" s="322"/>
      <c r="AF554" s="322"/>
      <c r="AG554" s="322"/>
      <c r="AH554" s="322"/>
      <c r="AI554" s="322"/>
      <c r="AJ554" s="322"/>
      <c r="AK554" s="322"/>
    </row>
    <row r="555" spans="1:37" ht="18" customHeight="1">
      <c r="A555" s="322"/>
      <c r="B555" s="322"/>
      <c r="C555" s="451"/>
      <c r="D555" s="322"/>
      <c r="E555" s="322"/>
      <c r="F555" s="322"/>
      <c r="G555" s="322"/>
      <c r="H555" s="322"/>
      <c r="I555" s="322"/>
      <c r="J555" s="322"/>
      <c r="K555" s="322"/>
      <c r="L555" s="322"/>
      <c r="M555" s="322"/>
      <c r="N555" s="322"/>
      <c r="O555" s="322"/>
      <c r="P555" s="322"/>
      <c r="Q555" s="322"/>
      <c r="R555" s="322"/>
      <c r="S555" s="322"/>
      <c r="T555" s="322"/>
      <c r="U555" s="322"/>
      <c r="V555" s="322"/>
      <c r="W555" s="322"/>
      <c r="X555" s="322"/>
      <c r="Y555" s="322"/>
      <c r="Z555" s="322"/>
      <c r="AA555" s="322"/>
      <c r="AB555" s="322"/>
      <c r="AC555" s="322"/>
      <c r="AD555" s="322"/>
      <c r="AE555" s="322"/>
      <c r="AF555" s="322"/>
      <c r="AG555" s="322"/>
      <c r="AH555" s="322"/>
      <c r="AI555" s="322"/>
      <c r="AJ555" s="322"/>
      <c r="AK555" s="322"/>
    </row>
    <row r="556" spans="1:37" ht="18" customHeight="1">
      <c r="A556" s="322"/>
      <c r="B556" s="322"/>
      <c r="C556" s="451"/>
      <c r="D556" s="322"/>
      <c r="E556" s="322"/>
      <c r="F556" s="322"/>
      <c r="G556" s="322"/>
      <c r="H556" s="322"/>
      <c r="I556" s="322"/>
      <c r="J556" s="322"/>
      <c r="K556" s="322"/>
      <c r="L556" s="322"/>
      <c r="M556" s="322"/>
      <c r="N556" s="322"/>
      <c r="O556" s="322"/>
      <c r="P556" s="322"/>
      <c r="Q556" s="322"/>
      <c r="R556" s="322"/>
      <c r="S556" s="322"/>
      <c r="T556" s="322"/>
      <c r="U556" s="322"/>
      <c r="V556" s="322"/>
      <c r="W556" s="322"/>
      <c r="X556" s="322"/>
      <c r="Y556" s="322"/>
      <c r="Z556" s="322"/>
      <c r="AA556" s="322"/>
      <c r="AB556" s="322"/>
      <c r="AC556" s="322"/>
      <c r="AD556" s="322"/>
      <c r="AE556" s="322"/>
      <c r="AF556" s="322"/>
      <c r="AG556" s="322"/>
      <c r="AH556" s="322"/>
      <c r="AI556" s="322"/>
      <c r="AJ556" s="322"/>
      <c r="AK556" s="322"/>
    </row>
    <row r="557" spans="1:37" ht="18" customHeight="1">
      <c r="A557" s="322"/>
      <c r="B557" s="322"/>
      <c r="C557" s="451"/>
      <c r="D557" s="322"/>
      <c r="E557" s="322"/>
      <c r="F557" s="322"/>
      <c r="G557" s="322"/>
      <c r="H557" s="322"/>
      <c r="I557" s="322"/>
      <c r="J557" s="322"/>
      <c r="K557" s="322"/>
      <c r="L557" s="322"/>
      <c r="M557" s="322"/>
      <c r="N557" s="322"/>
      <c r="O557" s="322"/>
      <c r="P557" s="322"/>
      <c r="Q557" s="322"/>
      <c r="R557" s="322"/>
      <c r="S557" s="322"/>
      <c r="T557" s="322"/>
      <c r="U557" s="322"/>
      <c r="V557" s="322"/>
      <c r="W557" s="322"/>
      <c r="X557" s="322"/>
      <c r="Y557" s="322"/>
      <c r="Z557" s="322"/>
      <c r="AA557" s="322"/>
      <c r="AB557" s="322"/>
      <c r="AC557" s="322"/>
      <c r="AD557" s="322"/>
      <c r="AE557" s="322"/>
      <c r="AF557" s="322"/>
      <c r="AG557" s="322"/>
      <c r="AH557" s="322"/>
      <c r="AI557" s="322"/>
      <c r="AJ557" s="322"/>
      <c r="AK557" s="322"/>
    </row>
    <row r="558" spans="1:37" ht="18" customHeight="1">
      <c r="A558" s="322"/>
      <c r="B558" s="322"/>
      <c r="C558" s="451"/>
      <c r="D558" s="322"/>
      <c r="E558" s="322"/>
      <c r="F558" s="322"/>
      <c r="G558" s="322"/>
      <c r="H558" s="322"/>
      <c r="I558" s="322"/>
      <c r="J558" s="322"/>
      <c r="K558" s="322"/>
      <c r="L558" s="322"/>
      <c r="M558" s="322"/>
      <c r="N558" s="322"/>
      <c r="O558" s="322"/>
      <c r="P558" s="322"/>
      <c r="Q558" s="322"/>
      <c r="R558" s="322"/>
      <c r="S558" s="322"/>
      <c r="T558" s="322"/>
      <c r="U558" s="322"/>
      <c r="V558" s="322"/>
      <c r="W558" s="322"/>
      <c r="X558" s="322"/>
      <c r="Y558" s="322"/>
      <c r="Z558" s="322"/>
      <c r="AA558" s="322"/>
      <c r="AB558" s="322"/>
      <c r="AC558" s="322"/>
      <c r="AD558" s="322"/>
      <c r="AE558" s="322"/>
      <c r="AF558" s="322"/>
      <c r="AG558" s="322"/>
      <c r="AH558" s="322"/>
      <c r="AI558" s="322"/>
      <c r="AJ558" s="322"/>
      <c r="AK558" s="322"/>
    </row>
    <row r="559" spans="1:37" ht="18" customHeight="1">
      <c r="A559" s="322"/>
      <c r="B559" s="322"/>
      <c r="C559" s="451"/>
      <c r="D559" s="322"/>
      <c r="E559" s="322"/>
      <c r="F559" s="322"/>
      <c r="G559" s="322"/>
      <c r="H559" s="322"/>
      <c r="I559" s="322"/>
      <c r="J559" s="322"/>
      <c r="K559" s="322"/>
      <c r="L559" s="322"/>
      <c r="M559" s="322"/>
      <c r="N559" s="322"/>
      <c r="O559" s="322"/>
      <c r="P559" s="322"/>
      <c r="Q559" s="322"/>
      <c r="R559" s="322"/>
      <c r="S559" s="322"/>
      <c r="T559" s="322"/>
      <c r="U559" s="322"/>
      <c r="V559" s="322"/>
      <c r="W559" s="322"/>
      <c r="X559" s="322"/>
      <c r="Y559" s="322"/>
      <c r="Z559" s="322"/>
      <c r="AA559" s="322"/>
      <c r="AB559" s="322"/>
      <c r="AC559" s="322"/>
      <c r="AD559" s="322"/>
      <c r="AE559" s="322"/>
      <c r="AF559" s="322"/>
      <c r="AG559" s="322"/>
      <c r="AH559" s="322"/>
      <c r="AI559" s="322"/>
      <c r="AJ559" s="322"/>
      <c r="AK559" s="322"/>
    </row>
    <row r="560" spans="1:37" ht="18" customHeight="1">
      <c r="A560" s="322"/>
      <c r="B560" s="322"/>
      <c r="C560" s="451"/>
      <c r="D560" s="322"/>
      <c r="E560" s="322"/>
      <c r="F560" s="322"/>
      <c r="G560" s="322"/>
      <c r="H560" s="322"/>
      <c r="I560" s="322"/>
      <c r="J560" s="322"/>
      <c r="K560" s="322"/>
      <c r="L560" s="322"/>
      <c r="M560" s="322"/>
      <c r="N560" s="322"/>
      <c r="O560" s="322"/>
      <c r="P560" s="322"/>
      <c r="Q560" s="322"/>
      <c r="R560" s="322"/>
      <c r="S560" s="322"/>
      <c r="T560" s="322"/>
      <c r="U560" s="322"/>
      <c r="V560" s="322"/>
      <c r="W560" s="322"/>
      <c r="X560" s="322"/>
      <c r="Y560" s="322"/>
      <c r="Z560" s="322"/>
      <c r="AA560" s="322"/>
      <c r="AB560" s="322"/>
      <c r="AC560" s="322"/>
      <c r="AD560" s="322"/>
      <c r="AE560" s="322"/>
      <c r="AF560" s="322"/>
      <c r="AG560" s="322"/>
      <c r="AH560" s="322"/>
      <c r="AI560" s="322"/>
      <c r="AJ560" s="322"/>
      <c r="AK560" s="322"/>
    </row>
    <row r="561" spans="1:37" ht="18" customHeight="1">
      <c r="A561" s="322"/>
      <c r="B561" s="322"/>
      <c r="C561" s="451"/>
      <c r="D561" s="322"/>
      <c r="E561" s="322"/>
      <c r="F561" s="322"/>
      <c r="G561" s="322"/>
      <c r="H561" s="322"/>
      <c r="I561" s="322"/>
      <c r="J561" s="322"/>
      <c r="K561" s="322"/>
      <c r="L561" s="322"/>
      <c r="M561" s="322"/>
      <c r="N561" s="322"/>
      <c r="O561" s="322"/>
      <c r="P561" s="322"/>
      <c r="Q561" s="322"/>
      <c r="R561" s="322"/>
      <c r="S561" s="322"/>
      <c r="T561" s="322"/>
      <c r="U561" s="322"/>
      <c r="V561" s="322"/>
      <c r="W561" s="322"/>
      <c r="X561" s="322"/>
      <c r="Y561" s="322"/>
      <c r="Z561" s="322"/>
      <c r="AA561" s="322"/>
      <c r="AB561" s="322"/>
      <c r="AC561" s="322"/>
      <c r="AD561" s="322"/>
      <c r="AE561" s="322"/>
      <c r="AF561" s="322"/>
      <c r="AG561" s="322"/>
      <c r="AH561" s="322"/>
      <c r="AI561" s="322"/>
      <c r="AJ561" s="322"/>
      <c r="AK561" s="322"/>
    </row>
    <row r="562" spans="1:37" ht="18" customHeight="1">
      <c r="A562" s="322"/>
      <c r="B562" s="322"/>
      <c r="C562" s="451"/>
      <c r="D562" s="322"/>
      <c r="E562" s="322"/>
      <c r="F562" s="322"/>
      <c r="G562" s="322"/>
      <c r="H562" s="322"/>
      <c r="I562" s="322"/>
      <c r="J562" s="322"/>
      <c r="K562" s="322"/>
      <c r="L562" s="322"/>
      <c r="M562" s="322"/>
      <c r="N562" s="322"/>
      <c r="O562" s="322"/>
      <c r="P562" s="322"/>
      <c r="Q562" s="322"/>
      <c r="R562" s="322"/>
      <c r="S562" s="322"/>
      <c r="T562" s="322"/>
      <c r="U562" s="322"/>
      <c r="V562" s="322"/>
      <c r="W562" s="322"/>
      <c r="X562" s="322"/>
      <c r="Y562" s="322"/>
      <c r="Z562" s="322"/>
      <c r="AA562" s="322"/>
      <c r="AB562" s="322"/>
      <c r="AC562" s="322"/>
      <c r="AD562" s="322"/>
      <c r="AE562" s="322"/>
      <c r="AF562" s="322"/>
      <c r="AG562" s="322"/>
      <c r="AH562" s="322"/>
      <c r="AI562" s="322"/>
      <c r="AJ562" s="322"/>
      <c r="AK562" s="322"/>
    </row>
    <row r="563" spans="1:37" ht="18" customHeight="1">
      <c r="A563" s="322"/>
      <c r="B563" s="322"/>
      <c r="C563" s="451"/>
      <c r="D563" s="322"/>
      <c r="E563" s="322"/>
      <c r="F563" s="322"/>
      <c r="G563" s="322"/>
      <c r="H563" s="322"/>
      <c r="I563" s="322"/>
      <c r="J563" s="322"/>
      <c r="K563" s="322"/>
      <c r="L563" s="322"/>
      <c r="M563" s="322"/>
      <c r="N563" s="322"/>
      <c r="O563" s="322"/>
      <c r="P563" s="322"/>
      <c r="Q563" s="322"/>
      <c r="R563" s="322"/>
      <c r="S563" s="322"/>
      <c r="T563" s="322"/>
      <c r="U563" s="322"/>
      <c r="V563" s="322"/>
      <c r="W563" s="322"/>
      <c r="X563" s="322"/>
      <c r="Y563" s="322"/>
      <c r="Z563" s="322"/>
      <c r="AA563" s="322"/>
      <c r="AB563" s="322"/>
      <c r="AC563" s="322"/>
      <c r="AD563" s="322"/>
      <c r="AE563" s="322"/>
      <c r="AF563" s="322"/>
      <c r="AG563" s="322"/>
      <c r="AH563" s="322"/>
      <c r="AI563" s="322"/>
      <c r="AJ563" s="322"/>
      <c r="AK563" s="322"/>
    </row>
    <row r="564" spans="1:37" ht="18" customHeight="1">
      <c r="A564" s="322"/>
      <c r="B564" s="322"/>
      <c r="C564" s="451"/>
      <c r="D564" s="322"/>
      <c r="E564" s="322"/>
      <c r="F564" s="322"/>
      <c r="G564" s="322"/>
      <c r="H564" s="322"/>
      <c r="I564" s="322"/>
      <c r="J564" s="322"/>
      <c r="K564" s="322"/>
      <c r="L564" s="322"/>
      <c r="M564" s="322"/>
      <c r="N564" s="322"/>
      <c r="O564" s="322"/>
      <c r="P564" s="322"/>
      <c r="Q564" s="322"/>
      <c r="R564" s="322"/>
      <c r="S564" s="322"/>
      <c r="T564" s="322"/>
      <c r="U564" s="322"/>
      <c r="V564" s="322"/>
      <c r="W564" s="322"/>
      <c r="X564" s="322"/>
      <c r="Y564" s="322"/>
      <c r="Z564" s="322"/>
      <c r="AA564" s="322"/>
      <c r="AB564" s="322"/>
      <c r="AC564" s="322"/>
      <c r="AD564" s="322"/>
      <c r="AE564" s="322"/>
      <c r="AF564" s="322"/>
      <c r="AG564" s="322"/>
      <c r="AH564" s="322"/>
      <c r="AI564" s="322"/>
      <c r="AJ564" s="322"/>
      <c r="AK564" s="322"/>
    </row>
    <row r="565" spans="1:37" ht="18" customHeight="1">
      <c r="A565" s="322"/>
      <c r="B565" s="322"/>
      <c r="C565" s="451"/>
      <c r="D565" s="322"/>
      <c r="E565" s="322"/>
      <c r="F565" s="322"/>
      <c r="G565" s="322"/>
      <c r="H565" s="322"/>
      <c r="I565" s="322"/>
      <c r="J565" s="322"/>
      <c r="K565" s="322"/>
      <c r="L565" s="322"/>
      <c r="M565" s="322"/>
      <c r="N565" s="322"/>
      <c r="O565" s="322"/>
      <c r="P565" s="322"/>
      <c r="Q565" s="322"/>
      <c r="R565" s="322"/>
      <c r="S565" s="322"/>
      <c r="T565" s="322"/>
      <c r="U565" s="322"/>
      <c r="V565" s="322"/>
      <c r="W565" s="322"/>
      <c r="X565" s="322"/>
      <c r="Y565" s="322"/>
      <c r="Z565" s="322"/>
      <c r="AA565" s="322"/>
      <c r="AB565" s="322"/>
      <c r="AC565" s="322"/>
      <c r="AD565" s="322"/>
      <c r="AE565" s="322"/>
      <c r="AF565" s="322"/>
      <c r="AG565" s="322"/>
      <c r="AH565" s="322"/>
      <c r="AI565" s="322"/>
      <c r="AJ565" s="322"/>
      <c r="AK565" s="322"/>
    </row>
    <row r="566" spans="1:37" ht="18" customHeight="1">
      <c r="A566" s="322"/>
      <c r="B566" s="322"/>
      <c r="C566" s="451"/>
      <c r="D566" s="322"/>
      <c r="E566" s="322"/>
      <c r="F566" s="322"/>
      <c r="G566" s="322"/>
      <c r="H566" s="322"/>
      <c r="I566" s="322"/>
      <c r="J566" s="322"/>
      <c r="K566" s="322"/>
      <c r="L566" s="322"/>
      <c r="M566" s="322"/>
      <c r="N566" s="322"/>
      <c r="O566" s="322"/>
      <c r="P566" s="322"/>
      <c r="Q566" s="322"/>
      <c r="R566" s="322"/>
      <c r="S566" s="322"/>
      <c r="T566" s="322"/>
      <c r="U566" s="322"/>
      <c r="V566" s="322"/>
      <c r="W566" s="322"/>
      <c r="X566" s="322"/>
      <c r="Y566" s="322"/>
      <c r="Z566" s="322"/>
      <c r="AA566" s="322"/>
      <c r="AB566" s="322"/>
      <c r="AC566" s="322"/>
      <c r="AD566" s="322"/>
      <c r="AE566" s="322"/>
      <c r="AF566" s="322"/>
      <c r="AG566" s="322"/>
      <c r="AH566" s="322"/>
      <c r="AI566" s="322"/>
      <c r="AJ566" s="322"/>
      <c r="AK566" s="322"/>
    </row>
    <row r="567" spans="1:37" ht="18" customHeight="1">
      <c r="A567" s="322"/>
      <c r="B567" s="322"/>
      <c r="C567" s="451"/>
      <c r="D567" s="322"/>
      <c r="E567" s="322"/>
      <c r="F567" s="322"/>
      <c r="G567" s="322"/>
      <c r="H567" s="322"/>
      <c r="I567" s="322"/>
      <c r="J567" s="322"/>
      <c r="K567" s="322"/>
      <c r="L567" s="322"/>
      <c r="M567" s="322"/>
      <c r="N567" s="322"/>
      <c r="O567" s="322"/>
      <c r="P567" s="322"/>
      <c r="Q567" s="322"/>
      <c r="R567" s="322"/>
      <c r="S567" s="322"/>
      <c r="T567" s="322"/>
      <c r="U567" s="322"/>
      <c r="V567" s="322"/>
      <c r="W567" s="322"/>
      <c r="X567" s="322"/>
      <c r="Y567" s="322"/>
      <c r="Z567" s="322"/>
      <c r="AA567" s="322"/>
      <c r="AB567" s="322"/>
      <c r="AC567" s="322"/>
      <c r="AD567" s="322"/>
      <c r="AE567" s="322"/>
      <c r="AF567" s="322"/>
      <c r="AG567" s="322"/>
      <c r="AH567" s="322"/>
      <c r="AI567" s="322"/>
      <c r="AJ567" s="322"/>
      <c r="AK567" s="322"/>
    </row>
    <row r="568" spans="1:37" ht="18" customHeight="1">
      <c r="A568" s="322"/>
      <c r="B568" s="322"/>
      <c r="C568" s="451"/>
      <c r="D568" s="322"/>
      <c r="E568" s="322"/>
      <c r="F568" s="322"/>
      <c r="G568" s="322"/>
      <c r="H568" s="322"/>
      <c r="I568" s="322"/>
      <c r="J568" s="322"/>
      <c r="K568" s="322"/>
      <c r="L568" s="322"/>
      <c r="M568" s="322"/>
      <c r="N568" s="322"/>
      <c r="O568" s="322"/>
      <c r="P568" s="322"/>
      <c r="Q568" s="322"/>
      <c r="R568" s="322"/>
      <c r="S568" s="322"/>
      <c r="T568" s="322"/>
      <c r="U568" s="322"/>
      <c r="V568" s="322"/>
      <c r="W568" s="322"/>
      <c r="X568" s="322"/>
      <c r="Y568" s="322"/>
      <c r="Z568" s="322"/>
      <c r="AA568" s="322"/>
      <c r="AB568" s="322"/>
      <c r="AC568" s="322"/>
      <c r="AD568" s="322"/>
      <c r="AE568" s="322"/>
      <c r="AF568" s="322"/>
      <c r="AG568" s="322"/>
      <c r="AH568" s="322"/>
      <c r="AI568" s="322"/>
      <c r="AJ568" s="322"/>
      <c r="AK568" s="322"/>
    </row>
    <row r="569" spans="1:37" ht="18" customHeight="1">
      <c r="A569" s="322"/>
      <c r="B569" s="322"/>
      <c r="C569" s="451"/>
      <c r="D569" s="322"/>
      <c r="E569" s="322"/>
      <c r="F569" s="322"/>
      <c r="G569" s="322"/>
      <c r="H569" s="322"/>
      <c r="I569" s="322"/>
      <c r="J569" s="322"/>
      <c r="K569" s="322"/>
      <c r="L569" s="322"/>
      <c r="M569" s="322"/>
      <c r="N569" s="322"/>
      <c r="O569" s="322"/>
      <c r="P569" s="322"/>
      <c r="Q569" s="322"/>
      <c r="R569" s="322"/>
      <c r="S569" s="322"/>
      <c r="T569" s="322"/>
      <c r="U569" s="322"/>
      <c r="V569" s="322"/>
      <c r="W569" s="322"/>
      <c r="X569" s="322"/>
      <c r="Y569" s="322"/>
      <c r="Z569" s="322"/>
      <c r="AA569" s="322"/>
      <c r="AB569" s="322"/>
      <c r="AC569" s="322"/>
      <c r="AD569" s="322"/>
      <c r="AE569" s="322"/>
      <c r="AF569" s="322"/>
      <c r="AG569" s="322"/>
      <c r="AH569" s="322"/>
      <c r="AI569" s="322"/>
      <c r="AJ569" s="322"/>
      <c r="AK569" s="322"/>
    </row>
    <row r="570" spans="1:37" ht="18" customHeight="1">
      <c r="A570" s="322"/>
      <c r="B570" s="322"/>
      <c r="C570" s="451"/>
      <c r="D570" s="322"/>
      <c r="E570" s="322"/>
      <c r="F570" s="322"/>
      <c r="G570" s="322"/>
      <c r="H570" s="322"/>
      <c r="I570" s="322"/>
      <c r="J570" s="322"/>
      <c r="K570" s="322"/>
      <c r="L570" s="322"/>
      <c r="M570" s="322"/>
      <c r="N570" s="322"/>
      <c r="O570" s="322"/>
      <c r="P570" s="322"/>
      <c r="Q570" s="322"/>
      <c r="R570" s="322"/>
      <c r="S570" s="322"/>
      <c r="T570" s="322"/>
      <c r="U570" s="322"/>
      <c r="V570" s="322"/>
      <c r="W570" s="322"/>
      <c r="X570" s="322"/>
      <c r="Y570" s="322"/>
      <c r="Z570" s="322"/>
      <c r="AA570" s="322"/>
      <c r="AB570" s="322"/>
      <c r="AC570" s="322"/>
      <c r="AD570" s="322"/>
      <c r="AE570" s="322"/>
      <c r="AF570" s="322"/>
      <c r="AG570" s="322"/>
      <c r="AH570" s="322"/>
      <c r="AI570" s="322"/>
      <c r="AJ570" s="322"/>
      <c r="AK570" s="322"/>
    </row>
    <row r="571" spans="1:37" ht="18" customHeight="1">
      <c r="A571" s="322"/>
      <c r="B571" s="322"/>
      <c r="C571" s="451"/>
      <c r="D571" s="322"/>
      <c r="E571" s="322"/>
      <c r="F571" s="322"/>
      <c r="G571" s="322"/>
      <c r="H571" s="322"/>
      <c r="I571" s="322"/>
      <c r="J571" s="322"/>
      <c r="K571" s="322"/>
      <c r="L571" s="322"/>
      <c r="M571" s="322"/>
      <c r="N571" s="322"/>
      <c r="O571" s="322"/>
      <c r="P571" s="322"/>
      <c r="Q571" s="322"/>
      <c r="R571" s="322"/>
      <c r="S571" s="322"/>
      <c r="T571" s="322"/>
      <c r="U571" s="322"/>
      <c r="V571" s="322"/>
      <c r="W571" s="322"/>
      <c r="X571" s="322"/>
      <c r="Y571" s="322"/>
      <c r="Z571" s="322"/>
      <c r="AA571" s="322"/>
      <c r="AB571" s="322"/>
      <c r="AC571" s="322"/>
      <c r="AD571" s="322"/>
      <c r="AE571" s="322"/>
      <c r="AF571" s="322"/>
      <c r="AG571" s="322"/>
      <c r="AH571" s="322"/>
      <c r="AI571" s="322"/>
      <c r="AJ571" s="322"/>
      <c r="AK571" s="322"/>
    </row>
    <row r="572" spans="1:37" ht="18" customHeight="1">
      <c r="A572" s="322"/>
      <c r="B572" s="322"/>
      <c r="C572" s="451"/>
      <c r="D572" s="322"/>
      <c r="E572" s="322"/>
      <c r="F572" s="322"/>
      <c r="G572" s="322"/>
      <c r="H572" s="322"/>
      <c r="I572" s="322"/>
      <c r="J572" s="322"/>
      <c r="K572" s="322"/>
      <c r="L572" s="322"/>
      <c r="M572" s="322"/>
      <c r="N572" s="322"/>
      <c r="O572" s="322"/>
      <c r="P572" s="322"/>
      <c r="Q572" s="322"/>
      <c r="R572" s="322"/>
      <c r="S572" s="322"/>
      <c r="T572" s="322"/>
      <c r="U572" s="322"/>
      <c r="V572" s="322"/>
      <c r="W572" s="322"/>
      <c r="X572" s="322"/>
      <c r="Y572" s="322"/>
      <c r="Z572" s="322"/>
      <c r="AA572" s="322"/>
      <c r="AB572" s="322"/>
      <c r="AC572" s="322"/>
      <c r="AD572" s="322"/>
      <c r="AE572" s="322"/>
      <c r="AF572" s="322"/>
      <c r="AG572" s="322"/>
      <c r="AH572" s="322"/>
      <c r="AI572" s="322"/>
      <c r="AJ572" s="322"/>
      <c r="AK572" s="322"/>
    </row>
    <row r="573" spans="1:37" ht="18" customHeight="1">
      <c r="A573" s="322"/>
      <c r="B573" s="322"/>
      <c r="C573" s="451"/>
      <c r="D573" s="322"/>
      <c r="E573" s="322"/>
      <c r="F573" s="322"/>
      <c r="G573" s="322"/>
      <c r="H573" s="322"/>
      <c r="I573" s="322"/>
      <c r="J573" s="322"/>
      <c r="K573" s="322"/>
      <c r="L573" s="322"/>
      <c r="M573" s="322"/>
      <c r="N573" s="322"/>
      <c r="O573" s="322"/>
      <c r="P573" s="322"/>
      <c r="Q573" s="322"/>
      <c r="R573" s="322"/>
      <c r="S573" s="322"/>
      <c r="T573" s="322"/>
      <c r="U573" s="322"/>
      <c r="V573" s="322"/>
      <c r="W573" s="322"/>
      <c r="X573" s="322"/>
      <c r="Y573" s="322"/>
      <c r="Z573" s="322"/>
      <c r="AA573" s="322"/>
      <c r="AB573" s="322"/>
      <c r="AC573" s="322"/>
      <c r="AD573" s="322"/>
      <c r="AE573" s="322"/>
      <c r="AF573" s="322"/>
      <c r="AG573" s="322"/>
      <c r="AH573" s="322"/>
      <c r="AI573" s="322"/>
      <c r="AJ573" s="322"/>
      <c r="AK573" s="322"/>
    </row>
    <row r="574" spans="1:37" ht="18" customHeight="1">
      <c r="A574" s="322"/>
      <c r="B574" s="322"/>
      <c r="C574" s="451"/>
      <c r="D574" s="322"/>
      <c r="E574" s="322"/>
      <c r="F574" s="322"/>
      <c r="G574" s="322"/>
      <c r="H574" s="322"/>
      <c r="I574" s="322"/>
      <c r="J574" s="322"/>
      <c r="K574" s="322"/>
      <c r="L574" s="322"/>
      <c r="M574" s="322"/>
      <c r="N574" s="322"/>
      <c r="O574" s="322"/>
      <c r="P574" s="322"/>
      <c r="Q574" s="322"/>
      <c r="R574" s="322"/>
      <c r="S574" s="322"/>
      <c r="T574" s="322"/>
      <c r="U574" s="322"/>
      <c r="V574" s="322"/>
      <c r="W574" s="322"/>
      <c r="X574" s="322"/>
      <c r="Y574" s="322"/>
      <c r="Z574" s="322"/>
      <c r="AA574" s="322"/>
      <c r="AB574" s="322"/>
      <c r="AC574" s="322"/>
      <c r="AD574" s="322"/>
      <c r="AE574" s="322"/>
      <c r="AF574" s="322"/>
      <c r="AG574" s="322"/>
      <c r="AH574" s="322"/>
      <c r="AI574" s="322"/>
      <c r="AJ574" s="322"/>
      <c r="AK574" s="322"/>
    </row>
    <row r="575" spans="1:37" ht="18" customHeight="1">
      <c r="A575" s="322"/>
      <c r="B575" s="322"/>
      <c r="C575" s="451"/>
      <c r="D575" s="322"/>
      <c r="E575" s="322"/>
      <c r="F575" s="322"/>
      <c r="G575" s="322"/>
      <c r="H575" s="322"/>
      <c r="I575" s="322"/>
      <c r="J575" s="322"/>
      <c r="K575" s="322"/>
      <c r="L575" s="322"/>
      <c r="M575" s="322"/>
      <c r="N575" s="322"/>
      <c r="O575" s="322"/>
      <c r="P575" s="322"/>
      <c r="Q575" s="322"/>
      <c r="R575" s="322"/>
      <c r="S575" s="322"/>
      <c r="T575" s="322"/>
      <c r="U575" s="322"/>
      <c r="V575" s="322"/>
      <c r="W575" s="322"/>
      <c r="X575" s="322"/>
      <c r="Y575" s="322"/>
      <c r="Z575" s="322"/>
      <c r="AA575" s="322"/>
      <c r="AB575" s="322"/>
      <c r="AC575" s="322"/>
      <c r="AD575" s="322"/>
      <c r="AE575" s="322"/>
      <c r="AF575" s="322"/>
      <c r="AG575" s="322"/>
      <c r="AH575" s="322"/>
      <c r="AI575" s="322"/>
      <c r="AJ575" s="322"/>
      <c r="AK575" s="322"/>
    </row>
    <row r="576" spans="1:37" ht="18" customHeight="1">
      <c r="A576" s="322"/>
      <c r="B576" s="322"/>
      <c r="C576" s="451"/>
      <c r="D576" s="322"/>
      <c r="E576" s="322"/>
      <c r="F576" s="322"/>
      <c r="G576" s="322"/>
      <c r="H576" s="322"/>
      <c r="I576" s="322"/>
      <c r="J576" s="322"/>
      <c r="K576" s="322"/>
      <c r="L576" s="322"/>
      <c r="M576" s="322"/>
      <c r="N576" s="322"/>
      <c r="O576" s="322"/>
      <c r="P576" s="322"/>
      <c r="Q576" s="322"/>
      <c r="R576" s="322"/>
      <c r="S576" s="322"/>
      <c r="T576" s="322"/>
      <c r="U576" s="322"/>
      <c r="V576" s="322"/>
      <c r="W576" s="322"/>
      <c r="X576" s="322"/>
      <c r="Y576" s="322"/>
      <c r="Z576" s="322"/>
      <c r="AA576" s="322"/>
      <c r="AB576" s="322"/>
      <c r="AC576" s="322"/>
      <c r="AD576" s="322"/>
      <c r="AE576" s="322"/>
      <c r="AF576" s="322"/>
      <c r="AG576" s="322"/>
      <c r="AH576" s="322"/>
      <c r="AI576" s="322"/>
      <c r="AJ576" s="322"/>
      <c r="AK576" s="322"/>
    </row>
    <row r="577" spans="1:37" ht="18" customHeight="1">
      <c r="A577" s="322"/>
      <c r="B577" s="322"/>
      <c r="C577" s="451"/>
      <c r="D577" s="322"/>
      <c r="E577" s="322"/>
      <c r="F577" s="322"/>
      <c r="G577" s="322"/>
      <c r="H577" s="322"/>
      <c r="I577" s="322"/>
      <c r="J577" s="322"/>
      <c r="K577" s="322"/>
      <c r="L577" s="322"/>
      <c r="M577" s="322"/>
      <c r="N577" s="322"/>
      <c r="O577" s="322"/>
      <c r="P577" s="322"/>
      <c r="Q577" s="322"/>
      <c r="R577" s="322"/>
      <c r="S577" s="322"/>
      <c r="T577" s="322"/>
      <c r="U577" s="322"/>
      <c r="V577" s="322"/>
      <c r="W577" s="322"/>
      <c r="X577" s="322"/>
      <c r="Y577" s="322"/>
      <c r="Z577" s="322"/>
      <c r="AA577" s="322"/>
      <c r="AB577" s="322"/>
      <c r="AC577" s="322"/>
      <c r="AD577" s="322"/>
      <c r="AE577" s="322"/>
      <c r="AF577" s="322"/>
      <c r="AG577" s="322"/>
      <c r="AH577" s="322"/>
      <c r="AI577" s="322"/>
      <c r="AJ577" s="322"/>
      <c r="AK577" s="322"/>
    </row>
    <row r="578" spans="1:37" ht="18" customHeight="1">
      <c r="A578" s="322"/>
      <c r="B578" s="322"/>
      <c r="C578" s="451"/>
      <c r="D578" s="322"/>
      <c r="E578" s="322"/>
      <c r="F578" s="322"/>
      <c r="G578" s="322"/>
      <c r="H578" s="322"/>
      <c r="I578" s="322"/>
      <c r="J578" s="322"/>
      <c r="K578" s="322"/>
      <c r="L578" s="322"/>
      <c r="M578" s="322"/>
      <c r="N578" s="322"/>
      <c r="O578" s="322"/>
      <c r="P578" s="322"/>
      <c r="Q578" s="322"/>
      <c r="R578" s="322"/>
      <c r="S578" s="322"/>
      <c r="T578" s="322"/>
      <c r="U578" s="322"/>
      <c r="V578" s="322"/>
      <c r="W578" s="322"/>
      <c r="X578" s="322"/>
      <c r="Y578" s="322"/>
      <c r="Z578" s="322"/>
      <c r="AA578" s="322"/>
      <c r="AB578" s="322"/>
      <c r="AC578" s="322"/>
      <c r="AD578" s="322"/>
      <c r="AE578" s="322"/>
      <c r="AF578" s="322"/>
      <c r="AG578" s="322"/>
      <c r="AH578" s="322"/>
      <c r="AI578" s="322"/>
      <c r="AJ578" s="322"/>
      <c r="AK578" s="322"/>
    </row>
    <row r="579" spans="1:37" ht="18" customHeight="1">
      <c r="A579" s="322"/>
      <c r="B579" s="322"/>
      <c r="C579" s="451"/>
      <c r="D579" s="322"/>
      <c r="E579" s="322"/>
      <c r="F579" s="322"/>
      <c r="G579" s="322"/>
      <c r="H579" s="322"/>
      <c r="I579" s="322"/>
      <c r="J579" s="322"/>
      <c r="K579" s="322"/>
      <c r="L579" s="322"/>
      <c r="M579" s="322"/>
      <c r="N579" s="322"/>
      <c r="O579" s="322"/>
      <c r="P579" s="322"/>
      <c r="Q579" s="322"/>
      <c r="R579" s="322"/>
      <c r="S579" s="322"/>
      <c r="T579" s="322"/>
      <c r="U579" s="322"/>
      <c r="V579" s="322"/>
      <c r="W579" s="322"/>
      <c r="X579" s="322"/>
      <c r="Y579" s="322"/>
      <c r="Z579" s="322"/>
      <c r="AA579" s="322"/>
      <c r="AB579" s="322"/>
      <c r="AC579" s="322"/>
      <c r="AD579" s="322"/>
      <c r="AE579" s="322"/>
      <c r="AF579" s="322"/>
      <c r="AG579" s="322"/>
      <c r="AH579" s="322"/>
      <c r="AI579" s="322"/>
      <c r="AJ579" s="322"/>
      <c r="AK579" s="322"/>
    </row>
    <row r="580" spans="1:37" ht="18" customHeight="1">
      <c r="A580" s="322"/>
      <c r="B580" s="322"/>
      <c r="C580" s="451"/>
      <c r="D580" s="322"/>
      <c r="E580" s="322"/>
      <c r="F580" s="322"/>
      <c r="G580" s="322"/>
      <c r="H580" s="322"/>
      <c r="I580" s="322"/>
      <c r="J580" s="322"/>
      <c r="K580" s="322"/>
      <c r="L580" s="322"/>
      <c r="M580" s="322"/>
      <c r="N580" s="322"/>
      <c r="O580" s="322"/>
      <c r="P580" s="322"/>
      <c r="Q580" s="322"/>
      <c r="R580" s="322"/>
      <c r="S580" s="322"/>
      <c r="T580" s="322"/>
      <c r="U580" s="322"/>
      <c r="V580" s="322"/>
      <c r="W580" s="322"/>
      <c r="X580" s="322"/>
      <c r="Y580" s="322"/>
      <c r="Z580" s="322"/>
      <c r="AA580" s="322"/>
      <c r="AB580" s="322"/>
      <c r="AC580" s="322"/>
      <c r="AD580" s="322"/>
      <c r="AE580" s="322"/>
      <c r="AF580" s="322"/>
      <c r="AG580" s="322"/>
      <c r="AH580" s="322"/>
      <c r="AI580" s="322"/>
      <c r="AJ580" s="322"/>
      <c r="AK580" s="322"/>
    </row>
    <row r="581" spans="1:37" ht="18" customHeight="1">
      <c r="A581" s="322"/>
      <c r="B581" s="322"/>
      <c r="C581" s="451"/>
      <c r="D581" s="322"/>
      <c r="E581" s="322"/>
      <c r="F581" s="322"/>
      <c r="G581" s="322"/>
      <c r="H581" s="322"/>
      <c r="I581" s="322"/>
      <c r="J581" s="322"/>
      <c r="K581" s="322"/>
      <c r="L581" s="322"/>
      <c r="M581" s="322"/>
      <c r="N581" s="322"/>
      <c r="O581" s="322"/>
      <c r="P581" s="322"/>
      <c r="Q581" s="322"/>
      <c r="R581" s="322"/>
      <c r="S581" s="322"/>
      <c r="T581" s="322"/>
      <c r="U581" s="322"/>
      <c r="V581" s="322"/>
      <c r="W581" s="322"/>
      <c r="X581" s="322"/>
      <c r="Y581" s="322"/>
      <c r="Z581" s="322"/>
      <c r="AA581" s="322"/>
      <c r="AB581" s="322"/>
      <c r="AC581" s="322"/>
      <c r="AD581" s="322"/>
      <c r="AE581" s="322"/>
      <c r="AF581" s="322"/>
      <c r="AG581" s="322"/>
      <c r="AH581" s="322"/>
      <c r="AI581" s="322"/>
      <c r="AJ581" s="322"/>
      <c r="AK581" s="322"/>
    </row>
    <row r="582" spans="1:37" ht="18" customHeight="1">
      <c r="A582" s="322"/>
      <c r="B582" s="322"/>
      <c r="C582" s="451"/>
      <c r="D582" s="322"/>
      <c r="E582" s="322"/>
      <c r="F582" s="322"/>
      <c r="G582" s="322"/>
      <c r="H582" s="322"/>
      <c r="I582" s="322"/>
      <c r="J582" s="322"/>
      <c r="K582" s="322"/>
      <c r="L582" s="322"/>
      <c r="M582" s="322"/>
      <c r="N582" s="322"/>
      <c r="O582" s="322"/>
      <c r="P582" s="322"/>
      <c r="Q582" s="322"/>
      <c r="R582" s="322"/>
      <c r="S582" s="322"/>
      <c r="T582" s="322"/>
      <c r="U582" s="322"/>
      <c r="V582" s="322"/>
      <c r="W582" s="322"/>
      <c r="X582" s="322"/>
      <c r="Y582" s="322"/>
      <c r="Z582" s="322"/>
      <c r="AA582" s="322"/>
      <c r="AB582" s="322"/>
      <c r="AC582" s="322"/>
      <c r="AD582" s="322"/>
      <c r="AE582" s="322"/>
      <c r="AF582" s="322"/>
      <c r="AG582" s="322"/>
      <c r="AH582" s="322"/>
      <c r="AI582" s="322"/>
      <c r="AJ582" s="322"/>
      <c r="AK582" s="322"/>
    </row>
    <row r="583" spans="1:37" ht="18" customHeight="1">
      <c r="A583" s="322"/>
      <c r="B583" s="322"/>
      <c r="C583" s="451"/>
      <c r="D583" s="322"/>
      <c r="E583" s="322"/>
      <c r="F583" s="322"/>
      <c r="G583" s="322"/>
      <c r="H583" s="322"/>
      <c r="I583" s="322"/>
      <c r="J583" s="322"/>
      <c r="K583" s="322"/>
      <c r="L583" s="322"/>
      <c r="M583" s="322"/>
      <c r="N583" s="322"/>
      <c r="O583" s="322"/>
      <c r="P583" s="322"/>
      <c r="Q583" s="322"/>
      <c r="R583" s="322"/>
      <c r="S583" s="322"/>
      <c r="T583" s="322"/>
      <c r="U583" s="322"/>
      <c r="V583" s="322"/>
      <c r="W583" s="322"/>
      <c r="X583" s="322"/>
      <c r="Y583" s="322"/>
      <c r="Z583" s="322"/>
      <c r="AA583" s="322"/>
      <c r="AB583" s="322"/>
      <c r="AC583" s="322"/>
      <c r="AD583" s="322"/>
      <c r="AE583" s="322"/>
      <c r="AF583" s="322"/>
      <c r="AG583" s="322"/>
      <c r="AH583" s="322"/>
      <c r="AI583" s="322"/>
      <c r="AJ583" s="322"/>
      <c r="AK583" s="322"/>
    </row>
    <row r="584" spans="1:37" ht="18" customHeight="1">
      <c r="A584" s="322"/>
      <c r="B584" s="322"/>
      <c r="C584" s="451"/>
      <c r="D584" s="322"/>
      <c r="E584" s="322"/>
      <c r="F584" s="322"/>
      <c r="G584" s="322"/>
      <c r="H584" s="322"/>
      <c r="I584" s="322"/>
      <c r="J584" s="322"/>
      <c r="K584" s="322"/>
      <c r="L584" s="322"/>
      <c r="M584" s="322"/>
      <c r="N584" s="322"/>
      <c r="O584" s="322"/>
      <c r="P584" s="322"/>
      <c r="Q584" s="322"/>
      <c r="R584" s="322"/>
      <c r="S584" s="322"/>
      <c r="T584" s="322"/>
      <c r="U584" s="322"/>
      <c r="V584" s="322"/>
      <c r="W584" s="322"/>
      <c r="X584" s="322"/>
      <c r="Y584" s="322"/>
      <c r="Z584" s="322"/>
      <c r="AA584" s="322"/>
      <c r="AB584" s="322"/>
      <c r="AC584" s="322"/>
      <c r="AD584" s="322"/>
      <c r="AE584" s="322"/>
      <c r="AF584" s="322"/>
      <c r="AG584" s="322"/>
      <c r="AH584" s="322"/>
      <c r="AI584" s="322"/>
      <c r="AJ584" s="322"/>
      <c r="AK584" s="322"/>
    </row>
    <row r="585" spans="1:37" ht="18" customHeight="1">
      <c r="A585" s="322"/>
      <c r="B585" s="322"/>
      <c r="C585" s="451"/>
      <c r="D585" s="322"/>
      <c r="E585" s="322"/>
      <c r="F585" s="322"/>
      <c r="G585" s="322"/>
      <c r="H585" s="322"/>
      <c r="I585" s="322"/>
      <c r="J585" s="322"/>
      <c r="K585" s="322"/>
      <c r="L585" s="322"/>
      <c r="M585" s="322"/>
      <c r="N585" s="322"/>
      <c r="O585" s="322"/>
      <c r="P585" s="322"/>
      <c r="Q585" s="322"/>
      <c r="R585" s="322"/>
      <c r="S585" s="322"/>
      <c r="T585" s="322"/>
      <c r="U585" s="322"/>
      <c r="V585" s="322"/>
      <c r="W585" s="322"/>
      <c r="X585" s="322"/>
      <c r="Y585" s="322"/>
      <c r="Z585" s="322"/>
      <c r="AA585" s="322"/>
      <c r="AB585" s="322"/>
      <c r="AC585" s="322"/>
      <c r="AD585" s="322"/>
      <c r="AE585" s="322"/>
      <c r="AF585" s="322"/>
      <c r="AG585" s="322"/>
      <c r="AH585" s="322"/>
      <c r="AI585" s="322"/>
      <c r="AJ585" s="322"/>
      <c r="AK585" s="322"/>
    </row>
    <row r="586" spans="1:37" ht="18" customHeight="1">
      <c r="A586" s="322"/>
      <c r="B586" s="322"/>
      <c r="C586" s="451"/>
      <c r="D586" s="322"/>
      <c r="E586" s="322"/>
      <c r="F586" s="322"/>
      <c r="G586" s="322"/>
      <c r="H586" s="322"/>
      <c r="I586" s="322"/>
      <c r="J586" s="322"/>
      <c r="K586" s="322"/>
      <c r="L586" s="322"/>
      <c r="M586" s="322"/>
      <c r="N586" s="322"/>
      <c r="O586" s="322"/>
      <c r="P586" s="322"/>
      <c r="Q586" s="322"/>
      <c r="R586" s="322"/>
      <c r="S586" s="322"/>
      <c r="T586" s="322"/>
      <c r="U586" s="322"/>
      <c r="V586" s="322"/>
      <c r="W586" s="322"/>
      <c r="X586" s="322"/>
      <c r="Y586" s="322"/>
      <c r="Z586" s="322"/>
      <c r="AA586" s="322"/>
      <c r="AB586" s="322"/>
      <c r="AC586" s="322"/>
      <c r="AD586" s="322"/>
      <c r="AE586" s="322"/>
      <c r="AF586" s="322"/>
      <c r="AG586" s="322"/>
      <c r="AH586" s="322"/>
      <c r="AI586" s="322"/>
      <c r="AJ586" s="322"/>
      <c r="AK586" s="322"/>
    </row>
    <row r="587" spans="1:37" ht="18" customHeight="1">
      <c r="A587" s="322"/>
      <c r="B587" s="322"/>
      <c r="C587" s="451"/>
      <c r="D587" s="322"/>
      <c r="E587" s="322"/>
      <c r="F587" s="322"/>
      <c r="G587" s="322"/>
      <c r="H587" s="322"/>
      <c r="I587" s="322"/>
      <c r="J587" s="322"/>
      <c r="K587" s="322"/>
      <c r="L587" s="322"/>
      <c r="M587" s="322"/>
      <c r="N587" s="322"/>
      <c r="O587" s="322"/>
      <c r="P587" s="322"/>
      <c r="Q587" s="322"/>
      <c r="R587" s="322"/>
      <c r="S587" s="322"/>
      <c r="T587" s="322"/>
      <c r="U587" s="322"/>
      <c r="V587" s="322"/>
      <c r="W587" s="322"/>
      <c r="X587" s="322"/>
      <c r="Y587" s="322"/>
      <c r="Z587" s="322"/>
      <c r="AA587" s="322"/>
      <c r="AB587" s="322"/>
      <c r="AC587" s="322"/>
      <c r="AD587" s="322"/>
      <c r="AE587" s="322"/>
      <c r="AF587" s="322"/>
      <c r="AG587" s="322"/>
      <c r="AH587" s="322"/>
      <c r="AI587" s="322"/>
      <c r="AJ587" s="322"/>
      <c r="AK587" s="322"/>
    </row>
    <row r="588" spans="1:37" ht="18" customHeight="1">
      <c r="A588" s="322"/>
      <c r="B588" s="322"/>
      <c r="C588" s="451"/>
      <c r="D588" s="322"/>
      <c r="E588" s="322"/>
      <c r="F588" s="322"/>
      <c r="G588" s="322"/>
      <c r="H588" s="322"/>
      <c r="I588" s="322"/>
      <c r="J588" s="322"/>
      <c r="K588" s="322"/>
      <c r="L588" s="322"/>
      <c r="M588" s="322"/>
      <c r="N588" s="322"/>
      <c r="O588" s="322"/>
      <c r="P588" s="322"/>
      <c r="Q588" s="322"/>
      <c r="R588" s="322"/>
      <c r="S588" s="322"/>
      <c r="T588" s="322"/>
      <c r="U588" s="322"/>
      <c r="V588" s="322"/>
      <c r="W588" s="322"/>
      <c r="X588" s="322"/>
      <c r="Y588" s="322"/>
      <c r="Z588" s="322"/>
      <c r="AA588" s="322"/>
      <c r="AB588" s="322"/>
      <c r="AC588" s="322"/>
      <c r="AD588" s="322"/>
      <c r="AE588" s="322"/>
      <c r="AF588" s="322"/>
      <c r="AG588" s="322"/>
      <c r="AH588" s="322"/>
      <c r="AI588" s="322"/>
      <c r="AJ588" s="322"/>
      <c r="AK588" s="322"/>
    </row>
    <row r="589" spans="1:37" ht="18" customHeight="1">
      <c r="A589" s="322"/>
      <c r="B589" s="322"/>
      <c r="C589" s="451"/>
      <c r="D589" s="322"/>
      <c r="E589" s="322"/>
      <c r="F589" s="322"/>
      <c r="G589" s="322"/>
      <c r="H589" s="322"/>
      <c r="I589" s="322"/>
      <c r="J589" s="322"/>
      <c r="K589" s="322"/>
      <c r="L589" s="322"/>
      <c r="M589" s="322"/>
      <c r="N589" s="322"/>
      <c r="O589" s="322"/>
      <c r="P589" s="322"/>
      <c r="Q589" s="322"/>
      <c r="R589" s="322"/>
      <c r="S589" s="322"/>
      <c r="T589" s="322"/>
      <c r="U589" s="322"/>
      <c r="V589" s="322"/>
      <c r="W589" s="322"/>
      <c r="X589" s="322"/>
      <c r="Y589" s="322"/>
      <c r="Z589" s="322"/>
      <c r="AA589" s="322"/>
      <c r="AB589" s="322"/>
      <c r="AC589" s="322"/>
      <c r="AD589" s="322"/>
      <c r="AE589" s="322"/>
      <c r="AF589" s="322"/>
      <c r="AG589" s="322"/>
      <c r="AH589" s="322"/>
      <c r="AI589" s="322"/>
      <c r="AJ589" s="322"/>
      <c r="AK589" s="322"/>
    </row>
    <row r="590" spans="1:37" ht="18" customHeight="1">
      <c r="A590" s="322"/>
      <c r="B590" s="322"/>
      <c r="C590" s="451"/>
      <c r="D590" s="322"/>
      <c r="E590" s="322"/>
      <c r="F590" s="322"/>
      <c r="G590" s="322"/>
      <c r="H590" s="322"/>
      <c r="I590" s="322"/>
      <c r="J590" s="322"/>
      <c r="K590" s="322"/>
      <c r="L590" s="322"/>
      <c r="M590" s="322"/>
      <c r="N590" s="322"/>
      <c r="O590" s="322"/>
      <c r="P590" s="322"/>
      <c r="Q590" s="322"/>
      <c r="R590" s="322"/>
      <c r="S590" s="322"/>
      <c r="T590" s="322"/>
      <c r="U590" s="322"/>
      <c r="V590" s="322"/>
      <c r="W590" s="322"/>
      <c r="X590" s="322"/>
      <c r="Y590" s="322"/>
      <c r="Z590" s="322"/>
      <c r="AA590" s="322"/>
      <c r="AB590" s="322"/>
      <c r="AC590" s="322"/>
      <c r="AD590" s="322"/>
      <c r="AE590" s="322"/>
      <c r="AF590" s="322"/>
      <c r="AG590" s="322"/>
      <c r="AH590" s="322"/>
      <c r="AI590" s="322"/>
      <c r="AJ590" s="322"/>
      <c r="AK590" s="322"/>
    </row>
    <row r="591" spans="1:37" ht="18" customHeight="1">
      <c r="A591" s="322"/>
      <c r="B591" s="322"/>
      <c r="C591" s="451"/>
      <c r="D591" s="322"/>
      <c r="E591" s="322"/>
      <c r="F591" s="322"/>
      <c r="G591" s="322"/>
      <c r="H591" s="322"/>
      <c r="I591" s="322"/>
      <c r="J591" s="322"/>
      <c r="K591" s="322"/>
      <c r="L591" s="322"/>
      <c r="M591" s="322"/>
      <c r="N591" s="322"/>
      <c r="O591" s="322"/>
      <c r="P591" s="322"/>
      <c r="Q591" s="322"/>
      <c r="R591" s="322"/>
      <c r="S591" s="322"/>
      <c r="T591" s="322"/>
      <c r="U591" s="322"/>
      <c r="V591" s="322"/>
      <c r="W591" s="322"/>
      <c r="X591" s="322"/>
      <c r="Y591" s="322"/>
      <c r="Z591" s="322"/>
      <c r="AA591" s="322"/>
      <c r="AB591" s="322"/>
      <c r="AC591" s="322"/>
      <c r="AD591" s="322"/>
      <c r="AE591" s="322"/>
      <c r="AF591" s="322"/>
      <c r="AG591" s="322"/>
      <c r="AH591" s="322"/>
      <c r="AI591" s="322"/>
      <c r="AJ591" s="322"/>
      <c r="AK591" s="322"/>
    </row>
    <row r="592" spans="1:37" ht="18" customHeight="1">
      <c r="A592" s="322"/>
      <c r="B592" s="322"/>
      <c r="C592" s="451"/>
      <c r="D592" s="322"/>
      <c r="E592" s="322"/>
      <c r="F592" s="322"/>
      <c r="G592" s="322"/>
      <c r="H592" s="322"/>
      <c r="I592" s="322"/>
      <c r="J592" s="322"/>
      <c r="K592" s="322"/>
      <c r="L592" s="322"/>
      <c r="M592" s="322"/>
      <c r="N592" s="322"/>
      <c r="O592" s="322"/>
      <c r="P592" s="322"/>
      <c r="Q592" s="322"/>
      <c r="R592" s="322"/>
      <c r="S592" s="322"/>
      <c r="T592" s="322"/>
      <c r="U592" s="322"/>
      <c r="V592" s="322"/>
      <c r="W592" s="322"/>
      <c r="X592" s="322"/>
      <c r="Y592" s="322"/>
      <c r="Z592" s="322"/>
      <c r="AA592" s="322"/>
      <c r="AB592" s="322"/>
      <c r="AC592" s="322"/>
      <c r="AD592" s="322"/>
      <c r="AE592" s="322"/>
      <c r="AF592" s="322"/>
      <c r="AG592" s="322"/>
      <c r="AH592" s="322"/>
      <c r="AI592" s="322"/>
      <c r="AJ592" s="322"/>
      <c r="AK592" s="322"/>
    </row>
    <row r="593" spans="1:37" ht="18" customHeight="1">
      <c r="A593" s="322"/>
      <c r="B593" s="322"/>
      <c r="C593" s="451"/>
      <c r="D593" s="322"/>
      <c r="E593" s="322"/>
      <c r="F593" s="322"/>
      <c r="G593" s="322"/>
      <c r="H593" s="322"/>
      <c r="I593" s="322"/>
      <c r="J593" s="322"/>
      <c r="K593" s="322"/>
      <c r="L593" s="322"/>
      <c r="M593" s="322"/>
      <c r="N593" s="322"/>
      <c r="O593" s="322"/>
      <c r="P593" s="322"/>
      <c r="Q593" s="322"/>
      <c r="R593" s="322"/>
      <c r="S593" s="322"/>
      <c r="T593" s="322"/>
      <c r="U593" s="322"/>
      <c r="V593" s="322"/>
      <c r="W593" s="322"/>
      <c r="X593" s="322"/>
      <c r="Y593" s="322"/>
      <c r="Z593" s="322"/>
      <c r="AA593" s="322"/>
      <c r="AB593" s="322"/>
      <c r="AC593" s="322"/>
      <c r="AD593" s="322"/>
      <c r="AE593" s="322"/>
      <c r="AF593" s="322"/>
      <c r="AG593" s="322"/>
      <c r="AH593" s="322"/>
      <c r="AI593" s="322"/>
      <c r="AJ593" s="322"/>
      <c r="AK593" s="322"/>
    </row>
    <row r="594" spans="1:37" ht="18" customHeight="1">
      <c r="A594" s="322"/>
      <c r="B594" s="322"/>
      <c r="C594" s="451"/>
      <c r="D594" s="322"/>
      <c r="E594" s="322"/>
      <c r="F594" s="322"/>
      <c r="G594" s="322"/>
      <c r="H594" s="322"/>
      <c r="I594" s="322"/>
      <c r="J594" s="322"/>
      <c r="K594" s="322"/>
      <c r="L594" s="322"/>
      <c r="M594" s="322"/>
      <c r="N594" s="322"/>
      <c r="O594" s="322"/>
      <c r="P594" s="322"/>
      <c r="Q594" s="322"/>
      <c r="R594" s="322"/>
      <c r="S594" s="322"/>
      <c r="T594" s="322"/>
      <c r="U594" s="322"/>
      <c r="V594" s="322"/>
      <c r="W594" s="322"/>
      <c r="X594" s="322"/>
      <c r="Y594" s="322"/>
      <c r="Z594" s="322"/>
      <c r="AA594" s="322"/>
      <c r="AB594" s="322"/>
      <c r="AC594" s="322"/>
      <c r="AD594" s="322"/>
      <c r="AE594" s="322"/>
      <c r="AF594" s="322"/>
      <c r="AG594" s="322"/>
      <c r="AH594" s="322"/>
      <c r="AI594" s="322"/>
      <c r="AJ594" s="322"/>
      <c r="AK594" s="322"/>
    </row>
    <row r="595" spans="1:37" ht="18" customHeight="1">
      <c r="A595" s="322"/>
      <c r="B595" s="322"/>
      <c r="C595" s="451"/>
      <c r="D595" s="322"/>
      <c r="E595" s="322"/>
      <c r="F595" s="322"/>
      <c r="G595" s="322"/>
      <c r="H595" s="322"/>
      <c r="I595" s="322"/>
      <c r="J595" s="322"/>
      <c r="K595" s="322"/>
      <c r="L595" s="322"/>
      <c r="M595" s="322"/>
      <c r="N595" s="322"/>
      <c r="O595" s="322"/>
      <c r="P595" s="322"/>
      <c r="Q595" s="322"/>
      <c r="R595" s="322"/>
      <c r="S595" s="322"/>
      <c r="T595" s="322"/>
      <c r="U595" s="322"/>
      <c r="V595" s="322"/>
      <c r="W595" s="322"/>
      <c r="X595" s="322"/>
      <c r="Y595" s="322"/>
      <c r="Z595" s="322"/>
      <c r="AA595" s="322"/>
      <c r="AB595" s="322"/>
      <c r="AC595" s="322"/>
      <c r="AD595" s="322"/>
      <c r="AE595" s="322"/>
      <c r="AF595" s="322"/>
      <c r="AG595" s="322"/>
      <c r="AH595" s="322"/>
      <c r="AI595" s="322"/>
      <c r="AJ595" s="322"/>
      <c r="AK595" s="322"/>
    </row>
    <row r="596" spans="1:37" ht="18" customHeight="1">
      <c r="A596" s="322"/>
      <c r="B596" s="322"/>
      <c r="C596" s="451"/>
      <c r="D596" s="322"/>
      <c r="E596" s="322"/>
      <c r="F596" s="322"/>
      <c r="G596" s="322"/>
      <c r="H596" s="322"/>
      <c r="I596" s="322"/>
      <c r="J596" s="322"/>
      <c r="K596" s="322"/>
      <c r="L596" s="322"/>
      <c r="M596" s="322"/>
      <c r="N596" s="322"/>
      <c r="O596" s="322"/>
      <c r="P596" s="322"/>
      <c r="Q596" s="322"/>
      <c r="R596" s="322"/>
      <c r="S596" s="322"/>
      <c r="T596" s="322"/>
      <c r="U596" s="322"/>
      <c r="V596" s="322"/>
      <c r="W596" s="322"/>
      <c r="X596" s="322"/>
      <c r="Y596" s="322"/>
      <c r="Z596" s="322"/>
      <c r="AA596" s="322"/>
      <c r="AB596" s="322"/>
      <c r="AC596" s="322"/>
      <c r="AD596" s="322"/>
      <c r="AE596" s="322"/>
      <c r="AF596" s="322"/>
      <c r="AG596" s="322"/>
      <c r="AH596" s="322"/>
      <c r="AI596" s="322"/>
      <c r="AJ596" s="322"/>
      <c r="AK596" s="322"/>
    </row>
    <row r="597" spans="1:37" ht="18" customHeight="1">
      <c r="A597" s="322"/>
      <c r="B597" s="322"/>
      <c r="C597" s="451"/>
      <c r="D597" s="322"/>
      <c r="E597" s="322"/>
      <c r="F597" s="322"/>
      <c r="G597" s="322"/>
      <c r="H597" s="322"/>
      <c r="I597" s="322"/>
      <c r="J597" s="322"/>
      <c r="K597" s="322"/>
      <c r="L597" s="322"/>
      <c r="M597" s="322"/>
      <c r="N597" s="322"/>
      <c r="O597" s="322"/>
      <c r="P597" s="322"/>
      <c r="Q597" s="322"/>
      <c r="R597" s="322"/>
      <c r="S597" s="322"/>
      <c r="T597" s="322"/>
      <c r="U597" s="322"/>
      <c r="V597" s="322"/>
      <c r="W597" s="322"/>
      <c r="X597" s="322"/>
      <c r="Y597" s="322"/>
      <c r="Z597" s="322"/>
      <c r="AA597" s="322"/>
      <c r="AB597" s="322"/>
      <c r="AC597" s="322"/>
      <c r="AD597" s="322"/>
      <c r="AE597" s="322"/>
      <c r="AF597" s="322"/>
      <c r="AG597" s="322"/>
      <c r="AH597" s="322"/>
      <c r="AI597" s="322"/>
      <c r="AJ597" s="322"/>
      <c r="AK597" s="322"/>
    </row>
    <row r="598" spans="1:37" ht="18" customHeight="1">
      <c r="A598" s="322"/>
      <c r="B598" s="322"/>
      <c r="C598" s="451"/>
      <c r="D598" s="322"/>
      <c r="E598" s="322"/>
      <c r="F598" s="322"/>
      <c r="G598" s="322"/>
      <c r="H598" s="322"/>
      <c r="I598" s="322"/>
      <c r="J598" s="322"/>
      <c r="K598" s="322"/>
      <c r="L598" s="322"/>
      <c r="M598" s="322"/>
      <c r="N598" s="322"/>
      <c r="O598" s="322"/>
      <c r="P598" s="322"/>
      <c r="Q598" s="322"/>
      <c r="R598" s="322"/>
      <c r="S598" s="322"/>
      <c r="T598" s="322"/>
      <c r="U598" s="322"/>
      <c r="V598" s="322"/>
      <c r="W598" s="322"/>
      <c r="X598" s="322"/>
      <c r="Y598" s="322"/>
      <c r="Z598" s="322"/>
      <c r="AA598" s="322"/>
      <c r="AB598" s="322"/>
      <c r="AC598" s="322"/>
      <c r="AD598" s="322"/>
      <c r="AE598" s="322"/>
      <c r="AF598" s="322"/>
      <c r="AG598" s="322"/>
      <c r="AH598" s="322"/>
      <c r="AI598" s="322"/>
      <c r="AJ598" s="322"/>
      <c r="AK598" s="322"/>
    </row>
    <row r="599" spans="1:37" ht="18" customHeight="1">
      <c r="A599" s="322"/>
      <c r="B599" s="322"/>
      <c r="C599" s="451"/>
      <c r="D599" s="322"/>
      <c r="E599" s="322"/>
      <c r="F599" s="322"/>
      <c r="G599" s="322"/>
      <c r="H599" s="322"/>
      <c r="I599" s="322"/>
      <c r="J599" s="322"/>
      <c r="K599" s="322"/>
      <c r="L599" s="322"/>
      <c r="M599" s="322"/>
      <c r="N599" s="322"/>
      <c r="O599" s="322"/>
      <c r="P599" s="322"/>
      <c r="Q599" s="322"/>
      <c r="R599" s="322"/>
      <c r="S599" s="322"/>
      <c r="T599" s="322"/>
      <c r="U599" s="322"/>
      <c r="V599" s="322"/>
      <c r="W599" s="322"/>
      <c r="X599" s="322"/>
      <c r="Y599" s="322"/>
      <c r="Z599" s="322"/>
      <c r="AA599" s="322"/>
      <c r="AB599" s="322"/>
      <c r="AC599" s="322"/>
      <c r="AD599" s="322"/>
      <c r="AE599" s="322"/>
      <c r="AF599" s="322"/>
      <c r="AG599" s="322"/>
      <c r="AH599" s="322"/>
      <c r="AI599" s="322"/>
      <c r="AJ599" s="322"/>
      <c r="AK599" s="322"/>
    </row>
    <row r="600" spans="1:37" ht="18" customHeight="1">
      <c r="A600" s="322"/>
      <c r="B600" s="322"/>
      <c r="C600" s="451"/>
      <c r="D600" s="322"/>
      <c r="E600" s="322"/>
      <c r="F600" s="322"/>
      <c r="G600" s="322"/>
      <c r="H600" s="322"/>
      <c r="I600" s="322"/>
      <c r="J600" s="322"/>
      <c r="K600" s="322"/>
      <c r="L600" s="322"/>
      <c r="M600" s="322"/>
      <c r="N600" s="322"/>
      <c r="O600" s="322"/>
      <c r="P600" s="322"/>
      <c r="Q600" s="322"/>
      <c r="R600" s="322"/>
      <c r="S600" s="322"/>
      <c r="T600" s="322"/>
      <c r="U600" s="322"/>
      <c r="V600" s="322"/>
      <c r="W600" s="322"/>
      <c r="X600" s="322"/>
      <c r="Y600" s="322"/>
      <c r="Z600" s="322"/>
      <c r="AA600" s="322"/>
      <c r="AB600" s="322"/>
      <c r="AC600" s="322"/>
      <c r="AD600" s="322"/>
      <c r="AE600" s="322"/>
      <c r="AF600" s="322"/>
      <c r="AG600" s="322"/>
      <c r="AH600" s="322"/>
      <c r="AI600" s="322"/>
      <c r="AJ600" s="322"/>
      <c r="AK600" s="322"/>
    </row>
    <row r="601" spans="1:37" ht="18" customHeight="1">
      <c r="A601" s="322"/>
      <c r="B601" s="322"/>
      <c r="C601" s="451"/>
      <c r="D601" s="322"/>
      <c r="E601" s="322"/>
      <c r="F601" s="322"/>
      <c r="G601" s="322"/>
      <c r="H601" s="322"/>
      <c r="I601" s="322"/>
      <c r="J601" s="322"/>
      <c r="K601" s="322"/>
      <c r="L601" s="322"/>
      <c r="M601" s="322"/>
      <c r="N601" s="322"/>
      <c r="O601" s="322"/>
      <c r="P601" s="322"/>
      <c r="Q601" s="322"/>
      <c r="R601" s="322"/>
      <c r="S601" s="322"/>
      <c r="T601" s="322"/>
      <c r="U601" s="322"/>
      <c r="V601" s="322"/>
      <c r="W601" s="322"/>
      <c r="X601" s="322"/>
      <c r="Y601" s="322"/>
      <c r="Z601" s="322"/>
      <c r="AA601" s="322"/>
      <c r="AB601" s="322"/>
      <c r="AC601" s="322"/>
      <c r="AD601" s="322"/>
      <c r="AE601" s="322"/>
      <c r="AF601" s="322"/>
      <c r="AG601" s="322"/>
      <c r="AH601" s="322"/>
      <c r="AI601" s="322"/>
      <c r="AJ601" s="322"/>
      <c r="AK601" s="322"/>
    </row>
    <row r="602" spans="1:37" ht="18" customHeight="1">
      <c r="A602" s="322"/>
      <c r="B602" s="322"/>
      <c r="C602" s="451"/>
      <c r="D602" s="322"/>
      <c r="E602" s="322"/>
      <c r="F602" s="322"/>
      <c r="G602" s="322"/>
      <c r="H602" s="322"/>
      <c r="I602" s="322"/>
      <c r="J602" s="322"/>
      <c r="K602" s="322"/>
      <c r="L602" s="322"/>
      <c r="M602" s="322"/>
      <c r="N602" s="322"/>
      <c r="O602" s="322"/>
      <c r="P602" s="322"/>
      <c r="Q602" s="322"/>
      <c r="R602" s="322"/>
      <c r="S602" s="322"/>
      <c r="T602" s="322"/>
      <c r="U602" s="322"/>
      <c r="V602" s="322"/>
      <c r="W602" s="322"/>
      <c r="X602" s="322"/>
      <c r="Y602" s="322"/>
      <c r="Z602" s="322"/>
      <c r="AA602" s="322"/>
      <c r="AB602" s="322"/>
      <c r="AC602" s="322"/>
      <c r="AD602" s="322"/>
      <c r="AE602" s="322"/>
      <c r="AF602" s="322"/>
      <c r="AG602" s="322"/>
      <c r="AH602" s="322"/>
      <c r="AI602" s="322"/>
      <c r="AJ602" s="322"/>
      <c r="AK602" s="322"/>
    </row>
    <row r="603" spans="1:37" ht="18" customHeight="1">
      <c r="A603" s="322"/>
      <c r="B603" s="322"/>
      <c r="C603" s="451"/>
      <c r="D603" s="322"/>
      <c r="E603" s="322"/>
      <c r="F603" s="322"/>
      <c r="G603" s="322"/>
      <c r="H603" s="322"/>
      <c r="I603" s="322"/>
      <c r="J603" s="322"/>
      <c r="K603" s="322"/>
      <c r="L603" s="322"/>
      <c r="M603" s="322"/>
      <c r="N603" s="322"/>
      <c r="O603" s="322"/>
      <c r="P603" s="322"/>
      <c r="Q603" s="322"/>
      <c r="R603" s="322"/>
      <c r="S603" s="322"/>
      <c r="T603" s="322"/>
      <c r="U603" s="322"/>
      <c r="V603" s="322"/>
      <c r="W603" s="322"/>
      <c r="X603" s="322"/>
      <c r="Y603" s="322"/>
      <c r="Z603" s="322"/>
      <c r="AA603" s="322"/>
      <c r="AB603" s="322"/>
      <c r="AC603" s="322"/>
      <c r="AD603" s="322"/>
      <c r="AE603" s="322"/>
      <c r="AF603" s="322"/>
      <c r="AG603" s="322"/>
      <c r="AH603" s="322"/>
      <c r="AI603" s="322"/>
      <c r="AJ603" s="322"/>
      <c r="AK603" s="322"/>
    </row>
    <row r="604" spans="1:37" ht="18" customHeight="1">
      <c r="A604" s="322"/>
      <c r="B604" s="322"/>
      <c r="C604" s="451"/>
      <c r="D604" s="322"/>
      <c r="E604" s="322"/>
      <c r="F604" s="322"/>
      <c r="G604" s="322"/>
      <c r="H604" s="322"/>
      <c r="I604" s="322"/>
      <c r="J604" s="322"/>
      <c r="K604" s="322"/>
      <c r="L604" s="322"/>
      <c r="M604" s="322"/>
      <c r="N604" s="322"/>
      <c r="O604" s="322"/>
      <c r="P604" s="322"/>
      <c r="Q604" s="322"/>
      <c r="R604" s="322"/>
      <c r="S604" s="322"/>
      <c r="T604" s="322"/>
      <c r="U604" s="322"/>
      <c r="V604" s="322"/>
      <c r="W604" s="322"/>
      <c r="X604" s="322"/>
      <c r="Y604" s="322"/>
      <c r="Z604" s="322"/>
      <c r="AA604" s="322"/>
      <c r="AB604" s="322"/>
      <c r="AC604" s="322"/>
      <c r="AD604" s="322"/>
      <c r="AE604" s="322"/>
      <c r="AF604" s="322"/>
      <c r="AG604" s="322"/>
      <c r="AH604" s="322"/>
      <c r="AI604" s="322"/>
      <c r="AJ604" s="322"/>
      <c r="AK604" s="322"/>
    </row>
    <row r="605" spans="1:37" ht="18" customHeight="1">
      <c r="A605" s="322"/>
      <c r="B605" s="322"/>
      <c r="C605" s="451"/>
      <c r="D605" s="322"/>
      <c r="E605" s="322"/>
      <c r="F605" s="322"/>
      <c r="G605" s="322"/>
      <c r="H605" s="322"/>
      <c r="I605" s="322"/>
      <c r="J605" s="322"/>
      <c r="K605" s="322"/>
      <c r="L605" s="322"/>
      <c r="M605" s="322"/>
      <c r="N605" s="322"/>
      <c r="O605" s="322"/>
      <c r="P605" s="322"/>
      <c r="Q605" s="322"/>
      <c r="R605" s="322"/>
      <c r="S605" s="322"/>
      <c r="T605" s="322"/>
      <c r="U605" s="322"/>
      <c r="V605" s="322"/>
      <c r="W605" s="322"/>
      <c r="X605" s="322"/>
      <c r="Y605" s="322"/>
      <c r="Z605" s="322"/>
      <c r="AA605" s="322"/>
      <c r="AB605" s="322"/>
      <c r="AC605" s="322"/>
      <c r="AD605" s="322"/>
      <c r="AE605" s="322"/>
      <c r="AF605" s="322"/>
      <c r="AG605" s="322"/>
      <c r="AH605" s="322"/>
      <c r="AI605" s="322"/>
      <c r="AJ605" s="322"/>
      <c r="AK605" s="322"/>
    </row>
    <row r="606" spans="1:37" ht="18" customHeight="1">
      <c r="A606" s="322"/>
      <c r="B606" s="322"/>
      <c r="C606" s="451"/>
      <c r="D606" s="322"/>
      <c r="E606" s="322"/>
      <c r="F606" s="322"/>
      <c r="G606" s="322"/>
      <c r="H606" s="322"/>
      <c r="I606" s="322"/>
      <c r="J606" s="322"/>
      <c r="K606" s="322"/>
      <c r="L606" s="322"/>
      <c r="M606" s="322"/>
      <c r="N606" s="322"/>
      <c r="O606" s="322"/>
      <c r="P606" s="322"/>
      <c r="Q606" s="322"/>
      <c r="R606" s="322"/>
      <c r="S606" s="322"/>
      <c r="T606" s="322"/>
      <c r="U606" s="322"/>
      <c r="V606" s="322"/>
      <c r="W606" s="322"/>
      <c r="X606" s="322"/>
      <c r="Y606" s="322"/>
      <c r="Z606" s="322"/>
      <c r="AA606" s="322"/>
      <c r="AB606" s="322"/>
      <c r="AC606" s="322"/>
      <c r="AD606" s="322"/>
      <c r="AE606" s="322"/>
      <c r="AF606" s="322"/>
      <c r="AG606" s="322"/>
      <c r="AH606" s="322"/>
      <c r="AI606" s="322"/>
      <c r="AJ606" s="322"/>
      <c r="AK606" s="322"/>
    </row>
    <row r="607" spans="1:37" ht="18" customHeight="1">
      <c r="A607" s="322"/>
      <c r="B607" s="322"/>
      <c r="C607" s="451"/>
      <c r="D607" s="322"/>
      <c r="E607" s="322"/>
      <c r="F607" s="322"/>
      <c r="G607" s="322"/>
      <c r="H607" s="322"/>
      <c r="I607" s="322"/>
      <c r="J607" s="322"/>
      <c r="K607" s="322"/>
      <c r="L607" s="322"/>
      <c r="M607" s="322"/>
      <c r="N607" s="322"/>
      <c r="O607" s="322"/>
      <c r="P607" s="322"/>
      <c r="Q607" s="322"/>
      <c r="R607" s="322"/>
      <c r="S607" s="322"/>
      <c r="T607" s="322"/>
      <c r="U607" s="322"/>
      <c r="V607" s="322"/>
      <c r="W607" s="322"/>
      <c r="X607" s="322"/>
      <c r="Y607" s="322"/>
      <c r="Z607" s="322"/>
      <c r="AA607" s="322"/>
      <c r="AB607" s="322"/>
      <c r="AC607" s="322"/>
      <c r="AD607" s="322"/>
      <c r="AE607" s="322"/>
      <c r="AF607" s="322"/>
      <c r="AG607" s="322"/>
      <c r="AH607" s="322"/>
      <c r="AI607" s="322"/>
      <c r="AJ607" s="322"/>
      <c r="AK607" s="322"/>
    </row>
    <row r="608" spans="1:37" ht="18" customHeight="1">
      <c r="A608" s="322"/>
      <c r="B608" s="322"/>
      <c r="C608" s="451"/>
      <c r="D608" s="322"/>
      <c r="E608" s="322"/>
      <c r="F608" s="322"/>
      <c r="G608" s="322"/>
      <c r="H608" s="322"/>
      <c r="I608" s="322"/>
      <c r="J608" s="322"/>
      <c r="K608" s="322"/>
      <c r="L608" s="322"/>
      <c r="M608" s="322"/>
      <c r="N608" s="322"/>
      <c r="O608" s="322"/>
      <c r="P608" s="322"/>
      <c r="Q608" s="322"/>
      <c r="R608" s="322"/>
      <c r="S608" s="322"/>
      <c r="T608" s="322"/>
      <c r="U608" s="322"/>
      <c r="V608" s="322"/>
      <c r="W608" s="322"/>
      <c r="X608" s="322"/>
      <c r="Y608" s="322"/>
      <c r="Z608" s="322"/>
      <c r="AA608" s="322"/>
      <c r="AB608" s="322"/>
      <c r="AC608" s="322"/>
      <c r="AD608" s="322"/>
      <c r="AE608" s="322"/>
      <c r="AF608" s="322"/>
      <c r="AG608" s="322"/>
      <c r="AH608" s="322"/>
      <c r="AI608" s="322"/>
      <c r="AJ608" s="322"/>
      <c r="AK608" s="322"/>
    </row>
    <row r="609" spans="1:37" ht="18" customHeight="1">
      <c r="A609" s="322"/>
      <c r="B609" s="322"/>
      <c r="C609" s="451"/>
      <c r="D609" s="322"/>
      <c r="E609" s="322"/>
      <c r="F609" s="322"/>
      <c r="G609" s="322"/>
      <c r="H609" s="322"/>
      <c r="I609" s="322"/>
      <c r="J609" s="322"/>
      <c r="K609" s="322"/>
      <c r="L609" s="322"/>
      <c r="M609" s="322"/>
      <c r="N609" s="322"/>
      <c r="O609" s="322"/>
      <c r="P609" s="322"/>
      <c r="Q609" s="322"/>
      <c r="R609" s="322"/>
      <c r="S609" s="322"/>
      <c r="T609" s="322"/>
      <c r="U609" s="322"/>
      <c r="V609" s="322"/>
      <c r="W609" s="322"/>
      <c r="X609" s="322"/>
      <c r="Y609" s="322"/>
      <c r="Z609" s="322"/>
      <c r="AA609" s="322"/>
      <c r="AB609" s="322"/>
      <c r="AC609" s="322"/>
      <c r="AD609" s="322"/>
      <c r="AE609" s="322"/>
      <c r="AF609" s="322"/>
      <c r="AG609" s="322"/>
      <c r="AH609" s="322"/>
      <c r="AI609" s="322"/>
      <c r="AJ609" s="322"/>
      <c r="AK609" s="322"/>
    </row>
    <row r="610" spans="1:37" ht="18" customHeight="1">
      <c r="A610" s="322"/>
      <c r="B610" s="322"/>
      <c r="C610" s="451"/>
      <c r="D610" s="322"/>
      <c r="E610" s="322"/>
      <c r="F610" s="322"/>
      <c r="G610" s="322"/>
      <c r="H610" s="322"/>
      <c r="I610" s="322"/>
      <c r="J610" s="322"/>
      <c r="K610" s="322"/>
      <c r="L610" s="322"/>
      <c r="M610" s="322"/>
      <c r="N610" s="322"/>
      <c r="O610" s="322"/>
      <c r="P610" s="322"/>
      <c r="Q610" s="322"/>
      <c r="R610" s="322"/>
      <c r="S610" s="322"/>
      <c r="T610" s="322"/>
      <c r="U610" s="322"/>
      <c r="V610" s="322"/>
      <c r="W610" s="322"/>
      <c r="X610" s="322"/>
      <c r="Y610" s="322"/>
      <c r="Z610" s="322"/>
      <c r="AA610" s="322"/>
      <c r="AB610" s="322"/>
      <c r="AC610" s="322"/>
      <c r="AD610" s="322"/>
      <c r="AE610" s="322"/>
      <c r="AF610" s="322"/>
      <c r="AG610" s="322"/>
      <c r="AH610" s="322"/>
      <c r="AI610" s="322"/>
      <c r="AJ610" s="322"/>
      <c r="AK610" s="322"/>
    </row>
    <row r="611" spans="1:37" ht="18" customHeight="1">
      <c r="A611" s="322"/>
      <c r="B611" s="322"/>
      <c r="C611" s="451"/>
      <c r="D611" s="322"/>
      <c r="E611" s="322"/>
      <c r="F611" s="322"/>
      <c r="G611" s="322"/>
      <c r="H611" s="322"/>
      <c r="I611" s="322"/>
      <c r="J611" s="322"/>
      <c r="K611" s="322"/>
      <c r="L611" s="322"/>
      <c r="M611" s="322"/>
      <c r="N611" s="322"/>
      <c r="O611" s="322"/>
      <c r="P611" s="322"/>
      <c r="Q611" s="322"/>
      <c r="R611" s="322"/>
      <c r="S611" s="322"/>
      <c r="T611" s="322"/>
      <c r="U611" s="322"/>
      <c r="V611" s="322"/>
      <c r="W611" s="322"/>
      <c r="X611" s="322"/>
      <c r="Y611" s="322"/>
      <c r="Z611" s="322"/>
      <c r="AA611" s="322"/>
      <c r="AB611" s="322"/>
      <c r="AC611" s="322"/>
      <c r="AD611" s="322"/>
      <c r="AE611" s="322"/>
      <c r="AF611" s="322"/>
      <c r="AG611" s="322"/>
      <c r="AH611" s="322"/>
      <c r="AI611" s="322"/>
      <c r="AJ611" s="322"/>
      <c r="AK611" s="322"/>
    </row>
    <row r="612" spans="1:37" ht="18" customHeight="1">
      <c r="A612" s="322"/>
      <c r="B612" s="322"/>
      <c r="C612" s="451"/>
      <c r="D612" s="322"/>
      <c r="E612" s="322"/>
      <c r="F612" s="322"/>
      <c r="G612" s="322"/>
      <c r="H612" s="322"/>
      <c r="I612" s="322"/>
      <c r="J612" s="322"/>
      <c r="K612" s="322"/>
      <c r="L612" s="322"/>
      <c r="M612" s="322"/>
      <c r="N612" s="322"/>
      <c r="O612" s="322"/>
      <c r="P612" s="322"/>
      <c r="Q612" s="322"/>
      <c r="R612" s="322"/>
      <c r="S612" s="322"/>
      <c r="T612" s="322"/>
      <c r="U612" s="322"/>
      <c r="V612" s="322"/>
      <c r="W612" s="322"/>
      <c r="X612" s="322"/>
      <c r="Y612" s="322"/>
      <c r="Z612" s="322"/>
      <c r="AA612" s="322"/>
      <c r="AB612" s="322"/>
      <c r="AC612" s="322"/>
      <c r="AD612" s="322"/>
      <c r="AE612" s="322"/>
      <c r="AF612" s="322"/>
      <c r="AG612" s="322"/>
      <c r="AH612" s="322"/>
      <c r="AI612" s="322"/>
      <c r="AJ612" s="322"/>
      <c r="AK612" s="322"/>
    </row>
    <row r="613" spans="1:37" ht="18" customHeight="1">
      <c r="A613" s="322"/>
      <c r="B613" s="322"/>
      <c r="C613" s="451"/>
      <c r="D613" s="322"/>
      <c r="E613" s="322"/>
      <c r="F613" s="322"/>
      <c r="G613" s="322"/>
      <c r="H613" s="322"/>
      <c r="I613" s="322"/>
      <c r="J613" s="322"/>
      <c r="K613" s="322"/>
      <c r="L613" s="322"/>
      <c r="M613" s="322"/>
      <c r="N613" s="322"/>
      <c r="O613" s="322"/>
      <c r="P613" s="322"/>
      <c r="Q613" s="322"/>
      <c r="R613" s="322"/>
      <c r="S613" s="322"/>
      <c r="T613" s="322"/>
      <c r="U613" s="322"/>
      <c r="V613" s="322"/>
      <c r="W613" s="322"/>
      <c r="X613" s="322"/>
      <c r="Y613" s="322"/>
      <c r="Z613" s="322"/>
      <c r="AA613" s="322"/>
      <c r="AB613" s="322"/>
      <c r="AC613" s="322"/>
      <c r="AD613" s="322"/>
      <c r="AE613" s="322"/>
      <c r="AF613" s="322"/>
      <c r="AG613" s="322"/>
      <c r="AH613" s="322"/>
      <c r="AI613" s="322"/>
      <c r="AJ613" s="322"/>
      <c r="AK613" s="322"/>
    </row>
    <row r="614" spans="1:37" ht="18" customHeight="1">
      <c r="A614" s="322"/>
      <c r="B614" s="322"/>
      <c r="C614" s="451"/>
      <c r="D614" s="322"/>
      <c r="E614" s="322"/>
      <c r="F614" s="322"/>
      <c r="G614" s="322"/>
      <c r="H614" s="322"/>
      <c r="I614" s="322"/>
      <c r="J614" s="322"/>
      <c r="K614" s="322"/>
      <c r="L614" s="322"/>
      <c r="M614" s="322"/>
      <c r="N614" s="322"/>
      <c r="O614" s="322"/>
      <c r="P614" s="322"/>
      <c r="Q614" s="322"/>
      <c r="R614" s="322"/>
      <c r="S614" s="322"/>
      <c r="T614" s="322"/>
      <c r="U614" s="322"/>
      <c r="V614" s="322"/>
      <c r="W614" s="322"/>
      <c r="X614" s="322"/>
      <c r="Y614" s="322"/>
      <c r="Z614" s="322"/>
      <c r="AA614" s="322"/>
      <c r="AB614" s="322"/>
      <c r="AC614" s="322"/>
      <c r="AD614" s="322"/>
      <c r="AE614" s="322"/>
      <c r="AF614" s="322"/>
      <c r="AG614" s="322"/>
      <c r="AH614" s="322"/>
      <c r="AI614" s="322"/>
      <c r="AJ614" s="322"/>
      <c r="AK614" s="322"/>
    </row>
    <row r="615" spans="1:37" ht="18" customHeight="1">
      <c r="A615" s="322"/>
      <c r="B615" s="322"/>
      <c r="C615" s="451"/>
      <c r="D615" s="322"/>
      <c r="E615" s="322"/>
      <c r="F615" s="322"/>
      <c r="G615" s="322"/>
      <c r="H615" s="322"/>
      <c r="I615" s="322"/>
      <c r="J615" s="322"/>
      <c r="K615" s="322"/>
      <c r="L615" s="322"/>
      <c r="M615" s="322"/>
      <c r="N615" s="322"/>
      <c r="O615" s="322"/>
      <c r="P615" s="322"/>
      <c r="Q615" s="322"/>
      <c r="R615" s="322"/>
      <c r="S615" s="322"/>
      <c r="T615" s="322"/>
      <c r="U615" s="322"/>
      <c r="V615" s="322"/>
      <c r="W615" s="322"/>
      <c r="X615" s="322"/>
      <c r="Y615" s="322"/>
      <c r="Z615" s="322"/>
      <c r="AA615" s="322"/>
      <c r="AB615" s="322"/>
      <c r="AC615" s="322"/>
      <c r="AD615" s="322"/>
      <c r="AE615" s="322"/>
      <c r="AF615" s="322"/>
      <c r="AG615" s="322"/>
      <c r="AH615" s="322"/>
      <c r="AI615" s="322"/>
      <c r="AJ615" s="322"/>
      <c r="AK615" s="322"/>
    </row>
    <row r="616" spans="1:37" ht="18" customHeight="1">
      <c r="A616" s="322"/>
      <c r="B616" s="322"/>
      <c r="C616" s="451"/>
      <c r="D616" s="322"/>
      <c r="E616" s="322"/>
      <c r="F616" s="322"/>
      <c r="G616" s="322"/>
      <c r="H616" s="322"/>
      <c r="I616" s="322"/>
      <c r="J616" s="322"/>
      <c r="K616" s="322"/>
      <c r="L616" s="322"/>
      <c r="M616" s="322"/>
      <c r="N616" s="322"/>
      <c r="O616" s="322"/>
      <c r="P616" s="322"/>
      <c r="Q616" s="322"/>
      <c r="R616" s="322"/>
      <c r="S616" s="322"/>
      <c r="T616" s="322"/>
      <c r="U616" s="322"/>
      <c r="V616" s="322"/>
      <c r="W616" s="322"/>
      <c r="X616" s="322"/>
      <c r="Y616" s="322"/>
      <c r="Z616" s="322"/>
      <c r="AA616" s="322"/>
      <c r="AB616" s="322"/>
      <c r="AC616" s="322"/>
      <c r="AD616" s="322"/>
      <c r="AE616" s="322"/>
      <c r="AF616" s="322"/>
      <c r="AG616" s="322"/>
      <c r="AH616" s="322"/>
      <c r="AI616" s="322"/>
      <c r="AJ616" s="322"/>
      <c r="AK616" s="322"/>
    </row>
    <row r="617" spans="1:37" ht="18" customHeight="1">
      <c r="A617" s="322"/>
      <c r="B617" s="322"/>
      <c r="C617" s="451"/>
      <c r="D617" s="322"/>
      <c r="E617" s="322"/>
      <c r="F617" s="322"/>
      <c r="G617" s="322"/>
      <c r="H617" s="322"/>
      <c r="I617" s="322"/>
      <c r="J617" s="322"/>
      <c r="K617" s="322"/>
      <c r="L617" s="322"/>
      <c r="M617" s="322"/>
      <c r="N617" s="322"/>
      <c r="O617" s="322"/>
      <c r="P617" s="322"/>
      <c r="Q617" s="322"/>
      <c r="R617" s="322"/>
      <c r="S617" s="322"/>
      <c r="T617" s="322"/>
      <c r="U617" s="322"/>
      <c r="V617" s="322"/>
      <c r="W617" s="322"/>
      <c r="X617" s="322"/>
      <c r="Y617" s="322"/>
      <c r="Z617" s="322"/>
      <c r="AA617" s="322"/>
      <c r="AB617" s="322"/>
      <c r="AC617" s="322"/>
      <c r="AD617" s="322"/>
      <c r="AE617" s="322"/>
      <c r="AF617" s="322"/>
      <c r="AG617" s="322"/>
      <c r="AH617" s="322"/>
      <c r="AI617" s="322"/>
      <c r="AJ617" s="322"/>
      <c r="AK617" s="322"/>
    </row>
    <row r="618" spans="1:37" ht="18" customHeight="1">
      <c r="A618" s="322"/>
      <c r="B618" s="322"/>
      <c r="C618" s="451"/>
      <c r="D618" s="322"/>
      <c r="E618" s="322"/>
      <c r="F618" s="322"/>
      <c r="G618" s="322"/>
      <c r="H618" s="322"/>
      <c r="I618" s="322"/>
      <c r="J618" s="322"/>
      <c r="K618" s="322"/>
      <c r="L618" s="322"/>
      <c r="M618" s="322"/>
      <c r="N618" s="322"/>
      <c r="O618" s="322"/>
      <c r="P618" s="322"/>
      <c r="Q618" s="322"/>
      <c r="R618" s="322"/>
      <c r="S618" s="322"/>
      <c r="T618" s="322"/>
      <c r="U618" s="322"/>
      <c r="V618" s="322"/>
      <c r="W618" s="322"/>
      <c r="X618" s="322"/>
      <c r="Y618" s="322"/>
      <c r="Z618" s="322"/>
      <c r="AA618" s="322"/>
      <c r="AB618" s="322"/>
      <c r="AC618" s="322"/>
      <c r="AD618" s="322"/>
      <c r="AE618" s="322"/>
      <c r="AF618" s="322"/>
      <c r="AG618" s="322"/>
      <c r="AH618" s="322"/>
      <c r="AI618" s="322"/>
      <c r="AJ618" s="322"/>
      <c r="AK618" s="322"/>
    </row>
    <row r="619" spans="1:37" ht="18" customHeight="1">
      <c r="A619" s="322"/>
      <c r="B619" s="322"/>
      <c r="C619" s="451"/>
      <c r="D619" s="322"/>
      <c r="E619" s="322"/>
      <c r="F619" s="322"/>
      <c r="G619" s="322"/>
      <c r="H619" s="322"/>
      <c r="I619" s="322"/>
      <c r="J619" s="322"/>
      <c r="K619" s="322"/>
      <c r="L619" s="322"/>
      <c r="M619" s="322"/>
      <c r="N619" s="322"/>
      <c r="O619" s="322"/>
      <c r="P619" s="322"/>
      <c r="Q619" s="322"/>
      <c r="R619" s="322"/>
      <c r="S619" s="322"/>
      <c r="T619" s="322"/>
      <c r="U619" s="322"/>
      <c r="V619" s="322"/>
      <c r="W619" s="322"/>
      <c r="X619" s="322"/>
      <c r="Y619" s="322"/>
      <c r="Z619" s="322"/>
      <c r="AA619" s="322"/>
      <c r="AB619" s="322"/>
      <c r="AC619" s="322"/>
      <c r="AD619" s="322"/>
      <c r="AE619" s="322"/>
      <c r="AF619" s="322"/>
      <c r="AG619" s="322"/>
      <c r="AH619" s="322"/>
      <c r="AI619" s="322"/>
      <c r="AJ619" s="322"/>
      <c r="AK619" s="322"/>
    </row>
    <row r="620" spans="1:37" ht="18" customHeight="1">
      <c r="A620" s="322"/>
      <c r="B620" s="322"/>
      <c r="C620" s="451"/>
      <c r="D620" s="322"/>
      <c r="E620" s="322"/>
      <c r="F620" s="322"/>
      <c r="G620" s="322"/>
      <c r="H620" s="322"/>
      <c r="I620" s="322"/>
      <c r="J620" s="322"/>
      <c r="K620" s="322"/>
      <c r="L620" s="322"/>
      <c r="M620" s="322"/>
      <c r="N620" s="322"/>
      <c r="O620" s="322"/>
      <c r="P620" s="322"/>
      <c r="Q620" s="322"/>
      <c r="R620" s="322"/>
      <c r="S620" s="322"/>
      <c r="T620" s="322"/>
      <c r="U620" s="322"/>
      <c r="V620" s="322"/>
      <c r="W620" s="322"/>
      <c r="X620" s="322"/>
      <c r="Y620" s="322"/>
      <c r="Z620" s="322"/>
      <c r="AA620" s="322"/>
      <c r="AB620" s="322"/>
      <c r="AC620" s="322"/>
      <c r="AD620" s="322"/>
      <c r="AE620" s="322"/>
      <c r="AF620" s="322"/>
      <c r="AG620" s="322"/>
      <c r="AH620" s="322"/>
      <c r="AI620" s="322"/>
      <c r="AJ620" s="322"/>
      <c r="AK620" s="322"/>
    </row>
    <row r="621" spans="1:37" ht="18" customHeight="1">
      <c r="A621" s="322"/>
      <c r="B621" s="322"/>
      <c r="C621" s="451"/>
      <c r="D621" s="322"/>
      <c r="E621" s="322"/>
      <c r="F621" s="322"/>
      <c r="G621" s="322"/>
      <c r="H621" s="322"/>
      <c r="I621" s="322"/>
      <c r="J621" s="322"/>
      <c r="K621" s="322"/>
      <c r="L621" s="322"/>
      <c r="M621" s="322"/>
      <c r="N621" s="322"/>
      <c r="O621" s="322"/>
      <c r="P621" s="322"/>
      <c r="Q621" s="322"/>
      <c r="R621" s="322"/>
      <c r="S621" s="322"/>
      <c r="T621" s="322"/>
      <c r="U621" s="322"/>
      <c r="V621" s="322"/>
      <c r="W621" s="322"/>
      <c r="X621" s="322"/>
      <c r="Y621" s="322"/>
      <c r="Z621" s="322"/>
      <c r="AA621" s="322"/>
      <c r="AB621" s="322"/>
      <c r="AC621" s="322"/>
      <c r="AD621" s="322"/>
      <c r="AE621" s="322"/>
      <c r="AF621" s="322"/>
      <c r="AG621" s="322"/>
      <c r="AH621" s="322"/>
      <c r="AI621" s="322"/>
      <c r="AJ621" s="322"/>
      <c r="AK621" s="322"/>
    </row>
    <row r="622" spans="1:37" ht="18" customHeight="1">
      <c r="A622" s="322"/>
      <c r="B622" s="322"/>
      <c r="C622" s="451"/>
      <c r="D622" s="322"/>
      <c r="E622" s="322"/>
      <c r="F622" s="322"/>
      <c r="G622" s="322"/>
      <c r="H622" s="322"/>
      <c r="I622" s="322"/>
      <c r="J622" s="322"/>
      <c r="K622" s="322"/>
      <c r="L622" s="322"/>
      <c r="M622" s="322"/>
      <c r="N622" s="322"/>
      <c r="O622" s="322"/>
      <c r="P622" s="322"/>
      <c r="Q622" s="322"/>
      <c r="R622" s="322"/>
      <c r="S622" s="322"/>
      <c r="T622" s="322"/>
      <c r="U622" s="322"/>
      <c r="V622" s="322"/>
      <c r="W622" s="322"/>
      <c r="X622" s="322"/>
      <c r="Y622" s="322"/>
      <c r="Z622" s="322"/>
      <c r="AA622" s="322"/>
      <c r="AB622" s="322"/>
      <c r="AC622" s="322"/>
      <c r="AD622" s="322"/>
      <c r="AE622" s="322"/>
      <c r="AF622" s="322"/>
      <c r="AG622" s="322"/>
      <c r="AH622" s="322"/>
      <c r="AI622" s="322"/>
      <c r="AJ622" s="322"/>
      <c r="AK622" s="322"/>
    </row>
    <row r="623" spans="1:37" ht="18" customHeight="1">
      <c r="A623" s="322"/>
      <c r="B623" s="322"/>
      <c r="C623" s="451"/>
      <c r="D623" s="322"/>
      <c r="E623" s="322"/>
      <c r="F623" s="322"/>
      <c r="G623" s="322"/>
      <c r="H623" s="322"/>
      <c r="I623" s="322"/>
      <c r="J623" s="322"/>
      <c r="K623" s="322"/>
      <c r="L623" s="322"/>
      <c r="M623" s="322"/>
      <c r="N623" s="322"/>
      <c r="O623" s="322"/>
      <c r="P623" s="322"/>
      <c r="Q623" s="322"/>
      <c r="R623" s="322"/>
      <c r="S623" s="322"/>
      <c r="T623" s="322"/>
      <c r="U623" s="322"/>
      <c r="V623" s="322"/>
      <c r="W623" s="322"/>
      <c r="X623" s="322"/>
      <c r="Y623" s="322"/>
      <c r="Z623" s="322"/>
      <c r="AA623" s="322"/>
      <c r="AB623" s="322"/>
      <c r="AC623" s="322"/>
      <c r="AD623" s="322"/>
      <c r="AE623" s="322"/>
      <c r="AF623" s="322"/>
      <c r="AG623" s="322"/>
      <c r="AH623" s="322"/>
      <c r="AI623" s="322"/>
      <c r="AJ623" s="322"/>
      <c r="AK623" s="322"/>
    </row>
    <row r="624" spans="1:37" ht="18" customHeight="1">
      <c r="A624" s="322"/>
      <c r="B624" s="322"/>
      <c r="C624" s="451"/>
      <c r="D624" s="322"/>
      <c r="E624" s="322"/>
      <c r="F624" s="322"/>
      <c r="G624" s="322"/>
      <c r="H624" s="322"/>
      <c r="I624" s="322"/>
      <c r="J624" s="322"/>
      <c r="K624" s="322"/>
      <c r="L624" s="322"/>
      <c r="M624" s="322"/>
      <c r="N624" s="322"/>
      <c r="O624" s="322"/>
      <c r="P624" s="322"/>
      <c r="Q624" s="322"/>
      <c r="R624" s="322"/>
      <c r="S624" s="322"/>
      <c r="T624" s="322"/>
      <c r="U624" s="322"/>
      <c r="V624" s="322"/>
      <c r="W624" s="322"/>
      <c r="X624" s="322"/>
      <c r="Y624" s="322"/>
      <c r="Z624" s="322"/>
      <c r="AA624" s="322"/>
      <c r="AB624" s="322"/>
      <c r="AC624" s="322"/>
      <c r="AD624" s="322"/>
      <c r="AE624" s="322"/>
      <c r="AF624" s="322"/>
      <c r="AG624" s="322"/>
      <c r="AH624" s="322"/>
      <c r="AI624" s="322"/>
      <c r="AJ624" s="322"/>
      <c r="AK624" s="322"/>
    </row>
    <row r="625" spans="1:37" ht="18" customHeight="1">
      <c r="A625" s="322"/>
      <c r="B625" s="322"/>
      <c r="C625" s="451"/>
      <c r="D625" s="322"/>
      <c r="E625" s="322"/>
      <c r="F625" s="322"/>
      <c r="G625" s="322"/>
      <c r="H625" s="322"/>
      <c r="I625" s="322"/>
      <c r="J625" s="322"/>
      <c r="K625" s="322"/>
      <c r="L625" s="322"/>
      <c r="M625" s="322"/>
      <c r="N625" s="322"/>
      <c r="O625" s="322"/>
      <c r="P625" s="322"/>
      <c r="Q625" s="322"/>
      <c r="R625" s="322"/>
      <c r="S625" s="322"/>
      <c r="T625" s="322"/>
      <c r="U625" s="322"/>
      <c r="V625" s="322"/>
      <c r="W625" s="322"/>
      <c r="X625" s="322"/>
      <c r="Y625" s="322"/>
      <c r="Z625" s="322"/>
      <c r="AA625" s="322"/>
      <c r="AB625" s="322"/>
      <c r="AC625" s="322"/>
      <c r="AD625" s="322"/>
      <c r="AE625" s="322"/>
      <c r="AF625" s="322"/>
      <c r="AG625" s="322"/>
      <c r="AH625" s="322"/>
      <c r="AI625" s="322"/>
      <c r="AJ625" s="322"/>
      <c r="AK625" s="322"/>
    </row>
    <row r="626" spans="1:37" ht="18" customHeight="1">
      <c r="A626" s="322"/>
      <c r="B626" s="322"/>
      <c r="C626" s="451"/>
      <c r="D626" s="322"/>
      <c r="E626" s="322"/>
      <c r="F626" s="322"/>
      <c r="G626" s="322"/>
      <c r="H626" s="322"/>
      <c r="I626" s="322"/>
      <c r="J626" s="322"/>
      <c r="K626" s="322"/>
      <c r="L626" s="322"/>
      <c r="M626" s="322"/>
      <c r="N626" s="322"/>
      <c r="O626" s="322"/>
      <c r="P626" s="322"/>
      <c r="Q626" s="322"/>
      <c r="R626" s="322"/>
      <c r="S626" s="322"/>
      <c r="T626" s="322"/>
      <c r="U626" s="322"/>
      <c r="V626" s="322"/>
      <c r="W626" s="322"/>
      <c r="X626" s="322"/>
      <c r="Y626" s="322"/>
      <c r="Z626" s="322"/>
      <c r="AA626" s="322"/>
      <c r="AB626" s="322"/>
      <c r="AC626" s="322"/>
      <c r="AD626" s="322"/>
      <c r="AE626" s="322"/>
      <c r="AF626" s="322"/>
      <c r="AG626" s="322"/>
      <c r="AH626" s="322"/>
      <c r="AI626" s="322"/>
      <c r="AJ626" s="322"/>
      <c r="AK626" s="322"/>
    </row>
    <row r="627" spans="1:37" ht="18" customHeight="1">
      <c r="A627" s="322"/>
      <c r="B627" s="322"/>
      <c r="C627" s="451"/>
      <c r="D627" s="322"/>
      <c r="E627" s="322"/>
      <c r="F627" s="322"/>
      <c r="G627" s="322"/>
      <c r="H627" s="322"/>
      <c r="I627" s="322"/>
      <c r="J627" s="322"/>
      <c r="K627" s="322"/>
      <c r="L627" s="322"/>
      <c r="M627" s="322"/>
      <c r="N627" s="322"/>
      <c r="O627" s="322"/>
      <c r="P627" s="322"/>
      <c r="Q627" s="322"/>
      <c r="R627" s="322"/>
      <c r="S627" s="322"/>
      <c r="T627" s="322"/>
      <c r="U627" s="322"/>
      <c r="V627" s="322"/>
      <c r="W627" s="322"/>
      <c r="X627" s="322"/>
      <c r="Y627" s="322"/>
      <c r="Z627" s="322"/>
      <c r="AA627" s="322"/>
      <c r="AB627" s="322"/>
      <c r="AC627" s="322"/>
      <c r="AD627" s="322"/>
      <c r="AE627" s="322"/>
      <c r="AF627" s="322"/>
      <c r="AG627" s="322"/>
      <c r="AH627" s="322"/>
      <c r="AI627" s="322"/>
      <c r="AJ627" s="322"/>
      <c r="AK627" s="322"/>
    </row>
    <row r="628" spans="1:37" ht="18" customHeight="1">
      <c r="A628" s="322"/>
      <c r="B628" s="322"/>
      <c r="C628" s="451"/>
      <c r="D628" s="322"/>
      <c r="E628" s="322"/>
      <c r="F628" s="322"/>
      <c r="G628" s="322"/>
      <c r="H628" s="322"/>
      <c r="I628" s="322"/>
      <c r="J628" s="322"/>
      <c r="K628" s="322"/>
      <c r="L628" s="322"/>
      <c r="M628" s="322"/>
      <c r="N628" s="322"/>
      <c r="O628" s="322"/>
      <c r="P628" s="322"/>
      <c r="Q628" s="322"/>
      <c r="R628" s="322"/>
      <c r="S628" s="322"/>
      <c r="T628" s="322"/>
      <c r="U628" s="322"/>
      <c r="V628" s="322"/>
      <c r="W628" s="322"/>
      <c r="X628" s="322"/>
      <c r="Y628" s="322"/>
      <c r="Z628" s="322"/>
      <c r="AA628" s="322"/>
      <c r="AB628" s="322"/>
      <c r="AC628" s="322"/>
      <c r="AD628" s="322"/>
      <c r="AE628" s="322"/>
      <c r="AF628" s="322"/>
      <c r="AG628" s="322"/>
      <c r="AH628" s="322"/>
      <c r="AI628" s="322"/>
      <c r="AJ628" s="322"/>
      <c r="AK628" s="322"/>
    </row>
    <row r="629" spans="1:37" ht="18" customHeight="1">
      <c r="A629" s="322"/>
      <c r="B629" s="322"/>
      <c r="C629" s="451"/>
      <c r="D629" s="322"/>
      <c r="E629" s="322"/>
      <c r="F629" s="322"/>
      <c r="G629" s="322"/>
      <c r="H629" s="322"/>
      <c r="I629" s="322"/>
      <c r="J629" s="322"/>
      <c r="K629" s="322"/>
      <c r="L629" s="322"/>
      <c r="M629" s="322"/>
      <c r="N629" s="322"/>
      <c r="O629" s="322"/>
      <c r="P629" s="322"/>
      <c r="Q629" s="322"/>
      <c r="R629" s="322"/>
      <c r="S629" s="322"/>
      <c r="T629" s="322"/>
      <c r="U629" s="322"/>
      <c r="V629" s="322"/>
      <c r="W629" s="322"/>
      <c r="X629" s="322"/>
      <c r="Y629" s="322"/>
      <c r="Z629" s="322"/>
      <c r="AA629" s="322"/>
      <c r="AB629" s="322"/>
      <c r="AC629" s="322"/>
      <c r="AD629" s="322"/>
      <c r="AE629" s="322"/>
      <c r="AF629" s="322"/>
      <c r="AG629" s="322"/>
      <c r="AH629" s="322"/>
      <c r="AI629" s="322"/>
      <c r="AJ629" s="322"/>
      <c r="AK629" s="322"/>
    </row>
    <row r="630" spans="1:37" ht="18" customHeight="1">
      <c r="A630" s="322"/>
      <c r="B630" s="322"/>
      <c r="C630" s="451"/>
      <c r="D630" s="322"/>
      <c r="E630" s="322"/>
      <c r="F630" s="322"/>
      <c r="G630" s="322"/>
      <c r="H630" s="322"/>
      <c r="I630" s="322"/>
      <c r="J630" s="322"/>
      <c r="K630" s="322"/>
      <c r="L630" s="322"/>
      <c r="M630" s="322"/>
      <c r="N630" s="322"/>
      <c r="O630" s="322"/>
      <c r="P630" s="322"/>
      <c r="Q630" s="322"/>
      <c r="R630" s="322"/>
      <c r="S630" s="322"/>
      <c r="T630" s="322"/>
      <c r="U630" s="322"/>
      <c r="V630" s="322"/>
      <c r="W630" s="322"/>
      <c r="X630" s="322"/>
      <c r="Y630" s="322"/>
      <c r="Z630" s="322"/>
      <c r="AA630" s="322"/>
      <c r="AB630" s="322"/>
      <c r="AC630" s="322"/>
      <c r="AD630" s="322"/>
      <c r="AE630" s="322"/>
      <c r="AF630" s="322"/>
      <c r="AG630" s="322"/>
      <c r="AH630" s="322"/>
      <c r="AI630" s="322"/>
      <c r="AJ630" s="322"/>
      <c r="AK630" s="322"/>
    </row>
    <row r="631" spans="1:37" ht="18" customHeight="1">
      <c r="A631" s="322"/>
      <c r="B631" s="322"/>
      <c r="C631" s="451"/>
      <c r="D631" s="322"/>
      <c r="E631" s="322"/>
      <c r="F631" s="322"/>
      <c r="G631" s="322"/>
      <c r="H631" s="322"/>
      <c r="I631" s="322"/>
      <c r="J631" s="322"/>
      <c r="K631" s="322"/>
      <c r="L631" s="322"/>
      <c r="M631" s="322"/>
      <c r="N631" s="322"/>
      <c r="O631" s="322"/>
      <c r="P631" s="322"/>
      <c r="Q631" s="322"/>
      <c r="R631" s="322"/>
      <c r="S631" s="322"/>
      <c r="T631" s="322"/>
      <c r="U631" s="322"/>
      <c r="V631" s="322"/>
      <c r="W631" s="322"/>
      <c r="X631" s="322"/>
      <c r="Y631" s="322"/>
      <c r="Z631" s="322"/>
      <c r="AA631" s="322"/>
      <c r="AB631" s="322"/>
      <c r="AC631" s="322"/>
      <c r="AD631" s="322"/>
      <c r="AE631" s="322"/>
      <c r="AF631" s="322"/>
      <c r="AG631" s="322"/>
      <c r="AH631" s="322"/>
      <c r="AI631" s="322"/>
      <c r="AJ631" s="322"/>
      <c r="AK631" s="322"/>
    </row>
    <row r="632" spans="1:37" ht="18" customHeight="1">
      <c r="A632" s="322"/>
      <c r="B632" s="322"/>
      <c r="C632" s="451"/>
      <c r="D632" s="322"/>
      <c r="E632" s="322"/>
      <c r="F632" s="322"/>
      <c r="G632" s="322"/>
      <c r="H632" s="322"/>
      <c r="I632" s="322"/>
      <c r="J632" s="322"/>
      <c r="K632" s="322"/>
      <c r="L632" s="322"/>
      <c r="M632" s="322"/>
      <c r="N632" s="322"/>
      <c r="O632" s="322"/>
      <c r="P632" s="322"/>
      <c r="Q632" s="322"/>
      <c r="R632" s="322"/>
      <c r="S632" s="322"/>
      <c r="T632" s="322"/>
      <c r="U632" s="322"/>
      <c r="V632" s="322"/>
      <c r="W632" s="322"/>
      <c r="X632" s="322"/>
      <c r="Y632" s="322"/>
      <c r="Z632" s="322"/>
      <c r="AA632" s="322"/>
      <c r="AB632" s="322"/>
      <c r="AC632" s="322"/>
      <c r="AD632" s="322"/>
      <c r="AE632" s="322"/>
      <c r="AF632" s="322"/>
      <c r="AG632" s="322"/>
      <c r="AH632" s="322"/>
      <c r="AI632" s="322"/>
      <c r="AJ632" s="322"/>
      <c r="AK632" s="322"/>
    </row>
    <row r="633" spans="1:37" ht="18" customHeight="1">
      <c r="A633" s="322"/>
      <c r="B633" s="322"/>
      <c r="C633" s="451"/>
      <c r="D633" s="322"/>
      <c r="E633" s="322"/>
      <c r="F633" s="322"/>
      <c r="G633" s="322"/>
      <c r="H633" s="322"/>
      <c r="I633" s="322"/>
      <c r="J633" s="322"/>
      <c r="K633" s="322"/>
      <c r="L633" s="322"/>
      <c r="M633" s="322"/>
      <c r="N633" s="322"/>
      <c r="O633" s="322"/>
      <c r="P633" s="322"/>
      <c r="Q633" s="322"/>
      <c r="R633" s="322"/>
      <c r="S633" s="322"/>
      <c r="T633" s="322"/>
      <c r="U633" s="322"/>
      <c r="V633" s="322"/>
      <c r="W633" s="322"/>
      <c r="X633" s="322"/>
      <c r="Y633" s="322"/>
      <c r="Z633" s="322"/>
      <c r="AA633" s="322"/>
      <c r="AB633" s="322"/>
      <c r="AC633" s="322"/>
      <c r="AD633" s="322"/>
      <c r="AE633" s="322"/>
      <c r="AF633" s="322"/>
      <c r="AG633" s="322"/>
      <c r="AH633" s="322"/>
      <c r="AI633" s="322"/>
      <c r="AJ633" s="322"/>
      <c r="AK633" s="322"/>
    </row>
    <row r="634" spans="1:37" ht="18" customHeight="1">
      <c r="A634" s="322"/>
      <c r="B634" s="322"/>
      <c r="C634" s="451"/>
      <c r="D634" s="322"/>
      <c r="E634" s="322"/>
      <c r="F634" s="322"/>
      <c r="G634" s="322"/>
      <c r="H634" s="322"/>
      <c r="I634" s="322"/>
      <c r="J634" s="322"/>
      <c r="K634" s="322"/>
      <c r="L634" s="322"/>
      <c r="M634" s="322"/>
      <c r="N634" s="322"/>
      <c r="O634" s="322"/>
      <c r="P634" s="322"/>
      <c r="Q634" s="322"/>
      <c r="R634" s="322"/>
      <c r="S634" s="322"/>
      <c r="T634" s="322"/>
      <c r="U634" s="322"/>
      <c r="V634" s="322"/>
      <c r="W634" s="322"/>
      <c r="X634" s="322"/>
      <c r="Y634" s="322"/>
      <c r="Z634" s="322"/>
      <c r="AA634" s="322"/>
      <c r="AB634" s="322"/>
      <c r="AC634" s="322"/>
      <c r="AD634" s="322"/>
      <c r="AE634" s="322"/>
      <c r="AF634" s="322"/>
      <c r="AG634" s="322"/>
      <c r="AH634" s="322"/>
      <c r="AI634" s="322"/>
      <c r="AJ634" s="322"/>
      <c r="AK634" s="322"/>
    </row>
    <row r="635" spans="1:37" ht="18" customHeight="1">
      <c r="A635" s="322"/>
      <c r="B635" s="322"/>
      <c r="C635" s="451"/>
      <c r="D635" s="322"/>
      <c r="E635" s="322"/>
      <c r="F635" s="322"/>
      <c r="G635" s="322"/>
      <c r="H635" s="322"/>
      <c r="I635" s="322"/>
      <c r="J635" s="322"/>
      <c r="K635" s="322"/>
      <c r="L635" s="322"/>
      <c r="M635" s="322"/>
      <c r="N635" s="322"/>
      <c r="O635" s="322"/>
      <c r="P635" s="322"/>
      <c r="Q635" s="322"/>
      <c r="R635" s="322"/>
      <c r="S635" s="322"/>
      <c r="T635" s="322"/>
      <c r="U635" s="322"/>
      <c r="V635" s="322"/>
      <c r="W635" s="322"/>
      <c r="X635" s="322"/>
      <c r="Y635" s="322"/>
      <c r="Z635" s="322"/>
      <c r="AA635" s="322"/>
      <c r="AB635" s="322"/>
      <c r="AC635" s="322"/>
      <c r="AD635" s="322"/>
      <c r="AE635" s="322"/>
      <c r="AF635" s="322"/>
      <c r="AG635" s="322"/>
      <c r="AH635" s="322"/>
      <c r="AI635" s="322"/>
      <c r="AJ635" s="322"/>
      <c r="AK635" s="322"/>
    </row>
    <row r="636" spans="1:37" ht="18" customHeight="1">
      <c r="A636" s="322"/>
      <c r="B636" s="322"/>
      <c r="C636" s="451"/>
      <c r="D636" s="322"/>
      <c r="E636" s="322"/>
      <c r="F636" s="322"/>
      <c r="G636" s="322"/>
      <c r="H636" s="322"/>
      <c r="I636" s="322"/>
      <c r="J636" s="322"/>
      <c r="K636" s="322"/>
      <c r="L636" s="322"/>
      <c r="M636" s="322"/>
      <c r="N636" s="322"/>
      <c r="O636" s="322"/>
      <c r="P636" s="322"/>
      <c r="Q636" s="322"/>
      <c r="R636" s="322"/>
      <c r="S636" s="322"/>
      <c r="T636" s="322"/>
      <c r="U636" s="322"/>
      <c r="V636" s="322"/>
      <c r="W636" s="322"/>
      <c r="X636" s="322"/>
      <c r="Y636" s="322"/>
      <c r="Z636" s="322"/>
      <c r="AA636" s="322"/>
      <c r="AB636" s="322"/>
      <c r="AC636" s="322"/>
      <c r="AD636" s="322"/>
      <c r="AE636" s="322"/>
      <c r="AF636" s="322"/>
      <c r="AG636" s="322"/>
      <c r="AH636" s="322"/>
      <c r="AI636" s="322"/>
      <c r="AJ636" s="322"/>
      <c r="AK636" s="322"/>
    </row>
    <row r="637" spans="1:37" ht="18" customHeight="1">
      <c r="A637" s="322"/>
      <c r="B637" s="322"/>
      <c r="C637" s="451"/>
      <c r="D637" s="322"/>
      <c r="E637" s="322"/>
      <c r="F637" s="322"/>
      <c r="G637" s="322"/>
      <c r="H637" s="322"/>
      <c r="I637" s="322"/>
      <c r="J637" s="322"/>
      <c r="K637" s="322"/>
      <c r="L637" s="322"/>
      <c r="M637" s="322"/>
      <c r="N637" s="322"/>
      <c r="O637" s="322"/>
      <c r="P637" s="322"/>
      <c r="Q637" s="322"/>
      <c r="R637" s="322"/>
      <c r="S637" s="322"/>
      <c r="T637" s="322"/>
      <c r="U637" s="322"/>
      <c r="V637" s="322"/>
      <c r="W637" s="322"/>
      <c r="X637" s="322"/>
      <c r="Y637" s="322"/>
      <c r="Z637" s="322"/>
      <c r="AA637" s="322"/>
      <c r="AB637" s="322"/>
      <c r="AC637" s="322"/>
      <c r="AD637" s="322"/>
      <c r="AE637" s="322"/>
      <c r="AF637" s="322"/>
      <c r="AG637" s="322"/>
      <c r="AH637" s="322"/>
      <c r="AI637" s="322"/>
      <c r="AJ637" s="322"/>
      <c r="AK637" s="322"/>
    </row>
    <row r="638" spans="1:37" ht="18" customHeight="1">
      <c r="A638" s="322"/>
      <c r="B638" s="322"/>
      <c r="C638" s="451"/>
      <c r="D638" s="322"/>
      <c r="E638" s="322"/>
      <c r="F638" s="322"/>
      <c r="G638" s="322"/>
      <c r="H638" s="322"/>
      <c r="I638" s="322"/>
      <c r="J638" s="322"/>
      <c r="K638" s="322"/>
      <c r="L638" s="322"/>
      <c r="M638" s="322"/>
      <c r="N638" s="322"/>
      <c r="O638" s="322"/>
      <c r="P638" s="322"/>
      <c r="Q638" s="322"/>
      <c r="R638" s="322"/>
      <c r="S638" s="322"/>
      <c r="T638" s="322"/>
      <c r="U638" s="322"/>
      <c r="V638" s="322"/>
      <c r="W638" s="322"/>
      <c r="X638" s="322"/>
      <c r="Y638" s="322"/>
      <c r="Z638" s="322"/>
      <c r="AA638" s="322"/>
      <c r="AB638" s="322"/>
      <c r="AC638" s="322"/>
      <c r="AD638" s="322"/>
      <c r="AE638" s="322"/>
      <c r="AF638" s="322"/>
      <c r="AG638" s="322"/>
      <c r="AH638" s="322"/>
      <c r="AI638" s="322"/>
      <c r="AJ638" s="322"/>
      <c r="AK638" s="322"/>
    </row>
    <row r="639" spans="1:37" ht="18" customHeight="1">
      <c r="A639" s="322"/>
      <c r="B639" s="322"/>
      <c r="C639" s="451"/>
      <c r="D639" s="322"/>
      <c r="E639" s="322"/>
      <c r="F639" s="322"/>
      <c r="G639" s="322"/>
      <c r="H639" s="322"/>
      <c r="I639" s="322"/>
      <c r="J639" s="322"/>
      <c r="K639" s="322"/>
      <c r="L639" s="322"/>
      <c r="M639" s="322"/>
      <c r="N639" s="322"/>
      <c r="O639" s="322"/>
      <c r="P639" s="322"/>
      <c r="Q639" s="322"/>
      <c r="R639" s="322"/>
      <c r="S639" s="322"/>
      <c r="T639" s="322"/>
      <c r="U639" s="322"/>
      <c r="V639" s="322"/>
      <c r="W639" s="322"/>
      <c r="X639" s="322"/>
      <c r="Y639" s="322"/>
      <c r="Z639" s="322"/>
      <c r="AA639" s="322"/>
      <c r="AB639" s="322"/>
      <c r="AC639" s="322"/>
      <c r="AD639" s="322"/>
      <c r="AE639" s="322"/>
      <c r="AF639" s="322"/>
      <c r="AG639" s="322"/>
      <c r="AH639" s="322"/>
      <c r="AI639" s="322"/>
      <c r="AJ639" s="322"/>
      <c r="AK639" s="322"/>
    </row>
    <row r="640" spans="1:37" ht="18" customHeight="1">
      <c r="A640" s="322"/>
      <c r="B640" s="322"/>
      <c r="C640" s="451"/>
      <c r="D640" s="322"/>
      <c r="E640" s="322"/>
      <c r="F640" s="322"/>
      <c r="G640" s="322"/>
      <c r="H640" s="322"/>
      <c r="I640" s="322"/>
      <c r="J640" s="322"/>
      <c r="K640" s="322"/>
      <c r="L640" s="322"/>
      <c r="M640" s="322"/>
      <c r="N640" s="322"/>
      <c r="O640" s="322"/>
      <c r="P640" s="322"/>
      <c r="Q640" s="322"/>
      <c r="R640" s="322"/>
      <c r="S640" s="322"/>
      <c r="T640" s="322"/>
      <c r="U640" s="322"/>
      <c r="V640" s="322"/>
      <c r="W640" s="322"/>
      <c r="X640" s="322"/>
      <c r="Y640" s="322"/>
      <c r="Z640" s="322"/>
      <c r="AA640" s="322"/>
      <c r="AB640" s="322"/>
      <c r="AC640" s="322"/>
      <c r="AD640" s="322"/>
      <c r="AE640" s="322"/>
      <c r="AF640" s="322"/>
      <c r="AG640" s="322"/>
      <c r="AH640" s="322"/>
      <c r="AI640" s="322"/>
      <c r="AJ640" s="322"/>
      <c r="AK640" s="322"/>
    </row>
    <row r="641" spans="1:37" ht="18" customHeight="1">
      <c r="A641" s="322"/>
      <c r="B641" s="322"/>
      <c r="C641" s="451"/>
      <c r="D641" s="322"/>
      <c r="E641" s="322"/>
      <c r="F641" s="322"/>
      <c r="G641" s="322"/>
      <c r="H641" s="322"/>
      <c r="I641" s="322"/>
      <c r="J641" s="322"/>
      <c r="K641" s="322"/>
      <c r="L641" s="322"/>
      <c r="M641" s="322"/>
      <c r="N641" s="322"/>
      <c r="O641" s="322"/>
      <c r="P641" s="322"/>
      <c r="Q641" s="322"/>
      <c r="R641" s="322"/>
      <c r="S641" s="322"/>
      <c r="T641" s="322"/>
      <c r="U641" s="322"/>
      <c r="V641" s="322"/>
      <c r="W641" s="322"/>
      <c r="X641" s="322"/>
      <c r="Y641" s="322"/>
      <c r="Z641" s="322"/>
      <c r="AA641" s="322"/>
      <c r="AB641" s="322"/>
      <c r="AC641" s="322"/>
      <c r="AD641" s="322"/>
      <c r="AE641" s="322"/>
      <c r="AF641" s="322"/>
      <c r="AG641" s="322"/>
      <c r="AH641" s="322"/>
      <c r="AI641" s="322"/>
      <c r="AJ641" s="322"/>
      <c r="AK641" s="322"/>
    </row>
    <row r="642" spans="1:37" ht="18" customHeight="1">
      <c r="A642" s="322"/>
      <c r="B642" s="322"/>
      <c r="C642" s="451"/>
      <c r="D642" s="322"/>
      <c r="E642" s="322"/>
      <c r="F642" s="322"/>
      <c r="G642" s="322"/>
      <c r="H642" s="322"/>
      <c r="I642" s="322"/>
      <c r="J642" s="322"/>
      <c r="K642" s="322"/>
      <c r="L642" s="322"/>
      <c r="M642" s="322"/>
      <c r="N642" s="322"/>
      <c r="O642" s="322"/>
      <c r="P642" s="322"/>
      <c r="Q642" s="322"/>
      <c r="R642" s="322"/>
      <c r="S642" s="322"/>
      <c r="T642" s="322"/>
      <c r="U642" s="322"/>
      <c r="V642" s="322"/>
      <c r="W642" s="322"/>
      <c r="X642" s="322"/>
      <c r="Y642" s="322"/>
      <c r="Z642" s="322"/>
      <c r="AA642" s="322"/>
      <c r="AB642" s="322"/>
      <c r="AC642" s="322"/>
      <c r="AD642" s="322"/>
      <c r="AE642" s="322"/>
      <c r="AF642" s="322"/>
      <c r="AG642" s="322"/>
      <c r="AH642" s="322"/>
      <c r="AI642" s="322"/>
      <c r="AJ642" s="322"/>
      <c r="AK642" s="322"/>
    </row>
    <row r="643" spans="1:37" ht="18" customHeight="1">
      <c r="A643" s="322"/>
      <c r="B643" s="322"/>
      <c r="C643" s="451"/>
      <c r="D643" s="322"/>
      <c r="E643" s="322"/>
      <c r="F643" s="322"/>
      <c r="G643" s="322"/>
      <c r="H643" s="322"/>
      <c r="I643" s="322"/>
      <c r="J643" s="322"/>
      <c r="K643" s="322"/>
      <c r="L643" s="322"/>
      <c r="M643" s="322"/>
      <c r="N643" s="322"/>
      <c r="O643" s="322"/>
      <c r="P643" s="322"/>
      <c r="Q643" s="322"/>
      <c r="R643" s="322"/>
      <c r="S643" s="322"/>
      <c r="T643" s="322"/>
      <c r="U643" s="322"/>
      <c r="V643" s="322"/>
      <c r="W643" s="322"/>
      <c r="X643" s="322"/>
      <c r="Y643" s="322"/>
      <c r="Z643" s="322"/>
      <c r="AA643" s="322"/>
      <c r="AB643" s="322"/>
      <c r="AC643" s="322"/>
      <c r="AD643" s="322"/>
      <c r="AE643" s="322"/>
      <c r="AF643" s="322"/>
      <c r="AG643" s="322"/>
      <c r="AH643" s="322"/>
      <c r="AI643" s="322"/>
      <c r="AJ643" s="322"/>
      <c r="AK643" s="322"/>
    </row>
    <row r="644" spans="1:37" ht="18" customHeight="1">
      <c r="A644" s="322"/>
      <c r="B644" s="322"/>
      <c r="C644" s="451"/>
      <c r="D644" s="322"/>
      <c r="E644" s="322"/>
      <c r="F644" s="322"/>
      <c r="G644" s="322"/>
      <c r="H644" s="322"/>
      <c r="I644" s="322"/>
      <c r="J644" s="322"/>
      <c r="K644" s="322"/>
      <c r="L644" s="322"/>
      <c r="M644" s="322"/>
      <c r="N644" s="322"/>
      <c r="O644" s="322"/>
      <c r="P644" s="322"/>
      <c r="Q644" s="322"/>
      <c r="R644" s="322"/>
      <c r="S644" s="322"/>
      <c r="T644" s="322"/>
      <c r="U644" s="322"/>
      <c r="V644" s="322"/>
      <c r="W644" s="322"/>
      <c r="X644" s="322"/>
      <c r="Y644" s="322"/>
      <c r="Z644" s="322"/>
      <c r="AA644" s="322"/>
      <c r="AB644" s="322"/>
      <c r="AC644" s="322"/>
      <c r="AD644" s="322"/>
      <c r="AE644" s="322"/>
      <c r="AF644" s="322"/>
      <c r="AG644" s="322"/>
      <c r="AH644" s="322"/>
      <c r="AI644" s="322"/>
      <c r="AJ644" s="322"/>
      <c r="AK644" s="322"/>
    </row>
    <row r="645" spans="1:37" ht="18" customHeight="1">
      <c r="A645" s="322"/>
      <c r="B645" s="322"/>
      <c r="C645" s="451"/>
      <c r="D645" s="322"/>
      <c r="E645" s="322"/>
      <c r="F645" s="322"/>
      <c r="G645" s="322"/>
      <c r="H645" s="322"/>
      <c r="I645" s="322"/>
      <c r="J645" s="322"/>
      <c r="K645" s="322"/>
      <c r="L645" s="322"/>
      <c r="M645" s="322"/>
      <c r="N645" s="322"/>
      <c r="O645" s="322"/>
      <c r="P645" s="322"/>
      <c r="Q645" s="322"/>
      <c r="R645" s="322"/>
      <c r="S645" s="322"/>
      <c r="T645" s="322"/>
      <c r="U645" s="322"/>
      <c r="V645" s="322"/>
      <c r="W645" s="322"/>
      <c r="X645" s="322"/>
      <c r="Y645" s="322"/>
      <c r="Z645" s="322"/>
      <c r="AA645" s="322"/>
      <c r="AB645" s="322"/>
      <c r="AC645" s="322"/>
      <c r="AD645" s="322"/>
      <c r="AE645" s="322"/>
      <c r="AF645" s="322"/>
      <c r="AG645" s="322"/>
      <c r="AH645" s="322"/>
      <c r="AI645" s="322"/>
      <c r="AJ645" s="322"/>
      <c r="AK645" s="322"/>
    </row>
    <row r="646" spans="1:37" ht="18" customHeight="1">
      <c r="A646" s="322"/>
      <c r="B646" s="322"/>
      <c r="C646" s="451"/>
      <c r="D646" s="322"/>
      <c r="E646" s="322"/>
      <c r="F646" s="322"/>
      <c r="G646" s="322"/>
      <c r="H646" s="322"/>
      <c r="I646" s="322"/>
      <c r="J646" s="322"/>
      <c r="K646" s="322"/>
      <c r="L646" s="322"/>
      <c r="M646" s="322"/>
      <c r="N646" s="322"/>
      <c r="O646" s="322"/>
      <c r="P646" s="322"/>
      <c r="Q646" s="322"/>
      <c r="R646" s="322"/>
      <c r="S646" s="322"/>
      <c r="T646" s="322"/>
      <c r="U646" s="322"/>
      <c r="V646" s="322"/>
      <c r="W646" s="322"/>
      <c r="X646" s="322"/>
      <c r="Y646" s="322"/>
      <c r="Z646" s="322"/>
      <c r="AA646" s="322"/>
      <c r="AB646" s="322"/>
      <c r="AC646" s="322"/>
      <c r="AD646" s="322"/>
      <c r="AE646" s="322"/>
      <c r="AF646" s="322"/>
      <c r="AG646" s="322"/>
      <c r="AH646" s="322"/>
      <c r="AI646" s="322"/>
      <c r="AJ646" s="322"/>
      <c r="AK646" s="322"/>
    </row>
    <row r="647" spans="1:37" ht="18" customHeight="1">
      <c r="A647" s="322"/>
      <c r="B647" s="322"/>
      <c r="C647" s="451"/>
      <c r="D647" s="322"/>
      <c r="E647" s="322"/>
      <c r="F647" s="322"/>
      <c r="G647" s="322"/>
      <c r="H647" s="322"/>
      <c r="I647" s="322"/>
      <c r="J647" s="322"/>
      <c r="K647" s="322"/>
      <c r="L647" s="322"/>
      <c r="M647" s="322"/>
      <c r="N647" s="322"/>
      <c r="O647" s="322"/>
      <c r="P647" s="322"/>
      <c r="Q647" s="322"/>
      <c r="R647" s="322"/>
      <c r="S647" s="322"/>
      <c r="T647" s="322"/>
      <c r="U647" s="322"/>
      <c r="V647" s="322"/>
      <c r="W647" s="322"/>
      <c r="X647" s="322"/>
      <c r="Y647" s="322"/>
      <c r="Z647" s="322"/>
      <c r="AA647" s="322"/>
      <c r="AB647" s="322"/>
      <c r="AC647" s="322"/>
      <c r="AD647" s="322"/>
      <c r="AE647" s="322"/>
      <c r="AF647" s="322"/>
      <c r="AG647" s="322"/>
      <c r="AH647" s="322"/>
      <c r="AI647" s="322"/>
      <c r="AJ647" s="322"/>
      <c r="AK647" s="322"/>
    </row>
    <row r="648" spans="1:37" ht="18" customHeight="1">
      <c r="A648" s="322"/>
      <c r="B648" s="322"/>
      <c r="C648" s="451"/>
      <c r="D648" s="322"/>
      <c r="E648" s="322"/>
      <c r="F648" s="322"/>
      <c r="G648" s="322"/>
      <c r="H648" s="322"/>
      <c r="I648" s="322"/>
      <c r="J648" s="322"/>
      <c r="K648" s="322"/>
      <c r="L648" s="322"/>
      <c r="M648" s="322"/>
      <c r="N648" s="322"/>
      <c r="O648" s="322"/>
      <c r="P648" s="322"/>
      <c r="Q648" s="322"/>
      <c r="R648" s="322"/>
      <c r="S648" s="322"/>
      <c r="T648" s="322"/>
      <c r="U648" s="322"/>
      <c r="V648" s="322"/>
      <c r="W648" s="322"/>
      <c r="X648" s="322"/>
      <c r="Y648" s="322"/>
      <c r="Z648" s="322"/>
      <c r="AA648" s="322"/>
      <c r="AB648" s="322"/>
      <c r="AC648" s="322"/>
      <c r="AD648" s="322"/>
      <c r="AE648" s="322"/>
      <c r="AF648" s="322"/>
      <c r="AG648" s="322"/>
      <c r="AH648" s="322"/>
      <c r="AI648" s="322"/>
      <c r="AJ648" s="322"/>
      <c r="AK648" s="322"/>
    </row>
    <row r="649" spans="1:37" ht="18" customHeight="1">
      <c r="A649" s="322"/>
      <c r="B649" s="322"/>
      <c r="C649" s="451"/>
      <c r="D649" s="322"/>
      <c r="E649" s="322"/>
      <c r="F649" s="322"/>
      <c r="G649" s="322"/>
      <c r="H649" s="322"/>
      <c r="I649" s="322"/>
      <c r="J649" s="322"/>
      <c r="K649" s="322"/>
      <c r="L649" s="322"/>
      <c r="M649" s="322"/>
      <c r="N649" s="322"/>
      <c r="O649" s="322"/>
      <c r="P649" s="322"/>
      <c r="Q649" s="322"/>
      <c r="R649" s="322"/>
      <c r="S649" s="322"/>
      <c r="T649" s="322"/>
      <c r="U649" s="322"/>
      <c r="V649" s="322"/>
      <c r="W649" s="322"/>
      <c r="X649" s="322"/>
      <c r="Y649" s="322"/>
      <c r="Z649" s="322"/>
      <c r="AA649" s="322"/>
      <c r="AB649" s="322"/>
      <c r="AC649" s="322"/>
      <c r="AD649" s="322"/>
      <c r="AE649" s="322"/>
      <c r="AF649" s="322"/>
      <c r="AG649" s="322"/>
      <c r="AH649" s="322"/>
      <c r="AI649" s="322"/>
      <c r="AJ649" s="322"/>
      <c r="AK649" s="322"/>
    </row>
    <row r="650" spans="1:37" ht="18" customHeight="1">
      <c r="A650" s="322"/>
      <c r="B650" s="322"/>
      <c r="C650" s="451"/>
      <c r="D650" s="322"/>
      <c r="E650" s="322"/>
      <c r="F650" s="322"/>
      <c r="G650" s="322"/>
      <c r="H650" s="322"/>
      <c r="I650" s="322"/>
      <c r="J650" s="322"/>
      <c r="K650" s="322"/>
      <c r="L650" s="322"/>
      <c r="M650" s="322"/>
      <c r="N650" s="322"/>
      <c r="O650" s="322"/>
      <c r="P650" s="322"/>
      <c r="Q650" s="322"/>
      <c r="R650" s="322"/>
      <c r="S650" s="322"/>
      <c r="T650" s="322"/>
      <c r="U650" s="322"/>
      <c r="V650" s="322"/>
      <c r="W650" s="322"/>
      <c r="X650" s="322"/>
      <c r="Y650" s="322"/>
      <c r="Z650" s="322"/>
      <c r="AA650" s="322"/>
      <c r="AB650" s="322"/>
      <c r="AC650" s="322"/>
      <c r="AD650" s="322"/>
      <c r="AE650" s="322"/>
      <c r="AF650" s="322"/>
      <c r="AG650" s="322"/>
      <c r="AH650" s="322"/>
      <c r="AI650" s="322"/>
      <c r="AJ650" s="322"/>
      <c r="AK650" s="322"/>
    </row>
    <row r="651" spans="1:37" ht="18" customHeight="1">
      <c r="A651" s="322"/>
      <c r="B651" s="322"/>
      <c r="C651" s="451"/>
      <c r="D651" s="322"/>
      <c r="E651" s="322"/>
      <c r="F651" s="322"/>
      <c r="G651" s="322"/>
      <c r="H651" s="322"/>
      <c r="I651" s="322"/>
      <c r="J651" s="322"/>
      <c r="K651" s="322"/>
      <c r="L651" s="322"/>
      <c r="M651" s="322"/>
      <c r="N651" s="322"/>
      <c r="O651" s="322"/>
      <c r="P651" s="322"/>
      <c r="Q651" s="322"/>
      <c r="R651" s="322"/>
      <c r="S651" s="322"/>
      <c r="T651" s="322"/>
      <c r="U651" s="322"/>
      <c r="V651" s="322"/>
      <c r="W651" s="322"/>
      <c r="X651" s="322"/>
      <c r="Y651" s="322"/>
      <c r="Z651" s="322"/>
      <c r="AA651" s="322"/>
      <c r="AB651" s="322"/>
      <c r="AC651" s="322"/>
      <c r="AD651" s="322"/>
      <c r="AE651" s="322"/>
      <c r="AF651" s="322"/>
      <c r="AG651" s="322"/>
      <c r="AH651" s="322"/>
      <c r="AI651" s="322"/>
      <c r="AJ651" s="322"/>
      <c r="AK651" s="322"/>
    </row>
    <row r="652" spans="1:37" ht="18" customHeight="1">
      <c r="A652" s="322"/>
      <c r="B652" s="322"/>
      <c r="C652" s="451"/>
      <c r="D652" s="322"/>
      <c r="E652" s="322"/>
      <c r="F652" s="322"/>
      <c r="G652" s="322"/>
      <c r="H652" s="322"/>
      <c r="I652" s="322"/>
      <c r="J652" s="322"/>
      <c r="K652" s="322"/>
      <c r="L652" s="322"/>
      <c r="M652" s="322"/>
      <c r="N652" s="322"/>
      <c r="O652" s="322"/>
      <c r="P652" s="322"/>
      <c r="Q652" s="322"/>
      <c r="R652" s="322"/>
      <c r="S652" s="322"/>
      <c r="T652" s="322"/>
      <c r="U652" s="322"/>
      <c r="V652" s="322"/>
      <c r="W652" s="322"/>
      <c r="X652" s="322"/>
      <c r="Y652" s="322"/>
      <c r="Z652" s="322"/>
      <c r="AA652" s="322"/>
      <c r="AB652" s="322"/>
      <c r="AC652" s="322"/>
      <c r="AD652" s="322"/>
      <c r="AE652" s="322"/>
      <c r="AF652" s="322"/>
      <c r="AG652" s="322"/>
      <c r="AH652" s="322"/>
      <c r="AI652" s="322"/>
      <c r="AJ652" s="322"/>
      <c r="AK652" s="322"/>
    </row>
    <row r="653" spans="1:37" ht="18" customHeight="1">
      <c r="A653" s="322"/>
      <c r="B653" s="322"/>
      <c r="C653" s="451"/>
      <c r="D653" s="322"/>
      <c r="E653" s="322"/>
      <c r="F653" s="322"/>
      <c r="G653" s="322"/>
      <c r="H653" s="322"/>
      <c r="I653" s="322"/>
      <c r="J653" s="322"/>
      <c r="K653" s="322"/>
      <c r="L653" s="322"/>
      <c r="M653" s="322"/>
      <c r="N653" s="322"/>
      <c r="O653" s="322"/>
      <c r="P653" s="322"/>
      <c r="Q653" s="322"/>
      <c r="R653" s="322"/>
      <c r="S653" s="322"/>
      <c r="T653" s="322"/>
      <c r="U653" s="322"/>
      <c r="V653" s="322"/>
      <c r="W653" s="322"/>
      <c r="X653" s="322"/>
      <c r="Y653" s="322"/>
      <c r="Z653" s="322"/>
      <c r="AA653" s="322"/>
      <c r="AB653" s="322"/>
      <c r="AC653" s="322"/>
      <c r="AD653" s="322"/>
      <c r="AE653" s="322"/>
      <c r="AF653" s="322"/>
      <c r="AG653" s="322"/>
      <c r="AH653" s="322"/>
      <c r="AI653" s="322"/>
      <c r="AJ653" s="322"/>
      <c r="AK653" s="322"/>
    </row>
    <row r="654" spans="1:37" ht="18" customHeight="1">
      <c r="A654" s="322"/>
      <c r="B654" s="322"/>
      <c r="C654" s="451"/>
      <c r="D654" s="322"/>
      <c r="E654" s="322"/>
      <c r="F654" s="322"/>
      <c r="G654" s="322"/>
      <c r="H654" s="322"/>
      <c r="I654" s="322"/>
      <c r="J654" s="322"/>
      <c r="K654" s="322"/>
      <c r="L654" s="322"/>
      <c r="M654" s="322"/>
      <c r="N654" s="322"/>
      <c r="O654" s="322"/>
      <c r="P654" s="322"/>
      <c r="Q654" s="322"/>
      <c r="R654" s="322"/>
      <c r="S654" s="322"/>
      <c r="T654" s="322"/>
      <c r="U654" s="322"/>
      <c r="V654" s="322"/>
      <c r="W654" s="322"/>
      <c r="X654" s="322"/>
      <c r="Y654" s="322"/>
      <c r="Z654" s="322"/>
      <c r="AA654" s="322"/>
      <c r="AB654" s="322"/>
      <c r="AC654" s="322"/>
      <c r="AD654" s="322"/>
      <c r="AE654" s="322"/>
      <c r="AF654" s="322"/>
      <c r="AG654" s="322"/>
      <c r="AH654" s="322"/>
      <c r="AI654" s="322"/>
      <c r="AJ654" s="322"/>
      <c r="AK654" s="322"/>
    </row>
    <row r="655" spans="1:37" ht="18" customHeight="1">
      <c r="A655" s="322"/>
      <c r="B655" s="322"/>
      <c r="C655" s="451"/>
      <c r="D655" s="322"/>
      <c r="E655" s="322"/>
      <c r="F655" s="322"/>
      <c r="G655" s="322"/>
      <c r="H655" s="322"/>
      <c r="I655" s="322"/>
      <c r="J655" s="322"/>
      <c r="K655" s="322"/>
      <c r="L655" s="322"/>
      <c r="M655" s="322"/>
      <c r="N655" s="322"/>
      <c r="O655" s="322"/>
      <c r="P655" s="322"/>
      <c r="Q655" s="322"/>
      <c r="R655" s="322"/>
      <c r="S655" s="322"/>
      <c r="T655" s="322"/>
      <c r="U655" s="322"/>
      <c r="V655" s="322"/>
      <c r="W655" s="322"/>
      <c r="X655" s="322"/>
      <c r="Y655" s="322"/>
      <c r="Z655" s="322"/>
      <c r="AA655" s="322"/>
      <c r="AB655" s="322"/>
      <c r="AC655" s="322"/>
      <c r="AD655" s="322"/>
      <c r="AE655" s="322"/>
      <c r="AF655" s="322"/>
      <c r="AG655" s="322"/>
      <c r="AH655" s="322"/>
      <c r="AI655" s="322"/>
      <c r="AJ655" s="322"/>
      <c r="AK655" s="322"/>
    </row>
    <row r="656" spans="1:37" ht="18" customHeight="1">
      <c r="A656" s="322"/>
      <c r="B656" s="322"/>
      <c r="C656" s="451"/>
      <c r="D656" s="322"/>
      <c r="E656" s="322"/>
      <c r="F656" s="322"/>
      <c r="G656" s="322"/>
      <c r="H656" s="322"/>
      <c r="I656" s="322"/>
      <c r="J656" s="322"/>
      <c r="K656" s="322"/>
      <c r="L656" s="322"/>
      <c r="M656" s="322"/>
      <c r="N656" s="322"/>
      <c r="O656" s="322"/>
      <c r="P656" s="322"/>
      <c r="Q656" s="322"/>
      <c r="R656" s="322"/>
      <c r="S656" s="322"/>
      <c r="T656" s="322"/>
      <c r="U656" s="322"/>
      <c r="V656" s="322"/>
      <c r="W656" s="322"/>
      <c r="X656" s="322"/>
      <c r="Y656" s="322"/>
      <c r="Z656" s="322"/>
      <c r="AA656" s="322"/>
      <c r="AB656" s="322"/>
      <c r="AC656" s="322"/>
      <c r="AD656" s="322"/>
      <c r="AE656" s="322"/>
      <c r="AF656" s="322"/>
      <c r="AG656" s="322"/>
      <c r="AH656" s="322"/>
      <c r="AI656" s="322"/>
      <c r="AJ656" s="322"/>
      <c r="AK656" s="322"/>
    </row>
    <row r="657" spans="1:37" ht="18" customHeight="1">
      <c r="A657" s="322"/>
      <c r="B657" s="322"/>
      <c r="C657" s="451"/>
      <c r="D657" s="322"/>
      <c r="E657" s="322"/>
      <c r="F657" s="322"/>
      <c r="G657" s="322"/>
      <c r="H657" s="322"/>
      <c r="I657" s="322"/>
      <c r="J657" s="322"/>
      <c r="K657" s="322"/>
      <c r="L657" s="322"/>
      <c r="M657" s="322"/>
      <c r="N657" s="322"/>
      <c r="O657" s="322"/>
      <c r="P657" s="322"/>
      <c r="Q657" s="322"/>
      <c r="R657" s="322"/>
      <c r="S657" s="322"/>
      <c r="T657" s="322"/>
      <c r="U657" s="322"/>
      <c r="V657" s="322"/>
      <c r="W657" s="322"/>
      <c r="X657" s="322"/>
      <c r="Y657" s="322"/>
      <c r="Z657" s="322"/>
      <c r="AA657" s="322"/>
      <c r="AB657" s="322"/>
      <c r="AC657" s="322"/>
      <c r="AD657" s="322"/>
      <c r="AE657" s="322"/>
      <c r="AF657" s="322"/>
      <c r="AG657" s="322"/>
      <c r="AH657" s="322"/>
      <c r="AI657" s="322"/>
      <c r="AJ657" s="322"/>
      <c r="AK657" s="322"/>
    </row>
    <row r="658" spans="1:37" ht="18" customHeight="1">
      <c r="A658" s="322"/>
      <c r="B658" s="322"/>
      <c r="C658" s="451"/>
      <c r="D658" s="322"/>
      <c r="E658" s="322"/>
      <c r="F658" s="322"/>
      <c r="G658" s="322"/>
      <c r="H658" s="322"/>
      <c r="I658" s="322"/>
      <c r="J658" s="322"/>
      <c r="K658" s="322"/>
      <c r="L658" s="322"/>
      <c r="M658" s="322"/>
      <c r="N658" s="322"/>
      <c r="O658" s="322"/>
      <c r="P658" s="322"/>
      <c r="Q658" s="322"/>
      <c r="R658" s="322"/>
      <c r="S658" s="322"/>
      <c r="T658" s="322"/>
      <c r="U658" s="322"/>
      <c r="V658" s="322"/>
      <c r="W658" s="322"/>
      <c r="X658" s="322"/>
      <c r="Y658" s="322"/>
      <c r="Z658" s="322"/>
      <c r="AA658" s="322"/>
      <c r="AB658" s="322"/>
      <c r="AC658" s="322"/>
      <c r="AD658" s="322"/>
      <c r="AE658" s="322"/>
      <c r="AF658" s="322"/>
      <c r="AG658" s="322"/>
      <c r="AH658" s="322"/>
      <c r="AI658" s="322"/>
      <c r="AJ658" s="322"/>
      <c r="AK658" s="322"/>
    </row>
    <row r="659" spans="1:37" ht="18" customHeight="1">
      <c r="A659" s="322"/>
      <c r="B659" s="322"/>
      <c r="C659" s="451"/>
      <c r="D659" s="322"/>
      <c r="E659" s="322"/>
      <c r="F659" s="322"/>
      <c r="G659" s="322"/>
      <c r="H659" s="322"/>
      <c r="I659" s="322"/>
      <c r="J659" s="322"/>
      <c r="K659" s="322"/>
      <c r="L659" s="322"/>
      <c r="M659" s="322"/>
      <c r="N659" s="322"/>
      <c r="O659" s="322"/>
      <c r="P659" s="322"/>
      <c r="Q659" s="322"/>
      <c r="R659" s="322"/>
      <c r="S659" s="322"/>
      <c r="T659" s="322"/>
      <c r="U659" s="322"/>
      <c r="V659" s="322"/>
      <c r="W659" s="322"/>
      <c r="X659" s="322"/>
      <c r="Y659" s="322"/>
      <c r="Z659" s="322"/>
      <c r="AA659" s="322"/>
      <c r="AB659" s="322"/>
      <c r="AC659" s="322"/>
      <c r="AD659" s="322"/>
      <c r="AE659" s="322"/>
      <c r="AF659" s="322"/>
      <c r="AG659" s="322"/>
      <c r="AH659" s="322"/>
      <c r="AI659" s="322"/>
      <c r="AJ659" s="322"/>
      <c r="AK659" s="322"/>
    </row>
    <row r="660" spans="1:37" ht="18" customHeight="1">
      <c r="A660" s="322"/>
      <c r="B660" s="322"/>
      <c r="C660" s="451"/>
      <c r="D660" s="322"/>
      <c r="E660" s="322"/>
      <c r="F660" s="322"/>
      <c r="G660" s="322"/>
      <c r="H660" s="322"/>
      <c r="I660" s="322"/>
      <c r="J660" s="322"/>
      <c r="K660" s="322"/>
      <c r="L660" s="322"/>
      <c r="M660" s="322"/>
      <c r="N660" s="322"/>
      <c r="O660" s="322"/>
      <c r="P660" s="322"/>
      <c r="Q660" s="322"/>
      <c r="R660" s="322"/>
      <c r="S660" s="322"/>
      <c r="T660" s="322"/>
      <c r="U660" s="322"/>
      <c r="V660" s="322"/>
      <c r="W660" s="322"/>
      <c r="X660" s="322"/>
      <c r="Y660" s="322"/>
      <c r="Z660" s="322"/>
      <c r="AA660" s="322"/>
      <c r="AB660" s="322"/>
      <c r="AC660" s="322"/>
      <c r="AD660" s="322"/>
      <c r="AE660" s="322"/>
      <c r="AF660" s="322"/>
      <c r="AG660" s="322"/>
      <c r="AH660" s="322"/>
      <c r="AI660" s="322"/>
      <c r="AJ660" s="322"/>
      <c r="AK660" s="322"/>
    </row>
    <row r="661" spans="1:37" ht="18" customHeight="1">
      <c r="A661" s="322"/>
      <c r="B661" s="322"/>
      <c r="C661" s="451"/>
      <c r="D661" s="322"/>
      <c r="E661" s="322"/>
      <c r="F661" s="322"/>
      <c r="G661" s="322"/>
      <c r="H661" s="322"/>
      <c r="I661" s="322"/>
      <c r="J661" s="322"/>
      <c r="K661" s="322"/>
      <c r="L661" s="322"/>
      <c r="M661" s="322"/>
      <c r="N661" s="322"/>
      <c r="O661" s="322"/>
      <c r="P661" s="322"/>
      <c r="Q661" s="322"/>
      <c r="R661" s="322"/>
      <c r="S661" s="322"/>
      <c r="T661" s="322"/>
      <c r="U661" s="322"/>
      <c r="V661" s="322"/>
      <c r="W661" s="322"/>
      <c r="X661" s="322"/>
      <c r="Y661" s="322"/>
      <c r="Z661" s="322"/>
      <c r="AA661" s="322"/>
      <c r="AB661" s="322"/>
      <c r="AC661" s="322"/>
      <c r="AD661" s="322"/>
      <c r="AE661" s="322"/>
      <c r="AF661" s="322"/>
      <c r="AG661" s="322"/>
      <c r="AH661" s="322"/>
      <c r="AI661" s="322"/>
      <c r="AJ661" s="322"/>
      <c r="AK661" s="322"/>
    </row>
    <row r="662" spans="1:37" ht="18" customHeight="1">
      <c r="A662" s="322"/>
      <c r="B662" s="322"/>
      <c r="C662" s="451"/>
      <c r="D662" s="322"/>
      <c r="E662" s="322"/>
      <c r="F662" s="322"/>
      <c r="G662" s="322"/>
      <c r="H662" s="322"/>
      <c r="I662" s="322"/>
      <c r="J662" s="322"/>
      <c r="K662" s="322"/>
      <c r="L662" s="322"/>
      <c r="M662" s="322"/>
      <c r="N662" s="322"/>
      <c r="O662" s="322"/>
      <c r="P662" s="322"/>
      <c r="Q662" s="322"/>
      <c r="R662" s="322"/>
      <c r="S662" s="322"/>
      <c r="T662" s="322"/>
      <c r="U662" s="322"/>
      <c r="V662" s="322"/>
      <c r="W662" s="322"/>
      <c r="X662" s="322"/>
      <c r="Y662" s="322"/>
      <c r="Z662" s="322"/>
      <c r="AA662" s="322"/>
      <c r="AB662" s="322"/>
      <c r="AC662" s="322"/>
      <c r="AD662" s="322"/>
      <c r="AE662" s="322"/>
      <c r="AF662" s="322"/>
      <c r="AG662" s="322"/>
      <c r="AH662" s="322"/>
      <c r="AI662" s="322"/>
      <c r="AJ662" s="322"/>
      <c r="AK662" s="322"/>
    </row>
    <row r="663" spans="1:37" ht="18" customHeight="1">
      <c r="A663" s="322"/>
      <c r="B663" s="322"/>
      <c r="C663" s="451"/>
      <c r="D663" s="322"/>
      <c r="E663" s="322"/>
      <c r="F663" s="322"/>
      <c r="G663" s="322"/>
      <c r="H663" s="322"/>
      <c r="I663" s="322"/>
      <c r="J663" s="322"/>
      <c r="K663" s="322"/>
      <c r="L663" s="322"/>
      <c r="M663" s="322"/>
      <c r="N663" s="322"/>
      <c r="O663" s="322"/>
      <c r="P663" s="322"/>
      <c r="Q663" s="322"/>
      <c r="R663" s="322"/>
      <c r="S663" s="322"/>
      <c r="T663" s="322"/>
      <c r="U663" s="322"/>
      <c r="V663" s="322"/>
      <c r="W663" s="322"/>
      <c r="X663" s="322"/>
      <c r="Y663" s="322"/>
      <c r="Z663" s="322"/>
      <c r="AA663" s="322"/>
      <c r="AB663" s="322"/>
      <c r="AC663" s="322"/>
      <c r="AD663" s="322"/>
      <c r="AE663" s="322"/>
      <c r="AF663" s="322"/>
      <c r="AG663" s="322"/>
      <c r="AH663" s="322"/>
      <c r="AI663" s="322"/>
      <c r="AJ663" s="322"/>
      <c r="AK663" s="322"/>
    </row>
    <row r="664" spans="1:37" ht="18" customHeight="1">
      <c r="A664" s="322"/>
      <c r="B664" s="322"/>
      <c r="C664" s="451"/>
      <c r="D664" s="322"/>
      <c r="E664" s="322"/>
      <c r="F664" s="322"/>
      <c r="G664" s="322"/>
      <c r="H664" s="322"/>
      <c r="I664" s="322"/>
      <c r="J664" s="322"/>
      <c r="K664" s="322"/>
      <c r="L664" s="322"/>
      <c r="M664" s="322"/>
      <c r="N664" s="322"/>
      <c r="O664" s="322"/>
      <c r="P664" s="322"/>
      <c r="Q664" s="322"/>
      <c r="R664" s="322"/>
      <c r="S664" s="322"/>
      <c r="T664" s="322"/>
      <c r="U664" s="322"/>
      <c r="V664" s="322"/>
      <c r="W664" s="322"/>
      <c r="X664" s="322"/>
      <c r="Y664" s="322"/>
      <c r="Z664" s="322"/>
      <c r="AA664" s="322"/>
      <c r="AB664" s="322"/>
      <c r="AC664" s="322"/>
      <c r="AD664" s="322"/>
      <c r="AE664" s="322"/>
      <c r="AF664" s="322"/>
      <c r="AG664" s="322"/>
      <c r="AH664" s="322"/>
      <c r="AI664" s="322"/>
      <c r="AJ664" s="322"/>
      <c r="AK664" s="322"/>
    </row>
    <row r="665" spans="1:37" ht="18" customHeight="1">
      <c r="A665" s="322"/>
      <c r="B665" s="322"/>
      <c r="C665" s="451"/>
      <c r="D665" s="322"/>
      <c r="E665" s="322"/>
      <c r="F665" s="322"/>
      <c r="G665" s="322"/>
      <c r="H665" s="322"/>
      <c r="I665" s="322"/>
      <c r="J665" s="322"/>
      <c r="K665" s="322"/>
      <c r="L665" s="322"/>
      <c r="M665" s="322"/>
      <c r="N665" s="322"/>
      <c r="O665" s="322"/>
      <c r="P665" s="322"/>
      <c r="Q665" s="322"/>
      <c r="R665" s="322"/>
      <c r="S665" s="322"/>
      <c r="T665" s="322"/>
      <c r="U665" s="322"/>
      <c r="V665" s="322"/>
      <c r="W665" s="322"/>
      <c r="X665" s="322"/>
      <c r="Y665" s="322"/>
      <c r="Z665" s="322"/>
      <c r="AA665" s="322"/>
      <c r="AB665" s="322"/>
      <c r="AC665" s="322"/>
      <c r="AD665" s="322"/>
      <c r="AE665" s="322"/>
      <c r="AF665" s="322"/>
      <c r="AG665" s="322"/>
      <c r="AH665" s="322"/>
      <c r="AI665" s="322"/>
      <c r="AJ665" s="322"/>
      <c r="AK665" s="322"/>
    </row>
    <row r="666" spans="1:37" ht="18" customHeight="1">
      <c r="A666" s="322"/>
      <c r="B666" s="322"/>
      <c r="C666" s="451"/>
      <c r="D666" s="322"/>
      <c r="E666" s="322"/>
      <c r="F666" s="322"/>
      <c r="G666" s="322"/>
      <c r="H666" s="322"/>
      <c r="I666" s="322"/>
      <c r="J666" s="322"/>
      <c r="K666" s="322"/>
      <c r="L666" s="322"/>
      <c r="M666" s="322"/>
      <c r="N666" s="322"/>
      <c r="O666" s="322"/>
      <c r="P666" s="322"/>
      <c r="Q666" s="322"/>
      <c r="R666" s="322"/>
      <c r="S666" s="322"/>
      <c r="T666" s="322"/>
      <c r="U666" s="322"/>
      <c r="V666" s="322"/>
      <c r="W666" s="322"/>
      <c r="X666" s="322"/>
      <c r="Y666" s="322"/>
      <c r="Z666" s="322"/>
      <c r="AA666" s="322"/>
      <c r="AB666" s="322"/>
      <c r="AC666" s="322"/>
      <c r="AD666" s="322"/>
      <c r="AE666" s="322"/>
      <c r="AF666" s="322"/>
      <c r="AG666" s="322"/>
      <c r="AH666" s="322"/>
      <c r="AI666" s="322"/>
      <c r="AJ666" s="322"/>
      <c r="AK666" s="322"/>
    </row>
    <row r="667" spans="1:37" ht="18" customHeight="1">
      <c r="A667" s="322"/>
      <c r="B667" s="322"/>
      <c r="C667" s="451"/>
      <c r="D667" s="322"/>
      <c r="E667" s="322"/>
      <c r="F667" s="322"/>
      <c r="G667" s="322"/>
      <c r="H667" s="322"/>
      <c r="I667" s="322"/>
      <c r="J667" s="322"/>
      <c r="K667" s="322"/>
      <c r="L667" s="322"/>
      <c r="M667" s="322"/>
      <c r="N667" s="322"/>
      <c r="O667" s="322"/>
      <c r="P667" s="322"/>
      <c r="Q667" s="322"/>
      <c r="R667" s="322"/>
      <c r="S667" s="322"/>
      <c r="T667" s="322"/>
      <c r="U667" s="322"/>
      <c r="V667" s="322"/>
      <c r="W667" s="322"/>
      <c r="X667" s="322"/>
      <c r="Y667" s="322"/>
      <c r="Z667" s="322"/>
      <c r="AA667" s="322"/>
      <c r="AB667" s="322"/>
      <c r="AC667" s="322"/>
      <c r="AD667" s="322"/>
      <c r="AE667" s="322"/>
      <c r="AF667" s="322"/>
      <c r="AG667" s="322"/>
      <c r="AH667" s="322"/>
      <c r="AI667" s="322"/>
      <c r="AJ667" s="322"/>
      <c r="AK667" s="322"/>
    </row>
    <row r="668" spans="1:37" ht="18" customHeight="1">
      <c r="A668" s="322"/>
      <c r="B668" s="322"/>
      <c r="C668" s="451"/>
      <c r="D668" s="322"/>
      <c r="E668" s="322"/>
      <c r="F668" s="322"/>
      <c r="G668" s="322"/>
      <c r="H668" s="322"/>
      <c r="I668" s="322"/>
      <c r="J668" s="322"/>
      <c r="K668" s="322"/>
      <c r="L668" s="322"/>
      <c r="M668" s="322"/>
      <c r="N668" s="322"/>
      <c r="O668" s="322"/>
      <c r="P668" s="322"/>
      <c r="Q668" s="322"/>
      <c r="R668" s="322"/>
      <c r="S668" s="322"/>
      <c r="T668" s="322"/>
      <c r="U668" s="322"/>
      <c r="V668" s="322"/>
      <c r="W668" s="322"/>
      <c r="X668" s="322"/>
      <c r="Y668" s="322"/>
      <c r="Z668" s="322"/>
      <c r="AA668" s="322"/>
      <c r="AB668" s="322"/>
      <c r="AC668" s="322"/>
      <c r="AD668" s="322"/>
      <c r="AE668" s="322"/>
      <c r="AF668" s="322"/>
      <c r="AG668" s="322"/>
      <c r="AH668" s="322"/>
      <c r="AI668" s="322"/>
      <c r="AJ668" s="322"/>
      <c r="AK668" s="322"/>
    </row>
    <row r="669" spans="1:37" ht="18" customHeight="1">
      <c r="A669" s="322"/>
      <c r="B669" s="322"/>
      <c r="C669" s="451"/>
      <c r="D669" s="322"/>
      <c r="E669" s="322"/>
      <c r="F669" s="322"/>
      <c r="G669" s="322"/>
      <c r="H669" s="322"/>
      <c r="I669" s="322"/>
      <c r="J669" s="322"/>
      <c r="K669" s="322"/>
      <c r="L669" s="322"/>
      <c r="M669" s="322"/>
      <c r="N669" s="322"/>
      <c r="O669" s="322"/>
      <c r="P669" s="322"/>
      <c r="Q669" s="322"/>
      <c r="R669" s="322"/>
      <c r="S669" s="322"/>
      <c r="T669" s="322"/>
      <c r="U669" s="322"/>
      <c r="V669" s="322"/>
      <c r="W669" s="322"/>
      <c r="X669" s="322"/>
      <c r="Y669" s="322"/>
      <c r="Z669" s="322"/>
      <c r="AA669" s="322"/>
      <c r="AB669" s="322"/>
      <c r="AC669" s="322"/>
      <c r="AD669" s="322"/>
      <c r="AE669" s="322"/>
      <c r="AF669" s="322"/>
      <c r="AG669" s="322"/>
      <c r="AH669" s="322"/>
      <c r="AI669" s="322"/>
      <c r="AJ669" s="322"/>
      <c r="AK669" s="322"/>
    </row>
    <row r="670" spans="1:37" ht="18" customHeight="1">
      <c r="A670" s="322"/>
      <c r="B670" s="322"/>
      <c r="C670" s="451"/>
      <c r="D670" s="322"/>
      <c r="E670" s="322"/>
      <c r="F670" s="322"/>
      <c r="G670" s="322"/>
      <c r="H670" s="322"/>
      <c r="I670" s="322"/>
      <c r="J670" s="322"/>
      <c r="K670" s="322"/>
      <c r="L670" s="322"/>
      <c r="M670" s="322"/>
      <c r="N670" s="322"/>
      <c r="O670" s="322"/>
      <c r="P670" s="322"/>
      <c r="Q670" s="322"/>
      <c r="R670" s="322"/>
      <c r="S670" s="322"/>
      <c r="T670" s="322"/>
      <c r="U670" s="322"/>
      <c r="V670" s="322"/>
      <c r="W670" s="322"/>
      <c r="X670" s="322"/>
      <c r="Y670" s="322"/>
      <c r="Z670" s="322"/>
      <c r="AA670" s="322"/>
      <c r="AB670" s="322"/>
      <c r="AC670" s="322"/>
      <c r="AD670" s="322"/>
      <c r="AE670" s="322"/>
      <c r="AF670" s="322"/>
      <c r="AG670" s="322"/>
      <c r="AH670" s="322"/>
      <c r="AI670" s="322"/>
      <c r="AJ670" s="322"/>
      <c r="AK670" s="322"/>
    </row>
    <row r="671" spans="1:37" ht="18" customHeight="1">
      <c r="A671" s="322"/>
      <c r="B671" s="322"/>
      <c r="C671" s="451"/>
      <c r="D671" s="322"/>
      <c r="E671" s="322"/>
      <c r="F671" s="322"/>
      <c r="G671" s="322"/>
      <c r="H671" s="322"/>
      <c r="I671" s="322"/>
      <c r="J671" s="322"/>
      <c r="K671" s="322"/>
      <c r="L671" s="322"/>
      <c r="M671" s="322"/>
      <c r="N671" s="322"/>
      <c r="O671" s="322"/>
      <c r="P671" s="322"/>
      <c r="Q671" s="322"/>
      <c r="R671" s="322"/>
      <c r="S671" s="322"/>
      <c r="T671" s="322"/>
      <c r="U671" s="322"/>
      <c r="V671" s="322"/>
      <c r="W671" s="322"/>
      <c r="X671" s="322"/>
      <c r="Y671" s="322"/>
      <c r="Z671" s="322"/>
      <c r="AA671" s="322"/>
      <c r="AB671" s="322"/>
      <c r="AC671" s="322"/>
      <c r="AD671" s="322"/>
      <c r="AE671" s="322"/>
      <c r="AF671" s="322"/>
      <c r="AG671" s="322"/>
      <c r="AH671" s="322"/>
      <c r="AI671" s="322"/>
      <c r="AJ671" s="322"/>
      <c r="AK671" s="322"/>
    </row>
    <row r="672" spans="1:37" ht="18" customHeight="1">
      <c r="A672" s="322"/>
      <c r="B672" s="322"/>
      <c r="C672" s="451"/>
      <c r="D672" s="322"/>
      <c r="E672" s="322"/>
      <c r="F672" s="322"/>
      <c r="G672" s="322"/>
      <c r="H672" s="322"/>
      <c r="I672" s="322"/>
      <c r="J672" s="322"/>
      <c r="K672" s="322"/>
      <c r="L672" s="322"/>
      <c r="M672" s="322"/>
      <c r="N672" s="322"/>
      <c r="O672" s="322"/>
      <c r="P672" s="322"/>
      <c r="Q672" s="322"/>
      <c r="R672" s="322"/>
      <c r="S672" s="322"/>
      <c r="T672" s="322"/>
      <c r="U672" s="322"/>
      <c r="V672" s="322"/>
      <c r="W672" s="322"/>
      <c r="X672" s="322"/>
      <c r="Y672" s="322"/>
      <c r="Z672" s="322"/>
      <c r="AA672" s="322"/>
      <c r="AB672" s="322"/>
      <c r="AC672" s="322"/>
      <c r="AD672" s="322"/>
      <c r="AE672" s="322"/>
      <c r="AF672" s="322"/>
      <c r="AG672" s="322"/>
      <c r="AH672" s="322"/>
      <c r="AI672" s="322"/>
      <c r="AJ672" s="322"/>
      <c r="AK672" s="322"/>
    </row>
    <row r="673" spans="1:37" ht="18" customHeight="1">
      <c r="A673" s="322"/>
      <c r="B673" s="322"/>
      <c r="C673" s="451"/>
      <c r="D673" s="322"/>
      <c r="E673" s="322"/>
      <c r="F673" s="322"/>
      <c r="G673" s="322"/>
      <c r="H673" s="322"/>
      <c r="I673" s="322"/>
      <c r="J673" s="322"/>
      <c r="K673" s="322"/>
      <c r="L673" s="322"/>
      <c r="M673" s="322"/>
      <c r="N673" s="322"/>
      <c r="O673" s="322"/>
      <c r="P673" s="322"/>
      <c r="Q673" s="322"/>
      <c r="R673" s="322"/>
      <c r="S673" s="322"/>
      <c r="T673" s="322"/>
      <c r="U673" s="322"/>
      <c r="V673" s="322"/>
      <c r="W673" s="322"/>
      <c r="X673" s="322"/>
      <c r="Y673" s="322"/>
      <c r="Z673" s="322"/>
      <c r="AA673" s="322"/>
      <c r="AB673" s="322"/>
      <c r="AC673" s="322"/>
      <c r="AD673" s="322"/>
      <c r="AE673" s="322"/>
      <c r="AF673" s="322"/>
      <c r="AG673" s="322"/>
      <c r="AH673" s="322"/>
      <c r="AI673" s="322"/>
      <c r="AJ673" s="322"/>
      <c r="AK673" s="322"/>
    </row>
    <row r="674" spans="1:37" ht="18" customHeight="1">
      <c r="A674" s="322"/>
      <c r="B674" s="322"/>
      <c r="C674" s="451"/>
      <c r="D674" s="322"/>
      <c r="E674" s="322"/>
      <c r="F674" s="322"/>
      <c r="G674" s="322"/>
      <c r="H674" s="322"/>
      <c r="I674" s="322"/>
      <c r="J674" s="322"/>
      <c r="K674" s="322"/>
      <c r="L674" s="322"/>
      <c r="M674" s="322"/>
      <c r="N674" s="322"/>
      <c r="O674" s="322"/>
      <c r="P674" s="322"/>
      <c r="Q674" s="322"/>
      <c r="R674" s="322"/>
      <c r="S674" s="322"/>
      <c r="T674" s="322"/>
      <c r="U674" s="322"/>
      <c r="V674" s="322"/>
      <c r="W674" s="322"/>
      <c r="X674" s="322"/>
      <c r="Y674" s="322"/>
      <c r="Z674" s="322"/>
      <c r="AA674" s="322"/>
      <c r="AB674" s="322"/>
      <c r="AC674" s="322"/>
      <c r="AD674" s="322"/>
      <c r="AE674" s="322"/>
      <c r="AF674" s="322"/>
      <c r="AG674" s="322"/>
      <c r="AH674" s="322"/>
      <c r="AI674" s="322"/>
      <c r="AJ674" s="322"/>
      <c r="AK674" s="322"/>
    </row>
    <row r="675" spans="1:37" ht="18" customHeight="1">
      <c r="A675" s="322"/>
      <c r="B675" s="322"/>
      <c r="C675" s="451"/>
      <c r="D675" s="322"/>
      <c r="E675" s="322"/>
      <c r="F675" s="322"/>
      <c r="G675" s="322"/>
      <c r="H675" s="322"/>
      <c r="I675" s="322"/>
      <c r="J675" s="322"/>
      <c r="K675" s="322"/>
      <c r="L675" s="322"/>
      <c r="M675" s="322"/>
      <c r="N675" s="322"/>
      <c r="O675" s="322"/>
      <c r="P675" s="322"/>
      <c r="Q675" s="322"/>
      <c r="R675" s="322"/>
      <c r="S675" s="322"/>
      <c r="T675" s="322"/>
      <c r="U675" s="322"/>
      <c r="V675" s="322"/>
      <c r="W675" s="322"/>
      <c r="X675" s="322"/>
      <c r="Y675" s="322"/>
      <c r="Z675" s="322"/>
      <c r="AA675" s="322"/>
      <c r="AB675" s="322"/>
      <c r="AC675" s="322"/>
      <c r="AD675" s="322"/>
      <c r="AE675" s="322"/>
      <c r="AF675" s="322"/>
      <c r="AG675" s="322"/>
      <c r="AH675" s="322"/>
      <c r="AI675" s="322"/>
      <c r="AJ675" s="322"/>
      <c r="AK675" s="322"/>
    </row>
    <row r="676" spans="1:37" ht="18" customHeight="1">
      <c r="A676" s="322"/>
      <c r="B676" s="322"/>
      <c r="C676" s="451"/>
      <c r="D676" s="322"/>
      <c r="E676" s="322"/>
      <c r="F676" s="322"/>
      <c r="G676" s="322"/>
      <c r="H676" s="322"/>
      <c r="I676" s="322"/>
      <c r="J676" s="322"/>
      <c r="K676" s="322"/>
      <c r="L676" s="322"/>
      <c r="M676" s="322"/>
      <c r="N676" s="322"/>
      <c r="O676" s="322"/>
      <c r="P676" s="322"/>
      <c r="Q676" s="322"/>
      <c r="R676" s="322"/>
      <c r="S676" s="322"/>
      <c r="T676" s="322"/>
      <c r="U676" s="322"/>
      <c r="V676" s="322"/>
      <c r="W676" s="322"/>
      <c r="X676" s="322"/>
      <c r="Y676" s="322"/>
      <c r="Z676" s="322"/>
      <c r="AA676" s="322"/>
      <c r="AB676" s="322"/>
      <c r="AC676" s="322"/>
      <c r="AD676" s="322"/>
      <c r="AE676" s="322"/>
      <c r="AF676" s="322"/>
      <c r="AG676" s="322"/>
      <c r="AH676" s="322"/>
      <c r="AI676" s="322"/>
      <c r="AJ676" s="322"/>
      <c r="AK676" s="322"/>
    </row>
    <row r="677" spans="1:37" ht="18" customHeight="1">
      <c r="A677" s="322"/>
      <c r="B677" s="322"/>
      <c r="C677" s="451"/>
      <c r="D677" s="322"/>
      <c r="E677" s="322"/>
      <c r="F677" s="322"/>
      <c r="G677" s="322"/>
      <c r="H677" s="322"/>
      <c r="I677" s="322"/>
      <c r="J677" s="322"/>
      <c r="K677" s="322"/>
      <c r="L677" s="322"/>
      <c r="M677" s="322"/>
      <c r="N677" s="322"/>
      <c r="O677" s="322"/>
      <c r="P677" s="322"/>
      <c r="Q677" s="322"/>
      <c r="R677" s="322"/>
      <c r="S677" s="322"/>
      <c r="T677" s="322"/>
      <c r="U677" s="322"/>
      <c r="V677" s="322"/>
      <c r="W677" s="322"/>
      <c r="X677" s="322"/>
      <c r="Y677" s="322"/>
      <c r="Z677" s="322"/>
      <c r="AA677" s="322"/>
      <c r="AB677" s="322"/>
      <c r="AC677" s="322"/>
      <c r="AD677" s="322"/>
      <c r="AE677" s="322"/>
      <c r="AF677" s="322"/>
      <c r="AG677" s="322"/>
      <c r="AH677" s="322"/>
      <c r="AI677" s="322"/>
      <c r="AJ677" s="322"/>
      <c r="AK677" s="322"/>
    </row>
    <row r="678" spans="1:37" ht="18" customHeight="1">
      <c r="A678" s="322"/>
      <c r="B678" s="322"/>
      <c r="C678" s="451"/>
      <c r="D678" s="322"/>
      <c r="E678" s="322"/>
      <c r="F678" s="322"/>
      <c r="G678" s="322"/>
      <c r="H678" s="322"/>
      <c r="I678" s="322"/>
      <c r="J678" s="322"/>
      <c r="K678" s="322"/>
      <c r="L678" s="322"/>
      <c r="M678" s="322"/>
      <c r="N678" s="322"/>
      <c r="O678" s="322"/>
      <c r="P678" s="322"/>
      <c r="Q678" s="322"/>
      <c r="R678" s="322"/>
      <c r="S678" s="322"/>
      <c r="T678" s="322"/>
      <c r="U678" s="322"/>
      <c r="V678" s="322"/>
      <c r="W678" s="322"/>
      <c r="X678" s="322"/>
      <c r="Y678" s="322"/>
      <c r="Z678" s="322"/>
      <c r="AA678" s="322"/>
      <c r="AB678" s="322"/>
      <c r="AC678" s="322"/>
      <c r="AD678" s="322"/>
      <c r="AE678" s="322"/>
      <c r="AF678" s="322"/>
      <c r="AG678" s="322"/>
      <c r="AH678" s="322"/>
      <c r="AI678" s="322"/>
      <c r="AJ678" s="322"/>
      <c r="AK678" s="322"/>
    </row>
    <row r="679" spans="1:37" ht="18" customHeight="1">
      <c r="A679" s="322"/>
      <c r="B679" s="322"/>
      <c r="C679" s="451"/>
      <c r="D679" s="322"/>
      <c r="E679" s="322"/>
      <c r="F679" s="322"/>
      <c r="G679" s="322"/>
      <c r="H679" s="322"/>
      <c r="I679" s="322"/>
      <c r="J679" s="322"/>
      <c r="K679" s="322"/>
      <c r="L679" s="322"/>
      <c r="M679" s="322"/>
      <c r="N679" s="322"/>
      <c r="O679" s="322"/>
      <c r="P679" s="322"/>
      <c r="Q679" s="322"/>
      <c r="R679" s="322"/>
      <c r="S679" s="322"/>
      <c r="T679" s="322"/>
      <c r="U679" s="322"/>
      <c r="V679" s="322"/>
      <c r="W679" s="322"/>
      <c r="X679" s="322"/>
      <c r="Y679" s="322"/>
      <c r="Z679" s="322"/>
      <c r="AA679" s="322"/>
      <c r="AB679" s="322"/>
      <c r="AC679" s="322"/>
      <c r="AD679" s="322"/>
      <c r="AE679" s="322"/>
      <c r="AF679" s="322"/>
      <c r="AG679" s="322"/>
      <c r="AH679" s="322"/>
      <c r="AI679" s="322"/>
      <c r="AJ679" s="322"/>
      <c r="AK679" s="322"/>
    </row>
    <row r="680" spans="1:37" ht="18" customHeight="1">
      <c r="A680" s="322"/>
      <c r="B680" s="322"/>
      <c r="C680" s="451"/>
      <c r="D680" s="322"/>
      <c r="E680" s="322"/>
      <c r="F680" s="322"/>
      <c r="G680" s="322"/>
      <c r="H680" s="322"/>
      <c r="I680" s="322"/>
      <c r="J680" s="322"/>
      <c r="K680" s="322"/>
      <c r="L680" s="322"/>
      <c r="M680" s="322"/>
      <c r="N680" s="322"/>
      <c r="O680" s="322"/>
      <c r="P680" s="322"/>
      <c r="Q680" s="322"/>
      <c r="R680" s="322"/>
      <c r="S680" s="322"/>
      <c r="T680" s="322"/>
      <c r="U680" s="322"/>
      <c r="V680" s="322"/>
      <c r="W680" s="322"/>
      <c r="X680" s="322"/>
      <c r="Y680" s="322"/>
      <c r="Z680" s="322"/>
      <c r="AA680" s="322"/>
      <c r="AB680" s="322"/>
      <c r="AC680" s="322"/>
      <c r="AD680" s="322"/>
      <c r="AE680" s="322"/>
      <c r="AF680" s="322"/>
      <c r="AG680" s="322"/>
      <c r="AH680" s="322"/>
      <c r="AI680" s="322"/>
      <c r="AJ680" s="322"/>
      <c r="AK680" s="322"/>
    </row>
    <row r="681" spans="1:37" ht="18" customHeight="1">
      <c r="A681" s="322"/>
      <c r="B681" s="322"/>
      <c r="C681" s="451"/>
      <c r="D681" s="322"/>
      <c r="E681" s="322"/>
      <c r="F681" s="322"/>
      <c r="G681" s="322"/>
      <c r="H681" s="322"/>
      <c r="I681" s="322"/>
      <c r="J681" s="322"/>
      <c r="K681" s="322"/>
      <c r="L681" s="322"/>
      <c r="M681" s="322"/>
      <c r="N681" s="322"/>
      <c r="O681" s="322"/>
      <c r="P681" s="322"/>
      <c r="Q681" s="322"/>
      <c r="R681" s="322"/>
      <c r="S681" s="322"/>
      <c r="T681" s="322"/>
      <c r="U681" s="322"/>
      <c r="V681" s="322"/>
      <c r="W681" s="322"/>
      <c r="X681" s="322"/>
      <c r="Y681" s="322"/>
      <c r="Z681" s="322"/>
      <c r="AA681" s="322"/>
      <c r="AB681" s="322"/>
      <c r="AC681" s="322"/>
      <c r="AD681" s="322"/>
      <c r="AE681" s="322"/>
      <c r="AF681" s="322"/>
      <c r="AG681" s="322"/>
      <c r="AH681" s="322"/>
      <c r="AI681" s="322"/>
      <c r="AJ681" s="322"/>
      <c r="AK681" s="322"/>
    </row>
    <row r="682" spans="1:37" ht="18" customHeight="1">
      <c r="A682" s="322"/>
      <c r="B682" s="322"/>
      <c r="C682" s="451"/>
      <c r="D682" s="322"/>
      <c r="E682" s="322"/>
      <c r="F682" s="322"/>
      <c r="G682" s="322"/>
      <c r="H682" s="322"/>
      <c r="I682" s="322"/>
      <c r="J682" s="322"/>
      <c r="K682" s="322"/>
      <c r="L682" s="322"/>
      <c r="M682" s="322"/>
      <c r="N682" s="322"/>
      <c r="O682" s="322"/>
      <c r="P682" s="322"/>
      <c r="Q682" s="322"/>
      <c r="R682" s="322"/>
      <c r="S682" s="322"/>
      <c r="T682" s="322"/>
      <c r="U682" s="322"/>
      <c r="V682" s="322"/>
      <c r="W682" s="322"/>
      <c r="X682" s="322"/>
      <c r="Y682" s="322"/>
      <c r="Z682" s="322"/>
      <c r="AA682" s="322"/>
      <c r="AB682" s="322"/>
      <c r="AC682" s="322"/>
      <c r="AD682" s="322"/>
      <c r="AE682" s="322"/>
      <c r="AF682" s="322"/>
      <c r="AG682" s="322"/>
      <c r="AH682" s="322"/>
      <c r="AI682" s="322"/>
      <c r="AJ682" s="322"/>
      <c r="AK682" s="322"/>
    </row>
    <row r="683" spans="1:37" ht="18" customHeight="1">
      <c r="A683" s="322"/>
      <c r="B683" s="322"/>
      <c r="C683" s="451"/>
      <c r="D683" s="322"/>
      <c r="E683" s="322"/>
      <c r="F683" s="322"/>
      <c r="G683" s="322"/>
      <c r="H683" s="322"/>
      <c r="I683" s="322"/>
      <c r="J683" s="322"/>
      <c r="K683" s="322"/>
      <c r="L683" s="322"/>
      <c r="M683" s="322"/>
      <c r="N683" s="322"/>
      <c r="O683" s="322"/>
      <c r="P683" s="322"/>
      <c r="Q683" s="322"/>
      <c r="R683" s="322"/>
      <c r="S683" s="322"/>
      <c r="T683" s="322"/>
      <c r="U683" s="322"/>
      <c r="V683" s="322"/>
      <c r="W683" s="322"/>
      <c r="X683" s="322"/>
      <c r="Y683" s="322"/>
      <c r="Z683" s="322"/>
      <c r="AA683" s="322"/>
      <c r="AB683" s="322"/>
      <c r="AC683" s="322"/>
      <c r="AD683" s="322"/>
      <c r="AE683" s="322"/>
      <c r="AF683" s="322"/>
      <c r="AG683" s="322"/>
      <c r="AH683" s="322"/>
      <c r="AI683" s="322"/>
      <c r="AJ683" s="322"/>
      <c r="AK683" s="322"/>
    </row>
    <row r="684" spans="1:37" ht="18" customHeight="1">
      <c r="A684" s="322"/>
      <c r="B684" s="322"/>
      <c r="C684" s="451"/>
      <c r="D684" s="322"/>
      <c r="E684" s="322"/>
      <c r="F684" s="322"/>
      <c r="G684" s="322"/>
      <c r="H684" s="322"/>
      <c r="I684" s="322"/>
      <c r="J684" s="322"/>
      <c r="K684" s="322"/>
      <c r="L684" s="322"/>
      <c r="M684" s="322"/>
      <c r="N684" s="322"/>
      <c r="O684" s="322"/>
      <c r="P684" s="322"/>
      <c r="Q684" s="322"/>
      <c r="R684" s="322"/>
      <c r="S684" s="322"/>
      <c r="T684" s="322"/>
      <c r="U684" s="322"/>
      <c r="V684" s="322"/>
      <c r="W684" s="322"/>
      <c r="X684" s="322"/>
      <c r="Y684" s="322"/>
      <c r="Z684" s="322"/>
      <c r="AA684" s="322"/>
      <c r="AB684" s="322"/>
      <c r="AC684" s="322"/>
      <c r="AD684" s="322"/>
      <c r="AE684" s="322"/>
      <c r="AF684" s="322"/>
      <c r="AG684" s="322"/>
      <c r="AH684" s="322"/>
      <c r="AI684" s="322"/>
      <c r="AJ684" s="322"/>
      <c r="AK684" s="322"/>
    </row>
    <row r="685" spans="1:37" ht="18" customHeight="1">
      <c r="A685" s="322"/>
      <c r="B685" s="322"/>
      <c r="C685" s="451"/>
      <c r="D685" s="322"/>
      <c r="E685" s="322"/>
      <c r="F685" s="322"/>
      <c r="G685" s="322"/>
      <c r="H685" s="322"/>
      <c r="I685" s="322"/>
      <c r="J685" s="322"/>
      <c r="K685" s="322"/>
      <c r="L685" s="322"/>
      <c r="M685" s="322"/>
      <c r="N685" s="322"/>
      <c r="O685" s="322"/>
      <c r="P685" s="322"/>
      <c r="Q685" s="322"/>
      <c r="R685" s="322"/>
      <c r="S685" s="322"/>
      <c r="T685" s="322"/>
      <c r="U685" s="322"/>
      <c r="V685" s="322"/>
      <c r="W685" s="322"/>
      <c r="X685" s="322"/>
      <c r="Y685" s="322"/>
      <c r="Z685" s="322"/>
      <c r="AA685" s="322"/>
      <c r="AB685" s="322"/>
      <c r="AC685" s="322"/>
      <c r="AD685" s="322"/>
      <c r="AE685" s="322"/>
      <c r="AF685" s="322"/>
      <c r="AG685" s="322"/>
      <c r="AH685" s="322"/>
      <c r="AI685" s="322"/>
      <c r="AJ685" s="322"/>
      <c r="AK685" s="322"/>
    </row>
    <row r="686" spans="1:37" ht="18" customHeight="1">
      <c r="A686" s="322"/>
      <c r="B686" s="322"/>
      <c r="C686" s="451"/>
      <c r="D686" s="322"/>
      <c r="E686" s="322"/>
      <c r="F686" s="322"/>
      <c r="G686" s="322"/>
      <c r="H686" s="322"/>
      <c r="I686" s="322"/>
      <c r="J686" s="322"/>
      <c r="K686" s="322"/>
      <c r="L686" s="322"/>
      <c r="M686" s="322"/>
      <c r="N686" s="322"/>
      <c r="O686" s="322"/>
      <c r="P686" s="322"/>
      <c r="Q686" s="322"/>
      <c r="R686" s="322"/>
      <c r="S686" s="322"/>
      <c r="T686" s="322"/>
      <c r="U686" s="322"/>
      <c r="V686" s="322"/>
      <c r="W686" s="322"/>
      <c r="X686" s="322"/>
      <c r="Y686" s="322"/>
      <c r="Z686" s="322"/>
      <c r="AA686" s="322"/>
      <c r="AB686" s="322"/>
      <c r="AC686" s="322"/>
      <c r="AD686" s="322"/>
      <c r="AE686" s="322"/>
      <c r="AF686" s="322"/>
      <c r="AG686" s="322"/>
      <c r="AH686" s="322"/>
      <c r="AI686" s="322"/>
      <c r="AJ686" s="322"/>
      <c r="AK686" s="322"/>
    </row>
    <row r="687" spans="1:37" ht="18" customHeight="1">
      <c r="A687" s="322"/>
      <c r="B687" s="322"/>
      <c r="C687" s="451"/>
      <c r="D687" s="322"/>
      <c r="E687" s="322"/>
      <c r="F687" s="322"/>
      <c r="G687" s="322"/>
      <c r="H687" s="322"/>
      <c r="I687" s="322"/>
      <c r="J687" s="322"/>
      <c r="K687" s="322"/>
      <c r="L687" s="322"/>
      <c r="M687" s="322"/>
      <c r="N687" s="322"/>
      <c r="O687" s="322"/>
      <c r="P687" s="322"/>
      <c r="Q687" s="322"/>
      <c r="R687" s="322"/>
      <c r="S687" s="322"/>
      <c r="T687" s="322"/>
      <c r="U687" s="322"/>
      <c r="V687" s="322"/>
      <c r="W687" s="322"/>
      <c r="X687" s="322"/>
      <c r="Y687" s="322"/>
      <c r="Z687" s="322"/>
      <c r="AA687" s="322"/>
      <c r="AB687" s="322"/>
      <c r="AC687" s="322"/>
      <c r="AD687" s="322"/>
      <c r="AE687" s="322"/>
      <c r="AF687" s="322"/>
      <c r="AG687" s="322"/>
      <c r="AH687" s="322"/>
      <c r="AI687" s="322"/>
      <c r="AJ687" s="322"/>
      <c r="AK687" s="322"/>
    </row>
    <row r="688" spans="1:37" ht="18" customHeight="1">
      <c r="A688" s="322"/>
      <c r="B688" s="322"/>
      <c r="C688" s="451"/>
      <c r="D688" s="322"/>
      <c r="E688" s="322"/>
      <c r="F688" s="322"/>
      <c r="G688" s="322"/>
      <c r="H688" s="322"/>
      <c r="I688" s="322"/>
      <c r="J688" s="322"/>
      <c r="K688" s="322"/>
      <c r="L688" s="322"/>
      <c r="M688" s="322"/>
      <c r="N688" s="322"/>
      <c r="O688" s="322"/>
      <c r="P688" s="322"/>
      <c r="Q688" s="322"/>
      <c r="R688" s="322"/>
      <c r="S688" s="322"/>
      <c r="T688" s="322"/>
      <c r="U688" s="322"/>
      <c r="V688" s="322"/>
      <c r="W688" s="322"/>
      <c r="X688" s="322"/>
      <c r="Y688" s="322"/>
      <c r="Z688" s="322"/>
      <c r="AA688" s="322"/>
      <c r="AB688" s="322"/>
      <c r="AC688" s="322"/>
      <c r="AD688" s="322"/>
      <c r="AE688" s="322"/>
      <c r="AF688" s="322"/>
      <c r="AG688" s="322"/>
      <c r="AH688" s="322"/>
      <c r="AI688" s="322"/>
      <c r="AJ688" s="322"/>
      <c r="AK688" s="322"/>
    </row>
    <row r="689" spans="1:37" ht="18" customHeight="1">
      <c r="A689" s="322"/>
      <c r="B689" s="322"/>
      <c r="C689" s="451"/>
      <c r="D689" s="322"/>
      <c r="E689" s="322"/>
      <c r="F689" s="322"/>
      <c r="G689" s="322"/>
      <c r="H689" s="322"/>
      <c r="I689" s="322"/>
      <c r="J689" s="322"/>
      <c r="K689" s="322"/>
      <c r="L689" s="322"/>
      <c r="M689" s="322"/>
      <c r="N689" s="322"/>
      <c r="O689" s="322"/>
      <c r="P689" s="322"/>
      <c r="Q689" s="322"/>
      <c r="R689" s="322"/>
      <c r="S689" s="322"/>
      <c r="T689" s="322"/>
      <c r="U689" s="322"/>
      <c r="V689" s="322"/>
      <c r="W689" s="322"/>
      <c r="X689" s="322"/>
      <c r="Y689" s="322"/>
      <c r="Z689" s="322"/>
      <c r="AA689" s="322"/>
      <c r="AB689" s="322"/>
      <c r="AC689" s="322"/>
      <c r="AD689" s="322"/>
      <c r="AE689" s="322"/>
      <c r="AF689" s="322"/>
      <c r="AG689" s="322"/>
      <c r="AH689" s="322"/>
      <c r="AI689" s="322"/>
      <c r="AJ689" s="322"/>
      <c r="AK689" s="322"/>
    </row>
    <row r="690" spans="1:37" ht="18" customHeight="1">
      <c r="A690" s="322"/>
      <c r="B690" s="322"/>
      <c r="C690" s="451"/>
      <c r="D690" s="322"/>
      <c r="E690" s="322"/>
      <c r="F690" s="322"/>
      <c r="G690" s="322"/>
      <c r="H690" s="322"/>
      <c r="I690" s="322"/>
      <c r="J690" s="322"/>
      <c r="K690" s="322"/>
      <c r="L690" s="322"/>
      <c r="M690" s="322"/>
      <c r="N690" s="322"/>
      <c r="O690" s="322"/>
      <c r="P690" s="322"/>
      <c r="Q690" s="322"/>
      <c r="R690" s="322"/>
      <c r="S690" s="322"/>
      <c r="T690" s="322"/>
      <c r="U690" s="322"/>
      <c r="V690" s="322"/>
      <c r="W690" s="322"/>
      <c r="X690" s="322"/>
      <c r="Y690" s="322"/>
      <c r="Z690" s="322"/>
      <c r="AA690" s="322"/>
      <c r="AB690" s="322"/>
      <c r="AC690" s="322"/>
      <c r="AD690" s="322"/>
      <c r="AE690" s="322"/>
      <c r="AF690" s="322"/>
      <c r="AG690" s="322"/>
      <c r="AH690" s="322"/>
      <c r="AI690" s="322"/>
      <c r="AJ690" s="322"/>
      <c r="AK690" s="322"/>
    </row>
    <row r="691" spans="1:37" ht="18" customHeight="1">
      <c r="A691" s="322"/>
      <c r="B691" s="322"/>
      <c r="C691" s="451"/>
      <c r="D691" s="322"/>
      <c r="E691" s="322"/>
      <c r="F691" s="322"/>
      <c r="G691" s="322"/>
      <c r="H691" s="322"/>
      <c r="I691" s="322"/>
      <c r="J691" s="322"/>
      <c r="K691" s="322"/>
      <c r="L691" s="322"/>
      <c r="M691" s="322"/>
      <c r="N691" s="322"/>
      <c r="O691" s="322"/>
      <c r="P691" s="322"/>
      <c r="Q691" s="322"/>
      <c r="R691" s="322"/>
      <c r="S691" s="322"/>
      <c r="T691" s="322"/>
      <c r="U691" s="322"/>
      <c r="V691" s="322"/>
      <c r="W691" s="322"/>
      <c r="X691" s="322"/>
      <c r="Y691" s="322"/>
      <c r="Z691" s="322"/>
      <c r="AA691" s="322"/>
      <c r="AB691" s="322"/>
      <c r="AC691" s="322"/>
      <c r="AD691" s="322"/>
      <c r="AE691" s="322"/>
      <c r="AF691" s="322"/>
      <c r="AG691" s="322"/>
      <c r="AH691" s="322"/>
      <c r="AI691" s="322"/>
      <c r="AJ691" s="322"/>
      <c r="AK691" s="322"/>
    </row>
    <row r="692" spans="1:37" ht="18" customHeight="1">
      <c r="A692" s="322"/>
      <c r="B692" s="322"/>
      <c r="C692" s="451"/>
      <c r="D692" s="322"/>
      <c r="E692" s="322"/>
      <c r="F692" s="322"/>
      <c r="G692" s="322"/>
      <c r="H692" s="322"/>
      <c r="I692" s="322"/>
      <c r="J692" s="322"/>
      <c r="K692" s="322"/>
      <c r="L692" s="322"/>
      <c r="M692" s="322"/>
      <c r="N692" s="322"/>
      <c r="O692" s="322"/>
      <c r="P692" s="322"/>
      <c r="Q692" s="322"/>
      <c r="R692" s="322"/>
      <c r="S692" s="322"/>
      <c r="T692" s="322"/>
      <c r="U692" s="322"/>
      <c r="V692" s="322"/>
      <c r="W692" s="322"/>
      <c r="X692" s="322"/>
      <c r="Y692" s="322"/>
      <c r="Z692" s="322"/>
      <c r="AA692" s="322"/>
      <c r="AB692" s="322"/>
      <c r="AC692" s="322"/>
      <c r="AD692" s="322"/>
      <c r="AE692" s="322"/>
      <c r="AF692" s="322"/>
      <c r="AG692" s="322"/>
      <c r="AH692" s="322"/>
      <c r="AI692" s="322"/>
      <c r="AJ692" s="322"/>
      <c r="AK692" s="322"/>
    </row>
    <row r="693" spans="1:37" ht="18" customHeight="1">
      <c r="A693" s="322"/>
      <c r="B693" s="322"/>
      <c r="C693" s="451"/>
      <c r="D693" s="322"/>
      <c r="E693" s="322"/>
      <c r="F693" s="322"/>
      <c r="G693" s="322"/>
      <c r="H693" s="322"/>
      <c r="I693" s="322"/>
      <c r="J693" s="322"/>
      <c r="K693" s="322"/>
      <c r="L693" s="322"/>
      <c r="M693" s="322"/>
      <c r="N693" s="322"/>
      <c r="O693" s="322"/>
      <c r="P693" s="322"/>
      <c r="Q693" s="322"/>
      <c r="R693" s="322"/>
      <c r="S693" s="322"/>
      <c r="T693" s="322"/>
      <c r="U693" s="322"/>
      <c r="V693" s="322"/>
      <c r="W693" s="322"/>
      <c r="X693" s="322"/>
      <c r="Y693" s="322"/>
      <c r="Z693" s="322"/>
      <c r="AA693" s="322"/>
      <c r="AB693" s="322"/>
      <c r="AC693" s="322"/>
      <c r="AD693" s="322"/>
      <c r="AE693" s="322"/>
      <c r="AF693" s="322"/>
      <c r="AG693" s="322"/>
      <c r="AH693" s="322"/>
      <c r="AI693" s="322"/>
      <c r="AJ693" s="322"/>
      <c r="AK693" s="322"/>
    </row>
    <row r="694" spans="1:37" ht="18" customHeight="1">
      <c r="A694" s="322"/>
      <c r="B694" s="322"/>
      <c r="C694" s="451"/>
      <c r="D694" s="322"/>
      <c r="E694" s="322"/>
      <c r="F694" s="322"/>
      <c r="G694" s="322"/>
      <c r="H694" s="322"/>
      <c r="I694" s="322"/>
      <c r="J694" s="322"/>
      <c r="K694" s="322"/>
      <c r="L694" s="322"/>
      <c r="M694" s="322"/>
      <c r="N694" s="322"/>
      <c r="O694" s="322"/>
      <c r="P694" s="322"/>
      <c r="Q694" s="322"/>
      <c r="R694" s="322"/>
      <c r="S694" s="322"/>
      <c r="T694" s="322"/>
      <c r="U694" s="322"/>
      <c r="V694" s="322"/>
      <c r="W694" s="322"/>
      <c r="X694" s="322"/>
      <c r="Y694" s="322"/>
      <c r="Z694" s="322"/>
      <c r="AA694" s="322"/>
      <c r="AB694" s="322"/>
      <c r="AC694" s="322"/>
      <c r="AD694" s="322"/>
      <c r="AE694" s="322"/>
      <c r="AF694" s="322"/>
      <c r="AG694" s="322"/>
      <c r="AH694" s="322"/>
      <c r="AI694" s="322"/>
      <c r="AJ694" s="322"/>
      <c r="AK694" s="322"/>
    </row>
    <row r="695" spans="1:37" ht="18" customHeight="1">
      <c r="A695" s="322"/>
      <c r="B695" s="322"/>
      <c r="C695" s="451"/>
      <c r="D695" s="322"/>
      <c r="E695" s="322"/>
      <c r="F695" s="322"/>
      <c r="G695" s="322"/>
      <c r="H695" s="322"/>
      <c r="I695" s="322"/>
      <c r="J695" s="322"/>
      <c r="K695" s="322"/>
      <c r="L695" s="322"/>
      <c r="M695" s="322"/>
      <c r="N695" s="322"/>
      <c r="O695" s="322"/>
      <c r="P695" s="322"/>
      <c r="Q695" s="322"/>
      <c r="R695" s="322"/>
      <c r="S695" s="322"/>
      <c r="T695" s="322"/>
      <c r="U695" s="322"/>
      <c r="V695" s="322"/>
      <c r="W695" s="322"/>
      <c r="X695" s="322"/>
      <c r="Y695" s="322"/>
      <c r="Z695" s="322"/>
      <c r="AA695" s="322"/>
      <c r="AB695" s="322"/>
      <c r="AC695" s="322"/>
      <c r="AD695" s="322"/>
      <c r="AE695" s="322"/>
      <c r="AF695" s="322"/>
      <c r="AG695" s="322"/>
      <c r="AH695" s="322"/>
      <c r="AI695" s="322"/>
      <c r="AJ695" s="322"/>
      <c r="AK695" s="322"/>
    </row>
    <row r="696" spans="1:37" ht="18" customHeight="1">
      <c r="A696" s="322"/>
      <c r="B696" s="322"/>
      <c r="C696" s="451"/>
      <c r="D696" s="322"/>
      <c r="E696" s="322"/>
      <c r="F696" s="322"/>
      <c r="G696" s="322"/>
      <c r="H696" s="322"/>
      <c r="I696" s="322"/>
      <c r="J696" s="322"/>
      <c r="K696" s="322"/>
      <c r="L696" s="322"/>
      <c r="M696" s="322"/>
      <c r="N696" s="322"/>
      <c r="O696" s="322"/>
      <c r="P696" s="322"/>
      <c r="Q696" s="322"/>
      <c r="R696" s="322"/>
      <c r="S696" s="322"/>
      <c r="T696" s="322"/>
      <c r="U696" s="322"/>
      <c r="V696" s="322"/>
      <c r="W696" s="322"/>
      <c r="X696" s="322"/>
      <c r="Y696" s="322"/>
      <c r="Z696" s="322"/>
      <c r="AA696" s="322"/>
      <c r="AB696" s="322"/>
      <c r="AC696" s="322"/>
      <c r="AD696" s="322"/>
      <c r="AE696" s="322"/>
      <c r="AF696" s="322"/>
      <c r="AG696" s="322"/>
      <c r="AH696" s="322"/>
      <c r="AI696" s="322"/>
      <c r="AJ696" s="322"/>
      <c r="AK696" s="322"/>
    </row>
    <row r="697" spans="1:37" ht="18" customHeight="1">
      <c r="A697" s="322"/>
      <c r="B697" s="322"/>
      <c r="C697" s="451"/>
      <c r="D697" s="322"/>
      <c r="E697" s="322"/>
      <c r="F697" s="322"/>
      <c r="G697" s="322"/>
      <c r="H697" s="322"/>
      <c r="I697" s="322"/>
      <c r="J697" s="322"/>
      <c r="K697" s="322"/>
      <c r="L697" s="322"/>
      <c r="M697" s="322"/>
      <c r="N697" s="322"/>
      <c r="O697" s="322"/>
      <c r="P697" s="322"/>
      <c r="Q697" s="322"/>
      <c r="R697" s="322"/>
      <c r="S697" s="322"/>
      <c r="T697" s="322"/>
      <c r="U697" s="322"/>
      <c r="V697" s="322"/>
      <c r="W697" s="322"/>
      <c r="X697" s="322"/>
      <c r="Y697" s="322"/>
      <c r="Z697" s="322"/>
      <c r="AA697" s="322"/>
      <c r="AB697" s="322"/>
      <c r="AC697" s="322"/>
      <c r="AD697" s="322"/>
      <c r="AE697" s="322"/>
      <c r="AF697" s="322"/>
      <c r="AG697" s="322"/>
      <c r="AH697" s="322"/>
      <c r="AI697" s="322"/>
      <c r="AJ697" s="322"/>
      <c r="AK697" s="322"/>
    </row>
    <row r="698" spans="1:37" ht="18" customHeight="1">
      <c r="A698" s="322"/>
      <c r="B698" s="322"/>
      <c r="C698" s="451"/>
      <c r="D698" s="322"/>
      <c r="E698" s="322"/>
      <c r="F698" s="322"/>
      <c r="G698" s="322"/>
      <c r="H698" s="322"/>
      <c r="I698" s="322"/>
      <c r="J698" s="322"/>
      <c r="K698" s="322"/>
      <c r="L698" s="322"/>
      <c r="M698" s="322"/>
      <c r="N698" s="322"/>
      <c r="O698" s="322"/>
      <c r="P698" s="322"/>
      <c r="Q698" s="322"/>
      <c r="R698" s="322"/>
      <c r="S698" s="322"/>
      <c r="T698" s="322"/>
      <c r="U698" s="322"/>
      <c r="V698" s="322"/>
      <c r="W698" s="322"/>
      <c r="X698" s="322"/>
      <c r="Y698" s="322"/>
      <c r="Z698" s="322"/>
      <c r="AA698" s="322"/>
      <c r="AB698" s="322"/>
      <c r="AC698" s="322"/>
      <c r="AD698" s="322"/>
      <c r="AE698" s="322"/>
      <c r="AF698" s="322"/>
      <c r="AG698" s="322"/>
      <c r="AH698" s="322"/>
      <c r="AI698" s="322"/>
      <c r="AJ698" s="322"/>
      <c r="AK698" s="322"/>
    </row>
    <row r="699" spans="1:37" ht="18" customHeight="1">
      <c r="A699" s="322"/>
      <c r="B699" s="322"/>
      <c r="C699" s="451"/>
      <c r="D699" s="322"/>
      <c r="E699" s="322"/>
      <c r="F699" s="322"/>
      <c r="G699" s="322"/>
      <c r="H699" s="322"/>
      <c r="I699" s="322"/>
      <c r="J699" s="322"/>
      <c r="K699" s="322"/>
      <c r="L699" s="322"/>
      <c r="M699" s="322"/>
      <c r="N699" s="322"/>
      <c r="O699" s="322"/>
      <c r="P699" s="322"/>
      <c r="Q699" s="322"/>
      <c r="R699" s="322"/>
      <c r="S699" s="322"/>
      <c r="T699" s="322"/>
      <c r="U699" s="322"/>
      <c r="V699" s="322"/>
      <c r="W699" s="322"/>
      <c r="X699" s="322"/>
      <c r="Y699" s="322"/>
      <c r="Z699" s="322"/>
      <c r="AA699" s="322"/>
      <c r="AB699" s="322"/>
      <c r="AC699" s="322"/>
      <c r="AD699" s="322"/>
      <c r="AE699" s="322"/>
      <c r="AF699" s="322"/>
      <c r="AG699" s="322"/>
      <c r="AH699" s="322"/>
      <c r="AI699" s="322"/>
      <c r="AJ699" s="322"/>
      <c r="AK699" s="322"/>
    </row>
    <row r="700" spans="1:37" ht="18" customHeight="1">
      <c r="A700" s="322"/>
      <c r="B700" s="322"/>
      <c r="C700" s="451"/>
      <c r="D700" s="322"/>
      <c r="E700" s="322"/>
      <c r="F700" s="322"/>
      <c r="G700" s="322"/>
      <c r="H700" s="322"/>
      <c r="I700" s="322"/>
      <c r="J700" s="322"/>
      <c r="K700" s="322"/>
      <c r="L700" s="322"/>
      <c r="M700" s="322"/>
      <c r="N700" s="322"/>
      <c r="O700" s="322"/>
      <c r="P700" s="322"/>
      <c r="Q700" s="322"/>
      <c r="R700" s="322"/>
      <c r="S700" s="322"/>
      <c r="T700" s="322"/>
      <c r="U700" s="322"/>
      <c r="V700" s="322"/>
      <c r="W700" s="322"/>
      <c r="X700" s="322"/>
      <c r="Y700" s="322"/>
      <c r="Z700" s="322"/>
      <c r="AA700" s="322"/>
      <c r="AB700" s="322"/>
      <c r="AC700" s="322"/>
      <c r="AD700" s="322"/>
      <c r="AE700" s="322"/>
      <c r="AF700" s="322"/>
      <c r="AG700" s="322"/>
      <c r="AH700" s="322"/>
      <c r="AI700" s="322"/>
      <c r="AJ700" s="322"/>
      <c r="AK700" s="322"/>
    </row>
    <row r="701" spans="1:37" ht="18" customHeight="1">
      <c r="A701" s="322"/>
      <c r="B701" s="322"/>
      <c r="C701" s="451"/>
      <c r="D701" s="322"/>
      <c r="E701" s="322"/>
      <c r="F701" s="322"/>
      <c r="G701" s="322"/>
      <c r="H701" s="322"/>
      <c r="I701" s="322"/>
      <c r="J701" s="322"/>
      <c r="K701" s="322"/>
      <c r="L701" s="322"/>
      <c r="M701" s="322"/>
      <c r="N701" s="322"/>
      <c r="O701" s="322"/>
      <c r="P701" s="322"/>
      <c r="Q701" s="322"/>
      <c r="R701" s="322"/>
      <c r="S701" s="322"/>
      <c r="T701" s="322"/>
      <c r="U701" s="322"/>
      <c r="V701" s="322"/>
      <c r="W701" s="322"/>
      <c r="X701" s="322"/>
      <c r="Y701" s="322"/>
      <c r="Z701" s="322"/>
      <c r="AA701" s="322"/>
      <c r="AB701" s="322"/>
      <c r="AC701" s="322"/>
      <c r="AD701" s="322"/>
      <c r="AE701" s="322"/>
      <c r="AF701" s="322"/>
      <c r="AG701" s="322"/>
      <c r="AH701" s="322"/>
      <c r="AI701" s="322"/>
      <c r="AJ701" s="322"/>
      <c r="AK701" s="322"/>
    </row>
    <row r="702" spans="1:37" ht="18" customHeight="1">
      <c r="A702" s="322"/>
      <c r="B702" s="322"/>
      <c r="C702" s="451"/>
      <c r="D702" s="322"/>
      <c r="E702" s="322"/>
      <c r="F702" s="322"/>
      <c r="G702" s="322"/>
      <c r="H702" s="322"/>
      <c r="I702" s="322"/>
      <c r="J702" s="322"/>
      <c r="K702" s="322"/>
      <c r="L702" s="322"/>
      <c r="M702" s="322"/>
      <c r="N702" s="322"/>
      <c r="O702" s="322"/>
      <c r="P702" s="322"/>
      <c r="Q702" s="322"/>
      <c r="R702" s="322"/>
      <c r="S702" s="322"/>
      <c r="T702" s="322"/>
      <c r="U702" s="322"/>
      <c r="V702" s="322"/>
      <c r="W702" s="322"/>
      <c r="X702" s="322"/>
      <c r="Y702" s="322"/>
      <c r="Z702" s="322"/>
      <c r="AA702" s="322"/>
      <c r="AB702" s="322"/>
      <c r="AC702" s="322"/>
      <c r="AD702" s="322"/>
      <c r="AE702" s="322"/>
      <c r="AF702" s="322"/>
      <c r="AG702" s="322"/>
      <c r="AH702" s="322"/>
      <c r="AI702" s="322"/>
      <c r="AJ702" s="322"/>
      <c r="AK702" s="322"/>
    </row>
    <row r="703" spans="1:37" ht="18" customHeight="1">
      <c r="A703" s="322"/>
      <c r="B703" s="322"/>
      <c r="C703" s="451"/>
      <c r="D703" s="322"/>
      <c r="E703" s="322"/>
      <c r="F703" s="322"/>
      <c r="G703" s="322"/>
      <c r="H703" s="322"/>
      <c r="I703" s="322"/>
      <c r="J703" s="322"/>
      <c r="K703" s="322"/>
      <c r="L703" s="322"/>
      <c r="M703" s="322"/>
      <c r="N703" s="322"/>
      <c r="O703" s="322"/>
      <c r="P703" s="322"/>
      <c r="Q703" s="322"/>
      <c r="R703" s="322"/>
      <c r="S703" s="322"/>
      <c r="T703" s="322"/>
      <c r="U703" s="322"/>
      <c r="V703" s="322"/>
      <c r="W703" s="322"/>
      <c r="X703" s="322"/>
      <c r="Y703" s="322"/>
      <c r="Z703" s="322"/>
      <c r="AA703" s="322"/>
      <c r="AB703" s="322"/>
      <c r="AC703" s="322"/>
      <c r="AD703" s="322"/>
      <c r="AE703" s="322"/>
      <c r="AF703" s="322"/>
      <c r="AG703" s="322"/>
      <c r="AH703" s="322"/>
      <c r="AI703" s="322"/>
      <c r="AJ703" s="322"/>
      <c r="AK703" s="322"/>
    </row>
    <row r="704" spans="1:37" ht="18" customHeight="1">
      <c r="A704" s="322"/>
      <c r="B704" s="322"/>
      <c r="C704" s="451"/>
      <c r="D704" s="322"/>
      <c r="E704" s="322"/>
      <c r="F704" s="322"/>
      <c r="G704" s="322"/>
      <c r="H704" s="322"/>
      <c r="I704" s="322"/>
      <c r="J704" s="322"/>
      <c r="K704" s="322"/>
      <c r="L704" s="322"/>
      <c r="M704" s="322"/>
      <c r="N704" s="322"/>
      <c r="O704" s="322"/>
      <c r="P704" s="322"/>
      <c r="Q704" s="322"/>
      <c r="R704" s="322"/>
      <c r="S704" s="322"/>
      <c r="T704" s="322"/>
      <c r="U704" s="322"/>
      <c r="V704" s="322"/>
      <c r="W704" s="322"/>
      <c r="X704" s="322"/>
      <c r="Y704" s="322"/>
      <c r="Z704" s="322"/>
      <c r="AA704" s="322"/>
      <c r="AB704" s="322"/>
      <c r="AC704" s="322"/>
      <c r="AD704" s="322"/>
      <c r="AE704" s="322"/>
      <c r="AF704" s="322"/>
      <c r="AG704" s="322"/>
      <c r="AH704" s="322"/>
      <c r="AI704" s="322"/>
      <c r="AJ704" s="322"/>
      <c r="AK704" s="322"/>
    </row>
    <row r="705" spans="1:37" ht="18" customHeight="1">
      <c r="A705" s="322"/>
      <c r="B705" s="322"/>
      <c r="C705" s="451"/>
      <c r="D705" s="322"/>
      <c r="E705" s="322"/>
      <c r="F705" s="322"/>
      <c r="G705" s="322"/>
      <c r="H705" s="322"/>
      <c r="I705" s="322"/>
      <c r="J705" s="322"/>
      <c r="K705" s="322"/>
      <c r="L705" s="322"/>
      <c r="M705" s="322"/>
      <c r="N705" s="322"/>
      <c r="O705" s="322"/>
      <c r="P705" s="322"/>
      <c r="Q705" s="322"/>
      <c r="R705" s="322"/>
      <c r="S705" s="322"/>
      <c r="T705" s="322"/>
      <c r="U705" s="322"/>
      <c r="V705" s="322"/>
      <c r="W705" s="322"/>
      <c r="X705" s="322"/>
      <c r="Y705" s="322"/>
      <c r="Z705" s="322"/>
      <c r="AA705" s="322"/>
      <c r="AB705" s="322"/>
      <c r="AC705" s="322"/>
      <c r="AD705" s="322"/>
      <c r="AE705" s="322"/>
      <c r="AF705" s="322"/>
      <c r="AG705" s="322"/>
      <c r="AH705" s="322"/>
      <c r="AI705" s="322"/>
      <c r="AJ705" s="322"/>
      <c r="AK705" s="322"/>
    </row>
    <row r="706" spans="1:37" ht="18" customHeight="1">
      <c r="A706" s="322"/>
      <c r="B706" s="322"/>
      <c r="C706" s="451"/>
      <c r="D706" s="322"/>
      <c r="E706" s="322"/>
      <c r="F706" s="322"/>
      <c r="G706" s="322"/>
      <c r="H706" s="322"/>
      <c r="I706" s="322"/>
      <c r="J706" s="322"/>
      <c r="K706" s="322"/>
      <c r="L706" s="322"/>
      <c r="M706" s="322"/>
      <c r="N706" s="322"/>
      <c r="O706" s="322"/>
      <c r="P706" s="322"/>
      <c r="Q706" s="322"/>
      <c r="R706" s="322"/>
      <c r="S706" s="322"/>
      <c r="T706" s="322"/>
      <c r="U706" s="322"/>
      <c r="V706" s="322"/>
      <c r="W706" s="322"/>
      <c r="X706" s="322"/>
      <c r="Y706" s="322"/>
      <c r="Z706" s="322"/>
      <c r="AA706" s="322"/>
      <c r="AB706" s="322"/>
      <c r="AC706" s="322"/>
      <c r="AD706" s="322"/>
      <c r="AE706" s="322"/>
      <c r="AF706" s="322"/>
      <c r="AG706" s="322"/>
      <c r="AH706" s="322"/>
      <c r="AI706" s="322"/>
      <c r="AJ706" s="322"/>
      <c r="AK706" s="322"/>
    </row>
    <row r="707" spans="1:37" ht="18" customHeight="1">
      <c r="A707" s="322"/>
      <c r="B707" s="322"/>
      <c r="C707" s="451"/>
      <c r="D707" s="322"/>
      <c r="E707" s="322"/>
      <c r="F707" s="322"/>
      <c r="G707" s="322"/>
      <c r="H707" s="322"/>
      <c r="I707" s="322"/>
      <c r="J707" s="322"/>
      <c r="K707" s="322"/>
      <c r="L707" s="322"/>
      <c r="M707" s="322"/>
      <c r="N707" s="322"/>
      <c r="O707" s="322"/>
      <c r="P707" s="322"/>
      <c r="Q707" s="322"/>
      <c r="R707" s="322"/>
      <c r="S707" s="322"/>
      <c r="T707" s="322"/>
      <c r="U707" s="322"/>
      <c r="V707" s="322"/>
      <c r="W707" s="322"/>
      <c r="X707" s="322"/>
      <c r="Y707" s="322"/>
      <c r="Z707" s="322"/>
      <c r="AA707" s="322"/>
      <c r="AB707" s="322"/>
      <c r="AC707" s="322"/>
      <c r="AD707" s="322"/>
      <c r="AE707" s="322"/>
      <c r="AF707" s="322"/>
      <c r="AG707" s="322"/>
      <c r="AH707" s="322"/>
      <c r="AI707" s="322"/>
      <c r="AJ707" s="322"/>
      <c r="AK707" s="322"/>
    </row>
    <row r="708" spans="1:37" ht="18" customHeight="1">
      <c r="A708" s="322"/>
      <c r="B708" s="322"/>
      <c r="C708" s="451"/>
      <c r="D708" s="322"/>
      <c r="E708" s="322"/>
      <c r="F708" s="322"/>
      <c r="G708" s="322"/>
      <c r="H708" s="322"/>
      <c r="I708" s="322"/>
      <c r="J708" s="322"/>
      <c r="K708" s="322"/>
      <c r="L708" s="322"/>
      <c r="M708" s="322"/>
      <c r="N708" s="322"/>
      <c r="O708" s="322"/>
      <c r="P708" s="322"/>
      <c r="Q708" s="322"/>
      <c r="R708" s="322"/>
      <c r="S708" s="322"/>
      <c r="T708" s="322"/>
      <c r="U708" s="322"/>
      <c r="V708" s="322"/>
      <c r="W708" s="322"/>
      <c r="X708" s="322"/>
      <c r="Y708" s="322"/>
      <c r="Z708" s="322"/>
      <c r="AA708" s="322"/>
      <c r="AB708" s="322"/>
      <c r="AC708" s="322"/>
      <c r="AD708" s="322"/>
      <c r="AE708" s="322"/>
      <c r="AF708" s="322"/>
      <c r="AG708" s="322"/>
      <c r="AH708" s="322"/>
      <c r="AI708" s="322"/>
      <c r="AJ708" s="322"/>
      <c r="AK708" s="322"/>
    </row>
    <row r="709" spans="1:37" ht="18" customHeight="1">
      <c r="A709" s="322"/>
      <c r="B709" s="322"/>
      <c r="C709" s="451"/>
      <c r="D709" s="322"/>
      <c r="E709" s="322"/>
      <c r="F709" s="322"/>
      <c r="G709" s="322"/>
      <c r="H709" s="322"/>
      <c r="I709" s="322"/>
      <c r="J709" s="322"/>
      <c r="K709" s="322"/>
      <c r="L709" s="322"/>
      <c r="M709" s="322"/>
      <c r="N709" s="322"/>
      <c r="O709" s="322"/>
      <c r="P709" s="322"/>
      <c r="Q709" s="322"/>
      <c r="R709" s="322"/>
      <c r="S709" s="322"/>
      <c r="T709" s="322"/>
      <c r="U709" s="322"/>
      <c r="V709" s="322"/>
      <c r="W709" s="322"/>
      <c r="X709" s="322"/>
      <c r="Y709" s="322"/>
      <c r="Z709" s="322"/>
      <c r="AA709" s="322"/>
      <c r="AB709" s="322"/>
      <c r="AC709" s="322"/>
      <c r="AD709" s="322"/>
      <c r="AE709" s="322"/>
      <c r="AF709" s="322"/>
      <c r="AG709" s="322"/>
      <c r="AH709" s="322"/>
      <c r="AI709" s="322"/>
      <c r="AJ709" s="322"/>
      <c r="AK709" s="322"/>
    </row>
    <row r="710" spans="1:37" ht="18" customHeight="1">
      <c r="A710" s="322"/>
      <c r="B710" s="322"/>
      <c r="C710" s="451"/>
      <c r="D710" s="322"/>
      <c r="E710" s="322"/>
      <c r="F710" s="322"/>
      <c r="G710" s="322"/>
      <c r="H710" s="322"/>
      <c r="I710" s="322"/>
      <c r="J710" s="322"/>
      <c r="K710" s="322"/>
      <c r="L710" s="322"/>
      <c r="M710" s="322"/>
      <c r="N710" s="322"/>
      <c r="O710" s="322"/>
      <c r="P710" s="322"/>
      <c r="Q710" s="322"/>
      <c r="R710" s="322"/>
      <c r="S710" s="322"/>
      <c r="T710" s="322"/>
      <c r="U710" s="322"/>
      <c r="V710" s="322"/>
      <c r="W710" s="322"/>
      <c r="X710" s="322"/>
      <c r="Y710" s="322"/>
      <c r="Z710" s="322"/>
      <c r="AA710" s="322"/>
      <c r="AB710" s="322"/>
      <c r="AC710" s="322"/>
      <c r="AD710" s="322"/>
      <c r="AE710" s="322"/>
      <c r="AF710" s="322"/>
      <c r="AG710" s="322"/>
      <c r="AH710" s="322"/>
      <c r="AI710" s="322"/>
      <c r="AJ710" s="322"/>
      <c r="AK710" s="322"/>
    </row>
    <row r="711" spans="1:37" ht="18" customHeight="1">
      <c r="A711" s="322"/>
      <c r="B711" s="322"/>
      <c r="C711" s="451"/>
      <c r="D711" s="322"/>
      <c r="E711" s="322"/>
      <c r="F711" s="322"/>
      <c r="G711" s="322"/>
      <c r="H711" s="322"/>
      <c r="I711" s="322"/>
      <c r="J711" s="322"/>
      <c r="K711" s="322"/>
      <c r="L711" s="322"/>
      <c r="M711" s="322"/>
      <c r="N711" s="322"/>
      <c r="O711" s="322"/>
      <c r="P711" s="322"/>
      <c r="Q711" s="322"/>
      <c r="R711" s="322"/>
      <c r="S711" s="322"/>
      <c r="T711" s="322"/>
      <c r="U711" s="322"/>
      <c r="V711" s="322"/>
      <c r="W711" s="322"/>
      <c r="X711" s="322"/>
      <c r="Y711" s="322"/>
      <c r="Z711" s="322"/>
      <c r="AA711" s="322"/>
      <c r="AB711" s="322"/>
      <c r="AC711" s="322"/>
      <c r="AD711" s="322"/>
      <c r="AE711" s="322"/>
      <c r="AF711" s="322"/>
      <c r="AG711" s="322"/>
      <c r="AH711" s="322"/>
      <c r="AI711" s="322"/>
      <c r="AJ711" s="322"/>
      <c r="AK711" s="322"/>
    </row>
    <row r="712" spans="1:37" ht="18" customHeight="1">
      <c r="A712" s="322"/>
      <c r="B712" s="322"/>
      <c r="C712" s="451"/>
      <c r="D712" s="322"/>
      <c r="E712" s="322"/>
      <c r="F712" s="322"/>
      <c r="G712" s="322"/>
      <c r="H712" s="322"/>
      <c r="I712" s="322"/>
      <c r="J712" s="322"/>
      <c r="K712" s="322"/>
      <c r="L712" s="322"/>
      <c r="M712" s="322"/>
      <c r="N712" s="322"/>
      <c r="O712" s="322"/>
      <c r="P712" s="322"/>
      <c r="Q712" s="322"/>
      <c r="R712" s="322"/>
      <c r="S712" s="322"/>
      <c r="T712" s="322"/>
      <c r="U712" s="322"/>
      <c r="V712" s="322"/>
      <c r="W712" s="322"/>
      <c r="X712" s="322"/>
      <c r="Y712" s="322"/>
      <c r="Z712" s="322"/>
      <c r="AA712" s="322"/>
      <c r="AB712" s="322"/>
      <c r="AC712" s="322"/>
      <c r="AD712" s="322"/>
      <c r="AE712" s="322"/>
      <c r="AF712" s="322"/>
      <c r="AG712" s="322"/>
      <c r="AH712" s="322"/>
      <c r="AI712" s="322"/>
      <c r="AJ712" s="322"/>
      <c r="AK712" s="322"/>
    </row>
    <row r="713" spans="1:37" ht="18" customHeight="1">
      <c r="A713" s="322"/>
      <c r="B713" s="322"/>
      <c r="C713" s="451"/>
      <c r="D713" s="322"/>
      <c r="E713" s="322"/>
      <c r="F713" s="322"/>
      <c r="G713" s="322"/>
      <c r="H713" s="322"/>
      <c r="I713" s="322"/>
      <c r="J713" s="322"/>
      <c r="K713" s="322"/>
      <c r="L713" s="322"/>
      <c r="M713" s="322"/>
      <c r="N713" s="322"/>
      <c r="O713" s="322"/>
      <c r="P713" s="322"/>
      <c r="Q713" s="322"/>
      <c r="R713" s="322"/>
      <c r="S713" s="322"/>
      <c r="T713" s="322"/>
      <c r="U713" s="322"/>
      <c r="V713" s="322"/>
      <c r="W713" s="322"/>
      <c r="X713" s="322"/>
      <c r="Y713" s="322"/>
      <c r="Z713" s="322"/>
      <c r="AA713" s="322"/>
      <c r="AB713" s="322"/>
      <c r="AC713" s="322"/>
      <c r="AD713" s="322"/>
      <c r="AE713" s="322"/>
      <c r="AF713" s="322"/>
      <c r="AG713" s="322"/>
      <c r="AH713" s="322"/>
      <c r="AI713" s="322"/>
      <c r="AJ713" s="322"/>
      <c r="AK713" s="322"/>
    </row>
    <row r="714" spans="1:37" ht="18" customHeight="1">
      <c r="A714" s="322"/>
      <c r="B714" s="322"/>
      <c r="C714" s="451"/>
      <c r="D714" s="322"/>
      <c r="E714" s="322"/>
      <c r="F714" s="322"/>
      <c r="G714" s="322"/>
      <c r="H714" s="322"/>
      <c r="I714" s="322"/>
      <c r="J714" s="322"/>
      <c r="K714" s="322"/>
      <c r="L714" s="322"/>
      <c r="M714" s="322"/>
      <c r="N714" s="322"/>
      <c r="O714" s="322"/>
      <c r="P714" s="322"/>
      <c r="Q714" s="322"/>
      <c r="R714" s="322"/>
      <c r="S714" s="322"/>
      <c r="T714" s="322"/>
      <c r="U714" s="322"/>
      <c r="V714" s="322"/>
      <c r="W714" s="322"/>
      <c r="X714" s="322"/>
      <c r="Y714" s="322"/>
      <c r="Z714" s="322"/>
      <c r="AA714" s="322"/>
      <c r="AB714" s="322"/>
      <c r="AC714" s="322"/>
      <c r="AD714" s="322"/>
      <c r="AE714" s="322"/>
      <c r="AF714" s="322"/>
      <c r="AG714" s="322"/>
      <c r="AH714" s="322"/>
      <c r="AI714" s="322"/>
      <c r="AJ714" s="322"/>
      <c r="AK714" s="322"/>
    </row>
    <row r="715" spans="1:37" ht="18" customHeight="1">
      <c r="A715" s="322"/>
      <c r="B715" s="322"/>
      <c r="C715" s="451"/>
      <c r="D715" s="322"/>
      <c r="E715" s="322"/>
      <c r="F715" s="322"/>
      <c r="G715" s="322"/>
      <c r="H715" s="322"/>
      <c r="I715" s="322"/>
      <c r="J715" s="322"/>
      <c r="K715" s="322"/>
      <c r="L715" s="322"/>
      <c r="M715" s="322"/>
      <c r="N715" s="322"/>
      <c r="O715" s="322"/>
      <c r="P715" s="322"/>
      <c r="Q715" s="322"/>
      <c r="R715" s="322"/>
      <c r="S715" s="322"/>
      <c r="T715" s="322"/>
      <c r="U715" s="322"/>
      <c r="V715" s="322"/>
      <c r="W715" s="322"/>
      <c r="X715" s="322"/>
      <c r="Y715" s="322"/>
      <c r="Z715" s="322"/>
      <c r="AA715" s="322"/>
      <c r="AB715" s="322"/>
      <c r="AC715" s="322"/>
      <c r="AD715" s="322"/>
      <c r="AE715" s="322"/>
      <c r="AF715" s="322"/>
      <c r="AG715" s="322"/>
      <c r="AH715" s="322"/>
      <c r="AI715" s="322"/>
      <c r="AJ715" s="322"/>
      <c r="AK715" s="322"/>
    </row>
    <row r="716" spans="1:37" ht="18" customHeight="1">
      <c r="A716" s="322"/>
      <c r="B716" s="322"/>
      <c r="C716" s="451"/>
      <c r="D716" s="322"/>
      <c r="E716" s="322"/>
      <c r="F716" s="322"/>
      <c r="G716" s="322"/>
      <c r="H716" s="322"/>
      <c r="I716" s="322"/>
      <c r="J716" s="322"/>
      <c r="K716" s="322"/>
      <c r="L716" s="322"/>
      <c r="M716" s="322"/>
      <c r="N716" s="322"/>
      <c r="O716" s="322"/>
      <c r="P716" s="322"/>
      <c r="Q716" s="322"/>
      <c r="R716" s="322"/>
      <c r="S716" s="322"/>
      <c r="T716" s="322"/>
      <c r="U716" s="322"/>
      <c r="V716" s="322"/>
      <c r="W716" s="322"/>
      <c r="X716" s="322"/>
      <c r="Y716" s="322"/>
      <c r="Z716" s="322"/>
      <c r="AA716" s="322"/>
      <c r="AB716" s="322"/>
      <c r="AC716" s="322"/>
      <c r="AD716" s="322"/>
      <c r="AE716" s="322"/>
      <c r="AF716" s="322"/>
      <c r="AG716" s="322"/>
      <c r="AH716" s="322"/>
      <c r="AI716" s="322"/>
      <c r="AJ716" s="322"/>
      <c r="AK716" s="322"/>
    </row>
    <row r="717" spans="1:37" ht="18" customHeight="1">
      <c r="A717" s="322"/>
      <c r="B717" s="322"/>
      <c r="C717" s="451"/>
      <c r="D717" s="322"/>
      <c r="E717" s="322"/>
      <c r="F717" s="322"/>
      <c r="G717" s="322"/>
      <c r="H717" s="322"/>
      <c r="I717" s="322"/>
      <c r="J717" s="322"/>
      <c r="K717" s="322"/>
      <c r="L717" s="322"/>
      <c r="M717" s="322"/>
      <c r="N717" s="322"/>
      <c r="O717" s="322"/>
      <c r="P717" s="322"/>
      <c r="Q717" s="322"/>
      <c r="R717" s="322"/>
      <c r="S717" s="322"/>
      <c r="T717" s="322"/>
      <c r="U717" s="322"/>
      <c r="V717" s="322"/>
      <c r="W717" s="322"/>
      <c r="X717" s="322"/>
      <c r="Y717" s="322"/>
      <c r="Z717" s="322"/>
      <c r="AA717" s="322"/>
      <c r="AB717" s="322"/>
      <c r="AC717" s="322"/>
      <c r="AD717" s="322"/>
      <c r="AE717" s="322"/>
      <c r="AF717" s="322"/>
      <c r="AG717" s="322"/>
      <c r="AH717" s="322"/>
      <c r="AI717" s="322"/>
      <c r="AJ717" s="322"/>
      <c r="AK717" s="322"/>
    </row>
    <row r="718" spans="1:37" ht="18" customHeight="1">
      <c r="A718" s="322"/>
      <c r="B718" s="322"/>
      <c r="C718" s="451"/>
      <c r="D718" s="322"/>
      <c r="E718" s="322"/>
      <c r="F718" s="322"/>
      <c r="G718" s="322"/>
      <c r="H718" s="322"/>
      <c r="I718" s="322"/>
      <c r="J718" s="322"/>
      <c r="K718" s="322"/>
      <c r="L718" s="322"/>
      <c r="M718" s="322"/>
      <c r="N718" s="322"/>
      <c r="O718" s="322"/>
      <c r="P718" s="322"/>
      <c r="Q718" s="322"/>
      <c r="R718" s="322"/>
      <c r="S718" s="322"/>
      <c r="T718" s="322"/>
      <c r="U718" s="322"/>
      <c r="V718" s="322"/>
      <c r="W718" s="322"/>
      <c r="X718" s="322"/>
      <c r="Y718" s="322"/>
      <c r="Z718" s="322"/>
      <c r="AA718" s="322"/>
      <c r="AB718" s="322"/>
      <c r="AC718" s="322"/>
      <c r="AD718" s="322"/>
      <c r="AE718" s="322"/>
      <c r="AF718" s="322"/>
      <c r="AG718" s="322"/>
      <c r="AH718" s="322"/>
      <c r="AI718" s="322"/>
      <c r="AJ718" s="322"/>
      <c r="AK718" s="322"/>
    </row>
    <row r="719" spans="1:37" ht="18" customHeight="1">
      <c r="A719" s="322"/>
      <c r="B719" s="322"/>
      <c r="C719" s="451"/>
      <c r="D719" s="322"/>
      <c r="E719" s="322"/>
      <c r="F719" s="322"/>
      <c r="G719" s="322"/>
      <c r="H719" s="322"/>
      <c r="I719" s="322"/>
      <c r="J719" s="322"/>
      <c r="K719" s="322"/>
      <c r="L719" s="322"/>
      <c r="M719" s="322"/>
      <c r="N719" s="322"/>
      <c r="O719" s="322"/>
      <c r="P719" s="322"/>
      <c r="Q719" s="322"/>
      <c r="R719" s="322"/>
      <c r="S719" s="322"/>
      <c r="T719" s="322"/>
      <c r="U719" s="322"/>
      <c r="V719" s="322"/>
      <c r="W719" s="322"/>
      <c r="X719" s="322"/>
      <c r="Y719" s="322"/>
      <c r="Z719" s="322"/>
      <c r="AA719" s="322"/>
      <c r="AB719" s="322"/>
      <c r="AC719" s="322"/>
      <c r="AD719" s="322"/>
      <c r="AE719" s="322"/>
      <c r="AF719" s="322"/>
      <c r="AG719" s="322"/>
      <c r="AH719" s="322"/>
      <c r="AI719" s="322"/>
      <c r="AJ719" s="322"/>
      <c r="AK719" s="322"/>
    </row>
    <row r="720" spans="1:37" ht="18" customHeight="1">
      <c r="A720" s="322"/>
      <c r="B720" s="322"/>
      <c r="C720" s="451"/>
      <c r="D720" s="322"/>
      <c r="E720" s="322"/>
      <c r="F720" s="322"/>
      <c r="G720" s="322"/>
      <c r="H720" s="322"/>
      <c r="I720" s="322"/>
      <c r="J720" s="322"/>
      <c r="K720" s="322"/>
      <c r="L720" s="322"/>
      <c r="M720" s="322"/>
      <c r="N720" s="322"/>
      <c r="O720" s="322"/>
      <c r="P720" s="322"/>
      <c r="Q720" s="322"/>
      <c r="R720" s="322"/>
      <c r="S720" s="322"/>
      <c r="T720" s="322"/>
      <c r="U720" s="322"/>
      <c r="V720" s="322"/>
      <c r="W720" s="322"/>
      <c r="X720" s="322"/>
      <c r="Y720" s="322"/>
      <c r="Z720" s="322"/>
      <c r="AA720" s="322"/>
      <c r="AB720" s="322"/>
      <c r="AC720" s="322"/>
      <c r="AD720" s="322"/>
      <c r="AE720" s="322"/>
      <c r="AF720" s="322"/>
      <c r="AG720" s="322"/>
      <c r="AH720" s="322"/>
      <c r="AI720" s="322"/>
      <c r="AJ720" s="322"/>
      <c r="AK720" s="322"/>
    </row>
    <row r="721" spans="1:37" ht="18" customHeight="1">
      <c r="A721" s="322"/>
      <c r="B721" s="322"/>
      <c r="C721" s="451"/>
      <c r="D721" s="322"/>
      <c r="E721" s="322"/>
      <c r="F721" s="322"/>
      <c r="G721" s="322"/>
      <c r="H721" s="322"/>
      <c r="I721" s="322"/>
      <c r="J721" s="322"/>
      <c r="K721" s="322"/>
      <c r="L721" s="322"/>
      <c r="M721" s="322"/>
      <c r="N721" s="322"/>
      <c r="O721" s="322"/>
      <c r="P721" s="322"/>
      <c r="Q721" s="322"/>
      <c r="R721" s="322"/>
      <c r="S721" s="322"/>
      <c r="T721" s="322"/>
      <c r="U721" s="322"/>
      <c r="V721" s="322"/>
      <c r="W721" s="322"/>
      <c r="X721" s="322"/>
      <c r="Y721" s="322"/>
      <c r="Z721" s="322"/>
      <c r="AA721" s="322"/>
      <c r="AB721" s="322"/>
      <c r="AC721" s="322"/>
      <c r="AD721" s="322"/>
      <c r="AE721" s="322"/>
      <c r="AF721" s="322"/>
      <c r="AG721" s="322"/>
      <c r="AH721" s="322"/>
      <c r="AI721" s="322"/>
      <c r="AJ721" s="322"/>
      <c r="AK721" s="322"/>
    </row>
    <row r="722" spans="1:37" ht="18" customHeight="1">
      <c r="A722" s="322"/>
      <c r="B722" s="322"/>
      <c r="C722" s="451"/>
      <c r="D722" s="322"/>
      <c r="E722" s="322"/>
      <c r="F722" s="322"/>
      <c r="G722" s="322"/>
      <c r="H722" s="322"/>
      <c r="I722" s="322"/>
      <c r="J722" s="322"/>
      <c r="K722" s="322"/>
      <c r="L722" s="322"/>
      <c r="M722" s="322"/>
      <c r="N722" s="322"/>
      <c r="O722" s="322"/>
      <c r="P722" s="322"/>
      <c r="Q722" s="322"/>
      <c r="R722" s="322"/>
      <c r="S722" s="322"/>
      <c r="T722" s="322"/>
      <c r="U722" s="322"/>
      <c r="V722" s="322"/>
      <c r="W722" s="322"/>
      <c r="X722" s="322"/>
      <c r="Y722" s="322"/>
      <c r="Z722" s="322"/>
      <c r="AA722" s="322"/>
      <c r="AB722" s="322"/>
      <c r="AC722" s="322"/>
      <c r="AD722" s="322"/>
      <c r="AE722" s="322"/>
      <c r="AF722" s="322"/>
      <c r="AG722" s="322"/>
      <c r="AH722" s="322"/>
      <c r="AI722" s="322"/>
      <c r="AJ722" s="322"/>
      <c r="AK722" s="322"/>
    </row>
    <row r="723" spans="1:37" ht="18" customHeight="1">
      <c r="A723" s="322"/>
      <c r="B723" s="322"/>
      <c r="C723" s="451"/>
      <c r="D723" s="322"/>
      <c r="E723" s="322"/>
      <c r="F723" s="322"/>
      <c r="G723" s="322"/>
      <c r="H723" s="322"/>
      <c r="I723" s="322"/>
      <c r="J723" s="322"/>
      <c r="K723" s="322"/>
      <c r="L723" s="322"/>
      <c r="M723" s="322"/>
      <c r="N723" s="322"/>
      <c r="O723" s="322"/>
      <c r="P723" s="322"/>
      <c r="Q723" s="322"/>
      <c r="R723" s="322"/>
      <c r="S723" s="322"/>
      <c r="T723" s="322"/>
      <c r="U723" s="322"/>
      <c r="V723" s="322"/>
      <c r="W723" s="322"/>
      <c r="X723" s="322"/>
      <c r="Y723" s="322"/>
      <c r="Z723" s="322"/>
      <c r="AA723" s="322"/>
      <c r="AB723" s="322"/>
      <c r="AC723" s="322"/>
      <c r="AD723" s="322"/>
      <c r="AE723" s="322"/>
      <c r="AF723" s="322"/>
      <c r="AG723" s="322"/>
      <c r="AH723" s="322"/>
      <c r="AI723" s="322"/>
      <c r="AJ723" s="322"/>
      <c r="AK723" s="322"/>
    </row>
    <row r="724" spans="1:37" ht="18" customHeight="1">
      <c r="A724" s="322"/>
      <c r="B724" s="322"/>
      <c r="C724" s="451"/>
      <c r="D724" s="322"/>
      <c r="E724" s="322"/>
      <c r="F724" s="322"/>
      <c r="G724" s="322"/>
      <c r="H724" s="322"/>
      <c r="I724" s="322"/>
      <c r="J724" s="322"/>
      <c r="K724" s="322"/>
      <c r="L724" s="322"/>
      <c r="M724" s="322"/>
      <c r="N724" s="322"/>
      <c r="O724" s="322"/>
      <c r="P724" s="322"/>
      <c r="Q724" s="322"/>
      <c r="R724" s="322"/>
      <c r="S724" s="322"/>
      <c r="T724" s="322"/>
      <c r="U724" s="322"/>
      <c r="V724" s="322"/>
      <c r="W724" s="322"/>
      <c r="X724" s="322"/>
      <c r="Y724" s="322"/>
      <c r="Z724" s="322"/>
      <c r="AA724" s="322"/>
      <c r="AB724" s="322"/>
      <c r="AC724" s="322"/>
      <c r="AD724" s="322"/>
      <c r="AE724" s="322"/>
      <c r="AF724" s="322"/>
      <c r="AG724" s="322"/>
      <c r="AH724" s="322"/>
      <c r="AI724" s="322"/>
      <c r="AJ724" s="322"/>
      <c r="AK724" s="322"/>
    </row>
    <row r="725" spans="1:37" ht="18" customHeight="1">
      <c r="A725" s="322"/>
      <c r="B725" s="322"/>
      <c r="C725" s="451"/>
      <c r="D725" s="322"/>
      <c r="E725" s="322"/>
      <c r="F725" s="322"/>
      <c r="G725" s="322"/>
      <c r="H725" s="322"/>
      <c r="I725" s="322"/>
      <c r="J725" s="322"/>
      <c r="K725" s="322"/>
      <c r="L725" s="322"/>
      <c r="M725" s="322"/>
      <c r="N725" s="322"/>
      <c r="O725" s="322"/>
      <c r="P725" s="322"/>
      <c r="Q725" s="322"/>
      <c r="R725" s="322"/>
      <c r="S725" s="322"/>
      <c r="T725" s="322"/>
      <c r="U725" s="322"/>
      <c r="V725" s="322"/>
      <c r="W725" s="322"/>
      <c r="X725" s="322"/>
      <c r="Y725" s="322"/>
      <c r="Z725" s="322"/>
      <c r="AA725" s="322"/>
      <c r="AB725" s="322"/>
      <c r="AC725" s="322"/>
      <c r="AD725" s="322"/>
      <c r="AE725" s="322"/>
      <c r="AF725" s="322"/>
      <c r="AG725" s="322"/>
      <c r="AH725" s="322"/>
      <c r="AI725" s="322"/>
      <c r="AJ725" s="322"/>
      <c r="AK725" s="322"/>
    </row>
    <row r="726" spans="1:37" ht="18" customHeight="1">
      <c r="A726" s="322"/>
      <c r="B726" s="322"/>
      <c r="C726" s="451"/>
      <c r="D726" s="322"/>
      <c r="E726" s="322"/>
      <c r="F726" s="322"/>
      <c r="G726" s="322"/>
      <c r="H726" s="322"/>
      <c r="I726" s="322"/>
      <c r="J726" s="322"/>
      <c r="K726" s="322"/>
      <c r="L726" s="322"/>
      <c r="M726" s="322"/>
      <c r="N726" s="322"/>
      <c r="O726" s="322"/>
      <c r="P726" s="322"/>
      <c r="Q726" s="322"/>
      <c r="R726" s="322"/>
      <c r="S726" s="322"/>
      <c r="T726" s="322"/>
      <c r="U726" s="322"/>
      <c r="V726" s="322"/>
      <c r="W726" s="322"/>
      <c r="X726" s="322"/>
      <c r="Y726" s="322"/>
      <c r="Z726" s="322"/>
      <c r="AA726" s="322"/>
      <c r="AB726" s="322"/>
      <c r="AC726" s="322"/>
      <c r="AD726" s="322"/>
      <c r="AE726" s="322"/>
      <c r="AF726" s="322"/>
      <c r="AG726" s="322"/>
      <c r="AH726" s="322"/>
      <c r="AI726" s="322"/>
      <c r="AJ726" s="322"/>
      <c r="AK726" s="322"/>
    </row>
    <row r="727" spans="1:37" ht="18" customHeight="1">
      <c r="A727" s="322"/>
      <c r="B727" s="322"/>
      <c r="C727" s="451"/>
      <c r="D727" s="322"/>
      <c r="E727" s="322"/>
      <c r="F727" s="322"/>
      <c r="G727" s="322"/>
      <c r="H727" s="322"/>
      <c r="I727" s="322"/>
      <c r="J727" s="322"/>
      <c r="K727" s="322"/>
      <c r="L727" s="322"/>
      <c r="M727" s="322"/>
      <c r="N727" s="322"/>
      <c r="O727" s="322"/>
      <c r="P727" s="322"/>
      <c r="Q727" s="322"/>
      <c r="R727" s="322"/>
      <c r="S727" s="322"/>
      <c r="T727" s="322"/>
      <c r="U727" s="322"/>
      <c r="V727" s="322"/>
      <c r="W727" s="322"/>
      <c r="X727" s="322"/>
      <c r="Y727" s="322"/>
      <c r="Z727" s="322"/>
      <c r="AA727" s="322"/>
      <c r="AB727" s="322"/>
      <c r="AC727" s="322"/>
      <c r="AD727" s="322"/>
      <c r="AE727" s="322"/>
      <c r="AF727" s="322"/>
      <c r="AG727" s="322"/>
      <c r="AH727" s="322"/>
      <c r="AI727" s="322"/>
      <c r="AJ727" s="322"/>
      <c r="AK727" s="322"/>
    </row>
    <row r="728" spans="1:37" ht="18" customHeight="1">
      <c r="A728" s="322"/>
      <c r="B728" s="322"/>
      <c r="C728" s="451"/>
      <c r="D728" s="322"/>
      <c r="E728" s="322"/>
      <c r="F728" s="322"/>
      <c r="G728" s="322"/>
      <c r="H728" s="322"/>
      <c r="I728" s="322"/>
      <c r="J728" s="322"/>
      <c r="K728" s="322"/>
      <c r="L728" s="322"/>
      <c r="M728" s="322"/>
      <c r="N728" s="322"/>
      <c r="O728" s="322"/>
      <c r="P728" s="322"/>
      <c r="Q728" s="322"/>
      <c r="R728" s="322"/>
      <c r="S728" s="322"/>
      <c r="T728" s="322"/>
      <c r="U728" s="322"/>
      <c r="V728" s="322"/>
      <c r="W728" s="322"/>
      <c r="X728" s="322"/>
      <c r="Y728" s="322"/>
      <c r="Z728" s="322"/>
      <c r="AA728" s="322"/>
      <c r="AB728" s="322"/>
      <c r="AC728" s="322"/>
      <c r="AD728" s="322"/>
      <c r="AE728" s="322"/>
      <c r="AF728" s="322"/>
      <c r="AG728" s="322"/>
      <c r="AH728" s="322"/>
      <c r="AI728" s="322"/>
      <c r="AJ728" s="322"/>
      <c r="AK728" s="322"/>
    </row>
    <row r="729" spans="1:37" ht="18" customHeight="1">
      <c r="A729" s="322"/>
      <c r="B729" s="322"/>
      <c r="C729" s="451"/>
      <c r="D729" s="322"/>
      <c r="E729" s="322"/>
      <c r="F729" s="322"/>
      <c r="G729" s="322"/>
      <c r="H729" s="322"/>
      <c r="I729" s="322"/>
      <c r="J729" s="322"/>
      <c r="K729" s="322"/>
      <c r="L729" s="322"/>
      <c r="M729" s="322"/>
      <c r="N729" s="322"/>
      <c r="O729" s="322"/>
      <c r="P729" s="322"/>
      <c r="Q729" s="322"/>
      <c r="R729" s="322"/>
      <c r="S729" s="322"/>
      <c r="T729" s="322"/>
      <c r="U729" s="322"/>
      <c r="V729" s="322"/>
      <c r="W729" s="322"/>
      <c r="X729" s="322"/>
      <c r="Y729" s="322"/>
      <c r="Z729" s="322"/>
      <c r="AA729" s="322"/>
      <c r="AB729" s="322"/>
      <c r="AC729" s="322"/>
      <c r="AD729" s="322"/>
      <c r="AE729" s="322"/>
      <c r="AF729" s="322"/>
      <c r="AG729" s="322"/>
      <c r="AH729" s="322"/>
      <c r="AI729" s="322"/>
      <c r="AJ729" s="322"/>
      <c r="AK729" s="322"/>
    </row>
    <row r="730" spans="1:37" ht="18" customHeight="1">
      <c r="A730" s="322"/>
      <c r="B730" s="322"/>
      <c r="C730" s="451"/>
      <c r="D730" s="322"/>
      <c r="E730" s="322"/>
      <c r="F730" s="322"/>
      <c r="G730" s="322"/>
      <c r="H730" s="322"/>
      <c r="I730" s="322"/>
      <c r="J730" s="322"/>
      <c r="K730" s="322"/>
      <c r="L730" s="322"/>
      <c r="M730" s="322"/>
      <c r="N730" s="322"/>
      <c r="O730" s="322"/>
      <c r="P730" s="322"/>
      <c r="Q730" s="322"/>
      <c r="R730" s="322"/>
      <c r="S730" s="322"/>
      <c r="T730" s="322"/>
      <c r="U730" s="322"/>
      <c r="V730" s="322"/>
      <c r="W730" s="322"/>
      <c r="X730" s="322"/>
      <c r="Y730" s="322"/>
      <c r="Z730" s="322"/>
      <c r="AA730" s="322"/>
      <c r="AB730" s="322"/>
      <c r="AC730" s="322"/>
      <c r="AD730" s="322"/>
      <c r="AE730" s="322"/>
      <c r="AF730" s="322"/>
      <c r="AG730" s="322"/>
      <c r="AH730" s="322"/>
      <c r="AI730" s="322"/>
      <c r="AJ730" s="322"/>
      <c r="AK730" s="322"/>
    </row>
    <row r="731" spans="1:37" ht="18" customHeight="1">
      <c r="A731" s="322"/>
      <c r="B731" s="322"/>
      <c r="C731" s="451"/>
      <c r="D731" s="322"/>
      <c r="E731" s="322"/>
      <c r="F731" s="322"/>
      <c r="G731" s="322"/>
      <c r="H731" s="322"/>
      <c r="I731" s="322"/>
      <c r="J731" s="322"/>
      <c r="K731" s="322"/>
      <c r="L731" s="322"/>
      <c r="M731" s="322"/>
      <c r="N731" s="322"/>
      <c r="O731" s="322"/>
      <c r="P731" s="322"/>
      <c r="Q731" s="322"/>
      <c r="R731" s="322"/>
      <c r="S731" s="322"/>
      <c r="T731" s="322"/>
      <c r="U731" s="322"/>
      <c r="V731" s="322"/>
      <c r="W731" s="322"/>
      <c r="X731" s="322"/>
      <c r="Y731" s="322"/>
      <c r="Z731" s="322"/>
      <c r="AA731" s="322"/>
      <c r="AB731" s="322"/>
      <c r="AC731" s="322"/>
      <c r="AD731" s="322"/>
      <c r="AE731" s="322"/>
      <c r="AF731" s="322"/>
      <c r="AG731" s="322"/>
      <c r="AH731" s="322"/>
      <c r="AI731" s="322"/>
      <c r="AJ731" s="322"/>
      <c r="AK731" s="322"/>
    </row>
    <row r="732" spans="1:37" ht="18" customHeight="1">
      <c r="A732" s="322"/>
      <c r="B732" s="322"/>
      <c r="C732" s="451"/>
      <c r="D732" s="322"/>
      <c r="E732" s="322"/>
      <c r="F732" s="322"/>
      <c r="G732" s="322"/>
      <c r="H732" s="322"/>
      <c r="I732" s="322"/>
      <c r="J732" s="322"/>
      <c r="K732" s="322"/>
      <c r="L732" s="322"/>
      <c r="M732" s="322"/>
      <c r="N732" s="322"/>
      <c r="O732" s="322"/>
      <c r="P732" s="322"/>
      <c r="Q732" s="322"/>
      <c r="R732" s="322"/>
      <c r="S732" s="322"/>
      <c r="T732" s="322"/>
      <c r="U732" s="322"/>
      <c r="V732" s="322"/>
      <c r="W732" s="322"/>
      <c r="X732" s="322"/>
      <c r="Y732" s="322"/>
      <c r="Z732" s="322"/>
      <c r="AA732" s="322"/>
      <c r="AB732" s="322"/>
      <c r="AC732" s="322"/>
      <c r="AD732" s="322"/>
      <c r="AE732" s="322"/>
      <c r="AF732" s="322"/>
      <c r="AG732" s="322"/>
      <c r="AH732" s="322"/>
      <c r="AI732" s="322"/>
      <c r="AJ732" s="322"/>
      <c r="AK732" s="322"/>
    </row>
    <row r="733" spans="1:37" ht="18" customHeight="1">
      <c r="A733" s="322"/>
      <c r="B733" s="322"/>
      <c r="C733" s="451"/>
      <c r="D733" s="322"/>
      <c r="E733" s="322"/>
      <c r="F733" s="322"/>
      <c r="G733" s="322"/>
      <c r="H733" s="322"/>
      <c r="I733" s="322"/>
      <c r="J733" s="322"/>
      <c r="K733" s="322"/>
      <c r="L733" s="322"/>
      <c r="M733" s="322"/>
      <c r="N733" s="322"/>
      <c r="O733" s="322"/>
      <c r="P733" s="322"/>
      <c r="Q733" s="322"/>
      <c r="R733" s="322"/>
      <c r="S733" s="322"/>
      <c r="T733" s="322"/>
      <c r="U733" s="322"/>
      <c r="V733" s="322"/>
      <c r="W733" s="322"/>
      <c r="X733" s="322"/>
      <c r="Y733" s="322"/>
      <c r="Z733" s="322"/>
      <c r="AA733" s="322"/>
      <c r="AB733" s="322"/>
      <c r="AC733" s="322"/>
      <c r="AD733" s="322"/>
      <c r="AE733" s="322"/>
      <c r="AF733" s="322"/>
      <c r="AG733" s="322"/>
      <c r="AH733" s="322"/>
      <c r="AI733" s="322"/>
      <c r="AJ733" s="322"/>
      <c r="AK733" s="322"/>
    </row>
    <row r="734" spans="1:37" ht="18" customHeight="1">
      <c r="A734" s="322"/>
      <c r="B734" s="322"/>
      <c r="C734" s="451"/>
      <c r="D734" s="322"/>
      <c r="E734" s="322"/>
      <c r="F734" s="322"/>
      <c r="G734" s="322"/>
      <c r="H734" s="322"/>
      <c r="I734" s="322"/>
      <c r="J734" s="322"/>
      <c r="K734" s="322"/>
      <c r="L734" s="322"/>
      <c r="M734" s="322"/>
      <c r="N734" s="322"/>
      <c r="O734" s="322"/>
      <c r="P734" s="322"/>
      <c r="Q734" s="322"/>
      <c r="R734" s="322"/>
      <c r="S734" s="322"/>
      <c r="T734" s="322"/>
      <c r="U734" s="322"/>
      <c r="V734" s="322"/>
      <c r="W734" s="322"/>
      <c r="X734" s="322"/>
      <c r="Y734" s="322"/>
      <c r="Z734" s="322"/>
      <c r="AA734" s="322"/>
      <c r="AB734" s="322"/>
      <c r="AC734" s="322"/>
      <c r="AD734" s="322"/>
      <c r="AE734" s="322"/>
      <c r="AF734" s="322"/>
      <c r="AG734" s="322"/>
      <c r="AH734" s="322"/>
      <c r="AI734" s="322"/>
      <c r="AJ734" s="322"/>
      <c r="AK734" s="322"/>
    </row>
    <row r="735" spans="1:37" ht="18" customHeight="1">
      <c r="A735" s="322"/>
      <c r="B735" s="322"/>
      <c r="C735" s="451"/>
      <c r="D735" s="322"/>
      <c r="E735" s="322"/>
      <c r="F735" s="322"/>
      <c r="G735" s="322"/>
      <c r="H735" s="322"/>
      <c r="I735" s="322"/>
      <c r="J735" s="322"/>
      <c r="K735" s="322"/>
      <c r="L735" s="322"/>
      <c r="M735" s="322"/>
      <c r="N735" s="322"/>
      <c r="O735" s="322"/>
      <c r="P735" s="322"/>
      <c r="Q735" s="322"/>
      <c r="R735" s="322"/>
      <c r="S735" s="322"/>
      <c r="T735" s="322"/>
      <c r="U735" s="322"/>
      <c r="V735" s="322"/>
      <c r="W735" s="322"/>
      <c r="X735" s="322"/>
      <c r="Y735" s="322"/>
      <c r="Z735" s="322"/>
      <c r="AA735" s="322"/>
      <c r="AB735" s="322"/>
      <c r="AC735" s="322"/>
      <c r="AD735" s="322"/>
      <c r="AE735" s="322"/>
      <c r="AF735" s="322"/>
      <c r="AG735" s="322"/>
      <c r="AH735" s="322"/>
      <c r="AI735" s="322"/>
      <c r="AJ735" s="322"/>
      <c r="AK735" s="322"/>
    </row>
    <row r="736" spans="1:37" ht="18" customHeight="1">
      <c r="A736" s="322"/>
      <c r="B736" s="322"/>
      <c r="C736" s="451"/>
      <c r="D736" s="322"/>
      <c r="E736" s="322"/>
      <c r="F736" s="322"/>
      <c r="G736" s="322"/>
      <c r="H736" s="322"/>
      <c r="I736" s="322"/>
      <c r="J736" s="322"/>
      <c r="K736" s="322"/>
      <c r="L736" s="322"/>
      <c r="M736" s="322"/>
      <c r="N736" s="322"/>
      <c r="O736" s="322"/>
      <c r="P736" s="322"/>
      <c r="Q736" s="322"/>
      <c r="R736" s="322"/>
      <c r="S736" s="322"/>
      <c r="T736" s="322"/>
      <c r="U736" s="322"/>
      <c r="V736" s="322"/>
      <c r="W736" s="322"/>
      <c r="X736" s="322"/>
      <c r="Y736" s="322"/>
      <c r="Z736" s="322"/>
      <c r="AA736" s="322"/>
      <c r="AB736" s="322"/>
      <c r="AC736" s="322"/>
      <c r="AD736" s="322"/>
      <c r="AE736" s="322"/>
      <c r="AF736" s="322"/>
      <c r="AG736" s="322"/>
      <c r="AH736" s="322"/>
      <c r="AI736" s="322"/>
      <c r="AJ736" s="322"/>
      <c r="AK736" s="322"/>
    </row>
    <row r="737" spans="1:37" ht="18" customHeight="1">
      <c r="A737" s="322"/>
      <c r="B737" s="322"/>
      <c r="C737" s="451"/>
      <c r="D737" s="322"/>
      <c r="E737" s="322"/>
      <c r="F737" s="322"/>
      <c r="G737" s="322"/>
      <c r="H737" s="322"/>
      <c r="I737" s="322"/>
      <c r="J737" s="322"/>
      <c r="K737" s="322"/>
      <c r="L737" s="322"/>
      <c r="M737" s="322"/>
      <c r="N737" s="322"/>
      <c r="O737" s="322"/>
      <c r="P737" s="322"/>
      <c r="Q737" s="322"/>
      <c r="R737" s="322"/>
      <c r="S737" s="322"/>
      <c r="T737" s="322"/>
      <c r="U737" s="322"/>
      <c r="V737" s="322"/>
      <c r="W737" s="322"/>
      <c r="X737" s="322"/>
      <c r="Y737" s="322"/>
      <c r="Z737" s="322"/>
      <c r="AA737" s="322"/>
      <c r="AB737" s="322"/>
      <c r="AC737" s="322"/>
      <c r="AD737" s="322"/>
      <c r="AE737" s="322"/>
      <c r="AF737" s="322"/>
      <c r="AG737" s="322"/>
      <c r="AH737" s="322"/>
      <c r="AI737" s="322"/>
      <c r="AJ737" s="322"/>
      <c r="AK737" s="322"/>
    </row>
    <row r="738" spans="1:37" ht="18" customHeight="1">
      <c r="A738" s="322"/>
      <c r="B738" s="322"/>
      <c r="C738" s="451"/>
      <c r="D738" s="322"/>
      <c r="E738" s="322"/>
      <c r="F738" s="322"/>
      <c r="G738" s="322"/>
      <c r="H738" s="322"/>
      <c r="I738" s="322"/>
      <c r="J738" s="322"/>
      <c r="K738" s="322"/>
      <c r="L738" s="322"/>
      <c r="M738" s="322"/>
      <c r="N738" s="322"/>
      <c r="O738" s="322"/>
      <c r="P738" s="322"/>
      <c r="Q738" s="322"/>
      <c r="R738" s="322"/>
      <c r="S738" s="322"/>
      <c r="T738" s="322"/>
      <c r="U738" s="322"/>
      <c r="V738" s="322"/>
      <c r="W738" s="322"/>
      <c r="X738" s="322"/>
      <c r="Y738" s="322"/>
      <c r="Z738" s="322"/>
      <c r="AA738" s="322"/>
      <c r="AB738" s="322"/>
      <c r="AC738" s="322"/>
      <c r="AD738" s="322"/>
      <c r="AE738" s="322"/>
      <c r="AF738" s="322"/>
      <c r="AG738" s="322"/>
      <c r="AH738" s="322"/>
      <c r="AI738" s="322"/>
      <c r="AJ738" s="322"/>
      <c r="AK738" s="322"/>
    </row>
    <row r="739" spans="1:37" ht="18" customHeight="1">
      <c r="A739" s="322"/>
      <c r="B739" s="322"/>
      <c r="C739" s="451"/>
      <c r="D739" s="322"/>
      <c r="E739" s="322"/>
      <c r="F739" s="322"/>
      <c r="G739" s="322"/>
      <c r="H739" s="322"/>
      <c r="I739" s="322"/>
      <c r="J739" s="322"/>
      <c r="K739" s="322"/>
      <c r="L739" s="322"/>
      <c r="M739" s="322"/>
      <c r="N739" s="322"/>
      <c r="O739" s="322"/>
      <c r="P739" s="322"/>
      <c r="Q739" s="322"/>
      <c r="R739" s="322"/>
      <c r="S739" s="322"/>
      <c r="T739" s="322"/>
      <c r="U739" s="322"/>
      <c r="V739" s="322"/>
      <c r="W739" s="322"/>
      <c r="X739" s="322"/>
      <c r="Y739" s="322"/>
      <c r="Z739" s="322"/>
      <c r="AA739" s="322"/>
      <c r="AB739" s="322"/>
      <c r="AC739" s="322"/>
      <c r="AD739" s="322"/>
      <c r="AE739" s="322"/>
      <c r="AF739" s="322"/>
      <c r="AG739" s="322"/>
      <c r="AH739" s="322"/>
      <c r="AI739" s="322"/>
      <c r="AJ739" s="322"/>
      <c r="AK739" s="322"/>
    </row>
    <row r="740" spans="1:37" ht="18" customHeight="1">
      <c r="A740" s="322"/>
      <c r="B740" s="322"/>
      <c r="C740" s="451"/>
      <c r="D740" s="322"/>
      <c r="E740" s="322"/>
      <c r="F740" s="322"/>
      <c r="G740" s="322"/>
      <c r="H740" s="322"/>
      <c r="I740" s="322"/>
      <c r="J740" s="322"/>
      <c r="K740" s="322"/>
      <c r="L740" s="322"/>
      <c r="M740" s="322"/>
      <c r="N740" s="322"/>
      <c r="O740" s="322"/>
      <c r="P740" s="322"/>
      <c r="Q740" s="322"/>
      <c r="R740" s="322"/>
      <c r="S740" s="322"/>
      <c r="T740" s="322"/>
      <c r="U740" s="322"/>
      <c r="V740" s="322"/>
      <c r="W740" s="322"/>
      <c r="X740" s="322"/>
      <c r="Y740" s="322"/>
      <c r="Z740" s="322"/>
      <c r="AA740" s="322"/>
      <c r="AB740" s="322"/>
      <c r="AC740" s="322"/>
      <c r="AD740" s="322"/>
      <c r="AE740" s="322"/>
      <c r="AF740" s="322"/>
      <c r="AG740" s="322"/>
      <c r="AH740" s="322"/>
      <c r="AI740" s="322"/>
      <c r="AJ740" s="322"/>
      <c r="AK740" s="322"/>
    </row>
    <row r="741" spans="1:37" ht="18" customHeight="1">
      <c r="A741" s="322"/>
      <c r="B741" s="322"/>
      <c r="C741" s="451"/>
      <c r="D741" s="322"/>
      <c r="E741" s="322"/>
      <c r="F741" s="322"/>
      <c r="G741" s="322"/>
      <c r="H741" s="322"/>
      <c r="I741" s="322"/>
      <c r="J741" s="322"/>
      <c r="K741" s="322"/>
      <c r="L741" s="322"/>
      <c r="M741" s="322"/>
      <c r="N741" s="322"/>
      <c r="O741" s="322"/>
      <c r="P741" s="322"/>
      <c r="Q741" s="322"/>
      <c r="R741" s="322"/>
      <c r="S741" s="322"/>
      <c r="T741" s="322"/>
      <c r="U741" s="322"/>
      <c r="V741" s="322"/>
      <c r="W741" s="322"/>
      <c r="X741" s="322"/>
      <c r="Y741" s="322"/>
      <c r="Z741" s="322"/>
      <c r="AA741" s="322"/>
      <c r="AB741" s="322"/>
      <c r="AC741" s="322"/>
      <c r="AD741" s="322"/>
      <c r="AE741" s="322"/>
      <c r="AF741" s="322"/>
      <c r="AG741" s="322"/>
      <c r="AH741" s="322"/>
      <c r="AI741" s="322"/>
      <c r="AJ741" s="322"/>
      <c r="AK741" s="322"/>
    </row>
    <row r="742" spans="1:37" ht="18" customHeight="1">
      <c r="A742" s="322"/>
      <c r="B742" s="322"/>
      <c r="C742" s="451"/>
      <c r="D742" s="322"/>
      <c r="E742" s="322"/>
      <c r="F742" s="322"/>
      <c r="G742" s="322"/>
      <c r="H742" s="322"/>
      <c r="I742" s="322"/>
      <c r="J742" s="322"/>
      <c r="K742" s="322"/>
      <c r="L742" s="322"/>
      <c r="M742" s="322"/>
      <c r="N742" s="322"/>
      <c r="O742" s="322"/>
      <c r="P742" s="322"/>
      <c r="Q742" s="322"/>
      <c r="R742" s="322"/>
      <c r="S742" s="322"/>
      <c r="T742" s="322"/>
      <c r="U742" s="322"/>
      <c r="V742" s="322"/>
      <c r="W742" s="322"/>
      <c r="X742" s="322"/>
      <c r="Y742" s="322"/>
      <c r="Z742" s="322"/>
      <c r="AA742" s="322"/>
      <c r="AB742" s="322"/>
      <c r="AC742" s="322"/>
      <c r="AD742" s="322"/>
      <c r="AE742" s="322"/>
      <c r="AF742" s="322"/>
      <c r="AG742" s="322"/>
      <c r="AH742" s="322"/>
      <c r="AI742" s="322"/>
      <c r="AJ742" s="322"/>
      <c r="AK742" s="322"/>
    </row>
    <row r="743" spans="1:37" ht="18" customHeight="1">
      <c r="A743" s="322"/>
      <c r="B743" s="322"/>
      <c r="C743" s="451"/>
      <c r="D743" s="322"/>
      <c r="E743" s="322"/>
      <c r="F743" s="322"/>
      <c r="G743" s="322"/>
      <c r="H743" s="322"/>
      <c r="I743" s="322"/>
      <c r="J743" s="322"/>
      <c r="K743" s="322"/>
      <c r="L743" s="322"/>
      <c r="M743" s="322"/>
      <c r="N743" s="322"/>
      <c r="O743" s="322"/>
      <c r="P743" s="322"/>
      <c r="Q743" s="322"/>
      <c r="R743" s="322"/>
      <c r="S743" s="322"/>
      <c r="T743" s="322"/>
      <c r="U743" s="322"/>
      <c r="V743" s="322"/>
      <c r="W743" s="322"/>
      <c r="X743" s="322"/>
      <c r="Y743" s="322"/>
      <c r="Z743" s="322"/>
      <c r="AA743" s="322"/>
      <c r="AB743" s="322"/>
      <c r="AC743" s="322"/>
      <c r="AD743" s="322"/>
      <c r="AE743" s="322"/>
      <c r="AF743" s="322"/>
      <c r="AG743" s="322"/>
      <c r="AH743" s="322"/>
      <c r="AI743" s="322"/>
      <c r="AJ743" s="322"/>
      <c r="AK743" s="322"/>
    </row>
    <row r="744" spans="1:37" ht="18" customHeight="1">
      <c r="A744" s="322"/>
      <c r="B744" s="322"/>
      <c r="C744" s="451"/>
      <c r="D744" s="322"/>
      <c r="E744" s="322"/>
      <c r="F744" s="322"/>
      <c r="G744" s="322"/>
      <c r="H744" s="322"/>
      <c r="I744" s="322"/>
      <c r="J744" s="322"/>
      <c r="K744" s="322"/>
      <c r="L744" s="322"/>
      <c r="M744" s="322"/>
      <c r="N744" s="322"/>
      <c r="O744" s="322"/>
      <c r="P744" s="322"/>
      <c r="Q744" s="322"/>
      <c r="R744" s="322"/>
      <c r="S744" s="322"/>
      <c r="T744" s="322"/>
      <c r="U744" s="322"/>
      <c r="V744" s="322"/>
      <c r="W744" s="322"/>
      <c r="X744" s="322"/>
      <c r="Y744" s="322"/>
      <c r="Z744" s="322"/>
      <c r="AA744" s="322"/>
      <c r="AB744" s="322"/>
      <c r="AC744" s="322"/>
      <c r="AD744" s="322"/>
      <c r="AE744" s="322"/>
      <c r="AF744" s="322"/>
      <c r="AG744" s="322"/>
      <c r="AH744" s="322"/>
      <c r="AI744" s="322"/>
      <c r="AJ744" s="322"/>
      <c r="AK744" s="322"/>
    </row>
    <row r="745" spans="1:37" ht="18" customHeight="1">
      <c r="A745" s="322"/>
      <c r="B745" s="322"/>
      <c r="C745" s="451"/>
      <c r="D745" s="322"/>
      <c r="E745" s="322"/>
      <c r="F745" s="322"/>
      <c r="G745" s="322"/>
      <c r="H745" s="322"/>
      <c r="I745" s="322"/>
      <c r="J745" s="322"/>
      <c r="K745" s="322"/>
      <c r="L745" s="322"/>
      <c r="M745" s="322"/>
      <c r="N745" s="322"/>
      <c r="O745" s="322"/>
      <c r="P745" s="322"/>
      <c r="Q745" s="322"/>
      <c r="R745" s="322"/>
      <c r="S745" s="322"/>
      <c r="T745" s="322"/>
      <c r="U745" s="322"/>
      <c r="V745" s="322"/>
      <c r="W745" s="322"/>
      <c r="X745" s="322"/>
      <c r="Y745" s="322"/>
      <c r="Z745" s="322"/>
      <c r="AA745" s="322"/>
      <c r="AB745" s="322"/>
      <c r="AC745" s="322"/>
      <c r="AD745" s="322"/>
      <c r="AE745" s="322"/>
      <c r="AF745" s="322"/>
      <c r="AG745" s="322"/>
      <c r="AH745" s="322"/>
      <c r="AI745" s="322"/>
      <c r="AJ745" s="322"/>
      <c r="AK745" s="322"/>
    </row>
    <row r="746" spans="1:37" ht="18" customHeight="1">
      <c r="A746" s="322"/>
      <c r="B746" s="322"/>
      <c r="C746" s="451"/>
      <c r="D746" s="322"/>
      <c r="E746" s="322"/>
      <c r="F746" s="322"/>
      <c r="G746" s="322"/>
      <c r="H746" s="322"/>
      <c r="I746" s="322"/>
      <c r="J746" s="322"/>
      <c r="K746" s="322"/>
      <c r="L746" s="322"/>
      <c r="M746" s="322"/>
      <c r="N746" s="322"/>
      <c r="O746" s="322"/>
      <c r="P746" s="322"/>
      <c r="Q746" s="322"/>
      <c r="R746" s="322"/>
      <c r="S746" s="322"/>
      <c r="T746" s="322"/>
      <c r="U746" s="322"/>
      <c r="V746" s="322"/>
      <c r="W746" s="322"/>
      <c r="X746" s="322"/>
      <c r="Y746" s="322"/>
      <c r="Z746" s="322"/>
      <c r="AA746" s="322"/>
      <c r="AB746" s="322"/>
      <c r="AC746" s="322"/>
      <c r="AD746" s="322"/>
      <c r="AE746" s="322"/>
      <c r="AF746" s="322"/>
      <c r="AG746" s="322"/>
      <c r="AH746" s="322"/>
      <c r="AI746" s="322"/>
      <c r="AJ746" s="322"/>
      <c r="AK746" s="322"/>
    </row>
    <row r="747" spans="1:37" ht="18" customHeight="1">
      <c r="A747" s="322"/>
      <c r="B747" s="322"/>
      <c r="C747" s="451"/>
      <c r="D747" s="322"/>
      <c r="E747" s="322"/>
      <c r="F747" s="322"/>
      <c r="G747" s="322"/>
      <c r="H747" s="322"/>
      <c r="I747" s="322"/>
      <c r="J747" s="322"/>
      <c r="K747" s="322"/>
      <c r="L747" s="322"/>
      <c r="M747" s="322"/>
      <c r="N747" s="322"/>
      <c r="O747" s="322"/>
      <c r="P747" s="322"/>
      <c r="Q747" s="322"/>
      <c r="R747" s="322"/>
      <c r="S747" s="322"/>
      <c r="T747" s="322"/>
      <c r="U747" s="322"/>
      <c r="V747" s="322"/>
      <c r="W747" s="322"/>
      <c r="X747" s="322"/>
      <c r="Y747" s="322"/>
      <c r="Z747" s="322"/>
      <c r="AA747" s="322"/>
      <c r="AB747" s="322"/>
      <c r="AC747" s="322"/>
      <c r="AD747" s="322"/>
      <c r="AE747" s="322"/>
      <c r="AF747" s="322"/>
      <c r="AG747" s="322"/>
      <c r="AH747" s="322"/>
      <c r="AI747" s="322"/>
      <c r="AJ747" s="322"/>
      <c r="AK747" s="322"/>
    </row>
    <row r="748" spans="1:37" ht="18" customHeight="1">
      <c r="A748" s="322"/>
      <c r="B748" s="322"/>
      <c r="C748" s="451"/>
      <c r="D748" s="322"/>
      <c r="E748" s="322"/>
      <c r="F748" s="322"/>
      <c r="G748" s="322"/>
      <c r="H748" s="322"/>
      <c r="I748" s="322"/>
      <c r="J748" s="322"/>
      <c r="K748" s="322"/>
      <c r="L748" s="322"/>
      <c r="M748" s="322"/>
      <c r="N748" s="322"/>
      <c r="O748" s="322"/>
      <c r="P748" s="322"/>
      <c r="Q748" s="322"/>
      <c r="R748" s="322"/>
      <c r="S748" s="322"/>
      <c r="T748" s="322"/>
      <c r="U748" s="322"/>
      <c r="V748" s="322"/>
      <c r="W748" s="322"/>
      <c r="X748" s="322"/>
      <c r="Y748" s="322"/>
      <c r="Z748" s="322"/>
      <c r="AA748" s="322"/>
      <c r="AB748" s="322"/>
      <c r="AC748" s="322"/>
      <c r="AD748" s="322"/>
      <c r="AE748" s="322"/>
      <c r="AF748" s="322"/>
      <c r="AG748" s="322"/>
      <c r="AH748" s="322"/>
      <c r="AI748" s="322"/>
      <c r="AJ748" s="322"/>
      <c r="AK748" s="322"/>
    </row>
    <row r="749" spans="1:37" ht="18" customHeight="1">
      <c r="A749" s="322"/>
      <c r="B749" s="322"/>
      <c r="C749" s="451"/>
      <c r="D749" s="322"/>
      <c r="E749" s="322"/>
      <c r="F749" s="322"/>
      <c r="G749" s="322"/>
      <c r="H749" s="322"/>
      <c r="I749" s="322"/>
      <c r="J749" s="322"/>
      <c r="K749" s="322"/>
      <c r="L749" s="322"/>
      <c r="M749" s="322"/>
      <c r="N749" s="322"/>
      <c r="O749" s="322"/>
      <c r="P749" s="322"/>
      <c r="Q749" s="322"/>
      <c r="R749" s="322"/>
      <c r="S749" s="322"/>
      <c r="T749" s="322"/>
      <c r="U749" s="322"/>
      <c r="V749" s="322"/>
      <c r="W749" s="322"/>
      <c r="X749" s="322"/>
      <c r="Y749" s="322"/>
      <c r="Z749" s="322"/>
      <c r="AA749" s="322"/>
      <c r="AB749" s="322"/>
      <c r="AC749" s="322"/>
      <c r="AD749" s="322"/>
      <c r="AE749" s="322"/>
      <c r="AF749" s="322"/>
      <c r="AG749" s="322"/>
      <c r="AH749" s="322"/>
      <c r="AI749" s="322"/>
      <c r="AJ749" s="322"/>
      <c r="AK749" s="322"/>
    </row>
    <row r="750" spans="1:37" ht="18" customHeight="1">
      <c r="A750" s="322"/>
      <c r="B750" s="322"/>
      <c r="C750" s="451"/>
      <c r="D750" s="322"/>
      <c r="E750" s="322"/>
      <c r="F750" s="322"/>
      <c r="G750" s="322"/>
      <c r="H750" s="322"/>
      <c r="I750" s="322"/>
      <c r="J750" s="322"/>
      <c r="K750" s="322"/>
      <c r="L750" s="322"/>
      <c r="M750" s="322"/>
      <c r="N750" s="322"/>
      <c r="O750" s="322"/>
      <c r="P750" s="322"/>
      <c r="Q750" s="322"/>
      <c r="R750" s="322"/>
      <c r="S750" s="322"/>
      <c r="T750" s="322"/>
      <c r="U750" s="322"/>
      <c r="V750" s="322"/>
      <c r="W750" s="322"/>
      <c r="X750" s="322"/>
      <c r="Y750" s="322"/>
      <c r="Z750" s="322"/>
      <c r="AA750" s="322"/>
      <c r="AB750" s="322"/>
      <c r="AC750" s="322"/>
      <c r="AD750" s="322"/>
      <c r="AE750" s="322"/>
      <c r="AF750" s="322"/>
      <c r="AG750" s="322"/>
      <c r="AH750" s="322"/>
      <c r="AI750" s="322"/>
      <c r="AJ750" s="322"/>
      <c r="AK750" s="322"/>
    </row>
    <row r="751" spans="1:37" ht="18" customHeight="1">
      <c r="A751" s="322"/>
      <c r="B751" s="322"/>
      <c r="C751" s="451"/>
      <c r="D751" s="322"/>
      <c r="E751" s="322"/>
      <c r="F751" s="322"/>
      <c r="G751" s="322"/>
      <c r="H751" s="322"/>
      <c r="I751" s="322"/>
      <c r="J751" s="322"/>
      <c r="K751" s="322"/>
      <c r="L751" s="322"/>
      <c r="M751" s="322"/>
      <c r="N751" s="322"/>
      <c r="O751" s="322"/>
      <c r="P751" s="322"/>
      <c r="Q751" s="322"/>
      <c r="R751" s="322"/>
      <c r="S751" s="322"/>
      <c r="T751" s="322"/>
      <c r="U751" s="322"/>
      <c r="V751" s="322"/>
      <c r="W751" s="322"/>
      <c r="X751" s="322"/>
      <c r="Y751" s="322"/>
      <c r="Z751" s="322"/>
      <c r="AA751" s="322"/>
      <c r="AB751" s="322"/>
      <c r="AC751" s="322"/>
      <c r="AD751" s="322"/>
      <c r="AE751" s="322"/>
      <c r="AF751" s="322"/>
      <c r="AG751" s="322"/>
      <c r="AH751" s="322"/>
      <c r="AI751" s="322"/>
      <c r="AJ751" s="322"/>
      <c r="AK751" s="322"/>
    </row>
    <row r="752" spans="1:37" ht="18" customHeight="1">
      <c r="A752" s="322"/>
      <c r="B752" s="322"/>
      <c r="C752" s="451"/>
      <c r="D752" s="322"/>
      <c r="E752" s="322"/>
      <c r="F752" s="322"/>
      <c r="G752" s="322"/>
      <c r="H752" s="322"/>
      <c r="I752" s="322"/>
      <c r="J752" s="322"/>
      <c r="K752" s="322"/>
      <c r="L752" s="322"/>
      <c r="M752" s="322"/>
      <c r="N752" s="322"/>
      <c r="O752" s="322"/>
      <c r="P752" s="322"/>
      <c r="Q752" s="322"/>
      <c r="R752" s="322"/>
      <c r="S752" s="322"/>
      <c r="T752" s="322"/>
      <c r="U752" s="322"/>
      <c r="V752" s="322"/>
      <c r="W752" s="322"/>
      <c r="X752" s="322"/>
      <c r="Y752" s="322"/>
      <c r="Z752" s="322"/>
      <c r="AA752" s="322"/>
      <c r="AB752" s="322"/>
      <c r="AC752" s="322"/>
      <c r="AD752" s="322"/>
      <c r="AE752" s="322"/>
      <c r="AF752" s="322"/>
      <c r="AG752" s="322"/>
      <c r="AH752" s="322"/>
      <c r="AI752" s="322"/>
      <c r="AJ752" s="322"/>
      <c r="AK752" s="322"/>
    </row>
    <row r="753" spans="1:37" ht="18" customHeight="1">
      <c r="A753" s="322"/>
      <c r="B753" s="322"/>
      <c r="C753" s="451"/>
      <c r="D753" s="322"/>
      <c r="E753" s="322"/>
      <c r="F753" s="322"/>
      <c r="G753" s="322"/>
      <c r="H753" s="322"/>
      <c r="I753" s="322"/>
      <c r="J753" s="322"/>
      <c r="K753" s="322"/>
      <c r="L753" s="322"/>
      <c r="M753" s="322"/>
      <c r="N753" s="322"/>
      <c r="O753" s="322"/>
      <c r="P753" s="322"/>
      <c r="Q753" s="322"/>
      <c r="R753" s="322"/>
      <c r="S753" s="322"/>
      <c r="T753" s="322"/>
      <c r="U753" s="322"/>
      <c r="V753" s="322"/>
      <c r="W753" s="322"/>
      <c r="X753" s="322"/>
      <c r="Y753" s="322"/>
      <c r="Z753" s="322"/>
      <c r="AA753" s="322"/>
      <c r="AB753" s="322"/>
      <c r="AC753" s="322"/>
      <c r="AD753" s="322"/>
      <c r="AE753" s="322"/>
      <c r="AF753" s="322"/>
      <c r="AG753" s="322"/>
      <c r="AH753" s="322"/>
      <c r="AI753" s="322"/>
      <c r="AJ753" s="322"/>
      <c r="AK753" s="322"/>
    </row>
    <row r="754" spans="1:37" ht="18" customHeight="1">
      <c r="A754" s="322"/>
      <c r="B754" s="322"/>
      <c r="C754" s="451"/>
      <c r="D754" s="322"/>
      <c r="E754" s="322"/>
      <c r="F754" s="322"/>
      <c r="G754" s="322"/>
      <c r="H754" s="322"/>
      <c r="I754" s="322"/>
      <c r="J754" s="322"/>
      <c r="K754" s="322"/>
      <c r="L754" s="322"/>
      <c r="M754" s="322"/>
      <c r="N754" s="322"/>
      <c r="O754" s="322"/>
      <c r="P754" s="322"/>
      <c r="Q754" s="322"/>
      <c r="R754" s="322"/>
      <c r="S754" s="322"/>
      <c r="T754" s="322"/>
      <c r="U754" s="322"/>
      <c r="V754" s="322"/>
      <c r="W754" s="322"/>
      <c r="X754" s="322"/>
      <c r="Y754" s="322"/>
      <c r="Z754" s="322"/>
      <c r="AA754" s="322"/>
      <c r="AB754" s="322"/>
      <c r="AC754" s="322"/>
      <c r="AD754" s="322"/>
      <c r="AE754" s="322"/>
      <c r="AF754" s="322"/>
      <c r="AG754" s="322"/>
      <c r="AH754" s="322"/>
      <c r="AI754" s="322"/>
      <c r="AJ754" s="322"/>
      <c r="AK754" s="322"/>
    </row>
    <row r="755" spans="1:37" ht="18" customHeight="1">
      <c r="A755" s="322"/>
      <c r="B755" s="322"/>
      <c r="C755" s="451"/>
      <c r="D755" s="322"/>
      <c r="E755" s="322"/>
      <c r="F755" s="322"/>
      <c r="G755" s="322"/>
      <c r="H755" s="322"/>
      <c r="I755" s="322"/>
      <c r="J755" s="322"/>
      <c r="K755" s="322"/>
      <c r="L755" s="322"/>
      <c r="M755" s="322"/>
      <c r="N755" s="322"/>
      <c r="O755" s="322"/>
      <c r="P755" s="322"/>
      <c r="Q755" s="322"/>
      <c r="R755" s="322"/>
      <c r="S755" s="322"/>
      <c r="T755" s="322"/>
      <c r="U755" s="322"/>
      <c r="V755" s="322"/>
      <c r="W755" s="322"/>
      <c r="X755" s="322"/>
      <c r="Y755" s="322"/>
      <c r="Z755" s="322"/>
      <c r="AA755" s="322"/>
      <c r="AB755" s="322"/>
      <c r="AC755" s="322"/>
      <c r="AD755" s="322"/>
      <c r="AE755" s="322"/>
      <c r="AF755" s="322"/>
      <c r="AG755" s="322"/>
      <c r="AH755" s="322"/>
      <c r="AI755" s="322"/>
      <c r="AJ755" s="322"/>
      <c r="AK755" s="322"/>
    </row>
    <row r="756" spans="1:37" ht="18" customHeight="1">
      <c r="A756" s="322"/>
      <c r="B756" s="322"/>
      <c r="C756" s="451"/>
      <c r="D756" s="322"/>
      <c r="E756" s="322"/>
      <c r="F756" s="322"/>
      <c r="G756" s="322"/>
      <c r="H756" s="322"/>
      <c r="I756" s="322"/>
      <c r="J756" s="322"/>
      <c r="K756" s="322"/>
      <c r="L756" s="322"/>
      <c r="M756" s="322"/>
      <c r="N756" s="322"/>
      <c r="O756" s="322"/>
      <c r="P756" s="322"/>
      <c r="Q756" s="322"/>
      <c r="R756" s="322"/>
      <c r="S756" s="322"/>
      <c r="T756" s="322"/>
      <c r="U756" s="322"/>
      <c r="V756" s="322"/>
      <c r="W756" s="322"/>
      <c r="X756" s="322"/>
      <c r="Y756" s="322"/>
      <c r="Z756" s="322"/>
      <c r="AA756" s="322"/>
      <c r="AB756" s="322"/>
      <c r="AC756" s="322"/>
      <c r="AD756" s="322"/>
      <c r="AE756" s="322"/>
      <c r="AF756" s="322"/>
      <c r="AG756" s="322"/>
      <c r="AH756" s="322"/>
      <c r="AI756" s="322"/>
      <c r="AJ756" s="322"/>
      <c r="AK756" s="322"/>
    </row>
    <row r="757" spans="1:37" ht="18" customHeight="1">
      <c r="A757" s="322"/>
      <c r="B757" s="322"/>
      <c r="C757" s="451"/>
      <c r="D757" s="322"/>
      <c r="E757" s="322"/>
      <c r="F757" s="322"/>
      <c r="G757" s="322"/>
      <c r="H757" s="322"/>
      <c r="I757" s="322"/>
      <c r="J757" s="322"/>
      <c r="K757" s="322"/>
      <c r="L757" s="322"/>
      <c r="M757" s="322"/>
      <c r="N757" s="322"/>
      <c r="O757" s="322"/>
      <c r="P757" s="322"/>
      <c r="Q757" s="322"/>
      <c r="R757" s="322"/>
      <c r="S757" s="322"/>
      <c r="T757" s="322"/>
      <c r="U757" s="322"/>
      <c r="V757" s="322"/>
      <c r="W757" s="322"/>
      <c r="X757" s="322"/>
      <c r="Y757" s="322"/>
      <c r="Z757" s="322"/>
      <c r="AA757" s="322"/>
      <c r="AB757" s="322"/>
      <c r="AC757" s="322"/>
      <c r="AD757" s="322"/>
      <c r="AE757" s="322"/>
      <c r="AF757" s="322"/>
      <c r="AG757" s="322"/>
      <c r="AH757" s="322"/>
      <c r="AI757" s="322"/>
      <c r="AJ757" s="322"/>
      <c r="AK757" s="322"/>
    </row>
    <row r="758" spans="1:37" ht="18" customHeight="1">
      <c r="A758" s="322"/>
      <c r="B758" s="322"/>
      <c r="C758" s="451"/>
      <c r="D758" s="322"/>
      <c r="E758" s="322"/>
      <c r="F758" s="322"/>
      <c r="G758" s="322"/>
      <c r="H758" s="322"/>
      <c r="I758" s="322"/>
      <c r="J758" s="322"/>
      <c r="K758" s="322"/>
      <c r="L758" s="322"/>
      <c r="M758" s="322"/>
      <c r="N758" s="322"/>
      <c r="O758" s="322"/>
      <c r="P758" s="322"/>
      <c r="Q758" s="322"/>
      <c r="R758" s="322"/>
      <c r="S758" s="322"/>
      <c r="T758" s="322"/>
      <c r="U758" s="322"/>
      <c r="V758" s="322"/>
      <c r="W758" s="322"/>
      <c r="X758" s="322"/>
      <c r="Y758" s="322"/>
      <c r="Z758" s="322"/>
      <c r="AA758" s="322"/>
      <c r="AB758" s="322"/>
      <c r="AC758" s="322"/>
      <c r="AD758" s="322"/>
      <c r="AE758" s="322"/>
      <c r="AF758" s="322"/>
      <c r="AG758" s="322"/>
      <c r="AH758" s="322"/>
      <c r="AI758" s="322"/>
      <c r="AJ758" s="322"/>
      <c r="AK758" s="322"/>
    </row>
    <row r="759" spans="1:37" ht="18" customHeight="1">
      <c r="A759" s="322"/>
      <c r="B759" s="322"/>
      <c r="C759" s="451"/>
      <c r="D759" s="322"/>
      <c r="E759" s="322"/>
      <c r="F759" s="322"/>
      <c r="G759" s="322"/>
      <c r="H759" s="322"/>
      <c r="I759" s="322"/>
      <c r="J759" s="322"/>
      <c r="K759" s="322"/>
      <c r="L759" s="322"/>
      <c r="M759" s="322"/>
      <c r="N759" s="322"/>
      <c r="O759" s="322"/>
      <c r="P759" s="322"/>
      <c r="Q759" s="322"/>
      <c r="R759" s="322"/>
      <c r="S759" s="322"/>
      <c r="T759" s="322"/>
      <c r="U759" s="322"/>
      <c r="V759" s="322"/>
      <c r="W759" s="322"/>
      <c r="X759" s="322"/>
      <c r="Y759" s="322"/>
      <c r="Z759" s="322"/>
      <c r="AA759" s="322"/>
      <c r="AB759" s="322"/>
      <c r="AC759" s="322"/>
      <c r="AD759" s="322"/>
      <c r="AE759" s="322"/>
      <c r="AF759" s="322"/>
      <c r="AG759" s="322"/>
      <c r="AH759" s="322"/>
      <c r="AI759" s="322"/>
      <c r="AJ759" s="322"/>
      <c r="AK759" s="322"/>
    </row>
    <row r="760" spans="1:37" ht="18" customHeight="1">
      <c r="A760" s="322"/>
      <c r="B760" s="322"/>
      <c r="C760" s="451"/>
      <c r="D760" s="322"/>
      <c r="E760" s="322"/>
      <c r="F760" s="322"/>
      <c r="G760" s="322"/>
      <c r="H760" s="322"/>
      <c r="I760" s="322"/>
      <c r="J760" s="322"/>
      <c r="K760" s="322"/>
      <c r="L760" s="322"/>
      <c r="M760" s="322"/>
      <c r="N760" s="322"/>
      <c r="O760" s="322"/>
      <c r="P760" s="322"/>
      <c r="Q760" s="322"/>
      <c r="R760" s="322"/>
      <c r="S760" s="322"/>
      <c r="T760" s="322"/>
      <c r="U760" s="322"/>
      <c r="V760" s="322"/>
      <c r="W760" s="322"/>
      <c r="X760" s="322"/>
      <c r="Y760" s="322"/>
      <c r="Z760" s="322"/>
      <c r="AA760" s="322"/>
      <c r="AB760" s="322"/>
      <c r="AC760" s="322"/>
      <c r="AD760" s="322"/>
      <c r="AE760" s="322"/>
      <c r="AF760" s="322"/>
      <c r="AG760" s="322"/>
      <c r="AH760" s="322"/>
      <c r="AI760" s="322"/>
      <c r="AJ760" s="322"/>
      <c r="AK760" s="322"/>
    </row>
    <row r="761" spans="1:37" ht="18" customHeight="1">
      <c r="A761" s="322"/>
      <c r="B761" s="322"/>
      <c r="C761" s="451"/>
      <c r="D761" s="322"/>
      <c r="E761" s="322"/>
      <c r="F761" s="322"/>
      <c r="G761" s="322"/>
      <c r="H761" s="322"/>
      <c r="I761" s="322"/>
      <c r="J761" s="322"/>
      <c r="K761" s="322"/>
      <c r="L761" s="322"/>
      <c r="M761" s="322"/>
      <c r="N761" s="322"/>
      <c r="O761" s="322"/>
      <c r="P761" s="322"/>
      <c r="Q761" s="322"/>
      <c r="R761" s="322"/>
      <c r="S761" s="322"/>
      <c r="T761" s="322"/>
      <c r="U761" s="322"/>
      <c r="V761" s="322"/>
      <c r="W761" s="322"/>
      <c r="X761" s="322"/>
      <c r="Y761" s="322"/>
      <c r="Z761" s="322"/>
      <c r="AA761" s="322"/>
      <c r="AB761" s="322"/>
      <c r="AC761" s="322"/>
      <c r="AD761" s="322"/>
      <c r="AE761" s="322"/>
      <c r="AF761" s="322"/>
      <c r="AG761" s="322"/>
      <c r="AH761" s="322"/>
      <c r="AI761" s="322"/>
      <c r="AJ761" s="322"/>
      <c r="AK761" s="322"/>
    </row>
    <row r="762" spans="1:37" ht="18" customHeight="1">
      <c r="A762" s="322"/>
      <c r="B762" s="322"/>
      <c r="C762" s="451"/>
      <c r="D762" s="322"/>
      <c r="E762" s="322"/>
      <c r="F762" s="322"/>
      <c r="G762" s="322"/>
      <c r="H762" s="322"/>
      <c r="I762" s="322"/>
      <c r="J762" s="322"/>
      <c r="K762" s="322"/>
      <c r="L762" s="322"/>
      <c r="M762" s="322"/>
      <c r="N762" s="322"/>
      <c r="O762" s="322"/>
      <c r="P762" s="322"/>
      <c r="Q762" s="322"/>
      <c r="R762" s="322"/>
      <c r="S762" s="322"/>
      <c r="T762" s="322"/>
      <c r="U762" s="322"/>
      <c r="V762" s="322"/>
      <c r="W762" s="322"/>
      <c r="X762" s="322"/>
      <c r="Y762" s="322"/>
      <c r="Z762" s="322"/>
      <c r="AA762" s="322"/>
      <c r="AB762" s="322"/>
      <c r="AC762" s="322"/>
      <c r="AD762" s="322"/>
      <c r="AE762" s="322"/>
      <c r="AF762" s="322"/>
      <c r="AG762" s="322"/>
      <c r="AH762" s="322"/>
      <c r="AI762" s="322"/>
      <c r="AJ762" s="322"/>
      <c r="AK762" s="322"/>
    </row>
    <row r="763" spans="1:37" ht="18" customHeight="1">
      <c r="A763" s="322"/>
      <c r="B763" s="322"/>
      <c r="C763" s="451"/>
      <c r="D763" s="322"/>
      <c r="E763" s="322"/>
      <c r="F763" s="322"/>
      <c r="G763" s="322"/>
      <c r="H763" s="322"/>
      <c r="I763" s="322"/>
      <c r="J763" s="322"/>
      <c r="K763" s="322"/>
      <c r="L763" s="322"/>
      <c r="M763" s="322"/>
      <c r="N763" s="322"/>
      <c r="O763" s="322"/>
      <c r="P763" s="322"/>
      <c r="Q763" s="322"/>
      <c r="R763" s="322"/>
      <c r="S763" s="322"/>
      <c r="T763" s="322"/>
      <c r="U763" s="322"/>
      <c r="V763" s="322"/>
      <c r="W763" s="322"/>
      <c r="X763" s="322"/>
      <c r="Y763" s="322"/>
      <c r="Z763" s="322"/>
      <c r="AA763" s="322"/>
      <c r="AB763" s="322"/>
      <c r="AC763" s="322"/>
      <c r="AD763" s="322"/>
      <c r="AE763" s="322"/>
      <c r="AF763" s="322"/>
      <c r="AG763" s="322"/>
      <c r="AH763" s="322"/>
      <c r="AI763" s="322"/>
      <c r="AJ763" s="322"/>
      <c r="AK763" s="322"/>
    </row>
    <row r="764" spans="1:37" ht="18" customHeight="1">
      <c r="A764" s="322"/>
      <c r="B764" s="322"/>
      <c r="C764" s="451"/>
      <c r="D764" s="322"/>
      <c r="E764" s="322"/>
      <c r="F764" s="322"/>
      <c r="G764" s="322"/>
      <c r="H764" s="322"/>
      <c r="I764" s="322"/>
      <c r="J764" s="322"/>
      <c r="K764" s="322"/>
      <c r="L764" s="322"/>
      <c r="M764" s="322"/>
      <c r="N764" s="322"/>
      <c r="O764" s="322"/>
      <c r="P764" s="322"/>
      <c r="Q764" s="322"/>
      <c r="R764" s="322"/>
      <c r="S764" s="322"/>
      <c r="T764" s="322"/>
      <c r="U764" s="322"/>
      <c r="V764" s="322"/>
      <c r="W764" s="322"/>
      <c r="X764" s="322"/>
      <c r="Y764" s="322"/>
      <c r="Z764" s="322"/>
      <c r="AA764" s="322"/>
      <c r="AB764" s="322"/>
      <c r="AC764" s="322"/>
      <c r="AD764" s="322"/>
      <c r="AE764" s="322"/>
      <c r="AF764" s="322"/>
      <c r="AG764" s="322"/>
      <c r="AH764" s="322"/>
      <c r="AI764" s="322"/>
      <c r="AJ764" s="322"/>
      <c r="AK764" s="322"/>
    </row>
    <row r="765" spans="1:37" ht="18" customHeight="1">
      <c r="A765" s="322"/>
      <c r="B765" s="322"/>
      <c r="C765" s="451"/>
      <c r="D765" s="322"/>
      <c r="E765" s="322"/>
      <c r="F765" s="322"/>
      <c r="G765" s="322"/>
      <c r="H765" s="322"/>
      <c r="I765" s="322"/>
      <c r="J765" s="322"/>
      <c r="K765" s="322"/>
      <c r="L765" s="322"/>
      <c r="M765" s="322"/>
      <c r="N765" s="322"/>
      <c r="O765" s="322"/>
      <c r="P765" s="322"/>
      <c r="Q765" s="322"/>
      <c r="R765" s="322"/>
      <c r="S765" s="322"/>
      <c r="T765" s="322"/>
      <c r="U765" s="322"/>
      <c r="V765" s="322"/>
      <c r="W765" s="322"/>
      <c r="X765" s="322"/>
      <c r="Y765" s="322"/>
      <c r="Z765" s="322"/>
      <c r="AA765" s="322"/>
      <c r="AB765" s="322"/>
      <c r="AC765" s="322"/>
      <c r="AD765" s="322"/>
      <c r="AE765" s="322"/>
      <c r="AF765" s="322"/>
      <c r="AG765" s="322"/>
      <c r="AH765" s="322"/>
      <c r="AI765" s="322"/>
      <c r="AJ765" s="322"/>
      <c r="AK765" s="322"/>
    </row>
    <row r="766" spans="1:37" ht="18" customHeight="1">
      <c r="A766" s="322"/>
      <c r="B766" s="322"/>
      <c r="C766" s="451"/>
      <c r="D766" s="322"/>
      <c r="E766" s="322"/>
      <c r="F766" s="322"/>
      <c r="G766" s="322"/>
      <c r="H766" s="322"/>
      <c r="I766" s="322"/>
      <c r="J766" s="322"/>
      <c r="K766" s="322"/>
      <c r="L766" s="322"/>
      <c r="M766" s="322"/>
      <c r="N766" s="322"/>
      <c r="O766" s="322"/>
      <c r="P766" s="322"/>
      <c r="Q766" s="322"/>
      <c r="R766" s="322"/>
      <c r="S766" s="322"/>
      <c r="T766" s="322"/>
      <c r="U766" s="322"/>
      <c r="V766" s="322"/>
      <c r="W766" s="322"/>
      <c r="X766" s="322"/>
      <c r="Y766" s="322"/>
      <c r="Z766" s="322"/>
      <c r="AA766" s="322"/>
      <c r="AB766" s="322"/>
      <c r="AC766" s="322"/>
      <c r="AD766" s="322"/>
      <c r="AE766" s="322"/>
      <c r="AF766" s="322"/>
      <c r="AG766" s="322"/>
      <c r="AH766" s="322"/>
      <c r="AI766" s="322"/>
      <c r="AJ766" s="322"/>
      <c r="AK766" s="322"/>
    </row>
    <row r="767" spans="1:37" ht="18" customHeight="1">
      <c r="A767" s="322"/>
      <c r="B767" s="322"/>
      <c r="C767" s="451"/>
      <c r="D767" s="322"/>
      <c r="E767" s="322"/>
      <c r="F767" s="322"/>
      <c r="G767" s="322"/>
      <c r="H767" s="322"/>
      <c r="I767" s="322"/>
      <c r="J767" s="322"/>
      <c r="K767" s="322"/>
      <c r="L767" s="322"/>
      <c r="M767" s="322"/>
      <c r="N767" s="322"/>
      <c r="O767" s="322"/>
      <c r="P767" s="322"/>
      <c r="Q767" s="322"/>
      <c r="R767" s="322"/>
      <c r="S767" s="322"/>
      <c r="T767" s="322"/>
      <c r="U767" s="322"/>
      <c r="V767" s="322"/>
      <c r="W767" s="322"/>
      <c r="X767" s="322"/>
      <c r="Y767" s="322"/>
      <c r="Z767" s="322"/>
      <c r="AA767" s="322"/>
      <c r="AB767" s="322"/>
      <c r="AC767" s="322"/>
      <c r="AD767" s="322"/>
      <c r="AE767" s="322"/>
      <c r="AF767" s="322"/>
      <c r="AG767" s="322"/>
      <c r="AH767" s="322"/>
      <c r="AI767" s="322"/>
      <c r="AJ767" s="322"/>
      <c r="AK767" s="322"/>
    </row>
    <row r="768" spans="1:37" ht="18" customHeight="1">
      <c r="A768" s="322"/>
      <c r="B768" s="322"/>
      <c r="C768" s="451"/>
      <c r="D768" s="322"/>
      <c r="E768" s="322"/>
      <c r="F768" s="322"/>
      <c r="G768" s="322"/>
      <c r="H768" s="322"/>
      <c r="I768" s="322"/>
      <c r="J768" s="322"/>
      <c r="K768" s="322"/>
      <c r="L768" s="322"/>
      <c r="M768" s="322"/>
      <c r="N768" s="322"/>
      <c r="O768" s="322"/>
      <c r="P768" s="322"/>
      <c r="Q768" s="322"/>
      <c r="R768" s="322"/>
      <c r="S768" s="322"/>
      <c r="T768" s="322"/>
      <c r="U768" s="322"/>
      <c r="V768" s="322"/>
      <c r="W768" s="322"/>
      <c r="X768" s="322"/>
      <c r="Y768" s="322"/>
      <c r="Z768" s="322"/>
      <c r="AA768" s="322"/>
      <c r="AB768" s="322"/>
      <c r="AC768" s="322"/>
      <c r="AD768" s="322"/>
      <c r="AE768" s="322"/>
      <c r="AF768" s="322"/>
      <c r="AG768" s="322"/>
      <c r="AH768" s="322"/>
      <c r="AI768" s="322"/>
      <c r="AJ768" s="322"/>
      <c r="AK768" s="322"/>
    </row>
    <row r="769" spans="1:37" ht="18" customHeight="1">
      <c r="A769" s="322"/>
      <c r="B769" s="322"/>
      <c r="C769" s="451"/>
      <c r="D769" s="322"/>
      <c r="E769" s="322"/>
      <c r="F769" s="322"/>
      <c r="G769" s="322"/>
      <c r="H769" s="322"/>
      <c r="I769" s="322"/>
      <c r="J769" s="322"/>
      <c r="K769" s="322"/>
      <c r="L769" s="322"/>
      <c r="M769" s="322"/>
      <c r="N769" s="322"/>
      <c r="O769" s="322"/>
      <c r="P769" s="322"/>
      <c r="Q769" s="322"/>
      <c r="R769" s="322"/>
      <c r="S769" s="322"/>
      <c r="T769" s="322"/>
      <c r="U769" s="322"/>
      <c r="V769" s="322"/>
      <c r="W769" s="322"/>
      <c r="X769" s="322"/>
      <c r="Y769" s="322"/>
      <c r="Z769" s="322"/>
      <c r="AA769" s="322"/>
      <c r="AB769" s="322"/>
      <c r="AC769" s="322"/>
      <c r="AD769" s="322"/>
      <c r="AE769" s="322"/>
      <c r="AF769" s="322"/>
      <c r="AG769" s="322"/>
      <c r="AH769" s="322"/>
      <c r="AI769" s="322"/>
      <c r="AJ769" s="322"/>
      <c r="AK769" s="322"/>
    </row>
    <row r="770" spans="1:37" ht="18" customHeight="1">
      <c r="A770" s="322"/>
      <c r="B770" s="322"/>
      <c r="C770" s="451"/>
      <c r="D770" s="322"/>
      <c r="E770" s="322"/>
      <c r="F770" s="322"/>
      <c r="G770" s="322"/>
      <c r="H770" s="322"/>
      <c r="I770" s="322"/>
      <c r="J770" s="322"/>
      <c r="K770" s="322"/>
      <c r="L770" s="322"/>
      <c r="M770" s="322"/>
      <c r="N770" s="322"/>
      <c r="O770" s="322"/>
      <c r="P770" s="322"/>
      <c r="Q770" s="322"/>
      <c r="R770" s="322"/>
      <c r="S770" s="322"/>
      <c r="T770" s="322"/>
      <c r="U770" s="322"/>
      <c r="V770" s="322"/>
      <c r="W770" s="322"/>
      <c r="X770" s="322"/>
      <c r="Y770" s="322"/>
      <c r="Z770" s="322"/>
      <c r="AA770" s="322"/>
      <c r="AB770" s="322"/>
      <c r="AC770" s="322"/>
      <c r="AD770" s="322"/>
      <c r="AE770" s="322"/>
      <c r="AF770" s="322"/>
      <c r="AG770" s="322"/>
      <c r="AH770" s="322"/>
      <c r="AI770" s="322"/>
      <c r="AJ770" s="322"/>
      <c r="AK770" s="322"/>
    </row>
    <row r="771" spans="1:37" ht="18" customHeight="1">
      <c r="A771" s="322"/>
      <c r="B771" s="322"/>
      <c r="C771" s="451"/>
      <c r="D771" s="322"/>
      <c r="E771" s="322"/>
      <c r="F771" s="322"/>
      <c r="G771" s="322"/>
      <c r="H771" s="322"/>
      <c r="I771" s="322"/>
      <c r="J771" s="322"/>
      <c r="K771" s="322"/>
      <c r="L771" s="322"/>
      <c r="M771" s="322"/>
      <c r="N771" s="322"/>
      <c r="O771" s="322"/>
      <c r="P771" s="322"/>
      <c r="Q771" s="322"/>
      <c r="R771" s="322"/>
      <c r="S771" s="322"/>
      <c r="T771" s="322"/>
      <c r="U771" s="322"/>
      <c r="V771" s="322"/>
      <c r="W771" s="322"/>
      <c r="X771" s="322"/>
      <c r="Y771" s="322"/>
      <c r="Z771" s="322"/>
      <c r="AA771" s="322"/>
      <c r="AB771" s="322"/>
      <c r="AC771" s="322"/>
      <c r="AD771" s="322"/>
      <c r="AE771" s="322"/>
      <c r="AF771" s="322"/>
      <c r="AG771" s="322"/>
      <c r="AH771" s="322"/>
      <c r="AI771" s="322"/>
      <c r="AJ771" s="322"/>
      <c r="AK771" s="322"/>
    </row>
    <row r="772" spans="1:37" ht="18" customHeight="1">
      <c r="A772" s="322"/>
      <c r="B772" s="322"/>
      <c r="C772" s="451"/>
      <c r="D772" s="322"/>
      <c r="E772" s="322"/>
      <c r="F772" s="322"/>
      <c r="G772" s="322"/>
      <c r="H772" s="322"/>
      <c r="I772" s="322"/>
      <c r="J772" s="322"/>
      <c r="K772" s="322"/>
      <c r="L772" s="322"/>
      <c r="M772" s="322"/>
      <c r="N772" s="322"/>
      <c r="O772" s="322"/>
      <c r="P772" s="322"/>
      <c r="Q772" s="322"/>
      <c r="R772" s="322"/>
      <c r="S772" s="322"/>
      <c r="T772" s="322"/>
      <c r="U772" s="322"/>
      <c r="V772" s="322"/>
      <c r="W772" s="322"/>
      <c r="X772" s="322"/>
      <c r="Y772" s="322"/>
      <c r="Z772" s="322"/>
      <c r="AA772" s="322"/>
      <c r="AB772" s="322"/>
      <c r="AC772" s="322"/>
      <c r="AD772" s="322"/>
      <c r="AE772" s="322"/>
      <c r="AF772" s="322"/>
      <c r="AG772" s="322"/>
      <c r="AH772" s="322"/>
      <c r="AI772" s="322"/>
      <c r="AJ772" s="322"/>
      <c r="AK772" s="322"/>
    </row>
    <row r="773" spans="1:37" ht="18" customHeight="1">
      <c r="A773" s="322"/>
      <c r="B773" s="322"/>
      <c r="C773" s="451"/>
      <c r="D773" s="322"/>
      <c r="E773" s="322"/>
      <c r="F773" s="322"/>
      <c r="G773" s="322"/>
      <c r="H773" s="322"/>
      <c r="I773" s="322"/>
      <c r="J773" s="322"/>
      <c r="K773" s="322"/>
      <c r="L773" s="322"/>
      <c r="M773" s="322"/>
      <c r="N773" s="322"/>
      <c r="O773" s="322"/>
      <c r="P773" s="322"/>
      <c r="Q773" s="322"/>
      <c r="R773" s="322"/>
      <c r="S773" s="322"/>
      <c r="T773" s="322"/>
      <c r="U773" s="322"/>
      <c r="V773" s="322"/>
      <c r="W773" s="322"/>
      <c r="X773" s="322"/>
      <c r="Y773" s="322"/>
      <c r="Z773" s="322"/>
      <c r="AA773" s="322"/>
      <c r="AB773" s="322"/>
      <c r="AC773" s="322"/>
      <c r="AD773" s="322"/>
      <c r="AE773" s="322"/>
      <c r="AF773" s="322"/>
      <c r="AG773" s="322"/>
      <c r="AH773" s="322"/>
      <c r="AI773" s="322"/>
      <c r="AJ773" s="322"/>
      <c r="AK773" s="322"/>
    </row>
    <row r="774" spans="1:37" ht="18" customHeight="1">
      <c r="A774" s="322"/>
      <c r="B774" s="322"/>
      <c r="C774" s="451"/>
      <c r="D774" s="322"/>
      <c r="E774" s="322"/>
      <c r="F774" s="322"/>
      <c r="G774" s="322"/>
      <c r="H774" s="322"/>
      <c r="I774" s="322"/>
      <c r="J774" s="322"/>
      <c r="K774" s="322"/>
      <c r="L774" s="322"/>
      <c r="M774" s="322"/>
      <c r="N774" s="322"/>
      <c r="O774" s="322"/>
      <c r="P774" s="322"/>
      <c r="Q774" s="322"/>
      <c r="R774" s="322"/>
      <c r="S774" s="322"/>
      <c r="T774" s="322"/>
      <c r="U774" s="322"/>
      <c r="V774" s="322"/>
      <c r="W774" s="322"/>
      <c r="X774" s="322"/>
      <c r="Y774" s="322"/>
      <c r="Z774" s="322"/>
      <c r="AA774" s="322"/>
      <c r="AB774" s="322"/>
      <c r="AC774" s="322"/>
      <c r="AD774" s="322"/>
      <c r="AE774" s="322"/>
      <c r="AF774" s="322"/>
      <c r="AG774" s="322"/>
      <c r="AH774" s="322"/>
      <c r="AI774" s="322"/>
      <c r="AJ774" s="322"/>
      <c r="AK774" s="322"/>
    </row>
    <row r="775" spans="1:37" ht="18" customHeight="1">
      <c r="A775" s="322"/>
      <c r="B775" s="322"/>
      <c r="C775" s="451"/>
      <c r="D775" s="322"/>
      <c r="E775" s="322"/>
      <c r="F775" s="322"/>
      <c r="G775" s="322"/>
      <c r="H775" s="322"/>
      <c r="I775" s="322"/>
      <c r="J775" s="322"/>
      <c r="K775" s="322"/>
      <c r="L775" s="322"/>
      <c r="M775" s="322"/>
      <c r="N775" s="322"/>
      <c r="O775" s="322"/>
      <c r="P775" s="322"/>
      <c r="Q775" s="322"/>
      <c r="R775" s="322"/>
      <c r="S775" s="322"/>
      <c r="T775" s="322"/>
      <c r="U775" s="322"/>
      <c r="V775" s="322"/>
      <c r="W775" s="322"/>
      <c r="X775" s="322"/>
      <c r="Y775" s="322"/>
      <c r="Z775" s="322"/>
      <c r="AA775" s="322"/>
      <c r="AB775" s="322"/>
      <c r="AC775" s="322"/>
      <c r="AD775" s="322"/>
      <c r="AE775" s="322"/>
      <c r="AF775" s="322"/>
      <c r="AG775" s="322"/>
      <c r="AH775" s="322"/>
      <c r="AI775" s="322"/>
      <c r="AJ775" s="322"/>
      <c r="AK775" s="322"/>
    </row>
    <row r="776" spans="1:37" ht="18" customHeight="1">
      <c r="A776" s="322"/>
      <c r="B776" s="322"/>
      <c r="C776" s="451"/>
      <c r="D776" s="322"/>
      <c r="E776" s="322"/>
      <c r="F776" s="322"/>
      <c r="G776" s="322"/>
      <c r="H776" s="322"/>
      <c r="I776" s="322"/>
      <c r="J776" s="322"/>
      <c r="K776" s="322"/>
      <c r="L776" s="322"/>
      <c r="M776" s="322"/>
      <c r="N776" s="322"/>
      <c r="O776" s="322"/>
      <c r="P776" s="322"/>
      <c r="Q776" s="322"/>
      <c r="R776" s="322"/>
      <c r="S776" s="322"/>
      <c r="T776" s="322"/>
      <c r="U776" s="322"/>
      <c r="V776" s="322"/>
      <c r="W776" s="322"/>
      <c r="X776" s="322"/>
      <c r="Y776" s="322"/>
      <c r="Z776" s="322"/>
      <c r="AA776" s="322"/>
      <c r="AB776" s="322"/>
      <c r="AC776" s="322"/>
      <c r="AD776" s="322"/>
      <c r="AE776" s="322"/>
      <c r="AF776" s="322"/>
      <c r="AG776" s="322"/>
      <c r="AH776" s="322"/>
      <c r="AI776" s="322"/>
      <c r="AJ776" s="322"/>
      <c r="AK776" s="322"/>
    </row>
    <row r="777" spans="1:37" ht="18" customHeight="1">
      <c r="A777" s="322"/>
      <c r="B777" s="322"/>
      <c r="C777" s="451"/>
      <c r="D777" s="322"/>
      <c r="E777" s="322"/>
      <c r="F777" s="322"/>
      <c r="G777" s="322"/>
      <c r="H777" s="322"/>
      <c r="I777" s="322"/>
      <c r="J777" s="322"/>
      <c r="K777" s="322"/>
      <c r="L777" s="322"/>
      <c r="M777" s="322"/>
      <c r="N777" s="322"/>
      <c r="O777" s="322"/>
      <c r="P777" s="322"/>
      <c r="Q777" s="322"/>
      <c r="R777" s="322"/>
      <c r="S777" s="322"/>
      <c r="T777" s="322"/>
      <c r="U777" s="322"/>
      <c r="V777" s="322"/>
      <c r="W777" s="322"/>
      <c r="X777" s="322"/>
      <c r="Y777" s="322"/>
      <c r="Z777" s="322"/>
      <c r="AA777" s="322"/>
      <c r="AB777" s="322"/>
      <c r="AC777" s="322"/>
      <c r="AD777" s="322"/>
      <c r="AE777" s="322"/>
      <c r="AF777" s="322"/>
      <c r="AG777" s="322"/>
      <c r="AH777" s="322"/>
      <c r="AI777" s="322"/>
      <c r="AJ777" s="322"/>
      <c r="AK777" s="322"/>
    </row>
    <row r="778" spans="1:37" ht="18" customHeight="1">
      <c r="A778" s="322"/>
      <c r="B778" s="322"/>
      <c r="C778" s="451"/>
      <c r="D778" s="322"/>
      <c r="E778" s="322"/>
      <c r="F778" s="322"/>
      <c r="G778" s="322"/>
      <c r="H778" s="322"/>
      <c r="I778" s="322"/>
      <c r="J778" s="322"/>
      <c r="K778" s="322"/>
      <c r="L778" s="322"/>
      <c r="M778" s="322"/>
      <c r="N778" s="322"/>
      <c r="O778" s="322"/>
      <c r="P778" s="322"/>
      <c r="Q778" s="322"/>
      <c r="R778" s="322"/>
      <c r="S778" s="322"/>
      <c r="T778" s="322"/>
      <c r="U778" s="322"/>
      <c r="V778" s="322"/>
      <c r="W778" s="322"/>
      <c r="X778" s="322"/>
      <c r="Y778" s="322"/>
      <c r="Z778" s="322"/>
      <c r="AA778" s="322"/>
      <c r="AB778" s="322"/>
      <c r="AC778" s="322"/>
      <c r="AD778" s="322"/>
      <c r="AE778" s="322"/>
      <c r="AF778" s="322"/>
      <c r="AG778" s="322"/>
      <c r="AH778" s="322"/>
      <c r="AI778" s="322"/>
      <c r="AJ778" s="322"/>
      <c r="AK778" s="322"/>
    </row>
    <row r="779" spans="1:37" ht="18" customHeight="1">
      <c r="A779" s="322"/>
      <c r="B779" s="322"/>
      <c r="C779" s="451"/>
      <c r="D779" s="322"/>
      <c r="E779" s="322"/>
      <c r="F779" s="322"/>
      <c r="G779" s="322"/>
      <c r="H779" s="322"/>
      <c r="I779" s="322"/>
      <c r="J779" s="322"/>
      <c r="K779" s="322"/>
      <c r="L779" s="322"/>
      <c r="M779" s="322"/>
      <c r="N779" s="322"/>
      <c r="O779" s="322"/>
      <c r="P779" s="322"/>
      <c r="Q779" s="322"/>
      <c r="R779" s="322"/>
      <c r="S779" s="322"/>
      <c r="T779" s="322"/>
      <c r="U779" s="322"/>
      <c r="V779" s="322"/>
      <c r="W779" s="322"/>
      <c r="X779" s="322"/>
      <c r="Y779" s="322"/>
      <c r="Z779" s="322"/>
      <c r="AA779" s="322"/>
      <c r="AB779" s="322"/>
      <c r="AC779" s="322"/>
      <c r="AD779" s="322"/>
      <c r="AE779" s="322"/>
      <c r="AF779" s="322"/>
      <c r="AG779" s="322"/>
      <c r="AH779" s="322"/>
      <c r="AI779" s="322"/>
      <c r="AJ779" s="322"/>
      <c r="AK779" s="322"/>
    </row>
    <row r="780" spans="1:37" ht="18" customHeight="1">
      <c r="A780" s="322"/>
      <c r="B780" s="322"/>
      <c r="C780" s="451"/>
      <c r="D780" s="322"/>
      <c r="E780" s="322"/>
      <c r="F780" s="322"/>
      <c r="G780" s="322"/>
      <c r="H780" s="322"/>
      <c r="I780" s="322"/>
      <c r="J780" s="322"/>
      <c r="K780" s="322"/>
      <c r="L780" s="322"/>
      <c r="M780" s="322"/>
      <c r="N780" s="322"/>
      <c r="O780" s="322"/>
      <c r="P780" s="322"/>
      <c r="Q780" s="322"/>
      <c r="R780" s="322"/>
      <c r="S780" s="322"/>
      <c r="T780" s="322"/>
      <c r="U780" s="322"/>
      <c r="V780" s="322"/>
      <c r="W780" s="322"/>
      <c r="X780" s="322"/>
      <c r="Y780" s="322"/>
      <c r="Z780" s="322"/>
      <c r="AA780" s="322"/>
      <c r="AB780" s="322"/>
      <c r="AC780" s="322"/>
      <c r="AD780" s="322"/>
      <c r="AE780" s="322"/>
      <c r="AF780" s="322"/>
      <c r="AG780" s="322"/>
      <c r="AH780" s="322"/>
      <c r="AI780" s="322"/>
      <c r="AJ780" s="322"/>
      <c r="AK780" s="322"/>
    </row>
    <row r="781" spans="1:37" ht="18" customHeight="1">
      <c r="A781" s="322"/>
      <c r="B781" s="322"/>
      <c r="C781" s="451"/>
      <c r="D781" s="322"/>
      <c r="E781" s="322"/>
      <c r="F781" s="322"/>
      <c r="G781" s="322"/>
      <c r="H781" s="322"/>
      <c r="I781" s="322"/>
      <c r="J781" s="322"/>
      <c r="K781" s="322"/>
      <c r="L781" s="322"/>
      <c r="M781" s="322"/>
      <c r="N781" s="322"/>
      <c r="O781" s="322"/>
      <c r="P781" s="322"/>
      <c r="Q781" s="322"/>
      <c r="R781" s="322"/>
      <c r="S781" s="322"/>
      <c r="T781" s="322"/>
      <c r="U781" s="322"/>
      <c r="V781" s="322"/>
      <c r="W781" s="322"/>
      <c r="X781" s="322"/>
      <c r="Y781" s="322"/>
      <c r="Z781" s="322"/>
      <c r="AA781" s="322"/>
      <c r="AB781" s="322"/>
      <c r="AC781" s="322"/>
      <c r="AD781" s="322"/>
      <c r="AE781" s="322"/>
      <c r="AF781" s="322"/>
      <c r="AG781" s="322"/>
      <c r="AH781" s="322"/>
      <c r="AI781" s="322"/>
      <c r="AJ781" s="322"/>
      <c r="AK781" s="322"/>
    </row>
    <row r="782" spans="1:37" ht="18" customHeight="1">
      <c r="A782" s="322"/>
      <c r="B782" s="322"/>
      <c r="C782" s="451"/>
      <c r="D782" s="322"/>
      <c r="E782" s="322"/>
      <c r="F782" s="322"/>
      <c r="G782" s="322"/>
      <c r="H782" s="322"/>
      <c r="I782" s="322"/>
      <c r="J782" s="322"/>
      <c r="K782" s="322"/>
      <c r="L782" s="322"/>
      <c r="M782" s="322"/>
      <c r="N782" s="322"/>
      <c r="O782" s="322"/>
      <c r="P782" s="322"/>
      <c r="Q782" s="322"/>
      <c r="R782" s="322"/>
      <c r="S782" s="322"/>
      <c r="T782" s="322"/>
      <c r="U782" s="322"/>
      <c r="V782" s="322"/>
      <c r="W782" s="322"/>
      <c r="X782" s="322"/>
      <c r="Y782" s="322"/>
      <c r="Z782" s="322"/>
      <c r="AA782" s="322"/>
      <c r="AB782" s="322"/>
      <c r="AC782" s="322"/>
      <c r="AD782" s="322"/>
      <c r="AE782" s="322"/>
      <c r="AF782" s="322"/>
      <c r="AG782" s="322"/>
      <c r="AH782" s="322"/>
      <c r="AI782" s="322"/>
      <c r="AJ782" s="322"/>
      <c r="AK782" s="322"/>
    </row>
    <row r="783" spans="1:37" ht="18" customHeight="1">
      <c r="A783" s="322"/>
      <c r="B783" s="322"/>
      <c r="C783" s="451"/>
      <c r="D783" s="322"/>
      <c r="E783" s="322"/>
      <c r="F783" s="322"/>
      <c r="G783" s="322"/>
      <c r="H783" s="322"/>
      <c r="I783" s="322"/>
      <c r="J783" s="322"/>
      <c r="K783" s="322"/>
      <c r="L783" s="322"/>
      <c r="M783" s="322"/>
      <c r="N783" s="322"/>
      <c r="O783" s="322"/>
      <c r="P783" s="322"/>
      <c r="Q783" s="322"/>
      <c r="R783" s="322"/>
      <c r="S783" s="322"/>
      <c r="T783" s="322"/>
      <c r="U783" s="322"/>
      <c r="V783" s="322"/>
      <c r="W783" s="322"/>
      <c r="X783" s="322"/>
      <c r="Y783" s="322"/>
      <c r="Z783" s="322"/>
      <c r="AA783" s="322"/>
      <c r="AB783" s="322"/>
      <c r="AC783" s="322"/>
      <c r="AD783" s="322"/>
      <c r="AE783" s="322"/>
      <c r="AF783" s="322"/>
      <c r="AG783" s="322"/>
      <c r="AH783" s="322"/>
      <c r="AI783" s="322"/>
      <c r="AJ783" s="322"/>
      <c r="AK783" s="322"/>
    </row>
    <row r="784" spans="1:37" ht="18" customHeight="1">
      <c r="A784" s="322"/>
      <c r="B784" s="322"/>
      <c r="C784" s="451"/>
      <c r="D784" s="322"/>
      <c r="E784" s="322"/>
      <c r="F784" s="322"/>
      <c r="G784" s="322"/>
      <c r="H784" s="322"/>
      <c r="I784" s="322"/>
      <c r="J784" s="322"/>
      <c r="K784" s="322"/>
      <c r="L784" s="322"/>
      <c r="M784" s="322"/>
      <c r="N784" s="322"/>
      <c r="O784" s="322"/>
      <c r="P784" s="322"/>
      <c r="Q784" s="322"/>
      <c r="R784" s="322"/>
      <c r="S784" s="322"/>
      <c r="T784" s="322"/>
      <c r="U784" s="322"/>
      <c r="V784" s="322"/>
      <c r="W784" s="322"/>
      <c r="X784" s="322"/>
      <c r="Y784" s="322"/>
      <c r="Z784" s="322"/>
      <c r="AA784" s="322"/>
      <c r="AB784" s="322"/>
      <c r="AC784" s="322"/>
      <c r="AD784" s="322"/>
      <c r="AE784" s="322"/>
      <c r="AF784" s="322"/>
      <c r="AG784" s="322"/>
      <c r="AH784" s="322"/>
      <c r="AI784" s="322"/>
      <c r="AJ784" s="322"/>
      <c r="AK784" s="322"/>
    </row>
    <row r="785" spans="1:37" ht="18" customHeight="1">
      <c r="A785" s="322"/>
      <c r="B785" s="322"/>
      <c r="C785" s="451"/>
      <c r="D785" s="322"/>
      <c r="E785" s="322"/>
      <c r="F785" s="322"/>
      <c r="G785" s="322"/>
      <c r="H785" s="322"/>
      <c r="I785" s="322"/>
      <c r="J785" s="322"/>
      <c r="K785" s="322"/>
      <c r="L785" s="322"/>
      <c r="M785" s="322"/>
      <c r="N785" s="322"/>
      <c r="O785" s="322"/>
      <c r="P785" s="322"/>
      <c r="Q785" s="322"/>
      <c r="R785" s="322"/>
      <c r="S785" s="322"/>
      <c r="T785" s="322"/>
      <c r="U785" s="322"/>
      <c r="V785" s="322"/>
      <c r="W785" s="322"/>
      <c r="X785" s="322"/>
      <c r="Y785" s="322"/>
      <c r="Z785" s="322"/>
      <c r="AA785" s="322"/>
      <c r="AB785" s="322"/>
      <c r="AC785" s="322"/>
      <c r="AD785" s="322"/>
      <c r="AE785" s="322"/>
      <c r="AF785" s="322"/>
      <c r="AG785" s="322"/>
      <c r="AH785" s="322"/>
      <c r="AI785" s="322"/>
      <c r="AJ785" s="322"/>
      <c r="AK785" s="322"/>
    </row>
    <row r="786" spans="1:37" ht="18" customHeight="1">
      <c r="A786" s="322"/>
      <c r="B786" s="322"/>
      <c r="C786" s="451"/>
      <c r="D786" s="322"/>
      <c r="E786" s="322"/>
      <c r="F786" s="322"/>
      <c r="G786" s="322"/>
      <c r="H786" s="322"/>
      <c r="I786" s="322"/>
      <c r="J786" s="322"/>
      <c r="K786" s="322"/>
      <c r="L786" s="322"/>
      <c r="M786" s="322"/>
      <c r="N786" s="322"/>
      <c r="O786" s="322"/>
      <c r="P786" s="322"/>
      <c r="Q786" s="322"/>
      <c r="R786" s="322"/>
      <c r="S786" s="322"/>
      <c r="T786" s="322"/>
      <c r="U786" s="322"/>
      <c r="V786" s="322"/>
      <c r="W786" s="322"/>
      <c r="X786" s="322"/>
      <c r="Y786" s="322"/>
      <c r="Z786" s="322"/>
      <c r="AA786" s="322"/>
      <c r="AB786" s="322"/>
      <c r="AC786" s="322"/>
      <c r="AD786" s="322"/>
      <c r="AE786" s="322"/>
      <c r="AF786" s="322"/>
      <c r="AG786" s="322"/>
      <c r="AH786" s="322"/>
      <c r="AI786" s="322"/>
      <c r="AJ786" s="322"/>
      <c r="AK786" s="322"/>
    </row>
    <row r="787" spans="1:37" ht="18" customHeight="1">
      <c r="A787" s="322"/>
      <c r="B787" s="322"/>
      <c r="C787" s="451"/>
      <c r="D787" s="322"/>
      <c r="E787" s="322"/>
      <c r="F787" s="322"/>
      <c r="G787" s="322"/>
      <c r="H787" s="322"/>
      <c r="I787" s="322"/>
      <c r="J787" s="322"/>
      <c r="K787" s="322"/>
      <c r="L787" s="322"/>
      <c r="M787" s="322"/>
      <c r="N787" s="322"/>
      <c r="O787" s="322"/>
      <c r="P787" s="322"/>
      <c r="Q787" s="322"/>
      <c r="R787" s="322"/>
      <c r="S787" s="322"/>
      <c r="T787" s="322"/>
      <c r="U787" s="322"/>
      <c r="V787" s="322"/>
      <c r="W787" s="322"/>
      <c r="X787" s="322"/>
      <c r="Y787" s="322"/>
      <c r="Z787" s="322"/>
      <c r="AA787" s="322"/>
      <c r="AB787" s="322"/>
      <c r="AC787" s="322"/>
      <c r="AD787" s="322"/>
      <c r="AE787" s="322"/>
      <c r="AF787" s="322"/>
      <c r="AG787" s="322"/>
      <c r="AH787" s="322"/>
      <c r="AI787" s="322"/>
      <c r="AJ787" s="322"/>
      <c r="AK787" s="322"/>
    </row>
    <row r="788" spans="1:37" ht="18" customHeight="1">
      <c r="A788" s="322"/>
      <c r="B788" s="322"/>
      <c r="C788" s="451"/>
      <c r="D788" s="322"/>
      <c r="E788" s="322"/>
      <c r="F788" s="322"/>
      <c r="G788" s="322"/>
      <c r="H788" s="322"/>
      <c r="I788" s="322"/>
      <c r="J788" s="322"/>
      <c r="K788" s="322"/>
      <c r="L788" s="322"/>
      <c r="M788" s="322"/>
      <c r="N788" s="322"/>
      <c r="O788" s="322"/>
      <c r="P788" s="322"/>
      <c r="Q788" s="322"/>
      <c r="R788" s="322"/>
      <c r="S788" s="322"/>
      <c r="T788" s="322"/>
      <c r="U788" s="322"/>
      <c r="V788" s="322"/>
      <c r="W788" s="322"/>
      <c r="X788" s="322"/>
      <c r="Y788" s="322"/>
      <c r="Z788" s="322"/>
      <c r="AA788" s="322"/>
      <c r="AB788" s="322"/>
      <c r="AC788" s="322"/>
      <c r="AD788" s="322"/>
      <c r="AE788" s="322"/>
      <c r="AF788" s="322"/>
      <c r="AG788" s="322"/>
      <c r="AH788" s="322"/>
      <c r="AI788" s="322"/>
      <c r="AJ788" s="322"/>
      <c r="AK788" s="322"/>
    </row>
    <row r="789" spans="1:37" ht="18" customHeight="1">
      <c r="A789" s="322"/>
      <c r="B789" s="322"/>
      <c r="C789" s="451"/>
      <c r="D789" s="322"/>
      <c r="E789" s="322"/>
      <c r="F789" s="322"/>
      <c r="G789" s="322"/>
      <c r="H789" s="322"/>
      <c r="I789" s="322"/>
      <c r="J789" s="322"/>
      <c r="K789" s="322"/>
      <c r="L789" s="322"/>
      <c r="M789" s="322"/>
      <c r="N789" s="322"/>
      <c r="O789" s="322"/>
      <c r="P789" s="322"/>
      <c r="Q789" s="322"/>
      <c r="R789" s="322"/>
      <c r="S789" s="322"/>
      <c r="T789" s="322"/>
      <c r="U789" s="322"/>
      <c r="V789" s="322"/>
      <c r="W789" s="322"/>
      <c r="X789" s="322"/>
      <c r="Y789" s="322"/>
      <c r="Z789" s="322"/>
      <c r="AA789" s="322"/>
      <c r="AB789" s="322"/>
      <c r="AC789" s="322"/>
      <c r="AD789" s="322"/>
      <c r="AE789" s="322"/>
      <c r="AF789" s="322"/>
      <c r="AG789" s="322"/>
      <c r="AH789" s="322"/>
      <c r="AI789" s="322"/>
      <c r="AJ789" s="322"/>
      <c r="AK789" s="322"/>
    </row>
    <row r="790" spans="1:37" ht="18" customHeight="1">
      <c r="A790" s="322"/>
      <c r="B790" s="322"/>
      <c r="C790" s="451"/>
      <c r="D790" s="322"/>
      <c r="E790" s="322"/>
      <c r="F790" s="322"/>
      <c r="G790" s="322"/>
      <c r="H790" s="322"/>
      <c r="I790" s="322"/>
      <c r="J790" s="322"/>
      <c r="K790" s="322"/>
      <c r="L790" s="322"/>
      <c r="M790" s="322"/>
      <c r="N790" s="322"/>
      <c r="O790" s="322"/>
      <c r="P790" s="322"/>
      <c r="Q790" s="322"/>
      <c r="R790" s="322"/>
      <c r="S790" s="322"/>
      <c r="T790" s="322"/>
      <c r="U790" s="322"/>
      <c r="V790" s="322"/>
      <c r="W790" s="322"/>
      <c r="X790" s="322"/>
      <c r="Y790" s="322"/>
      <c r="Z790" s="322"/>
      <c r="AA790" s="322"/>
      <c r="AB790" s="322"/>
      <c r="AC790" s="322"/>
      <c r="AD790" s="322"/>
      <c r="AE790" s="322"/>
      <c r="AF790" s="322"/>
      <c r="AG790" s="322"/>
      <c r="AH790" s="322"/>
      <c r="AI790" s="322"/>
      <c r="AJ790" s="322"/>
      <c r="AK790" s="322"/>
    </row>
    <row r="791" spans="1:37" ht="18" customHeight="1">
      <c r="A791" s="322"/>
      <c r="B791" s="322"/>
      <c r="C791" s="451"/>
      <c r="D791" s="322"/>
      <c r="E791" s="322"/>
      <c r="F791" s="322"/>
      <c r="G791" s="322"/>
      <c r="H791" s="322"/>
      <c r="I791" s="322"/>
      <c r="J791" s="322"/>
      <c r="K791" s="322"/>
      <c r="L791" s="322"/>
      <c r="M791" s="322"/>
      <c r="N791" s="322"/>
      <c r="O791" s="322"/>
      <c r="P791" s="322"/>
      <c r="Q791" s="322"/>
      <c r="R791" s="322"/>
      <c r="S791" s="322"/>
      <c r="T791" s="322"/>
      <c r="U791" s="322"/>
      <c r="V791" s="322"/>
      <c r="W791" s="322"/>
      <c r="X791" s="322"/>
      <c r="Y791" s="322"/>
      <c r="Z791" s="322"/>
      <c r="AA791" s="322"/>
      <c r="AB791" s="322"/>
      <c r="AC791" s="322"/>
      <c r="AD791" s="322"/>
      <c r="AE791" s="322"/>
      <c r="AF791" s="322"/>
      <c r="AG791" s="322"/>
      <c r="AH791" s="322"/>
      <c r="AI791" s="322"/>
      <c r="AJ791" s="322"/>
      <c r="AK791" s="322"/>
    </row>
    <row r="792" spans="1:37" ht="18" customHeight="1">
      <c r="A792" s="322"/>
      <c r="B792" s="322"/>
      <c r="C792" s="451"/>
      <c r="D792" s="322"/>
      <c r="E792" s="322"/>
      <c r="F792" s="322"/>
      <c r="G792" s="322"/>
      <c r="H792" s="322"/>
      <c r="I792" s="322"/>
      <c r="J792" s="322"/>
      <c r="K792" s="322"/>
      <c r="L792" s="322"/>
      <c r="M792" s="322"/>
      <c r="N792" s="322"/>
      <c r="O792" s="322"/>
      <c r="P792" s="322"/>
      <c r="Q792" s="322"/>
      <c r="R792" s="322"/>
      <c r="S792" s="322"/>
      <c r="T792" s="322"/>
      <c r="U792" s="322"/>
      <c r="V792" s="322"/>
      <c r="W792" s="322"/>
      <c r="X792" s="322"/>
      <c r="Y792" s="322"/>
      <c r="Z792" s="322"/>
      <c r="AA792" s="322"/>
      <c r="AB792" s="322"/>
      <c r="AC792" s="322"/>
      <c r="AD792" s="322"/>
      <c r="AE792" s="322"/>
      <c r="AF792" s="322"/>
      <c r="AG792" s="322"/>
      <c r="AH792" s="322"/>
      <c r="AI792" s="322"/>
      <c r="AJ792" s="322"/>
      <c r="AK792" s="322"/>
    </row>
    <row r="793" spans="1:37" ht="18" customHeight="1">
      <c r="A793" s="322"/>
      <c r="B793" s="322"/>
      <c r="C793" s="451"/>
      <c r="D793" s="322"/>
      <c r="E793" s="322"/>
      <c r="F793" s="322"/>
      <c r="G793" s="322"/>
      <c r="H793" s="322"/>
      <c r="I793" s="322"/>
      <c r="J793" s="322"/>
      <c r="K793" s="322"/>
      <c r="L793" s="322"/>
      <c r="M793" s="322"/>
      <c r="N793" s="322"/>
      <c r="O793" s="322"/>
      <c r="P793" s="322"/>
      <c r="Q793" s="322"/>
      <c r="R793" s="322"/>
      <c r="S793" s="322"/>
      <c r="T793" s="322"/>
      <c r="U793" s="322"/>
      <c r="V793" s="322"/>
      <c r="W793" s="322"/>
      <c r="X793" s="322"/>
      <c r="Y793" s="322"/>
      <c r="Z793" s="322"/>
      <c r="AA793" s="322"/>
      <c r="AB793" s="322"/>
      <c r="AC793" s="322"/>
      <c r="AD793" s="322"/>
      <c r="AE793" s="322"/>
      <c r="AF793" s="322"/>
      <c r="AG793" s="322"/>
      <c r="AH793" s="322"/>
      <c r="AI793" s="322"/>
      <c r="AJ793" s="322"/>
      <c r="AK793" s="322"/>
    </row>
    <row r="794" spans="1:37" ht="18" customHeight="1">
      <c r="A794" s="322"/>
      <c r="B794" s="322"/>
      <c r="C794" s="451"/>
      <c r="D794" s="322"/>
      <c r="E794" s="322"/>
      <c r="F794" s="322"/>
      <c r="G794" s="322"/>
      <c r="H794" s="322"/>
      <c r="I794" s="322"/>
      <c r="J794" s="322"/>
      <c r="K794" s="322"/>
      <c r="L794" s="322"/>
      <c r="M794" s="322"/>
      <c r="N794" s="322"/>
      <c r="O794" s="322"/>
      <c r="P794" s="322"/>
      <c r="Q794" s="322"/>
      <c r="R794" s="322"/>
      <c r="S794" s="322"/>
      <c r="T794" s="322"/>
      <c r="U794" s="322"/>
      <c r="V794" s="322"/>
      <c r="W794" s="322"/>
      <c r="X794" s="322"/>
      <c r="Y794" s="322"/>
      <c r="Z794" s="322"/>
      <c r="AA794" s="322"/>
      <c r="AB794" s="322"/>
      <c r="AC794" s="322"/>
      <c r="AD794" s="322"/>
      <c r="AE794" s="322"/>
      <c r="AF794" s="322"/>
      <c r="AG794" s="322"/>
      <c r="AH794" s="322"/>
      <c r="AI794" s="322"/>
      <c r="AJ794" s="322"/>
      <c r="AK794" s="322"/>
    </row>
    <row r="795" spans="1:37" ht="18" customHeight="1">
      <c r="A795" s="322"/>
      <c r="B795" s="322"/>
      <c r="C795" s="451"/>
      <c r="D795" s="322"/>
      <c r="E795" s="322"/>
      <c r="F795" s="322"/>
      <c r="G795" s="322"/>
      <c r="H795" s="322"/>
      <c r="I795" s="322"/>
      <c r="J795" s="322"/>
      <c r="K795" s="322"/>
      <c r="L795" s="322"/>
      <c r="M795" s="322"/>
      <c r="N795" s="322"/>
      <c r="O795" s="322"/>
      <c r="P795" s="322"/>
      <c r="Q795" s="322"/>
      <c r="R795" s="322"/>
      <c r="S795" s="322"/>
      <c r="T795" s="322"/>
      <c r="U795" s="322"/>
      <c r="V795" s="322"/>
      <c r="W795" s="322"/>
      <c r="X795" s="322"/>
      <c r="Y795" s="322"/>
      <c r="Z795" s="322"/>
      <c r="AA795" s="322"/>
      <c r="AB795" s="322"/>
      <c r="AC795" s="322"/>
      <c r="AD795" s="322"/>
      <c r="AE795" s="322"/>
      <c r="AF795" s="322"/>
      <c r="AG795" s="322"/>
      <c r="AH795" s="322"/>
      <c r="AI795" s="322"/>
      <c r="AJ795" s="322"/>
      <c r="AK795" s="322"/>
    </row>
    <row r="796" spans="1:37" ht="18" customHeight="1">
      <c r="A796" s="322"/>
      <c r="B796" s="322"/>
      <c r="C796" s="451"/>
      <c r="D796" s="322"/>
      <c r="E796" s="322"/>
      <c r="F796" s="322"/>
      <c r="G796" s="322"/>
      <c r="H796" s="322"/>
      <c r="I796" s="322"/>
      <c r="J796" s="322"/>
      <c r="K796" s="322"/>
      <c r="L796" s="322"/>
      <c r="M796" s="322"/>
      <c r="N796" s="322"/>
      <c r="O796" s="322"/>
      <c r="P796" s="322"/>
      <c r="Q796" s="322"/>
      <c r="R796" s="322"/>
      <c r="S796" s="322"/>
      <c r="T796" s="322"/>
      <c r="U796" s="322"/>
      <c r="V796" s="322"/>
      <c r="W796" s="322"/>
      <c r="X796" s="322"/>
      <c r="Y796" s="322"/>
      <c r="Z796" s="322"/>
      <c r="AA796" s="322"/>
      <c r="AB796" s="322"/>
      <c r="AC796" s="322"/>
      <c r="AD796" s="322"/>
      <c r="AE796" s="322"/>
      <c r="AF796" s="322"/>
      <c r="AG796" s="322"/>
      <c r="AH796" s="322"/>
      <c r="AI796" s="322"/>
      <c r="AJ796" s="322"/>
      <c r="AK796" s="322"/>
    </row>
    <row r="797" spans="1:37" ht="18" customHeight="1">
      <c r="A797" s="322"/>
      <c r="B797" s="322"/>
      <c r="C797" s="451"/>
      <c r="D797" s="322"/>
      <c r="E797" s="322"/>
      <c r="F797" s="322"/>
      <c r="G797" s="322"/>
      <c r="H797" s="322"/>
      <c r="I797" s="322"/>
      <c r="J797" s="322"/>
      <c r="K797" s="322"/>
      <c r="L797" s="322"/>
      <c r="M797" s="322"/>
      <c r="N797" s="322"/>
      <c r="O797" s="322"/>
      <c r="P797" s="322"/>
      <c r="Q797" s="322"/>
      <c r="R797" s="322"/>
      <c r="S797" s="322"/>
      <c r="T797" s="322"/>
      <c r="U797" s="322"/>
      <c r="V797" s="322"/>
      <c r="W797" s="322"/>
      <c r="X797" s="322"/>
      <c r="Y797" s="322"/>
      <c r="Z797" s="322"/>
      <c r="AA797" s="322"/>
      <c r="AB797" s="322"/>
      <c r="AC797" s="322"/>
      <c r="AD797" s="322"/>
      <c r="AE797" s="322"/>
      <c r="AF797" s="322"/>
      <c r="AG797" s="322"/>
      <c r="AH797" s="322"/>
      <c r="AI797" s="322"/>
      <c r="AJ797" s="322"/>
      <c r="AK797" s="322"/>
    </row>
    <row r="798" spans="1:37" ht="18" customHeight="1">
      <c r="A798" s="322"/>
      <c r="B798" s="322"/>
      <c r="C798" s="451"/>
      <c r="D798" s="322"/>
      <c r="E798" s="322"/>
      <c r="F798" s="322"/>
      <c r="G798" s="322"/>
      <c r="H798" s="322"/>
      <c r="I798" s="322"/>
      <c r="J798" s="322"/>
      <c r="K798" s="322"/>
      <c r="L798" s="322"/>
      <c r="M798" s="322"/>
      <c r="N798" s="322"/>
      <c r="O798" s="322"/>
      <c r="P798" s="322"/>
      <c r="Q798" s="322"/>
      <c r="R798" s="322"/>
      <c r="S798" s="322"/>
      <c r="T798" s="322"/>
      <c r="U798" s="322"/>
      <c r="V798" s="322"/>
      <c r="W798" s="322"/>
      <c r="X798" s="322"/>
      <c r="Y798" s="322"/>
      <c r="Z798" s="322"/>
      <c r="AA798" s="322"/>
      <c r="AB798" s="322"/>
      <c r="AC798" s="322"/>
      <c r="AD798" s="322"/>
      <c r="AE798" s="322"/>
      <c r="AF798" s="322"/>
      <c r="AG798" s="322"/>
      <c r="AH798" s="322"/>
      <c r="AI798" s="322"/>
      <c r="AJ798" s="322"/>
      <c r="AK798" s="322"/>
    </row>
    <row r="799" spans="1:37" ht="18" customHeight="1">
      <c r="A799" s="322"/>
      <c r="B799" s="322"/>
      <c r="C799" s="451"/>
      <c r="D799" s="322"/>
      <c r="E799" s="322"/>
      <c r="F799" s="322"/>
      <c r="G799" s="322"/>
      <c r="H799" s="322"/>
      <c r="I799" s="322"/>
      <c r="J799" s="322"/>
      <c r="K799" s="322"/>
      <c r="L799" s="322"/>
      <c r="M799" s="322"/>
      <c r="N799" s="322"/>
      <c r="O799" s="322"/>
      <c r="P799" s="322"/>
      <c r="Q799" s="322"/>
      <c r="R799" s="322"/>
      <c r="S799" s="322"/>
      <c r="T799" s="322"/>
      <c r="U799" s="322"/>
      <c r="V799" s="322"/>
      <c r="W799" s="322"/>
      <c r="X799" s="322"/>
      <c r="Y799" s="322"/>
      <c r="Z799" s="322"/>
      <c r="AA799" s="322"/>
      <c r="AB799" s="322"/>
      <c r="AC799" s="322"/>
      <c r="AD799" s="322"/>
      <c r="AE799" s="322"/>
      <c r="AF799" s="322"/>
      <c r="AG799" s="322"/>
      <c r="AH799" s="322"/>
      <c r="AI799" s="322"/>
      <c r="AJ799" s="322"/>
      <c r="AK799" s="322"/>
    </row>
    <row r="800" spans="1:37" ht="18" customHeight="1">
      <c r="A800" s="322"/>
      <c r="B800" s="322"/>
      <c r="C800" s="451"/>
      <c r="D800" s="322"/>
      <c r="E800" s="322"/>
      <c r="F800" s="322"/>
      <c r="G800" s="322"/>
      <c r="H800" s="322"/>
      <c r="I800" s="322"/>
      <c r="J800" s="322"/>
      <c r="K800" s="322"/>
      <c r="L800" s="322"/>
      <c r="M800" s="322"/>
      <c r="N800" s="322"/>
      <c r="O800" s="322"/>
      <c r="P800" s="322"/>
      <c r="Q800" s="322"/>
      <c r="R800" s="322"/>
      <c r="S800" s="322"/>
      <c r="T800" s="322"/>
      <c r="U800" s="322"/>
      <c r="V800" s="322"/>
      <c r="W800" s="322"/>
      <c r="X800" s="322"/>
      <c r="Y800" s="322"/>
      <c r="Z800" s="322"/>
      <c r="AA800" s="322"/>
      <c r="AB800" s="322"/>
      <c r="AC800" s="322"/>
      <c r="AD800" s="322"/>
      <c r="AE800" s="322"/>
      <c r="AF800" s="322"/>
      <c r="AG800" s="322"/>
      <c r="AH800" s="322"/>
      <c r="AI800" s="322"/>
      <c r="AJ800" s="322"/>
      <c r="AK800" s="322"/>
    </row>
    <row r="801" spans="1:37" ht="18" customHeight="1">
      <c r="A801" s="322"/>
      <c r="B801" s="322"/>
      <c r="C801" s="451"/>
      <c r="D801" s="322"/>
      <c r="E801" s="322"/>
      <c r="F801" s="322"/>
      <c r="G801" s="322"/>
      <c r="H801" s="322"/>
      <c r="I801" s="322"/>
      <c r="J801" s="322"/>
      <c r="K801" s="322"/>
      <c r="L801" s="322"/>
      <c r="M801" s="322"/>
      <c r="N801" s="322"/>
      <c r="O801" s="322"/>
      <c r="P801" s="322"/>
      <c r="Q801" s="322"/>
      <c r="R801" s="322"/>
      <c r="S801" s="322"/>
      <c r="T801" s="322"/>
      <c r="U801" s="322"/>
      <c r="V801" s="322"/>
      <c r="W801" s="322"/>
      <c r="X801" s="322"/>
      <c r="Y801" s="322"/>
      <c r="Z801" s="322"/>
      <c r="AA801" s="322"/>
      <c r="AB801" s="322"/>
      <c r="AC801" s="322"/>
      <c r="AD801" s="322"/>
      <c r="AE801" s="322"/>
      <c r="AF801" s="322"/>
      <c r="AG801" s="322"/>
      <c r="AH801" s="322"/>
      <c r="AI801" s="322"/>
      <c r="AJ801" s="322"/>
      <c r="AK801" s="322"/>
    </row>
    <row r="802" spans="1:37" ht="18" customHeight="1">
      <c r="A802" s="322"/>
      <c r="B802" s="322"/>
      <c r="C802" s="451"/>
      <c r="D802" s="322"/>
      <c r="E802" s="322"/>
      <c r="F802" s="322"/>
      <c r="G802" s="322"/>
      <c r="H802" s="322"/>
      <c r="I802" s="322"/>
      <c r="J802" s="322"/>
      <c r="K802" s="322"/>
      <c r="L802" s="322"/>
      <c r="M802" s="322"/>
      <c r="N802" s="322"/>
      <c r="O802" s="322"/>
      <c r="P802" s="322"/>
      <c r="Q802" s="322"/>
      <c r="R802" s="322"/>
      <c r="S802" s="322"/>
      <c r="T802" s="322"/>
      <c r="U802" s="322"/>
      <c r="V802" s="322"/>
      <c r="W802" s="322"/>
      <c r="X802" s="322"/>
      <c r="Y802" s="322"/>
      <c r="Z802" s="322"/>
      <c r="AA802" s="322"/>
      <c r="AB802" s="322"/>
      <c r="AC802" s="322"/>
      <c r="AD802" s="322"/>
      <c r="AE802" s="322"/>
      <c r="AF802" s="322"/>
      <c r="AG802" s="322"/>
      <c r="AH802" s="322"/>
      <c r="AI802" s="322"/>
      <c r="AJ802" s="322"/>
      <c r="AK802" s="322"/>
    </row>
    <row r="803" spans="1:37" ht="18" customHeight="1">
      <c r="A803" s="322"/>
      <c r="B803" s="322"/>
      <c r="C803" s="451"/>
      <c r="D803" s="322"/>
      <c r="E803" s="322"/>
      <c r="F803" s="322"/>
      <c r="G803" s="322"/>
      <c r="H803" s="322"/>
      <c r="I803" s="322"/>
      <c r="J803" s="322"/>
      <c r="K803" s="322"/>
      <c r="L803" s="322"/>
      <c r="M803" s="322"/>
      <c r="N803" s="322"/>
      <c r="O803" s="322"/>
      <c r="P803" s="322"/>
      <c r="Q803" s="322"/>
      <c r="R803" s="322"/>
      <c r="S803" s="322"/>
      <c r="T803" s="322"/>
      <c r="U803" s="322"/>
      <c r="V803" s="322"/>
      <c r="W803" s="322"/>
      <c r="X803" s="322"/>
      <c r="Y803" s="322"/>
      <c r="Z803" s="322"/>
      <c r="AA803" s="322"/>
      <c r="AB803" s="322"/>
      <c r="AC803" s="322"/>
      <c r="AD803" s="322"/>
      <c r="AE803" s="322"/>
      <c r="AF803" s="322"/>
      <c r="AG803" s="322"/>
      <c r="AH803" s="322"/>
      <c r="AI803" s="322"/>
      <c r="AJ803" s="322"/>
      <c r="AK803" s="322"/>
    </row>
    <row r="804" spans="1:37" ht="18" customHeight="1">
      <c r="A804" s="322"/>
      <c r="B804" s="322"/>
      <c r="C804" s="451"/>
      <c r="D804" s="322"/>
      <c r="E804" s="322"/>
      <c r="F804" s="322"/>
      <c r="G804" s="322"/>
      <c r="H804" s="322"/>
      <c r="I804" s="322"/>
      <c r="J804" s="322"/>
      <c r="K804" s="322"/>
      <c r="L804" s="322"/>
      <c r="M804" s="322"/>
      <c r="N804" s="322"/>
      <c r="O804" s="322"/>
      <c r="P804" s="322"/>
      <c r="Q804" s="322"/>
      <c r="R804" s="322"/>
      <c r="S804" s="322"/>
      <c r="T804" s="322"/>
      <c r="U804" s="322"/>
      <c r="V804" s="322"/>
      <c r="W804" s="322"/>
      <c r="X804" s="322"/>
      <c r="Y804" s="322"/>
      <c r="Z804" s="322"/>
      <c r="AA804" s="322"/>
      <c r="AB804" s="322"/>
      <c r="AC804" s="322"/>
      <c r="AD804" s="322"/>
      <c r="AE804" s="322"/>
      <c r="AF804" s="322"/>
      <c r="AG804" s="322"/>
      <c r="AH804" s="322"/>
      <c r="AI804" s="322"/>
      <c r="AJ804" s="322"/>
      <c r="AK804" s="322"/>
    </row>
    <row r="805" spans="1:37" ht="18" customHeight="1">
      <c r="A805" s="322"/>
      <c r="B805" s="322"/>
      <c r="C805" s="451"/>
      <c r="D805" s="322"/>
      <c r="E805" s="322"/>
      <c r="F805" s="322"/>
      <c r="G805" s="322"/>
      <c r="H805" s="322"/>
      <c r="I805" s="322"/>
      <c r="J805" s="322"/>
      <c r="K805" s="322"/>
      <c r="L805" s="322"/>
      <c r="M805" s="322"/>
      <c r="N805" s="322"/>
      <c r="O805" s="322"/>
      <c r="P805" s="322"/>
      <c r="Q805" s="322"/>
      <c r="R805" s="322"/>
      <c r="S805" s="322"/>
      <c r="T805" s="322"/>
      <c r="U805" s="322"/>
      <c r="V805" s="322"/>
      <c r="W805" s="322"/>
      <c r="X805" s="322"/>
      <c r="Y805" s="322"/>
      <c r="Z805" s="322"/>
      <c r="AA805" s="322"/>
      <c r="AB805" s="322"/>
      <c r="AC805" s="322"/>
      <c r="AD805" s="322"/>
      <c r="AE805" s="322"/>
      <c r="AF805" s="322"/>
      <c r="AG805" s="322"/>
      <c r="AH805" s="322"/>
      <c r="AI805" s="322"/>
      <c r="AJ805" s="322"/>
      <c r="AK805" s="322"/>
    </row>
    <row r="806" spans="1:37" ht="18" customHeight="1">
      <c r="A806" s="322"/>
      <c r="B806" s="322"/>
      <c r="C806" s="451"/>
      <c r="D806" s="322"/>
      <c r="E806" s="322"/>
      <c r="F806" s="322"/>
      <c r="G806" s="322"/>
      <c r="H806" s="322"/>
      <c r="I806" s="322"/>
      <c r="J806" s="322"/>
      <c r="K806" s="322"/>
      <c r="L806" s="322"/>
      <c r="M806" s="322"/>
      <c r="N806" s="322"/>
      <c r="O806" s="322"/>
      <c r="P806" s="322"/>
      <c r="Q806" s="322"/>
      <c r="R806" s="322"/>
      <c r="S806" s="322"/>
      <c r="T806" s="322"/>
      <c r="U806" s="322"/>
      <c r="V806" s="322"/>
      <c r="W806" s="322"/>
      <c r="X806" s="322"/>
      <c r="Y806" s="322"/>
      <c r="Z806" s="322"/>
      <c r="AA806" s="322"/>
      <c r="AB806" s="322"/>
      <c r="AC806" s="322"/>
      <c r="AD806" s="322"/>
      <c r="AE806" s="322"/>
      <c r="AF806" s="322"/>
      <c r="AG806" s="322"/>
      <c r="AH806" s="322"/>
      <c r="AI806" s="322"/>
      <c r="AJ806" s="322"/>
      <c r="AK806" s="322"/>
    </row>
    <row r="807" spans="1:37" ht="18" customHeight="1">
      <c r="A807" s="322"/>
      <c r="B807" s="322"/>
      <c r="C807" s="451"/>
      <c r="D807" s="322"/>
      <c r="E807" s="322"/>
      <c r="F807" s="322"/>
      <c r="G807" s="322"/>
      <c r="H807" s="322"/>
      <c r="I807" s="322"/>
      <c r="J807" s="322"/>
      <c r="K807" s="322"/>
      <c r="L807" s="322"/>
      <c r="M807" s="322"/>
      <c r="N807" s="322"/>
      <c r="O807" s="322"/>
      <c r="P807" s="322"/>
      <c r="Q807" s="322"/>
      <c r="R807" s="322"/>
      <c r="S807" s="322"/>
      <c r="T807" s="322"/>
      <c r="U807" s="322"/>
      <c r="V807" s="322"/>
      <c r="W807" s="322"/>
      <c r="X807" s="322"/>
      <c r="Y807" s="322"/>
      <c r="Z807" s="322"/>
      <c r="AA807" s="322"/>
      <c r="AB807" s="322"/>
      <c r="AC807" s="322"/>
      <c r="AD807" s="322"/>
      <c r="AE807" s="322"/>
      <c r="AF807" s="322"/>
      <c r="AG807" s="322"/>
      <c r="AH807" s="322"/>
      <c r="AI807" s="322"/>
      <c r="AJ807" s="322"/>
      <c r="AK807" s="322"/>
    </row>
    <row r="808" spans="1:37" ht="18" customHeight="1">
      <c r="A808" s="322"/>
      <c r="B808" s="322"/>
      <c r="C808" s="451"/>
      <c r="D808" s="322"/>
      <c r="E808" s="322"/>
      <c r="F808" s="322"/>
      <c r="G808" s="322"/>
      <c r="H808" s="322"/>
      <c r="I808" s="322"/>
      <c r="J808" s="322"/>
      <c r="K808" s="322"/>
      <c r="L808" s="322"/>
      <c r="M808" s="322"/>
      <c r="N808" s="322"/>
      <c r="O808" s="322"/>
      <c r="P808" s="322"/>
      <c r="Q808" s="322"/>
      <c r="R808" s="322"/>
      <c r="S808" s="322"/>
      <c r="T808" s="322"/>
      <c r="U808" s="322"/>
      <c r="V808" s="322"/>
      <c r="W808" s="322"/>
      <c r="X808" s="322"/>
      <c r="Y808" s="322"/>
      <c r="Z808" s="322"/>
      <c r="AA808" s="322"/>
      <c r="AB808" s="322"/>
      <c r="AC808" s="322"/>
      <c r="AD808" s="322"/>
      <c r="AE808" s="322"/>
      <c r="AF808" s="322"/>
      <c r="AG808" s="322"/>
      <c r="AH808" s="322"/>
      <c r="AI808" s="322"/>
      <c r="AJ808" s="322"/>
      <c r="AK808" s="322"/>
    </row>
    <row r="809" spans="1:37" ht="18" customHeight="1">
      <c r="A809" s="322"/>
      <c r="B809" s="322"/>
      <c r="C809" s="451"/>
      <c r="D809" s="322"/>
      <c r="E809" s="322"/>
      <c r="F809" s="322"/>
      <c r="G809" s="322"/>
      <c r="H809" s="322"/>
      <c r="I809" s="322"/>
      <c r="J809" s="322"/>
      <c r="K809" s="322"/>
      <c r="L809" s="322"/>
      <c r="M809" s="322"/>
      <c r="N809" s="322"/>
      <c r="O809" s="322"/>
      <c r="P809" s="322"/>
      <c r="Q809" s="322"/>
      <c r="R809" s="322"/>
      <c r="S809" s="322"/>
      <c r="T809" s="322"/>
      <c r="U809" s="322"/>
      <c r="V809" s="322"/>
      <c r="W809" s="322"/>
      <c r="X809" s="322"/>
      <c r="Y809" s="322"/>
      <c r="Z809" s="322"/>
      <c r="AA809" s="322"/>
      <c r="AB809" s="322"/>
      <c r="AC809" s="322"/>
      <c r="AD809" s="322"/>
      <c r="AE809" s="322"/>
      <c r="AF809" s="322"/>
      <c r="AG809" s="322"/>
      <c r="AH809" s="322"/>
      <c r="AI809" s="322"/>
      <c r="AJ809" s="322"/>
      <c r="AK809" s="322"/>
    </row>
    <row r="810" spans="1:37" ht="18" customHeight="1">
      <c r="A810" s="322"/>
      <c r="B810" s="322"/>
      <c r="C810" s="451"/>
      <c r="D810" s="322"/>
      <c r="E810" s="322"/>
      <c r="F810" s="322"/>
      <c r="G810" s="322"/>
      <c r="H810" s="322"/>
      <c r="I810" s="322"/>
      <c r="J810" s="322"/>
      <c r="K810" s="322"/>
      <c r="L810" s="322"/>
      <c r="M810" s="322"/>
      <c r="N810" s="322"/>
      <c r="O810" s="322"/>
      <c r="P810" s="322"/>
      <c r="Q810" s="322"/>
      <c r="R810" s="322"/>
      <c r="S810" s="322"/>
      <c r="T810" s="322"/>
      <c r="U810" s="322"/>
      <c r="V810" s="322"/>
      <c r="W810" s="322"/>
      <c r="X810" s="322"/>
      <c r="Y810" s="322"/>
      <c r="Z810" s="322"/>
      <c r="AA810" s="322"/>
      <c r="AB810" s="322"/>
      <c r="AC810" s="322"/>
      <c r="AD810" s="322"/>
      <c r="AE810" s="322"/>
      <c r="AF810" s="322"/>
      <c r="AG810" s="322"/>
      <c r="AH810" s="322"/>
      <c r="AI810" s="322"/>
      <c r="AJ810" s="322"/>
      <c r="AK810" s="322"/>
    </row>
    <row r="811" spans="1:37" ht="18" customHeight="1">
      <c r="A811" s="322"/>
      <c r="B811" s="322"/>
      <c r="C811" s="451"/>
      <c r="D811" s="322"/>
      <c r="E811" s="322"/>
      <c r="F811" s="322"/>
      <c r="G811" s="322"/>
      <c r="H811" s="322"/>
      <c r="I811" s="322"/>
      <c r="J811" s="322"/>
      <c r="K811" s="322"/>
      <c r="L811" s="322"/>
      <c r="M811" s="322"/>
      <c r="N811" s="322"/>
      <c r="O811" s="322"/>
      <c r="P811" s="322"/>
      <c r="Q811" s="322"/>
      <c r="R811" s="322"/>
      <c r="S811" s="322"/>
      <c r="T811" s="322"/>
      <c r="U811" s="322"/>
      <c r="V811" s="322"/>
      <c r="W811" s="322"/>
      <c r="X811" s="322"/>
      <c r="Y811" s="322"/>
      <c r="Z811" s="322"/>
      <c r="AA811" s="322"/>
      <c r="AB811" s="322"/>
      <c r="AC811" s="322"/>
      <c r="AD811" s="322"/>
      <c r="AE811" s="322"/>
      <c r="AF811" s="322"/>
      <c r="AG811" s="322"/>
      <c r="AH811" s="322"/>
      <c r="AI811" s="322"/>
      <c r="AJ811" s="322"/>
      <c r="AK811" s="322"/>
    </row>
    <row r="812" spans="1:37" ht="18" customHeight="1">
      <c r="A812" s="322"/>
      <c r="B812" s="322"/>
      <c r="C812" s="451"/>
      <c r="D812" s="322"/>
      <c r="E812" s="322"/>
      <c r="F812" s="322"/>
      <c r="G812" s="322"/>
      <c r="H812" s="322"/>
      <c r="I812" s="322"/>
      <c r="J812" s="322"/>
      <c r="K812" s="322"/>
      <c r="L812" s="322"/>
      <c r="M812" s="322"/>
      <c r="N812" s="322"/>
      <c r="O812" s="322"/>
      <c r="P812" s="322"/>
      <c r="Q812" s="322"/>
      <c r="R812" s="322"/>
      <c r="S812" s="322"/>
      <c r="T812" s="322"/>
      <c r="U812" s="322"/>
      <c r="V812" s="322"/>
      <c r="W812" s="322"/>
      <c r="X812" s="322"/>
      <c r="Y812" s="322"/>
      <c r="Z812" s="322"/>
      <c r="AA812" s="322"/>
      <c r="AB812" s="322"/>
      <c r="AC812" s="322"/>
      <c r="AD812" s="322"/>
      <c r="AE812" s="322"/>
      <c r="AF812" s="322"/>
      <c r="AG812" s="322"/>
      <c r="AH812" s="322"/>
      <c r="AI812" s="322"/>
      <c r="AJ812" s="322"/>
      <c r="AK812" s="322"/>
    </row>
    <row r="813" spans="1:37" ht="18" customHeight="1">
      <c r="A813" s="322"/>
      <c r="B813" s="322"/>
      <c r="C813" s="451"/>
      <c r="D813" s="322"/>
      <c r="E813" s="322"/>
      <c r="F813" s="322"/>
      <c r="G813" s="322"/>
      <c r="H813" s="322"/>
      <c r="I813" s="322"/>
      <c r="J813" s="322"/>
      <c r="K813" s="322"/>
      <c r="L813" s="322"/>
      <c r="M813" s="322"/>
      <c r="N813" s="322"/>
      <c r="O813" s="322"/>
      <c r="P813" s="322"/>
      <c r="Q813" s="322"/>
      <c r="R813" s="322"/>
      <c r="S813" s="322"/>
      <c r="T813" s="322"/>
      <c r="U813" s="322"/>
      <c r="V813" s="322"/>
      <c r="W813" s="322"/>
      <c r="X813" s="322"/>
      <c r="Y813" s="322"/>
      <c r="Z813" s="322"/>
      <c r="AA813" s="322"/>
      <c r="AB813" s="322"/>
      <c r="AC813" s="322"/>
      <c r="AD813" s="322"/>
      <c r="AE813" s="322"/>
      <c r="AF813" s="322"/>
      <c r="AG813" s="322"/>
      <c r="AH813" s="322"/>
      <c r="AI813" s="322"/>
      <c r="AJ813" s="322"/>
      <c r="AK813" s="322"/>
    </row>
    <row r="814" spans="1:37" ht="18" customHeight="1">
      <c r="A814" s="322"/>
      <c r="B814" s="322"/>
      <c r="C814" s="451"/>
      <c r="D814" s="322"/>
      <c r="E814" s="322"/>
      <c r="F814" s="322"/>
      <c r="G814" s="322"/>
      <c r="H814" s="322"/>
      <c r="I814" s="322"/>
      <c r="J814" s="322"/>
      <c r="K814" s="322"/>
      <c r="L814" s="322"/>
      <c r="M814" s="322"/>
      <c r="N814" s="322"/>
      <c r="O814" s="322"/>
      <c r="P814" s="322"/>
      <c r="Q814" s="322"/>
      <c r="R814" s="322"/>
      <c r="S814" s="322"/>
      <c r="T814" s="322"/>
      <c r="U814" s="322"/>
      <c r="V814" s="322"/>
      <c r="W814" s="322"/>
      <c r="X814" s="322"/>
      <c r="Y814" s="322"/>
      <c r="Z814" s="322"/>
      <c r="AA814" s="322"/>
      <c r="AB814" s="322"/>
      <c r="AC814" s="322"/>
      <c r="AD814" s="322"/>
      <c r="AE814" s="322"/>
      <c r="AF814" s="322"/>
      <c r="AG814" s="322"/>
      <c r="AH814" s="322"/>
      <c r="AI814" s="322"/>
      <c r="AJ814" s="322"/>
      <c r="AK814" s="322"/>
    </row>
    <row r="815" spans="1:37" ht="18" customHeight="1">
      <c r="A815" s="322"/>
      <c r="B815" s="322"/>
      <c r="C815" s="451"/>
      <c r="D815" s="322"/>
      <c r="E815" s="322"/>
      <c r="F815" s="322"/>
      <c r="G815" s="322"/>
      <c r="H815" s="322"/>
      <c r="I815" s="322"/>
      <c r="J815" s="322"/>
      <c r="K815" s="322"/>
      <c r="L815" s="322"/>
      <c r="M815" s="322"/>
      <c r="N815" s="322"/>
      <c r="O815" s="322"/>
      <c r="P815" s="322"/>
      <c r="Q815" s="322"/>
      <c r="R815" s="322"/>
      <c r="S815" s="322"/>
      <c r="T815" s="322"/>
      <c r="U815" s="322"/>
      <c r="V815" s="322"/>
      <c r="W815" s="322"/>
      <c r="X815" s="322"/>
      <c r="Y815" s="322"/>
      <c r="Z815" s="322"/>
      <c r="AA815" s="322"/>
      <c r="AB815" s="322"/>
      <c r="AC815" s="322"/>
      <c r="AD815" s="322"/>
      <c r="AE815" s="322"/>
      <c r="AF815" s="322"/>
      <c r="AG815" s="322"/>
      <c r="AH815" s="322"/>
      <c r="AI815" s="322"/>
      <c r="AJ815" s="322"/>
      <c r="AK815" s="322"/>
    </row>
    <row r="816" spans="1:37" ht="18" customHeight="1">
      <c r="A816" s="322"/>
      <c r="B816" s="322"/>
      <c r="C816" s="451"/>
      <c r="D816" s="322"/>
      <c r="E816" s="322"/>
      <c r="F816" s="322"/>
      <c r="G816" s="322"/>
      <c r="H816" s="322"/>
      <c r="I816" s="322"/>
      <c r="J816" s="322"/>
      <c r="K816" s="322"/>
      <c r="L816" s="322"/>
      <c r="M816" s="322"/>
      <c r="N816" s="322"/>
      <c r="O816" s="322"/>
      <c r="P816" s="322"/>
      <c r="Q816" s="322"/>
      <c r="R816" s="322"/>
      <c r="S816" s="322"/>
      <c r="T816" s="322"/>
      <c r="U816" s="322"/>
      <c r="V816" s="322"/>
      <c r="W816" s="322"/>
      <c r="X816" s="322"/>
      <c r="Y816" s="322"/>
      <c r="Z816" s="322"/>
      <c r="AA816" s="322"/>
      <c r="AB816" s="322"/>
      <c r="AC816" s="322"/>
      <c r="AD816" s="322"/>
      <c r="AE816" s="322"/>
      <c r="AF816" s="322"/>
      <c r="AG816" s="322"/>
      <c r="AH816" s="322"/>
      <c r="AI816" s="322"/>
      <c r="AJ816" s="322"/>
      <c r="AK816" s="322"/>
    </row>
    <row r="817" spans="1:37" ht="18" customHeight="1">
      <c r="A817" s="322"/>
      <c r="B817" s="322"/>
      <c r="C817" s="451"/>
      <c r="D817" s="322"/>
      <c r="E817" s="322"/>
      <c r="F817" s="322"/>
      <c r="G817" s="322"/>
      <c r="H817" s="322"/>
      <c r="I817" s="322"/>
      <c r="J817" s="322"/>
      <c r="K817" s="322"/>
      <c r="L817" s="322"/>
      <c r="M817" s="322"/>
      <c r="N817" s="322"/>
      <c r="O817" s="322"/>
      <c r="P817" s="322"/>
      <c r="Q817" s="322"/>
      <c r="R817" s="322"/>
      <c r="S817" s="322"/>
      <c r="T817" s="322"/>
      <c r="U817" s="322"/>
      <c r="V817" s="322"/>
      <c r="W817" s="322"/>
      <c r="X817" s="322"/>
      <c r="Y817" s="322"/>
      <c r="Z817" s="322"/>
      <c r="AA817" s="322"/>
      <c r="AB817" s="322"/>
      <c r="AC817" s="322"/>
      <c r="AD817" s="322"/>
      <c r="AE817" s="322"/>
      <c r="AF817" s="322"/>
      <c r="AG817" s="322"/>
      <c r="AH817" s="322"/>
      <c r="AI817" s="322"/>
      <c r="AJ817" s="322"/>
      <c r="AK817" s="322"/>
    </row>
    <row r="818" spans="1:37" ht="18" customHeight="1">
      <c r="A818" s="322"/>
      <c r="B818" s="322"/>
      <c r="C818" s="451"/>
      <c r="D818" s="322"/>
      <c r="E818" s="322"/>
      <c r="F818" s="322"/>
      <c r="G818" s="322"/>
      <c r="H818" s="322"/>
      <c r="I818" s="322"/>
      <c r="J818" s="322"/>
      <c r="K818" s="322"/>
      <c r="L818" s="322"/>
      <c r="M818" s="322"/>
      <c r="N818" s="322"/>
      <c r="O818" s="322"/>
      <c r="P818" s="322"/>
      <c r="Q818" s="322"/>
      <c r="R818" s="322"/>
      <c r="S818" s="322"/>
      <c r="T818" s="322"/>
      <c r="U818" s="322"/>
      <c r="V818" s="322"/>
      <c r="W818" s="322"/>
      <c r="X818" s="322"/>
      <c r="Y818" s="322"/>
      <c r="Z818" s="322"/>
      <c r="AA818" s="322"/>
      <c r="AB818" s="322"/>
      <c r="AC818" s="322"/>
      <c r="AD818" s="322"/>
      <c r="AE818" s="322"/>
      <c r="AF818" s="322"/>
      <c r="AG818" s="322"/>
      <c r="AH818" s="322"/>
      <c r="AI818" s="322"/>
      <c r="AJ818" s="322"/>
      <c r="AK818" s="322"/>
    </row>
    <row r="819" spans="1:37" ht="18" customHeight="1">
      <c r="A819" s="322"/>
      <c r="B819" s="322"/>
      <c r="C819" s="451"/>
      <c r="D819" s="322"/>
      <c r="E819" s="322"/>
      <c r="F819" s="322"/>
      <c r="G819" s="322"/>
      <c r="H819" s="322"/>
      <c r="I819" s="322"/>
      <c r="J819" s="322"/>
      <c r="K819" s="322"/>
      <c r="L819" s="322"/>
      <c r="M819" s="322"/>
      <c r="N819" s="322"/>
      <c r="O819" s="322"/>
      <c r="P819" s="322"/>
      <c r="Q819" s="322"/>
      <c r="R819" s="322"/>
      <c r="S819" s="322"/>
      <c r="T819" s="322"/>
      <c r="U819" s="322"/>
      <c r="V819" s="322"/>
      <c r="W819" s="322"/>
      <c r="X819" s="322"/>
      <c r="Y819" s="322"/>
      <c r="Z819" s="322"/>
      <c r="AA819" s="322"/>
      <c r="AB819" s="322"/>
      <c r="AC819" s="322"/>
      <c r="AD819" s="322"/>
      <c r="AE819" s="322"/>
      <c r="AF819" s="322"/>
      <c r="AG819" s="322"/>
      <c r="AH819" s="322"/>
      <c r="AI819" s="322"/>
      <c r="AJ819" s="322"/>
      <c r="AK819" s="322"/>
    </row>
    <row r="820" spans="1:37" ht="18" customHeight="1">
      <c r="A820" s="322"/>
      <c r="B820" s="322"/>
      <c r="C820" s="451"/>
      <c r="D820" s="322"/>
      <c r="E820" s="322"/>
      <c r="F820" s="322"/>
      <c r="G820" s="322"/>
      <c r="H820" s="322"/>
      <c r="I820" s="322"/>
      <c r="J820" s="322"/>
      <c r="K820" s="322"/>
      <c r="L820" s="322"/>
      <c r="M820" s="322"/>
      <c r="N820" s="322"/>
      <c r="O820" s="322"/>
      <c r="P820" s="322"/>
      <c r="Q820" s="322"/>
      <c r="R820" s="322"/>
      <c r="S820" s="322"/>
      <c r="T820" s="322"/>
      <c r="U820" s="322"/>
      <c r="V820" s="322"/>
      <c r="W820" s="322"/>
      <c r="X820" s="322"/>
      <c r="Y820" s="322"/>
      <c r="Z820" s="322"/>
      <c r="AA820" s="322"/>
      <c r="AB820" s="322"/>
      <c r="AC820" s="322"/>
      <c r="AD820" s="322"/>
      <c r="AE820" s="322"/>
      <c r="AF820" s="322"/>
      <c r="AG820" s="322"/>
      <c r="AH820" s="322"/>
      <c r="AI820" s="322"/>
      <c r="AJ820" s="322"/>
      <c r="AK820" s="322"/>
    </row>
    <row r="821" spans="1:37" ht="18" customHeight="1">
      <c r="A821" s="322"/>
      <c r="B821" s="322"/>
      <c r="C821" s="451"/>
      <c r="D821" s="322"/>
      <c r="E821" s="322"/>
      <c r="F821" s="322"/>
      <c r="G821" s="322"/>
      <c r="H821" s="322"/>
      <c r="I821" s="322"/>
      <c r="J821" s="322"/>
      <c r="K821" s="322"/>
      <c r="L821" s="322"/>
      <c r="M821" s="322"/>
      <c r="N821" s="322"/>
      <c r="O821" s="322"/>
      <c r="P821" s="322"/>
      <c r="Q821" s="322"/>
      <c r="R821" s="322"/>
      <c r="S821" s="322"/>
      <c r="T821" s="322"/>
      <c r="U821" s="322"/>
      <c r="V821" s="322"/>
      <c r="W821" s="322"/>
      <c r="X821" s="322"/>
      <c r="Y821" s="322"/>
      <c r="Z821" s="322"/>
      <c r="AA821" s="322"/>
      <c r="AB821" s="322"/>
      <c r="AC821" s="322"/>
      <c r="AD821" s="322"/>
      <c r="AE821" s="322"/>
      <c r="AF821" s="322"/>
      <c r="AG821" s="322"/>
      <c r="AH821" s="322"/>
      <c r="AI821" s="322"/>
      <c r="AJ821" s="322"/>
      <c r="AK821" s="322"/>
    </row>
    <row r="822" spans="1:37" ht="18" customHeight="1">
      <c r="A822" s="322"/>
      <c r="B822" s="322"/>
      <c r="C822" s="451"/>
      <c r="D822" s="322"/>
      <c r="E822" s="322"/>
      <c r="F822" s="322"/>
      <c r="G822" s="322"/>
      <c r="H822" s="322"/>
      <c r="I822" s="322"/>
      <c r="J822" s="322"/>
      <c r="K822" s="322"/>
      <c r="L822" s="322"/>
      <c r="M822" s="322"/>
      <c r="N822" s="322"/>
      <c r="O822" s="322"/>
      <c r="P822" s="322"/>
      <c r="Q822" s="322"/>
      <c r="R822" s="322"/>
      <c r="S822" s="322"/>
      <c r="T822" s="322"/>
      <c r="U822" s="322"/>
      <c r="V822" s="322"/>
      <c r="W822" s="322"/>
      <c r="X822" s="322"/>
      <c r="Y822" s="322"/>
      <c r="Z822" s="322"/>
      <c r="AA822" s="322"/>
      <c r="AB822" s="322"/>
      <c r="AC822" s="322"/>
      <c r="AD822" s="322"/>
      <c r="AE822" s="322"/>
      <c r="AF822" s="322"/>
      <c r="AG822" s="322"/>
      <c r="AH822" s="322"/>
      <c r="AI822" s="322"/>
      <c r="AJ822" s="322"/>
      <c r="AK822" s="322"/>
    </row>
    <row r="823" spans="1:37" ht="18" customHeight="1">
      <c r="A823" s="322"/>
      <c r="B823" s="322"/>
      <c r="C823" s="451"/>
      <c r="D823" s="322"/>
      <c r="E823" s="322"/>
      <c r="F823" s="322"/>
      <c r="G823" s="322"/>
      <c r="H823" s="322"/>
      <c r="I823" s="322"/>
      <c r="J823" s="322"/>
      <c r="K823" s="322"/>
      <c r="L823" s="322"/>
      <c r="M823" s="322"/>
      <c r="N823" s="322"/>
      <c r="O823" s="322"/>
      <c r="P823" s="322"/>
      <c r="Q823" s="322"/>
      <c r="R823" s="322"/>
      <c r="S823" s="322"/>
      <c r="T823" s="322"/>
      <c r="U823" s="322"/>
      <c r="V823" s="322"/>
      <c r="W823" s="322"/>
      <c r="X823" s="322"/>
      <c r="Y823" s="322"/>
      <c r="Z823" s="322"/>
      <c r="AA823" s="322"/>
      <c r="AB823" s="322"/>
      <c r="AC823" s="322"/>
      <c r="AD823" s="322"/>
      <c r="AE823" s="322"/>
      <c r="AF823" s="322"/>
      <c r="AG823" s="322"/>
      <c r="AH823" s="322"/>
      <c r="AI823" s="322"/>
      <c r="AJ823" s="322"/>
      <c r="AK823" s="322"/>
    </row>
    <row r="824" spans="1:37" ht="18" customHeight="1">
      <c r="A824" s="322"/>
      <c r="B824" s="322"/>
      <c r="C824" s="451"/>
      <c r="D824" s="322"/>
      <c r="E824" s="322"/>
      <c r="F824" s="322"/>
      <c r="G824" s="322"/>
      <c r="H824" s="322"/>
      <c r="I824" s="322"/>
      <c r="J824" s="322"/>
      <c r="K824" s="322"/>
      <c r="L824" s="322"/>
      <c r="M824" s="322"/>
      <c r="N824" s="322"/>
      <c r="O824" s="322"/>
      <c r="P824" s="322"/>
      <c r="Q824" s="322"/>
      <c r="R824" s="322"/>
      <c r="S824" s="322"/>
      <c r="T824" s="322"/>
      <c r="U824" s="322"/>
      <c r="V824" s="322"/>
      <c r="W824" s="322"/>
      <c r="X824" s="322"/>
      <c r="Y824" s="322"/>
      <c r="Z824" s="322"/>
      <c r="AA824" s="322"/>
      <c r="AB824" s="322"/>
      <c r="AC824" s="322"/>
      <c r="AD824" s="322"/>
      <c r="AE824" s="322"/>
      <c r="AF824" s="322"/>
      <c r="AG824" s="322"/>
      <c r="AH824" s="322"/>
      <c r="AI824" s="322"/>
      <c r="AJ824" s="322"/>
      <c r="AK824" s="322"/>
    </row>
    <row r="825" spans="1:37" ht="18" customHeight="1">
      <c r="A825" s="322"/>
      <c r="B825" s="322"/>
      <c r="C825" s="451"/>
      <c r="D825" s="322"/>
      <c r="E825" s="322"/>
      <c r="F825" s="322"/>
      <c r="G825" s="322"/>
      <c r="H825" s="322"/>
      <c r="I825" s="322"/>
      <c r="J825" s="322"/>
      <c r="K825" s="322"/>
      <c r="L825" s="322"/>
      <c r="M825" s="322"/>
      <c r="N825" s="322"/>
      <c r="O825" s="322"/>
      <c r="P825" s="322"/>
      <c r="Q825" s="322"/>
      <c r="R825" s="322"/>
      <c r="S825" s="322"/>
      <c r="T825" s="322"/>
      <c r="U825" s="322"/>
      <c r="V825" s="322"/>
      <c r="W825" s="322"/>
      <c r="X825" s="322"/>
      <c r="Y825" s="322"/>
      <c r="Z825" s="322"/>
      <c r="AA825" s="322"/>
      <c r="AB825" s="322"/>
      <c r="AC825" s="322"/>
      <c r="AD825" s="322"/>
      <c r="AE825" s="322"/>
      <c r="AF825" s="322"/>
      <c r="AG825" s="322"/>
      <c r="AH825" s="322"/>
      <c r="AI825" s="322"/>
      <c r="AJ825" s="322"/>
      <c r="AK825" s="322"/>
    </row>
    <row r="826" spans="1:37" ht="18" customHeight="1">
      <c r="A826" s="322"/>
      <c r="B826" s="322"/>
      <c r="C826" s="451"/>
      <c r="D826" s="322"/>
      <c r="E826" s="322"/>
      <c r="F826" s="322"/>
      <c r="G826" s="322"/>
      <c r="H826" s="322"/>
      <c r="I826" s="322"/>
      <c r="J826" s="322"/>
      <c r="K826" s="322"/>
      <c r="L826" s="322"/>
      <c r="M826" s="322"/>
      <c r="N826" s="322"/>
      <c r="O826" s="322"/>
      <c r="P826" s="322"/>
      <c r="Q826" s="322"/>
      <c r="R826" s="322"/>
      <c r="S826" s="322"/>
      <c r="T826" s="322"/>
      <c r="U826" s="322"/>
      <c r="V826" s="322"/>
      <c r="W826" s="322"/>
      <c r="X826" s="322"/>
      <c r="Y826" s="322"/>
      <c r="Z826" s="322"/>
      <c r="AA826" s="322"/>
      <c r="AB826" s="322"/>
      <c r="AC826" s="322"/>
      <c r="AD826" s="322"/>
      <c r="AE826" s="322"/>
      <c r="AF826" s="322"/>
      <c r="AG826" s="322"/>
      <c r="AH826" s="322"/>
      <c r="AI826" s="322"/>
      <c r="AJ826" s="322"/>
      <c r="AK826" s="322"/>
    </row>
    <row r="827" spans="1:37" ht="18" customHeight="1">
      <c r="A827" s="322"/>
      <c r="B827" s="322"/>
      <c r="C827" s="451"/>
      <c r="D827" s="322"/>
      <c r="E827" s="322"/>
      <c r="F827" s="322"/>
      <c r="G827" s="322"/>
      <c r="H827" s="322"/>
      <c r="I827" s="322"/>
      <c r="J827" s="322"/>
      <c r="K827" s="322"/>
      <c r="L827" s="322"/>
      <c r="M827" s="322"/>
      <c r="N827" s="322"/>
      <c r="O827" s="322"/>
      <c r="P827" s="322"/>
      <c r="Q827" s="322"/>
      <c r="R827" s="322"/>
      <c r="S827" s="322"/>
      <c r="T827" s="322"/>
      <c r="U827" s="322"/>
      <c r="V827" s="322"/>
      <c r="W827" s="322"/>
      <c r="X827" s="322"/>
      <c r="Y827" s="322"/>
      <c r="Z827" s="322"/>
      <c r="AA827" s="322"/>
      <c r="AB827" s="322"/>
      <c r="AC827" s="322"/>
      <c r="AD827" s="322"/>
      <c r="AE827" s="322"/>
      <c r="AF827" s="322"/>
      <c r="AG827" s="322"/>
      <c r="AH827" s="322"/>
      <c r="AI827" s="322"/>
      <c r="AJ827" s="322"/>
      <c r="AK827" s="322"/>
    </row>
    <row r="828" spans="1:37" ht="18" customHeight="1">
      <c r="A828" s="322"/>
      <c r="B828" s="322"/>
      <c r="C828" s="451"/>
      <c r="D828" s="322"/>
      <c r="E828" s="322"/>
      <c r="F828" s="322"/>
      <c r="G828" s="322"/>
      <c r="H828" s="322"/>
      <c r="I828" s="322"/>
      <c r="J828" s="322"/>
      <c r="K828" s="322"/>
      <c r="L828" s="322"/>
      <c r="M828" s="322"/>
      <c r="N828" s="322"/>
      <c r="O828" s="322"/>
      <c r="P828" s="322"/>
      <c r="Q828" s="322"/>
      <c r="R828" s="322"/>
      <c r="S828" s="322"/>
      <c r="T828" s="322"/>
      <c r="U828" s="322"/>
      <c r="V828" s="322"/>
      <c r="W828" s="322"/>
      <c r="X828" s="322"/>
      <c r="Y828" s="322"/>
      <c r="Z828" s="322"/>
      <c r="AA828" s="322"/>
      <c r="AB828" s="322"/>
      <c r="AC828" s="322"/>
      <c r="AD828" s="322"/>
      <c r="AE828" s="322"/>
      <c r="AF828" s="322"/>
      <c r="AG828" s="322"/>
      <c r="AH828" s="322"/>
      <c r="AI828" s="322"/>
      <c r="AJ828" s="322"/>
      <c r="AK828" s="322"/>
    </row>
    <row r="829" spans="1:37" ht="18" customHeight="1">
      <c r="A829" s="322"/>
      <c r="B829" s="322"/>
      <c r="C829" s="451"/>
      <c r="D829" s="322"/>
      <c r="E829" s="322"/>
      <c r="F829" s="322"/>
      <c r="G829" s="322"/>
      <c r="H829" s="322"/>
      <c r="I829" s="322"/>
      <c r="J829" s="322"/>
      <c r="K829" s="322"/>
      <c r="L829" s="322"/>
      <c r="M829" s="322"/>
      <c r="N829" s="322"/>
      <c r="O829" s="322"/>
      <c r="P829" s="322"/>
      <c r="Q829" s="322"/>
      <c r="R829" s="322"/>
      <c r="S829" s="322"/>
      <c r="T829" s="322"/>
      <c r="U829" s="322"/>
      <c r="V829" s="322"/>
      <c r="W829" s="322"/>
      <c r="X829" s="322"/>
      <c r="Y829" s="322"/>
      <c r="Z829" s="322"/>
      <c r="AA829" s="322"/>
      <c r="AB829" s="322"/>
      <c r="AC829" s="322"/>
      <c r="AD829" s="322"/>
      <c r="AE829" s="322"/>
      <c r="AF829" s="322"/>
      <c r="AG829" s="322"/>
      <c r="AH829" s="322"/>
      <c r="AI829" s="322"/>
      <c r="AJ829" s="322"/>
      <c r="AK829" s="322"/>
    </row>
    <row r="830" spans="1:37" ht="18" customHeight="1">
      <c r="A830" s="322"/>
      <c r="B830" s="322"/>
      <c r="C830" s="451"/>
      <c r="D830" s="322"/>
      <c r="E830" s="322"/>
      <c r="F830" s="322"/>
      <c r="G830" s="322"/>
      <c r="H830" s="322"/>
      <c r="I830" s="322"/>
      <c r="J830" s="322"/>
      <c r="K830" s="322"/>
      <c r="L830" s="322"/>
      <c r="M830" s="322"/>
      <c r="N830" s="322"/>
      <c r="O830" s="322"/>
      <c r="P830" s="322"/>
      <c r="Q830" s="322"/>
      <c r="R830" s="322"/>
      <c r="S830" s="322"/>
      <c r="T830" s="322"/>
      <c r="U830" s="322"/>
      <c r="V830" s="322"/>
      <c r="W830" s="322"/>
      <c r="X830" s="322"/>
      <c r="Y830" s="322"/>
      <c r="Z830" s="322"/>
      <c r="AA830" s="322"/>
      <c r="AB830" s="322"/>
      <c r="AC830" s="322"/>
      <c r="AD830" s="322"/>
      <c r="AE830" s="322"/>
      <c r="AF830" s="322"/>
      <c r="AG830" s="322"/>
      <c r="AH830" s="322"/>
      <c r="AI830" s="322"/>
      <c r="AJ830" s="322"/>
      <c r="AK830" s="322"/>
    </row>
    <row r="831" spans="1:37" ht="18" customHeight="1">
      <c r="A831" s="322"/>
      <c r="B831" s="322"/>
      <c r="C831" s="451"/>
      <c r="D831" s="322"/>
      <c r="E831" s="322"/>
      <c r="F831" s="322"/>
      <c r="G831" s="322"/>
      <c r="H831" s="322"/>
      <c r="I831" s="322"/>
      <c r="J831" s="322"/>
      <c r="K831" s="322"/>
      <c r="L831" s="322"/>
      <c r="M831" s="322"/>
      <c r="N831" s="322"/>
      <c r="O831" s="322"/>
      <c r="P831" s="322"/>
      <c r="Q831" s="322"/>
      <c r="R831" s="322"/>
      <c r="S831" s="322"/>
      <c r="T831" s="322"/>
      <c r="U831" s="322"/>
      <c r="V831" s="322"/>
      <c r="W831" s="322"/>
      <c r="X831" s="322"/>
      <c r="Y831" s="322"/>
      <c r="Z831" s="322"/>
      <c r="AA831" s="322"/>
      <c r="AB831" s="322"/>
      <c r="AC831" s="322"/>
      <c r="AD831" s="322"/>
      <c r="AE831" s="322"/>
      <c r="AF831" s="322"/>
      <c r="AG831" s="322"/>
      <c r="AH831" s="322"/>
      <c r="AI831" s="322"/>
      <c r="AJ831" s="322"/>
      <c r="AK831" s="322"/>
    </row>
    <row r="832" spans="1:37" ht="18" customHeight="1">
      <c r="A832" s="322"/>
      <c r="B832" s="322"/>
      <c r="C832" s="451"/>
      <c r="D832" s="322"/>
      <c r="E832" s="322"/>
      <c r="F832" s="322"/>
      <c r="G832" s="322"/>
      <c r="H832" s="322"/>
      <c r="I832" s="322"/>
      <c r="J832" s="322"/>
      <c r="K832" s="322"/>
      <c r="L832" s="322"/>
      <c r="M832" s="322"/>
      <c r="N832" s="322"/>
      <c r="O832" s="322"/>
      <c r="P832" s="322"/>
      <c r="Q832" s="322"/>
      <c r="R832" s="322"/>
      <c r="S832" s="322"/>
      <c r="T832" s="322"/>
      <c r="U832" s="322"/>
      <c r="V832" s="322"/>
      <c r="W832" s="322"/>
      <c r="X832" s="322"/>
      <c r="Y832" s="322"/>
      <c r="Z832" s="322"/>
      <c r="AA832" s="322"/>
      <c r="AB832" s="322"/>
      <c r="AC832" s="322"/>
      <c r="AD832" s="322"/>
      <c r="AE832" s="322"/>
      <c r="AF832" s="322"/>
      <c r="AG832" s="322"/>
      <c r="AH832" s="322"/>
      <c r="AI832" s="322"/>
      <c r="AJ832" s="322"/>
      <c r="AK832" s="322"/>
    </row>
    <row r="833" spans="1:37" ht="18" customHeight="1">
      <c r="A833" s="322"/>
      <c r="B833" s="322"/>
      <c r="C833" s="451"/>
      <c r="D833" s="322"/>
      <c r="E833" s="322"/>
      <c r="F833" s="322"/>
      <c r="G833" s="322"/>
      <c r="H833" s="322"/>
      <c r="I833" s="322"/>
      <c r="J833" s="322"/>
      <c r="K833" s="322"/>
      <c r="L833" s="322"/>
      <c r="M833" s="322"/>
      <c r="N833" s="322"/>
      <c r="O833" s="322"/>
      <c r="P833" s="322"/>
      <c r="Q833" s="322"/>
      <c r="R833" s="322"/>
      <c r="S833" s="322"/>
      <c r="T833" s="322"/>
      <c r="U833" s="322"/>
      <c r="V833" s="322"/>
      <c r="W833" s="322"/>
      <c r="X833" s="322"/>
      <c r="Y833" s="322"/>
      <c r="Z833" s="322"/>
      <c r="AA833" s="322"/>
      <c r="AB833" s="322"/>
      <c r="AC833" s="322"/>
      <c r="AD833" s="322"/>
      <c r="AE833" s="322"/>
      <c r="AF833" s="322"/>
      <c r="AG833" s="322"/>
      <c r="AH833" s="322"/>
      <c r="AI833" s="322"/>
      <c r="AJ833" s="322"/>
      <c r="AK833" s="322"/>
    </row>
    <row r="834" spans="1:37" ht="18" customHeight="1">
      <c r="A834" s="322"/>
      <c r="B834" s="322"/>
      <c r="C834" s="451"/>
      <c r="D834" s="322"/>
      <c r="E834" s="322"/>
      <c r="F834" s="322"/>
      <c r="G834" s="322"/>
      <c r="H834" s="322"/>
      <c r="I834" s="322"/>
      <c r="J834" s="322"/>
      <c r="K834" s="322"/>
      <c r="L834" s="322"/>
      <c r="M834" s="322"/>
      <c r="N834" s="322"/>
      <c r="O834" s="322"/>
      <c r="P834" s="322"/>
      <c r="Q834" s="322"/>
      <c r="R834" s="322"/>
      <c r="S834" s="322"/>
      <c r="T834" s="322"/>
      <c r="U834" s="322"/>
      <c r="V834" s="322"/>
      <c r="W834" s="322"/>
      <c r="X834" s="322"/>
      <c r="Y834" s="322"/>
      <c r="Z834" s="322"/>
      <c r="AA834" s="322"/>
      <c r="AB834" s="322"/>
      <c r="AC834" s="322"/>
      <c r="AD834" s="322"/>
      <c r="AE834" s="322"/>
      <c r="AF834" s="322"/>
      <c r="AG834" s="322"/>
      <c r="AH834" s="322"/>
      <c r="AI834" s="322"/>
      <c r="AJ834" s="322"/>
      <c r="AK834" s="322"/>
    </row>
    <row r="835" spans="1:37" ht="18" customHeight="1">
      <c r="A835" s="322"/>
      <c r="B835" s="322"/>
      <c r="C835" s="451"/>
      <c r="D835" s="322"/>
      <c r="E835" s="322"/>
      <c r="F835" s="322"/>
      <c r="G835" s="322"/>
      <c r="H835" s="322"/>
      <c r="I835" s="322"/>
      <c r="J835" s="322"/>
      <c r="K835" s="322"/>
      <c r="L835" s="322"/>
      <c r="M835" s="322"/>
      <c r="N835" s="322"/>
      <c r="O835" s="322"/>
      <c r="P835" s="322"/>
      <c r="Q835" s="322"/>
      <c r="R835" s="322"/>
      <c r="S835" s="322"/>
      <c r="T835" s="322"/>
      <c r="U835" s="322"/>
      <c r="V835" s="322"/>
      <c r="W835" s="322"/>
      <c r="X835" s="322"/>
      <c r="Y835" s="322"/>
      <c r="Z835" s="322"/>
      <c r="AA835" s="322"/>
      <c r="AB835" s="322"/>
      <c r="AC835" s="322"/>
      <c r="AD835" s="322"/>
      <c r="AE835" s="322"/>
      <c r="AF835" s="322"/>
      <c r="AG835" s="322"/>
      <c r="AH835" s="322"/>
      <c r="AI835" s="322"/>
      <c r="AJ835" s="322"/>
      <c r="AK835" s="322"/>
    </row>
    <row r="836" spans="1:37" ht="18" customHeight="1">
      <c r="A836" s="322"/>
      <c r="B836" s="322"/>
      <c r="C836" s="451"/>
      <c r="D836" s="322"/>
      <c r="E836" s="322"/>
      <c r="F836" s="322"/>
      <c r="G836" s="322"/>
      <c r="H836" s="322"/>
      <c r="I836" s="322"/>
      <c r="J836" s="322"/>
      <c r="K836" s="322"/>
      <c r="L836" s="322"/>
      <c r="M836" s="322"/>
      <c r="N836" s="322"/>
      <c r="O836" s="322"/>
      <c r="P836" s="322"/>
      <c r="Q836" s="322"/>
      <c r="R836" s="322"/>
      <c r="S836" s="322"/>
      <c r="T836" s="322"/>
      <c r="U836" s="322"/>
      <c r="V836" s="322"/>
      <c r="W836" s="322"/>
      <c r="X836" s="322"/>
      <c r="Y836" s="322"/>
      <c r="Z836" s="322"/>
      <c r="AA836" s="322"/>
      <c r="AB836" s="322"/>
      <c r="AC836" s="322"/>
      <c r="AD836" s="322"/>
      <c r="AE836" s="322"/>
      <c r="AF836" s="322"/>
      <c r="AG836" s="322"/>
      <c r="AH836" s="322"/>
      <c r="AI836" s="322"/>
      <c r="AJ836" s="322"/>
      <c r="AK836" s="322"/>
    </row>
    <row r="837" spans="1:37" ht="18" customHeight="1">
      <c r="A837" s="322"/>
      <c r="B837" s="322"/>
      <c r="C837" s="451"/>
      <c r="D837" s="322"/>
      <c r="E837" s="322"/>
      <c r="F837" s="322"/>
      <c r="G837" s="322"/>
      <c r="H837" s="322"/>
      <c r="I837" s="322"/>
      <c r="J837" s="322"/>
      <c r="K837" s="322"/>
      <c r="L837" s="322"/>
      <c r="M837" s="322"/>
      <c r="N837" s="322"/>
      <c r="O837" s="322"/>
      <c r="P837" s="322"/>
      <c r="Q837" s="322"/>
      <c r="R837" s="322"/>
      <c r="S837" s="322"/>
      <c r="T837" s="322"/>
      <c r="U837" s="322"/>
      <c r="V837" s="322"/>
      <c r="W837" s="322"/>
      <c r="X837" s="322"/>
      <c r="Y837" s="322"/>
      <c r="Z837" s="322"/>
      <c r="AA837" s="322"/>
      <c r="AB837" s="322"/>
      <c r="AC837" s="322"/>
      <c r="AD837" s="322"/>
      <c r="AE837" s="322"/>
      <c r="AF837" s="322"/>
      <c r="AG837" s="322"/>
      <c r="AH837" s="322"/>
      <c r="AI837" s="322"/>
      <c r="AJ837" s="322"/>
      <c r="AK837" s="322"/>
    </row>
    <row r="838" spans="1:37" ht="18" customHeight="1">
      <c r="A838" s="322"/>
      <c r="B838" s="322"/>
      <c r="C838" s="451"/>
      <c r="D838" s="322"/>
      <c r="E838" s="322"/>
      <c r="F838" s="322"/>
      <c r="G838" s="322"/>
      <c r="H838" s="322"/>
      <c r="I838" s="322"/>
      <c r="J838" s="322"/>
      <c r="K838" s="322"/>
      <c r="L838" s="322"/>
      <c r="M838" s="322"/>
      <c r="N838" s="322"/>
      <c r="O838" s="322"/>
      <c r="P838" s="322"/>
      <c r="Q838" s="322"/>
      <c r="R838" s="322"/>
      <c r="S838" s="322"/>
      <c r="T838" s="322"/>
      <c r="U838" s="322"/>
      <c r="V838" s="322"/>
      <c r="W838" s="322"/>
      <c r="X838" s="322"/>
      <c r="Y838" s="322"/>
      <c r="Z838" s="322"/>
      <c r="AA838" s="322"/>
      <c r="AB838" s="322"/>
      <c r="AC838" s="322"/>
      <c r="AD838" s="322"/>
      <c r="AE838" s="322"/>
      <c r="AF838" s="322"/>
      <c r="AG838" s="322"/>
      <c r="AH838" s="322"/>
      <c r="AI838" s="322"/>
      <c r="AJ838" s="322"/>
      <c r="AK838" s="322"/>
    </row>
    <row r="839" spans="1:37" ht="18" customHeight="1">
      <c r="A839" s="322"/>
      <c r="B839" s="322"/>
      <c r="C839" s="451"/>
      <c r="D839" s="322"/>
      <c r="E839" s="322"/>
      <c r="F839" s="322"/>
      <c r="G839" s="322"/>
      <c r="H839" s="322"/>
      <c r="I839" s="322"/>
      <c r="J839" s="322"/>
      <c r="K839" s="322"/>
      <c r="L839" s="322"/>
      <c r="M839" s="322"/>
      <c r="N839" s="322"/>
      <c r="O839" s="322"/>
      <c r="P839" s="322"/>
      <c r="Q839" s="322"/>
      <c r="R839" s="322"/>
      <c r="S839" s="322"/>
      <c r="T839" s="322"/>
      <c r="U839" s="322"/>
      <c r="V839" s="322"/>
      <c r="W839" s="322"/>
      <c r="X839" s="322"/>
      <c r="Y839" s="322"/>
      <c r="Z839" s="322"/>
      <c r="AA839" s="322"/>
      <c r="AB839" s="322"/>
      <c r="AC839" s="322"/>
      <c r="AD839" s="322"/>
      <c r="AE839" s="322"/>
      <c r="AF839" s="322"/>
      <c r="AG839" s="322"/>
      <c r="AH839" s="322"/>
      <c r="AI839" s="322"/>
      <c r="AJ839" s="322"/>
      <c r="AK839" s="322"/>
    </row>
    <row r="840" spans="1:37" ht="18" customHeight="1">
      <c r="A840" s="322"/>
      <c r="B840" s="322"/>
      <c r="C840" s="451"/>
      <c r="D840" s="322"/>
      <c r="E840" s="322"/>
      <c r="F840" s="322"/>
      <c r="G840" s="322"/>
      <c r="H840" s="322"/>
      <c r="I840" s="322"/>
      <c r="J840" s="322"/>
      <c r="K840" s="322"/>
      <c r="L840" s="322"/>
      <c r="M840" s="322"/>
      <c r="N840" s="322"/>
      <c r="O840" s="322"/>
      <c r="P840" s="322"/>
      <c r="Q840" s="322"/>
      <c r="R840" s="322"/>
      <c r="S840" s="322"/>
      <c r="T840" s="322"/>
      <c r="U840" s="322"/>
      <c r="V840" s="322"/>
      <c r="W840" s="322"/>
      <c r="X840" s="322"/>
      <c r="Y840" s="322"/>
      <c r="Z840" s="322"/>
      <c r="AA840" s="322"/>
      <c r="AB840" s="322"/>
      <c r="AC840" s="322"/>
      <c r="AD840" s="322"/>
      <c r="AE840" s="322"/>
      <c r="AF840" s="322"/>
      <c r="AG840" s="322"/>
      <c r="AH840" s="322"/>
      <c r="AI840" s="322"/>
      <c r="AJ840" s="322"/>
      <c r="AK840" s="322"/>
    </row>
    <row r="841" spans="1:37" ht="18" customHeight="1">
      <c r="A841" s="322"/>
      <c r="B841" s="322"/>
      <c r="C841" s="451"/>
      <c r="D841" s="322"/>
      <c r="E841" s="322"/>
      <c r="F841" s="322"/>
      <c r="G841" s="322"/>
      <c r="H841" s="322"/>
      <c r="I841" s="322"/>
      <c r="J841" s="322"/>
      <c r="K841" s="322"/>
      <c r="L841" s="322"/>
      <c r="M841" s="322"/>
      <c r="N841" s="322"/>
      <c r="O841" s="322"/>
      <c r="P841" s="322"/>
      <c r="Q841" s="322"/>
      <c r="R841" s="322"/>
      <c r="S841" s="322"/>
      <c r="T841" s="322"/>
      <c r="U841" s="322"/>
      <c r="V841" s="322"/>
      <c r="W841" s="322"/>
      <c r="X841" s="322"/>
      <c r="Y841" s="322"/>
      <c r="Z841" s="322"/>
      <c r="AA841" s="322"/>
      <c r="AB841" s="322"/>
      <c r="AC841" s="322"/>
      <c r="AD841" s="322"/>
      <c r="AE841" s="322"/>
      <c r="AF841" s="322"/>
      <c r="AG841" s="322"/>
      <c r="AH841" s="322"/>
      <c r="AI841" s="322"/>
      <c r="AJ841" s="322"/>
      <c r="AK841" s="322"/>
    </row>
    <row r="842" spans="1:37" ht="18" customHeight="1">
      <c r="A842" s="322"/>
      <c r="B842" s="322"/>
      <c r="C842" s="451"/>
      <c r="D842" s="322"/>
      <c r="E842" s="322"/>
      <c r="F842" s="322"/>
      <c r="G842" s="322"/>
      <c r="H842" s="322"/>
      <c r="I842" s="322"/>
      <c r="J842" s="322"/>
      <c r="K842" s="322"/>
      <c r="L842" s="322"/>
      <c r="M842" s="322"/>
      <c r="N842" s="322"/>
      <c r="O842" s="322"/>
      <c r="P842" s="322"/>
      <c r="Q842" s="322"/>
      <c r="R842" s="322"/>
      <c r="S842" s="322"/>
      <c r="T842" s="322"/>
      <c r="U842" s="322"/>
      <c r="V842" s="322"/>
      <c r="W842" s="322"/>
      <c r="X842" s="322"/>
      <c r="Y842" s="322"/>
      <c r="Z842" s="322"/>
      <c r="AA842" s="322"/>
      <c r="AB842" s="322"/>
      <c r="AC842" s="322"/>
      <c r="AD842" s="322"/>
      <c r="AE842" s="322"/>
      <c r="AF842" s="322"/>
      <c r="AG842" s="322"/>
      <c r="AH842" s="322"/>
      <c r="AI842" s="322"/>
      <c r="AJ842" s="322"/>
      <c r="AK842" s="322"/>
    </row>
    <row r="843" spans="1:37" ht="18" customHeight="1">
      <c r="A843" s="322"/>
      <c r="B843" s="322"/>
      <c r="C843" s="451"/>
      <c r="D843" s="322"/>
      <c r="E843" s="322"/>
      <c r="F843" s="322"/>
      <c r="G843" s="322"/>
      <c r="H843" s="322"/>
      <c r="I843" s="322"/>
      <c r="J843" s="322"/>
      <c r="K843" s="322"/>
      <c r="L843" s="322"/>
      <c r="M843" s="322"/>
      <c r="N843" s="322"/>
      <c r="O843" s="322"/>
      <c r="P843" s="322"/>
      <c r="Q843" s="322"/>
      <c r="R843" s="322"/>
      <c r="S843" s="322"/>
      <c r="T843" s="322"/>
      <c r="U843" s="322"/>
      <c r="V843" s="322"/>
      <c r="W843" s="322"/>
      <c r="X843" s="322"/>
      <c r="Y843" s="322"/>
      <c r="Z843" s="322"/>
      <c r="AA843" s="322"/>
      <c r="AB843" s="322"/>
      <c r="AC843" s="322"/>
      <c r="AD843" s="322"/>
      <c r="AE843" s="322"/>
      <c r="AF843" s="322"/>
      <c r="AG843" s="322"/>
      <c r="AH843" s="322"/>
      <c r="AI843" s="322"/>
      <c r="AJ843" s="322"/>
      <c r="AK843" s="322"/>
    </row>
    <row r="844" spans="1:37" ht="18" customHeight="1">
      <c r="A844" s="322"/>
      <c r="B844" s="322"/>
      <c r="C844" s="451"/>
      <c r="D844" s="322"/>
      <c r="E844" s="322"/>
      <c r="F844" s="322"/>
      <c r="G844" s="322"/>
      <c r="H844" s="322"/>
      <c r="I844" s="322"/>
      <c r="J844" s="322"/>
      <c r="K844" s="322"/>
      <c r="L844" s="322"/>
      <c r="M844" s="322"/>
      <c r="N844" s="322"/>
      <c r="O844" s="322"/>
      <c r="P844" s="322"/>
      <c r="Q844" s="322"/>
      <c r="R844" s="322"/>
      <c r="S844" s="322"/>
      <c r="T844" s="322"/>
      <c r="U844" s="322"/>
      <c r="V844" s="322"/>
      <c r="W844" s="322"/>
      <c r="X844" s="322"/>
      <c r="Y844" s="322"/>
      <c r="Z844" s="322"/>
      <c r="AA844" s="322"/>
      <c r="AB844" s="322"/>
      <c r="AC844" s="322"/>
      <c r="AD844" s="322"/>
      <c r="AE844" s="322"/>
      <c r="AF844" s="322"/>
      <c r="AG844" s="322"/>
      <c r="AH844" s="322"/>
      <c r="AI844" s="322"/>
      <c r="AJ844" s="322"/>
      <c r="AK844" s="322"/>
    </row>
    <row r="845" spans="1:37" ht="18" customHeight="1">
      <c r="A845" s="322"/>
      <c r="B845" s="322"/>
      <c r="C845" s="451"/>
      <c r="D845" s="322"/>
      <c r="E845" s="322"/>
      <c r="F845" s="322"/>
      <c r="G845" s="322"/>
      <c r="H845" s="322"/>
      <c r="I845" s="322"/>
      <c r="J845" s="322"/>
      <c r="K845" s="322"/>
      <c r="L845" s="322"/>
      <c r="M845" s="322"/>
      <c r="N845" s="322"/>
      <c r="O845" s="322"/>
      <c r="P845" s="322"/>
      <c r="Q845" s="322"/>
      <c r="R845" s="322"/>
      <c r="S845" s="322"/>
      <c r="T845" s="322"/>
      <c r="U845" s="322"/>
      <c r="V845" s="322"/>
      <c r="W845" s="322"/>
      <c r="X845" s="322"/>
      <c r="Y845" s="322"/>
      <c r="Z845" s="322"/>
      <c r="AA845" s="322"/>
      <c r="AB845" s="322"/>
      <c r="AC845" s="322"/>
      <c r="AD845" s="322"/>
      <c r="AE845" s="322"/>
      <c r="AF845" s="322"/>
      <c r="AG845" s="322"/>
      <c r="AH845" s="322"/>
      <c r="AI845" s="322"/>
      <c r="AJ845" s="322"/>
      <c r="AK845" s="322"/>
    </row>
    <row r="846" spans="1:37" ht="18" customHeight="1">
      <c r="A846" s="322"/>
      <c r="B846" s="322"/>
      <c r="C846" s="451"/>
      <c r="D846" s="322"/>
      <c r="E846" s="322"/>
      <c r="F846" s="322"/>
      <c r="G846" s="322"/>
      <c r="H846" s="322"/>
      <c r="I846" s="322"/>
      <c r="J846" s="322"/>
      <c r="K846" s="322"/>
      <c r="L846" s="322"/>
      <c r="M846" s="322"/>
      <c r="N846" s="322"/>
      <c r="O846" s="322"/>
      <c r="P846" s="322"/>
      <c r="Q846" s="322"/>
      <c r="R846" s="322"/>
      <c r="S846" s="322"/>
      <c r="T846" s="322"/>
      <c r="U846" s="322"/>
      <c r="V846" s="322"/>
      <c r="W846" s="322"/>
      <c r="X846" s="322"/>
      <c r="Y846" s="322"/>
      <c r="Z846" s="322"/>
      <c r="AA846" s="322"/>
      <c r="AB846" s="322"/>
      <c r="AC846" s="322"/>
      <c r="AD846" s="322"/>
      <c r="AE846" s="322"/>
      <c r="AF846" s="322"/>
      <c r="AG846" s="322"/>
      <c r="AH846" s="322"/>
      <c r="AI846" s="322"/>
      <c r="AJ846" s="322"/>
      <c r="AK846" s="322"/>
    </row>
    <row r="847" spans="1:37" ht="18" customHeight="1">
      <c r="A847" s="322"/>
      <c r="B847" s="322"/>
      <c r="C847" s="451"/>
      <c r="D847" s="322"/>
      <c r="E847" s="322"/>
      <c r="F847" s="322"/>
      <c r="G847" s="322"/>
      <c r="H847" s="322"/>
      <c r="I847" s="322"/>
      <c r="J847" s="322"/>
      <c r="K847" s="322"/>
      <c r="L847" s="322"/>
      <c r="M847" s="322"/>
      <c r="N847" s="322"/>
      <c r="O847" s="322"/>
      <c r="P847" s="322"/>
      <c r="Q847" s="322"/>
      <c r="R847" s="322"/>
      <c r="S847" s="322"/>
      <c r="T847" s="322"/>
      <c r="U847" s="322"/>
      <c r="V847" s="322"/>
      <c r="W847" s="322"/>
      <c r="X847" s="322"/>
      <c r="Y847" s="322"/>
      <c r="Z847" s="322"/>
      <c r="AA847" s="322"/>
      <c r="AB847" s="322"/>
      <c r="AC847" s="322"/>
      <c r="AD847" s="322"/>
      <c r="AE847" s="322"/>
      <c r="AF847" s="322"/>
      <c r="AG847" s="322"/>
      <c r="AH847" s="322"/>
      <c r="AI847" s="322"/>
      <c r="AJ847" s="322"/>
      <c r="AK847" s="322"/>
    </row>
    <row r="848" spans="1:37" ht="18" customHeight="1">
      <c r="A848" s="322"/>
      <c r="B848" s="322"/>
      <c r="C848" s="451"/>
      <c r="D848" s="322"/>
      <c r="E848" s="322"/>
      <c r="F848" s="322"/>
      <c r="G848" s="322"/>
      <c r="H848" s="322"/>
      <c r="I848" s="322"/>
      <c r="J848" s="322"/>
      <c r="K848" s="322"/>
      <c r="L848" s="322"/>
      <c r="M848" s="322"/>
      <c r="N848" s="322"/>
      <c r="O848" s="322"/>
      <c r="P848" s="322"/>
      <c r="Q848" s="322"/>
      <c r="R848" s="322"/>
      <c r="S848" s="322"/>
      <c r="T848" s="322"/>
      <c r="U848" s="322"/>
      <c r="V848" s="322"/>
      <c r="W848" s="322"/>
      <c r="X848" s="322"/>
      <c r="Y848" s="322"/>
      <c r="Z848" s="322"/>
      <c r="AA848" s="322"/>
      <c r="AB848" s="322"/>
      <c r="AC848" s="322"/>
      <c r="AD848" s="322"/>
      <c r="AE848" s="322"/>
      <c r="AF848" s="322"/>
      <c r="AG848" s="322"/>
      <c r="AH848" s="322"/>
      <c r="AI848" s="322"/>
      <c r="AJ848" s="322"/>
      <c r="AK848" s="322"/>
    </row>
    <row r="849" spans="1:37" ht="18" customHeight="1">
      <c r="A849" s="322"/>
      <c r="B849" s="322"/>
      <c r="C849" s="451"/>
      <c r="D849" s="322"/>
      <c r="E849" s="322"/>
      <c r="F849" s="322"/>
      <c r="G849" s="322"/>
      <c r="H849" s="322"/>
      <c r="I849" s="322"/>
      <c r="J849" s="322"/>
      <c r="K849" s="322"/>
      <c r="L849" s="322"/>
      <c r="M849" s="322"/>
      <c r="N849" s="322"/>
      <c r="O849" s="322"/>
      <c r="P849" s="322"/>
      <c r="Q849" s="322"/>
      <c r="R849" s="322"/>
      <c r="S849" s="322"/>
      <c r="T849" s="322"/>
      <c r="U849" s="322"/>
      <c r="V849" s="322"/>
      <c r="W849" s="322"/>
      <c r="X849" s="322"/>
      <c r="Y849" s="322"/>
      <c r="Z849" s="322"/>
      <c r="AA849" s="322"/>
      <c r="AB849" s="322"/>
      <c r="AC849" s="322"/>
      <c r="AD849" s="322"/>
      <c r="AE849" s="322"/>
      <c r="AF849" s="322"/>
      <c r="AG849" s="322"/>
      <c r="AH849" s="322"/>
      <c r="AI849" s="322"/>
      <c r="AJ849" s="322"/>
      <c r="AK849" s="322"/>
    </row>
    <row r="850" spans="1:37" ht="18" customHeight="1">
      <c r="A850" s="322"/>
      <c r="B850" s="322"/>
      <c r="C850" s="451"/>
      <c r="D850" s="322"/>
      <c r="E850" s="322"/>
      <c r="F850" s="322"/>
      <c r="G850" s="322"/>
      <c r="H850" s="322"/>
      <c r="I850" s="322"/>
      <c r="J850" s="322"/>
      <c r="K850" s="322"/>
      <c r="L850" s="322"/>
      <c r="M850" s="322"/>
      <c r="N850" s="322"/>
      <c r="O850" s="322"/>
      <c r="P850" s="322"/>
      <c r="Q850" s="322"/>
      <c r="R850" s="322"/>
      <c r="S850" s="322"/>
      <c r="T850" s="322"/>
      <c r="U850" s="322"/>
      <c r="V850" s="322"/>
      <c r="W850" s="322"/>
      <c r="X850" s="322"/>
      <c r="Y850" s="322"/>
      <c r="Z850" s="322"/>
      <c r="AA850" s="322"/>
      <c r="AB850" s="322"/>
      <c r="AC850" s="322"/>
      <c r="AD850" s="322"/>
      <c r="AE850" s="322"/>
      <c r="AF850" s="322"/>
      <c r="AG850" s="322"/>
      <c r="AH850" s="322"/>
      <c r="AI850" s="322"/>
      <c r="AJ850" s="322"/>
      <c r="AK850" s="322"/>
    </row>
    <row r="851" spans="1:37" ht="18" customHeight="1">
      <c r="A851" s="322"/>
      <c r="B851" s="322"/>
      <c r="C851" s="451"/>
      <c r="D851" s="322"/>
      <c r="E851" s="322"/>
      <c r="F851" s="322"/>
      <c r="G851" s="322"/>
      <c r="H851" s="322"/>
      <c r="I851" s="322"/>
      <c r="J851" s="322"/>
      <c r="K851" s="322"/>
      <c r="L851" s="322"/>
      <c r="M851" s="322"/>
      <c r="N851" s="322"/>
      <c r="O851" s="322"/>
      <c r="P851" s="322"/>
      <c r="Q851" s="322"/>
      <c r="R851" s="322"/>
      <c r="S851" s="322"/>
      <c r="T851" s="322"/>
      <c r="U851" s="322"/>
      <c r="V851" s="322"/>
      <c r="W851" s="322"/>
      <c r="X851" s="322"/>
      <c r="Y851" s="322"/>
      <c r="Z851" s="322"/>
      <c r="AA851" s="322"/>
      <c r="AB851" s="322"/>
      <c r="AC851" s="322"/>
      <c r="AD851" s="322"/>
      <c r="AE851" s="322"/>
      <c r="AF851" s="322"/>
      <c r="AG851" s="322"/>
      <c r="AH851" s="322"/>
      <c r="AI851" s="322"/>
      <c r="AJ851" s="322"/>
      <c r="AK851" s="322"/>
    </row>
    <row r="852" spans="1:37" ht="18" customHeight="1">
      <c r="A852" s="322"/>
      <c r="B852" s="322"/>
      <c r="C852" s="451"/>
      <c r="D852" s="322"/>
      <c r="E852" s="322"/>
      <c r="F852" s="322"/>
      <c r="G852" s="322"/>
      <c r="H852" s="322"/>
      <c r="I852" s="322"/>
      <c r="J852" s="322"/>
      <c r="K852" s="322"/>
      <c r="L852" s="322"/>
      <c r="M852" s="322"/>
      <c r="N852" s="322"/>
      <c r="O852" s="322"/>
      <c r="P852" s="322"/>
      <c r="Q852" s="322"/>
      <c r="R852" s="322"/>
      <c r="S852" s="322"/>
      <c r="T852" s="322"/>
      <c r="U852" s="322"/>
      <c r="V852" s="322"/>
      <c r="W852" s="322"/>
      <c r="X852" s="322"/>
      <c r="Y852" s="322"/>
      <c r="Z852" s="322"/>
      <c r="AA852" s="322"/>
      <c r="AB852" s="322"/>
      <c r="AC852" s="322"/>
      <c r="AD852" s="322"/>
      <c r="AE852" s="322"/>
      <c r="AF852" s="322"/>
      <c r="AG852" s="322"/>
      <c r="AH852" s="322"/>
      <c r="AI852" s="322"/>
      <c r="AJ852" s="322"/>
      <c r="AK852" s="322"/>
    </row>
    <row r="853" spans="1:37" ht="18" customHeight="1">
      <c r="A853" s="322"/>
      <c r="B853" s="322"/>
      <c r="C853" s="451"/>
      <c r="D853" s="322"/>
      <c r="E853" s="322"/>
      <c r="F853" s="322"/>
      <c r="G853" s="322"/>
      <c r="H853" s="322"/>
      <c r="I853" s="322"/>
      <c r="J853" s="322"/>
      <c r="K853" s="322"/>
      <c r="L853" s="322"/>
      <c r="M853" s="322"/>
      <c r="N853" s="322"/>
      <c r="O853" s="322"/>
      <c r="P853" s="322"/>
      <c r="Q853" s="322"/>
      <c r="R853" s="322"/>
      <c r="S853" s="322"/>
      <c r="T853" s="322"/>
      <c r="U853" s="322"/>
      <c r="V853" s="322"/>
      <c r="W853" s="322"/>
      <c r="X853" s="322"/>
      <c r="Y853" s="322"/>
      <c r="Z853" s="322"/>
      <c r="AA853" s="322"/>
      <c r="AB853" s="322"/>
      <c r="AC853" s="322"/>
      <c r="AD853" s="322"/>
      <c r="AE853" s="322"/>
      <c r="AF853" s="322"/>
      <c r="AG853" s="322"/>
      <c r="AH853" s="322"/>
      <c r="AI853" s="322"/>
      <c r="AJ853" s="322"/>
      <c r="AK853" s="322"/>
    </row>
    <row r="854" spans="1:37" ht="18" customHeight="1">
      <c r="A854" s="322"/>
      <c r="B854" s="322"/>
      <c r="C854" s="451"/>
      <c r="D854" s="322"/>
      <c r="E854" s="322"/>
      <c r="F854" s="322"/>
      <c r="G854" s="322"/>
      <c r="H854" s="322"/>
      <c r="I854" s="322"/>
      <c r="J854" s="322"/>
      <c r="K854" s="322"/>
      <c r="L854" s="322"/>
      <c r="M854" s="322"/>
      <c r="N854" s="322"/>
      <c r="O854" s="322"/>
      <c r="P854" s="322"/>
      <c r="Q854" s="322"/>
      <c r="R854" s="322"/>
      <c r="S854" s="322"/>
      <c r="T854" s="322"/>
      <c r="U854" s="322"/>
      <c r="V854" s="322"/>
      <c r="W854" s="322"/>
      <c r="X854" s="322"/>
      <c r="Y854" s="322"/>
      <c r="Z854" s="322"/>
      <c r="AA854" s="322"/>
      <c r="AB854" s="322"/>
      <c r="AC854" s="322"/>
      <c r="AD854" s="322"/>
      <c r="AE854" s="322"/>
      <c r="AF854" s="322"/>
      <c r="AG854" s="322"/>
      <c r="AH854" s="322"/>
      <c r="AI854" s="322"/>
      <c r="AJ854" s="322"/>
      <c r="AK854" s="322"/>
    </row>
    <row r="855" spans="1:37" ht="18" customHeight="1">
      <c r="A855" s="322"/>
      <c r="B855" s="322"/>
      <c r="C855" s="451"/>
      <c r="D855" s="322"/>
      <c r="E855" s="322"/>
      <c r="F855" s="322"/>
      <c r="G855" s="322"/>
      <c r="H855" s="322"/>
      <c r="I855" s="322"/>
      <c r="J855" s="322"/>
      <c r="K855" s="322"/>
      <c r="L855" s="322"/>
      <c r="M855" s="322"/>
      <c r="N855" s="322"/>
      <c r="O855" s="322"/>
      <c r="P855" s="322"/>
      <c r="Q855" s="322"/>
      <c r="R855" s="322"/>
      <c r="S855" s="322"/>
      <c r="T855" s="322"/>
      <c r="U855" s="322"/>
      <c r="V855" s="322"/>
      <c r="W855" s="322"/>
      <c r="X855" s="322"/>
      <c r="Y855" s="322"/>
      <c r="Z855" s="322"/>
      <c r="AA855" s="322"/>
      <c r="AB855" s="322"/>
      <c r="AC855" s="322"/>
      <c r="AD855" s="322"/>
      <c r="AE855" s="322"/>
      <c r="AF855" s="322"/>
      <c r="AG855" s="322"/>
      <c r="AH855" s="322"/>
      <c r="AI855" s="322"/>
      <c r="AJ855" s="322"/>
      <c r="AK855" s="322"/>
    </row>
    <row r="856" spans="1:37" ht="18" customHeight="1">
      <c r="A856" s="322"/>
      <c r="B856" s="322"/>
      <c r="C856" s="451"/>
      <c r="D856" s="322"/>
      <c r="E856" s="322"/>
      <c r="F856" s="322"/>
      <c r="G856" s="322"/>
      <c r="H856" s="322"/>
      <c r="I856" s="322"/>
      <c r="J856" s="322"/>
      <c r="K856" s="322"/>
      <c r="L856" s="322"/>
      <c r="M856" s="322"/>
      <c r="N856" s="322"/>
      <c r="O856" s="322"/>
      <c r="P856" s="322"/>
      <c r="Q856" s="322"/>
      <c r="R856" s="322"/>
      <c r="S856" s="322"/>
      <c r="T856" s="322"/>
      <c r="U856" s="322"/>
      <c r="V856" s="322"/>
      <c r="W856" s="322"/>
      <c r="X856" s="322"/>
      <c r="Y856" s="322"/>
      <c r="Z856" s="322"/>
      <c r="AA856" s="322"/>
      <c r="AB856" s="322"/>
      <c r="AC856" s="322"/>
      <c r="AD856" s="322"/>
      <c r="AE856" s="322"/>
      <c r="AF856" s="322"/>
      <c r="AG856" s="322"/>
      <c r="AH856" s="322"/>
      <c r="AI856" s="322"/>
      <c r="AJ856" s="322"/>
      <c r="AK856" s="322"/>
    </row>
    <row r="857" spans="1:37" ht="18" customHeight="1">
      <c r="A857" s="322"/>
      <c r="B857" s="322"/>
      <c r="C857" s="451"/>
      <c r="D857" s="322"/>
      <c r="E857" s="322"/>
      <c r="F857" s="322"/>
      <c r="G857" s="322"/>
      <c r="H857" s="322"/>
      <c r="I857" s="322"/>
      <c r="J857" s="322"/>
      <c r="K857" s="322"/>
      <c r="L857" s="322"/>
      <c r="M857" s="322"/>
      <c r="N857" s="322"/>
      <c r="O857" s="322"/>
      <c r="P857" s="322"/>
      <c r="Q857" s="322"/>
      <c r="R857" s="322"/>
      <c r="S857" s="322"/>
      <c r="T857" s="322"/>
      <c r="U857" s="322"/>
      <c r="V857" s="322"/>
      <c r="W857" s="322"/>
      <c r="X857" s="322"/>
      <c r="Y857" s="322"/>
      <c r="Z857" s="322"/>
      <c r="AA857" s="322"/>
      <c r="AB857" s="322"/>
      <c r="AC857" s="322"/>
      <c r="AD857" s="322"/>
      <c r="AE857" s="322"/>
      <c r="AF857" s="322"/>
      <c r="AG857" s="322"/>
      <c r="AH857" s="322"/>
      <c r="AI857" s="322"/>
      <c r="AJ857" s="322"/>
      <c r="AK857" s="322"/>
    </row>
    <row r="858" spans="1:37" ht="18" customHeight="1">
      <c r="A858" s="322"/>
      <c r="B858" s="322"/>
      <c r="C858" s="451"/>
      <c r="D858" s="322"/>
      <c r="E858" s="322"/>
      <c r="F858" s="322"/>
      <c r="G858" s="322"/>
      <c r="H858" s="322"/>
      <c r="I858" s="322"/>
      <c r="J858" s="322"/>
      <c r="K858" s="322"/>
      <c r="L858" s="322"/>
      <c r="M858" s="322"/>
      <c r="N858" s="322"/>
      <c r="O858" s="322"/>
      <c r="P858" s="322"/>
      <c r="Q858" s="322"/>
      <c r="R858" s="322"/>
      <c r="S858" s="322"/>
      <c r="T858" s="322"/>
      <c r="U858" s="322"/>
      <c r="V858" s="322"/>
      <c r="W858" s="322"/>
      <c r="X858" s="322"/>
      <c r="Y858" s="322"/>
      <c r="Z858" s="322"/>
      <c r="AA858" s="322"/>
      <c r="AB858" s="322"/>
      <c r="AC858" s="322"/>
      <c r="AD858" s="322"/>
      <c r="AE858" s="322"/>
      <c r="AF858" s="322"/>
      <c r="AG858" s="322"/>
      <c r="AH858" s="322"/>
      <c r="AI858" s="322"/>
      <c r="AJ858" s="322"/>
      <c r="AK858" s="322"/>
    </row>
    <row r="859" spans="1:37" ht="18" customHeight="1">
      <c r="A859" s="322"/>
      <c r="B859" s="322"/>
      <c r="C859" s="451"/>
      <c r="D859" s="322"/>
      <c r="E859" s="322"/>
      <c r="F859" s="322"/>
      <c r="G859" s="322"/>
      <c r="H859" s="322"/>
      <c r="I859" s="322"/>
      <c r="J859" s="322"/>
      <c r="K859" s="322"/>
      <c r="L859" s="322"/>
      <c r="M859" s="322"/>
      <c r="N859" s="322"/>
      <c r="O859" s="322"/>
      <c r="P859" s="322"/>
      <c r="Q859" s="322"/>
      <c r="R859" s="322"/>
      <c r="S859" s="322"/>
      <c r="T859" s="322"/>
      <c r="U859" s="322"/>
      <c r="V859" s="322"/>
      <c r="W859" s="322"/>
      <c r="X859" s="322"/>
      <c r="Y859" s="322"/>
      <c r="Z859" s="322"/>
      <c r="AA859" s="322"/>
      <c r="AB859" s="322"/>
      <c r="AC859" s="322"/>
      <c r="AD859" s="322"/>
      <c r="AE859" s="322"/>
      <c r="AF859" s="322"/>
      <c r="AG859" s="322"/>
      <c r="AH859" s="322"/>
      <c r="AI859" s="322"/>
      <c r="AJ859" s="322"/>
      <c r="AK859" s="322"/>
    </row>
    <row r="860" spans="1:37" ht="18" customHeight="1">
      <c r="A860" s="322"/>
      <c r="B860" s="322"/>
      <c r="C860" s="451"/>
      <c r="D860" s="322"/>
      <c r="E860" s="322"/>
      <c r="F860" s="322"/>
      <c r="G860" s="322"/>
      <c r="H860" s="322"/>
      <c r="I860" s="322"/>
      <c r="J860" s="322"/>
      <c r="K860" s="322"/>
      <c r="L860" s="322"/>
      <c r="M860" s="322"/>
      <c r="N860" s="322"/>
      <c r="O860" s="322"/>
      <c r="P860" s="322"/>
      <c r="Q860" s="322"/>
      <c r="R860" s="322"/>
      <c r="S860" s="322"/>
      <c r="T860" s="322"/>
      <c r="U860" s="322"/>
      <c r="V860" s="322"/>
      <c r="W860" s="322"/>
      <c r="X860" s="322"/>
      <c r="Y860" s="322"/>
      <c r="Z860" s="322"/>
      <c r="AA860" s="322"/>
      <c r="AB860" s="322"/>
      <c r="AC860" s="322"/>
      <c r="AD860" s="322"/>
      <c r="AE860" s="322"/>
      <c r="AF860" s="322"/>
      <c r="AG860" s="322"/>
      <c r="AH860" s="322"/>
      <c r="AI860" s="322"/>
      <c r="AJ860" s="322"/>
      <c r="AK860" s="322"/>
    </row>
    <row r="861" spans="1:37" ht="18" customHeight="1">
      <c r="A861" s="322"/>
      <c r="B861" s="322"/>
      <c r="C861" s="451"/>
      <c r="D861" s="322"/>
      <c r="E861" s="322"/>
      <c r="F861" s="322"/>
      <c r="G861" s="322"/>
      <c r="H861" s="322"/>
      <c r="I861" s="322"/>
      <c r="J861" s="322"/>
      <c r="K861" s="322"/>
      <c r="L861" s="322"/>
      <c r="M861" s="322"/>
      <c r="N861" s="322"/>
      <c r="O861" s="322"/>
      <c r="P861" s="322"/>
      <c r="Q861" s="322"/>
      <c r="R861" s="322"/>
      <c r="S861" s="322"/>
      <c r="T861" s="322"/>
      <c r="U861" s="322"/>
      <c r="V861" s="322"/>
      <c r="W861" s="322"/>
      <c r="X861" s="322"/>
      <c r="Y861" s="322"/>
      <c r="Z861" s="322"/>
      <c r="AA861" s="322"/>
      <c r="AB861" s="322"/>
      <c r="AC861" s="322"/>
      <c r="AD861" s="322"/>
      <c r="AE861" s="322"/>
      <c r="AF861" s="322"/>
      <c r="AG861" s="322"/>
      <c r="AH861" s="322"/>
      <c r="AI861" s="322"/>
      <c r="AJ861" s="322"/>
      <c r="AK861" s="322"/>
    </row>
    <row r="862" spans="1:37" ht="18" customHeight="1">
      <c r="A862" s="322"/>
      <c r="B862" s="322"/>
      <c r="C862" s="451"/>
      <c r="D862" s="322"/>
      <c r="E862" s="322"/>
      <c r="F862" s="322"/>
      <c r="G862" s="322"/>
      <c r="H862" s="322"/>
      <c r="I862" s="322"/>
      <c r="J862" s="322"/>
      <c r="K862" s="322"/>
      <c r="L862" s="322"/>
      <c r="M862" s="322"/>
      <c r="N862" s="322"/>
      <c r="O862" s="322"/>
      <c r="P862" s="322"/>
      <c r="Q862" s="322"/>
      <c r="R862" s="322"/>
      <c r="S862" s="322"/>
      <c r="T862" s="322"/>
      <c r="U862" s="322"/>
      <c r="V862" s="322"/>
      <c r="W862" s="322"/>
      <c r="X862" s="322"/>
      <c r="Y862" s="322"/>
      <c r="Z862" s="322"/>
      <c r="AA862" s="322"/>
      <c r="AB862" s="322"/>
      <c r="AC862" s="322"/>
      <c r="AD862" s="322"/>
      <c r="AE862" s="322"/>
      <c r="AF862" s="322"/>
      <c r="AG862" s="322"/>
      <c r="AH862" s="322"/>
      <c r="AI862" s="322"/>
      <c r="AJ862" s="322"/>
      <c r="AK862" s="322"/>
    </row>
    <row r="863" spans="1:37" ht="18" customHeight="1">
      <c r="A863" s="322"/>
      <c r="B863" s="322"/>
      <c r="C863" s="451"/>
      <c r="D863" s="322"/>
      <c r="E863" s="322"/>
      <c r="F863" s="322"/>
      <c r="G863" s="322"/>
      <c r="H863" s="322"/>
      <c r="I863" s="322"/>
      <c r="J863" s="322"/>
      <c r="K863" s="322"/>
      <c r="L863" s="322"/>
      <c r="M863" s="322"/>
      <c r="N863" s="322"/>
      <c r="O863" s="322"/>
      <c r="P863" s="322"/>
      <c r="Q863" s="322"/>
      <c r="R863" s="322"/>
      <c r="S863" s="322"/>
      <c r="T863" s="322"/>
      <c r="U863" s="322"/>
      <c r="V863" s="322"/>
      <c r="W863" s="322"/>
      <c r="X863" s="322"/>
      <c r="Y863" s="322"/>
      <c r="Z863" s="322"/>
      <c r="AA863" s="322"/>
      <c r="AB863" s="322"/>
      <c r="AC863" s="322"/>
      <c r="AD863" s="322"/>
      <c r="AE863" s="322"/>
      <c r="AF863" s="322"/>
      <c r="AG863" s="322"/>
      <c r="AH863" s="322"/>
      <c r="AI863" s="322"/>
      <c r="AJ863" s="322"/>
      <c r="AK863" s="322"/>
    </row>
    <row r="864" spans="1:37" ht="18" customHeight="1">
      <c r="A864" s="322"/>
      <c r="B864" s="322"/>
      <c r="C864" s="451"/>
      <c r="D864" s="322"/>
      <c r="E864" s="322"/>
      <c r="F864" s="322"/>
      <c r="G864" s="322"/>
      <c r="H864" s="322"/>
      <c r="I864" s="322"/>
      <c r="J864" s="322"/>
      <c r="K864" s="322"/>
      <c r="L864" s="322"/>
      <c r="M864" s="322"/>
      <c r="N864" s="322"/>
      <c r="O864" s="322"/>
      <c r="P864" s="322"/>
      <c r="Q864" s="322"/>
      <c r="R864" s="322"/>
      <c r="S864" s="322"/>
      <c r="T864" s="322"/>
      <c r="U864" s="322"/>
      <c r="V864" s="322"/>
      <c r="W864" s="322"/>
      <c r="X864" s="322"/>
      <c r="Y864" s="322"/>
      <c r="Z864" s="322"/>
      <c r="AA864" s="322"/>
      <c r="AB864" s="322"/>
      <c r="AC864" s="322"/>
      <c r="AD864" s="322"/>
      <c r="AE864" s="322"/>
      <c r="AF864" s="322"/>
      <c r="AG864" s="322"/>
      <c r="AH864" s="322"/>
      <c r="AI864" s="322"/>
      <c r="AJ864" s="322"/>
      <c r="AK864" s="322"/>
    </row>
    <row r="865" spans="1:37" ht="18" customHeight="1">
      <c r="A865" s="322"/>
      <c r="B865" s="322"/>
      <c r="C865" s="451"/>
      <c r="D865" s="322"/>
      <c r="E865" s="322"/>
      <c r="F865" s="322"/>
      <c r="G865" s="322"/>
      <c r="H865" s="322"/>
      <c r="I865" s="322"/>
      <c r="J865" s="322"/>
      <c r="K865" s="322"/>
      <c r="L865" s="322"/>
      <c r="M865" s="322"/>
      <c r="N865" s="322"/>
      <c r="O865" s="322"/>
      <c r="P865" s="322"/>
      <c r="Q865" s="322"/>
      <c r="R865" s="322"/>
      <c r="S865" s="322"/>
      <c r="T865" s="322"/>
      <c r="U865" s="322"/>
      <c r="V865" s="322"/>
      <c r="W865" s="322"/>
      <c r="X865" s="322"/>
      <c r="Y865" s="322"/>
      <c r="Z865" s="322"/>
      <c r="AA865" s="322"/>
      <c r="AB865" s="322"/>
      <c r="AC865" s="322"/>
      <c r="AD865" s="322"/>
      <c r="AE865" s="322"/>
      <c r="AF865" s="322"/>
      <c r="AG865" s="322"/>
      <c r="AH865" s="322"/>
      <c r="AI865" s="322"/>
      <c r="AJ865" s="322"/>
      <c r="AK865" s="322"/>
    </row>
    <row r="866" spans="1:37" ht="18" customHeight="1">
      <c r="A866" s="322"/>
      <c r="B866" s="322"/>
      <c r="C866" s="451"/>
      <c r="D866" s="322"/>
      <c r="E866" s="322"/>
      <c r="F866" s="322"/>
      <c r="G866" s="322"/>
      <c r="H866" s="322"/>
      <c r="I866" s="322"/>
      <c r="J866" s="322"/>
      <c r="K866" s="322"/>
      <c r="L866" s="322"/>
      <c r="M866" s="322"/>
      <c r="N866" s="322"/>
      <c r="O866" s="322"/>
      <c r="P866" s="322"/>
      <c r="Q866" s="322"/>
      <c r="R866" s="322"/>
      <c r="S866" s="322"/>
      <c r="T866" s="322"/>
      <c r="U866" s="322"/>
      <c r="V866" s="322"/>
      <c r="W866" s="322"/>
      <c r="X866" s="322"/>
      <c r="Y866" s="322"/>
      <c r="Z866" s="322"/>
      <c r="AA866" s="322"/>
      <c r="AB866" s="322"/>
      <c r="AC866" s="322"/>
      <c r="AD866" s="322"/>
      <c r="AE866" s="322"/>
      <c r="AF866" s="322"/>
      <c r="AG866" s="322"/>
      <c r="AH866" s="322"/>
      <c r="AI866" s="322"/>
      <c r="AJ866" s="322"/>
      <c r="AK866" s="322"/>
    </row>
    <row r="867" spans="1:37" ht="18" customHeight="1">
      <c r="A867" s="322"/>
      <c r="B867" s="322"/>
      <c r="C867" s="451"/>
      <c r="D867" s="322"/>
      <c r="E867" s="322"/>
      <c r="F867" s="322"/>
      <c r="G867" s="322"/>
      <c r="H867" s="322"/>
      <c r="I867" s="322"/>
      <c r="J867" s="322"/>
      <c r="K867" s="322"/>
      <c r="L867" s="322"/>
      <c r="M867" s="322"/>
      <c r="N867" s="322"/>
      <c r="O867" s="322"/>
      <c r="P867" s="322"/>
      <c r="Q867" s="322"/>
      <c r="R867" s="322"/>
      <c r="S867" s="322"/>
      <c r="T867" s="322"/>
      <c r="U867" s="322"/>
      <c r="V867" s="322"/>
      <c r="W867" s="322"/>
      <c r="X867" s="322"/>
      <c r="Y867" s="322"/>
      <c r="Z867" s="322"/>
      <c r="AA867" s="322"/>
      <c r="AB867" s="322"/>
      <c r="AC867" s="322"/>
      <c r="AD867" s="322"/>
      <c r="AE867" s="322"/>
      <c r="AF867" s="322"/>
      <c r="AG867" s="322"/>
      <c r="AH867" s="322"/>
      <c r="AI867" s="322"/>
      <c r="AJ867" s="322"/>
      <c r="AK867" s="322"/>
    </row>
    <row r="868" spans="1:37" ht="18" customHeight="1">
      <c r="A868" s="322"/>
      <c r="B868" s="322"/>
      <c r="C868" s="451"/>
      <c r="D868" s="322"/>
      <c r="E868" s="322"/>
      <c r="F868" s="322"/>
      <c r="G868" s="322"/>
      <c r="H868" s="322"/>
      <c r="I868" s="322"/>
      <c r="J868" s="322"/>
      <c r="K868" s="322"/>
      <c r="L868" s="322"/>
      <c r="M868" s="322"/>
      <c r="N868" s="322"/>
      <c r="O868" s="322"/>
      <c r="P868" s="322"/>
      <c r="Q868" s="322"/>
      <c r="R868" s="322"/>
      <c r="S868" s="322"/>
      <c r="T868" s="322"/>
      <c r="U868" s="322"/>
      <c r="V868" s="322"/>
      <c r="W868" s="322"/>
      <c r="X868" s="322"/>
      <c r="Y868" s="322"/>
      <c r="Z868" s="322"/>
      <c r="AA868" s="322"/>
      <c r="AB868" s="322"/>
      <c r="AC868" s="322"/>
      <c r="AD868" s="322"/>
      <c r="AE868" s="322"/>
      <c r="AF868" s="322"/>
      <c r="AG868" s="322"/>
      <c r="AH868" s="322"/>
      <c r="AI868" s="322"/>
      <c r="AJ868" s="322"/>
      <c r="AK868" s="322"/>
    </row>
    <row r="869" spans="1:37" ht="18" customHeight="1">
      <c r="A869" s="322"/>
      <c r="B869" s="322"/>
      <c r="C869" s="451"/>
      <c r="D869" s="322"/>
      <c r="E869" s="322"/>
      <c r="F869" s="322"/>
      <c r="G869" s="322"/>
      <c r="H869" s="322"/>
      <c r="I869" s="322"/>
      <c r="J869" s="322"/>
      <c r="K869" s="322"/>
      <c r="L869" s="322"/>
      <c r="M869" s="322"/>
      <c r="N869" s="322"/>
      <c r="O869" s="322"/>
      <c r="P869" s="322"/>
      <c r="Q869" s="322"/>
      <c r="R869" s="322"/>
      <c r="S869" s="322"/>
      <c r="T869" s="322"/>
      <c r="U869" s="322"/>
      <c r="V869" s="322"/>
      <c r="W869" s="322"/>
      <c r="X869" s="322"/>
      <c r="Y869" s="322"/>
      <c r="Z869" s="322"/>
      <c r="AA869" s="322"/>
      <c r="AB869" s="322"/>
      <c r="AC869" s="322"/>
      <c r="AD869" s="322"/>
      <c r="AE869" s="322"/>
      <c r="AF869" s="322"/>
      <c r="AG869" s="322"/>
      <c r="AH869" s="322"/>
      <c r="AI869" s="322"/>
      <c r="AJ869" s="322"/>
      <c r="AK869" s="322"/>
    </row>
    <row r="870" spans="1:37" ht="18" customHeight="1">
      <c r="A870" s="322"/>
      <c r="B870" s="322"/>
      <c r="C870" s="451"/>
      <c r="D870" s="322"/>
      <c r="E870" s="322"/>
      <c r="F870" s="322"/>
      <c r="G870" s="322"/>
      <c r="H870" s="322"/>
      <c r="I870" s="322"/>
      <c r="J870" s="322"/>
      <c r="K870" s="322"/>
      <c r="L870" s="322"/>
      <c r="M870" s="322"/>
      <c r="N870" s="322"/>
      <c r="O870" s="322"/>
      <c r="P870" s="322"/>
      <c r="Q870" s="322"/>
      <c r="R870" s="322"/>
      <c r="S870" s="322"/>
      <c r="T870" s="322"/>
      <c r="U870" s="322"/>
      <c r="V870" s="322"/>
      <c r="W870" s="322"/>
      <c r="X870" s="322"/>
      <c r="Y870" s="322"/>
      <c r="Z870" s="322"/>
      <c r="AA870" s="322"/>
      <c r="AB870" s="322"/>
      <c r="AC870" s="322"/>
      <c r="AD870" s="322"/>
      <c r="AE870" s="322"/>
      <c r="AF870" s="322"/>
      <c r="AG870" s="322"/>
      <c r="AH870" s="322"/>
      <c r="AI870" s="322"/>
      <c r="AJ870" s="322"/>
      <c r="AK870" s="322"/>
    </row>
    <row r="871" spans="1:37" ht="18" customHeight="1">
      <c r="A871" s="322"/>
      <c r="B871" s="322"/>
      <c r="C871" s="451"/>
      <c r="D871" s="322"/>
      <c r="E871" s="322"/>
      <c r="F871" s="322"/>
      <c r="G871" s="322"/>
      <c r="H871" s="322"/>
      <c r="I871" s="322"/>
      <c r="J871" s="322"/>
      <c r="K871" s="322"/>
      <c r="L871" s="322"/>
      <c r="M871" s="322"/>
      <c r="N871" s="322"/>
      <c r="O871" s="322"/>
      <c r="P871" s="322"/>
      <c r="Q871" s="322"/>
      <c r="R871" s="322"/>
      <c r="S871" s="322"/>
      <c r="T871" s="322"/>
      <c r="U871" s="322"/>
      <c r="V871" s="322"/>
      <c r="W871" s="322"/>
      <c r="X871" s="322"/>
      <c r="Y871" s="322"/>
      <c r="Z871" s="322"/>
      <c r="AA871" s="322"/>
      <c r="AB871" s="322"/>
      <c r="AC871" s="322"/>
      <c r="AD871" s="322"/>
      <c r="AE871" s="322"/>
      <c r="AF871" s="322"/>
      <c r="AG871" s="322"/>
      <c r="AH871" s="322"/>
      <c r="AI871" s="322"/>
      <c r="AJ871" s="322"/>
      <c r="AK871" s="322"/>
    </row>
    <row r="872" spans="1:37" ht="18" customHeight="1">
      <c r="A872" s="322"/>
      <c r="B872" s="322"/>
      <c r="C872" s="451"/>
      <c r="D872" s="322"/>
      <c r="E872" s="322"/>
      <c r="F872" s="322"/>
      <c r="G872" s="322"/>
      <c r="H872" s="322"/>
      <c r="I872" s="322"/>
      <c r="J872" s="322"/>
      <c r="K872" s="322"/>
      <c r="L872" s="322"/>
      <c r="M872" s="322"/>
      <c r="N872" s="322"/>
      <c r="O872" s="322"/>
      <c r="P872" s="322"/>
      <c r="Q872" s="322"/>
      <c r="R872" s="322"/>
      <c r="S872" s="322"/>
      <c r="T872" s="322"/>
      <c r="U872" s="322"/>
      <c r="V872" s="322"/>
      <c r="W872" s="322"/>
      <c r="X872" s="322"/>
      <c r="Y872" s="322"/>
      <c r="Z872" s="322"/>
      <c r="AA872" s="322"/>
      <c r="AB872" s="322"/>
      <c r="AC872" s="322"/>
      <c r="AD872" s="322"/>
      <c r="AE872" s="322"/>
      <c r="AF872" s="322"/>
      <c r="AG872" s="322"/>
      <c r="AH872" s="322"/>
      <c r="AI872" s="322"/>
      <c r="AJ872" s="322"/>
      <c r="AK872" s="322"/>
    </row>
    <row r="873" spans="1:37" ht="18" customHeight="1">
      <c r="A873" s="322"/>
      <c r="B873" s="322"/>
      <c r="C873" s="451"/>
      <c r="D873" s="322"/>
      <c r="E873" s="322"/>
      <c r="F873" s="322"/>
      <c r="G873" s="322"/>
      <c r="H873" s="322"/>
      <c r="I873" s="322"/>
      <c r="J873" s="322"/>
      <c r="K873" s="322"/>
      <c r="L873" s="322"/>
      <c r="M873" s="322"/>
      <c r="N873" s="322"/>
      <c r="O873" s="322"/>
      <c r="P873" s="322"/>
      <c r="Q873" s="322"/>
      <c r="R873" s="322"/>
      <c r="S873" s="322"/>
      <c r="T873" s="322"/>
      <c r="U873" s="322"/>
      <c r="V873" s="322"/>
      <c r="W873" s="322"/>
      <c r="X873" s="322"/>
      <c r="Y873" s="322"/>
      <c r="Z873" s="322"/>
      <c r="AA873" s="322"/>
      <c r="AB873" s="322"/>
      <c r="AC873" s="322"/>
      <c r="AD873" s="322"/>
      <c r="AE873" s="322"/>
      <c r="AF873" s="322"/>
      <c r="AG873" s="322"/>
      <c r="AH873" s="322"/>
      <c r="AI873" s="322"/>
      <c r="AJ873" s="322"/>
      <c r="AK873" s="322"/>
    </row>
    <row r="874" spans="1:37" ht="18" customHeight="1">
      <c r="A874" s="322"/>
      <c r="B874" s="322"/>
      <c r="C874" s="451"/>
      <c r="D874" s="322"/>
      <c r="E874" s="322"/>
      <c r="F874" s="322"/>
      <c r="G874" s="322"/>
      <c r="H874" s="322"/>
      <c r="I874" s="322"/>
      <c r="J874" s="322"/>
      <c r="K874" s="322"/>
      <c r="L874" s="322"/>
      <c r="M874" s="322"/>
      <c r="N874" s="322"/>
      <c r="O874" s="322"/>
      <c r="P874" s="322"/>
      <c r="Q874" s="322"/>
      <c r="R874" s="322"/>
      <c r="S874" s="322"/>
      <c r="T874" s="322"/>
      <c r="U874" s="322"/>
      <c r="V874" s="322"/>
      <c r="W874" s="322"/>
      <c r="X874" s="322"/>
      <c r="Y874" s="322"/>
      <c r="Z874" s="322"/>
      <c r="AA874" s="322"/>
      <c r="AB874" s="322"/>
      <c r="AC874" s="322"/>
      <c r="AD874" s="322"/>
      <c r="AE874" s="322"/>
      <c r="AF874" s="322"/>
      <c r="AG874" s="322"/>
      <c r="AH874" s="322"/>
      <c r="AI874" s="322"/>
      <c r="AJ874" s="322"/>
      <c r="AK874" s="322"/>
    </row>
    <row r="875" spans="1:37" ht="18" customHeight="1">
      <c r="A875" s="322"/>
      <c r="B875" s="322"/>
      <c r="C875" s="451"/>
      <c r="D875" s="322"/>
      <c r="E875" s="322"/>
      <c r="F875" s="322"/>
      <c r="G875" s="322"/>
      <c r="H875" s="322"/>
      <c r="I875" s="322"/>
      <c r="J875" s="322"/>
      <c r="K875" s="322"/>
      <c r="L875" s="322"/>
      <c r="M875" s="322"/>
      <c r="N875" s="322"/>
      <c r="O875" s="322"/>
      <c r="P875" s="322"/>
      <c r="Q875" s="322"/>
      <c r="R875" s="322"/>
      <c r="S875" s="322"/>
      <c r="T875" s="322"/>
      <c r="U875" s="322"/>
      <c r="V875" s="322"/>
      <c r="W875" s="322"/>
      <c r="X875" s="322"/>
      <c r="Y875" s="322"/>
      <c r="Z875" s="322"/>
      <c r="AA875" s="322"/>
      <c r="AB875" s="322"/>
      <c r="AC875" s="322"/>
      <c r="AD875" s="322"/>
      <c r="AE875" s="322"/>
      <c r="AF875" s="322"/>
      <c r="AG875" s="322"/>
      <c r="AH875" s="322"/>
      <c r="AI875" s="322"/>
      <c r="AJ875" s="322"/>
      <c r="AK875" s="322"/>
    </row>
    <row r="876" spans="1:37" ht="18" customHeight="1">
      <c r="A876" s="322"/>
      <c r="B876" s="322"/>
      <c r="C876" s="451"/>
      <c r="D876" s="322"/>
      <c r="E876" s="322"/>
      <c r="F876" s="322"/>
      <c r="G876" s="322"/>
      <c r="H876" s="322"/>
      <c r="I876" s="322"/>
      <c r="J876" s="322"/>
      <c r="K876" s="322"/>
      <c r="L876" s="322"/>
      <c r="M876" s="322"/>
      <c r="N876" s="322"/>
      <c r="O876" s="322"/>
      <c r="P876" s="322"/>
      <c r="Q876" s="322"/>
      <c r="R876" s="322"/>
      <c r="S876" s="322"/>
      <c r="T876" s="322"/>
      <c r="U876" s="322"/>
      <c r="V876" s="322"/>
      <c r="W876" s="322"/>
      <c r="X876" s="322"/>
      <c r="Y876" s="322"/>
      <c r="Z876" s="322"/>
      <c r="AA876" s="322"/>
      <c r="AB876" s="322"/>
      <c r="AC876" s="322"/>
      <c r="AD876" s="322"/>
      <c r="AE876" s="322"/>
      <c r="AF876" s="322"/>
      <c r="AG876" s="322"/>
      <c r="AH876" s="322"/>
      <c r="AI876" s="322"/>
      <c r="AJ876" s="322"/>
      <c r="AK876" s="322"/>
    </row>
    <row r="877" spans="1:37" ht="18" customHeight="1">
      <c r="A877" s="322"/>
      <c r="B877" s="322"/>
      <c r="C877" s="451"/>
      <c r="D877" s="322"/>
      <c r="E877" s="322"/>
      <c r="F877" s="322"/>
      <c r="G877" s="322"/>
      <c r="H877" s="322"/>
      <c r="I877" s="322"/>
      <c r="J877" s="322"/>
      <c r="K877" s="322"/>
      <c r="L877" s="322"/>
      <c r="M877" s="322"/>
      <c r="N877" s="322"/>
      <c r="O877" s="322"/>
      <c r="P877" s="322"/>
      <c r="Q877" s="322"/>
      <c r="R877" s="322"/>
      <c r="S877" s="322"/>
      <c r="T877" s="322"/>
      <c r="U877" s="322"/>
      <c r="V877" s="322"/>
      <c r="W877" s="322"/>
      <c r="X877" s="322"/>
      <c r="Y877" s="322"/>
      <c r="Z877" s="322"/>
      <c r="AA877" s="322"/>
      <c r="AB877" s="322"/>
      <c r="AC877" s="322"/>
      <c r="AD877" s="322"/>
      <c r="AE877" s="322"/>
      <c r="AF877" s="322"/>
      <c r="AG877" s="322"/>
      <c r="AH877" s="322"/>
      <c r="AI877" s="322"/>
      <c r="AJ877" s="322"/>
      <c r="AK877" s="322"/>
    </row>
    <row r="878" spans="1:37" ht="18" customHeight="1">
      <c r="A878" s="322"/>
      <c r="B878" s="322"/>
      <c r="C878" s="451"/>
      <c r="D878" s="322"/>
      <c r="E878" s="322"/>
      <c r="F878" s="322"/>
      <c r="G878" s="322"/>
      <c r="H878" s="322"/>
      <c r="I878" s="322"/>
      <c r="J878" s="322"/>
      <c r="K878" s="322"/>
      <c r="L878" s="322"/>
      <c r="M878" s="322"/>
      <c r="N878" s="322"/>
      <c r="O878" s="322"/>
      <c r="P878" s="322"/>
      <c r="Q878" s="322"/>
      <c r="R878" s="322"/>
      <c r="S878" s="322"/>
      <c r="T878" s="322"/>
      <c r="U878" s="322"/>
      <c r="V878" s="322"/>
      <c r="W878" s="322"/>
      <c r="X878" s="322"/>
      <c r="Y878" s="322"/>
      <c r="Z878" s="322"/>
      <c r="AA878" s="322"/>
      <c r="AB878" s="322"/>
      <c r="AC878" s="322"/>
      <c r="AD878" s="322"/>
      <c r="AE878" s="322"/>
      <c r="AF878" s="322"/>
      <c r="AG878" s="322"/>
      <c r="AH878" s="322"/>
      <c r="AI878" s="322"/>
      <c r="AJ878" s="322"/>
      <c r="AK878" s="322"/>
    </row>
    <row r="879" spans="1:37" ht="18" customHeight="1">
      <c r="A879" s="322"/>
      <c r="B879" s="322"/>
      <c r="C879" s="451"/>
      <c r="D879" s="322"/>
      <c r="E879" s="322"/>
      <c r="F879" s="322"/>
      <c r="G879" s="322"/>
      <c r="H879" s="322"/>
      <c r="I879" s="322"/>
      <c r="J879" s="322"/>
      <c r="K879" s="322"/>
      <c r="L879" s="322"/>
      <c r="M879" s="322"/>
      <c r="N879" s="322"/>
      <c r="O879" s="322"/>
      <c r="P879" s="322"/>
      <c r="Q879" s="322"/>
      <c r="R879" s="322"/>
      <c r="S879" s="322"/>
      <c r="T879" s="322"/>
      <c r="U879" s="322"/>
      <c r="V879" s="322"/>
      <c r="W879" s="322"/>
      <c r="X879" s="322"/>
      <c r="Y879" s="322"/>
      <c r="Z879" s="322"/>
      <c r="AA879" s="322"/>
      <c r="AB879" s="322"/>
      <c r="AC879" s="322"/>
      <c r="AD879" s="322"/>
      <c r="AE879" s="322"/>
      <c r="AF879" s="322"/>
      <c r="AG879" s="322"/>
      <c r="AH879" s="322"/>
      <c r="AI879" s="322"/>
      <c r="AJ879" s="322"/>
      <c r="AK879" s="322"/>
    </row>
    <row r="880" spans="1:37" ht="18" customHeight="1">
      <c r="A880" s="322"/>
      <c r="B880" s="322"/>
      <c r="C880" s="451"/>
      <c r="D880" s="322"/>
      <c r="E880" s="322"/>
      <c r="F880" s="322"/>
      <c r="G880" s="322"/>
      <c r="H880" s="322"/>
      <c r="I880" s="322"/>
      <c r="J880" s="322"/>
      <c r="K880" s="322"/>
      <c r="L880" s="322"/>
      <c r="M880" s="322"/>
      <c r="N880" s="322"/>
      <c r="O880" s="322"/>
      <c r="P880" s="322"/>
      <c r="Q880" s="322"/>
      <c r="R880" s="322"/>
      <c r="S880" s="322"/>
      <c r="T880" s="322"/>
      <c r="U880" s="322"/>
      <c r="V880" s="322"/>
      <c r="W880" s="322"/>
      <c r="X880" s="322"/>
      <c r="Y880" s="322"/>
      <c r="Z880" s="322"/>
      <c r="AA880" s="322"/>
      <c r="AB880" s="322"/>
      <c r="AC880" s="322"/>
      <c r="AD880" s="322"/>
      <c r="AE880" s="322"/>
      <c r="AF880" s="322"/>
      <c r="AG880" s="322"/>
      <c r="AH880" s="322"/>
      <c r="AI880" s="322"/>
      <c r="AJ880" s="322"/>
      <c r="AK880" s="322"/>
    </row>
    <row r="881" spans="1:37" ht="18" customHeight="1">
      <c r="A881" s="322"/>
      <c r="B881" s="322"/>
      <c r="C881" s="451"/>
      <c r="D881" s="322"/>
      <c r="E881" s="322"/>
      <c r="F881" s="322"/>
      <c r="G881" s="322"/>
      <c r="H881" s="322"/>
      <c r="I881" s="322"/>
      <c r="J881" s="322"/>
      <c r="K881" s="322"/>
      <c r="L881" s="322"/>
      <c r="M881" s="322"/>
      <c r="N881" s="322"/>
      <c r="O881" s="322"/>
      <c r="P881" s="322"/>
      <c r="Q881" s="322"/>
      <c r="R881" s="322"/>
      <c r="S881" s="322"/>
      <c r="T881" s="322"/>
      <c r="U881" s="322"/>
      <c r="V881" s="322"/>
      <c r="W881" s="322"/>
      <c r="X881" s="322"/>
      <c r="Y881" s="322"/>
      <c r="Z881" s="322"/>
      <c r="AA881" s="322"/>
      <c r="AB881" s="322"/>
      <c r="AC881" s="322"/>
      <c r="AD881" s="322"/>
      <c r="AE881" s="322"/>
      <c r="AF881" s="322"/>
      <c r="AG881" s="322"/>
      <c r="AH881" s="322"/>
      <c r="AI881" s="322"/>
      <c r="AJ881" s="322"/>
      <c r="AK881" s="322"/>
    </row>
    <row r="882" spans="1:37" ht="18" customHeight="1">
      <c r="A882" s="322"/>
      <c r="B882" s="322"/>
      <c r="C882" s="451"/>
      <c r="D882" s="322"/>
      <c r="E882" s="322"/>
      <c r="F882" s="322"/>
      <c r="G882" s="322"/>
      <c r="H882" s="322"/>
      <c r="I882" s="322"/>
      <c r="J882" s="322"/>
      <c r="K882" s="322"/>
      <c r="L882" s="322"/>
      <c r="M882" s="322"/>
      <c r="N882" s="322"/>
      <c r="O882" s="322"/>
      <c r="P882" s="322"/>
      <c r="Q882" s="322"/>
      <c r="R882" s="322"/>
      <c r="S882" s="322"/>
      <c r="T882" s="322"/>
      <c r="U882" s="322"/>
      <c r="V882" s="322"/>
      <c r="W882" s="322"/>
      <c r="X882" s="322"/>
      <c r="Y882" s="322"/>
      <c r="Z882" s="322"/>
      <c r="AA882" s="322"/>
      <c r="AB882" s="322"/>
      <c r="AC882" s="322"/>
      <c r="AD882" s="322"/>
      <c r="AE882" s="322"/>
      <c r="AF882" s="322"/>
      <c r="AG882" s="322"/>
      <c r="AH882" s="322"/>
      <c r="AI882" s="322"/>
      <c r="AJ882" s="322"/>
      <c r="AK882" s="322"/>
    </row>
    <row r="883" spans="1:37" ht="18" customHeight="1">
      <c r="A883" s="322"/>
      <c r="B883" s="322"/>
      <c r="C883" s="451"/>
      <c r="D883" s="322"/>
      <c r="E883" s="322"/>
      <c r="F883" s="322"/>
      <c r="G883" s="322"/>
      <c r="H883" s="322"/>
      <c r="I883" s="322"/>
      <c r="J883" s="322"/>
      <c r="K883" s="322"/>
      <c r="L883" s="322"/>
      <c r="M883" s="322"/>
      <c r="N883" s="322"/>
      <c r="O883" s="322"/>
      <c r="P883" s="322"/>
      <c r="Q883" s="322"/>
      <c r="R883" s="322"/>
      <c r="S883" s="322"/>
      <c r="T883" s="322"/>
      <c r="U883" s="322"/>
      <c r="V883" s="322"/>
      <c r="W883" s="322"/>
      <c r="X883" s="322"/>
      <c r="Y883" s="322"/>
      <c r="Z883" s="322"/>
      <c r="AA883" s="322"/>
      <c r="AB883" s="322"/>
      <c r="AC883" s="322"/>
      <c r="AD883" s="322"/>
      <c r="AE883" s="322"/>
      <c r="AF883" s="322"/>
      <c r="AG883" s="322"/>
      <c r="AH883" s="322"/>
      <c r="AI883" s="322"/>
      <c r="AJ883" s="322"/>
      <c r="AK883" s="322"/>
    </row>
    <row r="884" spans="1:37" ht="18" customHeight="1">
      <c r="A884" s="322"/>
      <c r="B884" s="322"/>
      <c r="C884" s="451"/>
      <c r="D884" s="322"/>
      <c r="E884" s="322"/>
      <c r="F884" s="322"/>
      <c r="G884" s="322"/>
      <c r="H884" s="322"/>
      <c r="I884" s="322"/>
      <c r="J884" s="322"/>
      <c r="K884" s="322"/>
      <c r="L884" s="322"/>
      <c r="M884" s="322"/>
      <c r="N884" s="322"/>
      <c r="O884" s="322"/>
      <c r="P884" s="322"/>
      <c r="Q884" s="322"/>
      <c r="R884" s="322"/>
      <c r="S884" s="322"/>
      <c r="T884" s="322"/>
      <c r="U884" s="322"/>
      <c r="V884" s="322"/>
      <c r="W884" s="322"/>
      <c r="X884" s="322"/>
      <c r="Y884" s="322"/>
      <c r="Z884" s="322"/>
      <c r="AA884" s="322"/>
      <c r="AB884" s="322"/>
      <c r="AC884" s="322"/>
      <c r="AD884" s="322"/>
      <c r="AE884" s="322"/>
      <c r="AF884" s="322"/>
      <c r="AG884" s="322"/>
      <c r="AH884" s="322"/>
      <c r="AI884" s="322"/>
      <c r="AJ884" s="322"/>
      <c r="AK884" s="322"/>
    </row>
    <row r="885" spans="1:37" ht="18" customHeight="1">
      <c r="A885" s="322"/>
      <c r="B885" s="322"/>
      <c r="C885" s="451"/>
      <c r="D885" s="322"/>
      <c r="E885" s="322"/>
      <c r="F885" s="322"/>
      <c r="G885" s="322"/>
      <c r="H885" s="322"/>
      <c r="I885" s="322"/>
      <c r="J885" s="322"/>
      <c r="K885" s="322"/>
      <c r="L885" s="322"/>
      <c r="M885" s="322"/>
      <c r="N885" s="322"/>
      <c r="O885" s="322"/>
      <c r="P885" s="322"/>
      <c r="Q885" s="322"/>
      <c r="R885" s="322"/>
      <c r="S885" s="322"/>
      <c r="T885" s="322"/>
      <c r="U885" s="322"/>
      <c r="V885" s="322"/>
      <c r="W885" s="322"/>
      <c r="X885" s="322"/>
      <c r="Y885" s="322"/>
      <c r="Z885" s="322"/>
      <c r="AA885" s="322"/>
      <c r="AB885" s="322"/>
      <c r="AC885" s="322"/>
      <c r="AD885" s="322"/>
      <c r="AE885" s="322"/>
      <c r="AF885" s="322"/>
      <c r="AG885" s="322"/>
      <c r="AH885" s="322"/>
      <c r="AI885" s="322"/>
      <c r="AJ885" s="322"/>
      <c r="AK885" s="322"/>
    </row>
    <row r="886" spans="1:37" ht="18" customHeight="1">
      <c r="A886" s="322"/>
      <c r="B886" s="322"/>
      <c r="C886" s="451"/>
      <c r="D886" s="322"/>
      <c r="E886" s="322"/>
      <c r="F886" s="322"/>
      <c r="G886" s="322"/>
      <c r="H886" s="322"/>
      <c r="I886" s="322"/>
      <c r="J886" s="322"/>
      <c r="K886" s="322"/>
      <c r="L886" s="322"/>
      <c r="M886" s="322"/>
      <c r="N886" s="322"/>
      <c r="O886" s="322"/>
      <c r="P886" s="322"/>
      <c r="Q886" s="322"/>
      <c r="R886" s="322"/>
      <c r="S886" s="322"/>
      <c r="T886" s="322"/>
      <c r="U886" s="322"/>
      <c r="V886" s="322"/>
      <c r="W886" s="322"/>
      <c r="X886" s="322"/>
      <c r="Y886" s="322"/>
      <c r="Z886" s="322"/>
      <c r="AA886" s="322"/>
      <c r="AB886" s="322"/>
      <c r="AC886" s="322"/>
      <c r="AD886" s="322"/>
      <c r="AE886" s="322"/>
      <c r="AF886" s="322"/>
      <c r="AG886" s="322"/>
      <c r="AH886" s="322"/>
      <c r="AI886" s="322"/>
      <c r="AJ886" s="322"/>
      <c r="AK886" s="322"/>
    </row>
    <row r="887" spans="1:37" ht="18" customHeight="1">
      <c r="A887" s="322"/>
      <c r="B887" s="322"/>
      <c r="C887" s="451"/>
      <c r="D887" s="322"/>
      <c r="E887" s="322"/>
      <c r="F887" s="322"/>
      <c r="G887" s="322"/>
      <c r="H887" s="322"/>
      <c r="I887" s="322"/>
      <c r="J887" s="322"/>
      <c r="K887" s="322"/>
      <c r="L887" s="322"/>
      <c r="M887" s="322"/>
      <c r="N887" s="322"/>
      <c r="O887" s="322"/>
      <c r="P887" s="322"/>
      <c r="Q887" s="322"/>
      <c r="R887" s="322"/>
      <c r="S887" s="322"/>
      <c r="T887" s="322"/>
      <c r="U887" s="322"/>
      <c r="V887" s="322"/>
      <c r="W887" s="322"/>
      <c r="X887" s="322"/>
      <c r="Y887" s="322"/>
      <c r="Z887" s="322"/>
      <c r="AA887" s="322"/>
      <c r="AB887" s="322"/>
      <c r="AC887" s="322"/>
      <c r="AD887" s="322"/>
      <c r="AE887" s="322"/>
      <c r="AF887" s="322"/>
      <c r="AG887" s="322"/>
      <c r="AH887" s="322"/>
      <c r="AI887" s="322"/>
      <c r="AJ887" s="322"/>
      <c r="AK887" s="322"/>
    </row>
    <row r="888" spans="1:37" ht="18" customHeight="1">
      <c r="A888" s="322"/>
      <c r="B888" s="322"/>
      <c r="C888" s="451"/>
      <c r="D888" s="322"/>
      <c r="E888" s="322"/>
      <c r="F888" s="322"/>
      <c r="G888" s="322"/>
      <c r="H888" s="322"/>
      <c r="I888" s="322"/>
      <c r="J888" s="322"/>
      <c r="K888" s="322"/>
      <c r="L888" s="322"/>
      <c r="M888" s="322"/>
      <c r="N888" s="322"/>
      <c r="O888" s="322"/>
      <c r="P888" s="322"/>
      <c r="Q888" s="322"/>
      <c r="R888" s="322"/>
      <c r="S888" s="322"/>
      <c r="T888" s="322"/>
      <c r="U888" s="322"/>
      <c r="V888" s="322"/>
      <c r="W888" s="322"/>
      <c r="X888" s="322"/>
      <c r="Y888" s="322"/>
      <c r="Z888" s="322"/>
      <c r="AA888" s="322"/>
      <c r="AB888" s="322"/>
      <c r="AC888" s="322"/>
      <c r="AD888" s="322"/>
      <c r="AE888" s="322"/>
      <c r="AF888" s="322"/>
      <c r="AG888" s="322"/>
      <c r="AH888" s="322"/>
      <c r="AI888" s="322"/>
      <c r="AJ888" s="322"/>
      <c r="AK888" s="322"/>
    </row>
    <row r="889" spans="1:37" ht="18" customHeight="1">
      <c r="A889" s="322"/>
      <c r="B889" s="322"/>
      <c r="C889" s="451"/>
      <c r="D889" s="322"/>
      <c r="E889" s="322"/>
      <c r="F889" s="322"/>
      <c r="G889" s="322"/>
      <c r="H889" s="322"/>
      <c r="I889" s="322"/>
      <c r="J889" s="322"/>
      <c r="K889" s="322"/>
      <c r="L889" s="322"/>
      <c r="M889" s="322"/>
      <c r="N889" s="322"/>
      <c r="O889" s="322"/>
      <c r="P889" s="322"/>
      <c r="Q889" s="322"/>
      <c r="R889" s="322"/>
      <c r="S889" s="322"/>
      <c r="T889" s="322"/>
      <c r="U889" s="322"/>
      <c r="V889" s="322"/>
      <c r="W889" s="322"/>
      <c r="X889" s="322"/>
      <c r="Y889" s="322"/>
      <c r="Z889" s="322"/>
      <c r="AA889" s="322"/>
      <c r="AB889" s="322"/>
      <c r="AC889" s="322"/>
      <c r="AD889" s="322"/>
      <c r="AE889" s="322"/>
      <c r="AF889" s="322"/>
      <c r="AG889" s="322"/>
      <c r="AH889" s="322"/>
      <c r="AI889" s="322"/>
      <c r="AJ889" s="322"/>
      <c r="AK889" s="322"/>
    </row>
    <row r="890" spans="1:37" ht="18" customHeight="1">
      <c r="A890" s="322"/>
      <c r="B890" s="322"/>
      <c r="C890" s="451"/>
      <c r="D890" s="322"/>
      <c r="E890" s="322"/>
      <c r="F890" s="322"/>
      <c r="G890" s="322"/>
      <c r="H890" s="322"/>
      <c r="I890" s="322"/>
      <c r="J890" s="322"/>
      <c r="K890" s="322"/>
      <c r="L890" s="322"/>
      <c r="M890" s="322"/>
      <c r="N890" s="322"/>
      <c r="O890" s="322"/>
      <c r="P890" s="322"/>
      <c r="Q890" s="322"/>
      <c r="R890" s="322"/>
      <c r="S890" s="322"/>
      <c r="T890" s="322"/>
      <c r="U890" s="322"/>
      <c r="V890" s="322"/>
      <c r="W890" s="322"/>
      <c r="X890" s="322"/>
      <c r="Y890" s="322"/>
      <c r="Z890" s="322"/>
      <c r="AA890" s="322"/>
      <c r="AB890" s="322"/>
      <c r="AC890" s="322"/>
      <c r="AD890" s="322"/>
      <c r="AE890" s="322"/>
      <c r="AF890" s="322"/>
      <c r="AG890" s="322"/>
      <c r="AH890" s="322"/>
      <c r="AI890" s="322"/>
      <c r="AJ890" s="322"/>
      <c r="AK890" s="322"/>
    </row>
    <row r="891" spans="1:37" ht="18" customHeight="1">
      <c r="A891" s="322"/>
      <c r="B891" s="322"/>
      <c r="C891" s="451"/>
      <c r="D891" s="322"/>
      <c r="E891" s="322"/>
      <c r="F891" s="322"/>
      <c r="G891" s="322"/>
      <c r="H891" s="322"/>
      <c r="I891" s="322"/>
      <c r="J891" s="322"/>
      <c r="K891" s="322"/>
      <c r="L891" s="322"/>
      <c r="M891" s="322"/>
      <c r="N891" s="322"/>
      <c r="O891" s="322"/>
      <c r="P891" s="322"/>
      <c r="Q891" s="322"/>
      <c r="R891" s="322"/>
      <c r="S891" s="322"/>
      <c r="T891" s="322"/>
      <c r="U891" s="322"/>
      <c r="V891" s="322"/>
      <c r="W891" s="322"/>
      <c r="X891" s="322"/>
      <c r="Y891" s="322"/>
      <c r="Z891" s="322"/>
      <c r="AA891" s="322"/>
      <c r="AB891" s="322"/>
      <c r="AC891" s="322"/>
      <c r="AD891" s="322"/>
      <c r="AE891" s="322"/>
      <c r="AF891" s="322"/>
      <c r="AG891" s="322"/>
      <c r="AH891" s="322"/>
      <c r="AI891" s="322"/>
      <c r="AJ891" s="322"/>
      <c r="AK891" s="322"/>
    </row>
    <row r="892" spans="1:37" ht="18" customHeight="1">
      <c r="A892" s="322"/>
      <c r="B892" s="322"/>
      <c r="C892" s="451"/>
      <c r="D892" s="322"/>
      <c r="E892" s="322"/>
      <c r="F892" s="322"/>
      <c r="G892" s="322"/>
      <c r="H892" s="322"/>
      <c r="I892" s="322"/>
      <c r="J892" s="322"/>
      <c r="K892" s="322"/>
      <c r="L892" s="322"/>
      <c r="M892" s="322"/>
      <c r="N892" s="322"/>
      <c r="O892" s="322"/>
      <c r="P892" s="322"/>
      <c r="Q892" s="322"/>
      <c r="R892" s="322"/>
      <c r="S892" s="322"/>
      <c r="T892" s="322"/>
      <c r="U892" s="322"/>
      <c r="V892" s="322"/>
      <c r="W892" s="322"/>
      <c r="X892" s="322"/>
      <c r="Y892" s="322"/>
      <c r="Z892" s="322"/>
      <c r="AA892" s="322"/>
      <c r="AB892" s="322"/>
      <c r="AC892" s="322"/>
      <c r="AD892" s="322"/>
      <c r="AE892" s="322"/>
      <c r="AF892" s="322"/>
      <c r="AG892" s="322"/>
      <c r="AH892" s="322"/>
      <c r="AI892" s="322"/>
      <c r="AJ892" s="322"/>
      <c r="AK892" s="322"/>
    </row>
    <row r="893" spans="1:37" ht="18" customHeight="1">
      <c r="A893" s="322"/>
      <c r="B893" s="322"/>
      <c r="C893" s="451"/>
      <c r="D893" s="322"/>
      <c r="E893" s="322"/>
      <c r="F893" s="322"/>
      <c r="G893" s="322"/>
      <c r="H893" s="322"/>
      <c r="I893" s="322"/>
      <c r="J893" s="322"/>
      <c r="K893" s="322"/>
      <c r="L893" s="322"/>
      <c r="M893" s="322"/>
      <c r="N893" s="322"/>
      <c r="O893" s="322"/>
      <c r="P893" s="322"/>
      <c r="Q893" s="322"/>
      <c r="R893" s="322"/>
      <c r="S893" s="322"/>
      <c r="T893" s="322"/>
      <c r="U893" s="322"/>
      <c r="V893" s="322"/>
      <c r="W893" s="322"/>
      <c r="X893" s="322"/>
      <c r="Y893" s="322"/>
      <c r="Z893" s="322"/>
      <c r="AA893" s="322"/>
      <c r="AB893" s="322"/>
      <c r="AC893" s="322"/>
      <c r="AD893" s="322"/>
      <c r="AE893" s="322"/>
      <c r="AF893" s="322"/>
      <c r="AG893" s="322"/>
      <c r="AH893" s="322"/>
      <c r="AI893" s="322"/>
      <c r="AJ893" s="322"/>
      <c r="AK893" s="322"/>
    </row>
    <row r="894" spans="1:37" ht="18" customHeight="1">
      <c r="A894" s="322"/>
      <c r="B894" s="322"/>
      <c r="C894" s="451"/>
      <c r="D894" s="322"/>
      <c r="E894" s="322"/>
      <c r="F894" s="322"/>
      <c r="G894" s="322"/>
      <c r="H894" s="322"/>
      <c r="I894" s="322"/>
      <c r="J894" s="322"/>
      <c r="K894" s="322"/>
      <c r="L894" s="322"/>
      <c r="M894" s="322"/>
      <c r="N894" s="322"/>
      <c r="O894" s="322"/>
      <c r="P894" s="322"/>
      <c r="Q894" s="322"/>
      <c r="R894" s="322"/>
      <c r="S894" s="322"/>
      <c r="T894" s="322"/>
      <c r="U894" s="322"/>
      <c r="V894" s="322"/>
      <c r="W894" s="322"/>
      <c r="X894" s="322"/>
      <c r="Y894" s="322"/>
      <c r="Z894" s="322"/>
      <c r="AA894" s="322"/>
      <c r="AB894" s="322"/>
      <c r="AC894" s="322"/>
      <c r="AD894" s="322"/>
      <c r="AE894" s="322"/>
      <c r="AF894" s="322"/>
      <c r="AG894" s="322"/>
      <c r="AH894" s="322"/>
      <c r="AI894" s="322"/>
      <c r="AJ894" s="322"/>
      <c r="AK894" s="322"/>
    </row>
    <row r="895" spans="1:37" ht="18" customHeight="1">
      <c r="A895" s="322"/>
      <c r="B895" s="322"/>
      <c r="C895" s="451"/>
      <c r="D895" s="322"/>
      <c r="E895" s="322"/>
      <c r="F895" s="322"/>
      <c r="G895" s="322"/>
      <c r="H895" s="322"/>
      <c r="I895" s="322"/>
      <c r="J895" s="322"/>
      <c r="K895" s="322"/>
      <c r="L895" s="322"/>
      <c r="M895" s="322"/>
      <c r="N895" s="322"/>
      <c r="O895" s="322"/>
      <c r="P895" s="322"/>
      <c r="Q895" s="322"/>
      <c r="R895" s="322"/>
      <c r="S895" s="322"/>
      <c r="T895" s="322"/>
      <c r="U895" s="322"/>
      <c r="V895" s="322"/>
      <c r="W895" s="322"/>
      <c r="X895" s="322"/>
      <c r="Y895" s="322"/>
      <c r="Z895" s="322"/>
      <c r="AA895" s="322"/>
      <c r="AB895" s="322"/>
      <c r="AC895" s="322"/>
      <c r="AD895" s="322"/>
      <c r="AE895" s="322"/>
      <c r="AF895" s="322"/>
      <c r="AG895" s="322"/>
      <c r="AH895" s="322"/>
      <c r="AI895" s="322"/>
      <c r="AJ895" s="322"/>
      <c r="AK895" s="322"/>
    </row>
    <row r="896" spans="1:37" ht="18" customHeight="1">
      <c r="A896" s="322"/>
      <c r="B896" s="322"/>
      <c r="C896" s="451"/>
      <c r="D896" s="322"/>
      <c r="E896" s="322"/>
      <c r="F896" s="322"/>
      <c r="G896" s="322"/>
      <c r="H896" s="322"/>
      <c r="I896" s="322"/>
      <c r="J896" s="322"/>
      <c r="K896" s="322"/>
      <c r="L896" s="322"/>
      <c r="M896" s="322"/>
      <c r="N896" s="322"/>
      <c r="O896" s="322"/>
      <c r="P896" s="322"/>
      <c r="Q896" s="322"/>
      <c r="R896" s="322"/>
      <c r="S896" s="322"/>
      <c r="T896" s="322"/>
      <c r="U896" s="322"/>
      <c r="V896" s="322"/>
      <c r="W896" s="322"/>
      <c r="X896" s="322"/>
      <c r="Y896" s="322"/>
      <c r="Z896" s="322"/>
      <c r="AA896" s="322"/>
      <c r="AB896" s="322"/>
      <c r="AC896" s="322"/>
      <c r="AD896" s="322"/>
      <c r="AE896" s="322"/>
      <c r="AF896" s="322"/>
      <c r="AG896" s="322"/>
      <c r="AH896" s="322"/>
      <c r="AI896" s="322"/>
      <c r="AJ896" s="322"/>
      <c r="AK896" s="322"/>
    </row>
    <row r="897" spans="1:37" ht="18" customHeight="1">
      <c r="A897" s="322"/>
      <c r="B897" s="322"/>
      <c r="C897" s="451"/>
      <c r="D897" s="322"/>
      <c r="E897" s="322"/>
      <c r="F897" s="322"/>
      <c r="G897" s="322"/>
      <c r="H897" s="322"/>
      <c r="I897" s="322"/>
      <c r="J897" s="322"/>
      <c r="K897" s="322"/>
      <c r="L897" s="322"/>
      <c r="M897" s="322"/>
      <c r="N897" s="322"/>
      <c r="O897" s="322"/>
      <c r="P897" s="322"/>
      <c r="Q897" s="322"/>
      <c r="R897" s="322"/>
      <c r="S897" s="322"/>
      <c r="T897" s="322"/>
      <c r="U897" s="322"/>
      <c r="V897" s="322"/>
      <c r="W897" s="322"/>
      <c r="X897" s="322"/>
      <c r="Y897" s="322"/>
      <c r="Z897" s="322"/>
      <c r="AA897" s="322"/>
      <c r="AB897" s="322"/>
      <c r="AC897" s="322"/>
      <c r="AD897" s="322"/>
      <c r="AE897" s="322"/>
      <c r="AF897" s="322"/>
      <c r="AG897" s="322"/>
      <c r="AH897" s="322"/>
      <c r="AI897" s="322"/>
      <c r="AJ897" s="322"/>
      <c r="AK897" s="322"/>
    </row>
    <row r="898" spans="1:37" ht="18" customHeight="1">
      <c r="A898" s="322"/>
      <c r="B898" s="322"/>
      <c r="C898" s="451"/>
      <c r="D898" s="322"/>
      <c r="E898" s="322"/>
      <c r="F898" s="322"/>
      <c r="G898" s="322"/>
      <c r="H898" s="322"/>
      <c r="I898" s="322"/>
      <c r="J898" s="322"/>
      <c r="K898" s="322"/>
      <c r="L898" s="322"/>
      <c r="M898" s="322"/>
      <c r="N898" s="322"/>
      <c r="O898" s="322"/>
      <c r="P898" s="322"/>
      <c r="Q898" s="322"/>
      <c r="R898" s="322"/>
      <c r="S898" s="322"/>
      <c r="T898" s="322"/>
      <c r="U898" s="322"/>
      <c r="V898" s="322"/>
      <c r="W898" s="322"/>
      <c r="X898" s="322"/>
      <c r="Y898" s="322"/>
      <c r="Z898" s="322"/>
      <c r="AA898" s="322"/>
      <c r="AB898" s="322"/>
      <c r="AC898" s="322"/>
      <c r="AD898" s="322"/>
      <c r="AE898" s="322"/>
      <c r="AF898" s="322"/>
      <c r="AG898" s="322"/>
      <c r="AH898" s="322"/>
      <c r="AI898" s="322"/>
      <c r="AJ898" s="322"/>
      <c r="AK898" s="322"/>
    </row>
    <row r="899" spans="1:37" ht="18" customHeight="1">
      <c r="A899" s="322"/>
      <c r="B899" s="322"/>
      <c r="C899" s="451"/>
      <c r="D899" s="322"/>
      <c r="E899" s="322"/>
      <c r="F899" s="322"/>
      <c r="G899" s="322"/>
      <c r="H899" s="322"/>
      <c r="I899" s="322"/>
      <c r="J899" s="322"/>
      <c r="K899" s="322"/>
      <c r="L899" s="322"/>
      <c r="M899" s="322"/>
      <c r="N899" s="322"/>
      <c r="O899" s="322"/>
      <c r="P899" s="322"/>
      <c r="Q899" s="322"/>
      <c r="R899" s="322"/>
      <c r="S899" s="322"/>
      <c r="T899" s="322"/>
      <c r="U899" s="322"/>
      <c r="V899" s="322"/>
      <c r="W899" s="322"/>
      <c r="X899" s="322"/>
      <c r="Y899" s="322"/>
      <c r="Z899" s="322"/>
      <c r="AA899" s="322"/>
      <c r="AB899" s="322"/>
      <c r="AC899" s="322"/>
      <c r="AD899" s="322"/>
      <c r="AE899" s="322"/>
      <c r="AF899" s="322"/>
      <c r="AG899" s="322"/>
      <c r="AH899" s="322"/>
      <c r="AI899" s="322"/>
      <c r="AJ899" s="322"/>
      <c r="AK899" s="322"/>
    </row>
    <row r="900" spans="1:37" ht="18" customHeight="1">
      <c r="A900" s="322"/>
      <c r="B900" s="322"/>
      <c r="C900" s="451"/>
      <c r="D900" s="322"/>
      <c r="E900" s="322"/>
      <c r="F900" s="322"/>
      <c r="G900" s="322"/>
      <c r="H900" s="322"/>
      <c r="I900" s="322"/>
      <c r="J900" s="322"/>
      <c r="K900" s="322"/>
      <c r="L900" s="322"/>
      <c r="M900" s="322"/>
      <c r="N900" s="322"/>
      <c r="O900" s="322"/>
      <c r="P900" s="322"/>
      <c r="Q900" s="322"/>
      <c r="R900" s="322"/>
      <c r="S900" s="322"/>
      <c r="T900" s="322"/>
      <c r="U900" s="322"/>
      <c r="V900" s="322"/>
      <c r="W900" s="322"/>
      <c r="X900" s="322"/>
      <c r="Y900" s="322"/>
      <c r="Z900" s="322"/>
      <c r="AA900" s="322"/>
      <c r="AB900" s="322"/>
      <c r="AC900" s="322"/>
      <c r="AD900" s="322"/>
      <c r="AE900" s="322"/>
      <c r="AF900" s="322"/>
      <c r="AG900" s="322"/>
      <c r="AH900" s="322"/>
      <c r="AI900" s="322"/>
      <c r="AJ900" s="322"/>
      <c r="AK900" s="322"/>
    </row>
    <row r="901" spans="1:37" ht="18" customHeight="1">
      <c r="A901" s="322"/>
      <c r="B901" s="322"/>
      <c r="C901" s="451"/>
      <c r="D901" s="322"/>
      <c r="E901" s="322"/>
      <c r="F901" s="322"/>
      <c r="G901" s="322"/>
      <c r="H901" s="322"/>
      <c r="I901" s="322"/>
      <c r="J901" s="322"/>
      <c r="K901" s="322"/>
      <c r="L901" s="322"/>
      <c r="M901" s="322"/>
      <c r="N901" s="322"/>
      <c r="O901" s="322"/>
      <c r="P901" s="322"/>
      <c r="Q901" s="322"/>
      <c r="R901" s="322"/>
      <c r="S901" s="322"/>
      <c r="T901" s="322"/>
      <c r="U901" s="322"/>
      <c r="V901" s="322"/>
      <c r="W901" s="322"/>
      <c r="X901" s="322"/>
      <c r="Y901" s="322"/>
      <c r="Z901" s="322"/>
      <c r="AA901" s="322"/>
      <c r="AB901" s="322"/>
      <c r="AC901" s="322"/>
      <c r="AD901" s="322"/>
      <c r="AE901" s="322"/>
      <c r="AF901" s="322"/>
      <c r="AG901" s="322"/>
      <c r="AH901" s="322"/>
      <c r="AI901" s="322"/>
      <c r="AJ901" s="322"/>
      <c r="AK901" s="322"/>
    </row>
    <row r="902" spans="1:37" ht="18" customHeight="1">
      <c r="A902" s="322"/>
      <c r="B902" s="322"/>
      <c r="C902" s="451"/>
      <c r="D902" s="322"/>
      <c r="E902" s="322"/>
      <c r="F902" s="322"/>
      <c r="G902" s="322"/>
      <c r="H902" s="322"/>
      <c r="I902" s="322"/>
      <c r="J902" s="322"/>
      <c r="K902" s="322"/>
      <c r="L902" s="322"/>
      <c r="M902" s="322"/>
      <c r="N902" s="322"/>
      <c r="O902" s="322"/>
      <c r="P902" s="322"/>
      <c r="Q902" s="322"/>
      <c r="R902" s="322"/>
      <c r="S902" s="322"/>
      <c r="T902" s="322"/>
      <c r="U902" s="322"/>
      <c r="V902" s="322"/>
      <c r="W902" s="322"/>
      <c r="X902" s="322"/>
      <c r="Y902" s="322"/>
      <c r="Z902" s="322"/>
      <c r="AA902" s="322"/>
      <c r="AB902" s="322"/>
      <c r="AC902" s="322"/>
      <c r="AD902" s="322"/>
      <c r="AE902" s="322"/>
      <c r="AF902" s="322"/>
      <c r="AG902" s="322"/>
      <c r="AH902" s="322"/>
      <c r="AI902" s="322"/>
      <c r="AJ902" s="322"/>
      <c r="AK902" s="322"/>
    </row>
    <row r="903" spans="1:37" ht="18" customHeight="1">
      <c r="A903" s="322"/>
      <c r="B903" s="322"/>
      <c r="C903" s="451"/>
      <c r="D903" s="322"/>
      <c r="E903" s="322"/>
      <c r="F903" s="322"/>
      <c r="G903" s="322"/>
      <c r="H903" s="322"/>
      <c r="I903" s="322"/>
      <c r="J903" s="322"/>
      <c r="K903" s="322"/>
      <c r="L903" s="322"/>
      <c r="M903" s="322"/>
      <c r="N903" s="322"/>
      <c r="O903" s="322"/>
      <c r="P903" s="322"/>
      <c r="Q903" s="322"/>
      <c r="R903" s="322"/>
      <c r="S903" s="322"/>
      <c r="T903" s="322"/>
      <c r="U903" s="322"/>
      <c r="V903" s="322"/>
      <c r="W903" s="322"/>
      <c r="X903" s="322"/>
      <c r="Y903" s="322"/>
      <c r="Z903" s="322"/>
      <c r="AA903" s="322"/>
      <c r="AB903" s="322"/>
      <c r="AC903" s="322"/>
      <c r="AD903" s="322"/>
      <c r="AE903" s="322"/>
      <c r="AF903" s="322"/>
      <c r="AG903" s="322"/>
      <c r="AH903" s="322"/>
      <c r="AI903" s="322"/>
      <c r="AJ903" s="322"/>
      <c r="AK903" s="322"/>
    </row>
    <row r="904" spans="1:37" ht="18" customHeight="1">
      <c r="A904" s="322"/>
      <c r="B904" s="322"/>
      <c r="C904" s="451"/>
      <c r="D904" s="322"/>
      <c r="E904" s="322"/>
      <c r="F904" s="322"/>
      <c r="G904" s="322"/>
      <c r="H904" s="322"/>
      <c r="I904" s="322"/>
      <c r="J904" s="322"/>
      <c r="K904" s="322"/>
      <c r="L904" s="322"/>
      <c r="M904" s="322"/>
      <c r="N904" s="322"/>
      <c r="O904" s="322"/>
      <c r="P904" s="322"/>
      <c r="Q904" s="322"/>
      <c r="R904" s="322"/>
      <c r="S904" s="322"/>
      <c r="T904" s="322"/>
      <c r="U904" s="322"/>
      <c r="V904" s="322"/>
      <c r="W904" s="322"/>
      <c r="X904" s="322"/>
      <c r="Y904" s="322"/>
      <c r="Z904" s="322"/>
      <c r="AA904" s="322"/>
      <c r="AB904" s="322"/>
      <c r="AC904" s="322"/>
      <c r="AD904" s="322"/>
      <c r="AE904" s="322"/>
      <c r="AF904" s="322"/>
      <c r="AG904" s="322"/>
      <c r="AH904" s="322"/>
      <c r="AI904" s="322"/>
      <c r="AJ904" s="322"/>
      <c r="AK904" s="322"/>
    </row>
    <row r="905" spans="1:37" ht="18" customHeight="1">
      <c r="A905" s="322"/>
      <c r="B905" s="322"/>
      <c r="C905" s="451"/>
      <c r="D905" s="322"/>
      <c r="E905" s="322"/>
      <c r="F905" s="322"/>
      <c r="G905" s="322"/>
      <c r="H905" s="322"/>
      <c r="I905" s="322"/>
      <c r="J905" s="322"/>
      <c r="K905" s="322"/>
      <c r="L905" s="322"/>
      <c r="M905" s="322"/>
      <c r="N905" s="322"/>
      <c r="O905" s="322"/>
      <c r="P905" s="322"/>
      <c r="Q905" s="322"/>
      <c r="R905" s="322"/>
      <c r="S905" s="322"/>
      <c r="T905" s="322"/>
      <c r="U905" s="322"/>
      <c r="V905" s="322"/>
      <c r="W905" s="322"/>
      <c r="X905" s="322"/>
      <c r="Y905" s="322"/>
      <c r="Z905" s="322"/>
      <c r="AA905" s="322"/>
      <c r="AB905" s="322"/>
      <c r="AC905" s="322"/>
      <c r="AD905" s="322"/>
      <c r="AE905" s="322"/>
      <c r="AF905" s="322"/>
      <c r="AG905" s="322"/>
      <c r="AH905" s="322"/>
      <c r="AI905" s="322"/>
      <c r="AJ905" s="322"/>
      <c r="AK905" s="322"/>
    </row>
    <row r="906" spans="1:37" ht="18" customHeight="1">
      <c r="A906" s="322"/>
      <c r="B906" s="322"/>
      <c r="C906" s="451"/>
      <c r="D906" s="322"/>
      <c r="E906" s="322"/>
      <c r="F906" s="322"/>
      <c r="G906" s="322"/>
      <c r="H906" s="322"/>
      <c r="I906" s="322"/>
      <c r="J906" s="322"/>
      <c r="K906" s="322"/>
      <c r="L906" s="322"/>
      <c r="M906" s="322"/>
      <c r="N906" s="322"/>
      <c r="O906" s="322"/>
      <c r="P906" s="322"/>
      <c r="Q906" s="322"/>
      <c r="R906" s="322"/>
      <c r="S906" s="322"/>
      <c r="T906" s="322"/>
      <c r="U906" s="322"/>
      <c r="V906" s="322"/>
      <c r="W906" s="322"/>
      <c r="X906" s="322"/>
      <c r="Y906" s="322"/>
      <c r="Z906" s="322"/>
      <c r="AA906" s="322"/>
      <c r="AB906" s="322"/>
      <c r="AC906" s="322"/>
      <c r="AD906" s="322"/>
      <c r="AE906" s="322"/>
      <c r="AF906" s="322"/>
      <c r="AG906" s="322"/>
      <c r="AH906" s="322"/>
      <c r="AI906" s="322"/>
      <c r="AJ906" s="322"/>
      <c r="AK906" s="322"/>
    </row>
    <row r="907" spans="1:37" ht="18" customHeight="1">
      <c r="A907" s="322"/>
      <c r="B907" s="322"/>
      <c r="C907" s="451"/>
      <c r="D907" s="322"/>
      <c r="E907" s="322"/>
      <c r="F907" s="322"/>
      <c r="G907" s="322"/>
      <c r="H907" s="322"/>
      <c r="I907" s="322"/>
      <c r="J907" s="322"/>
      <c r="K907" s="322"/>
      <c r="L907" s="322"/>
      <c r="M907" s="322"/>
      <c r="N907" s="322"/>
      <c r="O907" s="322"/>
      <c r="P907" s="322"/>
      <c r="Q907" s="322"/>
      <c r="R907" s="322"/>
      <c r="S907" s="322"/>
      <c r="T907" s="322"/>
      <c r="U907" s="322"/>
      <c r="V907" s="322"/>
      <c r="W907" s="322"/>
      <c r="X907" s="322"/>
      <c r="Y907" s="322"/>
      <c r="Z907" s="322"/>
      <c r="AA907" s="322"/>
      <c r="AB907" s="322"/>
      <c r="AC907" s="322"/>
      <c r="AD907" s="322"/>
      <c r="AE907" s="322"/>
      <c r="AF907" s="322"/>
      <c r="AG907" s="322"/>
      <c r="AH907" s="322"/>
      <c r="AI907" s="322"/>
      <c r="AJ907" s="322"/>
      <c r="AK907" s="322"/>
    </row>
    <row r="908" spans="1:37" ht="18" customHeight="1">
      <c r="A908" s="322"/>
      <c r="B908" s="322"/>
      <c r="C908" s="451"/>
      <c r="D908" s="322"/>
      <c r="E908" s="322"/>
      <c r="F908" s="322"/>
      <c r="G908" s="322"/>
      <c r="H908" s="322"/>
      <c r="I908" s="322"/>
      <c r="J908" s="322"/>
      <c r="K908" s="322"/>
      <c r="L908" s="322"/>
      <c r="M908" s="322"/>
      <c r="N908" s="322"/>
      <c r="O908" s="322"/>
      <c r="P908" s="322"/>
      <c r="Q908" s="322"/>
      <c r="R908" s="322"/>
      <c r="S908" s="322"/>
      <c r="T908" s="322"/>
      <c r="U908" s="322"/>
      <c r="V908" s="322"/>
      <c r="W908" s="322"/>
      <c r="X908" s="322"/>
      <c r="Y908" s="322"/>
      <c r="Z908" s="322"/>
      <c r="AA908" s="322"/>
      <c r="AB908" s="322"/>
      <c r="AC908" s="322"/>
      <c r="AD908" s="322"/>
      <c r="AE908" s="322"/>
      <c r="AF908" s="322"/>
      <c r="AG908" s="322"/>
      <c r="AH908" s="322"/>
      <c r="AI908" s="322"/>
      <c r="AJ908" s="322"/>
      <c r="AK908" s="322"/>
    </row>
    <row r="909" spans="1:37" ht="18" customHeight="1">
      <c r="A909" s="322"/>
      <c r="B909" s="322"/>
      <c r="C909" s="451"/>
      <c r="D909" s="322"/>
      <c r="E909" s="322"/>
      <c r="F909" s="322"/>
      <c r="G909" s="322"/>
      <c r="H909" s="322"/>
      <c r="I909" s="322"/>
      <c r="J909" s="322"/>
      <c r="K909" s="322"/>
      <c r="L909" s="322"/>
      <c r="M909" s="322"/>
      <c r="N909" s="322"/>
      <c r="O909" s="322"/>
      <c r="P909" s="322"/>
      <c r="Q909" s="322"/>
      <c r="R909" s="322"/>
      <c r="S909" s="322"/>
      <c r="T909" s="322"/>
      <c r="U909" s="322"/>
      <c r="V909" s="322"/>
      <c r="W909" s="322"/>
      <c r="X909" s="322"/>
      <c r="Y909" s="322"/>
      <c r="Z909" s="322"/>
      <c r="AA909" s="322"/>
      <c r="AB909" s="322"/>
      <c r="AC909" s="322"/>
      <c r="AD909" s="322"/>
      <c r="AE909" s="322"/>
      <c r="AF909" s="322"/>
      <c r="AG909" s="322"/>
      <c r="AH909" s="322"/>
      <c r="AI909" s="322"/>
      <c r="AJ909" s="322"/>
      <c r="AK909" s="322"/>
    </row>
    <row r="910" spans="1:37" ht="18" customHeight="1">
      <c r="A910" s="322"/>
      <c r="B910" s="322"/>
      <c r="C910" s="451"/>
      <c r="D910" s="322"/>
      <c r="E910" s="322"/>
      <c r="F910" s="322"/>
      <c r="G910" s="322"/>
      <c r="H910" s="322"/>
      <c r="I910" s="322"/>
      <c r="J910" s="322"/>
      <c r="K910" s="322"/>
      <c r="L910" s="322"/>
      <c r="M910" s="322"/>
      <c r="N910" s="322"/>
      <c r="O910" s="322"/>
      <c r="P910" s="322"/>
      <c r="Q910" s="322"/>
      <c r="R910" s="322"/>
      <c r="S910" s="322"/>
      <c r="T910" s="322"/>
      <c r="U910" s="322"/>
      <c r="V910" s="322"/>
      <c r="W910" s="322"/>
      <c r="X910" s="322"/>
      <c r="Y910" s="322"/>
      <c r="Z910" s="322"/>
      <c r="AA910" s="322"/>
      <c r="AB910" s="322"/>
      <c r="AC910" s="322"/>
      <c r="AD910" s="322"/>
      <c r="AE910" s="322"/>
      <c r="AF910" s="322"/>
      <c r="AG910" s="322"/>
      <c r="AH910" s="322"/>
      <c r="AI910" s="322"/>
      <c r="AJ910" s="322"/>
      <c r="AK910" s="322"/>
    </row>
    <row r="911" spans="1:37" ht="18" customHeight="1">
      <c r="A911" s="322"/>
      <c r="B911" s="322"/>
      <c r="C911" s="451"/>
      <c r="D911" s="322"/>
      <c r="E911" s="322"/>
      <c r="F911" s="322"/>
      <c r="G911" s="322"/>
      <c r="H911" s="322"/>
      <c r="I911" s="322"/>
      <c r="J911" s="322"/>
      <c r="K911" s="322"/>
      <c r="L911" s="322"/>
      <c r="M911" s="322"/>
      <c r="N911" s="322"/>
      <c r="O911" s="322"/>
      <c r="P911" s="322"/>
      <c r="Q911" s="322"/>
      <c r="R911" s="322"/>
      <c r="S911" s="322"/>
      <c r="T911" s="322"/>
      <c r="U911" s="322"/>
      <c r="V911" s="322"/>
      <c r="W911" s="322"/>
      <c r="X911" s="322"/>
      <c r="Y911" s="322"/>
      <c r="Z911" s="322"/>
      <c r="AA911" s="322"/>
      <c r="AB911" s="322"/>
      <c r="AC911" s="322"/>
      <c r="AD911" s="322"/>
      <c r="AE911" s="322"/>
      <c r="AF911" s="322"/>
      <c r="AG911" s="322"/>
      <c r="AH911" s="322"/>
      <c r="AI911" s="322"/>
      <c r="AJ911" s="322"/>
      <c r="AK911" s="322"/>
    </row>
    <row r="912" spans="1:37" ht="18" customHeight="1">
      <c r="A912" s="322"/>
      <c r="B912" s="322"/>
      <c r="C912" s="451"/>
      <c r="D912" s="322"/>
      <c r="E912" s="322"/>
      <c r="F912" s="322"/>
      <c r="G912" s="322"/>
      <c r="H912" s="322"/>
      <c r="I912" s="322"/>
      <c r="J912" s="322"/>
      <c r="K912" s="322"/>
      <c r="L912" s="322"/>
      <c r="M912" s="322"/>
      <c r="N912" s="322"/>
      <c r="O912" s="322"/>
      <c r="P912" s="322"/>
      <c r="Q912" s="322"/>
      <c r="R912" s="322"/>
      <c r="S912" s="322"/>
      <c r="T912" s="322"/>
      <c r="U912" s="322"/>
      <c r="V912" s="322"/>
      <c r="W912" s="322"/>
      <c r="X912" s="322"/>
      <c r="Y912" s="322"/>
      <c r="Z912" s="322"/>
      <c r="AA912" s="322"/>
      <c r="AB912" s="322"/>
      <c r="AC912" s="322"/>
      <c r="AD912" s="322"/>
      <c r="AE912" s="322"/>
      <c r="AF912" s="322"/>
      <c r="AG912" s="322"/>
      <c r="AH912" s="322"/>
      <c r="AI912" s="322"/>
      <c r="AJ912" s="322"/>
      <c r="AK912" s="322"/>
    </row>
    <row r="913" spans="1:37" ht="18" customHeight="1">
      <c r="A913" s="322"/>
      <c r="B913" s="322"/>
      <c r="C913" s="451"/>
      <c r="D913" s="322"/>
      <c r="E913" s="322"/>
      <c r="F913" s="322"/>
      <c r="G913" s="322"/>
      <c r="H913" s="322"/>
      <c r="I913" s="322"/>
      <c r="J913" s="322"/>
      <c r="K913" s="322"/>
      <c r="L913" s="322"/>
      <c r="M913" s="322"/>
      <c r="N913" s="322"/>
      <c r="O913" s="322"/>
      <c r="P913" s="322"/>
      <c r="Q913" s="322"/>
      <c r="R913" s="322"/>
      <c r="S913" s="322"/>
      <c r="T913" s="322"/>
      <c r="U913" s="322"/>
      <c r="V913" s="322"/>
      <c r="W913" s="322"/>
      <c r="X913" s="322"/>
      <c r="Y913" s="322"/>
      <c r="Z913" s="322"/>
      <c r="AA913" s="322"/>
      <c r="AB913" s="322"/>
      <c r="AC913" s="322"/>
      <c r="AD913" s="322"/>
      <c r="AE913" s="322"/>
      <c r="AF913" s="322"/>
      <c r="AG913" s="322"/>
      <c r="AH913" s="322"/>
      <c r="AI913" s="322"/>
      <c r="AJ913" s="322"/>
      <c r="AK913" s="322"/>
    </row>
    <row r="914" spans="1:37" ht="18" customHeight="1">
      <c r="A914" s="322"/>
      <c r="B914" s="322"/>
      <c r="C914" s="451"/>
      <c r="D914" s="322"/>
      <c r="E914" s="322"/>
      <c r="F914" s="322"/>
      <c r="G914" s="322"/>
      <c r="H914" s="322"/>
      <c r="I914" s="322"/>
      <c r="J914" s="322"/>
      <c r="K914" s="322"/>
      <c r="L914" s="322"/>
      <c r="M914" s="322"/>
      <c r="N914" s="322"/>
      <c r="O914" s="322"/>
      <c r="P914" s="322"/>
      <c r="Q914" s="322"/>
      <c r="R914" s="322"/>
      <c r="S914" s="322"/>
      <c r="T914" s="322"/>
      <c r="U914" s="322"/>
      <c r="V914" s="322"/>
      <c r="W914" s="322"/>
      <c r="X914" s="322"/>
      <c r="Y914" s="322"/>
      <c r="Z914" s="322"/>
      <c r="AA914" s="322"/>
      <c r="AB914" s="322"/>
      <c r="AC914" s="322"/>
      <c r="AD914" s="322"/>
      <c r="AE914" s="322"/>
      <c r="AF914" s="322"/>
      <c r="AG914" s="322"/>
      <c r="AH914" s="322"/>
      <c r="AI914" s="322"/>
      <c r="AJ914" s="322"/>
      <c r="AK914" s="322"/>
    </row>
    <row r="915" spans="1:37" ht="18" customHeight="1">
      <c r="A915" s="322"/>
      <c r="B915" s="322"/>
      <c r="C915" s="451"/>
      <c r="D915" s="322"/>
      <c r="E915" s="322"/>
      <c r="F915" s="322"/>
      <c r="G915" s="322"/>
      <c r="H915" s="322"/>
      <c r="I915" s="322"/>
      <c r="J915" s="322"/>
      <c r="K915" s="322"/>
      <c r="L915" s="322"/>
      <c r="M915" s="322"/>
      <c r="N915" s="322"/>
      <c r="O915" s="322"/>
      <c r="P915" s="322"/>
      <c r="Q915" s="322"/>
      <c r="R915" s="322"/>
      <c r="S915" s="322"/>
      <c r="T915" s="322"/>
      <c r="U915" s="322"/>
      <c r="V915" s="322"/>
      <c r="W915" s="322"/>
      <c r="X915" s="322"/>
      <c r="Y915" s="322"/>
      <c r="Z915" s="322"/>
      <c r="AA915" s="322"/>
      <c r="AB915" s="322"/>
      <c r="AC915" s="322"/>
      <c r="AD915" s="322"/>
      <c r="AE915" s="322"/>
      <c r="AF915" s="322"/>
      <c r="AG915" s="322"/>
      <c r="AH915" s="322"/>
      <c r="AI915" s="322"/>
      <c r="AJ915" s="322"/>
      <c r="AK915" s="322"/>
    </row>
    <row r="916" spans="1:37" ht="18" customHeight="1">
      <c r="A916" s="322"/>
      <c r="B916" s="322"/>
      <c r="C916" s="451"/>
      <c r="D916" s="322"/>
      <c r="E916" s="322"/>
      <c r="F916" s="322"/>
      <c r="G916" s="322"/>
      <c r="H916" s="322"/>
      <c r="I916" s="322"/>
      <c r="J916" s="322"/>
      <c r="K916" s="322"/>
      <c r="L916" s="322"/>
      <c r="M916" s="322"/>
      <c r="N916" s="322"/>
      <c r="O916" s="322"/>
      <c r="P916" s="322"/>
      <c r="Q916" s="322"/>
      <c r="R916" s="322"/>
      <c r="S916" s="322"/>
      <c r="T916" s="322"/>
      <c r="U916" s="322"/>
      <c r="V916" s="322"/>
      <c r="W916" s="322"/>
      <c r="X916" s="322"/>
      <c r="Y916" s="322"/>
      <c r="Z916" s="322"/>
      <c r="AA916" s="322"/>
      <c r="AB916" s="322"/>
      <c r="AC916" s="322"/>
      <c r="AD916" s="322"/>
      <c r="AE916" s="322"/>
      <c r="AF916" s="322"/>
      <c r="AG916" s="322"/>
      <c r="AH916" s="322"/>
      <c r="AI916" s="322"/>
      <c r="AJ916" s="322"/>
      <c r="AK916" s="322"/>
    </row>
    <row r="917" spans="1:37" ht="18" customHeight="1">
      <c r="A917" s="322"/>
      <c r="B917" s="322"/>
      <c r="C917" s="451"/>
      <c r="D917" s="322"/>
      <c r="E917" s="322"/>
      <c r="F917" s="322"/>
      <c r="G917" s="322"/>
      <c r="H917" s="322"/>
      <c r="I917" s="322"/>
      <c r="J917" s="322"/>
      <c r="K917" s="322"/>
      <c r="L917" s="322"/>
      <c r="M917" s="322"/>
      <c r="N917" s="322"/>
      <c r="O917" s="322"/>
      <c r="P917" s="322"/>
      <c r="Q917" s="322"/>
      <c r="R917" s="322"/>
      <c r="S917" s="322"/>
      <c r="T917" s="322"/>
      <c r="U917" s="322"/>
      <c r="V917" s="322"/>
      <c r="W917" s="322"/>
      <c r="X917" s="322"/>
      <c r="Y917" s="322"/>
      <c r="Z917" s="322"/>
      <c r="AA917" s="322"/>
      <c r="AB917" s="322"/>
      <c r="AC917" s="322"/>
      <c r="AD917" s="322"/>
      <c r="AE917" s="322"/>
      <c r="AF917" s="322"/>
      <c r="AG917" s="322"/>
      <c r="AH917" s="322"/>
      <c r="AI917" s="322"/>
      <c r="AJ917" s="322"/>
      <c r="AK917" s="322"/>
    </row>
    <row r="918" spans="1:37" ht="18" customHeight="1">
      <c r="A918" s="322"/>
      <c r="B918" s="322"/>
      <c r="C918" s="451"/>
      <c r="D918" s="322"/>
      <c r="E918" s="322"/>
      <c r="F918" s="322"/>
      <c r="G918" s="322"/>
      <c r="H918" s="322"/>
      <c r="I918" s="322"/>
      <c r="J918" s="322"/>
      <c r="K918" s="322"/>
      <c r="L918" s="322"/>
      <c r="M918" s="322"/>
      <c r="N918" s="322"/>
      <c r="O918" s="322"/>
      <c r="P918" s="322"/>
      <c r="Q918" s="322"/>
      <c r="R918" s="322"/>
      <c r="S918" s="322"/>
      <c r="T918" s="322"/>
      <c r="U918" s="322"/>
      <c r="V918" s="322"/>
      <c r="W918" s="322"/>
      <c r="X918" s="322"/>
      <c r="Y918" s="322"/>
      <c r="Z918" s="322"/>
      <c r="AA918" s="322"/>
      <c r="AB918" s="322"/>
      <c r="AC918" s="322"/>
      <c r="AD918" s="322"/>
      <c r="AE918" s="322"/>
      <c r="AF918" s="322"/>
      <c r="AG918" s="322"/>
      <c r="AH918" s="322"/>
      <c r="AI918" s="322"/>
      <c r="AJ918" s="322"/>
      <c r="AK918" s="322"/>
    </row>
    <row r="919" spans="1:37" ht="18" customHeight="1">
      <c r="A919" s="322"/>
      <c r="B919" s="322"/>
      <c r="C919" s="451"/>
      <c r="D919" s="322"/>
      <c r="E919" s="322"/>
      <c r="F919" s="322"/>
      <c r="G919" s="322"/>
      <c r="H919" s="322"/>
      <c r="I919" s="322"/>
      <c r="J919" s="322"/>
      <c r="K919" s="322"/>
      <c r="L919" s="322"/>
      <c r="M919" s="322"/>
      <c r="N919" s="322"/>
      <c r="O919" s="322"/>
      <c r="P919" s="322"/>
      <c r="Q919" s="322"/>
      <c r="R919" s="322"/>
      <c r="S919" s="322"/>
      <c r="T919" s="322"/>
      <c r="U919" s="322"/>
      <c r="V919" s="322"/>
      <c r="W919" s="322"/>
      <c r="X919" s="322"/>
      <c r="Y919" s="322"/>
      <c r="Z919" s="322"/>
      <c r="AA919" s="322"/>
      <c r="AB919" s="322"/>
      <c r="AC919" s="322"/>
      <c r="AD919" s="322"/>
      <c r="AE919" s="322"/>
      <c r="AF919" s="322"/>
      <c r="AG919" s="322"/>
      <c r="AH919" s="322"/>
      <c r="AI919" s="322"/>
      <c r="AJ919" s="322"/>
      <c r="AK919" s="322"/>
    </row>
    <row r="920" spans="1:37" ht="18" customHeight="1">
      <c r="A920" s="322"/>
      <c r="B920" s="322"/>
      <c r="C920" s="451"/>
      <c r="D920" s="322"/>
      <c r="E920" s="322"/>
      <c r="F920" s="322"/>
      <c r="G920" s="322"/>
      <c r="H920" s="322"/>
      <c r="I920" s="322"/>
      <c r="J920" s="322"/>
      <c r="K920" s="322"/>
      <c r="L920" s="322"/>
      <c r="M920" s="322"/>
      <c r="N920" s="322"/>
      <c r="O920" s="322"/>
      <c r="P920" s="322"/>
      <c r="Q920" s="322"/>
      <c r="R920" s="322"/>
      <c r="S920" s="322"/>
      <c r="T920" s="322"/>
      <c r="U920" s="322"/>
      <c r="V920" s="322"/>
      <c r="W920" s="322"/>
      <c r="X920" s="322"/>
      <c r="Y920" s="322"/>
      <c r="Z920" s="322"/>
      <c r="AA920" s="322"/>
      <c r="AB920" s="322"/>
      <c r="AC920" s="322"/>
      <c r="AD920" s="322"/>
      <c r="AE920" s="322"/>
      <c r="AF920" s="322"/>
      <c r="AG920" s="322"/>
      <c r="AH920" s="322"/>
      <c r="AI920" s="322"/>
      <c r="AJ920" s="322"/>
      <c r="AK920" s="322"/>
    </row>
    <row r="921" spans="1:37" ht="18" customHeight="1">
      <c r="A921" s="322"/>
      <c r="B921" s="322"/>
      <c r="C921" s="451"/>
      <c r="D921" s="322"/>
      <c r="E921" s="322"/>
      <c r="F921" s="322"/>
      <c r="G921" s="322"/>
      <c r="H921" s="322"/>
      <c r="I921" s="322"/>
      <c r="J921" s="322"/>
      <c r="K921" s="322"/>
      <c r="L921" s="322"/>
      <c r="M921" s="322"/>
      <c r="N921" s="322"/>
      <c r="O921" s="322"/>
      <c r="P921" s="322"/>
      <c r="Q921" s="322"/>
      <c r="R921" s="322"/>
      <c r="S921" s="322"/>
      <c r="T921" s="322"/>
      <c r="U921" s="322"/>
      <c r="V921" s="322"/>
      <c r="W921" s="322"/>
      <c r="X921" s="322"/>
      <c r="Y921" s="322"/>
      <c r="Z921" s="322"/>
      <c r="AA921" s="322"/>
      <c r="AB921" s="322"/>
      <c r="AC921" s="322"/>
      <c r="AD921" s="322"/>
      <c r="AE921" s="322"/>
      <c r="AF921" s="322"/>
      <c r="AG921" s="322"/>
      <c r="AH921" s="322"/>
      <c r="AI921" s="322"/>
      <c r="AJ921" s="322"/>
      <c r="AK921" s="322"/>
    </row>
    <row r="922" spans="1:37" ht="18" customHeight="1">
      <c r="A922" s="322"/>
      <c r="B922" s="322"/>
      <c r="C922" s="451"/>
      <c r="D922" s="322"/>
      <c r="E922" s="322"/>
      <c r="F922" s="322"/>
      <c r="G922" s="322"/>
      <c r="H922" s="322"/>
      <c r="I922" s="322"/>
      <c r="J922" s="322"/>
      <c r="K922" s="322"/>
      <c r="L922" s="322"/>
      <c r="M922" s="322"/>
      <c r="N922" s="322"/>
      <c r="O922" s="322"/>
      <c r="P922" s="322"/>
      <c r="Q922" s="322"/>
      <c r="R922" s="322"/>
      <c r="S922" s="322"/>
      <c r="T922" s="322"/>
      <c r="U922" s="322"/>
      <c r="V922" s="322"/>
      <c r="W922" s="322"/>
      <c r="X922" s="322"/>
      <c r="Y922" s="322"/>
      <c r="Z922" s="322"/>
      <c r="AA922" s="322"/>
      <c r="AB922" s="322"/>
      <c r="AC922" s="322"/>
      <c r="AD922" s="322"/>
      <c r="AE922" s="322"/>
      <c r="AF922" s="322"/>
      <c r="AG922" s="322"/>
      <c r="AH922" s="322"/>
      <c r="AI922" s="322"/>
      <c r="AJ922" s="322"/>
      <c r="AK922" s="322"/>
    </row>
    <row r="923" spans="1:37" ht="18" customHeight="1">
      <c r="A923" s="322"/>
      <c r="B923" s="322"/>
      <c r="C923" s="451"/>
      <c r="D923" s="322"/>
      <c r="E923" s="322"/>
      <c r="F923" s="322"/>
      <c r="G923" s="322"/>
      <c r="H923" s="322"/>
      <c r="I923" s="322"/>
      <c r="J923" s="322"/>
      <c r="K923" s="322"/>
      <c r="L923" s="322"/>
      <c r="M923" s="322"/>
      <c r="N923" s="322"/>
      <c r="O923" s="322"/>
      <c r="P923" s="322"/>
      <c r="Q923" s="322"/>
      <c r="R923" s="322"/>
      <c r="S923" s="322"/>
      <c r="T923" s="322"/>
      <c r="U923" s="322"/>
      <c r="V923" s="322"/>
      <c r="W923" s="322"/>
      <c r="X923" s="322"/>
      <c r="Y923" s="322"/>
      <c r="Z923" s="322"/>
      <c r="AA923" s="322"/>
      <c r="AB923" s="322"/>
      <c r="AC923" s="322"/>
      <c r="AD923" s="322"/>
      <c r="AE923" s="322"/>
      <c r="AF923" s="322"/>
      <c r="AG923" s="322"/>
      <c r="AH923" s="322"/>
      <c r="AI923" s="322"/>
      <c r="AJ923" s="322"/>
      <c r="AK923" s="322"/>
    </row>
    <row r="924" spans="1:37" ht="18" customHeight="1">
      <c r="A924" s="322"/>
      <c r="B924" s="322"/>
      <c r="C924" s="451"/>
      <c r="D924" s="322"/>
      <c r="E924" s="322"/>
      <c r="F924" s="322"/>
      <c r="G924" s="322"/>
      <c r="H924" s="322"/>
      <c r="I924" s="322"/>
      <c r="J924" s="322"/>
      <c r="K924" s="322"/>
      <c r="L924" s="322"/>
      <c r="M924" s="322"/>
      <c r="N924" s="322"/>
      <c r="O924" s="322"/>
      <c r="P924" s="322"/>
      <c r="Q924" s="322"/>
      <c r="R924" s="322"/>
      <c r="S924" s="322"/>
      <c r="T924" s="322"/>
      <c r="U924" s="322"/>
      <c r="V924" s="322"/>
      <c r="W924" s="322"/>
      <c r="X924" s="322"/>
      <c r="Y924" s="322"/>
      <c r="Z924" s="322"/>
      <c r="AA924" s="322"/>
      <c r="AB924" s="322"/>
      <c r="AC924" s="322"/>
      <c r="AD924" s="322"/>
      <c r="AE924" s="322"/>
      <c r="AF924" s="322"/>
      <c r="AG924" s="322"/>
      <c r="AH924" s="322"/>
      <c r="AI924" s="322"/>
      <c r="AJ924" s="322"/>
      <c r="AK924" s="322"/>
    </row>
    <row r="925" spans="1:37" ht="18" customHeight="1">
      <c r="A925" s="322"/>
      <c r="B925" s="322"/>
      <c r="C925" s="451"/>
      <c r="D925" s="322"/>
      <c r="E925" s="322"/>
      <c r="F925" s="322"/>
      <c r="G925" s="322"/>
      <c r="H925" s="322"/>
      <c r="I925" s="322"/>
      <c r="J925" s="322"/>
      <c r="K925" s="322"/>
      <c r="L925" s="322"/>
      <c r="M925" s="322"/>
      <c r="N925" s="322"/>
      <c r="O925" s="322"/>
      <c r="P925" s="322"/>
      <c r="Q925" s="322"/>
      <c r="R925" s="322"/>
      <c r="S925" s="322"/>
      <c r="T925" s="322"/>
      <c r="U925" s="322"/>
      <c r="V925" s="322"/>
      <c r="W925" s="322"/>
      <c r="X925" s="322"/>
      <c r="Y925" s="322"/>
      <c r="Z925" s="322"/>
      <c r="AA925" s="322"/>
      <c r="AB925" s="322"/>
      <c r="AC925" s="322"/>
      <c r="AD925" s="322"/>
      <c r="AE925" s="322"/>
      <c r="AF925" s="322"/>
      <c r="AG925" s="322"/>
      <c r="AH925" s="322"/>
      <c r="AI925" s="322"/>
      <c r="AJ925" s="322"/>
      <c r="AK925" s="322"/>
    </row>
    <row r="926" spans="1:37" ht="18" customHeight="1">
      <c r="A926" s="322"/>
      <c r="B926" s="322"/>
      <c r="C926" s="451"/>
      <c r="D926" s="322"/>
      <c r="E926" s="322"/>
      <c r="F926" s="322"/>
      <c r="G926" s="322"/>
      <c r="H926" s="322"/>
      <c r="I926" s="322"/>
      <c r="J926" s="322"/>
      <c r="K926" s="322"/>
      <c r="L926" s="322"/>
      <c r="M926" s="322"/>
      <c r="N926" s="322"/>
      <c r="O926" s="322"/>
      <c r="P926" s="322"/>
      <c r="Q926" s="322"/>
      <c r="R926" s="322"/>
      <c r="S926" s="322"/>
      <c r="T926" s="322"/>
      <c r="U926" s="322"/>
      <c r="V926" s="322"/>
      <c r="W926" s="322"/>
      <c r="X926" s="322"/>
      <c r="Y926" s="322"/>
      <c r="Z926" s="322"/>
      <c r="AA926" s="322"/>
      <c r="AB926" s="322"/>
      <c r="AC926" s="322"/>
      <c r="AD926" s="322"/>
      <c r="AE926" s="322"/>
      <c r="AF926" s="322"/>
      <c r="AG926" s="322"/>
      <c r="AH926" s="322"/>
      <c r="AI926" s="322"/>
      <c r="AJ926" s="322"/>
      <c r="AK926" s="322"/>
    </row>
    <row r="927" spans="1:37" ht="18" customHeight="1">
      <c r="A927" s="322"/>
      <c r="B927" s="322"/>
      <c r="C927" s="451"/>
      <c r="D927" s="322"/>
      <c r="E927" s="322"/>
      <c r="F927" s="322"/>
      <c r="G927" s="322"/>
      <c r="H927" s="322"/>
      <c r="I927" s="322"/>
      <c r="J927" s="322"/>
      <c r="K927" s="322"/>
      <c r="L927" s="322"/>
      <c r="M927" s="322"/>
      <c r="N927" s="322"/>
      <c r="O927" s="322"/>
      <c r="P927" s="322"/>
      <c r="Q927" s="322"/>
      <c r="R927" s="322"/>
      <c r="S927" s="322"/>
      <c r="T927" s="322"/>
      <c r="U927" s="322"/>
      <c r="V927" s="322"/>
      <c r="W927" s="322"/>
      <c r="X927" s="322"/>
      <c r="Y927" s="322"/>
      <c r="Z927" s="322"/>
      <c r="AA927" s="322"/>
      <c r="AB927" s="322"/>
      <c r="AC927" s="322"/>
      <c r="AD927" s="322"/>
      <c r="AE927" s="322"/>
      <c r="AF927" s="322"/>
      <c r="AG927" s="322"/>
      <c r="AH927" s="322"/>
      <c r="AI927" s="322"/>
      <c r="AJ927" s="322"/>
      <c r="AK927" s="322"/>
    </row>
    <row r="928" spans="1:37" ht="18" customHeight="1">
      <c r="A928" s="322"/>
      <c r="B928" s="322"/>
      <c r="C928" s="451"/>
      <c r="D928" s="322"/>
      <c r="E928" s="322"/>
      <c r="F928" s="322"/>
      <c r="G928" s="322"/>
      <c r="H928" s="322"/>
      <c r="I928" s="322"/>
      <c r="J928" s="322"/>
      <c r="K928" s="322"/>
      <c r="L928" s="322"/>
      <c r="M928" s="322"/>
      <c r="N928" s="322"/>
      <c r="O928" s="322"/>
      <c r="P928" s="322"/>
      <c r="Q928" s="322"/>
      <c r="R928" s="322"/>
      <c r="S928" s="322"/>
      <c r="T928" s="322"/>
      <c r="U928" s="322"/>
      <c r="V928" s="322"/>
      <c r="W928" s="322"/>
      <c r="X928" s="322"/>
      <c r="Y928" s="322"/>
      <c r="Z928" s="322"/>
      <c r="AA928" s="322"/>
      <c r="AB928" s="322"/>
      <c r="AC928" s="322"/>
      <c r="AD928" s="322"/>
      <c r="AE928" s="322"/>
      <c r="AF928" s="322"/>
      <c r="AG928" s="322"/>
      <c r="AH928" s="322"/>
      <c r="AI928" s="322"/>
      <c r="AJ928" s="322"/>
      <c r="AK928" s="322"/>
    </row>
    <row r="929" spans="1:37" ht="18" customHeight="1">
      <c r="A929" s="322"/>
      <c r="B929" s="322"/>
      <c r="C929" s="451"/>
      <c r="D929" s="322"/>
      <c r="E929" s="322"/>
      <c r="F929" s="322"/>
      <c r="G929" s="322"/>
      <c r="H929" s="322"/>
      <c r="I929" s="322"/>
      <c r="J929" s="322"/>
      <c r="K929" s="322"/>
      <c r="L929" s="322"/>
      <c r="M929" s="322"/>
      <c r="N929" s="322"/>
      <c r="O929" s="322"/>
      <c r="P929" s="322"/>
      <c r="Q929" s="322"/>
      <c r="R929" s="322"/>
      <c r="S929" s="322"/>
      <c r="T929" s="322"/>
      <c r="U929" s="322"/>
      <c r="V929" s="322"/>
      <c r="W929" s="322"/>
      <c r="X929" s="322"/>
      <c r="Y929" s="322"/>
      <c r="Z929" s="322"/>
      <c r="AA929" s="322"/>
      <c r="AB929" s="322"/>
      <c r="AC929" s="322"/>
      <c r="AD929" s="322"/>
      <c r="AE929" s="322"/>
      <c r="AF929" s="322"/>
      <c r="AG929" s="322"/>
      <c r="AH929" s="322"/>
      <c r="AI929" s="322"/>
      <c r="AJ929" s="322"/>
      <c r="AK929" s="322"/>
    </row>
    <row r="930" spans="1:37" ht="18" customHeight="1">
      <c r="A930" s="322"/>
      <c r="B930" s="322"/>
      <c r="C930" s="451"/>
      <c r="D930" s="322"/>
      <c r="E930" s="322"/>
      <c r="F930" s="322"/>
      <c r="G930" s="322"/>
      <c r="H930" s="322"/>
      <c r="I930" s="322"/>
      <c r="J930" s="322"/>
      <c r="K930" s="322"/>
      <c r="L930" s="322"/>
      <c r="M930" s="322"/>
      <c r="N930" s="322"/>
      <c r="O930" s="322"/>
      <c r="P930" s="322"/>
      <c r="Q930" s="322"/>
      <c r="R930" s="322"/>
      <c r="S930" s="322"/>
      <c r="T930" s="322"/>
      <c r="U930" s="322"/>
      <c r="V930" s="322"/>
      <c r="W930" s="322"/>
      <c r="X930" s="322"/>
      <c r="Y930" s="322"/>
      <c r="Z930" s="322"/>
      <c r="AA930" s="322"/>
      <c r="AB930" s="322"/>
      <c r="AC930" s="322"/>
      <c r="AD930" s="322"/>
      <c r="AE930" s="322"/>
      <c r="AF930" s="322"/>
      <c r="AG930" s="322"/>
      <c r="AH930" s="322"/>
      <c r="AI930" s="322"/>
      <c r="AJ930" s="322"/>
      <c r="AK930" s="322"/>
    </row>
    <row r="931" spans="1:37" ht="18" customHeight="1">
      <c r="A931" s="322"/>
      <c r="B931" s="322"/>
      <c r="C931" s="451"/>
      <c r="D931" s="322"/>
      <c r="E931" s="322"/>
      <c r="F931" s="322"/>
      <c r="G931" s="322"/>
      <c r="H931" s="322"/>
      <c r="I931" s="322"/>
      <c r="J931" s="322"/>
      <c r="K931" s="322"/>
      <c r="L931" s="322"/>
      <c r="M931" s="322"/>
      <c r="N931" s="322"/>
      <c r="O931" s="322"/>
      <c r="P931" s="322"/>
      <c r="Q931" s="322"/>
      <c r="R931" s="322"/>
      <c r="S931" s="322"/>
      <c r="T931" s="322"/>
      <c r="U931" s="322"/>
      <c r="V931" s="322"/>
      <c r="W931" s="322"/>
      <c r="X931" s="322"/>
      <c r="Y931" s="322"/>
      <c r="Z931" s="322"/>
      <c r="AA931" s="322"/>
      <c r="AB931" s="322"/>
      <c r="AC931" s="322"/>
      <c r="AD931" s="322"/>
      <c r="AE931" s="322"/>
      <c r="AF931" s="322"/>
      <c r="AG931" s="322"/>
      <c r="AH931" s="322"/>
      <c r="AI931" s="322"/>
      <c r="AJ931" s="322"/>
      <c r="AK931" s="322"/>
    </row>
    <row r="932" spans="1:37" ht="18" customHeight="1">
      <c r="A932" s="322"/>
      <c r="B932" s="322"/>
      <c r="C932" s="451"/>
      <c r="D932" s="322"/>
      <c r="E932" s="322"/>
      <c r="F932" s="322"/>
      <c r="G932" s="322"/>
      <c r="H932" s="322"/>
      <c r="I932" s="322"/>
      <c r="J932" s="322"/>
      <c r="K932" s="322"/>
      <c r="L932" s="322"/>
      <c r="M932" s="322"/>
      <c r="N932" s="322"/>
      <c r="O932" s="322"/>
      <c r="P932" s="322"/>
      <c r="Q932" s="322"/>
      <c r="R932" s="322"/>
      <c r="S932" s="322"/>
      <c r="T932" s="322"/>
      <c r="U932" s="322"/>
      <c r="V932" s="322"/>
      <c r="W932" s="322"/>
      <c r="X932" s="322"/>
      <c r="Y932" s="322"/>
      <c r="Z932" s="322"/>
      <c r="AA932" s="322"/>
      <c r="AB932" s="322"/>
      <c r="AC932" s="322"/>
      <c r="AD932" s="322"/>
      <c r="AE932" s="322"/>
      <c r="AF932" s="322"/>
      <c r="AG932" s="322"/>
      <c r="AH932" s="322"/>
      <c r="AI932" s="322"/>
      <c r="AJ932" s="322"/>
      <c r="AK932" s="322"/>
    </row>
    <row r="933" spans="1:37" ht="18" customHeight="1">
      <c r="A933" s="322"/>
      <c r="B933" s="322"/>
      <c r="C933" s="451"/>
      <c r="D933" s="322"/>
      <c r="E933" s="322"/>
      <c r="F933" s="322"/>
      <c r="G933" s="322"/>
      <c r="H933" s="322"/>
      <c r="I933" s="322"/>
      <c r="J933" s="322"/>
      <c r="K933" s="322"/>
      <c r="L933" s="322"/>
      <c r="M933" s="322"/>
      <c r="N933" s="322"/>
      <c r="O933" s="322"/>
      <c r="P933" s="322"/>
      <c r="Q933" s="322"/>
      <c r="R933" s="322"/>
      <c r="S933" s="322"/>
      <c r="T933" s="322"/>
      <c r="U933" s="322"/>
      <c r="V933" s="322"/>
      <c r="W933" s="322"/>
      <c r="X933" s="322"/>
      <c r="Y933" s="322"/>
      <c r="Z933" s="322"/>
      <c r="AA933" s="322"/>
      <c r="AB933" s="322"/>
      <c r="AC933" s="322"/>
      <c r="AD933" s="322"/>
      <c r="AE933" s="322"/>
      <c r="AF933" s="322"/>
      <c r="AG933" s="322"/>
      <c r="AH933" s="322"/>
      <c r="AI933" s="322"/>
      <c r="AJ933" s="322"/>
      <c r="AK933" s="322"/>
    </row>
    <row r="934" spans="1:37" ht="18" customHeight="1">
      <c r="A934" s="322"/>
      <c r="B934" s="322"/>
      <c r="C934" s="451"/>
      <c r="D934" s="322"/>
      <c r="E934" s="322"/>
      <c r="F934" s="322"/>
      <c r="G934" s="322"/>
      <c r="H934" s="322"/>
      <c r="I934" s="322"/>
      <c r="J934" s="322"/>
      <c r="K934" s="322"/>
      <c r="L934" s="322"/>
      <c r="M934" s="322"/>
      <c r="N934" s="322"/>
      <c r="O934" s="322"/>
      <c r="P934" s="322"/>
      <c r="Q934" s="322"/>
      <c r="R934" s="322"/>
      <c r="S934" s="322"/>
      <c r="T934" s="322"/>
      <c r="U934" s="322"/>
      <c r="V934" s="322"/>
      <c r="W934" s="322"/>
      <c r="X934" s="322"/>
      <c r="Y934" s="322"/>
      <c r="Z934" s="322"/>
      <c r="AA934" s="322"/>
      <c r="AB934" s="322"/>
      <c r="AC934" s="322"/>
      <c r="AD934" s="322"/>
      <c r="AE934" s="322"/>
      <c r="AF934" s="322"/>
      <c r="AG934" s="322"/>
      <c r="AH934" s="322"/>
      <c r="AI934" s="322"/>
      <c r="AJ934" s="322"/>
      <c r="AK934" s="322"/>
    </row>
    <row r="935" spans="1:37" ht="18" customHeight="1">
      <c r="A935" s="322"/>
      <c r="B935" s="322"/>
      <c r="C935" s="451"/>
      <c r="D935" s="322"/>
      <c r="E935" s="322"/>
      <c r="F935" s="322"/>
      <c r="G935" s="322"/>
      <c r="H935" s="322"/>
      <c r="I935" s="322"/>
      <c r="J935" s="322"/>
      <c r="K935" s="322"/>
      <c r="L935" s="322"/>
      <c r="M935" s="322"/>
      <c r="N935" s="322"/>
      <c r="O935" s="322"/>
      <c r="P935" s="322"/>
      <c r="Q935" s="322"/>
      <c r="R935" s="322"/>
      <c r="S935" s="322"/>
      <c r="T935" s="322"/>
      <c r="U935" s="322"/>
      <c r="V935" s="322"/>
      <c r="W935" s="322"/>
      <c r="X935" s="322"/>
      <c r="Y935" s="322"/>
      <c r="Z935" s="322"/>
      <c r="AA935" s="322"/>
      <c r="AB935" s="322"/>
      <c r="AC935" s="322"/>
      <c r="AD935" s="322"/>
      <c r="AE935" s="322"/>
      <c r="AF935" s="322"/>
      <c r="AG935" s="322"/>
      <c r="AH935" s="322"/>
      <c r="AI935" s="322"/>
      <c r="AJ935" s="322"/>
      <c r="AK935" s="322"/>
    </row>
    <row r="936" spans="1:37" ht="18" customHeight="1">
      <c r="A936" s="322"/>
      <c r="B936" s="322"/>
      <c r="C936" s="451"/>
      <c r="D936" s="322"/>
      <c r="E936" s="322"/>
      <c r="F936" s="322"/>
      <c r="G936" s="322"/>
      <c r="H936" s="322"/>
      <c r="I936" s="322"/>
      <c r="J936" s="322"/>
      <c r="K936" s="322"/>
      <c r="L936" s="322"/>
      <c r="M936" s="322"/>
      <c r="N936" s="322"/>
      <c r="O936" s="322"/>
      <c r="P936" s="322"/>
      <c r="Q936" s="322"/>
      <c r="R936" s="322"/>
      <c r="S936" s="322"/>
      <c r="T936" s="322"/>
      <c r="U936" s="322"/>
      <c r="V936" s="322"/>
      <c r="W936" s="322"/>
      <c r="X936" s="322"/>
      <c r="Y936" s="322"/>
      <c r="Z936" s="322"/>
      <c r="AA936" s="322"/>
      <c r="AB936" s="322"/>
      <c r="AC936" s="322"/>
      <c r="AD936" s="322"/>
      <c r="AE936" s="322"/>
      <c r="AF936" s="322"/>
      <c r="AG936" s="322"/>
      <c r="AH936" s="322"/>
      <c r="AI936" s="322"/>
      <c r="AJ936" s="322"/>
      <c r="AK936" s="322"/>
    </row>
    <row r="937" spans="1:37" ht="18" customHeight="1">
      <c r="A937" s="322"/>
      <c r="B937" s="322"/>
      <c r="C937" s="451"/>
      <c r="D937" s="322"/>
      <c r="E937" s="322"/>
      <c r="F937" s="322"/>
      <c r="G937" s="322"/>
      <c r="H937" s="322"/>
      <c r="I937" s="322"/>
      <c r="J937" s="322"/>
      <c r="K937" s="322"/>
      <c r="L937" s="322"/>
      <c r="M937" s="322"/>
      <c r="N937" s="322"/>
      <c r="O937" s="322"/>
      <c r="P937" s="322"/>
      <c r="Q937" s="322"/>
      <c r="R937" s="322"/>
      <c r="S937" s="322"/>
      <c r="T937" s="322"/>
      <c r="U937" s="322"/>
      <c r="V937" s="322"/>
      <c r="W937" s="322"/>
      <c r="X937" s="322"/>
      <c r="Y937" s="322"/>
      <c r="Z937" s="322"/>
      <c r="AA937" s="322"/>
      <c r="AB937" s="322"/>
      <c r="AC937" s="322"/>
      <c r="AD937" s="322"/>
      <c r="AE937" s="322"/>
      <c r="AF937" s="322"/>
      <c r="AG937" s="322"/>
      <c r="AH937" s="322"/>
      <c r="AI937" s="322"/>
      <c r="AJ937" s="322"/>
      <c r="AK937" s="322"/>
    </row>
    <row r="938" spans="1:37" ht="18" customHeight="1">
      <c r="A938" s="322"/>
      <c r="B938" s="322"/>
      <c r="C938" s="451"/>
      <c r="D938" s="322"/>
      <c r="E938" s="322"/>
      <c r="F938" s="322"/>
      <c r="G938" s="322"/>
      <c r="H938" s="322"/>
      <c r="I938" s="322"/>
      <c r="J938" s="322"/>
      <c r="K938" s="322"/>
      <c r="L938" s="322"/>
      <c r="M938" s="322"/>
      <c r="N938" s="322"/>
      <c r="O938" s="322"/>
      <c r="P938" s="322"/>
      <c r="Q938" s="322"/>
      <c r="R938" s="322"/>
      <c r="S938" s="322"/>
      <c r="T938" s="322"/>
      <c r="U938" s="322"/>
      <c r="V938" s="322"/>
      <c r="W938" s="322"/>
      <c r="X938" s="322"/>
      <c r="Y938" s="322"/>
      <c r="Z938" s="322"/>
      <c r="AA938" s="322"/>
      <c r="AB938" s="322"/>
      <c r="AC938" s="322"/>
      <c r="AD938" s="322"/>
      <c r="AE938" s="322"/>
      <c r="AF938" s="322"/>
      <c r="AG938" s="322"/>
      <c r="AH938" s="322"/>
      <c r="AI938" s="322"/>
      <c r="AJ938" s="322"/>
      <c r="AK938" s="322"/>
    </row>
    <row r="939" spans="1:37" ht="18" customHeight="1">
      <c r="A939" s="322"/>
      <c r="B939" s="322"/>
      <c r="C939" s="451"/>
      <c r="D939" s="322"/>
      <c r="E939" s="322"/>
      <c r="F939" s="322"/>
      <c r="G939" s="322"/>
      <c r="H939" s="322"/>
      <c r="I939" s="322"/>
      <c r="J939" s="322"/>
      <c r="K939" s="322"/>
      <c r="L939" s="322"/>
      <c r="M939" s="322"/>
      <c r="N939" s="322"/>
      <c r="O939" s="322"/>
      <c r="P939" s="322"/>
      <c r="Q939" s="322"/>
      <c r="R939" s="322"/>
      <c r="S939" s="322"/>
      <c r="T939" s="322"/>
      <c r="U939" s="322"/>
      <c r="V939" s="322"/>
      <c r="W939" s="322"/>
      <c r="X939" s="322"/>
      <c r="Y939" s="322"/>
      <c r="Z939" s="322"/>
      <c r="AA939" s="322"/>
      <c r="AB939" s="322"/>
      <c r="AC939" s="322"/>
      <c r="AD939" s="322"/>
      <c r="AE939" s="322"/>
      <c r="AF939" s="322"/>
      <c r="AG939" s="322"/>
      <c r="AH939" s="322"/>
      <c r="AI939" s="322"/>
      <c r="AJ939" s="322"/>
      <c r="AK939" s="322"/>
    </row>
    <row r="940" spans="1:37" ht="18" customHeight="1">
      <c r="A940" s="322"/>
      <c r="B940" s="322"/>
      <c r="C940" s="451"/>
      <c r="D940" s="322"/>
      <c r="E940" s="322"/>
      <c r="F940" s="322"/>
      <c r="G940" s="322"/>
      <c r="H940" s="322"/>
      <c r="I940" s="322"/>
      <c r="J940" s="322"/>
      <c r="K940" s="322"/>
      <c r="L940" s="322"/>
      <c r="M940" s="322"/>
      <c r="N940" s="322"/>
      <c r="O940" s="322"/>
      <c r="P940" s="322"/>
      <c r="Q940" s="322"/>
      <c r="R940" s="322"/>
      <c r="S940" s="322"/>
      <c r="T940" s="322"/>
      <c r="U940" s="322"/>
      <c r="V940" s="322"/>
      <c r="W940" s="322"/>
      <c r="X940" s="322"/>
      <c r="Y940" s="322"/>
      <c r="Z940" s="322"/>
      <c r="AA940" s="322"/>
      <c r="AB940" s="322"/>
      <c r="AC940" s="322"/>
      <c r="AD940" s="322"/>
      <c r="AE940" s="322"/>
      <c r="AF940" s="322"/>
      <c r="AG940" s="322"/>
      <c r="AH940" s="322"/>
      <c r="AI940" s="322"/>
      <c r="AJ940" s="322"/>
      <c r="AK940" s="322"/>
    </row>
    <row r="941" spans="1:37" ht="18" customHeight="1">
      <c r="A941" s="322"/>
      <c r="B941" s="322"/>
      <c r="C941" s="451"/>
      <c r="D941" s="322"/>
      <c r="E941" s="322"/>
      <c r="F941" s="322"/>
      <c r="G941" s="322"/>
      <c r="H941" s="322"/>
      <c r="I941" s="322"/>
      <c r="J941" s="322"/>
      <c r="K941" s="322"/>
      <c r="L941" s="322"/>
      <c r="M941" s="322"/>
      <c r="N941" s="322"/>
      <c r="O941" s="322"/>
      <c r="P941" s="322"/>
      <c r="Q941" s="322"/>
      <c r="R941" s="322"/>
      <c r="S941" s="322"/>
      <c r="T941" s="322"/>
      <c r="U941" s="322"/>
      <c r="V941" s="322"/>
      <c r="W941" s="322"/>
      <c r="X941" s="322"/>
      <c r="Y941" s="322"/>
      <c r="Z941" s="322"/>
      <c r="AA941" s="322"/>
      <c r="AB941" s="322"/>
      <c r="AC941" s="322"/>
      <c r="AD941" s="322"/>
      <c r="AE941" s="322"/>
      <c r="AF941" s="322"/>
      <c r="AG941" s="322"/>
      <c r="AH941" s="322"/>
      <c r="AI941" s="322"/>
      <c r="AJ941" s="322"/>
      <c r="AK941" s="322"/>
    </row>
    <row r="942" spans="1:37" ht="18" customHeight="1">
      <c r="A942" s="322"/>
      <c r="B942" s="322"/>
      <c r="C942" s="451"/>
      <c r="D942" s="322"/>
      <c r="E942" s="322"/>
      <c r="F942" s="322"/>
      <c r="G942" s="322"/>
      <c r="H942" s="322"/>
      <c r="I942" s="322"/>
      <c r="J942" s="322"/>
      <c r="K942" s="322"/>
      <c r="L942" s="322"/>
      <c r="M942" s="322"/>
      <c r="N942" s="322"/>
      <c r="O942" s="322"/>
      <c r="P942" s="322"/>
      <c r="Q942" s="322"/>
      <c r="R942" s="322"/>
      <c r="S942" s="322"/>
      <c r="T942" s="322"/>
      <c r="U942" s="322"/>
      <c r="V942" s="322"/>
      <c r="W942" s="322"/>
      <c r="X942" s="322"/>
      <c r="Y942" s="322"/>
      <c r="Z942" s="322"/>
      <c r="AA942" s="322"/>
      <c r="AB942" s="322"/>
      <c r="AC942" s="322"/>
      <c r="AD942" s="322"/>
      <c r="AE942" s="322"/>
      <c r="AF942" s="322"/>
      <c r="AG942" s="322"/>
      <c r="AH942" s="322"/>
      <c r="AI942" s="322"/>
      <c r="AJ942" s="322"/>
      <c r="AK942" s="322"/>
    </row>
    <row r="943" spans="1:37" ht="18" customHeight="1">
      <c r="A943" s="322"/>
      <c r="B943" s="322"/>
      <c r="C943" s="451"/>
      <c r="D943" s="322"/>
      <c r="E943" s="322"/>
      <c r="F943" s="322"/>
      <c r="G943" s="322"/>
      <c r="H943" s="322"/>
      <c r="I943" s="322"/>
      <c r="J943" s="322"/>
      <c r="K943" s="322"/>
      <c r="L943" s="322"/>
      <c r="M943" s="322"/>
      <c r="N943" s="322"/>
      <c r="O943" s="322"/>
      <c r="P943" s="322"/>
      <c r="Q943" s="322"/>
      <c r="R943" s="322"/>
      <c r="S943" s="322"/>
      <c r="T943" s="322"/>
      <c r="U943" s="322"/>
      <c r="V943" s="322"/>
      <c r="W943" s="322"/>
      <c r="X943" s="322"/>
      <c r="Y943" s="322"/>
      <c r="Z943" s="322"/>
      <c r="AA943" s="322"/>
      <c r="AB943" s="322"/>
      <c r="AC943" s="322"/>
      <c r="AD943" s="322"/>
      <c r="AE943" s="322"/>
      <c r="AF943" s="322"/>
      <c r="AG943" s="322"/>
      <c r="AH943" s="322"/>
      <c r="AI943" s="322"/>
      <c r="AJ943" s="322"/>
      <c r="AK943" s="322"/>
    </row>
    <row r="944" spans="1:37" ht="18" customHeight="1">
      <c r="A944" s="322"/>
      <c r="B944" s="322"/>
      <c r="C944" s="451"/>
      <c r="D944" s="322"/>
      <c r="E944" s="322"/>
      <c r="F944" s="322"/>
      <c r="G944" s="322"/>
      <c r="H944" s="322"/>
      <c r="I944" s="322"/>
      <c r="J944" s="322"/>
      <c r="K944" s="322"/>
      <c r="L944" s="322"/>
      <c r="M944" s="322"/>
      <c r="N944" s="322"/>
      <c r="O944" s="322"/>
      <c r="P944" s="322"/>
      <c r="Q944" s="322"/>
      <c r="R944" s="322"/>
      <c r="S944" s="322"/>
      <c r="T944" s="322"/>
      <c r="U944" s="322"/>
      <c r="V944" s="322"/>
      <c r="W944" s="322"/>
      <c r="X944" s="322"/>
      <c r="Y944" s="322"/>
      <c r="Z944" s="322"/>
      <c r="AA944" s="322"/>
      <c r="AB944" s="322"/>
      <c r="AC944" s="322"/>
      <c r="AD944" s="322"/>
      <c r="AE944" s="322"/>
      <c r="AF944" s="322"/>
      <c r="AG944" s="322"/>
      <c r="AH944" s="322"/>
      <c r="AI944" s="322"/>
      <c r="AJ944" s="322"/>
      <c r="AK944" s="322"/>
    </row>
    <row r="945" spans="1:37" ht="18" customHeight="1">
      <c r="A945" s="322"/>
      <c r="B945" s="322"/>
      <c r="C945" s="451"/>
      <c r="D945" s="322"/>
      <c r="E945" s="322"/>
      <c r="F945" s="322"/>
      <c r="G945" s="322"/>
      <c r="H945" s="322"/>
      <c r="I945" s="322"/>
      <c r="J945" s="322"/>
      <c r="K945" s="322"/>
      <c r="L945" s="322"/>
      <c r="M945" s="322"/>
      <c r="N945" s="322"/>
      <c r="O945" s="322"/>
      <c r="P945" s="322"/>
      <c r="Q945" s="322"/>
      <c r="R945" s="322"/>
      <c r="S945" s="322"/>
      <c r="T945" s="322"/>
      <c r="U945" s="322"/>
      <c r="V945" s="322"/>
      <c r="W945" s="322"/>
      <c r="X945" s="322"/>
      <c r="Y945" s="322"/>
      <c r="Z945" s="322"/>
      <c r="AA945" s="322"/>
      <c r="AB945" s="322"/>
      <c r="AC945" s="322"/>
      <c r="AD945" s="322"/>
      <c r="AE945" s="322"/>
      <c r="AF945" s="322"/>
      <c r="AG945" s="322"/>
      <c r="AH945" s="322"/>
      <c r="AI945" s="322"/>
      <c r="AJ945" s="322"/>
      <c r="AK945" s="322"/>
    </row>
    <row r="946" spans="1:37" ht="18" customHeight="1">
      <c r="A946" s="322"/>
      <c r="B946" s="322"/>
      <c r="C946" s="451"/>
      <c r="D946" s="322"/>
      <c r="E946" s="322"/>
      <c r="F946" s="322"/>
      <c r="G946" s="322"/>
      <c r="H946" s="322"/>
      <c r="I946" s="322"/>
      <c r="J946" s="322"/>
      <c r="K946" s="322"/>
      <c r="L946" s="322"/>
      <c r="M946" s="322"/>
      <c r="N946" s="322"/>
      <c r="O946" s="322"/>
      <c r="P946" s="322"/>
      <c r="Q946" s="322"/>
      <c r="R946" s="322"/>
      <c r="S946" s="322"/>
      <c r="T946" s="322"/>
      <c r="U946" s="322"/>
      <c r="V946" s="322"/>
      <c r="W946" s="322"/>
      <c r="X946" s="322"/>
      <c r="Y946" s="322"/>
      <c r="Z946" s="322"/>
      <c r="AA946" s="322"/>
      <c r="AB946" s="322"/>
      <c r="AC946" s="322"/>
      <c r="AD946" s="322"/>
      <c r="AE946" s="322"/>
      <c r="AF946" s="322"/>
      <c r="AG946" s="322"/>
      <c r="AH946" s="322"/>
      <c r="AI946" s="322"/>
      <c r="AJ946" s="322"/>
      <c r="AK946" s="322"/>
    </row>
    <row r="947" spans="1:37" ht="18" customHeight="1">
      <c r="A947" s="322"/>
      <c r="B947" s="322"/>
      <c r="C947" s="451"/>
      <c r="D947" s="322"/>
      <c r="E947" s="322"/>
      <c r="F947" s="322"/>
      <c r="G947" s="322"/>
      <c r="H947" s="322"/>
      <c r="I947" s="322"/>
      <c r="J947" s="322"/>
      <c r="K947" s="322"/>
      <c r="L947" s="322"/>
      <c r="M947" s="322"/>
      <c r="N947" s="322"/>
      <c r="O947" s="322"/>
      <c r="P947" s="322"/>
      <c r="Q947" s="322"/>
      <c r="R947" s="322"/>
      <c r="S947" s="322"/>
      <c r="T947" s="322"/>
      <c r="U947" s="322"/>
      <c r="V947" s="322"/>
      <c r="W947" s="322"/>
      <c r="X947" s="322"/>
      <c r="Y947" s="322"/>
      <c r="Z947" s="322"/>
      <c r="AA947" s="322"/>
      <c r="AB947" s="322"/>
      <c r="AC947" s="322"/>
      <c r="AD947" s="322"/>
      <c r="AE947" s="322"/>
      <c r="AF947" s="322"/>
      <c r="AG947" s="322"/>
      <c r="AH947" s="322"/>
      <c r="AI947" s="322"/>
      <c r="AJ947" s="322"/>
      <c r="AK947" s="322"/>
    </row>
    <row r="948" spans="1:37" ht="18" customHeight="1">
      <c r="A948" s="322"/>
      <c r="B948" s="322"/>
      <c r="C948" s="451"/>
      <c r="D948" s="322"/>
      <c r="E948" s="322"/>
      <c r="F948" s="322"/>
      <c r="G948" s="322"/>
      <c r="H948" s="322"/>
      <c r="I948" s="322"/>
      <c r="J948" s="322"/>
      <c r="K948" s="322"/>
      <c r="L948" s="322"/>
      <c r="M948" s="322"/>
      <c r="N948" s="322"/>
      <c r="O948" s="322"/>
      <c r="P948" s="322"/>
      <c r="Q948" s="322"/>
      <c r="R948" s="322"/>
      <c r="S948" s="322"/>
      <c r="T948" s="322"/>
      <c r="U948" s="322"/>
      <c r="V948" s="322"/>
      <c r="W948" s="322"/>
      <c r="X948" s="322"/>
      <c r="Y948" s="322"/>
      <c r="Z948" s="322"/>
      <c r="AA948" s="322"/>
      <c r="AB948" s="322"/>
      <c r="AC948" s="322"/>
      <c r="AD948" s="322"/>
      <c r="AE948" s="322"/>
      <c r="AF948" s="322"/>
      <c r="AG948" s="322"/>
      <c r="AH948" s="322"/>
      <c r="AI948" s="322"/>
      <c r="AJ948" s="322"/>
      <c r="AK948" s="322"/>
    </row>
    <row r="949" spans="1:37" ht="18" customHeight="1">
      <c r="A949" s="322"/>
      <c r="B949" s="322"/>
      <c r="C949" s="451"/>
      <c r="D949" s="322"/>
      <c r="E949" s="322"/>
      <c r="F949" s="322"/>
      <c r="G949" s="322"/>
      <c r="H949" s="322"/>
      <c r="I949" s="322"/>
      <c r="J949" s="322"/>
      <c r="K949" s="322"/>
      <c r="L949" s="322"/>
      <c r="M949" s="322"/>
      <c r="N949" s="322"/>
      <c r="O949" s="322"/>
      <c r="P949" s="322"/>
      <c r="Q949" s="322"/>
      <c r="R949" s="322"/>
      <c r="S949" s="322"/>
      <c r="T949" s="322"/>
      <c r="U949" s="322"/>
      <c r="V949" s="322"/>
      <c r="W949" s="322"/>
      <c r="X949" s="322"/>
      <c r="Y949" s="322"/>
      <c r="Z949" s="322"/>
      <c r="AA949" s="322"/>
      <c r="AB949" s="322"/>
      <c r="AC949" s="322"/>
      <c r="AD949" s="322"/>
      <c r="AE949" s="322"/>
      <c r="AF949" s="322"/>
      <c r="AG949" s="322"/>
      <c r="AH949" s="322"/>
      <c r="AI949" s="322"/>
      <c r="AJ949" s="322"/>
      <c r="AK949" s="322"/>
    </row>
    <row r="950" spans="1:37" ht="18" customHeight="1">
      <c r="A950" s="322"/>
      <c r="B950" s="322"/>
      <c r="C950" s="451"/>
      <c r="D950" s="322"/>
      <c r="E950" s="322"/>
      <c r="F950" s="322"/>
      <c r="G950" s="322"/>
      <c r="H950" s="322"/>
      <c r="I950" s="322"/>
      <c r="J950" s="322"/>
      <c r="K950" s="322"/>
      <c r="L950" s="322"/>
      <c r="M950" s="322"/>
      <c r="N950" s="322"/>
      <c r="O950" s="322"/>
      <c r="P950" s="322"/>
      <c r="Q950" s="322"/>
      <c r="R950" s="322"/>
      <c r="S950" s="322"/>
      <c r="T950" s="322"/>
      <c r="U950" s="322"/>
      <c r="V950" s="322"/>
      <c r="W950" s="322"/>
      <c r="X950" s="322"/>
      <c r="Y950" s="322"/>
      <c r="Z950" s="322"/>
      <c r="AA950" s="322"/>
      <c r="AB950" s="322"/>
      <c r="AC950" s="322"/>
      <c r="AD950" s="322"/>
      <c r="AE950" s="322"/>
      <c r="AF950" s="322"/>
      <c r="AG950" s="322"/>
      <c r="AH950" s="322"/>
      <c r="AI950" s="322"/>
      <c r="AJ950" s="322"/>
      <c r="AK950" s="322"/>
    </row>
    <row r="951" spans="1:37" ht="18" customHeight="1">
      <c r="A951" s="322"/>
      <c r="B951" s="322"/>
      <c r="C951" s="451"/>
      <c r="D951" s="322"/>
      <c r="E951" s="322"/>
      <c r="F951" s="322"/>
      <c r="G951" s="322"/>
      <c r="H951" s="322"/>
      <c r="I951" s="322"/>
      <c r="J951" s="322"/>
      <c r="K951" s="322"/>
      <c r="L951" s="322"/>
      <c r="M951" s="322"/>
      <c r="N951" s="322"/>
      <c r="O951" s="322"/>
      <c r="P951" s="322"/>
      <c r="Q951" s="322"/>
      <c r="R951" s="322"/>
      <c r="S951" s="322"/>
      <c r="T951" s="322"/>
      <c r="U951" s="322"/>
      <c r="V951" s="322"/>
      <c r="W951" s="322"/>
      <c r="X951" s="322"/>
      <c r="Y951" s="322"/>
      <c r="Z951" s="322"/>
      <c r="AA951" s="322"/>
      <c r="AB951" s="322"/>
      <c r="AC951" s="322"/>
      <c r="AD951" s="322"/>
      <c r="AE951" s="322"/>
      <c r="AF951" s="322"/>
      <c r="AG951" s="322"/>
      <c r="AH951" s="322"/>
      <c r="AI951" s="322"/>
      <c r="AJ951" s="322"/>
      <c r="AK951" s="322"/>
    </row>
    <row r="952" spans="1:37" ht="18" customHeight="1">
      <c r="A952" s="322"/>
      <c r="B952" s="322"/>
      <c r="C952" s="451"/>
      <c r="D952" s="322"/>
      <c r="E952" s="322"/>
      <c r="F952" s="322"/>
      <c r="G952" s="322"/>
      <c r="H952" s="322"/>
      <c r="I952" s="322"/>
      <c r="J952" s="322"/>
      <c r="K952" s="322"/>
      <c r="L952" s="322"/>
      <c r="M952" s="322"/>
      <c r="N952" s="322"/>
      <c r="O952" s="322"/>
      <c r="P952" s="322"/>
      <c r="Q952" s="322"/>
      <c r="R952" s="322"/>
      <c r="S952" s="322"/>
      <c r="T952" s="322"/>
      <c r="U952" s="322"/>
      <c r="V952" s="322"/>
      <c r="W952" s="322"/>
      <c r="X952" s="322"/>
      <c r="Y952" s="322"/>
      <c r="Z952" s="322"/>
      <c r="AA952" s="322"/>
      <c r="AB952" s="322"/>
      <c r="AC952" s="322"/>
      <c r="AD952" s="322"/>
      <c r="AE952" s="322"/>
      <c r="AF952" s="322"/>
      <c r="AG952" s="322"/>
      <c r="AH952" s="322"/>
      <c r="AI952" s="322"/>
      <c r="AJ952" s="322"/>
      <c r="AK952" s="322"/>
    </row>
    <row r="953" spans="1:37" ht="18" customHeight="1">
      <c r="A953" s="322"/>
      <c r="B953" s="322"/>
      <c r="C953" s="451"/>
      <c r="D953" s="322"/>
      <c r="E953" s="322"/>
      <c r="F953" s="322"/>
      <c r="G953" s="322"/>
      <c r="H953" s="322"/>
      <c r="I953" s="322"/>
      <c r="J953" s="322"/>
      <c r="K953" s="322"/>
      <c r="L953" s="322"/>
      <c r="M953" s="322"/>
      <c r="N953" s="322"/>
      <c r="O953" s="322"/>
      <c r="P953" s="322"/>
      <c r="Q953" s="322"/>
      <c r="R953" s="322"/>
      <c r="S953" s="322"/>
      <c r="T953" s="322"/>
      <c r="U953" s="322"/>
      <c r="V953" s="322"/>
      <c r="W953" s="322"/>
      <c r="X953" s="322"/>
      <c r="Y953" s="322"/>
      <c r="Z953" s="322"/>
      <c r="AA953" s="322"/>
      <c r="AB953" s="322"/>
      <c r="AC953" s="322"/>
      <c r="AD953" s="322"/>
      <c r="AE953" s="322"/>
      <c r="AF953" s="322"/>
      <c r="AG953" s="322"/>
      <c r="AH953" s="322"/>
      <c r="AI953" s="322"/>
      <c r="AJ953" s="322"/>
      <c r="AK953" s="322"/>
    </row>
    <row r="954" spans="1:37" ht="18" customHeight="1">
      <c r="A954" s="322"/>
      <c r="B954" s="322"/>
      <c r="C954" s="451"/>
      <c r="D954" s="322"/>
      <c r="E954" s="322"/>
      <c r="F954" s="322"/>
      <c r="G954" s="322"/>
      <c r="H954" s="322"/>
      <c r="I954" s="322"/>
      <c r="J954" s="322"/>
      <c r="K954" s="322"/>
      <c r="L954" s="322"/>
      <c r="M954" s="322"/>
      <c r="N954" s="322"/>
      <c r="O954" s="322"/>
      <c r="P954" s="322"/>
      <c r="Q954" s="322"/>
      <c r="R954" s="322"/>
      <c r="S954" s="322"/>
      <c r="T954" s="322"/>
      <c r="U954" s="322"/>
      <c r="V954" s="322"/>
      <c r="W954" s="322"/>
      <c r="X954" s="322"/>
      <c r="Y954" s="322"/>
      <c r="Z954" s="322"/>
      <c r="AA954" s="322"/>
      <c r="AB954" s="322"/>
      <c r="AC954" s="322"/>
      <c r="AD954" s="322"/>
      <c r="AE954" s="322"/>
      <c r="AF954" s="322"/>
      <c r="AG954" s="322"/>
      <c r="AH954" s="322"/>
      <c r="AI954" s="322"/>
      <c r="AJ954" s="322"/>
      <c r="AK954" s="322"/>
    </row>
    <row r="955" spans="1:37" ht="18" customHeight="1">
      <c r="A955" s="322"/>
      <c r="B955" s="322"/>
      <c r="C955" s="451"/>
      <c r="D955" s="322"/>
      <c r="E955" s="322"/>
      <c r="F955" s="322"/>
      <c r="G955" s="322"/>
      <c r="H955" s="322"/>
      <c r="I955" s="322"/>
      <c r="J955" s="322"/>
      <c r="K955" s="322"/>
      <c r="L955" s="322"/>
      <c r="M955" s="322"/>
      <c r="N955" s="322"/>
      <c r="O955" s="322"/>
      <c r="P955" s="322"/>
      <c r="Q955" s="322"/>
      <c r="R955" s="322"/>
      <c r="S955" s="322"/>
      <c r="T955" s="322"/>
      <c r="U955" s="322"/>
      <c r="V955" s="322"/>
      <c r="W955" s="322"/>
      <c r="X955" s="322"/>
      <c r="Y955" s="322"/>
      <c r="Z955" s="322"/>
      <c r="AA955" s="322"/>
      <c r="AB955" s="322"/>
      <c r="AC955" s="322"/>
      <c r="AD955" s="322"/>
      <c r="AE955" s="322"/>
      <c r="AF955" s="322"/>
      <c r="AG955" s="322"/>
      <c r="AH955" s="322"/>
      <c r="AI955" s="322"/>
      <c r="AJ955" s="322"/>
      <c r="AK955" s="322"/>
    </row>
    <row r="956" spans="1:37" ht="18" customHeight="1">
      <c r="A956" s="322"/>
      <c r="B956" s="322"/>
      <c r="C956" s="451"/>
      <c r="D956" s="322"/>
      <c r="E956" s="322"/>
      <c r="F956" s="322"/>
      <c r="G956" s="322"/>
      <c r="H956" s="322"/>
      <c r="I956" s="322"/>
      <c r="J956" s="322"/>
      <c r="K956" s="322"/>
      <c r="L956" s="322"/>
      <c r="M956" s="322"/>
      <c r="N956" s="322"/>
      <c r="O956" s="322"/>
      <c r="P956" s="322"/>
      <c r="Q956" s="322"/>
      <c r="R956" s="322"/>
      <c r="S956" s="322"/>
      <c r="T956" s="322"/>
      <c r="U956" s="322"/>
      <c r="V956" s="322"/>
      <c r="W956" s="322"/>
      <c r="X956" s="322"/>
      <c r="Y956" s="322"/>
      <c r="Z956" s="322"/>
      <c r="AA956" s="322"/>
      <c r="AB956" s="322"/>
      <c r="AC956" s="322"/>
      <c r="AD956" s="322"/>
      <c r="AE956" s="322"/>
      <c r="AF956" s="322"/>
      <c r="AG956" s="322"/>
      <c r="AH956" s="322"/>
      <c r="AI956" s="322"/>
      <c r="AJ956" s="322"/>
      <c r="AK956" s="322"/>
    </row>
    <row r="957" spans="1:37" ht="18" customHeight="1">
      <c r="A957" s="322"/>
      <c r="B957" s="322"/>
      <c r="C957" s="451"/>
      <c r="D957" s="322"/>
      <c r="E957" s="322"/>
      <c r="F957" s="322"/>
      <c r="G957" s="322"/>
      <c r="H957" s="322"/>
      <c r="I957" s="322"/>
      <c r="J957" s="322"/>
      <c r="K957" s="322"/>
      <c r="L957" s="322"/>
      <c r="M957" s="322"/>
      <c r="N957" s="322"/>
      <c r="O957" s="322"/>
      <c r="P957" s="322"/>
      <c r="Q957" s="322"/>
      <c r="R957" s="322"/>
      <c r="S957" s="322"/>
      <c r="T957" s="322"/>
      <c r="U957" s="322"/>
      <c r="V957" s="322"/>
      <c r="W957" s="322"/>
      <c r="X957" s="322"/>
      <c r="Y957" s="322"/>
      <c r="Z957" s="322"/>
      <c r="AA957" s="322"/>
      <c r="AB957" s="322"/>
      <c r="AC957" s="322"/>
      <c r="AD957" s="322"/>
      <c r="AE957" s="322"/>
      <c r="AF957" s="322"/>
      <c r="AG957" s="322"/>
      <c r="AH957" s="322"/>
      <c r="AI957" s="322"/>
      <c r="AJ957" s="322"/>
      <c r="AK957" s="322"/>
    </row>
    <row r="958" spans="1:37" ht="18" customHeight="1">
      <c r="A958" s="322"/>
      <c r="B958" s="322"/>
      <c r="C958" s="451"/>
      <c r="D958" s="322"/>
      <c r="E958" s="322"/>
      <c r="F958" s="322"/>
      <c r="G958" s="322"/>
      <c r="H958" s="322"/>
      <c r="I958" s="322"/>
      <c r="J958" s="322"/>
      <c r="K958" s="322"/>
      <c r="L958" s="322"/>
      <c r="M958" s="322"/>
      <c r="N958" s="322"/>
      <c r="O958" s="322"/>
      <c r="P958" s="322"/>
      <c r="Q958" s="322"/>
      <c r="R958" s="322"/>
      <c r="S958" s="322"/>
      <c r="T958" s="322"/>
      <c r="U958" s="322"/>
      <c r="V958" s="322"/>
      <c r="W958" s="322"/>
      <c r="X958" s="322"/>
      <c r="Y958" s="322"/>
      <c r="Z958" s="322"/>
      <c r="AA958" s="322"/>
      <c r="AB958" s="322"/>
      <c r="AC958" s="322"/>
      <c r="AD958" s="322"/>
      <c r="AE958" s="322"/>
      <c r="AF958" s="322"/>
      <c r="AG958" s="322"/>
      <c r="AH958" s="322"/>
      <c r="AI958" s="322"/>
      <c r="AJ958" s="322"/>
      <c r="AK958" s="322"/>
    </row>
    <row r="959" spans="1:37" ht="18" customHeight="1">
      <c r="A959" s="322"/>
      <c r="B959" s="322"/>
      <c r="C959" s="451"/>
      <c r="D959" s="322"/>
      <c r="E959" s="322"/>
      <c r="F959" s="322"/>
      <c r="G959" s="322"/>
      <c r="H959" s="322"/>
      <c r="I959" s="322"/>
      <c r="J959" s="322"/>
      <c r="K959" s="322"/>
      <c r="L959" s="322"/>
      <c r="M959" s="322"/>
      <c r="N959" s="322"/>
      <c r="O959" s="322"/>
      <c r="P959" s="322"/>
      <c r="Q959" s="322"/>
      <c r="R959" s="322"/>
      <c r="S959" s="322"/>
      <c r="T959" s="322"/>
      <c r="U959" s="322"/>
      <c r="V959" s="322"/>
      <c r="W959" s="322"/>
      <c r="X959" s="322"/>
      <c r="Y959" s="322"/>
      <c r="Z959" s="322"/>
      <c r="AA959" s="322"/>
      <c r="AB959" s="322"/>
      <c r="AC959" s="322"/>
      <c r="AD959" s="322"/>
      <c r="AE959" s="322"/>
      <c r="AF959" s="322"/>
      <c r="AG959" s="322"/>
      <c r="AH959" s="322"/>
      <c r="AI959" s="322"/>
      <c r="AJ959" s="322"/>
      <c r="AK959" s="322"/>
    </row>
    <row r="960" spans="1:37" ht="18" customHeight="1">
      <c r="A960" s="322"/>
      <c r="B960" s="322"/>
      <c r="C960" s="451"/>
      <c r="D960" s="322"/>
      <c r="E960" s="322"/>
      <c r="F960" s="322"/>
      <c r="G960" s="322"/>
      <c r="H960" s="322"/>
      <c r="I960" s="322"/>
      <c r="J960" s="322"/>
      <c r="K960" s="322"/>
      <c r="L960" s="322"/>
      <c r="M960" s="322"/>
      <c r="N960" s="322"/>
      <c r="O960" s="322"/>
      <c r="P960" s="322"/>
      <c r="Q960" s="322"/>
      <c r="R960" s="322"/>
      <c r="S960" s="322"/>
      <c r="T960" s="322"/>
      <c r="U960" s="322"/>
      <c r="V960" s="322"/>
      <c r="W960" s="322"/>
      <c r="X960" s="322"/>
      <c r="Y960" s="322"/>
      <c r="Z960" s="322"/>
      <c r="AA960" s="322"/>
      <c r="AB960" s="322"/>
      <c r="AC960" s="322"/>
      <c r="AD960" s="322"/>
      <c r="AE960" s="322"/>
      <c r="AF960" s="322"/>
      <c r="AG960" s="322"/>
      <c r="AH960" s="322"/>
      <c r="AI960" s="322"/>
      <c r="AJ960" s="322"/>
      <c r="AK960" s="322"/>
    </row>
    <row r="961" spans="1:37" ht="18" customHeight="1">
      <c r="A961" s="322"/>
      <c r="B961" s="322"/>
      <c r="C961" s="451"/>
      <c r="D961" s="322"/>
      <c r="E961" s="322"/>
      <c r="F961" s="322"/>
      <c r="G961" s="322"/>
      <c r="H961" s="322"/>
      <c r="I961" s="322"/>
      <c r="J961" s="322"/>
      <c r="K961" s="322"/>
      <c r="L961" s="322"/>
      <c r="M961" s="322"/>
      <c r="N961" s="322"/>
      <c r="O961" s="322"/>
      <c r="P961" s="322"/>
      <c r="Q961" s="322"/>
      <c r="R961" s="322"/>
      <c r="S961" s="322"/>
      <c r="T961" s="322"/>
      <c r="U961" s="322"/>
      <c r="V961" s="322"/>
      <c r="W961" s="322"/>
      <c r="X961" s="322"/>
      <c r="Y961" s="322"/>
      <c r="Z961" s="322"/>
      <c r="AA961" s="322"/>
      <c r="AB961" s="322"/>
      <c r="AC961" s="322"/>
      <c r="AD961" s="322"/>
      <c r="AE961" s="322"/>
      <c r="AF961" s="322"/>
      <c r="AG961" s="322"/>
      <c r="AH961" s="322"/>
      <c r="AI961" s="322"/>
      <c r="AJ961" s="322"/>
      <c r="AK961" s="322"/>
    </row>
    <row r="962" spans="1:37" ht="18" customHeight="1">
      <c r="A962" s="322"/>
      <c r="B962" s="322"/>
      <c r="C962" s="451"/>
      <c r="D962" s="322"/>
      <c r="E962" s="322"/>
      <c r="F962" s="322"/>
      <c r="G962" s="322"/>
      <c r="H962" s="322"/>
      <c r="I962" s="322"/>
      <c r="J962" s="322"/>
      <c r="K962" s="322"/>
      <c r="L962" s="322"/>
      <c r="M962" s="322"/>
      <c r="N962" s="322"/>
      <c r="O962" s="322"/>
      <c r="P962" s="322"/>
      <c r="Q962" s="322"/>
      <c r="R962" s="322"/>
      <c r="S962" s="322"/>
      <c r="T962" s="322"/>
      <c r="U962" s="322"/>
      <c r="V962" s="322"/>
      <c r="W962" s="322"/>
      <c r="X962" s="322"/>
      <c r="Y962" s="322"/>
      <c r="Z962" s="322"/>
      <c r="AA962" s="322"/>
      <c r="AB962" s="322"/>
      <c r="AC962" s="322"/>
      <c r="AD962" s="322"/>
      <c r="AE962" s="322"/>
      <c r="AF962" s="322"/>
      <c r="AG962" s="322"/>
      <c r="AH962" s="322"/>
      <c r="AI962" s="322"/>
      <c r="AJ962" s="322"/>
      <c r="AK962" s="322"/>
    </row>
    <row r="963" spans="1:37" ht="18" customHeight="1">
      <c r="A963" s="322"/>
      <c r="B963" s="322"/>
      <c r="C963" s="451"/>
      <c r="D963" s="322"/>
      <c r="E963" s="322"/>
      <c r="F963" s="322"/>
      <c r="G963" s="322"/>
      <c r="H963" s="322"/>
      <c r="I963" s="322"/>
      <c r="J963" s="322"/>
      <c r="K963" s="322"/>
      <c r="L963" s="322"/>
      <c r="M963" s="322"/>
      <c r="N963" s="322"/>
      <c r="O963" s="322"/>
      <c r="P963" s="322"/>
      <c r="Q963" s="322"/>
      <c r="R963" s="322"/>
      <c r="S963" s="322"/>
      <c r="T963" s="322"/>
      <c r="U963" s="322"/>
      <c r="V963" s="322"/>
      <c r="W963" s="322"/>
      <c r="X963" s="322"/>
      <c r="Y963" s="322"/>
      <c r="Z963" s="322"/>
      <c r="AA963" s="322"/>
      <c r="AB963" s="322"/>
      <c r="AC963" s="322"/>
      <c r="AD963" s="322"/>
      <c r="AE963" s="322"/>
      <c r="AF963" s="322"/>
      <c r="AG963" s="322"/>
      <c r="AH963" s="322"/>
      <c r="AI963" s="322"/>
      <c r="AJ963" s="322"/>
      <c r="AK963" s="322"/>
    </row>
    <row r="964" spans="1:37" ht="18" customHeight="1">
      <c r="A964" s="322"/>
      <c r="B964" s="322"/>
      <c r="C964" s="451"/>
      <c r="D964" s="322"/>
      <c r="E964" s="322"/>
      <c r="F964" s="322"/>
      <c r="G964" s="322"/>
      <c r="H964" s="322"/>
      <c r="I964" s="322"/>
      <c r="J964" s="322"/>
      <c r="K964" s="322"/>
      <c r="L964" s="322"/>
      <c r="M964" s="322"/>
      <c r="N964" s="322"/>
      <c r="O964" s="322"/>
      <c r="P964" s="322"/>
      <c r="Q964" s="322"/>
      <c r="R964" s="322"/>
      <c r="S964" s="322"/>
      <c r="T964" s="322"/>
      <c r="U964" s="322"/>
      <c r="V964" s="322"/>
      <c r="W964" s="322"/>
      <c r="X964" s="322"/>
      <c r="Y964" s="322"/>
      <c r="Z964" s="322"/>
      <c r="AA964" s="322"/>
      <c r="AB964" s="322"/>
      <c r="AC964" s="322"/>
      <c r="AD964" s="322"/>
      <c r="AE964" s="322"/>
      <c r="AF964" s="322"/>
      <c r="AG964" s="322"/>
      <c r="AH964" s="322"/>
      <c r="AI964" s="322"/>
      <c r="AJ964" s="322"/>
      <c r="AK964" s="322"/>
    </row>
    <row r="965" spans="1:37" ht="18" customHeight="1">
      <c r="A965" s="322"/>
      <c r="B965" s="322"/>
      <c r="C965" s="451"/>
      <c r="D965" s="322"/>
      <c r="E965" s="322"/>
      <c r="F965" s="322"/>
      <c r="G965" s="322"/>
      <c r="H965" s="322"/>
      <c r="I965" s="322"/>
      <c r="J965" s="322"/>
      <c r="K965" s="322"/>
      <c r="L965" s="322"/>
      <c r="M965" s="322"/>
      <c r="N965" s="322"/>
      <c r="O965" s="322"/>
      <c r="P965" s="322"/>
      <c r="Q965" s="322"/>
      <c r="R965" s="322"/>
      <c r="S965" s="322"/>
      <c r="T965" s="322"/>
      <c r="U965" s="322"/>
      <c r="V965" s="322"/>
      <c r="W965" s="322"/>
      <c r="X965" s="322"/>
      <c r="Y965" s="322"/>
      <c r="Z965" s="322"/>
      <c r="AA965" s="322"/>
      <c r="AB965" s="322"/>
      <c r="AC965" s="322"/>
      <c r="AD965" s="322"/>
      <c r="AE965" s="322"/>
      <c r="AF965" s="322"/>
      <c r="AG965" s="322"/>
      <c r="AH965" s="322"/>
      <c r="AI965" s="322"/>
      <c r="AJ965" s="322"/>
      <c r="AK965" s="322"/>
    </row>
    <row r="966" spans="1:37" ht="18" customHeight="1">
      <c r="A966" s="322"/>
      <c r="B966" s="322"/>
      <c r="C966" s="451"/>
      <c r="D966" s="322"/>
      <c r="E966" s="322"/>
      <c r="F966" s="322"/>
      <c r="G966" s="322"/>
      <c r="H966" s="322"/>
      <c r="I966" s="322"/>
      <c r="J966" s="322"/>
      <c r="K966" s="322"/>
      <c r="L966" s="322"/>
      <c r="M966" s="322"/>
      <c r="N966" s="322"/>
      <c r="O966" s="322"/>
      <c r="P966" s="322"/>
      <c r="Q966" s="322"/>
      <c r="R966" s="322"/>
      <c r="S966" s="322"/>
      <c r="T966" s="322"/>
      <c r="U966" s="322"/>
      <c r="V966" s="322"/>
      <c r="W966" s="322"/>
      <c r="X966" s="322"/>
      <c r="Y966" s="322"/>
      <c r="Z966" s="322"/>
      <c r="AA966" s="322"/>
      <c r="AB966" s="322"/>
      <c r="AC966" s="322"/>
      <c r="AD966" s="322"/>
      <c r="AE966" s="322"/>
      <c r="AF966" s="322"/>
      <c r="AG966" s="322"/>
      <c r="AH966" s="322"/>
      <c r="AI966" s="322"/>
      <c r="AJ966" s="322"/>
      <c r="AK966" s="322"/>
    </row>
    <row r="967" spans="1:37" ht="18" customHeight="1">
      <c r="A967" s="322"/>
      <c r="B967" s="322"/>
      <c r="C967" s="451"/>
      <c r="D967" s="322"/>
      <c r="E967" s="322"/>
      <c r="F967" s="322"/>
      <c r="G967" s="322"/>
      <c r="H967" s="322"/>
      <c r="I967" s="322"/>
      <c r="J967" s="322"/>
      <c r="K967" s="322"/>
      <c r="L967" s="322"/>
      <c r="M967" s="322"/>
      <c r="N967" s="322"/>
      <c r="O967" s="322"/>
      <c r="P967" s="322"/>
      <c r="Q967" s="322"/>
      <c r="R967" s="322"/>
      <c r="S967" s="322"/>
      <c r="T967" s="322"/>
      <c r="U967" s="322"/>
      <c r="V967" s="322"/>
      <c r="W967" s="322"/>
      <c r="X967" s="322"/>
      <c r="Y967" s="322"/>
      <c r="Z967" s="322"/>
      <c r="AA967" s="322"/>
      <c r="AB967" s="322"/>
      <c r="AC967" s="322"/>
      <c r="AD967" s="322"/>
      <c r="AE967" s="322"/>
      <c r="AF967" s="322"/>
      <c r="AG967" s="322"/>
      <c r="AH967" s="322"/>
      <c r="AI967" s="322"/>
      <c r="AJ967" s="322"/>
      <c r="AK967" s="322"/>
    </row>
    <row r="968" spans="1:37" ht="18" customHeight="1">
      <c r="A968" s="322"/>
      <c r="B968" s="322"/>
      <c r="C968" s="451"/>
      <c r="D968" s="322"/>
      <c r="E968" s="322"/>
      <c r="F968" s="322"/>
      <c r="G968" s="322"/>
      <c r="H968" s="322"/>
      <c r="I968" s="322"/>
      <c r="J968" s="322"/>
      <c r="K968" s="322"/>
      <c r="L968" s="322"/>
      <c r="M968" s="322"/>
      <c r="N968" s="322"/>
      <c r="O968" s="322"/>
      <c r="P968" s="322"/>
      <c r="Q968" s="322"/>
      <c r="R968" s="322"/>
      <c r="S968" s="322"/>
      <c r="T968" s="322"/>
      <c r="U968" s="322"/>
      <c r="V968" s="322"/>
      <c r="W968" s="322"/>
      <c r="X968" s="322"/>
      <c r="Y968" s="322"/>
      <c r="Z968" s="322"/>
      <c r="AA968" s="322"/>
      <c r="AB968" s="322"/>
      <c r="AC968" s="322"/>
      <c r="AD968" s="322"/>
      <c r="AE968" s="322"/>
      <c r="AF968" s="322"/>
      <c r="AG968" s="322"/>
      <c r="AH968" s="322"/>
      <c r="AI968" s="322"/>
      <c r="AJ968" s="322"/>
      <c r="AK968" s="322"/>
    </row>
    <row r="969" spans="1:37" ht="18" customHeight="1">
      <c r="A969" s="322"/>
      <c r="B969" s="322"/>
      <c r="C969" s="451"/>
      <c r="D969" s="322"/>
      <c r="E969" s="322"/>
      <c r="F969" s="322"/>
      <c r="G969" s="322"/>
      <c r="H969" s="322"/>
      <c r="I969" s="322"/>
      <c r="J969" s="322"/>
      <c r="K969" s="322"/>
      <c r="L969" s="322"/>
      <c r="M969" s="322"/>
      <c r="N969" s="322"/>
      <c r="O969" s="322"/>
      <c r="P969" s="322"/>
      <c r="Q969" s="322"/>
      <c r="R969" s="322"/>
      <c r="S969" s="322"/>
      <c r="T969" s="322"/>
      <c r="U969" s="322"/>
      <c r="V969" s="322"/>
      <c r="W969" s="322"/>
      <c r="X969" s="322"/>
      <c r="Y969" s="322"/>
      <c r="Z969" s="322"/>
      <c r="AA969" s="322"/>
      <c r="AB969" s="322"/>
      <c r="AC969" s="322"/>
      <c r="AD969" s="322"/>
      <c r="AE969" s="322"/>
      <c r="AF969" s="322"/>
      <c r="AG969" s="322"/>
      <c r="AH969" s="322"/>
      <c r="AI969" s="322"/>
      <c r="AJ969" s="322"/>
      <c r="AK969" s="322"/>
    </row>
    <row r="970" spans="1:37" ht="18" customHeight="1">
      <c r="A970" s="322"/>
      <c r="B970" s="322"/>
      <c r="C970" s="451"/>
      <c r="D970" s="322"/>
      <c r="E970" s="322"/>
      <c r="F970" s="322"/>
      <c r="G970" s="322"/>
      <c r="H970" s="322"/>
      <c r="I970" s="322"/>
      <c r="J970" s="322"/>
      <c r="K970" s="322"/>
      <c r="L970" s="322"/>
      <c r="M970" s="322"/>
      <c r="N970" s="322"/>
      <c r="O970" s="322"/>
      <c r="P970" s="322"/>
      <c r="Q970" s="322"/>
      <c r="R970" s="322"/>
      <c r="S970" s="322"/>
      <c r="T970" s="322"/>
      <c r="U970" s="322"/>
      <c r="V970" s="322"/>
      <c r="W970" s="322"/>
      <c r="X970" s="322"/>
      <c r="Y970" s="322"/>
      <c r="Z970" s="322"/>
      <c r="AA970" s="322"/>
      <c r="AB970" s="322"/>
      <c r="AC970" s="322"/>
      <c r="AD970" s="322"/>
      <c r="AE970" s="322"/>
      <c r="AF970" s="322"/>
      <c r="AG970" s="322"/>
      <c r="AH970" s="322"/>
      <c r="AI970" s="322"/>
      <c r="AJ970" s="322"/>
      <c r="AK970" s="322"/>
    </row>
    <row r="971" spans="1:37" ht="18" customHeight="1">
      <c r="A971" s="322"/>
      <c r="B971" s="322"/>
      <c r="C971" s="451"/>
      <c r="D971" s="322"/>
      <c r="E971" s="322"/>
      <c r="F971" s="322"/>
      <c r="G971" s="322"/>
      <c r="H971" s="322"/>
      <c r="I971" s="322"/>
      <c r="J971" s="322"/>
      <c r="K971" s="322"/>
      <c r="L971" s="322"/>
      <c r="M971" s="322"/>
      <c r="N971" s="322"/>
      <c r="O971" s="322"/>
      <c r="P971" s="322"/>
      <c r="Q971" s="322"/>
      <c r="R971" s="322"/>
      <c r="S971" s="322"/>
      <c r="T971" s="322"/>
      <c r="U971" s="322"/>
      <c r="V971" s="322"/>
      <c r="W971" s="322"/>
      <c r="X971" s="322"/>
      <c r="Y971" s="322"/>
      <c r="Z971" s="322"/>
      <c r="AA971" s="322"/>
      <c r="AB971" s="322"/>
      <c r="AC971" s="322"/>
      <c r="AD971" s="322"/>
      <c r="AE971" s="322"/>
      <c r="AF971" s="322"/>
      <c r="AG971" s="322"/>
      <c r="AH971" s="322"/>
      <c r="AI971" s="322"/>
      <c r="AJ971" s="322"/>
      <c r="AK971" s="322"/>
    </row>
    <row r="972" spans="1:37" ht="18" customHeight="1">
      <c r="A972" s="322"/>
      <c r="B972" s="322"/>
      <c r="C972" s="451"/>
      <c r="D972" s="322"/>
      <c r="E972" s="322"/>
      <c r="F972" s="322"/>
      <c r="G972" s="322"/>
      <c r="H972" s="322"/>
      <c r="I972" s="322"/>
      <c r="J972" s="322"/>
      <c r="K972" s="322"/>
      <c r="L972" s="322"/>
      <c r="M972" s="322"/>
      <c r="N972" s="322"/>
      <c r="O972" s="322"/>
      <c r="P972" s="322"/>
      <c r="Q972" s="322"/>
      <c r="R972" s="322"/>
      <c r="S972" s="322"/>
      <c r="T972" s="322"/>
      <c r="U972" s="322"/>
      <c r="V972" s="322"/>
      <c r="W972" s="322"/>
      <c r="X972" s="322"/>
      <c r="Y972" s="322"/>
      <c r="Z972" s="322"/>
      <c r="AA972" s="322"/>
      <c r="AB972" s="322"/>
      <c r="AC972" s="322"/>
      <c r="AD972" s="322"/>
      <c r="AE972" s="322"/>
      <c r="AF972" s="322"/>
      <c r="AG972" s="322"/>
      <c r="AH972" s="322"/>
      <c r="AI972" s="322"/>
      <c r="AJ972" s="322"/>
      <c r="AK972" s="322"/>
    </row>
    <row r="973" spans="1:37" ht="18" customHeight="1">
      <c r="A973" s="322"/>
      <c r="B973" s="322"/>
      <c r="C973" s="451"/>
      <c r="D973" s="322"/>
      <c r="E973" s="322"/>
      <c r="F973" s="322"/>
      <c r="G973" s="322"/>
      <c r="H973" s="322"/>
      <c r="I973" s="322"/>
      <c r="J973" s="322"/>
      <c r="K973" s="322"/>
      <c r="L973" s="322"/>
      <c r="M973" s="322"/>
      <c r="N973" s="322"/>
      <c r="O973" s="322"/>
      <c r="P973" s="322"/>
      <c r="Q973" s="322"/>
      <c r="R973" s="322"/>
      <c r="S973" s="322"/>
      <c r="T973" s="322"/>
      <c r="U973" s="322"/>
      <c r="V973" s="322"/>
      <c r="W973" s="322"/>
      <c r="X973" s="322"/>
      <c r="Y973" s="322"/>
      <c r="Z973" s="322"/>
      <c r="AA973" s="322"/>
      <c r="AB973" s="322"/>
      <c r="AC973" s="322"/>
      <c r="AD973" s="322"/>
      <c r="AE973" s="322"/>
      <c r="AF973" s="322"/>
      <c r="AG973" s="322"/>
      <c r="AH973" s="322"/>
      <c r="AI973" s="322"/>
      <c r="AJ973" s="322"/>
      <c r="AK973" s="322"/>
    </row>
    <row r="974" spans="1:37" ht="18" customHeight="1">
      <c r="A974" s="322"/>
      <c r="B974" s="322"/>
      <c r="C974" s="451"/>
      <c r="D974" s="322"/>
      <c r="E974" s="322"/>
      <c r="F974" s="322"/>
      <c r="G974" s="322"/>
      <c r="H974" s="322"/>
      <c r="I974" s="322"/>
      <c r="J974" s="322"/>
      <c r="K974" s="322"/>
      <c r="L974" s="322"/>
      <c r="M974" s="322"/>
      <c r="N974" s="322"/>
      <c r="O974" s="322"/>
      <c r="P974" s="322"/>
      <c r="Q974" s="322"/>
      <c r="R974" s="322"/>
      <c r="S974" s="322"/>
      <c r="T974" s="322"/>
      <c r="U974" s="322"/>
      <c r="V974" s="322"/>
      <c r="W974" s="322"/>
      <c r="X974" s="322"/>
      <c r="Y974" s="322"/>
      <c r="Z974" s="322"/>
      <c r="AA974" s="322"/>
      <c r="AB974" s="322"/>
      <c r="AC974" s="322"/>
      <c r="AD974" s="322"/>
      <c r="AE974" s="322"/>
      <c r="AF974" s="322"/>
      <c r="AG974" s="322"/>
      <c r="AH974" s="322"/>
      <c r="AI974" s="322"/>
      <c r="AJ974" s="322"/>
      <c r="AK974" s="322"/>
    </row>
    <row r="975" spans="1:37" ht="18" customHeight="1">
      <c r="A975" s="322"/>
      <c r="B975" s="322"/>
      <c r="C975" s="451"/>
      <c r="D975" s="322"/>
      <c r="E975" s="322"/>
      <c r="F975" s="322"/>
      <c r="G975" s="322"/>
      <c r="H975" s="322"/>
      <c r="I975" s="322"/>
      <c r="J975" s="322"/>
      <c r="K975" s="322"/>
      <c r="L975" s="322"/>
      <c r="M975" s="322"/>
      <c r="N975" s="322"/>
      <c r="O975" s="322"/>
      <c r="P975" s="322"/>
      <c r="Q975" s="322"/>
      <c r="R975" s="322"/>
      <c r="S975" s="322"/>
      <c r="T975" s="322"/>
      <c r="U975" s="322"/>
      <c r="V975" s="322"/>
      <c r="W975" s="322"/>
      <c r="X975" s="322"/>
      <c r="Y975" s="322"/>
      <c r="Z975" s="322"/>
      <c r="AA975" s="322"/>
      <c r="AB975" s="322"/>
      <c r="AC975" s="322"/>
      <c r="AD975" s="322"/>
      <c r="AE975" s="322"/>
      <c r="AF975" s="322"/>
      <c r="AG975" s="322"/>
      <c r="AH975" s="322"/>
      <c r="AI975" s="322"/>
      <c r="AJ975" s="322"/>
      <c r="AK975" s="322"/>
    </row>
    <row r="976" spans="1:37" ht="18" customHeight="1">
      <c r="A976" s="322"/>
      <c r="B976" s="322"/>
      <c r="C976" s="451"/>
      <c r="D976" s="322"/>
      <c r="E976" s="322"/>
      <c r="F976" s="322"/>
      <c r="G976" s="322"/>
      <c r="H976" s="322"/>
      <c r="I976" s="322"/>
      <c r="J976" s="322"/>
      <c r="K976" s="322"/>
      <c r="L976" s="322"/>
      <c r="M976" s="322"/>
      <c r="N976" s="322"/>
      <c r="O976" s="322"/>
      <c r="P976" s="322"/>
      <c r="Q976" s="322"/>
      <c r="R976" s="322"/>
      <c r="S976" s="322"/>
      <c r="T976" s="322"/>
      <c r="U976" s="322"/>
      <c r="V976" s="322"/>
      <c r="W976" s="322"/>
      <c r="X976" s="322"/>
      <c r="Y976" s="322"/>
      <c r="Z976" s="322"/>
      <c r="AA976" s="322"/>
      <c r="AB976" s="322"/>
      <c r="AC976" s="322"/>
      <c r="AD976" s="322"/>
      <c r="AE976" s="322"/>
      <c r="AF976" s="322"/>
      <c r="AG976" s="322"/>
      <c r="AH976" s="322"/>
      <c r="AI976" s="322"/>
      <c r="AJ976" s="322"/>
      <c r="AK976" s="322"/>
    </row>
    <row r="977" spans="1:37" ht="18" customHeight="1">
      <c r="A977" s="322"/>
      <c r="B977" s="322"/>
      <c r="C977" s="451"/>
      <c r="D977" s="322"/>
      <c r="E977" s="322"/>
      <c r="F977" s="322"/>
      <c r="G977" s="322"/>
      <c r="H977" s="322"/>
      <c r="I977" s="322"/>
      <c r="J977" s="322"/>
      <c r="K977" s="322"/>
      <c r="L977" s="322"/>
      <c r="M977" s="322"/>
      <c r="N977" s="322"/>
      <c r="O977" s="322"/>
      <c r="P977" s="322"/>
      <c r="Q977" s="322"/>
      <c r="R977" s="322"/>
      <c r="S977" s="322"/>
      <c r="T977" s="322"/>
      <c r="U977" s="322"/>
      <c r="V977" s="322"/>
      <c r="W977" s="322"/>
      <c r="X977" s="322"/>
      <c r="Y977" s="322"/>
      <c r="Z977" s="322"/>
      <c r="AA977" s="322"/>
      <c r="AB977" s="322"/>
      <c r="AC977" s="322"/>
      <c r="AD977" s="322"/>
      <c r="AE977" s="322"/>
      <c r="AF977" s="322"/>
      <c r="AG977" s="322"/>
      <c r="AH977" s="322"/>
      <c r="AI977" s="322"/>
      <c r="AJ977" s="322"/>
      <c r="AK977" s="322"/>
    </row>
    <row r="978" spans="1:37" ht="18" customHeight="1">
      <c r="A978" s="322"/>
      <c r="B978" s="322"/>
      <c r="C978" s="451"/>
      <c r="D978" s="322"/>
      <c r="E978" s="322"/>
      <c r="F978" s="322"/>
      <c r="G978" s="322"/>
      <c r="H978" s="322"/>
      <c r="I978" s="322"/>
      <c r="J978" s="322"/>
      <c r="K978" s="322"/>
      <c r="L978" s="322"/>
      <c r="M978" s="322"/>
      <c r="N978" s="322"/>
      <c r="O978" s="322"/>
      <c r="P978" s="322"/>
      <c r="Q978" s="322"/>
      <c r="R978" s="322"/>
      <c r="S978" s="322"/>
      <c r="T978" s="322"/>
      <c r="U978" s="322"/>
      <c r="V978" s="322"/>
      <c r="W978" s="322"/>
      <c r="X978" s="322"/>
      <c r="Y978" s="322"/>
      <c r="Z978" s="322"/>
      <c r="AA978" s="322"/>
      <c r="AB978" s="322"/>
      <c r="AC978" s="322"/>
      <c r="AD978" s="322"/>
      <c r="AE978" s="322"/>
      <c r="AF978" s="322"/>
      <c r="AG978" s="322"/>
      <c r="AH978" s="322"/>
      <c r="AI978" s="322"/>
      <c r="AJ978" s="322"/>
      <c r="AK978" s="322"/>
    </row>
    <row r="979" spans="1:37" ht="18" customHeight="1">
      <c r="A979" s="322"/>
      <c r="B979" s="322"/>
      <c r="C979" s="451"/>
      <c r="D979" s="322"/>
      <c r="E979" s="322"/>
      <c r="F979" s="322"/>
      <c r="G979" s="322"/>
      <c r="H979" s="322"/>
      <c r="I979" s="322"/>
      <c r="J979" s="322"/>
      <c r="K979" s="322"/>
      <c r="L979" s="322"/>
      <c r="M979" s="322"/>
      <c r="N979" s="322"/>
      <c r="O979" s="322"/>
      <c r="P979" s="322"/>
      <c r="Q979" s="322"/>
      <c r="R979" s="322"/>
      <c r="S979" s="322"/>
      <c r="T979" s="322"/>
      <c r="U979" s="322"/>
      <c r="V979" s="322"/>
      <c r="W979" s="322"/>
      <c r="X979" s="322"/>
      <c r="Y979" s="322"/>
      <c r="Z979" s="322"/>
      <c r="AA979" s="322"/>
      <c r="AB979" s="322"/>
      <c r="AC979" s="322"/>
      <c r="AD979" s="322"/>
      <c r="AE979" s="322"/>
      <c r="AF979" s="322"/>
      <c r="AG979" s="322"/>
      <c r="AH979" s="322"/>
      <c r="AI979" s="322"/>
      <c r="AJ979" s="322"/>
      <c r="AK979" s="322"/>
    </row>
    <row r="980" spans="1:37" ht="18" customHeight="1">
      <c r="A980" s="322"/>
      <c r="B980" s="322"/>
      <c r="C980" s="451"/>
      <c r="D980" s="322"/>
      <c r="E980" s="322"/>
      <c r="F980" s="322"/>
      <c r="G980" s="322"/>
      <c r="H980" s="322"/>
      <c r="I980" s="322"/>
      <c r="J980" s="322"/>
      <c r="K980" s="322"/>
      <c r="L980" s="322"/>
      <c r="M980" s="322"/>
      <c r="N980" s="322"/>
      <c r="O980" s="322"/>
      <c r="P980" s="322"/>
      <c r="Q980" s="322"/>
      <c r="R980" s="322"/>
      <c r="S980" s="322"/>
      <c r="T980" s="322"/>
      <c r="U980" s="322"/>
      <c r="V980" s="322"/>
      <c r="W980" s="322"/>
      <c r="X980" s="322"/>
      <c r="Y980" s="322"/>
      <c r="Z980" s="322"/>
      <c r="AA980" s="322"/>
      <c r="AB980" s="322"/>
      <c r="AC980" s="322"/>
      <c r="AD980" s="322"/>
      <c r="AE980" s="322"/>
      <c r="AF980" s="322"/>
      <c r="AG980" s="322"/>
      <c r="AH980" s="322"/>
      <c r="AI980" s="322"/>
      <c r="AJ980" s="322"/>
      <c r="AK980" s="322"/>
    </row>
    <row r="981" spans="1:37" ht="18" customHeight="1">
      <c r="A981" s="322"/>
      <c r="B981" s="322"/>
      <c r="C981" s="451"/>
      <c r="D981" s="322"/>
      <c r="E981" s="322"/>
      <c r="F981" s="322"/>
      <c r="G981" s="322"/>
      <c r="H981" s="322"/>
      <c r="I981" s="322"/>
      <c r="J981" s="322"/>
      <c r="K981" s="322"/>
      <c r="L981" s="322"/>
      <c r="M981" s="322"/>
      <c r="N981" s="322"/>
      <c r="O981" s="322"/>
      <c r="P981" s="322"/>
      <c r="Q981" s="322"/>
      <c r="R981" s="322"/>
      <c r="S981" s="322"/>
      <c r="T981" s="322"/>
      <c r="U981" s="322"/>
      <c r="V981" s="322"/>
      <c r="W981" s="322"/>
      <c r="X981" s="322"/>
      <c r="Y981" s="322"/>
      <c r="Z981" s="322"/>
      <c r="AA981" s="322"/>
      <c r="AB981" s="322"/>
      <c r="AC981" s="322"/>
      <c r="AD981" s="322"/>
      <c r="AE981" s="322"/>
      <c r="AF981" s="322"/>
      <c r="AG981" s="322"/>
      <c r="AH981" s="322"/>
      <c r="AI981" s="322"/>
      <c r="AJ981" s="322"/>
      <c r="AK981" s="322"/>
    </row>
    <row r="982" spans="1:37" ht="18" customHeight="1">
      <c r="A982" s="322"/>
      <c r="B982" s="322"/>
      <c r="C982" s="451"/>
      <c r="D982" s="322"/>
      <c r="E982" s="322"/>
      <c r="F982" s="322"/>
      <c r="G982" s="322"/>
      <c r="H982" s="322"/>
      <c r="I982" s="322"/>
      <c r="J982" s="322"/>
      <c r="K982" s="322"/>
      <c r="L982" s="322"/>
      <c r="M982" s="322"/>
      <c r="N982" s="322"/>
      <c r="O982" s="322"/>
      <c r="P982" s="322"/>
      <c r="Q982" s="322"/>
      <c r="R982" s="322"/>
      <c r="S982" s="322"/>
      <c r="T982" s="322"/>
      <c r="U982" s="322"/>
      <c r="V982" s="322"/>
      <c r="W982" s="322"/>
      <c r="X982" s="322"/>
      <c r="Y982" s="322"/>
      <c r="Z982" s="322"/>
      <c r="AA982" s="322"/>
      <c r="AB982" s="322"/>
      <c r="AC982" s="322"/>
      <c r="AD982" s="322"/>
      <c r="AE982" s="322"/>
      <c r="AF982" s="322"/>
      <c r="AG982" s="322"/>
      <c r="AH982" s="322"/>
      <c r="AI982" s="322"/>
      <c r="AJ982" s="322"/>
      <c r="AK982" s="322"/>
    </row>
    <row r="983" spans="1:37" ht="18" customHeight="1">
      <c r="A983" s="322"/>
      <c r="B983" s="322"/>
      <c r="C983" s="451"/>
      <c r="D983" s="322"/>
      <c r="E983" s="322"/>
      <c r="F983" s="322"/>
      <c r="G983" s="322"/>
      <c r="H983" s="322"/>
      <c r="I983" s="322"/>
      <c r="J983" s="322"/>
      <c r="K983" s="322"/>
      <c r="L983" s="322"/>
      <c r="M983" s="322"/>
      <c r="N983" s="322"/>
      <c r="O983" s="322"/>
      <c r="P983" s="322"/>
      <c r="Q983" s="322"/>
      <c r="R983" s="322"/>
      <c r="S983" s="322"/>
      <c r="T983" s="322"/>
      <c r="U983" s="322"/>
      <c r="V983" s="322"/>
      <c r="W983" s="322"/>
      <c r="X983" s="322"/>
      <c r="Y983" s="322"/>
      <c r="Z983" s="322"/>
      <c r="AA983" s="322"/>
      <c r="AB983" s="322"/>
      <c r="AC983" s="322"/>
      <c r="AD983" s="322"/>
      <c r="AE983" s="322"/>
      <c r="AF983" s="322"/>
      <c r="AG983" s="322"/>
      <c r="AH983" s="322"/>
      <c r="AI983" s="322"/>
      <c r="AJ983" s="322"/>
      <c r="AK983" s="322"/>
    </row>
    <row r="984" spans="1:37" ht="18" customHeight="1">
      <c r="A984" s="322"/>
      <c r="B984" s="322"/>
      <c r="C984" s="451"/>
      <c r="D984" s="322"/>
      <c r="E984" s="322"/>
      <c r="F984" s="322"/>
      <c r="G984" s="322"/>
      <c r="H984" s="322"/>
      <c r="I984" s="322"/>
      <c r="J984" s="322"/>
      <c r="K984" s="322"/>
      <c r="L984" s="322"/>
      <c r="M984" s="322"/>
      <c r="N984" s="322"/>
      <c r="O984" s="322"/>
      <c r="P984" s="322"/>
      <c r="Q984" s="322"/>
      <c r="R984" s="322"/>
      <c r="S984" s="322"/>
      <c r="T984" s="322"/>
      <c r="U984" s="322"/>
      <c r="V984" s="322"/>
      <c r="W984" s="322"/>
      <c r="X984" s="322"/>
      <c r="Y984" s="322"/>
      <c r="Z984" s="322"/>
      <c r="AA984" s="322"/>
      <c r="AB984" s="322"/>
      <c r="AC984" s="322"/>
      <c r="AD984" s="322"/>
      <c r="AE984" s="322"/>
      <c r="AF984" s="322"/>
      <c r="AG984" s="322"/>
      <c r="AH984" s="322"/>
      <c r="AI984" s="322"/>
      <c r="AJ984" s="322"/>
      <c r="AK984" s="322"/>
    </row>
    <row r="985" spans="1:37" ht="18" customHeight="1">
      <c r="A985" s="322"/>
      <c r="B985" s="322"/>
      <c r="C985" s="451"/>
      <c r="D985" s="322"/>
      <c r="E985" s="322"/>
      <c r="F985" s="322"/>
      <c r="G985" s="322"/>
      <c r="H985" s="322"/>
      <c r="I985" s="322"/>
      <c r="J985" s="322"/>
      <c r="K985" s="322"/>
      <c r="L985" s="322"/>
      <c r="M985" s="322"/>
      <c r="N985" s="322"/>
      <c r="O985" s="322"/>
      <c r="P985" s="322"/>
      <c r="Q985" s="322"/>
      <c r="R985" s="322"/>
      <c r="S985" s="322"/>
      <c r="T985" s="322"/>
      <c r="U985" s="322"/>
      <c r="V985" s="322"/>
      <c r="W985" s="322"/>
      <c r="X985" s="322"/>
      <c r="Y985" s="322"/>
      <c r="Z985" s="322"/>
      <c r="AA985" s="322"/>
      <c r="AB985" s="322"/>
      <c r="AC985" s="322"/>
      <c r="AD985" s="322"/>
      <c r="AE985" s="322"/>
      <c r="AF985" s="322"/>
      <c r="AG985" s="322"/>
      <c r="AH985" s="322"/>
      <c r="AI985" s="322"/>
      <c r="AJ985" s="322"/>
      <c r="AK985" s="322"/>
    </row>
    <row r="986" spans="1:37" ht="18" customHeight="1">
      <c r="A986" s="322"/>
      <c r="B986" s="322"/>
      <c r="C986" s="451"/>
      <c r="D986" s="322"/>
      <c r="E986" s="322"/>
      <c r="F986" s="322"/>
      <c r="G986" s="322"/>
      <c r="H986" s="322"/>
      <c r="I986" s="322"/>
      <c r="J986" s="322"/>
      <c r="K986" s="322"/>
      <c r="L986" s="322"/>
      <c r="M986" s="322"/>
      <c r="N986" s="322"/>
      <c r="O986" s="322"/>
      <c r="P986" s="322"/>
      <c r="Q986" s="322"/>
      <c r="R986" s="322"/>
      <c r="S986" s="322"/>
      <c r="T986" s="322"/>
      <c r="U986" s="322"/>
      <c r="V986" s="322"/>
      <c r="W986" s="322"/>
      <c r="X986" s="322"/>
      <c r="Y986" s="322"/>
      <c r="Z986" s="322"/>
      <c r="AA986" s="322"/>
      <c r="AB986" s="322"/>
      <c r="AC986" s="322"/>
      <c r="AD986" s="322"/>
      <c r="AE986" s="322"/>
      <c r="AF986" s="322"/>
      <c r="AG986" s="322"/>
      <c r="AH986" s="322"/>
      <c r="AI986" s="322"/>
      <c r="AJ986" s="322"/>
      <c r="AK986" s="322"/>
    </row>
    <row r="987" spans="1:37" ht="18" customHeight="1">
      <c r="A987" s="322"/>
      <c r="B987" s="322"/>
      <c r="C987" s="451"/>
      <c r="D987" s="322"/>
      <c r="E987" s="322"/>
      <c r="F987" s="322"/>
      <c r="G987" s="322"/>
      <c r="H987" s="322"/>
      <c r="I987" s="322"/>
      <c r="J987" s="322"/>
      <c r="K987" s="322"/>
      <c r="L987" s="322"/>
      <c r="M987" s="322"/>
      <c r="N987" s="322"/>
      <c r="O987" s="322"/>
      <c r="P987" s="322"/>
      <c r="Q987" s="322"/>
      <c r="R987" s="322"/>
      <c r="S987" s="322"/>
      <c r="T987" s="322"/>
      <c r="U987" s="322"/>
      <c r="V987" s="322"/>
      <c r="W987" s="322"/>
      <c r="X987" s="322"/>
      <c r="Y987" s="322"/>
      <c r="Z987" s="322"/>
      <c r="AA987" s="322"/>
      <c r="AB987" s="322"/>
      <c r="AC987" s="322"/>
      <c r="AD987" s="322"/>
      <c r="AE987" s="322"/>
      <c r="AF987" s="322"/>
      <c r="AG987" s="322"/>
      <c r="AH987" s="322"/>
      <c r="AI987" s="322"/>
      <c r="AJ987" s="322"/>
      <c r="AK987" s="322"/>
    </row>
    <row r="988" spans="1:37" ht="18" customHeight="1">
      <c r="A988" s="322"/>
      <c r="B988" s="322"/>
      <c r="C988" s="451"/>
      <c r="D988" s="322"/>
      <c r="E988" s="322"/>
      <c r="F988" s="322"/>
      <c r="G988" s="322"/>
      <c r="H988" s="322"/>
      <c r="I988" s="322"/>
      <c r="J988" s="322"/>
      <c r="K988" s="322"/>
      <c r="L988" s="322"/>
      <c r="M988" s="322"/>
      <c r="N988" s="322"/>
      <c r="O988" s="322"/>
      <c r="P988" s="322"/>
      <c r="Q988" s="322"/>
      <c r="R988" s="322"/>
      <c r="S988" s="322"/>
      <c r="T988" s="322"/>
      <c r="U988" s="322"/>
      <c r="V988" s="322"/>
      <c r="W988" s="322"/>
      <c r="X988" s="322"/>
      <c r="Y988" s="322"/>
      <c r="Z988" s="322"/>
      <c r="AA988" s="322"/>
      <c r="AB988" s="322"/>
      <c r="AC988" s="322"/>
      <c r="AD988" s="322"/>
      <c r="AE988" s="322"/>
      <c r="AF988" s="322"/>
      <c r="AG988" s="322"/>
      <c r="AH988" s="322"/>
      <c r="AI988" s="322"/>
      <c r="AJ988" s="322"/>
      <c r="AK988" s="322"/>
    </row>
    <row r="989" spans="1:37" ht="18" customHeight="1">
      <c r="A989" s="322"/>
      <c r="B989" s="322"/>
      <c r="C989" s="451"/>
      <c r="D989" s="322"/>
      <c r="E989" s="322"/>
      <c r="F989" s="322"/>
      <c r="G989" s="322"/>
      <c r="H989" s="322"/>
      <c r="I989" s="322"/>
      <c r="J989" s="322"/>
      <c r="K989" s="322"/>
      <c r="L989" s="322"/>
      <c r="M989" s="322"/>
      <c r="N989" s="322"/>
      <c r="O989" s="322"/>
      <c r="P989" s="322"/>
      <c r="Q989" s="322"/>
      <c r="R989" s="322"/>
      <c r="S989" s="322"/>
      <c r="T989" s="322"/>
      <c r="U989" s="322"/>
      <c r="V989" s="322"/>
      <c r="W989" s="322"/>
      <c r="X989" s="322"/>
      <c r="Y989" s="322"/>
      <c r="Z989" s="322"/>
      <c r="AA989" s="322"/>
      <c r="AB989" s="322"/>
      <c r="AC989" s="322"/>
      <c r="AD989" s="322"/>
      <c r="AE989" s="322"/>
      <c r="AF989" s="322"/>
      <c r="AG989" s="322"/>
      <c r="AH989" s="322"/>
      <c r="AI989" s="322"/>
      <c r="AJ989" s="322"/>
      <c r="AK989" s="322"/>
    </row>
    <row r="990" spans="1:37" ht="18" customHeight="1">
      <c r="A990" s="322"/>
      <c r="B990" s="322"/>
      <c r="C990" s="451"/>
      <c r="D990" s="322"/>
      <c r="E990" s="322"/>
      <c r="F990" s="322"/>
      <c r="G990" s="322"/>
      <c r="H990" s="322"/>
      <c r="I990" s="322"/>
      <c r="J990" s="322"/>
      <c r="K990" s="322"/>
      <c r="L990" s="322"/>
      <c r="M990" s="322"/>
      <c r="N990" s="322"/>
      <c r="O990" s="322"/>
      <c r="P990" s="322"/>
      <c r="Q990" s="322"/>
      <c r="R990" s="322"/>
      <c r="S990" s="322"/>
      <c r="T990" s="322"/>
      <c r="U990" s="322"/>
      <c r="V990" s="322"/>
      <c r="W990" s="322"/>
      <c r="X990" s="322"/>
      <c r="Y990" s="322"/>
      <c r="Z990" s="322"/>
      <c r="AA990" s="322"/>
      <c r="AB990" s="322"/>
      <c r="AC990" s="322"/>
      <c r="AD990" s="322"/>
      <c r="AE990" s="322"/>
      <c r="AF990" s="322"/>
      <c r="AG990" s="322"/>
      <c r="AH990" s="322"/>
      <c r="AI990" s="322"/>
      <c r="AJ990" s="322"/>
      <c r="AK990" s="322"/>
    </row>
    <row r="991" spans="1:37" ht="18" customHeight="1">
      <c r="A991" s="322"/>
      <c r="B991" s="322"/>
      <c r="C991" s="451"/>
      <c r="D991" s="322"/>
      <c r="E991" s="322"/>
      <c r="F991" s="322"/>
      <c r="G991" s="322"/>
      <c r="H991" s="322"/>
      <c r="I991" s="322"/>
      <c r="J991" s="322"/>
      <c r="K991" s="322"/>
      <c r="L991" s="322"/>
      <c r="M991" s="322"/>
      <c r="N991" s="322"/>
      <c r="O991" s="322"/>
      <c r="P991" s="322"/>
      <c r="Q991" s="322"/>
      <c r="R991" s="322"/>
      <c r="S991" s="322"/>
      <c r="T991" s="322"/>
      <c r="U991" s="322"/>
      <c r="V991" s="322"/>
      <c r="W991" s="322"/>
      <c r="X991" s="322"/>
      <c r="Y991" s="322"/>
      <c r="Z991" s="322"/>
      <c r="AA991" s="322"/>
      <c r="AB991" s="322"/>
      <c r="AC991" s="322"/>
      <c r="AD991" s="322"/>
      <c r="AE991" s="322"/>
      <c r="AF991" s="322"/>
      <c r="AG991" s="322"/>
      <c r="AH991" s="322"/>
      <c r="AI991" s="322"/>
      <c r="AJ991" s="322"/>
      <c r="AK991" s="322"/>
    </row>
    <row r="992" spans="1:37" ht="18" customHeight="1">
      <c r="A992" s="322"/>
      <c r="B992" s="322"/>
      <c r="C992" s="451"/>
      <c r="D992" s="322"/>
      <c r="E992" s="322"/>
      <c r="F992" s="322"/>
      <c r="G992" s="322"/>
      <c r="H992" s="322"/>
      <c r="I992" s="322"/>
      <c r="J992" s="322"/>
      <c r="K992" s="322"/>
      <c r="L992" s="322"/>
      <c r="M992" s="322"/>
      <c r="N992" s="322"/>
      <c r="O992" s="322"/>
      <c r="P992" s="322"/>
      <c r="Q992" s="322"/>
      <c r="R992" s="322"/>
      <c r="S992" s="322"/>
      <c r="T992" s="322"/>
      <c r="U992" s="322"/>
      <c r="V992" s="322"/>
      <c r="W992" s="322"/>
      <c r="X992" s="322"/>
      <c r="Y992" s="322"/>
      <c r="Z992" s="322"/>
      <c r="AA992" s="322"/>
      <c r="AB992" s="322"/>
      <c r="AC992" s="322"/>
      <c r="AD992" s="322"/>
      <c r="AE992" s="322"/>
      <c r="AF992" s="322"/>
      <c r="AG992" s="322"/>
      <c r="AH992" s="322"/>
      <c r="AI992" s="322"/>
      <c r="AJ992" s="322"/>
      <c r="AK992" s="322"/>
    </row>
    <row r="993" spans="1:37" ht="18" customHeight="1">
      <c r="A993" s="322"/>
      <c r="B993" s="322"/>
      <c r="C993" s="451"/>
      <c r="D993" s="322"/>
      <c r="E993" s="322"/>
      <c r="F993" s="322"/>
      <c r="G993" s="322"/>
      <c r="H993" s="322"/>
      <c r="I993" s="322"/>
      <c r="J993" s="322"/>
      <c r="K993" s="322"/>
      <c r="L993" s="322"/>
      <c r="M993" s="322"/>
      <c r="N993" s="322"/>
      <c r="O993" s="322"/>
      <c r="P993" s="322"/>
      <c r="Q993" s="322"/>
      <c r="R993" s="322"/>
      <c r="S993" s="322"/>
      <c r="T993" s="322"/>
      <c r="U993" s="322"/>
      <c r="V993" s="322"/>
      <c r="W993" s="322"/>
      <c r="X993" s="322"/>
      <c r="Y993" s="322"/>
      <c r="Z993" s="322"/>
      <c r="AA993" s="322"/>
      <c r="AB993" s="322"/>
      <c r="AC993" s="322"/>
      <c r="AD993" s="322"/>
      <c r="AE993" s="322"/>
      <c r="AF993" s="322"/>
      <c r="AG993" s="322"/>
      <c r="AH993" s="322"/>
      <c r="AI993" s="322"/>
      <c r="AJ993" s="322"/>
      <c r="AK993" s="322"/>
    </row>
    <row r="994" spans="1:37" ht="18" customHeight="1">
      <c r="A994" s="322"/>
      <c r="B994" s="322"/>
      <c r="C994" s="451"/>
      <c r="D994" s="322"/>
      <c r="E994" s="322"/>
      <c r="F994" s="322"/>
      <c r="G994" s="322"/>
      <c r="H994" s="322"/>
      <c r="I994" s="322"/>
      <c r="J994" s="322"/>
      <c r="K994" s="322"/>
      <c r="L994" s="322"/>
      <c r="M994" s="322"/>
      <c r="N994" s="322"/>
      <c r="O994" s="322"/>
      <c r="P994" s="322"/>
      <c r="Q994" s="322"/>
      <c r="R994" s="322"/>
      <c r="S994" s="322"/>
      <c r="T994" s="322"/>
      <c r="U994" s="322"/>
      <c r="V994" s="322"/>
      <c r="W994" s="322"/>
      <c r="X994" s="322"/>
      <c r="Y994" s="322"/>
      <c r="Z994" s="322"/>
      <c r="AA994" s="322"/>
      <c r="AB994" s="322"/>
      <c r="AC994" s="322"/>
      <c r="AD994" s="322"/>
      <c r="AE994" s="322"/>
      <c r="AF994" s="322"/>
      <c r="AG994" s="322"/>
      <c r="AH994" s="322"/>
      <c r="AI994" s="322"/>
      <c r="AJ994" s="322"/>
      <c r="AK994" s="322"/>
    </row>
    <row r="995" spans="1:37" ht="18" customHeight="1">
      <c r="A995" s="322"/>
      <c r="B995" s="322"/>
      <c r="C995" s="451"/>
      <c r="D995" s="322"/>
      <c r="E995" s="322"/>
      <c r="F995" s="322"/>
      <c r="G995" s="322"/>
      <c r="H995" s="322"/>
      <c r="I995" s="322"/>
      <c r="J995" s="322"/>
      <c r="K995" s="322"/>
      <c r="L995" s="322"/>
      <c r="M995" s="322"/>
      <c r="N995" s="322"/>
      <c r="O995" s="322"/>
      <c r="P995" s="322"/>
      <c r="Q995" s="322"/>
      <c r="R995" s="322"/>
      <c r="S995" s="322"/>
      <c r="T995" s="322"/>
      <c r="U995" s="322"/>
      <c r="V995" s="322"/>
      <c r="W995" s="322"/>
      <c r="X995" s="322"/>
      <c r="Y995" s="322"/>
      <c r="Z995" s="322"/>
      <c r="AA995" s="322"/>
      <c r="AB995" s="322"/>
      <c r="AC995" s="322"/>
      <c r="AD995" s="322"/>
      <c r="AE995" s="322"/>
      <c r="AF995" s="322"/>
      <c r="AG995" s="322"/>
      <c r="AH995" s="322"/>
      <c r="AI995" s="322"/>
      <c r="AJ995" s="322"/>
      <c r="AK995" s="322"/>
    </row>
    <row r="996" spans="1:37" ht="18" customHeight="1">
      <c r="A996" s="322"/>
      <c r="B996" s="322"/>
      <c r="C996" s="451"/>
      <c r="D996" s="322"/>
      <c r="E996" s="322"/>
      <c r="F996" s="322"/>
      <c r="G996" s="322"/>
      <c r="H996" s="322"/>
      <c r="I996" s="322"/>
      <c r="J996" s="322"/>
      <c r="K996" s="322"/>
      <c r="L996" s="322"/>
      <c r="M996" s="322"/>
      <c r="N996" s="322"/>
      <c r="O996" s="322"/>
      <c r="P996" s="322"/>
      <c r="Q996" s="322"/>
      <c r="R996" s="322"/>
      <c r="S996" s="322"/>
      <c r="T996" s="322"/>
      <c r="U996" s="322"/>
      <c r="V996" s="322"/>
      <c r="W996" s="322"/>
      <c r="X996" s="322"/>
      <c r="Y996" s="322"/>
      <c r="Z996" s="322"/>
      <c r="AA996" s="322"/>
      <c r="AB996" s="322"/>
      <c r="AC996" s="322"/>
      <c r="AD996" s="322"/>
      <c r="AE996" s="322"/>
      <c r="AF996" s="322"/>
      <c r="AG996" s="322"/>
      <c r="AH996" s="322"/>
      <c r="AI996" s="322"/>
      <c r="AJ996" s="322"/>
      <c r="AK996" s="322"/>
    </row>
    <row r="997" spans="1:37" ht="18" customHeight="1">
      <c r="A997" s="322"/>
      <c r="B997" s="322"/>
      <c r="C997" s="451"/>
      <c r="D997" s="322"/>
      <c r="E997" s="322"/>
      <c r="F997" s="322"/>
      <c r="G997" s="322"/>
      <c r="H997" s="322"/>
      <c r="I997" s="322"/>
      <c r="J997" s="322"/>
      <c r="K997" s="322"/>
      <c r="L997" s="322"/>
      <c r="M997" s="322"/>
      <c r="N997" s="322"/>
      <c r="O997" s="322"/>
      <c r="P997" s="322"/>
      <c r="Q997" s="322"/>
      <c r="R997" s="322"/>
      <c r="S997" s="322"/>
      <c r="T997" s="322"/>
      <c r="U997" s="322"/>
      <c r="V997" s="322"/>
      <c r="W997" s="322"/>
      <c r="X997" s="322"/>
      <c r="Y997" s="322"/>
      <c r="Z997" s="322"/>
      <c r="AA997" s="322"/>
      <c r="AB997" s="322"/>
      <c r="AC997" s="322"/>
      <c r="AD997" s="322"/>
      <c r="AE997" s="322"/>
      <c r="AF997" s="322"/>
      <c r="AG997" s="322"/>
      <c r="AH997" s="322"/>
      <c r="AI997" s="322"/>
      <c r="AJ997" s="322"/>
      <c r="AK997" s="322"/>
    </row>
    <row r="998" spans="1:37" ht="18" customHeight="1">
      <c r="A998" s="322"/>
      <c r="B998" s="322"/>
      <c r="C998" s="451"/>
      <c r="D998" s="322"/>
      <c r="E998" s="322"/>
      <c r="F998" s="322"/>
      <c r="G998" s="322"/>
      <c r="H998" s="322"/>
      <c r="I998" s="322"/>
      <c r="J998" s="322"/>
      <c r="K998" s="322"/>
      <c r="L998" s="322"/>
      <c r="M998" s="322"/>
      <c r="N998" s="322"/>
      <c r="O998" s="322"/>
      <c r="P998" s="322"/>
      <c r="Q998" s="322"/>
      <c r="R998" s="322"/>
      <c r="S998" s="322"/>
      <c r="T998" s="322"/>
      <c r="U998" s="322"/>
      <c r="V998" s="322"/>
      <c r="W998" s="322"/>
      <c r="X998" s="322"/>
      <c r="Y998" s="322"/>
      <c r="Z998" s="322"/>
      <c r="AA998" s="322"/>
      <c r="AB998" s="322"/>
      <c r="AC998" s="322"/>
      <c r="AD998" s="322"/>
      <c r="AE998" s="322"/>
      <c r="AF998" s="322"/>
      <c r="AG998" s="322"/>
      <c r="AH998" s="322"/>
      <c r="AI998" s="322"/>
      <c r="AJ998" s="322"/>
      <c r="AK998" s="322"/>
    </row>
    <row r="999" spans="1:37" ht="18" customHeight="1">
      <c r="A999" s="322"/>
      <c r="B999" s="322"/>
      <c r="C999" s="451"/>
      <c r="D999" s="322"/>
      <c r="E999" s="322"/>
      <c r="F999" s="322"/>
      <c r="G999" s="322"/>
      <c r="H999" s="322"/>
      <c r="I999" s="322"/>
      <c r="J999" s="322"/>
      <c r="K999" s="322"/>
      <c r="L999" s="322"/>
      <c r="M999" s="322"/>
      <c r="N999" s="322"/>
      <c r="O999" s="322"/>
      <c r="P999" s="322"/>
      <c r="Q999" s="322"/>
      <c r="R999" s="322"/>
      <c r="S999" s="322"/>
      <c r="T999" s="322"/>
      <c r="U999" s="322"/>
      <c r="V999" s="322"/>
      <c r="W999" s="322"/>
      <c r="X999" s="322"/>
      <c r="Y999" s="322"/>
      <c r="Z999" s="322"/>
      <c r="AA999" s="322"/>
      <c r="AB999" s="322"/>
      <c r="AC999" s="322"/>
      <c r="AD999" s="322"/>
      <c r="AE999" s="322"/>
      <c r="AF999" s="322"/>
      <c r="AG999" s="322"/>
      <c r="AH999" s="322"/>
      <c r="AI999" s="322"/>
      <c r="AJ999" s="322"/>
      <c r="AK999" s="322"/>
    </row>
    <row r="1000" spans="1:37" ht="18" customHeight="1">
      <c r="A1000" s="322"/>
      <c r="B1000" s="322"/>
      <c r="C1000" s="451"/>
      <c r="D1000" s="322"/>
      <c r="E1000" s="322"/>
      <c r="F1000" s="322"/>
      <c r="G1000" s="322"/>
      <c r="H1000" s="322"/>
      <c r="I1000" s="322"/>
      <c r="J1000" s="322"/>
      <c r="K1000" s="322"/>
      <c r="L1000" s="322"/>
      <c r="M1000" s="322"/>
      <c r="N1000" s="322"/>
      <c r="O1000" s="322"/>
      <c r="P1000" s="322"/>
      <c r="Q1000" s="322"/>
      <c r="R1000" s="322"/>
      <c r="S1000" s="322"/>
      <c r="T1000" s="322"/>
      <c r="U1000" s="322"/>
      <c r="V1000" s="322"/>
      <c r="W1000" s="322"/>
      <c r="X1000" s="322"/>
      <c r="Y1000" s="322"/>
      <c r="Z1000" s="322"/>
      <c r="AA1000" s="322"/>
      <c r="AB1000" s="322"/>
      <c r="AC1000" s="322"/>
      <c r="AD1000" s="322"/>
      <c r="AE1000" s="322"/>
      <c r="AF1000" s="322"/>
      <c r="AG1000" s="322"/>
      <c r="AH1000" s="322"/>
      <c r="AI1000" s="322"/>
      <c r="AJ1000" s="322"/>
      <c r="AK1000" s="322"/>
    </row>
  </sheetData>
  <mergeCells count="123">
    <mergeCell ref="P24:Q24"/>
    <mergeCell ref="R24:S24"/>
    <mergeCell ref="T24:U24"/>
    <mergeCell ref="V24:W24"/>
    <mergeCell ref="X24:Y24"/>
    <mergeCell ref="Z24:AA24"/>
    <mergeCell ref="A23:C23"/>
    <mergeCell ref="D24:E24"/>
    <mergeCell ref="F24:G24"/>
    <mergeCell ref="H24:I24"/>
    <mergeCell ref="J24:K24"/>
    <mergeCell ref="L24:M24"/>
    <mergeCell ref="N24:O24"/>
    <mergeCell ref="T22:U22"/>
    <mergeCell ref="V22:W22"/>
    <mergeCell ref="X22:Y22"/>
    <mergeCell ref="Z22:AA22"/>
    <mergeCell ref="AC22:AD22"/>
    <mergeCell ref="A22:C22"/>
    <mergeCell ref="D22:E22"/>
    <mergeCell ref="F22:G22"/>
    <mergeCell ref="H22:I22"/>
    <mergeCell ref="J22:K22"/>
    <mergeCell ref="L22:M22"/>
    <mergeCell ref="N22:O22"/>
    <mergeCell ref="A3:B3"/>
    <mergeCell ref="H3:I3"/>
    <mergeCell ref="J3:K3"/>
    <mergeCell ref="L3:M3"/>
    <mergeCell ref="N3:O3"/>
    <mergeCell ref="A4:B7"/>
    <mergeCell ref="N4:O4"/>
    <mergeCell ref="P22:Q22"/>
    <mergeCell ref="R22:S22"/>
    <mergeCell ref="F3:G3"/>
    <mergeCell ref="D5:E5"/>
    <mergeCell ref="F5:G5"/>
    <mergeCell ref="A8:B10"/>
    <mergeCell ref="A11:B15"/>
    <mergeCell ref="A16:B18"/>
    <mergeCell ref="A19:B21"/>
    <mergeCell ref="A27:A61"/>
    <mergeCell ref="B27:B44"/>
    <mergeCell ref="B45:B61"/>
    <mergeCell ref="D67:E67"/>
    <mergeCell ref="F67:G67"/>
    <mergeCell ref="H67:I67"/>
    <mergeCell ref="J67:K67"/>
    <mergeCell ref="Z67:AA67"/>
    <mergeCell ref="AC67:AD67"/>
    <mergeCell ref="L67:M67"/>
    <mergeCell ref="N67:O67"/>
    <mergeCell ref="P67:Q67"/>
    <mergeCell ref="R67:S67"/>
    <mergeCell ref="T67:U67"/>
    <mergeCell ref="V67:W67"/>
    <mergeCell ref="X67:Y67"/>
    <mergeCell ref="R25:S25"/>
    <mergeCell ref="T25:U25"/>
    <mergeCell ref="V25:W25"/>
    <mergeCell ref="X25:Y25"/>
    <mergeCell ref="Z25:AA25"/>
    <mergeCell ref="D25:E25"/>
    <mergeCell ref="F25:G25"/>
    <mergeCell ref="H25:I25"/>
    <mergeCell ref="J25:K25"/>
    <mergeCell ref="L25:M25"/>
    <mergeCell ref="N25:O25"/>
    <mergeCell ref="P25:Q25"/>
    <mergeCell ref="Z7:AA7"/>
    <mergeCell ref="AC7:AD7"/>
    <mergeCell ref="H7:I7"/>
    <mergeCell ref="J7:K7"/>
    <mergeCell ref="P7:Q7"/>
    <mergeCell ref="R7:S7"/>
    <mergeCell ref="T7:U7"/>
    <mergeCell ref="V7:W7"/>
    <mergeCell ref="X7:Y7"/>
    <mergeCell ref="L7:M7"/>
    <mergeCell ref="N7:O7"/>
    <mergeCell ref="N5:O5"/>
    <mergeCell ref="D6:E6"/>
    <mergeCell ref="F6:G6"/>
    <mergeCell ref="H6:I6"/>
    <mergeCell ref="J6:K6"/>
    <mergeCell ref="L6:M6"/>
    <mergeCell ref="N6:O6"/>
    <mergeCell ref="D7:E7"/>
    <mergeCell ref="F7:G7"/>
    <mergeCell ref="P3:Q3"/>
    <mergeCell ref="R3:S3"/>
    <mergeCell ref="T3:U3"/>
    <mergeCell ref="V3:W3"/>
    <mergeCell ref="X3:Y3"/>
    <mergeCell ref="Z3:AA3"/>
    <mergeCell ref="AC3:AD6"/>
    <mergeCell ref="D3:E3"/>
    <mergeCell ref="D4:E4"/>
    <mergeCell ref="F4:G4"/>
    <mergeCell ref="H4:I4"/>
    <mergeCell ref="J4:K4"/>
    <mergeCell ref="L4:M4"/>
    <mergeCell ref="P4:Q4"/>
    <mergeCell ref="R4:S4"/>
    <mergeCell ref="T4:U4"/>
    <mergeCell ref="V4:W4"/>
    <mergeCell ref="X4:Y4"/>
    <mergeCell ref="Z4:AA4"/>
    <mergeCell ref="P5:Q5"/>
    <mergeCell ref="R5:S5"/>
    <mergeCell ref="H5:I5"/>
    <mergeCell ref="J5:K5"/>
    <mergeCell ref="L5:M5"/>
    <mergeCell ref="T5:U5"/>
    <mergeCell ref="V5:W5"/>
    <mergeCell ref="X5:Y5"/>
    <mergeCell ref="Z5:AA5"/>
    <mergeCell ref="P6:Q6"/>
    <mergeCell ref="R6:S6"/>
    <mergeCell ref="T6:U6"/>
    <mergeCell ref="V6:W6"/>
    <mergeCell ref="X6:Y6"/>
    <mergeCell ref="Z6:AA6"/>
  </mergeCells>
  <phoneticPr fontId="82"/>
  <pageMargins left="0.19685039370078741" right="0.19685039370078741" top="0.19685039370078741" bottom="0.19685039370078741" header="0" footer="0"/>
  <pageSetup paperSize="9" fitToWidth="0" orientation="landscape"/>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9</vt:i4>
      </vt:variant>
    </vt:vector>
  </HeadingPairs>
  <TitlesOfParts>
    <vt:vector size="9" baseType="lpstr">
      <vt:lpstr>★リトローボ戦略表</vt:lpstr>
      <vt:lpstr>目標_2025R7</vt:lpstr>
      <vt:lpstr>実績_2024R6</vt:lpstr>
      <vt:lpstr>適正原価＆人件費プリントアウト用</vt:lpstr>
      <vt:lpstr>月次累積原価率表</vt:lpstr>
      <vt:lpstr>2024年間データ</vt:lpstr>
      <vt:lpstr>適正人件費表</vt:lpstr>
      <vt:lpstr>適正原価率表(仕入れお小遣い制度)</vt:lpstr>
      <vt:lpstr>リトローボ18期</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松下真一朗</dc:creator>
  <cp:lastModifiedBy>真一朗 松下</cp:lastModifiedBy>
  <dcterms:created xsi:type="dcterms:W3CDTF">2025-05-23T04:58:39Z</dcterms:created>
  <dcterms:modified xsi:type="dcterms:W3CDTF">2025-11-14T09:02:11Z</dcterms:modified>
</cp:coreProperties>
</file>